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524776BD498D1ED075A5DE89D74FA80D19A6E036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 Cash Turnover Mkt Share" sheetId="2" r:id="rId2"/>
    <sheet name="Qrtr Eq Cash Turnover Mkt Share" sheetId="3" r:id="rId3"/>
    <sheet name="Mth Eq Cash Turnover Mkt Share" sheetId="4" r:id="rId4"/>
    <sheet name="Day Eq Cash Turnover Mkt Share" sheetId="5" r:id="rId5"/>
    <sheet name="Year NSE Equity Cash" sheetId="6" r:id="rId6"/>
    <sheet name="Monthly NSE Equity Cash" sheetId="7" r:id="rId7"/>
    <sheet name="Daily NSE Equity Cash" sheetId="8" r:id="rId8"/>
    <sheet name="Year BSE Equity Cash" sheetId="9" r:id="rId9"/>
    <sheet name="Monthly BSE Equity Cash" sheetId="10" r:id="rId10"/>
    <sheet name="Daily BSE Equity Cas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05" i="5" l="1"/>
  <c r="E1605" i="5"/>
  <c r="G1605" i="5" s="1"/>
  <c r="B1602" i="5"/>
  <c r="B1601" i="5"/>
  <c r="C1602" i="5" s="1"/>
  <c r="F1598" i="5"/>
  <c r="E1598" i="5"/>
  <c r="F1597" i="5"/>
  <c r="E1597" i="5"/>
  <c r="F1596" i="5"/>
  <c r="E1596" i="5"/>
  <c r="F1595" i="5"/>
  <c r="E1595" i="5"/>
  <c r="F1594" i="5"/>
  <c r="E1594" i="5"/>
  <c r="F1593" i="5"/>
  <c r="E1593" i="5"/>
  <c r="F1592" i="5"/>
  <c r="E1592" i="5"/>
  <c r="F1591" i="5"/>
  <c r="E1591" i="5"/>
  <c r="F1590" i="5"/>
  <c r="E1590" i="5"/>
  <c r="F1589" i="5"/>
  <c r="E1589" i="5"/>
  <c r="F1588" i="5"/>
  <c r="E1588" i="5"/>
  <c r="F1587" i="5"/>
  <c r="E1587" i="5"/>
  <c r="F1586" i="5"/>
  <c r="E1586" i="5"/>
  <c r="F1585" i="5"/>
  <c r="E1585" i="5"/>
  <c r="F1584" i="5"/>
  <c r="E1584" i="5"/>
  <c r="F1583" i="5"/>
  <c r="E1583" i="5"/>
  <c r="F1582" i="5"/>
  <c r="E1582" i="5"/>
  <c r="F1581" i="5"/>
  <c r="E1581" i="5"/>
  <c r="F1580" i="5"/>
  <c r="E1580" i="5"/>
  <c r="F1579" i="5"/>
  <c r="E1579" i="5"/>
  <c r="F1578" i="5"/>
  <c r="E1578" i="5"/>
  <c r="F1577" i="5"/>
  <c r="E1577" i="5"/>
  <c r="F1576" i="5"/>
  <c r="E1576" i="5"/>
  <c r="F1575" i="5"/>
  <c r="E1575" i="5"/>
  <c r="F1574" i="5"/>
  <c r="E1574" i="5"/>
  <c r="F1573" i="5"/>
  <c r="E1573" i="5"/>
  <c r="F1572" i="5"/>
  <c r="E1572" i="5"/>
  <c r="F1571" i="5"/>
  <c r="E1571" i="5"/>
  <c r="F1570" i="5"/>
  <c r="E1570" i="5"/>
  <c r="F1569" i="5"/>
  <c r="E1569" i="5"/>
  <c r="F1568" i="5"/>
  <c r="E1568" i="5"/>
  <c r="F1567" i="5"/>
  <c r="E1567" i="5"/>
  <c r="F1566" i="5"/>
  <c r="E1566" i="5"/>
  <c r="F1565" i="5"/>
  <c r="E1565" i="5"/>
  <c r="F1564" i="5"/>
  <c r="E1564" i="5"/>
  <c r="F1563" i="5"/>
  <c r="E1563" i="5"/>
  <c r="F1562" i="5"/>
  <c r="E1562" i="5"/>
  <c r="F1561" i="5"/>
  <c r="E1561" i="5"/>
  <c r="F1560" i="5"/>
  <c r="E1560" i="5"/>
  <c r="F1559" i="5"/>
  <c r="E1559" i="5"/>
  <c r="F1558" i="5"/>
  <c r="E1558" i="5"/>
  <c r="F1557" i="5"/>
  <c r="E1557" i="5"/>
  <c r="F1556" i="5"/>
  <c r="E1556" i="5"/>
  <c r="F1555" i="5"/>
  <c r="E1555" i="5"/>
  <c r="F1554" i="5"/>
  <c r="E1554" i="5"/>
  <c r="F1553" i="5"/>
  <c r="E1553" i="5"/>
  <c r="F1552" i="5"/>
  <c r="E1552" i="5"/>
  <c r="F1551" i="5"/>
  <c r="E1551" i="5"/>
  <c r="F1550" i="5"/>
  <c r="E1550" i="5"/>
  <c r="F1549" i="5"/>
  <c r="E1549" i="5"/>
  <c r="F1548" i="5"/>
  <c r="E1548" i="5"/>
  <c r="F1547" i="5"/>
  <c r="E1547" i="5"/>
  <c r="F1546" i="5"/>
  <c r="E1546" i="5"/>
  <c r="F1545" i="5"/>
  <c r="E1545" i="5"/>
  <c r="F1544" i="5"/>
  <c r="E1544" i="5"/>
  <c r="F1543" i="5"/>
  <c r="E1543" i="5"/>
  <c r="F1542" i="5"/>
  <c r="E1542" i="5"/>
  <c r="F1541" i="5"/>
  <c r="E1541" i="5"/>
  <c r="F1540" i="5"/>
  <c r="E1540" i="5"/>
  <c r="F1539" i="5"/>
  <c r="E1539" i="5"/>
  <c r="F1538" i="5"/>
  <c r="E1538" i="5"/>
  <c r="F1537" i="5"/>
  <c r="E1537" i="5"/>
  <c r="F1536" i="5"/>
  <c r="E1536" i="5"/>
  <c r="F1535" i="5"/>
  <c r="E1535" i="5"/>
  <c r="F1534" i="5"/>
  <c r="E1534" i="5"/>
  <c r="F1533" i="5"/>
  <c r="E1533" i="5"/>
  <c r="F1532" i="5"/>
  <c r="E1532" i="5"/>
  <c r="F1531" i="5"/>
  <c r="E1531" i="5"/>
  <c r="F1530" i="5"/>
  <c r="E1530" i="5"/>
  <c r="F1529" i="5"/>
  <c r="E1529" i="5"/>
  <c r="F1528" i="5"/>
  <c r="E1528" i="5"/>
  <c r="F1527" i="5"/>
  <c r="E1527" i="5"/>
  <c r="F1526" i="5"/>
  <c r="E1526" i="5"/>
  <c r="F1525" i="5"/>
  <c r="E1525" i="5"/>
  <c r="F1524" i="5"/>
  <c r="E1524" i="5"/>
  <c r="F1523" i="5"/>
  <c r="E1523" i="5"/>
  <c r="F1522" i="5"/>
  <c r="E1522" i="5"/>
  <c r="F1521" i="5"/>
  <c r="E1521" i="5"/>
  <c r="F1520" i="5"/>
  <c r="E1520" i="5"/>
  <c r="F1519" i="5"/>
  <c r="E1519" i="5"/>
  <c r="F1518" i="5"/>
  <c r="E1518" i="5"/>
  <c r="F1517" i="5"/>
  <c r="E1517" i="5"/>
  <c r="F1516" i="5"/>
  <c r="E1516" i="5"/>
  <c r="F1515" i="5"/>
  <c r="E1515" i="5"/>
  <c r="F1514" i="5"/>
  <c r="E1514" i="5"/>
  <c r="F1513" i="5"/>
  <c r="E1513" i="5"/>
  <c r="F1512" i="5"/>
  <c r="E1512" i="5"/>
  <c r="F1511" i="5"/>
  <c r="E1511" i="5"/>
  <c r="F1510" i="5"/>
  <c r="E1510" i="5"/>
  <c r="F1509" i="5"/>
  <c r="E1509" i="5"/>
  <c r="F1508" i="5"/>
  <c r="E1508" i="5"/>
  <c r="F1507" i="5"/>
  <c r="E1507" i="5"/>
  <c r="F1506" i="5"/>
  <c r="E1506" i="5"/>
  <c r="F1505" i="5"/>
  <c r="E1505" i="5"/>
  <c r="F1504" i="5"/>
  <c r="E1504" i="5"/>
  <c r="F1503" i="5"/>
  <c r="E1503" i="5"/>
  <c r="F1502" i="5"/>
  <c r="E1502" i="5"/>
  <c r="F1501" i="5"/>
  <c r="E1501" i="5"/>
  <c r="F1500" i="5"/>
  <c r="E1500" i="5"/>
  <c r="F1499" i="5"/>
  <c r="E1499" i="5"/>
  <c r="F1498" i="5"/>
  <c r="E1498" i="5"/>
  <c r="F1497" i="5"/>
  <c r="E1497" i="5"/>
  <c r="F1496" i="5"/>
  <c r="E1496" i="5"/>
  <c r="F1495" i="5"/>
  <c r="E1495" i="5"/>
  <c r="F1494" i="5"/>
  <c r="E1494" i="5"/>
  <c r="F1493" i="5"/>
  <c r="E1493" i="5"/>
  <c r="F1492" i="5"/>
  <c r="E1492" i="5"/>
  <c r="F1491" i="5"/>
  <c r="E1491" i="5"/>
  <c r="F1490" i="5"/>
  <c r="E1490" i="5"/>
  <c r="F1489" i="5"/>
  <c r="E1489" i="5"/>
  <c r="F1488" i="5"/>
  <c r="E1488" i="5"/>
  <c r="F1487" i="5"/>
  <c r="E1487" i="5"/>
  <c r="F1486" i="5"/>
  <c r="E1486" i="5"/>
  <c r="F1485" i="5"/>
  <c r="E1485" i="5"/>
  <c r="F1484" i="5"/>
  <c r="E1484" i="5"/>
  <c r="F1483" i="5"/>
  <c r="E1483" i="5"/>
  <c r="F1482" i="5"/>
  <c r="E1482" i="5"/>
  <c r="F1481" i="5"/>
  <c r="E1481" i="5"/>
  <c r="F1480" i="5"/>
  <c r="E1480" i="5"/>
  <c r="F1479" i="5"/>
  <c r="E1479" i="5"/>
  <c r="F1478" i="5"/>
  <c r="E1478" i="5"/>
  <c r="F1477" i="5"/>
  <c r="E1477" i="5"/>
  <c r="F1476" i="5"/>
  <c r="E1476" i="5"/>
  <c r="F1475" i="5"/>
  <c r="E1475" i="5"/>
  <c r="F1474" i="5"/>
  <c r="E1474" i="5"/>
  <c r="F1473" i="5"/>
  <c r="E1473" i="5"/>
  <c r="F1472" i="5"/>
  <c r="E1472" i="5"/>
  <c r="F1471" i="5"/>
  <c r="E1471" i="5"/>
  <c r="F1470" i="5"/>
  <c r="E1470" i="5"/>
  <c r="F1469" i="5"/>
  <c r="E1469" i="5"/>
  <c r="F1468" i="5"/>
  <c r="E1468" i="5"/>
  <c r="F1467" i="5"/>
  <c r="E1467" i="5"/>
  <c r="F1466" i="5"/>
  <c r="E1466" i="5"/>
  <c r="F1465" i="5"/>
  <c r="E1465" i="5"/>
  <c r="F1464" i="5"/>
  <c r="E1464" i="5"/>
  <c r="F1463" i="5"/>
  <c r="E1463" i="5"/>
  <c r="F1462" i="5"/>
  <c r="E1462" i="5"/>
  <c r="F1461" i="5"/>
  <c r="E1461" i="5"/>
  <c r="F1460" i="5"/>
  <c r="E1460" i="5"/>
  <c r="F1459" i="5"/>
  <c r="E1459" i="5"/>
  <c r="F1458" i="5"/>
  <c r="E1458" i="5"/>
  <c r="F1457" i="5"/>
  <c r="E1457" i="5"/>
  <c r="F1456" i="5"/>
  <c r="E1456" i="5"/>
  <c r="F1455" i="5"/>
  <c r="E1455" i="5"/>
  <c r="F1454" i="5"/>
  <c r="E1454" i="5"/>
  <c r="F1453" i="5"/>
  <c r="E1453" i="5"/>
  <c r="F1452" i="5"/>
  <c r="E1452" i="5"/>
  <c r="F1451" i="5"/>
  <c r="E1451" i="5"/>
  <c r="F1450" i="5"/>
  <c r="E1450" i="5"/>
  <c r="F1449" i="5"/>
  <c r="E1449" i="5"/>
  <c r="F1448" i="5"/>
  <c r="E1448" i="5"/>
  <c r="F1447" i="5"/>
  <c r="E1447" i="5"/>
  <c r="F1446" i="5"/>
  <c r="E1446" i="5"/>
  <c r="F1445" i="5"/>
  <c r="E1445" i="5"/>
  <c r="F1444" i="5"/>
  <c r="E1444" i="5"/>
  <c r="F1443" i="5"/>
  <c r="E1443" i="5"/>
  <c r="F1442" i="5"/>
  <c r="E1442" i="5"/>
  <c r="F1441" i="5"/>
  <c r="E1441" i="5"/>
  <c r="F1440" i="5"/>
  <c r="E1440" i="5"/>
  <c r="F1439" i="5"/>
  <c r="E1439" i="5"/>
  <c r="F1438" i="5"/>
  <c r="E1438" i="5"/>
  <c r="F1437" i="5"/>
  <c r="E1437" i="5"/>
  <c r="F1436" i="5"/>
  <c r="E1436" i="5"/>
  <c r="F1435" i="5"/>
  <c r="E1435" i="5"/>
  <c r="F1434" i="5"/>
  <c r="E1434" i="5"/>
  <c r="F1433" i="5"/>
  <c r="E1433" i="5"/>
  <c r="F1432" i="5"/>
  <c r="E1432" i="5"/>
  <c r="F1431" i="5"/>
  <c r="E1431" i="5"/>
  <c r="F1430" i="5"/>
  <c r="E1430" i="5"/>
  <c r="F1429" i="5"/>
  <c r="E1429" i="5"/>
  <c r="F1428" i="5"/>
  <c r="E1428" i="5"/>
  <c r="F1427" i="5"/>
  <c r="E1427" i="5"/>
  <c r="F1426" i="5"/>
  <c r="E1426" i="5"/>
  <c r="F1425" i="5"/>
  <c r="E1425" i="5"/>
  <c r="F1424" i="5"/>
  <c r="E1424" i="5"/>
  <c r="F1423" i="5"/>
  <c r="E1423" i="5"/>
  <c r="F1422" i="5"/>
  <c r="E1422" i="5"/>
  <c r="F1421" i="5"/>
  <c r="E1421" i="5"/>
  <c r="F1420" i="5"/>
  <c r="E1420" i="5"/>
  <c r="F1419" i="5"/>
  <c r="E1419" i="5"/>
  <c r="F1418" i="5"/>
  <c r="E1418" i="5"/>
  <c r="F1417" i="5"/>
  <c r="E1417" i="5"/>
  <c r="F1416" i="5"/>
  <c r="E1416" i="5"/>
  <c r="F1415" i="5"/>
  <c r="E1415" i="5"/>
  <c r="F1414" i="5"/>
  <c r="E1414" i="5"/>
  <c r="F1413" i="5"/>
  <c r="E1413" i="5"/>
  <c r="F1412" i="5"/>
  <c r="E1412" i="5"/>
  <c r="F1411" i="5"/>
  <c r="E1411" i="5"/>
  <c r="F1410" i="5"/>
  <c r="E1410" i="5"/>
  <c r="F1409" i="5"/>
  <c r="E1409" i="5"/>
  <c r="F1408" i="5"/>
  <c r="E1408" i="5"/>
  <c r="F1407" i="5"/>
  <c r="E1407" i="5"/>
  <c r="F1406" i="5"/>
  <c r="E1406" i="5"/>
  <c r="F1405" i="5"/>
  <c r="E1405" i="5"/>
  <c r="F1404" i="5"/>
  <c r="E1404" i="5"/>
  <c r="F1403" i="5"/>
  <c r="E1403" i="5"/>
  <c r="F1402" i="5"/>
  <c r="E1402" i="5"/>
  <c r="F1401" i="5"/>
  <c r="E1401" i="5"/>
  <c r="F1400" i="5"/>
  <c r="E1400" i="5"/>
  <c r="F1399" i="5"/>
  <c r="E1399" i="5"/>
  <c r="F1398" i="5"/>
  <c r="E1398" i="5"/>
  <c r="F1397" i="5"/>
  <c r="E1397" i="5"/>
  <c r="F1396" i="5"/>
  <c r="E1396" i="5"/>
  <c r="F1395" i="5"/>
  <c r="E1395" i="5"/>
  <c r="F1394" i="5"/>
  <c r="E1394" i="5"/>
  <c r="F1393" i="5"/>
  <c r="E1393" i="5"/>
  <c r="F1392" i="5"/>
  <c r="E1392" i="5"/>
  <c r="F1391" i="5"/>
  <c r="E1391" i="5"/>
  <c r="F1390" i="5"/>
  <c r="E1390" i="5"/>
  <c r="F1389" i="5"/>
  <c r="E1389" i="5"/>
  <c r="F1388" i="5"/>
  <c r="E1388" i="5"/>
  <c r="F1387" i="5"/>
  <c r="E1387" i="5"/>
  <c r="F1386" i="5"/>
  <c r="E1386" i="5"/>
  <c r="F1385" i="5"/>
  <c r="E1385" i="5"/>
  <c r="F1384" i="5"/>
  <c r="E1384" i="5"/>
  <c r="F1383" i="5"/>
  <c r="E1383" i="5"/>
  <c r="F1382" i="5"/>
  <c r="E1382" i="5"/>
  <c r="F1381" i="5"/>
  <c r="E1381" i="5"/>
  <c r="F1380" i="5"/>
  <c r="E1380" i="5"/>
  <c r="F1379" i="5"/>
  <c r="E1379" i="5"/>
  <c r="F1378" i="5"/>
  <c r="E1378" i="5"/>
  <c r="F1377" i="5"/>
  <c r="E1377" i="5"/>
  <c r="F1376" i="5"/>
  <c r="E1376" i="5"/>
  <c r="F1375" i="5"/>
  <c r="E1375" i="5"/>
  <c r="F1374" i="5"/>
  <c r="E1374" i="5"/>
  <c r="F1373" i="5"/>
  <c r="E1373" i="5"/>
  <c r="F1372" i="5"/>
  <c r="E1372" i="5"/>
  <c r="F1371" i="5"/>
  <c r="E1371" i="5"/>
  <c r="F1370" i="5"/>
  <c r="E1370" i="5"/>
  <c r="F1369" i="5"/>
  <c r="E1369" i="5"/>
  <c r="F1368" i="5"/>
  <c r="E1368" i="5"/>
  <c r="F1367" i="5"/>
  <c r="E1367" i="5"/>
  <c r="F1366" i="5"/>
  <c r="E1366" i="5"/>
  <c r="F1365" i="5"/>
  <c r="E1365" i="5"/>
  <c r="F1364" i="5"/>
  <c r="E1364" i="5"/>
  <c r="F1363" i="5"/>
  <c r="E1363" i="5"/>
  <c r="F1362" i="5"/>
  <c r="E1362" i="5"/>
  <c r="F1361" i="5"/>
  <c r="E1361" i="5"/>
  <c r="F1360" i="5"/>
  <c r="E1360" i="5"/>
  <c r="F1359" i="5"/>
  <c r="E1359" i="5"/>
  <c r="F1358" i="5"/>
  <c r="E1358" i="5"/>
  <c r="F1357" i="5"/>
  <c r="E1357" i="5"/>
  <c r="F1356" i="5"/>
  <c r="E1356" i="5"/>
  <c r="F1355" i="5"/>
  <c r="E1355" i="5"/>
  <c r="F1354" i="5"/>
  <c r="E1354" i="5"/>
  <c r="F1353" i="5"/>
  <c r="E1353" i="5"/>
  <c r="F1352" i="5"/>
  <c r="E1352" i="5"/>
  <c r="F1351" i="5"/>
  <c r="E1351" i="5"/>
  <c r="F1350" i="5"/>
  <c r="E1350" i="5"/>
  <c r="F1349" i="5"/>
  <c r="E1349" i="5"/>
  <c r="F1348" i="5"/>
  <c r="E1348" i="5"/>
  <c r="F1347" i="5"/>
  <c r="E1347" i="5"/>
  <c r="F1346" i="5"/>
  <c r="E1346" i="5"/>
  <c r="F1345" i="5"/>
  <c r="E1345" i="5"/>
  <c r="F1344" i="5"/>
  <c r="E1344" i="5"/>
  <c r="F1343" i="5"/>
  <c r="E1343" i="5"/>
  <c r="F1342" i="5"/>
  <c r="E1342" i="5"/>
  <c r="F1341" i="5"/>
  <c r="E1341" i="5"/>
  <c r="F1340" i="5"/>
  <c r="E1340" i="5"/>
  <c r="F1339" i="5"/>
  <c r="E1339" i="5"/>
  <c r="K1338" i="5"/>
  <c r="F1338" i="5"/>
  <c r="E1338" i="5"/>
  <c r="F1337" i="5"/>
  <c r="E1337" i="5"/>
  <c r="F1336" i="5"/>
  <c r="E1336" i="5"/>
  <c r="F1335" i="5"/>
  <c r="E1335" i="5"/>
  <c r="F1334" i="5"/>
  <c r="E1334" i="5"/>
  <c r="F1333" i="5"/>
  <c r="E1333" i="5"/>
  <c r="F1332" i="5"/>
  <c r="E1332" i="5"/>
  <c r="F1331" i="5"/>
  <c r="E1331" i="5"/>
  <c r="F1330" i="5"/>
  <c r="E1330" i="5"/>
  <c r="F1329" i="5"/>
  <c r="E1329" i="5"/>
  <c r="F1328" i="5"/>
  <c r="E1328" i="5"/>
  <c r="F1327" i="5"/>
  <c r="E1327" i="5"/>
  <c r="F1326" i="5"/>
  <c r="E1326" i="5"/>
  <c r="F1325" i="5"/>
  <c r="E1325" i="5"/>
  <c r="F1324" i="5"/>
  <c r="E1324" i="5"/>
  <c r="F1323" i="5"/>
  <c r="E1323" i="5"/>
  <c r="F1322" i="5"/>
  <c r="E1322" i="5"/>
  <c r="F1321" i="5"/>
  <c r="E1321" i="5"/>
  <c r="F1320" i="5"/>
  <c r="E1320" i="5"/>
  <c r="F1319" i="5"/>
  <c r="E1319" i="5"/>
  <c r="F1318" i="5"/>
  <c r="E1318" i="5"/>
  <c r="F1317" i="5"/>
  <c r="E1317" i="5"/>
  <c r="F1316" i="5"/>
  <c r="E1316" i="5"/>
  <c r="F1315" i="5"/>
  <c r="E1315" i="5"/>
  <c r="F1314" i="5"/>
  <c r="E1314" i="5"/>
  <c r="F1313" i="5"/>
  <c r="E1313" i="5"/>
  <c r="F1312" i="5"/>
  <c r="E1312" i="5"/>
  <c r="F1311" i="5"/>
  <c r="E1311" i="5"/>
  <c r="F1310" i="5"/>
  <c r="E1310" i="5"/>
  <c r="F1309" i="5"/>
  <c r="E1309" i="5"/>
  <c r="F1308" i="5"/>
  <c r="E1308" i="5"/>
  <c r="F1307" i="5"/>
  <c r="E1307" i="5"/>
  <c r="F1306" i="5"/>
  <c r="E1306" i="5"/>
  <c r="F1305" i="5"/>
  <c r="E1305" i="5"/>
  <c r="F1304" i="5"/>
  <c r="E1304" i="5"/>
  <c r="F1303" i="5"/>
  <c r="E1303" i="5"/>
  <c r="F1302" i="5"/>
  <c r="E1302" i="5"/>
  <c r="F1301" i="5"/>
  <c r="E1301" i="5"/>
  <c r="F1300" i="5"/>
  <c r="E1300" i="5"/>
  <c r="F1299" i="5"/>
  <c r="E1299" i="5"/>
  <c r="F1298" i="5"/>
  <c r="E1298" i="5"/>
  <c r="F1297" i="5"/>
  <c r="E1297" i="5"/>
  <c r="F1296" i="5"/>
  <c r="E1296" i="5"/>
  <c r="F1295" i="5"/>
  <c r="E1295" i="5"/>
  <c r="F1294" i="5"/>
  <c r="E1294" i="5"/>
  <c r="F1293" i="5"/>
  <c r="E1293" i="5"/>
  <c r="F1292" i="5"/>
  <c r="E1292" i="5"/>
  <c r="F1291" i="5"/>
  <c r="E1291" i="5"/>
  <c r="F1290" i="5"/>
  <c r="E1290" i="5"/>
  <c r="F1289" i="5"/>
  <c r="E1289" i="5"/>
  <c r="F1288" i="5"/>
  <c r="E1288" i="5"/>
  <c r="F1287" i="5"/>
  <c r="E1287" i="5"/>
  <c r="F1286" i="5"/>
  <c r="E1286" i="5"/>
  <c r="F1285" i="5"/>
  <c r="E1285" i="5"/>
  <c r="F1284" i="5"/>
  <c r="E1284" i="5"/>
  <c r="F1283" i="5"/>
  <c r="E1283" i="5"/>
  <c r="F1282" i="5"/>
  <c r="E1282" i="5"/>
  <c r="F1281" i="5"/>
  <c r="E1281" i="5"/>
  <c r="F1280" i="5"/>
  <c r="E1280" i="5"/>
  <c r="F1279" i="5"/>
  <c r="E1279" i="5"/>
  <c r="F1278" i="5"/>
  <c r="E1278" i="5"/>
  <c r="F1277" i="5"/>
  <c r="E1277" i="5"/>
  <c r="F1276" i="5"/>
  <c r="E1276" i="5"/>
  <c r="F1275" i="5"/>
  <c r="E1275" i="5"/>
  <c r="F1274" i="5"/>
  <c r="E1274" i="5"/>
  <c r="F1273" i="5"/>
  <c r="E1273" i="5"/>
  <c r="F1272" i="5"/>
  <c r="E1272" i="5"/>
  <c r="F1271" i="5"/>
  <c r="E1271" i="5"/>
  <c r="F1270" i="5"/>
  <c r="E1270" i="5"/>
  <c r="F1269" i="5"/>
  <c r="E1269" i="5"/>
  <c r="F1268" i="5"/>
  <c r="E1268" i="5"/>
  <c r="F1267" i="5"/>
  <c r="E1267" i="5"/>
  <c r="F1266" i="5"/>
  <c r="E1266" i="5"/>
  <c r="F1265" i="5"/>
  <c r="E1265" i="5"/>
  <c r="F1264" i="5"/>
  <c r="E1264" i="5"/>
  <c r="F1263" i="5"/>
  <c r="E1263" i="5"/>
  <c r="F1262" i="5"/>
  <c r="E1262" i="5"/>
  <c r="F1261" i="5"/>
  <c r="E1261" i="5"/>
  <c r="F1260" i="5"/>
  <c r="E1260" i="5"/>
  <c r="F1259" i="5"/>
  <c r="E1259" i="5"/>
  <c r="F1258" i="5"/>
  <c r="E1258" i="5"/>
  <c r="F1257" i="5"/>
  <c r="E1257" i="5"/>
  <c r="F1256" i="5"/>
  <c r="E1256" i="5"/>
  <c r="F1255" i="5"/>
  <c r="E1255" i="5"/>
  <c r="F1254" i="5"/>
  <c r="E1254" i="5"/>
  <c r="F1253" i="5"/>
  <c r="E1253" i="5"/>
  <c r="F1252" i="5"/>
  <c r="E1252" i="5"/>
  <c r="F1251" i="5"/>
  <c r="E1251" i="5"/>
  <c r="F1250" i="5"/>
  <c r="E1250" i="5"/>
  <c r="F1249" i="5"/>
  <c r="E1249" i="5"/>
  <c r="F1248" i="5"/>
  <c r="E1248" i="5"/>
  <c r="F1247" i="5"/>
  <c r="E1247" i="5"/>
  <c r="F1246" i="5"/>
  <c r="E1246" i="5"/>
  <c r="F1245" i="5"/>
  <c r="E1245" i="5"/>
  <c r="F1244" i="5"/>
  <c r="E1244" i="5"/>
  <c r="F1243" i="5"/>
  <c r="E1243" i="5"/>
  <c r="F1242" i="5"/>
  <c r="E1242" i="5"/>
  <c r="F1241" i="5"/>
  <c r="E1241" i="5"/>
  <c r="F1240" i="5"/>
  <c r="E1240" i="5"/>
  <c r="F1239" i="5"/>
  <c r="E1239" i="5"/>
  <c r="F1238" i="5"/>
  <c r="E1238" i="5"/>
  <c r="F1237" i="5"/>
  <c r="E1237" i="5"/>
  <c r="F1236" i="5"/>
  <c r="E1236" i="5"/>
  <c r="F1235" i="5"/>
  <c r="E1235" i="5"/>
  <c r="F1234" i="5"/>
  <c r="E1234" i="5"/>
  <c r="F1233" i="5"/>
  <c r="E1233" i="5"/>
  <c r="F1232" i="5"/>
  <c r="E1232" i="5"/>
  <c r="F1231" i="5"/>
  <c r="E1231" i="5"/>
  <c r="F1230" i="5"/>
  <c r="E1230" i="5"/>
  <c r="F1229" i="5"/>
  <c r="E1229" i="5"/>
  <c r="F1228" i="5"/>
  <c r="E1228" i="5"/>
  <c r="F1227" i="5"/>
  <c r="E1227" i="5"/>
  <c r="F1226" i="5"/>
  <c r="E1226" i="5"/>
  <c r="F1225" i="5"/>
  <c r="E1225" i="5"/>
  <c r="F1224" i="5"/>
  <c r="E1224" i="5"/>
  <c r="F1223" i="5"/>
  <c r="E1223" i="5"/>
  <c r="F1222" i="5"/>
  <c r="E1222" i="5"/>
  <c r="F1221" i="5"/>
  <c r="E1221" i="5"/>
  <c r="F1220" i="5"/>
  <c r="E1220" i="5"/>
  <c r="F1219" i="5"/>
  <c r="E1219" i="5"/>
  <c r="F1218" i="5"/>
  <c r="E1218" i="5"/>
  <c r="F1217" i="5"/>
  <c r="E1217" i="5"/>
  <c r="F1216" i="5"/>
  <c r="E1216" i="5"/>
  <c r="F1215" i="5"/>
  <c r="E1215" i="5"/>
  <c r="F1214" i="5"/>
  <c r="E1214" i="5"/>
  <c r="F1213" i="5"/>
  <c r="E1213" i="5"/>
  <c r="F1212" i="5"/>
  <c r="E1212" i="5"/>
  <c r="F1211" i="5"/>
  <c r="E1211" i="5"/>
  <c r="F1210" i="5"/>
  <c r="E1210" i="5"/>
  <c r="F1209" i="5"/>
  <c r="E1209" i="5"/>
  <c r="F1208" i="5"/>
  <c r="E1208" i="5"/>
  <c r="F1207" i="5"/>
  <c r="E1207" i="5"/>
  <c r="F1206" i="5"/>
  <c r="E1206" i="5"/>
  <c r="F1205" i="5"/>
  <c r="E1205" i="5"/>
  <c r="F1204" i="5"/>
  <c r="E1204" i="5"/>
  <c r="F1203" i="5"/>
  <c r="E1203" i="5"/>
  <c r="F1202" i="5"/>
  <c r="E1202" i="5"/>
  <c r="F1201" i="5"/>
  <c r="E1201" i="5"/>
  <c r="F1200" i="5"/>
  <c r="E1200" i="5"/>
  <c r="F1199" i="5"/>
  <c r="E1199" i="5"/>
  <c r="F1198" i="5"/>
  <c r="E1198" i="5"/>
  <c r="F1197" i="5"/>
  <c r="E1197" i="5"/>
  <c r="F1196" i="5"/>
  <c r="E1196" i="5"/>
  <c r="F1195" i="5"/>
  <c r="E1195" i="5"/>
  <c r="F1194" i="5"/>
  <c r="E1194" i="5"/>
  <c r="F1193" i="5"/>
  <c r="E1193" i="5"/>
  <c r="F1192" i="5"/>
  <c r="E1192" i="5"/>
  <c r="F1191" i="5"/>
  <c r="E1191" i="5"/>
  <c r="F1190" i="5"/>
  <c r="E1190" i="5"/>
  <c r="F1189" i="5"/>
  <c r="E1189" i="5"/>
  <c r="F1188" i="5"/>
  <c r="E1188" i="5"/>
  <c r="F1187" i="5"/>
  <c r="E1187" i="5"/>
  <c r="F1186" i="5"/>
  <c r="E1186" i="5"/>
  <c r="F1185" i="5"/>
  <c r="E1185" i="5"/>
  <c r="F1184" i="5"/>
  <c r="E1184" i="5"/>
  <c r="F1183" i="5"/>
  <c r="E1183" i="5"/>
  <c r="F1182" i="5"/>
  <c r="E1182" i="5"/>
  <c r="F1181" i="5"/>
  <c r="E1181" i="5"/>
  <c r="F1180" i="5"/>
  <c r="E1180" i="5"/>
  <c r="F1179" i="5"/>
  <c r="E1179" i="5"/>
  <c r="F1178" i="5"/>
  <c r="E1178" i="5"/>
  <c r="F1177" i="5"/>
  <c r="E1177" i="5"/>
  <c r="F1176" i="5"/>
  <c r="E1176" i="5"/>
  <c r="F1175" i="5"/>
  <c r="E1175" i="5"/>
  <c r="F1174" i="5"/>
  <c r="E1174" i="5"/>
  <c r="F1173" i="5"/>
  <c r="E1173" i="5"/>
  <c r="F1172" i="5"/>
  <c r="E1172" i="5"/>
  <c r="F1171" i="5"/>
  <c r="E1171" i="5"/>
  <c r="F1170" i="5"/>
  <c r="E1170" i="5"/>
  <c r="F1169" i="5"/>
  <c r="E1169" i="5"/>
  <c r="F1168" i="5"/>
  <c r="E1168" i="5"/>
  <c r="F1167" i="5"/>
  <c r="E1167" i="5"/>
  <c r="F1166" i="5"/>
  <c r="E1166" i="5"/>
  <c r="F1165" i="5"/>
  <c r="E1165" i="5"/>
  <c r="F1164" i="5"/>
  <c r="E1164" i="5"/>
  <c r="F1163" i="5"/>
  <c r="E1163" i="5"/>
  <c r="F1162" i="5"/>
  <c r="E1162" i="5"/>
  <c r="F1161" i="5"/>
  <c r="E1161" i="5"/>
  <c r="F1160" i="5"/>
  <c r="E1160" i="5"/>
  <c r="F1159" i="5"/>
  <c r="E1159" i="5"/>
  <c r="F1158" i="5"/>
  <c r="E1158" i="5"/>
  <c r="F1157" i="5"/>
  <c r="E1157" i="5"/>
  <c r="F1156" i="5"/>
  <c r="E1156" i="5"/>
  <c r="F1155" i="5"/>
  <c r="E1155" i="5"/>
  <c r="F1154" i="5"/>
  <c r="E1154" i="5"/>
  <c r="F1153" i="5"/>
  <c r="E1153" i="5"/>
  <c r="F1152" i="5"/>
  <c r="E1152" i="5"/>
  <c r="F1151" i="5"/>
  <c r="E1151" i="5"/>
  <c r="F1150" i="5"/>
  <c r="E1150" i="5"/>
  <c r="F1149" i="5"/>
  <c r="E1149" i="5"/>
  <c r="F1148" i="5"/>
  <c r="E1148" i="5"/>
  <c r="F1147" i="5"/>
  <c r="E1147" i="5"/>
  <c r="F1146" i="5"/>
  <c r="E1146" i="5"/>
  <c r="F1145" i="5"/>
  <c r="E1145" i="5"/>
  <c r="F1144" i="5"/>
  <c r="E1144" i="5"/>
  <c r="F1143" i="5"/>
  <c r="E1143" i="5"/>
  <c r="F1142" i="5"/>
  <c r="E1142" i="5"/>
  <c r="F1141" i="5"/>
  <c r="E1141" i="5"/>
  <c r="F1140" i="5"/>
  <c r="E1140" i="5"/>
  <c r="F1139" i="5"/>
  <c r="E1139" i="5"/>
  <c r="F1138" i="5"/>
  <c r="E1138" i="5"/>
  <c r="F1137" i="5"/>
  <c r="E1137" i="5"/>
  <c r="F1136" i="5"/>
  <c r="E1136" i="5"/>
  <c r="F1135" i="5"/>
  <c r="E1135" i="5"/>
  <c r="F1134" i="5"/>
  <c r="E1134" i="5"/>
  <c r="F1133" i="5"/>
  <c r="E1133" i="5"/>
  <c r="F1132" i="5"/>
  <c r="E1132" i="5"/>
  <c r="F1131" i="5"/>
  <c r="E1131" i="5"/>
  <c r="F1130" i="5"/>
  <c r="E1130" i="5"/>
  <c r="F1129" i="5"/>
  <c r="E1129" i="5"/>
  <c r="F1128" i="5"/>
  <c r="E1128" i="5"/>
  <c r="F1127" i="5"/>
  <c r="E1127" i="5"/>
  <c r="F1126" i="5"/>
  <c r="E1126" i="5"/>
  <c r="F1125" i="5"/>
  <c r="E1125" i="5"/>
  <c r="F1124" i="5"/>
  <c r="E1124" i="5"/>
  <c r="F1123" i="5"/>
  <c r="E1123" i="5"/>
  <c r="F1122" i="5"/>
  <c r="E1122" i="5"/>
  <c r="F1121" i="5"/>
  <c r="E1121" i="5"/>
  <c r="F1120" i="5"/>
  <c r="E1120" i="5"/>
  <c r="F1119" i="5"/>
  <c r="E1119" i="5"/>
  <c r="F1118" i="5"/>
  <c r="E1118" i="5"/>
  <c r="F1117" i="5"/>
  <c r="E1117" i="5"/>
  <c r="F1116" i="5"/>
  <c r="E1116" i="5"/>
  <c r="F1115" i="5"/>
  <c r="E1115" i="5"/>
  <c r="F1114" i="5"/>
  <c r="E1114" i="5"/>
  <c r="F1113" i="5"/>
  <c r="E1113" i="5"/>
  <c r="F1112" i="5"/>
  <c r="E1112" i="5"/>
  <c r="F1111" i="5"/>
  <c r="E1111" i="5"/>
  <c r="F1110" i="5"/>
  <c r="E1110" i="5"/>
  <c r="F1109" i="5"/>
  <c r="E1109" i="5"/>
  <c r="F1108" i="5"/>
  <c r="E1108" i="5"/>
  <c r="F1107" i="5"/>
  <c r="E1107" i="5"/>
  <c r="F1106" i="5"/>
  <c r="E1106" i="5"/>
  <c r="F1105" i="5"/>
  <c r="E1105" i="5"/>
  <c r="F1104" i="5"/>
  <c r="E1104" i="5"/>
  <c r="F1103" i="5"/>
  <c r="E1103" i="5"/>
  <c r="F1102" i="5"/>
  <c r="E1102" i="5"/>
  <c r="F1101" i="5"/>
  <c r="E1101" i="5"/>
  <c r="F1100" i="5"/>
  <c r="E1100" i="5"/>
  <c r="F1099" i="5"/>
  <c r="E1099" i="5"/>
  <c r="F1098" i="5"/>
  <c r="E1098" i="5"/>
  <c r="F1097" i="5"/>
  <c r="E1097" i="5"/>
  <c r="F1096" i="5"/>
  <c r="E1096" i="5"/>
  <c r="F1095" i="5"/>
  <c r="E1095" i="5"/>
  <c r="F1094" i="5"/>
  <c r="E1094" i="5"/>
  <c r="F1093" i="5"/>
  <c r="E1093" i="5"/>
  <c r="F1092" i="5"/>
  <c r="E1092" i="5"/>
  <c r="F1091" i="5"/>
  <c r="E1091" i="5"/>
  <c r="F1090" i="5"/>
  <c r="E1090" i="5"/>
  <c r="F1089" i="5"/>
  <c r="E1089" i="5"/>
  <c r="F1088" i="5"/>
  <c r="E1088" i="5"/>
  <c r="F1087" i="5"/>
  <c r="E1087" i="5"/>
  <c r="F1086" i="5"/>
  <c r="E1086" i="5"/>
  <c r="F1085" i="5"/>
  <c r="E1085" i="5"/>
  <c r="F1084" i="5"/>
  <c r="E1084" i="5"/>
  <c r="F1083" i="5"/>
  <c r="E1083" i="5"/>
  <c r="F1082" i="5"/>
  <c r="E1082" i="5"/>
  <c r="F1081" i="5"/>
  <c r="E1081" i="5"/>
  <c r="F1080" i="5"/>
  <c r="E1080" i="5"/>
  <c r="F1079" i="5"/>
  <c r="E1079" i="5"/>
  <c r="F1078" i="5"/>
  <c r="E1078" i="5"/>
  <c r="F1077" i="5"/>
  <c r="E1077" i="5"/>
  <c r="F1076" i="5"/>
  <c r="E1076" i="5"/>
  <c r="F1075" i="5"/>
  <c r="E1075" i="5"/>
  <c r="F1074" i="5"/>
  <c r="E1074" i="5"/>
  <c r="F1073" i="5"/>
  <c r="E1073" i="5"/>
  <c r="F1072" i="5"/>
  <c r="E1072" i="5"/>
  <c r="F1071" i="5"/>
  <c r="E1071" i="5"/>
  <c r="F1070" i="5"/>
  <c r="E1070" i="5"/>
  <c r="F1069" i="5"/>
  <c r="E1069" i="5"/>
  <c r="F1068" i="5"/>
  <c r="E1068" i="5"/>
  <c r="F1067" i="5"/>
  <c r="E1067" i="5"/>
  <c r="F1066" i="5"/>
  <c r="E1066" i="5"/>
  <c r="F1065" i="5"/>
  <c r="E1065" i="5"/>
  <c r="F1064" i="5"/>
  <c r="E1064" i="5"/>
  <c r="F1063" i="5"/>
  <c r="E1063" i="5"/>
  <c r="F1062" i="5"/>
  <c r="E1062" i="5"/>
  <c r="F1061" i="5"/>
  <c r="E1061" i="5"/>
  <c r="F1060" i="5"/>
  <c r="E1060" i="5"/>
  <c r="F1059" i="5"/>
  <c r="E1059" i="5"/>
  <c r="F1058" i="5"/>
  <c r="E1058" i="5"/>
  <c r="F1057" i="5"/>
  <c r="E1057" i="5"/>
  <c r="F1056" i="5"/>
  <c r="E1056" i="5"/>
  <c r="F1055" i="5"/>
  <c r="E1055" i="5"/>
  <c r="F1054" i="5"/>
  <c r="E1054" i="5"/>
  <c r="F1053" i="5"/>
  <c r="E1053" i="5"/>
  <c r="F1052" i="5"/>
  <c r="E1052" i="5"/>
  <c r="F1051" i="5"/>
  <c r="E1051" i="5"/>
  <c r="F1050" i="5"/>
  <c r="E1050" i="5"/>
  <c r="F1049" i="5"/>
  <c r="E1049" i="5"/>
  <c r="F1048" i="5"/>
  <c r="E1048" i="5"/>
  <c r="F1047" i="5"/>
  <c r="E1047" i="5"/>
  <c r="F1046" i="5"/>
  <c r="E1046" i="5"/>
  <c r="F1045" i="5"/>
  <c r="E1045" i="5"/>
  <c r="F1044" i="5"/>
  <c r="E1044" i="5"/>
  <c r="F1043" i="5"/>
  <c r="E1043" i="5"/>
  <c r="F1042" i="5"/>
  <c r="E1042" i="5"/>
  <c r="F1041" i="5"/>
  <c r="E1041" i="5"/>
  <c r="F1040" i="5"/>
  <c r="E1040" i="5"/>
  <c r="F1039" i="5"/>
  <c r="E1039" i="5"/>
  <c r="F1038" i="5"/>
  <c r="E1038" i="5"/>
  <c r="F1037" i="5"/>
  <c r="E1037" i="5"/>
  <c r="F1036" i="5"/>
  <c r="E1036" i="5"/>
  <c r="F1035" i="5"/>
  <c r="E1035" i="5"/>
  <c r="F1034" i="5"/>
  <c r="E1034" i="5"/>
  <c r="F1033" i="5"/>
  <c r="E1033" i="5"/>
  <c r="F1032" i="5"/>
  <c r="E1032" i="5"/>
  <c r="F1031" i="5"/>
  <c r="E1031" i="5"/>
  <c r="F1030" i="5"/>
  <c r="E1030" i="5"/>
  <c r="F1029" i="5"/>
  <c r="E1029" i="5"/>
  <c r="F1028" i="5"/>
  <c r="E1028" i="5"/>
  <c r="F1027" i="5"/>
  <c r="E1027" i="5"/>
  <c r="F1026" i="5"/>
  <c r="E1026" i="5"/>
  <c r="F1025" i="5"/>
  <c r="E1025" i="5"/>
  <c r="F1024" i="5"/>
  <c r="E1024" i="5"/>
  <c r="F1023" i="5"/>
  <c r="E1023" i="5"/>
  <c r="F1022" i="5"/>
  <c r="E1022" i="5"/>
  <c r="F1021" i="5"/>
  <c r="E1021" i="5"/>
  <c r="F1020" i="5"/>
  <c r="E1020" i="5"/>
  <c r="F1019" i="5"/>
  <c r="E1019" i="5"/>
  <c r="F1018" i="5"/>
  <c r="E1018" i="5"/>
  <c r="F1017" i="5"/>
  <c r="E1017" i="5"/>
  <c r="F1016" i="5"/>
  <c r="E1016" i="5"/>
  <c r="F1015" i="5"/>
  <c r="E1015" i="5"/>
  <c r="F1014" i="5"/>
  <c r="E1014" i="5"/>
  <c r="F1013" i="5"/>
  <c r="E1013" i="5"/>
  <c r="F1012" i="5"/>
  <c r="E1012" i="5"/>
  <c r="F1011" i="5"/>
  <c r="E1011" i="5"/>
  <c r="F1010" i="5"/>
  <c r="E1010" i="5"/>
  <c r="F1009" i="5"/>
  <c r="E1009" i="5"/>
  <c r="F1008" i="5"/>
  <c r="E1008" i="5"/>
  <c r="F1007" i="5"/>
  <c r="E1007" i="5"/>
  <c r="F1006" i="5"/>
  <c r="E1006" i="5"/>
  <c r="F1005" i="5"/>
  <c r="E1005" i="5"/>
  <c r="F1004" i="5"/>
  <c r="E1004" i="5"/>
  <c r="F1003" i="5"/>
  <c r="E1003" i="5"/>
  <c r="F1002" i="5"/>
  <c r="E1002" i="5"/>
  <c r="F1001" i="5"/>
  <c r="E1001" i="5"/>
  <c r="F1000" i="5"/>
  <c r="E1000" i="5"/>
  <c r="F999" i="5"/>
  <c r="E999" i="5"/>
  <c r="F998" i="5"/>
  <c r="E998" i="5"/>
  <c r="F997" i="5"/>
  <c r="E997" i="5"/>
  <c r="F996" i="5"/>
  <c r="E996" i="5"/>
  <c r="F995" i="5"/>
  <c r="E995" i="5"/>
  <c r="F994" i="5"/>
  <c r="E994" i="5"/>
  <c r="F993" i="5"/>
  <c r="E993" i="5"/>
  <c r="F992" i="5"/>
  <c r="E992" i="5"/>
  <c r="F991" i="5"/>
  <c r="E991" i="5"/>
  <c r="F990" i="5"/>
  <c r="E990" i="5"/>
  <c r="F989" i="5"/>
  <c r="E989" i="5"/>
  <c r="F988" i="5"/>
  <c r="E988" i="5"/>
  <c r="F987" i="5"/>
  <c r="E987" i="5"/>
  <c r="F986" i="5"/>
  <c r="E986" i="5"/>
  <c r="F985" i="5"/>
  <c r="E985" i="5"/>
  <c r="F984" i="5"/>
  <c r="E984" i="5"/>
  <c r="F983" i="5"/>
  <c r="E983" i="5"/>
  <c r="F982" i="5"/>
  <c r="E982" i="5"/>
  <c r="F981" i="5"/>
  <c r="E981" i="5"/>
  <c r="F980" i="5"/>
  <c r="E980" i="5"/>
  <c r="F979" i="5"/>
  <c r="E979" i="5"/>
  <c r="F978" i="5"/>
  <c r="E978" i="5"/>
  <c r="F977" i="5"/>
  <c r="E977" i="5"/>
  <c r="F976" i="5"/>
  <c r="E976" i="5"/>
  <c r="F975" i="5"/>
  <c r="E975" i="5"/>
  <c r="F974" i="5"/>
  <c r="E974" i="5"/>
  <c r="F973" i="5"/>
  <c r="E973" i="5"/>
  <c r="F972" i="5"/>
  <c r="E972" i="5"/>
  <c r="F971" i="5"/>
  <c r="E971" i="5"/>
  <c r="F970" i="5"/>
  <c r="E970" i="5"/>
  <c r="F969" i="5"/>
  <c r="E969" i="5"/>
  <c r="F968" i="5"/>
  <c r="E968" i="5"/>
  <c r="F967" i="5"/>
  <c r="E967" i="5"/>
  <c r="F966" i="5"/>
  <c r="E966" i="5"/>
  <c r="F965" i="5"/>
  <c r="E965" i="5"/>
  <c r="F964" i="5"/>
  <c r="E964" i="5"/>
  <c r="F963" i="5"/>
  <c r="E963" i="5"/>
  <c r="F962" i="5"/>
  <c r="E962" i="5"/>
  <c r="F961" i="5"/>
  <c r="E961" i="5"/>
  <c r="F960" i="5"/>
  <c r="E960" i="5"/>
  <c r="F959" i="5"/>
  <c r="E959" i="5"/>
  <c r="F958" i="5"/>
  <c r="E958" i="5"/>
  <c r="F957" i="5"/>
  <c r="E957" i="5"/>
  <c r="F956" i="5"/>
  <c r="E956" i="5"/>
  <c r="F955" i="5"/>
  <c r="E955" i="5"/>
  <c r="F954" i="5"/>
  <c r="E954" i="5"/>
  <c r="F953" i="5"/>
  <c r="E953" i="5"/>
  <c r="F952" i="5"/>
  <c r="E952" i="5"/>
  <c r="F951" i="5"/>
  <c r="E951" i="5"/>
  <c r="F950" i="5"/>
  <c r="E950" i="5"/>
  <c r="F949" i="5"/>
  <c r="E949" i="5"/>
  <c r="F948" i="5"/>
  <c r="E948" i="5"/>
  <c r="F947" i="5"/>
  <c r="E947" i="5"/>
  <c r="F946" i="5"/>
  <c r="E946" i="5"/>
  <c r="F945" i="5"/>
  <c r="E945" i="5"/>
  <c r="F944" i="5"/>
  <c r="E944" i="5"/>
  <c r="F943" i="5"/>
  <c r="E943" i="5"/>
  <c r="F942" i="5"/>
  <c r="E942" i="5"/>
  <c r="F941" i="5"/>
  <c r="E941" i="5"/>
  <c r="F940" i="5"/>
  <c r="E940" i="5"/>
  <c r="F939" i="5"/>
  <c r="E939" i="5"/>
  <c r="F938" i="5"/>
  <c r="E938" i="5"/>
  <c r="F937" i="5"/>
  <c r="E937" i="5"/>
  <c r="F936" i="5"/>
  <c r="E936" i="5"/>
  <c r="F935" i="5"/>
  <c r="E935" i="5"/>
  <c r="F934" i="5"/>
  <c r="E934" i="5"/>
  <c r="F933" i="5"/>
  <c r="E933" i="5"/>
  <c r="F932" i="5"/>
  <c r="E932" i="5"/>
  <c r="F931" i="5"/>
  <c r="E931" i="5"/>
  <c r="F930" i="5"/>
  <c r="E930" i="5"/>
  <c r="F929" i="5"/>
  <c r="E929" i="5"/>
  <c r="F928" i="5"/>
  <c r="E928" i="5"/>
  <c r="F927" i="5"/>
  <c r="E927" i="5"/>
  <c r="F926" i="5"/>
  <c r="E926" i="5"/>
  <c r="F925" i="5"/>
  <c r="E92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847" i="5"/>
  <c r="E847" i="5"/>
  <c r="F846" i="5"/>
  <c r="E846" i="5"/>
  <c r="F845" i="5"/>
  <c r="E845" i="5"/>
  <c r="F844" i="5"/>
  <c r="E844" i="5"/>
  <c r="F843" i="5"/>
  <c r="E843" i="5"/>
  <c r="F842" i="5"/>
  <c r="E842" i="5"/>
  <c r="F841" i="5"/>
  <c r="E841" i="5"/>
  <c r="F840" i="5"/>
  <c r="E840" i="5"/>
  <c r="F839" i="5"/>
  <c r="E839" i="5"/>
  <c r="F838" i="5"/>
  <c r="E838" i="5"/>
  <c r="F837" i="5"/>
  <c r="E837" i="5"/>
  <c r="F836" i="5"/>
  <c r="E836" i="5"/>
  <c r="F835" i="5"/>
  <c r="E835" i="5"/>
  <c r="F834" i="5"/>
  <c r="E834" i="5"/>
  <c r="F833" i="5"/>
  <c r="E833" i="5"/>
  <c r="F832" i="5"/>
  <c r="E832" i="5"/>
  <c r="F831" i="5"/>
  <c r="E831" i="5"/>
  <c r="F830" i="5"/>
  <c r="E830" i="5"/>
  <c r="F829" i="5"/>
  <c r="E829" i="5"/>
  <c r="F828" i="5"/>
  <c r="E828" i="5"/>
  <c r="F827" i="5"/>
  <c r="E827" i="5"/>
  <c r="F826" i="5"/>
  <c r="E826" i="5"/>
  <c r="F825" i="5"/>
  <c r="E825" i="5"/>
  <c r="F824" i="5"/>
  <c r="E824" i="5"/>
  <c r="F823" i="5"/>
  <c r="E823" i="5"/>
  <c r="F822" i="5"/>
  <c r="E822" i="5"/>
  <c r="F821" i="5"/>
  <c r="E821" i="5"/>
  <c r="F820" i="5"/>
  <c r="E820" i="5"/>
  <c r="F819" i="5"/>
  <c r="E819" i="5"/>
  <c r="F818" i="5"/>
  <c r="E818" i="5"/>
  <c r="F817" i="5"/>
  <c r="E817" i="5"/>
  <c r="F816" i="5"/>
  <c r="E816" i="5"/>
  <c r="F815" i="5"/>
  <c r="E815" i="5"/>
  <c r="F814" i="5"/>
  <c r="E814" i="5"/>
  <c r="L813" i="5"/>
  <c r="K813" i="5"/>
  <c r="I813" i="5"/>
  <c r="F813" i="5"/>
  <c r="E813" i="5"/>
  <c r="F812" i="5"/>
  <c r="E812" i="5"/>
  <c r="F811" i="5"/>
  <c r="E811" i="5"/>
  <c r="F810" i="5"/>
  <c r="E810" i="5"/>
  <c r="F809" i="5"/>
  <c r="E809" i="5"/>
  <c r="F808" i="5"/>
  <c r="E808" i="5"/>
  <c r="F807" i="5"/>
  <c r="E807" i="5"/>
  <c r="F806" i="5"/>
  <c r="E806" i="5"/>
  <c r="F805" i="5"/>
  <c r="E805" i="5"/>
  <c r="F804" i="5"/>
  <c r="E804" i="5"/>
  <c r="F803" i="5"/>
  <c r="E803" i="5"/>
  <c r="F802" i="5"/>
  <c r="E802" i="5"/>
  <c r="F801" i="5"/>
  <c r="E801" i="5"/>
  <c r="F800" i="5"/>
  <c r="E800" i="5"/>
  <c r="F799" i="5"/>
  <c r="E799" i="5"/>
  <c r="F798" i="5"/>
  <c r="E798" i="5"/>
  <c r="F797" i="5"/>
  <c r="E797" i="5"/>
  <c r="F796" i="5"/>
  <c r="E796" i="5"/>
  <c r="F795" i="5"/>
  <c r="E795" i="5"/>
  <c r="F794" i="5"/>
  <c r="E794" i="5"/>
  <c r="F793" i="5"/>
  <c r="E793" i="5"/>
  <c r="F792" i="5"/>
  <c r="E792" i="5"/>
  <c r="F791" i="5"/>
  <c r="E791" i="5"/>
  <c r="F790" i="5"/>
  <c r="E790" i="5"/>
  <c r="F789" i="5"/>
  <c r="E789" i="5"/>
  <c r="F788" i="5"/>
  <c r="E788" i="5"/>
  <c r="F787" i="5"/>
  <c r="E787" i="5"/>
  <c r="F786" i="5"/>
  <c r="E786" i="5"/>
  <c r="F785" i="5"/>
  <c r="E785" i="5"/>
  <c r="F784" i="5"/>
  <c r="E784" i="5"/>
  <c r="F783" i="5"/>
  <c r="E783" i="5"/>
  <c r="F782" i="5"/>
  <c r="E782" i="5"/>
  <c r="F781" i="5"/>
  <c r="E781" i="5"/>
  <c r="F780" i="5"/>
  <c r="E780" i="5"/>
  <c r="F779" i="5"/>
  <c r="E779" i="5"/>
  <c r="F778" i="5"/>
  <c r="E778" i="5"/>
  <c r="F777" i="5"/>
  <c r="E777" i="5"/>
  <c r="F776" i="5"/>
  <c r="E776" i="5"/>
  <c r="F775" i="5"/>
  <c r="E775" i="5"/>
  <c r="F774" i="5"/>
  <c r="E774" i="5"/>
  <c r="F773" i="5"/>
  <c r="E773" i="5"/>
  <c r="F772" i="5"/>
  <c r="E772" i="5"/>
  <c r="F771" i="5"/>
  <c r="E771" i="5"/>
  <c r="F770" i="5"/>
  <c r="E770" i="5"/>
  <c r="F769" i="5"/>
  <c r="E769" i="5"/>
  <c r="F768" i="5"/>
  <c r="E768" i="5"/>
  <c r="F767" i="5"/>
  <c r="E767" i="5"/>
  <c r="F766" i="5"/>
  <c r="E766" i="5"/>
  <c r="F765" i="5"/>
  <c r="E765" i="5"/>
  <c r="F764" i="5"/>
  <c r="E764" i="5"/>
  <c r="F763" i="5"/>
  <c r="E763" i="5"/>
  <c r="F762" i="5"/>
  <c r="E762" i="5"/>
  <c r="F761" i="5"/>
  <c r="E761" i="5"/>
  <c r="F760" i="5"/>
  <c r="E760" i="5"/>
  <c r="F759" i="5"/>
  <c r="E759" i="5"/>
  <c r="F758" i="5"/>
  <c r="E758" i="5"/>
  <c r="F757" i="5"/>
  <c r="E757" i="5"/>
  <c r="F756" i="5"/>
  <c r="E756" i="5"/>
  <c r="F755" i="5"/>
  <c r="E755" i="5"/>
  <c r="F754" i="5"/>
  <c r="E754" i="5"/>
  <c r="F753" i="5"/>
  <c r="E753" i="5"/>
  <c r="F752" i="5"/>
  <c r="E752" i="5"/>
  <c r="F751" i="5"/>
  <c r="E751" i="5"/>
  <c r="F750" i="5"/>
  <c r="E750" i="5"/>
  <c r="F749" i="5"/>
  <c r="E749" i="5"/>
  <c r="F748" i="5"/>
  <c r="E748" i="5"/>
  <c r="F747" i="5"/>
  <c r="E747" i="5"/>
  <c r="F746" i="5"/>
  <c r="E746" i="5"/>
  <c r="F745" i="5"/>
  <c r="E745" i="5"/>
  <c r="F744" i="5"/>
  <c r="E744" i="5"/>
  <c r="F743" i="5"/>
  <c r="E743" i="5"/>
  <c r="F742" i="5"/>
  <c r="E742" i="5"/>
  <c r="F741" i="5"/>
  <c r="E741" i="5"/>
  <c r="F740" i="5"/>
  <c r="E740" i="5"/>
  <c r="F739" i="5"/>
  <c r="E739" i="5"/>
  <c r="F738" i="5"/>
  <c r="E738" i="5"/>
  <c r="F737" i="5"/>
  <c r="E737" i="5"/>
  <c r="F736" i="5"/>
  <c r="E736" i="5"/>
  <c r="F735" i="5"/>
  <c r="E735" i="5"/>
  <c r="F734" i="5"/>
  <c r="E734" i="5"/>
  <c r="F733" i="5"/>
  <c r="E733" i="5"/>
  <c r="F732" i="5"/>
  <c r="E732" i="5"/>
  <c r="F731" i="5"/>
  <c r="E731" i="5"/>
  <c r="F730" i="5"/>
  <c r="E730" i="5"/>
  <c r="F729" i="5"/>
  <c r="E729" i="5"/>
  <c r="F728" i="5"/>
  <c r="E728" i="5"/>
  <c r="F727" i="5"/>
  <c r="E727" i="5"/>
  <c r="F726" i="5"/>
  <c r="E726" i="5"/>
  <c r="F725" i="5"/>
  <c r="E725" i="5"/>
  <c r="F724" i="5"/>
  <c r="E724" i="5"/>
  <c r="F723" i="5"/>
  <c r="E723" i="5"/>
  <c r="F722" i="5"/>
  <c r="E722" i="5"/>
  <c r="F721" i="5"/>
  <c r="E721" i="5"/>
  <c r="F720" i="5"/>
  <c r="E720" i="5"/>
  <c r="F719" i="5"/>
  <c r="E719" i="5"/>
  <c r="F718" i="5"/>
  <c r="E718" i="5"/>
  <c r="F717" i="5"/>
  <c r="E717" i="5"/>
  <c r="F716" i="5"/>
  <c r="E716" i="5"/>
  <c r="F715" i="5"/>
  <c r="E715" i="5"/>
  <c r="F714" i="5"/>
  <c r="E714" i="5"/>
  <c r="F713" i="5"/>
  <c r="E713" i="5"/>
  <c r="F712" i="5"/>
  <c r="E712" i="5"/>
  <c r="F711" i="5"/>
  <c r="E711" i="5"/>
  <c r="F710" i="5"/>
  <c r="E710" i="5"/>
  <c r="F709" i="5"/>
  <c r="E709" i="5"/>
  <c r="F708" i="5"/>
  <c r="E708" i="5"/>
  <c r="F707" i="5"/>
  <c r="E707" i="5"/>
  <c r="F706" i="5"/>
  <c r="E706" i="5"/>
  <c r="F705" i="5"/>
  <c r="E705" i="5"/>
  <c r="F704" i="5"/>
  <c r="E704" i="5"/>
  <c r="F703" i="5"/>
  <c r="E703" i="5"/>
  <c r="F702" i="5"/>
  <c r="E702" i="5"/>
  <c r="F701" i="5"/>
  <c r="E701" i="5"/>
  <c r="F700" i="5"/>
  <c r="E700" i="5"/>
  <c r="F699" i="5"/>
  <c r="E699" i="5"/>
  <c r="F698" i="5"/>
  <c r="E698" i="5"/>
  <c r="F697" i="5"/>
  <c r="E697" i="5"/>
  <c r="F696" i="5"/>
  <c r="E696" i="5"/>
  <c r="F695" i="5"/>
  <c r="E695" i="5"/>
  <c r="F694" i="5"/>
  <c r="E694" i="5"/>
  <c r="F693" i="5"/>
  <c r="E693" i="5"/>
  <c r="F692" i="5"/>
  <c r="E692" i="5"/>
  <c r="F691" i="5"/>
  <c r="E691" i="5"/>
  <c r="F690" i="5"/>
  <c r="E690" i="5"/>
  <c r="F689" i="5"/>
  <c r="E689" i="5"/>
  <c r="F688" i="5"/>
  <c r="E688" i="5"/>
  <c r="F687" i="5"/>
  <c r="E687" i="5"/>
  <c r="F686" i="5"/>
  <c r="E686" i="5"/>
  <c r="F685" i="5"/>
  <c r="E685" i="5"/>
  <c r="F684" i="5"/>
  <c r="E684" i="5"/>
  <c r="F683" i="5"/>
  <c r="E683" i="5"/>
  <c r="F682" i="5"/>
  <c r="E682" i="5"/>
  <c r="F681" i="5"/>
  <c r="E681" i="5"/>
  <c r="F680" i="5"/>
  <c r="E680" i="5"/>
  <c r="F679" i="5"/>
  <c r="E679" i="5"/>
  <c r="F678" i="5"/>
  <c r="E678" i="5"/>
  <c r="F677" i="5"/>
  <c r="E677" i="5"/>
  <c r="F676" i="5"/>
  <c r="E676" i="5"/>
  <c r="F675" i="5"/>
  <c r="E675" i="5"/>
  <c r="F674" i="5"/>
  <c r="E674" i="5"/>
  <c r="F673" i="5"/>
  <c r="E673" i="5"/>
  <c r="F672" i="5"/>
  <c r="E672" i="5"/>
  <c r="F671" i="5"/>
  <c r="E671" i="5"/>
  <c r="F670" i="5"/>
  <c r="E670" i="5"/>
  <c r="F669" i="5"/>
  <c r="E669" i="5"/>
  <c r="F668" i="5"/>
  <c r="E668" i="5"/>
  <c r="F667" i="5"/>
  <c r="E667" i="5"/>
  <c r="F666" i="5"/>
  <c r="E666" i="5"/>
  <c r="F665" i="5"/>
  <c r="E665" i="5"/>
  <c r="F664" i="5"/>
  <c r="E664" i="5"/>
  <c r="F663" i="5"/>
  <c r="E663" i="5"/>
  <c r="F662" i="5"/>
  <c r="E662" i="5"/>
  <c r="F661" i="5"/>
  <c r="E661" i="5"/>
  <c r="F660" i="5"/>
  <c r="E660" i="5"/>
  <c r="F659" i="5"/>
  <c r="E659" i="5"/>
  <c r="F658" i="5"/>
  <c r="E658" i="5"/>
  <c r="F657" i="5"/>
  <c r="E657" i="5"/>
  <c r="F656" i="5"/>
  <c r="E656" i="5"/>
  <c r="F655" i="5"/>
  <c r="E655" i="5"/>
  <c r="F654" i="5"/>
  <c r="E654" i="5"/>
  <c r="F653" i="5"/>
  <c r="E653" i="5"/>
  <c r="F652" i="5"/>
  <c r="E652" i="5"/>
  <c r="F651" i="5"/>
  <c r="E651" i="5"/>
  <c r="F650" i="5"/>
  <c r="E650" i="5"/>
  <c r="F649" i="5"/>
  <c r="E649" i="5"/>
  <c r="F648" i="5"/>
  <c r="E648" i="5"/>
  <c r="F647" i="5"/>
  <c r="E647" i="5"/>
  <c r="F646" i="5"/>
  <c r="E646" i="5"/>
  <c r="F645" i="5"/>
  <c r="E645" i="5"/>
  <c r="F644" i="5"/>
  <c r="E644" i="5"/>
  <c r="F643" i="5"/>
  <c r="E643" i="5"/>
  <c r="F642" i="5"/>
  <c r="E642" i="5"/>
  <c r="F641" i="5"/>
  <c r="E641" i="5"/>
  <c r="F640" i="5"/>
  <c r="E640" i="5"/>
  <c r="F639" i="5"/>
  <c r="E639" i="5"/>
  <c r="F638" i="5"/>
  <c r="E638" i="5"/>
  <c r="F637" i="5"/>
  <c r="E637" i="5"/>
  <c r="F636" i="5"/>
  <c r="E636" i="5"/>
  <c r="F635" i="5"/>
  <c r="E635" i="5"/>
  <c r="F634" i="5"/>
  <c r="E634" i="5"/>
  <c r="F633" i="5"/>
  <c r="E633" i="5"/>
  <c r="F632" i="5"/>
  <c r="E632" i="5"/>
  <c r="F631" i="5"/>
  <c r="E631" i="5"/>
  <c r="F630" i="5"/>
  <c r="E630" i="5"/>
  <c r="F629" i="5"/>
  <c r="E629" i="5"/>
  <c r="F628" i="5"/>
  <c r="E628" i="5"/>
  <c r="F627" i="5"/>
  <c r="E627" i="5"/>
  <c r="F626" i="5"/>
  <c r="E626" i="5"/>
  <c r="F625" i="5"/>
  <c r="E625" i="5"/>
  <c r="F624" i="5"/>
  <c r="E624" i="5"/>
  <c r="F623" i="5"/>
  <c r="E623" i="5"/>
  <c r="F622" i="5"/>
  <c r="E622" i="5"/>
  <c r="F621" i="5"/>
  <c r="E621" i="5"/>
  <c r="F620" i="5"/>
  <c r="E620" i="5"/>
  <c r="F619" i="5"/>
  <c r="E619" i="5"/>
  <c r="F618" i="5"/>
  <c r="E618" i="5"/>
  <c r="F617" i="5"/>
  <c r="E617" i="5"/>
  <c r="F616" i="5"/>
  <c r="E616" i="5"/>
  <c r="F615" i="5"/>
  <c r="E615" i="5"/>
  <c r="F614" i="5"/>
  <c r="E614" i="5"/>
  <c r="F613" i="5"/>
  <c r="E613" i="5"/>
  <c r="F612" i="5"/>
  <c r="E612" i="5"/>
  <c r="F611" i="5"/>
  <c r="E611" i="5"/>
  <c r="F610" i="5"/>
  <c r="E610" i="5"/>
  <c r="F609" i="5"/>
  <c r="E609" i="5"/>
  <c r="F608" i="5"/>
  <c r="E608" i="5"/>
  <c r="F607" i="5"/>
  <c r="E607" i="5"/>
  <c r="F606" i="5"/>
  <c r="E606" i="5"/>
  <c r="F605" i="5"/>
  <c r="E605" i="5"/>
  <c r="F604" i="5"/>
  <c r="E604" i="5"/>
  <c r="F603" i="5"/>
  <c r="E603" i="5"/>
  <c r="F602" i="5"/>
  <c r="E602" i="5"/>
  <c r="F601" i="5"/>
  <c r="E601" i="5"/>
  <c r="F600" i="5"/>
  <c r="E600" i="5"/>
  <c r="F599" i="5"/>
  <c r="E599" i="5"/>
  <c r="F598" i="5"/>
  <c r="E598" i="5"/>
  <c r="F597" i="5"/>
  <c r="E597" i="5"/>
  <c r="F596" i="5"/>
  <c r="E596" i="5"/>
  <c r="F595" i="5"/>
  <c r="E595" i="5"/>
  <c r="F594" i="5"/>
  <c r="E594" i="5"/>
  <c r="F593" i="5"/>
  <c r="E593" i="5"/>
  <c r="F592" i="5"/>
  <c r="E592" i="5"/>
  <c r="F591" i="5"/>
  <c r="E591" i="5"/>
  <c r="F590" i="5"/>
  <c r="E590" i="5"/>
  <c r="F589" i="5"/>
  <c r="E589" i="5"/>
  <c r="F588" i="5"/>
  <c r="E588" i="5"/>
  <c r="F587" i="5"/>
  <c r="E587" i="5"/>
  <c r="F586" i="5"/>
  <c r="E586" i="5"/>
  <c r="F585" i="5"/>
  <c r="E585" i="5"/>
  <c r="F584" i="5"/>
  <c r="E584" i="5"/>
  <c r="F583" i="5"/>
  <c r="E583" i="5"/>
  <c r="F582" i="5"/>
  <c r="E582" i="5"/>
  <c r="F581" i="5"/>
  <c r="E581" i="5"/>
  <c r="F580" i="5"/>
  <c r="E580" i="5"/>
  <c r="F579" i="5"/>
  <c r="E579" i="5"/>
  <c r="F578" i="5"/>
  <c r="E578" i="5"/>
  <c r="F577" i="5"/>
  <c r="E577" i="5"/>
  <c r="F576" i="5"/>
  <c r="E576" i="5"/>
  <c r="F575" i="5"/>
  <c r="E575" i="5"/>
  <c r="F574" i="5"/>
  <c r="E574" i="5"/>
  <c r="F573" i="5"/>
  <c r="E573" i="5"/>
  <c r="F572" i="5"/>
  <c r="E572" i="5"/>
  <c r="F571" i="5"/>
  <c r="E571" i="5"/>
  <c r="F570" i="5"/>
  <c r="E570" i="5"/>
  <c r="F569" i="5"/>
  <c r="E569" i="5"/>
  <c r="F568" i="5"/>
  <c r="E568" i="5"/>
  <c r="F567" i="5"/>
  <c r="E567" i="5"/>
  <c r="F566" i="5"/>
  <c r="E566" i="5"/>
  <c r="F565" i="5"/>
  <c r="E565" i="5"/>
  <c r="F564" i="5"/>
  <c r="E564" i="5"/>
  <c r="F563" i="5"/>
  <c r="E563" i="5"/>
  <c r="F562" i="5"/>
  <c r="E562" i="5"/>
  <c r="F561" i="5"/>
  <c r="E561" i="5"/>
  <c r="F560" i="5"/>
  <c r="E560" i="5"/>
  <c r="F559" i="5"/>
  <c r="E559" i="5"/>
  <c r="F558" i="5"/>
  <c r="E558" i="5"/>
  <c r="F557" i="5"/>
  <c r="E557" i="5"/>
  <c r="F556" i="5"/>
  <c r="E556" i="5"/>
  <c r="F555" i="5"/>
  <c r="E555" i="5"/>
  <c r="F554" i="5"/>
  <c r="E554" i="5"/>
  <c r="F553" i="5"/>
  <c r="E553" i="5"/>
  <c r="F552" i="5"/>
  <c r="E552" i="5"/>
  <c r="F551" i="5"/>
  <c r="E551" i="5"/>
  <c r="F550" i="5"/>
  <c r="E550" i="5"/>
  <c r="F549" i="5"/>
  <c r="E549" i="5"/>
  <c r="F548" i="5"/>
  <c r="E548" i="5"/>
  <c r="F547" i="5"/>
  <c r="E547" i="5"/>
  <c r="F546" i="5"/>
  <c r="E546" i="5"/>
  <c r="F545" i="5"/>
  <c r="E545" i="5"/>
  <c r="F544" i="5"/>
  <c r="E544" i="5"/>
  <c r="F543" i="5"/>
  <c r="E543" i="5"/>
  <c r="F542" i="5"/>
  <c r="E542" i="5"/>
  <c r="F541" i="5"/>
  <c r="E541" i="5"/>
  <c r="F540" i="5"/>
  <c r="E540" i="5"/>
  <c r="F539" i="5"/>
  <c r="E539" i="5"/>
  <c r="F538" i="5"/>
  <c r="E538" i="5"/>
  <c r="F537" i="5"/>
  <c r="E537" i="5"/>
  <c r="F536" i="5"/>
  <c r="E536" i="5"/>
  <c r="F535" i="5"/>
  <c r="E535" i="5"/>
  <c r="F534" i="5"/>
  <c r="E534" i="5"/>
  <c r="F533" i="5"/>
  <c r="E533" i="5"/>
  <c r="F532" i="5"/>
  <c r="E532" i="5"/>
  <c r="F531" i="5"/>
  <c r="E531" i="5"/>
  <c r="F530" i="5"/>
  <c r="E530" i="5"/>
  <c r="F529" i="5"/>
  <c r="E529" i="5"/>
  <c r="F528" i="5"/>
  <c r="E528" i="5"/>
  <c r="F527" i="5"/>
  <c r="E527" i="5"/>
  <c r="F526" i="5"/>
  <c r="E526" i="5"/>
  <c r="F525" i="5"/>
  <c r="E525" i="5"/>
  <c r="F524" i="5"/>
  <c r="E524" i="5"/>
  <c r="F523" i="5"/>
  <c r="E523" i="5"/>
  <c r="F522" i="5"/>
  <c r="E522" i="5"/>
  <c r="F521" i="5"/>
  <c r="E521" i="5"/>
  <c r="F520" i="5"/>
  <c r="E520" i="5"/>
  <c r="F519" i="5"/>
  <c r="E519" i="5"/>
  <c r="F518" i="5"/>
  <c r="E518" i="5"/>
  <c r="F517" i="5"/>
  <c r="E517" i="5"/>
  <c r="F516" i="5"/>
  <c r="E516" i="5"/>
  <c r="F515" i="5"/>
  <c r="E515" i="5"/>
  <c r="F514" i="5"/>
  <c r="E514" i="5"/>
  <c r="F513" i="5"/>
  <c r="E513" i="5"/>
  <c r="F512" i="5"/>
  <c r="E512" i="5"/>
  <c r="F511" i="5"/>
  <c r="E511" i="5"/>
  <c r="F510" i="5"/>
  <c r="E510" i="5"/>
  <c r="F509" i="5"/>
  <c r="E509" i="5"/>
  <c r="F508" i="5"/>
  <c r="E508" i="5"/>
  <c r="F507" i="5"/>
  <c r="E507" i="5"/>
  <c r="F506" i="5"/>
  <c r="E506" i="5"/>
  <c r="F505" i="5"/>
  <c r="E505" i="5"/>
  <c r="F504" i="5"/>
  <c r="E504" i="5"/>
  <c r="F503" i="5"/>
  <c r="E503" i="5"/>
  <c r="F502" i="5"/>
  <c r="E502" i="5"/>
  <c r="F501" i="5"/>
  <c r="E501" i="5"/>
  <c r="F500" i="5"/>
  <c r="E500" i="5"/>
  <c r="F499" i="5"/>
  <c r="E499" i="5"/>
  <c r="F498" i="5"/>
  <c r="E498" i="5"/>
  <c r="F497" i="5"/>
  <c r="E497" i="5"/>
  <c r="F496" i="5"/>
  <c r="E496" i="5"/>
  <c r="F495" i="5"/>
  <c r="E495" i="5"/>
  <c r="F494" i="5"/>
  <c r="E494" i="5"/>
  <c r="F493" i="5"/>
  <c r="E493" i="5"/>
  <c r="F492" i="5"/>
  <c r="E492" i="5"/>
  <c r="F491" i="5"/>
  <c r="E491" i="5"/>
  <c r="F490" i="5"/>
  <c r="E490" i="5"/>
  <c r="F489" i="5"/>
  <c r="E489" i="5"/>
  <c r="F488" i="5"/>
  <c r="E488" i="5"/>
  <c r="F487" i="5"/>
  <c r="E487" i="5"/>
  <c r="F486" i="5"/>
  <c r="E486" i="5"/>
  <c r="F485" i="5"/>
  <c r="E485" i="5"/>
  <c r="F484" i="5"/>
  <c r="E484" i="5"/>
  <c r="F483" i="5"/>
  <c r="E483" i="5"/>
  <c r="F482" i="5"/>
  <c r="E482" i="5"/>
  <c r="F481" i="5"/>
  <c r="E481" i="5"/>
  <c r="F480" i="5"/>
  <c r="E480" i="5"/>
  <c r="F479" i="5"/>
  <c r="E479" i="5"/>
  <c r="F478" i="5"/>
  <c r="E478" i="5"/>
  <c r="F477" i="5"/>
  <c r="E477" i="5"/>
  <c r="F476" i="5"/>
  <c r="E476" i="5"/>
  <c r="F475" i="5"/>
  <c r="E475" i="5"/>
  <c r="F474" i="5"/>
  <c r="E474" i="5"/>
  <c r="F473" i="5"/>
  <c r="E473" i="5"/>
  <c r="F472" i="5"/>
  <c r="E472" i="5"/>
  <c r="F471" i="5"/>
  <c r="E471" i="5"/>
  <c r="F470" i="5"/>
  <c r="E470" i="5"/>
  <c r="F469" i="5"/>
  <c r="E469" i="5"/>
  <c r="F468" i="5"/>
  <c r="E468" i="5"/>
  <c r="F467" i="5"/>
  <c r="E467" i="5"/>
  <c r="F466" i="5"/>
  <c r="E466" i="5"/>
  <c r="F465" i="5"/>
  <c r="E465" i="5"/>
  <c r="F464" i="5"/>
  <c r="E464" i="5"/>
  <c r="F463" i="5"/>
  <c r="E463" i="5"/>
  <c r="F462" i="5"/>
  <c r="E462" i="5"/>
  <c r="F461" i="5"/>
  <c r="E461" i="5"/>
  <c r="F460" i="5"/>
  <c r="E460" i="5"/>
  <c r="F459" i="5"/>
  <c r="E459" i="5"/>
  <c r="F458" i="5"/>
  <c r="E458" i="5"/>
  <c r="F457" i="5"/>
  <c r="E457" i="5"/>
  <c r="F456" i="5"/>
  <c r="E456" i="5"/>
  <c r="F455" i="5"/>
  <c r="E455" i="5"/>
  <c r="F454" i="5"/>
  <c r="E454" i="5"/>
  <c r="F453" i="5"/>
  <c r="E453" i="5"/>
  <c r="F452" i="5"/>
  <c r="E452" i="5"/>
  <c r="F451" i="5"/>
  <c r="E451" i="5"/>
  <c r="F450" i="5"/>
  <c r="E450" i="5"/>
  <c r="F449" i="5"/>
  <c r="E449" i="5"/>
  <c r="F448" i="5"/>
  <c r="E448" i="5"/>
  <c r="F447" i="5"/>
  <c r="E447" i="5"/>
  <c r="F446" i="5"/>
  <c r="E446" i="5"/>
  <c r="F445" i="5"/>
  <c r="E445" i="5"/>
  <c r="F444" i="5"/>
  <c r="E444" i="5"/>
  <c r="F443" i="5"/>
  <c r="E443" i="5"/>
  <c r="F442" i="5"/>
  <c r="E442" i="5"/>
  <c r="F441" i="5"/>
  <c r="E441" i="5"/>
  <c r="F440" i="5"/>
  <c r="E440" i="5"/>
  <c r="F439" i="5"/>
  <c r="E439" i="5"/>
  <c r="F438" i="5"/>
  <c r="E438" i="5"/>
  <c r="F437" i="5"/>
  <c r="E437" i="5"/>
  <c r="F436" i="5"/>
  <c r="E436" i="5"/>
  <c r="F435" i="5"/>
  <c r="E435" i="5"/>
  <c r="F434" i="5"/>
  <c r="E434" i="5"/>
  <c r="F433" i="5"/>
  <c r="E433" i="5"/>
  <c r="F432" i="5"/>
  <c r="E432" i="5"/>
  <c r="F431" i="5"/>
  <c r="E431" i="5"/>
  <c r="F430" i="5"/>
  <c r="E430" i="5"/>
  <c r="F429" i="5"/>
  <c r="E429" i="5"/>
  <c r="F428" i="5"/>
  <c r="E428" i="5"/>
  <c r="F427" i="5"/>
  <c r="E427" i="5"/>
  <c r="F426" i="5"/>
  <c r="E426" i="5"/>
  <c r="F425" i="5"/>
  <c r="E425" i="5"/>
  <c r="F424" i="5"/>
  <c r="E424" i="5"/>
  <c r="F423" i="5"/>
  <c r="E423" i="5"/>
  <c r="F422" i="5"/>
  <c r="E422" i="5"/>
  <c r="F421" i="5"/>
  <c r="E421" i="5"/>
  <c r="F420" i="5"/>
  <c r="E420" i="5"/>
  <c r="F419" i="5"/>
  <c r="E419" i="5"/>
  <c r="F418" i="5"/>
  <c r="E418" i="5"/>
  <c r="F417" i="5"/>
  <c r="E417" i="5"/>
  <c r="F416" i="5"/>
  <c r="E416" i="5"/>
  <c r="F415" i="5"/>
  <c r="E415" i="5"/>
  <c r="F414" i="5"/>
  <c r="E414" i="5"/>
  <c r="F413" i="5"/>
  <c r="E413" i="5"/>
  <c r="F412" i="5"/>
  <c r="E412" i="5"/>
  <c r="F411" i="5"/>
  <c r="E411" i="5"/>
  <c r="F410" i="5"/>
  <c r="E410" i="5"/>
  <c r="F409" i="5"/>
  <c r="E409" i="5"/>
  <c r="F408" i="5"/>
  <c r="E408" i="5"/>
  <c r="F407" i="5"/>
  <c r="E407" i="5"/>
  <c r="F406" i="5"/>
  <c r="E406" i="5"/>
  <c r="F405" i="5"/>
  <c r="E405" i="5"/>
  <c r="F404" i="5"/>
  <c r="E404" i="5"/>
  <c r="F403" i="5"/>
  <c r="E403" i="5"/>
  <c r="F402" i="5"/>
  <c r="E402" i="5"/>
  <c r="F401" i="5"/>
  <c r="E401" i="5"/>
  <c r="F400" i="5"/>
  <c r="E400" i="5"/>
  <c r="F399" i="5"/>
  <c r="E399" i="5"/>
  <c r="F398" i="5"/>
  <c r="E398" i="5"/>
  <c r="F397" i="5"/>
  <c r="E397" i="5"/>
  <c r="F396" i="5"/>
  <c r="E396" i="5"/>
  <c r="F395" i="5"/>
  <c r="E395" i="5"/>
  <c r="F394" i="5"/>
  <c r="E394" i="5"/>
  <c r="F393" i="5"/>
  <c r="E393" i="5"/>
  <c r="F392" i="5"/>
  <c r="E392" i="5"/>
  <c r="F391" i="5"/>
  <c r="E391" i="5"/>
  <c r="F390" i="5"/>
  <c r="E390" i="5"/>
  <c r="F389" i="5"/>
  <c r="E389" i="5"/>
  <c r="F388" i="5"/>
  <c r="E388" i="5"/>
  <c r="F387" i="5"/>
  <c r="E387" i="5"/>
  <c r="F386" i="5"/>
  <c r="E386" i="5"/>
  <c r="F385" i="5"/>
  <c r="E385" i="5"/>
  <c r="F384" i="5"/>
  <c r="E384" i="5"/>
  <c r="F383" i="5"/>
  <c r="E383" i="5"/>
  <c r="F382" i="5"/>
  <c r="E382" i="5"/>
  <c r="F381" i="5"/>
  <c r="E381" i="5"/>
  <c r="F380" i="5"/>
  <c r="E380" i="5"/>
  <c r="F379" i="5"/>
  <c r="E379" i="5"/>
  <c r="F378" i="5"/>
  <c r="E378" i="5"/>
  <c r="F377" i="5"/>
  <c r="E377" i="5"/>
  <c r="F376" i="5"/>
  <c r="E376" i="5"/>
  <c r="F375" i="5"/>
  <c r="E375" i="5"/>
  <c r="F374" i="5"/>
  <c r="E374" i="5"/>
  <c r="F373" i="5"/>
  <c r="E373" i="5"/>
  <c r="F372" i="5"/>
  <c r="E372" i="5"/>
  <c r="F371" i="5"/>
  <c r="E371" i="5"/>
  <c r="F370" i="5"/>
  <c r="E370" i="5"/>
  <c r="F369" i="5"/>
  <c r="E369" i="5"/>
  <c r="F368" i="5"/>
  <c r="E368" i="5"/>
  <c r="F367" i="5"/>
  <c r="E367" i="5"/>
  <c r="F366" i="5"/>
  <c r="E366" i="5"/>
  <c r="F365" i="5"/>
  <c r="E365" i="5"/>
  <c r="F364" i="5"/>
  <c r="E364" i="5"/>
  <c r="F363" i="5"/>
  <c r="E363" i="5"/>
  <c r="F362" i="5"/>
  <c r="E362" i="5"/>
  <c r="F361" i="5"/>
  <c r="E361" i="5"/>
  <c r="F360" i="5"/>
  <c r="E360" i="5"/>
  <c r="F359" i="5"/>
  <c r="E359" i="5"/>
  <c r="F358" i="5"/>
  <c r="E358" i="5"/>
  <c r="F357" i="5"/>
  <c r="E357" i="5"/>
  <c r="F356" i="5"/>
  <c r="E356" i="5"/>
  <c r="F355" i="5"/>
  <c r="E355" i="5"/>
  <c r="F354" i="5"/>
  <c r="E354" i="5"/>
  <c r="F353" i="5"/>
  <c r="E353" i="5"/>
  <c r="F352" i="5"/>
  <c r="E352" i="5"/>
  <c r="F351" i="5"/>
  <c r="E351" i="5"/>
  <c r="F350" i="5"/>
  <c r="E350" i="5"/>
  <c r="F349" i="5"/>
  <c r="E349" i="5"/>
  <c r="F348" i="5"/>
  <c r="E348" i="5"/>
  <c r="F347" i="5"/>
  <c r="E347" i="5"/>
  <c r="F346" i="5"/>
  <c r="E346" i="5"/>
  <c r="F345" i="5"/>
  <c r="E345" i="5"/>
  <c r="F344" i="5"/>
  <c r="E344" i="5"/>
  <c r="F343" i="5"/>
  <c r="E343" i="5"/>
  <c r="F342" i="5"/>
  <c r="E342" i="5"/>
  <c r="F341" i="5"/>
  <c r="E341" i="5"/>
  <c r="F340" i="5"/>
  <c r="E340" i="5"/>
  <c r="F339" i="5"/>
  <c r="E339" i="5"/>
  <c r="F338" i="5"/>
  <c r="E338" i="5"/>
  <c r="F337" i="5"/>
  <c r="E337" i="5"/>
  <c r="F336" i="5"/>
  <c r="E336" i="5"/>
  <c r="F335" i="5"/>
  <c r="E335" i="5"/>
  <c r="F334" i="5"/>
  <c r="E334" i="5"/>
  <c r="F333" i="5"/>
  <c r="E333" i="5"/>
  <c r="F332" i="5"/>
  <c r="E332" i="5"/>
  <c r="F331" i="5"/>
  <c r="E331" i="5"/>
  <c r="F330" i="5"/>
  <c r="E330" i="5"/>
  <c r="F329" i="5"/>
  <c r="E329" i="5"/>
  <c r="F328" i="5"/>
  <c r="E328" i="5"/>
  <c r="F327" i="5"/>
  <c r="E327" i="5"/>
  <c r="F326" i="5"/>
  <c r="E326" i="5"/>
  <c r="F325" i="5"/>
  <c r="E325" i="5"/>
  <c r="F324" i="5"/>
  <c r="E324" i="5"/>
  <c r="F323" i="5"/>
  <c r="E323" i="5"/>
  <c r="F322" i="5"/>
  <c r="E322" i="5"/>
  <c r="F321" i="5"/>
  <c r="E321" i="5"/>
  <c r="F320" i="5"/>
  <c r="E320" i="5"/>
  <c r="F319" i="5"/>
  <c r="E319" i="5"/>
  <c r="F318" i="5"/>
  <c r="E318" i="5"/>
  <c r="F317" i="5"/>
  <c r="E317" i="5"/>
  <c r="F316" i="5"/>
  <c r="E316" i="5"/>
  <c r="F315" i="5"/>
  <c r="E315" i="5"/>
  <c r="F314" i="5"/>
  <c r="E314" i="5"/>
  <c r="F313" i="5"/>
  <c r="E313" i="5"/>
  <c r="F312" i="5"/>
  <c r="E312" i="5"/>
  <c r="F311" i="5"/>
  <c r="E311" i="5"/>
  <c r="F310" i="5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L288" i="5"/>
  <c r="F288" i="5"/>
  <c r="I288" i="5" s="1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L26" i="5"/>
  <c r="K26" i="5"/>
  <c r="I26" i="5"/>
  <c r="H26" i="5"/>
  <c r="F26" i="5"/>
  <c r="E26" i="5"/>
  <c r="G26" i="5" s="1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I2" i="5" s="1"/>
  <c r="E2" i="5"/>
  <c r="E355" i="4"/>
  <c r="D355" i="4"/>
  <c r="F355" i="4" s="1"/>
  <c r="B352" i="4"/>
  <c r="B351" i="4"/>
  <c r="C352" i="4" s="1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J112" i="4"/>
  <c r="G112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K13" i="4" s="1"/>
  <c r="D13" i="4"/>
  <c r="E12" i="4"/>
  <c r="K12" i="4" s="1"/>
  <c r="D12" i="4"/>
  <c r="E11" i="4"/>
  <c r="K11" i="4" s="1"/>
  <c r="D11" i="4"/>
  <c r="E10" i="4"/>
  <c r="K10" i="4" s="1"/>
  <c r="D10" i="4"/>
  <c r="E9" i="4"/>
  <c r="K9" i="4" s="1"/>
  <c r="D9" i="4"/>
  <c r="E8" i="4"/>
  <c r="K8" i="4" s="1"/>
  <c r="D8" i="4"/>
  <c r="E7" i="4"/>
  <c r="K7" i="4" s="1"/>
  <c r="D7" i="4"/>
  <c r="E6" i="4"/>
  <c r="K6" i="4" s="1"/>
  <c r="D6" i="4"/>
  <c r="E5" i="4"/>
  <c r="K5" i="4" s="1"/>
  <c r="D5" i="4"/>
  <c r="E4" i="4"/>
  <c r="K4" i="4" s="1"/>
  <c r="D4" i="4"/>
  <c r="E3" i="4"/>
  <c r="K3" i="4" s="1"/>
  <c r="D3" i="4"/>
  <c r="E2" i="4"/>
  <c r="D2" i="4"/>
  <c r="F2" i="4" s="1"/>
  <c r="C124" i="3"/>
  <c r="B124" i="3"/>
  <c r="D124" i="3" s="1"/>
  <c r="B121" i="3"/>
  <c r="B120" i="3"/>
  <c r="C121" i="3" s="1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I5" i="3" s="1"/>
  <c r="B5" i="3"/>
  <c r="C4" i="3"/>
  <c r="I4" i="3" s="1"/>
  <c r="B4" i="3"/>
  <c r="C3" i="3"/>
  <c r="I3" i="3" s="1"/>
  <c r="B3" i="3"/>
  <c r="C2" i="3"/>
  <c r="B2" i="3"/>
  <c r="D2" i="3" s="1"/>
  <c r="C41" i="2"/>
  <c r="B41" i="2"/>
  <c r="D41" i="2" s="1"/>
  <c r="B38" i="2"/>
  <c r="B37" i="2"/>
  <c r="C38" i="2" s="1"/>
  <c r="C34" i="2"/>
  <c r="F34" i="2" s="1"/>
  <c r="B34" i="2"/>
  <c r="C33" i="2"/>
  <c r="F33" i="2" s="1"/>
  <c r="B33" i="2"/>
  <c r="C32" i="2"/>
  <c r="F32" i="2" s="1"/>
  <c r="B32" i="2"/>
  <c r="C31" i="2"/>
  <c r="F31" i="2" s="1"/>
  <c r="B31" i="2"/>
  <c r="C30" i="2"/>
  <c r="F30" i="2" s="1"/>
  <c r="B30" i="2"/>
  <c r="C29" i="2"/>
  <c r="F29" i="2" s="1"/>
  <c r="B29" i="2"/>
  <c r="C28" i="2"/>
  <c r="F28" i="2" s="1"/>
  <c r="B28" i="2"/>
  <c r="C27" i="2"/>
  <c r="F27" i="2" s="1"/>
  <c r="B27" i="2"/>
  <c r="C26" i="2"/>
  <c r="F26" i="2" s="1"/>
  <c r="B26" i="2"/>
  <c r="C25" i="2"/>
  <c r="F25" i="2" s="1"/>
  <c r="B25" i="2"/>
  <c r="C24" i="2"/>
  <c r="F24" i="2" s="1"/>
  <c r="B24" i="2"/>
  <c r="C23" i="2"/>
  <c r="F23" i="2" s="1"/>
  <c r="B23" i="2"/>
  <c r="C22" i="2"/>
  <c r="F22" i="2" s="1"/>
  <c r="B22" i="2"/>
  <c r="C21" i="2"/>
  <c r="F21" i="2" s="1"/>
  <c r="B21" i="2"/>
  <c r="C20" i="2"/>
  <c r="F20" i="2" s="1"/>
  <c r="B20" i="2"/>
  <c r="C19" i="2"/>
  <c r="F19" i="2" s="1"/>
  <c r="B19" i="2"/>
  <c r="C18" i="2"/>
  <c r="F18" i="2" s="1"/>
  <c r="B18" i="2"/>
  <c r="C17" i="2"/>
  <c r="F17" i="2" s="1"/>
  <c r="B17" i="2"/>
  <c r="C16" i="2"/>
  <c r="F16" i="2" s="1"/>
  <c r="B16" i="2"/>
  <c r="C15" i="2"/>
  <c r="F15" i="2" s="1"/>
  <c r="B15" i="2"/>
  <c r="C14" i="2"/>
  <c r="F14" i="2" s="1"/>
  <c r="B14" i="2"/>
  <c r="C13" i="2"/>
  <c r="F13" i="2" s="1"/>
  <c r="B13" i="2"/>
  <c r="C12" i="2"/>
  <c r="F12" i="2" s="1"/>
  <c r="B12" i="2"/>
  <c r="C11" i="2"/>
  <c r="F11" i="2" s="1"/>
  <c r="B11" i="2"/>
  <c r="C10" i="2"/>
  <c r="F10" i="2" s="1"/>
  <c r="B10" i="2"/>
  <c r="C9" i="2"/>
  <c r="F9" i="2" s="1"/>
  <c r="B9" i="2"/>
  <c r="C8" i="2"/>
  <c r="F8" i="2" s="1"/>
  <c r="B8" i="2"/>
  <c r="C7" i="2"/>
  <c r="F7" i="2" s="1"/>
  <c r="B7" i="2"/>
  <c r="C6" i="2"/>
  <c r="F6" i="2" s="1"/>
  <c r="B6" i="2"/>
  <c r="C5" i="2"/>
  <c r="F5" i="2" s="1"/>
  <c r="B5" i="2"/>
  <c r="C4" i="2"/>
  <c r="F4" i="2" s="1"/>
  <c r="B4" i="2"/>
  <c r="C3" i="2"/>
  <c r="F3" i="2" s="1"/>
  <c r="B3" i="2"/>
  <c r="C2" i="2"/>
  <c r="B2" i="2"/>
  <c r="D2" i="2" s="1"/>
  <c r="C15" i="1"/>
  <c r="B15" i="1"/>
  <c r="D15" i="1" s="1"/>
  <c r="E15" i="1" s="1"/>
  <c r="B13" i="1"/>
  <c r="B12" i="1"/>
  <c r="F7" i="1"/>
  <c r="E7" i="1"/>
  <c r="D7" i="1"/>
  <c r="B14" i="1" s="1"/>
  <c r="D14" i="1" s="1"/>
  <c r="E14" i="1" s="1"/>
  <c r="C7" i="1"/>
  <c r="F6" i="1"/>
  <c r="E6" i="1"/>
  <c r="D6" i="1"/>
  <c r="C14" i="1" s="1"/>
  <c r="C6" i="1"/>
  <c r="F5" i="1"/>
  <c r="E5" i="1"/>
  <c r="D5" i="1"/>
  <c r="C5" i="1"/>
  <c r="F4" i="1"/>
  <c r="E4" i="1"/>
  <c r="D4" i="1"/>
  <c r="C9" i="1" s="1"/>
  <c r="C4" i="1"/>
  <c r="F3" i="1"/>
  <c r="E3" i="1"/>
  <c r="D3" i="1"/>
  <c r="C12" i="1" s="1"/>
  <c r="C3" i="1"/>
  <c r="F2" i="1"/>
  <c r="E2" i="1"/>
  <c r="D2" i="1"/>
  <c r="C13" i="1" s="1"/>
  <c r="C2" i="1"/>
  <c r="N1605" i="5" l="1"/>
  <c r="O1605" i="5"/>
  <c r="F1604" i="5"/>
  <c r="F1606" i="5" s="1"/>
  <c r="E1604" i="5"/>
  <c r="L1598" i="5"/>
  <c r="I1598" i="5"/>
  <c r="K1598" i="5"/>
  <c r="H1598" i="5"/>
  <c r="G1598" i="5"/>
  <c r="I1597" i="5"/>
  <c r="L1597" i="5"/>
  <c r="G1597" i="5"/>
  <c r="H1597" i="5"/>
  <c r="K1597" i="5"/>
  <c r="I1596" i="5"/>
  <c r="L1596" i="5"/>
  <c r="K1596" i="5"/>
  <c r="H1596" i="5"/>
  <c r="G1596" i="5"/>
  <c r="L1595" i="5"/>
  <c r="I1595" i="5"/>
  <c r="K1595" i="5"/>
  <c r="H1595" i="5"/>
  <c r="G1595" i="5"/>
  <c r="I1594" i="5"/>
  <c r="L1594" i="5"/>
  <c r="K1594" i="5"/>
  <c r="H1594" i="5"/>
  <c r="G1594" i="5"/>
  <c r="L1593" i="5"/>
  <c r="I1593" i="5"/>
  <c r="K1593" i="5"/>
  <c r="H1593" i="5"/>
  <c r="G1593" i="5"/>
  <c r="L1592" i="5"/>
  <c r="I1592" i="5"/>
  <c r="K1592" i="5"/>
  <c r="H1592" i="5"/>
  <c r="G1592" i="5"/>
  <c r="L1591" i="5"/>
  <c r="I1591" i="5"/>
  <c r="K1591" i="5"/>
  <c r="H1591" i="5"/>
  <c r="G1591" i="5"/>
  <c r="L1590" i="5"/>
  <c r="I1590" i="5"/>
  <c r="K1590" i="5"/>
  <c r="H1590" i="5"/>
  <c r="G1590" i="5"/>
  <c r="L1589" i="5"/>
  <c r="I1589" i="5"/>
  <c r="G1589" i="5"/>
  <c r="H1589" i="5"/>
  <c r="K1589" i="5"/>
  <c r="L1588" i="5"/>
  <c r="I1588" i="5"/>
  <c r="K1588" i="5"/>
  <c r="H1588" i="5"/>
  <c r="G1588" i="5"/>
  <c r="L1587" i="5"/>
  <c r="I1587" i="5"/>
  <c r="K1587" i="5"/>
  <c r="H1587" i="5"/>
  <c r="G1587" i="5"/>
  <c r="L1586" i="5"/>
  <c r="I1586" i="5"/>
  <c r="K1586" i="5"/>
  <c r="H1586" i="5"/>
  <c r="G1586" i="5"/>
  <c r="L1585" i="5"/>
  <c r="I1585" i="5"/>
  <c r="K1585" i="5"/>
  <c r="H1585" i="5"/>
  <c r="G1585" i="5"/>
  <c r="L1584" i="5"/>
  <c r="I1584" i="5"/>
  <c r="K1584" i="5"/>
  <c r="H1584" i="5"/>
  <c r="G1584" i="5"/>
  <c r="L1583" i="5"/>
  <c r="I1583" i="5"/>
  <c r="K1583" i="5"/>
  <c r="H1583" i="5"/>
  <c r="G1583" i="5"/>
  <c r="L1582" i="5"/>
  <c r="I1582" i="5"/>
  <c r="K1582" i="5"/>
  <c r="H1582" i="5"/>
  <c r="G1582" i="5"/>
  <c r="L1581" i="5"/>
  <c r="I1581" i="5"/>
  <c r="K1581" i="5"/>
  <c r="H1581" i="5"/>
  <c r="G1581" i="5"/>
  <c r="L1580" i="5"/>
  <c r="I1580" i="5"/>
  <c r="K1580" i="5"/>
  <c r="H1580" i="5"/>
  <c r="G1580" i="5"/>
  <c r="L1579" i="5"/>
  <c r="I1579" i="5"/>
  <c r="K1579" i="5"/>
  <c r="H1579" i="5"/>
  <c r="G1579" i="5"/>
  <c r="L1578" i="5"/>
  <c r="I1578" i="5"/>
  <c r="G1578" i="5"/>
  <c r="H1578" i="5"/>
  <c r="K1578" i="5"/>
  <c r="L1577" i="5"/>
  <c r="I1577" i="5"/>
  <c r="K1577" i="5"/>
  <c r="H1577" i="5"/>
  <c r="G1577" i="5"/>
  <c r="L1576" i="5"/>
  <c r="I1576" i="5"/>
  <c r="K1576" i="5"/>
  <c r="H1576" i="5"/>
  <c r="G1576" i="5"/>
  <c r="L1575" i="5"/>
  <c r="I1575" i="5"/>
  <c r="K1575" i="5"/>
  <c r="H1575" i="5"/>
  <c r="G1575" i="5"/>
  <c r="L1574" i="5"/>
  <c r="I1574" i="5"/>
  <c r="K1574" i="5"/>
  <c r="H1574" i="5"/>
  <c r="G1574" i="5"/>
  <c r="L1573" i="5"/>
  <c r="I1573" i="5"/>
  <c r="G1573" i="5"/>
  <c r="K1573" i="5"/>
  <c r="H1573" i="5"/>
  <c r="L1572" i="5"/>
  <c r="I1572" i="5"/>
  <c r="K1572" i="5"/>
  <c r="H1572" i="5"/>
  <c r="G1572" i="5"/>
  <c r="L1571" i="5"/>
  <c r="I1571" i="5"/>
  <c r="K1571" i="5"/>
  <c r="H1571" i="5"/>
  <c r="G1571" i="5"/>
  <c r="I1570" i="5"/>
  <c r="L1570" i="5"/>
  <c r="K1570" i="5"/>
  <c r="H1570" i="5"/>
  <c r="G1570" i="5"/>
  <c r="L1569" i="5"/>
  <c r="I1569" i="5"/>
  <c r="K1569" i="5"/>
  <c r="H1569" i="5"/>
  <c r="G1569" i="5"/>
  <c r="L1568" i="5"/>
  <c r="I1568" i="5"/>
  <c r="K1568" i="5"/>
  <c r="H1568" i="5"/>
  <c r="G1568" i="5"/>
  <c r="I1567" i="5"/>
  <c r="L1567" i="5"/>
  <c r="H1567" i="5"/>
  <c r="G1567" i="5"/>
  <c r="K1567" i="5"/>
  <c r="L1566" i="5"/>
  <c r="I1566" i="5"/>
  <c r="K1566" i="5"/>
  <c r="H1566" i="5"/>
  <c r="G1566" i="5"/>
  <c r="I1565" i="5"/>
  <c r="L1565" i="5"/>
  <c r="G1565" i="5"/>
  <c r="H1565" i="5"/>
  <c r="K1565" i="5"/>
  <c r="L1564" i="5"/>
  <c r="I1564" i="5"/>
  <c r="K1564" i="5"/>
  <c r="H1564" i="5"/>
  <c r="G1564" i="5"/>
  <c r="L1563" i="5"/>
  <c r="I1563" i="5"/>
  <c r="K1563" i="5"/>
  <c r="H1563" i="5"/>
  <c r="G1563" i="5"/>
  <c r="L1562" i="5"/>
  <c r="I1562" i="5"/>
  <c r="G1562" i="5"/>
  <c r="H1562" i="5"/>
  <c r="K1562" i="5"/>
  <c r="L1561" i="5"/>
  <c r="I1561" i="5"/>
  <c r="K1561" i="5"/>
  <c r="H1561" i="5"/>
  <c r="G1561" i="5"/>
  <c r="L1560" i="5"/>
  <c r="I1560" i="5"/>
  <c r="K1560" i="5"/>
  <c r="H1560" i="5"/>
  <c r="G1560" i="5"/>
  <c r="I1559" i="5"/>
  <c r="L1559" i="5"/>
  <c r="K1559" i="5"/>
  <c r="H1559" i="5"/>
  <c r="G1559" i="5"/>
  <c r="L1558" i="5"/>
  <c r="I1558" i="5"/>
  <c r="K1558" i="5"/>
  <c r="H1558" i="5"/>
  <c r="G1558" i="5"/>
  <c r="L1557" i="5"/>
  <c r="I1557" i="5"/>
  <c r="K1557" i="5"/>
  <c r="H1557" i="5"/>
  <c r="G1557" i="5"/>
  <c r="L1556" i="5"/>
  <c r="I1556" i="5"/>
  <c r="H1556" i="5"/>
  <c r="G1556" i="5"/>
  <c r="K1556" i="5"/>
  <c r="L1555" i="5"/>
  <c r="I1555" i="5"/>
  <c r="K1555" i="5"/>
  <c r="H1555" i="5"/>
  <c r="G1555" i="5"/>
  <c r="L1554" i="5"/>
  <c r="I1554" i="5"/>
  <c r="K1554" i="5"/>
  <c r="H1554" i="5"/>
  <c r="G1554" i="5"/>
  <c r="I1553" i="5"/>
  <c r="L1553" i="5"/>
  <c r="K1553" i="5"/>
  <c r="H1553" i="5"/>
  <c r="G1553" i="5"/>
  <c r="L1552" i="5"/>
  <c r="I1552" i="5"/>
  <c r="K1552" i="5"/>
  <c r="H1552" i="5"/>
  <c r="G1552" i="5"/>
  <c r="L1551" i="5"/>
  <c r="I1551" i="5"/>
  <c r="K1551" i="5"/>
  <c r="H1551" i="5"/>
  <c r="G1551" i="5"/>
  <c r="L1550" i="5"/>
  <c r="I1550" i="5"/>
  <c r="H1550" i="5"/>
  <c r="G1550" i="5"/>
  <c r="K1550" i="5"/>
  <c r="L1549" i="5"/>
  <c r="I1549" i="5"/>
  <c r="K1549" i="5"/>
  <c r="H1549" i="5"/>
  <c r="G1549" i="5"/>
  <c r="I1548" i="5"/>
  <c r="L1548" i="5"/>
  <c r="G1548" i="5"/>
  <c r="H1548" i="5"/>
  <c r="K1548" i="5"/>
  <c r="L1547" i="5"/>
  <c r="I1547" i="5"/>
  <c r="K1547" i="5"/>
  <c r="H1547" i="5"/>
  <c r="G1547" i="5"/>
  <c r="L1546" i="5"/>
  <c r="I1546" i="5"/>
  <c r="K1546" i="5"/>
  <c r="H1546" i="5"/>
  <c r="G1546" i="5"/>
  <c r="L1545" i="5"/>
  <c r="I1545" i="5"/>
  <c r="K1545" i="5"/>
  <c r="H1545" i="5"/>
  <c r="G1545" i="5"/>
  <c r="L1544" i="5"/>
  <c r="I1544" i="5"/>
  <c r="K1544" i="5"/>
  <c r="H1544" i="5"/>
  <c r="G1544" i="5"/>
  <c r="L1543" i="5"/>
  <c r="I1543" i="5"/>
  <c r="K1543" i="5"/>
  <c r="H1543" i="5"/>
  <c r="G1543" i="5"/>
  <c r="L1542" i="5"/>
  <c r="I1542" i="5"/>
  <c r="K1542" i="5"/>
  <c r="H1542" i="5"/>
  <c r="G1542" i="5"/>
  <c r="L1541" i="5"/>
  <c r="I1541" i="5"/>
  <c r="K1541" i="5"/>
  <c r="H1541" i="5"/>
  <c r="G1541" i="5"/>
  <c r="L1540" i="5"/>
  <c r="I1540" i="5"/>
  <c r="G1540" i="5"/>
  <c r="H1540" i="5"/>
  <c r="K1540" i="5"/>
  <c r="L1539" i="5"/>
  <c r="I1539" i="5"/>
  <c r="K1539" i="5"/>
  <c r="H1539" i="5"/>
  <c r="G1539" i="5"/>
  <c r="L1538" i="5"/>
  <c r="I1538" i="5"/>
  <c r="K1538" i="5"/>
  <c r="H1538" i="5"/>
  <c r="G1538" i="5"/>
  <c r="I1537" i="5"/>
  <c r="L1537" i="5"/>
  <c r="K1537" i="5"/>
  <c r="H1537" i="5"/>
  <c r="G1537" i="5"/>
  <c r="L1536" i="5"/>
  <c r="I1536" i="5"/>
  <c r="K1536" i="5"/>
  <c r="H1536" i="5"/>
  <c r="G1536" i="5"/>
  <c r="L1535" i="5"/>
  <c r="I1535" i="5"/>
  <c r="K1535" i="5"/>
  <c r="H1535" i="5"/>
  <c r="G1535" i="5"/>
  <c r="I1534" i="5"/>
  <c r="L1534" i="5"/>
  <c r="K1534" i="5"/>
  <c r="H1534" i="5"/>
  <c r="G1534" i="5"/>
  <c r="L1533" i="5"/>
  <c r="I1533" i="5"/>
  <c r="K1533" i="5"/>
  <c r="H1533" i="5"/>
  <c r="G1533" i="5"/>
  <c r="L1532" i="5"/>
  <c r="I1532" i="5"/>
  <c r="G1532" i="5"/>
  <c r="H1532" i="5"/>
  <c r="K1532" i="5"/>
  <c r="L1531" i="5"/>
  <c r="I1531" i="5"/>
  <c r="K1531" i="5"/>
  <c r="H1531" i="5"/>
  <c r="G1531" i="5"/>
  <c r="L1530" i="5"/>
  <c r="I1530" i="5"/>
  <c r="K1530" i="5"/>
  <c r="H1530" i="5"/>
  <c r="G1530" i="5"/>
  <c r="L1529" i="5"/>
  <c r="I1529" i="5"/>
  <c r="H1529" i="5"/>
  <c r="K1529" i="5"/>
  <c r="G1529" i="5"/>
  <c r="L1528" i="5"/>
  <c r="I1528" i="5"/>
  <c r="K1528" i="5"/>
  <c r="H1528" i="5"/>
  <c r="G1528" i="5"/>
  <c r="L1527" i="5"/>
  <c r="I1527" i="5"/>
  <c r="K1527" i="5"/>
  <c r="H1527" i="5"/>
  <c r="G1527" i="5"/>
  <c r="I1526" i="5"/>
  <c r="L1526" i="5"/>
  <c r="K1526" i="5"/>
  <c r="H1526" i="5"/>
  <c r="G1526" i="5"/>
  <c r="L1525" i="5"/>
  <c r="I1525" i="5"/>
  <c r="K1525" i="5"/>
  <c r="H1525" i="5"/>
  <c r="G1525" i="5"/>
  <c r="L1524" i="5"/>
  <c r="I1524" i="5"/>
  <c r="K1524" i="5"/>
  <c r="H1524" i="5"/>
  <c r="G1524" i="5"/>
  <c r="L1523" i="5"/>
  <c r="I1523" i="5"/>
  <c r="K1523" i="5"/>
  <c r="H1523" i="5"/>
  <c r="G1523" i="5"/>
  <c r="L1522" i="5"/>
  <c r="I1522" i="5"/>
  <c r="K1522" i="5"/>
  <c r="H1522" i="5"/>
  <c r="G1522" i="5"/>
  <c r="L1521" i="5"/>
  <c r="I1521" i="5"/>
  <c r="G1521" i="5"/>
  <c r="H1521" i="5"/>
  <c r="K1521" i="5"/>
  <c r="L1520" i="5"/>
  <c r="I1520" i="5"/>
  <c r="K1520" i="5"/>
  <c r="H1520" i="5"/>
  <c r="G1520" i="5"/>
  <c r="L1519" i="5"/>
  <c r="I1519" i="5"/>
  <c r="K1519" i="5"/>
  <c r="H1519" i="5"/>
  <c r="G1519" i="5"/>
  <c r="L1518" i="5"/>
  <c r="I1518" i="5"/>
  <c r="H1518" i="5"/>
  <c r="K1518" i="5"/>
  <c r="G1518" i="5"/>
  <c r="L1517" i="5"/>
  <c r="I1517" i="5"/>
  <c r="K1517" i="5"/>
  <c r="H1517" i="5"/>
  <c r="G1517" i="5"/>
  <c r="L1516" i="5"/>
  <c r="I1516" i="5"/>
  <c r="K1516" i="5"/>
  <c r="H1516" i="5"/>
  <c r="G1516" i="5"/>
  <c r="I1515" i="5"/>
  <c r="L1515" i="5"/>
  <c r="K1515" i="5"/>
  <c r="H1515" i="5"/>
  <c r="G1515" i="5"/>
  <c r="L1514" i="5"/>
  <c r="I1514" i="5"/>
  <c r="K1514" i="5"/>
  <c r="H1514" i="5"/>
  <c r="G1514" i="5"/>
  <c r="L1513" i="5"/>
  <c r="I1513" i="5"/>
  <c r="K1513" i="5"/>
  <c r="H1513" i="5"/>
  <c r="G1513" i="5"/>
  <c r="I1512" i="5"/>
  <c r="L1512" i="5"/>
  <c r="K1512" i="5"/>
  <c r="G1512" i="5"/>
  <c r="H1512" i="5"/>
  <c r="L1511" i="5"/>
  <c r="I1511" i="5"/>
  <c r="K1511" i="5"/>
  <c r="H1511" i="5"/>
  <c r="G1511" i="5"/>
  <c r="I1510" i="5"/>
  <c r="L1510" i="5"/>
  <c r="G1510" i="5"/>
  <c r="H1510" i="5"/>
  <c r="K1510" i="5"/>
  <c r="I1509" i="5"/>
  <c r="L1509" i="5"/>
  <c r="K1509" i="5"/>
  <c r="H1509" i="5"/>
  <c r="G1509" i="5"/>
  <c r="L1508" i="5"/>
  <c r="I1508" i="5"/>
  <c r="K1508" i="5"/>
  <c r="H1508" i="5"/>
  <c r="G1508" i="5"/>
  <c r="I1507" i="5"/>
  <c r="L1507" i="5"/>
  <c r="K1507" i="5"/>
  <c r="H1507" i="5"/>
  <c r="G1507" i="5"/>
  <c r="L1506" i="5"/>
  <c r="I1506" i="5"/>
  <c r="K1506" i="5"/>
  <c r="H1506" i="5"/>
  <c r="G1506" i="5"/>
  <c r="L1505" i="5"/>
  <c r="I1505" i="5"/>
  <c r="K1505" i="5"/>
  <c r="H1505" i="5"/>
  <c r="G1505" i="5"/>
  <c r="L1504" i="5"/>
  <c r="I1504" i="5"/>
  <c r="K1504" i="5"/>
  <c r="H1504" i="5"/>
  <c r="G1504" i="5"/>
  <c r="L1503" i="5"/>
  <c r="I1503" i="5"/>
  <c r="K1503" i="5"/>
  <c r="H1503" i="5"/>
  <c r="G1503" i="5"/>
  <c r="L1502" i="5"/>
  <c r="I1502" i="5"/>
  <c r="G1502" i="5"/>
  <c r="H1502" i="5"/>
  <c r="K1502" i="5"/>
  <c r="L1501" i="5"/>
  <c r="I1501" i="5"/>
  <c r="K1501" i="5"/>
  <c r="H1501" i="5"/>
  <c r="G1501" i="5"/>
  <c r="L1500" i="5"/>
  <c r="I1500" i="5"/>
  <c r="K1500" i="5"/>
  <c r="H1500" i="5"/>
  <c r="G1500" i="5"/>
  <c r="L1499" i="5"/>
  <c r="I1499" i="5"/>
  <c r="K1499" i="5"/>
  <c r="H1499" i="5"/>
  <c r="G1499" i="5"/>
  <c r="L1498" i="5"/>
  <c r="I1498" i="5"/>
  <c r="K1498" i="5"/>
  <c r="H1498" i="5"/>
  <c r="G1498" i="5"/>
  <c r="L1497" i="5"/>
  <c r="I1497" i="5"/>
  <c r="K1497" i="5"/>
  <c r="H1497" i="5"/>
  <c r="G1497" i="5"/>
  <c r="L1496" i="5"/>
  <c r="I1496" i="5"/>
  <c r="K1496" i="5"/>
  <c r="H1496" i="5"/>
  <c r="G1496" i="5"/>
  <c r="L1495" i="5"/>
  <c r="I1495" i="5"/>
  <c r="K1495" i="5"/>
  <c r="H1495" i="5"/>
  <c r="G1495" i="5"/>
  <c r="L1494" i="5"/>
  <c r="I1494" i="5"/>
  <c r="K1494" i="5"/>
  <c r="H1494" i="5"/>
  <c r="G1494" i="5"/>
  <c r="L1493" i="5"/>
  <c r="I1493" i="5"/>
  <c r="K1493" i="5"/>
  <c r="H1493" i="5"/>
  <c r="G1493" i="5"/>
  <c r="L1492" i="5"/>
  <c r="I1492" i="5"/>
  <c r="K1492" i="5"/>
  <c r="H1492" i="5"/>
  <c r="G1492" i="5"/>
  <c r="L1491" i="5"/>
  <c r="I1491" i="5"/>
  <c r="G1491" i="5"/>
  <c r="H1491" i="5"/>
  <c r="K1491" i="5"/>
  <c r="L1490" i="5"/>
  <c r="I1490" i="5"/>
  <c r="K1490" i="5"/>
  <c r="H1490" i="5"/>
  <c r="G1490" i="5"/>
  <c r="L1489" i="5"/>
  <c r="I1489" i="5"/>
  <c r="K1489" i="5"/>
  <c r="H1489" i="5"/>
  <c r="G1489" i="5"/>
  <c r="L1488" i="5"/>
  <c r="I1488" i="5"/>
  <c r="K1488" i="5"/>
  <c r="H1488" i="5"/>
  <c r="G1488" i="5"/>
  <c r="L1487" i="5"/>
  <c r="I1487" i="5"/>
  <c r="K1487" i="5"/>
  <c r="H1487" i="5"/>
  <c r="G1487" i="5"/>
  <c r="L1486" i="5"/>
  <c r="I1486" i="5"/>
  <c r="G1486" i="5"/>
  <c r="K1486" i="5"/>
  <c r="H1486" i="5"/>
  <c r="L1485" i="5"/>
  <c r="I1485" i="5"/>
  <c r="K1485" i="5"/>
  <c r="H1485" i="5"/>
  <c r="G1485" i="5"/>
  <c r="L1484" i="5"/>
  <c r="I1484" i="5"/>
  <c r="K1484" i="5"/>
  <c r="H1484" i="5"/>
  <c r="G1484" i="5"/>
  <c r="I1483" i="5"/>
  <c r="L1483" i="5"/>
  <c r="K1483" i="5"/>
  <c r="H1483" i="5"/>
  <c r="G1483" i="5"/>
  <c r="L1482" i="5"/>
  <c r="I1482" i="5"/>
  <c r="K1482" i="5"/>
  <c r="H1482" i="5"/>
  <c r="G1482" i="5"/>
  <c r="L1481" i="5"/>
  <c r="I1481" i="5"/>
  <c r="K1481" i="5"/>
  <c r="H1481" i="5"/>
  <c r="G1481" i="5"/>
  <c r="I1480" i="5"/>
  <c r="L1480" i="5"/>
  <c r="H1480" i="5"/>
  <c r="G1480" i="5"/>
  <c r="K1480" i="5"/>
  <c r="L1479" i="5"/>
  <c r="I1479" i="5"/>
  <c r="K1479" i="5"/>
  <c r="H1479" i="5"/>
  <c r="G1479" i="5"/>
  <c r="I1478" i="5"/>
  <c r="L1478" i="5"/>
  <c r="G1478" i="5"/>
  <c r="H1478" i="5"/>
  <c r="K1478" i="5"/>
  <c r="L1477" i="5"/>
  <c r="I1477" i="5"/>
  <c r="K1477" i="5"/>
  <c r="H1477" i="5"/>
  <c r="G1477" i="5"/>
  <c r="L1476" i="5"/>
  <c r="I1476" i="5"/>
  <c r="K1476" i="5"/>
  <c r="H1476" i="5"/>
  <c r="G1476" i="5"/>
  <c r="L1475" i="5"/>
  <c r="I1475" i="5"/>
  <c r="G1475" i="5"/>
  <c r="H1475" i="5"/>
  <c r="K1475" i="5"/>
  <c r="L1474" i="5"/>
  <c r="I1474" i="5"/>
  <c r="K1474" i="5"/>
  <c r="H1474" i="5"/>
  <c r="G1474" i="5"/>
  <c r="L1473" i="5"/>
  <c r="I1473" i="5"/>
  <c r="K1473" i="5"/>
  <c r="H1473" i="5"/>
  <c r="G1473" i="5"/>
  <c r="I1472" i="5"/>
  <c r="L1472" i="5"/>
  <c r="K1472" i="5"/>
  <c r="H1472" i="5"/>
  <c r="G1472" i="5"/>
  <c r="L1471" i="5"/>
  <c r="I1471" i="5"/>
  <c r="K1471" i="5"/>
  <c r="H1471" i="5"/>
  <c r="G1471" i="5"/>
  <c r="L1470" i="5"/>
  <c r="I1470" i="5"/>
  <c r="K1470" i="5"/>
  <c r="H1470" i="5"/>
  <c r="G1470" i="5"/>
  <c r="L1469" i="5"/>
  <c r="I1469" i="5"/>
  <c r="G1469" i="5"/>
  <c r="H1469" i="5"/>
  <c r="K1469" i="5"/>
  <c r="L1468" i="5"/>
  <c r="I1468" i="5"/>
  <c r="K1468" i="5"/>
  <c r="H1468" i="5"/>
  <c r="G1468" i="5"/>
  <c r="L1467" i="5"/>
  <c r="I1467" i="5"/>
  <c r="K1467" i="5"/>
  <c r="H1467" i="5"/>
  <c r="G1467" i="5"/>
  <c r="L1466" i="5"/>
  <c r="I1466" i="5"/>
  <c r="K1466" i="5"/>
  <c r="H1466" i="5"/>
  <c r="G1466" i="5"/>
  <c r="L1465" i="5"/>
  <c r="I1465" i="5"/>
  <c r="K1465" i="5"/>
  <c r="H1465" i="5"/>
  <c r="G1465" i="5"/>
  <c r="L1464" i="5"/>
  <c r="I1464" i="5"/>
  <c r="G1464" i="5"/>
  <c r="H1464" i="5"/>
  <c r="K1464" i="5"/>
  <c r="L1463" i="5"/>
  <c r="I1463" i="5"/>
  <c r="K1463" i="5"/>
  <c r="H1463" i="5"/>
  <c r="G1463" i="5"/>
  <c r="L1462" i="5"/>
  <c r="I1462" i="5"/>
  <c r="K1462" i="5"/>
  <c r="H1462" i="5"/>
  <c r="G1462" i="5"/>
  <c r="I1461" i="5"/>
  <c r="L1461" i="5"/>
  <c r="K1461" i="5"/>
  <c r="H1461" i="5"/>
  <c r="G1461" i="5"/>
  <c r="L1460" i="5"/>
  <c r="I1460" i="5"/>
  <c r="K1460" i="5"/>
  <c r="H1460" i="5"/>
  <c r="G1460" i="5"/>
  <c r="L1459" i="5"/>
  <c r="I1459" i="5"/>
  <c r="K1459" i="5"/>
  <c r="H1459" i="5"/>
  <c r="G1459" i="5"/>
  <c r="I1458" i="5"/>
  <c r="L1458" i="5"/>
  <c r="H1458" i="5"/>
  <c r="G1458" i="5"/>
  <c r="K1458" i="5"/>
  <c r="L1457" i="5"/>
  <c r="I1457" i="5"/>
  <c r="K1457" i="5"/>
  <c r="H1457" i="5"/>
  <c r="G1457" i="5"/>
  <c r="I1456" i="5"/>
  <c r="L1456" i="5"/>
  <c r="G1456" i="5"/>
  <c r="H1456" i="5"/>
  <c r="K1456" i="5"/>
  <c r="L1455" i="5"/>
  <c r="I1455" i="5"/>
  <c r="K1455" i="5"/>
  <c r="H1455" i="5"/>
  <c r="G1455" i="5"/>
  <c r="L1454" i="5"/>
  <c r="I1454" i="5"/>
  <c r="K1454" i="5"/>
  <c r="H1454" i="5"/>
  <c r="G1454" i="5"/>
  <c r="L1453" i="5"/>
  <c r="I1453" i="5"/>
  <c r="G1453" i="5"/>
  <c r="H1453" i="5"/>
  <c r="K1453" i="5"/>
  <c r="L1452" i="5"/>
  <c r="I1452" i="5"/>
  <c r="K1452" i="5"/>
  <c r="H1452" i="5"/>
  <c r="G1452" i="5"/>
  <c r="L1451" i="5"/>
  <c r="I1451" i="5"/>
  <c r="K1451" i="5"/>
  <c r="H1451" i="5"/>
  <c r="G1451" i="5"/>
  <c r="I1450" i="5"/>
  <c r="L1450" i="5"/>
  <c r="K1450" i="5"/>
  <c r="H1450" i="5"/>
  <c r="G1450" i="5"/>
  <c r="L1449" i="5"/>
  <c r="I1449" i="5"/>
  <c r="K1449" i="5"/>
  <c r="H1449" i="5"/>
  <c r="G1449" i="5"/>
  <c r="L1448" i="5"/>
  <c r="I1448" i="5"/>
  <c r="K1448" i="5"/>
  <c r="H1448" i="5"/>
  <c r="G1448" i="5"/>
  <c r="L1447" i="5"/>
  <c r="I1447" i="5"/>
  <c r="K1447" i="5"/>
  <c r="H1447" i="5"/>
  <c r="G1447" i="5"/>
  <c r="L1446" i="5"/>
  <c r="I1446" i="5"/>
  <c r="K1446" i="5"/>
  <c r="H1446" i="5"/>
  <c r="G1446" i="5"/>
  <c r="L1445" i="5"/>
  <c r="I1445" i="5"/>
  <c r="K1445" i="5"/>
  <c r="H1445" i="5"/>
  <c r="G1445" i="5"/>
  <c r="L1444" i="5"/>
  <c r="I1444" i="5"/>
  <c r="K1444" i="5"/>
  <c r="H1444" i="5"/>
  <c r="G1444" i="5"/>
  <c r="L1443" i="5"/>
  <c r="I1443" i="5"/>
  <c r="K1443" i="5"/>
  <c r="H1443" i="5"/>
  <c r="G1443" i="5"/>
  <c r="L1442" i="5"/>
  <c r="I1442" i="5"/>
  <c r="G1442" i="5"/>
  <c r="H1442" i="5"/>
  <c r="K1442" i="5"/>
  <c r="L1441" i="5"/>
  <c r="I1441" i="5"/>
  <c r="K1441" i="5"/>
  <c r="H1441" i="5"/>
  <c r="G1441" i="5"/>
  <c r="L1440" i="5"/>
  <c r="I1440" i="5"/>
  <c r="K1440" i="5"/>
  <c r="H1440" i="5"/>
  <c r="G1440" i="5"/>
  <c r="I1439" i="5"/>
  <c r="L1439" i="5"/>
  <c r="K1439" i="5"/>
  <c r="H1439" i="5"/>
  <c r="G1439" i="5"/>
  <c r="L1438" i="5"/>
  <c r="I1438" i="5"/>
  <c r="K1438" i="5"/>
  <c r="H1438" i="5"/>
  <c r="G1438" i="5"/>
  <c r="L1437" i="5"/>
  <c r="I1437" i="5"/>
  <c r="K1437" i="5"/>
  <c r="H1437" i="5"/>
  <c r="G1437" i="5"/>
  <c r="I1436" i="5"/>
  <c r="L1436" i="5"/>
  <c r="H1436" i="5"/>
  <c r="G1436" i="5"/>
  <c r="K1436" i="5"/>
  <c r="L1435" i="5"/>
  <c r="I1435" i="5"/>
  <c r="K1435" i="5"/>
  <c r="H1435" i="5"/>
  <c r="G1435" i="5"/>
  <c r="I1434" i="5"/>
  <c r="L1434" i="5"/>
  <c r="G1434" i="5"/>
  <c r="H1434" i="5"/>
  <c r="K1434" i="5"/>
  <c r="L1433" i="5"/>
  <c r="I1433" i="5"/>
  <c r="K1433" i="5"/>
  <c r="H1433" i="5"/>
  <c r="G1433" i="5"/>
  <c r="L1432" i="5"/>
  <c r="I1432" i="5"/>
  <c r="K1432" i="5"/>
  <c r="H1432" i="5"/>
  <c r="G1432" i="5"/>
  <c r="L1431" i="5"/>
  <c r="I1431" i="5"/>
  <c r="G1431" i="5"/>
  <c r="H1431" i="5"/>
  <c r="K1431" i="5"/>
  <c r="L1430" i="5"/>
  <c r="I1430" i="5"/>
  <c r="K1430" i="5"/>
  <c r="H1430" i="5"/>
  <c r="G1430" i="5"/>
  <c r="L1429" i="5"/>
  <c r="I1429" i="5"/>
  <c r="K1429" i="5"/>
  <c r="H1429" i="5"/>
  <c r="G1429" i="5"/>
  <c r="I1428" i="5"/>
  <c r="L1428" i="5"/>
  <c r="K1428" i="5"/>
  <c r="H1428" i="5"/>
  <c r="G1428" i="5"/>
  <c r="L1427" i="5"/>
  <c r="I1427" i="5"/>
  <c r="K1427" i="5"/>
  <c r="H1427" i="5"/>
  <c r="G1427" i="5"/>
  <c r="L1426" i="5"/>
  <c r="I1426" i="5"/>
  <c r="K1426" i="5"/>
  <c r="H1426" i="5"/>
  <c r="G1426" i="5"/>
  <c r="L1425" i="5"/>
  <c r="I1425" i="5"/>
  <c r="K1425" i="5"/>
  <c r="H1425" i="5"/>
  <c r="G1425" i="5"/>
  <c r="L1424" i="5"/>
  <c r="I1424" i="5"/>
  <c r="K1424" i="5"/>
  <c r="H1424" i="5"/>
  <c r="G1424" i="5"/>
  <c r="L1423" i="5"/>
  <c r="I1423" i="5"/>
  <c r="K1423" i="5"/>
  <c r="H1423" i="5"/>
  <c r="G1423" i="5"/>
  <c r="L1422" i="5"/>
  <c r="I1422" i="5"/>
  <c r="K1422" i="5"/>
  <c r="H1422" i="5"/>
  <c r="G1422" i="5"/>
  <c r="L1421" i="5"/>
  <c r="I1421" i="5"/>
  <c r="K1421" i="5"/>
  <c r="H1421" i="5"/>
  <c r="G1421" i="5"/>
  <c r="L1420" i="5"/>
  <c r="I1420" i="5"/>
  <c r="K1420" i="5"/>
  <c r="H1420" i="5"/>
  <c r="G1420" i="5"/>
  <c r="L1419" i="5"/>
  <c r="I1419" i="5"/>
  <c r="K1419" i="5"/>
  <c r="H1419" i="5"/>
  <c r="G1419" i="5"/>
  <c r="L1418" i="5"/>
  <c r="I1418" i="5"/>
  <c r="K1418" i="5"/>
  <c r="H1418" i="5"/>
  <c r="G1418" i="5"/>
  <c r="I1417" i="5"/>
  <c r="L1417" i="5"/>
  <c r="G1417" i="5"/>
  <c r="H1417" i="5"/>
  <c r="K1417" i="5"/>
  <c r="I1416" i="5"/>
  <c r="L1416" i="5"/>
  <c r="K1416" i="5"/>
  <c r="H1416" i="5"/>
  <c r="G1416" i="5"/>
  <c r="L1415" i="5"/>
  <c r="I1415" i="5"/>
  <c r="K1415" i="5"/>
  <c r="H1415" i="5"/>
  <c r="G1415" i="5"/>
  <c r="L1414" i="5"/>
  <c r="I1414" i="5"/>
  <c r="K1414" i="5"/>
  <c r="H1414" i="5"/>
  <c r="G1414" i="5"/>
  <c r="L1413" i="5"/>
  <c r="I1413" i="5"/>
  <c r="K1413" i="5"/>
  <c r="H1413" i="5"/>
  <c r="G1413" i="5"/>
  <c r="L1412" i="5"/>
  <c r="I1412" i="5"/>
  <c r="K1412" i="5"/>
  <c r="H1412" i="5"/>
  <c r="G1412" i="5"/>
  <c r="L1411" i="5"/>
  <c r="I1411" i="5"/>
  <c r="K1411" i="5"/>
  <c r="G1411" i="5"/>
  <c r="H1411" i="5"/>
  <c r="L1410" i="5"/>
  <c r="I1410" i="5"/>
  <c r="H1410" i="5"/>
  <c r="K1410" i="5"/>
  <c r="G1410" i="5"/>
  <c r="I1409" i="5"/>
  <c r="L1409" i="5"/>
  <c r="G1409" i="5"/>
  <c r="H1409" i="5"/>
  <c r="K1409" i="5"/>
  <c r="I1408" i="5"/>
  <c r="L1408" i="5"/>
  <c r="H1408" i="5"/>
  <c r="K1408" i="5"/>
  <c r="G1408" i="5"/>
  <c r="L1407" i="5"/>
  <c r="I1407" i="5"/>
  <c r="K1407" i="5"/>
  <c r="G1407" i="5"/>
  <c r="H1407" i="5"/>
  <c r="I1406" i="5"/>
  <c r="L1406" i="5"/>
  <c r="H1406" i="5"/>
  <c r="K1406" i="5"/>
  <c r="G1406" i="5"/>
  <c r="L1405" i="5"/>
  <c r="I1405" i="5"/>
  <c r="K1405" i="5"/>
  <c r="H1405" i="5"/>
  <c r="G1405" i="5"/>
  <c r="L1404" i="5"/>
  <c r="I1404" i="5"/>
  <c r="K1404" i="5"/>
  <c r="H1404" i="5"/>
  <c r="G1404" i="5"/>
  <c r="L1403" i="5"/>
  <c r="I1403" i="5"/>
  <c r="G1403" i="5"/>
  <c r="H1403" i="5"/>
  <c r="K1403" i="5"/>
  <c r="I1402" i="5"/>
  <c r="L1402" i="5"/>
  <c r="G1402" i="5"/>
  <c r="H1402" i="5"/>
  <c r="K1402" i="5"/>
  <c r="L1401" i="5"/>
  <c r="I1401" i="5"/>
  <c r="K1401" i="5"/>
  <c r="H1401" i="5"/>
  <c r="G1401" i="5"/>
  <c r="I1400" i="5"/>
  <c r="L1400" i="5"/>
  <c r="H1400" i="5"/>
  <c r="K1400" i="5"/>
  <c r="G1400" i="5"/>
  <c r="I1399" i="5"/>
  <c r="L1399" i="5"/>
  <c r="G1399" i="5"/>
  <c r="H1399" i="5"/>
  <c r="K1399" i="5"/>
  <c r="L1398" i="5"/>
  <c r="I1398" i="5"/>
  <c r="G1398" i="5"/>
  <c r="K1398" i="5"/>
  <c r="H1398" i="5"/>
  <c r="I1397" i="5"/>
  <c r="L1397" i="5"/>
  <c r="K1397" i="5"/>
  <c r="H1397" i="5"/>
  <c r="G1397" i="5"/>
  <c r="L1396" i="5"/>
  <c r="I1396" i="5"/>
  <c r="K1396" i="5"/>
  <c r="H1396" i="5"/>
  <c r="G1396" i="5"/>
  <c r="I1395" i="5"/>
  <c r="L1395" i="5"/>
  <c r="K1395" i="5"/>
  <c r="G1395" i="5"/>
  <c r="H1395" i="5"/>
  <c r="L1394" i="5"/>
  <c r="I1394" i="5"/>
  <c r="H1394" i="5"/>
  <c r="K1394" i="5"/>
  <c r="G1394" i="5"/>
  <c r="L1393" i="5"/>
  <c r="I1393" i="5"/>
  <c r="G1393" i="5"/>
  <c r="H1393" i="5"/>
  <c r="K1393" i="5"/>
  <c r="L1392" i="5"/>
  <c r="I1392" i="5"/>
  <c r="K1392" i="5"/>
  <c r="H1392" i="5"/>
  <c r="G1392" i="5"/>
  <c r="I1391" i="5"/>
  <c r="L1391" i="5"/>
  <c r="K1391" i="5"/>
  <c r="G1391" i="5"/>
  <c r="H1391" i="5"/>
  <c r="I1390" i="5"/>
  <c r="L1390" i="5"/>
  <c r="H1390" i="5"/>
  <c r="K1390" i="5"/>
  <c r="G1390" i="5"/>
  <c r="L1389" i="5"/>
  <c r="I1389" i="5"/>
  <c r="K1389" i="5"/>
  <c r="G1389" i="5"/>
  <c r="H1389" i="5"/>
  <c r="I1388" i="5"/>
  <c r="L1388" i="5"/>
  <c r="H1388" i="5"/>
  <c r="K1388" i="5"/>
  <c r="G1388" i="5"/>
  <c r="I1387" i="5"/>
  <c r="L1387" i="5"/>
  <c r="K1387" i="5"/>
  <c r="G1387" i="5"/>
  <c r="H1387" i="5"/>
  <c r="L1386" i="5"/>
  <c r="I1386" i="5"/>
  <c r="G1386" i="5"/>
  <c r="K1386" i="5"/>
  <c r="H1386" i="5"/>
  <c r="L1385" i="5"/>
  <c r="I1385" i="5"/>
  <c r="K1385" i="5"/>
  <c r="G1385" i="5"/>
  <c r="H1385" i="5"/>
  <c r="I1384" i="5"/>
  <c r="L1384" i="5"/>
  <c r="G1384" i="5"/>
  <c r="H1384" i="5"/>
  <c r="K1384" i="5"/>
  <c r="I1383" i="5"/>
  <c r="L1383" i="5"/>
  <c r="G1383" i="5"/>
  <c r="H1383" i="5"/>
  <c r="K1383" i="5"/>
  <c r="I1382" i="5"/>
  <c r="L1382" i="5"/>
  <c r="G1382" i="5"/>
  <c r="H1382" i="5"/>
  <c r="K1382" i="5"/>
  <c r="I1381" i="5"/>
  <c r="L1381" i="5"/>
  <c r="H1381" i="5"/>
  <c r="K1381" i="5"/>
  <c r="G1381" i="5"/>
  <c r="I1380" i="5"/>
  <c r="L1380" i="5"/>
  <c r="K1380" i="5"/>
  <c r="G1380" i="5"/>
  <c r="H1380" i="5"/>
  <c r="I1379" i="5"/>
  <c r="L1379" i="5"/>
  <c r="K1379" i="5"/>
  <c r="H1379" i="5"/>
  <c r="G1379" i="5"/>
  <c r="I1378" i="5"/>
  <c r="L1378" i="5"/>
  <c r="G1378" i="5"/>
  <c r="K1378" i="5"/>
  <c r="H1378" i="5"/>
  <c r="I1377" i="5"/>
  <c r="L1377" i="5"/>
  <c r="G1377" i="5"/>
  <c r="H1377" i="5"/>
  <c r="K1377" i="5"/>
  <c r="I1376" i="5"/>
  <c r="L1376" i="5"/>
  <c r="G1376" i="5"/>
  <c r="H1376" i="5"/>
  <c r="K1376" i="5"/>
  <c r="L1375" i="5"/>
  <c r="I1375" i="5"/>
  <c r="G1375" i="5"/>
  <c r="H1375" i="5"/>
  <c r="K1375" i="5"/>
  <c r="L1374" i="5"/>
  <c r="I1374" i="5"/>
  <c r="H1374" i="5"/>
  <c r="K1374" i="5"/>
  <c r="G1374" i="5"/>
  <c r="L1373" i="5"/>
  <c r="I1373" i="5"/>
  <c r="K1373" i="5"/>
  <c r="H1373" i="5"/>
  <c r="G1373" i="5"/>
  <c r="I1372" i="5"/>
  <c r="L1372" i="5"/>
  <c r="H1372" i="5"/>
  <c r="K1372" i="5"/>
  <c r="G1372" i="5"/>
  <c r="I1371" i="5"/>
  <c r="L1371" i="5"/>
  <c r="G1371" i="5"/>
  <c r="K1371" i="5"/>
  <c r="H1371" i="5"/>
  <c r="I1370" i="5"/>
  <c r="L1370" i="5"/>
  <c r="G1370" i="5"/>
  <c r="K1370" i="5"/>
  <c r="H1370" i="5"/>
  <c r="I1369" i="5"/>
  <c r="L1369" i="5"/>
  <c r="K1369" i="5"/>
  <c r="G1369" i="5"/>
  <c r="H1369" i="5"/>
  <c r="I1368" i="5"/>
  <c r="L1368" i="5"/>
  <c r="G1368" i="5"/>
  <c r="H1368" i="5"/>
  <c r="K1368" i="5"/>
  <c r="L1367" i="5"/>
  <c r="I1367" i="5"/>
  <c r="K1367" i="5"/>
  <c r="H1367" i="5"/>
  <c r="G1367" i="5"/>
  <c r="L1366" i="5"/>
  <c r="I1366" i="5"/>
  <c r="K1366" i="5"/>
  <c r="H1366" i="5"/>
  <c r="G1366" i="5"/>
  <c r="L1365" i="5"/>
  <c r="I1365" i="5"/>
  <c r="K1365" i="5"/>
  <c r="H1365" i="5"/>
  <c r="G1365" i="5"/>
  <c r="L1364" i="5"/>
  <c r="I1364" i="5"/>
  <c r="K1364" i="5"/>
  <c r="H1364" i="5"/>
  <c r="G1364" i="5"/>
  <c r="L1363" i="5"/>
  <c r="I1363" i="5"/>
  <c r="K1363" i="5"/>
  <c r="G1363" i="5"/>
  <c r="H1363" i="5"/>
  <c r="I1362" i="5"/>
  <c r="L1362" i="5"/>
  <c r="H1362" i="5"/>
  <c r="K1362" i="5"/>
  <c r="G1362" i="5"/>
  <c r="I1361" i="5"/>
  <c r="L1361" i="5"/>
  <c r="G1361" i="5"/>
  <c r="H1361" i="5"/>
  <c r="K1361" i="5"/>
  <c r="I1360" i="5"/>
  <c r="L1360" i="5"/>
  <c r="K1360" i="5"/>
  <c r="H1360" i="5"/>
  <c r="G1360" i="5"/>
  <c r="I1359" i="5"/>
  <c r="L1359" i="5"/>
  <c r="G1359" i="5"/>
  <c r="H1359" i="5"/>
  <c r="K1359" i="5"/>
  <c r="L1358" i="5"/>
  <c r="I1358" i="5"/>
  <c r="K1358" i="5"/>
  <c r="H1358" i="5"/>
  <c r="G1358" i="5"/>
  <c r="I1357" i="5"/>
  <c r="L1357" i="5"/>
  <c r="H1357" i="5"/>
  <c r="K1357" i="5"/>
  <c r="G1357" i="5"/>
  <c r="L1356" i="5"/>
  <c r="I1356" i="5"/>
  <c r="K1356" i="5"/>
  <c r="H1356" i="5"/>
  <c r="G1356" i="5"/>
  <c r="L1355" i="5"/>
  <c r="I1355" i="5"/>
  <c r="K1355" i="5"/>
  <c r="G1355" i="5"/>
  <c r="H1355" i="5"/>
  <c r="L1354" i="5"/>
  <c r="I1354" i="5"/>
  <c r="K1354" i="5"/>
  <c r="H1354" i="5"/>
  <c r="G1354" i="5"/>
  <c r="L1353" i="5"/>
  <c r="I1353" i="5"/>
  <c r="G1353" i="5"/>
  <c r="K1353" i="5"/>
  <c r="H1353" i="5"/>
  <c r="L1352" i="5"/>
  <c r="I1352" i="5"/>
  <c r="K1352" i="5"/>
  <c r="H1352" i="5"/>
  <c r="G1352" i="5"/>
  <c r="I1351" i="5"/>
  <c r="L1351" i="5"/>
  <c r="G1351" i="5"/>
  <c r="H1351" i="5"/>
  <c r="K1351" i="5"/>
  <c r="L1350" i="5"/>
  <c r="I1350" i="5"/>
  <c r="K1350" i="5"/>
  <c r="H1350" i="5"/>
  <c r="G1350" i="5"/>
  <c r="L1349" i="5"/>
  <c r="I1349" i="5"/>
  <c r="H1349" i="5"/>
  <c r="G1349" i="5"/>
  <c r="K1349" i="5"/>
  <c r="L1348" i="5"/>
  <c r="I1348" i="5"/>
  <c r="K1348" i="5"/>
  <c r="H1348" i="5"/>
  <c r="G1348" i="5"/>
  <c r="L1347" i="5"/>
  <c r="I1347" i="5"/>
  <c r="K1347" i="5"/>
  <c r="H1347" i="5"/>
  <c r="G1347" i="5"/>
  <c r="L1346" i="5"/>
  <c r="I1346" i="5"/>
  <c r="K1346" i="5"/>
  <c r="G1346" i="5"/>
  <c r="H1346" i="5"/>
  <c r="L1345" i="5"/>
  <c r="I1345" i="5"/>
  <c r="H1345" i="5"/>
  <c r="K1345" i="5"/>
  <c r="G1345" i="5"/>
  <c r="I1344" i="5"/>
  <c r="L1344" i="5"/>
  <c r="K1344" i="5"/>
  <c r="H1344" i="5"/>
  <c r="G1344" i="5"/>
  <c r="L1343" i="5"/>
  <c r="I1343" i="5"/>
  <c r="K1343" i="5"/>
  <c r="G1343" i="5"/>
  <c r="H1343" i="5"/>
  <c r="I1342" i="5"/>
  <c r="L1342" i="5"/>
  <c r="K1342" i="5"/>
  <c r="H1342" i="5"/>
  <c r="G1342" i="5"/>
  <c r="I1341" i="5"/>
  <c r="L1341" i="5"/>
  <c r="H1341" i="5"/>
  <c r="K1341" i="5"/>
  <c r="G1341" i="5"/>
  <c r="L1340" i="5"/>
  <c r="I1340" i="5"/>
  <c r="K1340" i="5"/>
  <c r="H1340" i="5"/>
  <c r="G1340" i="5"/>
  <c r="I1339" i="5"/>
  <c r="L1339" i="5"/>
  <c r="K1339" i="5"/>
  <c r="H1339" i="5"/>
  <c r="G1339" i="5"/>
  <c r="L1338" i="5"/>
  <c r="I1338" i="5"/>
  <c r="G1338" i="5"/>
  <c r="I1337" i="5"/>
  <c r="L1337" i="5"/>
  <c r="H1337" i="5"/>
  <c r="K1337" i="5"/>
  <c r="G1337" i="5"/>
  <c r="I1336" i="5"/>
  <c r="L1336" i="5"/>
  <c r="H1336" i="5"/>
  <c r="G1336" i="5"/>
  <c r="K1336" i="5"/>
  <c r="I1335" i="5"/>
  <c r="L1335" i="5"/>
  <c r="H1335" i="5"/>
  <c r="K1335" i="5"/>
  <c r="G1335" i="5"/>
  <c r="L1334" i="5"/>
  <c r="I1334" i="5"/>
  <c r="G1334" i="5"/>
  <c r="K1334" i="5"/>
  <c r="H1334" i="5"/>
  <c r="L1333" i="5"/>
  <c r="I1333" i="5"/>
  <c r="H1333" i="5"/>
  <c r="K1333" i="5"/>
  <c r="G1333" i="5"/>
  <c r="L1332" i="5"/>
  <c r="I1332" i="5"/>
  <c r="H1332" i="5"/>
  <c r="G1332" i="5"/>
  <c r="K1332" i="5"/>
  <c r="L1331" i="5"/>
  <c r="I1331" i="5"/>
  <c r="K1331" i="5"/>
  <c r="H1331" i="5"/>
  <c r="G1331" i="5"/>
  <c r="L1330" i="5"/>
  <c r="I1330" i="5"/>
  <c r="K1330" i="5"/>
  <c r="H1330" i="5"/>
  <c r="G1330" i="5"/>
  <c r="I1329" i="5"/>
  <c r="L1329" i="5"/>
  <c r="K1329" i="5"/>
  <c r="H1329" i="5"/>
  <c r="G1329" i="5"/>
  <c r="L1328" i="5"/>
  <c r="I1328" i="5"/>
  <c r="K1328" i="5"/>
  <c r="H1328" i="5"/>
  <c r="G1328" i="5"/>
  <c r="L1327" i="5"/>
  <c r="I1327" i="5"/>
  <c r="K1327" i="5"/>
  <c r="H1327" i="5"/>
  <c r="G1327" i="5"/>
  <c r="L1326" i="5"/>
  <c r="I1326" i="5"/>
  <c r="G1326" i="5"/>
  <c r="H1326" i="5"/>
  <c r="K1326" i="5"/>
  <c r="I1325" i="5"/>
  <c r="L1325" i="5"/>
  <c r="G1325" i="5"/>
  <c r="H1325" i="5"/>
  <c r="K1325" i="5"/>
  <c r="I1324" i="5"/>
  <c r="L1324" i="5"/>
  <c r="G1324" i="5"/>
  <c r="H1324" i="5"/>
  <c r="K1324" i="5"/>
  <c r="I1323" i="5"/>
  <c r="L1323" i="5"/>
  <c r="G1323" i="5"/>
  <c r="H1323" i="5"/>
  <c r="K1323" i="5"/>
  <c r="L1322" i="5"/>
  <c r="I1322" i="5"/>
  <c r="G1322" i="5"/>
  <c r="H1322" i="5"/>
  <c r="K1322" i="5"/>
  <c r="L1321" i="5"/>
  <c r="I1321" i="5"/>
  <c r="K1321" i="5"/>
  <c r="H1321" i="5"/>
  <c r="G1321" i="5"/>
  <c r="L1320" i="5"/>
  <c r="I1320" i="5"/>
  <c r="G1320" i="5"/>
  <c r="H1320" i="5"/>
  <c r="K1320" i="5"/>
  <c r="L1319" i="5"/>
  <c r="I1319" i="5"/>
  <c r="K1319" i="5"/>
  <c r="H1319" i="5"/>
  <c r="G1319" i="5"/>
  <c r="L1318" i="5"/>
  <c r="I1318" i="5"/>
  <c r="K1318" i="5"/>
  <c r="H1318" i="5"/>
  <c r="G1318" i="5"/>
  <c r="L1317" i="5"/>
  <c r="I1317" i="5"/>
  <c r="K1317" i="5"/>
  <c r="H1317" i="5"/>
  <c r="G1317" i="5"/>
  <c r="L1316" i="5"/>
  <c r="I1316" i="5"/>
  <c r="G1316" i="5"/>
  <c r="H1316" i="5"/>
  <c r="K1316" i="5"/>
  <c r="L1315" i="5"/>
  <c r="I1315" i="5"/>
  <c r="K1315" i="5"/>
  <c r="H1315" i="5"/>
  <c r="G1315" i="5"/>
  <c r="L1314" i="5"/>
  <c r="I1314" i="5"/>
  <c r="K1314" i="5"/>
  <c r="H1314" i="5"/>
  <c r="G1314" i="5"/>
  <c r="L1313" i="5"/>
  <c r="I1313" i="5"/>
  <c r="G1313" i="5"/>
  <c r="K1313" i="5"/>
  <c r="H1313" i="5"/>
  <c r="I1312" i="5"/>
  <c r="L1312" i="5"/>
  <c r="G1312" i="5"/>
  <c r="K1312" i="5"/>
  <c r="H1312" i="5"/>
  <c r="L1311" i="5"/>
  <c r="I1311" i="5"/>
  <c r="G1311" i="5"/>
  <c r="K1311" i="5"/>
  <c r="H1311" i="5"/>
  <c r="L1310" i="5"/>
  <c r="I1310" i="5"/>
  <c r="G1310" i="5"/>
  <c r="K1310" i="5"/>
  <c r="H1310" i="5"/>
  <c r="L1309" i="5"/>
  <c r="I1309" i="5"/>
  <c r="G1309" i="5"/>
  <c r="K1309" i="5"/>
  <c r="H1309" i="5"/>
  <c r="L1308" i="5"/>
  <c r="I1308" i="5"/>
  <c r="G1308" i="5"/>
  <c r="K1308" i="5"/>
  <c r="H1308" i="5"/>
  <c r="L1307" i="5"/>
  <c r="I1307" i="5"/>
  <c r="G1307" i="5"/>
  <c r="K1307" i="5"/>
  <c r="H1307" i="5"/>
  <c r="L1306" i="5"/>
  <c r="I1306" i="5"/>
  <c r="G1306" i="5"/>
  <c r="K1306" i="5"/>
  <c r="H1306" i="5"/>
  <c r="L1305" i="5"/>
  <c r="I1305" i="5"/>
  <c r="G1305" i="5"/>
  <c r="K1305" i="5"/>
  <c r="H1305" i="5"/>
  <c r="L1304" i="5"/>
  <c r="I1304" i="5"/>
  <c r="G1304" i="5"/>
  <c r="K1304" i="5"/>
  <c r="H1304" i="5"/>
  <c r="L1303" i="5"/>
  <c r="I1303" i="5"/>
  <c r="G1303" i="5"/>
  <c r="K1303" i="5"/>
  <c r="H1303" i="5"/>
  <c r="L1302" i="5"/>
  <c r="I1302" i="5"/>
  <c r="G1302" i="5"/>
  <c r="K1302" i="5"/>
  <c r="H1302" i="5"/>
  <c r="L1301" i="5"/>
  <c r="I1301" i="5"/>
  <c r="G1301" i="5"/>
  <c r="K1301" i="5"/>
  <c r="H1301" i="5"/>
  <c r="L1300" i="5"/>
  <c r="I1300" i="5"/>
  <c r="G1300" i="5"/>
  <c r="K1300" i="5"/>
  <c r="H1300" i="5"/>
  <c r="L1299" i="5"/>
  <c r="I1299" i="5"/>
  <c r="G1299" i="5"/>
  <c r="K1299" i="5"/>
  <c r="H1299" i="5"/>
  <c r="L1298" i="5"/>
  <c r="I1298" i="5"/>
  <c r="G1298" i="5"/>
  <c r="K1298" i="5"/>
  <c r="H1298" i="5"/>
  <c r="L1297" i="5"/>
  <c r="I1297" i="5"/>
  <c r="G1297" i="5"/>
  <c r="K1297" i="5"/>
  <c r="H1297" i="5"/>
  <c r="L1296" i="5"/>
  <c r="I1296" i="5"/>
  <c r="G1296" i="5"/>
  <c r="K1296" i="5"/>
  <c r="H1296" i="5"/>
  <c r="L1295" i="5"/>
  <c r="I1295" i="5"/>
  <c r="G1295" i="5"/>
  <c r="K1295" i="5"/>
  <c r="H1295" i="5"/>
  <c r="L1294" i="5"/>
  <c r="I1294" i="5"/>
  <c r="G1294" i="5"/>
  <c r="H1294" i="5"/>
  <c r="K1294" i="5"/>
  <c r="L1293" i="5"/>
  <c r="I1293" i="5"/>
  <c r="K1293" i="5"/>
  <c r="H1293" i="5"/>
  <c r="G1293" i="5"/>
  <c r="L1292" i="5"/>
  <c r="I1292" i="5"/>
  <c r="K1292" i="5"/>
  <c r="H1292" i="5"/>
  <c r="G1292" i="5"/>
  <c r="L1291" i="5"/>
  <c r="I1291" i="5"/>
  <c r="K1291" i="5"/>
  <c r="H1291" i="5"/>
  <c r="G1291" i="5"/>
  <c r="L1290" i="5"/>
  <c r="I1290" i="5"/>
  <c r="K1290" i="5"/>
  <c r="H1290" i="5"/>
  <c r="G1290" i="5"/>
  <c r="L1289" i="5"/>
  <c r="I1289" i="5"/>
  <c r="H1289" i="5"/>
  <c r="G1289" i="5"/>
  <c r="K1289" i="5"/>
  <c r="L1288" i="5"/>
  <c r="I1288" i="5"/>
  <c r="K1288" i="5"/>
  <c r="H1288" i="5"/>
  <c r="G1288" i="5"/>
  <c r="L1287" i="5"/>
  <c r="I1287" i="5"/>
  <c r="K1287" i="5"/>
  <c r="H1287" i="5"/>
  <c r="G1287" i="5"/>
  <c r="L1286" i="5"/>
  <c r="I1286" i="5"/>
  <c r="K1286" i="5"/>
  <c r="H1286" i="5"/>
  <c r="G1286" i="5"/>
  <c r="L1285" i="5"/>
  <c r="I1285" i="5"/>
  <c r="H1285" i="5"/>
  <c r="G1285" i="5"/>
  <c r="K1285" i="5"/>
  <c r="I1284" i="5"/>
  <c r="L1284" i="5"/>
  <c r="K1284" i="5"/>
  <c r="G1284" i="5"/>
  <c r="H1284" i="5"/>
  <c r="I1283" i="5"/>
  <c r="L1283" i="5"/>
  <c r="G1283" i="5"/>
  <c r="K1283" i="5"/>
  <c r="H1283" i="5"/>
  <c r="I1282" i="5"/>
  <c r="L1282" i="5"/>
  <c r="K1282" i="5"/>
  <c r="H1282" i="5"/>
  <c r="G1282" i="5"/>
  <c r="I1281" i="5"/>
  <c r="L1281" i="5"/>
  <c r="H1281" i="5"/>
  <c r="G1281" i="5"/>
  <c r="K1281" i="5"/>
  <c r="L1280" i="5"/>
  <c r="I1280" i="5"/>
  <c r="G1280" i="5"/>
  <c r="K1280" i="5"/>
  <c r="H1280" i="5"/>
  <c r="I1279" i="5"/>
  <c r="L1279" i="5"/>
  <c r="K1279" i="5"/>
  <c r="H1279" i="5"/>
  <c r="G1279" i="5"/>
  <c r="I1278" i="5"/>
  <c r="L1278" i="5"/>
  <c r="H1278" i="5"/>
  <c r="G1278" i="5"/>
  <c r="K1278" i="5"/>
  <c r="L1277" i="5"/>
  <c r="I1277" i="5"/>
  <c r="G1277" i="5"/>
  <c r="K1277" i="5"/>
  <c r="H1277" i="5"/>
  <c r="I1276" i="5"/>
  <c r="L1276" i="5"/>
  <c r="K1276" i="5"/>
  <c r="G1276" i="5"/>
  <c r="H1276" i="5"/>
  <c r="I1275" i="5"/>
  <c r="L1275" i="5"/>
  <c r="K1275" i="5"/>
  <c r="H1275" i="5"/>
  <c r="G1275" i="5"/>
  <c r="I1274" i="5"/>
  <c r="L1274" i="5"/>
  <c r="K1274" i="5"/>
  <c r="G1274" i="5"/>
  <c r="H1274" i="5"/>
  <c r="I1273" i="5"/>
  <c r="L1273" i="5"/>
  <c r="G1273" i="5"/>
  <c r="H1273" i="5"/>
  <c r="K1273" i="5"/>
  <c r="I1272" i="5"/>
  <c r="L1272" i="5"/>
  <c r="K1272" i="5"/>
  <c r="G1272" i="5"/>
  <c r="H1272" i="5"/>
  <c r="I1271" i="5"/>
  <c r="L1271" i="5"/>
  <c r="H1271" i="5"/>
  <c r="K1271" i="5"/>
  <c r="G1271" i="5"/>
  <c r="L1270" i="5"/>
  <c r="I1270" i="5"/>
  <c r="K1270" i="5"/>
  <c r="H1270" i="5"/>
  <c r="G1270" i="5"/>
  <c r="L1269" i="5"/>
  <c r="I1269" i="5"/>
  <c r="K1269" i="5"/>
  <c r="H1269" i="5"/>
  <c r="G1269" i="5"/>
  <c r="L1268" i="5"/>
  <c r="I1268" i="5"/>
  <c r="K1268" i="5"/>
  <c r="H1268" i="5"/>
  <c r="G1268" i="5"/>
  <c r="L1267" i="5"/>
  <c r="I1267" i="5"/>
  <c r="H1267" i="5"/>
  <c r="G1267" i="5"/>
  <c r="K1267" i="5"/>
  <c r="I1266" i="5"/>
  <c r="L1266" i="5"/>
  <c r="K1266" i="5"/>
  <c r="H1266" i="5"/>
  <c r="G1266" i="5"/>
  <c r="L1265" i="5"/>
  <c r="I1265" i="5"/>
  <c r="K1265" i="5"/>
  <c r="H1265" i="5"/>
  <c r="G1265" i="5"/>
  <c r="L1264" i="5"/>
  <c r="I1264" i="5"/>
  <c r="K1264" i="5"/>
  <c r="H1264" i="5"/>
  <c r="G1264" i="5"/>
  <c r="L1263" i="5"/>
  <c r="I1263" i="5"/>
  <c r="K1263" i="5"/>
  <c r="H1263" i="5"/>
  <c r="G1263" i="5"/>
  <c r="L1262" i="5"/>
  <c r="I1262" i="5"/>
  <c r="G1262" i="5"/>
  <c r="K1262" i="5"/>
  <c r="H1262" i="5"/>
  <c r="L1261" i="5"/>
  <c r="I1261" i="5"/>
  <c r="G1261" i="5"/>
  <c r="H1261" i="5"/>
  <c r="K1261" i="5"/>
  <c r="L1260" i="5"/>
  <c r="I1260" i="5"/>
  <c r="K1260" i="5"/>
  <c r="H1260" i="5"/>
  <c r="G1260" i="5"/>
  <c r="L1259" i="5"/>
  <c r="I1259" i="5"/>
  <c r="K1259" i="5"/>
  <c r="H1259" i="5"/>
  <c r="G1259" i="5"/>
  <c r="L1258" i="5"/>
  <c r="I1258" i="5"/>
  <c r="K1258" i="5"/>
  <c r="H1258" i="5"/>
  <c r="G1258" i="5"/>
  <c r="L1257" i="5"/>
  <c r="I1257" i="5"/>
  <c r="K1257" i="5"/>
  <c r="H1257" i="5"/>
  <c r="G1257" i="5"/>
  <c r="L1256" i="5"/>
  <c r="I1256" i="5"/>
  <c r="H1256" i="5"/>
  <c r="G1256" i="5"/>
  <c r="K1256" i="5"/>
  <c r="L1255" i="5"/>
  <c r="I1255" i="5"/>
  <c r="H1255" i="5"/>
  <c r="G1255" i="5"/>
  <c r="K1255" i="5"/>
  <c r="L1254" i="5"/>
  <c r="I1254" i="5"/>
  <c r="K1254" i="5"/>
  <c r="H1254" i="5"/>
  <c r="G1254" i="5"/>
  <c r="L1253" i="5"/>
  <c r="I1253" i="5"/>
  <c r="H1253" i="5"/>
  <c r="G1253" i="5"/>
  <c r="K1253" i="5"/>
  <c r="L1252" i="5"/>
  <c r="I1252" i="5"/>
  <c r="K1252" i="5"/>
  <c r="H1252" i="5"/>
  <c r="G1252" i="5"/>
  <c r="L1251" i="5"/>
  <c r="I1251" i="5"/>
  <c r="G1251" i="5"/>
  <c r="K1251" i="5"/>
  <c r="H1251" i="5"/>
  <c r="L1250" i="5"/>
  <c r="I1250" i="5"/>
  <c r="H1250" i="5"/>
  <c r="K1250" i="5"/>
  <c r="G1250" i="5"/>
  <c r="L1249" i="5"/>
  <c r="I1249" i="5"/>
  <c r="K1249" i="5"/>
  <c r="H1249" i="5"/>
  <c r="G1249" i="5"/>
  <c r="L1248" i="5"/>
  <c r="I1248" i="5"/>
  <c r="G1248" i="5"/>
  <c r="K1248" i="5"/>
  <c r="H1248" i="5"/>
  <c r="I1247" i="5"/>
  <c r="L1247" i="5"/>
  <c r="G1247" i="5"/>
  <c r="H1247" i="5"/>
  <c r="K1247" i="5"/>
  <c r="I1246" i="5"/>
  <c r="L1246" i="5"/>
  <c r="K1246" i="5"/>
  <c r="H1246" i="5"/>
  <c r="G1246" i="5"/>
  <c r="L1245" i="5"/>
  <c r="I1245" i="5"/>
  <c r="K1245" i="5"/>
  <c r="H1245" i="5"/>
  <c r="G1245" i="5"/>
  <c r="I1244" i="5"/>
  <c r="L1244" i="5"/>
  <c r="G1244" i="5"/>
  <c r="K1244" i="5"/>
  <c r="H1244" i="5"/>
  <c r="I1243" i="5"/>
  <c r="L1243" i="5"/>
  <c r="K1243" i="5"/>
  <c r="H1243" i="5"/>
  <c r="G1243" i="5"/>
  <c r="I1242" i="5"/>
  <c r="L1242" i="5"/>
  <c r="H1242" i="5"/>
  <c r="G1242" i="5"/>
  <c r="K1242" i="5"/>
  <c r="L1241" i="5"/>
  <c r="I1241" i="5"/>
  <c r="G1241" i="5"/>
  <c r="K1241" i="5"/>
  <c r="H1241" i="5"/>
  <c r="I1240" i="5"/>
  <c r="L1240" i="5"/>
  <c r="K1240" i="5"/>
  <c r="H1240" i="5"/>
  <c r="G1240" i="5"/>
  <c r="I1239" i="5"/>
  <c r="L1239" i="5"/>
  <c r="H1239" i="5"/>
  <c r="G1239" i="5"/>
  <c r="K1239" i="5"/>
  <c r="L1238" i="5"/>
  <c r="I1238" i="5"/>
  <c r="G1238" i="5"/>
  <c r="K1238" i="5"/>
  <c r="H1238" i="5"/>
  <c r="I1237" i="5"/>
  <c r="L1237" i="5"/>
  <c r="K1237" i="5"/>
  <c r="H1237" i="5"/>
  <c r="G1237" i="5"/>
  <c r="I1236" i="5"/>
  <c r="L1236" i="5"/>
  <c r="H1236" i="5"/>
  <c r="G1236" i="5"/>
  <c r="K1236" i="5"/>
  <c r="L1235" i="5"/>
  <c r="I1235" i="5"/>
  <c r="G1235" i="5"/>
  <c r="K1235" i="5"/>
  <c r="H1235" i="5"/>
  <c r="I1234" i="5"/>
  <c r="L1234" i="5"/>
  <c r="K1234" i="5"/>
  <c r="H1234" i="5"/>
  <c r="G1234" i="5"/>
  <c r="I1233" i="5"/>
  <c r="L1233" i="5"/>
  <c r="H1233" i="5"/>
  <c r="G1233" i="5"/>
  <c r="K1233" i="5"/>
  <c r="L1232" i="5"/>
  <c r="I1232" i="5"/>
  <c r="G1232" i="5"/>
  <c r="K1232" i="5"/>
  <c r="H1232" i="5"/>
  <c r="I1231" i="5"/>
  <c r="L1231" i="5"/>
  <c r="G1231" i="5"/>
  <c r="K1231" i="5"/>
  <c r="H1231" i="5"/>
  <c r="L1230" i="5"/>
  <c r="I1230" i="5"/>
  <c r="H1230" i="5"/>
  <c r="G1230" i="5"/>
  <c r="K1230" i="5"/>
  <c r="I1229" i="5"/>
  <c r="L1229" i="5"/>
  <c r="G1229" i="5"/>
  <c r="K1229" i="5"/>
  <c r="H1229" i="5"/>
  <c r="L1228" i="5"/>
  <c r="I1228" i="5"/>
  <c r="K1228" i="5"/>
  <c r="H1228" i="5"/>
  <c r="G1228" i="5"/>
  <c r="L1227" i="5"/>
  <c r="I1227" i="5"/>
  <c r="K1227" i="5"/>
  <c r="H1227" i="5"/>
  <c r="G1227" i="5"/>
  <c r="L1226" i="5"/>
  <c r="I1226" i="5"/>
  <c r="K1226" i="5"/>
  <c r="H1226" i="5"/>
  <c r="G1226" i="5"/>
  <c r="L1225" i="5"/>
  <c r="I1225" i="5"/>
  <c r="K1225" i="5"/>
  <c r="H1225" i="5"/>
  <c r="G1225" i="5"/>
  <c r="I1224" i="5"/>
  <c r="L1224" i="5"/>
  <c r="G1224" i="5"/>
  <c r="H1224" i="5"/>
  <c r="K1224" i="5"/>
  <c r="I1223" i="5"/>
  <c r="L1223" i="5"/>
  <c r="H1223" i="5"/>
  <c r="G1223" i="5"/>
  <c r="K1223" i="5"/>
  <c r="I1222" i="5"/>
  <c r="L1222" i="5"/>
  <c r="H1222" i="5"/>
  <c r="G1222" i="5"/>
  <c r="K1222" i="5"/>
  <c r="I1221" i="5"/>
  <c r="L1221" i="5"/>
  <c r="H1221" i="5"/>
  <c r="G1221" i="5"/>
  <c r="K1221" i="5"/>
  <c r="I1220" i="5"/>
  <c r="L1220" i="5"/>
  <c r="G1220" i="5"/>
  <c r="H1220" i="5"/>
  <c r="K1220" i="5"/>
  <c r="I1219" i="5"/>
  <c r="L1219" i="5"/>
  <c r="K1219" i="5"/>
  <c r="G1219" i="5"/>
  <c r="H1219" i="5"/>
  <c r="I1218" i="5"/>
  <c r="L1218" i="5"/>
  <c r="G1218" i="5"/>
  <c r="K1218" i="5"/>
  <c r="H1218" i="5"/>
  <c r="I1217" i="5"/>
  <c r="L1217" i="5"/>
  <c r="G1217" i="5"/>
  <c r="K1217" i="5"/>
  <c r="H1217" i="5"/>
  <c r="I1216" i="5"/>
  <c r="L1216" i="5"/>
  <c r="G1216" i="5"/>
  <c r="K1216" i="5"/>
  <c r="H1216" i="5"/>
  <c r="I1215" i="5"/>
  <c r="L1215" i="5"/>
  <c r="G1215" i="5"/>
  <c r="K1215" i="5"/>
  <c r="H1215" i="5"/>
  <c r="I1214" i="5"/>
  <c r="L1214" i="5"/>
  <c r="G1214" i="5"/>
  <c r="K1214" i="5"/>
  <c r="H1214" i="5"/>
  <c r="I1213" i="5"/>
  <c r="L1213" i="5"/>
  <c r="G1213" i="5"/>
  <c r="K1213" i="5"/>
  <c r="H1213" i="5"/>
  <c r="I1212" i="5"/>
  <c r="L1212" i="5"/>
  <c r="G1212" i="5"/>
  <c r="K1212" i="5"/>
  <c r="H1212" i="5"/>
  <c r="I1211" i="5"/>
  <c r="L1211" i="5"/>
  <c r="G1211" i="5"/>
  <c r="K1211" i="5"/>
  <c r="H1211" i="5"/>
  <c r="I1210" i="5"/>
  <c r="L1210" i="5"/>
  <c r="G1210" i="5"/>
  <c r="K1210" i="5"/>
  <c r="H1210" i="5"/>
  <c r="I1209" i="5"/>
  <c r="L1209" i="5"/>
  <c r="G1209" i="5"/>
  <c r="K1209" i="5"/>
  <c r="H1209" i="5"/>
  <c r="I1208" i="5"/>
  <c r="L1208" i="5"/>
  <c r="G1208" i="5"/>
  <c r="K1208" i="5"/>
  <c r="H1208" i="5"/>
  <c r="I1207" i="5"/>
  <c r="L1207" i="5"/>
  <c r="G1207" i="5"/>
  <c r="K1207" i="5"/>
  <c r="H1207" i="5"/>
  <c r="I1206" i="5"/>
  <c r="L1206" i="5"/>
  <c r="G1206" i="5"/>
  <c r="K1206" i="5"/>
  <c r="H1206" i="5"/>
  <c r="L1205" i="5"/>
  <c r="I1205" i="5"/>
  <c r="H1205" i="5"/>
  <c r="G1205" i="5"/>
  <c r="K1205" i="5"/>
  <c r="I1204" i="5"/>
  <c r="L1204" i="5"/>
  <c r="G1204" i="5"/>
  <c r="H1204" i="5"/>
  <c r="K1204" i="5"/>
  <c r="I1203" i="5"/>
  <c r="L1203" i="5"/>
  <c r="G1203" i="5"/>
  <c r="H1203" i="5"/>
  <c r="K1203" i="5"/>
  <c r="I1202" i="5"/>
  <c r="L1202" i="5"/>
  <c r="G1202" i="5"/>
  <c r="H1202" i="5"/>
  <c r="K1202" i="5"/>
  <c r="I1201" i="5"/>
  <c r="L1201" i="5"/>
  <c r="G1201" i="5"/>
  <c r="H1201" i="5"/>
  <c r="K1201" i="5"/>
  <c r="L1200" i="5"/>
  <c r="I1200" i="5"/>
  <c r="K1200" i="5"/>
  <c r="H1200" i="5"/>
  <c r="G1200" i="5"/>
  <c r="L1199" i="5"/>
  <c r="I1199" i="5"/>
  <c r="K1199" i="5"/>
  <c r="H1199" i="5"/>
  <c r="G1199" i="5"/>
  <c r="I1198" i="5"/>
  <c r="L1198" i="5"/>
  <c r="K1198" i="5"/>
  <c r="H1198" i="5"/>
  <c r="G1198" i="5"/>
  <c r="L1197" i="5"/>
  <c r="I1197" i="5"/>
  <c r="K1197" i="5"/>
  <c r="H1197" i="5"/>
  <c r="G1197" i="5"/>
  <c r="L1196" i="5"/>
  <c r="I1196" i="5"/>
  <c r="G1196" i="5"/>
  <c r="K1196" i="5"/>
  <c r="H1196" i="5"/>
  <c r="I1195" i="5"/>
  <c r="L1195" i="5"/>
  <c r="G1195" i="5"/>
  <c r="K1195" i="5"/>
  <c r="H1195" i="5"/>
  <c r="I1194" i="5"/>
  <c r="L1194" i="5"/>
  <c r="G1194" i="5"/>
  <c r="K1194" i="5"/>
  <c r="H1194" i="5"/>
  <c r="L1193" i="5"/>
  <c r="I1193" i="5"/>
  <c r="K1193" i="5"/>
  <c r="H1193" i="5"/>
  <c r="G1193" i="5"/>
  <c r="L1192" i="5"/>
  <c r="I1192" i="5"/>
  <c r="K1192" i="5"/>
  <c r="H1192" i="5"/>
  <c r="G1192" i="5"/>
  <c r="L1191" i="5"/>
  <c r="I1191" i="5"/>
  <c r="G1191" i="5"/>
  <c r="H1191" i="5"/>
  <c r="K1191" i="5"/>
  <c r="L1190" i="5"/>
  <c r="I1190" i="5"/>
  <c r="K1190" i="5"/>
  <c r="H1190" i="5"/>
  <c r="G1190" i="5"/>
  <c r="L1189" i="5"/>
  <c r="I1189" i="5"/>
  <c r="G1189" i="5"/>
  <c r="H1189" i="5"/>
  <c r="K1189" i="5"/>
  <c r="L1188" i="5"/>
  <c r="I1188" i="5"/>
  <c r="K1188" i="5"/>
  <c r="H1188" i="5"/>
  <c r="G1188" i="5"/>
  <c r="I1187" i="5"/>
  <c r="L1187" i="5"/>
  <c r="G1187" i="5"/>
  <c r="H1187" i="5"/>
  <c r="K1187" i="5"/>
  <c r="I1186" i="5"/>
  <c r="L1186" i="5"/>
  <c r="G1186" i="5"/>
  <c r="H1186" i="5"/>
  <c r="K1186" i="5"/>
  <c r="I1185" i="5"/>
  <c r="L1185" i="5"/>
  <c r="G1185" i="5"/>
  <c r="H1185" i="5"/>
  <c r="K1185" i="5"/>
  <c r="I1184" i="5"/>
  <c r="L1184" i="5"/>
  <c r="G1184" i="5"/>
  <c r="H1184" i="5"/>
  <c r="K1184" i="5"/>
  <c r="L1183" i="5"/>
  <c r="I1183" i="5"/>
  <c r="G1183" i="5"/>
  <c r="K1183" i="5"/>
  <c r="H1183" i="5"/>
  <c r="I1182" i="5"/>
  <c r="L1182" i="5"/>
  <c r="K1182" i="5"/>
  <c r="H1182" i="5"/>
  <c r="G1182" i="5"/>
  <c r="L1181" i="5"/>
  <c r="I1181" i="5"/>
  <c r="K1181" i="5"/>
  <c r="H1181" i="5"/>
  <c r="G1181" i="5"/>
  <c r="L1180" i="5"/>
  <c r="I1180" i="5"/>
  <c r="K1180" i="5"/>
  <c r="H1180" i="5"/>
  <c r="G1180" i="5"/>
  <c r="L1179" i="5"/>
  <c r="I1179" i="5"/>
  <c r="K1179" i="5"/>
  <c r="G1179" i="5"/>
  <c r="H1179" i="5"/>
  <c r="L1178" i="5"/>
  <c r="I1178" i="5"/>
  <c r="K1178" i="5"/>
  <c r="H1178" i="5"/>
  <c r="G1178" i="5"/>
  <c r="L1177" i="5"/>
  <c r="I1177" i="5"/>
  <c r="K1177" i="5"/>
  <c r="H1177" i="5"/>
  <c r="G1177" i="5"/>
  <c r="L1176" i="5"/>
  <c r="I1176" i="5"/>
  <c r="G1176" i="5"/>
  <c r="K1176" i="5"/>
  <c r="H1176" i="5"/>
  <c r="L1175" i="5"/>
  <c r="I1175" i="5"/>
  <c r="K1175" i="5"/>
  <c r="H1175" i="5"/>
  <c r="G1175" i="5"/>
  <c r="L1174" i="5"/>
  <c r="I1174" i="5"/>
  <c r="K1174" i="5"/>
  <c r="H1174" i="5"/>
  <c r="G1174" i="5"/>
  <c r="L1173" i="5"/>
  <c r="I1173" i="5"/>
  <c r="K1173" i="5"/>
  <c r="H1173" i="5"/>
  <c r="G1173" i="5"/>
  <c r="L1172" i="5"/>
  <c r="I1172" i="5"/>
  <c r="G1172" i="5"/>
  <c r="K1172" i="5"/>
  <c r="H1172" i="5"/>
  <c r="I1171" i="5"/>
  <c r="L1171" i="5"/>
  <c r="K1171" i="5"/>
  <c r="G1171" i="5"/>
  <c r="H1171" i="5"/>
  <c r="I1170" i="5"/>
  <c r="L1170" i="5"/>
  <c r="G1170" i="5"/>
  <c r="H1170" i="5"/>
  <c r="K1170" i="5"/>
  <c r="I1169" i="5"/>
  <c r="L1169" i="5"/>
  <c r="G1169" i="5"/>
  <c r="K1169" i="5"/>
  <c r="H1169" i="5"/>
  <c r="L1168" i="5"/>
  <c r="I1168" i="5"/>
  <c r="K1168" i="5"/>
  <c r="H1168" i="5"/>
  <c r="G1168" i="5"/>
  <c r="L1167" i="5"/>
  <c r="I1167" i="5"/>
  <c r="K1167" i="5"/>
  <c r="H1167" i="5"/>
  <c r="G1167" i="5"/>
  <c r="L1166" i="5"/>
  <c r="I1166" i="5"/>
  <c r="K1166" i="5"/>
  <c r="H1166" i="5"/>
  <c r="G1166" i="5"/>
  <c r="L1165" i="5"/>
  <c r="I1165" i="5"/>
  <c r="H1165" i="5"/>
  <c r="G1165" i="5"/>
  <c r="K1165" i="5"/>
  <c r="I1164" i="5"/>
  <c r="L1164" i="5"/>
  <c r="K1164" i="5"/>
  <c r="H1164" i="5"/>
  <c r="G1164" i="5"/>
  <c r="I1163" i="5"/>
  <c r="L1163" i="5"/>
  <c r="H1163" i="5"/>
  <c r="G1163" i="5"/>
  <c r="K1163" i="5"/>
  <c r="L1162" i="5"/>
  <c r="I1162" i="5"/>
  <c r="G1162" i="5"/>
  <c r="K1162" i="5"/>
  <c r="H1162" i="5"/>
  <c r="L1161" i="5"/>
  <c r="I1161" i="5"/>
  <c r="G1161" i="5"/>
  <c r="H1161" i="5"/>
  <c r="K1161" i="5"/>
  <c r="L1160" i="5"/>
  <c r="I1160" i="5"/>
  <c r="K1160" i="5"/>
  <c r="G1160" i="5"/>
  <c r="H1160" i="5"/>
  <c r="I1159" i="5"/>
  <c r="L1159" i="5"/>
  <c r="K1159" i="5"/>
  <c r="G1159" i="5"/>
  <c r="H1159" i="5"/>
  <c r="I1158" i="5"/>
  <c r="L1158" i="5"/>
  <c r="G1158" i="5"/>
  <c r="H1158" i="5"/>
  <c r="K1158" i="5"/>
  <c r="L1157" i="5"/>
  <c r="I1157" i="5"/>
  <c r="H1157" i="5"/>
  <c r="K1157" i="5"/>
  <c r="G1157" i="5"/>
  <c r="I1156" i="5"/>
  <c r="L1156" i="5"/>
  <c r="H1156" i="5"/>
  <c r="G1156" i="5"/>
  <c r="K1156" i="5"/>
  <c r="L1155" i="5"/>
  <c r="I1155" i="5"/>
  <c r="K1155" i="5"/>
  <c r="H1155" i="5"/>
  <c r="G1155" i="5"/>
  <c r="I1154" i="5"/>
  <c r="L1154" i="5"/>
  <c r="H1154" i="5"/>
  <c r="K1154" i="5"/>
  <c r="G1154" i="5"/>
  <c r="L1153" i="5"/>
  <c r="I1153" i="5"/>
  <c r="K1153" i="5"/>
  <c r="H1153" i="5"/>
  <c r="G1153" i="5"/>
  <c r="I1152" i="5"/>
  <c r="L1152" i="5"/>
  <c r="G1152" i="5"/>
  <c r="H1152" i="5"/>
  <c r="K1152" i="5"/>
  <c r="L1151" i="5"/>
  <c r="I1151" i="5"/>
  <c r="K1151" i="5"/>
  <c r="H1151" i="5"/>
  <c r="G1151" i="5"/>
  <c r="I1150" i="5"/>
  <c r="L1150" i="5"/>
  <c r="G1150" i="5"/>
  <c r="H1150" i="5"/>
  <c r="K1150" i="5"/>
  <c r="I1149" i="5"/>
  <c r="L1149" i="5"/>
  <c r="K1149" i="5"/>
  <c r="H1149" i="5"/>
  <c r="G1149" i="5"/>
  <c r="L1148" i="5"/>
  <c r="I1148" i="5"/>
  <c r="K1148" i="5"/>
  <c r="H1148" i="5"/>
  <c r="G1148" i="5"/>
  <c r="I1147" i="5"/>
  <c r="L1147" i="5"/>
  <c r="H1147" i="5"/>
  <c r="K1147" i="5"/>
  <c r="G1147" i="5"/>
  <c r="I1146" i="5"/>
  <c r="L1146" i="5"/>
  <c r="G1146" i="5"/>
  <c r="H1146" i="5"/>
  <c r="K1146" i="5"/>
  <c r="L1145" i="5"/>
  <c r="I1145" i="5"/>
  <c r="H1145" i="5"/>
  <c r="G1145" i="5"/>
  <c r="K1145" i="5"/>
  <c r="L1144" i="5"/>
  <c r="I1144" i="5"/>
  <c r="G1144" i="5"/>
  <c r="H1144" i="5"/>
  <c r="K1144" i="5"/>
  <c r="L1143" i="5"/>
  <c r="I1143" i="5"/>
  <c r="K1143" i="5"/>
  <c r="H1143" i="5"/>
  <c r="G1143" i="5"/>
  <c r="L1142" i="5"/>
  <c r="I1142" i="5"/>
  <c r="K1142" i="5"/>
  <c r="H1142" i="5"/>
  <c r="G1142" i="5"/>
  <c r="I1141" i="5"/>
  <c r="L1141" i="5"/>
  <c r="G1141" i="5"/>
  <c r="H1141" i="5"/>
  <c r="K1141" i="5"/>
  <c r="L1140" i="5"/>
  <c r="I1140" i="5"/>
  <c r="H1140" i="5"/>
  <c r="K1140" i="5"/>
  <c r="G1140" i="5"/>
  <c r="L1139" i="5"/>
  <c r="I1139" i="5"/>
  <c r="G1139" i="5"/>
  <c r="K1139" i="5"/>
  <c r="H1139" i="5"/>
  <c r="I1138" i="5"/>
  <c r="L1138" i="5"/>
  <c r="G1138" i="5"/>
  <c r="H1138" i="5"/>
  <c r="K1138" i="5"/>
  <c r="L1137" i="5"/>
  <c r="I1137" i="5"/>
  <c r="K1137" i="5"/>
  <c r="G1137" i="5"/>
  <c r="H1137" i="5"/>
  <c r="L1136" i="5"/>
  <c r="I1136" i="5"/>
  <c r="K1136" i="5"/>
  <c r="G1136" i="5"/>
  <c r="H1136" i="5"/>
  <c r="L1135" i="5"/>
  <c r="I1135" i="5"/>
  <c r="G1135" i="5"/>
  <c r="H1135" i="5"/>
  <c r="K1135" i="5"/>
  <c r="L1134" i="5"/>
  <c r="I1134" i="5"/>
  <c r="K1134" i="5"/>
  <c r="G1134" i="5"/>
  <c r="H1134" i="5"/>
  <c r="I1133" i="5"/>
  <c r="L1133" i="5"/>
  <c r="G1133" i="5"/>
  <c r="H1133" i="5"/>
  <c r="K1133" i="5"/>
  <c r="L1132" i="5"/>
  <c r="I1132" i="5"/>
  <c r="K1132" i="5"/>
  <c r="H1132" i="5"/>
  <c r="G1132" i="5"/>
  <c r="L1131" i="5"/>
  <c r="I1131" i="5"/>
  <c r="K1131" i="5"/>
  <c r="H1131" i="5"/>
  <c r="G1131" i="5"/>
  <c r="I1130" i="5"/>
  <c r="L1130" i="5"/>
  <c r="G1130" i="5"/>
  <c r="H1130" i="5"/>
  <c r="K1130" i="5"/>
  <c r="L1129" i="5"/>
  <c r="I1129" i="5"/>
  <c r="K1129" i="5"/>
  <c r="H1129" i="5"/>
  <c r="G1129" i="5"/>
  <c r="L1128" i="5"/>
  <c r="I1128" i="5"/>
  <c r="K1128" i="5"/>
  <c r="H1128" i="5"/>
  <c r="G1128" i="5"/>
  <c r="L1127" i="5"/>
  <c r="I1127" i="5"/>
  <c r="K1127" i="5"/>
  <c r="H1127" i="5"/>
  <c r="G1127" i="5"/>
  <c r="L1126" i="5"/>
  <c r="I1126" i="5"/>
  <c r="G1126" i="5"/>
  <c r="H1126" i="5"/>
  <c r="K1126" i="5"/>
  <c r="L1125" i="5"/>
  <c r="I1125" i="5"/>
  <c r="K1125" i="5"/>
  <c r="H1125" i="5"/>
  <c r="G1125" i="5"/>
  <c r="L1124" i="5"/>
  <c r="I1124" i="5"/>
  <c r="G1124" i="5"/>
  <c r="K1124" i="5"/>
  <c r="H1124" i="5"/>
  <c r="L1123" i="5"/>
  <c r="I1123" i="5"/>
  <c r="H1123" i="5"/>
  <c r="G1123" i="5"/>
  <c r="K1123" i="5"/>
  <c r="I1122" i="5"/>
  <c r="L1122" i="5"/>
  <c r="H1122" i="5"/>
  <c r="K1122" i="5"/>
  <c r="G1122" i="5"/>
  <c r="I1121" i="5"/>
  <c r="L1121" i="5"/>
  <c r="K1121" i="5"/>
  <c r="G1121" i="5"/>
  <c r="H1121" i="5"/>
  <c r="I1120" i="5"/>
  <c r="L1120" i="5"/>
  <c r="G1120" i="5"/>
  <c r="H1120" i="5"/>
  <c r="K1120" i="5"/>
  <c r="L1119" i="5"/>
  <c r="I1119" i="5"/>
  <c r="K1119" i="5"/>
  <c r="H1119" i="5"/>
  <c r="G1119" i="5"/>
  <c r="I1118" i="5"/>
  <c r="L1118" i="5"/>
  <c r="G1118" i="5"/>
  <c r="H1118" i="5"/>
  <c r="K1118" i="5"/>
  <c r="I1117" i="5"/>
  <c r="L1117" i="5"/>
  <c r="K1117" i="5"/>
  <c r="G1117" i="5"/>
  <c r="H1117" i="5"/>
  <c r="I1116" i="5"/>
  <c r="L1116" i="5"/>
  <c r="G1116" i="5"/>
  <c r="H1116" i="5"/>
  <c r="K1116" i="5"/>
  <c r="L1115" i="5"/>
  <c r="I1115" i="5"/>
  <c r="H1115" i="5"/>
  <c r="G1115" i="5"/>
  <c r="K1115" i="5"/>
  <c r="I1114" i="5"/>
  <c r="L1114" i="5"/>
  <c r="H1114" i="5"/>
  <c r="G1114" i="5"/>
  <c r="K1114" i="5"/>
  <c r="I1113" i="5"/>
  <c r="L1113" i="5"/>
  <c r="H1113" i="5"/>
  <c r="K1113" i="5"/>
  <c r="G1113" i="5"/>
  <c r="L1112" i="5"/>
  <c r="I1112" i="5"/>
  <c r="K1112" i="5"/>
  <c r="H1112" i="5"/>
  <c r="G1112" i="5"/>
  <c r="I1111" i="5"/>
  <c r="L1111" i="5"/>
  <c r="K1111" i="5"/>
  <c r="H1111" i="5"/>
  <c r="G1111" i="5"/>
  <c r="L1110" i="5"/>
  <c r="I1110" i="5"/>
  <c r="K1110" i="5"/>
  <c r="H1110" i="5"/>
  <c r="G1110" i="5"/>
  <c r="L1109" i="5"/>
  <c r="I1109" i="5"/>
  <c r="G1109" i="5"/>
  <c r="H1109" i="5"/>
  <c r="K1109" i="5"/>
  <c r="I1108" i="5"/>
  <c r="L1108" i="5"/>
  <c r="G1108" i="5"/>
  <c r="H1108" i="5"/>
  <c r="K1108" i="5"/>
  <c r="L1107" i="5"/>
  <c r="I1107" i="5"/>
  <c r="K1107" i="5"/>
  <c r="H1107" i="5"/>
  <c r="G1107" i="5"/>
  <c r="L1106" i="5"/>
  <c r="I1106" i="5"/>
  <c r="H1106" i="5"/>
  <c r="G1106" i="5"/>
  <c r="K1106" i="5"/>
  <c r="I1105" i="5"/>
  <c r="L1105" i="5"/>
  <c r="G1105" i="5"/>
  <c r="H1105" i="5"/>
  <c r="K1105" i="5"/>
  <c r="I1104" i="5"/>
  <c r="L1104" i="5"/>
  <c r="K1104" i="5"/>
  <c r="G1104" i="5"/>
  <c r="H1104" i="5"/>
  <c r="I1103" i="5"/>
  <c r="L1103" i="5"/>
  <c r="G1103" i="5"/>
  <c r="H1103" i="5"/>
  <c r="K1103" i="5"/>
  <c r="L1102" i="5"/>
  <c r="I1102" i="5"/>
  <c r="G1102" i="5"/>
  <c r="H1102" i="5"/>
  <c r="K1102" i="5"/>
  <c r="L1101" i="5"/>
  <c r="I1101" i="5"/>
  <c r="K1101" i="5"/>
  <c r="H1101" i="5"/>
  <c r="G1101" i="5"/>
  <c r="I1100" i="5"/>
  <c r="L1100" i="5"/>
  <c r="G1100" i="5"/>
  <c r="H1100" i="5"/>
  <c r="K1100" i="5"/>
  <c r="I1099" i="5"/>
  <c r="L1099" i="5"/>
  <c r="G1099" i="5"/>
  <c r="H1099" i="5"/>
  <c r="K1099" i="5"/>
  <c r="I1098" i="5"/>
  <c r="L1098" i="5"/>
  <c r="G1098" i="5"/>
  <c r="H1098" i="5"/>
  <c r="K1098" i="5"/>
  <c r="L1097" i="5"/>
  <c r="I1097" i="5"/>
  <c r="G1097" i="5"/>
  <c r="H1097" i="5"/>
  <c r="K1097" i="5"/>
  <c r="L1096" i="5"/>
  <c r="I1096" i="5"/>
  <c r="G1096" i="5"/>
  <c r="H1096" i="5"/>
  <c r="K1096" i="5"/>
  <c r="L1095" i="5"/>
  <c r="I1095" i="5"/>
  <c r="K1095" i="5"/>
  <c r="H1095" i="5"/>
  <c r="G1095" i="5"/>
  <c r="I1094" i="5"/>
  <c r="L1094" i="5"/>
  <c r="H1094" i="5"/>
  <c r="G1094" i="5"/>
  <c r="K1094" i="5"/>
  <c r="L1093" i="5"/>
  <c r="I1093" i="5"/>
  <c r="K1093" i="5"/>
  <c r="H1093" i="5"/>
  <c r="G1093" i="5"/>
  <c r="L1092" i="5"/>
  <c r="I1092" i="5"/>
  <c r="H1092" i="5"/>
  <c r="G1092" i="5"/>
  <c r="K1092" i="5"/>
  <c r="I1091" i="5"/>
  <c r="L1091" i="5"/>
  <c r="G1091" i="5"/>
  <c r="H1091" i="5"/>
  <c r="K1091" i="5"/>
  <c r="I1090" i="5"/>
  <c r="L1090" i="5"/>
  <c r="G1090" i="5"/>
  <c r="H1090" i="5"/>
  <c r="K1090" i="5"/>
  <c r="L1089" i="5"/>
  <c r="I1089" i="5"/>
  <c r="H1089" i="5"/>
  <c r="K1089" i="5"/>
  <c r="G1089" i="5"/>
  <c r="I1088" i="5"/>
  <c r="L1088" i="5"/>
  <c r="H1338" i="5"/>
  <c r="H1088" i="5"/>
  <c r="G1088" i="5"/>
  <c r="K1088" i="5"/>
  <c r="L1087" i="5"/>
  <c r="I1087" i="5"/>
  <c r="K1087" i="5"/>
  <c r="H1087" i="5"/>
  <c r="G1087" i="5"/>
  <c r="L1086" i="5"/>
  <c r="I1086" i="5"/>
  <c r="K1086" i="5"/>
  <c r="H1086" i="5"/>
  <c r="G1086" i="5"/>
  <c r="L1085" i="5"/>
  <c r="I1085" i="5"/>
  <c r="G1085" i="5"/>
  <c r="K1085" i="5"/>
  <c r="H1085" i="5"/>
  <c r="I1084" i="5"/>
  <c r="L1084" i="5"/>
  <c r="K1084" i="5"/>
  <c r="G1084" i="5"/>
  <c r="H1084" i="5"/>
  <c r="L1083" i="5"/>
  <c r="I1083" i="5"/>
  <c r="K1083" i="5"/>
  <c r="H1083" i="5"/>
  <c r="G1083" i="5"/>
  <c r="L1082" i="5"/>
  <c r="I1082" i="5"/>
  <c r="G1082" i="5"/>
  <c r="H1082" i="5"/>
  <c r="K1082" i="5"/>
  <c r="L1081" i="5"/>
  <c r="I1081" i="5"/>
  <c r="G1081" i="5"/>
  <c r="H1081" i="5"/>
  <c r="K1081" i="5"/>
  <c r="L1080" i="5"/>
  <c r="I1080" i="5"/>
  <c r="H1080" i="5"/>
  <c r="G1080" i="5"/>
  <c r="K1080" i="5"/>
  <c r="I1079" i="5"/>
  <c r="L1079" i="5"/>
  <c r="H1079" i="5"/>
  <c r="K1079" i="5"/>
  <c r="G1079" i="5"/>
  <c r="L1078" i="5"/>
  <c r="I1078" i="5"/>
  <c r="G1078" i="5"/>
  <c r="K1078" i="5"/>
  <c r="H1078" i="5"/>
  <c r="L1077" i="5"/>
  <c r="I1077" i="5"/>
  <c r="K1077" i="5"/>
  <c r="H1077" i="5"/>
  <c r="G1077" i="5"/>
  <c r="I1076" i="5"/>
  <c r="L1076" i="5"/>
  <c r="G1076" i="5"/>
  <c r="H1076" i="5"/>
  <c r="K1076" i="5"/>
  <c r="L1075" i="5"/>
  <c r="I1075" i="5"/>
  <c r="H1075" i="5"/>
  <c r="K1075" i="5"/>
  <c r="G1075" i="5"/>
  <c r="I1074" i="5"/>
  <c r="L1074" i="5"/>
  <c r="G1074" i="5"/>
  <c r="H1074" i="5"/>
  <c r="K1074" i="5"/>
  <c r="I1073" i="5"/>
  <c r="L1073" i="5"/>
  <c r="G1073" i="5"/>
  <c r="H1073" i="5"/>
  <c r="K1073" i="5"/>
  <c r="I1072" i="5"/>
  <c r="L1072" i="5"/>
  <c r="H1072" i="5"/>
  <c r="K1072" i="5"/>
  <c r="G1072" i="5"/>
  <c r="L1071" i="5"/>
  <c r="I1071" i="5"/>
  <c r="G1071" i="5"/>
  <c r="H1071" i="5"/>
  <c r="K1071" i="5"/>
  <c r="I1070" i="5"/>
  <c r="L1070" i="5"/>
  <c r="G1070" i="5"/>
  <c r="H1070" i="5"/>
  <c r="K1070" i="5"/>
  <c r="I1069" i="5"/>
  <c r="L1069" i="5"/>
  <c r="G1069" i="5"/>
  <c r="H1069" i="5"/>
  <c r="K1069" i="5"/>
  <c r="I1068" i="5"/>
  <c r="L1068" i="5"/>
  <c r="G1068" i="5"/>
  <c r="H1068" i="5"/>
  <c r="K1068" i="5"/>
  <c r="I1067" i="5"/>
  <c r="L1067" i="5"/>
  <c r="K1067" i="5"/>
  <c r="H1067" i="5"/>
  <c r="G1067" i="5"/>
  <c r="L1066" i="5"/>
  <c r="I1066" i="5"/>
  <c r="K1066" i="5"/>
  <c r="H1066" i="5"/>
  <c r="G1066" i="5"/>
  <c r="L1065" i="5"/>
  <c r="I1065" i="5"/>
  <c r="H1065" i="5"/>
  <c r="K1065" i="5"/>
  <c r="G1065" i="5"/>
  <c r="I1064" i="5"/>
  <c r="L1064" i="5"/>
  <c r="G1064" i="5"/>
  <c r="H1064" i="5"/>
  <c r="K1064" i="5"/>
  <c r="L1063" i="5"/>
  <c r="I1063" i="5"/>
  <c r="K1063" i="5"/>
  <c r="H1063" i="5"/>
  <c r="G1063" i="5"/>
  <c r="L1062" i="5"/>
  <c r="I1062" i="5"/>
  <c r="K1062" i="5"/>
  <c r="H1062" i="5"/>
  <c r="G1062" i="5"/>
  <c r="L1061" i="5"/>
  <c r="I1061" i="5"/>
  <c r="K1061" i="5"/>
  <c r="H1061" i="5"/>
  <c r="G1061" i="5"/>
  <c r="I1060" i="5"/>
  <c r="L1060" i="5"/>
  <c r="K1060" i="5"/>
  <c r="G1060" i="5"/>
  <c r="H1060" i="5"/>
  <c r="L1059" i="5"/>
  <c r="I1059" i="5"/>
  <c r="K1059" i="5"/>
  <c r="H1059" i="5"/>
  <c r="G1059" i="5"/>
  <c r="L1058" i="5"/>
  <c r="I1058" i="5"/>
  <c r="K1058" i="5"/>
  <c r="H1058" i="5"/>
  <c r="G1058" i="5"/>
  <c r="I1057" i="5"/>
  <c r="L1057" i="5"/>
  <c r="K1057" i="5"/>
  <c r="H1057" i="5"/>
  <c r="G1057" i="5"/>
  <c r="L1056" i="5"/>
  <c r="I1056" i="5"/>
  <c r="K1056" i="5"/>
  <c r="H1056" i="5"/>
  <c r="G1056" i="5"/>
  <c r="L1055" i="5"/>
  <c r="I1055" i="5"/>
  <c r="K1055" i="5"/>
  <c r="H1055" i="5"/>
  <c r="G1055" i="5"/>
  <c r="L1054" i="5"/>
  <c r="I1054" i="5"/>
  <c r="G1054" i="5"/>
  <c r="H1054" i="5"/>
  <c r="K1054" i="5"/>
  <c r="L1053" i="5"/>
  <c r="I1053" i="5"/>
  <c r="K1053" i="5"/>
  <c r="G1053" i="5"/>
  <c r="H1053" i="5"/>
  <c r="I1052" i="5"/>
  <c r="L1052" i="5"/>
  <c r="K1052" i="5"/>
  <c r="H1052" i="5"/>
  <c r="G1052" i="5"/>
  <c r="I1051" i="5"/>
  <c r="L1051" i="5"/>
  <c r="G1051" i="5"/>
  <c r="K1051" i="5"/>
  <c r="H1051" i="5"/>
  <c r="L1050" i="5"/>
  <c r="I1050" i="5"/>
  <c r="G1050" i="5"/>
  <c r="K1050" i="5"/>
  <c r="H1050" i="5"/>
  <c r="I1049" i="5"/>
  <c r="L1049" i="5"/>
  <c r="K1049" i="5"/>
  <c r="H1049" i="5"/>
  <c r="G1049" i="5"/>
  <c r="L1048" i="5"/>
  <c r="I1048" i="5"/>
  <c r="K1048" i="5"/>
  <c r="H1048" i="5"/>
  <c r="G1048" i="5"/>
  <c r="L1047" i="5"/>
  <c r="I1047" i="5"/>
  <c r="K1047" i="5"/>
  <c r="H1047" i="5"/>
  <c r="G1047" i="5"/>
  <c r="L1046" i="5"/>
  <c r="I1046" i="5"/>
  <c r="H1046" i="5"/>
  <c r="K1046" i="5"/>
  <c r="G1046" i="5"/>
  <c r="I1045" i="5"/>
  <c r="L1045" i="5"/>
  <c r="G1045" i="5"/>
  <c r="H1045" i="5"/>
  <c r="K1045" i="5"/>
  <c r="I1044" i="5"/>
  <c r="L1044" i="5"/>
  <c r="G1044" i="5"/>
  <c r="H1044" i="5"/>
  <c r="K1044" i="5"/>
  <c r="I1043" i="5"/>
  <c r="L1043" i="5"/>
  <c r="K1043" i="5"/>
  <c r="H1043" i="5"/>
  <c r="G1043" i="5"/>
  <c r="L1042" i="5"/>
  <c r="I1042" i="5"/>
  <c r="K1042" i="5"/>
  <c r="H1042" i="5"/>
  <c r="G1042" i="5"/>
  <c r="I1041" i="5"/>
  <c r="L1041" i="5"/>
  <c r="K1041" i="5"/>
  <c r="H1041" i="5"/>
  <c r="G1041" i="5"/>
  <c r="L1040" i="5"/>
  <c r="I1040" i="5"/>
  <c r="K1040" i="5"/>
  <c r="G1040" i="5"/>
  <c r="H1040" i="5"/>
  <c r="I1039" i="5"/>
  <c r="L1039" i="5"/>
  <c r="G1039" i="5"/>
  <c r="H1039" i="5"/>
  <c r="K1039" i="5"/>
  <c r="L1038" i="5"/>
  <c r="I1038" i="5"/>
  <c r="K1038" i="5"/>
  <c r="G1038" i="5"/>
  <c r="H1038" i="5"/>
  <c r="I1037" i="5"/>
  <c r="L1037" i="5"/>
  <c r="G1037" i="5"/>
  <c r="H1037" i="5"/>
  <c r="K1037" i="5"/>
  <c r="I1036" i="5"/>
  <c r="L1036" i="5"/>
  <c r="H1036" i="5"/>
  <c r="K1036" i="5"/>
  <c r="G1036" i="5"/>
  <c r="I1035" i="5"/>
  <c r="L1035" i="5"/>
  <c r="G1035" i="5"/>
  <c r="H1035" i="5"/>
  <c r="K1035" i="5"/>
  <c r="I1034" i="5"/>
  <c r="L1034" i="5"/>
  <c r="G1034" i="5"/>
  <c r="H1034" i="5"/>
  <c r="K1034" i="5"/>
  <c r="I1033" i="5"/>
  <c r="L1033" i="5"/>
  <c r="G1033" i="5"/>
  <c r="H1033" i="5"/>
  <c r="K1033" i="5"/>
  <c r="L1032" i="5"/>
  <c r="I1032" i="5"/>
  <c r="K1032" i="5"/>
  <c r="H1032" i="5"/>
  <c r="G1032" i="5"/>
  <c r="L1031" i="5"/>
  <c r="I1031" i="5"/>
  <c r="K1031" i="5"/>
  <c r="H1031" i="5"/>
  <c r="G1031" i="5"/>
  <c r="L1030" i="5"/>
  <c r="I1030" i="5"/>
  <c r="K1030" i="5"/>
  <c r="H1030" i="5"/>
  <c r="G1030" i="5"/>
  <c r="L1029" i="5"/>
  <c r="I1029" i="5"/>
  <c r="G1029" i="5"/>
  <c r="K1029" i="5"/>
  <c r="H1029" i="5"/>
  <c r="I1028" i="5"/>
  <c r="L1028" i="5"/>
  <c r="K1028" i="5"/>
  <c r="G1028" i="5"/>
  <c r="H1028" i="5"/>
  <c r="I1027" i="5"/>
  <c r="L1027" i="5"/>
  <c r="K1027" i="5"/>
  <c r="H1027" i="5"/>
  <c r="G1027" i="5"/>
  <c r="L1026" i="5"/>
  <c r="I1026" i="5"/>
  <c r="K1026" i="5"/>
  <c r="H1026" i="5"/>
  <c r="G1026" i="5"/>
  <c r="I1025" i="5"/>
  <c r="L1025" i="5"/>
  <c r="K1025" i="5"/>
  <c r="H1025" i="5"/>
  <c r="G1025" i="5"/>
  <c r="L1024" i="5"/>
  <c r="I1024" i="5"/>
  <c r="K1024" i="5"/>
  <c r="H1024" i="5"/>
  <c r="G1024" i="5"/>
  <c r="I1023" i="5"/>
  <c r="L1023" i="5"/>
  <c r="K1023" i="5"/>
  <c r="H1023" i="5"/>
  <c r="G1023" i="5"/>
  <c r="L1022" i="5"/>
  <c r="I1022" i="5"/>
  <c r="K1022" i="5"/>
  <c r="H1022" i="5"/>
  <c r="G1022" i="5"/>
  <c r="L1021" i="5"/>
  <c r="I1021" i="5"/>
  <c r="K1021" i="5"/>
  <c r="H1021" i="5"/>
  <c r="G1021" i="5"/>
  <c r="L1020" i="5"/>
  <c r="I1020" i="5"/>
  <c r="K1020" i="5"/>
  <c r="H1020" i="5"/>
  <c r="G1020" i="5"/>
  <c r="L1019" i="5"/>
  <c r="I1019" i="5"/>
  <c r="K1019" i="5"/>
  <c r="H1019" i="5"/>
  <c r="G1019" i="5"/>
  <c r="L1018" i="5"/>
  <c r="I1018" i="5"/>
  <c r="H1018" i="5"/>
  <c r="G1018" i="5"/>
  <c r="K1018" i="5"/>
  <c r="L1017" i="5"/>
  <c r="I1017" i="5"/>
  <c r="K1017" i="5"/>
  <c r="H1017" i="5"/>
  <c r="G1017" i="5"/>
  <c r="L1016" i="5"/>
  <c r="I1016" i="5"/>
  <c r="K1016" i="5"/>
  <c r="H1016" i="5"/>
  <c r="G1016" i="5"/>
  <c r="L1015" i="5"/>
  <c r="I1015" i="5"/>
  <c r="G1015" i="5"/>
  <c r="K1015" i="5"/>
  <c r="H1015" i="5"/>
  <c r="L1014" i="5"/>
  <c r="I1014" i="5"/>
  <c r="K1014" i="5"/>
  <c r="H1014" i="5"/>
  <c r="G1014" i="5"/>
  <c r="L1013" i="5"/>
  <c r="I1013" i="5"/>
  <c r="K1013" i="5"/>
  <c r="H1013" i="5"/>
  <c r="G1013" i="5"/>
  <c r="L1012" i="5"/>
  <c r="I1012" i="5"/>
  <c r="K1012" i="5"/>
  <c r="H1012" i="5"/>
  <c r="G1012" i="5"/>
  <c r="L1011" i="5"/>
  <c r="I1011" i="5"/>
  <c r="G1011" i="5"/>
  <c r="K1011" i="5"/>
  <c r="H1011" i="5"/>
  <c r="I1010" i="5"/>
  <c r="L1010" i="5"/>
  <c r="H1010" i="5"/>
  <c r="K1010" i="5"/>
  <c r="G1010" i="5"/>
  <c r="L1009" i="5"/>
  <c r="I1009" i="5"/>
  <c r="K1009" i="5"/>
  <c r="H1009" i="5"/>
  <c r="G1009" i="5"/>
  <c r="L1008" i="5"/>
  <c r="I1008" i="5"/>
  <c r="K1008" i="5"/>
  <c r="H1008" i="5"/>
  <c r="G1008" i="5"/>
  <c r="L1007" i="5"/>
  <c r="I1007" i="5"/>
  <c r="K1007" i="5"/>
  <c r="H1007" i="5"/>
  <c r="G1007" i="5"/>
  <c r="I1006" i="5"/>
  <c r="L1006" i="5"/>
  <c r="H1006" i="5"/>
  <c r="K1006" i="5"/>
  <c r="G1006" i="5"/>
  <c r="L1005" i="5"/>
  <c r="I1005" i="5"/>
  <c r="K1005" i="5"/>
  <c r="H1005" i="5"/>
  <c r="G1005" i="5"/>
  <c r="L1004" i="5"/>
  <c r="I1004" i="5"/>
  <c r="K1004" i="5"/>
  <c r="H1004" i="5"/>
  <c r="G1004" i="5"/>
  <c r="L1003" i="5"/>
  <c r="I1003" i="5"/>
  <c r="K1003" i="5"/>
  <c r="H1003" i="5"/>
  <c r="G1003" i="5"/>
  <c r="L1002" i="5"/>
  <c r="I1002" i="5"/>
  <c r="G1002" i="5"/>
  <c r="K1002" i="5"/>
  <c r="H1002" i="5"/>
  <c r="I1001" i="5"/>
  <c r="L1001" i="5"/>
  <c r="G1001" i="5"/>
  <c r="K1001" i="5"/>
  <c r="H1001" i="5"/>
  <c r="L1000" i="5"/>
  <c r="I1000" i="5"/>
  <c r="K1000" i="5"/>
  <c r="H1000" i="5"/>
  <c r="G1000" i="5"/>
  <c r="L999" i="5"/>
  <c r="I999" i="5"/>
  <c r="K999" i="5"/>
  <c r="H999" i="5"/>
  <c r="G999" i="5"/>
  <c r="L998" i="5"/>
  <c r="I998" i="5"/>
  <c r="K998" i="5"/>
  <c r="H998" i="5"/>
  <c r="G998" i="5"/>
  <c r="I997" i="5"/>
  <c r="L997" i="5"/>
  <c r="G997" i="5"/>
  <c r="K997" i="5"/>
  <c r="H997" i="5"/>
  <c r="L996" i="5"/>
  <c r="I996" i="5"/>
  <c r="K996" i="5"/>
  <c r="H996" i="5"/>
  <c r="G996" i="5"/>
  <c r="L995" i="5"/>
  <c r="I995" i="5"/>
  <c r="K995" i="5"/>
  <c r="H995" i="5"/>
  <c r="G995" i="5"/>
  <c r="L994" i="5"/>
  <c r="I994" i="5"/>
  <c r="K994" i="5"/>
  <c r="H994" i="5"/>
  <c r="G994" i="5"/>
  <c r="L993" i="5"/>
  <c r="I993" i="5"/>
  <c r="G993" i="5"/>
  <c r="K993" i="5"/>
  <c r="H993" i="5"/>
  <c r="I992" i="5"/>
  <c r="L992" i="5"/>
  <c r="H992" i="5"/>
  <c r="K992" i="5"/>
  <c r="G992" i="5"/>
  <c r="L991" i="5"/>
  <c r="I991" i="5"/>
  <c r="K991" i="5"/>
  <c r="H991" i="5"/>
  <c r="G991" i="5"/>
  <c r="L990" i="5"/>
  <c r="I990" i="5"/>
  <c r="K990" i="5"/>
  <c r="H990" i="5"/>
  <c r="G990" i="5"/>
  <c r="L989" i="5"/>
  <c r="I989" i="5"/>
  <c r="K989" i="5"/>
  <c r="H989" i="5"/>
  <c r="G989" i="5"/>
  <c r="I988" i="5"/>
  <c r="L988" i="5"/>
  <c r="G988" i="5"/>
  <c r="H988" i="5"/>
  <c r="K988" i="5"/>
  <c r="L987" i="5"/>
  <c r="I987" i="5"/>
  <c r="K987" i="5"/>
  <c r="H987" i="5"/>
  <c r="G987" i="5"/>
  <c r="I986" i="5"/>
  <c r="L986" i="5"/>
  <c r="G986" i="5"/>
  <c r="K986" i="5"/>
  <c r="H986" i="5"/>
  <c r="L985" i="5"/>
  <c r="I985" i="5"/>
  <c r="K985" i="5"/>
  <c r="H985" i="5"/>
  <c r="G985" i="5"/>
  <c r="L984" i="5"/>
  <c r="I984" i="5"/>
  <c r="K984" i="5"/>
  <c r="H984" i="5"/>
  <c r="G984" i="5"/>
  <c r="I983" i="5"/>
  <c r="L983" i="5"/>
  <c r="G983" i="5"/>
  <c r="H983" i="5"/>
  <c r="K983" i="5"/>
  <c r="L982" i="5"/>
  <c r="I982" i="5"/>
  <c r="K982" i="5"/>
  <c r="H982" i="5"/>
  <c r="G982" i="5"/>
  <c r="L981" i="5"/>
  <c r="I981" i="5"/>
  <c r="K981" i="5"/>
  <c r="H981" i="5"/>
  <c r="G981" i="5"/>
  <c r="L980" i="5"/>
  <c r="I980" i="5"/>
  <c r="G980" i="5"/>
  <c r="K980" i="5"/>
  <c r="H980" i="5"/>
  <c r="I979" i="5"/>
  <c r="L979" i="5"/>
  <c r="K979" i="5"/>
  <c r="H979" i="5"/>
  <c r="G979" i="5"/>
  <c r="L978" i="5"/>
  <c r="I978" i="5"/>
  <c r="K978" i="5"/>
  <c r="H978" i="5"/>
  <c r="G978" i="5"/>
  <c r="L977" i="5"/>
  <c r="I977" i="5"/>
  <c r="K977" i="5"/>
  <c r="H977" i="5"/>
  <c r="G977" i="5"/>
  <c r="L976" i="5"/>
  <c r="I976" i="5"/>
  <c r="G976" i="5"/>
  <c r="K976" i="5"/>
  <c r="H976" i="5"/>
  <c r="I975" i="5"/>
  <c r="L975" i="5"/>
  <c r="G975" i="5"/>
  <c r="K975" i="5"/>
  <c r="H975" i="5"/>
  <c r="I974" i="5"/>
  <c r="L974" i="5"/>
  <c r="K974" i="5"/>
  <c r="H974" i="5"/>
  <c r="G974" i="5"/>
  <c r="L973" i="5"/>
  <c r="I973" i="5"/>
  <c r="K973" i="5"/>
  <c r="H973" i="5"/>
  <c r="G973" i="5"/>
  <c r="L972" i="5"/>
  <c r="I972" i="5"/>
  <c r="K972" i="5"/>
  <c r="H972" i="5"/>
  <c r="G972" i="5"/>
  <c r="L971" i="5"/>
  <c r="I971" i="5"/>
  <c r="G971" i="5"/>
  <c r="K971" i="5"/>
  <c r="H971" i="5"/>
  <c r="I970" i="5"/>
  <c r="L970" i="5"/>
  <c r="K970" i="5"/>
  <c r="H970" i="5"/>
  <c r="G970" i="5"/>
  <c r="L969" i="5"/>
  <c r="I969" i="5"/>
  <c r="G969" i="5"/>
  <c r="K969" i="5"/>
  <c r="H969" i="5"/>
  <c r="I968" i="5"/>
  <c r="L968" i="5"/>
  <c r="K968" i="5"/>
  <c r="H968" i="5"/>
  <c r="G968" i="5"/>
  <c r="L967" i="5"/>
  <c r="I967" i="5"/>
  <c r="K967" i="5"/>
  <c r="H967" i="5"/>
  <c r="G967" i="5"/>
  <c r="L966" i="5"/>
  <c r="I966" i="5"/>
  <c r="G966" i="5"/>
  <c r="K966" i="5"/>
  <c r="H966" i="5"/>
  <c r="I965" i="5"/>
  <c r="L965" i="5"/>
  <c r="H965" i="5"/>
  <c r="G965" i="5"/>
  <c r="K965" i="5"/>
  <c r="L964" i="5"/>
  <c r="I964" i="5"/>
  <c r="K964" i="5"/>
  <c r="H964" i="5"/>
  <c r="G964" i="5"/>
  <c r="L963" i="5"/>
  <c r="I963" i="5"/>
  <c r="K963" i="5"/>
  <c r="H963" i="5"/>
  <c r="G963" i="5"/>
  <c r="L962" i="5"/>
  <c r="I962" i="5"/>
  <c r="G962" i="5"/>
  <c r="K962" i="5"/>
  <c r="H962" i="5"/>
  <c r="L961" i="5"/>
  <c r="I961" i="5"/>
  <c r="K961" i="5"/>
  <c r="H961" i="5"/>
  <c r="G961" i="5"/>
  <c r="L960" i="5"/>
  <c r="I960" i="5"/>
  <c r="K960" i="5"/>
  <c r="H960" i="5"/>
  <c r="G960" i="5"/>
  <c r="L959" i="5"/>
  <c r="I959" i="5"/>
  <c r="K959" i="5"/>
  <c r="H959" i="5"/>
  <c r="G959" i="5"/>
  <c r="L958" i="5"/>
  <c r="I958" i="5"/>
  <c r="G958" i="5"/>
  <c r="K958" i="5"/>
  <c r="H958" i="5"/>
  <c r="I957" i="5"/>
  <c r="L957" i="5"/>
  <c r="G957" i="5"/>
  <c r="K957" i="5"/>
  <c r="H957" i="5"/>
  <c r="L956" i="5"/>
  <c r="I956" i="5"/>
  <c r="K956" i="5"/>
  <c r="H956" i="5"/>
  <c r="G956" i="5"/>
  <c r="L955" i="5"/>
  <c r="I955" i="5"/>
  <c r="K955" i="5"/>
  <c r="H955" i="5"/>
  <c r="G955" i="5"/>
  <c r="L954" i="5"/>
  <c r="I954" i="5"/>
  <c r="K954" i="5"/>
  <c r="H954" i="5"/>
  <c r="G954" i="5"/>
  <c r="I953" i="5"/>
  <c r="L953" i="5"/>
  <c r="G953" i="5"/>
  <c r="K953" i="5"/>
  <c r="H953" i="5"/>
  <c r="L952" i="5"/>
  <c r="I952" i="5"/>
  <c r="K952" i="5"/>
  <c r="H952" i="5"/>
  <c r="G952" i="5"/>
  <c r="L951" i="5"/>
  <c r="I951" i="5"/>
  <c r="K951" i="5"/>
  <c r="H951" i="5"/>
  <c r="G951" i="5"/>
  <c r="L950" i="5"/>
  <c r="I950" i="5"/>
  <c r="K950" i="5"/>
  <c r="H950" i="5"/>
  <c r="G950" i="5"/>
  <c r="L949" i="5"/>
  <c r="I949" i="5"/>
  <c r="G949" i="5"/>
  <c r="K949" i="5"/>
  <c r="H949" i="5"/>
  <c r="I948" i="5"/>
  <c r="L948" i="5"/>
  <c r="G948" i="5"/>
  <c r="H948" i="5"/>
  <c r="K948" i="5"/>
  <c r="L947" i="5"/>
  <c r="I947" i="5"/>
  <c r="K947" i="5"/>
  <c r="G947" i="5"/>
  <c r="H947" i="5"/>
  <c r="L946" i="5"/>
  <c r="I946" i="5"/>
  <c r="K946" i="5"/>
  <c r="H946" i="5"/>
  <c r="G946" i="5"/>
  <c r="L945" i="5"/>
  <c r="I945" i="5"/>
  <c r="K945" i="5"/>
  <c r="H945" i="5"/>
  <c r="G945" i="5"/>
  <c r="L944" i="5"/>
  <c r="I944" i="5"/>
  <c r="K944" i="5"/>
  <c r="H944" i="5"/>
  <c r="G944" i="5"/>
  <c r="I943" i="5"/>
  <c r="L943" i="5"/>
  <c r="H943" i="5"/>
  <c r="K943" i="5"/>
  <c r="G943" i="5"/>
  <c r="L942" i="5"/>
  <c r="I942" i="5"/>
  <c r="K942" i="5"/>
  <c r="H942" i="5"/>
  <c r="G942" i="5"/>
  <c r="L941" i="5"/>
  <c r="I941" i="5"/>
  <c r="K941" i="5"/>
  <c r="H941" i="5"/>
  <c r="G941" i="5"/>
  <c r="L940" i="5"/>
  <c r="I940" i="5"/>
  <c r="K940" i="5"/>
  <c r="H940" i="5"/>
  <c r="G940" i="5"/>
  <c r="L939" i="5"/>
  <c r="I939" i="5"/>
  <c r="G939" i="5"/>
  <c r="K939" i="5"/>
  <c r="H939" i="5"/>
  <c r="I938" i="5"/>
  <c r="L938" i="5"/>
  <c r="H938" i="5"/>
  <c r="K938" i="5"/>
  <c r="G938" i="5"/>
  <c r="L937" i="5"/>
  <c r="I937" i="5"/>
  <c r="K937" i="5"/>
  <c r="H937" i="5"/>
  <c r="G937" i="5"/>
  <c r="L936" i="5"/>
  <c r="I936" i="5"/>
  <c r="K936" i="5"/>
  <c r="H936" i="5"/>
  <c r="G936" i="5"/>
  <c r="I935" i="5"/>
  <c r="L935" i="5"/>
  <c r="G935" i="5"/>
  <c r="K935" i="5"/>
  <c r="H935" i="5"/>
  <c r="L934" i="5"/>
  <c r="I934" i="5"/>
  <c r="K934" i="5"/>
  <c r="H934" i="5"/>
  <c r="G934" i="5"/>
  <c r="L933" i="5"/>
  <c r="I933" i="5"/>
  <c r="K933" i="5"/>
  <c r="H933" i="5"/>
  <c r="G933" i="5"/>
  <c r="L932" i="5"/>
  <c r="I932" i="5"/>
  <c r="K932" i="5"/>
  <c r="H932" i="5"/>
  <c r="G932" i="5"/>
  <c r="I931" i="5"/>
  <c r="L931" i="5"/>
  <c r="K931" i="5"/>
  <c r="G931" i="5"/>
  <c r="H931" i="5"/>
  <c r="L930" i="5"/>
  <c r="I930" i="5"/>
  <c r="K930" i="5"/>
  <c r="H930" i="5"/>
  <c r="G930" i="5"/>
  <c r="L929" i="5"/>
  <c r="I929" i="5"/>
  <c r="K929" i="5"/>
  <c r="H929" i="5"/>
  <c r="G929" i="5"/>
  <c r="I928" i="5"/>
  <c r="L928" i="5"/>
  <c r="K928" i="5"/>
  <c r="G928" i="5"/>
  <c r="H928" i="5"/>
  <c r="I927" i="5"/>
  <c r="L927" i="5"/>
  <c r="K927" i="5"/>
  <c r="H927" i="5"/>
  <c r="G927" i="5"/>
  <c r="L926" i="5"/>
  <c r="I926" i="5"/>
  <c r="K926" i="5"/>
  <c r="H926" i="5"/>
  <c r="G926" i="5"/>
  <c r="I925" i="5"/>
  <c r="L925" i="5"/>
  <c r="K925" i="5"/>
  <c r="G925" i="5"/>
  <c r="H925" i="5"/>
  <c r="L924" i="5"/>
  <c r="I924" i="5"/>
  <c r="K924" i="5"/>
  <c r="H924" i="5"/>
  <c r="G924" i="5"/>
  <c r="L923" i="5"/>
  <c r="I923" i="5"/>
  <c r="K923" i="5"/>
  <c r="H923" i="5"/>
  <c r="G923" i="5"/>
  <c r="L922" i="5"/>
  <c r="I922" i="5"/>
  <c r="K922" i="5"/>
  <c r="G922" i="5"/>
  <c r="H922" i="5"/>
  <c r="L921" i="5"/>
  <c r="I921" i="5"/>
  <c r="H921" i="5"/>
  <c r="G921" i="5"/>
  <c r="K921" i="5"/>
  <c r="L920" i="5"/>
  <c r="I920" i="5"/>
  <c r="K920" i="5"/>
  <c r="H920" i="5"/>
  <c r="G920" i="5"/>
  <c r="L919" i="5"/>
  <c r="I919" i="5"/>
  <c r="G919" i="5"/>
  <c r="K919" i="5"/>
  <c r="H919" i="5"/>
  <c r="L918" i="5"/>
  <c r="I918" i="5"/>
  <c r="K918" i="5"/>
  <c r="H918" i="5"/>
  <c r="G918" i="5"/>
  <c r="L917" i="5"/>
  <c r="I917" i="5"/>
  <c r="K917" i="5"/>
  <c r="H917" i="5"/>
  <c r="G917" i="5"/>
  <c r="L916" i="5"/>
  <c r="I916" i="5"/>
  <c r="G916" i="5"/>
  <c r="K916" i="5"/>
  <c r="H916" i="5"/>
  <c r="L915" i="5"/>
  <c r="I915" i="5"/>
  <c r="K915" i="5"/>
  <c r="H915" i="5"/>
  <c r="G915" i="5"/>
  <c r="L914" i="5"/>
  <c r="I914" i="5"/>
  <c r="K914" i="5"/>
  <c r="H914" i="5"/>
  <c r="G914" i="5"/>
  <c r="I913" i="5"/>
  <c r="L913" i="5"/>
  <c r="H913" i="5"/>
  <c r="K913" i="5"/>
  <c r="G913" i="5"/>
  <c r="L912" i="5"/>
  <c r="I912" i="5"/>
  <c r="K912" i="5"/>
  <c r="H912" i="5"/>
  <c r="G912" i="5"/>
  <c r="L911" i="5"/>
  <c r="I911" i="5"/>
  <c r="K911" i="5"/>
  <c r="H911" i="5"/>
  <c r="G911" i="5"/>
  <c r="I910" i="5"/>
  <c r="L910" i="5"/>
  <c r="G910" i="5"/>
  <c r="H910" i="5"/>
  <c r="K910" i="5"/>
  <c r="L909" i="5"/>
  <c r="I909" i="5"/>
  <c r="K909" i="5"/>
  <c r="H909" i="5"/>
  <c r="G909" i="5"/>
  <c r="L908" i="5"/>
  <c r="I908" i="5"/>
  <c r="K908" i="5"/>
  <c r="H908" i="5"/>
  <c r="G908" i="5"/>
  <c r="L907" i="5"/>
  <c r="I907" i="5"/>
  <c r="K907" i="5"/>
  <c r="H907" i="5"/>
  <c r="G907" i="5"/>
  <c r="L906" i="5"/>
  <c r="I906" i="5"/>
  <c r="K906" i="5"/>
  <c r="H906" i="5"/>
  <c r="G906" i="5"/>
  <c r="L905" i="5"/>
  <c r="I905" i="5"/>
  <c r="K905" i="5"/>
  <c r="H905" i="5"/>
  <c r="G905" i="5"/>
  <c r="L904" i="5"/>
  <c r="I904" i="5"/>
  <c r="G904" i="5"/>
  <c r="K904" i="5"/>
  <c r="H904" i="5"/>
  <c r="L903" i="5"/>
  <c r="I903" i="5"/>
  <c r="K903" i="5"/>
  <c r="H903" i="5"/>
  <c r="G903" i="5"/>
  <c r="L902" i="5"/>
  <c r="I902" i="5"/>
  <c r="G902" i="5"/>
  <c r="H902" i="5"/>
  <c r="K902" i="5"/>
  <c r="L901" i="5"/>
  <c r="I901" i="5"/>
  <c r="K901" i="5"/>
  <c r="H901" i="5"/>
  <c r="G901" i="5"/>
  <c r="L900" i="5"/>
  <c r="I900" i="5"/>
  <c r="K900" i="5"/>
  <c r="H900" i="5"/>
  <c r="G900" i="5"/>
  <c r="L899" i="5"/>
  <c r="I899" i="5"/>
  <c r="H899" i="5"/>
  <c r="K899" i="5"/>
  <c r="G899" i="5"/>
  <c r="I898" i="5"/>
  <c r="L898" i="5"/>
  <c r="K898" i="5"/>
  <c r="H898" i="5"/>
  <c r="G898" i="5"/>
  <c r="I897" i="5"/>
  <c r="L897" i="5"/>
  <c r="H897" i="5"/>
  <c r="G897" i="5"/>
  <c r="K897" i="5"/>
  <c r="I896" i="5"/>
  <c r="L896" i="5"/>
  <c r="G896" i="5"/>
  <c r="K896" i="5"/>
  <c r="H896" i="5"/>
  <c r="L895" i="5"/>
  <c r="I895" i="5"/>
  <c r="K895" i="5"/>
  <c r="H895" i="5"/>
  <c r="G895" i="5"/>
  <c r="L894" i="5"/>
  <c r="I894" i="5"/>
  <c r="K894" i="5"/>
  <c r="H894" i="5"/>
  <c r="G894" i="5"/>
  <c r="L893" i="5"/>
  <c r="I893" i="5"/>
  <c r="K893" i="5"/>
  <c r="H893" i="5"/>
  <c r="G893" i="5"/>
  <c r="I892" i="5"/>
  <c r="L892" i="5"/>
  <c r="K892" i="5"/>
  <c r="H892" i="5"/>
  <c r="G892" i="5"/>
  <c r="L891" i="5"/>
  <c r="I891" i="5"/>
  <c r="K891" i="5"/>
  <c r="H891" i="5"/>
  <c r="G891" i="5"/>
  <c r="L890" i="5"/>
  <c r="I890" i="5"/>
  <c r="K890" i="5"/>
  <c r="H890" i="5"/>
  <c r="G890" i="5"/>
  <c r="L889" i="5"/>
  <c r="I889" i="5"/>
  <c r="K889" i="5"/>
  <c r="H889" i="5"/>
  <c r="G889" i="5"/>
  <c r="I888" i="5"/>
  <c r="L888" i="5"/>
  <c r="K888" i="5"/>
  <c r="G888" i="5"/>
  <c r="H888" i="5"/>
  <c r="L887" i="5"/>
  <c r="I887" i="5"/>
  <c r="H887" i="5"/>
  <c r="G887" i="5"/>
  <c r="K887" i="5"/>
  <c r="L886" i="5"/>
  <c r="I886" i="5"/>
  <c r="G886" i="5"/>
  <c r="H886" i="5"/>
  <c r="K886" i="5"/>
  <c r="L885" i="5"/>
  <c r="I885" i="5"/>
  <c r="K885" i="5"/>
  <c r="H885" i="5"/>
  <c r="G885" i="5"/>
  <c r="L884" i="5"/>
  <c r="I884" i="5"/>
  <c r="K884" i="5"/>
  <c r="H884" i="5"/>
  <c r="G884" i="5"/>
  <c r="L883" i="5"/>
  <c r="I883" i="5"/>
  <c r="K883" i="5"/>
  <c r="H883" i="5"/>
  <c r="G883" i="5"/>
  <c r="L882" i="5"/>
  <c r="I882" i="5"/>
  <c r="K882" i="5"/>
  <c r="H882" i="5"/>
  <c r="G882" i="5"/>
  <c r="L881" i="5"/>
  <c r="I881" i="5"/>
  <c r="K881" i="5"/>
  <c r="H881" i="5"/>
  <c r="G881" i="5"/>
  <c r="L880" i="5"/>
  <c r="I880" i="5"/>
  <c r="K880" i="5"/>
  <c r="H880" i="5"/>
  <c r="G880" i="5"/>
  <c r="L879" i="5"/>
  <c r="I879" i="5"/>
  <c r="K879" i="5"/>
  <c r="G879" i="5"/>
  <c r="H879" i="5"/>
  <c r="I878" i="5"/>
  <c r="L878" i="5"/>
  <c r="G878" i="5"/>
  <c r="H878" i="5"/>
  <c r="K878" i="5"/>
  <c r="I877" i="5"/>
  <c r="L877" i="5"/>
  <c r="G877" i="5"/>
  <c r="H877" i="5"/>
  <c r="K877" i="5"/>
  <c r="I876" i="5"/>
  <c r="L876" i="5"/>
  <c r="G876" i="5"/>
  <c r="K876" i="5"/>
  <c r="H876" i="5"/>
  <c r="L875" i="5"/>
  <c r="I875" i="5"/>
  <c r="K875" i="5"/>
  <c r="G875" i="5"/>
  <c r="H875" i="5"/>
  <c r="I874" i="5"/>
  <c r="L874" i="5"/>
  <c r="G874" i="5"/>
  <c r="H874" i="5"/>
  <c r="K874" i="5"/>
  <c r="I873" i="5"/>
  <c r="L873" i="5"/>
  <c r="G873" i="5"/>
  <c r="H873" i="5"/>
  <c r="K873" i="5"/>
  <c r="L872" i="5"/>
  <c r="I872" i="5"/>
  <c r="H872" i="5"/>
  <c r="K872" i="5"/>
  <c r="G872" i="5"/>
  <c r="L871" i="5"/>
  <c r="I871" i="5"/>
  <c r="K871" i="5"/>
  <c r="H871" i="5"/>
  <c r="G871" i="5"/>
  <c r="L870" i="5"/>
  <c r="I870" i="5"/>
  <c r="G870" i="5"/>
  <c r="K870" i="5"/>
  <c r="H870" i="5"/>
  <c r="L869" i="5"/>
  <c r="I869" i="5"/>
  <c r="K869" i="5"/>
  <c r="H869" i="5"/>
  <c r="G869" i="5"/>
  <c r="I868" i="5"/>
  <c r="L868" i="5"/>
  <c r="K868" i="5"/>
  <c r="H868" i="5"/>
  <c r="G868" i="5"/>
  <c r="L867" i="5"/>
  <c r="I867" i="5"/>
  <c r="K867" i="5"/>
  <c r="H867" i="5"/>
  <c r="G867" i="5"/>
  <c r="L866" i="5"/>
  <c r="I866" i="5"/>
  <c r="K866" i="5"/>
  <c r="H866" i="5"/>
  <c r="G866" i="5"/>
  <c r="I865" i="5"/>
  <c r="L865" i="5"/>
  <c r="K865" i="5"/>
  <c r="H865" i="5"/>
  <c r="G865" i="5"/>
  <c r="L864" i="5"/>
  <c r="I864" i="5"/>
  <c r="H864" i="5"/>
  <c r="K864" i="5"/>
  <c r="G864" i="5"/>
  <c r="L863" i="5"/>
  <c r="I863" i="5"/>
  <c r="K863" i="5"/>
  <c r="G863" i="5"/>
  <c r="H863" i="5"/>
  <c r="I862" i="5"/>
  <c r="L862" i="5"/>
  <c r="K862" i="5"/>
  <c r="H862" i="5"/>
  <c r="G862" i="5"/>
  <c r="I861" i="5"/>
  <c r="L861" i="5"/>
  <c r="G861" i="5"/>
  <c r="H861" i="5"/>
  <c r="K861" i="5"/>
  <c r="L860" i="5"/>
  <c r="I860" i="5"/>
  <c r="H860" i="5"/>
  <c r="G860" i="5"/>
  <c r="K860" i="5"/>
  <c r="L859" i="5"/>
  <c r="I859" i="5"/>
  <c r="G859" i="5"/>
  <c r="K859" i="5"/>
  <c r="H859" i="5"/>
  <c r="I858" i="5"/>
  <c r="L858" i="5"/>
  <c r="K858" i="5"/>
  <c r="H858" i="5"/>
  <c r="G858" i="5"/>
  <c r="L857" i="5"/>
  <c r="I857" i="5"/>
  <c r="G857" i="5"/>
  <c r="H857" i="5"/>
  <c r="K857" i="5"/>
  <c r="L856" i="5"/>
  <c r="I856" i="5"/>
  <c r="G856" i="5"/>
  <c r="H856" i="5"/>
  <c r="K856" i="5"/>
  <c r="I855" i="5"/>
  <c r="L855" i="5"/>
  <c r="K855" i="5"/>
  <c r="H855" i="5"/>
  <c r="G855" i="5"/>
  <c r="I854" i="5"/>
  <c r="L854" i="5"/>
  <c r="G854" i="5"/>
  <c r="H854" i="5"/>
  <c r="K854" i="5"/>
  <c r="I853" i="5"/>
  <c r="L853" i="5"/>
  <c r="G853" i="5"/>
  <c r="H853" i="5"/>
  <c r="K853" i="5"/>
  <c r="I852" i="5"/>
  <c r="L852" i="5"/>
  <c r="G852" i="5"/>
  <c r="H852" i="5"/>
  <c r="K852" i="5"/>
  <c r="L851" i="5"/>
  <c r="I851" i="5"/>
  <c r="K851" i="5"/>
  <c r="G851" i="5"/>
  <c r="H851" i="5"/>
  <c r="I850" i="5"/>
  <c r="L850" i="5"/>
  <c r="K850" i="5"/>
  <c r="H850" i="5"/>
  <c r="G850" i="5"/>
  <c r="L849" i="5"/>
  <c r="I849" i="5"/>
  <c r="K849" i="5"/>
  <c r="H849" i="5"/>
  <c r="G849" i="5"/>
  <c r="L848" i="5"/>
  <c r="I848" i="5"/>
  <c r="K848" i="5"/>
  <c r="H848" i="5"/>
  <c r="G848" i="5"/>
  <c r="I847" i="5"/>
  <c r="L847" i="5"/>
  <c r="G847" i="5"/>
  <c r="H847" i="5"/>
  <c r="K847" i="5"/>
  <c r="I846" i="5"/>
  <c r="L846" i="5"/>
  <c r="G846" i="5"/>
  <c r="K846" i="5"/>
  <c r="H846" i="5"/>
  <c r="L845" i="5"/>
  <c r="I845" i="5"/>
  <c r="K845" i="5"/>
  <c r="H845" i="5"/>
  <c r="G845" i="5"/>
  <c r="I844" i="5"/>
  <c r="L844" i="5"/>
  <c r="G844" i="5"/>
  <c r="K844" i="5"/>
  <c r="H844" i="5"/>
  <c r="L843" i="5"/>
  <c r="I843" i="5"/>
  <c r="K843" i="5"/>
  <c r="H843" i="5"/>
  <c r="G843" i="5"/>
  <c r="I842" i="5"/>
  <c r="L842" i="5"/>
  <c r="H842" i="5"/>
  <c r="K842" i="5"/>
  <c r="G842" i="5"/>
  <c r="L841" i="5"/>
  <c r="I841" i="5"/>
  <c r="G841" i="5"/>
  <c r="H841" i="5"/>
  <c r="K841" i="5"/>
  <c r="I840" i="5"/>
  <c r="L840" i="5"/>
  <c r="G840" i="5"/>
  <c r="H840" i="5"/>
  <c r="K840" i="5"/>
  <c r="L839" i="5"/>
  <c r="I839" i="5"/>
  <c r="G839" i="5"/>
  <c r="H839" i="5"/>
  <c r="K839" i="5"/>
  <c r="I838" i="5"/>
  <c r="L838" i="5"/>
  <c r="G838" i="5"/>
  <c r="H838" i="5"/>
  <c r="K838" i="5"/>
  <c r="I837" i="5"/>
  <c r="L837" i="5"/>
  <c r="G837" i="5"/>
  <c r="H837" i="5"/>
  <c r="K837" i="5"/>
  <c r="L836" i="5"/>
  <c r="I836" i="5"/>
  <c r="K836" i="5"/>
  <c r="H836" i="5"/>
  <c r="G836" i="5"/>
  <c r="L835" i="5"/>
  <c r="I835" i="5"/>
  <c r="K835" i="5"/>
  <c r="H835" i="5"/>
  <c r="G835" i="5"/>
  <c r="L834" i="5"/>
  <c r="I834" i="5"/>
  <c r="G834" i="5"/>
  <c r="K834" i="5"/>
  <c r="H834" i="5"/>
  <c r="L833" i="5"/>
  <c r="I833" i="5"/>
  <c r="K833" i="5"/>
  <c r="H833" i="5"/>
  <c r="G833" i="5"/>
  <c r="L832" i="5"/>
  <c r="I832" i="5"/>
  <c r="K832" i="5"/>
  <c r="H832" i="5"/>
  <c r="G832" i="5"/>
  <c r="L831" i="5"/>
  <c r="I831" i="5"/>
  <c r="G831" i="5"/>
  <c r="K831" i="5"/>
  <c r="H831" i="5"/>
  <c r="I830" i="5"/>
  <c r="L830" i="5"/>
  <c r="G830" i="5"/>
  <c r="H830" i="5"/>
  <c r="K830" i="5"/>
  <c r="L829" i="5"/>
  <c r="I829" i="5"/>
  <c r="K829" i="5"/>
  <c r="H829" i="5"/>
  <c r="G829" i="5"/>
  <c r="L828" i="5"/>
  <c r="I828" i="5"/>
  <c r="K828" i="5"/>
  <c r="H828" i="5"/>
  <c r="G828" i="5"/>
  <c r="L827" i="5"/>
  <c r="I827" i="5"/>
  <c r="G827" i="5"/>
  <c r="K827" i="5"/>
  <c r="H827" i="5"/>
  <c r="L826" i="5"/>
  <c r="I826" i="5"/>
  <c r="H826" i="5"/>
  <c r="K826" i="5"/>
  <c r="G826" i="5"/>
  <c r="L825" i="5"/>
  <c r="I825" i="5"/>
  <c r="H825" i="5"/>
  <c r="G825" i="5"/>
  <c r="K825" i="5"/>
  <c r="I824" i="5"/>
  <c r="L824" i="5"/>
  <c r="H824" i="5"/>
  <c r="G824" i="5"/>
  <c r="K824" i="5"/>
  <c r="L823" i="5"/>
  <c r="I823" i="5"/>
  <c r="K823" i="5"/>
  <c r="H823" i="5"/>
  <c r="G823" i="5"/>
  <c r="I822" i="5"/>
  <c r="L822" i="5"/>
  <c r="G822" i="5"/>
  <c r="H822" i="5"/>
  <c r="K822" i="5"/>
  <c r="I821" i="5"/>
  <c r="L821" i="5"/>
  <c r="G821" i="5"/>
  <c r="H821" i="5"/>
  <c r="K821" i="5"/>
  <c r="L820" i="5"/>
  <c r="I820" i="5"/>
  <c r="K820" i="5"/>
  <c r="H820" i="5"/>
  <c r="G820" i="5"/>
  <c r="L819" i="5"/>
  <c r="I819" i="5"/>
  <c r="G819" i="5"/>
  <c r="K819" i="5"/>
  <c r="H819" i="5"/>
  <c r="I818" i="5"/>
  <c r="L818" i="5"/>
  <c r="G818" i="5"/>
  <c r="H818" i="5"/>
  <c r="K818" i="5"/>
  <c r="L817" i="5"/>
  <c r="I817" i="5"/>
  <c r="K817" i="5"/>
  <c r="H817" i="5"/>
  <c r="G817" i="5"/>
  <c r="I816" i="5"/>
  <c r="L816" i="5"/>
  <c r="G816" i="5"/>
  <c r="H816" i="5"/>
  <c r="K816" i="5"/>
  <c r="I815" i="5"/>
  <c r="L815" i="5"/>
  <c r="G815" i="5"/>
  <c r="K815" i="5"/>
  <c r="H815" i="5"/>
  <c r="I814" i="5"/>
  <c r="L814" i="5"/>
  <c r="H814" i="5"/>
  <c r="K814" i="5"/>
  <c r="G814" i="5"/>
  <c r="G813" i="5"/>
  <c r="H813" i="5"/>
  <c r="L812" i="5"/>
  <c r="I812" i="5"/>
  <c r="K812" i="5"/>
  <c r="H812" i="5"/>
  <c r="G812" i="5"/>
  <c r="L811" i="5"/>
  <c r="I811" i="5"/>
  <c r="K811" i="5"/>
  <c r="H811" i="5"/>
  <c r="G811" i="5"/>
  <c r="L810" i="5"/>
  <c r="I810" i="5"/>
  <c r="K810" i="5"/>
  <c r="H810" i="5"/>
  <c r="G810" i="5"/>
  <c r="L809" i="5"/>
  <c r="I809" i="5"/>
  <c r="G809" i="5"/>
  <c r="K809" i="5"/>
  <c r="H809" i="5"/>
  <c r="I808" i="5"/>
  <c r="L808" i="5"/>
  <c r="G808" i="5"/>
  <c r="K808" i="5"/>
  <c r="H808" i="5"/>
  <c r="I807" i="5"/>
  <c r="L807" i="5"/>
  <c r="G807" i="5"/>
  <c r="K807" i="5"/>
  <c r="H807" i="5"/>
  <c r="I806" i="5"/>
  <c r="L806" i="5"/>
  <c r="G806" i="5"/>
  <c r="K806" i="5"/>
  <c r="H806" i="5"/>
  <c r="L805" i="5"/>
  <c r="I805" i="5"/>
  <c r="K805" i="5"/>
  <c r="H805" i="5"/>
  <c r="G805" i="5"/>
  <c r="L804" i="5"/>
  <c r="I804" i="5"/>
  <c r="K804" i="5"/>
  <c r="H804" i="5"/>
  <c r="G804" i="5"/>
  <c r="I803" i="5"/>
  <c r="L803" i="5"/>
  <c r="G803" i="5"/>
  <c r="H803" i="5"/>
  <c r="K803" i="5"/>
  <c r="I802" i="5"/>
  <c r="L802" i="5"/>
  <c r="K802" i="5"/>
  <c r="H802" i="5"/>
  <c r="G802" i="5"/>
  <c r="L801" i="5"/>
  <c r="I801" i="5"/>
  <c r="K801" i="5"/>
  <c r="H801" i="5"/>
  <c r="G801" i="5"/>
  <c r="L800" i="5"/>
  <c r="I800" i="5"/>
  <c r="K800" i="5"/>
  <c r="H800" i="5"/>
  <c r="G800" i="5"/>
  <c r="L799" i="5"/>
  <c r="I799" i="5"/>
  <c r="G799" i="5"/>
  <c r="K799" i="5"/>
  <c r="H799" i="5"/>
  <c r="I798" i="5"/>
  <c r="L798" i="5"/>
  <c r="G798" i="5"/>
  <c r="K798" i="5"/>
  <c r="H798" i="5"/>
  <c r="I797" i="5"/>
  <c r="L797" i="5"/>
  <c r="G797" i="5"/>
  <c r="K797" i="5"/>
  <c r="H797" i="5"/>
  <c r="I796" i="5"/>
  <c r="L796" i="5"/>
  <c r="G796" i="5"/>
  <c r="K796" i="5"/>
  <c r="H796" i="5"/>
  <c r="L795" i="5"/>
  <c r="I795" i="5"/>
  <c r="G795" i="5"/>
  <c r="K795" i="5"/>
  <c r="H795" i="5"/>
  <c r="L794" i="5"/>
  <c r="I794" i="5"/>
  <c r="H794" i="5"/>
  <c r="K794" i="5"/>
  <c r="G794" i="5"/>
  <c r="I793" i="5"/>
  <c r="L793" i="5"/>
  <c r="K793" i="5"/>
  <c r="H793" i="5"/>
  <c r="G793" i="5"/>
  <c r="L792" i="5"/>
  <c r="I792" i="5"/>
  <c r="K792" i="5"/>
  <c r="H792" i="5"/>
  <c r="G792" i="5"/>
  <c r="L791" i="5"/>
  <c r="I791" i="5"/>
  <c r="K791" i="5"/>
  <c r="H791" i="5"/>
  <c r="G791" i="5"/>
  <c r="L790" i="5"/>
  <c r="I790" i="5"/>
  <c r="G790" i="5"/>
  <c r="K790" i="5"/>
  <c r="H790" i="5"/>
  <c r="I789" i="5"/>
  <c r="L789" i="5"/>
  <c r="G789" i="5"/>
  <c r="K789" i="5"/>
  <c r="H789" i="5"/>
  <c r="L788" i="5"/>
  <c r="I788" i="5"/>
  <c r="G788" i="5"/>
  <c r="K788" i="5"/>
  <c r="H788" i="5"/>
  <c r="L787" i="5"/>
  <c r="I787" i="5"/>
  <c r="G787" i="5"/>
  <c r="K787" i="5"/>
  <c r="H787" i="5"/>
  <c r="L786" i="5"/>
  <c r="I786" i="5"/>
  <c r="G786" i="5"/>
  <c r="K786" i="5"/>
  <c r="H786" i="5"/>
  <c r="L785" i="5"/>
  <c r="I785" i="5"/>
  <c r="G785" i="5"/>
  <c r="K785" i="5"/>
  <c r="H785" i="5"/>
  <c r="L784" i="5"/>
  <c r="I784" i="5"/>
  <c r="G784" i="5"/>
  <c r="K784" i="5"/>
  <c r="H784" i="5"/>
  <c r="L783" i="5"/>
  <c r="I783" i="5"/>
  <c r="G783" i="5"/>
  <c r="K783" i="5"/>
  <c r="H783" i="5"/>
  <c r="L782" i="5"/>
  <c r="I782" i="5"/>
  <c r="G782" i="5"/>
  <c r="K782" i="5"/>
  <c r="H782" i="5"/>
  <c r="L781" i="5"/>
  <c r="I781" i="5"/>
  <c r="H781" i="5"/>
  <c r="G781" i="5"/>
  <c r="K781" i="5"/>
  <c r="L780" i="5"/>
  <c r="I780" i="5"/>
  <c r="K780" i="5"/>
  <c r="H780" i="5"/>
  <c r="G780" i="5"/>
  <c r="L779" i="5"/>
  <c r="I779" i="5"/>
  <c r="K779" i="5"/>
  <c r="H779" i="5"/>
  <c r="G779" i="5"/>
  <c r="L778" i="5"/>
  <c r="I778" i="5"/>
  <c r="K778" i="5"/>
  <c r="H778" i="5"/>
  <c r="G778" i="5"/>
  <c r="L777" i="5"/>
  <c r="I777" i="5"/>
  <c r="K777" i="5"/>
  <c r="G777" i="5"/>
  <c r="H777" i="5"/>
  <c r="I776" i="5"/>
  <c r="L776" i="5"/>
  <c r="G776" i="5"/>
  <c r="H776" i="5"/>
  <c r="K776" i="5"/>
  <c r="I775" i="5"/>
  <c r="L775" i="5"/>
  <c r="H775" i="5"/>
  <c r="G775" i="5"/>
  <c r="K775" i="5"/>
  <c r="I774" i="5"/>
  <c r="L774" i="5"/>
  <c r="H774" i="5"/>
  <c r="K774" i="5"/>
  <c r="G774" i="5"/>
  <c r="I773" i="5"/>
  <c r="L773" i="5"/>
  <c r="K773" i="5"/>
  <c r="H773" i="5"/>
  <c r="G773" i="5"/>
  <c r="L772" i="5"/>
  <c r="I772" i="5"/>
  <c r="G772" i="5"/>
  <c r="K772" i="5"/>
  <c r="H772" i="5"/>
  <c r="I771" i="5"/>
  <c r="L771" i="5"/>
  <c r="G771" i="5"/>
  <c r="H771" i="5"/>
  <c r="K771" i="5"/>
  <c r="I770" i="5"/>
  <c r="L770" i="5"/>
  <c r="G770" i="5"/>
  <c r="H770" i="5"/>
  <c r="K770" i="5"/>
  <c r="L769" i="5"/>
  <c r="I769" i="5"/>
  <c r="K769" i="5"/>
  <c r="G769" i="5"/>
  <c r="H769" i="5"/>
  <c r="I768" i="5"/>
  <c r="L768" i="5"/>
  <c r="G768" i="5"/>
  <c r="K768" i="5"/>
  <c r="H768" i="5"/>
  <c r="L767" i="5"/>
  <c r="I767" i="5"/>
  <c r="K767" i="5"/>
  <c r="H767" i="5"/>
  <c r="G767" i="5"/>
  <c r="L766" i="5"/>
  <c r="I766" i="5"/>
  <c r="K766" i="5"/>
  <c r="H766" i="5"/>
  <c r="G766" i="5"/>
  <c r="L765" i="5"/>
  <c r="I765" i="5"/>
  <c r="K765" i="5"/>
  <c r="H765" i="5"/>
  <c r="G765" i="5"/>
  <c r="L764" i="5"/>
  <c r="I764" i="5"/>
  <c r="K764" i="5"/>
  <c r="G764" i="5"/>
  <c r="H764" i="5"/>
  <c r="L763" i="5"/>
  <c r="I763" i="5"/>
  <c r="K763" i="5"/>
  <c r="H763" i="5"/>
  <c r="G763" i="5"/>
  <c r="L762" i="5"/>
  <c r="I762" i="5"/>
  <c r="K762" i="5"/>
  <c r="H762" i="5"/>
  <c r="G762" i="5"/>
  <c r="I761" i="5"/>
  <c r="L761" i="5"/>
  <c r="H761" i="5"/>
  <c r="G761" i="5"/>
  <c r="K761" i="5"/>
  <c r="L760" i="5"/>
  <c r="I760" i="5"/>
  <c r="K760" i="5"/>
  <c r="H760" i="5"/>
  <c r="G760" i="5"/>
  <c r="L759" i="5"/>
  <c r="I759" i="5"/>
  <c r="G759" i="5"/>
  <c r="H759" i="5"/>
  <c r="K759" i="5"/>
  <c r="I758" i="5"/>
  <c r="L758" i="5"/>
  <c r="K758" i="5"/>
  <c r="H758" i="5"/>
  <c r="G758" i="5"/>
  <c r="L757" i="5"/>
  <c r="I757" i="5"/>
  <c r="K757" i="5"/>
  <c r="H757" i="5"/>
  <c r="G757" i="5"/>
  <c r="L756" i="5"/>
  <c r="I756" i="5"/>
  <c r="K756" i="5"/>
  <c r="H756" i="5"/>
  <c r="G756" i="5"/>
  <c r="L755" i="5"/>
  <c r="I755" i="5"/>
  <c r="K755" i="5"/>
  <c r="H755" i="5"/>
  <c r="G755" i="5"/>
  <c r="I754" i="5"/>
  <c r="L754" i="5"/>
  <c r="G754" i="5"/>
  <c r="H754" i="5"/>
  <c r="K754" i="5"/>
  <c r="L753" i="5"/>
  <c r="I753" i="5"/>
  <c r="K753" i="5"/>
  <c r="H753" i="5"/>
  <c r="G753" i="5"/>
  <c r="L752" i="5"/>
  <c r="I752" i="5"/>
  <c r="G752" i="5"/>
  <c r="H752" i="5"/>
  <c r="K752" i="5"/>
  <c r="L751" i="5"/>
  <c r="I751" i="5"/>
  <c r="K751" i="5"/>
  <c r="H751" i="5"/>
  <c r="G751" i="5"/>
  <c r="L750" i="5"/>
  <c r="I750" i="5"/>
  <c r="K750" i="5"/>
  <c r="H750" i="5"/>
  <c r="G750" i="5"/>
  <c r="L749" i="5"/>
  <c r="I749" i="5"/>
  <c r="H749" i="5"/>
  <c r="K749" i="5"/>
  <c r="G749" i="5"/>
  <c r="L748" i="5"/>
  <c r="I748" i="5"/>
  <c r="K748" i="5"/>
  <c r="H748" i="5"/>
  <c r="G748" i="5"/>
  <c r="L747" i="5"/>
  <c r="I747" i="5"/>
  <c r="K747" i="5"/>
  <c r="G747" i="5"/>
  <c r="H747" i="5"/>
  <c r="I746" i="5"/>
  <c r="L746" i="5"/>
  <c r="G746" i="5"/>
  <c r="H746" i="5"/>
  <c r="K746" i="5"/>
  <c r="L745" i="5"/>
  <c r="I745" i="5"/>
  <c r="K745" i="5"/>
  <c r="H745" i="5"/>
  <c r="G745" i="5"/>
  <c r="L744" i="5"/>
  <c r="I744" i="5"/>
  <c r="G744" i="5"/>
  <c r="K744" i="5"/>
  <c r="H744" i="5"/>
  <c r="L743" i="5"/>
  <c r="I743" i="5"/>
  <c r="K743" i="5"/>
  <c r="H743" i="5"/>
  <c r="G743" i="5"/>
  <c r="L742" i="5"/>
  <c r="I742" i="5"/>
  <c r="K742" i="5"/>
  <c r="G742" i="5"/>
  <c r="H742" i="5"/>
  <c r="L741" i="5"/>
  <c r="I741" i="5"/>
  <c r="H741" i="5"/>
  <c r="K741" i="5"/>
  <c r="G741" i="5"/>
  <c r="I740" i="5"/>
  <c r="L740" i="5"/>
  <c r="G740" i="5"/>
  <c r="H740" i="5"/>
  <c r="K740" i="5"/>
  <c r="I739" i="5"/>
  <c r="L739" i="5"/>
  <c r="G739" i="5"/>
  <c r="H739" i="5"/>
  <c r="K739" i="5"/>
  <c r="I738" i="5"/>
  <c r="L738" i="5"/>
  <c r="G738" i="5"/>
  <c r="H738" i="5"/>
  <c r="K738" i="5"/>
  <c r="I737" i="5"/>
  <c r="L737" i="5"/>
  <c r="G737" i="5"/>
  <c r="H737" i="5"/>
  <c r="K737" i="5"/>
  <c r="I736" i="5"/>
  <c r="L736" i="5"/>
  <c r="G736" i="5"/>
  <c r="H736" i="5"/>
  <c r="K736" i="5"/>
  <c r="I735" i="5"/>
  <c r="L735" i="5"/>
  <c r="H735" i="5"/>
  <c r="K735" i="5"/>
  <c r="G735" i="5"/>
  <c r="L734" i="5"/>
  <c r="I734" i="5"/>
  <c r="K734" i="5"/>
  <c r="H734" i="5"/>
  <c r="G734" i="5"/>
  <c r="L733" i="5"/>
  <c r="I733" i="5"/>
  <c r="G733" i="5"/>
  <c r="K733" i="5"/>
  <c r="H733" i="5"/>
  <c r="I732" i="5"/>
  <c r="L732" i="5"/>
  <c r="H732" i="5"/>
  <c r="G732" i="5"/>
  <c r="K732" i="5"/>
  <c r="I731" i="5"/>
  <c r="L731" i="5"/>
  <c r="G731" i="5"/>
  <c r="H731" i="5"/>
  <c r="K731" i="5"/>
  <c r="L730" i="5"/>
  <c r="I730" i="5"/>
  <c r="G730" i="5"/>
  <c r="H730" i="5"/>
  <c r="K730" i="5"/>
  <c r="L729" i="5"/>
  <c r="I729" i="5"/>
  <c r="K729" i="5"/>
  <c r="G729" i="5"/>
  <c r="H729" i="5"/>
  <c r="L728" i="5"/>
  <c r="I728" i="5"/>
  <c r="K728" i="5"/>
  <c r="H728" i="5"/>
  <c r="G728" i="5"/>
  <c r="L727" i="5"/>
  <c r="I727" i="5"/>
  <c r="K727" i="5"/>
  <c r="H727" i="5"/>
  <c r="G727" i="5"/>
  <c r="I726" i="5"/>
  <c r="L726" i="5"/>
  <c r="H726" i="5"/>
  <c r="K726" i="5"/>
  <c r="G726" i="5"/>
  <c r="I725" i="5"/>
  <c r="L725" i="5"/>
  <c r="G725" i="5"/>
  <c r="H725" i="5"/>
  <c r="K725" i="5"/>
  <c r="I724" i="5"/>
  <c r="L724" i="5"/>
  <c r="G724" i="5"/>
  <c r="H724" i="5"/>
  <c r="K724" i="5"/>
  <c r="I723" i="5"/>
  <c r="L723" i="5"/>
  <c r="G723" i="5"/>
  <c r="H723" i="5"/>
  <c r="K723" i="5"/>
  <c r="I722" i="5"/>
  <c r="L722" i="5"/>
  <c r="H722" i="5"/>
  <c r="G722" i="5"/>
  <c r="K722" i="5"/>
  <c r="I721" i="5"/>
  <c r="L721" i="5"/>
  <c r="K721" i="5"/>
  <c r="H721" i="5"/>
  <c r="G721" i="5"/>
  <c r="L720" i="5"/>
  <c r="I720" i="5"/>
  <c r="K720" i="5"/>
  <c r="H720" i="5"/>
  <c r="G720" i="5"/>
  <c r="I719" i="5"/>
  <c r="L719" i="5"/>
  <c r="G719" i="5"/>
  <c r="K719" i="5"/>
  <c r="H719" i="5"/>
  <c r="L718" i="5"/>
  <c r="I718" i="5"/>
  <c r="K718" i="5"/>
  <c r="H718" i="5"/>
  <c r="G718" i="5"/>
  <c r="L717" i="5"/>
  <c r="I717" i="5"/>
  <c r="K717" i="5"/>
  <c r="H717" i="5"/>
  <c r="G717" i="5"/>
  <c r="L716" i="5"/>
  <c r="I716" i="5"/>
  <c r="G716" i="5"/>
  <c r="K716" i="5"/>
  <c r="H716" i="5"/>
  <c r="I715" i="5"/>
  <c r="L715" i="5"/>
  <c r="H715" i="5"/>
  <c r="K715" i="5"/>
  <c r="G715" i="5"/>
  <c r="L714" i="5"/>
  <c r="I714" i="5"/>
  <c r="K714" i="5"/>
  <c r="H714" i="5"/>
  <c r="G714" i="5"/>
  <c r="L713" i="5"/>
  <c r="I713" i="5"/>
  <c r="K713" i="5"/>
  <c r="H713" i="5"/>
  <c r="G713" i="5"/>
  <c r="L712" i="5"/>
  <c r="I712" i="5"/>
  <c r="G712" i="5"/>
  <c r="K712" i="5"/>
  <c r="H712" i="5"/>
  <c r="L711" i="5"/>
  <c r="I711" i="5"/>
  <c r="K711" i="5"/>
  <c r="H711" i="5"/>
  <c r="G711" i="5"/>
  <c r="L710" i="5"/>
  <c r="I710" i="5"/>
  <c r="K710" i="5"/>
  <c r="H710" i="5"/>
  <c r="G710" i="5"/>
  <c r="L709" i="5"/>
  <c r="I709" i="5"/>
  <c r="H709" i="5"/>
  <c r="K709" i="5"/>
  <c r="G709" i="5"/>
  <c r="I708" i="5"/>
  <c r="L708" i="5"/>
  <c r="G708" i="5"/>
  <c r="K708" i="5"/>
  <c r="H708" i="5"/>
  <c r="I707" i="5"/>
  <c r="L707" i="5"/>
  <c r="G707" i="5"/>
  <c r="K707" i="5"/>
  <c r="H707" i="5"/>
  <c r="I706" i="5"/>
  <c r="L706" i="5"/>
  <c r="G706" i="5"/>
  <c r="K706" i="5"/>
  <c r="H706" i="5"/>
  <c r="L705" i="5"/>
  <c r="I705" i="5"/>
  <c r="K705" i="5"/>
  <c r="H705" i="5"/>
  <c r="G705" i="5"/>
  <c r="L704" i="5"/>
  <c r="I704" i="5"/>
  <c r="K704" i="5"/>
  <c r="H704" i="5"/>
  <c r="G704" i="5"/>
  <c r="L703" i="5"/>
  <c r="I703" i="5"/>
  <c r="K703" i="5"/>
  <c r="H703" i="5"/>
  <c r="G703" i="5"/>
  <c r="I702" i="5"/>
  <c r="L702" i="5"/>
  <c r="K702" i="5"/>
  <c r="G702" i="5"/>
  <c r="H702" i="5"/>
  <c r="L701" i="5"/>
  <c r="I701" i="5"/>
  <c r="H701" i="5"/>
  <c r="G701" i="5"/>
  <c r="K701" i="5"/>
  <c r="L700" i="5"/>
  <c r="I700" i="5"/>
  <c r="H700" i="5"/>
  <c r="G700" i="5"/>
  <c r="K700" i="5"/>
  <c r="L699" i="5"/>
  <c r="I699" i="5"/>
  <c r="H699" i="5"/>
  <c r="G699" i="5"/>
  <c r="K699" i="5"/>
  <c r="L698" i="5"/>
  <c r="I698" i="5"/>
  <c r="H698" i="5"/>
  <c r="G698" i="5"/>
  <c r="K698" i="5"/>
  <c r="I697" i="5"/>
  <c r="L697" i="5"/>
  <c r="G697" i="5"/>
  <c r="K697" i="5"/>
  <c r="H697" i="5"/>
  <c r="L696" i="5"/>
  <c r="I696" i="5"/>
  <c r="H696" i="5"/>
  <c r="G696" i="5"/>
  <c r="K696" i="5"/>
  <c r="L695" i="5"/>
  <c r="I695" i="5"/>
  <c r="H695" i="5"/>
  <c r="K695" i="5"/>
  <c r="G695" i="5"/>
  <c r="I694" i="5"/>
  <c r="L694" i="5"/>
  <c r="H694" i="5"/>
  <c r="G694" i="5"/>
  <c r="K694" i="5"/>
  <c r="I693" i="5"/>
  <c r="L693" i="5"/>
  <c r="K693" i="5"/>
  <c r="G693" i="5"/>
  <c r="H693" i="5"/>
  <c r="L692" i="5"/>
  <c r="I692" i="5"/>
  <c r="K692" i="5"/>
  <c r="H692" i="5"/>
  <c r="G692" i="5"/>
  <c r="L691" i="5"/>
  <c r="I691" i="5"/>
  <c r="K691" i="5"/>
  <c r="H691" i="5"/>
  <c r="G691" i="5"/>
  <c r="L690" i="5"/>
  <c r="I690" i="5"/>
  <c r="H690" i="5"/>
  <c r="G690" i="5"/>
  <c r="K690" i="5"/>
  <c r="L689" i="5"/>
  <c r="I689" i="5"/>
  <c r="K689" i="5"/>
  <c r="H689" i="5"/>
  <c r="G689" i="5"/>
  <c r="L688" i="5"/>
  <c r="I688" i="5"/>
  <c r="K688" i="5"/>
  <c r="G688" i="5"/>
  <c r="H688" i="5"/>
  <c r="I687" i="5"/>
  <c r="L687" i="5"/>
  <c r="K687" i="5"/>
  <c r="G687" i="5"/>
  <c r="H687" i="5"/>
  <c r="I686" i="5"/>
  <c r="L686" i="5"/>
  <c r="K686" i="5"/>
  <c r="H686" i="5"/>
  <c r="G686" i="5"/>
  <c r="L685" i="5"/>
  <c r="I685" i="5"/>
  <c r="K685" i="5"/>
  <c r="H685" i="5"/>
  <c r="G685" i="5"/>
  <c r="L684" i="5"/>
  <c r="I684" i="5"/>
  <c r="K684" i="5"/>
  <c r="H684" i="5"/>
  <c r="G684" i="5"/>
  <c r="I683" i="5"/>
  <c r="L683" i="5"/>
  <c r="K683" i="5"/>
  <c r="G683" i="5"/>
  <c r="H683" i="5"/>
  <c r="L682" i="5"/>
  <c r="I682" i="5"/>
  <c r="K682" i="5"/>
  <c r="H682" i="5"/>
  <c r="G682" i="5"/>
  <c r="L681" i="5"/>
  <c r="I681" i="5"/>
  <c r="K681" i="5"/>
  <c r="H681" i="5"/>
  <c r="G681" i="5"/>
  <c r="L680" i="5"/>
  <c r="I680" i="5"/>
  <c r="K680" i="5"/>
  <c r="H680" i="5"/>
  <c r="G680" i="5"/>
  <c r="I679" i="5"/>
  <c r="L679" i="5"/>
  <c r="H679" i="5"/>
  <c r="G679" i="5"/>
  <c r="K679" i="5"/>
  <c r="L678" i="5"/>
  <c r="I678" i="5"/>
  <c r="K678" i="5"/>
  <c r="H678" i="5"/>
  <c r="G678" i="5"/>
  <c r="L677" i="5"/>
  <c r="I677" i="5"/>
  <c r="K677" i="5"/>
  <c r="H677" i="5"/>
  <c r="G677" i="5"/>
  <c r="L676" i="5"/>
  <c r="I676" i="5"/>
  <c r="K676" i="5"/>
  <c r="H676" i="5"/>
  <c r="G676" i="5"/>
  <c r="L675" i="5"/>
  <c r="I675" i="5"/>
  <c r="G675" i="5"/>
  <c r="K675" i="5"/>
  <c r="H675" i="5"/>
  <c r="L674" i="5"/>
  <c r="I674" i="5"/>
  <c r="K674" i="5"/>
  <c r="H674" i="5"/>
  <c r="G674" i="5"/>
  <c r="L673" i="5"/>
  <c r="I673" i="5"/>
  <c r="K673" i="5"/>
  <c r="H673" i="5"/>
  <c r="G673" i="5"/>
  <c r="L672" i="5"/>
  <c r="I672" i="5"/>
  <c r="K672" i="5"/>
  <c r="H672" i="5"/>
  <c r="G672" i="5"/>
  <c r="L671" i="5"/>
  <c r="I671" i="5"/>
  <c r="K671" i="5"/>
  <c r="G671" i="5"/>
  <c r="H671" i="5"/>
  <c r="I670" i="5"/>
  <c r="L670" i="5"/>
  <c r="K670" i="5"/>
  <c r="H670" i="5"/>
  <c r="G670" i="5"/>
  <c r="L669" i="5"/>
  <c r="I669" i="5"/>
  <c r="K669" i="5"/>
  <c r="H669" i="5"/>
  <c r="G669" i="5"/>
  <c r="L668" i="5"/>
  <c r="I668" i="5"/>
  <c r="K668" i="5"/>
  <c r="H668" i="5"/>
  <c r="G668" i="5"/>
  <c r="I667" i="5"/>
  <c r="L667" i="5"/>
  <c r="K667" i="5"/>
  <c r="H667" i="5"/>
  <c r="G667" i="5"/>
  <c r="L666" i="5"/>
  <c r="I666" i="5"/>
  <c r="K666" i="5"/>
  <c r="H666" i="5"/>
  <c r="G666" i="5"/>
  <c r="L665" i="5"/>
  <c r="I665" i="5"/>
  <c r="K665" i="5"/>
  <c r="H665" i="5"/>
  <c r="G665" i="5"/>
  <c r="L664" i="5"/>
  <c r="I664" i="5"/>
  <c r="K664" i="5"/>
  <c r="H664" i="5"/>
  <c r="G664" i="5"/>
  <c r="I663" i="5"/>
  <c r="L663" i="5"/>
  <c r="H663" i="5"/>
  <c r="G663" i="5"/>
  <c r="K663" i="5"/>
  <c r="L662" i="5"/>
  <c r="I662" i="5"/>
  <c r="K662" i="5"/>
  <c r="H662" i="5"/>
  <c r="G662" i="5"/>
  <c r="L661" i="5"/>
  <c r="I661" i="5"/>
  <c r="K661" i="5"/>
  <c r="H661" i="5"/>
  <c r="G661" i="5"/>
  <c r="L660" i="5"/>
  <c r="I660" i="5"/>
  <c r="K660" i="5"/>
  <c r="H660" i="5"/>
  <c r="G660" i="5"/>
  <c r="I659" i="5"/>
  <c r="L659" i="5"/>
  <c r="K659" i="5"/>
  <c r="H659" i="5"/>
  <c r="G659" i="5"/>
  <c r="L658" i="5"/>
  <c r="I658" i="5"/>
  <c r="K658" i="5"/>
  <c r="H658" i="5"/>
  <c r="G658" i="5"/>
  <c r="L657" i="5"/>
  <c r="I657" i="5"/>
  <c r="K657" i="5"/>
  <c r="H657" i="5"/>
  <c r="G657" i="5"/>
  <c r="L656" i="5"/>
  <c r="I656" i="5"/>
  <c r="K656" i="5"/>
  <c r="H656" i="5"/>
  <c r="G656" i="5"/>
  <c r="L655" i="5"/>
  <c r="I655" i="5"/>
  <c r="G655" i="5"/>
  <c r="H655" i="5"/>
  <c r="K655" i="5"/>
  <c r="I654" i="5"/>
  <c r="L654" i="5"/>
  <c r="K654" i="5"/>
  <c r="H654" i="5"/>
  <c r="G654" i="5"/>
  <c r="L653" i="5"/>
  <c r="I653" i="5"/>
  <c r="K653" i="5"/>
  <c r="H653" i="5"/>
  <c r="G653" i="5"/>
  <c r="L652" i="5"/>
  <c r="I652" i="5"/>
  <c r="K652" i="5"/>
  <c r="H652" i="5"/>
  <c r="G652" i="5"/>
  <c r="I651" i="5"/>
  <c r="L651" i="5"/>
  <c r="K651" i="5"/>
  <c r="H651" i="5"/>
  <c r="G651" i="5"/>
  <c r="L650" i="5"/>
  <c r="I650" i="5"/>
  <c r="K650" i="5"/>
  <c r="H650" i="5"/>
  <c r="G650" i="5"/>
  <c r="L649" i="5"/>
  <c r="I649" i="5"/>
  <c r="K649" i="5"/>
  <c r="H649" i="5"/>
  <c r="G649" i="5"/>
  <c r="L648" i="5"/>
  <c r="I648" i="5"/>
  <c r="K648" i="5"/>
  <c r="H648" i="5"/>
  <c r="G648" i="5"/>
  <c r="L647" i="5"/>
  <c r="I647" i="5"/>
  <c r="K647" i="5"/>
  <c r="H647" i="5"/>
  <c r="G647" i="5"/>
  <c r="L646" i="5"/>
  <c r="I646" i="5"/>
  <c r="K646" i="5"/>
  <c r="H646" i="5"/>
  <c r="G646" i="5"/>
  <c r="L645" i="5"/>
  <c r="I645" i="5"/>
  <c r="K645" i="5"/>
  <c r="H645" i="5"/>
  <c r="G645" i="5"/>
  <c r="L644" i="5"/>
  <c r="I644" i="5"/>
  <c r="K644" i="5"/>
  <c r="H644" i="5"/>
  <c r="G644" i="5"/>
  <c r="L643" i="5"/>
  <c r="I643" i="5"/>
  <c r="K643" i="5"/>
  <c r="H643" i="5"/>
  <c r="G643" i="5"/>
  <c r="L642" i="5"/>
  <c r="I642" i="5"/>
  <c r="K642" i="5"/>
  <c r="H642" i="5"/>
  <c r="G642" i="5"/>
  <c r="L641" i="5"/>
  <c r="I641" i="5"/>
  <c r="K641" i="5"/>
  <c r="H641" i="5"/>
  <c r="G641" i="5"/>
  <c r="L640" i="5"/>
  <c r="I640" i="5"/>
  <c r="H640" i="5"/>
  <c r="K640" i="5"/>
  <c r="G640" i="5"/>
  <c r="L639" i="5"/>
  <c r="I639" i="5"/>
  <c r="H639" i="5"/>
  <c r="G639" i="5"/>
  <c r="K639" i="5"/>
  <c r="L638" i="5"/>
  <c r="I638" i="5"/>
  <c r="K638" i="5"/>
  <c r="H638" i="5"/>
  <c r="G638" i="5"/>
  <c r="L637" i="5"/>
  <c r="I637" i="5"/>
  <c r="K637" i="5"/>
  <c r="H637" i="5"/>
  <c r="G637" i="5"/>
  <c r="L636" i="5"/>
  <c r="I636" i="5"/>
  <c r="K636" i="5"/>
  <c r="H636" i="5"/>
  <c r="G636" i="5"/>
  <c r="L635" i="5"/>
  <c r="I635" i="5"/>
  <c r="H635" i="5"/>
  <c r="K635" i="5"/>
  <c r="G635" i="5"/>
  <c r="L634" i="5"/>
  <c r="I634" i="5"/>
  <c r="G634" i="5"/>
  <c r="K634" i="5"/>
  <c r="H634" i="5"/>
  <c r="L633" i="5"/>
  <c r="I633" i="5"/>
  <c r="K633" i="5"/>
  <c r="H633" i="5"/>
  <c r="G633" i="5"/>
  <c r="L632" i="5"/>
  <c r="I632" i="5"/>
  <c r="K632" i="5"/>
  <c r="H632" i="5"/>
  <c r="G632" i="5"/>
  <c r="L631" i="5"/>
  <c r="I631" i="5"/>
  <c r="G631" i="5"/>
  <c r="H631" i="5"/>
  <c r="K631" i="5"/>
  <c r="L630" i="5"/>
  <c r="I630" i="5"/>
  <c r="H630" i="5"/>
  <c r="G630" i="5"/>
  <c r="K630" i="5"/>
  <c r="L629" i="5"/>
  <c r="I629" i="5"/>
  <c r="K629" i="5"/>
  <c r="H629" i="5"/>
  <c r="G629" i="5"/>
  <c r="L628" i="5"/>
  <c r="I628" i="5"/>
  <c r="K628" i="5"/>
  <c r="H628" i="5"/>
  <c r="G628" i="5"/>
  <c r="L627" i="5"/>
  <c r="I627" i="5"/>
  <c r="K627" i="5"/>
  <c r="H627" i="5"/>
  <c r="G627" i="5"/>
  <c r="L626" i="5"/>
  <c r="I626" i="5"/>
  <c r="K626" i="5"/>
  <c r="H626" i="5"/>
  <c r="G626" i="5"/>
  <c r="L625" i="5"/>
  <c r="I625" i="5"/>
  <c r="H625" i="5"/>
  <c r="K625" i="5"/>
  <c r="G625" i="5"/>
  <c r="L624" i="5"/>
  <c r="I624" i="5"/>
  <c r="K624" i="5"/>
  <c r="H624" i="5"/>
  <c r="G624" i="5"/>
  <c r="L623" i="5"/>
  <c r="I623" i="5"/>
  <c r="K623" i="5"/>
  <c r="H623" i="5"/>
  <c r="G623" i="5"/>
  <c r="L622" i="5"/>
  <c r="I622" i="5"/>
  <c r="K622" i="5"/>
  <c r="H622" i="5"/>
  <c r="G622" i="5"/>
  <c r="L621" i="5"/>
  <c r="I621" i="5"/>
  <c r="H621" i="5"/>
  <c r="K621" i="5"/>
  <c r="G621" i="5"/>
  <c r="L620" i="5"/>
  <c r="I620" i="5"/>
  <c r="H620" i="5"/>
  <c r="G620" i="5"/>
  <c r="K620" i="5"/>
  <c r="L619" i="5"/>
  <c r="I619" i="5"/>
  <c r="K619" i="5"/>
  <c r="H619" i="5"/>
  <c r="G619" i="5"/>
  <c r="L618" i="5"/>
  <c r="I618" i="5"/>
  <c r="K618" i="5"/>
  <c r="G618" i="5"/>
  <c r="H618" i="5"/>
  <c r="L617" i="5"/>
  <c r="I617" i="5"/>
  <c r="K617" i="5"/>
  <c r="H617" i="5"/>
  <c r="G617" i="5"/>
  <c r="L616" i="5"/>
  <c r="I616" i="5"/>
  <c r="K616" i="5"/>
  <c r="H616" i="5"/>
  <c r="G616" i="5"/>
  <c r="L615" i="5"/>
  <c r="I615" i="5"/>
  <c r="K615" i="5"/>
  <c r="H615" i="5"/>
  <c r="G615" i="5"/>
  <c r="L614" i="5"/>
  <c r="I614" i="5"/>
  <c r="K614" i="5"/>
  <c r="H614" i="5"/>
  <c r="G614" i="5"/>
  <c r="L613" i="5"/>
  <c r="I613" i="5"/>
  <c r="K613" i="5"/>
  <c r="H613" i="5"/>
  <c r="G613" i="5"/>
  <c r="L612" i="5"/>
  <c r="I612" i="5"/>
  <c r="K612" i="5"/>
  <c r="H612" i="5"/>
  <c r="G612" i="5"/>
  <c r="L611" i="5"/>
  <c r="I611" i="5"/>
  <c r="G611" i="5"/>
  <c r="K611" i="5"/>
  <c r="H611" i="5"/>
  <c r="I610" i="5"/>
  <c r="L610" i="5"/>
  <c r="G610" i="5"/>
  <c r="K610" i="5"/>
  <c r="H610" i="5"/>
  <c r="I609" i="5"/>
  <c r="L609" i="5"/>
  <c r="G609" i="5"/>
  <c r="K609" i="5"/>
  <c r="H609" i="5"/>
  <c r="L608" i="5"/>
  <c r="I608" i="5"/>
  <c r="K608" i="5"/>
  <c r="H608" i="5"/>
  <c r="G608" i="5"/>
  <c r="L607" i="5"/>
  <c r="I607" i="5"/>
  <c r="K607" i="5"/>
  <c r="H607" i="5"/>
  <c r="G607" i="5"/>
  <c r="L606" i="5"/>
  <c r="I606" i="5"/>
  <c r="H606" i="5"/>
  <c r="G606" i="5"/>
  <c r="K606" i="5"/>
  <c r="L605" i="5"/>
  <c r="I605" i="5"/>
  <c r="K605" i="5"/>
  <c r="H605" i="5"/>
  <c r="G605" i="5"/>
  <c r="L604" i="5"/>
  <c r="I604" i="5"/>
  <c r="K604" i="5"/>
  <c r="H604" i="5"/>
  <c r="G604" i="5"/>
  <c r="L603" i="5"/>
  <c r="I603" i="5"/>
  <c r="K603" i="5"/>
  <c r="H603" i="5"/>
  <c r="G603" i="5"/>
  <c r="L602" i="5"/>
  <c r="I602" i="5"/>
  <c r="G602" i="5"/>
  <c r="K602" i="5"/>
  <c r="H602" i="5"/>
  <c r="L601" i="5"/>
  <c r="I601" i="5"/>
  <c r="G601" i="5"/>
  <c r="K601" i="5"/>
  <c r="H601" i="5"/>
  <c r="L600" i="5"/>
  <c r="I600" i="5"/>
  <c r="H600" i="5"/>
  <c r="G600" i="5"/>
  <c r="K600" i="5"/>
  <c r="L599" i="5"/>
  <c r="I599" i="5"/>
  <c r="K599" i="5"/>
  <c r="H599" i="5"/>
  <c r="G599" i="5"/>
  <c r="L598" i="5"/>
  <c r="I598" i="5"/>
  <c r="K598" i="5"/>
  <c r="H598" i="5"/>
  <c r="G598" i="5"/>
  <c r="L597" i="5"/>
  <c r="I597" i="5"/>
  <c r="K597" i="5"/>
  <c r="H597" i="5"/>
  <c r="G597" i="5"/>
  <c r="L596" i="5"/>
  <c r="I596" i="5"/>
  <c r="K596" i="5"/>
  <c r="H596" i="5"/>
  <c r="G596" i="5"/>
  <c r="L595" i="5"/>
  <c r="I595" i="5"/>
  <c r="K595" i="5"/>
  <c r="H595" i="5"/>
  <c r="G595" i="5"/>
  <c r="L594" i="5"/>
  <c r="I594" i="5"/>
  <c r="K594" i="5"/>
  <c r="H594" i="5"/>
  <c r="G594" i="5"/>
  <c r="L593" i="5"/>
  <c r="I593" i="5"/>
  <c r="H593" i="5"/>
  <c r="G593" i="5"/>
  <c r="K593" i="5"/>
  <c r="L592" i="5"/>
  <c r="I592" i="5"/>
  <c r="K592" i="5"/>
  <c r="H592" i="5"/>
  <c r="G592" i="5"/>
  <c r="L591" i="5"/>
  <c r="I591" i="5"/>
  <c r="K591" i="5"/>
  <c r="H591" i="5"/>
  <c r="G591" i="5"/>
  <c r="L590" i="5"/>
  <c r="I590" i="5"/>
  <c r="K590" i="5"/>
  <c r="H590" i="5"/>
  <c r="G590" i="5"/>
  <c r="L589" i="5"/>
  <c r="I589" i="5"/>
  <c r="K589" i="5"/>
  <c r="H589" i="5"/>
  <c r="G589" i="5"/>
  <c r="L588" i="5"/>
  <c r="I588" i="5"/>
  <c r="K588" i="5"/>
  <c r="H588" i="5"/>
  <c r="G588" i="5"/>
  <c r="L587" i="5"/>
  <c r="I587" i="5"/>
  <c r="K587" i="5"/>
  <c r="H587" i="5"/>
  <c r="G587" i="5"/>
  <c r="I586" i="5"/>
  <c r="L586" i="5"/>
  <c r="K586" i="5"/>
  <c r="H586" i="5"/>
  <c r="G586" i="5"/>
  <c r="L585" i="5"/>
  <c r="I585" i="5"/>
  <c r="K585" i="5"/>
  <c r="H585" i="5"/>
  <c r="G585" i="5"/>
  <c r="L584" i="5"/>
  <c r="I584" i="5"/>
  <c r="K584" i="5"/>
  <c r="H584" i="5"/>
  <c r="G584" i="5"/>
  <c r="L583" i="5"/>
  <c r="I583" i="5"/>
  <c r="K583" i="5"/>
  <c r="H583" i="5"/>
  <c r="G583" i="5"/>
  <c r="I582" i="5"/>
  <c r="L582" i="5"/>
  <c r="G582" i="5"/>
  <c r="K582" i="5"/>
  <c r="H582" i="5"/>
  <c r="I581" i="5"/>
  <c r="L581" i="5"/>
  <c r="G581" i="5"/>
  <c r="H581" i="5"/>
  <c r="K581" i="5"/>
  <c r="I580" i="5"/>
  <c r="L580" i="5"/>
  <c r="G580" i="5"/>
  <c r="H580" i="5"/>
  <c r="K580" i="5"/>
  <c r="I579" i="5"/>
  <c r="L579" i="5"/>
  <c r="G579" i="5"/>
  <c r="K579" i="5"/>
  <c r="H579" i="5"/>
  <c r="L578" i="5"/>
  <c r="I578" i="5"/>
  <c r="K578" i="5"/>
  <c r="G578" i="5"/>
  <c r="H578" i="5"/>
  <c r="I577" i="5"/>
  <c r="L577" i="5"/>
  <c r="K577" i="5"/>
  <c r="G577" i="5"/>
  <c r="H577" i="5"/>
  <c r="L576" i="5"/>
  <c r="I576" i="5"/>
  <c r="K576" i="5"/>
  <c r="H576" i="5"/>
  <c r="G576" i="5"/>
  <c r="L575" i="5"/>
  <c r="I575" i="5"/>
  <c r="K575" i="5"/>
  <c r="H575" i="5"/>
  <c r="G575" i="5"/>
  <c r="L574" i="5"/>
  <c r="I574" i="5"/>
  <c r="K574" i="5"/>
  <c r="H574" i="5"/>
  <c r="G574" i="5"/>
  <c r="I573" i="5"/>
  <c r="L573" i="5"/>
  <c r="H573" i="5"/>
  <c r="G573" i="5"/>
  <c r="K573" i="5"/>
  <c r="I572" i="5"/>
  <c r="L572" i="5"/>
  <c r="K572" i="5"/>
  <c r="G572" i="5"/>
  <c r="H572" i="5"/>
  <c r="I571" i="5"/>
  <c r="L571" i="5"/>
  <c r="G571" i="5"/>
  <c r="K571" i="5"/>
  <c r="H571" i="5"/>
  <c r="L570" i="5"/>
  <c r="I570" i="5"/>
  <c r="G570" i="5"/>
  <c r="H570" i="5"/>
  <c r="K570" i="5"/>
  <c r="L569" i="5"/>
  <c r="I569" i="5"/>
  <c r="K569" i="5"/>
  <c r="H569" i="5"/>
  <c r="G569" i="5"/>
  <c r="L568" i="5"/>
  <c r="I568" i="5"/>
  <c r="K568" i="5"/>
  <c r="H568" i="5"/>
  <c r="G568" i="5"/>
  <c r="L567" i="5"/>
  <c r="I567" i="5"/>
  <c r="K567" i="5"/>
  <c r="H567" i="5"/>
  <c r="G567" i="5"/>
  <c r="I566" i="5"/>
  <c r="L566" i="5"/>
  <c r="H566" i="5"/>
  <c r="K566" i="5"/>
  <c r="G566" i="5"/>
  <c r="I565" i="5"/>
  <c r="L565" i="5"/>
  <c r="K565" i="5"/>
  <c r="G565" i="5"/>
  <c r="H565" i="5"/>
  <c r="L564" i="5"/>
  <c r="I564" i="5"/>
  <c r="G564" i="5"/>
  <c r="H564" i="5"/>
  <c r="K564" i="5"/>
  <c r="I563" i="5"/>
  <c r="L563" i="5"/>
  <c r="H563" i="5"/>
  <c r="G563" i="5"/>
  <c r="K563" i="5"/>
  <c r="I562" i="5"/>
  <c r="L562" i="5"/>
  <c r="G562" i="5"/>
  <c r="H562" i="5"/>
  <c r="K562" i="5"/>
  <c r="L561" i="5"/>
  <c r="I561" i="5"/>
  <c r="K561" i="5"/>
  <c r="G561" i="5"/>
  <c r="H561" i="5"/>
  <c r="L560" i="5"/>
  <c r="I560" i="5"/>
  <c r="K560" i="5"/>
  <c r="H560" i="5"/>
  <c r="G560" i="5"/>
  <c r="I559" i="5"/>
  <c r="L559" i="5"/>
  <c r="H559" i="5"/>
  <c r="K559" i="5"/>
  <c r="G559" i="5"/>
  <c r="I558" i="5"/>
  <c r="L558" i="5"/>
  <c r="K558" i="5"/>
  <c r="H558" i="5"/>
  <c r="G558" i="5"/>
  <c r="L557" i="5"/>
  <c r="I557" i="5"/>
  <c r="H557" i="5"/>
  <c r="K557" i="5"/>
  <c r="G557" i="5"/>
  <c r="L556" i="5"/>
  <c r="I556" i="5"/>
  <c r="K556" i="5"/>
  <c r="G556" i="5"/>
  <c r="H556" i="5"/>
  <c r="L555" i="5"/>
  <c r="I555" i="5"/>
  <c r="G555" i="5"/>
  <c r="K555" i="5"/>
  <c r="H555" i="5"/>
  <c r="I554" i="5"/>
  <c r="L554" i="5"/>
  <c r="G554" i="5"/>
  <c r="K554" i="5"/>
  <c r="H554" i="5"/>
  <c r="I553" i="5"/>
  <c r="L553" i="5"/>
  <c r="K553" i="5"/>
  <c r="G553" i="5"/>
  <c r="H553" i="5"/>
  <c r="I552" i="5"/>
  <c r="L552" i="5"/>
  <c r="G552" i="5"/>
  <c r="H552" i="5"/>
  <c r="K552" i="5"/>
  <c r="L551" i="5"/>
  <c r="I551" i="5"/>
  <c r="K551" i="5"/>
  <c r="H551" i="5"/>
  <c r="G551" i="5"/>
  <c r="I550" i="5"/>
  <c r="L550" i="5"/>
  <c r="K550" i="5"/>
  <c r="G550" i="5"/>
  <c r="H550" i="5"/>
  <c r="L549" i="5"/>
  <c r="I549" i="5"/>
  <c r="K549" i="5"/>
  <c r="G549" i="5"/>
  <c r="H549" i="5"/>
  <c r="I548" i="5"/>
  <c r="L548" i="5"/>
  <c r="G548" i="5"/>
  <c r="K548" i="5"/>
  <c r="H548" i="5"/>
  <c r="L547" i="5"/>
  <c r="I547" i="5"/>
  <c r="K547" i="5"/>
  <c r="H547" i="5"/>
  <c r="G547" i="5"/>
  <c r="I546" i="5"/>
  <c r="L546" i="5"/>
  <c r="H546" i="5"/>
  <c r="G546" i="5"/>
  <c r="K546" i="5"/>
  <c r="L545" i="5"/>
  <c r="I545" i="5"/>
  <c r="H545" i="5"/>
  <c r="K545" i="5"/>
  <c r="G545" i="5"/>
  <c r="I544" i="5"/>
  <c r="L544" i="5"/>
  <c r="K544" i="5"/>
  <c r="H544" i="5"/>
  <c r="G544" i="5"/>
  <c r="I543" i="5"/>
  <c r="L543" i="5"/>
  <c r="G543" i="5"/>
  <c r="H543" i="5"/>
  <c r="K543" i="5"/>
  <c r="L542" i="5"/>
  <c r="I542" i="5"/>
  <c r="G542" i="5"/>
  <c r="H542" i="5"/>
  <c r="K542" i="5"/>
  <c r="I541" i="5"/>
  <c r="L541" i="5"/>
  <c r="H541" i="5"/>
  <c r="K541" i="5"/>
  <c r="G541" i="5"/>
  <c r="I540" i="5"/>
  <c r="L540" i="5"/>
  <c r="G540" i="5"/>
  <c r="H540" i="5"/>
  <c r="K540" i="5"/>
  <c r="I539" i="5"/>
  <c r="L539" i="5"/>
  <c r="H539" i="5"/>
  <c r="K539" i="5"/>
  <c r="G539" i="5"/>
  <c r="L538" i="5"/>
  <c r="I538" i="5"/>
  <c r="K538" i="5"/>
  <c r="H538" i="5"/>
  <c r="G538" i="5"/>
  <c r="L537" i="5"/>
  <c r="I537" i="5"/>
  <c r="K537" i="5"/>
  <c r="H537" i="5"/>
  <c r="G537" i="5"/>
  <c r="L536" i="5"/>
  <c r="I536" i="5"/>
  <c r="H536" i="5"/>
  <c r="K536" i="5"/>
  <c r="G536" i="5"/>
  <c r="I535" i="5"/>
  <c r="L535" i="5"/>
  <c r="K535" i="5"/>
  <c r="G535" i="5"/>
  <c r="H535" i="5"/>
  <c r="I534" i="5"/>
  <c r="L534" i="5"/>
  <c r="G534" i="5"/>
  <c r="H534" i="5"/>
  <c r="K534" i="5"/>
  <c r="I533" i="5"/>
  <c r="L533" i="5"/>
  <c r="G533" i="5"/>
  <c r="H533" i="5"/>
  <c r="K533" i="5"/>
  <c r="L532" i="5"/>
  <c r="I532" i="5"/>
  <c r="G532" i="5"/>
  <c r="K532" i="5"/>
  <c r="H532" i="5"/>
  <c r="I531" i="5"/>
  <c r="L531" i="5"/>
  <c r="G531" i="5"/>
  <c r="H531" i="5"/>
  <c r="K531" i="5"/>
  <c r="I530" i="5"/>
  <c r="L530" i="5"/>
  <c r="G530" i="5"/>
  <c r="H530" i="5"/>
  <c r="K530" i="5"/>
  <c r="I529" i="5"/>
  <c r="L529" i="5"/>
  <c r="H529" i="5"/>
  <c r="K529" i="5"/>
  <c r="G529" i="5"/>
  <c r="I528" i="5"/>
  <c r="L528" i="5"/>
  <c r="G528" i="5"/>
  <c r="H528" i="5"/>
  <c r="K528" i="5"/>
  <c r="I527" i="5"/>
  <c r="L527" i="5"/>
  <c r="G527" i="5"/>
  <c r="H527" i="5"/>
  <c r="K527" i="5"/>
  <c r="I526" i="5"/>
  <c r="L526" i="5"/>
  <c r="G526" i="5"/>
  <c r="H526" i="5"/>
  <c r="K526" i="5"/>
  <c r="L525" i="5"/>
  <c r="I525" i="5"/>
  <c r="G525" i="5"/>
  <c r="H525" i="5"/>
  <c r="K525" i="5"/>
  <c r="I524" i="5"/>
  <c r="L524" i="5"/>
  <c r="G524" i="5"/>
  <c r="H524" i="5"/>
  <c r="K524" i="5"/>
  <c r="I523" i="5"/>
  <c r="L523" i="5"/>
  <c r="G523" i="5"/>
  <c r="H523" i="5"/>
  <c r="K523" i="5"/>
  <c r="I522" i="5"/>
  <c r="L522" i="5"/>
  <c r="G522" i="5"/>
  <c r="H522" i="5"/>
  <c r="K522" i="5"/>
  <c r="I521" i="5"/>
  <c r="L521" i="5"/>
  <c r="G521" i="5"/>
  <c r="H521" i="5"/>
  <c r="K521" i="5"/>
  <c r="I520" i="5"/>
  <c r="L520" i="5"/>
  <c r="G520" i="5"/>
  <c r="H520" i="5"/>
  <c r="K520" i="5"/>
  <c r="I519" i="5"/>
  <c r="L519" i="5"/>
  <c r="G519" i="5"/>
  <c r="H519" i="5"/>
  <c r="K519" i="5"/>
  <c r="I518" i="5"/>
  <c r="L518" i="5"/>
  <c r="G518" i="5"/>
  <c r="H518" i="5"/>
  <c r="K518" i="5"/>
  <c r="I517" i="5"/>
  <c r="L517" i="5"/>
  <c r="K517" i="5"/>
  <c r="H517" i="5"/>
  <c r="G517" i="5"/>
  <c r="L516" i="5"/>
  <c r="I516" i="5"/>
  <c r="K516" i="5"/>
  <c r="H516" i="5"/>
  <c r="G516" i="5"/>
  <c r="L515" i="5"/>
  <c r="I515" i="5"/>
  <c r="G515" i="5"/>
  <c r="K515" i="5"/>
  <c r="H515" i="5"/>
  <c r="I514" i="5"/>
  <c r="L514" i="5"/>
  <c r="G514" i="5"/>
  <c r="H514" i="5"/>
  <c r="K514" i="5"/>
  <c r="I513" i="5"/>
  <c r="L513" i="5"/>
  <c r="K513" i="5"/>
  <c r="G513" i="5"/>
  <c r="H513" i="5"/>
  <c r="I512" i="5"/>
  <c r="L512" i="5"/>
  <c r="G512" i="5"/>
  <c r="H512" i="5"/>
  <c r="K512" i="5"/>
  <c r="L511" i="5"/>
  <c r="I511" i="5"/>
  <c r="K511" i="5"/>
  <c r="G511" i="5"/>
  <c r="H511" i="5"/>
  <c r="I510" i="5"/>
  <c r="L510" i="5"/>
  <c r="K510" i="5"/>
  <c r="G510" i="5"/>
  <c r="H510" i="5"/>
  <c r="L509" i="5"/>
  <c r="I509" i="5"/>
  <c r="K509" i="5"/>
  <c r="H509" i="5"/>
  <c r="G509" i="5"/>
  <c r="L508" i="5"/>
  <c r="I508" i="5"/>
  <c r="K508" i="5"/>
  <c r="H508" i="5"/>
  <c r="G508" i="5"/>
  <c r="L507" i="5"/>
  <c r="I507" i="5"/>
  <c r="K507" i="5"/>
  <c r="H507" i="5"/>
  <c r="G507" i="5"/>
  <c r="L506" i="5"/>
  <c r="I506" i="5"/>
  <c r="K506" i="5"/>
  <c r="H506" i="5"/>
  <c r="G506" i="5"/>
  <c r="L505" i="5"/>
  <c r="I505" i="5"/>
  <c r="K505" i="5"/>
  <c r="H505" i="5"/>
  <c r="G505" i="5"/>
  <c r="L504" i="5"/>
  <c r="I504" i="5"/>
  <c r="K504" i="5"/>
  <c r="H504" i="5"/>
  <c r="G504" i="5"/>
  <c r="L503" i="5"/>
  <c r="I503" i="5"/>
  <c r="K503" i="5"/>
  <c r="H503" i="5"/>
  <c r="G503" i="5"/>
  <c r="L502" i="5"/>
  <c r="I502" i="5"/>
  <c r="K502" i="5"/>
  <c r="H502" i="5"/>
  <c r="G502" i="5"/>
  <c r="L501" i="5"/>
  <c r="I501" i="5"/>
  <c r="K501" i="5"/>
  <c r="H501" i="5"/>
  <c r="G501" i="5"/>
  <c r="L500" i="5"/>
  <c r="I500" i="5"/>
  <c r="K500" i="5"/>
  <c r="H500" i="5"/>
  <c r="G500" i="5"/>
  <c r="L499" i="5"/>
  <c r="I499" i="5"/>
  <c r="K499" i="5"/>
  <c r="H499" i="5"/>
  <c r="G499" i="5"/>
  <c r="L498" i="5"/>
  <c r="I498" i="5"/>
  <c r="K498" i="5"/>
  <c r="H498" i="5"/>
  <c r="G498" i="5"/>
  <c r="L497" i="5"/>
  <c r="I497" i="5"/>
  <c r="K497" i="5"/>
  <c r="H497" i="5"/>
  <c r="G497" i="5"/>
  <c r="L496" i="5"/>
  <c r="I496" i="5"/>
  <c r="K496" i="5"/>
  <c r="H496" i="5"/>
  <c r="G496" i="5"/>
  <c r="L495" i="5"/>
  <c r="I495" i="5"/>
  <c r="K495" i="5"/>
  <c r="H495" i="5"/>
  <c r="G495" i="5"/>
  <c r="L494" i="5"/>
  <c r="I494" i="5"/>
  <c r="K494" i="5"/>
  <c r="H494" i="5"/>
  <c r="G494" i="5"/>
  <c r="L493" i="5"/>
  <c r="I493" i="5"/>
  <c r="K493" i="5"/>
  <c r="H493" i="5"/>
  <c r="G493" i="5"/>
  <c r="L492" i="5"/>
  <c r="I492" i="5"/>
  <c r="K492" i="5"/>
  <c r="H492" i="5"/>
  <c r="G492" i="5"/>
  <c r="L491" i="5"/>
  <c r="I491" i="5"/>
  <c r="K491" i="5"/>
  <c r="H491" i="5"/>
  <c r="G491" i="5"/>
  <c r="L490" i="5"/>
  <c r="I490" i="5"/>
  <c r="K490" i="5"/>
  <c r="H490" i="5"/>
  <c r="G490" i="5"/>
  <c r="L489" i="5"/>
  <c r="I489" i="5"/>
  <c r="K489" i="5"/>
  <c r="H489" i="5"/>
  <c r="G489" i="5"/>
  <c r="L488" i="5"/>
  <c r="I488" i="5"/>
  <c r="G488" i="5"/>
  <c r="H488" i="5"/>
  <c r="K488" i="5"/>
  <c r="L487" i="5"/>
  <c r="I487" i="5"/>
  <c r="K487" i="5"/>
  <c r="H487" i="5"/>
  <c r="G487" i="5"/>
  <c r="L486" i="5"/>
  <c r="I486" i="5"/>
  <c r="K486" i="5"/>
  <c r="H486" i="5"/>
  <c r="G486" i="5"/>
  <c r="L485" i="5"/>
  <c r="I485" i="5"/>
  <c r="K485" i="5"/>
  <c r="H485" i="5"/>
  <c r="G485" i="5"/>
  <c r="L484" i="5"/>
  <c r="I484" i="5"/>
  <c r="K484" i="5"/>
  <c r="H484" i="5"/>
  <c r="G484" i="5"/>
  <c r="I483" i="5"/>
  <c r="L483" i="5"/>
  <c r="H483" i="5"/>
  <c r="G483" i="5"/>
  <c r="K483" i="5"/>
  <c r="L482" i="5"/>
  <c r="I482" i="5"/>
  <c r="K482" i="5"/>
  <c r="H482" i="5"/>
  <c r="G482" i="5"/>
  <c r="L481" i="5"/>
  <c r="I481" i="5"/>
  <c r="K481" i="5"/>
  <c r="H481" i="5"/>
  <c r="G481" i="5"/>
  <c r="L480" i="5"/>
  <c r="I480" i="5"/>
  <c r="K480" i="5"/>
  <c r="H480" i="5"/>
  <c r="G480" i="5"/>
  <c r="I479" i="5"/>
  <c r="L479" i="5"/>
  <c r="G479" i="5"/>
  <c r="H479" i="5"/>
  <c r="K479" i="5"/>
  <c r="L478" i="5"/>
  <c r="I478" i="5"/>
  <c r="K478" i="5"/>
  <c r="H478" i="5"/>
  <c r="G478" i="5"/>
  <c r="L477" i="5"/>
  <c r="I477" i="5"/>
  <c r="K477" i="5"/>
  <c r="H477" i="5"/>
  <c r="G477" i="5"/>
  <c r="L476" i="5"/>
  <c r="I476" i="5"/>
  <c r="K476" i="5"/>
  <c r="H476" i="5"/>
  <c r="G476" i="5"/>
  <c r="L475" i="5"/>
  <c r="I475" i="5"/>
  <c r="K475" i="5"/>
  <c r="H475" i="5"/>
  <c r="G475" i="5"/>
  <c r="L474" i="5"/>
  <c r="I474" i="5"/>
  <c r="K474" i="5"/>
  <c r="H474" i="5"/>
  <c r="G474" i="5"/>
  <c r="L473" i="5"/>
  <c r="I473" i="5"/>
  <c r="K473" i="5"/>
  <c r="H473" i="5"/>
  <c r="G473" i="5"/>
  <c r="L472" i="5"/>
  <c r="I472" i="5"/>
  <c r="K472" i="5"/>
  <c r="H472" i="5"/>
  <c r="G472" i="5"/>
  <c r="L471" i="5"/>
  <c r="I471" i="5"/>
  <c r="K471" i="5"/>
  <c r="H471" i="5"/>
  <c r="G471" i="5"/>
  <c r="L470" i="5"/>
  <c r="I470" i="5"/>
  <c r="K470" i="5"/>
  <c r="H470" i="5"/>
  <c r="G470" i="5"/>
  <c r="L469" i="5"/>
  <c r="I469" i="5"/>
  <c r="K469" i="5"/>
  <c r="H469" i="5"/>
  <c r="G469" i="5"/>
  <c r="L468" i="5"/>
  <c r="I468" i="5"/>
  <c r="K468" i="5"/>
  <c r="H468" i="5"/>
  <c r="G468" i="5"/>
  <c r="L467" i="5"/>
  <c r="I467" i="5"/>
  <c r="K467" i="5"/>
  <c r="H467" i="5"/>
  <c r="G467" i="5"/>
  <c r="L466" i="5"/>
  <c r="I466" i="5"/>
  <c r="K466" i="5"/>
  <c r="H466" i="5"/>
  <c r="G466" i="5"/>
  <c r="L465" i="5"/>
  <c r="I465" i="5"/>
  <c r="K465" i="5"/>
  <c r="H465" i="5"/>
  <c r="G465" i="5"/>
  <c r="L464" i="5"/>
  <c r="I464" i="5"/>
  <c r="K464" i="5"/>
  <c r="H464" i="5"/>
  <c r="G464" i="5"/>
  <c r="L463" i="5"/>
  <c r="I463" i="5"/>
  <c r="H463" i="5"/>
  <c r="K463" i="5"/>
  <c r="G463" i="5"/>
  <c r="L462" i="5"/>
  <c r="I462" i="5"/>
  <c r="K462" i="5"/>
  <c r="H462" i="5"/>
  <c r="G462" i="5"/>
  <c r="L461" i="5"/>
  <c r="I461" i="5"/>
  <c r="K461" i="5"/>
  <c r="H461" i="5"/>
  <c r="G461" i="5"/>
  <c r="I460" i="5"/>
  <c r="L460" i="5"/>
  <c r="G460" i="5"/>
  <c r="K460" i="5"/>
  <c r="H460" i="5"/>
  <c r="L459" i="5"/>
  <c r="I459" i="5"/>
  <c r="K459" i="5"/>
  <c r="H459" i="5"/>
  <c r="G459" i="5"/>
  <c r="L458" i="5"/>
  <c r="I458" i="5"/>
  <c r="K458" i="5"/>
  <c r="H458" i="5"/>
  <c r="G458" i="5"/>
  <c r="L457" i="5"/>
  <c r="I457" i="5"/>
  <c r="K457" i="5"/>
  <c r="H457" i="5"/>
  <c r="G457" i="5"/>
  <c r="I456" i="5"/>
  <c r="L456" i="5"/>
  <c r="K456" i="5"/>
  <c r="H456" i="5"/>
  <c r="G456" i="5"/>
  <c r="L455" i="5"/>
  <c r="I455" i="5"/>
  <c r="K455" i="5"/>
  <c r="H455" i="5"/>
  <c r="G455" i="5"/>
  <c r="L454" i="5"/>
  <c r="I454" i="5"/>
  <c r="K454" i="5"/>
  <c r="H454" i="5"/>
  <c r="G454" i="5"/>
  <c r="L453" i="5"/>
  <c r="I453" i="5"/>
  <c r="K453" i="5"/>
  <c r="H453" i="5"/>
  <c r="G453" i="5"/>
  <c r="L452" i="5"/>
  <c r="I452" i="5"/>
  <c r="K452" i="5"/>
  <c r="H452" i="5"/>
  <c r="G452" i="5"/>
  <c r="L451" i="5"/>
  <c r="I451" i="5"/>
  <c r="K451" i="5"/>
  <c r="G451" i="5"/>
  <c r="H451" i="5"/>
  <c r="I450" i="5"/>
  <c r="L450" i="5"/>
  <c r="H450" i="5"/>
  <c r="K450" i="5"/>
  <c r="G450" i="5"/>
  <c r="L449" i="5"/>
  <c r="I449" i="5"/>
  <c r="K449" i="5"/>
  <c r="H449" i="5"/>
  <c r="G449" i="5"/>
  <c r="L448" i="5"/>
  <c r="I448" i="5"/>
  <c r="K448" i="5"/>
  <c r="H448" i="5"/>
  <c r="G448" i="5"/>
  <c r="I447" i="5"/>
  <c r="L447" i="5"/>
  <c r="K447" i="5"/>
  <c r="H447" i="5"/>
  <c r="G447" i="5"/>
  <c r="L446" i="5"/>
  <c r="I446" i="5"/>
  <c r="K446" i="5"/>
  <c r="H446" i="5"/>
  <c r="G446" i="5"/>
  <c r="I445" i="5"/>
  <c r="L445" i="5"/>
  <c r="K445" i="5"/>
  <c r="G445" i="5"/>
  <c r="H445" i="5"/>
  <c r="L444" i="5"/>
  <c r="I444" i="5"/>
  <c r="K444" i="5"/>
  <c r="H444" i="5"/>
  <c r="G444" i="5"/>
  <c r="L443" i="5"/>
  <c r="I443" i="5"/>
  <c r="K443" i="5"/>
  <c r="H443" i="5"/>
  <c r="G443" i="5"/>
  <c r="I442" i="5"/>
  <c r="L442" i="5"/>
  <c r="H442" i="5"/>
  <c r="K442" i="5"/>
  <c r="G442" i="5"/>
  <c r="L441" i="5"/>
  <c r="I441" i="5"/>
  <c r="K441" i="5"/>
  <c r="H441" i="5"/>
  <c r="G441" i="5"/>
  <c r="L440" i="5"/>
  <c r="I440" i="5"/>
  <c r="K440" i="5"/>
  <c r="H440" i="5"/>
  <c r="G440" i="5"/>
  <c r="L439" i="5"/>
  <c r="I439" i="5"/>
  <c r="G439" i="5"/>
  <c r="K439" i="5"/>
  <c r="H439" i="5"/>
  <c r="I438" i="5"/>
  <c r="L438" i="5"/>
  <c r="K438" i="5"/>
  <c r="H438" i="5"/>
  <c r="G438" i="5"/>
  <c r="L437" i="5"/>
  <c r="I437" i="5"/>
  <c r="K437" i="5"/>
  <c r="H437" i="5"/>
  <c r="G437" i="5"/>
  <c r="L436" i="5"/>
  <c r="I436" i="5"/>
  <c r="K436" i="5"/>
  <c r="H436" i="5"/>
  <c r="G436" i="5"/>
  <c r="I435" i="5"/>
  <c r="L435" i="5"/>
  <c r="K435" i="5"/>
  <c r="H435" i="5"/>
  <c r="G435" i="5"/>
  <c r="L434" i="5"/>
  <c r="I434" i="5"/>
  <c r="K434" i="5"/>
  <c r="H434" i="5"/>
  <c r="G434" i="5"/>
  <c r="L433" i="5"/>
  <c r="I433" i="5"/>
  <c r="G433" i="5"/>
  <c r="K433" i="5"/>
  <c r="H433" i="5"/>
  <c r="I432" i="5"/>
  <c r="L432" i="5"/>
  <c r="H432" i="5"/>
  <c r="G432" i="5"/>
  <c r="K432" i="5"/>
  <c r="L431" i="5"/>
  <c r="I431" i="5"/>
  <c r="K431" i="5"/>
  <c r="H431" i="5"/>
  <c r="G431" i="5"/>
  <c r="L430" i="5"/>
  <c r="I430" i="5"/>
  <c r="K430" i="5"/>
  <c r="H430" i="5"/>
  <c r="G430" i="5"/>
  <c r="L429" i="5"/>
  <c r="I429" i="5"/>
  <c r="H429" i="5"/>
  <c r="G429" i="5"/>
  <c r="K429" i="5"/>
  <c r="L428" i="5"/>
  <c r="I428" i="5"/>
  <c r="H428" i="5"/>
  <c r="G428" i="5"/>
  <c r="K428" i="5"/>
  <c r="L427" i="5"/>
  <c r="I427" i="5"/>
  <c r="K427" i="5"/>
  <c r="H427" i="5"/>
  <c r="G427" i="5"/>
  <c r="L426" i="5"/>
  <c r="I426" i="5"/>
  <c r="H426" i="5"/>
  <c r="G426" i="5"/>
  <c r="K426" i="5"/>
  <c r="I425" i="5"/>
  <c r="L425" i="5"/>
  <c r="H425" i="5"/>
  <c r="G425" i="5"/>
  <c r="K425" i="5"/>
  <c r="L424" i="5"/>
  <c r="I424" i="5"/>
  <c r="K424" i="5"/>
  <c r="H424" i="5"/>
  <c r="G424" i="5"/>
  <c r="L423" i="5"/>
  <c r="I423" i="5"/>
  <c r="K423" i="5"/>
  <c r="H423" i="5"/>
  <c r="G423" i="5"/>
  <c r="L422" i="5"/>
  <c r="I422" i="5"/>
  <c r="G422" i="5"/>
  <c r="K422" i="5"/>
  <c r="H422" i="5"/>
  <c r="L421" i="5"/>
  <c r="I421" i="5"/>
  <c r="K421" i="5"/>
  <c r="H421" i="5"/>
  <c r="G421" i="5"/>
  <c r="L420" i="5"/>
  <c r="I420" i="5"/>
  <c r="K420" i="5"/>
  <c r="H420" i="5"/>
  <c r="G420" i="5"/>
  <c r="L419" i="5"/>
  <c r="I419" i="5"/>
  <c r="K419" i="5"/>
  <c r="H419" i="5"/>
  <c r="G419" i="5"/>
  <c r="I418" i="5"/>
  <c r="L418" i="5"/>
  <c r="H418" i="5"/>
  <c r="K418" i="5"/>
  <c r="G418" i="5"/>
  <c r="I417" i="5"/>
  <c r="L417" i="5"/>
  <c r="H417" i="5"/>
  <c r="K417" i="5"/>
  <c r="G417" i="5"/>
  <c r="L416" i="5"/>
  <c r="I416" i="5"/>
  <c r="G416" i="5"/>
  <c r="K416" i="5"/>
  <c r="H416" i="5"/>
  <c r="I415" i="5"/>
  <c r="L415" i="5"/>
  <c r="K415" i="5"/>
  <c r="G415" i="5"/>
  <c r="H415" i="5"/>
  <c r="I414" i="5"/>
  <c r="L414" i="5"/>
  <c r="K414" i="5"/>
  <c r="H414" i="5"/>
  <c r="G414" i="5"/>
  <c r="L413" i="5"/>
  <c r="I413" i="5"/>
  <c r="K413" i="5"/>
  <c r="H413" i="5"/>
  <c r="G413" i="5"/>
  <c r="L412" i="5"/>
  <c r="I412" i="5"/>
  <c r="K412" i="5"/>
  <c r="H412" i="5"/>
  <c r="G412" i="5"/>
  <c r="L411" i="5"/>
  <c r="I411" i="5"/>
  <c r="H411" i="5"/>
  <c r="K411" i="5"/>
  <c r="G411" i="5"/>
  <c r="I410" i="5"/>
  <c r="L410" i="5"/>
  <c r="K410" i="5"/>
  <c r="G410" i="5"/>
  <c r="H410" i="5"/>
  <c r="I409" i="5"/>
  <c r="L409" i="5"/>
  <c r="K409" i="5"/>
  <c r="H409" i="5"/>
  <c r="G409" i="5"/>
  <c r="L408" i="5"/>
  <c r="I408" i="5"/>
  <c r="K408" i="5"/>
  <c r="G408" i="5"/>
  <c r="H408" i="5"/>
  <c r="L407" i="5"/>
  <c r="I407" i="5"/>
  <c r="K407" i="5"/>
  <c r="H407" i="5"/>
  <c r="G407" i="5"/>
  <c r="L406" i="5"/>
  <c r="I406" i="5"/>
  <c r="G406" i="5"/>
  <c r="K406" i="5"/>
  <c r="H406" i="5"/>
  <c r="L405" i="5"/>
  <c r="I405" i="5"/>
  <c r="K405" i="5"/>
  <c r="H405" i="5"/>
  <c r="G405" i="5"/>
  <c r="L404" i="5"/>
  <c r="I404" i="5"/>
  <c r="K404" i="5"/>
  <c r="H404" i="5"/>
  <c r="G404" i="5"/>
  <c r="L403" i="5"/>
  <c r="I403" i="5"/>
  <c r="K403" i="5"/>
  <c r="H403" i="5"/>
  <c r="G403" i="5"/>
  <c r="L402" i="5"/>
  <c r="I402" i="5"/>
  <c r="K402" i="5"/>
  <c r="H402" i="5"/>
  <c r="G402" i="5"/>
  <c r="L401" i="5"/>
  <c r="I401" i="5"/>
  <c r="H401" i="5"/>
  <c r="G401" i="5"/>
  <c r="K401" i="5"/>
  <c r="I400" i="5"/>
  <c r="L400" i="5"/>
  <c r="K400" i="5"/>
  <c r="H400" i="5"/>
  <c r="G400" i="5"/>
  <c r="L399" i="5"/>
  <c r="I399" i="5"/>
  <c r="K399" i="5"/>
  <c r="H399" i="5"/>
  <c r="G399" i="5"/>
  <c r="L398" i="5"/>
  <c r="I398" i="5"/>
  <c r="K398" i="5"/>
  <c r="H398" i="5"/>
  <c r="G398" i="5"/>
  <c r="L397" i="5"/>
  <c r="I397" i="5"/>
  <c r="K397" i="5"/>
  <c r="H397" i="5"/>
  <c r="G397" i="5"/>
  <c r="I396" i="5"/>
  <c r="L396" i="5"/>
  <c r="H396" i="5"/>
  <c r="G396" i="5"/>
  <c r="K396" i="5"/>
  <c r="L395" i="5"/>
  <c r="I395" i="5"/>
  <c r="K395" i="5"/>
  <c r="H395" i="5"/>
  <c r="G395" i="5"/>
  <c r="L394" i="5"/>
  <c r="I394" i="5"/>
  <c r="K394" i="5"/>
  <c r="H394" i="5"/>
  <c r="G394" i="5"/>
  <c r="L393" i="5"/>
  <c r="I393" i="5"/>
  <c r="K393" i="5"/>
  <c r="H393" i="5"/>
  <c r="G393" i="5"/>
  <c r="L392" i="5"/>
  <c r="I392" i="5"/>
  <c r="K392" i="5"/>
  <c r="H392" i="5"/>
  <c r="G392" i="5"/>
  <c r="I391" i="5"/>
  <c r="L391" i="5"/>
  <c r="K391" i="5"/>
  <c r="H391" i="5"/>
  <c r="G391" i="5"/>
  <c r="L390" i="5"/>
  <c r="I390" i="5"/>
  <c r="H390" i="5"/>
  <c r="G390" i="5"/>
  <c r="K390" i="5"/>
  <c r="L389" i="5"/>
  <c r="I389" i="5"/>
  <c r="K389" i="5"/>
  <c r="H389" i="5"/>
  <c r="G389" i="5"/>
  <c r="L388" i="5"/>
  <c r="I388" i="5"/>
  <c r="K388" i="5"/>
  <c r="H388" i="5"/>
  <c r="G388" i="5"/>
  <c r="L387" i="5"/>
  <c r="I387" i="5"/>
  <c r="K387" i="5"/>
  <c r="H387" i="5"/>
  <c r="G387" i="5"/>
  <c r="I386" i="5"/>
  <c r="L386" i="5"/>
  <c r="K386" i="5"/>
  <c r="G386" i="5"/>
  <c r="H386" i="5"/>
  <c r="L385" i="5"/>
  <c r="I385" i="5"/>
  <c r="K385" i="5"/>
  <c r="H385" i="5"/>
  <c r="G385" i="5"/>
  <c r="L384" i="5"/>
  <c r="I384" i="5"/>
  <c r="K384" i="5"/>
  <c r="H384" i="5"/>
  <c r="G384" i="5"/>
  <c r="L383" i="5"/>
  <c r="I383" i="5"/>
  <c r="K383" i="5"/>
  <c r="H383" i="5"/>
  <c r="G383" i="5"/>
  <c r="L382" i="5"/>
  <c r="I382" i="5"/>
  <c r="G382" i="5"/>
  <c r="K382" i="5"/>
  <c r="H382" i="5"/>
  <c r="L381" i="5"/>
  <c r="I381" i="5"/>
  <c r="K381" i="5"/>
  <c r="H381" i="5"/>
  <c r="G381" i="5"/>
  <c r="L380" i="5"/>
  <c r="I380" i="5"/>
  <c r="K380" i="5"/>
  <c r="H380" i="5"/>
  <c r="G380" i="5"/>
  <c r="L379" i="5"/>
  <c r="I379" i="5"/>
  <c r="K379" i="5"/>
  <c r="H379" i="5"/>
  <c r="G379" i="5"/>
  <c r="L378" i="5"/>
  <c r="I378" i="5"/>
  <c r="K378" i="5"/>
  <c r="H378" i="5"/>
  <c r="G378" i="5"/>
  <c r="I377" i="5"/>
  <c r="L377" i="5"/>
  <c r="G377" i="5"/>
  <c r="K377" i="5"/>
  <c r="H377" i="5"/>
  <c r="I376" i="5"/>
  <c r="L376" i="5"/>
  <c r="G376" i="5"/>
  <c r="K376" i="5"/>
  <c r="H376" i="5"/>
  <c r="I375" i="5"/>
  <c r="L375" i="5"/>
  <c r="K375" i="5"/>
  <c r="H375" i="5"/>
  <c r="G375" i="5"/>
  <c r="L374" i="5"/>
  <c r="I374" i="5"/>
  <c r="K374" i="5"/>
  <c r="H374" i="5"/>
  <c r="G374" i="5"/>
  <c r="L373" i="5"/>
  <c r="I373" i="5"/>
  <c r="G373" i="5"/>
  <c r="K373" i="5"/>
  <c r="H373" i="5"/>
  <c r="L372" i="5"/>
  <c r="I372" i="5"/>
  <c r="H372" i="5"/>
  <c r="G372" i="5"/>
  <c r="K372" i="5"/>
  <c r="L371" i="5"/>
  <c r="I371" i="5"/>
  <c r="K371" i="5"/>
  <c r="H371" i="5"/>
  <c r="G371" i="5"/>
  <c r="I370" i="5"/>
  <c r="L370" i="5"/>
  <c r="G370" i="5"/>
  <c r="K370" i="5"/>
  <c r="H370" i="5"/>
  <c r="L369" i="5"/>
  <c r="I369" i="5"/>
  <c r="K369" i="5"/>
  <c r="H369" i="5"/>
  <c r="G369" i="5"/>
  <c r="L368" i="5"/>
  <c r="I368" i="5"/>
  <c r="K368" i="5"/>
  <c r="H368" i="5"/>
  <c r="G368" i="5"/>
  <c r="L367" i="5"/>
  <c r="I367" i="5"/>
  <c r="H367" i="5"/>
  <c r="G367" i="5"/>
  <c r="K367" i="5"/>
  <c r="L366" i="5"/>
  <c r="I366" i="5"/>
  <c r="K366" i="5"/>
  <c r="H366" i="5"/>
  <c r="G366" i="5"/>
  <c r="L365" i="5"/>
  <c r="I365" i="5"/>
  <c r="H365" i="5"/>
  <c r="K365" i="5"/>
  <c r="G365" i="5"/>
  <c r="L364" i="5"/>
  <c r="I364" i="5"/>
  <c r="G364" i="5"/>
  <c r="H364" i="5"/>
  <c r="K364" i="5"/>
  <c r="I363" i="5"/>
  <c r="L363" i="5"/>
  <c r="G363" i="5"/>
  <c r="H363" i="5"/>
  <c r="K363" i="5"/>
  <c r="I362" i="5"/>
  <c r="L362" i="5"/>
  <c r="H362" i="5"/>
  <c r="G362" i="5"/>
  <c r="K362" i="5"/>
  <c r="L361" i="5"/>
  <c r="I361" i="5"/>
  <c r="G361" i="5"/>
  <c r="H361" i="5"/>
  <c r="K361" i="5"/>
  <c r="I360" i="5"/>
  <c r="L360" i="5"/>
  <c r="H360" i="5"/>
  <c r="K360" i="5"/>
  <c r="G360" i="5"/>
  <c r="L359" i="5"/>
  <c r="I359" i="5"/>
  <c r="K359" i="5"/>
  <c r="H359" i="5"/>
  <c r="G359" i="5"/>
  <c r="L358" i="5"/>
  <c r="I358" i="5"/>
  <c r="K358" i="5"/>
  <c r="H358" i="5"/>
  <c r="G358" i="5"/>
  <c r="L357" i="5"/>
  <c r="I357" i="5"/>
  <c r="K357" i="5"/>
  <c r="H357" i="5"/>
  <c r="G357" i="5"/>
  <c r="L356" i="5"/>
  <c r="I356" i="5"/>
  <c r="K356" i="5"/>
  <c r="H356" i="5"/>
  <c r="G356" i="5"/>
  <c r="I355" i="5"/>
  <c r="L355" i="5"/>
  <c r="G355" i="5"/>
  <c r="K355" i="5"/>
  <c r="H355" i="5"/>
  <c r="L354" i="5"/>
  <c r="I354" i="5"/>
  <c r="K354" i="5"/>
  <c r="H354" i="5"/>
  <c r="G354" i="5"/>
  <c r="L353" i="5"/>
  <c r="I353" i="5"/>
  <c r="K353" i="5"/>
  <c r="H353" i="5"/>
  <c r="G353" i="5"/>
  <c r="L352" i="5"/>
  <c r="I352" i="5"/>
  <c r="G352" i="5"/>
  <c r="K352" i="5"/>
  <c r="H352" i="5"/>
  <c r="I351" i="5"/>
  <c r="L351" i="5"/>
  <c r="K351" i="5"/>
  <c r="H351" i="5"/>
  <c r="G351" i="5"/>
  <c r="L350" i="5"/>
  <c r="I350" i="5"/>
  <c r="K350" i="5"/>
  <c r="H350" i="5"/>
  <c r="G350" i="5"/>
  <c r="L349" i="5"/>
  <c r="I349" i="5"/>
  <c r="H349" i="5"/>
  <c r="G349" i="5"/>
  <c r="K349" i="5"/>
  <c r="I348" i="5"/>
  <c r="L348" i="5"/>
  <c r="K348" i="5"/>
  <c r="H348" i="5"/>
  <c r="G348" i="5"/>
  <c r="L347" i="5"/>
  <c r="I347" i="5"/>
  <c r="K347" i="5"/>
  <c r="H347" i="5"/>
  <c r="G347" i="5"/>
  <c r="L346" i="5"/>
  <c r="I346" i="5"/>
  <c r="K346" i="5"/>
  <c r="H346" i="5"/>
  <c r="G346" i="5"/>
  <c r="L345" i="5"/>
  <c r="I345" i="5"/>
  <c r="G345" i="5"/>
  <c r="K345" i="5"/>
  <c r="H345" i="5"/>
  <c r="I344" i="5"/>
  <c r="L344" i="5"/>
  <c r="H344" i="5"/>
  <c r="K344" i="5"/>
  <c r="G344" i="5"/>
  <c r="L343" i="5"/>
  <c r="I343" i="5"/>
  <c r="K343" i="5"/>
  <c r="H343" i="5"/>
  <c r="G343" i="5"/>
  <c r="L342" i="5"/>
  <c r="I342" i="5"/>
  <c r="G342" i="5"/>
  <c r="K342" i="5"/>
  <c r="H342" i="5"/>
  <c r="L341" i="5"/>
  <c r="I341" i="5"/>
  <c r="K341" i="5"/>
  <c r="H341" i="5"/>
  <c r="G341" i="5"/>
  <c r="L340" i="5"/>
  <c r="I340" i="5"/>
  <c r="K340" i="5"/>
  <c r="H340" i="5"/>
  <c r="G340" i="5"/>
  <c r="L339" i="5"/>
  <c r="I339" i="5"/>
  <c r="G339" i="5"/>
  <c r="K339" i="5"/>
  <c r="H339" i="5"/>
  <c r="L338" i="5"/>
  <c r="I338" i="5"/>
  <c r="G338" i="5"/>
  <c r="K338" i="5"/>
  <c r="H338" i="5"/>
  <c r="I337" i="5"/>
  <c r="L337" i="5"/>
  <c r="H337" i="5"/>
  <c r="G337" i="5"/>
  <c r="K337" i="5"/>
  <c r="L336" i="5"/>
  <c r="I336" i="5"/>
  <c r="K336" i="5"/>
  <c r="H336" i="5"/>
  <c r="G336" i="5"/>
  <c r="L335" i="5"/>
  <c r="I335" i="5"/>
  <c r="K335" i="5"/>
  <c r="H335" i="5"/>
  <c r="G335" i="5"/>
  <c r="L334" i="5"/>
  <c r="I334" i="5"/>
  <c r="G334" i="5"/>
  <c r="K334" i="5"/>
  <c r="H334" i="5"/>
  <c r="L333" i="5"/>
  <c r="I333" i="5"/>
  <c r="K333" i="5"/>
  <c r="H333" i="5"/>
  <c r="G333" i="5"/>
  <c r="I332" i="5"/>
  <c r="L332" i="5"/>
  <c r="G332" i="5"/>
  <c r="H332" i="5"/>
  <c r="K332" i="5"/>
  <c r="I331" i="5"/>
  <c r="L331" i="5"/>
  <c r="K331" i="5"/>
  <c r="H331" i="5"/>
  <c r="G331" i="5"/>
  <c r="L330" i="5"/>
  <c r="I330" i="5"/>
  <c r="K330" i="5"/>
  <c r="H330" i="5"/>
  <c r="G330" i="5"/>
  <c r="L329" i="5"/>
  <c r="I329" i="5"/>
  <c r="H329" i="5"/>
  <c r="G329" i="5"/>
  <c r="K329" i="5"/>
  <c r="L328" i="5"/>
  <c r="I328" i="5"/>
  <c r="K328" i="5"/>
  <c r="H328" i="5"/>
  <c r="G328" i="5"/>
  <c r="I327" i="5"/>
  <c r="L327" i="5"/>
  <c r="G327" i="5"/>
  <c r="H327" i="5"/>
  <c r="K327" i="5"/>
  <c r="L326" i="5"/>
  <c r="I326" i="5"/>
  <c r="K326" i="5"/>
  <c r="H326" i="5"/>
  <c r="G326" i="5"/>
  <c r="I325" i="5"/>
  <c r="L325" i="5"/>
  <c r="G325" i="5"/>
  <c r="H325" i="5"/>
  <c r="K325" i="5"/>
  <c r="L324" i="5"/>
  <c r="I324" i="5"/>
  <c r="K324" i="5"/>
  <c r="H324" i="5"/>
  <c r="G324" i="5"/>
  <c r="I323" i="5"/>
  <c r="L323" i="5"/>
  <c r="G323" i="5"/>
  <c r="H323" i="5"/>
  <c r="K323" i="5"/>
  <c r="L322" i="5"/>
  <c r="I322" i="5"/>
  <c r="K322" i="5"/>
  <c r="H322" i="5"/>
  <c r="G322" i="5"/>
  <c r="I321" i="5"/>
  <c r="L321" i="5"/>
  <c r="G321" i="5"/>
  <c r="H321" i="5"/>
  <c r="K321" i="5"/>
  <c r="I320" i="5"/>
  <c r="L320" i="5"/>
  <c r="H320" i="5"/>
  <c r="K320" i="5"/>
  <c r="G320" i="5"/>
  <c r="I319" i="5"/>
  <c r="L319" i="5"/>
  <c r="K319" i="5"/>
  <c r="G319" i="5"/>
  <c r="H319" i="5"/>
  <c r="I318" i="5"/>
  <c r="L318" i="5"/>
  <c r="K318" i="5"/>
  <c r="G318" i="5"/>
  <c r="H318" i="5"/>
  <c r="I317" i="5"/>
  <c r="L317" i="5"/>
  <c r="K317" i="5"/>
  <c r="H317" i="5"/>
  <c r="G317" i="5"/>
  <c r="I316" i="5"/>
  <c r="L316" i="5"/>
  <c r="K316" i="5"/>
  <c r="G316" i="5"/>
  <c r="H316" i="5"/>
  <c r="I315" i="5"/>
  <c r="L315" i="5"/>
  <c r="G315" i="5"/>
  <c r="H315" i="5"/>
  <c r="K315" i="5"/>
  <c r="L314" i="5"/>
  <c r="I314" i="5"/>
  <c r="H314" i="5"/>
  <c r="G314" i="5"/>
  <c r="K314" i="5"/>
  <c r="L313" i="5"/>
  <c r="I313" i="5"/>
  <c r="G313" i="5"/>
  <c r="H313" i="5"/>
  <c r="K313" i="5"/>
  <c r="L312" i="5"/>
  <c r="I312" i="5"/>
  <c r="H312" i="5"/>
  <c r="G312" i="5"/>
  <c r="K312" i="5"/>
  <c r="I311" i="5"/>
  <c r="L311" i="5"/>
  <c r="K311" i="5"/>
  <c r="G311" i="5"/>
  <c r="H311" i="5"/>
  <c r="I310" i="5"/>
  <c r="L310" i="5"/>
  <c r="G310" i="5"/>
  <c r="H310" i="5"/>
  <c r="K310" i="5"/>
  <c r="I309" i="5"/>
  <c r="L309" i="5"/>
  <c r="G309" i="5"/>
  <c r="H309" i="5"/>
  <c r="K309" i="5"/>
  <c r="I308" i="5"/>
  <c r="L308" i="5"/>
  <c r="H308" i="5"/>
  <c r="K308" i="5"/>
  <c r="G308" i="5"/>
  <c r="L307" i="5"/>
  <c r="I307" i="5"/>
  <c r="H307" i="5"/>
  <c r="G307" i="5"/>
  <c r="K307" i="5"/>
  <c r="L306" i="5"/>
  <c r="I306" i="5"/>
  <c r="G306" i="5"/>
  <c r="H306" i="5"/>
  <c r="K306" i="5"/>
  <c r="I305" i="5"/>
  <c r="L305" i="5"/>
  <c r="G305" i="5"/>
  <c r="K305" i="5"/>
  <c r="H305" i="5"/>
  <c r="L304" i="5"/>
  <c r="I304" i="5"/>
  <c r="K304" i="5"/>
  <c r="H304" i="5"/>
  <c r="G304" i="5"/>
  <c r="L303" i="5"/>
  <c r="I303" i="5"/>
  <c r="K303" i="5"/>
  <c r="H303" i="5"/>
  <c r="G303" i="5"/>
  <c r="L302" i="5"/>
  <c r="I302" i="5"/>
  <c r="K302" i="5"/>
  <c r="G302" i="5"/>
  <c r="H302" i="5"/>
  <c r="I301" i="5"/>
  <c r="L301" i="5"/>
  <c r="G301" i="5"/>
  <c r="K301" i="5"/>
  <c r="H301" i="5"/>
  <c r="I300" i="5"/>
  <c r="L300" i="5"/>
  <c r="G300" i="5"/>
  <c r="H300" i="5"/>
  <c r="K300" i="5"/>
  <c r="L299" i="5"/>
  <c r="I299" i="5"/>
  <c r="K299" i="5"/>
  <c r="H299" i="5"/>
  <c r="G299" i="5"/>
  <c r="I298" i="5"/>
  <c r="L298" i="5"/>
  <c r="H298" i="5"/>
  <c r="K298" i="5"/>
  <c r="G298" i="5"/>
  <c r="L297" i="5"/>
  <c r="I297" i="5"/>
  <c r="G297" i="5"/>
  <c r="H297" i="5"/>
  <c r="K297" i="5"/>
  <c r="I296" i="5"/>
  <c r="L296" i="5"/>
  <c r="K296" i="5"/>
  <c r="H296" i="5"/>
  <c r="G296" i="5"/>
  <c r="L295" i="5"/>
  <c r="I295" i="5"/>
  <c r="K295" i="5"/>
  <c r="H295" i="5"/>
  <c r="G295" i="5"/>
  <c r="L294" i="5"/>
  <c r="I294" i="5"/>
  <c r="H294" i="5"/>
  <c r="K294" i="5"/>
  <c r="G294" i="5"/>
  <c r="L293" i="5"/>
  <c r="I293" i="5"/>
  <c r="H293" i="5"/>
  <c r="K293" i="5"/>
  <c r="G293" i="5"/>
  <c r="I292" i="5"/>
  <c r="L292" i="5"/>
  <c r="G292" i="5"/>
  <c r="H292" i="5"/>
  <c r="K292" i="5"/>
  <c r="L291" i="5"/>
  <c r="I291" i="5"/>
  <c r="H291" i="5"/>
  <c r="G291" i="5"/>
  <c r="K291" i="5"/>
  <c r="L290" i="5"/>
  <c r="I290" i="5"/>
  <c r="K290" i="5"/>
  <c r="H290" i="5"/>
  <c r="G290" i="5"/>
  <c r="L289" i="5"/>
  <c r="I289" i="5"/>
  <c r="K289" i="5"/>
  <c r="H289" i="5"/>
  <c r="G289" i="5"/>
  <c r="K288" i="5"/>
  <c r="H288" i="5"/>
  <c r="G288" i="5"/>
  <c r="I287" i="5"/>
  <c r="L287" i="5"/>
  <c r="H287" i="5"/>
  <c r="K287" i="5"/>
  <c r="G287" i="5"/>
  <c r="L286" i="5"/>
  <c r="I286" i="5"/>
  <c r="K286" i="5"/>
  <c r="H286" i="5"/>
  <c r="G286" i="5"/>
  <c r="L285" i="5"/>
  <c r="I285" i="5"/>
  <c r="K285" i="5"/>
  <c r="H285" i="5"/>
  <c r="G285" i="5"/>
  <c r="L284" i="5"/>
  <c r="I284" i="5"/>
  <c r="K284" i="5"/>
  <c r="H284" i="5"/>
  <c r="G284" i="5"/>
  <c r="L283" i="5"/>
  <c r="I283" i="5"/>
  <c r="G283" i="5"/>
  <c r="K283" i="5"/>
  <c r="H283" i="5"/>
  <c r="I282" i="5"/>
  <c r="L282" i="5"/>
  <c r="K282" i="5"/>
  <c r="H282" i="5"/>
  <c r="G282" i="5"/>
  <c r="L281" i="5"/>
  <c r="I281" i="5"/>
  <c r="K281" i="5"/>
  <c r="H281" i="5"/>
  <c r="G281" i="5"/>
  <c r="L280" i="5"/>
  <c r="I280" i="5"/>
  <c r="K280" i="5"/>
  <c r="H280" i="5"/>
  <c r="G280" i="5"/>
  <c r="I279" i="5"/>
  <c r="L279" i="5"/>
  <c r="G279" i="5"/>
  <c r="K279" i="5"/>
  <c r="H279" i="5"/>
  <c r="L278" i="5"/>
  <c r="I278" i="5"/>
  <c r="K278" i="5"/>
  <c r="H278" i="5"/>
  <c r="G278" i="5"/>
  <c r="L277" i="5"/>
  <c r="I277" i="5"/>
  <c r="K277" i="5"/>
  <c r="H277" i="5"/>
  <c r="G277" i="5"/>
  <c r="L276" i="5"/>
  <c r="I276" i="5"/>
  <c r="K276" i="5"/>
  <c r="H276" i="5"/>
  <c r="G276" i="5"/>
  <c r="L275" i="5"/>
  <c r="I275" i="5"/>
  <c r="G275" i="5"/>
  <c r="K275" i="5"/>
  <c r="H275" i="5"/>
  <c r="I274" i="5"/>
  <c r="L274" i="5"/>
  <c r="G274" i="5"/>
  <c r="K274" i="5"/>
  <c r="H274" i="5"/>
  <c r="I273" i="5"/>
  <c r="L273" i="5"/>
  <c r="K273" i="5"/>
  <c r="H273" i="5"/>
  <c r="G273" i="5"/>
  <c r="L272" i="5"/>
  <c r="I272" i="5"/>
  <c r="K272" i="5"/>
  <c r="H272" i="5"/>
  <c r="G272" i="5"/>
  <c r="L271" i="5"/>
  <c r="I271" i="5"/>
  <c r="K271" i="5"/>
  <c r="H271" i="5"/>
  <c r="G271" i="5"/>
  <c r="L270" i="5"/>
  <c r="I270" i="5"/>
  <c r="K270" i="5"/>
  <c r="H270" i="5"/>
  <c r="G270" i="5"/>
  <c r="I269" i="5"/>
  <c r="L269" i="5"/>
  <c r="G269" i="5"/>
  <c r="H269" i="5"/>
  <c r="K269" i="5"/>
  <c r="L268" i="5"/>
  <c r="I268" i="5"/>
  <c r="K268" i="5"/>
  <c r="H268" i="5"/>
  <c r="G268" i="5"/>
  <c r="L267" i="5"/>
  <c r="I267" i="5"/>
  <c r="G267" i="5"/>
  <c r="K267" i="5"/>
  <c r="H267" i="5"/>
  <c r="L266" i="5"/>
  <c r="I266" i="5"/>
  <c r="K266" i="5"/>
  <c r="H266" i="5"/>
  <c r="G266" i="5"/>
  <c r="L265" i="5"/>
  <c r="I265" i="5"/>
  <c r="K265" i="5"/>
  <c r="H265" i="5"/>
  <c r="G265" i="5"/>
  <c r="L264" i="5"/>
  <c r="I264" i="5"/>
  <c r="G264" i="5"/>
  <c r="K264" i="5"/>
  <c r="H264" i="5"/>
  <c r="I263" i="5"/>
  <c r="L263" i="5"/>
  <c r="K263" i="5"/>
  <c r="H263" i="5"/>
  <c r="G263" i="5"/>
  <c r="L262" i="5"/>
  <c r="I262" i="5"/>
  <c r="K262" i="5"/>
  <c r="H262" i="5"/>
  <c r="G262" i="5"/>
  <c r="L261" i="5"/>
  <c r="I261" i="5"/>
  <c r="K261" i="5"/>
  <c r="H261" i="5"/>
  <c r="G261" i="5"/>
  <c r="L260" i="5"/>
  <c r="I260" i="5"/>
  <c r="K260" i="5"/>
  <c r="H260" i="5"/>
  <c r="G260" i="5"/>
  <c r="I259" i="5"/>
  <c r="L259" i="5"/>
  <c r="H259" i="5"/>
  <c r="K259" i="5"/>
  <c r="G259" i="5"/>
  <c r="L258" i="5"/>
  <c r="I258" i="5"/>
  <c r="K258" i="5"/>
  <c r="H258" i="5"/>
  <c r="G258" i="5"/>
  <c r="L257" i="5"/>
  <c r="I257" i="5"/>
  <c r="K257" i="5"/>
  <c r="H257" i="5"/>
  <c r="G257" i="5"/>
  <c r="L256" i="5"/>
  <c r="I256" i="5"/>
  <c r="K256" i="5"/>
  <c r="H256" i="5"/>
  <c r="G256" i="5"/>
  <c r="L255" i="5"/>
  <c r="I255" i="5"/>
  <c r="G255" i="5"/>
  <c r="K255" i="5"/>
  <c r="H255" i="5"/>
  <c r="I254" i="5"/>
  <c r="L254" i="5"/>
  <c r="H254" i="5"/>
  <c r="K254" i="5"/>
  <c r="G254" i="5"/>
  <c r="L253" i="5"/>
  <c r="I253" i="5"/>
  <c r="K253" i="5"/>
  <c r="H253" i="5"/>
  <c r="G253" i="5"/>
  <c r="L252" i="5"/>
  <c r="I252" i="5"/>
  <c r="K252" i="5"/>
  <c r="H252" i="5"/>
  <c r="G252" i="5"/>
  <c r="L251" i="5"/>
  <c r="I251" i="5"/>
  <c r="K251" i="5"/>
  <c r="H251" i="5"/>
  <c r="G251" i="5"/>
  <c r="L250" i="5"/>
  <c r="I250" i="5"/>
  <c r="G250" i="5"/>
  <c r="K250" i="5"/>
  <c r="H250" i="5"/>
  <c r="L249" i="5"/>
  <c r="I249" i="5"/>
  <c r="K249" i="5"/>
  <c r="H249" i="5"/>
  <c r="G249" i="5"/>
  <c r="L248" i="5"/>
  <c r="I248" i="5"/>
  <c r="K248" i="5"/>
  <c r="H248" i="5"/>
  <c r="G248" i="5"/>
  <c r="L247" i="5"/>
  <c r="I247" i="5"/>
  <c r="K247" i="5"/>
  <c r="H247" i="5"/>
  <c r="G247" i="5"/>
  <c r="L246" i="5"/>
  <c r="I246" i="5"/>
  <c r="K246" i="5"/>
  <c r="H246" i="5"/>
  <c r="G246" i="5"/>
  <c r="I245" i="5"/>
  <c r="L245" i="5"/>
  <c r="G245" i="5"/>
  <c r="K245" i="5"/>
  <c r="H245" i="5"/>
  <c r="I244" i="5"/>
  <c r="L244" i="5"/>
  <c r="G244" i="5"/>
  <c r="H244" i="5"/>
  <c r="K244" i="5"/>
  <c r="L243" i="5"/>
  <c r="I243" i="5"/>
  <c r="K243" i="5"/>
  <c r="H243" i="5"/>
  <c r="G243" i="5"/>
  <c r="L242" i="5"/>
  <c r="I242" i="5"/>
  <c r="K242" i="5"/>
  <c r="H242" i="5"/>
  <c r="G242" i="5"/>
  <c r="L241" i="5"/>
  <c r="I241" i="5"/>
  <c r="K241" i="5"/>
  <c r="H241" i="5"/>
  <c r="G241" i="5"/>
  <c r="I240" i="5"/>
  <c r="L240" i="5"/>
  <c r="H240" i="5"/>
  <c r="K240" i="5"/>
  <c r="G240" i="5"/>
  <c r="L239" i="5"/>
  <c r="I239" i="5"/>
  <c r="K239" i="5"/>
  <c r="H239" i="5"/>
  <c r="G239" i="5"/>
  <c r="L238" i="5"/>
  <c r="I238" i="5"/>
  <c r="K238" i="5"/>
  <c r="H238" i="5"/>
  <c r="G238" i="5"/>
  <c r="L237" i="5"/>
  <c r="I237" i="5"/>
  <c r="K237" i="5"/>
  <c r="H237" i="5"/>
  <c r="G237" i="5"/>
  <c r="L236" i="5"/>
  <c r="I236" i="5"/>
  <c r="G236" i="5"/>
  <c r="K236" i="5"/>
  <c r="H236" i="5"/>
  <c r="I235" i="5"/>
  <c r="L235" i="5"/>
  <c r="H235" i="5"/>
  <c r="K235" i="5"/>
  <c r="G235" i="5"/>
  <c r="L234" i="5"/>
  <c r="I234" i="5"/>
  <c r="K234" i="5"/>
  <c r="H234" i="5"/>
  <c r="G234" i="5"/>
  <c r="L233" i="5"/>
  <c r="I233" i="5"/>
  <c r="K233" i="5"/>
  <c r="H233" i="5"/>
  <c r="G233" i="5"/>
  <c r="L232" i="5"/>
  <c r="I232" i="5"/>
  <c r="K232" i="5"/>
  <c r="H232" i="5"/>
  <c r="G232" i="5"/>
  <c r="L231" i="5"/>
  <c r="I231" i="5"/>
  <c r="G231" i="5"/>
  <c r="K231" i="5"/>
  <c r="H231" i="5"/>
  <c r="L230" i="5"/>
  <c r="I230" i="5"/>
  <c r="K230" i="5"/>
  <c r="H230" i="5"/>
  <c r="G230" i="5"/>
  <c r="L229" i="5"/>
  <c r="I229" i="5"/>
  <c r="K229" i="5"/>
  <c r="H229" i="5"/>
  <c r="G229" i="5"/>
  <c r="L228" i="5"/>
  <c r="I228" i="5"/>
  <c r="K228" i="5"/>
  <c r="H228" i="5"/>
  <c r="G228" i="5"/>
  <c r="L227" i="5"/>
  <c r="I227" i="5"/>
  <c r="K227" i="5"/>
  <c r="H227" i="5"/>
  <c r="G227" i="5"/>
  <c r="I226" i="5"/>
  <c r="L226" i="5"/>
  <c r="G226" i="5"/>
  <c r="K226" i="5"/>
  <c r="H226" i="5"/>
  <c r="I225" i="5"/>
  <c r="L225" i="5"/>
  <c r="G225" i="5"/>
  <c r="H225" i="5"/>
  <c r="K225" i="5"/>
  <c r="L224" i="5"/>
  <c r="I224" i="5"/>
  <c r="K224" i="5"/>
  <c r="H224" i="5"/>
  <c r="G224" i="5"/>
  <c r="I223" i="5"/>
  <c r="L223" i="5"/>
  <c r="G223" i="5"/>
  <c r="K223" i="5"/>
  <c r="H223" i="5"/>
  <c r="L222" i="5"/>
  <c r="I222" i="5"/>
  <c r="K222" i="5"/>
  <c r="H222" i="5"/>
  <c r="G222" i="5"/>
  <c r="L221" i="5"/>
  <c r="I221" i="5"/>
  <c r="K221" i="5"/>
  <c r="H221" i="5"/>
  <c r="G221" i="5"/>
  <c r="I220" i="5"/>
  <c r="L220" i="5"/>
  <c r="K220" i="5"/>
  <c r="H220" i="5"/>
  <c r="G220" i="5"/>
  <c r="L219" i="5"/>
  <c r="I219" i="5"/>
  <c r="K219" i="5"/>
  <c r="H219" i="5"/>
  <c r="G219" i="5"/>
  <c r="L218" i="5"/>
  <c r="I218" i="5"/>
  <c r="K218" i="5"/>
  <c r="H218" i="5"/>
  <c r="G218" i="5"/>
  <c r="L217" i="5"/>
  <c r="I217" i="5"/>
  <c r="K217" i="5"/>
  <c r="H217" i="5"/>
  <c r="G217" i="5"/>
  <c r="L216" i="5"/>
  <c r="I216" i="5"/>
  <c r="G216" i="5"/>
  <c r="K216" i="5"/>
  <c r="H216" i="5"/>
  <c r="I215" i="5"/>
  <c r="L215" i="5"/>
  <c r="K215" i="5"/>
  <c r="G215" i="5"/>
  <c r="H215" i="5"/>
  <c r="L214" i="5"/>
  <c r="I214" i="5"/>
  <c r="K214" i="5"/>
  <c r="H214" i="5"/>
  <c r="G214" i="5"/>
  <c r="L213" i="5"/>
  <c r="I213" i="5"/>
  <c r="K213" i="5"/>
  <c r="H213" i="5"/>
  <c r="G213" i="5"/>
  <c r="L212" i="5"/>
  <c r="I212" i="5"/>
  <c r="K212" i="5"/>
  <c r="H212" i="5"/>
  <c r="G212" i="5"/>
  <c r="I211" i="5"/>
  <c r="L211" i="5"/>
  <c r="H211" i="5"/>
  <c r="K211" i="5"/>
  <c r="G211" i="5"/>
  <c r="L210" i="5"/>
  <c r="I210" i="5"/>
  <c r="K210" i="5"/>
  <c r="H210" i="5"/>
  <c r="G210" i="5"/>
  <c r="L209" i="5"/>
  <c r="I209" i="5"/>
  <c r="K209" i="5"/>
  <c r="H209" i="5"/>
  <c r="G209" i="5"/>
  <c r="L208" i="5"/>
  <c r="I208" i="5"/>
  <c r="K208" i="5"/>
  <c r="H208" i="5"/>
  <c r="G208" i="5"/>
  <c r="L207" i="5"/>
  <c r="I207" i="5"/>
  <c r="G207" i="5"/>
  <c r="K207" i="5"/>
  <c r="H207" i="5"/>
  <c r="I206" i="5"/>
  <c r="L206" i="5"/>
  <c r="H206" i="5"/>
  <c r="K206" i="5"/>
  <c r="G206" i="5"/>
  <c r="I205" i="5"/>
  <c r="L205" i="5"/>
  <c r="H205" i="5"/>
  <c r="G205" i="5"/>
  <c r="K205" i="5"/>
  <c r="L204" i="5"/>
  <c r="I204" i="5"/>
  <c r="K204" i="5"/>
  <c r="H204" i="5"/>
  <c r="G204" i="5"/>
  <c r="L203" i="5"/>
  <c r="I203" i="5"/>
  <c r="G203" i="5"/>
  <c r="K203" i="5"/>
  <c r="H203" i="5"/>
  <c r="L202" i="5"/>
  <c r="I202" i="5"/>
  <c r="K202" i="5"/>
  <c r="H202" i="5"/>
  <c r="G202" i="5"/>
  <c r="L201" i="5"/>
  <c r="I201" i="5"/>
  <c r="K201" i="5"/>
  <c r="H201" i="5"/>
  <c r="G201" i="5"/>
  <c r="L200" i="5"/>
  <c r="I200" i="5"/>
  <c r="G200" i="5"/>
  <c r="K200" i="5"/>
  <c r="H200" i="5"/>
  <c r="I199" i="5"/>
  <c r="L199" i="5"/>
  <c r="G199" i="5"/>
  <c r="K199" i="5"/>
  <c r="H199" i="5"/>
  <c r="L198" i="5"/>
  <c r="I198" i="5"/>
  <c r="K198" i="5"/>
  <c r="H198" i="5"/>
  <c r="G198" i="5"/>
  <c r="L197" i="5"/>
  <c r="I197" i="5"/>
  <c r="K197" i="5"/>
  <c r="H197" i="5"/>
  <c r="G197" i="5"/>
  <c r="I196" i="5"/>
  <c r="L196" i="5"/>
  <c r="G196" i="5"/>
  <c r="K196" i="5"/>
  <c r="H196" i="5"/>
  <c r="L195" i="5"/>
  <c r="I195" i="5"/>
  <c r="K195" i="5"/>
  <c r="H195" i="5"/>
  <c r="G195" i="5"/>
  <c r="L194" i="5"/>
  <c r="I194" i="5"/>
  <c r="K194" i="5"/>
  <c r="H194" i="5"/>
  <c r="G194" i="5"/>
  <c r="L193" i="5"/>
  <c r="I193" i="5"/>
  <c r="G193" i="5"/>
  <c r="K193" i="5"/>
  <c r="H193" i="5"/>
  <c r="I192" i="5"/>
  <c r="L192" i="5"/>
  <c r="G192" i="5"/>
  <c r="K192" i="5"/>
  <c r="H192" i="5"/>
  <c r="I191" i="5"/>
  <c r="L191" i="5"/>
  <c r="H191" i="5"/>
  <c r="K191" i="5"/>
  <c r="G191" i="5"/>
  <c r="L190" i="5"/>
  <c r="I190" i="5"/>
  <c r="K190" i="5"/>
  <c r="H190" i="5"/>
  <c r="G190" i="5"/>
  <c r="L189" i="5"/>
  <c r="I189" i="5"/>
  <c r="K189" i="5"/>
  <c r="H189" i="5"/>
  <c r="G189" i="5"/>
  <c r="I188" i="5"/>
  <c r="L188" i="5"/>
  <c r="H188" i="5"/>
  <c r="K188" i="5"/>
  <c r="G188" i="5"/>
  <c r="L187" i="5"/>
  <c r="I187" i="5"/>
  <c r="K187" i="5"/>
  <c r="H187" i="5"/>
  <c r="G187" i="5"/>
  <c r="L186" i="5"/>
  <c r="I186" i="5"/>
  <c r="K186" i="5"/>
  <c r="H186" i="5"/>
  <c r="G186" i="5"/>
  <c r="L185" i="5"/>
  <c r="I185" i="5"/>
  <c r="G185" i="5"/>
  <c r="K185" i="5"/>
  <c r="H185" i="5"/>
  <c r="I184" i="5"/>
  <c r="L184" i="5"/>
  <c r="H184" i="5"/>
  <c r="K184" i="5"/>
  <c r="G184" i="5"/>
  <c r="L183" i="5"/>
  <c r="I183" i="5"/>
  <c r="K183" i="5"/>
  <c r="H183" i="5"/>
  <c r="G183" i="5"/>
  <c r="I182" i="5"/>
  <c r="L182" i="5"/>
  <c r="G182" i="5"/>
  <c r="H182" i="5"/>
  <c r="K182" i="5"/>
  <c r="L181" i="5"/>
  <c r="I181" i="5"/>
  <c r="K181" i="5"/>
  <c r="H181" i="5"/>
  <c r="G181" i="5"/>
  <c r="L180" i="5"/>
  <c r="I180" i="5"/>
  <c r="H180" i="5"/>
  <c r="K180" i="5"/>
  <c r="G180" i="5"/>
  <c r="I179" i="5"/>
  <c r="L179" i="5"/>
  <c r="G179" i="5"/>
  <c r="H179" i="5"/>
  <c r="K179" i="5"/>
  <c r="I178" i="5"/>
  <c r="L178" i="5"/>
  <c r="K178" i="5"/>
  <c r="H178" i="5"/>
  <c r="G178" i="5"/>
  <c r="L177" i="5"/>
  <c r="I177" i="5"/>
  <c r="K177" i="5"/>
  <c r="H177" i="5"/>
  <c r="G177" i="5"/>
  <c r="I176" i="5"/>
  <c r="L176" i="5"/>
  <c r="H176" i="5"/>
  <c r="K176" i="5"/>
  <c r="G176" i="5"/>
  <c r="L175" i="5"/>
  <c r="I175" i="5"/>
  <c r="K175" i="5"/>
  <c r="H175" i="5"/>
  <c r="G175" i="5"/>
  <c r="L174" i="5"/>
  <c r="I174" i="5"/>
  <c r="K174" i="5"/>
  <c r="H174" i="5"/>
  <c r="G174" i="5"/>
  <c r="L173" i="5"/>
  <c r="I173" i="5"/>
  <c r="G173" i="5"/>
  <c r="K173" i="5"/>
  <c r="H173" i="5"/>
  <c r="I172" i="5"/>
  <c r="L172" i="5"/>
  <c r="G172" i="5"/>
  <c r="H172" i="5"/>
  <c r="K172" i="5"/>
  <c r="I171" i="5"/>
  <c r="L171" i="5"/>
  <c r="G171" i="5"/>
  <c r="H171" i="5"/>
  <c r="K171" i="5"/>
  <c r="I170" i="5"/>
  <c r="L170" i="5"/>
  <c r="G170" i="5"/>
  <c r="H170" i="5"/>
  <c r="K170" i="5"/>
  <c r="I169" i="5"/>
  <c r="L169" i="5"/>
  <c r="G169" i="5"/>
  <c r="H169" i="5"/>
  <c r="K169" i="5"/>
  <c r="I168" i="5"/>
  <c r="L168" i="5"/>
  <c r="K168" i="5"/>
  <c r="H168" i="5"/>
  <c r="G168" i="5"/>
  <c r="L167" i="5"/>
  <c r="I167" i="5"/>
  <c r="H167" i="5"/>
  <c r="K167" i="5"/>
  <c r="G167" i="5"/>
  <c r="L166" i="5"/>
  <c r="I166" i="5"/>
  <c r="K166" i="5"/>
  <c r="G166" i="5"/>
  <c r="H166" i="5"/>
  <c r="I165" i="5"/>
  <c r="L165" i="5"/>
  <c r="K165" i="5"/>
  <c r="H165" i="5"/>
  <c r="G165" i="5"/>
  <c r="L164" i="5"/>
  <c r="I164" i="5"/>
  <c r="K164" i="5"/>
  <c r="H164" i="5"/>
  <c r="G164" i="5"/>
  <c r="L163" i="5"/>
  <c r="I163" i="5"/>
  <c r="G163" i="5"/>
  <c r="H163" i="5"/>
  <c r="K163" i="5"/>
  <c r="I162" i="5"/>
  <c r="L162" i="5"/>
  <c r="K162" i="5"/>
  <c r="H162" i="5"/>
  <c r="G162" i="5"/>
  <c r="L161" i="5"/>
  <c r="I161" i="5"/>
  <c r="K161" i="5"/>
  <c r="H161" i="5"/>
  <c r="G161" i="5"/>
  <c r="L160" i="5"/>
  <c r="I160" i="5"/>
  <c r="K160" i="5"/>
  <c r="G160" i="5"/>
  <c r="H160" i="5"/>
  <c r="L159" i="5"/>
  <c r="I159" i="5"/>
  <c r="K159" i="5"/>
  <c r="H159" i="5"/>
  <c r="G159" i="5"/>
  <c r="L158" i="5"/>
  <c r="I158" i="5"/>
  <c r="K158" i="5"/>
  <c r="H158" i="5"/>
  <c r="G158" i="5"/>
  <c r="L157" i="5"/>
  <c r="I157" i="5"/>
  <c r="G157" i="5"/>
  <c r="K157" i="5"/>
  <c r="H157" i="5"/>
  <c r="I156" i="5"/>
  <c r="L156" i="5"/>
  <c r="K156" i="5"/>
  <c r="H156" i="5"/>
  <c r="G156" i="5"/>
  <c r="L155" i="5"/>
  <c r="I155" i="5"/>
  <c r="K155" i="5"/>
  <c r="H155" i="5"/>
  <c r="G155" i="5"/>
  <c r="L154" i="5"/>
  <c r="I154" i="5"/>
  <c r="K154" i="5"/>
  <c r="H154" i="5"/>
  <c r="G154" i="5"/>
  <c r="L153" i="5"/>
  <c r="I153" i="5"/>
  <c r="G153" i="5"/>
  <c r="K153" i="5"/>
  <c r="H153" i="5"/>
  <c r="I152" i="5"/>
  <c r="L152" i="5"/>
  <c r="G152" i="5"/>
  <c r="K152" i="5"/>
  <c r="H152" i="5"/>
  <c r="I151" i="5"/>
  <c r="L151" i="5"/>
  <c r="K151" i="5"/>
  <c r="G151" i="5"/>
  <c r="H151" i="5"/>
  <c r="L150" i="5"/>
  <c r="I150" i="5"/>
  <c r="K150" i="5"/>
  <c r="H150" i="5"/>
  <c r="G150" i="5"/>
  <c r="L149" i="5"/>
  <c r="I149" i="5"/>
  <c r="K149" i="5"/>
  <c r="H149" i="5"/>
  <c r="G149" i="5"/>
  <c r="L148" i="5"/>
  <c r="I148" i="5"/>
  <c r="K148" i="5"/>
  <c r="H148" i="5"/>
  <c r="G148" i="5"/>
  <c r="I147" i="5"/>
  <c r="L147" i="5"/>
  <c r="K147" i="5"/>
  <c r="H147" i="5"/>
  <c r="G147" i="5"/>
  <c r="L146" i="5"/>
  <c r="I146" i="5"/>
  <c r="K146" i="5"/>
  <c r="H146" i="5"/>
  <c r="G146" i="5"/>
  <c r="L145" i="5"/>
  <c r="I145" i="5"/>
  <c r="K145" i="5"/>
  <c r="H145" i="5"/>
  <c r="G145" i="5"/>
  <c r="L144" i="5"/>
  <c r="I144" i="5"/>
  <c r="K144" i="5"/>
  <c r="H144" i="5"/>
  <c r="G144" i="5"/>
  <c r="I143" i="5"/>
  <c r="L143" i="5"/>
  <c r="K143" i="5"/>
  <c r="H143" i="5"/>
  <c r="G143" i="5"/>
  <c r="I142" i="5"/>
  <c r="L142" i="5"/>
  <c r="K142" i="5"/>
  <c r="H142" i="5"/>
  <c r="G142" i="5"/>
  <c r="I141" i="5"/>
  <c r="L141" i="5"/>
  <c r="K141" i="5"/>
  <c r="H141" i="5"/>
  <c r="G141" i="5"/>
  <c r="L140" i="5"/>
  <c r="I140" i="5"/>
  <c r="K140" i="5"/>
  <c r="H140" i="5"/>
  <c r="G140" i="5"/>
  <c r="L139" i="5"/>
  <c r="I139" i="5"/>
  <c r="K139" i="5"/>
  <c r="H139" i="5"/>
  <c r="G139" i="5"/>
  <c r="L138" i="5"/>
  <c r="I138" i="5"/>
  <c r="G138" i="5"/>
  <c r="K138" i="5"/>
  <c r="H138" i="5"/>
  <c r="L137" i="5"/>
  <c r="I137" i="5"/>
  <c r="K137" i="5"/>
  <c r="H137" i="5"/>
  <c r="G137" i="5"/>
  <c r="L136" i="5"/>
  <c r="I136" i="5"/>
  <c r="K136" i="5"/>
  <c r="H136" i="5"/>
  <c r="G136" i="5"/>
  <c r="L135" i="5"/>
  <c r="I135" i="5"/>
  <c r="G135" i="5"/>
  <c r="K135" i="5"/>
  <c r="H135" i="5"/>
  <c r="L134" i="5"/>
  <c r="I134" i="5"/>
  <c r="K134" i="5"/>
  <c r="H134" i="5"/>
  <c r="G134" i="5"/>
  <c r="I133" i="5"/>
  <c r="L133" i="5"/>
  <c r="K133" i="5"/>
  <c r="H133" i="5"/>
  <c r="G133" i="5"/>
  <c r="L132" i="5"/>
  <c r="I132" i="5"/>
  <c r="K132" i="5"/>
  <c r="H132" i="5"/>
  <c r="G132" i="5"/>
  <c r="L131" i="5"/>
  <c r="I131" i="5"/>
  <c r="K131" i="5"/>
  <c r="H131" i="5"/>
  <c r="G131" i="5"/>
  <c r="L130" i="5"/>
  <c r="I130" i="5"/>
  <c r="G130" i="5"/>
  <c r="K130" i="5"/>
  <c r="H130" i="5"/>
  <c r="L129" i="5"/>
  <c r="I129" i="5"/>
  <c r="K129" i="5"/>
  <c r="H129" i="5"/>
  <c r="G129" i="5"/>
  <c r="L128" i="5"/>
  <c r="I128" i="5"/>
  <c r="K128" i="5"/>
  <c r="H128" i="5"/>
  <c r="G128" i="5"/>
  <c r="I127" i="5"/>
  <c r="L127" i="5"/>
  <c r="H127" i="5"/>
  <c r="K127" i="5"/>
  <c r="G127" i="5"/>
  <c r="I126" i="5"/>
  <c r="L126" i="5"/>
  <c r="K126" i="5"/>
  <c r="H126" i="5"/>
  <c r="G126" i="5"/>
  <c r="L125" i="5"/>
  <c r="I125" i="5"/>
  <c r="K125" i="5"/>
  <c r="H125" i="5"/>
  <c r="G125" i="5"/>
  <c r="L124" i="5"/>
  <c r="I124" i="5"/>
  <c r="G124" i="5"/>
  <c r="K124" i="5"/>
  <c r="H124" i="5"/>
  <c r="L123" i="5"/>
  <c r="I123" i="5"/>
  <c r="K123" i="5"/>
  <c r="H123" i="5"/>
  <c r="G123" i="5"/>
  <c r="L122" i="5"/>
  <c r="I122" i="5"/>
  <c r="K122" i="5"/>
  <c r="H122" i="5"/>
  <c r="G122" i="5"/>
  <c r="L121" i="5"/>
  <c r="I121" i="5"/>
  <c r="K121" i="5"/>
  <c r="H121" i="5"/>
  <c r="G121" i="5"/>
  <c r="L120" i="5"/>
  <c r="I120" i="5"/>
  <c r="G120" i="5"/>
  <c r="K120" i="5"/>
  <c r="H120" i="5"/>
  <c r="I119" i="5"/>
  <c r="L119" i="5"/>
  <c r="G119" i="5"/>
  <c r="K119" i="5"/>
  <c r="H119" i="5"/>
  <c r="L118" i="5"/>
  <c r="I118" i="5"/>
  <c r="K118" i="5"/>
  <c r="H118" i="5"/>
  <c r="G118" i="5"/>
  <c r="L117" i="5"/>
  <c r="I117" i="5"/>
  <c r="K117" i="5"/>
  <c r="H117" i="5"/>
  <c r="G117" i="5"/>
  <c r="L116" i="5"/>
  <c r="I116" i="5"/>
  <c r="K116" i="5"/>
  <c r="H116" i="5"/>
  <c r="G116" i="5"/>
  <c r="I115" i="5"/>
  <c r="L115" i="5"/>
  <c r="G115" i="5"/>
  <c r="K115" i="5"/>
  <c r="H115" i="5"/>
  <c r="L114" i="5"/>
  <c r="I114" i="5"/>
  <c r="K114" i="5"/>
  <c r="H114" i="5"/>
  <c r="G114" i="5"/>
  <c r="L113" i="5"/>
  <c r="I113" i="5"/>
  <c r="K113" i="5"/>
  <c r="H113" i="5"/>
  <c r="G113" i="5"/>
  <c r="L112" i="5"/>
  <c r="I112" i="5"/>
  <c r="K112" i="5"/>
  <c r="G112" i="5"/>
  <c r="H112" i="5"/>
  <c r="L111" i="5"/>
  <c r="I111" i="5"/>
  <c r="G111" i="5"/>
  <c r="K111" i="5"/>
  <c r="H111" i="5"/>
  <c r="I110" i="5"/>
  <c r="L110" i="5"/>
  <c r="G110" i="5"/>
  <c r="K110" i="5"/>
  <c r="H110" i="5"/>
  <c r="I109" i="5"/>
  <c r="L109" i="5"/>
  <c r="G109" i="5"/>
  <c r="K109" i="5"/>
  <c r="H109" i="5"/>
  <c r="I108" i="5"/>
  <c r="L108" i="5"/>
  <c r="H108" i="5"/>
  <c r="G108" i="5"/>
  <c r="K108" i="5"/>
  <c r="L107" i="5"/>
  <c r="I107" i="5"/>
  <c r="K107" i="5"/>
  <c r="H107" i="5"/>
  <c r="G107" i="5"/>
  <c r="I106" i="5"/>
  <c r="L106" i="5"/>
  <c r="H106" i="5"/>
  <c r="K106" i="5"/>
  <c r="G106" i="5"/>
  <c r="L105" i="5"/>
  <c r="I105" i="5"/>
  <c r="K105" i="5"/>
  <c r="H105" i="5"/>
  <c r="G105" i="5"/>
  <c r="L104" i="5"/>
  <c r="I104" i="5"/>
  <c r="K104" i="5"/>
  <c r="H104" i="5"/>
  <c r="G104" i="5"/>
  <c r="I103" i="5"/>
  <c r="L103" i="5"/>
  <c r="H103" i="5"/>
  <c r="K103" i="5"/>
  <c r="G103" i="5"/>
  <c r="L102" i="5"/>
  <c r="I102" i="5"/>
  <c r="K102" i="5"/>
  <c r="H102" i="5"/>
  <c r="G102" i="5"/>
  <c r="L101" i="5"/>
  <c r="I101" i="5"/>
  <c r="H101" i="5"/>
  <c r="G101" i="5"/>
  <c r="K101" i="5"/>
  <c r="I100" i="5"/>
  <c r="L100" i="5"/>
  <c r="K100" i="5"/>
  <c r="H100" i="5"/>
  <c r="G100" i="5"/>
  <c r="L99" i="5"/>
  <c r="I99" i="5"/>
  <c r="K99" i="5"/>
  <c r="H99" i="5"/>
  <c r="G99" i="5"/>
  <c r="L98" i="5"/>
  <c r="I98" i="5"/>
  <c r="K98" i="5"/>
  <c r="H98" i="5"/>
  <c r="G98" i="5"/>
  <c r="L97" i="5"/>
  <c r="I97" i="5"/>
  <c r="H97" i="5"/>
  <c r="G97" i="5"/>
  <c r="K97" i="5"/>
  <c r="I96" i="5"/>
  <c r="L96" i="5"/>
  <c r="H96" i="5"/>
  <c r="K96" i="5"/>
  <c r="G96" i="5"/>
  <c r="L95" i="5"/>
  <c r="I95" i="5"/>
  <c r="K95" i="5"/>
  <c r="H95" i="5"/>
  <c r="G95" i="5"/>
  <c r="L94" i="5"/>
  <c r="I94" i="5"/>
  <c r="K94" i="5"/>
  <c r="H94" i="5"/>
  <c r="G94" i="5"/>
  <c r="L93" i="5"/>
  <c r="I93" i="5"/>
  <c r="K93" i="5"/>
  <c r="H93" i="5"/>
  <c r="G93" i="5"/>
  <c r="L92" i="5"/>
  <c r="I92" i="5"/>
  <c r="G92" i="5"/>
  <c r="K92" i="5"/>
  <c r="H92" i="5"/>
  <c r="I91" i="5"/>
  <c r="L91" i="5"/>
  <c r="G91" i="5"/>
  <c r="K91" i="5"/>
  <c r="H91" i="5"/>
  <c r="I90" i="5"/>
  <c r="L90" i="5"/>
  <c r="G90" i="5"/>
  <c r="K90" i="5"/>
  <c r="H90" i="5"/>
  <c r="I89" i="5"/>
  <c r="L89" i="5"/>
  <c r="H89" i="5"/>
  <c r="K89" i="5"/>
  <c r="G89" i="5"/>
  <c r="L88" i="5"/>
  <c r="I88" i="5"/>
  <c r="K88" i="5"/>
  <c r="H88" i="5"/>
  <c r="G88" i="5"/>
  <c r="L87" i="5"/>
  <c r="I87" i="5"/>
  <c r="K87" i="5"/>
  <c r="H87" i="5"/>
  <c r="G87" i="5"/>
  <c r="L86" i="5"/>
  <c r="I86" i="5"/>
  <c r="K86" i="5"/>
  <c r="H86" i="5"/>
  <c r="G86" i="5"/>
  <c r="L85" i="5"/>
  <c r="I85" i="5"/>
  <c r="G85" i="5"/>
  <c r="K85" i="5"/>
  <c r="H85" i="5"/>
  <c r="I84" i="5"/>
  <c r="L84" i="5"/>
  <c r="G84" i="5"/>
  <c r="K84" i="5"/>
  <c r="H84" i="5"/>
  <c r="I83" i="5"/>
  <c r="L83" i="5"/>
  <c r="G83" i="5"/>
  <c r="K83" i="5"/>
  <c r="H83" i="5"/>
  <c r="I82" i="5"/>
  <c r="L82" i="5"/>
  <c r="G82" i="5"/>
  <c r="K82" i="5"/>
  <c r="H82" i="5"/>
  <c r="I81" i="5"/>
  <c r="L81" i="5"/>
  <c r="G81" i="5"/>
  <c r="K81" i="5"/>
  <c r="H81" i="5"/>
  <c r="I80" i="5"/>
  <c r="L80" i="5"/>
  <c r="G80" i="5"/>
  <c r="K80" i="5"/>
  <c r="H80" i="5"/>
  <c r="I79" i="5"/>
  <c r="L79" i="5"/>
  <c r="G79" i="5"/>
  <c r="K79" i="5"/>
  <c r="H79" i="5"/>
  <c r="I78" i="5"/>
  <c r="L78" i="5"/>
  <c r="H78" i="5"/>
  <c r="K78" i="5"/>
  <c r="G78" i="5"/>
  <c r="L77" i="5"/>
  <c r="I77" i="5"/>
  <c r="K77" i="5"/>
  <c r="H77" i="5"/>
  <c r="G77" i="5"/>
  <c r="L76" i="5"/>
  <c r="I76" i="5"/>
  <c r="K76" i="5"/>
  <c r="H76" i="5"/>
  <c r="G76" i="5"/>
  <c r="L75" i="5"/>
  <c r="I75" i="5"/>
  <c r="K75" i="5"/>
  <c r="H75" i="5"/>
  <c r="G75" i="5"/>
  <c r="L74" i="5"/>
  <c r="I74" i="5"/>
  <c r="H74" i="5"/>
  <c r="G74" i="5"/>
  <c r="K74" i="5"/>
  <c r="I73" i="5"/>
  <c r="L73" i="5"/>
  <c r="G73" i="5"/>
  <c r="K73" i="5"/>
  <c r="H73" i="5"/>
  <c r="L72" i="5"/>
  <c r="I72" i="5"/>
  <c r="K72" i="5"/>
  <c r="H72" i="5"/>
  <c r="G72" i="5"/>
  <c r="L71" i="5"/>
  <c r="I71" i="5"/>
  <c r="K71" i="5"/>
  <c r="H71" i="5"/>
  <c r="G71" i="5"/>
  <c r="L70" i="5"/>
  <c r="I70" i="5"/>
  <c r="K70" i="5"/>
  <c r="H70" i="5"/>
  <c r="G70" i="5"/>
  <c r="L69" i="5"/>
  <c r="I69" i="5"/>
  <c r="K69" i="5"/>
  <c r="H69" i="5"/>
  <c r="G69" i="5"/>
  <c r="L68" i="5"/>
  <c r="I68" i="5"/>
  <c r="G68" i="5"/>
  <c r="K68" i="5"/>
  <c r="H68" i="5"/>
  <c r="I67" i="5"/>
  <c r="L67" i="5"/>
  <c r="G67" i="5"/>
  <c r="K67" i="5"/>
  <c r="H67" i="5"/>
  <c r="L66" i="5"/>
  <c r="I66" i="5"/>
  <c r="G66" i="5"/>
  <c r="K66" i="5"/>
  <c r="H66" i="5"/>
  <c r="L65" i="5"/>
  <c r="I65" i="5"/>
  <c r="G65" i="5"/>
  <c r="H65" i="5"/>
  <c r="K65" i="5"/>
  <c r="I64" i="5"/>
  <c r="L64" i="5"/>
  <c r="K64" i="5"/>
  <c r="H64" i="5"/>
  <c r="G64" i="5"/>
  <c r="L63" i="5"/>
  <c r="I63" i="5"/>
  <c r="K63" i="5"/>
  <c r="H63" i="5"/>
  <c r="G63" i="5"/>
  <c r="L62" i="5"/>
  <c r="I62" i="5"/>
  <c r="K62" i="5"/>
  <c r="H62" i="5"/>
  <c r="G62" i="5"/>
  <c r="I61" i="5"/>
  <c r="L61" i="5"/>
  <c r="K61" i="5"/>
  <c r="G61" i="5"/>
  <c r="H61" i="5"/>
  <c r="L60" i="5"/>
  <c r="I60" i="5"/>
  <c r="K60" i="5"/>
  <c r="H60" i="5"/>
  <c r="G60" i="5"/>
  <c r="L59" i="5"/>
  <c r="I59" i="5"/>
  <c r="K59" i="5"/>
  <c r="H59" i="5"/>
  <c r="G59" i="5"/>
  <c r="L58" i="5"/>
  <c r="I58" i="5"/>
  <c r="G58" i="5"/>
  <c r="K58" i="5"/>
  <c r="H58" i="5"/>
  <c r="L57" i="5"/>
  <c r="I57" i="5"/>
  <c r="K57" i="5"/>
  <c r="H57" i="5"/>
  <c r="G57" i="5"/>
  <c r="L56" i="5"/>
  <c r="I56" i="5"/>
  <c r="K56" i="5"/>
  <c r="H56" i="5"/>
  <c r="G56" i="5"/>
  <c r="L55" i="5"/>
  <c r="I55" i="5"/>
  <c r="K55" i="5"/>
  <c r="H55" i="5"/>
  <c r="G55" i="5"/>
  <c r="I54" i="5"/>
  <c r="L54" i="5"/>
  <c r="K54" i="5"/>
  <c r="H54" i="5"/>
  <c r="G54" i="5"/>
  <c r="L53" i="5"/>
  <c r="I53" i="5"/>
  <c r="K53" i="5"/>
  <c r="H53" i="5"/>
  <c r="G53" i="5"/>
  <c r="L52" i="5"/>
  <c r="I52" i="5"/>
  <c r="K52" i="5"/>
  <c r="H52" i="5"/>
  <c r="G52" i="5"/>
  <c r="L51" i="5"/>
  <c r="I51" i="5"/>
  <c r="K51" i="5"/>
  <c r="G51" i="5"/>
  <c r="H51" i="5"/>
  <c r="I50" i="5"/>
  <c r="L50" i="5"/>
  <c r="G50" i="5"/>
  <c r="K50" i="5"/>
  <c r="H50" i="5"/>
  <c r="I49" i="5"/>
  <c r="L49" i="5"/>
  <c r="H49" i="5"/>
  <c r="K49" i="5"/>
  <c r="G49" i="5"/>
  <c r="L48" i="5"/>
  <c r="I48" i="5"/>
  <c r="H48" i="5"/>
  <c r="G48" i="5"/>
  <c r="K48" i="5"/>
  <c r="L47" i="5"/>
  <c r="I47" i="5"/>
  <c r="K47" i="5"/>
  <c r="G47" i="5"/>
  <c r="H47" i="5"/>
  <c r="L46" i="5"/>
  <c r="I46" i="5"/>
  <c r="K46" i="5"/>
  <c r="H46" i="5"/>
  <c r="G46" i="5"/>
  <c r="L45" i="5"/>
  <c r="I45" i="5"/>
  <c r="K45" i="5"/>
  <c r="H45" i="5"/>
  <c r="G45" i="5"/>
  <c r="I44" i="5"/>
  <c r="L44" i="5"/>
  <c r="H44" i="5"/>
  <c r="K44" i="5"/>
  <c r="G44" i="5"/>
  <c r="L43" i="5"/>
  <c r="I43" i="5"/>
  <c r="K43" i="5"/>
  <c r="H43" i="5"/>
  <c r="G43" i="5"/>
  <c r="L42" i="5"/>
  <c r="I42" i="5"/>
  <c r="K42" i="5"/>
  <c r="H42" i="5"/>
  <c r="G42" i="5"/>
  <c r="I41" i="5"/>
  <c r="L41" i="5"/>
  <c r="G41" i="5"/>
  <c r="K41" i="5"/>
  <c r="H41" i="5"/>
  <c r="L40" i="5"/>
  <c r="I40" i="5"/>
  <c r="K40" i="5"/>
  <c r="G40" i="5"/>
  <c r="H40" i="5"/>
  <c r="L39" i="5"/>
  <c r="I39" i="5"/>
  <c r="K39" i="5"/>
  <c r="H39" i="5"/>
  <c r="G39" i="5"/>
  <c r="L38" i="5"/>
  <c r="I38" i="5"/>
  <c r="K38" i="5"/>
  <c r="H38" i="5"/>
  <c r="G38" i="5"/>
  <c r="I37" i="5"/>
  <c r="L37" i="5"/>
  <c r="H37" i="5"/>
  <c r="K37" i="5"/>
  <c r="G37" i="5"/>
  <c r="L36" i="5"/>
  <c r="I36" i="5"/>
  <c r="K36" i="5"/>
  <c r="H36" i="5"/>
  <c r="G36" i="5"/>
  <c r="L35" i="5"/>
  <c r="I35" i="5"/>
  <c r="K35" i="5"/>
  <c r="H35" i="5"/>
  <c r="G35" i="5"/>
  <c r="I34" i="5"/>
  <c r="L34" i="5"/>
  <c r="K34" i="5"/>
  <c r="G34" i="5"/>
  <c r="H34" i="5"/>
  <c r="L33" i="5"/>
  <c r="I33" i="5"/>
  <c r="H33" i="5"/>
  <c r="G33" i="5"/>
  <c r="K33" i="5"/>
  <c r="L32" i="5"/>
  <c r="I32" i="5"/>
  <c r="H32" i="5"/>
  <c r="G32" i="5"/>
  <c r="K32" i="5"/>
  <c r="L31" i="5"/>
  <c r="I31" i="5"/>
  <c r="K31" i="5"/>
  <c r="H31" i="5"/>
  <c r="G31" i="5"/>
  <c r="L30" i="5"/>
  <c r="I30" i="5"/>
  <c r="K30" i="5"/>
  <c r="H30" i="5"/>
  <c r="G30" i="5"/>
  <c r="I29" i="5"/>
  <c r="L29" i="5"/>
  <c r="G29" i="5"/>
  <c r="K29" i="5"/>
  <c r="H29" i="5"/>
  <c r="L28" i="5"/>
  <c r="I28" i="5"/>
  <c r="K28" i="5"/>
  <c r="H28" i="5"/>
  <c r="G28" i="5"/>
  <c r="L27" i="5"/>
  <c r="I27" i="5"/>
  <c r="K27" i="5"/>
  <c r="H27" i="5"/>
  <c r="G27" i="5"/>
  <c r="J26" i="5"/>
  <c r="N26" i="5"/>
  <c r="O26" i="5"/>
  <c r="I25" i="5"/>
  <c r="L25" i="5"/>
  <c r="K25" i="5"/>
  <c r="H25" i="5"/>
  <c r="G25" i="5"/>
  <c r="M26" i="5" s="1"/>
  <c r="L24" i="5"/>
  <c r="I24" i="5"/>
  <c r="H24" i="5"/>
  <c r="G24" i="5"/>
  <c r="K24" i="5"/>
  <c r="I23" i="5"/>
  <c r="L23" i="5"/>
  <c r="K23" i="5"/>
  <c r="H23" i="5"/>
  <c r="G23" i="5"/>
  <c r="L22" i="5"/>
  <c r="I22" i="5"/>
  <c r="K22" i="5"/>
  <c r="H22" i="5"/>
  <c r="G22" i="5"/>
  <c r="L21" i="5"/>
  <c r="I21" i="5"/>
  <c r="G21" i="5"/>
  <c r="K21" i="5"/>
  <c r="H21" i="5"/>
  <c r="L20" i="5"/>
  <c r="I20" i="5"/>
  <c r="K20" i="5"/>
  <c r="H20" i="5"/>
  <c r="G20" i="5"/>
  <c r="L19" i="5"/>
  <c r="I19" i="5"/>
  <c r="H19" i="5"/>
  <c r="K19" i="5"/>
  <c r="G19" i="5"/>
  <c r="L18" i="5"/>
  <c r="I18" i="5"/>
  <c r="G18" i="5"/>
  <c r="H18" i="5"/>
  <c r="K18" i="5"/>
  <c r="L17" i="5"/>
  <c r="I17" i="5"/>
  <c r="H17" i="5"/>
  <c r="K17" i="5"/>
  <c r="G17" i="5"/>
  <c r="L16" i="5"/>
  <c r="I16" i="5"/>
  <c r="G16" i="5"/>
  <c r="K16" i="5"/>
  <c r="H16" i="5"/>
  <c r="I15" i="5"/>
  <c r="L15" i="5"/>
  <c r="K15" i="5"/>
  <c r="H15" i="5"/>
  <c r="G15" i="5"/>
  <c r="L14" i="5"/>
  <c r="I14" i="5"/>
  <c r="K14" i="5"/>
  <c r="H14" i="5"/>
  <c r="G14" i="5"/>
  <c r="L13" i="5"/>
  <c r="I13" i="5"/>
  <c r="G13" i="5"/>
  <c r="H13" i="5"/>
  <c r="K13" i="5"/>
  <c r="I12" i="5"/>
  <c r="L12" i="5"/>
  <c r="H12" i="5"/>
  <c r="G12" i="5"/>
  <c r="K12" i="5"/>
  <c r="L11" i="5"/>
  <c r="I11" i="5"/>
  <c r="K11" i="5"/>
  <c r="H11" i="5"/>
  <c r="G11" i="5"/>
  <c r="L10" i="5"/>
  <c r="I10" i="5"/>
  <c r="G10" i="5"/>
  <c r="K10" i="5"/>
  <c r="H10" i="5"/>
  <c r="I9" i="5"/>
  <c r="L9" i="5"/>
  <c r="K9" i="5"/>
  <c r="H9" i="5"/>
  <c r="G9" i="5"/>
  <c r="I8" i="5"/>
  <c r="L8" i="5"/>
  <c r="H8" i="5"/>
  <c r="G8" i="5"/>
  <c r="K8" i="5"/>
  <c r="L7" i="5"/>
  <c r="I7" i="5"/>
  <c r="K7" i="5"/>
  <c r="H7" i="5"/>
  <c r="G7" i="5"/>
  <c r="L6" i="5"/>
  <c r="I6" i="5"/>
  <c r="G6" i="5"/>
  <c r="H6" i="5"/>
  <c r="K6" i="5"/>
  <c r="I5" i="5"/>
  <c r="L5" i="5"/>
  <c r="H5" i="5"/>
  <c r="G5" i="5"/>
  <c r="K5" i="5"/>
  <c r="L4" i="5"/>
  <c r="I4" i="5"/>
  <c r="K4" i="5"/>
  <c r="H4" i="5"/>
  <c r="G4" i="5"/>
  <c r="L3" i="5"/>
  <c r="I3" i="5"/>
  <c r="G3" i="5"/>
  <c r="H3" i="5"/>
  <c r="K3" i="5"/>
  <c r="H2" i="5"/>
  <c r="G2" i="5"/>
  <c r="M355" i="4"/>
  <c r="N355" i="4"/>
  <c r="E354" i="4"/>
  <c r="E356" i="4" s="1"/>
  <c r="D354" i="4"/>
  <c r="H348" i="4"/>
  <c r="K348" i="4"/>
  <c r="G348" i="4"/>
  <c r="F348" i="4"/>
  <c r="J348" i="4"/>
  <c r="K347" i="4"/>
  <c r="H347" i="4"/>
  <c r="J347" i="4"/>
  <c r="G347" i="4"/>
  <c r="F347" i="4"/>
  <c r="K346" i="4"/>
  <c r="H346" i="4"/>
  <c r="J346" i="4"/>
  <c r="G346" i="4"/>
  <c r="F346" i="4"/>
  <c r="K345" i="4"/>
  <c r="H345" i="4"/>
  <c r="F345" i="4"/>
  <c r="G345" i="4"/>
  <c r="J345" i="4"/>
  <c r="H344" i="4"/>
  <c r="K344" i="4"/>
  <c r="G344" i="4"/>
  <c r="F344" i="4"/>
  <c r="J344" i="4"/>
  <c r="K343" i="4"/>
  <c r="H343" i="4"/>
  <c r="J343" i="4"/>
  <c r="G343" i="4"/>
  <c r="F343" i="4"/>
  <c r="H342" i="4"/>
  <c r="K342" i="4"/>
  <c r="F342" i="4"/>
  <c r="J342" i="4"/>
  <c r="G342" i="4"/>
  <c r="K341" i="4"/>
  <c r="H341" i="4"/>
  <c r="J341" i="4"/>
  <c r="F341" i="4"/>
  <c r="G341" i="4"/>
  <c r="K340" i="4"/>
  <c r="H340" i="4"/>
  <c r="J340" i="4"/>
  <c r="G340" i="4"/>
  <c r="F340" i="4"/>
  <c r="K339" i="4"/>
  <c r="H339" i="4"/>
  <c r="J339" i="4"/>
  <c r="G339" i="4"/>
  <c r="F339" i="4"/>
  <c r="H338" i="4"/>
  <c r="K338" i="4"/>
  <c r="G338" i="4"/>
  <c r="J338" i="4"/>
  <c r="F338" i="4"/>
  <c r="K337" i="4"/>
  <c r="H337" i="4"/>
  <c r="J337" i="4"/>
  <c r="G337" i="4"/>
  <c r="F337" i="4"/>
  <c r="K336" i="4"/>
  <c r="H336" i="4"/>
  <c r="J336" i="4"/>
  <c r="G336" i="4"/>
  <c r="F336" i="4"/>
  <c r="H335" i="4"/>
  <c r="K335" i="4"/>
  <c r="J335" i="4"/>
  <c r="G335" i="4"/>
  <c r="F335" i="4"/>
  <c r="H334" i="4"/>
  <c r="K334" i="4"/>
  <c r="G334" i="4"/>
  <c r="J334" i="4"/>
  <c r="F334" i="4"/>
  <c r="K333" i="4"/>
  <c r="H333" i="4"/>
  <c r="J333" i="4"/>
  <c r="G333" i="4"/>
  <c r="F333" i="4"/>
  <c r="K332" i="4"/>
  <c r="H332" i="4"/>
  <c r="J332" i="4"/>
  <c r="G332" i="4"/>
  <c r="F332" i="4"/>
  <c r="K331" i="4"/>
  <c r="H331" i="4"/>
  <c r="J331" i="4"/>
  <c r="G331" i="4"/>
  <c r="F331" i="4"/>
  <c r="K330" i="4"/>
  <c r="H330" i="4"/>
  <c r="J330" i="4"/>
  <c r="G330" i="4"/>
  <c r="F330" i="4"/>
  <c r="K329" i="4"/>
  <c r="H329" i="4"/>
  <c r="F329" i="4"/>
  <c r="J329" i="4"/>
  <c r="G329" i="4"/>
  <c r="K328" i="4"/>
  <c r="H328" i="4"/>
  <c r="G328" i="4"/>
  <c r="J328" i="4"/>
  <c r="F328" i="4"/>
  <c r="K327" i="4"/>
  <c r="H327" i="4"/>
  <c r="F327" i="4"/>
  <c r="J327" i="4"/>
  <c r="G327" i="4"/>
  <c r="K326" i="4"/>
  <c r="H326" i="4"/>
  <c r="J326" i="4"/>
  <c r="F326" i="4"/>
  <c r="G326" i="4"/>
  <c r="H325" i="4"/>
  <c r="K325" i="4"/>
  <c r="J325" i="4"/>
  <c r="G325" i="4"/>
  <c r="F325" i="4"/>
  <c r="K324" i="4"/>
  <c r="H324" i="4"/>
  <c r="J324" i="4"/>
  <c r="G324" i="4"/>
  <c r="F324" i="4"/>
  <c r="K323" i="4"/>
  <c r="H323" i="4"/>
  <c r="J323" i="4"/>
  <c r="G323" i="4"/>
  <c r="F323" i="4"/>
  <c r="K322" i="4"/>
  <c r="H322" i="4"/>
  <c r="J322" i="4"/>
  <c r="G322" i="4"/>
  <c r="F322" i="4"/>
  <c r="H321" i="4"/>
  <c r="K321" i="4"/>
  <c r="G321" i="4"/>
  <c r="J321" i="4"/>
  <c r="F321" i="4"/>
  <c r="H320" i="4"/>
  <c r="K320" i="4"/>
  <c r="J320" i="4"/>
  <c r="G320" i="4"/>
  <c r="F320" i="4"/>
  <c r="K319" i="4"/>
  <c r="H319" i="4"/>
  <c r="J319" i="4"/>
  <c r="G319" i="4"/>
  <c r="F319" i="4"/>
  <c r="H318" i="4"/>
  <c r="K318" i="4"/>
  <c r="F318" i="4"/>
  <c r="J318" i="4"/>
  <c r="G318" i="4"/>
  <c r="K317" i="4"/>
  <c r="H317" i="4"/>
  <c r="J317" i="4"/>
  <c r="G317" i="4"/>
  <c r="F317" i="4"/>
  <c r="K316" i="4"/>
  <c r="H316" i="4"/>
  <c r="F316" i="4"/>
  <c r="J316" i="4"/>
  <c r="G316" i="4"/>
  <c r="H315" i="4"/>
  <c r="K315" i="4"/>
  <c r="J315" i="4"/>
  <c r="G315" i="4"/>
  <c r="F315" i="4"/>
  <c r="K314" i="4"/>
  <c r="H314" i="4"/>
  <c r="J314" i="4"/>
  <c r="G314" i="4"/>
  <c r="F314" i="4"/>
  <c r="K313" i="4"/>
  <c r="H313" i="4"/>
  <c r="J313" i="4"/>
  <c r="G313" i="4"/>
  <c r="F313" i="4"/>
  <c r="H312" i="4"/>
  <c r="K312" i="4"/>
  <c r="F312" i="4"/>
  <c r="G312" i="4"/>
  <c r="J312" i="4"/>
  <c r="H311" i="4"/>
  <c r="K311" i="4"/>
  <c r="G311" i="4"/>
  <c r="F311" i="4"/>
  <c r="J311" i="4"/>
  <c r="K310" i="4"/>
  <c r="H310" i="4"/>
  <c r="J310" i="4"/>
  <c r="G310" i="4"/>
  <c r="F310" i="4"/>
  <c r="K309" i="4"/>
  <c r="H309" i="4"/>
  <c r="F309" i="4"/>
  <c r="J309" i="4"/>
  <c r="G309" i="4"/>
  <c r="H308" i="4"/>
  <c r="K308" i="4"/>
  <c r="J308" i="4"/>
  <c r="G308" i="4"/>
  <c r="F308" i="4"/>
  <c r="K307" i="4"/>
  <c r="H307" i="4"/>
  <c r="J307" i="4"/>
  <c r="G307" i="4"/>
  <c r="F307" i="4"/>
  <c r="K306" i="4"/>
  <c r="H306" i="4"/>
  <c r="F306" i="4"/>
  <c r="J306" i="4"/>
  <c r="G306" i="4"/>
  <c r="K305" i="4"/>
  <c r="H305" i="4"/>
  <c r="F305" i="4"/>
  <c r="J305" i="4"/>
  <c r="G305" i="4"/>
  <c r="H304" i="4"/>
  <c r="K304" i="4"/>
  <c r="J304" i="4"/>
  <c r="G304" i="4"/>
  <c r="F304" i="4"/>
  <c r="K303" i="4"/>
  <c r="H303" i="4"/>
  <c r="J303" i="4"/>
  <c r="G303" i="4"/>
  <c r="F303" i="4"/>
  <c r="K302" i="4"/>
  <c r="H302" i="4"/>
  <c r="F302" i="4"/>
  <c r="G302" i="4"/>
  <c r="J302" i="4"/>
  <c r="H301" i="4"/>
  <c r="K301" i="4"/>
  <c r="J301" i="4"/>
  <c r="F301" i="4"/>
  <c r="G301" i="4"/>
  <c r="K300" i="4"/>
  <c r="H300" i="4"/>
  <c r="J300" i="4"/>
  <c r="G300" i="4"/>
  <c r="F300" i="4"/>
  <c r="K299" i="4"/>
  <c r="H299" i="4"/>
  <c r="J299" i="4"/>
  <c r="G299" i="4"/>
  <c r="F299" i="4"/>
  <c r="K298" i="4"/>
  <c r="H298" i="4"/>
  <c r="G298" i="4"/>
  <c r="F298" i="4"/>
  <c r="J298" i="4"/>
  <c r="H297" i="4"/>
  <c r="K297" i="4"/>
  <c r="J297" i="4"/>
  <c r="F297" i="4"/>
  <c r="G297" i="4"/>
  <c r="H296" i="4"/>
  <c r="K296" i="4"/>
  <c r="J296" i="4"/>
  <c r="G296" i="4"/>
  <c r="F296" i="4"/>
  <c r="H295" i="4"/>
  <c r="K295" i="4"/>
  <c r="J295" i="4"/>
  <c r="G295" i="4"/>
  <c r="F295" i="4"/>
  <c r="K294" i="4"/>
  <c r="H294" i="4"/>
  <c r="J294" i="4"/>
  <c r="G294" i="4"/>
  <c r="F294" i="4"/>
  <c r="K293" i="4"/>
  <c r="H293" i="4"/>
  <c r="J293" i="4"/>
  <c r="G293" i="4"/>
  <c r="F293" i="4"/>
  <c r="H292" i="4"/>
  <c r="K292" i="4"/>
  <c r="G292" i="4"/>
  <c r="J292" i="4"/>
  <c r="F292" i="4"/>
  <c r="K291" i="4"/>
  <c r="H291" i="4"/>
  <c r="J291" i="4"/>
  <c r="G291" i="4"/>
  <c r="F291" i="4"/>
  <c r="K290" i="4"/>
  <c r="H290" i="4"/>
  <c r="J290" i="4"/>
  <c r="G290" i="4"/>
  <c r="F290" i="4"/>
  <c r="K289" i="4"/>
  <c r="H289" i="4"/>
  <c r="J289" i="4"/>
  <c r="G289" i="4"/>
  <c r="F289" i="4"/>
  <c r="K288" i="4"/>
  <c r="H288" i="4"/>
  <c r="G288" i="4"/>
  <c r="J288" i="4"/>
  <c r="F288" i="4"/>
  <c r="H287" i="4"/>
  <c r="K287" i="4"/>
  <c r="J287" i="4"/>
  <c r="G287" i="4"/>
  <c r="F287" i="4"/>
  <c r="K286" i="4"/>
  <c r="H286" i="4"/>
  <c r="J286" i="4"/>
  <c r="G286" i="4"/>
  <c r="F286" i="4"/>
  <c r="K285" i="4"/>
  <c r="H285" i="4"/>
  <c r="J285" i="4"/>
  <c r="G285" i="4"/>
  <c r="F285" i="4"/>
  <c r="K284" i="4"/>
  <c r="H284" i="4"/>
  <c r="F284" i="4"/>
  <c r="G284" i="4"/>
  <c r="J284" i="4"/>
  <c r="H283" i="4"/>
  <c r="K283" i="4"/>
  <c r="J283" i="4"/>
  <c r="G283" i="4"/>
  <c r="F283" i="4"/>
  <c r="K282" i="4"/>
  <c r="H282" i="4"/>
  <c r="J282" i="4"/>
  <c r="G282" i="4"/>
  <c r="F282" i="4"/>
  <c r="K281" i="4"/>
  <c r="H281" i="4"/>
  <c r="J281" i="4"/>
  <c r="G281" i="4"/>
  <c r="F281" i="4"/>
  <c r="K280" i="4"/>
  <c r="H280" i="4"/>
  <c r="F280" i="4"/>
  <c r="J280" i="4"/>
  <c r="G280" i="4"/>
  <c r="K279" i="4"/>
  <c r="H279" i="4"/>
  <c r="J279" i="4"/>
  <c r="F279" i="4"/>
  <c r="G279" i="4"/>
  <c r="H278" i="4"/>
  <c r="K278" i="4"/>
  <c r="J278" i="4"/>
  <c r="G278" i="4"/>
  <c r="F278" i="4"/>
  <c r="H277" i="4"/>
  <c r="K277" i="4"/>
  <c r="J277" i="4"/>
  <c r="G277" i="4"/>
  <c r="F277" i="4"/>
  <c r="K276" i="4"/>
  <c r="H276" i="4"/>
  <c r="J276" i="4"/>
  <c r="G276" i="4"/>
  <c r="F276" i="4"/>
  <c r="K275" i="4"/>
  <c r="H275" i="4"/>
  <c r="J275" i="4"/>
  <c r="G275" i="4"/>
  <c r="F275" i="4"/>
  <c r="H274" i="4"/>
  <c r="K274" i="4"/>
  <c r="G274" i="4"/>
  <c r="J274" i="4"/>
  <c r="F274" i="4"/>
  <c r="K273" i="4"/>
  <c r="H273" i="4"/>
  <c r="J273" i="4"/>
  <c r="G273" i="4"/>
  <c r="F273" i="4"/>
  <c r="K272" i="4"/>
  <c r="H272" i="4"/>
  <c r="J272" i="4"/>
  <c r="G272" i="4"/>
  <c r="F272" i="4"/>
  <c r="K271" i="4"/>
  <c r="H271" i="4"/>
  <c r="J271" i="4"/>
  <c r="G271" i="4"/>
  <c r="F271" i="4"/>
  <c r="K270" i="4"/>
  <c r="H270" i="4"/>
  <c r="G270" i="4"/>
  <c r="J270" i="4"/>
  <c r="F270" i="4"/>
  <c r="H269" i="4"/>
  <c r="K269" i="4"/>
  <c r="J269" i="4"/>
  <c r="G269" i="4"/>
  <c r="F269" i="4"/>
  <c r="K268" i="4"/>
  <c r="H268" i="4"/>
  <c r="J268" i="4"/>
  <c r="G268" i="4"/>
  <c r="F268" i="4"/>
  <c r="K267" i="4"/>
  <c r="H267" i="4"/>
  <c r="J267" i="4"/>
  <c r="G267" i="4"/>
  <c r="F267" i="4"/>
  <c r="K266" i="4"/>
  <c r="H266" i="4"/>
  <c r="F266" i="4"/>
  <c r="G266" i="4"/>
  <c r="J266" i="4"/>
  <c r="H265" i="4"/>
  <c r="K265" i="4"/>
  <c r="J265" i="4"/>
  <c r="G265" i="4"/>
  <c r="F265" i="4"/>
  <c r="K264" i="4"/>
  <c r="H264" i="4"/>
  <c r="J264" i="4"/>
  <c r="G264" i="4"/>
  <c r="F264" i="4"/>
  <c r="K263" i="4"/>
  <c r="H263" i="4"/>
  <c r="J263" i="4"/>
  <c r="G263" i="4"/>
  <c r="F263" i="4"/>
  <c r="K262" i="4"/>
  <c r="H262" i="4"/>
  <c r="F262" i="4"/>
  <c r="G262" i="4"/>
  <c r="J262" i="4"/>
  <c r="H261" i="4"/>
  <c r="K261" i="4"/>
  <c r="G261" i="4"/>
  <c r="F261" i="4"/>
  <c r="J261" i="4"/>
  <c r="K260" i="4"/>
  <c r="H260" i="4"/>
  <c r="J260" i="4"/>
  <c r="G260" i="4"/>
  <c r="F260" i="4"/>
  <c r="K259" i="4"/>
  <c r="H259" i="4"/>
  <c r="F259" i="4"/>
  <c r="J259" i="4"/>
  <c r="G259" i="4"/>
  <c r="K258" i="4"/>
  <c r="H258" i="4"/>
  <c r="J258" i="4"/>
  <c r="F258" i="4"/>
  <c r="G258" i="4"/>
  <c r="K257" i="4"/>
  <c r="H257" i="4"/>
  <c r="J257" i="4"/>
  <c r="F257" i="4"/>
  <c r="G257" i="4"/>
  <c r="K256" i="4"/>
  <c r="H256" i="4"/>
  <c r="J256" i="4"/>
  <c r="G256" i="4"/>
  <c r="F256" i="4"/>
  <c r="K255" i="4"/>
  <c r="H255" i="4"/>
  <c r="J255" i="4"/>
  <c r="G255" i="4"/>
  <c r="F255" i="4"/>
  <c r="K254" i="4"/>
  <c r="H254" i="4"/>
  <c r="J254" i="4"/>
  <c r="G254" i="4"/>
  <c r="F254" i="4"/>
  <c r="H253" i="4"/>
  <c r="K253" i="4"/>
  <c r="G253" i="4"/>
  <c r="F253" i="4"/>
  <c r="J253" i="4"/>
  <c r="K252" i="4"/>
  <c r="H252" i="4"/>
  <c r="J252" i="4"/>
  <c r="G252" i="4"/>
  <c r="F252" i="4"/>
  <c r="K251" i="4"/>
  <c r="H251" i="4"/>
  <c r="J251" i="4"/>
  <c r="G251" i="4"/>
  <c r="F251" i="4"/>
  <c r="K250" i="4"/>
  <c r="H250" i="4"/>
  <c r="G250" i="4"/>
  <c r="J250" i="4"/>
  <c r="F250" i="4"/>
  <c r="K249" i="4"/>
  <c r="H249" i="4"/>
  <c r="J249" i="4"/>
  <c r="G249" i="4"/>
  <c r="F249" i="4"/>
  <c r="K248" i="4"/>
  <c r="H248" i="4"/>
  <c r="J248" i="4"/>
  <c r="G248" i="4"/>
  <c r="F248" i="4"/>
  <c r="K247" i="4"/>
  <c r="H247" i="4"/>
  <c r="J247" i="4"/>
  <c r="G247" i="4"/>
  <c r="F247" i="4"/>
  <c r="H246" i="4"/>
  <c r="K246" i="4"/>
  <c r="G246" i="4"/>
  <c r="F246" i="4"/>
  <c r="J246" i="4"/>
  <c r="K245" i="4"/>
  <c r="H245" i="4"/>
  <c r="J245" i="4"/>
  <c r="G245" i="4"/>
  <c r="F245" i="4"/>
  <c r="K244" i="4"/>
  <c r="H244" i="4"/>
  <c r="J244" i="4"/>
  <c r="G244" i="4"/>
  <c r="F244" i="4"/>
  <c r="K243" i="4"/>
  <c r="H243" i="4"/>
  <c r="F243" i="4"/>
  <c r="G243" i="4"/>
  <c r="J243" i="4"/>
  <c r="H242" i="4"/>
  <c r="K242" i="4"/>
  <c r="G242" i="4"/>
  <c r="F242" i="4"/>
  <c r="J242" i="4"/>
  <c r="K241" i="4"/>
  <c r="H241" i="4"/>
  <c r="J241" i="4"/>
  <c r="G241" i="4"/>
  <c r="F241" i="4"/>
  <c r="K240" i="4"/>
  <c r="H240" i="4"/>
  <c r="J240" i="4"/>
  <c r="G240" i="4"/>
  <c r="F240" i="4"/>
  <c r="K239" i="4"/>
  <c r="H239" i="4"/>
  <c r="G239" i="4"/>
  <c r="F239" i="4"/>
  <c r="J239" i="4"/>
  <c r="H238" i="4"/>
  <c r="K238" i="4"/>
  <c r="J238" i="4"/>
  <c r="G238" i="4"/>
  <c r="F238" i="4"/>
  <c r="K237" i="4"/>
  <c r="H237" i="4"/>
  <c r="J237" i="4"/>
  <c r="G237" i="4"/>
  <c r="F237" i="4"/>
  <c r="K236" i="4"/>
  <c r="H236" i="4"/>
  <c r="J236" i="4"/>
  <c r="G236" i="4"/>
  <c r="F236" i="4"/>
  <c r="H235" i="4"/>
  <c r="K235" i="4"/>
  <c r="J235" i="4"/>
  <c r="F235" i="4"/>
  <c r="G235" i="4"/>
  <c r="K234" i="4"/>
  <c r="H234" i="4"/>
  <c r="J234" i="4"/>
  <c r="G234" i="4"/>
  <c r="F234" i="4"/>
  <c r="K233" i="4"/>
  <c r="H233" i="4"/>
  <c r="J233" i="4"/>
  <c r="G233" i="4"/>
  <c r="F233" i="4"/>
  <c r="K232" i="4"/>
  <c r="H232" i="4"/>
  <c r="J232" i="4"/>
  <c r="G232" i="4"/>
  <c r="F232" i="4"/>
  <c r="K231" i="4"/>
  <c r="H231" i="4"/>
  <c r="J231" i="4"/>
  <c r="F231" i="4"/>
  <c r="G231" i="4"/>
  <c r="K230" i="4"/>
  <c r="H230" i="4"/>
  <c r="J230" i="4"/>
  <c r="G230" i="4"/>
  <c r="F230" i="4"/>
  <c r="K229" i="4"/>
  <c r="H229" i="4"/>
  <c r="J229" i="4"/>
  <c r="G229" i="4"/>
  <c r="F229" i="4"/>
  <c r="K228" i="4"/>
  <c r="H228" i="4"/>
  <c r="G228" i="4"/>
  <c r="F228" i="4"/>
  <c r="J228" i="4"/>
  <c r="H227" i="4"/>
  <c r="K227" i="4"/>
  <c r="J227" i="4"/>
  <c r="G227" i="4"/>
  <c r="F227" i="4"/>
  <c r="H226" i="4"/>
  <c r="K226" i="4"/>
  <c r="J226" i="4"/>
  <c r="F226" i="4"/>
  <c r="G226" i="4"/>
  <c r="K225" i="4"/>
  <c r="H225" i="4"/>
  <c r="G225" i="4"/>
  <c r="F225" i="4"/>
  <c r="J225" i="4"/>
  <c r="K224" i="4"/>
  <c r="H224" i="4"/>
  <c r="J224" i="4"/>
  <c r="G224" i="4"/>
  <c r="F224" i="4"/>
  <c r="K223" i="4"/>
  <c r="H223" i="4"/>
  <c r="J223" i="4"/>
  <c r="G223" i="4"/>
  <c r="F223" i="4"/>
  <c r="K222" i="4"/>
  <c r="H222" i="4"/>
  <c r="G222" i="4"/>
  <c r="F222" i="4"/>
  <c r="J222" i="4"/>
  <c r="H221" i="4"/>
  <c r="K221" i="4"/>
  <c r="J221" i="4"/>
  <c r="G221" i="4"/>
  <c r="F221" i="4"/>
  <c r="K220" i="4"/>
  <c r="H220" i="4"/>
  <c r="J220" i="4"/>
  <c r="G220" i="4"/>
  <c r="F220" i="4"/>
  <c r="K219" i="4"/>
  <c r="H219" i="4"/>
  <c r="J219" i="4"/>
  <c r="G219" i="4"/>
  <c r="F219" i="4"/>
  <c r="H218" i="4"/>
  <c r="K218" i="4"/>
  <c r="J218" i="4"/>
  <c r="F218" i="4"/>
  <c r="G218" i="4"/>
  <c r="K217" i="4"/>
  <c r="H217" i="4"/>
  <c r="J217" i="4"/>
  <c r="G217" i="4"/>
  <c r="F217" i="4"/>
  <c r="K216" i="4"/>
  <c r="H216" i="4"/>
  <c r="J216" i="4"/>
  <c r="G216" i="4"/>
  <c r="F216" i="4"/>
  <c r="K215" i="4"/>
  <c r="H215" i="4"/>
  <c r="J215" i="4"/>
  <c r="G215" i="4"/>
  <c r="F215" i="4"/>
  <c r="K214" i="4"/>
  <c r="H214" i="4"/>
  <c r="J214" i="4"/>
  <c r="F214" i="4"/>
  <c r="G214" i="4"/>
  <c r="K213" i="4"/>
  <c r="H213" i="4"/>
  <c r="J213" i="4"/>
  <c r="G213" i="4"/>
  <c r="F213" i="4"/>
  <c r="K212" i="4"/>
  <c r="H212" i="4"/>
  <c r="J212" i="4"/>
  <c r="G212" i="4"/>
  <c r="F212" i="4"/>
  <c r="K211" i="4"/>
  <c r="H211" i="4"/>
  <c r="G211" i="4"/>
  <c r="J211" i="4"/>
  <c r="F211" i="4"/>
  <c r="H210" i="4"/>
  <c r="K210" i="4"/>
  <c r="G210" i="4"/>
  <c r="F210" i="4"/>
  <c r="J210" i="4"/>
  <c r="K209" i="4"/>
  <c r="H209" i="4"/>
  <c r="J209" i="4"/>
  <c r="G209" i="4"/>
  <c r="F209" i="4"/>
  <c r="K208" i="4"/>
  <c r="H208" i="4"/>
  <c r="J208" i="4"/>
  <c r="G208" i="4"/>
  <c r="F208" i="4"/>
  <c r="K207" i="4"/>
  <c r="H207" i="4"/>
  <c r="J207" i="4"/>
  <c r="G207" i="4"/>
  <c r="F207" i="4"/>
  <c r="H206" i="4"/>
  <c r="K206" i="4"/>
  <c r="J206" i="4"/>
  <c r="G206" i="4"/>
  <c r="F206" i="4"/>
  <c r="K205" i="4"/>
  <c r="H205" i="4"/>
  <c r="J205" i="4"/>
  <c r="G205" i="4"/>
  <c r="F205" i="4"/>
  <c r="K204" i="4"/>
  <c r="H204" i="4"/>
  <c r="J204" i="4"/>
  <c r="G204" i="4"/>
  <c r="F204" i="4"/>
  <c r="K203" i="4"/>
  <c r="H203" i="4"/>
  <c r="F203" i="4"/>
  <c r="G203" i="4"/>
  <c r="J203" i="4"/>
  <c r="K202" i="4"/>
  <c r="H202" i="4"/>
  <c r="J202" i="4"/>
  <c r="F202" i="4"/>
  <c r="G202" i="4"/>
  <c r="H201" i="4"/>
  <c r="K201" i="4"/>
  <c r="J201" i="4"/>
  <c r="G201" i="4"/>
  <c r="F201" i="4"/>
  <c r="K200" i="4"/>
  <c r="H200" i="4"/>
  <c r="J200" i="4"/>
  <c r="G200" i="4"/>
  <c r="F200" i="4"/>
  <c r="K199" i="4"/>
  <c r="H199" i="4"/>
  <c r="F199" i="4"/>
  <c r="G199" i="4"/>
  <c r="J199" i="4"/>
  <c r="K198" i="4"/>
  <c r="H198" i="4"/>
  <c r="J198" i="4"/>
  <c r="G198" i="4"/>
  <c r="F198" i="4"/>
  <c r="K197" i="4"/>
  <c r="H197" i="4"/>
  <c r="J197" i="4"/>
  <c r="G197" i="4"/>
  <c r="F197" i="4"/>
  <c r="K196" i="4"/>
  <c r="H196" i="4"/>
  <c r="J196" i="4"/>
  <c r="G196" i="4"/>
  <c r="F196" i="4"/>
  <c r="K195" i="4"/>
  <c r="H195" i="4"/>
  <c r="G195" i="4"/>
  <c r="J195" i="4"/>
  <c r="F195" i="4"/>
  <c r="K194" i="4"/>
  <c r="H194" i="4"/>
  <c r="J194" i="4"/>
  <c r="G194" i="4"/>
  <c r="F194" i="4"/>
  <c r="K193" i="4"/>
  <c r="H193" i="4"/>
  <c r="J193" i="4"/>
  <c r="G193" i="4"/>
  <c r="F193" i="4"/>
  <c r="K192" i="4"/>
  <c r="H192" i="4"/>
  <c r="G192" i="4"/>
  <c r="J192" i="4"/>
  <c r="F192" i="4"/>
  <c r="K191" i="4"/>
  <c r="H191" i="4"/>
  <c r="J191" i="4"/>
  <c r="G191" i="4"/>
  <c r="F191" i="4"/>
  <c r="K190" i="4"/>
  <c r="H190" i="4"/>
  <c r="J190" i="4"/>
  <c r="G190" i="4"/>
  <c r="F190" i="4"/>
  <c r="K189" i="4"/>
  <c r="H189" i="4"/>
  <c r="F189" i="4"/>
  <c r="J189" i="4"/>
  <c r="G189" i="4"/>
  <c r="H188" i="4"/>
  <c r="K188" i="4"/>
  <c r="J188" i="4"/>
  <c r="G188" i="4"/>
  <c r="F188" i="4"/>
  <c r="K187" i="4"/>
  <c r="H187" i="4"/>
  <c r="J187" i="4"/>
  <c r="G187" i="4"/>
  <c r="F187" i="4"/>
  <c r="K186" i="4"/>
  <c r="H186" i="4"/>
  <c r="J186" i="4"/>
  <c r="G186" i="4"/>
  <c r="F186" i="4"/>
  <c r="K185" i="4"/>
  <c r="H185" i="4"/>
  <c r="J185" i="4"/>
  <c r="G185" i="4"/>
  <c r="F185" i="4"/>
  <c r="K184" i="4"/>
  <c r="H184" i="4"/>
  <c r="J184" i="4"/>
  <c r="G184" i="4"/>
  <c r="F184" i="4"/>
  <c r="K183" i="4"/>
  <c r="H183" i="4"/>
  <c r="J183" i="4"/>
  <c r="G183" i="4"/>
  <c r="F183" i="4"/>
  <c r="K182" i="4"/>
  <c r="H182" i="4"/>
  <c r="J182" i="4"/>
  <c r="G182" i="4"/>
  <c r="F182" i="4"/>
  <c r="K181" i="4"/>
  <c r="H181" i="4"/>
  <c r="J181" i="4"/>
  <c r="G181" i="4"/>
  <c r="F181" i="4"/>
  <c r="H180" i="4"/>
  <c r="K180" i="4"/>
  <c r="J180" i="4"/>
  <c r="G180" i="4"/>
  <c r="F180" i="4"/>
  <c r="K179" i="4"/>
  <c r="H179" i="4"/>
  <c r="J179" i="4"/>
  <c r="G179" i="4"/>
  <c r="F179" i="4"/>
  <c r="K178" i="4"/>
  <c r="H178" i="4"/>
  <c r="J178" i="4"/>
  <c r="G178" i="4"/>
  <c r="F178" i="4"/>
  <c r="K177" i="4"/>
  <c r="H177" i="4"/>
  <c r="J177" i="4"/>
  <c r="G177" i="4"/>
  <c r="F177" i="4"/>
  <c r="H176" i="4"/>
  <c r="K176" i="4"/>
  <c r="J176" i="4"/>
  <c r="G176" i="4"/>
  <c r="F176" i="4"/>
  <c r="K175" i="4"/>
  <c r="H175" i="4"/>
  <c r="J175" i="4"/>
  <c r="G175" i="4"/>
  <c r="F175" i="4"/>
  <c r="K174" i="4"/>
  <c r="H174" i="4"/>
  <c r="J174" i="4"/>
  <c r="G174" i="4"/>
  <c r="F174" i="4"/>
  <c r="K173" i="4"/>
  <c r="H173" i="4"/>
  <c r="F173" i="4"/>
  <c r="J173" i="4"/>
  <c r="G173" i="4"/>
  <c r="K172" i="4"/>
  <c r="H172" i="4"/>
  <c r="F172" i="4"/>
  <c r="J172" i="4"/>
  <c r="G172" i="4"/>
  <c r="K171" i="4"/>
  <c r="H171" i="4"/>
  <c r="J171" i="4"/>
  <c r="G171" i="4"/>
  <c r="F171" i="4"/>
  <c r="K170" i="4"/>
  <c r="H170" i="4"/>
  <c r="J170" i="4"/>
  <c r="G170" i="4"/>
  <c r="F170" i="4"/>
  <c r="K169" i="4"/>
  <c r="H169" i="4"/>
  <c r="J169" i="4"/>
  <c r="G169" i="4"/>
  <c r="F169" i="4"/>
  <c r="K168" i="4"/>
  <c r="H168" i="4"/>
  <c r="F168" i="4"/>
  <c r="J168" i="4"/>
  <c r="G168" i="4"/>
  <c r="K167" i="4"/>
  <c r="H167" i="4"/>
  <c r="J167" i="4"/>
  <c r="G167" i="4"/>
  <c r="F167" i="4"/>
  <c r="K166" i="4"/>
  <c r="H166" i="4"/>
  <c r="J166" i="4"/>
  <c r="G166" i="4"/>
  <c r="F166" i="4"/>
  <c r="K165" i="4"/>
  <c r="H165" i="4"/>
  <c r="J165" i="4"/>
  <c r="G165" i="4"/>
  <c r="F165" i="4"/>
  <c r="K164" i="4"/>
  <c r="H164" i="4"/>
  <c r="F164" i="4"/>
  <c r="J164" i="4"/>
  <c r="G164" i="4"/>
  <c r="K163" i="4"/>
  <c r="H163" i="4"/>
  <c r="J163" i="4"/>
  <c r="G163" i="4"/>
  <c r="F163" i="4"/>
  <c r="K162" i="4"/>
  <c r="H162" i="4"/>
  <c r="J162" i="4"/>
  <c r="G162" i="4"/>
  <c r="F162" i="4"/>
  <c r="K161" i="4"/>
  <c r="H161" i="4"/>
  <c r="J161" i="4"/>
  <c r="G161" i="4"/>
  <c r="F161" i="4"/>
  <c r="H160" i="4"/>
  <c r="K160" i="4"/>
  <c r="G160" i="4"/>
  <c r="J160" i="4"/>
  <c r="F160" i="4"/>
  <c r="K159" i="4"/>
  <c r="H159" i="4"/>
  <c r="J159" i="4"/>
  <c r="G159" i="4"/>
  <c r="F159" i="4"/>
  <c r="K158" i="4"/>
  <c r="H158" i="4"/>
  <c r="J158" i="4"/>
  <c r="G158" i="4"/>
  <c r="F158" i="4"/>
  <c r="K157" i="4"/>
  <c r="H157" i="4"/>
  <c r="J157" i="4"/>
  <c r="G157" i="4"/>
  <c r="F157" i="4"/>
  <c r="H156" i="4"/>
  <c r="K156" i="4"/>
  <c r="J156" i="4"/>
  <c r="G156" i="4"/>
  <c r="F156" i="4"/>
  <c r="K155" i="4"/>
  <c r="H155" i="4"/>
  <c r="J155" i="4"/>
  <c r="G155" i="4"/>
  <c r="F155" i="4"/>
  <c r="K154" i="4"/>
  <c r="H154" i="4"/>
  <c r="J154" i="4"/>
  <c r="G154" i="4"/>
  <c r="F154" i="4"/>
  <c r="K153" i="4"/>
  <c r="H153" i="4"/>
  <c r="J153" i="4"/>
  <c r="G153" i="4"/>
  <c r="F153" i="4"/>
  <c r="H152" i="4"/>
  <c r="K152" i="4"/>
  <c r="F152" i="4"/>
  <c r="G152" i="4"/>
  <c r="J152" i="4"/>
  <c r="K151" i="4"/>
  <c r="H151" i="4"/>
  <c r="J151" i="4"/>
  <c r="G151" i="4"/>
  <c r="F151" i="4"/>
  <c r="K150" i="4"/>
  <c r="H150" i="4"/>
  <c r="J150" i="4"/>
  <c r="G150" i="4"/>
  <c r="F150" i="4"/>
  <c r="K149" i="4"/>
  <c r="H149" i="4"/>
  <c r="J149" i="4"/>
  <c r="G149" i="4"/>
  <c r="F149" i="4"/>
  <c r="H148" i="4"/>
  <c r="K148" i="4"/>
  <c r="G148" i="4"/>
  <c r="J148" i="4"/>
  <c r="F148" i="4"/>
  <c r="K147" i="4"/>
  <c r="H147" i="4"/>
  <c r="J147" i="4"/>
  <c r="G147" i="4"/>
  <c r="F147" i="4"/>
  <c r="K146" i="4"/>
  <c r="H146" i="4"/>
  <c r="J146" i="4"/>
  <c r="G146" i="4"/>
  <c r="F146" i="4"/>
  <c r="K145" i="4"/>
  <c r="H145" i="4"/>
  <c r="J145" i="4"/>
  <c r="G145" i="4"/>
  <c r="F145" i="4"/>
  <c r="K144" i="4"/>
  <c r="H144" i="4"/>
  <c r="F144" i="4"/>
  <c r="J144" i="4"/>
  <c r="G144" i="4"/>
  <c r="K143" i="4"/>
  <c r="H143" i="4"/>
  <c r="J143" i="4"/>
  <c r="G143" i="4"/>
  <c r="F143" i="4"/>
  <c r="K142" i="4"/>
  <c r="H142" i="4"/>
  <c r="J142" i="4"/>
  <c r="G142" i="4"/>
  <c r="F142" i="4"/>
  <c r="K141" i="4"/>
  <c r="H141" i="4"/>
  <c r="J141" i="4"/>
  <c r="G141" i="4"/>
  <c r="F141" i="4"/>
  <c r="H140" i="4"/>
  <c r="K140" i="4"/>
  <c r="G140" i="4"/>
  <c r="F140" i="4"/>
  <c r="J140" i="4"/>
  <c r="K139" i="4"/>
  <c r="H139" i="4"/>
  <c r="J139" i="4"/>
  <c r="F139" i="4"/>
  <c r="G139" i="4"/>
  <c r="K138" i="4"/>
  <c r="H138" i="4"/>
  <c r="J138" i="4"/>
  <c r="G138" i="4"/>
  <c r="F138" i="4"/>
  <c r="K137" i="4"/>
  <c r="H137" i="4"/>
  <c r="J137" i="4"/>
  <c r="G137" i="4"/>
  <c r="F137" i="4"/>
  <c r="H136" i="4"/>
  <c r="K136" i="4"/>
  <c r="G136" i="4"/>
  <c r="J136" i="4"/>
  <c r="F136" i="4"/>
  <c r="K135" i="4"/>
  <c r="H135" i="4"/>
  <c r="J135" i="4"/>
  <c r="G135" i="4"/>
  <c r="F135" i="4"/>
  <c r="K134" i="4"/>
  <c r="H134" i="4"/>
  <c r="J134" i="4"/>
  <c r="G134" i="4"/>
  <c r="F134" i="4"/>
  <c r="K133" i="4"/>
  <c r="H133" i="4"/>
  <c r="F133" i="4"/>
  <c r="J133" i="4"/>
  <c r="G133" i="4"/>
  <c r="H132" i="4"/>
  <c r="K132" i="4"/>
  <c r="G132" i="4"/>
  <c r="J132" i="4"/>
  <c r="F132" i="4"/>
  <c r="H131" i="4"/>
  <c r="K131" i="4"/>
  <c r="J131" i="4"/>
  <c r="F131" i="4"/>
  <c r="G131" i="4"/>
  <c r="K130" i="4"/>
  <c r="H130" i="4"/>
  <c r="J130" i="4"/>
  <c r="G130" i="4"/>
  <c r="F130" i="4"/>
  <c r="K129" i="4"/>
  <c r="H129" i="4"/>
  <c r="J129" i="4"/>
  <c r="G129" i="4"/>
  <c r="F129" i="4"/>
  <c r="K128" i="4"/>
  <c r="H128" i="4"/>
  <c r="G128" i="4"/>
  <c r="J128" i="4"/>
  <c r="F128" i="4"/>
  <c r="K127" i="4"/>
  <c r="H127" i="4"/>
  <c r="J127" i="4"/>
  <c r="G127" i="4"/>
  <c r="F127" i="4"/>
  <c r="K126" i="4"/>
  <c r="H126" i="4"/>
  <c r="J126" i="4"/>
  <c r="G126" i="4"/>
  <c r="F126" i="4"/>
  <c r="K125" i="4"/>
  <c r="H125" i="4"/>
  <c r="J125" i="4"/>
  <c r="G125" i="4"/>
  <c r="F125" i="4"/>
  <c r="H124" i="4"/>
  <c r="K124" i="4"/>
  <c r="G124" i="4"/>
  <c r="F124" i="4"/>
  <c r="J124" i="4"/>
  <c r="K123" i="4"/>
  <c r="H123" i="4"/>
  <c r="G123" i="4"/>
  <c r="J123" i="4"/>
  <c r="F123" i="4"/>
  <c r="H122" i="4"/>
  <c r="K122" i="4"/>
  <c r="F122" i="4"/>
  <c r="G122" i="4"/>
  <c r="J122" i="4"/>
  <c r="H121" i="4"/>
  <c r="K121" i="4"/>
  <c r="F121" i="4"/>
  <c r="G121" i="4"/>
  <c r="J121" i="4"/>
  <c r="H120" i="4"/>
  <c r="K120" i="4"/>
  <c r="F120" i="4"/>
  <c r="G120" i="4"/>
  <c r="J120" i="4"/>
  <c r="H119" i="4"/>
  <c r="K119" i="4"/>
  <c r="F119" i="4"/>
  <c r="G119" i="4"/>
  <c r="J119" i="4"/>
  <c r="H118" i="4"/>
  <c r="K118" i="4"/>
  <c r="F118" i="4"/>
  <c r="G118" i="4"/>
  <c r="J118" i="4"/>
  <c r="K117" i="4"/>
  <c r="H117" i="4"/>
  <c r="J117" i="4"/>
  <c r="F117" i="4"/>
  <c r="G117" i="4"/>
  <c r="H116" i="4"/>
  <c r="K116" i="4"/>
  <c r="F116" i="4"/>
  <c r="G116" i="4"/>
  <c r="J116" i="4"/>
  <c r="K115" i="4"/>
  <c r="H115" i="4"/>
  <c r="G115" i="4"/>
  <c r="J115" i="4"/>
  <c r="F115" i="4"/>
  <c r="K114" i="4"/>
  <c r="H114" i="4"/>
  <c r="J114" i="4"/>
  <c r="G114" i="4"/>
  <c r="F114" i="4"/>
  <c r="K113" i="4"/>
  <c r="H113" i="4"/>
  <c r="J113" i="4"/>
  <c r="G113" i="4"/>
  <c r="F113" i="4"/>
  <c r="F112" i="4"/>
  <c r="H112" i="4"/>
  <c r="K112" i="4"/>
  <c r="H111" i="4"/>
  <c r="K111" i="4"/>
  <c r="J111" i="4"/>
  <c r="F111" i="4"/>
  <c r="G111" i="4"/>
  <c r="H110" i="4"/>
  <c r="K110" i="4"/>
  <c r="F110" i="4"/>
  <c r="G110" i="4"/>
  <c r="J110" i="4"/>
  <c r="K109" i="4"/>
  <c r="H109" i="4"/>
  <c r="J109" i="4"/>
  <c r="G109" i="4"/>
  <c r="F109" i="4"/>
  <c r="K108" i="4"/>
  <c r="H108" i="4"/>
  <c r="J108" i="4"/>
  <c r="G108" i="4"/>
  <c r="F108" i="4"/>
  <c r="K107" i="4"/>
  <c r="H107" i="4"/>
  <c r="J107" i="4"/>
  <c r="G107" i="4"/>
  <c r="F107" i="4"/>
  <c r="H106" i="4"/>
  <c r="K106" i="4"/>
  <c r="G106" i="4"/>
  <c r="J106" i="4"/>
  <c r="F106" i="4"/>
  <c r="K105" i="4"/>
  <c r="H105" i="4"/>
  <c r="J105" i="4"/>
  <c r="G105" i="4"/>
  <c r="F105" i="4"/>
  <c r="K104" i="4"/>
  <c r="H104" i="4"/>
  <c r="J104" i="4"/>
  <c r="G104" i="4"/>
  <c r="F104" i="4"/>
  <c r="K103" i="4"/>
  <c r="H103" i="4"/>
  <c r="J103" i="4"/>
  <c r="G103" i="4"/>
  <c r="F103" i="4"/>
  <c r="K102" i="4"/>
  <c r="H102" i="4"/>
  <c r="J102" i="4"/>
  <c r="G102" i="4"/>
  <c r="F102" i="4"/>
  <c r="K101" i="4"/>
  <c r="H101" i="4"/>
  <c r="J101" i="4"/>
  <c r="G101" i="4"/>
  <c r="F101" i="4"/>
  <c r="K100" i="4"/>
  <c r="H100" i="4"/>
  <c r="J100" i="4"/>
  <c r="G100" i="4"/>
  <c r="F100" i="4"/>
  <c r="K99" i="4"/>
  <c r="H99" i="4"/>
  <c r="J99" i="4"/>
  <c r="G99" i="4"/>
  <c r="F99" i="4"/>
  <c r="K98" i="4"/>
  <c r="H98" i="4"/>
  <c r="J98" i="4"/>
  <c r="G98" i="4"/>
  <c r="F98" i="4"/>
  <c r="K97" i="4"/>
  <c r="H97" i="4"/>
  <c r="J97" i="4"/>
  <c r="G97" i="4"/>
  <c r="F97" i="4"/>
  <c r="K96" i="4"/>
  <c r="H96" i="4"/>
  <c r="J96" i="4"/>
  <c r="G96" i="4"/>
  <c r="F96" i="4"/>
  <c r="K95" i="4"/>
  <c r="H95" i="4"/>
  <c r="J95" i="4"/>
  <c r="G95" i="4"/>
  <c r="F95" i="4"/>
  <c r="K94" i="4"/>
  <c r="H94" i="4"/>
  <c r="J94" i="4"/>
  <c r="G94" i="4"/>
  <c r="F94" i="4"/>
  <c r="K93" i="4"/>
  <c r="H93" i="4"/>
  <c r="J93" i="4"/>
  <c r="G93" i="4"/>
  <c r="F93" i="4"/>
  <c r="K92" i="4"/>
  <c r="H92" i="4"/>
  <c r="J92" i="4"/>
  <c r="G92" i="4"/>
  <c r="F92" i="4"/>
  <c r="K91" i="4"/>
  <c r="H91" i="4"/>
  <c r="J91" i="4"/>
  <c r="G91" i="4"/>
  <c r="F91" i="4"/>
  <c r="H90" i="4"/>
  <c r="K90" i="4"/>
  <c r="J90" i="4"/>
  <c r="G90" i="4"/>
  <c r="F90" i="4"/>
  <c r="K89" i="4"/>
  <c r="H89" i="4"/>
  <c r="J89" i="4"/>
  <c r="G89" i="4"/>
  <c r="F89" i="4"/>
  <c r="K88" i="4"/>
  <c r="H88" i="4"/>
  <c r="J88" i="4"/>
  <c r="G88" i="4"/>
  <c r="F88" i="4"/>
  <c r="K87" i="4"/>
  <c r="H87" i="4"/>
  <c r="J87" i="4"/>
  <c r="G87" i="4"/>
  <c r="F87" i="4"/>
  <c r="H86" i="4"/>
  <c r="K86" i="4"/>
  <c r="G86" i="4"/>
  <c r="F86" i="4"/>
  <c r="J86" i="4"/>
  <c r="K85" i="4"/>
  <c r="H85" i="4"/>
  <c r="J85" i="4"/>
  <c r="G85" i="4"/>
  <c r="F85" i="4"/>
  <c r="K84" i="4"/>
  <c r="H84" i="4"/>
  <c r="J84" i="4"/>
  <c r="G84" i="4"/>
  <c r="F84" i="4"/>
  <c r="K83" i="4"/>
  <c r="H83" i="4"/>
  <c r="J83" i="4"/>
  <c r="G83" i="4"/>
  <c r="F83" i="4"/>
  <c r="H82" i="4"/>
  <c r="K82" i="4"/>
  <c r="J82" i="4"/>
  <c r="G82" i="4"/>
  <c r="F82" i="4"/>
  <c r="K81" i="4"/>
  <c r="H81" i="4"/>
  <c r="J81" i="4"/>
  <c r="G81" i="4"/>
  <c r="F81" i="4"/>
  <c r="K80" i="4"/>
  <c r="H80" i="4"/>
  <c r="J80" i="4"/>
  <c r="G80" i="4"/>
  <c r="F80" i="4"/>
  <c r="K79" i="4"/>
  <c r="H79" i="4"/>
  <c r="J79" i="4"/>
  <c r="G79" i="4"/>
  <c r="F79" i="4"/>
  <c r="K78" i="4"/>
  <c r="H78" i="4"/>
  <c r="J78" i="4"/>
  <c r="G78" i="4"/>
  <c r="F78" i="4"/>
  <c r="K77" i="4"/>
  <c r="H77" i="4"/>
  <c r="J77" i="4"/>
  <c r="G77" i="4"/>
  <c r="F77" i="4"/>
  <c r="K76" i="4"/>
  <c r="H76" i="4"/>
  <c r="J76" i="4"/>
  <c r="G76" i="4"/>
  <c r="F76" i="4"/>
  <c r="K75" i="4"/>
  <c r="H75" i="4"/>
  <c r="J75" i="4"/>
  <c r="G75" i="4"/>
  <c r="F75" i="4"/>
  <c r="K74" i="4"/>
  <c r="H74" i="4"/>
  <c r="J74" i="4"/>
  <c r="F74" i="4"/>
  <c r="G74" i="4"/>
  <c r="K73" i="4"/>
  <c r="H73" i="4"/>
  <c r="J73" i="4"/>
  <c r="G73" i="4"/>
  <c r="F73" i="4"/>
  <c r="K72" i="4"/>
  <c r="H72" i="4"/>
  <c r="J72" i="4"/>
  <c r="G72" i="4"/>
  <c r="F72" i="4"/>
  <c r="K71" i="4"/>
  <c r="H71" i="4"/>
  <c r="J71" i="4"/>
  <c r="G71" i="4"/>
  <c r="F71" i="4"/>
  <c r="H70" i="4"/>
  <c r="K70" i="4"/>
  <c r="J70" i="4"/>
  <c r="G70" i="4"/>
  <c r="F70" i="4"/>
  <c r="K69" i="4"/>
  <c r="H69" i="4"/>
  <c r="J69" i="4"/>
  <c r="G69" i="4"/>
  <c r="F69" i="4"/>
  <c r="K68" i="4"/>
  <c r="H68" i="4"/>
  <c r="J68" i="4"/>
  <c r="G68" i="4"/>
  <c r="F68" i="4"/>
  <c r="K67" i="4"/>
  <c r="H67" i="4"/>
  <c r="J67" i="4"/>
  <c r="G67" i="4"/>
  <c r="F67" i="4"/>
  <c r="K66" i="4"/>
  <c r="H66" i="4"/>
  <c r="F66" i="4"/>
  <c r="J66" i="4"/>
  <c r="G66" i="4"/>
  <c r="K65" i="4"/>
  <c r="H65" i="4"/>
  <c r="J65" i="4"/>
  <c r="G65" i="4"/>
  <c r="F65" i="4"/>
  <c r="K64" i="4"/>
  <c r="H64" i="4"/>
  <c r="J64" i="4"/>
  <c r="G64" i="4"/>
  <c r="F64" i="4"/>
  <c r="K63" i="4"/>
  <c r="H63" i="4"/>
  <c r="J63" i="4"/>
  <c r="G63" i="4"/>
  <c r="F63" i="4"/>
  <c r="H62" i="4"/>
  <c r="K62" i="4"/>
  <c r="F62" i="4"/>
  <c r="G62" i="4"/>
  <c r="J62" i="4"/>
  <c r="K61" i="4"/>
  <c r="H61" i="4"/>
  <c r="J61" i="4"/>
  <c r="G61" i="4"/>
  <c r="F61" i="4"/>
  <c r="K60" i="4"/>
  <c r="H60" i="4"/>
  <c r="J60" i="4"/>
  <c r="G60" i="4"/>
  <c r="F60" i="4"/>
  <c r="K59" i="4"/>
  <c r="H59" i="4"/>
  <c r="J59" i="4"/>
  <c r="G59" i="4"/>
  <c r="F59" i="4"/>
  <c r="K58" i="4"/>
  <c r="H58" i="4"/>
  <c r="J58" i="4"/>
  <c r="G58" i="4"/>
  <c r="F58" i="4"/>
  <c r="K57" i="4"/>
  <c r="H57" i="4"/>
  <c r="G57" i="4"/>
  <c r="F57" i="4"/>
  <c r="J57" i="4"/>
  <c r="K56" i="4"/>
  <c r="H56" i="4"/>
  <c r="J56" i="4"/>
  <c r="G56" i="4"/>
  <c r="F56" i="4"/>
  <c r="K55" i="4"/>
  <c r="H55" i="4"/>
  <c r="J55" i="4"/>
  <c r="G55" i="4"/>
  <c r="F55" i="4"/>
  <c r="H54" i="4"/>
  <c r="K54" i="4"/>
  <c r="F54" i="4"/>
  <c r="G54" i="4"/>
  <c r="J54" i="4"/>
  <c r="K53" i="4"/>
  <c r="H53" i="4"/>
  <c r="J53" i="4"/>
  <c r="G53" i="4"/>
  <c r="F53" i="4"/>
  <c r="K52" i="4"/>
  <c r="H52" i="4"/>
  <c r="J52" i="4"/>
  <c r="G52" i="4"/>
  <c r="F52" i="4"/>
  <c r="K51" i="4"/>
  <c r="H51" i="4"/>
  <c r="J51" i="4"/>
  <c r="G51" i="4"/>
  <c r="F51" i="4"/>
  <c r="K50" i="4"/>
  <c r="H50" i="4"/>
  <c r="F50" i="4"/>
  <c r="G50" i="4"/>
  <c r="J50" i="4"/>
  <c r="K49" i="4"/>
  <c r="H49" i="4"/>
  <c r="J49" i="4"/>
  <c r="G49" i="4"/>
  <c r="F49" i="4"/>
  <c r="K48" i="4"/>
  <c r="H48" i="4"/>
  <c r="J48" i="4"/>
  <c r="G48" i="4"/>
  <c r="F48" i="4"/>
  <c r="K47" i="4"/>
  <c r="H47" i="4"/>
  <c r="J47" i="4"/>
  <c r="G47" i="4"/>
  <c r="F47" i="4"/>
  <c r="H46" i="4"/>
  <c r="K46" i="4"/>
  <c r="J46" i="4"/>
  <c r="G46" i="4"/>
  <c r="F46" i="4"/>
  <c r="K45" i="4"/>
  <c r="H45" i="4"/>
  <c r="J45" i="4"/>
  <c r="G45" i="4"/>
  <c r="F45" i="4"/>
  <c r="K44" i="4"/>
  <c r="H44" i="4"/>
  <c r="J44" i="4"/>
  <c r="G44" i="4"/>
  <c r="F44" i="4"/>
  <c r="K43" i="4"/>
  <c r="H43" i="4"/>
  <c r="J43" i="4"/>
  <c r="G43" i="4"/>
  <c r="F43" i="4"/>
  <c r="K42" i="4"/>
  <c r="H42" i="4"/>
  <c r="F42" i="4"/>
  <c r="J42" i="4"/>
  <c r="G42" i="4"/>
  <c r="H41" i="4"/>
  <c r="K41" i="4"/>
  <c r="J41" i="4"/>
  <c r="F41" i="4"/>
  <c r="G41" i="4"/>
  <c r="K40" i="4"/>
  <c r="H40" i="4"/>
  <c r="J40" i="4"/>
  <c r="G40" i="4"/>
  <c r="F40" i="4"/>
  <c r="K39" i="4"/>
  <c r="H39" i="4"/>
  <c r="J39" i="4"/>
  <c r="G39" i="4"/>
  <c r="F39" i="4"/>
  <c r="H38" i="4"/>
  <c r="K38" i="4"/>
  <c r="J38" i="4"/>
  <c r="G38" i="4"/>
  <c r="F38" i="4"/>
  <c r="K37" i="4"/>
  <c r="H37" i="4"/>
  <c r="J37" i="4"/>
  <c r="G37" i="4"/>
  <c r="F37" i="4"/>
  <c r="K36" i="4"/>
  <c r="H36" i="4"/>
  <c r="J36" i="4"/>
  <c r="G36" i="4"/>
  <c r="F36" i="4"/>
  <c r="H35" i="4"/>
  <c r="K35" i="4"/>
  <c r="F35" i="4"/>
  <c r="J35" i="4"/>
  <c r="G35" i="4"/>
  <c r="H34" i="4"/>
  <c r="K34" i="4"/>
  <c r="F34" i="4"/>
  <c r="J34" i="4"/>
  <c r="G34" i="4"/>
  <c r="H33" i="4"/>
  <c r="K33" i="4"/>
  <c r="F33" i="4"/>
  <c r="J33" i="4"/>
  <c r="G33" i="4"/>
  <c r="H32" i="4"/>
  <c r="K32" i="4"/>
  <c r="F32" i="4"/>
  <c r="J32" i="4"/>
  <c r="G32" i="4"/>
  <c r="K31" i="4"/>
  <c r="H31" i="4"/>
  <c r="J31" i="4"/>
  <c r="G31" i="4"/>
  <c r="F31" i="4"/>
  <c r="K30" i="4"/>
  <c r="H30" i="4"/>
  <c r="F30" i="4"/>
  <c r="J30" i="4"/>
  <c r="G30" i="4"/>
  <c r="H29" i="4"/>
  <c r="K29" i="4"/>
  <c r="J29" i="4"/>
  <c r="G29" i="4"/>
  <c r="F29" i="4"/>
  <c r="H28" i="4"/>
  <c r="K28" i="4"/>
  <c r="J28" i="4"/>
  <c r="G28" i="4"/>
  <c r="F28" i="4"/>
  <c r="K27" i="4"/>
  <c r="H27" i="4"/>
  <c r="J27" i="4"/>
  <c r="G27" i="4"/>
  <c r="F27" i="4"/>
  <c r="H26" i="4"/>
  <c r="K26" i="4"/>
  <c r="F26" i="4"/>
  <c r="J26" i="4"/>
  <c r="G26" i="4"/>
  <c r="K25" i="4"/>
  <c r="H25" i="4"/>
  <c r="F25" i="4"/>
  <c r="G25" i="4"/>
  <c r="J25" i="4"/>
  <c r="H24" i="4"/>
  <c r="K24" i="4"/>
  <c r="J24" i="4"/>
  <c r="G24" i="4"/>
  <c r="F24" i="4"/>
  <c r="K23" i="4"/>
  <c r="H23" i="4"/>
  <c r="G23" i="4"/>
  <c r="F23" i="4"/>
  <c r="J23" i="4"/>
  <c r="K22" i="4"/>
  <c r="H22" i="4"/>
  <c r="J22" i="4"/>
  <c r="G22" i="4"/>
  <c r="F22" i="4"/>
  <c r="H21" i="4"/>
  <c r="K21" i="4"/>
  <c r="J21" i="4"/>
  <c r="G21" i="4"/>
  <c r="F21" i="4"/>
  <c r="K20" i="4"/>
  <c r="H20" i="4"/>
  <c r="G20" i="4"/>
  <c r="F20" i="4"/>
  <c r="J20" i="4"/>
  <c r="K19" i="4"/>
  <c r="H19" i="4"/>
  <c r="J19" i="4"/>
  <c r="G19" i="4"/>
  <c r="F19" i="4"/>
  <c r="K18" i="4"/>
  <c r="H18" i="4"/>
  <c r="J18" i="4"/>
  <c r="G18" i="4"/>
  <c r="F18" i="4"/>
  <c r="K17" i="4"/>
  <c r="H17" i="4"/>
  <c r="J17" i="4"/>
  <c r="G17" i="4"/>
  <c r="F17" i="4"/>
  <c r="H16" i="4"/>
  <c r="K16" i="4"/>
  <c r="J16" i="4"/>
  <c r="F16" i="4"/>
  <c r="G16" i="4"/>
  <c r="K15" i="4"/>
  <c r="H15" i="4"/>
  <c r="J15" i="4"/>
  <c r="G15" i="4"/>
  <c r="F15" i="4"/>
  <c r="K14" i="4"/>
  <c r="H14" i="4"/>
  <c r="J14" i="4"/>
  <c r="G14" i="4"/>
  <c r="F14" i="4"/>
  <c r="J13" i="4"/>
  <c r="F13" i="4"/>
  <c r="J12" i="4"/>
  <c r="F12" i="4"/>
  <c r="J11" i="4"/>
  <c r="F11" i="4"/>
  <c r="F10" i="4"/>
  <c r="J10" i="4"/>
  <c r="J9" i="4"/>
  <c r="F9" i="4"/>
  <c r="J8" i="4"/>
  <c r="F8" i="4"/>
  <c r="J7" i="4"/>
  <c r="F7" i="4"/>
  <c r="J6" i="4"/>
  <c r="F6" i="4"/>
  <c r="J5" i="4"/>
  <c r="F5" i="4"/>
  <c r="J4" i="4"/>
  <c r="F4" i="4"/>
  <c r="J3" i="4"/>
  <c r="F3" i="4"/>
  <c r="M2" i="4"/>
  <c r="N2" i="4"/>
  <c r="K124" i="3"/>
  <c r="L124" i="3"/>
  <c r="C123" i="3"/>
  <c r="C125" i="3" s="1"/>
  <c r="B123" i="3"/>
  <c r="I117" i="3"/>
  <c r="F117" i="3"/>
  <c r="H117" i="3"/>
  <c r="E117" i="3"/>
  <c r="D117" i="3"/>
  <c r="I116" i="3"/>
  <c r="F116" i="3"/>
  <c r="H116" i="3"/>
  <c r="E116" i="3"/>
  <c r="D116" i="3"/>
  <c r="I115" i="3"/>
  <c r="F115" i="3"/>
  <c r="H115" i="3"/>
  <c r="E115" i="3"/>
  <c r="D115" i="3"/>
  <c r="F114" i="3"/>
  <c r="I114" i="3"/>
  <c r="H114" i="3"/>
  <c r="E114" i="3"/>
  <c r="D114" i="3"/>
  <c r="I113" i="3"/>
  <c r="F113" i="3"/>
  <c r="H113" i="3"/>
  <c r="E113" i="3"/>
  <c r="D113" i="3"/>
  <c r="F112" i="3"/>
  <c r="I112" i="3"/>
  <c r="D112" i="3"/>
  <c r="E112" i="3"/>
  <c r="H112" i="3"/>
  <c r="I111" i="3"/>
  <c r="F111" i="3"/>
  <c r="H111" i="3"/>
  <c r="E111" i="3"/>
  <c r="D111" i="3"/>
  <c r="I110" i="3"/>
  <c r="F110" i="3"/>
  <c r="H110" i="3"/>
  <c r="E110" i="3"/>
  <c r="D110" i="3"/>
  <c r="I109" i="3"/>
  <c r="F109" i="3"/>
  <c r="D109" i="3"/>
  <c r="E109" i="3"/>
  <c r="H109" i="3"/>
  <c r="F108" i="3"/>
  <c r="I108" i="3"/>
  <c r="H108" i="3"/>
  <c r="D108" i="3"/>
  <c r="E108" i="3"/>
  <c r="I107" i="3"/>
  <c r="F107" i="3"/>
  <c r="H107" i="3"/>
  <c r="E107" i="3"/>
  <c r="D107" i="3"/>
  <c r="I106" i="3"/>
  <c r="F106" i="3"/>
  <c r="H106" i="3"/>
  <c r="E106" i="3"/>
  <c r="D106" i="3"/>
  <c r="I105" i="3"/>
  <c r="F105" i="3"/>
  <c r="D105" i="3"/>
  <c r="E105" i="3"/>
  <c r="H105" i="3"/>
  <c r="F104" i="3"/>
  <c r="I104" i="3"/>
  <c r="H104" i="3"/>
  <c r="E104" i="3"/>
  <c r="D104" i="3"/>
  <c r="I103" i="3"/>
  <c r="F103" i="3"/>
  <c r="H103" i="3"/>
  <c r="E103" i="3"/>
  <c r="D103" i="3"/>
  <c r="I102" i="3"/>
  <c r="F102" i="3"/>
  <c r="H102" i="3"/>
  <c r="D102" i="3"/>
  <c r="E102" i="3"/>
  <c r="I101" i="3"/>
  <c r="F101" i="3"/>
  <c r="H101" i="3"/>
  <c r="E101" i="3"/>
  <c r="D101" i="3"/>
  <c r="I100" i="3"/>
  <c r="F100" i="3"/>
  <c r="H100" i="3"/>
  <c r="E100" i="3"/>
  <c r="D100" i="3"/>
  <c r="I99" i="3"/>
  <c r="F99" i="3"/>
  <c r="H99" i="3"/>
  <c r="E99" i="3"/>
  <c r="D99" i="3"/>
  <c r="I98" i="3"/>
  <c r="F98" i="3"/>
  <c r="H98" i="3"/>
  <c r="E98" i="3"/>
  <c r="D98" i="3"/>
  <c r="F97" i="3"/>
  <c r="I97" i="3"/>
  <c r="E97" i="3"/>
  <c r="D97" i="3"/>
  <c r="H97" i="3"/>
  <c r="I96" i="3"/>
  <c r="F96" i="3"/>
  <c r="H96" i="3"/>
  <c r="E96" i="3"/>
  <c r="D96" i="3"/>
  <c r="I95" i="3"/>
  <c r="F95" i="3"/>
  <c r="H95" i="3"/>
  <c r="E95" i="3"/>
  <c r="D95" i="3"/>
  <c r="F94" i="3"/>
  <c r="I94" i="3"/>
  <c r="E94" i="3"/>
  <c r="D94" i="3"/>
  <c r="H94" i="3"/>
  <c r="I93" i="3"/>
  <c r="F93" i="3"/>
  <c r="H93" i="3"/>
  <c r="E93" i="3"/>
  <c r="D93" i="3"/>
  <c r="I92" i="3"/>
  <c r="F92" i="3"/>
  <c r="E92" i="3"/>
  <c r="H92" i="3"/>
  <c r="D92" i="3"/>
  <c r="I91" i="3"/>
  <c r="F91" i="3"/>
  <c r="H91" i="3"/>
  <c r="E91" i="3"/>
  <c r="D91" i="3"/>
  <c r="I90" i="3"/>
  <c r="F90" i="3"/>
  <c r="H90" i="3"/>
  <c r="E90" i="3"/>
  <c r="D90" i="3"/>
  <c r="F89" i="3"/>
  <c r="I89" i="3"/>
  <c r="E89" i="3"/>
  <c r="D89" i="3"/>
  <c r="H89" i="3"/>
  <c r="I88" i="3"/>
  <c r="F88" i="3"/>
  <c r="H88" i="3"/>
  <c r="E88" i="3"/>
  <c r="D88" i="3"/>
  <c r="I87" i="3"/>
  <c r="F87" i="3"/>
  <c r="E87" i="3"/>
  <c r="H87" i="3"/>
  <c r="D87" i="3"/>
  <c r="I86" i="3"/>
  <c r="F86" i="3"/>
  <c r="H86" i="3"/>
  <c r="E86" i="3"/>
  <c r="D86" i="3"/>
  <c r="I85" i="3"/>
  <c r="F85" i="3"/>
  <c r="H85" i="3"/>
  <c r="E85" i="3"/>
  <c r="D85" i="3"/>
  <c r="I84" i="3"/>
  <c r="F84" i="3"/>
  <c r="H84" i="3"/>
  <c r="E84" i="3"/>
  <c r="D84" i="3"/>
  <c r="I83" i="3"/>
  <c r="F83" i="3"/>
  <c r="D83" i="3"/>
  <c r="H83" i="3"/>
  <c r="E83" i="3"/>
  <c r="F82" i="3"/>
  <c r="I82" i="3"/>
  <c r="D82" i="3"/>
  <c r="H82" i="3"/>
  <c r="E82" i="3"/>
  <c r="F81" i="3"/>
  <c r="I81" i="3"/>
  <c r="H81" i="3"/>
  <c r="E81" i="3"/>
  <c r="D81" i="3"/>
  <c r="I80" i="3"/>
  <c r="F80" i="3"/>
  <c r="H80" i="3"/>
  <c r="E80" i="3"/>
  <c r="D80" i="3"/>
  <c r="I79" i="3"/>
  <c r="F79" i="3"/>
  <c r="H79" i="3"/>
  <c r="E79" i="3"/>
  <c r="D79" i="3"/>
  <c r="I78" i="3"/>
  <c r="F78" i="3"/>
  <c r="H78" i="3"/>
  <c r="E78" i="3"/>
  <c r="D78" i="3"/>
  <c r="I77" i="3"/>
  <c r="F77" i="3"/>
  <c r="D77" i="3"/>
  <c r="H77" i="3"/>
  <c r="E77" i="3"/>
  <c r="F76" i="3"/>
  <c r="I76" i="3"/>
  <c r="D76" i="3"/>
  <c r="H76" i="3"/>
  <c r="E76" i="3"/>
  <c r="F75" i="3"/>
  <c r="I75" i="3"/>
  <c r="D75" i="3"/>
  <c r="H75" i="3"/>
  <c r="E75" i="3"/>
  <c r="I74" i="3"/>
  <c r="F74" i="3"/>
  <c r="H74" i="3"/>
  <c r="E74" i="3"/>
  <c r="D74" i="3"/>
  <c r="I73" i="3"/>
  <c r="F73" i="3"/>
  <c r="H73" i="3"/>
  <c r="E73" i="3"/>
  <c r="D73" i="3"/>
  <c r="I72" i="3"/>
  <c r="F72" i="3"/>
  <c r="H72" i="3"/>
  <c r="E72" i="3"/>
  <c r="D72" i="3"/>
  <c r="F71" i="3"/>
  <c r="I71" i="3"/>
  <c r="D71" i="3"/>
  <c r="E71" i="3"/>
  <c r="H71" i="3"/>
  <c r="I70" i="3"/>
  <c r="F70" i="3"/>
  <c r="H70" i="3"/>
  <c r="E70" i="3"/>
  <c r="D70" i="3"/>
  <c r="I69" i="3"/>
  <c r="F69" i="3"/>
  <c r="D69" i="3"/>
  <c r="H69" i="3"/>
  <c r="E69" i="3"/>
  <c r="I68" i="3"/>
  <c r="F68" i="3"/>
  <c r="H68" i="3"/>
  <c r="E68" i="3"/>
  <c r="D68" i="3"/>
  <c r="I67" i="3"/>
  <c r="F67" i="3"/>
  <c r="H67" i="3"/>
  <c r="E67" i="3"/>
  <c r="D67" i="3"/>
  <c r="I66" i="3"/>
  <c r="F66" i="3"/>
  <c r="D66" i="3"/>
  <c r="H66" i="3"/>
  <c r="E66" i="3"/>
  <c r="F65" i="3"/>
  <c r="I65" i="3"/>
  <c r="D65" i="3"/>
  <c r="E65" i="3"/>
  <c r="H65" i="3"/>
  <c r="I64" i="3"/>
  <c r="F64" i="3"/>
  <c r="H64" i="3"/>
  <c r="E64" i="3"/>
  <c r="D64" i="3"/>
  <c r="I63" i="3"/>
  <c r="F63" i="3"/>
  <c r="H63" i="3"/>
  <c r="E63" i="3"/>
  <c r="D63" i="3"/>
  <c r="I62" i="3"/>
  <c r="F62" i="3"/>
  <c r="H62" i="3"/>
  <c r="E62" i="3"/>
  <c r="D62" i="3"/>
  <c r="I61" i="3"/>
  <c r="F61" i="3"/>
  <c r="D61" i="3"/>
  <c r="H61" i="3"/>
  <c r="E61" i="3"/>
  <c r="F60" i="3"/>
  <c r="I60" i="3"/>
  <c r="D60" i="3"/>
  <c r="H60" i="3"/>
  <c r="E60" i="3"/>
  <c r="I59" i="3"/>
  <c r="F59" i="3"/>
  <c r="H59" i="3"/>
  <c r="E59" i="3"/>
  <c r="D59" i="3"/>
  <c r="I58" i="3"/>
  <c r="F58" i="3"/>
  <c r="H58" i="3"/>
  <c r="E58" i="3"/>
  <c r="D58" i="3"/>
  <c r="F57" i="3"/>
  <c r="I57" i="3"/>
  <c r="H57" i="3"/>
  <c r="E57" i="3"/>
  <c r="D57" i="3"/>
  <c r="I56" i="3"/>
  <c r="F56" i="3"/>
  <c r="H56" i="3"/>
  <c r="E56" i="3"/>
  <c r="D56" i="3"/>
  <c r="I55" i="3"/>
  <c r="F55" i="3"/>
  <c r="D55" i="3"/>
  <c r="E55" i="3"/>
  <c r="H55" i="3"/>
  <c r="F54" i="3"/>
  <c r="I54" i="3"/>
  <c r="D54" i="3"/>
  <c r="H54" i="3"/>
  <c r="E54" i="3"/>
  <c r="F53" i="3"/>
  <c r="I53" i="3"/>
  <c r="D53" i="3"/>
  <c r="H53" i="3"/>
  <c r="E53" i="3"/>
  <c r="I52" i="3"/>
  <c r="F52" i="3"/>
  <c r="H52" i="3"/>
  <c r="E52" i="3"/>
  <c r="D52" i="3"/>
  <c r="I51" i="3"/>
  <c r="F51" i="3"/>
  <c r="H51" i="3"/>
  <c r="E51" i="3"/>
  <c r="D51" i="3"/>
  <c r="I50" i="3"/>
  <c r="F50" i="3"/>
  <c r="H50" i="3"/>
  <c r="E50" i="3"/>
  <c r="D50" i="3"/>
  <c r="F49" i="3"/>
  <c r="I49" i="3"/>
  <c r="E49" i="3"/>
  <c r="H49" i="3"/>
  <c r="D49" i="3"/>
  <c r="I48" i="3"/>
  <c r="F48" i="3"/>
  <c r="H48" i="3"/>
  <c r="E48" i="3"/>
  <c r="D48" i="3"/>
  <c r="I47" i="3"/>
  <c r="F47" i="3"/>
  <c r="H47" i="3"/>
  <c r="E47" i="3"/>
  <c r="D47" i="3"/>
  <c r="I46" i="3"/>
  <c r="F46" i="3"/>
  <c r="H46" i="3"/>
  <c r="E46" i="3"/>
  <c r="D46" i="3"/>
  <c r="I45" i="3"/>
  <c r="F45" i="3"/>
  <c r="D45" i="3"/>
  <c r="H45" i="3"/>
  <c r="E45" i="3"/>
  <c r="F44" i="3"/>
  <c r="I44" i="3"/>
  <c r="E44" i="3"/>
  <c r="H44" i="3"/>
  <c r="D44" i="3"/>
  <c r="I43" i="3"/>
  <c r="F43" i="3"/>
  <c r="H43" i="3"/>
  <c r="E43" i="3"/>
  <c r="D43" i="3"/>
  <c r="I42" i="3"/>
  <c r="F42" i="3"/>
  <c r="H42" i="3"/>
  <c r="E42" i="3"/>
  <c r="D42" i="3"/>
  <c r="I41" i="3"/>
  <c r="F41" i="3"/>
  <c r="H41" i="3"/>
  <c r="E41" i="3"/>
  <c r="D41" i="3"/>
  <c r="I40" i="3"/>
  <c r="F40" i="3"/>
  <c r="D40" i="3"/>
  <c r="H40" i="3"/>
  <c r="E40" i="3"/>
  <c r="I39" i="3"/>
  <c r="F39" i="3"/>
  <c r="H39" i="3"/>
  <c r="E39" i="3"/>
  <c r="D39" i="3"/>
  <c r="I38" i="3"/>
  <c r="F38" i="3"/>
  <c r="H38" i="3"/>
  <c r="E38" i="3"/>
  <c r="D38" i="3"/>
  <c r="I37" i="3"/>
  <c r="F37" i="3"/>
  <c r="H37" i="3"/>
  <c r="E37" i="3"/>
  <c r="D37" i="3"/>
  <c r="I36" i="3"/>
  <c r="F36" i="3"/>
  <c r="H36" i="3"/>
  <c r="E36" i="3"/>
  <c r="D36" i="3"/>
  <c r="F35" i="3"/>
  <c r="I35" i="3"/>
  <c r="D35" i="3"/>
  <c r="H35" i="3"/>
  <c r="E35" i="3"/>
  <c r="I34" i="3"/>
  <c r="F34" i="3"/>
  <c r="E34" i="3"/>
  <c r="D34" i="3"/>
  <c r="H34" i="3"/>
  <c r="I33" i="3"/>
  <c r="F33" i="3"/>
  <c r="H33" i="3"/>
  <c r="E33" i="3"/>
  <c r="D33" i="3"/>
  <c r="F32" i="3"/>
  <c r="I32" i="3"/>
  <c r="D32" i="3"/>
  <c r="E32" i="3"/>
  <c r="H32" i="3"/>
  <c r="I31" i="3"/>
  <c r="F31" i="3"/>
  <c r="H31" i="3"/>
  <c r="E31" i="3"/>
  <c r="D31" i="3"/>
  <c r="I30" i="3"/>
  <c r="F30" i="3"/>
  <c r="H30" i="3"/>
  <c r="E30" i="3"/>
  <c r="D30" i="3"/>
  <c r="I29" i="3"/>
  <c r="F29" i="3"/>
  <c r="E29" i="3"/>
  <c r="D29" i="3"/>
  <c r="H29" i="3"/>
  <c r="F28" i="3"/>
  <c r="I28" i="3"/>
  <c r="H28" i="3"/>
  <c r="E28" i="3"/>
  <c r="D28" i="3"/>
  <c r="I27" i="3"/>
  <c r="F27" i="3"/>
  <c r="H27" i="3"/>
  <c r="E27" i="3"/>
  <c r="D27" i="3"/>
  <c r="I26" i="3"/>
  <c r="F26" i="3"/>
  <c r="H26" i="3"/>
  <c r="E26" i="3"/>
  <c r="D26" i="3"/>
  <c r="I25" i="3"/>
  <c r="F25" i="3"/>
  <c r="H25" i="3"/>
  <c r="E25" i="3"/>
  <c r="D25" i="3"/>
  <c r="F24" i="3"/>
  <c r="I24" i="3"/>
  <c r="H24" i="3"/>
  <c r="E24" i="3"/>
  <c r="D24" i="3"/>
  <c r="I23" i="3"/>
  <c r="F23" i="3"/>
  <c r="H23" i="3"/>
  <c r="E23" i="3"/>
  <c r="D23" i="3"/>
  <c r="I22" i="3"/>
  <c r="F22" i="3"/>
  <c r="E22" i="3"/>
  <c r="H22" i="3"/>
  <c r="D22" i="3"/>
  <c r="I21" i="3"/>
  <c r="F21" i="3"/>
  <c r="H21" i="3"/>
  <c r="E21" i="3"/>
  <c r="D21" i="3"/>
  <c r="I20" i="3"/>
  <c r="F20" i="3"/>
  <c r="H20" i="3"/>
  <c r="E20" i="3"/>
  <c r="D20" i="3"/>
  <c r="I19" i="3"/>
  <c r="F19" i="3"/>
  <c r="H19" i="3"/>
  <c r="E19" i="3"/>
  <c r="D19" i="3"/>
  <c r="I18" i="3"/>
  <c r="F18" i="3"/>
  <c r="H18" i="3"/>
  <c r="E18" i="3"/>
  <c r="D18" i="3"/>
  <c r="I17" i="3"/>
  <c r="F17" i="3"/>
  <c r="H17" i="3"/>
  <c r="E17" i="3"/>
  <c r="D17" i="3"/>
  <c r="I16" i="3"/>
  <c r="F16" i="3"/>
  <c r="H16" i="3"/>
  <c r="E16" i="3"/>
  <c r="D16" i="3"/>
  <c r="I15" i="3"/>
  <c r="F15" i="3"/>
  <c r="D15" i="3"/>
  <c r="E15" i="3"/>
  <c r="H15" i="3"/>
  <c r="I14" i="3"/>
  <c r="F14" i="3"/>
  <c r="H14" i="3"/>
  <c r="E14" i="3"/>
  <c r="D14" i="3"/>
  <c r="I13" i="3"/>
  <c r="F13" i="3"/>
  <c r="H13" i="3"/>
  <c r="E13" i="3"/>
  <c r="D13" i="3"/>
  <c r="I12" i="3"/>
  <c r="F12" i="3"/>
  <c r="H12" i="3"/>
  <c r="E12" i="3"/>
  <c r="D12" i="3"/>
  <c r="I11" i="3"/>
  <c r="F11" i="3"/>
  <c r="H11" i="3"/>
  <c r="E11" i="3"/>
  <c r="D11" i="3"/>
  <c r="I10" i="3"/>
  <c r="F10" i="3"/>
  <c r="E10" i="3"/>
  <c r="H10" i="3"/>
  <c r="D10" i="3"/>
  <c r="I9" i="3"/>
  <c r="F9" i="3"/>
  <c r="H9" i="3"/>
  <c r="E9" i="3"/>
  <c r="D9" i="3"/>
  <c r="I8" i="3"/>
  <c r="F8" i="3"/>
  <c r="H8" i="3"/>
  <c r="E8" i="3"/>
  <c r="D8" i="3"/>
  <c r="I7" i="3"/>
  <c r="F7" i="3"/>
  <c r="H7" i="3"/>
  <c r="E7" i="3"/>
  <c r="D7" i="3"/>
  <c r="I6" i="3"/>
  <c r="F6" i="3"/>
  <c r="H6" i="3"/>
  <c r="E6" i="3"/>
  <c r="D6" i="3"/>
  <c r="D5" i="3"/>
  <c r="H5" i="3"/>
  <c r="H4" i="3"/>
  <c r="D4" i="3"/>
  <c r="H3" i="3"/>
  <c r="D3" i="3"/>
  <c r="K2" i="3"/>
  <c r="L2" i="3"/>
  <c r="H41" i="2"/>
  <c r="I41" i="2"/>
  <c r="C40" i="2"/>
  <c r="C42" i="2" s="1"/>
  <c r="B40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D24" i="2"/>
  <c r="E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D13" i="2"/>
  <c r="E13" i="2"/>
  <c r="E12" i="2"/>
  <c r="D12" i="2"/>
  <c r="E11" i="2"/>
  <c r="D11" i="2"/>
  <c r="E10" i="2"/>
  <c r="D10" i="2"/>
  <c r="E9" i="2"/>
  <c r="D9" i="2"/>
  <c r="D8" i="2"/>
  <c r="E8" i="2"/>
  <c r="E7" i="2"/>
  <c r="D7" i="2"/>
  <c r="E6" i="2"/>
  <c r="D6" i="2"/>
  <c r="E5" i="2"/>
  <c r="D5" i="2"/>
  <c r="E4" i="2"/>
  <c r="D4" i="2"/>
  <c r="E3" i="2"/>
  <c r="D3" i="2"/>
  <c r="H2" i="2"/>
  <c r="I2" i="2"/>
  <c r="D12" i="1"/>
  <c r="E12" i="1" s="1"/>
  <c r="D13" i="1"/>
  <c r="E13" i="1" s="1"/>
  <c r="G1604" i="5" l="1"/>
  <c r="E1606" i="5"/>
  <c r="J1598" i="5"/>
  <c r="M1598" i="5"/>
  <c r="N1598" i="5"/>
  <c r="O1598" i="5"/>
  <c r="J1597" i="5"/>
  <c r="M1597" i="5"/>
  <c r="N1597" i="5"/>
  <c r="O1597" i="5"/>
  <c r="J1596" i="5"/>
  <c r="M1596" i="5"/>
  <c r="N1596" i="5"/>
  <c r="O1596" i="5"/>
  <c r="J1595" i="5"/>
  <c r="M1595" i="5"/>
  <c r="N1595" i="5"/>
  <c r="O1595" i="5"/>
  <c r="J1594" i="5"/>
  <c r="M1594" i="5"/>
  <c r="N1594" i="5"/>
  <c r="O1594" i="5"/>
  <c r="J1593" i="5"/>
  <c r="M1593" i="5"/>
  <c r="N1593" i="5"/>
  <c r="O1593" i="5"/>
  <c r="J1592" i="5"/>
  <c r="M1592" i="5"/>
  <c r="N1592" i="5"/>
  <c r="O1592" i="5"/>
  <c r="J1591" i="5"/>
  <c r="M1591" i="5"/>
  <c r="N1591" i="5"/>
  <c r="O1591" i="5"/>
  <c r="J1590" i="5"/>
  <c r="M1590" i="5"/>
  <c r="N1590" i="5"/>
  <c r="O1590" i="5"/>
  <c r="J1589" i="5"/>
  <c r="M1589" i="5"/>
  <c r="N1589" i="5"/>
  <c r="O1589" i="5"/>
  <c r="J1588" i="5"/>
  <c r="M1588" i="5"/>
  <c r="N1588" i="5"/>
  <c r="O1588" i="5"/>
  <c r="J1587" i="5"/>
  <c r="M1587" i="5"/>
  <c r="N1587" i="5"/>
  <c r="O1587" i="5"/>
  <c r="J1586" i="5"/>
  <c r="M1586" i="5"/>
  <c r="N1586" i="5"/>
  <c r="O1586" i="5"/>
  <c r="J1585" i="5"/>
  <c r="M1585" i="5"/>
  <c r="N1585" i="5"/>
  <c r="O1585" i="5"/>
  <c r="J1584" i="5"/>
  <c r="M1584" i="5"/>
  <c r="N1584" i="5"/>
  <c r="O1584" i="5"/>
  <c r="J1583" i="5"/>
  <c r="M1583" i="5"/>
  <c r="N1583" i="5"/>
  <c r="O1583" i="5"/>
  <c r="J1582" i="5"/>
  <c r="M1582" i="5"/>
  <c r="N1582" i="5"/>
  <c r="O1582" i="5"/>
  <c r="J1581" i="5"/>
  <c r="M1581" i="5"/>
  <c r="N1581" i="5"/>
  <c r="O1581" i="5"/>
  <c r="J1580" i="5"/>
  <c r="M1580" i="5"/>
  <c r="N1580" i="5"/>
  <c r="O1580" i="5"/>
  <c r="J1579" i="5"/>
  <c r="M1579" i="5"/>
  <c r="N1579" i="5"/>
  <c r="O1579" i="5"/>
  <c r="J1578" i="5"/>
  <c r="M1578" i="5"/>
  <c r="N1578" i="5"/>
  <c r="O1578" i="5"/>
  <c r="J1577" i="5"/>
  <c r="M1577" i="5"/>
  <c r="N1577" i="5"/>
  <c r="O1577" i="5"/>
  <c r="J1576" i="5"/>
  <c r="M1576" i="5"/>
  <c r="N1576" i="5"/>
  <c r="O1576" i="5"/>
  <c r="J1575" i="5"/>
  <c r="M1575" i="5"/>
  <c r="N1575" i="5"/>
  <c r="O1575" i="5"/>
  <c r="J1574" i="5"/>
  <c r="M1574" i="5"/>
  <c r="N1574" i="5"/>
  <c r="O1574" i="5"/>
  <c r="J1573" i="5"/>
  <c r="M1573" i="5"/>
  <c r="N1573" i="5"/>
  <c r="O1573" i="5"/>
  <c r="J1572" i="5"/>
  <c r="M1572" i="5"/>
  <c r="N1572" i="5"/>
  <c r="O1572" i="5"/>
  <c r="J1571" i="5"/>
  <c r="M1571" i="5"/>
  <c r="N1571" i="5"/>
  <c r="O1571" i="5"/>
  <c r="J1570" i="5"/>
  <c r="M1570" i="5"/>
  <c r="N1570" i="5"/>
  <c r="O1570" i="5"/>
  <c r="J1569" i="5"/>
  <c r="M1569" i="5"/>
  <c r="N1569" i="5"/>
  <c r="O1569" i="5"/>
  <c r="J1568" i="5"/>
  <c r="M1568" i="5"/>
  <c r="N1568" i="5"/>
  <c r="O1568" i="5"/>
  <c r="J1567" i="5"/>
  <c r="M1567" i="5"/>
  <c r="N1567" i="5"/>
  <c r="O1567" i="5"/>
  <c r="J1566" i="5"/>
  <c r="M1566" i="5"/>
  <c r="N1566" i="5"/>
  <c r="O1566" i="5"/>
  <c r="J1565" i="5"/>
  <c r="M1565" i="5"/>
  <c r="N1565" i="5"/>
  <c r="O1565" i="5"/>
  <c r="J1564" i="5"/>
  <c r="M1564" i="5"/>
  <c r="N1564" i="5"/>
  <c r="O1564" i="5"/>
  <c r="J1563" i="5"/>
  <c r="M1563" i="5"/>
  <c r="N1563" i="5"/>
  <c r="O1563" i="5"/>
  <c r="J1562" i="5"/>
  <c r="M1562" i="5"/>
  <c r="N1562" i="5"/>
  <c r="O1562" i="5"/>
  <c r="J1561" i="5"/>
  <c r="M1561" i="5"/>
  <c r="N1561" i="5"/>
  <c r="O1561" i="5"/>
  <c r="J1560" i="5"/>
  <c r="M1560" i="5"/>
  <c r="N1560" i="5"/>
  <c r="O1560" i="5"/>
  <c r="J1559" i="5"/>
  <c r="M1559" i="5"/>
  <c r="N1559" i="5"/>
  <c r="O1559" i="5"/>
  <c r="J1558" i="5"/>
  <c r="M1558" i="5"/>
  <c r="N1558" i="5"/>
  <c r="O1558" i="5"/>
  <c r="J1557" i="5"/>
  <c r="M1557" i="5"/>
  <c r="N1557" i="5"/>
  <c r="O1557" i="5"/>
  <c r="J1556" i="5"/>
  <c r="M1556" i="5"/>
  <c r="N1556" i="5"/>
  <c r="O1556" i="5"/>
  <c r="J1555" i="5"/>
  <c r="M1555" i="5"/>
  <c r="N1555" i="5"/>
  <c r="O1555" i="5"/>
  <c r="J1554" i="5"/>
  <c r="M1554" i="5"/>
  <c r="N1554" i="5"/>
  <c r="O1554" i="5"/>
  <c r="J1553" i="5"/>
  <c r="M1553" i="5"/>
  <c r="N1553" i="5"/>
  <c r="O1553" i="5"/>
  <c r="J1552" i="5"/>
  <c r="M1552" i="5"/>
  <c r="N1552" i="5"/>
  <c r="O1552" i="5"/>
  <c r="J1551" i="5"/>
  <c r="M1551" i="5"/>
  <c r="N1551" i="5"/>
  <c r="O1551" i="5"/>
  <c r="J1550" i="5"/>
  <c r="M1550" i="5"/>
  <c r="N1550" i="5"/>
  <c r="O1550" i="5"/>
  <c r="J1549" i="5"/>
  <c r="M1549" i="5"/>
  <c r="N1549" i="5"/>
  <c r="O1549" i="5"/>
  <c r="J1548" i="5"/>
  <c r="M1548" i="5"/>
  <c r="N1548" i="5"/>
  <c r="O1548" i="5"/>
  <c r="J1547" i="5"/>
  <c r="M1547" i="5"/>
  <c r="N1547" i="5"/>
  <c r="O1547" i="5"/>
  <c r="J1546" i="5"/>
  <c r="M1546" i="5"/>
  <c r="N1546" i="5"/>
  <c r="O1546" i="5"/>
  <c r="J1545" i="5"/>
  <c r="M1545" i="5"/>
  <c r="N1545" i="5"/>
  <c r="O1545" i="5"/>
  <c r="J1544" i="5"/>
  <c r="M1544" i="5"/>
  <c r="N1544" i="5"/>
  <c r="O1544" i="5"/>
  <c r="J1543" i="5"/>
  <c r="M1543" i="5"/>
  <c r="N1543" i="5"/>
  <c r="O1543" i="5"/>
  <c r="J1542" i="5"/>
  <c r="M1542" i="5"/>
  <c r="N1542" i="5"/>
  <c r="O1542" i="5"/>
  <c r="J1541" i="5"/>
  <c r="M1541" i="5"/>
  <c r="N1541" i="5"/>
  <c r="O1541" i="5"/>
  <c r="J1540" i="5"/>
  <c r="M1540" i="5"/>
  <c r="N1540" i="5"/>
  <c r="O1540" i="5"/>
  <c r="J1539" i="5"/>
  <c r="M1539" i="5"/>
  <c r="N1539" i="5"/>
  <c r="O1539" i="5"/>
  <c r="J1538" i="5"/>
  <c r="M1538" i="5"/>
  <c r="N1538" i="5"/>
  <c r="O1538" i="5"/>
  <c r="J1537" i="5"/>
  <c r="M1537" i="5"/>
  <c r="N1537" i="5"/>
  <c r="O1537" i="5"/>
  <c r="J1536" i="5"/>
  <c r="M1536" i="5"/>
  <c r="N1536" i="5"/>
  <c r="O1536" i="5"/>
  <c r="J1535" i="5"/>
  <c r="M1535" i="5"/>
  <c r="N1535" i="5"/>
  <c r="O1535" i="5"/>
  <c r="J1534" i="5"/>
  <c r="M1534" i="5"/>
  <c r="N1534" i="5"/>
  <c r="O1534" i="5"/>
  <c r="J1533" i="5"/>
  <c r="M1533" i="5"/>
  <c r="N1533" i="5"/>
  <c r="O1533" i="5"/>
  <c r="J1532" i="5"/>
  <c r="M1532" i="5"/>
  <c r="N1532" i="5"/>
  <c r="O1532" i="5"/>
  <c r="J1531" i="5"/>
  <c r="M1531" i="5"/>
  <c r="N1531" i="5"/>
  <c r="O1531" i="5"/>
  <c r="J1530" i="5"/>
  <c r="M1530" i="5"/>
  <c r="N1530" i="5"/>
  <c r="O1530" i="5"/>
  <c r="J1529" i="5"/>
  <c r="M1529" i="5"/>
  <c r="N1529" i="5"/>
  <c r="O1529" i="5"/>
  <c r="J1528" i="5"/>
  <c r="M1528" i="5"/>
  <c r="N1528" i="5"/>
  <c r="O1528" i="5"/>
  <c r="J1527" i="5"/>
  <c r="M1527" i="5"/>
  <c r="N1527" i="5"/>
  <c r="O1527" i="5"/>
  <c r="J1526" i="5"/>
  <c r="M1526" i="5"/>
  <c r="N1526" i="5"/>
  <c r="O1526" i="5"/>
  <c r="J1525" i="5"/>
  <c r="M1525" i="5"/>
  <c r="N1525" i="5"/>
  <c r="O1525" i="5"/>
  <c r="J1524" i="5"/>
  <c r="M1524" i="5"/>
  <c r="N1524" i="5"/>
  <c r="O1524" i="5"/>
  <c r="J1523" i="5"/>
  <c r="M1523" i="5"/>
  <c r="N1523" i="5"/>
  <c r="O1523" i="5"/>
  <c r="J1522" i="5"/>
  <c r="M1522" i="5"/>
  <c r="N1522" i="5"/>
  <c r="O1522" i="5"/>
  <c r="J1521" i="5"/>
  <c r="M1521" i="5"/>
  <c r="N1521" i="5"/>
  <c r="O1521" i="5"/>
  <c r="J1520" i="5"/>
  <c r="M1520" i="5"/>
  <c r="N1520" i="5"/>
  <c r="O1520" i="5"/>
  <c r="J1519" i="5"/>
  <c r="M1519" i="5"/>
  <c r="N1519" i="5"/>
  <c r="O1519" i="5"/>
  <c r="J1518" i="5"/>
  <c r="M1518" i="5"/>
  <c r="N1518" i="5"/>
  <c r="O1518" i="5"/>
  <c r="J1517" i="5"/>
  <c r="M1517" i="5"/>
  <c r="N1517" i="5"/>
  <c r="O1517" i="5"/>
  <c r="J1516" i="5"/>
  <c r="M1516" i="5"/>
  <c r="N1516" i="5"/>
  <c r="O1516" i="5"/>
  <c r="J1515" i="5"/>
  <c r="M1515" i="5"/>
  <c r="N1515" i="5"/>
  <c r="O1515" i="5"/>
  <c r="J1514" i="5"/>
  <c r="M1514" i="5"/>
  <c r="N1514" i="5"/>
  <c r="O1514" i="5"/>
  <c r="J1513" i="5"/>
  <c r="M1513" i="5"/>
  <c r="N1513" i="5"/>
  <c r="O1513" i="5"/>
  <c r="J1512" i="5"/>
  <c r="M1512" i="5"/>
  <c r="N1512" i="5"/>
  <c r="O1512" i="5"/>
  <c r="J1511" i="5"/>
  <c r="M1511" i="5"/>
  <c r="N1511" i="5"/>
  <c r="O1511" i="5"/>
  <c r="J1510" i="5"/>
  <c r="M1510" i="5"/>
  <c r="N1510" i="5"/>
  <c r="O1510" i="5"/>
  <c r="J1509" i="5"/>
  <c r="M1509" i="5"/>
  <c r="N1509" i="5"/>
  <c r="O1509" i="5"/>
  <c r="J1508" i="5"/>
  <c r="M1508" i="5"/>
  <c r="N1508" i="5"/>
  <c r="O1508" i="5"/>
  <c r="J1507" i="5"/>
  <c r="M1507" i="5"/>
  <c r="N1507" i="5"/>
  <c r="O1507" i="5"/>
  <c r="J1506" i="5"/>
  <c r="M1506" i="5"/>
  <c r="N1506" i="5"/>
  <c r="O1506" i="5"/>
  <c r="J1505" i="5"/>
  <c r="M1505" i="5"/>
  <c r="N1505" i="5"/>
  <c r="O1505" i="5"/>
  <c r="J1504" i="5"/>
  <c r="M1504" i="5"/>
  <c r="N1504" i="5"/>
  <c r="O1504" i="5"/>
  <c r="J1503" i="5"/>
  <c r="M1503" i="5"/>
  <c r="N1503" i="5"/>
  <c r="O1503" i="5"/>
  <c r="J1502" i="5"/>
  <c r="M1502" i="5"/>
  <c r="N1502" i="5"/>
  <c r="O1502" i="5"/>
  <c r="J1501" i="5"/>
  <c r="M1501" i="5"/>
  <c r="N1501" i="5"/>
  <c r="O1501" i="5"/>
  <c r="J1500" i="5"/>
  <c r="M1500" i="5"/>
  <c r="N1500" i="5"/>
  <c r="O1500" i="5"/>
  <c r="J1499" i="5"/>
  <c r="M1499" i="5"/>
  <c r="N1499" i="5"/>
  <c r="O1499" i="5"/>
  <c r="J1498" i="5"/>
  <c r="M1498" i="5"/>
  <c r="N1498" i="5"/>
  <c r="O1498" i="5"/>
  <c r="J1497" i="5"/>
  <c r="M1497" i="5"/>
  <c r="N1497" i="5"/>
  <c r="O1497" i="5"/>
  <c r="J1496" i="5"/>
  <c r="M1496" i="5"/>
  <c r="N1496" i="5"/>
  <c r="O1496" i="5"/>
  <c r="J1495" i="5"/>
  <c r="M1495" i="5"/>
  <c r="N1495" i="5"/>
  <c r="O1495" i="5"/>
  <c r="J1494" i="5"/>
  <c r="M1494" i="5"/>
  <c r="N1494" i="5"/>
  <c r="O1494" i="5"/>
  <c r="J1493" i="5"/>
  <c r="M1493" i="5"/>
  <c r="N1493" i="5"/>
  <c r="O1493" i="5"/>
  <c r="J1492" i="5"/>
  <c r="M1492" i="5"/>
  <c r="N1492" i="5"/>
  <c r="O1492" i="5"/>
  <c r="J1491" i="5"/>
  <c r="M1491" i="5"/>
  <c r="N1491" i="5"/>
  <c r="O1491" i="5"/>
  <c r="J1490" i="5"/>
  <c r="M1490" i="5"/>
  <c r="N1490" i="5"/>
  <c r="O1490" i="5"/>
  <c r="J1489" i="5"/>
  <c r="M1489" i="5"/>
  <c r="N1489" i="5"/>
  <c r="O1489" i="5"/>
  <c r="J1488" i="5"/>
  <c r="M1488" i="5"/>
  <c r="N1488" i="5"/>
  <c r="O1488" i="5"/>
  <c r="J1487" i="5"/>
  <c r="M1487" i="5"/>
  <c r="N1487" i="5"/>
  <c r="O1487" i="5"/>
  <c r="J1486" i="5"/>
  <c r="M1486" i="5"/>
  <c r="N1486" i="5"/>
  <c r="O1486" i="5"/>
  <c r="J1485" i="5"/>
  <c r="M1485" i="5"/>
  <c r="N1485" i="5"/>
  <c r="O1485" i="5"/>
  <c r="J1484" i="5"/>
  <c r="M1484" i="5"/>
  <c r="N1484" i="5"/>
  <c r="O1484" i="5"/>
  <c r="J1483" i="5"/>
  <c r="M1483" i="5"/>
  <c r="N1483" i="5"/>
  <c r="O1483" i="5"/>
  <c r="J1482" i="5"/>
  <c r="M1482" i="5"/>
  <c r="N1482" i="5"/>
  <c r="O1482" i="5"/>
  <c r="J1481" i="5"/>
  <c r="M1481" i="5"/>
  <c r="N1481" i="5"/>
  <c r="O1481" i="5"/>
  <c r="J1480" i="5"/>
  <c r="M1480" i="5"/>
  <c r="N1480" i="5"/>
  <c r="O1480" i="5"/>
  <c r="J1479" i="5"/>
  <c r="M1479" i="5"/>
  <c r="N1479" i="5"/>
  <c r="O1479" i="5"/>
  <c r="J1478" i="5"/>
  <c r="M1478" i="5"/>
  <c r="N1478" i="5"/>
  <c r="O1478" i="5"/>
  <c r="J1477" i="5"/>
  <c r="M1477" i="5"/>
  <c r="N1477" i="5"/>
  <c r="O1477" i="5"/>
  <c r="J1476" i="5"/>
  <c r="M1476" i="5"/>
  <c r="N1476" i="5"/>
  <c r="O1476" i="5"/>
  <c r="J1475" i="5"/>
  <c r="M1475" i="5"/>
  <c r="N1475" i="5"/>
  <c r="O1475" i="5"/>
  <c r="J1474" i="5"/>
  <c r="M1474" i="5"/>
  <c r="N1474" i="5"/>
  <c r="O1474" i="5"/>
  <c r="J1473" i="5"/>
  <c r="M1473" i="5"/>
  <c r="N1473" i="5"/>
  <c r="O1473" i="5"/>
  <c r="J1472" i="5"/>
  <c r="M1472" i="5"/>
  <c r="N1472" i="5"/>
  <c r="O1472" i="5"/>
  <c r="J1471" i="5"/>
  <c r="M1471" i="5"/>
  <c r="N1471" i="5"/>
  <c r="O1471" i="5"/>
  <c r="J1470" i="5"/>
  <c r="M1470" i="5"/>
  <c r="N1470" i="5"/>
  <c r="O1470" i="5"/>
  <c r="J1469" i="5"/>
  <c r="M1469" i="5"/>
  <c r="N1469" i="5"/>
  <c r="O1469" i="5"/>
  <c r="J1468" i="5"/>
  <c r="M1468" i="5"/>
  <c r="N1468" i="5"/>
  <c r="O1468" i="5"/>
  <c r="J1467" i="5"/>
  <c r="M1467" i="5"/>
  <c r="N1467" i="5"/>
  <c r="O1467" i="5"/>
  <c r="J1466" i="5"/>
  <c r="M1466" i="5"/>
  <c r="N1466" i="5"/>
  <c r="O1466" i="5"/>
  <c r="J1465" i="5"/>
  <c r="M1465" i="5"/>
  <c r="N1465" i="5"/>
  <c r="O1465" i="5"/>
  <c r="J1464" i="5"/>
  <c r="M1464" i="5"/>
  <c r="N1464" i="5"/>
  <c r="O1464" i="5"/>
  <c r="J1463" i="5"/>
  <c r="M1463" i="5"/>
  <c r="N1463" i="5"/>
  <c r="O1463" i="5"/>
  <c r="J1462" i="5"/>
  <c r="M1462" i="5"/>
  <c r="N1462" i="5"/>
  <c r="O1462" i="5"/>
  <c r="J1461" i="5"/>
  <c r="M1461" i="5"/>
  <c r="N1461" i="5"/>
  <c r="O1461" i="5"/>
  <c r="J1460" i="5"/>
  <c r="M1460" i="5"/>
  <c r="N1460" i="5"/>
  <c r="O1460" i="5"/>
  <c r="J1459" i="5"/>
  <c r="M1459" i="5"/>
  <c r="N1459" i="5"/>
  <c r="O1459" i="5"/>
  <c r="J1458" i="5"/>
  <c r="M1458" i="5"/>
  <c r="N1458" i="5"/>
  <c r="O1458" i="5"/>
  <c r="J1457" i="5"/>
  <c r="M1457" i="5"/>
  <c r="N1457" i="5"/>
  <c r="O1457" i="5"/>
  <c r="J1456" i="5"/>
  <c r="M1456" i="5"/>
  <c r="N1456" i="5"/>
  <c r="O1456" i="5"/>
  <c r="J1455" i="5"/>
  <c r="M1455" i="5"/>
  <c r="N1455" i="5"/>
  <c r="O1455" i="5"/>
  <c r="J1454" i="5"/>
  <c r="M1454" i="5"/>
  <c r="N1454" i="5"/>
  <c r="O1454" i="5"/>
  <c r="J1453" i="5"/>
  <c r="M1453" i="5"/>
  <c r="N1453" i="5"/>
  <c r="O1453" i="5"/>
  <c r="J1452" i="5"/>
  <c r="M1452" i="5"/>
  <c r="N1452" i="5"/>
  <c r="O1452" i="5"/>
  <c r="J1451" i="5"/>
  <c r="M1451" i="5"/>
  <c r="N1451" i="5"/>
  <c r="O1451" i="5"/>
  <c r="J1450" i="5"/>
  <c r="M1450" i="5"/>
  <c r="N1450" i="5"/>
  <c r="O1450" i="5"/>
  <c r="J1449" i="5"/>
  <c r="M1449" i="5"/>
  <c r="N1449" i="5"/>
  <c r="O1449" i="5"/>
  <c r="J1448" i="5"/>
  <c r="M1448" i="5"/>
  <c r="N1448" i="5"/>
  <c r="O1448" i="5"/>
  <c r="J1447" i="5"/>
  <c r="M1447" i="5"/>
  <c r="N1447" i="5"/>
  <c r="O1447" i="5"/>
  <c r="J1446" i="5"/>
  <c r="M1446" i="5"/>
  <c r="N1446" i="5"/>
  <c r="O1446" i="5"/>
  <c r="J1445" i="5"/>
  <c r="M1445" i="5"/>
  <c r="N1445" i="5"/>
  <c r="O1445" i="5"/>
  <c r="J1444" i="5"/>
  <c r="M1444" i="5"/>
  <c r="N1444" i="5"/>
  <c r="O1444" i="5"/>
  <c r="J1443" i="5"/>
  <c r="M1443" i="5"/>
  <c r="N1443" i="5"/>
  <c r="O1443" i="5"/>
  <c r="J1442" i="5"/>
  <c r="M1442" i="5"/>
  <c r="N1442" i="5"/>
  <c r="O1442" i="5"/>
  <c r="J1441" i="5"/>
  <c r="M1441" i="5"/>
  <c r="N1441" i="5"/>
  <c r="O1441" i="5"/>
  <c r="J1440" i="5"/>
  <c r="M1440" i="5"/>
  <c r="N1440" i="5"/>
  <c r="O1440" i="5"/>
  <c r="J1439" i="5"/>
  <c r="M1439" i="5"/>
  <c r="N1439" i="5"/>
  <c r="O1439" i="5"/>
  <c r="J1438" i="5"/>
  <c r="M1438" i="5"/>
  <c r="N1438" i="5"/>
  <c r="O1438" i="5"/>
  <c r="J1437" i="5"/>
  <c r="M1437" i="5"/>
  <c r="N1437" i="5"/>
  <c r="O1437" i="5"/>
  <c r="J1436" i="5"/>
  <c r="M1436" i="5"/>
  <c r="N1436" i="5"/>
  <c r="O1436" i="5"/>
  <c r="J1435" i="5"/>
  <c r="M1435" i="5"/>
  <c r="N1435" i="5"/>
  <c r="O1435" i="5"/>
  <c r="J1434" i="5"/>
  <c r="M1434" i="5"/>
  <c r="N1434" i="5"/>
  <c r="O1434" i="5"/>
  <c r="J1433" i="5"/>
  <c r="M1433" i="5"/>
  <c r="N1433" i="5"/>
  <c r="O1433" i="5"/>
  <c r="J1432" i="5"/>
  <c r="M1432" i="5"/>
  <c r="N1432" i="5"/>
  <c r="O1432" i="5"/>
  <c r="J1431" i="5"/>
  <c r="M1431" i="5"/>
  <c r="N1431" i="5"/>
  <c r="O1431" i="5"/>
  <c r="J1430" i="5"/>
  <c r="M1430" i="5"/>
  <c r="N1430" i="5"/>
  <c r="O1430" i="5"/>
  <c r="J1429" i="5"/>
  <c r="M1429" i="5"/>
  <c r="N1429" i="5"/>
  <c r="O1429" i="5"/>
  <c r="J1428" i="5"/>
  <c r="M1428" i="5"/>
  <c r="N1428" i="5"/>
  <c r="O1428" i="5"/>
  <c r="J1427" i="5"/>
  <c r="M1427" i="5"/>
  <c r="N1427" i="5"/>
  <c r="O1427" i="5"/>
  <c r="J1426" i="5"/>
  <c r="M1426" i="5"/>
  <c r="N1426" i="5"/>
  <c r="O1426" i="5"/>
  <c r="J1425" i="5"/>
  <c r="M1425" i="5"/>
  <c r="N1425" i="5"/>
  <c r="O1425" i="5"/>
  <c r="J1424" i="5"/>
  <c r="M1424" i="5"/>
  <c r="N1424" i="5"/>
  <c r="O1424" i="5"/>
  <c r="J1423" i="5"/>
  <c r="M1423" i="5"/>
  <c r="N1423" i="5"/>
  <c r="O1423" i="5"/>
  <c r="J1422" i="5"/>
  <c r="M1422" i="5"/>
  <c r="N1422" i="5"/>
  <c r="O1422" i="5"/>
  <c r="J1421" i="5"/>
  <c r="M1421" i="5"/>
  <c r="N1421" i="5"/>
  <c r="O1421" i="5"/>
  <c r="J1420" i="5"/>
  <c r="M1420" i="5"/>
  <c r="N1420" i="5"/>
  <c r="O1420" i="5"/>
  <c r="J1419" i="5"/>
  <c r="M1419" i="5"/>
  <c r="N1419" i="5"/>
  <c r="O1419" i="5"/>
  <c r="J1418" i="5"/>
  <c r="M1418" i="5"/>
  <c r="N1418" i="5"/>
  <c r="O1418" i="5"/>
  <c r="J1417" i="5"/>
  <c r="M1417" i="5"/>
  <c r="N1417" i="5"/>
  <c r="O1417" i="5"/>
  <c r="J1416" i="5"/>
  <c r="M1416" i="5"/>
  <c r="N1416" i="5"/>
  <c r="O1416" i="5"/>
  <c r="J1415" i="5"/>
  <c r="M1415" i="5"/>
  <c r="N1415" i="5"/>
  <c r="O1415" i="5"/>
  <c r="J1414" i="5"/>
  <c r="M1414" i="5"/>
  <c r="N1414" i="5"/>
  <c r="O1414" i="5"/>
  <c r="J1413" i="5"/>
  <c r="M1413" i="5"/>
  <c r="N1413" i="5"/>
  <c r="O1413" i="5"/>
  <c r="J1412" i="5"/>
  <c r="M1412" i="5"/>
  <c r="N1412" i="5"/>
  <c r="O1412" i="5"/>
  <c r="J1411" i="5"/>
  <c r="M1411" i="5"/>
  <c r="N1411" i="5"/>
  <c r="O1411" i="5"/>
  <c r="J1410" i="5"/>
  <c r="M1410" i="5"/>
  <c r="N1410" i="5"/>
  <c r="O1410" i="5"/>
  <c r="J1409" i="5"/>
  <c r="M1409" i="5"/>
  <c r="N1409" i="5"/>
  <c r="O1409" i="5"/>
  <c r="J1408" i="5"/>
  <c r="M1408" i="5"/>
  <c r="N1408" i="5"/>
  <c r="O1408" i="5"/>
  <c r="J1407" i="5"/>
  <c r="M1407" i="5"/>
  <c r="N1407" i="5"/>
  <c r="O1407" i="5"/>
  <c r="J1406" i="5"/>
  <c r="M1406" i="5"/>
  <c r="N1406" i="5"/>
  <c r="O1406" i="5"/>
  <c r="J1405" i="5"/>
  <c r="M1405" i="5"/>
  <c r="N1405" i="5"/>
  <c r="O1405" i="5"/>
  <c r="J1404" i="5"/>
  <c r="M1404" i="5"/>
  <c r="N1404" i="5"/>
  <c r="O1404" i="5"/>
  <c r="J1403" i="5"/>
  <c r="M1403" i="5"/>
  <c r="N1403" i="5"/>
  <c r="O1403" i="5"/>
  <c r="J1402" i="5"/>
  <c r="M1402" i="5"/>
  <c r="N1402" i="5"/>
  <c r="O1402" i="5"/>
  <c r="J1401" i="5"/>
  <c r="M1401" i="5"/>
  <c r="N1401" i="5"/>
  <c r="O1401" i="5"/>
  <c r="J1400" i="5"/>
  <c r="M1400" i="5"/>
  <c r="N1400" i="5"/>
  <c r="O1400" i="5"/>
  <c r="J1399" i="5"/>
  <c r="M1399" i="5"/>
  <c r="N1399" i="5"/>
  <c r="O1399" i="5"/>
  <c r="J1398" i="5"/>
  <c r="M1398" i="5"/>
  <c r="N1398" i="5"/>
  <c r="O1398" i="5"/>
  <c r="J1397" i="5"/>
  <c r="M1397" i="5"/>
  <c r="N1397" i="5"/>
  <c r="O1397" i="5"/>
  <c r="J1396" i="5"/>
  <c r="M1396" i="5"/>
  <c r="N1396" i="5"/>
  <c r="O1396" i="5"/>
  <c r="J1395" i="5"/>
  <c r="M1395" i="5"/>
  <c r="N1395" i="5"/>
  <c r="O1395" i="5"/>
  <c r="J1394" i="5"/>
  <c r="M1394" i="5"/>
  <c r="N1394" i="5"/>
  <c r="O1394" i="5"/>
  <c r="J1393" i="5"/>
  <c r="M1393" i="5"/>
  <c r="N1393" i="5"/>
  <c r="O1393" i="5"/>
  <c r="J1392" i="5"/>
  <c r="M1392" i="5"/>
  <c r="N1392" i="5"/>
  <c r="O1392" i="5"/>
  <c r="J1391" i="5"/>
  <c r="M1391" i="5"/>
  <c r="N1391" i="5"/>
  <c r="O1391" i="5"/>
  <c r="J1390" i="5"/>
  <c r="M1390" i="5"/>
  <c r="N1390" i="5"/>
  <c r="O1390" i="5"/>
  <c r="J1389" i="5"/>
  <c r="M1389" i="5"/>
  <c r="N1389" i="5"/>
  <c r="O1389" i="5"/>
  <c r="J1388" i="5"/>
  <c r="M1388" i="5"/>
  <c r="N1388" i="5"/>
  <c r="O1388" i="5"/>
  <c r="J1387" i="5"/>
  <c r="M1387" i="5"/>
  <c r="N1387" i="5"/>
  <c r="O1387" i="5"/>
  <c r="J1386" i="5"/>
  <c r="M1386" i="5"/>
  <c r="N1386" i="5"/>
  <c r="O1386" i="5"/>
  <c r="J1385" i="5"/>
  <c r="M1385" i="5"/>
  <c r="N1385" i="5"/>
  <c r="O1385" i="5"/>
  <c r="J1384" i="5"/>
  <c r="M1384" i="5"/>
  <c r="N1384" i="5"/>
  <c r="O1384" i="5"/>
  <c r="J1383" i="5"/>
  <c r="M1383" i="5"/>
  <c r="N1383" i="5"/>
  <c r="O1383" i="5"/>
  <c r="J1382" i="5"/>
  <c r="M1382" i="5"/>
  <c r="N1382" i="5"/>
  <c r="O1382" i="5"/>
  <c r="J1381" i="5"/>
  <c r="M1381" i="5"/>
  <c r="N1381" i="5"/>
  <c r="O1381" i="5"/>
  <c r="J1380" i="5"/>
  <c r="M1380" i="5"/>
  <c r="N1380" i="5"/>
  <c r="O1380" i="5"/>
  <c r="J1379" i="5"/>
  <c r="M1379" i="5"/>
  <c r="N1379" i="5"/>
  <c r="O1379" i="5"/>
  <c r="J1378" i="5"/>
  <c r="M1378" i="5"/>
  <c r="N1378" i="5"/>
  <c r="O1378" i="5"/>
  <c r="J1377" i="5"/>
  <c r="M1377" i="5"/>
  <c r="N1377" i="5"/>
  <c r="O1377" i="5"/>
  <c r="J1376" i="5"/>
  <c r="M1376" i="5"/>
  <c r="N1376" i="5"/>
  <c r="O1376" i="5"/>
  <c r="J1375" i="5"/>
  <c r="M1375" i="5"/>
  <c r="N1375" i="5"/>
  <c r="O1375" i="5"/>
  <c r="J1374" i="5"/>
  <c r="M1374" i="5"/>
  <c r="N1374" i="5"/>
  <c r="O1374" i="5"/>
  <c r="J1373" i="5"/>
  <c r="M1373" i="5"/>
  <c r="N1373" i="5"/>
  <c r="O1373" i="5"/>
  <c r="J1372" i="5"/>
  <c r="M1372" i="5"/>
  <c r="N1372" i="5"/>
  <c r="O1372" i="5"/>
  <c r="J1371" i="5"/>
  <c r="M1371" i="5"/>
  <c r="N1371" i="5"/>
  <c r="O1371" i="5"/>
  <c r="J1370" i="5"/>
  <c r="M1370" i="5"/>
  <c r="N1370" i="5"/>
  <c r="O1370" i="5"/>
  <c r="J1369" i="5"/>
  <c r="M1369" i="5"/>
  <c r="N1369" i="5"/>
  <c r="O1369" i="5"/>
  <c r="J1368" i="5"/>
  <c r="M1368" i="5"/>
  <c r="N1368" i="5"/>
  <c r="O1368" i="5"/>
  <c r="J1367" i="5"/>
  <c r="M1367" i="5"/>
  <c r="N1367" i="5"/>
  <c r="O1367" i="5"/>
  <c r="J1366" i="5"/>
  <c r="M1366" i="5"/>
  <c r="N1366" i="5"/>
  <c r="O1366" i="5"/>
  <c r="J1365" i="5"/>
  <c r="M1365" i="5"/>
  <c r="N1365" i="5"/>
  <c r="O1365" i="5"/>
  <c r="J1364" i="5"/>
  <c r="M1364" i="5"/>
  <c r="N1364" i="5"/>
  <c r="O1364" i="5"/>
  <c r="J1363" i="5"/>
  <c r="M1363" i="5"/>
  <c r="N1363" i="5"/>
  <c r="O1363" i="5"/>
  <c r="J1362" i="5"/>
  <c r="M1362" i="5"/>
  <c r="N1362" i="5"/>
  <c r="O1362" i="5"/>
  <c r="J1361" i="5"/>
  <c r="M1361" i="5"/>
  <c r="N1361" i="5"/>
  <c r="O1361" i="5"/>
  <c r="J1360" i="5"/>
  <c r="M1360" i="5"/>
  <c r="N1360" i="5"/>
  <c r="O1360" i="5"/>
  <c r="J1359" i="5"/>
  <c r="M1359" i="5"/>
  <c r="N1359" i="5"/>
  <c r="O1359" i="5"/>
  <c r="J1358" i="5"/>
  <c r="M1358" i="5"/>
  <c r="N1358" i="5"/>
  <c r="O1358" i="5"/>
  <c r="J1357" i="5"/>
  <c r="M1357" i="5"/>
  <c r="N1357" i="5"/>
  <c r="O1357" i="5"/>
  <c r="J1356" i="5"/>
  <c r="M1356" i="5"/>
  <c r="N1356" i="5"/>
  <c r="O1356" i="5"/>
  <c r="J1355" i="5"/>
  <c r="M1355" i="5"/>
  <c r="N1355" i="5"/>
  <c r="O1355" i="5"/>
  <c r="J1354" i="5"/>
  <c r="M1354" i="5"/>
  <c r="N1354" i="5"/>
  <c r="O1354" i="5"/>
  <c r="M1353" i="5"/>
  <c r="O1353" i="5"/>
  <c r="J1353" i="5"/>
  <c r="N1353" i="5"/>
  <c r="J1352" i="5"/>
  <c r="M1352" i="5"/>
  <c r="N1352" i="5"/>
  <c r="O1352" i="5"/>
  <c r="J1351" i="5"/>
  <c r="M1351" i="5"/>
  <c r="N1351" i="5"/>
  <c r="O1351" i="5"/>
  <c r="J1350" i="5"/>
  <c r="M1350" i="5"/>
  <c r="N1350" i="5"/>
  <c r="O1350" i="5"/>
  <c r="J1349" i="5"/>
  <c r="M1349" i="5"/>
  <c r="N1349" i="5"/>
  <c r="O1349" i="5"/>
  <c r="J1348" i="5"/>
  <c r="M1348" i="5"/>
  <c r="N1348" i="5"/>
  <c r="O1348" i="5"/>
  <c r="J1347" i="5"/>
  <c r="M1347" i="5"/>
  <c r="N1347" i="5"/>
  <c r="O1347" i="5"/>
  <c r="J1346" i="5"/>
  <c r="M1346" i="5"/>
  <c r="N1346" i="5"/>
  <c r="O1346" i="5"/>
  <c r="J1345" i="5"/>
  <c r="M1345" i="5"/>
  <c r="N1345" i="5"/>
  <c r="O1345" i="5"/>
  <c r="J1344" i="5"/>
  <c r="N1344" i="5"/>
  <c r="M1344" i="5"/>
  <c r="O1344" i="5"/>
  <c r="J1343" i="5"/>
  <c r="M1343" i="5"/>
  <c r="N1343" i="5"/>
  <c r="O1343" i="5"/>
  <c r="J1342" i="5"/>
  <c r="M1342" i="5"/>
  <c r="N1342" i="5"/>
  <c r="O1342" i="5"/>
  <c r="J1341" i="5"/>
  <c r="M1341" i="5"/>
  <c r="N1341" i="5"/>
  <c r="O1341" i="5"/>
  <c r="J1340" i="5"/>
  <c r="M1340" i="5"/>
  <c r="N1340" i="5"/>
  <c r="O1340" i="5"/>
  <c r="J1339" i="5"/>
  <c r="M1339" i="5"/>
  <c r="N1339" i="5"/>
  <c r="O1339" i="5"/>
  <c r="J1338" i="5"/>
  <c r="M1338" i="5"/>
  <c r="N1338" i="5"/>
  <c r="O1338" i="5"/>
  <c r="J1337" i="5"/>
  <c r="M1337" i="5"/>
  <c r="N1337" i="5"/>
  <c r="O1337" i="5"/>
  <c r="J1336" i="5"/>
  <c r="M1336" i="5"/>
  <c r="N1336" i="5"/>
  <c r="O1336" i="5"/>
  <c r="J1335" i="5"/>
  <c r="M1335" i="5"/>
  <c r="N1335" i="5"/>
  <c r="O1335" i="5"/>
  <c r="J1334" i="5"/>
  <c r="M1334" i="5"/>
  <c r="N1334" i="5"/>
  <c r="O1334" i="5"/>
  <c r="J1333" i="5"/>
  <c r="M1333" i="5"/>
  <c r="N1333" i="5"/>
  <c r="O1333" i="5"/>
  <c r="J1332" i="5"/>
  <c r="M1332" i="5"/>
  <c r="N1332" i="5"/>
  <c r="O1332" i="5"/>
  <c r="J1331" i="5"/>
  <c r="M1331" i="5"/>
  <c r="N1331" i="5"/>
  <c r="O1331" i="5"/>
  <c r="J1330" i="5"/>
  <c r="M1330" i="5"/>
  <c r="N1330" i="5"/>
  <c r="O1330" i="5"/>
  <c r="J1329" i="5"/>
  <c r="M1329" i="5"/>
  <c r="N1329" i="5"/>
  <c r="O1329" i="5"/>
  <c r="J1328" i="5"/>
  <c r="M1328" i="5"/>
  <c r="N1328" i="5"/>
  <c r="O1328" i="5"/>
  <c r="J1327" i="5"/>
  <c r="M1327" i="5"/>
  <c r="N1327" i="5"/>
  <c r="O1327" i="5"/>
  <c r="J1326" i="5"/>
  <c r="M1326" i="5"/>
  <c r="N1326" i="5"/>
  <c r="O1326" i="5"/>
  <c r="J1325" i="5"/>
  <c r="M1325" i="5"/>
  <c r="N1325" i="5"/>
  <c r="O1325" i="5"/>
  <c r="J1324" i="5"/>
  <c r="M1324" i="5"/>
  <c r="N1324" i="5"/>
  <c r="O1324" i="5"/>
  <c r="J1323" i="5"/>
  <c r="M1323" i="5"/>
  <c r="N1323" i="5"/>
  <c r="O1323" i="5"/>
  <c r="J1322" i="5"/>
  <c r="M1322" i="5"/>
  <c r="N1322" i="5"/>
  <c r="O1322" i="5"/>
  <c r="J1321" i="5"/>
  <c r="M1321" i="5"/>
  <c r="N1321" i="5"/>
  <c r="O1321" i="5"/>
  <c r="J1320" i="5"/>
  <c r="M1320" i="5"/>
  <c r="N1320" i="5"/>
  <c r="O1320" i="5"/>
  <c r="J1319" i="5"/>
  <c r="M1319" i="5"/>
  <c r="N1319" i="5"/>
  <c r="O1319" i="5"/>
  <c r="J1318" i="5"/>
  <c r="M1318" i="5"/>
  <c r="N1318" i="5"/>
  <c r="O1318" i="5"/>
  <c r="J1317" i="5"/>
  <c r="M1317" i="5"/>
  <c r="N1317" i="5"/>
  <c r="O1317" i="5"/>
  <c r="J1316" i="5"/>
  <c r="M1316" i="5"/>
  <c r="N1316" i="5"/>
  <c r="O1316" i="5"/>
  <c r="J1315" i="5"/>
  <c r="M1315" i="5"/>
  <c r="N1315" i="5"/>
  <c r="O1315" i="5"/>
  <c r="J1314" i="5"/>
  <c r="M1314" i="5"/>
  <c r="N1314" i="5"/>
  <c r="O1314" i="5"/>
  <c r="J1313" i="5"/>
  <c r="M1313" i="5"/>
  <c r="N1313" i="5"/>
  <c r="O1313" i="5"/>
  <c r="J1312" i="5"/>
  <c r="M1312" i="5"/>
  <c r="N1312" i="5"/>
  <c r="O1312" i="5"/>
  <c r="J1311" i="5"/>
  <c r="M1311" i="5"/>
  <c r="N1311" i="5"/>
  <c r="O1311" i="5"/>
  <c r="J1310" i="5"/>
  <c r="M1310" i="5"/>
  <c r="N1310" i="5"/>
  <c r="O1310" i="5"/>
  <c r="J1309" i="5"/>
  <c r="M1309" i="5"/>
  <c r="N1309" i="5"/>
  <c r="O1309" i="5"/>
  <c r="J1308" i="5"/>
  <c r="M1308" i="5"/>
  <c r="N1308" i="5"/>
  <c r="O1308" i="5"/>
  <c r="J1307" i="5"/>
  <c r="M1307" i="5"/>
  <c r="N1307" i="5"/>
  <c r="O1307" i="5"/>
  <c r="J1306" i="5"/>
  <c r="M1306" i="5"/>
  <c r="N1306" i="5"/>
  <c r="O1306" i="5"/>
  <c r="J1305" i="5"/>
  <c r="M1305" i="5"/>
  <c r="N1305" i="5"/>
  <c r="O1305" i="5"/>
  <c r="J1304" i="5"/>
  <c r="M1304" i="5"/>
  <c r="N1304" i="5"/>
  <c r="O1304" i="5"/>
  <c r="J1303" i="5"/>
  <c r="M1303" i="5"/>
  <c r="N1303" i="5"/>
  <c r="O1303" i="5"/>
  <c r="J1302" i="5"/>
  <c r="M1302" i="5"/>
  <c r="N1302" i="5"/>
  <c r="O1302" i="5"/>
  <c r="J1301" i="5"/>
  <c r="M1301" i="5"/>
  <c r="N1301" i="5"/>
  <c r="O1301" i="5"/>
  <c r="J1300" i="5"/>
  <c r="M1300" i="5"/>
  <c r="N1300" i="5"/>
  <c r="O1300" i="5"/>
  <c r="J1299" i="5"/>
  <c r="M1299" i="5"/>
  <c r="N1299" i="5"/>
  <c r="O1299" i="5"/>
  <c r="J1298" i="5"/>
  <c r="M1298" i="5"/>
  <c r="N1298" i="5"/>
  <c r="O1298" i="5"/>
  <c r="J1297" i="5"/>
  <c r="M1297" i="5"/>
  <c r="N1297" i="5"/>
  <c r="O1297" i="5"/>
  <c r="J1296" i="5"/>
  <c r="M1296" i="5"/>
  <c r="N1296" i="5"/>
  <c r="O1296" i="5"/>
  <c r="J1295" i="5"/>
  <c r="M1295" i="5"/>
  <c r="N1295" i="5"/>
  <c r="O1295" i="5"/>
  <c r="J1294" i="5"/>
  <c r="M1294" i="5"/>
  <c r="N1294" i="5"/>
  <c r="O1294" i="5"/>
  <c r="J1293" i="5"/>
  <c r="M1293" i="5"/>
  <c r="N1293" i="5"/>
  <c r="O1293" i="5"/>
  <c r="J1292" i="5"/>
  <c r="M1292" i="5"/>
  <c r="N1292" i="5"/>
  <c r="O1292" i="5"/>
  <c r="J1291" i="5"/>
  <c r="M1291" i="5"/>
  <c r="N1291" i="5"/>
  <c r="O1291" i="5"/>
  <c r="J1290" i="5"/>
  <c r="M1290" i="5"/>
  <c r="N1290" i="5"/>
  <c r="O1290" i="5"/>
  <c r="J1289" i="5"/>
  <c r="M1289" i="5"/>
  <c r="N1289" i="5"/>
  <c r="O1289" i="5"/>
  <c r="J1288" i="5"/>
  <c r="M1288" i="5"/>
  <c r="N1288" i="5"/>
  <c r="O1288" i="5"/>
  <c r="J1287" i="5"/>
  <c r="M1287" i="5"/>
  <c r="N1287" i="5"/>
  <c r="O1287" i="5"/>
  <c r="J1286" i="5"/>
  <c r="M1286" i="5"/>
  <c r="N1286" i="5"/>
  <c r="O1286" i="5"/>
  <c r="J1285" i="5"/>
  <c r="M1285" i="5"/>
  <c r="N1285" i="5"/>
  <c r="O1285" i="5"/>
  <c r="J1284" i="5"/>
  <c r="M1284" i="5"/>
  <c r="N1284" i="5"/>
  <c r="O1284" i="5"/>
  <c r="J1283" i="5"/>
  <c r="M1283" i="5"/>
  <c r="N1283" i="5"/>
  <c r="O1283" i="5"/>
  <c r="J1282" i="5"/>
  <c r="M1282" i="5"/>
  <c r="N1282" i="5"/>
  <c r="O1282" i="5"/>
  <c r="J1281" i="5"/>
  <c r="M1281" i="5"/>
  <c r="N1281" i="5"/>
  <c r="O1281" i="5"/>
  <c r="J1280" i="5"/>
  <c r="M1280" i="5"/>
  <c r="N1280" i="5"/>
  <c r="O1280" i="5"/>
  <c r="J1279" i="5"/>
  <c r="M1279" i="5"/>
  <c r="N1279" i="5"/>
  <c r="O1279" i="5"/>
  <c r="J1278" i="5"/>
  <c r="M1278" i="5"/>
  <c r="N1278" i="5"/>
  <c r="O1278" i="5"/>
  <c r="J1277" i="5"/>
  <c r="M1277" i="5"/>
  <c r="N1277" i="5"/>
  <c r="O1277" i="5"/>
  <c r="J1276" i="5"/>
  <c r="M1276" i="5"/>
  <c r="N1276" i="5"/>
  <c r="O1276" i="5"/>
  <c r="J1275" i="5"/>
  <c r="M1275" i="5"/>
  <c r="N1275" i="5"/>
  <c r="O1275" i="5"/>
  <c r="J1274" i="5"/>
  <c r="M1274" i="5"/>
  <c r="N1274" i="5"/>
  <c r="O1274" i="5"/>
  <c r="J1273" i="5"/>
  <c r="M1273" i="5"/>
  <c r="N1273" i="5"/>
  <c r="O1273" i="5"/>
  <c r="J1272" i="5"/>
  <c r="M1272" i="5"/>
  <c r="N1272" i="5"/>
  <c r="O1272" i="5"/>
  <c r="J1271" i="5"/>
  <c r="M1271" i="5"/>
  <c r="N1271" i="5"/>
  <c r="O1271" i="5"/>
  <c r="J1270" i="5"/>
  <c r="M1270" i="5"/>
  <c r="N1270" i="5"/>
  <c r="O1270" i="5"/>
  <c r="J1269" i="5"/>
  <c r="M1269" i="5"/>
  <c r="N1269" i="5"/>
  <c r="O1269" i="5"/>
  <c r="J1268" i="5"/>
  <c r="M1268" i="5"/>
  <c r="N1268" i="5"/>
  <c r="O1268" i="5"/>
  <c r="J1267" i="5"/>
  <c r="M1267" i="5"/>
  <c r="N1267" i="5"/>
  <c r="O1267" i="5"/>
  <c r="J1266" i="5"/>
  <c r="M1266" i="5"/>
  <c r="N1266" i="5"/>
  <c r="O1266" i="5"/>
  <c r="J1265" i="5"/>
  <c r="M1265" i="5"/>
  <c r="N1265" i="5"/>
  <c r="O1265" i="5"/>
  <c r="J1264" i="5"/>
  <c r="M1264" i="5"/>
  <c r="N1264" i="5"/>
  <c r="O1264" i="5"/>
  <c r="J1263" i="5"/>
  <c r="M1263" i="5"/>
  <c r="N1263" i="5"/>
  <c r="O1263" i="5"/>
  <c r="J1262" i="5"/>
  <c r="M1262" i="5"/>
  <c r="N1262" i="5"/>
  <c r="O1262" i="5"/>
  <c r="J1261" i="5"/>
  <c r="M1261" i="5"/>
  <c r="N1261" i="5"/>
  <c r="O1261" i="5"/>
  <c r="J1260" i="5"/>
  <c r="M1260" i="5"/>
  <c r="N1260" i="5"/>
  <c r="O1260" i="5"/>
  <c r="J1259" i="5"/>
  <c r="M1259" i="5"/>
  <c r="N1259" i="5"/>
  <c r="O1259" i="5"/>
  <c r="J1258" i="5"/>
  <c r="M1258" i="5"/>
  <c r="N1258" i="5"/>
  <c r="O1258" i="5"/>
  <c r="J1257" i="5"/>
  <c r="M1257" i="5"/>
  <c r="N1257" i="5"/>
  <c r="O1257" i="5"/>
  <c r="J1256" i="5"/>
  <c r="M1256" i="5"/>
  <c r="N1256" i="5"/>
  <c r="O1256" i="5"/>
  <c r="J1255" i="5"/>
  <c r="M1255" i="5"/>
  <c r="N1255" i="5"/>
  <c r="O1255" i="5"/>
  <c r="J1254" i="5"/>
  <c r="M1254" i="5"/>
  <c r="N1254" i="5"/>
  <c r="O1254" i="5"/>
  <c r="J1253" i="5"/>
  <c r="M1253" i="5"/>
  <c r="N1253" i="5"/>
  <c r="O1253" i="5"/>
  <c r="J1252" i="5"/>
  <c r="M1252" i="5"/>
  <c r="N1252" i="5"/>
  <c r="O1252" i="5"/>
  <c r="J1251" i="5"/>
  <c r="M1251" i="5"/>
  <c r="N1251" i="5"/>
  <c r="O1251" i="5"/>
  <c r="J1250" i="5"/>
  <c r="M1250" i="5"/>
  <c r="N1250" i="5"/>
  <c r="O1250" i="5"/>
  <c r="J1249" i="5"/>
  <c r="M1249" i="5"/>
  <c r="N1249" i="5"/>
  <c r="O1249" i="5"/>
  <c r="J1248" i="5"/>
  <c r="M1248" i="5"/>
  <c r="N1248" i="5"/>
  <c r="O1248" i="5"/>
  <c r="J1247" i="5"/>
  <c r="M1247" i="5"/>
  <c r="N1247" i="5"/>
  <c r="O1247" i="5"/>
  <c r="J1246" i="5"/>
  <c r="M1246" i="5"/>
  <c r="N1246" i="5"/>
  <c r="O1246" i="5"/>
  <c r="J1245" i="5"/>
  <c r="M1245" i="5"/>
  <c r="N1245" i="5"/>
  <c r="O1245" i="5"/>
  <c r="J1244" i="5"/>
  <c r="M1244" i="5"/>
  <c r="N1244" i="5"/>
  <c r="O1244" i="5"/>
  <c r="J1243" i="5"/>
  <c r="M1243" i="5"/>
  <c r="N1243" i="5"/>
  <c r="O1243" i="5"/>
  <c r="J1242" i="5"/>
  <c r="M1242" i="5"/>
  <c r="N1242" i="5"/>
  <c r="O1242" i="5"/>
  <c r="J1241" i="5"/>
  <c r="M1241" i="5"/>
  <c r="N1241" i="5"/>
  <c r="O1241" i="5"/>
  <c r="J1240" i="5"/>
  <c r="M1240" i="5"/>
  <c r="N1240" i="5"/>
  <c r="O1240" i="5"/>
  <c r="J1239" i="5"/>
  <c r="M1239" i="5"/>
  <c r="N1239" i="5"/>
  <c r="O1239" i="5"/>
  <c r="J1238" i="5"/>
  <c r="M1238" i="5"/>
  <c r="N1238" i="5"/>
  <c r="O1238" i="5"/>
  <c r="J1237" i="5"/>
  <c r="M1237" i="5"/>
  <c r="N1237" i="5"/>
  <c r="O1237" i="5"/>
  <c r="J1236" i="5"/>
  <c r="M1236" i="5"/>
  <c r="N1236" i="5"/>
  <c r="O1236" i="5"/>
  <c r="J1235" i="5"/>
  <c r="M1235" i="5"/>
  <c r="N1235" i="5"/>
  <c r="O1235" i="5"/>
  <c r="J1234" i="5"/>
  <c r="M1234" i="5"/>
  <c r="N1234" i="5"/>
  <c r="O1234" i="5"/>
  <c r="J1233" i="5"/>
  <c r="M1233" i="5"/>
  <c r="N1233" i="5"/>
  <c r="O1233" i="5"/>
  <c r="J1232" i="5"/>
  <c r="M1232" i="5"/>
  <c r="N1232" i="5"/>
  <c r="O1232" i="5"/>
  <c r="J1231" i="5"/>
  <c r="M1231" i="5"/>
  <c r="N1231" i="5"/>
  <c r="O1231" i="5"/>
  <c r="J1230" i="5"/>
  <c r="M1230" i="5"/>
  <c r="N1230" i="5"/>
  <c r="O1230" i="5"/>
  <c r="J1229" i="5"/>
  <c r="M1229" i="5"/>
  <c r="N1229" i="5"/>
  <c r="O1229" i="5"/>
  <c r="J1228" i="5"/>
  <c r="M1228" i="5"/>
  <c r="N1228" i="5"/>
  <c r="O1228" i="5"/>
  <c r="J1227" i="5"/>
  <c r="M1227" i="5"/>
  <c r="N1227" i="5"/>
  <c r="O1227" i="5"/>
  <c r="J1226" i="5"/>
  <c r="M1226" i="5"/>
  <c r="N1226" i="5"/>
  <c r="O1226" i="5"/>
  <c r="J1225" i="5"/>
  <c r="M1225" i="5"/>
  <c r="N1225" i="5"/>
  <c r="O1225" i="5"/>
  <c r="J1224" i="5"/>
  <c r="M1224" i="5"/>
  <c r="N1224" i="5"/>
  <c r="O1224" i="5"/>
  <c r="J1223" i="5"/>
  <c r="M1223" i="5"/>
  <c r="N1223" i="5"/>
  <c r="O1223" i="5"/>
  <c r="J1222" i="5"/>
  <c r="M1222" i="5"/>
  <c r="N1222" i="5"/>
  <c r="O1222" i="5"/>
  <c r="J1221" i="5"/>
  <c r="M1221" i="5"/>
  <c r="N1221" i="5"/>
  <c r="O1221" i="5"/>
  <c r="J1220" i="5"/>
  <c r="M1220" i="5"/>
  <c r="N1220" i="5"/>
  <c r="O1220" i="5"/>
  <c r="J1219" i="5"/>
  <c r="M1219" i="5"/>
  <c r="N1219" i="5"/>
  <c r="O1219" i="5"/>
  <c r="J1218" i="5"/>
  <c r="M1218" i="5"/>
  <c r="N1218" i="5"/>
  <c r="O1218" i="5"/>
  <c r="J1217" i="5"/>
  <c r="M1217" i="5"/>
  <c r="N1217" i="5"/>
  <c r="O1217" i="5"/>
  <c r="J1216" i="5"/>
  <c r="M1216" i="5"/>
  <c r="N1216" i="5"/>
  <c r="O1216" i="5"/>
  <c r="J1215" i="5"/>
  <c r="M1215" i="5"/>
  <c r="N1215" i="5"/>
  <c r="O1215" i="5"/>
  <c r="J1214" i="5"/>
  <c r="M1214" i="5"/>
  <c r="N1214" i="5"/>
  <c r="O1214" i="5"/>
  <c r="J1213" i="5"/>
  <c r="M1213" i="5"/>
  <c r="N1213" i="5"/>
  <c r="O1213" i="5"/>
  <c r="J1212" i="5"/>
  <c r="M1212" i="5"/>
  <c r="N1212" i="5"/>
  <c r="O1212" i="5"/>
  <c r="J1211" i="5"/>
  <c r="M1211" i="5"/>
  <c r="N1211" i="5"/>
  <c r="O1211" i="5"/>
  <c r="J1210" i="5"/>
  <c r="M1210" i="5"/>
  <c r="N1210" i="5"/>
  <c r="O1210" i="5"/>
  <c r="J1209" i="5"/>
  <c r="M1209" i="5"/>
  <c r="N1209" i="5"/>
  <c r="O1209" i="5"/>
  <c r="J1208" i="5"/>
  <c r="M1208" i="5"/>
  <c r="N1208" i="5"/>
  <c r="O1208" i="5"/>
  <c r="J1207" i="5"/>
  <c r="M1207" i="5"/>
  <c r="N1207" i="5"/>
  <c r="O1207" i="5"/>
  <c r="J1206" i="5"/>
  <c r="M1206" i="5"/>
  <c r="N1206" i="5"/>
  <c r="O1206" i="5"/>
  <c r="J1205" i="5"/>
  <c r="M1205" i="5"/>
  <c r="N1205" i="5"/>
  <c r="O1205" i="5"/>
  <c r="J1204" i="5"/>
  <c r="M1204" i="5"/>
  <c r="N1204" i="5"/>
  <c r="O1204" i="5"/>
  <c r="J1203" i="5"/>
  <c r="M1203" i="5"/>
  <c r="N1203" i="5"/>
  <c r="O1203" i="5"/>
  <c r="J1202" i="5"/>
  <c r="M1202" i="5"/>
  <c r="N1202" i="5"/>
  <c r="O1202" i="5"/>
  <c r="J1201" i="5"/>
  <c r="M1201" i="5"/>
  <c r="N1201" i="5"/>
  <c r="O1201" i="5"/>
  <c r="J1200" i="5"/>
  <c r="M1200" i="5"/>
  <c r="N1200" i="5"/>
  <c r="O1200" i="5"/>
  <c r="J1199" i="5"/>
  <c r="M1199" i="5"/>
  <c r="N1199" i="5"/>
  <c r="O1199" i="5"/>
  <c r="J1198" i="5"/>
  <c r="M1198" i="5"/>
  <c r="N1198" i="5"/>
  <c r="O1198" i="5"/>
  <c r="J1197" i="5"/>
  <c r="M1197" i="5"/>
  <c r="N1197" i="5"/>
  <c r="O1197" i="5"/>
  <c r="J1196" i="5"/>
  <c r="M1196" i="5"/>
  <c r="N1196" i="5"/>
  <c r="O1196" i="5"/>
  <c r="J1195" i="5"/>
  <c r="M1195" i="5"/>
  <c r="N1195" i="5"/>
  <c r="O1195" i="5"/>
  <c r="J1194" i="5"/>
  <c r="M1194" i="5"/>
  <c r="N1194" i="5"/>
  <c r="O1194" i="5"/>
  <c r="J1193" i="5"/>
  <c r="M1193" i="5"/>
  <c r="N1193" i="5"/>
  <c r="O1193" i="5"/>
  <c r="J1192" i="5"/>
  <c r="M1192" i="5"/>
  <c r="N1192" i="5"/>
  <c r="O1192" i="5"/>
  <c r="J1191" i="5"/>
  <c r="M1191" i="5"/>
  <c r="N1191" i="5"/>
  <c r="O1191" i="5"/>
  <c r="J1190" i="5"/>
  <c r="M1190" i="5"/>
  <c r="N1190" i="5"/>
  <c r="O1190" i="5"/>
  <c r="J1189" i="5"/>
  <c r="M1189" i="5"/>
  <c r="N1189" i="5"/>
  <c r="O1189" i="5"/>
  <c r="J1188" i="5"/>
  <c r="M1188" i="5"/>
  <c r="N1188" i="5"/>
  <c r="O1188" i="5"/>
  <c r="J1187" i="5"/>
  <c r="M1187" i="5"/>
  <c r="N1187" i="5"/>
  <c r="O1187" i="5"/>
  <c r="J1186" i="5"/>
  <c r="M1186" i="5"/>
  <c r="N1186" i="5"/>
  <c r="O1186" i="5"/>
  <c r="J1185" i="5"/>
  <c r="M1185" i="5"/>
  <c r="N1185" i="5"/>
  <c r="O1185" i="5"/>
  <c r="J1184" i="5"/>
  <c r="M1184" i="5"/>
  <c r="N1184" i="5"/>
  <c r="O1184" i="5"/>
  <c r="J1183" i="5"/>
  <c r="M1183" i="5"/>
  <c r="N1183" i="5"/>
  <c r="O1183" i="5"/>
  <c r="J1182" i="5"/>
  <c r="M1182" i="5"/>
  <c r="N1182" i="5"/>
  <c r="O1182" i="5"/>
  <c r="J1181" i="5"/>
  <c r="M1181" i="5"/>
  <c r="N1181" i="5"/>
  <c r="O1181" i="5"/>
  <c r="J1180" i="5"/>
  <c r="M1180" i="5"/>
  <c r="N1180" i="5"/>
  <c r="O1180" i="5"/>
  <c r="J1179" i="5"/>
  <c r="M1179" i="5"/>
  <c r="N1179" i="5"/>
  <c r="O1179" i="5"/>
  <c r="J1178" i="5"/>
  <c r="M1178" i="5"/>
  <c r="N1178" i="5"/>
  <c r="O1178" i="5"/>
  <c r="J1177" i="5"/>
  <c r="M1177" i="5"/>
  <c r="N1177" i="5"/>
  <c r="O1177" i="5"/>
  <c r="J1176" i="5"/>
  <c r="M1176" i="5"/>
  <c r="N1176" i="5"/>
  <c r="O1176" i="5"/>
  <c r="J1175" i="5"/>
  <c r="M1175" i="5"/>
  <c r="N1175" i="5"/>
  <c r="O1175" i="5"/>
  <c r="J1174" i="5"/>
  <c r="M1174" i="5"/>
  <c r="N1174" i="5"/>
  <c r="O1174" i="5"/>
  <c r="J1173" i="5"/>
  <c r="M1173" i="5"/>
  <c r="N1173" i="5"/>
  <c r="O1173" i="5"/>
  <c r="J1172" i="5"/>
  <c r="M1172" i="5"/>
  <c r="N1172" i="5"/>
  <c r="O1172" i="5"/>
  <c r="J1171" i="5"/>
  <c r="M1171" i="5"/>
  <c r="N1171" i="5"/>
  <c r="O1171" i="5"/>
  <c r="J1170" i="5"/>
  <c r="M1170" i="5"/>
  <c r="N1170" i="5"/>
  <c r="O1170" i="5"/>
  <c r="J1169" i="5"/>
  <c r="M1169" i="5"/>
  <c r="N1169" i="5"/>
  <c r="O1169" i="5"/>
  <c r="J1168" i="5"/>
  <c r="M1168" i="5"/>
  <c r="N1168" i="5"/>
  <c r="O1168" i="5"/>
  <c r="J1167" i="5"/>
  <c r="M1167" i="5"/>
  <c r="N1167" i="5"/>
  <c r="O1167" i="5"/>
  <c r="J1166" i="5"/>
  <c r="M1166" i="5"/>
  <c r="N1166" i="5"/>
  <c r="O1166" i="5"/>
  <c r="J1165" i="5"/>
  <c r="M1165" i="5"/>
  <c r="N1165" i="5"/>
  <c r="O1165" i="5"/>
  <c r="J1164" i="5"/>
  <c r="M1164" i="5"/>
  <c r="N1164" i="5"/>
  <c r="O1164" i="5"/>
  <c r="J1163" i="5"/>
  <c r="M1163" i="5"/>
  <c r="N1163" i="5"/>
  <c r="O1163" i="5"/>
  <c r="J1162" i="5"/>
  <c r="M1162" i="5"/>
  <c r="N1162" i="5"/>
  <c r="O1162" i="5"/>
  <c r="J1161" i="5"/>
  <c r="M1161" i="5"/>
  <c r="N1161" i="5"/>
  <c r="O1161" i="5"/>
  <c r="J1160" i="5"/>
  <c r="M1160" i="5"/>
  <c r="N1160" i="5"/>
  <c r="O1160" i="5"/>
  <c r="J1159" i="5"/>
  <c r="M1159" i="5"/>
  <c r="N1159" i="5"/>
  <c r="O1159" i="5"/>
  <c r="J1158" i="5"/>
  <c r="M1158" i="5"/>
  <c r="N1158" i="5"/>
  <c r="O1158" i="5"/>
  <c r="J1157" i="5"/>
  <c r="M1157" i="5"/>
  <c r="N1157" i="5"/>
  <c r="O1157" i="5"/>
  <c r="J1156" i="5"/>
  <c r="M1156" i="5"/>
  <c r="N1156" i="5"/>
  <c r="O1156" i="5"/>
  <c r="J1155" i="5"/>
  <c r="M1155" i="5"/>
  <c r="N1155" i="5"/>
  <c r="O1155" i="5"/>
  <c r="J1154" i="5"/>
  <c r="M1154" i="5"/>
  <c r="N1154" i="5"/>
  <c r="O1154" i="5"/>
  <c r="J1153" i="5"/>
  <c r="M1153" i="5"/>
  <c r="N1153" i="5"/>
  <c r="O1153" i="5"/>
  <c r="J1152" i="5"/>
  <c r="M1152" i="5"/>
  <c r="N1152" i="5"/>
  <c r="O1152" i="5"/>
  <c r="J1151" i="5"/>
  <c r="M1151" i="5"/>
  <c r="N1151" i="5"/>
  <c r="O1151" i="5"/>
  <c r="J1150" i="5"/>
  <c r="M1150" i="5"/>
  <c r="N1150" i="5"/>
  <c r="O1150" i="5"/>
  <c r="J1149" i="5"/>
  <c r="M1149" i="5"/>
  <c r="N1149" i="5"/>
  <c r="O1149" i="5"/>
  <c r="J1148" i="5"/>
  <c r="M1148" i="5"/>
  <c r="N1148" i="5"/>
  <c r="O1148" i="5"/>
  <c r="J1147" i="5"/>
  <c r="M1147" i="5"/>
  <c r="N1147" i="5"/>
  <c r="O1147" i="5"/>
  <c r="J1146" i="5"/>
  <c r="M1146" i="5"/>
  <c r="N1146" i="5"/>
  <c r="O1146" i="5"/>
  <c r="J1145" i="5"/>
  <c r="M1145" i="5"/>
  <c r="N1145" i="5"/>
  <c r="O1145" i="5"/>
  <c r="J1144" i="5"/>
  <c r="M1144" i="5"/>
  <c r="N1144" i="5"/>
  <c r="O1144" i="5"/>
  <c r="J1143" i="5"/>
  <c r="M1143" i="5"/>
  <c r="N1143" i="5"/>
  <c r="O1143" i="5"/>
  <c r="J1142" i="5"/>
  <c r="M1142" i="5"/>
  <c r="N1142" i="5"/>
  <c r="O1142" i="5"/>
  <c r="J1141" i="5"/>
  <c r="M1141" i="5"/>
  <c r="N1141" i="5"/>
  <c r="O1141" i="5"/>
  <c r="J1140" i="5"/>
  <c r="M1140" i="5"/>
  <c r="N1140" i="5"/>
  <c r="O1140" i="5"/>
  <c r="J1139" i="5"/>
  <c r="M1139" i="5"/>
  <c r="N1139" i="5"/>
  <c r="O1139" i="5"/>
  <c r="J1138" i="5"/>
  <c r="M1138" i="5"/>
  <c r="N1138" i="5"/>
  <c r="O1138" i="5"/>
  <c r="J1137" i="5"/>
  <c r="M1137" i="5"/>
  <c r="N1137" i="5"/>
  <c r="O1137" i="5"/>
  <c r="J1136" i="5"/>
  <c r="M1136" i="5"/>
  <c r="N1136" i="5"/>
  <c r="O1136" i="5"/>
  <c r="J1135" i="5"/>
  <c r="M1135" i="5"/>
  <c r="N1135" i="5"/>
  <c r="O1135" i="5"/>
  <c r="J1134" i="5"/>
  <c r="M1134" i="5"/>
  <c r="N1134" i="5"/>
  <c r="O1134" i="5"/>
  <c r="J1133" i="5"/>
  <c r="M1133" i="5"/>
  <c r="N1133" i="5"/>
  <c r="O1133" i="5"/>
  <c r="J1132" i="5"/>
  <c r="M1132" i="5"/>
  <c r="N1132" i="5"/>
  <c r="O1132" i="5"/>
  <c r="J1131" i="5"/>
  <c r="M1131" i="5"/>
  <c r="N1131" i="5"/>
  <c r="O1131" i="5"/>
  <c r="J1130" i="5"/>
  <c r="M1130" i="5"/>
  <c r="N1130" i="5"/>
  <c r="O1130" i="5"/>
  <c r="J1129" i="5"/>
  <c r="M1129" i="5"/>
  <c r="N1129" i="5"/>
  <c r="O1129" i="5"/>
  <c r="J1128" i="5"/>
  <c r="M1128" i="5"/>
  <c r="N1128" i="5"/>
  <c r="O1128" i="5"/>
  <c r="J1127" i="5"/>
  <c r="M1127" i="5"/>
  <c r="N1127" i="5"/>
  <c r="O1127" i="5"/>
  <c r="J1126" i="5"/>
  <c r="M1126" i="5"/>
  <c r="N1126" i="5"/>
  <c r="O1126" i="5"/>
  <c r="J1125" i="5"/>
  <c r="M1125" i="5"/>
  <c r="N1125" i="5"/>
  <c r="O1125" i="5"/>
  <c r="J1124" i="5"/>
  <c r="M1124" i="5"/>
  <c r="N1124" i="5"/>
  <c r="O1124" i="5"/>
  <c r="J1123" i="5"/>
  <c r="M1123" i="5"/>
  <c r="N1123" i="5"/>
  <c r="O1123" i="5"/>
  <c r="J1122" i="5"/>
  <c r="M1122" i="5"/>
  <c r="N1122" i="5"/>
  <c r="O1122" i="5"/>
  <c r="J1121" i="5"/>
  <c r="M1121" i="5"/>
  <c r="N1121" i="5"/>
  <c r="O1121" i="5"/>
  <c r="J1120" i="5"/>
  <c r="M1120" i="5"/>
  <c r="N1120" i="5"/>
  <c r="O1120" i="5"/>
  <c r="J1119" i="5"/>
  <c r="M1119" i="5"/>
  <c r="N1119" i="5"/>
  <c r="O1119" i="5"/>
  <c r="J1118" i="5"/>
  <c r="M1118" i="5"/>
  <c r="N1118" i="5"/>
  <c r="O1118" i="5"/>
  <c r="J1117" i="5"/>
  <c r="M1117" i="5"/>
  <c r="N1117" i="5"/>
  <c r="O1117" i="5"/>
  <c r="J1116" i="5"/>
  <c r="M1116" i="5"/>
  <c r="N1116" i="5"/>
  <c r="O1116" i="5"/>
  <c r="J1115" i="5"/>
  <c r="M1115" i="5"/>
  <c r="N1115" i="5"/>
  <c r="O1115" i="5"/>
  <c r="J1114" i="5"/>
  <c r="M1114" i="5"/>
  <c r="N1114" i="5"/>
  <c r="O1114" i="5"/>
  <c r="J1113" i="5"/>
  <c r="M1113" i="5"/>
  <c r="N1113" i="5"/>
  <c r="O1113" i="5"/>
  <c r="J1112" i="5"/>
  <c r="M1112" i="5"/>
  <c r="N1112" i="5"/>
  <c r="O1112" i="5"/>
  <c r="J1111" i="5"/>
  <c r="M1111" i="5"/>
  <c r="N1111" i="5"/>
  <c r="O1111" i="5"/>
  <c r="J1110" i="5"/>
  <c r="M1110" i="5"/>
  <c r="N1110" i="5"/>
  <c r="O1110" i="5"/>
  <c r="J1109" i="5"/>
  <c r="M1109" i="5"/>
  <c r="N1109" i="5"/>
  <c r="O1109" i="5"/>
  <c r="J1108" i="5"/>
  <c r="M1108" i="5"/>
  <c r="N1108" i="5"/>
  <c r="O1108" i="5"/>
  <c r="J1107" i="5"/>
  <c r="M1107" i="5"/>
  <c r="N1107" i="5"/>
  <c r="O1107" i="5"/>
  <c r="J1106" i="5"/>
  <c r="M1106" i="5"/>
  <c r="N1106" i="5"/>
  <c r="O1106" i="5"/>
  <c r="J1105" i="5"/>
  <c r="M1105" i="5"/>
  <c r="N1105" i="5"/>
  <c r="O1105" i="5"/>
  <c r="J1104" i="5"/>
  <c r="M1104" i="5"/>
  <c r="N1104" i="5"/>
  <c r="O1104" i="5"/>
  <c r="J1103" i="5"/>
  <c r="M1103" i="5"/>
  <c r="N1103" i="5"/>
  <c r="O1103" i="5"/>
  <c r="J1102" i="5"/>
  <c r="M1102" i="5"/>
  <c r="N1102" i="5"/>
  <c r="O1102" i="5"/>
  <c r="J1101" i="5"/>
  <c r="M1101" i="5"/>
  <c r="N1101" i="5"/>
  <c r="O1101" i="5"/>
  <c r="J1100" i="5"/>
  <c r="M1100" i="5"/>
  <c r="N1100" i="5"/>
  <c r="O1100" i="5"/>
  <c r="J1099" i="5"/>
  <c r="M1099" i="5"/>
  <c r="N1099" i="5"/>
  <c r="O1099" i="5"/>
  <c r="J1098" i="5"/>
  <c r="M1098" i="5"/>
  <c r="N1098" i="5"/>
  <c r="O1098" i="5"/>
  <c r="J1097" i="5"/>
  <c r="M1097" i="5"/>
  <c r="N1097" i="5"/>
  <c r="O1097" i="5"/>
  <c r="J1096" i="5"/>
  <c r="M1096" i="5"/>
  <c r="N1096" i="5"/>
  <c r="O1096" i="5"/>
  <c r="J1095" i="5"/>
  <c r="M1095" i="5"/>
  <c r="N1095" i="5"/>
  <c r="O1095" i="5"/>
  <c r="J1094" i="5"/>
  <c r="M1094" i="5"/>
  <c r="N1094" i="5"/>
  <c r="O1094" i="5"/>
  <c r="J1093" i="5"/>
  <c r="M1093" i="5"/>
  <c r="N1093" i="5"/>
  <c r="O1093" i="5"/>
  <c r="J1092" i="5"/>
  <c r="M1092" i="5"/>
  <c r="N1092" i="5"/>
  <c r="O1092" i="5"/>
  <c r="J1091" i="5"/>
  <c r="M1091" i="5"/>
  <c r="N1091" i="5"/>
  <c r="O1091" i="5"/>
  <c r="J1090" i="5"/>
  <c r="M1090" i="5"/>
  <c r="N1090" i="5"/>
  <c r="O1090" i="5"/>
  <c r="J1089" i="5"/>
  <c r="M1089" i="5"/>
  <c r="N1089" i="5"/>
  <c r="O1089" i="5"/>
  <c r="J1088" i="5"/>
  <c r="M1088" i="5"/>
  <c r="N1088" i="5"/>
  <c r="O1088" i="5"/>
  <c r="J1087" i="5"/>
  <c r="M1087" i="5"/>
  <c r="N1087" i="5"/>
  <c r="O1087" i="5"/>
  <c r="J1086" i="5"/>
  <c r="M1086" i="5"/>
  <c r="N1086" i="5"/>
  <c r="O1086" i="5"/>
  <c r="J1085" i="5"/>
  <c r="M1085" i="5"/>
  <c r="N1085" i="5"/>
  <c r="O1085" i="5"/>
  <c r="J1084" i="5"/>
  <c r="M1084" i="5"/>
  <c r="N1084" i="5"/>
  <c r="O1084" i="5"/>
  <c r="J1083" i="5"/>
  <c r="M1083" i="5"/>
  <c r="N1083" i="5"/>
  <c r="O1083" i="5"/>
  <c r="J1082" i="5"/>
  <c r="M1082" i="5"/>
  <c r="N1082" i="5"/>
  <c r="O1082" i="5"/>
  <c r="J1081" i="5"/>
  <c r="M1081" i="5"/>
  <c r="N1081" i="5"/>
  <c r="O1081" i="5"/>
  <c r="J1080" i="5"/>
  <c r="M1080" i="5"/>
  <c r="N1080" i="5"/>
  <c r="O1080" i="5"/>
  <c r="J1079" i="5"/>
  <c r="M1079" i="5"/>
  <c r="N1079" i="5"/>
  <c r="O1079" i="5"/>
  <c r="J1078" i="5"/>
  <c r="M1078" i="5"/>
  <c r="N1078" i="5"/>
  <c r="O1078" i="5"/>
  <c r="J1077" i="5"/>
  <c r="M1077" i="5"/>
  <c r="N1077" i="5"/>
  <c r="O1077" i="5"/>
  <c r="J1076" i="5"/>
  <c r="M1076" i="5"/>
  <c r="N1076" i="5"/>
  <c r="O1076" i="5"/>
  <c r="J1075" i="5"/>
  <c r="M1075" i="5"/>
  <c r="N1075" i="5"/>
  <c r="O1075" i="5"/>
  <c r="J1074" i="5"/>
  <c r="M1074" i="5"/>
  <c r="N1074" i="5"/>
  <c r="O1074" i="5"/>
  <c r="J1073" i="5"/>
  <c r="M1073" i="5"/>
  <c r="N1073" i="5"/>
  <c r="O1073" i="5"/>
  <c r="J1072" i="5"/>
  <c r="M1072" i="5"/>
  <c r="N1072" i="5"/>
  <c r="O1072" i="5"/>
  <c r="J1071" i="5"/>
  <c r="M1071" i="5"/>
  <c r="N1071" i="5"/>
  <c r="O1071" i="5"/>
  <c r="J1070" i="5"/>
  <c r="M1070" i="5"/>
  <c r="N1070" i="5"/>
  <c r="O1070" i="5"/>
  <c r="J1069" i="5"/>
  <c r="M1069" i="5"/>
  <c r="N1069" i="5"/>
  <c r="O1069" i="5"/>
  <c r="J1068" i="5"/>
  <c r="M1068" i="5"/>
  <c r="N1068" i="5"/>
  <c r="O1068" i="5"/>
  <c r="J1067" i="5"/>
  <c r="M1067" i="5"/>
  <c r="N1067" i="5"/>
  <c r="O1067" i="5"/>
  <c r="J1066" i="5"/>
  <c r="M1066" i="5"/>
  <c r="N1066" i="5"/>
  <c r="O1066" i="5"/>
  <c r="J1065" i="5"/>
  <c r="M1065" i="5"/>
  <c r="N1065" i="5"/>
  <c r="O1065" i="5"/>
  <c r="J1064" i="5"/>
  <c r="M1064" i="5"/>
  <c r="N1064" i="5"/>
  <c r="O1064" i="5"/>
  <c r="J1063" i="5"/>
  <c r="M1063" i="5"/>
  <c r="N1063" i="5"/>
  <c r="O1063" i="5"/>
  <c r="J1062" i="5"/>
  <c r="M1062" i="5"/>
  <c r="N1062" i="5"/>
  <c r="O1062" i="5"/>
  <c r="J1061" i="5"/>
  <c r="M1061" i="5"/>
  <c r="N1061" i="5"/>
  <c r="O1061" i="5"/>
  <c r="J1060" i="5"/>
  <c r="M1060" i="5"/>
  <c r="N1060" i="5"/>
  <c r="O1060" i="5"/>
  <c r="J1059" i="5"/>
  <c r="M1059" i="5"/>
  <c r="N1059" i="5"/>
  <c r="O1059" i="5"/>
  <c r="J1058" i="5"/>
  <c r="M1058" i="5"/>
  <c r="N1058" i="5"/>
  <c r="O1058" i="5"/>
  <c r="J1057" i="5"/>
  <c r="M1057" i="5"/>
  <c r="N1057" i="5"/>
  <c r="O1057" i="5"/>
  <c r="J1056" i="5"/>
  <c r="M1056" i="5"/>
  <c r="N1056" i="5"/>
  <c r="O1056" i="5"/>
  <c r="J1055" i="5"/>
  <c r="M1055" i="5"/>
  <c r="N1055" i="5"/>
  <c r="O1055" i="5"/>
  <c r="J1054" i="5"/>
  <c r="M1054" i="5"/>
  <c r="N1054" i="5"/>
  <c r="O1054" i="5"/>
  <c r="J1053" i="5"/>
  <c r="M1053" i="5"/>
  <c r="N1053" i="5"/>
  <c r="O1053" i="5"/>
  <c r="J1052" i="5"/>
  <c r="M1052" i="5"/>
  <c r="N1052" i="5"/>
  <c r="O1052" i="5"/>
  <c r="J1051" i="5"/>
  <c r="M1051" i="5"/>
  <c r="N1051" i="5"/>
  <c r="O1051" i="5"/>
  <c r="J1050" i="5"/>
  <c r="M1050" i="5"/>
  <c r="N1050" i="5"/>
  <c r="O1050" i="5"/>
  <c r="J1049" i="5"/>
  <c r="M1049" i="5"/>
  <c r="N1049" i="5"/>
  <c r="O1049" i="5"/>
  <c r="J1048" i="5"/>
  <c r="M1048" i="5"/>
  <c r="N1048" i="5"/>
  <c r="O1048" i="5"/>
  <c r="J1047" i="5"/>
  <c r="M1047" i="5"/>
  <c r="N1047" i="5"/>
  <c r="O1047" i="5"/>
  <c r="J1046" i="5"/>
  <c r="M1046" i="5"/>
  <c r="N1046" i="5"/>
  <c r="O1046" i="5"/>
  <c r="J1045" i="5"/>
  <c r="M1045" i="5"/>
  <c r="N1045" i="5"/>
  <c r="O1045" i="5"/>
  <c r="J1044" i="5"/>
  <c r="M1044" i="5"/>
  <c r="N1044" i="5"/>
  <c r="O1044" i="5"/>
  <c r="J1043" i="5"/>
  <c r="M1043" i="5"/>
  <c r="N1043" i="5"/>
  <c r="O1043" i="5"/>
  <c r="J1042" i="5"/>
  <c r="M1042" i="5"/>
  <c r="N1042" i="5"/>
  <c r="O1042" i="5"/>
  <c r="J1041" i="5"/>
  <c r="M1041" i="5"/>
  <c r="N1041" i="5"/>
  <c r="O1041" i="5"/>
  <c r="J1040" i="5"/>
  <c r="M1040" i="5"/>
  <c r="N1040" i="5"/>
  <c r="O1040" i="5"/>
  <c r="J1039" i="5"/>
  <c r="M1039" i="5"/>
  <c r="N1039" i="5"/>
  <c r="O1039" i="5"/>
  <c r="J1038" i="5"/>
  <c r="M1038" i="5"/>
  <c r="N1038" i="5"/>
  <c r="O1038" i="5"/>
  <c r="J1037" i="5"/>
  <c r="M1037" i="5"/>
  <c r="N1037" i="5"/>
  <c r="O1037" i="5"/>
  <c r="J1036" i="5"/>
  <c r="M1036" i="5"/>
  <c r="N1036" i="5"/>
  <c r="O1036" i="5"/>
  <c r="J1035" i="5"/>
  <c r="M1035" i="5"/>
  <c r="N1035" i="5"/>
  <c r="O1035" i="5"/>
  <c r="J1034" i="5"/>
  <c r="M1034" i="5"/>
  <c r="N1034" i="5"/>
  <c r="O1034" i="5"/>
  <c r="J1033" i="5"/>
  <c r="M1033" i="5"/>
  <c r="N1033" i="5"/>
  <c r="O1033" i="5"/>
  <c r="J1032" i="5"/>
  <c r="M1032" i="5"/>
  <c r="N1032" i="5"/>
  <c r="O1032" i="5"/>
  <c r="J1031" i="5"/>
  <c r="M1031" i="5"/>
  <c r="N1031" i="5"/>
  <c r="O1031" i="5"/>
  <c r="J1030" i="5"/>
  <c r="M1030" i="5"/>
  <c r="N1030" i="5"/>
  <c r="O1030" i="5"/>
  <c r="J1029" i="5"/>
  <c r="M1029" i="5"/>
  <c r="N1029" i="5"/>
  <c r="O1029" i="5"/>
  <c r="J1028" i="5"/>
  <c r="M1028" i="5"/>
  <c r="N1028" i="5"/>
  <c r="O1028" i="5"/>
  <c r="J1027" i="5"/>
  <c r="M1027" i="5"/>
  <c r="N1027" i="5"/>
  <c r="O1027" i="5"/>
  <c r="J1026" i="5"/>
  <c r="M1026" i="5"/>
  <c r="N1026" i="5"/>
  <c r="O1026" i="5"/>
  <c r="J1025" i="5"/>
  <c r="M1025" i="5"/>
  <c r="N1025" i="5"/>
  <c r="O1025" i="5"/>
  <c r="J1024" i="5"/>
  <c r="M1024" i="5"/>
  <c r="N1024" i="5"/>
  <c r="O1024" i="5"/>
  <c r="J1023" i="5"/>
  <c r="M1023" i="5"/>
  <c r="N1023" i="5"/>
  <c r="O1023" i="5"/>
  <c r="J1022" i="5"/>
  <c r="M1022" i="5"/>
  <c r="N1022" i="5"/>
  <c r="O1022" i="5"/>
  <c r="J1021" i="5"/>
  <c r="M1021" i="5"/>
  <c r="N1021" i="5"/>
  <c r="O1021" i="5"/>
  <c r="J1020" i="5"/>
  <c r="M1020" i="5"/>
  <c r="N1020" i="5"/>
  <c r="O1020" i="5"/>
  <c r="J1019" i="5"/>
  <c r="M1019" i="5"/>
  <c r="N1019" i="5"/>
  <c r="O1019" i="5"/>
  <c r="J1018" i="5"/>
  <c r="M1018" i="5"/>
  <c r="N1018" i="5"/>
  <c r="O1018" i="5"/>
  <c r="J1017" i="5"/>
  <c r="M1017" i="5"/>
  <c r="N1017" i="5"/>
  <c r="O1017" i="5"/>
  <c r="J1016" i="5"/>
  <c r="M1016" i="5"/>
  <c r="N1016" i="5"/>
  <c r="O1016" i="5"/>
  <c r="J1015" i="5"/>
  <c r="M1015" i="5"/>
  <c r="N1015" i="5"/>
  <c r="O1015" i="5"/>
  <c r="J1014" i="5"/>
  <c r="M1014" i="5"/>
  <c r="N1014" i="5"/>
  <c r="O1014" i="5"/>
  <c r="J1013" i="5"/>
  <c r="M1013" i="5"/>
  <c r="N1013" i="5"/>
  <c r="O1013" i="5"/>
  <c r="J1012" i="5"/>
  <c r="M1012" i="5"/>
  <c r="N1012" i="5"/>
  <c r="O1012" i="5"/>
  <c r="J1011" i="5"/>
  <c r="M1011" i="5"/>
  <c r="N1011" i="5"/>
  <c r="O1011" i="5"/>
  <c r="J1010" i="5"/>
  <c r="M1010" i="5"/>
  <c r="N1010" i="5"/>
  <c r="O1010" i="5"/>
  <c r="J1009" i="5"/>
  <c r="M1009" i="5"/>
  <c r="N1009" i="5"/>
  <c r="O1009" i="5"/>
  <c r="J1008" i="5"/>
  <c r="M1008" i="5"/>
  <c r="N1008" i="5"/>
  <c r="O1008" i="5"/>
  <c r="J1007" i="5"/>
  <c r="M1007" i="5"/>
  <c r="N1007" i="5"/>
  <c r="O1007" i="5"/>
  <c r="J1006" i="5"/>
  <c r="M1006" i="5"/>
  <c r="N1006" i="5"/>
  <c r="O1006" i="5"/>
  <c r="J1005" i="5"/>
  <c r="M1005" i="5"/>
  <c r="N1005" i="5"/>
  <c r="O1005" i="5"/>
  <c r="J1004" i="5"/>
  <c r="M1004" i="5"/>
  <c r="N1004" i="5"/>
  <c r="O1004" i="5"/>
  <c r="J1003" i="5"/>
  <c r="M1003" i="5"/>
  <c r="N1003" i="5"/>
  <c r="O1003" i="5"/>
  <c r="J1002" i="5"/>
  <c r="M1002" i="5"/>
  <c r="N1002" i="5"/>
  <c r="O1002" i="5"/>
  <c r="J1001" i="5"/>
  <c r="M1001" i="5"/>
  <c r="N1001" i="5"/>
  <c r="O1001" i="5"/>
  <c r="J1000" i="5"/>
  <c r="M1000" i="5"/>
  <c r="N1000" i="5"/>
  <c r="O1000" i="5"/>
  <c r="J999" i="5"/>
  <c r="M999" i="5"/>
  <c r="N999" i="5"/>
  <c r="O999" i="5"/>
  <c r="J998" i="5"/>
  <c r="M998" i="5"/>
  <c r="N998" i="5"/>
  <c r="O998" i="5"/>
  <c r="J997" i="5"/>
  <c r="M997" i="5"/>
  <c r="N997" i="5"/>
  <c r="O997" i="5"/>
  <c r="J996" i="5"/>
  <c r="M996" i="5"/>
  <c r="N996" i="5"/>
  <c r="O996" i="5"/>
  <c r="J995" i="5"/>
  <c r="M995" i="5"/>
  <c r="N995" i="5"/>
  <c r="O995" i="5"/>
  <c r="J994" i="5"/>
  <c r="M994" i="5"/>
  <c r="N994" i="5"/>
  <c r="O994" i="5"/>
  <c r="J993" i="5"/>
  <c r="M993" i="5"/>
  <c r="N993" i="5"/>
  <c r="O993" i="5"/>
  <c r="J992" i="5"/>
  <c r="M992" i="5"/>
  <c r="N992" i="5"/>
  <c r="O992" i="5"/>
  <c r="J991" i="5"/>
  <c r="M991" i="5"/>
  <c r="N991" i="5"/>
  <c r="O991" i="5"/>
  <c r="J990" i="5"/>
  <c r="M990" i="5"/>
  <c r="N990" i="5"/>
  <c r="O990" i="5"/>
  <c r="J989" i="5"/>
  <c r="M989" i="5"/>
  <c r="N989" i="5"/>
  <c r="O989" i="5"/>
  <c r="J988" i="5"/>
  <c r="M988" i="5"/>
  <c r="N988" i="5"/>
  <c r="O988" i="5"/>
  <c r="J987" i="5"/>
  <c r="M987" i="5"/>
  <c r="N987" i="5"/>
  <c r="O987" i="5"/>
  <c r="J986" i="5"/>
  <c r="M986" i="5"/>
  <c r="N986" i="5"/>
  <c r="O986" i="5"/>
  <c r="J985" i="5"/>
  <c r="M985" i="5"/>
  <c r="N985" i="5"/>
  <c r="O985" i="5"/>
  <c r="J984" i="5"/>
  <c r="M984" i="5"/>
  <c r="N984" i="5"/>
  <c r="O984" i="5"/>
  <c r="J983" i="5"/>
  <c r="M983" i="5"/>
  <c r="N983" i="5"/>
  <c r="O983" i="5"/>
  <c r="J982" i="5"/>
  <c r="M982" i="5"/>
  <c r="N982" i="5"/>
  <c r="O982" i="5"/>
  <c r="J981" i="5"/>
  <c r="M981" i="5"/>
  <c r="N981" i="5"/>
  <c r="O981" i="5"/>
  <c r="J980" i="5"/>
  <c r="M980" i="5"/>
  <c r="N980" i="5"/>
  <c r="O980" i="5"/>
  <c r="J979" i="5"/>
  <c r="M979" i="5"/>
  <c r="N979" i="5"/>
  <c r="O979" i="5"/>
  <c r="J978" i="5"/>
  <c r="M978" i="5"/>
  <c r="N978" i="5"/>
  <c r="O978" i="5"/>
  <c r="J977" i="5"/>
  <c r="M977" i="5"/>
  <c r="N977" i="5"/>
  <c r="O977" i="5"/>
  <c r="J976" i="5"/>
  <c r="M976" i="5"/>
  <c r="N976" i="5"/>
  <c r="O976" i="5"/>
  <c r="J975" i="5"/>
  <c r="M975" i="5"/>
  <c r="N975" i="5"/>
  <c r="O975" i="5"/>
  <c r="J974" i="5"/>
  <c r="M974" i="5"/>
  <c r="N974" i="5"/>
  <c r="O974" i="5"/>
  <c r="J973" i="5"/>
  <c r="M973" i="5"/>
  <c r="N973" i="5"/>
  <c r="O973" i="5"/>
  <c r="J972" i="5"/>
  <c r="M972" i="5"/>
  <c r="N972" i="5"/>
  <c r="O972" i="5"/>
  <c r="J971" i="5"/>
  <c r="M971" i="5"/>
  <c r="N971" i="5"/>
  <c r="O971" i="5"/>
  <c r="J970" i="5"/>
  <c r="M970" i="5"/>
  <c r="N970" i="5"/>
  <c r="O970" i="5"/>
  <c r="J969" i="5"/>
  <c r="M969" i="5"/>
  <c r="N969" i="5"/>
  <c r="O969" i="5"/>
  <c r="J968" i="5"/>
  <c r="M968" i="5"/>
  <c r="N968" i="5"/>
  <c r="O968" i="5"/>
  <c r="J967" i="5"/>
  <c r="M967" i="5"/>
  <c r="N967" i="5"/>
  <c r="O967" i="5"/>
  <c r="J966" i="5"/>
  <c r="M966" i="5"/>
  <c r="N966" i="5"/>
  <c r="O966" i="5"/>
  <c r="J965" i="5"/>
  <c r="M965" i="5"/>
  <c r="N965" i="5"/>
  <c r="O965" i="5"/>
  <c r="J964" i="5"/>
  <c r="M964" i="5"/>
  <c r="N964" i="5"/>
  <c r="O964" i="5"/>
  <c r="J963" i="5"/>
  <c r="M963" i="5"/>
  <c r="N963" i="5"/>
  <c r="O963" i="5"/>
  <c r="J962" i="5"/>
  <c r="M962" i="5"/>
  <c r="N962" i="5"/>
  <c r="O962" i="5"/>
  <c r="J961" i="5"/>
  <c r="M961" i="5"/>
  <c r="N961" i="5"/>
  <c r="O961" i="5"/>
  <c r="J960" i="5"/>
  <c r="M960" i="5"/>
  <c r="N960" i="5"/>
  <c r="O960" i="5"/>
  <c r="J959" i="5"/>
  <c r="M959" i="5"/>
  <c r="N959" i="5"/>
  <c r="O959" i="5"/>
  <c r="J958" i="5"/>
  <c r="M958" i="5"/>
  <c r="N958" i="5"/>
  <c r="O958" i="5"/>
  <c r="J957" i="5"/>
  <c r="M957" i="5"/>
  <c r="N957" i="5"/>
  <c r="O957" i="5"/>
  <c r="J956" i="5"/>
  <c r="M956" i="5"/>
  <c r="N956" i="5"/>
  <c r="O956" i="5"/>
  <c r="J955" i="5"/>
  <c r="M955" i="5"/>
  <c r="N955" i="5"/>
  <c r="O955" i="5"/>
  <c r="J954" i="5"/>
  <c r="M954" i="5"/>
  <c r="N954" i="5"/>
  <c r="O954" i="5"/>
  <c r="J953" i="5"/>
  <c r="M953" i="5"/>
  <c r="N953" i="5"/>
  <c r="O953" i="5"/>
  <c r="J952" i="5"/>
  <c r="M952" i="5"/>
  <c r="N952" i="5"/>
  <c r="O952" i="5"/>
  <c r="J951" i="5"/>
  <c r="M951" i="5"/>
  <c r="N951" i="5"/>
  <c r="O951" i="5"/>
  <c r="J950" i="5"/>
  <c r="M950" i="5"/>
  <c r="N950" i="5"/>
  <c r="O950" i="5"/>
  <c r="J949" i="5"/>
  <c r="M949" i="5"/>
  <c r="N949" i="5"/>
  <c r="O949" i="5"/>
  <c r="J948" i="5"/>
  <c r="M948" i="5"/>
  <c r="N948" i="5"/>
  <c r="O948" i="5"/>
  <c r="J947" i="5"/>
  <c r="M947" i="5"/>
  <c r="N947" i="5"/>
  <c r="O947" i="5"/>
  <c r="J946" i="5"/>
  <c r="M946" i="5"/>
  <c r="N946" i="5"/>
  <c r="O946" i="5"/>
  <c r="J945" i="5"/>
  <c r="M945" i="5"/>
  <c r="N945" i="5"/>
  <c r="O945" i="5"/>
  <c r="J944" i="5"/>
  <c r="M944" i="5"/>
  <c r="N944" i="5"/>
  <c r="O944" i="5"/>
  <c r="J943" i="5"/>
  <c r="M943" i="5"/>
  <c r="N943" i="5"/>
  <c r="O943" i="5"/>
  <c r="J942" i="5"/>
  <c r="M942" i="5"/>
  <c r="N942" i="5"/>
  <c r="O942" i="5"/>
  <c r="J941" i="5"/>
  <c r="M941" i="5"/>
  <c r="N941" i="5"/>
  <c r="O941" i="5"/>
  <c r="J940" i="5"/>
  <c r="M940" i="5"/>
  <c r="N940" i="5"/>
  <c r="O940" i="5"/>
  <c r="J939" i="5"/>
  <c r="M939" i="5"/>
  <c r="N939" i="5"/>
  <c r="O939" i="5"/>
  <c r="J938" i="5"/>
  <c r="M938" i="5"/>
  <c r="N938" i="5"/>
  <c r="O938" i="5"/>
  <c r="J937" i="5"/>
  <c r="M937" i="5"/>
  <c r="N937" i="5"/>
  <c r="O937" i="5"/>
  <c r="J936" i="5"/>
  <c r="M936" i="5"/>
  <c r="N936" i="5"/>
  <c r="O936" i="5"/>
  <c r="J935" i="5"/>
  <c r="M935" i="5"/>
  <c r="N935" i="5"/>
  <c r="O935" i="5"/>
  <c r="J934" i="5"/>
  <c r="M934" i="5"/>
  <c r="N934" i="5"/>
  <c r="O934" i="5"/>
  <c r="J933" i="5"/>
  <c r="M933" i="5"/>
  <c r="N933" i="5"/>
  <c r="O933" i="5"/>
  <c r="J932" i="5"/>
  <c r="M932" i="5"/>
  <c r="N932" i="5"/>
  <c r="O932" i="5"/>
  <c r="J931" i="5"/>
  <c r="M931" i="5"/>
  <c r="N931" i="5"/>
  <c r="O931" i="5"/>
  <c r="J930" i="5"/>
  <c r="M930" i="5"/>
  <c r="N930" i="5"/>
  <c r="O930" i="5"/>
  <c r="J929" i="5"/>
  <c r="M929" i="5"/>
  <c r="N929" i="5"/>
  <c r="O929" i="5"/>
  <c r="J928" i="5"/>
  <c r="M928" i="5"/>
  <c r="N928" i="5"/>
  <c r="O928" i="5"/>
  <c r="J927" i="5"/>
  <c r="M927" i="5"/>
  <c r="N927" i="5"/>
  <c r="O927" i="5"/>
  <c r="J926" i="5"/>
  <c r="M926" i="5"/>
  <c r="N926" i="5"/>
  <c r="O926" i="5"/>
  <c r="J925" i="5"/>
  <c r="M925" i="5"/>
  <c r="N925" i="5"/>
  <c r="O925" i="5"/>
  <c r="J924" i="5"/>
  <c r="M924" i="5"/>
  <c r="N924" i="5"/>
  <c r="O924" i="5"/>
  <c r="J923" i="5"/>
  <c r="M923" i="5"/>
  <c r="N923" i="5"/>
  <c r="O923" i="5"/>
  <c r="J922" i="5"/>
  <c r="M922" i="5"/>
  <c r="N922" i="5"/>
  <c r="O922" i="5"/>
  <c r="J921" i="5"/>
  <c r="M921" i="5"/>
  <c r="N921" i="5"/>
  <c r="O921" i="5"/>
  <c r="J920" i="5"/>
  <c r="M920" i="5"/>
  <c r="N920" i="5"/>
  <c r="O920" i="5"/>
  <c r="J919" i="5"/>
  <c r="M919" i="5"/>
  <c r="N919" i="5"/>
  <c r="O919" i="5"/>
  <c r="J918" i="5"/>
  <c r="M918" i="5"/>
  <c r="N918" i="5"/>
  <c r="O918" i="5"/>
  <c r="J917" i="5"/>
  <c r="M917" i="5"/>
  <c r="N917" i="5"/>
  <c r="O917" i="5"/>
  <c r="J916" i="5"/>
  <c r="M916" i="5"/>
  <c r="N916" i="5"/>
  <c r="O916" i="5"/>
  <c r="J915" i="5"/>
  <c r="M915" i="5"/>
  <c r="N915" i="5"/>
  <c r="O915" i="5"/>
  <c r="J914" i="5"/>
  <c r="M914" i="5"/>
  <c r="N914" i="5"/>
  <c r="O914" i="5"/>
  <c r="J913" i="5"/>
  <c r="M913" i="5"/>
  <c r="N913" i="5"/>
  <c r="O913" i="5"/>
  <c r="J912" i="5"/>
  <c r="M912" i="5"/>
  <c r="N912" i="5"/>
  <c r="O912" i="5"/>
  <c r="J911" i="5"/>
  <c r="M911" i="5"/>
  <c r="N911" i="5"/>
  <c r="O911" i="5"/>
  <c r="J910" i="5"/>
  <c r="M910" i="5"/>
  <c r="N910" i="5"/>
  <c r="O910" i="5"/>
  <c r="J909" i="5"/>
  <c r="M909" i="5"/>
  <c r="N909" i="5"/>
  <c r="O909" i="5"/>
  <c r="J908" i="5"/>
  <c r="M908" i="5"/>
  <c r="N908" i="5"/>
  <c r="O908" i="5"/>
  <c r="J907" i="5"/>
  <c r="M907" i="5"/>
  <c r="N907" i="5"/>
  <c r="O907" i="5"/>
  <c r="J906" i="5"/>
  <c r="M906" i="5"/>
  <c r="N906" i="5"/>
  <c r="O906" i="5"/>
  <c r="J905" i="5"/>
  <c r="M905" i="5"/>
  <c r="N905" i="5"/>
  <c r="O905" i="5"/>
  <c r="J904" i="5"/>
  <c r="M904" i="5"/>
  <c r="N904" i="5"/>
  <c r="O904" i="5"/>
  <c r="J903" i="5"/>
  <c r="M903" i="5"/>
  <c r="N903" i="5"/>
  <c r="O903" i="5"/>
  <c r="J902" i="5"/>
  <c r="M902" i="5"/>
  <c r="N902" i="5"/>
  <c r="O902" i="5"/>
  <c r="J901" i="5"/>
  <c r="M901" i="5"/>
  <c r="N901" i="5"/>
  <c r="O901" i="5"/>
  <c r="J900" i="5"/>
  <c r="M900" i="5"/>
  <c r="N900" i="5"/>
  <c r="O900" i="5"/>
  <c r="J899" i="5"/>
  <c r="M899" i="5"/>
  <c r="N899" i="5"/>
  <c r="O899" i="5"/>
  <c r="J898" i="5"/>
  <c r="M898" i="5"/>
  <c r="N898" i="5"/>
  <c r="O898" i="5"/>
  <c r="J897" i="5"/>
  <c r="M897" i="5"/>
  <c r="N897" i="5"/>
  <c r="O897" i="5"/>
  <c r="J896" i="5"/>
  <c r="M896" i="5"/>
  <c r="N896" i="5"/>
  <c r="O896" i="5"/>
  <c r="J895" i="5"/>
  <c r="M895" i="5"/>
  <c r="N895" i="5"/>
  <c r="O895" i="5"/>
  <c r="J894" i="5"/>
  <c r="M894" i="5"/>
  <c r="N894" i="5"/>
  <c r="O894" i="5"/>
  <c r="J893" i="5"/>
  <c r="M893" i="5"/>
  <c r="N893" i="5"/>
  <c r="O893" i="5"/>
  <c r="J892" i="5"/>
  <c r="M892" i="5"/>
  <c r="N892" i="5"/>
  <c r="O892" i="5"/>
  <c r="J891" i="5"/>
  <c r="M891" i="5"/>
  <c r="N891" i="5"/>
  <c r="O891" i="5"/>
  <c r="J890" i="5"/>
  <c r="M890" i="5"/>
  <c r="N890" i="5"/>
  <c r="O890" i="5"/>
  <c r="J889" i="5"/>
  <c r="M889" i="5"/>
  <c r="N889" i="5"/>
  <c r="O889" i="5"/>
  <c r="J888" i="5"/>
  <c r="M888" i="5"/>
  <c r="N888" i="5"/>
  <c r="O888" i="5"/>
  <c r="J887" i="5"/>
  <c r="M887" i="5"/>
  <c r="N887" i="5"/>
  <c r="O887" i="5"/>
  <c r="J886" i="5"/>
  <c r="M886" i="5"/>
  <c r="N886" i="5"/>
  <c r="O886" i="5"/>
  <c r="J885" i="5"/>
  <c r="M885" i="5"/>
  <c r="N885" i="5"/>
  <c r="O885" i="5"/>
  <c r="J884" i="5"/>
  <c r="M884" i="5"/>
  <c r="N884" i="5"/>
  <c r="O884" i="5"/>
  <c r="J883" i="5"/>
  <c r="M883" i="5"/>
  <c r="N883" i="5"/>
  <c r="O883" i="5"/>
  <c r="J882" i="5"/>
  <c r="M882" i="5"/>
  <c r="N882" i="5"/>
  <c r="O882" i="5"/>
  <c r="J881" i="5"/>
  <c r="M881" i="5"/>
  <c r="N881" i="5"/>
  <c r="O881" i="5"/>
  <c r="J880" i="5"/>
  <c r="M880" i="5"/>
  <c r="N880" i="5"/>
  <c r="O880" i="5"/>
  <c r="J879" i="5"/>
  <c r="M879" i="5"/>
  <c r="N879" i="5"/>
  <c r="O879" i="5"/>
  <c r="J878" i="5"/>
  <c r="M878" i="5"/>
  <c r="N878" i="5"/>
  <c r="O878" i="5"/>
  <c r="J877" i="5"/>
  <c r="M877" i="5"/>
  <c r="N877" i="5"/>
  <c r="O877" i="5"/>
  <c r="J876" i="5"/>
  <c r="M876" i="5"/>
  <c r="N876" i="5"/>
  <c r="O876" i="5"/>
  <c r="J875" i="5"/>
  <c r="M875" i="5"/>
  <c r="N875" i="5"/>
  <c r="O875" i="5"/>
  <c r="J874" i="5"/>
  <c r="M874" i="5"/>
  <c r="N874" i="5"/>
  <c r="O874" i="5"/>
  <c r="J873" i="5"/>
  <c r="M873" i="5"/>
  <c r="N873" i="5"/>
  <c r="O873" i="5"/>
  <c r="J872" i="5"/>
  <c r="M872" i="5"/>
  <c r="N872" i="5"/>
  <c r="O872" i="5"/>
  <c r="J871" i="5"/>
  <c r="M871" i="5"/>
  <c r="N871" i="5"/>
  <c r="O871" i="5"/>
  <c r="J870" i="5"/>
  <c r="M870" i="5"/>
  <c r="N870" i="5"/>
  <c r="O870" i="5"/>
  <c r="J869" i="5"/>
  <c r="M869" i="5"/>
  <c r="N869" i="5"/>
  <c r="O869" i="5"/>
  <c r="J868" i="5"/>
  <c r="M868" i="5"/>
  <c r="N868" i="5"/>
  <c r="O868" i="5"/>
  <c r="J867" i="5"/>
  <c r="M867" i="5"/>
  <c r="N867" i="5"/>
  <c r="O867" i="5"/>
  <c r="J866" i="5"/>
  <c r="M866" i="5"/>
  <c r="N866" i="5"/>
  <c r="O866" i="5"/>
  <c r="J865" i="5"/>
  <c r="M865" i="5"/>
  <c r="N865" i="5"/>
  <c r="O865" i="5"/>
  <c r="J864" i="5"/>
  <c r="M864" i="5"/>
  <c r="N864" i="5"/>
  <c r="O864" i="5"/>
  <c r="J863" i="5"/>
  <c r="M863" i="5"/>
  <c r="N863" i="5"/>
  <c r="O863" i="5"/>
  <c r="J862" i="5"/>
  <c r="M862" i="5"/>
  <c r="N862" i="5"/>
  <c r="O862" i="5"/>
  <c r="J861" i="5"/>
  <c r="M861" i="5"/>
  <c r="N861" i="5"/>
  <c r="O861" i="5"/>
  <c r="J860" i="5"/>
  <c r="M860" i="5"/>
  <c r="N860" i="5"/>
  <c r="O860" i="5"/>
  <c r="J859" i="5"/>
  <c r="M859" i="5"/>
  <c r="N859" i="5"/>
  <c r="O859" i="5"/>
  <c r="J858" i="5"/>
  <c r="M858" i="5"/>
  <c r="N858" i="5"/>
  <c r="O858" i="5"/>
  <c r="J857" i="5"/>
  <c r="M857" i="5"/>
  <c r="N857" i="5"/>
  <c r="O857" i="5"/>
  <c r="J856" i="5"/>
  <c r="M856" i="5"/>
  <c r="N856" i="5"/>
  <c r="O856" i="5"/>
  <c r="J855" i="5"/>
  <c r="M855" i="5"/>
  <c r="N855" i="5"/>
  <c r="O855" i="5"/>
  <c r="J854" i="5"/>
  <c r="M854" i="5"/>
  <c r="N854" i="5"/>
  <c r="O854" i="5"/>
  <c r="J853" i="5"/>
  <c r="M853" i="5"/>
  <c r="N853" i="5"/>
  <c r="O853" i="5"/>
  <c r="J852" i="5"/>
  <c r="M852" i="5"/>
  <c r="N852" i="5"/>
  <c r="O852" i="5"/>
  <c r="J851" i="5"/>
  <c r="M851" i="5"/>
  <c r="N851" i="5"/>
  <c r="O851" i="5"/>
  <c r="J850" i="5"/>
  <c r="M850" i="5"/>
  <c r="N850" i="5"/>
  <c r="O850" i="5"/>
  <c r="J849" i="5"/>
  <c r="M849" i="5"/>
  <c r="N849" i="5"/>
  <c r="O849" i="5"/>
  <c r="J848" i="5"/>
  <c r="M848" i="5"/>
  <c r="N848" i="5"/>
  <c r="O848" i="5"/>
  <c r="J847" i="5"/>
  <c r="M847" i="5"/>
  <c r="N847" i="5"/>
  <c r="O847" i="5"/>
  <c r="J846" i="5"/>
  <c r="M846" i="5"/>
  <c r="N846" i="5"/>
  <c r="O846" i="5"/>
  <c r="J845" i="5"/>
  <c r="M845" i="5"/>
  <c r="N845" i="5"/>
  <c r="O845" i="5"/>
  <c r="J844" i="5"/>
  <c r="M844" i="5"/>
  <c r="N844" i="5"/>
  <c r="O844" i="5"/>
  <c r="J843" i="5"/>
  <c r="M843" i="5"/>
  <c r="N843" i="5"/>
  <c r="O843" i="5"/>
  <c r="J842" i="5"/>
  <c r="M842" i="5"/>
  <c r="N842" i="5"/>
  <c r="O842" i="5"/>
  <c r="J841" i="5"/>
  <c r="M841" i="5"/>
  <c r="N841" i="5"/>
  <c r="O841" i="5"/>
  <c r="J840" i="5"/>
  <c r="M840" i="5"/>
  <c r="N840" i="5"/>
  <c r="O840" i="5"/>
  <c r="J839" i="5"/>
  <c r="M839" i="5"/>
  <c r="N839" i="5"/>
  <c r="O839" i="5"/>
  <c r="J838" i="5"/>
  <c r="M838" i="5"/>
  <c r="N838" i="5"/>
  <c r="O838" i="5"/>
  <c r="J837" i="5"/>
  <c r="M837" i="5"/>
  <c r="N837" i="5"/>
  <c r="O837" i="5"/>
  <c r="J836" i="5"/>
  <c r="M836" i="5"/>
  <c r="N836" i="5"/>
  <c r="O836" i="5"/>
  <c r="J835" i="5"/>
  <c r="M835" i="5"/>
  <c r="N835" i="5"/>
  <c r="O835" i="5"/>
  <c r="J834" i="5"/>
  <c r="M834" i="5"/>
  <c r="N834" i="5"/>
  <c r="O834" i="5"/>
  <c r="J833" i="5"/>
  <c r="M833" i="5"/>
  <c r="N833" i="5"/>
  <c r="O833" i="5"/>
  <c r="J832" i="5"/>
  <c r="M832" i="5"/>
  <c r="N832" i="5"/>
  <c r="O832" i="5"/>
  <c r="J831" i="5"/>
  <c r="M831" i="5"/>
  <c r="N831" i="5"/>
  <c r="O831" i="5"/>
  <c r="J830" i="5"/>
  <c r="M830" i="5"/>
  <c r="N830" i="5"/>
  <c r="O830" i="5"/>
  <c r="J829" i="5"/>
  <c r="M829" i="5"/>
  <c r="N829" i="5"/>
  <c r="O829" i="5"/>
  <c r="J828" i="5"/>
  <c r="M828" i="5"/>
  <c r="N828" i="5"/>
  <c r="O828" i="5"/>
  <c r="J827" i="5"/>
  <c r="M827" i="5"/>
  <c r="N827" i="5"/>
  <c r="O827" i="5"/>
  <c r="J826" i="5"/>
  <c r="M826" i="5"/>
  <c r="N826" i="5"/>
  <c r="O826" i="5"/>
  <c r="J825" i="5"/>
  <c r="M825" i="5"/>
  <c r="N825" i="5"/>
  <c r="O825" i="5"/>
  <c r="J824" i="5"/>
  <c r="M824" i="5"/>
  <c r="N824" i="5"/>
  <c r="O824" i="5"/>
  <c r="J823" i="5"/>
  <c r="M823" i="5"/>
  <c r="N823" i="5"/>
  <c r="O823" i="5"/>
  <c r="J822" i="5"/>
  <c r="M822" i="5"/>
  <c r="N822" i="5"/>
  <c r="O822" i="5"/>
  <c r="J821" i="5"/>
  <c r="M821" i="5"/>
  <c r="N821" i="5"/>
  <c r="O821" i="5"/>
  <c r="J820" i="5"/>
  <c r="M820" i="5"/>
  <c r="N820" i="5"/>
  <c r="O820" i="5"/>
  <c r="J819" i="5"/>
  <c r="M819" i="5"/>
  <c r="N819" i="5"/>
  <c r="O819" i="5"/>
  <c r="J818" i="5"/>
  <c r="M818" i="5"/>
  <c r="N818" i="5"/>
  <c r="O818" i="5"/>
  <c r="J817" i="5"/>
  <c r="M817" i="5"/>
  <c r="N817" i="5"/>
  <c r="O817" i="5"/>
  <c r="J816" i="5"/>
  <c r="M816" i="5"/>
  <c r="N816" i="5"/>
  <c r="O816" i="5"/>
  <c r="J815" i="5"/>
  <c r="M815" i="5"/>
  <c r="N815" i="5"/>
  <c r="O815" i="5"/>
  <c r="J814" i="5"/>
  <c r="M814" i="5"/>
  <c r="N814" i="5"/>
  <c r="O814" i="5"/>
  <c r="J813" i="5"/>
  <c r="M813" i="5"/>
  <c r="N813" i="5"/>
  <c r="O813" i="5"/>
  <c r="J812" i="5"/>
  <c r="M812" i="5"/>
  <c r="N812" i="5"/>
  <c r="O812" i="5"/>
  <c r="J811" i="5"/>
  <c r="M811" i="5"/>
  <c r="N811" i="5"/>
  <c r="O811" i="5"/>
  <c r="J810" i="5"/>
  <c r="M810" i="5"/>
  <c r="N810" i="5"/>
  <c r="O810" i="5"/>
  <c r="J809" i="5"/>
  <c r="M809" i="5"/>
  <c r="N809" i="5"/>
  <c r="O809" i="5"/>
  <c r="J808" i="5"/>
  <c r="M808" i="5"/>
  <c r="N808" i="5"/>
  <c r="O808" i="5"/>
  <c r="J807" i="5"/>
  <c r="M807" i="5"/>
  <c r="N807" i="5"/>
  <c r="O807" i="5"/>
  <c r="J806" i="5"/>
  <c r="M806" i="5"/>
  <c r="N806" i="5"/>
  <c r="O806" i="5"/>
  <c r="J805" i="5"/>
  <c r="M805" i="5"/>
  <c r="N805" i="5"/>
  <c r="O805" i="5"/>
  <c r="J804" i="5"/>
  <c r="M804" i="5"/>
  <c r="N804" i="5"/>
  <c r="O804" i="5"/>
  <c r="J803" i="5"/>
  <c r="M803" i="5"/>
  <c r="N803" i="5"/>
  <c r="O803" i="5"/>
  <c r="J802" i="5"/>
  <c r="M802" i="5"/>
  <c r="N802" i="5"/>
  <c r="O802" i="5"/>
  <c r="J801" i="5"/>
  <c r="M801" i="5"/>
  <c r="N801" i="5"/>
  <c r="O801" i="5"/>
  <c r="J800" i="5"/>
  <c r="M800" i="5"/>
  <c r="N800" i="5"/>
  <c r="O800" i="5"/>
  <c r="J799" i="5"/>
  <c r="M799" i="5"/>
  <c r="N799" i="5"/>
  <c r="O799" i="5"/>
  <c r="J798" i="5"/>
  <c r="M798" i="5"/>
  <c r="N798" i="5"/>
  <c r="O798" i="5"/>
  <c r="J797" i="5"/>
  <c r="M797" i="5"/>
  <c r="N797" i="5"/>
  <c r="O797" i="5"/>
  <c r="J796" i="5"/>
  <c r="M796" i="5"/>
  <c r="N796" i="5"/>
  <c r="O796" i="5"/>
  <c r="J795" i="5"/>
  <c r="M795" i="5"/>
  <c r="N795" i="5"/>
  <c r="O795" i="5"/>
  <c r="J794" i="5"/>
  <c r="M794" i="5"/>
  <c r="N794" i="5"/>
  <c r="O794" i="5"/>
  <c r="J793" i="5"/>
  <c r="M793" i="5"/>
  <c r="N793" i="5"/>
  <c r="O793" i="5"/>
  <c r="J792" i="5"/>
  <c r="M792" i="5"/>
  <c r="N792" i="5"/>
  <c r="O792" i="5"/>
  <c r="J791" i="5"/>
  <c r="M791" i="5"/>
  <c r="N791" i="5"/>
  <c r="O791" i="5"/>
  <c r="J790" i="5"/>
  <c r="M790" i="5"/>
  <c r="N790" i="5"/>
  <c r="O790" i="5"/>
  <c r="J789" i="5"/>
  <c r="M789" i="5"/>
  <c r="N789" i="5"/>
  <c r="O789" i="5"/>
  <c r="J788" i="5"/>
  <c r="M788" i="5"/>
  <c r="N788" i="5"/>
  <c r="O788" i="5"/>
  <c r="J787" i="5"/>
  <c r="M787" i="5"/>
  <c r="N787" i="5"/>
  <c r="O787" i="5"/>
  <c r="J786" i="5"/>
  <c r="M786" i="5"/>
  <c r="N786" i="5"/>
  <c r="O786" i="5"/>
  <c r="J785" i="5"/>
  <c r="M785" i="5"/>
  <c r="N785" i="5"/>
  <c r="O785" i="5"/>
  <c r="J784" i="5"/>
  <c r="M784" i="5"/>
  <c r="N784" i="5"/>
  <c r="O784" i="5"/>
  <c r="J783" i="5"/>
  <c r="M783" i="5"/>
  <c r="N783" i="5"/>
  <c r="O783" i="5"/>
  <c r="J782" i="5"/>
  <c r="M782" i="5"/>
  <c r="N782" i="5"/>
  <c r="O782" i="5"/>
  <c r="J781" i="5"/>
  <c r="M781" i="5"/>
  <c r="N781" i="5"/>
  <c r="O781" i="5"/>
  <c r="J780" i="5"/>
  <c r="M780" i="5"/>
  <c r="N780" i="5"/>
  <c r="O780" i="5"/>
  <c r="J779" i="5"/>
  <c r="M779" i="5"/>
  <c r="N779" i="5"/>
  <c r="O779" i="5"/>
  <c r="J778" i="5"/>
  <c r="M778" i="5"/>
  <c r="N778" i="5"/>
  <c r="O778" i="5"/>
  <c r="J777" i="5"/>
  <c r="M777" i="5"/>
  <c r="N777" i="5"/>
  <c r="O777" i="5"/>
  <c r="J776" i="5"/>
  <c r="M776" i="5"/>
  <c r="N776" i="5"/>
  <c r="O776" i="5"/>
  <c r="J775" i="5"/>
  <c r="M775" i="5"/>
  <c r="N775" i="5"/>
  <c r="O775" i="5"/>
  <c r="J774" i="5"/>
  <c r="M774" i="5"/>
  <c r="N774" i="5"/>
  <c r="O774" i="5"/>
  <c r="J773" i="5"/>
  <c r="M773" i="5"/>
  <c r="N773" i="5"/>
  <c r="O773" i="5"/>
  <c r="J772" i="5"/>
  <c r="M772" i="5"/>
  <c r="N772" i="5"/>
  <c r="O772" i="5"/>
  <c r="J771" i="5"/>
  <c r="M771" i="5"/>
  <c r="N771" i="5"/>
  <c r="O771" i="5"/>
  <c r="J770" i="5"/>
  <c r="M770" i="5"/>
  <c r="N770" i="5"/>
  <c r="O770" i="5"/>
  <c r="J769" i="5"/>
  <c r="M769" i="5"/>
  <c r="N769" i="5"/>
  <c r="O769" i="5"/>
  <c r="J768" i="5"/>
  <c r="M768" i="5"/>
  <c r="N768" i="5"/>
  <c r="O768" i="5"/>
  <c r="J767" i="5"/>
  <c r="M767" i="5"/>
  <c r="N767" i="5"/>
  <c r="O767" i="5"/>
  <c r="J766" i="5"/>
  <c r="M766" i="5"/>
  <c r="N766" i="5"/>
  <c r="O766" i="5"/>
  <c r="J765" i="5"/>
  <c r="M765" i="5"/>
  <c r="N765" i="5"/>
  <c r="O765" i="5"/>
  <c r="J764" i="5"/>
  <c r="M764" i="5"/>
  <c r="N764" i="5"/>
  <c r="O764" i="5"/>
  <c r="J763" i="5"/>
  <c r="M763" i="5"/>
  <c r="N763" i="5"/>
  <c r="O763" i="5"/>
  <c r="J762" i="5"/>
  <c r="M762" i="5"/>
  <c r="N762" i="5"/>
  <c r="O762" i="5"/>
  <c r="J761" i="5"/>
  <c r="M761" i="5"/>
  <c r="N761" i="5"/>
  <c r="O761" i="5"/>
  <c r="J760" i="5"/>
  <c r="M760" i="5"/>
  <c r="N760" i="5"/>
  <c r="O760" i="5"/>
  <c r="J759" i="5"/>
  <c r="M759" i="5"/>
  <c r="N759" i="5"/>
  <c r="O759" i="5"/>
  <c r="J758" i="5"/>
  <c r="M758" i="5"/>
  <c r="N758" i="5"/>
  <c r="O758" i="5"/>
  <c r="J757" i="5"/>
  <c r="M757" i="5"/>
  <c r="N757" i="5"/>
  <c r="O757" i="5"/>
  <c r="J756" i="5"/>
  <c r="M756" i="5"/>
  <c r="N756" i="5"/>
  <c r="O756" i="5"/>
  <c r="J755" i="5"/>
  <c r="M755" i="5"/>
  <c r="N755" i="5"/>
  <c r="O755" i="5"/>
  <c r="J754" i="5"/>
  <c r="M754" i="5"/>
  <c r="N754" i="5"/>
  <c r="O754" i="5"/>
  <c r="J753" i="5"/>
  <c r="M753" i="5"/>
  <c r="N753" i="5"/>
  <c r="O753" i="5"/>
  <c r="J752" i="5"/>
  <c r="M752" i="5"/>
  <c r="N752" i="5"/>
  <c r="O752" i="5"/>
  <c r="J751" i="5"/>
  <c r="M751" i="5"/>
  <c r="N751" i="5"/>
  <c r="O751" i="5"/>
  <c r="J750" i="5"/>
  <c r="M750" i="5"/>
  <c r="N750" i="5"/>
  <c r="O750" i="5"/>
  <c r="J749" i="5"/>
  <c r="M749" i="5"/>
  <c r="N749" i="5"/>
  <c r="O749" i="5"/>
  <c r="J748" i="5"/>
  <c r="M748" i="5"/>
  <c r="N748" i="5"/>
  <c r="O748" i="5"/>
  <c r="J747" i="5"/>
  <c r="M747" i="5"/>
  <c r="N747" i="5"/>
  <c r="O747" i="5"/>
  <c r="J746" i="5"/>
  <c r="M746" i="5"/>
  <c r="N746" i="5"/>
  <c r="O746" i="5"/>
  <c r="J745" i="5"/>
  <c r="M745" i="5"/>
  <c r="N745" i="5"/>
  <c r="O745" i="5"/>
  <c r="J744" i="5"/>
  <c r="M744" i="5"/>
  <c r="N744" i="5"/>
  <c r="O744" i="5"/>
  <c r="J743" i="5"/>
  <c r="M743" i="5"/>
  <c r="N743" i="5"/>
  <c r="O743" i="5"/>
  <c r="J742" i="5"/>
  <c r="M742" i="5"/>
  <c r="N742" i="5"/>
  <c r="O742" i="5"/>
  <c r="J741" i="5"/>
  <c r="M741" i="5"/>
  <c r="N741" i="5"/>
  <c r="O741" i="5"/>
  <c r="J740" i="5"/>
  <c r="M740" i="5"/>
  <c r="N740" i="5"/>
  <c r="O740" i="5"/>
  <c r="J739" i="5"/>
  <c r="M739" i="5"/>
  <c r="N739" i="5"/>
  <c r="O739" i="5"/>
  <c r="J738" i="5"/>
  <c r="M738" i="5"/>
  <c r="N738" i="5"/>
  <c r="O738" i="5"/>
  <c r="J737" i="5"/>
  <c r="M737" i="5"/>
  <c r="N737" i="5"/>
  <c r="O737" i="5"/>
  <c r="J736" i="5"/>
  <c r="M736" i="5"/>
  <c r="N736" i="5"/>
  <c r="O736" i="5"/>
  <c r="J735" i="5"/>
  <c r="M735" i="5"/>
  <c r="N735" i="5"/>
  <c r="O735" i="5"/>
  <c r="J734" i="5"/>
  <c r="M734" i="5"/>
  <c r="N734" i="5"/>
  <c r="O734" i="5"/>
  <c r="J733" i="5"/>
  <c r="M733" i="5"/>
  <c r="N733" i="5"/>
  <c r="O733" i="5"/>
  <c r="J732" i="5"/>
  <c r="M732" i="5"/>
  <c r="N732" i="5"/>
  <c r="O732" i="5"/>
  <c r="J731" i="5"/>
  <c r="M731" i="5"/>
  <c r="N731" i="5"/>
  <c r="O731" i="5"/>
  <c r="J730" i="5"/>
  <c r="M730" i="5"/>
  <c r="N730" i="5"/>
  <c r="O730" i="5"/>
  <c r="J729" i="5"/>
  <c r="M729" i="5"/>
  <c r="N729" i="5"/>
  <c r="O729" i="5"/>
  <c r="J728" i="5"/>
  <c r="M728" i="5"/>
  <c r="N728" i="5"/>
  <c r="O728" i="5"/>
  <c r="J727" i="5"/>
  <c r="M727" i="5"/>
  <c r="N727" i="5"/>
  <c r="O727" i="5"/>
  <c r="J726" i="5"/>
  <c r="M726" i="5"/>
  <c r="N726" i="5"/>
  <c r="O726" i="5"/>
  <c r="J725" i="5"/>
  <c r="M725" i="5"/>
  <c r="N725" i="5"/>
  <c r="O725" i="5"/>
  <c r="J724" i="5"/>
  <c r="M724" i="5"/>
  <c r="N724" i="5"/>
  <c r="O724" i="5"/>
  <c r="J723" i="5"/>
  <c r="M723" i="5"/>
  <c r="N723" i="5"/>
  <c r="O723" i="5"/>
  <c r="J722" i="5"/>
  <c r="M722" i="5"/>
  <c r="N722" i="5"/>
  <c r="O722" i="5"/>
  <c r="J721" i="5"/>
  <c r="M721" i="5"/>
  <c r="N721" i="5"/>
  <c r="O721" i="5"/>
  <c r="J720" i="5"/>
  <c r="M720" i="5"/>
  <c r="N720" i="5"/>
  <c r="O720" i="5"/>
  <c r="J719" i="5"/>
  <c r="M719" i="5"/>
  <c r="N719" i="5"/>
  <c r="O719" i="5"/>
  <c r="J718" i="5"/>
  <c r="M718" i="5"/>
  <c r="N718" i="5"/>
  <c r="O718" i="5"/>
  <c r="J717" i="5"/>
  <c r="M717" i="5"/>
  <c r="N717" i="5"/>
  <c r="O717" i="5"/>
  <c r="J716" i="5"/>
  <c r="M716" i="5"/>
  <c r="N716" i="5"/>
  <c r="O716" i="5"/>
  <c r="J715" i="5"/>
  <c r="M715" i="5"/>
  <c r="N715" i="5"/>
  <c r="O715" i="5"/>
  <c r="J714" i="5"/>
  <c r="M714" i="5"/>
  <c r="N714" i="5"/>
  <c r="O714" i="5"/>
  <c r="J713" i="5"/>
  <c r="M713" i="5"/>
  <c r="N713" i="5"/>
  <c r="O713" i="5"/>
  <c r="J712" i="5"/>
  <c r="M712" i="5"/>
  <c r="N712" i="5"/>
  <c r="O712" i="5"/>
  <c r="J711" i="5"/>
  <c r="M711" i="5"/>
  <c r="N711" i="5"/>
  <c r="O711" i="5"/>
  <c r="J710" i="5"/>
  <c r="M710" i="5"/>
  <c r="N710" i="5"/>
  <c r="O710" i="5"/>
  <c r="J709" i="5"/>
  <c r="M709" i="5"/>
  <c r="N709" i="5"/>
  <c r="O709" i="5"/>
  <c r="J708" i="5"/>
  <c r="M708" i="5"/>
  <c r="N708" i="5"/>
  <c r="O708" i="5"/>
  <c r="J707" i="5"/>
  <c r="M707" i="5"/>
  <c r="N707" i="5"/>
  <c r="O707" i="5"/>
  <c r="J706" i="5"/>
  <c r="M706" i="5"/>
  <c r="N706" i="5"/>
  <c r="O706" i="5"/>
  <c r="J705" i="5"/>
  <c r="M705" i="5"/>
  <c r="N705" i="5"/>
  <c r="O705" i="5"/>
  <c r="J704" i="5"/>
  <c r="M704" i="5"/>
  <c r="N704" i="5"/>
  <c r="O704" i="5"/>
  <c r="J703" i="5"/>
  <c r="M703" i="5"/>
  <c r="N703" i="5"/>
  <c r="O703" i="5"/>
  <c r="J702" i="5"/>
  <c r="M702" i="5"/>
  <c r="N702" i="5"/>
  <c r="O702" i="5"/>
  <c r="J701" i="5"/>
  <c r="M701" i="5"/>
  <c r="N701" i="5"/>
  <c r="O701" i="5"/>
  <c r="J700" i="5"/>
  <c r="M700" i="5"/>
  <c r="N700" i="5"/>
  <c r="O700" i="5"/>
  <c r="J699" i="5"/>
  <c r="M699" i="5"/>
  <c r="N699" i="5"/>
  <c r="O699" i="5"/>
  <c r="J698" i="5"/>
  <c r="M698" i="5"/>
  <c r="N698" i="5"/>
  <c r="O698" i="5"/>
  <c r="J697" i="5"/>
  <c r="M697" i="5"/>
  <c r="N697" i="5"/>
  <c r="O697" i="5"/>
  <c r="J696" i="5"/>
  <c r="M696" i="5"/>
  <c r="N696" i="5"/>
  <c r="O696" i="5"/>
  <c r="J695" i="5"/>
  <c r="M695" i="5"/>
  <c r="N695" i="5"/>
  <c r="O695" i="5"/>
  <c r="J694" i="5"/>
  <c r="M694" i="5"/>
  <c r="N694" i="5"/>
  <c r="O694" i="5"/>
  <c r="J693" i="5"/>
  <c r="M693" i="5"/>
  <c r="N693" i="5"/>
  <c r="O693" i="5"/>
  <c r="J692" i="5"/>
  <c r="M692" i="5"/>
  <c r="N692" i="5"/>
  <c r="O692" i="5"/>
  <c r="J691" i="5"/>
  <c r="M691" i="5"/>
  <c r="N691" i="5"/>
  <c r="O691" i="5"/>
  <c r="J690" i="5"/>
  <c r="M690" i="5"/>
  <c r="N690" i="5"/>
  <c r="O690" i="5"/>
  <c r="J689" i="5"/>
  <c r="M689" i="5"/>
  <c r="N689" i="5"/>
  <c r="O689" i="5"/>
  <c r="J688" i="5"/>
  <c r="M688" i="5"/>
  <c r="N688" i="5"/>
  <c r="O688" i="5"/>
  <c r="J687" i="5"/>
  <c r="M687" i="5"/>
  <c r="N687" i="5"/>
  <c r="O687" i="5"/>
  <c r="J686" i="5"/>
  <c r="M686" i="5"/>
  <c r="N686" i="5"/>
  <c r="O686" i="5"/>
  <c r="J685" i="5"/>
  <c r="M685" i="5"/>
  <c r="N685" i="5"/>
  <c r="O685" i="5"/>
  <c r="J684" i="5"/>
  <c r="M684" i="5"/>
  <c r="N684" i="5"/>
  <c r="O684" i="5"/>
  <c r="J683" i="5"/>
  <c r="M683" i="5"/>
  <c r="N683" i="5"/>
  <c r="O683" i="5"/>
  <c r="J682" i="5"/>
  <c r="M682" i="5"/>
  <c r="N682" i="5"/>
  <c r="O682" i="5"/>
  <c r="J681" i="5"/>
  <c r="M681" i="5"/>
  <c r="N681" i="5"/>
  <c r="O681" i="5"/>
  <c r="J680" i="5"/>
  <c r="M680" i="5"/>
  <c r="N680" i="5"/>
  <c r="O680" i="5"/>
  <c r="J679" i="5"/>
  <c r="M679" i="5"/>
  <c r="N679" i="5"/>
  <c r="O679" i="5"/>
  <c r="J678" i="5"/>
  <c r="M678" i="5"/>
  <c r="N678" i="5"/>
  <c r="O678" i="5"/>
  <c r="J677" i="5"/>
  <c r="M677" i="5"/>
  <c r="N677" i="5"/>
  <c r="O677" i="5"/>
  <c r="J676" i="5"/>
  <c r="M676" i="5"/>
  <c r="N676" i="5"/>
  <c r="O676" i="5"/>
  <c r="J675" i="5"/>
  <c r="M675" i="5"/>
  <c r="N675" i="5"/>
  <c r="O675" i="5"/>
  <c r="J674" i="5"/>
  <c r="M674" i="5"/>
  <c r="N674" i="5"/>
  <c r="O674" i="5"/>
  <c r="J673" i="5"/>
  <c r="M673" i="5"/>
  <c r="N673" i="5"/>
  <c r="O673" i="5"/>
  <c r="J672" i="5"/>
  <c r="M672" i="5"/>
  <c r="N672" i="5"/>
  <c r="O672" i="5"/>
  <c r="J671" i="5"/>
  <c r="M671" i="5"/>
  <c r="N671" i="5"/>
  <c r="O671" i="5"/>
  <c r="J670" i="5"/>
  <c r="M670" i="5"/>
  <c r="N670" i="5"/>
  <c r="O670" i="5"/>
  <c r="J669" i="5"/>
  <c r="M669" i="5"/>
  <c r="N669" i="5"/>
  <c r="O669" i="5"/>
  <c r="J668" i="5"/>
  <c r="M668" i="5"/>
  <c r="N668" i="5"/>
  <c r="O668" i="5"/>
  <c r="J667" i="5"/>
  <c r="M667" i="5"/>
  <c r="N667" i="5"/>
  <c r="O667" i="5"/>
  <c r="J666" i="5"/>
  <c r="M666" i="5"/>
  <c r="N666" i="5"/>
  <c r="O666" i="5"/>
  <c r="J665" i="5"/>
  <c r="M665" i="5"/>
  <c r="N665" i="5"/>
  <c r="O665" i="5"/>
  <c r="J664" i="5"/>
  <c r="M664" i="5"/>
  <c r="N664" i="5"/>
  <c r="O664" i="5"/>
  <c r="J663" i="5"/>
  <c r="M663" i="5"/>
  <c r="N663" i="5"/>
  <c r="O663" i="5"/>
  <c r="J662" i="5"/>
  <c r="M662" i="5"/>
  <c r="N662" i="5"/>
  <c r="O662" i="5"/>
  <c r="J661" i="5"/>
  <c r="M661" i="5"/>
  <c r="N661" i="5"/>
  <c r="O661" i="5"/>
  <c r="J660" i="5"/>
  <c r="M660" i="5"/>
  <c r="N660" i="5"/>
  <c r="O660" i="5"/>
  <c r="J659" i="5"/>
  <c r="M659" i="5"/>
  <c r="N659" i="5"/>
  <c r="O659" i="5"/>
  <c r="J658" i="5"/>
  <c r="M658" i="5"/>
  <c r="N658" i="5"/>
  <c r="O658" i="5"/>
  <c r="J657" i="5"/>
  <c r="M657" i="5"/>
  <c r="N657" i="5"/>
  <c r="O657" i="5"/>
  <c r="J656" i="5"/>
  <c r="M656" i="5"/>
  <c r="N656" i="5"/>
  <c r="O656" i="5"/>
  <c r="J655" i="5"/>
  <c r="M655" i="5"/>
  <c r="N655" i="5"/>
  <c r="O655" i="5"/>
  <c r="J654" i="5"/>
  <c r="M654" i="5"/>
  <c r="N654" i="5"/>
  <c r="O654" i="5"/>
  <c r="J653" i="5"/>
  <c r="M653" i="5"/>
  <c r="N653" i="5"/>
  <c r="O653" i="5"/>
  <c r="J652" i="5"/>
  <c r="M652" i="5"/>
  <c r="N652" i="5"/>
  <c r="O652" i="5"/>
  <c r="J651" i="5"/>
  <c r="M651" i="5"/>
  <c r="N651" i="5"/>
  <c r="O651" i="5"/>
  <c r="J650" i="5"/>
  <c r="M650" i="5"/>
  <c r="N650" i="5"/>
  <c r="O650" i="5"/>
  <c r="J649" i="5"/>
  <c r="M649" i="5"/>
  <c r="N649" i="5"/>
  <c r="O649" i="5"/>
  <c r="J648" i="5"/>
  <c r="M648" i="5"/>
  <c r="N648" i="5"/>
  <c r="O648" i="5"/>
  <c r="J647" i="5"/>
  <c r="M647" i="5"/>
  <c r="N647" i="5"/>
  <c r="O647" i="5"/>
  <c r="J646" i="5"/>
  <c r="M646" i="5"/>
  <c r="N646" i="5"/>
  <c r="O646" i="5"/>
  <c r="J645" i="5"/>
  <c r="M645" i="5"/>
  <c r="N645" i="5"/>
  <c r="O645" i="5"/>
  <c r="J644" i="5"/>
  <c r="M644" i="5"/>
  <c r="N644" i="5"/>
  <c r="O644" i="5"/>
  <c r="J643" i="5"/>
  <c r="M643" i="5"/>
  <c r="N643" i="5"/>
  <c r="O643" i="5"/>
  <c r="J642" i="5"/>
  <c r="M642" i="5"/>
  <c r="N642" i="5"/>
  <c r="O642" i="5"/>
  <c r="J641" i="5"/>
  <c r="M641" i="5"/>
  <c r="N641" i="5"/>
  <c r="O641" i="5"/>
  <c r="J640" i="5"/>
  <c r="M640" i="5"/>
  <c r="N640" i="5"/>
  <c r="O640" i="5"/>
  <c r="J639" i="5"/>
  <c r="M639" i="5"/>
  <c r="N639" i="5"/>
  <c r="O639" i="5"/>
  <c r="J638" i="5"/>
  <c r="M638" i="5"/>
  <c r="N638" i="5"/>
  <c r="O638" i="5"/>
  <c r="J637" i="5"/>
  <c r="M637" i="5"/>
  <c r="N637" i="5"/>
  <c r="O637" i="5"/>
  <c r="J636" i="5"/>
  <c r="M636" i="5"/>
  <c r="N636" i="5"/>
  <c r="O636" i="5"/>
  <c r="J635" i="5"/>
  <c r="M635" i="5"/>
  <c r="N635" i="5"/>
  <c r="O635" i="5"/>
  <c r="J634" i="5"/>
  <c r="M634" i="5"/>
  <c r="N634" i="5"/>
  <c r="O634" i="5"/>
  <c r="J633" i="5"/>
  <c r="M633" i="5"/>
  <c r="N633" i="5"/>
  <c r="O633" i="5"/>
  <c r="J632" i="5"/>
  <c r="M632" i="5"/>
  <c r="N632" i="5"/>
  <c r="O632" i="5"/>
  <c r="J631" i="5"/>
  <c r="M631" i="5"/>
  <c r="N631" i="5"/>
  <c r="O631" i="5"/>
  <c r="J630" i="5"/>
  <c r="M630" i="5"/>
  <c r="N630" i="5"/>
  <c r="O630" i="5"/>
  <c r="J629" i="5"/>
  <c r="M629" i="5"/>
  <c r="N629" i="5"/>
  <c r="O629" i="5"/>
  <c r="J628" i="5"/>
  <c r="M628" i="5"/>
  <c r="N628" i="5"/>
  <c r="O628" i="5"/>
  <c r="J627" i="5"/>
  <c r="M627" i="5"/>
  <c r="N627" i="5"/>
  <c r="O627" i="5"/>
  <c r="J626" i="5"/>
  <c r="M626" i="5"/>
  <c r="N626" i="5"/>
  <c r="O626" i="5"/>
  <c r="J625" i="5"/>
  <c r="M625" i="5"/>
  <c r="N625" i="5"/>
  <c r="O625" i="5"/>
  <c r="J624" i="5"/>
  <c r="M624" i="5"/>
  <c r="N624" i="5"/>
  <c r="O624" i="5"/>
  <c r="J623" i="5"/>
  <c r="M623" i="5"/>
  <c r="N623" i="5"/>
  <c r="O623" i="5"/>
  <c r="J622" i="5"/>
  <c r="M622" i="5"/>
  <c r="N622" i="5"/>
  <c r="O622" i="5"/>
  <c r="J621" i="5"/>
  <c r="M621" i="5"/>
  <c r="N621" i="5"/>
  <c r="O621" i="5"/>
  <c r="J620" i="5"/>
  <c r="M620" i="5"/>
  <c r="N620" i="5"/>
  <c r="O620" i="5"/>
  <c r="J619" i="5"/>
  <c r="M619" i="5"/>
  <c r="N619" i="5"/>
  <c r="O619" i="5"/>
  <c r="J618" i="5"/>
  <c r="M618" i="5"/>
  <c r="N618" i="5"/>
  <c r="O618" i="5"/>
  <c r="J617" i="5"/>
  <c r="M617" i="5"/>
  <c r="N617" i="5"/>
  <c r="O617" i="5"/>
  <c r="J616" i="5"/>
  <c r="M616" i="5"/>
  <c r="N616" i="5"/>
  <c r="O616" i="5"/>
  <c r="J615" i="5"/>
  <c r="M615" i="5"/>
  <c r="N615" i="5"/>
  <c r="O615" i="5"/>
  <c r="J614" i="5"/>
  <c r="M614" i="5"/>
  <c r="N614" i="5"/>
  <c r="O614" i="5"/>
  <c r="J613" i="5"/>
  <c r="M613" i="5"/>
  <c r="N613" i="5"/>
  <c r="O613" i="5"/>
  <c r="J612" i="5"/>
  <c r="M612" i="5"/>
  <c r="N612" i="5"/>
  <c r="O612" i="5"/>
  <c r="J611" i="5"/>
  <c r="M611" i="5"/>
  <c r="N611" i="5"/>
  <c r="O611" i="5"/>
  <c r="J610" i="5"/>
  <c r="M610" i="5"/>
  <c r="N610" i="5"/>
  <c r="O610" i="5"/>
  <c r="J609" i="5"/>
  <c r="M609" i="5"/>
  <c r="N609" i="5"/>
  <c r="O609" i="5"/>
  <c r="J608" i="5"/>
  <c r="M608" i="5"/>
  <c r="N608" i="5"/>
  <c r="O608" i="5"/>
  <c r="J607" i="5"/>
  <c r="M607" i="5"/>
  <c r="N607" i="5"/>
  <c r="O607" i="5"/>
  <c r="J606" i="5"/>
  <c r="M606" i="5"/>
  <c r="N606" i="5"/>
  <c r="O606" i="5"/>
  <c r="J605" i="5"/>
  <c r="M605" i="5"/>
  <c r="N605" i="5"/>
  <c r="O605" i="5"/>
  <c r="J604" i="5"/>
  <c r="M604" i="5"/>
  <c r="N604" i="5"/>
  <c r="O604" i="5"/>
  <c r="J603" i="5"/>
  <c r="M603" i="5"/>
  <c r="N603" i="5"/>
  <c r="O603" i="5"/>
  <c r="J602" i="5"/>
  <c r="M602" i="5"/>
  <c r="N602" i="5"/>
  <c r="O602" i="5"/>
  <c r="J601" i="5"/>
  <c r="M601" i="5"/>
  <c r="N601" i="5"/>
  <c r="O601" i="5"/>
  <c r="J600" i="5"/>
  <c r="M600" i="5"/>
  <c r="N600" i="5"/>
  <c r="O600" i="5"/>
  <c r="J599" i="5"/>
  <c r="M599" i="5"/>
  <c r="N599" i="5"/>
  <c r="O599" i="5"/>
  <c r="J598" i="5"/>
  <c r="M598" i="5"/>
  <c r="N598" i="5"/>
  <c r="O598" i="5"/>
  <c r="J597" i="5"/>
  <c r="M597" i="5"/>
  <c r="N597" i="5"/>
  <c r="O597" i="5"/>
  <c r="J596" i="5"/>
  <c r="M596" i="5"/>
  <c r="N596" i="5"/>
  <c r="O596" i="5"/>
  <c r="J595" i="5"/>
  <c r="M595" i="5"/>
  <c r="N595" i="5"/>
  <c r="O595" i="5"/>
  <c r="J594" i="5"/>
  <c r="M594" i="5"/>
  <c r="N594" i="5"/>
  <c r="O594" i="5"/>
  <c r="J593" i="5"/>
  <c r="M593" i="5"/>
  <c r="N593" i="5"/>
  <c r="O593" i="5"/>
  <c r="J592" i="5"/>
  <c r="M592" i="5"/>
  <c r="N592" i="5"/>
  <c r="O592" i="5"/>
  <c r="J591" i="5"/>
  <c r="M591" i="5"/>
  <c r="N591" i="5"/>
  <c r="O591" i="5"/>
  <c r="J590" i="5"/>
  <c r="M590" i="5"/>
  <c r="N590" i="5"/>
  <c r="O590" i="5"/>
  <c r="J589" i="5"/>
  <c r="M589" i="5"/>
  <c r="N589" i="5"/>
  <c r="O589" i="5"/>
  <c r="J588" i="5"/>
  <c r="M588" i="5"/>
  <c r="N588" i="5"/>
  <c r="O588" i="5"/>
  <c r="J587" i="5"/>
  <c r="M587" i="5"/>
  <c r="N587" i="5"/>
  <c r="O587" i="5"/>
  <c r="J586" i="5"/>
  <c r="M586" i="5"/>
  <c r="N586" i="5"/>
  <c r="O586" i="5"/>
  <c r="J585" i="5"/>
  <c r="M585" i="5"/>
  <c r="N585" i="5"/>
  <c r="O585" i="5"/>
  <c r="J584" i="5"/>
  <c r="M584" i="5"/>
  <c r="N584" i="5"/>
  <c r="O584" i="5"/>
  <c r="J583" i="5"/>
  <c r="M583" i="5"/>
  <c r="N583" i="5"/>
  <c r="O583" i="5"/>
  <c r="J582" i="5"/>
  <c r="M582" i="5"/>
  <c r="N582" i="5"/>
  <c r="O582" i="5"/>
  <c r="J581" i="5"/>
  <c r="M581" i="5"/>
  <c r="N581" i="5"/>
  <c r="O581" i="5"/>
  <c r="J580" i="5"/>
  <c r="M580" i="5"/>
  <c r="N580" i="5"/>
  <c r="O580" i="5"/>
  <c r="J579" i="5"/>
  <c r="M579" i="5"/>
  <c r="N579" i="5"/>
  <c r="O579" i="5"/>
  <c r="J578" i="5"/>
  <c r="M578" i="5"/>
  <c r="N578" i="5"/>
  <c r="O578" i="5"/>
  <c r="J577" i="5"/>
  <c r="M577" i="5"/>
  <c r="N577" i="5"/>
  <c r="O577" i="5"/>
  <c r="J576" i="5"/>
  <c r="M576" i="5"/>
  <c r="N576" i="5"/>
  <c r="O576" i="5"/>
  <c r="J575" i="5"/>
  <c r="M575" i="5"/>
  <c r="N575" i="5"/>
  <c r="O575" i="5"/>
  <c r="J574" i="5"/>
  <c r="M574" i="5"/>
  <c r="N574" i="5"/>
  <c r="O574" i="5"/>
  <c r="J573" i="5"/>
  <c r="M573" i="5"/>
  <c r="N573" i="5"/>
  <c r="O573" i="5"/>
  <c r="J572" i="5"/>
  <c r="M572" i="5"/>
  <c r="N572" i="5"/>
  <c r="O572" i="5"/>
  <c r="J571" i="5"/>
  <c r="M571" i="5"/>
  <c r="N571" i="5"/>
  <c r="O571" i="5"/>
  <c r="J570" i="5"/>
  <c r="M570" i="5"/>
  <c r="N570" i="5"/>
  <c r="O570" i="5"/>
  <c r="J569" i="5"/>
  <c r="M569" i="5"/>
  <c r="N569" i="5"/>
  <c r="O569" i="5"/>
  <c r="J568" i="5"/>
  <c r="M568" i="5"/>
  <c r="N568" i="5"/>
  <c r="O568" i="5"/>
  <c r="J567" i="5"/>
  <c r="M567" i="5"/>
  <c r="N567" i="5"/>
  <c r="O567" i="5"/>
  <c r="J566" i="5"/>
  <c r="M566" i="5"/>
  <c r="N566" i="5"/>
  <c r="O566" i="5"/>
  <c r="J565" i="5"/>
  <c r="M565" i="5"/>
  <c r="N565" i="5"/>
  <c r="O565" i="5"/>
  <c r="J564" i="5"/>
  <c r="M564" i="5"/>
  <c r="N564" i="5"/>
  <c r="O564" i="5"/>
  <c r="J563" i="5"/>
  <c r="M563" i="5"/>
  <c r="N563" i="5"/>
  <c r="O563" i="5"/>
  <c r="J562" i="5"/>
  <c r="M562" i="5"/>
  <c r="N562" i="5"/>
  <c r="O562" i="5"/>
  <c r="J561" i="5"/>
  <c r="M561" i="5"/>
  <c r="N561" i="5"/>
  <c r="O561" i="5"/>
  <c r="J560" i="5"/>
  <c r="M560" i="5"/>
  <c r="N560" i="5"/>
  <c r="O560" i="5"/>
  <c r="J559" i="5"/>
  <c r="M559" i="5"/>
  <c r="N559" i="5"/>
  <c r="O559" i="5"/>
  <c r="J558" i="5"/>
  <c r="M558" i="5"/>
  <c r="N558" i="5"/>
  <c r="O558" i="5"/>
  <c r="J557" i="5"/>
  <c r="M557" i="5"/>
  <c r="N557" i="5"/>
  <c r="O557" i="5"/>
  <c r="J556" i="5"/>
  <c r="M556" i="5"/>
  <c r="N556" i="5"/>
  <c r="O556" i="5"/>
  <c r="J555" i="5"/>
  <c r="M555" i="5"/>
  <c r="N555" i="5"/>
  <c r="O555" i="5"/>
  <c r="J554" i="5"/>
  <c r="M554" i="5"/>
  <c r="N554" i="5"/>
  <c r="O554" i="5"/>
  <c r="J553" i="5"/>
  <c r="M553" i="5"/>
  <c r="N553" i="5"/>
  <c r="O553" i="5"/>
  <c r="J552" i="5"/>
  <c r="M552" i="5"/>
  <c r="N552" i="5"/>
  <c r="O552" i="5"/>
  <c r="J551" i="5"/>
  <c r="M551" i="5"/>
  <c r="N551" i="5"/>
  <c r="O551" i="5"/>
  <c r="J550" i="5"/>
  <c r="M550" i="5"/>
  <c r="N550" i="5"/>
  <c r="O550" i="5"/>
  <c r="J549" i="5"/>
  <c r="M549" i="5"/>
  <c r="N549" i="5"/>
  <c r="O549" i="5"/>
  <c r="J548" i="5"/>
  <c r="M548" i="5"/>
  <c r="N548" i="5"/>
  <c r="O548" i="5"/>
  <c r="J547" i="5"/>
  <c r="M547" i="5"/>
  <c r="N547" i="5"/>
  <c r="O547" i="5"/>
  <c r="J546" i="5"/>
  <c r="M546" i="5"/>
  <c r="N546" i="5"/>
  <c r="O546" i="5"/>
  <c r="J545" i="5"/>
  <c r="M545" i="5"/>
  <c r="N545" i="5"/>
  <c r="O545" i="5"/>
  <c r="J544" i="5"/>
  <c r="M544" i="5"/>
  <c r="N544" i="5"/>
  <c r="O544" i="5"/>
  <c r="J543" i="5"/>
  <c r="M543" i="5"/>
  <c r="N543" i="5"/>
  <c r="O543" i="5"/>
  <c r="J542" i="5"/>
  <c r="M542" i="5"/>
  <c r="N542" i="5"/>
  <c r="O542" i="5"/>
  <c r="J541" i="5"/>
  <c r="M541" i="5"/>
  <c r="N541" i="5"/>
  <c r="O541" i="5"/>
  <c r="J540" i="5"/>
  <c r="M540" i="5"/>
  <c r="N540" i="5"/>
  <c r="O540" i="5"/>
  <c r="J539" i="5"/>
  <c r="M539" i="5"/>
  <c r="N539" i="5"/>
  <c r="O539" i="5"/>
  <c r="J538" i="5"/>
  <c r="M538" i="5"/>
  <c r="N538" i="5"/>
  <c r="O538" i="5"/>
  <c r="J537" i="5"/>
  <c r="M537" i="5"/>
  <c r="N537" i="5"/>
  <c r="O537" i="5"/>
  <c r="J536" i="5"/>
  <c r="M536" i="5"/>
  <c r="N536" i="5"/>
  <c r="O536" i="5"/>
  <c r="J535" i="5"/>
  <c r="M535" i="5"/>
  <c r="N535" i="5"/>
  <c r="O535" i="5"/>
  <c r="J534" i="5"/>
  <c r="M534" i="5"/>
  <c r="N534" i="5"/>
  <c r="O534" i="5"/>
  <c r="J533" i="5"/>
  <c r="M533" i="5"/>
  <c r="N533" i="5"/>
  <c r="O533" i="5"/>
  <c r="J532" i="5"/>
  <c r="M532" i="5"/>
  <c r="N532" i="5"/>
  <c r="O532" i="5"/>
  <c r="J531" i="5"/>
  <c r="M531" i="5"/>
  <c r="N531" i="5"/>
  <c r="O531" i="5"/>
  <c r="J530" i="5"/>
  <c r="M530" i="5"/>
  <c r="N530" i="5"/>
  <c r="O530" i="5"/>
  <c r="J529" i="5"/>
  <c r="M529" i="5"/>
  <c r="N529" i="5"/>
  <c r="O529" i="5"/>
  <c r="J528" i="5"/>
  <c r="M528" i="5"/>
  <c r="N528" i="5"/>
  <c r="O528" i="5"/>
  <c r="J527" i="5"/>
  <c r="M527" i="5"/>
  <c r="N527" i="5"/>
  <c r="O527" i="5"/>
  <c r="J526" i="5"/>
  <c r="M526" i="5"/>
  <c r="N526" i="5"/>
  <c r="O526" i="5"/>
  <c r="J525" i="5"/>
  <c r="M525" i="5"/>
  <c r="N525" i="5"/>
  <c r="O525" i="5"/>
  <c r="J524" i="5"/>
  <c r="M524" i="5"/>
  <c r="N524" i="5"/>
  <c r="O524" i="5"/>
  <c r="J523" i="5"/>
  <c r="M523" i="5"/>
  <c r="N523" i="5"/>
  <c r="O523" i="5"/>
  <c r="J522" i="5"/>
  <c r="M522" i="5"/>
  <c r="N522" i="5"/>
  <c r="O522" i="5"/>
  <c r="J521" i="5"/>
  <c r="M521" i="5"/>
  <c r="N521" i="5"/>
  <c r="O521" i="5"/>
  <c r="J520" i="5"/>
  <c r="M520" i="5"/>
  <c r="N520" i="5"/>
  <c r="O520" i="5"/>
  <c r="J519" i="5"/>
  <c r="M519" i="5"/>
  <c r="N519" i="5"/>
  <c r="O519" i="5"/>
  <c r="J518" i="5"/>
  <c r="M518" i="5"/>
  <c r="N518" i="5"/>
  <c r="O518" i="5"/>
  <c r="J517" i="5"/>
  <c r="M517" i="5"/>
  <c r="N517" i="5"/>
  <c r="O517" i="5"/>
  <c r="J516" i="5"/>
  <c r="M516" i="5"/>
  <c r="N516" i="5"/>
  <c r="O516" i="5"/>
  <c r="J515" i="5"/>
  <c r="M515" i="5"/>
  <c r="N515" i="5"/>
  <c r="O515" i="5"/>
  <c r="J514" i="5"/>
  <c r="M514" i="5"/>
  <c r="N514" i="5"/>
  <c r="O514" i="5"/>
  <c r="J513" i="5"/>
  <c r="M513" i="5"/>
  <c r="N513" i="5"/>
  <c r="O513" i="5"/>
  <c r="J512" i="5"/>
  <c r="M512" i="5"/>
  <c r="N512" i="5"/>
  <c r="O512" i="5"/>
  <c r="J511" i="5"/>
  <c r="M511" i="5"/>
  <c r="N511" i="5"/>
  <c r="O511" i="5"/>
  <c r="J510" i="5"/>
  <c r="M510" i="5"/>
  <c r="N510" i="5"/>
  <c r="O510" i="5"/>
  <c r="J509" i="5"/>
  <c r="M509" i="5"/>
  <c r="N509" i="5"/>
  <c r="O509" i="5"/>
  <c r="J508" i="5"/>
  <c r="M508" i="5"/>
  <c r="N508" i="5"/>
  <c r="O508" i="5"/>
  <c r="J507" i="5"/>
  <c r="M507" i="5"/>
  <c r="N507" i="5"/>
  <c r="O507" i="5"/>
  <c r="J506" i="5"/>
  <c r="M506" i="5"/>
  <c r="N506" i="5"/>
  <c r="O506" i="5"/>
  <c r="J505" i="5"/>
  <c r="M505" i="5"/>
  <c r="N505" i="5"/>
  <c r="O505" i="5"/>
  <c r="J504" i="5"/>
  <c r="M504" i="5"/>
  <c r="N504" i="5"/>
  <c r="O504" i="5"/>
  <c r="J503" i="5"/>
  <c r="M503" i="5"/>
  <c r="N503" i="5"/>
  <c r="O503" i="5"/>
  <c r="J502" i="5"/>
  <c r="M502" i="5"/>
  <c r="N502" i="5"/>
  <c r="O502" i="5"/>
  <c r="J501" i="5"/>
  <c r="M501" i="5"/>
  <c r="N501" i="5"/>
  <c r="O501" i="5"/>
  <c r="J500" i="5"/>
  <c r="M500" i="5"/>
  <c r="N500" i="5"/>
  <c r="O500" i="5"/>
  <c r="J499" i="5"/>
  <c r="M499" i="5"/>
  <c r="N499" i="5"/>
  <c r="O499" i="5"/>
  <c r="J498" i="5"/>
  <c r="M498" i="5"/>
  <c r="N498" i="5"/>
  <c r="O498" i="5"/>
  <c r="J497" i="5"/>
  <c r="M497" i="5"/>
  <c r="N497" i="5"/>
  <c r="O497" i="5"/>
  <c r="J496" i="5"/>
  <c r="M496" i="5"/>
  <c r="N496" i="5"/>
  <c r="O496" i="5"/>
  <c r="J495" i="5"/>
  <c r="M495" i="5"/>
  <c r="N495" i="5"/>
  <c r="O495" i="5"/>
  <c r="J494" i="5"/>
  <c r="M494" i="5"/>
  <c r="N494" i="5"/>
  <c r="O494" i="5"/>
  <c r="J493" i="5"/>
  <c r="M493" i="5"/>
  <c r="N493" i="5"/>
  <c r="O493" i="5"/>
  <c r="J492" i="5"/>
  <c r="M492" i="5"/>
  <c r="N492" i="5"/>
  <c r="O492" i="5"/>
  <c r="J491" i="5"/>
  <c r="M491" i="5"/>
  <c r="N491" i="5"/>
  <c r="O491" i="5"/>
  <c r="J490" i="5"/>
  <c r="M490" i="5"/>
  <c r="N490" i="5"/>
  <c r="O490" i="5"/>
  <c r="J489" i="5"/>
  <c r="M489" i="5"/>
  <c r="N489" i="5"/>
  <c r="O489" i="5"/>
  <c r="J488" i="5"/>
  <c r="M488" i="5"/>
  <c r="N488" i="5"/>
  <c r="O488" i="5"/>
  <c r="J487" i="5"/>
  <c r="M487" i="5"/>
  <c r="N487" i="5"/>
  <c r="O487" i="5"/>
  <c r="J486" i="5"/>
  <c r="M486" i="5"/>
  <c r="N486" i="5"/>
  <c r="O486" i="5"/>
  <c r="J485" i="5"/>
  <c r="M485" i="5"/>
  <c r="N485" i="5"/>
  <c r="O485" i="5"/>
  <c r="J484" i="5"/>
  <c r="M484" i="5"/>
  <c r="N484" i="5"/>
  <c r="O484" i="5"/>
  <c r="J483" i="5"/>
  <c r="M483" i="5"/>
  <c r="N483" i="5"/>
  <c r="O483" i="5"/>
  <c r="J482" i="5"/>
  <c r="M482" i="5"/>
  <c r="N482" i="5"/>
  <c r="O482" i="5"/>
  <c r="J481" i="5"/>
  <c r="M481" i="5"/>
  <c r="N481" i="5"/>
  <c r="O481" i="5"/>
  <c r="J480" i="5"/>
  <c r="M480" i="5"/>
  <c r="N480" i="5"/>
  <c r="O480" i="5"/>
  <c r="J479" i="5"/>
  <c r="M479" i="5"/>
  <c r="N479" i="5"/>
  <c r="O479" i="5"/>
  <c r="J478" i="5"/>
  <c r="M478" i="5"/>
  <c r="N478" i="5"/>
  <c r="O478" i="5"/>
  <c r="J477" i="5"/>
  <c r="M477" i="5"/>
  <c r="N477" i="5"/>
  <c r="O477" i="5"/>
  <c r="J476" i="5"/>
  <c r="M476" i="5"/>
  <c r="N476" i="5"/>
  <c r="O476" i="5"/>
  <c r="J475" i="5"/>
  <c r="M475" i="5"/>
  <c r="N475" i="5"/>
  <c r="O475" i="5"/>
  <c r="J474" i="5"/>
  <c r="M474" i="5"/>
  <c r="N474" i="5"/>
  <c r="O474" i="5"/>
  <c r="J473" i="5"/>
  <c r="M473" i="5"/>
  <c r="N473" i="5"/>
  <c r="O473" i="5"/>
  <c r="J472" i="5"/>
  <c r="M472" i="5"/>
  <c r="N472" i="5"/>
  <c r="O472" i="5"/>
  <c r="J471" i="5"/>
  <c r="M471" i="5"/>
  <c r="N471" i="5"/>
  <c r="O471" i="5"/>
  <c r="J470" i="5"/>
  <c r="M470" i="5"/>
  <c r="N470" i="5"/>
  <c r="O470" i="5"/>
  <c r="J469" i="5"/>
  <c r="M469" i="5"/>
  <c r="N469" i="5"/>
  <c r="O469" i="5"/>
  <c r="J468" i="5"/>
  <c r="M468" i="5"/>
  <c r="N468" i="5"/>
  <c r="O468" i="5"/>
  <c r="J467" i="5"/>
  <c r="M467" i="5"/>
  <c r="N467" i="5"/>
  <c r="O467" i="5"/>
  <c r="J466" i="5"/>
  <c r="M466" i="5"/>
  <c r="N466" i="5"/>
  <c r="O466" i="5"/>
  <c r="J465" i="5"/>
  <c r="M465" i="5"/>
  <c r="N465" i="5"/>
  <c r="O465" i="5"/>
  <c r="J464" i="5"/>
  <c r="M464" i="5"/>
  <c r="N464" i="5"/>
  <c r="O464" i="5"/>
  <c r="J463" i="5"/>
  <c r="M463" i="5"/>
  <c r="N463" i="5"/>
  <c r="O463" i="5"/>
  <c r="J462" i="5"/>
  <c r="M462" i="5"/>
  <c r="N462" i="5"/>
  <c r="O462" i="5"/>
  <c r="J461" i="5"/>
  <c r="M461" i="5"/>
  <c r="N461" i="5"/>
  <c r="O461" i="5"/>
  <c r="J460" i="5"/>
  <c r="M460" i="5"/>
  <c r="N460" i="5"/>
  <c r="O460" i="5"/>
  <c r="J459" i="5"/>
  <c r="M459" i="5"/>
  <c r="N459" i="5"/>
  <c r="O459" i="5"/>
  <c r="J458" i="5"/>
  <c r="M458" i="5"/>
  <c r="N458" i="5"/>
  <c r="O458" i="5"/>
  <c r="J457" i="5"/>
  <c r="M457" i="5"/>
  <c r="N457" i="5"/>
  <c r="O457" i="5"/>
  <c r="J456" i="5"/>
  <c r="M456" i="5"/>
  <c r="N456" i="5"/>
  <c r="O456" i="5"/>
  <c r="J455" i="5"/>
  <c r="M455" i="5"/>
  <c r="N455" i="5"/>
  <c r="O455" i="5"/>
  <c r="J454" i="5"/>
  <c r="M454" i="5"/>
  <c r="N454" i="5"/>
  <c r="O454" i="5"/>
  <c r="J453" i="5"/>
  <c r="M453" i="5"/>
  <c r="N453" i="5"/>
  <c r="O453" i="5"/>
  <c r="J452" i="5"/>
  <c r="M452" i="5"/>
  <c r="N452" i="5"/>
  <c r="O452" i="5"/>
  <c r="J451" i="5"/>
  <c r="M451" i="5"/>
  <c r="N451" i="5"/>
  <c r="O451" i="5"/>
  <c r="J450" i="5"/>
  <c r="M450" i="5"/>
  <c r="N450" i="5"/>
  <c r="O450" i="5"/>
  <c r="J449" i="5"/>
  <c r="M449" i="5"/>
  <c r="N449" i="5"/>
  <c r="O449" i="5"/>
  <c r="J448" i="5"/>
  <c r="M448" i="5"/>
  <c r="N448" i="5"/>
  <c r="O448" i="5"/>
  <c r="J447" i="5"/>
  <c r="M447" i="5"/>
  <c r="N447" i="5"/>
  <c r="O447" i="5"/>
  <c r="J446" i="5"/>
  <c r="M446" i="5"/>
  <c r="N446" i="5"/>
  <c r="O446" i="5"/>
  <c r="J445" i="5"/>
  <c r="M445" i="5"/>
  <c r="N445" i="5"/>
  <c r="O445" i="5"/>
  <c r="J444" i="5"/>
  <c r="M444" i="5"/>
  <c r="N444" i="5"/>
  <c r="O444" i="5"/>
  <c r="J443" i="5"/>
  <c r="M443" i="5"/>
  <c r="N443" i="5"/>
  <c r="O443" i="5"/>
  <c r="J442" i="5"/>
  <c r="M442" i="5"/>
  <c r="N442" i="5"/>
  <c r="O442" i="5"/>
  <c r="J441" i="5"/>
  <c r="M441" i="5"/>
  <c r="N441" i="5"/>
  <c r="O441" i="5"/>
  <c r="J440" i="5"/>
  <c r="M440" i="5"/>
  <c r="N440" i="5"/>
  <c r="O440" i="5"/>
  <c r="J439" i="5"/>
  <c r="M439" i="5"/>
  <c r="N439" i="5"/>
  <c r="O439" i="5"/>
  <c r="J438" i="5"/>
  <c r="M438" i="5"/>
  <c r="N438" i="5"/>
  <c r="O438" i="5"/>
  <c r="J437" i="5"/>
  <c r="M437" i="5"/>
  <c r="N437" i="5"/>
  <c r="O437" i="5"/>
  <c r="J436" i="5"/>
  <c r="M436" i="5"/>
  <c r="N436" i="5"/>
  <c r="O436" i="5"/>
  <c r="J435" i="5"/>
  <c r="M435" i="5"/>
  <c r="N435" i="5"/>
  <c r="O435" i="5"/>
  <c r="J434" i="5"/>
  <c r="M434" i="5"/>
  <c r="N434" i="5"/>
  <c r="O434" i="5"/>
  <c r="J433" i="5"/>
  <c r="M433" i="5"/>
  <c r="N433" i="5"/>
  <c r="O433" i="5"/>
  <c r="J432" i="5"/>
  <c r="M432" i="5"/>
  <c r="N432" i="5"/>
  <c r="O432" i="5"/>
  <c r="J431" i="5"/>
  <c r="M431" i="5"/>
  <c r="N431" i="5"/>
  <c r="O431" i="5"/>
  <c r="J430" i="5"/>
  <c r="M430" i="5"/>
  <c r="N430" i="5"/>
  <c r="O430" i="5"/>
  <c r="J429" i="5"/>
  <c r="M429" i="5"/>
  <c r="N429" i="5"/>
  <c r="O429" i="5"/>
  <c r="J428" i="5"/>
  <c r="M428" i="5"/>
  <c r="N428" i="5"/>
  <c r="O428" i="5"/>
  <c r="J427" i="5"/>
  <c r="M427" i="5"/>
  <c r="N427" i="5"/>
  <c r="O427" i="5"/>
  <c r="J426" i="5"/>
  <c r="M426" i="5"/>
  <c r="N426" i="5"/>
  <c r="O426" i="5"/>
  <c r="J425" i="5"/>
  <c r="M425" i="5"/>
  <c r="N425" i="5"/>
  <c r="O425" i="5"/>
  <c r="J424" i="5"/>
  <c r="M424" i="5"/>
  <c r="N424" i="5"/>
  <c r="O424" i="5"/>
  <c r="J423" i="5"/>
  <c r="M423" i="5"/>
  <c r="N423" i="5"/>
  <c r="O423" i="5"/>
  <c r="J422" i="5"/>
  <c r="M422" i="5"/>
  <c r="N422" i="5"/>
  <c r="O422" i="5"/>
  <c r="J421" i="5"/>
  <c r="M421" i="5"/>
  <c r="N421" i="5"/>
  <c r="O421" i="5"/>
  <c r="J420" i="5"/>
  <c r="M420" i="5"/>
  <c r="N420" i="5"/>
  <c r="O420" i="5"/>
  <c r="J419" i="5"/>
  <c r="M419" i="5"/>
  <c r="N419" i="5"/>
  <c r="O419" i="5"/>
  <c r="J418" i="5"/>
  <c r="M418" i="5"/>
  <c r="N418" i="5"/>
  <c r="O418" i="5"/>
  <c r="J417" i="5"/>
  <c r="M417" i="5"/>
  <c r="N417" i="5"/>
  <c r="O417" i="5"/>
  <c r="J416" i="5"/>
  <c r="M416" i="5"/>
  <c r="N416" i="5"/>
  <c r="O416" i="5"/>
  <c r="J415" i="5"/>
  <c r="M415" i="5"/>
  <c r="N415" i="5"/>
  <c r="O415" i="5"/>
  <c r="J414" i="5"/>
  <c r="M414" i="5"/>
  <c r="N414" i="5"/>
  <c r="O414" i="5"/>
  <c r="J413" i="5"/>
  <c r="M413" i="5"/>
  <c r="N413" i="5"/>
  <c r="O413" i="5"/>
  <c r="J412" i="5"/>
  <c r="M412" i="5"/>
  <c r="N412" i="5"/>
  <c r="O412" i="5"/>
  <c r="J411" i="5"/>
  <c r="M411" i="5"/>
  <c r="N411" i="5"/>
  <c r="O411" i="5"/>
  <c r="J410" i="5"/>
  <c r="M410" i="5"/>
  <c r="N410" i="5"/>
  <c r="O410" i="5"/>
  <c r="J409" i="5"/>
  <c r="M409" i="5"/>
  <c r="N409" i="5"/>
  <c r="O409" i="5"/>
  <c r="J408" i="5"/>
  <c r="M408" i="5"/>
  <c r="N408" i="5"/>
  <c r="O408" i="5"/>
  <c r="J407" i="5"/>
  <c r="M407" i="5"/>
  <c r="N407" i="5"/>
  <c r="O407" i="5"/>
  <c r="J406" i="5"/>
  <c r="M406" i="5"/>
  <c r="N406" i="5"/>
  <c r="O406" i="5"/>
  <c r="J405" i="5"/>
  <c r="M405" i="5"/>
  <c r="N405" i="5"/>
  <c r="O405" i="5"/>
  <c r="J404" i="5"/>
  <c r="M404" i="5"/>
  <c r="N404" i="5"/>
  <c r="O404" i="5"/>
  <c r="J403" i="5"/>
  <c r="M403" i="5"/>
  <c r="N403" i="5"/>
  <c r="O403" i="5"/>
  <c r="J402" i="5"/>
  <c r="M402" i="5"/>
  <c r="N402" i="5"/>
  <c r="O402" i="5"/>
  <c r="J401" i="5"/>
  <c r="M401" i="5"/>
  <c r="N401" i="5"/>
  <c r="O401" i="5"/>
  <c r="J400" i="5"/>
  <c r="M400" i="5"/>
  <c r="N400" i="5"/>
  <c r="O400" i="5"/>
  <c r="J399" i="5"/>
  <c r="M399" i="5"/>
  <c r="N399" i="5"/>
  <c r="O399" i="5"/>
  <c r="J398" i="5"/>
  <c r="M398" i="5"/>
  <c r="N398" i="5"/>
  <c r="O398" i="5"/>
  <c r="J397" i="5"/>
  <c r="M397" i="5"/>
  <c r="N397" i="5"/>
  <c r="O397" i="5"/>
  <c r="J396" i="5"/>
  <c r="M396" i="5"/>
  <c r="N396" i="5"/>
  <c r="O396" i="5"/>
  <c r="J395" i="5"/>
  <c r="M395" i="5"/>
  <c r="N395" i="5"/>
  <c r="O395" i="5"/>
  <c r="J394" i="5"/>
  <c r="M394" i="5"/>
  <c r="N394" i="5"/>
  <c r="O394" i="5"/>
  <c r="J393" i="5"/>
  <c r="M393" i="5"/>
  <c r="N393" i="5"/>
  <c r="O393" i="5"/>
  <c r="J392" i="5"/>
  <c r="M392" i="5"/>
  <c r="N392" i="5"/>
  <c r="O392" i="5"/>
  <c r="J391" i="5"/>
  <c r="M391" i="5"/>
  <c r="N391" i="5"/>
  <c r="O391" i="5"/>
  <c r="J390" i="5"/>
  <c r="M390" i="5"/>
  <c r="N390" i="5"/>
  <c r="O390" i="5"/>
  <c r="J389" i="5"/>
  <c r="M389" i="5"/>
  <c r="N389" i="5"/>
  <c r="O389" i="5"/>
  <c r="J388" i="5"/>
  <c r="M388" i="5"/>
  <c r="N388" i="5"/>
  <c r="O388" i="5"/>
  <c r="J387" i="5"/>
  <c r="M387" i="5"/>
  <c r="N387" i="5"/>
  <c r="O387" i="5"/>
  <c r="J386" i="5"/>
  <c r="M386" i="5"/>
  <c r="N386" i="5"/>
  <c r="O386" i="5"/>
  <c r="J385" i="5"/>
  <c r="M385" i="5"/>
  <c r="N385" i="5"/>
  <c r="O385" i="5"/>
  <c r="J384" i="5"/>
  <c r="M384" i="5"/>
  <c r="N384" i="5"/>
  <c r="O384" i="5"/>
  <c r="J383" i="5"/>
  <c r="M383" i="5"/>
  <c r="N383" i="5"/>
  <c r="O383" i="5"/>
  <c r="J382" i="5"/>
  <c r="M382" i="5"/>
  <c r="N382" i="5"/>
  <c r="O382" i="5"/>
  <c r="J381" i="5"/>
  <c r="M381" i="5"/>
  <c r="N381" i="5"/>
  <c r="O381" i="5"/>
  <c r="J380" i="5"/>
  <c r="M380" i="5"/>
  <c r="N380" i="5"/>
  <c r="O380" i="5"/>
  <c r="J379" i="5"/>
  <c r="M379" i="5"/>
  <c r="N379" i="5"/>
  <c r="O379" i="5"/>
  <c r="J378" i="5"/>
  <c r="M378" i="5"/>
  <c r="N378" i="5"/>
  <c r="O378" i="5"/>
  <c r="J377" i="5"/>
  <c r="M377" i="5"/>
  <c r="N377" i="5"/>
  <c r="O377" i="5"/>
  <c r="J376" i="5"/>
  <c r="M376" i="5"/>
  <c r="N376" i="5"/>
  <c r="O376" i="5"/>
  <c r="J375" i="5"/>
  <c r="M375" i="5"/>
  <c r="N375" i="5"/>
  <c r="O375" i="5"/>
  <c r="J374" i="5"/>
  <c r="M374" i="5"/>
  <c r="N374" i="5"/>
  <c r="O374" i="5"/>
  <c r="J373" i="5"/>
  <c r="M373" i="5"/>
  <c r="N373" i="5"/>
  <c r="O373" i="5"/>
  <c r="J372" i="5"/>
  <c r="M372" i="5"/>
  <c r="N372" i="5"/>
  <c r="O372" i="5"/>
  <c r="J371" i="5"/>
  <c r="M371" i="5"/>
  <c r="N371" i="5"/>
  <c r="O371" i="5"/>
  <c r="J370" i="5"/>
  <c r="M370" i="5"/>
  <c r="N370" i="5"/>
  <c r="O370" i="5"/>
  <c r="J369" i="5"/>
  <c r="M369" i="5"/>
  <c r="N369" i="5"/>
  <c r="O369" i="5"/>
  <c r="J368" i="5"/>
  <c r="M368" i="5"/>
  <c r="N368" i="5"/>
  <c r="O368" i="5"/>
  <c r="J367" i="5"/>
  <c r="M367" i="5"/>
  <c r="N367" i="5"/>
  <c r="O367" i="5"/>
  <c r="J366" i="5"/>
  <c r="M366" i="5"/>
  <c r="N366" i="5"/>
  <c r="O366" i="5"/>
  <c r="J365" i="5"/>
  <c r="M365" i="5"/>
  <c r="N365" i="5"/>
  <c r="O365" i="5"/>
  <c r="J364" i="5"/>
  <c r="M364" i="5"/>
  <c r="N364" i="5"/>
  <c r="O364" i="5"/>
  <c r="J363" i="5"/>
  <c r="M363" i="5"/>
  <c r="N363" i="5"/>
  <c r="O363" i="5"/>
  <c r="J362" i="5"/>
  <c r="M362" i="5"/>
  <c r="N362" i="5"/>
  <c r="O362" i="5"/>
  <c r="J361" i="5"/>
  <c r="M361" i="5"/>
  <c r="N361" i="5"/>
  <c r="O361" i="5"/>
  <c r="J360" i="5"/>
  <c r="M360" i="5"/>
  <c r="N360" i="5"/>
  <c r="O360" i="5"/>
  <c r="J359" i="5"/>
  <c r="M359" i="5"/>
  <c r="N359" i="5"/>
  <c r="O359" i="5"/>
  <c r="J358" i="5"/>
  <c r="M358" i="5"/>
  <c r="N358" i="5"/>
  <c r="O358" i="5"/>
  <c r="J357" i="5"/>
  <c r="M357" i="5"/>
  <c r="N357" i="5"/>
  <c r="O357" i="5"/>
  <c r="J356" i="5"/>
  <c r="M356" i="5"/>
  <c r="N356" i="5"/>
  <c r="O356" i="5"/>
  <c r="J355" i="5"/>
  <c r="M355" i="5"/>
  <c r="N355" i="5"/>
  <c r="O355" i="5"/>
  <c r="J354" i="5"/>
  <c r="M354" i="5"/>
  <c r="N354" i="5"/>
  <c r="O354" i="5"/>
  <c r="J353" i="5"/>
  <c r="M353" i="5"/>
  <c r="N353" i="5"/>
  <c r="O353" i="5"/>
  <c r="J352" i="5"/>
  <c r="M352" i="5"/>
  <c r="N352" i="5"/>
  <c r="O352" i="5"/>
  <c r="J351" i="5"/>
  <c r="M351" i="5"/>
  <c r="N351" i="5"/>
  <c r="O351" i="5"/>
  <c r="J350" i="5"/>
  <c r="M350" i="5"/>
  <c r="N350" i="5"/>
  <c r="O350" i="5"/>
  <c r="J349" i="5"/>
  <c r="M349" i="5"/>
  <c r="N349" i="5"/>
  <c r="O349" i="5"/>
  <c r="J348" i="5"/>
  <c r="M348" i="5"/>
  <c r="N348" i="5"/>
  <c r="O348" i="5"/>
  <c r="J347" i="5"/>
  <c r="M347" i="5"/>
  <c r="N347" i="5"/>
  <c r="O347" i="5"/>
  <c r="J346" i="5"/>
  <c r="M346" i="5"/>
  <c r="N346" i="5"/>
  <c r="O346" i="5"/>
  <c r="J345" i="5"/>
  <c r="M345" i="5"/>
  <c r="N345" i="5"/>
  <c r="O345" i="5"/>
  <c r="J344" i="5"/>
  <c r="M344" i="5"/>
  <c r="N344" i="5"/>
  <c r="O344" i="5"/>
  <c r="J343" i="5"/>
  <c r="M343" i="5"/>
  <c r="N343" i="5"/>
  <c r="O343" i="5"/>
  <c r="J342" i="5"/>
  <c r="M342" i="5"/>
  <c r="N342" i="5"/>
  <c r="O342" i="5"/>
  <c r="J341" i="5"/>
  <c r="M341" i="5"/>
  <c r="N341" i="5"/>
  <c r="O341" i="5"/>
  <c r="J340" i="5"/>
  <c r="M340" i="5"/>
  <c r="N340" i="5"/>
  <c r="O340" i="5"/>
  <c r="J339" i="5"/>
  <c r="M339" i="5"/>
  <c r="N339" i="5"/>
  <c r="O339" i="5"/>
  <c r="J338" i="5"/>
  <c r="M338" i="5"/>
  <c r="N338" i="5"/>
  <c r="O338" i="5"/>
  <c r="J337" i="5"/>
  <c r="M337" i="5"/>
  <c r="N337" i="5"/>
  <c r="O337" i="5"/>
  <c r="J336" i="5"/>
  <c r="M336" i="5"/>
  <c r="N336" i="5"/>
  <c r="O336" i="5"/>
  <c r="J335" i="5"/>
  <c r="M335" i="5"/>
  <c r="N335" i="5"/>
  <c r="O335" i="5"/>
  <c r="J334" i="5"/>
  <c r="M334" i="5"/>
  <c r="N334" i="5"/>
  <c r="O334" i="5"/>
  <c r="J333" i="5"/>
  <c r="M333" i="5"/>
  <c r="N333" i="5"/>
  <c r="O333" i="5"/>
  <c r="J332" i="5"/>
  <c r="M332" i="5"/>
  <c r="N332" i="5"/>
  <c r="O332" i="5"/>
  <c r="J331" i="5"/>
  <c r="M331" i="5"/>
  <c r="N331" i="5"/>
  <c r="O331" i="5"/>
  <c r="J330" i="5"/>
  <c r="M330" i="5"/>
  <c r="N330" i="5"/>
  <c r="O330" i="5"/>
  <c r="J329" i="5"/>
  <c r="M329" i="5"/>
  <c r="N329" i="5"/>
  <c r="O329" i="5"/>
  <c r="J328" i="5"/>
  <c r="M328" i="5"/>
  <c r="N328" i="5"/>
  <c r="O328" i="5"/>
  <c r="J327" i="5"/>
  <c r="M327" i="5"/>
  <c r="N327" i="5"/>
  <c r="O327" i="5"/>
  <c r="J326" i="5"/>
  <c r="M326" i="5"/>
  <c r="N326" i="5"/>
  <c r="O326" i="5"/>
  <c r="J325" i="5"/>
  <c r="M325" i="5"/>
  <c r="N325" i="5"/>
  <c r="O325" i="5"/>
  <c r="J324" i="5"/>
  <c r="M324" i="5"/>
  <c r="N324" i="5"/>
  <c r="O324" i="5"/>
  <c r="J323" i="5"/>
  <c r="M323" i="5"/>
  <c r="N323" i="5"/>
  <c r="O323" i="5"/>
  <c r="J322" i="5"/>
  <c r="M322" i="5"/>
  <c r="N322" i="5"/>
  <c r="O322" i="5"/>
  <c r="J321" i="5"/>
  <c r="M321" i="5"/>
  <c r="N321" i="5"/>
  <c r="O321" i="5"/>
  <c r="J320" i="5"/>
  <c r="M320" i="5"/>
  <c r="N320" i="5"/>
  <c r="O320" i="5"/>
  <c r="J319" i="5"/>
  <c r="M319" i="5"/>
  <c r="N319" i="5"/>
  <c r="O319" i="5"/>
  <c r="J318" i="5"/>
  <c r="M318" i="5"/>
  <c r="N318" i="5"/>
  <c r="O318" i="5"/>
  <c r="J317" i="5"/>
  <c r="M317" i="5"/>
  <c r="N317" i="5"/>
  <c r="O317" i="5"/>
  <c r="J316" i="5"/>
  <c r="M316" i="5"/>
  <c r="N316" i="5"/>
  <c r="O316" i="5"/>
  <c r="J315" i="5"/>
  <c r="M315" i="5"/>
  <c r="N315" i="5"/>
  <c r="O315" i="5"/>
  <c r="J314" i="5"/>
  <c r="M314" i="5"/>
  <c r="N314" i="5"/>
  <c r="O314" i="5"/>
  <c r="J313" i="5"/>
  <c r="M313" i="5"/>
  <c r="N313" i="5"/>
  <c r="O313" i="5"/>
  <c r="J312" i="5"/>
  <c r="M312" i="5"/>
  <c r="N312" i="5"/>
  <c r="O312" i="5"/>
  <c r="J311" i="5"/>
  <c r="M311" i="5"/>
  <c r="N311" i="5"/>
  <c r="O311" i="5"/>
  <c r="J310" i="5"/>
  <c r="M310" i="5"/>
  <c r="N310" i="5"/>
  <c r="O310" i="5"/>
  <c r="J309" i="5"/>
  <c r="M309" i="5"/>
  <c r="N309" i="5"/>
  <c r="O309" i="5"/>
  <c r="J308" i="5"/>
  <c r="M308" i="5"/>
  <c r="N308" i="5"/>
  <c r="O308" i="5"/>
  <c r="J307" i="5"/>
  <c r="M307" i="5"/>
  <c r="N307" i="5"/>
  <c r="O307" i="5"/>
  <c r="J306" i="5"/>
  <c r="M306" i="5"/>
  <c r="N306" i="5"/>
  <c r="O306" i="5"/>
  <c r="J305" i="5"/>
  <c r="M305" i="5"/>
  <c r="N305" i="5"/>
  <c r="O305" i="5"/>
  <c r="J304" i="5"/>
  <c r="M304" i="5"/>
  <c r="N304" i="5"/>
  <c r="O304" i="5"/>
  <c r="J303" i="5"/>
  <c r="M303" i="5"/>
  <c r="N303" i="5"/>
  <c r="O303" i="5"/>
  <c r="J302" i="5"/>
  <c r="M302" i="5"/>
  <c r="N302" i="5"/>
  <c r="O302" i="5"/>
  <c r="J301" i="5"/>
  <c r="M301" i="5"/>
  <c r="N301" i="5"/>
  <c r="O301" i="5"/>
  <c r="J300" i="5"/>
  <c r="M300" i="5"/>
  <c r="N300" i="5"/>
  <c r="O300" i="5"/>
  <c r="J299" i="5"/>
  <c r="M299" i="5"/>
  <c r="N299" i="5"/>
  <c r="O299" i="5"/>
  <c r="J298" i="5"/>
  <c r="M298" i="5"/>
  <c r="N298" i="5"/>
  <c r="O298" i="5"/>
  <c r="J297" i="5"/>
  <c r="M297" i="5"/>
  <c r="N297" i="5"/>
  <c r="O297" i="5"/>
  <c r="J296" i="5"/>
  <c r="M296" i="5"/>
  <c r="N296" i="5"/>
  <c r="O296" i="5"/>
  <c r="J295" i="5"/>
  <c r="M295" i="5"/>
  <c r="N295" i="5"/>
  <c r="O295" i="5"/>
  <c r="J294" i="5"/>
  <c r="M294" i="5"/>
  <c r="N294" i="5"/>
  <c r="O294" i="5"/>
  <c r="J293" i="5"/>
  <c r="M293" i="5"/>
  <c r="N293" i="5"/>
  <c r="O293" i="5"/>
  <c r="J292" i="5"/>
  <c r="M292" i="5"/>
  <c r="N292" i="5"/>
  <c r="O292" i="5"/>
  <c r="O291" i="5"/>
  <c r="J291" i="5"/>
  <c r="M291" i="5"/>
  <c r="N291" i="5"/>
  <c r="J290" i="5"/>
  <c r="M290" i="5"/>
  <c r="N290" i="5"/>
  <c r="O290" i="5"/>
  <c r="J289" i="5"/>
  <c r="M289" i="5"/>
  <c r="N289" i="5"/>
  <c r="O289" i="5"/>
  <c r="J288" i="5"/>
  <c r="M288" i="5"/>
  <c r="N288" i="5"/>
  <c r="O288" i="5"/>
  <c r="J287" i="5"/>
  <c r="M287" i="5"/>
  <c r="N287" i="5"/>
  <c r="O287" i="5"/>
  <c r="J286" i="5"/>
  <c r="M286" i="5"/>
  <c r="N286" i="5"/>
  <c r="O286" i="5"/>
  <c r="J285" i="5"/>
  <c r="M285" i="5"/>
  <c r="N285" i="5"/>
  <c r="O285" i="5"/>
  <c r="J284" i="5"/>
  <c r="M284" i="5"/>
  <c r="N284" i="5"/>
  <c r="O284" i="5"/>
  <c r="J283" i="5"/>
  <c r="M283" i="5"/>
  <c r="N283" i="5"/>
  <c r="O283" i="5"/>
  <c r="J282" i="5"/>
  <c r="M282" i="5"/>
  <c r="N282" i="5"/>
  <c r="O282" i="5"/>
  <c r="J281" i="5"/>
  <c r="M281" i="5"/>
  <c r="N281" i="5"/>
  <c r="O281" i="5"/>
  <c r="J280" i="5"/>
  <c r="M280" i="5"/>
  <c r="N280" i="5"/>
  <c r="O280" i="5"/>
  <c r="J279" i="5"/>
  <c r="M279" i="5"/>
  <c r="N279" i="5"/>
  <c r="O279" i="5"/>
  <c r="J278" i="5"/>
  <c r="M278" i="5"/>
  <c r="N278" i="5"/>
  <c r="O278" i="5"/>
  <c r="J277" i="5"/>
  <c r="M277" i="5"/>
  <c r="N277" i="5"/>
  <c r="O277" i="5"/>
  <c r="J276" i="5"/>
  <c r="M276" i="5"/>
  <c r="N276" i="5"/>
  <c r="O276" i="5"/>
  <c r="J275" i="5"/>
  <c r="M275" i="5"/>
  <c r="N275" i="5"/>
  <c r="O275" i="5"/>
  <c r="J274" i="5"/>
  <c r="M274" i="5"/>
  <c r="N274" i="5"/>
  <c r="O274" i="5"/>
  <c r="J273" i="5"/>
  <c r="M273" i="5"/>
  <c r="N273" i="5"/>
  <c r="O273" i="5"/>
  <c r="J272" i="5"/>
  <c r="M272" i="5"/>
  <c r="N272" i="5"/>
  <c r="O272" i="5"/>
  <c r="J271" i="5"/>
  <c r="M271" i="5"/>
  <c r="N271" i="5"/>
  <c r="O271" i="5"/>
  <c r="J270" i="5"/>
  <c r="M270" i="5"/>
  <c r="N270" i="5"/>
  <c r="O270" i="5"/>
  <c r="J269" i="5"/>
  <c r="M269" i="5"/>
  <c r="N269" i="5"/>
  <c r="O269" i="5"/>
  <c r="J268" i="5"/>
  <c r="M268" i="5"/>
  <c r="N268" i="5"/>
  <c r="O268" i="5"/>
  <c r="J267" i="5"/>
  <c r="M267" i="5"/>
  <c r="N267" i="5"/>
  <c r="O267" i="5"/>
  <c r="J266" i="5"/>
  <c r="M266" i="5"/>
  <c r="N266" i="5"/>
  <c r="O266" i="5"/>
  <c r="J265" i="5"/>
  <c r="M265" i="5"/>
  <c r="N265" i="5"/>
  <c r="O265" i="5"/>
  <c r="J264" i="5"/>
  <c r="M264" i="5"/>
  <c r="N264" i="5"/>
  <c r="O264" i="5"/>
  <c r="J263" i="5"/>
  <c r="M263" i="5"/>
  <c r="N263" i="5"/>
  <c r="O263" i="5"/>
  <c r="J262" i="5"/>
  <c r="M262" i="5"/>
  <c r="N262" i="5"/>
  <c r="O262" i="5"/>
  <c r="J261" i="5"/>
  <c r="M261" i="5"/>
  <c r="N261" i="5"/>
  <c r="O261" i="5"/>
  <c r="J260" i="5"/>
  <c r="M260" i="5"/>
  <c r="N260" i="5"/>
  <c r="O260" i="5"/>
  <c r="J259" i="5"/>
  <c r="M259" i="5"/>
  <c r="N259" i="5"/>
  <c r="O259" i="5"/>
  <c r="J258" i="5"/>
  <c r="M258" i="5"/>
  <c r="N258" i="5"/>
  <c r="O258" i="5"/>
  <c r="J257" i="5"/>
  <c r="M257" i="5"/>
  <c r="N257" i="5"/>
  <c r="O257" i="5"/>
  <c r="J256" i="5"/>
  <c r="M256" i="5"/>
  <c r="N256" i="5"/>
  <c r="O256" i="5"/>
  <c r="J255" i="5"/>
  <c r="M255" i="5"/>
  <c r="N255" i="5"/>
  <c r="O255" i="5"/>
  <c r="J254" i="5"/>
  <c r="M254" i="5"/>
  <c r="N254" i="5"/>
  <c r="O254" i="5"/>
  <c r="J253" i="5"/>
  <c r="M253" i="5"/>
  <c r="N253" i="5"/>
  <c r="O253" i="5"/>
  <c r="J252" i="5"/>
  <c r="M252" i="5"/>
  <c r="N252" i="5"/>
  <c r="O252" i="5"/>
  <c r="J251" i="5"/>
  <c r="M251" i="5"/>
  <c r="N251" i="5"/>
  <c r="O251" i="5"/>
  <c r="J250" i="5"/>
  <c r="M250" i="5"/>
  <c r="N250" i="5"/>
  <c r="O250" i="5"/>
  <c r="J249" i="5"/>
  <c r="M249" i="5"/>
  <c r="N249" i="5"/>
  <c r="O249" i="5"/>
  <c r="J248" i="5"/>
  <c r="M248" i="5"/>
  <c r="N248" i="5"/>
  <c r="O248" i="5"/>
  <c r="J247" i="5"/>
  <c r="M247" i="5"/>
  <c r="N247" i="5"/>
  <c r="O247" i="5"/>
  <c r="J246" i="5"/>
  <c r="M246" i="5"/>
  <c r="N246" i="5"/>
  <c r="O246" i="5"/>
  <c r="J245" i="5"/>
  <c r="M245" i="5"/>
  <c r="N245" i="5"/>
  <c r="O245" i="5"/>
  <c r="J244" i="5"/>
  <c r="M244" i="5"/>
  <c r="N244" i="5"/>
  <c r="O244" i="5"/>
  <c r="J243" i="5"/>
  <c r="M243" i="5"/>
  <c r="N243" i="5"/>
  <c r="O243" i="5"/>
  <c r="J242" i="5"/>
  <c r="M242" i="5"/>
  <c r="N242" i="5"/>
  <c r="O242" i="5"/>
  <c r="J241" i="5"/>
  <c r="M241" i="5"/>
  <c r="N241" i="5"/>
  <c r="O241" i="5"/>
  <c r="J240" i="5"/>
  <c r="M240" i="5"/>
  <c r="N240" i="5"/>
  <c r="O240" i="5"/>
  <c r="J239" i="5"/>
  <c r="M239" i="5"/>
  <c r="N239" i="5"/>
  <c r="O239" i="5"/>
  <c r="J238" i="5"/>
  <c r="M238" i="5"/>
  <c r="N238" i="5"/>
  <c r="O238" i="5"/>
  <c r="J237" i="5"/>
  <c r="M237" i="5"/>
  <c r="N237" i="5"/>
  <c r="O237" i="5"/>
  <c r="J236" i="5"/>
  <c r="M236" i="5"/>
  <c r="N236" i="5"/>
  <c r="O236" i="5"/>
  <c r="J235" i="5"/>
  <c r="M235" i="5"/>
  <c r="N235" i="5"/>
  <c r="O235" i="5"/>
  <c r="J234" i="5"/>
  <c r="M234" i="5"/>
  <c r="N234" i="5"/>
  <c r="O234" i="5"/>
  <c r="J233" i="5"/>
  <c r="M233" i="5"/>
  <c r="N233" i="5"/>
  <c r="O233" i="5"/>
  <c r="J232" i="5"/>
  <c r="M232" i="5"/>
  <c r="N232" i="5"/>
  <c r="O232" i="5"/>
  <c r="J231" i="5"/>
  <c r="M231" i="5"/>
  <c r="N231" i="5"/>
  <c r="O231" i="5"/>
  <c r="J230" i="5"/>
  <c r="M230" i="5"/>
  <c r="N230" i="5"/>
  <c r="O230" i="5"/>
  <c r="J229" i="5"/>
  <c r="M229" i="5"/>
  <c r="N229" i="5"/>
  <c r="O229" i="5"/>
  <c r="J228" i="5"/>
  <c r="M228" i="5"/>
  <c r="N228" i="5"/>
  <c r="O228" i="5"/>
  <c r="J227" i="5"/>
  <c r="M227" i="5"/>
  <c r="N227" i="5"/>
  <c r="O227" i="5"/>
  <c r="J226" i="5"/>
  <c r="M226" i="5"/>
  <c r="N226" i="5"/>
  <c r="O226" i="5"/>
  <c r="J225" i="5"/>
  <c r="M225" i="5"/>
  <c r="N225" i="5"/>
  <c r="O225" i="5"/>
  <c r="J224" i="5"/>
  <c r="M224" i="5"/>
  <c r="N224" i="5"/>
  <c r="O224" i="5"/>
  <c r="J223" i="5"/>
  <c r="M223" i="5"/>
  <c r="N223" i="5"/>
  <c r="O223" i="5"/>
  <c r="J222" i="5"/>
  <c r="M222" i="5"/>
  <c r="N222" i="5"/>
  <c r="O222" i="5"/>
  <c r="J221" i="5"/>
  <c r="M221" i="5"/>
  <c r="N221" i="5"/>
  <c r="O221" i="5"/>
  <c r="J220" i="5"/>
  <c r="M220" i="5"/>
  <c r="N220" i="5"/>
  <c r="O220" i="5"/>
  <c r="J219" i="5"/>
  <c r="M219" i="5"/>
  <c r="N219" i="5"/>
  <c r="O219" i="5"/>
  <c r="J218" i="5"/>
  <c r="M218" i="5"/>
  <c r="N218" i="5"/>
  <c r="O218" i="5"/>
  <c r="J217" i="5"/>
  <c r="M217" i="5"/>
  <c r="N217" i="5"/>
  <c r="O217" i="5"/>
  <c r="J216" i="5"/>
  <c r="M216" i="5"/>
  <c r="N216" i="5"/>
  <c r="O216" i="5"/>
  <c r="J215" i="5"/>
  <c r="M215" i="5"/>
  <c r="N215" i="5"/>
  <c r="O215" i="5"/>
  <c r="J214" i="5"/>
  <c r="M214" i="5"/>
  <c r="N214" i="5"/>
  <c r="O214" i="5"/>
  <c r="J213" i="5"/>
  <c r="M213" i="5"/>
  <c r="N213" i="5"/>
  <c r="O213" i="5"/>
  <c r="J212" i="5"/>
  <c r="M212" i="5"/>
  <c r="N212" i="5"/>
  <c r="O212" i="5"/>
  <c r="J211" i="5"/>
  <c r="M211" i="5"/>
  <c r="N211" i="5"/>
  <c r="O211" i="5"/>
  <c r="J210" i="5"/>
  <c r="M210" i="5"/>
  <c r="N210" i="5"/>
  <c r="O210" i="5"/>
  <c r="J209" i="5"/>
  <c r="M209" i="5"/>
  <c r="N209" i="5"/>
  <c r="O209" i="5"/>
  <c r="J208" i="5"/>
  <c r="M208" i="5"/>
  <c r="N208" i="5"/>
  <c r="O208" i="5"/>
  <c r="J207" i="5"/>
  <c r="M207" i="5"/>
  <c r="N207" i="5"/>
  <c r="O207" i="5"/>
  <c r="J206" i="5"/>
  <c r="M206" i="5"/>
  <c r="N206" i="5"/>
  <c r="O206" i="5"/>
  <c r="J205" i="5"/>
  <c r="M205" i="5"/>
  <c r="N205" i="5"/>
  <c r="O205" i="5"/>
  <c r="J204" i="5"/>
  <c r="M204" i="5"/>
  <c r="N204" i="5"/>
  <c r="O204" i="5"/>
  <c r="J203" i="5"/>
  <c r="M203" i="5"/>
  <c r="N203" i="5"/>
  <c r="O203" i="5"/>
  <c r="J202" i="5"/>
  <c r="M202" i="5"/>
  <c r="N202" i="5"/>
  <c r="O202" i="5"/>
  <c r="J201" i="5"/>
  <c r="M201" i="5"/>
  <c r="N201" i="5"/>
  <c r="O201" i="5"/>
  <c r="J200" i="5"/>
  <c r="M200" i="5"/>
  <c r="N200" i="5"/>
  <c r="O200" i="5"/>
  <c r="J199" i="5"/>
  <c r="M199" i="5"/>
  <c r="N199" i="5"/>
  <c r="O199" i="5"/>
  <c r="J198" i="5"/>
  <c r="M198" i="5"/>
  <c r="N198" i="5"/>
  <c r="O198" i="5"/>
  <c r="J197" i="5"/>
  <c r="M197" i="5"/>
  <c r="N197" i="5"/>
  <c r="O197" i="5"/>
  <c r="J196" i="5"/>
  <c r="M196" i="5"/>
  <c r="N196" i="5"/>
  <c r="O196" i="5"/>
  <c r="J195" i="5"/>
  <c r="M195" i="5"/>
  <c r="N195" i="5"/>
  <c r="O195" i="5"/>
  <c r="J194" i="5"/>
  <c r="M194" i="5"/>
  <c r="N194" i="5"/>
  <c r="O194" i="5"/>
  <c r="J193" i="5"/>
  <c r="M193" i="5"/>
  <c r="N193" i="5"/>
  <c r="O193" i="5"/>
  <c r="J192" i="5"/>
  <c r="M192" i="5"/>
  <c r="N192" i="5"/>
  <c r="O192" i="5"/>
  <c r="J191" i="5"/>
  <c r="M191" i="5"/>
  <c r="N191" i="5"/>
  <c r="O191" i="5"/>
  <c r="J190" i="5"/>
  <c r="M190" i="5"/>
  <c r="N190" i="5"/>
  <c r="O190" i="5"/>
  <c r="J189" i="5"/>
  <c r="M189" i="5"/>
  <c r="N189" i="5"/>
  <c r="O189" i="5"/>
  <c r="J188" i="5"/>
  <c r="M188" i="5"/>
  <c r="N188" i="5"/>
  <c r="O188" i="5"/>
  <c r="J187" i="5"/>
  <c r="M187" i="5"/>
  <c r="N187" i="5"/>
  <c r="O187" i="5"/>
  <c r="J186" i="5"/>
  <c r="M186" i="5"/>
  <c r="N186" i="5"/>
  <c r="O186" i="5"/>
  <c r="J185" i="5"/>
  <c r="M185" i="5"/>
  <c r="N185" i="5"/>
  <c r="O185" i="5"/>
  <c r="J184" i="5"/>
  <c r="M184" i="5"/>
  <c r="N184" i="5"/>
  <c r="O184" i="5"/>
  <c r="J183" i="5"/>
  <c r="M183" i="5"/>
  <c r="N183" i="5"/>
  <c r="O183" i="5"/>
  <c r="J182" i="5"/>
  <c r="M182" i="5"/>
  <c r="N182" i="5"/>
  <c r="O182" i="5"/>
  <c r="J181" i="5"/>
  <c r="M181" i="5"/>
  <c r="N181" i="5"/>
  <c r="O181" i="5"/>
  <c r="J180" i="5"/>
  <c r="M180" i="5"/>
  <c r="N180" i="5"/>
  <c r="O180" i="5"/>
  <c r="J179" i="5"/>
  <c r="M179" i="5"/>
  <c r="N179" i="5"/>
  <c r="O179" i="5"/>
  <c r="J178" i="5"/>
  <c r="M178" i="5"/>
  <c r="N178" i="5"/>
  <c r="O178" i="5"/>
  <c r="J177" i="5"/>
  <c r="M177" i="5"/>
  <c r="N177" i="5"/>
  <c r="O177" i="5"/>
  <c r="J176" i="5"/>
  <c r="M176" i="5"/>
  <c r="N176" i="5"/>
  <c r="O176" i="5"/>
  <c r="J175" i="5"/>
  <c r="M175" i="5"/>
  <c r="N175" i="5"/>
  <c r="O175" i="5"/>
  <c r="J174" i="5"/>
  <c r="M174" i="5"/>
  <c r="N174" i="5"/>
  <c r="O174" i="5"/>
  <c r="J173" i="5"/>
  <c r="M173" i="5"/>
  <c r="N173" i="5"/>
  <c r="O173" i="5"/>
  <c r="J172" i="5"/>
  <c r="M172" i="5"/>
  <c r="N172" i="5"/>
  <c r="O172" i="5"/>
  <c r="J171" i="5"/>
  <c r="M171" i="5"/>
  <c r="N171" i="5"/>
  <c r="O171" i="5"/>
  <c r="J170" i="5"/>
  <c r="M170" i="5"/>
  <c r="N170" i="5"/>
  <c r="O170" i="5"/>
  <c r="J169" i="5"/>
  <c r="M169" i="5"/>
  <c r="N169" i="5"/>
  <c r="O169" i="5"/>
  <c r="J168" i="5"/>
  <c r="M168" i="5"/>
  <c r="N168" i="5"/>
  <c r="O168" i="5"/>
  <c r="J167" i="5"/>
  <c r="M167" i="5"/>
  <c r="N167" i="5"/>
  <c r="O167" i="5"/>
  <c r="J166" i="5"/>
  <c r="M166" i="5"/>
  <c r="N166" i="5"/>
  <c r="O166" i="5"/>
  <c r="J165" i="5"/>
  <c r="M165" i="5"/>
  <c r="N165" i="5"/>
  <c r="O165" i="5"/>
  <c r="J164" i="5"/>
  <c r="M164" i="5"/>
  <c r="N164" i="5"/>
  <c r="O164" i="5"/>
  <c r="J163" i="5"/>
  <c r="M163" i="5"/>
  <c r="N163" i="5"/>
  <c r="O163" i="5"/>
  <c r="J162" i="5"/>
  <c r="M162" i="5"/>
  <c r="N162" i="5"/>
  <c r="O162" i="5"/>
  <c r="J161" i="5"/>
  <c r="M161" i="5"/>
  <c r="N161" i="5"/>
  <c r="O161" i="5"/>
  <c r="J160" i="5"/>
  <c r="M160" i="5"/>
  <c r="N160" i="5"/>
  <c r="O160" i="5"/>
  <c r="J159" i="5"/>
  <c r="M159" i="5"/>
  <c r="N159" i="5"/>
  <c r="O159" i="5"/>
  <c r="J158" i="5"/>
  <c r="M158" i="5"/>
  <c r="N158" i="5"/>
  <c r="O158" i="5"/>
  <c r="J157" i="5"/>
  <c r="M157" i="5"/>
  <c r="N157" i="5"/>
  <c r="O157" i="5"/>
  <c r="J156" i="5"/>
  <c r="M156" i="5"/>
  <c r="N156" i="5"/>
  <c r="O156" i="5"/>
  <c r="J155" i="5"/>
  <c r="M155" i="5"/>
  <c r="N155" i="5"/>
  <c r="O155" i="5"/>
  <c r="J154" i="5"/>
  <c r="M154" i="5"/>
  <c r="N154" i="5"/>
  <c r="O154" i="5"/>
  <c r="J153" i="5"/>
  <c r="M153" i="5"/>
  <c r="N153" i="5"/>
  <c r="O153" i="5"/>
  <c r="J152" i="5"/>
  <c r="M152" i="5"/>
  <c r="N152" i="5"/>
  <c r="O152" i="5"/>
  <c r="J151" i="5"/>
  <c r="M151" i="5"/>
  <c r="N151" i="5"/>
  <c r="O151" i="5"/>
  <c r="J150" i="5"/>
  <c r="M150" i="5"/>
  <c r="N150" i="5"/>
  <c r="O150" i="5"/>
  <c r="J149" i="5"/>
  <c r="M149" i="5"/>
  <c r="N149" i="5"/>
  <c r="O149" i="5"/>
  <c r="J148" i="5"/>
  <c r="M148" i="5"/>
  <c r="N148" i="5"/>
  <c r="O148" i="5"/>
  <c r="J147" i="5"/>
  <c r="M147" i="5"/>
  <c r="N147" i="5"/>
  <c r="O147" i="5"/>
  <c r="J146" i="5"/>
  <c r="M146" i="5"/>
  <c r="N146" i="5"/>
  <c r="O146" i="5"/>
  <c r="J145" i="5"/>
  <c r="M145" i="5"/>
  <c r="N145" i="5"/>
  <c r="O145" i="5"/>
  <c r="J144" i="5"/>
  <c r="M144" i="5"/>
  <c r="N144" i="5"/>
  <c r="O144" i="5"/>
  <c r="J143" i="5"/>
  <c r="M143" i="5"/>
  <c r="N143" i="5"/>
  <c r="O143" i="5"/>
  <c r="J142" i="5"/>
  <c r="M142" i="5"/>
  <c r="N142" i="5"/>
  <c r="O142" i="5"/>
  <c r="J141" i="5"/>
  <c r="M141" i="5"/>
  <c r="N141" i="5"/>
  <c r="O141" i="5"/>
  <c r="J140" i="5"/>
  <c r="M140" i="5"/>
  <c r="N140" i="5"/>
  <c r="O140" i="5"/>
  <c r="J139" i="5"/>
  <c r="M139" i="5"/>
  <c r="N139" i="5"/>
  <c r="O139" i="5"/>
  <c r="J138" i="5"/>
  <c r="M138" i="5"/>
  <c r="N138" i="5"/>
  <c r="O138" i="5"/>
  <c r="J137" i="5"/>
  <c r="M137" i="5"/>
  <c r="N137" i="5"/>
  <c r="O137" i="5"/>
  <c r="J136" i="5"/>
  <c r="M136" i="5"/>
  <c r="N136" i="5"/>
  <c r="O136" i="5"/>
  <c r="J135" i="5"/>
  <c r="M135" i="5"/>
  <c r="N135" i="5"/>
  <c r="O135" i="5"/>
  <c r="J134" i="5"/>
  <c r="M134" i="5"/>
  <c r="N134" i="5"/>
  <c r="O134" i="5"/>
  <c r="J133" i="5"/>
  <c r="M133" i="5"/>
  <c r="N133" i="5"/>
  <c r="O133" i="5"/>
  <c r="J132" i="5"/>
  <c r="M132" i="5"/>
  <c r="N132" i="5"/>
  <c r="O132" i="5"/>
  <c r="J131" i="5"/>
  <c r="M131" i="5"/>
  <c r="N131" i="5"/>
  <c r="O131" i="5"/>
  <c r="J130" i="5"/>
  <c r="M130" i="5"/>
  <c r="N130" i="5"/>
  <c r="O130" i="5"/>
  <c r="J129" i="5"/>
  <c r="M129" i="5"/>
  <c r="N129" i="5"/>
  <c r="O129" i="5"/>
  <c r="J128" i="5"/>
  <c r="M128" i="5"/>
  <c r="N128" i="5"/>
  <c r="O128" i="5"/>
  <c r="J127" i="5"/>
  <c r="M127" i="5"/>
  <c r="N127" i="5"/>
  <c r="O127" i="5"/>
  <c r="J126" i="5"/>
  <c r="M126" i="5"/>
  <c r="N126" i="5"/>
  <c r="O126" i="5"/>
  <c r="J125" i="5"/>
  <c r="M125" i="5"/>
  <c r="N125" i="5"/>
  <c r="O125" i="5"/>
  <c r="J124" i="5"/>
  <c r="M124" i="5"/>
  <c r="N124" i="5"/>
  <c r="O124" i="5"/>
  <c r="J123" i="5"/>
  <c r="M123" i="5"/>
  <c r="N123" i="5"/>
  <c r="O123" i="5"/>
  <c r="J122" i="5"/>
  <c r="M122" i="5"/>
  <c r="N122" i="5"/>
  <c r="O122" i="5"/>
  <c r="J121" i="5"/>
  <c r="M121" i="5"/>
  <c r="N121" i="5"/>
  <c r="O121" i="5"/>
  <c r="J120" i="5"/>
  <c r="M120" i="5"/>
  <c r="N120" i="5"/>
  <c r="O120" i="5"/>
  <c r="J119" i="5"/>
  <c r="M119" i="5"/>
  <c r="N119" i="5"/>
  <c r="O119" i="5"/>
  <c r="J118" i="5"/>
  <c r="M118" i="5"/>
  <c r="N118" i="5"/>
  <c r="O118" i="5"/>
  <c r="J117" i="5"/>
  <c r="M117" i="5"/>
  <c r="N117" i="5"/>
  <c r="O117" i="5"/>
  <c r="J116" i="5"/>
  <c r="M116" i="5"/>
  <c r="N116" i="5"/>
  <c r="O116" i="5"/>
  <c r="J115" i="5"/>
  <c r="M115" i="5"/>
  <c r="N115" i="5"/>
  <c r="O115" i="5"/>
  <c r="J114" i="5"/>
  <c r="M114" i="5"/>
  <c r="N114" i="5"/>
  <c r="O114" i="5"/>
  <c r="J113" i="5"/>
  <c r="M113" i="5"/>
  <c r="N113" i="5"/>
  <c r="O113" i="5"/>
  <c r="J112" i="5"/>
  <c r="M112" i="5"/>
  <c r="N112" i="5"/>
  <c r="O112" i="5"/>
  <c r="J111" i="5"/>
  <c r="M111" i="5"/>
  <c r="N111" i="5"/>
  <c r="O111" i="5"/>
  <c r="J110" i="5"/>
  <c r="M110" i="5"/>
  <c r="N110" i="5"/>
  <c r="O110" i="5"/>
  <c r="J109" i="5"/>
  <c r="M109" i="5"/>
  <c r="N109" i="5"/>
  <c r="O109" i="5"/>
  <c r="J108" i="5"/>
  <c r="M108" i="5"/>
  <c r="N108" i="5"/>
  <c r="O108" i="5"/>
  <c r="J107" i="5"/>
  <c r="M107" i="5"/>
  <c r="N107" i="5"/>
  <c r="O107" i="5"/>
  <c r="J106" i="5"/>
  <c r="M106" i="5"/>
  <c r="N106" i="5"/>
  <c r="O106" i="5"/>
  <c r="J105" i="5"/>
  <c r="M105" i="5"/>
  <c r="N105" i="5"/>
  <c r="O105" i="5"/>
  <c r="J104" i="5"/>
  <c r="M104" i="5"/>
  <c r="N104" i="5"/>
  <c r="O104" i="5"/>
  <c r="J103" i="5"/>
  <c r="M103" i="5"/>
  <c r="N103" i="5"/>
  <c r="O103" i="5"/>
  <c r="J102" i="5"/>
  <c r="M102" i="5"/>
  <c r="N102" i="5"/>
  <c r="O102" i="5"/>
  <c r="J101" i="5"/>
  <c r="M101" i="5"/>
  <c r="N101" i="5"/>
  <c r="O101" i="5"/>
  <c r="J100" i="5"/>
  <c r="M100" i="5"/>
  <c r="N100" i="5"/>
  <c r="O100" i="5"/>
  <c r="J99" i="5"/>
  <c r="M99" i="5"/>
  <c r="N99" i="5"/>
  <c r="O99" i="5"/>
  <c r="J98" i="5"/>
  <c r="M98" i="5"/>
  <c r="N98" i="5"/>
  <c r="O98" i="5"/>
  <c r="J97" i="5"/>
  <c r="M97" i="5"/>
  <c r="N97" i="5"/>
  <c r="O97" i="5"/>
  <c r="J96" i="5"/>
  <c r="M96" i="5"/>
  <c r="N96" i="5"/>
  <c r="O96" i="5"/>
  <c r="J95" i="5"/>
  <c r="M95" i="5"/>
  <c r="N95" i="5"/>
  <c r="O95" i="5"/>
  <c r="J94" i="5"/>
  <c r="M94" i="5"/>
  <c r="N94" i="5"/>
  <c r="O94" i="5"/>
  <c r="J93" i="5"/>
  <c r="M93" i="5"/>
  <c r="N93" i="5"/>
  <c r="O93" i="5"/>
  <c r="J92" i="5"/>
  <c r="M92" i="5"/>
  <c r="N92" i="5"/>
  <c r="O92" i="5"/>
  <c r="J91" i="5"/>
  <c r="M91" i="5"/>
  <c r="N91" i="5"/>
  <c r="O91" i="5"/>
  <c r="J90" i="5"/>
  <c r="M90" i="5"/>
  <c r="N90" i="5"/>
  <c r="O90" i="5"/>
  <c r="J89" i="5"/>
  <c r="M89" i="5"/>
  <c r="N89" i="5"/>
  <c r="O89" i="5"/>
  <c r="J88" i="5"/>
  <c r="M88" i="5"/>
  <c r="N88" i="5"/>
  <c r="O88" i="5"/>
  <c r="J87" i="5"/>
  <c r="M87" i="5"/>
  <c r="N87" i="5"/>
  <c r="O87" i="5"/>
  <c r="J86" i="5"/>
  <c r="M86" i="5"/>
  <c r="N86" i="5"/>
  <c r="O86" i="5"/>
  <c r="J85" i="5"/>
  <c r="M85" i="5"/>
  <c r="N85" i="5"/>
  <c r="O85" i="5"/>
  <c r="J84" i="5"/>
  <c r="M84" i="5"/>
  <c r="N84" i="5"/>
  <c r="O84" i="5"/>
  <c r="J83" i="5"/>
  <c r="M83" i="5"/>
  <c r="N83" i="5"/>
  <c r="O83" i="5"/>
  <c r="J82" i="5"/>
  <c r="M82" i="5"/>
  <c r="N82" i="5"/>
  <c r="O82" i="5"/>
  <c r="J81" i="5"/>
  <c r="M81" i="5"/>
  <c r="N81" i="5"/>
  <c r="O81" i="5"/>
  <c r="J80" i="5"/>
  <c r="M80" i="5"/>
  <c r="N80" i="5"/>
  <c r="O80" i="5"/>
  <c r="J79" i="5"/>
  <c r="M79" i="5"/>
  <c r="N79" i="5"/>
  <c r="O79" i="5"/>
  <c r="J78" i="5"/>
  <c r="M78" i="5"/>
  <c r="N78" i="5"/>
  <c r="O78" i="5"/>
  <c r="J77" i="5"/>
  <c r="M77" i="5"/>
  <c r="N77" i="5"/>
  <c r="O77" i="5"/>
  <c r="J76" i="5"/>
  <c r="M76" i="5"/>
  <c r="N76" i="5"/>
  <c r="O76" i="5"/>
  <c r="J75" i="5"/>
  <c r="M75" i="5"/>
  <c r="N75" i="5"/>
  <c r="O75" i="5"/>
  <c r="J74" i="5"/>
  <c r="M74" i="5"/>
  <c r="N74" i="5"/>
  <c r="O74" i="5"/>
  <c r="J73" i="5"/>
  <c r="M73" i="5"/>
  <c r="N73" i="5"/>
  <c r="O73" i="5"/>
  <c r="J72" i="5"/>
  <c r="M72" i="5"/>
  <c r="N72" i="5"/>
  <c r="O72" i="5"/>
  <c r="J71" i="5"/>
  <c r="M71" i="5"/>
  <c r="N71" i="5"/>
  <c r="O71" i="5"/>
  <c r="J70" i="5"/>
  <c r="M70" i="5"/>
  <c r="N70" i="5"/>
  <c r="O70" i="5"/>
  <c r="J69" i="5"/>
  <c r="M69" i="5"/>
  <c r="N69" i="5"/>
  <c r="O69" i="5"/>
  <c r="J68" i="5"/>
  <c r="M68" i="5"/>
  <c r="N68" i="5"/>
  <c r="O68" i="5"/>
  <c r="J67" i="5"/>
  <c r="M67" i="5"/>
  <c r="N67" i="5"/>
  <c r="O67" i="5"/>
  <c r="J66" i="5"/>
  <c r="M66" i="5"/>
  <c r="N66" i="5"/>
  <c r="O66" i="5"/>
  <c r="J65" i="5"/>
  <c r="M65" i="5"/>
  <c r="N65" i="5"/>
  <c r="O65" i="5"/>
  <c r="J64" i="5"/>
  <c r="M64" i="5"/>
  <c r="N64" i="5"/>
  <c r="O64" i="5"/>
  <c r="J63" i="5"/>
  <c r="M63" i="5"/>
  <c r="N63" i="5"/>
  <c r="O63" i="5"/>
  <c r="J62" i="5"/>
  <c r="M62" i="5"/>
  <c r="N62" i="5"/>
  <c r="O62" i="5"/>
  <c r="J61" i="5"/>
  <c r="M61" i="5"/>
  <c r="N61" i="5"/>
  <c r="O61" i="5"/>
  <c r="J60" i="5"/>
  <c r="M60" i="5"/>
  <c r="N60" i="5"/>
  <c r="O60" i="5"/>
  <c r="J59" i="5"/>
  <c r="M59" i="5"/>
  <c r="N59" i="5"/>
  <c r="O59" i="5"/>
  <c r="J58" i="5"/>
  <c r="M58" i="5"/>
  <c r="N58" i="5"/>
  <c r="O58" i="5"/>
  <c r="J57" i="5"/>
  <c r="M57" i="5"/>
  <c r="N57" i="5"/>
  <c r="O57" i="5"/>
  <c r="J56" i="5"/>
  <c r="M56" i="5"/>
  <c r="N56" i="5"/>
  <c r="O56" i="5"/>
  <c r="J55" i="5"/>
  <c r="M55" i="5"/>
  <c r="N55" i="5"/>
  <c r="O55" i="5"/>
  <c r="J54" i="5"/>
  <c r="M54" i="5"/>
  <c r="N54" i="5"/>
  <c r="O54" i="5"/>
  <c r="J53" i="5"/>
  <c r="M53" i="5"/>
  <c r="N53" i="5"/>
  <c r="O53" i="5"/>
  <c r="J52" i="5"/>
  <c r="M52" i="5"/>
  <c r="N52" i="5"/>
  <c r="O52" i="5"/>
  <c r="J51" i="5"/>
  <c r="M51" i="5"/>
  <c r="N51" i="5"/>
  <c r="O51" i="5"/>
  <c r="J50" i="5"/>
  <c r="M50" i="5"/>
  <c r="N50" i="5"/>
  <c r="O50" i="5"/>
  <c r="J49" i="5"/>
  <c r="M49" i="5"/>
  <c r="N49" i="5"/>
  <c r="O49" i="5"/>
  <c r="J48" i="5"/>
  <c r="M48" i="5"/>
  <c r="N48" i="5"/>
  <c r="O48" i="5"/>
  <c r="J47" i="5"/>
  <c r="M47" i="5"/>
  <c r="N47" i="5"/>
  <c r="O47" i="5"/>
  <c r="J46" i="5"/>
  <c r="M46" i="5"/>
  <c r="N46" i="5"/>
  <c r="O46" i="5"/>
  <c r="J45" i="5"/>
  <c r="M45" i="5"/>
  <c r="N45" i="5"/>
  <c r="O45" i="5"/>
  <c r="J44" i="5"/>
  <c r="M44" i="5"/>
  <c r="N44" i="5"/>
  <c r="O44" i="5"/>
  <c r="J43" i="5"/>
  <c r="M43" i="5"/>
  <c r="N43" i="5"/>
  <c r="O43" i="5"/>
  <c r="J42" i="5"/>
  <c r="M42" i="5"/>
  <c r="N42" i="5"/>
  <c r="O42" i="5"/>
  <c r="J41" i="5"/>
  <c r="M41" i="5"/>
  <c r="N41" i="5"/>
  <c r="O41" i="5"/>
  <c r="J40" i="5"/>
  <c r="M40" i="5"/>
  <c r="N40" i="5"/>
  <c r="O40" i="5"/>
  <c r="J39" i="5"/>
  <c r="M39" i="5"/>
  <c r="N39" i="5"/>
  <c r="O39" i="5"/>
  <c r="J38" i="5"/>
  <c r="M38" i="5"/>
  <c r="N38" i="5"/>
  <c r="O38" i="5"/>
  <c r="J37" i="5"/>
  <c r="M37" i="5"/>
  <c r="N37" i="5"/>
  <c r="O37" i="5"/>
  <c r="J36" i="5"/>
  <c r="M36" i="5"/>
  <c r="N36" i="5"/>
  <c r="O36" i="5"/>
  <c r="J35" i="5"/>
  <c r="M35" i="5"/>
  <c r="N35" i="5"/>
  <c r="O35" i="5"/>
  <c r="J34" i="5"/>
  <c r="M34" i="5"/>
  <c r="N34" i="5"/>
  <c r="O34" i="5"/>
  <c r="J33" i="5"/>
  <c r="M33" i="5"/>
  <c r="N33" i="5"/>
  <c r="O33" i="5"/>
  <c r="J32" i="5"/>
  <c r="M32" i="5"/>
  <c r="N32" i="5"/>
  <c r="O32" i="5"/>
  <c r="J31" i="5"/>
  <c r="M31" i="5"/>
  <c r="N31" i="5"/>
  <c r="O31" i="5"/>
  <c r="J30" i="5"/>
  <c r="M30" i="5"/>
  <c r="N30" i="5"/>
  <c r="O30" i="5"/>
  <c r="J29" i="5"/>
  <c r="M29" i="5"/>
  <c r="N29" i="5"/>
  <c r="O29" i="5"/>
  <c r="J28" i="5"/>
  <c r="M28" i="5"/>
  <c r="N28" i="5"/>
  <c r="O28" i="5"/>
  <c r="J27" i="5"/>
  <c r="M27" i="5"/>
  <c r="N27" i="5"/>
  <c r="O27" i="5"/>
  <c r="J25" i="5"/>
  <c r="M25" i="5"/>
  <c r="N25" i="5"/>
  <c r="O25" i="5"/>
  <c r="J24" i="5"/>
  <c r="M24" i="5"/>
  <c r="N24" i="5"/>
  <c r="O24" i="5"/>
  <c r="J23" i="5"/>
  <c r="M23" i="5"/>
  <c r="N23" i="5"/>
  <c r="O23" i="5"/>
  <c r="J22" i="5"/>
  <c r="M22" i="5"/>
  <c r="N22" i="5"/>
  <c r="O22" i="5"/>
  <c r="J21" i="5"/>
  <c r="M21" i="5"/>
  <c r="N21" i="5"/>
  <c r="O21" i="5"/>
  <c r="J20" i="5"/>
  <c r="M20" i="5"/>
  <c r="N20" i="5"/>
  <c r="O20" i="5"/>
  <c r="J19" i="5"/>
  <c r="M19" i="5"/>
  <c r="N19" i="5"/>
  <c r="O19" i="5"/>
  <c r="J18" i="5"/>
  <c r="M18" i="5"/>
  <c r="N18" i="5"/>
  <c r="O18" i="5"/>
  <c r="J17" i="5"/>
  <c r="M17" i="5"/>
  <c r="N17" i="5"/>
  <c r="O17" i="5"/>
  <c r="J16" i="5"/>
  <c r="M16" i="5"/>
  <c r="N16" i="5"/>
  <c r="O16" i="5"/>
  <c r="J15" i="5"/>
  <c r="M15" i="5"/>
  <c r="N15" i="5"/>
  <c r="O15" i="5"/>
  <c r="J14" i="5"/>
  <c r="M14" i="5"/>
  <c r="N14" i="5"/>
  <c r="O14" i="5"/>
  <c r="J13" i="5"/>
  <c r="M13" i="5"/>
  <c r="N13" i="5"/>
  <c r="O13" i="5"/>
  <c r="J12" i="5"/>
  <c r="M12" i="5"/>
  <c r="N12" i="5"/>
  <c r="O12" i="5"/>
  <c r="J11" i="5"/>
  <c r="M11" i="5"/>
  <c r="N11" i="5"/>
  <c r="O11" i="5"/>
  <c r="J10" i="5"/>
  <c r="M10" i="5"/>
  <c r="N10" i="5"/>
  <c r="O10" i="5"/>
  <c r="J9" i="5"/>
  <c r="M9" i="5"/>
  <c r="N9" i="5"/>
  <c r="O9" i="5"/>
  <c r="J8" i="5"/>
  <c r="M8" i="5"/>
  <c r="N8" i="5"/>
  <c r="O8" i="5"/>
  <c r="J7" i="5"/>
  <c r="M7" i="5"/>
  <c r="N7" i="5"/>
  <c r="O7" i="5"/>
  <c r="J6" i="5"/>
  <c r="M6" i="5"/>
  <c r="N6" i="5"/>
  <c r="O6" i="5"/>
  <c r="J5" i="5"/>
  <c r="M5" i="5"/>
  <c r="N5" i="5"/>
  <c r="O5" i="5"/>
  <c r="J4" i="5"/>
  <c r="M4" i="5"/>
  <c r="N4" i="5"/>
  <c r="O4" i="5"/>
  <c r="J3" i="5"/>
  <c r="M3" i="5"/>
  <c r="N3" i="5"/>
  <c r="O3" i="5"/>
  <c r="J2" i="5"/>
  <c r="N2" i="5"/>
  <c r="O2" i="5"/>
  <c r="F354" i="4"/>
  <c r="D356" i="4"/>
  <c r="I348" i="4"/>
  <c r="L348" i="4"/>
  <c r="M348" i="4"/>
  <c r="N348" i="4"/>
  <c r="I347" i="4"/>
  <c r="L347" i="4"/>
  <c r="M347" i="4"/>
  <c r="N347" i="4"/>
  <c r="I346" i="4"/>
  <c r="L346" i="4"/>
  <c r="M346" i="4"/>
  <c r="N346" i="4"/>
  <c r="I345" i="4"/>
  <c r="L345" i="4"/>
  <c r="M345" i="4"/>
  <c r="N345" i="4"/>
  <c r="I344" i="4"/>
  <c r="L344" i="4"/>
  <c r="M344" i="4"/>
  <c r="N344" i="4"/>
  <c r="I343" i="4"/>
  <c r="L343" i="4"/>
  <c r="M343" i="4"/>
  <c r="N343" i="4"/>
  <c r="I342" i="4"/>
  <c r="L342" i="4"/>
  <c r="M342" i="4"/>
  <c r="N342" i="4"/>
  <c r="I341" i="4"/>
  <c r="L341" i="4"/>
  <c r="M341" i="4"/>
  <c r="N341" i="4"/>
  <c r="I340" i="4"/>
  <c r="L340" i="4"/>
  <c r="M340" i="4"/>
  <c r="N340" i="4"/>
  <c r="I339" i="4"/>
  <c r="L339" i="4"/>
  <c r="M339" i="4"/>
  <c r="N339" i="4"/>
  <c r="I338" i="4"/>
  <c r="L338" i="4"/>
  <c r="M338" i="4"/>
  <c r="N338" i="4"/>
  <c r="I337" i="4"/>
  <c r="L337" i="4"/>
  <c r="M337" i="4"/>
  <c r="N337" i="4"/>
  <c r="I336" i="4"/>
  <c r="L336" i="4"/>
  <c r="M336" i="4"/>
  <c r="N336" i="4"/>
  <c r="I335" i="4"/>
  <c r="L335" i="4"/>
  <c r="M335" i="4"/>
  <c r="N335" i="4"/>
  <c r="I334" i="4"/>
  <c r="L334" i="4"/>
  <c r="M334" i="4"/>
  <c r="N334" i="4"/>
  <c r="I333" i="4"/>
  <c r="L333" i="4"/>
  <c r="M333" i="4"/>
  <c r="N333" i="4"/>
  <c r="I332" i="4"/>
  <c r="L332" i="4"/>
  <c r="M332" i="4"/>
  <c r="N332" i="4"/>
  <c r="I331" i="4"/>
  <c r="L331" i="4"/>
  <c r="M331" i="4"/>
  <c r="N331" i="4"/>
  <c r="I330" i="4"/>
  <c r="L330" i="4"/>
  <c r="M330" i="4"/>
  <c r="N330" i="4"/>
  <c r="I329" i="4"/>
  <c r="L329" i="4"/>
  <c r="M329" i="4"/>
  <c r="N329" i="4"/>
  <c r="I328" i="4"/>
  <c r="L328" i="4"/>
  <c r="M328" i="4"/>
  <c r="N328" i="4"/>
  <c r="I327" i="4"/>
  <c r="L327" i="4"/>
  <c r="M327" i="4"/>
  <c r="N327" i="4"/>
  <c r="I326" i="4"/>
  <c r="L326" i="4"/>
  <c r="M326" i="4"/>
  <c r="N326" i="4"/>
  <c r="I325" i="4"/>
  <c r="L325" i="4"/>
  <c r="M325" i="4"/>
  <c r="N325" i="4"/>
  <c r="I324" i="4"/>
  <c r="L324" i="4"/>
  <c r="M324" i="4"/>
  <c r="N324" i="4"/>
  <c r="I323" i="4"/>
  <c r="L323" i="4"/>
  <c r="M323" i="4"/>
  <c r="N323" i="4"/>
  <c r="I322" i="4"/>
  <c r="L322" i="4"/>
  <c r="M322" i="4"/>
  <c r="N322" i="4"/>
  <c r="I321" i="4"/>
  <c r="L321" i="4"/>
  <c r="M321" i="4"/>
  <c r="N321" i="4"/>
  <c r="I320" i="4"/>
  <c r="L320" i="4"/>
  <c r="M320" i="4"/>
  <c r="N320" i="4"/>
  <c r="I319" i="4"/>
  <c r="L319" i="4"/>
  <c r="M319" i="4"/>
  <c r="N319" i="4"/>
  <c r="I318" i="4"/>
  <c r="L318" i="4"/>
  <c r="M318" i="4"/>
  <c r="N318" i="4"/>
  <c r="I317" i="4"/>
  <c r="L317" i="4"/>
  <c r="M317" i="4"/>
  <c r="N317" i="4"/>
  <c r="I316" i="4"/>
  <c r="L316" i="4"/>
  <c r="M316" i="4"/>
  <c r="N316" i="4"/>
  <c r="I315" i="4"/>
  <c r="L315" i="4"/>
  <c r="M315" i="4"/>
  <c r="N315" i="4"/>
  <c r="I314" i="4"/>
  <c r="L314" i="4"/>
  <c r="M314" i="4"/>
  <c r="N314" i="4"/>
  <c r="I313" i="4"/>
  <c r="L313" i="4"/>
  <c r="M313" i="4"/>
  <c r="N313" i="4"/>
  <c r="I312" i="4"/>
  <c r="L312" i="4"/>
  <c r="M312" i="4"/>
  <c r="N312" i="4"/>
  <c r="I311" i="4"/>
  <c r="L311" i="4"/>
  <c r="M311" i="4"/>
  <c r="N311" i="4"/>
  <c r="I310" i="4"/>
  <c r="L310" i="4"/>
  <c r="M310" i="4"/>
  <c r="N310" i="4"/>
  <c r="I309" i="4"/>
  <c r="L309" i="4"/>
  <c r="M309" i="4"/>
  <c r="N309" i="4"/>
  <c r="I308" i="4"/>
  <c r="L308" i="4"/>
  <c r="M308" i="4"/>
  <c r="N308" i="4"/>
  <c r="I307" i="4"/>
  <c r="L307" i="4"/>
  <c r="M307" i="4"/>
  <c r="N307" i="4"/>
  <c r="I306" i="4"/>
  <c r="L306" i="4"/>
  <c r="M306" i="4"/>
  <c r="N306" i="4"/>
  <c r="I305" i="4"/>
  <c r="L305" i="4"/>
  <c r="M305" i="4"/>
  <c r="N305" i="4"/>
  <c r="I304" i="4"/>
  <c r="L304" i="4"/>
  <c r="M304" i="4"/>
  <c r="N304" i="4"/>
  <c r="I303" i="4"/>
  <c r="L303" i="4"/>
  <c r="M303" i="4"/>
  <c r="N303" i="4"/>
  <c r="I302" i="4"/>
  <c r="L302" i="4"/>
  <c r="M302" i="4"/>
  <c r="N302" i="4"/>
  <c r="I301" i="4"/>
  <c r="L301" i="4"/>
  <c r="M301" i="4"/>
  <c r="N301" i="4"/>
  <c r="I300" i="4"/>
  <c r="L300" i="4"/>
  <c r="M300" i="4"/>
  <c r="N300" i="4"/>
  <c r="I299" i="4"/>
  <c r="L299" i="4"/>
  <c r="M299" i="4"/>
  <c r="N299" i="4"/>
  <c r="I298" i="4"/>
  <c r="L298" i="4"/>
  <c r="M298" i="4"/>
  <c r="N298" i="4"/>
  <c r="I297" i="4"/>
  <c r="L297" i="4"/>
  <c r="M297" i="4"/>
  <c r="N297" i="4"/>
  <c r="I296" i="4"/>
  <c r="L296" i="4"/>
  <c r="M296" i="4"/>
  <c r="N296" i="4"/>
  <c r="I295" i="4"/>
  <c r="L295" i="4"/>
  <c r="M295" i="4"/>
  <c r="N295" i="4"/>
  <c r="I294" i="4"/>
  <c r="L294" i="4"/>
  <c r="M294" i="4"/>
  <c r="N294" i="4"/>
  <c r="I293" i="4"/>
  <c r="L293" i="4"/>
  <c r="M293" i="4"/>
  <c r="N293" i="4"/>
  <c r="I292" i="4"/>
  <c r="L292" i="4"/>
  <c r="M292" i="4"/>
  <c r="N292" i="4"/>
  <c r="I291" i="4"/>
  <c r="L291" i="4"/>
  <c r="M291" i="4"/>
  <c r="N291" i="4"/>
  <c r="I290" i="4"/>
  <c r="L290" i="4"/>
  <c r="M290" i="4"/>
  <c r="N290" i="4"/>
  <c r="I289" i="4"/>
  <c r="L289" i="4"/>
  <c r="M289" i="4"/>
  <c r="N289" i="4"/>
  <c r="I288" i="4"/>
  <c r="L288" i="4"/>
  <c r="M288" i="4"/>
  <c r="N288" i="4"/>
  <c r="I287" i="4"/>
  <c r="L287" i="4"/>
  <c r="M287" i="4"/>
  <c r="N287" i="4"/>
  <c r="I286" i="4"/>
  <c r="L286" i="4"/>
  <c r="M286" i="4"/>
  <c r="N286" i="4"/>
  <c r="I285" i="4"/>
  <c r="L285" i="4"/>
  <c r="M285" i="4"/>
  <c r="N285" i="4"/>
  <c r="I284" i="4"/>
  <c r="L284" i="4"/>
  <c r="M284" i="4"/>
  <c r="N284" i="4"/>
  <c r="I283" i="4"/>
  <c r="L283" i="4"/>
  <c r="M283" i="4"/>
  <c r="N283" i="4"/>
  <c r="I282" i="4"/>
  <c r="L282" i="4"/>
  <c r="M282" i="4"/>
  <c r="N282" i="4"/>
  <c r="I281" i="4"/>
  <c r="L281" i="4"/>
  <c r="M281" i="4"/>
  <c r="N281" i="4"/>
  <c r="I280" i="4"/>
  <c r="L280" i="4"/>
  <c r="M280" i="4"/>
  <c r="N280" i="4"/>
  <c r="I279" i="4"/>
  <c r="L279" i="4"/>
  <c r="M279" i="4"/>
  <c r="N279" i="4"/>
  <c r="I278" i="4"/>
  <c r="L278" i="4"/>
  <c r="M278" i="4"/>
  <c r="N278" i="4"/>
  <c r="I277" i="4"/>
  <c r="L277" i="4"/>
  <c r="M277" i="4"/>
  <c r="N277" i="4"/>
  <c r="I276" i="4"/>
  <c r="L276" i="4"/>
  <c r="M276" i="4"/>
  <c r="N276" i="4"/>
  <c r="I275" i="4"/>
  <c r="L275" i="4"/>
  <c r="M275" i="4"/>
  <c r="N275" i="4"/>
  <c r="I274" i="4"/>
  <c r="L274" i="4"/>
  <c r="M274" i="4"/>
  <c r="N274" i="4"/>
  <c r="I273" i="4"/>
  <c r="L273" i="4"/>
  <c r="M273" i="4"/>
  <c r="N273" i="4"/>
  <c r="I272" i="4"/>
  <c r="L272" i="4"/>
  <c r="M272" i="4"/>
  <c r="N272" i="4"/>
  <c r="I271" i="4"/>
  <c r="L271" i="4"/>
  <c r="M271" i="4"/>
  <c r="N271" i="4"/>
  <c r="I270" i="4"/>
  <c r="L270" i="4"/>
  <c r="M270" i="4"/>
  <c r="N270" i="4"/>
  <c r="I269" i="4"/>
  <c r="L269" i="4"/>
  <c r="M269" i="4"/>
  <c r="N269" i="4"/>
  <c r="I268" i="4"/>
  <c r="L268" i="4"/>
  <c r="M268" i="4"/>
  <c r="N268" i="4"/>
  <c r="I267" i="4"/>
  <c r="L267" i="4"/>
  <c r="M267" i="4"/>
  <c r="N267" i="4"/>
  <c r="I266" i="4"/>
  <c r="L266" i="4"/>
  <c r="M266" i="4"/>
  <c r="N266" i="4"/>
  <c r="I265" i="4"/>
  <c r="L265" i="4"/>
  <c r="M265" i="4"/>
  <c r="N265" i="4"/>
  <c r="I264" i="4"/>
  <c r="L264" i="4"/>
  <c r="M264" i="4"/>
  <c r="N264" i="4"/>
  <c r="I263" i="4"/>
  <c r="L263" i="4"/>
  <c r="M263" i="4"/>
  <c r="N263" i="4"/>
  <c r="I262" i="4"/>
  <c r="L262" i="4"/>
  <c r="M262" i="4"/>
  <c r="N262" i="4"/>
  <c r="I261" i="4"/>
  <c r="L261" i="4"/>
  <c r="M261" i="4"/>
  <c r="N261" i="4"/>
  <c r="I260" i="4"/>
  <c r="L260" i="4"/>
  <c r="M260" i="4"/>
  <c r="N260" i="4"/>
  <c r="I259" i="4"/>
  <c r="L259" i="4"/>
  <c r="M259" i="4"/>
  <c r="N259" i="4"/>
  <c r="I258" i="4"/>
  <c r="L258" i="4"/>
  <c r="M258" i="4"/>
  <c r="N258" i="4"/>
  <c r="I257" i="4"/>
  <c r="L257" i="4"/>
  <c r="M257" i="4"/>
  <c r="N257" i="4"/>
  <c r="I256" i="4"/>
  <c r="L256" i="4"/>
  <c r="M256" i="4"/>
  <c r="N256" i="4"/>
  <c r="I255" i="4"/>
  <c r="L255" i="4"/>
  <c r="M255" i="4"/>
  <c r="N255" i="4"/>
  <c r="I254" i="4"/>
  <c r="L254" i="4"/>
  <c r="M254" i="4"/>
  <c r="N254" i="4"/>
  <c r="I253" i="4"/>
  <c r="L253" i="4"/>
  <c r="M253" i="4"/>
  <c r="N253" i="4"/>
  <c r="I252" i="4"/>
  <c r="L252" i="4"/>
  <c r="M252" i="4"/>
  <c r="N252" i="4"/>
  <c r="I251" i="4"/>
  <c r="L251" i="4"/>
  <c r="M251" i="4"/>
  <c r="N251" i="4"/>
  <c r="I250" i="4"/>
  <c r="L250" i="4"/>
  <c r="M250" i="4"/>
  <c r="N250" i="4"/>
  <c r="I249" i="4"/>
  <c r="L249" i="4"/>
  <c r="M249" i="4"/>
  <c r="N249" i="4"/>
  <c r="I248" i="4"/>
  <c r="L248" i="4"/>
  <c r="M248" i="4"/>
  <c r="N248" i="4"/>
  <c r="I247" i="4"/>
  <c r="L247" i="4"/>
  <c r="M247" i="4"/>
  <c r="N247" i="4"/>
  <c r="I246" i="4"/>
  <c r="L246" i="4"/>
  <c r="M246" i="4"/>
  <c r="N246" i="4"/>
  <c r="I245" i="4"/>
  <c r="L245" i="4"/>
  <c r="M245" i="4"/>
  <c r="N245" i="4"/>
  <c r="I244" i="4"/>
  <c r="L244" i="4"/>
  <c r="M244" i="4"/>
  <c r="N244" i="4"/>
  <c r="I243" i="4"/>
  <c r="L243" i="4"/>
  <c r="M243" i="4"/>
  <c r="N243" i="4"/>
  <c r="I242" i="4"/>
  <c r="L242" i="4"/>
  <c r="M242" i="4"/>
  <c r="N242" i="4"/>
  <c r="I241" i="4"/>
  <c r="L241" i="4"/>
  <c r="M241" i="4"/>
  <c r="N241" i="4"/>
  <c r="I240" i="4"/>
  <c r="L240" i="4"/>
  <c r="M240" i="4"/>
  <c r="N240" i="4"/>
  <c r="I239" i="4"/>
  <c r="L239" i="4"/>
  <c r="M239" i="4"/>
  <c r="N239" i="4"/>
  <c r="I238" i="4"/>
  <c r="L238" i="4"/>
  <c r="M238" i="4"/>
  <c r="N238" i="4"/>
  <c r="I237" i="4"/>
  <c r="L237" i="4"/>
  <c r="M237" i="4"/>
  <c r="N237" i="4"/>
  <c r="I236" i="4"/>
  <c r="L236" i="4"/>
  <c r="M236" i="4"/>
  <c r="N236" i="4"/>
  <c r="I235" i="4"/>
  <c r="L235" i="4"/>
  <c r="M235" i="4"/>
  <c r="N235" i="4"/>
  <c r="I234" i="4"/>
  <c r="L234" i="4"/>
  <c r="M234" i="4"/>
  <c r="N234" i="4"/>
  <c r="I233" i="4"/>
  <c r="L233" i="4"/>
  <c r="M233" i="4"/>
  <c r="N233" i="4"/>
  <c r="I232" i="4"/>
  <c r="L232" i="4"/>
  <c r="M232" i="4"/>
  <c r="N232" i="4"/>
  <c r="I231" i="4"/>
  <c r="L231" i="4"/>
  <c r="M231" i="4"/>
  <c r="N231" i="4"/>
  <c r="I230" i="4"/>
  <c r="L230" i="4"/>
  <c r="M230" i="4"/>
  <c r="N230" i="4"/>
  <c r="I229" i="4"/>
  <c r="L229" i="4"/>
  <c r="M229" i="4"/>
  <c r="N229" i="4"/>
  <c r="I228" i="4"/>
  <c r="L228" i="4"/>
  <c r="M228" i="4"/>
  <c r="N228" i="4"/>
  <c r="I227" i="4"/>
  <c r="L227" i="4"/>
  <c r="M227" i="4"/>
  <c r="N227" i="4"/>
  <c r="I226" i="4"/>
  <c r="L226" i="4"/>
  <c r="M226" i="4"/>
  <c r="N226" i="4"/>
  <c r="I225" i="4"/>
  <c r="L225" i="4"/>
  <c r="M225" i="4"/>
  <c r="N225" i="4"/>
  <c r="I224" i="4"/>
  <c r="L224" i="4"/>
  <c r="M224" i="4"/>
  <c r="N224" i="4"/>
  <c r="I223" i="4"/>
  <c r="L223" i="4"/>
  <c r="M223" i="4"/>
  <c r="N223" i="4"/>
  <c r="I222" i="4"/>
  <c r="L222" i="4"/>
  <c r="M222" i="4"/>
  <c r="N222" i="4"/>
  <c r="I221" i="4"/>
  <c r="L221" i="4"/>
  <c r="M221" i="4"/>
  <c r="N221" i="4"/>
  <c r="I220" i="4"/>
  <c r="L220" i="4"/>
  <c r="M220" i="4"/>
  <c r="N220" i="4"/>
  <c r="I219" i="4"/>
  <c r="L219" i="4"/>
  <c r="M219" i="4"/>
  <c r="N219" i="4"/>
  <c r="I218" i="4"/>
  <c r="L218" i="4"/>
  <c r="M218" i="4"/>
  <c r="N218" i="4"/>
  <c r="I217" i="4"/>
  <c r="L217" i="4"/>
  <c r="M217" i="4"/>
  <c r="N217" i="4"/>
  <c r="I216" i="4"/>
  <c r="L216" i="4"/>
  <c r="M216" i="4"/>
  <c r="N216" i="4"/>
  <c r="I215" i="4"/>
  <c r="L215" i="4"/>
  <c r="M215" i="4"/>
  <c r="N215" i="4"/>
  <c r="I214" i="4"/>
  <c r="L214" i="4"/>
  <c r="M214" i="4"/>
  <c r="N214" i="4"/>
  <c r="I213" i="4"/>
  <c r="L213" i="4"/>
  <c r="M213" i="4"/>
  <c r="N213" i="4"/>
  <c r="I212" i="4"/>
  <c r="L212" i="4"/>
  <c r="M212" i="4"/>
  <c r="N212" i="4"/>
  <c r="I211" i="4"/>
  <c r="L211" i="4"/>
  <c r="M211" i="4"/>
  <c r="N211" i="4"/>
  <c r="I210" i="4"/>
  <c r="L210" i="4"/>
  <c r="M210" i="4"/>
  <c r="N210" i="4"/>
  <c r="I209" i="4"/>
  <c r="L209" i="4"/>
  <c r="M209" i="4"/>
  <c r="N209" i="4"/>
  <c r="I208" i="4"/>
  <c r="L208" i="4"/>
  <c r="M208" i="4"/>
  <c r="N208" i="4"/>
  <c r="I207" i="4"/>
  <c r="L207" i="4"/>
  <c r="M207" i="4"/>
  <c r="N207" i="4"/>
  <c r="I206" i="4"/>
  <c r="L206" i="4"/>
  <c r="M206" i="4"/>
  <c r="N206" i="4"/>
  <c r="I205" i="4"/>
  <c r="L205" i="4"/>
  <c r="M205" i="4"/>
  <c r="N205" i="4"/>
  <c r="I204" i="4"/>
  <c r="L204" i="4"/>
  <c r="M204" i="4"/>
  <c r="N204" i="4"/>
  <c r="I203" i="4"/>
  <c r="L203" i="4"/>
  <c r="M203" i="4"/>
  <c r="N203" i="4"/>
  <c r="I202" i="4"/>
  <c r="L202" i="4"/>
  <c r="M202" i="4"/>
  <c r="N202" i="4"/>
  <c r="I201" i="4"/>
  <c r="L201" i="4"/>
  <c r="M201" i="4"/>
  <c r="N201" i="4"/>
  <c r="I200" i="4"/>
  <c r="L200" i="4"/>
  <c r="M200" i="4"/>
  <c r="N200" i="4"/>
  <c r="I199" i="4"/>
  <c r="L199" i="4"/>
  <c r="M199" i="4"/>
  <c r="N199" i="4"/>
  <c r="I198" i="4"/>
  <c r="L198" i="4"/>
  <c r="M198" i="4"/>
  <c r="N198" i="4"/>
  <c r="I197" i="4"/>
  <c r="L197" i="4"/>
  <c r="M197" i="4"/>
  <c r="N197" i="4"/>
  <c r="I196" i="4"/>
  <c r="L196" i="4"/>
  <c r="M196" i="4"/>
  <c r="N196" i="4"/>
  <c r="I195" i="4"/>
  <c r="L195" i="4"/>
  <c r="M195" i="4"/>
  <c r="N195" i="4"/>
  <c r="I194" i="4"/>
  <c r="L194" i="4"/>
  <c r="M194" i="4"/>
  <c r="N194" i="4"/>
  <c r="I193" i="4"/>
  <c r="L193" i="4"/>
  <c r="M193" i="4"/>
  <c r="N193" i="4"/>
  <c r="I192" i="4"/>
  <c r="L192" i="4"/>
  <c r="M192" i="4"/>
  <c r="N192" i="4"/>
  <c r="I191" i="4"/>
  <c r="L191" i="4"/>
  <c r="M191" i="4"/>
  <c r="N191" i="4"/>
  <c r="I190" i="4"/>
  <c r="L190" i="4"/>
  <c r="M190" i="4"/>
  <c r="N190" i="4"/>
  <c r="I189" i="4"/>
  <c r="L189" i="4"/>
  <c r="M189" i="4"/>
  <c r="N189" i="4"/>
  <c r="I188" i="4"/>
  <c r="L188" i="4"/>
  <c r="M188" i="4"/>
  <c r="N188" i="4"/>
  <c r="I187" i="4"/>
  <c r="L187" i="4"/>
  <c r="M187" i="4"/>
  <c r="N187" i="4"/>
  <c r="I186" i="4"/>
  <c r="L186" i="4"/>
  <c r="M186" i="4"/>
  <c r="N186" i="4"/>
  <c r="I185" i="4"/>
  <c r="L185" i="4"/>
  <c r="M185" i="4"/>
  <c r="N185" i="4"/>
  <c r="I184" i="4"/>
  <c r="L184" i="4"/>
  <c r="M184" i="4"/>
  <c r="N184" i="4"/>
  <c r="I183" i="4"/>
  <c r="L183" i="4"/>
  <c r="M183" i="4"/>
  <c r="N183" i="4"/>
  <c r="I182" i="4"/>
  <c r="L182" i="4"/>
  <c r="M182" i="4"/>
  <c r="N182" i="4"/>
  <c r="I181" i="4"/>
  <c r="L181" i="4"/>
  <c r="M181" i="4"/>
  <c r="N181" i="4"/>
  <c r="I180" i="4"/>
  <c r="L180" i="4"/>
  <c r="M180" i="4"/>
  <c r="N180" i="4"/>
  <c r="I179" i="4"/>
  <c r="L179" i="4"/>
  <c r="M179" i="4"/>
  <c r="N179" i="4"/>
  <c r="I178" i="4"/>
  <c r="L178" i="4"/>
  <c r="M178" i="4"/>
  <c r="N178" i="4"/>
  <c r="I177" i="4"/>
  <c r="L177" i="4"/>
  <c r="M177" i="4"/>
  <c r="N177" i="4"/>
  <c r="I176" i="4"/>
  <c r="L176" i="4"/>
  <c r="M176" i="4"/>
  <c r="N176" i="4"/>
  <c r="I175" i="4"/>
  <c r="L175" i="4"/>
  <c r="M175" i="4"/>
  <c r="N175" i="4"/>
  <c r="I174" i="4"/>
  <c r="L174" i="4"/>
  <c r="M174" i="4"/>
  <c r="N174" i="4"/>
  <c r="I173" i="4"/>
  <c r="L173" i="4"/>
  <c r="M173" i="4"/>
  <c r="N173" i="4"/>
  <c r="I172" i="4"/>
  <c r="L172" i="4"/>
  <c r="M172" i="4"/>
  <c r="N172" i="4"/>
  <c r="I171" i="4"/>
  <c r="L171" i="4"/>
  <c r="M171" i="4"/>
  <c r="N171" i="4"/>
  <c r="I170" i="4"/>
  <c r="L170" i="4"/>
  <c r="M170" i="4"/>
  <c r="N170" i="4"/>
  <c r="I169" i="4"/>
  <c r="L169" i="4"/>
  <c r="M169" i="4"/>
  <c r="N169" i="4"/>
  <c r="I168" i="4"/>
  <c r="L168" i="4"/>
  <c r="M168" i="4"/>
  <c r="N168" i="4"/>
  <c r="I167" i="4"/>
  <c r="L167" i="4"/>
  <c r="M167" i="4"/>
  <c r="N167" i="4"/>
  <c r="I166" i="4"/>
  <c r="L166" i="4"/>
  <c r="M166" i="4"/>
  <c r="N166" i="4"/>
  <c r="I165" i="4"/>
  <c r="L165" i="4"/>
  <c r="M165" i="4"/>
  <c r="N165" i="4"/>
  <c r="I164" i="4"/>
  <c r="L164" i="4"/>
  <c r="M164" i="4"/>
  <c r="N164" i="4"/>
  <c r="I163" i="4"/>
  <c r="L163" i="4"/>
  <c r="M163" i="4"/>
  <c r="N163" i="4"/>
  <c r="I162" i="4"/>
  <c r="L162" i="4"/>
  <c r="M162" i="4"/>
  <c r="N162" i="4"/>
  <c r="I161" i="4"/>
  <c r="L161" i="4"/>
  <c r="M161" i="4"/>
  <c r="N161" i="4"/>
  <c r="I160" i="4"/>
  <c r="L160" i="4"/>
  <c r="M160" i="4"/>
  <c r="N160" i="4"/>
  <c r="I159" i="4"/>
  <c r="L159" i="4"/>
  <c r="M159" i="4"/>
  <c r="N159" i="4"/>
  <c r="I158" i="4"/>
  <c r="L158" i="4"/>
  <c r="M158" i="4"/>
  <c r="N158" i="4"/>
  <c r="I157" i="4"/>
  <c r="L157" i="4"/>
  <c r="M157" i="4"/>
  <c r="N157" i="4"/>
  <c r="I156" i="4"/>
  <c r="L156" i="4"/>
  <c r="M156" i="4"/>
  <c r="N156" i="4"/>
  <c r="I155" i="4"/>
  <c r="L155" i="4"/>
  <c r="M155" i="4"/>
  <c r="N155" i="4"/>
  <c r="I154" i="4"/>
  <c r="L154" i="4"/>
  <c r="M154" i="4"/>
  <c r="N154" i="4"/>
  <c r="I153" i="4"/>
  <c r="L153" i="4"/>
  <c r="M153" i="4"/>
  <c r="N153" i="4"/>
  <c r="I152" i="4"/>
  <c r="L152" i="4"/>
  <c r="M152" i="4"/>
  <c r="N152" i="4"/>
  <c r="I151" i="4"/>
  <c r="L151" i="4"/>
  <c r="M151" i="4"/>
  <c r="N151" i="4"/>
  <c r="I150" i="4"/>
  <c r="L150" i="4"/>
  <c r="M150" i="4"/>
  <c r="N150" i="4"/>
  <c r="I149" i="4"/>
  <c r="L149" i="4"/>
  <c r="M149" i="4"/>
  <c r="N149" i="4"/>
  <c r="I148" i="4"/>
  <c r="L148" i="4"/>
  <c r="M148" i="4"/>
  <c r="N148" i="4"/>
  <c r="I147" i="4"/>
  <c r="L147" i="4"/>
  <c r="M147" i="4"/>
  <c r="N147" i="4"/>
  <c r="I146" i="4"/>
  <c r="L146" i="4"/>
  <c r="M146" i="4"/>
  <c r="N146" i="4"/>
  <c r="I145" i="4"/>
  <c r="L145" i="4"/>
  <c r="M145" i="4"/>
  <c r="N145" i="4"/>
  <c r="I144" i="4"/>
  <c r="L144" i="4"/>
  <c r="M144" i="4"/>
  <c r="N144" i="4"/>
  <c r="I143" i="4"/>
  <c r="L143" i="4"/>
  <c r="M143" i="4"/>
  <c r="N143" i="4"/>
  <c r="I142" i="4"/>
  <c r="L142" i="4"/>
  <c r="M142" i="4"/>
  <c r="N142" i="4"/>
  <c r="I141" i="4"/>
  <c r="L141" i="4"/>
  <c r="M141" i="4"/>
  <c r="N141" i="4"/>
  <c r="I140" i="4"/>
  <c r="L140" i="4"/>
  <c r="M140" i="4"/>
  <c r="N140" i="4"/>
  <c r="I139" i="4"/>
  <c r="L139" i="4"/>
  <c r="M139" i="4"/>
  <c r="N139" i="4"/>
  <c r="I138" i="4"/>
  <c r="L138" i="4"/>
  <c r="M138" i="4"/>
  <c r="N138" i="4"/>
  <c r="I137" i="4"/>
  <c r="L137" i="4"/>
  <c r="M137" i="4"/>
  <c r="N137" i="4"/>
  <c r="I136" i="4"/>
  <c r="L136" i="4"/>
  <c r="M136" i="4"/>
  <c r="N136" i="4"/>
  <c r="I135" i="4"/>
  <c r="L135" i="4"/>
  <c r="M135" i="4"/>
  <c r="N135" i="4"/>
  <c r="I134" i="4"/>
  <c r="L134" i="4"/>
  <c r="M134" i="4"/>
  <c r="N134" i="4"/>
  <c r="I133" i="4"/>
  <c r="L133" i="4"/>
  <c r="M133" i="4"/>
  <c r="N133" i="4"/>
  <c r="I132" i="4"/>
  <c r="L132" i="4"/>
  <c r="M132" i="4"/>
  <c r="N132" i="4"/>
  <c r="I131" i="4"/>
  <c r="L131" i="4"/>
  <c r="M131" i="4"/>
  <c r="N131" i="4"/>
  <c r="I130" i="4"/>
  <c r="L130" i="4"/>
  <c r="M130" i="4"/>
  <c r="N130" i="4"/>
  <c r="I129" i="4"/>
  <c r="L129" i="4"/>
  <c r="M129" i="4"/>
  <c r="N129" i="4"/>
  <c r="I128" i="4"/>
  <c r="L128" i="4"/>
  <c r="M128" i="4"/>
  <c r="N128" i="4"/>
  <c r="I127" i="4"/>
  <c r="L127" i="4"/>
  <c r="M127" i="4"/>
  <c r="N127" i="4"/>
  <c r="I126" i="4"/>
  <c r="L126" i="4"/>
  <c r="M126" i="4"/>
  <c r="N126" i="4"/>
  <c r="I125" i="4"/>
  <c r="L125" i="4"/>
  <c r="M125" i="4"/>
  <c r="N125" i="4"/>
  <c r="I124" i="4"/>
  <c r="L124" i="4"/>
  <c r="M124" i="4"/>
  <c r="N124" i="4"/>
  <c r="I123" i="4"/>
  <c r="L123" i="4"/>
  <c r="M123" i="4"/>
  <c r="N123" i="4"/>
  <c r="I122" i="4"/>
  <c r="L122" i="4"/>
  <c r="M122" i="4"/>
  <c r="N122" i="4"/>
  <c r="I121" i="4"/>
  <c r="L121" i="4"/>
  <c r="M121" i="4"/>
  <c r="N121" i="4"/>
  <c r="I120" i="4"/>
  <c r="L120" i="4"/>
  <c r="M120" i="4"/>
  <c r="N120" i="4"/>
  <c r="I119" i="4"/>
  <c r="L119" i="4"/>
  <c r="M119" i="4"/>
  <c r="N119" i="4"/>
  <c r="I118" i="4"/>
  <c r="L118" i="4"/>
  <c r="M118" i="4"/>
  <c r="N118" i="4"/>
  <c r="I117" i="4"/>
  <c r="L117" i="4"/>
  <c r="M117" i="4"/>
  <c r="N117" i="4"/>
  <c r="I116" i="4"/>
  <c r="L116" i="4"/>
  <c r="M116" i="4"/>
  <c r="N116" i="4"/>
  <c r="I115" i="4"/>
  <c r="L115" i="4"/>
  <c r="M115" i="4"/>
  <c r="N115" i="4"/>
  <c r="I114" i="4"/>
  <c r="L114" i="4"/>
  <c r="M114" i="4"/>
  <c r="N114" i="4"/>
  <c r="I113" i="4"/>
  <c r="L113" i="4"/>
  <c r="M113" i="4"/>
  <c r="N113" i="4"/>
  <c r="I112" i="4"/>
  <c r="L112" i="4"/>
  <c r="M112" i="4"/>
  <c r="N112" i="4"/>
  <c r="I111" i="4"/>
  <c r="L111" i="4"/>
  <c r="M111" i="4"/>
  <c r="N111" i="4"/>
  <c r="I110" i="4"/>
  <c r="L110" i="4"/>
  <c r="M110" i="4"/>
  <c r="N110" i="4"/>
  <c r="I109" i="4"/>
  <c r="L109" i="4"/>
  <c r="M109" i="4"/>
  <c r="N109" i="4"/>
  <c r="I108" i="4"/>
  <c r="L108" i="4"/>
  <c r="M108" i="4"/>
  <c r="N108" i="4"/>
  <c r="I107" i="4"/>
  <c r="L107" i="4"/>
  <c r="M107" i="4"/>
  <c r="N107" i="4"/>
  <c r="I106" i="4"/>
  <c r="L106" i="4"/>
  <c r="M106" i="4"/>
  <c r="N106" i="4"/>
  <c r="I105" i="4"/>
  <c r="L105" i="4"/>
  <c r="M105" i="4"/>
  <c r="N105" i="4"/>
  <c r="I104" i="4"/>
  <c r="L104" i="4"/>
  <c r="M104" i="4"/>
  <c r="N104" i="4"/>
  <c r="I103" i="4"/>
  <c r="L103" i="4"/>
  <c r="M103" i="4"/>
  <c r="N103" i="4"/>
  <c r="I102" i="4"/>
  <c r="L102" i="4"/>
  <c r="M102" i="4"/>
  <c r="N102" i="4"/>
  <c r="I101" i="4"/>
  <c r="L101" i="4"/>
  <c r="M101" i="4"/>
  <c r="N101" i="4"/>
  <c r="I100" i="4"/>
  <c r="L100" i="4"/>
  <c r="M100" i="4"/>
  <c r="N100" i="4"/>
  <c r="I99" i="4"/>
  <c r="L99" i="4"/>
  <c r="M99" i="4"/>
  <c r="N99" i="4"/>
  <c r="I98" i="4"/>
  <c r="L98" i="4"/>
  <c r="M98" i="4"/>
  <c r="N98" i="4"/>
  <c r="I97" i="4"/>
  <c r="L97" i="4"/>
  <c r="M97" i="4"/>
  <c r="N97" i="4"/>
  <c r="I96" i="4"/>
  <c r="L96" i="4"/>
  <c r="M96" i="4"/>
  <c r="N96" i="4"/>
  <c r="I95" i="4"/>
  <c r="L95" i="4"/>
  <c r="M95" i="4"/>
  <c r="N95" i="4"/>
  <c r="I94" i="4"/>
  <c r="L94" i="4"/>
  <c r="M94" i="4"/>
  <c r="N94" i="4"/>
  <c r="I93" i="4"/>
  <c r="L93" i="4"/>
  <c r="M93" i="4"/>
  <c r="N93" i="4"/>
  <c r="I92" i="4"/>
  <c r="L92" i="4"/>
  <c r="M92" i="4"/>
  <c r="N92" i="4"/>
  <c r="I91" i="4"/>
  <c r="L91" i="4"/>
  <c r="M91" i="4"/>
  <c r="N91" i="4"/>
  <c r="I90" i="4"/>
  <c r="L90" i="4"/>
  <c r="M90" i="4"/>
  <c r="N90" i="4"/>
  <c r="I89" i="4"/>
  <c r="L89" i="4"/>
  <c r="M89" i="4"/>
  <c r="N89" i="4"/>
  <c r="I88" i="4"/>
  <c r="L88" i="4"/>
  <c r="M88" i="4"/>
  <c r="N88" i="4"/>
  <c r="I87" i="4"/>
  <c r="L87" i="4"/>
  <c r="M87" i="4"/>
  <c r="N87" i="4"/>
  <c r="I86" i="4"/>
  <c r="L86" i="4"/>
  <c r="M86" i="4"/>
  <c r="N86" i="4"/>
  <c r="I85" i="4"/>
  <c r="L85" i="4"/>
  <c r="M85" i="4"/>
  <c r="N85" i="4"/>
  <c r="I84" i="4"/>
  <c r="L84" i="4"/>
  <c r="M84" i="4"/>
  <c r="N84" i="4"/>
  <c r="I83" i="4"/>
  <c r="L83" i="4"/>
  <c r="M83" i="4"/>
  <c r="N83" i="4"/>
  <c r="I82" i="4"/>
  <c r="L82" i="4"/>
  <c r="M82" i="4"/>
  <c r="N82" i="4"/>
  <c r="I81" i="4"/>
  <c r="L81" i="4"/>
  <c r="M81" i="4"/>
  <c r="N81" i="4"/>
  <c r="I80" i="4"/>
  <c r="L80" i="4"/>
  <c r="M80" i="4"/>
  <c r="N80" i="4"/>
  <c r="I79" i="4"/>
  <c r="L79" i="4"/>
  <c r="M79" i="4"/>
  <c r="N79" i="4"/>
  <c r="I78" i="4"/>
  <c r="L78" i="4"/>
  <c r="M78" i="4"/>
  <c r="N78" i="4"/>
  <c r="I77" i="4"/>
  <c r="L77" i="4"/>
  <c r="M77" i="4"/>
  <c r="N77" i="4"/>
  <c r="I76" i="4"/>
  <c r="L76" i="4"/>
  <c r="M76" i="4"/>
  <c r="N76" i="4"/>
  <c r="I75" i="4"/>
  <c r="L75" i="4"/>
  <c r="M75" i="4"/>
  <c r="N75" i="4"/>
  <c r="I74" i="4"/>
  <c r="L74" i="4"/>
  <c r="M74" i="4"/>
  <c r="N74" i="4"/>
  <c r="I73" i="4"/>
  <c r="L73" i="4"/>
  <c r="M73" i="4"/>
  <c r="N73" i="4"/>
  <c r="I72" i="4"/>
  <c r="L72" i="4"/>
  <c r="M72" i="4"/>
  <c r="N72" i="4"/>
  <c r="I71" i="4"/>
  <c r="L71" i="4"/>
  <c r="M71" i="4"/>
  <c r="N71" i="4"/>
  <c r="I70" i="4"/>
  <c r="L70" i="4"/>
  <c r="M70" i="4"/>
  <c r="N70" i="4"/>
  <c r="I69" i="4"/>
  <c r="L69" i="4"/>
  <c r="M69" i="4"/>
  <c r="N69" i="4"/>
  <c r="I68" i="4"/>
  <c r="L68" i="4"/>
  <c r="M68" i="4"/>
  <c r="N68" i="4"/>
  <c r="I67" i="4"/>
  <c r="L67" i="4"/>
  <c r="M67" i="4"/>
  <c r="N67" i="4"/>
  <c r="I66" i="4"/>
  <c r="L66" i="4"/>
  <c r="M66" i="4"/>
  <c r="N66" i="4"/>
  <c r="I65" i="4"/>
  <c r="L65" i="4"/>
  <c r="M65" i="4"/>
  <c r="N65" i="4"/>
  <c r="I64" i="4"/>
  <c r="L64" i="4"/>
  <c r="M64" i="4"/>
  <c r="N64" i="4"/>
  <c r="I63" i="4"/>
  <c r="L63" i="4"/>
  <c r="M63" i="4"/>
  <c r="N63" i="4"/>
  <c r="I62" i="4"/>
  <c r="L62" i="4"/>
  <c r="M62" i="4"/>
  <c r="N62" i="4"/>
  <c r="I61" i="4"/>
  <c r="L61" i="4"/>
  <c r="M61" i="4"/>
  <c r="N61" i="4"/>
  <c r="I60" i="4"/>
  <c r="L60" i="4"/>
  <c r="M60" i="4"/>
  <c r="N60" i="4"/>
  <c r="I59" i="4"/>
  <c r="L59" i="4"/>
  <c r="M59" i="4"/>
  <c r="N59" i="4"/>
  <c r="I58" i="4"/>
  <c r="L58" i="4"/>
  <c r="M58" i="4"/>
  <c r="N58" i="4"/>
  <c r="I57" i="4"/>
  <c r="L57" i="4"/>
  <c r="M57" i="4"/>
  <c r="N57" i="4"/>
  <c r="I56" i="4"/>
  <c r="L56" i="4"/>
  <c r="M56" i="4"/>
  <c r="N56" i="4"/>
  <c r="I55" i="4"/>
  <c r="L55" i="4"/>
  <c r="M55" i="4"/>
  <c r="N55" i="4"/>
  <c r="I54" i="4"/>
  <c r="L54" i="4"/>
  <c r="M54" i="4"/>
  <c r="N54" i="4"/>
  <c r="I53" i="4"/>
  <c r="L53" i="4"/>
  <c r="M53" i="4"/>
  <c r="N53" i="4"/>
  <c r="I52" i="4"/>
  <c r="L52" i="4"/>
  <c r="M52" i="4"/>
  <c r="N52" i="4"/>
  <c r="I51" i="4"/>
  <c r="L51" i="4"/>
  <c r="M51" i="4"/>
  <c r="N51" i="4"/>
  <c r="I50" i="4"/>
  <c r="L50" i="4"/>
  <c r="M50" i="4"/>
  <c r="N50" i="4"/>
  <c r="I49" i="4"/>
  <c r="L49" i="4"/>
  <c r="M49" i="4"/>
  <c r="N49" i="4"/>
  <c r="I48" i="4"/>
  <c r="L48" i="4"/>
  <c r="M48" i="4"/>
  <c r="N48" i="4"/>
  <c r="I47" i="4"/>
  <c r="L47" i="4"/>
  <c r="M47" i="4"/>
  <c r="N47" i="4"/>
  <c r="I46" i="4"/>
  <c r="L46" i="4"/>
  <c r="M46" i="4"/>
  <c r="N46" i="4"/>
  <c r="I45" i="4"/>
  <c r="L45" i="4"/>
  <c r="M45" i="4"/>
  <c r="N45" i="4"/>
  <c r="I44" i="4"/>
  <c r="L44" i="4"/>
  <c r="M44" i="4"/>
  <c r="N44" i="4"/>
  <c r="I43" i="4"/>
  <c r="L43" i="4"/>
  <c r="M43" i="4"/>
  <c r="N43" i="4"/>
  <c r="I42" i="4"/>
  <c r="L42" i="4"/>
  <c r="M42" i="4"/>
  <c r="N42" i="4"/>
  <c r="I41" i="4"/>
  <c r="L41" i="4"/>
  <c r="M41" i="4"/>
  <c r="N41" i="4"/>
  <c r="I40" i="4"/>
  <c r="L40" i="4"/>
  <c r="M40" i="4"/>
  <c r="N40" i="4"/>
  <c r="I39" i="4"/>
  <c r="L39" i="4"/>
  <c r="M39" i="4"/>
  <c r="N39" i="4"/>
  <c r="I38" i="4"/>
  <c r="L38" i="4"/>
  <c r="M38" i="4"/>
  <c r="N38" i="4"/>
  <c r="I37" i="4"/>
  <c r="L37" i="4"/>
  <c r="M37" i="4"/>
  <c r="N37" i="4"/>
  <c r="I36" i="4"/>
  <c r="L36" i="4"/>
  <c r="M36" i="4"/>
  <c r="N36" i="4"/>
  <c r="I35" i="4"/>
  <c r="L35" i="4"/>
  <c r="M35" i="4"/>
  <c r="N35" i="4"/>
  <c r="I34" i="4"/>
  <c r="L34" i="4"/>
  <c r="M34" i="4"/>
  <c r="N34" i="4"/>
  <c r="I33" i="4"/>
  <c r="L33" i="4"/>
  <c r="M33" i="4"/>
  <c r="N33" i="4"/>
  <c r="I32" i="4"/>
  <c r="L32" i="4"/>
  <c r="M32" i="4"/>
  <c r="N32" i="4"/>
  <c r="I31" i="4"/>
  <c r="L31" i="4"/>
  <c r="M31" i="4"/>
  <c r="N31" i="4"/>
  <c r="I30" i="4"/>
  <c r="L30" i="4"/>
  <c r="M30" i="4"/>
  <c r="N30" i="4"/>
  <c r="I29" i="4"/>
  <c r="L29" i="4"/>
  <c r="M29" i="4"/>
  <c r="N29" i="4"/>
  <c r="I28" i="4"/>
  <c r="L28" i="4"/>
  <c r="M28" i="4"/>
  <c r="N28" i="4"/>
  <c r="I27" i="4"/>
  <c r="L27" i="4"/>
  <c r="M27" i="4"/>
  <c r="N27" i="4"/>
  <c r="I26" i="4"/>
  <c r="L26" i="4"/>
  <c r="M26" i="4"/>
  <c r="N26" i="4"/>
  <c r="I25" i="4"/>
  <c r="L25" i="4"/>
  <c r="M25" i="4"/>
  <c r="N25" i="4"/>
  <c r="I24" i="4"/>
  <c r="L24" i="4"/>
  <c r="M24" i="4"/>
  <c r="N24" i="4"/>
  <c r="I23" i="4"/>
  <c r="L23" i="4"/>
  <c r="M23" i="4"/>
  <c r="N23" i="4"/>
  <c r="I22" i="4"/>
  <c r="L22" i="4"/>
  <c r="M22" i="4"/>
  <c r="N22" i="4"/>
  <c r="I21" i="4"/>
  <c r="L21" i="4"/>
  <c r="M21" i="4"/>
  <c r="N21" i="4"/>
  <c r="I20" i="4"/>
  <c r="L20" i="4"/>
  <c r="M20" i="4"/>
  <c r="N20" i="4"/>
  <c r="I19" i="4"/>
  <c r="L19" i="4"/>
  <c r="M19" i="4"/>
  <c r="N19" i="4"/>
  <c r="I18" i="4"/>
  <c r="L18" i="4"/>
  <c r="M18" i="4"/>
  <c r="N18" i="4"/>
  <c r="I17" i="4"/>
  <c r="L17" i="4"/>
  <c r="M17" i="4"/>
  <c r="N17" i="4"/>
  <c r="I16" i="4"/>
  <c r="L16" i="4"/>
  <c r="M16" i="4"/>
  <c r="N16" i="4"/>
  <c r="I15" i="4"/>
  <c r="L15" i="4"/>
  <c r="M15" i="4"/>
  <c r="N15" i="4"/>
  <c r="I14" i="4"/>
  <c r="L14" i="4"/>
  <c r="M14" i="4"/>
  <c r="N14" i="4"/>
  <c r="L13" i="4"/>
  <c r="M13" i="4"/>
  <c r="N13" i="4"/>
  <c r="L12" i="4"/>
  <c r="M12" i="4"/>
  <c r="N12" i="4"/>
  <c r="L11" i="4"/>
  <c r="M11" i="4"/>
  <c r="N11" i="4"/>
  <c r="L10" i="4"/>
  <c r="M10" i="4"/>
  <c r="N10" i="4"/>
  <c r="L9" i="4"/>
  <c r="M9" i="4"/>
  <c r="N9" i="4"/>
  <c r="L8" i="4"/>
  <c r="M8" i="4"/>
  <c r="N8" i="4"/>
  <c r="L7" i="4"/>
  <c r="M7" i="4"/>
  <c r="N7" i="4"/>
  <c r="L6" i="4"/>
  <c r="M6" i="4"/>
  <c r="N6" i="4"/>
  <c r="L5" i="4"/>
  <c r="M5" i="4"/>
  <c r="N5" i="4"/>
  <c r="L4" i="4"/>
  <c r="M4" i="4"/>
  <c r="N4" i="4"/>
  <c r="L3" i="4"/>
  <c r="M3" i="4"/>
  <c r="N3" i="4"/>
  <c r="D123" i="3"/>
  <c r="B125" i="3"/>
  <c r="G117" i="3"/>
  <c r="J117" i="3"/>
  <c r="K117" i="3"/>
  <c r="L117" i="3"/>
  <c r="G116" i="3"/>
  <c r="J116" i="3"/>
  <c r="K116" i="3"/>
  <c r="L116" i="3"/>
  <c r="G115" i="3"/>
  <c r="J115" i="3"/>
  <c r="K115" i="3"/>
  <c r="L115" i="3"/>
  <c r="G114" i="3"/>
  <c r="J114" i="3"/>
  <c r="K114" i="3"/>
  <c r="L114" i="3"/>
  <c r="G113" i="3"/>
  <c r="J113" i="3"/>
  <c r="K113" i="3"/>
  <c r="L113" i="3"/>
  <c r="G112" i="3"/>
  <c r="J112" i="3"/>
  <c r="K112" i="3"/>
  <c r="L112" i="3"/>
  <c r="G111" i="3"/>
  <c r="J111" i="3"/>
  <c r="K111" i="3"/>
  <c r="L111" i="3"/>
  <c r="G110" i="3"/>
  <c r="J110" i="3"/>
  <c r="K110" i="3"/>
  <c r="L110" i="3"/>
  <c r="G109" i="3"/>
  <c r="J109" i="3"/>
  <c r="K109" i="3"/>
  <c r="L109" i="3"/>
  <c r="G108" i="3"/>
  <c r="J108" i="3"/>
  <c r="K108" i="3"/>
  <c r="L108" i="3"/>
  <c r="G107" i="3"/>
  <c r="J107" i="3"/>
  <c r="K107" i="3"/>
  <c r="L107" i="3"/>
  <c r="G106" i="3"/>
  <c r="J106" i="3"/>
  <c r="K106" i="3"/>
  <c r="L106" i="3"/>
  <c r="G105" i="3"/>
  <c r="J105" i="3"/>
  <c r="K105" i="3"/>
  <c r="L105" i="3"/>
  <c r="G104" i="3"/>
  <c r="J104" i="3"/>
  <c r="K104" i="3"/>
  <c r="L104" i="3"/>
  <c r="G103" i="3"/>
  <c r="J103" i="3"/>
  <c r="K103" i="3"/>
  <c r="L103" i="3"/>
  <c r="G102" i="3"/>
  <c r="J102" i="3"/>
  <c r="K102" i="3"/>
  <c r="L102" i="3"/>
  <c r="G101" i="3"/>
  <c r="J101" i="3"/>
  <c r="K101" i="3"/>
  <c r="L101" i="3"/>
  <c r="G100" i="3"/>
  <c r="J100" i="3"/>
  <c r="K100" i="3"/>
  <c r="L100" i="3"/>
  <c r="G99" i="3"/>
  <c r="J99" i="3"/>
  <c r="K99" i="3"/>
  <c r="L99" i="3"/>
  <c r="G98" i="3"/>
  <c r="J98" i="3"/>
  <c r="K98" i="3"/>
  <c r="L98" i="3"/>
  <c r="G97" i="3"/>
  <c r="J97" i="3"/>
  <c r="K97" i="3"/>
  <c r="L97" i="3"/>
  <c r="G96" i="3"/>
  <c r="J96" i="3"/>
  <c r="K96" i="3"/>
  <c r="L96" i="3"/>
  <c r="G95" i="3"/>
  <c r="J95" i="3"/>
  <c r="K95" i="3"/>
  <c r="L95" i="3"/>
  <c r="G94" i="3"/>
  <c r="J94" i="3"/>
  <c r="K94" i="3"/>
  <c r="L94" i="3"/>
  <c r="G93" i="3"/>
  <c r="J93" i="3"/>
  <c r="K93" i="3"/>
  <c r="L93" i="3"/>
  <c r="G92" i="3"/>
  <c r="J92" i="3"/>
  <c r="K92" i="3"/>
  <c r="L92" i="3"/>
  <c r="G91" i="3"/>
  <c r="J91" i="3"/>
  <c r="K91" i="3"/>
  <c r="L91" i="3"/>
  <c r="G90" i="3"/>
  <c r="J90" i="3"/>
  <c r="K90" i="3"/>
  <c r="L90" i="3"/>
  <c r="G89" i="3"/>
  <c r="J89" i="3"/>
  <c r="K89" i="3"/>
  <c r="L89" i="3"/>
  <c r="G88" i="3"/>
  <c r="J88" i="3"/>
  <c r="K88" i="3"/>
  <c r="L88" i="3"/>
  <c r="G87" i="3"/>
  <c r="J87" i="3"/>
  <c r="K87" i="3"/>
  <c r="L87" i="3"/>
  <c r="G86" i="3"/>
  <c r="J86" i="3"/>
  <c r="K86" i="3"/>
  <c r="L86" i="3"/>
  <c r="G85" i="3"/>
  <c r="J85" i="3"/>
  <c r="K85" i="3"/>
  <c r="L85" i="3"/>
  <c r="G84" i="3"/>
  <c r="J84" i="3"/>
  <c r="K84" i="3"/>
  <c r="L84" i="3"/>
  <c r="G83" i="3"/>
  <c r="J83" i="3"/>
  <c r="K83" i="3"/>
  <c r="L83" i="3"/>
  <c r="G82" i="3"/>
  <c r="J82" i="3"/>
  <c r="K82" i="3"/>
  <c r="L82" i="3"/>
  <c r="G81" i="3"/>
  <c r="J81" i="3"/>
  <c r="K81" i="3"/>
  <c r="L81" i="3"/>
  <c r="G80" i="3"/>
  <c r="J80" i="3"/>
  <c r="K80" i="3"/>
  <c r="L80" i="3"/>
  <c r="G79" i="3"/>
  <c r="J79" i="3"/>
  <c r="K79" i="3"/>
  <c r="L79" i="3"/>
  <c r="G78" i="3"/>
  <c r="J78" i="3"/>
  <c r="K78" i="3"/>
  <c r="L78" i="3"/>
  <c r="G77" i="3"/>
  <c r="J77" i="3"/>
  <c r="K77" i="3"/>
  <c r="L77" i="3"/>
  <c r="G76" i="3"/>
  <c r="J76" i="3"/>
  <c r="K76" i="3"/>
  <c r="L76" i="3"/>
  <c r="G75" i="3"/>
  <c r="J75" i="3"/>
  <c r="K75" i="3"/>
  <c r="L75" i="3"/>
  <c r="G74" i="3"/>
  <c r="J74" i="3"/>
  <c r="K74" i="3"/>
  <c r="L74" i="3"/>
  <c r="G73" i="3"/>
  <c r="J73" i="3"/>
  <c r="K73" i="3"/>
  <c r="L73" i="3"/>
  <c r="G72" i="3"/>
  <c r="J72" i="3"/>
  <c r="K72" i="3"/>
  <c r="L72" i="3"/>
  <c r="G71" i="3"/>
  <c r="J71" i="3"/>
  <c r="K71" i="3"/>
  <c r="L71" i="3"/>
  <c r="G70" i="3"/>
  <c r="J70" i="3"/>
  <c r="K70" i="3"/>
  <c r="L70" i="3"/>
  <c r="G69" i="3"/>
  <c r="J69" i="3"/>
  <c r="K69" i="3"/>
  <c r="L69" i="3"/>
  <c r="G68" i="3"/>
  <c r="J68" i="3"/>
  <c r="K68" i="3"/>
  <c r="L68" i="3"/>
  <c r="G67" i="3"/>
  <c r="J67" i="3"/>
  <c r="K67" i="3"/>
  <c r="L67" i="3"/>
  <c r="G66" i="3"/>
  <c r="J66" i="3"/>
  <c r="K66" i="3"/>
  <c r="L66" i="3"/>
  <c r="G65" i="3"/>
  <c r="J65" i="3"/>
  <c r="K65" i="3"/>
  <c r="L65" i="3"/>
  <c r="G64" i="3"/>
  <c r="J64" i="3"/>
  <c r="K64" i="3"/>
  <c r="L64" i="3"/>
  <c r="G63" i="3"/>
  <c r="J63" i="3"/>
  <c r="K63" i="3"/>
  <c r="L63" i="3"/>
  <c r="G62" i="3"/>
  <c r="J62" i="3"/>
  <c r="K62" i="3"/>
  <c r="L62" i="3"/>
  <c r="G61" i="3"/>
  <c r="J61" i="3"/>
  <c r="K61" i="3"/>
  <c r="L61" i="3"/>
  <c r="G60" i="3"/>
  <c r="J60" i="3"/>
  <c r="K60" i="3"/>
  <c r="L60" i="3"/>
  <c r="G59" i="3"/>
  <c r="J59" i="3"/>
  <c r="K59" i="3"/>
  <c r="L59" i="3"/>
  <c r="G58" i="3"/>
  <c r="J58" i="3"/>
  <c r="K58" i="3"/>
  <c r="L58" i="3"/>
  <c r="G57" i="3"/>
  <c r="J57" i="3"/>
  <c r="K57" i="3"/>
  <c r="L57" i="3"/>
  <c r="G56" i="3"/>
  <c r="J56" i="3"/>
  <c r="K56" i="3"/>
  <c r="L56" i="3"/>
  <c r="G55" i="3"/>
  <c r="J55" i="3"/>
  <c r="K55" i="3"/>
  <c r="L55" i="3"/>
  <c r="G54" i="3"/>
  <c r="J54" i="3"/>
  <c r="K54" i="3"/>
  <c r="L54" i="3"/>
  <c r="G53" i="3"/>
  <c r="J53" i="3"/>
  <c r="K53" i="3"/>
  <c r="L53" i="3"/>
  <c r="G52" i="3"/>
  <c r="J52" i="3"/>
  <c r="K52" i="3"/>
  <c r="L52" i="3"/>
  <c r="G51" i="3"/>
  <c r="J51" i="3"/>
  <c r="K51" i="3"/>
  <c r="L51" i="3"/>
  <c r="G50" i="3"/>
  <c r="J50" i="3"/>
  <c r="K50" i="3"/>
  <c r="L50" i="3"/>
  <c r="G49" i="3"/>
  <c r="J49" i="3"/>
  <c r="K49" i="3"/>
  <c r="L49" i="3"/>
  <c r="G48" i="3"/>
  <c r="J48" i="3"/>
  <c r="K48" i="3"/>
  <c r="L48" i="3"/>
  <c r="G47" i="3"/>
  <c r="J47" i="3"/>
  <c r="K47" i="3"/>
  <c r="L47" i="3"/>
  <c r="G46" i="3"/>
  <c r="J46" i="3"/>
  <c r="K46" i="3"/>
  <c r="L46" i="3"/>
  <c r="G45" i="3"/>
  <c r="J45" i="3"/>
  <c r="K45" i="3"/>
  <c r="L45" i="3"/>
  <c r="G44" i="3"/>
  <c r="J44" i="3"/>
  <c r="K44" i="3"/>
  <c r="L44" i="3"/>
  <c r="G43" i="3"/>
  <c r="J43" i="3"/>
  <c r="K43" i="3"/>
  <c r="L43" i="3"/>
  <c r="G42" i="3"/>
  <c r="J42" i="3"/>
  <c r="K42" i="3"/>
  <c r="L42" i="3"/>
  <c r="G41" i="3"/>
  <c r="J41" i="3"/>
  <c r="K41" i="3"/>
  <c r="L41" i="3"/>
  <c r="G40" i="3"/>
  <c r="J40" i="3"/>
  <c r="K40" i="3"/>
  <c r="L40" i="3"/>
  <c r="G39" i="3"/>
  <c r="J39" i="3"/>
  <c r="K39" i="3"/>
  <c r="L39" i="3"/>
  <c r="G38" i="3"/>
  <c r="J38" i="3"/>
  <c r="K38" i="3"/>
  <c r="L38" i="3"/>
  <c r="G37" i="3"/>
  <c r="J37" i="3"/>
  <c r="K37" i="3"/>
  <c r="L37" i="3"/>
  <c r="G36" i="3"/>
  <c r="J36" i="3"/>
  <c r="K36" i="3"/>
  <c r="L36" i="3"/>
  <c r="G35" i="3"/>
  <c r="J35" i="3"/>
  <c r="K35" i="3"/>
  <c r="L35" i="3"/>
  <c r="G34" i="3"/>
  <c r="J34" i="3"/>
  <c r="K34" i="3"/>
  <c r="L34" i="3"/>
  <c r="G33" i="3"/>
  <c r="J33" i="3"/>
  <c r="K33" i="3"/>
  <c r="L33" i="3"/>
  <c r="G32" i="3"/>
  <c r="J32" i="3"/>
  <c r="K32" i="3"/>
  <c r="L32" i="3"/>
  <c r="G31" i="3"/>
  <c r="J31" i="3"/>
  <c r="K31" i="3"/>
  <c r="L31" i="3"/>
  <c r="G30" i="3"/>
  <c r="J30" i="3"/>
  <c r="K30" i="3"/>
  <c r="L30" i="3"/>
  <c r="G29" i="3"/>
  <c r="J29" i="3"/>
  <c r="K29" i="3"/>
  <c r="L29" i="3"/>
  <c r="G28" i="3"/>
  <c r="J28" i="3"/>
  <c r="K28" i="3"/>
  <c r="L28" i="3"/>
  <c r="G27" i="3"/>
  <c r="J27" i="3"/>
  <c r="K27" i="3"/>
  <c r="L27" i="3"/>
  <c r="G26" i="3"/>
  <c r="J26" i="3"/>
  <c r="K26" i="3"/>
  <c r="L26" i="3"/>
  <c r="G25" i="3"/>
  <c r="J25" i="3"/>
  <c r="K25" i="3"/>
  <c r="L25" i="3"/>
  <c r="G24" i="3"/>
  <c r="J24" i="3"/>
  <c r="K24" i="3"/>
  <c r="L24" i="3"/>
  <c r="G23" i="3"/>
  <c r="J23" i="3"/>
  <c r="K23" i="3"/>
  <c r="L23" i="3"/>
  <c r="G22" i="3"/>
  <c r="J22" i="3"/>
  <c r="K22" i="3"/>
  <c r="L22" i="3"/>
  <c r="G21" i="3"/>
  <c r="J21" i="3"/>
  <c r="K21" i="3"/>
  <c r="L21" i="3"/>
  <c r="G20" i="3"/>
  <c r="J20" i="3"/>
  <c r="K20" i="3"/>
  <c r="L20" i="3"/>
  <c r="G19" i="3"/>
  <c r="J19" i="3"/>
  <c r="K19" i="3"/>
  <c r="L19" i="3"/>
  <c r="G18" i="3"/>
  <c r="J18" i="3"/>
  <c r="K18" i="3"/>
  <c r="L18" i="3"/>
  <c r="G17" i="3"/>
  <c r="J17" i="3"/>
  <c r="K17" i="3"/>
  <c r="L17" i="3"/>
  <c r="G16" i="3"/>
  <c r="J16" i="3"/>
  <c r="K16" i="3"/>
  <c r="L16" i="3"/>
  <c r="G15" i="3"/>
  <c r="J15" i="3"/>
  <c r="K15" i="3"/>
  <c r="L15" i="3"/>
  <c r="G14" i="3"/>
  <c r="J14" i="3"/>
  <c r="K14" i="3"/>
  <c r="L14" i="3"/>
  <c r="G13" i="3"/>
  <c r="J13" i="3"/>
  <c r="K13" i="3"/>
  <c r="L13" i="3"/>
  <c r="G12" i="3"/>
  <c r="J12" i="3"/>
  <c r="K12" i="3"/>
  <c r="L12" i="3"/>
  <c r="G11" i="3"/>
  <c r="J11" i="3"/>
  <c r="K11" i="3"/>
  <c r="L11" i="3"/>
  <c r="G10" i="3"/>
  <c r="J10" i="3"/>
  <c r="K10" i="3"/>
  <c r="L10" i="3"/>
  <c r="G9" i="3"/>
  <c r="J9" i="3"/>
  <c r="K9" i="3"/>
  <c r="L9" i="3"/>
  <c r="G8" i="3"/>
  <c r="J8" i="3"/>
  <c r="K8" i="3"/>
  <c r="L8" i="3"/>
  <c r="G7" i="3"/>
  <c r="J7" i="3"/>
  <c r="K7" i="3"/>
  <c r="L7" i="3"/>
  <c r="G6" i="3"/>
  <c r="J6" i="3"/>
  <c r="K6" i="3"/>
  <c r="L6" i="3"/>
  <c r="J5" i="3"/>
  <c r="K5" i="3"/>
  <c r="L5" i="3"/>
  <c r="J4" i="3"/>
  <c r="K4" i="3"/>
  <c r="L4" i="3"/>
  <c r="J3" i="3"/>
  <c r="K3" i="3"/>
  <c r="L3" i="3"/>
  <c r="D40" i="2"/>
  <c r="B42" i="2"/>
  <c r="G34" i="2"/>
  <c r="H34" i="2"/>
  <c r="I34" i="2"/>
  <c r="G33" i="2"/>
  <c r="H33" i="2"/>
  <c r="I33" i="2"/>
  <c r="G32" i="2"/>
  <c r="H32" i="2"/>
  <c r="I32" i="2"/>
  <c r="G31" i="2"/>
  <c r="H31" i="2"/>
  <c r="I31" i="2"/>
  <c r="G30" i="2"/>
  <c r="H30" i="2"/>
  <c r="I30" i="2"/>
  <c r="G29" i="2"/>
  <c r="H29" i="2"/>
  <c r="I29" i="2"/>
  <c r="G28" i="2"/>
  <c r="H28" i="2"/>
  <c r="I28" i="2"/>
  <c r="G27" i="2"/>
  <c r="H27" i="2"/>
  <c r="I27" i="2"/>
  <c r="G26" i="2"/>
  <c r="H26" i="2"/>
  <c r="I26" i="2"/>
  <c r="G25" i="2"/>
  <c r="H25" i="2"/>
  <c r="I25" i="2"/>
  <c r="G24" i="2"/>
  <c r="H24" i="2"/>
  <c r="I24" i="2"/>
  <c r="G23" i="2"/>
  <c r="H23" i="2"/>
  <c r="I23" i="2"/>
  <c r="G22" i="2"/>
  <c r="H22" i="2"/>
  <c r="I22" i="2"/>
  <c r="G21" i="2"/>
  <c r="H21" i="2"/>
  <c r="I21" i="2"/>
  <c r="G20" i="2"/>
  <c r="H20" i="2"/>
  <c r="I20" i="2"/>
  <c r="G19" i="2"/>
  <c r="H19" i="2"/>
  <c r="I19" i="2"/>
  <c r="G18" i="2"/>
  <c r="H18" i="2"/>
  <c r="I18" i="2"/>
  <c r="G17" i="2"/>
  <c r="H17" i="2"/>
  <c r="I17" i="2"/>
  <c r="G16" i="2"/>
  <c r="H16" i="2"/>
  <c r="I16" i="2"/>
  <c r="G15" i="2"/>
  <c r="H15" i="2"/>
  <c r="I15" i="2"/>
  <c r="G14" i="2"/>
  <c r="H14" i="2"/>
  <c r="I14" i="2"/>
  <c r="G13" i="2"/>
  <c r="H13" i="2"/>
  <c r="I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N1604" i="5" l="1"/>
  <c r="O1604" i="5"/>
  <c r="G1606" i="5"/>
  <c r="M354" i="4"/>
  <c r="N354" i="4"/>
  <c r="F356" i="4"/>
  <c r="K123" i="3"/>
  <c r="L123" i="3"/>
  <c r="D125" i="3"/>
  <c r="H40" i="2"/>
  <c r="I40" i="2"/>
  <c r="D42" i="2"/>
</calcChain>
</file>

<file path=xl/sharedStrings.xml><?xml version="1.0" encoding="utf-8"?>
<sst xmlns="http://schemas.openxmlformats.org/spreadsheetml/2006/main" count="12036" uniqueCount="255">
  <si>
    <t>Exchange</t>
  </si>
  <si>
    <t>Sheet</t>
  </si>
  <si>
    <t>Data From</t>
  </si>
  <si>
    <t>Data To</t>
  </si>
  <si>
    <t>Data Rows</t>
  </si>
  <si>
    <t>Turnover Total (INR Bn)</t>
  </si>
  <si>
    <t>NSE</t>
  </si>
  <si>
    <t>Year NSE Equity Cash</t>
  </si>
  <si>
    <t>Monthly NSE Equity Cash</t>
  </si>
  <si>
    <t>Daily NSE Equity Cash</t>
  </si>
  <si>
    <t>BSE</t>
  </si>
  <si>
    <t>Year BSE Equity Cash</t>
  </si>
  <si>
    <t>Monthly BSE Equity Cash</t>
  </si>
  <si>
    <t>Daily BSE Equity Cash</t>
  </si>
  <si>
    <t>NSE &amp; BSE daily end dates aligned?</t>
  </si>
  <si>
    <t>Turnover Reconciliation</t>
  </si>
  <si>
    <t>Aggregate (INR Bn)</t>
  </si>
  <si>
    <t>Component Sum (INR Bn)</t>
  </si>
  <si>
    <t>Difference</t>
  </si>
  <si>
    <t>Status</t>
  </si>
  <si>
    <t>Remarks</t>
  </si>
  <si>
    <t>NSE: Monthly vs Daily (Apr-2020 → last completed month)</t>
  </si>
  <si>
    <t>NSE source gaps: daily rows missing 22-Nov-2021 &amp; 07/08/09/11/14-Aug-2023</t>
  </si>
  <si>
    <t>NSE: Yearly vs Monthly (FY1999-2000 → last completed FY)</t>
  </si>
  <si>
    <t>~0.2 INR Bn rounding at NSE (FY2020-21)</t>
  </si>
  <si>
    <t>BSE: Monthly vs Daily (Apr-2020 → last month)</t>
  </si>
  <si>
    <t>BSE: Yearly vs Monthly (full history)</t>
  </si>
  <si>
    <t>Notes</t>
  </si>
  <si>
    <t>Units: shares &amp; trades in Crores; all monetary values in INR Bn (1 Bn = 100 Crores); same units for both exchanges.</t>
  </si>
  <si>
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</si>
  <si>
    <t>NSE publishes Monthly figures only for completed months; the NSE Year sheet excludes the in-progress fiscal year.</t>
  </si>
  <si>
    <t>Known NSE source gaps (same on nseindia.com): daily rows missing for 22-Nov-2021 and 07/08/09/11/14-Aug-2023; Aug-2023 monthly total is ~1 trading day low; Dec-2021 monthly &amp; FY2020-21 yearly differ by ~0.2 INR Bn (NSE rounding).</t>
  </si>
  <si>
    <t>History starts: NSE yearly FY1994-95, monthly Apr-1999; BSE yearly FY1997-98, monthly Nov-1997; daily sheets per chosen range.</t>
  </si>
  <si>
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</si>
  <si>
    <t>Fiscal Year</t>
  </si>
  <si>
    <t>NSE Turnover (INR Bn)</t>
  </si>
  <si>
    <t>BSE Turnover (INR Bn)</t>
  </si>
  <si>
    <t>Total Turnover (INR Bn)</t>
  </si>
  <si>
    <t>NSE YoY Growth</t>
  </si>
  <si>
    <t>BSE YoY Growth</t>
  </si>
  <si>
    <t>Total Turnover YoY Growth</t>
  </si>
  <si>
    <t>NSE Market Share</t>
  </si>
  <si>
    <t>BSE Market Share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</si>
  <si>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</si>
  <si>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</si>
  <si>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</si>
  <si>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</si>
  <si>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</si>
  <si>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</si>
  <si>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</si>
  <si>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</si>
  <si>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</si>
  <si>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</si>
  <si>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</si>
  <si>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</si>
  <si>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</si>
  <si>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</si>
  <si>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</si>
  <si>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</si>
  <si>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</si>
  <si>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</si>
  <si>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</si>
  <si>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</si>
  <si>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</si>
  <si>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</si>
  <si>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</si>
  <si>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</si>
  <si>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</si>
  <si>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</si>
  <si>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</si>
  <si>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</si>
  <si>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</si>
  <si>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</si>
  <si>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</si>
  <si>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</si>
  <si>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</si>
  <si>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</si>
  <si>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</si>
  <si>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</si>
  <si>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</si>
  <si>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</si>
  <si>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</si>
  <si>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</si>
  <si>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QoQ Growth</t>
  </si>
  <si>
    <t>BSE QoQ Growth</t>
  </si>
  <si>
    <t>Total Turnover QoQ Growth</t>
  </si>
  <si>
    <t>Q3FY98</t>
  </si>
  <si>
    <t>Q4FY98</t>
  </si>
  <si>
    <t>Q1FY99</t>
  </si>
  <si>
    <t>Q2FY99</t>
  </si>
  <si>
    <t>Q3FY99</t>
  </si>
  <si>
    <t>Q4FY99</t>
  </si>
  <si>
    <t>Q1FY00</t>
  </si>
  <si>
    <t>Q2FY00</t>
  </si>
  <si>
    <t>Q3FY00</t>
  </si>
  <si>
    <t>Q4FY00</t>
  </si>
  <si>
    <t>Q1FY01</t>
  </si>
  <si>
    <t>Q2FY01</t>
  </si>
  <si>
    <t>Q3FY01</t>
  </si>
  <si>
    <t>Q4FY01</t>
  </si>
  <si>
    <t>Q1FY02</t>
  </si>
  <si>
    <t>Q2FY02</t>
  </si>
  <si>
    <t>Q3FY02</t>
  </si>
  <si>
    <t>Q4FY02</t>
  </si>
  <si>
    <t>Q1FY03</t>
  </si>
  <si>
    <t>Q2FY03</t>
  </si>
  <si>
    <t>Q3FY03</t>
  </si>
  <si>
    <t>Q4FY03</t>
  </si>
  <si>
    <t>Q1FY04</t>
  </si>
  <si>
    <t>Q2FY04</t>
  </si>
  <si>
    <t>Q3FY04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</si>
  <si>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</si>
  <si>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</si>
  <si>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</si>
  <si>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</si>
  <si>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</si>
  <si>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</si>
  <si>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</si>
  <si>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</si>
  <si>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</si>
  <si>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</si>
  <si>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</si>
  <si>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</si>
  <si>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</si>
  <si>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</si>
  <si>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</si>
  <si>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</si>
  <si>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</si>
  <si>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</si>
  <si>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</si>
  <si>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</si>
  <si>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</si>
  <si>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</si>
  <si>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</si>
  <si>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</si>
  <si>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</si>
  <si>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</si>
  <si>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</si>
  <si>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</si>
  <si>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</si>
  <si>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</si>
  <si>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</si>
  <si>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</si>
  <si>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</si>
  <si>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</si>
  <si>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</si>
  <si>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</si>
  <si>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</si>
  <si>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</si>
  <si>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</si>
  <si>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</si>
  <si>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</si>
  <si>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</si>
  <si>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</si>
  <si>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</si>
  <si>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</si>
  <si>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</si>
  <si>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</si>
  <si>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</si>
  <si>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</si>
  <si>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</si>
  <si>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</si>
  <si>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</si>
  <si>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</si>
  <si>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</si>
  <si>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</si>
  <si>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</si>
  <si>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</si>
  <si>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</si>
  <si>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</si>
  <si>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</si>
  <si>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</si>
  <si>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</si>
  <si>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</si>
  <si>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</si>
  <si>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</si>
  <si>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</si>
  <si>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</si>
  <si>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</si>
  <si>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</si>
  <si>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</si>
  <si>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</si>
  <si>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</si>
  <si>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</si>
  <si>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</si>
  <si>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</si>
  <si>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</si>
  <si>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</si>
  <si>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</si>
  <si>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</si>
  <si>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</si>
  <si>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</si>
  <si>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</si>
  <si>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</si>
  <si>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</si>
  <si>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</si>
  <si>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</si>
  <si>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</si>
  <si>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</si>
  <si>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</si>
  <si>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</si>
  <si>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</si>
  <si>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</si>
  <si>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</si>
  <si>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</si>
  <si>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</si>
  <si>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</si>
  <si>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</si>
  <si>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</si>
  <si>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MoM Growth</t>
  </si>
  <si>
    <t>BSE MoM Growth</t>
  </si>
  <si>
    <t>Total Turnover MoM Growth</t>
  </si>
  <si>
    <t>MTD Comparison - Sep-2026 MTD vs Sep-2025 MTD (same number of trading days)</t>
  </si>
  <si>
    <t>Trading days elapsed in Sep-2026 (per NSE daily)</t>
  </si>
  <si>
    <t>Matched Sep-2025 window</t>
  </si>
  <si>
    <t>Sep-2025 MTD (first N trading days)</t>
  </si>
  <si>
    <t>Sep-2026 MTD</t>
  </si>
  <si>
    <t>MTD Growth (Sep-2026 vs Sep-2025)</t>
  </si>
  <si>
    <t>Trade Date</t>
  </si>
  <si>
    <t>Trade Day</t>
  </si>
  <si>
    <t>Trade Month - Year</t>
  </si>
  <si>
    <t>NSE DoD Growth</t>
  </si>
  <si>
    <t>BSE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</si>
  <si>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</si>
  <si>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</si>
  <si>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</si>
  <si>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</si>
  <si>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</si>
  <si>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</si>
  <si>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</si>
  <si>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</si>
  <si>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No. of Cos. Listed</t>
  </si>
  <si>
    <t>No. of Cos. Permitted</t>
  </si>
  <si>
    <t>No. of Cos. Available for Trading</t>
  </si>
  <si>
    <t>No. of Trading Days</t>
  </si>
  <si>
    <t>No. of Securities Traded</t>
  </si>
  <si>
    <t>No. of Trades (Crs)</t>
  </si>
  <si>
    <t>Traded Quantity (Crs)</t>
  </si>
  <si>
    <t>Turnover (INR Bn)</t>
  </si>
  <si>
    <t>Average Daily Turnover (INR Bn)</t>
  </si>
  <si>
    <t>Average Trade Size (INR)</t>
  </si>
  <si>
    <t>Demat Securities Traded (Crs)</t>
  </si>
  <si>
    <t>Demat Turnover (INR Bn)</t>
  </si>
  <si>
    <t>Market Capitalisation (INR Bn)</t>
  </si>
  <si>
    <t>India VIX Open</t>
  </si>
  <si>
    <t>India VIX High</t>
  </si>
  <si>
    <t>India VIX Low</t>
  </si>
  <si>
    <t>India VIX Close</t>
  </si>
  <si>
    <t>India VIX Chg %</t>
  </si>
  <si>
    <t>Total No. of Trades (Crs)</t>
  </si>
  <si>
    <t>Total Shares Traded (Crs)</t>
  </si>
  <si>
    <t>Average Turnover (INR Bn)</t>
  </si>
  <si>
    <t>Shares Traded (Crs)</t>
  </si>
  <si>
    <t>No. of Companies Traded</t>
  </si>
  <si>
    <t>No. of Shares Traded (Crs)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</si>
</sst>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\-yyyy"/>
    <numFmt numFmtId="166" formatCode="dd\-mmm\-yyyy"/>
    <numFmt numFmtId="167" formatCode="#,##0.0000"/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8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30" customWidth="1"/>
    <col min="3" max="4" width="16" customWidth="1"/>
    <col min="5" max="5" width="12" customWidth="1"/>
    <col min="6" max="6" width="7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tr">
        <f>'Year NSE Equity Cash'!A2</f>
        <v>1994-1995</v>
      </c>
      <c r="D2" s="2" t="str">
        <f>LOOKUP(2,1/('Year NSE Equity Cash'!$A$2:$A$100000&lt;&gt;""),'Year NSE Equity Cash'!$A$2:$A$100000)</f>
        <v>2025-2026</v>
      </c>
      <c r="E2" s="3">
        <f>COUNTA('Year NSE Equity Cash'!$A:$A)-1</f>
        <v>32</v>
      </c>
      <c r="F2" s="4">
        <f>SUM('Year NSE Equity Cash'!$I:$I)</f>
        <v>1899269</v>
      </c>
    </row>
    <row r="3" spans="1:6" x14ac:dyDescent="0.2">
      <c r="A3" s="2" t="s">
        <v>6</v>
      </c>
      <c r="B3" s="2" t="s">
        <v>8</v>
      </c>
      <c r="C3" s="5">
        <f>'Monthly NSE Equity Cash'!A2</f>
        <v>36251</v>
      </c>
      <c r="D3" s="5">
        <f>LOOKUP(2,1/('Monthly NSE Equity Cash'!$A$2:$A$100000&lt;&gt;""),'Monthly NSE Equity Cash'!$A$2:$A$100000)</f>
        <v>46235</v>
      </c>
      <c r="E3" s="3">
        <f>COUNTA('Monthly NSE Equity Cash'!$A:$A)-1</f>
        <v>329</v>
      </c>
      <c r="F3" s="4">
        <f>SUM('Monthly NSE Equity Cash'!$K:$K)</f>
        <v>2022184.5300000003</v>
      </c>
    </row>
    <row r="4" spans="1:6" x14ac:dyDescent="0.2">
      <c r="A4" s="2" t="s">
        <v>6</v>
      </c>
      <c r="B4" s="2" t="s">
        <v>9</v>
      </c>
      <c r="C4" s="6">
        <f>'Daily NSE Equity Cash'!A2</f>
        <v>43922</v>
      </c>
      <c r="D4" s="6">
        <f>LOOKUP(2,1/('Daily NSE Equity Cash'!$A$2:$A$100000&lt;&gt;""),'Daily NSE Equity Cash'!$A$2:$A$100000)</f>
        <v>46272</v>
      </c>
      <c r="E4" s="3">
        <f>COUNTA('Daily NSE Equity Cash'!$A:$A)-1</f>
        <v>1592</v>
      </c>
      <c r="F4" s="4">
        <f>SUM('Daily NSE Equity Cash'!$H:$H)</f>
        <v>1332161.9529000022</v>
      </c>
    </row>
    <row r="5" spans="1:6" x14ac:dyDescent="0.2">
      <c r="A5" s="2" t="s">
        <v>10</v>
      </c>
      <c r="B5" s="2" t="s">
        <v>11</v>
      </c>
      <c r="C5" s="2" t="str">
        <f>'Year BSE Equity Cash'!A2</f>
        <v>1997-1998</v>
      </c>
      <c r="D5" s="2" t="str">
        <f>LOOKUP(2,1/('Year BSE Equity Cash'!$A$2:$A$100000&lt;&gt;""),'Year BSE Equity Cash'!$A$2:$A$100000)</f>
        <v>2026-2027</v>
      </c>
      <c r="E5" s="3">
        <f>COUNTA('Year BSE Equity Cash'!$A:$A)-1</f>
        <v>30</v>
      </c>
      <c r="F5" s="4">
        <f>SUM('Year BSE Equity Cash'!$F:$F)</f>
        <v>275345.70089999994</v>
      </c>
    </row>
    <row r="6" spans="1:6" x14ac:dyDescent="0.2">
      <c r="A6" s="2" t="s">
        <v>10</v>
      </c>
      <c r="B6" s="2" t="s">
        <v>12</v>
      </c>
      <c r="C6" s="5">
        <f>'Monthly BSE Equity Cash'!A2</f>
        <v>35735</v>
      </c>
      <c r="D6" s="5">
        <f>LOOKUP(2,1/('Monthly BSE Equity Cash'!$A$2:$A$100000&lt;&gt;""),'Monthly BSE Equity Cash'!$A$2:$A$100000)</f>
        <v>46266</v>
      </c>
      <c r="E6" s="3">
        <f>COUNTA('Monthly BSE Equity Cash'!$A:$A)-1</f>
        <v>347</v>
      </c>
      <c r="F6" s="4">
        <f>SUM('Monthly BSE Equity Cash'!$G:$G)</f>
        <v>275345.7009</v>
      </c>
    </row>
    <row r="7" spans="1:6" x14ac:dyDescent="0.2">
      <c r="A7" s="2" t="s">
        <v>10</v>
      </c>
      <c r="B7" s="2" t="s">
        <v>13</v>
      </c>
      <c r="C7" s="6">
        <f>'Daily BSE Equity Cash'!A2</f>
        <v>43922</v>
      </c>
      <c r="D7" s="6">
        <f>LOOKUP(2,1/('Daily BSE Equity Cash'!$A$2:$A$100000&lt;&gt;""),'Daily BSE Equity Cash'!$A$2:$A$100000)</f>
        <v>46272</v>
      </c>
      <c r="E7" s="3">
        <f>COUNTA('Daily BSE Equity Cash'!$A:$A)-1</f>
        <v>1597</v>
      </c>
      <c r="F7" s="4">
        <f>SUM('Daily BSE Equity Cash'!$H:$H)</f>
        <v>100482.38539999985</v>
      </c>
    </row>
    <row r="9" spans="1:6" x14ac:dyDescent="0.2">
      <c r="A9" s="1" t="s">
        <v>14</v>
      </c>
      <c r="C9" s="2" t="str">
        <f>IF($D$4=$D$7,"YES","NO")</f>
        <v>YES</v>
      </c>
    </row>
    <row r="11" spans="1:6" x14ac:dyDescent="0.2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</row>
    <row r="12" spans="1:6" x14ac:dyDescent="0.2">
      <c r="A12" s="2" t="s">
        <v>21</v>
      </c>
      <c r="B12" s="4">
        <f>SUMIFS('Monthly NSE Equity Cash'!$K:$K,'Monthly NSE Equity Cash'!$A:$A,"&gt;="&amp;DATE(2020,4,1))</f>
        <v>1330029.4200000002</v>
      </c>
      <c r="C12" s="4">
        <f>SUMIFS('Daily NSE Equity Cash'!$H:$H,'Daily NSE Equity Cash'!$A:$A,"&lt;="&amp;EOMONTH($D$3,0))</f>
        <v>1326463.5226000024</v>
      </c>
      <c r="D12" s="4">
        <f>B12-C12</f>
        <v>3565.8973999978043</v>
      </c>
      <c r="E12" s="2" t="str">
        <f>IF(ABS(D12)&lt;=0.25,"OK","CHECK")</f>
        <v>CHECK</v>
      </c>
      <c r="F12" s="2" t="s">
        <v>22</v>
      </c>
    </row>
    <row r="13" spans="1:6" x14ac:dyDescent="0.2">
      <c r="A13" s="2" t="s">
        <v>23</v>
      </c>
      <c r="B13" s="4">
        <f>SUMIFS('Year NSE Equity Cash'!$I:$I,'Year NSE Equity Cash'!$A:$A,"&gt;=1999-2000")</f>
        <v>1887786.38</v>
      </c>
      <c r="C13" s="4">
        <f>SUMIFS('Monthly NSE Equity Cash'!$K:$K,'Monthly NSE Equity Cash'!$A:$A,"&lt;="&amp;DATE(VALUE(RIGHT($D$2,4)),3,31))</f>
        <v>1887786.5899999999</v>
      </c>
      <c r="D13" s="4">
        <f>B13-C13</f>
        <v>-0.2099999999627471</v>
      </c>
      <c r="E13" s="2" t="str">
        <f>IF(ABS(D13)&lt;=0.25,"OK","CHECK")</f>
        <v>OK</v>
      </c>
      <c r="F13" s="2" t="s">
        <v>24</v>
      </c>
    </row>
    <row r="14" spans="1:6" x14ac:dyDescent="0.2">
      <c r="A14" s="2" t="s">
        <v>25</v>
      </c>
      <c r="B14" s="4">
        <f>SUMIFS('Monthly BSE Equity Cash'!$G:$G,'Monthly BSE Equity Cash'!$A:$A,"&gt;="&amp;DATE(2020,4,1),'Monthly BSE Equity Cash'!$A:$A,"&lt;="&amp;DATE(YEAR($D$7),MONTH($D$7),1))</f>
        <v>100482.44089999999</v>
      </c>
      <c r="C14" s="4">
        <f>SUMIFS('Daily BSE Equity Cash'!$H:$H,'Daily BSE Equity Cash'!$A:$A,"&lt;="&amp;EOMONTH($D$6,0))</f>
        <v>100482.38539999985</v>
      </c>
      <c r="D14" s="4">
        <f>B14-C14</f>
        <v>5.5500000133179128E-2</v>
      </c>
      <c r="E14" s="2" t="str">
        <f>IF(ABS(D14)&lt;=0.25,"OK","CHECK")</f>
        <v>OK</v>
      </c>
      <c r="F14" s="2"/>
    </row>
    <row r="15" spans="1:6" x14ac:dyDescent="0.2">
      <c r="A15" s="2" t="s">
        <v>26</v>
      </c>
      <c r="B15" s="4">
        <f>SUM('Year BSE Equity Cash'!$F:$F)</f>
        <v>275345.70089999994</v>
      </c>
      <c r="C15" s="4">
        <f>SUM('Monthly BSE Equity Cash'!$G:$G)</f>
        <v>275345.7009</v>
      </c>
      <c r="D15" s="4">
        <f>B15-C15</f>
        <v>0</v>
      </c>
      <c r="E15" s="2" t="str">
        <f>IF(ABS(D15)&lt;=0.25,"OK","CHECK")</f>
        <v>OK</v>
      </c>
      <c r="F15" s="2"/>
    </row>
    <row r="17" spans="1:1" x14ac:dyDescent="0.2">
      <c r="A17" s="1" t="s">
        <v>27</v>
      </c>
    </row>
    <row r="18" spans="1:1" x14ac:dyDescent="0.2">
      <c r="A18" s="2" t="s">
        <v>28</v>
      </c>
    </row>
    <row r="19" spans="1:1" x14ac:dyDescent="0.2">
      <c r="A19" s="2" t="s">
        <v>29</v>
      </c>
    </row>
    <row r="20" spans="1:1" x14ac:dyDescent="0.2">
      <c r="A20" s="2" t="s">
        <v>30</v>
      </c>
    </row>
    <row r="21" spans="1:1" x14ac:dyDescent="0.2">
      <c r="A21" s="2" t="s">
        <v>31</v>
      </c>
    </row>
    <row r="22" spans="1:1" x14ac:dyDescent="0.2">
      <c r="A22" s="2" t="s">
        <v>32</v>
      </c>
    </row>
    <row r="23" spans="1:1" x14ac:dyDescent="0.2">
      <c r="A23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6" hidden="1" customWidth="1" outlineLevel="1"/>
  </cols>
  <sheetData>
    <row r="1" spans="1:9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">
      <c r="A2" s="2" t="s">
        <v>43</v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>18.05</v>
      </c>
      <c r="C2" s="4" t="str">
        <f>IF(SUMIFS('Year BSE Equity Cash'!$F:$F,'Year BSE Equity Cash'!$A:$A,$A2)=0,"",SUMIFS('Year BSE Equity Cash'!$F:$F,'Year BSE Equity Cash'!$A:$A,$A2))</f>
        <v/>
      </c>
      <c r="D2" s="4" t="str">
        <f t="shared" ref="D2:D34" si="0">IF(OR(B2="",C2=""),"",B2+C2)</f>
        <v/>
      </c>
      <c r="E2" s="7"/>
      <c r="F2" s="7"/>
      <c r="G2" s="7"/>
      <c r="H2" s="7" t="str">
        <f t="shared" ref="H2:H34" si="1">IF(D2="","",B2/D2)</f>
        <v/>
      </c>
      <c r="I2" s="7" t="str">
        <f t="shared" ref="I2:I34" si="2">IF(D2="","",C2/D2)</f>
        <v/>
      </c>
    </row>
    <row r="3" spans="1:9" x14ac:dyDescent="0.2">
      <c r="A3" s="2" t="s">
        <v>44</v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>672.87</v>
      </c>
      <c r="C3" s="4" t="str">
        <f>IF(SUMIFS('Year BSE Equity Cash'!$F:$F,'Year BSE Equity Cash'!$A:$A,$A3)=0,"",SUMIFS('Year BSE Equity Cash'!$F:$F,'Year BSE Equity Cash'!$A:$A,$A3))</f>
        <v/>
      </c>
      <c r="D3" s="4" t="str">
        <f t="shared" si="0"/>
        <v/>
      </c>
      <c r="E3" s="7">
        <f t="shared" ref="E3:E34" si="3">IF(OR(B3="",B2=""),"",B3/B2-1)</f>
        <v>36.278116343490304</v>
      </c>
      <c r="F3" s="7" t="str">
        <f t="shared" ref="F3:F34" si="4">IF(OR(C3="",C2=""),"",C3/C2-1)</f>
        <v/>
      </c>
      <c r="G3" s="7" t="str">
        <f t="shared" ref="G3:G34" si="5">IF(OR(D3="",D2=""),"",D3/D2-1)</f>
        <v/>
      </c>
      <c r="H3" s="7" t="str">
        <f t="shared" si="1"/>
        <v/>
      </c>
      <c r="I3" s="7" t="str">
        <f t="shared" si="2"/>
        <v/>
      </c>
    </row>
    <row r="4" spans="1:9" x14ac:dyDescent="0.2">
      <c r="A4" s="2" t="s">
        <v>45</v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>2945.03</v>
      </c>
      <c r="C4" s="4" t="str">
        <f>IF(SUMIFS('Year BSE Equity Cash'!$F:$F,'Year BSE Equity Cash'!$A:$A,$A4)=0,"",SUMIFS('Year BSE Equity Cash'!$F:$F,'Year BSE Equity Cash'!$A:$A,$A4))</f>
        <v/>
      </c>
      <c r="D4" s="4" t="str">
        <f t="shared" si="0"/>
        <v/>
      </c>
      <c r="E4" s="7">
        <f t="shared" si="3"/>
        <v>3.3768187019780944</v>
      </c>
      <c r="F4" s="7" t="str">
        <f t="shared" si="4"/>
        <v/>
      </c>
      <c r="G4" s="7" t="str">
        <f t="shared" si="5"/>
        <v/>
      </c>
      <c r="H4" s="7" t="str">
        <f t="shared" si="1"/>
        <v/>
      </c>
      <c r="I4" s="7" t="str">
        <f t="shared" si="2"/>
        <v/>
      </c>
    </row>
    <row r="5" spans="1:9" x14ac:dyDescent="0.2">
      <c r="A5" s="2" t="s">
        <v>46</v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>3701.93</v>
      </c>
      <c r="C5" s="4">
        <f>IF(SUMIFS('Year BSE Equity Cash'!$F:$F,'Year BSE Equity Cash'!$A:$A,$A5)=0,"",SUMIFS('Year BSE Equity Cash'!$F:$F,'Year BSE Equity Cash'!$A:$A,$A5))</f>
        <v>868.99159999999995</v>
      </c>
      <c r="D5" s="4">
        <f t="shared" si="0"/>
        <v>4570.9215999999997</v>
      </c>
      <c r="E5" s="7">
        <f t="shared" si="3"/>
        <v>0.25700926645908506</v>
      </c>
      <c r="F5" s="7" t="str">
        <f t="shared" si="4"/>
        <v/>
      </c>
      <c r="G5" s="7" t="str">
        <f t="shared" si="5"/>
        <v/>
      </c>
      <c r="H5" s="7">
        <f t="shared" si="1"/>
        <v>0.80988700396874014</v>
      </c>
      <c r="I5" s="7">
        <f t="shared" si="2"/>
        <v>0.19011299603125986</v>
      </c>
    </row>
    <row r="6" spans="1:9" x14ac:dyDescent="0.2">
      <c r="A6" s="2" t="s">
        <v>47</v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>4144.74</v>
      </c>
      <c r="C6" s="4">
        <f>IF(SUMIFS('Year BSE Equity Cash'!$F:$F,'Year BSE Equity Cash'!$A:$A,$A6)=0,"",SUMIFS('Year BSE Equity Cash'!$F:$F,'Year BSE Equity Cash'!$A:$A,$A6))</f>
        <v>2846.3687</v>
      </c>
      <c r="D6" s="4">
        <f t="shared" si="0"/>
        <v>6991.1086999999998</v>
      </c>
      <c r="E6" s="7">
        <f t="shared" si="3"/>
        <v>0.11961598409478302</v>
      </c>
      <c r="F6" s="7">
        <f t="shared" si="4"/>
        <v>2.2754847112446197</v>
      </c>
      <c r="G6" s="7">
        <f t="shared" si="5"/>
        <v>0.52947464686333712</v>
      </c>
      <c r="H6" s="7">
        <f t="shared" si="1"/>
        <v>0.59285875500691332</v>
      </c>
      <c r="I6" s="7">
        <f t="shared" si="2"/>
        <v>0.40714124499308674</v>
      </c>
    </row>
    <row r="7" spans="1:9" x14ac:dyDescent="0.2">
      <c r="A7" s="2" t="s">
        <v>48</v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>8390.52</v>
      </c>
      <c r="C7" s="4">
        <f>IF(SUMIFS('Year BSE Equity Cash'!$F:$F,'Year BSE Equity Cash'!$A:$A,$A7)=0,"",SUMIFS('Year BSE Equity Cash'!$F:$F,'Year BSE Equity Cash'!$A:$A,$A7))</f>
        <v>6864.2855</v>
      </c>
      <c r="D7" s="4">
        <f t="shared" si="0"/>
        <v>15254.8055</v>
      </c>
      <c r="E7" s="7">
        <f t="shared" si="3"/>
        <v>1.0243778861882773</v>
      </c>
      <c r="F7" s="7">
        <f t="shared" si="4"/>
        <v>1.4115939372155126</v>
      </c>
      <c r="G7" s="7">
        <f t="shared" si="5"/>
        <v>1.1820295112848127</v>
      </c>
      <c r="H7" s="7">
        <f t="shared" si="1"/>
        <v>0.55002471188505153</v>
      </c>
      <c r="I7" s="7">
        <f t="shared" si="2"/>
        <v>0.44997528811494841</v>
      </c>
    </row>
    <row r="8" spans="1:9" x14ac:dyDescent="0.2">
      <c r="A8" s="2" t="s">
        <v>49</v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>13395.1</v>
      </c>
      <c r="C8" s="4">
        <f>IF(SUMIFS('Year BSE Equity Cash'!$F:$F,'Year BSE Equity Cash'!$A:$A,$A8)=0,"",SUMIFS('Year BSE Equity Cash'!$F:$F,'Year BSE Equity Cash'!$A:$A,$A8))</f>
        <v>10000.3262</v>
      </c>
      <c r="D8" s="4">
        <f t="shared" si="0"/>
        <v>23395.426200000002</v>
      </c>
      <c r="E8" s="7">
        <f t="shared" si="3"/>
        <v>0.59645647707174287</v>
      </c>
      <c r="F8" s="7">
        <f t="shared" si="4"/>
        <v>0.45686338366899215</v>
      </c>
      <c r="G8" s="7">
        <f t="shared" si="5"/>
        <v>0.53364303464898333</v>
      </c>
      <c r="H8" s="7">
        <f t="shared" si="1"/>
        <v>0.57255208285113435</v>
      </c>
      <c r="I8" s="7">
        <f t="shared" si="2"/>
        <v>0.42744791714886554</v>
      </c>
    </row>
    <row r="9" spans="1:9" x14ac:dyDescent="0.2">
      <c r="A9" s="2" t="s">
        <v>50</v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>5131.67</v>
      </c>
      <c r="C9" s="4">
        <f>IF(SUMIFS('Year BSE Equity Cash'!$F:$F,'Year BSE Equity Cash'!$A:$A,$A9)=0,"",SUMIFS('Year BSE Equity Cash'!$F:$F,'Year BSE Equity Cash'!$A:$A,$A9))</f>
        <v>3072.9776999999999</v>
      </c>
      <c r="D9" s="4">
        <f t="shared" si="0"/>
        <v>8204.6476999999995</v>
      </c>
      <c r="E9" s="7">
        <f t="shared" si="3"/>
        <v>-0.61689946323655664</v>
      </c>
      <c r="F9" s="7">
        <f t="shared" si="4"/>
        <v>-0.69271225372628342</v>
      </c>
      <c r="G9" s="7">
        <f t="shared" si="5"/>
        <v>-0.64930548262463372</v>
      </c>
      <c r="H9" s="7">
        <f t="shared" si="1"/>
        <v>0.62545890910099655</v>
      </c>
      <c r="I9" s="7">
        <f t="shared" si="2"/>
        <v>0.3745410908990035</v>
      </c>
    </row>
    <row r="10" spans="1:9" x14ac:dyDescent="0.2">
      <c r="A10" s="2" t="s">
        <v>51</v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>6179.89</v>
      </c>
      <c r="C10" s="4">
        <f>IF(SUMIFS('Year BSE Equity Cash'!$F:$F,'Year BSE Equity Cash'!$A:$A,$A10)=0,"",SUMIFS('Year BSE Equity Cash'!$F:$F,'Year BSE Equity Cash'!$A:$A,$A10))</f>
        <v>3140.7312999999999</v>
      </c>
      <c r="D10" s="4">
        <f t="shared" si="0"/>
        <v>9320.6213000000007</v>
      </c>
      <c r="E10" s="7">
        <f t="shared" si="3"/>
        <v>0.20426488842813351</v>
      </c>
      <c r="F10" s="7">
        <f t="shared" si="4"/>
        <v>2.2048191238094539E-2</v>
      </c>
      <c r="G10" s="7">
        <f t="shared" si="5"/>
        <v>0.1360172478825632</v>
      </c>
      <c r="H10" s="7">
        <f t="shared" si="1"/>
        <v>0.66303412627653913</v>
      </c>
      <c r="I10" s="7">
        <f t="shared" si="2"/>
        <v>0.33696587372346087</v>
      </c>
    </row>
    <row r="11" spans="1:9" x14ac:dyDescent="0.2">
      <c r="A11" s="2" t="s">
        <v>52</v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>10995.35</v>
      </c>
      <c r="C11" s="4">
        <f>IF(SUMIFS('Year BSE Equity Cash'!$F:$F,'Year BSE Equity Cash'!$A:$A,$A11)=0,"",SUMIFS('Year BSE Equity Cash'!$F:$F,'Year BSE Equity Cash'!$A:$A,$A11))</f>
        <v>5026.1837999999998</v>
      </c>
      <c r="D11" s="4">
        <f t="shared" si="0"/>
        <v>16021.533800000001</v>
      </c>
      <c r="E11" s="7">
        <f t="shared" si="3"/>
        <v>0.77921451676324338</v>
      </c>
      <c r="F11" s="7">
        <f t="shared" si="4"/>
        <v>0.60032276559284137</v>
      </c>
      <c r="G11" s="7">
        <f t="shared" si="5"/>
        <v>0.71893410152818893</v>
      </c>
      <c r="H11" s="7">
        <f t="shared" si="1"/>
        <v>0.68628572877335869</v>
      </c>
      <c r="I11" s="7">
        <f t="shared" si="2"/>
        <v>0.31371427122664119</v>
      </c>
    </row>
    <row r="12" spans="1:9" x14ac:dyDescent="0.2">
      <c r="A12" s="2" t="s">
        <v>53</v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>11400.71</v>
      </c>
      <c r="C12" s="4">
        <f>IF(SUMIFS('Year BSE Equity Cash'!$F:$F,'Year BSE Equity Cash'!$A:$A,$A12)=0,"",SUMIFS('Year BSE Equity Cash'!$F:$F,'Year BSE Equity Cash'!$A:$A,$A12))</f>
        <v>5187.1565000000001</v>
      </c>
      <c r="D12" s="4">
        <f t="shared" si="0"/>
        <v>16587.8665</v>
      </c>
      <c r="E12" s="7">
        <f t="shared" si="3"/>
        <v>3.6866493563187941E-2</v>
      </c>
      <c r="F12" s="7">
        <f t="shared" si="4"/>
        <v>3.2026823213269662E-2</v>
      </c>
      <c r="G12" s="7">
        <f t="shared" si="5"/>
        <v>3.5348219906386147E-2</v>
      </c>
      <c r="H12" s="7">
        <f t="shared" si="1"/>
        <v>0.68729212403536033</v>
      </c>
      <c r="I12" s="7">
        <f t="shared" si="2"/>
        <v>0.31270787596463956</v>
      </c>
    </row>
    <row r="13" spans="1:9" x14ac:dyDescent="0.2">
      <c r="A13" s="2" t="s">
        <v>54</v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>15695.58</v>
      </c>
      <c r="C13" s="4">
        <f>IF(SUMIFS('Year BSE Equity Cash'!$F:$F,'Year BSE Equity Cash'!$A:$A,$A13)=0,"",SUMIFS('Year BSE Equity Cash'!$F:$F,'Year BSE Equity Cash'!$A:$A,$A13))</f>
        <v>8160.8469999999998</v>
      </c>
      <c r="D13" s="4">
        <f t="shared" si="0"/>
        <v>23856.427</v>
      </c>
      <c r="E13" s="7">
        <f t="shared" si="3"/>
        <v>0.37671952010006393</v>
      </c>
      <c r="F13" s="7">
        <f t="shared" si="4"/>
        <v>0.57327950294154406</v>
      </c>
      <c r="G13" s="7">
        <f t="shared" si="5"/>
        <v>0.43818537483406916</v>
      </c>
      <c r="H13" s="7">
        <f t="shared" si="1"/>
        <v>0.65791830436301291</v>
      </c>
      <c r="I13" s="7">
        <f t="shared" si="2"/>
        <v>0.34208169563698704</v>
      </c>
    </row>
    <row r="14" spans="1:9" x14ac:dyDescent="0.2">
      <c r="A14" s="2" t="s">
        <v>55</v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>19452.849999999999</v>
      </c>
      <c r="C14" s="4">
        <f>IF(SUMIFS('Year BSE Equity Cash'!$F:$F,'Year BSE Equity Cash'!$A:$A,$A14)=0,"",SUMIFS('Year BSE Equity Cash'!$F:$F,'Year BSE Equity Cash'!$A:$A,$A14))</f>
        <v>9561.8911000000007</v>
      </c>
      <c r="D14" s="4">
        <f t="shared" si="0"/>
        <v>29014.741099999999</v>
      </c>
      <c r="E14" s="7">
        <f t="shared" si="3"/>
        <v>0.23938395395391554</v>
      </c>
      <c r="F14" s="7">
        <f t="shared" si="4"/>
        <v>0.17167876079529498</v>
      </c>
      <c r="G14" s="7">
        <f t="shared" si="5"/>
        <v>0.21622324667478487</v>
      </c>
      <c r="H14" s="7">
        <f t="shared" si="1"/>
        <v>0.67044713350897345</v>
      </c>
      <c r="I14" s="7">
        <f t="shared" si="2"/>
        <v>0.32955286649102655</v>
      </c>
    </row>
    <row r="15" spans="1:9" x14ac:dyDescent="0.2">
      <c r="A15" s="2" t="s">
        <v>56</v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>35510.379999999997</v>
      </c>
      <c r="C15" s="4">
        <f>IF(SUMIFS('Year BSE Equity Cash'!$F:$F,'Year BSE Equity Cash'!$A:$A,$A15)=0,"",SUMIFS('Year BSE Equity Cash'!$F:$F,'Year BSE Equity Cash'!$A:$A,$A15))</f>
        <v>15788.554099999999</v>
      </c>
      <c r="D15" s="4">
        <f t="shared" si="0"/>
        <v>51298.934099999999</v>
      </c>
      <c r="E15" s="7">
        <f t="shared" si="3"/>
        <v>0.82545899444040338</v>
      </c>
      <c r="F15" s="7">
        <f t="shared" si="4"/>
        <v>0.65119576607602214</v>
      </c>
      <c r="G15" s="7">
        <f t="shared" si="5"/>
        <v>0.76803004800894126</v>
      </c>
      <c r="H15" s="7">
        <f t="shared" si="1"/>
        <v>0.69222451933947682</v>
      </c>
      <c r="I15" s="7">
        <f t="shared" si="2"/>
        <v>0.30777548066052313</v>
      </c>
    </row>
    <row r="16" spans="1:9" x14ac:dyDescent="0.2">
      <c r="A16" s="2" t="s">
        <v>57</v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>27520.23</v>
      </c>
      <c r="C16" s="4">
        <f>IF(SUMIFS('Year BSE Equity Cash'!$F:$F,'Year BSE Equity Cash'!$A:$A,$A16)=0,"",SUMIFS('Year BSE Equity Cash'!$F:$F,'Year BSE Equity Cash'!$A:$A,$A16))</f>
        <v>11000.7377</v>
      </c>
      <c r="D16" s="4">
        <f t="shared" si="0"/>
        <v>38520.967700000001</v>
      </c>
      <c r="E16" s="7">
        <f t="shared" si="3"/>
        <v>-0.22500885656531977</v>
      </c>
      <c r="F16" s="7">
        <f t="shared" si="4"/>
        <v>-0.30324603315005272</v>
      </c>
      <c r="G16" s="7">
        <f t="shared" si="5"/>
        <v>-0.24908834119420808</v>
      </c>
      <c r="H16" s="7">
        <f t="shared" si="1"/>
        <v>0.71442208343068181</v>
      </c>
      <c r="I16" s="7">
        <f t="shared" si="2"/>
        <v>0.28557791656931814</v>
      </c>
    </row>
    <row r="17" spans="1:9" x14ac:dyDescent="0.2">
      <c r="A17" s="2" t="s">
        <v>58</v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>41380.239999999998</v>
      </c>
      <c r="C17" s="4">
        <f>IF(SUMIFS('Year BSE Equity Cash'!$F:$F,'Year BSE Equity Cash'!$A:$A,$A17)=0,"",SUMIFS('Year BSE Equity Cash'!$F:$F,'Year BSE Equity Cash'!$A:$A,$A17))</f>
        <v>13788.093199999999</v>
      </c>
      <c r="D17" s="4">
        <f t="shared" si="0"/>
        <v>55168.333199999994</v>
      </c>
      <c r="E17" s="7">
        <f t="shared" si="3"/>
        <v>0.50362987518636282</v>
      </c>
      <c r="F17" s="7">
        <f t="shared" si="4"/>
        <v>0.25337896203088262</v>
      </c>
      <c r="G17" s="7">
        <f t="shared" si="5"/>
        <v>0.43216374078785136</v>
      </c>
      <c r="H17" s="7">
        <f t="shared" si="1"/>
        <v>0.75007232591177875</v>
      </c>
      <c r="I17" s="7">
        <f t="shared" si="2"/>
        <v>0.24992767408822134</v>
      </c>
    </row>
    <row r="18" spans="1:9" x14ac:dyDescent="0.2">
      <c r="A18" s="2" t="s">
        <v>59</v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>35774.120000000003</v>
      </c>
      <c r="C18" s="4">
        <f>IF(SUMIFS('Year BSE Equity Cash'!$F:$F,'Year BSE Equity Cash'!$A:$A,$A18)=0,"",SUMIFS('Year BSE Equity Cash'!$F:$F,'Year BSE Equity Cash'!$A:$A,$A18))</f>
        <v>11050.268899999999</v>
      </c>
      <c r="D18" s="4">
        <f t="shared" si="0"/>
        <v>46824.388900000005</v>
      </c>
      <c r="E18" s="7">
        <f t="shared" si="3"/>
        <v>-0.13547818959000713</v>
      </c>
      <c r="F18" s="7">
        <f t="shared" si="4"/>
        <v>-0.19856438887430794</v>
      </c>
      <c r="G18" s="7">
        <f t="shared" si="5"/>
        <v>-0.15124517664419834</v>
      </c>
      <c r="H18" s="7">
        <f t="shared" si="1"/>
        <v>0.76400612673025181</v>
      </c>
      <c r="I18" s="7">
        <f t="shared" si="2"/>
        <v>0.23599387326974805</v>
      </c>
    </row>
    <row r="19" spans="1:9" x14ac:dyDescent="0.2">
      <c r="A19" s="2" t="s">
        <v>60</v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>28108.93</v>
      </c>
      <c r="C19" s="4">
        <f>IF(SUMIFS('Year BSE Equity Cash'!$F:$F,'Year BSE Equity Cash'!$A:$A,$A19)=0,"",SUMIFS('Year BSE Equity Cash'!$F:$F,'Year BSE Equity Cash'!$A:$A,$A19))</f>
        <v>6674.9758000000002</v>
      </c>
      <c r="D19" s="4">
        <f t="shared" si="0"/>
        <v>34783.9058</v>
      </c>
      <c r="E19" s="7">
        <f t="shared" si="3"/>
        <v>-0.21426634673333689</v>
      </c>
      <c r="F19" s="7">
        <f t="shared" si="4"/>
        <v>-0.39594449145033916</v>
      </c>
      <c r="G19" s="7">
        <f t="shared" si="5"/>
        <v>-0.25714127579356416</v>
      </c>
      <c r="H19" s="7">
        <f t="shared" si="1"/>
        <v>0.80810160197708447</v>
      </c>
      <c r="I19" s="7">
        <f t="shared" si="2"/>
        <v>0.19189839802291553</v>
      </c>
    </row>
    <row r="20" spans="1:9" x14ac:dyDescent="0.2">
      <c r="A20" s="2" t="s">
        <v>61</v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>27082.79</v>
      </c>
      <c r="C20" s="4">
        <f>IF(SUMIFS('Year BSE Equity Cash'!$F:$F,'Year BSE Equity Cash'!$A:$A,$A20)=0,"",SUMIFS('Year BSE Equity Cash'!$F:$F,'Year BSE Equity Cash'!$A:$A,$A20))</f>
        <v>5487.7443999999996</v>
      </c>
      <c r="D20" s="4">
        <f t="shared" si="0"/>
        <v>32570.5344</v>
      </c>
      <c r="E20" s="7">
        <f t="shared" si="3"/>
        <v>-3.650583640145677E-2</v>
      </c>
      <c r="F20" s="7">
        <f t="shared" si="4"/>
        <v>-0.17786302685921351</v>
      </c>
      <c r="G20" s="7">
        <f t="shared" si="5"/>
        <v>-6.3632054799320437E-2</v>
      </c>
      <c r="H20" s="7">
        <f t="shared" si="1"/>
        <v>0.83151199385908758</v>
      </c>
      <c r="I20" s="7">
        <f t="shared" si="2"/>
        <v>0.16848800614091242</v>
      </c>
    </row>
    <row r="21" spans="1:9" x14ac:dyDescent="0.2">
      <c r="A21" s="2" t="s">
        <v>62</v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>28084.880000000001</v>
      </c>
      <c r="C21" s="4">
        <f>IF(SUMIFS('Year BSE Equity Cash'!$F:$F,'Year BSE Equity Cash'!$A:$A,$A21)=0,"",SUMIFS('Year BSE Equity Cash'!$F:$F,'Year BSE Equity Cash'!$A:$A,$A21))</f>
        <v>5216.6419999999998</v>
      </c>
      <c r="D21" s="4">
        <f t="shared" si="0"/>
        <v>33301.521999999997</v>
      </c>
      <c r="E21" s="7">
        <f t="shared" si="3"/>
        <v>3.700098845059907E-2</v>
      </c>
      <c r="F21" s="7">
        <f t="shared" si="4"/>
        <v>-4.9401426203450671E-2</v>
      </c>
      <c r="G21" s="7">
        <f t="shared" si="5"/>
        <v>2.2443217879777766E-2</v>
      </c>
      <c r="H21" s="7">
        <f t="shared" si="1"/>
        <v>0.84335124382603299</v>
      </c>
      <c r="I21" s="7">
        <f t="shared" si="2"/>
        <v>0.15664875617396706</v>
      </c>
    </row>
    <row r="22" spans="1:9" x14ac:dyDescent="0.2">
      <c r="A22" s="2" t="s">
        <v>63</v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>43296.55</v>
      </c>
      <c r="C22" s="4">
        <f>IF(SUMIFS('Year BSE Equity Cash'!$F:$F,'Year BSE Equity Cash'!$A:$A,$A22)=0,"",SUMIFS('Year BSE Equity Cash'!$F:$F,'Year BSE Equity Cash'!$A:$A,$A22))</f>
        <v>8548.4434000000001</v>
      </c>
      <c r="D22" s="4">
        <f t="shared" si="0"/>
        <v>51844.993400000007</v>
      </c>
      <c r="E22" s="7">
        <f t="shared" si="3"/>
        <v>0.54163200982165494</v>
      </c>
      <c r="F22" s="7">
        <f t="shared" si="4"/>
        <v>0.63868699443051691</v>
      </c>
      <c r="G22" s="7">
        <f t="shared" si="5"/>
        <v>0.55683555244111704</v>
      </c>
      <c r="H22" s="7">
        <f t="shared" si="1"/>
        <v>0.83511535368427681</v>
      </c>
      <c r="I22" s="7">
        <f t="shared" si="2"/>
        <v>0.16488464631572311</v>
      </c>
    </row>
    <row r="23" spans="1:9" x14ac:dyDescent="0.2">
      <c r="A23" s="2" t="s">
        <v>64</v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>42369.83</v>
      </c>
      <c r="C23" s="4">
        <f>IF(SUMIFS('Year BSE Equity Cash'!$F:$F,'Year BSE Equity Cash'!$A:$A,$A23)=0,"",SUMIFS('Year BSE Equity Cash'!$F:$F,'Year BSE Equity Cash'!$A:$A,$A23))</f>
        <v>7400.8919999999998</v>
      </c>
      <c r="D23" s="4">
        <f t="shared" si="0"/>
        <v>49770.722000000002</v>
      </c>
      <c r="E23" s="7">
        <f t="shared" si="3"/>
        <v>-2.1404014869545018E-2</v>
      </c>
      <c r="F23" s="7">
        <f t="shared" si="4"/>
        <v>-0.13424097771999055</v>
      </c>
      <c r="G23" s="7">
        <f t="shared" si="5"/>
        <v>-4.0009097580481212E-2</v>
      </c>
      <c r="H23" s="7">
        <f t="shared" si="1"/>
        <v>0.85130028855116868</v>
      </c>
      <c r="I23" s="7">
        <f t="shared" si="2"/>
        <v>0.14869971144883129</v>
      </c>
    </row>
    <row r="24" spans="1:9" x14ac:dyDescent="0.2">
      <c r="A24" s="2" t="s">
        <v>65</v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>50559.13</v>
      </c>
      <c r="C24" s="4">
        <f>IF(SUMIFS('Year BSE Equity Cash'!$F:$F,'Year BSE Equity Cash'!$A:$A,$A24)=0,"",SUMIFS('Year BSE Equity Cash'!$F:$F,'Year BSE Equity Cash'!$A:$A,$A24))</f>
        <v>9982.6057999999994</v>
      </c>
      <c r="D24" s="4">
        <f t="shared" si="0"/>
        <v>60541.735799999995</v>
      </c>
      <c r="E24" s="7">
        <f t="shared" si="3"/>
        <v>0.19328139858007454</v>
      </c>
      <c r="F24" s="7">
        <f t="shared" si="4"/>
        <v>0.34883819409876526</v>
      </c>
      <c r="G24" s="7">
        <f t="shared" si="5"/>
        <v>0.21641264918760861</v>
      </c>
      <c r="H24" s="7">
        <f t="shared" si="1"/>
        <v>0.83511199888655985</v>
      </c>
      <c r="I24" s="7">
        <f t="shared" si="2"/>
        <v>0.16488800111344015</v>
      </c>
    </row>
    <row r="25" spans="1:9" x14ac:dyDescent="0.2">
      <c r="A25" s="2" t="s">
        <v>66</v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>72348.259999999995</v>
      </c>
      <c r="C25" s="4">
        <f>IF(SUMIFS('Year BSE Equity Cash'!$F:$F,'Year BSE Equity Cash'!$A:$A,$A25)=0,"",SUMIFS('Year BSE Equity Cash'!$F:$F,'Year BSE Equity Cash'!$A:$A,$A25))</f>
        <v>10829.682199999999</v>
      </c>
      <c r="D25" s="4">
        <f t="shared" si="0"/>
        <v>83177.94219999999</v>
      </c>
      <c r="E25" s="7">
        <f t="shared" si="3"/>
        <v>0.43096330969302676</v>
      </c>
      <c r="F25" s="7">
        <f t="shared" si="4"/>
        <v>8.4855238899646857E-2</v>
      </c>
      <c r="G25" s="7">
        <f t="shared" si="5"/>
        <v>0.3738942417306772</v>
      </c>
      <c r="H25" s="7">
        <f t="shared" si="1"/>
        <v>0.8698010324184241</v>
      </c>
      <c r="I25" s="7">
        <f t="shared" si="2"/>
        <v>0.13019896758157598</v>
      </c>
    </row>
    <row r="26" spans="1:9" x14ac:dyDescent="0.2">
      <c r="A26" s="2" t="s">
        <v>67</v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>79490.039999999994</v>
      </c>
      <c r="C26" s="4">
        <f>IF(SUMIFS('Year BSE Equity Cash'!$F:$F,'Year BSE Equity Cash'!$A:$A,$A26)=0,"",SUMIFS('Year BSE Equity Cash'!$F:$F,'Year BSE Equity Cash'!$A:$A,$A26))</f>
        <v>7755.9008000000003</v>
      </c>
      <c r="D26" s="4">
        <f t="shared" si="0"/>
        <v>87245.940799999997</v>
      </c>
      <c r="E26" s="7">
        <f t="shared" si="3"/>
        <v>9.8713915165340449E-2</v>
      </c>
      <c r="F26" s="7">
        <f t="shared" si="4"/>
        <v>-0.28382932603507049</v>
      </c>
      <c r="G26" s="7">
        <f t="shared" si="5"/>
        <v>4.8907180105737247E-2</v>
      </c>
      <c r="H26" s="7">
        <f t="shared" si="1"/>
        <v>0.91110301833091123</v>
      </c>
      <c r="I26" s="7">
        <f t="shared" si="2"/>
        <v>8.8896981669088729E-2</v>
      </c>
    </row>
    <row r="27" spans="1:9" x14ac:dyDescent="0.2">
      <c r="A27" s="2" t="s">
        <v>68</v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>89988.11</v>
      </c>
      <c r="C27" s="4">
        <f>IF(SUMIFS('Year BSE Equity Cash'!$F:$F,'Year BSE Equity Cash'!$A:$A,$A27)=0,"",SUMIFS('Year BSE Equity Cash'!$F:$F,'Year BSE Equity Cash'!$A:$A,$A27))</f>
        <v>6608.9602999999997</v>
      </c>
      <c r="D27" s="4">
        <f t="shared" si="0"/>
        <v>96597.070300000007</v>
      </c>
      <c r="E27" s="7">
        <f t="shared" si="3"/>
        <v>0.13206774081381778</v>
      </c>
      <c r="F27" s="7">
        <f t="shared" si="4"/>
        <v>-0.14787972790987747</v>
      </c>
      <c r="G27" s="7">
        <f t="shared" si="5"/>
        <v>0.10718125581837978</v>
      </c>
      <c r="H27" s="7">
        <f t="shared" si="1"/>
        <v>0.93158218691856121</v>
      </c>
      <c r="I27" s="7">
        <f t="shared" si="2"/>
        <v>6.8417813081438753E-2</v>
      </c>
    </row>
    <row r="28" spans="1:9" x14ac:dyDescent="0.2">
      <c r="A28" s="2" t="s">
        <v>69</v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>153979.08179999999</v>
      </c>
      <c r="C28" s="4">
        <f>IF(SUMIFS('Year BSE Equity Cash'!$F:$F,'Year BSE Equity Cash'!$A:$A,$A28)=0,"",SUMIFS('Year BSE Equity Cash'!$F:$F,'Year BSE Equity Cash'!$A:$A,$A28))</f>
        <v>10450.8956</v>
      </c>
      <c r="D28" s="4">
        <f t="shared" si="0"/>
        <v>164429.97739999997</v>
      </c>
      <c r="E28" s="7">
        <f t="shared" si="3"/>
        <v>0.71110474261544088</v>
      </c>
      <c r="F28" s="7">
        <f t="shared" si="4"/>
        <v>0.58132219374959782</v>
      </c>
      <c r="G28" s="7">
        <f t="shared" si="5"/>
        <v>0.70222530444590481</v>
      </c>
      <c r="H28" s="7">
        <f t="shared" si="1"/>
        <v>0.93644166492478043</v>
      </c>
      <c r="I28" s="7">
        <f t="shared" si="2"/>
        <v>6.3558335075219699E-2</v>
      </c>
    </row>
    <row r="29" spans="1:9" x14ac:dyDescent="0.2">
      <c r="A29" s="2" t="s">
        <v>70</v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>165662.37</v>
      </c>
      <c r="C29" s="4">
        <f>IF(SUMIFS('Year BSE Equity Cash'!$F:$F,'Year BSE Equity Cash'!$A:$A,$A29)=0,"",SUMIFS('Year BSE Equity Cash'!$F:$F,'Year BSE Equity Cash'!$A:$A,$A29))</f>
        <v>13382.2531</v>
      </c>
      <c r="D29" s="4">
        <f t="shared" si="0"/>
        <v>179044.6231</v>
      </c>
      <c r="E29" s="7">
        <f t="shared" si="3"/>
        <v>7.5875814191275426E-2</v>
      </c>
      <c r="F29" s="7">
        <f t="shared" si="4"/>
        <v>0.28048864060990142</v>
      </c>
      <c r="G29" s="7">
        <f t="shared" si="5"/>
        <v>8.8880664773478335E-2</v>
      </c>
      <c r="H29" s="7">
        <f t="shared" si="1"/>
        <v>0.92525744214878913</v>
      </c>
      <c r="I29" s="7">
        <f t="shared" si="2"/>
        <v>7.4742557851210895E-2</v>
      </c>
    </row>
    <row r="30" spans="1:9" x14ac:dyDescent="0.2">
      <c r="A30" s="2" t="s">
        <v>71</v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>133050.7335</v>
      </c>
      <c r="C30" s="4">
        <f>IF(SUMIFS('Year BSE Equity Cash'!$F:$F,'Year BSE Equity Cash'!$A:$A,$A30)=0,"",SUMIFS('Year BSE Equity Cash'!$F:$F,'Year BSE Equity Cash'!$A:$A,$A30))</f>
        <v>10288.6492</v>
      </c>
      <c r="D30" s="4">
        <f t="shared" si="0"/>
        <v>143339.38270000002</v>
      </c>
      <c r="E30" s="7">
        <f t="shared" si="3"/>
        <v>-0.19685603012923214</v>
      </c>
      <c r="F30" s="7">
        <f t="shared" si="4"/>
        <v>-0.23117212601516257</v>
      </c>
      <c r="G30" s="7">
        <f t="shared" si="5"/>
        <v>-0.19942090291121384</v>
      </c>
      <c r="H30" s="7">
        <f t="shared" si="1"/>
        <v>0.92822175590407363</v>
      </c>
      <c r="I30" s="7">
        <f t="shared" si="2"/>
        <v>7.1778244095926327E-2</v>
      </c>
    </row>
    <row r="31" spans="1:9" x14ac:dyDescent="0.2">
      <c r="A31" s="2" t="s">
        <v>72</v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>201034.39</v>
      </c>
      <c r="C31" s="4">
        <f>IF(SUMIFS('Year BSE Equity Cash'!$F:$F,'Year BSE Equity Cash'!$A:$A,$A31)=0,"",SUMIFS('Year BSE Equity Cash'!$F:$F,'Year BSE Equity Cash'!$A:$A,$A31))</f>
        <v>16290.3838</v>
      </c>
      <c r="D31" s="4">
        <f t="shared" si="0"/>
        <v>217324.77380000002</v>
      </c>
      <c r="E31" s="7">
        <f t="shared" si="3"/>
        <v>0.51096040368691398</v>
      </c>
      <c r="F31" s="7">
        <f t="shared" si="4"/>
        <v>0.58333552668896504</v>
      </c>
      <c r="G31" s="7">
        <f t="shared" si="5"/>
        <v>0.51615536293222775</v>
      </c>
      <c r="H31" s="7">
        <f t="shared" si="1"/>
        <v>0.92504129411867353</v>
      </c>
      <c r="I31" s="7">
        <f t="shared" si="2"/>
        <v>7.4958705881326443E-2</v>
      </c>
    </row>
    <row r="32" spans="1:9" x14ac:dyDescent="0.2">
      <c r="A32" s="2" t="s">
        <v>73</v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>281278.48219999979</v>
      </c>
      <c r="C32" s="4">
        <f>IF(SUMIFS('Year BSE Equity Cash'!$F:$F,'Year BSE Equity Cash'!$A:$A,$A32)=0,"",SUMIFS('Year BSE Equity Cash'!$F:$F,'Year BSE Equity Cash'!$A:$A,$A32))</f>
        <v>19339.0684</v>
      </c>
      <c r="D32" s="4">
        <f t="shared" si="0"/>
        <v>300617.55059999978</v>
      </c>
      <c r="E32" s="7">
        <f t="shared" si="3"/>
        <v>0.39915604588846598</v>
      </c>
      <c r="F32" s="7">
        <f t="shared" si="4"/>
        <v>0.1871462721461481</v>
      </c>
      <c r="G32" s="7">
        <f t="shared" si="5"/>
        <v>0.3832640676145489</v>
      </c>
      <c r="H32" s="7">
        <f t="shared" si="1"/>
        <v>0.93566886443788355</v>
      </c>
      <c r="I32" s="7">
        <f t="shared" si="2"/>
        <v>6.433113556211649E-2</v>
      </c>
    </row>
    <row r="33" spans="1:9" x14ac:dyDescent="0.2">
      <c r="A33" s="2" t="s">
        <v>74</v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>260626.17</v>
      </c>
      <c r="C33" s="4">
        <f>IF(SUMIFS('Year BSE Equity Cash'!$F:$F,'Year BSE Equity Cash'!$A:$A,$A33)=0,"",SUMIFS('Year BSE Equity Cash'!$F:$F,'Year BSE Equity Cash'!$A:$A,$A33))</f>
        <v>19636.4725</v>
      </c>
      <c r="D33" s="4">
        <f t="shared" si="0"/>
        <v>280262.64250000002</v>
      </c>
      <c r="E33" s="7">
        <f t="shared" si="3"/>
        <v>-7.3423007826511233E-2</v>
      </c>
      <c r="F33" s="7">
        <f t="shared" si="4"/>
        <v>1.5378408817251943E-2</v>
      </c>
      <c r="G33" s="7">
        <f t="shared" si="5"/>
        <v>-6.7710311854293215E-2</v>
      </c>
      <c r="H33" s="7">
        <f t="shared" si="1"/>
        <v>0.92993546223342982</v>
      </c>
      <c r="I33" s="7">
        <f t="shared" si="2"/>
        <v>7.0064537766570151E-2</v>
      </c>
    </row>
    <row r="34" spans="1:9" x14ac:dyDescent="0.2">
      <c r="A34" s="2" t="s">
        <v>75</v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>140096.36699999991</v>
      </c>
      <c r="C34" s="4">
        <f>IF(SUMIFS('Year BSE Equity Cash'!$F:$F,'Year BSE Equity Cash'!$A:$A,$A34)=0,"",SUMIFS('Year BSE Equity Cash'!$F:$F,'Year BSE Equity Cash'!$A:$A,$A34))</f>
        <v>11094.7183</v>
      </c>
      <c r="D34" s="4">
        <f t="shared" si="0"/>
        <v>151191.08529999992</v>
      </c>
      <c r="E34" s="7">
        <f t="shared" si="3"/>
        <v>-0.46246239585226645</v>
      </c>
      <c r="F34" s="7">
        <f t="shared" si="4"/>
        <v>-0.43499433006615618</v>
      </c>
      <c r="G34" s="7">
        <f t="shared" si="5"/>
        <v>-0.46053785851962092</v>
      </c>
      <c r="H34" s="7">
        <f t="shared" si="1"/>
        <v>0.92661790688263546</v>
      </c>
      <c r="I34" s="7">
        <f t="shared" si="2"/>
        <v>7.3382093117364544E-2</v>
      </c>
    </row>
    <row r="36" spans="1:9" x14ac:dyDescent="0.2">
      <c r="A36" s="1" t="s">
        <v>76</v>
      </c>
    </row>
    <row r="37" spans="1:9" x14ac:dyDescent="0.2">
      <c r="A37" s="2" t="s">
        <v>77</v>
      </c>
      <c r="B37" s="3">
        <f>COUNTIF('Daily NSE Equity Cash'!$A:$A,"&gt;="&amp;DATE(2026,4,1))</f>
        <v>109</v>
      </c>
    </row>
    <row r="38" spans="1:9" x14ac:dyDescent="0.2">
      <c r="A38" s="2" t="s">
        <v>78</v>
      </c>
      <c r="B38" s="6">
        <f>DATE(2025,4,1)</f>
        <v>45748</v>
      </c>
      <c r="C38" s="6">
        <f>INDEX('Daily NSE Equity Cash'!$A:$A,COUNTIF('Daily NSE Equity Cash'!$A:$A,"&lt;"&amp;DATE(2025,4,1))+1+$B37)</f>
        <v>45908</v>
      </c>
    </row>
    <row r="39" spans="1:9" x14ac:dyDescent="0.2">
      <c r="B39" s="1" t="s">
        <v>35</v>
      </c>
      <c r="C39" s="1" t="s">
        <v>36</v>
      </c>
      <c r="D39" s="1" t="s">
        <v>37</v>
      </c>
      <c r="H39" s="1" t="s">
        <v>41</v>
      </c>
      <c r="I39" s="1" t="s">
        <v>42</v>
      </c>
    </row>
    <row r="40" spans="1:9" x14ac:dyDescent="0.2">
      <c r="A40" s="2" t="s">
        <v>79</v>
      </c>
      <c r="B40" s="4">
        <f>SUMIFS('Daily NSE Equity Cash'!$H:$H,'Daily NSE Equity Cash'!$A:$A,"&gt;="&amp;$B$38,'Daily NSE Equity Cash'!$A:$A,"&lt;="&amp;$C$38)</f>
        <v>111256.13349999997</v>
      </c>
      <c r="C40" s="4">
        <f>SUMIFS('Daily BSE Equity Cash'!$H:$H,'Daily BSE Equity Cash'!$A:$A,"&gt;="&amp;$B$38,'Daily BSE Equity Cash'!$A:$A,"&lt;="&amp;$C$38)</f>
        <v>8217.5110999999997</v>
      </c>
      <c r="D40" s="4">
        <f>B40+C40</f>
        <v>119473.64459999997</v>
      </c>
      <c r="H40" s="7">
        <f>IF(D40=0,"",B40/D40)</f>
        <v>0.93121904728434135</v>
      </c>
      <c r="I40" s="7">
        <f>IF(D40=0,"",C40/D40)</f>
        <v>6.8780952715658608E-2</v>
      </c>
    </row>
    <row r="41" spans="1:9" x14ac:dyDescent="0.2">
      <c r="A41" s="2" t="s">
        <v>80</v>
      </c>
      <c r="B41" s="4">
        <f>SUMIFS('Daily NSE Equity Cash'!$H:$H,'Daily NSE Equity Cash'!$A:$A,"&gt;="&amp;DATE(2026,4,1))</f>
        <v>140096.36699999991</v>
      </c>
      <c r="C41" s="4">
        <f>SUMIFS('Daily BSE Equity Cash'!$H:$H,'Daily BSE Equity Cash'!$A:$A,"&gt;="&amp;DATE(2026,4,1))</f>
        <v>11094.717400000005</v>
      </c>
      <c r="D41" s="4">
        <f>B41+C41</f>
        <v>151191.08439999991</v>
      </c>
      <c r="H41" s="7">
        <f>IF(D41=0,"",B41/D41)</f>
        <v>0.92661791239854352</v>
      </c>
      <c r="I41" s="7">
        <f>IF(D41=0,"",C41/D41)</f>
        <v>7.3382087601456564E-2</v>
      </c>
    </row>
    <row r="42" spans="1:9" x14ac:dyDescent="0.2">
      <c r="A42" s="1" t="s">
        <v>81</v>
      </c>
      <c r="B42" s="7">
        <f>IF(OR(B40=0,B40=""),"",B41/B40-1)</f>
        <v>0.25922376225666643</v>
      </c>
      <c r="C42" s="7">
        <f>IF(OR(C40=0,C40=""),"",C41/C40-1)</f>
        <v>0.35013111208331749</v>
      </c>
      <c r="D42" s="7">
        <f>IF(OR(D40=0,D40=""),"",D41/D40-1)</f>
        <v>0.265476456386599</v>
      </c>
    </row>
  </sheetData>
  <conditionalFormatting sqref="H2:H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2" customWidth="1"/>
    <col min="2" max="4" width="22" customWidth="1"/>
    <col min="5" max="6" width="18" customWidth="1"/>
    <col min="7" max="7" width="24" customWidth="1"/>
    <col min="8" max="9" width="18" customWidth="1"/>
    <col min="10" max="10" width="24" customWidth="1"/>
    <col min="11" max="12" width="16" hidden="1" customWidth="1" outlineLevel="1"/>
  </cols>
  <sheetData>
    <row r="1" spans="1:12" x14ac:dyDescent="0.2">
      <c r="A1" s="1" t="s">
        <v>82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83</v>
      </c>
      <c r="I1" s="1" t="s">
        <v>84</v>
      </c>
      <c r="J1" s="1" t="s">
        <v>85</v>
      </c>
      <c r="K1" s="1" t="s">
        <v>41</v>
      </c>
      <c r="L1" s="1" t="s">
        <v>42</v>
      </c>
    </row>
    <row r="2" spans="1:12" x14ac:dyDescent="0.2">
      <c r="A2" s="2" t="s">
        <v>86</v>
      </c>
      <c r="B2" s="4" t="str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>299.62540000000001</v>
      </c>
      <c r="D2" s="4" t="str">
        <f t="shared" ref="D2:D33" si="0">IF(OR(B2="",C2=""),"",B2+C2)</f>
        <v/>
      </c>
      <c r="E2" s="7"/>
      <c r="F2" s="7"/>
      <c r="G2" s="7"/>
      <c r="H2" s="7"/>
      <c r="I2" s="7"/>
      <c r="J2" s="7"/>
      <c r="K2" s="7" t="str">
        <f t="shared" ref="K2:K33" si="1">IF(D2="","",B2/D2)</f>
        <v/>
      </c>
      <c r="L2" s="7" t="str">
        <f t="shared" ref="L2:L33" si="2">IF(D2="","",C2/D2)</f>
        <v/>
      </c>
    </row>
    <row r="3" spans="1:12" x14ac:dyDescent="0.2">
      <c r="A3" s="2" t="s">
        <v>87</v>
      </c>
      <c r="B3" s="4" t="str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>569.36619999999994</v>
      </c>
      <c r="D3" s="4" t="str">
        <f t="shared" si="0"/>
        <v/>
      </c>
      <c r="E3" s="7"/>
      <c r="F3" s="7"/>
      <c r="G3" s="7"/>
      <c r="H3" s="7" t="str">
        <f t="shared" ref="H3:H34" si="3">IF(OR(B3="",B2=""),"",B3/B2-1)</f>
        <v/>
      </c>
      <c r="I3" s="7">
        <f t="shared" ref="I3:I34" si="4">IF(OR(C3="",C2=""),"",C3/C2-1)</f>
        <v>0.90026012480917816</v>
      </c>
      <c r="J3" s="7" t="str">
        <f t="shared" ref="J3:J34" si="5">IF(OR(D3="",D2=""),"",D3/D2-1)</f>
        <v/>
      </c>
      <c r="K3" s="7" t="str">
        <f t="shared" si="1"/>
        <v/>
      </c>
      <c r="L3" s="7" t="str">
        <f t="shared" si="2"/>
        <v/>
      </c>
    </row>
    <row r="4" spans="1:12" x14ac:dyDescent="0.2">
      <c r="A4" s="2" t="s">
        <v>88</v>
      </c>
      <c r="B4" s="4" t="str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>452.6481</v>
      </c>
      <c r="D4" s="4" t="str">
        <f t="shared" si="0"/>
        <v/>
      </c>
      <c r="E4" s="7"/>
      <c r="F4" s="7"/>
      <c r="G4" s="7"/>
      <c r="H4" s="7" t="str">
        <f t="shared" si="3"/>
        <v/>
      </c>
      <c r="I4" s="7">
        <f t="shared" si="4"/>
        <v>-0.20499653825604669</v>
      </c>
      <c r="J4" s="7" t="str">
        <f t="shared" si="5"/>
        <v/>
      </c>
      <c r="K4" s="7" t="str">
        <f t="shared" si="1"/>
        <v/>
      </c>
      <c r="L4" s="7" t="str">
        <f t="shared" si="2"/>
        <v/>
      </c>
    </row>
    <row r="5" spans="1:12" x14ac:dyDescent="0.2">
      <c r="A5" s="2" t="s">
        <v>89</v>
      </c>
      <c r="B5" s="4" t="str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>670.9652000000001</v>
      </c>
      <c r="D5" s="4" t="str">
        <f t="shared" si="0"/>
        <v/>
      </c>
      <c r="E5" s="7"/>
      <c r="F5" s="7"/>
      <c r="G5" s="7"/>
      <c r="H5" s="7" t="str">
        <f t="shared" si="3"/>
        <v/>
      </c>
      <c r="I5" s="7">
        <f t="shared" si="4"/>
        <v>0.48231087239734372</v>
      </c>
      <c r="J5" s="7" t="str">
        <f t="shared" si="5"/>
        <v/>
      </c>
      <c r="K5" s="7" t="str">
        <f t="shared" si="1"/>
        <v/>
      </c>
      <c r="L5" s="7" t="str">
        <f t="shared" si="2"/>
        <v/>
      </c>
    </row>
    <row r="6" spans="1:12" x14ac:dyDescent="0.2">
      <c r="A6" s="2" t="s">
        <v>90</v>
      </c>
      <c r="B6" s="4" t="str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>692.7328</v>
      </c>
      <c r="D6" s="4" t="str">
        <f t="shared" si="0"/>
        <v/>
      </c>
      <c r="E6" s="7" t="str">
        <f t="shared" ref="E6:E37" si="6">IF(OR(B6="",B2=""),"",B6/B2-1)</f>
        <v/>
      </c>
      <c r="F6" s="7">
        <f t="shared" ref="F6:F37" si="7">IF(OR(C6="",C2=""),"",C6/C2-1)</f>
        <v>1.3119962459791457</v>
      </c>
      <c r="G6" s="7" t="str">
        <f t="shared" ref="G6:G37" si="8">IF(OR(D6="",D2=""),"",D6/D2-1)</f>
        <v/>
      </c>
      <c r="H6" s="7" t="str">
        <f t="shared" si="3"/>
        <v/>
      </c>
      <c r="I6" s="7">
        <f t="shared" si="4"/>
        <v>3.2442219059945154E-2</v>
      </c>
      <c r="J6" s="7" t="str">
        <f t="shared" si="5"/>
        <v/>
      </c>
      <c r="K6" s="7" t="str">
        <f t="shared" si="1"/>
        <v/>
      </c>
      <c r="L6" s="7" t="str">
        <f t="shared" si="2"/>
        <v/>
      </c>
    </row>
    <row r="7" spans="1:12" x14ac:dyDescent="0.2">
      <c r="A7" s="2" t="s">
        <v>91</v>
      </c>
      <c r="B7" s="4" t="str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>1030.0225999999998</v>
      </c>
      <c r="D7" s="4" t="str">
        <f t="shared" si="0"/>
        <v/>
      </c>
      <c r="E7" s="7" t="str">
        <f t="shared" si="6"/>
        <v/>
      </c>
      <c r="F7" s="7">
        <f t="shared" si="7"/>
        <v>0.80906875048079763</v>
      </c>
      <c r="G7" s="7" t="str">
        <f t="shared" si="8"/>
        <v/>
      </c>
      <c r="H7" s="7" t="str">
        <f t="shared" si="3"/>
        <v/>
      </c>
      <c r="I7" s="7">
        <f t="shared" si="4"/>
        <v>0.48689740113359692</v>
      </c>
      <c r="J7" s="7" t="str">
        <f t="shared" si="5"/>
        <v/>
      </c>
      <c r="K7" s="7" t="str">
        <f t="shared" si="1"/>
        <v/>
      </c>
      <c r="L7" s="7" t="str">
        <f t="shared" si="2"/>
        <v/>
      </c>
    </row>
    <row r="8" spans="1:12" x14ac:dyDescent="0.2">
      <c r="A8" s="2" t="s">
        <v>92</v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>1266.69</v>
      </c>
      <c r="C8" s="4">
        <f>IF(SUMIFS('Monthly BSE Equity Cash'!$G:$G,'Monthly BSE Equity Cash'!$C:$C,$A8)=0,"",SUMIFS('Monthly BSE Equity Cash'!$G:$G,'Monthly BSE Equity Cash'!$C:$C,$A8))</f>
        <v>964.77600000000007</v>
      </c>
      <c r="D8" s="4">
        <f t="shared" si="0"/>
        <v>2231.4660000000003</v>
      </c>
      <c r="E8" s="7" t="str">
        <f t="shared" si="6"/>
        <v/>
      </c>
      <c r="F8" s="7">
        <f t="shared" si="7"/>
        <v>1.1314040642167726</v>
      </c>
      <c r="G8" s="7" t="str">
        <f t="shared" si="8"/>
        <v/>
      </c>
      <c r="H8" s="7" t="str">
        <f t="shared" si="3"/>
        <v/>
      </c>
      <c r="I8" s="7">
        <f t="shared" si="4"/>
        <v>-6.3344823696101171E-2</v>
      </c>
      <c r="J8" s="7" t="str">
        <f t="shared" si="5"/>
        <v/>
      </c>
      <c r="K8" s="7">
        <f t="shared" si="1"/>
        <v>0.56764924941719919</v>
      </c>
      <c r="L8" s="7">
        <f t="shared" si="2"/>
        <v>0.4323507505828007</v>
      </c>
    </row>
    <row r="9" spans="1:12" x14ac:dyDescent="0.2">
      <c r="A9" s="2" t="s">
        <v>93</v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>1650.32</v>
      </c>
      <c r="C9" s="4">
        <f>IF(SUMIFS('Monthly BSE Equity Cash'!$G:$G,'Monthly BSE Equity Cash'!$C:$C,$A9)=0,"",SUMIFS('Monthly BSE Equity Cash'!$G:$G,'Monthly BSE Equity Cash'!$C:$C,$A9))</f>
        <v>1432.1419000000001</v>
      </c>
      <c r="D9" s="4">
        <f t="shared" si="0"/>
        <v>3082.4619000000002</v>
      </c>
      <c r="E9" s="7" t="str">
        <f t="shared" si="6"/>
        <v/>
      </c>
      <c r="F9" s="7">
        <f t="shared" si="7"/>
        <v>1.134450341090715</v>
      </c>
      <c r="G9" s="7" t="str">
        <f t="shared" si="8"/>
        <v/>
      </c>
      <c r="H9" s="7">
        <f t="shared" si="3"/>
        <v>0.30286021046980705</v>
      </c>
      <c r="I9" s="7">
        <f t="shared" si="4"/>
        <v>0.48442944268928745</v>
      </c>
      <c r="J9" s="7">
        <f t="shared" si="5"/>
        <v>0.3813618043026421</v>
      </c>
      <c r="K9" s="7">
        <f t="shared" si="1"/>
        <v>0.53539023466924274</v>
      </c>
      <c r="L9" s="7">
        <f t="shared" si="2"/>
        <v>0.46460976533075721</v>
      </c>
    </row>
    <row r="10" spans="1:12" x14ac:dyDescent="0.2">
      <c r="A10" s="2" t="s">
        <v>94</v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>2371.3199999999997</v>
      </c>
      <c r="C10" s="4">
        <f>IF(SUMIFS('Monthly BSE Equity Cash'!$G:$G,'Monthly BSE Equity Cash'!$C:$C,$A10)=0,"",SUMIFS('Monthly BSE Equity Cash'!$G:$G,'Monthly BSE Equity Cash'!$C:$C,$A10))</f>
        <v>1852.6767</v>
      </c>
      <c r="D10" s="4">
        <f t="shared" si="0"/>
        <v>4223.9966999999997</v>
      </c>
      <c r="E10" s="7" t="str">
        <f t="shared" si="6"/>
        <v/>
      </c>
      <c r="F10" s="7">
        <f t="shared" si="7"/>
        <v>1.6744463377510059</v>
      </c>
      <c r="G10" s="7" t="str">
        <f t="shared" si="8"/>
        <v/>
      </c>
      <c r="H10" s="7">
        <f t="shared" si="3"/>
        <v>0.43688496776382757</v>
      </c>
      <c r="I10" s="7">
        <f t="shared" si="4"/>
        <v>0.29364045560010488</v>
      </c>
      <c r="J10" s="7">
        <f t="shared" si="5"/>
        <v>0.37033216858252138</v>
      </c>
      <c r="K10" s="7">
        <f t="shared" si="1"/>
        <v>0.56139248404242359</v>
      </c>
      <c r="L10" s="7">
        <f t="shared" si="2"/>
        <v>0.43860751595757641</v>
      </c>
    </row>
    <row r="11" spans="1:12" x14ac:dyDescent="0.2">
      <c r="A11" s="2" t="s">
        <v>95</v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>3102.17</v>
      </c>
      <c r="C11" s="4">
        <f>IF(SUMIFS('Monthly BSE Equity Cash'!$G:$G,'Monthly BSE Equity Cash'!$C:$C,$A11)=0,"",SUMIFS('Monthly BSE Equity Cash'!$G:$G,'Monthly BSE Equity Cash'!$C:$C,$A11))</f>
        <v>2614.6909000000001</v>
      </c>
      <c r="D11" s="4">
        <f t="shared" si="0"/>
        <v>5716.8608999999997</v>
      </c>
      <c r="E11" s="7" t="str">
        <f t="shared" si="6"/>
        <v/>
      </c>
      <c r="F11" s="7">
        <f t="shared" si="7"/>
        <v>1.5384791557000792</v>
      </c>
      <c r="G11" s="7" t="str">
        <f t="shared" si="8"/>
        <v/>
      </c>
      <c r="H11" s="7">
        <f t="shared" si="3"/>
        <v>0.30820386957475177</v>
      </c>
      <c r="I11" s="7">
        <f t="shared" si="4"/>
        <v>0.41130446558754707</v>
      </c>
      <c r="J11" s="7">
        <f t="shared" si="5"/>
        <v>0.3534245658856694</v>
      </c>
      <c r="K11" s="7">
        <f t="shared" si="1"/>
        <v>0.54263520737403292</v>
      </c>
      <c r="L11" s="7">
        <f t="shared" si="2"/>
        <v>0.45736479262596719</v>
      </c>
    </row>
    <row r="12" spans="1:12" x14ac:dyDescent="0.2">
      <c r="A12" s="2" t="s">
        <v>96</v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>2556.39</v>
      </c>
      <c r="C12" s="4">
        <f>IF(SUMIFS('Monthly BSE Equity Cash'!$G:$G,'Monthly BSE Equity Cash'!$C:$C,$A12)=0,"",SUMIFS('Monthly BSE Equity Cash'!$G:$G,'Monthly BSE Equity Cash'!$C:$C,$A12))</f>
        <v>1887.7040000000002</v>
      </c>
      <c r="D12" s="4">
        <f t="shared" si="0"/>
        <v>4444.0940000000001</v>
      </c>
      <c r="E12" s="7">
        <f t="shared" si="6"/>
        <v>1.0181654548468844</v>
      </c>
      <c r="F12" s="7">
        <f t="shared" si="7"/>
        <v>0.95662412829506538</v>
      </c>
      <c r="G12" s="7">
        <f t="shared" si="8"/>
        <v>0.99155801612034389</v>
      </c>
      <c r="H12" s="7">
        <f t="shared" si="3"/>
        <v>-0.17593491007907369</v>
      </c>
      <c r="I12" s="7">
        <f t="shared" si="4"/>
        <v>-0.27803932770791373</v>
      </c>
      <c r="J12" s="7">
        <f t="shared" si="5"/>
        <v>-0.22263387587408323</v>
      </c>
      <c r="K12" s="7">
        <f t="shared" si="1"/>
        <v>0.57523310713049725</v>
      </c>
      <c r="L12" s="7">
        <f t="shared" si="2"/>
        <v>0.42476689286950281</v>
      </c>
    </row>
    <row r="13" spans="1:12" x14ac:dyDescent="0.2">
      <c r="A13" s="2" t="s">
        <v>97</v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>3778.83</v>
      </c>
      <c r="C13" s="4">
        <f>IF(SUMIFS('Monthly BSE Equity Cash'!$G:$G,'Monthly BSE Equity Cash'!$C:$C,$A13)=0,"",SUMIFS('Monthly BSE Equity Cash'!$G:$G,'Monthly BSE Equity Cash'!$C:$C,$A13))</f>
        <v>2873.4186</v>
      </c>
      <c r="D13" s="4">
        <f t="shared" si="0"/>
        <v>6652.2485999999999</v>
      </c>
      <c r="E13" s="7">
        <f t="shared" si="6"/>
        <v>1.2897559261234184</v>
      </c>
      <c r="F13" s="7">
        <f t="shared" si="7"/>
        <v>1.0063784182279703</v>
      </c>
      <c r="G13" s="7">
        <f t="shared" si="8"/>
        <v>1.1580959686800991</v>
      </c>
      <c r="H13" s="7">
        <f t="shared" si="3"/>
        <v>0.4781899475432152</v>
      </c>
      <c r="I13" s="7">
        <f t="shared" si="4"/>
        <v>0.52217646410666063</v>
      </c>
      <c r="J13" s="7">
        <f t="shared" si="5"/>
        <v>0.49687396351202295</v>
      </c>
      <c r="K13" s="7">
        <f t="shared" si="1"/>
        <v>0.5680530339771126</v>
      </c>
      <c r="L13" s="7">
        <f t="shared" si="2"/>
        <v>0.43194696602288735</v>
      </c>
    </row>
    <row r="14" spans="1:12" x14ac:dyDescent="0.2">
      <c r="A14" s="2" t="s">
        <v>98</v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>3610</v>
      </c>
      <c r="C14" s="4">
        <f>IF(SUMIFS('Monthly BSE Equity Cash'!$G:$G,'Monthly BSE Equity Cash'!$C:$C,$A14)=0,"",SUMIFS('Monthly BSE Equity Cash'!$G:$G,'Monthly BSE Equity Cash'!$C:$C,$A14))</f>
        <v>2624.7435999999998</v>
      </c>
      <c r="D14" s="4">
        <f t="shared" si="0"/>
        <v>6234.7435999999998</v>
      </c>
      <c r="E14" s="7">
        <f t="shared" si="6"/>
        <v>0.52235885498372236</v>
      </c>
      <c r="F14" s="7">
        <f t="shared" si="7"/>
        <v>0.41673050673115264</v>
      </c>
      <c r="G14" s="7">
        <f t="shared" si="8"/>
        <v>0.47602946754196096</v>
      </c>
      <c r="H14" s="7">
        <f t="shared" si="3"/>
        <v>-4.4677850022361354E-2</v>
      </c>
      <c r="I14" s="7">
        <f t="shared" si="4"/>
        <v>-8.6543255479727299E-2</v>
      </c>
      <c r="J14" s="7">
        <f t="shared" si="5"/>
        <v>-6.276148489098865E-2</v>
      </c>
      <c r="K14" s="7">
        <f t="shared" si="1"/>
        <v>0.57901338557049886</v>
      </c>
      <c r="L14" s="7">
        <f t="shared" si="2"/>
        <v>0.42098661442950114</v>
      </c>
    </row>
    <row r="15" spans="1:12" x14ac:dyDescent="0.2">
      <c r="A15" s="2" t="s">
        <v>99</v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>3449.88</v>
      </c>
      <c r="C15" s="4">
        <f>IF(SUMIFS('Monthly BSE Equity Cash'!$G:$G,'Monthly BSE Equity Cash'!$C:$C,$A15)=0,"",SUMIFS('Monthly BSE Equity Cash'!$G:$G,'Monthly BSE Equity Cash'!$C:$C,$A15))</f>
        <v>2614.4599999999996</v>
      </c>
      <c r="D15" s="4">
        <f t="shared" si="0"/>
        <v>6064.34</v>
      </c>
      <c r="E15" s="7">
        <f t="shared" si="6"/>
        <v>0.11208605588990928</v>
      </c>
      <c r="F15" s="7">
        <f t="shared" si="7"/>
        <v>-8.8308717485663379E-5</v>
      </c>
      <c r="G15" s="7">
        <f t="shared" si="8"/>
        <v>6.0781450883298671E-2</v>
      </c>
      <c r="H15" s="7">
        <f t="shared" si="3"/>
        <v>-4.4354570637119117E-2</v>
      </c>
      <c r="I15" s="7">
        <f t="shared" si="4"/>
        <v>-3.9179445946644353E-3</v>
      </c>
      <c r="J15" s="7">
        <f t="shared" si="5"/>
        <v>-2.7331292340554203E-2</v>
      </c>
      <c r="K15" s="7">
        <f t="shared" si="1"/>
        <v>0.56887971320869213</v>
      </c>
      <c r="L15" s="7">
        <f t="shared" si="2"/>
        <v>0.43112028679130782</v>
      </c>
    </row>
    <row r="16" spans="1:12" x14ac:dyDescent="0.2">
      <c r="A16" s="2" t="s">
        <v>100</v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>1267.28</v>
      </c>
      <c r="C16" s="4">
        <f>IF(SUMIFS('Monthly BSE Equity Cash'!$G:$G,'Monthly BSE Equity Cash'!$C:$C,$A16)=0,"",SUMIFS('Monthly BSE Equity Cash'!$G:$G,'Monthly BSE Equity Cash'!$C:$C,$A16))</f>
        <v>811.95370000000003</v>
      </c>
      <c r="D16" s="4">
        <f t="shared" si="0"/>
        <v>2079.2336999999998</v>
      </c>
      <c r="E16" s="7">
        <f t="shared" si="6"/>
        <v>-0.50426969280900025</v>
      </c>
      <c r="F16" s="7">
        <f t="shared" si="7"/>
        <v>-0.56987234227400063</v>
      </c>
      <c r="G16" s="7">
        <f t="shared" si="8"/>
        <v>-0.53213552638625561</v>
      </c>
      <c r="H16" s="7">
        <f t="shared" si="3"/>
        <v>-0.63265968671374084</v>
      </c>
      <c r="I16" s="7">
        <f t="shared" si="4"/>
        <v>-0.68943732166489435</v>
      </c>
      <c r="J16" s="7">
        <f t="shared" si="5"/>
        <v>-0.65713767697721437</v>
      </c>
      <c r="K16" s="7">
        <f t="shared" si="1"/>
        <v>0.60949377648121039</v>
      </c>
      <c r="L16" s="7">
        <f t="shared" si="2"/>
        <v>0.39050622351878972</v>
      </c>
    </row>
    <row r="17" spans="1:12" x14ac:dyDescent="0.2">
      <c r="A17" s="2" t="s">
        <v>101</v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>919.68000000000006</v>
      </c>
      <c r="C17" s="4">
        <f>IF(SUMIFS('Monthly BSE Equity Cash'!$G:$G,'Monthly BSE Equity Cash'!$C:$C,$A17)=0,"",SUMIFS('Monthly BSE Equity Cash'!$G:$G,'Monthly BSE Equity Cash'!$C:$C,$A17))</f>
        <v>562.81240000000003</v>
      </c>
      <c r="D17" s="4">
        <f t="shared" si="0"/>
        <v>1482.4924000000001</v>
      </c>
      <c r="E17" s="7">
        <f t="shared" si="6"/>
        <v>-0.75662308174752502</v>
      </c>
      <c r="F17" s="7">
        <f t="shared" si="7"/>
        <v>-0.80413142728316722</v>
      </c>
      <c r="G17" s="7">
        <f t="shared" si="8"/>
        <v>-0.77714416746241266</v>
      </c>
      <c r="H17" s="7">
        <f t="shared" si="3"/>
        <v>-0.27428823937882707</v>
      </c>
      <c r="I17" s="7">
        <f t="shared" si="4"/>
        <v>-0.30684175711004213</v>
      </c>
      <c r="J17" s="7">
        <f t="shared" si="5"/>
        <v>-0.28700059065029571</v>
      </c>
      <c r="K17" s="7">
        <f t="shared" si="1"/>
        <v>0.62036068447973158</v>
      </c>
      <c r="L17" s="7">
        <f t="shared" si="2"/>
        <v>0.37963931552026842</v>
      </c>
    </row>
    <row r="18" spans="1:12" x14ac:dyDescent="0.2">
      <c r="A18" s="2" t="s">
        <v>102</v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>1319.2599999999998</v>
      </c>
      <c r="C18" s="4">
        <f>IF(SUMIFS('Monthly BSE Equity Cash'!$G:$G,'Monthly BSE Equity Cash'!$C:$C,$A18)=0,"",SUMIFS('Monthly BSE Equity Cash'!$G:$G,'Monthly BSE Equity Cash'!$C:$C,$A18))</f>
        <v>763.61500000000001</v>
      </c>
      <c r="D18" s="4">
        <f t="shared" si="0"/>
        <v>2082.875</v>
      </c>
      <c r="E18" s="7">
        <f t="shared" si="6"/>
        <v>-0.63455401662049871</v>
      </c>
      <c r="F18" s="7">
        <f t="shared" si="7"/>
        <v>-0.70907063074656129</v>
      </c>
      <c r="G18" s="7">
        <f t="shared" si="8"/>
        <v>-0.66592451372017925</v>
      </c>
      <c r="H18" s="7">
        <f t="shared" si="3"/>
        <v>0.43447720946416113</v>
      </c>
      <c r="I18" s="7">
        <f t="shared" si="4"/>
        <v>0.35678424995611313</v>
      </c>
      <c r="J18" s="7">
        <f t="shared" si="5"/>
        <v>0.40498190749578211</v>
      </c>
      <c r="K18" s="7">
        <f t="shared" si="1"/>
        <v>0.63338414451179248</v>
      </c>
      <c r="L18" s="7">
        <f t="shared" si="2"/>
        <v>0.36661585548820741</v>
      </c>
    </row>
    <row r="19" spans="1:12" x14ac:dyDescent="0.2">
      <c r="A19" s="2" t="s">
        <v>103</v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>1625.4499999999998</v>
      </c>
      <c r="C19" s="4">
        <f>IF(SUMIFS('Monthly BSE Equity Cash'!$G:$G,'Monthly BSE Equity Cash'!$C:$C,$A19)=0,"",SUMIFS('Monthly BSE Equity Cash'!$G:$G,'Monthly BSE Equity Cash'!$C:$C,$A19))</f>
        <v>934.59660000000008</v>
      </c>
      <c r="D19" s="4">
        <f t="shared" si="0"/>
        <v>2560.0465999999997</v>
      </c>
      <c r="E19" s="7">
        <f t="shared" si="6"/>
        <v>-0.52883868424408975</v>
      </c>
      <c r="F19" s="7">
        <f t="shared" si="7"/>
        <v>-0.642527864262601</v>
      </c>
      <c r="G19" s="7">
        <f t="shared" si="8"/>
        <v>-0.57785239613873896</v>
      </c>
      <c r="H19" s="7">
        <f t="shared" si="3"/>
        <v>0.23209223352485497</v>
      </c>
      <c r="I19" s="7">
        <f t="shared" si="4"/>
        <v>0.22391074035999825</v>
      </c>
      <c r="J19" s="7">
        <f t="shared" si="5"/>
        <v>0.2290927684090498</v>
      </c>
      <c r="K19" s="7">
        <f t="shared" si="1"/>
        <v>0.63492984854260071</v>
      </c>
      <c r="L19" s="7">
        <f t="shared" si="2"/>
        <v>0.36507015145739935</v>
      </c>
    </row>
    <row r="20" spans="1:12" x14ac:dyDescent="0.2">
      <c r="A20" s="2" t="s">
        <v>104</v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>1525.4</v>
      </c>
      <c r="C20" s="4">
        <f>IF(SUMIFS('Monthly BSE Equity Cash'!$G:$G,'Monthly BSE Equity Cash'!$C:$C,$A20)=0,"",SUMIFS('Monthly BSE Equity Cash'!$G:$G,'Monthly BSE Equity Cash'!$C:$C,$A20))</f>
        <v>803.32060000000001</v>
      </c>
      <c r="D20" s="4">
        <f t="shared" si="0"/>
        <v>2328.7206000000001</v>
      </c>
      <c r="E20" s="7">
        <f t="shared" si="6"/>
        <v>0.20368032321191865</v>
      </c>
      <c r="F20" s="7">
        <f t="shared" si="7"/>
        <v>-1.0632502813891942E-2</v>
      </c>
      <c r="G20" s="7">
        <f t="shared" si="8"/>
        <v>0.11998983086894</v>
      </c>
      <c r="H20" s="7">
        <f t="shared" si="3"/>
        <v>-6.1552185548617189E-2</v>
      </c>
      <c r="I20" s="7">
        <f t="shared" si="4"/>
        <v>-0.14046274082315302</v>
      </c>
      <c r="J20" s="7">
        <f t="shared" si="5"/>
        <v>-9.036007391427936E-2</v>
      </c>
      <c r="K20" s="7">
        <f t="shared" si="1"/>
        <v>0.65503779199617163</v>
      </c>
      <c r="L20" s="7">
        <f t="shared" si="2"/>
        <v>0.34496220800382837</v>
      </c>
    </row>
    <row r="21" spans="1:12" x14ac:dyDescent="0.2">
      <c r="A21" s="2" t="s">
        <v>105</v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>1440.1</v>
      </c>
      <c r="C21" s="4">
        <f>IF(SUMIFS('Monthly BSE Equity Cash'!$G:$G,'Monthly BSE Equity Cash'!$C:$C,$A21)=0,"",SUMIFS('Monthly BSE Equity Cash'!$G:$G,'Monthly BSE Equity Cash'!$C:$C,$A21))</f>
        <v>749.1336</v>
      </c>
      <c r="D21" s="4">
        <f t="shared" si="0"/>
        <v>2189.2336</v>
      </c>
      <c r="E21" s="7">
        <f t="shared" si="6"/>
        <v>0.56587073764787732</v>
      </c>
      <c r="F21" s="7">
        <f t="shared" si="7"/>
        <v>0.33105382894904234</v>
      </c>
      <c r="G21" s="7">
        <f t="shared" si="8"/>
        <v>0.47672500715686628</v>
      </c>
      <c r="H21" s="7">
        <f t="shared" si="3"/>
        <v>-5.5919758751802884E-2</v>
      </c>
      <c r="I21" s="7">
        <f t="shared" si="4"/>
        <v>-6.7453766279614857E-2</v>
      </c>
      <c r="J21" s="7">
        <f t="shared" si="5"/>
        <v>-5.9898555455729641E-2</v>
      </c>
      <c r="K21" s="7">
        <f t="shared" si="1"/>
        <v>0.65781011217806995</v>
      </c>
      <c r="L21" s="7">
        <f t="shared" si="2"/>
        <v>0.34218988782192999</v>
      </c>
    </row>
    <row r="22" spans="1:12" x14ac:dyDescent="0.2">
      <c r="A22" s="2" t="s">
        <v>106</v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>1652.27</v>
      </c>
      <c r="C22" s="4">
        <f>IF(SUMIFS('Monthly BSE Equity Cash'!$G:$G,'Monthly BSE Equity Cash'!$C:$C,$A22)=0,"",SUMIFS('Monthly BSE Equity Cash'!$G:$G,'Monthly BSE Equity Cash'!$C:$C,$A22))</f>
        <v>842.03890000000001</v>
      </c>
      <c r="D22" s="4">
        <f t="shared" si="0"/>
        <v>2494.3089</v>
      </c>
      <c r="E22" s="7">
        <f t="shared" si="6"/>
        <v>0.25242181222806748</v>
      </c>
      <c r="F22" s="7">
        <f t="shared" si="7"/>
        <v>0.10270083746390535</v>
      </c>
      <c r="G22" s="7">
        <f t="shared" si="8"/>
        <v>0.19753172898037574</v>
      </c>
      <c r="H22" s="7">
        <f t="shared" si="3"/>
        <v>0.14733004652454706</v>
      </c>
      <c r="I22" s="7">
        <f t="shared" si="4"/>
        <v>0.12401699776915631</v>
      </c>
      <c r="J22" s="7">
        <f t="shared" si="5"/>
        <v>0.13935255698615268</v>
      </c>
      <c r="K22" s="7">
        <f t="shared" si="1"/>
        <v>0.66241595016559496</v>
      </c>
      <c r="L22" s="7">
        <f t="shared" si="2"/>
        <v>0.33758404983440504</v>
      </c>
    </row>
    <row r="23" spans="1:12" x14ac:dyDescent="0.2">
      <c r="A23" s="2" t="s">
        <v>107</v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>1562.1100000000001</v>
      </c>
      <c r="C23" s="4">
        <f>IF(SUMIFS('Monthly BSE Equity Cash'!$G:$G,'Monthly BSE Equity Cash'!$C:$C,$A23)=0,"",SUMIFS('Monthly BSE Equity Cash'!$G:$G,'Monthly BSE Equity Cash'!$C:$C,$A23))</f>
        <v>746.23820000000001</v>
      </c>
      <c r="D23" s="4">
        <f t="shared" si="0"/>
        <v>2308.3482000000004</v>
      </c>
      <c r="E23" s="7">
        <f t="shared" si="6"/>
        <v>-3.8967670491248385E-2</v>
      </c>
      <c r="F23" s="7">
        <f t="shared" si="7"/>
        <v>-0.20153978732642519</v>
      </c>
      <c r="G23" s="7">
        <f t="shared" si="8"/>
        <v>-9.8317897807016275E-2</v>
      </c>
      <c r="H23" s="7">
        <f t="shared" si="3"/>
        <v>-5.4567352793429613E-2</v>
      </c>
      <c r="I23" s="7">
        <f t="shared" si="4"/>
        <v>-0.11377229721809767</v>
      </c>
      <c r="J23" s="7">
        <f t="shared" si="5"/>
        <v>-7.4553997702529795E-2</v>
      </c>
      <c r="K23" s="7">
        <f t="shared" si="1"/>
        <v>0.67672199540779843</v>
      </c>
      <c r="L23" s="7">
        <f t="shared" si="2"/>
        <v>0.32327800459220141</v>
      </c>
    </row>
    <row r="24" spans="1:12" x14ac:dyDescent="0.2">
      <c r="A24" s="2" t="s">
        <v>108</v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>1652.4699999999998</v>
      </c>
      <c r="C24" s="4">
        <f>IF(SUMIFS('Monthly BSE Equity Cash'!$G:$G,'Monthly BSE Equity Cash'!$C:$C,$A24)=0,"",SUMIFS('Monthly BSE Equity Cash'!$G:$G,'Monthly BSE Equity Cash'!$C:$C,$A24))</f>
        <v>682.65969999999993</v>
      </c>
      <c r="D24" s="4">
        <f t="shared" si="0"/>
        <v>2335.1296999999995</v>
      </c>
      <c r="E24" s="7">
        <f t="shared" si="6"/>
        <v>8.3302740264848296E-2</v>
      </c>
      <c r="F24" s="7">
        <f t="shared" si="7"/>
        <v>-0.15020267126225828</v>
      </c>
      <c r="G24" s="7">
        <f t="shared" si="8"/>
        <v>2.7521979236149186E-3</v>
      </c>
      <c r="H24" s="7">
        <f t="shared" si="3"/>
        <v>5.7844838071582361E-2</v>
      </c>
      <c r="I24" s="7">
        <f t="shared" si="4"/>
        <v>-8.5198667128002947E-2</v>
      </c>
      <c r="J24" s="7">
        <f t="shared" si="5"/>
        <v>1.1602019140786179E-2</v>
      </c>
      <c r="K24" s="7">
        <f t="shared" si="1"/>
        <v>0.70765662395540607</v>
      </c>
      <c r="L24" s="7">
        <f t="shared" si="2"/>
        <v>0.29234337604459404</v>
      </c>
    </row>
    <row r="25" spans="1:12" x14ac:dyDescent="0.2">
      <c r="A25" s="2" t="s">
        <v>109</v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>2675.7</v>
      </c>
      <c r="C25" s="4">
        <f>IF(SUMIFS('Monthly BSE Equity Cash'!$G:$G,'Monthly BSE Equity Cash'!$C:$C,$A25)=0,"",SUMIFS('Monthly BSE Equity Cash'!$G:$G,'Monthly BSE Equity Cash'!$C:$C,$A25))</f>
        <v>1140.0776000000001</v>
      </c>
      <c r="D25" s="4">
        <f t="shared" si="0"/>
        <v>3815.7775999999999</v>
      </c>
      <c r="E25" s="7">
        <f t="shared" si="6"/>
        <v>0.85799597250190951</v>
      </c>
      <c r="F25" s="7">
        <f t="shared" si="7"/>
        <v>0.52186152109583661</v>
      </c>
      <c r="G25" s="7">
        <f t="shared" si="8"/>
        <v>0.7429741622821795</v>
      </c>
      <c r="H25" s="7">
        <f t="shared" si="3"/>
        <v>0.61921245166326777</v>
      </c>
      <c r="I25" s="7">
        <f t="shared" si="4"/>
        <v>0.67005258989215299</v>
      </c>
      <c r="J25" s="7">
        <f t="shared" si="5"/>
        <v>0.63407522931167404</v>
      </c>
      <c r="K25" s="7">
        <f t="shared" si="1"/>
        <v>0.70122011303803444</v>
      </c>
      <c r="L25" s="7">
        <f t="shared" si="2"/>
        <v>0.2987798869619655</v>
      </c>
    </row>
    <row r="26" spans="1:12" x14ac:dyDescent="0.2">
      <c r="A26" s="2" t="s">
        <v>110</v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>3188.54</v>
      </c>
      <c r="C26" s="4">
        <f>IF(SUMIFS('Monthly BSE Equity Cash'!$G:$G,'Monthly BSE Equity Cash'!$C:$C,$A26)=0,"",SUMIFS('Monthly BSE Equity Cash'!$G:$G,'Monthly BSE Equity Cash'!$C:$C,$A26))</f>
        <v>1524.7526</v>
      </c>
      <c r="D26" s="4">
        <f t="shared" si="0"/>
        <v>4713.2925999999998</v>
      </c>
      <c r="E26" s="7">
        <f t="shared" si="6"/>
        <v>0.92979355674314723</v>
      </c>
      <c r="F26" s="7">
        <f t="shared" si="7"/>
        <v>0.81078641378682148</v>
      </c>
      <c r="G26" s="7">
        <f t="shared" si="8"/>
        <v>0.88961864346472885</v>
      </c>
      <c r="H26" s="7">
        <f t="shared" si="3"/>
        <v>0.19166573233172635</v>
      </c>
      <c r="I26" s="7">
        <f t="shared" si="4"/>
        <v>0.33741124288381763</v>
      </c>
      <c r="J26" s="7">
        <f t="shared" si="5"/>
        <v>0.23521155949969419</v>
      </c>
      <c r="K26" s="7">
        <f t="shared" si="1"/>
        <v>0.67649948148773964</v>
      </c>
      <c r="L26" s="7">
        <f t="shared" si="2"/>
        <v>0.32350051851226042</v>
      </c>
    </row>
    <row r="27" spans="1:12" x14ac:dyDescent="0.2">
      <c r="A27" s="2" t="s">
        <v>111</v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>3478.64</v>
      </c>
      <c r="C27" s="4">
        <f>IF(SUMIFS('Monthly BSE Equity Cash'!$G:$G,'Monthly BSE Equity Cash'!$C:$C,$A27)=0,"",SUMIFS('Monthly BSE Equity Cash'!$G:$G,'Monthly BSE Equity Cash'!$C:$C,$A27))</f>
        <v>1678.6939</v>
      </c>
      <c r="D27" s="4">
        <f t="shared" si="0"/>
        <v>5157.3338999999996</v>
      </c>
      <c r="E27" s="7">
        <f t="shared" si="6"/>
        <v>1.2268854306034784</v>
      </c>
      <c r="F27" s="7">
        <f t="shared" si="7"/>
        <v>1.2495416342931787</v>
      </c>
      <c r="G27" s="7">
        <f t="shared" si="8"/>
        <v>1.2342096829239186</v>
      </c>
      <c r="H27" s="7">
        <f t="shared" si="3"/>
        <v>9.0982079572468955E-2</v>
      </c>
      <c r="I27" s="7">
        <f t="shared" si="4"/>
        <v>0.10096149368756602</v>
      </c>
      <c r="J27" s="7">
        <f t="shared" si="5"/>
        <v>9.4210425213151483E-2</v>
      </c>
      <c r="K27" s="7">
        <f t="shared" si="1"/>
        <v>0.67450354532988455</v>
      </c>
      <c r="L27" s="7">
        <f t="shared" si="2"/>
        <v>0.32549645467011551</v>
      </c>
    </row>
    <row r="28" spans="1:12" x14ac:dyDescent="0.2">
      <c r="A28" s="2" t="s">
        <v>112</v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>2847.69</v>
      </c>
      <c r="C28" s="4">
        <f>IF(SUMIFS('Monthly BSE Equity Cash'!$G:$G,'Monthly BSE Equity Cash'!$C:$C,$A28)=0,"",SUMIFS('Monthly BSE Equity Cash'!$G:$G,'Monthly BSE Equity Cash'!$C:$C,$A28))</f>
        <v>1277.9112</v>
      </c>
      <c r="D28" s="4">
        <f t="shared" si="0"/>
        <v>4125.6012000000001</v>
      </c>
      <c r="E28" s="7">
        <f t="shared" si="6"/>
        <v>0.7232930098579704</v>
      </c>
      <c r="F28" s="7">
        <f t="shared" si="7"/>
        <v>0.87195933786628999</v>
      </c>
      <c r="G28" s="7">
        <f t="shared" si="8"/>
        <v>0.76675462609207568</v>
      </c>
      <c r="H28" s="7">
        <f t="shared" si="3"/>
        <v>-0.18137835475933117</v>
      </c>
      <c r="I28" s="7">
        <f t="shared" si="4"/>
        <v>-0.23874674233342952</v>
      </c>
      <c r="J28" s="7">
        <f t="shared" si="5"/>
        <v>-0.20005156152484127</v>
      </c>
      <c r="K28" s="7">
        <f t="shared" si="1"/>
        <v>0.69024849032911861</v>
      </c>
      <c r="L28" s="7">
        <f t="shared" si="2"/>
        <v>0.30975150967088144</v>
      </c>
    </row>
    <row r="29" spans="1:12" x14ac:dyDescent="0.2">
      <c r="A29" s="2" t="s">
        <v>113</v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>2692</v>
      </c>
      <c r="C29" s="4">
        <f>IF(SUMIFS('Monthly BSE Equity Cash'!$G:$G,'Monthly BSE Equity Cash'!$C:$C,$A29)=0,"",SUMIFS('Monthly BSE Equity Cash'!$G:$G,'Monthly BSE Equity Cash'!$C:$C,$A29))</f>
        <v>1172.4629</v>
      </c>
      <c r="D29" s="4">
        <f t="shared" si="0"/>
        <v>3864.4629</v>
      </c>
      <c r="E29" s="7">
        <f t="shared" si="6"/>
        <v>6.0918638113391932E-3</v>
      </c>
      <c r="F29" s="7">
        <f t="shared" si="7"/>
        <v>2.8406224278066716E-2</v>
      </c>
      <c r="G29" s="7">
        <f t="shared" si="8"/>
        <v>1.2758945909216557E-2</v>
      </c>
      <c r="H29" s="7">
        <f t="shared" si="3"/>
        <v>-5.4672383581078066E-2</v>
      </c>
      <c r="I29" s="7">
        <f t="shared" si="4"/>
        <v>-8.2516140401617921E-2</v>
      </c>
      <c r="J29" s="7">
        <f t="shared" si="5"/>
        <v>-6.3297029291149109E-2</v>
      </c>
      <c r="K29" s="7">
        <f t="shared" si="1"/>
        <v>0.69660391874896765</v>
      </c>
      <c r="L29" s="7">
        <f t="shared" si="2"/>
        <v>0.30339608125103235</v>
      </c>
    </row>
    <row r="30" spans="1:12" x14ac:dyDescent="0.2">
      <c r="A30" s="2" t="s">
        <v>114</v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>2733.26</v>
      </c>
      <c r="C30" s="4">
        <f>IF(SUMIFS('Monthly BSE Equity Cash'!$G:$G,'Monthly BSE Equity Cash'!$C:$C,$A30)=0,"",SUMIFS('Monthly BSE Equity Cash'!$G:$G,'Monthly BSE Equity Cash'!$C:$C,$A30))</f>
        <v>1205.7620999999999</v>
      </c>
      <c r="D30" s="4">
        <f t="shared" si="0"/>
        <v>3939.0221000000001</v>
      </c>
      <c r="E30" s="7">
        <f t="shared" si="6"/>
        <v>-0.14278635362893355</v>
      </c>
      <c r="F30" s="7">
        <f t="shared" si="7"/>
        <v>-0.20920803807778399</v>
      </c>
      <c r="G30" s="7">
        <f t="shared" si="8"/>
        <v>-0.1642738029885944</v>
      </c>
      <c r="H30" s="7">
        <f t="shared" si="3"/>
        <v>1.5326894502228905E-2</v>
      </c>
      <c r="I30" s="7">
        <f t="shared" si="4"/>
        <v>2.8401069236391185E-2</v>
      </c>
      <c r="J30" s="7">
        <f t="shared" si="5"/>
        <v>1.9293547882164974E-2</v>
      </c>
      <c r="K30" s="7">
        <f t="shared" si="1"/>
        <v>0.69389303502511457</v>
      </c>
      <c r="L30" s="7">
        <f t="shared" si="2"/>
        <v>0.30610696497488549</v>
      </c>
    </row>
    <row r="31" spans="1:12" x14ac:dyDescent="0.2">
      <c r="A31" s="2" t="s">
        <v>115</v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>3127.76</v>
      </c>
      <c r="C31" s="4">
        <f>IF(SUMIFS('Monthly BSE Equity Cash'!$G:$G,'Monthly BSE Equity Cash'!$C:$C,$A31)=0,"",SUMIFS('Monthly BSE Equity Cash'!$G:$G,'Monthly BSE Equity Cash'!$C:$C,$A31))</f>
        <v>1531.0203000000001</v>
      </c>
      <c r="D31" s="4">
        <f t="shared" si="0"/>
        <v>4658.7803000000004</v>
      </c>
      <c r="E31" s="7">
        <f t="shared" si="6"/>
        <v>-0.10086700549640082</v>
      </c>
      <c r="F31" s="7">
        <f t="shared" si="7"/>
        <v>-8.7969343309104664E-2</v>
      </c>
      <c r="G31" s="7">
        <f t="shared" si="8"/>
        <v>-9.6668862180903092E-2</v>
      </c>
      <c r="H31" s="7">
        <f t="shared" si="3"/>
        <v>0.14433314064523683</v>
      </c>
      <c r="I31" s="7">
        <f t="shared" si="4"/>
        <v>0.26975321251182161</v>
      </c>
      <c r="J31" s="7">
        <f t="shared" si="5"/>
        <v>0.18272509819124916</v>
      </c>
      <c r="K31" s="7">
        <f t="shared" si="1"/>
        <v>0.67136885592136641</v>
      </c>
      <c r="L31" s="7">
        <f t="shared" si="2"/>
        <v>0.32863114407863364</v>
      </c>
    </row>
    <row r="32" spans="1:12" x14ac:dyDescent="0.2">
      <c r="A32" s="2" t="s">
        <v>116</v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>2809.17</v>
      </c>
      <c r="C32" s="4">
        <f>IF(SUMIFS('Monthly BSE Equity Cash'!$G:$G,'Monthly BSE Equity Cash'!$C:$C,$A32)=0,"",SUMIFS('Monthly BSE Equity Cash'!$G:$G,'Monthly BSE Equity Cash'!$C:$C,$A32))</f>
        <v>1396.4706000000001</v>
      </c>
      <c r="D32" s="4">
        <f t="shared" si="0"/>
        <v>4205.6406000000006</v>
      </c>
      <c r="E32" s="7">
        <f t="shared" si="6"/>
        <v>-1.352675326317121E-2</v>
      </c>
      <c r="F32" s="7">
        <f t="shared" si="7"/>
        <v>9.2775929970721149E-2</v>
      </c>
      <c r="G32" s="7">
        <f t="shared" si="8"/>
        <v>1.940066335059254E-2</v>
      </c>
      <c r="H32" s="7">
        <f t="shared" si="3"/>
        <v>-0.10185883827403641</v>
      </c>
      <c r="I32" s="7">
        <f t="shared" si="4"/>
        <v>-8.7882374910378425E-2</v>
      </c>
      <c r="J32" s="7">
        <f t="shared" si="5"/>
        <v>-9.7265737128664265E-2</v>
      </c>
      <c r="K32" s="7">
        <f t="shared" si="1"/>
        <v>0.66795293920265075</v>
      </c>
      <c r="L32" s="7">
        <f t="shared" si="2"/>
        <v>0.33204706079734914</v>
      </c>
    </row>
    <row r="33" spans="1:12" x14ac:dyDescent="0.2">
      <c r="A33" s="2" t="s">
        <v>117</v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>4141.32</v>
      </c>
      <c r="C33" s="4">
        <f>IF(SUMIFS('Monthly BSE Equity Cash'!$G:$G,'Monthly BSE Equity Cash'!$C:$C,$A33)=0,"",SUMIFS('Monthly BSE Equity Cash'!$G:$G,'Monthly BSE Equity Cash'!$C:$C,$A33))</f>
        <v>2191.2305999999999</v>
      </c>
      <c r="D33" s="4">
        <f t="shared" si="0"/>
        <v>6332.5505999999996</v>
      </c>
      <c r="E33" s="7">
        <f t="shared" si="6"/>
        <v>0.53838038632986618</v>
      </c>
      <c r="F33" s="7">
        <f t="shared" si="7"/>
        <v>0.86891252593152402</v>
      </c>
      <c r="G33" s="7">
        <f t="shared" si="8"/>
        <v>0.63866254221252827</v>
      </c>
      <c r="H33" s="7">
        <f t="shared" si="3"/>
        <v>0.47421480366086777</v>
      </c>
      <c r="I33" s="7">
        <f t="shared" si="4"/>
        <v>0.56912046698297813</v>
      </c>
      <c r="J33" s="7">
        <f t="shared" si="5"/>
        <v>0.50572795021999717</v>
      </c>
      <c r="K33" s="7">
        <f t="shared" si="1"/>
        <v>0.65397345581415489</v>
      </c>
      <c r="L33" s="7">
        <f t="shared" si="2"/>
        <v>0.34602654418584511</v>
      </c>
    </row>
    <row r="34" spans="1:12" x14ac:dyDescent="0.2">
      <c r="A34" s="2" t="s">
        <v>118</v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>3802.96</v>
      </c>
      <c r="C34" s="4">
        <f>IF(SUMIFS('Monthly BSE Equity Cash'!$G:$G,'Monthly BSE Equity Cash'!$C:$C,$A34)=0,"",SUMIFS('Monthly BSE Equity Cash'!$G:$G,'Monthly BSE Equity Cash'!$C:$C,$A34))</f>
        <v>1891.5249999999999</v>
      </c>
      <c r="D34" s="4">
        <f t="shared" ref="D34:D65" si="9">IF(OR(B34="",C34=""),"",B34+C34)</f>
        <v>5694.4849999999997</v>
      </c>
      <c r="E34" s="7">
        <f t="shared" si="6"/>
        <v>0.39136415855059514</v>
      </c>
      <c r="F34" s="7">
        <f t="shared" si="7"/>
        <v>0.56873814494583974</v>
      </c>
      <c r="G34" s="7">
        <f t="shared" si="8"/>
        <v>0.44565957119154009</v>
      </c>
      <c r="H34" s="7">
        <f t="shared" si="3"/>
        <v>-8.1703418233799785E-2</v>
      </c>
      <c r="I34" s="7">
        <f t="shared" si="4"/>
        <v>-0.13677501582900498</v>
      </c>
      <c r="J34" s="7">
        <f t="shared" si="5"/>
        <v>-0.10075965283246213</v>
      </c>
      <c r="K34" s="7">
        <f t="shared" ref="K34:K65" si="10">IF(D34="","",B34/D34)</f>
        <v>0.66783212178098639</v>
      </c>
      <c r="L34" s="7">
        <f t="shared" ref="L34:L65" si="11">IF(D34="","",C34/D34)</f>
        <v>0.33216787821901367</v>
      </c>
    </row>
    <row r="35" spans="1:12" x14ac:dyDescent="0.2">
      <c r="A35" s="2" t="s">
        <v>119</v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>4942.1099999999997</v>
      </c>
      <c r="C35" s="4">
        <f>IF(SUMIFS('Monthly BSE Equity Cash'!$G:$G,'Monthly BSE Equity Cash'!$C:$C,$A35)=0,"",SUMIFS('Monthly BSE Equity Cash'!$G:$G,'Monthly BSE Equity Cash'!$C:$C,$A35))</f>
        <v>2681.6208000000001</v>
      </c>
      <c r="D35" s="4">
        <f t="shared" si="9"/>
        <v>7623.7307999999994</v>
      </c>
      <c r="E35" s="7">
        <f t="shared" si="6"/>
        <v>0.58007967363224777</v>
      </c>
      <c r="F35" s="7">
        <f t="shared" si="7"/>
        <v>0.75152530635942583</v>
      </c>
      <c r="G35" s="7">
        <f t="shared" si="8"/>
        <v>0.63642204806266545</v>
      </c>
      <c r="H35" s="7">
        <f t="shared" ref="H35:H66" si="12">IF(OR(B35="",B34=""),"",B35/B34-1)</f>
        <v>0.2995429875675788</v>
      </c>
      <c r="I35" s="7">
        <f t="shared" ref="I35:I66" si="13">IF(OR(C35="",C34=""),"",C35/C34-1)</f>
        <v>0.41770307027398546</v>
      </c>
      <c r="J35" s="7">
        <f t="shared" ref="J35:J66" si="14">IF(OR(D35="",D34=""),"",D35/D34-1)</f>
        <v>0.33879197153034912</v>
      </c>
      <c r="K35" s="7">
        <f t="shared" si="10"/>
        <v>0.64825347715583037</v>
      </c>
      <c r="L35" s="7">
        <f t="shared" si="11"/>
        <v>0.35174652284416974</v>
      </c>
    </row>
    <row r="36" spans="1:12" x14ac:dyDescent="0.2">
      <c r="A36" s="2" t="s">
        <v>120</v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>5298.3099999999995</v>
      </c>
      <c r="C36" s="4">
        <f>IF(SUMIFS('Monthly BSE Equity Cash'!$G:$G,'Monthly BSE Equity Cash'!$C:$C,$A36)=0,"",SUMIFS('Monthly BSE Equity Cash'!$G:$G,'Monthly BSE Equity Cash'!$C:$C,$A36))</f>
        <v>2553.2038000000002</v>
      </c>
      <c r="D36" s="4">
        <f t="shared" si="9"/>
        <v>7851.5137999999997</v>
      </c>
      <c r="E36" s="7">
        <f t="shared" si="6"/>
        <v>0.8860766703332299</v>
      </c>
      <c r="F36" s="7">
        <f t="shared" si="7"/>
        <v>0.8283262103763589</v>
      </c>
      <c r="G36" s="7">
        <f t="shared" si="8"/>
        <v>0.86690079984485569</v>
      </c>
      <c r="H36" s="7">
        <f t="shared" si="12"/>
        <v>7.2074478309871681E-2</v>
      </c>
      <c r="I36" s="7">
        <f t="shared" si="13"/>
        <v>-4.7887829629006395E-2</v>
      </c>
      <c r="J36" s="7">
        <f t="shared" si="14"/>
        <v>2.9878153620009895E-2</v>
      </c>
      <c r="K36" s="7">
        <f t="shared" si="10"/>
        <v>0.674813817432251</v>
      </c>
      <c r="L36" s="7">
        <f t="shared" si="11"/>
        <v>0.32518618256774895</v>
      </c>
    </row>
    <row r="37" spans="1:12" x14ac:dyDescent="0.2">
      <c r="A37" s="2" t="s">
        <v>121</v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>3938.33</v>
      </c>
      <c r="C37" s="4">
        <f>IF(SUMIFS('Monthly BSE Equity Cash'!$G:$G,'Monthly BSE Equity Cash'!$C:$C,$A37)=0,"",SUMIFS('Monthly BSE Equity Cash'!$G:$G,'Monthly BSE Equity Cash'!$C:$C,$A37))</f>
        <v>1894.1089000000002</v>
      </c>
      <c r="D37" s="4">
        <f t="shared" si="9"/>
        <v>5832.4389000000001</v>
      </c>
      <c r="E37" s="7">
        <f t="shared" si="6"/>
        <v>-4.9015772748785325E-2</v>
      </c>
      <c r="F37" s="7">
        <f t="shared" si="7"/>
        <v>-0.13559581542901045</v>
      </c>
      <c r="G37" s="7">
        <f t="shared" si="8"/>
        <v>-7.8974765712886641E-2</v>
      </c>
      <c r="H37" s="7">
        <f t="shared" si="12"/>
        <v>-0.25668184760801083</v>
      </c>
      <c r="I37" s="7">
        <f t="shared" si="13"/>
        <v>-0.25814425781443695</v>
      </c>
      <c r="J37" s="7">
        <f t="shared" si="14"/>
        <v>-0.2571574032003866</v>
      </c>
      <c r="K37" s="7">
        <f t="shared" si="10"/>
        <v>0.6752458221208284</v>
      </c>
      <c r="L37" s="7">
        <f t="shared" si="11"/>
        <v>0.32475417787917166</v>
      </c>
    </row>
    <row r="38" spans="1:12" x14ac:dyDescent="0.2">
      <c r="A38" s="2" t="s">
        <v>122</v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>4983.5</v>
      </c>
      <c r="C38" s="4">
        <f>IF(SUMIFS('Monthly BSE Equity Cash'!$G:$G,'Monthly BSE Equity Cash'!$C:$C,$A38)=0,"",SUMIFS('Monthly BSE Equity Cash'!$G:$G,'Monthly BSE Equity Cash'!$C:$C,$A38))</f>
        <v>2569.7843000000003</v>
      </c>
      <c r="D38" s="4">
        <f t="shared" si="9"/>
        <v>7553.2843000000003</v>
      </c>
      <c r="E38" s="7">
        <f t="shared" ref="E38:E69" si="15">IF(OR(B38="",B34=""),"",B38/B34-1)</f>
        <v>0.31042661505774438</v>
      </c>
      <c r="F38" s="7">
        <f t="shared" ref="F38:F69" si="16">IF(OR(C38="",C34=""),"",C38/C34-1)</f>
        <v>0.35857802566712071</v>
      </c>
      <c r="G38" s="7">
        <f t="shared" ref="G38:G69" si="17">IF(OR(D38="",D34=""),"",D38/D34-1)</f>
        <v>0.32642096695311351</v>
      </c>
      <c r="H38" s="7">
        <f t="shared" si="12"/>
        <v>0.26538405872539883</v>
      </c>
      <c r="I38" s="7">
        <f t="shared" si="13"/>
        <v>0.35672468462610563</v>
      </c>
      <c r="J38" s="7">
        <f t="shared" si="14"/>
        <v>0.29504730859675199</v>
      </c>
      <c r="K38" s="7">
        <f t="shared" si="10"/>
        <v>0.65977921683684004</v>
      </c>
      <c r="L38" s="7">
        <f t="shared" si="11"/>
        <v>0.3402207831631599</v>
      </c>
    </row>
    <row r="39" spans="1:12" x14ac:dyDescent="0.2">
      <c r="A39" s="2" t="s">
        <v>123</v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>5232.71</v>
      </c>
      <c r="C39" s="4">
        <f>IF(SUMIFS('Monthly BSE Equity Cash'!$G:$G,'Monthly BSE Equity Cash'!$C:$C,$A39)=0,"",SUMIFS('Monthly BSE Equity Cash'!$G:$G,'Monthly BSE Equity Cash'!$C:$C,$A39))</f>
        <v>2544.7941000000001</v>
      </c>
      <c r="D39" s="4">
        <f t="shared" si="9"/>
        <v>7777.5041000000001</v>
      </c>
      <c r="E39" s="7">
        <f t="shared" si="15"/>
        <v>5.8800795611591017E-2</v>
      </c>
      <c r="F39" s="7">
        <f t="shared" si="16"/>
        <v>-5.1023880781354336E-2</v>
      </c>
      <c r="G39" s="7">
        <f t="shared" si="17"/>
        <v>2.0170347567886493E-2</v>
      </c>
      <c r="H39" s="7">
        <f t="shared" si="12"/>
        <v>5.0007023176482424E-2</v>
      </c>
      <c r="I39" s="7">
        <f t="shared" si="13"/>
        <v>-9.7246294173406467E-3</v>
      </c>
      <c r="J39" s="7">
        <f t="shared" si="14"/>
        <v>2.9685073551382057E-2</v>
      </c>
      <c r="K39" s="7">
        <f t="shared" si="10"/>
        <v>0.67280067393342813</v>
      </c>
      <c r="L39" s="7">
        <f t="shared" si="11"/>
        <v>0.32719932606657193</v>
      </c>
    </row>
    <row r="40" spans="1:12" x14ac:dyDescent="0.2">
      <c r="A40" s="2" t="s">
        <v>124</v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>5698</v>
      </c>
      <c r="C40" s="4">
        <f>IF(SUMIFS('Monthly BSE Equity Cash'!$G:$G,'Monthly BSE Equity Cash'!$C:$C,$A40)=0,"",SUMIFS('Monthly BSE Equity Cash'!$G:$G,'Monthly BSE Equity Cash'!$C:$C,$A40))</f>
        <v>2727.8181</v>
      </c>
      <c r="D40" s="4">
        <f t="shared" si="9"/>
        <v>8425.8181000000004</v>
      </c>
      <c r="E40" s="7">
        <f t="shared" si="15"/>
        <v>7.543726207035828E-2</v>
      </c>
      <c r="F40" s="7">
        <f t="shared" si="16"/>
        <v>6.8390271078242915E-2</v>
      </c>
      <c r="G40" s="7">
        <f t="shared" si="17"/>
        <v>7.3145677971043099E-2</v>
      </c>
      <c r="H40" s="7">
        <f t="shared" si="12"/>
        <v>8.891950824716055E-2</v>
      </c>
      <c r="I40" s="7">
        <f t="shared" si="13"/>
        <v>7.192094637440416E-2</v>
      </c>
      <c r="J40" s="7">
        <f t="shared" si="14"/>
        <v>8.3357590258293923E-2</v>
      </c>
      <c r="K40" s="7">
        <f t="shared" si="10"/>
        <v>0.67625480782690994</v>
      </c>
      <c r="L40" s="7">
        <f t="shared" si="11"/>
        <v>0.32374519217308995</v>
      </c>
    </row>
    <row r="41" spans="1:12" x14ac:dyDescent="0.2">
      <c r="A41" s="2" t="s">
        <v>125</v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>7645.18</v>
      </c>
      <c r="C41" s="4">
        <f>IF(SUMIFS('Monthly BSE Equity Cash'!$G:$G,'Monthly BSE Equity Cash'!$C:$C,$A41)=0,"",SUMIFS('Monthly BSE Equity Cash'!$G:$G,'Monthly BSE Equity Cash'!$C:$C,$A41))</f>
        <v>3542.3897999999999</v>
      </c>
      <c r="D41" s="4">
        <f t="shared" si="9"/>
        <v>11187.569800000001</v>
      </c>
      <c r="E41" s="7">
        <f t="shared" si="15"/>
        <v>0.94122381821736645</v>
      </c>
      <c r="F41" s="7">
        <f t="shared" si="16"/>
        <v>0.87021443170453372</v>
      </c>
      <c r="G41" s="7">
        <f t="shared" si="17"/>
        <v>0.91816322327868716</v>
      </c>
      <c r="H41" s="7">
        <f t="shared" si="12"/>
        <v>0.34173043173043172</v>
      </c>
      <c r="I41" s="7">
        <f t="shared" si="13"/>
        <v>0.29861657564336852</v>
      </c>
      <c r="J41" s="7">
        <f t="shared" si="14"/>
        <v>0.3277725281062025</v>
      </c>
      <c r="K41" s="7">
        <f t="shared" si="10"/>
        <v>0.68336378111357121</v>
      </c>
      <c r="L41" s="7">
        <f t="shared" si="11"/>
        <v>0.31663621888642873</v>
      </c>
    </row>
    <row r="42" spans="1:12" x14ac:dyDescent="0.2">
      <c r="A42" s="2" t="s">
        <v>126</v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>12363.94</v>
      </c>
      <c r="C42" s="4">
        <f>IF(SUMIFS('Monthly BSE Equity Cash'!$G:$G,'Monthly BSE Equity Cash'!$C:$C,$A42)=0,"",SUMIFS('Monthly BSE Equity Cash'!$G:$G,'Monthly BSE Equity Cash'!$C:$C,$A42))</f>
        <v>5332.2708999999995</v>
      </c>
      <c r="D42" s="4">
        <f t="shared" si="9"/>
        <v>17696.210899999998</v>
      </c>
      <c r="E42" s="7">
        <f t="shared" si="15"/>
        <v>1.4809752182201263</v>
      </c>
      <c r="F42" s="7">
        <f t="shared" si="16"/>
        <v>1.0749877334062625</v>
      </c>
      <c r="G42" s="7">
        <f t="shared" si="17"/>
        <v>1.3428498381823122</v>
      </c>
      <c r="H42" s="7">
        <f t="shared" si="12"/>
        <v>0.61722026165505595</v>
      </c>
      <c r="I42" s="7">
        <f t="shared" si="13"/>
        <v>0.50527502648071065</v>
      </c>
      <c r="J42" s="7">
        <f t="shared" si="14"/>
        <v>0.58177434566709896</v>
      </c>
      <c r="K42" s="7">
        <f t="shared" si="10"/>
        <v>0.69867725186299634</v>
      </c>
      <c r="L42" s="7">
        <f t="shared" si="11"/>
        <v>0.30132274813700372</v>
      </c>
    </row>
    <row r="43" spans="1:12" x14ac:dyDescent="0.2">
      <c r="A43" s="2" t="s">
        <v>127</v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>9803.26</v>
      </c>
      <c r="C43" s="4">
        <f>IF(SUMIFS('Monthly BSE Equity Cash'!$G:$G,'Monthly BSE Equity Cash'!$C:$C,$A43)=0,"",SUMIFS('Monthly BSE Equity Cash'!$G:$G,'Monthly BSE Equity Cash'!$C:$C,$A43))</f>
        <v>4186.0753000000004</v>
      </c>
      <c r="D43" s="4">
        <f t="shared" si="9"/>
        <v>13989.335300000001</v>
      </c>
      <c r="E43" s="7">
        <f t="shared" si="15"/>
        <v>0.87345753921008429</v>
      </c>
      <c r="F43" s="7">
        <f t="shared" si="16"/>
        <v>0.64495638370114117</v>
      </c>
      <c r="G43" s="7">
        <f t="shared" si="17"/>
        <v>0.79869211512212512</v>
      </c>
      <c r="H43" s="7">
        <f t="shared" si="12"/>
        <v>-0.2071087371824839</v>
      </c>
      <c r="I43" s="7">
        <f t="shared" si="13"/>
        <v>-0.21495449527892496</v>
      </c>
      <c r="J43" s="7">
        <f t="shared" si="14"/>
        <v>-0.20947284257332166</v>
      </c>
      <c r="K43" s="7">
        <f t="shared" si="10"/>
        <v>0.70076667616938171</v>
      </c>
      <c r="L43" s="7">
        <f t="shared" si="11"/>
        <v>0.29923332383061835</v>
      </c>
    </row>
    <row r="44" spans="1:12" x14ac:dyDescent="0.2">
      <c r="A44" s="2" t="s">
        <v>128</v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>8135.7800000000007</v>
      </c>
      <c r="C44" s="4">
        <f>IF(SUMIFS('Monthly BSE Equity Cash'!$G:$G,'Monthly BSE Equity Cash'!$C:$C,$A44)=0,"",SUMIFS('Monthly BSE Equity Cash'!$G:$G,'Monthly BSE Equity Cash'!$C:$C,$A44))</f>
        <v>3507.29</v>
      </c>
      <c r="D44" s="4">
        <f t="shared" si="9"/>
        <v>11643.07</v>
      </c>
      <c r="E44" s="7">
        <f t="shared" si="15"/>
        <v>0.42783081783081789</v>
      </c>
      <c r="F44" s="7">
        <f t="shared" si="16"/>
        <v>0.28574922206139775</v>
      </c>
      <c r="G44" s="7">
        <f t="shared" si="17"/>
        <v>0.38183258430418743</v>
      </c>
      <c r="H44" s="7">
        <f t="shared" si="12"/>
        <v>-0.17009443797267432</v>
      </c>
      <c r="I44" s="7">
        <f t="shared" si="13"/>
        <v>-0.16215315094785809</v>
      </c>
      <c r="J44" s="7">
        <f t="shared" si="14"/>
        <v>-0.16771814026074572</v>
      </c>
      <c r="K44" s="7">
        <f t="shared" si="10"/>
        <v>0.69876587532326107</v>
      </c>
      <c r="L44" s="7">
        <f t="shared" si="11"/>
        <v>0.30123412467673905</v>
      </c>
    </row>
    <row r="45" spans="1:12" x14ac:dyDescent="0.2">
      <c r="A45" s="2" t="s">
        <v>129</v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>7923.2800000000007</v>
      </c>
      <c r="C45" s="4">
        <f>IF(SUMIFS('Monthly BSE Equity Cash'!$G:$G,'Monthly BSE Equity Cash'!$C:$C,$A45)=0,"",SUMIFS('Monthly BSE Equity Cash'!$G:$G,'Monthly BSE Equity Cash'!$C:$C,$A45))</f>
        <v>3319.2946999999999</v>
      </c>
      <c r="D45" s="4">
        <f t="shared" si="9"/>
        <v>11242.574700000001</v>
      </c>
      <c r="E45" s="7">
        <f t="shared" si="15"/>
        <v>3.6375860345995825E-2</v>
      </c>
      <c r="F45" s="7">
        <f t="shared" si="16"/>
        <v>-6.2978698730444593E-2</v>
      </c>
      <c r="G45" s="7">
        <f t="shared" si="17"/>
        <v>4.9166084309033575E-3</v>
      </c>
      <c r="H45" s="7">
        <f t="shared" si="12"/>
        <v>-2.6119192013550063E-2</v>
      </c>
      <c r="I45" s="7">
        <f t="shared" si="13"/>
        <v>-5.3601299008636305E-2</v>
      </c>
      <c r="J45" s="7">
        <f t="shared" si="14"/>
        <v>-3.4397740458487203E-2</v>
      </c>
      <c r="K45" s="7">
        <f t="shared" si="10"/>
        <v>0.7047567137801628</v>
      </c>
      <c r="L45" s="7">
        <f t="shared" si="11"/>
        <v>0.29524328621983714</v>
      </c>
    </row>
    <row r="46" spans="1:12" x14ac:dyDescent="0.2">
      <c r="A46" s="2" t="s">
        <v>130</v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>6022.77</v>
      </c>
      <c r="C46" s="4">
        <f>IF(SUMIFS('Monthly BSE Equity Cash'!$G:$G,'Monthly BSE Equity Cash'!$C:$C,$A46)=0,"",SUMIFS('Monthly BSE Equity Cash'!$G:$G,'Monthly BSE Equity Cash'!$C:$C,$A46))</f>
        <v>2227.8661999999999</v>
      </c>
      <c r="D46" s="4">
        <f t="shared" si="9"/>
        <v>8250.6362000000008</v>
      </c>
      <c r="E46" s="7">
        <f t="shared" si="15"/>
        <v>-0.51287615436503242</v>
      </c>
      <c r="F46" s="7">
        <f t="shared" si="16"/>
        <v>-0.58219185750671443</v>
      </c>
      <c r="G46" s="7">
        <f t="shared" si="17"/>
        <v>-0.5337625525247327</v>
      </c>
      <c r="H46" s="7">
        <f t="shared" si="12"/>
        <v>-0.23986404620308766</v>
      </c>
      <c r="I46" s="7">
        <f t="shared" si="13"/>
        <v>-0.32881337713099112</v>
      </c>
      <c r="J46" s="7">
        <f t="shared" si="14"/>
        <v>-0.26612573897329761</v>
      </c>
      <c r="K46" s="7">
        <f t="shared" si="10"/>
        <v>0.72997643502933751</v>
      </c>
      <c r="L46" s="7">
        <f t="shared" si="11"/>
        <v>0.27002356497066249</v>
      </c>
    </row>
    <row r="47" spans="1:12" x14ac:dyDescent="0.2">
      <c r="A47" s="2" t="s">
        <v>131</v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>5438.4</v>
      </c>
      <c r="C47" s="4">
        <f>IF(SUMIFS('Monthly BSE Equity Cash'!$G:$G,'Monthly BSE Equity Cash'!$C:$C,$A47)=0,"",SUMIFS('Monthly BSE Equity Cash'!$G:$G,'Monthly BSE Equity Cash'!$C:$C,$A47))</f>
        <v>1946.2868000000003</v>
      </c>
      <c r="D47" s="4">
        <f t="shared" si="9"/>
        <v>7384.6867999999995</v>
      </c>
      <c r="E47" s="7">
        <f t="shared" si="15"/>
        <v>-0.44524576518423464</v>
      </c>
      <c r="F47" s="7">
        <f t="shared" si="16"/>
        <v>-0.53505690640586412</v>
      </c>
      <c r="G47" s="7">
        <f t="shared" si="17"/>
        <v>-0.47212025148900394</v>
      </c>
      <c r="H47" s="7">
        <f t="shared" si="12"/>
        <v>-9.7026783357159752E-2</v>
      </c>
      <c r="I47" s="7">
        <f t="shared" si="13"/>
        <v>-0.12638972663618653</v>
      </c>
      <c r="J47" s="7">
        <f t="shared" si="14"/>
        <v>-0.10495546997939398</v>
      </c>
      <c r="K47" s="7">
        <f t="shared" si="10"/>
        <v>0.73644287798366748</v>
      </c>
      <c r="L47" s="7">
        <f t="shared" si="11"/>
        <v>0.26355712201633258</v>
      </c>
    </row>
    <row r="48" spans="1:12" x14ac:dyDescent="0.2">
      <c r="A48" s="2" t="s">
        <v>132</v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>11316.71</v>
      </c>
      <c r="C48" s="4">
        <f>IF(SUMIFS('Monthly BSE Equity Cash'!$G:$G,'Monthly BSE Equity Cash'!$C:$C,$A48)=0,"",SUMIFS('Monthly BSE Equity Cash'!$G:$G,'Monthly BSE Equity Cash'!$C:$C,$A48))</f>
        <v>3766.7934</v>
      </c>
      <c r="D48" s="4">
        <f t="shared" si="9"/>
        <v>15083.5034</v>
      </c>
      <c r="E48" s="7">
        <f t="shared" si="15"/>
        <v>0.39098033624311346</v>
      </c>
      <c r="F48" s="7">
        <f t="shared" si="16"/>
        <v>7.3989718557632811E-2</v>
      </c>
      <c r="G48" s="7">
        <f t="shared" si="17"/>
        <v>0.29549194499388909</v>
      </c>
      <c r="H48" s="7">
        <f t="shared" si="12"/>
        <v>1.0808895998823185</v>
      </c>
      <c r="I48" s="7">
        <f t="shared" si="13"/>
        <v>0.93537427269197915</v>
      </c>
      <c r="J48" s="7">
        <f t="shared" si="14"/>
        <v>1.0425379990387675</v>
      </c>
      <c r="K48" s="7">
        <f t="shared" si="10"/>
        <v>0.75027065661681747</v>
      </c>
      <c r="L48" s="7">
        <f t="shared" si="11"/>
        <v>0.24972934338318245</v>
      </c>
    </row>
    <row r="49" spans="1:12" x14ac:dyDescent="0.2">
      <c r="A49" s="2" t="s">
        <v>133</v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>11561.75</v>
      </c>
      <c r="C49" s="4">
        <f>IF(SUMIFS('Monthly BSE Equity Cash'!$G:$G,'Monthly BSE Equity Cash'!$C:$C,$A49)=0,"",SUMIFS('Monthly BSE Equity Cash'!$G:$G,'Monthly BSE Equity Cash'!$C:$C,$A49))</f>
        <v>3855.2543000000001</v>
      </c>
      <c r="D49" s="4">
        <f t="shared" si="9"/>
        <v>15417.004300000001</v>
      </c>
      <c r="E49" s="7">
        <f t="shared" si="15"/>
        <v>0.45921259882270959</v>
      </c>
      <c r="F49" s="7">
        <f t="shared" si="16"/>
        <v>0.16146791666313942</v>
      </c>
      <c r="G49" s="7">
        <f t="shared" si="17"/>
        <v>0.37130548040743716</v>
      </c>
      <c r="H49" s="7">
        <f t="shared" si="12"/>
        <v>2.1652936233233833E-2</v>
      </c>
      <c r="I49" s="7">
        <f t="shared" si="13"/>
        <v>2.3484404533574921E-2</v>
      </c>
      <c r="J49" s="7">
        <f t="shared" si="14"/>
        <v>2.2110307609305213E-2</v>
      </c>
      <c r="K49" s="7">
        <f t="shared" si="10"/>
        <v>0.7499349273710717</v>
      </c>
      <c r="L49" s="7">
        <f t="shared" si="11"/>
        <v>0.2500650726289283</v>
      </c>
    </row>
    <row r="50" spans="1:12" x14ac:dyDescent="0.2">
      <c r="A50" s="2" t="s">
        <v>134</v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>9803.4599999999991</v>
      </c>
      <c r="C50" s="4">
        <f>IF(SUMIFS('Monthly BSE Equity Cash'!$G:$G,'Monthly BSE Equity Cash'!$C:$C,$A50)=0,"",SUMIFS('Monthly BSE Equity Cash'!$G:$G,'Monthly BSE Equity Cash'!$C:$C,$A50))</f>
        <v>3172.3146000000002</v>
      </c>
      <c r="D50" s="4">
        <f t="shared" si="9"/>
        <v>12975.774599999999</v>
      </c>
      <c r="E50" s="7">
        <f t="shared" si="15"/>
        <v>0.62773275419781904</v>
      </c>
      <c r="F50" s="7">
        <f t="shared" si="16"/>
        <v>0.42392509927211974</v>
      </c>
      <c r="G50" s="7">
        <f t="shared" si="17"/>
        <v>0.57269988464647104</v>
      </c>
      <c r="H50" s="7">
        <f t="shared" si="12"/>
        <v>-0.1520781888554934</v>
      </c>
      <c r="I50" s="7">
        <f t="shared" si="13"/>
        <v>-0.17714517561137277</v>
      </c>
      <c r="J50" s="7">
        <f t="shared" si="14"/>
        <v>-0.15834656671919078</v>
      </c>
      <c r="K50" s="7">
        <f t="shared" si="10"/>
        <v>0.75552021379902823</v>
      </c>
      <c r="L50" s="7">
        <f t="shared" si="11"/>
        <v>0.2444797862009718</v>
      </c>
    </row>
    <row r="51" spans="1:12" x14ac:dyDescent="0.2">
      <c r="A51" s="2" t="s">
        <v>135</v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>8698.32</v>
      </c>
      <c r="C51" s="4">
        <f>IF(SUMIFS('Monthly BSE Equity Cash'!$G:$G,'Monthly BSE Equity Cash'!$C:$C,$A51)=0,"",SUMIFS('Monthly BSE Equity Cash'!$G:$G,'Monthly BSE Equity Cash'!$C:$C,$A51))</f>
        <v>2993.7309</v>
      </c>
      <c r="D51" s="4">
        <f t="shared" si="9"/>
        <v>11692.0509</v>
      </c>
      <c r="E51" s="7">
        <f t="shared" si="15"/>
        <v>0.59942630185348644</v>
      </c>
      <c r="F51" s="7">
        <f t="shared" si="16"/>
        <v>0.5381756172831258</v>
      </c>
      <c r="G51" s="7">
        <f t="shared" si="17"/>
        <v>0.58328324770659212</v>
      </c>
      <c r="H51" s="7">
        <f t="shared" si="12"/>
        <v>-0.11272958730897042</v>
      </c>
      <c r="I51" s="7">
        <f t="shared" si="13"/>
        <v>-5.6294448224019189E-2</v>
      </c>
      <c r="J51" s="7">
        <f t="shared" si="14"/>
        <v>-9.8932336571259438E-2</v>
      </c>
      <c r="K51" s="7">
        <f t="shared" si="10"/>
        <v>0.74395160219495793</v>
      </c>
      <c r="L51" s="7">
        <f t="shared" si="11"/>
        <v>0.25604839780504207</v>
      </c>
    </row>
    <row r="52" spans="1:12" x14ac:dyDescent="0.2">
      <c r="A52" s="2" t="s">
        <v>136</v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>8473</v>
      </c>
      <c r="C52" s="4">
        <f>IF(SUMIFS('Monthly BSE Equity Cash'!$G:$G,'Monthly BSE Equity Cash'!$C:$C,$A52)=0,"",SUMIFS('Monthly BSE Equity Cash'!$G:$G,'Monthly BSE Equity Cash'!$C:$C,$A52))</f>
        <v>2731.0183999999999</v>
      </c>
      <c r="D52" s="4">
        <f t="shared" si="9"/>
        <v>11204.018400000001</v>
      </c>
      <c r="E52" s="7">
        <f t="shared" si="15"/>
        <v>-0.25128416297669542</v>
      </c>
      <c r="F52" s="7">
        <f t="shared" si="16"/>
        <v>-0.27497526145182272</v>
      </c>
      <c r="G52" s="7">
        <f t="shared" si="17"/>
        <v>-0.25720052544291527</v>
      </c>
      <c r="H52" s="7">
        <f t="shared" si="12"/>
        <v>-2.5903852697992225E-2</v>
      </c>
      <c r="I52" s="7">
        <f t="shared" si="13"/>
        <v>-8.7754213312893348E-2</v>
      </c>
      <c r="J52" s="7">
        <f t="shared" si="14"/>
        <v>-4.1740538437101682E-2</v>
      </c>
      <c r="K52" s="7">
        <f t="shared" si="10"/>
        <v>0.75624652669260162</v>
      </c>
      <c r="L52" s="7">
        <f t="shared" si="11"/>
        <v>0.24375347330739833</v>
      </c>
    </row>
    <row r="53" spans="1:12" x14ac:dyDescent="0.2">
      <c r="A53" s="2" t="s">
        <v>137</v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>9204.1400000000012</v>
      </c>
      <c r="C53" s="4">
        <f>IF(SUMIFS('Monthly BSE Equity Cash'!$G:$G,'Monthly BSE Equity Cash'!$C:$C,$A53)=0,"",SUMIFS('Monthly BSE Equity Cash'!$G:$G,'Monthly BSE Equity Cash'!$C:$C,$A53))</f>
        <v>3147.2358000000004</v>
      </c>
      <c r="D53" s="4">
        <f t="shared" si="9"/>
        <v>12351.375800000002</v>
      </c>
      <c r="E53" s="7">
        <f t="shared" si="15"/>
        <v>-0.20391463230047346</v>
      </c>
      <c r="F53" s="7">
        <f t="shared" si="16"/>
        <v>-0.18365027178622162</v>
      </c>
      <c r="G53" s="7">
        <f t="shared" si="17"/>
        <v>-0.19884722351669826</v>
      </c>
      <c r="H53" s="7">
        <f t="shared" si="12"/>
        <v>8.6290570046028803E-2</v>
      </c>
      <c r="I53" s="7">
        <f t="shared" si="13"/>
        <v>0.15240373334723789</v>
      </c>
      <c r="J53" s="7">
        <f t="shared" si="14"/>
        <v>0.10240588323203759</v>
      </c>
      <c r="K53" s="7">
        <f t="shared" si="10"/>
        <v>0.74519147899297178</v>
      </c>
      <c r="L53" s="7">
        <f t="shared" si="11"/>
        <v>0.25480852100702822</v>
      </c>
    </row>
    <row r="54" spans="1:12" x14ac:dyDescent="0.2">
      <c r="A54" s="2" t="s">
        <v>138</v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>10201.5</v>
      </c>
      <c r="C54" s="4">
        <f>IF(SUMIFS('Monthly BSE Equity Cash'!$G:$G,'Monthly BSE Equity Cash'!$C:$C,$A54)=0,"",SUMIFS('Monthly BSE Equity Cash'!$G:$G,'Monthly BSE Equity Cash'!$C:$C,$A54))</f>
        <v>3060.5750999999996</v>
      </c>
      <c r="D54" s="4">
        <f t="shared" si="9"/>
        <v>13262.0751</v>
      </c>
      <c r="E54" s="7">
        <f t="shared" si="15"/>
        <v>4.0601991541761917E-2</v>
      </c>
      <c r="F54" s="7">
        <f t="shared" si="16"/>
        <v>-3.5223335037452008E-2</v>
      </c>
      <c r="G54" s="7">
        <f t="shared" si="17"/>
        <v>2.2064231911056886E-2</v>
      </c>
      <c r="H54" s="7">
        <f t="shared" si="12"/>
        <v>0.10835993368201691</v>
      </c>
      <c r="I54" s="7">
        <f t="shared" si="13"/>
        <v>-2.7535496387020242E-2</v>
      </c>
      <c r="J54" s="7">
        <f t="shared" si="14"/>
        <v>7.3732620134511428E-2</v>
      </c>
      <c r="K54" s="7">
        <f t="shared" si="10"/>
        <v>0.76922351314388193</v>
      </c>
      <c r="L54" s="7">
        <f t="shared" si="11"/>
        <v>0.23077648685611798</v>
      </c>
    </row>
    <row r="55" spans="1:12" x14ac:dyDescent="0.2">
      <c r="A55" s="2" t="s">
        <v>139</v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>7895.4800000000005</v>
      </c>
      <c r="C55" s="4">
        <f>IF(SUMIFS('Monthly BSE Equity Cash'!$G:$G,'Monthly BSE Equity Cash'!$C:$C,$A55)=0,"",SUMIFS('Monthly BSE Equity Cash'!$G:$G,'Monthly BSE Equity Cash'!$C:$C,$A55))</f>
        <v>2111.4396000000002</v>
      </c>
      <c r="D55" s="4">
        <f t="shared" si="9"/>
        <v>10006.919600000001</v>
      </c>
      <c r="E55" s="7">
        <f t="shared" si="15"/>
        <v>-9.229828288681019E-2</v>
      </c>
      <c r="F55" s="7">
        <f t="shared" si="16"/>
        <v>-0.29471296167601435</v>
      </c>
      <c r="G55" s="7">
        <f t="shared" si="17"/>
        <v>-0.1441262370830082</v>
      </c>
      <c r="H55" s="7">
        <f t="shared" si="12"/>
        <v>-0.22604714992893193</v>
      </c>
      <c r="I55" s="7">
        <f t="shared" si="13"/>
        <v>-0.31011671629949533</v>
      </c>
      <c r="J55" s="7">
        <f t="shared" si="14"/>
        <v>-0.2454484291074478</v>
      </c>
      <c r="K55" s="7">
        <f t="shared" si="10"/>
        <v>0.78900204214691594</v>
      </c>
      <c r="L55" s="7">
        <f t="shared" si="11"/>
        <v>0.21099795785308398</v>
      </c>
    </row>
    <row r="56" spans="1:12" x14ac:dyDescent="0.2">
      <c r="A56" s="2" t="s">
        <v>140</v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>6846.8099999999995</v>
      </c>
      <c r="C56" s="4">
        <f>IF(SUMIFS('Monthly BSE Equity Cash'!$G:$G,'Monthly BSE Equity Cash'!$C:$C,$A56)=0,"",SUMIFS('Monthly BSE Equity Cash'!$G:$G,'Monthly BSE Equity Cash'!$C:$C,$A56))</f>
        <v>1881.6783</v>
      </c>
      <c r="D56" s="4">
        <f t="shared" si="9"/>
        <v>8728.4882999999991</v>
      </c>
      <c r="E56" s="7">
        <f t="shared" si="15"/>
        <v>-0.19192611825799599</v>
      </c>
      <c r="F56" s="7">
        <f t="shared" si="16"/>
        <v>-0.31099757511703319</v>
      </c>
      <c r="G56" s="7">
        <f t="shared" si="17"/>
        <v>-0.2209501994391585</v>
      </c>
      <c r="H56" s="7">
        <f t="shared" si="12"/>
        <v>-0.13281903063524969</v>
      </c>
      <c r="I56" s="7">
        <f t="shared" si="13"/>
        <v>-0.1088173680175365</v>
      </c>
      <c r="J56" s="7">
        <f t="shared" si="14"/>
        <v>-0.12775472883783356</v>
      </c>
      <c r="K56" s="7">
        <f t="shared" si="10"/>
        <v>0.7844210549036309</v>
      </c>
      <c r="L56" s="7">
        <f t="shared" si="11"/>
        <v>0.21557894509636913</v>
      </c>
    </row>
    <row r="57" spans="1:12" x14ac:dyDescent="0.2">
      <c r="A57" s="2" t="s">
        <v>141</v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>7005.26</v>
      </c>
      <c r="C57" s="4">
        <f>IF(SUMIFS('Monthly BSE Equity Cash'!$G:$G,'Monthly BSE Equity Cash'!$C:$C,$A57)=0,"",SUMIFS('Monthly BSE Equity Cash'!$G:$G,'Monthly BSE Equity Cash'!$C:$C,$A57))</f>
        <v>1672.1534000000001</v>
      </c>
      <c r="D57" s="4">
        <f t="shared" si="9"/>
        <v>8677.4134000000013</v>
      </c>
      <c r="E57" s="7">
        <f t="shared" si="15"/>
        <v>-0.23890119011662148</v>
      </c>
      <c r="F57" s="7">
        <f t="shared" si="16"/>
        <v>-0.468691414859986</v>
      </c>
      <c r="G57" s="7">
        <f t="shared" si="17"/>
        <v>-0.29745369742535077</v>
      </c>
      <c r="H57" s="7">
        <f t="shared" si="12"/>
        <v>2.3142164015067079E-2</v>
      </c>
      <c r="I57" s="7">
        <f t="shared" si="13"/>
        <v>-0.11135001131702471</v>
      </c>
      <c r="J57" s="7">
        <f t="shared" si="14"/>
        <v>-5.8515172667411575E-3</v>
      </c>
      <c r="K57" s="7">
        <f t="shared" si="10"/>
        <v>0.80729817482246491</v>
      </c>
      <c r="L57" s="7">
        <f t="shared" si="11"/>
        <v>0.19270182517753504</v>
      </c>
    </row>
    <row r="58" spans="1:12" x14ac:dyDescent="0.2">
      <c r="A58" s="2" t="s">
        <v>142</v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>5885.23</v>
      </c>
      <c r="C58" s="4">
        <f>IF(SUMIFS('Monthly BSE Equity Cash'!$G:$G,'Monthly BSE Equity Cash'!$C:$C,$A58)=0,"",SUMIFS('Monthly BSE Equity Cash'!$G:$G,'Monthly BSE Equity Cash'!$C:$C,$A58))</f>
        <v>1268.7950000000001</v>
      </c>
      <c r="D58" s="4">
        <f t="shared" si="9"/>
        <v>7154.0249999999996</v>
      </c>
      <c r="E58" s="7">
        <f t="shared" si="15"/>
        <v>-0.4231015046806843</v>
      </c>
      <c r="F58" s="7">
        <f t="shared" si="16"/>
        <v>-0.58543902418862381</v>
      </c>
      <c r="G58" s="7">
        <f t="shared" si="17"/>
        <v>-0.46056518711766303</v>
      </c>
      <c r="H58" s="7">
        <f t="shared" si="12"/>
        <v>-0.15988414420021535</v>
      </c>
      <c r="I58" s="7">
        <f t="shared" si="13"/>
        <v>-0.24122093104615883</v>
      </c>
      <c r="J58" s="7">
        <f t="shared" si="14"/>
        <v>-0.17555789147950485</v>
      </c>
      <c r="K58" s="7">
        <f t="shared" si="10"/>
        <v>0.82264599298996022</v>
      </c>
      <c r="L58" s="7">
        <f t="shared" si="11"/>
        <v>0.17735400701003981</v>
      </c>
    </row>
    <row r="59" spans="1:12" x14ac:dyDescent="0.2">
      <c r="A59" s="2" t="s">
        <v>143</v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>8371.619999999999</v>
      </c>
      <c r="C59" s="4">
        <f>IF(SUMIFS('Monthly BSE Equity Cash'!$G:$G,'Monthly BSE Equity Cash'!$C:$C,$A59)=0,"",SUMIFS('Monthly BSE Equity Cash'!$G:$G,'Monthly BSE Equity Cash'!$C:$C,$A59))</f>
        <v>1852.3490999999999</v>
      </c>
      <c r="D59" s="4">
        <f t="shared" si="9"/>
        <v>10223.969099999998</v>
      </c>
      <c r="E59" s="7">
        <f t="shared" si="15"/>
        <v>6.0305389919295349E-2</v>
      </c>
      <c r="F59" s="7">
        <f t="shared" si="16"/>
        <v>-0.12270798558481155</v>
      </c>
      <c r="G59" s="7">
        <f t="shared" si="17"/>
        <v>2.1689941428129078E-2</v>
      </c>
      <c r="H59" s="7">
        <f t="shared" si="12"/>
        <v>0.42247966519575275</v>
      </c>
      <c r="I59" s="7">
        <f t="shared" si="13"/>
        <v>0.45992780551625745</v>
      </c>
      <c r="J59" s="7">
        <f t="shared" si="14"/>
        <v>0.42912124293666842</v>
      </c>
      <c r="K59" s="7">
        <f t="shared" si="10"/>
        <v>0.81882289726403812</v>
      </c>
      <c r="L59" s="7">
        <f t="shared" si="11"/>
        <v>0.18117710273596194</v>
      </c>
    </row>
    <row r="60" spans="1:12" x14ac:dyDescent="0.2">
      <c r="A60" s="2" t="s">
        <v>144</v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>6171.83</v>
      </c>
      <c r="C60" s="4">
        <f>IF(SUMIFS('Monthly BSE Equity Cash'!$G:$G,'Monthly BSE Equity Cash'!$C:$C,$A60)=0,"",SUMIFS('Monthly BSE Equity Cash'!$G:$G,'Monthly BSE Equity Cash'!$C:$C,$A60))</f>
        <v>1282.7478000000001</v>
      </c>
      <c r="D60" s="4">
        <f t="shared" si="9"/>
        <v>7454.5778</v>
      </c>
      <c r="E60" s="7">
        <f t="shared" si="15"/>
        <v>-9.8583135796086019E-2</v>
      </c>
      <c r="F60" s="7">
        <f t="shared" si="16"/>
        <v>-0.31829590637251859</v>
      </c>
      <c r="G60" s="7">
        <f t="shared" si="17"/>
        <v>-0.14594858310115388</v>
      </c>
      <c r="H60" s="7">
        <f t="shared" si="12"/>
        <v>-0.26276754081050013</v>
      </c>
      <c r="I60" s="7">
        <f t="shared" si="13"/>
        <v>-0.30750213337215959</v>
      </c>
      <c r="J60" s="7">
        <f t="shared" si="14"/>
        <v>-0.2708724246828953</v>
      </c>
      <c r="K60" s="7">
        <f t="shared" si="10"/>
        <v>0.82792482224814934</v>
      </c>
      <c r="L60" s="7">
        <f t="shared" si="11"/>
        <v>0.17207517775185069</v>
      </c>
    </row>
    <row r="61" spans="1:12" x14ac:dyDescent="0.2">
      <c r="A61" s="2" t="s">
        <v>145</v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>6553.8799999999992</v>
      </c>
      <c r="C61" s="4">
        <f>IF(SUMIFS('Monthly BSE Equity Cash'!$G:$G,'Monthly BSE Equity Cash'!$C:$C,$A61)=0,"",SUMIFS('Monthly BSE Equity Cash'!$G:$G,'Monthly BSE Equity Cash'!$C:$C,$A61))</f>
        <v>1327.6471999999999</v>
      </c>
      <c r="D61" s="4">
        <f t="shared" si="9"/>
        <v>7881.5271999999986</v>
      </c>
      <c r="E61" s="7">
        <f t="shared" si="15"/>
        <v>-6.4434439264210219E-2</v>
      </c>
      <c r="F61" s="7">
        <f t="shared" si="16"/>
        <v>-0.20602547589234355</v>
      </c>
      <c r="G61" s="7">
        <f t="shared" si="17"/>
        <v>-9.1719290451230839E-2</v>
      </c>
      <c r="H61" s="7">
        <f t="shared" si="12"/>
        <v>6.1902223489629371E-2</v>
      </c>
      <c r="I61" s="7">
        <f t="shared" si="13"/>
        <v>3.5002515693263847E-2</v>
      </c>
      <c r="J61" s="7">
        <f t="shared" si="14"/>
        <v>5.7273451489096905E-2</v>
      </c>
      <c r="K61" s="7">
        <f t="shared" si="10"/>
        <v>0.83154949969594727</v>
      </c>
      <c r="L61" s="7">
        <f t="shared" si="11"/>
        <v>0.16845050030405276</v>
      </c>
    </row>
    <row r="62" spans="1:12" x14ac:dyDescent="0.2">
      <c r="A62" s="2" t="s">
        <v>146</v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>7010.53</v>
      </c>
      <c r="C62" s="4">
        <f>IF(SUMIFS('Monthly BSE Equity Cash'!$G:$G,'Monthly BSE Equity Cash'!$C:$C,$A62)=0,"",SUMIFS('Monthly BSE Equity Cash'!$G:$G,'Monthly BSE Equity Cash'!$C:$C,$A62))</f>
        <v>1491.9039</v>
      </c>
      <c r="D62" s="4">
        <f t="shared" si="9"/>
        <v>8502.4339</v>
      </c>
      <c r="E62" s="7">
        <f t="shared" si="15"/>
        <v>0.19120748042132596</v>
      </c>
      <c r="F62" s="7">
        <f t="shared" si="16"/>
        <v>0.17584314250923105</v>
      </c>
      <c r="G62" s="7">
        <f t="shared" si="17"/>
        <v>0.18848255352755983</v>
      </c>
      <c r="H62" s="7">
        <f t="shared" si="12"/>
        <v>6.9676283361917113E-2</v>
      </c>
      <c r="I62" s="7">
        <f t="shared" si="13"/>
        <v>0.12372014191722025</v>
      </c>
      <c r="J62" s="7">
        <f t="shared" si="14"/>
        <v>7.8779998373919469E-2</v>
      </c>
      <c r="K62" s="7">
        <f t="shared" si="10"/>
        <v>0.8245321377917445</v>
      </c>
      <c r="L62" s="7">
        <f t="shared" si="11"/>
        <v>0.17546786220825544</v>
      </c>
    </row>
    <row r="63" spans="1:12" x14ac:dyDescent="0.2">
      <c r="A63" s="2" t="s">
        <v>147</v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>7346.5499999999993</v>
      </c>
      <c r="C63" s="4">
        <f>IF(SUMIFS('Monthly BSE Equity Cash'!$G:$G,'Monthly BSE Equity Cash'!$C:$C,$A63)=0,"",SUMIFS('Monthly BSE Equity Cash'!$G:$G,'Monthly BSE Equity Cash'!$C:$C,$A63))</f>
        <v>1385.4455</v>
      </c>
      <c r="D63" s="4">
        <f t="shared" si="9"/>
        <v>8731.9954999999991</v>
      </c>
      <c r="E63" s="7">
        <f t="shared" si="15"/>
        <v>-0.12244583485633598</v>
      </c>
      <c r="F63" s="7">
        <f t="shared" si="16"/>
        <v>-0.2520602622907312</v>
      </c>
      <c r="G63" s="7">
        <f t="shared" si="17"/>
        <v>-0.14592900129168029</v>
      </c>
      <c r="H63" s="7">
        <f t="shared" si="12"/>
        <v>4.7930755591945262E-2</v>
      </c>
      <c r="I63" s="7">
        <f t="shared" si="13"/>
        <v>-7.1357411157648931E-2</v>
      </c>
      <c r="J63" s="7">
        <f t="shared" si="14"/>
        <v>2.6999515985651978E-2</v>
      </c>
      <c r="K63" s="7">
        <f t="shared" si="10"/>
        <v>0.84133689716170834</v>
      </c>
      <c r="L63" s="7">
        <f t="shared" si="11"/>
        <v>0.15866310283829169</v>
      </c>
    </row>
    <row r="64" spans="1:12" x14ac:dyDescent="0.2">
      <c r="A64" s="2" t="s">
        <v>148</v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>6631.35</v>
      </c>
      <c r="C64" s="4">
        <f>IF(SUMIFS('Monthly BSE Equity Cash'!$G:$G,'Monthly BSE Equity Cash'!$C:$C,$A64)=0,"",SUMIFS('Monthly BSE Equity Cash'!$G:$G,'Monthly BSE Equity Cash'!$C:$C,$A64))</f>
        <v>1273.5349999999999</v>
      </c>
      <c r="D64" s="4">
        <f t="shared" si="9"/>
        <v>7904.8850000000002</v>
      </c>
      <c r="E64" s="7">
        <f t="shared" si="15"/>
        <v>7.4454416275237634E-2</v>
      </c>
      <c r="F64" s="7">
        <f t="shared" si="16"/>
        <v>-7.1820820897141591E-3</v>
      </c>
      <c r="G64" s="7">
        <f t="shared" si="17"/>
        <v>6.0406801308049873E-2</v>
      </c>
      <c r="H64" s="7">
        <f t="shared" si="12"/>
        <v>-9.7351818200379636E-2</v>
      </c>
      <c r="I64" s="7">
        <f t="shared" si="13"/>
        <v>-8.0775822650548279E-2</v>
      </c>
      <c r="J64" s="7">
        <f t="shared" si="14"/>
        <v>-9.472181931380963E-2</v>
      </c>
      <c r="K64" s="7">
        <f t="shared" si="10"/>
        <v>0.83889265941250257</v>
      </c>
      <c r="L64" s="7">
        <f t="shared" si="11"/>
        <v>0.16110734058749746</v>
      </c>
    </row>
    <row r="65" spans="1:12" x14ac:dyDescent="0.2">
      <c r="A65" s="2" t="s">
        <v>149</v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>7377.24</v>
      </c>
      <c r="C65" s="4">
        <f>IF(SUMIFS('Monthly BSE Equity Cash'!$G:$G,'Monthly BSE Equity Cash'!$C:$C,$A65)=0,"",SUMIFS('Monthly BSE Equity Cash'!$G:$G,'Monthly BSE Equity Cash'!$C:$C,$A65))</f>
        <v>1223.0931</v>
      </c>
      <c r="D65" s="4">
        <f t="shared" si="9"/>
        <v>8600.3330999999998</v>
      </c>
      <c r="E65" s="7">
        <f t="shared" si="15"/>
        <v>0.12562939815803786</v>
      </c>
      <c r="F65" s="7">
        <f t="shared" si="16"/>
        <v>-7.875141829847554E-2</v>
      </c>
      <c r="G65" s="7">
        <f t="shared" si="17"/>
        <v>9.1201347373387476E-2</v>
      </c>
      <c r="H65" s="7">
        <f t="shared" si="12"/>
        <v>0.1124793594064557</v>
      </c>
      <c r="I65" s="7">
        <f t="shared" si="13"/>
        <v>-3.9607784630968035E-2</v>
      </c>
      <c r="J65" s="7">
        <f t="shared" si="14"/>
        <v>8.7977004093038547E-2</v>
      </c>
      <c r="K65" s="7">
        <f t="shared" si="10"/>
        <v>0.85778538042904406</v>
      </c>
      <c r="L65" s="7">
        <f t="shared" si="11"/>
        <v>0.14221461957095594</v>
      </c>
    </row>
    <row r="66" spans="1:12" x14ac:dyDescent="0.2">
      <c r="A66" s="2" t="s">
        <v>150</v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>6865.07</v>
      </c>
      <c r="C66" s="4">
        <f>IF(SUMIFS('Monthly BSE Equity Cash'!$G:$G,'Monthly BSE Equity Cash'!$C:$C,$A66)=0,"",SUMIFS('Monthly BSE Equity Cash'!$G:$G,'Monthly BSE Equity Cash'!$C:$C,$A66))</f>
        <v>1253.5220000000002</v>
      </c>
      <c r="D66" s="4">
        <f t="shared" ref="D66:D97" si="18">IF(OR(B66="",C66=""),"",B66+C66)</f>
        <v>8118.5919999999996</v>
      </c>
      <c r="E66" s="7">
        <f t="shared" si="15"/>
        <v>-2.0748787894781184E-2</v>
      </c>
      <c r="F66" s="7">
        <f t="shared" si="16"/>
        <v>-0.15978368311792723</v>
      </c>
      <c r="G66" s="7">
        <f t="shared" si="17"/>
        <v>-4.514494373193545E-2</v>
      </c>
      <c r="H66" s="7">
        <f t="shared" si="12"/>
        <v>-6.9425693077627915E-2</v>
      </c>
      <c r="I66" s="7">
        <f t="shared" si="13"/>
        <v>2.4878645787471232E-2</v>
      </c>
      <c r="J66" s="7">
        <f t="shared" si="14"/>
        <v>-5.601423740203737E-2</v>
      </c>
      <c r="K66" s="7">
        <f t="shared" ref="K66:K97" si="19">IF(D66="","",B66/D66)</f>
        <v>0.84559859640686463</v>
      </c>
      <c r="L66" s="7">
        <f t="shared" ref="L66:L97" si="20">IF(D66="","",C66/D66)</f>
        <v>0.15440140359313539</v>
      </c>
    </row>
    <row r="67" spans="1:12" x14ac:dyDescent="0.2">
      <c r="A67" s="2" t="s">
        <v>151</v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>7211.22</v>
      </c>
      <c r="C67" s="4">
        <f>IF(SUMIFS('Monthly BSE Equity Cash'!$G:$G,'Monthly BSE Equity Cash'!$C:$C,$A67)=0,"",SUMIFS('Monthly BSE Equity Cash'!$G:$G,'Monthly BSE Equity Cash'!$C:$C,$A67))</f>
        <v>1466.4919</v>
      </c>
      <c r="D67" s="4">
        <f t="shared" si="18"/>
        <v>8677.7119000000002</v>
      </c>
      <c r="E67" s="7">
        <f t="shared" si="15"/>
        <v>-1.8420891438838516E-2</v>
      </c>
      <c r="F67" s="7">
        <f t="shared" si="16"/>
        <v>5.8498439671571312E-2</v>
      </c>
      <c r="G67" s="7">
        <f t="shared" si="17"/>
        <v>-6.2166316966149049E-3</v>
      </c>
      <c r="H67" s="7">
        <f t="shared" ref="H67:H98" si="21">IF(OR(B67="",B66=""),"",B67/B66-1)</f>
        <v>5.0421918494640394E-2</v>
      </c>
      <c r="I67" s="7">
        <f t="shared" ref="I67:I98" si="22">IF(OR(C67="",C66=""),"",C67/C66-1)</f>
        <v>0.1698972175996909</v>
      </c>
      <c r="J67" s="7">
        <f t="shared" ref="J67:J98" si="23">IF(OR(D67="",D66=""),"",D67/D66-1)</f>
        <v>6.8869072371169793E-2</v>
      </c>
      <c r="K67" s="7">
        <f t="shared" si="19"/>
        <v>0.83100477212201529</v>
      </c>
      <c r="L67" s="7">
        <f t="shared" si="20"/>
        <v>0.16899522787798474</v>
      </c>
    </row>
    <row r="68" spans="1:12" x14ac:dyDescent="0.2">
      <c r="A68" s="2" t="s">
        <v>152</v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>11304.130000000001</v>
      </c>
      <c r="C68" s="4">
        <f>IF(SUMIFS('Monthly BSE Equity Cash'!$G:$G,'Monthly BSE Equity Cash'!$C:$C,$A68)=0,"",SUMIFS('Monthly BSE Equity Cash'!$G:$G,'Monthly BSE Equity Cash'!$C:$C,$A68))</f>
        <v>2259.7894000000001</v>
      </c>
      <c r="D68" s="4">
        <f t="shared" si="18"/>
        <v>13563.919400000001</v>
      </c>
      <c r="E68" s="7">
        <f t="shared" si="15"/>
        <v>0.70464988275388873</v>
      </c>
      <c r="F68" s="7">
        <f t="shared" si="16"/>
        <v>0.77442268960020755</v>
      </c>
      <c r="G68" s="7">
        <f t="shared" si="17"/>
        <v>0.71589079411022438</v>
      </c>
      <c r="H68" s="7">
        <f t="shared" si="21"/>
        <v>0.56757525078974158</v>
      </c>
      <c r="I68" s="7">
        <f t="shared" si="22"/>
        <v>0.54094911809604951</v>
      </c>
      <c r="J68" s="7">
        <f t="shared" si="23"/>
        <v>0.56307556142766169</v>
      </c>
      <c r="K68" s="7">
        <f t="shared" si="19"/>
        <v>0.83339701944852318</v>
      </c>
      <c r="L68" s="7">
        <f t="shared" si="20"/>
        <v>0.16660298055147688</v>
      </c>
    </row>
    <row r="69" spans="1:12" x14ac:dyDescent="0.2">
      <c r="A69" s="2" t="s">
        <v>153</v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>10694.470000000001</v>
      </c>
      <c r="C69" s="4">
        <f>IF(SUMIFS('Monthly BSE Equity Cash'!$G:$G,'Monthly BSE Equity Cash'!$C:$C,$A69)=0,"",SUMIFS('Monthly BSE Equity Cash'!$G:$G,'Monthly BSE Equity Cash'!$C:$C,$A69))</f>
        <v>2110.7701999999999</v>
      </c>
      <c r="D69" s="4">
        <f t="shared" si="18"/>
        <v>12805.2402</v>
      </c>
      <c r="E69" s="7">
        <f t="shared" si="15"/>
        <v>0.44965732441943085</v>
      </c>
      <c r="F69" s="7">
        <f t="shared" si="16"/>
        <v>0.7257641303021003</v>
      </c>
      <c r="G69" s="7">
        <f t="shared" si="17"/>
        <v>0.48892374877898637</v>
      </c>
      <c r="H69" s="7">
        <f t="shared" si="21"/>
        <v>-5.3932500776264991E-2</v>
      </c>
      <c r="I69" s="7">
        <f t="shared" si="22"/>
        <v>-6.5943844147600683E-2</v>
      </c>
      <c r="J69" s="7">
        <f t="shared" si="23"/>
        <v>-5.5933626382356771E-2</v>
      </c>
      <c r="K69" s="7">
        <f t="shared" si="19"/>
        <v>0.8351635606179415</v>
      </c>
      <c r="L69" s="7">
        <f t="shared" si="20"/>
        <v>0.16483643938205861</v>
      </c>
    </row>
    <row r="70" spans="1:12" x14ac:dyDescent="0.2">
      <c r="A70" s="2" t="s">
        <v>154</v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>9553.02</v>
      </c>
      <c r="C70" s="4">
        <f>IF(SUMIFS('Monthly BSE Equity Cash'!$G:$G,'Monthly BSE Equity Cash'!$C:$C,$A70)=0,"",SUMIFS('Monthly BSE Equity Cash'!$G:$G,'Monthly BSE Equity Cash'!$C:$C,$A70))</f>
        <v>1861.0511000000001</v>
      </c>
      <c r="D70" s="4">
        <f t="shared" si="18"/>
        <v>11414.071100000001</v>
      </c>
      <c r="E70" s="7">
        <f t="shared" ref="E70:E101" si="24">IF(OR(B70="",B66=""),"",B70/B66-1)</f>
        <v>0.39154007169628291</v>
      </c>
      <c r="F70" s="7">
        <f t="shared" ref="F70:F101" si="25">IF(OR(C70="",C66=""),"",C70/C66-1)</f>
        <v>0.48465770844069733</v>
      </c>
      <c r="G70" s="7">
        <f t="shared" ref="G70:G101" si="26">IF(OR(D70="",D66=""),"",D70/D66-1)</f>
        <v>0.40591756550889624</v>
      </c>
      <c r="H70" s="7">
        <f t="shared" si="21"/>
        <v>-0.10673273196334188</v>
      </c>
      <c r="I70" s="7">
        <f t="shared" si="22"/>
        <v>-0.11830709946539886</v>
      </c>
      <c r="J70" s="7">
        <f t="shared" si="23"/>
        <v>-0.10864060949048027</v>
      </c>
      <c r="K70" s="7">
        <f t="shared" si="19"/>
        <v>0.83695115584131941</v>
      </c>
      <c r="L70" s="7">
        <f t="shared" si="20"/>
        <v>0.16304884415868059</v>
      </c>
    </row>
    <row r="71" spans="1:12" x14ac:dyDescent="0.2">
      <c r="A71" s="2" t="s">
        <v>155</v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>11744.93</v>
      </c>
      <c r="C71" s="4">
        <f>IF(SUMIFS('Monthly BSE Equity Cash'!$G:$G,'Monthly BSE Equity Cash'!$C:$C,$A71)=0,"",SUMIFS('Monthly BSE Equity Cash'!$G:$G,'Monthly BSE Equity Cash'!$C:$C,$A71))</f>
        <v>2316.8326999999999</v>
      </c>
      <c r="D71" s="4">
        <f t="shared" si="18"/>
        <v>14061.762699999999</v>
      </c>
      <c r="E71" s="7">
        <f t="shared" si="24"/>
        <v>0.62870221682322813</v>
      </c>
      <c r="F71" s="7">
        <f t="shared" si="25"/>
        <v>0.57984691221274387</v>
      </c>
      <c r="G71" s="7">
        <f t="shared" si="26"/>
        <v>0.62044590348753093</v>
      </c>
      <c r="H71" s="7">
        <f t="shared" si="21"/>
        <v>0.22944681367776898</v>
      </c>
      <c r="I71" s="7">
        <f t="shared" si="22"/>
        <v>0.24490547304155141</v>
      </c>
      <c r="J71" s="7">
        <f t="shared" si="23"/>
        <v>0.23196733021927618</v>
      </c>
      <c r="K71" s="7">
        <f t="shared" si="19"/>
        <v>0.8352388139788478</v>
      </c>
      <c r="L71" s="7">
        <f t="shared" si="20"/>
        <v>0.16476118602115225</v>
      </c>
    </row>
    <row r="72" spans="1:12" x14ac:dyDescent="0.2">
      <c r="A72" s="2" t="s">
        <v>156</v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>10745.73</v>
      </c>
      <c r="C72" s="4">
        <f>IF(SUMIFS('Monthly BSE Equity Cash'!$G:$G,'Monthly BSE Equity Cash'!$C:$C,$A72)=0,"",SUMIFS('Monthly BSE Equity Cash'!$G:$G,'Monthly BSE Equity Cash'!$C:$C,$A72))</f>
        <v>1883.961</v>
      </c>
      <c r="D72" s="4">
        <f t="shared" si="18"/>
        <v>12629.690999999999</v>
      </c>
      <c r="E72" s="7">
        <f t="shared" si="24"/>
        <v>-4.9397874935974806E-2</v>
      </c>
      <c r="F72" s="7">
        <f t="shared" si="25"/>
        <v>-0.16631125006604597</v>
      </c>
      <c r="G72" s="7">
        <f t="shared" si="26"/>
        <v>-6.8875991698977623E-2</v>
      </c>
      <c r="H72" s="7">
        <f t="shared" si="21"/>
        <v>-8.50750068327355E-2</v>
      </c>
      <c r="I72" s="7">
        <f t="shared" si="22"/>
        <v>-0.18683770304174308</v>
      </c>
      <c r="J72" s="7">
        <f t="shared" si="23"/>
        <v>-0.10184154935284184</v>
      </c>
      <c r="K72" s="7">
        <f t="shared" si="19"/>
        <v>0.85083079229729375</v>
      </c>
      <c r="L72" s="7">
        <f t="shared" si="20"/>
        <v>0.14916920770270628</v>
      </c>
    </row>
    <row r="73" spans="1:12" x14ac:dyDescent="0.2">
      <c r="A73" s="2" t="s">
        <v>157</v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>11318.279999999999</v>
      </c>
      <c r="C73" s="4">
        <f>IF(SUMIFS('Monthly BSE Equity Cash'!$G:$G,'Monthly BSE Equity Cash'!$C:$C,$A73)=0,"",SUMIFS('Monthly BSE Equity Cash'!$G:$G,'Monthly BSE Equity Cash'!$C:$C,$A73))</f>
        <v>1985.0169000000001</v>
      </c>
      <c r="D73" s="4">
        <f t="shared" si="18"/>
        <v>13303.296899999999</v>
      </c>
      <c r="E73" s="7">
        <f t="shared" si="24"/>
        <v>5.833014632796174E-2</v>
      </c>
      <c r="F73" s="7">
        <f t="shared" si="25"/>
        <v>-5.9576973372089448E-2</v>
      </c>
      <c r="G73" s="7">
        <f t="shared" si="26"/>
        <v>3.8894756538811359E-2</v>
      </c>
      <c r="H73" s="7">
        <f t="shared" si="21"/>
        <v>5.3281629074990677E-2</v>
      </c>
      <c r="I73" s="7">
        <f t="shared" si="22"/>
        <v>5.3640123123567918E-2</v>
      </c>
      <c r="J73" s="7">
        <f t="shared" si="23"/>
        <v>5.3335105348183198E-2</v>
      </c>
      <c r="K73" s="7">
        <f t="shared" si="19"/>
        <v>0.850787596870066</v>
      </c>
      <c r="L73" s="7">
        <f t="shared" si="20"/>
        <v>0.14921240312993392</v>
      </c>
    </row>
    <row r="74" spans="1:12" x14ac:dyDescent="0.2">
      <c r="A74" s="2" t="s">
        <v>158</v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>9759.0499999999993</v>
      </c>
      <c r="C74" s="4">
        <f>IF(SUMIFS('Monthly BSE Equity Cash'!$G:$G,'Monthly BSE Equity Cash'!$C:$C,$A74)=0,"",SUMIFS('Monthly BSE Equity Cash'!$G:$G,'Monthly BSE Equity Cash'!$C:$C,$A74))</f>
        <v>1706.8339000000001</v>
      </c>
      <c r="D74" s="4">
        <f t="shared" si="18"/>
        <v>11465.883899999999</v>
      </c>
      <c r="E74" s="7">
        <f t="shared" si="24"/>
        <v>2.156700184863003E-2</v>
      </c>
      <c r="F74" s="7">
        <f t="shared" si="25"/>
        <v>-8.2865645118503251E-2</v>
      </c>
      <c r="G74" s="7">
        <f t="shared" si="26"/>
        <v>4.5393794682073718E-3</v>
      </c>
      <c r="H74" s="7">
        <f t="shared" si="21"/>
        <v>-0.13776209812798412</v>
      </c>
      <c r="I74" s="7">
        <f t="shared" si="22"/>
        <v>-0.14014137612631916</v>
      </c>
      <c r="J74" s="7">
        <f t="shared" si="23"/>
        <v>-0.13811711591582987</v>
      </c>
      <c r="K74" s="7">
        <f t="shared" si="19"/>
        <v>0.85113804440318819</v>
      </c>
      <c r="L74" s="7">
        <f t="shared" si="20"/>
        <v>0.1488619555968119</v>
      </c>
    </row>
    <row r="75" spans="1:12" x14ac:dyDescent="0.2">
      <c r="A75" s="2" t="s">
        <v>159</v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>10546.77</v>
      </c>
      <c r="C75" s="4">
        <f>IF(SUMIFS('Monthly BSE Equity Cash'!$G:$G,'Monthly BSE Equity Cash'!$C:$C,$A75)=0,"",SUMIFS('Monthly BSE Equity Cash'!$G:$G,'Monthly BSE Equity Cash'!$C:$C,$A75))</f>
        <v>1825.0801999999999</v>
      </c>
      <c r="D75" s="4">
        <f t="shared" si="18"/>
        <v>12371.850200000001</v>
      </c>
      <c r="E75" s="7">
        <f t="shared" si="24"/>
        <v>-0.10201508225251232</v>
      </c>
      <c r="F75" s="7">
        <f t="shared" si="25"/>
        <v>-0.21225205428082916</v>
      </c>
      <c r="G75" s="7">
        <f t="shared" si="26"/>
        <v>-0.1201778565072783</v>
      </c>
      <c r="H75" s="7">
        <f t="shared" si="21"/>
        <v>8.0716873056291494E-2</v>
      </c>
      <c r="I75" s="7">
        <f t="shared" si="22"/>
        <v>6.9278152959113326E-2</v>
      </c>
      <c r="J75" s="7">
        <f t="shared" si="23"/>
        <v>7.9014082813100961E-2</v>
      </c>
      <c r="K75" s="7">
        <f t="shared" si="19"/>
        <v>0.85248122386738889</v>
      </c>
      <c r="L75" s="7">
        <f t="shared" si="20"/>
        <v>0.14751877613261108</v>
      </c>
    </row>
    <row r="76" spans="1:12" x14ac:dyDescent="0.2">
      <c r="A76" s="2" t="s">
        <v>160</v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>10806.12</v>
      </c>
      <c r="C76" s="4">
        <f>IF(SUMIFS('Monthly BSE Equity Cash'!$G:$G,'Monthly BSE Equity Cash'!$C:$C,$A76)=0,"",SUMIFS('Monthly BSE Equity Cash'!$G:$G,'Monthly BSE Equity Cash'!$C:$C,$A76))</f>
        <v>1694.3471999999999</v>
      </c>
      <c r="D76" s="4">
        <f t="shared" si="18"/>
        <v>12500.467200000001</v>
      </c>
      <c r="E76" s="7">
        <f t="shared" si="24"/>
        <v>5.619906697823307E-3</v>
      </c>
      <c r="F76" s="7">
        <f t="shared" si="25"/>
        <v>-0.10064635095949448</v>
      </c>
      <c r="G76" s="7">
        <f t="shared" si="26"/>
        <v>-1.0231746762450311E-2</v>
      </c>
      <c r="H76" s="7">
        <f t="shared" si="21"/>
        <v>2.4590467033982932E-2</v>
      </c>
      <c r="I76" s="7">
        <f t="shared" si="22"/>
        <v>-7.1631372692553485E-2</v>
      </c>
      <c r="J76" s="7">
        <f t="shared" si="23"/>
        <v>1.0395939000296117E-2</v>
      </c>
      <c r="K76" s="7">
        <f t="shared" si="19"/>
        <v>0.86445729004432725</v>
      </c>
      <c r="L76" s="7">
        <f t="shared" si="20"/>
        <v>0.13554270995567269</v>
      </c>
    </row>
    <row r="77" spans="1:12" x14ac:dyDescent="0.2">
      <c r="A77" s="2" t="s">
        <v>161</v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>13368.779999999999</v>
      </c>
      <c r="C77" s="4">
        <f>IF(SUMIFS('Monthly BSE Equity Cash'!$G:$G,'Monthly BSE Equity Cash'!$C:$C,$A77)=0,"",SUMIFS('Monthly BSE Equity Cash'!$G:$G,'Monthly BSE Equity Cash'!$C:$C,$A77))</f>
        <v>2180.3173999999999</v>
      </c>
      <c r="D77" s="4">
        <f t="shared" si="18"/>
        <v>15549.097399999999</v>
      </c>
      <c r="E77" s="7">
        <f t="shared" si="24"/>
        <v>0.18116710312874407</v>
      </c>
      <c r="F77" s="7">
        <f t="shared" si="25"/>
        <v>9.8387323553769113E-2</v>
      </c>
      <c r="G77" s="7">
        <f t="shared" si="26"/>
        <v>0.16881533328779574</v>
      </c>
      <c r="H77" s="7">
        <f t="shared" si="21"/>
        <v>0.23714894892894001</v>
      </c>
      <c r="I77" s="7">
        <f t="shared" si="22"/>
        <v>0.28681854580926514</v>
      </c>
      <c r="J77" s="7">
        <f t="shared" si="23"/>
        <v>0.24388130069250513</v>
      </c>
      <c r="K77" s="7">
        <f t="shared" si="19"/>
        <v>0.85977852322154724</v>
      </c>
      <c r="L77" s="7">
        <f t="shared" si="20"/>
        <v>0.14022147677845276</v>
      </c>
    </row>
    <row r="78" spans="1:12" x14ac:dyDescent="0.2">
      <c r="A78" s="2" t="s">
        <v>162</v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>12007.66</v>
      </c>
      <c r="C78" s="4">
        <f>IF(SUMIFS('Monthly BSE Equity Cash'!$G:$G,'Monthly BSE Equity Cash'!$C:$C,$A78)=0,"",SUMIFS('Monthly BSE Equity Cash'!$G:$G,'Monthly BSE Equity Cash'!$C:$C,$A78))</f>
        <v>1885.9340000000002</v>
      </c>
      <c r="D78" s="4">
        <f t="shared" si="18"/>
        <v>13893.594000000001</v>
      </c>
      <c r="E78" s="7">
        <f t="shared" si="24"/>
        <v>0.23041279632751155</v>
      </c>
      <c r="F78" s="7">
        <f t="shared" si="25"/>
        <v>0.10493118281749614</v>
      </c>
      <c r="G78" s="7">
        <f t="shared" si="26"/>
        <v>0.2117333579489673</v>
      </c>
      <c r="H78" s="7">
        <f t="shared" si="21"/>
        <v>-0.10181332926415121</v>
      </c>
      <c r="I78" s="7">
        <f t="shared" si="22"/>
        <v>-0.13501859866824883</v>
      </c>
      <c r="J78" s="7">
        <f t="shared" si="23"/>
        <v>-0.10646942117682012</v>
      </c>
      <c r="K78" s="7">
        <f t="shared" si="19"/>
        <v>0.86425873679625298</v>
      </c>
      <c r="L78" s="7">
        <f t="shared" si="20"/>
        <v>0.13574126320374699</v>
      </c>
    </row>
    <row r="79" spans="1:12" x14ac:dyDescent="0.2">
      <c r="A79" s="2" t="s">
        <v>163</v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>14376.59</v>
      </c>
      <c r="C79" s="4">
        <f>IF(SUMIFS('Monthly BSE Equity Cash'!$G:$G,'Monthly BSE Equity Cash'!$C:$C,$A79)=0,"",SUMIFS('Monthly BSE Equity Cash'!$G:$G,'Monthly BSE Equity Cash'!$C:$C,$A79))</f>
        <v>4222.0072</v>
      </c>
      <c r="D79" s="4">
        <f t="shared" si="18"/>
        <v>18598.5972</v>
      </c>
      <c r="E79" s="7">
        <f t="shared" si="24"/>
        <v>0.36312728920797555</v>
      </c>
      <c r="F79" s="7">
        <f t="shared" si="25"/>
        <v>1.3133269431118699</v>
      </c>
      <c r="G79" s="7">
        <f t="shared" si="26"/>
        <v>0.50329957923350865</v>
      </c>
      <c r="H79" s="7">
        <f t="shared" si="21"/>
        <v>0.19728489980562403</v>
      </c>
      <c r="I79" s="7">
        <f t="shared" si="22"/>
        <v>1.2386823717054782</v>
      </c>
      <c r="J79" s="7">
        <f t="shared" si="23"/>
        <v>0.33864550813849892</v>
      </c>
      <c r="K79" s="7">
        <f t="shared" si="19"/>
        <v>0.77299324488838328</v>
      </c>
      <c r="L79" s="7">
        <f t="shared" si="20"/>
        <v>0.22700675511161669</v>
      </c>
    </row>
    <row r="80" spans="1:12" x14ac:dyDescent="0.2">
      <c r="A80" s="2" t="s">
        <v>164</v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>15469.170000000002</v>
      </c>
      <c r="C80" s="4">
        <f>IF(SUMIFS('Monthly BSE Equity Cash'!$G:$G,'Monthly BSE Equity Cash'!$C:$C,$A80)=0,"",SUMIFS('Monthly BSE Equity Cash'!$G:$G,'Monthly BSE Equity Cash'!$C:$C,$A80))</f>
        <v>2521.1053999999999</v>
      </c>
      <c r="D80" s="4">
        <f t="shared" si="18"/>
        <v>17990.275400000002</v>
      </c>
      <c r="E80" s="7">
        <f t="shared" si="24"/>
        <v>0.43151936125084678</v>
      </c>
      <c r="F80" s="7">
        <f t="shared" si="25"/>
        <v>0.48795087571189666</v>
      </c>
      <c r="G80" s="7">
        <f t="shared" si="26"/>
        <v>0.43916824164780022</v>
      </c>
      <c r="H80" s="7">
        <f t="shared" si="21"/>
        <v>7.5997159270731141E-2</v>
      </c>
      <c r="I80" s="7">
        <f t="shared" si="22"/>
        <v>-0.40286567962271591</v>
      </c>
      <c r="J80" s="7">
        <f t="shared" si="23"/>
        <v>-3.2707939930007091E-2</v>
      </c>
      <c r="K80" s="7">
        <f t="shared" si="19"/>
        <v>0.85986287903074565</v>
      </c>
      <c r="L80" s="7">
        <f t="shared" si="20"/>
        <v>0.14013712096925429</v>
      </c>
    </row>
    <row r="81" spans="1:12" x14ac:dyDescent="0.2">
      <c r="A81" s="2" t="s">
        <v>165</v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>16978.650000000001</v>
      </c>
      <c r="C81" s="4">
        <f>IF(SUMIFS('Monthly BSE Equity Cash'!$G:$G,'Monthly BSE Equity Cash'!$C:$C,$A81)=0,"",SUMIFS('Monthly BSE Equity Cash'!$G:$G,'Monthly BSE Equity Cash'!$C:$C,$A81))</f>
        <v>2518.0884999999998</v>
      </c>
      <c r="D81" s="4">
        <f t="shared" si="18"/>
        <v>19496.738499999999</v>
      </c>
      <c r="E81" s="7">
        <f t="shared" si="24"/>
        <v>0.2700223954616654</v>
      </c>
      <c r="F81" s="7">
        <f t="shared" si="25"/>
        <v>0.15491831602132788</v>
      </c>
      <c r="G81" s="7">
        <f t="shared" si="26"/>
        <v>0.25388233145931682</v>
      </c>
      <c r="H81" s="7">
        <f t="shared" si="21"/>
        <v>9.7579896012520262E-2</v>
      </c>
      <c r="I81" s="7">
        <f t="shared" si="22"/>
        <v>-1.1966576248656491E-3</v>
      </c>
      <c r="J81" s="7">
        <f t="shared" si="23"/>
        <v>8.3737634166511921E-2</v>
      </c>
      <c r="K81" s="7">
        <f t="shared" si="19"/>
        <v>0.87084565451806217</v>
      </c>
      <c r="L81" s="7">
        <f t="shared" si="20"/>
        <v>0.12915434548193791</v>
      </c>
    </row>
    <row r="82" spans="1:12" x14ac:dyDescent="0.2">
      <c r="A82" s="2" t="s">
        <v>166</v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>19406.71</v>
      </c>
      <c r="C82" s="4">
        <f>IF(SUMIFS('Monthly BSE Equity Cash'!$G:$G,'Monthly BSE Equity Cash'!$C:$C,$A82)=0,"",SUMIFS('Monthly BSE Equity Cash'!$G:$G,'Monthly BSE Equity Cash'!$C:$C,$A82))</f>
        <v>2963.9455000000003</v>
      </c>
      <c r="D82" s="4">
        <f t="shared" si="18"/>
        <v>22370.655500000001</v>
      </c>
      <c r="E82" s="7">
        <f t="shared" si="24"/>
        <v>0.61619416272612648</v>
      </c>
      <c r="F82" s="7">
        <f t="shared" si="25"/>
        <v>0.5716061643726662</v>
      </c>
      <c r="G82" s="7">
        <f t="shared" si="26"/>
        <v>0.61014173150590123</v>
      </c>
      <c r="H82" s="7">
        <f t="shared" si="21"/>
        <v>0.14300665836211923</v>
      </c>
      <c r="I82" s="7">
        <f t="shared" si="22"/>
        <v>0.17706168786363174</v>
      </c>
      <c r="J82" s="7">
        <f t="shared" si="23"/>
        <v>0.14740501340775536</v>
      </c>
      <c r="K82" s="7">
        <f t="shared" si="19"/>
        <v>0.8675074362483477</v>
      </c>
      <c r="L82" s="7">
        <f t="shared" si="20"/>
        <v>0.13249256375165225</v>
      </c>
    </row>
    <row r="83" spans="1:12" x14ac:dyDescent="0.2">
      <c r="A83" s="2" t="s">
        <v>167</v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>20493.740000000002</v>
      </c>
      <c r="C83" s="4">
        <f>IF(SUMIFS('Monthly BSE Equity Cash'!$G:$G,'Monthly BSE Equity Cash'!$C:$C,$A83)=0,"",SUMIFS('Monthly BSE Equity Cash'!$G:$G,'Monthly BSE Equity Cash'!$C:$C,$A83))</f>
        <v>2826.5428000000002</v>
      </c>
      <c r="D83" s="4">
        <f t="shared" si="18"/>
        <v>23320.282800000001</v>
      </c>
      <c r="E83" s="7">
        <f t="shared" si="24"/>
        <v>0.42549380625029998</v>
      </c>
      <c r="F83" s="7">
        <f t="shared" si="25"/>
        <v>-0.33052155856105592</v>
      </c>
      <c r="G83" s="7">
        <f t="shared" si="26"/>
        <v>0.2538732114699489</v>
      </c>
      <c r="H83" s="7">
        <f t="shared" si="21"/>
        <v>5.6013100623444334E-2</v>
      </c>
      <c r="I83" s="7">
        <f t="shared" si="22"/>
        <v>-4.6358038634651044E-2</v>
      </c>
      <c r="J83" s="7">
        <f t="shared" si="23"/>
        <v>4.2449685928961811E-2</v>
      </c>
      <c r="K83" s="7">
        <f t="shared" si="19"/>
        <v>0.87879466024314257</v>
      </c>
      <c r="L83" s="7">
        <f t="shared" si="20"/>
        <v>0.1212053397568575</v>
      </c>
    </row>
    <row r="84" spans="1:12" x14ac:dyDescent="0.2">
      <c r="A84" s="2" t="s">
        <v>168</v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>19331.489999999998</v>
      </c>
      <c r="C84" s="4">
        <f>IF(SUMIFS('Monthly BSE Equity Cash'!$G:$G,'Monthly BSE Equity Cash'!$C:$C,$A84)=0,"",SUMIFS('Monthly BSE Equity Cash'!$G:$G,'Monthly BSE Equity Cash'!$C:$C,$A84))</f>
        <v>2111.5275000000001</v>
      </c>
      <c r="D84" s="4">
        <f t="shared" si="18"/>
        <v>21443.017499999998</v>
      </c>
      <c r="E84" s="7">
        <f t="shared" si="24"/>
        <v>0.24967855418228613</v>
      </c>
      <c r="F84" s="7">
        <f t="shared" si="25"/>
        <v>-0.16245964964415993</v>
      </c>
      <c r="G84" s="7">
        <f t="shared" si="26"/>
        <v>0.19192269285660823</v>
      </c>
      <c r="H84" s="7">
        <f t="shared" si="21"/>
        <v>-5.6712439993871433E-2</v>
      </c>
      <c r="I84" s="7">
        <f t="shared" si="22"/>
        <v>-0.25296461104356882</v>
      </c>
      <c r="J84" s="7">
        <f t="shared" si="23"/>
        <v>-8.0499251063970934E-2</v>
      </c>
      <c r="K84" s="7">
        <f t="shared" si="19"/>
        <v>0.90152843460581045</v>
      </c>
      <c r="L84" s="7">
        <f t="shared" si="20"/>
        <v>9.8471565394189525E-2</v>
      </c>
    </row>
    <row r="85" spans="1:12" x14ac:dyDescent="0.2">
      <c r="A85" s="2" t="s">
        <v>169</v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>20570.55</v>
      </c>
      <c r="C85" s="4">
        <f>IF(SUMIFS('Monthly BSE Equity Cash'!$G:$G,'Monthly BSE Equity Cash'!$C:$C,$A85)=0,"",SUMIFS('Monthly BSE Equity Cash'!$G:$G,'Monthly BSE Equity Cash'!$C:$C,$A85))</f>
        <v>1955.4079000000002</v>
      </c>
      <c r="D85" s="4">
        <f t="shared" si="18"/>
        <v>22525.957900000001</v>
      </c>
      <c r="E85" s="7">
        <f t="shared" si="24"/>
        <v>0.21155392213161806</v>
      </c>
      <c r="F85" s="7">
        <f t="shared" si="25"/>
        <v>-0.22345545043393022</v>
      </c>
      <c r="G85" s="7">
        <f t="shared" si="26"/>
        <v>0.15537057133940646</v>
      </c>
      <c r="H85" s="7">
        <f t="shared" si="21"/>
        <v>6.4095421511740858E-2</v>
      </c>
      <c r="I85" s="7">
        <f t="shared" si="22"/>
        <v>-7.3936806411472267E-2</v>
      </c>
      <c r="J85" s="7">
        <f t="shared" si="23"/>
        <v>5.0503171953294457E-2</v>
      </c>
      <c r="K85" s="7">
        <f t="shared" si="19"/>
        <v>0.91319312995786062</v>
      </c>
      <c r="L85" s="7">
        <f t="shared" si="20"/>
        <v>8.6806870042139259E-2</v>
      </c>
    </row>
    <row r="86" spans="1:12" x14ac:dyDescent="0.2">
      <c r="A86" s="2" t="s">
        <v>170</v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>19564.150000000001</v>
      </c>
      <c r="C86" s="4">
        <f>IF(SUMIFS('Monthly BSE Equity Cash'!$G:$G,'Monthly BSE Equity Cash'!$C:$C,$A86)=0,"",SUMIFS('Monthly BSE Equity Cash'!$G:$G,'Monthly BSE Equity Cash'!$C:$C,$A86))</f>
        <v>1759.3145999999999</v>
      </c>
      <c r="D86" s="4">
        <f t="shared" si="18"/>
        <v>21323.464600000003</v>
      </c>
      <c r="E86" s="7">
        <f t="shared" si="24"/>
        <v>8.1126579415058409E-3</v>
      </c>
      <c r="F86" s="7">
        <f t="shared" si="25"/>
        <v>-0.4064281546337476</v>
      </c>
      <c r="G86" s="7">
        <f t="shared" si="26"/>
        <v>-4.68109170962826E-2</v>
      </c>
      <c r="H86" s="7">
        <f t="shared" si="21"/>
        <v>-4.892431169803424E-2</v>
      </c>
      <c r="I86" s="7">
        <f t="shared" si="22"/>
        <v>-0.10028255485722448</v>
      </c>
      <c r="J86" s="7">
        <f t="shared" si="23"/>
        <v>-5.33825600375466E-2</v>
      </c>
      <c r="K86" s="7">
        <f t="shared" si="19"/>
        <v>0.9174939610892312</v>
      </c>
      <c r="L86" s="7">
        <f t="shared" si="20"/>
        <v>8.2506038910768742E-2</v>
      </c>
    </row>
    <row r="87" spans="1:12" x14ac:dyDescent="0.2">
      <c r="A87" s="2" t="s">
        <v>171</v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>20023.830000000002</v>
      </c>
      <c r="C87" s="4">
        <f>IF(SUMIFS('Monthly BSE Equity Cash'!$G:$G,'Monthly BSE Equity Cash'!$C:$C,$A87)=0,"",SUMIFS('Monthly BSE Equity Cash'!$G:$G,'Monthly BSE Equity Cash'!$C:$C,$A87))</f>
        <v>1929.6507999999999</v>
      </c>
      <c r="D87" s="4">
        <f t="shared" si="18"/>
        <v>21953.480800000001</v>
      </c>
      <c r="E87" s="7">
        <f t="shared" si="24"/>
        <v>-2.292944089268234E-2</v>
      </c>
      <c r="F87" s="7">
        <f t="shared" si="25"/>
        <v>-0.31731060290330659</v>
      </c>
      <c r="G87" s="7">
        <f t="shared" si="26"/>
        <v>-5.8610009652198536E-2</v>
      </c>
      <c r="H87" s="7">
        <f t="shared" si="21"/>
        <v>2.3496037394928893E-2</v>
      </c>
      <c r="I87" s="7">
        <f t="shared" si="22"/>
        <v>9.6819636465246273E-2</v>
      </c>
      <c r="J87" s="7">
        <f t="shared" si="23"/>
        <v>2.9545677112902125E-2</v>
      </c>
      <c r="K87" s="7">
        <f t="shared" si="19"/>
        <v>0.91210274044560624</v>
      </c>
      <c r="L87" s="7">
        <f t="shared" si="20"/>
        <v>8.7897259554393758E-2</v>
      </c>
    </row>
    <row r="88" spans="1:12" x14ac:dyDescent="0.2">
      <c r="A88" s="2" t="s">
        <v>172</v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>20243.29</v>
      </c>
      <c r="C88" s="4">
        <f>IF(SUMIFS('Monthly BSE Equity Cash'!$G:$G,'Monthly BSE Equity Cash'!$C:$C,$A88)=0,"",SUMIFS('Monthly BSE Equity Cash'!$G:$G,'Monthly BSE Equity Cash'!$C:$C,$A88))</f>
        <v>1609.9753000000001</v>
      </c>
      <c r="D88" s="4">
        <f t="shared" si="18"/>
        <v>21853.265299999999</v>
      </c>
      <c r="E88" s="7">
        <f t="shared" si="24"/>
        <v>4.7166566053625569E-2</v>
      </c>
      <c r="F88" s="7">
        <f t="shared" si="25"/>
        <v>-0.23753050812741017</v>
      </c>
      <c r="G88" s="7">
        <f t="shared" si="26"/>
        <v>1.9131999495873186E-2</v>
      </c>
      <c r="H88" s="7">
        <f t="shared" si="21"/>
        <v>1.0959941230024306E-2</v>
      </c>
      <c r="I88" s="7">
        <f t="shared" si="22"/>
        <v>-0.16566494829012579</v>
      </c>
      <c r="J88" s="7">
        <f t="shared" si="23"/>
        <v>-4.5649025278944322E-3</v>
      </c>
      <c r="K88" s="7">
        <f t="shared" si="19"/>
        <v>0.92632792958405175</v>
      </c>
      <c r="L88" s="7">
        <f t="shared" si="20"/>
        <v>7.3672070415948324E-2</v>
      </c>
    </row>
    <row r="89" spans="1:12" x14ac:dyDescent="0.2">
      <c r="A89" s="2" t="s">
        <v>173</v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>20969.52</v>
      </c>
      <c r="C89" s="4">
        <f>IF(SUMIFS('Monthly BSE Equity Cash'!$G:$G,'Monthly BSE Equity Cash'!$C:$C,$A89)=0,"",SUMIFS('Monthly BSE Equity Cash'!$G:$G,'Monthly BSE Equity Cash'!$C:$C,$A89))</f>
        <v>1517.4359999999999</v>
      </c>
      <c r="D89" s="4">
        <f t="shared" si="18"/>
        <v>22486.956000000002</v>
      </c>
      <c r="E89" s="7">
        <f t="shared" si="24"/>
        <v>1.9395203336809219E-2</v>
      </c>
      <c r="F89" s="7">
        <f t="shared" si="25"/>
        <v>-0.22397981515774801</v>
      </c>
      <c r="G89" s="7">
        <f t="shared" si="26"/>
        <v>-1.7314202651510513E-3</v>
      </c>
      <c r="H89" s="7">
        <f t="shared" si="21"/>
        <v>3.587509737794603E-2</v>
      </c>
      <c r="I89" s="7">
        <f t="shared" si="22"/>
        <v>-5.7478707903158566E-2</v>
      </c>
      <c r="J89" s="7">
        <f t="shared" si="23"/>
        <v>2.8997529261679755E-2</v>
      </c>
      <c r="K89" s="7">
        <f t="shared" si="19"/>
        <v>0.93251927917678135</v>
      </c>
      <c r="L89" s="7">
        <f t="shared" si="20"/>
        <v>6.7480720823218571E-2</v>
      </c>
    </row>
    <row r="90" spans="1:12" x14ac:dyDescent="0.2">
      <c r="A90" s="2" t="s">
        <v>174</v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>22691.660000000003</v>
      </c>
      <c r="C90" s="4">
        <f>IF(SUMIFS('Monthly BSE Equity Cash'!$G:$G,'Monthly BSE Equity Cash'!$C:$C,$A90)=0,"",SUMIFS('Monthly BSE Equity Cash'!$G:$G,'Monthly BSE Equity Cash'!$C:$C,$A90))</f>
        <v>1546.2707</v>
      </c>
      <c r="D90" s="4">
        <f t="shared" si="18"/>
        <v>24237.930700000004</v>
      </c>
      <c r="E90" s="7">
        <f t="shared" si="24"/>
        <v>0.15985923232034116</v>
      </c>
      <c r="F90" s="7">
        <f t="shared" si="25"/>
        <v>-0.1210948286338327</v>
      </c>
      <c r="G90" s="7">
        <f t="shared" si="26"/>
        <v>0.13667882563511746</v>
      </c>
      <c r="H90" s="7">
        <f t="shared" si="21"/>
        <v>8.2125866495752042E-2</v>
      </c>
      <c r="I90" s="7">
        <f t="shared" si="22"/>
        <v>1.9002251165782358E-2</v>
      </c>
      <c r="J90" s="7">
        <f t="shared" si="23"/>
        <v>7.7866239432318185E-2</v>
      </c>
      <c r="K90" s="7">
        <f t="shared" si="19"/>
        <v>0.93620450858042925</v>
      </c>
      <c r="L90" s="7">
        <f t="shared" si="20"/>
        <v>6.3795491419570721E-2</v>
      </c>
    </row>
    <row r="91" spans="1:12" x14ac:dyDescent="0.2">
      <c r="A91" s="2" t="s">
        <v>175</v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>26083.64</v>
      </c>
      <c r="C91" s="4">
        <f>IF(SUMIFS('Monthly BSE Equity Cash'!$G:$G,'Monthly BSE Equity Cash'!$C:$C,$A91)=0,"",SUMIFS('Monthly BSE Equity Cash'!$G:$G,'Monthly BSE Equity Cash'!$C:$C,$A91))</f>
        <v>1935.2782999999999</v>
      </c>
      <c r="D91" s="4">
        <f t="shared" si="18"/>
        <v>28018.918299999998</v>
      </c>
      <c r="E91" s="7">
        <f t="shared" si="24"/>
        <v>0.30262991645454429</v>
      </c>
      <c r="F91" s="7">
        <f t="shared" si="25"/>
        <v>2.9163307682404938E-3</v>
      </c>
      <c r="G91" s="7">
        <f t="shared" si="26"/>
        <v>0.27628591362149724</v>
      </c>
      <c r="H91" s="7">
        <f t="shared" si="21"/>
        <v>0.14948135129823004</v>
      </c>
      <c r="I91" s="7">
        <f t="shared" si="22"/>
        <v>0.25157794168899406</v>
      </c>
      <c r="J91" s="7">
        <f t="shared" si="23"/>
        <v>0.15599465345447139</v>
      </c>
      <c r="K91" s="7">
        <f t="shared" si="19"/>
        <v>0.93092958552936</v>
      </c>
      <c r="L91" s="7">
        <f t="shared" si="20"/>
        <v>6.907041447064001E-2</v>
      </c>
    </row>
    <row r="92" spans="1:12" x14ac:dyDescent="0.2">
      <c r="A92" s="2" t="s">
        <v>176</v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>32569.393999999997</v>
      </c>
      <c r="C92" s="4">
        <f>IF(SUMIFS('Monthly BSE Equity Cash'!$G:$G,'Monthly BSE Equity Cash'!$C:$C,$A92)=0,"",SUMIFS('Monthly BSE Equity Cash'!$G:$G,'Monthly BSE Equity Cash'!$C:$C,$A92))</f>
        <v>2196.8802999999998</v>
      </c>
      <c r="D92" s="4">
        <f t="shared" si="18"/>
        <v>34766.274299999997</v>
      </c>
      <c r="E92" s="7">
        <f t="shared" si="24"/>
        <v>0.60889825715088786</v>
      </c>
      <c r="F92" s="7">
        <f t="shared" si="25"/>
        <v>0.36454285975691669</v>
      </c>
      <c r="G92" s="7">
        <f t="shared" si="26"/>
        <v>0.59089608910756231</v>
      </c>
      <c r="H92" s="7">
        <f t="shared" si="21"/>
        <v>0.24865218198073569</v>
      </c>
      <c r="I92" s="7">
        <f t="shared" si="22"/>
        <v>0.13517539053685446</v>
      </c>
      <c r="J92" s="7">
        <f t="shared" si="23"/>
        <v>0.24081429296290868</v>
      </c>
      <c r="K92" s="7">
        <f t="shared" si="19"/>
        <v>0.93681001648197892</v>
      </c>
      <c r="L92" s="7">
        <f t="shared" si="20"/>
        <v>6.3189983518021089E-2</v>
      </c>
    </row>
    <row r="93" spans="1:12" x14ac:dyDescent="0.2">
      <c r="A93" s="2" t="s">
        <v>177</v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>38544.07</v>
      </c>
      <c r="C93" s="4">
        <f>IF(SUMIFS('Monthly BSE Equity Cash'!$G:$G,'Monthly BSE Equity Cash'!$C:$C,$A93)=0,"",SUMIFS('Monthly BSE Equity Cash'!$G:$G,'Monthly BSE Equity Cash'!$C:$C,$A93))</f>
        <v>2431.98</v>
      </c>
      <c r="D93" s="4">
        <f t="shared" si="18"/>
        <v>40976.050000000003</v>
      </c>
      <c r="E93" s="7">
        <f t="shared" si="24"/>
        <v>0.83809977529290136</v>
      </c>
      <c r="F93" s="7">
        <f t="shared" si="25"/>
        <v>0.60269032763161023</v>
      </c>
      <c r="G93" s="7">
        <f t="shared" si="26"/>
        <v>0.82221417607612168</v>
      </c>
      <c r="H93" s="7">
        <f t="shared" si="21"/>
        <v>0.18344449393194129</v>
      </c>
      <c r="I93" s="7">
        <f t="shared" si="22"/>
        <v>0.10701525249236399</v>
      </c>
      <c r="J93" s="7">
        <f t="shared" si="23"/>
        <v>0.17861493142507956</v>
      </c>
      <c r="K93" s="7">
        <f t="shared" si="19"/>
        <v>0.94064874481556904</v>
      </c>
      <c r="L93" s="7">
        <f t="shared" si="20"/>
        <v>5.93512551844309E-2</v>
      </c>
    </row>
    <row r="94" spans="1:12" x14ac:dyDescent="0.2">
      <c r="A94" s="2" t="s">
        <v>178</v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>38107.08</v>
      </c>
      <c r="C94" s="4">
        <f>IF(SUMIFS('Monthly BSE Equity Cash'!$G:$G,'Monthly BSE Equity Cash'!$C:$C,$A94)=0,"",SUMIFS('Monthly BSE Equity Cash'!$G:$G,'Monthly BSE Equity Cash'!$C:$C,$A94))</f>
        <v>2279.5700000000002</v>
      </c>
      <c r="D94" s="4">
        <f t="shared" si="18"/>
        <v>40386.65</v>
      </c>
      <c r="E94" s="7">
        <f t="shared" si="24"/>
        <v>0.679342983281082</v>
      </c>
      <c r="F94" s="7">
        <f t="shared" si="25"/>
        <v>0.47423733761494691</v>
      </c>
      <c r="G94" s="7">
        <f t="shared" si="26"/>
        <v>0.6662581678228825</v>
      </c>
      <c r="H94" s="7">
        <f t="shared" si="21"/>
        <v>-1.1337411954679411E-2</v>
      </c>
      <c r="I94" s="7">
        <f t="shared" si="22"/>
        <v>-6.2669100897211227E-2</v>
      </c>
      <c r="J94" s="7">
        <f t="shared" si="23"/>
        <v>-1.4384012124155521E-2</v>
      </c>
      <c r="K94" s="7">
        <f t="shared" si="19"/>
        <v>0.9435563484468259</v>
      </c>
      <c r="L94" s="7">
        <f t="shared" si="20"/>
        <v>5.6443651553174136E-2</v>
      </c>
    </row>
    <row r="95" spans="1:12" x14ac:dyDescent="0.2">
      <c r="A95" s="2" t="s">
        <v>179</v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>44758.559999999998</v>
      </c>
      <c r="C95" s="4">
        <f>IF(SUMIFS('Monthly BSE Equity Cash'!$G:$G,'Monthly BSE Equity Cash'!$C:$C,$A95)=0,"",SUMIFS('Monthly BSE Equity Cash'!$G:$G,'Monthly BSE Equity Cash'!$C:$C,$A95))</f>
        <v>3542.4653000000003</v>
      </c>
      <c r="D95" s="4">
        <f t="shared" si="18"/>
        <v>48301.025300000001</v>
      </c>
      <c r="E95" s="7">
        <f t="shared" si="24"/>
        <v>0.71596295609048433</v>
      </c>
      <c r="F95" s="7">
        <f t="shared" si="25"/>
        <v>0.83046815540689956</v>
      </c>
      <c r="G95" s="7">
        <f t="shared" si="26"/>
        <v>0.72387187766631245</v>
      </c>
      <c r="H95" s="7">
        <f t="shared" si="21"/>
        <v>0.17454709203644025</v>
      </c>
      <c r="I95" s="7">
        <f t="shared" si="22"/>
        <v>0.55400593094311645</v>
      </c>
      <c r="J95" s="7">
        <f t="shared" si="23"/>
        <v>0.19596513451846098</v>
      </c>
      <c r="K95" s="7">
        <f t="shared" si="19"/>
        <v>0.92665858999891659</v>
      </c>
      <c r="L95" s="7">
        <f t="shared" si="20"/>
        <v>7.3341410001083351E-2</v>
      </c>
    </row>
    <row r="96" spans="1:12" x14ac:dyDescent="0.2">
      <c r="A96" s="2" t="s">
        <v>180</v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>44532.959999999999</v>
      </c>
      <c r="C96" s="4">
        <f>IF(SUMIFS('Monthly BSE Equity Cash'!$G:$G,'Monthly BSE Equity Cash'!$C:$C,$A96)=0,"",SUMIFS('Monthly BSE Equity Cash'!$G:$G,'Monthly BSE Equity Cash'!$C:$C,$A96))</f>
        <v>3453.2584999999999</v>
      </c>
      <c r="D96" s="4">
        <f t="shared" si="18"/>
        <v>47986.218500000003</v>
      </c>
      <c r="E96" s="7">
        <f t="shared" si="24"/>
        <v>0.36732540986178641</v>
      </c>
      <c r="F96" s="7">
        <f t="shared" si="25"/>
        <v>0.57189196880685778</v>
      </c>
      <c r="G96" s="7">
        <f t="shared" si="26"/>
        <v>0.38025196734986366</v>
      </c>
      <c r="H96" s="7">
        <f t="shared" si="21"/>
        <v>-5.0403766341008405E-3</v>
      </c>
      <c r="I96" s="7">
        <f t="shared" si="22"/>
        <v>-2.5182123872885986E-2</v>
      </c>
      <c r="J96" s="7">
        <f t="shared" si="23"/>
        <v>-6.5176007764786714E-3</v>
      </c>
      <c r="K96" s="7">
        <f t="shared" si="19"/>
        <v>0.92803645279946356</v>
      </c>
      <c r="L96" s="7">
        <f t="shared" si="20"/>
        <v>7.1963547200536326E-2</v>
      </c>
    </row>
    <row r="97" spans="1:12" x14ac:dyDescent="0.2">
      <c r="A97" s="2" t="s">
        <v>181</v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>40761.240100000017</v>
      </c>
      <c r="C97" s="4">
        <f>IF(SUMIFS('Monthly BSE Equity Cash'!$G:$G,'Monthly BSE Equity Cash'!$C:$C,$A97)=0,"",SUMIFS('Monthly BSE Equity Cash'!$G:$G,'Monthly BSE Equity Cash'!$C:$C,$A97))</f>
        <v>3541.9069</v>
      </c>
      <c r="D97" s="4">
        <f t="shared" si="18"/>
        <v>44303.147000000019</v>
      </c>
      <c r="E97" s="7">
        <f t="shared" si="24"/>
        <v>5.7522988620558602E-2</v>
      </c>
      <c r="F97" s="7">
        <f t="shared" si="25"/>
        <v>0.45638816931060289</v>
      </c>
      <c r="G97" s="7">
        <f t="shared" si="26"/>
        <v>8.1196137743877683E-2</v>
      </c>
      <c r="H97" s="7">
        <f t="shared" si="21"/>
        <v>-8.4695019149860773E-2</v>
      </c>
      <c r="I97" s="7">
        <f t="shared" si="22"/>
        <v>2.5670942386734064E-2</v>
      </c>
      <c r="J97" s="7">
        <f t="shared" si="23"/>
        <v>-7.6752693067489441E-2</v>
      </c>
      <c r="K97" s="7">
        <f t="shared" si="19"/>
        <v>0.92005292761708324</v>
      </c>
      <c r="L97" s="7">
        <f t="shared" si="20"/>
        <v>7.9947072382916692E-2</v>
      </c>
    </row>
    <row r="98" spans="1:12" x14ac:dyDescent="0.2">
      <c r="A98" s="2" t="s">
        <v>182</v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>41995.82</v>
      </c>
      <c r="C98" s="4">
        <f>IF(SUMIFS('Monthly BSE Equity Cash'!$G:$G,'Monthly BSE Equity Cash'!$C:$C,$A98)=0,"",SUMIFS('Monthly BSE Equity Cash'!$G:$G,'Monthly BSE Equity Cash'!$C:$C,$A98))</f>
        <v>3286.9115000000002</v>
      </c>
      <c r="D98" s="4">
        <f t="shared" ref="D98:D129" si="27">IF(OR(B98="",C98=""),"",B98+C98)</f>
        <v>45282.731500000002</v>
      </c>
      <c r="E98" s="7">
        <f t="shared" si="24"/>
        <v>0.10204770347137582</v>
      </c>
      <c r="F98" s="7">
        <f t="shared" si="25"/>
        <v>0.44189978811793451</v>
      </c>
      <c r="G98" s="7">
        <f t="shared" si="26"/>
        <v>0.12123019611678609</v>
      </c>
      <c r="H98" s="7">
        <f t="shared" si="21"/>
        <v>3.0288084880910615E-2</v>
      </c>
      <c r="I98" s="7">
        <f t="shared" si="22"/>
        <v>-7.1993817793460257E-2</v>
      </c>
      <c r="J98" s="7">
        <f t="shared" si="23"/>
        <v>2.2110946204340287E-2</v>
      </c>
      <c r="K98" s="7">
        <f t="shared" ref="K98:K117" si="28">IF(D98="","",B98/D98)</f>
        <v>0.927413577071869</v>
      </c>
      <c r="L98" s="7">
        <f t="shared" ref="L98:L117" si="29">IF(D98="","",C98/D98)</f>
        <v>7.2586422928131E-2</v>
      </c>
    </row>
    <row r="99" spans="1:12" x14ac:dyDescent="0.2">
      <c r="A99" s="2" t="s">
        <v>183</v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>38372.551400000004</v>
      </c>
      <c r="C99" s="4">
        <f>IF(SUMIFS('Monthly BSE Equity Cash'!$G:$G,'Monthly BSE Equity Cash'!$C:$C,$A99)=0,"",SUMIFS('Monthly BSE Equity Cash'!$G:$G,'Monthly BSE Equity Cash'!$C:$C,$A99))</f>
        <v>3100.1761999999999</v>
      </c>
      <c r="D99" s="4">
        <f t="shared" si="27"/>
        <v>41472.727600000006</v>
      </c>
      <c r="E99" s="7">
        <f t="shared" si="24"/>
        <v>-0.14267681087148454</v>
      </c>
      <c r="F99" s="7">
        <f t="shared" si="25"/>
        <v>-0.12485347421751747</v>
      </c>
      <c r="G99" s="7">
        <f t="shared" si="26"/>
        <v>-0.14136962223035865</v>
      </c>
      <c r="H99" s="7">
        <f t="shared" ref="H99:H117" si="30">IF(OR(B99="",B98=""),"",B99/B98-1)</f>
        <v>-8.6276886604428671E-2</v>
      </c>
      <c r="I99" s="7">
        <f t="shared" ref="I99:I117" si="31">IF(OR(C99="",C98=""),"",C99/C98-1)</f>
        <v>-5.6811782124343901E-2</v>
      </c>
      <c r="J99" s="7">
        <f t="shared" ref="J99:J117" si="32">IF(OR(D99="",D98=""),"",D99/D98-1)</f>
        <v>-8.4138120069015665E-2</v>
      </c>
      <c r="K99" s="7">
        <f t="shared" si="28"/>
        <v>0.92524783443469483</v>
      </c>
      <c r="L99" s="7">
        <f t="shared" si="29"/>
        <v>7.4752165565305131E-2</v>
      </c>
    </row>
    <row r="100" spans="1:12" x14ac:dyDescent="0.2">
      <c r="A100" s="2" t="s">
        <v>184</v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>34848.300000000003</v>
      </c>
      <c r="C100" s="4">
        <f>IF(SUMIFS('Monthly BSE Equity Cash'!$G:$G,'Monthly BSE Equity Cash'!$C:$C,$A100)=0,"",SUMIFS('Monthly BSE Equity Cash'!$G:$G,'Monthly BSE Equity Cash'!$C:$C,$A100))</f>
        <v>2515.2606000000001</v>
      </c>
      <c r="D100" s="4">
        <f t="shared" si="27"/>
        <v>37363.560600000004</v>
      </c>
      <c r="E100" s="7">
        <f t="shared" si="24"/>
        <v>-0.2174717332959677</v>
      </c>
      <c r="F100" s="7">
        <f t="shared" si="25"/>
        <v>-0.27162689963696607</v>
      </c>
      <c r="G100" s="7">
        <f t="shared" si="26"/>
        <v>-0.22136893116510103</v>
      </c>
      <c r="H100" s="7">
        <f t="shared" si="30"/>
        <v>-9.1843030276063442E-2</v>
      </c>
      <c r="I100" s="7">
        <f t="shared" si="31"/>
        <v>-0.18867172775534491</v>
      </c>
      <c r="J100" s="7">
        <f t="shared" si="32"/>
        <v>-9.9081185101507541E-2</v>
      </c>
      <c r="K100" s="7">
        <f t="shared" si="28"/>
        <v>0.9326814532766986</v>
      </c>
      <c r="L100" s="7">
        <f t="shared" si="29"/>
        <v>6.7318546723301301E-2</v>
      </c>
    </row>
    <row r="101" spans="1:12" x14ac:dyDescent="0.2">
      <c r="A101" s="2" t="s">
        <v>185</v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>34916.74</v>
      </c>
      <c r="C101" s="4">
        <f>IF(SUMIFS('Monthly BSE Equity Cash'!$G:$G,'Monthly BSE Equity Cash'!$C:$C,$A101)=0,"",SUMIFS('Monthly BSE Equity Cash'!$G:$G,'Monthly BSE Equity Cash'!$C:$C,$A101))</f>
        <v>2986.0349999999999</v>
      </c>
      <c r="D101" s="4">
        <f t="shared" si="27"/>
        <v>37902.774999999994</v>
      </c>
      <c r="E101" s="7">
        <f t="shared" si="24"/>
        <v>-0.14338376569656963</v>
      </c>
      <c r="F101" s="7">
        <f t="shared" si="25"/>
        <v>-0.15694142045348514</v>
      </c>
      <c r="G101" s="7">
        <f t="shared" si="26"/>
        <v>-0.14446766050276338</v>
      </c>
      <c r="H101" s="7">
        <f t="shared" si="30"/>
        <v>1.9639408522078572E-3</v>
      </c>
      <c r="I101" s="7">
        <f t="shared" si="31"/>
        <v>0.18716724620900105</v>
      </c>
      <c r="J101" s="7">
        <f t="shared" si="32"/>
        <v>1.4431558217178786E-2</v>
      </c>
      <c r="K101" s="7">
        <f t="shared" si="28"/>
        <v>0.92121856513144496</v>
      </c>
      <c r="L101" s="7">
        <f t="shared" si="29"/>
        <v>7.8781434868555142E-2</v>
      </c>
    </row>
    <row r="102" spans="1:12" x14ac:dyDescent="0.2">
      <c r="A102" s="2" t="s">
        <v>186</v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>32743.65</v>
      </c>
      <c r="C102" s="4">
        <f>IF(SUMIFS('Monthly BSE Equity Cash'!$G:$G,'Monthly BSE Equity Cash'!$C:$C,$A102)=0,"",SUMIFS('Monthly BSE Equity Cash'!$G:$G,'Monthly BSE Equity Cash'!$C:$C,$A102))</f>
        <v>2625.3407999999999</v>
      </c>
      <c r="D102" s="4">
        <f t="shared" si="27"/>
        <v>35368.9908</v>
      </c>
      <c r="E102" s="7">
        <f t="shared" ref="E102:E133" si="33">IF(OR(B102="",B98=""),"",B102/B98-1)</f>
        <v>-0.22031168816325053</v>
      </c>
      <c r="F102" s="7">
        <f t="shared" ref="F102:F133" si="34">IF(OR(C102="",C98=""),"",C102/C98-1)</f>
        <v>-0.20127426613098653</v>
      </c>
      <c r="G102" s="7">
        <f t="shared" ref="G102:G133" si="35">IF(OR(D102="",D98=""),"",D102/D98-1)</f>
        <v>-0.21892982979615538</v>
      </c>
      <c r="H102" s="7">
        <f t="shared" si="30"/>
        <v>-6.2236337069268122E-2</v>
      </c>
      <c r="I102" s="7">
        <f t="shared" si="31"/>
        <v>-0.12079369464858913</v>
      </c>
      <c r="J102" s="7">
        <f t="shared" si="32"/>
        <v>-6.6849569721478042E-2</v>
      </c>
      <c r="K102" s="7">
        <f t="shared" si="28"/>
        <v>0.92577281000621603</v>
      </c>
      <c r="L102" s="7">
        <f t="shared" si="29"/>
        <v>7.422718999378404E-2</v>
      </c>
    </row>
    <row r="103" spans="1:12" x14ac:dyDescent="0.2">
      <c r="A103" s="2" t="s">
        <v>187</v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>30542.059999999998</v>
      </c>
      <c r="C103" s="4">
        <f>IF(SUMIFS('Monthly BSE Equity Cash'!$G:$G,'Monthly BSE Equity Cash'!$C:$C,$A103)=0,"",SUMIFS('Monthly BSE Equity Cash'!$G:$G,'Monthly BSE Equity Cash'!$C:$C,$A103))</f>
        <v>2162.0128</v>
      </c>
      <c r="D103" s="4">
        <f t="shared" si="27"/>
        <v>32704.072799999998</v>
      </c>
      <c r="E103" s="7">
        <f t="shared" si="33"/>
        <v>-0.20406491396347459</v>
      </c>
      <c r="F103" s="7">
        <f t="shared" si="34"/>
        <v>-0.30261615452695878</v>
      </c>
      <c r="G103" s="7">
        <f t="shared" si="35"/>
        <v>-0.21143183261474241</v>
      </c>
      <c r="H103" s="7">
        <f t="shared" si="30"/>
        <v>-6.7237158960592458E-2</v>
      </c>
      <c r="I103" s="7">
        <f t="shared" si="31"/>
        <v>-0.17648299222714248</v>
      </c>
      <c r="J103" s="7">
        <f t="shared" si="32"/>
        <v>-7.5346170182497896E-2</v>
      </c>
      <c r="K103" s="7">
        <f t="shared" si="28"/>
        <v>0.93389163443887635</v>
      </c>
      <c r="L103" s="7">
        <f t="shared" si="29"/>
        <v>6.6108365561123636E-2</v>
      </c>
    </row>
    <row r="104" spans="1:12" x14ac:dyDescent="0.2">
      <c r="A104" s="2" t="s">
        <v>188</v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>35097.97</v>
      </c>
      <c r="C104" s="4">
        <f>IF(SUMIFS('Monthly BSE Equity Cash'!$G:$G,'Monthly BSE Equity Cash'!$C:$C,$A104)=0,"",SUMIFS('Monthly BSE Equity Cash'!$G:$G,'Monthly BSE Equity Cash'!$C:$C,$A104))</f>
        <v>2414.7224999999999</v>
      </c>
      <c r="D104" s="4">
        <f t="shared" si="27"/>
        <v>37512.692500000005</v>
      </c>
      <c r="E104" s="7">
        <f t="shared" si="33"/>
        <v>7.1644814811626656E-3</v>
      </c>
      <c r="F104" s="7">
        <f t="shared" si="34"/>
        <v>-3.9971245921794463E-2</v>
      </c>
      <c r="G104" s="7">
        <f t="shared" si="35"/>
        <v>3.9913728136498072E-3</v>
      </c>
      <c r="H104" s="7">
        <f t="shared" si="30"/>
        <v>0.14916839270173665</v>
      </c>
      <c r="I104" s="7">
        <f t="shared" si="31"/>
        <v>0.11688631075634692</v>
      </c>
      <c r="J104" s="7">
        <f t="shared" si="32"/>
        <v>0.14703427702741689</v>
      </c>
      <c r="K104" s="7">
        <f t="shared" si="28"/>
        <v>0.93562918737437994</v>
      </c>
      <c r="L104" s="7">
        <f t="shared" si="29"/>
        <v>6.4370812625619972E-2</v>
      </c>
    </row>
    <row r="105" spans="1:12" x14ac:dyDescent="0.2">
      <c r="A105" s="2" t="s">
        <v>189</v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>48817.32</v>
      </c>
      <c r="C105" s="4">
        <f>IF(SUMIFS('Monthly BSE Equity Cash'!$G:$G,'Monthly BSE Equity Cash'!$C:$C,$A105)=0,"",SUMIFS('Monthly BSE Equity Cash'!$G:$G,'Monthly BSE Equity Cash'!$C:$C,$A105))</f>
        <v>3731.0030999999999</v>
      </c>
      <c r="D105" s="4">
        <f t="shared" si="27"/>
        <v>52548.323100000001</v>
      </c>
      <c r="E105" s="7">
        <f t="shared" si="33"/>
        <v>0.39810646698403129</v>
      </c>
      <c r="F105" s="7">
        <f t="shared" si="34"/>
        <v>0.24948404824457859</v>
      </c>
      <c r="G105" s="7">
        <f t="shared" si="35"/>
        <v>0.38639777958210209</v>
      </c>
      <c r="H105" s="7">
        <f t="shared" si="30"/>
        <v>0.39088727923580757</v>
      </c>
      <c r="I105" s="7">
        <f t="shared" si="31"/>
        <v>0.54510636315353023</v>
      </c>
      <c r="J105" s="7">
        <f t="shared" si="32"/>
        <v>0.40081448698996991</v>
      </c>
      <c r="K105" s="7">
        <f t="shared" si="28"/>
        <v>0.92899862678967193</v>
      </c>
      <c r="L105" s="7">
        <f t="shared" si="29"/>
        <v>7.1001373210327998E-2</v>
      </c>
    </row>
    <row r="106" spans="1:12" x14ac:dyDescent="0.2">
      <c r="A106" s="2" t="s">
        <v>190</v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>49060.193900000006</v>
      </c>
      <c r="C106" s="4">
        <f>IF(SUMIFS('Monthly BSE Equity Cash'!$G:$G,'Monthly BSE Equity Cash'!$C:$C,$A106)=0,"",SUMIFS('Monthly BSE Equity Cash'!$G:$G,'Monthly BSE Equity Cash'!$C:$C,$A106))</f>
        <v>4051.9305999999997</v>
      </c>
      <c r="D106" s="4">
        <f t="shared" si="27"/>
        <v>53112.124500000005</v>
      </c>
      <c r="E106" s="7">
        <f t="shared" si="33"/>
        <v>0.49831170013117054</v>
      </c>
      <c r="F106" s="7">
        <f t="shared" si="34"/>
        <v>0.54339223311503027</v>
      </c>
      <c r="G106" s="7">
        <f t="shared" si="35"/>
        <v>0.50165790141798472</v>
      </c>
      <c r="H106" s="7">
        <f t="shared" si="30"/>
        <v>4.9751584068933319E-3</v>
      </c>
      <c r="I106" s="7">
        <f t="shared" si="31"/>
        <v>8.6016412047473123E-2</v>
      </c>
      <c r="J106" s="7">
        <f t="shared" si="32"/>
        <v>1.0729198702061016E-2</v>
      </c>
      <c r="K106" s="7">
        <f t="shared" si="28"/>
        <v>0.9237098753223475</v>
      </c>
      <c r="L106" s="7">
        <f t="shared" si="29"/>
        <v>7.6290124677652449E-2</v>
      </c>
    </row>
    <row r="107" spans="1:12" x14ac:dyDescent="0.2">
      <c r="A107" s="2" t="s">
        <v>191</v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>68058.91</v>
      </c>
      <c r="C107" s="4">
        <f>IF(SUMIFS('Monthly BSE Equity Cash'!$G:$G,'Monthly BSE Equity Cash'!$C:$C,$A107)=0,"",SUMIFS('Monthly BSE Equity Cash'!$G:$G,'Monthly BSE Equity Cash'!$C:$C,$A107))</f>
        <v>6092.7276000000002</v>
      </c>
      <c r="D107" s="4">
        <f t="shared" si="27"/>
        <v>74151.637600000002</v>
      </c>
      <c r="E107" s="7">
        <f t="shared" si="33"/>
        <v>1.2283667178965665</v>
      </c>
      <c r="F107" s="7">
        <f t="shared" si="34"/>
        <v>1.8180811880484704</v>
      </c>
      <c r="G107" s="7">
        <f t="shared" si="35"/>
        <v>1.267351777666053</v>
      </c>
      <c r="H107" s="7">
        <f t="shared" si="30"/>
        <v>0.38725318001647757</v>
      </c>
      <c r="I107" s="7">
        <f t="shared" si="31"/>
        <v>0.50366040326554473</v>
      </c>
      <c r="J107" s="7">
        <f t="shared" si="32"/>
        <v>0.39613390159152817</v>
      </c>
      <c r="K107" s="7">
        <f t="shared" si="28"/>
        <v>0.91783421381916996</v>
      </c>
      <c r="L107" s="7">
        <f t="shared" si="29"/>
        <v>8.2165786180830078E-2</v>
      </c>
    </row>
    <row r="108" spans="1:12" x14ac:dyDescent="0.2">
      <c r="A108" s="2" t="s">
        <v>192</v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>74933.634199999986</v>
      </c>
      <c r="C108" s="4">
        <f>IF(SUMIFS('Monthly BSE Equity Cash'!$G:$G,'Monthly BSE Equity Cash'!$C:$C,$A108)=0,"",SUMIFS('Monthly BSE Equity Cash'!$G:$G,'Monthly BSE Equity Cash'!$C:$C,$A108))</f>
        <v>5493.6124</v>
      </c>
      <c r="D108" s="4">
        <f t="shared" si="27"/>
        <v>80427.246599999984</v>
      </c>
      <c r="E108" s="7">
        <f t="shared" si="33"/>
        <v>1.1349848495511274</v>
      </c>
      <c r="F108" s="7">
        <f t="shared" si="34"/>
        <v>1.2750491619637456</v>
      </c>
      <c r="G108" s="7">
        <f t="shared" si="35"/>
        <v>1.1440009031609759</v>
      </c>
      <c r="H108" s="7">
        <f t="shared" si="30"/>
        <v>0.10101137676169047</v>
      </c>
      <c r="I108" s="7">
        <f t="shared" si="31"/>
        <v>-9.8332838645207143E-2</v>
      </c>
      <c r="J108" s="7">
        <f t="shared" si="32"/>
        <v>8.4632102582181901E-2</v>
      </c>
      <c r="K108" s="7">
        <f t="shared" si="28"/>
        <v>0.93169463543465381</v>
      </c>
      <c r="L108" s="7">
        <f t="shared" si="29"/>
        <v>6.8305364565346208E-2</v>
      </c>
    </row>
    <row r="109" spans="1:12" x14ac:dyDescent="0.2">
      <c r="A109" s="2" t="s">
        <v>193</v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>82591.099999999991</v>
      </c>
      <c r="C109" s="4">
        <f>IF(SUMIFS('Monthly BSE Equity Cash'!$G:$G,'Monthly BSE Equity Cash'!$C:$C,$A109)=0,"",SUMIFS('Monthly BSE Equity Cash'!$G:$G,'Monthly BSE Equity Cash'!$C:$C,$A109))</f>
        <v>6251.778800000001</v>
      </c>
      <c r="D109" s="4">
        <f t="shared" si="27"/>
        <v>88842.878799999991</v>
      </c>
      <c r="E109" s="7">
        <f t="shared" si="33"/>
        <v>0.69184010920714178</v>
      </c>
      <c r="F109" s="7">
        <f t="shared" si="34"/>
        <v>0.67562948419957114</v>
      </c>
      <c r="G109" s="7">
        <f t="shared" si="35"/>
        <v>0.6906891325710065</v>
      </c>
      <c r="H109" s="7">
        <f t="shared" si="30"/>
        <v>0.10218996958778237</v>
      </c>
      <c r="I109" s="7">
        <f t="shared" si="31"/>
        <v>0.13800871717851826</v>
      </c>
      <c r="J109" s="7">
        <f t="shared" si="32"/>
        <v>0.10463658220024175</v>
      </c>
      <c r="K109" s="7">
        <f t="shared" si="28"/>
        <v>0.92963106458905065</v>
      </c>
      <c r="L109" s="7">
        <f t="shared" si="29"/>
        <v>7.0368935410949351E-2</v>
      </c>
    </row>
    <row r="110" spans="1:12" x14ac:dyDescent="0.2">
      <c r="A110" s="2" t="s">
        <v>194</v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>64551.380000000005</v>
      </c>
      <c r="C110" s="4">
        <f>IF(SUMIFS('Monthly BSE Equity Cash'!$G:$G,'Monthly BSE Equity Cash'!$C:$C,$A110)=0,"",SUMIFS('Monthly BSE Equity Cash'!$G:$G,'Monthly BSE Equity Cash'!$C:$C,$A110))</f>
        <v>4216.0553999999993</v>
      </c>
      <c r="D110" s="4">
        <f t="shared" si="27"/>
        <v>68767.435400000002</v>
      </c>
      <c r="E110" s="7">
        <f t="shared" si="33"/>
        <v>0.31575876221720356</v>
      </c>
      <c r="F110" s="7">
        <f t="shared" si="34"/>
        <v>4.0505333432907076E-2</v>
      </c>
      <c r="G110" s="7">
        <f t="shared" si="35"/>
        <v>0.29475964381729813</v>
      </c>
      <c r="H110" s="7">
        <f t="shared" si="30"/>
        <v>-0.2184220817981597</v>
      </c>
      <c r="I110" s="7">
        <f t="shared" si="31"/>
        <v>-0.32562306906955851</v>
      </c>
      <c r="J110" s="7">
        <f t="shared" si="32"/>
        <v>-0.22596570114745074</v>
      </c>
      <c r="K110" s="7">
        <f t="shared" si="28"/>
        <v>0.93869110611037854</v>
      </c>
      <c r="L110" s="7">
        <f t="shared" si="29"/>
        <v>6.130889388962147E-2</v>
      </c>
    </row>
    <row r="111" spans="1:12" x14ac:dyDescent="0.2">
      <c r="A111" s="2" t="s">
        <v>195</v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>59202.372400000022</v>
      </c>
      <c r="C111" s="4">
        <f>IF(SUMIFS('Monthly BSE Equity Cash'!$G:$G,'Monthly BSE Equity Cash'!$C:$C,$A111)=0,"",SUMIFS('Monthly BSE Equity Cash'!$G:$G,'Monthly BSE Equity Cash'!$C:$C,$A111))</f>
        <v>3377.6217999999999</v>
      </c>
      <c r="D111" s="4">
        <f t="shared" si="27"/>
        <v>62579.994200000023</v>
      </c>
      <c r="E111" s="7">
        <f t="shared" si="33"/>
        <v>-0.13013046491634939</v>
      </c>
      <c r="F111" s="7">
        <f t="shared" si="34"/>
        <v>-0.44563059080468326</v>
      </c>
      <c r="G111" s="7">
        <f t="shared" si="35"/>
        <v>-0.15605378080011523</v>
      </c>
      <c r="H111" s="7">
        <f t="shared" si="30"/>
        <v>-8.2864341552418952E-2</v>
      </c>
      <c r="I111" s="7">
        <f t="shared" si="31"/>
        <v>-0.19886683652211956</v>
      </c>
      <c r="J111" s="7">
        <f t="shared" si="32"/>
        <v>-8.9976326207447554E-2</v>
      </c>
      <c r="K111" s="7">
        <f t="shared" si="28"/>
        <v>0.94602713146304507</v>
      </c>
      <c r="L111" s="7">
        <f t="shared" si="29"/>
        <v>5.3972868536954877E-2</v>
      </c>
    </row>
    <row r="112" spans="1:12" x14ac:dyDescent="0.2">
      <c r="A112" s="2" t="s">
        <v>196</v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>66210.73</v>
      </c>
      <c r="C112" s="4">
        <f>IF(SUMIFS('Monthly BSE Equity Cash'!$G:$G,'Monthly BSE Equity Cash'!$C:$C,$A112)=0,"",SUMIFS('Monthly BSE Equity Cash'!$G:$G,'Monthly BSE Equity Cash'!$C:$C,$A112))</f>
        <v>4379.8899999999994</v>
      </c>
      <c r="D112" s="4">
        <f t="shared" si="27"/>
        <v>70590.62</v>
      </c>
      <c r="E112" s="7">
        <f t="shared" si="33"/>
        <v>-0.11640839648479229</v>
      </c>
      <c r="F112" s="7">
        <f t="shared" si="34"/>
        <v>-0.20273042925270823</v>
      </c>
      <c r="G112" s="7">
        <f t="shared" si="35"/>
        <v>-0.12230465440302651</v>
      </c>
      <c r="H112" s="7">
        <f t="shared" si="30"/>
        <v>0.11837967493343182</v>
      </c>
      <c r="I112" s="7">
        <f t="shared" si="31"/>
        <v>0.29673784080858301</v>
      </c>
      <c r="J112" s="7">
        <f t="shared" si="32"/>
        <v>0.12800617677270365</v>
      </c>
      <c r="K112" s="7">
        <f t="shared" si="28"/>
        <v>0.93795365446570667</v>
      </c>
      <c r="L112" s="7">
        <f t="shared" si="29"/>
        <v>6.2046345534293362E-2</v>
      </c>
    </row>
    <row r="113" spans="1:12" x14ac:dyDescent="0.2">
      <c r="A113" s="2" t="s">
        <v>197</v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>61251.32</v>
      </c>
      <c r="C113" s="4">
        <f>IF(SUMIFS('Monthly BSE Equity Cash'!$G:$G,'Monthly BSE Equity Cash'!$C:$C,$A113)=0,"",SUMIFS('Monthly BSE Equity Cash'!$G:$G,'Monthly BSE Equity Cash'!$C:$C,$A113))</f>
        <v>5099.7224000000006</v>
      </c>
      <c r="D113" s="4">
        <f t="shared" si="27"/>
        <v>66351.042400000006</v>
      </c>
      <c r="E113" s="7">
        <f t="shared" si="33"/>
        <v>-0.25837868729197211</v>
      </c>
      <c r="F113" s="7">
        <f t="shared" si="34"/>
        <v>-0.18427657741185599</v>
      </c>
      <c r="G113" s="7">
        <f t="shared" si="35"/>
        <v>-0.25316420070800305</v>
      </c>
      <c r="H113" s="7">
        <f t="shared" si="30"/>
        <v>-7.4903418222393769E-2</v>
      </c>
      <c r="I113" s="7">
        <f t="shared" si="31"/>
        <v>0.1643494243006105</v>
      </c>
      <c r="J113" s="7">
        <f t="shared" si="32"/>
        <v>-6.005865368514951E-2</v>
      </c>
      <c r="K113" s="7">
        <f t="shared" si="28"/>
        <v>0.9231402821186121</v>
      </c>
      <c r="L113" s="7">
        <f t="shared" si="29"/>
        <v>7.6859717881387804E-2</v>
      </c>
    </row>
    <row r="114" spans="1:12" x14ac:dyDescent="0.2">
      <c r="A114" s="2" t="s">
        <v>198</v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>61394.149999999994</v>
      </c>
      <c r="C114" s="4">
        <f>IF(SUMIFS('Monthly BSE Equity Cash'!$G:$G,'Monthly BSE Equity Cash'!$C:$C,$A114)=0,"",SUMIFS('Monthly BSE Equity Cash'!$G:$G,'Monthly BSE Equity Cash'!$C:$C,$A114))</f>
        <v>4739.6013999999996</v>
      </c>
      <c r="D114" s="4">
        <f t="shared" si="27"/>
        <v>66133.751399999994</v>
      </c>
      <c r="E114" s="7">
        <f t="shared" si="33"/>
        <v>-4.891034087884738E-2</v>
      </c>
      <c r="F114" s="7">
        <f t="shared" si="34"/>
        <v>0.12417910827262868</v>
      </c>
      <c r="G114" s="7">
        <f t="shared" si="35"/>
        <v>-3.8298418207406426E-2</v>
      </c>
      <c r="H114" s="7">
        <f t="shared" si="30"/>
        <v>2.3318681132096231E-3</v>
      </c>
      <c r="I114" s="7">
        <f t="shared" si="31"/>
        <v>-7.0615804499476464E-2</v>
      </c>
      <c r="J114" s="7">
        <f t="shared" si="32"/>
        <v>-3.2748694239054243E-3</v>
      </c>
      <c r="K114" s="7">
        <f t="shared" si="28"/>
        <v>0.92833309316852086</v>
      </c>
      <c r="L114" s="7">
        <f t="shared" si="29"/>
        <v>7.1666906831479096E-2</v>
      </c>
    </row>
    <row r="115" spans="1:12" x14ac:dyDescent="0.2">
      <c r="A115" s="2" t="s">
        <v>199</v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>71769.990000000005</v>
      </c>
      <c r="C115" s="4">
        <f>IF(SUMIFS('Monthly BSE Equity Cash'!$G:$G,'Monthly BSE Equity Cash'!$C:$C,$A115)=0,"",SUMIFS('Monthly BSE Equity Cash'!$G:$G,'Monthly BSE Equity Cash'!$C:$C,$A115))</f>
        <v>5417.2587000000003</v>
      </c>
      <c r="D115" s="4">
        <f t="shared" si="27"/>
        <v>77187.248700000011</v>
      </c>
      <c r="E115" s="7">
        <f t="shared" si="33"/>
        <v>0.21228233076686598</v>
      </c>
      <c r="F115" s="7">
        <f t="shared" si="34"/>
        <v>0.60386775689332661</v>
      </c>
      <c r="G115" s="7">
        <f t="shared" si="35"/>
        <v>0.23341731949217692</v>
      </c>
      <c r="H115" s="7">
        <f t="shared" si="30"/>
        <v>0.16900372429620747</v>
      </c>
      <c r="I115" s="7">
        <f t="shared" si="31"/>
        <v>0.14297769850435116</v>
      </c>
      <c r="J115" s="7">
        <f t="shared" si="32"/>
        <v>0.167138519530589</v>
      </c>
      <c r="K115" s="7">
        <f t="shared" si="28"/>
        <v>0.92981666283954478</v>
      </c>
      <c r="L115" s="7">
        <f t="shared" si="29"/>
        <v>7.0183337160455106E-2</v>
      </c>
    </row>
    <row r="116" spans="1:12" x14ac:dyDescent="0.2">
      <c r="A116" s="2" t="s">
        <v>200</v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>81569.240000000005</v>
      </c>
      <c r="C116" s="4">
        <f>IF(SUMIFS('Monthly BSE Equity Cash'!$G:$G,'Monthly BSE Equity Cash'!$C:$C,$A116)=0,"",SUMIFS('Monthly BSE Equity Cash'!$G:$G,'Monthly BSE Equity Cash'!$C:$C,$A116))</f>
        <v>5973.1846000000005</v>
      </c>
      <c r="D116" s="4">
        <f t="shared" si="27"/>
        <v>87542.424599999998</v>
      </c>
      <c r="E116" s="7">
        <f t="shared" si="33"/>
        <v>0.23196406383074186</v>
      </c>
      <c r="F116" s="7">
        <f t="shared" si="34"/>
        <v>0.36377502631344649</v>
      </c>
      <c r="G116" s="7">
        <f t="shared" si="35"/>
        <v>0.24014245235415133</v>
      </c>
      <c r="H116" s="7">
        <f t="shared" si="30"/>
        <v>0.13653687286287775</v>
      </c>
      <c r="I116" s="7">
        <f t="shared" si="31"/>
        <v>0.10262125750058781</v>
      </c>
      <c r="J116" s="7">
        <f t="shared" si="32"/>
        <v>0.13415656179490165</v>
      </c>
      <c r="K116" s="7">
        <f t="shared" si="28"/>
        <v>0.9317681155474874</v>
      </c>
      <c r="L116" s="7">
        <f t="shared" si="29"/>
        <v>6.8231884452512645E-2</v>
      </c>
    </row>
    <row r="117" spans="1:12" x14ac:dyDescent="0.2">
      <c r="A117" s="2" t="s">
        <v>201</v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>58527.129400000027</v>
      </c>
      <c r="C117" s="4">
        <f>IF(SUMIFS('Monthly BSE Equity Cash'!$G:$G,'Monthly BSE Equity Cash'!$C:$C,$A117)=0,"",SUMIFS('Monthly BSE Equity Cash'!$G:$G,'Monthly BSE Equity Cash'!$C:$C,$A117))</f>
        <v>5121.5337</v>
      </c>
      <c r="D117" s="4">
        <f t="shared" si="27"/>
        <v>63648.663100000027</v>
      </c>
      <c r="E117" s="7">
        <f t="shared" si="33"/>
        <v>-4.4475622729436282E-2</v>
      </c>
      <c r="F117" s="7">
        <f t="shared" si="34"/>
        <v>4.2769582909061299E-3</v>
      </c>
      <c r="G117" s="7">
        <f t="shared" si="35"/>
        <v>-4.0728513106223274E-2</v>
      </c>
      <c r="H117" s="7">
        <f t="shared" si="30"/>
        <v>-0.28248529224987229</v>
      </c>
      <c r="I117" s="7">
        <f t="shared" si="31"/>
        <v>-0.14257903564540775</v>
      </c>
      <c r="J117" s="7">
        <f t="shared" si="32"/>
        <v>-0.27293922471505283</v>
      </c>
      <c r="K117" s="7">
        <f t="shared" si="28"/>
        <v>0.9195343083333356</v>
      </c>
      <c r="L117" s="7">
        <f t="shared" si="29"/>
        <v>8.0465691666664368E-2</v>
      </c>
    </row>
    <row r="119" spans="1:12" x14ac:dyDescent="0.2">
      <c r="A119" s="1" t="s">
        <v>202</v>
      </c>
    </row>
    <row r="120" spans="1:12" x14ac:dyDescent="0.2">
      <c r="A120" s="2" t="s">
        <v>203</v>
      </c>
      <c r="B120" s="3">
        <f>COUNTIF('Daily NSE Equity Cash'!$A:$A,"&gt;="&amp;DATE(2026,7,1))</f>
        <v>49</v>
      </c>
    </row>
    <row r="121" spans="1:12" x14ac:dyDescent="0.2">
      <c r="A121" s="2" t="s">
        <v>204</v>
      </c>
      <c r="B121" s="6">
        <f>DATE(2025,7,1)</f>
        <v>45839</v>
      </c>
      <c r="C121" s="6">
        <f>INDEX('Daily NSE Equity Cash'!$A:$A,COUNTIF('Daily NSE Equity Cash'!$A:$A,"&lt;"&amp;DATE(2025,7,1))+1+$B120)</f>
        <v>45909</v>
      </c>
    </row>
    <row r="122" spans="1:12" x14ac:dyDescent="0.2">
      <c r="B122" s="1" t="s">
        <v>35</v>
      </c>
      <c r="C122" s="1" t="s">
        <v>36</v>
      </c>
      <c r="D122" s="1" t="s">
        <v>37</v>
      </c>
      <c r="K122" s="1" t="s">
        <v>41</v>
      </c>
      <c r="L122" s="1" t="s">
        <v>42</v>
      </c>
    </row>
    <row r="123" spans="1:12" x14ac:dyDescent="0.2">
      <c r="A123" s="2" t="s">
        <v>205</v>
      </c>
      <c r="B123" s="4">
        <f>SUMIFS('Daily NSE Equity Cash'!$H:$H,'Daily NSE Equity Cash'!$A:$A,"&gt;="&amp;$B$121,'Daily NSE Equity Cash'!$A:$A,"&lt;="&amp;$C$121)</f>
        <v>45844.493400000007</v>
      </c>
      <c r="C123" s="4">
        <f>SUMIFS('Daily BSE Equity Cash'!$H:$H,'Daily BSE Equity Cash'!$A:$A,"&gt;="&amp;$B$121,'Daily BSE Equity Cash'!$A:$A,"&lt;="&amp;$C$121)</f>
        <v>3908.3072000000006</v>
      </c>
      <c r="D123" s="4">
        <f>B123+C123</f>
        <v>49752.80060000001</v>
      </c>
      <c r="K123" s="7">
        <f>IF(D123=0,"",B123/D123)</f>
        <v>0.92144548341264632</v>
      </c>
      <c r="L123" s="7">
        <f>IF(D123=0,"",C123/D123)</f>
        <v>7.855451658735367E-2</v>
      </c>
    </row>
    <row r="124" spans="1:12" x14ac:dyDescent="0.2">
      <c r="A124" s="2" t="s">
        <v>206</v>
      </c>
      <c r="B124" s="4">
        <f>SUMIFS('Daily NSE Equity Cash'!$H:$H,'Daily NSE Equity Cash'!$A:$A,"&gt;="&amp;DATE(2026,7,1))</f>
        <v>58527.129400000027</v>
      </c>
      <c r="C124" s="4">
        <f>SUMIFS('Daily BSE Equity Cash'!$H:$H,'Daily BSE Equity Cash'!$A:$A,"&gt;="&amp;DATE(2026,7,1))</f>
        <v>5121.5329999999985</v>
      </c>
      <c r="D124" s="4">
        <f>B124+C124</f>
        <v>63648.662400000023</v>
      </c>
      <c r="K124" s="7">
        <f>IF(D124=0,"",B124/D124)</f>
        <v>0.91953431844625855</v>
      </c>
      <c r="L124" s="7">
        <f>IF(D124=0,"",C124/D124)</f>
        <v>8.0465681553741439E-2</v>
      </c>
    </row>
    <row r="125" spans="1:12" x14ac:dyDescent="0.2">
      <c r="A125" s="1" t="s">
        <v>207</v>
      </c>
      <c r="B125" s="7">
        <f>IF(OR(B123=0,B123=""),"",B124/B123-1)</f>
        <v>0.27664469731058294</v>
      </c>
      <c r="C125" s="7">
        <f>IF(OR(C123=0,C123=""),"",C124/C123-1)</f>
        <v>0.31042232299446626</v>
      </c>
      <c r="D125" s="7">
        <f>IF(OR(D123=0,D123=""),"",D124/D123-1)</f>
        <v>0.27929808236764897</v>
      </c>
    </row>
  </sheetData>
  <conditionalFormatting sqref="K2:K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3" width="12" customWidth="1"/>
    <col min="4" max="6" width="22" customWidth="1"/>
    <col min="7" max="8" width="18" customWidth="1"/>
    <col min="9" max="9" width="24" customWidth="1"/>
    <col min="10" max="11" width="18" customWidth="1"/>
    <col min="12" max="12" width="24" customWidth="1"/>
    <col min="13" max="14" width="16" hidden="1" customWidth="1" outlineLevel="1"/>
  </cols>
  <sheetData>
    <row r="1" spans="1:14" x14ac:dyDescent="0.2">
      <c r="A1" s="1" t="s">
        <v>208</v>
      </c>
      <c r="B1" s="1" t="s">
        <v>34</v>
      </c>
      <c r="C1" s="1" t="s">
        <v>82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209</v>
      </c>
      <c r="K1" s="1" t="s">
        <v>210</v>
      </c>
      <c r="L1" s="1" t="s">
        <v>211</v>
      </c>
      <c r="M1" s="1" t="s">
        <v>41</v>
      </c>
      <c r="N1" s="1" t="s">
        <v>42</v>
      </c>
    </row>
    <row r="2" spans="1:14" x14ac:dyDescent="0.2">
      <c r="A2" s="5">
        <v>35735</v>
      </c>
      <c r="B2" s="2" t="s">
        <v>46</v>
      </c>
      <c r="C2" s="2" t="s">
        <v>86</v>
      </c>
      <c r="D2" s="4" t="str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>118.8862</v>
      </c>
      <c r="F2" s="4" t="str">
        <f t="shared" ref="F2:F65" si="0">IF(OR(D2="",E2=""),"",D2+E2)</f>
        <v/>
      </c>
      <c r="G2" s="7"/>
      <c r="H2" s="7"/>
      <c r="I2" s="7"/>
      <c r="J2" s="7"/>
      <c r="K2" s="7"/>
      <c r="L2" s="7"/>
      <c r="M2" s="7" t="str">
        <f t="shared" ref="M2:M65" si="1">IF(F2="","",D2/F2)</f>
        <v/>
      </c>
      <c r="N2" s="7" t="str">
        <f t="shared" ref="N2:N65" si="2">IF(F2="","",E2/F2)</f>
        <v/>
      </c>
    </row>
    <row r="3" spans="1:14" x14ac:dyDescent="0.2">
      <c r="A3" s="5">
        <v>35765</v>
      </c>
      <c r="B3" s="2" t="s">
        <v>46</v>
      </c>
      <c r="C3" s="2" t="s">
        <v>86</v>
      </c>
      <c r="D3" s="4" t="str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>180.73920000000001</v>
      </c>
      <c r="F3" s="4" t="str">
        <f t="shared" si="0"/>
        <v/>
      </c>
      <c r="G3" s="7"/>
      <c r="H3" s="7"/>
      <c r="I3" s="7"/>
      <c r="J3" s="7" t="str">
        <f t="shared" ref="J3:J66" si="3">IF(OR(D3="",D2=""),"",D3/D2-1)</f>
        <v/>
      </c>
      <c r="K3" s="7">
        <f t="shared" ref="K3:K66" si="4">IF(OR(E3="",E2=""),"",E3/E2-1)</f>
        <v>0.52027064537347489</v>
      </c>
      <c r="L3" s="7" t="str">
        <f t="shared" ref="L3:L66" si="5">IF(OR(F3="",F2=""),"",F3/F2-1)</f>
        <v/>
      </c>
      <c r="M3" s="7" t="str">
        <f t="shared" si="1"/>
        <v/>
      </c>
      <c r="N3" s="7" t="str">
        <f t="shared" si="2"/>
        <v/>
      </c>
    </row>
    <row r="4" spans="1:14" x14ac:dyDescent="0.2">
      <c r="A4" s="5">
        <v>35796</v>
      </c>
      <c r="B4" s="2" t="s">
        <v>46</v>
      </c>
      <c r="C4" s="2" t="s">
        <v>87</v>
      </c>
      <c r="D4" s="4" t="str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>173.58879999999999</v>
      </c>
      <c r="F4" s="4" t="str">
        <f t="shared" si="0"/>
        <v/>
      </c>
      <c r="G4" s="7"/>
      <c r="H4" s="7"/>
      <c r="I4" s="7"/>
      <c r="J4" s="7" t="str">
        <f t="shared" si="3"/>
        <v/>
      </c>
      <c r="K4" s="7">
        <f t="shared" si="4"/>
        <v>-3.9561976593898929E-2</v>
      </c>
      <c r="L4" s="7" t="str">
        <f t="shared" si="5"/>
        <v/>
      </c>
      <c r="M4" s="7" t="str">
        <f t="shared" si="1"/>
        <v/>
      </c>
      <c r="N4" s="7" t="str">
        <f t="shared" si="2"/>
        <v/>
      </c>
    </row>
    <row r="5" spans="1:14" x14ac:dyDescent="0.2">
      <c r="A5" s="5">
        <v>35827</v>
      </c>
      <c r="B5" s="2" t="s">
        <v>46</v>
      </c>
      <c r="C5" s="2" t="s">
        <v>87</v>
      </c>
      <c r="D5" s="4" t="str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>164.03059999999999</v>
      </c>
      <c r="F5" s="4" t="str">
        <f t="shared" si="0"/>
        <v/>
      </c>
      <c r="G5" s="7"/>
      <c r="H5" s="7"/>
      <c r="I5" s="7"/>
      <c r="J5" s="7" t="str">
        <f t="shared" si="3"/>
        <v/>
      </c>
      <c r="K5" s="7">
        <f t="shared" si="4"/>
        <v>-5.5062308167347251E-2</v>
      </c>
      <c r="L5" s="7" t="str">
        <f t="shared" si="5"/>
        <v/>
      </c>
      <c r="M5" s="7" t="str">
        <f t="shared" si="1"/>
        <v/>
      </c>
      <c r="N5" s="7" t="str">
        <f t="shared" si="2"/>
        <v/>
      </c>
    </row>
    <row r="6" spans="1:14" x14ac:dyDescent="0.2">
      <c r="A6" s="5">
        <v>35855</v>
      </c>
      <c r="B6" s="2" t="s">
        <v>46</v>
      </c>
      <c r="C6" s="2" t="s">
        <v>87</v>
      </c>
      <c r="D6" s="4" t="str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>231.74680000000001</v>
      </c>
      <c r="F6" s="4" t="str">
        <f t="shared" si="0"/>
        <v/>
      </c>
      <c r="G6" s="7"/>
      <c r="H6" s="7"/>
      <c r="I6" s="7"/>
      <c r="J6" s="7" t="str">
        <f t="shared" si="3"/>
        <v/>
      </c>
      <c r="K6" s="7">
        <f t="shared" si="4"/>
        <v>0.4128266311285822</v>
      </c>
      <c r="L6" s="7" t="str">
        <f t="shared" si="5"/>
        <v/>
      </c>
      <c r="M6" s="7" t="str">
        <f t="shared" si="1"/>
        <v/>
      </c>
      <c r="N6" s="7" t="str">
        <f t="shared" si="2"/>
        <v/>
      </c>
    </row>
    <row r="7" spans="1:14" x14ac:dyDescent="0.2">
      <c r="A7" s="5">
        <v>35886</v>
      </c>
      <c r="B7" s="2" t="s">
        <v>47</v>
      </c>
      <c r="C7" s="2" t="s">
        <v>88</v>
      </c>
      <c r="D7" s="4" t="str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>265.52789999999999</v>
      </c>
      <c r="F7" s="4" t="str">
        <f t="shared" si="0"/>
        <v/>
      </c>
      <c r="G7" s="7"/>
      <c r="H7" s="7"/>
      <c r="I7" s="7"/>
      <c r="J7" s="7" t="str">
        <f t="shared" si="3"/>
        <v/>
      </c>
      <c r="K7" s="7">
        <f t="shared" si="4"/>
        <v>0.14576727704546499</v>
      </c>
      <c r="L7" s="7" t="str">
        <f t="shared" si="5"/>
        <v/>
      </c>
      <c r="M7" s="7" t="str">
        <f t="shared" si="1"/>
        <v/>
      </c>
      <c r="N7" s="7" t="str">
        <f t="shared" si="2"/>
        <v/>
      </c>
    </row>
    <row r="8" spans="1:14" x14ac:dyDescent="0.2">
      <c r="A8" s="5">
        <v>35916</v>
      </c>
      <c r="B8" s="2" t="s">
        <v>47</v>
      </c>
      <c r="C8" s="2" t="s">
        <v>88</v>
      </c>
      <c r="D8" s="4" t="str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>56.179000000000002</v>
      </c>
      <c r="F8" s="4" t="str">
        <f t="shared" si="0"/>
        <v/>
      </c>
      <c r="G8" s="7"/>
      <c r="H8" s="7"/>
      <c r="I8" s="7"/>
      <c r="J8" s="7" t="str">
        <f t="shared" si="3"/>
        <v/>
      </c>
      <c r="K8" s="7">
        <f t="shared" si="4"/>
        <v>-0.78842524646185952</v>
      </c>
      <c r="L8" s="7" t="str">
        <f t="shared" si="5"/>
        <v/>
      </c>
      <c r="M8" s="7" t="str">
        <f t="shared" si="1"/>
        <v/>
      </c>
      <c r="N8" s="7" t="str">
        <f t="shared" si="2"/>
        <v/>
      </c>
    </row>
    <row r="9" spans="1:14" x14ac:dyDescent="0.2">
      <c r="A9" s="5">
        <v>35947</v>
      </c>
      <c r="B9" s="2" t="s">
        <v>47</v>
      </c>
      <c r="C9" s="2" t="s">
        <v>88</v>
      </c>
      <c r="D9" s="4" t="str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>130.94120000000001</v>
      </c>
      <c r="F9" s="4" t="str">
        <f t="shared" si="0"/>
        <v/>
      </c>
      <c r="G9" s="7"/>
      <c r="H9" s="7"/>
      <c r="I9" s="7"/>
      <c r="J9" s="7" t="str">
        <f t="shared" si="3"/>
        <v/>
      </c>
      <c r="K9" s="7">
        <f t="shared" si="4"/>
        <v>1.3307855248402429</v>
      </c>
      <c r="L9" s="7" t="str">
        <f t="shared" si="5"/>
        <v/>
      </c>
      <c r="M9" s="7" t="str">
        <f t="shared" si="1"/>
        <v/>
      </c>
      <c r="N9" s="7" t="str">
        <f t="shared" si="2"/>
        <v/>
      </c>
    </row>
    <row r="10" spans="1:14" x14ac:dyDescent="0.2">
      <c r="A10" s="5">
        <v>35977</v>
      </c>
      <c r="B10" s="2" t="s">
        <v>47</v>
      </c>
      <c r="C10" s="2" t="s">
        <v>89</v>
      </c>
      <c r="D10" s="4" t="str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>212.3811</v>
      </c>
      <c r="F10" s="4" t="str">
        <f t="shared" si="0"/>
        <v/>
      </c>
      <c r="G10" s="7"/>
      <c r="H10" s="7"/>
      <c r="I10" s="7"/>
      <c r="J10" s="7" t="str">
        <f t="shared" si="3"/>
        <v/>
      </c>
      <c r="K10" s="7">
        <f t="shared" si="4"/>
        <v>0.62195779479644298</v>
      </c>
      <c r="L10" s="7" t="str">
        <f t="shared" si="5"/>
        <v/>
      </c>
      <c r="M10" s="7" t="str">
        <f t="shared" si="1"/>
        <v/>
      </c>
      <c r="N10" s="7" t="str">
        <f t="shared" si="2"/>
        <v/>
      </c>
    </row>
    <row r="11" spans="1:14" x14ac:dyDescent="0.2">
      <c r="A11" s="5">
        <v>36008</v>
      </c>
      <c r="B11" s="2" t="s">
        <v>47</v>
      </c>
      <c r="C11" s="2" t="s">
        <v>89</v>
      </c>
      <c r="D11" s="4" t="str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>182.11699999999999</v>
      </c>
      <c r="F11" s="4" t="str">
        <f t="shared" si="0"/>
        <v/>
      </c>
      <c r="G11" s="7"/>
      <c r="H11" s="7"/>
      <c r="I11" s="7"/>
      <c r="J11" s="7" t="str">
        <f t="shared" si="3"/>
        <v/>
      </c>
      <c r="K11" s="7">
        <f t="shared" si="4"/>
        <v>-0.1424990265141296</v>
      </c>
      <c r="L11" s="7" t="str">
        <f t="shared" si="5"/>
        <v/>
      </c>
      <c r="M11" s="7" t="str">
        <f t="shared" si="1"/>
        <v/>
      </c>
      <c r="N11" s="7" t="str">
        <f t="shared" si="2"/>
        <v/>
      </c>
    </row>
    <row r="12" spans="1:14" x14ac:dyDescent="0.2">
      <c r="A12" s="5">
        <v>36039</v>
      </c>
      <c r="B12" s="2" t="s">
        <v>47</v>
      </c>
      <c r="C12" s="2" t="s">
        <v>89</v>
      </c>
      <c r="D12" s="4" t="str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>276.46710000000002</v>
      </c>
      <c r="F12" s="4" t="str">
        <f t="shared" si="0"/>
        <v/>
      </c>
      <c r="G12" s="7"/>
      <c r="H12" s="7"/>
      <c r="I12" s="7"/>
      <c r="J12" s="7" t="str">
        <f t="shared" si="3"/>
        <v/>
      </c>
      <c r="K12" s="7">
        <f t="shared" si="4"/>
        <v>0.51807409522449865</v>
      </c>
      <c r="L12" s="7" t="str">
        <f t="shared" si="5"/>
        <v/>
      </c>
      <c r="M12" s="7" t="str">
        <f t="shared" si="1"/>
        <v/>
      </c>
      <c r="N12" s="7" t="str">
        <f t="shared" si="2"/>
        <v/>
      </c>
    </row>
    <row r="13" spans="1:14" x14ac:dyDescent="0.2">
      <c r="A13" s="5">
        <v>36069</v>
      </c>
      <c r="B13" s="2" t="s">
        <v>47</v>
      </c>
      <c r="C13" s="2" t="s">
        <v>90</v>
      </c>
      <c r="D13" s="4" t="str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>223.65129999999999</v>
      </c>
      <c r="F13" s="4" t="str">
        <f t="shared" si="0"/>
        <v/>
      </c>
      <c r="G13" s="7"/>
      <c r="H13" s="7"/>
      <c r="I13" s="7"/>
      <c r="J13" s="7" t="str">
        <f t="shared" si="3"/>
        <v/>
      </c>
      <c r="K13" s="7">
        <f t="shared" si="4"/>
        <v>-0.19103828267450274</v>
      </c>
      <c r="L13" s="7" t="str">
        <f t="shared" si="5"/>
        <v/>
      </c>
      <c r="M13" s="7" t="str">
        <f t="shared" si="1"/>
        <v/>
      </c>
      <c r="N13" s="7" t="str">
        <f t="shared" si="2"/>
        <v/>
      </c>
    </row>
    <row r="14" spans="1:14" x14ac:dyDescent="0.2">
      <c r="A14" s="5">
        <v>36100</v>
      </c>
      <c r="B14" s="2" t="s">
        <v>47</v>
      </c>
      <c r="C14" s="2" t="s">
        <v>90</v>
      </c>
      <c r="D14" s="4" t="str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>202.2055</v>
      </c>
      <c r="F14" s="4" t="str">
        <f t="shared" si="0"/>
        <v/>
      </c>
      <c r="G14" s="7" t="str">
        <f t="shared" ref="G14:G77" si="6">IF(OR(D14="",D2=""),"",D14/D2-1)</f>
        <v/>
      </c>
      <c r="H14" s="7">
        <f t="shared" ref="H14:H77" si="7">IF(OR(E14="",E2=""),"",E14/E2-1)</f>
        <v>0.70083239265785258</v>
      </c>
      <c r="I14" s="7" t="str">
        <f t="shared" ref="I14:I77" si="8">IF(OR(F14="",F2=""),"",F14/F2-1)</f>
        <v/>
      </c>
      <c r="J14" s="7" t="str">
        <f t="shared" si="3"/>
        <v/>
      </c>
      <c r="K14" s="7">
        <f t="shared" si="4"/>
        <v>-9.5889449334745636E-2</v>
      </c>
      <c r="L14" s="7" t="str">
        <f t="shared" si="5"/>
        <v/>
      </c>
      <c r="M14" s="7" t="str">
        <f t="shared" si="1"/>
        <v/>
      </c>
      <c r="N14" s="7" t="str">
        <f t="shared" si="2"/>
        <v/>
      </c>
    </row>
    <row r="15" spans="1:14" x14ac:dyDescent="0.2">
      <c r="A15" s="5">
        <v>36130</v>
      </c>
      <c r="B15" s="2" t="s">
        <v>47</v>
      </c>
      <c r="C15" s="2" t="s">
        <v>90</v>
      </c>
      <c r="D15" s="4" t="str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>266.87599999999998</v>
      </c>
      <c r="F15" s="4" t="str">
        <f t="shared" si="0"/>
        <v/>
      </c>
      <c r="G15" s="7" t="str">
        <f t="shared" si="6"/>
        <v/>
      </c>
      <c r="H15" s="7">
        <f t="shared" si="7"/>
        <v>0.4765806200315148</v>
      </c>
      <c r="I15" s="7" t="str">
        <f t="shared" si="8"/>
        <v/>
      </c>
      <c r="J15" s="7" t="str">
        <f t="shared" si="3"/>
        <v/>
      </c>
      <c r="K15" s="7">
        <f t="shared" si="4"/>
        <v>0.31982562294299588</v>
      </c>
      <c r="L15" s="7" t="str">
        <f t="shared" si="5"/>
        <v/>
      </c>
      <c r="M15" s="7" t="str">
        <f t="shared" si="1"/>
        <v/>
      </c>
      <c r="N15" s="7" t="str">
        <f t="shared" si="2"/>
        <v/>
      </c>
    </row>
    <row r="16" spans="1:14" x14ac:dyDescent="0.2">
      <c r="A16" s="5">
        <v>36161</v>
      </c>
      <c r="B16" s="2" t="s">
        <v>47</v>
      </c>
      <c r="C16" s="2" t="s">
        <v>91</v>
      </c>
      <c r="D16" s="4" t="str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>325.15859999999998</v>
      </c>
      <c r="F16" s="4" t="str">
        <f t="shared" si="0"/>
        <v/>
      </c>
      <c r="G16" s="7" t="str">
        <f t="shared" si="6"/>
        <v/>
      </c>
      <c r="H16" s="7">
        <f t="shared" si="7"/>
        <v>0.87315425880010689</v>
      </c>
      <c r="I16" s="7" t="str">
        <f t="shared" si="8"/>
        <v/>
      </c>
      <c r="J16" s="7" t="str">
        <f t="shared" si="3"/>
        <v/>
      </c>
      <c r="K16" s="7">
        <f t="shared" si="4"/>
        <v>0.21838831517258961</v>
      </c>
      <c r="L16" s="7" t="str">
        <f t="shared" si="5"/>
        <v/>
      </c>
      <c r="M16" s="7" t="str">
        <f t="shared" si="1"/>
        <v/>
      </c>
      <c r="N16" s="7" t="str">
        <f t="shared" si="2"/>
        <v/>
      </c>
    </row>
    <row r="17" spans="1:14" x14ac:dyDescent="0.2">
      <c r="A17" s="5">
        <v>36192</v>
      </c>
      <c r="B17" s="2" t="s">
        <v>47</v>
      </c>
      <c r="C17" s="2" t="s">
        <v>91</v>
      </c>
      <c r="D17" s="4" t="str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>311.4178</v>
      </c>
      <c r="F17" s="4" t="str">
        <f t="shared" si="0"/>
        <v/>
      </c>
      <c r="G17" s="7" t="str">
        <f t="shared" si="6"/>
        <v/>
      </c>
      <c r="H17" s="7">
        <f t="shared" si="7"/>
        <v>0.89853478558269018</v>
      </c>
      <c r="I17" s="7" t="str">
        <f t="shared" si="8"/>
        <v/>
      </c>
      <c r="J17" s="7" t="str">
        <f t="shared" si="3"/>
        <v/>
      </c>
      <c r="K17" s="7">
        <f t="shared" si="4"/>
        <v>-4.2258762339362987E-2</v>
      </c>
      <c r="L17" s="7" t="str">
        <f t="shared" si="5"/>
        <v/>
      </c>
      <c r="M17" s="7" t="str">
        <f t="shared" si="1"/>
        <v/>
      </c>
      <c r="N17" s="7" t="str">
        <f t="shared" si="2"/>
        <v/>
      </c>
    </row>
    <row r="18" spans="1:14" x14ac:dyDescent="0.2">
      <c r="A18" s="5">
        <v>36220</v>
      </c>
      <c r="B18" s="2" t="s">
        <v>47</v>
      </c>
      <c r="C18" s="2" t="s">
        <v>91</v>
      </c>
      <c r="D18" s="4" t="str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>393.44619999999998</v>
      </c>
      <c r="F18" s="4" t="str">
        <f t="shared" si="0"/>
        <v/>
      </c>
      <c r="G18" s="7" t="str">
        <f t="shared" si="6"/>
        <v/>
      </c>
      <c r="H18" s="7">
        <f t="shared" si="7"/>
        <v>0.69774167323993241</v>
      </c>
      <c r="I18" s="7" t="str">
        <f t="shared" si="8"/>
        <v/>
      </c>
      <c r="J18" s="7" t="str">
        <f t="shared" si="3"/>
        <v/>
      </c>
      <c r="K18" s="7">
        <f t="shared" si="4"/>
        <v>0.26340305531668373</v>
      </c>
      <c r="L18" s="7" t="str">
        <f t="shared" si="5"/>
        <v/>
      </c>
      <c r="M18" s="7" t="str">
        <f t="shared" si="1"/>
        <v/>
      </c>
      <c r="N18" s="7" t="str">
        <f t="shared" si="2"/>
        <v/>
      </c>
    </row>
    <row r="19" spans="1:14" x14ac:dyDescent="0.2">
      <c r="A19" s="5">
        <v>36251</v>
      </c>
      <c r="B19" s="2" t="s">
        <v>48</v>
      </c>
      <c r="C19" s="2" t="s">
        <v>92</v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>359.33</v>
      </c>
      <c r="E19" s="4">
        <f>IF(SUMIFS('Monthly BSE Equity Cash'!$G:$G,'Monthly BSE Equity Cash'!$A:$A,$A19)=0,"",SUMIFS('Monthly BSE Equity Cash'!$G:$G,'Monthly BSE Equity Cash'!$A:$A,$A19))</f>
        <v>270.02710000000002</v>
      </c>
      <c r="F19" s="4">
        <f t="shared" si="0"/>
        <v>629.35709999999995</v>
      </c>
      <c r="G19" s="7" t="str">
        <f t="shared" si="6"/>
        <v/>
      </c>
      <c r="H19" s="7">
        <f t="shared" si="7"/>
        <v>1.6944358766065815E-2</v>
      </c>
      <c r="I19" s="7" t="str">
        <f t="shared" si="8"/>
        <v/>
      </c>
      <c r="J19" s="7" t="str">
        <f t="shared" si="3"/>
        <v/>
      </c>
      <c r="K19" s="7">
        <f t="shared" si="4"/>
        <v>-0.3136873605590802</v>
      </c>
      <c r="L19" s="7" t="str">
        <f t="shared" si="5"/>
        <v/>
      </c>
      <c r="M19" s="7">
        <f t="shared" si="1"/>
        <v>0.57094771791722065</v>
      </c>
      <c r="N19" s="7">
        <f t="shared" si="2"/>
        <v>0.42905228208277946</v>
      </c>
    </row>
    <row r="20" spans="1:14" x14ac:dyDescent="0.2">
      <c r="A20" s="5">
        <v>36281</v>
      </c>
      <c r="B20" s="2" t="s">
        <v>48</v>
      </c>
      <c r="C20" s="2" t="s">
        <v>92</v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>502.63</v>
      </c>
      <c r="E20" s="4">
        <f>IF(SUMIFS('Monthly BSE Equity Cash'!$G:$G,'Monthly BSE Equity Cash'!$A:$A,$A20)=0,"",SUMIFS('Monthly BSE Equity Cash'!$G:$G,'Monthly BSE Equity Cash'!$A:$A,$A20))</f>
        <v>362.35340000000002</v>
      </c>
      <c r="F20" s="4">
        <f t="shared" si="0"/>
        <v>864.98340000000007</v>
      </c>
      <c r="G20" s="7" t="str">
        <f t="shared" si="6"/>
        <v/>
      </c>
      <c r="H20" s="7">
        <f t="shared" si="7"/>
        <v>5.4499795297175107</v>
      </c>
      <c r="I20" s="7" t="str">
        <f t="shared" si="8"/>
        <v/>
      </c>
      <c r="J20" s="7">
        <f t="shared" si="3"/>
        <v>0.39879776250243504</v>
      </c>
      <c r="K20" s="7">
        <f t="shared" si="4"/>
        <v>0.34191494112998289</v>
      </c>
      <c r="L20" s="7">
        <f t="shared" si="5"/>
        <v>0.37439205818127763</v>
      </c>
      <c r="M20" s="7">
        <f t="shared" si="1"/>
        <v>0.58108629599134498</v>
      </c>
      <c r="N20" s="7">
        <f t="shared" si="2"/>
        <v>0.41891370400865496</v>
      </c>
    </row>
    <row r="21" spans="1:14" x14ac:dyDescent="0.2">
      <c r="A21" s="5">
        <v>36312</v>
      </c>
      <c r="B21" s="2" t="s">
        <v>48</v>
      </c>
      <c r="C21" s="2" t="s">
        <v>92</v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>404.73</v>
      </c>
      <c r="E21" s="4">
        <f>IF(SUMIFS('Monthly BSE Equity Cash'!$G:$G,'Monthly BSE Equity Cash'!$A:$A,$A21)=0,"",SUMIFS('Monthly BSE Equity Cash'!$G:$G,'Monthly BSE Equity Cash'!$A:$A,$A21))</f>
        <v>332.39550000000003</v>
      </c>
      <c r="F21" s="4">
        <f t="shared" si="0"/>
        <v>737.1255000000001</v>
      </c>
      <c r="G21" s="7" t="str">
        <f t="shared" si="6"/>
        <v/>
      </c>
      <c r="H21" s="7">
        <f t="shared" si="7"/>
        <v>1.5385096516604402</v>
      </c>
      <c r="I21" s="7" t="str">
        <f t="shared" si="8"/>
        <v/>
      </c>
      <c r="J21" s="7">
        <f t="shared" si="3"/>
        <v>-0.19477548097009723</v>
      </c>
      <c r="K21" s="7">
        <f t="shared" si="4"/>
        <v>-8.2675918040233665E-2</v>
      </c>
      <c r="L21" s="7">
        <f t="shared" si="5"/>
        <v>-0.14781543784539675</v>
      </c>
      <c r="M21" s="7">
        <f t="shared" si="1"/>
        <v>0.54906525415278673</v>
      </c>
      <c r="N21" s="7">
        <f t="shared" si="2"/>
        <v>0.45093474584721321</v>
      </c>
    </row>
    <row r="22" spans="1:14" x14ac:dyDescent="0.2">
      <c r="A22" s="5">
        <v>36342</v>
      </c>
      <c r="B22" s="2" t="s">
        <v>48</v>
      </c>
      <c r="C22" s="2" t="s">
        <v>93</v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>554.54999999999995</v>
      </c>
      <c r="E22" s="4">
        <f>IF(SUMIFS('Monthly BSE Equity Cash'!$G:$G,'Monthly BSE Equity Cash'!$A:$A,$A22)=0,"",SUMIFS('Monthly BSE Equity Cash'!$G:$G,'Monthly BSE Equity Cash'!$A:$A,$A22))</f>
        <v>466.3931</v>
      </c>
      <c r="F22" s="4">
        <f t="shared" si="0"/>
        <v>1020.9431</v>
      </c>
      <c r="G22" s="7" t="str">
        <f t="shared" si="6"/>
        <v/>
      </c>
      <c r="H22" s="7">
        <f t="shared" si="7"/>
        <v>1.1960197964884824</v>
      </c>
      <c r="I22" s="7" t="str">
        <f t="shared" si="8"/>
        <v/>
      </c>
      <c r="J22" s="7">
        <f t="shared" si="3"/>
        <v>0.37017270773107991</v>
      </c>
      <c r="K22" s="7">
        <f t="shared" si="4"/>
        <v>0.40312699780833361</v>
      </c>
      <c r="L22" s="7">
        <f t="shared" si="5"/>
        <v>0.38503294215164141</v>
      </c>
      <c r="M22" s="7">
        <f t="shared" si="1"/>
        <v>0.54317424741888165</v>
      </c>
      <c r="N22" s="7">
        <f t="shared" si="2"/>
        <v>0.4568257525811184</v>
      </c>
    </row>
    <row r="23" spans="1:14" x14ac:dyDescent="0.2">
      <c r="A23" s="5">
        <v>36373</v>
      </c>
      <c r="B23" s="2" t="s">
        <v>48</v>
      </c>
      <c r="C23" s="2" t="s">
        <v>93</v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>536.99</v>
      </c>
      <c r="E23" s="4">
        <f>IF(SUMIFS('Monthly BSE Equity Cash'!$G:$G,'Monthly BSE Equity Cash'!$A:$A,$A23)=0,"",SUMIFS('Monthly BSE Equity Cash'!$G:$G,'Monthly BSE Equity Cash'!$A:$A,$A23))</f>
        <v>499.97160000000002</v>
      </c>
      <c r="F23" s="4">
        <f t="shared" si="0"/>
        <v>1036.9616000000001</v>
      </c>
      <c r="G23" s="7" t="str">
        <f t="shared" si="6"/>
        <v/>
      </c>
      <c r="H23" s="7">
        <f t="shared" si="7"/>
        <v>1.7453318471092762</v>
      </c>
      <c r="I23" s="7" t="str">
        <f t="shared" si="8"/>
        <v/>
      </c>
      <c r="J23" s="7">
        <f t="shared" si="3"/>
        <v>-3.1665314218735863E-2</v>
      </c>
      <c r="K23" s="7">
        <f t="shared" si="4"/>
        <v>7.1996133733539303E-2</v>
      </c>
      <c r="L23" s="7">
        <f t="shared" si="5"/>
        <v>1.568990475571086E-2</v>
      </c>
      <c r="M23" s="7">
        <f t="shared" si="1"/>
        <v>0.51784945556325324</v>
      </c>
      <c r="N23" s="7">
        <f t="shared" si="2"/>
        <v>0.48215054443674671</v>
      </c>
    </row>
    <row r="24" spans="1:14" x14ac:dyDescent="0.2">
      <c r="A24" s="5">
        <v>36404</v>
      </c>
      <c r="B24" s="2" t="s">
        <v>48</v>
      </c>
      <c r="C24" s="2" t="s">
        <v>93</v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>558.78</v>
      </c>
      <c r="E24" s="4">
        <f>IF(SUMIFS('Monthly BSE Equity Cash'!$G:$G,'Monthly BSE Equity Cash'!$A:$A,$A24)=0,"",SUMIFS('Monthly BSE Equity Cash'!$G:$G,'Monthly BSE Equity Cash'!$A:$A,$A24))</f>
        <v>465.77719999999999</v>
      </c>
      <c r="F24" s="4">
        <f t="shared" si="0"/>
        <v>1024.5572</v>
      </c>
      <c r="G24" s="7" t="str">
        <f t="shared" si="6"/>
        <v/>
      </c>
      <c r="H24" s="7">
        <f t="shared" si="7"/>
        <v>0.68474729904570908</v>
      </c>
      <c r="I24" s="7" t="str">
        <f t="shared" si="8"/>
        <v/>
      </c>
      <c r="J24" s="7">
        <f t="shared" si="3"/>
        <v>4.0578036834950204E-2</v>
      </c>
      <c r="K24" s="7">
        <f t="shared" si="4"/>
        <v>-6.8392684704491225E-2</v>
      </c>
      <c r="L24" s="7">
        <f t="shared" si="5"/>
        <v>-1.1962255882956629E-2</v>
      </c>
      <c r="M24" s="7">
        <f t="shared" si="1"/>
        <v>0.54538682662129556</v>
      </c>
      <c r="N24" s="7">
        <f t="shared" si="2"/>
        <v>0.45461317337870449</v>
      </c>
    </row>
    <row r="25" spans="1:14" x14ac:dyDescent="0.2">
      <c r="A25" s="5">
        <v>36434</v>
      </c>
      <c r="B25" s="2" t="s">
        <v>48</v>
      </c>
      <c r="C25" s="2" t="s">
        <v>94</v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>722.16</v>
      </c>
      <c r="E25" s="4">
        <f>IF(SUMIFS('Monthly BSE Equity Cash'!$G:$G,'Monthly BSE Equity Cash'!$A:$A,$A25)=0,"",SUMIFS('Monthly BSE Equity Cash'!$G:$G,'Monthly BSE Equity Cash'!$A:$A,$A25))</f>
        <v>576.98789999999997</v>
      </c>
      <c r="F25" s="4">
        <f t="shared" si="0"/>
        <v>1299.1478999999999</v>
      </c>
      <c r="G25" s="7" t="str">
        <f t="shared" si="6"/>
        <v/>
      </c>
      <c r="H25" s="7">
        <f t="shared" si="7"/>
        <v>1.5798548901794893</v>
      </c>
      <c r="I25" s="7" t="str">
        <f t="shared" si="8"/>
        <v/>
      </c>
      <c r="J25" s="7">
        <f t="shared" si="3"/>
        <v>0.29238698593364121</v>
      </c>
      <c r="K25" s="7">
        <f t="shared" si="4"/>
        <v>0.23876372651988964</v>
      </c>
      <c r="L25" s="7">
        <f t="shared" si="5"/>
        <v>0.26800914580464608</v>
      </c>
      <c r="M25" s="7">
        <f t="shared" si="1"/>
        <v>0.55587204505353083</v>
      </c>
      <c r="N25" s="7">
        <f t="shared" si="2"/>
        <v>0.44412795494646912</v>
      </c>
    </row>
    <row r="26" spans="1:14" x14ac:dyDescent="0.2">
      <c r="A26" s="5">
        <v>36465</v>
      </c>
      <c r="B26" s="2" t="s">
        <v>48</v>
      </c>
      <c r="C26" s="2" t="s">
        <v>94</v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>663.31</v>
      </c>
      <c r="E26" s="4">
        <f>IF(SUMIFS('Monthly BSE Equity Cash'!$G:$G,'Monthly BSE Equity Cash'!$A:$A,$A26)=0,"",SUMIFS('Monthly BSE Equity Cash'!$G:$G,'Monthly BSE Equity Cash'!$A:$A,$A26))</f>
        <v>491.2133</v>
      </c>
      <c r="F26" s="4">
        <f t="shared" si="0"/>
        <v>1154.5232999999998</v>
      </c>
      <c r="G26" s="7" t="str">
        <f t="shared" si="6"/>
        <v/>
      </c>
      <c r="H26" s="7">
        <f t="shared" si="7"/>
        <v>1.4292776408159025</v>
      </c>
      <c r="I26" s="7" t="str">
        <f t="shared" si="8"/>
        <v/>
      </c>
      <c r="J26" s="7">
        <f t="shared" si="3"/>
        <v>-8.1491636202503659E-2</v>
      </c>
      <c r="K26" s="7">
        <f t="shared" si="4"/>
        <v>-0.14865926997775858</v>
      </c>
      <c r="L26" s="7">
        <f t="shared" si="5"/>
        <v>-0.11132266002970104</v>
      </c>
      <c r="M26" s="7">
        <f t="shared" si="1"/>
        <v>0.57453149711227136</v>
      </c>
      <c r="N26" s="7">
        <f t="shared" si="2"/>
        <v>0.42546850288772869</v>
      </c>
    </row>
    <row r="27" spans="1:14" x14ac:dyDescent="0.2">
      <c r="A27" s="5">
        <v>36495</v>
      </c>
      <c r="B27" s="2" t="s">
        <v>48</v>
      </c>
      <c r="C27" s="2" t="s">
        <v>94</v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>985.85</v>
      </c>
      <c r="E27" s="4">
        <f>IF(SUMIFS('Monthly BSE Equity Cash'!$G:$G,'Monthly BSE Equity Cash'!$A:$A,$A27)=0,"",SUMIFS('Monthly BSE Equity Cash'!$G:$G,'Monthly BSE Equity Cash'!$A:$A,$A27))</f>
        <v>784.47550000000001</v>
      </c>
      <c r="F27" s="4">
        <f t="shared" si="0"/>
        <v>1770.3254999999999</v>
      </c>
      <c r="G27" s="7" t="str">
        <f t="shared" si="6"/>
        <v/>
      </c>
      <c r="H27" s="7">
        <f t="shared" si="7"/>
        <v>1.9394756366252497</v>
      </c>
      <c r="I27" s="7" t="str">
        <f t="shared" si="8"/>
        <v/>
      </c>
      <c r="J27" s="7">
        <f t="shared" si="3"/>
        <v>0.48625831059384006</v>
      </c>
      <c r="K27" s="7">
        <f t="shared" si="4"/>
        <v>0.59701600099182994</v>
      </c>
      <c r="L27" s="7">
        <f t="shared" si="5"/>
        <v>0.53338221931077534</v>
      </c>
      <c r="M27" s="7">
        <f t="shared" si="1"/>
        <v>0.55687499276263042</v>
      </c>
      <c r="N27" s="7">
        <f t="shared" si="2"/>
        <v>0.44312500723736964</v>
      </c>
    </row>
    <row r="28" spans="1:14" x14ac:dyDescent="0.2">
      <c r="A28" s="5">
        <v>36526</v>
      </c>
      <c r="B28" s="2" t="s">
        <v>48</v>
      </c>
      <c r="C28" s="2" t="s">
        <v>95</v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>859.39</v>
      </c>
      <c r="E28" s="4">
        <f>IF(SUMIFS('Monthly BSE Equity Cash'!$G:$G,'Monthly BSE Equity Cash'!$A:$A,$A28)=0,"",SUMIFS('Monthly BSE Equity Cash'!$G:$G,'Monthly BSE Equity Cash'!$A:$A,$A28))</f>
        <v>745.63559999999995</v>
      </c>
      <c r="F28" s="4">
        <f t="shared" si="0"/>
        <v>1605.0255999999999</v>
      </c>
      <c r="G28" s="7" t="str">
        <f t="shared" si="6"/>
        <v/>
      </c>
      <c r="H28" s="7">
        <f t="shared" si="7"/>
        <v>1.2931443301822556</v>
      </c>
      <c r="I28" s="7" t="str">
        <f t="shared" si="8"/>
        <v/>
      </c>
      <c r="J28" s="7">
        <f t="shared" si="3"/>
        <v>-0.12827509255972003</v>
      </c>
      <c r="K28" s="7">
        <f t="shared" si="4"/>
        <v>-4.9510660307428456E-2</v>
      </c>
      <c r="L28" s="7">
        <f t="shared" si="5"/>
        <v>-9.3372602947875971E-2</v>
      </c>
      <c r="M28" s="7">
        <f t="shared" si="1"/>
        <v>0.53543694256340835</v>
      </c>
      <c r="N28" s="7">
        <f t="shared" si="2"/>
        <v>0.46456305743659165</v>
      </c>
    </row>
    <row r="29" spans="1:14" x14ac:dyDescent="0.2">
      <c r="A29" s="5">
        <v>36557</v>
      </c>
      <c r="B29" s="2" t="s">
        <v>48</v>
      </c>
      <c r="C29" s="2" t="s">
        <v>95</v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>1186.94</v>
      </c>
      <c r="E29" s="4">
        <f>IF(SUMIFS('Monthly BSE Equity Cash'!$G:$G,'Monthly BSE Equity Cash'!$A:$A,$A29)=0,"",SUMIFS('Monthly BSE Equity Cash'!$G:$G,'Monthly BSE Equity Cash'!$A:$A,$A29))</f>
        <v>1018.4206</v>
      </c>
      <c r="F29" s="4">
        <f t="shared" si="0"/>
        <v>2205.3606</v>
      </c>
      <c r="G29" s="7" t="str">
        <f t="shared" si="6"/>
        <v/>
      </c>
      <c r="H29" s="7">
        <f t="shared" si="7"/>
        <v>2.2702709992813515</v>
      </c>
      <c r="I29" s="7" t="str">
        <f t="shared" si="8"/>
        <v/>
      </c>
      <c r="J29" s="7">
        <f t="shared" si="3"/>
        <v>0.38114243824107796</v>
      </c>
      <c r="K29" s="7">
        <f t="shared" si="4"/>
        <v>0.3658422425109531</v>
      </c>
      <c r="L29" s="7">
        <f t="shared" si="5"/>
        <v>0.37403453253331298</v>
      </c>
      <c r="M29" s="7">
        <f t="shared" si="1"/>
        <v>0.53820676763700237</v>
      </c>
      <c r="N29" s="7">
        <f t="shared" si="2"/>
        <v>0.46179323236299769</v>
      </c>
    </row>
    <row r="30" spans="1:14" x14ac:dyDescent="0.2">
      <c r="A30" s="5">
        <v>36586</v>
      </c>
      <c r="B30" s="2" t="s">
        <v>48</v>
      </c>
      <c r="C30" s="2" t="s">
        <v>95</v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>1055.8399999999999</v>
      </c>
      <c r="E30" s="4">
        <f>IF(SUMIFS('Monthly BSE Equity Cash'!$G:$G,'Monthly BSE Equity Cash'!$A:$A,$A30)=0,"",SUMIFS('Monthly BSE Equity Cash'!$G:$G,'Monthly BSE Equity Cash'!$A:$A,$A30))</f>
        <v>850.63469999999995</v>
      </c>
      <c r="F30" s="4">
        <f t="shared" si="0"/>
        <v>1906.4746999999998</v>
      </c>
      <c r="G30" s="7" t="str">
        <f t="shared" si="6"/>
        <v/>
      </c>
      <c r="H30" s="7">
        <f t="shared" si="7"/>
        <v>1.1620102062238753</v>
      </c>
      <c r="I30" s="7" t="str">
        <f t="shared" si="8"/>
        <v/>
      </c>
      <c r="J30" s="7">
        <f t="shared" si="3"/>
        <v>-0.1104520868788651</v>
      </c>
      <c r="K30" s="7">
        <f t="shared" si="4"/>
        <v>-0.1647510861426017</v>
      </c>
      <c r="L30" s="7">
        <f t="shared" si="5"/>
        <v>-0.13552699726294204</v>
      </c>
      <c r="M30" s="7">
        <f t="shared" si="1"/>
        <v>0.55381799716513413</v>
      </c>
      <c r="N30" s="7">
        <f t="shared" si="2"/>
        <v>0.44618200283486587</v>
      </c>
    </row>
    <row r="31" spans="1:14" x14ac:dyDescent="0.2">
      <c r="A31" s="5">
        <v>36617</v>
      </c>
      <c r="B31" s="2" t="s">
        <v>49</v>
      </c>
      <c r="C31" s="2" t="s">
        <v>96</v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>572.29</v>
      </c>
      <c r="E31" s="4">
        <f>IF(SUMIFS('Monthly BSE Equity Cash'!$G:$G,'Monthly BSE Equity Cash'!$A:$A,$A31)=0,"",SUMIFS('Monthly BSE Equity Cash'!$G:$G,'Monthly BSE Equity Cash'!$A:$A,$A31))</f>
        <v>446.01429999999999</v>
      </c>
      <c r="F31" s="4">
        <f t="shared" si="0"/>
        <v>1018.3043</v>
      </c>
      <c r="G31" s="7">
        <f t="shared" si="6"/>
        <v>0.59265855898477726</v>
      </c>
      <c r="H31" s="7">
        <f t="shared" si="7"/>
        <v>0.65173902915670312</v>
      </c>
      <c r="I31" s="7">
        <f t="shared" si="8"/>
        <v>0.61800716953856583</v>
      </c>
      <c r="J31" s="7">
        <f t="shared" si="3"/>
        <v>-0.45797658736172142</v>
      </c>
      <c r="K31" s="7">
        <f t="shared" si="4"/>
        <v>-0.47566881529756544</v>
      </c>
      <c r="L31" s="7">
        <f t="shared" si="5"/>
        <v>-0.46587054105674719</v>
      </c>
      <c r="M31" s="7">
        <f t="shared" si="1"/>
        <v>0.56200292977256405</v>
      </c>
      <c r="N31" s="7">
        <f t="shared" si="2"/>
        <v>0.43799707022743595</v>
      </c>
    </row>
    <row r="32" spans="1:14" x14ac:dyDescent="0.2">
      <c r="A32" s="5">
        <v>36647</v>
      </c>
      <c r="B32" s="2" t="s">
        <v>49</v>
      </c>
      <c r="C32" s="2" t="s">
        <v>96</v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>790.37</v>
      </c>
      <c r="E32" s="4">
        <f>IF(SUMIFS('Monthly BSE Equity Cash'!$G:$G,'Monthly BSE Equity Cash'!$A:$A,$A32)=0,"",SUMIFS('Monthly BSE Equity Cash'!$G:$G,'Monthly BSE Equity Cash'!$A:$A,$A32))</f>
        <v>578.91380000000004</v>
      </c>
      <c r="F32" s="4">
        <f t="shared" si="0"/>
        <v>1369.2838000000002</v>
      </c>
      <c r="G32" s="7">
        <f t="shared" si="6"/>
        <v>0.5724688140381593</v>
      </c>
      <c r="H32" s="7">
        <f t="shared" si="7"/>
        <v>0.5976496977812269</v>
      </c>
      <c r="I32" s="7">
        <f t="shared" si="8"/>
        <v>0.58301743131717898</v>
      </c>
      <c r="J32" s="7">
        <f t="shared" si="3"/>
        <v>0.38106554369288315</v>
      </c>
      <c r="K32" s="7">
        <f t="shared" si="4"/>
        <v>0.2979713879128989</v>
      </c>
      <c r="L32" s="7">
        <f t="shared" si="5"/>
        <v>0.34467054690822785</v>
      </c>
      <c r="M32" s="7">
        <f t="shared" si="1"/>
        <v>0.57721416115490443</v>
      </c>
      <c r="N32" s="7">
        <f t="shared" si="2"/>
        <v>0.42278583884509552</v>
      </c>
    </row>
    <row r="33" spans="1:14" x14ac:dyDescent="0.2">
      <c r="A33" s="5">
        <v>36678</v>
      </c>
      <c r="B33" s="2" t="s">
        <v>49</v>
      </c>
      <c r="C33" s="2" t="s">
        <v>96</v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>1193.73</v>
      </c>
      <c r="E33" s="4">
        <f>IF(SUMIFS('Monthly BSE Equity Cash'!$G:$G,'Monthly BSE Equity Cash'!$A:$A,$A33)=0,"",SUMIFS('Monthly BSE Equity Cash'!$G:$G,'Monthly BSE Equity Cash'!$A:$A,$A33))</f>
        <v>862.77589999999998</v>
      </c>
      <c r="F33" s="4">
        <f t="shared" si="0"/>
        <v>2056.5059000000001</v>
      </c>
      <c r="G33" s="7">
        <f t="shared" si="6"/>
        <v>1.9494477800014822</v>
      </c>
      <c r="H33" s="7">
        <f t="shared" si="7"/>
        <v>1.5956305064298402</v>
      </c>
      <c r="I33" s="7">
        <f t="shared" si="8"/>
        <v>1.7898992776670997</v>
      </c>
      <c r="J33" s="7">
        <f t="shared" si="3"/>
        <v>0.51034325695560301</v>
      </c>
      <c r="K33" s="7">
        <f t="shared" si="4"/>
        <v>0.49033569419143208</v>
      </c>
      <c r="L33" s="7">
        <f t="shared" si="5"/>
        <v>0.50188434274910709</v>
      </c>
      <c r="M33" s="7">
        <f t="shared" si="1"/>
        <v>0.5804651472188822</v>
      </c>
      <c r="N33" s="7">
        <f t="shared" si="2"/>
        <v>0.41953485278111768</v>
      </c>
    </row>
    <row r="34" spans="1:14" x14ac:dyDescent="0.2">
      <c r="A34" s="5">
        <v>36708</v>
      </c>
      <c r="B34" s="2" t="s">
        <v>49</v>
      </c>
      <c r="C34" s="2" t="s">
        <v>97</v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>1100.56</v>
      </c>
      <c r="E34" s="4">
        <f>IF(SUMIFS('Monthly BSE Equity Cash'!$G:$G,'Monthly BSE Equity Cash'!$A:$A,$A34)=0,"",SUMIFS('Monthly BSE Equity Cash'!$G:$G,'Monthly BSE Equity Cash'!$A:$A,$A34))</f>
        <v>803.46789999999999</v>
      </c>
      <c r="F34" s="4">
        <f t="shared" si="0"/>
        <v>1904.0279</v>
      </c>
      <c r="G34" s="7">
        <f t="shared" si="6"/>
        <v>0.98460012622847359</v>
      </c>
      <c r="H34" s="7">
        <f t="shared" si="7"/>
        <v>0.72272681564114039</v>
      </c>
      <c r="I34" s="7">
        <f t="shared" si="8"/>
        <v>0.86496965403850634</v>
      </c>
      <c r="J34" s="7">
        <f t="shared" si="3"/>
        <v>-7.8049475174453264E-2</v>
      </c>
      <c r="K34" s="7">
        <f t="shared" si="4"/>
        <v>-6.8740909429667596E-2</v>
      </c>
      <c r="L34" s="7">
        <f t="shared" si="5"/>
        <v>-7.4144207415111296E-2</v>
      </c>
      <c r="M34" s="7">
        <f t="shared" si="1"/>
        <v>0.57801674019587634</v>
      </c>
      <c r="N34" s="7">
        <f t="shared" si="2"/>
        <v>0.42198325980412366</v>
      </c>
    </row>
    <row r="35" spans="1:14" x14ac:dyDescent="0.2">
      <c r="A35" s="5">
        <v>36739</v>
      </c>
      <c r="B35" s="2" t="s">
        <v>49</v>
      </c>
      <c r="C35" s="2" t="s">
        <v>97</v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>1253.47</v>
      </c>
      <c r="E35" s="4">
        <f>IF(SUMIFS('Monthly BSE Equity Cash'!$G:$G,'Monthly BSE Equity Cash'!$A:$A,$A35)=0,"",SUMIFS('Monthly BSE Equity Cash'!$G:$G,'Monthly BSE Equity Cash'!$A:$A,$A35))</f>
        <v>925.62800000000004</v>
      </c>
      <c r="F35" s="4">
        <f t="shared" si="0"/>
        <v>2179.098</v>
      </c>
      <c r="G35" s="7">
        <f t="shared" si="6"/>
        <v>1.334252034488538</v>
      </c>
      <c r="H35" s="7">
        <f t="shared" si="7"/>
        <v>0.85136115731373541</v>
      </c>
      <c r="I35" s="7">
        <f t="shared" si="8"/>
        <v>1.1014259351551683</v>
      </c>
      <c r="J35" s="7">
        <f t="shared" si="3"/>
        <v>0.13893835865377624</v>
      </c>
      <c r="K35" s="7">
        <f t="shared" si="4"/>
        <v>0.15204104607041558</v>
      </c>
      <c r="L35" s="7">
        <f t="shared" si="5"/>
        <v>0.14446747340204413</v>
      </c>
      <c r="M35" s="7">
        <f t="shared" si="1"/>
        <v>0.5752242441597395</v>
      </c>
      <c r="N35" s="7">
        <f t="shared" si="2"/>
        <v>0.42477575584026056</v>
      </c>
    </row>
    <row r="36" spans="1:14" x14ac:dyDescent="0.2">
      <c r="A36" s="5">
        <v>36770</v>
      </c>
      <c r="B36" s="2" t="s">
        <v>49</v>
      </c>
      <c r="C36" s="2" t="s">
        <v>97</v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>1424.8</v>
      </c>
      <c r="E36" s="4">
        <f>IF(SUMIFS('Monthly BSE Equity Cash'!$G:$G,'Monthly BSE Equity Cash'!$A:$A,$A36)=0,"",SUMIFS('Monthly BSE Equity Cash'!$G:$G,'Monthly BSE Equity Cash'!$A:$A,$A36))</f>
        <v>1144.3226999999999</v>
      </c>
      <c r="F36" s="4">
        <f t="shared" si="0"/>
        <v>2569.1226999999999</v>
      </c>
      <c r="G36" s="7">
        <f t="shared" si="6"/>
        <v>1.5498407244353771</v>
      </c>
      <c r="H36" s="7">
        <f t="shared" si="7"/>
        <v>1.4568027374461439</v>
      </c>
      <c r="I36" s="7">
        <f t="shared" si="8"/>
        <v>1.507544429925435</v>
      </c>
      <c r="J36" s="7">
        <f t="shared" si="3"/>
        <v>0.13668456365130388</v>
      </c>
      <c r="K36" s="7">
        <f t="shared" si="4"/>
        <v>0.23626629704373658</v>
      </c>
      <c r="L36" s="7">
        <f t="shared" si="5"/>
        <v>0.17898446972095794</v>
      </c>
      <c r="M36" s="7">
        <f t="shared" si="1"/>
        <v>0.55458620174116247</v>
      </c>
      <c r="N36" s="7">
        <f t="shared" si="2"/>
        <v>0.44541379825883753</v>
      </c>
    </row>
    <row r="37" spans="1:14" x14ac:dyDescent="0.2">
      <c r="A37" s="5">
        <v>36800</v>
      </c>
      <c r="B37" s="2" t="s">
        <v>49</v>
      </c>
      <c r="C37" s="2" t="s">
        <v>98</v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>1068.54</v>
      </c>
      <c r="E37" s="4">
        <f>IF(SUMIFS('Monthly BSE Equity Cash'!$G:$G,'Monthly BSE Equity Cash'!$A:$A,$A37)=0,"",SUMIFS('Monthly BSE Equity Cash'!$G:$G,'Monthly BSE Equity Cash'!$A:$A,$A37))</f>
        <v>763.04319999999996</v>
      </c>
      <c r="F37" s="4">
        <f t="shared" si="0"/>
        <v>1831.5832</v>
      </c>
      <c r="G37" s="7">
        <f t="shared" si="6"/>
        <v>0.47964440013293452</v>
      </c>
      <c r="H37" s="7">
        <f t="shared" si="7"/>
        <v>0.32245962177023113</v>
      </c>
      <c r="I37" s="7">
        <f t="shared" si="8"/>
        <v>0.40983424596999329</v>
      </c>
      <c r="J37" s="7">
        <f t="shared" si="3"/>
        <v>-0.25004211117349806</v>
      </c>
      <c r="K37" s="7">
        <f t="shared" si="4"/>
        <v>-0.3331922892030369</v>
      </c>
      <c r="L37" s="7">
        <f t="shared" si="5"/>
        <v>-0.28707834779553343</v>
      </c>
      <c r="M37" s="7">
        <f t="shared" si="1"/>
        <v>0.58339692130829757</v>
      </c>
      <c r="N37" s="7">
        <f t="shared" si="2"/>
        <v>0.41660307869170232</v>
      </c>
    </row>
    <row r="38" spans="1:14" x14ac:dyDescent="0.2">
      <c r="A38" s="5">
        <v>36831</v>
      </c>
      <c r="B38" s="2" t="s">
        <v>49</v>
      </c>
      <c r="C38" s="2" t="s">
        <v>98</v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>1227.31</v>
      </c>
      <c r="E38" s="4">
        <f>IF(SUMIFS('Monthly BSE Equity Cash'!$G:$G,'Monthly BSE Equity Cash'!$A:$A,$A38)=0,"",SUMIFS('Monthly BSE Equity Cash'!$G:$G,'Monthly BSE Equity Cash'!$A:$A,$A38))</f>
        <v>869.71379999999999</v>
      </c>
      <c r="F38" s="4">
        <f t="shared" si="0"/>
        <v>2097.0237999999999</v>
      </c>
      <c r="G38" s="7">
        <f t="shared" si="6"/>
        <v>0.85028116566914425</v>
      </c>
      <c r="H38" s="7">
        <f t="shared" si="7"/>
        <v>0.77054204354808786</v>
      </c>
      <c r="I38" s="7">
        <f t="shared" si="8"/>
        <v>0.81635468075871676</v>
      </c>
      <c r="J38" s="7">
        <f t="shared" si="3"/>
        <v>0.14858592097628542</v>
      </c>
      <c r="K38" s="7">
        <f t="shared" si="4"/>
        <v>0.13979627890006752</v>
      </c>
      <c r="L38" s="7">
        <f t="shared" si="5"/>
        <v>0.1449241290267349</v>
      </c>
      <c r="M38" s="7">
        <f t="shared" si="1"/>
        <v>0.58526279005512483</v>
      </c>
      <c r="N38" s="7">
        <f t="shared" si="2"/>
        <v>0.41473720994487523</v>
      </c>
    </row>
    <row r="39" spans="1:14" x14ac:dyDescent="0.2">
      <c r="A39" s="5">
        <v>36861</v>
      </c>
      <c r="B39" s="2" t="s">
        <v>49</v>
      </c>
      <c r="C39" s="2" t="s">
        <v>98</v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>1314.15</v>
      </c>
      <c r="E39" s="4">
        <f>IF(SUMIFS('Monthly BSE Equity Cash'!$G:$G,'Monthly BSE Equity Cash'!$A:$A,$A39)=0,"",SUMIFS('Monthly BSE Equity Cash'!$G:$G,'Monthly BSE Equity Cash'!$A:$A,$A39))</f>
        <v>991.98659999999995</v>
      </c>
      <c r="F39" s="4">
        <f t="shared" si="0"/>
        <v>2306.1365999999998</v>
      </c>
      <c r="G39" s="7">
        <f t="shared" si="6"/>
        <v>0.33301212151950099</v>
      </c>
      <c r="H39" s="7">
        <f t="shared" si="7"/>
        <v>0.26452209151209938</v>
      </c>
      <c r="I39" s="7">
        <f t="shared" si="8"/>
        <v>0.30266247647678357</v>
      </c>
      <c r="J39" s="7">
        <f t="shared" si="3"/>
        <v>7.075636962136711E-2</v>
      </c>
      <c r="K39" s="7">
        <f t="shared" si="4"/>
        <v>0.14058969743839866</v>
      </c>
      <c r="L39" s="7">
        <f t="shared" si="5"/>
        <v>9.9718849161368528E-2</v>
      </c>
      <c r="M39" s="7">
        <f t="shared" si="1"/>
        <v>0.56984915811144932</v>
      </c>
      <c r="N39" s="7">
        <f t="shared" si="2"/>
        <v>0.43015084188855074</v>
      </c>
    </row>
    <row r="40" spans="1:14" x14ac:dyDescent="0.2">
      <c r="A40" s="5">
        <v>36892</v>
      </c>
      <c r="B40" s="2" t="s">
        <v>49</v>
      </c>
      <c r="C40" s="2" t="s">
        <v>99</v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>1488.3</v>
      </c>
      <c r="E40" s="4">
        <f>IF(SUMIFS('Monthly BSE Equity Cash'!$G:$G,'Monthly BSE Equity Cash'!$A:$A,$A40)=0,"",SUMIFS('Monthly BSE Equity Cash'!$G:$G,'Monthly BSE Equity Cash'!$A:$A,$A40))</f>
        <v>1148.4866999999999</v>
      </c>
      <c r="F40" s="4">
        <f t="shared" si="0"/>
        <v>2636.7866999999997</v>
      </c>
      <c r="G40" s="7">
        <f t="shared" si="6"/>
        <v>0.7318097720476151</v>
      </c>
      <c r="H40" s="7">
        <f t="shared" si="7"/>
        <v>0.54027879033672743</v>
      </c>
      <c r="I40" s="7">
        <f t="shared" si="8"/>
        <v>0.64283155359017319</v>
      </c>
      <c r="J40" s="7">
        <f t="shared" si="3"/>
        <v>0.13251911882205225</v>
      </c>
      <c r="K40" s="7">
        <f t="shared" si="4"/>
        <v>0.15776432867137524</v>
      </c>
      <c r="L40" s="7">
        <f t="shared" si="5"/>
        <v>0.1433783670923916</v>
      </c>
      <c r="M40" s="7">
        <f t="shared" si="1"/>
        <v>0.56443700963752597</v>
      </c>
      <c r="N40" s="7">
        <f t="shared" si="2"/>
        <v>0.4355629903624742</v>
      </c>
    </row>
    <row r="41" spans="1:14" x14ac:dyDescent="0.2">
      <c r="A41" s="5">
        <v>36923</v>
      </c>
      <c r="B41" s="2" t="s">
        <v>49</v>
      </c>
      <c r="C41" s="2" t="s">
        <v>99</v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>1359.32</v>
      </c>
      <c r="E41" s="4">
        <f>IF(SUMIFS('Monthly BSE Equity Cash'!$G:$G,'Monthly BSE Equity Cash'!$A:$A,$A41)=0,"",SUMIFS('Monthly BSE Equity Cash'!$G:$G,'Monthly BSE Equity Cash'!$A:$A,$A41))</f>
        <v>1014.2705999999999</v>
      </c>
      <c r="F41" s="4">
        <f t="shared" si="0"/>
        <v>2373.5906</v>
      </c>
      <c r="G41" s="7">
        <f t="shared" si="6"/>
        <v>0.14523059295330842</v>
      </c>
      <c r="H41" s="7">
        <f t="shared" si="7"/>
        <v>-4.074937211600127E-3</v>
      </c>
      <c r="I41" s="7">
        <f t="shared" si="8"/>
        <v>7.6282309568784346E-2</v>
      </c>
      <c r="J41" s="7">
        <f t="shared" si="3"/>
        <v>-8.6662635221393503E-2</v>
      </c>
      <c r="K41" s="7">
        <f t="shared" si="4"/>
        <v>-0.11686343429140278</v>
      </c>
      <c r="L41" s="7">
        <f t="shared" si="5"/>
        <v>-9.9816985575662875E-2</v>
      </c>
      <c r="M41" s="7">
        <f t="shared" si="1"/>
        <v>0.57268511258849775</v>
      </c>
      <c r="N41" s="7">
        <f t="shared" si="2"/>
        <v>0.4273148874115022</v>
      </c>
    </row>
    <row r="42" spans="1:14" x14ac:dyDescent="0.2">
      <c r="A42" s="5">
        <v>36951</v>
      </c>
      <c r="B42" s="2" t="s">
        <v>49</v>
      </c>
      <c r="C42" s="2" t="s">
        <v>99</v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>602.26</v>
      </c>
      <c r="E42" s="4">
        <f>IF(SUMIFS('Monthly BSE Equity Cash'!$G:$G,'Monthly BSE Equity Cash'!$A:$A,$A42)=0,"",SUMIFS('Monthly BSE Equity Cash'!$G:$G,'Monthly BSE Equity Cash'!$A:$A,$A42))</f>
        <v>451.70269999999999</v>
      </c>
      <c r="F42" s="4">
        <f t="shared" si="0"/>
        <v>1053.9627</v>
      </c>
      <c r="G42" s="7">
        <f t="shared" si="6"/>
        <v>-0.42959160478860425</v>
      </c>
      <c r="H42" s="7">
        <f t="shared" si="7"/>
        <v>-0.46898157340630475</v>
      </c>
      <c r="I42" s="7">
        <f t="shared" si="8"/>
        <v>-0.44716669987805235</v>
      </c>
      <c r="J42" s="7">
        <f t="shared" si="3"/>
        <v>-0.55694023482329391</v>
      </c>
      <c r="K42" s="7">
        <f t="shared" si="4"/>
        <v>-0.55465267355674119</v>
      </c>
      <c r="L42" s="7">
        <f t="shared" si="5"/>
        <v>-0.55596272583823003</v>
      </c>
      <c r="M42" s="7">
        <f t="shared" si="1"/>
        <v>0.57142439670777723</v>
      </c>
      <c r="N42" s="7">
        <f t="shared" si="2"/>
        <v>0.42857560329222277</v>
      </c>
    </row>
    <row r="43" spans="1:14" x14ac:dyDescent="0.2">
      <c r="A43" s="5">
        <v>36982</v>
      </c>
      <c r="B43" s="2" t="s">
        <v>50</v>
      </c>
      <c r="C43" s="2" t="s">
        <v>100</v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>356.16</v>
      </c>
      <c r="E43" s="4">
        <f>IF(SUMIFS('Monthly BSE Equity Cash'!$G:$G,'Monthly BSE Equity Cash'!$A:$A,$A43)=0,"",SUMIFS('Monthly BSE Equity Cash'!$G:$G,'Monthly BSE Equity Cash'!$A:$A,$A43))</f>
        <v>238.76240000000001</v>
      </c>
      <c r="F43" s="4">
        <f t="shared" si="0"/>
        <v>594.92240000000004</v>
      </c>
      <c r="G43" s="7">
        <f t="shared" si="6"/>
        <v>-0.37765818029320786</v>
      </c>
      <c r="H43" s="7">
        <f t="shared" si="7"/>
        <v>-0.46467545995722559</v>
      </c>
      <c r="I43" s="7">
        <f t="shared" si="8"/>
        <v>-0.41577149384520906</v>
      </c>
      <c r="J43" s="7">
        <f t="shared" si="3"/>
        <v>-0.40862750307176299</v>
      </c>
      <c r="K43" s="7">
        <f t="shared" si="4"/>
        <v>-0.47141692976375826</v>
      </c>
      <c r="L43" s="7">
        <f t="shared" si="5"/>
        <v>-0.43553751949665764</v>
      </c>
      <c r="M43" s="7">
        <f t="shared" si="1"/>
        <v>0.59866631345533472</v>
      </c>
      <c r="N43" s="7">
        <f t="shared" si="2"/>
        <v>0.40133368654466534</v>
      </c>
    </row>
    <row r="44" spans="1:14" x14ac:dyDescent="0.2">
      <c r="A44" s="5">
        <v>37012</v>
      </c>
      <c r="B44" s="2" t="s">
        <v>50</v>
      </c>
      <c r="C44" s="2" t="s">
        <v>100</v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>483.29</v>
      </c>
      <c r="E44" s="4">
        <f>IF(SUMIFS('Monthly BSE Equity Cash'!$G:$G,'Monthly BSE Equity Cash'!$A:$A,$A44)=0,"",SUMIFS('Monthly BSE Equity Cash'!$G:$G,'Monthly BSE Equity Cash'!$A:$A,$A44))</f>
        <v>318.68290000000002</v>
      </c>
      <c r="F44" s="4">
        <f t="shared" si="0"/>
        <v>801.97289999999998</v>
      </c>
      <c r="G44" s="7">
        <f t="shared" si="6"/>
        <v>-0.38852689246808458</v>
      </c>
      <c r="H44" s="7">
        <f t="shared" si="7"/>
        <v>-0.44951580010702807</v>
      </c>
      <c r="I44" s="7">
        <f t="shared" si="8"/>
        <v>-0.41431213894446139</v>
      </c>
      <c r="J44" s="7">
        <f t="shared" si="3"/>
        <v>0.35694631626235407</v>
      </c>
      <c r="K44" s="7">
        <f t="shared" si="4"/>
        <v>0.33472816490368662</v>
      </c>
      <c r="L44" s="7">
        <f t="shared" si="5"/>
        <v>0.34802942366937262</v>
      </c>
      <c r="M44" s="7">
        <f t="shared" si="1"/>
        <v>0.60262634809729854</v>
      </c>
      <c r="N44" s="7">
        <f t="shared" si="2"/>
        <v>0.39737365190270146</v>
      </c>
    </row>
    <row r="45" spans="1:14" x14ac:dyDescent="0.2">
      <c r="A45" s="5">
        <v>37043</v>
      </c>
      <c r="B45" s="2" t="s">
        <v>50</v>
      </c>
      <c r="C45" s="2" t="s">
        <v>100</v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>427.83</v>
      </c>
      <c r="E45" s="4">
        <f>IF(SUMIFS('Monthly BSE Equity Cash'!$G:$G,'Monthly BSE Equity Cash'!$A:$A,$A45)=0,"",SUMIFS('Monthly BSE Equity Cash'!$G:$G,'Monthly BSE Equity Cash'!$A:$A,$A45))</f>
        <v>254.50839999999999</v>
      </c>
      <c r="F45" s="4">
        <f t="shared" si="0"/>
        <v>682.33839999999998</v>
      </c>
      <c r="G45" s="7">
        <f t="shared" si="6"/>
        <v>-0.64160237239576789</v>
      </c>
      <c r="H45" s="7">
        <f t="shared" si="7"/>
        <v>-0.70501215900907754</v>
      </c>
      <c r="I45" s="7">
        <f t="shared" si="8"/>
        <v>-0.66820498788746485</v>
      </c>
      <c r="J45" s="7">
        <f t="shared" si="3"/>
        <v>-0.11475511597591515</v>
      </c>
      <c r="K45" s="7">
        <f t="shared" si="4"/>
        <v>-0.20137415593996422</v>
      </c>
      <c r="L45" s="7">
        <f t="shared" si="5"/>
        <v>-0.14917524021073536</v>
      </c>
      <c r="M45" s="7">
        <f t="shared" si="1"/>
        <v>0.62700560308492093</v>
      </c>
      <c r="N45" s="7">
        <f t="shared" si="2"/>
        <v>0.37299439691507907</v>
      </c>
    </row>
    <row r="46" spans="1:14" x14ac:dyDescent="0.2">
      <c r="A46" s="5">
        <v>37073</v>
      </c>
      <c r="B46" s="2" t="s">
        <v>50</v>
      </c>
      <c r="C46" s="2" t="s">
        <v>101</v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>272.27999999999997</v>
      </c>
      <c r="E46" s="4">
        <f>IF(SUMIFS('Monthly BSE Equity Cash'!$G:$G,'Monthly BSE Equity Cash'!$A:$A,$A46)=0,"",SUMIFS('Monthly BSE Equity Cash'!$G:$G,'Monthly BSE Equity Cash'!$A:$A,$A46))</f>
        <v>172.4401</v>
      </c>
      <c r="F46" s="4">
        <f t="shared" si="0"/>
        <v>444.7201</v>
      </c>
      <c r="G46" s="7">
        <f t="shared" si="6"/>
        <v>-0.75259867703714467</v>
      </c>
      <c r="H46" s="7">
        <f t="shared" si="7"/>
        <v>-0.78538022489759696</v>
      </c>
      <c r="I46" s="7">
        <f t="shared" si="8"/>
        <v>-0.76643194146472327</v>
      </c>
      <c r="J46" s="7">
        <f t="shared" si="3"/>
        <v>-0.36357899165556418</v>
      </c>
      <c r="K46" s="7">
        <f t="shared" si="4"/>
        <v>-0.32245811926050372</v>
      </c>
      <c r="L46" s="7">
        <f t="shared" si="5"/>
        <v>-0.34824113665594669</v>
      </c>
      <c r="M46" s="7">
        <f t="shared" si="1"/>
        <v>0.61225026707810137</v>
      </c>
      <c r="N46" s="7">
        <f t="shared" si="2"/>
        <v>0.38774973292189852</v>
      </c>
    </row>
    <row r="47" spans="1:14" x14ac:dyDescent="0.2">
      <c r="A47" s="5">
        <v>37104</v>
      </c>
      <c r="B47" s="2" t="s">
        <v>50</v>
      </c>
      <c r="C47" s="2" t="s">
        <v>101</v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>294.17</v>
      </c>
      <c r="E47" s="4">
        <f>IF(SUMIFS('Monthly BSE Equity Cash'!$G:$G,'Monthly BSE Equity Cash'!$A:$A,$A47)=0,"",SUMIFS('Monthly BSE Equity Cash'!$G:$G,'Monthly BSE Equity Cash'!$A:$A,$A47))</f>
        <v>174.44040000000001</v>
      </c>
      <c r="F47" s="4">
        <f t="shared" si="0"/>
        <v>468.61040000000003</v>
      </c>
      <c r="G47" s="7">
        <f t="shared" si="6"/>
        <v>-0.76531548421581685</v>
      </c>
      <c r="H47" s="7">
        <f t="shared" si="7"/>
        <v>-0.81154373031066473</v>
      </c>
      <c r="I47" s="7">
        <f t="shared" si="8"/>
        <v>-0.78495212239192547</v>
      </c>
      <c r="J47" s="7">
        <f t="shared" si="3"/>
        <v>8.0395181430880092E-2</v>
      </c>
      <c r="K47" s="7">
        <f t="shared" si="4"/>
        <v>1.159997007656588E-2</v>
      </c>
      <c r="L47" s="7">
        <f t="shared" si="5"/>
        <v>5.3719856601939009E-2</v>
      </c>
      <c r="M47" s="7">
        <f t="shared" si="1"/>
        <v>0.62774961887316205</v>
      </c>
      <c r="N47" s="7">
        <f t="shared" si="2"/>
        <v>0.372250381126838</v>
      </c>
    </row>
    <row r="48" spans="1:14" x14ac:dyDescent="0.2">
      <c r="A48" s="5">
        <v>37135</v>
      </c>
      <c r="B48" s="2" t="s">
        <v>50</v>
      </c>
      <c r="C48" s="2" t="s">
        <v>101</v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>353.23</v>
      </c>
      <c r="E48" s="4">
        <f>IF(SUMIFS('Monthly BSE Equity Cash'!$G:$G,'Monthly BSE Equity Cash'!$A:$A,$A48)=0,"",SUMIFS('Monthly BSE Equity Cash'!$G:$G,'Monthly BSE Equity Cash'!$A:$A,$A48))</f>
        <v>215.93190000000001</v>
      </c>
      <c r="F48" s="4">
        <f t="shared" si="0"/>
        <v>569.16190000000006</v>
      </c>
      <c r="G48" s="7">
        <f t="shared" si="6"/>
        <v>-0.75208450308815267</v>
      </c>
      <c r="H48" s="7">
        <f t="shared" si="7"/>
        <v>-0.81130156729391101</v>
      </c>
      <c r="I48" s="7">
        <f t="shared" si="8"/>
        <v>-0.778460600577777</v>
      </c>
      <c r="J48" s="7">
        <f t="shared" si="3"/>
        <v>0.20076826324914165</v>
      </c>
      <c r="K48" s="7">
        <f t="shared" si="4"/>
        <v>0.23785487765448821</v>
      </c>
      <c r="L48" s="7">
        <f t="shared" si="5"/>
        <v>0.21457376959623597</v>
      </c>
      <c r="M48" s="7">
        <f t="shared" si="1"/>
        <v>0.6206142751298005</v>
      </c>
      <c r="N48" s="7">
        <f t="shared" si="2"/>
        <v>0.3793857248701995</v>
      </c>
    </row>
    <row r="49" spans="1:14" x14ac:dyDescent="0.2">
      <c r="A49" s="5">
        <v>37165</v>
      </c>
      <c r="B49" s="2" t="s">
        <v>50</v>
      </c>
      <c r="C49" s="2" t="s">
        <v>102</v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>353.26</v>
      </c>
      <c r="E49" s="4">
        <f>IF(SUMIFS('Monthly BSE Equity Cash'!$G:$G,'Monthly BSE Equity Cash'!$A:$A,$A49)=0,"",SUMIFS('Monthly BSE Equity Cash'!$G:$G,'Monthly BSE Equity Cash'!$A:$A,$A49))</f>
        <v>219.21539999999999</v>
      </c>
      <c r="F49" s="4">
        <f t="shared" si="0"/>
        <v>572.47540000000004</v>
      </c>
      <c r="G49" s="7">
        <f t="shared" si="6"/>
        <v>-0.66939936736107208</v>
      </c>
      <c r="H49" s="7">
        <f t="shared" si="7"/>
        <v>-0.71270905762609504</v>
      </c>
      <c r="I49" s="7">
        <f t="shared" si="8"/>
        <v>-0.68744231766266473</v>
      </c>
      <c r="J49" s="7">
        <f t="shared" si="3"/>
        <v>8.4930498541968547E-5</v>
      </c>
      <c r="K49" s="7">
        <f t="shared" si="4"/>
        <v>1.5206183060492595E-2</v>
      </c>
      <c r="L49" s="7">
        <f t="shared" si="5"/>
        <v>5.8217178627029131E-3</v>
      </c>
      <c r="M49" s="7">
        <f t="shared" si="1"/>
        <v>0.61707455027761882</v>
      </c>
      <c r="N49" s="7">
        <f t="shared" si="2"/>
        <v>0.38292544972238102</v>
      </c>
    </row>
    <row r="50" spans="1:14" x14ac:dyDescent="0.2">
      <c r="A50" s="5">
        <v>37196</v>
      </c>
      <c r="B50" s="2" t="s">
        <v>50</v>
      </c>
      <c r="C50" s="2" t="s">
        <v>102</v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>421.32</v>
      </c>
      <c r="E50" s="4">
        <f>IF(SUMIFS('Monthly BSE Equity Cash'!$G:$G,'Monthly BSE Equity Cash'!$A:$A,$A50)=0,"",SUMIFS('Monthly BSE Equity Cash'!$G:$G,'Monthly BSE Equity Cash'!$A:$A,$A50))</f>
        <v>244.06649999999999</v>
      </c>
      <c r="F50" s="4">
        <f t="shared" si="0"/>
        <v>665.38649999999996</v>
      </c>
      <c r="G50" s="7">
        <f t="shared" si="6"/>
        <v>-0.6567126479862464</v>
      </c>
      <c r="H50" s="7">
        <f t="shared" si="7"/>
        <v>-0.71937147599589657</v>
      </c>
      <c r="I50" s="7">
        <f t="shared" si="8"/>
        <v>-0.68269959549338455</v>
      </c>
      <c r="J50" s="7">
        <f t="shared" si="3"/>
        <v>0.19266262809262291</v>
      </c>
      <c r="K50" s="7">
        <f t="shared" si="4"/>
        <v>0.11336384213882789</v>
      </c>
      <c r="L50" s="7">
        <f t="shared" si="5"/>
        <v>0.16229710481882709</v>
      </c>
      <c r="M50" s="7">
        <f t="shared" si="1"/>
        <v>0.63319589441625279</v>
      </c>
      <c r="N50" s="7">
        <f t="shared" si="2"/>
        <v>0.36680410558374721</v>
      </c>
    </row>
    <row r="51" spans="1:14" x14ac:dyDescent="0.2">
      <c r="A51" s="5">
        <v>37226</v>
      </c>
      <c r="B51" s="2" t="s">
        <v>50</v>
      </c>
      <c r="C51" s="2" t="s">
        <v>102</v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>544.67999999999995</v>
      </c>
      <c r="E51" s="4">
        <f>IF(SUMIFS('Monthly BSE Equity Cash'!$G:$G,'Monthly BSE Equity Cash'!$A:$A,$A51)=0,"",SUMIFS('Monthly BSE Equity Cash'!$G:$G,'Monthly BSE Equity Cash'!$A:$A,$A51))</f>
        <v>300.3331</v>
      </c>
      <c r="F51" s="4">
        <f t="shared" si="0"/>
        <v>845.01309999999989</v>
      </c>
      <c r="G51" s="7">
        <f t="shared" si="6"/>
        <v>-0.5855267663508732</v>
      </c>
      <c r="H51" s="7">
        <f t="shared" si="7"/>
        <v>-0.69724076917974498</v>
      </c>
      <c r="I51" s="7">
        <f t="shared" si="8"/>
        <v>-0.63358063871845238</v>
      </c>
      <c r="J51" s="7">
        <f t="shared" si="3"/>
        <v>0.2927940757618912</v>
      </c>
      <c r="K51" s="7">
        <f t="shared" si="4"/>
        <v>0.2305379886219534</v>
      </c>
      <c r="L51" s="7">
        <f t="shared" si="5"/>
        <v>0.26995828740138239</v>
      </c>
      <c r="M51" s="7">
        <f t="shared" si="1"/>
        <v>0.64458172305257755</v>
      </c>
      <c r="N51" s="7">
        <f t="shared" si="2"/>
        <v>0.35541827694742251</v>
      </c>
    </row>
    <row r="52" spans="1:14" x14ac:dyDescent="0.2">
      <c r="A52" s="5">
        <v>37257</v>
      </c>
      <c r="B52" s="2" t="s">
        <v>50</v>
      </c>
      <c r="C52" s="2" t="s">
        <v>103</v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>687.19</v>
      </c>
      <c r="E52" s="4">
        <f>IF(SUMIFS('Monthly BSE Equity Cash'!$G:$G,'Monthly BSE Equity Cash'!$A:$A,$A52)=0,"",SUMIFS('Monthly BSE Equity Cash'!$G:$G,'Monthly BSE Equity Cash'!$A:$A,$A52))</f>
        <v>391.69</v>
      </c>
      <c r="F52" s="4">
        <f t="shared" si="0"/>
        <v>1078.8800000000001</v>
      </c>
      <c r="G52" s="7">
        <f t="shared" si="6"/>
        <v>-0.53827185379291809</v>
      </c>
      <c r="H52" s="7">
        <f t="shared" si="7"/>
        <v>-0.65895120944805019</v>
      </c>
      <c r="I52" s="7">
        <f t="shared" si="8"/>
        <v>-0.59083531481708396</v>
      </c>
      <c r="J52" s="7">
        <f t="shared" si="3"/>
        <v>0.26163986193728439</v>
      </c>
      <c r="K52" s="7">
        <f t="shared" si="4"/>
        <v>0.30418525297411447</v>
      </c>
      <c r="L52" s="7">
        <f t="shared" si="5"/>
        <v>0.27676127151164898</v>
      </c>
      <c r="M52" s="7">
        <f t="shared" si="1"/>
        <v>0.63694757526323598</v>
      </c>
      <c r="N52" s="7">
        <f t="shared" si="2"/>
        <v>0.36305242473676402</v>
      </c>
    </row>
    <row r="53" spans="1:14" x14ac:dyDescent="0.2">
      <c r="A53" s="5">
        <v>37288</v>
      </c>
      <c r="B53" s="2" t="s">
        <v>50</v>
      </c>
      <c r="C53" s="2" t="s">
        <v>103</v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>495.64</v>
      </c>
      <c r="E53" s="4">
        <f>IF(SUMIFS('Monthly BSE Equity Cash'!$G:$G,'Monthly BSE Equity Cash'!$A:$A,$A53)=0,"",SUMIFS('Monthly BSE Equity Cash'!$G:$G,'Monthly BSE Equity Cash'!$A:$A,$A53))</f>
        <v>285.71559999999999</v>
      </c>
      <c r="F53" s="4">
        <f t="shared" si="0"/>
        <v>781.35559999999998</v>
      </c>
      <c r="G53" s="7">
        <f t="shared" si="6"/>
        <v>-0.63537651178530441</v>
      </c>
      <c r="H53" s="7">
        <f t="shared" si="7"/>
        <v>-0.71830436571857648</v>
      </c>
      <c r="I53" s="7">
        <f t="shared" si="8"/>
        <v>-0.67081281835207807</v>
      </c>
      <c r="J53" s="7">
        <f t="shared" si="3"/>
        <v>-0.27874386996318345</v>
      </c>
      <c r="K53" s="7">
        <f t="shared" si="4"/>
        <v>-0.27055681789170005</v>
      </c>
      <c r="L53" s="7">
        <f t="shared" si="5"/>
        <v>-0.27577154085718536</v>
      </c>
      <c r="M53" s="7">
        <f t="shared" si="1"/>
        <v>0.63433345841509292</v>
      </c>
      <c r="N53" s="7">
        <f t="shared" si="2"/>
        <v>0.36566654158490708</v>
      </c>
    </row>
    <row r="54" spans="1:14" x14ac:dyDescent="0.2">
      <c r="A54" s="5">
        <v>37316</v>
      </c>
      <c r="B54" s="2" t="s">
        <v>50</v>
      </c>
      <c r="C54" s="2" t="s">
        <v>103</v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>442.62</v>
      </c>
      <c r="E54" s="4">
        <f>IF(SUMIFS('Monthly BSE Equity Cash'!$G:$G,'Monthly BSE Equity Cash'!$A:$A,$A54)=0,"",SUMIFS('Monthly BSE Equity Cash'!$G:$G,'Monthly BSE Equity Cash'!$A:$A,$A54))</f>
        <v>257.19099999999997</v>
      </c>
      <c r="F54" s="4">
        <f t="shared" si="0"/>
        <v>699.81099999999992</v>
      </c>
      <c r="G54" s="7">
        <f t="shared" si="6"/>
        <v>-0.26506824295154918</v>
      </c>
      <c r="H54" s="7">
        <f t="shared" si="7"/>
        <v>-0.43061885616357842</v>
      </c>
      <c r="I54" s="7">
        <f t="shared" si="8"/>
        <v>-0.33601919688429216</v>
      </c>
      <c r="J54" s="7">
        <f t="shared" si="3"/>
        <v>-0.10697280284077149</v>
      </c>
      <c r="K54" s="7">
        <f t="shared" si="4"/>
        <v>-9.9835640756052557E-2</v>
      </c>
      <c r="L54" s="7">
        <f t="shared" si="5"/>
        <v>-0.1043629814645215</v>
      </c>
      <c r="M54" s="7">
        <f t="shared" si="1"/>
        <v>0.63248505667958932</v>
      </c>
      <c r="N54" s="7">
        <f t="shared" si="2"/>
        <v>0.36751494332041079</v>
      </c>
    </row>
    <row r="55" spans="1:14" x14ac:dyDescent="0.2">
      <c r="A55" s="5">
        <v>37347</v>
      </c>
      <c r="B55" s="2" t="s">
        <v>51</v>
      </c>
      <c r="C55" s="2" t="s">
        <v>104</v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>533.20000000000005</v>
      </c>
      <c r="E55" s="4">
        <f>IF(SUMIFS('Monthly BSE Equity Cash'!$G:$G,'Monthly BSE Equity Cash'!$A:$A,$A55)=0,"",SUMIFS('Monthly BSE Equity Cash'!$G:$G,'Monthly BSE Equity Cash'!$A:$A,$A55))</f>
        <v>288.74489999999997</v>
      </c>
      <c r="F55" s="4">
        <f t="shared" si="0"/>
        <v>821.94489999999996</v>
      </c>
      <c r="G55" s="7">
        <f t="shared" si="6"/>
        <v>0.49707996406109611</v>
      </c>
      <c r="H55" s="7">
        <f t="shared" si="7"/>
        <v>0.20933991281709319</v>
      </c>
      <c r="I55" s="7">
        <f t="shared" si="8"/>
        <v>0.38160018852878941</v>
      </c>
      <c r="J55" s="7">
        <f t="shared" si="3"/>
        <v>0.20464506800415716</v>
      </c>
      <c r="K55" s="7">
        <f t="shared" si="4"/>
        <v>0.12268664144546282</v>
      </c>
      <c r="L55" s="7">
        <f t="shared" si="5"/>
        <v>0.17452412151280861</v>
      </c>
      <c r="M55" s="7">
        <f t="shared" si="1"/>
        <v>0.64870528425932206</v>
      </c>
      <c r="N55" s="7">
        <f t="shared" si="2"/>
        <v>0.351294715740678</v>
      </c>
    </row>
    <row r="56" spans="1:14" x14ac:dyDescent="0.2">
      <c r="A56" s="5">
        <v>37377</v>
      </c>
      <c r="B56" s="2" t="s">
        <v>51</v>
      </c>
      <c r="C56" s="2" t="s">
        <v>104</v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>549.79</v>
      </c>
      <c r="E56" s="4">
        <f>IF(SUMIFS('Monthly BSE Equity Cash'!$G:$G,'Monthly BSE Equity Cash'!$A:$A,$A56)=0,"",SUMIFS('Monthly BSE Equity Cash'!$G:$G,'Monthly BSE Equity Cash'!$A:$A,$A56))</f>
        <v>281.37790000000001</v>
      </c>
      <c r="F56" s="4">
        <f t="shared" si="0"/>
        <v>831.16789999999992</v>
      </c>
      <c r="G56" s="7">
        <f t="shared" si="6"/>
        <v>0.13759854331767674</v>
      </c>
      <c r="H56" s="7">
        <f t="shared" si="7"/>
        <v>-0.11705993638190193</v>
      </c>
      <c r="I56" s="7">
        <f t="shared" si="8"/>
        <v>3.640397325146516E-2</v>
      </c>
      <c r="J56" s="7">
        <f t="shared" si="3"/>
        <v>3.1114028507126523E-2</v>
      </c>
      <c r="K56" s="7">
        <f t="shared" si="4"/>
        <v>-2.551387054801646E-2</v>
      </c>
      <c r="L56" s="7">
        <f t="shared" si="5"/>
        <v>1.1220946805558407E-2</v>
      </c>
      <c r="M56" s="7">
        <f t="shared" si="1"/>
        <v>0.66146683479956336</v>
      </c>
      <c r="N56" s="7">
        <f t="shared" si="2"/>
        <v>0.33853316520043669</v>
      </c>
    </row>
    <row r="57" spans="1:14" x14ac:dyDescent="0.2">
      <c r="A57" s="5">
        <v>37408</v>
      </c>
      <c r="B57" s="2" t="s">
        <v>51</v>
      </c>
      <c r="C57" s="2" t="s">
        <v>104</v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>442.41</v>
      </c>
      <c r="E57" s="4">
        <f>IF(SUMIFS('Monthly BSE Equity Cash'!$G:$G,'Monthly BSE Equity Cash'!$A:$A,$A57)=0,"",SUMIFS('Monthly BSE Equity Cash'!$G:$G,'Monthly BSE Equity Cash'!$A:$A,$A57))</f>
        <v>233.1978</v>
      </c>
      <c r="F57" s="4">
        <f t="shared" si="0"/>
        <v>675.6078</v>
      </c>
      <c r="G57" s="7">
        <f t="shared" si="6"/>
        <v>3.4078956594909338E-2</v>
      </c>
      <c r="H57" s="7">
        <f t="shared" si="7"/>
        <v>-8.3732403331284955E-2</v>
      </c>
      <c r="I57" s="7">
        <f t="shared" si="8"/>
        <v>-9.8640205505068357E-3</v>
      </c>
      <c r="J57" s="7">
        <f t="shared" si="3"/>
        <v>-0.19531093690318113</v>
      </c>
      <c r="K57" s="7">
        <f t="shared" si="4"/>
        <v>-0.1712291548127981</v>
      </c>
      <c r="L57" s="7">
        <f t="shared" si="5"/>
        <v>-0.18715845498845651</v>
      </c>
      <c r="M57" s="7">
        <f t="shared" si="1"/>
        <v>0.65483258186184357</v>
      </c>
      <c r="N57" s="7">
        <f t="shared" si="2"/>
        <v>0.34516741813815649</v>
      </c>
    </row>
    <row r="58" spans="1:14" x14ac:dyDescent="0.2">
      <c r="A58" s="5">
        <v>37438</v>
      </c>
      <c r="B58" s="2" t="s">
        <v>51</v>
      </c>
      <c r="C58" s="2" t="s">
        <v>105</v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>513.98</v>
      </c>
      <c r="E58" s="4">
        <f>IF(SUMIFS('Monthly BSE Equity Cash'!$G:$G,'Monthly BSE Equity Cash'!$A:$A,$A58)=0,"",SUMIFS('Monthly BSE Equity Cash'!$G:$G,'Monthly BSE Equity Cash'!$A:$A,$A58))</f>
        <v>267.23669999999998</v>
      </c>
      <c r="F58" s="4">
        <f t="shared" si="0"/>
        <v>781.21669999999995</v>
      </c>
      <c r="G58" s="7">
        <f t="shared" si="6"/>
        <v>0.88768914352872064</v>
      </c>
      <c r="H58" s="7">
        <f t="shared" si="7"/>
        <v>0.54973640121990175</v>
      </c>
      <c r="I58" s="7">
        <f t="shared" si="8"/>
        <v>0.75664805795825263</v>
      </c>
      <c r="J58" s="7">
        <f t="shared" si="3"/>
        <v>0.16177301598065141</v>
      </c>
      <c r="K58" s="7">
        <f t="shared" si="4"/>
        <v>0.14596578526898618</v>
      </c>
      <c r="L58" s="7">
        <f t="shared" si="5"/>
        <v>0.15631687496799174</v>
      </c>
      <c r="M58" s="7">
        <f t="shared" si="1"/>
        <v>0.65792244328622274</v>
      </c>
      <c r="N58" s="7">
        <f t="shared" si="2"/>
        <v>0.34207755671377738</v>
      </c>
    </row>
    <row r="59" spans="1:14" x14ac:dyDescent="0.2">
      <c r="A59" s="5">
        <v>37469</v>
      </c>
      <c r="B59" s="2" t="s">
        <v>51</v>
      </c>
      <c r="C59" s="2" t="s">
        <v>105</v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>461.13</v>
      </c>
      <c r="E59" s="4">
        <f>IF(SUMIFS('Monthly BSE Equity Cash'!$G:$G,'Monthly BSE Equity Cash'!$A:$A,$A59)=0,"",SUMIFS('Monthly BSE Equity Cash'!$G:$G,'Monthly BSE Equity Cash'!$A:$A,$A59))</f>
        <v>237.7962</v>
      </c>
      <c r="F59" s="4">
        <f t="shared" si="0"/>
        <v>698.92619999999999</v>
      </c>
      <c r="G59" s="7">
        <f t="shared" si="6"/>
        <v>0.56756297379066512</v>
      </c>
      <c r="H59" s="7">
        <f t="shared" si="7"/>
        <v>0.36319453521087985</v>
      </c>
      <c r="I59" s="7">
        <f t="shared" si="8"/>
        <v>0.4914867446390434</v>
      </c>
      <c r="J59" s="7">
        <f t="shared" si="3"/>
        <v>-0.10282501264640653</v>
      </c>
      <c r="K59" s="7">
        <f t="shared" si="4"/>
        <v>-0.11016638059068973</v>
      </c>
      <c r="L59" s="7">
        <f t="shared" si="5"/>
        <v>-0.10533632985572372</v>
      </c>
      <c r="M59" s="7">
        <f t="shared" si="1"/>
        <v>0.65976922885420519</v>
      </c>
      <c r="N59" s="7">
        <f t="shared" si="2"/>
        <v>0.34023077114579481</v>
      </c>
    </row>
    <row r="60" spans="1:14" x14ac:dyDescent="0.2">
      <c r="A60" s="5">
        <v>37500</v>
      </c>
      <c r="B60" s="2" t="s">
        <v>51</v>
      </c>
      <c r="C60" s="2" t="s">
        <v>105</v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>464.99</v>
      </c>
      <c r="E60" s="4">
        <f>IF(SUMIFS('Monthly BSE Equity Cash'!$G:$G,'Monthly BSE Equity Cash'!$A:$A,$A60)=0,"",SUMIFS('Monthly BSE Equity Cash'!$G:$G,'Monthly BSE Equity Cash'!$A:$A,$A60))</f>
        <v>244.10069999999999</v>
      </c>
      <c r="F60" s="4">
        <f t="shared" si="0"/>
        <v>709.09069999999997</v>
      </c>
      <c r="G60" s="7">
        <f t="shared" si="6"/>
        <v>0.3163944172352291</v>
      </c>
      <c r="H60" s="7">
        <f t="shared" si="7"/>
        <v>0.13045223980338227</v>
      </c>
      <c r="I60" s="7">
        <f t="shared" si="8"/>
        <v>0.24585060946630466</v>
      </c>
      <c r="J60" s="7">
        <f t="shared" si="3"/>
        <v>8.3707414395073343E-3</v>
      </c>
      <c r="K60" s="7">
        <f t="shared" si="4"/>
        <v>2.6512198260527198E-2</v>
      </c>
      <c r="L60" s="7">
        <f t="shared" si="5"/>
        <v>1.4543023283430934E-2</v>
      </c>
      <c r="M60" s="7">
        <f t="shared" si="1"/>
        <v>0.65575532156887695</v>
      </c>
      <c r="N60" s="7">
        <f t="shared" si="2"/>
        <v>0.34424467843112311</v>
      </c>
    </row>
    <row r="61" spans="1:14" x14ac:dyDescent="0.2">
      <c r="A61" s="5">
        <v>37530</v>
      </c>
      <c r="B61" s="2" t="s">
        <v>51</v>
      </c>
      <c r="C61" s="2" t="s">
        <v>106</v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>519.02</v>
      </c>
      <c r="E61" s="4">
        <f>IF(SUMIFS('Monthly BSE Equity Cash'!$G:$G,'Monthly BSE Equity Cash'!$A:$A,$A61)=0,"",SUMIFS('Monthly BSE Equity Cash'!$G:$G,'Monthly BSE Equity Cash'!$A:$A,$A61))</f>
        <v>276.40949999999998</v>
      </c>
      <c r="F61" s="4">
        <f t="shared" si="0"/>
        <v>795.42949999999996</v>
      </c>
      <c r="G61" s="7">
        <f t="shared" si="6"/>
        <v>0.46922946271867749</v>
      </c>
      <c r="H61" s="7">
        <f t="shared" si="7"/>
        <v>0.26090365914073543</v>
      </c>
      <c r="I61" s="7">
        <f t="shared" si="8"/>
        <v>0.3894562106948174</v>
      </c>
      <c r="J61" s="7">
        <f t="shared" si="3"/>
        <v>0.11619604722682197</v>
      </c>
      <c r="K61" s="7">
        <f t="shared" si="4"/>
        <v>0.13235848975443321</v>
      </c>
      <c r="L61" s="7">
        <f t="shared" si="5"/>
        <v>0.12175988205740107</v>
      </c>
      <c r="M61" s="7">
        <f t="shared" si="1"/>
        <v>0.65250283023196898</v>
      </c>
      <c r="N61" s="7">
        <f t="shared" si="2"/>
        <v>0.34749716976803097</v>
      </c>
    </row>
    <row r="62" spans="1:14" x14ac:dyDescent="0.2">
      <c r="A62" s="5">
        <v>37561</v>
      </c>
      <c r="B62" s="2" t="s">
        <v>51</v>
      </c>
      <c r="C62" s="2" t="s">
        <v>106</v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>513.52</v>
      </c>
      <c r="E62" s="4">
        <f>IF(SUMIFS('Monthly BSE Equity Cash'!$G:$G,'Monthly BSE Equity Cash'!$A:$A,$A62)=0,"",SUMIFS('Monthly BSE Equity Cash'!$G:$G,'Monthly BSE Equity Cash'!$A:$A,$A62))</f>
        <v>259.81330000000003</v>
      </c>
      <c r="F62" s="4">
        <f t="shared" si="0"/>
        <v>773.33330000000001</v>
      </c>
      <c r="G62" s="7">
        <f t="shared" si="6"/>
        <v>0.21883603911516181</v>
      </c>
      <c r="H62" s="7">
        <f t="shared" si="7"/>
        <v>6.4518481643322856E-2</v>
      </c>
      <c r="I62" s="7">
        <f t="shared" si="8"/>
        <v>0.16223172547083542</v>
      </c>
      <c r="J62" s="7">
        <f t="shared" si="3"/>
        <v>-1.0596894146660985E-2</v>
      </c>
      <c r="K62" s="7">
        <f t="shared" si="4"/>
        <v>-6.0042075254287397E-2</v>
      </c>
      <c r="L62" s="7">
        <f t="shared" si="5"/>
        <v>-2.7778954640228948E-2</v>
      </c>
      <c r="M62" s="7">
        <f t="shared" si="1"/>
        <v>0.66403451138079783</v>
      </c>
      <c r="N62" s="7">
        <f t="shared" si="2"/>
        <v>0.33596548861920211</v>
      </c>
    </row>
    <row r="63" spans="1:14" x14ac:dyDescent="0.2">
      <c r="A63" s="5">
        <v>37591</v>
      </c>
      <c r="B63" s="2" t="s">
        <v>51</v>
      </c>
      <c r="C63" s="2" t="s">
        <v>106</v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>619.73</v>
      </c>
      <c r="E63" s="4">
        <f>IF(SUMIFS('Monthly BSE Equity Cash'!$G:$G,'Monthly BSE Equity Cash'!$A:$A,$A63)=0,"",SUMIFS('Monthly BSE Equity Cash'!$G:$G,'Monthly BSE Equity Cash'!$A:$A,$A63))</f>
        <v>305.81610000000001</v>
      </c>
      <c r="F63" s="4">
        <f t="shared" si="0"/>
        <v>925.54610000000002</v>
      </c>
      <c r="G63" s="7">
        <f t="shared" si="6"/>
        <v>0.13778732466769483</v>
      </c>
      <c r="H63" s="7">
        <f t="shared" si="7"/>
        <v>1.8256395981661733E-2</v>
      </c>
      <c r="I63" s="7">
        <f t="shared" si="8"/>
        <v>9.5303847952179943E-2</v>
      </c>
      <c r="J63" s="7">
        <f t="shared" si="3"/>
        <v>0.20682738744352713</v>
      </c>
      <c r="K63" s="7">
        <f t="shared" si="4"/>
        <v>0.17706098956442951</v>
      </c>
      <c r="L63" s="7">
        <f t="shared" si="5"/>
        <v>0.19682690503564237</v>
      </c>
      <c r="M63" s="7">
        <f t="shared" si="1"/>
        <v>0.66958307101072545</v>
      </c>
      <c r="N63" s="7">
        <f t="shared" si="2"/>
        <v>0.33041692898927455</v>
      </c>
    </row>
    <row r="64" spans="1:14" x14ac:dyDescent="0.2">
      <c r="A64" s="5">
        <v>37622</v>
      </c>
      <c r="B64" s="2" t="s">
        <v>51</v>
      </c>
      <c r="C64" s="2" t="s">
        <v>107</v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>647.62</v>
      </c>
      <c r="E64" s="4">
        <f>IF(SUMIFS('Monthly BSE Equity Cash'!$G:$G,'Monthly BSE Equity Cash'!$A:$A,$A64)=0,"",SUMIFS('Monthly BSE Equity Cash'!$G:$G,'Monthly BSE Equity Cash'!$A:$A,$A64))</f>
        <v>308.98129999999998</v>
      </c>
      <c r="F64" s="4">
        <f t="shared" si="0"/>
        <v>956.60130000000004</v>
      </c>
      <c r="G64" s="7">
        <f t="shared" si="6"/>
        <v>-5.7582328031548835E-2</v>
      </c>
      <c r="H64" s="7">
        <f t="shared" si="7"/>
        <v>-0.21115856927672405</v>
      </c>
      <c r="I64" s="7">
        <f t="shared" si="8"/>
        <v>-0.11333855479756794</v>
      </c>
      <c r="J64" s="7">
        <f t="shared" si="3"/>
        <v>4.5003469252739015E-2</v>
      </c>
      <c r="K64" s="7">
        <f t="shared" si="4"/>
        <v>1.0350011003344761E-2</v>
      </c>
      <c r="L64" s="7">
        <f t="shared" si="5"/>
        <v>3.3553379999116117E-2</v>
      </c>
      <c r="M64" s="7">
        <f t="shared" si="1"/>
        <v>0.67700096163365031</v>
      </c>
      <c r="N64" s="7">
        <f t="shared" si="2"/>
        <v>0.32299903836634969</v>
      </c>
    </row>
    <row r="65" spans="1:14" x14ac:dyDescent="0.2">
      <c r="A65" s="5">
        <v>37653</v>
      </c>
      <c r="B65" s="2" t="s">
        <v>51</v>
      </c>
      <c r="C65" s="2" t="s">
        <v>107</v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>482.89</v>
      </c>
      <c r="E65" s="4">
        <f>IF(SUMIFS('Monthly BSE Equity Cash'!$G:$G,'Monthly BSE Equity Cash'!$A:$A,$A65)=0,"",SUMIFS('Monthly BSE Equity Cash'!$G:$G,'Monthly BSE Equity Cash'!$A:$A,$A65))</f>
        <v>234.6095</v>
      </c>
      <c r="F65" s="4">
        <f t="shared" si="0"/>
        <v>717.49950000000001</v>
      </c>
      <c r="G65" s="7">
        <f t="shared" si="6"/>
        <v>-2.5724316035832473E-2</v>
      </c>
      <c r="H65" s="7">
        <f t="shared" si="7"/>
        <v>-0.17887052719557495</v>
      </c>
      <c r="I65" s="7">
        <f t="shared" si="8"/>
        <v>-8.1724761427447334E-2</v>
      </c>
      <c r="J65" s="7">
        <f t="shared" si="3"/>
        <v>-0.25436212593805008</v>
      </c>
      <c r="K65" s="7">
        <f t="shared" si="4"/>
        <v>-0.24070000352772158</v>
      </c>
      <c r="L65" s="7">
        <f t="shared" si="5"/>
        <v>-0.24994927353747065</v>
      </c>
      <c r="M65" s="7">
        <f t="shared" si="1"/>
        <v>0.67301789060480177</v>
      </c>
      <c r="N65" s="7">
        <f t="shared" si="2"/>
        <v>0.32698210939519817</v>
      </c>
    </row>
    <row r="66" spans="1:14" x14ac:dyDescent="0.2">
      <c r="A66" s="5">
        <v>37681</v>
      </c>
      <c r="B66" s="2" t="s">
        <v>51</v>
      </c>
      <c r="C66" s="2" t="s">
        <v>107</v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>431.6</v>
      </c>
      <c r="E66" s="4">
        <f>IF(SUMIFS('Monthly BSE Equity Cash'!$G:$G,'Monthly BSE Equity Cash'!$A:$A,$A66)=0,"",SUMIFS('Monthly BSE Equity Cash'!$G:$G,'Monthly BSE Equity Cash'!$A:$A,$A66))</f>
        <v>202.6474</v>
      </c>
      <c r="F66" s="4">
        <f t="shared" ref="F66:F129" si="9">IF(OR(D66="",E66=""),"",D66+E66)</f>
        <v>634.24739999999997</v>
      </c>
      <c r="G66" s="7">
        <f t="shared" si="6"/>
        <v>-2.489720301839049E-2</v>
      </c>
      <c r="H66" s="7">
        <f t="shared" si="7"/>
        <v>-0.2120742949792177</v>
      </c>
      <c r="I66" s="7">
        <f t="shared" si="8"/>
        <v>-9.3687581361253214E-2</v>
      </c>
      <c r="J66" s="7">
        <f t="shared" si="3"/>
        <v>-0.10621466586593209</v>
      </c>
      <c r="K66" s="7">
        <f t="shared" si="4"/>
        <v>-0.13623531868914085</v>
      </c>
      <c r="L66" s="7">
        <f t="shared" si="5"/>
        <v>-0.11603088225148595</v>
      </c>
      <c r="M66" s="7">
        <f t="shared" ref="M66:M129" si="10">IF(F66="","",D66/F66)</f>
        <v>0.68049155581875476</v>
      </c>
      <c r="N66" s="7">
        <f t="shared" ref="N66:N129" si="11">IF(F66="","",E66/F66)</f>
        <v>0.31950844418124541</v>
      </c>
    </row>
    <row r="67" spans="1:14" x14ac:dyDescent="0.2">
      <c r="A67" s="5">
        <v>37712</v>
      </c>
      <c r="B67" s="2" t="s">
        <v>52</v>
      </c>
      <c r="C67" s="2" t="s">
        <v>108</v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>489.71</v>
      </c>
      <c r="E67" s="4">
        <f>IF(SUMIFS('Monthly BSE Equity Cash'!$G:$G,'Monthly BSE Equity Cash'!$A:$A,$A67)=0,"",SUMIFS('Monthly BSE Equity Cash'!$G:$G,'Monthly BSE Equity Cash'!$A:$A,$A67))</f>
        <v>208.2259</v>
      </c>
      <c r="F67" s="4">
        <f t="shared" si="9"/>
        <v>697.93589999999995</v>
      </c>
      <c r="G67" s="7">
        <f t="shared" si="6"/>
        <v>-8.1564141035258886E-2</v>
      </c>
      <c r="H67" s="7">
        <f t="shared" si="7"/>
        <v>-0.27885860494852022</v>
      </c>
      <c r="I67" s="7">
        <f t="shared" si="8"/>
        <v>-0.15087264365287745</v>
      </c>
      <c r="J67" s="7">
        <f t="shared" ref="J67:J130" si="12">IF(OR(D67="",D66=""),"",D67/D66-1)</f>
        <v>0.13463855421686732</v>
      </c>
      <c r="K67" s="7">
        <f t="shared" ref="K67:K130" si="13">IF(OR(E67="",E66=""),"",E67/E66-1)</f>
        <v>2.7528110402600836E-2</v>
      </c>
      <c r="L67" s="7">
        <f t="shared" ref="L67:L130" si="14">IF(OR(F67="",F66=""),"",F67/F66-1)</f>
        <v>0.10041586295820837</v>
      </c>
      <c r="M67" s="7">
        <f t="shared" si="10"/>
        <v>0.70165469350408827</v>
      </c>
      <c r="N67" s="7">
        <f t="shared" si="11"/>
        <v>0.29834530649591173</v>
      </c>
    </row>
    <row r="68" spans="1:14" x14ac:dyDescent="0.2">
      <c r="A68" s="5">
        <v>37742</v>
      </c>
      <c r="B68" s="2" t="s">
        <v>52</v>
      </c>
      <c r="C68" s="2" t="s">
        <v>108</v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>546.9</v>
      </c>
      <c r="E68" s="4">
        <f>IF(SUMIFS('Monthly BSE Equity Cash'!$G:$G,'Monthly BSE Equity Cash'!$A:$A,$A68)=0,"",SUMIFS('Monthly BSE Equity Cash'!$G:$G,'Monthly BSE Equity Cash'!$A:$A,$A68))</f>
        <v>225.1045</v>
      </c>
      <c r="F68" s="4">
        <f t="shared" si="9"/>
        <v>772.00450000000001</v>
      </c>
      <c r="G68" s="7">
        <f t="shared" si="6"/>
        <v>-5.2565525018642978E-3</v>
      </c>
      <c r="H68" s="7">
        <f t="shared" si="7"/>
        <v>-0.19999225241214758</v>
      </c>
      <c r="I68" s="7">
        <f t="shared" si="8"/>
        <v>-7.1181045370014795E-2</v>
      </c>
      <c r="J68" s="7">
        <f t="shared" si="12"/>
        <v>0.11678340242184149</v>
      </c>
      <c r="K68" s="7">
        <f t="shared" si="13"/>
        <v>8.1059080546656226E-2</v>
      </c>
      <c r="L68" s="7">
        <f t="shared" si="14"/>
        <v>0.10612521866263092</v>
      </c>
      <c r="M68" s="7">
        <f t="shared" si="10"/>
        <v>0.7084155597538615</v>
      </c>
      <c r="N68" s="7">
        <f t="shared" si="11"/>
        <v>0.29158444024613844</v>
      </c>
    </row>
    <row r="69" spans="1:14" x14ac:dyDescent="0.2">
      <c r="A69" s="5">
        <v>37773</v>
      </c>
      <c r="B69" s="2" t="s">
        <v>52</v>
      </c>
      <c r="C69" s="2" t="s">
        <v>108</v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>615.86</v>
      </c>
      <c r="E69" s="4">
        <f>IF(SUMIFS('Monthly BSE Equity Cash'!$G:$G,'Monthly BSE Equity Cash'!$A:$A,$A69)=0,"",SUMIFS('Monthly BSE Equity Cash'!$G:$G,'Monthly BSE Equity Cash'!$A:$A,$A69))</f>
        <v>249.32929999999999</v>
      </c>
      <c r="F69" s="4">
        <f t="shared" si="9"/>
        <v>865.1893</v>
      </c>
      <c r="G69" s="7">
        <f t="shared" si="6"/>
        <v>0.39205714156551608</v>
      </c>
      <c r="H69" s="7">
        <f t="shared" si="7"/>
        <v>6.9175180897932842E-2</v>
      </c>
      <c r="I69" s="7">
        <f t="shared" si="8"/>
        <v>0.28060880883850059</v>
      </c>
      <c r="J69" s="7">
        <f t="shared" si="12"/>
        <v>0.12609252148473216</v>
      </c>
      <c r="K69" s="7">
        <f t="shared" si="13"/>
        <v>0.10761579621908934</v>
      </c>
      <c r="L69" s="7">
        <f t="shared" si="14"/>
        <v>0.12070499589056793</v>
      </c>
      <c r="M69" s="7">
        <f t="shared" si="10"/>
        <v>0.71182110088508954</v>
      </c>
      <c r="N69" s="7">
        <f t="shared" si="11"/>
        <v>0.28817889911491046</v>
      </c>
    </row>
    <row r="70" spans="1:14" x14ac:dyDescent="0.2">
      <c r="A70" s="5">
        <v>37803</v>
      </c>
      <c r="B70" s="2" t="s">
        <v>52</v>
      </c>
      <c r="C70" s="2" t="s">
        <v>109</v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>788.78</v>
      </c>
      <c r="E70" s="4">
        <f>IF(SUMIFS('Monthly BSE Equity Cash'!$G:$G,'Monthly BSE Equity Cash'!$A:$A,$A70)=0,"",SUMIFS('Monthly BSE Equity Cash'!$G:$G,'Monthly BSE Equity Cash'!$A:$A,$A70))</f>
        <v>329.75689999999997</v>
      </c>
      <c r="F70" s="4">
        <f t="shared" si="9"/>
        <v>1118.5369000000001</v>
      </c>
      <c r="G70" s="7">
        <f t="shared" si="6"/>
        <v>0.53465115374139072</v>
      </c>
      <c r="H70" s="7">
        <f t="shared" si="7"/>
        <v>0.23395065123914494</v>
      </c>
      <c r="I70" s="7">
        <f t="shared" si="8"/>
        <v>0.4317882605428176</v>
      </c>
      <c r="J70" s="7">
        <f t="shared" si="12"/>
        <v>0.28077809891858529</v>
      </c>
      <c r="K70" s="7">
        <f t="shared" si="13"/>
        <v>0.32257580637333838</v>
      </c>
      <c r="L70" s="7">
        <f t="shared" si="14"/>
        <v>0.29282331623842328</v>
      </c>
      <c r="M70" s="7">
        <f t="shared" si="10"/>
        <v>0.70518907333320868</v>
      </c>
      <c r="N70" s="7">
        <f t="shared" si="11"/>
        <v>0.29481092666679121</v>
      </c>
    </row>
    <row r="71" spans="1:14" x14ac:dyDescent="0.2">
      <c r="A71" s="5">
        <v>37834</v>
      </c>
      <c r="B71" s="2" t="s">
        <v>52</v>
      </c>
      <c r="C71" s="2" t="s">
        <v>109</v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>853.47</v>
      </c>
      <c r="E71" s="4">
        <f>IF(SUMIFS('Monthly BSE Equity Cash'!$G:$G,'Monthly BSE Equity Cash'!$A:$A,$A71)=0,"",SUMIFS('Monthly BSE Equity Cash'!$G:$G,'Monthly BSE Equity Cash'!$A:$A,$A71))</f>
        <v>363.34320000000002</v>
      </c>
      <c r="F71" s="4">
        <f t="shared" si="9"/>
        <v>1216.8132000000001</v>
      </c>
      <c r="G71" s="7">
        <f t="shared" si="6"/>
        <v>0.85082297833582721</v>
      </c>
      <c r="H71" s="7">
        <f t="shared" si="7"/>
        <v>0.52796049726614647</v>
      </c>
      <c r="I71" s="7">
        <f t="shared" si="8"/>
        <v>0.74097522742744526</v>
      </c>
      <c r="J71" s="7">
        <f t="shared" si="12"/>
        <v>8.2012728517457445E-2</v>
      </c>
      <c r="K71" s="7">
        <f t="shared" si="13"/>
        <v>0.10185169741709732</v>
      </c>
      <c r="L71" s="7">
        <f t="shared" si="14"/>
        <v>8.7861473322873751E-2</v>
      </c>
      <c r="M71" s="7">
        <f t="shared" si="10"/>
        <v>0.70139771659281802</v>
      </c>
      <c r="N71" s="7">
        <f t="shared" si="11"/>
        <v>0.29860228340718198</v>
      </c>
    </row>
    <row r="72" spans="1:14" x14ac:dyDescent="0.2">
      <c r="A72" s="5">
        <v>37865</v>
      </c>
      <c r="B72" s="2" t="s">
        <v>52</v>
      </c>
      <c r="C72" s="2" t="s">
        <v>109</v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>1033.45</v>
      </c>
      <c r="E72" s="4">
        <f>IF(SUMIFS('Monthly BSE Equity Cash'!$G:$G,'Monthly BSE Equity Cash'!$A:$A,$A72)=0,"",SUMIFS('Monthly BSE Equity Cash'!$G:$G,'Monthly BSE Equity Cash'!$A:$A,$A72))</f>
        <v>446.97750000000002</v>
      </c>
      <c r="F72" s="4">
        <f t="shared" si="9"/>
        <v>1480.4275</v>
      </c>
      <c r="G72" s="7">
        <f t="shared" si="6"/>
        <v>1.2225209144282672</v>
      </c>
      <c r="H72" s="7">
        <f t="shared" si="7"/>
        <v>0.83111928806431123</v>
      </c>
      <c r="I72" s="7">
        <f t="shared" si="8"/>
        <v>1.0877829874231888</v>
      </c>
      <c r="J72" s="7">
        <f t="shared" si="12"/>
        <v>0.21088028870376241</v>
      </c>
      <c r="K72" s="7">
        <f t="shared" si="13"/>
        <v>0.23017989603218103</v>
      </c>
      <c r="L72" s="7">
        <f t="shared" si="14"/>
        <v>0.21664319552089006</v>
      </c>
      <c r="M72" s="7">
        <f t="shared" si="10"/>
        <v>0.69807538700814464</v>
      </c>
      <c r="N72" s="7">
        <f t="shared" si="11"/>
        <v>0.30192461299185541</v>
      </c>
    </row>
    <row r="73" spans="1:14" x14ac:dyDescent="0.2">
      <c r="A73" s="5">
        <v>37895</v>
      </c>
      <c r="B73" s="2" t="s">
        <v>52</v>
      </c>
      <c r="C73" s="2" t="s">
        <v>110</v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>1155.95</v>
      </c>
      <c r="E73" s="4">
        <f>IF(SUMIFS('Monthly BSE Equity Cash'!$G:$G,'Monthly BSE Equity Cash'!$A:$A,$A73)=0,"",SUMIFS('Monthly BSE Equity Cash'!$G:$G,'Monthly BSE Equity Cash'!$A:$A,$A73))</f>
        <v>526.30579999999998</v>
      </c>
      <c r="F73" s="4">
        <f t="shared" si="9"/>
        <v>1682.2557999999999</v>
      </c>
      <c r="G73" s="7">
        <f t="shared" si="6"/>
        <v>1.2271781434241458</v>
      </c>
      <c r="H73" s="7">
        <f t="shared" si="7"/>
        <v>0.90407999725045629</v>
      </c>
      <c r="I73" s="7">
        <f t="shared" si="8"/>
        <v>1.1149024520714907</v>
      </c>
      <c r="J73" s="7">
        <f t="shared" si="12"/>
        <v>0.11853500411243889</v>
      </c>
      <c r="K73" s="7">
        <f t="shared" si="13"/>
        <v>0.17747716607659214</v>
      </c>
      <c r="L73" s="7">
        <f t="shared" si="14"/>
        <v>0.13633109355236916</v>
      </c>
      <c r="M73" s="7">
        <f t="shared" si="10"/>
        <v>0.68714282334470189</v>
      </c>
      <c r="N73" s="7">
        <f t="shared" si="11"/>
        <v>0.31285717665529822</v>
      </c>
    </row>
    <row r="74" spans="1:14" x14ac:dyDescent="0.2">
      <c r="A74" s="5">
        <v>37926</v>
      </c>
      <c r="B74" s="2" t="s">
        <v>52</v>
      </c>
      <c r="C74" s="2" t="s">
        <v>110</v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>928.86</v>
      </c>
      <c r="E74" s="4">
        <f>IF(SUMIFS('Monthly BSE Equity Cash'!$G:$G,'Monthly BSE Equity Cash'!$A:$A,$A74)=0,"",SUMIFS('Monthly BSE Equity Cash'!$G:$G,'Monthly BSE Equity Cash'!$A:$A,$A74))</f>
        <v>450.29160000000002</v>
      </c>
      <c r="F74" s="4">
        <f t="shared" si="9"/>
        <v>1379.1516000000001</v>
      </c>
      <c r="G74" s="7">
        <f t="shared" si="6"/>
        <v>0.80880978345536692</v>
      </c>
      <c r="H74" s="7">
        <f t="shared" si="7"/>
        <v>0.73313529368973795</v>
      </c>
      <c r="I74" s="7">
        <f t="shared" si="8"/>
        <v>0.78338576652524883</v>
      </c>
      <c r="J74" s="7">
        <f t="shared" si="12"/>
        <v>-0.19645313378606344</v>
      </c>
      <c r="K74" s="7">
        <f t="shared" si="13"/>
        <v>-0.14442972127610976</v>
      </c>
      <c r="L74" s="7">
        <f t="shared" si="14"/>
        <v>-0.18017723582822531</v>
      </c>
      <c r="M74" s="7">
        <f t="shared" si="10"/>
        <v>0.67350101323161271</v>
      </c>
      <c r="N74" s="7">
        <f t="shared" si="11"/>
        <v>0.32649898676838718</v>
      </c>
    </row>
    <row r="75" spans="1:14" x14ac:dyDescent="0.2">
      <c r="A75" s="5">
        <v>37956</v>
      </c>
      <c r="B75" s="2" t="s">
        <v>52</v>
      </c>
      <c r="C75" s="2" t="s">
        <v>110</v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>1103.73</v>
      </c>
      <c r="E75" s="4">
        <f>IF(SUMIFS('Monthly BSE Equity Cash'!$G:$G,'Monthly BSE Equity Cash'!$A:$A,$A75)=0,"",SUMIFS('Monthly BSE Equity Cash'!$G:$G,'Monthly BSE Equity Cash'!$A:$A,$A75))</f>
        <v>548.15520000000004</v>
      </c>
      <c r="F75" s="4">
        <f t="shared" si="9"/>
        <v>1651.8852000000002</v>
      </c>
      <c r="G75" s="7">
        <f t="shared" si="6"/>
        <v>0.78098526777790322</v>
      </c>
      <c r="H75" s="7">
        <f t="shared" si="7"/>
        <v>0.79243408048170139</v>
      </c>
      <c r="I75" s="7">
        <f t="shared" si="8"/>
        <v>0.78476814931206573</v>
      </c>
      <c r="J75" s="7">
        <f t="shared" si="12"/>
        <v>0.18826303210386919</v>
      </c>
      <c r="K75" s="7">
        <f t="shared" si="13"/>
        <v>0.21733383434201303</v>
      </c>
      <c r="L75" s="7">
        <f t="shared" si="14"/>
        <v>0.19775461957916729</v>
      </c>
      <c r="M75" s="7">
        <f t="shared" si="10"/>
        <v>0.66816386514026516</v>
      </c>
      <c r="N75" s="7">
        <f t="shared" si="11"/>
        <v>0.33183613485973479</v>
      </c>
    </row>
    <row r="76" spans="1:14" x14ac:dyDescent="0.2">
      <c r="A76" s="5">
        <v>37987</v>
      </c>
      <c r="B76" s="2" t="s">
        <v>52</v>
      </c>
      <c r="C76" s="2" t="s">
        <v>111</v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>1342.69</v>
      </c>
      <c r="E76" s="4">
        <f>IF(SUMIFS('Monthly BSE Equity Cash'!$G:$G,'Monthly BSE Equity Cash'!$A:$A,$A76)=0,"",SUMIFS('Monthly BSE Equity Cash'!$G:$G,'Monthly BSE Equity Cash'!$A:$A,$A76))</f>
        <v>656.2029</v>
      </c>
      <c r="F76" s="4">
        <f t="shared" si="9"/>
        <v>1998.8929000000001</v>
      </c>
      <c r="G76" s="7">
        <f t="shared" si="6"/>
        <v>1.0732682746054785</v>
      </c>
      <c r="H76" s="7">
        <f t="shared" si="7"/>
        <v>1.1237625060157366</v>
      </c>
      <c r="I76" s="7">
        <f t="shared" si="8"/>
        <v>1.0895778627940396</v>
      </c>
      <c r="J76" s="7">
        <f t="shared" si="12"/>
        <v>0.21650222427586452</v>
      </c>
      <c r="K76" s="7">
        <f t="shared" si="13"/>
        <v>0.1971115114843387</v>
      </c>
      <c r="L76" s="7">
        <f t="shared" si="14"/>
        <v>0.21006768509094931</v>
      </c>
      <c r="M76" s="7">
        <f t="shared" si="10"/>
        <v>0.67171682885061024</v>
      </c>
      <c r="N76" s="7">
        <f t="shared" si="11"/>
        <v>0.32828317114938976</v>
      </c>
    </row>
    <row r="77" spans="1:14" x14ac:dyDescent="0.2">
      <c r="A77" s="5">
        <v>38018</v>
      </c>
      <c r="B77" s="2" t="s">
        <v>52</v>
      </c>
      <c r="C77" s="2" t="s">
        <v>111</v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>1087.18</v>
      </c>
      <c r="E77" s="4">
        <f>IF(SUMIFS('Monthly BSE Equity Cash'!$G:$G,'Monthly BSE Equity Cash'!$A:$A,$A77)=0,"",SUMIFS('Monthly BSE Equity Cash'!$G:$G,'Monthly BSE Equity Cash'!$A:$A,$A77))</f>
        <v>514.63509999999997</v>
      </c>
      <c r="F77" s="4">
        <f t="shared" si="9"/>
        <v>1601.8151</v>
      </c>
      <c r="G77" s="7">
        <f t="shared" si="6"/>
        <v>1.2514030110377106</v>
      </c>
      <c r="H77" s="7">
        <f t="shared" si="7"/>
        <v>1.1935816750813584</v>
      </c>
      <c r="I77" s="7">
        <f t="shared" si="8"/>
        <v>1.2324964686386539</v>
      </c>
      <c r="J77" s="7">
        <f t="shared" si="12"/>
        <v>-0.19029709016973384</v>
      </c>
      <c r="K77" s="7">
        <f t="shared" si="13"/>
        <v>-0.21573784571814603</v>
      </c>
      <c r="L77" s="7">
        <f t="shared" si="14"/>
        <v>-0.19864886207760302</v>
      </c>
      <c r="M77" s="7">
        <f t="shared" si="10"/>
        <v>0.67871753737369567</v>
      </c>
      <c r="N77" s="7">
        <f t="shared" si="11"/>
        <v>0.32128246262630433</v>
      </c>
    </row>
    <row r="78" spans="1:14" x14ac:dyDescent="0.2">
      <c r="A78" s="5">
        <v>38047</v>
      </c>
      <c r="B78" s="2" t="s">
        <v>52</v>
      </c>
      <c r="C78" s="2" t="s">
        <v>111</v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>1048.77</v>
      </c>
      <c r="E78" s="4">
        <f>IF(SUMIFS('Monthly BSE Equity Cash'!$G:$G,'Monthly BSE Equity Cash'!$A:$A,$A78)=0,"",SUMIFS('Monthly BSE Equity Cash'!$G:$G,'Monthly BSE Equity Cash'!$A:$A,$A78))</f>
        <v>507.85590000000002</v>
      </c>
      <c r="F78" s="4">
        <f t="shared" si="9"/>
        <v>1556.6259</v>
      </c>
      <c r="G78" s="7">
        <f t="shared" ref="G78:G141" si="15">IF(OR(D78="",D66=""),"",D78/D66-1)</f>
        <v>1.4299582947173306</v>
      </c>
      <c r="H78" s="7">
        <f t="shared" ref="H78:H141" si="16">IF(OR(E78="",E66=""),"",E78/E66-1)</f>
        <v>1.5061061725933813</v>
      </c>
      <c r="I78" s="7">
        <f t="shared" ref="I78:I141" si="17">IF(OR(F78="",F66=""),"",F78/F66-1)</f>
        <v>1.4542881847052112</v>
      </c>
      <c r="J78" s="7">
        <f t="shared" si="12"/>
        <v>-3.5329936165124476E-2</v>
      </c>
      <c r="K78" s="7">
        <f t="shared" si="13"/>
        <v>-1.3172828670255821E-2</v>
      </c>
      <c r="L78" s="7">
        <f t="shared" si="14"/>
        <v>-2.8211246104497323E-2</v>
      </c>
      <c r="M78" s="7">
        <f t="shared" si="10"/>
        <v>0.67374569573845589</v>
      </c>
      <c r="N78" s="7">
        <f t="shared" si="11"/>
        <v>0.32625430426154417</v>
      </c>
    </row>
    <row r="79" spans="1:14" x14ac:dyDescent="0.2">
      <c r="A79" s="5">
        <v>38078</v>
      </c>
      <c r="B79" s="2" t="s">
        <v>53</v>
      </c>
      <c r="C79" s="2" t="s">
        <v>112</v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>1009.51</v>
      </c>
      <c r="E79" s="4">
        <f>IF(SUMIFS('Monthly BSE Equity Cash'!$G:$G,'Monthly BSE Equity Cash'!$A:$A,$A79)=0,"",SUMIFS('Monthly BSE Equity Cash'!$G:$G,'Monthly BSE Equity Cash'!$A:$A,$A79))</f>
        <v>448.6352</v>
      </c>
      <c r="F79" s="4">
        <f t="shared" si="9"/>
        <v>1458.1451999999999</v>
      </c>
      <c r="G79" s="7">
        <f t="shared" si="15"/>
        <v>1.0614445283943561</v>
      </c>
      <c r="H79" s="7">
        <f t="shared" si="16"/>
        <v>1.154560023512925</v>
      </c>
      <c r="I79" s="7">
        <f t="shared" si="17"/>
        <v>1.0892250993250241</v>
      </c>
      <c r="J79" s="7">
        <f t="shared" si="12"/>
        <v>-3.7434327831650349E-2</v>
      </c>
      <c r="K79" s="7">
        <f t="shared" si="13"/>
        <v>-0.11660925864994387</v>
      </c>
      <c r="L79" s="7">
        <f t="shared" si="14"/>
        <v>-6.3265489800728658E-2</v>
      </c>
      <c r="M79" s="7">
        <f t="shared" si="10"/>
        <v>0.69232474241934205</v>
      </c>
      <c r="N79" s="7">
        <f t="shared" si="11"/>
        <v>0.30767525758065795</v>
      </c>
    </row>
    <row r="80" spans="1:14" x14ac:dyDescent="0.2">
      <c r="A80" s="5">
        <v>38108</v>
      </c>
      <c r="B80" s="2" t="s">
        <v>53</v>
      </c>
      <c r="C80" s="2" t="s">
        <v>112</v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>989.2</v>
      </c>
      <c r="E80" s="4">
        <f>IF(SUMIFS('Monthly BSE Equity Cash'!$G:$G,'Monthly BSE Equity Cash'!$A:$A,$A80)=0,"",SUMIFS('Monthly BSE Equity Cash'!$G:$G,'Monthly BSE Equity Cash'!$A:$A,$A80))</f>
        <v>459.37560000000002</v>
      </c>
      <c r="F80" s="4">
        <f t="shared" si="9"/>
        <v>1448.5756000000001</v>
      </c>
      <c r="G80" s="7">
        <f t="shared" si="15"/>
        <v>0.80874017187785707</v>
      </c>
      <c r="H80" s="7">
        <f t="shared" si="16"/>
        <v>1.0407215315553442</v>
      </c>
      <c r="I80" s="7">
        <f t="shared" si="17"/>
        <v>0.87638232678695549</v>
      </c>
      <c r="J80" s="7">
        <f t="shared" si="12"/>
        <v>-2.0118671434656399E-2</v>
      </c>
      <c r="K80" s="7">
        <f t="shared" si="13"/>
        <v>2.3940163411163562E-2</v>
      </c>
      <c r="L80" s="7">
        <f t="shared" si="14"/>
        <v>-6.5628580747649767E-3</v>
      </c>
      <c r="M80" s="7">
        <f t="shared" si="10"/>
        <v>0.68287771794582208</v>
      </c>
      <c r="N80" s="7">
        <f t="shared" si="11"/>
        <v>0.31712228205417792</v>
      </c>
    </row>
    <row r="81" spans="1:14" x14ac:dyDescent="0.2">
      <c r="A81" s="5">
        <v>38139</v>
      </c>
      <c r="B81" s="2" t="s">
        <v>53</v>
      </c>
      <c r="C81" s="2" t="s">
        <v>112</v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>848.98</v>
      </c>
      <c r="E81" s="4">
        <f>IF(SUMIFS('Monthly BSE Equity Cash'!$G:$G,'Monthly BSE Equity Cash'!$A:$A,$A81)=0,"",SUMIFS('Monthly BSE Equity Cash'!$G:$G,'Monthly BSE Equity Cash'!$A:$A,$A81))</f>
        <v>369.90039999999999</v>
      </c>
      <c r="F81" s="4">
        <f t="shared" si="9"/>
        <v>1218.8804</v>
      </c>
      <c r="G81" s="7">
        <f t="shared" si="15"/>
        <v>0.37852758743870352</v>
      </c>
      <c r="H81" s="7">
        <f t="shared" si="16"/>
        <v>0.4835817531272899</v>
      </c>
      <c r="I81" s="7">
        <f t="shared" si="17"/>
        <v>0.4088019812542758</v>
      </c>
      <c r="J81" s="7">
        <f t="shared" si="12"/>
        <v>-0.14175090982612215</v>
      </c>
      <c r="K81" s="7">
        <f t="shared" si="13"/>
        <v>-0.19477569117732862</v>
      </c>
      <c r="L81" s="7">
        <f t="shared" si="14"/>
        <v>-0.15856624949364062</v>
      </c>
      <c r="M81" s="7">
        <f t="shared" si="10"/>
        <v>0.69652444981476447</v>
      </c>
      <c r="N81" s="7">
        <f t="shared" si="11"/>
        <v>0.30347555018523553</v>
      </c>
    </row>
    <row r="82" spans="1:14" x14ac:dyDescent="0.2">
      <c r="A82" s="5">
        <v>38169</v>
      </c>
      <c r="B82" s="2" t="s">
        <v>53</v>
      </c>
      <c r="C82" s="2" t="s">
        <v>113</v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>938.36</v>
      </c>
      <c r="E82" s="4">
        <f>IF(SUMIFS('Monthly BSE Equity Cash'!$G:$G,'Monthly BSE Equity Cash'!$A:$A,$A82)=0,"",SUMIFS('Monthly BSE Equity Cash'!$G:$G,'Monthly BSE Equity Cash'!$A:$A,$A82))</f>
        <v>394.48689999999999</v>
      </c>
      <c r="F82" s="4">
        <f t="shared" si="9"/>
        <v>1332.8469</v>
      </c>
      <c r="G82" s="7">
        <f t="shared" si="15"/>
        <v>0.18963462562438194</v>
      </c>
      <c r="H82" s="7">
        <f t="shared" si="16"/>
        <v>0.19629611995988561</v>
      </c>
      <c r="I82" s="7">
        <f t="shared" si="17"/>
        <v>0.19159850694241731</v>
      </c>
      <c r="J82" s="7">
        <f t="shared" si="12"/>
        <v>0.10527927630804013</v>
      </c>
      <c r="K82" s="7">
        <f t="shared" si="13"/>
        <v>6.6467892438072607E-2</v>
      </c>
      <c r="L82" s="7">
        <f t="shared" si="14"/>
        <v>9.3500970234651426E-2</v>
      </c>
      <c r="M82" s="7">
        <f t="shared" si="10"/>
        <v>0.70402684659430881</v>
      </c>
      <c r="N82" s="7">
        <f t="shared" si="11"/>
        <v>0.29597315340569125</v>
      </c>
    </row>
    <row r="83" spans="1:14" x14ac:dyDescent="0.2">
      <c r="A83" s="5">
        <v>38200</v>
      </c>
      <c r="B83" s="2" t="s">
        <v>53</v>
      </c>
      <c r="C83" s="2" t="s">
        <v>113</v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>868.56</v>
      </c>
      <c r="E83" s="4">
        <f>IF(SUMIFS('Monthly BSE Equity Cash'!$G:$G,'Monthly BSE Equity Cash'!$A:$A,$A83)=0,"",SUMIFS('Monthly BSE Equity Cash'!$G:$G,'Monthly BSE Equity Cash'!$A:$A,$A83))</f>
        <v>381.94589999999999</v>
      </c>
      <c r="F83" s="4">
        <f t="shared" si="9"/>
        <v>1250.5058999999999</v>
      </c>
      <c r="G83" s="7">
        <f t="shared" si="15"/>
        <v>1.7680762065450439E-2</v>
      </c>
      <c r="H83" s="7">
        <f t="shared" si="16"/>
        <v>5.119870139306304E-2</v>
      </c>
      <c r="I83" s="7">
        <f t="shared" si="17"/>
        <v>2.7689295283778836E-2</v>
      </c>
      <c r="J83" s="7">
        <f t="shared" si="12"/>
        <v>-7.4385097403981471E-2</v>
      </c>
      <c r="K83" s="7">
        <f t="shared" si="13"/>
        <v>-3.1790662757115618E-2</v>
      </c>
      <c r="L83" s="7">
        <f t="shared" si="14"/>
        <v>-6.177828826401599E-2</v>
      </c>
      <c r="M83" s="7">
        <f t="shared" si="10"/>
        <v>0.69456689488630163</v>
      </c>
      <c r="N83" s="7">
        <f t="shared" si="11"/>
        <v>0.30543310511369842</v>
      </c>
    </row>
    <row r="84" spans="1:14" x14ac:dyDescent="0.2">
      <c r="A84" s="5">
        <v>38231</v>
      </c>
      <c r="B84" s="2" t="s">
        <v>53</v>
      </c>
      <c r="C84" s="2" t="s">
        <v>113</v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>885.08</v>
      </c>
      <c r="E84" s="4">
        <f>IF(SUMIFS('Monthly BSE Equity Cash'!$G:$G,'Monthly BSE Equity Cash'!$A:$A,$A84)=0,"",SUMIFS('Monthly BSE Equity Cash'!$G:$G,'Monthly BSE Equity Cash'!$A:$A,$A84))</f>
        <v>396.0301</v>
      </c>
      <c r="F84" s="4">
        <f t="shared" si="9"/>
        <v>1281.1101000000001</v>
      </c>
      <c r="G84" s="7">
        <f t="shared" si="15"/>
        <v>-0.14356766171561275</v>
      </c>
      <c r="H84" s="7">
        <f t="shared" si="16"/>
        <v>-0.11398202370365407</v>
      </c>
      <c r="I84" s="7">
        <f t="shared" si="17"/>
        <v>-0.13463502940873495</v>
      </c>
      <c r="J84" s="7">
        <f t="shared" si="12"/>
        <v>1.9019987105093561E-2</v>
      </c>
      <c r="K84" s="7">
        <f t="shared" si="13"/>
        <v>3.6874855836912968E-2</v>
      </c>
      <c r="L84" s="7">
        <f t="shared" si="14"/>
        <v>2.447345510325083E-2</v>
      </c>
      <c r="M84" s="7">
        <f t="shared" si="10"/>
        <v>0.69086958255968789</v>
      </c>
      <c r="N84" s="7">
        <f t="shared" si="11"/>
        <v>0.30913041744031211</v>
      </c>
    </row>
    <row r="85" spans="1:14" x14ac:dyDescent="0.2">
      <c r="A85" s="5">
        <v>38261</v>
      </c>
      <c r="B85" s="2" t="s">
        <v>53</v>
      </c>
      <c r="C85" s="2" t="s">
        <v>114</v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>756.98</v>
      </c>
      <c r="E85" s="4">
        <f>IF(SUMIFS('Monthly BSE Equity Cash'!$G:$G,'Monthly BSE Equity Cash'!$A:$A,$A85)=0,"",SUMIFS('Monthly BSE Equity Cash'!$G:$G,'Monthly BSE Equity Cash'!$A:$A,$A85))</f>
        <v>346.08269999999999</v>
      </c>
      <c r="F85" s="4">
        <f t="shared" si="9"/>
        <v>1103.0626999999999</v>
      </c>
      <c r="G85" s="7">
        <f t="shared" si="15"/>
        <v>-0.34514468618884897</v>
      </c>
      <c r="H85" s="7">
        <f t="shared" si="16"/>
        <v>-0.34243038932878944</v>
      </c>
      <c r="I85" s="7">
        <f t="shared" si="17"/>
        <v>-0.34429549893660638</v>
      </c>
      <c r="J85" s="7">
        <f t="shared" si="12"/>
        <v>-0.14473267953179381</v>
      </c>
      <c r="K85" s="7">
        <f t="shared" si="13"/>
        <v>-0.12612021156977715</v>
      </c>
      <c r="L85" s="7">
        <f t="shared" si="14"/>
        <v>-0.13897899954110127</v>
      </c>
      <c r="M85" s="7">
        <f t="shared" si="10"/>
        <v>0.68625292107148583</v>
      </c>
      <c r="N85" s="7">
        <f t="shared" si="11"/>
        <v>0.31374707892851422</v>
      </c>
    </row>
    <row r="86" spans="1:14" x14ac:dyDescent="0.2">
      <c r="A86" s="5">
        <v>38292</v>
      </c>
      <c r="B86" s="2" t="s">
        <v>53</v>
      </c>
      <c r="C86" s="2" t="s">
        <v>114</v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>820.35</v>
      </c>
      <c r="E86" s="4">
        <f>IF(SUMIFS('Monthly BSE Equity Cash'!$G:$G,'Monthly BSE Equity Cash'!$A:$A,$A86)=0,"",SUMIFS('Monthly BSE Equity Cash'!$G:$G,'Monthly BSE Equity Cash'!$A:$A,$A86))</f>
        <v>357.42270000000002</v>
      </c>
      <c r="F86" s="4">
        <f t="shared" si="9"/>
        <v>1177.7727</v>
      </c>
      <c r="G86" s="7">
        <f t="shared" si="15"/>
        <v>-0.11682061882307349</v>
      </c>
      <c r="H86" s="7">
        <f t="shared" si="16"/>
        <v>-0.20624168871904336</v>
      </c>
      <c r="I86" s="7">
        <f t="shared" si="17"/>
        <v>-0.14601650753985285</v>
      </c>
      <c r="J86" s="7">
        <f t="shared" si="12"/>
        <v>8.3714232872731165E-2</v>
      </c>
      <c r="K86" s="7">
        <f t="shared" si="13"/>
        <v>3.2766734656196395E-2</v>
      </c>
      <c r="L86" s="7">
        <f t="shared" si="14"/>
        <v>6.7729604128577758E-2</v>
      </c>
      <c r="M86" s="7">
        <f t="shared" si="10"/>
        <v>0.69652658785519483</v>
      </c>
      <c r="N86" s="7">
        <f t="shared" si="11"/>
        <v>0.30347341214480522</v>
      </c>
    </row>
    <row r="87" spans="1:14" x14ac:dyDescent="0.2">
      <c r="A87" s="5">
        <v>38322</v>
      </c>
      <c r="B87" s="2" t="s">
        <v>53</v>
      </c>
      <c r="C87" s="2" t="s">
        <v>114</v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>1155.93</v>
      </c>
      <c r="E87" s="4">
        <f>IF(SUMIFS('Monthly BSE Equity Cash'!$G:$G,'Monthly BSE Equity Cash'!$A:$A,$A87)=0,"",SUMIFS('Monthly BSE Equity Cash'!$G:$G,'Monthly BSE Equity Cash'!$A:$A,$A87))</f>
        <v>502.25670000000002</v>
      </c>
      <c r="F87" s="4">
        <f t="shared" si="9"/>
        <v>1658.1867000000002</v>
      </c>
      <c r="G87" s="7">
        <f t="shared" si="15"/>
        <v>4.7294175205892852E-2</v>
      </c>
      <c r="H87" s="7">
        <f t="shared" si="16"/>
        <v>-8.3732672790479801E-2</v>
      </c>
      <c r="I87" s="7">
        <f t="shared" si="17"/>
        <v>3.8147324039226049E-3</v>
      </c>
      <c r="J87" s="7">
        <f t="shared" si="12"/>
        <v>0.40906929968915717</v>
      </c>
      <c r="K87" s="7">
        <f t="shared" si="13"/>
        <v>0.40521768762868171</v>
      </c>
      <c r="L87" s="7">
        <f t="shared" si="14"/>
        <v>0.4079004378349067</v>
      </c>
      <c r="M87" s="7">
        <f t="shared" si="10"/>
        <v>0.69710485556300739</v>
      </c>
      <c r="N87" s="7">
        <f t="shared" si="11"/>
        <v>0.3028951444369925</v>
      </c>
    </row>
    <row r="88" spans="1:14" x14ac:dyDescent="0.2">
      <c r="A88" s="5">
        <v>38353</v>
      </c>
      <c r="B88" s="2" t="s">
        <v>53</v>
      </c>
      <c r="C88" s="2" t="s">
        <v>115</v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>997.32</v>
      </c>
      <c r="E88" s="4">
        <f>IF(SUMIFS('Monthly BSE Equity Cash'!$G:$G,'Monthly BSE Equity Cash'!$A:$A,$A88)=0,"",SUMIFS('Monthly BSE Equity Cash'!$G:$G,'Monthly BSE Equity Cash'!$A:$A,$A88))</f>
        <v>438.88069999999999</v>
      </c>
      <c r="F88" s="4">
        <f t="shared" si="9"/>
        <v>1436.2007000000001</v>
      </c>
      <c r="G88" s="7">
        <f t="shared" si="15"/>
        <v>-0.25722244151665685</v>
      </c>
      <c r="H88" s="7">
        <f t="shared" si="16"/>
        <v>-0.33118140745796765</v>
      </c>
      <c r="I88" s="7">
        <f t="shared" si="17"/>
        <v>-0.2815019253908001</v>
      </c>
      <c r="J88" s="7">
        <f t="shared" si="12"/>
        <v>-0.13721419117074563</v>
      </c>
      <c r="K88" s="7">
        <f t="shared" si="13"/>
        <v>-0.12618248795884657</v>
      </c>
      <c r="L88" s="7">
        <f t="shared" si="14"/>
        <v>-0.13387274183299147</v>
      </c>
      <c r="M88" s="7">
        <f t="shared" si="10"/>
        <v>0.69441548106751372</v>
      </c>
      <c r="N88" s="7">
        <f t="shared" si="11"/>
        <v>0.30558451893248623</v>
      </c>
    </row>
    <row r="89" spans="1:14" x14ac:dyDescent="0.2">
      <c r="A89" s="5">
        <v>38384</v>
      </c>
      <c r="B89" s="2" t="s">
        <v>53</v>
      </c>
      <c r="C89" s="2" t="s">
        <v>115</v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>999.89</v>
      </c>
      <c r="E89" s="4">
        <f>IF(SUMIFS('Monthly BSE Equity Cash'!$G:$G,'Monthly BSE Equity Cash'!$A:$A,$A89)=0,"",SUMIFS('Monthly BSE Equity Cash'!$G:$G,'Monthly BSE Equity Cash'!$A:$A,$A89))</f>
        <v>496.86430000000001</v>
      </c>
      <c r="F89" s="4">
        <f t="shared" si="9"/>
        <v>1496.7543000000001</v>
      </c>
      <c r="G89" s="7">
        <f t="shared" si="15"/>
        <v>-8.0290292315899903E-2</v>
      </c>
      <c r="H89" s="7">
        <f t="shared" si="16"/>
        <v>-3.4530874400133138E-2</v>
      </c>
      <c r="I89" s="7">
        <f t="shared" si="17"/>
        <v>-6.5588593839576048E-2</v>
      </c>
      <c r="J89" s="7">
        <f t="shared" si="12"/>
        <v>2.5769061083704692E-3</v>
      </c>
      <c r="K89" s="7">
        <f t="shared" si="13"/>
        <v>0.13211699671459698</v>
      </c>
      <c r="L89" s="7">
        <f t="shared" si="14"/>
        <v>4.2162352378744883E-2</v>
      </c>
      <c r="M89" s="7">
        <f t="shared" si="10"/>
        <v>0.66803883576616407</v>
      </c>
      <c r="N89" s="7">
        <f t="shared" si="11"/>
        <v>0.33196116423383581</v>
      </c>
    </row>
    <row r="90" spans="1:14" x14ac:dyDescent="0.2">
      <c r="A90" s="5">
        <v>38412</v>
      </c>
      <c r="B90" s="2" t="s">
        <v>53</v>
      </c>
      <c r="C90" s="2" t="s">
        <v>115</v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>1130.55</v>
      </c>
      <c r="E90" s="4">
        <f>IF(SUMIFS('Monthly BSE Equity Cash'!$G:$G,'Monthly BSE Equity Cash'!$A:$A,$A90)=0,"",SUMIFS('Monthly BSE Equity Cash'!$G:$G,'Monthly BSE Equity Cash'!$A:$A,$A90))</f>
        <v>595.27530000000002</v>
      </c>
      <c r="F90" s="4">
        <f t="shared" si="9"/>
        <v>1725.8253</v>
      </c>
      <c r="G90" s="7">
        <f t="shared" si="15"/>
        <v>7.7977058840355884E-2</v>
      </c>
      <c r="H90" s="7">
        <f t="shared" si="16"/>
        <v>0.17213426091928841</v>
      </c>
      <c r="I90" s="7">
        <f t="shared" si="17"/>
        <v>0.1086962512958316</v>
      </c>
      <c r="J90" s="7">
        <f t="shared" si="12"/>
        <v>0.13067437418115979</v>
      </c>
      <c r="K90" s="7">
        <f t="shared" si="13"/>
        <v>0.19806413944410983</v>
      </c>
      <c r="L90" s="7">
        <f t="shared" si="14"/>
        <v>0.15304515911529371</v>
      </c>
      <c r="M90" s="7">
        <f t="shared" si="10"/>
        <v>0.65507789229883229</v>
      </c>
      <c r="N90" s="7">
        <f t="shared" si="11"/>
        <v>0.34492210770116766</v>
      </c>
    </row>
    <row r="91" spans="1:14" x14ac:dyDescent="0.2">
      <c r="A91" s="5">
        <v>38443</v>
      </c>
      <c r="B91" s="2" t="s">
        <v>54</v>
      </c>
      <c r="C91" s="2" t="s">
        <v>116</v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>827.18</v>
      </c>
      <c r="E91" s="4">
        <f>IF(SUMIFS('Monthly BSE Equity Cash'!$G:$G,'Monthly BSE Equity Cash'!$A:$A,$A91)=0,"",SUMIFS('Monthly BSE Equity Cash'!$G:$G,'Monthly BSE Equity Cash'!$A:$A,$A91))</f>
        <v>378.08800000000002</v>
      </c>
      <c r="F91" s="4">
        <f t="shared" si="9"/>
        <v>1205.268</v>
      </c>
      <c r="G91" s="7">
        <f t="shared" si="15"/>
        <v>-0.18061237630137394</v>
      </c>
      <c r="H91" s="7">
        <f t="shared" si="16"/>
        <v>-0.15724847270120579</v>
      </c>
      <c r="I91" s="7">
        <f t="shared" si="17"/>
        <v>-0.17342388124310248</v>
      </c>
      <c r="J91" s="7">
        <f t="shared" si="12"/>
        <v>-0.26833841935341207</v>
      </c>
      <c r="K91" s="7">
        <f t="shared" si="13"/>
        <v>-0.36485185929938635</v>
      </c>
      <c r="L91" s="7">
        <f t="shared" si="14"/>
        <v>-0.30162803848106756</v>
      </c>
      <c r="M91" s="7">
        <f t="shared" si="10"/>
        <v>0.68630379301532929</v>
      </c>
      <c r="N91" s="7">
        <f t="shared" si="11"/>
        <v>0.31369620698467066</v>
      </c>
    </row>
    <row r="92" spans="1:14" x14ac:dyDescent="0.2">
      <c r="A92" s="5">
        <v>38473</v>
      </c>
      <c r="B92" s="2" t="s">
        <v>54</v>
      </c>
      <c r="C92" s="2" t="s">
        <v>116</v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>868.02</v>
      </c>
      <c r="E92" s="4">
        <f>IF(SUMIFS('Monthly BSE Equity Cash'!$G:$G,'Monthly BSE Equity Cash'!$A:$A,$A92)=0,"",SUMIFS('Monthly BSE Equity Cash'!$G:$G,'Monthly BSE Equity Cash'!$A:$A,$A92))</f>
        <v>433.59350000000001</v>
      </c>
      <c r="F92" s="4">
        <f t="shared" si="9"/>
        <v>1301.6134999999999</v>
      </c>
      <c r="G92" s="7">
        <f t="shared" si="15"/>
        <v>-0.12250303275374042</v>
      </c>
      <c r="H92" s="7">
        <f t="shared" si="16"/>
        <v>-5.6124226014616418E-2</v>
      </c>
      <c r="I92" s="7">
        <f t="shared" si="17"/>
        <v>-0.10145283408059624</v>
      </c>
      <c r="J92" s="7">
        <f t="shared" si="12"/>
        <v>4.937256703498627E-2</v>
      </c>
      <c r="K92" s="7">
        <f t="shared" si="13"/>
        <v>0.14680577008527118</v>
      </c>
      <c r="L92" s="7">
        <f t="shared" si="14"/>
        <v>7.993699326622794E-2</v>
      </c>
      <c r="M92" s="7">
        <f t="shared" si="10"/>
        <v>0.66687999164114387</v>
      </c>
      <c r="N92" s="7">
        <f t="shared" si="11"/>
        <v>0.33312000835885619</v>
      </c>
    </row>
    <row r="93" spans="1:14" x14ac:dyDescent="0.2">
      <c r="A93" s="5">
        <v>38504</v>
      </c>
      <c r="B93" s="2" t="s">
        <v>54</v>
      </c>
      <c r="C93" s="2" t="s">
        <v>116</v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>1113.97</v>
      </c>
      <c r="E93" s="4">
        <f>IF(SUMIFS('Monthly BSE Equity Cash'!$G:$G,'Monthly BSE Equity Cash'!$A:$A,$A93)=0,"",SUMIFS('Monthly BSE Equity Cash'!$G:$G,'Monthly BSE Equity Cash'!$A:$A,$A93))</f>
        <v>584.78909999999996</v>
      </c>
      <c r="F93" s="4">
        <f t="shared" si="9"/>
        <v>1698.7591</v>
      </c>
      <c r="G93" s="7">
        <f t="shared" si="15"/>
        <v>0.31212749416947405</v>
      </c>
      <c r="H93" s="7">
        <f t="shared" si="16"/>
        <v>0.58093665213662904</v>
      </c>
      <c r="I93" s="7">
        <f t="shared" si="17"/>
        <v>0.39370450127838619</v>
      </c>
      <c r="J93" s="7">
        <f t="shared" si="12"/>
        <v>0.28334600585239977</v>
      </c>
      <c r="K93" s="7">
        <f t="shared" si="13"/>
        <v>0.34870356682007442</v>
      </c>
      <c r="L93" s="7">
        <f t="shared" si="14"/>
        <v>0.30511791710826608</v>
      </c>
      <c r="M93" s="7">
        <f t="shared" si="10"/>
        <v>0.655755133261685</v>
      </c>
      <c r="N93" s="7">
        <f t="shared" si="11"/>
        <v>0.344244866738315</v>
      </c>
    </row>
    <row r="94" spans="1:14" x14ac:dyDescent="0.2">
      <c r="A94" s="5">
        <v>38534</v>
      </c>
      <c r="B94" s="2" t="s">
        <v>54</v>
      </c>
      <c r="C94" s="2" t="s">
        <v>117</v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>1230.08</v>
      </c>
      <c r="E94" s="4">
        <f>IF(SUMIFS('Monthly BSE Equity Cash'!$G:$G,'Monthly BSE Equity Cash'!$A:$A,$A94)=0,"",SUMIFS('Monthly BSE Equity Cash'!$G:$G,'Monthly BSE Equity Cash'!$A:$A,$A94))</f>
        <v>618.98969999999997</v>
      </c>
      <c r="F94" s="4">
        <f t="shared" si="9"/>
        <v>1849.0697</v>
      </c>
      <c r="G94" s="7">
        <f t="shared" si="15"/>
        <v>0.31088281682936181</v>
      </c>
      <c r="H94" s="7">
        <f t="shared" si="16"/>
        <v>0.56910077368855583</v>
      </c>
      <c r="I94" s="7">
        <f t="shared" si="17"/>
        <v>0.3873083997869522</v>
      </c>
      <c r="J94" s="7">
        <f t="shared" si="12"/>
        <v>0.10423081411528123</v>
      </c>
      <c r="K94" s="7">
        <f t="shared" si="13"/>
        <v>5.8483648207533268E-2</v>
      </c>
      <c r="L94" s="7">
        <f t="shared" si="14"/>
        <v>8.8482587083713149E-2</v>
      </c>
      <c r="M94" s="7">
        <f t="shared" si="10"/>
        <v>0.66524263525598837</v>
      </c>
      <c r="N94" s="7">
        <f t="shared" si="11"/>
        <v>0.33475736474401152</v>
      </c>
    </row>
    <row r="95" spans="1:14" x14ac:dyDescent="0.2">
      <c r="A95" s="5">
        <v>38565</v>
      </c>
      <c r="B95" s="2" t="s">
        <v>54</v>
      </c>
      <c r="C95" s="2" t="s">
        <v>117</v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>1457.31</v>
      </c>
      <c r="E95" s="4">
        <f>IF(SUMIFS('Monthly BSE Equity Cash'!$G:$G,'Monthly BSE Equity Cash'!$A:$A,$A95)=0,"",SUMIFS('Monthly BSE Equity Cash'!$G:$G,'Monthly BSE Equity Cash'!$A:$A,$A95))</f>
        <v>759.3279</v>
      </c>
      <c r="F95" s="4">
        <f t="shared" si="9"/>
        <v>2216.6378999999997</v>
      </c>
      <c r="G95" s="7">
        <f t="shared" si="15"/>
        <v>0.67784609008013263</v>
      </c>
      <c r="H95" s="7">
        <f t="shared" si="16"/>
        <v>0.9880509255368366</v>
      </c>
      <c r="I95" s="7">
        <f t="shared" si="17"/>
        <v>0.77259291619495762</v>
      </c>
      <c r="J95" s="7">
        <f t="shared" si="12"/>
        <v>0.18472782258064524</v>
      </c>
      <c r="K95" s="7">
        <f t="shared" si="13"/>
        <v>0.22672138163203681</v>
      </c>
      <c r="L95" s="7">
        <f t="shared" si="14"/>
        <v>0.19878547574491101</v>
      </c>
      <c r="M95" s="7">
        <f t="shared" si="10"/>
        <v>0.65744161461824691</v>
      </c>
      <c r="N95" s="7">
        <f t="shared" si="11"/>
        <v>0.34255838538175321</v>
      </c>
    </row>
    <row r="96" spans="1:14" x14ac:dyDescent="0.2">
      <c r="A96" s="5">
        <v>38596</v>
      </c>
      <c r="B96" s="2" t="s">
        <v>54</v>
      </c>
      <c r="C96" s="2" t="s">
        <v>117</v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>1453.93</v>
      </c>
      <c r="E96" s="4">
        <f>IF(SUMIFS('Monthly BSE Equity Cash'!$G:$G,'Monthly BSE Equity Cash'!$A:$A,$A96)=0,"",SUMIFS('Monthly BSE Equity Cash'!$G:$G,'Monthly BSE Equity Cash'!$A:$A,$A96))</f>
        <v>812.91300000000001</v>
      </c>
      <c r="F96" s="4">
        <f t="shared" si="9"/>
        <v>2266.8429999999998</v>
      </c>
      <c r="G96" s="7">
        <f t="shared" si="15"/>
        <v>0.64271026347900762</v>
      </c>
      <c r="H96" s="7">
        <f t="shared" si="16"/>
        <v>1.0526545835783696</v>
      </c>
      <c r="I96" s="7">
        <f t="shared" si="17"/>
        <v>0.76943652227860793</v>
      </c>
      <c r="J96" s="7">
        <f t="shared" si="12"/>
        <v>-2.3193418009893607E-3</v>
      </c>
      <c r="K96" s="7">
        <f t="shared" si="13"/>
        <v>7.0569117768489731E-2</v>
      </c>
      <c r="L96" s="7">
        <f t="shared" si="14"/>
        <v>2.2649211222094623E-2</v>
      </c>
      <c r="M96" s="7">
        <f t="shared" si="10"/>
        <v>0.64138980952805291</v>
      </c>
      <c r="N96" s="7">
        <f t="shared" si="11"/>
        <v>0.35861019047194714</v>
      </c>
    </row>
    <row r="97" spans="1:14" x14ac:dyDescent="0.2">
      <c r="A97" s="5">
        <v>38626</v>
      </c>
      <c r="B97" s="2" t="s">
        <v>54</v>
      </c>
      <c r="C97" s="2" t="s">
        <v>118</v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>1208.0999999999999</v>
      </c>
      <c r="E97" s="4">
        <f>IF(SUMIFS('Monthly BSE Equity Cash'!$G:$G,'Monthly BSE Equity Cash'!$A:$A,$A97)=0,"",SUMIFS('Monthly BSE Equity Cash'!$G:$G,'Monthly BSE Equity Cash'!$A:$A,$A97))</f>
        <v>591.02059999999994</v>
      </c>
      <c r="F97" s="4">
        <f t="shared" si="9"/>
        <v>1799.1205999999997</v>
      </c>
      <c r="G97" s="7">
        <f t="shared" si="15"/>
        <v>0.5959470527622921</v>
      </c>
      <c r="H97" s="7">
        <f t="shared" si="16"/>
        <v>0.70774384272891999</v>
      </c>
      <c r="I97" s="7">
        <f t="shared" si="17"/>
        <v>0.63102296904790611</v>
      </c>
      <c r="J97" s="7">
        <f t="shared" si="12"/>
        <v>-0.1690796668340292</v>
      </c>
      <c r="K97" s="7">
        <f t="shared" si="13"/>
        <v>-0.27295959100174316</v>
      </c>
      <c r="L97" s="7">
        <f t="shared" si="14"/>
        <v>-0.20633206622602451</v>
      </c>
      <c r="M97" s="7">
        <f t="shared" si="10"/>
        <v>0.67149472914711783</v>
      </c>
      <c r="N97" s="7">
        <f t="shared" si="11"/>
        <v>0.32850527085288223</v>
      </c>
    </row>
    <row r="98" spans="1:14" x14ac:dyDescent="0.2">
      <c r="A98" s="5">
        <v>38657</v>
      </c>
      <c r="B98" s="2" t="s">
        <v>54</v>
      </c>
      <c r="C98" s="2" t="s">
        <v>118</v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>1095.78</v>
      </c>
      <c r="E98" s="4">
        <f>IF(SUMIFS('Monthly BSE Equity Cash'!$G:$G,'Monthly BSE Equity Cash'!$A:$A,$A98)=0,"",SUMIFS('Monthly BSE Equity Cash'!$G:$G,'Monthly BSE Equity Cash'!$A:$A,$A98))</f>
        <v>526.94359999999995</v>
      </c>
      <c r="F98" s="4">
        <f t="shared" si="9"/>
        <v>1622.7235999999998</v>
      </c>
      <c r="G98" s="7">
        <f t="shared" si="15"/>
        <v>0.33574693728286698</v>
      </c>
      <c r="H98" s="7">
        <f t="shared" si="16"/>
        <v>0.47428688776622163</v>
      </c>
      <c r="I98" s="7">
        <f t="shared" si="17"/>
        <v>0.37779012877442297</v>
      </c>
      <c r="J98" s="7">
        <f t="shared" si="12"/>
        <v>-9.2972436056617758E-2</v>
      </c>
      <c r="K98" s="7">
        <f t="shared" si="13"/>
        <v>-0.10841754077607446</v>
      </c>
      <c r="L98" s="7">
        <f t="shared" si="14"/>
        <v>-9.804623436583404E-2</v>
      </c>
      <c r="M98" s="7">
        <f t="shared" si="10"/>
        <v>0.67527211658226949</v>
      </c>
      <c r="N98" s="7">
        <f t="shared" si="11"/>
        <v>0.32472788341773057</v>
      </c>
    </row>
    <row r="99" spans="1:14" x14ac:dyDescent="0.2">
      <c r="A99" s="5">
        <v>38687</v>
      </c>
      <c r="B99" s="2" t="s">
        <v>54</v>
      </c>
      <c r="C99" s="2" t="s">
        <v>118</v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>1499.08</v>
      </c>
      <c r="E99" s="4">
        <f>IF(SUMIFS('Monthly BSE Equity Cash'!$G:$G,'Monthly BSE Equity Cash'!$A:$A,$A99)=0,"",SUMIFS('Monthly BSE Equity Cash'!$G:$G,'Monthly BSE Equity Cash'!$A:$A,$A99))</f>
        <v>773.56079999999997</v>
      </c>
      <c r="F99" s="4">
        <f t="shared" si="9"/>
        <v>2272.6408000000001</v>
      </c>
      <c r="G99" s="7">
        <f t="shared" si="15"/>
        <v>0.29686053653767952</v>
      </c>
      <c r="H99" s="7">
        <f t="shared" si="16"/>
        <v>0.54017019583810422</v>
      </c>
      <c r="I99" s="7">
        <f t="shared" si="17"/>
        <v>0.37055785093439719</v>
      </c>
      <c r="J99" s="7">
        <f t="shared" si="12"/>
        <v>0.36804833086933497</v>
      </c>
      <c r="K99" s="7">
        <f t="shared" si="13"/>
        <v>0.46801441368677787</v>
      </c>
      <c r="L99" s="7">
        <f t="shared" si="14"/>
        <v>0.40051010535620502</v>
      </c>
      <c r="M99" s="7">
        <f t="shared" si="10"/>
        <v>0.65962029723306903</v>
      </c>
      <c r="N99" s="7">
        <f t="shared" si="11"/>
        <v>0.34037970276693086</v>
      </c>
    </row>
    <row r="100" spans="1:14" x14ac:dyDescent="0.2">
      <c r="A100" s="5">
        <v>38718</v>
      </c>
      <c r="B100" s="2" t="s">
        <v>54</v>
      </c>
      <c r="C100" s="2" t="s">
        <v>119</v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>1494.42</v>
      </c>
      <c r="E100" s="4">
        <f>IF(SUMIFS('Monthly BSE Equity Cash'!$G:$G,'Monthly BSE Equity Cash'!$A:$A,$A100)=0,"",SUMIFS('Monthly BSE Equity Cash'!$G:$G,'Monthly BSE Equity Cash'!$A:$A,$A100))</f>
        <v>793.26639999999998</v>
      </c>
      <c r="F100" s="4">
        <f t="shared" si="9"/>
        <v>2287.6864</v>
      </c>
      <c r="G100" s="7">
        <f t="shared" si="15"/>
        <v>0.49843580796534703</v>
      </c>
      <c r="H100" s="7">
        <f t="shared" si="16"/>
        <v>0.80747615468167089</v>
      </c>
      <c r="I100" s="7">
        <f t="shared" si="17"/>
        <v>0.59287375364738359</v>
      </c>
      <c r="J100" s="7">
        <f t="shared" si="12"/>
        <v>-3.1085732582649683E-3</v>
      </c>
      <c r="K100" s="7">
        <f t="shared" si="13"/>
        <v>2.5473886474081997E-2</v>
      </c>
      <c r="L100" s="7">
        <f t="shared" si="14"/>
        <v>6.6203158897788494E-3</v>
      </c>
      <c r="M100" s="7">
        <f t="shared" si="10"/>
        <v>0.65324513010174823</v>
      </c>
      <c r="N100" s="7">
        <f t="shared" si="11"/>
        <v>0.34675486989825177</v>
      </c>
    </row>
    <row r="101" spans="1:14" x14ac:dyDescent="0.2">
      <c r="A101" s="5">
        <v>38749</v>
      </c>
      <c r="B101" s="2" t="s">
        <v>54</v>
      </c>
      <c r="C101" s="2" t="s">
        <v>119</v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>1353.74</v>
      </c>
      <c r="E101" s="4">
        <f>IF(SUMIFS('Monthly BSE Equity Cash'!$G:$G,'Monthly BSE Equity Cash'!$A:$A,$A101)=0,"",SUMIFS('Monthly BSE Equity Cash'!$G:$G,'Monthly BSE Equity Cash'!$A:$A,$A101))</f>
        <v>700.70240000000001</v>
      </c>
      <c r="F101" s="4">
        <f t="shared" si="9"/>
        <v>2054.4423999999999</v>
      </c>
      <c r="G101" s="7">
        <f t="shared" si="15"/>
        <v>0.35388892778205605</v>
      </c>
      <c r="H101" s="7">
        <f t="shared" si="16"/>
        <v>0.41024903580313588</v>
      </c>
      <c r="I101" s="7">
        <f t="shared" si="17"/>
        <v>0.37259829485707829</v>
      </c>
      <c r="J101" s="7">
        <f t="shared" si="12"/>
        <v>-9.4136855770131644E-2</v>
      </c>
      <c r="K101" s="7">
        <f t="shared" si="13"/>
        <v>-0.11668715579028677</v>
      </c>
      <c r="L101" s="7">
        <f t="shared" si="14"/>
        <v>-0.10195628211978713</v>
      </c>
      <c r="M101" s="7">
        <f t="shared" si="10"/>
        <v>0.65893305161536775</v>
      </c>
      <c r="N101" s="7">
        <f t="shared" si="11"/>
        <v>0.34106694838463225</v>
      </c>
    </row>
    <row r="102" spans="1:14" x14ac:dyDescent="0.2">
      <c r="A102" s="5">
        <v>38777</v>
      </c>
      <c r="B102" s="2" t="s">
        <v>54</v>
      </c>
      <c r="C102" s="2" t="s">
        <v>119</v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>2093.9499999999998</v>
      </c>
      <c r="E102" s="4">
        <f>IF(SUMIFS('Monthly BSE Equity Cash'!$G:$G,'Monthly BSE Equity Cash'!$A:$A,$A102)=0,"",SUMIFS('Monthly BSE Equity Cash'!$G:$G,'Monthly BSE Equity Cash'!$A:$A,$A102))</f>
        <v>1187.652</v>
      </c>
      <c r="F102" s="4">
        <f t="shared" si="9"/>
        <v>3281.6019999999999</v>
      </c>
      <c r="G102" s="7">
        <f t="shared" si="15"/>
        <v>0.8521516076246074</v>
      </c>
      <c r="H102" s="7">
        <f t="shared" si="16"/>
        <v>0.99513065635345521</v>
      </c>
      <c r="I102" s="7">
        <f t="shared" si="17"/>
        <v>0.90146824246926949</v>
      </c>
      <c r="J102" s="7">
        <f t="shared" si="12"/>
        <v>0.54678889594752311</v>
      </c>
      <c r="K102" s="7">
        <f t="shared" si="13"/>
        <v>0.69494495808777024</v>
      </c>
      <c r="L102" s="7">
        <f t="shared" si="14"/>
        <v>0.59732003194638117</v>
      </c>
      <c r="M102" s="7">
        <f t="shared" si="10"/>
        <v>0.63808773885437653</v>
      </c>
      <c r="N102" s="7">
        <f t="shared" si="11"/>
        <v>0.36191226114562342</v>
      </c>
    </row>
    <row r="103" spans="1:14" x14ac:dyDescent="0.2">
      <c r="A103" s="5">
        <v>38808</v>
      </c>
      <c r="B103" s="2" t="s">
        <v>55</v>
      </c>
      <c r="C103" s="2" t="s">
        <v>120</v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>1773.72</v>
      </c>
      <c r="E103" s="4">
        <f>IF(SUMIFS('Monthly BSE Equity Cash'!$G:$G,'Monthly BSE Equity Cash'!$A:$A,$A103)=0,"",SUMIFS('Monthly BSE Equity Cash'!$G:$G,'Monthly BSE Equity Cash'!$A:$A,$A103))</f>
        <v>874.8732</v>
      </c>
      <c r="F103" s="4">
        <f t="shared" si="9"/>
        <v>2648.5932000000003</v>
      </c>
      <c r="G103" s="7">
        <f t="shared" si="15"/>
        <v>1.1442974926859937</v>
      </c>
      <c r="H103" s="7">
        <f t="shared" si="16"/>
        <v>1.3139406698969549</v>
      </c>
      <c r="I103" s="7">
        <f t="shared" si="17"/>
        <v>1.1975139139179007</v>
      </c>
      <c r="J103" s="7">
        <f t="shared" si="12"/>
        <v>-0.15293106330141593</v>
      </c>
      <c r="K103" s="7">
        <f t="shared" si="13"/>
        <v>-0.26335896373685219</v>
      </c>
      <c r="L103" s="7">
        <f t="shared" si="14"/>
        <v>-0.19289627444156832</v>
      </c>
      <c r="M103" s="7">
        <f t="shared" si="10"/>
        <v>0.66968381554404044</v>
      </c>
      <c r="N103" s="7">
        <f t="shared" si="11"/>
        <v>0.33031618445595945</v>
      </c>
    </row>
    <row r="104" spans="1:14" x14ac:dyDescent="0.2">
      <c r="A104" s="5">
        <v>38838</v>
      </c>
      <c r="B104" s="2" t="s">
        <v>55</v>
      </c>
      <c r="C104" s="2" t="s">
        <v>120</v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>2014.09</v>
      </c>
      <c r="E104" s="4">
        <f>IF(SUMIFS('Monthly BSE Equity Cash'!$G:$G,'Monthly BSE Equity Cash'!$A:$A,$A104)=0,"",SUMIFS('Monthly BSE Equity Cash'!$G:$G,'Monthly BSE Equity Cash'!$A:$A,$A104))</f>
        <v>958.197</v>
      </c>
      <c r="F104" s="4">
        <f t="shared" si="9"/>
        <v>2972.2869999999998</v>
      </c>
      <c r="G104" s="7">
        <f t="shared" si="15"/>
        <v>1.3203267205824751</v>
      </c>
      <c r="H104" s="7">
        <f t="shared" si="16"/>
        <v>1.2098970579586639</v>
      </c>
      <c r="I104" s="7">
        <f t="shared" si="17"/>
        <v>1.2835403904461655</v>
      </c>
      <c r="J104" s="7">
        <f t="shared" si="12"/>
        <v>0.13551744356493689</v>
      </c>
      <c r="K104" s="7">
        <f t="shared" si="13"/>
        <v>9.5241001781743995E-2</v>
      </c>
      <c r="L104" s="7">
        <f t="shared" si="14"/>
        <v>0.12221348299164991</v>
      </c>
      <c r="M104" s="7">
        <f t="shared" si="10"/>
        <v>0.67762298862794879</v>
      </c>
      <c r="N104" s="7">
        <f t="shared" si="11"/>
        <v>0.32237701137205121</v>
      </c>
    </row>
    <row r="105" spans="1:14" x14ac:dyDescent="0.2">
      <c r="A105" s="5">
        <v>38869</v>
      </c>
      <c r="B105" s="2" t="s">
        <v>55</v>
      </c>
      <c r="C105" s="2" t="s">
        <v>120</v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>1510.5</v>
      </c>
      <c r="E105" s="4">
        <f>IF(SUMIFS('Monthly BSE Equity Cash'!$G:$G,'Monthly BSE Equity Cash'!$A:$A,$A105)=0,"",SUMIFS('Monthly BSE Equity Cash'!$G:$G,'Monthly BSE Equity Cash'!$A:$A,$A105))</f>
        <v>720.1336</v>
      </c>
      <c r="F105" s="4">
        <f t="shared" si="9"/>
        <v>2230.6336000000001</v>
      </c>
      <c r="G105" s="7">
        <f t="shared" si="15"/>
        <v>0.35596111205867298</v>
      </c>
      <c r="H105" s="7">
        <f t="shared" si="16"/>
        <v>0.23144155730672833</v>
      </c>
      <c r="I105" s="7">
        <f t="shared" si="17"/>
        <v>0.31309589452677544</v>
      </c>
      <c r="J105" s="7">
        <f t="shared" si="12"/>
        <v>-0.25003351389461248</v>
      </c>
      <c r="K105" s="7">
        <f t="shared" si="13"/>
        <v>-0.24844932722602975</v>
      </c>
      <c r="L105" s="7">
        <f t="shared" si="14"/>
        <v>-0.24952280853093922</v>
      </c>
      <c r="M105" s="7">
        <f t="shared" si="10"/>
        <v>0.67716186109632703</v>
      </c>
      <c r="N105" s="7">
        <f t="shared" si="11"/>
        <v>0.32283813890367291</v>
      </c>
    </row>
    <row r="106" spans="1:14" x14ac:dyDescent="0.2">
      <c r="A106" s="5">
        <v>38899</v>
      </c>
      <c r="B106" s="2" t="s">
        <v>55</v>
      </c>
      <c r="C106" s="2" t="s">
        <v>121</v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>1186.98</v>
      </c>
      <c r="E106" s="4">
        <f>IF(SUMIFS('Monthly BSE Equity Cash'!$G:$G,'Monthly BSE Equity Cash'!$A:$A,$A106)=0,"",SUMIFS('Monthly BSE Equity Cash'!$G:$G,'Monthly BSE Equity Cash'!$A:$A,$A106))</f>
        <v>546.9787</v>
      </c>
      <c r="F106" s="4">
        <f t="shared" si="9"/>
        <v>1733.9587000000001</v>
      </c>
      <c r="G106" s="7">
        <f t="shared" si="15"/>
        <v>-3.5038371488033238E-2</v>
      </c>
      <c r="H106" s="7">
        <f t="shared" si="16"/>
        <v>-0.11633634614598587</v>
      </c>
      <c r="I106" s="7">
        <f t="shared" si="17"/>
        <v>-6.225346724355485E-2</v>
      </c>
      <c r="J106" s="7">
        <f t="shared" si="12"/>
        <v>-0.21418073485600797</v>
      </c>
      <c r="K106" s="7">
        <f t="shared" si="13"/>
        <v>-0.24044830014875018</v>
      </c>
      <c r="L106" s="7">
        <f t="shared" si="14"/>
        <v>-0.22266090674864758</v>
      </c>
      <c r="M106" s="7">
        <f t="shared" si="10"/>
        <v>0.68454917640195234</v>
      </c>
      <c r="N106" s="7">
        <f t="shared" si="11"/>
        <v>0.3154508235980476</v>
      </c>
    </row>
    <row r="107" spans="1:14" x14ac:dyDescent="0.2">
      <c r="A107" s="5">
        <v>38930</v>
      </c>
      <c r="B107" s="2" t="s">
        <v>55</v>
      </c>
      <c r="C107" s="2" t="s">
        <v>121</v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>1307.96</v>
      </c>
      <c r="E107" s="4">
        <f>IF(SUMIFS('Monthly BSE Equity Cash'!$G:$G,'Monthly BSE Equity Cash'!$A:$A,$A107)=0,"",SUMIFS('Monthly BSE Equity Cash'!$G:$G,'Monthly BSE Equity Cash'!$A:$A,$A107))</f>
        <v>630.84190000000001</v>
      </c>
      <c r="F107" s="4">
        <f t="shared" si="9"/>
        <v>1938.8018999999999</v>
      </c>
      <c r="G107" s="7">
        <f t="shared" si="15"/>
        <v>-0.10248334259697656</v>
      </c>
      <c r="H107" s="7">
        <f t="shared" si="16"/>
        <v>-0.16921016599021321</v>
      </c>
      <c r="I107" s="7">
        <f t="shared" si="17"/>
        <v>-0.12534117548021706</v>
      </c>
      <c r="J107" s="7">
        <f t="shared" si="12"/>
        <v>0.10192252607457575</v>
      </c>
      <c r="K107" s="7">
        <f t="shared" si="13"/>
        <v>0.15332077830453006</v>
      </c>
      <c r="L107" s="7">
        <f t="shared" si="14"/>
        <v>0.11813614707201481</v>
      </c>
      <c r="M107" s="7">
        <f t="shared" si="10"/>
        <v>0.67462281731826246</v>
      </c>
      <c r="N107" s="7">
        <f t="shared" si="11"/>
        <v>0.32537718268173765</v>
      </c>
    </row>
    <row r="108" spans="1:14" x14ac:dyDescent="0.2">
      <c r="A108" s="5">
        <v>38961</v>
      </c>
      <c r="B108" s="2" t="s">
        <v>55</v>
      </c>
      <c r="C108" s="2" t="s">
        <v>121</v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>1443.39</v>
      </c>
      <c r="E108" s="4">
        <f>IF(SUMIFS('Monthly BSE Equity Cash'!$G:$G,'Monthly BSE Equity Cash'!$A:$A,$A108)=0,"",SUMIFS('Monthly BSE Equity Cash'!$G:$G,'Monthly BSE Equity Cash'!$A:$A,$A108))</f>
        <v>716.28830000000005</v>
      </c>
      <c r="F108" s="4">
        <f t="shared" si="9"/>
        <v>2159.6783</v>
      </c>
      <c r="G108" s="7">
        <f t="shared" si="15"/>
        <v>-7.2493173674110789E-3</v>
      </c>
      <c r="H108" s="7">
        <f t="shared" si="16"/>
        <v>-0.1188622890764448</v>
      </c>
      <c r="I108" s="7">
        <f t="shared" si="17"/>
        <v>-4.7274866411127658E-2</v>
      </c>
      <c r="J108" s="7">
        <f t="shared" si="12"/>
        <v>0.10354292180188995</v>
      </c>
      <c r="K108" s="7">
        <f t="shared" si="13"/>
        <v>0.13544820025429516</v>
      </c>
      <c r="L108" s="7">
        <f t="shared" si="14"/>
        <v>0.11392417141740996</v>
      </c>
      <c r="M108" s="7">
        <f t="shared" si="10"/>
        <v>0.66833564980488069</v>
      </c>
      <c r="N108" s="7">
        <f t="shared" si="11"/>
        <v>0.33166435019511936</v>
      </c>
    </row>
    <row r="109" spans="1:14" x14ac:dyDescent="0.2">
      <c r="A109" s="5">
        <v>38991</v>
      </c>
      <c r="B109" s="2" t="s">
        <v>55</v>
      </c>
      <c r="C109" s="2" t="s">
        <v>122</v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>1383.82</v>
      </c>
      <c r="E109" s="4">
        <f>IF(SUMIFS('Monthly BSE Equity Cash'!$G:$G,'Monthly BSE Equity Cash'!$A:$A,$A109)=0,"",SUMIFS('Monthly BSE Equity Cash'!$G:$G,'Monthly BSE Equity Cash'!$A:$A,$A109))</f>
        <v>696.26729999999998</v>
      </c>
      <c r="F109" s="4">
        <f t="shared" si="9"/>
        <v>2080.0873000000001</v>
      </c>
      <c r="G109" s="7">
        <f t="shared" si="15"/>
        <v>0.14545153546891809</v>
      </c>
      <c r="H109" s="7">
        <f t="shared" si="16"/>
        <v>0.17807619565206356</v>
      </c>
      <c r="I109" s="7">
        <f t="shared" si="17"/>
        <v>0.15616890829886576</v>
      </c>
      <c r="J109" s="7">
        <f t="shared" si="12"/>
        <v>-4.127089698556885E-2</v>
      </c>
      <c r="K109" s="7">
        <f t="shared" si="13"/>
        <v>-2.7951035916683353E-2</v>
      </c>
      <c r="L109" s="7">
        <f t="shared" si="14"/>
        <v>-3.6853173919467519E-2</v>
      </c>
      <c r="M109" s="7">
        <f t="shared" si="10"/>
        <v>0.66527015476706186</v>
      </c>
      <c r="N109" s="7">
        <f t="shared" si="11"/>
        <v>0.33472984523293803</v>
      </c>
    </row>
    <row r="110" spans="1:14" x14ac:dyDescent="0.2">
      <c r="A110" s="5">
        <v>39022</v>
      </c>
      <c r="B110" s="2" t="s">
        <v>55</v>
      </c>
      <c r="C110" s="2" t="s">
        <v>122</v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>1898.63</v>
      </c>
      <c r="E110" s="4">
        <f>IF(SUMIFS('Monthly BSE Equity Cash'!$G:$G,'Monthly BSE Equity Cash'!$A:$A,$A110)=0,"",SUMIFS('Monthly BSE Equity Cash'!$G:$G,'Monthly BSE Equity Cash'!$A:$A,$A110))</f>
        <v>1018.3955</v>
      </c>
      <c r="F110" s="4">
        <f t="shared" si="9"/>
        <v>2917.0255000000002</v>
      </c>
      <c r="G110" s="7">
        <f t="shared" si="15"/>
        <v>0.73267444195002662</v>
      </c>
      <c r="H110" s="7">
        <f t="shared" si="16"/>
        <v>0.93264611241127149</v>
      </c>
      <c r="I110" s="7">
        <f t="shared" si="17"/>
        <v>0.79761081924241473</v>
      </c>
      <c r="J110" s="7">
        <f t="shared" si="12"/>
        <v>0.37202092757728611</v>
      </c>
      <c r="K110" s="7">
        <f t="shared" si="13"/>
        <v>0.46265019195932378</v>
      </c>
      <c r="L110" s="7">
        <f t="shared" si="14"/>
        <v>0.40235724721746058</v>
      </c>
      <c r="M110" s="7">
        <f t="shared" si="10"/>
        <v>0.65087878045632441</v>
      </c>
      <c r="N110" s="7">
        <f t="shared" si="11"/>
        <v>0.34912121954367553</v>
      </c>
    </row>
    <row r="111" spans="1:14" x14ac:dyDescent="0.2">
      <c r="A111" s="5">
        <v>39052</v>
      </c>
      <c r="B111" s="2" t="s">
        <v>55</v>
      </c>
      <c r="C111" s="2" t="s">
        <v>122</v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>1701.05</v>
      </c>
      <c r="E111" s="4">
        <f>IF(SUMIFS('Monthly BSE Equity Cash'!$G:$G,'Monthly BSE Equity Cash'!$A:$A,$A111)=0,"",SUMIFS('Monthly BSE Equity Cash'!$G:$G,'Monthly BSE Equity Cash'!$A:$A,$A111))</f>
        <v>855.12149999999997</v>
      </c>
      <c r="F111" s="4">
        <f t="shared" si="9"/>
        <v>2556.1714999999999</v>
      </c>
      <c r="G111" s="7">
        <f t="shared" si="15"/>
        <v>0.13472930063772459</v>
      </c>
      <c r="H111" s="7">
        <f t="shared" si="16"/>
        <v>0.10543540986047906</v>
      </c>
      <c r="I111" s="7">
        <f t="shared" si="17"/>
        <v>0.12475825480207869</v>
      </c>
      <c r="J111" s="7">
        <f t="shared" si="12"/>
        <v>-0.10406450967276415</v>
      </c>
      <c r="K111" s="7">
        <f t="shared" si="13"/>
        <v>-0.16032474613251924</v>
      </c>
      <c r="L111" s="7">
        <f t="shared" si="14"/>
        <v>-0.12370615203740942</v>
      </c>
      <c r="M111" s="7">
        <f t="shared" si="10"/>
        <v>0.66546786864652863</v>
      </c>
      <c r="N111" s="7">
        <f t="shared" si="11"/>
        <v>0.33453213135347137</v>
      </c>
    </row>
    <row r="112" spans="1:14" x14ac:dyDescent="0.2">
      <c r="A112" s="5">
        <v>39083</v>
      </c>
      <c r="B112" s="2" t="s">
        <v>55</v>
      </c>
      <c r="C112" s="2" t="s">
        <v>123</v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>1751.47</v>
      </c>
      <c r="E112" s="4">
        <f>IF(SUMIFS('Monthly BSE Equity Cash'!$G:$G,'Monthly BSE Equity Cash'!$A:$A,$A112)=0,"",SUMIFS('Monthly BSE Equity Cash'!$G:$G,'Monthly BSE Equity Cash'!$A:$A,$A112))</f>
        <v>876.08190000000002</v>
      </c>
      <c r="F112" s="4">
        <f t="shared" si="9"/>
        <v>2627.5518999999999</v>
      </c>
      <c r="G112" s="7">
        <f t="shared" si="15"/>
        <v>0.17200653096184459</v>
      </c>
      <c r="H112" s="7">
        <f t="shared" si="16"/>
        <v>0.10439809375513698</v>
      </c>
      <c r="I112" s="7">
        <f t="shared" si="17"/>
        <v>0.14856297611420866</v>
      </c>
      <c r="J112" s="7">
        <f t="shared" si="12"/>
        <v>2.9640516151788754E-2</v>
      </c>
      <c r="K112" s="7">
        <f t="shared" si="13"/>
        <v>2.4511604491291639E-2</v>
      </c>
      <c r="L112" s="7">
        <f t="shared" si="14"/>
        <v>2.7924730402478781E-2</v>
      </c>
      <c r="M112" s="7">
        <f t="shared" si="10"/>
        <v>0.66657865064435073</v>
      </c>
      <c r="N112" s="7">
        <f t="shared" si="11"/>
        <v>0.33342134935564927</v>
      </c>
    </row>
    <row r="113" spans="1:14" x14ac:dyDescent="0.2">
      <c r="A113" s="5">
        <v>39114</v>
      </c>
      <c r="B113" s="2" t="s">
        <v>55</v>
      </c>
      <c r="C113" s="2" t="s">
        <v>123</v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>1801.7</v>
      </c>
      <c r="E113" s="4">
        <f>IF(SUMIFS('Monthly BSE Equity Cash'!$G:$G,'Monthly BSE Equity Cash'!$A:$A,$A113)=0,"",SUMIFS('Monthly BSE Equity Cash'!$G:$G,'Monthly BSE Equity Cash'!$A:$A,$A113))</f>
        <v>888.43700000000001</v>
      </c>
      <c r="F113" s="4">
        <f t="shared" si="9"/>
        <v>2690.1370000000002</v>
      </c>
      <c r="G113" s="7">
        <f t="shared" si="15"/>
        <v>0.33090549145330717</v>
      </c>
      <c r="H113" s="7">
        <f t="shared" si="16"/>
        <v>0.26792344367594567</v>
      </c>
      <c r="I113" s="7">
        <f t="shared" si="17"/>
        <v>0.30942439661486754</v>
      </c>
      <c r="J113" s="7">
        <f t="shared" si="12"/>
        <v>2.8678766978595061E-2</v>
      </c>
      <c r="K113" s="7">
        <f t="shared" si="13"/>
        <v>1.4102676930090707E-2</v>
      </c>
      <c r="L113" s="7">
        <f t="shared" si="14"/>
        <v>2.3818787366293392E-2</v>
      </c>
      <c r="M113" s="7">
        <f t="shared" si="10"/>
        <v>0.66974284209317214</v>
      </c>
      <c r="N113" s="7">
        <f t="shared" si="11"/>
        <v>0.3302571579068278</v>
      </c>
    </row>
    <row r="114" spans="1:14" x14ac:dyDescent="0.2">
      <c r="A114" s="5">
        <v>39142</v>
      </c>
      <c r="B114" s="2" t="s">
        <v>55</v>
      </c>
      <c r="C114" s="2" t="s">
        <v>123</v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>1679.54</v>
      </c>
      <c r="E114" s="4">
        <f>IF(SUMIFS('Monthly BSE Equity Cash'!$G:$G,'Monthly BSE Equity Cash'!$A:$A,$A114)=0,"",SUMIFS('Monthly BSE Equity Cash'!$G:$G,'Monthly BSE Equity Cash'!$A:$A,$A114))</f>
        <v>780.27520000000004</v>
      </c>
      <c r="F114" s="4">
        <f t="shared" si="9"/>
        <v>2459.8152</v>
      </c>
      <c r="G114" s="7">
        <f t="shared" si="15"/>
        <v>-0.19790825950953939</v>
      </c>
      <c r="H114" s="7">
        <f t="shared" si="16"/>
        <v>-0.34301024205743769</v>
      </c>
      <c r="I114" s="7">
        <f t="shared" si="17"/>
        <v>-0.25042244611016207</v>
      </c>
      <c r="J114" s="7">
        <f t="shared" si="12"/>
        <v>-6.780263084864302E-2</v>
      </c>
      <c r="K114" s="7">
        <f t="shared" si="13"/>
        <v>-0.12174391656358297</v>
      </c>
      <c r="L114" s="7">
        <f t="shared" si="14"/>
        <v>-8.5617126562699264E-2</v>
      </c>
      <c r="M114" s="7">
        <f t="shared" si="10"/>
        <v>0.68279113000033498</v>
      </c>
      <c r="N114" s="7">
        <f t="shared" si="11"/>
        <v>0.31720886999966502</v>
      </c>
    </row>
    <row r="115" spans="1:14" x14ac:dyDescent="0.2">
      <c r="A115" s="5">
        <v>39173</v>
      </c>
      <c r="B115" s="2" t="s">
        <v>56</v>
      </c>
      <c r="C115" s="2" t="s">
        <v>124</v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>1685.67</v>
      </c>
      <c r="E115" s="4">
        <f>IF(SUMIFS('Monthly BSE Equity Cash'!$G:$G,'Monthly BSE Equity Cash'!$A:$A,$A115)=0,"",SUMIFS('Monthly BSE Equity Cash'!$G:$G,'Monthly BSE Equity Cash'!$A:$A,$A115))</f>
        <v>786.92790000000002</v>
      </c>
      <c r="F115" s="4">
        <f t="shared" si="9"/>
        <v>2472.5979000000002</v>
      </c>
      <c r="G115" s="7">
        <f t="shared" si="15"/>
        <v>-4.9641431567552963E-2</v>
      </c>
      <c r="H115" s="7">
        <f t="shared" si="16"/>
        <v>-0.10052348157424407</v>
      </c>
      <c r="I115" s="7">
        <f t="shared" si="17"/>
        <v>-6.6448596183060538E-2</v>
      </c>
      <c r="J115" s="7">
        <f t="shared" si="12"/>
        <v>3.6498088762400016E-3</v>
      </c>
      <c r="K115" s="7">
        <f t="shared" si="13"/>
        <v>8.5260943831100278E-3</v>
      </c>
      <c r="L115" s="7">
        <f t="shared" si="14"/>
        <v>5.1966098916700343E-3</v>
      </c>
      <c r="M115" s="7">
        <f t="shared" si="10"/>
        <v>0.6817404479717466</v>
      </c>
      <c r="N115" s="7">
        <f t="shared" si="11"/>
        <v>0.31825955202825335</v>
      </c>
    </row>
    <row r="116" spans="1:14" x14ac:dyDescent="0.2">
      <c r="A116" s="5">
        <v>39203</v>
      </c>
      <c r="B116" s="2" t="s">
        <v>56</v>
      </c>
      <c r="C116" s="2" t="s">
        <v>124</v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>2075.85</v>
      </c>
      <c r="E116" s="4">
        <f>IF(SUMIFS('Monthly BSE Equity Cash'!$G:$G,'Monthly BSE Equity Cash'!$A:$A,$A116)=0,"",SUMIFS('Monthly BSE Equity Cash'!$G:$G,'Monthly BSE Equity Cash'!$A:$A,$A116))</f>
        <v>988.20669999999996</v>
      </c>
      <c r="F116" s="4">
        <f t="shared" si="9"/>
        <v>3064.0567000000001</v>
      </c>
      <c r="G116" s="7">
        <f t="shared" si="15"/>
        <v>3.0663972315040589E-2</v>
      </c>
      <c r="H116" s="7">
        <f t="shared" si="16"/>
        <v>3.1318925022724819E-2</v>
      </c>
      <c r="I116" s="7">
        <f t="shared" si="17"/>
        <v>3.0875114011533977E-2</v>
      </c>
      <c r="J116" s="7">
        <f t="shared" si="12"/>
        <v>0.23146879282421806</v>
      </c>
      <c r="K116" s="7">
        <f t="shared" si="13"/>
        <v>0.25577794357017969</v>
      </c>
      <c r="L116" s="7">
        <f t="shared" si="14"/>
        <v>0.23920541225081515</v>
      </c>
      <c r="M116" s="7">
        <f t="shared" si="10"/>
        <v>0.67748419929696468</v>
      </c>
      <c r="N116" s="7">
        <f t="shared" si="11"/>
        <v>0.32251580070303526</v>
      </c>
    </row>
    <row r="117" spans="1:14" x14ac:dyDescent="0.2">
      <c r="A117" s="5">
        <v>39234</v>
      </c>
      <c r="B117" s="2" t="s">
        <v>56</v>
      </c>
      <c r="C117" s="2" t="s">
        <v>124</v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>1936.48</v>
      </c>
      <c r="E117" s="4">
        <f>IF(SUMIFS('Monthly BSE Equity Cash'!$G:$G,'Monthly BSE Equity Cash'!$A:$A,$A117)=0,"",SUMIFS('Monthly BSE Equity Cash'!$G:$G,'Monthly BSE Equity Cash'!$A:$A,$A117))</f>
        <v>952.68349999999998</v>
      </c>
      <c r="F117" s="4">
        <f t="shared" si="9"/>
        <v>2889.1635000000001</v>
      </c>
      <c r="G117" s="7">
        <f t="shared" si="15"/>
        <v>0.28201257861635232</v>
      </c>
      <c r="H117" s="7">
        <f t="shared" si="16"/>
        <v>0.32292605149933284</v>
      </c>
      <c r="I117" s="7">
        <f t="shared" si="17"/>
        <v>0.29522100805797957</v>
      </c>
      <c r="J117" s="7">
        <f t="shared" si="12"/>
        <v>-6.7138762434665322E-2</v>
      </c>
      <c r="K117" s="7">
        <f t="shared" si="13"/>
        <v>-3.5947135351338866E-2</v>
      </c>
      <c r="L117" s="7">
        <f t="shared" si="14"/>
        <v>-5.7078969850655858E-2</v>
      </c>
      <c r="M117" s="7">
        <f t="shared" si="10"/>
        <v>0.67025628698410455</v>
      </c>
      <c r="N117" s="7">
        <f t="shared" si="11"/>
        <v>0.32974371301589539</v>
      </c>
    </row>
    <row r="118" spans="1:14" x14ac:dyDescent="0.2">
      <c r="A118" s="5">
        <v>39264</v>
      </c>
      <c r="B118" s="2" t="s">
        <v>56</v>
      </c>
      <c r="C118" s="2" t="s">
        <v>125</v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>2672.27</v>
      </c>
      <c r="E118" s="4">
        <f>IF(SUMIFS('Monthly BSE Equity Cash'!$G:$G,'Monthly BSE Equity Cash'!$A:$A,$A118)=0,"",SUMIFS('Monthly BSE Equity Cash'!$G:$G,'Monthly BSE Equity Cash'!$A:$A,$A118))</f>
        <v>1250.537</v>
      </c>
      <c r="F118" s="4">
        <f t="shared" si="9"/>
        <v>3922.8069999999998</v>
      </c>
      <c r="G118" s="7">
        <f t="shared" si="15"/>
        <v>1.2513184720888306</v>
      </c>
      <c r="H118" s="7">
        <f t="shared" si="16"/>
        <v>1.2862627009059038</v>
      </c>
      <c r="I118" s="7">
        <f t="shared" si="17"/>
        <v>1.2623416578491744</v>
      </c>
      <c r="J118" s="7">
        <f t="shared" si="12"/>
        <v>0.37996261257539454</v>
      </c>
      <c r="K118" s="7">
        <f t="shared" si="13"/>
        <v>0.31264685491036648</v>
      </c>
      <c r="L118" s="7">
        <f t="shared" si="14"/>
        <v>0.35776566469844973</v>
      </c>
      <c r="M118" s="7">
        <f t="shared" si="10"/>
        <v>0.68121373292134946</v>
      </c>
      <c r="N118" s="7">
        <f t="shared" si="11"/>
        <v>0.3187862670786506</v>
      </c>
    </row>
    <row r="119" spans="1:14" x14ac:dyDescent="0.2">
      <c r="A119" s="5">
        <v>39295</v>
      </c>
      <c r="B119" s="2" t="s">
        <v>56</v>
      </c>
      <c r="C119" s="2" t="s">
        <v>125</v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>2312.41</v>
      </c>
      <c r="E119" s="4">
        <f>IF(SUMIFS('Monthly BSE Equity Cash'!$G:$G,'Monthly BSE Equity Cash'!$A:$A,$A119)=0,"",SUMIFS('Monthly BSE Equity Cash'!$G:$G,'Monthly BSE Equity Cash'!$A:$A,$A119))</f>
        <v>1060.4141999999999</v>
      </c>
      <c r="F119" s="4">
        <f t="shared" si="9"/>
        <v>3372.8242</v>
      </c>
      <c r="G119" s="7">
        <f t="shared" si="15"/>
        <v>0.76795161931557532</v>
      </c>
      <c r="H119" s="7">
        <f t="shared" si="16"/>
        <v>0.6809508055821909</v>
      </c>
      <c r="I119" s="7">
        <f t="shared" si="17"/>
        <v>0.73964353965198826</v>
      </c>
      <c r="J119" s="7">
        <f t="shared" si="12"/>
        <v>-0.13466453614342866</v>
      </c>
      <c r="K119" s="7">
        <f t="shared" si="13"/>
        <v>-0.15203292665470924</v>
      </c>
      <c r="L119" s="7">
        <f t="shared" si="14"/>
        <v>-0.14020134051968391</v>
      </c>
      <c r="M119" s="7">
        <f t="shared" si="10"/>
        <v>0.68560051247260378</v>
      </c>
      <c r="N119" s="7">
        <f t="shared" si="11"/>
        <v>0.31439948752739616</v>
      </c>
    </row>
    <row r="120" spans="1:14" x14ac:dyDescent="0.2">
      <c r="A120" s="5">
        <v>39326</v>
      </c>
      <c r="B120" s="2" t="s">
        <v>56</v>
      </c>
      <c r="C120" s="2" t="s">
        <v>125</v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>2660.5</v>
      </c>
      <c r="E120" s="4">
        <f>IF(SUMIFS('Monthly BSE Equity Cash'!$G:$G,'Monthly BSE Equity Cash'!$A:$A,$A120)=0,"",SUMIFS('Monthly BSE Equity Cash'!$G:$G,'Monthly BSE Equity Cash'!$A:$A,$A120))</f>
        <v>1231.4386</v>
      </c>
      <c r="F120" s="4">
        <f t="shared" si="9"/>
        <v>3891.9386</v>
      </c>
      <c r="G120" s="7">
        <f t="shared" si="15"/>
        <v>0.84323017341120554</v>
      </c>
      <c r="H120" s="7">
        <f t="shared" si="16"/>
        <v>0.71919407311273953</v>
      </c>
      <c r="I120" s="7">
        <f t="shared" si="17"/>
        <v>0.8020918208049781</v>
      </c>
      <c r="J120" s="7">
        <f t="shared" si="12"/>
        <v>0.1505312639194607</v>
      </c>
      <c r="K120" s="7">
        <f t="shared" si="13"/>
        <v>0.16128075237015871</v>
      </c>
      <c r="L120" s="7">
        <f t="shared" si="14"/>
        <v>0.15391089757954179</v>
      </c>
      <c r="M120" s="7">
        <f t="shared" si="10"/>
        <v>0.68359249038512582</v>
      </c>
      <c r="N120" s="7">
        <f t="shared" si="11"/>
        <v>0.31640750961487418</v>
      </c>
    </row>
    <row r="121" spans="1:14" x14ac:dyDescent="0.2">
      <c r="A121" s="5">
        <v>39356</v>
      </c>
      <c r="B121" s="2" t="s">
        <v>56</v>
      </c>
      <c r="C121" s="2" t="s">
        <v>126</v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>4555.8900000000003</v>
      </c>
      <c r="E121" s="4">
        <f>IF(SUMIFS('Monthly BSE Equity Cash'!$G:$G,'Monthly BSE Equity Cash'!$A:$A,$A121)=0,"",SUMIFS('Monthly BSE Equity Cash'!$G:$G,'Monthly BSE Equity Cash'!$A:$A,$A121))</f>
        <v>1990.8871999999999</v>
      </c>
      <c r="F121" s="4">
        <f t="shared" si="9"/>
        <v>6546.7772000000004</v>
      </c>
      <c r="G121" s="7">
        <f t="shared" si="15"/>
        <v>2.2922562182942872</v>
      </c>
      <c r="H121" s="7">
        <f t="shared" si="16"/>
        <v>1.8593719682081868</v>
      </c>
      <c r="I121" s="7">
        <f t="shared" si="17"/>
        <v>2.1473569402591899</v>
      </c>
      <c r="J121" s="7">
        <f t="shared" si="12"/>
        <v>0.71241871828603665</v>
      </c>
      <c r="K121" s="7">
        <f t="shared" si="13"/>
        <v>0.61671657847983652</v>
      </c>
      <c r="L121" s="7">
        <f t="shared" si="14"/>
        <v>0.68213784256514232</v>
      </c>
      <c r="M121" s="7">
        <f t="shared" si="10"/>
        <v>0.69589812831877029</v>
      </c>
      <c r="N121" s="7">
        <f t="shared" si="11"/>
        <v>0.3041018716812296</v>
      </c>
    </row>
    <row r="122" spans="1:14" x14ac:dyDescent="0.2">
      <c r="A122" s="5">
        <v>39387</v>
      </c>
      <c r="B122" s="2" t="s">
        <v>56</v>
      </c>
      <c r="C122" s="2" t="s">
        <v>126</v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>4144.2</v>
      </c>
      <c r="E122" s="4">
        <f>IF(SUMIFS('Monthly BSE Equity Cash'!$G:$G,'Monthly BSE Equity Cash'!$A:$A,$A122)=0,"",SUMIFS('Monthly BSE Equity Cash'!$G:$G,'Monthly BSE Equity Cash'!$A:$A,$A122))</f>
        <v>1706.2268999999999</v>
      </c>
      <c r="F122" s="4">
        <f t="shared" si="9"/>
        <v>5850.4268999999995</v>
      </c>
      <c r="G122" s="7">
        <f t="shared" si="15"/>
        <v>1.1827317592158555</v>
      </c>
      <c r="H122" s="7">
        <f t="shared" si="16"/>
        <v>0.67540695142506024</v>
      </c>
      <c r="I122" s="7">
        <f t="shared" si="17"/>
        <v>1.0056139036151719</v>
      </c>
      <c r="J122" s="7">
        <f t="shared" si="12"/>
        <v>-9.036434154468187E-2</v>
      </c>
      <c r="K122" s="7">
        <f t="shared" si="13"/>
        <v>-0.14298163150579302</v>
      </c>
      <c r="L122" s="7">
        <f t="shared" si="14"/>
        <v>-0.10636535790464974</v>
      </c>
      <c r="M122" s="7">
        <f t="shared" si="10"/>
        <v>0.70835856439809552</v>
      </c>
      <c r="N122" s="7">
        <f t="shared" si="11"/>
        <v>0.29164143560190453</v>
      </c>
    </row>
    <row r="123" spans="1:14" x14ac:dyDescent="0.2">
      <c r="A123" s="5">
        <v>39417</v>
      </c>
      <c r="B123" s="2" t="s">
        <v>56</v>
      </c>
      <c r="C123" s="2" t="s">
        <v>126</v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>3663.85</v>
      </c>
      <c r="E123" s="4">
        <f>IF(SUMIFS('Monthly BSE Equity Cash'!$G:$G,'Monthly BSE Equity Cash'!$A:$A,$A123)=0,"",SUMIFS('Monthly BSE Equity Cash'!$G:$G,'Monthly BSE Equity Cash'!$A:$A,$A123))</f>
        <v>1635.1568</v>
      </c>
      <c r="F123" s="4">
        <f t="shared" si="9"/>
        <v>5299.0068000000001</v>
      </c>
      <c r="G123" s="7">
        <f t="shared" si="15"/>
        <v>1.153875547455983</v>
      </c>
      <c r="H123" s="7">
        <f t="shared" si="16"/>
        <v>0.91219236096858758</v>
      </c>
      <c r="I123" s="7">
        <f t="shared" si="17"/>
        <v>1.0730247559680564</v>
      </c>
      <c r="J123" s="7">
        <f t="shared" si="12"/>
        <v>-0.11590898122677473</v>
      </c>
      <c r="K123" s="7">
        <f t="shared" si="13"/>
        <v>-4.1653369783350547E-2</v>
      </c>
      <c r="L123" s="7">
        <f t="shared" si="14"/>
        <v>-9.4252968103917256E-2</v>
      </c>
      <c r="M123" s="7">
        <f t="shared" si="10"/>
        <v>0.69142202270810449</v>
      </c>
      <c r="N123" s="7">
        <f t="shared" si="11"/>
        <v>0.30857797729189551</v>
      </c>
    </row>
    <row r="124" spans="1:14" x14ac:dyDescent="0.2">
      <c r="A124" s="5">
        <v>39448</v>
      </c>
      <c r="B124" s="2" t="s">
        <v>56</v>
      </c>
      <c r="C124" s="2" t="s">
        <v>127</v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>4471.38</v>
      </c>
      <c r="E124" s="4">
        <f>IF(SUMIFS('Monthly BSE Equity Cash'!$G:$G,'Monthly BSE Equity Cash'!$A:$A,$A124)=0,"",SUMIFS('Monthly BSE Equity Cash'!$G:$G,'Monthly BSE Equity Cash'!$A:$A,$A124))</f>
        <v>1856.4183</v>
      </c>
      <c r="F124" s="4">
        <f t="shared" si="9"/>
        <v>6327.7983000000004</v>
      </c>
      <c r="G124" s="7">
        <f t="shared" si="15"/>
        <v>1.5529298246615699</v>
      </c>
      <c r="H124" s="7">
        <f t="shared" si="16"/>
        <v>1.119000860535984</v>
      </c>
      <c r="I124" s="7">
        <f t="shared" si="17"/>
        <v>1.4082486439183182</v>
      </c>
      <c r="J124" s="7">
        <f t="shared" si="12"/>
        <v>0.22040476547893606</v>
      </c>
      <c r="K124" s="7">
        <f t="shared" si="13"/>
        <v>0.13531515754330115</v>
      </c>
      <c r="L124" s="7">
        <f t="shared" si="14"/>
        <v>0.19414798637359754</v>
      </c>
      <c r="M124" s="7">
        <f t="shared" si="10"/>
        <v>0.70662492513391262</v>
      </c>
      <c r="N124" s="7">
        <f t="shared" si="11"/>
        <v>0.29337507486608727</v>
      </c>
    </row>
    <row r="125" spans="1:14" x14ac:dyDescent="0.2">
      <c r="A125" s="5">
        <v>39479</v>
      </c>
      <c r="B125" s="2" t="s">
        <v>56</v>
      </c>
      <c r="C125" s="2" t="s">
        <v>127</v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>2801.76</v>
      </c>
      <c r="E125" s="4">
        <f>IF(SUMIFS('Monthly BSE Equity Cash'!$G:$G,'Monthly BSE Equity Cash'!$A:$A,$A125)=0,"",SUMIFS('Monthly BSE Equity Cash'!$G:$G,'Monthly BSE Equity Cash'!$A:$A,$A125))</f>
        <v>1219.7460000000001</v>
      </c>
      <c r="F125" s="4">
        <f t="shared" si="9"/>
        <v>4021.5060000000003</v>
      </c>
      <c r="G125" s="7">
        <f t="shared" si="15"/>
        <v>0.55506466115335518</v>
      </c>
      <c r="H125" s="7">
        <f t="shared" si="16"/>
        <v>0.37291220424183158</v>
      </c>
      <c r="I125" s="7">
        <f t="shared" si="17"/>
        <v>0.49490750842800946</v>
      </c>
      <c r="J125" s="7">
        <f t="shared" si="12"/>
        <v>-0.37340150020798946</v>
      </c>
      <c r="K125" s="7">
        <f t="shared" si="13"/>
        <v>-0.34295734964474334</v>
      </c>
      <c r="L125" s="7">
        <f t="shared" si="14"/>
        <v>-0.36446994525726273</v>
      </c>
      <c r="M125" s="7">
        <f t="shared" si="10"/>
        <v>0.69669422350731292</v>
      </c>
      <c r="N125" s="7">
        <f t="shared" si="11"/>
        <v>0.30330577649268708</v>
      </c>
    </row>
    <row r="126" spans="1:14" x14ac:dyDescent="0.2">
      <c r="A126" s="5">
        <v>39508</v>
      </c>
      <c r="B126" s="2" t="s">
        <v>56</v>
      </c>
      <c r="C126" s="2" t="s">
        <v>127</v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>2530.12</v>
      </c>
      <c r="E126" s="4">
        <f>IF(SUMIFS('Monthly BSE Equity Cash'!$G:$G,'Monthly BSE Equity Cash'!$A:$A,$A126)=0,"",SUMIFS('Monthly BSE Equity Cash'!$G:$G,'Monthly BSE Equity Cash'!$A:$A,$A126))</f>
        <v>1109.9110000000001</v>
      </c>
      <c r="F126" s="4">
        <f t="shared" si="9"/>
        <v>3640.0309999999999</v>
      </c>
      <c r="G126" s="7">
        <f t="shared" si="15"/>
        <v>0.50643628612596303</v>
      </c>
      <c r="H126" s="7">
        <f t="shared" si="16"/>
        <v>0.42246094711199333</v>
      </c>
      <c r="I126" s="7">
        <f t="shared" si="17"/>
        <v>0.4797985637295028</v>
      </c>
      <c r="J126" s="7">
        <f t="shared" si="12"/>
        <v>-9.6953343612586451E-2</v>
      </c>
      <c r="K126" s="7">
        <f t="shared" si="13"/>
        <v>-9.0047436105549883E-2</v>
      </c>
      <c r="L126" s="7">
        <f t="shared" si="14"/>
        <v>-9.4858741973778082E-2</v>
      </c>
      <c r="M126" s="7">
        <f t="shared" si="10"/>
        <v>0.69508199243358093</v>
      </c>
      <c r="N126" s="7">
        <f t="shared" si="11"/>
        <v>0.30491800756641912</v>
      </c>
    </row>
    <row r="127" spans="1:14" x14ac:dyDescent="0.2">
      <c r="A127" s="5">
        <v>39539</v>
      </c>
      <c r="B127" s="2" t="s">
        <v>57</v>
      </c>
      <c r="C127" s="2" t="s">
        <v>128</v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>2712.27</v>
      </c>
      <c r="E127" s="4">
        <f>IF(SUMIFS('Monthly BSE Equity Cash'!$G:$G,'Monthly BSE Equity Cash'!$A:$A,$A127)=0,"",SUMIFS('Monthly BSE Equity Cash'!$G:$G,'Monthly BSE Equity Cash'!$A:$A,$A127))</f>
        <v>1154.5429999999999</v>
      </c>
      <c r="F127" s="4">
        <f t="shared" si="9"/>
        <v>3866.8130000000001</v>
      </c>
      <c r="G127" s="7">
        <f t="shared" si="15"/>
        <v>0.60901599957287011</v>
      </c>
      <c r="H127" s="7">
        <f t="shared" si="16"/>
        <v>0.46715220034770644</v>
      </c>
      <c r="I127" s="7">
        <f t="shared" si="17"/>
        <v>0.56386649038244352</v>
      </c>
      <c r="J127" s="7">
        <f t="shared" si="12"/>
        <v>7.1992632760501607E-2</v>
      </c>
      <c r="K127" s="7">
        <f t="shared" si="13"/>
        <v>4.0212233233114958E-2</v>
      </c>
      <c r="L127" s="7">
        <f t="shared" si="14"/>
        <v>6.2302216656946019E-2</v>
      </c>
      <c r="M127" s="7">
        <f t="shared" si="10"/>
        <v>0.70142259271394813</v>
      </c>
      <c r="N127" s="7">
        <f t="shared" si="11"/>
        <v>0.29857740728605181</v>
      </c>
    </row>
    <row r="128" spans="1:14" x14ac:dyDescent="0.2">
      <c r="A128" s="5">
        <v>39569</v>
      </c>
      <c r="B128" s="2" t="s">
        <v>57</v>
      </c>
      <c r="C128" s="2" t="s">
        <v>128</v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>2779.23</v>
      </c>
      <c r="E128" s="4">
        <f>IF(SUMIFS('Monthly BSE Equity Cash'!$G:$G,'Monthly BSE Equity Cash'!$A:$A,$A128)=0,"",SUMIFS('Monthly BSE Equity Cash'!$G:$G,'Monthly BSE Equity Cash'!$A:$A,$A128))</f>
        <v>1216.7009</v>
      </c>
      <c r="F128" s="4">
        <f t="shared" si="9"/>
        <v>3995.9309000000003</v>
      </c>
      <c r="G128" s="7">
        <f t="shared" si="15"/>
        <v>0.33883951152539926</v>
      </c>
      <c r="H128" s="7">
        <f t="shared" si="16"/>
        <v>0.23122105931886527</v>
      </c>
      <c r="I128" s="7">
        <f t="shared" si="17"/>
        <v>0.30413086024158753</v>
      </c>
      <c r="J128" s="7">
        <f t="shared" si="12"/>
        <v>2.4687807629771408E-2</v>
      </c>
      <c r="K128" s="7">
        <f t="shared" si="13"/>
        <v>5.3837665639131727E-2</v>
      </c>
      <c r="L128" s="7">
        <f t="shared" si="14"/>
        <v>3.3391296656962721E-2</v>
      </c>
      <c r="M128" s="7">
        <f t="shared" si="10"/>
        <v>0.69551503005219628</v>
      </c>
      <c r="N128" s="7">
        <f t="shared" si="11"/>
        <v>0.30448496994780366</v>
      </c>
    </row>
    <row r="129" spans="1:14" x14ac:dyDescent="0.2">
      <c r="A129" s="5">
        <v>39600</v>
      </c>
      <c r="B129" s="2" t="s">
        <v>57</v>
      </c>
      <c r="C129" s="2" t="s">
        <v>128</v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>2644.28</v>
      </c>
      <c r="E129" s="4">
        <f>IF(SUMIFS('Monthly BSE Equity Cash'!$G:$G,'Monthly BSE Equity Cash'!$A:$A,$A129)=0,"",SUMIFS('Monthly BSE Equity Cash'!$G:$G,'Monthly BSE Equity Cash'!$A:$A,$A129))</f>
        <v>1136.0461</v>
      </c>
      <c r="F129" s="4">
        <f t="shared" si="9"/>
        <v>3780.3261000000002</v>
      </c>
      <c r="G129" s="7">
        <f t="shared" si="15"/>
        <v>0.36550855159877726</v>
      </c>
      <c r="H129" s="7">
        <f t="shared" si="16"/>
        <v>0.19246958722387864</v>
      </c>
      <c r="I129" s="7">
        <f t="shared" si="17"/>
        <v>0.3084500409893729</v>
      </c>
      <c r="J129" s="7">
        <f t="shared" si="12"/>
        <v>-4.8556614601886094E-2</v>
      </c>
      <c r="K129" s="7">
        <f t="shared" si="13"/>
        <v>-6.6289751244533512E-2</v>
      </c>
      <c r="L129" s="7">
        <f t="shared" si="14"/>
        <v>-5.3956088179602957E-2</v>
      </c>
      <c r="M129" s="7">
        <f t="shared" si="10"/>
        <v>0.69948462911704889</v>
      </c>
      <c r="N129" s="7">
        <f t="shared" si="11"/>
        <v>0.30051537088295105</v>
      </c>
    </row>
    <row r="130" spans="1:14" x14ac:dyDescent="0.2">
      <c r="A130" s="5">
        <v>39630</v>
      </c>
      <c r="B130" s="2" t="s">
        <v>57</v>
      </c>
      <c r="C130" s="2" t="s">
        <v>129</v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>2958.16</v>
      </c>
      <c r="E130" s="4">
        <f>IF(SUMIFS('Monthly BSE Equity Cash'!$G:$G,'Monthly BSE Equity Cash'!$A:$A,$A130)=0,"",SUMIFS('Monthly BSE Equity Cash'!$G:$G,'Monthly BSE Equity Cash'!$A:$A,$A130))</f>
        <v>1239.1559</v>
      </c>
      <c r="F130" s="4">
        <f t="shared" ref="F130:F193" si="18">IF(OR(D130="",E130=""),"",D130+E130)</f>
        <v>4197.3158999999996</v>
      </c>
      <c r="G130" s="7">
        <f t="shared" si="15"/>
        <v>0.10698394997511484</v>
      </c>
      <c r="H130" s="7">
        <f t="shared" si="16"/>
        <v>-9.1009702231921175E-3</v>
      </c>
      <c r="I130" s="7">
        <f t="shared" si="17"/>
        <v>6.9977671600973457E-2</v>
      </c>
      <c r="J130" s="7">
        <f t="shared" si="12"/>
        <v>0.11870149908481697</v>
      </c>
      <c r="K130" s="7">
        <f t="shared" si="13"/>
        <v>9.0761985803216927E-2</v>
      </c>
      <c r="L130" s="7">
        <f t="shared" si="14"/>
        <v>0.11030524588870771</v>
      </c>
      <c r="M130" s="7">
        <f t="shared" ref="M130:M193" si="19">IF(F130="","",D130/F130)</f>
        <v>0.70477421058538869</v>
      </c>
      <c r="N130" s="7">
        <f t="shared" ref="N130:N193" si="20">IF(F130="","",E130/F130)</f>
        <v>0.29522578941461142</v>
      </c>
    </row>
    <row r="131" spans="1:14" x14ac:dyDescent="0.2">
      <c r="A131" s="5">
        <v>39661</v>
      </c>
      <c r="B131" s="2" t="s">
        <v>57</v>
      </c>
      <c r="C131" s="2" t="s">
        <v>129</v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>2342.5100000000002</v>
      </c>
      <c r="E131" s="4">
        <f>IF(SUMIFS('Monthly BSE Equity Cash'!$G:$G,'Monthly BSE Equity Cash'!$A:$A,$A131)=0,"",SUMIFS('Monthly BSE Equity Cash'!$G:$G,'Monthly BSE Equity Cash'!$A:$A,$A131))</f>
        <v>999.23929999999996</v>
      </c>
      <c r="F131" s="4">
        <f t="shared" si="18"/>
        <v>3341.7493000000004</v>
      </c>
      <c r="G131" s="7">
        <f t="shared" si="15"/>
        <v>1.301672281299604E-2</v>
      </c>
      <c r="H131" s="7">
        <f t="shared" si="16"/>
        <v>-5.7689627317325631E-2</v>
      </c>
      <c r="I131" s="7">
        <f t="shared" si="17"/>
        <v>-9.2133174329096512E-3</v>
      </c>
      <c r="J131" s="7">
        <f t="shared" ref="J131:J194" si="21">IF(OR(D131="",D130=""),"",D131/D130-1)</f>
        <v>-0.20811923628201301</v>
      </c>
      <c r="K131" s="7">
        <f t="shared" ref="K131:K194" si="22">IF(OR(E131="",E130=""),"",E131/E130-1)</f>
        <v>-0.19361292634768557</v>
      </c>
      <c r="L131" s="7">
        <f t="shared" ref="L131:L194" si="23">IF(OR(F131="",F130=""),"",F131/F130-1)</f>
        <v>-0.20383659948015809</v>
      </c>
      <c r="M131" s="7">
        <f t="shared" si="19"/>
        <v>0.70098316471555777</v>
      </c>
      <c r="N131" s="7">
        <f t="shared" si="20"/>
        <v>0.29901683528444212</v>
      </c>
    </row>
    <row r="132" spans="1:14" x14ac:dyDescent="0.2">
      <c r="A132" s="5">
        <v>39692</v>
      </c>
      <c r="B132" s="2" t="s">
        <v>57</v>
      </c>
      <c r="C132" s="2" t="s">
        <v>129</v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>2622.61</v>
      </c>
      <c r="E132" s="4">
        <f>IF(SUMIFS('Monthly BSE Equity Cash'!$G:$G,'Monthly BSE Equity Cash'!$A:$A,$A132)=0,"",SUMIFS('Monthly BSE Equity Cash'!$G:$G,'Monthly BSE Equity Cash'!$A:$A,$A132))</f>
        <v>1080.8995</v>
      </c>
      <c r="F132" s="4">
        <f t="shared" si="18"/>
        <v>3703.5095000000001</v>
      </c>
      <c r="G132" s="7">
        <f t="shared" si="15"/>
        <v>-1.424168389400482E-2</v>
      </c>
      <c r="H132" s="7">
        <f t="shared" si="16"/>
        <v>-0.12224653344470437</v>
      </c>
      <c r="I132" s="7">
        <f t="shared" si="17"/>
        <v>-4.8415229366670864E-2</v>
      </c>
      <c r="J132" s="7">
        <f t="shared" si="21"/>
        <v>0.11957259520770447</v>
      </c>
      <c r="K132" s="7">
        <f t="shared" si="22"/>
        <v>8.1722366203971442E-2</v>
      </c>
      <c r="L132" s="7">
        <f t="shared" si="23"/>
        <v>0.10825473951621678</v>
      </c>
      <c r="M132" s="7">
        <f t="shared" si="19"/>
        <v>0.70814183141693032</v>
      </c>
      <c r="N132" s="7">
        <f t="shared" si="20"/>
        <v>0.29185816858306962</v>
      </c>
    </row>
    <row r="133" spans="1:14" x14ac:dyDescent="0.2">
      <c r="A133" s="5">
        <v>39722</v>
      </c>
      <c r="B133" s="2" t="s">
        <v>57</v>
      </c>
      <c r="C133" s="2" t="s">
        <v>130</v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>2161.98</v>
      </c>
      <c r="E133" s="4">
        <f>IF(SUMIFS('Monthly BSE Equity Cash'!$G:$G,'Monthly BSE Equity Cash'!$A:$A,$A133)=0,"",SUMIFS('Monthly BSE Equity Cash'!$G:$G,'Monthly BSE Equity Cash'!$A:$A,$A133))</f>
        <v>782.27210000000002</v>
      </c>
      <c r="F133" s="4">
        <f t="shared" si="18"/>
        <v>2944.2521000000002</v>
      </c>
      <c r="G133" s="7">
        <f t="shared" si="15"/>
        <v>-0.52545386302127572</v>
      </c>
      <c r="H133" s="7">
        <f t="shared" si="16"/>
        <v>-0.60707362024327649</v>
      </c>
      <c r="I133" s="7">
        <f t="shared" si="17"/>
        <v>-0.55027458395865381</v>
      </c>
      <c r="J133" s="7">
        <f t="shared" si="21"/>
        <v>-0.17563800946385477</v>
      </c>
      <c r="K133" s="7">
        <f t="shared" si="22"/>
        <v>-0.27627674913347633</v>
      </c>
      <c r="L133" s="7">
        <f t="shared" si="23"/>
        <v>-0.20501024771233878</v>
      </c>
      <c r="M133" s="7">
        <f t="shared" si="19"/>
        <v>0.73430532663965831</v>
      </c>
      <c r="N133" s="7">
        <f t="shared" si="20"/>
        <v>0.26569467336034164</v>
      </c>
    </row>
    <row r="134" spans="1:14" x14ac:dyDescent="0.2">
      <c r="A134" s="5">
        <v>39753</v>
      </c>
      <c r="B134" s="2" t="s">
        <v>57</v>
      </c>
      <c r="C134" s="2" t="s">
        <v>130</v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>1731.23</v>
      </c>
      <c r="E134" s="4">
        <f>IF(SUMIFS('Monthly BSE Equity Cash'!$G:$G,'Monthly BSE Equity Cash'!$A:$A,$A134)=0,"",SUMIFS('Monthly BSE Equity Cash'!$G:$G,'Monthly BSE Equity Cash'!$A:$A,$A134))</f>
        <v>636.93619999999999</v>
      </c>
      <c r="F134" s="4">
        <f t="shared" si="18"/>
        <v>2368.1662000000001</v>
      </c>
      <c r="G134" s="7">
        <f t="shared" si="15"/>
        <v>-0.58225230442546205</v>
      </c>
      <c r="H134" s="7">
        <f t="shared" si="16"/>
        <v>-0.62669900468689121</v>
      </c>
      <c r="I134" s="7">
        <f t="shared" si="17"/>
        <v>-0.59521480389747272</v>
      </c>
      <c r="J134" s="7">
        <f t="shared" si="21"/>
        <v>-0.19923866085717723</v>
      </c>
      <c r="K134" s="7">
        <f t="shared" si="22"/>
        <v>-0.18578688924224707</v>
      </c>
      <c r="L134" s="7">
        <f t="shared" si="23"/>
        <v>-0.19566459679183046</v>
      </c>
      <c r="M134" s="7">
        <f t="shared" si="19"/>
        <v>0.73104244119352768</v>
      </c>
      <c r="N134" s="7">
        <f t="shared" si="20"/>
        <v>0.26895755880647226</v>
      </c>
    </row>
    <row r="135" spans="1:14" x14ac:dyDescent="0.2">
      <c r="A135" s="5">
        <v>39783</v>
      </c>
      <c r="B135" s="2" t="s">
        <v>57</v>
      </c>
      <c r="C135" s="2" t="s">
        <v>130</v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>2129.56</v>
      </c>
      <c r="E135" s="4">
        <f>IF(SUMIFS('Monthly BSE Equity Cash'!$G:$G,'Monthly BSE Equity Cash'!$A:$A,$A135)=0,"",SUMIFS('Monthly BSE Equity Cash'!$G:$G,'Monthly BSE Equity Cash'!$A:$A,$A135))</f>
        <v>808.65790000000004</v>
      </c>
      <c r="F135" s="4">
        <f t="shared" si="18"/>
        <v>2938.2179000000001</v>
      </c>
      <c r="G135" s="7">
        <f t="shared" si="15"/>
        <v>-0.41876441448203394</v>
      </c>
      <c r="H135" s="7">
        <f t="shared" si="16"/>
        <v>-0.50545544011436694</v>
      </c>
      <c r="I135" s="7">
        <f t="shared" si="17"/>
        <v>-0.44551535582101909</v>
      </c>
      <c r="J135" s="7">
        <f t="shared" si="21"/>
        <v>0.23008496849061078</v>
      </c>
      <c r="K135" s="7">
        <f t="shared" si="22"/>
        <v>0.26960580981266258</v>
      </c>
      <c r="L135" s="7">
        <f t="shared" si="23"/>
        <v>0.2407143974945678</v>
      </c>
      <c r="M135" s="7">
        <f t="shared" si="19"/>
        <v>0.72477946581157238</v>
      </c>
      <c r="N135" s="7">
        <f t="shared" si="20"/>
        <v>0.27522053418842762</v>
      </c>
    </row>
    <row r="136" spans="1:14" x14ac:dyDescent="0.2">
      <c r="A136" s="5">
        <v>39814</v>
      </c>
      <c r="B136" s="2" t="s">
        <v>57</v>
      </c>
      <c r="C136" s="2" t="s">
        <v>131</v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>1911.84</v>
      </c>
      <c r="E136" s="4">
        <f>IF(SUMIFS('Monthly BSE Equity Cash'!$G:$G,'Monthly BSE Equity Cash'!$A:$A,$A136)=0,"",SUMIFS('Monthly BSE Equity Cash'!$G:$G,'Monthly BSE Equity Cash'!$A:$A,$A136))</f>
        <v>705.09500000000003</v>
      </c>
      <c r="F136" s="4">
        <f t="shared" si="18"/>
        <v>2616.9349999999999</v>
      </c>
      <c r="G136" s="7">
        <f t="shared" si="15"/>
        <v>-0.57242730432215561</v>
      </c>
      <c r="H136" s="7">
        <f t="shared" si="16"/>
        <v>-0.62018527828561054</v>
      </c>
      <c r="I136" s="7">
        <f t="shared" si="17"/>
        <v>-0.58643830350913684</v>
      </c>
      <c r="J136" s="7">
        <f t="shared" si="21"/>
        <v>-0.10223708183850189</v>
      </c>
      <c r="K136" s="7">
        <f t="shared" si="22"/>
        <v>-0.12806762909259894</v>
      </c>
      <c r="L136" s="7">
        <f t="shared" si="23"/>
        <v>-0.10934617885215392</v>
      </c>
      <c r="M136" s="7">
        <f t="shared" si="19"/>
        <v>0.73056457267757891</v>
      </c>
      <c r="N136" s="7">
        <f t="shared" si="20"/>
        <v>0.26943542732242109</v>
      </c>
    </row>
    <row r="137" spans="1:14" x14ac:dyDescent="0.2">
      <c r="A137" s="5">
        <v>39845</v>
      </c>
      <c r="B137" s="2" t="s">
        <v>57</v>
      </c>
      <c r="C137" s="2" t="s">
        <v>131</v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>1498.57</v>
      </c>
      <c r="E137" s="4">
        <f>IF(SUMIFS('Monthly BSE Equity Cash'!$G:$G,'Monthly BSE Equity Cash'!$A:$A,$A137)=0,"",SUMIFS('Monthly BSE Equity Cash'!$G:$G,'Monthly BSE Equity Cash'!$A:$A,$A137))</f>
        <v>543.29740000000004</v>
      </c>
      <c r="F137" s="4">
        <f t="shared" si="18"/>
        <v>2041.8674000000001</v>
      </c>
      <c r="G137" s="7">
        <f t="shared" si="15"/>
        <v>-0.46513263091770896</v>
      </c>
      <c r="H137" s="7">
        <f t="shared" si="16"/>
        <v>-0.55458152762952295</v>
      </c>
      <c r="I137" s="7">
        <f t="shared" si="17"/>
        <v>-0.4922629979912998</v>
      </c>
      <c r="J137" s="7">
        <f t="shared" si="21"/>
        <v>-0.21616348648422468</v>
      </c>
      <c r="K137" s="7">
        <f t="shared" si="22"/>
        <v>-0.22946922045965434</v>
      </c>
      <c r="L137" s="7">
        <f t="shared" si="23"/>
        <v>-0.2197485226037329</v>
      </c>
      <c r="M137" s="7">
        <f t="shared" si="19"/>
        <v>0.73392131144265282</v>
      </c>
      <c r="N137" s="7">
        <f t="shared" si="20"/>
        <v>0.26607868855734707</v>
      </c>
    </row>
    <row r="138" spans="1:14" x14ac:dyDescent="0.2">
      <c r="A138" s="5">
        <v>39873</v>
      </c>
      <c r="B138" s="2" t="s">
        <v>57</v>
      </c>
      <c r="C138" s="2" t="s">
        <v>131</v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>2027.99</v>
      </c>
      <c r="E138" s="4">
        <f>IF(SUMIFS('Monthly BSE Equity Cash'!$G:$G,'Monthly BSE Equity Cash'!$A:$A,$A138)=0,"",SUMIFS('Monthly BSE Equity Cash'!$G:$G,'Monthly BSE Equity Cash'!$A:$A,$A138))</f>
        <v>697.89440000000002</v>
      </c>
      <c r="F138" s="4">
        <f t="shared" si="18"/>
        <v>2725.8843999999999</v>
      </c>
      <c r="G138" s="7">
        <f t="shared" si="15"/>
        <v>-0.19846094256398905</v>
      </c>
      <c r="H138" s="7">
        <f t="shared" si="16"/>
        <v>-0.37121589028309476</v>
      </c>
      <c r="I138" s="7">
        <f t="shared" si="17"/>
        <v>-0.25113703701973966</v>
      </c>
      <c r="J138" s="7">
        <f t="shared" si="21"/>
        <v>0.35328346356860219</v>
      </c>
      <c r="K138" s="7">
        <f t="shared" si="22"/>
        <v>0.28455317474370379</v>
      </c>
      <c r="L138" s="7">
        <f t="shared" si="23"/>
        <v>0.33499579845390537</v>
      </c>
      <c r="M138" s="7">
        <f t="shared" si="19"/>
        <v>0.74397505631566774</v>
      </c>
      <c r="N138" s="7">
        <f t="shared" si="20"/>
        <v>0.25602494368433232</v>
      </c>
    </row>
    <row r="139" spans="1:14" x14ac:dyDescent="0.2">
      <c r="A139" s="5">
        <v>39904</v>
      </c>
      <c r="B139" s="2" t="s">
        <v>58</v>
      </c>
      <c r="C139" s="2" t="s">
        <v>132</v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>2666.96</v>
      </c>
      <c r="E139" s="4">
        <f>IF(SUMIFS('Monthly BSE Equity Cash'!$G:$G,'Monthly BSE Equity Cash'!$A:$A,$A139)=0,"",SUMIFS('Monthly BSE Equity Cash'!$G:$G,'Monthly BSE Equity Cash'!$A:$A,$A139))</f>
        <v>889.42920000000004</v>
      </c>
      <c r="F139" s="4">
        <f t="shared" si="18"/>
        <v>3556.3892000000001</v>
      </c>
      <c r="G139" s="7">
        <f t="shared" si="15"/>
        <v>-1.6705563974088067E-2</v>
      </c>
      <c r="H139" s="7">
        <f t="shared" si="16"/>
        <v>-0.2296266141668174</v>
      </c>
      <c r="I139" s="7">
        <f t="shared" si="17"/>
        <v>-8.0278979097256564E-2</v>
      </c>
      <c r="J139" s="7">
        <f t="shared" si="21"/>
        <v>0.3150755181238567</v>
      </c>
      <c r="K139" s="7">
        <f t="shared" si="22"/>
        <v>0.27444667846596849</v>
      </c>
      <c r="L139" s="7">
        <f t="shared" si="23"/>
        <v>0.30467352173848616</v>
      </c>
      <c r="M139" s="7">
        <f t="shared" si="19"/>
        <v>0.74990667500621133</v>
      </c>
      <c r="N139" s="7">
        <f t="shared" si="20"/>
        <v>0.25009332499378867</v>
      </c>
    </row>
    <row r="140" spans="1:14" x14ac:dyDescent="0.2">
      <c r="A140" s="5">
        <v>39934</v>
      </c>
      <c r="B140" s="2" t="s">
        <v>58</v>
      </c>
      <c r="C140" s="2" t="s">
        <v>132</v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>3825.61</v>
      </c>
      <c r="E140" s="4">
        <f>IF(SUMIFS('Monthly BSE Equity Cash'!$G:$G,'Monthly BSE Equity Cash'!$A:$A,$A140)=0,"",SUMIFS('Monthly BSE Equity Cash'!$G:$G,'Monthly BSE Equity Cash'!$A:$A,$A140))</f>
        <v>1285.4169999999999</v>
      </c>
      <c r="F140" s="4">
        <f t="shared" si="18"/>
        <v>5111.027</v>
      </c>
      <c r="G140" s="7">
        <f t="shared" si="15"/>
        <v>0.37649996581787049</v>
      </c>
      <c r="H140" s="7">
        <f t="shared" si="16"/>
        <v>5.6477397197618462E-2</v>
      </c>
      <c r="I140" s="7">
        <f t="shared" si="17"/>
        <v>0.27905790362891403</v>
      </c>
      <c r="J140" s="7">
        <f t="shared" si="21"/>
        <v>0.43444596094429611</v>
      </c>
      <c r="K140" s="7">
        <f t="shared" si="22"/>
        <v>0.44521565066674196</v>
      </c>
      <c r="L140" s="7">
        <f t="shared" si="23"/>
        <v>0.43713938845613409</v>
      </c>
      <c r="M140" s="7">
        <f t="shared" si="19"/>
        <v>0.74850123077025421</v>
      </c>
      <c r="N140" s="7">
        <f t="shared" si="20"/>
        <v>0.25149876922974579</v>
      </c>
    </row>
    <row r="141" spans="1:14" x14ac:dyDescent="0.2">
      <c r="A141" s="5">
        <v>39965</v>
      </c>
      <c r="B141" s="2" t="s">
        <v>58</v>
      </c>
      <c r="C141" s="2" t="s">
        <v>132</v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>4824.1400000000003</v>
      </c>
      <c r="E141" s="4">
        <f>IF(SUMIFS('Monthly BSE Equity Cash'!$G:$G,'Monthly BSE Equity Cash'!$A:$A,$A141)=0,"",SUMIFS('Monthly BSE Equity Cash'!$G:$G,'Monthly BSE Equity Cash'!$A:$A,$A141))</f>
        <v>1591.9472000000001</v>
      </c>
      <c r="F141" s="4">
        <f t="shared" si="18"/>
        <v>6416.0871999999999</v>
      </c>
      <c r="G141" s="7">
        <f t="shared" si="15"/>
        <v>0.82436806994720668</v>
      </c>
      <c r="H141" s="7">
        <f t="shared" si="16"/>
        <v>0.40130510548823684</v>
      </c>
      <c r="I141" s="7">
        <f t="shared" si="17"/>
        <v>0.6972311462759786</v>
      </c>
      <c r="J141" s="7">
        <f t="shared" si="21"/>
        <v>0.26101196933299531</v>
      </c>
      <c r="K141" s="7">
        <f t="shared" si="22"/>
        <v>0.23846751676693256</v>
      </c>
      <c r="L141" s="7">
        <f t="shared" si="23"/>
        <v>0.25534206725967201</v>
      </c>
      <c r="M141" s="7">
        <f t="shared" si="19"/>
        <v>0.75188192579427537</v>
      </c>
      <c r="N141" s="7">
        <f t="shared" si="20"/>
        <v>0.24811807420572465</v>
      </c>
    </row>
    <row r="142" spans="1:14" x14ac:dyDescent="0.2">
      <c r="A142" s="5">
        <v>39995</v>
      </c>
      <c r="B142" s="2" t="s">
        <v>58</v>
      </c>
      <c r="C142" s="2" t="s">
        <v>133</v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>4261.43</v>
      </c>
      <c r="E142" s="4">
        <f>IF(SUMIFS('Monthly BSE Equity Cash'!$G:$G,'Monthly BSE Equity Cash'!$A:$A,$A142)=0,"",SUMIFS('Monthly BSE Equity Cash'!$G:$G,'Monthly BSE Equity Cash'!$A:$A,$A142))</f>
        <v>1389.8624</v>
      </c>
      <c r="F142" s="4">
        <f t="shared" si="18"/>
        <v>5651.2924000000003</v>
      </c>
      <c r="G142" s="7">
        <f t="shared" ref="G142:G205" si="24">IF(OR(D142="",D130=""),"",D142/D130-1)</f>
        <v>0.44056778538010133</v>
      </c>
      <c r="H142" s="7">
        <f t="shared" ref="H142:H205" si="25">IF(OR(E142="",E130=""),"",E142/E130-1)</f>
        <v>0.12162029007003872</v>
      </c>
      <c r="I142" s="7">
        <f t="shared" ref="I142:I205" si="26">IF(OR(F142="",F130=""),"",F142/F130-1)</f>
        <v>0.34640625929537516</v>
      </c>
      <c r="J142" s="7">
        <f t="shared" si="21"/>
        <v>-0.11664462474140469</v>
      </c>
      <c r="K142" s="7">
        <f t="shared" si="22"/>
        <v>-0.12694189857553073</v>
      </c>
      <c r="L142" s="7">
        <f t="shared" si="23"/>
        <v>-0.11919956449469693</v>
      </c>
      <c r="M142" s="7">
        <f t="shared" si="19"/>
        <v>0.75406291134396086</v>
      </c>
      <c r="N142" s="7">
        <f t="shared" si="20"/>
        <v>0.24593708865603908</v>
      </c>
    </row>
    <row r="143" spans="1:14" x14ac:dyDescent="0.2">
      <c r="A143" s="5">
        <v>40026</v>
      </c>
      <c r="B143" s="2" t="s">
        <v>58</v>
      </c>
      <c r="C143" s="2" t="s">
        <v>133</v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>3649.69</v>
      </c>
      <c r="E143" s="4">
        <f>IF(SUMIFS('Monthly BSE Equity Cash'!$G:$G,'Monthly BSE Equity Cash'!$A:$A,$A143)=0,"",SUMIFS('Monthly BSE Equity Cash'!$G:$G,'Monthly BSE Equity Cash'!$A:$A,$A143))</f>
        <v>1223.1929</v>
      </c>
      <c r="F143" s="4">
        <f t="shared" si="18"/>
        <v>4872.8829000000005</v>
      </c>
      <c r="G143" s="7">
        <f t="shared" si="24"/>
        <v>0.55802536595361363</v>
      </c>
      <c r="H143" s="7">
        <f t="shared" si="25"/>
        <v>0.22412409119617305</v>
      </c>
      <c r="I143" s="7">
        <f t="shared" si="26"/>
        <v>0.45818326347820282</v>
      </c>
      <c r="J143" s="7">
        <f t="shared" si="21"/>
        <v>-0.1435527510718233</v>
      </c>
      <c r="K143" s="7">
        <f t="shared" si="22"/>
        <v>-0.11991798612582083</v>
      </c>
      <c r="L143" s="7">
        <f t="shared" si="23"/>
        <v>-0.13774008578993358</v>
      </c>
      <c r="M143" s="7">
        <f t="shared" si="19"/>
        <v>0.74897962354071745</v>
      </c>
      <c r="N143" s="7">
        <f t="shared" si="20"/>
        <v>0.25102037645928243</v>
      </c>
    </row>
    <row r="144" spans="1:14" x14ac:dyDescent="0.2">
      <c r="A144" s="5">
        <v>40057</v>
      </c>
      <c r="B144" s="2" t="s">
        <v>58</v>
      </c>
      <c r="C144" s="2" t="s">
        <v>133</v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>3650.63</v>
      </c>
      <c r="E144" s="4">
        <f>IF(SUMIFS('Monthly BSE Equity Cash'!$G:$G,'Monthly BSE Equity Cash'!$A:$A,$A144)=0,"",SUMIFS('Monthly BSE Equity Cash'!$G:$G,'Monthly BSE Equity Cash'!$A:$A,$A144))</f>
        <v>1242.1990000000001</v>
      </c>
      <c r="F144" s="4">
        <f t="shared" si="18"/>
        <v>4892.8289999999997</v>
      </c>
      <c r="G144" s="7">
        <f t="shared" si="24"/>
        <v>0.39198355836361487</v>
      </c>
      <c r="H144" s="7">
        <f t="shared" si="25"/>
        <v>0.14922710205712941</v>
      </c>
      <c r="I144" s="7">
        <f t="shared" si="26"/>
        <v>0.32113310361428793</v>
      </c>
      <c r="J144" s="7">
        <f t="shared" si="21"/>
        <v>2.5755612120481608E-4</v>
      </c>
      <c r="K144" s="7">
        <f t="shared" si="22"/>
        <v>1.5538105232625332E-2</v>
      </c>
      <c r="L144" s="7">
        <f t="shared" si="23"/>
        <v>4.0932853116579793E-3</v>
      </c>
      <c r="M144" s="7">
        <f t="shared" si="19"/>
        <v>0.74611845212657146</v>
      </c>
      <c r="N144" s="7">
        <f t="shared" si="20"/>
        <v>0.25388154787342865</v>
      </c>
    </row>
    <row r="145" spans="1:14" x14ac:dyDescent="0.2">
      <c r="A145" s="5">
        <v>40087</v>
      </c>
      <c r="B145" s="2" t="s">
        <v>58</v>
      </c>
      <c r="C145" s="2" t="s">
        <v>134</v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>3629.69</v>
      </c>
      <c r="E145" s="4">
        <f>IF(SUMIFS('Monthly BSE Equity Cash'!$G:$G,'Monthly BSE Equity Cash'!$A:$A,$A145)=0,"",SUMIFS('Monthly BSE Equity Cash'!$G:$G,'Monthly BSE Equity Cash'!$A:$A,$A145))</f>
        <v>1140.0697</v>
      </c>
      <c r="F145" s="4">
        <f t="shared" si="18"/>
        <v>4769.7597000000005</v>
      </c>
      <c r="G145" s="7">
        <f t="shared" si="24"/>
        <v>0.67887307005615227</v>
      </c>
      <c r="H145" s="7">
        <f t="shared" si="25"/>
        <v>0.45738253991162403</v>
      </c>
      <c r="I145" s="7">
        <f t="shared" si="26"/>
        <v>0.62002421599699309</v>
      </c>
      <c r="J145" s="7">
        <f t="shared" si="21"/>
        <v>-5.7359962527016028E-3</v>
      </c>
      <c r="K145" s="7">
        <f t="shared" si="22"/>
        <v>-8.2216536963884201E-2</v>
      </c>
      <c r="L145" s="7">
        <f t="shared" si="23"/>
        <v>-2.5152994310653209E-2</v>
      </c>
      <c r="M145" s="7">
        <f t="shared" si="19"/>
        <v>0.76097963593427975</v>
      </c>
      <c r="N145" s="7">
        <f t="shared" si="20"/>
        <v>0.23902036406572011</v>
      </c>
    </row>
    <row r="146" spans="1:14" x14ac:dyDescent="0.2">
      <c r="A146" s="5">
        <v>40118</v>
      </c>
      <c r="B146" s="2" t="s">
        <v>58</v>
      </c>
      <c r="C146" s="2" t="s">
        <v>134</v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>3244.77</v>
      </c>
      <c r="E146" s="4">
        <f>IF(SUMIFS('Monthly BSE Equity Cash'!$G:$G,'Monthly BSE Equity Cash'!$A:$A,$A146)=0,"",SUMIFS('Monthly BSE Equity Cash'!$G:$G,'Monthly BSE Equity Cash'!$A:$A,$A146))</f>
        <v>1051.42</v>
      </c>
      <c r="F146" s="4">
        <f t="shared" si="18"/>
        <v>4296.1900000000005</v>
      </c>
      <c r="G146" s="7">
        <f t="shared" si="24"/>
        <v>0.87425703112815745</v>
      </c>
      <c r="H146" s="7">
        <f t="shared" si="25"/>
        <v>0.6507461814856812</v>
      </c>
      <c r="I146" s="7">
        <f t="shared" si="26"/>
        <v>0.81414209864155662</v>
      </c>
      <c r="J146" s="7">
        <f t="shared" si="21"/>
        <v>-0.1060476239017657</v>
      </c>
      <c r="K146" s="7">
        <f t="shared" si="22"/>
        <v>-7.7758140576843604E-2</v>
      </c>
      <c r="L146" s="7">
        <f t="shared" si="23"/>
        <v>-9.9285861298211708E-2</v>
      </c>
      <c r="M146" s="7">
        <f t="shared" si="19"/>
        <v>0.75526687599943199</v>
      </c>
      <c r="N146" s="7">
        <f t="shared" si="20"/>
        <v>0.24473312400056793</v>
      </c>
    </row>
    <row r="147" spans="1:14" x14ac:dyDescent="0.2">
      <c r="A147" s="5">
        <v>40148</v>
      </c>
      <c r="B147" s="2" t="s">
        <v>58</v>
      </c>
      <c r="C147" s="2" t="s">
        <v>134</v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>2929</v>
      </c>
      <c r="E147" s="4">
        <f>IF(SUMIFS('Monthly BSE Equity Cash'!$G:$G,'Monthly BSE Equity Cash'!$A:$A,$A147)=0,"",SUMIFS('Monthly BSE Equity Cash'!$G:$G,'Monthly BSE Equity Cash'!$A:$A,$A147))</f>
        <v>980.82489999999996</v>
      </c>
      <c r="F147" s="4">
        <f t="shared" si="18"/>
        <v>3909.8249000000001</v>
      </c>
      <c r="G147" s="7">
        <f t="shared" si="24"/>
        <v>0.37540149138789247</v>
      </c>
      <c r="H147" s="7">
        <f t="shared" si="25"/>
        <v>0.21290461640206559</v>
      </c>
      <c r="I147" s="7">
        <f t="shared" si="26"/>
        <v>0.33067901465034288</v>
      </c>
      <c r="J147" s="7">
        <f t="shared" si="21"/>
        <v>-9.7316604874921775E-2</v>
      </c>
      <c r="K147" s="7">
        <f t="shared" si="22"/>
        <v>-6.7142626162713381E-2</v>
      </c>
      <c r="L147" s="7">
        <f t="shared" si="23"/>
        <v>-8.993203280115647E-2</v>
      </c>
      <c r="M147" s="7">
        <f t="shared" si="19"/>
        <v>0.74913840770720963</v>
      </c>
      <c r="N147" s="7">
        <f t="shared" si="20"/>
        <v>0.25086159229279037</v>
      </c>
    </row>
    <row r="148" spans="1:14" x14ac:dyDescent="0.2">
      <c r="A148" s="5">
        <v>40179</v>
      </c>
      <c r="B148" s="2" t="s">
        <v>58</v>
      </c>
      <c r="C148" s="2" t="s">
        <v>135</v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>3384.43</v>
      </c>
      <c r="E148" s="4">
        <f>IF(SUMIFS('Monthly BSE Equity Cash'!$G:$G,'Monthly BSE Equity Cash'!$A:$A,$A148)=0,"",SUMIFS('Monthly BSE Equity Cash'!$G:$G,'Monthly BSE Equity Cash'!$A:$A,$A148))</f>
        <v>1170.8448000000001</v>
      </c>
      <c r="F148" s="4">
        <f t="shared" si="18"/>
        <v>4555.2748000000001</v>
      </c>
      <c r="G148" s="7">
        <f t="shared" si="24"/>
        <v>0.77024751025190397</v>
      </c>
      <c r="H148" s="7">
        <f t="shared" si="25"/>
        <v>0.66054900403491734</v>
      </c>
      <c r="I148" s="7">
        <f t="shared" si="26"/>
        <v>0.74069084635269888</v>
      </c>
      <c r="J148" s="7">
        <f t="shared" si="21"/>
        <v>0.15548992830317498</v>
      </c>
      <c r="K148" s="7">
        <f t="shared" si="22"/>
        <v>0.19373478385387655</v>
      </c>
      <c r="L148" s="7">
        <f t="shared" si="23"/>
        <v>0.16508409366363175</v>
      </c>
      <c r="M148" s="7">
        <f t="shared" si="19"/>
        <v>0.74296944719998004</v>
      </c>
      <c r="N148" s="7">
        <f t="shared" si="20"/>
        <v>0.25703055280001991</v>
      </c>
    </row>
    <row r="149" spans="1:14" x14ac:dyDescent="0.2">
      <c r="A149" s="5">
        <v>40210</v>
      </c>
      <c r="B149" s="2" t="s">
        <v>58</v>
      </c>
      <c r="C149" s="2" t="s">
        <v>135</v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>2451.4299999999998</v>
      </c>
      <c r="E149" s="4">
        <f>IF(SUMIFS('Monthly BSE Equity Cash'!$G:$G,'Monthly BSE Equity Cash'!$A:$A,$A149)=0,"",SUMIFS('Monthly BSE Equity Cash'!$G:$G,'Monthly BSE Equity Cash'!$A:$A,$A149))</f>
        <v>825.09879999999998</v>
      </c>
      <c r="F149" s="4">
        <f t="shared" si="18"/>
        <v>3276.5288</v>
      </c>
      <c r="G149" s="7">
        <f t="shared" si="24"/>
        <v>0.63584617335192872</v>
      </c>
      <c r="H149" s="7">
        <f t="shared" si="25"/>
        <v>0.51868718679677084</v>
      </c>
      <c r="I149" s="7">
        <f t="shared" si="26"/>
        <v>0.60467266385662444</v>
      </c>
      <c r="J149" s="7">
        <f t="shared" si="21"/>
        <v>-0.27567419033633433</v>
      </c>
      <c r="K149" s="7">
        <f t="shared" si="22"/>
        <v>-0.29529618272208247</v>
      </c>
      <c r="L149" s="7">
        <f t="shared" si="23"/>
        <v>-0.2807176418862809</v>
      </c>
      <c r="M149" s="7">
        <f t="shared" si="19"/>
        <v>0.74817898746991018</v>
      </c>
      <c r="N149" s="7">
        <f t="shared" si="20"/>
        <v>0.25182101253008976</v>
      </c>
    </row>
    <row r="150" spans="1:14" x14ac:dyDescent="0.2">
      <c r="A150" s="5">
        <v>40238</v>
      </c>
      <c r="B150" s="2" t="s">
        <v>58</v>
      </c>
      <c r="C150" s="2" t="s">
        <v>135</v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>2862.46</v>
      </c>
      <c r="E150" s="4">
        <f>IF(SUMIFS('Monthly BSE Equity Cash'!$G:$G,'Monthly BSE Equity Cash'!$A:$A,$A150)=0,"",SUMIFS('Monthly BSE Equity Cash'!$G:$G,'Monthly BSE Equity Cash'!$A:$A,$A150))</f>
        <v>997.78729999999996</v>
      </c>
      <c r="F150" s="4">
        <f t="shared" si="18"/>
        <v>3860.2473</v>
      </c>
      <c r="G150" s="7">
        <f t="shared" si="24"/>
        <v>0.41147638795063091</v>
      </c>
      <c r="H150" s="7">
        <f t="shared" si="25"/>
        <v>0.42971099925719414</v>
      </c>
      <c r="I150" s="7">
        <f t="shared" si="26"/>
        <v>0.41614490328349962</v>
      </c>
      <c r="J150" s="7">
        <f t="shared" si="21"/>
        <v>0.16766948271009174</v>
      </c>
      <c r="K150" s="7">
        <f t="shared" si="22"/>
        <v>0.20929432935789016</v>
      </c>
      <c r="L150" s="7">
        <f t="shared" si="23"/>
        <v>0.17815149373935002</v>
      </c>
      <c r="M150" s="7">
        <f t="shared" si="19"/>
        <v>0.74152244080320973</v>
      </c>
      <c r="N150" s="7">
        <f t="shared" si="20"/>
        <v>0.25847755919679033</v>
      </c>
    </row>
    <row r="151" spans="1:14" x14ac:dyDescent="0.2">
      <c r="A151" s="5">
        <v>40269</v>
      </c>
      <c r="B151" s="2" t="s">
        <v>59</v>
      </c>
      <c r="C151" s="2" t="s">
        <v>136</v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>2765.66</v>
      </c>
      <c r="E151" s="4">
        <f>IF(SUMIFS('Monthly BSE Equity Cash'!$G:$G,'Monthly BSE Equity Cash'!$A:$A,$A151)=0,"",SUMIFS('Monthly BSE Equity Cash'!$G:$G,'Monthly BSE Equity Cash'!$A:$A,$A151))</f>
        <v>939.29229999999995</v>
      </c>
      <c r="F151" s="4">
        <f t="shared" si="18"/>
        <v>3704.9522999999999</v>
      </c>
      <c r="G151" s="7">
        <f t="shared" si="24"/>
        <v>3.7008429072801885E-2</v>
      </c>
      <c r="H151" s="7">
        <f t="shared" si="25"/>
        <v>5.6061910267843684E-2</v>
      </c>
      <c r="I151" s="7">
        <f t="shared" si="26"/>
        <v>4.177357753757649E-2</v>
      </c>
      <c r="J151" s="7">
        <f t="shared" si="21"/>
        <v>-3.3817066439356447E-2</v>
      </c>
      <c r="K151" s="7">
        <f t="shared" si="22"/>
        <v>-5.8624718915544438E-2</v>
      </c>
      <c r="L151" s="7">
        <f t="shared" si="23"/>
        <v>-4.0229287900803712E-2</v>
      </c>
      <c r="M151" s="7">
        <f t="shared" si="19"/>
        <v>0.7464765470799718</v>
      </c>
      <c r="N151" s="7">
        <f t="shared" si="20"/>
        <v>0.25352345292002815</v>
      </c>
    </row>
    <row r="152" spans="1:14" x14ac:dyDescent="0.2">
      <c r="A152" s="5">
        <v>40299</v>
      </c>
      <c r="B152" s="2" t="s">
        <v>59</v>
      </c>
      <c r="C152" s="2" t="s">
        <v>136</v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>2846.25</v>
      </c>
      <c r="E152" s="4">
        <f>IF(SUMIFS('Monthly BSE Equity Cash'!$G:$G,'Monthly BSE Equity Cash'!$A:$A,$A152)=0,"",SUMIFS('Monthly BSE Equity Cash'!$G:$G,'Monthly BSE Equity Cash'!$A:$A,$A152))</f>
        <v>866.8</v>
      </c>
      <c r="F152" s="4">
        <f t="shared" si="18"/>
        <v>3713.05</v>
      </c>
      <c r="G152" s="7">
        <f t="shared" si="24"/>
        <v>-0.25600100376149171</v>
      </c>
      <c r="H152" s="7">
        <f t="shared" si="25"/>
        <v>-0.32566630128588625</v>
      </c>
      <c r="I152" s="7">
        <f t="shared" si="26"/>
        <v>-0.27352174034690091</v>
      </c>
      <c r="J152" s="7">
        <f t="shared" si="21"/>
        <v>2.9139518234345463E-2</v>
      </c>
      <c r="K152" s="7">
        <f t="shared" si="22"/>
        <v>-7.7177572945077877E-2</v>
      </c>
      <c r="L152" s="7">
        <f t="shared" si="23"/>
        <v>2.1856421741246468E-3</v>
      </c>
      <c r="M152" s="7">
        <f t="shared" si="19"/>
        <v>0.76655310324396386</v>
      </c>
      <c r="N152" s="7">
        <f t="shared" si="20"/>
        <v>0.23344689675603611</v>
      </c>
    </row>
    <row r="153" spans="1:14" x14ac:dyDescent="0.2">
      <c r="A153" s="5">
        <v>40330</v>
      </c>
      <c r="B153" s="2" t="s">
        <v>59</v>
      </c>
      <c r="C153" s="2" t="s">
        <v>136</v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>2861.09</v>
      </c>
      <c r="E153" s="4">
        <f>IF(SUMIFS('Monthly BSE Equity Cash'!$G:$G,'Monthly BSE Equity Cash'!$A:$A,$A153)=0,"",SUMIFS('Monthly BSE Equity Cash'!$G:$G,'Monthly BSE Equity Cash'!$A:$A,$A153))</f>
        <v>924.92610000000002</v>
      </c>
      <c r="F153" s="4">
        <f t="shared" si="18"/>
        <v>3786.0161000000003</v>
      </c>
      <c r="G153" s="7">
        <f t="shared" si="24"/>
        <v>-0.40692227008337234</v>
      </c>
      <c r="H153" s="7">
        <f t="shared" si="25"/>
        <v>-0.41899699939796997</v>
      </c>
      <c r="I153" s="7">
        <f t="shared" si="26"/>
        <v>-0.40991822866746574</v>
      </c>
      <c r="J153" s="7">
        <f t="shared" si="21"/>
        <v>5.2138779095300958E-3</v>
      </c>
      <c r="K153" s="7">
        <f t="shared" si="22"/>
        <v>6.7058260267651271E-2</v>
      </c>
      <c r="L153" s="7">
        <f t="shared" si="23"/>
        <v>1.9651257052827109E-2</v>
      </c>
      <c r="M153" s="7">
        <f t="shared" si="19"/>
        <v>0.75569937486531025</v>
      </c>
      <c r="N153" s="7">
        <f t="shared" si="20"/>
        <v>0.24430062513468973</v>
      </c>
    </row>
    <row r="154" spans="1:14" x14ac:dyDescent="0.2">
      <c r="A154" s="5">
        <v>40360</v>
      </c>
      <c r="B154" s="2" t="s">
        <v>59</v>
      </c>
      <c r="C154" s="2" t="s">
        <v>137</v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>2785.51</v>
      </c>
      <c r="E154" s="4">
        <f>IF(SUMIFS('Monthly BSE Equity Cash'!$G:$G,'Monthly BSE Equity Cash'!$A:$A,$A154)=0,"",SUMIFS('Monthly BSE Equity Cash'!$G:$G,'Monthly BSE Equity Cash'!$A:$A,$A154))</f>
        <v>929.56899999999996</v>
      </c>
      <c r="F154" s="4">
        <f t="shared" si="18"/>
        <v>3715.0790000000002</v>
      </c>
      <c r="G154" s="7">
        <f t="shared" si="24"/>
        <v>-0.34634383293870841</v>
      </c>
      <c r="H154" s="7">
        <f t="shared" si="25"/>
        <v>-0.33117911528508148</v>
      </c>
      <c r="I154" s="7">
        <f t="shared" si="26"/>
        <v>-0.34261426642868453</v>
      </c>
      <c r="J154" s="7">
        <f t="shared" si="21"/>
        <v>-2.6416505597516959E-2</v>
      </c>
      <c r="K154" s="7">
        <f t="shared" si="22"/>
        <v>5.0197523888664275E-3</v>
      </c>
      <c r="L154" s="7">
        <f t="shared" si="23"/>
        <v>-1.8736608119548137E-2</v>
      </c>
      <c r="M154" s="7">
        <f t="shared" si="19"/>
        <v>0.74978486325593618</v>
      </c>
      <c r="N154" s="7">
        <f t="shared" si="20"/>
        <v>0.25021513674406382</v>
      </c>
    </row>
    <row r="155" spans="1:14" x14ac:dyDescent="0.2">
      <c r="A155" s="5">
        <v>40391</v>
      </c>
      <c r="B155" s="2" t="s">
        <v>59</v>
      </c>
      <c r="C155" s="2" t="s">
        <v>137</v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>3119.94</v>
      </c>
      <c r="E155" s="4">
        <f>IF(SUMIFS('Monthly BSE Equity Cash'!$G:$G,'Monthly BSE Equity Cash'!$A:$A,$A155)=0,"",SUMIFS('Monthly BSE Equity Cash'!$G:$G,'Monthly BSE Equity Cash'!$A:$A,$A155))</f>
        <v>1128.8190999999999</v>
      </c>
      <c r="F155" s="4">
        <f t="shared" si="18"/>
        <v>4248.7591000000002</v>
      </c>
      <c r="G155" s="7">
        <f t="shared" si="24"/>
        <v>-0.14514931405133036</v>
      </c>
      <c r="H155" s="7">
        <f t="shared" si="25"/>
        <v>-7.7153652543274331E-2</v>
      </c>
      <c r="I155" s="7">
        <f t="shared" si="26"/>
        <v>-0.1280810175019802</v>
      </c>
      <c r="J155" s="7">
        <f t="shared" si="21"/>
        <v>0.12006059931574464</v>
      </c>
      <c r="K155" s="7">
        <f t="shared" si="22"/>
        <v>0.214346756400009</v>
      </c>
      <c r="L155" s="7">
        <f t="shared" si="23"/>
        <v>0.14365242300365622</v>
      </c>
      <c r="M155" s="7">
        <f t="shared" si="19"/>
        <v>0.73431793297012293</v>
      </c>
      <c r="N155" s="7">
        <f t="shared" si="20"/>
        <v>0.26568206702987701</v>
      </c>
    </row>
    <row r="156" spans="1:14" x14ac:dyDescent="0.2">
      <c r="A156" s="5">
        <v>40422</v>
      </c>
      <c r="B156" s="2" t="s">
        <v>59</v>
      </c>
      <c r="C156" s="2" t="s">
        <v>137</v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>3298.69</v>
      </c>
      <c r="E156" s="4">
        <f>IF(SUMIFS('Monthly BSE Equity Cash'!$G:$G,'Monthly BSE Equity Cash'!$A:$A,$A156)=0,"",SUMIFS('Monthly BSE Equity Cash'!$G:$G,'Monthly BSE Equity Cash'!$A:$A,$A156))</f>
        <v>1088.8477</v>
      </c>
      <c r="F156" s="4">
        <f t="shared" si="18"/>
        <v>4387.5376999999999</v>
      </c>
      <c r="G156" s="7">
        <f t="shared" si="24"/>
        <v>-9.6405277993113492E-2</v>
      </c>
      <c r="H156" s="7">
        <f t="shared" si="25"/>
        <v>-0.1234514759712414</v>
      </c>
      <c r="I156" s="7">
        <f t="shared" si="26"/>
        <v>-0.10327180859989182</v>
      </c>
      <c r="J156" s="7">
        <f t="shared" si="21"/>
        <v>5.7292768450675435E-2</v>
      </c>
      <c r="K156" s="7">
        <f t="shared" si="22"/>
        <v>-3.540992529272402E-2</v>
      </c>
      <c r="L156" s="7">
        <f t="shared" si="23"/>
        <v>3.2663325157691325E-2</v>
      </c>
      <c r="M156" s="7">
        <f t="shared" si="19"/>
        <v>0.75183171645453895</v>
      </c>
      <c r="N156" s="7">
        <f t="shared" si="20"/>
        <v>0.24816828354546105</v>
      </c>
    </row>
    <row r="157" spans="1:14" x14ac:dyDescent="0.2">
      <c r="A157" s="5">
        <v>40452</v>
      </c>
      <c r="B157" s="2" t="s">
        <v>59</v>
      </c>
      <c r="C157" s="2" t="s">
        <v>138</v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>3604.72</v>
      </c>
      <c r="E157" s="4">
        <f>IF(SUMIFS('Monthly BSE Equity Cash'!$G:$G,'Monthly BSE Equity Cash'!$A:$A,$A157)=0,"",SUMIFS('Monthly BSE Equity Cash'!$G:$G,'Monthly BSE Equity Cash'!$A:$A,$A157))</f>
        <v>1184.9694999999999</v>
      </c>
      <c r="F157" s="4">
        <f t="shared" si="18"/>
        <v>4789.6894999999995</v>
      </c>
      <c r="G157" s="7">
        <f t="shared" si="24"/>
        <v>-6.8793753736545726E-3</v>
      </c>
      <c r="H157" s="7">
        <f t="shared" si="25"/>
        <v>3.9383381559916941E-2</v>
      </c>
      <c r="I157" s="7">
        <f t="shared" si="26"/>
        <v>4.1783656312914808E-3</v>
      </c>
      <c r="J157" s="7">
        <f t="shared" si="21"/>
        <v>9.2773191782192344E-2</v>
      </c>
      <c r="K157" s="7">
        <f t="shared" si="22"/>
        <v>8.8278461716914114E-2</v>
      </c>
      <c r="L157" s="7">
        <f t="shared" si="23"/>
        <v>9.1657742336892056E-2</v>
      </c>
      <c r="M157" s="7">
        <f t="shared" si="19"/>
        <v>0.75259993367002187</v>
      </c>
      <c r="N157" s="7">
        <f t="shared" si="20"/>
        <v>0.24740006632997819</v>
      </c>
    </row>
    <row r="158" spans="1:14" x14ac:dyDescent="0.2">
      <c r="A158" s="5">
        <v>40483</v>
      </c>
      <c r="B158" s="2" t="s">
        <v>59</v>
      </c>
      <c r="C158" s="2" t="s">
        <v>138</v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>3639.93</v>
      </c>
      <c r="E158" s="4">
        <f>IF(SUMIFS('Monthly BSE Equity Cash'!$G:$G,'Monthly BSE Equity Cash'!$A:$A,$A158)=0,"",SUMIFS('Monthly BSE Equity Cash'!$G:$G,'Monthly BSE Equity Cash'!$A:$A,$A158))</f>
        <v>1060.0047</v>
      </c>
      <c r="F158" s="4">
        <f t="shared" si="18"/>
        <v>4699.9346999999998</v>
      </c>
      <c r="G158" s="7">
        <f t="shared" si="24"/>
        <v>0.12178367033718862</v>
      </c>
      <c r="H158" s="7">
        <f t="shared" si="25"/>
        <v>8.1648627570332089E-3</v>
      </c>
      <c r="I158" s="7">
        <f t="shared" si="26"/>
        <v>9.3977384612877746E-2</v>
      </c>
      <c r="J158" s="7">
        <f t="shared" si="21"/>
        <v>9.7677489513747773E-3</v>
      </c>
      <c r="K158" s="7">
        <f t="shared" si="22"/>
        <v>-0.10545824175221385</v>
      </c>
      <c r="L158" s="7">
        <f t="shared" si="23"/>
        <v>-1.8739168791630401E-2</v>
      </c>
      <c r="M158" s="7">
        <f t="shared" si="19"/>
        <v>0.774463951594902</v>
      </c>
      <c r="N158" s="7">
        <f t="shared" si="20"/>
        <v>0.22553604840509806</v>
      </c>
    </row>
    <row r="159" spans="1:14" x14ac:dyDescent="0.2">
      <c r="A159" s="5">
        <v>40513</v>
      </c>
      <c r="B159" s="2" t="s">
        <v>59</v>
      </c>
      <c r="C159" s="2" t="s">
        <v>138</v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>2956.85</v>
      </c>
      <c r="E159" s="4">
        <f>IF(SUMIFS('Monthly BSE Equity Cash'!$G:$G,'Monthly BSE Equity Cash'!$A:$A,$A159)=0,"",SUMIFS('Monthly BSE Equity Cash'!$G:$G,'Monthly BSE Equity Cash'!$A:$A,$A159))</f>
        <v>815.60090000000002</v>
      </c>
      <c r="F159" s="4">
        <f t="shared" si="18"/>
        <v>3772.4508999999998</v>
      </c>
      <c r="G159" s="7">
        <f t="shared" si="24"/>
        <v>9.5083646295663904E-3</v>
      </c>
      <c r="H159" s="7">
        <f t="shared" si="25"/>
        <v>-0.16845412468627163</v>
      </c>
      <c r="I159" s="7">
        <f t="shared" si="26"/>
        <v>-3.5135588808593465E-2</v>
      </c>
      <c r="J159" s="7">
        <f t="shared" si="21"/>
        <v>-0.18766294956221685</v>
      </c>
      <c r="K159" s="7">
        <f t="shared" si="22"/>
        <v>-0.23056860030903636</v>
      </c>
      <c r="L159" s="7">
        <f t="shared" si="23"/>
        <v>-0.19733972048590376</v>
      </c>
      <c r="M159" s="7">
        <f t="shared" si="19"/>
        <v>0.78380079115145007</v>
      </c>
      <c r="N159" s="7">
        <f t="shared" si="20"/>
        <v>0.2161992088485499</v>
      </c>
    </row>
    <row r="160" spans="1:14" x14ac:dyDescent="0.2">
      <c r="A160" s="5">
        <v>40544</v>
      </c>
      <c r="B160" s="2" t="s">
        <v>59</v>
      </c>
      <c r="C160" s="2" t="s">
        <v>139</v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>2673.32</v>
      </c>
      <c r="E160" s="4">
        <f>IF(SUMIFS('Monthly BSE Equity Cash'!$G:$G,'Monthly BSE Equity Cash'!$A:$A,$A160)=0,"",SUMIFS('Monthly BSE Equity Cash'!$G:$G,'Monthly BSE Equity Cash'!$A:$A,$A160))</f>
        <v>698.57550000000003</v>
      </c>
      <c r="F160" s="4">
        <f t="shared" si="18"/>
        <v>3371.8955000000001</v>
      </c>
      <c r="G160" s="7">
        <f t="shared" si="24"/>
        <v>-0.21011219023587424</v>
      </c>
      <c r="H160" s="7">
        <f t="shared" si="25"/>
        <v>-0.40335772939334058</v>
      </c>
      <c r="I160" s="7">
        <f t="shared" si="26"/>
        <v>-0.25978219799165569</v>
      </c>
      <c r="J160" s="7">
        <f t="shared" si="21"/>
        <v>-9.5889206418993123E-2</v>
      </c>
      <c r="K160" s="7">
        <f t="shared" si="22"/>
        <v>-0.14348365726423307</v>
      </c>
      <c r="L160" s="7">
        <f t="shared" si="23"/>
        <v>-0.10617908903731521</v>
      </c>
      <c r="M160" s="7">
        <f t="shared" si="19"/>
        <v>0.79282409552727839</v>
      </c>
      <c r="N160" s="7">
        <f t="shared" si="20"/>
        <v>0.20717590447272166</v>
      </c>
    </row>
    <row r="161" spans="1:14" x14ac:dyDescent="0.2">
      <c r="A161" s="5">
        <v>40575</v>
      </c>
      <c r="B161" s="2" t="s">
        <v>59</v>
      </c>
      <c r="C161" s="2" t="s">
        <v>139</v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>2665.04</v>
      </c>
      <c r="E161" s="4">
        <f>IF(SUMIFS('Monthly BSE Equity Cash'!$G:$G,'Monthly BSE Equity Cash'!$A:$A,$A161)=0,"",SUMIFS('Monthly BSE Equity Cash'!$G:$G,'Monthly BSE Equity Cash'!$A:$A,$A161))</f>
        <v>688.29830000000004</v>
      </c>
      <c r="F161" s="4">
        <f t="shared" si="18"/>
        <v>3353.3382999999999</v>
      </c>
      <c r="G161" s="7">
        <f t="shared" si="24"/>
        <v>8.7136895607869747E-2</v>
      </c>
      <c r="H161" s="7">
        <f t="shared" si="25"/>
        <v>-0.16579893220060427</v>
      </c>
      <c r="I161" s="7">
        <f t="shared" si="26"/>
        <v>2.3442339344003305E-2</v>
      </c>
      <c r="J161" s="7">
        <f t="shared" si="21"/>
        <v>-3.0972723055976425E-3</v>
      </c>
      <c r="K161" s="7">
        <f t="shared" si="22"/>
        <v>-1.4711652498548777E-2</v>
      </c>
      <c r="L161" s="7">
        <f t="shared" si="23"/>
        <v>-5.50349202696232E-3</v>
      </c>
      <c r="M161" s="7">
        <f t="shared" si="19"/>
        <v>0.79474236166389778</v>
      </c>
      <c r="N161" s="7">
        <f t="shared" si="20"/>
        <v>0.20525763833610228</v>
      </c>
    </row>
    <row r="162" spans="1:14" x14ac:dyDescent="0.2">
      <c r="A162" s="5">
        <v>40603</v>
      </c>
      <c r="B162" s="2" t="s">
        <v>59</v>
      </c>
      <c r="C162" s="2" t="s">
        <v>139</v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>2557.12</v>
      </c>
      <c r="E162" s="4">
        <f>IF(SUMIFS('Monthly BSE Equity Cash'!$G:$G,'Monthly BSE Equity Cash'!$A:$A,$A162)=0,"",SUMIFS('Monthly BSE Equity Cash'!$G:$G,'Monthly BSE Equity Cash'!$A:$A,$A162))</f>
        <v>724.56579999999997</v>
      </c>
      <c r="F162" s="4">
        <f t="shared" si="18"/>
        <v>3281.6857999999997</v>
      </c>
      <c r="G162" s="7">
        <f t="shared" si="24"/>
        <v>-0.10667048622513509</v>
      </c>
      <c r="H162" s="7">
        <f t="shared" si="25"/>
        <v>-0.27382739788329635</v>
      </c>
      <c r="I162" s="7">
        <f t="shared" si="26"/>
        <v>-0.14987679675341015</v>
      </c>
      <c r="J162" s="7">
        <f t="shared" si="21"/>
        <v>-4.0494701768078567E-2</v>
      </c>
      <c r="K162" s="7">
        <f t="shared" si="22"/>
        <v>5.2691543768159654E-2</v>
      </c>
      <c r="L162" s="7">
        <f t="shared" si="23"/>
        <v>-2.1367513083902168E-2</v>
      </c>
      <c r="M162" s="7">
        <f t="shared" si="19"/>
        <v>0.77920927103990278</v>
      </c>
      <c r="N162" s="7">
        <f t="shared" si="20"/>
        <v>0.22079072896009727</v>
      </c>
    </row>
    <row r="163" spans="1:14" x14ac:dyDescent="0.2">
      <c r="A163" s="5">
        <v>40634</v>
      </c>
      <c r="B163" s="2" t="s">
        <v>60</v>
      </c>
      <c r="C163" s="2" t="s">
        <v>140</v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>2283.48</v>
      </c>
      <c r="E163" s="4">
        <f>IF(SUMIFS('Monthly BSE Equity Cash'!$G:$G,'Monthly BSE Equity Cash'!$A:$A,$A163)=0,"",SUMIFS('Monthly BSE Equity Cash'!$G:$G,'Monthly BSE Equity Cash'!$A:$A,$A163))</f>
        <v>693.36279999999999</v>
      </c>
      <c r="F163" s="4">
        <f t="shared" si="18"/>
        <v>2976.8427999999999</v>
      </c>
      <c r="G163" s="7">
        <f t="shared" si="24"/>
        <v>-0.17434536421685953</v>
      </c>
      <c r="H163" s="7">
        <f t="shared" si="25"/>
        <v>-0.26182424789386649</v>
      </c>
      <c r="I163" s="7">
        <f t="shared" si="26"/>
        <v>-0.19652331286424385</v>
      </c>
      <c r="J163" s="7">
        <f t="shared" si="21"/>
        <v>-0.10701101238893751</v>
      </c>
      <c r="K163" s="7">
        <f t="shared" si="22"/>
        <v>-4.3064411817394621E-2</v>
      </c>
      <c r="L163" s="7">
        <f t="shared" si="23"/>
        <v>-9.2892195834226365E-2</v>
      </c>
      <c r="M163" s="7">
        <f t="shared" si="19"/>
        <v>0.76708115053975978</v>
      </c>
      <c r="N163" s="7">
        <f t="shared" si="20"/>
        <v>0.23291884946024022</v>
      </c>
    </row>
    <row r="164" spans="1:14" x14ac:dyDescent="0.2">
      <c r="A164" s="5">
        <v>40664</v>
      </c>
      <c r="B164" s="2" t="s">
        <v>60</v>
      </c>
      <c r="C164" s="2" t="s">
        <v>140</v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>2338.7600000000002</v>
      </c>
      <c r="E164" s="4">
        <f>IF(SUMIFS('Monthly BSE Equity Cash'!$G:$G,'Monthly BSE Equity Cash'!$A:$A,$A164)=0,"",SUMIFS('Monthly BSE Equity Cash'!$G:$G,'Monthly BSE Equity Cash'!$A:$A,$A164))</f>
        <v>594.9425</v>
      </c>
      <c r="F164" s="4">
        <f t="shared" si="18"/>
        <v>2933.7025000000003</v>
      </c>
      <c r="G164" s="7">
        <f t="shared" si="24"/>
        <v>-0.17830127360562131</v>
      </c>
      <c r="H164" s="7">
        <f t="shared" si="25"/>
        <v>-0.31363347946469766</v>
      </c>
      <c r="I164" s="7">
        <f t="shared" si="26"/>
        <v>-0.20989415709457182</v>
      </c>
      <c r="J164" s="7">
        <f t="shared" si="21"/>
        <v>2.4208663969029764E-2</v>
      </c>
      <c r="K164" s="7">
        <f t="shared" si="22"/>
        <v>-0.14194632305050114</v>
      </c>
      <c r="L164" s="7">
        <f t="shared" si="23"/>
        <v>-1.4491964439640403E-2</v>
      </c>
      <c r="M164" s="7">
        <f t="shared" si="19"/>
        <v>0.797204215492198</v>
      </c>
      <c r="N164" s="7">
        <f t="shared" si="20"/>
        <v>0.20279578450780197</v>
      </c>
    </row>
    <row r="165" spans="1:14" x14ac:dyDescent="0.2">
      <c r="A165" s="5">
        <v>40695</v>
      </c>
      <c r="B165" s="2" t="s">
        <v>60</v>
      </c>
      <c r="C165" s="2" t="s">
        <v>140</v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>2224.5700000000002</v>
      </c>
      <c r="E165" s="4">
        <f>IF(SUMIFS('Monthly BSE Equity Cash'!$G:$G,'Monthly BSE Equity Cash'!$A:$A,$A165)=0,"",SUMIFS('Monthly BSE Equity Cash'!$G:$G,'Monthly BSE Equity Cash'!$A:$A,$A165))</f>
        <v>593.37300000000005</v>
      </c>
      <c r="F165" s="4">
        <f t="shared" si="18"/>
        <v>2817.9430000000002</v>
      </c>
      <c r="G165" s="7">
        <f t="shared" si="24"/>
        <v>-0.22247465126927146</v>
      </c>
      <c r="H165" s="7">
        <f t="shared" si="25"/>
        <v>-0.35846442218464802</v>
      </c>
      <c r="I165" s="7">
        <f t="shared" si="26"/>
        <v>-0.25569703731582127</v>
      </c>
      <c r="J165" s="7">
        <f t="shared" si="21"/>
        <v>-4.8825018385811325E-2</v>
      </c>
      <c r="K165" s="7">
        <f t="shared" si="22"/>
        <v>-2.6380700655944667E-3</v>
      </c>
      <c r="L165" s="7">
        <f t="shared" si="23"/>
        <v>-3.945849996719164E-2</v>
      </c>
      <c r="M165" s="7">
        <f t="shared" si="19"/>
        <v>0.78943044625104197</v>
      </c>
      <c r="N165" s="7">
        <f t="shared" si="20"/>
        <v>0.21056955374895803</v>
      </c>
    </row>
    <row r="166" spans="1:14" x14ac:dyDescent="0.2">
      <c r="A166" s="5">
        <v>40725</v>
      </c>
      <c r="B166" s="2" t="s">
        <v>60</v>
      </c>
      <c r="C166" s="2" t="s">
        <v>141</v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>2300.0300000000002</v>
      </c>
      <c r="E166" s="4">
        <f>IF(SUMIFS('Monthly BSE Equity Cash'!$G:$G,'Monthly BSE Equity Cash'!$A:$A,$A166)=0,"",SUMIFS('Monthly BSE Equity Cash'!$G:$G,'Monthly BSE Equity Cash'!$A:$A,$A166))</f>
        <v>595.54669999999999</v>
      </c>
      <c r="F166" s="4">
        <f t="shared" si="18"/>
        <v>2895.5767000000001</v>
      </c>
      <c r="G166" s="7">
        <f t="shared" si="24"/>
        <v>-0.17428765288941706</v>
      </c>
      <c r="H166" s="7">
        <f t="shared" si="25"/>
        <v>-0.35933029178038423</v>
      </c>
      <c r="I166" s="7">
        <f t="shared" si="26"/>
        <v>-0.22058812208300282</v>
      </c>
      <c r="J166" s="7">
        <f t="shared" si="21"/>
        <v>3.3921162292038565E-2</v>
      </c>
      <c r="K166" s="7">
        <f t="shared" si="22"/>
        <v>3.6632944202044104E-3</v>
      </c>
      <c r="L166" s="7">
        <f t="shared" si="23"/>
        <v>2.7549776556871297E-2</v>
      </c>
      <c r="M166" s="7">
        <f t="shared" si="19"/>
        <v>0.79432535839924401</v>
      </c>
      <c r="N166" s="7">
        <f t="shared" si="20"/>
        <v>0.20567464160075608</v>
      </c>
    </row>
    <row r="167" spans="1:14" x14ac:dyDescent="0.2">
      <c r="A167" s="5">
        <v>40756</v>
      </c>
      <c r="B167" s="2" t="s">
        <v>60</v>
      </c>
      <c r="C167" s="2" t="s">
        <v>141</v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>2352.5300000000002</v>
      </c>
      <c r="E167" s="4">
        <f>IF(SUMIFS('Monthly BSE Equity Cash'!$G:$G,'Monthly BSE Equity Cash'!$A:$A,$A167)=0,"",SUMIFS('Monthly BSE Equity Cash'!$G:$G,'Monthly BSE Equity Cash'!$A:$A,$A167))</f>
        <v>533.00750000000005</v>
      </c>
      <c r="F167" s="4">
        <f t="shared" si="18"/>
        <v>2885.5375000000004</v>
      </c>
      <c r="G167" s="7">
        <f t="shared" si="24"/>
        <v>-0.24596947377193146</v>
      </c>
      <c r="H167" s="7">
        <f t="shared" si="25"/>
        <v>-0.52781849633834144</v>
      </c>
      <c r="I167" s="7">
        <f t="shared" si="26"/>
        <v>-0.32085170467772572</v>
      </c>
      <c r="J167" s="7">
        <f t="shared" si="21"/>
        <v>2.2825789228836157E-2</v>
      </c>
      <c r="K167" s="7">
        <f t="shared" si="22"/>
        <v>-0.10501141220327459</v>
      </c>
      <c r="L167" s="7">
        <f t="shared" si="23"/>
        <v>-3.4670813589567917E-3</v>
      </c>
      <c r="M167" s="7">
        <f t="shared" si="19"/>
        <v>0.81528311449773216</v>
      </c>
      <c r="N167" s="7">
        <f t="shared" si="20"/>
        <v>0.18471688550226778</v>
      </c>
    </row>
    <row r="168" spans="1:14" x14ac:dyDescent="0.2">
      <c r="A168" s="5">
        <v>40787</v>
      </c>
      <c r="B168" s="2" t="s">
        <v>60</v>
      </c>
      <c r="C168" s="2" t="s">
        <v>141</v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>2352.6999999999998</v>
      </c>
      <c r="E168" s="4">
        <f>IF(SUMIFS('Monthly BSE Equity Cash'!$G:$G,'Monthly BSE Equity Cash'!$A:$A,$A168)=0,"",SUMIFS('Monthly BSE Equity Cash'!$G:$G,'Monthly BSE Equity Cash'!$A:$A,$A168))</f>
        <v>543.5992</v>
      </c>
      <c r="F168" s="4">
        <f t="shared" si="18"/>
        <v>2896.2991999999999</v>
      </c>
      <c r="G168" s="7">
        <f t="shared" si="24"/>
        <v>-0.28677747833230771</v>
      </c>
      <c r="H168" s="7">
        <f t="shared" si="25"/>
        <v>-0.50075736028096496</v>
      </c>
      <c r="I168" s="7">
        <f t="shared" si="26"/>
        <v>-0.33988049834876632</v>
      </c>
      <c r="J168" s="7">
        <f t="shared" si="21"/>
        <v>7.2262627894170706E-5</v>
      </c>
      <c r="K168" s="7">
        <f t="shared" si="22"/>
        <v>1.9871577792057282E-2</v>
      </c>
      <c r="L168" s="7">
        <f t="shared" si="23"/>
        <v>3.7295304600961643E-3</v>
      </c>
      <c r="M168" s="7">
        <f t="shared" si="19"/>
        <v>0.81231248484272611</v>
      </c>
      <c r="N168" s="7">
        <f t="shared" si="20"/>
        <v>0.1876875151572738</v>
      </c>
    </row>
    <row r="169" spans="1:14" x14ac:dyDescent="0.2">
      <c r="A169" s="5">
        <v>40817</v>
      </c>
      <c r="B169" s="2" t="s">
        <v>60</v>
      </c>
      <c r="C169" s="2" t="s">
        <v>142</v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>1932.93</v>
      </c>
      <c r="E169" s="4">
        <f>IF(SUMIFS('Monthly BSE Equity Cash'!$G:$G,'Monthly BSE Equity Cash'!$A:$A,$A169)=0,"",SUMIFS('Monthly BSE Equity Cash'!$G:$G,'Monthly BSE Equity Cash'!$A:$A,$A169))</f>
        <v>435.15170000000001</v>
      </c>
      <c r="F169" s="4">
        <f t="shared" si="18"/>
        <v>2368.0817000000002</v>
      </c>
      <c r="G169" s="7">
        <f t="shared" si="24"/>
        <v>-0.46377804656117527</v>
      </c>
      <c r="H169" s="7">
        <f t="shared" si="25"/>
        <v>-0.6327739237170239</v>
      </c>
      <c r="I169" s="7">
        <f t="shared" si="26"/>
        <v>-0.50558763777902505</v>
      </c>
      <c r="J169" s="7">
        <f t="shared" si="21"/>
        <v>-0.17842053810515568</v>
      </c>
      <c r="K169" s="7">
        <f t="shared" si="22"/>
        <v>-0.19949900588521841</v>
      </c>
      <c r="L169" s="7">
        <f t="shared" si="23"/>
        <v>-0.18237670334611833</v>
      </c>
      <c r="M169" s="7">
        <f t="shared" si="19"/>
        <v>0.81624295310419392</v>
      </c>
      <c r="N169" s="7">
        <f t="shared" si="20"/>
        <v>0.18375704689580599</v>
      </c>
    </row>
    <row r="170" spans="1:14" x14ac:dyDescent="0.2">
      <c r="A170" s="5">
        <v>40848</v>
      </c>
      <c r="B170" s="2" t="s">
        <v>60</v>
      </c>
      <c r="C170" s="2" t="s">
        <v>142</v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>2063.44</v>
      </c>
      <c r="E170" s="4">
        <f>IF(SUMIFS('Monthly BSE Equity Cash'!$G:$G,'Monthly BSE Equity Cash'!$A:$A,$A170)=0,"",SUMIFS('Monthly BSE Equity Cash'!$G:$G,'Monthly BSE Equity Cash'!$A:$A,$A170))</f>
        <v>438.72120000000001</v>
      </c>
      <c r="F170" s="4">
        <f t="shared" si="18"/>
        <v>2502.1612</v>
      </c>
      <c r="G170" s="7">
        <f t="shared" si="24"/>
        <v>-0.43310997738967505</v>
      </c>
      <c r="H170" s="7">
        <f t="shared" si="25"/>
        <v>-0.58611391062700002</v>
      </c>
      <c r="I170" s="7">
        <f t="shared" si="26"/>
        <v>-0.46761787988245873</v>
      </c>
      <c r="J170" s="7">
        <f t="shared" si="21"/>
        <v>6.7519258328030407E-2</v>
      </c>
      <c r="K170" s="7">
        <f t="shared" si="22"/>
        <v>8.2028864876317886E-3</v>
      </c>
      <c r="L170" s="7">
        <f t="shared" si="23"/>
        <v>5.6619457006065188E-2</v>
      </c>
      <c r="M170" s="7">
        <f t="shared" si="19"/>
        <v>0.82466309524742054</v>
      </c>
      <c r="N170" s="7">
        <f t="shared" si="20"/>
        <v>0.17533690475257949</v>
      </c>
    </row>
    <row r="171" spans="1:14" x14ac:dyDescent="0.2">
      <c r="A171" s="5">
        <v>40878</v>
      </c>
      <c r="B171" s="2" t="s">
        <v>60</v>
      </c>
      <c r="C171" s="2" t="s">
        <v>142</v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>1888.86</v>
      </c>
      <c r="E171" s="4">
        <f>IF(SUMIFS('Monthly BSE Equity Cash'!$G:$G,'Monthly BSE Equity Cash'!$A:$A,$A171)=0,"",SUMIFS('Monthly BSE Equity Cash'!$G:$G,'Monthly BSE Equity Cash'!$A:$A,$A171))</f>
        <v>394.9221</v>
      </c>
      <c r="F171" s="4">
        <f t="shared" si="18"/>
        <v>2283.7820999999999</v>
      </c>
      <c r="G171" s="7">
        <f t="shared" si="24"/>
        <v>-0.36119180885063495</v>
      </c>
      <c r="H171" s="7">
        <f t="shared" si="25"/>
        <v>-0.51579001445437345</v>
      </c>
      <c r="I171" s="7">
        <f t="shared" si="26"/>
        <v>-0.39461581859156869</v>
      </c>
      <c r="J171" s="7">
        <f t="shared" si="21"/>
        <v>-8.4606288527895201E-2</v>
      </c>
      <c r="K171" s="7">
        <f t="shared" si="22"/>
        <v>-9.9833561724393505E-2</v>
      </c>
      <c r="L171" s="7">
        <f t="shared" si="23"/>
        <v>-8.727619147799115E-2</v>
      </c>
      <c r="M171" s="7">
        <f t="shared" si="19"/>
        <v>0.82707540268399515</v>
      </c>
      <c r="N171" s="7">
        <f t="shared" si="20"/>
        <v>0.1729245973160049</v>
      </c>
    </row>
    <row r="172" spans="1:14" x14ac:dyDescent="0.2">
      <c r="A172" s="5">
        <v>40909</v>
      </c>
      <c r="B172" s="2" t="s">
        <v>60</v>
      </c>
      <c r="C172" s="2" t="s">
        <v>143</v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>2368.7199999999998</v>
      </c>
      <c r="E172" s="4">
        <f>IF(SUMIFS('Monthly BSE Equity Cash'!$G:$G,'Monthly BSE Equity Cash'!$A:$A,$A172)=0,"",SUMIFS('Monthly BSE Equity Cash'!$G:$G,'Monthly BSE Equity Cash'!$A:$A,$A172))</f>
        <v>525.70820000000003</v>
      </c>
      <c r="F172" s="4">
        <f t="shared" si="18"/>
        <v>2894.4281999999998</v>
      </c>
      <c r="G172" s="7">
        <f t="shared" si="24"/>
        <v>-0.11394071790881766</v>
      </c>
      <c r="H172" s="7">
        <f t="shared" si="25"/>
        <v>-0.24745686042525106</v>
      </c>
      <c r="I172" s="7">
        <f t="shared" si="26"/>
        <v>-0.14160204549636846</v>
      </c>
      <c r="J172" s="7">
        <f t="shared" si="21"/>
        <v>0.25404741484281512</v>
      </c>
      <c r="K172" s="7">
        <f t="shared" si="22"/>
        <v>0.33116936226157012</v>
      </c>
      <c r="L172" s="7">
        <f t="shared" si="23"/>
        <v>0.26738369654442962</v>
      </c>
      <c r="M172" s="7">
        <f t="shared" si="19"/>
        <v>0.81837234725670516</v>
      </c>
      <c r="N172" s="7">
        <f t="shared" si="20"/>
        <v>0.18162765274329487</v>
      </c>
    </row>
    <row r="173" spans="1:14" x14ac:dyDescent="0.2">
      <c r="A173" s="5">
        <v>40940</v>
      </c>
      <c r="B173" s="2" t="s">
        <v>60</v>
      </c>
      <c r="C173" s="2" t="s">
        <v>143</v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>3278.08</v>
      </c>
      <c r="E173" s="4">
        <f>IF(SUMIFS('Monthly BSE Equity Cash'!$G:$G,'Monthly BSE Equity Cash'!$A:$A,$A173)=0,"",SUMIFS('Monthly BSE Equity Cash'!$G:$G,'Monthly BSE Equity Cash'!$A:$A,$A173))</f>
        <v>699.4692</v>
      </c>
      <c r="F173" s="4">
        <f t="shared" si="18"/>
        <v>3977.5491999999999</v>
      </c>
      <c r="G173" s="7">
        <f t="shared" si="24"/>
        <v>0.23003031849428157</v>
      </c>
      <c r="H173" s="7">
        <f t="shared" si="25"/>
        <v>1.6229736438401643E-2</v>
      </c>
      <c r="I173" s="7">
        <f t="shared" si="26"/>
        <v>0.18614611594660757</v>
      </c>
      <c r="J173" s="7">
        <f t="shared" si="21"/>
        <v>0.38390354284170369</v>
      </c>
      <c r="K173" s="7">
        <f t="shared" si="22"/>
        <v>0.33052746751905326</v>
      </c>
      <c r="L173" s="7">
        <f t="shared" si="23"/>
        <v>0.37420897156820132</v>
      </c>
      <c r="M173" s="7">
        <f t="shared" si="19"/>
        <v>0.8241456824720107</v>
      </c>
      <c r="N173" s="7">
        <f t="shared" si="20"/>
        <v>0.17585431752798936</v>
      </c>
    </row>
    <row r="174" spans="1:14" x14ac:dyDescent="0.2">
      <c r="A174" s="5">
        <v>40969</v>
      </c>
      <c r="B174" s="2" t="s">
        <v>60</v>
      </c>
      <c r="C174" s="2" t="s">
        <v>143</v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>2724.82</v>
      </c>
      <c r="E174" s="4">
        <f>IF(SUMIFS('Monthly BSE Equity Cash'!$G:$G,'Monthly BSE Equity Cash'!$A:$A,$A174)=0,"",SUMIFS('Monthly BSE Equity Cash'!$G:$G,'Monthly BSE Equity Cash'!$A:$A,$A174))</f>
        <v>627.17169999999999</v>
      </c>
      <c r="F174" s="4">
        <f t="shared" si="18"/>
        <v>3351.9917</v>
      </c>
      <c r="G174" s="7">
        <f t="shared" si="24"/>
        <v>6.5581591790764726E-2</v>
      </c>
      <c r="H174" s="7">
        <f t="shared" si="25"/>
        <v>-0.13441719164774268</v>
      </c>
      <c r="I174" s="7">
        <f t="shared" si="26"/>
        <v>2.1423714604243971E-2</v>
      </c>
      <c r="J174" s="7">
        <f t="shared" si="21"/>
        <v>-0.16877562475595465</v>
      </c>
      <c r="K174" s="7">
        <f t="shared" si="22"/>
        <v>-0.10336051966262416</v>
      </c>
      <c r="L174" s="7">
        <f t="shared" si="23"/>
        <v>-0.15727209609374537</v>
      </c>
      <c r="M174" s="7">
        <f t="shared" si="19"/>
        <v>0.81289580758806779</v>
      </c>
      <c r="N174" s="7">
        <f t="shared" si="20"/>
        <v>0.18710419241193227</v>
      </c>
    </row>
    <row r="175" spans="1:14" x14ac:dyDescent="0.2">
      <c r="A175" s="5">
        <v>41000</v>
      </c>
      <c r="B175" s="2" t="s">
        <v>61</v>
      </c>
      <c r="C175" s="2" t="s">
        <v>144</v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>1983.24</v>
      </c>
      <c r="E175" s="4">
        <f>IF(SUMIFS('Monthly BSE Equity Cash'!$G:$G,'Monthly BSE Equity Cash'!$A:$A,$A175)=0,"",SUMIFS('Monthly BSE Equity Cash'!$G:$G,'Monthly BSE Equity Cash'!$A:$A,$A175))</f>
        <v>423.05459999999999</v>
      </c>
      <c r="F175" s="4">
        <f t="shared" si="18"/>
        <v>2406.2946000000002</v>
      </c>
      <c r="G175" s="7">
        <f t="shared" si="24"/>
        <v>-0.13148352514583006</v>
      </c>
      <c r="H175" s="7">
        <f t="shared" si="25"/>
        <v>-0.38985102748517808</v>
      </c>
      <c r="I175" s="7">
        <f t="shared" si="26"/>
        <v>-0.19166218652862677</v>
      </c>
      <c r="J175" s="7">
        <f t="shared" si="21"/>
        <v>-0.27215742691260347</v>
      </c>
      <c r="K175" s="7">
        <f t="shared" si="22"/>
        <v>-0.32545648982567288</v>
      </c>
      <c r="L175" s="7">
        <f t="shared" si="23"/>
        <v>-0.28212990503526603</v>
      </c>
      <c r="M175" s="7">
        <f t="shared" si="19"/>
        <v>0.82418835997886541</v>
      </c>
      <c r="N175" s="7">
        <f t="shared" si="20"/>
        <v>0.17581164002113456</v>
      </c>
    </row>
    <row r="176" spans="1:14" x14ac:dyDescent="0.2">
      <c r="A176" s="5">
        <v>41030</v>
      </c>
      <c r="B176" s="2" t="s">
        <v>61</v>
      </c>
      <c r="C176" s="2" t="s">
        <v>144</v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>2167.5500000000002</v>
      </c>
      <c r="E176" s="4">
        <f>IF(SUMIFS('Monthly BSE Equity Cash'!$G:$G,'Monthly BSE Equity Cash'!$A:$A,$A176)=0,"",SUMIFS('Monthly BSE Equity Cash'!$G:$G,'Monthly BSE Equity Cash'!$A:$A,$A176))</f>
        <v>416.54599999999999</v>
      </c>
      <c r="F176" s="4">
        <f t="shared" si="18"/>
        <v>2584.096</v>
      </c>
      <c r="G176" s="7">
        <f t="shared" si="24"/>
        <v>-7.3205459303220533E-2</v>
      </c>
      <c r="H176" s="7">
        <f t="shared" si="25"/>
        <v>-0.29985502800690822</v>
      </c>
      <c r="I176" s="7">
        <f t="shared" si="26"/>
        <v>-0.11916903639683996</v>
      </c>
      <c r="J176" s="7">
        <f t="shared" si="21"/>
        <v>9.2933785119299728E-2</v>
      </c>
      <c r="K176" s="7">
        <f t="shared" si="22"/>
        <v>-1.5384775393058048E-2</v>
      </c>
      <c r="L176" s="7">
        <f t="shared" si="23"/>
        <v>7.3890121350893567E-2</v>
      </c>
      <c r="M176" s="7">
        <f t="shared" si="19"/>
        <v>0.83880397632286119</v>
      </c>
      <c r="N176" s="7">
        <f t="shared" si="20"/>
        <v>0.16119602367713892</v>
      </c>
    </row>
    <row r="177" spans="1:14" x14ac:dyDescent="0.2">
      <c r="A177" s="5">
        <v>41061</v>
      </c>
      <c r="B177" s="2" t="s">
        <v>61</v>
      </c>
      <c r="C177" s="2" t="s">
        <v>144</v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>2021.04</v>
      </c>
      <c r="E177" s="4">
        <f>IF(SUMIFS('Monthly BSE Equity Cash'!$G:$G,'Monthly BSE Equity Cash'!$A:$A,$A177)=0,"",SUMIFS('Monthly BSE Equity Cash'!$G:$G,'Monthly BSE Equity Cash'!$A:$A,$A177))</f>
        <v>443.1472</v>
      </c>
      <c r="F177" s="4">
        <f t="shared" si="18"/>
        <v>2464.1871999999998</v>
      </c>
      <c r="G177" s="7">
        <f t="shared" si="24"/>
        <v>-9.1491838872231557E-2</v>
      </c>
      <c r="H177" s="7">
        <f t="shared" si="25"/>
        <v>-0.25317262497619553</v>
      </c>
      <c r="I177" s="7">
        <f t="shared" si="26"/>
        <v>-0.12553688985192402</v>
      </c>
      <c r="J177" s="7">
        <f t="shared" si="21"/>
        <v>-6.7592443080897846E-2</v>
      </c>
      <c r="K177" s="7">
        <f t="shared" si="22"/>
        <v>6.3861374253983971E-2</v>
      </c>
      <c r="L177" s="7">
        <f t="shared" si="23"/>
        <v>-4.6402610429333913E-2</v>
      </c>
      <c r="M177" s="7">
        <f t="shared" si="19"/>
        <v>0.8201649614931853</v>
      </c>
      <c r="N177" s="7">
        <f t="shared" si="20"/>
        <v>0.17983503850681476</v>
      </c>
    </row>
    <row r="178" spans="1:14" x14ac:dyDescent="0.2">
      <c r="A178" s="5">
        <v>41091</v>
      </c>
      <c r="B178" s="2" t="s">
        <v>61</v>
      </c>
      <c r="C178" s="2" t="s">
        <v>145</v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>2103.25</v>
      </c>
      <c r="E178" s="4">
        <f>IF(SUMIFS('Monthly BSE Equity Cash'!$G:$G,'Monthly BSE Equity Cash'!$A:$A,$A178)=0,"",SUMIFS('Monthly BSE Equity Cash'!$G:$G,'Monthly BSE Equity Cash'!$A:$A,$A178))</f>
        <v>444.74579999999997</v>
      </c>
      <c r="F178" s="4">
        <f t="shared" si="18"/>
        <v>2547.9958000000001</v>
      </c>
      <c r="G178" s="7">
        <f t="shared" si="24"/>
        <v>-8.5555405799054851E-2</v>
      </c>
      <c r="H178" s="7">
        <f t="shared" si="25"/>
        <v>-0.25321423156236111</v>
      </c>
      <c r="I178" s="7">
        <f t="shared" si="26"/>
        <v>-0.12003857469912638</v>
      </c>
      <c r="J178" s="7">
        <f t="shared" si="21"/>
        <v>4.0677077148398855E-2</v>
      </c>
      <c r="K178" s="7">
        <f t="shared" si="22"/>
        <v>3.6073792184627695E-3</v>
      </c>
      <c r="L178" s="7">
        <f t="shared" si="23"/>
        <v>3.4010646593732874E-2</v>
      </c>
      <c r="M178" s="7">
        <f t="shared" si="19"/>
        <v>0.82545269501621621</v>
      </c>
      <c r="N178" s="7">
        <f t="shared" si="20"/>
        <v>0.17454730498378371</v>
      </c>
    </row>
    <row r="179" spans="1:14" x14ac:dyDescent="0.2">
      <c r="A179" s="5">
        <v>41122</v>
      </c>
      <c r="B179" s="2" t="s">
        <v>61</v>
      </c>
      <c r="C179" s="2" t="s">
        <v>145</v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>2048.7399999999998</v>
      </c>
      <c r="E179" s="4">
        <f>IF(SUMIFS('Monthly BSE Equity Cash'!$G:$G,'Monthly BSE Equity Cash'!$A:$A,$A179)=0,"",SUMIFS('Monthly BSE Equity Cash'!$G:$G,'Monthly BSE Equity Cash'!$A:$A,$A179))</f>
        <v>427.88819999999998</v>
      </c>
      <c r="F179" s="4">
        <f t="shared" si="18"/>
        <v>2476.6281999999997</v>
      </c>
      <c r="G179" s="7">
        <f t="shared" si="24"/>
        <v>-0.12913331604697942</v>
      </c>
      <c r="H179" s="7">
        <f t="shared" si="25"/>
        <v>-0.19721917609039286</v>
      </c>
      <c r="I179" s="7">
        <f t="shared" si="26"/>
        <v>-0.14170992406094207</v>
      </c>
      <c r="J179" s="7">
        <f t="shared" si="21"/>
        <v>-2.5917033162962233E-2</v>
      </c>
      <c r="K179" s="7">
        <f t="shared" si="22"/>
        <v>-3.7903899261105933E-2</v>
      </c>
      <c r="L179" s="7">
        <f t="shared" si="23"/>
        <v>-2.8009308335594785E-2</v>
      </c>
      <c r="M179" s="7">
        <f t="shared" si="19"/>
        <v>0.82722953732013549</v>
      </c>
      <c r="N179" s="7">
        <f t="shared" si="20"/>
        <v>0.17277046267986451</v>
      </c>
    </row>
    <row r="180" spans="1:14" x14ac:dyDescent="0.2">
      <c r="A180" s="5">
        <v>41153</v>
      </c>
      <c r="B180" s="2" t="s">
        <v>61</v>
      </c>
      <c r="C180" s="2" t="s">
        <v>145</v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>2401.89</v>
      </c>
      <c r="E180" s="4">
        <f>IF(SUMIFS('Monthly BSE Equity Cash'!$G:$G,'Monthly BSE Equity Cash'!$A:$A,$A180)=0,"",SUMIFS('Monthly BSE Equity Cash'!$G:$G,'Monthly BSE Equity Cash'!$A:$A,$A180))</f>
        <v>455.01319999999998</v>
      </c>
      <c r="F180" s="4">
        <f t="shared" si="18"/>
        <v>2856.9031999999997</v>
      </c>
      <c r="G180" s="7">
        <f t="shared" si="24"/>
        <v>2.0907893059038507E-2</v>
      </c>
      <c r="H180" s="7">
        <f t="shared" si="25"/>
        <v>-0.16296197639731624</v>
      </c>
      <c r="I180" s="7">
        <f t="shared" si="26"/>
        <v>-1.3602185851517068E-2</v>
      </c>
      <c r="J180" s="7">
        <f t="shared" si="21"/>
        <v>0.17237423977664323</v>
      </c>
      <c r="K180" s="7">
        <f t="shared" si="22"/>
        <v>6.3392727352612255E-2</v>
      </c>
      <c r="L180" s="7">
        <f t="shared" si="23"/>
        <v>0.1535454534515921</v>
      </c>
      <c r="M180" s="7">
        <f t="shared" si="19"/>
        <v>0.84073202060188812</v>
      </c>
      <c r="N180" s="7">
        <f t="shared" si="20"/>
        <v>0.15926797939811191</v>
      </c>
    </row>
    <row r="181" spans="1:14" x14ac:dyDescent="0.2">
      <c r="A181" s="5">
        <v>41183</v>
      </c>
      <c r="B181" s="2" t="s">
        <v>61</v>
      </c>
      <c r="C181" s="2" t="s">
        <v>146</v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>2397.9499999999998</v>
      </c>
      <c r="E181" s="4">
        <f>IF(SUMIFS('Monthly BSE Equity Cash'!$G:$G,'Monthly BSE Equity Cash'!$A:$A,$A181)=0,"",SUMIFS('Monthly BSE Equity Cash'!$G:$G,'Monthly BSE Equity Cash'!$A:$A,$A181))</f>
        <v>510.30189999999999</v>
      </c>
      <c r="F181" s="4">
        <f t="shared" si="18"/>
        <v>2908.2518999999998</v>
      </c>
      <c r="G181" s="7">
        <f t="shared" si="24"/>
        <v>0.24057777570838046</v>
      </c>
      <c r="H181" s="7">
        <f t="shared" si="25"/>
        <v>0.17269885421566777</v>
      </c>
      <c r="I181" s="7">
        <f t="shared" si="26"/>
        <v>0.2281045455484072</v>
      </c>
      <c r="J181" s="7">
        <f t="shared" si="21"/>
        <v>-1.6403748714554078E-3</v>
      </c>
      <c r="K181" s="7">
        <f t="shared" si="22"/>
        <v>0.1215101012454145</v>
      </c>
      <c r="L181" s="7">
        <f t="shared" si="23"/>
        <v>1.7973552621593836E-2</v>
      </c>
      <c r="M181" s="7">
        <f t="shared" si="19"/>
        <v>0.82453311558053144</v>
      </c>
      <c r="N181" s="7">
        <f t="shared" si="20"/>
        <v>0.17546688441946862</v>
      </c>
    </row>
    <row r="182" spans="1:14" x14ac:dyDescent="0.2">
      <c r="A182" s="5">
        <v>41214</v>
      </c>
      <c r="B182" s="2" t="s">
        <v>61</v>
      </c>
      <c r="C182" s="2" t="s">
        <v>146</v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>2209.33</v>
      </c>
      <c r="E182" s="4">
        <f>IF(SUMIFS('Monthly BSE Equity Cash'!$G:$G,'Monthly BSE Equity Cash'!$A:$A,$A182)=0,"",SUMIFS('Monthly BSE Equity Cash'!$G:$G,'Monthly BSE Equity Cash'!$A:$A,$A182))</f>
        <v>477.82960000000003</v>
      </c>
      <c r="F182" s="4">
        <f t="shared" si="18"/>
        <v>2687.1596</v>
      </c>
      <c r="G182" s="7">
        <f t="shared" si="24"/>
        <v>7.0702322335517431E-2</v>
      </c>
      <c r="H182" s="7">
        <f t="shared" si="25"/>
        <v>8.9141805775513117E-2</v>
      </c>
      <c r="I182" s="7">
        <f t="shared" si="26"/>
        <v>7.3935444287122731E-2</v>
      </c>
      <c r="J182" s="7">
        <f t="shared" si="21"/>
        <v>-7.8658854438165893E-2</v>
      </c>
      <c r="K182" s="7">
        <f t="shared" si="22"/>
        <v>-6.363350792932565E-2</v>
      </c>
      <c r="L182" s="7">
        <f t="shared" si="23"/>
        <v>-7.6022403698936758E-2</v>
      </c>
      <c r="M182" s="7">
        <f t="shared" si="19"/>
        <v>0.82218041682377185</v>
      </c>
      <c r="N182" s="7">
        <f t="shared" si="20"/>
        <v>0.17781958317622817</v>
      </c>
    </row>
    <row r="183" spans="1:14" x14ac:dyDescent="0.2">
      <c r="A183" s="5">
        <v>41244</v>
      </c>
      <c r="B183" s="2" t="s">
        <v>61</v>
      </c>
      <c r="C183" s="2" t="s">
        <v>146</v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>2403.25</v>
      </c>
      <c r="E183" s="4">
        <f>IF(SUMIFS('Monthly BSE Equity Cash'!$G:$G,'Monthly BSE Equity Cash'!$A:$A,$A183)=0,"",SUMIFS('Monthly BSE Equity Cash'!$G:$G,'Monthly BSE Equity Cash'!$A:$A,$A183))</f>
        <v>503.7724</v>
      </c>
      <c r="F183" s="4">
        <f t="shared" si="18"/>
        <v>2907.0223999999998</v>
      </c>
      <c r="G183" s="7">
        <f t="shared" si="24"/>
        <v>0.27232828266785258</v>
      </c>
      <c r="H183" s="7">
        <f t="shared" si="25"/>
        <v>0.27562473713170266</v>
      </c>
      <c r="I183" s="7">
        <f t="shared" si="26"/>
        <v>0.27289832072858444</v>
      </c>
      <c r="J183" s="7">
        <f t="shared" si="21"/>
        <v>8.7773216314448232E-2</v>
      </c>
      <c r="K183" s="7">
        <f t="shared" si="22"/>
        <v>5.4292994824933327E-2</v>
      </c>
      <c r="L183" s="7">
        <f t="shared" si="23"/>
        <v>8.1819777284534823E-2</v>
      </c>
      <c r="M183" s="7">
        <f t="shared" si="19"/>
        <v>0.82670501610169911</v>
      </c>
      <c r="N183" s="7">
        <f t="shared" si="20"/>
        <v>0.17329498389830089</v>
      </c>
    </row>
    <row r="184" spans="1:14" x14ac:dyDescent="0.2">
      <c r="A184" s="5">
        <v>41275</v>
      </c>
      <c r="B184" s="2" t="s">
        <v>61</v>
      </c>
      <c r="C184" s="2" t="s">
        <v>147</v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>2954.15</v>
      </c>
      <c r="E184" s="4">
        <f>IF(SUMIFS('Monthly BSE Equity Cash'!$G:$G,'Monthly BSE Equity Cash'!$A:$A,$A184)=0,"",SUMIFS('Monthly BSE Equity Cash'!$G:$G,'Monthly BSE Equity Cash'!$A:$A,$A184))</f>
        <v>566.61680000000001</v>
      </c>
      <c r="F184" s="4">
        <f t="shared" si="18"/>
        <v>3520.7668000000003</v>
      </c>
      <c r="G184" s="7">
        <f t="shared" si="24"/>
        <v>0.24715035968793297</v>
      </c>
      <c r="H184" s="7">
        <f t="shared" si="25"/>
        <v>7.7816172545910334E-2</v>
      </c>
      <c r="I184" s="7">
        <f t="shared" si="26"/>
        <v>0.21639458874813355</v>
      </c>
      <c r="J184" s="7">
        <f t="shared" si="21"/>
        <v>0.22923124934983874</v>
      </c>
      <c r="K184" s="7">
        <f t="shared" si="22"/>
        <v>0.12474760427526399</v>
      </c>
      <c r="L184" s="7">
        <f t="shared" si="23"/>
        <v>0.21112475775900474</v>
      </c>
      <c r="M184" s="7">
        <f t="shared" si="19"/>
        <v>0.83906437654433685</v>
      </c>
      <c r="N184" s="7">
        <f t="shared" si="20"/>
        <v>0.16093562345566312</v>
      </c>
    </row>
    <row r="185" spans="1:14" x14ac:dyDescent="0.2">
      <c r="A185" s="5">
        <v>41306</v>
      </c>
      <c r="B185" s="2" t="s">
        <v>61</v>
      </c>
      <c r="C185" s="2" t="s">
        <v>147</v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>2266.42</v>
      </c>
      <c r="E185" s="4">
        <f>IF(SUMIFS('Monthly BSE Equity Cash'!$G:$G,'Monthly BSE Equity Cash'!$A:$A,$A185)=0,"",SUMIFS('Monthly BSE Equity Cash'!$G:$G,'Monthly BSE Equity Cash'!$A:$A,$A185))</f>
        <v>421.37950000000001</v>
      </c>
      <c r="F185" s="4">
        <f t="shared" si="18"/>
        <v>2687.7995000000001</v>
      </c>
      <c r="G185" s="7">
        <f t="shared" si="24"/>
        <v>-0.308613578680203</v>
      </c>
      <c r="H185" s="7">
        <f t="shared" si="25"/>
        <v>-0.39757247352706881</v>
      </c>
      <c r="I185" s="7">
        <f t="shared" si="26"/>
        <v>-0.32425738442154273</v>
      </c>
      <c r="J185" s="7">
        <f t="shared" si="21"/>
        <v>-0.23280131340656363</v>
      </c>
      <c r="K185" s="7">
        <f t="shared" si="22"/>
        <v>-0.25632367413038226</v>
      </c>
      <c r="L185" s="7">
        <f t="shared" si="23"/>
        <v>-0.23658689919480047</v>
      </c>
      <c r="M185" s="7">
        <f t="shared" si="19"/>
        <v>0.84322509919359689</v>
      </c>
      <c r="N185" s="7">
        <f t="shared" si="20"/>
        <v>0.15677490080640316</v>
      </c>
    </row>
    <row r="186" spans="1:14" x14ac:dyDescent="0.2">
      <c r="A186" s="5">
        <v>41334</v>
      </c>
      <c r="B186" s="2" t="s">
        <v>61</v>
      </c>
      <c r="C186" s="2" t="s">
        <v>147</v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>2125.98</v>
      </c>
      <c r="E186" s="4">
        <f>IF(SUMIFS('Monthly BSE Equity Cash'!$G:$G,'Monthly BSE Equity Cash'!$A:$A,$A186)=0,"",SUMIFS('Monthly BSE Equity Cash'!$G:$G,'Monthly BSE Equity Cash'!$A:$A,$A186))</f>
        <v>397.44920000000002</v>
      </c>
      <c r="F186" s="4">
        <f t="shared" si="18"/>
        <v>2523.4292</v>
      </c>
      <c r="G186" s="7">
        <f t="shared" si="24"/>
        <v>-0.21977231523550178</v>
      </c>
      <c r="H186" s="7">
        <f t="shared" si="25"/>
        <v>-0.36628326820231205</v>
      </c>
      <c r="I186" s="7">
        <f t="shared" si="26"/>
        <v>-0.24718512876985943</v>
      </c>
      <c r="J186" s="7">
        <f t="shared" si="21"/>
        <v>-6.1965566841097441E-2</v>
      </c>
      <c r="K186" s="7">
        <f t="shared" si="22"/>
        <v>-5.6790375421680417E-2</v>
      </c>
      <c r="L186" s="7">
        <f t="shared" si="23"/>
        <v>-6.1154226719664195E-2</v>
      </c>
      <c r="M186" s="7">
        <f t="shared" si="19"/>
        <v>0.84249639339990201</v>
      </c>
      <c r="N186" s="7">
        <f t="shared" si="20"/>
        <v>0.15750360660009799</v>
      </c>
    </row>
    <row r="187" spans="1:14" x14ac:dyDescent="0.2">
      <c r="A187" s="5">
        <v>41365</v>
      </c>
      <c r="B187" s="2" t="s">
        <v>62</v>
      </c>
      <c r="C187" s="2" t="s">
        <v>148</v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>2107.9899999999998</v>
      </c>
      <c r="E187" s="4">
        <f>IF(SUMIFS('Monthly BSE Equity Cash'!$G:$G,'Monthly BSE Equity Cash'!$A:$A,$A187)=0,"",SUMIFS('Monthly BSE Equity Cash'!$G:$G,'Monthly BSE Equity Cash'!$A:$A,$A187))</f>
        <v>409.80020000000002</v>
      </c>
      <c r="F187" s="4">
        <f t="shared" si="18"/>
        <v>2517.7901999999999</v>
      </c>
      <c r="G187" s="7">
        <f t="shared" si="24"/>
        <v>6.2902119763619035E-2</v>
      </c>
      <c r="H187" s="7">
        <f t="shared" si="25"/>
        <v>-3.1330234915304067E-2</v>
      </c>
      <c r="I187" s="7">
        <f t="shared" si="26"/>
        <v>4.6334974944464369E-2</v>
      </c>
      <c r="J187" s="7">
        <f t="shared" si="21"/>
        <v>-8.4619798869228768E-3</v>
      </c>
      <c r="K187" s="7">
        <f t="shared" si="22"/>
        <v>3.1075669544686546E-2</v>
      </c>
      <c r="L187" s="7">
        <f t="shared" si="23"/>
        <v>-2.2346575049539963E-3</v>
      </c>
      <c r="M187" s="7">
        <f t="shared" si="19"/>
        <v>0.83723814637136962</v>
      </c>
      <c r="N187" s="7">
        <f t="shared" si="20"/>
        <v>0.16276185362863038</v>
      </c>
    </row>
    <row r="188" spans="1:14" x14ac:dyDescent="0.2">
      <c r="A188" s="5">
        <v>41395</v>
      </c>
      <c r="B188" s="2" t="s">
        <v>62</v>
      </c>
      <c r="C188" s="2" t="s">
        <v>148</v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>2443.92</v>
      </c>
      <c r="E188" s="4">
        <f>IF(SUMIFS('Monthly BSE Equity Cash'!$G:$G,'Monthly BSE Equity Cash'!$A:$A,$A188)=0,"",SUMIFS('Monthly BSE Equity Cash'!$G:$G,'Monthly BSE Equity Cash'!$A:$A,$A188))</f>
        <v>499.96069999999997</v>
      </c>
      <c r="F188" s="4">
        <f t="shared" si="18"/>
        <v>2943.8807000000002</v>
      </c>
      <c r="G188" s="7">
        <f t="shared" si="24"/>
        <v>0.12750340245899738</v>
      </c>
      <c r="H188" s="7">
        <f t="shared" si="25"/>
        <v>0.20025327334796161</v>
      </c>
      <c r="I188" s="7">
        <f t="shared" si="26"/>
        <v>0.13923039236932389</v>
      </c>
      <c r="J188" s="7">
        <f t="shared" si="21"/>
        <v>0.15936033852153009</v>
      </c>
      <c r="K188" s="7">
        <f t="shared" si="22"/>
        <v>0.22001087359156957</v>
      </c>
      <c r="L188" s="7">
        <f t="shared" si="23"/>
        <v>0.16923193203309794</v>
      </c>
      <c r="M188" s="7">
        <f t="shared" si="19"/>
        <v>0.83016951060550792</v>
      </c>
      <c r="N188" s="7">
        <f t="shared" si="20"/>
        <v>0.16983048939449208</v>
      </c>
    </row>
    <row r="189" spans="1:14" x14ac:dyDescent="0.2">
      <c r="A189" s="5">
        <v>41426</v>
      </c>
      <c r="B189" s="2" t="s">
        <v>62</v>
      </c>
      <c r="C189" s="2" t="s">
        <v>148</v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>2079.44</v>
      </c>
      <c r="E189" s="4">
        <f>IF(SUMIFS('Monthly BSE Equity Cash'!$G:$G,'Monthly BSE Equity Cash'!$A:$A,$A189)=0,"",SUMIFS('Monthly BSE Equity Cash'!$G:$G,'Monthly BSE Equity Cash'!$A:$A,$A189))</f>
        <v>363.77409999999998</v>
      </c>
      <c r="F189" s="4">
        <f t="shared" si="18"/>
        <v>2443.2141000000001</v>
      </c>
      <c r="G189" s="7">
        <f t="shared" si="24"/>
        <v>2.889601393342045E-2</v>
      </c>
      <c r="H189" s="7">
        <f t="shared" si="25"/>
        <v>-0.17911226788751011</v>
      </c>
      <c r="I189" s="7">
        <f t="shared" si="26"/>
        <v>-8.5111634375828471E-3</v>
      </c>
      <c r="J189" s="7">
        <f t="shared" si="21"/>
        <v>-0.14913745130773515</v>
      </c>
      <c r="K189" s="7">
        <f t="shared" si="22"/>
        <v>-0.27239461021636302</v>
      </c>
      <c r="L189" s="7">
        <f t="shared" si="23"/>
        <v>-0.17007027492656202</v>
      </c>
      <c r="M189" s="7">
        <f t="shared" si="19"/>
        <v>0.85110838219212959</v>
      </c>
      <c r="N189" s="7">
        <f t="shared" si="20"/>
        <v>0.14889161780787036</v>
      </c>
    </row>
    <row r="190" spans="1:14" x14ac:dyDescent="0.2">
      <c r="A190" s="5">
        <v>41456</v>
      </c>
      <c r="B190" s="2" t="s">
        <v>62</v>
      </c>
      <c r="C190" s="2" t="s">
        <v>149</v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>2433.9</v>
      </c>
      <c r="E190" s="4">
        <f>IF(SUMIFS('Monthly BSE Equity Cash'!$G:$G,'Monthly BSE Equity Cash'!$A:$A,$A190)=0,"",SUMIFS('Monthly BSE Equity Cash'!$G:$G,'Monthly BSE Equity Cash'!$A:$A,$A190))</f>
        <v>415.35120000000001</v>
      </c>
      <c r="F190" s="4">
        <f t="shared" si="18"/>
        <v>2849.2512000000002</v>
      </c>
      <c r="G190" s="7">
        <f t="shared" si="24"/>
        <v>0.15720908118388222</v>
      </c>
      <c r="H190" s="7">
        <f t="shared" si="25"/>
        <v>-6.6093035617199702E-2</v>
      </c>
      <c r="I190" s="7">
        <f t="shared" si="26"/>
        <v>0.11823229849907912</v>
      </c>
      <c r="J190" s="7">
        <f t="shared" si="21"/>
        <v>0.17045935444158045</v>
      </c>
      <c r="K190" s="7">
        <f t="shared" si="22"/>
        <v>0.14178332102257984</v>
      </c>
      <c r="L190" s="7">
        <f t="shared" si="23"/>
        <v>0.16618973343351273</v>
      </c>
      <c r="M190" s="7">
        <f t="shared" si="19"/>
        <v>0.85422443623082445</v>
      </c>
      <c r="N190" s="7">
        <f t="shared" si="20"/>
        <v>0.14577556376917555</v>
      </c>
    </row>
    <row r="191" spans="1:14" x14ac:dyDescent="0.2">
      <c r="A191" s="5">
        <v>41487</v>
      </c>
      <c r="B191" s="2" t="s">
        <v>62</v>
      </c>
      <c r="C191" s="2" t="s">
        <v>149</v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>2507.58</v>
      </c>
      <c r="E191" s="4">
        <f>IF(SUMIFS('Monthly BSE Equity Cash'!$G:$G,'Monthly BSE Equity Cash'!$A:$A,$A191)=0,"",SUMIFS('Monthly BSE Equity Cash'!$G:$G,'Monthly BSE Equity Cash'!$A:$A,$A191))</f>
        <v>408.75720000000001</v>
      </c>
      <c r="F191" s="4">
        <f t="shared" si="18"/>
        <v>2916.3371999999999</v>
      </c>
      <c r="G191" s="7">
        <f t="shared" si="24"/>
        <v>0.22396204496422212</v>
      </c>
      <c r="H191" s="7">
        <f t="shared" si="25"/>
        <v>-4.471027712379072E-2</v>
      </c>
      <c r="I191" s="7">
        <f t="shared" si="26"/>
        <v>0.17754340356780252</v>
      </c>
      <c r="J191" s="7">
        <f t="shared" si="21"/>
        <v>3.0272402317268465E-2</v>
      </c>
      <c r="K191" s="7">
        <f t="shared" si="22"/>
        <v>-1.5875721558045286E-2</v>
      </c>
      <c r="L191" s="7">
        <f t="shared" si="23"/>
        <v>2.3545133542454799E-2</v>
      </c>
      <c r="M191" s="7">
        <f t="shared" si="19"/>
        <v>0.85983884168127056</v>
      </c>
      <c r="N191" s="7">
        <f t="shared" si="20"/>
        <v>0.14016115831872941</v>
      </c>
    </row>
    <row r="192" spans="1:14" x14ac:dyDescent="0.2">
      <c r="A192" s="5">
        <v>41518</v>
      </c>
      <c r="B192" s="2" t="s">
        <v>62</v>
      </c>
      <c r="C192" s="2" t="s">
        <v>149</v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>2435.7600000000002</v>
      </c>
      <c r="E192" s="4">
        <f>IF(SUMIFS('Monthly BSE Equity Cash'!$G:$G,'Monthly BSE Equity Cash'!$A:$A,$A192)=0,"",SUMIFS('Monthly BSE Equity Cash'!$G:$G,'Monthly BSE Equity Cash'!$A:$A,$A192))</f>
        <v>398.98469999999998</v>
      </c>
      <c r="F192" s="4">
        <f t="shared" si="18"/>
        <v>2834.7447000000002</v>
      </c>
      <c r="G192" s="7">
        <f t="shared" si="24"/>
        <v>1.4101395151318474E-2</v>
      </c>
      <c r="H192" s="7">
        <f t="shared" si="25"/>
        <v>-0.12313598814276161</v>
      </c>
      <c r="I192" s="7">
        <f t="shared" si="26"/>
        <v>-7.7561255838137777E-3</v>
      </c>
      <c r="J192" s="7">
        <f t="shared" si="21"/>
        <v>-2.8641160002871202E-2</v>
      </c>
      <c r="K192" s="7">
        <f t="shared" si="22"/>
        <v>-2.3907835751884043E-2</v>
      </c>
      <c r="L192" s="7">
        <f t="shared" si="23"/>
        <v>-2.7977731793154659E-2</v>
      </c>
      <c r="M192" s="7">
        <f t="shared" si="19"/>
        <v>0.85925198131598945</v>
      </c>
      <c r="N192" s="7">
        <f t="shared" si="20"/>
        <v>0.14074801868401057</v>
      </c>
    </row>
    <row r="193" spans="1:14" x14ac:dyDescent="0.2">
      <c r="A193" s="5">
        <v>41548</v>
      </c>
      <c r="B193" s="2" t="s">
        <v>62</v>
      </c>
      <c r="C193" s="2" t="s">
        <v>150</v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>2379.08</v>
      </c>
      <c r="E193" s="4">
        <f>IF(SUMIFS('Monthly BSE Equity Cash'!$G:$G,'Monthly BSE Equity Cash'!$A:$A,$A193)=0,"",SUMIFS('Monthly BSE Equity Cash'!$G:$G,'Monthly BSE Equity Cash'!$A:$A,$A193))</f>
        <v>410.1841</v>
      </c>
      <c r="F193" s="4">
        <f t="shared" si="18"/>
        <v>2789.2640999999999</v>
      </c>
      <c r="G193" s="7">
        <f t="shared" si="24"/>
        <v>-7.8692216268061443E-3</v>
      </c>
      <c r="H193" s="7">
        <f t="shared" si="25"/>
        <v>-0.19619327304091949</v>
      </c>
      <c r="I193" s="7">
        <f t="shared" si="26"/>
        <v>-4.0913856189692455E-2</v>
      </c>
      <c r="J193" s="7">
        <f t="shared" si="21"/>
        <v>-2.3269944493710448E-2</v>
      </c>
      <c r="K193" s="7">
        <f t="shared" si="22"/>
        <v>2.8069748037957476E-2</v>
      </c>
      <c r="L193" s="7">
        <f t="shared" si="23"/>
        <v>-1.6043984490031971E-2</v>
      </c>
      <c r="M193" s="7">
        <f t="shared" si="19"/>
        <v>0.85294182074763014</v>
      </c>
      <c r="N193" s="7">
        <f t="shared" si="20"/>
        <v>0.14705817925236983</v>
      </c>
    </row>
    <row r="194" spans="1:14" x14ac:dyDescent="0.2">
      <c r="A194" s="5">
        <v>41579</v>
      </c>
      <c r="B194" s="2" t="s">
        <v>62</v>
      </c>
      <c r="C194" s="2" t="s">
        <v>150</v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>2177.8200000000002</v>
      </c>
      <c r="E194" s="4">
        <f>IF(SUMIFS('Monthly BSE Equity Cash'!$G:$G,'Monthly BSE Equity Cash'!$A:$A,$A194)=0,"",SUMIFS('Monthly BSE Equity Cash'!$G:$G,'Monthly BSE Equity Cash'!$A:$A,$A194))</f>
        <v>407.67610000000002</v>
      </c>
      <c r="F194" s="4">
        <f t="shared" ref="F194:F257" si="27">IF(OR(D194="",E194=""),"",D194+E194)</f>
        <v>2585.4961000000003</v>
      </c>
      <c r="G194" s="7">
        <f t="shared" si="24"/>
        <v>-1.4262242399279312E-2</v>
      </c>
      <c r="H194" s="7">
        <f t="shared" si="25"/>
        <v>-0.14681698245567043</v>
      </c>
      <c r="I194" s="7">
        <f t="shared" si="26"/>
        <v>-3.7833071024140019E-2</v>
      </c>
      <c r="J194" s="7">
        <f t="shared" si="21"/>
        <v>-8.4595726078988465E-2</v>
      </c>
      <c r="K194" s="7">
        <f t="shared" si="22"/>
        <v>-6.1143276884696451E-3</v>
      </c>
      <c r="L194" s="7">
        <f t="shared" si="23"/>
        <v>-7.3054394526498756E-2</v>
      </c>
      <c r="M194" s="7">
        <f t="shared" ref="M194:M257" si="28">IF(F194="","",D194/F194)</f>
        <v>0.84232190487543179</v>
      </c>
      <c r="N194" s="7">
        <f t="shared" ref="N194:N257" si="29">IF(F194="","",E194/F194)</f>
        <v>0.15767809512456815</v>
      </c>
    </row>
    <row r="195" spans="1:14" x14ac:dyDescent="0.2">
      <c r="A195" s="5">
        <v>41609</v>
      </c>
      <c r="B195" s="2" t="s">
        <v>62</v>
      </c>
      <c r="C195" s="2" t="s">
        <v>150</v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>2308.17</v>
      </c>
      <c r="E195" s="4">
        <f>IF(SUMIFS('Monthly BSE Equity Cash'!$G:$G,'Monthly BSE Equity Cash'!$A:$A,$A195)=0,"",SUMIFS('Monthly BSE Equity Cash'!$G:$G,'Monthly BSE Equity Cash'!$A:$A,$A195))</f>
        <v>435.66180000000003</v>
      </c>
      <c r="F195" s="4">
        <f t="shared" si="27"/>
        <v>2743.8317999999999</v>
      </c>
      <c r="G195" s="7">
        <f t="shared" si="24"/>
        <v>-3.9563091646728332E-2</v>
      </c>
      <c r="H195" s="7">
        <f t="shared" si="25"/>
        <v>-0.13520113448057092</v>
      </c>
      <c r="I195" s="7">
        <f t="shared" si="26"/>
        <v>-5.613668473968414E-2</v>
      </c>
      <c r="J195" s="7">
        <f t="shared" ref="J195:J258" si="30">IF(OR(D195="",D194=""),"",D195/D194-1)</f>
        <v>5.9853431413064317E-2</v>
      </c>
      <c r="K195" s="7">
        <f t="shared" ref="K195:K258" si="31">IF(OR(E195="",E194=""),"",E195/E194-1)</f>
        <v>6.8646898849356264E-2</v>
      </c>
      <c r="L195" s="7">
        <f t="shared" ref="L195:L258" si="32">IF(OR(F195="",F194=""),"",F195/F194-1)</f>
        <v>6.1239968607958772E-2</v>
      </c>
      <c r="M195" s="7">
        <f t="shared" si="28"/>
        <v>0.84122138973679073</v>
      </c>
      <c r="N195" s="7">
        <f t="shared" si="29"/>
        <v>0.1587786102632093</v>
      </c>
    </row>
    <row r="196" spans="1:14" x14ac:dyDescent="0.2">
      <c r="A196" s="5">
        <v>41640</v>
      </c>
      <c r="B196" s="2" t="s">
        <v>62</v>
      </c>
      <c r="C196" s="2" t="s">
        <v>151</v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>2556.3000000000002</v>
      </c>
      <c r="E196" s="4">
        <f>IF(SUMIFS('Monthly BSE Equity Cash'!$G:$G,'Monthly BSE Equity Cash'!$A:$A,$A196)=0,"",SUMIFS('Monthly BSE Equity Cash'!$G:$G,'Monthly BSE Equity Cash'!$A:$A,$A196))</f>
        <v>496.73039999999997</v>
      </c>
      <c r="F196" s="4">
        <f t="shared" si="27"/>
        <v>3053.0304000000001</v>
      </c>
      <c r="G196" s="7">
        <f t="shared" si="24"/>
        <v>-0.13467494880083941</v>
      </c>
      <c r="H196" s="7">
        <f t="shared" si="25"/>
        <v>-0.12333979507843751</v>
      </c>
      <c r="I196" s="7">
        <f t="shared" si="26"/>
        <v>-0.13285071876955901</v>
      </c>
      <c r="J196" s="7">
        <f t="shared" si="30"/>
        <v>0.10750074734529957</v>
      </c>
      <c r="K196" s="7">
        <f t="shared" si="31"/>
        <v>0.14017432788461126</v>
      </c>
      <c r="L196" s="7">
        <f t="shared" si="32"/>
        <v>0.11268861305565459</v>
      </c>
      <c r="M196" s="7">
        <f t="shared" si="28"/>
        <v>0.8372992289890071</v>
      </c>
      <c r="N196" s="7">
        <f t="shared" si="29"/>
        <v>0.16270077101099287</v>
      </c>
    </row>
    <row r="197" spans="1:14" x14ac:dyDescent="0.2">
      <c r="A197" s="5">
        <v>41671</v>
      </c>
      <c r="B197" s="2" t="s">
        <v>62</v>
      </c>
      <c r="C197" s="2" t="s">
        <v>151</v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>1887.51</v>
      </c>
      <c r="E197" s="4">
        <f>IF(SUMIFS('Monthly BSE Equity Cash'!$G:$G,'Monthly BSE Equity Cash'!$A:$A,$A197)=0,"",SUMIFS('Monthly BSE Equity Cash'!$G:$G,'Monthly BSE Equity Cash'!$A:$A,$A197))</f>
        <v>348.51650000000001</v>
      </c>
      <c r="F197" s="4">
        <f t="shared" si="27"/>
        <v>2236.0264999999999</v>
      </c>
      <c r="G197" s="7">
        <f t="shared" si="24"/>
        <v>-0.16718437006380105</v>
      </c>
      <c r="H197" s="7">
        <f t="shared" si="25"/>
        <v>-0.1729153886223701</v>
      </c>
      <c r="I197" s="7">
        <f t="shared" si="26"/>
        <v>-0.16808284992984046</v>
      </c>
      <c r="J197" s="7">
        <f t="shared" si="30"/>
        <v>-0.26162422250909523</v>
      </c>
      <c r="K197" s="7">
        <f t="shared" si="31"/>
        <v>-0.29837895969322592</v>
      </c>
      <c r="L197" s="7">
        <f t="shared" si="32"/>
        <v>-0.26760424658725968</v>
      </c>
      <c r="M197" s="7">
        <f t="shared" si="28"/>
        <v>0.84413579177169862</v>
      </c>
      <c r="N197" s="7">
        <f t="shared" si="29"/>
        <v>0.15586420822830141</v>
      </c>
    </row>
    <row r="198" spans="1:14" x14ac:dyDescent="0.2">
      <c r="A198" s="5">
        <v>41699</v>
      </c>
      <c r="B198" s="2" t="s">
        <v>62</v>
      </c>
      <c r="C198" s="2" t="s">
        <v>151</v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>2767.41</v>
      </c>
      <c r="E198" s="4">
        <f>IF(SUMIFS('Monthly BSE Equity Cash'!$G:$G,'Monthly BSE Equity Cash'!$A:$A,$A198)=0,"",SUMIFS('Monthly BSE Equity Cash'!$G:$G,'Monthly BSE Equity Cash'!$A:$A,$A198))</f>
        <v>621.245</v>
      </c>
      <c r="F198" s="4">
        <f t="shared" si="27"/>
        <v>3388.6549999999997</v>
      </c>
      <c r="G198" s="7">
        <f t="shared" si="24"/>
        <v>0.30171027008720674</v>
      </c>
      <c r="H198" s="7">
        <f t="shared" si="25"/>
        <v>0.56308026283610579</v>
      </c>
      <c r="I198" s="7">
        <f t="shared" si="26"/>
        <v>0.34287698660219967</v>
      </c>
      <c r="J198" s="7">
        <f t="shared" si="30"/>
        <v>0.46616971565713561</v>
      </c>
      <c r="K198" s="7">
        <f t="shared" si="31"/>
        <v>0.78254114224147209</v>
      </c>
      <c r="L198" s="7">
        <f t="shared" si="32"/>
        <v>0.51548069756776127</v>
      </c>
      <c r="M198" s="7">
        <f t="shared" si="28"/>
        <v>0.8166691504446455</v>
      </c>
      <c r="N198" s="7">
        <f t="shared" si="29"/>
        <v>0.18333084955535459</v>
      </c>
    </row>
    <row r="199" spans="1:14" x14ac:dyDescent="0.2">
      <c r="A199" s="5">
        <v>41730</v>
      </c>
      <c r="B199" s="2" t="s">
        <v>63</v>
      </c>
      <c r="C199" s="2" t="s">
        <v>152</v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>2727.03</v>
      </c>
      <c r="E199" s="4">
        <f>IF(SUMIFS('Monthly BSE Equity Cash'!$G:$G,'Monthly BSE Equity Cash'!$A:$A,$A199)=0,"",SUMIFS('Monthly BSE Equity Cash'!$G:$G,'Monthly BSE Equity Cash'!$A:$A,$A199))</f>
        <v>497.16390000000001</v>
      </c>
      <c r="F199" s="4">
        <f t="shared" si="27"/>
        <v>3224.1939000000002</v>
      </c>
      <c r="G199" s="7">
        <f t="shared" si="24"/>
        <v>0.29366363218041847</v>
      </c>
      <c r="H199" s="7">
        <f t="shared" si="25"/>
        <v>0.21318608434061281</v>
      </c>
      <c r="I199" s="7">
        <f t="shared" si="26"/>
        <v>0.28056495731852493</v>
      </c>
      <c r="J199" s="7">
        <f t="shared" si="30"/>
        <v>-1.4591260420392937E-2</v>
      </c>
      <c r="K199" s="7">
        <f t="shared" si="31"/>
        <v>-0.19972973625542256</v>
      </c>
      <c r="L199" s="7">
        <f t="shared" si="32"/>
        <v>-4.8532854480612397E-2</v>
      </c>
      <c r="M199" s="7">
        <f t="shared" si="28"/>
        <v>0.84580210886200113</v>
      </c>
      <c r="N199" s="7">
        <f t="shared" si="29"/>
        <v>0.15419789113799887</v>
      </c>
    </row>
    <row r="200" spans="1:14" x14ac:dyDescent="0.2">
      <c r="A200" s="5">
        <v>41760</v>
      </c>
      <c r="B200" s="2" t="s">
        <v>63</v>
      </c>
      <c r="C200" s="2" t="s">
        <v>152</v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>4360.22</v>
      </c>
      <c r="E200" s="4">
        <f>IF(SUMIFS('Monthly BSE Equity Cash'!$G:$G,'Monthly BSE Equity Cash'!$A:$A,$A200)=0,"",SUMIFS('Monthly BSE Equity Cash'!$G:$G,'Monthly BSE Equity Cash'!$A:$A,$A200))</f>
        <v>921.2192</v>
      </c>
      <c r="F200" s="4">
        <f t="shared" si="27"/>
        <v>5281.4392000000007</v>
      </c>
      <c r="G200" s="7">
        <f t="shared" si="24"/>
        <v>0.78410913614193589</v>
      </c>
      <c r="H200" s="7">
        <f t="shared" si="25"/>
        <v>0.84258322704164557</v>
      </c>
      <c r="I200" s="7">
        <f t="shared" si="26"/>
        <v>0.79403981961633163</v>
      </c>
      <c r="J200" s="7">
        <f t="shared" si="30"/>
        <v>0.59888963451080479</v>
      </c>
      <c r="K200" s="7">
        <f t="shared" si="31"/>
        <v>0.85294869559113207</v>
      </c>
      <c r="L200" s="7">
        <f t="shared" si="32"/>
        <v>0.63806500595389148</v>
      </c>
      <c r="M200" s="7">
        <f t="shared" si="28"/>
        <v>0.82557421090826899</v>
      </c>
      <c r="N200" s="7">
        <f t="shared" si="29"/>
        <v>0.17442578909173087</v>
      </c>
    </row>
    <row r="201" spans="1:14" x14ac:dyDescent="0.2">
      <c r="A201" s="5">
        <v>41791</v>
      </c>
      <c r="B201" s="2" t="s">
        <v>63</v>
      </c>
      <c r="C201" s="2" t="s">
        <v>152</v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>4216.88</v>
      </c>
      <c r="E201" s="4">
        <f>IF(SUMIFS('Monthly BSE Equity Cash'!$G:$G,'Monthly BSE Equity Cash'!$A:$A,$A201)=0,"",SUMIFS('Monthly BSE Equity Cash'!$G:$G,'Monthly BSE Equity Cash'!$A:$A,$A201))</f>
        <v>841.40629999999999</v>
      </c>
      <c r="F201" s="4">
        <f t="shared" si="27"/>
        <v>5058.2862999999998</v>
      </c>
      <c r="G201" s="7">
        <f t="shared" si="24"/>
        <v>1.0278921248028317</v>
      </c>
      <c r="H201" s="7">
        <f t="shared" si="25"/>
        <v>1.3129912217499817</v>
      </c>
      <c r="I201" s="7">
        <f t="shared" si="26"/>
        <v>1.0703409905828556</v>
      </c>
      <c r="J201" s="7">
        <f t="shared" si="30"/>
        <v>-3.2874487984551282E-2</v>
      </c>
      <c r="K201" s="7">
        <f t="shared" si="31"/>
        <v>-8.6638337542248367E-2</v>
      </c>
      <c r="L201" s="7">
        <f t="shared" si="32"/>
        <v>-4.2252289868261794E-2</v>
      </c>
      <c r="M201" s="7">
        <f t="shared" si="28"/>
        <v>0.83365783387943071</v>
      </c>
      <c r="N201" s="7">
        <f t="shared" si="29"/>
        <v>0.16634216612056935</v>
      </c>
    </row>
    <row r="202" spans="1:14" x14ac:dyDescent="0.2">
      <c r="A202" s="5">
        <v>41821</v>
      </c>
      <c r="B202" s="2" t="s">
        <v>63</v>
      </c>
      <c r="C202" s="2" t="s">
        <v>153</v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>3914.28</v>
      </c>
      <c r="E202" s="4">
        <f>IF(SUMIFS('Monthly BSE Equity Cash'!$G:$G,'Monthly BSE Equity Cash'!$A:$A,$A202)=0,"",SUMIFS('Monthly BSE Equity Cash'!$G:$G,'Monthly BSE Equity Cash'!$A:$A,$A202))</f>
        <v>751.19029999999998</v>
      </c>
      <c r="F202" s="4">
        <f t="shared" si="27"/>
        <v>4665.4703</v>
      </c>
      <c r="G202" s="7">
        <f t="shared" si="24"/>
        <v>0.6082336990016024</v>
      </c>
      <c r="H202" s="7">
        <f t="shared" si="25"/>
        <v>0.8085665817265002</v>
      </c>
      <c r="I202" s="7">
        <f t="shared" si="26"/>
        <v>0.63743733792232837</v>
      </c>
      <c r="J202" s="7">
        <f t="shared" si="30"/>
        <v>-7.1759215344045835E-2</v>
      </c>
      <c r="K202" s="7">
        <f t="shared" si="31"/>
        <v>-0.10722049502125197</v>
      </c>
      <c r="L202" s="7">
        <f t="shared" si="32"/>
        <v>-7.7657921418959552E-2</v>
      </c>
      <c r="M202" s="7">
        <f t="shared" si="28"/>
        <v>0.83898937262552076</v>
      </c>
      <c r="N202" s="7">
        <f t="shared" si="29"/>
        <v>0.16101062737447927</v>
      </c>
    </row>
    <row r="203" spans="1:14" x14ac:dyDescent="0.2">
      <c r="A203" s="5">
        <v>41852</v>
      </c>
      <c r="B203" s="2" t="s">
        <v>63</v>
      </c>
      <c r="C203" s="2" t="s">
        <v>153</v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>2947.58</v>
      </c>
      <c r="E203" s="4">
        <f>IF(SUMIFS('Monthly BSE Equity Cash'!$G:$G,'Monthly BSE Equity Cash'!$A:$A,$A203)=0,"",SUMIFS('Monthly BSE Equity Cash'!$G:$G,'Monthly BSE Equity Cash'!$A:$A,$A203))</f>
        <v>536.48</v>
      </c>
      <c r="F203" s="4">
        <f t="shared" si="27"/>
        <v>3484.06</v>
      </c>
      <c r="G203" s="7">
        <f t="shared" si="24"/>
        <v>0.1754679810813613</v>
      </c>
      <c r="H203" s="7">
        <f t="shared" si="25"/>
        <v>0.3124661779657949</v>
      </c>
      <c r="I203" s="7">
        <f t="shared" si="26"/>
        <v>0.19466980704426096</v>
      </c>
      <c r="J203" s="7">
        <f t="shared" si="30"/>
        <v>-0.24696751382118809</v>
      </c>
      <c r="K203" s="7">
        <f t="shared" si="31"/>
        <v>-0.28582677385477417</v>
      </c>
      <c r="L203" s="7">
        <f t="shared" si="32"/>
        <v>-0.25322426765850381</v>
      </c>
      <c r="M203" s="7">
        <f t="shared" si="28"/>
        <v>0.84601872528027644</v>
      </c>
      <c r="N203" s="7">
        <f t="shared" si="29"/>
        <v>0.15398127471972356</v>
      </c>
    </row>
    <row r="204" spans="1:14" x14ac:dyDescent="0.2">
      <c r="A204" s="5">
        <v>41883</v>
      </c>
      <c r="B204" s="2" t="s">
        <v>63</v>
      </c>
      <c r="C204" s="2" t="s">
        <v>153</v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>3832.61</v>
      </c>
      <c r="E204" s="4">
        <f>IF(SUMIFS('Monthly BSE Equity Cash'!$G:$G,'Monthly BSE Equity Cash'!$A:$A,$A204)=0,"",SUMIFS('Monthly BSE Equity Cash'!$G:$G,'Monthly BSE Equity Cash'!$A:$A,$A204))</f>
        <v>823.09990000000005</v>
      </c>
      <c r="F204" s="4">
        <f t="shared" si="27"/>
        <v>4655.7098999999998</v>
      </c>
      <c r="G204" s="7">
        <f t="shared" si="24"/>
        <v>0.57347604033238087</v>
      </c>
      <c r="H204" s="7">
        <f t="shared" si="25"/>
        <v>1.0629861245305898</v>
      </c>
      <c r="I204" s="7">
        <f t="shared" si="26"/>
        <v>0.6423736148091217</v>
      </c>
      <c r="J204" s="7">
        <f t="shared" si="30"/>
        <v>0.30025648158828599</v>
      </c>
      <c r="K204" s="7">
        <f t="shared" si="31"/>
        <v>0.53426017745302712</v>
      </c>
      <c r="L204" s="7">
        <f t="shared" si="32"/>
        <v>0.33628866896666532</v>
      </c>
      <c r="M204" s="7">
        <f t="shared" si="28"/>
        <v>0.82320636000108172</v>
      </c>
      <c r="N204" s="7">
        <f t="shared" si="29"/>
        <v>0.17679363999891834</v>
      </c>
    </row>
    <row r="205" spans="1:14" x14ac:dyDescent="0.2">
      <c r="A205" s="5">
        <v>41913</v>
      </c>
      <c r="B205" s="2" t="s">
        <v>63</v>
      </c>
      <c r="C205" s="2" t="s">
        <v>154</v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>2711.91</v>
      </c>
      <c r="E205" s="4">
        <f>IF(SUMIFS('Monthly BSE Equity Cash'!$G:$G,'Monthly BSE Equity Cash'!$A:$A,$A205)=0,"",SUMIFS('Monthly BSE Equity Cash'!$G:$G,'Monthly BSE Equity Cash'!$A:$A,$A205))</f>
        <v>510.7801</v>
      </c>
      <c r="F205" s="4">
        <f t="shared" si="27"/>
        <v>3222.6900999999998</v>
      </c>
      <c r="G205" s="7">
        <f t="shared" si="24"/>
        <v>0.13989861627183608</v>
      </c>
      <c r="H205" s="7">
        <f t="shared" si="25"/>
        <v>0.24524597613608123</v>
      </c>
      <c r="I205" s="7">
        <f t="shared" si="26"/>
        <v>0.1553908072025163</v>
      </c>
      <c r="J205" s="7">
        <f t="shared" si="30"/>
        <v>-0.2924116985552927</v>
      </c>
      <c r="K205" s="7">
        <f t="shared" si="31"/>
        <v>-0.37944337011825668</v>
      </c>
      <c r="L205" s="7">
        <f t="shared" si="32"/>
        <v>-0.30779834456609934</v>
      </c>
      <c r="M205" s="7">
        <f t="shared" si="28"/>
        <v>0.84150505194402647</v>
      </c>
      <c r="N205" s="7">
        <f t="shared" si="29"/>
        <v>0.1584949480559735</v>
      </c>
    </row>
    <row r="206" spans="1:14" x14ac:dyDescent="0.2">
      <c r="A206" s="5">
        <v>41944</v>
      </c>
      <c r="B206" s="2" t="s">
        <v>63</v>
      </c>
      <c r="C206" s="2" t="s">
        <v>154</v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>3296.38</v>
      </c>
      <c r="E206" s="4">
        <f>IF(SUMIFS('Monthly BSE Equity Cash'!$G:$G,'Monthly BSE Equity Cash'!$A:$A,$A206)=0,"",SUMIFS('Monthly BSE Equity Cash'!$G:$G,'Monthly BSE Equity Cash'!$A:$A,$A206))</f>
        <v>678.92079999999999</v>
      </c>
      <c r="F206" s="4">
        <f t="shared" si="27"/>
        <v>3975.3008</v>
      </c>
      <c r="G206" s="7">
        <f t="shared" ref="G206:G269" si="33">IF(OR(D206="",D194=""),"",D206/D194-1)</f>
        <v>0.51361453196315576</v>
      </c>
      <c r="H206" s="7">
        <f t="shared" ref="H206:H269" si="34">IF(OR(E206="",E194=""),"",E206/E194-1)</f>
        <v>0.66534363922731776</v>
      </c>
      <c r="I206" s="7">
        <f t="shared" ref="I206:I269" si="35">IF(OR(F206="",F194=""),"",F206/F194-1)</f>
        <v>0.53753888857151999</v>
      </c>
      <c r="J206" s="7">
        <f t="shared" si="30"/>
        <v>0.21551968907522756</v>
      </c>
      <c r="K206" s="7">
        <f t="shared" si="31"/>
        <v>0.32918412444024336</v>
      </c>
      <c r="L206" s="7">
        <f t="shared" si="32"/>
        <v>0.23353492785421737</v>
      </c>
      <c r="M206" s="7">
        <f t="shared" si="28"/>
        <v>0.82921523825316568</v>
      </c>
      <c r="N206" s="7">
        <f t="shared" si="29"/>
        <v>0.17078476174683435</v>
      </c>
    </row>
    <row r="207" spans="1:14" x14ac:dyDescent="0.2">
      <c r="A207" s="5">
        <v>41974</v>
      </c>
      <c r="B207" s="2" t="s">
        <v>63</v>
      </c>
      <c r="C207" s="2" t="s">
        <v>154</v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>3544.73</v>
      </c>
      <c r="E207" s="4">
        <f>IF(SUMIFS('Monthly BSE Equity Cash'!$G:$G,'Monthly BSE Equity Cash'!$A:$A,$A207)=0,"",SUMIFS('Monthly BSE Equity Cash'!$G:$G,'Monthly BSE Equity Cash'!$A:$A,$A207))</f>
        <v>671.35019999999997</v>
      </c>
      <c r="F207" s="4">
        <f t="shared" si="27"/>
        <v>4216.0802000000003</v>
      </c>
      <c r="G207" s="7">
        <f t="shared" si="33"/>
        <v>0.53573177019023732</v>
      </c>
      <c r="H207" s="7">
        <f t="shared" si="34"/>
        <v>0.54098936376795015</v>
      </c>
      <c r="I207" s="7">
        <f t="shared" si="35"/>
        <v>0.53656656359183552</v>
      </c>
      <c r="J207" s="7">
        <f t="shared" si="30"/>
        <v>7.5340221697741239E-2</v>
      </c>
      <c r="K207" s="7">
        <f t="shared" si="31"/>
        <v>-1.1150932479900511E-2</v>
      </c>
      <c r="L207" s="7">
        <f t="shared" si="32"/>
        <v>6.0568850538303964E-2</v>
      </c>
      <c r="M207" s="7">
        <f t="shared" si="28"/>
        <v>0.84076436686379918</v>
      </c>
      <c r="N207" s="7">
        <f t="shared" si="29"/>
        <v>0.15923563313620076</v>
      </c>
    </row>
    <row r="208" spans="1:14" x14ac:dyDescent="0.2">
      <c r="A208" s="5">
        <v>42005</v>
      </c>
      <c r="B208" s="2" t="s">
        <v>63</v>
      </c>
      <c r="C208" s="2" t="s">
        <v>155</v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>3838.72</v>
      </c>
      <c r="E208" s="4">
        <f>IF(SUMIFS('Monthly BSE Equity Cash'!$G:$G,'Monthly BSE Equity Cash'!$A:$A,$A208)=0,"",SUMIFS('Monthly BSE Equity Cash'!$G:$G,'Monthly BSE Equity Cash'!$A:$A,$A208))</f>
        <v>736.86019999999996</v>
      </c>
      <c r="F208" s="4">
        <f t="shared" si="27"/>
        <v>4575.5801999999994</v>
      </c>
      <c r="G208" s="7">
        <f t="shared" si="33"/>
        <v>0.5016703829753939</v>
      </c>
      <c r="H208" s="7">
        <f t="shared" si="34"/>
        <v>0.48342078519857057</v>
      </c>
      <c r="I208" s="7">
        <f t="shared" si="35"/>
        <v>0.49870115934646408</v>
      </c>
      <c r="J208" s="7">
        <f t="shared" si="30"/>
        <v>8.2937205372482392E-2</v>
      </c>
      <c r="K208" s="7">
        <f t="shared" si="31"/>
        <v>9.7579474914880393E-2</v>
      </c>
      <c r="L208" s="7">
        <f t="shared" si="32"/>
        <v>8.5268776433616855E-2</v>
      </c>
      <c r="M208" s="7">
        <f t="shared" si="28"/>
        <v>0.83895808448511078</v>
      </c>
      <c r="N208" s="7">
        <f t="shared" si="29"/>
        <v>0.16104191551488925</v>
      </c>
    </row>
    <row r="209" spans="1:14" x14ac:dyDescent="0.2">
      <c r="A209" s="5">
        <v>42036</v>
      </c>
      <c r="B209" s="2" t="s">
        <v>63</v>
      </c>
      <c r="C209" s="2" t="s">
        <v>155</v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>3927.18</v>
      </c>
      <c r="E209" s="4">
        <f>IF(SUMIFS('Monthly BSE Equity Cash'!$G:$G,'Monthly BSE Equity Cash'!$A:$A,$A209)=0,"",SUMIFS('Monthly BSE Equity Cash'!$G:$G,'Monthly BSE Equity Cash'!$A:$A,$A209))</f>
        <v>784.09109999999998</v>
      </c>
      <c r="F209" s="4">
        <f t="shared" si="27"/>
        <v>4711.2710999999999</v>
      </c>
      <c r="G209" s="7">
        <f t="shared" si="33"/>
        <v>1.0806141424416293</v>
      </c>
      <c r="H209" s="7">
        <f t="shared" si="34"/>
        <v>1.2497962076400975</v>
      </c>
      <c r="I209" s="7">
        <f t="shared" si="35"/>
        <v>1.1069835710802174</v>
      </c>
      <c r="J209" s="7">
        <f t="shared" si="30"/>
        <v>2.304413971323771E-2</v>
      </c>
      <c r="K209" s="7">
        <f t="shared" si="31"/>
        <v>6.4097504519853299E-2</v>
      </c>
      <c r="L209" s="7">
        <f t="shared" si="32"/>
        <v>2.9655452220026746E-2</v>
      </c>
      <c r="M209" s="7">
        <f t="shared" si="28"/>
        <v>0.83357122030188413</v>
      </c>
      <c r="N209" s="7">
        <f t="shared" si="29"/>
        <v>0.16642877969811587</v>
      </c>
    </row>
    <row r="210" spans="1:14" x14ac:dyDescent="0.2">
      <c r="A210" s="5">
        <v>42064</v>
      </c>
      <c r="B210" s="2" t="s">
        <v>63</v>
      </c>
      <c r="C210" s="2" t="s">
        <v>155</v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>3979.03</v>
      </c>
      <c r="E210" s="4">
        <f>IF(SUMIFS('Monthly BSE Equity Cash'!$G:$G,'Monthly BSE Equity Cash'!$A:$A,$A210)=0,"",SUMIFS('Monthly BSE Equity Cash'!$G:$G,'Monthly BSE Equity Cash'!$A:$A,$A210))</f>
        <v>795.88139999999999</v>
      </c>
      <c r="F210" s="4">
        <f t="shared" si="27"/>
        <v>4774.9114</v>
      </c>
      <c r="G210" s="7">
        <f t="shared" si="33"/>
        <v>0.43781730932532592</v>
      </c>
      <c r="H210" s="7">
        <f t="shared" si="34"/>
        <v>0.28110713164693468</v>
      </c>
      <c r="I210" s="7">
        <f t="shared" si="35"/>
        <v>0.40908749931757593</v>
      </c>
      <c r="J210" s="7">
        <f t="shared" si="30"/>
        <v>1.3202858030444409E-2</v>
      </c>
      <c r="K210" s="7">
        <f t="shared" si="31"/>
        <v>1.5036900686667742E-2</v>
      </c>
      <c r="L210" s="7">
        <f t="shared" si="32"/>
        <v>1.3508095511633789E-2</v>
      </c>
      <c r="M210" s="7">
        <f t="shared" si="28"/>
        <v>0.83332017427590388</v>
      </c>
      <c r="N210" s="7">
        <f t="shared" si="29"/>
        <v>0.16667982572409615</v>
      </c>
    </row>
    <row r="211" spans="1:14" x14ac:dyDescent="0.2">
      <c r="A211" s="5">
        <v>42095</v>
      </c>
      <c r="B211" s="2" t="s">
        <v>64</v>
      </c>
      <c r="C211" s="2" t="s">
        <v>156</v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>3793.49</v>
      </c>
      <c r="E211" s="4">
        <f>IF(SUMIFS('Monthly BSE Equity Cash'!$G:$G,'Monthly BSE Equity Cash'!$A:$A,$A211)=0,"",SUMIFS('Monthly BSE Equity Cash'!$G:$G,'Monthly BSE Equity Cash'!$A:$A,$A211))</f>
        <v>674.21270000000004</v>
      </c>
      <c r="F211" s="4">
        <f t="shared" si="27"/>
        <v>4467.7026999999998</v>
      </c>
      <c r="G211" s="7">
        <f t="shared" si="33"/>
        <v>0.3910701385756663</v>
      </c>
      <c r="H211" s="7">
        <f t="shared" si="34"/>
        <v>0.35611757008101352</v>
      </c>
      <c r="I211" s="7">
        <f t="shared" si="35"/>
        <v>0.38568052622393445</v>
      </c>
      <c r="J211" s="7">
        <f t="shared" si="30"/>
        <v>-4.6629454917404556E-2</v>
      </c>
      <c r="K211" s="7">
        <f t="shared" si="31"/>
        <v>-0.15287290292247058</v>
      </c>
      <c r="L211" s="7">
        <f t="shared" si="32"/>
        <v>-6.4338094315215977E-2</v>
      </c>
      <c r="M211" s="7">
        <f t="shared" si="28"/>
        <v>0.84909186101393896</v>
      </c>
      <c r="N211" s="7">
        <f t="shared" si="29"/>
        <v>0.15090813898606101</v>
      </c>
    </row>
    <row r="212" spans="1:14" x14ac:dyDescent="0.2">
      <c r="A212" s="5">
        <v>42125</v>
      </c>
      <c r="B212" s="2" t="s">
        <v>64</v>
      </c>
      <c r="C212" s="2" t="s">
        <v>156</v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>3619.35</v>
      </c>
      <c r="E212" s="4">
        <f>IF(SUMIFS('Monthly BSE Equity Cash'!$G:$G,'Monthly BSE Equity Cash'!$A:$A,$A212)=0,"",SUMIFS('Monthly BSE Equity Cash'!$G:$G,'Monthly BSE Equity Cash'!$A:$A,$A212))</f>
        <v>606.04610000000002</v>
      </c>
      <c r="F212" s="4">
        <f t="shared" si="27"/>
        <v>4225.3960999999999</v>
      </c>
      <c r="G212" s="7">
        <f t="shared" si="33"/>
        <v>-0.16991573819669659</v>
      </c>
      <c r="H212" s="7">
        <f t="shared" si="34"/>
        <v>-0.34212606511023647</v>
      </c>
      <c r="I212" s="7">
        <f t="shared" si="35"/>
        <v>-0.19995366035833573</v>
      </c>
      <c r="J212" s="7">
        <f t="shared" si="30"/>
        <v>-4.5904958231074766E-2</v>
      </c>
      <c r="K212" s="7">
        <f t="shared" si="31"/>
        <v>-0.10110548199403546</v>
      </c>
      <c r="L212" s="7">
        <f t="shared" si="32"/>
        <v>-5.4235166543199043E-2</v>
      </c>
      <c r="M212" s="7">
        <f t="shared" si="28"/>
        <v>0.85657058281470932</v>
      </c>
      <c r="N212" s="7">
        <f t="shared" si="29"/>
        <v>0.14342941718529065</v>
      </c>
    </row>
    <row r="213" spans="1:14" x14ac:dyDescent="0.2">
      <c r="A213" s="5">
        <v>42156</v>
      </c>
      <c r="B213" s="2" t="s">
        <v>64</v>
      </c>
      <c r="C213" s="2" t="s">
        <v>156</v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>3332.89</v>
      </c>
      <c r="E213" s="4">
        <f>IF(SUMIFS('Monthly BSE Equity Cash'!$G:$G,'Monthly BSE Equity Cash'!$A:$A,$A213)=0,"",SUMIFS('Monthly BSE Equity Cash'!$G:$G,'Monthly BSE Equity Cash'!$A:$A,$A213))</f>
        <v>603.70219999999995</v>
      </c>
      <c r="F213" s="4">
        <f t="shared" si="27"/>
        <v>3936.5922</v>
      </c>
      <c r="G213" s="7">
        <f t="shared" si="33"/>
        <v>-0.20963129138130565</v>
      </c>
      <c r="H213" s="7">
        <f t="shared" si="34"/>
        <v>-0.28250810577482011</v>
      </c>
      <c r="I213" s="7">
        <f t="shared" si="35"/>
        <v>-0.22175377854748946</v>
      </c>
      <c r="J213" s="7">
        <f t="shared" si="30"/>
        <v>-7.9146808128531365E-2</v>
      </c>
      <c r="K213" s="7">
        <f t="shared" si="31"/>
        <v>-3.8675275692724442E-3</v>
      </c>
      <c r="L213" s="7">
        <f t="shared" si="32"/>
        <v>-6.8349544791788897E-2</v>
      </c>
      <c r="M213" s="7">
        <f t="shared" si="28"/>
        <v>0.84664344963138416</v>
      </c>
      <c r="N213" s="7">
        <f t="shared" si="29"/>
        <v>0.15335655036861576</v>
      </c>
    </row>
    <row r="214" spans="1:14" x14ac:dyDescent="0.2">
      <c r="A214" s="5">
        <v>42186</v>
      </c>
      <c r="B214" s="2" t="s">
        <v>64</v>
      </c>
      <c r="C214" s="2" t="s">
        <v>157</v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>3834.84</v>
      </c>
      <c r="E214" s="4">
        <f>IF(SUMIFS('Monthly BSE Equity Cash'!$G:$G,'Monthly BSE Equity Cash'!$A:$A,$A214)=0,"",SUMIFS('Monthly BSE Equity Cash'!$G:$G,'Monthly BSE Equity Cash'!$A:$A,$A214))</f>
        <v>702.5367</v>
      </c>
      <c r="F214" s="4">
        <f t="shared" si="27"/>
        <v>4537.3766999999998</v>
      </c>
      <c r="G214" s="7">
        <f t="shared" si="33"/>
        <v>-2.0294920138569594E-2</v>
      </c>
      <c r="H214" s="7">
        <f t="shared" si="34"/>
        <v>-6.4768674462383213E-2</v>
      </c>
      <c r="I214" s="7">
        <f t="shared" si="35"/>
        <v>-2.7455667223945324E-2</v>
      </c>
      <c r="J214" s="7">
        <f t="shared" si="30"/>
        <v>0.15060503046905249</v>
      </c>
      <c r="K214" s="7">
        <f t="shared" si="31"/>
        <v>0.1637139967354766</v>
      </c>
      <c r="L214" s="7">
        <f t="shared" si="32"/>
        <v>0.15261537631456967</v>
      </c>
      <c r="M214" s="7">
        <f t="shared" si="28"/>
        <v>0.84516676783746003</v>
      </c>
      <c r="N214" s="7">
        <f t="shared" si="29"/>
        <v>0.15483323216254008</v>
      </c>
    </row>
    <row r="215" spans="1:14" x14ac:dyDescent="0.2">
      <c r="A215" s="5">
        <v>42217</v>
      </c>
      <c r="B215" s="2" t="s">
        <v>64</v>
      </c>
      <c r="C215" s="2" t="s">
        <v>157</v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>4199.32</v>
      </c>
      <c r="E215" s="4">
        <f>IF(SUMIFS('Monthly BSE Equity Cash'!$G:$G,'Monthly BSE Equity Cash'!$A:$A,$A215)=0,"",SUMIFS('Monthly BSE Equity Cash'!$G:$G,'Monthly BSE Equity Cash'!$A:$A,$A215))</f>
        <v>738.21680000000003</v>
      </c>
      <c r="F215" s="4">
        <f t="shared" si="27"/>
        <v>4937.5367999999999</v>
      </c>
      <c r="G215" s="7">
        <f t="shared" si="33"/>
        <v>0.42466701497499648</v>
      </c>
      <c r="H215" s="7">
        <f t="shared" si="34"/>
        <v>0.37603787652848197</v>
      </c>
      <c r="I215" s="7">
        <f t="shared" si="35"/>
        <v>0.41717903824848013</v>
      </c>
      <c r="J215" s="7">
        <f t="shared" si="30"/>
        <v>9.5044382555725893E-2</v>
      </c>
      <c r="K215" s="7">
        <f t="shared" si="31"/>
        <v>5.078752469443959E-2</v>
      </c>
      <c r="L215" s="7">
        <f t="shared" si="32"/>
        <v>8.8191950207704872E-2</v>
      </c>
      <c r="M215" s="7">
        <f t="shared" si="28"/>
        <v>0.850488851040057</v>
      </c>
      <c r="N215" s="7">
        <f t="shared" si="29"/>
        <v>0.14951114895994294</v>
      </c>
    </row>
    <row r="216" spans="1:14" x14ac:dyDescent="0.2">
      <c r="A216" s="5">
        <v>42248</v>
      </c>
      <c r="B216" s="2" t="s">
        <v>64</v>
      </c>
      <c r="C216" s="2" t="s">
        <v>157</v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>3284.12</v>
      </c>
      <c r="E216" s="4">
        <f>IF(SUMIFS('Monthly BSE Equity Cash'!$G:$G,'Monthly BSE Equity Cash'!$A:$A,$A216)=0,"",SUMIFS('Monthly BSE Equity Cash'!$G:$G,'Monthly BSE Equity Cash'!$A:$A,$A216))</f>
        <v>544.26340000000005</v>
      </c>
      <c r="F216" s="4">
        <f t="shared" si="27"/>
        <v>3828.3833999999997</v>
      </c>
      <c r="G216" s="7">
        <f t="shared" si="33"/>
        <v>-0.14311135231604577</v>
      </c>
      <c r="H216" s="7">
        <f t="shared" si="34"/>
        <v>-0.33876386086306165</v>
      </c>
      <c r="I216" s="7">
        <f t="shared" si="35"/>
        <v>-0.17770147147699222</v>
      </c>
      <c r="J216" s="7">
        <f t="shared" si="30"/>
        <v>-0.2179400474362515</v>
      </c>
      <c r="K216" s="7">
        <f t="shared" si="31"/>
        <v>-0.26273230303076278</v>
      </c>
      <c r="L216" s="7">
        <f t="shared" si="32"/>
        <v>-0.22463698903469442</v>
      </c>
      <c r="M216" s="7">
        <f t="shared" si="28"/>
        <v>0.8578346672383963</v>
      </c>
      <c r="N216" s="7">
        <f t="shared" si="29"/>
        <v>0.14216533276160379</v>
      </c>
    </row>
    <row r="217" spans="1:14" x14ac:dyDescent="0.2">
      <c r="A217" s="5">
        <v>42278</v>
      </c>
      <c r="B217" s="2" t="s">
        <v>64</v>
      </c>
      <c r="C217" s="2" t="s">
        <v>158</v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>3338.01</v>
      </c>
      <c r="E217" s="4">
        <f>IF(SUMIFS('Monthly BSE Equity Cash'!$G:$G,'Monthly BSE Equity Cash'!$A:$A,$A217)=0,"",SUMIFS('Monthly BSE Equity Cash'!$G:$G,'Monthly BSE Equity Cash'!$A:$A,$A217))</f>
        <v>581.42830000000004</v>
      </c>
      <c r="F217" s="4">
        <f t="shared" si="27"/>
        <v>3919.4383000000003</v>
      </c>
      <c r="G217" s="7">
        <f t="shared" si="33"/>
        <v>0.23087049348982824</v>
      </c>
      <c r="H217" s="7">
        <f t="shared" si="34"/>
        <v>0.1383143156908424</v>
      </c>
      <c r="I217" s="7">
        <f t="shared" si="35"/>
        <v>0.21620080689731869</v>
      </c>
      <c r="J217" s="7">
        <f t="shared" si="30"/>
        <v>1.6409266409266543E-2</v>
      </c>
      <c r="K217" s="7">
        <f t="shared" si="31"/>
        <v>6.8284768000199891E-2</v>
      </c>
      <c r="L217" s="7">
        <f t="shared" si="32"/>
        <v>2.3784164355116655E-2</v>
      </c>
      <c r="M217" s="7">
        <f t="shared" si="28"/>
        <v>0.85165519763380382</v>
      </c>
      <c r="N217" s="7">
        <f t="shared" si="29"/>
        <v>0.14834480236619621</v>
      </c>
    </row>
    <row r="218" spans="1:14" x14ac:dyDescent="0.2">
      <c r="A218" s="5">
        <v>42309</v>
      </c>
      <c r="B218" s="2" t="s">
        <v>64</v>
      </c>
      <c r="C218" s="2" t="s">
        <v>158</v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>3071.5</v>
      </c>
      <c r="E218" s="4">
        <f>IF(SUMIFS('Monthly BSE Equity Cash'!$G:$G,'Monthly BSE Equity Cash'!$A:$A,$A218)=0,"",SUMIFS('Monthly BSE Equity Cash'!$G:$G,'Monthly BSE Equity Cash'!$A:$A,$A218))</f>
        <v>507.99189999999999</v>
      </c>
      <c r="F218" s="4">
        <f t="shared" si="27"/>
        <v>3579.4919</v>
      </c>
      <c r="G218" s="7">
        <f t="shared" si="33"/>
        <v>-6.8220290136452699E-2</v>
      </c>
      <c r="H218" s="7">
        <f t="shared" si="34"/>
        <v>-0.25176559622271111</v>
      </c>
      <c r="I218" s="7">
        <f t="shared" si="35"/>
        <v>-9.9567031506144099E-2</v>
      </c>
      <c r="J218" s="7">
        <f t="shared" si="30"/>
        <v>-7.984098310070975E-2</v>
      </c>
      <c r="K218" s="7">
        <f t="shared" si="31"/>
        <v>-0.12630344962568907</v>
      </c>
      <c r="L218" s="7">
        <f t="shared" si="32"/>
        <v>-8.6733448514803801E-2</v>
      </c>
      <c r="M218" s="7">
        <f t="shared" si="28"/>
        <v>0.85808267927635207</v>
      </c>
      <c r="N218" s="7">
        <f t="shared" si="29"/>
        <v>0.14191732072364796</v>
      </c>
    </row>
    <row r="219" spans="1:14" x14ac:dyDescent="0.2">
      <c r="A219" s="5">
        <v>42339</v>
      </c>
      <c r="B219" s="2" t="s">
        <v>64</v>
      </c>
      <c r="C219" s="2" t="s">
        <v>158</v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>3349.54</v>
      </c>
      <c r="E219" s="4">
        <f>IF(SUMIFS('Monthly BSE Equity Cash'!$G:$G,'Monthly BSE Equity Cash'!$A:$A,$A219)=0,"",SUMIFS('Monthly BSE Equity Cash'!$G:$G,'Monthly BSE Equity Cash'!$A:$A,$A219))</f>
        <v>617.41369999999995</v>
      </c>
      <c r="F219" s="4">
        <f t="shared" si="27"/>
        <v>3966.9537</v>
      </c>
      <c r="G219" s="7">
        <f t="shared" si="33"/>
        <v>-5.5064842738374975E-2</v>
      </c>
      <c r="H219" s="7">
        <f t="shared" si="34"/>
        <v>-8.0340335044213895E-2</v>
      </c>
      <c r="I219" s="7">
        <f t="shared" si="35"/>
        <v>-5.9089601758524513E-2</v>
      </c>
      <c r="J219" s="7">
        <f t="shared" si="30"/>
        <v>9.0522545987302694E-2</v>
      </c>
      <c r="K219" s="7">
        <f t="shared" si="31"/>
        <v>0.21540067863286794</v>
      </c>
      <c r="L219" s="7">
        <f t="shared" si="32"/>
        <v>0.1082449159893335</v>
      </c>
      <c r="M219" s="7">
        <f t="shared" si="28"/>
        <v>0.84436074966037544</v>
      </c>
      <c r="N219" s="7">
        <f t="shared" si="29"/>
        <v>0.15563925033962456</v>
      </c>
    </row>
    <row r="220" spans="1:14" x14ac:dyDescent="0.2">
      <c r="A220" s="5">
        <v>42370</v>
      </c>
      <c r="B220" s="2" t="s">
        <v>64</v>
      </c>
      <c r="C220" s="2" t="s">
        <v>159</v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>3520.84</v>
      </c>
      <c r="E220" s="4">
        <f>IF(SUMIFS('Monthly BSE Equity Cash'!$G:$G,'Monthly BSE Equity Cash'!$A:$A,$A220)=0,"",SUMIFS('Monthly BSE Equity Cash'!$G:$G,'Monthly BSE Equity Cash'!$A:$A,$A220))</f>
        <v>635.76260000000002</v>
      </c>
      <c r="F220" s="4">
        <f t="shared" si="27"/>
        <v>4156.6026000000002</v>
      </c>
      <c r="G220" s="7">
        <f t="shared" si="33"/>
        <v>-8.2808852950983614E-2</v>
      </c>
      <c r="H220" s="7">
        <f t="shared" si="34"/>
        <v>-0.13720051646160281</v>
      </c>
      <c r="I220" s="7">
        <f t="shared" si="35"/>
        <v>-9.1568190630774926E-2</v>
      </c>
      <c r="J220" s="7">
        <f t="shared" si="30"/>
        <v>5.1141350752640813E-2</v>
      </c>
      <c r="K220" s="7">
        <f t="shared" si="31"/>
        <v>2.9718971250557003E-2</v>
      </c>
      <c r="L220" s="7">
        <f t="shared" si="32"/>
        <v>4.7807187666445428E-2</v>
      </c>
      <c r="M220" s="7">
        <f t="shared" si="28"/>
        <v>0.84704753829485646</v>
      </c>
      <c r="N220" s="7">
        <f t="shared" si="29"/>
        <v>0.15295246170514351</v>
      </c>
    </row>
    <row r="221" spans="1:14" x14ac:dyDescent="0.2">
      <c r="A221" s="5">
        <v>42401</v>
      </c>
      <c r="B221" s="2" t="s">
        <v>64</v>
      </c>
      <c r="C221" s="2" t="s">
        <v>159</v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>3456.46</v>
      </c>
      <c r="E221" s="4">
        <f>IF(SUMIFS('Monthly BSE Equity Cash'!$G:$G,'Monthly BSE Equity Cash'!$A:$A,$A221)=0,"",SUMIFS('Monthly BSE Equity Cash'!$G:$G,'Monthly BSE Equity Cash'!$A:$A,$A221))</f>
        <v>571.58349999999996</v>
      </c>
      <c r="F221" s="4">
        <f t="shared" si="27"/>
        <v>4028.0434999999998</v>
      </c>
      <c r="G221" s="7">
        <f t="shared" si="33"/>
        <v>-0.11986208933636855</v>
      </c>
      <c r="H221" s="7">
        <f t="shared" si="34"/>
        <v>-0.27102411951876515</v>
      </c>
      <c r="I221" s="7">
        <f t="shared" si="35"/>
        <v>-0.14501980155631466</v>
      </c>
      <c r="J221" s="7">
        <f t="shared" si="30"/>
        <v>-1.8285409163722344E-2</v>
      </c>
      <c r="K221" s="7">
        <f t="shared" si="31"/>
        <v>-0.1009482155760657</v>
      </c>
      <c r="L221" s="7">
        <f t="shared" si="32"/>
        <v>-3.0928888895946027E-2</v>
      </c>
      <c r="M221" s="7">
        <f t="shared" si="28"/>
        <v>0.85809897534621959</v>
      </c>
      <c r="N221" s="7">
        <f t="shared" si="29"/>
        <v>0.14190102465378043</v>
      </c>
    </row>
    <row r="222" spans="1:14" x14ac:dyDescent="0.2">
      <c r="A222" s="5">
        <v>42430</v>
      </c>
      <c r="B222" s="2" t="s">
        <v>64</v>
      </c>
      <c r="C222" s="2" t="s">
        <v>159</v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>3569.47</v>
      </c>
      <c r="E222" s="4">
        <f>IF(SUMIFS('Monthly BSE Equity Cash'!$G:$G,'Monthly BSE Equity Cash'!$A:$A,$A222)=0,"",SUMIFS('Monthly BSE Equity Cash'!$G:$G,'Monthly BSE Equity Cash'!$A:$A,$A222))</f>
        <v>617.73410000000001</v>
      </c>
      <c r="F222" s="4">
        <f t="shared" si="27"/>
        <v>4187.2040999999999</v>
      </c>
      <c r="G222" s="7">
        <f t="shared" si="33"/>
        <v>-0.10292960847241672</v>
      </c>
      <c r="H222" s="7">
        <f t="shared" si="34"/>
        <v>-0.22383649121590221</v>
      </c>
      <c r="I222" s="7">
        <f t="shared" si="35"/>
        <v>-0.12308234661694462</v>
      </c>
      <c r="J222" s="7">
        <f t="shared" si="30"/>
        <v>3.2695300972671371E-2</v>
      </c>
      <c r="K222" s="7">
        <f t="shared" si="31"/>
        <v>8.0741658917726111E-2</v>
      </c>
      <c r="L222" s="7">
        <f t="shared" si="32"/>
        <v>3.9513128395957109E-2</v>
      </c>
      <c r="M222" s="7">
        <f t="shared" si="28"/>
        <v>0.85247098415861788</v>
      </c>
      <c r="N222" s="7">
        <f t="shared" si="29"/>
        <v>0.14752901584138209</v>
      </c>
    </row>
    <row r="223" spans="1:14" x14ac:dyDescent="0.2">
      <c r="A223" s="5">
        <v>42461</v>
      </c>
      <c r="B223" s="2" t="s">
        <v>65</v>
      </c>
      <c r="C223" s="2" t="s">
        <v>160</v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>3094.8</v>
      </c>
      <c r="E223" s="4">
        <f>IF(SUMIFS('Monthly BSE Equity Cash'!$G:$G,'Monthly BSE Equity Cash'!$A:$A,$A223)=0,"",SUMIFS('Monthly BSE Equity Cash'!$G:$G,'Monthly BSE Equity Cash'!$A:$A,$A223))</f>
        <v>491.74079999999998</v>
      </c>
      <c r="F223" s="4">
        <f t="shared" si="27"/>
        <v>3586.5408000000002</v>
      </c>
      <c r="G223" s="7">
        <f t="shared" si="33"/>
        <v>-0.18418132115808916</v>
      </c>
      <c r="H223" s="7">
        <f t="shared" si="34"/>
        <v>-0.27064441236422876</v>
      </c>
      <c r="I223" s="7">
        <f t="shared" si="35"/>
        <v>-0.19722930534298977</v>
      </c>
      <c r="J223" s="7">
        <f t="shared" si="30"/>
        <v>-0.13298052652074388</v>
      </c>
      <c r="K223" s="7">
        <f t="shared" si="31"/>
        <v>-0.20396040950305327</v>
      </c>
      <c r="L223" s="7">
        <f t="shared" si="32"/>
        <v>-0.14345211880166042</v>
      </c>
      <c r="M223" s="7">
        <f t="shared" si="28"/>
        <v>0.86289273497181462</v>
      </c>
      <c r="N223" s="7">
        <f t="shared" si="29"/>
        <v>0.13710726502818535</v>
      </c>
    </row>
    <row r="224" spans="1:14" x14ac:dyDescent="0.2">
      <c r="A224" s="5">
        <v>42491</v>
      </c>
      <c r="B224" s="2" t="s">
        <v>65</v>
      </c>
      <c r="C224" s="2" t="s">
        <v>160</v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>3876.48</v>
      </c>
      <c r="E224" s="4">
        <f>IF(SUMIFS('Monthly BSE Equity Cash'!$G:$G,'Monthly BSE Equity Cash'!$A:$A,$A224)=0,"",SUMIFS('Monthly BSE Equity Cash'!$G:$G,'Monthly BSE Equity Cash'!$A:$A,$A224))</f>
        <v>595.20690000000002</v>
      </c>
      <c r="F224" s="4">
        <f t="shared" si="27"/>
        <v>4471.6868999999997</v>
      </c>
      <c r="G224" s="7">
        <f t="shared" si="33"/>
        <v>7.1043143105806283E-2</v>
      </c>
      <c r="H224" s="7">
        <f t="shared" si="34"/>
        <v>-1.788510808006194E-2</v>
      </c>
      <c r="I224" s="7">
        <f t="shared" si="35"/>
        <v>5.828821586691002E-2</v>
      </c>
      <c r="J224" s="7">
        <f t="shared" si="30"/>
        <v>0.25257851880573856</v>
      </c>
      <c r="K224" s="7">
        <f t="shared" si="31"/>
        <v>0.21040780020693828</v>
      </c>
      <c r="L224" s="7">
        <f t="shared" si="32"/>
        <v>0.24679660691438365</v>
      </c>
      <c r="M224" s="7">
        <f t="shared" si="28"/>
        <v>0.86689432571855607</v>
      </c>
      <c r="N224" s="7">
        <f t="shared" si="29"/>
        <v>0.13310567428144401</v>
      </c>
    </row>
    <row r="225" spans="1:14" x14ac:dyDescent="0.2">
      <c r="A225" s="5">
        <v>42522</v>
      </c>
      <c r="B225" s="2" t="s">
        <v>65</v>
      </c>
      <c r="C225" s="2" t="s">
        <v>160</v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>3834.84</v>
      </c>
      <c r="E225" s="4">
        <f>IF(SUMIFS('Monthly BSE Equity Cash'!$G:$G,'Monthly BSE Equity Cash'!$A:$A,$A225)=0,"",SUMIFS('Monthly BSE Equity Cash'!$G:$G,'Monthly BSE Equity Cash'!$A:$A,$A225))</f>
        <v>607.39949999999999</v>
      </c>
      <c r="F225" s="4">
        <f t="shared" si="27"/>
        <v>4442.2394999999997</v>
      </c>
      <c r="G225" s="7">
        <f t="shared" si="33"/>
        <v>0.15060503046905249</v>
      </c>
      <c r="H225" s="7">
        <f t="shared" si="34"/>
        <v>6.1243772177739242E-3</v>
      </c>
      <c r="I225" s="7">
        <f t="shared" si="35"/>
        <v>0.12844797589143209</v>
      </c>
      <c r="J225" s="7">
        <f t="shared" si="30"/>
        <v>-1.0741703813769155E-2</v>
      </c>
      <c r="K225" s="7">
        <f t="shared" si="31"/>
        <v>2.0484641559094685E-2</v>
      </c>
      <c r="L225" s="7">
        <f t="shared" si="32"/>
        <v>-6.5853000575688547E-3</v>
      </c>
      <c r="M225" s="7">
        <f t="shared" si="28"/>
        <v>0.86326727768730172</v>
      </c>
      <c r="N225" s="7">
        <f t="shared" si="29"/>
        <v>0.13673272231269837</v>
      </c>
    </row>
    <row r="226" spans="1:14" x14ac:dyDescent="0.2">
      <c r="A226" s="5">
        <v>42552</v>
      </c>
      <c r="B226" s="2" t="s">
        <v>65</v>
      </c>
      <c r="C226" s="2" t="s">
        <v>161</v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>4073.32</v>
      </c>
      <c r="E226" s="4">
        <f>IF(SUMIFS('Monthly BSE Equity Cash'!$G:$G,'Monthly BSE Equity Cash'!$A:$A,$A226)=0,"",SUMIFS('Monthly BSE Equity Cash'!$G:$G,'Monthly BSE Equity Cash'!$A:$A,$A226))</f>
        <v>680.32529999999997</v>
      </c>
      <c r="F226" s="4">
        <f t="shared" si="27"/>
        <v>4753.6453000000001</v>
      </c>
      <c r="G226" s="7">
        <f t="shared" si="33"/>
        <v>6.2187731430776827E-2</v>
      </c>
      <c r="H226" s="7">
        <f t="shared" si="34"/>
        <v>-3.1615999562727537E-2</v>
      </c>
      <c r="I226" s="7">
        <f t="shared" si="35"/>
        <v>4.7663796572147143E-2</v>
      </c>
      <c r="J226" s="7">
        <f t="shared" si="30"/>
        <v>6.2187731430776827E-2</v>
      </c>
      <c r="K226" s="7">
        <f t="shared" si="31"/>
        <v>0.12006233129925192</v>
      </c>
      <c r="L226" s="7">
        <f t="shared" si="32"/>
        <v>7.0101083023551558E-2</v>
      </c>
      <c r="M226" s="7">
        <f t="shared" si="28"/>
        <v>0.85688345321010806</v>
      </c>
      <c r="N226" s="7">
        <f t="shared" si="29"/>
        <v>0.14311654678989194</v>
      </c>
    </row>
    <row r="227" spans="1:14" x14ac:dyDescent="0.2">
      <c r="A227" s="5">
        <v>42583</v>
      </c>
      <c r="B227" s="2" t="s">
        <v>65</v>
      </c>
      <c r="C227" s="2" t="s">
        <v>161</v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>4706.26</v>
      </c>
      <c r="E227" s="4">
        <f>IF(SUMIFS('Monthly BSE Equity Cash'!$G:$G,'Monthly BSE Equity Cash'!$A:$A,$A227)=0,"",SUMIFS('Monthly BSE Equity Cash'!$G:$G,'Monthly BSE Equity Cash'!$A:$A,$A227))</f>
        <v>740.83920000000001</v>
      </c>
      <c r="F227" s="4">
        <f t="shared" si="27"/>
        <v>5447.0992000000006</v>
      </c>
      <c r="G227" s="7">
        <f t="shared" si="33"/>
        <v>0.12071954506920179</v>
      </c>
      <c r="H227" s="7">
        <f t="shared" si="34"/>
        <v>3.5523439726647954E-3</v>
      </c>
      <c r="I227" s="7">
        <f t="shared" si="35"/>
        <v>0.10320174221283795</v>
      </c>
      <c r="J227" s="7">
        <f t="shared" si="30"/>
        <v>0.15538676067679447</v>
      </c>
      <c r="K227" s="7">
        <f t="shared" si="31"/>
        <v>8.8948478029554412E-2</v>
      </c>
      <c r="L227" s="7">
        <f t="shared" si="32"/>
        <v>0.14587834308967063</v>
      </c>
      <c r="M227" s="7">
        <f t="shared" si="28"/>
        <v>0.86399381160526689</v>
      </c>
      <c r="N227" s="7">
        <f t="shared" si="29"/>
        <v>0.13600618839473311</v>
      </c>
    </row>
    <row r="228" spans="1:14" x14ac:dyDescent="0.2">
      <c r="A228" s="5">
        <v>42614</v>
      </c>
      <c r="B228" s="2" t="s">
        <v>65</v>
      </c>
      <c r="C228" s="2" t="s">
        <v>161</v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>4589.2</v>
      </c>
      <c r="E228" s="4">
        <f>IF(SUMIFS('Monthly BSE Equity Cash'!$G:$G,'Monthly BSE Equity Cash'!$A:$A,$A228)=0,"",SUMIFS('Monthly BSE Equity Cash'!$G:$G,'Monthly BSE Equity Cash'!$A:$A,$A228))</f>
        <v>759.15290000000005</v>
      </c>
      <c r="F228" s="4">
        <f t="shared" si="27"/>
        <v>5348.3528999999999</v>
      </c>
      <c r="G228" s="7">
        <f t="shared" si="33"/>
        <v>0.39739108193366857</v>
      </c>
      <c r="H228" s="7">
        <f t="shared" si="34"/>
        <v>0.39482629182855211</v>
      </c>
      <c r="I228" s="7">
        <f t="shared" si="35"/>
        <v>0.39702645769491118</v>
      </c>
      <c r="J228" s="7">
        <f t="shared" si="30"/>
        <v>-2.4873253921372851E-2</v>
      </c>
      <c r="K228" s="7">
        <f t="shared" si="31"/>
        <v>2.4720209189794451E-2</v>
      </c>
      <c r="L228" s="7">
        <f t="shared" si="32"/>
        <v>-1.8128236034328227E-2</v>
      </c>
      <c r="M228" s="7">
        <f t="shared" si="28"/>
        <v>0.85805856229120558</v>
      </c>
      <c r="N228" s="7">
        <f t="shared" si="29"/>
        <v>0.14194143770879444</v>
      </c>
    </row>
    <row r="229" spans="1:14" x14ac:dyDescent="0.2">
      <c r="A229" s="5">
        <v>42644</v>
      </c>
      <c r="B229" s="2" t="s">
        <v>65</v>
      </c>
      <c r="C229" s="2" t="s">
        <v>162</v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>3851.63</v>
      </c>
      <c r="E229" s="4">
        <f>IF(SUMIFS('Monthly BSE Equity Cash'!$G:$G,'Monthly BSE Equity Cash'!$A:$A,$A229)=0,"",SUMIFS('Monthly BSE Equity Cash'!$G:$G,'Monthly BSE Equity Cash'!$A:$A,$A229))</f>
        <v>645.09910000000002</v>
      </c>
      <c r="F229" s="4">
        <f t="shared" si="27"/>
        <v>4496.7291000000005</v>
      </c>
      <c r="G229" s="7">
        <f t="shared" si="33"/>
        <v>0.15387012022132951</v>
      </c>
      <c r="H229" s="7">
        <f t="shared" si="34"/>
        <v>0.10950756954898822</v>
      </c>
      <c r="I229" s="7">
        <f t="shared" si="35"/>
        <v>0.14728916640938072</v>
      </c>
      <c r="J229" s="7">
        <f t="shared" si="30"/>
        <v>-0.16071864377233502</v>
      </c>
      <c r="K229" s="7">
        <f t="shared" si="31"/>
        <v>-0.15023824581319523</v>
      </c>
      <c r="L229" s="7">
        <f t="shared" si="32"/>
        <v>-0.15923104101825436</v>
      </c>
      <c r="M229" s="7">
        <f t="shared" si="28"/>
        <v>0.85654036842023673</v>
      </c>
      <c r="N229" s="7">
        <f t="shared" si="29"/>
        <v>0.14345963157976316</v>
      </c>
    </row>
    <row r="230" spans="1:14" x14ac:dyDescent="0.2">
      <c r="A230" s="5">
        <v>42675</v>
      </c>
      <c r="B230" s="2" t="s">
        <v>65</v>
      </c>
      <c r="C230" s="2" t="s">
        <v>162</v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>4728.5600000000004</v>
      </c>
      <c r="E230" s="4">
        <f>IF(SUMIFS('Monthly BSE Equity Cash'!$G:$G,'Monthly BSE Equity Cash'!$A:$A,$A230)=0,"",SUMIFS('Monthly BSE Equity Cash'!$G:$G,'Monthly BSE Equity Cash'!$A:$A,$A230))</f>
        <v>701.78089999999997</v>
      </c>
      <c r="F230" s="4">
        <f t="shared" si="27"/>
        <v>5430.3409000000001</v>
      </c>
      <c r="G230" s="7">
        <f t="shared" si="33"/>
        <v>0.53949536057300995</v>
      </c>
      <c r="H230" s="7">
        <f t="shared" si="34"/>
        <v>0.38148049211020885</v>
      </c>
      <c r="I230" s="7">
        <f t="shared" si="35"/>
        <v>0.51707031380626955</v>
      </c>
      <c r="J230" s="7">
        <f t="shared" si="30"/>
        <v>0.22767763258672313</v>
      </c>
      <c r="K230" s="7">
        <f t="shared" si="31"/>
        <v>8.7865259771715554E-2</v>
      </c>
      <c r="L230" s="7">
        <f t="shared" si="32"/>
        <v>0.20762020109238954</v>
      </c>
      <c r="M230" s="7">
        <f t="shared" si="28"/>
        <v>0.87076669532846462</v>
      </c>
      <c r="N230" s="7">
        <f t="shared" si="29"/>
        <v>0.12923330467153543</v>
      </c>
    </row>
    <row r="231" spans="1:14" x14ac:dyDescent="0.2">
      <c r="A231" s="5">
        <v>42705</v>
      </c>
      <c r="B231" s="2" t="s">
        <v>65</v>
      </c>
      <c r="C231" s="2" t="s">
        <v>162</v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>3427.47</v>
      </c>
      <c r="E231" s="4">
        <f>IF(SUMIFS('Monthly BSE Equity Cash'!$G:$G,'Monthly BSE Equity Cash'!$A:$A,$A231)=0,"",SUMIFS('Monthly BSE Equity Cash'!$G:$G,'Monthly BSE Equity Cash'!$A:$A,$A231))</f>
        <v>539.05399999999997</v>
      </c>
      <c r="F231" s="4">
        <f t="shared" si="27"/>
        <v>3966.5239999999999</v>
      </c>
      <c r="G231" s="7">
        <f t="shared" si="33"/>
        <v>2.3265881285191359E-2</v>
      </c>
      <c r="H231" s="7">
        <f t="shared" si="34"/>
        <v>-0.12691603701051657</v>
      </c>
      <c r="I231" s="7">
        <f t="shared" si="35"/>
        <v>-1.0831989291937294E-4</v>
      </c>
      <c r="J231" s="7">
        <f t="shared" si="30"/>
        <v>-0.27515564992302111</v>
      </c>
      <c r="K231" s="7">
        <f t="shared" si="31"/>
        <v>-0.23187707160454207</v>
      </c>
      <c r="L231" s="7">
        <f t="shared" si="32"/>
        <v>-0.26956261622543809</v>
      </c>
      <c r="M231" s="7">
        <f t="shared" si="28"/>
        <v>0.86409914575078828</v>
      </c>
      <c r="N231" s="7">
        <f t="shared" si="29"/>
        <v>0.13590085424921164</v>
      </c>
    </row>
    <row r="232" spans="1:14" x14ac:dyDescent="0.2">
      <c r="A232" s="5">
        <v>42736</v>
      </c>
      <c r="B232" s="2" t="s">
        <v>65</v>
      </c>
      <c r="C232" s="2" t="s">
        <v>163</v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>4051.19</v>
      </c>
      <c r="E232" s="4">
        <f>IF(SUMIFS('Monthly BSE Equity Cash'!$G:$G,'Monthly BSE Equity Cash'!$A:$A,$A232)=0,"",SUMIFS('Monthly BSE Equity Cash'!$G:$G,'Monthly BSE Equity Cash'!$A:$A,$A232))</f>
        <v>647.64179999999999</v>
      </c>
      <c r="F232" s="4">
        <f t="shared" si="27"/>
        <v>4698.8317999999999</v>
      </c>
      <c r="G232" s="7">
        <f t="shared" si="33"/>
        <v>0.15063166744299661</v>
      </c>
      <c r="H232" s="7">
        <f t="shared" si="34"/>
        <v>1.8684961965362401E-2</v>
      </c>
      <c r="I232" s="7">
        <f t="shared" si="35"/>
        <v>0.13045009402630892</v>
      </c>
      <c r="J232" s="7">
        <f t="shared" si="30"/>
        <v>0.18197679337820616</v>
      </c>
      <c r="K232" s="7">
        <f t="shared" si="31"/>
        <v>0.20144141403273141</v>
      </c>
      <c r="L232" s="7">
        <f t="shared" si="32"/>
        <v>0.18462205195279302</v>
      </c>
      <c r="M232" s="7">
        <f t="shared" si="28"/>
        <v>0.86216961415814031</v>
      </c>
      <c r="N232" s="7">
        <f t="shared" si="29"/>
        <v>0.13783038584185967</v>
      </c>
    </row>
    <row r="233" spans="1:14" x14ac:dyDescent="0.2">
      <c r="A233" s="5">
        <v>42767</v>
      </c>
      <c r="B233" s="2" t="s">
        <v>65</v>
      </c>
      <c r="C233" s="2" t="s">
        <v>163</v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>4763</v>
      </c>
      <c r="E233" s="4">
        <f>IF(SUMIFS('Monthly BSE Equity Cash'!$G:$G,'Monthly BSE Equity Cash'!$A:$A,$A233)=0,"",SUMIFS('Monthly BSE Equity Cash'!$G:$G,'Monthly BSE Equity Cash'!$A:$A,$A233))</f>
        <v>683.29809999999998</v>
      </c>
      <c r="F233" s="4">
        <f t="shared" si="27"/>
        <v>5446.2981</v>
      </c>
      <c r="G233" s="7">
        <f t="shared" si="33"/>
        <v>0.3779994560909139</v>
      </c>
      <c r="H233" s="7">
        <f t="shared" si="34"/>
        <v>0.19544755928049007</v>
      </c>
      <c r="I233" s="7">
        <f t="shared" si="35"/>
        <v>0.35209515488102361</v>
      </c>
      <c r="J233" s="7">
        <f t="shared" si="30"/>
        <v>0.17570392896901899</v>
      </c>
      <c r="K233" s="7">
        <f t="shared" si="31"/>
        <v>5.5055587826480679E-2</v>
      </c>
      <c r="L233" s="7">
        <f t="shared" si="32"/>
        <v>0.15907492155816261</v>
      </c>
      <c r="M233" s="7">
        <f t="shared" si="28"/>
        <v>0.87453898272663411</v>
      </c>
      <c r="N233" s="7">
        <f t="shared" si="29"/>
        <v>0.12546101727336592</v>
      </c>
    </row>
    <row r="234" spans="1:14" x14ac:dyDescent="0.2">
      <c r="A234" s="5">
        <v>42795</v>
      </c>
      <c r="B234" s="2" t="s">
        <v>65</v>
      </c>
      <c r="C234" s="2" t="s">
        <v>163</v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>5562.4</v>
      </c>
      <c r="E234" s="4">
        <f>IF(SUMIFS('Monthly BSE Equity Cash'!$G:$G,'Monthly BSE Equity Cash'!$A:$A,$A234)=0,"",SUMIFS('Monthly BSE Equity Cash'!$G:$G,'Monthly BSE Equity Cash'!$A:$A,$A234))</f>
        <v>2891.0673000000002</v>
      </c>
      <c r="F234" s="4">
        <f t="shared" si="27"/>
        <v>8453.4673000000003</v>
      </c>
      <c r="G234" s="7">
        <f t="shared" si="33"/>
        <v>0.55832658629992693</v>
      </c>
      <c r="H234" s="7">
        <f t="shared" si="34"/>
        <v>3.6801160887831834</v>
      </c>
      <c r="I234" s="7">
        <f t="shared" si="35"/>
        <v>1.0188811192652398</v>
      </c>
      <c r="J234" s="7">
        <f t="shared" si="30"/>
        <v>0.16783539785849255</v>
      </c>
      <c r="K234" s="7">
        <f t="shared" si="31"/>
        <v>3.2310483521028379</v>
      </c>
      <c r="L234" s="7">
        <f t="shared" si="32"/>
        <v>0.55214921122294069</v>
      </c>
      <c r="M234" s="7">
        <f t="shared" si="28"/>
        <v>0.65800219041481356</v>
      </c>
      <c r="N234" s="7">
        <f t="shared" si="29"/>
        <v>0.34199780958518644</v>
      </c>
    </row>
    <row r="235" spans="1:14" x14ac:dyDescent="0.2">
      <c r="A235" s="5">
        <v>42826</v>
      </c>
      <c r="B235" s="2" t="s">
        <v>66</v>
      </c>
      <c r="C235" s="2" t="s">
        <v>164</v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>4721.1000000000004</v>
      </c>
      <c r="E235" s="4">
        <f>IF(SUMIFS('Monthly BSE Equity Cash'!$G:$G,'Monthly BSE Equity Cash'!$A:$A,$A235)=0,"",SUMIFS('Monthly BSE Equity Cash'!$G:$G,'Monthly BSE Equity Cash'!$A:$A,$A235))</f>
        <v>750.70399999999995</v>
      </c>
      <c r="F235" s="4">
        <f t="shared" si="27"/>
        <v>5471.8040000000001</v>
      </c>
      <c r="G235" s="7">
        <f t="shared" si="33"/>
        <v>0.5254943776657619</v>
      </c>
      <c r="H235" s="7">
        <f t="shared" si="34"/>
        <v>0.5266254091586462</v>
      </c>
      <c r="I235" s="7">
        <f t="shared" si="35"/>
        <v>0.52564945030041188</v>
      </c>
      <c r="J235" s="7">
        <f t="shared" si="30"/>
        <v>-0.15124766287933256</v>
      </c>
      <c r="K235" s="7">
        <f t="shared" si="31"/>
        <v>-0.7403367261633792</v>
      </c>
      <c r="L235" s="7">
        <f t="shared" si="32"/>
        <v>-0.35271483217306587</v>
      </c>
      <c r="M235" s="7">
        <f t="shared" si="28"/>
        <v>0.86280502737305653</v>
      </c>
      <c r="N235" s="7">
        <f t="shared" si="29"/>
        <v>0.1371949726269435</v>
      </c>
    </row>
    <row r="236" spans="1:14" x14ac:dyDescent="0.2">
      <c r="A236" s="5">
        <v>42856</v>
      </c>
      <c r="B236" s="2" t="s">
        <v>66</v>
      </c>
      <c r="C236" s="2" t="s">
        <v>164</v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>5885.02</v>
      </c>
      <c r="E236" s="4">
        <f>IF(SUMIFS('Monthly BSE Equity Cash'!$G:$G,'Monthly BSE Equity Cash'!$A:$A,$A236)=0,"",SUMIFS('Monthly BSE Equity Cash'!$G:$G,'Monthly BSE Equity Cash'!$A:$A,$A236))</f>
        <v>911.05619999999999</v>
      </c>
      <c r="F236" s="4">
        <f t="shared" si="27"/>
        <v>6796.0762000000004</v>
      </c>
      <c r="G236" s="7">
        <f t="shared" si="33"/>
        <v>0.51813500908040289</v>
      </c>
      <c r="H236" s="7">
        <f t="shared" si="34"/>
        <v>0.53065463454808737</v>
      </c>
      <c r="I236" s="7">
        <f t="shared" si="35"/>
        <v>0.51980144227003033</v>
      </c>
      <c r="J236" s="7">
        <f t="shared" si="30"/>
        <v>0.24653576497002816</v>
      </c>
      <c r="K236" s="7">
        <f t="shared" si="31"/>
        <v>0.21360243185063621</v>
      </c>
      <c r="L236" s="7">
        <f t="shared" si="32"/>
        <v>0.2420174772341992</v>
      </c>
      <c r="M236" s="7">
        <f t="shared" si="28"/>
        <v>0.86594379268437283</v>
      </c>
      <c r="N236" s="7">
        <f t="shared" si="29"/>
        <v>0.1340562073156272</v>
      </c>
    </row>
    <row r="237" spans="1:14" x14ac:dyDescent="0.2">
      <c r="A237" s="5">
        <v>42887</v>
      </c>
      <c r="B237" s="2" t="s">
        <v>66</v>
      </c>
      <c r="C237" s="2" t="s">
        <v>164</v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>4863.05</v>
      </c>
      <c r="E237" s="4">
        <f>IF(SUMIFS('Monthly BSE Equity Cash'!$G:$G,'Monthly BSE Equity Cash'!$A:$A,$A237)=0,"",SUMIFS('Monthly BSE Equity Cash'!$G:$G,'Monthly BSE Equity Cash'!$A:$A,$A237))</f>
        <v>859.34519999999998</v>
      </c>
      <c r="F237" s="4">
        <f t="shared" si="27"/>
        <v>5722.3951999999999</v>
      </c>
      <c r="G237" s="7">
        <f t="shared" si="33"/>
        <v>0.26812331153320601</v>
      </c>
      <c r="H237" s="7">
        <f t="shared" si="34"/>
        <v>0.41479405234940092</v>
      </c>
      <c r="I237" s="7">
        <f t="shared" si="35"/>
        <v>0.2881780012086248</v>
      </c>
      <c r="J237" s="7">
        <f t="shared" si="30"/>
        <v>-0.17365616429510866</v>
      </c>
      <c r="K237" s="7">
        <f t="shared" si="31"/>
        <v>-5.6759396401670936E-2</v>
      </c>
      <c r="L237" s="7">
        <f t="shared" si="32"/>
        <v>-0.1579854269438592</v>
      </c>
      <c r="M237" s="7">
        <f t="shared" si="28"/>
        <v>0.84982770850919209</v>
      </c>
      <c r="N237" s="7">
        <f t="shared" si="29"/>
        <v>0.15017229149080791</v>
      </c>
    </row>
    <row r="238" spans="1:14" x14ac:dyDescent="0.2">
      <c r="A238" s="5">
        <v>42917</v>
      </c>
      <c r="B238" s="2" t="s">
        <v>66</v>
      </c>
      <c r="C238" s="2" t="s">
        <v>165</v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>5439.44</v>
      </c>
      <c r="E238" s="4">
        <f>IF(SUMIFS('Monthly BSE Equity Cash'!$G:$G,'Monthly BSE Equity Cash'!$A:$A,$A238)=0,"",SUMIFS('Monthly BSE Equity Cash'!$G:$G,'Monthly BSE Equity Cash'!$A:$A,$A238))</f>
        <v>883.95240000000001</v>
      </c>
      <c r="F238" s="4">
        <f t="shared" si="27"/>
        <v>6323.3923999999997</v>
      </c>
      <c r="G238" s="7">
        <f t="shared" si="33"/>
        <v>0.33538243987705352</v>
      </c>
      <c r="H238" s="7">
        <f t="shared" si="34"/>
        <v>0.29930843377425487</v>
      </c>
      <c r="I238" s="7">
        <f t="shared" si="35"/>
        <v>0.3302196526947434</v>
      </c>
      <c r="J238" s="7">
        <f t="shared" si="30"/>
        <v>0.11852438284615618</v>
      </c>
      <c r="K238" s="7">
        <f t="shared" si="31"/>
        <v>2.8634825678900633E-2</v>
      </c>
      <c r="L238" s="7">
        <f t="shared" si="32"/>
        <v>0.10502546206525554</v>
      </c>
      <c r="M238" s="7">
        <f t="shared" si="28"/>
        <v>0.86020914975954987</v>
      </c>
      <c r="N238" s="7">
        <f t="shared" si="29"/>
        <v>0.13979085024045004</v>
      </c>
    </row>
    <row r="239" spans="1:14" x14ac:dyDescent="0.2">
      <c r="A239" s="5">
        <v>42948</v>
      </c>
      <c r="B239" s="2" t="s">
        <v>66</v>
      </c>
      <c r="C239" s="2" t="s">
        <v>165</v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>5538.29</v>
      </c>
      <c r="E239" s="4">
        <f>IF(SUMIFS('Monthly BSE Equity Cash'!$G:$G,'Monthly BSE Equity Cash'!$A:$A,$A239)=0,"",SUMIFS('Monthly BSE Equity Cash'!$G:$G,'Monthly BSE Equity Cash'!$A:$A,$A239))</f>
        <v>790.64469999999994</v>
      </c>
      <c r="F239" s="4">
        <f t="shared" si="27"/>
        <v>6328.9346999999998</v>
      </c>
      <c r="G239" s="7">
        <f t="shared" si="33"/>
        <v>0.1767921874269589</v>
      </c>
      <c r="H239" s="7">
        <f t="shared" si="34"/>
        <v>6.7228488989243385E-2</v>
      </c>
      <c r="I239" s="7">
        <f t="shared" si="35"/>
        <v>0.16189084641601514</v>
      </c>
      <c r="J239" s="7">
        <f t="shared" si="30"/>
        <v>1.8172826614504478E-2</v>
      </c>
      <c r="K239" s="7">
        <f t="shared" si="31"/>
        <v>-0.10555738069153953</v>
      </c>
      <c r="L239" s="7">
        <f t="shared" si="32"/>
        <v>8.7647573476545837E-4</v>
      </c>
      <c r="M239" s="7">
        <f t="shared" si="28"/>
        <v>0.87507459983747349</v>
      </c>
      <c r="N239" s="7">
        <f t="shared" si="29"/>
        <v>0.12492540016252655</v>
      </c>
    </row>
    <row r="240" spans="1:14" x14ac:dyDescent="0.2">
      <c r="A240" s="5">
        <v>42979</v>
      </c>
      <c r="B240" s="2" t="s">
        <v>66</v>
      </c>
      <c r="C240" s="2" t="s">
        <v>165</v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>6000.92</v>
      </c>
      <c r="E240" s="4">
        <f>IF(SUMIFS('Monthly BSE Equity Cash'!$G:$G,'Monthly BSE Equity Cash'!$A:$A,$A240)=0,"",SUMIFS('Monthly BSE Equity Cash'!$G:$G,'Monthly BSE Equity Cash'!$A:$A,$A240))</f>
        <v>843.4914</v>
      </c>
      <c r="F240" s="4">
        <f t="shared" si="27"/>
        <v>6844.4114</v>
      </c>
      <c r="G240" s="7">
        <f t="shared" si="33"/>
        <v>0.3076178854702345</v>
      </c>
      <c r="H240" s="7">
        <f t="shared" si="34"/>
        <v>0.11109553819790441</v>
      </c>
      <c r="I240" s="7">
        <f t="shared" si="35"/>
        <v>0.27972322095649305</v>
      </c>
      <c r="J240" s="7">
        <f t="shared" si="30"/>
        <v>8.3533003869425526E-2</v>
      </c>
      <c r="K240" s="7">
        <f t="shared" si="31"/>
        <v>6.6840010437052344E-2</v>
      </c>
      <c r="L240" s="7">
        <f t="shared" si="32"/>
        <v>8.1447624984975819E-2</v>
      </c>
      <c r="M240" s="7">
        <f t="shared" si="28"/>
        <v>0.87676202514653057</v>
      </c>
      <c r="N240" s="7">
        <f t="shared" si="29"/>
        <v>0.1232379748534695</v>
      </c>
    </row>
    <row r="241" spans="1:14" x14ac:dyDescent="0.2">
      <c r="A241" s="5">
        <v>43009</v>
      </c>
      <c r="B241" s="2" t="s">
        <v>66</v>
      </c>
      <c r="C241" s="2" t="s">
        <v>166</v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>6074.52</v>
      </c>
      <c r="E241" s="4">
        <f>IF(SUMIFS('Monthly BSE Equity Cash'!$G:$G,'Monthly BSE Equity Cash'!$A:$A,$A241)=0,"",SUMIFS('Monthly BSE Equity Cash'!$G:$G,'Monthly BSE Equity Cash'!$A:$A,$A241))</f>
        <v>779.96600000000001</v>
      </c>
      <c r="F241" s="4">
        <f t="shared" si="27"/>
        <v>6854.4860000000008</v>
      </c>
      <c r="G241" s="7">
        <f t="shared" si="33"/>
        <v>0.57712968275768972</v>
      </c>
      <c r="H241" s="7">
        <f t="shared" si="34"/>
        <v>0.20906384770959985</v>
      </c>
      <c r="I241" s="7">
        <f t="shared" si="35"/>
        <v>0.52432709366459274</v>
      </c>
      <c r="J241" s="7">
        <f t="shared" si="30"/>
        <v>1.2264786066136679E-2</v>
      </c>
      <c r="K241" s="7">
        <f t="shared" si="31"/>
        <v>-7.531244539067028E-2</v>
      </c>
      <c r="L241" s="7">
        <f t="shared" si="32"/>
        <v>1.4719454181262304E-3</v>
      </c>
      <c r="M241" s="7">
        <f t="shared" si="28"/>
        <v>0.88621086978658936</v>
      </c>
      <c r="N241" s="7">
        <f t="shared" si="29"/>
        <v>0.1137891302134106</v>
      </c>
    </row>
    <row r="242" spans="1:14" x14ac:dyDescent="0.2">
      <c r="A242" s="5">
        <v>43040</v>
      </c>
      <c r="B242" s="2" t="s">
        <v>66</v>
      </c>
      <c r="C242" s="2" t="s">
        <v>166</v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>7351.87</v>
      </c>
      <c r="E242" s="4">
        <f>IF(SUMIFS('Monthly BSE Equity Cash'!$G:$G,'Monthly BSE Equity Cash'!$A:$A,$A242)=0,"",SUMIFS('Monthly BSE Equity Cash'!$G:$G,'Monthly BSE Equity Cash'!$A:$A,$A242))</f>
        <v>1227.0858000000001</v>
      </c>
      <c r="F242" s="4">
        <f t="shared" si="27"/>
        <v>8578.9557999999997</v>
      </c>
      <c r="G242" s="7">
        <f t="shared" si="33"/>
        <v>0.55477989070668432</v>
      </c>
      <c r="H242" s="7">
        <f t="shared" si="34"/>
        <v>0.74853120111989391</v>
      </c>
      <c r="I242" s="7">
        <f t="shared" si="35"/>
        <v>0.57981901283582382</v>
      </c>
      <c r="J242" s="7">
        <f t="shared" si="30"/>
        <v>0.21027998920079272</v>
      </c>
      <c r="K242" s="7">
        <f t="shared" si="31"/>
        <v>0.57325550088080779</v>
      </c>
      <c r="L242" s="7">
        <f t="shared" si="32"/>
        <v>0.25158265696362925</v>
      </c>
      <c r="M242" s="7">
        <f t="shared" si="28"/>
        <v>0.85696559947307338</v>
      </c>
      <c r="N242" s="7">
        <f t="shared" si="29"/>
        <v>0.14303440052692662</v>
      </c>
    </row>
    <row r="243" spans="1:14" x14ac:dyDescent="0.2">
      <c r="A243" s="5">
        <v>43070</v>
      </c>
      <c r="B243" s="2" t="s">
        <v>66</v>
      </c>
      <c r="C243" s="2" t="s">
        <v>166</v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>5980.32</v>
      </c>
      <c r="E243" s="4">
        <f>IF(SUMIFS('Monthly BSE Equity Cash'!$G:$G,'Monthly BSE Equity Cash'!$A:$A,$A243)=0,"",SUMIFS('Monthly BSE Equity Cash'!$G:$G,'Monthly BSE Equity Cash'!$A:$A,$A243))</f>
        <v>956.89369999999997</v>
      </c>
      <c r="F243" s="4">
        <f t="shared" si="27"/>
        <v>6937.2136999999993</v>
      </c>
      <c r="G243" s="7">
        <f t="shared" si="33"/>
        <v>0.74482052359320439</v>
      </c>
      <c r="H243" s="7">
        <f t="shared" si="34"/>
        <v>0.77513514415995433</v>
      </c>
      <c r="I243" s="7">
        <f t="shared" si="35"/>
        <v>0.74894030642446618</v>
      </c>
      <c r="J243" s="7">
        <f t="shared" si="30"/>
        <v>-0.18655797776620098</v>
      </c>
      <c r="K243" s="7">
        <f t="shared" si="31"/>
        <v>-0.22019006331912572</v>
      </c>
      <c r="L243" s="7">
        <f t="shared" si="32"/>
        <v>-0.1913685229617339</v>
      </c>
      <c r="M243" s="7">
        <f t="shared" si="28"/>
        <v>0.86206368415607559</v>
      </c>
      <c r="N243" s="7">
        <f t="shared" si="29"/>
        <v>0.13793631584392449</v>
      </c>
    </row>
    <row r="244" spans="1:14" x14ac:dyDescent="0.2">
      <c r="A244" s="5">
        <v>43101</v>
      </c>
      <c r="B244" s="2" t="s">
        <v>66</v>
      </c>
      <c r="C244" s="2" t="s">
        <v>167</v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>8148.39</v>
      </c>
      <c r="E244" s="4">
        <f>IF(SUMIFS('Monthly BSE Equity Cash'!$G:$G,'Monthly BSE Equity Cash'!$A:$A,$A244)=0,"",SUMIFS('Monthly BSE Equity Cash'!$G:$G,'Monthly BSE Equity Cash'!$A:$A,$A244))</f>
        <v>1225.3746000000001</v>
      </c>
      <c r="F244" s="4">
        <f t="shared" si="27"/>
        <v>9373.7646000000004</v>
      </c>
      <c r="G244" s="7">
        <f t="shared" si="33"/>
        <v>1.0113571567860307</v>
      </c>
      <c r="H244" s="7">
        <f t="shared" si="34"/>
        <v>0.89205607173595047</v>
      </c>
      <c r="I244" s="7">
        <f t="shared" si="35"/>
        <v>0.9949138422022259</v>
      </c>
      <c r="J244" s="7">
        <f t="shared" si="30"/>
        <v>0.36253411188698936</v>
      </c>
      <c r="K244" s="7">
        <f t="shared" si="31"/>
        <v>0.28057547039969033</v>
      </c>
      <c r="L244" s="7">
        <f t="shared" si="32"/>
        <v>0.35122903882865852</v>
      </c>
      <c r="M244" s="7">
        <f t="shared" si="28"/>
        <v>0.86927614973390732</v>
      </c>
      <c r="N244" s="7">
        <f t="shared" si="29"/>
        <v>0.13072385026609268</v>
      </c>
    </row>
    <row r="245" spans="1:14" x14ac:dyDescent="0.2">
      <c r="A245" s="5">
        <v>43132</v>
      </c>
      <c r="B245" s="2" t="s">
        <v>66</v>
      </c>
      <c r="C245" s="2" t="s">
        <v>167</v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>6396.83</v>
      </c>
      <c r="E245" s="4">
        <f>IF(SUMIFS('Monthly BSE Equity Cash'!$G:$G,'Monthly BSE Equity Cash'!$A:$A,$A245)=0,"",SUMIFS('Monthly BSE Equity Cash'!$G:$G,'Monthly BSE Equity Cash'!$A:$A,$A245))</f>
        <v>817.58230000000003</v>
      </c>
      <c r="F245" s="4">
        <f t="shared" si="27"/>
        <v>7214.4123</v>
      </c>
      <c r="G245" s="7">
        <f t="shared" si="33"/>
        <v>0.34302540415704397</v>
      </c>
      <c r="H245" s="7">
        <f t="shared" si="34"/>
        <v>0.19652359636299299</v>
      </c>
      <c r="I245" s="7">
        <f t="shared" si="35"/>
        <v>0.32464513831881514</v>
      </c>
      <c r="J245" s="7">
        <f t="shared" si="30"/>
        <v>-0.21495780147980159</v>
      </c>
      <c r="K245" s="7">
        <f t="shared" si="31"/>
        <v>-0.33278990767394723</v>
      </c>
      <c r="L245" s="7">
        <f t="shared" si="32"/>
        <v>-0.2303612680864634</v>
      </c>
      <c r="M245" s="7">
        <f t="shared" si="28"/>
        <v>0.88667374887903205</v>
      </c>
      <c r="N245" s="7">
        <f t="shared" si="29"/>
        <v>0.11332625112096796</v>
      </c>
    </row>
    <row r="246" spans="1:14" x14ac:dyDescent="0.2">
      <c r="A246" s="5">
        <v>43160</v>
      </c>
      <c r="B246" s="2" t="s">
        <v>66</v>
      </c>
      <c r="C246" s="2" t="s">
        <v>167</v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>5948.52</v>
      </c>
      <c r="E246" s="4">
        <f>IF(SUMIFS('Monthly BSE Equity Cash'!$G:$G,'Monthly BSE Equity Cash'!$A:$A,$A246)=0,"",SUMIFS('Monthly BSE Equity Cash'!$G:$G,'Monthly BSE Equity Cash'!$A:$A,$A246))</f>
        <v>783.58590000000004</v>
      </c>
      <c r="F246" s="4">
        <f t="shared" si="27"/>
        <v>6732.1059000000005</v>
      </c>
      <c r="G246" s="7">
        <f t="shared" si="33"/>
        <v>6.9416079390191454E-2</v>
      </c>
      <c r="H246" s="7">
        <f t="shared" si="34"/>
        <v>-0.72896310646244733</v>
      </c>
      <c r="I246" s="7">
        <f t="shared" si="35"/>
        <v>-0.20362785338981548</v>
      </c>
      <c r="J246" s="7">
        <f t="shared" si="30"/>
        <v>-7.0083150560511953E-2</v>
      </c>
      <c r="K246" s="7">
        <f t="shared" si="31"/>
        <v>-4.1581624259722783E-2</v>
      </c>
      <c r="L246" s="7">
        <f t="shared" si="32"/>
        <v>-6.6853179433617793E-2</v>
      </c>
      <c r="M246" s="7">
        <f t="shared" si="28"/>
        <v>0.88360463848318249</v>
      </c>
      <c r="N246" s="7">
        <f t="shared" si="29"/>
        <v>0.11639536151681749</v>
      </c>
    </row>
    <row r="247" spans="1:14" x14ac:dyDescent="0.2">
      <c r="A247" s="5">
        <v>43191</v>
      </c>
      <c r="B247" s="2" t="s">
        <v>67</v>
      </c>
      <c r="C247" s="2" t="s">
        <v>168</v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>6414.4</v>
      </c>
      <c r="E247" s="4">
        <f>IF(SUMIFS('Monthly BSE Equity Cash'!$G:$G,'Monthly BSE Equity Cash'!$A:$A,$A247)=0,"",SUMIFS('Monthly BSE Equity Cash'!$G:$G,'Monthly BSE Equity Cash'!$A:$A,$A247))</f>
        <v>716.29660000000001</v>
      </c>
      <c r="F247" s="4">
        <f t="shared" si="27"/>
        <v>7130.6965999999993</v>
      </c>
      <c r="G247" s="7">
        <f t="shared" si="33"/>
        <v>0.35866641248861475</v>
      </c>
      <c r="H247" s="7">
        <f t="shared" si="34"/>
        <v>-4.5833510944393474E-2</v>
      </c>
      <c r="I247" s="7">
        <f t="shared" si="35"/>
        <v>0.30317105656562249</v>
      </c>
      <c r="J247" s="7">
        <f t="shared" si="30"/>
        <v>7.8318640603040723E-2</v>
      </c>
      <c r="K247" s="7">
        <f t="shared" si="31"/>
        <v>-8.5873546218736219E-2</v>
      </c>
      <c r="L247" s="7">
        <f t="shared" si="32"/>
        <v>5.9207431659683118E-2</v>
      </c>
      <c r="M247" s="7">
        <f t="shared" si="28"/>
        <v>0.89954745795803459</v>
      </c>
      <c r="N247" s="7">
        <f t="shared" si="29"/>
        <v>0.10045254204196545</v>
      </c>
    </row>
    <row r="248" spans="1:14" x14ac:dyDescent="0.2">
      <c r="A248" s="5">
        <v>43221</v>
      </c>
      <c r="B248" s="2" t="s">
        <v>67</v>
      </c>
      <c r="C248" s="2" t="s">
        <v>168</v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>7000.13</v>
      </c>
      <c r="E248" s="4">
        <f>IF(SUMIFS('Monthly BSE Equity Cash'!$G:$G,'Monthly BSE Equity Cash'!$A:$A,$A248)=0,"",SUMIFS('Monthly BSE Equity Cash'!$G:$G,'Monthly BSE Equity Cash'!$A:$A,$A248))</f>
        <v>753.60500000000002</v>
      </c>
      <c r="F248" s="4">
        <f t="shared" si="27"/>
        <v>7753.7350000000006</v>
      </c>
      <c r="G248" s="7">
        <f t="shared" si="33"/>
        <v>0.18948278850369227</v>
      </c>
      <c r="H248" s="7">
        <f t="shared" si="34"/>
        <v>-0.17282270841249969</v>
      </c>
      <c r="I248" s="7">
        <f t="shared" si="35"/>
        <v>0.140913487697504</v>
      </c>
      <c r="J248" s="7">
        <f t="shared" si="30"/>
        <v>9.1314854078323959E-2</v>
      </c>
      <c r="K248" s="7">
        <f t="shared" si="31"/>
        <v>5.2085127864630376E-2</v>
      </c>
      <c r="L248" s="7">
        <f t="shared" si="32"/>
        <v>8.737412835654812E-2</v>
      </c>
      <c r="M248" s="7">
        <f t="shared" si="28"/>
        <v>0.90280748568270641</v>
      </c>
      <c r="N248" s="7">
        <f t="shared" si="29"/>
        <v>9.7192514317293532E-2</v>
      </c>
    </row>
    <row r="249" spans="1:14" x14ac:dyDescent="0.2">
      <c r="A249" s="5">
        <v>43252</v>
      </c>
      <c r="B249" s="2" t="s">
        <v>67</v>
      </c>
      <c r="C249" s="2" t="s">
        <v>168</v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>5916.96</v>
      </c>
      <c r="E249" s="4">
        <f>IF(SUMIFS('Monthly BSE Equity Cash'!$G:$G,'Monthly BSE Equity Cash'!$A:$A,$A249)=0,"",SUMIFS('Monthly BSE Equity Cash'!$G:$G,'Monthly BSE Equity Cash'!$A:$A,$A249))</f>
        <v>641.6259</v>
      </c>
      <c r="F249" s="4">
        <f t="shared" si="27"/>
        <v>6558.5859</v>
      </c>
      <c r="G249" s="7">
        <f t="shared" si="33"/>
        <v>0.21671790337339725</v>
      </c>
      <c r="H249" s="7">
        <f t="shared" si="34"/>
        <v>-0.25335487997140149</v>
      </c>
      <c r="I249" s="7">
        <f t="shared" si="35"/>
        <v>0.14612599633104684</v>
      </c>
      <c r="J249" s="7">
        <f t="shared" si="30"/>
        <v>-0.15473569776561291</v>
      </c>
      <c r="K249" s="7">
        <f t="shared" si="31"/>
        <v>-0.14859123811545838</v>
      </c>
      <c r="L249" s="7">
        <f t="shared" si="32"/>
        <v>-0.15413850228309334</v>
      </c>
      <c r="M249" s="7">
        <f t="shared" si="28"/>
        <v>0.90217008517034136</v>
      </c>
      <c r="N249" s="7">
        <f t="shared" si="29"/>
        <v>9.7829914829658637E-2</v>
      </c>
    </row>
    <row r="250" spans="1:14" x14ac:dyDescent="0.2">
      <c r="A250" s="5">
        <v>43282</v>
      </c>
      <c r="B250" s="2" t="s">
        <v>67</v>
      </c>
      <c r="C250" s="2" t="s">
        <v>169</v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>6628.67</v>
      </c>
      <c r="E250" s="4">
        <f>IF(SUMIFS('Monthly BSE Equity Cash'!$G:$G,'Monthly BSE Equity Cash'!$A:$A,$A250)=0,"",SUMIFS('Monthly BSE Equity Cash'!$G:$G,'Monthly BSE Equity Cash'!$A:$A,$A250))</f>
        <v>651.6848</v>
      </c>
      <c r="F250" s="4">
        <f t="shared" si="27"/>
        <v>7280.3548000000001</v>
      </c>
      <c r="G250" s="7">
        <f t="shared" si="33"/>
        <v>0.21863096201079535</v>
      </c>
      <c r="H250" s="7">
        <f t="shared" si="34"/>
        <v>-0.26276030247782578</v>
      </c>
      <c r="I250" s="7">
        <f t="shared" si="35"/>
        <v>0.15133686784960565</v>
      </c>
      <c r="J250" s="7">
        <f t="shared" si="30"/>
        <v>0.12028305075579349</v>
      </c>
      <c r="K250" s="7">
        <f t="shared" si="31"/>
        <v>1.5677203803649453E-2</v>
      </c>
      <c r="L250" s="7">
        <f t="shared" si="32"/>
        <v>0.11004946965778095</v>
      </c>
      <c r="M250" s="7">
        <f t="shared" si="28"/>
        <v>0.91048721966132751</v>
      </c>
      <c r="N250" s="7">
        <f t="shared" si="29"/>
        <v>8.9512780338672507E-2</v>
      </c>
    </row>
    <row r="251" spans="1:14" x14ac:dyDescent="0.2">
      <c r="A251" s="5">
        <v>43313</v>
      </c>
      <c r="B251" s="2" t="s">
        <v>67</v>
      </c>
      <c r="C251" s="2" t="s">
        <v>169</v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>7058.69</v>
      </c>
      <c r="E251" s="4">
        <f>IF(SUMIFS('Monthly BSE Equity Cash'!$G:$G,'Monthly BSE Equity Cash'!$A:$A,$A251)=0,"",SUMIFS('Monthly BSE Equity Cash'!$G:$G,'Monthly BSE Equity Cash'!$A:$A,$A251))</f>
        <v>678.95600000000002</v>
      </c>
      <c r="F251" s="4">
        <f t="shared" si="27"/>
        <v>7737.6459999999997</v>
      </c>
      <c r="G251" s="7">
        <f t="shared" si="33"/>
        <v>0.27452516932121651</v>
      </c>
      <c r="H251" s="7">
        <f t="shared" si="34"/>
        <v>-0.14126282007581903</v>
      </c>
      <c r="I251" s="7">
        <f t="shared" si="35"/>
        <v>0.22258268836301953</v>
      </c>
      <c r="J251" s="7">
        <f t="shared" si="30"/>
        <v>6.4872742194135302E-2</v>
      </c>
      <c r="K251" s="7">
        <f t="shared" si="31"/>
        <v>4.1847224302300701E-2</v>
      </c>
      <c r="L251" s="7">
        <f t="shared" si="32"/>
        <v>6.2811664068899375E-2</v>
      </c>
      <c r="M251" s="7">
        <f t="shared" si="28"/>
        <v>0.91225289965449441</v>
      </c>
      <c r="N251" s="7">
        <f t="shared" si="29"/>
        <v>8.7747100345505605E-2</v>
      </c>
    </row>
    <row r="252" spans="1:14" x14ac:dyDescent="0.2">
      <c r="A252" s="5">
        <v>43344</v>
      </c>
      <c r="B252" s="2" t="s">
        <v>67</v>
      </c>
      <c r="C252" s="2" t="s">
        <v>169</v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>6883.19</v>
      </c>
      <c r="E252" s="4">
        <f>IF(SUMIFS('Monthly BSE Equity Cash'!$G:$G,'Monthly BSE Equity Cash'!$A:$A,$A252)=0,"",SUMIFS('Monthly BSE Equity Cash'!$G:$G,'Monthly BSE Equity Cash'!$A:$A,$A252))</f>
        <v>624.76710000000003</v>
      </c>
      <c r="F252" s="4">
        <f t="shared" si="27"/>
        <v>7507.9570999999996</v>
      </c>
      <c r="G252" s="7">
        <f t="shared" si="33"/>
        <v>0.14702245655666113</v>
      </c>
      <c r="H252" s="7">
        <f t="shared" si="34"/>
        <v>-0.25930827510511667</v>
      </c>
      <c r="I252" s="7">
        <f t="shared" si="35"/>
        <v>9.694708006593511E-2</v>
      </c>
      <c r="J252" s="7">
        <f t="shared" si="30"/>
        <v>-2.4862970324522005E-2</v>
      </c>
      <c r="K252" s="7">
        <f t="shared" si="31"/>
        <v>-7.9812093861752476E-2</v>
      </c>
      <c r="L252" s="7">
        <f t="shared" si="32"/>
        <v>-2.9684596581440958E-2</v>
      </c>
      <c r="M252" s="7">
        <f t="shared" si="28"/>
        <v>0.91678600560996815</v>
      </c>
      <c r="N252" s="7">
        <f t="shared" si="29"/>
        <v>8.3213994390031881E-2</v>
      </c>
    </row>
    <row r="253" spans="1:14" x14ac:dyDescent="0.2">
      <c r="A253" s="5">
        <v>43374</v>
      </c>
      <c r="B253" s="2" t="s">
        <v>67</v>
      </c>
      <c r="C253" s="2" t="s">
        <v>170</v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>7455.84</v>
      </c>
      <c r="E253" s="4">
        <f>IF(SUMIFS('Monthly BSE Equity Cash'!$G:$G,'Monthly BSE Equity Cash'!$A:$A,$A253)=0,"",SUMIFS('Monthly BSE Equity Cash'!$G:$G,'Monthly BSE Equity Cash'!$A:$A,$A253))</f>
        <v>663.84709999999995</v>
      </c>
      <c r="F253" s="4">
        <f t="shared" si="27"/>
        <v>8119.6871000000001</v>
      </c>
      <c r="G253" s="7">
        <f t="shared" si="33"/>
        <v>0.22739574484897562</v>
      </c>
      <c r="H253" s="7">
        <f t="shared" si="34"/>
        <v>-0.14887687412015405</v>
      </c>
      <c r="I253" s="7">
        <f t="shared" si="35"/>
        <v>0.18458001081335618</v>
      </c>
      <c r="J253" s="7">
        <f t="shared" si="30"/>
        <v>8.3195436999414563E-2</v>
      </c>
      <c r="K253" s="7">
        <f t="shared" si="31"/>
        <v>6.2551309119830201E-2</v>
      </c>
      <c r="L253" s="7">
        <f t="shared" si="32"/>
        <v>8.1477556657855832E-2</v>
      </c>
      <c r="M253" s="7">
        <f t="shared" si="28"/>
        <v>0.91824228054305201</v>
      </c>
      <c r="N253" s="7">
        <f t="shared" si="29"/>
        <v>8.1757719456948028E-2</v>
      </c>
    </row>
    <row r="254" spans="1:14" x14ac:dyDescent="0.2">
      <c r="A254" s="5">
        <v>43405</v>
      </c>
      <c r="B254" s="2" t="s">
        <v>67</v>
      </c>
      <c r="C254" s="2" t="s">
        <v>170</v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>6109.14</v>
      </c>
      <c r="E254" s="4">
        <f>IF(SUMIFS('Monthly BSE Equity Cash'!$G:$G,'Monthly BSE Equity Cash'!$A:$A,$A254)=0,"",SUMIFS('Monthly BSE Equity Cash'!$G:$G,'Monthly BSE Equity Cash'!$A:$A,$A254))</f>
        <v>590.63840000000005</v>
      </c>
      <c r="F254" s="4">
        <f t="shared" si="27"/>
        <v>6699.7784000000001</v>
      </c>
      <c r="G254" s="7">
        <f t="shared" si="33"/>
        <v>-0.16903590515066225</v>
      </c>
      <c r="H254" s="7">
        <f t="shared" si="34"/>
        <v>-0.51866576892993144</v>
      </c>
      <c r="I254" s="7">
        <f t="shared" si="35"/>
        <v>-0.21904500312264108</v>
      </c>
      <c r="J254" s="7">
        <f t="shared" si="30"/>
        <v>-0.18062351123414666</v>
      </c>
      <c r="K254" s="7">
        <f t="shared" si="31"/>
        <v>-0.11027946043599479</v>
      </c>
      <c r="L254" s="7">
        <f t="shared" si="32"/>
        <v>-0.17487234206352609</v>
      </c>
      <c r="M254" s="7">
        <f t="shared" si="28"/>
        <v>0.9118420991356968</v>
      </c>
      <c r="N254" s="7">
        <f t="shared" si="29"/>
        <v>8.8157900864303224E-2</v>
      </c>
    </row>
    <row r="255" spans="1:14" x14ac:dyDescent="0.2">
      <c r="A255" s="5">
        <v>43435</v>
      </c>
      <c r="B255" s="2" t="s">
        <v>67</v>
      </c>
      <c r="C255" s="2" t="s">
        <v>170</v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>5999.17</v>
      </c>
      <c r="E255" s="4">
        <f>IF(SUMIFS('Monthly BSE Equity Cash'!$G:$G,'Monthly BSE Equity Cash'!$A:$A,$A255)=0,"",SUMIFS('Monthly BSE Equity Cash'!$G:$G,'Monthly BSE Equity Cash'!$A:$A,$A255))</f>
        <v>504.82909999999998</v>
      </c>
      <c r="F255" s="4">
        <f t="shared" si="27"/>
        <v>6503.9991</v>
      </c>
      <c r="G255" s="7">
        <f t="shared" si="33"/>
        <v>3.1520052438667179E-3</v>
      </c>
      <c r="H255" s="7">
        <f t="shared" si="34"/>
        <v>-0.47242927819464164</v>
      </c>
      <c r="I255" s="7">
        <f t="shared" si="35"/>
        <v>-6.2447924877966354E-2</v>
      </c>
      <c r="J255" s="7">
        <f t="shared" si="30"/>
        <v>-1.8000897016601347E-2</v>
      </c>
      <c r="K255" s="7">
        <f t="shared" si="31"/>
        <v>-0.14528229116156355</v>
      </c>
      <c r="L255" s="7">
        <f t="shared" si="32"/>
        <v>-2.9221757543503202E-2</v>
      </c>
      <c r="M255" s="7">
        <f t="shared" si="28"/>
        <v>0.92238173895196263</v>
      </c>
      <c r="N255" s="7">
        <f t="shared" si="29"/>
        <v>7.7618261048037346E-2</v>
      </c>
    </row>
    <row r="256" spans="1:14" x14ac:dyDescent="0.2">
      <c r="A256" s="5">
        <v>43466</v>
      </c>
      <c r="B256" s="2" t="s">
        <v>67</v>
      </c>
      <c r="C256" s="2" t="s">
        <v>171</v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>6658.89</v>
      </c>
      <c r="E256" s="4">
        <f>IF(SUMIFS('Monthly BSE Equity Cash'!$G:$G,'Monthly BSE Equity Cash'!$A:$A,$A256)=0,"",SUMIFS('Monthly BSE Equity Cash'!$G:$G,'Monthly BSE Equity Cash'!$A:$A,$A256))</f>
        <v>613.32330000000002</v>
      </c>
      <c r="F256" s="4">
        <f t="shared" si="27"/>
        <v>7272.2133000000003</v>
      </c>
      <c r="G256" s="7">
        <f t="shared" si="33"/>
        <v>-0.18279684698449628</v>
      </c>
      <c r="H256" s="7">
        <f t="shared" si="34"/>
        <v>-0.4994809750422442</v>
      </c>
      <c r="I256" s="7">
        <f t="shared" si="35"/>
        <v>-0.22419501552236543</v>
      </c>
      <c r="J256" s="7">
        <f t="shared" si="30"/>
        <v>0.10996854564881486</v>
      </c>
      <c r="K256" s="7">
        <f t="shared" si="31"/>
        <v>0.214912729872347</v>
      </c>
      <c r="L256" s="7">
        <f t="shared" si="32"/>
        <v>0.11811413073535015</v>
      </c>
      <c r="M256" s="7">
        <f t="shared" si="28"/>
        <v>0.91566208598419407</v>
      </c>
      <c r="N256" s="7">
        <f t="shared" si="29"/>
        <v>8.4337914015805884E-2</v>
      </c>
    </row>
    <row r="257" spans="1:14" x14ac:dyDescent="0.2">
      <c r="A257" s="5">
        <v>43497</v>
      </c>
      <c r="B257" s="2" t="s">
        <v>67</v>
      </c>
      <c r="C257" s="2" t="s">
        <v>171</v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>6392.7</v>
      </c>
      <c r="E257" s="4">
        <f>IF(SUMIFS('Monthly BSE Equity Cash'!$G:$G,'Monthly BSE Equity Cash'!$A:$A,$A257)=0,"",SUMIFS('Monthly BSE Equity Cash'!$G:$G,'Monthly BSE Equity Cash'!$A:$A,$A257))</f>
        <v>506.55689999999998</v>
      </c>
      <c r="F257" s="4">
        <f t="shared" si="27"/>
        <v>6899.2568999999994</v>
      </c>
      <c r="G257" s="7">
        <f t="shared" si="33"/>
        <v>-6.4563228974356957E-4</v>
      </c>
      <c r="H257" s="7">
        <f t="shared" si="34"/>
        <v>-0.38042090686160901</v>
      </c>
      <c r="I257" s="7">
        <f t="shared" si="35"/>
        <v>-4.3684140425409357E-2</v>
      </c>
      <c r="J257" s="7">
        <f t="shared" si="30"/>
        <v>-3.9975130990300256E-2</v>
      </c>
      <c r="K257" s="7">
        <f t="shared" si="31"/>
        <v>-0.17407849987111212</v>
      </c>
      <c r="L257" s="7">
        <f t="shared" si="32"/>
        <v>-5.1285129384200157E-2</v>
      </c>
      <c r="M257" s="7">
        <f t="shared" si="28"/>
        <v>0.92657804929687437</v>
      </c>
      <c r="N257" s="7">
        <f t="shared" si="29"/>
        <v>7.3421950703125724E-2</v>
      </c>
    </row>
    <row r="258" spans="1:14" x14ac:dyDescent="0.2">
      <c r="A258" s="5">
        <v>43525</v>
      </c>
      <c r="B258" s="2" t="s">
        <v>67</v>
      </c>
      <c r="C258" s="2" t="s">
        <v>171</v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>6972.24</v>
      </c>
      <c r="E258" s="4">
        <f>IF(SUMIFS('Monthly BSE Equity Cash'!$G:$G,'Monthly BSE Equity Cash'!$A:$A,$A258)=0,"",SUMIFS('Monthly BSE Equity Cash'!$G:$G,'Monthly BSE Equity Cash'!$A:$A,$A258))</f>
        <v>809.77059999999994</v>
      </c>
      <c r="F258" s="4">
        <f t="shared" ref="F258:F321" si="36">IF(OR(D258="",E258=""),"",D258+E258)</f>
        <v>7782.0105999999996</v>
      </c>
      <c r="G258" s="7">
        <f t="shared" si="33"/>
        <v>0.17209658873131461</v>
      </c>
      <c r="H258" s="7">
        <f t="shared" si="34"/>
        <v>3.3416502262227921E-2</v>
      </c>
      <c r="I258" s="7">
        <f t="shared" si="35"/>
        <v>0.1559548699315616</v>
      </c>
      <c r="J258" s="7">
        <f t="shared" si="30"/>
        <v>9.065653010465069E-2</v>
      </c>
      <c r="K258" s="7">
        <f t="shared" si="31"/>
        <v>0.59857777082890395</v>
      </c>
      <c r="L258" s="7">
        <f t="shared" si="32"/>
        <v>0.12794909840217716</v>
      </c>
      <c r="M258" s="7">
        <f t="shared" ref="M258:M321" si="37">IF(F258="","",D258/F258)</f>
        <v>0.89594326689814585</v>
      </c>
      <c r="N258" s="7">
        <f t="shared" ref="N258:N321" si="38">IF(F258="","",E258/F258)</f>
        <v>0.10405673310185416</v>
      </c>
    </row>
    <row r="259" spans="1:14" x14ac:dyDescent="0.2">
      <c r="A259" s="5">
        <v>43556</v>
      </c>
      <c r="B259" s="2" t="s">
        <v>68</v>
      </c>
      <c r="C259" s="2" t="s">
        <v>172</v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>6401.15</v>
      </c>
      <c r="E259" s="4">
        <f>IF(SUMIFS('Monthly BSE Equity Cash'!$G:$G,'Monthly BSE Equity Cash'!$A:$A,$A259)=0,"",SUMIFS('Monthly BSE Equity Cash'!$G:$G,'Monthly BSE Equity Cash'!$A:$A,$A259))</f>
        <v>558.67809999999997</v>
      </c>
      <c r="F259" s="4">
        <f t="shared" si="36"/>
        <v>6959.8280999999997</v>
      </c>
      <c r="G259" s="7">
        <f t="shared" si="33"/>
        <v>-2.0656647543028095E-3</v>
      </c>
      <c r="H259" s="7">
        <f t="shared" si="34"/>
        <v>-0.2200464165263385</v>
      </c>
      <c r="I259" s="7">
        <f t="shared" si="35"/>
        <v>-2.3962385386022356E-2</v>
      </c>
      <c r="J259" s="7">
        <f t="shared" ref="J259:J322" si="39">IF(OR(D259="",D258=""),"",D259/D258-1)</f>
        <v>-8.1909113857239646E-2</v>
      </c>
      <c r="K259" s="7">
        <f t="shared" ref="K259:K322" si="40">IF(OR(E259="",E258=""),"",E259/E258-1)</f>
        <v>-0.31007855805088502</v>
      </c>
      <c r="L259" s="7">
        <f t="shared" ref="L259:L322" si="41">IF(OR(F259="",F258=""),"",F259/F258-1)</f>
        <v>-0.10565168081369614</v>
      </c>
      <c r="M259" s="7">
        <f t="shared" si="37"/>
        <v>0.91972817547031083</v>
      </c>
      <c r="N259" s="7">
        <f t="shared" si="38"/>
        <v>8.0271824529689173E-2</v>
      </c>
    </row>
    <row r="260" spans="1:14" x14ac:dyDescent="0.2">
      <c r="A260" s="5">
        <v>43586</v>
      </c>
      <c r="B260" s="2" t="s">
        <v>68</v>
      </c>
      <c r="C260" s="2" t="s">
        <v>172</v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>7881.84</v>
      </c>
      <c r="E260" s="4">
        <f>IF(SUMIFS('Monthly BSE Equity Cash'!$G:$G,'Monthly BSE Equity Cash'!$A:$A,$A260)=0,"",SUMIFS('Monthly BSE Equity Cash'!$G:$G,'Monthly BSE Equity Cash'!$A:$A,$A260))</f>
        <v>581.71619999999996</v>
      </c>
      <c r="F260" s="4">
        <f t="shared" si="36"/>
        <v>8463.5562000000009</v>
      </c>
      <c r="G260" s="7">
        <f t="shared" si="33"/>
        <v>0.12595623224140118</v>
      </c>
      <c r="H260" s="7">
        <f t="shared" si="34"/>
        <v>-0.22808872021815152</v>
      </c>
      <c r="I260" s="7">
        <f t="shared" si="35"/>
        <v>9.1545713130510631E-2</v>
      </c>
      <c r="J260" s="7">
        <f t="shared" si="39"/>
        <v>0.23131624786171234</v>
      </c>
      <c r="K260" s="7">
        <f t="shared" si="40"/>
        <v>4.1236805237219842E-2</v>
      </c>
      <c r="L260" s="7">
        <f t="shared" si="41"/>
        <v>0.21605822419665821</v>
      </c>
      <c r="M260" s="7">
        <f t="shared" si="37"/>
        <v>0.9312681116242838</v>
      </c>
      <c r="N260" s="7">
        <f t="shared" si="38"/>
        <v>6.8731888375716102E-2</v>
      </c>
    </row>
    <row r="261" spans="1:14" x14ac:dyDescent="0.2">
      <c r="A261" s="5">
        <v>43617</v>
      </c>
      <c r="B261" s="2" t="s">
        <v>68</v>
      </c>
      <c r="C261" s="2" t="s">
        <v>172</v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>5960.3</v>
      </c>
      <c r="E261" s="4">
        <f>IF(SUMIFS('Monthly BSE Equity Cash'!$G:$G,'Monthly BSE Equity Cash'!$A:$A,$A261)=0,"",SUMIFS('Monthly BSE Equity Cash'!$G:$G,'Monthly BSE Equity Cash'!$A:$A,$A261))</f>
        <v>469.58100000000002</v>
      </c>
      <c r="F261" s="4">
        <f t="shared" si="36"/>
        <v>6429.8810000000003</v>
      </c>
      <c r="G261" s="7">
        <f t="shared" si="33"/>
        <v>7.3247072821178705E-3</v>
      </c>
      <c r="H261" s="7">
        <f t="shared" si="34"/>
        <v>-0.26813895760754047</v>
      </c>
      <c r="I261" s="7">
        <f t="shared" si="35"/>
        <v>-1.9623879592703064E-2</v>
      </c>
      <c r="J261" s="7">
        <f t="shared" si="39"/>
        <v>-0.24379332744638305</v>
      </c>
      <c r="K261" s="7">
        <f t="shared" si="40"/>
        <v>-0.19276616329405982</v>
      </c>
      <c r="L261" s="7">
        <f t="shared" si="41"/>
        <v>-0.24028613409573629</v>
      </c>
      <c r="M261" s="7">
        <f t="shared" si="37"/>
        <v>0.92696894390424955</v>
      </c>
      <c r="N261" s="7">
        <f t="shared" si="38"/>
        <v>7.3031056095750446E-2</v>
      </c>
    </row>
    <row r="262" spans="1:14" x14ac:dyDescent="0.2">
      <c r="A262" s="5">
        <v>43647</v>
      </c>
      <c r="B262" s="2" t="s">
        <v>68</v>
      </c>
      <c r="C262" s="2" t="s">
        <v>173</v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>7128.21</v>
      </c>
      <c r="E262" s="4">
        <f>IF(SUMIFS('Monthly BSE Equity Cash'!$G:$G,'Monthly BSE Equity Cash'!$A:$A,$A262)=0,"",SUMIFS('Monthly BSE Equity Cash'!$G:$G,'Monthly BSE Equity Cash'!$A:$A,$A262))</f>
        <v>482.48599999999999</v>
      </c>
      <c r="F262" s="4">
        <f t="shared" si="36"/>
        <v>7610.6959999999999</v>
      </c>
      <c r="G262" s="7">
        <f t="shared" si="33"/>
        <v>7.5360517268169946E-2</v>
      </c>
      <c r="H262" s="7">
        <f t="shared" si="34"/>
        <v>-0.25963287773475763</v>
      </c>
      <c r="I262" s="7">
        <f t="shared" si="35"/>
        <v>4.5374327086366684E-2</v>
      </c>
      <c r="J262" s="7">
        <f t="shared" si="39"/>
        <v>0.19594819052732237</v>
      </c>
      <c r="K262" s="7">
        <f t="shared" si="40"/>
        <v>2.7481946671607194E-2</v>
      </c>
      <c r="L262" s="7">
        <f t="shared" si="41"/>
        <v>0.18364492282205536</v>
      </c>
      <c r="M262" s="7">
        <f t="shared" si="37"/>
        <v>0.93660422121708709</v>
      </c>
      <c r="N262" s="7">
        <f t="shared" si="38"/>
        <v>6.3395778782912887E-2</v>
      </c>
    </row>
    <row r="263" spans="1:14" x14ac:dyDescent="0.2">
      <c r="A263" s="5">
        <v>43678</v>
      </c>
      <c r="B263" s="2" t="s">
        <v>68</v>
      </c>
      <c r="C263" s="2" t="s">
        <v>173</v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>6736.33</v>
      </c>
      <c r="E263" s="4">
        <f>IF(SUMIFS('Monthly BSE Equity Cash'!$G:$G,'Monthly BSE Equity Cash'!$A:$A,$A263)=0,"",SUMIFS('Monthly BSE Equity Cash'!$G:$G,'Monthly BSE Equity Cash'!$A:$A,$A263))</f>
        <v>508.04539999999997</v>
      </c>
      <c r="F263" s="4">
        <f t="shared" si="36"/>
        <v>7244.3753999999999</v>
      </c>
      <c r="G263" s="7">
        <f t="shared" si="33"/>
        <v>-4.5668530563036436E-2</v>
      </c>
      <c r="H263" s="7">
        <f t="shared" si="34"/>
        <v>-0.25172559046536158</v>
      </c>
      <c r="I263" s="7">
        <f t="shared" si="35"/>
        <v>-6.3749440075185682E-2</v>
      </c>
      <c r="J263" s="7">
        <f t="shared" si="39"/>
        <v>-5.4975933649541786E-2</v>
      </c>
      <c r="K263" s="7">
        <f t="shared" si="40"/>
        <v>5.2974386821586394E-2</v>
      </c>
      <c r="L263" s="7">
        <f t="shared" si="41"/>
        <v>-4.813233901340952E-2</v>
      </c>
      <c r="M263" s="7">
        <f t="shared" si="37"/>
        <v>0.92987036535958645</v>
      </c>
      <c r="N263" s="7">
        <f t="shared" si="38"/>
        <v>7.012963464041358E-2</v>
      </c>
    </row>
    <row r="264" spans="1:14" x14ac:dyDescent="0.2">
      <c r="A264" s="5">
        <v>43709</v>
      </c>
      <c r="B264" s="2" t="s">
        <v>68</v>
      </c>
      <c r="C264" s="2" t="s">
        <v>173</v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>7104.98</v>
      </c>
      <c r="E264" s="4">
        <f>IF(SUMIFS('Monthly BSE Equity Cash'!$G:$G,'Monthly BSE Equity Cash'!$A:$A,$A264)=0,"",SUMIFS('Monthly BSE Equity Cash'!$G:$G,'Monthly BSE Equity Cash'!$A:$A,$A264))</f>
        <v>526.90459999999996</v>
      </c>
      <c r="F264" s="4">
        <f t="shared" si="36"/>
        <v>7631.8845999999994</v>
      </c>
      <c r="G264" s="7">
        <f t="shared" si="33"/>
        <v>3.2221978472190882E-2</v>
      </c>
      <c r="H264" s="7">
        <f t="shared" si="34"/>
        <v>-0.15663836972209333</v>
      </c>
      <c r="I264" s="7">
        <f t="shared" si="35"/>
        <v>1.6506154517052396E-2</v>
      </c>
      <c r="J264" s="7">
        <f t="shared" si="39"/>
        <v>5.4725644379060912E-2</v>
      </c>
      <c r="K264" s="7">
        <f t="shared" si="40"/>
        <v>3.7121091933909778E-2</v>
      </c>
      <c r="L264" s="7">
        <f t="shared" si="41"/>
        <v>5.3491043548074435E-2</v>
      </c>
      <c r="M264" s="7">
        <f t="shared" si="37"/>
        <v>0.9309600933955422</v>
      </c>
      <c r="N264" s="7">
        <f t="shared" si="38"/>
        <v>6.9039906604457829E-2</v>
      </c>
    </row>
    <row r="265" spans="1:14" x14ac:dyDescent="0.2">
      <c r="A265" s="5">
        <v>43739</v>
      </c>
      <c r="B265" s="2" t="s">
        <v>68</v>
      </c>
      <c r="C265" s="2" t="s">
        <v>174</v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>7529.31</v>
      </c>
      <c r="E265" s="4">
        <f>IF(SUMIFS('Monthly BSE Equity Cash'!$G:$G,'Monthly BSE Equity Cash'!$A:$A,$A265)=0,"",SUMIFS('Monthly BSE Equity Cash'!$G:$G,'Monthly BSE Equity Cash'!$A:$A,$A265))</f>
        <v>566.22339999999997</v>
      </c>
      <c r="F265" s="4">
        <f t="shared" si="36"/>
        <v>8095.5334000000003</v>
      </c>
      <c r="G265" s="7">
        <f t="shared" si="33"/>
        <v>9.8540204725423575E-3</v>
      </c>
      <c r="H265" s="7">
        <f t="shared" si="34"/>
        <v>-0.14705750767006442</v>
      </c>
      <c r="I265" s="7">
        <f t="shared" si="35"/>
        <v>-2.9747082249018675E-3</v>
      </c>
      <c r="J265" s="7">
        <f t="shared" si="39"/>
        <v>5.9722898586625384E-2</v>
      </c>
      <c r="K265" s="7">
        <f t="shared" si="40"/>
        <v>7.4622237118446177E-2</v>
      </c>
      <c r="L265" s="7">
        <f t="shared" si="41"/>
        <v>6.0751547527330363E-2</v>
      </c>
      <c r="M265" s="7">
        <f t="shared" si="37"/>
        <v>0.93005730789771057</v>
      </c>
      <c r="N265" s="7">
        <f t="shared" si="38"/>
        <v>6.9942692102289386E-2</v>
      </c>
    </row>
    <row r="266" spans="1:14" x14ac:dyDescent="0.2">
      <c r="A266" s="5">
        <v>43770</v>
      </c>
      <c r="B266" s="2" t="s">
        <v>68</v>
      </c>
      <c r="C266" s="2" t="s">
        <v>174</v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>8342.52</v>
      </c>
      <c r="E266" s="4">
        <f>IF(SUMIFS('Monthly BSE Equity Cash'!$G:$G,'Monthly BSE Equity Cash'!$A:$A,$A266)=0,"",SUMIFS('Monthly BSE Equity Cash'!$G:$G,'Monthly BSE Equity Cash'!$A:$A,$A266))</f>
        <v>544.4461</v>
      </c>
      <c r="F266" s="4">
        <f t="shared" si="36"/>
        <v>8886.9660999999996</v>
      </c>
      <c r="G266" s="7">
        <f t="shared" si="33"/>
        <v>0.36558009801706959</v>
      </c>
      <c r="H266" s="7">
        <f t="shared" si="34"/>
        <v>-7.8207410828689872E-2</v>
      </c>
      <c r="I266" s="7">
        <f t="shared" si="35"/>
        <v>0.32645672280742888</v>
      </c>
      <c r="J266" s="7">
        <f t="shared" si="39"/>
        <v>0.10800591289241646</v>
      </c>
      <c r="K266" s="7">
        <f t="shared" si="40"/>
        <v>-3.8460614661986692E-2</v>
      </c>
      <c r="L266" s="7">
        <f t="shared" si="41"/>
        <v>9.7761649652387206E-2</v>
      </c>
      <c r="M266" s="7">
        <f t="shared" si="37"/>
        <v>0.93873656162590746</v>
      </c>
      <c r="N266" s="7">
        <f t="shared" si="38"/>
        <v>6.1263438374092594E-2</v>
      </c>
    </row>
    <row r="267" spans="1:14" x14ac:dyDescent="0.2">
      <c r="A267" s="5">
        <v>43800</v>
      </c>
      <c r="B267" s="2" t="s">
        <v>68</v>
      </c>
      <c r="C267" s="2" t="s">
        <v>174</v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>6819.83</v>
      </c>
      <c r="E267" s="4">
        <f>IF(SUMIFS('Monthly BSE Equity Cash'!$G:$G,'Monthly BSE Equity Cash'!$A:$A,$A267)=0,"",SUMIFS('Monthly BSE Equity Cash'!$G:$G,'Monthly BSE Equity Cash'!$A:$A,$A267))</f>
        <v>435.60120000000001</v>
      </c>
      <c r="F267" s="4">
        <f t="shared" si="36"/>
        <v>7255.4312</v>
      </c>
      <c r="G267" s="7">
        <f t="shared" si="33"/>
        <v>0.13679559005662445</v>
      </c>
      <c r="H267" s="7">
        <f t="shared" si="34"/>
        <v>-0.13713135791894715</v>
      </c>
      <c r="I267" s="7">
        <f t="shared" si="35"/>
        <v>0.11553385670056437</v>
      </c>
      <c r="J267" s="7">
        <f t="shared" si="39"/>
        <v>-0.18252158820116704</v>
      </c>
      <c r="K267" s="7">
        <f t="shared" si="40"/>
        <v>-0.19991859616590146</v>
      </c>
      <c r="L267" s="7">
        <f t="shared" si="41"/>
        <v>-0.18358738872650815</v>
      </c>
      <c r="M267" s="7">
        <f t="shared" si="37"/>
        <v>0.93996205215204853</v>
      </c>
      <c r="N267" s="7">
        <f t="shared" si="38"/>
        <v>6.0037947847951474E-2</v>
      </c>
    </row>
    <row r="268" spans="1:14" x14ac:dyDescent="0.2">
      <c r="A268" s="5">
        <v>43831</v>
      </c>
      <c r="B268" s="2" t="s">
        <v>68</v>
      </c>
      <c r="C268" s="2" t="s">
        <v>175</v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>8053.47</v>
      </c>
      <c r="E268" s="4">
        <f>IF(SUMIFS('Monthly BSE Equity Cash'!$G:$G,'Monthly BSE Equity Cash'!$A:$A,$A268)=0,"",SUMIFS('Monthly BSE Equity Cash'!$G:$G,'Monthly BSE Equity Cash'!$A:$A,$A268))</f>
        <v>558.45770000000005</v>
      </c>
      <c r="F268" s="4">
        <f t="shared" si="36"/>
        <v>8611.9277000000002</v>
      </c>
      <c r="G268" s="7">
        <f t="shared" si="33"/>
        <v>0.20943130161333201</v>
      </c>
      <c r="H268" s="7">
        <f t="shared" si="34"/>
        <v>-8.9456245996198058E-2</v>
      </c>
      <c r="I268" s="7">
        <f t="shared" si="35"/>
        <v>0.18422374932264418</v>
      </c>
      <c r="J268" s="7">
        <f t="shared" si="39"/>
        <v>0.18089013949028065</v>
      </c>
      <c r="K268" s="7">
        <f t="shared" si="40"/>
        <v>0.28203893836839766</v>
      </c>
      <c r="L268" s="7">
        <f t="shared" si="41"/>
        <v>0.18696290580220798</v>
      </c>
      <c r="M268" s="7">
        <f t="shared" si="37"/>
        <v>0.93515299716229616</v>
      </c>
      <c r="N268" s="7">
        <f t="shared" si="38"/>
        <v>6.484700283770381E-2</v>
      </c>
    </row>
    <row r="269" spans="1:14" x14ac:dyDescent="0.2">
      <c r="A269" s="5">
        <v>43862</v>
      </c>
      <c r="B269" s="2" t="s">
        <v>68</v>
      </c>
      <c r="C269" s="2" t="s">
        <v>175</v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>7967.68</v>
      </c>
      <c r="E269" s="4">
        <f>IF(SUMIFS('Monthly BSE Equity Cash'!$G:$G,'Monthly BSE Equity Cash'!$A:$A,$A269)=0,"",SUMIFS('Monthly BSE Equity Cash'!$G:$G,'Monthly BSE Equity Cash'!$A:$A,$A269))</f>
        <v>557.09990000000005</v>
      </c>
      <c r="F269" s="4">
        <f t="shared" si="36"/>
        <v>8524.7798999999995</v>
      </c>
      <c r="G269" s="7">
        <f t="shared" si="33"/>
        <v>0.24637164265490341</v>
      </c>
      <c r="H269" s="7">
        <f t="shared" si="34"/>
        <v>9.9777537330949517E-2</v>
      </c>
      <c r="I269" s="7">
        <f t="shared" si="35"/>
        <v>0.23560841748043915</v>
      </c>
      <c r="J269" s="7">
        <f t="shared" si="39"/>
        <v>-1.065255101217244E-2</v>
      </c>
      <c r="K269" s="7">
        <f t="shared" si="40"/>
        <v>-2.4313390253192235E-3</v>
      </c>
      <c r="L269" s="7">
        <f t="shared" si="41"/>
        <v>-1.0119430055131606E-2</v>
      </c>
      <c r="M269" s="7">
        <f t="shared" si="37"/>
        <v>0.93464935088822654</v>
      </c>
      <c r="N269" s="7">
        <f t="shared" si="38"/>
        <v>6.5350649111773559E-2</v>
      </c>
    </row>
    <row r="270" spans="1:14" x14ac:dyDescent="0.2">
      <c r="A270" s="5">
        <v>43891</v>
      </c>
      <c r="B270" s="2" t="s">
        <v>68</v>
      </c>
      <c r="C270" s="2" t="s">
        <v>175</v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>10062.49</v>
      </c>
      <c r="E270" s="4">
        <f>IF(SUMIFS('Monthly BSE Equity Cash'!$G:$G,'Monthly BSE Equity Cash'!$A:$A,$A270)=0,"",SUMIFS('Monthly BSE Equity Cash'!$G:$G,'Monthly BSE Equity Cash'!$A:$A,$A270))</f>
        <v>819.72069999999997</v>
      </c>
      <c r="F270" s="4">
        <f t="shared" si="36"/>
        <v>10882.2107</v>
      </c>
      <c r="G270" s="7">
        <f t="shared" ref="G270:G333" si="42">IF(OR(D270="",D258=""),"",D270/D258-1)</f>
        <v>0.44322197744196989</v>
      </c>
      <c r="H270" s="7">
        <f t="shared" ref="H270:H333" si="43">IF(OR(E270="",E258=""),"",E270/E258-1)</f>
        <v>1.2287554030734116E-2</v>
      </c>
      <c r="I270" s="7">
        <f t="shared" ref="I270:I333" si="44">IF(OR(F270="",F258=""),"",F270/F258-1)</f>
        <v>0.39838034916066545</v>
      </c>
      <c r="J270" s="7">
        <f t="shared" si="39"/>
        <v>0.26291342021767927</v>
      </c>
      <c r="K270" s="7">
        <f t="shared" si="40"/>
        <v>0.47140701335613211</v>
      </c>
      <c r="L270" s="7">
        <f t="shared" si="41"/>
        <v>0.27653861186492334</v>
      </c>
      <c r="M270" s="7">
        <f t="shared" si="37"/>
        <v>0.92467332947339465</v>
      </c>
      <c r="N270" s="7">
        <f t="shared" si="38"/>
        <v>7.532667052660541E-2</v>
      </c>
    </row>
    <row r="271" spans="1:14" x14ac:dyDescent="0.2">
      <c r="A271" s="5">
        <v>43922</v>
      </c>
      <c r="B271" s="2" t="s">
        <v>69</v>
      </c>
      <c r="C271" s="2" t="s">
        <v>176</v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>9058.0222000000012</v>
      </c>
      <c r="E271" s="4">
        <f>IF(SUMIFS('Monthly BSE Equity Cash'!$G:$G,'Monthly BSE Equity Cash'!$A:$A,$A271)=0,"",SUMIFS('Monthly BSE Equity Cash'!$G:$G,'Monthly BSE Equity Cash'!$A:$A,$A271))</f>
        <v>444.76339999999999</v>
      </c>
      <c r="F271" s="4">
        <f t="shared" si="36"/>
        <v>9502.7856000000011</v>
      </c>
      <c r="G271" s="7">
        <f t="shared" si="42"/>
        <v>0.41506169985080832</v>
      </c>
      <c r="H271" s="7">
        <f t="shared" si="43"/>
        <v>-0.20390042136965814</v>
      </c>
      <c r="I271" s="7">
        <f t="shared" si="44"/>
        <v>0.36537648106567477</v>
      </c>
      <c r="J271" s="7">
        <f t="shared" si="39"/>
        <v>-9.9822986159489258E-2</v>
      </c>
      <c r="K271" s="7">
        <f t="shared" si="40"/>
        <v>-0.457420801987799</v>
      </c>
      <c r="L271" s="7">
        <f t="shared" si="41"/>
        <v>-0.12675963901342202</v>
      </c>
      <c r="M271" s="7">
        <f t="shared" si="37"/>
        <v>0.95319652376456865</v>
      </c>
      <c r="N271" s="7">
        <f t="shared" si="38"/>
        <v>4.6803476235431421E-2</v>
      </c>
    </row>
    <row r="272" spans="1:14" x14ac:dyDescent="0.2">
      <c r="A272" s="5">
        <v>43952</v>
      </c>
      <c r="B272" s="2" t="s">
        <v>69</v>
      </c>
      <c r="C272" s="2" t="s">
        <v>176</v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>10004.5648</v>
      </c>
      <c r="E272" s="4">
        <f>IF(SUMIFS('Monthly BSE Equity Cash'!$G:$G,'Monthly BSE Equity Cash'!$A:$A,$A272)=0,"",SUMIFS('Monthly BSE Equity Cash'!$G:$G,'Monthly BSE Equity Cash'!$A:$A,$A272))</f>
        <v>650.18989999999997</v>
      </c>
      <c r="F272" s="4">
        <f t="shared" si="36"/>
        <v>10654.7547</v>
      </c>
      <c r="G272" s="7">
        <f t="shared" si="42"/>
        <v>0.26931843325923888</v>
      </c>
      <c r="H272" s="7">
        <f t="shared" si="43"/>
        <v>0.11770980419661692</v>
      </c>
      <c r="I272" s="7">
        <f t="shared" si="44"/>
        <v>0.25889808588971119</v>
      </c>
      <c r="J272" s="7">
        <f t="shared" si="39"/>
        <v>0.10449771253596607</v>
      </c>
      <c r="K272" s="7">
        <f t="shared" si="40"/>
        <v>0.46187815813981081</v>
      </c>
      <c r="L272" s="7">
        <f t="shared" si="41"/>
        <v>0.12122435972879342</v>
      </c>
      <c r="M272" s="7">
        <f t="shared" si="37"/>
        <v>0.93897654912693584</v>
      </c>
      <c r="N272" s="7">
        <f t="shared" si="38"/>
        <v>6.1023450873064211E-2</v>
      </c>
    </row>
    <row r="273" spans="1:14" x14ac:dyDescent="0.2">
      <c r="A273" s="5">
        <v>43983</v>
      </c>
      <c r="B273" s="2" t="s">
        <v>69</v>
      </c>
      <c r="C273" s="2" t="s">
        <v>176</v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>13506.81</v>
      </c>
      <c r="E273" s="4">
        <f>IF(SUMIFS('Monthly BSE Equity Cash'!$G:$G,'Monthly BSE Equity Cash'!$A:$A,$A273)=0,"",SUMIFS('Monthly BSE Equity Cash'!$G:$G,'Monthly BSE Equity Cash'!$A:$A,$A273))</f>
        <v>1101.9269999999999</v>
      </c>
      <c r="F273" s="4">
        <f t="shared" si="36"/>
        <v>14608.736999999999</v>
      </c>
      <c r="G273" s="7">
        <f t="shared" si="42"/>
        <v>1.2661292216834723</v>
      </c>
      <c r="H273" s="7">
        <f t="shared" si="43"/>
        <v>1.3466175164668073</v>
      </c>
      <c r="I273" s="7">
        <f t="shared" si="44"/>
        <v>1.2720073668548451</v>
      </c>
      <c r="J273" s="7">
        <f t="shared" si="39"/>
        <v>0.35006472245549336</v>
      </c>
      <c r="K273" s="7">
        <f t="shared" si="40"/>
        <v>0.69477717202312728</v>
      </c>
      <c r="L273" s="7">
        <f t="shared" si="41"/>
        <v>0.37110026568701771</v>
      </c>
      <c r="M273" s="7">
        <f t="shared" si="37"/>
        <v>0.92457068670618137</v>
      </c>
      <c r="N273" s="7">
        <f t="shared" si="38"/>
        <v>7.542931329381862E-2</v>
      </c>
    </row>
    <row r="274" spans="1:14" x14ac:dyDescent="0.2">
      <c r="A274" s="5">
        <v>44013</v>
      </c>
      <c r="B274" s="2" t="s">
        <v>69</v>
      </c>
      <c r="C274" s="2" t="s">
        <v>177</v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>13485.210100000002</v>
      </c>
      <c r="E274" s="4">
        <f>IF(SUMIFS('Monthly BSE Equity Cash'!$G:$G,'Monthly BSE Equity Cash'!$A:$A,$A274)=0,"",SUMIFS('Monthly BSE Equity Cash'!$G:$G,'Monthly BSE Equity Cash'!$A:$A,$A274))</f>
        <v>800.92740000000003</v>
      </c>
      <c r="F274" s="4">
        <f t="shared" si="36"/>
        <v>14286.137500000003</v>
      </c>
      <c r="G274" s="7">
        <f t="shared" si="42"/>
        <v>0.89180875703718065</v>
      </c>
      <c r="H274" s="7">
        <f t="shared" si="43"/>
        <v>0.66000132646335863</v>
      </c>
      <c r="I274" s="7">
        <f t="shared" si="44"/>
        <v>0.87711314444828736</v>
      </c>
      <c r="J274" s="7">
        <f t="shared" si="39"/>
        <v>-1.5991858921534652E-3</v>
      </c>
      <c r="K274" s="7">
        <f t="shared" si="40"/>
        <v>-0.27315747776395338</v>
      </c>
      <c r="L274" s="7">
        <f t="shared" si="41"/>
        <v>-2.208264136728566E-2</v>
      </c>
      <c r="M274" s="7">
        <f t="shared" si="37"/>
        <v>0.94393674287399232</v>
      </c>
      <c r="N274" s="7">
        <f t="shared" si="38"/>
        <v>5.6063257126007633E-2</v>
      </c>
    </row>
    <row r="275" spans="1:14" x14ac:dyDescent="0.2">
      <c r="A275" s="5">
        <v>44044</v>
      </c>
      <c r="B275" s="2" t="s">
        <v>69</v>
      </c>
      <c r="C275" s="2" t="s">
        <v>177</v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>12825.57</v>
      </c>
      <c r="E275" s="4">
        <f>IF(SUMIFS('Monthly BSE Equity Cash'!$G:$G,'Monthly BSE Equity Cash'!$A:$A,$A275)=0,"",SUMIFS('Monthly BSE Equity Cash'!$G:$G,'Monthly BSE Equity Cash'!$A:$A,$A275))</f>
        <v>930.79989999999998</v>
      </c>
      <c r="F275" s="4">
        <f t="shared" si="36"/>
        <v>13756.3699</v>
      </c>
      <c r="G275" s="7">
        <f t="shared" si="42"/>
        <v>0.90394027608504923</v>
      </c>
      <c r="H275" s="7">
        <f t="shared" si="43"/>
        <v>0.8321195310497842</v>
      </c>
      <c r="I275" s="7">
        <f t="shared" si="44"/>
        <v>0.89890351347612385</v>
      </c>
      <c r="J275" s="7">
        <f t="shared" si="39"/>
        <v>-4.8915819264840565E-2</v>
      </c>
      <c r="K275" s="7">
        <f t="shared" si="40"/>
        <v>0.16215264954101949</v>
      </c>
      <c r="L275" s="7">
        <f t="shared" si="41"/>
        <v>-3.7082633426984923E-2</v>
      </c>
      <c r="M275" s="7">
        <f t="shared" si="37"/>
        <v>0.93233680783765494</v>
      </c>
      <c r="N275" s="7">
        <f t="shared" si="38"/>
        <v>6.7663192162345093E-2</v>
      </c>
    </row>
    <row r="276" spans="1:14" x14ac:dyDescent="0.2">
      <c r="A276" s="5">
        <v>44075</v>
      </c>
      <c r="B276" s="2" t="s">
        <v>69</v>
      </c>
      <c r="C276" s="2" t="s">
        <v>177</v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>12233.29</v>
      </c>
      <c r="E276" s="4">
        <f>IF(SUMIFS('Monthly BSE Equity Cash'!$G:$G,'Monthly BSE Equity Cash'!$A:$A,$A276)=0,"",SUMIFS('Monthly BSE Equity Cash'!$G:$G,'Monthly BSE Equity Cash'!$A:$A,$A276))</f>
        <v>700.2527</v>
      </c>
      <c r="F276" s="4">
        <f t="shared" si="36"/>
        <v>12933.542700000002</v>
      </c>
      <c r="G276" s="7">
        <f t="shared" si="42"/>
        <v>0.72179091285267538</v>
      </c>
      <c r="H276" s="7">
        <f t="shared" si="43"/>
        <v>0.32899333199975866</v>
      </c>
      <c r="I276" s="7">
        <f t="shared" si="44"/>
        <v>0.6946722045561331</v>
      </c>
      <c r="J276" s="7">
        <f t="shared" si="39"/>
        <v>-4.6179623985522555E-2</v>
      </c>
      <c r="K276" s="7">
        <f t="shared" si="40"/>
        <v>-0.24768717744812818</v>
      </c>
      <c r="L276" s="7">
        <f t="shared" si="41"/>
        <v>-5.9814268297626816E-2</v>
      </c>
      <c r="M276" s="7">
        <f t="shared" si="37"/>
        <v>0.94585762646455707</v>
      </c>
      <c r="N276" s="7">
        <f t="shared" si="38"/>
        <v>5.4142373535442836E-2</v>
      </c>
    </row>
    <row r="277" spans="1:14" x14ac:dyDescent="0.2">
      <c r="A277" s="5">
        <v>44105</v>
      </c>
      <c r="B277" s="2" t="s">
        <v>69</v>
      </c>
      <c r="C277" s="2" t="s">
        <v>178</v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>10988.84</v>
      </c>
      <c r="E277" s="4">
        <f>IF(SUMIFS('Monthly BSE Equity Cash'!$G:$G,'Monthly BSE Equity Cash'!$A:$A,$A277)=0,"",SUMIFS('Monthly BSE Equity Cash'!$G:$G,'Monthly BSE Equity Cash'!$A:$A,$A277))</f>
        <v>578.66309999999999</v>
      </c>
      <c r="F277" s="4">
        <f t="shared" si="36"/>
        <v>11567.5031</v>
      </c>
      <c r="G277" s="7">
        <f t="shared" si="42"/>
        <v>0.45947503821731339</v>
      </c>
      <c r="H277" s="7">
        <f t="shared" si="43"/>
        <v>2.1969597159001264E-2</v>
      </c>
      <c r="I277" s="7">
        <f t="shared" si="44"/>
        <v>0.42887472986029551</v>
      </c>
      <c r="J277" s="7">
        <f t="shared" si="39"/>
        <v>-0.10172651837731306</v>
      </c>
      <c r="K277" s="7">
        <f t="shared" si="40"/>
        <v>-0.17363674570622867</v>
      </c>
      <c r="L277" s="7">
        <f t="shared" si="41"/>
        <v>-0.10561990876637395</v>
      </c>
      <c r="M277" s="7">
        <f t="shared" si="37"/>
        <v>0.94997510741968161</v>
      </c>
      <c r="N277" s="7">
        <f t="shared" si="38"/>
        <v>5.0024892580318392E-2</v>
      </c>
    </row>
    <row r="278" spans="1:14" x14ac:dyDescent="0.2">
      <c r="A278" s="5">
        <v>44136</v>
      </c>
      <c r="B278" s="2" t="s">
        <v>69</v>
      </c>
      <c r="C278" s="2" t="s">
        <v>178</v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>13372.72</v>
      </c>
      <c r="E278" s="4">
        <f>IF(SUMIFS('Monthly BSE Equity Cash'!$G:$G,'Monthly BSE Equity Cash'!$A:$A,$A278)=0,"",SUMIFS('Monthly BSE Equity Cash'!$G:$G,'Monthly BSE Equity Cash'!$A:$A,$A278))</f>
        <v>706.75890000000004</v>
      </c>
      <c r="F278" s="4">
        <f t="shared" si="36"/>
        <v>14079.4789</v>
      </c>
      <c r="G278" s="7">
        <f t="shared" si="42"/>
        <v>0.60295929767024825</v>
      </c>
      <c r="H278" s="7">
        <f t="shared" si="43"/>
        <v>0.29812464447812204</v>
      </c>
      <c r="I278" s="7">
        <f t="shared" si="44"/>
        <v>0.58428407868012466</v>
      </c>
      <c r="J278" s="7">
        <f t="shared" si="39"/>
        <v>0.21693645553124807</v>
      </c>
      <c r="K278" s="7">
        <f t="shared" si="40"/>
        <v>0.22136507408196593</v>
      </c>
      <c r="L278" s="7">
        <f t="shared" si="41"/>
        <v>0.21715799669852687</v>
      </c>
      <c r="M278" s="7">
        <f t="shared" si="37"/>
        <v>0.9498021975799118</v>
      </c>
      <c r="N278" s="7">
        <f t="shared" si="38"/>
        <v>5.0197802420088151E-2</v>
      </c>
    </row>
    <row r="279" spans="1:14" x14ac:dyDescent="0.2">
      <c r="A279" s="5">
        <v>44166</v>
      </c>
      <c r="B279" s="2" t="s">
        <v>69</v>
      </c>
      <c r="C279" s="2" t="s">
        <v>178</v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>13745.52</v>
      </c>
      <c r="E279" s="4">
        <f>IF(SUMIFS('Monthly BSE Equity Cash'!$G:$G,'Monthly BSE Equity Cash'!$A:$A,$A279)=0,"",SUMIFS('Monthly BSE Equity Cash'!$G:$G,'Monthly BSE Equity Cash'!$A:$A,$A279))</f>
        <v>994.14800000000002</v>
      </c>
      <c r="F279" s="4">
        <f t="shared" si="36"/>
        <v>14739.668</v>
      </c>
      <c r="G279" s="7">
        <f t="shared" si="42"/>
        <v>1.0155223810564196</v>
      </c>
      <c r="H279" s="7">
        <f t="shared" si="43"/>
        <v>1.2822434832594585</v>
      </c>
      <c r="I279" s="7">
        <f t="shared" si="44"/>
        <v>1.0315357686804334</v>
      </c>
      <c r="J279" s="7">
        <f t="shared" si="39"/>
        <v>2.7877649423602824E-2</v>
      </c>
      <c r="K279" s="7">
        <f t="shared" si="40"/>
        <v>0.40662961584212098</v>
      </c>
      <c r="L279" s="7">
        <f t="shared" si="41"/>
        <v>4.6890165800099304E-2</v>
      </c>
      <c r="M279" s="7">
        <f t="shared" si="37"/>
        <v>0.93255289060784818</v>
      </c>
      <c r="N279" s="7">
        <f t="shared" si="38"/>
        <v>6.7447109392151844E-2</v>
      </c>
    </row>
    <row r="280" spans="1:14" x14ac:dyDescent="0.2">
      <c r="A280" s="5">
        <v>44197</v>
      </c>
      <c r="B280" s="2" t="s">
        <v>69</v>
      </c>
      <c r="C280" s="2" t="s">
        <v>179</v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>14494.45</v>
      </c>
      <c r="E280" s="4">
        <f>IF(SUMIFS('Monthly BSE Equity Cash'!$G:$G,'Monthly BSE Equity Cash'!$A:$A,$A280)=0,"",SUMIFS('Monthly BSE Equity Cash'!$G:$G,'Monthly BSE Equity Cash'!$A:$A,$A280))</f>
        <v>1040.6322</v>
      </c>
      <c r="F280" s="4">
        <f t="shared" si="36"/>
        <v>15535.082200000001</v>
      </c>
      <c r="G280" s="7">
        <f t="shared" si="42"/>
        <v>0.79977699053948181</v>
      </c>
      <c r="H280" s="7">
        <f t="shared" si="43"/>
        <v>0.86340379942831835</v>
      </c>
      <c r="I280" s="7">
        <f t="shared" si="44"/>
        <v>0.80390299839605017</v>
      </c>
      <c r="J280" s="7">
        <f t="shared" si="39"/>
        <v>5.4485388693916281E-2</v>
      </c>
      <c r="K280" s="7">
        <f t="shared" si="40"/>
        <v>4.6757826802447999E-2</v>
      </c>
      <c r="L280" s="7">
        <f t="shared" si="41"/>
        <v>5.3964186981687812E-2</v>
      </c>
      <c r="M280" s="7">
        <f t="shared" si="37"/>
        <v>0.93301405254231617</v>
      </c>
      <c r="N280" s="7">
        <f t="shared" si="38"/>
        <v>6.6985947457683867E-2</v>
      </c>
    </row>
    <row r="281" spans="1:14" x14ac:dyDescent="0.2">
      <c r="A281" s="5">
        <v>44228</v>
      </c>
      <c r="B281" s="2" t="s">
        <v>69</v>
      </c>
      <c r="C281" s="2" t="s">
        <v>179</v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>16274.64</v>
      </c>
      <c r="E281" s="4">
        <f>IF(SUMIFS('Monthly BSE Equity Cash'!$G:$G,'Monthly BSE Equity Cash'!$A:$A,$A281)=0,"",SUMIFS('Monthly BSE Equity Cash'!$G:$G,'Monthly BSE Equity Cash'!$A:$A,$A281))</f>
        <v>1449.5451</v>
      </c>
      <c r="F281" s="4">
        <f t="shared" si="36"/>
        <v>17724.185099999999</v>
      </c>
      <c r="G281" s="7">
        <f t="shared" si="42"/>
        <v>1.0425820314068837</v>
      </c>
      <c r="H281" s="7">
        <f t="shared" si="43"/>
        <v>1.6019482322649852</v>
      </c>
      <c r="I281" s="7">
        <f t="shared" si="44"/>
        <v>1.0791369757241474</v>
      </c>
      <c r="J281" s="7">
        <f t="shared" si="39"/>
        <v>0.12281873406717736</v>
      </c>
      <c r="K281" s="7">
        <f t="shared" si="40"/>
        <v>0.39294661456756774</v>
      </c>
      <c r="L281" s="7">
        <f t="shared" si="41"/>
        <v>0.14091350607723196</v>
      </c>
      <c r="M281" s="7">
        <f t="shared" si="37"/>
        <v>0.91821654469180647</v>
      </c>
      <c r="N281" s="7">
        <f t="shared" si="38"/>
        <v>8.1783455308193559E-2</v>
      </c>
    </row>
    <row r="282" spans="1:14" x14ac:dyDescent="0.2">
      <c r="A282" s="5">
        <v>44256</v>
      </c>
      <c r="B282" s="2" t="s">
        <v>69</v>
      </c>
      <c r="C282" s="2" t="s">
        <v>179</v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>13989.47</v>
      </c>
      <c r="E282" s="4">
        <f>IF(SUMIFS('Monthly BSE Equity Cash'!$G:$G,'Monthly BSE Equity Cash'!$A:$A,$A282)=0,"",SUMIFS('Monthly BSE Equity Cash'!$G:$G,'Monthly BSE Equity Cash'!$A:$A,$A282))</f>
        <v>1052.288</v>
      </c>
      <c r="F282" s="4">
        <f t="shared" si="36"/>
        <v>15041.758</v>
      </c>
      <c r="G282" s="7">
        <f t="shared" si="42"/>
        <v>0.39025926982287684</v>
      </c>
      <c r="H282" s="7">
        <f t="shared" si="43"/>
        <v>0.28371529473392587</v>
      </c>
      <c r="I282" s="7">
        <f t="shared" si="44"/>
        <v>0.38223366691475658</v>
      </c>
      <c r="J282" s="7">
        <f t="shared" si="39"/>
        <v>-0.14041293693746837</v>
      </c>
      <c r="K282" s="7">
        <f t="shared" si="40"/>
        <v>-0.27405639189839626</v>
      </c>
      <c r="L282" s="7">
        <f t="shared" si="41"/>
        <v>-0.15134276046349793</v>
      </c>
      <c r="M282" s="7">
        <f t="shared" si="37"/>
        <v>0.93004221979904211</v>
      </c>
      <c r="N282" s="7">
        <f t="shared" si="38"/>
        <v>6.99577802009579E-2</v>
      </c>
    </row>
    <row r="283" spans="1:14" x14ac:dyDescent="0.2">
      <c r="A283" s="5">
        <v>44287</v>
      </c>
      <c r="B283" s="2" t="s">
        <v>70</v>
      </c>
      <c r="C283" s="2" t="s">
        <v>180</v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>13306.87</v>
      </c>
      <c r="E283" s="4">
        <f>IF(SUMIFS('Monthly BSE Equity Cash'!$G:$G,'Monthly BSE Equity Cash'!$A:$A,$A283)=0,"",SUMIFS('Monthly BSE Equity Cash'!$G:$G,'Monthly BSE Equity Cash'!$A:$A,$A283))</f>
        <v>828.79449999999997</v>
      </c>
      <c r="F283" s="4">
        <f t="shared" si="36"/>
        <v>14135.664500000001</v>
      </c>
      <c r="G283" s="7">
        <f t="shared" si="42"/>
        <v>0.46907014646089062</v>
      </c>
      <c r="H283" s="7">
        <f t="shared" si="43"/>
        <v>0.86345031987793952</v>
      </c>
      <c r="I283" s="7">
        <f t="shared" si="44"/>
        <v>0.48752850953514093</v>
      </c>
      <c r="J283" s="7">
        <f t="shared" si="39"/>
        <v>-4.8793842797475451E-2</v>
      </c>
      <c r="K283" s="7">
        <f t="shared" si="40"/>
        <v>-0.21238814849166776</v>
      </c>
      <c r="L283" s="7">
        <f t="shared" si="41"/>
        <v>-6.0238537277358062E-2</v>
      </c>
      <c r="M283" s="7">
        <f t="shared" si="37"/>
        <v>0.94136855044911405</v>
      </c>
      <c r="N283" s="7">
        <f t="shared" si="38"/>
        <v>5.8631449550885985E-2</v>
      </c>
    </row>
    <row r="284" spans="1:14" x14ac:dyDescent="0.2">
      <c r="A284" s="5">
        <v>44317</v>
      </c>
      <c r="B284" s="2" t="s">
        <v>70</v>
      </c>
      <c r="C284" s="2" t="s">
        <v>180</v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>15679.153400000003</v>
      </c>
      <c r="E284" s="4">
        <f>IF(SUMIFS('Monthly BSE Equity Cash'!$G:$G,'Monthly BSE Equity Cash'!$A:$A,$A284)=0,"",SUMIFS('Monthly BSE Equity Cash'!$G:$G,'Monthly BSE Equity Cash'!$A:$A,$A284))</f>
        <v>1125.0059000000001</v>
      </c>
      <c r="F284" s="4">
        <f t="shared" si="36"/>
        <v>16804.159300000003</v>
      </c>
      <c r="G284" s="7">
        <f t="shared" si="42"/>
        <v>0.56719994456930323</v>
      </c>
      <c r="H284" s="7">
        <f t="shared" si="43"/>
        <v>0.73027280183835552</v>
      </c>
      <c r="I284" s="7">
        <f t="shared" si="44"/>
        <v>0.57715121306359163</v>
      </c>
      <c r="J284" s="7">
        <f t="shared" si="39"/>
        <v>0.17827508647788703</v>
      </c>
      <c r="K284" s="7">
        <f t="shared" si="40"/>
        <v>0.35740029645467009</v>
      </c>
      <c r="L284" s="7">
        <f t="shared" si="41"/>
        <v>0.18877745718993277</v>
      </c>
      <c r="M284" s="7">
        <f t="shared" si="37"/>
        <v>0.93305193792110741</v>
      </c>
      <c r="N284" s="7">
        <f t="shared" si="38"/>
        <v>6.6948062078892576E-2</v>
      </c>
    </row>
    <row r="285" spans="1:14" x14ac:dyDescent="0.2">
      <c r="A285" s="5">
        <v>44348</v>
      </c>
      <c r="B285" s="2" t="s">
        <v>70</v>
      </c>
      <c r="C285" s="2" t="s">
        <v>180</v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>15546.94</v>
      </c>
      <c r="E285" s="4">
        <f>IF(SUMIFS('Monthly BSE Equity Cash'!$G:$G,'Monthly BSE Equity Cash'!$A:$A,$A285)=0,"",SUMIFS('Monthly BSE Equity Cash'!$G:$G,'Monthly BSE Equity Cash'!$A:$A,$A285))</f>
        <v>1499.4581000000001</v>
      </c>
      <c r="F285" s="4">
        <f t="shared" si="36"/>
        <v>17046.398100000002</v>
      </c>
      <c r="G285" s="7">
        <f t="shared" si="42"/>
        <v>0.15104454715806326</v>
      </c>
      <c r="H285" s="7">
        <f t="shared" si="43"/>
        <v>0.36075992329800455</v>
      </c>
      <c r="I285" s="7">
        <f t="shared" si="44"/>
        <v>0.16686323396745406</v>
      </c>
      <c r="J285" s="7">
        <f t="shared" si="39"/>
        <v>-8.4324323276282476E-3</v>
      </c>
      <c r="K285" s="7">
        <f t="shared" si="40"/>
        <v>0.33284465441470124</v>
      </c>
      <c r="L285" s="7">
        <f t="shared" si="41"/>
        <v>1.4415407261700874E-2</v>
      </c>
      <c r="M285" s="7">
        <f t="shared" si="37"/>
        <v>0.91203666069490652</v>
      </c>
      <c r="N285" s="7">
        <f t="shared" si="38"/>
        <v>8.7963339305093424E-2</v>
      </c>
    </row>
    <row r="286" spans="1:14" x14ac:dyDescent="0.2">
      <c r="A286" s="5">
        <v>44378</v>
      </c>
      <c r="B286" s="2" t="s">
        <v>70</v>
      </c>
      <c r="C286" s="2" t="s">
        <v>181</v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>13157.16</v>
      </c>
      <c r="E286" s="4">
        <f>IF(SUMIFS('Monthly BSE Equity Cash'!$G:$G,'Monthly BSE Equity Cash'!$A:$A,$A286)=0,"",SUMIFS('Monthly BSE Equity Cash'!$G:$G,'Monthly BSE Equity Cash'!$A:$A,$A286))</f>
        <v>1160.3475000000001</v>
      </c>
      <c r="F286" s="4">
        <f t="shared" si="36"/>
        <v>14317.5075</v>
      </c>
      <c r="G286" s="7">
        <f t="shared" si="42"/>
        <v>-2.4326658433004522E-2</v>
      </c>
      <c r="H286" s="7">
        <f t="shared" si="43"/>
        <v>0.44875490587536393</v>
      </c>
      <c r="I286" s="7">
        <f t="shared" si="44"/>
        <v>2.1958349483894857E-3</v>
      </c>
      <c r="J286" s="7">
        <f t="shared" si="39"/>
        <v>-0.15371384979938174</v>
      </c>
      <c r="K286" s="7">
        <f t="shared" si="40"/>
        <v>-0.22615543575375663</v>
      </c>
      <c r="L286" s="7">
        <f t="shared" si="41"/>
        <v>-0.16008605360448569</v>
      </c>
      <c r="M286" s="7">
        <f t="shared" si="37"/>
        <v>0.9189560403582816</v>
      </c>
      <c r="N286" s="7">
        <f t="shared" si="38"/>
        <v>8.1043959641718372E-2</v>
      </c>
    </row>
    <row r="287" spans="1:14" x14ac:dyDescent="0.2">
      <c r="A287" s="5">
        <v>44409</v>
      </c>
      <c r="B287" s="2" t="s">
        <v>70</v>
      </c>
      <c r="C287" s="2" t="s">
        <v>181</v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>13213.910300000003</v>
      </c>
      <c r="E287" s="4">
        <f>IF(SUMIFS('Monthly BSE Equity Cash'!$G:$G,'Monthly BSE Equity Cash'!$A:$A,$A287)=0,"",SUMIFS('Monthly BSE Equity Cash'!$G:$G,'Monthly BSE Equity Cash'!$A:$A,$A287))</f>
        <v>1091.8108999999999</v>
      </c>
      <c r="F287" s="4">
        <f t="shared" si="36"/>
        <v>14305.721200000004</v>
      </c>
      <c r="G287" s="7">
        <f t="shared" si="42"/>
        <v>3.0278599703561282E-2</v>
      </c>
      <c r="H287" s="7">
        <f t="shared" si="43"/>
        <v>0.17298132498725027</v>
      </c>
      <c r="I287" s="7">
        <f t="shared" si="44"/>
        <v>3.9934321626521774E-2</v>
      </c>
      <c r="J287" s="7">
        <f t="shared" si="39"/>
        <v>4.3132636526426182E-3</v>
      </c>
      <c r="K287" s="7">
        <f t="shared" si="40"/>
        <v>-5.9065581646877474E-2</v>
      </c>
      <c r="L287" s="7">
        <f t="shared" si="41"/>
        <v>-8.232089279504029E-4</v>
      </c>
      <c r="M287" s="7">
        <f t="shared" si="37"/>
        <v>0.92368012176834535</v>
      </c>
      <c r="N287" s="7">
        <f t="shared" si="38"/>
        <v>7.6319878231654592E-2</v>
      </c>
    </row>
    <row r="288" spans="1:14" x14ac:dyDescent="0.2">
      <c r="A288" s="5">
        <v>44440</v>
      </c>
      <c r="B288" s="2" t="s">
        <v>70</v>
      </c>
      <c r="C288" s="2" t="s">
        <v>181</v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>14390.170500000002</v>
      </c>
      <c r="E288" s="4">
        <f>IF(SUMIFS('Monthly BSE Equity Cash'!$G:$G,'Monthly BSE Equity Cash'!$A:$A,$A288)=0,"",SUMIFS('Monthly BSE Equity Cash'!$G:$G,'Monthly BSE Equity Cash'!$A:$A,$A288))</f>
        <v>1289.7484999999999</v>
      </c>
      <c r="F288" s="4">
        <f t="shared" si="36"/>
        <v>15679.919000000002</v>
      </c>
      <c r="G288" s="7">
        <f t="shared" si="42"/>
        <v>0.17631238203296107</v>
      </c>
      <c r="H288" s="7">
        <f t="shared" si="43"/>
        <v>0.84183295544594094</v>
      </c>
      <c r="I288" s="7">
        <f t="shared" si="44"/>
        <v>0.21234524551420852</v>
      </c>
      <c r="J288" s="7">
        <f t="shared" si="39"/>
        <v>8.9016814349042406E-2</v>
      </c>
      <c r="K288" s="7">
        <f t="shared" si="40"/>
        <v>0.18129293268642033</v>
      </c>
      <c r="L288" s="7">
        <f t="shared" si="41"/>
        <v>9.6059316464240707E-2</v>
      </c>
      <c r="M288" s="7">
        <f t="shared" si="37"/>
        <v>0.91774520646439561</v>
      </c>
      <c r="N288" s="7">
        <f t="shared" si="38"/>
        <v>8.2254793535604345E-2</v>
      </c>
    </row>
    <row r="289" spans="1:14" x14ac:dyDescent="0.2">
      <c r="A289" s="5">
        <v>44470</v>
      </c>
      <c r="B289" s="2" t="s">
        <v>70</v>
      </c>
      <c r="C289" s="2" t="s">
        <v>182</v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>16272.17</v>
      </c>
      <c r="E289" s="4">
        <f>IF(SUMIFS('Monthly BSE Equity Cash'!$G:$G,'Monthly BSE Equity Cash'!$A:$A,$A289)=0,"",SUMIFS('Monthly BSE Equity Cash'!$G:$G,'Monthly BSE Equity Cash'!$A:$A,$A289))</f>
        <v>1337.2855</v>
      </c>
      <c r="F289" s="4">
        <f t="shared" si="36"/>
        <v>17609.4555</v>
      </c>
      <c r="G289" s="7">
        <f t="shared" si="42"/>
        <v>0.48079051110035276</v>
      </c>
      <c r="H289" s="7">
        <f t="shared" si="43"/>
        <v>1.3109914905581501</v>
      </c>
      <c r="I289" s="7">
        <f t="shared" si="44"/>
        <v>0.52232122591780428</v>
      </c>
      <c r="J289" s="7">
        <f t="shared" si="39"/>
        <v>0.13078368320931277</v>
      </c>
      <c r="K289" s="7">
        <f t="shared" si="40"/>
        <v>3.6857573395123078E-2</v>
      </c>
      <c r="L289" s="7">
        <f t="shared" si="41"/>
        <v>0.12305781043894415</v>
      </c>
      <c r="M289" s="7">
        <f t="shared" si="37"/>
        <v>0.9240586683671167</v>
      </c>
      <c r="N289" s="7">
        <f t="shared" si="38"/>
        <v>7.5941331632883247E-2</v>
      </c>
    </row>
    <row r="290" spans="1:14" x14ac:dyDescent="0.2">
      <c r="A290" s="5">
        <v>44501</v>
      </c>
      <c r="B290" s="2" t="s">
        <v>70</v>
      </c>
      <c r="C290" s="2" t="s">
        <v>182</v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>13396.3</v>
      </c>
      <c r="E290" s="4">
        <f>IF(SUMIFS('Monthly BSE Equity Cash'!$G:$G,'Monthly BSE Equity Cash'!$A:$A,$A290)=0,"",SUMIFS('Monthly BSE Equity Cash'!$G:$G,'Monthly BSE Equity Cash'!$A:$A,$A290))</f>
        <v>970.65689999999995</v>
      </c>
      <c r="F290" s="4">
        <f t="shared" si="36"/>
        <v>14366.956899999999</v>
      </c>
      <c r="G290" s="7">
        <f t="shared" si="42"/>
        <v>1.7632912376839283E-3</v>
      </c>
      <c r="H290" s="7">
        <f t="shared" si="43"/>
        <v>0.37339183135861442</v>
      </c>
      <c r="I290" s="7">
        <f t="shared" si="44"/>
        <v>2.0418227268340194E-2</v>
      </c>
      <c r="J290" s="7">
        <f t="shared" si="39"/>
        <v>-0.17673549379093267</v>
      </c>
      <c r="K290" s="7">
        <f t="shared" si="40"/>
        <v>-0.27415880902021295</v>
      </c>
      <c r="L290" s="7">
        <f t="shared" si="41"/>
        <v>-0.18413395008153433</v>
      </c>
      <c r="M290" s="7">
        <f t="shared" si="37"/>
        <v>0.93243823958294192</v>
      </c>
      <c r="N290" s="7">
        <f t="shared" si="38"/>
        <v>6.7561760417058123E-2</v>
      </c>
    </row>
    <row r="291" spans="1:14" x14ac:dyDescent="0.2">
      <c r="A291" s="5">
        <v>44531</v>
      </c>
      <c r="B291" s="2" t="s">
        <v>70</v>
      </c>
      <c r="C291" s="2" t="s">
        <v>182</v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>12327.35</v>
      </c>
      <c r="E291" s="4">
        <f>IF(SUMIFS('Monthly BSE Equity Cash'!$G:$G,'Monthly BSE Equity Cash'!$A:$A,$A291)=0,"",SUMIFS('Monthly BSE Equity Cash'!$G:$G,'Monthly BSE Equity Cash'!$A:$A,$A291))</f>
        <v>978.96910000000003</v>
      </c>
      <c r="F291" s="4">
        <f t="shared" si="36"/>
        <v>13306.319100000001</v>
      </c>
      <c r="G291" s="7">
        <f t="shared" si="42"/>
        <v>-0.10317325208504302</v>
      </c>
      <c r="H291" s="7">
        <f t="shared" si="43"/>
        <v>-1.5268249797816824E-2</v>
      </c>
      <c r="I291" s="7">
        <f t="shared" si="44"/>
        <v>-9.7244313779659031E-2</v>
      </c>
      <c r="J291" s="7">
        <f t="shared" si="39"/>
        <v>-7.9794420847547398E-2</v>
      </c>
      <c r="K291" s="7">
        <f t="shared" si="40"/>
        <v>8.5634790212689715E-3</v>
      </c>
      <c r="L291" s="7">
        <f t="shared" si="41"/>
        <v>-7.3824805585655962E-2</v>
      </c>
      <c r="M291" s="7">
        <f t="shared" si="37"/>
        <v>0.92642825618092983</v>
      </c>
      <c r="N291" s="7">
        <f t="shared" si="38"/>
        <v>7.357174381907014E-2</v>
      </c>
    </row>
    <row r="292" spans="1:14" x14ac:dyDescent="0.2">
      <c r="A292" s="5">
        <v>44562</v>
      </c>
      <c r="B292" s="2" t="s">
        <v>70</v>
      </c>
      <c r="C292" s="2" t="s">
        <v>183</v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>12835.51</v>
      </c>
      <c r="E292" s="4">
        <f>IF(SUMIFS('Monthly BSE Equity Cash'!$G:$G,'Monthly BSE Equity Cash'!$A:$A,$A292)=0,"",SUMIFS('Monthly BSE Equity Cash'!$G:$G,'Monthly BSE Equity Cash'!$A:$A,$A292))</f>
        <v>1072.9371000000001</v>
      </c>
      <c r="F292" s="4">
        <f t="shared" si="36"/>
        <v>13908.447100000001</v>
      </c>
      <c r="G292" s="7">
        <f t="shared" si="42"/>
        <v>-0.1144534632221299</v>
      </c>
      <c r="H292" s="7">
        <f t="shared" si="43"/>
        <v>3.1043532960060238E-2</v>
      </c>
      <c r="I292" s="7">
        <f t="shared" si="44"/>
        <v>-0.10470720908061881</v>
      </c>
      <c r="J292" s="7">
        <f t="shared" si="39"/>
        <v>4.1222160480557379E-2</v>
      </c>
      <c r="K292" s="7">
        <f t="shared" si="40"/>
        <v>9.5986686403074506E-2</v>
      </c>
      <c r="L292" s="7">
        <f t="shared" si="41"/>
        <v>4.5251282152101835E-2</v>
      </c>
      <c r="M292" s="7">
        <f t="shared" si="37"/>
        <v>0.92285716066749102</v>
      </c>
      <c r="N292" s="7">
        <f t="shared" si="38"/>
        <v>7.7142839332508942E-2</v>
      </c>
    </row>
    <row r="293" spans="1:14" x14ac:dyDescent="0.2">
      <c r="A293" s="5">
        <v>44593</v>
      </c>
      <c r="B293" s="2" t="s">
        <v>70</v>
      </c>
      <c r="C293" s="2" t="s">
        <v>183</v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>11688.433499999997</v>
      </c>
      <c r="E293" s="4">
        <f>IF(SUMIFS('Monthly BSE Equity Cash'!$G:$G,'Monthly BSE Equity Cash'!$A:$A,$A293)=0,"",SUMIFS('Monthly BSE Equity Cash'!$G:$G,'Monthly BSE Equity Cash'!$A:$A,$A293))</f>
        <v>962.48869999999999</v>
      </c>
      <c r="F293" s="4">
        <f t="shared" si="36"/>
        <v>12650.922199999997</v>
      </c>
      <c r="G293" s="7">
        <f t="shared" si="42"/>
        <v>-0.28180079559363536</v>
      </c>
      <c r="H293" s="7">
        <f t="shared" si="43"/>
        <v>-0.33600637882877882</v>
      </c>
      <c r="I293" s="7">
        <f t="shared" si="44"/>
        <v>-0.28623391548760124</v>
      </c>
      <c r="J293" s="7">
        <f t="shared" si="39"/>
        <v>-8.9367426771511438E-2</v>
      </c>
      <c r="K293" s="7">
        <f t="shared" si="40"/>
        <v>-0.10294023759640714</v>
      </c>
      <c r="L293" s="7">
        <f t="shared" si="41"/>
        <v>-9.0414471936266949E-2</v>
      </c>
      <c r="M293" s="7">
        <f t="shared" si="37"/>
        <v>0.92391948311878802</v>
      </c>
      <c r="N293" s="7">
        <f t="shared" si="38"/>
        <v>7.6080516881212049E-2</v>
      </c>
    </row>
    <row r="294" spans="1:14" x14ac:dyDescent="0.2">
      <c r="A294" s="5">
        <v>44621</v>
      </c>
      <c r="B294" s="2" t="s">
        <v>70</v>
      </c>
      <c r="C294" s="2" t="s">
        <v>183</v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>13848.6104</v>
      </c>
      <c r="E294" s="4">
        <f>IF(SUMIFS('Monthly BSE Equity Cash'!$G:$G,'Monthly BSE Equity Cash'!$A:$A,$A294)=0,"",SUMIFS('Monthly BSE Equity Cash'!$G:$G,'Monthly BSE Equity Cash'!$A:$A,$A294))</f>
        <v>1064.7503999999999</v>
      </c>
      <c r="F294" s="4">
        <f t="shared" si="36"/>
        <v>14913.360799999999</v>
      </c>
      <c r="G294" s="7">
        <f t="shared" si="42"/>
        <v>-1.0068973306351148E-2</v>
      </c>
      <c r="H294" s="7">
        <f t="shared" si="43"/>
        <v>1.1843145602724592E-2</v>
      </c>
      <c r="I294" s="7">
        <f t="shared" si="44"/>
        <v>-8.5360501079728701E-3</v>
      </c>
      <c r="J294" s="7">
        <f t="shared" si="39"/>
        <v>0.18481320871612117</v>
      </c>
      <c r="K294" s="7">
        <f t="shared" si="40"/>
        <v>0.10624716944728796</v>
      </c>
      <c r="L294" s="7">
        <f t="shared" si="41"/>
        <v>0.17883586383923866</v>
      </c>
      <c r="M294" s="7">
        <f t="shared" si="37"/>
        <v>0.9286042620252305</v>
      </c>
      <c r="N294" s="7">
        <f t="shared" si="38"/>
        <v>7.1395737974769571E-2</v>
      </c>
    </row>
    <row r="295" spans="1:14" x14ac:dyDescent="0.2">
      <c r="A295" s="5">
        <v>44652</v>
      </c>
      <c r="B295" s="2" t="s">
        <v>71</v>
      </c>
      <c r="C295" s="2" t="s">
        <v>184</v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>12922.43</v>
      </c>
      <c r="E295" s="4">
        <f>IF(SUMIFS('Monthly BSE Equity Cash'!$G:$G,'Monthly BSE Equity Cash'!$A:$A,$A295)=0,"",SUMIFS('Monthly BSE Equity Cash'!$G:$G,'Monthly BSE Equity Cash'!$A:$A,$A295))</f>
        <v>1008.2984</v>
      </c>
      <c r="F295" s="4">
        <f t="shared" si="36"/>
        <v>13930.7284</v>
      </c>
      <c r="G295" s="7">
        <f t="shared" si="42"/>
        <v>-2.8890340102518564E-2</v>
      </c>
      <c r="H295" s="7">
        <f t="shared" si="43"/>
        <v>0.21658432820198503</v>
      </c>
      <c r="I295" s="7">
        <f t="shared" si="44"/>
        <v>-1.44978044718026E-2</v>
      </c>
      <c r="J295" s="7">
        <f t="shared" si="39"/>
        <v>-6.6878941153546978E-2</v>
      </c>
      <c r="K295" s="7">
        <f t="shared" si="40"/>
        <v>-5.3018998631040537E-2</v>
      </c>
      <c r="L295" s="7">
        <f t="shared" si="41"/>
        <v>-6.58894003288647E-2</v>
      </c>
      <c r="M295" s="7">
        <f t="shared" si="37"/>
        <v>0.92762055428487145</v>
      </c>
      <c r="N295" s="7">
        <f t="shared" si="38"/>
        <v>7.2379445715128582E-2</v>
      </c>
    </row>
    <row r="296" spans="1:14" x14ac:dyDescent="0.2">
      <c r="A296" s="5">
        <v>44682</v>
      </c>
      <c r="B296" s="2" t="s">
        <v>71</v>
      </c>
      <c r="C296" s="2" t="s">
        <v>184</v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>12112.201000000001</v>
      </c>
      <c r="E296" s="4">
        <f>IF(SUMIFS('Monthly BSE Equity Cash'!$G:$G,'Monthly BSE Equity Cash'!$A:$A,$A296)=0,"",SUMIFS('Monthly BSE Equity Cash'!$G:$G,'Monthly BSE Equity Cash'!$A:$A,$A296))</f>
        <v>880.34820000000002</v>
      </c>
      <c r="F296" s="4">
        <f t="shared" si="36"/>
        <v>12992.549200000001</v>
      </c>
      <c r="G296" s="7">
        <f t="shared" si="42"/>
        <v>-0.22749649225321067</v>
      </c>
      <c r="H296" s="7">
        <f t="shared" si="43"/>
        <v>-0.21747237058934543</v>
      </c>
      <c r="I296" s="7">
        <f t="shared" si="44"/>
        <v>-0.22682539673377178</v>
      </c>
      <c r="J296" s="7">
        <f t="shared" si="39"/>
        <v>-6.2699430370294129E-2</v>
      </c>
      <c r="K296" s="7">
        <f t="shared" si="40"/>
        <v>-0.12689715663537693</v>
      </c>
      <c r="L296" s="7">
        <f t="shared" si="41"/>
        <v>-6.7346026213532251E-2</v>
      </c>
      <c r="M296" s="7">
        <f t="shared" si="37"/>
        <v>0.93224207301828033</v>
      </c>
      <c r="N296" s="7">
        <f t="shared" si="38"/>
        <v>6.7757926981719646E-2</v>
      </c>
    </row>
    <row r="297" spans="1:14" x14ac:dyDescent="0.2">
      <c r="A297" s="5">
        <v>44713</v>
      </c>
      <c r="B297" s="2" t="s">
        <v>71</v>
      </c>
      <c r="C297" s="2" t="s">
        <v>184</v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>9813.67</v>
      </c>
      <c r="E297" s="4">
        <f>IF(SUMIFS('Monthly BSE Equity Cash'!$G:$G,'Monthly BSE Equity Cash'!$A:$A,$A297)=0,"",SUMIFS('Monthly BSE Equity Cash'!$G:$G,'Monthly BSE Equity Cash'!$A:$A,$A297))</f>
        <v>626.61400000000003</v>
      </c>
      <c r="F297" s="4">
        <f t="shared" si="36"/>
        <v>10440.284</v>
      </c>
      <c r="G297" s="7">
        <f t="shared" si="42"/>
        <v>-0.36877160392977659</v>
      </c>
      <c r="H297" s="7">
        <f t="shared" si="43"/>
        <v>-0.58210636229181723</v>
      </c>
      <c r="I297" s="7">
        <f t="shared" si="44"/>
        <v>-0.38753724166514691</v>
      </c>
      <c r="J297" s="7">
        <f t="shared" si="39"/>
        <v>-0.18976988575404263</v>
      </c>
      <c r="K297" s="7">
        <f t="shared" si="40"/>
        <v>-0.28822027465950406</v>
      </c>
      <c r="L297" s="7">
        <f t="shared" si="41"/>
        <v>-0.1964406800168208</v>
      </c>
      <c r="M297" s="7">
        <f t="shared" si="37"/>
        <v>0.9399811346128133</v>
      </c>
      <c r="N297" s="7">
        <f t="shared" si="38"/>
        <v>6.0018865387186787E-2</v>
      </c>
    </row>
    <row r="298" spans="1:14" x14ac:dyDescent="0.2">
      <c r="A298" s="5">
        <v>44743</v>
      </c>
      <c r="B298" s="2" t="s">
        <v>71</v>
      </c>
      <c r="C298" s="2" t="s">
        <v>185</v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>9786.42</v>
      </c>
      <c r="E298" s="4">
        <f>IF(SUMIFS('Monthly BSE Equity Cash'!$G:$G,'Monthly BSE Equity Cash'!$A:$A,$A298)=0,"",SUMIFS('Monthly BSE Equity Cash'!$G:$G,'Monthly BSE Equity Cash'!$A:$A,$A298))</f>
        <v>676.79549999999995</v>
      </c>
      <c r="F298" s="4">
        <f t="shared" si="36"/>
        <v>10463.2155</v>
      </c>
      <c r="G298" s="7">
        <f t="shared" si="42"/>
        <v>-0.25619054568007071</v>
      </c>
      <c r="H298" s="7">
        <f t="shared" si="43"/>
        <v>-0.41673033293905504</v>
      </c>
      <c r="I298" s="7">
        <f t="shared" si="44"/>
        <v>-0.26920132571957789</v>
      </c>
      <c r="J298" s="7">
        <f t="shared" si="39"/>
        <v>-2.7767389773653006E-3</v>
      </c>
      <c r="K298" s="7">
        <f t="shared" si="40"/>
        <v>8.0083592131678927E-2</v>
      </c>
      <c r="L298" s="7">
        <f t="shared" si="41"/>
        <v>2.1964440814061792E-3</v>
      </c>
      <c r="M298" s="7">
        <f t="shared" si="37"/>
        <v>0.93531668156887338</v>
      </c>
      <c r="N298" s="7">
        <f t="shared" si="38"/>
        <v>6.4683318431126638E-2</v>
      </c>
    </row>
    <row r="299" spans="1:14" x14ac:dyDescent="0.2">
      <c r="A299" s="5">
        <v>44774</v>
      </c>
      <c r="B299" s="2" t="s">
        <v>71</v>
      </c>
      <c r="C299" s="2" t="s">
        <v>185</v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>11590.650199999998</v>
      </c>
      <c r="E299" s="4">
        <f>IF(SUMIFS('Monthly BSE Equity Cash'!$G:$G,'Monthly BSE Equity Cash'!$A:$A,$A299)=0,"",SUMIFS('Monthly BSE Equity Cash'!$G:$G,'Monthly BSE Equity Cash'!$A:$A,$A299))</f>
        <v>1127.9131</v>
      </c>
      <c r="F299" s="4">
        <f t="shared" si="36"/>
        <v>12718.563299999998</v>
      </c>
      <c r="G299" s="7">
        <f t="shared" si="42"/>
        <v>-0.12284479485228572</v>
      </c>
      <c r="H299" s="7">
        <f t="shared" si="43"/>
        <v>3.3066348760577569E-2</v>
      </c>
      <c r="I299" s="7">
        <f t="shared" si="44"/>
        <v>-0.110945675356794</v>
      </c>
      <c r="J299" s="7">
        <f t="shared" si="39"/>
        <v>0.18436059355719436</v>
      </c>
      <c r="K299" s="7">
        <f t="shared" si="40"/>
        <v>0.66654934910175978</v>
      </c>
      <c r="L299" s="7">
        <f t="shared" si="41"/>
        <v>0.21555016237599212</v>
      </c>
      <c r="M299" s="7">
        <f t="shared" si="37"/>
        <v>0.91131756996484026</v>
      </c>
      <c r="N299" s="7">
        <f t="shared" si="38"/>
        <v>8.8682430035159729E-2</v>
      </c>
    </row>
    <row r="300" spans="1:14" x14ac:dyDescent="0.2">
      <c r="A300" s="5">
        <v>44805</v>
      </c>
      <c r="B300" s="2" t="s">
        <v>71</v>
      </c>
      <c r="C300" s="2" t="s">
        <v>185</v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>13539.670700000002</v>
      </c>
      <c r="E300" s="4">
        <f>IF(SUMIFS('Monthly BSE Equity Cash'!$G:$G,'Monthly BSE Equity Cash'!$A:$A,$A300)=0,"",SUMIFS('Monthly BSE Equity Cash'!$G:$G,'Monthly BSE Equity Cash'!$A:$A,$A300))</f>
        <v>1181.3263999999999</v>
      </c>
      <c r="F300" s="4">
        <f t="shared" si="36"/>
        <v>14720.997100000002</v>
      </c>
      <c r="G300" s="7">
        <f t="shared" si="42"/>
        <v>-5.9102829949096103E-2</v>
      </c>
      <c r="H300" s="7">
        <f t="shared" si="43"/>
        <v>-8.4064528859696286E-2</v>
      </c>
      <c r="I300" s="7">
        <f t="shared" si="44"/>
        <v>-6.1156049339285423E-2</v>
      </c>
      <c r="J300" s="7">
        <f t="shared" si="39"/>
        <v>0.1681545440824368</v>
      </c>
      <c r="K300" s="7">
        <f t="shared" si="40"/>
        <v>4.7355864560842509E-2</v>
      </c>
      <c r="L300" s="7">
        <f t="shared" si="41"/>
        <v>0.15744182363742332</v>
      </c>
      <c r="M300" s="7">
        <f t="shared" si="37"/>
        <v>0.91975228362758121</v>
      </c>
      <c r="N300" s="7">
        <f t="shared" si="38"/>
        <v>8.0247716372418801E-2</v>
      </c>
    </row>
    <row r="301" spans="1:14" x14ac:dyDescent="0.2">
      <c r="A301" s="5">
        <v>44835</v>
      </c>
      <c r="B301" s="2" t="s">
        <v>71</v>
      </c>
      <c r="C301" s="2" t="s">
        <v>186</v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>9124.1103999999996</v>
      </c>
      <c r="E301" s="4">
        <f>IF(SUMIFS('Monthly BSE Equity Cash'!$G:$G,'Monthly BSE Equity Cash'!$A:$A,$A301)=0,"",SUMIFS('Monthly BSE Equity Cash'!$G:$G,'Monthly BSE Equity Cash'!$A:$A,$A301))</f>
        <v>840.60979999999995</v>
      </c>
      <c r="F301" s="4">
        <f t="shared" si="36"/>
        <v>9964.7201999999997</v>
      </c>
      <c r="G301" s="7">
        <f t="shared" si="42"/>
        <v>-0.43928127594537181</v>
      </c>
      <c r="H301" s="7">
        <f t="shared" si="43"/>
        <v>-0.37140588154137621</v>
      </c>
      <c r="I301" s="7">
        <f t="shared" si="44"/>
        <v>-0.43412672810922515</v>
      </c>
      <c r="J301" s="7">
        <f t="shared" si="39"/>
        <v>-0.32612021354404153</v>
      </c>
      <c r="K301" s="7">
        <f t="shared" si="40"/>
        <v>-0.28841867920669506</v>
      </c>
      <c r="L301" s="7">
        <f t="shared" si="41"/>
        <v>-0.3230947515097331</v>
      </c>
      <c r="M301" s="7">
        <f t="shared" si="37"/>
        <v>0.91564140456246823</v>
      </c>
      <c r="N301" s="7">
        <f t="shared" si="38"/>
        <v>8.43585954375317E-2</v>
      </c>
    </row>
    <row r="302" spans="1:14" x14ac:dyDescent="0.2">
      <c r="A302" s="5">
        <v>44866</v>
      </c>
      <c r="B302" s="2" t="s">
        <v>71</v>
      </c>
      <c r="C302" s="2" t="s">
        <v>186</v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>12011.08</v>
      </c>
      <c r="E302" s="4">
        <f>IF(SUMIFS('Monthly BSE Equity Cash'!$G:$G,'Monthly BSE Equity Cash'!$A:$A,$A302)=0,"",SUMIFS('Monthly BSE Equity Cash'!$G:$G,'Monthly BSE Equity Cash'!$A:$A,$A302))</f>
        <v>916.83730000000003</v>
      </c>
      <c r="F302" s="4">
        <f t="shared" si="36"/>
        <v>12927.917299999999</v>
      </c>
      <c r="G302" s="7">
        <f t="shared" si="42"/>
        <v>-0.10340317848958291</v>
      </c>
      <c r="H302" s="7">
        <f t="shared" si="43"/>
        <v>-5.5446574376589619E-2</v>
      </c>
      <c r="I302" s="7">
        <f t="shared" si="44"/>
        <v>-0.10016314589208519</v>
      </c>
      <c r="J302" s="7">
        <f t="shared" si="39"/>
        <v>0.31641107718293293</v>
      </c>
      <c r="K302" s="7">
        <f t="shared" si="40"/>
        <v>9.0681193581136021E-2</v>
      </c>
      <c r="L302" s="7">
        <f t="shared" si="41"/>
        <v>0.29736882125400776</v>
      </c>
      <c r="M302" s="7">
        <f t="shared" si="37"/>
        <v>0.92908081953773025</v>
      </c>
      <c r="N302" s="7">
        <f t="shared" si="38"/>
        <v>7.0919180462269832E-2</v>
      </c>
    </row>
    <row r="303" spans="1:14" x14ac:dyDescent="0.2">
      <c r="A303" s="5">
        <v>44896</v>
      </c>
      <c r="B303" s="2" t="s">
        <v>71</v>
      </c>
      <c r="C303" s="2" t="s">
        <v>186</v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>11608.46</v>
      </c>
      <c r="E303" s="4">
        <f>IF(SUMIFS('Monthly BSE Equity Cash'!$G:$G,'Monthly BSE Equity Cash'!$A:$A,$A303)=0,"",SUMIFS('Monthly BSE Equity Cash'!$G:$G,'Monthly BSE Equity Cash'!$A:$A,$A303))</f>
        <v>867.89369999999997</v>
      </c>
      <c r="F303" s="4">
        <f t="shared" si="36"/>
        <v>12476.3537</v>
      </c>
      <c r="G303" s="7">
        <f t="shared" si="42"/>
        <v>-5.8316669843883839E-2</v>
      </c>
      <c r="H303" s="7">
        <f t="shared" si="43"/>
        <v>-0.11346159955406154</v>
      </c>
      <c r="I303" s="7">
        <f t="shared" si="44"/>
        <v>-6.2373778485441567E-2</v>
      </c>
      <c r="J303" s="7">
        <f t="shared" si="39"/>
        <v>-3.352071587234462E-2</v>
      </c>
      <c r="K303" s="7">
        <f t="shared" si="40"/>
        <v>-5.3383081163909996E-2</v>
      </c>
      <c r="L303" s="7">
        <f t="shared" si="41"/>
        <v>-3.4929338540864552E-2</v>
      </c>
      <c r="M303" s="7">
        <f t="shared" si="37"/>
        <v>0.93043691122671512</v>
      </c>
      <c r="N303" s="7">
        <f t="shared" si="38"/>
        <v>6.9563088773284779E-2</v>
      </c>
    </row>
    <row r="304" spans="1:14" x14ac:dyDescent="0.2">
      <c r="A304" s="5">
        <v>44927</v>
      </c>
      <c r="B304" s="2" t="s">
        <v>71</v>
      </c>
      <c r="C304" s="2" t="s">
        <v>187</v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>10206.261199999999</v>
      </c>
      <c r="E304" s="4">
        <f>IF(SUMIFS('Monthly BSE Equity Cash'!$G:$G,'Monthly BSE Equity Cash'!$A:$A,$A304)=0,"",SUMIFS('Monthly BSE Equity Cash'!$G:$G,'Monthly BSE Equity Cash'!$A:$A,$A304))</f>
        <v>681.03369999999995</v>
      </c>
      <c r="F304" s="4">
        <f t="shared" si="36"/>
        <v>10887.294899999999</v>
      </c>
      <c r="G304" s="7">
        <f t="shared" si="42"/>
        <v>-0.20484178657490049</v>
      </c>
      <c r="H304" s="7">
        <f t="shared" si="43"/>
        <v>-0.36526223205442343</v>
      </c>
      <c r="I304" s="7">
        <f t="shared" si="44"/>
        <v>-0.21721707522617695</v>
      </c>
      <c r="J304" s="7">
        <f t="shared" si="39"/>
        <v>-0.12079111268850473</v>
      </c>
      <c r="K304" s="7">
        <f t="shared" si="40"/>
        <v>-0.21530286485545413</v>
      </c>
      <c r="L304" s="7">
        <f t="shared" si="41"/>
        <v>-0.12736564209461299</v>
      </c>
      <c r="M304" s="7">
        <f t="shared" si="37"/>
        <v>0.9374469318361166</v>
      </c>
      <c r="N304" s="7">
        <f t="shared" si="38"/>
        <v>6.2553068163883396E-2</v>
      </c>
    </row>
    <row r="305" spans="1:14" x14ac:dyDescent="0.2">
      <c r="A305" s="5">
        <v>44958</v>
      </c>
      <c r="B305" s="2" t="s">
        <v>71</v>
      </c>
      <c r="C305" s="2" t="s">
        <v>187</v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>10049.969999999999</v>
      </c>
      <c r="E305" s="4">
        <f>IF(SUMIFS('Monthly BSE Equity Cash'!$G:$G,'Monthly BSE Equity Cash'!$A:$A,$A305)=0,"",SUMIFS('Monthly BSE Equity Cash'!$G:$G,'Monthly BSE Equity Cash'!$A:$A,$A305))</f>
        <v>710.58960000000002</v>
      </c>
      <c r="F305" s="4">
        <f t="shared" si="36"/>
        <v>10760.559599999999</v>
      </c>
      <c r="G305" s="7">
        <f t="shared" si="42"/>
        <v>-0.14017819410958687</v>
      </c>
      <c r="H305" s="7">
        <f t="shared" si="43"/>
        <v>-0.26171642326813804</v>
      </c>
      <c r="I305" s="7">
        <f t="shared" si="44"/>
        <v>-0.1494248854047967</v>
      </c>
      <c r="J305" s="7">
        <f t="shared" si="39"/>
        <v>-1.5313266722979835E-2</v>
      </c>
      <c r="K305" s="7">
        <f t="shared" si="40"/>
        <v>4.3398586589767918E-2</v>
      </c>
      <c r="L305" s="7">
        <f t="shared" si="41"/>
        <v>-1.1640660160679661E-2</v>
      </c>
      <c r="M305" s="7">
        <f t="shared" si="37"/>
        <v>0.93396350873796574</v>
      </c>
      <c r="N305" s="7">
        <f t="shared" si="38"/>
        <v>6.6036491262034369E-2</v>
      </c>
    </row>
    <row r="306" spans="1:14" x14ac:dyDescent="0.2">
      <c r="A306" s="5">
        <v>44986</v>
      </c>
      <c r="B306" s="2" t="s">
        <v>71</v>
      </c>
      <c r="C306" s="2" t="s">
        <v>187</v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>10285.83</v>
      </c>
      <c r="E306" s="4">
        <f>IF(SUMIFS('Monthly BSE Equity Cash'!$G:$G,'Monthly BSE Equity Cash'!$A:$A,$A306)=0,"",SUMIFS('Monthly BSE Equity Cash'!$G:$G,'Monthly BSE Equity Cash'!$A:$A,$A306))</f>
        <v>770.3895</v>
      </c>
      <c r="F306" s="4">
        <f t="shared" si="36"/>
        <v>11056.219499999999</v>
      </c>
      <c r="G306" s="7">
        <f t="shared" si="42"/>
        <v>-0.25726627416711789</v>
      </c>
      <c r="H306" s="7">
        <f t="shared" si="43"/>
        <v>-0.27646000414745087</v>
      </c>
      <c r="I306" s="7">
        <f t="shared" si="44"/>
        <v>-0.2586366246835522</v>
      </c>
      <c r="J306" s="7">
        <f t="shared" si="39"/>
        <v>2.3468726772318815E-2</v>
      </c>
      <c r="K306" s="7">
        <f t="shared" si="40"/>
        <v>8.4155326787783036E-2</v>
      </c>
      <c r="L306" s="7">
        <f t="shared" si="41"/>
        <v>2.7476256903962604E-2</v>
      </c>
      <c r="M306" s="7">
        <f t="shared" si="37"/>
        <v>0.93032071224707513</v>
      </c>
      <c r="N306" s="7">
        <f t="shared" si="38"/>
        <v>6.9679287752924951E-2</v>
      </c>
    </row>
    <row r="307" spans="1:14" x14ac:dyDescent="0.2">
      <c r="A307" s="5">
        <v>45017</v>
      </c>
      <c r="B307" s="2" t="s">
        <v>72</v>
      </c>
      <c r="C307" s="2" t="s">
        <v>188</v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>8793.39</v>
      </c>
      <c r="E307" s="4">
        <f>IF(SUMIFS('Monthly BSE Equity Cash'!$G:$G,'Monthly BSE Equity Cash'!$A:$A,$A307)=0,"",SUMIFS('Monthly BSE Equity Cash'!$G:$G,'Monthly BSE Equity Cash'!$A:$A,$A307))</f>
        <v>515.95119999999997</v>
      </c>
      <c r="F307" s="4">
        <f t="shared" si="36"/>
        <v>9309.3411999999989</v>
      </c>
      <c r="G307" s="7">
        <f t="shared" si="42"/>
        <v>-0.31952504289053996</v>
      </c>
      <c r="H307" s="7">
        <f t="shared" si="43"/>
        <v>-0.48829513167927274</v>
      </c>
      <c r="I307" s="7">
        <f t="shared" si="44"/>
        <v>-0.3317405283703615</v>
      </c>
      <c r="J307" s="7">
        <f t="shared" si="39"/>
        <v>-0.14509670099544714</v>
      </c>
      <c r="K307" s="7">
        <f t="shared" si="40"/>
        <v>-0.33027228434447775</v>
      </c>
      <c r="L307" s="7">
        <f t="shared" si="41"/>
        <v>-0.15799960375244004</v>
      </c>
      <c r="M307" s="7">
        <f t="shared" si="37"/>
        <v>0.94457704482890803</v>
      </c>
      <c r="N307" s="7">
        <f t="shared" si="38"/>
        <v>5.5422955171092025E-2</v>
      </c>
    </row>
    <row r="308" spans="1:14" x14ac:dyDescent="0.2">
      <c r="A308" s="5">
        <v>45047</v>
      </c>
      <c r="B308" s="2" t="s">
        <v>72</v>
      </c>
      <c r="C308" s="2" t="s">
        <v>188</v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>13214.42</v>
      </c>
      <c r="E308" s="4">
        <f>IF(SUMIFS('Monthly BSE Equity Cash'!$G:$G,'Monthly BSE Equity Cash'!$A:$A,$A308)=0,"",SUMIFS('Monthly BSE Equity Cash'!$G:$G,'Monthly BSE Equity Cash'!$A:$A,$A308))</f>
        <v>815.87059999999997</v>
      </c>
      <c r="F308" s="4">
        <f t="shared" si="36"/>
        <v>14030.2906</v>
      </c>
      <c r="G308" s="7">
        <f t="shared" si="42"/>
        <v>9.1000719027037213E-2</v>
      </c>
      <c r="H308" s="7">
        <f t="shared" si="43"/>
        <v>-7.3241019860096346E-2</v>
      </c>
      <c r="I308" s="7">
        <f t="shared" si="44"/>
        <v>7.9872039276172035E-2</v>
      </c>
      <c r="J308" s="7">
        <f t="shared" si="39"/>
        <v>0.50276741961860005</v>
      </c>
      <c r="K308" s="7">
        <f t="shared" si="40"/>
        <v>0.58129412238986955</v>
      </c>
      <c r="L308" s="7">
        <f t="shared" si="41"/>
        <v>0.50711960154602576</v>
      </c>
      <c r="M308" s="7">
        <f t="shared" si="37"/>
        <v>0.9418493441611252</v>
      </c>
      <c r="N308" s="7">
        <f t="shared" si="38"/>
        <v>5.8150655838874778E-2</v>
      </c>
    </row>
    <row r="309" spans="1:14" x14ac:dyDescent="0.2">
      <c r="A309" s="5">
        <v>45078</v>
      </c>
      <c r="B309" s="2" t="s">
        <v>72</v>
      </c>
      <c r="C309" s="2" t="s">
        <v>188</v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>13090.16</v>
      </c>
      <c r="E309" s="4">
        <f>IF(SUMIFS('Monthly BSE Equity Cash'!$G:$G,'Monthly BSE Equity Cash'!$A:$A,$A309)=0,"",SUMIFS('Monthly BSE Equity Cash'!$G:$G,'Monthly BSE Equity Cash'!$A:$A,$A309))</f>
        <v>1082.9006999999999</v>
      </c>
      <c r="F309" s="4">
        <f t="shared" si="36"/>
        <v>14173.0607</v>
      </c>
      <c r="G309" s="7">
        <f t="shared" si="42"/>
        <v>0.33386999970449383</v>
      </c>
      <c r="H309" s="7">
        <f t="shared" si="43"/>
        <v>0.72817827242927846</v>
      </c>
      <c r="I309" s="7">
        <f t="shared" si="44"/>
        <v>0.35753593484621682</v>
      </c>
      <c r="J309" s="7">
        <f t="shared" si="39"/>
        <v>-9.4033639009506453E-3</v>
      </c>
      <c r="K309" s="7">
        <f t="shared" si="40"/>
        <v>0.32729467148344349</v>
      </c>
      <c r="L309" s="7">
        <f t="shared" si="41"/>
        <v>1.0175847676312522E-2</v>
      </c>
      <c r="M309" s="7">
        <f t="shared" si="37"/>
        <v>0.92359443574527267</v>
      </c>
      <c r="N309" s="7">
        <f t="shared" si="38"/>
        <v>7.6405564254727276E-2</v>
      </c>
    </row>
    <row r="310" spans="1:14" x14ac:dyDescent="0.2">
      <c r="A310" s="5">
        <v>45108</v>
      </c>
      <c r="B310" s="2" t="s">
        <v>72</v>
      </c>
      <c r="C310" s="2" t="s">
        <v>189</v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>15264.32</v>
      </c>
      <c r="E310" s="4">
        <f>IF(SUMIFS('Monthly BSE Equity Cash'!$G:$G,'Monthly BSE Equity Cash'!$A:$A,$A310)=0,"",SUMIFS('Monthly BSE Equity Cash'!$G:$G,'Monthly BSE Equity Cash'!$A:$A,$A310))</f>
        <v>976.43610000000001</v>
      </c>
      <c r="F310" s="4">
        <f t="shared" si="36"/>
        <v>16240.756100000001</v>
      </c>
      <c r="G310" s="7">
        <f t="shared" si="42"/>
        <v>0.55974503444569113</v>
      </c>
      <c r="H310" s="7">
        <f t="shared" si="43"/>
        <v>0.44273432669100199</v>
      </c>
      <c r="I310" s="7">
        <f t="shared" si="44"/>
        <v>0.55217639357614301</v>
      </c>
      <c r="J310" s="7">
        <f t="shared" si="39"/>
        <v>0.16609117077254965</v>
      </c>
      <c r="K310" s="7">
        <f t="shared" si="40"/>
        <v>-9.8314277569494513E-2</v>
      </c>
      <c r="L310" s="7">
        <f t="shared" si="41"/>
        <v>0.14588912329995174</v>
      </c>
      <c r="M310" s="7">
        <f t="shared" si="37"/>
        <v>0.93987742356404202</v>
      </c>
      <c r="N310" s="7">
        <f t="shared" si="38"/>
        <v>6.0122576435957926E-2</v>
      </c>
    </row>
    <row r="311" spans="1:14" x14ac:dyDescent="0.2">
      <c r="A311" s="5">
        <v>45139</v>
      </c>
      <c r="B311" s="2" t="s">
        <v>72</v>
      </c>
      <c r="C311" s="2" t="s">
        <v>189</v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>16844.93</v>
      </c>
      <c r="E311" s="4">
        <f>IF(SUMIFS('Monthly BSE Equity Cash'!$G:$G,'Monthly BSE Equity Cash'!$A:$A,$A311)=0,"",SUMIFS('Monthly BSE Equity Cash'!$G:$G,'Monthly BSE Equity Cash'!$A:$A,$A311))</f>
        <v>1513.1794</v>
      </c>
      <c r="F311" s="4">
        <f t="shared" si="36"/>
        <v>18358.109400000001</v>
      </c>
      <c r="G311" s="7">
        <f t="shared" si="42"/>
        <v>0.45332053934299577</v>
      </c>
      <c r="H311" s="7">
        <f t="shared" si="43"/>
        <v>0.34157445285456833</v>
      </c>
      <c r="I311" s="7">
        <f t="shared" si="44"/>
        <v>0.44341062484628302</v>
      </c>
      <c r="J311" s="7">
        <f t="shared" si="39"/>
        <v>0.10354932286534879</v>
      </c>
      <c r="K311" s="7">
        <f t="shared" si="40"/>
        <v>0.54969628836951023</v>
      </c>
      <c r="L311" s="7">
        <f t="shared" si="41"/>
        <v>0.13037282790054339</v>
      </c>
      <c r="M311" s="7">
        <f t="shared" si="37"/>
        <v>0.9175743336620491</v>
      </c>
      <c r="N311" s="7">
        <f t="shared" si="38"/>
        <v>8.2425666337950898E-2</v>
      </c>
    </row>
    <row r="312" spans="1:14" x14ac:dyDescent="0.2">
      <c r="A312" s="5">
        <v>45170</v>
      </c>
      <c r="B312" s="2" t="s">
        <v>72</v>
      </c>
      <c r="C312" s="2" t="s">
        <v>189</v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>16708.07</v>
      </c>
      <c r="E312" s="4">
        <f>IF(SUMIFS('Monthly BSE Equity Cash'!$G:$G,'Monthly BSE Equity Cash'!$A:$A,$A312)=0,"",SUMIFS('Monthly BSE Equity Cash'!$G:$G,'Monthly BSE Equity Cash'!$A:$A,$A312))</f>
        <v>1241.3876</v>
      </c>
      <c r="F312" s="4">
        <f t="shared" si="36"/>
        <v>17949.457600000002</v>
      </c>
      <c r="G312" s="7">
        <f t="shared" si="42"/>
        <v>0.23400859372451333</v>
      </c>
      <c r="H312" s="7">
        <f t="shared" si="43"/>
        <v>5.0842171985659546E-2</v>
      </c>
      <c r="I312" s="7">
        <f t="shared" si="44"/>
        <v>0.21930990666386307</v>
      </c>
      <c r="J312" s="7">
        <f t="shared" si="39"/>
        <v>-8.1246998354994604E-3</v>
      </c>
      <c r="K312" s="7">
        <f t="shared" si="40"/>
        <v>-0.17961637595647939</v>
      </c>
      <c r="L312" s="7">
        <f t="shared" si="41"/>
        <v>-2.2260015511183284E-2</v>
      </c>
      <c r="M312" s="7">
        <f t="shared" si="37"/>
        <v>0.93083982660289399</v>
      </c>
      <c r="N312" s="7">
        <f t="shared" si="38"/>
        <v>6.9160173397105881E-2</v>
      </c>
    </row>
    <row r="313" spans="1:14" x14ac:dyDescent="0.2">
      <c r="A313" s="5">
        <v>45200</v>
      </c>
      <c r="B313" s="2" t="s">
        <v>72</v>
      </c>
      <c r="C313" s="2" t="s">
        <v>190</v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>13435.19</v>
      </c>
      <c r="E313" s="4">
        <f>IF(SUMIFS('Monthly BSE Equity Cash'!$G:$G,'Monthly BSE Equity Cash'!$A:$A,$A313)=0,"",SUMIFS('Monthly BSE Equity Cash'!$G:$G,'Monthly BSE Equity Cash'!$A:$A,$A313))</f>
        <v>1000.3449000000001</v>
      </c>
      <c r="F313" s="4">
        <f t="shared" si="36"/>
        <v>14435.534900000001</v>
      </c>
      <c r="G313" s="7">
        <f t="shared" si="42"/>
        <v>0.47249314300274148</v>
      </c>
      <c r="H313" s="7">
        <f t="shared" si="43"/>
        <v>0.19002288576697546</v>
      </c>
      <c r="I313" s="7">
        <f t="shared" si="44"/>
        <v>0.44866434884945394</v>
      </c>
      <c r="J313" s="7">
        <f t="shared" si="39"/>
        <v>-0.195886179552755</v>
      </c>
      <c r="K313" s="7">
        <f t="shared" si="40"/>
        <v>-0.19417198947371472</v>
      </c>
      <c r="L313" s="7">
        <f t="shared" si="41"/>
        <v>-0.19576762586965302</v>
      </c>
      <c r="M313" s="7">
        <f t="shared" si="37"/>
        <v>0.93070260943361371</v>
      </c>
      <c r="N313" s="7">
        <f t="shared" si="38"/>
        <v>6.9297390566386285E-2</v>
      </c>
    </row>
    <row r="314" spans="1:14" x14ac:dyDescent="0.2">
      <c r="A314" s="5">
        <v>45231</v>
      </c>
      <c r="B314" s="2" t="s">
        <v>72</v>
      </c>
      <c r="C314" s="2" t="s">
        <v>190</v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>14829.062099999997</v>
      </c>
      <c r="E314" s="4">
        <f>IF(SUMIFS('Monthly BSE Equity Cash'!$G:$G,'Monthly BSE Equity Cash'!$A:$A,$A314)=0,"",SUMIFS('Monthly BSE Equity Cash'!$G:$G,'Monthly BSE Equity Cash'!$A:$A,$A314))</f>
        <v>1112.7321999999999</v>
      </c>
      <c r="F314" s="4">
        <f t="shared" si="36"/>
        <v>15941.794299999998</v>
      </c>
      <c r="G314" s="7">
        <f t="shared" si="42"/>
        <v>0.23461521361942461</v>
      </c>
      <c r="H314" s="7">
        <f t="shared" si="43"/>
        <v>0.21366375473598187</v>
      </c>
      <c r="I314" s="7">
        <f t="shared" si="44"/>
        <v>0.233129353325922</v>
      </c>
      <c r="J314" s="7">
        <f t="shared" si="39"/>
        <v>0.10374785172371936</v>
      </c>
      <c r="K314" s="7">
        <f t="shared" si="40"/>
        <v>0.11234855098476526</v>
      </c>
      <c r="L314" s="7">
        <f t="shared" si="41"/>
        <v>0.10434385773955612</v>
      </c>
      <c r="M314" s="7">
        <f t="shared" si="37"/>
        <v>0.93020031628434696</v>
      </c>
      <c r="N314" s="7">
        <f t="shared" si="38"/>
        <v>6.979968371565301E-2</v>
      </c>
    </row>
    <row r="315" spans="1:14" x14ac:dyDescent="0.2">
      <c r="A315" s="5">
        <v>45261</v>
      </c>
      <c r="B315" s="2" t="s">
        <v>72</v>
      </c>
      <c r="C315" s="2" t="s">
        <v>190</v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>20795.942200000001</v>
      </c>
      <c r="E315" s="4">
        <f>IF(SUMIFS('Monthly BSE Equity Cash'!$G:$G,'Monthly BSE Equity Cash'!$A:$A,$A315)=0,"",SUMIFS('Monthly BSE Equity Cash'!$G:$G,'Monthly BSE Equity Cash'!$A:$A,$A315))</f>
        <v>1938.8534999999999</v>
      </c>
      <c r="F315" s="4">
        <f t="shared" si="36"/>
        <v>22734.795700000002</v>
      </c>
      <c r="G315" s="7">
        <f t="shared" si="42"/>
        <v>0.79144711701638304</v>
      </c>
      <c r="H315" s="7">
        <f t="shared" si="43"/>
        <v>1.2339757737612338</v>
      </c>
      <c r="I315" s="7">
        <f t="shared" si="44"/>
        <v>0.82223077725024774</v>
      </c>
      <c r="J315" s="7">
        <f t="shared" si="39"/>
        <v>0.40237744368202533</v>
      </c>
      <c r="K315" s="7">
        <f t="shared" si="40"/>
        <v>0.74242598533591475</v>
      </c>
      <c r="L315" s="7">
        <f t="shared" si="41"/>
        <v>0.42611272433743586</v>
      </c>
      <c r="M315" s="7">
        <f t="shared" si="37"/>
        <v>0.91471867503960014</v>
      </c>
      <c r="N315" s="7">
        <f t="shared" si="38"/>
        <v>8.5281324960399793E-2</v>
      </c>
    </row>
    <row r="316" spans="1:14" x14ac:dyDescent="0.2">
      <c r="A316" s="5">
        <v>45292</v>
      </c>
      <c r="B316" s="2" t="s">
        <v>72</v>
      </c>
      <c r="C316" s="2" t="s">
        <v>191</v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>24911.81</v>
      </c>
      <c r="E316" s="4">
        <f>IF(SUMIFS('Monthly BSE Equity Cash'!$G:$G,'Monthly BSE Equity Cash'!$A:$A,$A316)=0,"",SUMIFS('Monthly BSE Equity Cash'!$G:$G,'Monthly BSE Equity Cash'!$A:$A,$A316))</f>
        <v>2158.4955</v>
      </c>
      <c r="F316" s="4">
        <f t="shared" si="36"/>
        <v>27070.305500000002</v>
      </c>
      <c r="G316" s="7">
        <f t="shared" si="42"/>
        <v>1.4408360232834334</v>
      </c>
      <c r="H316" s="7">
        <f t="shared" si="43"/>
        <v>2.1694400732298567</v>
      </c>
      <c r="I316" s="7">
        <f t="shared" si="44"/>
        <v>1.4864124420842137</v>
      </c>
      <c r="J316" s="7">
        <f t="shared" si="39"/>
        <v>0.19791687053256002</v>
      </c>
      <c r="K316" s="7">
        <f t="shared" si="40"/>
        <v>0.11328447456189972</v>
      </c>
      <c r="L316" s="7">
        <f t="shared" si="41"/>
        <v>0.19069930766960885</v>
      </c>
      <c r="M316" s="7">
        <f t="shared" si="37"/>
        <v>0.92026334907819929</v>
      </c>
      <c r="N316" s="7">
        <f t="shared" si="38"/>
        <v>7.9736650921800642E-2</v>
      </c>
    </row>
    <row r="317" spans="1:14" x14ac:dyDescent="0.2">
      <c r="A317" s="5">
        <v>45323</v>
      </c>
      <c r="B317" s="2" t="s">
        <v>72</v>
      </c>
      <c r="C317" s="2" t="s">
        <v>191</v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>24576.712199999998</v>
      </c>
      <c r="E317" s="4">
        <f>IF(SUMIFS('Monthly BSE Equity Cash'!$G:$G,'Monthly BSE Equity Cash'!$A:$A,$A317)=0,"",SUMIFS('Monthly BSE Equity Cash'!$G:$G,'Monthly BSE Equity Cash'!$A:$A,$A317))</f>
        <v>2210.64</v>
      </c>
      <c r="F317" s="4">
        <f t="shared" si="36"/>
        <v>26787.352199999998</v>
      </c>
      <c r="G317" s="7">
        <f t="shared" si="42"/>
        <v>1.4454512998546263</v>
      </c>
      <c r="H317" s="7">
        <f t="shared" si="43"/>
        <v>2.1109940252432624</v>
      </c>
      <c r="I317" s="7">
        <f t="shared" si="44"/>
        <v>1.4894014062242635</v>
      </c>
      <c r="J317" s="7">
        <f t="shared" si="39"/>
        <v>-1.3451363028218477E-2</v>
      </c>
      <c r="K317" s="7">
        <f t="shared" si="40"/>
        <v>2.4157798800136465E-2</v>
      </c>
      <c r="L317" s="7">
        <f t="shared" si="41"/>
        <v>-1.0452534420049453E-2</v>
      </c>
      <c r="M317" s="7">
        <f t="shared" si="37"/>
        <v>0.91747448633612994</v>
      </c>
      <c r="N317" s="7">
        <f t="shared" si="38"/>
        <v>8.2525513663870079E-2</v>
      </c>
    </row>
    <row r="318" spans="1:14" x14ac:dyDescent="0.2">
      <c r="A318" s="5">
        <v>45352</v>
      </c>
      <c r="B318" s="2" t="s">
        <v>72</v>
      </c>
      <c r="C318" s="2" t="s">
        <v>191</v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>18570.39</v>
      </c>
      <c r="E318" s="4">
        <f>IF(SUMIFS('Monthly BSE Equity Cash'!$G:$G,'Monthly BSE Equity Cash'!$A:$A,$A318)=0,"",SUMIFS('Monthly BSE Equity Cash'!$G:$G,'Monthly BSE Equity Cash'!$A:$A,$A318))</f>
        <v>1723.5921000000001</v>
      </c>
      <c r="F318" s="4">
        <f t="shared" si="36"/>
        <v>20293.982100000001</v>
      </c>
      <c r="G318" s="7">
        <f t="shared" si="42"/>
        <v>0.80543427219777097</v>
      </c>
      <c r="H318" s="7">
        <f t="shared" si="43"/>
        <v>1.237299573787026</v>
      </c>
      <c r="I318" s="7">
        <f t="shared" si="44"/>
        <v>0.83552633881771277</v>
      </c>
      <c r="J318" s="7">
        <f t="shared" si="39"/>
        <v>-0.24439079365546701</v>
      </c>
      <c r="K318" s="7">
        <f t="shared" si="40"/>
        <v>-0.22031986212137655</v>
      </c>
      <c r="L318" s="7">
        <f t="shared" si="41"/>
        <v>-0.24240432766624831</v>
      </c>
      <c r="M318" s="7">
        <f t="shared" si="37"/>
        <v>0.91506880751609598</v>
      </c>
      <c r="N318" s="7">
        <f t="shared" si="38"/>
        <v>8.4931192483903892E-2</v>
      </c>
    </row>
    <row r="319" spans="1:14" x14ac:dyDescent="0.2">
      <c r="A319" s="5">
        <v>45383</v>
      </c>
      <c r="B319" s="2" t="s">
        <v>73</v>
      </c>
      <c r="C319" s="2" t="s">
        <v>192</v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>21201.96</v>
      </c>
      <c r="E319" s="4">
        <f>IF(SUMIFS('Monthly BSE Equity Cash'!$G:$G,'Monthly BSE Equity Cash'!$A:$A,$A319)=0,"",SUMIFS('Monthly BSE Equity Cash'!$G:$G,'Monthly BSE Equity Cash'!$A:$A,$A319))</f>
        <v>1527.6742999999999</v>
      </c>
      <c r="F319" s="4">
        <f t="shared" si="36"/>
        <v>22729.634299999998</v>
      </c>
      <c r="G319" s="7">
        <f t="shared" si="42"/>
        <v>1.4111247198179542</v>
      </c>
      <c r="H319" s="7">
        <f t="shared" si="43"/>
        <v>1.9608891305999481</v>
      </c>
      <c r="I319" s="7">
        <f t="shared" si="44"/>
        <v>1.4415942881113866</v>
      </c>
      <c r="J319" s="7">
        <f t="shared" si="39"/>
        <v>0.14170784781579715</v>
      </c>
      <c r="K319" s="7">
        <f t="shared" si="40"/>
        <v>-0.11366830934070782</v>
      </c>
      <c r="L319" s="7">
        <f t="shared" si="41"/>
        <v>0.12001844625653812</v>
      </c>
      <c r="M319" s="7">
        <f t="shared" si="37"/>
        <v>0.93278931460855052</v>
      </c>
      <c r="N319" s="7">
        <f t="shared" si="38"/>
        <v>6.7210685391449532E-2</v>
      </c>
    </row>
    <row r="320" spans="1:14" x14ac:dyDescent="0.2">
      <c r="A320" s="5">
        <v>45413</v>
      </c>
      <c r="B320" s="2" t="s">
        <v>73</v>
      </c>
      <c r="C320" s="2" t="s">
        <v>192</v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>24679.414400000005</v>
      </c>
      <c r="E320" s="4">
        <f>IF(SUMIFS('Monthly BSE Equity Cash'!$G:$G,'Monthly BSE Equity Cash'!$A:$A,$A320)=0,"",SUMIFS('Monthly BSE Equity Cash'!$G:$G,'Monthly BSE Equity Cash'!$A:$A,$A320))</f>
        <v>1695.9223999999999</v>
      </c>
      <c r="F320" s="4">
        <f t="shared" si="36"/>
        <v>26375.336800000005</v>
      </c>
      <c r="G320" s="7">
        <f t="shared" si="42"/>
        <v>0.86761238102012839</v>
      </c>
      <c r="H320" s="7">
        <f t="shared" si="43"/>
        <v>1.0786659060885389</v>
      </c>
      <c r="I320" s="7">
        <f t="shared" si="44"/>
        <v>0.87988528191996274</v>
      </c>
      <c r="J320" s="7">
        <f t="shared" si="39"/>
        <v>0.16401570420847911</v>
      </c>
      <c r="K320" s="7">
        <f t="shared" si="40"/>
        <v>0.11013348853220872</v>
      </c>
      <c r="L320" s="7">
        <f t="shared" si="41"/>
        <v>0.16039424356246723</v>
      </c>
      <c r="M320" s="7">
        <f t="shared" si="37"/>
        <v>0.93570044572852629</v>
      </c>
      <c r="N320" s="7">
        <f t="shared" si="38"/>
        <v>6.4299554271473783E-2</v>
      </c>
    </row>
    <row r="321" spans="1:14" x14ac:dyDescent="0.2">
      <c r="A321" s="5">
        <v>45444</v>
      </c>
      <c r="B321" s="2" t="s">
        <v>73</v>
      </c>
      <c r="C321" s="2" t="s">
        <v>192</v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>29052.264599999991</v>
      </c>
      <c r="E321" s="4">
        <f>IF(SUMIFS('Monthly BSE Equity Cash'!$G:$G,'Monthly BSE Equity Cash'!$A:$A,$A321)=0,"",SUMIFS('Monthly BSE Equity Cash'!$G:$G,'Monthly BSE Equity Cash'!$A:$A,$A321))</f>
        <v>2270.0156999999999</v>
      </c>
      <c r="F321" s="4">
        <f t="shared" si="36"/>
        <v>31322.280299999991</v>
      </c>
      <c r="G321" s="7">
        <f t="shared" si="42"/>
        <v>1.2193972113404259</v>
      </c>
      <c r="H321" s="7">
        <f t="shared" si="43"/>
        <v>1.0962362477002738</v>
      </c>
      <c r="I321" s="7">
        <f t="shared" si="44"/>
        <v>1.2099870284193441</v>
      </c>
      <c r="J321" s="7">
        <f t="shared" si="39"/>
        <v>0.17718614101313457</v>
      </c>
      <c r="K321" s="7">
        <f t="shared" si="40"/>
        <v>0.3385138966264023</v>
      </c>
      <c r="L321" s="7">
        <f t="shared" si="41"/>
        <v>0.1875594437906849</v>
      </c>
      <c r="M321" s="7">
        <f t="shared" si="37"/>
        <v>0.92752712515633795</v>
      </c>
      <c r="N321" s="7">
        <f t="shared" si="38"/>
        <v>7.2472874843662022E-2</v>
      </c>
    </row>
    <row r="322" spans="1:14" x14ac:dyDescent="0.2">
      <c r="A322" s="5">
        <v>45474</v>
      </c>
      <c r="B322" s="2" t="s">
        <v>73</v>
      </c>
      <c r="C322" s="2" t="s">
        <v>193</v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>30615.77</v>
      </c>
      <c r="E322" s="4">
        <f>IF(SUMIFS('Monthly BSE Equity Cash'!$G:$G,'Monthly BSE Equity Cash'!$A:$A,$A322)=0,"",SUMIFS('Monthly BSE Equity Cash'!$G:$G,'Monthly BSE Equity Cash'!$A:$A,$A322))</f>
        <v>2351.4812000000002</v>
      </c>
      <c r="F322" s="4">
        <f t="shared" ref="F322:F385" si="45">IF(OR(D322="",E322=""),"",D322+E322)</f>
        <v>32967.251199999999</v>
      </c>
      <c r="G322" s="7">
        <f t="shared" si="42"/>
        <v>1.0057080826397771</v>
      </c>
      <c r="H322" s="7">
        <f t="shared" si="43"/>
        <v>1.4082284544784858</v>
      </c>
      <c r="I322" s="7">
        <f t="shared" si="44"/>
        <v>1.0299086444626799</v>
      </c>
      <c r="J322" s="7">
        <f t="shared" si="39"/>
        <v>5.3816988848435887E-2</v>
      </c>
      <c r="K322" s="7">
        <f t="shared" si="40"/>
        <v>3.5887637252905558E-2</v>
      </c>
      <c r="L322" s="7">
        <f t="shared" si="41"/>
        <v>5.2517597194224885E-2</v>
      </c>
      <c r="M322" s="7">
        <f t="shared" ref="M322:M348" si="46">IF(F322="","",D322/F322)</f>
        <v>0.92867220910428838</v>
      </c>
      <c r="N322" s="7">
        <f t="shared" ref="N322:N348" si="47">IF(F322="","",E322/F322)</f>
        <v>7.1327790895711687E-2</v>
      </c>
    </row>
    <row r="323" spans="1:14" x14ac:dyDescent="0.2">
      <c r="A323" s="5">
        <v>45505</v>
      </c>
      <c r="B323" s="2" t="s">
        <v>73</v>
      </c>
      <c r="C323" s="2" t="s">
        <v>193</v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>26381.57</v>
      </c>
      <c r="E323" s="4">
        <f>IF(SUMIFS('Monthly BSE Equity Cash'!$G:$G,'Monthly BSE Equity Cash'!$A:$A,$A323)=0,"",SUMIFS('Monthly BSE Equity Cash'!$G:$G,'Monthly BSE Equity Cash'!$A:$A,$A323))</f>
        <v>2093.4801000000002</v>
      </c>
      <c r="F323" s="4">
        <f t="shared" si="45"/>
        <v>28475.0501</v>
      </c>
      <c r="G323" s="7">
        <f t="shared" si="42"/>
        <v>0.56614304719580311</v>
      </c>
      <c r="H323" s="7">
        <f t="shared" si="43"/>
        <v>0.3834976209694636</v>
      </c>
      <c r="I323" s="7">
        <f t="shared" si="44"/>
        <v>0.55108837623551787</v>
      </c>
      <c r="J323" s="7">
        <f t="shared" ref="J323:J348" si="48">IF(OR(D323="",D322=""),"",D323/D322-1)</f>
        <v>-0.13830127414727766</v>
      </c>
      <c r="K323" s="7">
        <f t="shared" ref="K323:K348" si="49">IF(OR(E323="",E322=""),"",E323/E322-1)</f>
        <v>-0.10971854676107973</v>
      </c>
      <c r="L323" s="7">
        <f t="shared" ref="L323:L348" si="50">IF(OR(F323="",F322=""),"",F323/F322-1)</f>
        <v>-0.13626253134504585</v>
      </c>
      <c r="M323" s="7">
        <f t="shared" si="46"/>
        <v>0.92648019607874188</v>
      </c>
      <c r="N323" s="7">
        <f t="shared" si="47"/>
        <v>7.3519803921258078E-2</v>
      </c>
    </row>
    <row r="324" spans="1:14" x14ac:dyDescent="0.2">
      <c r="A324" s="5">
        <v>45536</v>
      </c>
      <c r="B324" s="2" t="s">
        <v>73</v>
      </c>
      <c r="C324" s="2" t="s">
        <v>193</v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>25593.760400000003</v>
      </c>
      <c r="E324" s="4">
        <f>IF(SUMIFS('Monthly BSE Equity Cash'!$G:$G,'Monthly BSE Equity Cash'!$A:$A,$A324)=0,"",SUMIFS('Monthly BSE Equity Cash'!$G:$G,'Monthly BSE Equity Cash'!$A:$A,$A324))</f>
        <v>1806.8175000000001</v>
      </c>
      <c r="F324" s="4">
        <f t="shared" si="45"/>
        <v>27400.577900000004</v>
      </c>
      <c r="G324" s="7">
        <f t="shared" si="42"/>
        <v>0.53182027607018667</v>
      </c>
      <c r="H324" s="7">
        <f t="shared" si="43"/>
        <v>0.45548215561360528</v>
      </c>
      <c r="I324" s="7">
        <f t="shared" si="44"/>
        <v>0.52654071842260031</v>
      </c>
      <c r="J324" s="7">
        <f t="shared" si="48"/>
        <v>-2.9862119653985553E-2</v>
      </c>
      <c r="K324" s="7">
        <f t="shared" si="49"/>
        <v>-0.13693113204180929</v>
      </c>
      <c r="L324" s="7">
        <f t="shared" si="50"/>
        <v>-3.7733812450781112E-2</v>
      </c>
      <c r="M324" s="7">
        <f t="shared" si="46"/>
        <v>0.93405914624888253</v>
      </c>
      <c r="N324" s="7">
        <f t="shared" si="47"/>
        <v>6.5940853751117412E-2</v>
      </c>
    </row>
    <row r="325" spans="1:14" x14ac:dyDescent="0.2">
      <c r="A325" s="5">
        <v>45566</v>
      </c>
      <c r="B325" s="2" t="s">
        <v>73</v>
      </c>
      <c r="C325" s="2" t="s">
        <v>194</v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>23530.983399999997</v>
      </c>
      <c r="E325" s="4">
        <f>IF(SUMIFS('Monthly BSE Equity Cash'!$G:$G,'Monthly BSE Equity Cash'!$A:$A,$A325)=0,"",SUMIFS('Monthly BSE Equity Cash'!$G:$G,'Monthly BSE Equity Cash'!$A:$A,$A325))</f>
        <v>1614.6292000000001</v>
      </c>
      <c r="F325" s="4">
        <f t="shared" si="45"/>
        <v>25145.612599999997</v>
      </c>
      <c r="G325" s="7">
        <f t="shared" si="42"/>
        <v>0.75144403614686484</v>
      </c>
      <c r="H325" s="7">
        <f t="shared" si="43"/>
        <v>0.61407250639254518</v>
      </c>
      <c r="I325" s="7">
        <f t="shared" si="44"/>
        <v>0.74192454759677773</v>
      </c>
      <c r="J325" s="7">
        <f t="shared" si="48"/>
        <v>-8.059687079042932E-2</v>
      </c>
      <c r="K325" s="7">
        <f t="shared" si="49"/>
        <v>-0.10636840743461917</v>
      </c>
      <c r="L325" s="7">
        <f t="shared" si="50"/>
        <v>-8.2296267919225397E-2</v>
      </c>
      <c r="M325" s="7">
        <f t="shared" si="46"/>
        <v>0.93578883021525594</v>
      </c>
      <c r="N325" s="7">
        <f t="shared" si="47"/>
        <v>6.4211169784744088E-2</v>
      </c>
    </row>
    <row r="326" spans="1:14" x14ac:dyDescent="0.2">
      <c r="A326" s="5">
        <v>45597</v>
      </c>
      <c r="B326" s="2" t="s">
        <v>73</v>
      </c>
      <c r="C326" s="2" t="s">
        <v>194</v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>19162.099999999999</v>
      </c>
      <c r="E326" s="4">
        <f>IF(SUMIFS('Monthly BSE Equity Cash'!$G:$G,'Monthly BSE Equity Cash'!$A:$A,$A326)=0,"",SUMIFS('Monthly BSE Equity Cash'!$G:$G,'Monthly BSE Equity Cash'!$A:$A,$A326))</f>
        <v>1202.6495</v>
      </c>
      <c r="F326" s="4">
        <f t="shared" si="45"/>
        <v>20364.749499999998</v>
      </c>
      <c r="G326" s="7">
        <f t="shared" si="42"/>
        <v>0.29219905283153413</v>
      </c>
      <c r="H326" s="7">
        <f t="shared" si="43"/>
        <v>8.0807673220924192E-2</v>
      </c>
      <c r="I326" s="7">
        <f t="shared" si="44"/>
        <v>0.2774440013944981</v>
      </c>
      <c r="J326" s="7">
        <f t="shared" si="48"/>
        <v>-0.18566514308959992</v>
      </c>
      <c r="K326" s="7">
        <f t="shared" si="49"/>
        <v>-0.25515437228559978</v>
      </c>
      <c r="L326" s="7">
        <f t="shared" si="50"/>
        <v>-0.19012712778371521</v>
      </c>
      <c r="M326" s="7">
        <f t="shared" si="46"/>
        <v>0.94094454734147359</v>
      </c>
      <c r="N326" s="7">
        <f t="shared" si="47"/>
        <v>5.9055452658526443E-2</v>
      </c>
    </row>
    <row r="327" spans="1:14" x14ac:dyDescent="0.2">
      <c r="A327" s="5">
        <v>45627</v>
      </c>
      <c r="B327" s="2" t="s">
        <v>73</v>
      </c>
      <c r="C327" s="2" t="s">
        <v>194</v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>21858.3</v>
      </c>
      <c r="E327" s="4">
        <f>IF(SUMIFS('Monthly BSE Equity Cash'!$G:$G,'Monthly BSE Equity Cash'!$A:$A,$A327)=0,"",SUMIFS('Monthly BSE Equity Cash'!$G:$G,'Monthly BSE Equity Cash'!$A:$A,$A327))</f>
        <v>1398.7766999999999</v>
      </c>
      <c r="F327" s="4">
        <f t="shared" si="45"/>
        <v>23257.076699999998</v>
      </c>
      <c r="G327" s="7">
        <f t="shared" si="42"/>
        <v>5.1084860199313242E-2</v>
      </c>
      <c r="H327" s="7">
        <f t="shared" si="43"/>
        <v>-0.278554723190793</v>
      </c>
      <c r="I327" s="7">
        <f t="shared" si="44"/>
        <v>2.2972759768410622E-2</v>
      </c>
      <c r="J327" s="7">
        <f t="shared" si="48"/>
        <v>0.14070482880268864</v>
      </c>
      <c r="K327" s="7">
        <f t="shared" si="49"/>
        <v>0.16307926789974969</v>
      </c>
      <c r="L327" s="7">
        <f t="shared" si="50"/>
        <v>0.14202616143154612</v>
      </c>
      <c r="M327" s="7">
        <f t="shared" si="46"/>
        <v>0.93985586761211481</v>
      </c>
      <c r="N327" s="7">
        <f t="shared" si="47"/>
        <v>6.0144132387885192E-2</v>
      </c>
    </row>
    <row r="328" spans="1:14" x14ac:dyDescent="0.2">
      <c r="A328" s="5">
        <v>45658</v>
      </c>
      <c r="B328" s="2" t="s">
        <v>73</v>
      </c>
      <c r="C328" s="2" t="s">
        <v>195</v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>22118.51</v>
      </c>
      <c r="E328" s="4">
        <f>IF(SUMIFS('Monthly BSE Equity Cash'!$G:$G,'Monthly BSE Equity Cash'!$A:$A,$A328)=0,"",SUMIFS('Monthly BSE Equity Cash'!$G:$G,'Monthly BSE Equity Cash'!$A:$A,$A328))</f>
        <v>1312.3774000000001</v>
      </c>
      <c r="F328" s="4">
        <f t="shared" si="45"/>
        <v>23430.8874</v>
      </c>
      <c r="G328" s="7">
        <f t="shared" si="42"/>
        <v>-0.112127541114034</v>
      </c>
      <c r="H328" s="7">
        <f t="shared" si="43"/>
        <v>-0.39199437756529953</v>
      </c>
      <c r="I328" s="7">
        <f t="shared" si="44"/>
        <v>-0.13444318535673716</v>
      </c>
      <c r="J328" s="7">
        <f t="shared" si="48"/>
        <v>1.1904402446667905E-2</v>
      </c>
      <c r="K328" s="7">
        <f t="shared" si="49"/>
        <v>-6.176775749839114E-2</v>
      </c>
      <c r="L328" s="7">
        <f t="shared" si="50"/>
        <v>7.4734543056309555E-3</v>
      </c>
      <c r="M328" s="7">
        <f t="shared" si="46"/>
        <v>0.94398942824504373</v>
      </c>
      <c r="N328" s="7">
        <f t="shared" si="47"/>
        <v>5.6010571754956245E-2</v>
      </c>
    </row>
    <row r="329" spans="1:14" x14ac:dyDescent="0.2">
      <c r="A329" s="5">
        <v>45689</v>
      </c>
      <c r="B329" s="2" t="s">
        <v>73</v>
      </c>
      <c r="C329" s="2" t="s">
        <v>195</v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>18332.261900000001</v>
      </c>
      <c r="E329" s="4">
        <f>IF(SUMIFS('Monthly BSE Equity Cash'!$G:$G,'Monthly BSE Equity Cash'!$A:$A,$A329)=0,"",SUMIFS('Monthly BSE Equity Cash'!$G:$G,'Monthly BSE Equity Cash'!$A:$A,$A329))</f>
        <v>994.87159999999994</v>
      </c>
      <c r="F329" s="4">
        <f t="shared" si="45"/>
        <v>19327.1335</v>
      </c>
      <c r="G329" s="7">
        <f t="shared" si="42"/>
        <v>-0.2540799700620654</v>
      </c>
      <c r="H329" s="7">
        <f t="shared" si="43"/>
        <v>-0.54996218289726051</v>
      </c>
      <c r="I329" s="7">
        <f t="shared" si="44"/>
        <v>-0.27849780166029248</v>
      </c>
      <c r="J329" s="7">
        <f t="shared" si="48"/>
        <v>-0.17118007044778316</v>
      </c>
      <c r="K329" s="7">
        <f t="shared" si="49"/>
        <v>-0.2419317796847158</v>
      </c>
      <c r="L329" s="7">
        <f t="shared" si="50"/>
        <v>-0.17514291413478433</v>
      </c>
      <c r="M329" s="7">
        <f t="shared" si="46"/>
        <v>0.94852461695884704</v>
      </c>
      <c r="N329" s="7">
        <f t="shared" si="47"/>
        <v>5.1475383041152997E-2</v>
      </c>
    </row>
    <row r="330" spans="1:14" x14ac:dyDescent="0.2">
      <c r="A330" s="5">
        <v>45717</v>
      </c>
      <c r="B330" s="2" t="s">
        <v>73</v>
      </c>
      <c r="C330" s="2" t="s">
        <v>195</v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>18751.600999999999</v>
      </c>
      <c r="E330" s="4">
        <f>IF(SUMIFS('Monthly BSE Equity Cash'!$G:$G,'Monthly BSE Equity Cash'!$A:$A,$A330)=0,"",SUMIFS('Monthly BSE Equity Cash'!$G:$G,'Monthly BSE Equity Cash'!$A:$A,$A330))</f>
        <v>1070.3728000000001</v>
      </c>
      <c r="F330" s="4">
        <f t="shared" si="45"/>
        <v>19821.9738</v>
      </c>
      <c r="G330" s="7">
        <f t="shared" si="42"/>
        <v>9.7580610854159922E-3</v>
      </c>
      <c r="H330" s="7">
        <f t="shared" si="43"/>
        <v>-0.37898717451768316</v>
      </c>
      <c r="I330" s="7">
        <f t="shared" si="44"/>
        <v>-2.3258535346791342E-2</v>
      </c>
      <c r="J330" s="7">
        <f t="shared" si="48"/>
        <v>2.2874378638459092E-2</v>
      </c>
      <c r="K330" s="7">
        <f t="shared" si="49"/>
        <v>7.589039630842831E-2</v>
      </c>
      <c r="L330" s="7">
        <f t="shared" si="50"/>
        <v>2.5603398455337434E-2</v>
      </c>
      <c r="M330" s="7">
        <f t="shared" si="46"/>
        <v>0.94600069545041976</v>
      </c>
      <c r="N330" s="7">
        <f t="shared" si="47"/>
        <v>5.3999304549580227E-2</v>
      </c>
    </row>
    <row r="331" spans="1:14" x14ac:dyDescent="0.2">
      <c r="A331" s="5">
        <v>45748</v>
      </c>
      <c r="B331" s="2" t="s">
        <v>74</v>
      </c>
      <c r="C331" s="2" t="s">
        <v>196</v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>19062.572800000002</v>
      </c>
      <c r="E331" s="4">
        <f>IF(SUMIFS('Monthly BSE Equity Cash'!$G:$G,'Monthly BSE Equity Cash'!$A:$A,$A331)=0,"",SUMIFS('Monthly BSE Equity Cash'!$G:$G,'Monthly BSE Equity Cash'!$A:$A,$A331))</f>
        <v>1129.1048000000001</v>
      </c>
      <c r="F331" s="4">
        <f t="shared" si="45"/>
        <v>20191.677600000003</v>
      </c>
      <c r="G331" s="7">
        <f t="shared" si="42"/>
        <v>-0.10090516159826723</v>
      </c>
      <c r="H331" s="7">
        <f t="shared" si="43"/>
        <v>-0.26089952550749851</v>
      </c>
      <c r="I331" s="7">
        <f t="shared" si="44"/>
        <v>-0.11165849245537551</v>
      </c>
      <c r="J331" s="7">
        <f t="shared" si="48"/>
        <v>1.658374663582074E-2</v>
      </c>
      <c r="K331" s="7">
        <f t="shared" si="49"/>
        <v>5.4870602093027854E-2</v>
      </c>
      <c r="L331" s="7">
        <f t="shared" si="50"/>
        <v>1.8651210203900259E-2</v>
      </c>
      <c r="M331" s="7">
        <f t="shared" si="46"/>
        <v>0.94408068401409095</v>
      </c>
      <c r="N331" s="7">
        <f t="shared" si="47"/>
        <v>5.5919315985908963E-2</v>
      </c>
    </row>
    <row r="332" spans="1:14" x14ac:dyDescent="0.2">
      <c r="A332" s="5">
        <v>45778</v>
      </c>
      <c r="B332" s="2" t="s">
        <v>74</v>
      </c>
      <c r="C332" s="2" t="s">
        <v>196</v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>23325.68</v>
      </c>
      <c r="E332" s="4">
        <f>IF(SUMIFS('Monthly BSE Equity Cash'!$G:$G,'Monthly BSE Equity Cash'!$A:$A,$A332)=0,"",SUMIFS('Monthly BSE Equity Cash'!$G:$G,'Monthly BSE Equity Cash'!$A:$A,$A332))</f>
        <v>1582.575</v>
      </c>
      <c r="F332" s="4">
        <f t="shared" si="45"/>
        <v>24908.255000000001</v>
      </c>
      <c r="G332" s="7">
        <f t="shared" si="42"/>
        <v>-5.4852776409476056E-2</v>
      </c>
      <c r="H332" s="7">
        <f t="shared" si="43"/>
        <v>-6.6835251424239628E-2</v>
      </c>
      <c r="I332" s="7">
        <f t="shared" si="44"/>
        <v>-5.5623244211994383E-2</v>
      </c>
      <c r="J332" s="7">
        <f t="shared" si="48"/>
        <v>0.22363755641630911</v>
      </c>
      <c r="K332" s="7">
        <f t="shared" si="49"/>
        <v>0.40161922967646579</v>
      </c>
      <c r="L332" s="7">
        <f t="shared" si="50"/>
        <v>0.23359016984304448</v>
      </c>
      <c r="M332" s="7">
        <f t="shared" si="46"/>
        <v>0.93646383498161545</v>
      </c>
      <c r="N332" s="7">
        <f t="shared" si="47"/>
        <v>6.3536165018384466E-2</v>
      </c>
    </row>
    <row r="333" spans="1:14" x14ac:dyDescent="0.2">
      <c r="A333" s="5">
        <v>45809</v>
      </c>
      <c r="B333" s="2" t="s">
        <v>74</v>
      </c>
      <c r="C333" s="2" t="s">
        <v>196</v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>23822.48</v>
      </c>
      <c r="E333" s="4">
        <f>IF(SUMIFS('Monthly BSE Equity Cash'!$G:$G,'Monthly BSE Equity Cash'!$A:$A,$A333)=0,"",SUMIFS('Monthly BSE Equity Cash'!$G:$G,'Monthly BSE Equity Cash'!$A:$A,$A333))</f>
        <v>1668.2102</v>
      </c>
      <c r="F333" s="4">
        <f t="shared" si="45"/>
        <v>25490.690200000001</v>
      </c>
      <c r="G333" s="7">
        <f t="shared" si="42"/>
        <v>-0.18001297564940921</v>
      </c>
      <c r="H333" s="7">
        <f t="shared" si="43"/>
        <v>-0.26511072148091308</v>
      </c>
      <c r="I333" s="7">
        <f t="shared" si="44"/>
        <v>-0.18618025393253346</v>
      </c>
      <c r="J333" s="7">
        <f t="shared" si="48"/>
        <v>2.1298414451368597E-2</v>
      </c>
      <c r="K333" s="7">
        <f t="shared" si="49"/>
        <v>5.4111305941266563E-2</v>
      </c>
      <c r="L333" s="7">
        <f t="shared" si="50"/>
        <v>2.3383219739801175E-2</v>
      </c>
      <c r="M333" s="7">
        <f t="shared" si="46"/>
        <v>0.93455609923029859</v>
      </c>
      <c r="N333" s="7">
        <f t="shared" si="47"/>
        <v>6.5443900769701399E-2</v>
      </c>
    </row>
    <row r="334" spans="1:14" x14ac:dyDescent="0.2">
      <c r="A334" s="5">
        <v>45839</v>
      </c>
      <c r="B334" s="2" t="s">
        <v>74</v>
      </c>
      <c r="C334" s="2" t="s">
        <v>197</v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>21848.95</v>
      </c>
      <c r="E334" s="4">
        <f>IF(SUMIFS('Monthly BSE Equity Cash'!$G:$G,'Monthly BSE Equity Cash'!$A:$A,$A334)=0,"",SUMIFS('Monthly BSE Equity Cash'!$G:$G,'Monthly BSE Equity Cash'!$A:$A,$A334))</f>
        <v>1653.5352</v>
      </c>
      <c r="F334" s="4">
        <f t="shared" si="45"/>
        <v>23502.485199999999</v>
      </c>
      <c r="G334" s="7">
        <f t="shared" ref="G334:G397" si="51">IF(OR(D334="",D322=""),"",D334/D322-1)</f>
        <v>-0.28634981253125436</v>
      </c>
      <c r="H334" s="7">
        <f t="shared" ref="H334:H397" si="52">IF(OR(E334="",E322=""),"",E334/E322-1)</f>
        <v>-0.2968112183929007</v>
      </c>
      <c r="I334" s="7">
        <f t="shared" ref="I334:I397" si="53">IF(OR(F334="",F322=""),"",F334/F322-1)</f>
        <v>-0.28709600150102899</v>
      </c>
      <c r="J334" s="7">
        <f t="shared" si="48"/>
        <v>-8.284318005514113E-2</v>
      </c>
      <c r="K334" s="7">
        <f t="shared" si="49"/>
        <v>-8.7968530584454641E-3</v>
      </c>
      <c r="L334" s="7">
        <f t="shared" si="50"/>
        <v>-7.7997299578808632E-2</v>
      </c>
      <c r="M334" s="7">
        <f t="shared" si="46"/>
        <v>0.92964424034612314</v>
      </c>
      <c r="N334" s="7">
        <f t="shared" si="47"/>
        <v>7.0355759653876943E-2</v>
      </c>
    </row>
    <row r="335" spans="1:14" x14ac:dyDescent="0.2">
      <c r="A335" s="5">
        <v>45870</v>
      </c>
      <c r="B335" s="2" t="s">
        <v>74</v>
      </c>
      <c r="C335" s="2" t="s">
        <v>197</v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>17773.62</v>
      </c>
      <c r="E335" s="4">
        <f>IF(SUMIFS('Monthly BSE Equity Cash'!$G:$G,'Monthly BSE Equity Cash'!$A:$A,$A335)=0,"",SUMIFS('Monthly BSE Equity Cash'!$G:$G,'Monthly BSE Equity Cash'!$A:$A,$A335))</f>
        <v>1742.6605</v>
      </c>
      <c r="F335" s="4">
        <f t="shared" si="45"/>
        <v>19516.280500000001</v>
      </c>
      <c r="G335" s="7">
        <f t="shared" si="51"/>
        <v>-0.32628649470065663</v>
      </c>
      <c r="H335" s="7">
        <f t="shared" si="52"/>
        <v>-0.16757723180650264</v>
      </c>
      <c r="I335" s="7">
        <f t="shared" si="53"/>
        <v>-0.31461822081219093</v>
      </c>
      <c r="J335" s="7">
        <f t="shared" si="48"/>
        <v>-0.18652292215415389</v>
      </c>
      <c r="K335" s="7">
        <f t="shared" si="49"/>
        <v>5.3899850453742904E-2</v>
      </c>
      <c r="L335" s="7">
        <f t="shared" si="50"/>
        <v>-0.16960779534923387</v>
      </c>
      <c r="M335" s="7">
        <f t="shared" si="46"/>
        <v>0.91070734508043161</v>
      </c>
      <c r="N335" s="7">
        <f t="shared" si="47"/>
        <v>8.9292654919568296E-2</v>
      </c>
    </row>
    <row r="336" spans="1:14" x14ac:dyDescent="0.2">
      <c r="A336" s="5">
        <v>45901</v>
      </c>
      <c r="B336" s="2" t="s">
        <v>74</v>
      </c>
      <c r="C336" s="2" t="s">
        <v>197</v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>21628.75</v>
      </c>
      <c r="E336" s="4">
        <f>IF(SUMIFS('Monthly BSE Equity Cash'!$G:$G,'Monthly BSE Equity Cash'!$A:$A,$A336)=0,"",SUMIFS('Monthly BSE Equity Cash'!$G:$G,'Monthly BSE Equity Cash'!$A:$A,$A336))</f>
        <v>1703.5266999999999</v>
      </c>
      <c r="F336" s="4">
        <f t="shared" si="45"/>
        <v>23332.276699999999</v>
      </c>
      <c r="G336" s="7">
        <f t="shared" si="51"/>
        <v>-0.15492097831782481</v>
      </c>
      <c r="H336" s="7">
        <f t="shared" si="52"/>
        <v>-5.7167256792675647E-2</v>
      </c>
      <c r="I336" s="7">
        <f t="shared" si="53"/>
        <v>-0.14847501446310751</v>
      </c>
      <c r="J336" s="7">
        <f t="shared" si="48"/>
        <v>0.21690179040623137</v>
      </c>
      <c r="K336" s="7">
        <f t="shared" si="49"/>
        <v>-2.2456353374624594E-2</v>
      </c>
      <c r="L336" s="7">
        <f t="shared" si="50"/>
        <v>0.19552886627141874</v>
      </c>
      <c r="M336" s="7">
        <f t="shared" si="46"/>
        <v>0.92698840657928605</v>
      </c>
      <c r="N336" s="7">
        <f t="shared" si="47"/>
        <v>7.301159342071406E-2</v>
      </c>
    </row>
    <row r="337" spans="1:14" x14ac:dyDescent="0.2">
      <c r="A337" s="5">
        <v>45931</v>
      </c>
      <c r="B337" s="2" t="s">
        <v>74</v>
      </c>
      <c r="C337" s="2" t="s">
        <v>198</v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>20735.39</v>
      </c>
      <c r="E337" s="4">
        <f>IF(SUMIFS('Monthly BSE Equity Cash'!$G:$G,'Monthly BSE Equity Cash'!$A:$A,$A337)=0,"",SUMIFS('Monthly BSE Equity Cash'!$G:$G,'Monthly BSE Equity Cash'!$A:$A,$A337))</f>
        <v>1609.1026999999999</v>
      </c>
      <c r="F337" s="4">
        <f t="shared" si="45"/>
        <v>22344.492699999999</v>
      </c>
      <c r="G337" s="7">
        <f t="shared" si="51"/>
        <v>-0.11880478399385541</v>
      </c>
      <c r="H337" s="7">
        <f t="shared" si="52"/>
        <v>-3.422767283039474E-3</v>
      </c>
      <c r="I337" s="7">
        <f t="shared" si="53"/>
        <v>-0.111395969728731</v>
      </c>
      <c r="J337" s="7">
        <f t="shared" si="48"/>
        <v>-4.130428249436513E-2</v>
      </c>
      <c r="K337" s="7">
        <f t="shared" si="49"/>
        <v>-5.5428541272643406E-2</v>
      </c>
      <c r="L337" s="7">
        <f t="shared" si="50"/>
        <v>-4.2335517133653688E-2</v>
      </c>
      <c r="M337" s="7">
        <f t="shared" si="46"/>
        <v>0.92798660853016368</v>
      </c>
      <c r="N337" s="7">
        <f t="shared" si="47"/>
        <v>7.2013391469836319E-2</v>
      </c>
    </row>
    <row r="338" spans="1:14" x14ac:dyDescent="0.2">
      <c r="A338" s="5">
        <v>45962</v>
      </c>
      <c r="B338" s="2" t="s">
        <v>74</v>
      </c>
      <c r="C338" s="2" t="s">
        <v>198</v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>19869.53</v>
      </c>
      <c r="E338" s="4">
        <f>IF(SUMIFS('Monthly BSE Equity Cash'!$G:$G,'Monthly BSE Equity Cash'!$A:$A,$A338)=0,"",SUMIFS('Monthly BSE Equity Cash'!$G:$G,'Monthly BSE Equity Cash'!$A:$A,$A338))</f>
        <v>1576.2266999999999</v>
      </c>
      <c r="F338" s="4">
        <f t="shared" si="45"/>
        <v>21445.756699999998</v>
      </c>
      <c r="G338" s="7">
        <f t="shared" si="51"/>
        <v>3.6918187463795826E-2</v>
      </c>
      <c r="H338" s="7">
        <f t="shared" si="52"/>
        <v>0.31062849150978722</v>
      </c>
      <c r="I338" s="7">
        <f t="shared" si="53"/>
        <v>5.3082273366534594E-2</v>
      </c>
      <c r="J338" s="7">
        <f t="shared" si="48"/>
        <v>-4.1757594142188825E-2</v>
      </c>
      <c r="K338" s="7">
        <f t="shared" si="49"/>
        <v>-2.0431262715549514E-2</v>
      </c>
      <c r="L338" s="7">
        <f t="shared" si="50"/>
        <v>-4.0221812688546743E-2</v>
      </c>
      <c r="M338" s="7">
        <f t="shared" si="46"/>
        <v>0.92650169811914362</v>
      </c>
      <c r="N338" s="7">
        <f t="shared" si="47"/>
        <v>7.3498301880856459E-2</v>
      </c>
    </row>
    <row r="339" spans="1:14" x14ac:dyDescent="0.2">
      <c r="A339" s="5">
        <v>45992</v>
      </c>
      <c r="B339" s="2" t="s">
        <v>74</v>
      </c>
      <c r="C339" s="2" t="s">
        <v>198</v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>20789.23</v>
      </c>
      <c r="E339" s="4">
        <f>IF(SUMIFS('Monthly BSE Equity Cash'!$G:$G,'Monthly BSE Equity Cash'!$A:$A,$A339)=0,"",SUMIFS('Monthly BSE Equity Cash'!$G:$G,'Monthly BSE Equity Cash'!$A:$A,$A339))</f>
        <v>1554.2719999999999</v>
      </c>
      <c r="F339" s="4">
        <f t="shared" si="45"/>
        <v>22343.502</v>
      </c>
      <c r="G339" s="7">
        <f t="shared" si="51"/>
        <v>-4.8909110040579518E-2</v>
      </c>
      <c r="H339" s="7">
        <f t="shared" si="52"/>
        <v>0.11116520599749768</v>
      </c>
      <c r="I339" s="7">
        <f t="shared" si="53"/>
        <v>-3.9281579184885174E-2</v>
      </c>
      <c r="J339" s="7">
        <f t="shared" si="48"/>
        <v>4.6286952937487635E-2</v>
      </c>
      <c r="K339" s="7">
        <f t="shared" si="49"/>
        <v>-1.392864363990276E-2</v>
      </c>
      <c r="L339" s="7">
        <f t="shared" si="50"/>
        <v>4.186120884230693E-2</v>
      </c>
      <c r="M339" s="7">
        <f t="shared" si="46"/>
        <v>0.93043740412760723</v>
      </c>
      <c r="N339" s="7">
        <f t="shared" si="47"/>
        <v>6.9562595872392788E-2</v>
      </c>
    </row>
    <row r="340" spans="1:14" x14ac:dyDescent="0.2">
      <c r="A340" s="5">
        <v>46023</v>
      </c>
      <c r="B340" s="2" t="s">
        <v>74</v>
      </c>
      <c r="C340" s="2" t="s">
        <v>199</v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>23911.970800000003</v>
      </c>
      <c r="E340" s="4">
        <f>IF(SUMIFS('Monthly BSE Equity Cash'!$G:$G,'Monthly BSE Equity Cash'!$A:$A,$A340)=0,"",SUMIFS('Monthly BSE Equity Cash'!$G:$G,'Monthly BSE Equity Cash'!$A:$A,$A340))</f>
        <v>1810.5842</v>
      </c>
      <c r="F340" s="4">
        <f t="shared" si="45"/>
        <v>25722.555000000004</v>
      </c>
      <c r="G340" s="7">
        <f t="shared" si="51"/>
        <v>8.1084159828126001E-2</v>
      </c>
      <c r="H340" s="7">
        <f t="shared" si="52"/>
        <v>0.37962159360561976</v>
      </c>
      <c r="I340" s="7">
        <f t="shared" si="53"/>
        <v>9.7805412184260865E-2</v>
      </c>
      <c r="J340" s="7">
        <f t="shared" si="48"/>
        <v>0.15020954600050129</v>
      </c>
      <c r="K340" s="7">
        <f t="shared" si="49"/>
        <v>0.16490820139589468</v>
      </c>
      <c r="L340" s="7">
        <f t="shared" si="50"/>
        <v>0.15123202262563873</v>
      </c>
      <c r="M340" s="7">
        <f t="shared" si="46"/>
        <v>0.92961102814242202</v>
      </c>
      <c r="N340" s="7">
        <f t="shared" si="47"/>
        <v>7.0388971857577906E-2</v>
      </c>
    </row>
    <row r="341" spans="1:14" x14ac:dyDescent="0.2">
      <c r="A341" s="5">
        <v>46054</v>
      </c>
      <c r="B341" s="2" t="s">
        <v>74</v>
      </c>
      <c r="C341" s="2" t="s">
        <v>199</v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>24075.96</v>
      </c>
      <c r="E341" s="4">
        <f>IF(SUMIFS('Monthly BSE Equity Cash'!$G:$G,'Monthly BSE Equity Cash'!$A:$A,$A341)=0,"",SUMIFS('Monthly BSE Equity Cash'!$G:$G,'Monthly BSE Equity Cash'!$A:$A,$A341))</f>
        <v>1825.3368</v>
      </c>
      <c r="F341" s="4">
        <f t="shared" si="45"/>
        <v>25901.2968</v>
      </c>
      <c r="G341" s="7">
        <f t="shared" si="51"/>
        <v>0.31331093409700839</v>
      </c>
      <c r="H341" s="7">
        <f t="shared" si="52"/>
        <v>0.8347461119605788</v>
      </c>
      <c r="I341" s="7">
        <f t="shared" si="53"/>
        <v>0.34015200960866743</v>
      </c>
      <c r="J341" s="7">
        <f t="shared" si="48"/>
        <v>6.8580378159375233E-3</v>
      </c>
      <c r="K341" s="7">
        <f t="shared" si="49"/>
        <v>8.1479778736608388E-3</v>
      </c>
      <c r="L341" s="7">
        <f t="shared" si="50"/>
        <v>6.9488353703586192E-3</v>
      </c>
      <c r="M341" s="7">
        <f t="shared" si="46"/>
        <v>0.92952720421318824</v>
      </c>
      <c r="N341" s="7">
        <f t="shared" si="47"/>
        <v>7.0472795786811732E-2</v>
      </c>
    </row>
    <row r="342" spans="1:14" x14ac:dyDescent="0.2">
      <c r="A342" s="5">
        <v>46082</v>
      </c>
      <c r="B342" s="2" t="s">
        <v>74</v>
      </c>
      <c r="C342" s="2" t="s">
        <v>199</v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>23782.06</v>
      </c>
      <c r="E342" s="4">
        <f>IF(SUMIFS('Monthly BSE Equity Cash'!$G:$G,'Monthly BSE Equity Cash'!$A:$A,$A342)=0,"",SUMIFS('Monthly BSE Equity Cash'!$G:$G,'Monthly BSE Equity Cash'!$A:$A,$A342))</f>
        <v>1781.3377</v>
      </c>
      <c r="F342" s="4">
        <f t="shared" si="45"/>
        <v>25563.397700000001</v>
      </c>
      <c r="G342" s="7">
        <f t="shared" si="51"/>
        <v>0.26826824013586914</v>
      </c>
      <c r="H342" s="7">
        <f t="shared" si="52"/>
        <v>0.6642217552613443</v>
      </c>
      <c r="I342" s="7">
        <f t="shared" si="53"/>
        <v>0.2896494545866064</v>
      </c>
      <c r="J342" s="7">
        <f t="shared" si="48"/>
        <v>-1.2207197553077753E-2</v>
      </c>
      <c r="K342" s="7">
        <f t="shared" si="49"/>
        <v>-2.4104647427258374E-2</v>
      </c>
      <c r="L342" s="7">
        <f t="shared" si="50"/>
        <v>-1.3045644108444776E-2</v>
      </c>
      <c r="M342" s="7">
        <f t="shared" si="46"/>
        <v>0.9303168647256933</v>
      </c>
      <c r="N342" s="7">
        <f t="shared" si="47"/>
        <v>6.9683135274306668E-2</v>
      </c>
    </row>
    <row r="343" spans="1:14" x14ac:dyDescent="0.2">
      <c r="A343" s="5">
        <v>46113</v>
      </c>
      <c r="B343" s="2" t="s">
        <v>75</v>
      </c>
      <c r="C343" s="2" t="s">
        <v>200</v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>26941.82</v>
      </c>
      <c r="E343" s="4">
        <f>IF(SUMIFS('Monthly BSE Equity Cash'!$G:$G,'Monthly BSE Equity Cash'!$A:$A,$A343)=0,"",SUMIFS('Monthly BSE Equity Cash'!$G:$G,'Monthly BSE Equity Cash'!$A:$A,$A343))</f>
        <v>1864.6166000000001</v>
      </c>
      <c r="F343" s="4">
        <f t="shared" si="45"/>
        <v>28806.436600000001</v>
      </c>
      <c r="G343" s="7">
        <f t="shared" si="51"/>
        <v>0.41333597949590506</v>
      </c>
      <c r="H343" s="7">
        <f t="shared" si="52"/>
        <v>0.6514114544548919</v>
      </c>
      <c r="I343" s="7">
        <f t="shared" si="53"/>
        <v>0.42664899720863203</v>
      </c>
      <c r="J343" s="7">
        <f t="shared" si="48"/>
        <v>0.13286317501511635</v>
      </c>
      <c r="K343" s="7">
        <f t="shared" si="49"/>
        <v>4.6750764888656482E-2</v>
      </c>
      <c r="L343" s="7">
        <f t="shared" si="50"/>
        <v>0.12686259229147767</v>
      </c>
      <c r="M343" s="7">
        <f t="shared" si="46"/>
        <v>0.93527083457451998</v>
      </c>
      <c r="N343" s="7">
        <f t="shared" si="47"/>
        <v>6.4729165425479948E-2</v>
      </c>
    </row>
    <row r="344" spans="1:14" x14ac:dyDescent="0.2">
      <c r="A344" s="5">
        <v>46143</v>
      </c>
      <c r="B344" s="2" t="s">
        <v>75</v>
      </c>
      <c r="C344" s="2" t="s">
        <v>200</v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>26911.06</v>
      </c>
      <c r="E344" s="4">
        <f>IF(SUMIFS('Monthly BSE Equity Cash'!$G:$G,'Monthly BSE Equity Cash'!$A:$A,$A344)=0,"",SUMIFS('Monthly BSE Equity Cash'!$G:$G,'Monthly BSE Equity Cash'!$A:$A,$A344))</f>
        <v>2013.2657999999999</v>
      </c>
      <c r="F344" s="4">
        <f t="shared" si="45"/>
        <v>28924.325800000002</v>
      </c>
      <c r="G344" s="7">
        <f t="shared" si="51"/>
        <v>0.15370955959268939</v>
      </c>
      <c r="H344" s="7">
        <f t="shared" si="52"/>
        <v>0.27214558551727386</v>
      </c>
      <c r="I344" s="7">
        <f t="shared" si="53"/>
        <v>0.1612345304799554</v>
      </c>
      <c r="J344" s="7">
        <f t="shared" si="48"/>
        <v>-1.1417194532514774E-3</v>
      </c>
      <c r="K344" s="7">
        <f t="shared" si="49"/>
        <v>7.9721053647167972E-2</v>
      </c>
      <c r="L344" s="7">
        <f t="shared" si="50"/>
        <v>4.0924603635286161E-3</v>
      </c>
      <c r="M344" s="7">
        <f t="shared" si="46"/>
        <v>0.93039541132536951</v>
      </c>
      <c r="N344" s="7">
        <f t="shared" si="47"/>
        <v>6.9604588674630388E-2</v>
      </c>
    </row>
    <row r="345" spans="1:14" x14ac:dyDescent="0.2">
      <c r="A345" s="5">
        <v>46174</v>
      </c>
      <c r="B345" s="2" t="s">
        <v>75</v>
      </c>
      <c r="C345" s="2" t="s">
        <v>200</v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>27716.362199999996</v>
      </c>
      <c r="E345" s="4">
        <f>IF(SUMIFS('Monthly BSE Equity Cash'!$G:$G,'Monthly BSE Equity Cash'!$A:$A,$A345)=0,"",SUMIFS('Monthly BSE Equity Cash'!$G:$G,'Monthly BSE Equity Cash'!$A:$A,$A345))</f>
        <v>2095.3022000000001</v>
      </c>
      <c r="F345" s="4">
        <f t="shared" si="45"/>
        <v>29811.664399999994</v>
      </c>
      <c r="G345" s="7">
        <f t="shared" si="51"/>
        <v>0.1634541072130189</v>
      </c>
      <c r="H345" s="7">
        <f t="shared" si="52"/>
        <v>0.2560180965204506</v>
      </c>
      <c r="I345" s="7">
        <f t="shared" si="53"/>
        <v>0.16951185574410199</v>
      </c>
      <c r="J345" s="7">
        <f t="shared" si="48"/>
        <v>2.9924581194497479E-2</v>
      </c>
      <c r="K345" s="7">
        <f t="shared" si="49"/>
        <v>4.0747923100864281E-2</v>
      </c>
      <c r="L345" s="7">
        <f t="shared" si="50"/>
        <v>3.067793545597497E-2</v>
      </c>
      <c r="M345" s="7">
        <f t="shared" si="46"/>
        <v>0.92971535665080152</v>
      </c>
      <c r="N345" s="7">
        <f t="shared" si="47"/>
        <v>7.0284643349198594E-2</v>
      </c>
    </row>
    <row r="346" spans="1:14" x14ac:dyDescent="0.2">
      <c r="A346" s="5">
        <v>46204</v>
      </c>
      <c r="B346" s="2" t="s">
        <v>75</v>
      </c>
      <c r="C346" s="2" t="s">
        <v>201</v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>27695.622100000004</v>
      </c>
      <c r="E346" s="4">
        <f>IF(SUMIFS('Monthly BSE Equity Cash'!$G:$G,'Monthly BSE Equity Cash'!$A:$A,$A346)=0,"",SUMIFS('Monthly BSE Equity Cash'!$G:$G,'Monthly BSE Equity Cash'!$A:$A,$A346))</f>
        <v>2270.1815999999999</v>
      </c>
      <c r="F346" s="4">
        <f t="shared" si="45"/>
        <v>29965.803700000004</v>
      </c>
      <c r="G346" s="7">
        <f t="shared" si="51"/>
        <v>0.26759510640099426</v>
      </c>
      <c r="H346" s="7">
        <f t="shared" si="52"/>
        <v>0.37292607983186565</v>
      </c>
      <c r="I346" s="7">
        <f t="shared" si="53"/>
        <v>0.27500574705180569</v>
      </c>
      <c r="J346" s="7">
        <f t="shared" si="48"/>
        <v>-7.4829805767195889E-4</v>
      </c>
      <c r="K346" s="7">
        <f t="shared" si="49"/>
        <v>8.3462614605186669E-2</v>
      </c>
      <c r="L346" s="7">
        <f t="shared" si="50"/>
        <v>5.1704359049475901E-3</v>
      </c>
      <c r="M346" s="7">
        <f t="shared" si="46"/>
        <v>0.92424092399697599</v>
      </c>
      <c r="N346" s="7">
        <f t="shared" si="47"/>
        <v>7.5759076003024062E-2</v>
      </c>
    </row>
    <row r="347" spans="1:14" x14ac:dyDescent="0.2">
      <c r="A347" s="5">
        <v>46235</v>
      </c>
      <c r="B347" s="2" t="s">
        <v>75</v>
      </c>
      <c r="C347" s="2" t="s">
        <v>201</v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>25133.08</v>
      </c>
      <c r="E347" s="4">
        <f>IF(SUMIFS('Monthly BSE Equity Cash'!$G:$G,'Monthly BSE Equity Cash'!$A:$A,$A347)=0,"",SUMIFS('Monthly BSE Equity Cash'!$G:$G,'Monthly BSE Equity Cash'!$A:$A,$A347))</f>
        <v>2224.0349000000001</v>
      </c>
      <c r="F347" s="4">
        <f t="shared" si="45"/>
        <v>27357.1149</v>
      </c>
      <c r="G347" s="7">
        <f t="shared" si="51"/>
        <v>0.41406646479445408</v>
      </c>
      <c r="H347" s="7">
        <f t="shared" si="52"/>
        <v>0.2762295926257583</v>
      </c>
      <c r="I347" s="7">
        <f t="shared" si="53"/>
        <v>0.40175864453270171</v>
      </c>
      <c r="J347" s="7">
        <f t="shared" si="48"/>
        <v>-9.2525168445304673E-2</v>
      </c>
      <c r="K347" s="7">
        <f t="shared" si="49"/>
        <v>-2.0327316545953766E-2</v>
      </c>
      <c r="L347" s="7">
        <f t="shared" si="50"/>
        <v>-8.7055525896006736E-2</v>
      </c>
      <c r="M347" s="7">
        <f t="shared" si="46"/>
        <v>0.91870360203809365</v>
      </c>
      <c r="N347" s="7">
        <f t="shared" si="47"/>
        <v>8.1296397961906436E-2</v>
      </c>
    </row>
    <row r="348" spans="1:14" x14ac:dyDescent="0.2">
      <c r="A348" s="5">
        <v>46266</v>
      </c>
      <c r="B348" s="2" t="s">
        <v>75</v>
      </c>
      <c r="C348" s="2" t="s">
        <v>201</v>
      </c>
      <c r="D348" s="4">
        <f>IF(MAX(SUMIFS('Monthly NSE Equity Cash'!$K:$K,'Monthly NSE Equity Cash'!$A:$A,$A348),SUMIFS('Daily NSE Equity Cash'!$H:$H,'Daily NSE Equity Cash'!$C:$C,$A348))=0,"",MAX(SUMIFS('Monthly NSE Equity Cash'!$K:$K,'Monthly NSE Equity Cash'!$A:$A,$A348),SUMIFS('Daily NSE Equity Cash'!$H:$H,'Daily NSE Equity Cash'!$C:$C,$A348)))</f>
        <v>5698.4302999999991</v>
      </c>
      <c r="E348" s="4">
        <f>IF(SUMIFS('Monthly BSE Equity Cash'!$G:$G,'Monthly BSE Equity Cash'!$A:$A,$A348)=0,"",SUMIFS('Monthly BSE Equity Cash'!$G:$G,'Monthly BSE Equity Cash'!$A:$A,$A348))</f>
        <v>627.31719999999996</v>
      </c>
      <c r="F348" s="4">
        <f t="shared" si="45"/>
        <v>6325.7474999999995</v>
      </c>
      <c r="G348" s="7">
        <f t="shared" si="51"/>
        <v>-0.73653445992024502</v>
      </c>
      <c r="H348" s="7">
        <f t="shared" si="52"/>
        <v>-0.63175381988436108</v>
      </c>
      <c r="I348" s="7">
        <f t="shared" si="53"/>
        <v>-0.72888425843158289</v>
      </c>
      <c r="J348" s="7">
        <f t="shared" si="48"/>
        <v>-0.77326971863376881</v>
      </c>
      <c r="K348" s="7">
        <f t="shared" si="49"/>
        <v>-0.71793733992213882</v>
      </c>
      <c r="L348" s="7">
        <f t="shared" si="50"/>
        <v>-0.7687713955538491</v>
      </c>
      <c r="M348" s="7">
        <f t="shared" si="46"/>
        <v>0.90083113497653833</v>
      </c>
      <c r="N348" s="7">
        <f t="shared" si="47"/>
        <v>9.9168865023461658E-2</v>
      </c>
    </row>
    <row r="350" spans="1:14" x14ac:dyDescent="0.2">
      <c r="A350" s="1" t="s">
        <v>212</v>
      </c>
    </row>
    <row r="351" spans="1:14" x14ac:dyDescent="0.2">
      <c r="A351" s="2" t="s">
        <v>213</v>
      </c>
      <c r="B351" s="3">
        <f>COUNTIF('Daily NSE Equity Cash'!$A:$A,"&gt;="&amp;DATE(2026,9,1))</f>
        <v>5</v>
      </c>
    </row>
    <row r="352" spans="1:14" x14ac:dyDescent="0.2">
      <c r="A352" s="2" t="s">
        <v>214</v>
      </c>
      <c r="B352" s="6">
        <f>DATE(2025,9,1)</f>
        <v>45901</v>
      </c>
      <c r="C352" s="6">
        <f>INDEX('Daily NSE Equity Cash'!$A:$A,COUNTIF('Daily NSE Equity Cash'!$A:$A,"&lt;"&amp;DATE(2025,9,1))+1+$B351)</f>
        <v>45905</v>
      </c>
    </row>
    <row r="353" spans="1:14" x14ac:dyDescent="0.2">
      <c r="D353" s="1" t="s">
        <v>35</v>
      </c>
      <c r="E353" s="1" t="s">
        <v>36</v>
      </c>
      <c r="F353" s="1" t="s">
        <v>37</v>
      </c>
      <c r="M353" s="1" t="s">
        <v>41</v>
      </c>
      <c r="N353" s="1" t="s">
        <v>42</v>
      </c>
    </row>
    <row r="354" spans="1:14" x14ac:dyDescent="0.2">
      <c r="A354" s="2" t="s">
        <v>215</v>
      </c>
      <c r="D354" s="4">
        <f>SUMIFS('Daily NSE Equity Cash'!$H:$H,'Daily NSE Equity Cash'!$A:$A,"&gt;="&amp;$B$352,'Daily NSE Equity Cash'!$A:$A,"&lt;="&amp;$C$352)</f>
        <v>4614.2497999999996</v>
      </c>
      <c r="E354" s="4">
        <f>SUMIFS('Daily BSE Equity Cash'!$H:$H,'Daily BSE Equity Cash'!$A:$A,"&gt;="&amp;$B$352,'Daily BSE Equity Cash'!$A:$A,"&lt;="&amp;$C$352)</f>
        <v>367.5428</v>
      </c>
      <c r="F354" s="4">
        <f>D354+E354</f>
        <v>4981.7925999999998</v>
      </c>
      <c r="M354" s="7">
        <f>IF(F354=0,"",D354/F354)</f>
        <v>0.9262227817352332</v>
      </c>
      <c r="N354" s="7">
        <f>IF(F354=0,"",E354/F354)</f>
        <v>7.3777218264766783E-2</v>
      </c>
    </row>
    <row r="355" spans="1:14" x14ac:dyDescent="0.2">
      <c r="A355" s="2" t="s">
        <v>216</v>
      </c>
      <c r="D355" s="4">
        <f>SUMIFS('Daily NSE Equity Cash'!$H:$H,'Daily NSE Equity Cash'!$A:$A,"&gt;="&amp;DATE(2026,9,1))</f>
        <v>5698.4302999999991</v>
      </c>
      <c r="E355" s="4">
        <f>SUMIFS('Daily BSE Equity Cash'!$H:$H,'Daily BSE Equity Cash'!$A:$A,"&gt;="&amp;DATE(2026,9,1))</f>
        <v>627.31709999999998</v>
      </c>
      <c r="F355" s="4">
        <f>D355+E355</f>
        <v>6325.7473999999993</v>
      </c>
      <c r="M355" s="7">
        <f>IF(F355=0,"",D355/F355)</f>
        <v>0.90083114921724505</v>
      </c>
      <c r="N355" s="7">
        <f>IF(F355=0,"",E355/F355)</f>
        <v>9.9168850782754947E-2</v>
      </c>
    </row>
    <row r="356" spans="1:14" x14ac:dyDescent="0.2">
      <c r="A356" s="1" t="s">
        <v>217</v>
      </c>
      <c r="D356" s="7">
        <f>IF(OR(D354=0,D354=""),"",D355/D354-1)</f>
        <v>0.23496354705373768</v>
      </c>
      <c r="E356" s="7">
        <f>IF(OR(E354=0,E354=""),"",E355/E354-1)</f>
        <v>0.7067865293511395</v>
      </c>
      <c r="F356" s="7">
        <f>IF(OR(F354=0,F354=""),"",F355/F354-1)</f>
        <v>0.26977333420102623</v>
      </c>
    </row>
  </sheetData>
  <conditionalFormatting sqref="M2:M3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0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outlineLevelCol="1" x14ac:dyDescent="0.2"/>
  <cols>
    <col min="1" max="1" width="14" customWidth="1"/>
    <col min="2" max="2" width="12" customWidth="1"/>
    <col min="3" max="3" width="16" customWidth="1"/>
    <col min="4" max="4" width="12" customWidth="1"/>
    <col min="5" max="7" width="22" customWidth="1"/>
    <col min="8" max="9" width="18" customWidth="1"/>
    <col min="10" max="10" width="24" customWidth="1"/>
    <col min="11" max="12" width="18" customWidth="1"/>
    <col min="13" max="13" width="24" customWidth="1"/>
    <col min="14" max="15" width="16" hidden="1" customWidth="1" outlineLevel="1"/>
  </cols>
  <sheetData>
    <row r="1" spans="1:15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221</v>
      </c>
      <c r="L1" s="1" t="s">
        <v>222</v>
      </c>
      <c r="M1" s="1" t="s">
        <v>223</v>
      </c>
      <c r="N1" s="1" t="s">
        <v>41</v>
      </c>
      <c r="O1" s="1" t="s">
        <v>42</v>
      </c>
    </row>
    <row r="2" spans="1:15" x14ac:dyDescent="0.2">
      <c r="A2" s="6">
        <v>43922</v>
      </c>
      <c r="B2" s="2" t="s">
        <v>224</v>
      </c>
      <c r="C2" s="5">
        <v>43922</v>
      </c>
      <c r="D2" s="2" t="s">
        <v>176</v>
      </c>
      <c r="E2" s="4">
        <f>IF(SUMIFS('Daily NSE Equity Cash'!$H:$H,'Daily NSE Equity Cash'!$A:$A,$A2)=0,"",SUMIFS('Daily NSE Equity Cash'!$H:$H,'Daily NSE Equity Cash'!$A:$A,$A2))</f>
        <v>318.69540000000001</v>
      </c>
      <c r="F2" s="4">
        <f>IF(SUMIFS('Daily BSE Equity Cash'!$H:$H,'Daily BSE Equity Cash'!$A:$A,$A2)=0,"",SUMIFS('Daily BSE Equity Cash'!$H:$H,'Daily BSE Equity Cash'!$A:$A,$A2))</f>
        <v>18.849399999999999</v>
      </c>
      <c r="G2" s="4">
        <f t="shared" ref="G2:G65" si="0">IF(OR(E2="",F2=""),"",E2+F2)</f>
        <v>337.54480000000001</v>
      </c>
      <c r="H2" s="7" t="str">
        <f t="shared" ref="H2:H65" si="1">IFERROR(IF(OR(E2="",INDEX(E:E,MATCH(DATE(YEAR($A2)-1,MONTH($A2),DAY($A2)),$A:$A,0))=""),"",E2/INDEX(E:E,MATCH(DATE(YEAR($A2)-1,MONTH($A2),DAY($A2)),$A:$A,0))-1),"")</f>
        <v/>
      </c>
      <c r="I2" s="7" t="str">
        <f t="shared" ref="I2:I65" si="2">IFERROR(IF(OR(F2="",INDEX(F:F,MATCH(DATE(YEAR($A2)-1,MONTH($A2),DAY($A2)),$A:$A,0))=""),"",F2/INDEX(F:F,MATCH(DATE(YEAR($A2)-1,MONTH($A2),DAY($A2)),$A:$A,0))-1),"")</f>
        <v/>
      </c>
      <c r="J2" s="7" t="str">
        <f t="shared" ref="J2:J65" si="3">IFERROR(IF(OR(G2="",INDEX(G:G,MATCH(DATE(YEAR($A2)-1,MONTH($A2),DAY($A2)),$A:$A,0))=""),"",G2/INDEX(G:G,MATCH(DATE(YEAR($A2)-1,MONTH($A2),DAY($A2)),$A:$A,0))-1),"")</f>
        <v/>
      </c>
      <c r="K2" s="7"/>
      <c r="L2" s="7"/>
      <c r="M2" s="7"/>
      <c r="N2" s="7">
        <f t="shared" ref="N2:N65" si="4">IF(G2="","",E2/G2)</f>
        <v>0.94415733852217543</v>
      </c>
      <c r="O2" s="7">
        <f t="shared" ref="O2:O65" si="5">IF(G2="","",F2/G2)</f>
        <v>5.5842661477824566E-2</v>
      </c>
    </row>
    <row r="3" spans="1:15" x14ac:dyDescent="0.2">
      <c r="A3" s="6">
        <v>43924</v>
      </c>
      <c r="B3" s="2" t="s">
        <v>225</v>
      </c>
      <c r="C3" s="5">
        <v>43922</v>
      </c>
      <c r="D3" s="2" t="s">
        <v>176</v>
      </c>
      <c r="E3" s="4">
        <f>IF(SUMIFS('Daily NSE Equity Cash'!$H:$H,'Daily NSE Equity Cash'!$A:$A,$A3)=0,"",SUMIFS('Daily NSE Equity Cash'!$H:$H,'Daily NSE Equity Cash'!$A:$A,$A3))</f>
        <v>396.4776</v>
      </c>
      <c r="F3" s="4">
        <f>IF(SUMIFS('Daily BSE Equity Cash'!$H:$H,'Daily BSE Equity Cash'!$A:$A,$A3)=0,"",SUMIFS('Daily BSE Equity Cash'!$H:$H,'Daily BSE Equity Cash'!$A:$A,$A3))</f>
        <v>21.887599999999999</v>
      </c>
      <c r="G3" s="4">
        <f t="shared" si="0"/>
        <v>418.36520000000002</v>
      </c>
      <c r="H3" s="7" t="str">
        <f t="shared" si="1"/>
        <v/>
      </c>
      <c r="I3" s="7" t="str">
        <f t="shared" si="2"/>
        <v/>
      </c>
      <c r="J3" s="7" t="str">
        <f t="shared" si="3"/>
        <v/>
      </c>
      <c r="K3" s="7">
        <f t="shared" ref="K3:K66" si="6">IF(OR(E3="",E2=""),"",E3/E2-1)</f>
        <v>0.24406439503048993</v>
      </c>
      <c r="L3" s="7">
        <f t="shared" ref="L3:L66" si="7">IF(OR(F3="",F2=""),"",F3/F2-1)</f>
        <v>0.16118284932146376</v>
      </c>
      <c r="M3" s="7">
        <f t="shared" ref="M3:M66" si="8">IF(OR(G3="",G2=""),"",G3/G2-1)</f>
        <v>0.23943606893070202</v>
      </c>
      <c r="N3" s="7">
        <f t="shared" si="4"/>
        <v>0.9476830290855931</v>
      </c>
      <c r="O3" s="7">
        <f t="shared" si="5"/>
        <v>5.2316970914406832E-2</v>
      </c>
    </row>
    <row r="4" spans="1:15" x14ac:dyDescent="0.2">
      <c r="A4" s="6">
        <v>43928</v>
      </c>
      <c r="B4" s="2" t="s">
        <v>226</v>
      </c>
      <c r="C4" s="5">
        <v>43922</v>
      </c>
      <c r="D4" s="2" t="s">
        <v>176</v>
      </c>
      <c r="E4" s="4">
        <f>IF(SUMIFS('Daily NSE Equity Cash'!$H:$H,'Daily NSE Equity Cash'!$A:$A,$A4)=0,"",SUMIFS('Daily NSE Equity Cash'!$H:$H,'Daily NSE Equity Cash'!$A:$A,$A4))</f>
        <v>524.38580000000002</v>
      </c>
      <c r="F4" s="4">
        <f>IF(SUMIFS('Daily BSE Equity Cash'!$H:$H,'Daily BSE Equity Cash'!$A:$A,$A4)=0,"",SUMIFS('Daily BSE Equity Cash'!$H:$H,'Daily BSE Equity Cash'!$A:$A,$A4))</f>
        <v>23.503</v>
      </c>
      <c r="G4" s="4">
        <f t="shared" si="0"/>
        <v>547.88880000000006</v>
      </c>
      <c r="H4" s="7" t="str">
        <f t="shared" si="1"/>
        <v/>
      </c>
      <c r="I4" s="7" t="str">
        <f t="shared" si="2"/>
        <v/>
      </c>
      <c r="J4" s="7" t="str">
        <f t="shared" si="3"/>
        <v/>
      </c>
      <c r="K4" s="7">
        <f t="shared" si="6"/>
        <v>0.32261141613044475</v>
      </c>
      <c r="L4" s="7">
        <f t="shared" si="7"/>
        <v>7.3804345839653562E-2</v>
      </c>
      <c r="M4" s="7">
        <f t="shared" si="8"/>
        <v>0.30959458387074279</v>
      </c>
      <c r="N4" s="7">
        <f t="shared" si="4"/>
        <v>0.95710260914258505</v>
      </c>
      <c r="O4" s="7">
        <f t="shared" si="5"/>
        <v>4.2897390857414855E-2</v>
      </c>
    </row>
    <row r="5" spans="1:15" x14ac:dyDescent="0.2">
      <c r="A5" s="6">
        <v>43929</v>
      </c>
      <c r="B5" s="2" t="s">
        <v>224</v>
      </c>
      <c r="C5" s="5">
        <v>43922</v>
      </c>
      <c r="D5" s="2" t="s">
        <v>176</v>
      </c>
      <c r="E5" s="4">
        <f>IF(SUMIFS('Daily NSE Equity Cash'!$H:$H,'Daily NSE Equity Cash'!$A:$A,$A5)=0,"",SUMIFS('Daily NSE Equity Cash'!$H:$H,'Daily NSE Equity Cash'!$A:$A,$A5))</f>
        <v>575.93470000000002</v>
      </c>
      <c r="F5" s="4">
        <f>IF(SUMIFS('Daily BSE Equity Cash'!$H:$H,'Daily BSE Equity Cash'!$A:$A,$A5)=0,"",SUMIFS('Daily BSE Equity Cash'!$H:$H,'Daily BSE Equity Cash'!$A:$A,$A5))</f>
        <v>25.651399999999999</v>
      </c>
      <c r="G5" s="4">
        <f t="shared" si="0"/>
        <v>601.58609999999999</v>
      </c>
      <c r="H5" s="7" t="str">
        <f t="shared" si="1"/>
        <v/>
      </c>
      <c r="I5" s="7" t="str">
        <f t="shared" si="2"/>
        <v/>
      </c>
      <c r="J5" s="7" t="str">
        <f t="shared" si="3"/>
        <v/>
      </c>
      <c r="K5" s="7">
        <f t="shared" si="6"/>
        <v>9.8303386552420102E-2</v>
      </c>
      <c r="L5" s="7">
        <f t="shared" si="7"/>
        <v>9.1409607284176353E-2</v>
      </c>
      <c r="M5" s="7">
        <f t="shared" si="8"/>
        <v>9.8007661408665347E-2</v>
      </c>
      <c r="N5" s="7">
        <f t="shared" si="4"/>
        <v>0.95736038449026672</v>
      </c>
      <c r="O5" s="7">
        <f t="shared" si="5"/>
        <v>4.2639615509733352E-2</v>
      </c>
    </row>
    <row r="6" spans="1:15" x14ac:dyDescent="0.2">
      <c r="A6" s="6">
        <v>43930</v>
      </c>
      <c r="B6" s="2" t="s">
        <v>227</v>
      </c>
      <c r="C6" s="5">
        <v>43922</v>
      </c>
      <c r="D6" s="2" t="s">
        <v>176</v>
      </c>
      <c r="E6" s="4">
        <f>IF(SUMIFS('Daily NSE Equity Cash'!$H:$H,'Daily NSE Equity Cash'!$A:$A,$A6)=0,"",SUMIFS('Daily NSE Equity Cash'!$H:$H,'Daily NSE Equity Cash'!$A:$A,$A6))</f>
        <v>515.43679999999995</v>
      </c>
      <c r="F6" s="4">
        <f>IF(SUMIFS('Daily BSE Equity Cash'!$H:$H,'Daily BSE Equity Cash'!$A:$A,$A6)=0,"",SUMIFS('Daily BSE Equity Cash'!$H:$H,'Daily BSE Equity Cash'!$A:$A,$A6))</f>
        <v>26.209299999999999</v>
      </c>
      <c r="G6" s="4">
        <f t="shared" si="0"/>
        <v>541.64609999999993</v>
      </c>
      <c r="H6" s="7" t="str">
        <f t="shared" si="1"/>
        <v/>
      </c>
      <c r="I6" s="7" t="str">
        <f t="shared" si="2"/>
        <v/>
      </c>
      <c r="J6" s="7" t="str">
        <f t="shared" si="3"/>
        <v/>
      </c>
      <c r="K6" s="7">
        <f t="shared" si="6"/>
        <v>-0.10504298490783781</v>
      </c>
      <c r="L6" s="7">
        <f t="shared" si="7"/>
        <v>2.1749300233125712E-2</v>
      </c>
      <c r="M6" s="7">
        <f t="shared" si="8"/>
        <v>-9.9636610619826538E-2</v>
      </c>
      <c r="N6" s="7">
        <f t="shared" si="4"/>
        <v>0.9516117627358528</v>
      </c>
      <c r="O6" s="7">
        <f t="shared" si="5"/>
        <v>4.8388237264147205E-2</v>
      </c>
    </row>
    <row r="7" spans="1:15" x14ac:dyDescent="0.2">
      <c r="A7" s="6">
        <v>43934</v>
      </c>
      <c r="B7" s="2" t="s">
        <v>228</v>
      </c>
      <c r="C7" s="5">
        <v>43922</v>
      </c>
      <c r="D7" s="2" t="s">
        <v>176</v>
      </c>
      <c r="E7" s="4">
        <f>IF(SUMIFS('Daily NSE Equity Cash'!$H:$H,'Daily NSE Equity Cash'!$A:$A,$A7)=0,"",SUMIFS('Daily NSE Equity Cash'!$H:$H,'Daily NSE Equity Cash'!$A:$A,$A7))</f>
        <v>458.1918</v>
      </c>
      <c r="F7" s="4">
        <f>IF(SUMIFS('Daily BSE Equity Cash'!$H:$H,'Daily BSE Equity Cash'!$A:$A,$A7)=0,"",SUMIFS('Daily BSE Equity Cash'!$H:$H,'Daily BSE Equity Cash'!$A:$A,$A7))</f>
        <v>22.5763</v>
      </c>
      <c r="G7" s="4">
        <f t="shared" si="0"/>
        <v>480.7681</v>
      </c>
      <c r="H7" s="7" t="str">
        <f t="shared" si="1"/>
        <v/>
      </c>
      <c r="I7" s="7" t="str">
        <f t="shared" si="2"/>
        <v/>
      </c>
      <c r="J7" s="7" t="str">
        <f t="shared" si="3"/>
        <v/>
      </c>
      <c r="K7" s="7">
        <f t="shared" si="6"/>
        <v>-0.11106114270459533</v>
      </c>
      <c r="L7" s="7">
        <f t="shared" si="7"/>
        <v>-0.1386149191317585</v>
      </c>
      <c r="M7" s="7">
        <f t="shared" si="8"/>
        <v>-0.11239442137587607</v>
      </c>
      <c r="N7" s="7">
        <f t="shared" si="4"/>
        <v>0.95304118555286843</v>
      </c>
      <c r="O7" s="7">
        <f t="shared" si="5"/>
        <v>4.6958814447131576E-2</v>
      </c>
    </row>
    <row r="8" spans="1:15" x14ac:dyDescent="0.2">
      <c r="A8" s="6">
        <v>43936</v>
      </c>
      <c r="B8" s="2" t="s">
        <v>224</v>
      </c>
      <c r="C8" s="5">
        <v>43922</v>
      </c>
      <c r="D8" s="2" t="s">
        <v>176</v>
      </c>
      <c r="E8" s="4">
        <f>IF(SUMIFS('Daily NSE Equity Cash'!$H:$H,'Daily NSE Equity Cash'!$A:$A,$A8)=0,"",SUMIFS('Daily NSE Equity Cash'!$H:$H,'Daily NSE Equity Cash'!$A:$A,$A8))</f>
        <v>646.63</v>
      </c>
      <c r="F8" s="4">
        <f>IF(SUMIFS('Daily BSE Equity Cash'!$H:$H,'Daily BSE Equity Cash'!$A:$A,$A8)=0,"",SUMIFS('Daily BSE Equity Cash'!$H:$H,'Daily BSE Equity Cash'!$A:$A,$A8))</f>
        <v>40.716700000000003</v>
      </c>
      <c r="G8" s="4">
        <f t="shared" si="0"/>
        <v>687.34670000000006</v>
      </c>
      <c r="H8" s="7" t="str">
        <f t="shared" si="1"/>
        <v/>
      </c>
      <c r="I8" s="7" t="str">
        <f t="shared" si="2"/>
        <v/>
      </c>
      <c r="J8" s="7" t="str">
        <f t="shared" si="3"/>
        <v/>
      </c>
      <c r="K8" s="7">
        <f t="shared" si="6"/>
        <v>0.4112648895069706</v>
      </c>
      <c r="L8" s="7">
        <f t="shared" si="7"/>
        <v>0.80351519070884092</v>
      </c>
      <c r="M8" s="7">
        <f t="shared" si="8"/>
        <v>0.42968449861794089</v>
      </c>
      <c r="N8" s="7">
        <f t="shared" si="4"/>
        <v>0.94076250020550034</v>
      </c>
      <c r="O8" s="7">
        <f t="shared" si="5"/>
        <v>5.9237499794499632E-2</v>
      </c>
    </row>
    <row r="9" spans="1:15" x14ac:dyDescent="0.2">
      <c r="A9" s="6">
        <v>43937</v>
      </c>
      <c r="B9" s="2" t="s">
        <v>227</v>
      </c>
      <c r="C9" s="5">
        <v>43922</v>
      </c>
      <c r="D9" s="2" t="s">
        <v>176</v>
      </c>
      <c r="E9" s="4">
        <f>IF(SUMIFS('Daily NSE Equity Cash'!$H:$H,'Daily NSE Equity Cash'!$A:$A,$A9)=0,"",SUMIFS('Daily NSE Equity Cash'!$H:$H,'Daily NSE Equity Cash'!$A:$A,$A9))</f>
        <v>499.16269999999997</v>
      </c>
      <c r="F9" s="4">
        <f>IF(SUMIFS('Daily BSE Equity Cash'!$H:$H,'Daily BSE Equity Cash'!$A:$A,$A9)=0,"",SUMIFS('Daily BSE Equity Cash'!$H:$H,'Daily BSE Equity Cash'!$A:$A,$A9))</f>
        <v>21.918700000000001</v>
      </c>
      <c r="G9" s="4">
        <f t="shared" si="0"/>
        <v>521.08140000000003</v>
      </c>
      <c r="H9" s="7" t="str">
        <f t="shared" si="1"/>
        <v/>
      </c>
      <c r="I9" s="7" t="str">
        <f t="shared" si="2"/>
        <v/>
      </c>
      <c r="J9" s="7" t="str">
        <f t="shared" si="3"/>
        <v/>
      </c>
      <c r="K9" s="7">
        <f t="shared" si="6"/>
        <v>-0.22805514745681454</v>
      </c>
      <c r="L9" s="7">
        <f t="shared" si="7"/>
        <v>-0.46167788646918828</v>
      </c>
      <c r="M9" s="7">
        <f t="shared" si="8"/>
        <v>-0.24189437441105055</v>
      </c>
      <c r="N9" s="7">
        <f t="shared" si="4"/>
        <v>0.95793613051626858</v>
      </c>
      <c r="O9" s="7">
        <f t="shared" si="5"/>
        <v>4.206386948373133E-2</v>
      </c>
    </row>
    <row r="10" spans="1:15" x14ac:dyDescent="0.2">
      <c r="A10" s="6">
        <v>43938</v>
      </c>
      <c r="B10" s="2" t="s">
        <v>225</v>
      </c>
      <c r="C10" s="5">
        <v>43922</v>
      </c>
      <c r="D10" s="2" t="s">
        <v>176</v>
      </c>
      <c r="E10" s="4">
        <f>IF(SUMIFS('Daily NSE Equity Cash'!$H:$H,'Daily NSE Equity Cash'!$A:$A,$A10)=0,"",SUMIFS('Daily NSE Equity Cash'!$H:$H,'Daily NSE Equity Cash'!$A:$A,$A10))</f>
        <v>553.9348</v>
      </c>
      <c r="F10" s="4">
        <f>IF(SUMIFS('Daily BSE Equity Cash'!$H:$H,'Daily BSE Equity Cash'!$A:$A,$A10)=0,"",SUMIFS('Daily BSE Equity Cash'!$H:$H,'Daily BSE Equity Cash'!$A:$A,$A10))</f>
        <v>28.122900000000001</v>
      </c>
      <c r="G10" s="4">
        <f t="shared" si="0"/>
        <v>582.05769999999995</v>
      </c>
      <c r="H10" s="7" t="str">
        <f t="shared" si="1"/>
        <v/>
      </c>
      <c r="I10" s="7" t="str">
        <f t="shared" si="2"/>
        <v/>
      </c>
      <c r="J10" s="7" t="str">
        <f t="shared" si="3"/>
        <v/>
      </c>
      <c r="K10" s="7">
        <f t="shared" si="6"/>
        <v>0.10972795042578309</v>
      </c>
      <c r="L10" s="7">
        <f t="shared" si="7"/>
        <v>0.28305510819528523</v>
      </c>
      <c r="M10" s="7">
        <f t="shared" si="8"/>
        <v>0.11701876136818523</v>
      </c>
      <c r="N10" s="7">
        <f t="shared" si="4"/>
        <v>0.95168365610488448</v>
      </c>
      <c r="O10" s="7">
        <f t="shared" si="5"/>
        <v>4.8316343895115556E-2</v>
      </c>
    </row>
    <row r="11" spans="1:15" x14ac:dyDescent="0.2">
      <c r="A11" s="6">
        <v>43941</v>
      </c>
      <c r="B11" s="2" t="s">
        <v>228</v>
      </c>
      <c r="C11" s="5">
        <v>43922</v>
      </c>
      <c r="D11" s="2" t="s">
        <v>176</v>
      </c>
      <c r="E11" s="4">
        <f>IF(SUMIFS('Daily NSE Equity Cash'!$H:$H,'Daily NSE Equity Cash'!$A:$A,$A11)=0,"",SUMIFS('Daily NSE Equity Cash'!$H:$H,'Daily NSE Equity Cash'!$A:$A,$A11))</f>
        <v>482.21890000000002</v>
      </c>
      <c r="F11" s="4">
        <f>IF(SUMIFS('Daily BSE Equity Cash'!$H:$H,'Daily BSE Equity Cash'!$A:$A,$A11)=0,"",SUMIFS('Daily BSE Equity Cash'!$H:$H,'Daily BSE Equity Cash'!$A:$A,$A11))</f>
        <v>23.394100000000002</v>
      </c>
      <c r="G11" s="4">
        <f t="shared" si="0"/>
        <v>505.613</v>
      </c>
      <c r="H11" s="7" t="str">
        <f t="shared" si="1"/>
        <v/>
      </c>
      <c r="I11" s="7" t="str">
        <f t="shared" si="2"/>
        <v/>
      </c>
      <c r="J11" s="7" t="str">
        <f t="shared" si="3"/>
        <v/>
      </c>
      <c r="K11" s="7">
        <f t="shared" si="6"/>
        <v>-0.12946631986291524</v>
      </c>
      <c r="L11" s="7">
        <f t="shared" si="7"/>
        <v>-0.16814766613684928</v>
      </c>
      <c r="M11" s="7">
        <f t="shared" si="8"/>
        <v>-0.13133526109181271</v>
      </c>
      <c r="N11" s="7">
        <f t="shared" si="4"/>
        <v>0.95373121339838973</v>
      </c>
      <c r="O11" s="7">
        <f t="shared" si="5"/>
        <v>4.6268786601610323E-2</v>
      </c>
    </row>
    <row r="12" spans="1:15" x14ac:dyDescent="0.2">
      <c r="A12" s="6">
        <v>43942</v>
      </c>
      <c r="B12" s="2" t="s">
        <v>226</v>
      </c>
      <c r="C12" s="5">
        <v>43922</v>
      </c>
      <c r="D12" s="2" t="s">
        <v>176</v>
      </c>
      <c r="E12" s="4">
        <f>IF(SUMIFS('Daily NSE Equity Cash'!$H:$H,'Daily NSE Equity Cash'!$A:$A,$A12)=0,"",SUMIFS('Daily NSE Equity Cash'!$H:$H,'Daily NSE Equity Cash'!$A:$A,$A12))</f>
        <v>469.77519999999998</v>
      </c>
      <c r="F12" s="4">
        <f>IF(SUMIFS('Daily BSE Equity Cash'!$H:$H,'Daily BSE Equity Cash'!$A:$A,$A12)=0,"",SUMIFS('Daily BSE Equity Cash'!$H:$H,'Daily BSE Equity Cash'!$A:$A,$A12))</f>
        <v>21.926200000000001</v>
      </c>
      <c r="G12" s="4">
        <f t="shared" si="0"/>
        <v>491.70139999999998</v>
      </c>
      <c r="H12" s="7" t="str">
        <f t="shared" si="1"/>
        <v/>
      </c>
      <c r="I12" s="7" t="str">
        <f t="shared" si="2"/>
        <v/>
      </c>
      <c r="J12" s="7" t="str">
        <f t="shared" si="3"/>
        <v/>
      </c>
      <c r="K12" s="7">
        <f t="shared" si="6"/>
        <v>-2.5805085615682066E-2</v>
      </c>
      <c r="L12" s="7">
        <f t="shared" si="7"/>
        <v>-6.274658995216742E-2</v>
      </c>
      <c r="M12" s="7">
        <f t="shared" si="8"/>
        <v>-2.7514324196569406E-2</v>
      </c>
      <c r="N12" s="7">
        <f t="shared" si="4"/>
        <v>0.95540748917940854</v>
      </c>
      <c r="O12" s="7">
        <f t="shared" si="5"/>
        <v>4.4592510820591527E-2</v>
      </c>
    </row>
    <row r="13" spans="1:15" x14ac:dyDescent="0.2">
      <c r="A13" s="6">
        <v>43943</v>
      </c>
      <c r="B13" s="2" t="s">
        <v>224</v>
      </c>
      <c r="C13" s="5">
        <v>43922</v>
      </c>
      <c r="D13" s="2" t="s">
        <v>176</v>
      </c>
      <c r="E13" s="4">
        <f>IF(SUMIFS('Daily NSE Equity Cash'!$H:$H,'Daily NSE Equity Cash'!$A:$A,$A13)=0,"",SUMIFS('Daily NSE Equity Cash'!$H:$H,'Daily NSE Equity Cash'!$A:$A,$A13))</f>
        <v>524.69949999999994</v>
      </c>
      <c r="F13" s="4">
        <f>IF(SUMIFS('Daily BSE Equity Cash'!$H:$H,'Daily BSE Equity Cash'!$A:$A,$A13)=0,"",SUMIFS('Daily BSE Equity Cash'!$H:$H,'Daily BSE Equity Cash'!$A:$A,$A13))</f>
        <v>26.9285</v>
      </c>
      <c r="G13" s="4">
        <f t="shared" si="0"/>
        <v>551.62799999999993</v>
      </c>
      <c r="H13" s="7" t="str">
        <f t="shared" si="1"/>
        <v/>
      </c>
      <c r="I13" s="7" t="str">
        <f t="shared" si="2"/>
        <v/>
      </c>
      <c r="J13" s="7" t="str">
        <f t="shared" si="3"/>
        <v/>
      </c>
      <c r="K13" s="7">
        <f t="shared" si="6"/>
        <v>0.11691613350385444</v>
      </c>
      <c r="L13" s="7">
        <f t="shared" si="7"/>
        <v>0.22814258740684656</v>
      </c>
      <c r="M13" s="7">
        <f t="shared" si="8"/>
        <v>0.12187600035305968</v>
      </c>
      <c r="N13" s="7">
        <f t="shared" si="4"/>
        <v>0.95118358749012022</v>
      </c>
      <c r="O13" s="7">
        <f t="shared" si="5"/>
        <v>4.881641250987985E-2</v>
      </c>
    </row>
    <row r="14" spans="1:15" x14ac:dyDescent="0.2">
      <c r="A14" s="6">
        <v>43944</v>
      </c>
      <c r="B14" s="2" t="s">
        <v>227</v>
      </c>
      <c r="C14" s="5">
        <v>43922</v>
      </c>
      <c r="D14" s="2" t="s">
        <v>176</v>
      </c>
      <c r="E14" s="4">
        <f>IF(SUMIFS('Daily NSE Equity Cash'!$H:$H,'Daily NSE Equity Cash'!$A:$A,$A14)=0,"",SUMIFS('Daily NSE Equity Cash'!$H:$H,'Daily NSE Equity Cash'!$A:$A,$A14))</f>
        <v>486.30970000000002</v>
      </c>
      <c r="F14" s="4">
        <f>IF(SUMIFS('Daily BSE Equity Cash'!$H:$H,'Daily BSE Equity Cash'!$A:$A,$A14)=0,"",SUMIFS('Daily BSE Equity Cash'!$H:$H,'Daily BSE Equity Cash'!$A:$A,$A14))</f>
        <v>26.812200000000001</v>
      </c>
      <c r="G14" s="4">
        <f t="shared" si="0"/>
        <v>513.12189999999998</v>
      </c>
      <c r="H14" s="7" t="str">
        <f t="shared" si="1"/>
        <v/>
      </c>
      <c r="I14" s="7" t="str">
        <f t="shared" si="2"/>
        <v/>
      </c>
      <c r="J14" s="7" t="str">
        <f t="shared" si="3"/>
        <v/>
      </c>
      <c r="K14" s="7">
        <f t="shared" si="6"/>
        <v>-7.3165306999530055E-2</v>
      </c>
      <c r="L14" s="7">
        <f t="shared" si="7"/>
        <v>-4.3188443470671967E-3</v>
      </c>
      <c r="M14" s="7">
        <f t="shared" si="8"/>
        <v>-6.9804469678841463E-2</v>
      </c>
      <c r="N14" s="7">
        <f t="shared" si="4"/>
        <v>0.94774691939673605</v>
      </c>
      <c r="O14" s="7">
        <f t="shared" si="5"/>
        <v>5.2253080603264064E-2</v>
      </c>
    </row>
    <row r="15" spans="1:15" x14ac:dyDescent="0.2">
      <c r="A15" s="6">
        <v>43945</v>
      </c>
      <c r="B15" s="2" t="s">
        <v>225</v>
      </c>
      <c r="C15" s="5">
        <v>43922</v>
      </c>
      <c r="D15" s="2" t="s">
        <v>176</v>
      </c>
      <c r="E15" s="4">
        <f>IF(SUMIFS('Daily NSE Equity Cash'!$H:$H,'Daily NSE Equity Cash'!$A:$A,$A15)=0,"",SUMIFS('Daily NSE Equity Cash'!$H:$H,'Daily NSE Equity Cash'!$A:$A,$A15))</f>
        <v>530.08339999999998</v>
      </c>
      <c r="F15" s="4">
        <f>IF(SUMIFS('Daily BSE Equity Cash'!$H:$H,'Daily BSE Equity Cash'!$A:$A,$A15)=0,"",SUMIFS('Daily BSE Equity Cash'!$H:$H,'Daily BSE Equity Cash'!$A:$A,$A15))</f>
        <v>24.931799999999999</v>
      </c>
      <c r="G15" s="4">
        <f t="shared" si="0"/>
        <v>555.01519999999994</v>
      </c>
      <c r="H15" s="7" t="str">
        <f t="shared" si="1"/>
        <v/>
      </c>
      <c r="I15" s="7" t="str">
        <f t="shared" si="2"/>
        <v/>
      </c>
      <c r="J15" s="7" t="str">
        <f t="shared" si="3"/>
        <v/>
      </c>
      <c r="K15" s="7">
        <f t="shared" si="6"/>
        <v>9.0011982076442232E-2</v>
      </c>
      <c r="L15" s="7">
        <f t="shared" si="7"/>
        <v>-7.0132253228008201E-2</v>
      </c>
      <c r="M15" s="7">
        <f t="shared" si="8"/>
        <v>8.16439524409307E-2</v>
      </c>
      <c r="N15" s="7">
        <f t="shared" si="4"/>
        <v>0.95507906810480159</v>
      </c>
      <c r="O15" s="7">
        <f t="shared" si="5"/>
        <v>4.4920931895198551E-2</v>
      </c>
    </row>
    <row r="16" spans="1:15" x14ac:dyDescent="0.2">
      <c r="A16" s="6">
        <v>43948</v>
      </c>
      <c r="B16" s="2" t="s">
        <v>228</v>
      </c>
      <c r="C16" s="5">
        <v>43922</v>
      </c>
      <c r="D16" s="2" t="s">
        <v>176</v>
      </c>
      <c r="E16" s="4">
        <f>IF(SUMIFS('Daily NSE Equity Cash'!$H:$H,'Daily NSE Equity Cash'!$A:$A,$A16)=0,"",SUMIFS('Daily NSE Equity Cash'!$H:$H,'Daily NSE Equity Cash'!$A:$A,$A16))</f>
        <v>457.40800000000002</v>
      </c>
      <c r="F16" s="4">
        <f>IF(SUMIFS('Daily BSE Equity Cash'!$H:$H,'Daily BSE Equity Cash'!$A:$A,$A16)=0,"",SUMIFS('Daily BSE Equity Cash'!$H:$H,'Daily BSE Equity Cash'!$A:$A,$A16))</f>
        <v>20.148</v>
      </c>
      <c r="G16" s="4">
        <f t="shared" si="0"/>
        <v>477.55600000000004</v>
      </c>
      <c r="H16" s="7" t="str">
        <f t="shared" si="1"/>
        <v/>
      </c>
      <c r="I16" s="7" t="str">
        <f t="shared" si="2"/>
        <v/>
      </c>
      <c r="J16" s="7" t="str">
        <f t="shared" si="3"/>
        <v/>
      </c>
      <c r="K16" s="7">
        <f t="shared" si="6"/>
        <v>-0.13710182209063704</v>
      </c>
      <c r="L16" s="7">
        <f t="shared" si="7"/>
        <v>-0.19187543618992609</v>
      </c>
      <c r="M16" s="7">
        <f t="shared" si="8"/>
        <v>-0.13956230387924495</v>
      </c>
      <c r="N16" s="7">
        <f t="shared" si="4"/>
        <v>0.9578101835177445</v>
      </c>
      <c r="O16" s="7">
        <f t="shared" si="5"/>
        <v>4.2189816482255477E-2</v>
      </c>
    </row>
    <row r="17" spans="1:15" x14ac:dyDescent="0.2">
      <c r="A17" s="6">
        <v>43949</v>
      </c>
      <c r="B17" s="2" t="s">
        <v>226</v>
      </c>
      <c r="C17" s="5">
        <v>43922</v>
      </c>
      <c r="D17" s="2" t="s">
        <v>176</v>
      </c>
      <c r="E17" s="4">
        <f>IF(SUMIFS('Daily NSE Equity Cash'!$H:$H,'Daily NSE Equity Cash'!$A:$A,$A17)=0,"",SUMIFS('Daily NSE Equity Cash'!$H:$H,'Daily NSE Equity Cash'!$A:$A,$A17))</f>
        <v>485.37610000000001</v>
      </c>
      <c r="F17" s="4">
        <f>IF(SUMIFS('Daily BSE Equity Cash'!$H:$H,'Daily BSE Equity Cash'!$A:$A,$A17)=0,"",SUMIFS('Daily BSE Equity Cash'!$H:$H,'Daily BSE Equity Cash'!$A:$A,$A17))</f>
        <v>22.493300000000001</v>
      </c>
      <c r="G17" s="4">
        <f t="shared" si="0"/>
        <v>507.86939999999998</v>
      </c>
      <c r="H17" s="7" t="str">
        <f t="shared" si="1"/>
        <v/>
      </c>
      <c r="I17" s="7" t="str">
        <f t="shared" si="2"/>
        <v/>
      </c>
      <c r="J17" s="7" t="str">
        <f t="shared" si="3"/>
        <v/>
      </c>
      <c r="K17" s="7">
        <f t="shared" si="6"/>
        <v>6.114475479222059E-2</v>
      </c>
      <c r="L17" s="7">
        <f t="shared" si="7"/>
        <v>0.11640361326186222</v>
      </c>
      <c r="M17" s="7">
        <f t="shared" si="8"/>
        <v>6.3476115890073403E-2</v>
      </c>
      <c r="N17" s="7">
        <f t="shared" si="4"/>
        <v>0.9557104641468851</v>
      </c>
      <c r="O17" s="7">
        <f t="shared" si="5"/>
        <v>4.4289535853115E-2</v>
      </c>
    </row>
    <row r="18" spans="1:15" x14ac:dyDescent="0.2">
      <c r="A18" s="6">
        <v>43950</v>
      </c>
      <c r="B18" s="2" t="s">
        <v>224</v>
      </c>
      <c r="C18" s="5">
        <v>43922</v>
      </c>
      <c r="D18" s="2" t="s">
        <v>176</v>
      </c>
      <c r="E18" s="4">
        <f>IF(SUMIFS('Daily NSE Equity Cash'!$H:$H,'Daily NSE Equity Cash'!$A:$A,$A18)=0,"",SUMIFS('Daily NSE Equity Cash'!$H:$H,'Daily NSE Equity Cash'!$A:$A,$A18))</f>
        <v>503.9665</v>
      </c>
      <c r="F18" s="4">
        <f>IF(SUMIFS('Daily BSE Equity Cash'!$H:$H,'Daily BSE Equity Cash'!$A:$A,$A18)=0,"",SUMIFS('Daily BSE Equity Cash'!$H:$H,'Daily BSE Equity Cash'!$A:$A,$A18))</f>
        <v>22.075500000000002</v>
      </c>
      <c r="G18" s="4">
        <f t="shared" si="0"/>
        <v>526.04200000000003</v>
      </c>
      <c r="H18" s="7" t="str">
        <f t="shared" si="1"/>
        <v/>
      </c>
      <c r="I18" s="7" t="str">
        <f t="shared" si="2"/>
        <v/>
      </c>
      <c r="J18" s="7" t="str">
        <f t="shared" si="3"/>
        <v/>
      </c>
      <c r="K18" s="7">
        <f t="shared" si="6"/>
        <v>3.8301020590012502E-2</v>
      </c>
      <c r="L18" s="7">
        <f t="shared" si="7"/>
        <v>-1.8574419938381603E-2</v>
      </c>
      <c r="M18" s="7">
        <f t="shared" si="8"/>
        <v>3.5782033727568718E-2</v>
      </c>
      <c r="N18" s="7">
        <f t="shared" si="4"/>
        <v>0.95803471966116771</v>
      </c>
      <c r="O18" s="7">
        <f t="shared" si="5"/>
        <v>4.1965280338832261E-2</v>
      </c>
    </row>
    <row r="19" spans="1:15" x14ac:dyDescent="0.2">
      <c r="A19" s="6">
        <v>43951</v>
      </c>
      <c r="B19" s="2" t="s">
        <v>227</v>
      </c>
      <c r="C19" s="5">
        <v>43922</v>
      </c>
      <c r="D19" s="2" t="s">
        <v>176</v>
      </c>
      <c r="E19" s="4">
        <f>IF(SUMIFS('Daily NSE Equity Cash'!$H:$H,'Daily NSE Equity Cash'!$A:$A,$A19)=0,"",SUMIFS('Daily NSE Equity Cash'!$H:$H,'Daily NSE Equity Cash'!$A:$A,$A19))</f>
        <v>629.33529999999996</v>
      </c>
      <c r="F19" s="4">
        <f>IF(SUMIFS('Daily BSE Equity Cash'!$H:$H,'Daily BSE Equity Cash'!$A:$A,$A19)=0,"",SUMIFS('Daily BSE Equity Cash'!$H:$H,'Daily BSE Equity Cash'!$A:$A,$A19))</f>
        <v>26.618500000000001</v>
      </c>
      <c r="G19" s="4">
        <f t="shared" si="0"/>
        <v>655.9538</v>
      </c>
      <c r="H19" s="7" t="str">
        <f t="shared" si="1"/>
        <v/>
      </c>
      <c r="I19" s="7" t="str">
        <f t="shared" si="2"/>
        <v/>
      </c>
      <c r="J19" s="7" t="str">
        <f t="shared" si="3"/>
        <v/>
      </c>
      <c r="K19" s="7">
        <f t="shared" si="6"/>
        <v>0.24876415396658302</v>
      </c>
      <c r="L19" s="7">
        <f t="shared" si="7"/>
        <v>0.20579375325587179</v>
      </c>
      <c r="M19" s="7">
        <f t="shared" si="8"/>
        <v>0.2469608890544861</v>
      </c>
      <c r="N19" s="7">
        <f t="shared" si="4"/>
        <v>0.9594201603832464</v>
      </c>
      <c r="O19" s="7">
        <f t="shared" si="5"/>
        <v>4.0579839616753495E-2</v>
      </c>
    </row>
    <row r="20" spans="1:15" x14ac:dyDescent="0.2">
      <c r="A20" s="6">
        <v>43955</v>
      </c>
      <c r="B20" s="2" t="s">
        <v>228</v>
      </c>
      <c r="C20" s="5">
        <v>43952</v>
      </c>
      <c r="D20" s="2" t="s">
        <v>176</v>
      </c>
      <c r="E20" s="4">
        <f>IF(SUMIFS('Daily NSE Equity Cash'!$H:$H,'Daily NSE Equity Cash'!$A:$A,$A20)=0,"",SUMIFS('Daily NSE Equity Cash'!$H:$H,'Daily NSE Equity Cash'!$A:$A,$A20))</f>
        <v>484.3347</v>
      </c>
      <c r="F20" s="4">
        <f>IF(SUMIFS('Daily BSE Equity Cash'!$H:$H,'Daily BSE Equity Cash'!$A:$A,$A20)=0,"",SUMIFS('Daily BSE Equity Cash'!$H:$H,'Daily BSE Equity Cash'!$A:$A,$A20))</f>
        <v>23.418299999999999</v>
      </c>
      <c r="G20" s="4">
        <f t="shared" si="0"/>
        <v>507.75299999999999</v>
      </c>
      <c r="H20" s="7" t="str">
        <f t="shared" si="1"/>
        <v/>
      </c>
      <c r="I20" s="7" t="str">
        <f t="shared" si="2"/>
        <v/>
      </c>
      <c r="J20" s="7" t="str">
        <f t="shared" si="3"/>
        <v/>
      </c>
      <c r="K20" s="7">
        <f t="shared" si="6"/>
        <v>-0.23040277575403756</v>
      </c>
      <c r="L20" s="7">
        <f t="shared" si="7"/>
        <v>-0.1202246557845108</v>
      </c>
      <c r="M20" s="7">
        <f t="shared" si="8"/>
        <v>-0.2259317653163988</v>
      </c>
      <c r="N20" s="7">
        <f t="shared" si="4"/>
        <v>0.95387855906316654</v>
      </c>
      <c r="O20" s="7">
        <f t="shared" si="5"/>
        <v>4.6121440936833458E-2</v>
      </c>
    </row>
    <row r="21" spans="1:15" x14ac:dyDescent="0.2">
      <c r="A21" s="6">
        <v>43956</v>
      </c>
      <c r="B21" s="2" t="s">
        <v>226</v>
      </c>
      <c r="C21" s="5">
        <v>43952</v>
      </c>
      <c r="D21" s="2" t="s">
        <v>176</v>
      </c>
      <c r="E21" s="4">
        <f>IF(SUMIFS('Daily NSE Equity Cash'!$H:$H,'Daily NSE Equity Cash'!$A:$A,$A21)=0,"",SUMIFS('Daily NSE Equity Cash'!$H:$H,'Daily NSE Equity Cash'!$A:$A,$A21))</f>
        <v>472.75290000000001</v>
      </c>
      <c r="F21" s="4">
        <f>IF(SUMIFS('Daily BSE Equity Cash'!$H:$H,'Daily BSE Equity Cash'!$A:$A,$A21)=0,"",SUMIFS('Daily BSE Equity Cash'!$H:$H,'Daily BSE Equity Cash'!$A:$A,$A21))</f>
        <v>21.508700000000001</v>
      </c>
      <c r="G21" s="4">
        <f t="shared" si="0"/>
        <v>494.26159999999999</v>
      </c>
      <c r="H21" s="7" t="str">
        <f t="shared" si="1"/>
        <v/>
      </c>
      <c r="I21" s="7" t="str">
        <f t="shared" si="2"/>
        <v/>
      </c>
      <c r="J21" s="7" t="str">
        <f t="shared" si="3"/>
        <v/>
      </c>
      <c r="K21" s="7">
        <f t="shared" si="6"/>
        <v>-2.3912802448389447E-2</v>
      </c>
      <c r="L21" s="7">
        <f t="shared" si="7"/>
        <v>-8.1543066746945669E-2</v>
      </c>
      <c r="M21" s="7">
        <f t="shared" si="8"/>
        <v>-2.6570793279409477E-2</v>
      </c>
      <c r="N21" s="7">
        <f t="shared" si="4"/>
        <v>0.95648316599954364</v>
      </c>
      <c r="O21" s="7">
        <f t="shared" si="5"/>
        <v>4.3516834000456445E-2</v>
      </c>
    </row>
    <row r="22" spans="1:15" x14ac:dyDescent="0.2">
      <c r="A22" s="6">
        <v>43957</v>
      </c>
      <c r="B22" s="2" t="s">
        <v>224</v>
      </c>
      <c r="C22" s="5">
        <v>43952</v>
      </c>
      <c r="D22" s="2" t="s">
        <v>176</v>
      </c>
      <c r="E22" s="4">
        <f>IF(SUMIFS('Daily NSE Equity Cash'!$H:$H,'Daily NSE Equity Cash'!$A:$A,$A22)=0,"",SUMIFS('Daily NSE Equity Cash'!$H:$H,'Daily NSE Equity Cash'!$A:$A,$A22))</f>
        <v>495.62959999999998</v>
      </c>
      <c r="F22" s="4">
        <f>IF(SUMIFS('Daily BSE Equity Cash'!$H:$H,'Daily BSE Equity Cash'!$A:$A,$A22)=0,"",SUMIFS('Daily BSE Equity Cash'!$H:$H,'Daily BSE Equity Cash'!$A:$A,$A22))</f>
        <v>20.5749</v>
      </c>
      <c r="G22" s="4">
        <f t="shared" si="0"/>
        <v>516.20449999999994</v>
      </c>
      <c r="H22" s="7" t="str">
        <f t="shared" si="1"/>
        <v/>
      </c>
      <c r="I22" s="7" t="str">
        <f t="shared" si="2"/>
        <v/>
      </c>
      <c r="J22" s="7" t="str">
        <f t="shared" si="3"/>
        <v/>
      </c>
      <c r="K22" s="7">
        <f t="shared" si="6"/>
        <v>4.8390395912959905E-2</v>
      </c>
      <c r="L22" s="7">
        <f t="shared" si="7"/>
        <v>-4.3414990213262561E-2</v>
      </c>
      <c r="M22" s="7">
        <f t="shared" si="8"/>
        <v>4.4395316164557386E-2</v>
      </c>
      <c r="N22" s="7">
        <f t="shared" si="4"/>
        <v>0.96014195924289703</v>
      </c>
      <c r="O22" s="7">
        <f t="shared" si="5"/>
        <v>3.9858040757103051E-2</v>
      </c>
    </row>
    <row r="23" spans="1:15" x14ac:dyDescent="0.2">
      <c r="A23" s="6">
        <v>43958</v>
      </c>
      <c r="B23" s="2" t="s">
        <v>227</v>
      </c>
      <c r="C23" s="5">
        <v>43952</v>
      </c>
      <c r="D23" s="2" t="s">
        <v>176</v>
      </c>
      <c r="E23" s="4">
        <f>IF(SUMIFS('Daily NSE Equity Cash'!$H:$H,'Daily NSE Equity Cash'!$A:$A,$A23)=0,"",SUMIFS('Daily NSE Equity Cash'!$H:$H,'Daily NSE Equity Cash'!$A:$A,$A23))</f>
        <v>750.30280000000005</v>
      </c>
      <c r="F23" s="4">
        <f>IF(SUMIFS('Daily BSE Equity Cash'!$H:$H,'Daily BSE Equity Cash'!$A:$A,$A23)=0,"",SUMIFS('Daily BSE Equity Cash'!$H:$H,'Daily BSE Equity Cash'!$A:$A,$A23))</f>
        <v>31.457799999999999</v>
      </c>
      <c r="G23" s="4">
        <f t="shared" si="0"/>
        <v>781.76060000000007</v>
      </c>
      <c r="H23" s="7" t="str">
        <f t="shared" si="1"/>
        <v/>
      </c>
      <c r="I23" s="7" t="str">
        <f t="shared" si="2"/>
        <v/>
      </c>
      <c r="J23" s="7" t="str">
        <f t="shared" si="3"/>
        <v/>
      </c>
      <c r="K23" s="7">
        <f t="shared" si="6"/>
        <v>0.51383775303169954</v>
      </c>
      <c r="L23" s="7">
        <f t="shared" si="7"/>
        <v>0.52894060238445872</v>
      </c>
      <c r="M23" s="7">
        <f t="shared" si="8"/>
        <v>0.51443972301675056</v>
      </c>
      <c r="N23" s="7">
        <f t="shared" si="4"/>
        <v>0.95976031537020412</v>
      </c>
      <c r="O23" s="7">
        <f t="shared" si="5"/>
        <v>4.0239684629795866E-2</v>
      </c>
    </row>
    <row r="24" spans="1:15" x14ac:dyDescent="0.2">
      <c r="A24" s="6">
        <v>43959</v>
      </c>
      <c r="B24" s="2" t="s">
        <v>225</v>
      </c>
      <c r="C24" s="5">
        <v>43952</v>
      </c>
      <c r="D24" s="2" t="s">
        <v>176</v>
      </c>
      <c r="E24" s="4">
        <f>IF(SUMIFS('Daily NSE Equity Cash'!$H:$H,'Daily NSE Equity Cash'!$A:$A,$A24)=0,"",SUMIFS('Daily NSE Equity Cash'!$H:$H,'Daily NSE Equity Cash'!$A:$A,$A24))</f>
        <v>473.66969999999998</v>
      </c>
      <c r="F24" s="4">
        <f>IF(SUMIFS('Daily BSE Equity Cash'!$H:$H,'Daily BSE Equity Cash'!$A:$A,$A24)=0,"",SUMIFS('Daily BSE Equity Cash'!$H:$H,'Daily BSE Equity Cash'!$A:$A,$A24))</f>
        <v>29.170200000000001</v>
      </c>
      <c r="G24" s="4">
        <f t="shared" si="0"/>
        <v>502.8399</v>
      </c>
      <c r="H24" s="7" t="str">
        <f t="shared" si="1"/>
        <v/>
      </c>
      <c r="I24" s="7" t="str">
        <f t="shared" si="2"/>
        <v/>
      </c>
      <c r="J24" s="7" t="str">
        <f t="shared" si="3"/>
        <v/>
      </c>
      <c r="K24" s="7">
        <f t="shared" si="6"/>
        <v>-0.36869527875945562</v>
      </c>
      <c r="L24" s="7">
        <f t="shared" si="7"/>
        <v>-7.2719643458855954E-2</v>
      </c>
      <c r="M24" s="7">
        <f t="shared" si="8"/>
        <v>-0.35678531253685597</v>
      </c>
      <c r="N24" s="7">
        <f t="shared" si="4"/>
        <v>0.94198909036454737</v>
      </c>
      <c r="O24" s="7">
        <f t="shared" si="5"/>
        <v>5.8010909635452558E-2</v>
      </c>
    </row>
    <row r="25" spans="1:15" x14ac:dyDescent="0.2">
      <c r="A25" s="6">
        <v>43962</v>
      </c>
      <c r="B25" s="2" t="s">
        <v>228</v>
      </c>
      <c r="C25" s="5">
        <v>43952</v>
      </c>
      <c r="D25" s="2" t="s">
        <v>176</v>
      </c>
      <c r="E25" s="4">
        <f>IF(SUMIFS('Daily NSE Equity Cash'!$H:$H,'Daily NSE Equity Cash'!$A:$A,$A25)=0,"",SUMIFS('Daily NSE Equity Cash'!$H:$H,'Daily NSE Equity Cash'!$A:$A,$A25))</f>
        <v>466.13720000000001</v>
      </c>
      <c r="F25" s="4">
        <f>IF(SUMIFS('Daily BSE Equity Cash'!$H:$H,'Daily BSE Equity Cash'!$A:$A,$A25)=0,"",SUMIFS('Daily BSE Equity Cash'!$H:$H,'Daily BSE Equity Cash'!$A:$A,$A25))</f>
        <v>25.211300000000001</v>
      </c>
      <c r="G25" s="4">
        <f t="shared" si="0"/>
        <v>491.3485</v>
      </c>
      <c r="H25" s="7" t="str">
        <f t="shared" si="1"/>
        <v/>
      </c>
      <c r="I25" s="7" t="str">
        <f t="shared" si="2"/>
        <v/>
      </c>
      <c r="J25" s="7" t="str">
        <f t="shared" si="3"/>
        <v/>
      </c>
      <c r="K25" s="7">
        <f t="shared" si="6"/>
        <v>-1.5902431588932009E-2</v>
      </c>
      <c r="L25" s="7">
        <f t="shared" si="7"/>
        <v>-0.13571727310748638</v>
      </c>
      <c r="M25" s="7">
        <f t="shared" si="8"/>
        <v>-2.2852999533251039E-2</v>
      </c>
      <c r="N25" s="7">
        <f t="shared" si="4"/>
        <v>0.94868957572883605</v>
      </c>
      <c r="O25" s="7">
        <f t="shared" si="5"/>
        <v>5.1310424271163953E-2</v>
      </c>
    </row>
    <row r="26" spans="1:15" x14ac:dyDescent="0.2">
      <c r="A26" s="6">
        <v>43963</v>
      </c>
      <c r="B26" s="2" t="s">
        <v>226</v>
      </c>
      <c r="C26" s="5">
        <v>43952</v>
      </c>
      <c r="D26" s="2" t="s">
        <v>176</v>
      </c>
      <c r="E26" s="4">
        <f>IF(SUMIFS('Daily NSE Equity Cash'!$H:$H,'Daily NSE Equity Cash'!$A:$A,$A26)=0,"",SUMIFS('Daily NSE Equity Cash'!$H:$H,'Daily NSE Equity Cash'!$A:$A,$A26))</f>
        <v>530.61659999999995</v>
      </c>
      <c r="F26" s="4">
        <f>IF(SUMIFS('Daily BSE Equity Cash'!$H:$H,'Daily BSE Equity Cash'!$A:$A,$A26)=0,"",SUMIFS('Daily BSE Equity Cash'!$H:$H,'Daily BSE Equity Cash'!$A:$A,$A26))</f>
        <v>32.433900000000001</v>
      </c>
      <c r="G26" s="4">
        <f t="shared" si="0"/>
        <v>563.05049999999994</v>
      </c>
      <c r="H26" s="7" t="str">
        <f t="shared" si="1"/>
        <v/>
      </c>
      <c r="I26" s="7" t="str">
        <f t="shared" si="2"/>
        <v/>
      </c>
      <c r="J26" s="7" t="str">
        <f t="shared" si="3"/>
        <v/>
      </c>
      <c r="K26" s="7">
        <f t="shared" si="6"/>
        <v>0.13832708481537193</v>
      </c>
      <c r="L26" s="7">
        <f t="shared" si="7"/>
        <v>0.28648264865357986</v>
      </c>
      <c r="M26" s="7">
        <f t="shared" si="8"/>
        <v>0.14592900965404376</v>
      </c>
      <c r="N26" s="7">
        <f t="shared" si="4"/>
        <v>0.9423961083419693</v>
      </c>
      <c r="O26" s="7">
        <f t="shared" si="5"/>
        <v>5.7603891658030683E-2</v>
      </c>
    </row>
    <row r="27" spans="1:15" x14ac:dyDescent="0.2">
      <c r="A27" s="6">
        <v>43964</v>
      </c>
      <c r="B27" s="2" t="s">
        <v>224</v>
      </c>
      <c r="C27" s="5">
        <v>43952</v>
      </c>
      <c r="D27" s="2" t="s">
        <v>176</v>
      </c>
      <c r="E27" s="4">
        <f>IF(SUMIFS('Daily NSE Equity Cash'!$H:$H,'Daily NSE Equity Cash'!$A:$A,$A27)=0,"",SUMIFS('Daily NSE Equity Cash'!$H:$H,'Daily NSE Equity Cash'!$A:$A,$A27))</f>
        <v>575.32899999999995</v>
      </c>
      <c r="F27" s="4">
        <f>IF(SUMIFS('Daily BSE Equity Cash'!$H:$H,'Daily BSE Equity Cash'!$A:$A,$A27)=0,"",SUMIFS('Daily BSE Equity Cash'!$H:$H,'Daily BSE Equity Cash'!$A:$A,$A27))</f>
        <v>27.685199999999998</v>
      </c>
      <c r="G27" s="4">
        <f t="shared" si="0"/>
        <v>603.01419999999996</v>
      </c>
      <c r="H27" s="7" t="str">
        <f t="shared" si="1"/>
        <v/>
      </c>
      <c r="I27" s="7" t="str">
        <f t="shared" si="2"/>
        <v/>
      </c>
      <c r="J27" s="7" t="str">
        <f t="shared" si="3"/>
        <v/>
      </c>
      <c r="K27" s="7">
        <f t="shared" si="6"/>
        <v>8.4264985302005213E-2</v>
      </c>
      <c r="L27" s="7">
        <f t="shared" si="7"/>
        <v>-0.14641162487397452</v>
      </c>
      <c r="M27" s="7">
        <f t="shared" si="8"/>
        <v>7.0977114841386468E-2</v>
      </c>
      <c r="N27" s="7">
        <f t="shared" si="4"/>
        <v>0.95408864335201393</v>
      </c>
      <c r="O27" s="7">
        <f t="shared" si="5"/>
        <v>4.5911356647986068E-2</v>
      </c>
    </row>
    <row r="28" spans="1:15" x14ac:dyDescent="0.2">
      <c r="A28" s="6">
        <v>43965</v>
      </c>
      <c r="B28" s="2" t="s">
        <v>227</v>
      </c>
      <c r="C28" s="5">
        <v>43952</v>
      </c>
      <c r="D28" s="2" t="s">
        <v>176</v>
      </c>
      <c r="E28" s="4">
        <f>IF(SUMIFS('Daily NSE Equity Cash'!$H:$H,'Daily NSE Equity Cash'!$A:$A,$A28)=0,"",SUMIFS('Daily NSE Equity Cash'!$H:$H,'Daily NSE Equity Cash'!$A:$A,$A28))</f>
        <v>486.94510000000002</v>
      </c>
      <c r="F28" s="4">
        <f>IF(SUMIFS('Daily BSE Equity Cash'!$H:$H,'Daily BSE Equity Cash'!$A:$A,$A28)=0,"",SUMIFS('Daily BSE Equity Cash'!$H:$H,'Daily BSE Equity Cash'!$A:$A,$A28))</f>
        <v>22.959</v>
      </c>
      <c r="G28" s="4">
        <f t="shared" si="0"/>
        <v>509.90410000000003</v>
      </c>
      <c r="H28" s="7" t="str">
        <f t="shared" si="1"/>
        <v/>
      </c>
      <c r="I28" s="7" t="str">
        <f t="shared" si="2"/>
        <v/>
      </c>
      <c r="J28" s="7" t="str">
        <f t="shared" si="3"/>
        <v/>
      </c>
      <c r="K28" s="7">
        <f t="shared" si="6"/>
        <v>-0.15362323122943555</v>
      </c>
      <c r="L28" s="7">
        <f t="shared" si="7"/>
        <v>-0.17071214945169255</v>
      </c>
      <c r="M28" s="7">
        <f t="shared" si="8"/>
        <v>-0.15440780664866594</v>
      </c>
      <c r="N28" s="7">
        <f t="shared" si="4"/>
        <v>0.9549738862660645</v>
      </c>
      <c r="O28" s="7">
        <f t="shared" si="5"/>
        <v>4.5026113733935454E-2</v>
      </c>
    </row>
    <row r="29" spans="1:15" x14ac:dyDescent="0.2">
      <c r="A29" s="6">
        <v>43966</v>
      </c>
      <c r="B29" s="2" t="s">
        <v>225</v>
      </c>
      <c r="C29" s="5">
        <v>43952</v>
      </c>
      <c r="D29" s="2" t="s">
        <v>176</v>
      </c>
      <c r="E29" s="4">
        <f>IF(SUMIFS('Daily NSE Equity Cash'!$H:$H,'Daily NSE Equity Cash'!$A:$A,$A29)=0,"",SUMIFS('Daily NSE Equity Cash'!$H:$H,'Daily NSE Equity Cash'!$A:$A,$A29))</f>
        <v>436.60140000000001</v>
      </c>
      <c r="F29" s="4">
        <f>IF(SUMIFS('Daily BSE Equity Cash'!$H:$H,'Daily BSE Equity Cash'!$A:$A,$A29)=0,"",SUMIFS('Daily BSE Equity Cash'!$H:$H,'Daily BSE Equity Cash'!$A:$A,$A29))</f>
        <v>19.897400000000001</v>
      </c>
      <c r="G29" s="4">
        <f t="shared" si="0"/>
        <v>456.49880000000002</v>
      </c>
      <c r="H29" s="7" t="str">
        <f t="shared" si="1"/>
        <v/>
      </c>
      <c r="I29" s="7" t="str">
        <f t="shared" si="2"/>
        <v/>
      </c>
      <c r="J29" s="7" t="str">
        <f t="shared" si="3"/>
        <v/>
      </c>
      <c r="K29" s="7">
        <f t="shared" si="6"/>
        <v>-0.10338680890309815</v>
      </c>
      <c r="L29" s="7">
        <f t="shared" si="7"/>
        <v>-0.13335075569493438</v>
      </c>
      <c r="M29" s="7">
        <f t="shared" si="8"/>
        <v>-0.10473596897926496</v>
      </c>
      <c r="N29" s="7">
        <f t="shared" si="4"/>
        <v>0.95641302890610003</v>
      </c>
      <c r="O29" s="7">
        <f t="shared" si="5"/>
        <v>4.3586971093899918E-2</v>
      </c>
    </row>
    <row r="30" spans="1:15" x14ac:dyDescent="0.2">
      <c r="A30" s="6">
        <v>43969</v>
      </c>
      <c r="B30" s="2" t="s">
        <v>228</v>
      </c>
      <c r="C30" s="5">
        <v>43952</v>
      </c>
      <c r="D30" s="2" t="s">
        <v>176</v>
      </c>
      <c r="E30" s="4">
        <f>IF(SUMIFS('Daily NSE Equity Cash'!$H:$H,'Daily NSE Equity Cash'!$A:$A,$A30)=0,"",SUMIFS('Daily NSE Equity Cash'!$H:$H,'Daily NSE Equity Cash'!$A:$A,$A30))</f>
        <v>520.63310000000001</v>
      </c>
      <c r="F30" s="4">
        <f>IF(SUMIFS('Daily BSE Equity Cash'!$H:$H,'Daily BSE Equity Cash'!$A:$A,$A30)=0,"",SUMIFS('Daily BSE Equity Cash'!$H:$H,'Daily BSE Equity Cash'!$A:$A,$A30))</f>
        <v>23.372599999999998</v>
      </c>
      <c r="G30" s="4">
        <f t="shared" si="0"/>
        <v>544.00570000000005</v>
      </c>
      <c r="H30" s="7" t="str">
        <f t="shared" si="1"/>
        <v/>
      </c>
      <c r="I30" s="7" t="str">
        <f t="shared" si="2"/>
        <v/>
      </c>
      <c r="J30" s="7" t="str">
        <f t="shared" si="3"/>
        <v/>
      </c>
      <c r="K30" s="7">
        <f t="shared" si="6"/>
        <v>0.192467774954455</v>
      </c>
      <c r="L30" s="7">
        <f t="shared" si="7"/>
        <v>0.17465598520409698</v>
      </c>
      <c r="M30" s="7">
        <f t="shared" si="8"/>
        <v>0.19169141298947556</v>
      </c>
      <c r="N30" s="7">
        <f t="shared" si="4"/>
        <v>0.9570361119377977</v>
      </c>
      <c r="O30" s="7">
        <f t="shared" si="5"/>
        <v>4.2963888062202284E-2</v>
      </c>
    </row>
    <row r="31" spans="1:15" x14ac:dyDescent="0.2">
      <c r="A31" s="6">
        <v>43970</v>
      </c>
      <c r="B31" s="2" t="s">
        <v>226</v>
      </c>
      <c r="C31" s="5">
        <v>43952</v>
      </c>
      <c r="D31" s="2" t="s">
        <v>176</v>
      </c>
      <c r="E31" s="4">
        <f>IF(SUMIFS('Daily NSE Equity Cash'!$H:$H,'Daily NSE Equity Cash'!$A:$A,$A31)=0,"",SUMIFS('Daily NSE Equity Cash'!$H:$H,'Daily NSE Equity Cash'!$A:$A,$A31))</f>
        <v>490.65109999999999</v>
      </c>
      <c r="F31" s="4">
        <f>IF(SUMIFS('Daily BSE Equity Cash'!$H:$H,'Daily BSE Equity Cash'!$A:$A,$A31)=0,"",SUMIFS('Daily BSE Equity Cash'!$H:$H,'Daily BSE Equity Cash'!$A:$A,$A31))</f>
        <v>106.5502</v>
      </c>
      <c r="G31" s="4">
        <f t="shared" si="0"/>
        <v>597.20129999999995</v>
      </c>
      <c r="H31" s="7" t="str">
        <f t="shared" si="1"/>
        <v/>
      </c>
      <c r="I31" s="7" t="str">
        <f t="shared" si="2"/>
        <v/>
      </c>
      <c r="J31" s="7" t="str">
        <f t="shared" si="3"/>
        <v/>
      </c>
      <c r="K31" s="7">
        <f t="shared" si="6"/>
        <v>-5.7587579429736691E-2</v>
      </c>
      <c r="L31" s="7">
        <f t="shared" si="7"/>
        <v>3.5587653919546822</v>
      </c>
      <c r="M31" s="7">
        <f t="shared" si="8"/>
        <v>9.7785004826236088E-2</v>
      </c>
      <c r="N31" s="7">
        <f t="shared" si="4"/>
        <v>0.82158411242574325</v>
      </c>
      <c r="O31" s="7">
        <f t="shared" si="5"/>
        <v>0.1784158875742568</v>
      </c>
    </row>
    <row r="32" spans="1:15" x14ac:dyDescent="0.2">
      <c r="A32" s="6">
        <v>43971</v>
      </c>
      <c r="B32" s="2" t="s">
        <v>224</v>
      </c>
      <c r="C32" s="5">
        <v>43952</v>
      </c>
      <c r="D32" s="2" t="s">
        <v>176</v>
      </c>
      <c r="E32" s="4">
        <f>IF(SUMIFS('Daily NSE Equity Cash'!$H:$H,'Daily NSE Equity Cash'!$A:$A,$A32)=0,"",SUMIFS('Daily NSE Equity Cash'!$H:$H,'Daily NSE Equity Cash'!$A:$A,$A32))</f>
        <v>463.65620000000001</v>
      </c>
      <c r="F32" s="4">
        <f>IF(SUMIFS('Daily BSE Equity Cash'!$H:$H,'Daily BSE Equity Cash'!$A:$A,$A32)=0,"",SUMIFS('Daily BSE Equity Cash'!$H:$H,'Daily BSE Equity Cash'!$A:$A,$A32))</f>
        <v>20.2486</v>
      </c>
      <c r="G32" s="4">
        <f t="shared" si="0"/>
        <v>483.90480000000002</v>
      </c>
      <c r="H32" s="7" t="str">
        <f t="shared" si="1"/>
        <v/>
      </c>
      <c r="I32" s="7" t="str">
        <f t="shared" si="2"/>
        <v/>
      </c>
      <c r="J32" s="7" t="str">
        <f t="shared" si="3"/>
        <v/>
      </c>
      <c r="K32" s="7">
        <f t="shared" si="6"/>
        <v>-5.5018525383923489E-2</v>
      </c>
      <c r="L32" s="7">
        <f t="shared" si="7"/>
        <v>-0.80996187712458545</v>
      </c>
      <c r="M32" s="7">
        <f t="shared" si="8"/>
        <v>-0.18971241355301793</v>
      </c>
      <c r="N32" s="7">
        <f t="shared" si="4"/>
        <v>0.95815581907846337</v>
      </c>
      <c r="O32" s="7">
        <f t="shared" si="5"/>
        <v>4.1844180921536633E-2</v>
      </c>
    </row>
    <row r="33" spans="1:15" x14ac:dyDescent="0.2">
      <c r="A33" s="6">
        <v>43972</v>
      </c>
      <c r="B33" s="2" t="s">
        <v>227</v>
      </c>
      <c r="C33" s="5">
        <v>43952</v>
      </c>
      <c r="D33" s="2" t="s">
        <v>176</v>
      </c>
      <c r="E33" s="4">
        <f>IF(SUMIFS('Daily NSE Equity Cash'!$H:$H,'Daily NSE Equity Cash'!$A:$A,$A33)=0,"",SUMIFS('Daily NSE Equity Cash'!$H:$H,'Daily NSE Equity Cash'!$A:$A,$A33))</f>
        <v>465.96719999999999</v>
      </c>
      <c r="F33" s="4">
        <f>IF(SUMIFS('Daily BSE Equity Cash'!$H:$H,'Daily BSE Equity Cash'!$A:$A,$A33)=0,"",SUMIFS('Daily BSE Equity Cash'!$H:$H,'Daily BSE Equity Cash'!$A:$A,$A33))</f>
        <v>19.296099999999999</v>
      </c>
      <c r="G33" s="4">
        <f t="shared" si="0"/>
        <v>485.26330000000002</v>
      </c>
      <c r="H33" s="7" t="str">
        <f t="shared" si="1"/>
        <v/>
      </c>
      <c r="I33" s="7" t="str">
        <f t="shared" si="2"/>
        <v/>
      </c>
      <c r="J33" s="7" t="str">
        <f t="shared" si="3"/>
        <v/>
      </c>
      <c r="K33" s="7">
        <f t="shared" si="6"/>
        <v>4.9842965542139517E-3</v>
      </c>
      <c r="L33" s="7">
        <f t="shared" si="7"/>
        <v>-4.7040289205179664E-2</v>
      </c>
      <c r="M33" s="7">
        <f t="shared" si="8"/>
        <v>2.807370375329965E-3</v>
      </c>
      <c r="N33" s="7">
        <f t="shared" si="4"/>
        <v>0.96023581424764659</v>
      </c>
      <c r="O33" s="7">
        <f t="shared" si="5"/>
        <v>3.9764185752353409E-2</v>
      </c>
    </row>
    <row r="34" spans="1:15" x14ac:dyDescent="0.2">
      <c r="A34" s="6">
        <v>43973</v>
      </c>
      <c r="B34" s="2" t="s">
        <v>225</v>
      </c>
      <c r="C34" s="5">
        <v>43952</v>
      </c>
      <c r="D34" s="2" t="s">
        <v>176</v>
      </c>
      <c r="E34" s="4">
        <f>IF(SUMIFS('Daily NSE Equity Cash'!$H:$H,'Daily NSE Equity Cash'!$A:$A,$A34)=0,"",SUMIFS('Daily NSE Equity Cash'!$H:$H,'Daily NSE Equity Cash'!$A:$A,$A34))</f>
        <v>489.25259999999997</v>
      </c>
      <c r="F34" s="4">
        <f>IF(SUMIFS('Daily BSE Equity Cash'!$H:$H,'Daily BSE Equity Cash'!$A:$A,$A34)=0,"",SUMIFS('Daily BSE Equity Cash'!$H:$H,'Daily BSE Equity Cash'!$A:$A,$A34))</f>
        <v>21.7499</v>
      </c>
      <c r="G34" s="4">
        <f t="shared" si="0"/>
        <v>511.0025</v>
      </c>
      <c r="H34" s="7" t="str">
        <f t="shared" si="1"/>
        <v/>
      </c>
      <c r="I34" s="7" t="str">
        <f t="shared" si="2"/>
        <v/>
      </c>
      <c r="J34" s="7" t="str">
        <f t="shared" si="3"/>
        <v/>
      </c>
      <c r="K34" s="7">
        <f t="shared" si="6"/>
        <v>4.9972186883540326E-2</v>
      </c>
      <c r="L34" s="7">
        <f t="shared" si="7"/>
        <v>0.12716559304729969</v>
      </c>
      <c r="M34" s="7">
        <f t="shared" si="8"/>
        <v>5.3041719825092759E-2</v>
      </c>
      <c r="N34" s="7">
        <f t="shared" si="4"/>
        <v>0.95743680314675561</v>
      </c>
      <c r="O34" s="7">
        <f t="shared" si="5"/>
        <v>4.2563196853244362E-2</v>
      </c>
    </row>
    <row r="35" spans="1:15" x14ac:dyDescent="0.2">
      <c r="A35" s="6">
        <v>43977</v>
      </c>
      <c r="B35" s="2" t="s">
        <v>226</v>
      </c>
      <c r="C35" s="5">
        <v>43952</v>
      </c>
      <c r="D35" s="2" t="s">
        <v>176</v>
      </c>
      <c r="E35" s="4">
        <f>IF(SUMIFS('Daily NSE Equity Cash'!$H:$H,'Daily NSE Equity Cash'!$A:$A,$A35)=0,"",SUMIFS('Daily NSE Equity Cash'!$H:$H,'Daily NSE Equity Cash'!$A:$A,$A35))</f>
        <v>474.12819999999999</v>
      </c>
      <c r="F35" s="4">
        <f>IF(SUMIFS('Daily BSE Equity Cash'!$H:$H,'Daily BSE Equity Cash'!$A:$A,$A35)=0,"",SUMIFS('Daily BSE Equity Cash'!$H:$H,'Daily BSE Equity Cash'!$A:$A,$A35))</f>
        <v>115.962</v>
      </c>
      <c r="G35" s="4">
        <f t="shared" si="0"/>
        <v>590.09019999999998</v>
      </c>
      <c r="H35" s="7" t="str">
        <f t="shared" si="1"/>
        <v/>
      </c>
      <c r="I35" s="7" t="str">
        <f t="shared" si="2"/>
        <v/>
      </c>
      <c r="J35" s="7" t="str">
        <f t="shared" si="3"/>
        <v/>
      </c>
      <c r="K35" s="7">
        <f t="shared" si="6"/>
        <v>-3.0913274656077405E-2</v>
      </c>
      <c r="L35" s="7">
        <f t="shared" si="7"/>
        <v>4.3316107200492873</v>
      </c>
      <c r="M35" s="7">
        <f t="shared" si="8"/>
        <v>0.15476969290756881</v>
      </c>
      <c r="N35" s="7">
        <f t="shared" si="4"/>
        <v>0.80348428087773704</v>
      </c>
      <c r="O35" s="7">
        <f t="shared" si="5"/>
        <v>0.19651571912226301</v>
      </c>
    </row>
    <row r="36" spans="1:15" x14ac:dyDescent="0.2">
      <c r="A36" s="6">
        <v>43978</v>
      </c>
      <c r="B36" s="2" t="s">
        <v>224</v>
      </c>
      <c r="C36" s="5">
        <v>43952</v>
      </c>
      <c r="D36" s="2" t="s">
        <v>176</v>
      </c>
      <c r="E36" s="4">
        <f>IF(SUMIFS('Daily NSE Equity Cash'!$H:$H,'Daily NSE Equity Cash'!$A:$A,$A36)=0,"",SUMIFS('Daily NSE Equity Cash'!$H:$H,'Daily NSE Equity Cash'!$A:$A,$A36))</f>
        <v>524.49109999999996</v>
      </c>
      <c r="F36" s="4">
        <f>IF(SUMIFS('Daily BSE Equity Cash'!$H:$H,'Daily BSE Equity Cash'!$A:$A,$A36)=0,"",SUMIFS('Daily BSE Equity Cash'!$H:$H,'Daily BSE Equity Cash'!$A:$A,$A36))</f>
        <v>21.081499999999998</v>
      </c>
      <c r="G36" s="4">
        <f t="shared" si="0"/>
        <v>545.57259999999997</v>
      </c>
      <c r="H36" s="7" t="str">
        <f t="shared" si="1"/>
        <v/>
      </c>
      <c r="I36" s="7" t="str">
        <f t="shared" si="2"/>
        <v/>
      </c>
      <c r="J36" s="7" t="str">
        <f t="shared" si="3"/>
        <v/>
      </c>
      <c r="K36" s="7">
        <f t="shared" si="6"/>
        <v>0.10622211460950859</v>
      </c>
      <c r="L36" s="7">
        <f t="shared" si="7"/>
        <v>-0.81820337696831724</v>
      </c>
      <c r="M36" s="7">
        <f t="shared" si="8"/>
        <v>-7.54420256428594E-2</v>
      </c>
      <c r="N36" s="7">
        <f t="shared" si="4"/>
        <v>0.96135894654533605</v>
      </c>
      <c r="O36" s="7">
        <f t="shared" si="5"/>
        <v>3.8641053454663961E-2</v>
      </c>
    </row>
    <row r="37" spans="1:15" x14ac:dyDescent="0.2">
      <c r="A37" s="6">
        <v>43979</v>
      </c>
      <c r="B37" s="2" t="s">
        <v>227</v>
      </c>
      <c r="C37" s="5">
        <v>43952</v>
      </c>
      <c r="D37" s="2" t="s">
        <v>176</v>
      </c>
      <c r="E37" s="4">
        <f>IF(SUMIFS('Daily NSE Equity Cash'!$H:$H,'Daily NSE Equity Cash'!$A:$A,$A37)=0,"",SUMIFS('Daily NSE Equity Cash'!$H:$H,'Daily NSE Equity Cash'!$A:$A,$A37))</f>
        <v>568.49789999999996</v>
      </c>
      <c r="F37" s="4">
        <f>IF(SUMIFS('Daily BSE Equity Cash'!$H:$H,'Daily BSE Equity Cash'!$A:$A,$A37)=0,"",SUMIFS('Daily BSE Equity Cash'!$H:$H,'Daily BSE Equity Cash'!$A:$A,$A37))</f>
        <v>30.2683</v>
      </c>
      <c r="G37" s="4">
        <f t="shared" si="0"/>
        <v>598.76619999999991</v>
      </c>
      <c r="H37" s="7" t="str">
        <f t="shared" si="1"/>
        <v/>
      </c>
      <c r="I37" s="7" t="str">
        <f t="shared" si="2"/>
        <v/>
      </c>
      <c r="J37" s="7" t="str">
        <f t="shared" si="3"/>
        <v/>
      </c>
      <c r="K37" s="7">
        <f t="shared" si="6"/>
        <v>8.3903806947343895E-2</v>
      </c>
      <c r="L37" s="7">
        <f t="shared" si="7"/>
        <v>0.4357754429238907</v>
      </c>
      <c r="M37" s="7">
        <f t="shared" si="8"/>
        <v>9.7500497642293515E-2</v>
      </c>
      <c r="N37" s="7">
        <f t="shared" si="4"/>
        <v>0.94944888338720534</v>
      </c>
      <c r="O37" s="7">
        <f t="shared" si="5"/>
        <v>5.0551116612794787E-2</v>
      </c>
    </row>
    <row r="38" spans="1:15" x14ac:dyDescent="0.2">
      <c r="A38" s="6">
        <v>43980</v>
      </c>
      <c r="B38" s="2" t="s">
        <v>225</v>
      </c>
      <c r="C38" s="5">
        <v>43952</v>
      </c>
      <c r="D38" s="2" t="s">
        <v>176</v>
      </c>
      <c r="E38" s="4">
        <f>IF(SUMIFS('Daily NSE Equity Cash'!$H:$H,'Daily NSE Equity Cash'!$A:$A,$A38)=0,"",SUMIFS('Daily NSE Equity Cash'!$H:$H,'Daily NSE Equity Cash'!$A:$A,$A38))</f>
        <v>834.96839999999997</v>
      </c>
      <c r="F38" s="4">
        <f>IF(SUMIFS('Daily BSE Equity Cash'!$H:$H,'Daily BSE Equity Cash'!$A:$A,$A38)=0,"",SUMIFS('Daily BSE Equity Cash'!$H:$H,'Daily BSE Equity Cash'!$A:$A,$A38))</f>
        <v>37.343800000000002</v>
      </c>
      <c r="G38" s="4">
        <f t="shared" si="0"/>
        <v>872.31219999999996</v>
      </c>
      <c r="H38" s="7" t="str">
        <f t="shared" si="1"/>
        <v/>
      </c>
      <c r="I38" s="7" t="str">
        <f t="shared" si="2"/>
        <v/>
      </c>
      <c r="J38" s="7" t="str">
        <f t="shared" si="3"/>
        <v/>
      </c>
      <c r="K38" s="7">
        <f t="shared" si="6"/>
        <v>0.46872732511412973</v>
      </c>
      <c r="L38" s="7">
        <f t="shared" si="7"/>
        <v>0.23375941166170544</v>
      </c>
      <c r="M38" s="7">
        <f t="shared" si="8"/>
        <v>0.45684943472093131</v>
      </c>
      <c r="N38" s="7">
        <f t="shared" si="4"/>
        <v>0.95718986848974486</v>
      </c>
      <c r="O38" s="7">
        <f t="shared" si="5"/>
        <v>4.2810131510255166E-2</v>
      </c>
    </row>
    <row r="39" spans="1:15" x14ac:dyDescent="0.2">
      <c r="A39" s="6">
        <v>43983</v>
      </c>
      <c r="B39" s="2" t="s">
        <v>228</v>
      </c>
      <c r="C39" s="5">
        <v>43983</v>
      </c>
      <c r="D39" s="2" t="s">
        <v>176</v>
      </c>
      <c r="E39" s="4">
        <f>IF(SUMIFS('Daily NSE Equity Cash'!$H:$H,'Daily NSE Equity Cash'!$A:$A,$A39)=0,"",SUMIFS('Daily NSE Equity Cash'!$H:$H,'Daily NSE Equity Cash'!$A:$A,$A39))</f>
        <v>632.52229999999997</v>
      </c>
      <c r="F39" s="4">
        <f>IF(SUMIFS('Daily BSE Equity Cash'!$H:$H,'Daily BSE Equity Cash'!$A:$A,$A39)=0,"",SUMIFS('Daily BSE Equity Cash'!$H:$H,'Daily BSE Equity Cash'!$A:$A,$A39))</f>
        <v>28.613900000000001</v>
      </c>
      <c r="G39" s="4">
        <f t="shared" si="0"/>
        <v>661.13619999999992</v>
      </c>
      <c r="H39" s="7" t="str">
        <f t="shared" si="1"/>
        <v/>
      </c>
      <c r="I39" s="7" t="str">
        <f t="shared" si="2"/>
        <v/>
      </c>
      <c r="J39" s="7" t="str">
        <f t="shared" si="3"/>
        <v/>
      </c>
      <c r="K39" s="7">
        <f t="shared" si="6"/>
        <v>-0.24245959487808166</v>
      </c>
      <c r="L39" s="7">
        <f t="shared" si="7"/>
        <v>-0.23377106775421896</v>
      </c>
      <c r="M39" s="7">
        <f t="shared" si="8"/>
        <v>-0.24208763788927867</v>
      </c>
      <c r="N39" s="7">
        <f t="shared" si="4"/>
        <v>0.95672011304176063</v>
      </c>
      <c r="O39" s="7">
        <f t="shared" si="5"/>
        <v>4.3279886958239477E-2</v>
      </c>
    </row>
    <row r="40" spans="1:15" x14ac:dyDescent="0.2">
      <c r="A40" s="6">
        <v>43984</v>
      </c>
      <c r="B40" s="2" t="s">
        <v>226</v>
      </c>
      <c r="C40" s="5">
        <v>43983</v>
      </c>
      <c r="D40" s="2" t="s">
        <v>176</v>
      </c>
      <c r="E40" s="4">
        <f>IF(SUMIFS('Daily NSE Equity Cash'!$H:$H,'Daily NSE Equity Cash'!$A:$A,$A40)=0,"",SUMIFS('Daily NSE Equity Cash'!$H:$H,'Daily NSE Equity Cash'!$A:$A,$A40))</f>
        <v>605.55380000000002</v>
      </c>
      <c r="F40" s="4">
        <f>IF(SUMIFS('Daily BSE Equity Cash'!$H:$H,'Daily BSE Equity Cash'!$A:$A,$A40)=0,"",SUMIFS('Daily BSE Equity Cash'!$H:$H,'Daily BSE Equity Cash'!$A:$A,$A40))</f>
        <v>102.43729999999999</v>
      </c>
      <c r="G40" s="4">
        <f t="shared" si="0"/>
        <v>707.99109999999996</v>
      </c>
      <c r="H40" s="7" t="str">
        <f t="shared" si="1"/>
        <v/>
      </c>
      <c r="I40" s="7" t="str">
        <f t="shared" si="2"/>
        <v/>
      </c>
      <c r="J40" s="7" t="str">
        <f t="shared" si="3"/>
        <v/>
      </c>
      <c r="K40" s="7">
        <f t="shared" si="6"/>
        <v>-4.2636441434554917E-2</v>
      </c>
      <c r="L40" s="7">
        <f t="shared" si="7"/>
        <v>2.5799838540010271</v>
      </c>
      <c r="M40" s="7">
        <f t="shared" si="8"/>
        <v>7.087026848628164E-2</v>
      </c>
      <c r="N40" s="7">
        <f t="shared" si="4"/>
        <v>0.85531272921368651</v>
      </c>
      <c r="O40" s="7">
        <f t="shared" si="5"/>
        <v>0.14468727078631355</v>
      </c>
    </row>
    <row r="41" spans="1:15" x14ac:dyDescent="0.2">
      <c r="A41" s="6">
        <v>43985</v>
      </c>
      <c r="B41" s="2" t="s">
        <v>224</v>
      </c>
      <c r="C41" s="5">
        <v>43983</v>
      </c>
      <c r="D41" s="2" t="s">
        <v>176</v>
      </c>
      <c r="E41" s="4">
        <f>IF(SUMIFS('Daily NSE Equity Cash'!$H:$H,'Daily NSE Equity Cash'!$A:$A,$A41)=0,"",SUMIFS('Daily NSE Equity Cash'!$H:$H,'Daily NSE Equity Cash'!$A:$A,$A41))</f>
        <v>658.71939999999995</v>
      </c>
      <c r="F41" s="4">
        <f>IF(SUMIFS('Daily BSE Equity Cash'!$H:$H,'Daily BSE Equity Cash'!$A:$A,$A41)=0,"",SUMIFS('Daily BSE Equity Cash'!$H:$H,'Daily BSE Equity Cash'!$A:$A,$A41))</f>
        <v>42.300899999999999</v>
      </c>
      <c r="G41" s="4">
        <f t="shared" si="0"/>
        <v>701.02029999999991</v>
      </c>
      <c r="H41" s="7" t="str">
        <f t="shared" si="1"/>
        <v/>
      </c>
      <c r="I41" s="7" t="str">
        <f t="shared" si="2"/>
        <v/>
      </c>
      <c r="J41" s="7" t="str">
        <f t="shared" si="3"/>
        <v/>
      </c>
      <c r="K41" s="7">
        <f t="shared" si="6"/>
        <v>8.7796658199486011E-2</v>
      </c>
      <c r="L41" s="7">
        <f t="shared" si="7"/>
        <v>-0.5870556916279519</v>
      </c>
      <c r="M41" s="7">
        <f t="shared" si="8"/>
        <v>-9.8458864807764446E-3</v>
      </c>
      <c r="N41" s="7">
        <f t="shared" si="4"/>
        <v>0.93965809549309776</v>
      </c>
      <c r="O41" s="7">
        <f t="shared" si="5"/>
        <v>6.03419045069023E-2</v>
      </c>
    </row>
    <row r="42" spans="1:15" x14ac:dyDescent="0.2">
      <c r="A42" s="6">
        <v>43986</v>
      </c>
      <c r="B42" s="2" t="s">
        <v>227</v>
      </c>
      <c r="C42" s="5">
        <v>43983</v>
      </c>
      <c r="D42" s="2" t="s">
        <v>176</v>
      </c>
      <c r="E42" s="4">
        <f>IF(SUMIFS('Daily NSE Equity Cash'!$H:$H,'Daily NSE Equity Cash'!$A:$A,$A42)=0,"",SUMIFS('Daily NSE Equity Cash'!$H:$H,'Daily NSE Equity Cash'!$A:$A,$A42))</f>
        <v>610.7491</v>
      </c>
      <c r="F42" s="4">
        <f>IF(SUMIFS('Daily BSE Equity Cash'!$H:$H,'Daily BSE Equity Cash'!$A:$A,$A42)=0,"",SUMIFS('Daily BSE Equity Cash'!$H:$H,'Daily BSE Equity Cash'!$A:$A,$A42))</f>
        <v>47.818199999999997</v>
      </c>
      <c r="G42" s="4">
        <f t="shared" si="0"/>
        <v>658.56730000000005</v>
      </c>
      <c r="H42" s="7" t="str">
        <f t="shared" si="1"/>
        <v/>
      </c>
      <c r="I42" s="7" t="str">
        <f t="shared" si="2"/>
        <v/>
      </c>
      <c r="J42" s="7" t="str">
        <f t="shared" si="3"/>
        <v/>
      </c>
      <c r="K42" s="7">
        <f t="shared" si="6"/>
        <v>-7.2823572525721803E-2</v>
      </c>
      <c r="L42" s="7">
        <f t="shared" si="7"/>
        <v>0.13042984901030463</v>
      </c>
      <c r="M42" s="7">
        <f t="shared" si="8"/>
        <v>-6.0558873972693661E-2</v>
      </c>
      <c r="N42" s="7">
        <f t="shared" si="4"/>
        <v>0.92739056433564182</v>
      </c>
      <c r="O42" s="7">
        <f t="shared" si="5"/>
        <v>7.2609435664358055E-2</v>
      </c>
    </row>
    <row r="43" spans="1:15" x14ac:dyDescent="0.2">
      <c r="A43" s="6">
        <v>43987</v>
      </c>
      <c r="B43" s="2" t="s">
        <v>225</v>
      </c>
      <c r="C43" s="5">
        <v>43983</v>
      </c>
      <c r="D43" s="2" t="s">
        <v>176</v>
      </c>
      <c r="E43" s="4">
        <f>IF(SUMIFS('Daily NSE Equity Cash'!$H:$H,'Daily NSE Equity Cash'!$A:$A,$A43)=0,"",SUMIFS('Daily NSE Equity Cash'!$H:$H,'Daily NSE Equity Cash'!$A:$A,$A43))</f>
        <v>643.33240000000001</v>
      </c>
      <c r="F43" s="4">
        <f>IF(SUMIFS('Daily BSE Equity Cash'!$H:$H,'Daily BSE Equity Cash'!$A:$A,$A43)=0,"",SUMIFS('Daily BSE Equity Cash'!$H:$H,'Daily BSE Equity Cash'!$A:$A,$A43))</f>
        <v>32.629399999999997</v>
      </c>
      <c r="G43" s="4">
        <f t="shared" si="0"/>
        <v>675.96180000000004</v>
      </c>
      <c r="H43" s="7" t="str">
        <f t="shared" si="1"/>
        <v/>
      </c>
      <c r="I43" s="7" t="str">
        <f t="shared" si="2"/>
        <v/>
      </c>
      <c r="J43" s="7" t="str">
        <f t="shared" si="3"/>
        <v/>
      </c>
      <c r="K43" s="7">
        <f t="shared" si="6"/>
        <v>5.3349730683188934E-2</v>
      </c>
      <c r="L43" s="7">
        <f t="shared" si="7"/>
        <v>-0.31763638112685133</v>
      </c>
      <c r="M43" s="7">
        <f t="shared" si="8"/>
        <v>2.641263846534736E-2</v>
      </c>
      <c r="N43" s="7">
        <f t="shared" si="4"/>
        <v>0.95172892906078421</v>
      </c>
      <c r="O43" s="7">
        <f t="shared" si="5"/>
        <v>4.8271070939215788E-2</v>
      </c>
    </row>
    <row r="44" spans="1:15" x14ac:dyDescent="0.2">
      <c r="A44" s="6">
        <v>43990</v>
      </c>
      <c r="B44" s="2" t="s">
        <v>228</v>
      </c>
      <c r="C44" s="5">
        <v>43983</v>
      </c>
      <c r="D44" s="2" t="s">
        <v>176</v>
      </c>
      <c r="E44" s="4">
        <f>IF(SUMIFS('Daily NSE Equity Cash'!$H:$H,'Daily NSE Equity Cash'!$A:$A,$A44)=0,"",SUMIFS('Daily NSE Equity Cash'!$H:$H,'Daily NSE Equity Cash'!$A:$A,$A44))</f>
        <v>679.92619999999999</v>
      </c>
      <c r="F44" s="4">
        <f>IF(SUMIFS('Daily BSE Equity Cash'!$H:$H,'Daily BSE Equity Cash'!$A:$A,$A44)=0,"",SUMIFS('Daily BSE Equity Cash'!$H:$H,'Daily BSE Equity Cash'!$A:$A,$A44))</f>
        <v>39.979500000000002</v>
      </c>
      <c r="G44" s="4">
        <f t="shared" si="0"/>
        <v>719.90570000000002</v>
      </c>
      <c r="H44" s="7" t="str">
        <f t="shared" si="1"/>
        <v/>
      </c>
      <c r="I44" s="7" t="str">
        <f t="shared" si="2"/>
        <v/>
      </c>
      <c r="J44" s="7" t="str">
        <f t="shared" si="3"/>
        <v/>
      </c>
      <c r="K44" s="7">
        <f t="shared" si="6"/>
        <v>5.6881636926727097E-2</v>
      </c>
      <c r="L44" s="7">
        <f t="shared" si="7"/>
        <v>0.22526004155761381</v>
      </c>
      <c r="M44" s="7">
        <f t="shared" si="8"/>
        <v>6.5009442841296616E-2</v>
      </c>
      <c r="N44" s="7">
        <f t="shared" si="4"/>
        <v>0.94446564320854798</v>
      </c>
      <c r="O44" s="7">
        <f t="shared" si="5"/>
        <v>5.5534356791451994E-2</v>
      </c>
    </row>
    <row r="45" spans="1:15" x14ac:dyDescent="0.2">
      <c r="A45" s="6">
        <v>43991</v>
      </c>
      <c r="B45" s="2" t="s">
        <v>226</v>
      </c>
      <c r="C45" s="5">
        <v>43983</v>
      </c>
      <c r="D45" s="2" t="s">
        <v>176</v>
      </c>
      <c r="E45" s="4">
        <f>IF(SUMIFS('Daily NSE Equity Cash'!$H:$H,'Daily NSE Equity Cash'!$A:$A,$A45)=0,"",SUMIFS('Daily NSE Equity Cash'!$H:$H,'Daily NSE Equity Cash'!$A:$A,$A45))</f>
        <v>637.86469999999997</v>
      </c>
      <c r="F45" s="4">
        <f>IF(SUMIFS('Daily BSE Equity Cash'!$H:$H,'Daily BSE Equity Cash'!$A:$A,$A45)=0,"",SUMIFS('Daily BSE Equity Cash'!$H:$H,'Daily BSE Equity Cash'!$A:$A,$A45))</f>
        <v>34.211799999999997</v>
      </c>
      <c r="G45" s="4">
        <f t="shared" si="0"/>
        <v>672.07650000000001</v>
      </c>
      <c r="H45" s="7" t="str">
        <f t="shared" si="1"/>
        <v/>
      </c>
      <c r="I45" s="7" t="str">
        <f t="shared" si="2"/>
        <v/>
      </c>
      <c r="J45" s="7" t="str">
        <f t="shared" si="3"/>
        <v/>
      </c>
      <c r="K45" s="7">
        <f t="shared" si="6"/>
        <v>-6.1861860890196629E-2</v>
      </c>
      <c r="L45" s="7">
        <f t="shared" si="7"/>
        <v>-0.14426643654873139</v>
      </c>
      <c r="M45" s="7">
        <f t="shared" si="8"/>
        <v>-6.64381459960659E-2</v>
      </c>
      <c r="N45" s="7">
        <f t="shared" si="4"/>
        <v>0.9490953782791095</v>
      </c>
      <c r="O45" s="7">
        <f t="shared" si="5"/>
        <v>5.09046217208904E-2</v>
      </c>
    </row>
    <row r="46" spans="1:15" x14ac:dyDescent="0.2">
      <c r="A46" s="6">
        <v>43992</v>
      </c>
      <c r="B46" s="2" t="s">
        <v>224</v>
      </c>
      <c r="C46" s="5">
        <v>43983</v>
      </c>
      <c r="D46" s="2" t="s">
        <v>176</v>
      </c>
      <c r="E46" s="4">
        <f>IF(SUMIFS('Daily NSE Equity Cash'!$H:$H,'Daily NSE Equity Cash'!$A:$A,$A46)=0,"",SUMIFS('Daily NSE Equity Cash'!$H:$H,'Daily NSE Equity Cash'!$A:$A,$A46))</f>
        <v>529.54139999999995</v>
      </c>
      <c r="F46" s="4">
        <f>IF(SUMIFS('Daily BSE Equity Cash'!$H:$H,'Daily BSE Equity Cash'!$A:$A,$A46)=0,"",SUMIFS('Daily BSE Equity Cash'!$H:$H,'Daily BSE Equity Cash'!$A:$A,$A46))</f>
        <v>29.283000000000001</v>
      </c>
      <c r="G46" s="4">
        <f t="shared" si="0"/>
        <v>558.82439999999997</v>
      </c>
      <c r="H46" s="7" t="str">
        <f t="shared" si="1"/>
        <v/>
      </c>
      <c r="I46" s="7" t="str">
        <f t="shared" si="2"/>
        <v/>
      </c>
      <c r="J46" s="7" t="str">
        <f t="shared" si="3"/>
        <v/>
      </c>
      <c r="K46" s="7">
        <f t="shared" si="6"/>
        <v>-0.16982175060008808</v>
      </c>
      <c r="L46" s="7">
        <f t="shared" si="7"/>
        <v>-0.14406725165001533</v>
      </c>
      <c r="M46" s="7">
        <f t="shared" si="8"/>
        <v>-0.16851072757342367</v>
      </c>
      <c r="N46" s="7">
        <f t="shared" si="4"/>
        <v>0.94759892374062404</v>
      </c>
      <c r="O46" s="7">
        <f t="shared" si="5"/>
        <v>5.2401076259375935E-2</v>
      </c>
    </row>
    <row r="47" spans="1:15" x14ac:dyDescent="0.2">
      <c r="A47" s="6">
        <v>43993</v>
      </c>
      <c r="B47" s="2" t="s">
        <v>227</v>
      </c>
      <c r="C47" s="5">
        <v>43983</v>
      </c>
      <c r="D47" s="2" t="s">
        <v>176</v>
      </c>
      <c r="E47" s="4">
        <f>IF(SUMIFS('Daily NSE Equity Cash'!$H:$H,'Daily NSE Equity Cash'!$A:$A,$A47)=0,"",SUMIFS('Daily NSE Equity Cash'!$H:$H,'Daily NSE Equity Cash'!$A:$A,$A47))</f>
        <v>577.01760000000002</v>
      </c>
      <c r="F47" s="4">
        <f>IF(SUMIFS('Daily BSE Equity Cash'!$H:$H,'Daily BSE Equity Cash'!$A:$A,$A47)=0,"",SUMIFS('Daily BSE Equity Cash'!$H:$H,'Daily BSE Equity Cash'!$A:$A,$A47))</f>
        <v>33.395200000000003</v>
      </c>
      <c r="G47" s="4">
        <f t="shared" si="0"/>
        <v>610.41280000000006</v>
      </c>
      <c r="H47" s="7" t="str">
        <f t="shared" si="1"/>
        <v/>
      </c>
      <c r="I47" s="7" t="str">
        <f t="shared" si="2"/>
        <v/>
      </c>
      <c r="J47" s="7" t="str">
        <f t="shared" si="3"/>
        <v/>
      </c>
      <c r="K47" s="7">
        <f t="shared" si="6"/>
        <v>8.9655313069006537E-2</v>
      </c>
      <c r="L47" s="7">
        <f t="shared" si="7"/>
        <v>0.14042960079226852</v>
      </c>
      <c r="M47" s="7">
        <f t="shared" si="8"/>
        <v>9.2315940392008855E-2</v>
      </c>
      <c r="N47" s="7">
        <f t="shared" si="4"/>
        <v>0.94529079337785837</v>
      </c>
      <c r="O47" s="7">
        <f t="shared" si="5"/>
        <v>5.4709206622141605E-2</v>
      </c>
    </row>
    <row r="48" spans="1:15" x14ac:dyDescent="0.2">
      <c r="A48" s="6">
        <v>43994</v>
      </c>
      <c r="B48" s="2" t="s">
        <v>225</v>
      </c>
      <c r="C48" s="5">
        <v>43983</v>
      </c>
      <c r="D48" s="2" t="s">
        <v>176</v>
      </c>
      <c r="E48" s="4">
        <f>IF(SUMIFS('Daily NSE Equity Cash'!$H:$H,'Daily NSE Equity Cash'!$A:$A,$A48)=0,"",SUMIFS('Daily NSE Equity Cash'!$H:$H,'Daily NSE Equity Cash'!$A:$A,$A48))</f>
        <v>608.10299999999995</v>
      </c>
      <c r="F48" s="4">
        <f>IF(SUMIFS('Daily BSE Equity Cash'!$H:$H,'Daily BSE Equity Cash'!$A:$A,$A48)=0,"",SUMIFS('Daily BSE Equity Cash'!$H:$H,'Daily BSE Equity Cash'!$A:$A,$A48))</f>
        <v>33.479199999999999</v>
      </c>
      <c r="G48" s="4">
        <f t="shared" si="0"/>
        <v>641.58219999999994</v>
      </c>
      <c r="H48" s="7" t="str">
        <f t="shared" si="1"/>
        <v/>
      </c>
      <c r="I48" s="7" t="str">
        <f t="shared" si="2"/>
        <v/>
      </c>
      <c r="J48" s="7" t="str">
        <f t="shared" si="3"/>
        <v/>
      </c>
      <c r="K48" s="7">
        <f t="shared" si="6"/>
        <v>5.3872533524107258E-2</v>
      </c>
      <c r="L48" s="7">
        <f t="shared" si="7"/>
        <v>2.5153315446531099E-3</v>
      </c>
      <c r="M48" s="7">
        <f t="shared" si="8"/>
        <v>5.1062821749478182E-2</v>
      </c>
      <c r="N48" s="7">
        <f t="shared" si="4"/>
        <v>0.94781775429555248</v>
      </c>
      <c r="O48" s="7">
        <f t="shared" si="5"/>
        <v>5.2182245704447537E-2</v>
      </c>
    </row>
    <row r="49" spans="1:15" x14ac:dyDescent="0.2">
      <c r="A49" s="6">
        <v>43997</v>
      </c>
      <c r="B49" s="2" t="s">
        <v>228</v>
      </c>
      <c r="C49" s="5">
        <v>43983</v>
      </c>
      <c r="D49" s="2" t="s">
        <v>176</v>
      </c>
      <c r="E49" s="4">
        <f>IF(SUMIFS('Daily NSE Equity Cash'!$H:$H,'Daily NSE Equity Cash'!$A:$A,$A49)=0,"",SUMIFS('Daily NSE Equity Cash'!$H:$H,'Daily NSE Equity Cash'!$A:$A,$A49))</f>
        <v>542.01790000000005</v>
      </c>
      <c r="F49" s="4">
        <f>IF(SUMIFS('Daily BSE Equity Cash'!$H:$H,'Daily BSE Equity Cash'!$A:$A,$A49)=0,"",SUMIFS('Daily BSE Equity Cash'!$H:$H,'Daily BSE Equity Cash'!$A:$A,$A49))</f>
        <v>29.5992</v>
      </c>
      <c r="G49" s="4">
        <f t="shared" si="0"/>
        <v>571.61710000000005</v>
      </c>
      <c r="H49" s="7" t="str">
        <f t="shared" si="1"/>
        <v/>
      </c>
      <c r="I49" s="7" t="str">
        <f t="shared" si="2"/>
        <v/>
      </c>
      <c r="J49" s="7" t="str">
        <f t="shared" si="3"/>
        <v/>
      </c>
      <c r="K49" s="7">
        <f t="shared" si="6"/>
        <v>-0.1086741884187381</v>
      </c>
      <c r="L49" s="7">
        <f t="shared" si="7"/>
        <v>-0.11589285287581541</v>
      </c>
      <c r="M49" s="7">
        <f t="shared" si="8"/>
        <v>-0.1090508745410953</v>
      </c>
      <c r="N49" s="7">
        <f t="shared" si="4"/>
        <v>0.94821848401666087</v>
      </c>
      <c r="O49" s="7">
        <f t="shared" si="5"/>
        <v>5.1781515983339195E-2</v>
      </c>
    </row>
    <row r="50" spans="1:15" x14ac:dyDescent="0.2">
      <c r="A50" s="6">
        <v>43998</v>
      </c>
      <c r="B50" s="2" t="s">
        <v>226</v>
      </c>
      <c r="C50" s="5">
        <v>43983</v>
      </c>
      <c r="D50" s="2" t="s">
        <v>176</v>
      </c>
      <c r="E50" s="4">
        <f>IF(SUMIFS('Daily NSE Equity Cash'!$H:$H,'Daily NSE Equity Cash'!$A:$A,$A50)=0,"",SUMIFS('Daily NSE Equity Cash'!$H:$H,'Daily NSE Equity Cash'!$A:$A,$A50))</f>
        <v>603.04480000000001</v>
      </c>
      <c r="F50" s="4">
        <f>IF(SUMIFS('Daily BSE Equity Cash'!$H:$H,'Daily BSE Equity Cash'!$A:$A,$A50)=0,"",SUMIFS('Daily BSE Equity Cash'!$H:$H,'Daily BSE Equity Cash'!$A:$A,$A50))</f>
        <v>38.883000000000003</v>
      </c>
      <c r="G50" s="4">
        <f t="shared" si="0"/>
        <v>641.92780000000005</v>
      </c>
      <c r="H50" s="7" t="str">
        <f t="shared" si="1"/>
        <v/>
      </c>
      <c r="I50" s="7" t="str">
        <f t="shared" si="2"/>
        <v/>
      </c>
      <c r="J50" s="7" t="str">
        <f t="shared" si="3"/>
        <v/>
      </c>
      <c r="K50" s="7">
        <f t="shared" si="6"/>
        <v>0.11259203801202866</v>
      </c>
      <c r="L50" s="7">
        <f t="shared" si="7"/>
        <v>0.31365036892889009</v>
      </c>
      <c r="M50" s="7">
        <f t="shared" si="8"/>
        <v>0.12300314318798367</v>
      </c>
      <c r="N50" s="7">
        <f t="shared" si="4"/>
        <v>0.93942776742181899</v>
      </c>
      <c r="O50" s="7">
        <f t="shared" si="5"/>
        <v>6.057223257818091E-2</v>
      </c>
    </row>
    <row r="51" spans="1:15" x14ac:dyDescent="0.2">
      <c r="A51" s="6">
        <v>43999</v>
      </c>
      <c r="B51" s="2" t="s">
        <v>224</v>
      </c>
      <c r="C51" s="5">
        <v>43983</v>
      </c>
      <c r="D51" s="2" t="s">
        <v>176</v>
      </c>
      <c r="E51" s="4">
        <f>IF(SUMIFS('Daily NSE Equity Cash'!$H:$H,'Daily NSE Equity Cash'!$A:$A,$A51)=0,"",SUMIFS('Daily NSE Equity Cash'!$H:$H,'Daily NSE Equity Cash'!$A:$A,$A51))</f>
        <v>522.05179999999996</v>
      </c>
      <c r="F51" s="4">
        <f>IF(SUMIFS('Daily BSE Equity Cash'!$H:$H,'Daily BSE Equity Cash'!$A:$A,$A51)=0,"",SUMIFS('Daily BSE Equity Cash'!$H:$H,'Daily BSE Equity Cash'!$A:$A,$A51))</f>
        <v>34.678899999999999</v>
      </c>
      <c r="G51" s="4">
        <f t="shared" si="0"/>
        <v>556.73069999999996</v>
      </c>
      <c r="H51" s="7" t="str">
        <f t="shared" si="1"/>
        <v/>
      </c>
      <c r="I51" s="7" t="str">
        <f t="shared" si="2"/>
        <v/>
      </c>
      <c r="J51" s="7" t="str">
        <f t="shared" si="3"/>
        <v/>
      </c>
      <c r="K51" s="7">
        <f t="shared" si="6"/>
        <v>-0.13430677123822321</v>
      </c>
      <c r="L51" s="7">
        <f t="shared" si="7"/>
        <v>-0.10812180130133997</v>
      </c>
      <c r="M51" s="7">
        <f t="shared" si="8"/>
        <v>-0.13272068914915369</v>
      </c>
      <c r="N51" s="7">
        <f t="shared" si="4"/>
        <v>0.93770974009516628</v>
      </c>
      <c r="O51" s="7">
        <f t="shared" si="5"/>
        <v>6.2290259904833702E-2</v>
      </c>
    </row>
    <row r="52" spans="1:15" x14ac:dyDescent="0.2">
      <c r="A52" s="6">
        <v>44000</v>
      </c>
      <c r="B52" s="2" t="s">
        <v>227</v>
      </c>
      <c r="C52" s="5">
        <v>43983</v>
      </c>
      <c r="D52" s="2" t="s">
        <v>176</v>
      </c>
      <c r="E52" s="4">
        <f>IF(SUMIFS('Daily NSE Equity Cash'!$H:$H,'Daily NSE Equity Cash'!$A:$A,$A52)=0,"",SUMIFS('Daily NSE Equity Cash'!$H:$H,'Daily NSE Equity Cash'!$A:$A,$A52))</f>
        <v>511.55549999999999</v>
      </c>
      <c r="F52" s="4">
        <f>IF(SUMIFS('Daily BSE Equity Cash'!$H:$H,'Daily BSE Equity Cash'!$A:$A,$A52)=0,"",SUMIFS('Daily BSE Equity Cash'!$H:$H,'Daily BSE Equity Cash'!$A:$A,$A52))</f>
        <v>33.0274</v>
      </c>
      <c r="G52" s="4">
        <f t="shared" si="0"/>
        <v>544.5829</v>
      </c>
      <c r="H52" s="7" t="str">
        <f t="shared" si="1"/>
        <v/>
      </c>
      <c r="I52" s="7" t="str">
        <f t="shared" si="2"/>
        <v/>
      </c>
      <c r="J52" s="7" t="str">
        <f t="shared" si="3"/>
        <v/>
      </c>
      <c r="K52" s="7">
        <f t="shared" si="6"/>
        <v>-2.0105859226996148E-2</v>
      </c>
      <c r="L52" s="7">
        <f t="shared" si="7"/>
        <v>-4.7622617787761445E-2</v>
      </c>
      <c r="M52" s="7">
        <f t="shared" si="8"/>
        <v>-2.1819885269484751E-2</v>
      </c>
      <c r="N52" s="7">
        <f t="shared" si="4"/>
        <v>0.93935285151259795</v>
      </c>
      <c r="O52" s="7">
        <f t="shared" si="5"/>
        <v>6.0647148487402013E-2</v>
      </c>
    </row>
    <row r="53" spans="1:15" x14ac:dyDescent="0.2">
      <c r="A53" s="6">
        <v>44001</v>
      </c>
      <c r="B53" s="2" t="s">
        <v>225</v>
      </c>
      <c r="C53" s="5">
        <v>43983</v>
      </c>
      <c r="D53" s="2" t="s">
        <v>176</v>
      </c>
      <c r="E53" s="4">
        <f>IF(SUMIFS('Daily NSE Equity Cash'!$H:$H,'Daily NSE Equity Cash'!$A:$A,$A53)=0,"",SUMIFS('Daily NSE Equity Cash'!$H:$H,'Daily NSE Equity Cash'!$A:$A,$A53))</f>
        <v>823.43700000000001</v>
      </c>
      <c r="F53" s="4">
        <f>IF(SUMIFS('Daily BSE Equity Cash'!$H:$H,'Daily BSE Equity Cash'!$A:$A,$A53)=0,"",SUMIFS('Daily BSE Equity Cash'!$H:$H,'Daily BSE Equity Cash'!$A:$A,$A53))</f>
        <v>47.218699999999998</v>
      </c>
      <c r="G53" s="4">
        <f t="shared" si="0"/>
        <v>870.65570000000002</v>
      </c>
      <c r="H53" s="7" t="str">
        <f t="shared" si="1"/>
        <v/>
      </c>
      <c r="I53" s="7" t="str">
        <f t="shared" si="2"/>
        <v/>
      </c>
      <c r="J53" s="7" t="str">
        <f t="shared" si="3"/>
        <v/>
      </c>
      <c r="K53" s="7">
        <f t="shared" si="6"/>
        <v>0.60967285074639999</v>
      </c>
      <c r="L53" s="7">
        <f t="shared" si="7"/>
        <v>0.42968262715200112</v>
      </c>
      <c r="M53" s="7">
        <f t="shared" si="8"/>
        <v>0.59875695692978992</v>
      </c>
      <c r="N53" s="7">
        <f t="shared" si="4"/>
        <v>0.94576650678333585</v>
      </c>
      <c r="O53" s="7">
        <f t="shared" si="5"/>
        <v>5.4233493216664173E-2</v>
      </c>
    </row>
    <row r="54" spans="1:15" x14ac:dyDescent="0.2">
      <c r="A54" s="6">
        <v>44004</v>
      </c>
      <c r="B54" s="2" t="s">
        <v>228</v>
      </c>
      <c r="C54" s="5">
        <v>43983</v>
      </c>
      <c r="D54" s="2" t="s">
        <v>176</v>
      </c>
      <c r="E54" s="4">
        <f>IF(SUMIFS('Daily NSE Equity Cash'!$H:$H,'Daily NSE Equity Cash'!$A:$A,$A54)=0,"",SUMIFS('Daily NSE Equity Cash'!$H:$H,'Daily NSE Equity Cash'!$A:$A,$A54))</f>
        <v>700.53679999999997</v>
      </c>
      <c r="F54" s="4">
        <f>IF(SUMIFS('Daily BSE Equity Cash'!$H:$H,'Daily BSE Equity Cash'!$A:$A,$A54)=0,"",SUMIFS('Daily BSE Equity Cash'!$H:$H,'Daily BSE Equity Cash'!$A:$A,$A54))</f>
        <v>45.598399999999998</v>
      </c>
      <c r="G54" s="4">
        <f t="shared" si="0"/>
        <v>746.13519999999994</v>
      </c>
      <c r="H54" s="7" t="str">
        <f t="shared" si="1"/>
        <v/>
      </c>
      <c r="I54" s="7" t="str">
        <f t="shared" si="2"/>
        <v/>
      </c>
      <c r="J54" s="7" t="str">
        <f t="shared" si="3"/>
        <v/>
      </c>
      <c r="K54" s="7">
        <f t="shared" si="6"/>
        <v>-0.14925270542858782</v>
      </c>
      <c r="L54" s="7">
        <f t="shared" si="7"/>
        <v>-3.4314794774104374E-2</v>
      </c>
      <c r="M54" s="7">
        <f t="shared" si="8"/>
        <v>-0.14301922103077036</v>
      </c>
      <c r="N54" s="7">
        <f t="shared" si="4"/>
        <v>0.93888721507844697</v>
      </c>
      <c r="O54" s="7">
        <f t="shared" si="5"/>
        <v>6.1112784921553094E-2</v>
      </c>
    </row>
    <row r="55" spans="1:15" x14ac:dyDescent="0.2">
      <c r="A55" s="6">
        <v>44005</v>
      </c>
      <c r="B55" s="2" t="s">
        <v>226</v>
      </c>
      <c r="C55" s="5">
        <v>43983</v>
      </c>
      <c r="D55" s="2" t="s">
        <v>176</v>
      </c>
      <c r="E55" s="4">
        <f>IF(SUMIFS('Daily NSE Equity Cash'!$H:$H,'Daily NSE Equity Cash'!$A:$A,$A55)=0,"",SUMIFS('Daily NSE Equity Cash'!$H:$H,'Daily NSE Equity Cash'!$A:$A,$A55))</f>
        <v>647.18020000000001</v>
      </c>
      <c r="F55" s="4">
        <f>IF(SUMIFS('Daily BSE Equity Cash'!$H:$H,'Daily BSE Equity Cash'!$A:$A,$A55)=0,"",SUMIFS('Daily BSE Equity Cash'!$H:$H,'Daily BSE Equity Cash'!$A:$A,$A55))</f>
        <v>225.0317</v>
      </c>
      <c r="G55" s="4">
        <f t="shared" si="0"/>
        <v>872.21190000000001</v>
      </c>
      <c r="H55" s="7" t="str">
        <f t="shared" si="1"/>
        <v/>
      </c>
      <c r="I55" s="7" t="str">
        <f t="shared" si="2"/>
        <v/>
      </c>
      <c r="J55" s="7" t="str">
        <f t="shared" si="3"/>
        <v/>
      </c>
      <c r="K55" s="7">
        <f t="shared" si="6"/>
        <v>-7.6165306376481556E-2</v>
      </c>
      <c r="L55" s="7">
        <f t="shared" si="7"/>
        <v>3.9350788624162254</v>
      </c>
      <c r="M55" s="7">
        <f t="shared" si="8"/>
        <v>0.16897299577878133</v>
      </c>
      <c r="N55" s="7">
        <f t="shared" si="4"/>
        <v>0.74199881932360701</v>
      </c>
      <c r="O55" s="7">
        <f t="shared" si="5"/>
        <v>0.25800118067639299</v>
      </c>
    </row>
    <row r="56" spans="1:15" x14ac:dyDescent="0.2">
      <c r="A56" s="6">
        <v>44006</v>
      </c>
      <c r="B56" s="2" t="s">
        <v>224</v>
      </c>
      <c r="C56" s="5">
        <v>43983</v>
      </c>
      <c r="D56" s="2" t="s">
        <v>176</v>
      </c>
      <c r="E56" s="4">
        <f>IF(SUMIFS('Daily NSE Equity Cash'!$H:$H,'Daily NSE Equity Cash'!$A:$A,$A56)=0,"",SUMIFS('Daily NSE Equity Cash'!$H:$H,'Daily NSE Equity Cash'!$A:$A,$A56))</f>
        <v>744.70370000000003</v>
      </c>
      <c r="F56" s="4">
        <f>IF(SUMIFS('Daily BSE Equity Cash'!$H:$H,'Daily BSE Equity Cash'!$A:$A,$A56)=0,"",SUMIFS('Daily BSE Equity Cash'!$H:$H,'Daily BSE Equity Cash'!$A:$A,$A56))</f>
        <v>75.883899999999997</v>
      </c>
      <c r="G56" s="4">
        <f t="shared" si="0"/>
        <v>820.58760000000007</v>
      </c>
      <c r="H56" s="7" t="str">
        <f t="shared" si="1"/>
        <v/>
      </c>
      <c r="I56" s="7" t="str">
        <f t="shared" si="2"/>
        <v/>
      </c>
      <c r="J56" s="7" t="str">
        <f t="shared" si="3"/>
        <v/>
      </c>
      <c r="K56" s="7">
        <f t="shared" si="6"/>
        <v>0.15068986968389941</v>
      </c>
      <c r="L56" s="7">
        <f t="shared" si="7"/>
        <v>-0.66278573196576307</v>
      </c>
      <c r="M56" s="7">
        <f t="shared" si="8"/>
        <v>-5.9187795993152492E-2</v>
      </c>
      <c r="N56" s="7">
        <f t="shared" si="4"/>
        <v>0.90752492482216396</v>
      </c>
      <c r="O56" s="7">
        <f t="shared" si="5"/>
        <v>9.2475075177835972E-2</v>
      </c>
    </row>
    <row r="57" spans="1:15" x14ac:dyDescent="0.2">
      <c r="A57" s="6">
        <v>44007</v>
      </c>
      <c r="B57" s="2" t="s">
        <v>227</v>
      </c>
      <c r="C57" s="5">
        <v>43983</v>
      </c>
      <c r="D57" s="2" t="s">
        <v>176</v>
      </c>
      <c r="E57" s="4">
        <f>IF(SUMIFS('Daily NSE Equity Cash'!$H:$H,'Daily NSE Equity Cash'!$A:$A,$A57)=0,"",SUMIFS('Daily NSE Equity Cash'!$H:$H,'Daily NSE Equity Cash'!$A:$A,$A57))</f>
        <v>685.6712</v>
      </c>
      <c r="F57" s="4">
        <f>IF(SUMIFS('Daily BSE Equity Cash'!$H:$H,'Daily BSE Equity Cash'!$A:$A,$A57)=0,"",SUMIFS('Daily BSE Equity Cash'!$H:$H,'Daily BSE Equity Cash'!$A:$A,$A57))</f>
        <v>37.179499999999997</v>
      </c>
      <c r="G57" s="4">
        <f t="shared" si="0"/>
        <v>722.85069999999996</v>
      </c>
      <c r="H57" s="7" t="str">
        <f t="shared" si="1"/>
        <v/>
      </c>
      <c r="I57" s="7" t="str">
        <f t="shared" si="2"/>
        <v/>
      </c>
      <c r="J57" s="7" t="str">
        <f t="shared" si="3"/>
        <v/>
      </c>
      <c r="K57" s="7">
        <f t="shared" si="6"/>
        <v>-7.9269782062315608E-2</v>
      </c>
      <c r="L57" s="7">
        <f t="shared" si="7"/>
        <v>-0.51004758585154431</v>
      </c>
      <c r="M57" s="7">
        <f t="shared" si="8"/>
        <v>-0.11910599185266768</v>
      </c>
      <c r="N57" s="7">
        <f t="shared" si="4"/>
        <v>0.9485654506525345</v>
      </c>
      <c r="O57" s="7">
        <f t="shared" si="5"/>
        <v>5.1434549347465525E-2</v>
      </c>
    </row>
    <row r="58" spans="1:15" x14ac:dyDescent="0.2">
      <c r="A58" s="6">
        <v>44008</v>
      </c>
      <c r="B58" s="2" t="s">
        <v>225</v>
      </c>
      <c r="C58" s="5">
        <v>43983</v>
      </c>
      <c r="D58" s="2" t="s">
        <v>176</v>
      </c>
      <c r="E58" s="4">
        <f>IF(SUMIFS('Daily NSE Equity Cash'!$H:$H,'Daily NSE Equity Cash'!$A:$A,$A58)=0,"",SUMIFS('Daily NSE Equity Cash'!$H:$H,'Daily NSE Equity Cash'!$A:$A,$A58))</f>
        <v>560.07349999999997</v>
      </c>
      <c r="F58" s="4">
        <f>IF(SUMIFS('Daily BSE Equity Cash'!$H:$H,'Daily BSE Equity Cash'!$A:$A,$A58)=0,"",SUMIFS('Daily BSE Equity Cash'!$H:$H,'Daily BSE Equity Cash'!$A:$A,$A58))</f>
        <v>38.521299999999997</v>
      </c>
      <c r="G58" s="4">
        <f t="shared" si="0"/>
        <v>598.59479999999996</v>
      </c>
      <c r="H58" s="7" t="str">
        <f t="shared" si="1"/>
        <v/>
      </c>
      <c r="I58" s="7" t="str">
        <f t="shared" si="2"/>
        <v/>
      </c>
      <c r="J58" s="7" t="str">
        <f t="shared" si="3"/>
        <v/>
      </c>
      <c r="K58" s="7">
        <f t="shared" si="6"/>
        <v>-0.18317482198464807</v>
      </c>
      <c r="L58" s="7">
        <f t="shared" si="7"/>
        <v>3.6089780658696391E-2</v>
      </c>
      <c r="M58" s="7">
        <f t="shared" si="8"/>
        <v>-0.17189704595983657</v>
      </c>
      <c r="N58" s="7">
        <f t="shared" si="4"/>
        <v>0.9356471188857638</v>
      </c>
      <c r="O58" s="7">
        <f t="shared" si="5"/>
        <v>6.4352881114236204E-2</v>
      </c>
    </row>
    <row r="59" spans="1:15" x14ac:dyDescent="0.2">
      <c r="A59" s="6">
        <v>44011</v>
      </c>
      <c r="B59" s="2" t="s">
        <v>228</v>
      </c>
      <c r="C59" s="5">
        <v>43983</v>
      </c>
      <c r="D59" s="2" t="s">
        <v>176</v>
      </c>
      <c r="E59" s="4">
        <f>IF(SUMIFS('Daily NSE Equity Cash'!$H:$H,'Daily NSE Equity Cash'!$A:$A,$A59)=0,"",SUMIFS('Daily NSE Equity Cash'!$H:$H,'Daily NSE Equity Cash'!$A:$A,$A59))</f>
        <v>491.39409999999998</v>
      </c>
      <c r="F59" s="4">
        <f>IF(SUMIFS('Daily BSE Equity Cash'!$H:$H,'Daily BSE Equity Cash'!$A:$A,$A59)=0,"",SUMIFS('Daily BSE Equity Cash'!$H:$H,'Daily BSE Equity Cash'!$A:$A,$A59))</f>
        <v>42.275799999999997</v>
      </c>
      <c r="G59" s="4">
        <f t="shared" si="0"/>
        <v>533.66989999999998</v>
      </c>
      <c r="H59" s="7" t="str">
        <f t="shared" si="1"/>
        <v/>
      </c>
      <c r="I59" s="7" t="str">
        <f t="shared" si="2"/>
        <v/>
      </c>
      <c r="J59" s="7" t="str">
        <f t="shared" si="3"/>
        <v/>
      </c>
      <c r="K59" s="7">
        <f t="shared" si="6"/>
        <v>-0.12262569109232979</v>
      </c>
      <c r="L59" s="7">
        <f t="shared" si="7"/>
        <v>9.7465558015954912E-2</v>
      </c>
      <c r="M59" s="7">
        <f t="shared" si="8"/>
        <v>-0.1084621851041806</v>
      </c>
      <c r="N59" s="7">
        <f t="shared" si="4"/>
        <v>0.92078286596264847</v>
      </c>
      <c r="O59" s="7">
        <f t="shared" si="5"/>
        <v>7.9217134037351547E-2</v>
      </c>
    </row>
    <row r="60" spans="1:15" x14ac:dyDescent="0.2">
      <c r="A60" s="6">
        <v>44012</v>
      </c>
      <c r="B60" s="2" t="s">
        <v>226</v>
      </c>
      <c r="C60" s="5">
        <v>43983</v>
      </c>
      <c r="D60" s="2" t="s">
        <v>176</v>
      </c>
      <c r="E60" s="4">
        <f>IF(SUMIFS('Daily NSE Equity Cash'!$H:$H,'Daily NSE Equity Cash'!$A:$A,$A60)=0,"",SUMIFS('Daily NSE Equity Cash'!$H:$H,'Daily NSE Equity Cash'!$A:$A,$A60))</f>
        <v>491.81060000000002</v>
      </c>
      <c r="F60" s="4">
        <f>IF(SUMIFS('Daily BSE Equity Cash'!$H:$H,'Daily BSE Equity Cash'!$A:$A,$A60)=0,"",SUMIFS('Daily BSE Equity Cash'!$H:$H,'Daily BSE Equity Cash'!$A:$A,$A60))</f>
        <v>29.880500000000001</v>
      </c>
      <c r="G60" s="4">
        <f t="shared" si="0"/>
        <v>521.69110000000001</v>
      </c>
      <c r="H60" s="7" t="str">
        <f t="shared" si="1"/>
        <v/>
      </c>
      <c r="I60" s="7" t="str">
        <f t="shared" si="2"/>
        <v/>
      </c>
      <c r="J60" s="7" t="str">
        <f t="shared" si="3"/>
        <v/>
      </c>
      <c r="K60" s="7">
        <f t="shared" si="6"/>
        <v>8.4758852416011443E-4</v>
      </c>
      <c r="L60" s="7">
        <f t="shared" si="7"/>
        <v>-0.29320083830465649</v>
      </c>
      <c r="M60" s="7">
        <f t="shared" si="8"/>
        <v>-2.244608511741053E-2</v>
      </c>
      <c r="N60" s="7">
        <f t="shared" si="4"/>
        <v>0.94272376891229315</v>
      </c>
      <c r="O60" s="7">
        <f t="shared" si="5"/>
        <v>5.7276231087706887E-2</v>
      </c>
    </row>
    <row r="61" spans="1:15" x14ac:dyDescent="0.2">
      <c r="A61" s="6">
        <v>44013</v>
      </c>
      <c r="B61" s="2" t="s">
        <v>224</v>
      </c>
      <c r="C61" s="5">
        <v>44013</v>
      </c>
      <c r="D61" s="2" t="s">
        <v>177</v>
      </c>
      <c r="E61" s="4">
        <f>IF(SUMIFS('Daily NSE Equity Cash'!$H:$H,'Daily NSE Equity Cash'!$A:$A,$A61)=0,"",SUMIFS('Daily NSE Equity Cash'!$H:$H,'Daily NSE Equity Cash'!$A:$A,$A61))</f>
        <v>496.4545</v>
      </c>
      <c r="F61" s="4">
        <f>IF(SUMIFS('Daily BSE Equity Cash'!$H:$H,'Daily BSE Equity Cash'!$A:$A,$A61)=0,"",SUMIFS('Daily BSE Equity Cash'!$H:$H,'Daily BSE Equity Cash'!$A:$A,$A61))</f>
        <v>31.0181</v>
      </c>
      <c r="G61" s="4">
        <f t="shared" si="0"/>
        <v>527.47259999999994</v>
      </c>
      <c r="H61" s="7" t="str">
        <f t="shared" si="1"/>
        <v/>
      </c>
      <c r="I61" s="7" t="str">
        <f t="shared" si="2"/>
        <v/>
      </c>
      <c r="J61" s="7" t="str">
        <f t="shared" si="3"/>
        <v/>
      </c>
      <c r="K61" s="7">
        <f t="shared" si="6"/>
        <v>9.4424560999701868E-3</v>
      </c>
      <c r="L61" s="7">
        <f t="shared" si="7"/>
        <v>3.8071652080788443E-2</v>
      </c>
      <c r="M61" s="7">
        <f t="shared" si="8"/>
        <v>1.1082228544822659E-2</v>
      </c>
      <c r="N61" s="7">
        <f t="shared" si="4"/>
        <v>0.94119486016904019</v>
      </c>
      <c r="O61" s="7">
        <f t="shared" si="5"/>
        <v>5.8805139830959946E-2</v>
      </c>
    </row>
    <row r="62" spans="1:15" x14ac:dyDescent="0.2">
      <c r="A62" s="6">
        <v>44014</v>
      </c>
      <c r="B62" s="2" t="s">
        <v>227</v>
      </c>
      <c r="C62" s="5">
        <v>44013</v>
      </c>
      <c r="D62" s="2" t="s">
        <v>177</v>
      </c>
      <c r="E62" s="4">
        <f>IF(SUMIFS('Daily NSE Equity Cash'!$H:$H,'Daily NSE Equity Cash'!$A:$A,$A62)=0,"",SUMIFS('Daily NSE Equity Cash'!$H:$H,'Daily NSE Equity Cash'!$A:$A,$A62))</f>
        <v>531.48879999999997</v>
      </c>
      <c r="F62" s="4">
        <f>IF(SUMIFS('Daily BSE Equity Cash'!$H:$H,'Daily BSE Equity Cash'!$A:$A,$A62)=0,"",SUMIFS('Daily BSE Equity Cash'!$H:$H,'Daily BSE Equity Cash'!$A:$A,$A62))</f>
        <v>33.940600000000003</v>
      </c>
      <c r="G62" s="4">
        <f t="shared" si="0"/>
        <v>565.42939999999999</v>
      </c>
      <c r="H62" s="7" t="str">
        <f t="shared" si="1"/>
        <v/>
      </c>
      <c r="I62" s="7" t="str">
        <f t="shared" si="2"/>
        <v/>
      </c>
      <c r="J62" s="7" t="str">
        <f t="shared" si="3"/>
        <v/>
      </c>
      <c r="K62" s="7">
        <f t="shared" si="6"/>
        <v>7.0569004813129776E-2</v>
      </c>
      <c r="L62" s="7">
        <f t="shared" si="7"/>
        <v>9.4219181703586008E-2</v>
      </c>
      <c r="M62" s="7">
        <f t="shared" si="8"/>
        <v>7.1959756772200123E-2</v>
      </c>
      <c r="N62" s="7">
        <f t="shared" si="4"/>
        <v>0.93997376153415435</v>
      </c>
      <c r="O62" s="7">
        <f t="shared" si="5"/>
        <v>6.0026238465845608E-2</v>
      </c>
    </row>
    <row r="63" spans="1:15" x14ac:dyDescent="0.2">
      <c r="A63" s="6">
        <v>44015</v>
      </c>
      <c r="B63" s="2" t="s">
        <v>225</v>
      </c>
      <c r="C63" s="5">
        <v>44013</v>
      </c>
      <c r="D63" s="2" t="s">
        <v>177</v>
      </c>
      <c r="E63" s="4">
        <f>IF(SUMIFS('Daily NSE Equity Cash'!$H:$H,'Daily NSE Equity Cash'!$A:$A,$A63)=0,"",SUMIFS('Daily NSE Equity Cash'!$H:$H,'Daily NSE Equity Cash'!$A:$A,$A63))</f>
        <v>487.21030000000002</v>
      </c>
      <c r="F63" s="4">
        <f>IF(SUMIFS('Daily BSE Equity Cash'!$H:$H,'Daily BSE Equity Cash'!$A:$A,$A63)=0,"",SUMIFS('Daily BSE Equity Cash'!$H:$H,'Daily BSE Equity Cash'!$A:$A,$A63))</f>
        <v>31.575399999999998</v>
      </c>
      <c r="G63" s="4">
        <f t="shared" si="0"/>
        <v>518.78570000000002</v>
      </c>
      <c r="H63" s="7" t="str">
        <f t="shared" si="1"/>
        <v/>
      </c>
      <c r="I63" s="7" t="str">
        <f t="shared" si="2"/>
        <v/>
      </c>
      <c r="J63" s="7" t="str">
        <f t="shared" si="3"/>
        <v/>
      </c>
      <c r="K63" s="7">
        <f t="shared" si="6"/>
        <v>-8.3310316228676795E-2</v>
      </c>
      <c r="L63" s="7">
        <f t="shared" si="7"/>
        <v>-6.968645221357328E-2</v>
      </c>
      <c r="M63" s="7">
        <f t="shared" si="8"/>
        <v>-8.2492526918479969E-2</v>
      </c>
      <c r="N63" s="7">
        <f t="shared" si="4"/>
        <v>0.93913594765622876</v>
      </c>
      <c r="O63" s="7">
        <f t="shared" si="5"/>
        <v>6.0864052343771229E-2</v>
      </c>
    </row>
    <row r="64" spans="1:15" x14ac:dyDescent="0.2">
      <c r="A64" s="6">
        <v>44018</v>
      </c>
      <c r="B64" s="2" t="s">
        <v>228</v>
      </c>
      <c r="C64" s="5">
        <v>44013</v>
      </c>
      <c r="D64" s="2" t="s">
        <v>177</v>
      </c>
      <c r="E64" s="4">
        <f>IF(SUMIFS('Daily NSE Equity Cash'!$H:$H,'Daily NSE Equity Cash'!$A:$A,$A64)=0,"",SUMIFS('Daily NSE Equity Cash'!$H:$H,'Daily NSE Equity Cash'!$A:$A,$A64))</f>
        <v>541.4357</v>
      </c>
      <c r="F64" s="4">
        <f>IF(SUMIFS('Daily BSE Equity Cash'!$H:$H,'Daily BSE Equity Cash'!$A:$A,$A64)=0,"",SUMIFS('Daily BSE Equity Cash'!$H:$H,'Daily BSE Equity Cash'!$A:$A,$A64))</f>
        <v>37.240200000000002</v>
      </c>
      <c r="G64" s="4">
        <f t="shared" si="0"/>
        <v>578.67589999999996</v>
      </c>
      <c r="H64" s="7" t="str">
        <f t="shared" si="1"/>
        <v/>
      </c>
      <c r="I64" s="7" t="str">
        <f t="shared" si="2"/>
        <v/>
      </c>
      <c r="J64" s="7" t="str">
        <f t="shared" si="3"/>
        <v/>
      </c>
      <c r="K64" s="7">
        <f t="shared" si="6"/>
        <v>0.11129772913257363</v>
      </c>
      <c r="L64" s="7">
        <f t="shared" si="7"/>
        <v>0.17940548654965593</v>
      </c>
      <c r="M64" s="7">
        <f t="shared" si="8"/>
        <v>0.11544304324502375</v>
      </c>
      <c r="N64" s="7">
        <f t="shared" si="4"/>
        <v>0.93564584251737459</v>
      </c>
      <c r="O64" s="7">
        <f t="shared" si="5"/>
        <v>6.4354157482625435E-2</v>
      </c>
    </row>
    <row r="65" spans="1:15" x14ac:dyDescent="0.2">
      <c r="A65" s="6">
        <v>44019</v>
      </c>
      <c r="B65" s="2" t="s">
        <v>226</v>
      </c>
      <c r="C65" s="5">
        <v>44013</v>
      </c>
      <c r="D65" s="2" t="s">
        <v>177</v>
      </c>
      <c r="E65" s="4">
        <f>IF(SUMIFS('Daily NSE Equity Cash'!$H:$H,'Daily NSE Equity Cash'!$A:$A,$A65)=0,"",SUMIFS('Daily NSE Equity Cash'!$H:$H,'Daily NSE Equity Cash'!$A:$A,$A65))</f>
        <v>653.50120000000004</v>
      </c>
      <c r="F65" s="4">
        <f>IF(SUMIFS('Daily BSE Equity Cash'!$H:$H,'Daily BSE Equity Cash'!$A:$A,$A65)=0,"",SUMIFS('Daily BSE Equity Cash'!$H:$H,'Daily BSE Equity Cash'!$A:$A,$A65))</f>
        <v>37.1053</v>
      </c>
      <c r="G65" s="4">
        <f t="shared" si="0"/>
        <v>690.6065000000001</v>
      </c>
      <c r="H65" s="7" t="str">
        <f t="shared" si="1"/>
        <v/>
      </c>
      <c r="I65" s="7" t="str">
        <f t="shared" si="2"/>
        <v/>
      </c>
      <c r="J65" s="7" t="str">
        <f t="shared" si="3"/>
        <v/>
      </c>
      <c r="K65" s="7">
        <f t="shared" si="6"/>
        <v>0.20697840943993917</v>
      </c>
      <c r="L65" s="7">
        <f t="shared" si="7"/>
        <v>-3.6224295250831817E-3</v>
      </c>
      <c r="M65" s="7">
        <f t="shared" si="8"/>
        <v>0.19342536988321113</v>
      </c>
      <c r="N65" s="7">
        <f t="shared" si="4"/>
        <v>0.94627142953331589</v>
      </c>
      <c r="O65" s="7">
        <f t="shared" si="5"/>
        <v>5.3728570466683986E-2</v>
      </c>
    </row>
    <row r="66" spans="1:15" x14ac:dyDescent="0.2">
      <c r="A66" s="6">
        <v>44020</v>
      </c>
      <c r="B66" s="2" t="s">
        <v>224</v>
      </c>
      <c r="C66" s="5">
        <v>44013</v>
      </c>
      <c r="D66" s="2" t="s">
        <v>177</v>
      </c>
      <c r="E66" s="4">
        <f>IF(SUMIFS('Daily NSE Equity Cash'!$H:$H,'Daily NSE Equity Cash'!$A:$A,$A66)=0,"",SUMIFS('Daily NSE Equity Cash'!$H:$H,'Daily NSE Equity Cash'!$A:$A,$A66))</f>
        <v>660.76520000000005</v>
      </c>
      <c r="F66" s="4">
        <f>IF(SUMIFS('Daily BSE Equity Cash'!$H:$H,'Daily BSE Equity Cash'!$A:$A,$A66)=0,"",SUMIFS('Daily BSE Equity Cash'!$H:$H,'Daily BSE Equity Cash'!$A:$A,$A66))</f>
        <v>38.571800000000003</v>
      </c>
      <c r="G66" s="4">
        <f t="shared" ref="G66:G129" si="9">IF(OR(E66="",F66=""),"",E66+F66)</f>
        <v>699.3370000000001</v>
      </c>
      <c r="H66" s="7" t="str">
        <f t="shared" ref="H66:H129" si="10">IFERROR(IF(OR(E66="",INDEX(E:E,MATCH(DATE(YEAR($A66)-1,MONTH($A66),DAY($A66)),$A:$A,0))=""),"",E66/INDEX(E:E,MATCH(DATE(YEAR($A66)-1,MONTH($A66),DAY($A66)),$A:$A,0))-1),"")</f>
        <v/>
      </c>
      <c r="I66" s="7" t="str">
        <f t="shared" ref="I66:I129" si="11">IFERROR(IF(OR(F66="",INDEX(F:F,MATCH(DATE(YEAR($A66)-1,MONTH($A66),DAY($A66)),$A:$A,0))=""),"",F66/INDEX(F:F,MATCH(DATE(YEAR($A66)-1,MONTH($A66),DAY($A66)),$A:$A,0))-1),"")</f>
        <v/>
      </c>
      <c r="J66" s="7" t="str">
        <f t="shared" ref="J66:J129" si="12">IFERROR(IF(OR(G66="",INDEX(G:G,MATCH(DATE(YEAR($A66)-1,MONTH($A66),DAY($A66)),$A:$A,0))=""),"",G66/INDEX(G:G,MATCH(DATE(YEAR($A66)-1,MONTH($A66),DAY($A66)),$A:$A,0))-1),"")</f>
        <v/>
      </c>
      <c r="K66" s="7">
        <f t="shared" si="6"/>
        <v>1.1115511341065698E-2</v>
      </c>
      <c r="L66" s="7">
        <f t="shared" si="7"/>
        <v>3.9522655793107875E-2</v>
      </c>
      <c r="M66" s="7">
        <f t="shared" si="8"/>
        <v>1.2641786603514449E-2</v>
      </c>
      <c r="N66" s="7">
        <f t="shared" ref="N66:N129" si="13">IF(G66="","",E66/G66)</f>
        <v>0.94484518908623449</v>
      </c>
      <c r="O66" s="7">
        <f t="shared" ref="O66:O129" si="14">IF(G66="","",F66/G66)</f>
        <v>5.5154810913765465E-2</v>
      </c>
    </row>
    <row r="67" spans="1:15" x14ac:dyDescent="0.2">
      <c r="A67" s="6">
        <v>44021</v>
      </c>
      <c r="B67" s="2" t="s">
        <v>227</v>
      </c>
      <c r="C67" s="5">
        <v>44013</v>
      </c>
      <c r="D67" s="2" t="s">
        <v>177</v>
      </c>
      <c r="E67" s="4">
        <f>IF(SUMIFS('Daily NSE Equity Cash'!$H:$H,'Daily NSE Equity Cash'!$A:$A,$A67)=0,"",SUMIFS('Daily NSE Equity Cash'!$H:$H,'Daily NSE Equity Cash'!$A:$A,$A67))</f>
        <v>527.23760000000004</v>
      </c>
      <c r="F67" s="4">
        <f>IF(SUMIFS('Daily BSE Equity Cash'!$H:$H,'Daily BSE Equity Cash'!$A:$A,$A67)=0,"",SUMIFS('Daily BSE Equity Cash'!$H:$H,'Daily BSE Equity Cash'!$A:$A,$A67))</f>
        <v>29.200399999999998</v>
      </c>
      <c r="G67" s="4">
        <f t="shared" si="9"/>
        <v>556.43799999999999</v>
      </c>
      <c r="H67" s="7" t="str">
        <f t="shared" si="10"/>
        <v/>
      </c>
      <c r="I67" s="7" t="str">
        <f t="shared" si="11"/>
        <v/>
      </c>
      <c r="J67" s="7" t="str">
        <f t="shared" si="12"/>
        <v/>
      </c>
      <c r="K67" s="7">
        <f t="shared" ref="K67:K130" si="15">IF(OR(E67="",E66=""),"",E67/E66-1)</f>
        <v>-0.20208025483182224</v>
      </c>
      <c r="L67" s="7">
        <f t="shared" ref="L67:L130" si="16">IF(OR(F67="",F66=""),"",F67/F66-1)</f>
        <v>-0.24295988260853796</v>
      </c>
      <c r="M67" s="7">
        <f t="shared" ref="M67:M130" si="17">IF(OR(G67="",G66=""),"",G67/G66-1)</f>
        <v>-0.20433496297207221</v>
      </c>
      <c r="N67" s="7">
        <f t="shared" si="13"/>
        <v>0.94752263504649226</v>
      </c>
      <c r="O67" s="7">
        <f t="shared" si="14"/>
        <v>5.2477364953507848E-2</v>
      </c>
    </row>
    <row r="68" spans="1:15" x14ac:dyDescent="0.2">
      <c r="A68" s="6">
        <v>44022</v>
      </c>
      <c r="B68" s="2" t="s">
        <v>225</v>
      </c>
      <c r="C68" s="5">
        <v>44013</v>
      </c>
      <c r="D68" s="2" t="s">
        <v>177</v>
      </c>
      <c r="E68" s="4">
        <f>IF(SUMIFS('Daily NSE Equity Cash'!$H:$H,'Daily NSE Equity Cash'!$A:$A,$A68)=0,"",SUMIFS('Daily NSE Equity Cash'!$H:$H,'Daily NSE Equity Cash'!$A:$A,$A68))</f>
        <v>541.60220000000004</v>
      </c>
      <c r="F68" s="4">
        <f>IF(SUMIFS('Daily BSE Equity Cash'!$H:$H,'Daily BSE Equity Cash'!$A:$A,$A68)=0,"",SUMIFS('Daily BSE Equity Cash'!$H:$H,'Daily BSE Equity Cash'!$A:$A,$A68))</f>
        <v>34.589500000000001</v>
      </c>
      <c r="G68" s="4">
        <f t="shared" si="9"/>
        <v>576.19170000000008</v>
      </c>
      <c r="H68" s="7" t="str">
        <f t="shared" si="10"/>
        <v/>
      </c>
      <c r="I68" s="7" t="str">
        <f t="shared" si="11"/>
        <v/>
      </c>
      <c r="J68" s="7" t="str">
        <f t="shared" si="12"/>
        <v/>
      </c>
      <c r="K68" s="7">
        <f t="shared" si="15"/>
        <v>2.7245021978705708E-2</v>
      </c>
      <c r="L68" s="7">
        <f t="shared" si="16"/>
        <v>0.18455569101793134</v>
      </c>
      <c r="M68" s="7">
        <f t="shared" si="17"/>
        <v>3.5500271368957614E-2</v>
      </c>
      <c r="N68" s="7">
        <f t="shared" si="13"/>
        <v>0.93996876386799733</v>
      </c>
      <c r="O68" s="7">
        <f t="shared" si="14"/>
        <v>6.0031236132002591E-2</v>
      </c>
    </row>
    <row r="69" spans="1:15" x14ac:dyDescent="0.2">
      <c r="A69" s="6">
        <v>44025</v>
      </c>
      <c r="B69" s="2" t="s">
        <v>228</v>
      </c>
      <c r="C69" s="5">
        <v>44013</v>
      </c>
      <c r="D69" s="2" t="s">
        <v>177</v>
      </c>
      <c r="E69" s="4">
        <f>IF(SUMIFS('Daily NSE Equity Cash'!$H:$H,'Daily NSE Equity Cash'!$A:$A,$A69)=0,"",SUMIFS('Daily NSE Equity Cash'!$H:$H,'Daily NSE Equity Cash'!$A:$A,$A69))</f>
        <v>523.5462</v>
      </c>
      <c r="F69" s="4">
        <f>IF(SUMIFS('Daily BSE Equity Cash'!$H:$H,'Daily BSE Equity Cash'!$A:$A,$A69)=0,"",SUMIFS('Daily BSE Equity Cash'!$H:$H,'Daily BSE Equity Cash'!$A:$A,$A69))</f>
        <v>31.931000000000001</v>
      </c>
      <c r="G69" s="4">
        <f t="shared" si="9"/>
        <v>555.47720000000004</v>
      </c>
      <c r="H69" s="7" t="str">
        <f t="shared" si="10"/>
        <v/>
      </c>
      <c r="I69" s="7" t="str">
        <f t="shared" si="11"/>
        <v/>
      </c>
      <c r="J69" s="7" t="str">
        <f t="shared" si="12"/>
        <v/>
      </c>
      <c r="K69" s="7">
        <f t="shared" si="15"/>
        <v>-3.3338121595517967E-2</v>
      </c>
      <c r="L69" s="7">
        <f t="shared" si="16"/>
        <v>-7.6858584252446516E-2</v>
      </c>
      <c r="M69" s="7">
        <f t="shared" si="17"/>
        <v>-3.5950708765850048E-2</v>
      </c>
      <c r="N69" s="7">
        <f t="shared" si="13"/>
        <v>0.94251609246968182</v>
      </c>
      <c r="O69" s="7">
        <f t="shared" si="14"/>
        <v>5.7483907530318075E-2</v>
      </c>
    </row>
    <row r="70" spans="1:15" x14ac:dyDescent="0.2">
      <c r="A70" s="6">
        <v>44026</v>
      </c>
      <c r="B70" s="2" t="s">
        <v>226</v>
      </c>
      <c r="C70" s="5">
        <v>44013</v>
      </c>
      <c r="D70" s="2" t="s">
        <v>177</v>
      </c>
      <c r="E70" s="4">
        <f>IF(SUMIFS('Daily NSE Equity Cash'!$H:$H,'Daily NSE Equity Cash'!$A:$A,$A70)=0,"",SUMIFS('Daily NSE Equity Cash'!$H:$H,'Daily NSE Equity Cash'!$A:$A,$A70))</f>
        <v>541.08879999999999</v>
      </c>
      <c r="F70" s="4">
        <f>IF(SUMIFS('Daily BSE Equity Cash'!$H:$H,'Daily BSE Equity Cash'!$A:$A,$A70)=0,"",SUMIFS('Daily BSE Equity Cash'!$H:$H,'Daily BSE Equity Cash'!$A:$A,$A70))</f>
        <v>30.9297</v>
      </c>
      <c r="G70" s="4">
        <f t="shared" si="9"/>
        <v>572.01850000000002</v>
      </c>
      <c r="H70" s="7" t="str">
        <f t="shared" si="10"/>
        <v/>
      </c>
      <c r="I70" s="7" t="str">
        <f t="shared" si="11"/>
        <v/>
      </c>
      <c r="J70" s="7" t="str">
        <f t="shared" si="12"/>
        <v/>
      </c>
      <c r="K70" s="7">
        <f t="shared" si="15"/>
        <v>3.3507262587332276E-2</v>
      </c>
      <c r="L70" s="7">
        <f t="shared" si="16"/>
        <v>-3.1358241207603887E-2</v>
      </c>
      <c r="M70" s="7">
        <f t="shared" si="17"/>
        <v>2.9778539965276574E-2</v>
      </c>
      <c r="N70" s="7">
        <f t="shared" si="13"/>
        <v>0.94592884670688093</v>
      </c>
      <c r="O70" s="7">
        <f t="shared" si="14"/>
        <v>5.4071153293119012E-2</v>
      </c>
    </row>
    <row r="71" spans="1:15" x14ac:dyDescent="0.2">
      <c r="A71" s="6">
        <v>44027</v>
      </c>
      <c r="B71" s="2" t="s">
        <v>224</v>
      </c>
      <c r="C71" s="5">
        <v>44013</v>
      </c>
      <c r="D71" s="2" t="s">
        <v>177</v>
      </c>
      <c r="E71" s="4">
        <f>IF(SUMIFS('Daily NSE Equity Cash'!$H:$H,'Daily NSE Equity Cash'!$A:$A,$A71)=0,"",SUMIFS('Daily NSE Equity Cash'!$H:$H,'Daily NSE Equity Cash'!$A:$A,$A71))</f>
        <v>640.36860000000001</v>
      </c>
      <c r="F71" s="4">
        <f>IF(SUMIFS('Daily BSE Equity Cash'!$H:$H,'Daily BSE Equity Cash'!$A:$A,$A71)=0,"",SUMIFS('Daily BSE Equity Cash'!$H:$H,'Daily BSE Equity Cash'!$A:$A,$A71))</f>
        <v>35.831899999999997</v>
      </c>
      <c r="G71" s="4">
        <f t="shared" si="9"/>
        <v>676.20050000000003</v>
      </c>
      <c r="H71" s="7" t="str">
        <f t="shared" si="10"/>
        <v/>
      </c>
      <c r="I71" s="7" t="str">
        <f t="shared" si="11"/>
        <v/>
      </c>
      <c r="J71" s="7" t="str">
        <f t="shared" si="12"/>
        <v/>
      </c>
      <c r="K71" s="7">
        <f t="shared" si="15"/>
        <v>0.18348152835541964</v>
      </c>
      <c r="L71" s="7">
        <f t="shared" si="16"/>
        <v>0.15849490942362832</v>
      </c>
      <c r="M71" s="7">
        <f t="shared" si="17"/>
        <v>0.1821304730528821</v>
      </c>
      <c r="N71" s="7">
        <f t="shared" si="13"/>
        <v>0.94700994749338396</v>
      </c>
      <c r="O71" s="7">
        <f t="shared" si="14"/>
        <v>5.2990052506616002E-2</v>
      </c>
    </row>
    <row r="72" spans="1:15" x14ac:dyDescent="0.2">
      <c r="A72" s="6">
        <v>44028</v>
      </c>
      <c r="B72" s="2" t="s">
        <v>227</v>
      </c>
      <c r="C72" s="5">
        <v>44013</v>
      </c>
      <c r="D72" s="2" t="s">
        <v>177</v>
      </c>
      <c r="E72" s="4">
        <f>IF(SUMIFS('Daily NSE Equity Cash'!$H:$H,'Daily NSE Equity Cash'!$A:$A,$A72)=0,"",SUMIFS('Daily NSE Equity Cash'!$H:$H,'Daily NSE Equity Cash'!$A:$A,$A72))</f>
        <v>612.49779999999998</v>
      </c>
      <c r="F72" s="4">
        <f>IF(SUMIFS('Daily BSE Equity Cash'!$H:$H,'Daily BSE Equity Cash'!$A:$A,$A72)=0,"",SUMIFS('Daily BSE Equity Cash'!$H:$H,'Daily BSE Equity Cash'!$A:$A,$A72))</f>
        <v>34.195599999999999</v>
      </c>
      <c r="G72" s="4">
        <f t="shared" si="9"/>
        <v>646.6934</v>
      </c>
      <c r="H72" s="7" t="str">
        <f t="shared" si="10"/>
        <v/>
      </c>
      <c r="I72" s="7" t="str">
        <f t="shared" si="11"/>
        <v/>
      </c>
      <c r="J72" s="7" t="str">
        <f t="shared" si="12"/>
        <v/>
      </c>
      <c r="K72" s="7">
        <f t="shared" si="15"/>
        <v>-4.352305843853066E-2</v>
      </c>
      <c r="L72" s="7">
        <f t="shared" si="16"/>
        <v>-4.5666012687019086E-2</v>
      </c>
      <c r="M72" s="7">
        <f t="shared" si="17"/>
        <v>-4.3636613696677262E-2</v>
      </c>
      <c r="N72" s="7">
        <f t="shared" si="13"/>
        <v>0.94712239215677785</v>
      </c>
      <c r="O72" s="7">
        <f t="shared" si="14"/>
        <v>5.2877607843222152E-2</v>
      </c>
    </row>
    <row r="73" spans="1:15" x14ac:dyDescent="0.2">
      <c r="A73" s="6">
        <v>44029</v>
      </c>
      <c r="B73" s="2" t="s">
        <v>225</v>
      </c>
      <c r="C73" s="5">
        <v>44013</v>
      </c>
      <c r="D73" s="2" t="s">
        <v>177</v>
      </c>
      <c r="E73" s="4">
        <f>IF(SUMIFS('Daily NSE Equity Cash'!$H:$H,'Daily NSE Equity Cash'!$A:$A,$A73)=0,"",SUMIFS('Daily NSE Equity Cash'!$H:$H,'Daily NSE Equity Cash'!$A:$A,$A73))</f>
        <v>586.66880000000003</v>
      </c>
      <c r="F73" s="4">
        <f>IF(SUMIFS('Daily BSE Equity Cash'!$H:$H,'Daily BSE Equity Cash'!$A:$A,$A73)=0,"",SUMIFS('Daily BSE Equity Cash'!$H:$H,'Daily BSE Equity Cash'!$A:$A,$A73))</f>
        <v>33.464100000000002</v>
      </c>
      <c r="G73" s="4">
        <f t="shared" si="9"/>
        <v>620.13290000000006</v>
      </c>
      <c r="H73" s="7" t="str">
        <f t="shared" si="10"/>
        <v/>
      </c>
      <c r="I73" s="7" t="str">
        <f t="shared" si="11"/>
        <v/>
      </c>
      <c r="J73" s="7" t="str">
        <f t="shared" si="12"/>
        <v/>
      </c>
      <c r="K73" s="7">
        <f t="shared" si="15"/>
        <v>-4.2169947385933382E-2</v>
      </c>
      <c r="L73" s="7">
        <f t="shared" si="16"/>
        <v>-2.1391641029840036E-2</v>
      </c>
      <c r="M73" s="7">
        <f t="shared" si="17"/>
        <v>-4.1071240250789565E-2</v>
      </c>
      <c r="N73" s="7">
        <f t="shared" si="13"/>
        <v>0.94603721234593419</v>
      </c>
      <c r="O73" s="7">
        <f t="shared" si="14"/>
        <v>5.3962787654065765E-2</v>
      </c>
    </row>
    <row r="74" spans="1:15" x14ac:dyDescent="0.2">
      <c r="A74" s="6">
        <v>44032</v>
      </c>
      <c r="B74" s="2" t="s">
        <v>228</v>
      </c>
      <c r="C74" s="5">
        <v>44013</v>
      </c>
      <c r="D74" s="2" t="s">
        <v>177</v>
      </c>
      <c r="E74" s="4">
        <f>IF(SUMIFS('Daily NSE Equity Cash'!$H:$H,'Daily NSE Equity Cash'!$A:$A,$A74)=0,"",SUMIFS('Daily NSE Equity Cash'!$H:$H,'Daily NSE Equity Cash'!$A:$A,$A74))</f>
        <v>563.33159999999998</v>
      </c>
      <c r="F74" s="4">
        <f>IF(SUMIFS('Daily BSE Equity Cash'!$H:$H,'Daily BSE Equity Cash'!$A:$A,$A74)=0,"",SUMIFS('Daily BSE Equity Cash'!$H:$H,'Daily BSE Equity Cash'!$A:$A,$A74))</f>
        <v>37.353099999999998</v>
      </c>
      <c r="G74" s="4">
        <f t="shared" si="9"/>
        <v>600.68470000000002</v>
      </c>
      <c r="H74" s="7" t="str">
        <f t="shared" si="10"/>
        <v/>
      </c>
      <c r="I74" s="7" t="str">
        <f t="shared" si="11"/>
        <v/>
      </c>
      <c r="J74" s="7" t="str">
        <f t="shared" si="12"/>
        <v/>
      </c>
      <c r="K74" s="7">
        <f t="shared" si="15"/>
        <v>-3.9779173530278156E-2</v>
      </c>
      <c r="L74" s="7">
        <f t="shared" si="16"/>
        <v>0.11621409211662637</v>
      </c>
      <c r="M74" s="7">
        <f t="shared" si="17"/>
        <v>-3.1361342060709951E-2</v>
      </c>
      <c r="N74" s="7">
        <f t="shared" si="13"/>
        <v>0.93781579587427477</v>
      </c>
      <c r="O74" s="7">
        <f t="shared" si="14"/>
        <v>6.2184204125725187E-2</v>
      </c>
    </row>
    <row r="75" spans="1:15" x14ac:dyDescent="0.2">
      <c r="A75" s="6">
        <v>44033</v>
      </c>
      <c r="B75" s="2" t="s">
        <v>226</v>
      </c>
      <c r="C75" s="5">
        <v>44013</v>
      </c>
      <c r="D75" s="2" t="s">
        <v>177</v>
      </c>
      <c r="E75" s="4">
        <f>IF(SUMIFS('Daily NSE Equity Cash'!$H:$H,'Daily NSE Equity Cash'!$A:$A,$A75)=0,"",SUMIFS('Daily NSE Equity Cash'!$H:$H,'Daily NSE Equity Cash'!$A:$A,$A75))</f>
        <v>669.30420000000004</v>
      </c>
      <c r="F75" s="4">
        <f>IF(SUMIFS('Daily BSE Equity Cash'!$H:$H,'Daily BSE Equity Cash'!$A:$A,$A75)=0,"",SUMIFS('Daily BSE Equity Cash'!$H:$H,'Daily BSE Equity Cash'!$A:$A,$A75))</f>
        <v>39.141399999999997</v>
      </c>
      <c r="G75" s="4">
        <f t="shared" si="9"/>
        <v>708.44560000000001</v>
      </c>
      <c r="H75" s="7" t="str">
        <f t="shared" si="10"/>
        <v/>
      </c>
      <c r="I75" s="7" t="str">
        <f t="shared" si="11"/>
        <v/>
      </c>
      <c r="J75" s="7" t="str">
        <f t="shared" si="12"/>
        <v/>
      </c>
      <c r="K75" s="7">
        <f t="shared" si="15"/>
        <v>0.18811762024356526</v>
      </c>
      <c r="L75" s="7">
        <f t="shared" si="16"/>
        <v>4.7875544466188913E-2</v>
      </c>
      <c r="M75" s="7">
        <f t="shared" si="17"/>
        <v>0.17939677837640944</v>
      </c>
      <c r="N75" s="7">
        <f t="shared" si="13"/>
        <v>0.94475030969209217</v>
      </c>
      <c r="O75" s="7">
        <f t="shared" si="14"/>
        <v>5.5249690307907898E-2</v>
      </c>
    </row>
    <row r="76" spans="1:15" x14ac:dyDescent="0.2">
      <c r="A76" s="6">
        <v>44034</v>
      </c>
      <c r="B76" s="2" t="s">
        <v>224</v>
      </c>
      <c r="C76" s="5">
        <v>44013</v>
      </c>
      <c r="D76" s="2" t="s">
        <v>177</v>
      </c>
      <c r="E76" s="4">
        <f>IF(SUMIFS('Daily NSE Equity Cash'!$H:$H,'Daily NSE Equity Cash'!$A:$A,$A76)=0,"",SUMIFS('Daily NSE Equity Cash'!$H:$H,'Daily NSE Equity Cash'!$A:$A,$A76))</f>
        <v>656.68209999999999</v>
      </c>
      <c r="F76" s="4">
        <f>IF(SUMIFS('Daily BSE Equity Cash'!$H:$H,'Daily BSE Equity Cash'!$A:$A,$A76)=0,"",SUMIFS('Daily BSE Equity Cash'!$H:$H,'Daily BSE Equity Cash'!$A:$A,$A76))</f>
        <v>37.622199999999999</v>
      </c>
      <c r="G76" s="4">
        <f t="shared" si="9"/>
        <v>694.30430000000001</v>
      </c>
      <c r="H76" s="7" t="str">
        <f t="shared" si="10"/>
        <v/>
      </c>
      <c r="I76" s="7" t="str">
        <f t="shared" si="11"/>
        <v/>
      </c>
      <c r="J76" s="7" t="str">
        <f t="shared" si="12"/>
        <v/>
      </c>
      <c r="K76" s="7">
        <f t="shared" si="15"/>
        <v>-1.8858539958362841E-2</v>
      </c>
      <c r="L76" s="7">
        <f t="shared" si="16"/>
        <v>-3.8813123700225272E-2</v>
      </c>
      <c r="M76" s="7">
        <f t="shared" si="17"/>
        <v>-1.996102453032389E-2</v>
      </c>
      <c r="N76" s="7">
        <f t="shared" si="13"/>
        <v>0.9458130966494086</v>
      </c>
      <c r="O76" s="7">
        <f t="shared" si="14"/>
        <v>5.4186903350591377E-2</v>
      </c>
    </row>
    <row r="77" spans="1:15" x14ac:dyDescent="0.2">
      <c r="A77" s="6">
        <v>44035</v>
      </c>
      <c r="B77" s="2" t="s">
        <v>227</v>
      </c>
      <c r="C77" s="5">
        <v>44013</v>
      </c>
      <c r="D77" s="2" t="s">
        <v>177</v>
      </c>
      <c r="E77" s="4">
        <f>IF(SUMIFS('Daily NSE Equity Cash'!$H:$H,'Daily NSE Equity Cash'!$A:$A,$A77)=0,"",SUMIFS('Daily NSE Equity Cash'!$H:$H,'Daily NSE Equity Cash'!$A:$A,$A77))</f>
        <v>563.89139999999998</v>
      </c>
      <c r="F77" s="4">
        <f>IF(SUMIFS('Daily BSE Equity Cash'!$H:$H,'Daily BSE Equity Cash'!$A:$A,$A77)=0,"",SUMIFS('Daily BSE Equity Cash'!$H:$H,'Daily BSE Equity Cash'!$A:$A,$A77))</f>
        <v>35.869199999999999</v>
      </c>
      <c r="G77" s="4">
        <f t="shared" si="9"/>
        <v>599.76059999999995</v>
      </c>
      <c r="H77" s="7" t="str">
        <f t="shared" si="10"/>
        <v/>
      </c>
      <c r="I77" s="7" t="str">
        <f t="shared" si="11"/>
        <v/>
      </c>
      <c r="J77" s="7" t="str">
        <f t="shared" si="12"/>
        <v/>
      </c>
      <c r="K77" s="7">
        <f t="shared" si="15"/>
        <v>-0.14130231355476264</v>
      </c>
      <c r="L77" s="7">
        <f t="shared" si="16"/>
        <v>-4.6594829648452296E-2</v>
      </c>
      <c r="M77" s="7">
        <f t="shared" si="17"/>
        <v>-0.13617040827775384</v>
      </c>
      <c r="N77" s="7">
        <f t="shared" si="13"/>
        <v>0.9401941374608469</v>
      </c>
      <c r="O77" s="7">
        <f t="shared" si="14"/>
        <v>5.9805862539153126E-2</v>
      </c>
    </row>
    <row r="78" spans="1:15" x14ac:dyDescent="0.2">
      <c r="A78" s="6">
        <v>44036</v>
      </c>
      <c r="B78" s="2" t="s">
        <v>225</v>
      </c>
      <c r="C78" s="5">
        <v>44013</v>
      </c>
      <c r="D78" s="2" t="s">
        <v>177</v>
      </c>
      <c r="E78" s="4">
        <f>IF(SUMIFS('Daily NSE Equity Cash'!$H:$H,'Daily NSE Equity Cash'!$A:$A,$A78)=0,"",SUMIFS('Daily NSE Equity Cash'!$H:$H,'Daily NSE Equity Cash'!$A:$A,$A78))</f>
        <v>632.8605</v>
      </c>
      <c r="F78" s="4">
        <f>IF(SUMIFS('Daily BSE Equity Cash'!$H:$H,'Daily BSE Equity Cash'!$A:$A,$A78)=0,"",SUMIFS('Daily BSE Equity Cash'!$H:$H,'Daily BSE Equity Cash'!$A:$A,$A78))</f>
        <v>37.3566</v>
      </c>
      <c r="G78" s="4">
        <f t="shared" si="9"/>
        <v>670.21709999999996</v>
      </c>
      <c r="H78" s="7" t="str">
        <f t="shared" si="10"/>
        <v/>
      </c>
      <c r="I78" s="7" t="str">
        <f t="shared" si="11"/>
        <v/>
      </c>
      <c r="J78" s="7" t="str">
        <f t="shared" si="12"/>
        <v/>
      </c>
      <c r="K78" s="7">
        <f t="shared" si="15"/>
        <v>0.12230918932262491</v>
      </c>
      <c r="L78" s="7">
        <f t="shared" si="16"/>
        <v>4.1467331303737032E-2</v>
      </c>
      <c r="M78" s="7">
        <f t="shared" si="17"/>
        <v>0.1174743722745375</v>
      </c>
      <c r="N78" s="7">
        <f t="shared" si="13"/>
        <v>0.94426194139182673</v>
      </c>
      <c r="O78" s="7">
        <f t="shared" si="14"/>
        <v>5.5738058608173387E-2</v>
      </c>
    </row>
    <row r="79" spans="1:15" x14ac:dyDescent="0.2">
      <c r="A79" s="6">
        <v>44039</v>
      </c>
      <c r="B79" s="2" t="s">
        <v>228</v>
      </c>
      <c r="C79" s="5">
        <v>44013</v>
      </c>
      <c r="D79" s="2" t="s">
        <v>177</v>
      </c>
      <c r="E79" s="4">
        <f>IF(SUMIFS('Daily NSE Equity Cash'!$H:$H,'Daily NSE Equity Cash'!$A:$A,$A79)=0,"",SUMIFS('Daily NSE Equity Cash'!$H:$H,'Daily NSE Equity Cash'!$A:$A,$A79))</f>
        <v>563.38720000000001</v>
      </c>
      <c r="F79" s="4">
        <f>IF(SUMIFS('Daily BSE Equity Cash'!$H:$H,'Daily BSE Equity Cash'!$A:$A,$A79)=0,"",SUMIFS('Daily BSE Equity Cash'!$H:$H,'Daily BSE Equity Cash'!$A:$A,$A79))</f>
        <v>33.698999999999998</v>
      </c>
      <c r="G79" s="4">
        <f t="shared" si="9"/>
        <v>597.08619999999996</v>
      </c>
      <c r="H79" s="7" t="str">
        <f t="shared" si="10"/>
        <v/>
      </c>
      <c r="I79" s="7" t="str">
        <f t="shared" si="11"/>
        <v/>
      </c>
      <c r="J79" s="7" t="str">
        <f t="shared" si="12"/>
        <v/>
      </c>
      <c r="K79" s="7">
        <f t="shared" si="15"/>
        <v>-0.10977664113971408</v>
      </c>
      <c r="L79" s="7">
        <f t="shared" si="16"/>
        <v>-9.7910409405566945E-2</v>
      </c>
      <c r="M79" s="7">
        <f t="shared" si="17"/>
        <v>-0.10911524041985798</v>
      </c>
      <c r="N79" s="7">
        <f t="shared" si="13"/>
        <v>0.9435609129804039</v>
      </c>
      <c r="O79" s="7">
        <f t="shared" si="14"/>
        <v>5.6439087019596164E-2</v>
      </c>
    </row>
    <row r="80" spans="1:15" x14ac:dyDescent="0.2">
      <c r="A80" s="6">
        <v>44040</v>
      </c>
      <c r="B80" s="2" t="s">
        <v>226</v>
      </c>
      <c r="C80" s="5">
        <v>44013</v>
      </c>
      <c r="D80" s="2" t="s">
        <v>177</v>
      </c>
      <c r="E80" s="4">
        <f>IF(SUMIFS('Daily NSE Equity Cash'!$H:$H,'Daily NSE Equity Cash'!$A:$A,$A80)=0,"",SUMIFS('Daily NSE Equity Cash'!$H:$H,'Daily NSE Equity Cash'!$A:$A,$A80))</f>
        <v>602.91200000000003</v>
      </c>
      <c r="F80" s="4">
        <f>IF(SUMIFS('Daily BSE Equity Cash'!$H:$H,'Daily BSE Equity Cash'!$A:$A,$A80)=0,"",SUMIFS('Daily BSE Equity Cash'!$H:$H,'Daily BSE Equity Cash'!$A:$A,$A80))</f>
        <v>32.020499999999998</v>
      </c>
      <c r="G80" s="4">
        <f t="shared" si="9"/>
        <v>634.9325</v>
      </c>
      <c r="H80" s="7" t="str">
        <f t="shared" si="10"/>
        <v/>
      </c>
      <c r="I80" s="7" t="str">
        <f t="shared" si="11"/>
        <v/>
      </c>
      <c r="J80" s="7" t="str">
        <f t="shared" si="12"/>
        <v/>
      </c>
      <c r="K80" s="7">
        <f t="shared" si="15"/>
        <v>7.0155658488513906E-2</v>
      </c>
      <c r="L80" s="7">
        <f t="shared" si="16"/>
        <v>-4.9808599661711028E-2</v>
      </c>
      <c r="M80" s="7">
        <f t="shared" si="17"/>
        <v>6.338498528353198E-2</v>
      </c>
      <c r="N80" s="7">
        <f t="shared" si="13"/>
        <v>0.94956865493576093</v>
      </c>
      <c r="O80" s="7">
        <f t="shared" si="14"/>
        <v>5.043134506423911E-2</v>
      </c>
    </row>
    <row r="81" spans="1:15" x14ac:dyDescent="0.2">
      <c r="A81" s="6">
        <v>44041</v>
      </c>
      <c r="B81" s="2" t="s">
        <v>224</v>
      </c>
      <c r="C81" s="5">
        <v>44013</v>
      </c>
      <c r="D81" s="2" t="s">
        <v>177</v>
      </c>
      <c r="E81" s="4">
        <f>IF(SUMIFS('Daily NSE Equity Cash'!$H:$H,'Daily NSE Equity Cash'!$A:$A,$A81)=0,"",SUMIFS('Daily NSE Equity Cash'!$H:$H,'Daily NSE Equity Cash'!$A:$A,$A81))</f>
        <v>625.40859999999998</v>
      </c>
      <c r="F81" s="4">
        <f>IF(SUMIFS('Daily BSE Equity Cash'!$H:$H,'Daily BSE Equity Cash'!$A:$A,$A81)=0,"",SUMIFS('Daily BSE Equity Cash'!$H:$H,'Daily BSE Equity Cash'!$A:$A,$A81))</f>
        <v>35.720300000000002</v>
      </c>
      <c r="G81" s="4">
        <f t="shared" si="9"/>
        <v>661.12889999999993</v>
      </c>
      <c r="H81" s="7" t="str">
        <f t="shared" si="10"/>
        <v/>
      </c>
      <c r="I81" s="7" t="str">
        <f t="shared" si="11"/>
        <v/>
      </c>
      <c r="J81" s="7" t="str">
        <f t="shared" si="12"/>
        <v/>
      </c>
      <c r="K81" s="7">
        <f t="shared" si="15"/>
        <v>3.7313239743113291E-2</v>
      </c>
      <c r="L81" s="7">
        <f t="shared" si="16"/>
        <v>0.11554472915788327</v>
      </c>
      <c r="M81" s="7">
        <f t="shared" si="17"/>
        <v>4.1258558980678872E-2</v>
      </c>
      <c r="N81" s="7">
        <f t="shared" si="13"/>
        <v>0.94597074791315283</v>
      </c>
      <c r="O81" s="7">
        <f t="shared" si="14"/>
        <v>5.4029252086847217E-2</v>
      </c>
    </row>
    <row r="82" spans="1:15" x14ac:dyDescent="0.2">
      <c r="A82" s="6">
        <v>44042</v>
      </c>
      <c r="B82" s="2" t="s">
        <v>227</v>
      </c>
      <c r="C82" s="5">
        <v>44013</v>
      </c>
      <c r="D82" s="2" t="s">
        <v>177</v>
      </c>
      <c r="E82" s="4">
        <f>IF(SUMIFS('Daily NSE Equity Cash'!$H:$H,'Daily NSE Equity Cash'!$A:$A,$A82)=0,"",SUMIFS('Daily NSE Equity Cash'!$H:$H,'Daily NSE Equity Cash'!$A:$A,$A82))</f>
        <v>642.67489999999998</v>
      </c>
      <c r="F82" s="4">
        <f>IF(SUMIFS('Daily BSE Equity Cash'!$H:$H,'Daily BSE Equity Cash'!$A:$A,$A82)=0,"",SUMIFS('Daily BSE Equity Cash'!$H:$H,'Daily BSE Equity Cash'!$A:$A,$A82))</f>
        <v>37.411000000000001</v>
      </c>
      <c r="G82" s="4">
        <f t="shared" si="9"/>
        <v>680.08590000000004</v>
      </c>
      <c r="H82" s="7" t="str">
        <f t="shared" si="10"/>
        <v/>
      </c>
      <c r="I82" s="7" t="str">
        <f t="shared" si="11"/>
        <v/>
      </c>
      <c r="J82" s="7" t="str">
        <f t="shared" si="12"/>
        <v/>
      </c>
      <c r="K82" s="7">
        <f t="shared" si="15"/>
        <v>2.7608030973670594E-2</v>
      </c>
      <c r="L82" s="7">
        <f t="shared" si="16"/>
        <v>4.7331629353616789E-2</v>
      </c>
      <c r="M82" s="7">
        <f t="shared" si="17"/>
        <v>2.8673682242600584E-2</v>
      </c>
      <c r="N82" s="7">
        <f t="shared" si="13"/>
        <v>0.94499077248918106</v>
      </c>
      <c r="O82" s="7">
        <f t="shared" si="14"/>
        <v>5.5009227510818853E-2</v>
      </c>
    </row>
    <row r="83" spans="1:15" x14ac:dyDescent="0.2">
      <c r="A83" s="6">
        <v>44043</v>
      </c>
      <c r="B83" s="2" t="s">
        <v>225</v>
      </c>
      <c r="C83" s="5">
        <v>44013</v>
      </c>
      <c r="D83" s="2" t="s">
        <v>177</v>
      </c>
      <c r="E83" s="4">
        <f>IF(SUMIFS('Daily NSE Equity Cash'!$H:$H,'Daily NSE Equity Cash'!$A:$A,$A83)=0,"",SUMIFS('Daily NSE Equity Cash'!$H:$H,'Daily NSE Equity Cash'!$A:$A,$A83))</f>
        <v>620.89189999999996</v>
      </c>
      <c r="F83" s="4">
        <f>IF(SUMIFS('Daily BSE Equity Cash'!$H:$H,'Daily BSE Equity Cash'!$A:$A,$A83)=0,"",SUMIFS('Daily BSE Equity Cash'!$H:$H,'Daily BSE Equity Cash'!$A:$A,$A83))</f>
        <v>35.1404</v>
      </c>
      <c r="G83" s="4">
        <f t="shared" si="9"/>
        <v>656.03229999999996</v>
      </c>
      <c r="H83" s="7" t="str">
        <f t="shared" si="10"/>
        <v/>
      </c>
      <c r="I83" s="7" t="str">
        <f t="shared" si="11"/>
        <v/>
      </c>
      <c r="J83" s="7" t="str">
        <f t="shared" si="12"/>
        <v/>
      </c>
      <c r="K83" s="7">
        <f t="shared" si="15"/>
        <v>-3.3894275317116085E-2</v>
      </c>
      <c r="L83" s="7">
        <f t="shared" si="16"/>
        <v>-6.0693378952714538E-2</v>
      </c>
      <c r="M83" s="7">
        <f t="shared" si="17"/>
        <v>-3.5368473306092718E-2</v>
      </c>
      <c r="N83" s="7">
        <f t="shared" si="13"/>
        <v>0.9464349544984294</v>
      </c>
      <c r="O83" s="7">
        <f t="shared" si="14"/>
        <v>5.3565045501570582E-2</v>
      </c>
    </row>
    <row r="84" spans="1:15" x14ac:dyDescent="0.2">
      <c r="A84" s="6">
        <v>44046</v>
      </c>
      <c r="B84" s="2" t="s">
        <v>228</v>
      </c>
      <c r="C84" s="5">
        <v>44044</v>
      </c>
      <c r="D84" s="2" t="s">
        <v>177</v>
      </c>
      <c r="E84" s="4">
        <f>IF(SUMIFS('Daily NSE Equity Cash'!$H:$H,'Daily NSE Equity Cash'!$A:$A,$A84)=0,"",SUMIFS('Daily NSE Equity Cash'!$H:$H,'Daily NSE Equity Cash'!$A:$A,$A84))</f>
        <v>584.26949999999999</v>
      </c>
      <c r="F84" s="4">
        <f>IF(SUMIFS('Daily BSE Equity Cash'!$H:$H,'Daily BSE Equity Cash'!$A:$A,$A84)=0,"",SUMIFS('Daily BSE Equity Cash'!$H:$H,'Daily BSE Equity Cash'!$A:$A,$A84))</f>
        <v>154.03460000000001</v>
      </c>
      <c r="G84" s="4">
        <f t="shared" si="9"/>
        <v>738.30410000000006</v>
      </c>
      <c r="H84" s="7" t="str">
        <f t="shared" si="10"/>
        <v/>
      </c>
      <c r="I84" s="7" t="str">
        <f t="shared" si="11"/>
        <v/>
      </c>
      <c r="J84" s="7" t="str">
        <f t="shared" si="12"/>
        <v/>
      </c>
      <c r="K84" s="7">
        <f t="shared" si="15"/>
        <v>-5.8983536425583849E-2</v>
      </c>
      <c r="L84" s="7">
        <f t="shared" si="16"/>
        <v>3.3834048559492782</v>
      </c>
      <c r="M84" s="7">
        <f t="shared" si="17"/>
        <v>0.12540815444605413</v>
      </c>
      <c r="N84" s="7">
        <f t="shared" si="13"/>
        <v>0.79136699904551522</v>
      </c>
      <c r="O84" s="7">
        <f t="shared" si="14"/>
        <v>0.20863300095448475</v>
      </c>
    </row>
    <row r="85" spans="1:15" x14ac:dyDescent="0.2">
      <c r="A85" s="6">
        <v>44047</v>
      </c>
      <c r="B85" s="2" t="s">
        <v>226</v>
      </c>
      <c r="C85" s="5">
        <v>44044</v>
      </c>
      <c r="D85" s="2" t="s">
        <v>177</v>
      </c>
      <c r="E85" s="4">
        <f>IF(SUMIFS('Daily NSE Equity Cash'!$H:$H,'Daily NSE Equity Cash'!$A:$A,$A85)=0,"",SUMIFS('Daily NSE Equity Cash'!$H:$H,'Daily NSE Equity Cash'!$A:$A,$A85))</f>
        <v>586.27710000000002</v>
      </c>
      <c r="F85" s="4">
        <f>IF(SUMIFS('Daily BSE Equity Cash'!$H:$H,'Daily BSE Equity Cash'!$A:$A,$A85)=0,"",SUMIFS('Daily BSE Equity Cash'!$H:$H,'Daily BSE Equity Cash'!$A:$A,$A85))</f>
        <v>34.706000000000003</v>
      </c>
      <c r="G85" s="4">
        <f t="shared" si="9"/>
        <v>620.98310000000004</v>
      </c>
      <c r="H85" s="7" t="str">
        <f t="shared" si="10"/>
        <v/>
      </c>
      <c r="I85" s="7" t="str">
        <f t="shared" si="11"/>
        <v/>
      </c>
      <c r="J85" s="7" t="str">
        <f t="shared" si="12"/>
        <v/>
      </c>
      <c r="K85" s="7">
        <f t="shared" si="15"/>
        <v>3.4360855735238172E-3</v>
      </c>
      <c r="L85" s="7">
        <f t="shared" si="16"/>
        <v>-0.77468698591095764</v>
      </c>
      <c r="M85" s="7">
        <f t="shared" si="17"/>
        <v>-0.15890606594220458</v>
      </c>
      <c r="N85" s="7">
        <f t="shared" si="13"/>
        <v>0.94411120044973851</v>
      </c>
      <c r="O85" s="7">
        <f t="shared" si="14"/>
        <v>5.5888799550261513E-2</v>
      </c>
    </row>
    <row r="86" spans="1:15" x14ac:dyDescent="0.2">
      <c r="A86" s="6">
        <v>44048</v>
      </c>
      <c r="B86" s="2" t="s">
        <v>224</v>
      </c>
      <c r="C86" s="5">
        <v>44044</v>
      </c>
      <c r="D86" s="2" t="s">
        <v>177</v>
      </c>
      <c r="E86" s="4">
        <f>IF(SUMIFS('Daily NSE Equity Cash'!$H:$H,'Daily NSE Equity Cash'!$A:$A,$A86)=0,"",SUMIFS('Daily NSE Equity Cash'!$H:$H,'Daily NSE Equity Cash'!$A:$A,$A86))</f>
        <v>609.01480000000004</v>
      </c>
      <c r="F86" s="4">
        <f>IF(SUMIFS('Daily BSE Equity Cash'!$H:$H,'Daily BSE Equity Cash'!$A:$A,$A86)=0,"",SUMIFS('Daily BSE Equity Cash'!$H:$H,'Daily BSE Equity Cash'!$A:$A,$A86))</f>
        <v>38.816099999999999</v>
      </c>
      <c r="G86" s="4">
        <f t="shared" si="9"/>
        <v>647.83090000000004</v>
      </c>
      <c r="H86" s="7" t="str">
        <f t="shared" si="10"/>
        <v/>
      </c>
      <c r="I86" s="7" t="str">
        <f t="shared" si="11"/>
        <v/>
      </c>
      <c r="J86" s="7" t="str">
        <f t="shared" si="12"/>
        <v/>
      </c>
      <c r="K86" s="7">
        <f t="shared" si="15"/>
        <v>3.8783196546479548E-2</v>
      </c>
      <c r="L86" s="7">
        <f t="shared" si="16"/>
        <v>0.1184262087247161</v>
      </c>
      <c r="M86" s="7">
        <f t="shared" si="17"/>
        <v>4.3234348889688023E-2</v>
      </c>
      <c r="N86" s="7">
        <f t="shared" si="13"/>
        <v>0.94008297535668639</v>
      </c>
      <c r="O86" s="7">
        <f t="shared" si="14"/>
        <v>5.9917024643313548E-2</v>
      </c>
    </row>
    <row r="87" spans="1:15" x14ac:dyDescent="0.2">
      <c r="A87" s="6">
        <v>44049</v>
      </c>
      <c r="B87" s="2" t="s">
        <v>227</v>
      </c>
      <c r="C87" s="5">
        <v>44044</v>
      </c>
      <c r="D87" s="2" t="s">
        <v>177</v>
      </c>
      <c r="E87" s="4">
        <f>IF(SUMIFS('Daily NSE Equity Cash'!$H:$H,'Daily NSE Equity Cash'!$A:$A,$A87)=0,"",SUMIFS('Daily NSE Equity Cash'!$H:$H,'Daily NSE Equity Cash'!$A:$A,$A87))</f>
        <v>580.50329999999997</v>
      </c>
      <c r="F87" s="4">
        <f>IF(SUMIFS('Daily BSE Equity Cash'!$H:$H,'Daily BSE Equity Cash'!$A:$A,$A87)=0,"",SUMIFS('Daily BSE Equity Cash'!$H:$H,'Daily BSE Equity Cash'!$A:$A,$A87))</f>
        <v>34.540999999999997</v>
      </c>
      <c r="G87" s="4">
        <f t="shared" si="9"/>
        <v>615.04430000000002</v>
      </c>
      <c r="H87" s="7" t="str">
        <f t="shared" si="10"/>
        <v/>
      </c>
      <c r="I87" s="7" t="str">
        <f t="shared" si="11"/>
        <v/>
      </c>
      <c r="J87" s="7" t="str">
        <f t="shared" si="12"/>
        <v/>
      </c>
      <c r="K87" s="7">
        <f t="shared" si="15"/>
        <v>-4.6815775248811753E-2</v>
      </c>
      <c r="L87" s="7">
        <f t="shared" si="16"/>
        <v>-0.11013728839321835</v>
      </c>
      <c r="M87" s="7">
        <f t="shared" si="17"/>
        <v>-5.0609811912337044E-2</v>
      </c>
      <c r="N87" s="7">
        <f t="shared" si="13"/>
        <v>0.94383981771719527</v>
      </c>
      <c r="O87" s="7">
        <f t="shared" si="14"/>
        <v>5.6160182282804665E-2</v>
      </c>
    </row>
    <row r="88" spans="1:15" x14ac:dyDescent="0.2">
      <c r="A88" s="6">
        <v>44050</v>
      </c>
      <c r="B88" s="2" t="s">
        <v>225</v>
      </c>
      <c r="C88" s="5">
        <v>44044</v>
      </c>
      <c r="D88" s="2" t="s">
        <v>177</v>
      </c>
      <c r="E88" s="4">
        <f>IF(SUMIFS('Daily NSE Equity Cash'!$H:$H,'Daily NSE Equity Cash'!$A:$A,$A88)=0,"",SUMIFS('Daily NSE Equity Cash'!$H:$H,'Daily NSE Equity Cash'!$A:$A,$A88))</f>
        <v>592.08100000000002</v>
      </c>
      <c r="F88" s="4">
        <f>IF(SUMIFS('Daily BSE Equity Cash'!$H:$H,'Daily BSE Equity Cash'!$A:$A,$A88)=0,"",SUMIFS('Daily BSE Equity Cash'!$H:$H,'Daily BSE Equity Cash'!$A:$A,$A88))</f>
        <v>37.506399999999999</v>
      </c>
      <c r="G88" s="4">
        <f t="shared" si="9"/>
        <v>629.5874</v>
      </c>
      <c r="H88" s="7" t="str">
        <f t="shared" si="10"/>
        <v/>
      </c>
      <c r="I88" s="7" t="str">
        <f t="shared" si="11"/>
        <v/>
      </c>
      <c r="J88" s="7" t="str">
        <f t="shared" si="12"/>
        <v/>
      </c>
      <c r="K88" s="7">
        <f t="shared" si="15"/>
        <v>1.9944244933663757E-2</v>
      </c>
      <c r="L88" s="7">
        <f t="shared" si="16"/>
        <v>8.5851596653252704E-2</v>
      </c>
      <c r="M88" s="7">
        <f t="shared" si="17"/>
        <v>2.3645613820012512E-2</v>
      </c>
      <c r="N88" s="7">
        <f t="shared" si="13"/>
        <v>0.94042701616963742</v>
      </c>
      <c r="O88" s="7">
        <f t="shared" si="14"/>
        <v>5.9572983830362553E-2</v>
      </c>
    </row>
    <row r="89" spans="1:15" x14ac:dyDescent="0.2">
      <c r="A89" s="6">
        <v>44053</v>
      </c>
      <c r="B89" s="2" t="s">
        <v>228</v>
      </c>
      <c r="C89" s="5">
        <v>44044</v>
      </c>
      <c r="D89" s="2" t="s">
        <v>177</v>
      </c>
      <c r="E89" s="4">
        <f>IF(SUMIFS('Daily NSE Equity Cash'!$H:$H,'Daily NSE Equity Cash'!$A:$A,$A89)=0,"",SUMIFS('Daily NSE Equity Cash'!$H:$H,'Daily NSE Equity Cash'!$A:$A,$A89))</f>
        <v>607.27930000000003</v>
      </c>
      <c r="F89" s="4">
        <f>IF(SUMIFS('Daily BSE Equity Cash'!$H:$H,'Daily BSE Equity Cash'!$A:$A,$A89)=0,"",SUMIFS('Daily BSE Equity Cash'!$H:$H,'Daily BSE Equity Cash'!$A:$A,$A89))</f>
        <v>40.821100000000001</v>
      </c>
      <c r="G89" s="4">
        <f t="shared" si="9"/>
        <v>648.10040000000004</v>
      </c>
      <c r="H89" s="7" t="str">
        <f t="shared" si="10"/>
        <v/>
      </c>
      <c r="I89" s="7" t="str">
        <f t="shared" si="11"/>
        <v/>
      </c>
      <c r="J89" s="7" t="str">
        <f t="shared" si="12"/>
        <v/>
      </c>
      <c r="K89" s="7">
        <f t="shared" si="15"/>
        <v>2.5669291870537903E-2</v>
      </c>
      <c r="L89" s="7">
        <f t="shared" si="16"/>
        <v>8.8376917006164346E-2</v>
      </c>
      <c r="M89" s="7">
        <f t="shared" si="17"/>
        <v>2.9404972208783242E-2</v>
      </c>
      <c r="N89" s="7">
        <f t="shared" si="13"/>
        <v>0.9370142342143285</v>
      </c>
      <c r="O89" s="7">
        <f t="shared" si="14"/>
        <v>6.2985765785671471E-2</v>
      </c>
    </row>
    <row r="90" spans="1:15" x14ac:dyDescent="0.2">
      <c r="A90" s="6">
        <v>44054</v>
      </c>
      <c r="B90" s="2" t="s">
        <v>226</v>
      </c>
      <c r="C90" s="5">
        <v>44044</v>
      </c>
      <c r="D90" s="2" t="s">
        <v>177</v>
      </c>
      <c r="E90" s="4">
        <f>IF(SUMIFS('Daily NSE Equity Cash'!$H:$H,'Daily NSE Equity Cash'!$A:$A,$A90)=0,"",SUMIFS('Daily NSE Equity Cash'!$H:$H,'Daily NSE Equity Cash'!$A:$A,$A90))</f>
        <v>581.19349999999997</v>
      </c>
      <c r="F90" s="4">
        <f>IF(SUMIFS('Daily BSE Equity Cash'!$H:$H,'Daily BSE Equity Cash'!$A:$A,$A90)=0,"",SUMIFS('Daily BSE Equity Cash'!$H:$H,'Daily BSE Equity Cash'!$A:$A,$A90))</f>
        <v>34.287799999999997</v>
      </c>
      <c r="G90" s="4">
        <f t="shared" si="9"/>
        <v>615.48129999999992</v>
      </c>
      <c r="H90" s="7" t="str">
        <f t="shared" si="10"/>
        <v/>
      </c>
      <c r="I90" s="7" t="str">
        <f t="shared" si="11"/>
        <v/>
      </c>
      <c r="J90" s="7" t="str">
        <f t="shared" si="12"/>
        <v/>
      </c>
      <c r="K90" s="7">
        <f t="shared" si="15"/>
        <v>-4.2955193763396959E-2</v>
      </c>
      <c r="L90" s="7">
        <f t="shared" si="16"/>
        <v>-0.16004713248785563</v>
      </c>
      <c r="M90" s="7">
        <f t="shared" si="17"/>
        <v>-5.0330319191285944E-2</v>
      </c>
      <c r="N90" s="7">
        <f t="shared" si="13"/>
        <v>0.94429107756807562</v>
      </c>
      <c r="O90" s="7">
        <f t="shared" si="14"/>
        <v>5.5708922431924414E-2</v>
      </c>
    </row>
    <row r="91" spans="1:15" x14ac:dyDescent="0.2">
      <c r="A91" s="6">
        <v>44055</v>
      </c>
      <c r="B91" s="2" t="s">
        <v>224</v>
      </c>
      <c r="C91" s="5">
        <v>44044</v>
      </c>
      <c r="D91" s="2" t="s">
        <v>177</v>
      </c>
      <c r="E91" s="4">
        <f>IF(SUMIFS('Daily NSE Equity Cash'!$H:$H,'Daily NSE Equity Cash'!$A:$A,$A91)=0,"",SUMIFS('Daily NSE Equity Cash'!$H:$H,'Daily NSE Equity Cash'!$A:$A,$A91))</f>
        <v>550.08730000000003</v>
      </c>
      <c r="F91" s="4">
        <f>IF(SUMIFS('Daily BSE Equity Cash'!$H:$H,'Daily BSE Equity Cash'!$A:$A,$A91)=0,"",SUMIFS('Daily BSE Equity Cash'!$H:$H,'Daily BSE Equity Cash'!$A:$A,$A91))</f>
        <v>42.8842</v>
      </c>
      <c r="G91" s="4">
        <f t="shared" si="9"/>
        <v>592.97149999999999</v>
      </c>
      <c r="H91" s="7" t="str">
        <f t="shared" si="10"/>
        <v/>
      </c>
      <c r="I91" s="7" t="str">
        <f t="shared" si="11"/>
        <v/>
      </c>
      <c r="J91" s="7" t="str">
        <f t="shared" si="12"/>
        <v/>
      </c>
      <c r="K91" s="7">
        <f t="shared" si="15"/>
        <v>-5.352124550601467E-2</v>
      </c>
      <c r="L91" s="7">
        <f t="shared" si="16"/>
        <v>0.25071308162086825</v>
      </c>
      <c r="M91" s="7">
        <f t="shared" si="17"/>
        <v>-3.6572678974974404E-2</v>
      </c>
      <c r="N91" s="7">
        <f t="shared" si="13"/>
        <v>0.92767915490036201</v>
      </c>
      <c r="O91" s="7">
        <f t="shared" si="14"/>
        <v>7.2320845099638015E-2</v>
      </c>
    </row>
    <row r="92" spans="1:15" x14ac:dyDescent="0.2">
      <c r="A92" s="6">
        <v>44056</v>
      </c>
      <c r="B92" s="2" t="s">
        <v>227</v>
      </c>
      <c r="C92" s="5">
        <v>44044</v>
      </c>
      <c r="D92" s="2" t="s">
        <v>177</v>
      </c>
      <c r="E92" s="4">
        <f>IF(SUMIFS('Daily NSE Equity Cash'!$H:$H,'Daily NSE Equity Cash'!$A:$A,$A92)=0,"",SUMIFS('Daily NSE Equity Cash'!$H:$H,'Daily NSE Equity Cash'!$A:$A,$A92))</f>
        <v>582.65689999999995</v>
      </c>
      <c r="F92" s="4">
        <f>IF(SUMIFS('Daily BSE Equity Cash'!$H:$H,'Daily BSE Equity Cash'!$A:$A,$A92)=0,"",SUMIFS('Daily BSE Equity Cash'!$H:$H,'Daily BSE Equity Cash'!$A:$A,$A92))</f>
        <v>39.538600000000002</v>
      </c>
      <c r="G92" s="4">
        <f t="shared" si="9"/>
        <v>622.19549999999992</v>
      </c>
      <c r="H92" s="7" t="str">
        <f t="shared" si="10"/>
        <v/>
      </c>
      <c r="I92" s="7" t="str">
        <f t="shared" si="11"/>
        <v/>
      </c>
      <c r="J92" s="7" t="str">
        <f t="shared" si="12"/>
        <v/>
      </c>
      <c r="K92" s="7">
        <f t="shared" si="15"/>
        <v>5.9208056612104931E-2</v>
      </c>
      <c r="L92" s="7">
        <f t="shared" si="16"/>
        <v>-7.8014746689923031E-2</v>
      </c>
      <c r="M92" s="7">
        <f t="shared" si="17"/>
        <v>4.9283987510360783E-2</v>
      </c>
      <c r="N92" s="7">
        <f t="shared" si="13"/>
        <v>0.93645309231583962</v>
      </c>
      <c r="O92" s="7">
        <f t="shared" si="14"/>
        <v>6.3546907684160381E-2</v>
      </c>
    </row>
    <row r="93" spans="1:15" x14ac:dyDescent="0.2">
      <c r="A93" s="6">
        <v>44057</v>
      </c>
      <c r="B93" s="2" t="s">
        <v>225</v>
      </c>
      <c r="C93" s="5">
        <v>44044</v>
      </c>
      <c r="D93" s="2" t="s">
        <v>177</v>
      </c>
      <c r="E93" s="4">
        <f>IF(SUMIFS('Daily NSE Equity Cash'!$H:$H,'Daily NSE Equity Cash'!$A:$A,$A93)=0,"",SUMIFS('Daily NSE Equity Cash'!$H:$H,'Daily NSE Equity Cash'!$A:$A,$A93))</f>
        <v>651.58870000000002</v>
      </c>
      <c r="F93" s="4">
        <f>IF(SUMIFS('Daily BSE Equity Cash'!$H:$H,'Daily BSE Equity Cash'!$A:$A,$A93)=0,"",SUMIFS('Daily BSE Equity Cash'!$H:$H,'Daily BSE Equity Cash'!$A:$A,$A93))</f>
        <v>39.853499999999997</v>
      </c>
      <c r="G93" s="4">
        <f t="shared" si="9"/>
        <v>691.44219999999996</v>
      </c>
      <c r="H93" s="7" t="str">
        <f t="shared" si="10"/>
        <v/>
      </c>
      <c r="I93" s="7" t="str">
        <f t="shared" si="11"/>
        <v/>
      </c>
      <c r="J93" s="7" t="str">
        <f t="shared" si="12"/>
        <v/>
      </c>
      <c r="K93" s="7">
        <f t="shared" si="15"/>
        <v>0.11830598762324795</v>
      </c>
      <c r="L93" s="7">
        <f t="shared" si="16"/>
        <v>7.9643689963730946E-3</v>
      </c>
      <c r="M93" s="7">
        <f t="shared" si="17"/>
        <v>0.11129411897064512</v>
      </c>
      <c r="N93" s="7">
        <f t="shared" si="13"/>
        <v>0.9423617765881227</v>
      </c>
      <c r="O93" s="7">
        <f t="shared" si="14"/>
        <v>5.7638223411877375E-2</v>
      </c>
    </row>
    <row r="94" spans="1:15" x14ac:dyDescent="0.2">
      <c r="A94" s="6">
        <v>44060</v>
      </c>
      <c r="B94" s="2" t="s">
        <v>228</v>
      </c>
      <c r="C94" s="5">
        <v>44044</v>
      </c>
      <c r="D94" s="2" t="s">
        <v>177</v>
      </c>
      <c r="E94" s="4">
        <f>IF(SUMIFS('Daily NSE Equity Cash'!$H:$H,'Daily NSE Equity Cash'!$A:$A,$A94)=0,"",SUMIFS('Daily NSE Equity Cash'!$H:$H,'Daily NSE Equity Cash'!$A:$A,$A94))</f>
        <v>509.26429999999999</v>
      </c>
      <c r="F94" s="4">
        <f>IF(SUMIFS('Daily BSE Equity Cash'!$H:$H,'Daily BSE Equity Cash'!$A:$A,$A94)=0,"",SUMIFS('Daily BSE Equity Cash'!$H:$H,'Daily BSE Equity Cash'!$A:$A,$A94))</f>
        <v>32.470500000000001</v>
      </c>
      <c r="G94" s="4">
        <f t="shared" si="9"/>
        <v>541.73479999999995</v>
      </c>
      <c r="H94" s="7" t="str">
        <f t="shared" si="10"/>
        <v/>
      </c>
      <c r="I94" s="7" t="str">
        <f t="shared" si="11"/>
        <v/>
      </c>
      <c r="J94" s="7" t="str">
        <f t="shared" si="12"/>
        <v/>
      </c>
      <c r="K94" s="7">
        <f t="shared" si="15"/>
        <v>-0.2184267468112937</v>
      </c>
      <c r="L94" s="7">
        <f t="shared" si="16"/>
        <v>-0.18525349091045951</v>
      </c>
      <c r="M94" s="7">
        <f t="shared" si="17"/>
        <v>-0.21651469927638201</v>
      </c>
      <c r="N94" s="7">
        <f t="shared" si="13"/>
        <v>0.94006200081663582</v>
      </c>
      <c r="O94" s="7">
        <f t="shared" si="14"/>
        <v>5.9937999183364267E-2</v>
      </c>
    </row>
    <row r="95" spans="1:15" x14ac:dyDescent="0.2">
      <c r="A95" s="6">
        <v>44061</v>
      </c>
      <c r="B95" s="2" t="s">
        <v>226</v>
      </c>
      <c r="C95" s="5">
        <v>44044</v>
      </c>
      <c r="D95" s="2" t="s">
        <v>177</v>
      </c>
      <c r="E95" s="4">
        <f>IF(SUMIFS('Daily NSE Equity Cash'!$H:$H,'Daily NSE Equity Cash'!$A:$A,$A95)=0,"",SUMIFS('Daily NSE Equity Cash'!$H:$H,'Daily NSE Equity Cash'!$A:$A,$A95))</f>
        <v>535.03129999999999</v>
      </c>
      <c r="F95" s="4">
        <f>IF(SUMIFS('Daily BSE Equity Cash'!$H:$H,'Daily BSE Equity Cash'!$A:$A,$A95)=0,"",SUMIFS('Daily BSE Equity Cash'!$H:$H,'Daily BSE Equity Cash'!$A:$A,$A95))</f>
        <v>31.507200000000001</v>
      </c>
      <c r="G95" s="4">
        <f t="shared" si="9"/>
        <v>566.5385</v>
      </c>
      <c r="H95" s="7" t="str">
        <f t="shared" si="10"/>
        <v/>
      </c>
      <c r="I95" s="7" t="str">
        <f t="shared" si="11"/>
        <v/>
      </c>
      <c r="J95" s="7" t="str">
        <f t="shared" si="12"/>
        <v/>
      </c>
      <c r="K95" s="7">
        <f t="shared" si="15"/>
        <v>5.0596517368289851E-2</v>
      </c>
      <c r="L95" s="7">
        <f t="shared" si="16"/>
        <v>-2.9666928442740326E-2</v>
      </c>
      <c r="M95" s="7">
        <f t="shared" si="17"/>
        <v>4.5785687018814469E-2</v>
      </c>
      <c r="N95" s="7">
        <f t="shared" si="13"/>
        <v>0.94438648035393891</v>
      </c>
      <c r="O95" s="7">
        <f t="shared" si="14"/>
        <v>5.5613519646061128E-2</v>
      </c>
    </row>
    <row r="96" spans="1:15" x14ac:dyDescent="0.2">
      <c r="A96" s="6">
        <v>44062</v>
      </c>
      <c r="B96" s="2" t="s">
        <v>224</v>
      </c>
      <c r="C96" s="5">
        <v>44044</v>
      </c>
      <c r="D96" s="2" t="s">
        <v>177</v>
      </c>
      <c r="E96" s="4">
        <f>IF(SUMIFS('Daily NSE Equity Cash'!$H:$H,'Daily NSE Equity Cash'!$A:$A,$A96)=0,"",SUMIFS('Daily NSE Equity Cash'!$H:$H,'Daily NSE Equity Cash'!$A:$A,$A96))</f>
        <v>566.12369999999999</v>
      </c>
      <c r="F96" s="4">
        <f>IF(SUMIFS('Daily BSE Equity Cash'!$H:$H,'Daily BSE Equity Cash'!$A:$A,$A96)=0,"",SUMIFS('Daily BSE Equity Cash'!$H:$H,'Daily BSE Equity Cash'!$A:$A,$A96))</f>
        <v>33.988999999999997</v>
      </c>
      <c r="G96" s="4">
        <f t="shared" si="9"/>
        <v>600.11270000000002</v>
      </c>
      <c r="H96" s="7" t="str">
        <f t="shared" si="10"/>
        <v/>
      </c>
      <c r="I96" s="7" t="str">
        <f t="shared" si="11"/>
        <v/>
      </c>
      <c r="J96" s="7" t="str">
        <f t="shared" si="12"/>
        <v/>
      </c>
      <c r="K96" s="7">
        <f t="shared" si="15"/>
        <v>5.8113235618177939E-2</v>
      </c>
      <c r="L96" s="7">
        <f t="shared" si="16"/>
        <v>7.8769297176518371E-2</v>
      </c>
      <c r="M96" s="7">
        <f t="shared" si="17"/>
        <v>5.9261991903462929E-2</v>
      </c>
      <c r="N96" s="7">
        <f t="shared" si="13"/>
        <v>0.94336230511368946</v>
      </c>
      <c r="O96" s="7">
        <f t="shared" si="14"/>
        <v>5.6637694886310513E-2</v>
      </c>
    </row>
    <row r="97" spans="1:15" x14ac:dyDescent="0.2">
      <c r="A97" s="6">
        <v>44063</v>
      </c>
      <c r="B97" s="2" t="s">
        <v>227</v>
      </c>
      <c r="C97" s="5">
        <v>44044</v>
      </c>
      <c r="D97" s="2" t="s">
        <v>177</v>
      </c>
      <c r="E97" s="4">
        <f>IF(SUMIFS('Daily NSE Equity Cash'!$H:$H,'Daily NSE Equity Cash'!$A:$A,$A97)=0,"",SUMIFS('Daily NSE Equity Cash'!$H:$H,'Daily NSE Equity Cash'!$A:$A,$A97))</f>
        <v>563.93190000000004</v>
      </c>
      <c r="F97" s="4">
        <f>IF(SUMIFS('Daily BSE Equity Cash'!$H:$H,'Daily BSE Equity Cash'!$A:$A,$A97)=0,"",SUMIFS('Daily BSE Equity Cash'!$H:$H,'Daily BSE Equity Cash'!$A:$A,$A97))</f>
        <v>37.123199999999997</v>
      </c>
      <c r="G97" s="4">
        <f t="shared" si="9"/>
        <v>601.05510000000004</v>
      </c>
      <c r="H97" s="7" t="str">
        <f t="shared" si="10"/>
        <v/>
      </c>
      <c r="I97" s="7" t="str">
        <f t="shared" si="11"/>
        <v/>
      </c>
      <c r="J97" s="7" t="str">
        <f t="shared" si="12"/>
        <v/>
      </c>
      <c r="K97" s="7">
        <f t="shared" si="15"/>
        <v>-3.871592021319592E-3</v>
      </c>
      <c r="L97" s="7">
        <f t="shared" si="16"/>
        <v>9.2212186295566267E-2</v>
      </c>
      <c r="M97" s="7">
        <f t="shared" si="17"/>
        <v>1.5703716985160376E-3</v>
      </c>
      <c r="N97" s="7">
        <f t="shared" si="13"/>
        <v>0.93823661091969768</v>
      </c>
      <c r="O97" s="7">
        <f t="shared" si="14"/>
        <v>6.1763389080302281E-2</v>
      </c>
    </row>
    <row r="98" spans="1:15" x14ac:dyDescent="0.2">
      <c r="A98" s="6">
        <v>44064</v>
      </c>
      <c r="B98" s="2" t="s">
        <v>225</v>
      </c>
      <c r="C98" s="5">
        <v>44044</v>
      </c>
      <c r="D98" s="2" t="s">
        <v>177</v>
      </c>
      <c r="E98" s="4">
        <f>IF(SUMIFS('Daily NSE Equity Cash'!$H:$H,'Daily NSE Equity Cash'!$A:$A,$A98)=0,"",SUMIFS('Daily NSE Equity Cash'!$H:$H,'Daily NSE Equity Cash'!$A:$A,$A98))</f>
        <v>561.23820000000001</v>
      </c>
      <c r="F98" s="4">
        <f>IF(SUMIFS('Daily BSE Equity Cash'!$H:$H,'Daily BSE Equity Cash'!$A:$A,$A98)=0,"",SUMIFS('Daily BSE Equity Cash'!$H:$H,'Daily BSE Equity Cash'!$A:$A,$A98))</f>
        <v>35.421100000000003</v>
      </c>
      <c r="G98" s="4">
        <f t="shared" si="9"/>
        <v>596.65930000000003</v>
      </c>
      <c r="H98" s="7" t="str">
        <f t="shared" si="10"/>
        <v/>
      </c>
      <c r="I98" s="7" t="str">
        <f t="shared" si="11"/>
        <v/>
      </c>
      <c r="J98" s="7" t="str">
        <f t="shared" si="12"/>
        <v/>
      </c>
      <c r="K98" s="7">
        <f t="shared" si="15"/>
        <v>-4.776640583730174E-3</v>
      </c>
      <c r="L98" s="7">
        <f t="shared" si="16"/>
        <v>-4.5850034479786084E-2</v>
      </c>
      <c r="M98" s="7">
        <f t="shared" si="17"/>
        <v>-7.3134725917807231E-3</v>
      </c>
      <c r="N98" s="7">
        <f t="shared" si="13"/>
        <v>0.94063429498207762</v>
      </c>
      <c r="O98" s="7">
        <f t="shared" si="14"/>
        <v>5.9365705017922286E-2</v>
      </c>
    </row>
    <row r="99" spans="1:15" x14ac:dyDescent="0.2">
      <c r="A99" s="6">
        <v>44067</v>
      </c>
      <c r="B99" s="2" t="s">
        <v>228</v>
      </c>
      <c r="C99" s="5">
        <v>44044</v>
      </c>
      <c r="D99" s="2" t="s">
        <v>177</v>
      </c>
      <c r="E99" s="4">
        <f>IF(SUMIFS('Daily NSE Equity Cash'!$H:$H,'Daily NSE Equity Cash'!$A:$A,$A99)=0,"",SUMIFS('Daily NSE Equity Cash'!$H:$H,'Daily NSE Equity Cash'!$A:$A,$A99))</f>
        <v>569.0249</v>
      </c>
      <c r="F99" s="4">
        <f>IF(SUMIFS('Daily BSE Equity Cash'!$H:$H,'Daily BSE Equity Cash'!$A:$A,$A99)=0,"",SUMIFS('Daily BSE Equity Cash'!$H:$H,'Daily BSE Equity Cash'!$A:$A,$A99))</f>
        <v>42.203499999999998</v>
      </c>
      <c r="G99" s="4">
        <f t="shared" si="9"/>
        <v>611.22839999999997</v>
      </c>
      <c r="H99" s="7" t="str">
        <f t="shared" si="10"/>
        <v/>
      </c>
      <c r="I99" s="7" t="str">
        <f t="shared" si="11"/>
        <v/>
      </c>
      <c r="J99" s="7" t="str">
        <f t="shared" si="12"/>
        <v/>
      </c>
      <c r="K99" s="7">
        <f t="shared" si="15"/>
        <v>1.3874144703621472E-2</v>
      </c>
      <c r="L99" s="7">
        <f t="shared" si="16"/>
        <v>0.19147909014683329</v>
      </c>
      <c r="M99" s="7">
        <f t="shared" si="17"/>
        <v>2.4417787504527277E-2</v>
      </c>
      <c r="N99" s="7">
        <f t="shared" si="13"/>
        <v>0.93095297927910425</v>
      </c>
      <c r="O99" s="7">
        <f t="shared" si="14"/>
        <v>6.904702072089583E-2</v>
      </c>
    </row>
    <row r="100" spans="1:15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4">
        <f>IF(SUMIFS('Daily NSE Equity Cash'!$H:$H,'Daily NSE Equity Cash'!$A:$A,$A100)=0,"",SUMIFS('Daily NSE Equity Cash'!$H:$H,'Daily NSE Equity Cash'!$A:$A,$A100))</f>
        <v>609.63670000000002</v>
      </c>
      <c r="F100" s="4">
        <f>IF(SUMIFS('Daily BSE Equity Cash'!$H:$H,'Daily BSE Equity Cash'!$A:$A,$A100)=0,"",SUMIFS('Daily BSE Equity Cash'!$H:$H,'Daily BSE Equity Cash'!$A:$A,$A100))</f>
        <v>52.095700000000001</v>
      </c>
      <c r="G100" s="4">
        <f t="shared" si="9"/>
        <v>661.73239999999998</v>
      </c>
      <c r="H100" s="7" t="str">
        <f t="shared" si="10"/>
        <v/>
      </c>
      <c r="I100" s="7" t="str">
        <f t="shared" si="11"/>
        <v/>
      </c>
      <c r="J100" s="7" t="str">
        <f t="shared" si="12"/>
        <v/>
      </c>
      <c r="K100" s="7">
        <f t="shared" si="15"/>
        <v>7.1370866195837879E-2</v>
      </c>
      <c r="L100" s="7">
        <f t="shared" si="16"/>
        <v>0.23439288210693432</v>
      </c>
      <c r="M100" s="7">
        <f t="shared" si="17"/>
        <v>8.2627050706413518E-2</v>
      </c>
      <c r="N100" s="7">
        <f t="shared" si="13"/>
        <v>0.92127376564907515</v>
      </c>
      <c r="O100" s="7">
        <f t="shared" si="14"/>
        <v>7.8726234350924934E-2</v>
      </c>
    </row>
    <row r="101" spans="1:15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4">
        <f>IF(SUMIFS('Daily NSE Equity Cash'!$H:$H,'Daily NSE Equity Cash'!$A:$A,$A101)=0,"",SUMIFS('Daily NSE Equity Cash'!$H:$H,'Daily NSE Equity Cash'!$A:$A,$A101))</f>
        <v>638.80229999999995</v>
      </c>
      <c r="F101" s="4">
        <f>IF(SUMIFS('Daily BSE Equity Cash'!$H:$H,'Daily BSE Equity Cash'!$A:$A,$A101)=0,"",SUMIFS('Daily BSE Equity Cash'!$H:$H,'Daily BSE Equity Cash'!$A:$A,$A101))</f>
        <v>38.260599999999997</v>
      </c>
      <c r="G101" s="4">
        <f t="shared" si="9"/>
        <v>677.0628999999999</v>
      </c>
      <c r="H101" s="7" t="str">
        <f t="shared" si="10"/>
        <v/>
      </c>
      <c r="I101" s="7" t="str">
        <f t="shared" si="11"/>
        <v/>
      </c>
      <c r="J101" s="7" t="str">
        <f t="shared" si="12"/>
        <v/>
      </c>
      <c r="K101" s="7">
        <f t="shared" si="15"/>
        <v>4.7840951832460066E-2</v>
      </c>
      <c r="L101" s="7">
        <f t="shared" si="16"/>
        <v>-0.26557086285432396</v>
      </c>
      <c r="M101" s="7">
        <f t="shared" si="17"/>
        <v>2.3167219861079724E-2</v>
      </c>
      <c r="N101" s="7">
        <f t="shared" si="13"/>
        <v>0.94349033154822104</v>
      </c>
      <c r="O101" s="7">
        <f t="shared" si="14"/>
        <v>5.6509668451779002E-2</v>
      </c>
    </row>
    <row r="102" spans="1:15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4">
        <f>IF(SUMIFS('Daily NSE Equity Cash'!$H:$H,'Daily NSE Equity Cash'!$A:$A,$A102)=0,"",SUMIFS('Daily NSE Equity Cash'!$H:$H,'Daily NSE Equity Cash'!$A:$A,$A102))</f>
        <v>628.95240000000001</v>
      </c>
      <c r="F102" s="4">
        <f>IF(SUMIFS('Daily BSE Equity Cash'!$H:$H,'Daily BSE Equity Cash'!$A:$A,$A102)=0,"",SUMIFS('Daily BSE Equity Cash'!$H:$H,'Daily BSE Equity Cash'!$A:$A,$A102))</f>
        <v>36.770499999999998</v>
      </c>
      <c r="G102" s="4">
        <f t="shared" si="9"/>
        <v>665.72289999999998</v>
      </c>
      <c r="H102" s="7" t="str">
        <f t="shared" si="10"/>
        <v/>
      </c>
      <c r="I102" s="7" t="str">
        <f t="shared" si="11"/>
        <v/>
      </c>
      <c r="J102" s="7" t="str">
        <f t="shared" si="12"/>
        <v/>
      </c>
      <c r="K102" s="7">
        <f t="shared" si="15"/>
        <v>-1.5419324570371651E-2</v>
      </c>
      <c r="L102" s="7">
        <f t="shared" si="16"/>
        <v>-3.8946069847310194E-2</v>
      </c>
      <c r="M102" s="7">
        <f t="shared" si="17"/>
        <v>-1.6748813145720853E-2</v>
      </c>
      <c r="N102" s="7">
        <f t="shared" si="13"/>
        <v>0.94476605807010694</v>
      </c>
      <c r="O102" s="7">
        <f t="shared" si="14"/>
        <v>5.5233941929893053E-2</v>
      </c>
    </row>
    <row r="103" spans="1:15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4">
        <f>IF(SUMIFS('Daily NSE Equity Cash'!$H:$H,'Daily NSE Equity Cash'!$A:$A,$A103)=0,"",SUMIFS('Daily NSE Equity Cash'!$H:$H,'Daily NSE Equity Cash'!$A:$A,$A103))</f>
        <v>729.25210000000004</v>
      </c>
      <c r="F103" s="4">
        <f>IF(SUMIFS('Daily BSE Equity Cash'!$H:$H,'Daily BSE Equity Cash'!$A:$A,$A103)=0,"",SUMIFS('Daily BSE Equity Cash'!$H:$H,'Daily BSE Equity Cash'!$A:$A,$A103))</f>
        <v>42.987699999999997</v>
      </c>
      <c r="G103" s="4">
        <f t="shared" si="9"/>
        <v>772.23980000000006</v>
      </c>
      <c r="H103" s="7" t="str">
        <f t="shared" si="10"/>
        <v/>
      </c>
      <c r="I103" s="7" t="str">
        <f t="shared" si="11"/>
        <v/>
      </c>
      <c r="J103" s="7" t="str">
        <f t="shared" si="12"/>
        <v/>
      </c>
      <c r="K103" s="7">
        <f t="shared" si="15"/>
        <v>0.15947105059142785</v>
      </c>
      <c r="L103" s="7">
        <f t="shared" si="16"/>
        <v>0.16908119280401412</v>
      </c>
      <c r="M103" s="7">
        <f t="shared" si="17"/>
        <v>0.1600018566283361</v>
      </c>
      <c r="N103" s="7">
        <f t="shared" si="13"/>
        <v>0.94433374192834918</v>
      </c>
      <c r="O103" s="7">
        <f t="shared" si="14"/>
        <v>5.5666258071650793E-2</v>
      </c>
    </row>
    <row r="104" spans="1:15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4">
        <f>IF(SUMIFS('Daily NSE Equity Cash'!$H:$H,'Daily NSE Equity Cash'!$A:$A,$A104)=0,"",SUMIFS('Daily NSE Equity Cash'!$H:$H,'Daily NSE Equity Cash'!$A:$A,$A104))</f>
        <v>989.35609999999997</v>
      </c>
      <c r="F104" s="4">
        <f>IF(SUMIFS('Daily BSE Equity Cash'!$H:$H,'Daily BSE Equity Cash'!$A:$A,$A104)=0,"",SUMIFS('Daily BSE Equity Cash'!$H:$H,'Daily BSE Equity Cash'!$A:$A,$A104))</f>
        <v>50.981299999999997</v>
      </c>
      <c r="G104" s="4">
        <f t="shared" si="9"/>
        <v>1040.3373999999999</v>
      </c>
      <c r="H104" s="7" t="str">
        <f t="shared" si="10"/>
        <v/>
      </c>
      <c r="I104" s="7" t="str">
        <f t="shared" si="11"/>
        <v/>
      </c>
      <c r="J104" s="7" t="str">
        <f t="shared" si="12"/>
        <v/>
      </c>
      <c r="K104" s="7">
        <f t="shared" si="15"/>
        <v>0.3566722673818834</v>
      </c>
      <c r="L104" s="7">
        <f t="shared" si="16"/>
        <v>0.18595086501487645</v>
      </c>
      <c r="M104" s="7">
        <f t="shared" si="17"/>
        <v>0.34716884573936735</v>
      </c>
      <c r="N104" s="7">
        <f t="shared" si="13"/>
        <v>0.95099541744822413</v>
      </c>
      <c r="O104" s="7">
        <f t="shared" si="14"/>
        <v>4.9004582551775991E-2</v>
      </c>
    </row>
    <row r="105" spans="1:15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4">
        <f>IF(SUMIFS('Daily NSE Equity Cash'!$H:$H,'Daily NSE Equity Cash'!$A:$A,$A105)=0,"",SUMIFS('Daily NSE Equity Cash'!$H:$H,'Daily NSE Equity Cash'!$A:$A,$A105))</f>
        <v>617.87649999999996</v>
      </c>
      <c r="F105" s="4">
        <f>IF(SUMIFS('Daily BSE Equity Cash'!$H:$H,'Daily BSE Equity Cash'!$A:$A,$A105)=0,"",SUMIFS('Daily BSE Equity Cash'!$H:$H,'Daily BSE Equity Cash'!$A:$A,$A105))</f>
        <v>35.0092</v>
      </c>
      <c r="G105" s="4">
        <f t="shared" si="9"/>
        <v>652.88569999999993</v>
      </c>
      <c r="H105" s="7" t="str">
        <f t="shared" si="10"/>
        <v/>
      </c>
      <c r="I105" s="7" t="str">
        <f t="shared" si="11"/>
        <v/>
      </c>
      <c r="J105" s="7" t="str">
        <f t="shared" si="12"/>
        <v/>
      </c>
      <c r="K105" s="7">
        <f t="shared" si="15"/>
        <v>-0.37547613038419636</v>
      </c>
      <c r="L105" s="7">
        <f t="shared" si="16"/>
        <v>-0.31329330558459667</v>
      </c>
      <c r="M105" s="7">
        <f t="shared" si="17"/>
        <v>-0.3724288870130017</v>
      </c>
      <c r="N105" s="7">
        <f t="shared" si="13"/>
        <v>0.94637775034741922</v>
      </c>
      <c r="O105" s="7">
        <f t="shared" si="14"/>
        <v>5.3622249652580847E-2</v>
      </c>
    </row>
    <row r="106" spans="1:15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4">
        <f>IF(SUMIFS('Daily NSE Equity Cash'!$H:$H,'Daily NSE Equity Cash'!$A:$A,$A106)=0,"",SUMIFS('Daily NSE Equity Cash'!$H:$H,'Daily NSE Equity Cash'!$A:$A,$A106))</f>
        <v>495.64920000000001</v>
      </c>
      <c r="F106" s="4">
        <f>IF(SUMIFS('Daily BSE Equity Cash'!$H:$H,'Daily BSE Equity Cash'!$A:$A,$A106)=0,"",SUMIFS('Daily BSE Equity Cash'!$H:$H,'Daily BSE Equity Cash'!$A:$A,$A106))</f>
        <v>32.9985</v>
      </c>
      <c r="G106" s="4">
        <f t="shared" si="9"/>
        <v>528.64769999999999</v>
      </c>
      <c r="H106" s="7" t="str">
        <f t="shared" si="10"/>
        <v/>
      </c>
      <c r="I106" s="7" t="str">
        <f t="shared" si="11"/>
        <v/>
      </c>
      <c r="J106" s="7" t="str">
        <f t="shared" si="12"/>
        <v/>
      </c>
      <c r="K106" s="7">
        <f t="shared" si="15"/>
        <v>-0.19781833424640682</v>
      </c>
      <c r="L106" s="7">
        <f t="shared" si="16"/>
        <v>-5.7433474629525971E-2</v>
      </c>
      <c r="M106" s="7">
        <f t="shared" si="17"/>
        <v>-0.1902905822565879</v>
      </c>
      <c r="N106" s="7">
        <f t="shared" si="13"/>
        <v>0.93757941252747345</v>
      </c>
      <c r="O106" s="7">
        <f t="shared" si="14"/>
        <v>6.2420587472526601E-2</v>
      </c>
    </row>
    <row r="107" spans="1:15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4">
        <f>IF(SUMIFS('Daily NSE Equity Cash'!$H:$H,'Daily NSE Equity Cash'!$A:$A,$A107)=0,"",SUMIFS('Daily NSE Equity Cash'!$H:$H,'Daily NSE Equity Cash'!$A:$A,$A107))</f>
        <v>493.07240000000002</v>
      </c>
      <c r="F107" s="4">
        <f>IF(SUMIFS('Daily BSE Equity Cash'!$H:$H,'Daily BSE Equity Cash'!$A:$A,$A107)=0,"",SUMIFS('Daily BSE Equity Cash'!$H:$H,'Daily BSE Equity Cash'!$A:$A,$A107))</f>
        <v>29.6587</v>
      </c>
      <c r="G107" s="4">
        <f t="shared" si="9"/>
        <v>522.73109999999997</v>
      </c>
      <c r="H107" s="7" t="str">
        <f t="shared" si="10"/>
        <v/>
      </c>
      <c r="I107" s="7" t="str">
        <f t="shared" si="11"/>
        <v/>
      </c>
      <c r="J107" s="7" t="str">
        <f t="shared" si="12"/>
        <v/>
      </c>
      <c r="K107" s="7">
        <f t="shared" si="15"/>
        <v>-5.1988382105730979E-3</v>
      </c>
      <c r="L107" s="7">
        <f t="shared" si="16"/>
        <v>-0.10121066109065568</v>
      </c>
      <c r="M107" s="7">
        <f t="shared" si="17"/>
        <v>-1.1191952599056032E-2</v>
      </c>
      <c r="N107" s="7">
        <f t="shared" si="13"/>
        <v>0.94326203281189902</v>
      </c>
      <c r="O107" s="7">
        <f t="shared" si="14"/>
        <v>5.6737967188101111E-2</v>
      </c>
    </row>
    <row r="108" spans="1:15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4">
        <f>IF(SUMIFS('Daily NSE Equity Cash'!$H:$H,'Daily NSE Equity Cash'!$A:$A,$A108)=0,"",SUMIFS('Daily NSE Equity Cash'!$H:$H,'Daily NSE Equity Cash'!$A:$A,$A108))</f>
        <v>556.40170000000001</v>
      </c>
      <c r="F108" s="4">
        <f>IF(SUMIFS('Daily BSE Equity Cash'!$H:$H,'Daily BSE Equity Cash'!$A:$A,$A108)=0,"",SUMIFS('Daily BSE Equity Cash'!$H:$H,'Daily BSE Equity Cash'!$A:$A,$A108))</f>
        <v>35.151000000000003</v>
      </c>
      <c r="G108" s="4">
        <f t="shared" si="9"/>
        <v>591.55269999999996</v>
      </c>
      <c r="H108" s="7" t="str">
        <f t="shared" si="10"/>
        <v/>
      </c>
      <c r="I108" s="7" t="str">
        <f t="shared" si="11"/>
        <v/>
      </c>
      <c r="J108" s="7" t="str">
        <f t="shared" si="12"/>
        <v/>
      </c>
      <c r="K108" s="7">
        <f t="shared" si="15"/>
        <v>0.12843813606277688</v>
      </c>
      <c r="L108" s="7">
        <f t="shared" si="16"/>
        <v>0.18518343690047123</v>
      </c>
      <c r="M108" s="7">
        <f t="shared" si="17"/>
        <v>0.131657749079785</v>
      </c>
      <c r="N108" s="7">
        <f t="shared" si="13"/>
        <v>0.94057841338565451</v>
      </c>
      <c r="O108" s="7">
        <f t="shared" si="14"/>
        <v>5.9421586614345615E-2</v>
      </c>
    </row>
    <row r="109" spans="1:15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4">
        <f>IF(SUMIFS('Daily NSE Equity Cash'!$H:$H,'Daily NSE Equity Cash'!$A:$A,$A109)=0,"",SUMIFS('Daily NSE Equity Cash'!$H:$H,'Daily NSE Equity Cash'!$A:$A,$A109))</f>
        <v>464.66050000000001</v>
      </c>
      <c r="F109" s="4">
        <f>IF(SUMIFS('Daily BSE Equity Cash'!$H:$H,'Daily BSE Equity Cash'!$A:$A,$A109)=0,"",SUMIFS('Daily BSE Equity Cash'!$H:$H,'Daily BSE Equity Cash'!$A:$A,$A109))</f>
        <v>26.537199999999999</v>
      </c>
      <c r="G109" s="4">
        <f t="shared" si="9"/>
        <v>491.1977</v>
      </c>
      <c r="H109" s="7" t="str">
        <f t="shared" si="10"/>
        <v/>
      </c>
      <c r="I109" s="7" t="str">
        <f t="shared" si="11"/>
        <v/>
      </c>
      <c r="J109" s="7" t="str">
        <f t="shared" si="12"/>
        <v/>
      </c>
      <c r="K109" s="7">
        <f t="shared" si="15"/>
        <v>-0.16488303324738218</v>
      </c>
      <c r="L109" s="7">
        <f t="shared" si="16"/>
        <v>-0.24505134989047261</v>
      </c>
      <c r="M109" s="7">
        <f t="shared" si="17"/>
        <v>-0.1696467618185159</v>
      </c>
      <c r="N109" s="7">
        <f t="shared" si="13"/>
        <v>0.94597450273077421</v>
      </c>
      <c r="O109" s="7">
        <f t="shared" si="14"/>
        <v>5.4025497269225807E-2</v>
      </c>
    </row>
    <row r="110" spans="1:15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4">
        <f>IF(SUMIFS('Daily NSE Equity Cash'!$H:$H,'Daily NSE Equity Cash'!$A:$A,$A110)=0,"",SUMIFS('Daily NSE Equity Cash'!$H:$H,'Daily NSE Equity Cash'!$A:$A,$A110))</f>
        <v>495.71140000000003</v>
      </c>
      <c r="F110" s="4">
        <f>IF(SUMIFS('Daily BSE Equity Cash'!$H:$H,'Daily BSE Equity Cash'!$A:$A,$A110)=0,"",SUMIFS('Daily BSE Equity Cash'!$H:$H,'Daily BSE Equity Cash'!$A:$A,$A110))</f>
        <v>26.2837</v>
      </c>
      <c r="G110" s="4">
        <f t="shared" si="9"/>
        <v>521.99509999999998</v>
      </c>
      <c r="H110" s="7" t="str">
        <f t="shared" si="10"/>
        <v/>
      </c>
      <c r="I110" s="7" t="str">
        <f t="shared" si="11"/>
        <v/>
      </c>
      <c r="J110" s="7" t="str">
        <f t="shared" si="12"/>
        <v/>
      </c>
      <c r="K110" s="7">
        <f t="shared" si="15"/>
        <v>6.6824918408171063E-2</v>
      </c>
      <c r="L110" s="7">
        <f t="shared" si="16"/>
        <v>-9.5526280089835991E-3</v>
      </c>
      <c r="M110" s="7">
        <f t="shared" si="17"/>
        <v>6.2698583482780901E-2</v>
      </c>
      <c r="N110" s="7">
        <f t="shared" si="13"/>
        <v>0.94964761163466871</v>
      </c>
      <c r="O110" s="7">
        <f t="shared" si="14"/>
        <v>5.0352388365331402E-2</v>
      </c>
    </row>
    <row r="111" spans="1:15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4">
        <f>IF(SUMIFS('Daily NSE Equity Cash'!$H:$H,'Daily NSE Equity Cash'!$A:$A,$A111)=0,"",SUMIFS('Daily NSE Equity Cash'!$H:$H,'Daily NSE Equity Cash'!$A:$A,$A111))</f>
        <v>541.97630000000004</v>
      </c>
      <c r="F111" s="4">
        <f>IF(SUMIFS('Daily BSE Equity Cash'!$H:$H,'Daily BSE Equity Cash'!$A:$A,$A111)=0,"",SUMIFS('Daily BSE Equity Cash'!$H:$H,'Daily BSE Equity Cash'!$A:$A,$A111))</f>
        <v>25.661000000000001</v>
      </c>
      <c r="G111" s="4">
        <f t="shared" si="9"/>
        <v>567.6373000000001</v>
      </c>
      <c r="H111" s="7" t="str">
        <f t="shared" si="10"/>
        <v/>
      </c>
      <c r="I111" s="7" t="str">
        <f t="shared" si="11"/>
        <v/>
      </c>
      <c r="J111" s="7" t="str">
        <f t="shared" si="12"/>
        <v/>
      </c>
      <c r="K111" s="7">
        <f t="shared" si="15"/>
        <v>9.3330312758592937E-2</v>
      </c>
      <c r="L111" s="7">
        <f t="shared" si="16"/>
        <v>-2.3691489402176913E-2</v>
      </c>
      <c r="M111" s="7">
        <f t="shared" si="17"/>
        <v>8.7437985528983075E-2</v>
      </c>
      <c r="N111" s="7">
        <f t="shared" si="13"/>
        <v>0.95479331608405571</v>
      </c>
      <c r="O111" s="7">
        <f t="shared" si="14"/>
        <v>4.5206683915944207E-2</v>
      </c>
    </row>
    <row r="112" spans="1:15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4">
        <f>IF(SUMIFS('Daily NSE Equity Cash'!$H:$H,'Daily NSE Equity Cash'!$A:$A,$A112)=0,"",SUMIFS('Daily NSE Equity Cash'!$H:$H,'Daily NSE Equity Cash'!$A:$A,$A112))</f>
        <v>595.35389999999995</v>
      </c>
      <c r="F112" s="4">
        <f>IF(SUMIFS('Daily BSE Equity Cash'!$H:$H,'Daily BSE Equity Cash'!$A:$A,$A112)=0,"",SUMIFS('Daily BSE Equity Cash'!$H:$H,'Daily BSE Equity Cash'!$A:$A,$A112))</f>
        <v>33.0291</v>
      </c>
      <c r="G112" s="4">
        <f t="shared" si="9"/>
        <v>628.38299999999992</v>
      </c>
      <c r="H112" s="7" t="str">
        <f t="shared" si="10"/>
        <v/>
      </c>
      <c r="I112" s="7" t="str">
        <f t="shared" si="11"/>
        <v/>
      </c>
      <c r="J112" s="7" t="str">
        <f t="shared" si="12"/>
        <v/>
      </c>
      <c r="K112" s="7">
        <f t="shared" si="15"/>
        <v>9.8486963359836865E-2</v>
      </c>
      <c r="L112" s="7">
        <f t="shared" si="16"/>
        <v>0.28713222399750582</v>
      </c>
      <c r="M112" s="7">
        <f t="shared" si="17"/>
        <v>0.10701499002972459</v>
      </c>
      <c r="N112" s="7">
        <f t="shared" si="13"/>
        <v>0.94743794787573821</v>
      </c>
      <c r="O112" s="7">
        <f t="shared" si="14"/>
        <v>5.25620521242618E-2</v>
      </c>
    </row>
    <row r="113" spans="1:15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4">
        <f>IF(SUMIFS('Daily NSE Equity Cash'!$H:$H,'Daily NSE Equity Cash'!$A:$A,$A113)=0,"",SUMIFS('Daily NSE Equity Cash'!$H:$H,'Daily NSE Equity Cash'!$A:$A,$A113))</f>
        <v>513.30179999999996</v>
      </c>
      <c r="F113" s="4">
        <f>IF(SUMIFS('Daily BSE Equity Cash'!$H:$H,'Daily BSE Equity Cash'!$A:$A,$A113)=0,"",SUMIFS('Daily BSE Equity Cash'!$H:$H,'Daily BSE Equity Cash'!$A:$A,$A113))</f>
        <v>31.699300000000001</v>
      </c>
      <c r="G113" s="4">
        <f t="shared" si="9"/>
        <v>545.00109999999995</v>
      </c>
      <c r="H113" s="7" t="str">
        <f t="shared" si="10"/>
        <v/>
      </c>
      <c r="I113" s="7" t="str">
        <f t="shared" si="11"/>
        <v/>
      </c>
      <c r="J113" s="7" t="str">
        <f t="shared" si="12"/>
        <v/>
      </c>
      <c r="K113" s="7">
        <f t="shared" si="15"/>
        <v>-0.1378207147043129</v>
      </c>
      <c r="L113" s="7">
        <f t="shared" si="16"/>
        <v>-4.0261466403868074E-2</v>
      </c>
      <c r="M113" s="7">
        <f t="shared" si="17"/>
        <v>-0.13269280040994103</v>
      </c>
      <c r="N113" s="7">
        <f t="shared" si="13"/>
        <v>0.94183626418368693</v>
      </c>
      <c r="O113" s="7">
        <f t="shared" si="14"/>
        <v>5.8163735816313039E-2</v>
      </c>
    </row>
    <row r="114" spans="1:15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4">
        <f>IF(SUMIFS('Daily NSE Equity Cash'!$H:$H,'Daily NSE Equity Cash'!$A:$A,$A114)=0,"",SUMIFS('Daily NSE Equity Cash'!$H:$H,'Daily NSE Equity Cash'!$A:$A,$A114))</f>
        <v>636.61789999999996</v>
      </c>
      <c r="F114" s="4">
        <f>IF(SUMIFS('Daily BSE Equity Cash'!$H:$H,'Daily BSE Equity Cash'!$A:$A,$A114)=0,"",SUMIFS('Daily BSE Equity Cash'!$H:$H,'Daily BSE Equity Cash'!$A:$A,$A114))</f>
        <v>37.696199999999997</v>
      </c>
      <c r="G114" s="4">
        <f t="shared" si="9"/>
        <v>674.31409999999994</v>
      </c>
      <c r="H114" s="7" t="str">
        <f t="shared" si="10"/>
        <v/>
      </c>
      <c r="I114" s="7" t="str">
        <f t="shared" si="11"/>
        <v/>
      </c>
      <c r="J114" s="7" t="str">
        <f t="shared" si="12"/>
        <v/>
      </c>
      <c r="K114" s="7">
        <f t="shared" si="15"/>
        <v>0.2402409264880816</v>
      </c>
      <c r="L114" s="7">
        <f t="shared" si="16"/>
        <v>0.18918083364616867</v>
      </c>
      <c r="M114" s="7">
        <f t="shared" si="17"/>
        <v>0.23727108073726821</v>
      </c>
      <c r="N114" s="7">
        <f t="shared" si="13"/>
        <v>0.94409697201941944</v>
      </c>
      <c r="O114" s="7">
        <f t="shared" si="14"/>
        <v>5.5903027980580562E-2</v>
      </c>
    </row>
    <row r="115" spans="1:15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4">
        <f>IF(SUMIFS('Daily NSE Equity Cash'!$H:$H,'Daily NSE Equity Cash'!$A:$A,$A115)=0,"",SUMIFS('Daily NSE Equity Cash'!$H:$H,'Daily NSE Equity Cash'!$A:$A,$A115))</f>
        <v>538.15110000000004</v>
      </c>
      <c r="F115" s="4">
        <f>IF(SUMIFS('Daily BSE Equity Cash'!$H:$H,'Daily BSE Equity Cash'!$A:$A,$A115)=0,"",SUMIFS('Daily BSE Equity Cash'!$H:$H,'Daily BSE Equity Cash'!$A:$A,$A115))</f>
        <v>27.504899999999999</v>
      </c>
      <c r="G115" s="4">
        <f t="shared" si="9"/>
        <v>565.65600000000006</v>
      </c>
      <c r="H115" s="7" t="str">
        <f t="shared" si="10"/>
        <v/>
      </c>
      <c r="I115" s="7" t="str">
        <f t="shared" si="11"/>
        <v/>
      </c>
      <c r="J115" s="7" t="str">
        <f t="shared" si="12"/>
        <v/>
      </c>
      <c r="K115" s="7">
        <f t="shared" si="15"/>
        <v>-0.15467174265756578</v>
      </c>
      <c r="L115" s="7">
        <f t="shared" si="16"/>
        <v>-0.27035351043341238</v>
      </c>
      <c r="M115" s="7">
        <f t="shared" si="17"/>
        <v>-0.16113870375838191</v>
      </c>
      <c r="N115" s="7">
        <f t="shared" si="13"/>
        <v>0.95137521744664599</v>
      </c>
      <c r="O115" s="7">
        <f t="shared" si="14"/>
        <v>4.8624782553353972E-2</v>
      </c>
    </row>
    <row r="116" spans="1:15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4">
        <f>IF(SUMIFS('Daily NSE Equity Cash'!$H:$H,'Daily NSE Equity Cash'!$A:$A,$A116)=0,"",SUMIFS('Daily NSE Equity Cash'!$H:$H,'Daily NSE Equity Cash'!$A:$A,$A116))</f>
        <v>509.80180000000001</v>
      </c>
      <c r="F116" s="4">
        <f>IF(SUMIFS('Daily BSE Equity Cash'!$H:$H,'Daily BSE Equity Cash'!$A:$A,$A116)=0,"",SUMIFS('Daily BSE Equity Cash'!$H:$H,'Daily BSE Equity Cash'!$A:$A,$A116))</f>
        <v>31.3368</v>
      </c>
      <c r="G116" s="4">
        <f t="shared" si="9"/>
        <v>541.1386</v>
      </c>
      <c r="H116" s="7" t="str">
        <f t="shared" si="10"/>
        <v/>
      </c>
      <c r="I116" s="7" t="str">
        <f t="shared" si="11"/>
        <v/>
      </c>
      <c r="J116" s="7" t="str">
        <f t="shared" si="12"/>
        <v/>
      </c>
      <c r="K116" s="7">
        <f t="shared" si="15"/>
        <v>-5.2679070989541832E-2</v>
      </c>
      <c r="L116" s="7">
        <f t="shared" si="16"/>
        <v>0.13931699442644763</v>
      </c>
      <c r="M116" s="7">
        <f t="shared" si="17"/>
        <v>-4.3343304057589904E-2</v>
      </c>
      <c r="N116" s="7">
        <f t="shared" si="13"/>
        <v>0.94209099110652983</v>
      </c>
      <c r="O116" s="7">
        <f t="shared" si="14"/>
        <v>5.7909008893470178E-2</v>
      </c>
    </row>
    <row r="117" spans="1:15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4">
        <f>IF(SUMIFS('Daily NSE Equity Cash'!$H:$H,'Daily NSE Equity Cash'!$A:$A,$A117)=0,"",SUMIFS('Daily NSE Equity Cash'!$H:$H,'Daily NSE Equity Cash'!$A:$A,$A117))</f>
        <v>510.0059</v>
      </c>
      <c r="F117" s="4">
        <f>IF(SUMIFS('Daily BSE Equity Cash'!$H:$H,'Daily BSE Equity Cash'!$A:$A,$A117)=0,"",SUMIFS('Daily BSE Equity Cash'!$H:$H,'Daily BSE Equity Cash'!$A:$A,$A117))</f>
        <v>28.2135</v>
      </c>
      <c r="G117" s="4">
        <f t="shared" si="9"/>
        <v>538.21939999999995</v>
      </c>
      <c r="H117" s="7" t="str">
        <f t="shared" si="10"/>
        <v/>
      </c>
      <c r="I117" s="7" t="str">
        <f t="shared" si="11"/>
        <v/>
      </c>
      <c r="J117" s="7" t="str">
        <f t="shared" si="12"/>
        <v/>
      </c>
      <c r="K117" s="7">
        <f t="shared" si="15"/>
        <v>4.0035166607887973E-4</v>
      </c>
      <c r="L117" s="7">
        <f t="shared" si="16"/>
        <v>-9.9668760052079364E-2</v>
      </c>
      <c r="M117" s="7">
        <f t="shared" si="17"/>
        <v>-5.3945514143697304E-3</v>
      </c>
      <c r="N117" s="7">
        <f t="shared" si="13"/>
        <v>0.94757992744222908</v>
      </c>
      <c r="O117" s="7">
        <f t="shared" si="14"/>
        <v>5.2420072557771057E-2</v>
      </c>
    </row>
    <row r="118" spans="1:15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4">
        <f>IF(SUMIFS('Daily NSE Equity Cash'!$H:$H,'Daily NSE Equity Cash'!$A:$A,$A118)=0,"",SUMIFS('Daily NSE Equity Cash'!$H:$H,'Daily NSE Equity Cash'!$A:$A,$A118))</f>
        <v>838.68870000000004</v>
      </c>
      <c r="F118" s="4">
        <f>IF(SUMIFS('Daily BSE Equity Cash'!$H:$H,'Daily BSE Equity Cash'!$A:$A,$A118)=0,"",SUMIFS('Daily BSE Equity Cash'!$H:$H,'Daily BSE Equity Cash'!$A:$A,$A118))</f>
        <v>56.340299999999999</v>
      </c>
      <c r="G118" s="4">
        <f t="shared" si="9"/>
        <v>895.029</v>
      </c>
      <c r="H118" s="7" t="str">
        <f t="shared" si="10"/>
        <v/>
      </c>
      <c r="I118" s="7" t="str">
        <f t="shared" si="11"/>
        <v/>
      </c>
      <c r="J118" s="7" t="str">
        <f t="shared" si="12"/>
        <v/>
      </c>
      <c r="K118" s="7">
        <f t="shared" si="15"/>
        <v>0.64446862281397155</v>
      </c>
      <c r="L118" s="7">
        <f t="shared" si="16"/>
        <v>0.99692700303046422</v>
      </c>
      <c r="M118" s="7">
        <f t="shared" si="17"/>
        <v>0.66294451667851462</v>
      </c>
      <c r="N118" s="7">
        <f t="shared" si="13"/>
        <v>0.93705198379046939</v>
      </c>
      <c r="O118" s="7">
        <f t="shared" si="14"/>
        <v>6.2948016209530638E-2</v>
      </c>
    </row>
    <row r="119" spans="1:15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4">
        <f>IF(SUMIFS('Daily NSE Equity Cash'!$H:$H,'Daily NSE Equity Cash'!$A:$A,$A119)=0,"",SUMIFS('Daily NSE Equity Cash'!$H:$H,'Daily NSE Equity Cash'!$A:$A,$A119))</f>
        <v>641.69389999999999</v>
      </c>
      <c r="F119" s="4">
        <f>IF(SUMIFS('Daily BSE Equity Cash'!$H:$H,'Daily BSE Equity Cash'!$A:$A,$A119)=0,"",SUMIFS('Daily BSE Equity Cash'!$H:$H,'Daily BSE Equity Cash'!$A:$A,$A119))</f>
        <v>33.697899999999997</v>
      </c>
      <c r="G119" s="4">
        <f t="shared" si="9"/>
        <v>675.39179999999999</v>
      </c>
      <c r="H119" s="7" t="str">
        <f t="shared" si="10"/>
        <v/>
      </c>
      <c r="I119" s="7" t="str">
        <f t="shared" si="11"/>
        <v/>
      </c>
      <c r="J119" s="7" t="str">
        <f t="shared" si="12"/>
        <v/>
      </c>
      <c r="K119" s="7">
        <f t="shared" si="15"/>
        <v>-0.2348842902020738</v>
      </c>
      <c r="L119" s="7">
        <f t="shared" si="16"/>
        <v>-0.40188639393116476</v>
      </c>
      <c r="M119" s="7">
        <f t="shared" si="17"/>
        <v>-0.24539674133463829</v>
      </c>
      <c r="N119" s="7">
        <f t="shared" si="13"/>
        <v>0.95010614579566999</v>
      </c>
      <c r="O119" s="7">
        <f t="shared" si="14"/>
        <v>4.9893854204329985E-2</v>
      </c>
    </row>
    <row r="120" spans="1:15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4">
        <f>IF(SUMIFS('Daily NSE Equity Cash'!$H:$H,'Daily NSE Equity Cash'!$A:$A,$A120)=0,"",SUMIFS('Daily NSE Equity Cash'!$H:$H,'Daily NSE Equity Cash'!$A:$A,$A120))</f>
        <v>608.67420000000004</v>
      </c>
      <c r="F120" s="4">
        <f>IF(SUMIFS('Daily BSE Equity Cash'!$H:$H,'Daily BSE Equity Cash'!$A:$A,$A120)=0,"",SUMIFS('Daily BSE Equity Cash'!$H:$H,'Daily BSE Equity Cash'!$A:$A,$A120))</f>
        <v>31.2608</v>
      </c>
      <c r="G120" s="4">
        <f t="shared" si="9"/>
        <v>639.93500000000006</v>
      </c>
      <c r="H120" s="7" t="str">
        <f t="shared" si="10"/>
        <v/>
      </c>
      <c r="I120" s="7" t="str">
        <f t="shared" si="11"/>
        <v/>
      </c>
      <c r="J120" s="7" t="str">
        <f t="shared" si="12"/>
        <v/>
      </c>
      <c r="K120" s="7">
        <f t="shared" si="15"/>
        <v>-5.1457088808230744E-2</v>
      </c>
      <c r="L120" s="7">
        <f t="shared" si="16"/>
        <v>-7.2322014131444345E-2</v>
      </c>
      <c r="M120" s="7">
        <f t="shared" si="17"/>
        <v>-5.2498120350291333E-2</v>
      </c>
      <c r="N120" s="7">
        <f t="shared" si="13"/>
        <v>0.95115003867580294</v>
      </c>
      <c r="O120" s="7">
        <f t="shared" si="14"/>
        <v>4.8849961324196986E-2</v>
      </c>
    </row>
    <row r="121" spans="1:15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4">
        <f>IF(SUMIFS('Daily NSE Equity Cash'!$H:$H,'Daily NSE Equity Cash'!$A:$A,$A121)=0,"",SUMIFS('Daily NSE Equity Cash'!$H:$H,'Daily NSE Equity Cash'!$A:$A,$A121))</f>
        <v>573.49689999999998</v>
      </c>
      <c r="F121" s="4">
        <f>IF(SUMIFS('Daily BSE Equity Cash'!$H:$H,'Daily BSE Equity Cash'!$A:$A,$A121)=0,"",SUMIFS('Daily BSE Equity Cash'!$H:$H,'Daily BSE Equity Cash'!$A:$A,$A121))</f>
        <v>29.853300000000001</v>
      </c>
      <c r="G121" s="4">
        <f t="shared" si="9"/>
        <v>603.35019999999997</v>
      </c>
      <c r="H121" s="7" t="str">
        <f t="shared" si="10"/>
        <v/>
      </c>
      <c r="I121" s="7" t="str">
        <f t="shared" si="11"/>
        <v/>
      </c>
      <c r="J121" s="7" t="str">
        <f t="shared" si="12"/>
        <v/>
      </c>
      <c r="K121" s="7">
        <f t="shared" si="15"/>
        <v>-5.7793315372986154E-2</v>
      </c>
      <c r="L121" s="7">
        <f t="shared" si="16"/>
        <v>-4.5024439553690176E-2</v>
      </c>
      <c r="M121" s="7">
        <f t="shared" si="17"/>
        <v>-5.7169556283060086E-2</v>
      </c>
      <c r="N121" s="7">
        <f t="shared" si="13"/>
        <v>0.95052077549655245</v>
      </c>
      <c r="O121" s="7">
        <f t="shared" si="14"/>
        <v>4.9479224503447584E-2</v>
      </c>
    </row>
    <row r="122" spans="1:15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4">
        <f>IF(SUMIFS('Daily NSE Equity Cash'!$H:$H,'Daily NSE Equity Cash'!$A:$A,$A122)=0,"",SUMIFS('Daily NSE Equity Cash'!$H:$H,'Daily NSE Equity Cash'!$A:$A,$A122))</f>
        <v>587.47450000000003</v>
      </c>
      <c r="F122" s="4">
        <f>IF(SUMIFS('Daily BSE Equity Cash'!$H:$H,'Daily BSE Equity Cash'!$A:$A,$A122)=0,"",SUMIFS('Daily BSE Equity Cash'!$H:$H,'Daily BSE Equity Cash'!$A:$A,$A122))</f>
        <v>28.912199999999999</v>
      </c>
      <c r="G122" s="4">
        <f t="shared" si="9"/>
        <v>616.38670000000002</v>
      </c>
      <c r="H122" s="7" t="str">
        <f t="shared" si="10"/>
        <v/>
      </c>
      <c r="I122" s="7" t="str">
        <f t="shared" si="11"/>
        <v/>
      </c>
      <c r="J122" s="7" t="str">
        <f t="shared" si="12"/>
        <v/>
      </c>
      <c r="K122" s="7">
        <f t="shared" si="15"/>
        <v>2.4372581612908562E-2</v>
      </c>
      <c r="L122" s="7">
        <f t="shared" si="16"/>
        <v>-3.1524153108701602E-2</v>
      </c>
      <c r="M122" s="7">
        <f t="shared" si="17"/>
        <v>2.1606854526608377E-2</v>
      </c>
      <c r="N122" s="7">
        <f t="shared" si="13"/>
        <v>0.9530940560527994</v>
      </c>
      <c r="O122" s="7">
        <f t="shared" si="14"/>
        <v>4.6905943947200671E-2</v>
      </c>
    </row>
    <row r="123" spans="1:15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4">
        <f>IF(SUMIFS('Daily NSE Equity Cash'!$H:$H,'Daily NSE Equity Cash'!$A:$A,$A123)=0,"",SUMIFS('Daily NSE Equity Cash'!$H:$H,'Daily NSE Equity Cash'!$A:$A,$A123))</f>
        <v>551.9873</v>
      </c>
      <c r="F123" s="4">
        <f>IF(SUMIFS('Daily BSE Equity Cash'!$H:$H,'Daily BSE Equity Cash'!$A:$A,$A123)=0,"",SUMIFS('Daily BSE Equity Cash'!$H:$H,'Daily BSE Equity Cash'!$A:$A,$A123))</f>
        <v>30.057700000000001</v>
      </c>
      <c r="G123" s="4">
        <f t="shared" si="9"/>
        <v>582.04499999999996</v>
      </c>
      <c r="H123" s="7" t="str">
        <f t="shared" si="10"/>
        <v/>
      </c>
      <c r="I123" s="7" t="str">
        <f t="shared" si="11"/>
        <v/>
      </c>
      <c r="J123" s="7" t="str">
        <f t="shared" si="12"/>
        <v/>
      </c>
      <c r="K123" s="7">
        <f t="shared" si="15"/>
        <v>-6.0406366574208836E-2</v>
      </c>
      <c r="L123" s="7">
        <f t="shared" si="16"/>
        <v>3.9619952822683935E-2</v>
      </c>
      <c r="M123" s="7">
        <f t="shared" si="17"/>
        <v>-5.571453764333345E-2</v>
      </c>
      <c r="N123" s="7">
        <f t="shared" si="13"/>
        <v>0.94835846025650949</v>
      </c>
      <c r="O123" s="7">
        <f t="shared" si="14"/>
        <v>5.164153974349063E-2</v>
      </c>
    </row>
    <row r="124" spans="1:15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4">
        <f>IF(SUMIFS('Daily NSE Equity Cash'!$H:$H,'Daily NSE Equity Cash'!$A:$A,$A124)=0,"",SUMIFS('Daily NSE Equity Cash'!$H:$H,'Daily NSE Equity Cash'!$A:$A,$A124))</f>
        <v>470.93709999999999</v>
      </c>
      <c r="F124" s="4">
        <f>IF(SUMIFS('Daily BSE Equity Cash'!$H:$H,'Daily BSE Equity Cash'!$A:$A,$A124)=0,"",SUMIFS('Daily BSE Equity Cash'!$H:$H,'Daily BSE Equity Cash'!$A:$A,$A124))</f>
        <v>32.610999999999997</v>
      </c>
      <c r="G124" s="4">
        <f t="shared" si="9"/>
        <v>503.54809999999998</v>
      </c>
      <c r="H124" s="7" t="str">
        <f t="shared" si="10"/>
        <v/>
      </c>
      <c r="I124" s="7" t="str">
        <f t="shared" si="11"/>
        <v/>
      </c>
      <c r="J124" s="7" t="str">
        <f t="shared" si="12"/>
        <v/>
      </c>
      <c r="K124" s="7">
        <f t="shared" si="15"/>
        <v>-0.14683345069714471</v>
      </c>
      <c r="L124" s="7">
        <f t="shared" si="16"/>
        <v>8.494661933547798E-2</v>
      </c>
      <c r="M124" s="7">
        <f t="shared" si="17"/>
        <v>-0.13486397099880587</v>
      </c>
      <c r="N124" s="7">
        <f t="shared" si="13"/>
        <v>0.93523756717580708</v>
      </c>
      <c r="O124" s="7">
        <f t="shared" si="14"/>
        <v>6.4762432824192959E-2</v>
      </c>
    </row>
    <row r="125" spans="1:15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4">
        <f>IF(SUMIFS('Daily NSE Equity Cash'!$H:$H,'Daily NSE Equity Cash'!$A:$A,$A125)=0,"",SUMIFS('Daily NSE Equity Cash'!$H:$H,'Daily NSE Equity Cash'!$A:$A,$A125))</f>
        <v>506.65589999999997</v>
      </c>
      <c r="F125" s="4">
        <f>IF(SUMIFS('Daily BSE Equity Cash'!$H:$H,'Daily BSE Equity Cash'!$A:$A,$A125)=0,"",SUMIFS('Daily BSE Equity Cash'!$H:$H,'Daily BSE Equity Cash'!$A:$A,$A125))</f>
        <v>23.312999999999999</v>
      </c>
      <c r="G125" s="4">
        <f t="shared" si="9"/>
        <v>529.96889999999996</v>
      </c>
      <c r="H125" s="7" t="str">
        <f t="shared" si="10"/>
        <v/>
      </c>
      <c r="I125" s="7" t="str">
        <f t="shared" si="11"/>
        <v/>
      </c>
      <c r="J125" s="7" t="str">
        <f t="shared" si="12"/>
        <v/>
      </c>
      <c r="K125" s="7">
        <f t="shared" si="15"/>
        <v>7.5846222351137804E-2</v>
      </c>
      <c r="L125" s="7">
        <f t="shared" si="16"/>
        <v>-0.28511851829137402</v>
      </c>
      <c r="M125" s="7">
        <f t="shared" si="17"/>
        <v>5.246926758337489E-2</v>
      </c>
      <c r="N125" s="7">
        <f t="shared" si="13"/>
        <v>0.95601062628391975</v>
      </c>
      <c r="O125" s="7">
        <f t="shared" si="14"/>
        <v>4.3989373716080325E-2</v>
      </c>
    </row>
    <row r="126" spans="1:15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4">
        <f>IF(SUMIFS('Daily NSE Equity Cash'!$H:$H,'Daily NSE Equity Cash'!$A:$A,$A126)=0,"",SUMIFS('Daily NSE Equity Cash'!$H:$H,'Daily NSE Equity Cash'!$A:$A,$A126))</f>
        <v>485.09840000000003</v>
      </c>
      <c r="F126" s="4">
        <f>IF(SUMIFS('Daily BSE Equity Cash'!$H:$H,'Daily BSE Equity Cash'!$A:$A,$A126)=0,"",SUMIFS('Daily BSE Equity Cash'!$H:$H,'Daily BSE Equity Cash'!$A:$A,$A126))</f>
        <v>33.427399999999999</v>
      </c>
      <c r="G126" s="4">
        <f t="shared" si="9"/>
        <v>518.5258</v>
      </c>
      <c r="H126" s="7" t="str">
        <f t="shared" si="10"/>
        <v/>
      </c>
      <c r="I126" s="7" t="str">
        <f t="shared" si="11"/>
        <v/>
      </c>
      <c r="J126" s="7" t="str">
        <f t="shared" si="12"/>
        <v/>
      </c>
      <c r="K126" s="7">
        <f t="shared" si="15"/>
        <v>-4.2548601526203433E-2</v>
      </c>
      <c r="L126" s="7">
        <f t="shared" si="16"/>
        <v>0.43385235705400427</v>
      </c>
      <c r="M126" s="7">
        <f t="shared" si="17"/>
        <v>-2.1592021720519772E-2</v>
      </c>
      <c r="N126" s="7">
        <f t="shared" si="13"/>
        <v>0.93553377671853555</v>
      </c>
      <c r="O126" s="7">
        <f t="shared" si="14"/>
        <v>6.4466223281464494E-2</v>
      </c>
    </row>
    <row r="127" spans="1:15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4">
        <f>IF(SUMIFS('Daily NSE Equity Cash'!$H:$H,'Daily NSE Equity Cash'!$A:$A,$A127)=0,"",SUMIFS('Daily NSE Equity Cash'!$H:$H,'Daily NSE Equity Cash'!$A:$A,$A127))</f>
        <v>465.55270000000002</v>
      </c>
      <c r="F127" s="4">
        <f>IF(SUMIFS('Daily BSE Equity Cash'!$H:$H,'Daily BSE Equity Cash'!$A:$A,$A127)=0,"",SUMIFS('Daily BSE Equity Cash'!$H:$H,'Daily BSE Equity Cash'!$A:$A,$A127))</f>
        <v>43.927100000000003</v>
      </c>
      <c r="G127" s="4">
        <f t="shared" si="9"/>
        <v>509.47980000000001</v>
      </c>
      <c r="H127" s="7" t="str">
        <f t="shared" si="10"/>
        <v/>
      </c>
      <c r="I127" s="7" t="str">
        <f t="shared" si="11"/>
        <v/>
      </c>
      <c r="J127" s="7" t="str">
        <f t="shared" si="12"/>
        <v/>
      </c>
      <c r="K127" s="7">
        <f t="shared" si="15"/>
        <v>-4.0292237616120774E-2</v>
      </c>
      <c r="L127" s="7">
        <f t="shared" si="16"/>
        <v>0.31410459682775227</v>
      </c>
      <c r="M127" s="7">
        <f t="shared" si="17"/>
        <v>-1.7445612156617885E-2</v>
      </c>
      <c r="N127" s="7">
        <f t="shared" si="13"/>
        <v>0.91378048746976814</v>
      </c>
      <c r="O127" s="7">
        <f t="shared" si="14"/>
        <v>8.6219512530231815E-2</v>
      </c>
    </row>
    <row r="128" spans="1:15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4">
        <f>IF(SUMIFS('Daily NSE Equity Cash'!$H:$H,'Daily NSE Equity Cash'!$A:$A,$A128)=0,"",SUMIFS('Daily NSE Equity Cash'!$H:$H,'Daily NSE Equity Cash'!$A:$A,$A128))</f>
        <v>515.99599999999998</v>
      </c>
      <c r="F128" s="4">
        <f>IF(SUMIFS('Daily BSE Equity Cash'!$H:$H,'Daily BSE Equity Cash'!$A:$A,$A128)=0,"",SUMIFS('Daily BSE Equity Cash'!$H:$H,'Daily BSE Equity Cash'!$A:$A,$A128))</f>
        <v>27.691099999999999</v>
      </c>
      <c r="G128" s="4">
        <f t="shared" si="9"/>
        <v>543.68709999999999</v>
      </c>
      <c r="H128" s="7" t="str">
        <f t="shared" si="10"/>
        <v/>
      </c>
      <c r="I128" s="7" t="str">
        <f t="shared" si="11"/>
        <v/>
      </c>
      <c r="J128" s="7" t="str">
        <f t="shared" si="12"/>
        <v/>
      </c>
      <c r="K128" s="7">
        <f t="shared" si="15"/>
        <v>0.10835142831305666</v>
      </c>
      <c r="L128" s="7">
        <f t="shared" si="16"/>
        <v>-0.36961238051225787</v>
      </c>
      <c r="M128" s="7">
        <f t="shared" si="17"/>
        <v>6.714162170904503E-2</v>
      </c>
      <c r="N128" s="7">
        <f t="shared" si="13"/>
        <v>0.9490679473542778</v>
      </c>
      <c r="O128" s="7">
        <f t="shared" si="14"/>
        <v>5.0932052645722141E-2</v>
      </c>
    </row>
    <row r="129" spans="1:15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4">
        <f>IF(SUMIFS('Daily NSE Equity Cash'!$H:$H,'Daily NSE Equity Cash'!$A:$A,$A129)=0,"",SUMIFS('Daily NSE Equity Cash'!$H:$H,'Daily NSE Equity Cash'!$A:$A,$A129))</f>
        <v>497.05119999999999</v>
      </c>
      <c r="F129" s="4">
        <f>IF(SUMIFS('Daily BSE Equity Cash'!$H:$H,'Daily BSE Equity Cash'!$A:$A,$A129)=0,"",SUMIFS('Daily BSE Equity Cash'!$H:$H,'Daily BSE Equity Cash'!$A:$A,$A129))</f>
        <v>28.0654</v>
      </c>
      <c r="G129" s="4">
        <f t="shared" si="9"/>
        <v>525.11659999999995</v>
      </c>
      <c r="H129" s="7" t="str">
        <f t="shared" si="10"/>
        <v/>
      </c>
      <c r="I129" s="7" t="str">
        <f t="shared" si="11"/>
        <v/>
      </c>
      <c r="J129" s="7" t="str">
        <f t="shared" si="12"/>
        <v/>
      </c>
      <c r="K129" s="7">
        <f t="shared" si="15"/>
        <v>-3.6715013294676635E-2</v>
      </c>
      <c r="L129" s="7">
        <f t="shared" si="16"/>
        <v>1.3516978379334965E-2</v>
      </c>
      <c r="M129" s="7">
        <f t="shared" si="17"/>
        <v>-3.4156594850236588E-2</v>
      </c>
      <c r="N129" s="7">
        <f t="shared" si="13"/>
        <v>0.94655396534788661</v>
      </c>
      <c r="O129" s="7">
        <f t="shared" si="14"/>
        <v>5.3446034652113457E-2</v>
      </c>
    </row>
    <row r="130" spans="1:15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4">
        <f>IF(SUMIFS('Daily NSE Equity Cash'!$H:$H,'Daily NSE Equity Cash'!$A:$A,$A130)=0,"",SUMIFS('Daily NSE Equity Cash'!$H:$H,'Daily NSE Equity Cash'!$A:$A,$A130))</f>
        <v>536.20770000000005</v>
      </c>
      <c r="F130" s="4">
        <f>IF(SUMIFS('Daily BSE Equity Cash'!$H:$H,'Daily BSE Equity Cash'!$A:$A,$A130)=0,"",SUMIFS('Daily BSE Equity Cash'!$H:$H,'Daily BSE Equity Cash'!$A:$A,$A130))</f>
        <v>26.600100000000001</v>
      </c>
      <c r="G130" s="4">
        <f t="shared" ref="G130:G193" si="18">IF(OR(E130="",F130=""),"",E130+F130)</f>
        <v>562.80780000000004</v>
      </c>
      <c r="H130" s="7" t="str">
        <f t="shared" ref="H130:H193" si="19">IFERROR(IF(OR(E130="",INDEX(E:E,MATCH(DATE(YEAR($A130)-1,MONTH($A130),DAY($A130)),$A:$A,0))=""),"",E130/INDEX(E:E,MATCH(DATE(YEAR($A130)-1,MONTH($A130),DAY($A130)),$A:$A,0))-1),"")</f>
        <v/>
      </c>
      <c r="I130" s="7" t="str">
        <f t="shared" ref="I130:I193" si="20">IFERROR(IF(OR(F130="",INDEX(F:F,MATCH(DATE(YEAR($A130)-1,MONTH($A130),DAY($A130)),$A:$A,0))=""),"",F130/INDEX(F:F,MATCH(DATE(YEAR($A130)-1,MONTH($A130),DAY($A130)),$A:$A,0))-1),"")</f>
        <v/>
      </c>
      <c r="J130" s="7" t="str">
        <f t="shared" ref="J130:J193" si="21">IFERROR(IF(OR(G130="",INDEX(G:G,MATCH(DATE(YEAR($A130)-1,MONTH($A130),DAY($A130)),$A:$A,0))=""),"",G130/INDEX(G:G,MATCH(DATE(YEAR($A130)-1,MONTH($A130),DAY($A130)),$A:$A,0))-1),"")</f>
        <v/>
      </c>
      <c r="K130" s="7">
        <f t="shared" si="15"/>
        <v>7.8777598766485379E-2</v>
      </c>
      <c r="L130" s="7">
        <f t="shared" si="16"/>
        <v>-5.2210194759383377E-2</v>
      </c>
      <c r="M130" s="7">
        <f t="shared" si="17"/>
        <v>7.1776820614698034E-2</v>
      </c>
      <c r="N130" s="7">
        <f t="shared" ref="N130:N193" si="22">IF(G130="","",E130/G130)</f>
        <v>0.95273679575869419</v>
      </c>
      <c r="O130" s="7">
        <f t="shared" ref="O130:O193" si="23">IF(G130="","",F130/G130)</f>
        <v>4.7263204241305826E-2</v>
      </c>
    </row>
    <row r="131" spans="1:15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4">
        <f>IF(SUMIFS('Daily NSE Equity Cash'!$H:$H,'Daily NSE Equity Cash'!$A:$A,$A131)=0,"",SUMIFS('Daily NSE Equity Cash'!$H:$H,'Daily NSE Equity Cash'!$A:$A,$A131))</f>
        <v>615.3202</v>
      </c>
      <c r="F131" s="4">
        <f>IF(SUMIFS('Daily BSE Equity Cash'!$H:$H,'Daily BSE Equity Cash'!$A:$A,$A131)=0,"",SUMIFS('Daily BSE Equity Cash'!$H:$H,'Daily BSE Equity Cash'!$A:$A,$A131))</f>
        <v>30.4434</v>
      </c>
      <c r="G131" s="4">
        <f t="shared" si="18"/>
        <v>645.7636</v>
      </c>
      <c r="H131" s="7" t="str">
        <f t="shared" si="19"/>
        <v/>
      </c>
      <c r="I131" s="7" t="str">
        <f t="shared" si="20"/>
        <v/>
      </c>
      <c r="J131" s="7" t="str">
        <f t="shared" si="21"/>
        <v/>
      </c>
      <c r="K131" s="7">
        <f t="shared" ref="K131:K194" si="24">IF(OR(E131="",E130=""),"",E131/E130-1)</f>
        <v>0.14754077571060598</v>
      </c>
      <c r="L131" s="7">
        <f t="shared" ref="L131:L194" si="25">IF(OR(F131="",F130=""),"",F131/F130-1)</f>
        <v>0.14448441923150668</v>
      </c>
      <c r="M131" s="7">
        <f t="shared" ref="M131:M194" si="26">IF(OR(G131="",G130=""),"",G131/G130-1)</f>
        <v>0.14739632251010026</v>
      </c>
      <c r="N131" s="7">
        <f t="shared" si="22"/>
        <v>0.95285674200280102</v>
      </c>
      <c r="O131" s="7">
        <f t="shared" si="23"/>
        <v>4.7143257997198977E-2</v>
      </c>
    </row>
    <row r="132" spans="1:15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4">
        <f>IF(SUMIFS('Daily NSE Equity Cash'!$H:$H,'Daily NSE Equity Cash'!$A:$A,$A132)=0,"",SUMIFS('Daily NSE Equity Cash'!$H:$H,'Daily NSE Equity Cash'!$A:$A,$A132))</f>
        <v>568.19100000000003</v>
      </c>
      <c r="F132" s="4">
        <f>IF(SUMIFS('Daily BSE Equity Cash'!$H:$H,'Daily BSE Equity Cash'!$A:$A,$A132)=0,"",SUMIFS('Daily BSE Equity Cash'!$H:$H,'Daily BSE Equity Cash'!$A:$A,$A132))</f>
        <v>26.701599999999999</v>
      </c>
      <c r="G132" s="4">
        <f t="shared" si="18"/>
        <v>594.89260000000002</v>
      </c>
      <c r="H132" s="7" t="str">
        <f t="shared" si="19"/>
        <v/>
      </c>
      <c r="I132" s="7" t="str">
        <f t="shared" si="20"/>
        <v/>
      </c>
      <c r="J132" s="7" t="str">
        <f t="shared" si="21"/>
        <v/>
      </c>
      <c r="K132" s="7">
        <f t="shared" si="24"/>
        <v>-7.6592967368859233E-2</v>
      </c>
      <c r="L132" s="7">
        <f t="shared" si="25"/>
        <v>-0.12291005603841887</v>
      </c>
      <c r="M132" s="7">
        <f t="shared" si="26"/>
        <v>-7.8776505829687538E-2</v>
      </c>
      <c r="N132" s="7">
        <f t="shared" si="22"/>
        <v>0.95511525946027909</v>
      </c>
      <c r="O132" s="7">
        <f t="shared" si="23"/>
        <v>4.4884740539720948E-2</v>
      </c>
    </row>
    <row r="133" spans="1:15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4">
        <f>IF(SUMIFS('Daily NSE Equity Cash'!$H:$H,'Daily NSE Equity Cash'!$A:$A,$A133)=0,"",SUMIFS('Daily NSE Equity Cash'!$H:$H,'Daily NSE Equity Cash'!$A:$A,$A133))</f>
        <v>472.02269999999999</v>
      </c>
      <c r="F133" s="4">
        <f>IF(SUMIFS('Daily BSE Equity Cash'!$H:$H,'Daily BSE Equity Cash'!$A:$A,$A133)=0,"",SUMIFS('Daily BSE Equity Cash'!$H:$H,'Daily BSE Equity Cash'!$A:$A,$A133))</f>
        <v>27.697399999999998</v>
      </c>
      <c r="G133" s="4">
        <f t="shared" si="18"/>
        <v>499.7201</v>
      </c>
      <c r="H133" s="7" t="str">
        <f t="shared" si="19"/>
        <v/>
      </c>
      <c r="I133" s="7" t="str">
        <f t="shared" si="20"/>
        <v/>
      </c>
      <c r="J133" s="7" t="str">
        <f t="shared" si="21"/>
        <v/>
      </c>
      <c r="K133" s="7">
        <f t="shared" si="24"/>
        <v>-0.1692534728638786</v>
      </c>
      <c r="L133" s="7">
        <f t="shared" si="25"/>
        <v>3.7293645324624647E-2</v>
      </c>
      <c r="M133" s="7">
        <f t="shared" si="26"/>
        <v>-0.1599826590547605</v>
      </c>
      <c r="N133" s="7">
        <f t="shared" si="22"/>
        <v>0.94457417262183363</v>
      </c>
      <c r="O133" s="7">
        <f t="shared" si="23"/>
        <v>5.5425827378166294E-2</v>
      </c>
    </row>
    <row r="134" spans="1:15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4">
        <f>IF(SUMIFS('Daily NSE Equity Cash'!$H:$H,'Daily NSE Equity Cash'!$A:$A,$A134)=0,"",SUMIFS('Daily NSE Equity Cash'!$H:$H,'Daily NSE Equity Cash'!$A:$A,$A134))</f>
        <v>501.05500000000001</v>
      </c>
      <c r="F134" s="4">
        <f>IF(SUMIFS('Daily BSE Equity Cash'!$H:$H,'Daily BSE Equity Cash'!$A:$A,$A134)=0,"",SUMIFS('Daily BSE Equity Cash'!$H:$H,'Daily BSE Equity Cash'!$A:$A,$A134))</f>
        <v>22.0122</v>
      </c>
      <c r="G134" s="4">
        <f t="shared" si="18"/>
        <v>523.06719999999996</v>
      </c>
      <c r="H134" s="7" t="str">
        <f t="shared" si="19"/>
        <v/>
      </c>
      <c r="I134" s="7" t="str">
        <f t="shared" si="20"/>
        <v/>
      </c>
      <c r="J134" s="7" t="str">
        <f t="shared" si="21"/>
        <v/>
      </c>
      <c r="K134" s="7">
        <f t="shared" si="24"/>
        <v>6.150615214056443E-2</v>
      </c>
      <c r="L134" s="7">
        <f t="shared" si="25"/>
        <v>-0.20526114364525183</v>
      </c>
      <c r="M134" s="7">
        <f t="shared" si="26"/>
        <v>4.6720354054199387E-2</v>
      </c>
      <c r="N134" s="7">
        <f t="shared" si="22"/>
        <v>0.95791707069378473</v>
      </c>
      <c r="O134" s="7">
        <f t="shared" si="23"/>
        <v>4.2082929306215343E-2</v>
      </c>
    </row>
    <row r="135" spans="1:15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4">
        <f>IF(SUMIFS('Daily NSE Equity Cash'!$H:$H,'Daily NSE Equity Cash'!$A:$A,$A135)=0,"",SUMIFS('Daily NSE Equity Cash'!$H:$H,'Daily NSE Equity Cash'!$A:$A,$A135))</f>
        <v>508.49459999999999</v>
      </c>
      <c r="F135" s="4">
        <f>IF(SUMIFS('Daily BSE Equity Cash'!$H:$H,'Daily BSE Equity Cash'!$A:$A,$A135)=0,"",SUMIFS('Daily BSE Equity Cash'!$H:$H,'Daily BSE Equity Cash'!$A:$A,$A135))</f>
        <v>21.188500000000001</v>
      </c>
      <c r="G135" s="4">
        <f t="shared" si="18"/>
        <v>529.68309999999997</v>
      </c>
      <c r="H135" s="7" t="str">
        <f t="shared" si="19"/>
        <v/>
      </c>
      <c r="I135" s="7" t="str">
        <f t="shared" si="20"/>
        <v/>
      </c>
      <c r="J135" s="7" t="str">
        <f t="shared" si="21"/>
        <v/>
      </c>
      <c r="K135" s="7">
        <f t="shared" si="24"/>
        <v>1.4847870992206413E-2</v>
      </c>
      <c r="L135" s="7">
        <f t="shared" si="25"/>
        <v>-3.7420157912430363E-2</v>
      </c>
      <c r="M135" s="7">
        <f t="shared" si="26"/>
        <v>1.2648279226837422E-2</v>
      </c>
      <c r="N135" s="7">
        <f t="shared" si="22"/>
        <v>0.95999777980456624</v>
      </c>
      <c r="O135" s="7">
        <f t="shared" si="23"/>
        <v>4.0002220195433841E-2</v>
      </c>
    </row>
    <row r="136" spans="1:15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4">
        <f>IF(SUMIFS('Daily NSE Equity Cash'!$H:$H,'Daily NSE Equity Cash'!$A:$A,$A136)=0,"",SUMIFS('Daily NSE Equity Cash'!$H:$H,'Daily NSE Equity Cash'!$A:$A,$A136))</f>
        <v>548.40419999999995</v>
      </c>
      <c r="F136" s="4">
        <f>IF(SUMIFS('Daily BSE Equity Cash'!$H:$H,'Daily BSE Equity Cash'!$A:$A,$A136)=0,"",SUMIFS('Daily BSE Equity Cash'!$H:$H,'Daily BSE Equity Cash'!$A:$A,$A136))</f>
        <v>38.653500000000001</v>
      </c>
      <c r="G136" s="4">
        <f t="shared" si="18"/>
        <v>587.05769999999995</v>
      </c>
      <c r="H136" s="7" t="str">
        <f t="shared" si="19"/>
        <v/>
      </c>
      <c r="I136" s="7" t="str">
        <f t="shared" si="20"/>
        <v/>
      </c>
      <c r="J136" s="7" t="str">
        <f t="shared" si="21"/>
        <v/>
      </c>
      <c r="K136" s="7">
        <f t="shared" si="24"/>
        <v>7.8485789229620018E-2</v>
      </c>
      <c r="L136" s="7">
        <f t="shared" si="25"/>
        <v>0.82426788116195104</v>
      </c>
      <c r="M136" s="7">
        <f t="shared" si="26"/>
        <v>0.10831872868890846</v>
      </c>
      <c r="N136" s="7">
        <f t="shared" si="22"/>
        <v>0.93415723871776146</v>
      </c>
      <c r="O136" s="7">
        <f t="shared" si="23"/>
        <v>6.5842761282238538E-2</v>
      </c>
    </row>
    <row r="137" spans="1:15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4">
        <f>IF(SUMIFS('Daily NSE Equity Cash'!$H:$H,'Daily NSE Equity Cash'!$A:$A,$A137)=0,"",SUMIFS('Daily NSE Equity Cash'!$H:$H,'Daily NSE Equity Cash'!$A:$A,$A137))</f>
        <v>494.4151</v>
      </c>
      <c r="F137" s="4">
        <f>IF(SUMIFS('Daily BSE Equity Cash'!$H:$H,'Daily BSE Equity Cash'!$A:$A,$A137)=0,"",SUMIFS('Daily BSE Equity Cash'!$H:$H,'Daily BSE Equity Cash'!$A:$A,$A137))</f>
        <v>21.830300000000001</v>
      </c>
      <c r="G137" s="4">
        <f t="shared" si="18"/>
        <v>516.24540000000002</v>
      </c>
      <c r="H137" s="7" t="str">
        <f t="shared" si="19"/>
        <v/>
      </c>
      <c r="I137" s="7" t="str">
        <f t="shared" si="20"/>
        <v/>
      </c>
      <c r="J137" s="7" t="str">
        <f t="shared" si="21"/>
        <v/>
      </c>
      <c r="K137" s="7">
        <f t="shared" si="24"/>
        <v>-9.8447641356503079E-2</v>
      </c>
      <c r="L137" s="7">
        <f t="shared" si="25"/>
        <v>-0.43523096226732372</v>
      </c>
      <c r="M137" s="7">
        <f t="shared" si="26"/>
        <v>-0.12062238515907375</v>
      </c>
      <c r="N137" s="7">
        <f t="shared" si="22"/>
        <v>0.9577133278088289</v>
      </c>
      <c r="O137" s="7">
        <f t="shared" si="23"/>
        <v>4.2286672191171097E-2</v>
      </c>
    </row>
    <row r="138" spans="1:15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4">
        <f>IF(SUMIFS('Daily NSE Equity Cash'!$H:$H,'Daily NSE Equity Cash'!$A:$A,$A138)=0,"",SUMIFS('Daily NSE Equity Cash'!$H:$H,'Daily NSE Equity Cash'!$A:$A,$A138))</f>
        <v>484.37990000000002</v>
      </c>
      <c r="F138" s="4">
        <f>IF(SUMIFS('Daily BSE Equity Cash'!$H:$H,'Daily BSE Equity Cash'!$A:$A,$A138)=0,"",SUMIFS('Daily BSE Equity Cash'!$H:$H,'Daily BSE Equity Cash'!$A:$A,$A138))</f>
        <v>22.385400000000001</v>
      </c>
      <c r="G138" s="4">
        <f t="shared" si="18"/>
        <v>506.76530000000002</v>
      </c>
      <c r="H138" s="7" t="str">
        <f t="shared" si="19"/>
        <v/>
      </c>
      <c r="I138" s="7" t="str">
        <f t="shared" si="20"/>
        <v/>
      </c>
      <c r="J138" s="7" t="str">
        <f t="shared" si="21"/>
        <v/>
      </c>
      <c r="K138" s="7">
        <f t="shared" si="24"/>
        <v>-2.0297114711908981E-2</v>
      </c>
      <c r="L138" s="7">
        <f t="shared" si="25"/>
        <v>2.5427960220427481E-2</v>
      </c>
      <c r="M138" s="7">
        <f t="shared" si="26"/>
        <v>-1.8363553457328652E-2</v>
      </c>
      <c r="N138" s="7">
        <f t="shared" si="22"/>
        <v>0.95582688869975907</v>
      </c>
      <c r="O138" s="7">
        <f t="shared" si="23"/>
        <v>4.4173111300240958E-2</v>
      </c>
    </row>
    <row r="139" spans="1:15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4">
        <f>IF(SUMIFS('Daily NSE Equity Cash'!$H:$H,'Daily NSE Equity Cash'!$A:$A,$A139)=0,"",SUMIFS('Daily NSE Equity Cash'!$H:$H,'Daily NSE Equity Cash'!$A:$A,$A139))</f>
        <v>475.75760000000002</v>
      </c>
      <c r="F139" s="4">
        <f>IF(SUMIFS('Daily BSE Equity Cash'!$H:$H,'Daily BSE Equity Cash'!$A:$A,$A139)=0,"",SUMIFS('Daily BSE Equity Cash'!$H:$H,'Daily BSE Equity Cash'!$A:$A,$A139))</f>
        <v>23.3232</v>
      </c>
      <c r="G139" s="4">
        <f t="shared" si="18"/>
        <v>499.08080000000001</v>
      </c>
      <c r="H139" s="7" t="str">
        <f t="shared" si="19"/>
        <v/>
      </c>
      <c r="I139" s="7" t="str">
        <f t="shared" si="20"/>
        <v/>
      </c>
      <c r="J139" s="7" t="str">
        <f t="shared" si="21"/>
        <v/>
      </c>
      <c r="K139" s="7">
        <f t="shared" si="24"/>
        <v>-1.780069734520362E-2</v>
      </c>
      <c r="L139" s="7">
        <f t="shared" si="25"/>
        <v>4.1893376933179738E-2</v>
      </c>
      <c r="M139" s="7">
        <f t="shared" si="26"/>
        <v>-1.5163824358139788E-2</v>
      </c>
      <c r="N139" s="7">
        <f t="shared" si="22"/>
        <v>0.95326768731636247</v>
      </c>
      <c r="O139" s="7">
        <f t="shared" si="23"/>
        <v>4.6732312683637596E-2</v>
      </c>
    </row>
    <row r="140" spans="1:15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4">
        <f>IF(SUMIFS('Daily NSE Equity Cash'!$H:$H,'Daily NSE Equity Cash'!$A:$A,$A140)=0,"",SUMIFS('Daily NSE Equity Cash'!$H:$H,'Daily NSE Equity Cash'!$A:$A,$A140))</f>
        <v>614.44389999999999</v>
      </c>
      <c r="F140" s="4">
        <f>IF(SUMIFS('Daily BSE Equity Cash'!$H:$H,'Daily BSE Equity Cash'!$A:$A,$A140)=0,"",SUMIFS('Daily BSE Equity Cash'!$H:$H,'Daily BSE Equity Cash'!$A:$A,$A140))</f>
        <v>27.274699999999999</v>
      </c>
      <c r="G140" s="4">
        <f t="shared" si="18"/>
        <v>641.71860000000004</v>
      </c>
      <c r="H140" s="7" t="str">
        <f t="shared" si="19"/>
        <v/>
      </c>
      <c r="I140" s="7" t="str">
        <f t="shared" si="20"/>
        <v/>
      </c>
      <c r="J140" s="7" t="str">
        <f t="shared" si="21"/>
        <v/>
      </c>
      <c r="K140" s="7">
        <f t="shared" si="24"/>
        <v>0.29150622081496946</v>
      </c>
      <c r="L140" s="7">
        <f t="shared" si="25"/>
        <v>0.16942357823969267</v>
      </c>
      <c r="M140" s="7">
        <f t="shared" si="26"/>
        <v>0.28580101658889712</v>
      </c>
      <c r="N140" s="7">
        <f t="shared" si="22"/>
        <v>0.95749741397553378</v>
      </c>
      <c r="O140" s="7">
        <f t="shared" si="23"/>
        <v>4.2502586024466174E-2</v>
      </c>
    </row>
    <row r="141" spans="1:15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4">
        <f>IF(SUMIFS('Daily NSE Equity Cash'!$H:$H,'Daily NSE Equity Cash'!$A:$A,$A141)=0,"",SUMIFS('Daily NSE Equity Cash'!$H:$H,'Daily NSE Equity Cash'!$A:$A,$A141))</f>
        <v>544.53930000000003</v>
      </c>
      <c r="F141" s="4">
        <f>IF(SUMIFS('Daily BSE Equity Cash'!$H:$H,'Daily BSE Equity Cash'!$A:$A,$A141)=0,"",SUMIFS('Daily BSE Equity Cash'!$H:$H,'Daily BSE Equity Cash'!$A:$A,$A141))</f>
        <v>24.0428</v>
      </c>
      <c r="G141" s="4">
        <f t="shared" si="18"/>
        <v>568.58210000000008</v>
      </c>
      <c r="H141" s="7" t="str">
        <f t="shared" si="19"/>
        <v/>
      </c>
      <c r="I141" s="7" t="str">
        <f t="shared" si="20"/>
        <v/>
      </c>
      <c r="J141" s="7" t="str">
        <f t="shared" si="21"/>
        <v/>
      </c>
      <c r="K141" s="7">
        <f t="shared" si="24"/>
        <v>-0.11376888923463957</v>
      </c>
      <c r="L141" s="7">
        <f t="shared" si="25"/>
        <v>-0.11849442890297601</v>
      </c>
      <c r="M141" s="7">
        <f t="shared" si="26"/>
        <v>-0.11396973689090506</v>
      </c>
      <c r="N141" s="7">
        <f t="shared" si="22"/>
        <v>0.95771446199238408</v>
      </c>
      <c r="O141" s="7">
        <f t="shared" si="23"/>
        <v>4.2285538007615781E-2</v>
      </c>
    </row>
    <row r="142" spans="1:15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4">
        <f>IF(SUMIFS('Daily NSE Equity Cash'!$H:$H,'Daily NSE Equity Cash'!$A:$A,$A142)=0,"",SUMIFS('Daily NSE Equity Cash'!$H:$H,'Daily NSE Equity Cash'!$A:$A,$A142))</f>
        <v>494.67919999999998</v>
      </c>
      <c r="F142" s="4">
        <f>IF(SUMIFS('Daily BSE Equity Cash'!$H:$H,'Daily BSE Equity Cash'!$A:$A,$A142)=0,"",SUMIFS('Daily BSE Equity Cash'!$H:$H,'Daily BSE Equity Cash'!$A:$A,$A142))</f>
        <v>28.600899999999999</v>
      </c>
      <c r="G142" s="4">
        <f t="shared" si="18"/>
        <v>523.28009999999995</v>
      </c>
      <c r="H142" s="7" t="str">
        <f t="shared" si="19"/>
        <v/>
      </c>
      <c r="I142" s="7" t="str">
        <f t="shared" si="20"/>
        <v/>
      </c>
      <c r="J142" s="7" t="str">
        <f t="shared" si="21"/>
        <v/>
      </c>
      <c r="K142" s="7">
        <f t="shared" si="24"/>
        <v>-9.1563822849884402E-2</v>
      </c>
      <c r="L142" s="7">
        <f t="shared" si="25"/>
        <v>0.18958274410634357</v>
      </c>
      <c r="M142" s="7">
        <f t="shared" si="26"/>
        <v>-7.9675389007146213E-2</v>
      </c>
      <c r="N142" s="7">
        <f t="shared" si="22"/>
        <v>0.94534303903397054</v>
      </c>
      <c r="O142" s="7">
        <f t="shared" si="23"/>
        <v>5.4656960966029476E-2</v>
      </c>
    </row>
    <row r="143" spans="1:15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4">
        <f>IF(SUMIFS('Daily NSE Equity Cash'!$H:$H,'Daily NSE Equity Cash'!$A:$A,$A143)=0,"",SUMIFS('Daily NSE Equity Cash'!$H:$H,'Daily NSE Equity Cash'!$A:$A,$A143))</f>
        <v>496.37549999999999</v>
      </c>
      <c r="F143" s="4">
        <f>IF(SUMIFS('Daily BSE Equity Cash'!$H:$H,'Daily BSE Equity Cash'!$A:$A,$A143)=0,"",SUMIFS('Daily BSE Equity Cash'!$H:$H,'Daily BSE Equity Cash'!$A:$A,$A143))</f>
        <v>26.748000000000001</v>
      </c>
      <c r="G143" s="4">
        <f t="shared" si="18"/>
        <v>523.12350000000004</v>
      </c>
      <c r="H143" s="7" t="str">
        <f t="shared" si="19"/>
        <v/>
      </c>
      <c r="I143" s="7" t="str">
        <f t="shared" si="20"/>
        <v/>
      </c>
      <c r="J143" s="7" t="str">
        <f t="shared" si="21"/>
        <v/>
      </c>
      <c r="K143" s="7">
        <f t="shared" si="24"/>
        <v>3.4290910149445963E-3</v>
      </c>
      <c r="L143" s="7">
        <f t="shared" si="25"/>
        <v>-6.4784674608141635E-2</v>
      </c>
      <c r="M143" s="7">
        <f t="shared" si="26"/>
        <v>-2.9926611006214632E-4</v>
      </c>
      <c r="N143" s="7">
        <f t="shared" si="22"/>
        <v>0.94886867059117008</v>
      </c>
      <c r="O143" s="7">
        <f t="shared" si="23"/>
        <v>5.1131329408829848E-2</v>
      </c>
    </row>
    <row r="144" spans="1:15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4">
        <f>IF(SUMIFS('Daily NSE Equity Cash'!$H:$H,'Daily NSE Equity Cash'!$A:$A,$A144)=0,"",SUMIFS('Daily NSE Equity Cash'!$H:$H,'Daily NSE Equity Cash'!$A:$A,$A144))</f>
        <v>597.89149999999995</v>
      </c>
      <c r="F144" s="4">
        <f>IF(SUMIFS('Daily BSE Equity Cash'!$H:$H,'Daily BSE Equity Cash'!$A:$A,$A144)=0,"",SUMIFS('Daily BSE Equity Cash'!$H:$H,'Daily BSE Equity Cash'!$A:$A,$A144))</f>
        <v>25.1113</v>
      </c>
      <c r="G144" s="4">
        <f t="shared" si="18"/>
        <v>623.00279999999998</v>
      </c>
      <c r="H144" s="7" t="str">
        <f t="shared" si="19"/>
        <v/>
      </c>
      <c r="I144" s="7" t="str">
        <f t="shared" si="20"/>
        <v/>
      </c>
      <c r="J144" s="7" t="str">
        <f t="shared" si="21"/>
        <v/>
      </c>
      <c r="K144" s="7">
        <f t="shared" si="24"/>
        <v>0.20451452579750606</v>
      </c>
      <c r="L144" s="7">
        <f t="shared" si="25"/>
        <v>-6.1189621653955473E-2</v>
      </c>
      <c r="M144" s="7">
        <f t="shared" si="26"/>
        <v>0.19092871950887291</v>
      </c>
      <c r="N144" s="7">
        <f t="shared" si="22"/>
        <v>0.95969311855420225</v>
      </c>
      <c r="O144" s="7">
        <f t="shared" si="23"/>
        <v>4.0306881445797679E-2</v>
      </c>
    </row>
    <row r="145" spans="1:15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4">
        <f>IF(SUMIFS('Daily NSE Equity Cash'!$H:$H,'Daily NSE Equity Cash'!$A:$A,$A145)=0,"",SUMIFS('Daily NSE Equity Cash'!$H:$H,'Daily NSE Equity Cash'!$A:$A,$A145))</f>
        <v>559.07650000000001</v>
      </c>
      <c r="F145" s="4">
        <f>IF(SUMIFS('Daily BSE Equity Cash'!$H:$H,'Daily BSE Equity Cash'!$A:$A,$A145)=0,"",SUMIFS('Daily BSE Equity Cash'!$H:$H,'Daily BSE Equity Cash'!$A:$A,$A145))</f>
        <v>40.119700000000002</v>
      </c>
      <c r="G145" s="4">
        <f t="shared" si="18"/>
        <v>599.19619999999998</v>
      </c>
      <c r="H145" s="7" t="str">
        <f t="shared" si="19"/>
        <v/>
      </c>
      <c r="I145" s="7" t="str">
        <f t="shared" si="20"/>
        <v/>
      </c>
      <c r="J145" s="7" t="str">
        <f t="shared" si="21"/>
        <v/>
      </c>
      <c r="K145" s="7">
        <f t="shared" si="24"/>
        <v>-6.4919805683807064E-2</v>
      </c>
      <c r="L145" s="7">
        <f t="shared" si="25"/>
        <v>0.59767515023117079</v>
      </c>
      <c r="M145" s="7">
        <f t="shared" si="26"/>
        <v>-3.8212669349158679E-2</v>
      </c>
      <c r="N145" s="7">
        <f t="shared" si="22"/>
        <v>0.9330441347925772</v>
      </c>
      <c r="O145" s="7">
        <f t="shared" si="23"/>
        <v>6.6955865207422888E-2</v>
      </c>
    </row>
    <row r="146" spans="1:15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4">
        <f>IF(SUMIFS('Daily NSE Equity Cash'!$H:$H,'Daily NSE Equity Cash'!$A:$A,$A146)=0,"",SUMIFS('Daily NSE Equity Cash'!$H:$H,'Daily NSE Equity Cash'!$A:$A,$A146))</f>
        <v>492.9991</v>
      </c>
      <c r="F146" s="4">
        <f>IF(SUMIFS('Daily BSE Equity Cash'!$H:$H,'Daily BSE Equity Cash'!$A:$A,$A146)=0,"",SUMIFS('Daily BSE Equity Cash'!$H:$H,'Daily BSE Equity Cash'!$A:$A,$A146))</f>
        <v>25.0198</v>
      </c>
      <c r="G146" s="4">
        <f t="shared" si="18"/>
        <v>518.01890000000003</v>
      </c>
      <c r="H146" s="7" t="str">
        <f t="shared" si="19"/>
        <v/>
      </c>
      <c r="I146" s="7" t="str">
        <f t="shared" si="20"/>
        <v/>
      </c>
      <c r="J146" s="7" t="str">
        <f t="shared" si="21"/>
        <v/>
      </c>
      <c r="K146" s="7">
        <f t="shared" si="24"/>
        <v>-0.11819026555399847</v>
      </c>
      <c r="L146" s="7">
        <f t="shared" si="25"/>
        <v>-0.37637120915659894</v>
      </c>
      <c r="M146" s="7">
        <f t="shared" si="26"/>
        <v>-0.1354769940129793</v>
      </c>
      <c r="N146" s="7">
        <f t="shared" si="22"/>
        <v>0.95170099006040121</v>
      </c>
      <c r="O146" s="7">
        <f t="shared" si="23"/>
        <v>4.8299009939598729E-2</v>
      </c>
    </row>
    <row r="147" spans="1:15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4">
        <f>IF(SUMIFS('Daily NSE Equity Cash'!$H:$H,'Daily NSE Equity Cash'!$A:$A,$A147)=0,"",SUMIFS('Daily NSE Equity Cash'!$H:$H,'Daily NSE Equity Cash'!$A:$A,$A147))</f>
        <v>505.98450000000003</v>
      </c>
      <c r="F147" s="4">
        <f>IF(SUMIFS('Daily BSE Equity Cash'!$H:$H,'Daily BSE Equity Cash'!$A:$A,$A147)=0,"",SUMIFS('Daily BSE Equity Cash'!$H:$H,'Daily BSE Equity Cash'!$A:$A,$A147))</f>
        <v>21.226700000000001</v>
      </c>
      <c r="G147" s="4">
        <f t="shared" si="18"/>
        <v>527.21120000000008</v>
      </c>
      <c r="H147" s="7" t="str">
        <f t="shared" si="19"/>
        <v/>
      </c>
      <c r="I147" s="7" t="str">
        <f t="shared" si="20"/>
        <v/>
      </c>
      <c r="J147" s="7" t="str">
        <f t="shared" si="21"/>
        <v/>
      </c>
      <c r="K147" s="7">
        <f t="shared" si="24"/>
        <v>2.6339601837001458E-2</v>
      </c>
      <c r="L147" s="7">
        <f t="shared" si="25"/>
        <v>-0.15160392968768732</v>
      </c>
      <c r="M147" s="7">
        <f t="shared" si="26"/>
        <v>1.7745105439203268E-2</v>
      </c>
      <c r="N147" s="7">
        <f t="shared" si="22"/>
        <v>0.95973776733119465</v>
      </c>
      <c r="O147" s="7">
        <f t="shared" si="23"/>
        <v>4.0262232668805215E-2</v>
      </c>
    </row>
    <row r="148" spans="1:15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4">
        <f>IF(SUMIFS('Daily NSE Equity Cash'!$H:$H,'Daily NSE Equity Cash'!$A:$A,$A148)=0,"",SUMIFS('Daily NSE Equity Cash'!$H:$H,'Daily NSE Equity Cash'!$A:$A,$A148))</f>
        <v>553.41010000000006</v>
      </c>
      <c r="F148" s="4">
        <f>IF(SUMIFS('Daily BSE Equity Cash'!$H:$H,'Daily BSE Equity Cash'!$A:$A,$A148)=0,"",SUMIFS('Daily BSE Equity Cash'!$H:$H,'Daily BSE Equity Cash'!$A:$A,$A148))</f>
        <v>26.187899999999999</v>
      </c>
      <c r="G148" s="4">
        <f t="shared" si="18"/>
        <v>579.59800000000007</v>
      </c>
      <c r="H148" s="7" t="str">
        <f t="shared" si="19"/>
        <v/>
      </c>
      <c r="I148" s="7" t="str">
        <f t="shared" si="20"/>
        <v/>
      </c>
      <c r="J148" s="7" t="str">
        <f t="shared" si="21"/>
        <v/>
      </c>
      <c r="K148" s="7">
        <f t="shared" si="24"/>
        <v>9.3729353369520263E-2</v>
      </c>
      <c r="L148" s="7">
        <f t="shared" si="25"/>
        <v>0.2337245073421681</v>
      </c>
      <c r="M148" s="7">
        <f t="shared" si="26"/>
        <v>9.9365870831272129E-2</v>
      </c>
      <c r="N148" s="7">
        <f t="shared" si="22"/>
        <v>0.95481713187416106</v>
      </c>
      <c r="O148" s="7">
        <f t="shared" si="23"/>
        <v>4.5182868125838938E-2</v>
      </c>
    </row>
    <row r="149" spans="1:15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4">
        <f>IF(SUMIFS('Daily NSE Equity Cash'!$H:$H,'Daily NSE Equity Cash'!$A:$A,$A149)=0,"",SUMIFS('Daily NSE Equity Cash'!$H:$H,'Daily NSE Equity Cash'!$A:$A,$A149))</f>
        <v>580.90679999999998</v>
      </c>
      <c r="F149" s="4">
        <f>IF(SUMIFS('Daily BSE Equity Cash'!$H:$H,'Daily BSE Equity Cash'!$A:$A,$A149)=0,"",SUMIFS('Daily BSE Equity Cash'!$H:$H,'Daily BSE Equity Cash'!$A:$A,$A149))</f>
        <v>26.542899999999999</v>
      </c>
      <c r="G149" s="4">
        <f t="shared" si="18"/>
        <v>607.44970000000001</v>
      </c>
      <c r="H149" s="7" t="str">
        <f t="shared" si="19"/>
        <v/>
      </c>
      <c r="I149" s="7" t="str">
        <f t="shared" si="20"/>
        <v/>
      </c>
      <c r="J149" s="7" t="str">
        <f t="shared" si="21"/>
        <v/>
      </c>
      <c r="K149" s="7">
        <f t="shared" si="24"/>
        <v>4.9685938149665043E-2</v>
      </c>
      <c r="L149" s="7">
        <f t="shared" si="25"/>
        <v>1.3555878860084247E-2</v>
      </c>
      <c r="M149" s="7">
        <f t="shared" si="26"/>
        <v>4.8053478445405196E-2</v>
      </c>
      <c r="N149" s="7">
        <f t="shared" si="22"/>
        <v>0.95630436561249432</v>
      </c>
      <c r="O149" s="7">
        <f t="shared" si="23"/>
        <v>4.3695634387505664E-2</v>
      </c>
    </row>
    <row r="150" spans="1:15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4">
        <f>IF(SUMIFS('Daily NSE Equity Cash'!$H:$H,'Daily NSE Equity Cash'!$A:$A,$A150)=0,"",SUMIFS('Daily NSE Equity Cash'!$H:$H,'Daily NSE Equity Cash'!$A:$A,$A150))</f>
        <v>568.45759999999996</v>
      </c>
      <c r="F150" s="4">
        <f>IF(SUMIFS('Daily BSE Equity Cash'!$H:$H,'Daily BSE Equity Cash'!$A:$A,$A150)=0,"",SUMIFS('Daily BSE Equity Cash'!$H:$H,'Daily BSE Equity Cash'!$A:$A,$A150))</f>
        <v>41.358499999999999</v>
      </c>
      <c r="G150" s="4">
        <f t="shared" si="18"/>
        <v>609.81610000000001</v>
      </c>
      <c r="H150" s="7" t="str">
        <f t="shared" si="19"/>
        <v/>
      </c>
      <c r="I150" s="7" t="str">
        <f t="shared" si="20"/>
        <v/>
      </c>
      <c r="J150" s="7" t="str">
        <f t="shared" si="21"/>
        <v/>
      </c>
      <c r="K150" s="7">
        <f t="shared" si="24"/>
        <v>-2.1430632245998837E-2</v>
      </c>
      <c r="L150" s="7">
        <f t="shared" si="25"/>
        <v>0.55817563265506021</v>
      </c>
      <c r="M150" s="7">
        <f t="shared" si="26"/>
        <v>3.8956311938256327E-3</v>
      </c>
      <c r="N150" s="7">
        <f t="shared" si="22"/>
        <v>0.93217873388387085</v>
      </c>
      <c r="O150" s="7">
        <f t="shared" si="23"/>
        <v>6.7821266116129111E-2</v>
      </c>
    </row>
    <row r="151" spans="1:15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4">
        <f>IF(SUMIFS('Daily NSE Equity Cash'!$H:$H,'Daily NSE Equity Cash'!$A:$A,$A151)=0,"",SUMIFS('Daily NSE Equity Cash'!$H:$H,'Daily NSE Equity Cash'!$A:$A,$A151))</f>
        <v>558.4171</v>
      </c>
      <c r="F151" s="4">
        <f>IF(SUMIFS('Daily BSE Equity Cash'!$H:$H,'Daily BSE Equity Cash'!$A:$A,$A151)=0,"",SUMIFS('Daily BSE Equity Cash'!$H:$H,'Daily BSE Equity Cash'!$A:$A,$A151))</f>
        <v>33.252099999999999</v>
      </c>
      <c r="G151" s="4">
        <f t="shared" si="18"/>
        <v>591.66920000000005</v>
      </c>
      <c r="H151" s="7" t="str">
        <f t="shared" si="19"/>
        <v/>
      </c>
      <c r="I151" s="7" t="str">
        <f t="shared" si="20"/>
        <v/>
      </c>
      <c r="J151" s="7" t="str">
        <f t="shared" si="21"/>
        <v/>
      </c>
      <c r="K151" s="7">
        <f t="shared" si="24"/>
        <v>-1.7662706945953288E-2</v>
      </c>
      <c r="L151" s="7">
        <f t="shared" si="25"/>
        <v>-0.19600323996276459</v>
      </c>
      <c r="M151" s="7">
        <f t="shared" si="26"/>
        <v>-2.9757987694978838E-2</v>
      </c>
      <c r="N151" s="7">
        <f t="shared" si="22"/>
        <v>0.94379950823872527</v>
      </c>
      <c r="O151" s="7">
        <f t="shared" si="23"/>
        <v>5.6200491761274708E-2</v>
      </c>
    </row>
    <row r="152" spans="1:15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4">
        <f>IF(SUMIFS('Daily NSE Equity Cash'!$H:$H,'Daily NSE Equity Cash'!$A:$A,$A152)=0,"",SUMIFS('Daily NSE Equity Cash'!$H:$H,'Daily NSE Equity Cash'!$A:$A,$A152))</f>
        <v>593.12329999999997</v>
      </c>
      <c r="F152" s="4">
        <f>IF(SUMIFS('Daily BSE Equity Cash'!$H:$H,'Daily BSE Equity Cash'!$A:$A,$A152)=0,"",SUMIFS('Daily BSE Equity Cash'!$H:$H,'Daily BSE Equity Cash'!$A:$A,$A152))</f>
        <v>30.863700000000001</v>
      </c>
      <c r="G152" s="4">
        <f t="shared" si="18"/>
        <v>623.98699999999997</v>
      </c>
      <c r="H152" s="7" t="str">
        <f t="shared" si="19"/>
        <v/>
      </c>
      <c r="I152" s="7" t="str">
        <f t="shared" si="20"/>
        <v/>
      </c>
      <c r="J152" s="7" t="str">
        <f t="shared" si="21"/>
        <v/>
      </c>
      <c r="K152" s="7">
        <f t="shared" si="24"/>
        <v>6.2151033698645719E-2</v>
      </c>
      <c r="L152" s="7">
        <f t="shared" si="25"/>
        <v>-7.1827042502578653E-2</v>
      </c>
      <c r="M152" s="7">
        <f t="shared" si="26"/>
        <v>5.4621399930907089E-2</v>
      </c>
      <c r="N152" s="7">
        <f t="shared" si="22"/>
        <v>0.95053791184752245</v>
      </c>
      <c r="O152" s="7">
        <f t="shared" si="23"/>
        <v>4.9462088152477539E-2</v>
      </c>
    </row>
    <row r="153" spans="1:15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4">
        <f>IF(SUMIFS('Daily NSE Equity Cash'!$H:$H,'Daily NSE Equity Cash'!$A:$A,$A153)=0,"",SUMIFS('Daily NSE Equity Cash'!$H:$H,'Daily NSE Equity Cash'!$A:$A,$A153))</f>
        <v>569.024</v>
      </c>
      <c r="F153" s="4">
        <f>IF(SUMIFS('Daily BSE Equity Cash'!$H:$H,'Daily BSE Equity Cash'!$A:$A,$A153)=0,"",SUMIFS('Daily BSE Equity Cash'!$H:$H,'Daily BSE Equity Cash'!$A:$A,$A153))</f>
        <v>33.241</v>
      </c>
      <c r="G153" s="4">
        <f t="shared" si="18"/>
        <v>602.26499999999999</v>
      </c>
      <c r="H153" s="7" t="str">
        <f t="shared" si="19"/>
        <v/>
      </c>
      <c r="I153" s="7" t="str">
        <f t="shared" si="20"/>
        <v/>
      </c>
      <c r="J153" s="7" t="str">
        <f t="shared" si="21"/>
        <v/>
      </c>
      <c r="K153" s="7">
        <f t="shared" si="24"/>
        <v>-4.0631180734258754E-2</v>
      </c>
      <c r="L153" s="7">
        <f t="shared" si="25"/>
        <v>7.7025761655277858E-2</v>
      </c>
      <c r="M153" s="7">
        <f t="shared" si="26"/>
        <v>-3.4811622678036502E-2</v>
      </c>
      <c r="N153" s="7">
        <f t="shared" si="22"/>
        <v>0.94480668808580948</v>
      </c>
      <c r="O153" s="7">
        <f t="shared" si="23"/>
        <v>5.51933119141906E-2</v>
      </c>
    </row>
    <row r="154" spans="1:15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4">
        <f>IF(SUMIFS('Daily NSE Equity Cash'!$H:$H,'Daily NSE Equity Cash'!$A:$A,$A154)=0,"",SUMIFS('Daily NSE Equity Cash'!$H:$H,'Daily NSE Equity Cash'!$A:$A,$A154))</f>
        <v>826.2568</v>
      </c>
      <c r="F154" s="4">
        <f>IF(SUMIFS('Daily BSE Equity Cash'!$H:$H,'Daily BSE Equity Cash'!$A:$A,$A154)=0,"",SUMIFS('Daily BSE Equity Cash'!$H:$H,'Daily BSE Equity Cash'!$A:$A,$A154))</f>
        <v>43.203299999999999</v>
      </c>
      <c r="G154" s="4">
        <f t="shared" si="18"/>
        <v>869.46010000000001</v>
      </c>
      <c r="H154" s="7" t="str">
        <f t="shared" si="19"/>
        <v/>
      </c>
      <c r="I154" s="7" t="str">
        <f t="shared" si="20"/>
        <v/>
      </c>
      <c r="J154" s="7" t="str">
        <f t="shared" si="21"/>
        <v/>
      </c>
      <c r="K154" s="7">
        <f t="shared" si="24"/>
        <v>0.45205966707906864</v>
      </c>
      <c r="L154" s="7">
        <f t="shared" si="25"/>
        <v>0.29969916669173613</v>
      </c>
      <c r="M154" s="7">
        <f t="shared" si="26"/>
        <v>0.44365038645778854</v>
      </c>
      <c r="N154" s="7">
        <f t="shared" si="22"/>
        <v>0.9503101982483152</v>
      </c>
      <c r="O154" s="7">
        <f t="shared" si="23"/>
        <v>4.9689801751684748E-2</v>
      </c>
    </row>
    <row r="155" spans="1:15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4">
        <f>IF(SUMIFS('Daily NSE Equity Cash'!$H:$H,'Daily NSE Equity Cash'!$A:$A,$A155)=0,"",SUMIFS('Daily NSE Equity Cash'!$H:$H,'Daily NSE Equity Cash'!$A:$A,$A155))</f>
        <v>817.43309999999997</v>
      </c>
      <c r="F155" s="4">
        <f>IF(SUMIFS('Daily BSE Equity Cash'!$H:$H,'Daily BSE Equity Cash'!$A:$A,$A155)=0,"",SUMIFS('Daily BSE Equity Cash'!$H:$H,'Daily BSE Equity Cash'!$A:$A,$A155))</f>
        <v>42.872</v>
      </c>
      <c r="G155" s="4">
        <f t="shared" si="18"/>
        <v>860.30509999999992</v>
      </c>
      <c r="H155" s="7" t="str">
        <f t="shared" si="19"/>
        <v/>
      </c>
      <c r="I155" s="7" t="str">
        <f t="shared" si="20"/>
        <v/>
      </c>
      <c r="J155" s="7" t="str">
        <f t="shared" si="21"/>
        <v/>
      </c>
      <c r="K155" s="7">
        <f t="shared" si="24"/>
        <v>-1.067912542444438E-2</v>
      </c>
      <c r="L155" s="7">
        <f t="shared" si="25"/>
        <v>-7.6683957012543269E-3</v>
      </c>
      <c r="M155" s="7">
        <f t="shared" si="26"/>
        <v>-1.052952286137121E-2</v>
      </c>
      <c r="N155" s="7">
        <f t="shared" si="22"/>
        <v>0.95016651650676032</v>
      </c>
      <c r="O155" s="7">
        <f t="shared" si="23"/>
        <v>4.9833483493239787E-2</v>
      </c>
    </row>
    <row r="156" spans="1:15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4">
        <f>IF(SUMIFS('Daily NSE Equity Cash'!$H:$H,'Daily NSE Equity Cash'!$A:$A,$A156)=0,"",SUMIFS('Daily NSE Equity Cash'!$H:$H,'Daily NSE Equity Cash'!$A:$A,$A156))</f>
        <v>635.76570000000004</v>
      </c>
      <c r="F156" s="4">
        <f>IF(SUMIFS('Daily BSE Equity Cash'!$H:$H,'Daily BSE Equity Cash'!$A:$A,$A156)=0,"",SUMIFS('Daily BSE Equity Cash'!$H:$H,'Daily BSE Equity Cash'!$A:$A,$A156))</f>
        <v>31.080200000000001</v>
      </c>
      <c r="G156" s="4">
        <f t="shared" si="18"/>
        <v>666.84590000000003</v>
      </c>
      <c r="H156" s="7" t="str">
        <f t="shared" si="19"/>
        <v/>
      </c>
      <c r="I156" s="7" t="str">
        <f t="shared" si="20"/>
        <v/>
      </c>
      <c r="J156" s="7" t="str">
        <f t="shared" si="21"/>
        <v/>
      </c>
      <c r="K156" s="7">
        <f t="shared" si="24"/>
        <v>-0.22224130635277672</v>
      </c>
      <c r="L156" s="7">
        <f t="shared" si="25"/>
        <v>-0.27504665049449517</v>
      </c>
      <c r="M156" s="7">
        <f t="shared" si="26"/>
        <v>-0.22487278059841787</v>
      </c>
      <c r="N156" s="7">
        <f t="shared" si="22"/>
        <v>0.95339223049883037</v>
      </c>
      <c r="O156" s="7">
        <f t="shared" si="23"/>
        <v>4.6607769501169613E-2</v>
      </c>
    </row>
    <row r="157" spans="1:15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4">
        <f>IF(SUMIFS('Daily NSE Equity Cash'!$H:$H,'Daily NSE Equity Cash'!$A:$A,$A157)=0,"",SUMIFS('Daily NSE Equity Cash'!$H:$H,'Daily NSE Equity Cash'!$A:$A,$A157))</f>
        <v>582.26480000000004</v>
      </c>
      <c r="F157" s="4">
        <f>IF(SUMIFS('Daily BSE Equity Cash'!$H:$H,'Daily BSE Equity Cash'!$A:$A,$A157)=0,"",SUMIFS('Daily BSE Equity Cash'!$H:$H,'Daily BSE Equity Cash'!$A:$A,$A157))</f>
        <v>41.161999999999999</v>
      </c>
      <c r="G157" s="4">
        <f t="shared" si="18"/>
        <v>623.42680000000007</v>
      </c>
      <c r="H157" s="7" t="str">
        <f t="shared" si="19"/>
        <v/>
      </c>
      <c r="I157" s="7" t="str">
        <f t="shared" si="20"/>
        <v/>
      </c>
      <c r="J157" s="7" t="str">
        <f t="shared" si="21"/>
        <v/>
      </c>
      <c r="K157" s="7">
        <f t="shared" si="24"/>
        <v>-8.4151913196952921E-2</v>
      </c>
      <c r="L157" s="7">
        <f t="shared" si="25"/>
        <v>0.32438015199387382</v>
      </c>
      <c r="M157" s="7">
        <f t="shared" si="26"/>
        <v>-6.5111144868701953E-2</v>
      </c>
      <c r="N157" s="7">
        <f t="shared" si="22"/>
        <v>0.93397460616065908</v>
      </c>
      <c r="O157" s="7">
        <f t="shared" si="23"/>
        <v>6.6025393839340876E-2</v>
      </c>
    </row>
    <row r="158" spans="1:15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4">
        <f>IF(SUMIFS('Daily NSE Equity Cash'!$H:$H,'Daily NSE Equity Cash'!$A:$A,$A158)=0,"",SUMIFS('Daily NSE Equity Cash'!$H:$H,'Daily NSE Equity Cash'!$A:$A,$A158))</f>
        <v>95.228300000000004</v>
      </c>
      <c r="F158" s="4">
        <f>IF(SUMIFS('Daily BSE Equity Cash'!$H:$H,'Daily BSE Equity Cash'!$A:$A,$A158)=0,"",SUMIFS('Daily BSE Equity Cash'!$H:$H,'Daily BSE Equity Cash'!$A:$A,$A158))</f>
        <v>7.8089000000000004</v>
      </c>
      <c r="G158" s="4">
        <f t="shared" si="18"/>
        <v>103.0372</v>
      </c>
      <c r="H158" s="7" t="str">
        <f t="shared" si="19"/>
        <v/>
      </c>
      <c r="I158" s="7" t="str">
        <f t="shared" si="20"/>
        <v/>
      </c>
      <c r="J158" s="7" t="str">
        <f t="shared" si="21"/>
        <v/>
      </c>
      <c r="K158" s="7">
        <f t="shared" si="24"/>
        <v>-0.83645190298297267</v>
      </c>
      <c r="L158" s="7">
        <f t="shared" si="25"/>
        <v>-0.81028861571352218</v>
      </c>
      <c r="M158" s="7">
        <f t="shared" si="26"/>
        <v>-0.83472446163687541</v>
      </c>
      <c r="N158" s="7">
        <f t="shared" si="22"/>
        <v>0.92421280857787291</v>
      </c>
      <c r="O158" s="7">
        <f t="shared" si="23"/>
        <v>7.5787191422127156E-2</v>
      </c>
    </row>
    <row r="159" spans="1:15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4">
        <f>IF(SUMIFS('Daily NSE Equity Cash'!$H:$H,'Daily NSE Equity Cash'!$A:$A,$A159)=0,"",SUMIFS('Daily NSE Equity Cash'!$H:$H,'Daily NSE Equity Cash'!$A:$A,$A159))</f>
        <v>672.35919999999999</v>
      </c>
      <c r="F159" s="4">
        <f>IF(SUMIFS('Daily BSE Equity Cash'!$H:$H,'Daily BSE Equity Cash'!$A:$A,$A159)=0,"",SUMIFS('Daily BSE Equity Cash'!$H:$H,'Daily BSE Equity Cash'!$A:$A,$A159))</f>
        <v>41.779800000000002</v>
      </c>
      <c r="G159" s="4">
        <f t="shared" si="18"/>
        <v>714.13900000000001</v>
      </c>
      <c r="H159" s="7" t="str">
        <f t="shared" si="19"/>
        <v/>
      </c>
      <c r="I159" s="7" t="str">
        <f t="shared" si="20"/>
        <v/>
      </c>
      <c r="J159" s="7" t="str">
        <f t="shared" si="21"/>
        <v/>
      </c>
      <c r="K159" s="7">
        <f t="shared" si="24"/>
        <v>6.0604977721958697</v>
      </c>
      <c r="L159" s="7">
        <f t="shared" si="25"/>
        <v>4.3502798089359578</v>
      </c>
      <c r="M159" s="7">
        <f t="shared" si="26"/>
        <v>5.9308851560407314</v>
      </c>
      <c r="N159" s="7">
        <f t="shared" si="22"/>
        <v>0.94149626333248848</v>
      </c>
      <c r="O159" s="7">
        <f t="shared" si="23"/>
        <v>5.8503736667511505E-2</v>
      </c>
    </row>
    <row r="160" spans="1:15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4">
        <f>IF(SUMIFS('Daily NSE Equity Cash'!$H:$H,'Daily NSE Equity Cash'!$A:$A,$A160)=0,"",SUMIFS('Daily NSE Equity Cash'!$H:$H,'Daily NSE Equity Cash'!$A:$A,$A160))</f>
        <v>684.70690000000002</v>
      </c>
      <c r="F160" s="4">
        <f>IF(SUMIFS('Daily BSE Equity Cash'!$H:$H,'Daily BSE Equity Cash'!$A:$A,$A160)=0,"",SUMIFS('Daily BSE Equity Cash'!$H:$H,'Daily BSE Equity Cash'!$A:$A,$A160))</f>
        <v>36.045200000000001</v>
      </c>
      <c r="G160" s="4">
        <f t="shared" si="18"/>
        <v>720.75210000000004</v>
      </c>
      <c r="H160" s="7" t="str">
        <f t="shared" si="19"/>
        <v/>
      </c>
      <c r="I160" s="7" t="str">
        <f t="shared" si="20"/>
        <v/>
      </c>
      <c r="J160" s="7" t="str">
        <f t="shared" si="21"/>
        <v/>
      </c>
      <c r="K160" s="7">
        <f t="shared" si="24"/>
        <v>1.8364737182149149E-2</v>
      </c>
      <c r="L160" s="7">
        <f t="shared" si="25"/>
        <v>-0.13725771784450858</v>
      </c>
      <c r="M160" s="7">
        <f t="shared" si="26"/>
        <v>9.2602420537177821E-3</v>
      </c>
      <c r="N160" s="7">
        <f t="shared" si="22"/>
        <v>0.94998946239629412</v>
      </c>
      <c r="O160" s="7">
        <f t="shared" si="23"/>
        <v>5.0010537603705905E-2</v>
      </c>
    </row>
    <row r="161" spans="1:15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4">
        <f>IF(SUMIFS('Daily NSE Equity Cash'!$H:$H,'Daily NSE Equity Cash'!$A:$A,$A161)=0,"",SUMIFS('Daily NSE Equity Cash'!$H:$H,'Daily NSE Equity Cash'!$A:$A,$A161))</f>
        <v>768.33230000000003</v>
      </c>
      <c r="F161" s="4">
        <f>IF(SUMIFS('Daily BSE Equity Cash'!$H:$H,'Daily BSE Equity Cash'!$A:$A,$A161)=0,"",SUMIFS('Daily BSE Equity Cash'!$H:$H,'Daily BSE Equity Cash'!$A:$A,$A161))</f>
        <v>42.7333</v>
      </c>
      <c r="G161" s="4">
        <f t="shared" si="18"/>
        <v>811.06560000000002</v>
      </c>
      <c r="H161" s="7" t="str">
        <f t="shared" si="19"/>
        <v/>
      </c>
      <c r="I161" s="7" t="str">
        <f t="shared" si="20"/>
        <v/>
      </c>
      <c r="J161" s="7" t="str">
        <f t="shared" si="21"/>
        <v/>
      </c>
      <c r="K161" s="7">
        <f t="shared" si="24"/>
        <v>0.12213313463030673</v>
      </c>
      <c r="L161" s="7">
        <f t="shared" si="25"/>
        <v>0.18554759024779988</v>
      </c>
      <c r="M161" s="7">
        <f t="shared" si="26"/>
        <v>0.12530452564758399</v>
      </c>
      <c r="N161" s="7">
        <f t="shared" si="22"/>
        <v>0.94731215329561502</v>
      </c>
      <c r="O161" s="7">
        <f t="shared" si="23"/>
        <v>5.2687846704384943E-2</v>
      </c>
    </row>
    <row r="162" spans="1:15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4">
        <f>IF(SUMIFS('Daily NSE Equity Cash'!$H:$H,'Daily NSE Equity Cash'!$A:$A,$A162)=0,"",SUMIFS('Daily NSE Equity Cash'!$H:$H,'Daily NSE Equity Cash'!$A:$A,$A162))</f>
        <v>730.88559999999995</v>
      </c>
      <c r="F162" s="4">
        <f>IF(SUMIFS('Daily BSE Equity Cash'!$H:$H,'Daily BSE Equity Cash'!$A:$A,$A162)=0,"",SUMIFS('Daily BSE Equity Cash'!$H:$H,'Daily BSE Equity Cash'!$A:$A,$A162))</f>
        <v>37.200400000000002</v>
      </c>
      <c r="G162" s="4">
        <f t="shared" si="18"/>
        <v>768.08600000000001</v>
      </c>
      <c r="H162" s="7" t="str">
        <f t="shared" si="19"/>
        <v/>
      </c>
      <c r="I162" s="7" t="str">
        <f t="shared" si="20"/>
        <v/>
      </c>
      <c r="J162" s="7" t="str">
        <f t="shared" si="21"/>
        <v/>
      </c>
      <c r="K162" s="7">
        <f t="shared" si="24"/>
        <v>-4.8737636046278565E-2</v>
      </c>
      <c r="L162" s="7">
        <f t="shared" si="25"/>
        <v>-0.12947513999620897</v>
      </c>
      <c r="M162" s="7">
        <f t="shared" si="26"/>
        <v>-5.2991521277687026E-2</v>
      </c>
      <c r="N162" s="7">
        <f t="shared" si="22"/>
        <v>0.95156740260856199</v>
      </c>
      <c r="O162" s="7">
        <f t="shared" si="23"/>
        <v>4.8432597391437938E-2</v>
      </c>
    </row>
    <row r="163" spans="1:15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4">
        <f>IF(SUMIFS('Daily NSE Equity Cash'!$H:$H,'Daily NSE Equity Cash'!$A:$A,$A163)=0,"",SUMIFS('Daily NSE Equity Cash'!$H:$H,'Daily NSE Equity Cash'!$A:$A,$A163))</f>
        <v>710.73220000000003</v>
      </c>
      <c r="F163" s="4">
        <f>IF(SUMIFS('Daily BSE Equity Cash'!$H:$H,'Daily BSE Equity Cash'!$A:$A,$A163)=0,"",SUMIFS('Daily BSE Equity Cash'!$H:$H,'Daily BSE Equity Cash'!$A:$A,$A163))</f>
        <v>44.194800000000001</v>
      </c>
      <c r="G163" s="4">
        <f t="shared" si="18"/>
        <v>754.92700000000002</v>
      </c>
      <c r="H163" s="7" t="str">
        <f t="shared" si="19"/>
        <v/>
      </c>
      <c r="I163" s="7" t="str">
        <f t="shared" si="20"/>
        <v/>
      </c>
      <c r="J163" s="7" t="str">
        <f t="shared" si="21"/>
        <v/>
      </c>
      <c r="K163" s="7">
        <f t="shared" si="24"/>
        <v>-2.757394590890816E-2</v>
      </c>
      <c r="L163" s="7">
        <f t="shared" si="25"/>
        <v>0.18801948366146592</v>
      </c>
      <c r="M163" s="7">
        <f t="shared" si="26"/>
        <v>-1.713219613428707E-2</v>
      </c>
      <c r="N163" s="7">
        <f t="shared" si="22"/>
        <v>0.94145818072475884</v>
      </c>
      <c r="O163" s="7">
        <f t="shared" si="23"/>
        <v>5.8541819275241179E-2</v>
      </c>
    </row>
    <row r="164" spans="1:15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4">
        <f>IF(SUMIFS('Daily NSE Equity Cash'!$H:$H,'Daily NSE Equity Cash'!$A:$A,$A164)=0,"",SUMIFS('Daily NSE Equity Cash'!$H:$H,'Daily NSE Equity Cash'!$A:$A,$A164))</f>
        <v>663.99519999999995</v>
      </c>
      <c r="F164" s="4">
        <f>IF(SUMIFS('Daily BSE Equity Cash'!$H:$H,'Daily BSE Equity Cash'!$A:$A,$A164)=0,"",SUMIFS('Daily BSE Equity Cash'!$H:$H,'Daily BSE Equity Cash'!$A:$A,$A164))</f>
        <v>37.073500000000003</v>
      </c>
      <c r="G164" s="4">
        <f t="shared" si="18"/>
        <v>701.06869999999992</v>
      </c>
      <c r="H164" s="7" t="str">
        <f t="shared" si="19"/>
        <v/>
      </c>
      <c r="I164" s="7" t="str">
        <f t="shared" si="20"/>
        <v/>
      </c>
      <c r="J164" s="7" t="str">
        <f t="shared" si="21"/>
        <v/>
      </c>
      <c r="K164" s="7">
        <f t="shared" si="24"/>
        <v>-6.5758945493112675E-2</v>
      </c>
      <c r="L164" s="7">
        <f t="shared" si="25"/>
        <v>-0.16113434159674889</v>
      </c>
      <c r="M164" s="7">
        <f t="shared" si="26"/>
        <v>-7.1342394695116385E-2</v>
      </c>
      <c r="N164" s="7">
        <f t="shared" si="22"/>
        <v>0.94711859194398496</v>
      </c>
      <c r="O164" s="7">
        <f t="shared" si="23"/>
        <v>5.2881408056015065E-2</v>
      </c>
    </row>
    <row r="165" spans="1:15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4">
        <f>IF(SUMIFS('Daily NSE Equity Cash'!$H:$H,'Daily NSE Equity Cash'!$A:$A,$A165)=0,"",SUMIFS('Daily NSE Equity Cash'!$H:$H,'Daily NSE Equity Cash'!$A:$A,$A165))</f>
        <v>674.154</v>
      </c>
      <c r="F165" s="4">
        <f>IF(SUMIFS('Daily BSE Equity Cash'!$H:$H,'Daily BSE Equity Cash'!$A:$A,$A165)=0,"",SUMIFS('Daily BSE Equity Cash'!$H:$H,'Daily BSE Equity Cash'!$A:$A,$A165))</f>
        <v>39.735399999999998</v>
      </c>
      <c r="G165" s="4">
        <f t="shared" si="18"/>
        <v>713.88940000000002</v>
      </c>
      <c r="H165" s="7" t="str">
        <f t="shared" si="19"/>
        <v/>
      </c>
      <c r="I165" s="7" t="str">
        <f t="shared" si="20"/>
        <v/>
      </c>
      <c r="J165" s="7" t="str">
        <f t="shared" si="21"/>
        <v/>
      </c>
      <c r="K165" s="7">
        <f t="shared" si="24"/>
        <v>1.5299508189215993E-2</v>
      </c>
      <c r="L165" s="7">
        <f t="shared" si="25"/>
        <v>7.1800612297193256E-2</v>
      </c>
      <c r="M165" s="7">
        <f t="shared" si="26"/>
        <v>1.8287366131165328E-2</v>
      </c>
      <c r="N165" s="7">
        <f t="shared" si="22"/>
        <v>0.94433955736000563</v>
      </c>
      <c r="O165" s="7">
        <f t="shared" si="23"/>
        <v>5.5660442639994367E-2</v>
      </c>
    </row>
    <row r="166" spans="1:15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4">
        <f>IF(SUMIFS('Daily NSE Equity Cash'!$H:$H,'Daily NSE Equity Cash'!$A:$A,$A166)=0,"",SUMIFS('Daily NSE Equity Cash'!$H:$H,'Daily NSE Equity Cash'!$A:$A,$A166))</f>
        <v>612.66629999999998</v>
      </c>
      <c r="F166" s="4">
        <f>IF(SUMIFS('Daily BSE Equity Cash'!$H:$H,'Daily BSE Equity Cash'!$A:$A,$A166)=0,"",SUMIFS('Daily BSE Equity Cash'!$H:$H,'Daily BSE Equity Cash'!$A:$A,$A166))</f>
        <v>29.418299999999999</v>
      </c>
      <c r="G166" s="4">
        <f t="shared" si="18"/>
        <v>642.08460000000002</v>
      </c>
      <c r="H166" s="7" t="str">
        <f t="shared" si="19"/>
        <v/>
      </c>
      <c r="I166" s="7" t="str">
        <f t="shared" si="20"/>
        <v/>
      </c>
      <c r="J166" s="7" t="str">
        <f t="shared" si="21"/>
        <v/>
      </c>
      <c r="K166" s="7">
        <f t="shared" si="24"/>
        <v>-9.1207201915289415E-2</v>
      </c>
      <c r="L166" s="7">
        <f t="shared" si="25"/>
        <v>-0.25964505201910637</v>
      </c>
      <c r="M166" s="7">
        <f t="shared" si="26"/>
        <v>-0.10058252720939687</v>
      </c>
      <c r="N166" s="7">
        <f t="shared" si="22"/>
        <v>0.95418314035253293</v>
      </c>
      <c r="O166" s="7">
        <f t="shared" si="23"/>
        <v>4.5816859647467012E-2</v>
      </c>
    </row>
    <row r="167" spans="1:15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4">
        <f>IF(SUMIFS('Daily NSE Equity Cash'!$H:$H,'Daily NSE Equity Cash'!$A:$A,$A167)=0,"",SUMIFS('Daily NSE Equity Cash'!$H:$H,'Daily NSE Equity Cash'!$A:$A,$A167))</f>
        <v>1474.5998999999999</v>
      </c>
      <c r="F167" s="4">
        <f>IF(SUMIFS('Daily BSE Equity Cash'!$H:$H,'Daily BSE Equity Cash'!$A:$A,$A167)=0,"",SUMIFS('Daily BSE Equity Cash'!$H:$H,'Daily BSE Equity Cash'!$A:$A,$A167))</f>
        <v>41.005600000000001</v>
      </c>
      <c r="G167" s="4">
        <f t="shared" si="18"/>
        <v>1515.6054999999999</v>
      </c>
      <c r="H167" s="7" t="str">
        <f t="shared" si="19"/>
        <v/>
      </c>
      <c r="I167" s="7" t="str">
        <f t="shared" si="20"/>
        <v/>
      </c>
      <c r="J167" s="7" t="str">
        <f t="shared" si="21"/>
        <v/>
      </c>
      <c r="K167" s="7">
        <f t="shared" si="24"/>
        <v>1.4068565547019642</v>
      </c>
      <c r="L167" s="7">
        <f t="shared" si="25"/>
        <v>0.39388067971296792</v>
      </c>
      <c r="M167" s="7">
        <f t="shared" si="26"/>
        <v>1.3604451812113232</v>
      </c>
      <c r="N167" s="7">
        <f t="shared" si="22"/>
        <v>0.97294441066623205</v>
      </c>
      <c r="O167" s="7">
        <f t="shared" si="23"/>
        <v>2.7055589333767924E-2</v>
      </c>
    </row>
    <row r="168" spans="1:15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4">
        <f>IF(SUMIFS('Daily NSE Equity Cash'!$H:$H,'Daily NSE Equity Cash'!$A:$A,$A168)=0,"",SUMIFS('Daily NSE Equity Cash'!$H:$H,'Daily NSE Equity Cash'!$A:$A,$A168))</f>
        <v>631.58550000000002</v>
      </c>
      <c r="F168" s="4">
        <f>IF(SUMIFS('Daily BSE Equity Cash'!$H:$H,'Daily BSE Equity Cash'!$A:$A,$A168)=0,"",SUMIFS('Daily BSE Equity Cash'!$H:$H,'Daily BSE Equity Cash'!$A:$A,$A168))</f>
        <v>31.235099999999999</v>
      </c>
      <c r="G168" s="4">
        <f t="shared" si="18"/>
        <v>662.82060000000001</v>
      </c>
      <c r="H168" s="7" t="str">
        <f t="shared" si="19"/>
        <v/>
      </c>
      <c r="I168" s="7" t="str">
        <f t="shared" si="20"/>
        <v/>
      </c>
      <c r="J168" s="7" t="str">
        <f t="shared" si="21"/>
        <v/>
      </c>
      <c r="K168" s="7">
        <f t="shared" si="24"/>
        <v>-0.57169025984607758</v>
      </c>
      <c r="L168" s="7">
        <f t="shared" si="25"/>
        <v>-0.23827233353493182</v>
      </c>
      <c r="M168" s="7">
        <f t="shared" si="26"/>
        <v>-0.56266944135528663</v>
      </c>
      <c r="N168" s="7">
        <f t="shared" si="22"/>
        <v>0.95287548395448185</v>
      </c>
      <c r="O168" s="7">
        <f t="shared" si="23"/>
        <v>4.7124516045518199E-2</v>
      </c>
    </row>
    <row r="169" spans="1:15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4">
        <f>IF(SUMIFS('Daily NSE Equity Cash'!$H:$H,'Daily NSE Equity Cash'!$A:$A,$A169)=0,"",SUMIFS('Daily NSE Equity Cash'!$H:$H,'Daily NSE Equity Cash'!$A:$A,$A169))</f>
        <v>670.69749999999999</v>
      </c>
      <c r="F169" s="4">
        <f>IF(SUMIFS('Daily BSE Equity Cash'!$H:$H,'Daily BSE Equity Cash'!$A:$A,$A169)=0,"",SUMIFS('Daily BSE Equity Cash'!$H:$H,'Daily BSE Equity Cash'!$A:$A,$A169))</f>
        <v>53.820799999999998</v>
      </c>
      <c r="G169" s="4">
        <f t="shared" si="18"/>
        <v>724.51829999999995</v>
      </c>
      <c r="H169" s="7" t="str">
        <f t="shared" si="19"/>
        <v/>
      </c>
      <c r="I169" s="7" t="str">
        <f t="shared" si="20"/>
        <v/>
      </c>
      <c r="J169" s="7" t="str">
        <f t="shared" si="21"/>
        <v/>
      </c>
      <c r="K169" s="7">
        <f t="shared" si="24"/>
        <v>6.1926690843915777E-2</v>
      </c>
      <c r="L169" s="7">
        <f t="shared" si="25"/>
        <v>0.72308716796168415</v>
      </c>
      <c r="M169" s="7">
        <f t="shared" si="26"/>
        <v>9.3083558356514384E-2</v>
      </c>
      <c r="N169" s="7">
        <f t="shared" si="22"/>
        <v>0.92571505785292107</v>
      </c>
      <c r="O169" s="7">
        <f t="shared" si="23"/>
        <v>7.4284942147078967E-2</v>
      </c>
    </row>
    <row r="170" spans="1:15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4">
        <f>IF(SUMIFS('Daily NSE Equity Cash'!$H:$H,'Daily NSE Equity Cash'!$A:$A,$A170)=0,"",SUMIFS('Daily NSE Equity Cash'!$H:$H,'Daily NSE Equity Cash'!$A:$A,$A170))</f>
        <v>715.72720000000004</v>
      </c>
      <c r="F170" s="4">
        <f>IF(SUMIFS('Daily BSE Equity Cash'!$H:$H,'Daily BSE Equity Cash'!$A:$A,$A170)=0,"",SUMIFS('Daily BSE Equity Cash'!$H:$H,'Daily BSE Equity Cash'!$A:$A,$A170))</f>
        <v>74.507300000000001</v>
      </c>
      <c r="G170" s="4">
        <f t="shared" si="18"/>
        <v>790.23450000000003</v>
      </c>
      <c r="H170" s="7" t="str">
        <f t="shared" si="19"/>
        <v/>
      </c>
      <c r="I170" s="7" t="str">
        <f t="shared" si="20"/>
        <v/>
      </c>
      <c r="J170" s="7" t="str">
        <f t="shared" si="21"/>
        <v/>
      </c>
      <c r="K170" s="7">
        <f t="shared" si="24"/>
        <v>6.7138613160180327E-2</v>
      </c>
      <c r="L170" s="7">
        <f t="shared" si="25"/>
        <v>0.3843588352458529</v>
      </c>
      <c r="M170" s="7">
        <f t="shared" si="26"/>
        <v>9.0703299005698179E-2</v>
      </c>
      <c r="N170" s="7">
        <f t="shared" si="22"/>
        <v>0.90571494917015138</v>
      </c>
      <c r="O170" s="7">
        <f t="shared" si="23"/>
        <v>9.4285050829848602E-2</v>
      </c>
    </row>
    <row r="171" spans="1:15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4">
        <f>IF(SUMIFS('Daily NSE Equity Cash'!$H:$H,'Daily NSE Equity Cash'!$A:$A,$A171)=0,"",SUMIFS('Daily NSE Equity Cash'!$H:$H,'Daily NSE Equity Cash'!$A:$A,$A171))</f>
        <v>720.20339999999999</v>
      </c>
      <c r="F171" s="4">
        <f>IF(SUMIFS('Daily BSE Equity Cash'!$H:$H,'Daily BSE Equity Cash'!$A:$A,$A171)=0,"",SUMIFS('Daily BSE Equity Cash'!$H:$H,'Daily BSE Equity Cash'!$A:$A,$A171))</f>
        <v>49.030900000000003</v>
      </c>
      <c r="G171" s="4">
        <f t="shared" si="18"/>
        <v>769.23429999999996</v>
      </c>
      <c r="H171" s="7" t="str">
        <f t="shared" si="19"/>
        <v/>
      </c>
      <c r="I171" s="7" t="str">
        <f t="shared" si="20"/>
        <v/>
      </c>
      <c r="J171" s="7" t="str">
        <f t="shared" si="21"/>
        <v/>
      </c>
      <c r="K171" s="7">
        <f t="shared" si="24"/>
        <v>6.2540588089987637E-3</v>
      </c>
      <c r="L171" s="7">
        <f t="shared" si="25"/>
        <v>-0.34193159596442224</v>
      </c>
      <c r="M171" s="7">
        <f t="shared" si="26"/>
        <v>-2.6574643349537519E-2</v>
      </c>
      <c r="N171" s="7">
        <f t="shared" si="22"/>
        <v>0.93626012256603741</v>
      </c>
      <c r="O171" s="7">
        <f t="shared" si="23"/>
        <v>6.3739877433962588E-2</v>
      </c>
    </row>
    <row r="172" spans="1:15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4">
        <f>IF(SUMIFS('Daily NSE Equity Cash'!$H:$H,'Daily NSE Equity Cash'!$A:$A,$A172)=0,"",SUMIFS('Daily NSE Equity Cash'!$H:$H,'Daily NSE Equity Cash'!$A:$A,$A172))</f>
        <v>681.12099999999998</v>
      </c>
      <c r="F172" s="4">
        <f>IF(SUMIFS('Daily BSE Equity Cash'!$H:$H,'Daily BSE Equity Cash'!$A:$A,$A172)=0,"",SUMIFS('Daily BSE Equity Cash'!$H:$H,'Daily BSE Equity Cash'!$A:$A,$A172))</f>
        <v>39.152200000000001</v>
      </c>
      <c r="G172" s="4">
        <f t="shared" si="18"/>
        <v>720.27319999999997</v>
      </c>
      <c r="H172" s="7" t="str">
        <f t="shared" si="19"/>
        <v/>
      </c>
      <c r="I172" s="7" t="str">
        <f t="shared" si="20"/>
        <v/>
      </c>
      <c r="J172" s="7" t="str">
        <f t="shared" si="21"/>
        <v/>
      </c>
      <c r="K172" s="7">
        <f t="shared" si="24"/>
        <v>-5.426578102797075E-2</v>
      </c>
      <c r="L172" s="7">
        <f t="shared" si="25"/>
        <v>-0.20147906728206089</v>
      </c>
      <c r="M172" s="7">
        <f t="shared" si="26"/>
        <v>-6.3649137850457227E-2</v>
      </c>
      <c r="N172" s="7">
        <f t="shared" si="22"/>
        <v>0.9456425700692459</v>
      </c>
      <c r="O172" s="7">
        <f t="shared" si="23"/>
        <v>5.4357429930754056E-2</v>
      </c>
    </row>
    <row r="173" spans="1:15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4">
        <f>IF(SUMIFS('Daily NSE Equity Cash'!$H:$H,'Daily NSE Equity Cash'!$A:$A,$A173)=0,"",SUMIFS('Daily NSE Equity Cash'!$H:$H,'Daily NSE Equity Cash'!$A:$A,$A173))</f>
        <v>693.76099999999997</v>
      </c>
      <c r="F173" s="4">
        <f>IF(SUMIFS('Daily BSE Equity Cash'!$H:$H,'Daily BSE Equity Cash'!$A:$A,$A173)=0,"",SUMIFS('Daily BSE Equity Cash'!$H:$H,'Daily BSE Equity Cash'!$A:$A,$A173))</f>
        <v>40.4833</v>
      </c>
      <c r="G173" s="4">
        <f t="shared" si="18"/>
        <v>734.24429999999995</v>
      </c>
      <c r="H173" s="7" t="str">
        <f t="shared" si="19"/>
        <v/>
      </c>
      <c r="I173" s="7" t="str">
        <f t="shared" si="20"/>
        <v/>
      </c>
      <c r="J173" s="7" t="str">
        <f t="shared" si="21"/>
        <v/>
      </c>
      <c r="K173" s="7">
        <f t="shared" si="24"/>
        <v>1.8557642474685165E-2</v>
      </c>
      <c r="L173" s="7">
        <f t="shared" si="25"/>
        <v>3.3998089507103035E-2</v>
      </c>
      <c r="M173" s="7">
        <f t="shared" si="26"/>
        <v>1.9396945492349271E-2</v>
      </c>
      <c r="N173" s="7">
        <f t="shared" si="22"/>
        <v>0.94486399145352573</v>
      </c>
      <c r="O173" s="7">
        <f t="shared" si="23"/>
        <v>5.5136008546474248E-2</v>
      </c>
    </row>
    <row r="174" spans="1:15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4">
        <f>IF(SUMIFS('Daily NSE Equity Cash'!$H:$H,'Daily NSE Equity Cash'!$A:$A,$A174)=0,"",SUMIFS('Daily NSE Equity Cash'!$H:$H,'Daily NSE Equity Cash'!$A:$A,$A174))</f>
        <v>626.25250000000005</v>
      </c>
      <c r="F174" s="4">
        <f>IF(SUMIFS('Daily BSE Equity Cash'!$H:$H,'Daily BSE Equity Cash'!$A:$A,$A174)=0,"",SUMIFS('Daily BSE Equity Cash'!$H:$H,'Daily BSE Equity Cash'!$A:$A,$A174))</f>
        <v>50.681800000000003</v>
      </c>
      <c r="G174" s="4">
        <f t="shared" si="18"/>
        <v>676.93430000000001</v>
      </c>
      <c r="H174" s="7" t="str">
        <f t="shared" si="19"/>
        <v/>
      </c>
      <c r="I174" s="7" t="str">
        <f t="shared" si="20"/>
        <v/>
      </c>
      <c r="J174" s="7" t="str">
        <f t="shared" si="21"/>
        <v/>
      </c>
      <c r="K174" s="7">
        <f t="shared" si="24"/>
        <v>-9.7308006647822354E-2</v>
      </c>
      <c r="L174" s="7">
        <f t="shared" si="25"/>
        <v>0.25191869239908815</v>
      </c>
      <c r="M174" s="7">
        <f t="shared" si="26"/>
        <v>-7.8053040384514993E-2</v>
      </c>
      <c r="N174" s="7">
        <f t="shared" si="22"/>
        <v>0.92513040039483896</v>
      </c>
      <c r="O174" s="7">
        <f t="shared" si="23"/>
        <v>7.4869599605161097E-2</v>
      </c>
    </row>
    <row r="175" spans="1:15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4">
        <f>IF(SUMIFS('Daily NSE Equity Cash'!$H:$H,'Daily NSE Equity Cash'!$A:$A,$A175)=0,"",SUMIFS('Daily NSE Equity Cash'!$H:$H,'Daily NSE Equity Cash'!$A:$A,$A175))</f>
        <v>610.03530000000001</v>
      </c>
      <c r="F175" s="4">
        <f>IF(SUMIFS('Daily BSE Equity Cash'!$H:$H,'Daily BSE Equity Cash'!$A:$A,$A175)=0,"",SUMIFS('Daily BSE Equity Cash'!$H:$H,'Daily BSE Equity Cash'!$A:$A,$A175))</f>
        <v>38.766100000000002</v>
      </c>
      <c r="G175" s="4">
        <f t="shared" si="18"/>
        <v>648.80140000000006</v>
      </c>
      <c r="H175" s="7" t="str">
        <f t="shared" si="19"/>
        <v/>
      </c>
      <c r="I175" s="7" t="str">
        <f t="shared" si="20"/>
        <v/>
      </c>
      <c r="J175" s="7" t="str">
        <f t="shared" si="21"/>
        <v/>
      </c>
      <c r="K175" s="7">
        <f t="shared" si="24"/>
        <v>-2.5895625167165037E-2</v>
      </c>
      <c r="L175" s="7">
        <f t="shared" si="25"/>
        <v>-0.23510806640648119</v>
      </c>
      <c r="M175" s="7">
        <f t="shared" si="26"/>
        <v>-4.1559276875170803E-2</v>
      </c>
      <c r="N175" s="7">
        <f t="shared" si="22"/>
        <v>0.94024966653894393</v>
      </c>
      <c r="O175" s="7">
        <f t="shared" si="23"/>
        <v>5.9750333461056029E-2</v>
      </c>
    </row>
    <row r="176" spans="1:15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4">
        <f>IF(SUMIFS('Daily NSE Equity Cash'!$H:$H,'Daily NSE Equity Cash'!$A:$A,$A176)=0,"",SUMIFS('Daily NSE Equity Cash'!$H:$H,'Daily NSE Equity Cash'!$A:$A,$A176))</f>
        <v>643.0136</v>
      </c>
      <c r="F176" s="4">
        <f>IF(SUMIFS('Daily BSE Equity Cash'!$H:$H,'Daily BSE Equity Cash'!$A:$A,$A176)=0,"",SUMIFS('Daily BSE Equity Cash'!$H:$H,'Daily BSE Equity Cash'!$A:$A,$A176))</f>
        <v>43.060400000000001</v>
      </c>
      <c r="G176" s="4">
        <f t="shared" si="18"/>
        <v>686.07399999999996</v>
      </c>
      <c r="H176" s="7" t="str">
        <f t="shared" si="19"/>
        <v/>
      </c>
      <c r="I176" s="7" t="str">
        <f t="shared" si="20"/>
        <v/>
      </c>
      <c r="J176" s="7" t="str">
        <f t="shared" si="21"/>
        <v/>
      </c>
      <c r="K176" s="7">
        <f t="shared" si="24"/>
        <v>5.4059658514843401E-2</v>
      </c>
      <c r="L176" s="7">
        <f t="shared" si="25"/>
        <v>0.11077462009332906</v>
      </c>
      <c r="M176" s="7">
        <f t="shared" si="26"/>
        <v>5.7448396381388767E-2</v>
      </c>
      <c r="N176" s="7">
        <f t="shared" si="22"/>
        <v>0.93723650801517044</v>
      </c>
      <c r="O176" s="7">
        <f t="shared" si="23"/>
        <v>6.2763491984829625E-2</v>
      </c>
    </row>
    <row r="177" spans="1:15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4">
        <f>IF(SUMIFS('Daily NSE Equity Cash'!$H:$H,'Daily NSE Equity Cash'!$A:$A,$A177)=0,"",SUMIFS('Daily NSE Equity Cash'!$H:$H,'Daily NSE Equity Cash'!$A:$A,$A177))</f>
        <v>565.86249999999995</v>
      </c>
      <c r="F177" s="4">
        <f>IF(SUMIFS('Daily BSE Equity Cash'!$H:$H,'Daily BSE Equity Cash'!$A:$A,$A177)=0,"",SUMIFS('Daily BSE Equity Cash'!$H:$H,'Daily BSE Equity Cash'!$A:$A,$A177))</f>
        <v>41.820099999999996</v>
      </c>
      <c r="G177" s="4">
        <f t="shared" si="18"/>
        <v>607.68259999999998</v>
      </c>
      <c r="H177" s="7" t="str">
        <f t="shared" si="19"/>
        <v/>
      </c>
      <c r="I177" s="7" t="str">
        <f t="shared" si="20"/>
        <v/>
      </c>
      <c r="J177" s="7" t="str">
        <f t="shared" si="21"/>
        <v/>
      </c>
      <c r="K177" s="7">
        <f t="shared" si="24"/>
        <v>-0.11998362087520398</v>
      </c>
      <c r="L177" s="7">
        <f t="shared" si="25"/>
        <v>-2.8803726858087852E-2</v>
      </c>
      <c r="M177" s="7">
        <f t="shared" si="26"/>
        <v>-0.11426085232788297</v>
      </c>
      <c r="N177" s="7">
        <f t="shared" si="22"/>
        <v>0.93118101456253644</v>
      </c>
      <c r="O177" s="7">
        <f t="shared" si="23"/>
        <v>6.8818985437463565E-2</v>
      </c>
    </row>
    <row r="178" spans="1:15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4">
        <f>IF(SUMIFS('Daily NSE Equity Cash'!$H:$H,'Daily NSE Equity Cash'!$A:$A,$A178)=0,"",SUMIFS('Daily NSE Equity Cash'!$H:$H,'Daily NSE Equity Cash'!$A:$A,$A178))</f>
        <v>616.23270000000002</v>
      </c>
      <c r="F178" s="4">
        <f>IF(SUMIFS('Daily BSE Equity Cash'!$H:$H,'Daily BSE Equity Cash'!$A:$A,$A178)=0,"",SUMIFS('Daily BSE Equity Cash'!$H:$H,'Daily BSE Equity Cash'!$A:$A,$A178))</f>
        <v>40.690399999999997</v>
      </c>
      <c r="G178" s="4">
        <f t="shared" si="18"/>
        <v>656.92309999999998</v>
      </c>
      <c r="H178" s="7" t="str">
        <f t="shared" si="19"/>
        <v/>
      </c>
      <c r="I178" s="7" t="str">
        <f t="shared" si="20"/>
        <v/>
      </c>
      <c r="J178" s="7" t="str">
        <f t="shared" si="21"/>
        <v/>
      </c>
      <c r="K178" s="7">
        <f t="shared" si="24"/>
        <v>8.9014910866155761E-2</v>
      </c>
      <c r="L178" s="7">
        <f t="shared" si="25"/>
        <v>-2.7013326127866777E-2</v>
      </c>
      <c r="M178" s="7">
        <f t="shared" si="26"/>
        <v>8.1029965314129537E-2</v>
      </c>
      <c r="N178" s="7">
        <f t="shared" si="22"/>
        <v>0.93805911224616711</v>
      </c>
      <c r="O178" s="7">
        <f t="shared" si="23"/>
        <v>6.1940887753832982E-2</v>
      </c>
    </row>
    <row r="179" spans="1:15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4">
        <f>IF(SUMIFS('Daily NSE Equity Cash'!$H:$H,'Daily NSE Equity Cash'!$A:$A,$A179)=0,"",SUMIFS('Daily NSE Equity Cash'!$H:$H,'Daily NSE Equity Cash'!$A:$A,$A179))</f>
        <v>624.7885</v>
      </c>
      <c r="F179" s="4">
        <f>IF(SUMIFS('Daily BSE Equity Cash'!$H:$H,'Daily BSE Equity Cash'!$A:$A,$A179)=0,"",SUMIFS('Daily BSE Equity Cash'!$H:$H,'Daily BSE Equity Cash'!$A:$A,$A179))</f>
        <v>39.3414</v>
      </c>
      <c r="G179" s="4">
        <f t="shared" si="18"/>
        <v>664.12990000000002</v>
      </c>
      <c r="H179" s="7" t="str">
        <f t="shared" si="19"/>
        <v/>
      </c>
      <c r="I179" s="7" t="str">
        <f t="shared" si="20"/>
        <v/>
      </c>
      <c r="J179" s="7" t="str">
        <f t="shared" si="21"/>
        <v/>
      </c>
      <c r="K179" s="7">
        <f t="shared" si="24"/>
        <v>1.3884040882608195E-2</v>
      </c>
      <c r="L179" s="7">
        <f t="shared" si="25"/>
        <v>-3.3152782966006655E-2</v>
      </c>
      <c r="M179" s="7">
        <f t="shared" si="26"/>
        <v>1.0970538256304341E-2</v>
      </c>
      <c r="N179" s="7">
        <f t="shared" si="22"/>
        <v>0.94076249239794807</v>
      </c>
      <c r="O179" s="7">
        <f t="shared" si="23"/>
        <v>5.9237507602051945E-2</v>
      </c>
    </row>
    <row r="180" spans="1:15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4">
        <f>IF(SUMIFS('Daily NSE Equity Cash'!$H:$H,'Daily NSE Equity Cash'!$A:$A,$A180)=0,"",SUMIFS('Daily NSE Equity Cash'!$H:$H,'Daily NSE Equity Cash'!$A:$A,$A180))</f>
        <v>589.25609999999995</v>
      </c>
      <c r="F180" s="4">
        <f>IF(SUMIFS('Daily BSE Equity Cash'!$H:$H,'Daily BSE Equity Cash'!$A:$A,$A180)=0,"",SUMIFS('Daily BSE Equity Cash'!$H:$H,'Daily BSE Equity Cash'!$A:$A,$A180))</f>
        <v>38.657899999999998</v>
      </c>
      <c r="G180" s="4">
        <f t="shared" si="18"/>
        <v>627.91399999999999</v>
      </c>
      <c r="H180" s="7" t="str">
        <f t="shared" si="19"/>
        <v/>
      </c>
      <c r="I180" s="7" t="str">
        <f t="shared" si="20"/>
        <v/>
      </c>
      <c r="J180" s="7" t="str">
        <f t="shared" si="21"/>
        <v/>
      </c>
      <c r="K180" s="7">
        <f t="shared" si="24"/>
        <v>-5.6871085175223435E-2</v>
      </c>
      <c r="L180" s="7">
        <f t="shared" si="25"/>
        <v>-1.7373555592836154E-2</v>
      </c>
      <c r="M180" s="7">
        <f t="shared" si="26"/>
        <v>-5.4531349966324361E-2</v>
      </c>
      <c r="N180" s="7">
        <f t="shared" si="22"/>
        <v>0.93843440343741336</v>
      </c>
      <c r="O180" s="7">
        <f t="shared" si="23"/>
        <v>6.1565596562586596E-2</v>
      </c>
    </row>
    <row r="181" spans="1:15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4">
        <f>IF(SUMIFS('Daily NSE Equity Cash'!$H:$H,'Daily NSE Equity Cash'!$A:$A,$A181)=0,"",SUMIFS('Daily NSE Equity Cash'!$H:$H,'Daily NSE Equity Cash'!$A:$A,$A181))</f>
        <v>687.82780000000002</v>
      </c>
      <c r="F181" s="4">
        <f>IF(SUMIFS('Daily BSE Equity Cash'!$H:$H,'Daily BSE Equity Cash'!$A:$A,$A181)=0,"",SUMIFS('Daily BSE Equity Cash'!$H:$H,'Daily BSE Equity Cash'!$A:$A,$A181))</f>
        <v>53.848399999999998</v>
      </c>
      <c r="G181" s="4">
        <f t="shared" si="18"/>
        <v>741.67619999999999</v>
      </c>
      <c r="H181" s="7" t="str">
        <f t="shared" si="19"/>
        <v/>
      </c>
      <c r="I181" s="7" t="str">
        <f t="shared" si="20"/>
        <v/>
      </c>
      <c r="J181" s="7" t="str">
        <f t="shared" si="21"/>
        <v/>
      </c>
      <c r="K181" s="7">
        <f t="shared" si="24"/>
        <v>0.16728159453928448</v>
      </c>
      <c r="L181" s="7">
        <f t="shared" si="25"/>
        <v>0.39294684915631728</v>
      </c>
      <c r="M181" s="7">
        <f t="shared" si="26"/>
        <v>0.18117481056323004</v>
      </c>
      <c r="N181" s="7">
        <f t="shared" si="22"/>
        <v>0.92739634897277279</v>
      </c>
      <c r="O181" s="7">
        <f t="shared" si="23"/>
        <v>7.260365102722724E-2</v>
      </c>
    </row>
    <row r="182" spans="1:15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4">
        <f>IF(SUMIFS('Daily NSE Equity Cash'!$H:$H,'Daily NSE Equity Cash'!$A:$A,$A182)=0,"",SUMIFS('Daily NSE Equity Cash'!$H:$H,'Daily NSE Equity Cash'!$A:$A,$A182))</f>
        <v>762.08090000000004</v>
      </c>
      <c r="F182" s="4">
        <f>IF(SUMIFS('Daily BSE Equity Cash'!$H:$H,'Daily BSE Equity Cash'!$A:$A,$A182)=0,"",SUMIFS('Daily BSE Equity Cash'!$H:$H,'Daily BSE Equity Cash'!$A:$A,$A182))</f>
        <v>59.549599999999998</v>
      </c>
      <c r="G182" s="4">
        <f t="shared" si="18"/>
        <v>821.63049999999998</v>
      </c>
      <c r="H182" s="7" t="str">
        <f t="shared" si="19"/>
        <v/>
      </c>
      <c r="I182" s="7" t="str">
        <f t="shared" si="20"/>
        <v/>
      </c>
      <c r="J182" s="7" t="str">
        <f t="shared" si="21"/>
        <v/>
      </c>
      <c r="K182" s="7">
        <f t="shared" si="24"/>
        <v>0.10795303708282811</v>
      </c>
      <c r="L182" s="7">
        <f t="shared" si="25"/>
        <v>0.10587501207092509</v>
      </c>
      <c r="M182" s="7">
        <f t="shared" si="26"/>
        <v>0.10780216488003802</v>
      </c>
      <c r="N182" s="7">
        <f t="shared" si="22"/>
        <v>0.92752265160555758</v>
      </c>
      <c r="O182" s="7">
        <f t="shared" si="23"/>
        <v>7.2477348394442517E-2</v>
      </c>
    </row>
    <row r="183" spans="1:15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4">
        <f>IF(SUMIFS('Daily NSE Equity Cash'!$H:$H,'Daily NSE Equity Cash'!$A:$A,$A183)=0,"",SUMIFS('Daily NSE Equity Cash'!$H:$H,'Daily NSE Equity Cash'!$A:$A,$A183))</f>
        <v>696.50969999999995</v>
      </c>
      <c r="F183" s="4">
        <f>IF(SUMIFS('Daily BSE Equity Cash'!$H:$H,'Daily BSE Equity Cash'!$A:$A,$A183)=0,"",SUMIFS('Daily BSE Equity Cash'!$H:$H,'Daily BSE Equity Cash'!$A:$A,$A183))</f>
        <v>50.175199999999997</v>
      </c>
      <c r="G183" s="4">
        <f t="shared" si="18"/>
        <v>746.68489999999997</v>
      </c>
      <c r="H183" s="7" t="str">
        <f t="shared" si="19"/>
        <v/>
      </c>
      <c r="I183" s="7" t="str">
        <f t="shared" si="20"/>
        <v/>
      </c>
      <c r="J183" s="7" t="str">
        <f t="shared" si="21"/>
        <v/>
      </c>
      <c r="K183" s="7">
        <f t="shared" si="24"/>
        <v>-8.6042308631537834E-2</v>
      </c>
      <c r="L183" s="7">
        <f t="shared" si="25"/>
        <v>-0.15742171232048585</v>
      </c>
      <c r="M183" s="7">
        <f t="shared" si="26"/>
        <v>-9.1215698540889179E-2</v>
      </c>
      <c r="N183" s="7">
        <f t="shared" si="22"/>
        <v>0.93280271236233647</v>
      </c>
      <c r="O183" s="7">
        <f t="shared" si="23"/>
        <v>6.7197287637663486E-2</v>
      </c>
    </row>
    <row r="184" spans="1:15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4">
        <f>IF(SUMIFS('Daily NSE Equity Cash'!$H:$H,'Daily NSE Equity Cash'!$A:$A,$A184)=0,"",SUMIFS('Daily NSE Equity Cash'!$H:$H,'Daily NSE Equity Cash'!$A:$A,$A184))</f>
        <v>574.67629999999997</v>
      </c>
      <c r="F184" s="4">
        <f>IF(SUMIFS('Daily BSE Equity Cash'!$H:$H,'Daily BSE Equity Cash'!$A:$A,$A184)=0,"",SUMIFS('Daily BSE Equity Cash'!$H:$H,'Daily BSE Equity Cash'!$A:$A,$A184))</f>
        <v>37.843200000000003</v>
      </c>
      <c r="G184" s="4">
        <f t="shared" si="18"/>
        <v>612.51949999999999</v>
      </c>
      <c r="H184" s="7" t="str">
        <f t="shared" si="19"/>
        <v/>
      </c>
      <c r="I184" s="7" t="str">
        <f t="shared" si="20"/>
        <v/>
      </c>
      <c r="J184" s="7" t="str">
        <f t="shared" si="21"/>
        <v/>
      </c>
      <c r="K184" s="7">
        <f t="shared" si="24"/>
        <v>-0.17491988984503737</v>
      </c>
      <c r="L184" s="7">
        <f t="shared" si="25"/>
        <v>-0.24577879111592971</v>
      </c>
      <c r="M184" s="7">
        <f t="shared" si="26"/>
        <v>-0.17968141581542629</v>
      </c>
      <c r="N184" s="7">
        <f t="shared" si="22"/>
        <v>0.9382171506376531</v>
      </c>
      <c r="O184" s="7">
        <f t="shared" si="23"/>
        <v>6.1782849362346834E-2</v>
      </c>
    </row>
    <row r="185" spans="1:15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4">
        <f>IF(SUMIFS('Daily NSE Equity Cash'!$H:$H,'Daily NSE Equity Cash'!$A:$A,$A185)=0,"",SUMIFS('Daily NSE Equity Cash'!$H:$H,'Daily NSE Equity Cash'!$A:$A,$A185))</f>
        <v>578.8193</v>
      </c>
      <c r="F185" s="4">
        <f>IF(SUMIFS('Daily BSE Equity Cash'!$H:$H,'Daily BSE Equity Cash'!$A:$A,$A185)=0,"",SUMIFS('Daily BSE Equity Cash'!$H:$H,'Daily BSE Equity Cash'!$A:$A,$A185))</f>
        <v>59.452500000000001</v>
      </c>
      <c r="G185" s="4">
        <f t="shared" si="18"/>
        <v>638.27179999999998</v>
      </c>
      <c r="H185" s="7" t="str">
        <f t="shared" si="19"/>
        <v/>
      </c>
      <c r="I185" s="7" t="str">
        <f t="shared" si="20"/>
        <v/>
      </c>
      <c r="J185" s="7" t="str">
        <f t="shared" si="21"/>
        <v/>
      </c>
      <c r="K185" s="7">
        <f t="shared" si="24"/>
        <v>7.2092759001893825E-3</v>
      </c>
      <c r="L185" s="7">
        <f t="shared" si="25"/>
        <v>0.57102200659563662</v>
      </c>
      <c r="M185" s="7">
        <f t="shared" si="26"/>
        <v>4.2043232909319661E-2</v>
      </c>
      <c r="N185" s="7">
        <f t="shared" si="22"/>
        <v>0.90685394529415209</v>
      </c>
      <c r="O185" s="7">
        <f t="shared" si="23"/>
        <v>9.3146054705847886E-2</v>
      </c>
    </row>
    <row r="186" spans="1:15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4">
        <f>IF(SUMIFS('Daily NSE Equity Cash'!$H:$H,'Daily NSE Equity Cash'!$A:$A,$A186)=0,"",SUMIFS('Daily NSE Equity Cash'!$H:$H,'Daily NSE Equity Cash'!$A:$A,$A186))</f>
        <v>478.70690000000002</v>
      </c>
      <c r="F186" s="4">
        <f>IF(SUMIFS('Daily BSE Equity Cash'!$H:$H,'Daily BSE Equity Cash'!$A:$A,$A186)=0,"",SUMIFS('Daily BSE Equity Cash'!$H:$H,'Daily BSE Equity Cash'!$A:$A,$A186))</f>
        <v>33.867400000000004</v>
      </c>
      <c r="G186" s="4">
        <f t="shared" si="18"/>
        <v>512.57429999999999</v>
      </c>
      <c r="H186" s="7" t="str">
        <f t="shared" si="19"/>
        <v/>
      </c>
      <c r="I186" s="7" t="str">
        <f t="shared" si="20"/>
        <v/>
      </c>
      <c r="J186" s="7" t="str">
        <f t="shared" si="21"/>
        <v/>
      </c>
      <c r="K186" s="7">
        <f t="shared" si="24"/>
        <v>-0.17295967843504867</v>
      </c>
      <c r="L186" s="7">
        <f t="shared" si="25"/>
        <v>-0.43034523358984056</v>
      </c>
      <c r="M186" s="7">
        <f t="shared" si="26"/>
        <v>-0.19693412743599203</v>
      </c>
      <c r="N186" s="7">
        <f t="shared" si="22"/>
        <v>0.9339268472882859</v>
      </c>
      <c r="O186" s="7">
        <f t="shared" si="23"/>
        <v>6.6073152711714198E-2</v>
      </c>
    </row>
    <row r="187" spans="1:15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4">
        <f>IF(SUMIFS('Daily NSE Equity Cash'!$H:$H,'Daily NSE Equity Cash'!$A:$A,$A187)=0,"",SUMIFS('Daily NSE Equity Cash'!$H:$H,'Daily NSE Equity Cash'!$A:$A,$A187))</f>
        <v>516.10249999999996</v>
      </c>
      <c r="F187" s="4">
        <f>IF(SUMIFS('Daily BSE Equity Cash'!$H:$H,'Daily BSE Equity Cash'!$A:$A,$A187)=0,"",SUMIFS('Daily BSE Equity Cash'!$H:$H,'Daily BSE Equity Cash'!$A:$A,$A187))</f>
        <v>35.314700000000002</v>
      </c>
      <c r="G187" s="4">
        <f t="shared" si="18"/>
        <v>551.41719999999998</v>
      </c>
      <c r="H187" s="7" t="str">
        <f t="shared" si="19"/>
        <v/>
      </c>
      <c r="I187" s="7" t="str">
        <f t="shared" si="20"/>
        <v/>
      </c>
      <c r="J187" s="7" t="str">
        <f t="shared" si="21"/>
        <v/>
      </c>
      <c r="K187" s="7">
        <f t="shared" si="24"/>
        <v>7.8117946492937351E-2</v>
      </c>
      <c r="L187" s="7">
        <f t="shared" si="25"/>
        <v>4.2734310871221259E-2</v>
      </c>
      <c r="M187" s="7">
        <f t="shared" si="26"/>
        <v>7.5780038133008265E-2</v>
      </c>
      <c r="N187" s="7">
        <f t="shared" si="22"/>
        <v>0.93595647723719899</v>
      </c>
      <c r="O187" s="7">
        <f t="shared" si="23"/>
        <v>6.4043522762801022E-2</v>
      </c>
    </row>
    <row r="188" spans="1:15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4">
        <f>IF(SUMIFS('Daily NSE Equity Cash'!$H:$H,'Daily NSE Equity Cash'!$A:$A,$A188)=0,"",SUMIFS('Daily NSE Equity Cash'!$H:$H,'Daily NSE Equity Cash'!$A:$A,$A188))</f>
        <v>511.99020000000002</v>
      </c>
      <c r="F188" s="4">
        <f>IF(SUMIFS('Daily BSE Equity Cash'!$H:$H,'Daily BSE Equity Cash'!$A:$A,$A188)=0,"",SUMIFS('Daily BSE Equity Cash'!$H:$H,'Daily BSE Equity Cash'!$A:$A,$A188))</f>
        <v>43.297400000000003</v>
      </c>
      <c r="G188" s="4">
        <f t="shared" si="18"/>
        <v>555.2876</v>
      </c>
      <c r="H188" s="7" t="str">
        <f t="shared" si="19"/>
        <v/>
      </c>
      <c r="I188" s="7" t="str">
        <f t="shared" si="20"/>
        <v/>
      </c>
      <c r="J188" s="7" t="str">
        <f t="shared" si="21"/>
        <v/>
      </c>
      <c r="K188" s="7">
        <f t="shared" si="24"/>
        <v>-7.9679908545298161E-3</v>
      </c>
      <c r="L188" s="7">
        <f t="shared" si="25"/>
        <v>0.22604467827845065</v>
      </c>
      <c r="M188" s="7">
        <f t="shared" si="26"/>
        <v>7.0190048478719902E-3</v>
      </c>
      <c r="N188" s="7">
        <f t="shared" si="22"/>
        <v>0.92202707209741408</v>
      </c>
      <c r="O188" s="7">
        <f t="shared" si="23"/>
        <v>7.7972927902585976E-2</v>
      </c>
    </row>
    <row r="189" spans="1:15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4">
        <f>IF(SUMIFS('Daily NSE Equity Cash'!$H:$H,'Daily NSE Equity Cash'!$A:$A,$A189)=0,"",SUMIFS('Daily NSE Equity Cash'!$H:$H,'Daily NSE Equity Cash'!$A:$A,$A189))</f>
        <v>550.26499999999999</v>
      </c>
      <c r="F189" s="4">
        <f>IF(SUMIFS('Daily BSE Equity Cash'!$H:$H,'Daily BSE Equity Cash'!$A:$A,$A189)=0,"",SUMIFS('Daily BSE Equity Cash'!$H:$H,'Daily BSE Equity Cash'!$A:$A,$A189))</f>
        <v>39.551900000000003</v>
      </c>
      <c r="G189" s="4">
        <f t="shared" si="18"/>
        <v>589.81690000000003</v>
      </c>
      <c r="H189" s="7" t="str">
        <f t="shared" si="19"/>
        <v/>
      </c>
      <c r="I189" s="7" t="str">
        <f t="shared" si="20"/>
        <v/>
      </c>
      <c r="J189" s="7" t="str">
        <f t="shared" si="21"/>
        <v/>
      </c>
      <c r="K189" s="7">
        <f t="shared" si="24"/>
        <v>7.4756899643782182E-2</v>
      </c>
      <c r="L189" s="7">
        <f t="shared" si="25"/>
        <v>-8.6506349111032055E-2</v>
      </c>
      <c r="M189" s="7">
        <f t="shared" si="26"/>
        <v>6.2182731975286343E-2</v>
      </c>
      <c r="N189" s="7">
        <f t="shared" si="22"/>
        <v>0.93294207066633728</v>
      </c>
      <c r="O189" s="7">
        <f t="shared" si="23"/>
        <v>6.7057929333662697E-2</v>
      </c>
    </row>
    <row r="190" spans="1:15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4">
        <f>IF(SUMIFS('Daily NSE Equity Cash'!$H:$H,'Daily NSE Equity Cash'!$A:$A,$A190)=0,"",SUMIFS('Daily NSE Equity Cash'!$H:$H,'Daily NSE Equity Cash'!$A:$A,$A190))</f>
        <v>416.76769999999999</v>
      </c>
      <c r="F190" s="4">
        <f>IF(SUMIFS('Daily BSE Equity Cash'!$H:$H,'Daily BSE Equity Cash'!$A:$A,$A190)=0,"",SUMIFS('Daily BSE Equity Cash'!$H:$H,'Daily BSE Equity Cash'!$A:$A,$A190))</f>
        <v>30.146799999999999</v>
      </c>
      <c r="G190" s="4">
        <f t="shared" si="18"/>
        <v>446.91449999999998</v>
      </c>
      <c r="H190" s="7" t="str">
        <f t="shared" si="19"/>
        <v/>
      </c>
      <c r="I190" s="7" t="str">
        <f t="shared" si="20"/>
        <v/>
      </c>
      <c r="J190" s="7" t="str">
        <f t="shared" si="21"/>
        <v/>
      </c>
      <c r="K190" s="7">
        <f t="shared" si="24"/>
        <v>-0.24260547190898929</v>
      </c>
      <c r="L190" s="7">
        <f t="shared" si="25"/>
        <v>-0.23779135768446025</v>
      </c>
      <c r="M190" s="7">
        <f t="shared" si="26"/>
        <v>-0.2422826473775167</v>
      </c>
      <c r="N190" s="7">
        <f t="shared" si="22"/>
        <v>0.93254459186264937</v>
      </c>
      <c r="O190" s="7">
        <f t="shared" si="23"/>
        <v>6.7455408137350653E-2</v>
      </c>
    </row>
    <row r="191" spans="1:15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4">
        <f>IF(SUMIFS('Daily NSE Equity Cash'!$H:$H,'Daily NSE Equity Cash'!$A:$A,$A191)=0,"",SUMIFS('Daily NSE Equity Cash'!$H:$H,'Daily NSE Equity Cash'!$A:$A,$A191))</f>
        <v>635.31970000000001</v>
      </c>
      <c r="F191" s="4">
        <f>IF(SUMIFS('Daily BSE Equity Cash'!$H:$H,'Daily BSE Equity Cash'!$A:$A,$A191)=0,"",SUMIFS('Daily BSE Equity Cash'!$H:$H,'Daily BSE Equity Cash'!$A:$A,$A191))</f>
        <v>44.021099999999997</v>
      </c>
      <c r="G191" s="4">
        <f t="shared" si="18"/>
        <v>679.34080000000006</v>
      </c>
      <c r="H191" s="7" t="str">
        <f t="shared" si="19"/>
        <v/>
      </c>
      <c r="I191" s="7" t="str">
        <f t="shared" si="20"/>
        <v/>
      </c>
      <c r="J191" s="7" t="str">
        <f t="shared" si="21"/>
        <v/>
      </c>
      <c r="K191" s="7">
        <f t="shared" si="24"/>
        <v>0.52439764405926859</v>
      </c>
      <c r="L191" s="7">
        <f t="shared" si="25"/>
        <v>0.46022463412368797</v>
      </c>
      <c r="M191" s="7">
        <f t="shared" si="26"/>
        <v>0.52006882748266192</v>
      </c>
      <c r="N191" s="7">
        <f t="shared" si="22"/>
        <v>0.93520027061527877</v>
      </c>
      <c r="O191" s="7">
        <f t="shared" si="23"/>
        <v>6.4799729384721172E-2</v>
      </c>
    </row>
    <row r="192" spans="1:15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4">
        <f>IF(SUMIFS('Daily NSE Equity Cash'!$H:$H,'Daily NSE Equity Cash'!$A:$A,$A192)=0,"",SUMIFS('Daily NSE Equity Cash'!$H:$H,'Daily NSE Equity Cash'!$A:$A,$A192))</f>
        <v>674.28009999999995</v>
      </c>
      <c r="F192" s="4">
        <f>IF(SUMIFS('Daily BSE Equity Cash'!$H:$H,'Daily BSE Equity Cash'!$A:$A,$A192)=0,"",SUMIFS('Daily BSE Equity Cash'!$H:$H,'Daily BSE Equity Cash'!$A:$A,$A192))</f>
        <v>49.386200000000002</v>
      </c>
      <c r="G192" s="4">
        <f t="shared" si="18"/>
        <v>723.66629999999998</v>
      </c>
      <c r="H192" s="7" t="str">
        <f t="shared" si="19"/>
        <v/>
      </c>
      <c r="I192" s="7" t="str">
        <f t="shared" si="20"/>
        <v/>
      </c>
      <c r="J192" s="7" t="str">
        <f t="shared" si="21"/>
        <v/>
      </c>
      <c r="K192" s="7">
        <f t="shared" si="24"/>
        <v>6.1324086125457589E-2</v>
      </c>
      <c r="L192" s="7">
        <f t="shared" si="25"/>
        <v>0.12187564599703338</v>
      </c>
      <c r="M192" s="7">
        <f t="shared" si="26"/>
        <v>6.5247810818958474E-2</v>
      </c>
      <c r="N192" s="7">
        <f t="shared" si="22"/>
        <v>0.93175556192128883</v>
      </c>
      <c r="O192" s="7">
        <f t="shared" si="23"/>
        <v>6.8244438078711139E-2</v>
      </c>
    </row>
    <row r="193" spans="1:15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4">
        <f>IF(SUMIFS('Daily NSE Equity Cash'!$H:$H,'Daily NSE Equity Cash'!$A:$A,$A193)=0,"",SUMIFS('Daily NSE Equity Cash'!$H:$H,'Daily NSE Equity Cash'!$A:$A,$A193))</f>
        <v>778.3492</v>
      </c>
      <c r="F193" s="4">
        <f>IF(SUMIFS('Daily BSE Equity Cash'!$H:$H,'Daily BSE Equity Cash'!$A:$A,$A193)=0,"",SUMIFS('Daily BSE Equity Cash'!$H:$H,'Daily BSE Equity Cash'!$A:$A,$A193))</f>
        <v>65.144000000000005</v>
      </c>
      <c r="G193" s="4">
        <f t="shared" si="18"/>
        <v>843.4932</v>
      </c>
      <c r="H193" s="7" t="str">
        <f t="shared" si="19"/>
        <v/>
      </c>
      <c r="I193" s="7" t="str">
        <f t="shared" si="20"/>
        <v/>
      </c>
      <c r="J193" s="7" t="str">
        <f t="shared" si="21"/>
        <v/>
      </c>
      <c r="K193" s="7">
        <f t="shared" si="24"/>
        <v>0.15434105203460713</v>
      </c>
      <c r="L193" s="7">
        <f t="shared" si="25"/>
        <v>0.31907293940412518</v>
      </c>
      <c r="M193" s="7">
        <f t="shared" si="26"/>
        <v>0.16558308712178538</v>
      </c>
      <c r="N193" s="7">
        <f t="shared" si="22"/>
        <v>0.92276879054863747</v>
      </c>
      <c r="O193" s="7">
        <f t="shared" si="23"/>
        <v>7.7231209451362512E-2</v>
      </c>
    </row>
    <row r="194" spans="1:15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4">
        <f>IF(SUMIFS('Daily NSE Equity Cash'!$H:$H,'Daily NSE Equity Cash'!$A:$A,$A194)=0,"",SUMIFS('Daily NSE Equity Cash'!$H:$H,'Daily NSE Equity Cash'!$A:$A,$A194))</f>
        <v>730.70730000000003</v>
      </c>
      <c r="F194" s="4">
        <f>IF(SUMIFS('Daily BSE Equity Cash'!$H:$H,'Daily BSE Equity Cash'!$A:$A,$A194)=0,"",SUMIFS('Daily BSE Equity Cash'!$H:$H,'Daily BSE Equity Cash'!$A:$A,$A194))</f>
        <v>56.741300000000003</v>
      </c>
      <c r="G194" s="4">
        <f t="shared" ref="G194:G257" si="27">IF(OR(E194="",F194=""),"",E194+F194)</f>
        <v>787.44860000000006</v>
      </c>
      <c r="H194" s="7" t="str">
        <f t="shared" ref="H194:H257" si="28">IFERROR(IF(OR(E194="",INDEX(E:E,MATCH(DATE(YEAR($A194)-1,MONTH($A194),DAY($A194)),$A:$A,0))=""),"",E194/INDEX(E:E,MATCH(DATE(YEAR($A194)-1,MONTH($A194),DAY($A194)),$A:$A,0))-1),"")</f>
        <v/>
      </c>
      <c r="I194" s="7" t="str">
        <f t="shared" ref="I194:I257" si="29">IFERROR(IF(OR(F194="",INDEX(F:F,MATCH(DATE(YEAR($A194)-1,MONTH($A194),DAY($A194)),$A:$A,0))=""),"",F194/INDEX(F:F,MATCH(DATE(YEAR($A194)-1,MONTH($A194),DAY($A194)),$A:$A,0))-1),"")</f>
        <v/>
      </c>
      <c r="J194" s="7" t="str">
        <f t="shared" ref="J194:J257" si="30">IFERROR(IF(OR(G194="",INDEX(G:G,MATCH(DATE(YEAR($A194)-1,MONTH($A194),DAY($A194)),$A:$A,0))=""),"",G194/INDEX(G:G,MATCH(DATE(YEAR($A194)-1,MONTH($A194),DAY($A194)),$A:$A,0))-1),"")</f>
        <v/>
      </c>
      <c r="K194" s="7">
        <f t="shared" si="24"/>
        <v>-6.1208902122594777E-2</v>
      </c>
      <c r="L194" s="7">
        <f t="shared" si="25"/>
        <v>-0.12898655286749361</v>
      </c>
      <c r="M194" s="7">
        <f t="shared" si="26"/>
        <v>-6.6443452063395303E-2</v>
      </c>
      <c r="N194" s="7">
        <f t="shared" ref="N194:N257" si="31">IF(G194="","",E194/G194)</f>
        <v>0.92794285239696916</v>
      </c>
      <c r="O194" s="7">
        <f t="shared" ref="O194:O257" si="32">IF(G194="","",F194/G194)</f>
        <v>7.2057147603030849E-2</v>
      </c>
    </row>
    <row r="195" spans="1:15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4">
        <f>IF(SUMIFS('Daily NSE Equity Cash'!$H:$H,'Daily NSE Equity Cash'!$A:$A,$A195)=0,"",SUMIFS('Daily NSE Equity Cash'!$H:$H,'Daily NSE Equity Cash'!$A:$A,$A195))</f>
        <v>758.76549999999997</v>
      </c>
      <c r="F195" s="4">
        <f>IF(SUMIFS('Daily BSE Equity Cash'!$H:$H,'Daily BSE Equity Cash'!$A:$A,$A195)=0,"",SUMIFS('Daily BSE Equity Cash'!$H:$H,'Daily BSE Equity Cash'!$A:$A,$A195))</f>
        <v>55.216999999999999</v>
      </c>
      <c r="G195" s="4">
        <f t="shared" si="27"/>
        <v>813.98249999999996</v>
      </c>
      <c r="H195" s="7" t="str">
        <f t="shared" si="28"/>
        <v/>
      </c>
      <c r="I195" s="7" t="str">
        <f t="shared" si="29"/>
        <v/>
      </c>
      <c r="J195" s="7" t="str">
        <f t="shared" si="30"/>
        <v/>
      </c>
      <c r="K195" s="7">
        <f t="shared" ref="K195:K258" si="33">IF(OR(E195="",E194=""),"",E195/E194-1)</f>
        <v>3.8398685766516838E-2</v>
      </c>
      <c r="L195" s="7">
        <f t="shared" ref="L195:L258" si="34">IF(OR(F195="",F194=""),"",F195/F194-1)</f>
        <v>-2.6864030256620874E-2</v>
      </c>
      <c r="M195" s="7">
        <f t="shared" ref="M195:M258" si="35">IF(OR(G195="",G194=""),"",G195/G194-1)</f>
        <v>3.3696040605062816E-2</v>
      </c>
      <c r="N195" s="7">
        <f t="shared" si="31"/>
        <v>0.93216438928355339</v>
      </c>
      <c r="O195" s="7">
        <f t="shared" si="32"/>
        <v>6.7835610716446615E-2</v>
      </c>
    </row>
    <row r="196" spans="1:15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4">
        <f>IF(SUMIFS('Daily NSE Equity Cash'!$H:$H,'Daily NSE Equity Cash'!$A:$A,$A196)=0,"",SUMIFS('Daily NSE Equity Cash'!$H:$H,'Daily NSE Equity Cash'!$A:$A,$A196))</f>
        <v>721.42960000000005</v>
      </c>
      <c r="F196" s="4">
        <f>IF(SUMIFS('Daily BSE Equity Cash'!$H:$H,'Daily BSE Equity Cash'!$A:$A,$A196)=0,"",SUMIFS('Daily BSE Equity Cash'!$H:$H,'Daily BSE Equity Cash'!$A:$A,$A196))</f>
        <v>50.439399999999999</v>
      </c>
      <c r="G196" s="4">
        <f t="shared" si="27"/>
        <v>771.86900000000003</v>
      </c>
      <c r="H196" s="7" t="str">
        <f t="shared" si="28"/>
        <v/>
      </c>
      <c r="I196" s="7" t="str">
        <f t="shared" si="29"/>
        <v/>
      </c>
      <c r="J196" s="7" t="str">
        <f t="shared" si="30"/>
        <v/>
      </c>
      <c r="K196" s="7">
        <f t="shared" si="33"/>
        <v>-4.9206111769710015E-2</v>
      </c>
      <c r="L196" s="7">
        <f t="shared" si="34"/>
        <v>-8.6524077729684734E-2</v>
      </c>
      <c r="M196" s="7">
        <f t="shared" si="35"/>
        <v>-5.1737598781300465E-2</v>
      </c>
      <c r="N196" s="7">
        <f t="shared" si="31"/>
        <v>0.93465290094562681</v>
      </c>
      <c r="O196" s="7">
        <f t="shared" si="32"/>
        <v>6.5347099054373206E-2</v>
      </c>
    </row>
    <row r="197" spans="1:15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4">
        <f>IF(SUMIFS('Daily NSE Equity Cash'!$H:$H,'Daily NSE Equity Cash'!$A:$A,$A197)=0,"",SUMIFS('Daily NSE Equity Cash'!$H:$H,'Daily NSE Equity Cash'!$A:$A,$A197))</f>
        <v>817.73469999999998</v>
      </c>
      <c r="F197" s="4">
        <f>IF(SUMIFS('Daily BSE Equity Cash'!$H:$H,'Daily BSE Equity Cash'!$A:$A,$A197)=0,"",SUMIFS('Daily BSE Equity Cash'!$H:$H,'Daily BSE Equity Cash'!$A:$A,$A197))</f>
        <v>48.536700000000003</v>
      </c>
      <c r="G197" s="4">
        <f t="shared" si="27"/>
        <v>866.27139999999997</v>
      </c>
      <c r="H197" s="7" t="str">
        <f t="shared" si="28"/>
        <v/>
      </c>
      <c r="I197" s="7" t="str">
        <f t="shared" si="29"/>
        <v/>
      </c>
      <c r="J197" s="7" t="str">
        <f t="shared" si="30"/>
        <v/>
      </c>
      <c r="K197" s="7">
        <f t="shared" si="33"/>
        <v>0.13349202749651523</v>
      </c>
      <c r="L197" s="7">
        <f t="shared" si="34"/>
        <v>-3.7722494716431965E-2</v>
      </c>
      <c r="M197" s="7">
        <f t="shared" si="35"/>
        <v>0.1223036551539185</v>
      </c>
      <c r="N197" s="7">
        <f t="shared" si="31"/>
        <v>0.94397056165077131</v>
      </c>
      <c r="O197" s="7">
        <f t="shared" si="32"/>
        <v>5.6029438349228668E-2</v>
      </c>
    </row>
    <row r="198" spans="1:15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4">
        <f>IF(SUMIFS('Daily NSE Equity Cash'!$H:$H,'Daily NSE Equity Cash'!$A:$A,$A198)=0,"",SUMIFS('Daily NSE Equity Cash'!$H:$H,'Daily NSE Equity Cash'!$A:$A,$A198))</f>
        <v>853.34069999999997</v>
      </c>
      <c r="F198" s="4">
        <f>IF(SUMIFS('Daily BSE Equity Cash'!$H:$H,'Daily BSE Equity Cash'!$A:$A,$A198)=0,"",SUMIFS('Daily BSE Equity Cash'!$H:$H,'Daily BSE Equity Cash'!$A:$A,$A198))</f>
        <v>82.368899999999996</v>
      </c>
      <c r="G198" s="4">
        <f t="shared" si="27"/>
        <v>935.70959999999991</v>
      </c>
      <c r="H198" s="7" t="str">
        <f t="shared" si="28"/>
        <v/>
      </c>
      <c r="I198" s="7" t="str">
        <f t="shared" si="29"/>
        <v/>
      </c>
      <c r="J198" s="7" t="str">
        <f t="shared" si="30"/>
        <v/>
      </c>
      <c r="K198" s="7">
        <f t="shared" si="33"/>
        <v>4.3542239310622399E-2</v>
      </c>
      <c r="L198" s="7">
        <f t="shared" si="34"/>
        <v>0.69704368034909647</v>
      </c>
      <c r="M198" s="7">
        <f t="shared" si="35"/>
        <v>8.0157558012419639E-2</v>
      </c>
      <c r="N198" s="7">
        <f t="shared" si="31"/>
        <v>0.91197172712559549</v>
      </c>
      <c r="O198" s="7">
        <f t="shared" si="32"/>
        <v>8.8028272874404623E-2</v>
      </c>
    </row>
    <row r="199" spans="1:15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4">
        <f>IF(SUMIFS('Daily NSE Equity Cash'!$H:$H,'Daily NSE Equity Cash'!$A:$A,$A199)=0,"",SUMIFS('Daily NSE Equity Cash'!$H:$H,'Daily NSE Equity Cash'!$A:$A,$A199))</f>
        <v>701.95899999999995</v>
      </c>
      <c r="F199" s="4">
        <f>IF(SUMIFS('Daily BSE Equity Cash'!$H:$H,'Daily BSE Equity Cash'!$A:$A,$A199)=0,"",SUMIFS('Daily BSE Equity Cash'!$H:$H,'Daily BSE Equity Cash'!$A:$A,$A199))</f>
        <v>56.844099999999997</v>
      </c>
      <c r="G199" s="4">
        <f t="shared" si="27"/>
        <v>758.80309999999997</v>
      </c>
      <c r="H199" s="7" t="str">
        <f t="shared" si="28"/>
        <v/>
      </c>
      <c r="I199" s="7" t="str">
        <f t="shared" si="29"/>
        <v/>
      </c>
      <c r="J199" s="7" t="str">
        <f t="shared" si="30"/>
        <v/>
      </c>
      <c r="K199" s="7">
        <f t="shared" si="33"/>
        <v>-0.17739889823607391</v>
      </c>
      <c r="L199" s="7">
        <f t="shared" si="34"/>
        <v>-0.30988394891761328</v>
      </c>
      <c r="M199" s="7">
        <f t="shared" si="35"/>
        <v>-0.18906132842924761</v>
      </c>
      <c r="N199" s="7">
        <f t="shared" si="31"/>
        <v>0.925087153702983</v>
      </c>
      <c r="O199" s="7">
        <f t="shared" si="32"/>
        <v>7.4912846297016972E-2</v>
      </c>
    </row>
    <row r="200" spans="1:15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4">
        <f>IF(SUMIFS('Daily NSE Equity Cash'!$H:$H,'Daily NSE Equity Cash'!$A:$A,$A200)=0,"",SUMIFS('Daily NSE Equity Cash'!$H:$H,'Daily NSE Equity Cash'!$A:$A,$A200))</f>
        <v>752.29190000000006</v>
      </c>
      <c r="F200" s="4">
        <f>IF(SUMIFS('Daily BSE Equity Cash'!$H:$H,'Daily BSE Equity Cash'!$A:$A,$A200)=0,"",SUMIFS('Daily BSE Equity Cash'!$H:$H,'Daily BSE Equity Cash'!$A:$A,$A200))</f>
        <v>50.960299999999997</v>
      </c>
      <c r="G200" s="4">
        <f t="shared" si="27"/>
        <v>803.25220000000002</v>
      </c>
      <c r="H200" s="7" t="str">
        <f t="shared" si="28"/>
        <v/>
      </c>
      <c r="I200" s="7" t="str">
        <f t="shared" si="29"/>
        <v/>
      </c>
      <c r="J200" s="7" t="str">
        <f t="shared" si="30"/>
        <v/>
      </c>
      <c r="K200" s="7">
        <f t="shared" si="33"/>
        <v>7.1703475559113938E-2</v>
      </c>
      <c r="L200" s="7">
        <f t="shared" si="34"/>
        <v>-0.10350766394401534</v>
      </c>
      <c r="M200" s="7">
        <f t="shared" si="35"/>
        <v>5.8577910395990695E-2</v>
      </c>
      <c r="N200" s="7">
        <f t="shared" si="31"/>
        <v>0.93655753448294321</v>
      </c>
      <c r="O200" s="7">
        <f t="shared" si="32"/>
        <v>6.3442465517056776E-2</v>
      </c>
    </row>
    <row r="201" spans="1:15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4">
        <f>IF(SUMIFS('Daily NSE Equity Cash'!$H:$H,'Daily NSE Equity Cash'!$A:$A,$A201)=0,"",SUMIFS('Daily NSE Equity Cash'!$H:$H,'Daily NSE Equity Cash'!$A:$A,$A201))</f>
        <v>727.58389999999997</v>
      </c>
      <c r="F201" s="4">
        <f>IF(SUMIFS('Daily BSE Equity Cash'!$H:$H,'Daily BSE Equity Cash'!$A:$A,$A201)=0,"",SUMIFS('Daily BSE Equity Cash'!$H:$H,'Daily BSE Equity Cash'!$A:$A,$A201))</f>
        <v>78.729299999999995</v>
      </c>
      <c r="G201" s="4">
        <f t="shared" si="27"/>
        <v>806.31319999999994</v>
      </c>
      <c r="H201" s="7" t="str">
        <f t="shared" si="28"/>
        <v/>
      </c>
      <c r="I201" s="7" t="str">
        <f t="shared" si="29"/>
        <v/>
      </c>
      <c r="J201" s="7" t="str">
        <f t="shared" si="30"/>
        <v/>
      </c>
      <c r="K201" s="7">
        <f t="shared" si="33"/>
        <v>-3.2843634232935459E-2</v>
      </c>
      <c r="L201" s="7">
        <f t="shared" si="34"/>
        <v>0.54491437452291303</v>
      </c>
      <c r="M201" s="7">
        <f t="shared" si="35"/>
        <v>3.8107583147608537E-3</v>
      </c>
      <c r="N201" s="7">
        <f t="shared" si="31"/>
        <v>0.90235890966438359</v>
      </c>
      <c r="O201" s="7">
        <f t="shared" si="32"/>
        <v>9.7641090335616479E-2</v>
      </c>
    </row>
    <row r="202" spans="1:15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4">
        <f>IF(SUMIFS('Daily NSE Equity Cash'!$H:$H,'Daily NSE Equity Cash'!$A:$A,$A202)=0,"",SUMIFS('Daily NSE Equity Cash'!$H:$H,'Daily NSE Equity Cash'!$A:$A,$A202))</f>
        <v>617.8723</v>
      </c>
      <c r="F202" s="4">
        <f>IF(SUMIFS('Daily BSE Equity Cash'!$H:$H,'Daily BSE Equity Cash'!$A:$A,$A202)=0,"",SUMIFS('Daily BSE Equity Cash'!$H:$H,'Daily BSE Equity Cash'!$A:$A,$A202))</f>
        <v>35.767499999999998</v>
      </c>
      <c r="G202" s="4">
        <f t="shared" si="27"/>
        <v>653.63980000000004</v>
      </c>
      <c r="H202" s="7" t="str">
        <f t="shared" si="28"/>
        <v/>
      </c>
      <c r="I202" s="7" t="str">
        <f t="shared" si="29"/>
        <v/>
      </c>
      <c r="J202" s="7" t="str">
        <f t="shared" si="30"/>
        <v/>
      </c>
      <c r="K202" s="7">
        <f t="shared" si="33"/>
        <v>-0.15078893307012431</v>
      </c>
      <c r="L202" s="7">
        <f t="shared" si="34"/>
        <v>-0.54569010520860717</v>
      </c>
      <c r="M202" s="7">
        <f t="shared" si="35"/>
        <v>-0.18934751409253858</v>
      </c>
      <c r="N202" s="7">
        <f t="shared" si="31"/>
        <v>0.94527949491447727</v>
      </c>
      <c r="O202" s="7">
        <f t="shared" si="32"/>
        <v>5.4720505085522633E-2</v>
      </c>
    </row>
    <row r="203" spans="1:15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4">
        <f>IF(SUMIFS('Daily NSE Equity Cash'!$H:$H,'Daily NSE Equity Cash'!$A:$A,$A203)=0,"",SUMIFS('Daily NSE Equity Cash'!$H:$H,'Daily NSE Equity Cash'!$A:$A,$A203))</f>
        <v>655.47019999999998</v>
      </c>
      <c r="F203" s="4">
        <f>IF(SUMIFS('Daily BSE Equity Cash'!$H:$H,'Daily BSE Equity Cash'!$A:$A,$A203)=0,"",SUMIFS('Daily BSE Equity Cash'!$H:$H,'Daily BSE Equity Cash'!$A:$A,$A203))</f>
        <v>44.564399999999999</v>
      </c>
      <c r="G203" s="4">
        <f t="shared" si="27"/>
        <v>700.03459999999995</v>
      </c>
      <c r="H203" s="7" t="str">
        <f t="shared" si="28"/>
        <v/>
      </c>
      <c r="I203" s="7" t="str">
        <f t="shared" si="29"/>
        <v/>
      </c>
      <c r="J203" s="7" t="str">
        <f t="shared" si="30"/>
        <v/>
      </c>
      <c r="K203" s="7">
        <f t="shared" si="33"/>
        <v>6.085059971129958E-2</v>
      </c>
      <c r="L203" s="7">
        <f t="shared" si="34"/>
        <v>0.24594673935835609</v>
      </c>
      <c r="M203" s="7">
        <f t="shared" si="35"/>
        <v>7.0979153962166697E-2</v>
      </c>
      <c r="N203" s="7">
        <f t="shared" si="31"/>
        <v>0.9363397180653642</v>
      </c>
      <c r="O203" s="7">
        <f t="shared" si="32"/>
        <v>6.3660281934635798E-2</v>
      </c>
    </row>
    <row r="204" spans="1:15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4">
        <f>IF(SUMIFS('Daily NSE Equity Cash'!$H:$H,'Daily NSE Equity Cash'!$A:$A,$A204)=0,"",SUMIFS('Daily NSE Equity Cash'!$H:$H,'Daily NSE Equity Cash'!$A:$A,$A204))</f>
        <v>809.62429999999995</v>
      </c>
      <c r="F204" s="4">
        <f>IF(SUMIFS('Daily BSE Equity Cash'!$H:$H,'Daily BSE Equity Cash'!$A:$A,$A204)=0,"",SUMIFS('Daily BSE Equity Cash'!$H:$H,'Daily BSE Equity Cash'!$A:$A,$A204))</f>
        <v>54.79</v>
      </c>
      <c r="G204" s="4">
        <f t="shared" si="27"/>
        <v>864.41429999999991</v>
      </c>
      <c r="H204" s="7" t="str">
        <f t="shared" si="28"/>
        <v/>
      </c>
      <c r="I204" s="7" t="str">
        <f t="shared" si="29"/>
        <v/>
      </c>
      <c r="J204" s="7" t="str">
        <f t="shared" si="30"/>
        <v/>
      </c>
      <c r="K204" s="7">
        <f t="shared" si="33"/>
        <v>0.23518094338995121</v>
      </c>
      <c r="L204" s="7">
        <f t="shared" si="34"/>
        <v>0.22945669637647992</v>
      </c>
      <c r="M204" s="7">
        <f t="shared" si="35"/>
        <v>0.23481653621121001</v>
      </c>
      <c r="N204" s="7">
        <f t="shared" si="31"/>
        <v>0.93661604163651624</v>
      </c>
      <c r="O204" s="7">
        <f t="shared" si="32"/>
        <v>6.3383958363483817E-2</v>
      </c>
    </row>
    <row r="205" spans="1:15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4">
        <f>IF(SUMIFS('Daily NSE Equity Cash'!$H:$H,'Daily NSE Equity Cash'!$A:$A,$A205)=0,"",SUMIFS('Daily NSE Equity Cash'!$H:$H,'Daily NSE Equity Cash'!$A:$A,$A205))</f>
        <v>835.05909999999994</v>
      </c>
      <c r="F205" s="4">
        <f>IF(SUMIFS('Daily BSE Equity Cash'!$H:$H,'Daily BSE Equity Cash'!$A:$A,$A205)=0,"",SUMIFS('Daily BSE Equity Cash'!$H:$H,'Daily BSE Equity Cash'!$A:$A,$A205))</f>
        <v>52.511600000000001</v>
      </c>
      <c r="G205" s="4">
        <f t="shared" si="27"/>
        <v>887.57069999999999</v>
      </c>
      <c r="H205" s="7" t="str">
        <f t="shared" si="28"/>
        <v/>
      </c>
      <c r="I205" s="7" t="str">
        <f t="shared" si="29"/>
        <v/>
      </c>
      <c r="J205" s="7" t="str">
        <f t="shared" si="30"/>
        <v/>
      </c>
      <c r="K205" s="7">
        <f t="shared" si="33"/>
        <v>3.1415559043867614E-2</v>
      </c>
      <c r="L205" s="7">
        <f t="shared" si="34"/>
        <v>-4.1584230699032609E-2</v>
      </c>
      <c r="M205" s="7">
        <f t="shared" si="35"/>
        <v>2.6788543410260601E-2</v>
      </c>
      <c r="N205" s="7">
        <f t="shared" si="31"/>
        <v>0.94083671306409722</v>
      </c>
      <c r="O205" s="7">
        <f t="shared" si="32"/>
        <v>5.9163286935902684E-2</v>
      </c>
    </row>
    <row r="206" spans="1:15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4">
        <f>IF(SUMIFS('Daily NSE Equity Cash'!$H:$H,'Daily NSE Equity Cash'!$A:$A,$A206)=0,"",SUMIFS('Daily NSE Equity Cash'!$H:$H,'Daily NSE Equity Cash'!$A:$A,$A206))</f>
        <v>740.62649999999996</v>
      </c>
      <c r="F206" s="4">
        <f>IF(SUMIFS('Daily BSE Equity Cash'!$H:$H,'Daily BSE Equity Cash'!$A:$A,$A206)=0,"",SUMIFS('Daily BSE Equity Cash'!$H:$H,'Daily BSE Equity Cash'!$A:$A,$A206))</f>
        <v>47.298499999999997</v>
      </c>
      <c r="G206" s="4">
        <f t="shared" si="27"/>
        <v>787.92499999999995</v>
      </c>
      <c r="H206" s="7" t="str">
        <f t="shared" si="28"/>
        <v/>
      </c>
      <c r="I206" s="7" t="str">
        <f t="shared" si="29"/>
        <v/>
      </c>
      <c r="J206" s="7" t="str">
        <f t="shared" si="30"/>
        <v/>
      </c>
      <c r="K206" s="7">
        <f t="shared" si="33"/>
        <v>-0.11308493015644039</v>
      </c>
      <c r="L206" s="7">
        <f t="shared" si="34"/>
        <v>-9.9275207763617979E-2</v>
      </c>
      <c r="M206" s="7">
        <f t="shared" si="35"/>
        <v>-0.1122679015880087</v>
      </c>
      <c r="N206" s="7">
        <f t="shared" si="31"/>
        <v>0.93997080940444844</v>
      </c>
      <c r="O206" s="7">
        <f t="shared" si="32"/>
        <v>6.0029190595551604E-2</v>
      </c>
    </row>
    <row r="207" spans="1:15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4">
        <f>IF(SUMIFS('Daily NSE Equity Cash'!$H:$H,'Daily NSE Equity Cash'!$A:$A,$A207)=0,"",SUMIFS('Daily NSE Equity Cash'!$H:$H,'Daily NSE Equity Cash'!$A:$A,$A207))</f>
        <v>709.86350000000004</v>
      </c>
      <c r="F207" s="4">
        <f>IF(SUMIFS('Daily BSE Equity Cash'!$H:$H,'Daily BSE Equity Cash'!$A:$A,$A207)=0,"",SUMIFS('Daily BSE Equity Cash'!$H:$H,'Daily BSE Equity Cash'!$A:$A,$A207))</f>
        <v>40.194899999999997</v>
      </c>
      <c r="G207" s="4">
        <f t="shared" si="27"/>
        <v>750.05840000000001</v>
      </c>
      <c r="H207" s="7" t="str">
        <f t="shared" si="28"/>
        <v/>
      </c>
      <c r="I207" s="7" t="str">
        <f t="shared" si="29"/>
        <v/>
      </c>
      <c r="J207" s="7" t="str">
        <f t="shared" si="30"/>
        <v/>
      </c>
      <c r="K207" s="7">
        <f t="shared" si="33"/>
        <v>-4.1536455959920282E-2</v>
      </c>
      <c r="L207" s="7">
        <f t="shared" si="34"/>
        <v>-0.1501865809697982</v>
      </c>
      <c r="M207" s="7">
        <f t="shared" si="35"/>
        <v>-4.8058635022368845E-2</v>
      </c>
      <c r="N207" s="7">
        <f t="shared" si="31"/>
        <v>0.94641097279891806</v>
      </c>
      <c r="O207" s="7">
        <f t="shared" si="32"/>
        <v>5.358902720108194E-2</v>
      </c>
    </row>
    <row r="208" spans="1:15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4">
        <f>IF(SUMIFS('Daily NSE Equity Cash'!$H:$H,'Daily NSE Equity Cash'!$A:$A,$A208)=0,"",SUMIFS('Daily NSE Equity Cash'!$H:$H,'Daily NSE Equity Cash'!$A:$A,$A208))</f>
        <v>712.41610000000003</v>
      </c>
      <c r="F208" s="4">
        <f>IF(SUMIFS('Daily BSE Equity Cash'!$H:$H,'Daily BSE Equity Cash'!$A:$A,$A208)=0,"",SUMIFS('Daily BSE Equity Cash'!$H:$H,'Daily BSE Equity Cash'!$A:$A,$A208))</f>
        <v>54.048900000000003</v>
      </c>
      <c r="G208" s="4">
        <f t="shared" si="27"/>
        <v>766.46500000000003</v>
      </c>
      <c r="H208" s="7" t="str">
        <f t="shared" si="28"/>
        <v/>
      </c>
      <c r="I208" s="7" t="str">
        <f t="shared" si="29"/>
        <v/>
      </c>
      <c r="J208" s="7" t="str">
        <f t="shared" si="30"/>
        <v/>
      </c>
      <c r="K208" s="7">
        <f t="shared" si="33"/>
        <v>3.5959025925407229E-3</v>
      </c>
      <c r="L208" s="7">
        <f t="shared" si="34"/>
        <v>0.34467059253785948</v>
      </c>
      <c r="M208" s="7">
        <f t="shared" si="35"/>
        <v>2.1873763429620885E-2</v>
      </c>
      <c r="N208" s="7">
        <f t="shared" si="31"/>
        <v>0.92948288571559046</v>
      </c>
      <c r="O208" s="7">
        <f t="shared" si="32"/>
        <v>7.0517114284409599E-2</v>
      </c>
    </row>
    <row r="209" spans="1:15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4">
        <f>IF(SUMIFS('Daily NSE Equity Cash'!$H:$H,'Daily NSE Equity Cash'!$A:$A,$A209)=0,"",SUMIFS('Daily NSE Equity Cash'!$H:$H,'Daily NSE Equity Cash'!$A:$A,$A209))</f>
        <v>844.98739999999998</v>
      </c>
      <c r="F209" s="4">
        <f>IF(SUMIFS('Daily BSE Equity Cash'!$H:$H,'Daily BSE Equity Cash'!$A:$A,$A209)=0,"",SUMIFS('Daily BSE Equity Cash'!$H:$H,'Daily BSE Equity Cash'!$A:$A,$A209))</f>
        <v>42.920900000000003</v>
      </c>
      <c r="G209" s="4">
        <f t="shared" si="27"/>
        <v>887.90829999999994</v>
      </c>
      <c r="H209" s="7" t="str">
        <f t="shared" si="28"/>
        <v/>
      </c>
      <c r="I209" s="7" t="str">
        <f t="shared" si="29"/>
        <v/>
      </c>
      <c r="J209" s="7" t="str">
        <f t="shared" si="30"/>
        <v/>
      </c>
      <c r="K209" s="7">
        <f t="shared" si="33"/>
        <v>0.18608689500419762</v>
      </c>
      <c r="L209" s="7">
        <f t="shared" si="34"/>
        <v>-0.20588763138565258</v>
      </c>
      <c r="M209" s="7">
        <f t="shared" si="35"/>
        <v>0.15844598253018716</v>
      </c>
      <c r="N209" s="7">
        <f t="shared" si="31"/>
        <v>0.95166066135433136</v>
      </c>
      <c r="O209" s="7">
        <f t="shared" si="32"/>
        <v>4.8339338645668709E-2</v>
      </c>
    </row>
    <row r="210" spans="1:15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4">
        <f>IF(SUMIFS('Daily NSE Equity Cash'!$H:$H,'Daily NSE Equity Cash'!$A:$A,$A210)=0,"",SUMIFS('Daily NSE Equity Cash'!$H:$H,'Daily NSE Equity Cash'!$A:$A,$A210))</f>
        <v>875.99699999999996</v>
      </c>
      <c r="F210" s="4">
        <f>IF(SUMIFS('Daily BSE Equity Cash'!$H:$H,'Daily BSE Equity Cash'!$A:$A,$A210)=0,"",SUMIFS('Daily BSE Equity Cash'!$H:$H,'Daily BSE Equity Cash'!$A:$A,$A210))</f>
        <v>51.828000000000003</v>
      </c>
      <c r="G210" s="4">
        <f t="shared" si="27"/>
        <v>927.82499999999993</v>
      </c>
      <c r="H210" s="7" t="str">
        <f t="shared" si="28"/>
        <v/>
      </c>
      <c r="I210" s="7" t="str">
        <f t="shared" si="29"/>
        <v/>
      </c>
      <c r="J210" s="7" t="str">
        <f t="shared" si="30"/>
        <v/>
      </c>
      <c r="K210" s="7">
        <f t="shared" si="33"/>
        <v>3.6698298696524967E-2</v>
      </c>
      <c r="L210" s="7">
        <f t="shared" si="34"/>
        <v>0.20752360738008746</v>
      </c>
      <c r="M210" s="7">
        <f t="shared" si="35"/>
        <v>4.4955881142230592E-2</v>
      </c>
      <c r="N210" s="7">
        <f t="shared" si="31"/>
        <v>0.94414032818688876</v>
      </c>
      <c r="O210" s="7">
        <f t="shared" si="32"/>
        <v>5.5859671813111314E-2</v>
      </c>
    </row>
    <row r="211" spans="1:15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4">
        <f>IF(SUMIFS('Daily NSE Equity Cash'!$H:$H,'Daily NSE Equity Cash'!$A:$A,$A211)=0,"",SUMIFS('Daily NSE Equity Cash'!$H:$H,'Daily NSE Equity Cash'!$A:$A,$A211))</f>
        <v>1004.7044</v>
      </c>
      <c r="F211" s="4">
        <f>IF(SUMIFS('Daily BSE Equity Cash'!$H:$H,'Daily BSE Equity Cash'!$A:$A,$A211)=0,"",SUMIFS('Daily BSE Equity Cash'!$H:$H,'Daily BSE Equity Cash'!$A:$A,$A211))</f>
        <v>68.678799999999995</v>
      </c>
      <c r="G211" s="4">
        <f t="shared" si="27"/>
        <v>1073.3832</v>
      </c>
      <c r="H211" s="7" t="str">
        <f t="shared" si="28"/>
        <v/>
      </c>
      <c r="I211" s="7" t="str">
        <f t="shared" si="29"/>
        <v/>
      </c>
      <c r="J211" s="7" t="str">
        <f t="shared" si="30"/>
        <v/>
      </c>
      <c r="K211" s="7">
        <f t="shared" si="33"/>
        <v>0.14692675888159434</v>
      </c>
      <c r="L211" s="7">
        <f t="shared" si="34"/>
        <v>0.3251292737516398</v>
      </c>
      <c r="M211" s="7">
        <f t="shared" si="35"/>
        <v>0.15688109287850627</v>
      </c>
      <c r="N211" s="7">
        <f t="shared" si="31"/>
        <v>0.93601651302163102</v>
      </c>
      <c r="O211" s="7">
        <f t="shared" si="32"/>
        <v>6.3983486978368947E-2</v>
      </c>
    </row>
    <row r="212" spans="1:15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4">
        <f>IF(SUMIFS('Daily NSE Equity Cash'!$H:$H,'Daily NSE Equity Cash'!$A:$A,$A212)=0,"",SUMIFS('Daily NSE Equity Cash'!$H:$H,'Daily NSE Equity Cash'!$A:$A,$A212))</f>
        <v>913.16949999999997</v>
      </c>
      <c r="F212" s="4">
        <f>IF(SUMIFS('Daily BSE Equity Cash'!$H:$H,'Daily BSE Equity Cash'!$A:$A,$A212)=0,"",SUMIFS('Daily BSE Equity Cash'!$H:$H,'Daily BSE Equity Cash'!$A:$A,$A212))</f>
        <v>61.582599999999999</v>
      </c>
      <c r="G212" s="4">
        <f t="shared" si="27"/>
        <v>974.75209999999993</v>
      </c>
      <c r="H212" s="7" t="str">
        <f t="shared" si="28"/>
        <v/>
      </c>
      <c r="I212" s="7" t="str">
        <f t="shared" si="29"/>
        <v/>
      </c>
      <c r="J212" s="7" t="str">
        <f t="shared" si="30"/>
        <v/>
      </c>
      <c r="K212" s="7">
        <f t="shared" si="33"/>
        <v>-9.1106299524516876E-2</v>
      </c>
      <c r="L212" s="7">
        <f t="shared" si="34"/>
        <v>-0.103324461114638</v>
      </c>
      <c r="M212" s="7">
        <f t="shared" si="35"/>
        <v>-9.1888060107518044E-2</v>
      </c>
      <c r="N212" s="7">
        <f t="shared" si="31"/>
        <v>0.93682229563803965</v>
      </c>
      <c r="O212" s="7">
        <f t="shared" si="32"/>
        <v>6.3177704361960338E-2</v>
      </c>
    </row>
    <row r="213" spans="1:15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4">
        <f>IF(SUMIFS('Daily NSE Equity Cash'!$H:$H,'Daily NSE Equity Cash'!$A:$A,$A213)=0,"",SUMIFS('Daily NSE Equity Cash'!$H:$H,'Daily NSE Equity Cash'!$A:$A,$A213))</f>
        <v>902.87599999999998</v>
      </c>
      <c r="F213" s="4">
        <f>IF(SUMIFS('Daily BSE Equity Cash'!$H:$H,'Daily BSE Equity Cash'!$A:$A,$A213)=0,"",SUMIFS('Daily BSE Equity Cash'!$H:$H,'Daily BSE Equity Cash'!$A:$A,$A213))</f>
        <v>65.438000000000002</v>
      </c>
      <c r="G213" s="4">
        <f t="shared" si="27"/>
        <v>968.31399999999996</v>
      </c>
      <c r="H213" s="7" t="str">
        <f t="shared" si="28"/>
        <v/>
      </c>
      <c r="I213" s="7" t="str">
        <f t="shared" si="29"/>
        <v/>
      </c>
      <c r="J213" s="7" t="str">
        <f t="shared" si="30"/>
        <v/>
      </c>
      <c r="K213" s="7">
        <f t="shared" si="33"/>
        <v>-1.1272277490652072E-2</v>
      </c>
      <c r="L213" s="7">
        <f t="shared" si="34"/>
        <v>6.2605346315355304E-2</v>
      </c>
      <c r="M213" s="7">
        <f t="shared" si="35"/>
        <v>-6.6048588148719389E-3</v>
      </c>
      <c r="N213" s="7">
        <f t="shared" si="31"/>
        <v>0.932420681721012</v>
      </c>
      <c r="O213" s="7">
        <f t="shared" si="32"/>
        <v>6.7579318278988013E-2</v>
      </c>
    </row>
    <row r="214" spans="1:15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4">
        <f>IF(SUMIFS('Daily NSE Equity Cash'!$H:$H,'Daily NSE Equity Cash'!$A:$A,$A214)=0,"",SUMIFS('Daily NSE Equity Cash'!$H:$H,'Daily NSE Equity Cash'!$A:$A,$A214))</f>
        <v>953.09630000000004</v>
      </c>
      <c r="F214" s="4">
        <f>IF(SUMIFS('Daily BSE Equity Cash'!$H:$H,'Daily BSE Equity Cash'!$A:$A,$A214)=0,"",SUMIFS('Daily BSE Equity Cash'!$H:$H,'Daily BSE Equity Cash'!$A:$A,$A214))</f>
        <v>55.756900000000002</v>
      </c>
      <c r="G214" s="4">
        <f t="shared" si="27"/>
        <v>1008.8532</v>
      </c>
      <c r="H214" s="7" t="str">
        <f t="shared" si="28"/>
        <v/>
      </c>
      <c r="I214" s="7" t="str">
        <f t="shared" si="29"/>
        <v/>
      </c>
      <c r="J214" s="7" t="str">
        <f t="shared" si="30"/>
        <v/>
      </c>
      <c r="K214" s="7">
        <f t="shared" si="33"/>
        <v>5.5622588262397077E-2</v>
      </c>
      <c r="L214" s="7">
        <f t="shared" si="34"/>
        <v>-0.14794309117026805</v>
      </c>
      <c r="M214" s="7">
        <f t="shared" si="35"/>
        <v>4.1865758421338661E-2</v>
      </c>
      <c r="N214" s="7">
        <f t="shared" si="31"/>
        <v>0.94473239515917684</v>
      </c>
      <c r="O214" s="7">
        <f t="shared" si="32"/>
        <v>5.5267604840823222E-2</v>
      </c>
    </row>
    <row r="215" spans="1:15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4">
        <f>IF(SUMIFS('Daily NSE Equity Cash'!$H:$H,'Daily NSE Equity Cash'!$A:$A,$A215)=0,"",SUMIFS('Daily NSE Equity Cash'!$H:$H,'Daily NSE Equity Cash'!$A:$A,$A215))</f>
        <v>770.7885</v>
      </c>
      <c r="F215" s="4">
        <f>IF(SUMIFS('Daily BSE Equity Cash'!$H:$H,'Daily BSE Equity Cash'!$A:$A,$A215)=0,"",SUMIFS('Daily BSE Equity Cash'!$H:$H,'Daily BSE Equity Cash'!$A:$A,$A215))</f>
        <v>54.047499999999999</v>
      </c>
      <c r="G215" s="4">
        <f t="shared" si="27"/>
        <v>824.83600000000001</v>
      </c>
      <c r="H215" s="7" t="str">
        <f t="shared" si="28"/>
        <v/>
      </c>
      <c r="I215" s="7" t="str">
        <f t="shared" si="29"/>
        <v/>
      </c>
      <c r="J215" s="7" t="str">
        <f t="shared" si="30"/>
        <v/>
      </c>
      <c r="K215" s="7">
        <f t="shared" si="33"/>
        <v>-0.19127951708552438</v>
      </c>
      <c r="L215" s="7">
        <f t="shared" si="34"/>
        <v>-3.0658088954012896E-2</v>
      </c>
      <c r="M215" s="7">
        <f t="shared" si="35"/>
        <v>-0.18240235546658323</v>
      </c>
      <c r="N215" s="7">
        <f t="shared" si="31"/>
        <v>0.93447485318293577</v>
      </c>
      <c r="O215" s="7">
        <f t="shared" si="32"/>
        <v>6.5525146817064242E-2</v>
      </c>
    </row>
    <row r="216" spans="1:15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4">
        <f>IF(SUMIFS('Daily NSE Equity Cash'!$H:$H,'Daily NSE Equity Cash'!$A:$A,$A216)=0,"",SUMIFS('Daily NSE Equity Cash'!$H:$H,'Daily NSE Equity Cash'!$A:$A,$A216))</f>
        <v>820.37580000000003</v>
      </c>
      <c r="F216" s="4">
        <f>IF(SUMIFS('Daily BSE Equity Cash'!$H:$H,'Daily BSE Equity Cash'!$A:$A,$A216)=0,"",SUMIFS('Daily BSE Equity Cash'!$H:$H,'Daily BSE Equity Cash'!$A:$A,$A216))</f>
        <v>65.055099999999996</v>
      </c>
      <c r="G216" s="4">
        <f t="shared" si="27"/>
        <v>885.43090000000007</v>
      </c>
      <c r="H216" s="7" t="str">
        <f t="shared" si="28"/>
        <v/>
      </c>
      <c r="I216" s="7" t="str">
        <f t="shared" si="29"/>
        <v/>
      </c>
      <c r="J216" s="7" t="str">
        <f t="shared" si="30"/>
        <v/>
      </c>
      <c r="K216" s="7">
        <f t="shared" si="33"/>
        <v>6.4333212028980791E-2</v>
      </c>
      <c r="L216" s="7">
        <f t="shared" si="34"/>
        <v>0.20366529441694792</v>
      </c>
      <c r="M216" s="7">
        <f t="shared" si="35"/>
        <v>7.3462967183779648E-2</v>
      </c>
      <c r="N216" s="7">
        <f t="shared" si="31"/>
        <v>0.92652718580298021</v>
      </c>
      <c r="O216" s="7">
        <f t="shared" si="32"/>
        <v>7.3472814197019773E-2</v>
      </c>
    </row>
    <row r="217" spans="1:15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4">
        <f>IF(SUMIFS('Daily NSE Equity Cash'!$H:$H,'Daily NSE Equity Cash'!$A:$A,$A217)=0,"",SUMIFS('Daily NSE Equity Cash'!$H:$H,'Daily NSE Equity Cash'!$A:$A,$A217))</f>
        <v>788.58079999999995</v>
      </c>
      <c r="F217" s="4">
        <f>IF(SUMIFS('Daily BSE Equity Cash'!$H:$H,'Daily BSE Equity Cash'!$A:$A,$A217)=0,"",SUMIFS('Daily BSE Equity Cash'!$H:$H,'Daily BSE Equity Cash'!$A:$A,$A217))</f>
        <v>48.258000000000003</v>
      </c>
      <c r="G217" s="4">
        <f t="shared" si="27"/>
        <v>836.83879999999999</v>
      </c>
      <c r="H217" s="7" t="str">
        <f t="shared" si="28"/>
        <v/>
      </c>
      <c r="I217" s="7" t="str">
        <f t="shared" si="29"/>
        <v/>
      </c>
      <c r="J217" s="7" t="str">
        <f t="shared" si="30"/>
        <v/>
      </c>
      <c r="K217" s="7">
        <f t="shared" si="33"/>
        <v>-3.8756628364708057E-2</v>
      </c>
      <c r="L217" s="7">
        <f t="shared" si="34"/>
        <v>-0.25819805057558887</v>
      </c>
      <c r="M217" s="7">
        <f t="shared" si="35"/>
        <v>-5.4879607205937875E-2</v>
      </c>
      <c r="N217" s="7">
        <f t="shared" si="31"/>
        <v>0.94233297978057418</v>
      </c>
      <c r="O217" s="7">
        <f t="shared" si="32"/>
        <v>5.7667020219425776E-2</v>
      </c>
    </row>
    <row r="218" spans="1:15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4">
        <f>IF(SUMIFS('Daily NSE Equity Cash'!$H:$H,'Daily NSE Equity Cash'!$A:$A,$A218)=0,"",SUMIFS('Daily NSE Equity Cash'!$H:$H,'Daily NSE Equity Cash'!$A:$A,$A218))</f>
        <v>667.97829999999999</v>
      </c>
      <c r="F218" s="4">
        <f>IF(SUMIFS('Daily BSE Equity Cash'!$H:$H,'Daily BSE Equity Cash'!$A:$A,$A218)=0,"",SUMIFS('Daily BSE Equity Cash'!$H:$H,'Daily BSE Equity Cash'!$A:$A,$A218))</f>
        <v>46.309899999999999</v>
      </c>
      <c r="G218" s="4">
        <f t="shared" si="27"/>
        <v>714.28819999999996</v>
      </c>
      <c r="H218" s="7" t="str">
        <f t="shared" si="28"/>
        <v/>
      </c>
      <c r="I218" s="7" t="str">
        <f t="shared" si="29"/>
        <v/>
      </c>
      <c r="J218" s="7" t="str">
        <f t="shared" si="30"/>
        <v/>
      </c>
      <c r="K218" s="7">
        <f t="shared" si="33"/>
        <v>-0.15293613539665174</v>
      </c>
      <c r="L218" s="7">
        <f t="shared" si="34"/>
        <v>-4.036843632143905E-2</v>
      </c>
      <c r="M218" s="7">
        <f t="shared" si="35"/>
        <v>-0.14644469161802731</v>
      </c>
      <c r="N218" s="7">
        <f t="shared" si="31"/>
        <v>0.93516636562104771</v>
      </c>
      <c r="O218" s="7">
        <f t="shared" si="32"/>
        <v>6.4833634378952357E-2</v>
      </c>
    </row>
    <row r="219" spans="1:15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4">
        <f>IF(SUMIFS('Daily NSE Equity Cash'!$H:$H,'Daily NSE Equity Cash'!$A:$A,$A219)=0,"",SUMIFS('Daily NSE Equity Cash'!$H:$H,'Daily NSE Equity Cash'!$A:$A,$A219))</f>
        <v>728.62</v>
      </c>
      <c r="F219" s="4">
        <f>IF(SUMIFS('Daily BSE Equity Cash'!$H:$H,'Daily BSE Equity Cash'!$A:$A,$A219)=0,"",SUMIFS('Daily BSE Equity Cash'!$H:$H,'Daily BSE Equity Cash'!$A:$A,$A219))</f>
        <v>48.813800000000001</v>
      </c>
      <c r="G219" s="4">
        <f t="shared" si="27"/>
        <v>777.43380000000002</v>
      </c>
      <c r="H219" s="7" t="str">
        <f t="shared" si="28"/>
        <v/>
      </c>
      <c r="I219" s="7" t="str">
        <f t="shared" si="29"/>
        <v/>
      </c>
      <c r="J219" s="7" t="str">
        <f t="shared" si="30"/>
        <v/>
      </c>
      <c r="K219" s="7">
        <f t="shared" si="33"/>
        <v>9.0783937142868254E-2</v>
      </c>
      <c r="L219" s="7">
        <f t="shared" si="34"/>
        <v>5.4068352555285193E-2</v>
      </c>
      <c r="M219" s="7">
        <f t="shared" si="35"/>
        <v>8.8403532355707526E-2</v>
      </c>
      <c r="N219" s="7">
        <f t="shared" si="31"/>
        <v>0.93721163139549635</v>
      </c>
      <c r="O219" s="7">
        <f t="shared" si="32"/>
        <v>6.2788368604503694E-2</v>
      </c>
    </row>
    <row r="220" spans="1:15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4">
        <f>IF(SUMIFS('Daily NSE Equity Cash'!$H:$H,'Daily NSE Equity Cash'!$A:$A,$A220)=0,"",SUMIFS('Daily NSE Equity Cash'!$H:$H,'Daily NSE Equity Cash'!$A:$A,$A220))</f>
        <v>687.79150000000004</v>
      </c>
      <c r="F220" s="4">
        <f>IF(SUMIFS('Daily BSE Equity Cash'!$H:$H,'Daily BSE Equity Cash'!$A:$A,$A220)=0,"",SUMIFS('Daily BSE Equity Cash'!$H:$H,'Daily BSE Equity Cash'!$A:$A,$A220))</f>
        <v>44.450600000000001</v>
      </c>
      <c r="G220" s="4">
        <f t="shared" si="27"/>
        <v>732.24210000000005</v>
      </c>
      <c r="H220" s="7" t="str">
        <f t="shared" si="28"/>
        <v/>
      </c>
      <c r="I220" s="7" t="str">
        <f t="shared" si="29"/>
        <v/>
      </c>
      <c r="J220" s="7" t="str">
        <f t="shared" si="30"/>
        <v/>
      </c>
      <c r="K220" s="7">
        <f t="shared" si="33"/>
        <v>-5.6035381954928409E-2</v>
      </c>
      <c r="L220" s="7">
        <f t="shared" si="34"/>
        <v>-8.9384559284464649E-2</v>
      </c>
      <c r="M220" s="7">
        <f t="shared" si="35"/>
        <v>-5.8129322393752347E-2</v>
      </c>
      <c r="N220" s="7">
        <f t="shared" si="31"/>
        <v>0.93929521397362981</v>
      </c>
      <c r="O220" s="7">
        <f t="shared" si="32"/>
        <v>6.0704786026370236E-2</v>
      </c>
    </row>
    <row r="221" spans="1:15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4">
        <f>IF(SUMIFS('Daily NSE Equity Cash'!$H:$H,'Daily NSE Equity Cash'!$A:$A,$A221)=0,"",SUMIFS('Daily NSE Equity Cash'!$H:$H,'Daily NSE Equity Cash'!$A:$A,$A221))</f>
        <v>769.6481</v>
      </c>
      <c r="F221" s="4">
        <f>IF(SUMIFS('Daily BSE Equity Cash'!$H:$H,'Daily BSE Equity Cash'!$A:$A,$A221)=0,"",SUMIFS('Daily BSE Equity Cash'!$H:$H,'Daily BSE Equity Cash'!$A:$A,$A221))</f>
        <v>49.327399999999997</v>
      </c>
      <c r="G221" s="4">
        <f t="shared" si="27"/>
        <v>818.97550000000001</v>
      </c>
      <c r="H221" s="7" t="str">
        <f t="shared" si="28"/>
        <v/>
      </c>
      <c r="I221" s="7" t="str">
        <f t="shared" si="29"/>
        <v/>
      </c>
      <c r="J221" s="7" t="str">
        <f t="shared" si="30"/>
        <v/>
      </c>
      <c r="K221" s="7">
        <f t="shared" si="33"/>
        <v>0.11901368365267673</v>
      </c>
      <c r="L221" s="7">
        <f t="shared" si="34"/>
        <v>0.10971280477653833</v>
      </c>
      <c r="M221" s="7">
        <f t="shared" si="35"/>
        <v>0.11844907579064357</v>
      </c>
      <c r="N221" s="7">
        <f t="shared" si="31"/>
        <v>0.93976938260057841</v>
      </c>
      <c r="O221" s="7">
        <f t="shared" si="32"/>
        <v>6.0230617399421593E-2</v>
      </c>
    </row>
    <row r="222" spans="1:15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4">
        <f>IF(SUMIFS('Daily NSE Equity Cash'!$H:$H,'Daily NSE Equity Cash'!$A:$A,$A222)=0,"",SUMIFS('Daily NSE Equity Cash'!$H:$H,'Daily NSE Equity Cash'!$A:$A,$A222))</f>
        <v>770.39970000000005</v>
      </c>
      <c r="F222" s="4">
        <f>IF(SUMIFS('Daily BSE Equity Cash'!$H:$H,'Daily BSE Equity Cash'!$A:$A,$A222)=0,"",SUMIFS('Daily BSE Equity Cash'!$H:$H,'Daily BSE Equity Cash'!$A:$A,$A222))</f>
        <v>47.747599999999998</v>
      </c>
      <c r="G222" s="4">
        <f t="shared" si="27"/>
        <v>818.14730000000009</v>
      </c>
      <c r="H222" s="7" t="str">
        <f t="shared" si="28"/>
        <v/>
      </c>
      <c r="I222" s="7" t="str">
        <f t="shared" si="29"/>
        <v/>
      </c>
      <c r="J222" s="7" t="str">
        <f t="shared" si="30"/>
        <v/>
      </c>
      <c r="K222" s="7">
        <f t="shared" si="33"/>
        <v>9.765501922243125E-4</v>
      </c>
      <c r="L222" s="7">
        <f t="shared" si="34"/>
        <v>-3.2026824847853352E-2</v>
      </c>
      <c r="M222" s="7">
        <f t="shared" si="35"/>
        <v>-1.0112634627041928E-3</v>
      </c>
      <c r="N222" s="7">
        <f t="shared" si="31"/>
        <v>0.94163936005166793</v>
      </c>
      <c r="O222" s="7">
        <f t="shared" si="32"/>
        <v>5.8360639948332037E-2</v>
      </c>
    </row>
    <row r="223" spans="1:15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4">
        <f>IF(SUMIFS('Daily NSE Equity Cash'!$H:$H,'Daily NSE Equity Cash'!$A:$A,$A223)=0,"",SUMIFS('Daily NSE Equity Cash'!$H:$H,'Daily NSE Equity Cash'!$A:$A,$A223))</f>
        <v>818.24649999999997</v>
      </c>
      <c r="F223" s="4">
        <f>IF(SUMIFS('Daily BSE Equity Cash'!$H:$H,'Daily BSE Equity Cash'!$A:$A,$A223)=0,"",SUMIFS('Daily BSE Equity Cash'!$H:$H,'Daily BSE Equity Cash'!$A:$A,$A223))</f>
        <v>47.1736</v>
      </c>
      <c r="G223" s="4">
        <f t="shared" si="27"/>
        <v>865.42009999999993</v>
      </c>
      <c r="H223" s="7" t="str">
        <f t="shared" si="28"/>
        <v/>
      </c>
      <c r="I223" s="7" t="str">
        <f t="shared" si="29"/>
        <v/>
      </c>
      <c r="J223" s="7" t="str">
        <f t="shared" si="30"/>
        <v/>
      </c>
      <c r="K223" s="7">
        <f t="shared" si="33"/>
        <v>6.2106462398674234E-2</v>
      </c>
      <c r="L223" s="7">
        <f t="shared" si="34"/>
        <v>-1.2021546632710267E-2</v>
      </c>
      <c r="M223" s="7">
        <f t="shared" si="35"/>
        <v>5.7780304353506784E-2</v>
      </c>
      <c r="N223" s="7">
        <f t="shared" si="31"/>
        <v>0.9454905195754062</v>
      </c>
      <c r="O223" s="7">
        <f t="shared" si="32"/>
        <v>5.4509480424593797E-2</v>
      </c>
    </row>
    <row r="224" spans="1:15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4">
        <f>IF(SUMIFS('Daily NSE Equity Cash'!$H:$H,'Daily NSE Equity Cash'!$A:$A,$A224)=0,"",SUMIFS('Daily NSE Equity Cash'!$H:$H,'Daily NSE Equity Cash'!$A:$A,$A224))</f>
        <v>840.02480000000003</v>
      </c>
      <c r="F224" s="4">
        <f>IF(SUMIFS('Daily BSE Equity Cash'!$H:$H,'Daily BSE Equity Cash'!$A:$A,$A224)=0,"",SUMIFS('Daily BSE Equity Cash'!$H:$H,'Daily BSE Equity Cash'!$A:$A,$A224))</f>
        <v>56.715600000000002</v>
      </c>
      <c r="G224" s="4">
        <f t="shared" si="27"/>
        <v>896.74040000000002</v>
      </c>
      <c r="H224" s="7" t="str">
        <f t="shared" si="28"/>
        <v/>
      </c>
      <c r="I224" s="7" t="str">
        <f t="shared" si="29"/>
        <v/>
      </c>
      <c r="J224" s="7" t="str">
        <f t="shared" si="30"/>
        <v/>
      </c>
      <c r="K224" s="7">
        <f t="shared" si="33"/>
        <v>2.6615818093936205E-2</v>
      </c>
      <c r="L224" s="7">
        <f t="shared" si="34"/>
        <v>0.20227415334000387</v>
      </c>
      <c r="M224" s="7">
        <f t="shared" si="35"/>
        <v>3.6190862680448577E-2</v>
      </c>
      <c r="N224" s="7">
        <f t="shared" si="31"/>
        <v>0.93675360226883941</v>
      </c>
      <c r="O224" s="7">
        <f t="shared" si="32"/>
        <v>6.3246397731160545E-2</v>
      </c>
    </row>
    <row r="225" spans="1:15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4">
        <f>IF(SUMIFS('Daily NSE Equity Cash'!$H:$H,'Daily NSE Equity Cash'!$A:$A,$A225)=0,"",SUMIFS('Daily NSE Equity Cash'!$H:$H,'Daily NSE Equity Cash'!$A:$A,$A225))</f>
        <v>744.73339999999996</v>
      </c>
      <c r="F225" s="4">
        <f>IF(SUMIFS('Daily BSE Equity Cash'!$H:$H,'Daily BSE Equity Cash'!$A:$A,$A225)=0,"",SUMIFS('Daily BSE Equity Cash'!$H:$H,'Daily BSE Equity Cash'!$A:$A,$A225))</f>
        <v>47.290599999999998</v>
      </c>
      <c r="G225" s="4">
        <f t="shared" si="27"/>
        <v>792.024</v>
      </c>
      <c r="H225" s="7" t="str">
        <f t="shared" si="28"/>
        <v/>
      </c>
      <c r="I225" s="7" t="str">
        <f t="shared" si="29"/>
        <v/>
      </c>
      <c r="J225" s="7" t="str">
        <f t="shared" si="30"/>
        <v/>
      </c>
      <c r="K225" s="7">
        <f t="shared" si="33"/>
        <v>-0.11343879371180476</v>
      </c>
      <c r="L225" s="7">
        <f t="shared" si="34"/>
        <v>-0.16618002806987853</v>
      </c>
      <c r="M225" s="7">
        <f t="shared" si="35"/>
        <v>-0.11677448679684777</v>
      </c>
      <c r="N225" s="7">
        <f t="shared" si="31"/>
        <v>0.94029145581447027</v>
      </c>
      <c r="O225" s="7">
        <f t="shared" si="32"/>
        <v>5.9708544185529726E-2</v>
      </c>
    </row>
    <row r="226" spans="1:15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4">
        <f>IF(SUMIFS('Daily NSE Equity Cash'!$H:$H,'Daily NSE Equity Cash'!$A:$A,$A226)=0,"",SUMIFS('Daily NSE Equity Cash'!$H:$H,'Daily NSE Equity Cash'!$A:$A,$A226))</f>
        <v>758.98829999999998</v>
      </c>
      <c r="F226" s="4">
        <f>IF(SUMIFS('Daily BSE Equity Cash'!$H:$H,'Daily BSE Equity Cash'!$A:$A,$A226)=0,"",SUMIFS('Daily BSE Equity Cash'!$H:$H,'Daily BSE Equity Cash'!$A:$A,$A226))</f>
        <v>45.205800000000004</v>
      </c>
      <c r="G226" s="4">
        <f t="shared" si="27"/>
        <v>804.19409999999993</v>
      </c>
      <c r="H226" s="7" t="str">
        <f t="shared" si="28"/>
        <v/>
      </c>
      <c r="I226" s="7" t="str">
        <f t="shared" si="29"/>
        <v/>
      </c>
      <c r="J226" s="7" t="str">
        <f t="shared" si="30"/>
        <v/>
      </c>
      <c r="K226" s="7">
        <f t="shared" si="33"/>
        <v>1.9140943591357651E-2</v>
      </c>
      <c r="L226" s="7">
        <f t="shared" si="34"/>
        <v>-4.4084870989160474E-2</v>
      </c>
      <c r="M226" s="7">
        <f t="shared" si="35"/>
        <v>1.5365822247810579E-2</v>
      </c>
      <c r="N226" s="7">
        <f t="shared" si="31"/>
        <v>0.94378745131305997</v>
      </c>
      <c r="O226" s="7">
        <f t="shared" si="32"/>
        <v>5.6212548686940138E-2</v>
      </c>
    </row>
    <row r="227" spans="1:15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4">
        <f>IF(SUMIFS('Daily NSE Equity Cash'!$H:$H,'Daily NSE Equity Cash'!$A:$A,$A227)=0,"",SUMIFS('Daily NSE Equity Cash'!$H:$H,'Daily NSE Equity Cash'!$A:$A,$A227))</f>
        <v>457.97160000000002</v>
      </c>
      <c r="F227" s="4">
        <f>IF(SUMIFS('Daily BSE Equity Cash'!$H:$H,'Daily BSE Equity Cash'!$A:$A,$A227)=0,"",SUMIFS('Daily BSE Equity Cash'!$H:$H,'Daily BSE Equity Cash'!$A:$A,$A227))</f>
        <v>406.98079999999999</v>
      </c>
      <c r="G227" s="4">
        <f t="shared" si="27"/>
        <v>864.95240000000001</v>
      </c>
      <c r="H227" s="7" t="str">
        <f t="shared" si="28"/>
        <v/>
      </c>
      <c r="I227" s="7" t="str">
        <f t="shared" si="29"/>
        <v/>
      </c>
      <c r="J227" s="7" t="str">
        <f t="shared" si="30"/>
        <v/>
      </c>
      <c r="K227" s="7">
        <f t="shared" si="33"/>
        <v>-0.39660255632399077</v>
      </c>
      <c r="L227" s="7">
        <f t="shared" si="34"/>
        <v>8.0028447677067973</v>
      </c>
      <c r="M227" s="7">
        <f t="shared" si="35"/>
        <v>7.5551785321479104E-2</v>
      </c>
      <c r="N227" s="7">
        <f t="shared" si="31"/>
        <v>0.52947607290297127</v>
      </c>
      <c r="O227" s="7">
        <f t="shared" si="32"/>
        <v>0.47052392709702867</v>
      </c>
    </row>
    <row r="228" spans="1:15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4">
        <f>IF(SUMIFS('Daily NSE Equity Cash'!$H:$H,'Daily NSE Equity Cash'!$A:$A,$A228)=0,"",SUMIFS('Daily NSE Equity Cash'!$H:$H,'Daily NSE Equity Cash'!$A:$A,$A228))</f>
        <v>843.04280000000006</v>
      </c>
      <c r="F228" s="4">
        <f>IF(SUMIFS('Daily BSE Equity Cash'!$H:$H,'Daily BSE Equity Cash'!$A:$A,$A228)=0,"",SUMIFS('Daily BSE Equity Cash'!$H:$H,'Daily BSE Equity Cash'!$A:$A,$A228))</f>
        <v>74.795900000000003</v>
      </c>
      <c r="G228" s="4">
        <f t="shared" si="27"/>
        <v>917.83870000000002</v>
      </c>
      <c r="H228" s="7" t="str">
        <f t="shared" si="28"/>
        <v/>
      </c>
      <c r="I228" s="7" t="str">
        <f t="shared" si="29"/>
        <v/>
      </c>
      <c r="J228" s="7" t="str">
        <f t="shared" si="30"/>
        <v/>
      </c>
      <c r="K228" s="7">
        <f t="shared" si="33"/>
        <v>0.84081895034539267</v>
      </c>
      <c r="L228" s="7">
        <f t="shared" si="34"/>
        <v>-0.81621762009411747</v>
      </c>
      <c r="M228" s="7">
        <f t="shared" si="35"/>
        <v>6.1143595878802026E-2</v>
      </c>
      <c r="N228" s="7">
        <f t="shared" si="31"/>
        <v>0.91850866606518122</v>
      </c>
      <c r="O228" s="7">
        <f t="shared" si="32"/>
        <v>8.1491333934818833E-2</v>
      </c>
    </row>
    <row r="229" spans="1:15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4">
        <f>IF(SUMIFS('Daily NSE Equity Cash'!$H:$H,'Daily NSE Equity Cash'!$A:$A,$A229)=0,"",SUMIFS('Daily NSE Equity Cash'!$H:$H,'Daily NSE Equity Cash'!$A:$A,$A229))</f>
        <v>1157.6030000000001</v>
      </c>
      <c r="F229" s="4">
        <f>IF(SUMIFS('Daily BSE Equity Cash'!$H:$H,'Daily BSE Equity Cash'!$A:$A,$A229)=0,"",SUMIFS('Daily BSE Equity Cash'!$H:$H,'Daily BSE Equity Cash'!$A:$A,$A229))</f>
        <v>64.088499999999996</v>
      </c>
      <c r="G229" s="4">
        <f t="shared" si="27"/>
        <v>1221.6915000000001</v>
      </c>
      <c r="H229" s="7" t="str">
        <f t="shared" si="28"/>
        <v/>
      </c>
      <c r="I229" s="7" t="str">
        <f t="shared" si="29"/>
        <v/>
      </c>
      <c r="J229" s="7" t="str">
        <f t="shared" si="30"/>
        <v/>
      </c>
      <c r="K229" s="7">
        <f t="shared" si="33"/>
        <v>0.3731248283005324</v>
      </c>
      <c r="L229" s="7">
        <f t="shared" si="34"/>
        <v>-0.14315490554963584</v>
      </c>
      <c r="M229" s="7">
        <f t="shared" si="35"/>
        <v>0.33105250410556897</v>
      </c>
      <c r="N229" s="7">
        <f t="shared" si="31"/>
        <v>0.94754117549315842</v>
      </c>
      <c r="O229" s="7">
        <f t="shared" si="32"/>
        <v>5.2458824506841528E-2</v>
      </c>
    </row>
    <row r="230" spans="1:15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4">
        <f>IF(SUMIFS('Daily NSE Equity Cash'!$H:$H,'Daily NSE Equity Cash'!$A:$A,$A230)=0,"",SUMIFS('Daily NSE Equity Cash'!$H:$H,'Daily NSE Equity Cash'!$A:$A,$A230))</f>
        <v>669.29920000000004</v>
      </c>
      <c r="F230" s="4">
        <f>IF(SUMIFS('Daily BSE Equity Cash'!$H:$H,'Daily BSE Equity Cash'!$A:$A,$A230)=0,"",SUMIFS('Daily BSE Equity Cash'!$H:$H,'Daily BSE Equity Cash'!$A:$A,$A230))</f>
        <v>51.082700000000003</v>
      </c>
      <c r="G230" s="4">
        <f t="shared" si="27"/>
        <v>720.38190000000009</v>
      </c>
      <c r="H230" s="7" t="str">
        <f t="shared" si="28"/>
        <v/>
      </c>
      <c r="I230" s="7" t="str">
        <f t="shared" si="29"/>
        <v/>
      </c>
      <c r="J230" s="7" t="str">
        <f t="shared" si="30"/>
        <v/>
      </c>
      <c r="K230" s="7">
        <f t="shared" si="33"/>
        <v>-0.42182319845404681</v>
      </c>
      <c r="L230" s="7">
        <f t="shared" si="34"/>
        <v>-0.2029350039398643</v>
      </c>
      <c r="M230" s="7">
        <f t="shared" si="35"/>
        <v>-0.41034058107140792</v>
      </c>
      <c r="N230" s="7">
        <f t="shared" si="31"/>
        <v>0.929089417710245</v>
      </c>
      <c r="O230" s="7">
        <f t="shared" si="32"/>
        <v>7.0910582289754914E-2</v>
      </c>
    </row>
    <row r="231" spans="1:15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4">
        <f>IF(SUMIFS('Daily NSE Equity Cash'!$H:$H,'Daily NSE Equity Cash'!$A:$A,$A231)=0,"",SUMIFS('Daily NSE Equity Cash'!$H:$H,'Daily NSE Equity Cash'!$A:$A,$A231))</f>
        <v>746.4633</v>
      </c>
      <c r="F231" s="4">
        <f>IF(SUMIFS('Daily BSE Equity Cash'!$H:$H,'Daily BSE Equity Cash'!$A:$A,$A231)=0,"",SUMIFS('Daily BSE Equity Cash'!$H:$H,'Daily BSE Equity Cash'!$A:$A,$A231))</f>
        <v>53.620100000000001</v>
      </c>
      <c r="G231" s="4">
        <f t="shared" si="27"/>
        <v>800.08339999999998</v>
      </c>
      <c r="H231" s="7" t="str">
        <f t="shared" si="28"/>
        <v/>
      </c>
      <c r="I231" s="7" t="str">
        <f t="shared" si="29"/>
        <v/>
      </c>
      <c r="J231" s="7" t="str">
        <f t="shared" si="30"/>
        <v/>
      </c>
      <c r="K231" s="7">
        <f t="shared" si="33"/>
        <v>0.11529088933618925</v>
      </c>
      <c r="L231" s="7">
        <f t="shared" si="34"/>
        <v>4.9672393980741081E-2</v>
      </c>
      <c r="M231" s="7">
        <f t="shared" si="35"/>
        <v>0.11063784362155671</v>
      </c>
      <c r="N231" s="7">
        <f t="shared" si="31"/>
        <v>0.932981861640924</v>
      </c>
      <c r="O231" s="7">
        <f t="shared" si="32"/>
        <v>6.7018138359076065E-2</v>
      </c>
    </row>
    <row r="232" spans="1:15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4">
        <f>IF(SUMIFS('Daily NSE Equity Cash'!$H:$H,'Daily NSE Equity Cash'!$A:$A,$A232)=0,"",SUMIFS('Daily NSE Equity Cash'!$H:$H,'Daily NSE Equity Cash'!$A:$A,$A232))</f>
        <v>794.93629999999996</v>
      </c>
      <c r="F232" s="4">
        <f>IF(SUMIFS('Daily BSE Equity Cash'!$H:$H,'Daily BSE Equity Cash'!$A:$A,$A232)=0,"",SUMIFS('Daily BSE Equity Cash'!$H:$H,'Daily BSE Equity Cash'!$A:$A,$A232))</f>
        <v>57.510899999999999</v>
      </c>
      <c r="G232" s="4">
        <f t="shared" si="27"/>
        <v>852.44719999999995</v>
      </c>
      <c r="H232" s="7" t="str">
        <f t="shared" si="28"/>
        <v/>
      </c>
      <c r="I232" s="7" t="str">
        <f t="shared" si="29"/>
        <v/>
      </c>
      <c r="J232" s="7" t="str">
        <f t="shared" si="30"/>
        <v/>
      </c>
      <c r="K232" s="7">
        <f t="shared" si="33"/>
        <v>6.4936883032293613E-2</v>
      </c>
      <c r="L232" s="7">
        <f t="shared" si="34"/>
        <v>7.2562341360795646E-2</v>
      </c>
      <c r="M232" s="7">
        <f t="shared" si="35"/>
        <v>6.5447927053604582E-2</v>
      </c>
      <c r="N232" s="7">
        <f t="shared" si="31"/>
        <v>0.93253435520698524</v>
      </c>
      <c r="O232" s="7">
        <f t="shared" si="32"/>
        <v>6.7465644793014756E-2</v>
      </c>
    </row>
    <row r="233" spans="1:15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4">
        <f>IF(SUMIFS('Daily NSE Equity Cash'!$H:$H,'Daily NSE Equity Cash'!$A:$A,$A233)=0,"",SUMIFS('Daily NSE Equity Cash'!$H:$H,'Daily NSE Equity Cash'!$A:$A,$A233))</f>
        <v>809.13639999999998</v>
      </c>
      <c r="F233" s="4">
        <f>IF(SUMIFS('Daily BSE Equity Cash'!$H:$H,'Daily BSE Equity Cash'!$A:$A,$A233)=0,"",SUMIFS('Daily BSE Equity Cash'!$H:$H,'Daily BSE Equity Cash'!$A:$A,$A233))</f>
        <v>68.551400000000001</v>
      </c>
      <c r="G233" s="4">
        <f t="shared" si="27"/>
        <v>877.68779999999992</v>
      </c>
      <c r="H233" s="7" t="str">
        <f t="shared" si="28"/>
        <v/>
      </c>
      <c r="I233" s="7" t="str">
        <f t="shared" si="29"/>
        <v/>
      </c>
      <c r="J233" s="7" t="str">
        <f t="shared" si="30"/>
        <v/>
      </c>
      <c r="K233" s="7">
        <f t="shared" si="33"/>
        <v>1.7863192308616549E-2</v>
      </c>
      <c r="L233" s="7">
        <f t="shared" si="34"/>
        <v>0.19197230438056101</v>
      </c>
      <c r="M233" s="7">
        <f t="shared" si="35"/>
        <v>2.9609575818889455E-2</v>
      </c>
      <c r="N233" s="7">
        <f t="shared" si="31"/>
        <v>0.92189546214496776</v>
      </c>
      <c r="O233" s="7">
        <f t="shared" si="32"/>
        <v>7.8104537855032283E-2</v>
      </c>
    </row>
    <row r="234" spans="1:15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4">
        <f>IF(SUMIFS('Daily NSE Equity Cash'!$H:$H,'Daily NSE Equity Cash'!$A:$A,$A234)=0,"",SUMIFS('Daily NSE Equity Cash'!$H:$H,'Daily NSE Equity Cash'!$A:$A,$A234))</f>
        <v>771.71990000000005</v>
      </c>
      <c r="F234" s="4">
        <f>IF(SUMIFS('Daily BSE Equity Cash'!$H:$H,'Daily BSE Equity Cash'!$A:$A,$A234)=0,"",SUMIFS('Daily BSE Equity Cash'!$H:$H,'Daily BSE Equity Cash'!$A:$A,$A234))</f>
        <v>54.629600000000003</v>
      </c>
      <c r="G234" s="4">
        <f t="shared" si="27"/>
        <v>826.34950000000003</v>
      </c>
      <c r="H234" s="7" t="str">
        <f t="shared" si="28"/>
        <v/>
      </c>
      <c r="I234" s="7" t="str">
        <f t="shared" si="29"/>
        <v/>
      </c>
      <c r="J234" s="7" t="str">
        <f t="shared" si="30"/>
        <v/>
      </c>
      <c r="K234" s="7">
        <f t="shared" si="33"/>
        <v>-4.6242512387280943E-2</v>
      </c>
      <c r="L234" s="7">
        <f t="shared" si="34"/>
        <v>-0.20308556790962695</v>
      </c>
      <c r="M234" s="7">
        <f t="shared" si="35"/>
        <v>-5.8492666754624945E-2</v>
      </c>
      <c r="N234" s="7">
        <f t="shared" si="31"/>
        <v>0.93389044224023854</v>
      </c>
      <c r="O234" s="7">
        <f t="shared" si="32"/>
        <v>6.6109557759761461E-2</v>
      </c>
    </row>
    <row r="235" spans="1:15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4">
        <f>IF(SUMIFS('Daily NSE Equity Cash'!$H:$H,'Daily NSE Equity Cash'!$A:$A,$A235)=0,"",SUMIFS('Daily NSE Equity Cash'!$H:$H,'Daily NSE Equity Cash'!$A:$A,$A235))</f>
        <v>604.45889999999997</v>
      </c>
      <c r="F235" s="4">
        <f>IF(SUMIFS('Daily BSE Equity Cash'!$H:$H,'Daily BSE Equity Cash'!$A:$A,$A235)=0,"",SUMIFS('Daily BSE Equity Cash'!$H:$H,'Daily BSE Equity Cash'!$A:$A,$A235))</f>
        <v>42.219200000000001</v>
      </c>
      <c r="G235" s="4">
        <f t="shared" si="27"/>
        <v>646.67809999999997</v>
      </c>
      <c r="H235" s="7" t="str">
        <f t="shared" si="28"/>
        <v/>
      </c>
      <c r="I235" s="7" t="str">
        <f t="shared" si="29"/>
        <v/>
      </c>
      <c r="J235" s="7" t="str">
        <f t="shared" si="30"/>
        <v/>
      </c>
      <c r="K235" s="7">
        <f t="shared" si="33"/>
        <v>-0.21673796412403001</v>
      </c>
      <c r="L235" s="7">
        <f t="shared" si="34"/>
        <v>-0.22717354694158487</v>
      </c>
      <c r="M235" s="7">
        <f t="shared" si="35"/>
        <v>-0.21742785588906399</v>
      </c>
      <c r="N235" s="7">
        <f t="shared" si="31"/>
        <v>0.93471373160773497</v>
      </c>
      <c r="O235" s="7">
        <f t="shared" si="32"/>
        <v>6.5286268392265021E-2</v>
      </c>
    </row>
    <row r="236" spans="1:15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4">
        <f>IF(SUMIFS('Daily NSE Equity Cash'!$H:$H,'Daily NSE Equity Cash'!$A:$A,$A236)=0,"",SUMIFS('Daily NSE Equity Cash'!$H:$H,'Daily NSE Equity Cash'!$A:$A,$A236))</f>
        <v>707.8175</v>
      </c>
      <c r="F236" s="4">
        <f>IF(SUMIFS('Daily BSE Equity Cash'!$H:$H,'Daily BSE Equity Cash'!$A:$A,$A236)=0,"",SUMIFS('Daily BSE Equity Cash'!$H:$H,'Daily BSE Equity Cash'!$A:$A,$A236))</f>
        <v>49.7425</v>
      </c>
      <c r="G236" s="4">
        <f t="shared" si="27"/>
        <v>757.56</v>
      </c>
      <c r="H236" s="7" t="str">
        <f t="shared" si="28"/>
        <v/>
      </c>
      <c r="I236" s="7" t="str">
        <f t="shared" si="29"/>
        <v/>
      </c>
      <c r="J236" s="7" t="str">
        <f t="shared" si="30"/>
        <v/>
      </c>
      <c r="K236" s="7">
        <f t="shared" si="33"/>
        <v>0.17099359443628015</v>
      </c>
      <c r="L236" s="7">
        <f t="shared" si="34"/>
        <v>0.17819617614734518</v>
      </c>
      <c r="M236" s="7">
        <f t="shared" si="35"/>
        <v>0.17146382411898586</v>
      </c>
      <c r="N236" s="7">
        <f t="shared" si="31"/>
        <v>0.93433853424151225</v>
      </c>
      <c r="O236" s="7">
        <f t="shared" si="32"/>
        <v>6.5661465758487775E-2</v>
      </c>
    </row>
    <row r="237" spans="1:15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4">
        <f>IF(SUMIFS('Daily NSE Equity Cash'!$H:$H,'Daily NSE Equity Cash'!$A:$A,$A237)=0,"",SUMIFS('Daily NSE Equity Cash'!$H:$H,'Daily NSE Equity Cash'!$A:$A,$A237))</f>
        <v>543.91690000000006</v>
      </c>
      <c r="F237" s="4">
        <f>IF(SUMIFS('Daily BSE Equity Cash'!$H:$H,'Daily BSE Equity Cash'!$A:$A,$A237)=0,"",SUMIFS('Daily BSE Equity Cash'!$H:$H,'Daily BSE Equity Cash'!$A:$A,$A237))</f>
        <v>39.097700000000003</v>
      </c>
      <c r="G237" s="4">
        <f t="shared" si="27"/>
        <v>583.01460000000009</v>
      </c>
      <c r="H237" s="7" t="str">
        <f t="shared" si="28"/>
        <v/>
      </c>
      <c r="I237" s="7" t="str">
        <f t="shared" si="29"/>
        <v/>
      </c>
      <c r="J237" s="7" t="str">
        <f t="shared" si="30"/>
        <v/>
      </c>
      <c r="K237" s="7">
        <f t="shared" si="33"/>
        <v>-0.23155771085060761</v>
      </c>
      <c r="L237" s="7">
        <f t="shared" si="34"/>
        <v>-0.21399809016434634</v>
      </c>
      <c r="M237" s="7">
        <f t="shared" si="35"/>
        <v>-0.23040472041818449</v>
      </c>
      <c r="N237" s="7">
        <f t="shared" si="31"/>
        <v>0.93293872915017906</v>
      </c>
      <c r="O237" s="7">
        <f t="shared" si="32"/>
        <v>6.7061270849820914E-2</v>
      </c>
    </row>
    <row r="238" spans="1:15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4">
        <f>IF(SUMIFS('Daily NSE Equity Cash'!$H:$H,'Daily NSE Equity Cash'!$A:$A,$A238)=0,"",SUMIFS('Daily NSE Equity Cash'!$H:$H,'Daily NSE Equity Cash'!$A:$A,$A238))</f>
        <v>672.56960000000004</v>
      </c>
      <c r="F238" s="4">
        <f>IF(SUMIFS('Daily BSE Equity Cash'!$H:$H,'Daily BSE Equity Cash'!$A:$A,$A238)=0,"",SUMIFS('Daily BSE Equity Cash'!$H:$H,'Daily BSE Equity Cash'!$A:$A,$A238))</f>
        <v>97.834699999999998</v>
      </c>
      <c r="G238" s="4">
        <f t="shared" si="27"/>
        <v>770.40430000000003</v>
      </c>
      <c r="H238" s="7" t="str">
        <f t="shared" si="28"/>
        <v/>
      </c>
      <c r="I238" s="7" t="str">
        <f t="shared" si="29"/>
        <v/>
      </c>
      <c r="J238" s="7" t="str">
        <f t="shared" si="30"/>
        <v/>
      </c>
      <c r="K238" s="7">
        <f t="shared" si="33"/>
        <v>0.2365300655302307</v>
      </c>
      <c r="L238" s="7">
        <f t="shared" si="34"/>
        <v>1.5023134353171668</v>
      </c>
      <c r="M238" s="7">
        <f t="shared" si="35"/>
        <v>0.32141510692871145</v>
      </c>
      <c r="N238" s="7">
        <f t="shared" si="31"/>
        <v>0.8730086267690873</v>
      </c>
      <c r="O238" s="7">
        <f t="shared" si="32"/>
        <v>0.12699137323091264</v>
      </c>
    </row>
    <row r="239" spans="1:15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4">
        <f>IF(SUMIFS('Daily NSE Equity Cash'!$H:$H,'Daily NSE Equity Cash'!$A:$A,$A239)=0,"",SUMIFS('Daily NSE Equity Cash'!$H:$H,'Daily NSE Equity Cash'!$A:$A,$A239))</f>
        <v>600.04300000000001</v>
      </c>
      <c r="F239" s="4">
        <f>IF(SUMIFS('Daily BSE Equity Cash'!$H:$H,'Daily BSE Equity Cash'!$A:$A,$A239)=0,"",SUMIFS('Daily BSE Equity Cash'!$H:$H,'Daily BSE Equity Cash'!$A:$A,$A239))</f>
        <v>48.241500000000002</v>
      </c>
      <c r="G239" s="4">
        <f t="shared" si="27"/>
        <v>648.28449999999998</v>
      </c>
      <c r="H239" s="7" t="str">
        <f t="shared" si="28"/>
        <v/>
      </c>
      <c r="I239" s="7" t="str">
        <f t="shared" si="29"/>
        <v/>
      </c>
      <c r="J239" s="7" t="str">
        <f t="shared" si="30"/>
        <v/>
      </c>
      <c r="K239" s="7">
        <f t="shared" si="33"/>
        <v>-0.10783508502317085</v>
      </c>
      <c r="L239" s="7">
        <f t="shared" si="34"/>
        <v>-0.50690808067076398</v>
      </c>
      <c r="M239" s="7">
        <f t="shared" si="35"/>
        <v>-0.15851391275983284</v>
      </c>
      <c r="N239" s="7">
        <f t="shared" si="31"/>
        <v>0.92558591174091009</v>
      </c>
      <c r="O239" s="7">
        <f t="shared" si="32"/>
        <v>7.4414088259089961E-2</v>
      </c>
    </row>
    <row r="240" spans="1:15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4">
        <f>IF(SUMIFS('Daily NSE Equity Cash'!$H:$H,'Daily NSE Equity Cash'!$A:$A,$A240)=0,"",SUMIFS('Daily NSE Equity Cash'!$H:$H,'Daily NSE Equity Cash'!$A:$A,$A240))</f>
        <v>589.97199999999998</v>
      </c>
      <c r="F240" s="4">
        <f>IF(SUMIFS('Daily BSE Equity Cash'!$H:$H,'Daily BSE Equity Cash'!$A:$A,$A240)=0,"",SUMIFS('Daily BSE Equity Cash'!$H:$H,'Daily BSE Equity Cash'!$A:$A,$A240))</f>
        <v>36.996400000000001</v>
      </c>
      <c r="G240" s="4">
        <f t="shared" si="27"/>
        <v>626.96839999999997</v>
      </c>
      <c r="H240" s="7" t="str">
        <f t="shared" si="28"/>
        <v/>
      </c>
      <c r="I240" s="7" t="str">
        <f t="shared" si="29"/>
        <v/>
      </c>
      <c r="J240" s="7" t="str">
        <f t="shared" si="30"/>
        <v/>
      </c>
      <c r="K240" s="7">
        <f t="shared" si="33"/>
        <v>-1.6783797161203484E-2</v>
      </c>
      <c r="L240" s="7">
        <f t="shared" si="34"/>
        <v>-0.23310013162940624</v>
      </c>
      <c r="M240" s="7">
        <f t="shared" si="35"/>
        <v>-3.2880779966203089E-2</v>
      </c>
      <c r="N240" s="7">
        <f t="shared" si="31"/>
        <v>0.94099160340457355</v>
      </c>
      <c r="O240" s="7">
        <f t="shared" si="32"/>
        <v>5.9008396595426504E-2</v>
      </c>
    </row>
    <row r="241" spans="1:15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4">
        <f>IF(SUMIFS('Daily NSE Equity Cash'!$H:$H,'Daily NSE Equity Cash'!$A:$A,$A241)=0,"",SUMIFS('Daily NSE Equity Cash'!$H:$H,'Daily NSE Equity Cash'!$A:$A,$A241))</f>
        <v>594.72130000000004</v>
      </c>
      <c r="F241" s="4">
        <f>IF(SUMIFS('Daily BSE Equity Cash'!$H:$H,'Daily BSE Equity Cash'!$A:$A,$A241)=0,"",SUMIFS('Daily BSE Equity Cash'!$H:$H,'Daily BSE Equity Cash'!$A:$A,$A241))</f>
        <v>84.597700000000003</v>
      </c>
      <c r="G241" s="4">
        <f t="shared" si="27"/>
        <v>679.31900000000007</v>
      </c>
      <c r="H241" s="7" t="str">
        <f t="shared" si="28"/>
        <v/>
      </c>
      <c r="I241" s="7" t="str">
        <f t="shared" si="29"/>
        <v/>
      </c>
      <c r="J241" s="7" t="str">
        <f t="shared" si="30"/>
        <v/>
      </c>
      <c r="K241" s="7">
        <f t="shared" si="33"/>
        <v>8.0500430528906985E-3</v>
      </c>
      <c r="L241" s="7">
        <f t="shared" si="34"/>
        <v>1.2866468088787015</v>
      </c>
      <c r="M241" s="7">
        <f t="shared" si="35"/>
        <v>8.3497988096369991E-2</v>
      </c>
      <c r="N241" s="7">
        <f t="shared" si="31"/>
        <v>0.87546690141156069</v>
      </c>
      <c r="O241" s="7">
        <f t="shared" si="32"/>
        <v>0.12453309858843929</v>
      </c>
    </row>
    <row r="242" spans="1:15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4">
        <f>IF(SUMIFS('Daily NSE Equity Cash'!$H:$H,'Daily NSE Equity Cash'!$A:$A,$A242)=0,"",SUMIFS('Daily NSE Equity Cash'!$H:$H,'Daily NSE Equity Cash'!$A:$A,$A242))</f>
        <v>634.59140000000002</v>
      </c>
      <c r="F242" s="4">
        <f>IF(SUMIFS('Daily BSE Equity Cash'!$H:$H,'Daily BSE Equity Cash'!$A:$A,$A242)=0,"",SUMIFS('Daily BSE Equity Cash'!$H:$H,'Daily BSE Equity Cash'!$A:$A,$A242))</f>
        <v>41.7913</v>
      </c>
      <c r="G242" s="4">
        <f t="shared" si="27"/>
        <v>676.3827</v>
      </c>
      <c r="H242" s="7" t="str">
        <f t="shared" si="28"/>
        <v/>
      </c>
      <c r="I242" s="7" t="str">
        <f t="shared" si="29"/>
        <v/>
      </c>
      <c r="J242" s="7" t="str">
        <f t="shared" si="30"/>
        <v/>
      </c>
      <c r="K242" s="7">
        <f t="shared" si="33"/>
        <v>6.7039973177352108E-2</v>
      </c>
      <c r="L242" s="7">
        <f t="shared" si="34"/>
        <v>-0.50599957209238555</v>
      </c>
      <c r="M242" s="7">
        <f t="shared" si="35"/>
        <v>-4.3224170087986513E-3</v>
      </c>
      <c r="N242" s="7">
        <f t="shared" si="31"/>
        <v>0.93821352911598721</v>
      </c>
      <c r="O242" s="7">
        <f t="shared" si="32"/>
        <v>6.1786470884012852E-2</v>
      </c>
    </row>
    <row r="243" spans="1:15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4">
        <f>IF(SUMIFS('Daily NSE Equity Cash'!$H:$H,'Daily NSE Equity Cash'!$A:$A,$A243)=0,"",SUMIFS('Daily NSE Equity Cash'!$H:$H,'Daily NSE Equity Cash'!$A:$A,$A243))</f>
        <v>939.16830000000004</v>
      </c>
      <c r="F243" s="4">
        <f>IF(SUMIFS('Daily BSE Equity Cash'!$H:$H,'Daily BSE Equity Cash'!$A:$A,$A243)=0,"",SUMIFS('Daily BSE Equity Cash'!$H:$H,'Daily BSE Equity Cash'!$A:$A,$A243))</f>
        <v>48.707599999999999</v>
      </c>
      <c r="G243" s="4">
        <f t="shared" si="27"/>
        <v>987.8759</v>
      </c>
      <c r="H243" s="7" t="str">
        <f t="shared" si="28"/>
        <v/>
      </c>
      <c r="I243" s="7" t="str">
        <f t="shared" si="29"/>
        <v/>
      </c>
      <c r="J243" s="7" t="str">
        <f t="shared" si="30"/>
        <v/>
      </c>
      <c r="K243" s="7">
        <f t="shared" si="33"/>
        <v>0.4799574970603131</v>
      </c>
      <c r="L243" s="7">
        <f t="shared" si="34"/>
        <v>0.16549616786268917</v>
      </c>
      <c r="M243" s="7">
        <f t="shared" si="35"/>
        <v>0.46052804129969616</v>
      </c>
      <c r="N243" s="7">
        <f t="shared" si="31"/>
        <v>0.95069461660113386</v>
      </c>
      <c r="O243" s="7">
        <f t="shared" si="32"/>
        <v>4.9305383398866191E-2</v>
      </c>
    </row>
    <row r="244" spans="1:15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4">
        <f>IF(SUMIFS('Daily NSE Equity Cash'!$H:$H,'Daily NSE Equity Cash'!$A:$A,$A244)=0,"",SUMIFS('Daily NSE Equity Cash'!$H:$H,'Daily NSE Equity Cash'!$A:$A,$A244))</f>
        <v>578.60339999999997</v>
      </c>
      <c r="F244" s="4">
        <f>IF(SUMIFS('Daily BSE Equity Cash'!$H:$H,'Daily BSE Equity Cash'!$A:$A,$A244)=0,"",SUMIFS('Daily BSE Equity Cash'!$H:$H,'Daily BSE Equity Cash'!$A:$A,$A244))</f>
        <v>40.208599999999997</v>
      </c>
      <c r="G244" s="4">
        <f t="shared" si="27"/>
        <v>618.81200000000001</v>
      </c>
      <c r="H244" s="7" t="str">
        <f t="shared" si="28"/>
        <v/>
      </c>
      <c r="I244" s="7" t="str">
        <f t="shared" si="29"/>
        <v/>
      </c>
      <c r="J244" s="7" t="str">
        <f t="shared" si="30"/>
        <v/>
      </c>
      <c r="K244" s="7">
        <f t="shared" si="33"/>
        <v>-0.38391936780660085</v>
      </c>
      <c r="L244" s="7">
        <f t="shared" si="34"/>
        <v>-0.17449022329164243</v>
      </c>
      <c r="M244" s="7">
        <f t="shared" si="35"/>
        <v>-0.37359338354139415</v>
      </c>
      <c r="N244" s="7">
        <f t="shared" si="31"/>
        <v>0.9350229148756003</v>
      </c>
      <c r="O244" s="7">
        <f t="shared" si="32"/>
        <v>6.4977085124399647E-2</v>
      </c>
    </row>
    <row r="245" spans="1:15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4">
        <f>IF(SUMIFS('Daily NSE Equity Cash'!$H:$H,'Daily NSE Equity Cash'!$A:$A,$A245)=0,"",SUMIFS('Daily NSE Equity Cash'!$H:$H,'Daily NSE Equity Cash'!$A:$A,$A245))</f>
        <v>617.33240000000001</v>
      </c>
      <c r="F245" s="4">
        <f>IF(SUMIFS('Daily BSE Equity Cash'!$H:$H,'Daily BSE Equity Cash'!$A:$A,$A245)=0,"",SUMIFS('Daily BSE Equity Cash'!$H:$H,'Daily BSE Equity Cash'!$A:$A,$A245))</f>
        <v>41.707799999999999</v>
      </c>
      <c r="G245" s="4">
        <f t="shared" si="27"/>
        <v>659.04020000000003</v>
      </c>
      <c r="H245" s="7" t="str">
        <f t="shared" si="28"/>
        <v/>
      </c>
      <c r="I245" s="7" t="str">
        <f t="shared" si="29"/>
        <v/>
      </c>
      <c r="J245" s="7" t="str">
        <f t="shared" si="30"/>
        <v/>
      </c>
      <c r="K245" s="7">
        <f t="shared" si="33"/>
        <v>6.6935313549834063E-2</v>
      </c>
      <c r="L245" s="7">
        <f t="shared" si="34"/>
        <v>3.7285555826365613E-2</v>
      </c>
      <c r="M245" s="7">
        <f t="shared" si="35"/>
        <v>6.5008758718318349E-2</v>
      </c>
      <c r="N245" s="7">
        <f t="shared" si="31"/>
        <v>0.93671433093155776</v>
      </c>
      <c r="O245" s="7">
        <f t="shared" si="32"/>
        <v>6.3285669068442255E-2</v>
      </c>
    </row>
    <row r="246" spans="1:15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4">
        <f>IF(SUMIFS('Daily NSE Equity Cash'!$H:$H,'Daily NSE Equity Cash'!$A:$A,$A246)=0,"",SUMIFS('Daily NSE Equity Cash'!$H:$H,'Daily NSE Equity Cash'!$A:$A,$A246))</f>
        <v>581.96230000000003</v>
      </c>
      <c r="F246" s="4">
        <f>IF(SUMIFS('Daily BSE Equity Cash'!$H:$H,'Daily BSE Equity Cash'!$A:$A,$A246)=0,"",SUMIFS('Daily BSE Equity Cash'!$H:$H,'Daily BSE Equity Cash'!$A:$A,$A246))</f>
        <v>36.050400000000003</v>
      </c>
      <c r="G246" s="4">
        <f t="shared" si="27"/>
        <v>618.0127</v>
      </c>
      <c r="H246" s="7" t="str">
        <f t="shared" si="28"/>
        <v/>
      </c>
      <c r="I246" s="7" t="str">
        <f t="shared" si="29"/>
        <v/>
      </c>
      <c r="J246" s="7" t="str">
        <f t="shared" si="30"/>
        <v/>
      </c>
      <c r="K246" s="7">
        <f t="shared" si="33"/>
        <v>-5.7295065024936309E-2</v>
      </c>
      <c r="L246" s="7">
        <f t="shared" si="34"/>
        <v>-0.13564369254671782</v>
      </c>
      <c r="M246" s="7">
        <f t="shared" si="35"/>
        <v>-6.2253410338246495E-2</v>
      </c>
      <c r="N246" s="7">
        <f t="shared" si="31"/>
        <v>0.94166721816558141</v>
      </c>
      <c r="O246" s="7">
        <f t="shared" si="32"/>
        <v>5.8332781834418618E-2</v>
      </c>
    </row>
    <row r="247" spans="1:15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4">
        <f>IF(SUMIFS('Daily NSE Equity Cash'!$H:$H,'Daily NSE Equity Cash'!$A:$A,$A247)=0,"",SUMIFS('Daily NSE Equity Cash'!$H:$H,'Daily NSE Equity Cash'!$A:$A,$A247))</f>
        <v>697.77949999999998</v>
      </c>
      <c r="F247" s="4">
        <f>IF(SUMIFS('Daily BSE Equity Cash'!$H:$H,'Daily BSE Equity Cash'!$A:$A,$A247)=0,"",SUMIFS('Daily BSE Equity Cash'!$H:$H,'Daily BSE Equity Cash'!$A:$A,$A247))</f>
        <v>45.526299999999999</v>
      </c>
      <c r="G247" s="4">
        <f t="shared" si="27"/>
        <v>743.30579999999998</v>
      </c>
      <c r="H247" s="7" t="str">
        <f t="shared" si="28"/>
        <v/>
      </c>
      <c r="I247" s="7" t="str">
        <f t="shared" si="29"/>
        <v/>
      </c>
      <c r="J247" s="7" t="str">
        <f t="shared" si="30"/>
        <v/>
      </c>
      <c r="K247" s="7">
        <f t="shared" si="33"/>
        <v>0.19901151672539608</v>
      </c>
      <c r="L247" s="7">
        <f t="shared" si="34"/>
        <v>0.26285145241106878</v>
      </c>
      <c r="M247" s="7">
        <f t="shared" si="35"/>
        <v>0.2027354777660717</v>
      </c>
      <c r="N247" s="7">
        <f t="shared" si="31"/>
        <v>0.93875158783908319</v>
      </c>
      <c r="O247" s="7">
        <f t="shared" si="32"/>
        <v>6.124841216091681E-2</v>
      </c>
    </row>
    <row r="248" spans="1:15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4">
        <f>IF(SUMIFS('Daily NSE Equity Cash'!$H:$H,'Daily NSE Equity Cash'!$A:$A,$A248)=0,"",SUMIFS('Daily NSE Equity Cash'!$H:$H,'Daily NSE Equity Cash'!$A:$A,$A248))</f>
        <v>582.44820000000004</v>
      </c>
      <c r="F248" s="4">
        <f>IF(SUMIFS('Daily BSE Equity Cash'!$H:$H,'Daily BSE Equity Cash'!$A:$A,$A248)=0,"",SUMIFS('Daily BSE Equity Cash'!$H:$H,'Daily BSE Equity Cash'!$A:$A,$A248))</f>
        <v>42.238100000000003</v>
      </c>
      <c r="G248" s="4">
        <f t="shared" si="27"/>
        <v>624.68630000000007</v>
      </c>
      <c r="H248" s="7" t="str">
        <f t="shared" si="28"/>
        <v/>
      </c>
      <c r="I248" s="7" t="str">
        <f t="shared" si="29"/>
        <v/>
      </c>
      <c r="J248" s="7" t="str">
        <f t="shared" si="30"/>
        <v/>
      </c>
      <c r="K248" s="7">
        <f t="shared" si="33"/>
        <v>-0.16528330224662657</v>
      </c>
      <c r="L248" s="7">
        <f t="shared" si="34"/>
        <v>-7.2226383431115537E-2</v>
      </c>
      <c r="M248" s="7">
        <f t="shared" si="35"/>
        <v>-0.15958371372858915</v>
      </c>
      <c r="N248" s="7">
        <f t="shared" si="31"/>
        <v>0.93238510273076258</v>
      </c>
      <c r="O248" s="7">
        <f t="shared" si="32"/>
        <v>6.7614897269237376E-2</v>
      </c>
    </row>
    <row r="249" spans="1:15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4">
        <f>IF(SUMIFS('Daily NSE Equity Cash'!$H:$H,'Daily NSE Equity Cash'!$A:$A,$A249)=0,"",SUMIFS('Daily NSE Equity Cash'!$H:$H,'Daily NSE Equity Cash'!$A:$A,$A249))</f>
        <v>684.74429999999995</v>
      </c>
      <c r="F249" s="4">
        <f>IF(SUMIFS('Daily BSE Equity Cash'!$H:$H,'Daily BSE Equity Cash'!$A:$A,$A249)=0,"",SUMIFS('Daily BSE Equity Cash'!$H:$H,'Daily BSE Equity Cash'!$A:$A,$A249))</f>
        <v>37.814300000000003</v>
      </c>
      <c r="G249" s="4">
        <f t="shared" si="27"/>
        <v>722.55859999999996</v>
      </c>
      <c r="H249" s="7" t="str">
        <f t="shared" si="28"/>
        <v/>
      </c>
      <c r="I249" s="7" t="str">
        <f t="shared" si="29"/>
        <v/>
      </c>
      <c r="J249" s="7" t="str">
        <f t="shared" si="30"/>
        <v/>
      </c>
      <c r="K249" s="7">
        <f t="shared" si="33"/>
        <v>0.17563124068372082</v>
      </c>
      <c r="L249" s="7">
        <f t="shared" si="34"/>
        <v>-0.10473482471986195</v>
      </c>
      <c r="M249" s="7">
        <f t="shared" si="35"/>
        <v>0.15667431797367715</v>
      </c>
      <c r="N249" s="7">
        <f t="shared" si="31"/>
        <v>0.94766611317061344</v>
      </c>
      <c r="O249" s="7">
        <f t="shared" si="32"/>
        <v>5.2333886829386576E-2</v>
      </c>
    </row>
    <row r="250" spans="1:15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4">
        <f>IF(SUMIFS('Daily NSE Equity Cash'!$H:$H,'Daily NSE Equity Cash'!$A:$A,$A250)=0,"",SUMIFS('Daily NSE Equity Cash'!$H:$H,'Daily NSE Equity Cash'!$A:$A,$A250))</f>
        <v>567.78399999999999</v>
      </c>
      <c r="F250" s="4">
        <f>IF(SUMIFS('Daily BSE Equity Cash'!$H:$H,'Daily BSE Equity Cash'!$A:$A,$A250)=0,"",SUMIFS('Daily BSE Equity Cash'!$H:$H,'Daily BSE Equity Cash'!$A:$A,$A250))</f>
        <v>34.11</v>
      </c>
      <c r="G250" s="4">
        <f t="shared" si="27"/>
        <v>601.89400000000001</v>
      </c>
      <c r="H250" s="7" t="str">
        <f t="shared" si="28"/>
        <v/>
      </c>
      <c r="I250" s="7" t="str">
        <f t="shared" si="29"/>
        <v/>
      </c>
      <c r="J250" s="7" t="str">
        <f t="shared" si="30"/>
        <v/>
      </c>
      <c r="K250" s="7">
        <f t="shared" si="33"/>
        <v>-0.17080872378200151</v>
      </c>
      <c r="L250" s="7">
        <f t="shared" si="34"/>
        <v>-9.796029544378726E-2</v>
      </c>
      <c r="M250" s="7">
        <f t="shared" si="35"/>
        <v>-0.16699628237765074</v>
      </c>
      <c r="N250" s="7">
        <f t="shared" si="31"/>
        <v>0.94332889179822355</v>
      </c>
      <c r="O250" s="7">
        <f t="shared" si="32"/>
        <v>5.6671108201776392E-2</v>
      </c>
    </row>
    <row r="251" spans="1:15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4">
        <f>IF(SUMIFS('Daily NSE Equity Cash'!$H:$H,'Daily NSE Equity Cash'!$A:$A,$A251)=0,"",SUMIFS('Daily NSE Equity Cash'!$H:$H,'Daily NSE Equity Cash'!$A:$A,$A251))</f>
        <v>587.65509999999995</v>
      </c>
      <c r="F251" s="4">
        <f>IF(SUMIFS('Daily BSE Equity Cash'!$H:$H,'Daily BSE Equity Cash'!$A:$A,$A251)=0,"",SUMIFS('Daily BSE Equity Cash'!$H:$H,'Daily BSE Equity Cash'!$A:$A,$A251))</f>
        <v>36.414499999999997</v>
      </c>
      <c r="G251" s="4">
        <f t="shared" si="27"/>
        <v>624.06959999999992</v>
      </c>
      <c r="H251" s="7">
        <f t="shared" si="28"/>
        <v>0.84393969916101685</v>
      </c>
      <c r="I251" s="7">
        <f t="shared" si="29"/>
        <v>0.93186520525852279</v>
      </c>
      <c r="J251" s="7">
        <f t="shared" si="30"/>
        <v>0.84884969343328631</v>
      </c>
      <c r="K251" s="7">
        <f t="shared" si="33"/>
        <v>3.4997639947585535E-2</v>
      </c>
      <c r="L251" s="7">
        <f t="shared" si="34"/>
        <v>6.7560832600410459E-2</v>
      </c>
      <c r="M251" s="7">
        <f t="shared" si="35"/>
        <v>3.6843032161809175E-2</v>
      </c>
      <c r="N251" s="7">
        <f t="shared" si="31"/>
        <v>0.94164993776335204</v>
      </c>
      <c r="O251" s="7">
        <f t="shared" si="32"/>
        <v>5.8350062236647966E-2</v>
      </c>
    </row>
    <row r="252" spans="1:15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4">
        <f>IF(SUMIFS('Daily NSE Equity Cash'!$H:$H,'Daily NSE Equity Cash'!$A:$A,$A252)=0,"",SUMIFS('Daily NSE Equity Cash'!$H:$H,'Daily NSE Equity Cash'!$A:$A,$A252))</f>
        <v>651.69129999999996</v>
      </c>
      <c r="F252" s="4">
        <f>IF(SUMIFS('Daily BSE Equity Cash'!$H:$H,'Daily BSE Equity Cash'!$A:$A,$A252)=0,"",SUMIFS('Daily BSE Equity Cash'!$H:$H,'Daily BSE Equity Cash'!$A:$A,$A252))</f>
        <v>44.444000000000003</v>
      </c>
      <c r="G252" s="4">
        <f t="shared" si="27"/>
        <v>696.13529999999992</v>
      </c>
      <c r="H252" s="7" t="str">
        <f t="shared" si="28"/>
        <v/>
      </c>
      <c r="I252" s="7" t="str">
        <f t="shared" si="29"/>
        <v/>
      </c>
      <c r="J252" s="7" t="str">
        <f t="shared" si="30"/>
        <v/>
      </c>
      <c r="K252" s="7">
        <f t="shared" si="33"/>
        <v>0.10896901941291759</v>
      </c>
      <c r="L252" s="7">
        <f t="shared" si="34"/>
        <v>0.22050282167817792</v>
      </c>
      <c r="M252" s="7">
        <f t="shared" si="35"/>
        <v>0.11547702371658541</v>
      </c>
      <c r="N252" s="7">
        <f t="shared" si="31"/>
        <v>0.93615608919702831</v>
      </c>
      <c r="O252" s="7">
        <f t="shared" si="32"/>
        <v>6.384391080297179E-2</v>
      </c>
    </row>
    <row r="253" spans="1:15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4">
        <f>IF(SUMIFS('Daily NSE Equity Cash'!$H:$H,'Daily NSE Equity Cash'!$A:$A,$A253)=0,"",SUMIFS('Daily NSE Equity Cash'!$H:$H,'Daily NSE Equity Cash'!$A:$A,$A253))</f>
        <v>647.23320000000001</v>
      </c>
      <c r="F253" s="4">
        <f>IF(SUMIFS('Daily BSE Equity Cash'!$H:$H,'Daily BSE Equity Cash'!$A:$A,$A253)=0,"",SUMIFS('Daily BSE Equity Cash'!$H:$H,'Daily BSE Equity Cash'!$A:$A,$A253))</f>
        <v>38.205800000000004</v>
      </c>
      <c r="G253" s="4">
        <f t="shared" si="27"/>
        <v>685.43899999999996</v>
      </c>
      <c r="H253" s="7" t="str">
        <f t="shared" si="28"/>
        <v/>
      </c>
      <c r="I253" s="7" t="str">
        <f t="shared" si="29"/>
        <v/>
      </c>
      <c r="J253" s="7" t="str">
        <f t="shared" si="30"/>
        <v/>
      </c>
      <c r="K253" s="7">
        <f t="shared" si="33"/>
        <v>-6.8408155824697392E-3</v>
      </c>
      <c r="L253" s="7">
        <f t="shared" si="34"/>
        <v>-0.14036090360903608</v>
      </c>
      <c r="M253" s="7">
        <f t="shared" si="35"/>
        <v>-1.5365260172842787E-2</v>
      </c>
      <c r="N253" s="7">
        <f t="shared" si="31"/>
        <v>0.94426083137959771</v>
      </c>
      <c r="O253" s="7">
        <f t="shared" si="32"/>
        <v>5.5739168620402409E-2</v>
      </c>
    </row>
    <row r="254" spans="1:15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4">
        <f>IF(SUMIFS('Daily NSE Equity Cash'!$H:$H,'Daily NSE Equity Cash'!$A:$A,$A254)=0,"",SUMIFS('Daily NSE Equity Cash'!$H:$H,'Daily NSE Equity Cash'!$A:$A,$A254))</f>
        <v>723.50049999999999</v>
      </c>
      <c r="F254" s="4">
        <f>IF(SUMIFS('Daily BSE Equity Cash'!$H:$H,'Daily BSE Equity Cash'!$A:$A,$A254)=0,"",SUMIFS('Daily BSE Equity Cash'!$H:$H,'Daily BSE Equity Cash'!$A:$A,$A254))</f>
        <v>42.606000000000002</v>
      </c>
      <c r="G254" s="4">
        <f t="shared" si="27"/>
        <v>766.10649999999998</v>
      </c>
      <c r="H254" s="7">
        <f t="shared" si="28"/>
        <v>0.37971032014978268</v>
      </c>
      <c r="I254" s="7">
        <f t="shared" si="29"/>
        <v>0.81278985661404923</v>
      </c>
      <c r="J254" s="7">
        <f t="shared" si="30"/>
        <v>0.39828830229783829</v>
      </c>
      <c r="K254" s="7">
        <f t="shared" si="33"/>
        <v>0.11783588975349213</v>
      </c>
      <c r="L254" s="7">
        <f t="shared" si="34"/>
        <v>0.11517099497981986</v>
      </c>
      <c r="M254" s="7">
        <f t="shared" si="35"/>
        <v>0.117687350734347</v>
      </c>
      <c r="N254" s="7">
        <f t="shared" si="31"/>
        <v>0.94438632226720431</v>
      </c>
      <c r="O254" s="7">
        <f t="shared" si="32"/>
        <v>5.5613677732795637E-2</v>
      </c>
    </row>
    <row r="255" spans="1:15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4">
        <f>IF(SUMIFS('Daily NSE Equity Cash'!$H:$H,'Daily NSE Equity Cash'!$A:$A,$A255)=0,"",SUMIFS('Daily NSE Equity Cash'!$H:$H,'Daily NSE Equity Cash'!$A:$A,$A255))</f>
        <v>716.65350000000001</v>
      </c>
      <c r="F255" s="4">
        <f>IF(SUMIFS('Daily BSE Equity Cash'!$H:$H,'Daily BSE Equity Cash'!$A:$A,$A255)=0,"",SUMIFS('Daily BSE Equity Cash'!$H:$H,'Daily BSE Equity Cash'!$A:$A,$A255))</f>
        <v>64.308000000000007</v>
      </c>
      <c r="G255" s="4">
        <f t="shared" si="27"/>
        <v>780.9615</v>
      </c>
      <c r="H255" s="7">
        <f t="shared" si="28"/>
        <v>0.24433117157205486</v>
      </c>
      <c r="I255" s="7">
        <f t="shared" si="29"/>
        <v>1.5069976687432267</v>
      </c>
      <c r="J255" s="7">
        <f t="shared" si="30"/>
        <v>0.29817078552845566</v>
      </c>
      <c r="K255" s="7">
        <f t="shared" si="33"/>
        <v>-9.4637114970894665E-3</v>
      </c>
      <c r="L255" s="7">
        <f t="shared" si="34"/>
        <v>0.50936487818617104</v>
      </c>
      <c r="M255" s="7">
        <f t="shared" si="35"/>
        <v>1.9390254488116154E-2</v>
      </c>
      <c r="N255" s="7">
        <f t="shared" si="31"/>
        <v>0.91765535176830104</v>
      </c>
      <c r="O255" s="7">
        <f t="shared" si="32"/>
        <v>8.2344648231699014E-2</v>
      </c>
    </row>
    <row r="256" spans="1:15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4">
        <f>IF(SUMIFS('Daily NSE Equity Cash'!$H:$H,'Daily NSE Equity Cash'!$A:$A,$A256)=0,"",SUMIFS('Daily NSE Equity Cash'!$H:$H,'Daily NSE Equity Cash'!$A:$A,$A256))</f>
        <v>706.16399999999999</v>
      </c>
      <c r="F256" s="4">
        <f>IF(SUMIFS('Daily BSE Equity Cash'!$H:$H,'Daily BSE Equity Cash'!$A:$A,$A256)=0,"",SUMIFS('Daily BSE Equity Cash'!$H:$H,'Daily BSE Equity Cash'!$A:$A,$A256))</f>
        <v>40.196199999999997</v>
      </c>
      <c r="G256" s="4">
        <f t="shared" si="27"/>
        <v>746.36019999999996</v>
      </c>
      <c r="H256" s="7">
        <f t="shared" si="28"/>
        <v>0.37003023455057926</v>
      </c>
      <c r="I256" s="7">
        <f t="shared" si="29"/>
        <v>0.53366171549793395</v>
      </c>
      <c r="J256" s="7">
        <f t="shared" si="30"/>
        <v>0.37794807347454373</v>
      </c>
      <c r="K256" s="7">
        <f t="shared" si="33"/>
        <v>-1.4636780536200544E-2</v>
      </c>
      <c r="L256" s="7">
        <f t="shared" si="34"/>
        <v>-0.37494246439012269</v>
      </c>
      <c r="M256" s="7">
        <f t="shared" si="35"/>
        <v>-4.4306025329033605E-2</v>
      </c>
      <c r="N256" s="7">
        <f t="shared" si="31"/>
        <v>0.94614369844479917</v>
      </c>
      <c r="O256" s="7">
        <f t="shared" si="32"/>
        <v>5.3856301555200825E-2</v>
      </c>
    </row>
    <row r="257" spans="1:15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4">
        <f>IF(SUMIFS('Daily NSE Equity Cash'!$H:$H,'Daily NSE Equity Cash'!$A:$A,$A257)=0,"",SUMIFS('Daily NSE Equity Cash'!$H:$H,'Daily NSE Equity Cash'!$A:$A,$A257))</f>
        <v>840.28719999999998</v>
      </c>
      <c r="F257" s="4">
        <f>IF(SUMIFS('Daily BSE Equity Cash'!$H:$H,'Daily BSE Equity Cash'!$A:$A,$A257)=0,"",SUMIFS('Daily BSE Equity Cash'!$H:$H,'Daily BSE Equity Cash'!$A:$A,$A257))</f>
        <v>57.801499999999997</v>
      </c>
      <c r="G257" s="4">
        <f t="shared" si="27"/>
        <v>898.08870000000002</v>
      </c>
      <c r="H257" s="7" t="str">
        <f t="shared" si="28"/>
        <v/>
      </c>
      <c r="I257" s="7" t="str">
        <f t="shared" si="29"/>
        <v/>
      </c>
      <c r="J257" s="7" t="str">
        <f t="shared" si="30"/>
        <v/>
      </c>
      <c r="K257" s="7">
        <f t="shared" si="33"/>
        <v>0.18993208376524429</v>
      </c>
      <c r="L257" s="7">
        <f t="shared" si="34"/>
        <v>0.43798418756001811</v>
      </c>
      <c r="M257" s="7">
        <f t="shared" si="35"/>
        <v>0.20329125266861769</v>
      </c>
      <c r="N257" s="7">
        <f t="shared" si="31"/>
        <v>0.93563943071547384</v>
      </c>
      <c r="O257" s="7">
        <f t="shared" si="32"/>
        <v>6.4360569284526117E-2</v>
      </c>
    </row>
    <row r="258" spans="1:15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4">
        <f>IF(SUMIFS('Daily NSE Equity Cash'!$H:$H,'Daily NSE Equity Cash'!$A:$A,$A258)=0,"",SUMIFS('Daily NSE Equity Cash'!$H:$H,'Daily NSE Equity Cash'!$A:$A,$A258))</f>
        <v>726.75810000000001</v>
      </c>
      <c r="F258" s="4">
        <f>IF(SUMIFS('Daily BSE Equity Cash'!$H:$H,'Daily BSE Equity Cash'!$A:$A,$A258)=0,"",SUMIFS('Daily BSE Equity Cash'!$H:$H,'Daily BSE Equity Cash'!$A:$A,$A258))</f>
        <v>39.930599999999998</v>
      </c>
      <c r="G258" s="4">
        <f t="shared" ref="G258:G321" si="36">IF(OR(E258="",F258=""),"",E258+F258)</f>
        <v>766.68870000000004</v>
      </c>
      <c r="H258" s="7">
        <f t="shared" ref="H258:H321" si="37">IFERROR(IF(OR(E258="",INDEX(E:E,MATCH(DATE(YEAR($A258)-1,MONTH($A258),DAY($A258)),$A:$A,0))=""),"",E258/INDEX(E:E,MATCH(DATE(YEAR($A258)-1,MONTH($A258),DAY($A258)),$A:$A,0))-1),"")</f>
        <v>0.58614383758068134</v>
      </c>
      <c r="I258" s="7">
        <f t="shared" ref="I258:I321" si="38">IFERROR(IF(OR(F258="",INDEX(F:F,MATCH(DATE(YEAR($A258)-1,MONTH($A258),DAY($A258)),$A:$A,0))=""),"",F258/INDEX(F:F,MATCH(DATE(YEAR($A258)-1,MONTH($A258),DAY($A258)),$A:$A,0))-1),"")</f>
        <v>0.76869549040365337</v>
      </c>
      <c r="J258" s="7">
        <f t="shared" ref="J258:J321" si="39">IFERROR(IF(OR(G258="",INDEX(G:G,MATCH(DATE(YEAR($A258)-1,MONTH($A258),DAY($A258)),$A:$A,0))=""),"",G258/INDEX(G:G,MATCH(DATE(YEAR($A258)-1,MONTH($A258),DAY($A258)),$A:$A,0))-1),"")</f>
        <v>0.59471624677261259</v>
      </c>
      <c r="K258" s="7">
        <f t="shared" si="33"/>
        <v>-0.13510749657974075</v>
      </c>
      <c r="L258" s="7">
        <f t="shared" si="34"/>
        <v>-0.30917709748016919</v>
      </c>
      <c r="M258" s="7">
        <f t="shared" si="35"/>
        <v>-0.14631071518882266</v>
      </c>
      <c r="N258" s="7">
        <f t="shared" ref="N258:N321" si="40">IF(G258="","",E258/G258)</f>
        <v>0.9479181054840119</v>
      </c>
      <c r="O258" s="7">
        <f t="shared" ref="O258:O321" si="41">IF(G258="","",F258/G258)</f>
        <v>5.2081894515988034E-2</v>
      </c>
    </row>
    <row r="259" spans="1:15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4">
        <f>IF(SUMIFS('Daily NSE Equity Cash'!$H:$H,'Daily NSE Equity Cash'!$A:$A,$A259)=0,"",SUMIFS('Daily NSE Equity Cash'!$H:$H,'Daily NSE Equity Cash'!$A:$A,$A259))</f>
        <v>705.33019999999999</v>
      </c>
      <c r="F259" s="4">
        <f>IF(SUMIFS('Daily BSE Equity Cash'!$H:$H,'Daily BSE Equity Cash'!$A:$A,$A259)=0,"",SUMIFS('Daily BSE Equity Cash'!$H:$H,'Daily BSE Equity Cash'!$A:$A,$A259))</f>
        <v>43.533099999999997</v>
      </c>
      <c r="G259" s="4">
        <f t="shared" si="36"/>
        <v>748.86329999999998</v>
      </c>
      <c r="H259" s="7">
        <f t="shared" si="37"/>
        <v>9.0778652397816462E-2</v>
      </c>
      <c r="I259" s="7">
        <f t="shared" si="38"/>
        <v>6.9170635144792936E-2</v>
      </c>
      <c r="J259" s="7">
        <f t="shared" si="39"/>
        <v>8.9498647480230842E-2</v>
      </c>
      <c r="K259" s="7">
        <f t="shared" ref="K259:K322" si="42">IF(OR(E259="",E258=""),"",E259/E258-1)</f>
        <v>-2.9484225906804551E-2</v>
      </c>
      <c r="L259" s="7">
        <f t="shared" ref="L259:L322" si="43">IF(OR(F259="",F258=""),"",F259/F258-1)</f>
        <v>9.0219030017079538E-2</v>
      </c>
      <c r="M259" s="7">
        <f t="shared" ref="M259:M322" si="44">IF(OR(G259="",G258=""),"",G259/G258-1)</f>
        <v>-2.3249853558556466E-2</v>
      </c>
      <c r="N259" s="7">
        <f t="shared" si="40"/>
        <v>0.94186776144591411</v>
      </c>
      <c r="O259" s="7">
        <f t="shared" si="41"/>
        <v>5.8132238554085905E-2</v>
      </c>
    </row>
    <row r="260" spans="1:15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4">
        <f>IF(SUMIFS('Daily NSE Equity Cash'!$H:$H,'Daily NSE Equity Cash'!$A:$A,$A260)=0,"",SUMIFS('Daily NSE Equity Cash'!$H:$H,'Daily NSE Equity Cash'!$A:$A,$A260))</f>
        <v>660.91790000000003</v>
      </c>
      <c r="F260" s="4">
        <f>IF(SUMIFS('Daily BSE Equity Cash'!$H:$H,'Daily BSE Equity Cash'!$A:$A,$A260)=0,"",SUMIFS('Daily BSE Equity Cash'!$H:$H,'Daily BSE Equity Cash'!$A:$A,$A260))</f>
        <v>38.834699999999998</v>
      </c>
      <c r="G260" s="4">
        <f t="shared" si="36"/>
        <v>699.75260000000003</v>
      </c>
      <c r="H260" s="7">
        <f t="shared" si="37"/>
        <v>0.3240530592530253</v>
      </c>
      <c r="I260" s="7">
        <f t="shared" si="38"/>
        <v>0.77176109897028544</v>
      </c>
      <c r="J260" s="7">
        <f t="shared" si="39"/>
        <v>0.34288539180250921</v>
      </c>
      <c r="K260" s="7">
        <f t="shared" si="42"/>
        <v>-6.2966678585434144E-2</v>
      </c>
      <c r="L260" s="7">
        <f t="shared" si="43"/>
        <v>-0.10792707158461035</v>
      </c>
      <c r="M260" s="7">
        <f t="shared" si="44"/>
        <v>-6.5580326876747641E-2</v>
      </c>
      <c r="N260" s="7">
        <f t="shared" si="40"/>
        <v>0.94450224264975935</v>
      </c>
      <c r="O260" s="7">
        <f t="shared" si="41"/>
        <v>5.5497757350240637E-2</v>
      </c>
    </row>
    <row r="261" spans="1:15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4">
        <f>IF(SUMIFS('Daily NSE Equity Cash'!$H:$H,'Daily NSE Equity Cash'!$A:$A,$A261)=0,"",SUMIFS('Daily NSE Equity Cash'!$H:$H,'Daily NSE Equity Cash'!$A:$A,$A261))</f>
        <v>681.0317</v>
      </c>
      <c r="F261" s="4">
        <f>IF(SUMIFS('Daily BSE Equity Cash'!$H:$H,'Daily BSE Equity Cash'!$A:$A,$A261)=0,"",SUMIFS('Daily BSE Equity Cash'!$H:$H,'Daily BSE Equity Cash'!$A:$A,$A261))</f>
        <v>39.094499999999996</v>
      </c>
      <c r="G261" s="4">
        <f t="shared" si="36"/>
        <v>720.12620000000004</v>
      </c>
      <c r="H261" s="7" t="str">
        <f t="shared" si="37"/>
        <v/>
      </c>
      <c r="I261" s="7" t="str">
        <f t="shared" si="38"/>
        <v/>
      </c>
      <c r="J261" s="7" t="str">
        <f t="shared" si="39"/>
        <v/>
      </c>
      <c r="K261" s="7">
        <f t="shared" si="42"/>
        <v>3.0433129440131657E-2</v>
      </c>
      <c r="L261" s="7">
        <f t="shared" si="43"/>
        <v>6.689893317059159E-3</v>
      </c>
      <c r="M261" s="7">
        <f t="shared" si="44"/>
        <v>2.9115433083063857E-2</v>
      </c>
      <c r="N261" s="7">
        <f t="shared" si="40"/>
        <v>0.94571159888364009</v>
      </c>
      <c r="O261" s="7">
        <f t="shared" si="41"/>
        <v>5.4288401116359873E-2</v>
      </c>
    </row>
    <row r="262" spans="1:15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4">
        <f>IF(SUMIFS('Daily NSE Equity Cash'!$H:$H,'Daily NSE Equity Cash'!$A:$A,$A262)=0,"",SUMIFS('Daily NSE Equity Cash'!$H:$H,'Daily NSE Equity Cash'!$A:$A,$A262))</f>
        <v>699.39319999999998</v>
      </c>
      <c r="F262" s="4">
        <f>IF(SUMIFS('Daily BSE Equity Cash'!$H:$H,'Daily BSE Equity Cash'!$A:$A,$A262)=0,"",SUMIFS('Daily BSE Equity Cash'!$H:$H,'Daily BSE Equity Cash'!$A:$A,$A262))</f>
        <v>39.3429</v>
      </c>
      <c r="G262" s="4">
        <f t="shared" si="36"/>
        <v>738.73609999999996</v>
      </c>
      <c r="H262" s="7">
        <f t="shared" si="37"/>
        <v>0.45036455435487888</v>
      </c>
      <c r="I262" s="7">
        <f t="shared" si="38"/>
        <v>0.68174454242736404</v>
      </c>
      <c r="J262" s="7">
        <f t="shared" si="39"/>
        <v>0.46107022564688793</v>
      </c>
      <c r="K262" s="7">
        <f t="shared" si="42"/>
        <v>2.6961300039337388E-2</v>
      </c>
      <c r="L262" s="7">
        <f t="shared" si="43"/>
        <v>6.3538349384184567E-3</v>
      </c>
      <c r="M262" s="7">
        <f t="shared" si="44"/>
        <v>2.5842553707947191E-2</v>
      </c>
      <c r="N262" s="7">
        <f t="shared" si="40"/>
        <v>0.94674295732941716</v>
      </c>
      <c r="O262" s="7">
        <f t="shared" si="41"/>
        <v>5.3257042670582906E-2</v>
      </c>
    </row>
    <row r="263" spans="1:15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4">
        <f>IF(SUMIFS('Daily NSE Equity Cash'!$H:$H,'Daily NSE Equity Cash'!$A:$A,$A263)=0,"",SUMIFS('Daily NSE Equity Cash'!$H:$H,'Daily NSE Equity Cash'!$A:$A,$A263))</f>
        <v>707.51490000000001</v>
      </c>
      <c r="F263" s="4">
        <f>IF(SUMIFS('Daily BSE Equity Cash'!$H:$H,'Daily BSE Equity Cash'!$A:$A,$A263)=0,"",SUMIFS('Daily BSE Equity Cash'!$H:$H,'Daily BSE Equity Cash'!$A:$A,$A263))</f>
        <v>49.554900000000004</v>
      </c>
      <c r="G263" s="4">
        <f t="shared" si="36"/>
        <v>757.06979999999999</v>
      </c>
      <c r="H263" s="7">
        <f t="shared" si="37"/>
        <v>0.34841923805911779</v>
      </c>
      <c r="I263" s="7">
        <f t="shared" si="38"/>
        <v>0.84023989453552939</v>
      </c>
      <c r="J263" s="7">
        <f t="shared" si="39"/>
        <v>0.37242815810655028</v>
      </c>
      <c r="K263" s="7">
        <f t="shared" si="42"/>
        <v>1.1612494945618668E-2</v>
      </c>
      <c r="L263" s="7">
        <f t="shared" si="43"/>
        <v>0.25956398740306397</v>
      </c>
      <c r="M263" s="7">
        <f t="shared" si="44"/>
        <v>2.4817658159659528E-2</v>
      </c>
      <c r="N263" s="7">
        <f t="shared" si="40"/>
        <v>0.93454381617124338</v>
      </c>
      <c r="O263" s="7">
        <f t="shared" si="41"/>
        <v>6.545618382875662E-2</v>
      </c>
    </row>
    <row r="264" spans="1:15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4">
        <f>IF(SUMIFS('Daily NSE Equity Cash'!$H:$H,'Daily NSE Equity Cash'!$A:$A,$A264)=0,"",SUMIFS('Daily NSE Equity Cash'!$H:$H,'Daily NSE Equity Cash'!$A:$A,$A264))</f>
        <v>655.45150000000001</v>
      </c>
      <c r="F264" s="4">
        <f>IF(SUMIFS('Daily BSE Equity Cash'!$H:$H,'Daily BSE Equity Cash'!$A:$A,$A264)=0,"",SUMIFS('Daily BSE Equity Cash'!$H:$H,'Daily BSE Equity Cash'!$A:$A,$A264))</f>
        <v>38.5212</v>
      </c>
      <c r="G264" s="4">
        <f t="shared" si="36"/>
        <v>693.97270000000003</v>
      </c>
      <c r="H264" s="7">
        <f t="shared" si="37"/>
        <v>0.34780675771015868</v>
      </c>
      <c r="I264" s="7">
        <f t="shared" si="38"/>
        <v>0.43670418689999324</v>
      </c>
      <c r="J264" s="7">
        <f t="shared" si="39"/>
        <v>0.35245192224303823</v>
      </c>
      <c r="K264" s="7">
        <f t="shared" si="42"/>
        <v>-7.3586294790399465E-2</v>
      </c>
      <c r="L264" s="7">
        <f t="shared" si="43"/>
        <v>-0.22265608446389762</v>
      </c>
      <c r="M264" s="7">
        <f t="shared" si="44"/>
        <v>-8.3343834346581991E-2</v>
      </c>
      <c r="N264" s="7">
        <f t="shared" si="40"/>
        <v>0.94449176458958684</v>
      </c>
      <c r="O264" s="7">
        <f t="shared" si="41"/>
        <v>5.5508235410413116E-2</v>
      </c>
    </row>
    <row r="265" spans="1:15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4">
        <f>IF(SUMIFS('Daily NSE Equity Cash'!$H:$H,'Daily NSE Equity Cash'!$A:$A,$A265)=0,"",SUMIFS('Daily NSE Equity Cash'!$H:$H,'Daily NSE Equity Cash'!$A:$A,$A265))</f>
        <v>641.6893</v>
      </c>
      <c r="F265" s="4">
        <f>IF(SUMIFS('Daily BSE Equity Cash'!$H:$H,'Daily BSE Equity Cash'!$A:$A,$A265)=0,"",SUMIFS('Daily BSE Equity Cash'!$H:$H,'Daily BSE Equity Cash'!$A:$A,$A265))</f>
        <v>40.357799999999997</v>
      </c>
      <c r="G265" s="4">
        <f t="shared" si="36"/>
        <v>682.0471</v>
      </c>
      <c r="H265" s="7" t="str">
        <f t="shared" si="37"/>
        <v/>
      </c>
      <c r="I265" s="7" t="str">
        <f t="shared" si="38"/>
        <v/>
      </c>
      <c r="J265" s="7" t="str">
        <f t="shared" si="39"/>
        <v/>
      </c>
      <c r="K265" s="7">
        <f t="shared" si="42"/>
        <v>-2.0996519193258401E-2</v>
      </c>
      <c r="L265" s="7">
        <f t="shared" si="43"/>
        <v>4.7677642441045442E-2</v>
      </c>
      <c r="M265" s="7">
        <f t="shared" si="44"/>
        <v>-1.7184537662648713E-2</v>
      </c>
      <c r="N265" s="7">
        <f t="shared" si="40"/>
        <v>0.94082842665851085</v>
      </c>
      <c r="O265" s="7">
        <f t="shared" si="41"/>
        <v>5.9171573341489168E-2</v>
      </c>
    </row>
    <row r="266" spans="1:15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4">
        <f>IF(SUMIFS('Daily NSE Equity Cash'!$H:$H,'Daily NSE Equity Cash'!$A:$A,$A266)=0,"",SUMIFS('Daily NSE Equity Cash'!$H:$H,'Daily NSE Equity Cash'!$A:$A,$A266))</f>
        <v>652.25440000000003</v>
      </c>
      <c r="F266" s="4">
        <f>IF(SUMIFS('Daily BSE Equity Cash'!$H:$H,'Daily BSE Equity Cash'!$A:$A,$A266)=0,"",SUMIFS('Daily BSE Equity Cash'!$H:$H,'Daily BSE Equity Cash'!$A:$A,$A266))</f>
        <v>37.392600000000002</v>
      </c>
      <c r="G266" s="4">
        <f t="shared" si="36"/>
        <v>689.64700000000005</v>
      </c>
      <c r="H266" s="7">
        <f t="shared" si="37"/>
        <v>0.42597943192948096</v>
      </c>
      <c r="I266" s="7">
        <f t="shared" si="38"/>
        <v>0.85589636688505077</v>
      </c>
      <c r="J266" s="7">
        <f t="shared" si="39"/>
        <v>0.44411754851787011</v>
      </c>
      <c r="K266" s="7">
        <f t="shared" si="42"/>
        <v>1.6464510160914436E-2</v>
      </c>
      <c r="L266" s="7">
        <f t="shared" si="43"/>
        <v>-7.3472785929857287E-2</v>
      </c>
      <c r="M266" s="7">
        <f t="shared" si="44"/>
        <v>1.1142778849144053E-2</v>
      </c>
      <c r="N266" s="7">
        <f t="shared" si="40"/>
        <v>0.94578008749403675</v>
      </c>
      <c r="O266" s="7">
        <f t="shared" si="41"/>
        <v>5.4219912505963197E-2</v>
      </c>
    </row>
    <row r="267" spans="1:15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4">
        <f>IF(SUMIFS('Daily NSE Equity Cash'!$H:$H,'Daily NSE Equity Cash'!$A:$A,$A267)=0,"",SUMIFS('Daily NSE Equity Cash'!$H:$H,'Daily NSE Equity Cash'!$A:$A,$A267))</f>
        <v>741.59249999999997</v>
      </c>
      <c r="F267" s="4">
        <f>IF(SUMIFS('Daily BSE Equity Cash'!$H:$H,'Daily BSE Equity Cash'!$A:$A,$A267)=0,"",SUMIFS('Daily BSE Equity Cash'!$H:$H,'Daily BSE Equity Cash'!$A:$A,$A267))</f>
        <v>45.416699999999999</v>
      </c>
      <c r="G267" s="4">
        <f t="shared" si="36"/>
        <v>787.00919999999996</v>
      </c>
      <c r="H267" s="7">
        <f t="shared" si="37"/>
        <v>0.52787189150846103</v>
      </c>
      <c r="I267" s="7">
        <f t="shared" si="38"/>
        <v>1.0191212494387214</v>
      </c>
      <c r="J267" s="7">
        <f t="shared" si="39"/>
        <v>0.5496290975593332</v>
      </c>
      <c r="K267" s="7">
        <f t="shared" si="42"/>
        <v>0.13696818296664603</v>
      </c>
      <c r="L267" s="7">
        <f t="shared" si="43"/>
        <v>0.21459058744243498</v>
      </c>
      <c r="M267" s="7">
        <f t="shared" si="44"/>
        <v>0.14117686294582588</v>
      </c>
      <c r="N267" s="7">
        <f t="shared" si="40"/>
        <v>0.94229203419731311</v>
      </c>
      <c r="O267" s="7">
        <f t="shared" si="41"/>
        <v>5.7707965802686931E-2</v>
      </c>
    </row>
    <row r="268" spans="1:15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4">
        <f>IF(SUMIFS('Daily NSE Equity Cash'!$H:$H,'Daily NSE Equity Cash'!$A:$A,$A268)=0,"",SUMIFS('Daily NSE Equity Cash'!$H:$H,'Daily NSE Equity Cash'!$A:$A,$A268))</f>
        <v>758.07280000000003</v>
      </c>
      <c r="F268" s="4">
        <f>IF(SUMIFS('Daily BSE Equity Cash'!$H:$H,'Daily BSE Equity Cash'!$A:$A,$A268)=0,"",SUMIFS('Daily BSE Equity Cash'!$H:$H,'Daily BSE Equity Cash'!$A:$A,$A268))</f>
        <v>45.900700000000001</v>
      </c>
      <c r="G268" s="4">
        <f t="shared" si="36"/>
        <v>803.97350000000006</v>
      </c>
      <c r="H268" s="7">
        <f t="shared" si="37"/>
        <v>0.50421268080318837</v>
      </c>
      <c r="I268" s="7">
        <f t="shared" si="38"/>
        <v>1.0792598129147697</v>
      </c>
      <c r="J268" s="7">
        <f t="shared" si="39"/>
        <v>0.52834469491029235</v>
      </c>
      <c r="K268" s="7">
        <f t="shared" si="42"/>
        <v>2.2222851498633123E-2</v>
      </c>
      <c r="L268" s="7">
        <f t="shared" si="43"/>
        <v>1.0656872912386817E-2</v>
      </c>
      <c r="M268" s="7">
        <f t="shared" si="44"/>
        <v>2.1555402401903345E-2</v>
      </c>
      <c r="N268" s="7">
        <f t="shared" si="40"/>
        <v>0.94290769534070462</v>
      </c>
      <c r="O268" s="7">
        <f t="shared" si="41"/>
        <v>5.7092304659295358E-2</v>
      </c>
    </row>
    <row r="269" spans="1:15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4">
        <f>IF(SUMIFS('Daily NSE Equity Cash'!$H:$H,'Daily NSE Equity Cash'!$A:$A,$A269)=0,"",SUMIFS('Daily NSE Equity Cash'!$H:$H,'Daily NSE Equity Cash'!$A:$A,$A269))</f>
        <v>803.67639999999994</v>
      </c>
      <c r="F269" s="4">
        <f>IF(SUMIFS('Daily BSE Equity Cash'!$H:$H,'Daily BSE Equity Cash'!$A:$A,$A269)=0,"",SUMIFS('Daily BSE Equity Cash'!$H:$H,'Daily BSE Equity Cash'!$A:$A,$A269))</f>
        <v>46.938800000000001</v>
      </c>
      <c r="G269" s="4">
        <f t="shared" si="36"/>
        <v>850.61519999999996</v>
      </c>
      <c r="H269" s="7">
        <f t="shared" si="37"/>
        <v>0.27702418726551659</v>
      </c>
      <c r="I269" s="7">
        <f t="shared" si="38"/>
        <v>0.7633901234104099</v>
      </c>
      <c r="J269" s="7">
        <f t="shared" si="39"/>
        <v>0.29676083894932836</v>
      </c>
      <c r="K269" s="7">
        <f t="shared" si="42"/>
        <v>6.0157283047221677E-2</v>
      </c>
      <c r="L269" s="7">
        <f t="shared" si="43"/>
        <v>2.2616212824640991E-2</v>
      </c>
      <c r="M269" s="7">
        <f t="shared" si="44"/>
        <v>5.8013976828838132E-2</v>
      </c>
      <c r="N269" s="7">
        <f t="shared" si="40"/>
        <v>0.94481782126630232</v>
      </c>
      <c r="O269" s="7">
        <f t="shared" si="41"/>
        <v>5.5182178733697684E-2</v>
      </c>
    </row>
    <row r="270" spans="1:15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4">
        <f>IF(SUMIFS('Daily NSE Equity Cash'!$H:$H,'Daily NSE Equity Cash'!$A:$A,$A270)=0,"",SUMIFS('Daily NSE Equity Cash'!$H:$H,'Daily NSE Equity Cash'!$A:$A,$A270))</f>
        <v>707.82429999999999</v>
      </c>
      <c r="F270" s="4">
        <f>IF(SUMIFS('Daily BSE Equity Cash'!$H:$H,'Daily BSE Equity Cash'!$A:$A,$A270)=0,"",SUMIFS('Daily BSE Equity Cash'!$H:$H,'Daily BSE Equity Cash'!$A:$A,$A270))</f>
        <v>46.911099999999998</v>
      </c>
      <c r="G270" s="4">
        <f t="shared" si="36"/>
        <v>754.73540000000003</v>
      </c>
      <c r="H270" s="7" t="str">
        <f t="shared" si="37"/>
        <v/>
      </c>
      <c r="I270" s="7" t="str">
        <f t="shared" si="38"/>
        <v/>
      </c>
      <c r="J270" s="7" t="str">
        <f t="shared" si="39"/>
        <v/>
      </c>
      <c r="K270" s="7">
        <f t="shared" si="42"/>
        <v>-0.11926703334824806</v>
      </c>
      <c r="L270" s="7">
        <f t="shared" si="43"/>
        <v>-5.9013012688868827E-4</v>
      </c>
      <c r="M270" s="7">
        <f t="shared" si="44"/>
        <v>-0.11271818326312522</v>
      </c>
      <c r="N270" s="7">
        <f t="shared" si="40"/>
        <v>0.93784430940962882</v>
      </c>
      <c r="O270" s="7">
        <f t="shared" si="41"/>
        <v>6.2155690590371133E-2</v>
      </c>
    </row>
    <row r="271" spans="1:15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4">
        <f>IF(SUMIFS('Daily NSE Equity Cash'!$H:$H,'Daily NSE Equity Cash'!$A:$A,$A271)=0,"",SUMIFS('Daily NSE Equity Cash'!$H:$H,'Daily NSE Equity Cash'!$A:$A,$A271))</f>
        <v>788.89089999999999</v>
      </c>
      <c r="F271" s="4">
        <f>IF(SUMIFS('Daily BSE Equity Cash'!$H:$H,'Daily BSE Equity Cash'!$A:$A,$A271)=0,"",SUMIFS('Daily BSE Equity Cash'!$H:$H,'Daily BSE Equity Cash'!$A:$A,$A271))</f>
        <v>59.635100000000001</v>
      </c>
      <c r="G271" s="4">
        <f t="shared" si="36"/>
        <v>848.52599999999995</v>
      </c>
      <c r="H271" s="7">
        <f t="shared" si="37"/>
        <v>0.62881350438033867</v>
      </c>
      <c r="I271" s="7">
        <f t="shared" si="38"/>
        <v>1.5465170400925774</v>
      </c>
      <c r="J271" s="7">
        <f t="shared" si="39"/>
        <v>0.67113931380021374</v>
      </c>
      <c r="K271" s="7">
        <f t="shared" si="42"/>
        <v>0.11452926948114106</v>
      </c>
      <c r="L271" s="7">
        <f t="shared" si="43"/>
        <v>0.27123644510574274</v>
      </c>
      <c r="M271" s="7">
        <f t="shared" si="44"/>
        <v>0.12426951220255456</v>
      </c>
      <c r="N271" s="7">
        <f t="shared" si="40"/>
        <v>0.92971918361959449</v>
      </c>
      <c r="O271" s="7">
        <f t="shared" si="41"/>
        <v>7.028081638040555E-2</v>
      </c>
    </row>
    <row r="272" spans="1:15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4">
        <f>IF(SUMIFS('Daily NSE Equity Cash'!$H:$H,'Daily NSE Equity Cash'!$A:$A,$A272)=0,"",SUMIFS('Daily NSE Equity Cash'!$H:$H,'Daily NSE Equity Cash'!$A:$A,$A272))</f>
        <v>696.72439999999995</v>
      </c>
      <c r="F272" s="4">
        <f>IF(SUMIFS('Daily BSE Equity Cash'!$H:$H,'Daily BSE Equity Cash'!$A:$A,$A272)=0,"",SUMIFS('Daily BSE Equity Cash'!$H:$H,'Daily BSE Equity Cash'!$A:$A,$A272))</f>
        <v>44.435099999999998</v>
      </c>
      <c r="G272" s="4">
        <f t="shared" si="36"/>
        <v>741.15949999999998</v>
      </c>
      <c r="H272" s="7">
        <f t="shared" si="37"/>
        <v>0.4737601821162809</v>
      </c>
      <c r="I272" s="7">
        <f t="shared" si="38"/>
        <v>1.0659128631669974</v>
      </c>
      <c r="J272" s="7">
        <f t="shared" si="39"/>
        <v>0.49952879204049028</v>
      </c>
      <c r="K272" s="7">
        <f t="shared" si="42"/>
        <v>-0.11683047681244652</v>
      </c>
      <c r="L272" s="7">
        <f t="shared" si="43"/>
        <v>-0.25488344951211628</v>
      </c>
      <c r="M272" s="7">
        <f t="shared" si="44"/>
        <v>-0.12653295243752105</v>
      </c>
      <c r="N272" s="7">
        <f t="shared" si="40"/>
        <v>0.94004650820774738</v>
      </c>
      <c r="O272" s="7">
        <f t="shared" si="41"/>
        <v>5.9953491792252546E-2</v>
      </c>
    </row>
    <row r="273" spans="1:15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4">
        <f>IF(SUMIFS('Daily NSE Equity Cash'!$H:$H,'Daily NSE Equity Cash'!$A:$A,$A273)=0,"",SUMIFS('Daily NSE Equity Cash'!$H:$H,'Daily NSE Equity Cash'!$A:$A,$A273))</f>
        <v>728.41010000000006</v>
      </c>
      <c r="F273" s="4">
        <f>IF(SUMIFS('Daily BSE Equity Cash'!$H:$H,'Daily BSE Equity Cash'!$A:$A,$A273)=0,"",SUMIFS('Daily BSE Equity Cash'!$H:$H,'Daily BSE Equity Cash'!$A:$A,$A273))</f>
        <v>46.258200000000002</v>
      </c>
      <c r="G273" s="4">
        <f t="shared" si="36"/>
        <v>774.66830000000004</v>
      </c>
      <c r="H273" s="7">
        <f t="shared" si="37"/>
        <v>0.46966625883522717</v>
      </c>
      <c r="I273" s="7">
        <f t="shared" si="38"/>
        <v>1.2482831022264995</v>
      </c>
      <c r="J273" s="7">
        <f t="shared" si="39"/>
        <v>0.50070040071328337</v>
      </c>
      <c r="K273" s="7">
        <f t="shared" si="42"/>
        <v>4.5478097221799851E-2</v>
      </c>
      <c r="L273" s="7">
        <f t="shared" si="43"/>
        <v>4.1028376216099449E-2</v>
      </c>
      <c r="M273" s="7">
        <f t="shared" si="44"/>
        <v>4.521132091000668E-2</v>
      </c>
      <c r="N273" s="7">
        <f t="shared" si="40"/>
        <v>0.94028644259743177</v>
      </c>
      <c r="O273" s="7">
        <f t="shared" si="41"/>
        <v>5.9713557402568299E-2</v>
      </c>
    </row>
    <row r="274" spans="1:15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4">
        <f>IF(SUMIFS('Daily NSE Equity Cash'!$H:$H,'Daily NSE Equity Cash'!$A:$A,$A274)=0,"",SUMIFS('Daily NSE Equity Cash'!$H:$H,'Daily NSE Equity Cash'!$A:$A,$A274))</f>
        <v>761.79129999999998</v>
      </c>
      <c r="F274" s="4">
        <f>IF(SUMIFS('Daily BSE Equity Cash'!$H:$H,'Daily BSE Equity Cash'!$A:$A,$A274)=0,"",SUMIFS('Daily BSE Equity Cash'!$H:$H,'Daily BSE Equity Cash'!$A:$A,$A274))</f>
        <v>88.873199999999997</v>
      </c>
      <c r="G274" s="4">
        <f t="shared" si="36"/>
        <v>850.66449999999998</v>
      </c>
      <c r="H274" s="7">
        <f t="shared" si="37"/>
        <v>1.5311818108635578E-2</v>
      </c>
      <c r="I274" s="7">
        <f t="shared" si="38"/>
        <v>1.8251562410594513</v>
      </c>
      <c r="J274" s="7">
        <f t="shared" si="39"/>
        <v>8.8139386917171159E-2</v>
      </c>
      <c r="K274" s="7">
        <f t="shared" si="42"/>
        <v>4.5827480975346058E-2</v>
      </c>
      <c r="L274" s="7">
        <f t="shared" si="43"/>
        <v>0.92124207167594063</v>
      </c>
      <c r="M274" s="7">
        <f t="shared" si="44"/>
        <v>9.8101600388191823E-2</v>
      </c>
      <c r="N274" s="7">
        <f t="shared" si="40"/>
        <v>0.89552496900952139</v>
      </c>
      <c r="O274" s="7">
        <f t="shared" si="41"/>
        <v>0.10447503099047863</v>
      </c>
    </row>
    <row r="275" spans="1:15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4">
        <f>IF(SUMIFS('Daily NSE Equity Cash'!$H:$H,'Daily NSE Equity Cash'!$A:$A,$A275)=0,"",SUMIFS('Daily NSE Equity Cash'!$H:$H,'Daily NSE Equity Cash'!$A:$A,$A275))</f>
        <v>793.93700000000001</v>
      </c>
      <c r="F275" s="4">
        <f>IF(SUMIFS('Daily BSE Equity Cash'!$H:$H,'Daily BSE Equity Cash'!$A:$A,$A275)=0,"",SUMIFS('Daily BSE Equity Cash'!$H:$H,'Daily BSE Equity Cash'!$A:$A,$A275))</f>
        <v>64.063199999999995</v>
      </c>
      <c r="G275" s="4">
        <f t="shared" si="36"/>
        <v>858.00019999999995</v>
      </c>
      <c r="H275" s="7" t="str">
        <f t="shared" si="37"/>
        <v/>
      </c>
      <c r="I275" s="7" t="str">
        <f t="shared" si="38"/>
        <v/>
      </c>
      <c r="J275" s="7" t="str">
        <f t="shared" si="39"/>
        <v/>
      </c>
      <c r="K275" s="7">
        <f t="shared" si="42"/>
        <v>4.2197515251224393E-2</v>
      </c>
      <c r="L275" s="7">
        <f t="shared" si="43"/>
        <v>-0.27916177205276738</v>
      </c>
      <c r="M275" s="7">
        <f t="shared" si="44"/>
        <v>8.6234937510616394E-3</v>
      </c>
      <c r="N275" s="7">
        <f t="shared" si="40"/>
        <v>0.92533428313886179</v>
      </c>
      <c r="O275" s="7">
        <f t="shared" si="41"/>
        <v>7.4665716861138265E-2</v>
      </c>
    </row>
    <row r="276" spans="1:15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4">
        <f>IF(SUMIFS('Daily NSE Equity Cash'!$H:$H,'Daily NSE Equity Cash'!$A:$A,$A276)=0,"",SUMIFS('Daily NSE Equity Cash'!$H:$H,'Daily NSE Equity Cash'!$A:$A,$A276))</f>
        <v>821.02080000000001</v>
      </c>
      <c r="F276" s="4">
        <f>IF(SUMIFS('Daily BSE Equity Cash'!$H:$H,'Daily BSE Equity Cash'!$A:$A,$A276)=0,"",SUMIFS('Daily BSE Equity Cash'!$H:$H,'Daily BSE Equity Cash'!$A:$A,$A276))</f>
        <v>57.587499999999999</v>
      </c>
      <c r="G276" s="4">
        <f t="shared" si="36"/>
        <v>878.60829999999999</v>
      </c>
      <c r="H276" s="7">
        <f t="shared" si="37"/>
        <v>0.76132863886426572</v>
      </c>
      <c r="I276" s="7">
        <f t="shared" si="38"/>
        <v>1.2841939923764341</v>
      </c>
      <c r="J276" s="7">
        <f t="shared" si="39"/>
        <v>0.78815708198966727</v>
      </c>
      <c r="K276" s="7">
        <f t="shared" si="42"/>
        <v>3.4113286066778548E-2</v>
      </c>
      <c r="L276" s="7">
        <f t="shared" si="43"/>
        <v>-0.10108299304436863</v>
      </c>
      <c r="M276" s="7">
        <f t="shared" si="44"/>
        <v>2.4018758969986287E-2</v>
      </c>
      <c r="N276" s="7">
        <f t="shared" si="40"/>
        <v>0.93445600274889284</v>
      </c>
      <c r="O276" s="7">
        <f t="shared" si="41"/>
        <v>6.5543997251107239E-2</v>
      </c>
    </row>
    <row r="277" spans="1:15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4">
        <f>IF(SUMIFS('Daily NSE Equity Cash'!$H:$H,'Daily NSE Equity Cash'!$A:$A,$A277)=0,"",SUMIFS('Daily NSE Equity Cash'!$H:$H,'Daily NSE Equity Cash'!$A:$A,$A277))</f>
        <v>851.97680000000003</v>
      </c>
      <c r="F277" s="4">
        <f>IF(SUMIFS('Daily BSE Equity Cash'!$H:$H,'Daily BSE Equity Cash'!$A:$A,$A277)=0,"",SUMIFS('Daily BSE Equity Cash'!$H:$H,'Daily BSE Equity Cash'!$A:$A,$A277))</f>
        <v>66.612499999999997</v>
      </c>
      <c r="G277" s="4">
        <f t="shared" si="36"/>
        <v>918.58929999999998</v>
      </c>
      <c r="H277" s="7">
        <f t="shared" si="37"/>
        <v>0.60563540605401367</v>
      </c>
      <c r="I277" s="7">
        <f t="shared" si="38"/>
        <v>1.053792482556831</v>
      </c>
      <c r="J277" s="7">
        <f t="shared" si="39"/>
        <v>0.63145099773466162</v>
      </c>
      <c r="K277" s="7">
        <f t="shared" si="42"/>
        <v>3.770428227884115E-2</v>
      </c>
      <c r="L277" s="7">
        <f t="shared" si="43"/>
        <v>0.15671803776861304</v>
      </c>
      <c r="M277" s="7">
        <f t="shared" si="44"/>
        <v>4.5504919541506705E-2</v>
      </c>
      <c r="N277" s="7">
        <f t="shared" si="40"/>
        <v>0.92748391473752201</v>
      </c>
      <c r="O277" s="7">
        <f t="shared" si="41"/>
        <v>7.2516085262478019E-2</v>
      </c>
    </row>
    <row r="278" spans="1:15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4">
        <f>IF(SUMIFS('Daily NSE Equity Cash'!$H:$H,'Daily NSE Equity Cash'!$A:$A,$A278)=0,"",SUMIFS('Daily NSE Equity Cash'!$H:$H,'Daily NSE Equity Cash'!$A:$A,$A278))</f>
        <v>852.54190000000006</v>
      </c>
      <c r="F278" s="4">
        <f>IF(SUMIFS('Daily BSE Equity Cash'!$H:$H,'Daily BSE Equity Cash'!$A:$A,$A278)=0,"",SUMIFS('Daily BSE Equity Cash'!$H:$H,'Daily BSE Equity Cash'!$A:$A,$A278))</f>
        <v>60.2044</v>
      </c>
      <c r="G278" s="4">
        <f t="shared" si="36"/>
        <v>912.74630000000002</v>
      </c>
      <c r="H278" s="7">
        <f t="shared" si="37"/>
        <v>0.75079675306312765</v>
      </c>
      <c r="I278" s="7">
        <f t="shared" si="38"/>
        <v>1.6222570669454246</v>
      </c>
      <c r="J278" s="7">
        <f t="shared" si="39"/>
        <v>0.79003522427060302</v>
      </c>
      <c r="K278" s="7">
        <f t="shared" si="42"/>
        <v>6.6328097197021485E-4</v>
      </c>
      <c r="L278" s="7">
        <f t="shared" si="43"/>
        <v>-9.6199662225558202E-2</v>
      </c>
      <c r="M278" s="7">
        <f t="shared" si="44"/>
        <v>-6.3608404757163894E-3</v>
      </c>
      <c r="N278" s="7">
        <f t="shared" si="40"/>
        <v>0.934040379018792</v>
      </c>
      <c r="O278" s="7">
        <f t="shared" si="41"/>
        <v>6.5959620981208028E-2</v>
      </c>
    </row>
    <row r="279" spans="1:15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4">
        <f>IF(SUMIFS('Daily NSE Equity Cash'!$H:$H,'Daily NSE Equity Cash'!$A:$A,$A279)=0,"",SUMIFS('Daily NSE Equity Cash'!$H:$H,'Daily NSE Equity Cash'!$A:$A,$A279))</f>
        <v>760.44709999999998</v>
      </c>
      <c r="F279" s="4">
        <f>IF(SUMIFS('Daily BSE Equity Cash'!$H:$H,'Daily BSE Equity Cash'!$A:$A,$A279)=0,"",SUMIFS('Daily BSE Equity Cash'!$H:$H,'Daily BSE Equity Cash'!$A:$A,$A279))</f>
        <v>56.400700000000001</v>
      </c>
      <c r="G279" s="4">
        <f t="shared" si="36"/>
        <v>816.84780000000001</v>
      </c>
      <c r="H279" s="7" t="str">
        <f t="shared" si="37"/>
        <v/>
      </c>
      <c r="I279" s="7" t="str">
        <f t="shared" si="38"/>
        <v/>
      </c>
      <c r="J279" s="7" t="str">
        <f t="shared" si="39"/>
        <v/>
      </c>
      <c r="K279" s="7">
        <f t="shared" si="42"/>
        <v>-0.10802378158774373</v>
      </c>
      <c r="L279" s="7">
        <f t="shared" si="43"/>
        <v>-6.317976759173749E-2</v>
      </c>
      <c r="M279" s="7">
        <f t="shared" si="44"/>
        <v>-0.10506588742129108</v>
      </c>
      <c r="N279" s="7">
        <f t="shared" si="40"/>
        <v>0.9309532326585197</v>
      </c>
      <c r="O279" s="7">
        <f t="shared" si="41"/>
        <v>6.9046767341480256E-2</v>
      </c>
    </row>
    <row r="280" spans="1:15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4">
        <f>IF(SUMIFS('Daily NSE Equity Cash'!$H:$H,'Daily NSE Equity Cash'!$A:$A,$A280)=0,"",SUMIFS('Daily NSE Equity Cash'!$H:$H,'Daily NSE Equity Cash'!$A:$A,$A280))</f>
        <v>803.05629999999996</v>
      </c>
      <c r="F280" s="4">
        <f>IF(SUMIFS('Daily BSE Equity Cash'!$H:$H,'Daily BSE Equity Cash'!$A:$A,$A280)=0,"",SUMIFS('Daily BSE Equity Cash'!$H:$H,'Daily BSE Equity Cash'!$A:$A,$A280))</f>
        <v>50.184899999999999</v>
      </c>
      <c r="G280" s="4">
        <f t="shared" si="36"/>
        <v>853.24119999999994</v>
      </c>
      <c r="H280" s="7">
        <f t="shared" si="37"/>
        <v>0.54246109208192861</v>
      </c>
      <c r="I280" s="7">
        <f t="shared" si="38"/>
        <v>1.1471680514790825</v>
      </c>
      <c r="J280" s="7">
        <f t="shared" si="39"/>
        <v>0.56844165419590253</v>
      </c>
      <c r="K280" s="7">
        <f t="shared" si="42"/>
        <v>5.6031773939304808E-2</v>
      </c>
      <c r="L280" s="7">
        <f t="shared" si="43"/>
        <v>-0.11020785203020533</v>
      </c>
      <c r="M280" s="7">
        <f t="shared" si="44"/>
        <v>4.4553465162053385E-2</v>
      </c>
      <c r="N280" s="7">
        <f t="shared" si="40"/>
        <v>0.94118321993827769</v>
      </c>
      <c r="O280" s="7">
        <f t="shared" si="41"/>
        <v>5.8816780061722293E-2</v>
      </c>
    </row>
    <row r="281" spans="1:15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4">
        <f>IF(SUMIFS('Daily NSE Equity Cash'!$H:$H,'Daily NSE Equity Cash'!$A:$A,$A281)=0,"",SUMIFS('Daily NSE Equity Cash'!$H:$H,'Daily NSE Equity Cash'!$A:$A,$A281))</f>
        <v>747.10509999999999</v>
      </c>
      <c r="F281" s="4">
        <f>IF(SUMIFS('Daily BSE Equity Cash'!$H:$H,'Daily BSE Equity Cash'!$A:$A,$A281)=0,"",SUMIFS('Daily BSE Equity Cash'!$H:$H,'Daily BSE Equity Cash'!$A:$A,$A281))</f>
        <v>59.060299999999998</v>
      </c>
      <c r="G281" s="4">
        <f t="shared" si="36"/>
        <v>806.16539999999998</v>
      </c>
      <c r="H281" s="7">
        <f t="shared" si="37"/>
        <v>0.52268098451221245</v>
      </c>
      <c r="I281" s="7">
        <f t="shared" si="38"/>
        <v>-0.44570446606388359</v>
      </c>
      <c r="J281" s="7">
        <f t="shared" si="39"/>
        <v>0.34990563483368176</v>
      </c>
      <c r="K281" s="7">
        <f t="shared" si="42"/>
        <v>-6.9672823686209751E-2</v>
      </c>
      <c r="L281" s="7">
        <f t="shared" si="43"/>
        <v>0.17685399393044521</v>
      </c>
      <c r="M281" s="7">
        <f t="shared" si="44"/>
        <v>-5.5172910075134585E-2</v>
      </c>
      <c r="N281" s="7">
        <f t="shared" si="40"/>
        <v>0.92673922745878201</v>
      </c>
      <c r="O281" s="7">
        <f t="shared" si="41"/>
        <v>7.3260772541217975E-2</v>
      </c>
    </row>
    <row r="282" spans="1:15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4">
        <f>IF(SUMIFS('Daily NSE Equity Cash'!$H:$H,'Daily NSE Equity Cash'!$A:$A,$A282)=0,"",SUMIFS('Daily NSE Equity Cash'!$H:$H,'Daily NSE Equity Cash'!$A:$A,$A282))</f>
        <v>726.88030000000003</v>
      </c>
      <c r="F282" s="4">
        <f>IF(SUMIFS('Daily BSE Equity Cash'!$H:$H,'Daily BSE Equity Cash'!$A:$A,$A282)=0,"",SUMIFS('Daily BSE Equity Cash'!$H:$H,'Daily BSE Equity Cash'!$A:$A,$A282))</f>
        <v>54.614100000000001</v>
      </c>
      <c r="G282" s="4">
        <f t="shared" si="36"/>
        <v>781.49440000000004</v>
      </c>
      <c r="H282" s="7">
        <f t="shared" si="37"/>
        <v>0.56771396564954801</v>
      </c>
      <c r="I282" s="7">
        <f t="shared" si="38"/>
        <v>1.6971790642316011</v>
      </c>
      <c r="J282" s="7">
        <f t="shared" si="39"/>
        <v>0.61497550757917674</v>
      </c>
      <c r="K282" s="7">
        <f t="shared" si="42"/>
        <v>-2.7070890026048455E-2</v>
      </c>
      <c r="L282" s="7">
        <f t="shared" si="43"/>
        <v>-7.5282380888684886E-2</v>
      </c>
      <c r="M282" s="7">
        <f t="shared" si="44"/>
        <v>-3.0602901092009027E-2</v>
      </c>
      <c r="N282" s="7">
        <f t="shared" si="40"/>
        <v>0.93011581400967169</v>
      </c>
      <c r="O282" s="7">
        <f t="shared" si="41"/>
        <v>6.9884185990328265E-2</v>
      </c>
    </row>
    <row r="283" spans="1:15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4">
        <f>IF(SUMIFS('Daily NSE Equity Cash'!$H:$H,'Daily NSE Equity Cash'!$A:$A,$A283)=0,"",SUMIFS('Daily NSE Equity Cash'!$H:$H,'Daily NSE Equity Cash'!$A:$A,$A283))</f>
        <v>759.62630000000001</v>
      </c>
      <c r="F283" s="4">
        <f>IF(SUMIFS('Daily BSE Equity Cash'!$H:$H,'Daily BSE Equity Cash'!$A:$A,$A283)=0,"",SUMIFS('Daily BSE Equity Cash'!$H:$H,'Daily BSE Equity Cash'!$A:$A,$A283))</f>
        <v>53.377099999999999</v>
      </c>
      <c r="G283" s="4">
        <f t="shared" si="36"/>
        <v>813.00340000000006</v>
      </c>
      <c r="H283" s="7">
        <f t="shared" si="37"/>
        <v>0.63021410090667329</v>
      </c>
      <c r="I283" s="7">
        <f t="shared" si="38"/>
        <v>1.7662118251874732</v>
      </c>
      <c r="J283" s="7">
        <f t="shared" si="39"/>
        <v>0.67538612542922571</v>
      </c>
      <c r="K283" s="7">
        <f t="shared" si="42"/>
        <v>4.5050058448413033E-2</v>
      </c>
      <c r="L283" s="7">
        <f t="shared" si="43"/>
        <v>-2.2649828524135773E-2</v>
      </c>
      <c r="M283" s="7">
        <f t="shared" si="44"/>
        <v>4.0318906955699285E-2</v>
      </c>
      <c r="N283" s="7">
        <f t="shared" si="40"/>
        <v>0.93434578502377719</v>
      </c>
      <c r="O283" s="7">
        <f t="shared" si="41"/>
        <v>6.565421497622273E-2</v>
      </c>
    </row>
    <row r="284" spans="1:15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4">
        <f>IF(SUMIFS('Daily NSE Equity Cash'!$H:$H,'Daily NSE Equity Cash'!$A:$A,$A284)=0,"",SUMIFS('Daily NSE Equity Cash'!$H:$H,'Daily NSE Equity Cash'!$A:$A,$A284))</f>
        <v>781.12310000000002</v>
      </c>
      <c r="F284" s="4">
        <f>IF(SUMIFS('Daily BSE Equity Cash'!$H:$H,'Daily BSE Equity Cash'!$A:$A,$A284)=0,"",SUMIFS('Daily BSE Equity Cash'!$H:$H,'Daily BSE Equity Cash'!$A:$A,$A284))</f>
        <v>55.026600000000002</v>
      </c>
      <c r="G284" s="4">
        <f t="shared" si="36"/>
        <v>836.14970000000005</v>
      </c>
      <c r="H284" s="7" t="str">
        <f t="shared" si="37"/>
        <v/>
      </c>
      <c r="I284" s="7" t="str">
        <f t="shared" si="38"/>
        <v/>
      </c>
      <c r="J284" s="7" t="str">
        <f t="shared" si="39"/>
        <v/>
      </c>
      <c r="K284" s="7">
        <f t="shared" si="42"/>
        <v>2.8299178161683036E-2</v>
      </c>
      <c r="L284" s="7">
        <f t="shared" si="43"/>
        <v>3.0902765418128864E-2</v>
      </c>
      <c r="M284" s="7">
        <f t="shared" si="44"/>
        <v>2.8470114639126853E-2</v>
      </c>
      <c r="N284" s="7">
        <f t="shared" si="40"/>
        <v>0.93419049244411612</v>
      </c>
      <c r="O284" s="7">
        <f t="shared" si="41"/>
        <v>6.5809507555883828E-2</v>
      </c>
    </row>
    <row r="285" spans="1:15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4">
        <f>IF(SUMIFS('Daily NSE Equity Cash'!$H:$H,'Daily NSE Equity Cash'!$A:$A,$A285)=0,"",SUMIFS('Daily NSE Equity Cash'!$H:$H,'Daily NSE Equity Cash'!$A:$A,$A285))</f>
        <v>735.00009999999997</v>
      </c>
      <c r="F285" s="4">
        <f>IF(SUMIFS('Daily BSE Equity Cash'!$H:$H,'Daily BSE Equity Cash'!$A:$A,$A285)=0,"",SUMIFS('Daily BSE Equity Cash'!$H:$H,'Daily BSE Equity Cash'!$A:$A,$A285))</f>
        <v>52.366900000000001</v>
      </c>
      <c r="G285" s="4">
        <f t="shared" si="36"/>
        <v>787.36699999999996</v>
      </c>
      <c r="H285" s="7" t="str">
        <f t="shared" si="37"/>
        <v/>
      </c>
      <c r="I285" s="7" t="str">
        <f t="shared" si="38"/>
        <v/>
      </c>
      <c r="J285" s="7" t="str">
        <f t="shared" si="39"/>
        <v/>
      </c>
      <c r="K285" s="7">
        <f t="shared" si="42"/>
        <v>-5.9047031127360095E-2</v>
      </c>
      <c r="L285" s="7">
        <f t="shared" si="43"/>
        <v>-4.833480534868595E-2</v>
      </c>
      <c r="M285" s="7">
        <f t="shared" si="44"/>
        <v>-5.8342064824038142E-2</v>
      </c>
      <c r="N285" s="7">
        <f t="shared" si="40"/>
        <v>0.93349111659492967</v>
      </c>
      <c r="O285" s="7">
        <f t="shared" si="41"/>
        <v>6.6508883405070315E-2</v>
      </c>
    </row>
    <row r="286" spans="1:15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4">
        <f>IF(SUMIFS('Daily NSE Equity Cash'!$H:$H,'Daily NSE Equity Cash'!$A:$A,$A286)=0,"",SUMIFS('Daily NSE Equity Cash'!$H:$H,'Daily NSE Equity Cash'!$A:$A,$A286))</f>
        <v>690.55380000000002</v>
      </c>
      <c r="F286" s="4">
        <f>IF(SUMIFS('Daily BSE Equity Cash'!$H:$H,'Daily BSE Equity Cash'!$A:$A,$A286)=0,"",SUMIFS('Daily BSE Equity Cash'!$H:$H,'Daily BSE Equity Cash'!$A:$A,$A286))</f>
        <v>49.9756</v>
      </c>
      <c r="G286" s="4">
        <f t="shared" si="36"/>
        <v>740.52940000000001</v>
      </c>
      <c r="H286" s="7">
        <f t="shared" si="37"/>
        <v>0.45647063389184628</v>
      </c>
      <c r="I286" s="7">
        <f t="shared" si="38"/>
        <v>-0.56903468377571964</v>
      </c>
      <c r="J286" s="7">
        <f t="shared" si="39"/>
        <v>0.25494271892669973</v>
      </c>
      <c r="K286" s="7">
        <f t="shared" si="42"/>
        <v>-6.047114823521782E-2</v>
      </c>
      <c r="L286" s="7">
        <f t="shared" si="43"/>
        <v>-4.5664341406499109E-2</v>
      </c>
      <c r="M286" s="7">
        <f t="shared" si="44"/>
        <v>-5.9486364046245188E-2</v>
      </c>
      <c r="N286" s="7">
        <f t="shared" si="40"/>
        <v>0.93251368547960423</v>
      </c>
      <c r="O286" s="7">
        <f t="shared" si="41"/>
        <v>6.7486314520395815E-2</v>
      </c>
    </row>
    <row r="287" spans="1:15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4">
        <f>IF(SUMIFS('Daily NSE Equity Cash'!$H:$H,'Daily NSE Equity Cash'!$A:$A,$A287)=0,"",SUMIFS('Daily NSE Equity Cash'!$H:$H,'Daily NSE Equity Cash'!$A:$A,$A287))</f>
        <v>1207.6322</v>
      </c>
      <c r="F287" s="4">
        <f>IF(SUMIFS('Daily BSE Equity Cash'!$H:$H,'Daily BSE Equity Cash'!$A:$A,$A287)=0,"",SUMIFS('Daily BSE Equity Cash'!$H:$H,'Daily BSE Equity Cash'!$A:$A,$A287))</f>
        <v>52.389299999999999</v>
      </c>
      <c r="G287" s="4">
        <f t="shared" si="36"/>
        <v>1260.0215000000001</v>
      </c>
      <c r="H287" s="7">
        <f t="shared" si="37"/>
        <v>1.3024836837078837</v>
      </c>
      <c r="I287" s="7">
        <f t="shared" si="38"/>
        <v>1.4850840784574153</v>
      </c>
      <c r="J287" s="7">
        <f t="shared" si="39"/>
        <v>1.3095395553222433</v>
      </c>
      <c r="K287" s="7">
        <f t="shared" si="42"/>
        <v>0.74878800174584503</v>
      </c>
      <c r="L287" s="7">
        <f t="shared" si="43"/>
        <v>4.829756921377637E-2</v>
      </c>
      <c r="M287" s="7">
        <f t="shared" si="44"/>
        <v>0.70151448409745787</v>
      </c>
      <c r="N287" s="7">
        <f t="shared" si="40"/>
        <v>0.95842189994377081</v>
      </c>
      <c r="O287" s="7">
        <f t="shared" si="41"/>
        <v>4.1578100056229195E-2</v>
      </c>
    </row>
    <row r="288" spans="1:15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4">
        <f>IF(SUMIFS('Daily NSE Equity Cash'!$H:$H,'Daily NSE Equity Cash'!$A:$A,$A288)=0,"",SUMIFS('Daily NSE Equity Cash'!$H:$H,'Daily NSE Equity Cash'!$A:$A,$A288))</f>
        <v>741.24860000000001</v>
      </c>
      <c r="F288" s="4">
        <f>IF(SUMIFS('Daily BSE Equity Cash'!$H:$H,'Daily BSE Equity Cash'!$A:$A,$A288)=0,"",SUMIFS('Daily BSE Equity Cash'!$H:$H,'Daily BSE Equity Cash'!$A:$A,$A288))</f>
        <v>53.866199999999999</v>
      </c>
      <c r="G288" s="4">
        <f t="shared" si="36"/>
        <v>795.11480000000006</v>
      </c>
      <c r="H288" s="7">
        <f t="shared" si="37"/>
        <v>0.30387218668705729</v>
      </c>
      <c r="I288" s="7">
        <f t="shared" si="38"/>
        <v>0.77962422732693937</v>
      </c>
      <c r="J288" s="7">
        <f t="shared" si="39"/>
        <v>0.32792198357221936</v>
      </c>
      <c r="K288" s="7">
        <f t="shared" si="42"/>
        <v>-0.38619672446627373</v>
      </c>
      <c r="L288" s="7">
        <f t="shared" si="43"/>
        <v>2.8190871036642973E-2</v>
      </c>
      <c r="M288" s="7">
        <f t="shared" si="44"/>
        <v>-0.36896727555839326</v>
      </c>
      <c r="N288" s="7">
        <f t="shared" si="40"/>
        <v>0.93225355634180118</v>
      </c>
      <c r="O288" s="7">
        <f t="shared" si="41"/>
        <v>6.7746443658198791E-2</v>
      </c>
    </row>
    <row r="289" spans="1:15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4">
        <f>IF(SUMIFS('Daily NSE Equity Cash'!$H:$H,'Daily NSE Equity Cash'!$A:$A,$A289)=0,"",SUMIFS('Daily NSE Equity Cash'!$H:$H,'Daily NSE Equity Cash'!$A:$A,$A289))</f>
        <v>723.36300000000006</v>
      </c>
      <c r="F289" s="4">
        <f>IF(SUMIFS('Daily BSE Equity Cash'!$H:$H,'Daily BSE Equity Cash'!$A:$A,$A289)=0,"",SUMIFS('Daily BSE Equity Cash'!$H:$H,'Daily BSE Equity Cash'!$A:$A,$A289))</f>
        <v>53.162100000000002</v>
      </c>
      <c r="G289" s="4">
        <f t="shared" si="36"/>
        <v>776.52510000000007</v>
      </c>
      <c r="H289" s="7" t="str">
        <f t="shared" si="37"/>
        <v/>
      </c>
      <c r="I289" s="7" t="str">
        <f t="shared" si="38"/>
        <v/>
      </c>
      <c r="J289" s="7" t="str">
        <f t="shared" si="39"/>
        <v/>
      </c>
      <c r="K289" s="7">
        <f t="shared" si="42"/>
        <v>-2.4129016904719913E-2</v>
      </c>
      <c r="L289" s="7">
        <f t="shared" si="43"/>
        <v>-1.3071276607594329E-2</v>
      </c>
      <c r="M289" s="7">
        <f t="shared" si="44"/>
        <v>-2.3379894324693784E-2</v>
      </c>
      <c r="N289" s="7">
        <f t="shared" si="40"/>
        <v>0.93153846540182672</v>
      </c>
      <c r="O289" s="7">
        <f t="shared" si="41"/>
        <v>6.8461534598173321E-2</v>
      </c>
    </row>
    <row r="290" spans="1:15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4">
        <f>IF(SUMIFS('Daily NSE Equity Cash'!$H:$H,'Daily NSE Equity Cash'!$A:$A,$A290)=0,"",SUMIFS('Daily NSE Equity Cash'!$H:$H,'Daily NSE Equity Cash'!$A:$A,$A290))</f>
        <v>641.76400000000001</v>
      </c>
      <c r="F290" s="4">
        <f>IF(SUMIFS('Daily BSE Equity Cash'!$H:$H,'Daily BSE Equity Cash'!$A:$A,$A290)=0,"",SUMIFS('Daily BSE Equity Cash'!$H:$H,'Daily BSE Equity Cash'!$A:$A,$A290))</f>
        <v>45.338000000000001</v>
      </c>
      <c r="G290" s="4">
        <f t="shared" si="36"/>
        <v>687.10199999999998</v>
      </c>
      <c r="H290" s="7">
        <f t="shared" si="37"/>
        <v>1.4610868265039878E-2</v>
      </c>
      <c r="I290" s="7">
        <f t="shared" si="38"/>
        <v>0.58447467839057232</v>
      </c>
      <c r="J290" s="7">
        <f t="shared" si="39"/>
        <v>3.9274509548864689E-2</v>
      </c>
      <c r="K290" s="7">
        <f t="shared" si="42"/>
        <v>-0.11280505085275305</v>
      </c>
      <c r="L290" s="7">
        <f t="shared" si="43"/>
        <v>-0.14717439679771871</v>
      </c>
      <c r="M290" s="7">
        <f t="shared" si="44"/>
        <v>-0.11515802901928096</v>
      </c>
      <c r="N290" s="7">
        <f t="shared" si="40"/>
        <v>0.93401561922392895</v>
      </c>
      <c r="O290" s="7">
        <f t="shared" si="41"/>
        <v>6.5984380776071092E-2</v>
      </c>
    </row>
    <row r="291" spans="1:15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4">
        <f>IF(SUMIFS('Daily NSE Equity Cash'!$H:$H,'Daily NSE Equity Cash'!$A:$A,$A291)=0,"",SUMIFS('Daily NSE Equity Cash'!$H:$H,'Daily NSE Equity Cash'!$A:$A,$A291))</f>
        <v>743.53300000000002</v>
      </c>
      <c r="F291" s="4">
        <f>IF(SUMIFS('Daily BSE Equity Cash'!$H:$H,'Daily BSE Equity Cash'!$A:$A,$A291)=0,"",SUMIFS('Daily BSE Equity Cash'!$H:$H,'Daily BSE Equity Cash'!$A:$A,$A291))</f>
        <v>54.521599999999999</v>
      </c>
      <c r="G291" s="4">
        <f t="shared" si="36"/>
        <v>798.05460000000005</v>
      </c>
      <c r="H291" s="7">
        <f t="shared" si="37"/>
        <v>0.22785622020702379</v>
      </c>
      <c r="I291" s="7">
        <f t="shared" si="38"/>
        <v>-0.46775637389896063</v>
      </c>
      <c r="J291" s="7">
        <f t="shared" si="39"/>
        <v>0.12720993244124124</v>
      </c>
      <c r="K291" s="7">
        <f t="shared" si="42"/>
        <v>0.15857698468595927</v>
      </c>
      <c r="L291" s="7">
        <f t="shared" si="43"/>
        <v>0.20255856014822005</v>
      </c>
      <c r="M291" s="7">
        <f t="shared" si="44"/>
        <v>0.16147908170839265</v>
      </c>
      <c r="N291" s="7">
        <f t="shared" si="40"/>
        <v>0.93168186738100367</v>
      </c>
      <c r="O291" s="7">
        <f t="shared" si="41"/>
        <v>6.8318132618996233E-2</v>
      </c>
    </row>
    <row r="292" spans="1:15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4">
        <f>IF(SUMIFS('Daily NSE Equity Cash'!$H:$H,'Daily NSE Equity Cash'!$A:$A,$A292)=0,"",SUMIFS('Daily NSE Equity Cash'!$H:$H,'Daily NSE Equity Cash'!$A:$A,$A292))</f>
        <v>747.04679999999996</v>
      </c>
      <c r="F292" s="4">
        <f>IF(SUMIFS('Daily BSE Equity Cash'!$H:$H,'Daily BSE Equity Cash'!$A:$A,$A292)=0,"",SUMIFS('Daily BSE Equity Cash'!$H:$H,'Daily BSE Equity Cash'!$A:$A,$A292))</f>
        <v>58.013399999999997</v>
      </c>
      <c r="G292" s="4">
        <f t="shared" si="36"/>
        <v>805.06020000000001</v>
      </c>
      <c r="H292" s="7">
        <f t="shared" si="37"/>
        <v>0.13408956833516661</v>
      </c>
      <c r="I292" s="7">
        <f t="shared" si="38"/>
        <v>0.37144599760288788</v>
      </c>
      <c r="J292" s="7">
        <f t="shared" si="39"/>
        <v>0.1484121073241389</v>
      </c>
      <c r="K292" s="7">
        <f t="shared" si="42"/>
        <v>4.7258158010470286E-3</v>
      </c>
      <c r="L292" s="7">
        <f t="shared" si="43"/>
        <v>6.4044342058927173E-2</v>
      </c>
      <c r="M292" s="7">
        <f t="shared" si="44"/>
        <v>8.7783467446964636E-3</v>
      </c>
      <c r="N292" s="7">
        <f t="shared" si="40"/>
        <v>0.92793905350183747</v>
      </c>
      <c r="O292" s="7">
        <f t="shared" si="41"/>
        <v>7.2060946498162498E-2</v>
      </c>
    </row>
    <row r="293" spans="1:15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4">
        <f>IF(SUMIFS('Daily NSE Equity Cash'!$H:$H,'Daily NSE Equity Cash'!$A:$A,$A293)=0,"",SUMIFS('Daily NSE Equity Cash'!$H:$H,'Daily NSE Equity Cash'!$A:$A,$A293))</f>
        <v>754.11599999999999</v>
      </c>
      <c r="F293" s="4">
        <f>IF(SUMIFS('Daily BSE Equity Cash'!$H:$H,'Daily BSE Equity Cash'!$A:$A,$A293)=0,"",SUMIFS('Daily BSE Equity Cash'!$H:$H,'Daily BSE Equity Cash'!$A:$A,$A293))</f>
        <v>61.305100000000003</v>
      </c>
      <c r="G293" s="4">
        <f t="shared" si="36"/>
        <v>815.42110000000002</v>
      </c>
      <c r="H293" s="7">
        <f t="shared" si="37"/>
        <v>0.23473943719278512</v>
      </c>
      <c r="I293" s="7">
        <f t="shared" si="38"/>
        <v>0.28204533002078724</v>
      </c>
      <c r="J293" s="7">
        <f t="shared" si="39"/>
        <v>0.23817429137462476</v>
      </c>
      <c r="K293" s="7">
        <f t="shared" si="42"/>
        <v>9.4628609613214287E-3</v>
      </c>
      <c r="L293" s="7">
        <f t="shared" si="43"/>
        <v>5.6740339300920262E-2</v>
      </c>
      <c r="M293" s="7">
        <f t="shared" si="44"/>
        <v>1.2869720798519113E-2</v>
      </c>
      <c r="N293" s="7">
        <f t="shared" si="40"/>
        <v>0.92481786404595123</v>
      </c>
      <c r="O293" s="7">
        <f t="shared" si="41"/>
        <v>7.5182135954048768E-2</v>
      </c>
    </row>
    <row r="294" spans="1:15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4">
        <f>IF(SUMIFS('Daily NSE Equity Cash'!$H:$H,'Daily NSE Equity Cash'!$A:$A,$A294)=0,"",SUMIFS('Daily NSE Equity Cash'!$H:$H,'Daily NSE Equity Cash'!$A:$A,$A294))</f>
        <v>800.66409999999996</v>
      </c>
      <c r="F294" s="4">
        <f>IF(SUMIFS('Daily BSE Equity Cash'!$H:$H,'Daily BSE Equity Cash'!$A:$A,$A294)=0,"",SUMIFS('Daily BSE Equity Cash'!$H:$H,'Daily BSE Equity Cash'!$A:$A,$A294))</f>
        <v>74.705600000000004</v>
      </c>
      <c r="G294" s="4">
        <f t="shared" si="36"/>
        <v>875.36969999999997</v>
      </c>
      <c r="H294" s="7" t="str">
        <f t="shared" si="37"/>
        <v/>
      </c>
      <c r="I294" s="7" t="str">
        <f t="shared" si="38"/>
        <v/>
      </c>
      <c r="J294" s="7" t="str">
        <f t="shared" si="39"/>
        <v/>
      </c>
      <c r="K294" s="7">
        <f t="shared" si="42"/>
        <v>6.1725384423616525E-2</v>
      </c>
      <c r="L294" s="7">
        <f t="shared" si="43"/>
        <v>0.21858703435766347</v>
      </c>
      <c r="M294" s="7">
        <f t="shared" si="44"/>
        <v>7.3518578314934357E-2</v>
      </c>
      <c r="N294" s="7">
        <f t="shared" si="40"/>
        <v>0.91465822954575648</v>
      </c>
      <c r="O294" s="7">
        <f t="shared" si="41"/>
        <v>8.5341770454243515E-2</v>
      </c>
    </row>
    <row r="295" spans="1:15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4">
        <f>IF(SUMIFS('Daily NSE Equity Cash'!$H:$H,'Daily NSE Equity Cash'!$A:$A,$A295)=0,"",SUMIFS('Daily NSE Equity Cash'!$H:$H,'Daily NSE Equity Cash'!$A:$A,$A295))</f>
        <v>780.49210000000005</v>
      </c>
      <c r="F295" s="4">
        <f>IF(SUMIFS('Daily BSE Equity Cash'!$H:$H,'Daily BSE Equity Cash'!$A:$A,$A295)=0,"",SUMIFS('Daily BSE Equity Cash'!$H:$H,'Daily BSE Equity Cash'!$A:$A,$A295))</f>
        <v>62.631500000000003</v>
      </c>
      <c r="G295" s="4">
        <f t="shared" si="36"/>
        <v>843.12360000000001</v>
      </c>
      <c r="H295" s="7">
        <f t="shared" si="37"/>
        <v>0.14790708168033539</v>
      </c>
      <c r="I295" s="7">
        <f t="shared" si="38"/>
        <v>0.56659037756850394</v>
      </c>
      <c r="J295" s="7">
        <f t="shared" si="39"/>
        <v>0.17115838921680981</v>
      </c>
      <c r="K295" s="7">
        <f t="shared" si="42"/>
        <v>-2.5194085759558726E-2</v>
      </c>
      <c r="L295" s="7">
        <f t="shared" si="43"/>
        <v>-0.16162242188001974</v>
      </c>
      <c r="M295" s="7">
        <f t="shared" si="44"/>
        <v>-3.6837121504205594E-2</v>
      </c>
      <c r="N295" s="7">
        <f t="shared" si="40"/>
        <v>0.92571492483427109</v>
      </c>
      <c r="O295" s="7">
        <f t="shared" si="41"/>
        <v>7.4285075165728964E-2</v>
      </c>
    </row>
    <row r="296" spans="1:15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4">
        <f>IF(SUMIFS('Daily NSE Equity Cash'!$H:$H,'Daily NSE Equity Cash'!$A:$A,$A296)=0,"",SUMIFS('Daily NSE Equity Cash'!$H:$H,'Daily NSE Equity Cash'!$A:$A,$A296))</f>
        <v>887.39710000000002</v>
      </c>
      <c r="F296" s="4">
        <f>IF(SUMIFS('Daily BSE Equity Cash'!$H:$H,'Daily BSE Equity Cash'!$A:$A,$A296)=0,"",SUMIFS('Daily BSE Equity Cash'!$H:$H,'Daily BSE Equity Cash'!$A:$A,$A296))</f>
        <v>92.194199999999995</v>
      </c>
      <c r="G296" s="4">
        <f t="shared" si="36"/>
        <v>979.59130000000005</v>
      </c>
      <c r="H296" s="7">
        <f t="shared" si="37"/>
        <v>0.39119957570939423</v>
      </c>
      <c r="I296" s="7">
        <f t="shared" si="38"/>
        <v>1.6948070548758034</v>
      </c>
      <c r="J296" s="7">
        <f t="shared" si="39"/>
        <v>0.45755922130888371</v>
      </c>
      <c r="K296" s="7">
        <f t="shared" si="42"/>
        <v>0.13697127747993854</v>
      </c>
      <c r="L296" s="7">
        <f t="shared" si="43"/>
        <v>0.47201009076902189</v>
      </c>
      <c r="M296" s="7">
        <f t="shared" si="44"/>
        <v>0.16185966090855475</v>
      </c>
      <c r="N296" s="7">
        <f t="shared" si="40"/>
        <v>0.90588503593284253</v>
      </c>
      <c r="O296" s="7">
        <f t="shared" si="41"/>
        <v>9.4114964067157386E-2</v>
      </c>
    </row>
    <row r="297" spans="1:15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4">
        <f>IF(SUMIFS('Daily NSE Equity Cash'!$H:$H,'Daily NSE Equity Cash'!$A:$A,$A297)=0,"",SUMIFS('Daily NSE Equity Cash'!$H:$H,'Daily NSE Equity Cash'!$A:$A,$A297))</f>
        <v>698.92330000000004</v>
      </c>
      <c r="F297" s="4">
        <f>IF(SUMIFS('Daily BSE Equity Cash'!$H:$H,'Daily BSE Equity Cash'!$A:$A,$A297)=0,"",SUMIFS('Daily BSE Equity Cash'!$H:$H,'Daily BSE Equity Cash'!$A:$A,$A297))</f>
        <v>55.434100000000001</v>
      </c>
      <c r="G297" s="4">
        <f t="shared" si="36"/>
        <v>754.3574000000001</v>
      </c>
      <c r="H297" s="7">
        <f t="shared" si="37"/>
        <v>0.31986526454777686</v>
      </c>
      <c r="I297" s="7">
        <f t="shared" si="38"/>
        <v>0.89304716046853128</v>
      </c>
      <c r="J297" s="7">
        <f t="shared" si="39"/>
        <v>0.34990061278641393</v>
      </c>
      <c r="K297" s="7">
        <f t="shared" si="42"/>
        <v>-0.21238947028337141</v>
      </c>
      <c r="L297" s="7">
        <f t="shared" si="43"/>
        <v>-0.39872464862214752</v>
      </c>
      <c r="M297" s="7">
        <f t="shared" si="44"/>
        <v>-0.2299263988971727</v>
      </c>
      <c r="N297" s="7">
        <f t="shared" si="40"/>
        <v>0.92651480584667156</v>
      </c>
      <c r="O297" s="7">
        <f t="shared" si="41"/>
        <v>7.3485194153328368E-2</v>
      </c>
    </row>
    <row r="298" spans="1:15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4">
        <f>IF(SUMIFS('Daily NSE Equity Cash'!$H:$H,'Daily NSE Equity Cash'!$A:$A,$A298)=0,"",SUMIFS('Daily NSE Equity Cash'!$H:$H,'Daily NSE Equity Cash'!$A:$A,$A298))</f>
        <v>717.51530000000002</v>
      </c>
      <c r="F298" s="4">
        <f>IF(SUMIFS('Daily BSE Equity Cash'!$H:$H,'Daily BSE Equity Cash'!$A:$A,$A298)=0,"",SUMIFS('Daily BSE Equity Cash'!$H:$H,'Daily BSE Equity Cash'!$A:$A,$A298))</f>
        <v>59.638500000000001</v>
      </c>
      <c r="G298" s="4">
        <f t="shared" si="36"/>
        <v>777.15380000000005</v>
      </c>
      <c r="H298" s="7">
        <f t="shared" si="37"/>
        <v>0.24348945335462902</v>
      </c>
      <c r="I298" s="7">
        <f t="shared" si="38"/>
        <v>0.78584048006899176</v>
      </c>
      <c r="J298" s="7">
        <f t="shared" si="39"/>
        <v>0.27316104773687577</v>
      </c>
      <c r="K298" s="7">
        <f t="shared" si="42"/>
        <v>2.6600916008952646E-2</v>
      </c>
      <c r="L298" s="7">
        <f t="shared" si="43"/>
        <v>7.5845012366034581E-2</v>
      </c>
      <c r="M298" s="7">
        <f t="shared" si="44"/>
        <v>3.0219627990657916E-2</v>
      </c>
      <c r="N298" s="7">
        <f t="shared" si="40"/>
        <v>0.92326036365002651</v>
      </c>
      <c r="O298" s="7">
        <f t="shared" si="41"/>
        <v>7.6739636349973453E-2</v>
      </c>
    </row>
    <row r="299" spans="1:15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4">
        <f>IF(SUMIFS('Daily NSE Equity Cash'!$H:$H,'Daily NSE Equity Cash'!$A:$A,$A299)=0,"",SUMIFS('Daily NSE Equity Cash'!$H:$H,'Daily NSE Equity Cash'!$A:$A,$A299))</f>
        <v>779.87660000000005</v>
      </c>
      <c r="F299" s="4">
        <f>IF(SUMIFS('Daily BSE Equity Cash'!$H:$H,'Daily BSE Equity Cash'!$A:$A,$A299)=0,"",SUMIFS('Daily BSE Equity Cash'!$H:$H,'Daily BSE Equity Cash'!$A:$A,$A299))</f>
        <v>64.105199999999996</v>
      </c>
      <c r="G299" s="4">
        <f t="shared" si="36"/>
        <v>843.98180000000002</v>
      </c>
      <c r="H299" s="7" t="str">
        <f t="shared" si="37"/>
        <v/>
      </c>
      <c r="I299" s="7" t="str">
        <f t="shared" si="38"/>
        <v/>
      </c>
      <c r="J299" s="7" t="str">
        <f t="shared" si="39"/>
        <v/>
      </c>
      <c r="K299" s="7">
        <f t="shared" si="42"/>
        <v>8.6912850499494709E-2</v>
      </c>
      <c r="L299" s="7">
        <f t="shared" si="43"/>
        <v>7.4896249905681556E-2</v>
      </c>
      <c r="M299" s="7">
        <f t="shared" si="44"/>
        <v>8.5990700939762466E-2</v>
      </c>
      <c r="N299" s="7">
        <f t="shared" si="40"/>
        <v>0.92404433365743199</v>
      </c>
      <c r="O299" s="7">
        <f t="shared" si="41"/>
        <v>7.5955666342568048E-2</v>
      </c>
    </row>
    <row r="300" spans="1:15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4">
        <f>IF(SUMIFS('Daily NSE Equity Cash'!$H:$H,'Daily NSE Equity Cash'!$A:$A,$A300)=0,"",SUMIFS('Daily NSE Equity Cash'!$H:$H,'Daily NSE Equity Cash'!$A:$A,$A300))</f>
        <v>671.23519999999996</v>
      </c>
      <c r="F300" s="4">
        <f>IF(SUMIFS('Daily BSE Equity Cash'!$H:$H,'Daily BSE Equity Cash'!$A:$A,$A300)=0,"",SUMIFS('Daily BSE Equity Cash'!$H:$H,'Daily BSE Equity Cash'!$A:$A,$A300))</f>
        <v>78.5291</v>
      </c>
      <c r="G300" s="4">
        <f t="shared" si="36"/>
        <v>749.76429999999993</v>
      </c>
      <c r="H300" s="7">
        <f t="shared" si="37"/>
        <v>0.23840042921091698</v>
      </c>
      <c r="I300" s="7">
        <f t="shared" si="38"/>
        <v>1.6530818400497309</v>
      </c>
      <c r="J300" s="7">
        <f t="shared" si="39"/>
        <v>0.31165477729759994</v>
      </c>
      <c r="K300" s="7">
        <f t="shared" si="42"/>
        <v>-0.13930588505925179</v>
      </c>
      <c r="L300" s="7">
        <f t="shared" si="43"/>
        <v>0.22500358785246766</v>
      </c>
      <c r="M300" s="7">
        <f t="shared" si="44"/>
        <v>-0.11163451628933241</v>
      </c>
      <c r="N300" s="7">
        <f t="shared" si="40"/>
        <v>0.89526161755100908</v>
      </c>
      <c r="O300" s="7">
        <f t="shared" si="41"/>
        <v>0.10473838244899097</v>
      </c>
    </row>
    <row r="301" spans="1:15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4">
        <f>IF(SUMIFS('Daily NSE Equity Cash'!$H:$H,'Daily NSE Equity Cash'!$A:$A,$A301)=0,"",SUMIFS('Daily NSE Equity Cash'!$H:$H,'Daily NSE Equity Cash'!$A:$A,$A301))</f>
        <v>671.3261</v>
      </c>
      <c r="F301" s="4">
        <f>IF(SUMIFS('Daily BSE Equity Cash'!$H:$H,'Daily BSE Equity Cash'!$A:$A,$A301)=0,"",SUMIFS('Daily BSE Equity Cash'!$H:$H,'Daily BSE Equity Cash'!$A:$A,$A301))</f>
        <v>63.598399999999998</v>
      </c>
      <c r="G301" s="4">
        <f t="shared" si="36"/>
        <v>734.92449999999997</v>
      </c>
      <c r="H301" s="7">
        <f t="shared" si="37"/>
        <v>0.11322757446876253</v>
      </c>
      <c r="I301" s="7">
        <f t="shared" si="38"/>
        <v>0.63563511045958365</v>
      </c>
      <c r="J301" s="7">
        <f t="shared" si="39"/>
        <v>0.14487096523939291</v>
      </c>
      <c r="K301" s="7">
        <f t="shared" si="42"/>
        <v>1.35421980253847E-4</v>
      </c>
      <c r="L301" s="7">
        <f t="shared" si="43"/>
        <v>-0.19012951886625473</v>
      </c>
      <c r="M301" s="7">
        <f t="shared" si="44"/>
        <v>-1.9792620160762442E-2</v>
      </c>
      <c r="N301" s="7">
        <f t="shared" si="40"/>
        <v>0.913462675417679</v>
      </c>
      <c r="O301" s="7">
        <f t="shared" si="41"/>
        <v>8.6537324582321037E-2</v>
      </c>
    </row>
    <row r="302" spans="1:15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4">
        <f>IF(SUMIFS('Daily NSE Equity Cash'!$H:$H,'Daily NSE Equity Cash'!$A:$A,$A302)=0,"",SUMIFS('Daily NSE Equity Cash'!$H:$H,'Daily NSE Equity Cash'!$A:$A,$A302))</f>
        <v>714.55870000000004</v>
      </c>
      <c r="F302" s="4">
        <f>IF(SUMIFS('Daily BSE Equity Cash'!$H:$H,'Daily BSE Equity Cash'!$A:$A,$A302)=0,"",SUMIFS('Daily BSE Equity Cash'!$H:$H,'Daily BSE Equity Cash'!$A:$A,$A302))</f>
        <v>57.860300000000002</v>
      </c>
      <c r="G302" s="4">
        <f t="shared" si="36"/>
        <v>772.4190000000001</v>
      </c>
      <c r="H302" s="7">
        <f t="shared" si="37"/>
        <v>0.36875057226122032</v>
      </c>
      <c r="I302" s="7">
        <f t="shared" si="38"/>
        <v>0.66845834210427668</v>
      </c>
      <c r="J302" s="7">
        <f t="shared" si="39"/>
        <v>0.38741944714024235</v>
      </c>
      <c r="K302" s="7">
        <f t="shared" si="42"/>
        <v>6.4398807077514331E-2</v>
      </c>
      <c r="L302" s="7">
        <f t="shared" si="43"/>
        <v>-9.0223967898563462E-2</v>
      </c>
      <c r="M302" s="7">
        <f t="shared" si="44"/>
        <v>5.1018165811590244E-2</v>
      </c>
      <c r="N302" s="7">
        <f t="shared" si="40"/>
        <v>0.92509208085249062</v>
      </c>
      <c r="O302" s="7">
        <f t="shared" si="41"/>
        <v>7.4907919147509314E-2</v>
      </c>
    </row>
    <row r="303" spans="1:15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4">
        <f>IF(SUMIFS('Daily NSE Equity Cash'!$H:$H,'Daily NSE Equity Cash'!$A:$A,$A303)=0,"",SUMIFS('Daily NSE Equity Cash'!$H:$H,'Daily NSE Equity Cash'!$A:$A,$A303))</f>
        <v>971.55849999999998</v>
      </c>
      <c r="F303" s="4">
        <f>IF(SUMIFS('Daily BSE Equity Cash'!$H:$H,'Daily BSE Equity Cash'!$A:$A,$A303)=0,"",SUMIFS('Daily BSE Equity Cash'!$H:$H,'Daily BSE Equity Cash'!$A:$A,$A303))</f>
        <v>88.187200000000004</v>
      </c>
      <c r="G303" s="4">
        <f t="shared" si="36"/>
        <v>1059.7456999999999</v>
      </c>
      <c r="H303" s="7">
        <f t="shared" si="37"/>
        <v>0.89922403336490375</v>
      </c>
      <c r="I303" s="7">
        <f t="shared" si="38"/>
        <v>1.6701223832333154</v>
      </c>
      <c r="J303" s="7">
        <f t="shared" si="39"/>
        <v>0.94597682005806627</v>
      </c>
      <c r="K303" s="7">
        <f t="shared" si="42"/>
        <v>0.35966226427583892</v>
      </c>
      <c r="L303" s="7">
        <f t="shared" si="43"/>
        <v>0.52414004075333165</v>
      </c>
      <c r="M303" s="7">
        <f t="shared" si="44"/>
        <v>0.37198295225777689</v>
      </c>
      <c r="N303" s="7">
        <f t="shared" si="40"/>
        <v>0.91678456444786705</v>
      </c>
      <c r="O303" s="7">
        <f t="shared" si="41"/>
        <v>8.3215435552132941E-2</v>
      </c>
    </row>
    <row r="304" spans="1:15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4">
        <f>IF(SUMIFS('Daily NSE Equity Cash'!$H:$H,'Daily NSE Equity Cash'!$A:$A,$A304)=0,"",SUMIFS('Daily NSE Equity Cash'!$H:$H,'Daily NSE Equity Cash'!$A:$A,$A304))</f>
        <v>608.12800000000004</v>
      </c>
      <c r="F304" s="4">
        <f>IF(SUMIFS('Daily BSE Equity Cash'!$H:$H,'Daily BSE Equity Cash'!$A:$A,$A304)=0,"",SUMIFS('Daily BSE Equity Cash'!$H:$H,'Daily BSE Equity Cash'!$A:$A,$A304))</f>
        <v>62.540399999999998</v>
      </c>
      <c r="G304" s="4">
        <f t="shared" si="36"/>
        <v>670.66840000000002</v>
      </c>
      <c r="H304" s="7" t="str">
        <f t="shared" si="37"/>
        <v/>
      </c>
      <c r="I304" s="7" t="str">
        <f t="shared" si="38"/>
        <v/>
      </c>
      <c r="J304" s="7" t="str">
        <f t="shared" si="39"/>
        <v/>
      </c>
      <c r="K304" s="7">
        <f t="shared" si="42"/>
        <v>-0.3740696005438684</v>
      </c>
      <c r="L304" s="7">
        <f t="shared" si="43"/>
        <v>-0.29082225084819568</v>
      </c>
      <c r="M304" s="7">
        <f t="shared" si="44"/>
        <v>-0.36714213608038226</v>
      </c>
      <c r="N304" s="7">
        <f t="shared" si="40"/>
        <v>0.90674914756681546</v>
      </c>
      <c r="O304" s="7">
        <f t="shared" si="41"/>
        <v>9.3250852433184567E-2</v>
      </c>
    </row>
    <row r="305" spans="1:15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4">
        <f>IF(SUMIFS('Daily NSE Equity Cash'!$H:$H,'Daily NSE Equity Cash'!$A:$A,$A305)=0,"",SUMIFS('Daily NSE Equity Cash'!$H:$H,'Daily NSE Equity Cash'!$A:$A,$A305))</f>
        <v>649.56320000000005</v>
      </c>
      <c r="F305" s="4">
        <f>IF(SUMIFS('Daily BSE Equity Cash'!$H:$H,'Daily BSE Equity Cash'!$A:$A,$A305)=0,"",SUMIFS('Daily BSE Equity Cash'!$H:$H,'Daily BSE Equity Cash'!$A:$A,$A305))</f>
        <v>54.982799999999997</v>
      </c>
      <c r="G305" s="4">
        <f t="shared" si="36"/>
        <v>704.54600000000005</v>
      </c>
      <c r="H305" s="7">
        <f t="shared" si="37"/>
        <v>-7.2763629262588281E-2</v>
      </c>
      <c r="I305" s="7">
        <f t="shared" si="38"/>
        <v>0.20580546685848633</v>
      </c>
      <c r="J305" s="7">
        <f t="shared" si="39"/>
        <v>-5.5739496005549505E-2</v>
      </c>
      <c r="K305" s="7">
        <f t="shared" si="42"/>
        <v>6.8135655651441862E-2</v>
      </c>
      <c r="L305" s="7">
        <f t="shared" si="43"/>
        <v>-0.12084348677015178</v>
      </c>
      <c r="M305" s="7">
        <f t="shared" si="44"/>
        <v>5.0513189528536007E-2</v>
      </c>
      <c r="N305" s="7">
        <f t="shared" si="40"/>
        <v>0.92195995719229118</v>
      </c>
      <c r="O305" s="7">
        <f t="shared" si="41"/>
        <v>7.8040042807708779E-2</v>
      </c>
    </row>
    <row r="306" spans="1:15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4">
        <f>IF(SUMIFS('Daily NSE Equity Cash'!$H:$H,'Daily NSE Equity Cash'!$A:$A,$A306)=0,"",SUMIFS('Daily NSE Equity Cash'!$H:$H,'Daily NSE Equity Cash'!$A:$A,$A306))</f>
        <v>640.39099999999996</v>
      </c>
      <c r="F306" s="4">
        <f>IF(SUMIFS('Daily BSE Equity Cash'!$H:$H,'Daily BSE Equity Cash'!$A:$A,$A306)=0,"",SUMIFS('Daily BSE Equity Cash'!$H:$H,'Daily BSE Equity Cash'!$A:$A,$A306))</f>
        <v>129.27629999999999</v>
      </c>
      <c r="G306" s="4">
        <f t="shared" si="36"/>
        <v>769.66729999999995</v>
      </c>
      <c r="H306" s="7">
        <f t="shared" si="37"/>
        <v>-1.049043218565715E-2</v>
      </c>
      <c r="I306" s="7">
        <f t="shared" si="38"/>
        <v>-0.42551960457126714</v>
      </c>
      <c r="J306" s="7">
        <f t="shared" si="39"/>
        <v>-0.11756844867629079</v>
      </c>
      <c r="K306" s="7">
        <f t="shared" si="42"/>
        <v>-1.4120565943391061E-2</v>
      </c>
      <c r="L306" s="7">
        <f t="shared" si="43"/>
        <v>1.3512134703943777</v>
      </c>
      <c r="M306" s="7">
        <f t="shared" si="44"/>
        <v>9.2430160699230379E-2</v>
      </c>
      <c r="N306" s="7">
        <f t="shared" si="40"/>
        <v>0.83203612781782466</v>
      </c>
      <c r="O306" s="7">
        <f t="shared" si="41"/>
        <v>0.16796387218217534</v>
      </c>
    </row>
    <row r="307" spans="1:15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4">
        <f>IF(SUMIFS('Daily NSE Equity Cash'!$H:$H,'Daily NSE Equity Cash'!$A:$A,$A307)=0,"",SUMIFS('Daily NSE Equity Cash'!$H:$H,'Daily NSE Equity Cash'!$A:$A,$A307))</f>
        <v>635.4348</v>
      </c>
      <c r="F307" s="4">
        <f>IF(SUMIFS('Daily BSE Equity Cash'!$H:$H,'Daily BSE Equity Cash'!$A:$A,$A307)=0,"",SUMIFS('Daily BSE Equity Cash'!$H:$H,'Daily BSE Equity Cash'!$A:$A,$A307))</f>
        <v>44.2879</v>
      </c>
      <c r="G307" s="4">
        <f t="shared" si="36"/>
        <v>679.72270000000003</v>
      </c>
      <c r="H307" s="7">
        <f t="shared" si="37"/>
        <v>-0.14672802082224112</v>
      </c>
      <c r="I307" s="7">
        <f t="shared" si="38"/>
        <v>-0.41637290650585956</v>
      </c>
      <c r="J307" s="7">
        <f t="shared" si="39"/>
        <v>-0.17166345189715271</v>
      </c>
      <c r="K307" s="7">
        <f t="shared" si="42"/>
        <v>-7.7393342504813445E-3</v>
      </c>
      <c r="L307" s="7">
        <f t="shared" si="43"/>
        <v>-0.65741671133842783</v>
      </c>
      <c r="M307" s="7">
        <f t="shared" si="44"/>
        <v>-0.116861662175332</v>
      </c>
      <c r="N307" s="7">
        <f t="shared" si="40"/>
        <v>0.93484416512792634</v>
      </c>
      <c r="O307" s="7">
        <f t="shared" si="41"/>
        <v>6.5155834872073562E-2</v>
      </c>
    </row>
    <row r="308" spans="1:15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4">
        <f>IF(SUMIFS('Daily NSE Equity Cash'!$H:$H,'Daily NSE Equity Cash'!$A:$A,$A308)=0,"",SUMIFS('Daily NSE Equity Cash'!$H:$H,'Daily NSE Equity Cash'!$A:$A,$A308))</f>
        <v>635.81529999999998</v>
      </c>
      <c r="F308" s="4">
        <f>IF(SUMIFS('Daily BSE Equity Cash'!$H:$H,'Daily BSE Equity Cash'!$A:$A,$A308)=0,"",SUMIFS('Daily BSE Equity Cash'!$H:$H,'Daily BSE Equity Cash'!$A:$A,$A308))</f>
        <v>50.716999999999999</v>
      </c>
      <c r="G308" s="4">
        <f t="shared" si="36"/>
        <v>686.53229999999996</v>
      </c>
      <c r="H308" s="7">
        <f t="shared" si="37"/>
        <v>-7.2711089513457838E-2</v>
      </c>
      <c r="I308" s="7">
        <f t="shared" si="38"/>
        <v>0.36411194340967468</v>
      </c>
      <c r="J308" s="7">
        <f t="shared" si="39"/>
        <v>-5.0243293670463318E-2</v>
      </c>
      <c r="K308" s="7">
        <f t="shared" si="42"/>
        <v>5.9880258367961403E-4</v>
      </c>
      <c r="L308" s="7">
        <f t="shared" si="43"/>
        <v>0.14516606115891695</v>
      </c>
      <c r="M308" s="7">
        <f t="shared" si="44"/>
        <v>1.0018203011316063E-2</v>
      </c>
      <c r="N308" s="7">
        <f t="shared" si="40"/>
        <v>0.92612583559433403</v>
      </c>
      <c r="O308" s="7">
        <f t="shared" si="41"/>
        <v>7.3874164405665979E-2</v>
      </c>
    </row>
    <row r="309" spans="1:15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4">
        <f>IF(SUMIFS('Daily NSE Equity Cash'!$H:$H,'Daily NSE Equity Cash'!$A:$A,$A309)=0,"",SUMIFS('Daily NSE Equity Cash'!$H:$H,'Daily NSE Equity Cash'!$A:$A,$A309))</f>
        <v>581.49639999999999</v>
      </c>
      <c r="F309" s="4">
        <f>IF(SUMIFS('Daily BSE Equity Cash'!$H:$H,'Daily BSE Equity Cash'!$A:$A,$A309)=0,"",SUMIFS('Daily BSE Equity Cash'!$H:$H,'Daily BSE Equity Cash'!$A:$A,$A309))</f>
        <v>50.2196</v>
      </c>
      <c r="G309" s="4">
        <f t="shared" si="36"/>
        <v>631.71600000000001</v>
      </c>
      <c r="H309" s="7" t="str">
        <f t="shared" si="37"/>
        <v/>
      </c>
      <c r="I309" s="7" t="str">
        <f t="shared" si="38"/>
        <v/>
      </c>
      <c r="J309" s="7" t="str">
        <f t="shared" si="39"/>
        <v/>
      </c>
      <c r="K309" s="7">
        <f t="shared" si="42"/>
        <v>-8.5431885643519445E-2</v>
      </c>
      <c r="L309" s="7">
        <f t="shared" si="43"/>
        <v>-9.8073624228561807E-3</v>
      </c>
      <c r="M309" s="7">
        <f t="shared" si="44"/>
        <v>-7.9845187182015942E-2</v>
      </c>
      <c r="N309" s="7">
        <f t="shared" si="40"/>
        <v>0.92050288420746029</v>
      </c>
      <c r="O309" s="7">
        <f t="shared" si="41"/>
        <v>7.949711579253968E-2</v>
      </c>
    </row>
    <row r="310" spans="1:15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4">
        <f>IF(SUMIFS('Daily NSE Equity Cash'!$H:$H,'Daily NSE Equity Cash'!$A:$A,$A310)=0,"",SUMIFS('Daily NSE Equity Cash'!$H:$H,'Daily NSE Equity Cash'!$A:$A,$A310))</f>
        <v>631.14329999999995</v>
      </c>
      <c r="F310" s="4">
        <f>IF(SUMIFS('Daily BSE Equity Cash'!$H:$H,'Daily BSE Equity Cash'!$A:$A,$A310)=0,"",SUMIFS('Daily BSE Equity Cash'!$H:$H,'Daily BSE Equity Cash'!$A:$A,$A310))</f>
        <v>135.08369999999999</v>
      </c>
      <c r="G310" s="4">
        <f t="shared" si="36"/>
        <v>766.22699999999998</v>
      </c>
      <c r="H310" s="7">
        <f t="shared" si="37"/>
        <v>0.28439332096172909</v>
      </c>
      <c r="I310" s="7">
        <f t="shared" si="38"/>
        <v>2.1952961268621767</v>
      </c>
      <c r="J310" s="7">
        <f t="shared" si="39"/>
        <v>0.435769564669096</v>
      </c>
      <c r="K310" s="7">
        <f t="shared" si="42"/>
        <v>8.5377828650357923E-2</v>
      </c>
      <c r="L310" s="7">
        <f t="shared" si="43"/>
        <v>1.6898601342901975</v>
      </c>
      <c r="M310" s="7">
        <f t="shared" si="44"/>
        <v>0.21292954428888922</v>
      </c>
      <c r="N310" s="7">
        <f t="shared" si="40"/>
        <v>0.82370276693460287</v>
      </c>
      <c r="O310" s="7">
        <f t="shared" si="41"/>
        <v>0.17629723306539707</v>
      </c>
    </row>
    <row r="311" spans="1:15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4">
        <f>IF(SUMIFS('Daily NSE Equity Cash'!$H:$H,'Daily NSE Equity Cash'!$A:$A,$A311)=0,"",SUMIFS('Daily NSE Equity Cash'!$H:$H,'Daily NSE Equity Cash'!$A:$A,$A311))</f>
        <v>584.95849999999996</v>
      </c>
      <c r="F311" s="4">
        <f>IF(SUMIFS('Daily BSE Equity Cash'!$H:$H,'Daily BSE Equity Cash'!$A:$A,$A311)=0,"",SUMIFS('Daily BSE Equity Cash'!$H:$H,'Daily BSE Equity Cash'!$A:$A,$A311))</f>
        <v>56.287999999999997</v>
      </c>
      <c r="G311" s="4">
        <f t="shared" si="36"/>
        <v>641.24649999999997</v>
      </c>
      <c r="H311" s="7">
        <f t="shared" si="37"/>
        <v>0.18939791049643895</v>
      </c>
      <c r="I311" s="7">
        <f t="shared" si="38"/>
        <v>0.88377035190174169</v>
      </c>
      <c r="J311" s="7">
        <f t="shared" si="39"/>
        <v>0.22916894691130429</v>
      </c>
      <c r="K311" s="7">
        <f t="shared" si="42"/>
        <v>-7.3176408590568842E-2</v>
      </c>
      <c r="L311" s="7">
        <f t="shared" si="43"/>
        <v>-0.58331019952814445</v>
      </c>
      <c r="M311" s="7">
        <f t="shared" si="44"/>
        <v>-0.16311158442602525</v>
      </c>
      <c r="N311" s="7">
        <f t="shared" si="40"/>
        <v>0.91222096338927383</v>
      </c>
      <c r="O311" s="7">
        <f t="shared" si="41"/>
        <v>8.7779036610726141E-2</v>
      </c>
    </row>
    <row r="312" spans="1:15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4">
        <f>IF(SUMIFS('Daily NSE Equity Cash'!$H:$H,'Daily NSE Equity Cash'!$A:$A,$A312)=0,"",SUMIFS('Daily NSE Equity Cash'!$H:$H,'Daily NSE Equity Cash'!$A:$A,$A312))</f>
        <v>531.06320000000005</v>
      </c>
      <c r="F312" s="4">
        <f>IF(SUMIFS('Daily BSE Equity Cash'!$H:$H,'Daily BSE Equity Cash'!$A:$A,$A312)=0,"",SUMIFS('Daily BSE Equity Cash'!$H:$H,'Daily BSE Equity Cash'!$A:$A,$A312))</f>
        <v>44.621499999999997</v>
      </c>
      <c r="G312" s="4">
        <f t="shared" si="36"/>
        <v>575.68470000000002</v>
      </c>
      <c r="H312" s="7">
        <f t="shared" si="37"/>
        <v>6.9711725847988237E-2</v>
      </c>
      <c r="I312" s="7">
        <f t="shared" si="38"/>
        <v>0.43856329046588916</v>
      </c>
      <c r="J312" s="7">
        <f t="shared" si="39"/>
        <v>9.1402093682212193E-2</v>
      </c>
      <c r="K312" s="7">
        <f t="shared" si="42"/>
        <v>-9.2135254039388936E-2</v>
      </c>
      <c r="L312" s="7">
        <f t="shared" si="43"/>
        <v>-0.20726442581011939</v>
      </c>
      <c r="M312" s="7">
        <f t="shared" si="44"/>
        <v>-0.10224118182321451</v>
      </c>
      <c r="N312" s="7">
        <f t="shared" si="40"/>
        <v>0.92248968923440211</v>
      </c>
      <c r="O312" s="7">
        <f t="shared" si="41"/>
        <v>7.7510310765597903E-2</v>
      </c>
    </row>
    <row r="313" spans="1:15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4">
        <f>IF(SUMIFS('Daily NSE Equity Cash'!$H:$H,'Daily NSE Equity Cash'!$A:$A,$A313)=0,"",SUMIFS('Daily NSE Equity Cash'!$H:$H,'Daily NSE Equity Cash'!$A:$A,$A313))</f>
        <v>599.64210000000003</v>
      </c>
      <c r="F313" s="4">
        <f>IF(SUMIFS('Daily BSE Equity Cash'!$H:$H,'Daily BSE Equity Cash'!$A:$A,$A313)=0,"",SUMIFS('Daily BSE Equity Cash'!$H:$H,'Daily BSE Equity Cash'!$A:$A,$A313))</f>
        <v>50.929699999999997</v>
      </c>
      <c r="G313" s="4">
        <f t="shared" si="36"/>
        <v>650.57180000000005</v>
      </c>
      <c r="H313" s="7">
        <f t="shared" si="37"/>
        <v>0.12823092415117698</v>
      </c>
      <c r="I313" s="7">
        <f t="shared" si="38"/>
        <v>0.50055390888788032</v>
      </c>
      <c r="J313" s="7">
        <f t="shared" si="39"/>
        <v>0.15058007241929783</v>
      </c>
      <c r="K313" s="7">
        <f t="shared" si="42"/>
        <v>0.1291351010576518</v>
      </c>
      <c r="L313" s="7">
        <f t="shared" si="43"/>
        <v>0.14137131203567788</v>
      </c>
      <c r="M313" s="7">
        <f t="shared" si="44"/>
        <v>0.13008353357315205</v>
      </c>
      <c r="N313" s="7">
        <f t="shared" si="40"/>
        <v>0.92171548167319883</v>
      </c>
      <c r="O313" s="7">
        <f t="shared" si="41"/>
        <v>7.8284518326801125E-2</v>
      </c>
    </row>
    <row r="314" spans="1:15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4">
        <f>IF(SUMIFS('Daily NSE Equity Cash'!$H:$H,'Daily NSE Equity Cash'!$A:$A,$A314)=0,"",SUMIFS('Daily NSE Equity Cash'!$H:$H,'Daily NSE Equity Cash'!$A:$A,$A314))</f>
        <v>580.399</v>
      </c>
      <c r="F314" s="4">
        <f>IF(SUMIFS('Daily BSE Equity Cash'!$H:$H,'Daily BSE Equity Cash'!$A:$A,$A314)=0,"",SUMIFS('Daily BSE Equity Cash'!$H:$H,'Daily BSE Equity Cash'!$A:$A,$A314))</f>
        <v>56.101999999999997</v>
      </c>
      <c r="G314" s="4">
        <f t="shared" si="36"/>
        <v>636.50099999999998</v>
      </c>
      <c r="H314" s="7" t="str">
        <f t="shared" si="37"/>
        <v/>
      </c>
      <c r="I314" s="7" t="str">
        <f t="shared" si="38"/>
        <v/>
      </c>
      <c r="J314" s="7" t="str">
        <f t="shared" si="39"/>
        <v/>
      </c>
      <c r="K314" s="7">
        <f t="shared" si="42"/>
        <v>-3.2090975600278959E-2</v>
      </c>
      <c r="L314" s="7">
        <f t="shared" si="43"/>
        <v>0.10155763729218914</v>
      </c>
      <c r="M314" s="7">
        <f t="shared" si="44"/>
        <v>-2.1628358314947027E-2</v>
      </c>
      <c r="N314" s="7">
        <f t="shared" si="40"/>
        <v>0.91185874020622126</v>
      </c>
      <c r="O314" s="7">
        <f t="shared" si="41"/>
        <v>8.8141259793778792E-2</v>
      </c>
    </row>
    <row r="315" spans="1:15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4">
        <f>IF(SUMIFS('Daily NSE Equity Cash'!$H:$H,'Daily NSE Equity Cash'!$A:$A,$A315)=0,"",SUMIFS('Daily NSE Equity Cash'!$H:$H,'Daily NSE Equity Cash'!$A:$A,$A315))</f>
        <v>677.49590000000001</v>
      </c>
      <c r="F315" s="4">
        <f>IF(SUMIFS('Daily BSE Equity Cash'!$H:$H,'Daily BSE Equity Cash'!$A:$A,$A315)=0,"",SUMIFS('Daily BSE Equity Cash'!$H:$H,'Daily BSE Equity Cash'!$A:$A,$A315))</f>
        <v>59.753999999999998</v>
      </c>
      <c r="G315" s="4">
        <f t="shared" si="36"/>
        <v>737.24990000000003</v>
      </c>
      <c r="H315" s="7">
        <f t="shared" si="37"/>
        <v>0.25129521381763342</v>
      </c>
      <c r="I315" s="7">
        <f t="shared" si="38"/>
        <v>0.60455636650716138</v>
      </c>
      <c r="J315" s="7">
        <f t="shared" si="39"/>
        <v>0.27402903767030917</v>
      </c>
      <c r="K315" s="7">
        <f t="shared" si="42"/>
        <v>0.16729336198029277</v>
      </c>
      <c r="L315" s="7">
        <f t="shared" si="43"/>
        <v>6.5095718512709011E-2</v>
      </c>
      <c r="M315" s="7">
        <f t="shared" si="44"/>
        <v>0.15828553293710468</v>
      </c>
      <c r="N315" s="7">
        <f t="shared" si="40"/>
        <v>0.91895014160056177</v>
      </c>
      <c r="O315" s="7">
        <f t="shared" si="41"/>
        <v>8.1049858399438235E-2</v>
      </c>
    </row>
    <row r="316" spans="1:15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4">
        <f>IF(SUMIFS('Daily NSE Equity Cash'!$H:$H,'Daily NSE Equity Cash'!$A:$A,$A316)=0,"",SUMIFS('Daily NSE Equity Cash'!$H:$H,'Daily NSE Equity Cash'!$A:$A,$A316))</f>
        <v>589.41499999999996</v>
      </c>
      <c r="F316" s="4">
        <f>IF(SUMIFS('Daily BSE Equity Cash'!$H:$H,'Daily BSE Equity Cash'!$A:$A,$A316)=0,"",SUMIFS('Daily BSE Equity Cash'!$H:$H,'Daily BSE Equity Cash'!$A:$A,$A316))</f>
        <v>52.0276</v>
      </c>
      <c r="G316" s="4">
        <f t="shared" si="36"/>
        <v>641.44259999999997</v>
      </c>
      <c r="H316" s="7">
        <f t="shared" si="37"/>
        <v>-9.8065925510159802E-2</v>
      </c>
      <c r="I316" s="7">
        <f t="shared" si="38"/>
        <v>0.40216087728707217</v>
      </c>
      <c r="J316" s="7">
        <f t="shared" si="39"/>
        <v>-7.1189454486744741E-2</v>
      </c>
      <c r="K316" s="7">
        <f t="shared" si="42"/>
        <v>-0.13000949526041417</v>
      </c>
      <c r="L316" s="7">
        <f t="shared" si="43"/>
        <v>-0.12930347759145833</v>
      </c>
      <c r="M316" s="7">
        <f t="shared" si="44"/>
        <v>-0.12995227262831788</v>
      </c>
      <c r="N316" s="7">
        <f t="shared" si="40"/>
        <v>0.91888970267955383</v>
      </c>
      <c r="O316" s="7">
        <f t="shared" si="41"/>
        <v>8.111029732044614E-2</v>
      </c>
    </row>
    <row r="317" spans="1:15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4">
        <f>IF(SUMIFS('Daily NSE Equity Cash'!$H:$H,'Daily NSE Equity Cash'!$A:$A,$A317)=0,"",SUMIFS('Daily NSE Equity Cash'!$H:$H,'Daily NSE Equity Cash'!$A:$A,$A317))</f>
        <v>560.3999</v>
      </c>
      <c r="F317" s="4">
        <f>IF(SUMIFS('Daily BSE Equity Cash'!$H:$H,'Daily BSE Equity Cash'!$A:$A,$A317)=0,"",SUMIFS('Daily BSE Equity Cash'!$H:$H,'Daily BSE Equity Cash'!$A:$A,$A317))</f>
        <v>47.394199999999998</v>
      </c>
      <c r="G317" s="4">
        <f t="shared" si="36"/>
        <v>607.79409999999996</v>
      </c>
      <c r="H317" s="7">
        <f t="shared" si="37"/>
        <v>-0.15189253308134276</v>
      </c>
      <c r="I317" s="7">
        <f t="shared" si="38"/>
        <v>0.22872668633561299</v>
      </c>
      <c r="J317" s="7">
        <f t="shared" si="39"/>
        <v>-0.13089955200425563</v>
      </c>
      <c r="K317" s="7">
        <f t="shared" si="42"/>
        <v>-4.92269453610783E-2</v>
      </c>
      <c r="L317" s="7">
        <f t="shared" si="43"/>
        <v>-8.9056577662625203E-2</v>
      </c>
      <c r="M317" s="7">
        <f t="shared" si="44"/>
        <v>-5.2457538679220872E-2</v>
      </c>
      <c r="N317" s="7">
        <f t="shared" si="40"/>
        <v>0.92202260601081854</v>
      </c>
      <c r="O317" s="7">
        <f t="shared" si="41"/>
        <v>7.7977393989181534E-2</v>
      </c>
    </row>
    <row r="318" spans="1:15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4">
        <f>IF(SUMIFS('Daily NSE Equity Cash'!$H:$H,'Daily NSE Equity Cash'!$A:$A,$A318)=0,"",SUMIFS('Daily NSE Equity Cash'!$H:$H,'Daily NSE Equity Cash'!$A:$A,$A318))</f>
        <v>523.12549999999999</v>
      </c>
      <c r="F318" s="4">
        <f>IF(SUMIFS('Daily BSE Equity Cash'!$H:$H,'Daily BSE Equity Cash'!$A:$A,$A318)=0,"",SUMIFS('Daily BSE Equity Cash'!$H:$H,'Daily BSE Equity Cash'!$A:$A,$A318))</f>
        <v>43.992100000000001</v>
      </c>
      <c r="G318" s="4">
        <f t="shared" si="36"/>
        <v>567.11760000000004</v>
      </c>
      <c r="H318" s="7">
        <f t="shared" si="37"/>
        <v>-7.7993299415672901E-3</v>
      </c>
      <c r="I318" s="7">
        <f t="shared" si="38"/>
        <v>0.506558129340694</v>
      </c>
      <c r="J318" s="7">
        <f t="shared" si="39"/>
        <v>1.9192794165747262E-2</v>
      </c>
      <c r="K318" s="7">
        <f t="shared" si="42"/>
        <v>-6.6513930498560025E-2</v>
      </c>
      <c r="L318" s="7">
        <f t="shared" si="43"/>
        <v>-7.178304518274381E-2</v>
      </c>
      <c r="M318" s="7">
        <f t="shared" si="44"/>
        <v>-6.6924802330262656E-2</v>
      </c>
      <c r="N318" s="7">
        <f t="shared" si="40"/>
        <v>0.92242861092655204</v>
      </c>
      <c r="O318" s="7">
        <f t="shared" si="41"/>
        <v>7.7571389073447905E-2</v>
      </c>
    </row>
    <row r="319" spans="1:15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4">
        <f>IF(SUMIFS('Daily NSE Equity Cash'!$H:$H,'Daily NSE Equity Cash'!$A:$A,$A319)=0,"",SUMIFS('Daily NSE Equity Cash'!$H:$H,'Daily NSE Equity Cash'!$A:$A,$A319))</f>
        <v>557.52729999999997</v>
      </c>
      <c r="F319" s="4">
        <f>IF(SUMIFS('Daily BSE Equity Cash'!$H:$H,'Daily BSE Equity Cash'!$A:$A,$A319)=0,"",SUMIFS('Daily BSE Equity Cash'!$H:$H,'Daily BSE Equity Cash'!$A:$A,$A319))</f>
        <v>85.008600000000001</v>
      </c>
      <c r="G319" s="4">
        <f t="shared" si="36"/>
        <v>642.53589999999997</v>
      </c>
      <c r="H319" s="7" t="str">
        <f t="shared" si="37"/>
        <v/>
      </c>
      <c r="I319" s="7" t="str">
        <f t="shared" si="38"/>
        <v/>
      </c>
      <c r="J319" s="7" t="str">
        <f t="shared" si="39"/>
        <v/>
      </c>
      <c r="K319" s="7">
        <f t="shared" si="42"/>
        <v>6.5762039892912849E-2</v>
      </c>
      <c r="L319" s="7">
        <f t="shared" si="43"/>
        <v>0.93236058292284296</v>
      </c>
      <c r="M319" s="7">
        <f t="shared" si="44"/>
        <v>0.13298529264477055</v>
      </c>
      <c r="N319" s="7">
        <f t="shared" si="40"/>
        <v>0.86769828736417687</v>
      </c>
      <c r="O319" s="7">
        <f t="shared" si="41"/>
        <v>0.13230171263582316</v>
      </c>
    </row>
    <row r="320" spans="1:15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4">
        <f>IF(SUMIFS('Daily NSE Equity Cash'!$H:$H,'Daily NSE Equity Cash'!$A:$A,$A320)=0,"",SUMIFS('Daily NSE Equity Cash'!$H:$H,'Daily NSE Equity Cash'!$A:$A,$A320))</f>
        <v>558.46140000000003</v>
      </c>
      <c r="F320" s="4">
        <f>IF(SUMIFS('Daily BSE Equity Cash'!$H:$H,'Daily BSE Equity Cash'!$A:$A,$A320)=0,"",SUMIFS('Daily BSE Equity Cash'!$H:$H,'Daily BSE Equity Cash'!$A:$A,$A320))</f>
        <v>46.717399999999998</v>
      </c>
      <c r="G320" s="4">
        <f t="shared" si="36"/>
        <v>605.17880000000002</v>
      </c>
      <c r="H320" s="7">
        <f t="shared" si="37"/>
        <v>6.668981648610961E-2</v>
      </c>
      <c r="I320" s="7">
        <f t="shared" si="38"/>
        <v>0.46307350223920318</v>
      </c>
      <c r="J320" s="7">
        <f t="shared" si="39"/>
        <v>8.9475499624467103E-2</v>
      </c>
      <c r="K320" s="7">
        <f t="shared" si="42"/>
        <v>1.6754336514104295E-3</v>
      </c>
      <c r="L320" s="7">
        <f t="shared" si="43"/>
        <v>-0.45043913204075825</v>
      </c>
      <c r="M320" s="7">
        <f t="shared" si="44"/>
        <v>-5.8140097697264803E-2</v>
      </c>
      <c r="N320" s="7">
        <f t="shared" si="40"/>
        <v>0.92280397132219438</v>
      </c>
      <c r="O320" s="7">
        <f t="shared" si="41"/>
        <v>7.7196028677805631E-2</v>
      </c>
    </row>
    <row r="321" spans="1:15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4">
        <f>IF(SUMIFS('Daily NSE Equity Cash'!$H:$H,'Daily NSE Equity Cash'!$A:$A,$A321)=0,"",SUMIFS('Daily NSE Equity Cash'!$H:$H,'Daily NSE Equity Cash'!$A:$A,$A321))</f>
        <v>579.70249999999999</v>
      </c>
      <c r="F321" s="4">
        <f>IF(SUMIFS('Daily BSE Equity Cash'!$H:$H,'Daily BSE Equity Cash'!$A:$A,$A321)=0,"",SUMIFS('Daily BSE Equity Cash'!$H:$H,'Daily BSE Equity Cash'!$A:$A,$A321))</f>
        <v>45.037599999999998</v>
      </c>
      <c r="G321" s="4">
        <f t="shared" si="36"/>
        <v>624.74009999999998</v>
      </c>
      <c r="H321" s="7">
        <f t="shared" si="37"/>
        <v>7.1362962973914756E-2</v>
      </c>
      <c r="I321" s="7">
        <f t="shared" si="38"/>
        <v>0.45612792881922548</v>
      </c>
      <c r="J321" s="7">
        <f t="shared" si="39"/>
        <v>9.2167648423958193E-2</v>
      </c>
      <c r="K321" s="7">
        <f t="shared" si="42"/>
        <v>3.8035036978383729E-2</v>
      </c>
      <c r="L321" s="7">
        <f t="shared" si="43"/>
        <v>-3.5956624298441264E-2</v>
      </c>
      <c r="M321" s="7">
        <f t="shared" si="44"/>
        <v>3.2323174572539415E-2</v>
      </c>
      <c r="N321" s="7">
        <f t="shared" si="40"/>
        <v>0.92790986203702952</v>
      </c>
      <c r="O321" s="7">
        <f t="shared" si="41"/>
        <v>7.2090137962970521E-2</v>
      </c>
    </row>
    <row r="322" spans="1:15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4">
        <f>IF(SUMIFS('Daily NSE Equity Cash'!$H:$H,'Daily NSE Equity Cash'!$A:$A,$A322)=0,"",SUMIFS('Daily NSE Equity Cash'!$H:$H,'Daily NSE Equity Cash'!$A:$A,$A322))</f>
        <v>620.13720000000001</v>
      </c>
      <c r="F322" s="4">
        <f>IF(SUMIFS('Daily BSE Equity Cash'!$H:$H,'Daily BSE Equity Cash'!$A:$A,$A322)=0,"",SUMIFS('Daily BSE Equity Cash'!$H:$H,'Daily BSE Equity Cash'!$A:$A,$A322))</f>
        <v>49.297199999999997</v>
      </c>
      <c r="G322" s="4">
        <f t="shared" ref="G322:G385" si="45">IF(OR(E322="",F322=""),"",E322+F322)</f>
        <v>669.43439999999998</v>
      </c>
      <c r="H322" s="7">
        <f t="shared" ref="H322:H385" si="46">IFERROR(IF(OR(E322="",INDEX(E:E,MATCH(DATE(YEAR($A322)-1,MONTH($A322),DAY($A322)),$A:$A,0))=""),"",E322/INDEX(E:E,MATCH(DATE(YEAR($A322)-1,MONTH($A322),DAY($A322)),$A:$A,0))-1),"")</f>
        <v>-3.1593366695368941E-2</v>
      </c>
      <c r="I322" s="7">
        <f t="shared" ref="I322:I385" si="47">IFERROR(IF(OR(F322="",INDEX(F:F,MATCH(DATE(YEAR($A322)-1,MONTH($A322),DAY($A322)),$A:$A,0))=""),"",F322/INDEX(F:F,MATCH(DATE(YEAR($A322)-1,MONTH($A322),DAY($A322)),$A:$A,0))-1),"")</f>
        <v>0.37579084558731179</v>
      </c>
      <c r="J322" s="7">
        <f t="shared" ref="J322:J385" si="48">IFERROR(IF(OR(G322="",INDEX(G:G,MATCH(DATE(YEAR($A322)-1,MONTH($A322),DAY($A322)),$A:$A,0))=""),"",G322/INDEX(G:G,MATCH(DATE(YEAR($A322)-1,MONTH($A322),DAY($A322)),$A:$A,0))-1),"")</f>
        <v>-1.000605589614334E-2</v>
      </c>
      <c r="K322" s="7">
        <f t="shared" si="42"/>
        <v>6.9750777338376091E-2</v>
      </c>
      <c r="L322" s="7">
        <f t="shared" si="43"/>
        <v>9.4578751976126529E-2</v>
      </c>
      <c r="M322" s="7">
        <f t="shared" si="44"/>
        <v>7.1540629455352667E-2</v>
      </c>
      <c r="N322" s="7">
        <f t="shared" ref="N322:N385" si="49">IF(G322="","",E322/G322)</f>
        <v>0.92635992413894475</v>
      </c>
      <c r="O322" s="7">
        <f t="shared" ref="O322:O385" si="50">IF(G322="","",F322/G322)</f>
        <v>7.364007586105524E-2</v>
      </c>
    </row>
    <row r="323" spans="1:15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4">
        <f>IF(SUMIFS('Daily NSE Equity Cash'!$H:$H,'Daily NSE Equity Cash'!$A:$A,$A323)=0,"",SUMIFS('Daily NSE Equity Cash'!$H:$H,'Daily NSE Equity Cash'!$A:$A,$A323))</f>
        <v>631.77560000000005</v>
      </c>
      <c r="F323" s="4">
        <f>IF(SUMIFS('Daily BSE Equity Cash'!$H:$H,'Daily BSE Equity Cash'!$A:$A,$A323)=0,"",SUMIFS('Daily BSE Equity Cash'!$H:$H,'Daily BSE Equity Cash'!$A:$A,$A323))</f>
        <v>58.408200000000001</v>
      </c>
      <c r="G323" s="4">
        <f t="shared" si="45"/>
        <v>690.18380000000002</v>
      </c>
      <c r="H323" s="7">
        <f t="shared" si="46"/>
        <v>3.1474072233402373E-2</v>
      </c>
      <c r="I323" s="7">
        <f t="shared" si="47"/>
        <v>0.70806185591128701</v>
      </c>
      <c r="J323" s="7">
        <f t="shared" si="48"/>
        <v>6.7250415730236268E-2</v>
      </c>
      <c r="K323" s="7">
        <f t="shared" ref="K323:K386" si="51">IF(OR(E323="",E322=""),"",E323/E322-1)</f>
        <v>1.8767459845982604E-2</v>
      </c>
      <c r="L323" s="7">
        <f t="shared" ref="L323:L386" si="52">IF(OR(F323="",F322=""),"",F323/F322-1)</f>
        <v>0.18481779898249817</v>
      </c>
      <c r="M323" s="7">
        <f t="shared" ref="M323:M386" si="53">IF(OR(G323="",G322=""),"",G323/G322-1)</f>
        <v>3.0995419416749437E-2</v>
      </c>
      <c r="N323" s="7">
        <f t="shared" si="49"/>
        <v>0.91537297745904789</v>
      </c>
      <c r="O323" s="7">
        <f t="shared" si="50"/>
        <v>8.462702254095214E-2</v>
      </c>
    </row>
    <row r="324" spans="1:15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4">
        <f>IF(SUMIFS('Daily NSE Equity Cash'!$H:$H,'Daily NSE Equity Cash'!$A:$A,$A324)=0,"",SUMIFS('Daily NSE Equity Cash'!$H:$H,'Daily NSE Equity Cash'!$A:$A,$A324))</f>
        <v>659.21659999999997</v>
      </c>
      <c r="F324" s="4">
        <f>IF(SUMIFS('Daily BSE Equity Cash'!$H:$H,'Daily BSE Equity Cash'!$A:$A,$A324)=0,"",SUMIFS('Daily BSE Equity Cash'!$H:$H,'Daily BSE Equity Cash'!$A:$A,$A324))</f>
        <v>81.935199999999995</v>
      </c>
      <c r="G324" s="4">
        <f t="shared" si="45"/>
        <v>741.15179999999998</v>
      </c>
      <c r="H324" s="7" t="str">
        <f t="shared" si="46"/>
        <v/>
      </c>
      <c r="I324" s="7" t="str">
        <f t="shared" si="47"/>
        <v/>
      </c>
      <c r="J324" s="7" t="str">
        <f t="shared" si="48"/>
        <v/>
      </c>
      <c r="K324" s="7">
        <f t="shared" si="51"/>
        <v>4.343472587418673E-2</v>
      </c>
      <c r="L324" s="7">
        <f t="shared" si="52"/>
        <v>0.40280303108125226</v>
      </c>
      <c r="M324" s="7">
        <f t="shared" si="53"/>
        <v>7.3846995539448956E-2</v>
      </c>
      <c r="N324" s="7">
        <f t="shared" si="49"/>
        <v>0.88944882816178816</v>
      </c>
      <c r="O324" s="7">
        <f t="shared" si="50"/>
        <v>0.11055117183821182</v>
      </c>
    </row>
    <row r="325" spans="1:15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4">
        <f>IF(SUMIFS('Daily NSE Equity Cash'!$H:$H,'Daily NSE Equity Cash'!$A:$A,$A325)=0,"",SUMIFS('Daily NSE Equity Cash'!$H:$H,'Daily NSE Equity Cash'!$A:$A,$A325))</f>
        <v>639.40350000000001</v>
      </c>
      <c r="F325" s="4">
        <f>IF(SUMIFS('Daily BSE Equity Cash'!$H:$H,'Daily BSE Equity Cash'!$A:$A,$A325)=0,"",SUMIFS('Daily BSE Equity Cash'!$H:$H,'Daily BSE Equity Cash'!$A:$A,$A325))</f>
        <v>65.58</v>
      </c>
      <c r="G325" s="4">
        <f t="shared" si="45"/>
        <v>704.98350000000005</v>
      </c>
      <c r="H325" s="7">
        <f t="shared" si="46"/>
        <v>0.13503929124515657</v>
      </c>
      <c r="I325" s="7">
        <f t="shared" si="47"/>
        <v>0.7556775742843298</v>
      </c>
      <c r="J325" s="7">
        <f t="shared" si="48"/>
        <v>0.17363318892590418</v>
      </c>
      <c r="K325" s="7">
        <f t="shared" si="51"/>
        <v>-3.0055523480446267E-2</v>
      </c>
      <c r="L325" s="7">
        <f t="shared" si="52"/>
        <v>-0.19961140022847323</v>
      </c>
      <c r="M325" s="7">
        <f t="shared" si="53"/>
        <v>-4.8800124346995988E-2</v>
      </c>
      <c r="N325" s="7">
        <f t="shared" si="49"/>
        <v>0.90697654625959323</v>
      </c>
      <c r="O325" s="7">
        <f t="shared" si="50"/>
        <v>9.3023453740406686E-2</v>
      </c>
    </row>
    <row r="326" spans="1:15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4">
        <f>IF(SUMIFS('Daily NSE Equity Cash'!$H:$H,'Daily NSE Equity Cash'!$A:$A,$A326)=0,"",SUMIFS('Daily NSE Equity Cash'!$H:$H,'Daily NSE Equity Cash'!$A:$A,$A326))</f>
        <v>659.29549999999995</v>
      </c>
      <c r="F326" s="4">
        <f>IF(SUMIFS('Daily BSE Equity Cash'!$H:$H,'Daily BSE Equity Cash'!$A:$A,$A326)=0,"",SUMIFS('Daily BSE Equity Cash'!$H:$H,'Daily BSE Equity Cash'!$A:$A,$A326))</f>
        <v>49.997999999999998</v>
      </c>
      <c r="G326" s="4">
        <f t="shared" si="45"/>
        <v>709.29349999999999</v>
      </c>
      <c r="H326" s="7">
        <f t="shared" si="46"/>
        <v>3.9797034211834781E-3</v>
      </c>
      <c r="I326" s="7">
        <f t="shared" si="47"/>
        <v>0.32894939689863967</v>
      </c>
      <c r="J326" s="7">
        <f t="shared" si="48"/>
        <v>2.1588804793517768E-2</v>
      </c>
      <c r="K326" s="7">
        <f t="shared" si="51"/>
        <v>3.1110245721207352E-2</v>
      </c>
      <c r="L326" s="7">
        <f t="shared" si="52"/>
        <v>-0.23760292772186642</v>
      </c>
      <c r="M326" s="7">
        <f t="shared" si="53"/>
        <v>6.1136182619876411E-3</v>
      </c>
      <c r="N326" s="7">
        <f t="shared" si="49"/>
        <v>0.92951013931468418</v>
      </c>
      <c r="O326" s="7">
        <f t="shared" si="50"/>
        <v>7.0489860685315736E-2</v>
      </c>
    </row>
    <row r="327" spans="1:15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4">
        <f>IF(SUMIFS('Daily NSE Equity Cash'!$H:$H,'Daily NSE Equity Cash'!$A:$A,$A327)=0,"",SUMIFS('Daily NSE Equity Cash'!$H:$H,'Daily NSE Equity Cash'!$A:$A,$A327))</f>
        <v>680.29819999999995</v>
      </c>
      <c r="F327" s="4">
        <f>IF(SUMIFS('Daily BSE Equity Cash'!$H:$H,'Daily BSE Equity Cash'!$A:$A,$A327)=0,"",SUMIFS('Daily BSE Equity Cash'!$H:$H,'Daily BSE Equity Cash'!$A:$A,$A327))</f>
        <v>52.6404</v>
      </c>
      <c r="G327" s="4">
        <f t="shared" si="45"/>
        <v>732.93859999999995</v>
      </c>
      <c r="H327" s="7">
        <f t="shared" si="46"/>
        <v>0.20643478513770552</v>
      </c>
      <c r="I327" s="7">
        <f t="shared" si="47"/>
        <v>0.46756548793951369</v>
      </c>
      <c r="J327" s="7">
        <f t="shared" si="48"/>
        <v>0.22205193205422291</v>
      </c>
      <c r="K327" s="7">
        <f t="shared" si="51"/>
        <v>3.1856276889497881E-2</v>
      </c>
      <c r="L327" s="7">
        <f t="shared" si="52"/>
        <v>5.28501140045603E-2</v>
      </c>
      <c r="M327" s="7">
        <f t="shared" si="53"/>
        <v>3.3336129542988813E-2</v>
      </c>
      <c r="N327" s="7">
        <f t="shared" si="49"/>
        <v>0.92817897706574604</v>
      </c>
      <c r="O327" s="7">
        <f t="shared" si="50"/>
        <v>7.1821022934253978E-2</v>
      </c>
    </row>
    <row r="328" spans="1:15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4">
        <f>IF(SUMIFS('Daily NSE Equity Cash'!$H:$H,'Daily NSE Equity Cash'!$A:$A,$A328)=0,"",SUMIFS('Daily NSE Equity Cash'!$H:$H,'Daily NSE Equity Cash'!$A:$A,$A328))</f>
        <v>615.28480000000002</v>
      </c>
      <c r="F328" s="4">
        <f>IF(SUMIFS('Daily BSE Equity Cash'!$H:$H,'Daily BSE Equity Cash'!$A:$A,$A328)=0,"",SUMIFS('Daily BSE Equity Cash'!$H:$H,'Daily BSE Equity Cash'!$A:$A,$A328))</f>
        <v>52.645800000000001</v>
      </c>
      <c r="G328" s="4">
        <f t="shared" si="45"/>
        <v>667.93060000000003</v>
      </c>
      <c r="H328" s="7" t="str">
        <f t="shared" si="46"/>
        <v/>
      </c>
      <c r="I328" s="7" t="str">
        <f t="shared" si="47"/>
        <v/>
      </c>
      <c r="J328" s="7" t="str">
        <f t="shared" si="48"/>
        <v/>
      </c>
      <c r="K328" s="7">
        <f t="shared" si="51"/>
        <v>-9.5566032660383216E-2</v>
      </c>
      <c r="L328" s="7">
        <f t="shared" si="52"/>
        <v>1.0258280712149848E-4</v>
      </c>
      <c r="M328" s="7">
        <f t="shared" si="53"/>
        <v>-8.8695014834803243E-2</v>
      </c>
      <c r="N328" s="7">
        <f t="shared" si="49"/>
        <v>0.92118073344745699</v>
      </c>
      <c r="O328" s="7">
        <f t="shared" si="50"/>
        <v>7.8819266552543038E-2</v>
      </c>
    </row>
    <row r="329" spans="1:15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4">
        <f>IF(SUMIFS('Daily NSE Equity Cash'!$H:$H,'Daily NSE Equity Cash'!$A:$A,$A329)=0,"",SUMIFS('Daily NSE Equity Cash'!$H:$H,'Daily NSE Equity Cash'!$A:$A,$A329))</f>
        <v>707.11320000000001</v>
      </c>
      <c r="F329" s="4">
        <f>IF(SUMIFS('Daily BSE Equity Cash'!$H:$H,'Daily BSE Equity Cash'!$A:$A,$A329)=0,"",SUMIFS('Daily BSE Equity Cash'!$H:$H,'Daily BSE Equity Cash'!$A:$A,$A329))</f>
        <v>54.379800000000003</v>
      </c>
      <c r="G329" s="4">
        <f t="shared" si="45"/>
        <v>761.49300000000005</v>
      </c>
      <c r="H329" s="7">
        <f t="shared" si="46"/>
        <v>0.25511051724284828</v>
      </c>
      <c r="I329" s="7">
        <f t="shared" si="47"/>
        <v>0.61369180094364828</v>
      </c>
      <c r="J329" s="7">
        <f t="shared" si="48"/>
        <v>0.27534851751723632</v>
      </c>
      <c r="K329" s="7">
        <f t="shared" si="51"/>
        <v>0.1492453575970023</v>
      </c>
      <c r="L329" s="7">
        <f t="shared" si="52"/>
        <v>3.2937100395473262E-2</v>
      </c>
      <c r="M329" s="7">
        <f t="shared" si="53"/>
        <v>0.14007802607037312</v>
      </c>
      <c r="N329" s="7">
        <f t="shared" si="49"/>
        <v>0.92858791873333035</v>
      </c>
      <c r="O329" s="7">
        <f t="shared" si="50"/>
        <v>7.141208126666955E-2</v>
      </c>
    </row>
    <row r="330" spans="1:15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4">
        <f>IF(SUMIFS('Daily NSE Equity Cash'!$H:$H,'Daily NSE Equity Cash'!$A:$A,$A330)=0,"",SUMIFS('Daily NSE Equity Cash'!$H:$H,'Daily NSE Equity Cash'!$A:$A,$A330))</f>
        <v>676.25519999999995</v>
      </c>
      <c r="F330" s="4">
        <f>IF(SUMIFS('Daily BSE Equity Cash'!$H:$H,'Daily BSE Equity Cash'!$A:$A,$A330)=0,"",SUMIFS('Daily BSE Equity Cash'!$H:$H,'Daily BSE Equity Cash'!$A:$A,$A330))</f>
        <v>49.971699999999998</v>
      </c>
      <c r="G330" s="4">
        <f t="shared" si="45"/>
        <v>726.22689999999989</v>
      </c>
      <c r="H330" s="7">
        <f t="shared" si="46"/>
        <v>0.12164826707711884</v>
      </c>
      <c r="I330" s="7">
        <f t="shared" si="47"/>
        <v>0.56061585546759107</v>
      </c>
      <c r="J330" s="7">
        <f t="shared" si="48"/>
        <v>0.14378599299925554</v>
      </c>
      <c r="K330" s="7">
        <f t="shared" si="51"/>
        <v>-4.3639405967814016E-2</v>
      </c>
      <c r="L330" s="7">
        <f t="shared" si="52"/>
        <v>-8.1061349986575992E-2</v>
      </c>
      <c r="M330" s="7">
        <f t="shared" si="53"/>
        <v>-4.6311784875238682E-2</v>
      </c>
      <c r="N330" s="7">
        <f t="shared" si="49"/>
        <v>0.93118996280639021</v>
      </c>
      <c r="O330" s="7">
        <f t="shared" si="50"/>
        <v>6.8810037193609883E-2</v>
      </c>
    </row>
    <row r="331" spans="1:15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4">
        <f>IF(SUMIFS('Daily NSE Equity Cash'!$H:$H,'Daily NSE Equity Cash'!$A:$A,$A331)=0,"",SUMIFS('Daily NSE Equity Cash'!$H:$H,'Daily NSE Equity Cash'!$A:$A,$A331))</f>
        <v>743.56470000000002</v>
      </c>
      <c r="F331" s="4">
        <f>IF(SUMIFS('Daily BSE Equity Cash'!$H:$H,'Daily BSE Equity Cash'!$A:$A,$A331)=0,"",SUMIFS('Daily BSE Equity Cash'!$H:$H,'Daily BSE Equity Cash'!$A:$A,$A331))</f>
        <v>54.105600000000003</v>
      </c>
      <c r="G331" s="4">
        <f t="shared" si="45"/>
        <v>797.6703</v>
      </c>
      <c r="H331" s="7">
        <f t="shared" si="46"/>
        <v>0.18892624757638443</v>
      </c>
      <c r="I331" s="7">
        <f t="shared" si="47"/>
        <v>0.51470172422963967</v>
      </c>
      <c r="J331" s="7">
        <f t="shared" si="48"/>
        <v>0.20652765292819608</v>
      </c>
      <c r="K331" s="7">
        <f t="shared" si="51"/>
        <v>9.9532691208880975E-2</v>
      </c>
      <c r="L331" s="7">
        <f t="shared" si="52"/>
        <v>8.2724822249393259E-2</v>
      </c>
      <c r="M331" s="7">
        <f t="shared" si="53"/>
        <v>9.837614112063342E-2</v>
      </c>
      <c r="N331" s="7">
        <f t="shared" si="49"/>
        <v>0.93217047193558544</v>
      </c>
      <c r="O331" s="7">
        <f t="shared" si="50"/>
        <v>6.7829528064414585E-2</v>
      </c>
    </row>
    <row r="332" spans="1:15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4">
        <f>IF(SUMIFS('Daily NSE Equity Cash'!$H:$H,'Daily NSE Equity Cash'!$A:$A,$A332)=0,"",SUMIFS('Daily NSE Equity Cash'!$H:$H,'Daily NSE Equity Cash'!$A:$A,$A332))</f>
        <v>767.58299999999997</v>
      </c>
      <c r="F332" s="4">
        <f>IF(SUMIFS('Daily BSE Equity Cash'!$H:$H,'Daily BSE Equity Cash'!$A:$A,$A332)=0,"",SUMIFS('Daily BSE Equity Cash'!$H:$H,'Daily BSE Equity Cash'!$A:$A,$A332))</f>
        <v>59.800600000000003</v>
      </c>
      <c r="G332" s="4">
        <f t="shared" si="45"/>
        <v>827.3836</v>
      </c>
      <c r="H332" s="7">
        <f t="shared" si="46"/>
        <v>0.19435658682173518</v>
      </c>
      <c r="I332" s="7">
        <f t="shared" si="47"/>
        <v>0.59847638395124436</v>
      </c>
      <c r="J332" s="7">
        <f t="shared" si="48"/>
        <v>0.21658690468365838</v>
      </c>
      <c r="K332" s="7">
        <f t="shared" si="51"/>
        <v>3.230156030806719E-2</v>
      </c>
      <c r="L332" s="7">
        <f t="shared" si="52"/>
        <v>0.10525712680387977</v>
      </c>
      <c r="M332" s="7">
        <f t="shared" si="53"/>
        <v>3.7250101953150372E-2</v>
      </c>
      <c r="N332" s="7">
        <f t="shared" si="49"/>
        <v>0.92772324711294729</v>
      </c>
      <c r="O332" s="7">
        <f t="shared" si="50"/>
        <v>7.2276752887052639E-2</v>
      </c>
    </row>
    <row r="333" spans="1:15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4">
        <f>IF(SUMIFS('Daily NSE Equity Cash'!$H:$H,'Daily NSE Equity Cash'!$A:$A,$A333)=0,"",SUMIFS('Daily NSE Equity Cash'!$H:$H,'Daily NSE Equity Cash'!$A:$A,$A333))</f>
        <v>668.48950000000002</v>
      </c>
      <c r="F333" s="4">
        <f>IF(SUMIFS('Daily BSE Equity Cash'!$H:$H,'Daily BSE Equity Cash'!$A:$A,$A333)=0,"",SUMIFS('Daily BSE Equity Cash'!$H:$H,'Daily BSE Equity Cash'!$A:$A,$A333))</f>
        <v>50.743200000000002</v>
      </c>
      <c r="G333" s="4">
        <f t="shared" si="45"/>
        <v>719.23270000000002</v>
      </c>
      <c r="H333" s="7" t="str">
        <f t="shared" si="46"/>
        <v/>
      </c>
      <c r="I333" s="7" t="str">
        <f t="shared" si="47"/>
        <v/>
      </c>
      <c r="J333" s="7" t="str">
        <f t="shared" si="48"/>
        <v/>
      </c>
      <c r="K333" s="7">
        <f t="shared" si="51"/>
        <v>-0.12909809102077552</v>
      </c>
      <c r="L333" s="7">
        <f t="shared" si="52"/>
        <v>-0.15146001879579807</v>
      </c>
      <c r="M333" s="7">
        <f t="shared" si="53"/>
        <v>-0.130714338548649</v>
      </c>
      <c r="N333" s="7">
        <f t="shared" si="49"/>
        <v>0.92944814661513586</v>
      </c>
      <c r="O333" s="7">
        <f t="shared" si="50"/>
        <v>7.055185338486418E-2</v>
      </c>
    </row>
    <row r="334" spans="1:15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4">
        <f>IF(SUMIFS('Daily NSE Equity Cash'!$H:$H,'Daily NSE Equity Cash'!$A:$A,$A334)=0,"",SUMIFS('Daily NSE Equity Cash'!$H:$H,'Daily NSE Equity Cash'!$A:$A,$A334))</f>
        <v>690.30679999999995</v>
      </c>
      <c r="F334" s="4">
        <f>IF(SUMIFS('Daily BSE Equity Cash'!$H:$H,'Daily BSE Equity Cash'!$A:$A,$A334)=0,"",SUMIFS('Daily BSE Equity Cash'!$H:$H,'Daily BSE Equity Cash'!$A:$A,$A334))</f>
        <v>49.540999999999997</v>
      </c>
      <c r="G334" s="4">
        <f t="shared" si="45"/>
        <v>739.84780000000001</v>
      </c>
      <c r="H334" s="7">
        <f t="shared" si="46"/>
        <v>0.18148696791463514</v>
      </c>
      <c r="I334" s="7">
        <f t="shared" si="47"/>
        <v>-0.67837745545481343</v>
      </c>
      <c r="J334" s="7">
        <f t="shared" si="48"/>
        <v>2.0908728530695253E-3</v>
      </c>
      <c r="K334" s="7">
        <f t="shared" si="51"/>
        <v>3.2636713067295542E-2</v>
      </c>
      <c r="L334" s="7">
        <f t="shared" si="52"/>
        <v>-2.3691844424474695E-2</v>
      </c>
      <c r="M334" s="7">
        <f t="shared" si="53"/>
        <v>2.8662628937755397E-2</v>
      </c>
      <c r="N334" s="7">
        <f t="shared" si="49"/>
        <v>0.93303893043947683</v>
      </c>
      <c r="O334" s="7">
        <f t="shared" si="50"/>
        <v>6.6961069560523112E-2</v>
      </c>
    </row>
    <row r="335" spans="1:15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4">
        <f>IF(SUMIFS('Daily NSE Equity Cash'!$H:$H,'Daily NSE Equity Cash'!$A:$A,$A335)=0,"",SUMIFS('Daily NSE Equity Cash'!$H:$H,'Daily NSE Equity Cash'!$A:$A,$A335))</f>
        <v>766.93690000000004</v>
      </c>
      <c r="F335" s="4">
        <f>IF(SUMIFS('Daily BSE Equity Cash'!$H:$H,'Daily BSE Equity Cash'!$A:$A,$A335)=0,"",SUMIFS('Daily BSE Equity Cash'!$H:$H,'Daily BSE Equity Cash'!$A:$A,$A335))</f>
        <v>63.108699999999999</v>
      </c>
      <c r="G335" s="4">
        <f t="shared" si="45"/>
        <v>830.04560000000004</v>
      </c>
      <c r="H335" s="7">
        <f t="shared" si="46"/>
        <v>0.30814746132844006</v>
      </c>
      <c r="I335" s="7">
        <f t="shared" si="47"/>
        <v>0.81838010718607723</v>
      </c>
      <c r="J335" s="7">
        <f t="shared" si="48"/>
        <v>0.33666375139677718</v>
      </c>
      <c r="K335" s="7">
        <f t="shared" si="51"/>
        <v>0.11100875726561021</v>
      </c>
      <c r="L335" s="7">
        <f t="shared" si="52"/>
        <v>0.27386810924284943</v>
      </c>
      <c r="M335" s="7">
        <f t="shared" si="53"/>
        <v>0.12191399366193978</v>
      </c>
      <c r="N335" s="7">
        <f t="shared" si="49"/>
        <v>0.92396959877866947</v>
      </c>
      <c r="O335" s="7">
        <f t="shared" si="50"/>
        <v>7.6030401221330493E-2</v>
      </c>
    </row>
    <row r="336" spans="1:15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4">
        <f>IF(SUMIFS('Daily NSE Equity Cash'!$H:$H,'Daily NSE Equity Cash'!$A:$A,$A336)=0,"",SUMIFS('Daily NSE Equity Cash'!$H:$H,'Daily NSE Equity Cash'!$A:$A,$A336))</f>
        <v>678.92520000000002</v>
      </c>
      <c r="F336" s="4">
        <f>IF(SUMIFS('Daily BSE Equity Cash'!$H:$H,'Daily BSE Equity Cash'!$A:$A,$A336)=0,"",SUMIFS('Daily BSE Equity Cash'!$H:$H,'Daily BSE Equity Cash'!$A:$A,$A336))</f>
        <v>74.002700000000004</v>
      </c>
      <c r="G336" s="4">
        <f t="shared" si="45"/>
        <v>752.92790000000002</v>
      </c>
      <c r="H336" s="7">
        <f t="shared" si="46"/>
        <v>0.11479261259332274</v>
      </c>
      <c r="I336" s="7">
        <f t="shared" si="47"/>
        <v>0.90649498532825312</v>
      </c>
      <c r="J336" s="7">
        <f t="shared" si="48"/>
        <v>0.16222906317065133</v>
      </c>
      <c r="K336" s="7">
        <f t="shared" si="51"/>
        <v>-0.11475742006936951</v>
      </c>
      <c r="L336" s="7">
        <f t="shared" si="52"/>
        <v>0.17262279210314913</v>
      </c>
      <c r="M336" s="7">
        <f t="shared" si="53"/>
        <v>-9.2907787234821848E-2</v>
      </c>
      <c r="N336" s="7">
        <f t="shared" si="49"/>
        <v>0.90171343099385748</v>
      </c>
      <c r="O336" s="7">
        <f t="shared" si="50"/>
        <v>9.8286569006142563E-2</v>
      </c>
    </row>
    <row r="337" spans="1:15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4">
        <f>IF(SUMIFS('Daily NSE Equity Cash'!$H:$H,'Daily NSE Equity Cash'!$A:$A,$A337)=0,"",SUMIFS('Daily NSE Equity Cash'!$H:$H,'Daily NSE Equity Cash'!$A:$A,$A337))</f>
        <v>636.04399999999998</v>
      </c>
      <c r="F337" s="4">
        <f>IF(SUMIFS('Daily BSE Equity Cash'!$H:$H,'Daily BSE Equity Cash'!$A:$A,$A337)=0,"",SUMIFS('Daily BSE Equity Cash'!$H:$H,'Daily BSE Equity Cash'!$A:$A,$A337))</f>
        <v>47.899799999999999</v>
      </c>
      <c r="G337" s="4">
        <f t="shared" si="45"/>
        <v>683.94380000000001</v>
      </c>
      <c r="H337" s="7">
        <f t="shared" si="46"/>
        <v>9.5676803215416717E-2</v>
      </c>
      <c r="I337" s="7">
        <f t="shared" si="47"/>
        <v>0.38675197591268362</v>
      </c>
      <c r="J337" s="7">
        <f t="shared" si="48"/>
        <v>0.11202363797209403</v>
      </c>
      <c r="K337" s="7">
        <f t="shared" si="51"/>
        <v>-6.3160418850265132E-2</v>
      </c>
      <c r="L337" s="7">
        <f t="shared" si="52"/>
        <v>-0.35272902204919554</v>
      </c>
      <c r="M337" s="7">
        <f t="shared" si="53"/>
        <v>-9.162112335058914E-2</v>
      </c>
      <c r="N337" s="7">
        <f t="shared" si="49"/>
        <v>0.9299652983183706</v>
      </c>
      <c r="O337" s="7">
        <f t="shared" si="50"/>
        <v>7.0034701681629397E-2</v>
      </c>
    </row>
    <row r="338" spans="1:15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4">
        <f>IF(SUMIFS('Daily NSE Equity Cash'!$H:$H,'Daily NSE Equity Cash'!$A:$A,$A338)=0,"",SUMIFS('Daily NSE Equity Cash'!$H:$H,'Daily NSE Equity Cash'!$A:$A,$A338))</f>
        <v>572.43579999999997</v>
      </c>
      <c r="F338" s="4">
        <f>IF(SUMIFS('Daily BSE Equity Cash'!$H:$H,'Daily BSE Equity Cash'!$A:$A,$A338)=0,"",SUMIFS('Daily BSE Equity Cash'!$H:$H,'Daily BSE Equity Cash'!$A:$A,$A338))</f>
        <v>59.916200000000003</v>
      </c>
      <c r="G338" s="4">
        <f t="shared" si="45"/>
        <v>632.35199999999998</v>
      </c>
      <c r="H338" s="7" t="str">
        <f t="shared" si="46"/>
        <v/>
      </c>
      <c r="I338" s="7" t="str">
        <f t="shared" si="47"/>
        <v/>
      </c>
      <c r="J338" s="7" t="str">
        <f t="shared" si="48"/>
        <v/>
      </c>
      <c r="K338" s="7">
        <f t="shared" si="51"/>
        <v>-0.10000597442944203</v>
      </c>
      <c r="L338" s="7">
        <f t="shared" si="52"/>
        <v>0.25086534808078542</v>
      </c>
      <c r="M338" s="7">
        <f t="shared" si="53"/>
        <v>-7.5432806028799537E-2</v>
      </c>
      <c r="N338" s="7">
        <f t="shared" si="49"/>
        <v>0.90524865897474827</v>
      </c>
      <c r="O338" s="7">
        <f t="shared" si="50"/>
        <v>9.4751341025251762E-2</v>
      </c>
    </row>
    <row r="339" spans="1:15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4">
        <f>IF(SUMIFS('Daily NSE Equity Cash'!$H:$H,'Daily NSE Equity Cash'!$A:$A,$A339)=0,"",SUMIFS('Daily NSE Equity Cash'!$H:$H,'Daily NSE Equity Cash'!$A:$A,$A339))</f>
        <v>630.68399999999997</v>
      </c>
      <c r="F339" s="4">
        <f>IF(SUMIFS('Daily BSE Equity Cash'!$H:$H,'Daily BSE Equity Cash'!$A:$A,$A339)=0,"",SUMIFS('Daily BSE Equity Cash'!$H:$H,'Daily BSE Equity Cash'!$A:$A,$A339))</f>
        <v>50.277000000000001</v>
      </c>
      <c r="G339" s="4">
        <f t="shared" si="45"/>
        <v>680.96100000000001</v>
      </c>
      <c r="H339" s="7">
        <f t="shared" si="46"/>
        <v>3.8540256517882288E-2</v>
      </c>
      <c r="I339" s="7">
        <f t="shared" si="47"/>
        <v>0.23164245941437156</v>
      </c>
      <c r="J339" s="7">
        <f t="shared" si="48"/>
        <v>5.070294664221775E-2</v>
      </c>
      <c r="K339" s="7">
        <f t="shared" si="51"/>
        <v>0.1017549915641196</v>
      </c>
      <c r="L339" s="7">
        <f t="shared" si="52"/>
        <v>-0.16087802631007975</v>
      </c>
      <c r="M339" s="7">
        <f t="shared" si="53"/>
        <v>7.6870160923030229E-2</v>
      </c>
      <c r="N339" s="7">
        <f t="shared" si="49"/>
        <v>0.92616757787890935</v>
      </c>
      <c r="O339" s="7">
        <f t="shared" si="50"/>
        <v>7.3832422121090632E-2</v>
      </c>
    </row>
    <row r="340" spans="1:15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4">
        <f>IF(SUMIFS('Daily NSE Equity Cash'!$H:$H,'Daily NSE Equity Cash'!$A:$A,$A340)=0,"",SUMIFS('Daily NSE Equity Cash'!$H:$H,'Daily NSE Equity Cash'!$A:$A,$A340))</f>
        <v>638.57529999999997</v>
      </c>
      <c r="F340" s="4">
        <f>IF(SUMIFS('Daily BSE Equity Cash'!$H:$H,'Daily BSE Equity Cash'!$A:$A,$A340)=0,"",SUMIFS('Daily BSE Equity Cash'!$H:$H,'Daily BSE Equity Cash'!$A:$A,$A340))</f>
        <v>58.9176</v>
      </c>
      <c r="G340" s="4">
        <f t="shared" si="45"/>
        <v>697.49289999999996</v>
      </c>
      <c r="H340" s="7">
        <f t="shared" si="46"/>
        <v>9.8730973419351775E-2</v>
      </c>
      <c r="I340" s="7">
        <f t="shared" si="47"/>
        <v>0.7183254685339977</v>
      </c>
      <c r="J340" s="7">
        <f t="shared" si="48"/>
        <v>0.133247915086941</v>
      </c>
      <c r="K340" s="7">
        <f t="shared" si="51"/>
        <v>1.2512288245777548E-2</v>
      </c>
      <c r="L340" s="7">
        <f t="shared" si="52"/>
        <v>0.17185989617518938</v>
      </c>
      <c r="M340" s="7">
        <f t="shared" si="53"/>
        <v>2.4277308098408001E-2</v>
      </c>
      <c r="N340" s="7">
        <f t="shared" si="49"/>
        <v>0.91552946273718339</v>
      </c>
      <c r="O340" s="7">
        <f t="shared" si="50"/>
        <v>8.4470537262816586E-2</v>
      </c>
    </row>
    <row r="341" spans="1:15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4">
        <f>IF(SUMIFS('Daily NSE Equity Cash'!$H:$H,'Daily NSE Equity Cash'!$A:$A,$A341)=0,"",SUMIFS('Daily NSE Equity Cash'!$H:$H,'Daily NSE Equity Cash'!$A:$A,$A341))</f>
        <v>559.8922</v>
      </c>
      <c r="F341" s="4">
        <f>IF(SUMIFS('Daily BSE Equity Cash'!$H:$H,'Daily BSE Equity Cash'!$A:$A,$A341)=0,"",SUMIFS('Daily BSE Equity Cash'!$H:$H,'Daily BSE Equity Cash'!$A:$A,$A341))</f>
        <v>43.371600000000001</v>
      </c>
      <c r="G341" s="4">
        <f t="shared" si="45"/>
        <v>603.26379999999995</v>
      </c>
      <c r="H341" s="7">
        <f t="shared" si="46"/>
        <v>1.7824261712640732E-2</v>
      </c>
      <c r="I341" s="7">
        <f t="shared" si="47"/>
        <v>1.1365491253188864E-2</v>
      </c>
      <c r="J341" s="7">
        <f t="shared" si="48"/>
        <v>1.7357157974708715E-2</v>
      </c>
      <c r="K341" s="7">
        <f t="shared" si="51"/>
        <v>-0.12321663553225437</v>
      </c>
      <c r="L341" s="7">
        <f t="shared" si="52"/>
        <v>-0.26386003503197686</v>
      </c>
      <c r="M341" s="7">
        <f t="shared" si="53"/>
        <v>-0.13509685905046487</v>
      </c>
      <c r="N341" s="7">
        <f t="shared" si="49"/>
        <v>0.92810508437602268</v>
      </c>
      <c r="O341" s="7">
        <f t="shared" si="50"/>
        <v>7.1894915623977443E-2</v>
      </c>
    </row>
    <row r="342" spans="1:15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4">
        <f>IF(SUMIFS('Daily NSE Equity Cash'!$H:$H,'Daily NSE Equity Cash'!$A:$A,$A342)=0,"",SUMIFS('Daily NSE Equity Cash'!$H:$H,'Daily NSE Equity Cash'!$A:$A,$A342))</f>
        <v>615.42870000000005</v>
      </c>
      <c r="F342" s="4">
        <f>IF(SUMIFS('Daily BSE Equity Cash'!$H:$H,'Daily BSE Equity Cash'!$A:$A,$A342)=0,"",SUMIFS('Daily BSE Equity Cash'!$H:$H,'Daily BSE Equity Cash'!$A:$A,$A342))</f>
        <v>55.608199999999997</v>
      </c>
      <c r="G342" s="4">
        <f t="shared" si="45"/>
        <v>671.03690000000006</v>
      </c>
      <c r="H342" s="7">
        <f t="shared" si="46"/>
        <v>5.6245450796172047E-2</v>
      </c>
      <c r="I342" s="7">
        <f t="shared" si="47"/>
        <v>0.40642814869519905</v>
      </c>
      <c r="J342" s="7">
        <f t="shared" si="48"/>
        <v>7.8498478372151848E-2</v>
      </c>
      <c r="K342" s="7">
        <f t="shared" si="51"/>
        <v>9.919141577610846E-2</v>
      </c>
      <c r="L342" s="7">
        <f t="shared" si="52"/>
        <v>0.28213393095942951</v>
      </c>
      <c r="M342" s="7">
        <f t="shared" si="53"/>
        <v>0.11234405246925161</v>
      </c>
      <c r="N342" s="7">
        <f t="shared" si="49"/>
        <v>0.9171309357205244</v>
      </c>
      <c r="O342" s="7">
        <f t="shared" si="50"/>
        <v>8.2869064279475532E-2</v>
      </c>
    </row>
    <row r="343" spans="1:15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4">
        <f>IF(SUMIFS('Daily NSE Equity Cash'!$H:$H,'Daily NSE Equity Cash'!$A:$A,$A343)=0,"",SUMIFS('Daily NSE Equity Cash'!$H:$H,'Daily NSE Equity Cash'!$A:$A,$A343))</f>
        <v>543.06399999999996</v>
      </c>
      <c r="F343" s="4">
        <f>IF(SUMIFS('Daily BSE Equity Cash'!$H:$H,'Daily BSE Equity Cash'!$A:$A,$A343)=0,"",SUMIFS('Daily BSE Equity Cash'!$H:$H,'Daily BSE Equity Cash'!$A:$A,$A343))</f>
        <v>38.443100000000001</v>
      </c>
      <c r="G343" s="4">
        <f t="shared" si="45"/>
        <v>581.50709999999992</v>
      </c>
      <c r="H343" s="7" t="str">
        <f t="shared" si="46"/>
        <v/>
      </c>
      <c r="I343" s="7" t="str">
        <f t="shared" si="47"/>
        <v/>
      </c>
      <c r="J343" s="7" t="str">
        <f t="shared" si="48"/>
        <v/>
      </c>
      <c r="K343" s="7">
        <f t="shared" si="51"/>
        <v>-0.11758421406086539</v>
      </c>
      <c r="L343" s="7">
        <f t="shared" si="52"/>
        <v>-0.30867929549958451</v>
      </c>
      <c r="M343" s="7">
        <f t="shared" si="53"/>
        <v>-0.13342008464810229</v>
      </c>
      <c r="N343" s="7">
        <f t="shared" si="49"/>
        <v>0.93389057502479345</v>
      </c>
      <c r="O343" s="7">
        <f t="shared" si="50"/>
        <v>6.6109424975206679E-2</v>
      </c>
    </row>
    <row r="344" spans="1:15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4">
        <f>IF(SUMIFS('Daily NSE Equity Cash'!$H:$H,'Daily NSE Equity Cash'!$A:$A,$A344)=0,"",SUMIFS('Daily NSE Equity Cash'!$H:$H,'Daily NSE Equity Cash'!$A:$A,$A344))</f>
        <v>644.49850000000004</v>
      </c>
      <c r="F344" s="4">
        <f>IF(SUMIFS('Daily BSE Equity Cash'!$H:$H,'Daily BSE Equity Cash'!$A:$A,$A344)=0,"",SUMIFS('Daily BSE Equity Cash'!$H:$H,'Daily BSE Equity Cash'!$A:$A,$A344))</f>
        <v>44.181399999999996</v>
      </c>
      <c r="G344" s="4">
        <f t="shared" si="45"/>
        <v>688.67990000000009</v>
      </c>
      <c r="H344" s="7">
        <f t="shared" si="46"/>
        <v>0.26554816428326133</v>
      </c>
      <c r="I344" s="7">
        <f t="shared" si="47"/>
        <v>0.36066275542415416</v>
      </c>
      <c r="J344" s="7">
        <f t="shared" si="48"/>
        <v>0.27124914256939037</v>
      </c>
      <c r="K344" s="7">
        <f t="shared" si="51"/>
        <v>0.18678185259932545</v>
      </c>
      <c r="L344" s="7">
        <f t="shared" si="52"/>
        <v>0.14926735877179498</v>
      </c>
      <c r="M344" s="7">
        <f t="shared" si="53"/>
        <v>0.18430179098415156</v>
      </c>
      <c r="N344" s="7">
        <f t="shared" si="49"/>
        <v>0.93584624729137578</v>
      </c>
      <c r="O344" s="7">
        <f t="shared" si="50"/>
        <v>6.4153752708624126E-2</v>
      </c>
    </row>
    <row r="345" spans="1:15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4">
        <f>IF(SUMIFS('Daily NSE Equity Cash'!$H:$H,'Daily NSE Equity Cash'!$A:$A,$A345)=0,"",SUMIFS('Daily NSE Equity Cash'!$H:$H,'Daily NSE Equity Cash'!$A:$A,$A345))</f>
        <v>587.15150000000006</v>
      </c>
      <c r="F345" s="4">
        <f>IF(SUMIFS('Daily BSE Equity Cash'!$H:$H,'Daily BSE Equity Cash'!$A:$A,$A345)=0,"",SUMIFS('Daily BSE Equity Cash'!$H:$H,'Daily BSE Equity Cash'!$A:$A,$A345))</f>
        <v>61.606099999999998</v>
      </c>
      <c r="G345" s="4">
        <f t="shared" si="45"/>
        <v>648.75760000000002</v>
      </c>
      <c r="H345" s="7">
        <f t="shared" si="46"/>
        <v>9.7415235332960926E-2</v>
      </c>
      <c r="I345" s="7">
        <f t="shared" si="47"/>
        <v>0.95530228011375162</v>
      </c>
      <c r="J345" s="7">
        <f t="shared" si="48"/>
        <v>0.14512535335197874</v>
      </c>
      <c r="K345" s="7">
        <f t="shared" si="51"/>
        <v>-8.8979260618915257E-2</v>
      </c>
      <c r="L345" s="7">
        <f t="shared" si="52"/>
        <v>0.39438994690073215</v>
      </c>
      <c r="M345" s="7">
        <f t="shared" si="53"/>
        <v>-5.7969312012736363E-2</v>
      </c>
      <c r="N345" s="7">
        <f t="shared" si="49"/>
        <v>0.90503987930160668</v>
      </c>
      <c r="O345" s="7">
        <f t="shared" si="50"/>
        <v>9.4960120698393352E-2</v>
      </c>
    </row>
    <row r="346" spans="1:15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4">
        <f>IF(SUMIFS('Daily NSE Equity Cash'!$H:$H,'Daily NSE Equity Cash'!$A:$A,$A346)=0,"",SUMIFS('Daily NSE Equity Cash'!$H:$H,'Daily NSE Equity Cash'!$A:$A,$A346))</f>
        <v>693.24649999999997</v>
      </c>
      <c r="F346" s="4">
        <f>IF(SUMIFS('Daily BSE Equity Cash'!$H:$H,'Daily BSE Equity Cash'!$A:$A,$A346)=0,"",SUMIFS('Daily BSE Equity Cash'!$H:$H,'Daily BSE Equity Cash'!$A:$A,$A346))</f>
        <v>52.011899999999997</v>
      </c>
      <c r="G346" s="4">
        <f t="shared" si="45"/>
        <v>745.25839999999994</v>
      </c>
      <c r="H346" s="7">
        <f t="shared" si="46"/>
        <v>0.22930889350292105</v>
      </c>
      <c r="I346" s="7">
        <f t="shared" si="47"/>
        <v>0.40106186966640811</v>
      </c>
      <c r="J346" s="7">
        <f t="shared" si="48"/>
        <v>0.23991693939540637</v>
      </c>
      <c r="K346" s="7">
        <f t="shared" si="51"/>
        <v>0.18069442043493011</v>
      </c>
      <c r="L346" s="7">
        <f t="shared" si="52"/>
        <v>-0.15573457823170112</v>
      </c>
      <c r="M346" s="7">
        <f t="shared" si="53"/>
        <v>0.14874708211510734</v>
      </c>
      <c r="N346" s="7">
        <f t="shared" si="49"/>
        <v>0.9302095756317541</v>
      </c>
      <c r="O346" s="7">
        <f t="shared" si="50"/>
        <v>6.9790424368245965E-2</v>
      </c>
    </row>
    <row r="347" spans="1:15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4">
        <f>IF(SUMIFS('Daily NSE Equity Cash'!$H:$H,'Daily NSE Equity Cash'!$A:$A,$A347)=0,"",SUMIFS('Daily NSE Equity Cash'!$H:$H,'Daily NSE Equity Cash'!$A:$A,$A347))</f>
        <v>633.92280000000005</v>
      </c>
      <c r="F347" s="4">
        <f>IF(SUMIFS('Daily BSE Equity Cash'!$H:$H,'Daily BSE Equity Cash'!$A:$A,$A347)=0,"",SUMIFS('Daily BSE Equity Cash'!$H:$H,'Daily BSE Equity Cash'!$A:$A,$A347))</f>
        <v>57.461399999999998</v>
      </c>
      <c r="G347" s="4">
        <f t="shared" si="45"/>
        <v>691.38420000000008</v>
      </c>
      <c r="H347" s="7" t="str">
        <f t="shared" si="46"/>
        <v/>
      </c>
      <c r="I347" s="7" t="str">
        <f t="shared" si="47"/>
        <v/>
      </c>
      <c r="J347" s="7" t="str">
        <f t="shared" si="48"/>
        <v/>
      </c>
      <c r="K347" s="7">
        <f t="shared" si="51"/>
        <v>-8.5573746135032658E-2</v>
      </c>
      <c r="L347" s="7">
        <f t="shared" si="52"/>
        <v>0.10477409977332108</v>
      </c>
      <c r="M347" s="7">
        <f t="shared" si="53"/>
        <v>-7.2289289191507122E-2</v>
      </c>
      <c r="N347" s="7">
        <f t="shared" si="49"/>
        <v>0.91688933591482125</v>
      </c>
      <c r="O347" s="7">
        <f t="shared" si="50"/>
        <v>8.311066408517867E-2</v>
      </c>
    </row>
    <row r="348" spans="1:15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4">
        <f>IF(SUMIFS('Daily NSE Equity Cash'!$H:$H,'Daily NSE Equity Cash'!$A:$A,$A348)=0,"",SUMIFS('Daily NSE Equity Cash'!$H:$H,'Daily NSE Equity Cash'!$A:$A,$A348))</f>
        <v>610.98419999999999</v>
      </c>
      <c r="F348" s="4">
        <f>IF(SUMIFS('Daily BSE Equity Cash'!$H:$H,'Daily BSE Equity Cash'!$A:$A,$A348)=0,"",SUMIFS('Daily BSE Equity Cash'!$H:$H,'Daily BSE Equity Cash'!$A:$A,$A348))</f>
        <v>42.566600000000001</v>
      </c>
      <c r="G348" s="4">
        <f t="shared" si="45"/>
        <v>653.55079999999998</v>
      </c>
      <c r="H348" s="7">
        <f t="shared" si="46"/>
        <v>7.3738952372734534E-2</v>
      </c>
      <c r="I348" s="7">
        <f t="shared" si="47"/>
        <v>8.6035518381177845E-3</v>
      </c>
      <c r="J348" s="7">
        <f t="shared" si="48"/>
        <v>6.9241547022357075E-2</v>
      </c>
      <c r="K348" s="7">
        <f t="shared" si="51"/>
        <v>-3.6185163240697538E-2</v>
      </c>
      <c r="L348" s="7">
        <f t="shared" si="52"/>
        <v>-0.25921401149293255</v>
      </c>
      <c r="M348" s="7">
        <f t="shared" si="53"/>
        <v>-5.4721238929093419E-2</v>
      </c>
      <c r="N348" s="7">
        <f t="shared" si="49"/>
        <v>0.93486872022802203</v>
      </c>
      <c r="O348" s="7">
        <f t="shared" si="50"/>
        <v>6.513127977197794E-2</v>
      </c>
    </row>
    <row r="349" spans="1:15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4">
        <f>IF(SUMIFS('Daily NSE Equity Cash'!$H:$H,'Daily NSE Equity Cash'!$A:$A,$A349)=0,"",SUMIFS('Daily NSE Equity Cash'!$H:$H,'Daily NSE Equity Cash'!$A:$A,$A349))</f>
        <v>539.22239999999999</v>
      </c>
      <c r="F349" s="4">
        <f>IF(SUMIFS('Daily BSE Equity Cash'!$H:$H,'Daily BSE Equity Cash'!$A:$A,$A349)=0,"",SUMIFS('Daily BSE Equity Cash'!$H:$H,'Daily BSE Equity Cash'!$A:$A,$A349))</f>
        <v>48.664000000000001</v>
      </c>
      <c r="G349" s="4">
        <f t="shared" si="45"/>
        <v>587.88639999999998</v>
      </c>
      <c r="H349" s="7">
        <f t="shared" si="46"/>
        <v>-0.1155020686910746</v>
      </c>
      <c r="I349" s="7">
        <f t="shared" si="47"/>
        <v>-6.5872999115090147E-2</v>
      </c>
      <c r="J349" s="7">
        <f t="shared" si="48"/>
        <v>-0.11159495892901727</v>
      </c>
      <c r="K349" s="7">
        <f t="shared" si="51"/>
        <v>-0.11745279174158674</v>
      </c>
      <c r="L349" s="7">
        <f t="shared" si="52"/>
        <v>0.14324376388999838</v>
      </c>
      <c r="M349" s="7">
        <f t="shared" si="53"/>
        <v>-0.10047329144115502</v>
      </c>
      <c r="N349" s="7">
        <f t="shared" si="49"/>
        <v>0.91722210277359706</v>
      </c>
      <c r="O349" s="7">
        <f t="shared" si="50"/>
        <v>8.2777897226402927E-2</v>
      </c>
    </row>
    <row r="350" spans="1:15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4">
        <f>IF(SUMIFS('Daily NSE Equity Cash'!$H:$H,'Daily NSE Equity Cash'!$A:$A,$A350)=0,"",SUMIFS('Daily NSE Equity Cash'!$H:$H,'Daily NSE Equity Cash'!$A:$A,$A350))</f>
        <v>537.46870000000001</v>
      </c>
      <c r="F350" s="4">
        <f>IF(SUMIFS('Daily BSE Equity Cash'!$H:$H,'Daily BSE Equity Cash'!$A:$A,$A350)=0,"",SUMIFS('Daily BSE Equity Cash'!$H:$H,'Daily BSE Equity Cash'!$A:$A,$A350))</f>
        <v>40.458399999999997</v>
      </c>
      <c r="G350" s="4">
        <f t="shared" si="45"/>
        <v>577.9271</v>
      </c>
      <c r="H350" s="7">
        <f t="shared" si="46"/>
        <v>-0.15863061231933562</v>
      </c>
      <c r="I350" s="7">
        <f t="shared" si="47"/>
        <v>5.7442904711374032E-2</v>
      </c>
      <c r="J350" s="7">
        <f t="shared" si="48"/>
        <v>-0.14642036951072035</v>
      </c>
      <c r="K350" s="7">
        <f t="shared" si="51"/>
        <v>-3.2522758698451115E-3</v>
      </c>
      <c r="L350" s="7">
        <f t="shared" si="52"/>
        <v>-0.16861745849087628</v>
      </c>
      <c r="M350" s="7">
        <f t="shared" si="53"/>
        <v>-1.6940857961674216E-2</v>
      </c>
      <c r="N350" s="7">
        <f t="shared" si="49"/>
        <v>0.92999393868188573</v>
      </c>
      <c r="O350" s="7">
        <f t="shared" si="50"/>
        <v>7.0006061318114335E-2</v>
      </c>
    </row>
    <row r="351" spans="1:15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4">
        <f>IF(SUMIFS('Daily NSE Equity Cash'!$H:$H,'Daily NSE Equity Cash'!$A:$A,$A351)=0,"",SUMIFS('Daily NSE Equity Cash'!$H:$H,'Daily NSE Equity Cash'!$A:$A,$A351))</f>
        <v>533.47059999999999</v>
      </c>
      <c r="F351" s="4">
        <f>IF(SUMIFS('Daily BSE Equity Cash'!$H:$H,'Daily BSE Equity Cash'!$A:$A,$A351)=0,"",SUMIFS('Daily BSE Equity Cash'!$H:$H,'Daily BSE Equity Cash'!$A:$A,$A351))</f>
        <v>46.2196</v>
      </c>
      <c r="G351" s="4">
        <f t="shared" si="45"/>
        <v>579.6902</v>
      </c>
      <c r="H351" s="7">
        <f t="shared" si="46"/>
        <v>-0.151810852458787</v>
      </c>
      <c r="I351" s="7">
        <f t="shared" si="47"/>
        <v>0.25697502073673184</v>
      </c>
      <c r="J351" s="7">
        <f t="shared" si="48"/>
        <v>-0.12923199727694512</v>
      </c>
      <c r="K351" s="7">
        <f t="shared" si="51"/>
        <v>-7.438758759347297E-3</v>
      </c>
      <c r="L351" s="7">
        <f t="shared" si="52"/>
        <v>0.14239811757261789</v>
      </c>
      <c r="M351" s="7">
        <f t="shared" si="53"/>
        <v>3.050730792862888E-3</v>
      </c>
      <c r="N351" s="7">
        <f t="shared" si="49"/>
        <v>0.92026844683591336</v>
      </c>
      <c r="O351" s="7">
        <f t="shared" si="50"/>
        <v>7.9731553164086616E-2</v>
      </c>
    </row>
    <row r="352" spans="1:15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4">
        <f>IF(SUMIFS('Daily NSE Equity Cash'!$H:$H,'Daily NSE Equity Cash'!$A:$A,$A352)=0,"",SUMIFS('Daily NSE Equity Cash'!$H:$H,'Daily NSE Equity Cash'!$A:$A,$A352))</f>
        <v>604.54780000000005</v>
      </c>
      <c r="F352" s="4">
        <f>IF(SUMIFS('Daily BSE Equity Cash'!$H:$H,'Daily BSE Equity Cash'!$A:$A,$A352)=0,"",SUMIFS('Daily BSE Equity Cash'!$H:$H,'Daily BSE Equity Cash'!$A:$A,$A352))</f>
        <v>44.597200000000001</v>
      </c>
      <c r="G352" s="4">
        <f t="shared" si="45"/>
        <v>649.1450000000001</v>
      </c>
      <c r="H352" s="7" t="str">
        <f t="shared" si="46"/>
        <v/>
      </c>
      <c r="I352" s="7" t="str">
        <f t="shared" si="47"/>
        <v/>
      </c>
      <c r="J352" s="7" t="str">
        <f t="shared" si="48"/>
        <v/>
      </c>
      <c r="K352" s="7">
        <f t="shared" si="51"/>
        <v>0.13323545852386265</v>
      </c>
      <c r="L352" s="7">
        <f t="shared" si="52"/>
        <v>-3.5101991362971541E-2</v>
      </c>
      <c r="M352" s="7">
        <f t="shared" si="53"/>
        <v>0.11981365218870366</v>
      </c>
      <c r="N352" s="7">
        <f t="shared" si="49"/>
        <v>0.93129855425213159</v>
      </c>
      <c r="O352" s="7">
        <f t="shared" si="50"/>
        <v>6.8701445747868337E-2</v>
      </c>
    </row>
    <row r="353" spans="1:15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4">
        <f>IF(SUMIFS('Daily NSE Equity Cash'!$H:$H,'Daily NSE Equity Cash'!$A:$A,$A353)=0,"",SUMIFS('Daily NSE Equity Cash'!$H:$H,'Daily NSE Equity Cash'!$A:$A,$A353))</f>
        <v>828.61490000000003</v>
      </c>
      <c r="F353" s="4">
        <f>IF(SUMIFS('Daily BSE Equity Cash'!$H:$H,'Daily BSE Equity Cash'!$A:$A,$A353)=0,"",SUMIFS('Daily BSE Equity Cash'!$H:$H,'Daily BSE Equity Cash'!$A:$A,$A353))</f>
        <v>62.212400000000002</v>
      </c>
      <c r="G353" s="4">
        <f t="shared" si="45"/>
        <v>890.82730000000004</v>
      </c>
      <c r="H353" s="7">
        <f t="shared" si="46"/>
        <v>-0.16247051996748185</v>
      </c>
      <c r="I353" s="7">
        <f t="shared" si="47"/>
        <v>0.22029842314731107</v>
      </c>
      <c r="J353" s="7">
        <f t="shared" si="48"/>
        <v>-0.14371308769635682</v>
      </c>
      <c r="K353" s="7">
        <f t="shared" si="51"/>
        <v>0.37063587031496925</v>
      </c>
      <c r="L353" s="7">
        <f t="shared" si="52"/>
        <v>0.39498443848492726</v>
      </c>
      <c r="M353" s="7">
        <f t="shared" si="53"/>
        <v>0.37230865215013575</v>
      </c>
      <c r="N353" s="7">
        <f t="shared" si="49"/>
        <v>0.93016334366941833</v>
      </c>
      <c r="O353" s="7">
        <f t="shared" si="50"/>
        <v>6.9836656330581698E-2</v>
      </c>
    </row>
    <row r="354" spans="1:15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4">
        <f>IF(SUMIFS('Daily NSE Equity Cash'!$H:$H,'Daily NSE Equity Cash'!$A:$A,$A354)=0,"",SUMIFS('Daily NSE Equity Cash'!$H:$H,'Daily NSE Equity Cash'!$A:$A,$A354))</f>
        <v>642.2835</v>
      </c>
      <c r="F354" s="4">
        <f>IF(SUMIFS('Daily BSE Equity Cash'!$H:$H,'Daily BSE Equity Cash'!$A:$A,$A354)=0,"",SUMIFS('Daily BSE Equity Cash'!$H:$H,'Daily BSE Equity Cash'!$A:$A,$A354))</f>
        <v>43.403599999999997</v>
      </c>
      <c r="G354" s="4">
        <f t="shared" si="45"/>
        <v>685.68709999999999</v>
      </c>
      <c r="H354" s="7">
        <f t="shared" si="46"/>
        <v>3.9501421400555126E-2</v>
      </c>
      <c r="I354" s="7">
        <f t="shared" si="47"/>
        <v>0.2397769729099779</v>
      </c>
      <c r="J354" s="7">
        <f t="shared" si="48"/>
        <v>5.0240647022901763E-2</v>
      </c>
      <c r="K354" s="7">
        <f t="shared" si="51"/>
        <v>-0.22487092616847704</v>
      </c>
      <c r="L354" s="7">
        <f t="shared" si="52"/>
        <v>-0.30233201098173357</v>
      </c>
      <c r="M354" s="7">
        <f t="shared" si="53"/>
        <v>-0.23028054932757458</v>
      </c>
      <c r="N354" s="7">
        <f t="shared" si="49"/>
        <v>0.93670057377483118</v>
      </c>
      <c r="O354" s="7">
        <f t="shared" si="50"/>
        <v>6.3299426225168889E-2</v>
      </c>
    </row>
    <row r="355" spans="1:15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4">
        <f>IF(SUMIFS('Daily NSE Equity Cash'!$H:$H,'Daily NSE Equity Cash'!$A:$A,$A355)=0,"",SUMIFS('Daily NSE Equity Cash'!$H:$H,'Daily NSE Equity Cash'!$A:$A,$A355))</f>
        <v>615.8184</v>
      </c>
      <c r="F355" s="4">
        <f>IF(SUMIFS('Daily BSE Equity Cash'!$H:$H,'Daily BSE Equity Cash'!$A:$A,$A355)=0,"",SUMIFS('Daily BSE Equity Cash'!$H:$H,'Daily BSE Equity Cash'!$A:$A,$A355))</f>
        <v>51.283299999999997</v>
      </c>
      <c r="G355" s="4">
        <f t="shared" si="45"/>
        <v>667.10169999999994</v>
      </c>
      <c r="H355" s="7">
        <f t="shared" si="46"/>
        <v>0.24244808626746495</v>
      </c>
      <c r="I355" s="7">
        <f t="shared" si="47"/>
        <v>0.55411003530463487</v>
      </c>
      <c r="J355" s="7">
        <f t="shared" si="48"/>
        <v>0.26190220821919774</v>
      </c>
      <c r="K355" s="7">
        <f t="shared" si="51"/>
        <v>-4.1204701662116539E-2</v>
      </c>
      <c r="L355" s="7">
        <f t="shared" si="52"/>
        <v>0.18154484881438404</v>
      </c>
      <c r="M355" s="7">
        <f t="shared" si="53"/>
        <v>-2.7104782925039816E-2</v>
      </c>
      <c r="N355" s="7">
        <f t="shared" si="49"/>
        <v>0.92312521464118602</v>
      </c>
      <c r="O355" s="7">
        <f t="shared" si="50"/>
        <v>7.6874785358814104E-2</v>
      </c>
    </row>
    <row r="356" spans="1:15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4">
        <f>IF(SUMIFS('Daily NSE Equity Cash'!$H:$H,'Daily NSE Equity Cash'!$A:$A,$A356)=0,"",SUMIFS('Daily NSE Equity Cash'!$H:$H,'Daily NSE Equity Cash'!$A:$A,$A356))</f>
        <v>636.88649999999996</v>
      </c>
      <c r="F356" s="4">
        <f>IF(SUMIFS('Daily BSE Equity Cash'!$H:$H,'Daily BSE Equity Cash'!$A:$A,$A356)=0,"",SUMIFS('Daily BSE Equity Cash'!$H:$H,'Daily BSE Equity Cash'!$A:$A,$A356))</f>
        <v>48.029499999999999</v>
      </c>
      <c r="G356" s="4">
        <f t="shared" si="45"/>
        <v>684.91599999999994</v>
      </c>
      <c r="H356" s="7">
        <f t="shared" si="46"/>
        <v>0.29166933699797415</v>
      </c>
      <c r="I356" s="7">
        <f t="shared" si="47"/>
        <v>0.61940678451853914</v>
      </c>
      <c r="J356" s="7">
        <f t="shared" si="48"/>
        <v>0.31026449354170804</v>
      </c>
      <c r="K356" s="7">
        <f t="shared" si="51"/>
        <v>3.4211546780674285E-2</v>
      </c>
      <c r="L356" s="7">
        <f t="shared" si="52"/>
        <v>-6.3447555052034477E-2</v>
      </c>
      <c r="M356" s="7">
        <f t="shared" si="53"/>
        <v>2.6704024288950245E-2</v>
      </c>
      <c r="N356" s="7">
        <f t="shared" si="49"/>
        <v>0.92987534237775149</v>
      </c>
      <c r="O356" s="7">
        <f t="shared" si="50"/>
        <v>7.0124657622248565E-2</v>
      </c>
    </row>
    <row r="357" spans="1:15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4">
        <f>IF(SUMIFS('Daily NSE Equity Cash'!$H:$H,'Daily NSE Equity Cash'!$A:$A,$A357)=0,"",SUMIFS('Daily NSE Equity Cash'!$H:$H,'Daily NSE Equity Cash'!$A:$A,$A357))</f>
        <v>562.72199999999998</v>
      </c>
      <c r="F357" s="4">
        <f>IF(SUMIFS('Daily BSE Equity Cash'!$H:$H,'Daily BSE Equity Cash'!$A:$A,$A357)=0,"",SUMIFS('Daily BSE Equity Cash'!$H:$H,'Daily BSE Equity Cash'!$A:$A,$A357))</f>
        <v>39.651600000000002</v>
      </c>
      <c r="G357" s="4">
        <f t="shared" si="45"/>
        <v>602.37360000000001</v>
      </c>
      <c r="H357" s="7" t="str">
        <f t="shared" si="46"/>
        <v/>
      </c>
      <c r="I357" s="7" t="str">
        <f t="shared" si="47"/>
        <v/>
      </c>
      <c r="J357" s="7" t="str">
        <f t="shared" si="48"/>
        <v/>
      </c>
      <c r="K357" s="7">
        <f t="shared" si="51"/>
        <v>-0.11644853517856002</v>
      </c>
      <c r="L357" s="7">
        <f t="shared" si="52"/>
        <v>-0.17443238009973028</v>
      </c>
      <c r="M357" s="7">
        <f t="shared" si="53"/>
        <v>-0.12051463245127858</v>
      </c>
      <c r="N357" s="7">
        <f t="shared" si="49"/>
        <v>0.93417440604966751</v>
      </c>
      <c r="O357" s="7">
        <f t="shared" si="50"/>
        <v>6.5825593950332481E-2</v>
      </c>
    </row>
    <row r="358" spans="1:15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4">
        <f>IF(SUMIFS('Daily NSE Equity Cash'!$H:$H,'Daily NSE Equity Cash'!$A:$A,$A358)=0,"",SUMIFS('Daily NSE Equity Cash'!$H:$H,'Daily NSE Equity Cash'!$A:$A,$A358))</f>
        <v>576.25210000000004</v>
      </c>
      <c r="F358" s="4">
        <f>IF(SUMIFS('Daily BSE Equity Cash'!$H:$H,'Daily BSE Equity Cash'!$A:$A,$A358)=0,"",SUMIFS('Daily BSE Equity Cash'!$H:$H,'Daily BSE Equity Cash'!$A:$A,$A358))</f>
        <v>49.576000000000001</v>
      </c>
      <c r="G358" s="4">
        <f t="shared" si="45"/>
        <v>625.82810000000006</v>
      </c>
      <c r="H358" s="7">
        <f t="shared" si="46"/>
        <v>0.24015727611880067</v>
      </c>
      <c r="I358" s="7">
        <f t="shared" si="47"/>
        <v>0.86816996518095357</v>
      </c>
      <c r="J358" s="7">
        <f t="shared" si="48"/>
        <v>0.27408597393676737</v>
      </c>
      <c r="K358" s="7">
        <f t="shared" si="51"/>
        <v>2.4044021737198884E-2</v>
      </c>
      <c r="L358" s="7">
        <f t="shared" si="52"/>
        <v>0.25029002612757112</v>
      </c>
      <c r="M358" s="7">
        <f t="shared" si="53"/>
        <v>3.893679935508465E-2</v>
      </c>
      <c r="N358" s="7">
        <f t="shared" si="49"/>
        <v>0.92078335888081719</v>
      </c>
      <c r="O358" s="7">
        <f t="shared" si="50"/>
        <v>7.9216641119182724E-2</v>
      </c>
    </row>
    <row r="359" spans="1:15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4">
        <f>IF(SUMIFS('Daily NSE Equity Cash'!$H:$H,'Daily NSE Equity Cash'!$A:$A,$A359)=0,"",SUMIFS('Daily NSE Equity Cash'!$H:$H,'Daily NSE Equity Cash'!$A:$A,$A359))</f>
        <v>596.91139999999996</v>
      </c>
      <c r="F359" s="4">
        <f>IF(SUMIFS('Daily BSE Equity Cash'!$H:$H,'Daily BSE Equity Cash'!$A:$A,$A359)=0,"",SUMIFS('Daily BSE Equity Cash'!$H:$H,'Daily BSE Equity Cash'!$A:$A,$A359))</f>
        <v>38.143999999999998</v>
      </c>
      <c r="G359" s="4">
        <f t="shared" si="45"/>
        <v>635.05539999999996</v>
      </c>
      <c r="H359" s="7">
        <f t="shared" si="46"/>
        <v>0.20415104433749143</v>
      </c>
      <c r="I359" s="7">
        <f t="shared" si="47"/>
        <v>0.45124164406076761</v>
      </c>
      <c r="J359" s="7">
        <f t="shared" si="48"/>
        <v>0.21659264617618046</v>
      </c>
      <c r="K359" s="7">
        <f t="shared" si="51"/>
        <v>3.5851149175855301E-2</v>
      </c>
      <c r="L359" s="7">
        <f t="shared" si="52"/>
        <v>-0.2305954494110054</v>
      </c>
      <c r="M359" s="7">
        <f t="shared" si="53"/>
        <v>1.4744144598173081E-2</v>
      </c>
      <c r="N359" s="7">
        <f t="shared" si="49"/>
        <v>0.93993594889516729</v>
      </c>
      <c r="O359" s="7">
        <f t="shared" si="50"/>
        <v>6.0064051104832747E-2</v>
      </c>
    </row>
    <row r="360" spans="1:15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4">
        <f>IF(SUMIFS('Daily NSE Equity Cash'!$H:$H,'Daily NSE Equity Cash'!$A:$A,$A360)=0,"",SUMIFS('Daily NSE Equity Cash'!$H:$H,'Daily NSE Equity Cash'!$A:$A,$A360))</f>
        <v>498.03530000000001</v>
      </c>
      <c r="F360" s="4">
        <f>IF(SUMIFS('Daily BSE Equity Cash'!$H:$H,'Daily BSE Equity Cash'!$A:$A,$A360)=0,"",SUMIFS('Daily BSE Equity Cash'!$H:$H,'Daily BSE Equity Cash'!$A:$A,$A360))</f>
        <v>81.075800000000001</v>
      </c>
      <c r="G360" s="4">
        <f t="shared" si="45"/>
        <v>579.11109999999996</v>
      </c>
      <c r="H360" s="7">
        <f t="shared" si="46"/>
        <v>-8.1075500902899278E-2</v>
      </c>
      <c r="I360" s="7">
        <f t="shared" si="47"/>
        <v>2.1594949534312771</v>
      </c>
      <c r="J360" s="7">
        <f t="shared" si="48"/>
        <v>2.0213259417589224E-2</v>
      </c>
      <c r="K360" s="7">
        <f t="shared" si="51"/>
        <v>-0.16564619137781578</v>
      </c>
      <c r="L360" s="7">
        <f t="shared" si="52"/>
        <v>1.12551908557047</v>
      </c>
      <c r="M360" s="7">
        <f t="shared" si="53"/>
        <v>-8.8093574198408464E-2</v>
      </c>
      <c r="N360" s="7">
        <f t="shared" si="49"/>
        <v>0.85999957521104331</v>
      </c>
      <c r="O360" s="7">
        <f t="shared" si="50"/>
        <v>0.14000042478895675</v>
      </c>
    </row>
    <row r="361" spans="1:15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4">
        <f>IF(SUMIFS('Daily NSE Equity Cash'!$H:$H,'Daily NSE Equity Cash'!$A:$A,$A361)=0,"",SUMIFS('Daily NSE Equity Cash'!$H:$H,'Daily NSE Equity Cash'!$A:$A,$A361))</f>
        <v>525.11260000000004</v>
      </c>
      <c r="F361" s="4">
        <f>IF(SUMIFS('Daily BSE Equity Cash'!$H:$H,'Daily BSE Equity Cash'!$A:$A,$A361)=0,"",SUMIFS('Daily BSE Equity Cash'!$H:$H,'Daily BSE Equity Cash'!$A:$A,$A361))</f>
        <v>38.986899999999999</v>
      </c>
      <c r="G361" s="4">
        <f t="shared" si="45"/>
        <v>564.09950000000003</v>
      </c>
      <c r="H361" s="7" t="str">
        <f t="shared" si="46"/>
        <v/>
      </c>
      <c r="I361" s="7" t="str">
        <f t="shared" si="47"/>
        <v/>
      </c>
      <c r="J361" s="7" t="str">
        <f t="shared" si="48"/>
        <v/>
      </c>
      <c r="K361" s="7">
        <f t="shared" si="51"/>
        <v>5.436823454080475E-2</v>
      </c>
      <c r="L361" s="7">
        <f t="shared" si="52"/>
        <v>-0.51913024601669056</v>
      </c>
      <c r="M361" s="7">
        <f t="shared" si="53"/>
        <v>-2.5921796353065796E-2</v>
      </c>
      <c r="N361" s="7">
        <f t="shared" si="49"/>
        <v>0.93088648367885451</v>
      </c>
      <c r="O361" s="7">
        <f t="shared" si="50"/>
        <v>6.9113516321145471E-2</v>
      </c>
    </row>
    <row r="362" spans="1:15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4">
        <f>IF(SUMIFS('Daily NSE Equity Cash'!$H:$H,'Daily NSE Equity Cash'!$A:$A,$A362)=0,"",SUMIFS('Daily NSE Equity Cash'!$H:$H,'Daily NSE Equity Cash'!$A:$A,$A362))</f>
        <v>673.83920000000001</v>
      </c>
      <c r="F362" s="4">
        <f>IF(SUMIFS('Daily BSE Equity Cash'!$H:$H,'Daily BSE Equity Cash'!$A:$A,$A362)=0,"",SUMIFS('Daily BSE Equity Cash'!$H:$H,'Daily BSE Equity Cash'!$A:$A,$A362))</f>
        <v>60.735900000000001</v>
      </c>
      <c r="G362" s="4">
        <f t="shared" si="45"/>
        <v>734.57510000000002</v>
      </c>
      <c r="H362" s="7">
        <f t="shared" si="46"/>
        <v>5.8467253277044273E-2</v>
      </c>
      <c r="I362" s="7">
        <f t="shared" si="47"/>
        <v>0.61119423177933063</v>
      </c>
      <c r="J362" s="7">
        <f t="shared" si="48"/>
        <v>8.9366365021879446E-2</v>
      </c>
      <c r="K362" s="7">
        <f t="shared" si="51"/>
        <v>0.28322801623880278</v>
      </c>
      <c r="L362" s="7">
        <f t="shared" si="52"/>
        <v>0.55785404841113295</v>
      </c>
      <c r="M362" s="7">
        <f t="shared" si="53"/>
        <v>0.30220838699555652</v>
      </c>
      <c r="N362" s="7">
        <f t="shared" si="49"/>
        <v>0.91731832456613349</v>
      </c>
      <c r="O362" s="7">
        <f t="shared" si="50"/>
        <v>8.2681675433866467E-2</v>
      </c>
    </row>
    <row r="363" spans="1:15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4">
        <f>IF(SUMIFS('Daily NSE Equity Cash'!$H:$H,'Daily NSE Equity Cash'!$A:$A,$A363)=0,"",SUMIFS('Daily NSE Equity Cash'!$H:$H,'Daily NSE Equity Cash'!$A:$A,$A363))</f>
        <v>742.37909999999999</v>
      </c>
      <c r="F363" s="4">
        <f>IF(SUMIFS('Daily BSE Equity Cash'!$H:$H,'Daily BSE Equity Cash'!$A:$A,$A363)=0,"",SUMIFS('Daily BSE Equity Cash'!$H:$H,'Daily BSE Equity Cash'!$A:$A,$A363))</f>
        <v>74.460899999999995</v>
      </c>
      <c r="G363" s="4">
        <f t="shared" si="45"/>
        <v>816.84</v>
      </c>
      <c r="H363" s="7">
        <f t="shared" si="46"/>
        <v>0.37949936365455716</v>
      </c>
      <c r="I363" s="7">
        <f t="shared" si="47"/>
        <v>1.7071867194572601</v>
      </c>
      <c r="J363" s="7">
        <f t="shared" si="48"/>
        <v>0.44405787262930119</v>
      </c>
      <c r="K363" s="7">
        <f t="shared" si="51"/>
        <v>0.10171551313725891</v>
      </c>
      <c r="L363" s="7">
        <f t="shared" si="52"/>
        <v>0.2259783752278306</v>
      </c>
      <c r="M363" s="7">
        <f t="shared" si="53"/>
        <v>0.11198977476911476</v>
      </c>
      <c r="N363" s="7">
        <f t="shared" si="49"/>
        <v>0.90884273541942118</v>
      </c>
      <c r="O363" s="7">
        <f t="shared" si="50"/>
        <v>9.1157264580578809E-2</v>
      </c>
    </row>
    <row r="364" spans="1:15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4">
        <f>IF(SUMIFS('Daily NSE Equity Cash'!$H:$H,'Daily NSE Equity Cash'!$A:$A,$A364)=0,"",SUMIFS('Daily NSE Equity Cash'!$H:$H,'Daily NSE Equity Cash'!$A:$A,$A364))</f>
        <v>758.77350000000001</v>
      </c>
      <c r="F364" s="4">
        <f>IF(SUMIFS('Daily BSE Equity Cash'!$H:$H,'Daily BSE Equity Cash'!$A:$A,$A364)=0,"",SUMIFS('Daily BSE Equity Cash'!$H:$H,'Daily BSE Equity Cash'!$A:$A,$A364))</f>
        <v>76.046199999999999</v>
      </c>
      <c r="G364" s="4">
        <f t="shared" si="45"/>
        <v>834.81970000000001</v>
      </c>
      <c r="H364" s="7">
        <f t="shared" si="46"/>
        <v>0.48836959775347988</v>
      </c>
      <c r="I364" s="7">
        <f t="shared" si="47"/>
        <v>1.4267378928288785</v>
      </c>
      <c r="J364" s="7">
        <f t="shared" si="48"/>
        <v>0.54270957569835154</v>
      </c>
      <c r="K364" s="7">
        <f t="shared" si="51"/>
        <v>2.2083595833988445E-2</v>
      </c>
      <c r="L364" s="7">
        <f t="shared" si="52"/>
        <v>2.1290368502126622E-2</v>
      </c>
      <c r="M364" s="7">
        <f t="shared" si="53"/>
        <v>2.2011287400225177E-2</v>
      </c>
      <c r="N364" s="7">
        <f t="shared" si="49"/>
        <v>0.90890703705243181</v>
      </c>
      <c r="O364" s="7">
        <f t="shared" si="50"/>
        <v>9.109296294756819E-2</v>
      </c>
    </row>
    <row r="365" spans="1:15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4">
        <f>IF(SUMIFS('Daily NSE Equity Cash'!$H:$H,'Daily NSE Equity Cash'!$A:$A,$A365)=0,"",SUMIFS('Daily NSE Equity Cash'!$H:$H,'Daily NSE Equity Cash'!$A:$A,$A365))</f>
        <v>1053.8846000000001</v>
      </c>
      <c r="F365" s="4">
        <f>IF(SUMIFS('Daily BSE Equity Cash'!$H:$H,'Daily BSE Equity Cash'!$A:$A,$A365)=0,"",SUMIFS('Daily BSE Equity Cash'!$H:$H,'Daily BSE Equity Cash'!$A:$A,$A365))</f>
        <v>61.164000000000001</v>
      </c>
      <c r="G365" s="4">
        <f t="shared" si="45"/>
        <v>1115.0486000000001</v>
      </c>
      <c r="H365" s="7">
        <f t="shared" si="46"/>
        <v>1.0664164865543713</v>
      </c>
      <c r="I365" s="7">
        <f t="shared" si="47"/>
        <v>1.1678983465362327</v>
      </c>
      <c r="J365" s="7">
        <f t="shared" si="48"/>
        <v>1.0717361730179182</v>
      </c>
      <c r="K365" s="7">
        <f t="shared" si="51"/>
        <v>0.38893174313546797</v>
      </c>
      <c r="L365" s="7">
        <f t="shared" si="52"/>
        <v>-0.19569945638309338</v>
      </c>
      <c r="M365" s="7">
        <f t="shared" si="53"/>
        <v>0.33567595493973146</v>
      </c>
      <c r="N365" s="7">
        <f t="shared" si="49"/>
        <v>0.94514678553024511</v>
      </c>
      <c r="O365" s="7">
        <f t="shared" si="50"/>
        <v>5.4853214469754948E-2</v>
      </c>
    </row>
    <row r="366" spans="1:15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4">
        <f>IF(SUMIFS('Daily NSE Equity Cash'!$H:$H,'Daily NSE Equity Cash'!$A:$A,$A366)=0,"",SUMIFS('Daily NSE Equity Cash'!$H:$H,'Daily NSE Equity Cash'!$A:$A,$A366))</f>
        <v>645.55029999999999</v>
      </c>
      <c r="F366" s="4">
        <f>IF(SUMIFS('Daily BSE Equity Cash'!$H:$H,'Daily BSE Equity Cash'!$A:$A,$A366)=0,"",SUMIFS('Daily BSE Equity Cash'!$H:$H,'Daily BSE Equity Cash'!$A:$A,$A366))</f>
        <v>64.953400000000002</v>
      </c>
      <c r="G366" s="4">
        <f t="shared" si="45"/>
        <v>710.50369999999998</v>
      </c>
      <c r="H366" s="7" t="str">
        <f t="shared" si="46"/>
        <v/>
      </c>
      <c r="I366" s="7" t="str">
        <f t="shared" si="47"/>
        <v/>
      </c>
      <c r="J366" s="7" t="str">
        <f t="shared" si="48"/>
        <v/>
      </c>
      <c r="K366" s="7">
        <f t="shared" si="51"/>
        <v>-0.38745636856255428</v>
      </c>
      <c r="L366" s="7">
        <f t="shared" si="52"/>
        <v>6.1954744621018909E-2</v>
      </c>
      <c r="M366" s="7">
        <f t="shared" si="53"/>
        <v>-0.36280472438600442</v>
      </c>
      <c r="N366" s="7">
        <f t="shared" si="49"/>
        <v>0.90858119387696368</v>
      </c>
      <c r="O366" s="7">
        <f t="shared" si="50"/>
        <v>9.1418806123036378E-2</v>
      </c>
    </row>
    <row r="367" spans="1:15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4">
        <f>IF(SUMIFS('Daily NSE Equity Cash'!$H:$H,'Daily NSE Equity Cash'!$A:$A,$A367)=0,"",SUMIFS('Daily NSE Equity Cash'!$H:$H,'Daily NSE Equity Cash'!$A:$A,$A367))</f>
        <v>687.06190000000004</v>
      </c>
      <c r="F367" s="4">
        <f>IF(SUMIFS('Daily BSE Equity Cash'!$H:$H,'Daily BSE Equity Cash'!$A:$A,$A367)=0,"",SUMIFS('Daily BSE Equity Cash'!$H:$H,'Daily BSE Equity Cash'!$A:$A,$A367))</f>
        <v>50.121600000000001</v>
      </c>
      <c r="G367" s="4">
        <f t="shared" si="45"/>
        <v>737.18350000000009</v>
      </c>
      <c r="H367" s="7">
        <f t="shared" si="46"/>
        <v>7.0700375989237285E-2</v>
      </c>
      <c r="I367" s="7">
        <f t="shared" si="47"/>
        <v>0.48738051926084425</v>
      </c>
      <c r="J367" s="7">
        <f t="shared" si="48"/>
        <v>9.1490154307470206E-2</v>
      </c>
      <c r="K367" s="7">
        <f t="shared" si="51"/>
        <v>6.4304206813938558E-2</v>
      </c>
      <c r="L367" s="7">
        <f t="shared" si="52"/>
        <v>-0.22834524443678084</v>
      </c>
      <c r="M367" s="7">
        <f t="shared" si="53"/>
        <v>3.7550543368036093E-2</v>
      </c>
      <c r="N367" s="7">
        <f t="shared" si="49"/>
        <v>0.93200933010573339</v>
      </c>
      <c r="O367" s="7">
        <f t="shared" si="50"/>
        <v>6.7990669894266484E-2</v>
      </c>
    </row>
    <row r="368" spans="1:15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4">
        <f>IF(SUMIFS('Daily NSE Equity Cash'!$H:$H,'Daily NSE Equity Cash'!$A:$A,$A368)=0,"",SUMIFS('Daily NSE Equity Cash'!$H:$H,'Daily NSE Equity Cash'!$A:$A,$A368))</f>
        <v>687.33860000000004</v>
      </c>
      <c r="F368" s="4">
        <f>IF(SUMIFS('Daily BSE Equity Cash'!$H:$H,'Daily BSE Equity Cash'!$A:$A,$A368)=0,"",SUMIFS('Daily BSE Equity Cash'!$H:$H,'Daily BSE Equity Cash'!$A:$A,$A368))</f>
        <v>62.338700000000003</v>
      </c>
      <c r="G368" s="4">
        <f t="shared" si="45"/>
        <v>749.67730000000006</v>
      </c>
      <c r="H368" s="7">
        <f t="shared" si="46"/>
        <v>0.12923892617758392</v>
      </c>
      <c r="I368" s="7">
        <f t="shared" si="47"/>
        <v>0.99414922202886702</v>
      </c>
      <c r="J368" s="7">
        <f t="shared" si="48"/>
        <v>0.17148976067881883</v>
      </c>
      <c r="K368" s="7">
        <f t="shared" si="51"/>
        <v>4.0272936106622303E-4</v>
      </c>
      <c r="L368" s="7">
        <f t="shared" si="52"/>
        <v>0.24374920194087979</v>
      </c>
      <c r="M368" s="7">
        <f t="shared" si="53"/>
        <v>1.6948019048174556E-2</v>
      </c>
      <c r="N368" s="7">
        <f t="shared" si="49"/>
        <v>0.91684595491953669</v>
      </c>
      <c r="O368" s="7">
        <f t="shared" si="50"/>
        <v>8.3154045080463285E-2</v>
      </c>
    </row>
    <row r="369" spans="1:15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4">
        <f>IF(SUMIFS('Daily NSE Equity Cash'!$H:$H,'Daily NSE Equity Cash'!$A:$A,$A369)=0,"",SUMIFS('Daily NSE Equity Cash'!$H:$H,'Daily NSE Equity Cash'!$A:$A,$A369))</f>
        <v>741.89739999999995</v>
      </c>
      <c r="F369" s="4">
        <f>IF(SUMIFS('Daily BSE Equity Cash'!$H:$H,'Daily BSE Equity Cash'!$A:$A,$A369)=0,"",SUMIFS('Daily BSE Equity Cash'!$H:$H,'Daily BSE Equity Cash'!$A:$A,$A369))</f>
        <v>118.226</v>
      </c>
      <c r="G369" s="4">
        <f t="shared" si="45"/>
        <v>860.12339999999995</v>
      </c>
      <c r="H369" s="7">
        <f t="shared" si="46"/>
        <v>0.29363803012710266</v>
      </c>
      <c r="I369" s="7">
        <f t="shared" si="47"/>
        <v>2.9602322021351073</v>
      </c>
      <c r="J369" s="7">
        <f t="shared" si="48"/>
        <v>0.42557904182347173</v>
      </c>
      <c r="K369" s="7">
        <f t="shared" si="51"/>
        <v>7.9376889352642088E-2</v>
      </c>
      <c r="L369" s="7">
        <f t="shared" si="52"/>
        <v>0.89651051433539664</v>
      </c>
      <c r="M369" s="7">
        <f t="shared" si="53"/>
        <v>0.14732485564122033</v>
      </c>
      <c r="N369" s="7">
        <f t="shared" si="49"/>
        <v>0.86254762979358546</v>
      </c>
      <c r="O369" s="7">
        <f t="shared" si="50"/>
        <v>0.13745237020641457</v>
      </c>
    </row>
    <row r="370" spans="1:15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4">
        <f>IF(SUMIFS('Daily NSE Equity Cash'!$H:$H,'Daily NSE Equity Cash'!$A:$A,$A370)=0,"",SUMIFS('Daily NSE Equity Cash'!$H:$H,'Daily NSE Equity Cash'!$A:$A,$A370))</f>
        <v>790.04539999999997</v>
      </c>
      <c r="F370" s="4">
        <f>IF(SUMIFS('Daily BSE Equity Cash'!$H:$H,'Daily BSE Equity Cash'!$A:$A,$A370)=0,"",SUMIFS('Daily BSE Equity Cash'!$H:$H,'Daily BSE Equity Cash'!$A:$A,$A370))</f>
        <v>65.261700000000005</v>
      </c>
      <c r="G370" s="4">
        <f t="shared" si="45"/>
        <v>855.30709999999999</v>
      </c>
      <c r="H370" s="7">
        <f t="shared" si="46"/>
        <v>0.34481649841822914</v>
      </c>
      <c r="I370" s="7">
        <f t="shared" si="47"/>
        <v>1.2572374291821449</v>
      </c>
      <c r="J370" s="7">
        <f t="shared" si="48"/>
        <v>0.38761446345289396</v>
      </c>
      <c r="K370" s="7">
        <f t="shared" si="51"/>
        <v>6.4898461701038412E-2</v>
      </c>
      <c r="L370" s="7">
        <f t="shared" si="52"/>
        <v>-0.44799198145923902</v>
      </c>
      <c r="M370" s="7">
        <f t="shared" si="53"/>
        <v>-5.5995453675600215E-3</v>
      </c>
      <c r="N370" s="7">
        <f t="shared" si="49"/>
        <v>0.92369793259052801</v>
      </c>
      <c r="O370" s="7">
        <f t="shared" si="50"/>
        <v>7.6302067409471999E-2</v>
      </c>
    </row>
    <row r="371" spans="1:15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4">
        <f>IF(SUMIFS('Daily NSE Equity Cash'!$H:$H,'Daily NSE Equity Cash'!$A:$A,$A371)=0,"",SUMIFS('Daily NSE Equity Cash'!$H:$H,'Daily NSE Equity Cash'!$A:$A,$A371))</f>
        <v>687.10090000000002</v>
      </c>
      <c r="F371" s="4">
        <f>IF(SUMIFS('Daily BSE Equity Cash'!$H:$H,'Daily BSE Equity Cash'!$A:$A,$A371)=0,"",SUMIFS('Daily BSE Equity Cash'!$H:$H,'Daily BSE Equity Cash'!$A:$A,$A371))</f>
        <v>52.097299999999997</v>
      </c>
      <c r="G371" s="4">
        <f t="shared" si="45"/>
        <v>739.19820000000004</v>
      </c>
      <c r="H371" s="7" t="str">
        <f t="shared" si="46"/>
        <v/>
      </c>
      <c r="I371" s="7" t="str">
        <f t="shared" si="47"/>
        <v/>
      </c>
      <c r="J371" s="7" t="str">
        <f t="shared" si="48"/>
        <v/>
      </c>
      <c r="K371" s="7">
        <f t="shared" si="51"/>
        <v>-0.13030200542905501</v>
      </c>
      <c r="L371" s="7">
        <f t="shared" si="52"/>
        <v>-0.20171708674459921</v>
      </c>
      <c r="M371" s="7">
        <f t="shared" si="53"/>
        <v>-0.13575112377764664</v>
      </c>
      <c r="N371" s="7">
        <f t="shared" si="49"/>
        <v>0.92952187924700036</v>
      </c>
      <c r="O371" s="7">
        <f t="shared" si="50"/>
        <v>7.0478120752999668E-2</v>
      </c>
    </row>
    <row r="372" spans="1:15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4">
        <f>IF(SUMIFS('Daily NSE Equity Cash'!$H:$H,'Daily NSE Equity Cash'!$A:$A,$A372)=0,"",SUMIFS('Daily NSE Equity Cash'!$H:$H,'Daily NSE Equity Cash'!$A:$A,$A372))</f>
        <v>706.5444</v>
      </c>
      <c r="F372" s="4">
        <f>IF(SUMIFS('Daily BSE Equity Cash'!$H:$H,'Daily BSE Equity Cash'!$A:$A,$A372)=0,"",SUMIFS('Daily BSE Equity Cash'!$H:$H,'Daily BSE Equity Cash'!$A:$A,$A372))</f>
        <v>66.589799999999997</v>
      </c>
      <c r="G372" s="4">
        <f t="shared" si="45"/>
        <v>773.13419999999996</v>
      </c>
      <c r="H372" s="7">
        <f t="shared" si="46"/>
        <v>0.50029462533319213</v>
      </c>
      <c r="I372" s="7">
        <f t="shared" si="47"/>
        <v>1.0419429027015426</v>
      </c>
      <c r="J372" s="7">
        <f t="shared" si="48"/>
        <v>0.53537308551059959</v>
      </c>
      <c r="K372" s="7">
        <f t="shared" si="51"/>
        <v>2.8297881723048146E-2</v>
      </c>
      <c r="L372" s="7">
        <f t="shared" si="52"/>
        <v>0.27818140287500515</v>
      </c>
      <c r="M372" s="7">
        <f t="shared" si="53"/>
        <v>4.5909202700980423E-2</v>
      </c>
      <c r="N372" s="7">
        <f t="shared" si="49"/>
        <v>0.91387032160781401</v>
      </c>
      <c r="O372" s="7">
        <f t="shared" si="50"/>
        <v>8.6129678392185993E-2</v>
      </c>
    </row>
    <row r="373" spans="1:15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4">
        <f>IF(SUMIFS('Daily NSE Equity Cash'!$H:$H,'Daily NSE Equity Cash'!$A:$A,$A373)=0,"",SUMIFS('Daily NSE Equity Cash'!$H:$H,'Daily NSE Equity Cash'!$A:$A,$A373))</f>
        <v>831.9982</v>
      </c>
      <c r="F373" s="4">
        <f>IF(SUMIFS('Daily BSE Equity Cash'!$H:$H,'Daily BSE Equity Cash'!$A:$A,$A373)=0,"",SUMIFS('Daily BSE Equity Cash'!$H:$H,'Daily BSE Equity Cash'!$A:$A,$A373))</f>
        <v>97.174400000000006</v>
      </c>
      <c r="G373" s="4">
        <f t="shared" si="45"/>
        <v>929.17259999999999</v>
      </c>
      <c r="H373" s="7">
        <f t="shared" si="46"/>
        <v>0.64213660592919197</v>
      </c>
      <c r="I373" s="7">
        <f t="shared" si="47"/>
        <v>3.168249474542101</v>
      </c>
      <c r="J373" s="7">
        <f t="shared" si="48"/>
        <v>0.75325872895560475</v>
      </c>
      <c r="K373" s="7">
        <f t="shared" si="51"/>
        <v>0.17755968343956874</v>
      </c>
      <c r="L373" s="7">
        <f t="shared" si="52"/>
        <v>0.4592985712526545</v>
      </c>
      <c r="M373" s="7">
        <f t="shared" si="53"/>
        <v>0.20182576323748203</v>
      </c>
      <c r="N373" s="7">
        <f t="shared" si="49"/>
        <v>0.89541835392046643</v>
      </c>
      <c r="O373" s="7">
        <f t="shared" si="50"/>
        <v>0.10458164607953356</v>
      </c>
    </row>
    <row r="374" spans="1:15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4">
        <f>IF(SUMIFS('Daily NSE Equity Cash'!$H:$H,'Daily NSE Equity Cash'!$A:$A,$A374)=0,"",SUMIFS('Daily NSE Equity Cash'!$H:$H,'Daily NSE Equity Cash'!$A:$A,$A374))</f>
        <v>729.73519999999996</v>
      </c>
      <c r="F374" s="4">
        <f>IF(SUMIFS('Daily BSE Equity Cash'!$H:$H,'Daily BSE Equity Cash'!$A:$A,$A374)=0,"",SUMIFS('Daily BSE Equity Cash'!$H:$H,'Daily BSE Equity Cash'!$A:$A,$A374))</f>
        <v>50.427300000000002</v>
      </c>
      <c r="G374" s="4">
        <f t="shared" si="45"/>
        <v>780.16249999999991</v>
      </c>
      <c r="H374" s="7">
        <f t="shared" si="46"/>
        <v>0.50430345678320099</v>
      </c>
      <c r="I374" s="7">
        <f t="shared" si="47"/>
        <v>0.50856183849177627</v>
      </c>
      <c r="J374" s="7">
        <f t="shared" si="48"/>
        <v>0.50457797856924369</v>
      </c>
      <c r="K374" s="7">
        <f t="shared" si="51"/>
        <v>-0.12291252553190624</v>
      </c>
      <c r="L374" s="7">
        <f t="shared" si="52"/>
        <v>-0.4810639427668193</v>
      </c>
      <c r="M374" s="7">
        <f t="shared" si="53"/>
        <v>-0.16036859029205131</v>
      </c>
      <c r="N374" s="7">
        <f t="shared" si="49"/>
        <v>0.93536308140932178</v>
      </c>
      <c r="O374" s="7">
        <f t="shared" si="50"/>
        <v>6.463691859067823E-2</v>
      </c>
    </row>
    <row r="375" spans="1:15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4">
        <f>IF(SUMIFS('Daily NSE Equity Cash'!$H:$H,'Daily NSE Equity Cash'!$A:$A,$A375)=0,"",SUMIFS('Daily NSE Equity Cash'!$H:$H,'Daily NSE Equity Cash'!$A:$A,$A375))</f>
        <v>645.14350000000002</v>
      </c>
      <c r="F375" s="4">
        <f>IF(SUMIFS('Daily BSE Equity Cash'!$H:$H,'Daily BSE Equity Cash'!$A:$A,$A375)=0,"",SUMIFS('Daily BSE Equity Cash'!$H:$H,'Daily BSE Equity Cash'!$A:$A,$A375))</f>
        <v>57.386899999999997</v>
      </c>
      <c r="G375" s="4">
        <f t="shared" si="45"/>
        <v>702.53039999999999</v>
      </c>
      <c r="H375" s="7">
        <f t="shared" si="46"/>
        <v>0.38575826109482336</v>
      </c>
      <c r="I375" s="7">
        <f t="shared" si="47"/>
        <v>0.30641221478312919</v>
      </c>
      <c r="J375" s="7">
        <f t="shared" si="48"/>
        <v>0.37891708366062793</v>
      </c>
      <c r="K375" s="7">
        <f t="shared" si="51"/>
        <v>-0.11592109028041941</v>
      </c>
      <c r="L375" s="7">
        <f t="shared" si="52"/>
        <v>0.13801254479220559</v>
      </c>
      <c r="M375" s="7">
        <f t="shared" si="53"/>
        <v>-9.9507602582795118E-2</v>
      </c>
      <c r="N375" s="7">
        <f t="shared" si="49"/>
        <v>0.91831399751526765</v>
      </c>
      <c r="O375" s="7">
        <f t="shared" si="50"/>
        <v>8.1686002484732331E-2</v>
      </c>
    </row>
    <row r="376" spans="1:15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4">
        <f>IF(SUMIFS('Daily NSE Equity Cash'!$H:$H,'Daily NSE Equity Cash'!$A:$A,$A376)=0,"",SUMIFS('Daily NSE Equity Cash'!$H:$H,'Daily NSE Equity Cash'!$A:$A,$A376))</f>
        <v>744.22299999999996</v>
      </c>
      <c r="F376" s="4">
        <f>IF(SUMIFS('Daily BSE Equity Cash'!$H:$H,'Daily BSE Equity Cash'!$A:$A,$A376)=0,"",SUMIFS('Daily BSE Equity Cash'!$H:$H,'Daily BSE Equity Cash'!$A:$A,$A376))</f>
        <v>56.414400000000001</v>
      </c>
      <c r="G376" s="4">
        <f t="shared" si="45"/>
        <v>800.63739999999996</v>
      </c>
      <c r="H376" s="7" t="str">
        <f t="shared" si="46"/>
        <v/>
      </c>
      <c r="I376" s="7" t="str">
        <f t="shared" si="47"/>
        <v/>
      </c>
      <c r="J376" s="7" t="str">
        <f t="shared" si="48"/>
        <v/>
      </c>
      <c r="K376" s="7">
        <f t="shared" si="51"/>
        <v>0.1535774598984565</v>
      </c>
      <c r="L376" s="7">
        <f t="shared" si="52"/>
        <v>-1.6946376263572316E-2</v>
      </c>
      <c r="M376" s="7">
        <f t="shared" si="53"/>
        <v>0.13964804939401909</v>
      </c>
      <c r="N376" s="7">
        <f t="shared" si="49"/>
        <v>0.92953814048656735</v>
      </c>
      <c r="O376" s="7">
        <f t="shared" si="50"/>
        <v>7.0461859513432673E-2</v>
      </c>
    </row>
    <row r="377" spans="1:15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4">
        <f>IF(SUMIFS('Daily NSE Equity Cash'!$H:$H,'Daily NSE Equity Cash'!$A:$A,$A377)=0,"",SUMIFS('Daily NSE Equity Cash'!$H:$H,'Daily NSE Equity Cash'!$A:$A,$A377))</f>
        <v>711.41129999999998</v>
      </c>
      <c r="F377" s="4">
        <f>IF(SUMIFS('Daily BSE Equity Cash'!$H:$H,'Daily BSE Equity Cash'!$A:$A,$A377)=0,"",SUMIFS('Daily BSE Equity Cash'!$H:$H,'Daily BSE Equity Cash'!$A:$A,$A377))</f>
        <v>90.109899999999996</v>
      </c>
      <c r="G377" s="4">
        <f t="shared" si="45"/>
        <v>801.52120000000002</v>
      </c>
      <c r="H377" s="7">
        <f t="shared" si="46"/>
        <v>0.37871475747874017</v>
      </c>
      <c r="I377" s="7">
        <f t="shared" si="47"/>
        <v>2.2541105264868495</v>
      </c>
      <c r="J377" s="7">
        <f t="shared" si="48"/>
        <v>0.4742325135174259</v>
      </c>
      <c r="K377" s="7">
        <f t="shared" si="51"/>
        <v>-4.4088532603802855E-2</v>
      </c>
      <c r="L377" s="7">
        <f t="shared" si="52"/>
        <v>0.59728544485095991</v>
      </c>
      <c r="M377" s="7">
        <f t="shared" si="53"/>
        <v>1.1038704911863206E-3</v>
      </c>
      <c r="N377" s="7">
        <f t="shared" si="49"/>
        <v>0.8875763984782935</v>
      </c>
      <c r="O377" s="7">
        <f t="shared" si="50"/>
        <v>0.11242360152170647</v>
      </c>
    </row>
    <row r="378" spans="1:15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4">
        <f>IF(SUMIFS('Daily NSE Equity Cash'!$H:$H,'Daily NSE Equity Cash'!$A:$A,$A378)=0,"",SUMIFS('Daily NSE Equity Cash'!$H:$H,'Daily NSE Equity Cash'!$A:$A,$A378))</f>
        <v>760.18949999999995</v>
      </c>
      <c r="F378" s="4">
        <f>IF(SUMIFS('Daily BSE Equity Cash'!$H:$H,'Daily BSE Equity Cash'!$A:$A,$A378)=0,"",SUMIFS('Daily BSE Equity Cash'!$H:$H,'Daily BSE Equity Cash'!$A:$A,$A378))</f>
        <v>59.868000000000002</v>
      </c>
      <c r="G378" s="4">
        <f t="shared" si="45"/>
        <v>820.0575</v>
      </c>
      <c r="H378" s="7">
        <f t="shared" si="46"/>
        <v>0.52939878225824621</v>
      </c>
      <c r="I378" s="7">
        <f t="shared" si="47"/>
        <v>1.133160403913716</v>
      </c>
      <c r="J378" s="7">
        <f t="shared" si="48"/>
        <v>0.56166744681086089</v>
      </c>
      <c r="K378" s="7">
        <f t="shared" si="51"/>
        <v>6.8565399509397773E-2</v>
      </c>
      <c r="L378" s="7">
        <f t="shared" si="52"/>
        <v>-0.33561129243290688</v>
      </c>
      <c r="M378" s="7">
        <f t="shared" si="53"/>
        <v>2.3126400150114579E-2</v>
      </c>
      <c r="N378" s="7">
        <f t="shared" si="49"/>
        <v>0.9269953631300244</v>
      </c>
      <c r="O378" s="7">
        <f t="shared" si="50"/>
        <v>7.3004636869975589E-2</v>
      </c>
    </row>
    <row r="379" spans="1:15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4">
        <f>IF(SUMIFS('Daily NSE Equity Cash'!$H:$H,'Daily NSE Equity Cash'!$A:$A,$A379)=0,"",SUMIFS('Daily NSE Equity Cash'!$H:$H,'Daily NSE Equity Cash'!$A:$A,$A379))</f>
        <v>738.40840000000003</v>
      </c>
      <c r="F379" s="4">
        <f>IF(SUMIFS('Daily BSE Equity Cash'!$H:$H,'Daily BSE Equity Cash'!$A:$A,$A379)=0,"",SUMIFS('Daily BSE Equity Cash'!$H:$H,'Daily BSE Equity Cash'!$A:$A,$A379))</f>
        <v>56.974200000000003</v>
      </c>
      <c r="G379" s="4">
        <f t="shared" si="45"/>
        <v>795.38260000000002</v>
      </c>
      <c r="H379" s="7">
        <f t="shared" si="46"/>
        <v>0.37709398801994065</v>
      </c>
      <c r="I379" s="7">
        <f t="shared" si="47"/>
        <v>1.1418791658677976</v>
      </c>
      <c r="J379" s="7">
        <f t="shared" si="48"/>
        <v>0.41324018608128732</v>
      </c>
      <c r="K379" s="7">
        <f t="shared" si="51"/>
        <v>-2.8652197905916776E-2</v>
      </c>
      <c r="L379" s="7">
        <f t="shared" si="52"/>
        <v>-4.8336339947885332E-2</v>
      </c>
      <c r="M379" s="7">
        <f t="shared" si="53"/>
        <v>-3.0089231547787754E-2</v>
      </c>
      <c r="N379" s="7">
        <f t="shared" si="49"/>
        <v>0.92836881269467042</v>
      </c>
      <c r="O379" s="7">
        <f t="shared" si="50"/>
        <v>7.1631187305329538E-2</v>
      </c>
    </row>
    <row r="380" spans="1:15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4">
        <f>IF(SUMIFS('Daily NSE Equity Cash'!$H:$H,'Daily NSE Equity Cash'!$A:$A,$A380)=0,"",SUMIFS('Daily NSE Equity Cash'!$H:$H,'Daily NSE Equity Cash'!$A:$A,$A380))</f>
        <v>742.95950000000005</v>
      </c>
      <c r="F380" s="4">
        <f>IF(SUMIFS('Daily BSE Equity Cash'!$H:$H,'Daily BSE Equity Cash'!$A:$A,$A380)=0,"",SUMIFS('Daily BSE Equity Cash'!$H:$H,'Daily BSE Equity Cash'!$A:$A,$A380))</f>
        <v>60.303800000000003</v>
      </c>
      <c r="G380" s="4">
        <f t="shared" si="45"/>
        <v>803.26330000000007</v>
      </c>
      <c r="H380" s="7">
        <f t="shared" si="46"/>
        <v>0.20743557581889882</v>
      </c>
      <c r="I380" s="7">
        <f t="shared" si="47"/>
        <v>0.98084970798268256</v>
      </c>
      <c r="J380" s="7">
        <f t="shared" si="48"/>
        <v>0.24389683779017601</v>
      </c>
      <c r="K380" s="7">
        <f t="shared" si="51"/>
        <v>6.1633914240413201E-3</v>
      </c>
      <c r="L380" s="7">
        <f t="shared" si="52"/>
        <v>5.8440487097668692E-2</v>
      </c>
      <c r="M380" s="7">
        <f t="shared" si="53"/>
        <v>9.9080618560174472E-3</v>
      </c>
      <c r="N380" s="7">
        <f t="shared" si="49"/>
        <v>0.92492648425491364</v>
      </c>
      <c r="O380" s="7">
        <f t="shared" si="50"/>
        <v>7.5073515745086319E-2</v>
      </c>
    </row>
    <row r="381" spans="1:15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4">
        <f>IF(SUMIFS('Daily NSE Equity Cash'!$H:$H,'Daily NSE Equity Cash'!$A:$A,$A381)=0,"",SUMIFS('Daily NSE Equity Cash'!$H:$H,'Daily NSE Equity Cash'!$A:$A,$A381))</f>
        <v>786.52829999999994</v>
      </c>
      <c r="F381" s="4">
        <f>IF(SUMIFS('Daily BSE Equity Cash'!$H:$H,'Daily BSE Equity Cash'!$A:$A,$A381)=0,"",SUMIFS('Daily BSE Equity Cash'!$H:$H,'Daily BSE Equity Cash'!$A:$A,$A381))</f>
        <v>127.0545</v>
      </c>
      <c r="G381" s="4">
        <f t="shared" si="45"/>
        <v>913.58279999999991</v>
      </c>
      <c r="H381" s="7" t="str">
        <f t="shared" si="46"/>
        <v/>
      </c>
      <c r="I381" s="7" t="str">
        <f t="shared" si="47"/>
        <v/>
      </c>
      <c r="J381" s="7" t="str">
        <f t="shared" si="48"/>
        <v/>
      </c>
      <c r="K381" s="7">
        <f t="shared" si="51"/>
        <v>5.8642227470003361E-2</v>
      </c>
      <c r="L381" s="7">
        <f t="shared" si="52"/>
        <v>1.106907027417841</v>
      </c>
      <c r="M381" s="7">
        <f t="shared" si="53"/>
        <v>0.13733915143390685</v>
      </c>
      <c r="N381" s="7">
        <f t="shared" si="49"/>
        <v>0.86092721973312114</v>
      </c>
      <c r="O381" s="7">
        <f t="shared" si="50"/>
        <v>0.13907278026687894</v>
      </c>
    </row>
    <row r="382" spans="1:15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4">
        <f>IF(SUMIFS('Daily NSE Equity Cash'!$H:$H,'Daily NSE Equity Cash'!$A:$A,$A382)=0,"",SUMIFS('Daily NSE Equity Cash'!$H:$H,'Daily NSE Equity Cash'!$A:$A,$A382))</f>
        <v>759.61659999999995</v>
      </c>
      <c r="F382" s="4">
        <f>IF(SUMIFS('Daily BSE Equity Cash'!$H:$H,'Daily BSE Equity Cash'!$A:$A,$A382)=0,"",SUMIFS('Daily BSE Equity Cash'!$H:$H,'Daily BSE Equity Cash'!$A:$A,$A382))</f>
        <v>54.734099999999998</v>
      </c>
      <c r="G382" s="4">
        <f t="shared" si="45"/>
        <v>814.35069999999996</v>
      </c>
      <c r="H382" s="7">
        <f t="shared" si="46"/>
        <v>0.6092798079414401</v>
      </c>
      <c r="I382" s="7">
        <f t="shared" si="47"/>
        <v>0.97614577541574299</v>
      </c>
      <c r="J382" s="7">
        <f t="shared" si="48"/>
        <v>0.62961365772559463</v>
      </c>
      <c r="K382" s="7">
        <f t="shared" si="51"/>
        <v>-3.4215806347972499E-2</v>
      </c>
      <c r="L382" s="7">
        <f t="shared" si="52"/>
        <v>-0.56920770220653338</v>
      </c>
      <c r="M382" s="7">
        <f t="shared" si="53"/>
        <v>-0.10861861672527107</v>
      </c>
      <c r="N382" s="7">
        <f t="shared" si="49"/>
        <v>0.93278804819594308</v>
      </c>
      <c r="O382" s="7">
        <f t="shared" si="50"/>
        <v>6.7211951804056896E-2</v>
      </c>
    </row>
    <row r="383" spans="1:15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4">
        <f>IF(SUMIFS('Daily NSE Equity Cash'!$H:$H,'Daily NSE Equity Cash'!$A:$A,$A383)=0,"",SUMIFS('Daily NSE Equity Cash'!$H:$H,'Daily NSE Equity Cash'!$A:$A,$A383))</f>
        <v>924.86030000000005</v>
      </c>
      <c r="F383" s="4">
        <f>IF(SUMIFS('Daily BSE Equity Cash'!$H:$H,'Daily BSE Equity Cash'!$A:$A,$A383)=0,"",SUMIFS('Daily BSE Equity Cash'!$H:$H,'Daily BSE Equity Cash'!$A:$A,$A383))</f>
        <v>62.985399999999998</v>
      </c>
      <c r="G383" s="4">
        <f t="shared" si="45"/>
        <v>987.84570000000008</v>
      </c>
      <c r="H383" s="7">
        <f t="shared" si="46"/>
        <v>0.8458259073355221</v>
      </c>
      <c r="I383" s="7">
        <f t="shared" si="47"/>
        <v>1.8613859586956325</v>
      </c>
      <c r="J383" s="7">
        <f t="shared" si="48"/>
        <v>0.88856364918312636</v>
      </c>
      <c r="K383" s="7">
        <f t="shared" si="51"/>
        <v>0.21753566206952302</v>
      </c>
      <c r="L383" s="7">
        <f t="shared" si="52"/>
        <v>0.15075245596438047</v>
      </c>
      <c r="M383" s="7">
        <f t="shared" si="53"/>
        <v>0.21304703243946399</v>
      </c>
      <c r="N383" s="7">
        <f t="shared" si="49"/>
        <v>0.93623963742515659</v>
      </c>
      <c r="O383" s="7">
        <f t="shared" si="50"/>
        <v>6.376036257484341E-2</v>
      </c>
    </row>
    <row r="384" spans="1:15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4">
        <f>IF(SUMIFS('Daily NSE Equity Cash'!$H:$H,'Daily NSE Equity Cash'!$A:$A,$A384)=0,"",SUMIFS('Daily NSE Equity Cash'!$H:$H,'Daily NSE Equity Cash'!$A:$A,$A384))</f>
        <v>984.25329999999997</v>
      </c>
      <c r="F384" s="4">
        <f>IF(SUMIFS('Daily BSE Equity Cash'!$H:$H,'Daily BSE Equity Cash'!$A:$A,$A384)=0,"",SUMIFS('Daily BSE Equity Cash'!$H:$H,'Daily BSE Equity Cash'!$A:$A,$A384))</f>
        <v>62.955399999999997</v>
      </c>
      <c r="G384" s="4">
        <f t="shared" si="45"/>
        <v>1047.2086999999999</v>
      </c>
      <c r="H384" s="7">
        <f t="shared" si="46"/>
        <v>0.93562193187498943</v>
      </c>
      <c r="I384" s="7">
        <f t="shared" si="47"/>
        <v>1.9712060787691432</v>
      </c>
      <c r="J384" s="7">
        <f t="shared" si="48"/>
        <v>0.97704759694994991</v>
      </c>
      <c r="K384" s="7">
        <f t="shared" si="51"/>
        <v>6.4218347354730199E-2</v>
      </c>
      <c r="L384" s="7">
        <f t="shared" si="52"/>
        <v>-4.7630085702399239E-4</v>
      </c>
      <c r="M384" s="7">
        <f t="shared" si="53"/>
        <v>6.0093393128096695E-2</v>
      </c>
      <c r="N384" s="7">
        <f t="shared" si="49"/>
        <v>0.93988266140264121</v>
      </c>
      <c r="O384" s="7">
        <f t="shared" si="50"/>
        <v>6.011733859735887E-2</v>
      </c>
    </row>
    <row r="385" spans="1:15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4">
        <f>IF(SUMIFS('Daily NSE Equity Cash'!$H:$H,'Daily NSE Equity Cash'!$A:$A,$A385)=0,"",SUMIFS('Daily NSE Equity Cash'!$H:$H,'Daily NSE Equity Cash'!$A:$A,$A385))</f>
        <v>1036.8444</v>
      </c>
      <c r="F385" s="4">
        <f>IF(SUMIFS('Daily BSE Equity Cash'!$H:$H,'Daily BSE Equity Cash'!$A:$A,$A385)=0,"",SUMIFS('Daily BSE Equity Cash'!$H:$H,'Daily BSE Equity Cash'!$A:$A,$A385))</f>
        <v>71.790999999999997</v>
      </c>
      <c r="G385" s="4">
        <f t="shared" si="45"/>
        <v>1108.6353999999999</v>
      </c>
      <c r="H385" s="7" t="str">
        <f t="shared" si="46"/>
        <v/>
      </c>
      <c r="I385" s="7" t="str">
        <f t="shared" si="47"/>
        <v/>
      </c>
      <c r="J385" s="7" t="str">
        <f t="shared" si="48"/>
        <v/>
      </c>
      <c r="K385" s="7">
        <f t="shared" si="51"/>
        <v>5.3432485316533773E-2</v>
      </c>
      <c r="L385" s="7">
        <f t="shared" si="52"/>
        <v>0.1403469757955631</v>
      </c>
      <c r="M385" s="7">
        <f t="shared" si="53"/>
        <v>5.8657553169678689E-2</v>
      </c>
      <c r="N385" s="7">
        <f t="shared" si="49"/>
        <v>0.93524381415206481</v>
      </c>
      <c r="O385" s="7">
        <f t="shared" si="50"/>
        <v>6.4756185847935216E-2</v>
      </c>
    </row>
    <row r="386" spans="1:15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4">
        <f>IF(SUMIFS('Daily NSE Equity Cash'!$H:$H,'Daily NSE Equity Cash'!$A:$A,$A386)=0,"",SUMIFS('Daily NSE Equity Cash'!$H:$H,'Daily NSE Equity Cash'!$A:$A,$A386))</f>
        <v>1051.3661</v>
      </c>
      <c r="F386" s="4">
        <f>IF(SUMIFS('Daily BSE Equity Cash'!$H:$H,'Daily BSE Equity Cash'!$A:$A,$A386)=0,"",SUMIFS('Daily BSE Equity Cash'!$H:$H,'Daily BSE Equity Cash'!$A:$A,$A386))</f>
        <v>75.150099999999995</v>
      </c>
      <c r="G386" s="4">
        <f t="shared" ref="G386:G449" si="54">IF(OR(E386="",F386=""),"",E386+F386)</f>
        <v>1126.5162</v>
      </c>
      <c r="H386" s="7">
        <f t="shared" ref="H386:H449" si="55">IFERROR(IF(OR(E386="",INDEX(E:E,MATCH(DATE(YEAR($A386)-1,MONTH($A386),DAY($A386)),$A:$A,0))=""),"",E386/INDEX(E:E,MATCH(DATE(YEAR($A386)-1,MONTH($A386),DAY($A386)),$A:$A,0))-1),"")</f>
        <v>1.1705403135018608</v>
      </c>
      <c r="I386" s="7">
        <f t="shared" ref="I386:I449" si="56">IFERROR(IF(OR(F386="",INDEX(F:F,MATCH(DATE(YEAR($A386)-1,MONTH($A386),DAY($A386)),$A:$A,0))=""),"",F386/INDEX(F:F,MATCH(DATE(YEAR($A386)-1,MONTH($A386),DAY($A386)),$A:$A,0))-1),"")</f>
        <v>2.3571032905375824</v>
      </c>
      <c r="J386" s="7">
        <f t="shared" ref="J386:J449" si="57">IFERROR(IF(OR(G386="",INDEX(G:G,MATCH(DATE(YEAR($A386)-1,MONTH($A386),DAY($A386)),$A:$A,0))=""),"",G386/INDEX(G:G,MATCH(DATE(YEAR($A386)-1,MONTH($A386),DAY($A386)),$A:$A,0))-1),"")</f>
        <v>1.2229544919512048</v>
      </c>
      <c r="K386" s="7">
        <f t="shared" si="51"/>
        <v>1.4005669510294805E-2</v>
      </c>
      <c r="L386" s="7">
        <f t="shared" si="52"/>
        <v>4.6789987602902761E-2</v>
      </c>
      <c r="M386" s="7">
        <f t="shared" si="53"/>
        <v>1.6128656905597838E-2</v>
      </c>
      <c r="N386" s="7">
        <f t="shared" ref="N386:N449" si="58">IF(G386="","",E386/G386)</f>
        <v>0.93328981864619431</v>
      </c>
      <c r="O386" s="7">
        <f t="shared" ref="O386:O449" si="59">IF(G386="","",F386/G386)</f>
        <v>6.6710181353805645E-2</v>
      </c>
    </row>
    <row r="387" spans="1:15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4">
        <f>IF(SUMIFS('Daily NSE Equity Cash'!$H:$H,'Daily NSE Equity Cash'!$A:$A,$A387)=0,"",SUMIFS('Daily NSE Equity Cash'!$H:$H,'Daily NSE Equity Cash'!$A:$A,$A387))</f>
        <v>941.87660000000005</v>
      </c>
      <c r="F387" s="4">
        <f>IF(SUMIFS('Daily BSE Equity Cash'!$H:$H,'Daily BSE Equity Cash'!$A:$A,$A387)=0,"",SUMIFS('Daily BSE Equity Cash'!$H:$H,'Daily BSE Equity Cash'!$A:$A,$A387))</f>
        <v>140.81970000000001</v>
      </c>
      <c r="G387" s="4">
        <f t="shared" si="54"/>
        <v>1082.6963000000001</v>
      </c>
      <c r="H387" s="7">
        <f t="shared" si="55"/>
        <v>0.97974052332532358</v>
      </c>
      <c r="I387" s="7">
        <f t="shared" si="56"/>
        <v>5.037752109487549</v>
      </c>
      <c r="J387" s="7">
        <f t="shared" si="57"/>
        <v>1.169380789643681</v>
      </c>
      <c r="K387" s="7">
        <f t="shared" ref="K387:K450" si="60">IF(OR(E387="",E386=""),"",E387/E386-1)</f>
        <v>-0.10414022289666736</v>
      </c>
      <c r="L387" s="7">
        <f t="shared" ref="L387:L450" si="61">IF(OR(F387="",F386=""),"",F387/F386-1)</f>
        <v>0.87384580991908223</v>
      </c>
      <c r="M387" s="7">
        <f t="shared" ref="M387:M450" si="62">IF(OR(G387="",G386=""),"",G387/G386-1)</f>
        <v>-3.8898597286039838E-2</v>
      </c>
      <c r="N387" s="7">
        <f t="shared" si="58"/>
        <v>0.8699361030420073</v>
      </c>
      <c r="O387" s="7">
        <f t="shared" si="59"/>
        <v>0.13006389695799275</v>
      </c>
    </row>
    <row r="388" spans="1:15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4">
        <f>IF(SUMIFS('Daily NSE Equity Cash'!$H:$H,'Daily NSE Equity Cash'!$A:$A,$A388)=0,"",SUMIFS('Daily NSE Equity Cash'!$H:$H,'Daily NSE Equity Cash'!$A:$A,$A388))</f>
        <v>854.26409999999998</v>
      </c>
      <c r="F388" s="4">
        <f>IF(SUMIFS('Daily BSE Equity Cash'!$H:$H,'Daily BSE Equity Cash'!$A:$A,$A388)=0,"",SUMIFS('Daily BSE Equity Cash'!$H:$H,'Daily BSE Equity Cash'!$A:$A,$A388))</f>
        <v>55.266300000000001</v>
      </c>
      <c r="G388" s="4">
        <f t="shared" si="54"/>
        <v>909.53039999999999</v>
      </c>
      <c r="H388" s="7">
        <f t="shared" si="55"/>
        <v>0.39030446880504477</v>
      </c>
      <c r="I388" s="7">
        <f t="shared" si="56"/>
        <v>1.0262844320927456</v>
      </c>
      <c r="J388" s="7">
        <f t="shared" si="57"/>
        <v>0.41733526190451697</v>
      </c>
      <c r="K388" s="7">
        <f t="shared" si="60"/>
        <v>-9.3019085515024025E-2</v>
      </c>
      <c r="L388" s="7">
        <f t="shared" si="61"/>
        <v>-0.6075385759236811</v>
      </c>
      <c r="M388" s="7">
        <f t="shared" si="62"/>
        <v>-0.15993949549841457</v>
      </c>
      <c r="N388" s="7">
        <f t="shared" si="58"/>
        <v>0.93923644553277164</v>
      </c>
      <c r="O388" s="7">
        <f t="shared" si="59"/>
        <v>6.0763554467228365E-2</v>
      </c>
    </row>
    <row r="389" spans="1:15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4">
        <f>IF(SUMIFS('Daily NSE Equity Cash'!$H:$H,'Daily NSE Equity Cash'!$A:$A,$A389)=0,"",SUMIFS('Daily NSE Equity Cash'!$H:$H,'Daily NSE Equity Cash'!$A:$A,$A389))</f>
        <v>793.9538</v>
      </c>
      <c r="F389" s="4">
        <f>IF(SUMIFS('Daily BSE Equity Cash'!$H:$H,'Daily BSE Equity Cash'!$A:$A,$A389)=0,"",SUMIFS('Daily BSE Equity Cash'!$H:$H,'Daily BSE Equity Cash'!$A:$A,$A389))</f>
        <v>54.1432</v>
      </c>
      <c r="G389" s="4">
        <f t="shared" si="54"/>
        <v>848.09699999999998</v>
      </c>
      <c r="H389" s="7">
        <f t="shared" si="55"/>
        <v>0.45802846553040344</v>
      </c>
      <c r="I389" s="7">
        <f t="shared" si="56"/>
        <v>1.2519506879398405</v>
      </c>
      <c r="J389" s="7">
        <f t="shared" si="57"/>
        <v>0.4915998938411883</v>
      </c>
      <c r="K389" s="7">
        <f t="shared" si="60"/>
        <v>-7.0599127365881365E-2</v>
      </c>
      <c r="L389" s="7">
        <f t="shared" si="61"/>
        <v>-2.0321606476279452E-2</v>
      </c>
      <c r="M389" s="7">
        <f t="shared" si="62"/>
        <v>-6.7544086486828858E-2</v>
      </c>
      <c r="N389" s="7">
        <f t="shared" si="58"/>
        <v>0.93615918933801212</v>
      </c>
      <c r="O389" s="7">
        <f t="shared" si="59"/>
        <v>6.3840810661987962E-2</v>
      </c>
    </row>
    <row r="390" spans="1:15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4">
        <f>IF(SUMIFS('Daily NSE Equity Cash'!$H:$H,'Daily NSE Equity Cash'!$A:$A,$A390)=0,"",SUMIFS('Daily NSE Equity Cash'!$H:$H,'Daily NSE Equity Cash'!$A:$A,$A390))</f>
        <v>806.5444</v>
      </c>
      <c r="F390" s="4">
        <f>IF(SUMIFS('Daily BSE Equity Cash'!$H:$H,'Daily BSE Equity Cash'!$A:$A,$A390)=0,"",SUMIFS('Daily BSE Equity Cash'!$H:$H,'Daily BSE Equity Cash'!$A:$A,$A390))</f>
        <v>55.860300000000002</v>
      </c>
      <c r="G390" s="4">
        <f t="shared" si="54"/>
        <v>862.40470000000005</v>
      </c>
      <c r="H390" s="7" t="str">
        <f t="shared" si="55"/>
        <v/>
      </c>
      <c r="I390" s="7" t="str">
        <f t="shared" si="56"/>
        <v/>
      </c>
      <c r="J390" s="7" t="str">
        <f t="shared" si="57"/>
        <v/>
      </c>
      <c r="K390" s="7">
        <f t="shared" si="60"/>
        <v>1.5858101567118865E-2</v>
      </c>
      <c r="L390" s="7">
        <f t="shared" si="61"/>
        <v>3.1714047193368788E-2</v>
      </c>
      <c r="M390" s="7">
        <f t="shared" si="62"/>
        <v>1.6870357989711149E-2</v>
      </c>
      <c r="N390" s="7">
        <f t="shared" si="58"/>
        <v>0.93522727786618043</v>
      </c>
      <c r="O390" s="7">
        <f t="shared" si="59"/>
        <v>6.4772722133819544E-2</v>
      </c>
    </row>
    <row r="391" spans="1:15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4">
        <f>IF(SUMIFS('Daily NSE Equity Cash'!$H:$H,'Daily NSE Equity Cash'!$A:$A,$A391)=0,"",SUMIFS('Daily NSE Equity Cash'!$H:$H,'Daily NSE Equity Cash'!$A:$A,$A391))</f>
        <v>738.26679999999999</v>
      </c>
      <c r="F391" s="4">
        <f>IF(SUMIFS('Daily BSE Equity Cash'!$H:$H,'Daily BSE Equity Cash'!$A:$A,$A391)=0,"",SUMIFS('Daily BSE Equity Cash'!$H:$H,'Daily BSE Equity Cash'!$A:$A,$A391))</f>
        <v>48.274299999999997</v>
      </c>
      <c r="G391" s="4">
        <f t="shared" si="54"/>
        <v>786.54110000000003</v>
      </c>
      <c r="H391" s="7">
        <f t="shared" si="55"/>
        <v>0.48731514750425831</v>
      </c>
      <c r="I391" s="7">
        <f t="shared" si="56"/>
        <v>0.80478166591894706</v>
      </c>
      <c r="J391" s="7">
        <f t="shared" si="57"/>
        <v>0.50354763263359414</v>
      </c>
      <c r="K391" s="7">
        <f t="shared" si="60"/>
        <v>-8.4654483993689578E-2</v>
      </c>
      <c r="L391" s="7">
        <f t="shared" si="61"/>
        <v>-0.13580306586251789</v>
      </c>
      <c r="M391" s="7">
        <f t="shared" si="62"/>
        <v>-8.7967516874618124E-2</v>
      </c>
      <c r="N391" s="7">
        <f t="shared" si="58"/>
        <v>0.93862456774350378</v>
      </c>
      <c r="O391" s="7">
        <f t="shared" si="59"/>
        <v>6.1375432256496186E-2</v>
      </c>
    </row>
    <row r="392" spans="1:15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4">
        <f>IF(SUMIFS('Daily NSE Equity Cash'!$H:$H,'Daily NSE Equity Cash'!$A:$A,$A392)=0,"",SUMIFS('Daily NSE Equity Cash'!$H:$H,'Daily NSE Equity Cash'!$A:$A,$A392))</f>
        <v>705.79309999999998</v>
      </c>
      <c r="F392" s="4">
        <f>IF(SUMIFS('Daily BSE Equity Cash'!$H:$H,'Daily BSE Equity Cash'!$A:$A,$A392)=0,"",SUMIFS('Daily BSE Equity Cash'!$H:$H,'Daily BSE Equity Cash'!$A:$A,$A392))</f>
        <v>45.882800000000003</v>
      </c>
      <c r="G392" s="4">
        <f t="shared" si="54"/>
        <v>751.67589999999996</v>
      </c>
      <c r="H392" s="7">
        <f t="shared" si="55"/>
        <v>0.18047020236949352</v>
      </c>
      <c r="I392" s="7">
        <f t="shared" si="56"/>
        <v>0.82717740618765268</v>
      </c>
      <c r="J392" s="7">
        <f t="shared" si="57"/>
        <v>0.20653695296393537</v>
      </c>
      <c r="K392" s="7">
        <f t="shared" si="60"/>
        <v>-4.398640166400547E-2</v>
      </c>
      <c r="L392" s="7">
        <f t="shared" si="61"/>
        <v>-4.9539817252658103E-2</v>
      </c>
      <c r="M392" s="7">
        <f t="shared" si="62"/>
        <v>-4.4327244946259059E-2</v>
      </c>
      <c r="N392" s="7">
        <f t="shared" si="58"/>
        <v>0.93895933074347604</v>
      </c>
      <c r="O392" s="7">
        <f t="shared" si="59"/>
        <v>6.1040669256523995E-2</v>
      </c>
    </row>
    <row r="393" spans="1:15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4">
        <f>IF(SUMIFS('Daily NSE Equity Cash'!$H:$H,'Daily NSE Equity Cash'!$A:$A,$A393)=0,"",SUMIFS('Daily NSE Equity Cash'!$H:$H,'Daily NSE Equity Cash'!$A:$A,$A393))</f>
        <v>763.6345</v>
      </c>
      <c r="F393" s="4">
        <f>IF(SUMIFS('Daily BSE Equity Cash'!$H:$H,'Daily BSE Equity Cash'!$A:$A,$A393)=0,"",SUMIFS('Daily BSE Equity Cash'!$H:$H,'Daily BSE Equity Cash'!$A:$A,$A393))</f>
        <v>47.055700000000002</v>
      </c>
      <c r="G393" s="4">
        <f t="shared" si="54"/>
        <v>810.6902</v>
      </c>
      <c r="H393" s="7">
        <f t="shared" si="55"/>
        <v>0.36588552729367096</v>
      </c>
      <c r="I393" s="7">
        <f t="shared" si="56"/>
        <v>0.17288264867384351</v>
      </c>
      <c r="J393" s="7">
        <f t="shared" si="57"/>
        <v>0.35296285256815718</v>
      </c>
      <c r="K393" s="7">
        <f t="shared" si="60"/>
        <v>8.1952345524488823E-2</v>
      </c>
      <c r="L393" s="7">
        <f t="shared" si="61"/>
        <v>2.5562956053248653E-2</v>
      </c>
      <c r="M393" s="7">
        <f t="shared" si="62"/>
        <v>7.8510299452197563E-2</v>
      </c>
      <c r="N393" s="7">
        <f t="shared" si="58"/>
        <v>0.94195600242854793</v>
      </c>
      <c r="O393" s="7">
        <f t="shared" si="59"/>
        <v>5.804399757145208E-2</v>
      </c>
    </row>
    <row r="394" spans="1:15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4">
        <f>IF(SUMIFS('Daily NSE Equity Cash'!$H:$H,'Daily NSE Equity Cash'!$A:$A,$A394)=0,"",SUMIFS('Daily NSE Equity Cash'!$H:$H,'Daily NSE Equity Cash'!$A:$A,$A394))</f>
        <v>782.03099999999995</v>
      </c>
      <c r="F394" s="4">
        <f>IF(SUMIFS('Daily BSE Equity Cash'!$H:$H,'Daily BSE Equity Cash'!$A:$A,$A394)=0,"",SUMIFS('Daily BSE Equity Cash'!$H:$H,'Daily BSE Equity Cash'!$A:$A,$A394))</f>
        <v>54.255299999999998</v>
      </c>
      <c r="G394" s="4">
        <f t="shared" si="54"/>
        <v>836.28629999999998</v>
      </c>
      <c r="H394" s="7">
        <f t="shared" si="55"/>
        <v>0.58627267270873307</v>
      </c>
      <c r="I394" s="7">
        <f t="shared" si="56"/>
        <v>1.1684945523145669</v>
      </c>
      <c r="J394" s="7">
        <f t="shared" si="57"/>
        <v>0.61439341305886708</v>
      </c>
      <c r="K394" s="7">
        <f t="shared" si="60"/>
        <v>2.409071355471748E-2</v>
      </c>
      <c r="L394" s="7">
        <f t="shared" si="61"/>
        <v>0.15300165548488276</v>
      </c>
      <c r="M394" s="7">
        <f t="shared" si="62"/>
        <v>3.1573219955045584E-2</v>
      </c>
      <c r="N394" s="7">
        <f t="shared" si="58"/>
        <v>0.93512353365109524</v>
      </c>
      <c r="O394" s="7">
        <f t="shared" si="59"/>
        <v>6.4876466348904677E-2</v>
      </c>
    </row>
    <row r="395" spans="1:15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4">
        <f>IF(SUMIFS('Daily NSE Equity Cash'!$H:$H,'Daily NSE Equity Cash'!$A:$A,$A395)=0,"",SUMIFS('Daily NSE Equity Cash'!$H:$H,'Daily NSE Equity Cash'!$A:$A,$A395))</f>
        <v>635.67240000000004</v>
      </c>
      <c r="F395" s="4">
        <f>IF(SUMIFS('Daily BSE Equity Cash'!$H:$H,'Daily BSE Equity Cash'!$A:$A,$A395)=0,"",SUMIFS('Daily BSE Equity Cash'!$H:$H,'Daily BSE Equity Cash'!$A:$A,$A395))</f>
        <v>40.951500000000003</v>
      </c>
      <c r="G395" s="4">
        <f t="shared" si="54"/>
        <v>676.62390000000005</v>
      </c>
      <c r="H395" s="7" t="str">
        <f t="shared" si="55"/>
        <v/>
      </c>
      <c r="I395" s="7" t="str">
        <f t="shared" si="56"/>
        <v/>
      </c>
      <c r="J395" s="7" t="str">
        <f t="shared" si="57"/>
        <v/>
      </c>
      <c r="K395" s="7">
        <f t="shared" si="60"/>
        <v>-0.18715191597264036</v>
      </c>
      <c r="L395" s="7">
        <f t="shared" si="61"/>
        <v>-0.24520738066142844</v>
      </c>
      <c r="M395" s="7">
        <f t="shared" si="62"/>
        <v>-0.19091834937389263</v>
      </c>
      <c r="N395" s="7">
        <f t="shared" si="58"/>
        <v>0.93947671668115773</v>
      </c>
      <c r="O395" s="7">
        <f t="shared" si="59"/>
        <v>6.0523283318842269E-2</v>
      </c>
    </row>
    <row r="396" spans="1:15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4">
        <f>IF(SUMIFS('Daily NSE Equity Cash'!$H:$H,'Daily NSE Equity Cash'!$A:$A,$A396)=0,"",SUMIFS('Daily NSE Equity Cash'!$H:$H,'Daily NSE Equity Cash'!$A:$A,$A396))</f>
        <v>629.97969999999998</v>
      </c>
      <c r="F396" s="4">
        <f>IF(SUMIFS('Daily BSE Equity Cash'!$H:$H,'Daily BSE Equity Cash'!$A:$A,$A396)=0,"",SUMIFS('Daily BSE Equity Cash'!$H:$H,'Daily BSE Equity Cash'!$A:$A,$A396))</f>
        <v>38.848700000000001</v>
      </c>
      <c r="G396" s="4">
        <f t="shared" si="54"/>
        <v>668.82839999999999</v>
      </c>
      <c r="H396" s="7">
        <f t="shared" si="55"/>
        <v>0.1383595998699696</v>
      </c>
      <c r="I396" s="7">
        <f t="shared" si="56"/>
        <v>0.48345991851198455</v>
      </c>
      <c r="J396" s="7">
        <f t="shared" si="57"/>
        <v>0.15395222205735681</v>
      </c>
      <c r="K396" s="7">
        <f t="shared" si="60"/>
        <v>-8.9553990388760996E-3</v>
      </c>
      <c r="L396" s="7">
        <f t="shared" si="61"/>
        <v>-5.1348546451289945E-2</v>
      </c>
      <c r="M396" s="7">
        <f t="shared" si="62"/>
        <v>-1.1521171510495032E-2</v>
      </c>
      <c r="N396" s="7">
        <f t="shared" si="58"/>
        <v>0.94191529546293185</v>
      </c>
      <c r="O396" s="7">
        <f t="shared" si="59"/>
        <v>5.8084704537068106E-2</v>
      </c>
    </row>
    <row r="397" spans="1:15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4">
        <f>IF(SUMIFS('Daily NSE Equity Cash'!$H:$H,'Daily NSE Equity Cash'!$A:$A,$A397)=0,"",SUMIFS('Daily NSE Equity Cash'!$H:$H,'Daily NSE Equity Cash'!$A:$A,$A397))</f>
        <v>631.59540000000004</v>
      </c>
      <c r="F397" s="4">
        <f>IF(SUMIFS('Daily BSE Equity Cash'!$H:$H,'Daily BSE Equity Cash'!$A:$A,$A397)=0,"",SUMIFS('Daily BSE Equity Cash'!$H:$H,'Daily BSE Equity Cash'!$A:$A,$A397))</f>
        <v>39.468299999999999</v>
      </c>
      <c r="G397" s="4">
        <f t="shared" si="54"/>
        <v>671.06370000000004</v>
      </c>
      <c r="H397" s="7">
        <f t="shared" si="55"/>
        <v>8.7257715006951342E-2</v>
      </c>
      <c r="I397" s="7">
        <f t="shared" si="56"/>
        <v>0.48696261523797335</v>
      </c>
      <c r="J397" s="7">
        <f t="shared" si="57"/>
        <v>0.10472307419034044</v>
      </c>
      <c r="K397" s="7">
        <f t="shared" si="60"/>
        <v>2.5646858144794393E-3</v>
      </c>
      <c r="L397" s="7">
        <f t="shared" si="61"/>
        <v>1.5949053636286292E-2</v>
      </c>
      <c r="M397" s="7">
        <f t="shared" si="62"/>
        <v>3.3421128648245535E-3</v>
      </c>
      <c r="N397" s="7">
        <f t="shared" si="58"/>
        <v>0.94118546421151972</v>
      </c>
      <c r="O397" s="7">
        <f t="shared" si="59"/>
        <v>5.8814535788480282E-2</v>
      </c>
    </row>
    <row r="398" spans="1:15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4">
        <f>IF(SUMIFS('Daily NSE Equity Cash'!$H:$H,'Daily NSE Equity Cash'!$A:$A,$A398)=0,"",SUMIFS('Daily NSE Equity Cash'!$H:$H,'Daily NSE Equity Cash'!$A:$A,$A398))</f>
        <v>115.5224</v>
      </c>
      <c r="F398" s="4">
        <f>IF(SUMIFS('Daily BSE Equity Cash'!$H:$H,'Daily BSE Equity Cash'!$A:$A,$A398)=0,"",SUMIFS('Daily BSE Equity Cash'!$H:$H,'Daily BSE Equity Cash'!$A:$A,$A398))</f>
        <v>10.852499999999999</v>
      </c>
      <c r="G398" s="4">
        <f t="shared" si="54"/>
        <v>126.3749</v>
      </c>
      <c r="H398" s="7">
        <f t="shared" si="55"/>
        <v>-0.79677921449198674</v>
      </c>
      <c r="I398" s="7">
        <f t="shared" si="56"/>
        <v>-0.73759928430673261</v>
      </c>
      <c r="J398" s="7">
        <f t="shared" si="57"/>
        <v>-0.79276555669815862</v>
      </c>
      <c r="K398" s="7">
        <f t="shared" si="60"/>
        <v>-0.81709429802686973</v>
      </c>
      <c r="L398" s="7">
        <f t="shared" si="61"/>
        <v>-0.7250324944322406</v>
      </c>
      <c r="M398" s="7">
        <f t="shared" si="62"/>
        <v>-0.81167972578460135</v>
      </c>
      <c r="N398" s="7">
        <f t="shared" si="58"/>
        <v>0.91412456112724927</v>
      </c>
      <c r="O398" s="7">
        <f t="shared" si="59"/>
        <v>8.5875438872750828E-2</v>
      </c>
    </row>
    <row r="399" spans="1:15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4">
        <f>IF(SUMIFS('Daily NSE Equity Cash'!$H:$H,'Daily NSE Equity Cash'!$A:$A,$A399)=0,"",SUMIFS('Daily NSE Equity Cash'!$H:$H,'Daily NSE Equity Cash'!$A:$A,$A399))</f>
        <v>709.55520000000001</v>
      </c>
      <c r="F399" s="4">
        <f>IF(SUMIFS('Daily BSE Equity Cash'!$H:$H,'Daily BSE Equity Cash'!$A:$A,$A399)=0,"",SUMIFS('Daily BSE Equity Cash'!$H:$H,'Daily BSE Equity Cash'!$A:$A,$A399))</f>
        <v>50.253500000000003</v>
      </c>
      <c r="G399" s="4">
        <f t="shared" si="54"/>
        <v>759.80870000000004</v>
      </c>
      <c r="H399" s="7" t="str">
        <f t="shared" si="55"/>
        <v/>
      </c>
      <c r="I399" s="7" t="str">
        <f t="shared" si="56"/>
        <v/>
      </c>
      <c r="J399" s="7" t="str">
        <f t="shared" si="57"/>
        <v/>
      </c>
      <c r="K399" s="7">
        <f t="shared" si="60"/>
        <v>5.1421438612771198</v>
      </c>
      <c r="L399" s="7">
        <f t="shared" si="61"/>
        <v>3.6305920294862943</v>
      </c>
      <c r="M399" s="7">
        <f t="shared" si="62"/>
        <v>5.012338684343173</v>
      </c>
      <c r="N399" s="7">
        <f t="shared" si="58"/>
        <v>0.93386032563196497</v>
      </c>
      <c r="O399" s="7">
        <f t="shared" si="59"/>
        <v>6.6139674368035001E-2</v>
      </c>
    </row>
    <row r="400" spans="1:15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4">
        <f>IF(SUMIFS('Daily NSE Equity Cash'!$H:$H,'Daily NSE Equity Cash'!$A:$A,$A400)=0,"",SUMIFS('Daily NSE Equity Cash'!$H:$H,'Daily NSE Equity Cash'!$A:$A,$A400))</f>
        <v>687.64229999999998</v>
      </c>
      <c r="F400" s="4">
        <f>IF(SUMIFS('Daily BSE Equity Cash'!$H:$H,'Daily BSE Equity Cash'!$A:$A,$A400)=0,"",SUMIFS('Daily BSE Equity Cash'!$H:$H,'Daily BSE Equity Cash'!$A:$A,$A400))</f>
        <v>54.957500000000003</v>
      </c>
      <c r="G400" s="4">
        <f t="shared" si="54"/>
        <v>742.59979999999996</v>
      </c>
      <c r="H400" s="7">
        <f t="shared" si="55"/>
        <v>0.20845922140366668</v>
      </c>
      <c r="I400" s="7">
        <f t="shared" si="56"/>
        <v>0.65330465389127901</v>
      </c>
      <c r="J400" s="7">
        <f t="shared" si="57"/>
        <v>0.23301171411255828</v>
      </c>
      <c r="K400" s="7">
        <f t="shared" si="60"/>
        <v>-3.0882586724753858E-2</v>
      </c>
      <c r="L400" s="7">
        <f t="shared" si="61"/>
        <v>9.3605420517973936E-2</v>
      </c>
      <c r="M400" s="7">
        <f t="shared" si="62"/>
        <v>-2.264899046299429E-2</v>
      </c>
      <c r="N400" s="7">
        <f t="shared" si="58"/>
        <v>0.9259931123062517</v>
      </c>
      <c r="O400" s="7">
        <f t="shared" si="59"/>
        <v>7.4006887693748372E-2</v>
      </c>
    </row>
    <row r="401" spans="1:15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4">
        <f>IF(SUMIFS('Daily NSE Equity Cash'!$H:$H,'Daily NSE Equity Cash'!$A:$A,$A401)=0,"",SUMIFS('Daily NSE Equity Cash'!$H:$H,'Daily NSE Equity Cash'!$A:$A,$A401))</f>
        <v>693.43849999999998</v>
      </c>
      <c r="F401" s="4">
        <f>IF(SUMIFS('Daily BSE Equity Cash'!$H:$H,'Daily BSE Equity Cash'!$A:$A,$A401)=0,"",SUMIFS('Daily BSE Equity Cash'!$H:$H,'Daily BSE Equity Cash'!$A:$A,$A401))</f>
        <v>49.2881</v>
      </c>
      <c r="G401" s="4">
        <f t="shared" si="54"/>
        <v>742.72659999999996</v>
      </c>
      <c r="H401" s="7">
        <f t="shared" si="55"/>
        <v>-0.16074699778567636</v>
      </c>
      <c r="I401" s="7">
        <f t="shared" si="56"/>
        <v>0.1408410931572357</v>
      </c>
      <c r="J401" s="7">
        <f t="shared" si="57"/>
        <v>-0.145761145336054</v>
      </c>
      <c r="K401" s="7">
        <f t="shared" si="60"/>
        <v>8.4290916949116834E-3</v>
      </c>
      <c r="L401" s="7">
        <f t="shared" si="61"/>
        <v>-0.1031597143247055</v>
      </c>
      <c r="M401" s="7">
        <f t="shared" si="62"/>
        <v>1.7075145993850072E-4</v>
      </c>
      <c r="N401" s="7">
        <f t="shared" si="58"/>
        <v>0.93363897294105258</v>
      </c>
      <c r="O401" s="7">
        <f t="shared" si="59"/>
        <v>6.6361027058947405E-2</v>
      </c>
    </row>
    <row r="402" spans="1:15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4">
        <f>IF(SUMIFS('Daily NSE Equity Cash'!$H:$H,'Daily NSE Equity Cash'!$A:$A,$A402)=0,"",SUMIFS('Daily NSE Equity Cash'!$H:$H,'Daily NSE Equity Cash'!$A:$A,$A402))</f>
        <v>580.14200000000005</v>
      </c>
      <c r="F402" s="4">
        <f>IF(SUMIFS('Daily BSE Equity Cash'!$H:$H,'Daily BSE Equity Cash'!$A:$A,$A402)=0,"",SUMIFS('Daily BSE Equity Cash'!$H:$H,'Daily BSE Equity Cash'!$A:$A,$A402))</f>
        <v>41.779200000000003</v>
      </c>
      <c r="G402" s="4">
        <f t="shared" si="54"/>
        <v>621.9212</v>
      </c>
      <c r="H402" s="7">
        <f t="shared" si="55"/>
        <v>-0.29028809819421297</v>
      </c>
      <c r="I402" s="7">
        <f t="shared" si="56"/>
        <v>-2.5489830192199969E-2</v>
      </c>
      <c r="J402" s="7">
        <f t="shared" si="57"/>
        <v>-0.27709227807669623</v>
      </c>
      <c r="K402" s="7">
        <f t="shared" si="60"/>
        <v>-0.16338363099251041</v>
      </c>
      <c r="L402" s="7">
        <f t="shared" si="61"/>
        <v>-0.1523471182699272</v>
      </c>
      <c r="M402" s="7">
        <f t="shared" si="62"/>
        <v>-0.16265123667309067</v>
      </c>
      <c r="N402" s="7">
        <f t="shared" si="58"/>
        <v>0.9328223575591249</v>
      </c>
      <c r="O402" s="7">
        <f t="shared" si="59"/>
        <v>6.7177642440875152E-2</v>
      </c>
    </row>
    <row r="403" spans="1:15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4">
        <f>IF(SUMIFS('Daily NSE Equity Cash'!$H:$H,'Daily NSE Equity Cash'!$A:$A,$A403)=0,"",SUMIFS('Daily NSE Equity Cash'!$H:$H,'Daily NSE Equity Cash'!$A:$A,$A403))</f>
        <v>627.41579999999999</v>
      </c>
      <c r="F403" s="4">
        <f>IF(SUMIFS('Daily BSE Equity Cash'!$H:$H,'Daily BSE Equity Cash'!$A:$A,$A403)=0,"",SUMIFS('Daily BSE Equity Cash'!$H:$H,'Daily BSE Equity Cash'!$A:$A,$A403))</f>
        <v>51.946100000000001</v>
      </c>
      <c r="G403" s="4">
        <f t="shared" si="54"/>
        <v>679.36189999999999</v>
      </c>
      <c r="H403" s="7">
        <f t="shared" si="55"/>
        <v>-1.3133611957990232E-2</v>
      </c>
      <c r="I403" s="7">
        <f t="shared" si="56"/>
        <v>0.6713566836764242</v>
      </c>
      <c r="J403" s="7">
        <f t="shared" si="57"/>
        <v>1.8768953966725954E-2</v>
      </c>
      <c r="K403" s="7">
        <f t="shared" si="60"/>
        <v>8.1486601556170601E-2</v>
      </c>
      <c r="L403" s="7">
        <f t="shared" si="61"/>
        <v>0.24334836473651955</v>
      </c>
      <c r="M403" s="7">
        <f t="shared" si="62"/>
        <v>9.23600932079498E-2</v>
      </c>
      <c r="N403" s="7">
        <f t="shared" si="58"/>
        <v>0.92353692487023487</v>
      </c>
      <c r="O403" s="7">
        <f t="shared" si="59"/>
        <v>7.6463075129765148E-2</v>
      </c>
    </row>
    <row r="404" spans="1:15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4">
        <f>IF(SUMIFS('Daily NSE Equity Cash'!$H:$H,'Daily NSE Equity Cash'!$A:$A,$A404)=0,"",SUMIFS('Daily NSE Equity Cash'!$H:$H,'Daily NSE Equity Cash'!$A:$A,$A404))</f>
        <v>625.00170000000003</v>
      </c>
      <c r="F404" s="4">
        <f>IF(SUMIFS('Daily BSE Equity Cash'!$H:$H,'Daily BSE Equity Cash'!$A:$A,$A404)=0,"",SUMIFS('Daily BSE Equity Cash'!$H:$H,'Daily BSE Equity Cash'!$A:$A,$A404))</f>
        <v>44.0655</v>
      </c>
      <c r="G404" s="4">
        <f t="shared" si="54"/>
        <v>669.06720000000007</v>
      </c>
      <c r="H404" s="7" t="str">
        <f t="shared" si="55"/>
        <v/>
      </c>
      <c r="I404" s="7" t="str">
        <f t="shared" si="56"/>
        <v/>
      </c>
      <c r="J404" s="7" t="str">
        <f t="shared" si="57"/>
        <v/>
      </c>
      <c r="K404" s="7">
        <f t="shared" si="60"/>
        <v>-3.8476876100346225E-3</v>
      </c>
      <c r="L404" s="7">
        <f t="shared" si="61"/>
        <v>-0.15170725039993382</v>
      </c>
      <c r="M404" s="7">
        <f t="shared" si="62"/>
        <v>-1.5153484468292899E-2</v>
      </c>
      <c r="N404" s="7">
        <f t="shared" si="58"/>
        <v>0.93413890263937605</v>
      </c>
      <c r="O404" s="7">
        <f t="shared" si="59"/>
        <v>6.5861097360623858E-2</v>
      </c>
    </row>
    <row r="405" spans="1:15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4">
        <f>IF(SUMIFS('Daily NSE Equity Cash'!$H:$H,'Daily NSE Equity Cash'!$A:$A,$A405)=0,"",SUMIFS('Daily NSE Equity Cash'!$H:$H,'Daily NSE Equity Cash'!$A:$A,$A405))</f>
        <v>664.14049999999997</v>
      </c>
      <c r="F405" s="4">
        <f>IF(SUMIFS('Daily BSE Equity Cash'!$H:$H,'Daily BSE Equity Cash'!$A:$A,$A405)=0,"",SUMIFS('Daily BSE Equity Cash'!$H:$H,'Daily BSE Equity Cash'!$A:$A,$A405))</f>
        <v>46.764699999999998</v>
      </c>
      <c r="G405" s="4">
        <f t="shared" si="54"/>
        <v>710.90519999999992</v>
      </c>
      <c r="H405" s="7" t="str">
        <f t="shared" si="55"/>
        <v/>
      </c>
      <c r="I405" s="7" t="str">
        <f t="shared" si="56"/>
        <v/>
      </c>
      <c r="J405" s="7" t="str">
        <f t="shared" si="57"/>
        <v/>
      </c>
      <c r="K405" s="7">
        <f t="shared" si="60"/>
        <v>6.2621909668405529E-2</v>
      </c>
      <c r="L405" s="7">
        <f t="shared" si="61"/>
        <v>6.1254269212876133E-2</v>
      </c>
      <c r="M405" s="7">
        <f t="shared" si="62"/>
        <v>6.2531835367209521E-2</v>
      </c>
      <c r="N405" s="7">
        <f t="shared" si="58"/>
        <v>0.9342180926514535</v>
      </c>
      <c r="O405" s="7">
        <f t="shared" si="59"/>
        <v>6.5781907348546623E-2</v>
      </c>
    </row>
    <row r="406" spans="1:15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4">
        <f>IF(SUMIFS('Daily NSE Equity Cash'!$H:$H,'Daily NSE Equity Cash'!$A:$A,$A406)=0,"",SUMIFS('Daily NSE Equity Cash'!$H:$H,'Daily NSE Equity Cash'!$A:$A,$A406))</f>
        <v>628.35609999999997</v>
      </c>
      <c r="F406" s="4">
        <f>IF(SUMIFS('Daily BSE Equity Cash'!$H:$H,'Daily BSE Equity Cash'!$A:$A,$A406)=0,"",SUMIFS('Daily BSE Equity Cash'!$H:$H,'Daily BSE Equity Cash'!$A:$A,$A406))</f>
        <v>52.557499999999997</v>
      </c>
      <c r="G406" s="4">
        <f t="shared" si="54"/>
        <v>680.91359999999997</v>
      </c>
      <c r="H406" s="7">
        <f t="shared" si="55"/>
        <v>-6.5445821221751688E-2</v>
      </c>
      <c r="I406" s="7">
        <f t="shared" si="56"/>
        <v>0.25796437512865067</v>
      </c>
      <c r="J406" s="7">
        <f t="shared" si="57"/>
        <v>-4.6525116258879673E-2</v>
      </c>
      <c r="K406" s="7">
        <f t="shared" si="60"/>
        <v>-5.3880767699003407E-2</v>
      </c>
      <c r="L406" s="7">
        <f t="shared" si="61"/>
        <v>0.12387121054983785</v>
      </c>
      <c r="M406" s="7">
        <f t="shared" si="62"/>
        <v>-4.2187903534817273E-2</v>
      </c>
      <c r="N406" s="7">
        <f t="shared" si="58"/>
        <v>0.92281326147693332</v>
      </c>
      <c r="O406" s="7">
        <f t="shared" si="59"/>
        <v>7.718673852306665E-2</v>
      </c>
    </row>
    <row r="407" spans="1:15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4">
        <f>IF(SUMIFS('Daily NSE Equity Cash'!$H:$H,'Daily NSE Equity Cash'!$A:$A,$A407)=0,"",SUMIFS('Daily NSE Equity Cash'!$H:$H,'Daily NSE Equity Cash'!$A:$A,$A407))</f>
        <v>719.73289999999997</v>
      </c>
      <c r="F407" s="4">
        <f>IF(SUMIFS('Daily BSE Equity Cash'!$H:$H,'Daily BSE Equity Cash'!$A:$A,$A407)=0,"",SUMIFS('Daily BSE Equity Cash'!$H:$H,'Daily BSE Equity Cash'!$A:$A,$A407))</f>
        <v>67.6541</v>
      </c>
      <c r="G407" s="4">
        <f t="shared" si="54"/>
        <v>787.38699999999994</v>
      </c>
      <c r="H407" s="7">
        <f t="shared" si="55"/>
        <v>5.1154734967618909E-2</v>
      </c>
      <c r="I407" s="7">
        <f t="shared" si="56"/>
        <v>0.87692397323360671</v>
      </c>
      <c r="J407" s="7">
        <f t="shared" si="57"/>
        <v>9.2451898509903652E-2</v>
      </c>
      <c r="K407" s="7">
        <f t="shared" si="60"/>
        <v>0.14542199876789619</v>
      </c>
      <c r="L407" s="7">
        <f t="shared" si="61"/>
        <v>0.28723968986348281</v>
      </c>
      <c r="M407" s="7">
        <f t="shared" si="62"/>
        <v>0.15636844380843606</v>
      </c>
      <c r="N407" s="7">
        <f t="shared" si="58"/>
        <v>0.91407770257827481</v>
      </c>
      <c r="O407" s="7">
        <f t="shared" si="59"/>
        <v>8.5922297421725288E-2</v>
      </c>
    </row>
    <row r="408" spans="1:15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4" t="str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>55.6785</v>
      </c>
      <c r="G408" s="4" t="str">
        <f t="shared" si="54"/>
        <v/>
      </c>
      <c r="H408" s="7" t="str">
        <f t="shared" si="55"/>
        <v/>
      </c>
      <c r="I408" s="7" t="str">
        <f t="shared" si="56"/>
        <v/>
      </c>
      <c r="J408" s="7" t="str">
        <f t="shared" si="57"/>
        <v/>
      </c>
      <c r="K408" s="7" t="str">
        <f t="shared" si="60"/>
        <v/>
      </c>
      <c r="L408" s="7">
        <f t="shared" si="61"/>
        <v>-0.1770121840361486</v>
      </c>
      <c r="M408" s="7" t="str">
        <f t="shared" si="62"/>
        <v/>
      </c>
      <c r="N408" s="7" t="str">
        <f t="shared" si="58"/>
        <v/>
      </c>
      <c r="O408" s="7" t="str">
        <f t="shared" si="59"/>
        <v/>
      </c>
    </row>
    <row r="409" spans="1:15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4">
        <f>IF(SUMIFS('Daily NSE Equity Cash'!$H:$H,'Daily NSE Equity Cash'!$A:$A,$A409)=0,"",SUMIFS('Daily NSE Equity Cash'!$H:$H,'Daily NSE Equity Cash'!$A:$A,$A409))</f>
        <v>762.49450000000002</v>
      </c>
      <c r="F409" s="4">
        <f>IF(SUMIFS('Daily BSE Equity Cash'!$H:$H,'Daily BSE Equity Cash'!$A:$A,$A409)=0,"",SUMIFS('Daily BSE Equity Cash'!$H:$H,'Daily BSE Equity Cash'!$A:$A,$A409))</f>
        <v>62.923400000000001</v>
      </c>
      <c r="G409" s="4">
        <f t="shared" si="54"/>
        <v>825.41790000000003</v>
      </c>
      <c r="H409" s="7">
        <f t="shared" si="55"/>
        <v>7.2829541140812193E-2</v>
      </c>
      <c r="I409" s="7">
        <f t="shared" si="56"/>
        <v>0.4237738376460578</v>
      </c>
      <c r="J409" s="7">
        <f t="shared" si="57"/>
        <v>9.3374458722498943E-2</v>
      </c>
      <c r="K409" s="7" t="str">
        <f t="shared" si="60"/>
        <v/>
      </c>
      <c r="L409" s="7">
        <f t="shared" si="61"/>
        <v>0.13012024390024868</v>
      </c>
      <c r="M409" s="7" t="str">
        <f t="shared" si="62"/>
        <v/>
      </c>
      <c r="N409" s="7">
        <f t="shared" si="58"/>
        <v>0.92376782718184325</v>
      </c>
      <c r="O409" s="7">
        <f t="shared" si="59"/>
        <v>7.623217281815671E-2</v>
      </c>
    </row>
    <row r="410" spans="1:15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4">
        <f>IF(SUMIFS('Daily NSE Equity Cash'!$H:$H,'Daily NSE Equity Cash'!$A:$A,$A410)=0,"",SUMIFS('Daily NSE Equity Cash'!$H:$H,'Daily NSE Equity Cash'!$A:$A,$A410))</f>
        <v>647.03290000000004</v>
      </c>
      <c r="F410" s="4">
        <f>IF(SUMIFS('Daily BSE Equity Cash'!$H:$H,'Daily BSE Equity Cash'!$A:$A,$A410)=0,"",SUMIFS('Daily BSE Equity Cash'!$H:$H,'Daily BSE Equity Cash'!$A:$A,$A410))</f>
        <v>51.2988</v>
      </c>
      <c r="G410" s="4">
        <f t="shared" si="54"/>
        <v>698.33170000000007</v>
      </c>
      <c r="H410" s="7">
        <f t="shared" si="55"/>
        <v>-2.5545817198678433E-2</v>
      </c>
      <c r="I410" s="7">
        <f t="shared" si="56"/>
        <v>0.3837053420907115</v>
      </c>
      <c r="J410" s="7">
        <f t="shared" si="57"/>
        <v>-3.9040396468988936E-3</v>
      </c>
      <c r="K410" s="7">
        <f t="shared" si="60"/>
        <v>-0.15142614143446276</v>
      </c>
      <c r="L410" s="7">
        <f t="shared" si="61"/>
        <v>-0.18474208323135755</v>
      </c>
      <c r="M410" s="7">
        <f t="shared" si="62"/>
        <v>-0.1539658880671233</v>
      </c>
      <c r="N410" s="7">
        <f t="shared" si="58"/>
        <v>0.92654092603844274</v>
      </c>
      <c r="O410" s="7">
        <f t="shared" si="59"/>
        <v>7.3459073961557236E-2</v>
      </c>
    </row>
    <row r="411" spans="1:15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4">
        <f>IF(SUMIFS('Daily NSE Equity Cash'!$H:$H,'Daily NSE Equity Cash'!$A:$A,$A411)=0,"",SUMIFS('Daily NSE Equity Cash'!$H:$H,'Daily NSE Equity Cash'!$A:$A,$A411))</f>
        <v>624.31560000000002</v>
      </c>
      <c r="F411" s="4">
        <f>IF(SUMIFS('Daily BSE Equity Cash'!$H:$H,'Daily BSE Equity Cash'!$A:$A,$A411)=0,"",SUMIFS('Daily BSE Equity Cash'!$H:$H,'Daily BSE Equity Cash'!$A:$A,$A411))</f>
        <v>47.2973</v>
      </c>
      <c r="G411" s="4">
        <f t="shared" si="54"/>
        <v>671.61289999999997</v>
      </c>
      <c r="H411" s="7">
        <f t="shared" si="55"/>
        <v>-7.392732224387899E-2</v>
      </c>
      <c r="I411" s="7">
        <f t="shared" si="56"/>
        <v>0.19030637668174988</v>
      </c>
      <c r="J411" s="7">
        <f t="shared" si="57"/>
        <v>-5.9219957601275519E-2</v>
      </c>
      <c r="K411" s="7">
        <f t="shared" si="60"/>
        <v>-3.5109961178172E-2</v>
      </c>
      <c r="L411" s="7">
        <f t="shared" si="61"/>
        <v>-7.8003773967422196E-2</v>
      </c>
      <c r="M411" s="7">
        <f t="shared" si="62"/>
        <v>-3.8260900944350751E-2</v>
      </c>
      <c r="N411" s="7">
        <f t="shared" si="58"/>
        <v>0.92957654625156849</v>
      </c>
      <c r="O411" s="7">
        <f t="shared" si="59"/>
        <v>7.0423453748431578E-2</v>
      </c>
    </row>
    <row r="412" spans="1:15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4">
        <f>IF(SUMIFS('Daily NSE Equity Cash'!$H:$H,'Daily NSE Equity Cash'!$A:$A,$A412)=0,"",SUMIFS('Daily NSE Equity Cash'!$H:$H,'Daily NSE Equity Cash'!$A:$A,$A412))</f>
        <v>805.12580000000003</v>
      </c>
      <c r="F412" s="4">
        <f>IF(SUMIFS('Daily BSE Equity Cash'!$H:$H,'Daily BSE Equity Cash'!$A:$A,$A412)=0,"",SUMIFS('Daily BSE Equity Cash'!$H:$H,'Daily BSE Equity Cash'!$A:$A,$A412))</f>
        <v>63.042000000000002</v>
      </c>
      <c r="G412" s="4">
        <f t="shared" si="54"/>
        <v>868.16780000000006</v>
      </c>
      <c r="H412" s="7">
        <f t="shared" si="55"/>
        <v>0.31413430116851537</v>
      </c>
      <c r="I412" s="7">
        <f t="shared" si="56"/>
        <v>1.1429518361020183</v>
      </c>
      <c r="J412" s="7">
        <f t="shared" si="57"/>
        <v>0.35210811783992324</v>
      </c>
      <c r="K412" s="7">
        <f t="shared" si="60"/>
        <v>0.28961345832140029</v>
      </c>
      <c r="L412" s="7">
        <f t="shared" si="61"/>
        <v>0.33288792383497579</v>
      </c>
      <c r="M412" s="7">
        <f t="shared" si="62"/>
        <v>0.29266099564198389</v>
      </c>
      <c r="N412" s="7">
        <f t="shared" si="58"/>
        <v>0.92738500552542946</v>
      </c>
      <c r="O412" s="7">
        <f t="shared" si="59"/>
        <v>7.2614994474570468E-2</v>
      </c>
    </row>
    <row r="413" spans="1:15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4">
        <f>IF(SUMIFS('Daily NSE Equity Cash'!$H:$H,'Daily NSE Equity Cash'!$A:$A,$A413)=0,"",SUMIFS('Daily NSE Equity Cash'!$H:$H,'Daily NSE Equity Cash'!$A:$A,$A413))</f>
        <v>697.55790000000002</v>
      </c>
      <c r="F413" s="4">
        <f>IF(SUMIFS('Daily BSE Equity Cash'!$H:$H,'Daily BSE Equity Cash'!$A:$A,$A413)=0,"",SUMIFS('Daily BSE Equity Cash'!$H:$H,'Daily BSE Equity Cash'!$A:$A,$A413))</f>
        <v>56.045699999999997</v>
      </c>
      <c r="G413" s="4">
        <f t="shared" si="54"/>
        <v>753.60360000000003</v>
      </c>
      <c r="H413" s="7" t="str">
        <f t="shared" si="55"/>
        <v/>
      </c>
      <c r="I413" s="7" t="str">
        <f t="shared" si="56"/>
        <v/>
      </c>
      <c r="J413" s="7" t="str">
        <f t="shared" si="57"/>
        <v/>
      </c>
      <c r="K413" s="7">
        <f t="shared" si="60"/>
        <v>-0.13360384178472484</v>
      </c>
      <c r="L413" s="7">
        <f t="shared" si="61"/>
        <v>-0.11097839535547738</v>
      </c>
      <c r="M413" s="7">
        <f t="shared" si="62"/>
        <v>-0.13196089511728037</v>
      </c>
      <c r="N413" s="7">
        <f t="shared" si="58"/>
        <v>0.92562973425286188</v>
      </c>
      <c r="O413" s="7">
        <f t="shared" si="59"/>
        <v>7.4370265747138148E-2</v>
      </c>
    </row>
    <row r="414" spans="1:15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4">
        <f>IF(SUMIFS('Daily NSE Equity Cash'!$H:$H,'Daily NSE Equity Cash'!$A:$A,$A414)=0,"",SUMIFS('Daily NSE Equity Cash'!$H:$H,'Daily NSE Equity Cash'!$A:$A,$A414))</f>
        <v>1162.9830999999999</v>
      </c>
      <c r="F414" s="4">
        <f>IF(SUMIFS('Daily BSE Equity Cash'!$H:$H,'Daily BSE Equity Cash'!$A:$A,$A414)=0,"",SUMIFS('Daily BSE Equity Cash'!$H:$H,'Daily BSE Equity Cash'!$A:$A,$A414))</f>
        <v>44.983899999999998</v>
      </c>
      <c r="G414" s="4">
        <f t="shared" si="54"/>
        <v>1207.9669999999999</v>
      </c>
      <c r="H414" s="7" t="str">
        <f t="shared" si="55"/>
        <v/>
      </c>
      <c r="I414" s="7" t="str">
        <f t="shared" si="56"/>
        <v/>
      </c>
      <c r="J414" s="7" t="str">
        <f t="shared" si="57"/>
        <v/>
      </c>
      <c r="K414" s="7">
        <f t="shared" si="60"/>
        <v>0.66722088589348627</v>
      </c>
      <c r="L414" s="7">
        <f t="shared" si="61"/>
        <v>-0.19737107396285525</v>
      </c>
      <c r="M414" s="7">
        <f t="shared" si="62"/>
        <v>0.60292095207613094</v>
      </c>
      <c r="N414" s="7">
        <f t="shared" si="58"/>
        <v>0.96276065488543983</v>
      </c>
      <c r="O414" s="7">
        <f t="shared" si="59"/>
        <v>3.723934511456025E-2</v>
      </c>
    </row>
    <row r="415" spans="1:15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4">
        <f>IF(SUMIFS('Daily NSE Equity Cash'!$H:$H,'Daily NSE Equity Cash'!$A:$A,$A415)=0,"",SUMIFS('Daily NSE Equity Cash'!$H:$H,'Daily NSE Equity Cash'!$A:$A,$A415))</f>
        <v>583.8501</v>
      </c>
      <c r="F415" s="4">
        <f>IF(SUMIFS('Daily BSE Equity Cash'!$H:$H,'Daily BSE Equity Cash'!$A:$A,$A415)=0,"",SUMIFS('Daily BSE Equity Cash'!$H:$H,'Daily BSE Equity Cash'!$A:$A,$A415))</f>
        <v>53.940899999999999</v>
      </c>
      <c r="G415" s="4">
        <f t="shared" si="54"/>
        <v>637.79099999999994</v>
      </c>
      <c r="H415" s="7">
        <f t="shared" si="55"/>
        <v>-7.5580265854741757E-2</v>
      </c>
      <c r="I415" s="7">
        <f t="shared" si="56"/>
        <v>0.72693220127356728</v>
      </c>
      <c r="J415" s="7">
        <f t="shared" si="57"/>
        <v>-3.7762254220825464E-2</v>
      </c>
      <c r="K415" s="7">
        <f t="shared" si="60"/>
        <v>-0.4979719825679324</v>
      </c>
      <c r="L415" s="7">
        <f t="shared" si="61"/>
        <v>0.19911568361124754</v>
      </c>
      <c r="M415" s="7">
        <f t="shared" si="62"/>
        <v>-0.47201289439198257</v>
      </c>
      <c r="N415" s="7">
        <f t="shared" si="58"/>
        <v>0.91542542933343374</v>
      </c>
      <c r="O415" s="7">
        <f t="shared" si="59"/>
        <v>8.4574570666566332E-2</v>
      </c>
    </row>
    <row r="416" spans="1:15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4">
        <f>IF(SUMIFS('Daily NSE Equity Cash'!$H:$H,'Daily NSE Equity Cash'!$A:$A,$A416)=0,"",SUMIFS('Daily NSE Equity Cash'!$H:$H,'Daily NSE Equity Cash'!$A:$A,$A416))</f>
        <v>574.41030000000001</v>
      </c>
      <c r="F416" s="4">
        <f>IF(SUMIFS('Daily BSE Equity Cash'!$H:$H,'Daily BSE Equity Cash'!$A:$A,$A416)=0,"",SUMIFS('Daily BSE Equity Cash'!$H:$H,'Daily BSE Equity Cash'!$A:$A,$A416))</f>
        <v>41.106200000000001</v>
      </c>
      <c r="G416" s="4">
        <f t="shared" si="54"/>
        <v>615.51649999999995</v>
      </c>
      <c r="H416" s="7">
        <f t="shared" si="55"/>
        <v>-0.14356278352014129</v>
      </c>
      <c r="I416" s="7">
        <f t="shared" si="56"/>
        <v>-0.23623952078007016</v>
      </c>
      <c r="J416" s="7">
        <f t="shared" si="57"/>
        <v>-0.15044726958587518</v>
      </c>
      <c r="K416" s="7">
        <f t="shared" si="60"/>
        <v>-1.6168191116178621E-2</v>
      </c>
      <c r="L416" s="7">
        <f t="shared" si="61"/>
        <v>-0.23794004178647365</v>
      </c>
      <c r="M416" s="7">
        <f t="shared" si="62"/>
        <v>-3.4924450172548638E-2</v>
      </c>
      <c r="N416" s="7">
        <f t="shared" si="58"/>
        <v>0.9332167374879472</v>
      </c>
      <c r="O416" s="7">
        <f t="shared" si="59"/>
        <v>6.6783262512052896E-2</v>
      </c>
    </row>
    <row r="417" spans="1:15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4">
        <f>IF(SUMIFS('Daily NSE Equity Cash'!$H:$H,'Daily NSE Equity Cash'!$A:$A,$A417)=0,"",SUMIFS('Daily NSE Equity Cash'!$H:$H,'Daily NSE Equity Cash'!$A:$A,$A417))</f>
        <v>611.76919999999996</v>
      </c>
      <c r="F417" s="4">
        <f>IF(SUMIFS('Daily BSE Equity Cash'!$H:$H,'Daily BSE Equity Cash'!$A:$A,$A417)=0,"",SUMIFS('Daily BSE Equity Cash'!$H:$H,'Daily BSE Equity Cash'!$A:$A,$A417))</f>
        <v>42.1036</v>
      </c>
      <c r="G417" s="4">
        <f t="shared" si="54"/>
        <v>653.87279999999998</v>
      </c>
      <c r="H417" s="7">
        <f t="shared" si="55"/>
        <v>-0.14524807775923576</v>
      </c>
      <c r="I417" s="7">
        <f t="shared" si="56"/>
        <v>-0.43490637830118661</v>
      </c>
      <c r="J417" s="7">
        <f t="shared" si="57"/>
        <v>-0.17255852534912108</v>
      </c>
      <c r="K417" s="7">
        <f t="shared" si="60"/>
        <v>6.5038701429970702E-2</v>
      </c>
      <c r="L417" s="7">
        <f t="shared" si="61"/>
        <v>2.4263979642973554E-2</v>
      </c>
      <c r="M417" s="7">
        <f t="shared" si="62"/>
        <v>6.2315632481013905E-2</v>
      </c>
      <c r="N417" s="7">
        <f t="shared" si="58"/>
        <v>0.93560888295093481</v>
      </c>
      <c r="O417" s="7">
        <f t="shared" si="59"/>
        <v>6.4391117049065208E-2</v>
      </c>
    </row>
    <row r="418" spans="1:15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4">
        <f>IF(SUMIFS('Daily NSE Equity Cash'!$H:$H,'Daily NSE Equity Cash'!$A:$A,$A418)=0,"",SUMIFS('Daily NSE Equity Cash'!$H:$H,'Daily NSE Equity Cash'!$A:$A,$A418))</f>
        <v>506.64019999999999</v>
      </c>
      <c r="F418" s="4">
        <f>IF(SUMIFS('Daily BSE Equity Cash'!$H:$H,'Daily BSE Equity Cash'!$A:$A,$A418)=0,"",SUMIFS('Daily BSE Equity Cash'!$H:$H,'Daily BSE Equity Cash'!$A:$A,$A418))</f>
        <v>41.402900000000002</v>
      </c>
      <c r="G418" s="4">
        <f t="shared" si="54"/>
        <v>548.04309999999998</v>
      </c>
      <c r="H418" s="7" t="str">
        <f t="shared" si="55"/>
        <v/>
      </c>
      <c r="I418" s="7" t="str">
        <f t="shared" si="56"/>
        <v/>
      </c>
      <c r="J418" s="7" t="str">
        <f t="shared" si="57"/>
        <v/>
      </c>
      <c r="K418" s="7">
        <f t="shared" si="60"/>
        <v>-0.17184421837516495</v>
      </c>
      <c r="L418" s="7">
        <f t="shared" si="61"/>
        <v>-1.6642282370153527E-2</v>
      </c>
      <c r="M418" s="7">
        <f t="shared" si="62"/>
        <v>-0.16185059234762478</v>
      </c>
      <c r="N418" s="7">
        <f t="shared" si="58"/>
        <v>0.92445320450161672</v>
      </c>
      <c r="O418" s="7">
        <f t="shared" si="59"/>
        <v>7.5546795498383251E-2</v>
      </c>
    </row>
    <row r="419" spans="1:15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4">
        <f>IF(SUMIFS('Daily NSE Equity Cash'!$H:$H,'Daily NSE Equity Cash'!$A:$A,$A419)=0,"",SUMIFS('Daily NSE Equity Cash'!$H:$H,'Daily NSE Equity Cash'!$A:$A,$A419))</f>
        <v>539.32719999999995</v>
      </c>
      <c r="F419" s="4">
        <f>IF(SUMIFS('Daily BSE Equity Cash'!$H:$H,'Daily BSE Equity Cash'!$A:$A,$A419)=0,"",SUMIFS('Daily BSE Equity Cash'!$H:$H,'Daily BSE Equity Cash'!$A:$A,$A419))</f>
        <v>39.898299999999999</v>
      </c>
      <c r="G419" s="4">
        <f t="shared" si="54"/>
        <v>579.2254999999999</v>
      </c>
      <c r="H419" s="7">
        <f t="shared" si="55"/>
        <v>-0.20817710803219991</v>
      </c>
      <c r="I419" s="7">
        <f t="shared" si="56"/>
        <v>1.9056400406618268E-2</v>
      </c>
      <c r="J419" s="7">
        <f t="shared" si="57"/>
        <v>-0.19582527851931752</v>
      </c>
      <c r="K419" s="7">
        <f t="shared" si="60"/>
        <v>6.4517185963529844E-2</v>
      </c>
      <c r="L419" s="7">
        <f t="shared" si="61"/>
        <v>-3.6340449582034196E-2</v>
      </c>
      <c r="M419" s="7">
        <f t="shared" si="62"/>
        <v>5.6897714796518617E-2</v>
      </c>
      <c r="N419" s="7">
        <f t="shared" si="58"/>
        <v>0.93111784615836157</v>
      </c>
      <c r="O419" s="7">
        <f t="shared" si="59"/>
        <v>6.8882153841638538E-2</v>
      </c>
    </row>
    <row r="420" spans="1:15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4">
        <f>IF(SUMIFS('Daily NSE Equity Cash'!$H:$H,'Daily NSE Equity Cash'!$A:$A,$A420)=0,"",SUMIFS('Daily NSE Equity Cash'!$H:$H,'Daily NSE Equity Cash'!$A:$A,$A420))</f>
        <v>590.09090000000003</v>
      </c>
      <c r="F420" s="4">
        <f>IF(SUMIFS('Daily BSE Equity Cash'!$H:$H,'Daily BSE Equity Cash'!$A:$A,$A420)=0,"",SUMIFS('Daily BSE Equity Cash'!$H:$H,'Daily BSE Equity Cash'!$A:$A,$A420))</f>
        <v>46.1006</v>
      </c>
      <c r="G420" s="4">
        <f t="shared" si="54"/>
        <v>636.19150000000002</v>
      </c>
      <c r="H420" s="7">
        <f t="shared" si="55"/>
        <v>-0.14943200900598319</v>
      </c>
      <c r="I420" s="7">
        <f t="shared" si="56"/>
        <v>0.13875598086124397</v>
      </c>
      <c r="J420" s="7">
        <f t="shared" si="57"/>
        <v>-0.13354247353367255</v>
      </c>
      <c r="K420" s="7">
        <f t="shared" si="60"/>
        <v>9.4124123537622673E-2</v>
      </c>
      <c r="L420" s="7">
        <f t="shared" si="61"/>
        <v>0.15545273858785968</v>
      </c>
      <c r="M420" s="7">
        <f t="shared" si="62"/>
        <v>9.8348570634407828E-2</v>
      </c>
      <c r="N420" s="7">
        <f t="shared" si="58"/>
        <v>0.92753659864993487</v>
      </c>
      <c r="O420" s="7">
        <f t="shared" si="59"/>
        <v>7.2463401350065196E-2</v>
      </c>
    </row>
    <row r="421" spans="1:15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4">
        <f>IF(SUMIFS('Daily NSE Equity Cash'!$H:$H,'Daily NSE Equity Cash'!$A:$A,$A421)=0,"",SUMIFS('Daily NSE Equity Cash'!$H:$H,'Daily NSE Equity Cash'!$A:$A,$A421))</f>
        <v>562.31129999999996</v>
      </c>
      <c r="F421" s="4">
        <f>IF(SUMIFS('Daily BSE Equity Cash'!$H:$H,'Daily BSE Equity Cash'!$A:$A,$A421)=0,"",SUMIFS('Daily BSE Equity Cash'!$H:$H,'Daily BSE Equity Cash'!$A:$A,$A421))</f>
        <v>50.883099999999999</v>
      </c>
      <c r="G421" s="4">
        <f t="shared" si="54"/>
        <v>613.19439999999997</v>
      </c>
      <c r="H421" s="7">
        <f t="shared" si="55"/>
        <v>-0.10210130897681058</v>
      </c>
      <c r="I421" s="7">
        <f t="shared" si="56"/>
        <v>3.9718399898975854E-3</v>
      </c>
      <c r="J421" s="7">
        <f t="shared" si="57"/>
        <v>-9.4159654784814473E-2</v>
      </c>
      <c r="K421" s="7">
        <f t="shared" si="60"/>
        <v>-4.707681477548642E-2</v>
      </c>
      <c r="L421" s="7">
        <f t="shared" si="61"/>
        <v>0.1037405153078268</v>
      </c>
      <c r="M421" s="7">
        <f t="shared" si="62"/>
        <v>-3.6148078055113997E-2</v>
      </c>
      <c r="N421" s="7">
        <f t="shared" si="58"/>
        <v>0.91701962705465023</v>
      </c>
      <c r="O421" s="7">
        <f t="shared" si="59"/>
        <v>8.2980372945349795E-2</v>
      </c>
    </row>
    <row r="422" spans="1:15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4">
        <f>IF(SUMIFS('Daily NSE Equity Cash'!$H:$H,'Daily NSE Equity Cash'!$A:$A,$A422)=0,"",SUMIFS('Daily NSE Equity Cash'!$H:$H,'Daily NSE Equity Cash'!$A:$A,$A422))</f>
        <v>555.63440000000003</v>
      </c>
      <c r="F422" s="4">
        <f>IF(SUMIFS('Daily BSE Equity Cash'!$H:$H,'Daily BSE Equity Cash'!$A:$A,$A422)=0,"",SUMIFS('Daily BSE Equity Cash'!$H:$H,'Daily BSE Equity Cash'!$A:$A,$A422))</f>
        <v>42.670699999999997</v>
      </c>
      <c r="G422" s="4">
        <f t="shared" si="54"/>
        <v>598.30510000000004</v>
      </c>
      <c r="H422" s="7">
        <f t="shared" si="55"/>
        <v>-8.9176642728707622E-2</v>
      </c>
      <c r="I422" s="7">
        <f t="shared" si="56"/>
        <v>0.10072202259190366</v>
      </c>
      <c r="J422" s="7">
        <f t="shared" si="57"/>
        <v>-7.7830134151991692E-2</v>
      </c>
      <c r="K422" s="7">
        <f t="shared" si="60"/>
        <v>-1.1874027784965269E-2</v>
      </c>
      <c r="L422" s="7">
        <f t="shared" si="61"/>
        <v>-0.16139739913645201</v>
      </c>
      <c r="M422" s="7">
        <f t="shared" si="62"/>
        <v>-2.4281532903757674E-2</v>
      </c>
      <c r="N422" s="7">
        <f t="shared" si="58"/>
        <v>0.92868070153505289</v>
      </c>
      <c r="O422" s="7">
        <f t="shared" si="59"/>
        <v>7.1319298464947056E-2</v>
      </c>
    </row>
    <row r="423" spans="1:15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4">
        <f>IF(SUMIFS('Daily NSE Equity Cash'!$H:$H,'Daily NSE Equity Cash'!$A:$A,$A423)=0,"",SUMIFS('Daily NSE Equity Cash'!$H:$H,'Daily NSE Equity Cash'!$A:$A,$A423))</f>
        <v>609.90030000000002</v>
      </c>
      <c r="F423" s="4">
        <f>IF(SUMIFS('Daily BSE Equity Cash'!$H:$H,'Daily BSE Equity Cash'!$A:$A,$A423)=0,"",SUMIFS('Daily BSE Equity Cash'!$H:$H,'Daily BSE Equity Cash'!$A:$A,$A423))</f>
        <v>51.752600000000001</v>
      </c>
      <c r="G423" s="4">
        <f t="shared" si="54"/>
        <v>661.65290000000005</v>
      </c>
      <c r="H423" s="7" t="str">
        <f t="shared" si="55"/>
        <v/>
      </c>
      <c r="I423" s="7" t="str">
        <f t="shared" si="56"/>
        <v/>
      </c>
      <c r="J423" s="7" t="str">
        <f t="shared" si="57"/>
        <v/>
      </c>
      <c r="K423" s="7">
        <f t="shared" si="60"/>
        <v>9.7664759417343427E-2</v>
      </c>
      <c r="L423" s="7">
        <f t="shared" si="61"/>
        <v>0.21283691151070894</v>
      </c>
      <c r="M423" s="7">
        <f t="shared" si="62"/>
        <v>0.10587875650734047</v>
      </c>
      <c r="N423" s="7">
        <f t="shared" si="58"/>
        <v>0.92178285623776446</v>
      </c>
      <c r="O423" s="7">
        <f t="shared" si="59"/>
        <v>7.8217143762235458E-2</v>
      </c>
    </row>
    <row r="424" spans="1:15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4">
        <f>IF(SUMIFS('Daily NSE Equity Cash'!$H:$H,'Daily NSE Equity Cash'!$A:$A,$A424)=0,"",SUMIFS('Daily NSE Equity Cash'!$H:$H,'Daily NSE Equity Cash'!$A:$A,$A424))</f>
        <v>578.13340000000005</v>
      </c>
      <c r="F424" s="4">
        <f>IF(SUMIFS('Daily BSE Equity Cash'!$H:$H,'Daily BSE Equity Cash'!$A:$A,$A424)=0,"",SUMIFS('Daily BSE Equity Cash'!$H:$H,'Daily BSE Equity Cash'!$A:$A,$A424))</f>
        <v>43.903100000000002</v>
      </c>
      <c r="G424" s="4">
        <f t="shared" si="54"/>
        <v>622.03650000000005</v>
      </c>
      <c r="H424" s="7">
        <f t="shared" si="55"/>
        <v>2.1685303408513823E-2</v>
      </c>
      <c r="I424" s="7">
        <f t="shared" si="56"/>
        <v>4.9808584867085504E-2</v>
      </c>
      <c r="J424" s="7">
        <f t="shared" si="57"/>
        <v>2.3620719105664767E-2</v>
      </c>
      <c r="K424" s="7">
        <f t="shared" si="60"/>
        <v>-5.2085398220004131E-2</v>
      </c>
      <c r="L424" s="7">
        <f t="shared" si="61"/>
        <v>-0.15167353910721393</v>
      </c>
      <c r="M424" s="7">
        <f t="shared" si="62"/>
        <v>-5.9874898152792788E-2</v>
      </c>
      <c r="N424" s="7">
        <f t="shared" si="58"/>
        <v>0.92942037967225399</v>
      </c>
      <c r="O424" s="7">
        <f t="shared" si="59"/>
        <v>7.0579620327746034E-2</v>
      </c>
    </row>
    <row r="425" spans="1:15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4">
        <f>IF(SUMIFS('Daily NSE Equity Cash'!$H:$H,'Daily NSE Equity Cash'!$A:$A,$A425)=0,"",SUMIFS('Daily NSE Equity Cash'!$H:$H,'Daily NSE Equity Cash'!$A:$A,$A425))</f>
        <v>521.70410000000004</v>
      </c>
      <c r="F425" s="4">
        <f>IF(SUMIFS('Daily BSE Equity Cash'!$H:$H,'Daily BSE Equity Cash'!$A:$A,$A425)=0,"",SUMIFS('Daily BSE Equity Cash'!$H:$H,'Daily BSE Equity Cash'!$A:$A,$A425))</f>
        <v>41.417400000000001</v>
      </c>
      <c r="G425" s="4">
        <f t="shared" si="54"/>
        <v>563.12150000000008</v>
      </c>
      <c r="H425" s="7">
        <f t="shared" si="55"/>
        <v>-0.15339757205354398</v>
      </c>
      <c r="I425" s="7">
        <f t="shared" si="56"/>
        <v>1.7866622102510776E-2</v>
      </c>
      <c r="J425" s="7">
        <f t="shared" si="57"/>
        <v>-0.1427893158270731</v>
      </c>
      <c r="K425" s="7">
        <f t="shared" si="60"/>
        <v>-9.7606019648752373E-2</v>
      </c>
      <c r="L425" s="7">
        <f t="shared" si="61"/>
        <v>-5.6617869808737953E-2</v>
      </c>
      <c r="M425" s="7">
        <f t="shared" si="62"/>
        <v>-9.4713091595107324E-2</v>
      </c>
      <c r="N425" s="7">
        <f t="shared" si="58"/>
        <v>0.92645033087885997</v>
      </c>
      <c r="O425" s="7">
        <f t="shared" si="59"/>
        <v>7.3549669121139916E-2</v>
      </c>
    </row>
    <row r="426" spans="1:15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4">
        <f>IF(SUMIFS('Daily NSE Equity Cash'!$H:$H,'Daily NSE Equity Cash'!$A:$A,$A426)=0,"",SUMIFS('Daily NSE Equity Cash'!$H:$H,'Daily NSE Equity Cash'!$A:$A,$A426))</f>
        <v>587.83500000000004</v>
      </c>
      <c r="F426" s="4">
        <f>IF(SUMIFS('Daily BSE Equity Cash'!$H:$H,'Daily BSE Equity Cash'!$A:$A,$A426)=0,"",SUMIFS('Daily BSE Equity Cash'!$H:$H,'Daily BSE Equity Cash'!$A:$A,$A426))</f>
        <v>44.549199999999999</v>
      </c>
      <c r="G426" s="4">
        <f t="shared" si="54"/>
        <v>632.38420000000008</v>
      </c>
      <c r="H426" s="7">
        <f t="shared" si="55"/>
        <v>-5.9145614876073949E-2</v>
      </c>
      <c r="I426" s="7">
        <f t="shared" si="56"/>
        <v>0.13237454691495465</v>
      </c>
      <c r="J426" s="7">
        <f t="shared" si="57"/>
        <v>-4.7800437836031717E-2</v>
      </c>
      <c r="K426" s="7">
        <f t="shared" si="60"/>
        <v>0.12675940250421647</v>
      </c>
      <c r="L426" s="7">
        <f t="shared" si="61"/>
        <v>7.561556254134727E-2</v>
      </c>
      <c r="M426" s="7">
        <f t="shared" si="62"/>
        <v>0.12299778999736288</v>
      </c>
      <c r="N426" s="7">
        <f t="shared" si="58"/>
        <v>0.92955358467210281</v>
      </c>
      <c r="O426" s="7">
        <f t="shared" si="59"/>
        <v>7.044641532789718E-2</v>
      </c>
    </row>
    <row r="427" spans="1:15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4">
        <f>IF(SUMIFS('Daily NSE Equity Cash'!$H:$H,'Daily NSE Equity Cash'!$A:$A,$A427)=0,"",SUMIFS('Daily NSE Equity Cash'!$H:$H,'Daily NSE Equity Cash'!$A:$A,$A427))</f>
        <v>726.72289999999998</v>
      </c>
      <c r="F427" s="4">
        <f>IF(SUMIFS('Daily BSE Equity Cash'!$H:$H,'Daily BSE Equity Cash'!$A:$A,$A427)=0,"",SUMIFS('Daily BSE Equity Cash'!$H:$H,'Daily BSE Equity Cash'!$A:$A,$A427))</f>
        <v>48.415999999999997</v>
      </c>
      <c r="G427" s="4">
        <f t="shared" si="54"/>
        <v>775.13889999999992</v>
      </c>
      <c r="H427" s="7">
        <f t="shared" si="55"/>
        <v>0.23328871775786464</v>
      </c>
      <c r="I427" s="7">
        <f t="shared" si="56"/>
        <v>0.2524218853067548</v>
      </c>
      <c r="J427" s="7">
        <f t="shared" si="57"/>
        <v>0.23446666263214389</v>
      </c>
      <c r="K427" s="7">
        <f t="shared" si="60"/>
        <v>0.23627021187918373</v>
      </c>
      <c r="L427" s="7">
        <f t="shared" si="61"/>
        <v>8.6798416133174072E-2</v>
      </c>
      <c r="M427" s="7">
        <f t="shared" si="62"/>
        <v>0.22574045967625356</v>
      </c>
      <c r="N427" s="7">
        <f t="shared" si="58"/>
        <v>0.93753893656994902</v>
      </c>
      <c r="O427" s="7">
        <f t="shared" si="59"/>
        <v>6.2461063430051054E-2</v>
      </c>
    </row>
    <row r="428" spans="1:15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4">
        <f>IF(SUMIFS('Daily NSE Equity Cash'!$H:$H,'Daily NSE Equity Cash'!$A:$A,$A428)=0,"",SUMIFS('Daily NSE Equity Cash'!$H:$H,'Daily NSE Equity Cash'!$A:$A,$A428))</f>
        <v>623.82899999999995</v>
      </c>
      <c r="F428" s="4">
        <f>IF(SUMIFS('Daily BSE Equity Cash'!$H:$H,'Daily BSE Equity Cash'!$A:$A,$A428)=0,"",SUMIFS('Daily BSE Equity Cash'!$H:$H,'Daily BSE Equity Cash'!$A:$A,$A428))</f>
        <v>65.243899999999996</v>
      </c>
      <c r="G428" s="4">
        <f t="shared" si="54"/>
        <v>689.07289999999989</v>
      </c>
      <c r="H428" s="7" t="str">
        <f t="shared" si="55"/>
        <v/>
      </c>
      <c r="I428" s="7" t="str">
        <f t="shared" si="56"/>
        <v/>
      </c>
      <c r="J428" s="7" t="str">
        <f t="shared" si="57"/>
        <v/>
      </c>
      <c r="K428" s="7">
        <f t="shared" si="60"/>
        <v>-0.1415861534017987</v>
      </c>
      <c r="L428" s="7">
        <f t="shared" si="61"/>
        <v>0.34756898545935222</v>
      </c>
      <c r="M428" s="7">
        <f t="shared" si="62"/>
        <v>-0.11103300324625698</v>
      </c>
      <c r="N428" s="7">
        <f t="shared" si="58"/>
        <v>0.90531640411341097</v>
      </c>
      <c r="O428" s="7">
        <f t="shared" si="59"/>
        <v>9.4683595886589075E-2</v>
      </c>
    </row>
    <row r="429" spans="1:15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4">
        <f>IF(SUMIFS('Daily NSE Equity Cash'!$H:$H,'Daily NSE Equity Cash'!$A:$A,$A429)=0,"",SUMIFS('Daily NSE Equity Cash'!$H:$H,'Daily NSE Equity Cash'!$A:$A,$A429))</f>
        <v>545.43920000000003</v>
      </c>
      <c r="F429" s="4">
        <f>IF(SUMIFS('Daily BSE Equity Cash'!$H:$H,'Daily BSE Equity Cash'!$A:$A,$A429)=0,"",SUMIFS('Daily BSE Equity Cash'!$H:$H,'Daily BSE Equity Cash'!$A:$A,$A429))</f>
        <v>37.5852</v>
      </c>
      <c r="G429" s="4">
        <f t="shared" si="54"/>
        <v>583.02440000000001</v>
      </c>
      <c r="H429" s="7">
        <f t="shared" si="55"/>
        <v>-0.28427651185064473</v>
      </c>
      <c r="I429" s="7">
        <f t="shared" si="56"/>
        <v>-0.36884210809140616</v>
      </c>
      <c r="J429" s="7">
        <f t="shared" si="57"/>
        <v>-0.29040560203157018</v>
      </c>
      <c r="K429" s="7">
        <f t="shared" si="60"/>
        <v>-0.12565911491770976</v>
      </c>
      <c r="L429" s="7">
        <f t="shared" si="61"/>
        <v>-0.42392775416552353</v>
      </c>
      <c r="M429" s="7">
        <f t="shared" si="62"/>
        <v>-0.15390026222189246</v>
      </c>
      <c r="N429" s="7">
        <f t="shared" si="58"/>
        <v>0.93553408742412847</v>
      </c>
      <c r="O429" s="7">
        <f t="shared" si="59"/>
        <v>6.4465912575871614E-2</v>
      </c>
    </row>
    <row r="430" spans="1:15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4">
        <f>IF(SUMIFS('Daily NSE Equity Cash'!$H:$H,'Daily NSE Equity Cash'!$A:$A,$A430)=0,"",SUMIFS('Daily NSE Equity Cash'!$H:$H,'Daily NSE Equity Cash'!$A:$A,$A430))</f>
        <v>472.4</v>
      </c>
      <c r="F430" s="4">
        <f>IF(SUMIFS('Daily BSE Equity Cash'!$H:$H,'Daily BSE Equity Cash'!$A:$A,$A430)=0,"",SUMIFS('Daily BSE Equity Cash'!$H:$H,'Daily BSE Equity Cash'!$A:$A,$A430))</f>
        <v>33.380899999999997</v>
      </c>
      <c r="G430" s="4">
        <f t="shared" si="54"/>
        <v>505.78089999999997</v>
      </c>
      <c r="H430" s="7">
        <f t="shared" si="55"/>
        <v>-0.32176106090123369</v>
      </c>
      <c r="I430" s="7">
        <f t="shared" si="56"/>
        <v>-0.33471316506959614</v>
      </c>
      <c r="J430" s="7">
        <f t="shared" si="57"/>
        <v>-0.32263140717054817</v>
      </c>
      <c r="K430" s="7">
        <f t="shared" si="60"/>
        <v>-0.13390896730561364</v>
      </c>
      <c r="L430" s="7">
        <f t="shared" si="61"/>
        <v>-0.11186051956621235</v>
      </c>
      <c r="M430" s="7">
        <f t="shared" si="62"/>
        <v>-0.13248759400121168</v>
      </c>
      <c r="N430" s="7">
        <f t="shared" si="58"/>
        <v>0.93400126418376017</v>
      </c>
      <c r="O430" s="7">
        <f t="shared" si="59"/>
        <v>6.5998735816239801E-2</v>
      </c>
    </row>
    <row r="431" spans="1:15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4">
        <f>IF(SUMIFS('Daily NSE Equity Cash'!$H:$H,'Daily NSE Equity Cash'!$A:$A,$A431)=0,"",SUMIFS('Daily NSE Equity Cash'!$H:$H,'Daily NSE Equity Cash'!$A:$A,$A431))</f>
        <v>451.61110000000002</v>
      </c>
      <c r="F431" s="4">
        <f>IF(SUMIFS('Daily BSE Equity Cash'!$H:$H,'Daily BSE Equity Cash'!$A:$A,$A431)=0,"",SUMIFS('Daily BSE Equity Cash'!$H:$H,'Daily BSE Equity Cash'!$A:$A,$A431))</f>
        <v>33.2973</v>
      </c>
      <c r="G431" s="4">
        <f t="shared" si="54"/>
        <v>484.90840000000003</v>
      </c>
      <c r="H431" s="7">
        <f t="shared" si="55"/>
        <v>-0.21414699022736794</v>
      </c>
      <c r="I431" s="7">
        <f t="shared" si="56"/>
        <v>-0.12012461948249631</v>
      </c>
      <c r="J431" s="7">
        <f t="shared" si="57"/>
        <v>-0.20833802025894677</v>
      </c>
      <c r="K431" s="7">
        <f t="shared" si="60"/>
        <v>-4.4006985605419047E-2</v>
      </c>
      <c r="L431" s="7">
        <f t="shared" si="61"/>
        <v>-2.5044261838356174E-3</v>
      </c>
      <c r="M431" s="7">
        <f t="shared" si="62"/>
        <v>-4.1267869150456105E-2</v>
      </c>
      <c r="N431" s="7">
        <f t="shared" si="58"/>
        <v>0.93133280429870879</v>
      </c>
      <c r="O431" s="7">
        <f t="shared" si="59"/>
        <v>6.8667195701291206E-2</v>
      </c>
    </row>
    <row r="432" spans="1:15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4">
        <f>IF(SUMIFS('Daily NSE Equity Cash'!$H:$H,'Daily NSE Equity Cash'!$A:$A,$A432)=0,"",SUMIFS('Daily NSE Equity Cash'!$H:$H,'Daily NSE Equity Cash'!$A:$A,$A432))</f>
        <v>430.94560000000001</v>
      </c>
      <c r="F432" s="4">
        <f>IF(SUMIFS('Daily BSE Equity Cash'!$H:$H,'Daily BSE Equity Cash'!$A:$A,$A432)=0,"",SUMIFS('Daily BSE Equity Cash'!$H:$H,'Daily BSE Equity Cash'!$A:$A,$A432))</f>
        <v>32.590000000000003</v>
      </c>
      <c r="G432" s="4">
        <f t="shared" si="54"/>
        <v>463.53560000000004</v>
      </c>
      <c r="H432" s="7">
        <f t="shared" si="55"/>
        <v>-0.25547472242200631</v>
      </c>
      <c r="I432" s="7">
        <f t="shared" si="56"/>
        <v>-0.45183129389008025</v>
      </c>
      <c r="J432" s="7">
        <f t="shared" si="57"/>
        <v>-0.27376456236982416</v>
      </c>
      <c r="K432" s="7">
        <f t="shared" si="60"/>
        <v>-4.5759504139734397E-2</v>
      </c>
      <c r="L432" s="7">
        <f t="shared" si="61"/>
        <v>-2.1241962561528882E-2</v>
      </c>
      <c r="M432" s="7">
        <f t="shared" si="62"/>
        <v>-4.4075953314069216E-2</v>
      </c>
      <c r="N432" s="7">
        <f t="shared" si="58"/>
        <v>0.92969256298761083</v>
      </c>
      <c r="O432" s="7">
        <f t="shared" si="59"/>
        <v>7.0307437012389118E-2</v>
      </c>
    </row>
    <row r="433" spans="1:15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4">
        <f>IF(SUMIFS('Daily NSE Equity Cash'!$H:$H,'Daily NSE Equity Cash'!$A:$A,$A433)=0,"",SUMIFS('Daily NSE Equity Cash'!$H:$H,'Daily NSE Equity Cash'!$A:$A,$A433))</f>
        <v>401.53500000000003</v>
      </c>
      <c r="F433" s="4">
        <f>IF(SUMIFS('Daily BSE Equity Cash'!$H:$H,'Daily BSE Equity Cash'!$A:$A,$A433)=0,"",SUMIFS('Daily BSE Equity Cash'!$H:$H,'Daily BSE Equity Cash'!$A:$A,$A433))</f>
        <v>34.591000000000001</v>
      </c>
      <c r="G433" s="4">
        <f t="shared" si="54"/>
        <v>436.12600000000003</v>
      </c>
      <c r="H433" s="7" t="str">
        <f t="shared" si="55"/>
        <v/>
      </c>
      <c r="I433" s="7" t="str">
        <f t="shared" si="56"/>
        <v/>
      </c>
      <c r="J433" s="7" t="str">
        <f t="shared" si="57"/>
        <v/>
      </c>
      <c r="K433" s="7">
        <f t="shared" si="60"/>
        <v>-6.8246665008298013E-2</v>
      </c>
      <c r="L433" s="7">
        <f t="shared" si="61"/>
        <v>6.1399202209266646E-2</v>
      </c>
      <c r="M433" s="7">
        <f t="shared" si="62"/>
        <v>-5.9131596364982553E-2</v>
      </c>
      <c r="N433" s="7">
        <f t="shared" si="58"/>
        <v>0.92068576512292322</v>
      </c>
      <c r="O433" s="7">
        <f t="shared" si="59"/>
        <v>7.9314234877076811E-2</v>
      </c>
    </row>
    <row r="434" spans="1:15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4">
        <f>IF(SUMIFS('Daily NSE Equity Cash'!$H:$H,'Daily NSE Equity Cash'!$A:$A,$A434)=0,"",SUMIFS('Daily NSE Equity Cash'!$H:$H,'Daily NSE Equity Cash'!$A:$A,$A434))</f>
        <v>434.74889999999999</v>
      </c>
      <c r="F434" s="4">
        <f>IF(SUMIFS('Daily BSE Equity Cash'!$H:$H,'Daily BSE Equity Cash'!$A:$A,$A434)=0,"",SUMIFS('Daily BSE Equity Cash'!$H:$H,'Daily BSE Equity Cash'!$A:$A,$A434))</f>
        <v>35.074300000000001</v>
      </c>
      <c r="G434" s="4">
        <f t="shared" si="54"/>
        <v>469.82319999999999</v>
      </c>
      <c r="H434" s="7">
        <f t="shared" si="55"/>
        <v>-9.1826543548881423E-2</v>
      </c>
      <c r="I434" s="7">
        <f t="shared" si="56"/>
        <v>3.5636039377100026E-2</v>
      </c>
      <c r="J434" s="7">
        <f t="shared" si="57"/>
        <v>-8.3404688842183439E-2</v>
      </c>
      <c r="K434" s="7">
        <f t="shared" si="60"/>
        <v>8.2717322275766669E-2</v>
      </c>
      <c r="L434" s="7">
        <f t="shared" si="61"/>
        <v>1.397184238674809E-2</v>
      </c>
      <c r="M434" s="7">
        <f t="shared" si="62"/>
        <v>7.7264827137111691E-2</v>
      </c>
      <c r="N434" s="7">
        <f t="shared" si="58"/>
        <v>0.92534574708102968</v>
      </c>
      <c r="O434" s="7">
        <f t="shared" si="59"/>
        <v>7.4654252918970376E-2</v>
      </c>
    </row>
    <row r="435" spans="1:15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4">
        <f>IF(SUMIFS('Daily NSE Equity Cash'!$H:$H,'Daily NSE Equity Cash'!$A:$A,$A435)=0,"",SUMIFS('Daily NSE Equity Cash'!$H:$H,'Daily NSE Equity Cash'!$A:$A,$A435))</f>
        <v>437.02949999999998</v>
      </c>
      <c r="F435" s="4">
        <f>IF(SUMIFS('Daily BSE Equity Cash'!$H:$H,'Daily BSE Equity Cash'!$A:$A,$A435)=0,"",SUMIFS('Daily BSE Equity Cash'!$H:$H,'Daily BSE Equity Cash'!$A:$A,$A435))</f>
        <v>40.573599999999999</v>
      </c>
      <c r="G435" s="4">
        <f t="shared" si="54"/>
        <v>477.60309999999998</v>
      </c>
      <c r="H435" s="7">
        <f t="shared" si="55"/>
        <v>-0.15321181354478997</v>
      </c>
      <c r="I435" s="7">
        <f t="shared" si="56"/>
        <v>0.14891532421342935</v>
      </c>
      <c r="J435" s="7">
        <f t="shared" si="57"/>
        <v>-0.13386252732051163</v>
      </c>
      <c r="K435" s="7">
        <f t="shared" si="60"/>
        <v>5.2457867058433028E-3</v>
      </c>
      <c r="L435" s="7">
        <f t="shared" si="61"/>
        <v>0.15679001434098461</v>
      </c>
      <c r="M435" s="7">
        <f t="shared" si="62"/>
        <v>1.6559207804127229E-2</v>
      </c>
      <c r="N435" s="7">
        <f t="shared" si="58"/>
        <v>0.9150474525814426</v>
      </c>
      <c r="O435" s="7">
        <f t="shared" si="59"/>
        <v>8.4952547418557373E-2</v>
      </c>
    </row>
    <row r="436" spans="1:15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4">
        <f>IF(SUMIFS('Daily NSE Equity Cash'!$H:$H,'Daily NSE Equity Cash'!$A:$A,$A436)=0,"",SUMIFS('Daily NSE Equity Cash'!$H:$H,'Daily NSE Equity Cash'!$A:$A,$A436))</f>
        <v>536.33100000000002</v>
      </c>
      <c r="F436" s="4">
        <f>IF(SUMIFS('Daily BSE Equity Cash'!$H:$H,'Daily BSE Equity Cash'!$A:$A,$A436)=0,"",SUMIFS('Daily BSE Equity Cash'!$H:$H,'Daily BSE Equity Cash'!$A:$A,$A436))</f>
        <v>39.079599999999999</v>
      </c>
      <c r="G436" s="4">
        <f t="shared" si="54"/>
        <v>575.41060000000004</v>
      </c>
      <c r="H436" s="7">
        <f t="shared" si="55"/>
        <v>4.7541534974692823E-2</v>
      </c>
      <c r="I436" s="7">
        <f t="shared" si="56"/>
        <v>-9.7414625358566598E-2</v>
      </c>
      <c r="J436" s="7">
        <f t="shared" si="57"/>
        <v>3.6238878735991964E-2</v>
      </c>
      <c r="K436" s="7">
        <f t="shared" si="60"/>
        <v>0.22721921517883814</v>
      </c>
      <c r="L436" s="7">
        <f t="shared" si="61"/>
        <v>-3.6821972908492206E-2</v>
      </c>
      <c r="M436" s="7">
        <f t="shared" si="62"/>
        <v>0.20478824362739712</v>
      </c>
      <c r="N436" s="7">
        <f t="shared" si="58"/>
        <v>0.93208397620759853</v>
      </c>
      <c r="O436" s="7">
        <f t="shared" si="59"/>
        <v>6.7916023792401456E-2</v>
      </c>
    </row>
    <row r="437" spans="1:15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4">
        <f>IF(SUMIFS('Daily NSE Equity Cash'!$H:$H,'Daily NSE Equity Cash'!$A:$A,$A437)=0,"",SUMIFS('Daily NSE Equity Cash'!$H:$H,'Daily NSE Equity Cash'!$A:$A,$A437))</f>
        <v>444.94600000000003</v>
      </c>
      <c r="F437" s="4">
        <f>IF(SUMIFS('Daily BSE Equity Cash'!$H:$H,'Daily BSE Equity Cash'!$A:$A,$A437)=0,"",SUMIFS('Daily BSE Equity Cash'!$H:$H,'Daily BSE Equity Cash'!$A:$A,$A437))</f>
        <v>39.4086</v>
      </c>
      <c r="G437" s="4">
        <f t="shared" si="54"/>
        <v>484.3546</v>
      </c>
      <c r="H437" s="7">
        <f t="shared" si="55"/>
        <v>-0.19139687241601766</v>
      </c>
      <c r="I437" s="7">
        <f t="shared" si="56"/>
        <v>-3.6230876392790989E-3</v>
      </c>
      <c r="J437" s="7">
        <f t="shared" si="57"/>
        <v>-0.17880515122574481</v>
      </c>
      <c r="K437" s="7">
        <f t="shared" si="60"/>
        <v>-0.17038918130781178</v>
      </c>
      <c r="L437" s="7">
        <f t="shared" si="61"/>
        <v>8.418714623486423E-3</v>
      </c>
      <c r="M437" s="7">
        <f t="shared" si="62"/>
        <v>-0.1582452599934725</v>
      </c>
      <c r="N437" s="7">
        <f t="shared" si="58"/>
        <v>0.91863688297788448</v>
      </c>
      <c r="O437" s="7">
        <f t="shared" si="59"/>
        <v>8.1363117022115614E-2</v>
      </c>
    </row>
    <row r="438" spans="1:15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4">
        <f>IF(SUMIFS('Daily NSE Equity Cash'!$H:$H,'Daily NSE Equity Cash'!$A:$A,$A438)=0,"",SUMIFS('Daily NSE Equity Cash'!$H:$H,'Daily NSE Equity Cash'!$A:$A,$A438))</f>
        <v>471.15269999999998</v>
      </c>
      <c r="F438" s="4">
        <f>IF(SUMIFS('Daily BSE Equity Cash'!$H:$H,'Daily BSE Equity Cash'!$A:$A,$A438)=0,"",SUMIFS('Daily BSE Equity Cash'!$H:$H,'Daily BSE Equity Cash'!$A:$A,$A438))</f>
        <v>47.392699999999998</v>
      </c>
      <c r="G438" s="4">
        <f t="shared" si="54"/>
        <v>518.54539999999997</v>
      </c>
      <c r="H438" s="7" t="str">
        <f t="shared" si="55"/>
        <v/>
      </c>
      <c r="I438" s="7" t="str">
        <f t="shared" si="56"/>
        <v/>
      </c>
      <c r="J438" s="7" t="str">
        <f t="shared" si="57"/>
        <v/>
      </c>
      <c r="K438" s="7">
        <f t="shared" si="60"/>
        <v>5.8898607920961021E-2</v>
      </c>
      <c r="L438" s="7">
        <f t="shared" si="61"/>
        <v>0.20259791010084083</v>
      </c>
      <c r="M438" s="7">
        <f t="shared" si="62"/>
        <v>7.0590431060219005E-2</v>
      </c>
      <c r="N438" s="7">
        <f t="shared" si="58"/>
        <v>0.90860453105938266</v>
      </c>
      <c r="O438" s="7">
        <f t="shared" si="59"/>
        <v>9.1395468940617355E-2</v>
      </c>
    </row>
    <row r="439" spans="1:15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4">
        <f>IF(SUMIFS('Daily NSE Equity Cash'!$H:$H,'Daily NSE Equity Cash'!$A:$A,$A439)=0,"",SUMIFS('Daily NSE Equity Cash'!$H:$H,'Daily NSE Equity Cash'!$A:$A,$A439))</f>
        <v>553.09950000000003</v>
      </c>
      <c r="F439" s="4">
        <f>IF(SUMIFS('Daily BSE Equity Cash'!$H:$H,'Daily BSE Equity Cash'!$A:$A,$A439)=0,"",SUMIFS('Daily BSE Equity Cash'!$H:$H,'Daily BSE Equity Cash'!$A:$A,$A439))</f>
        <v>51.963999999999999</v>
      </c>
      <c r="G439" s="4">
        <f t="shared" si="54"/>
        <v>605.06349999999998</v>
      </c>
      <c r="H439" s="7">
        <f t="shared" si="55"/>
        <v>-0.12941547381578122</v>
      </c>
      <c r="I439" s="7">
        <f t="shared" si="56"/>
        <v>0.18043392827530447</v>
      </c>
      <c r="J439" s="7">
        <f t="shared" si="57"/>
        <v>-0.10933731641026134</v>
      </c>
      <c r="K439" s="7">
        <f t="shared" si="60"/>
        <v>0.17392832514808898</v>
      </c>
      <c r="L439" s="7">
        <f t="shared" si="61"/>
        <v>9.6455783274639328E-2</v>
      </c>
      <c r="M439" s="7">
        <f t="shared" si="62"/>
        <v>0.16684768585354348</v>
      </c>
      <c r="N439" s="7">
        <f t="shared" si="58"/>
        <v>0.91411810495923163</v>
      </c>
      <c r="O439" s="7">
        <f t="shared" si="59"/>
        <v>8.5881895040768444E-2</v>
      </c>
    </row>
    <row r="440" spans="1:15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4">
        <f>IF(SUMIFS('Daily NSE Equity Cash'!$H:$H,'Daily NSE Equity Cash'!$A:$A,$A440)=0,"",SUMIFS('Daily NSE Equity Cash'!$H:$H,'Daily NSE Equity Cash'!$A:$A,$A440))</f>
        <v>602.5942</v>
      </c>
      <c r="F440" s="4">
        <f>IF(SUMIFS('Daily BSE Equity Cash'!$H:$H,'Daily BSE Equity Cash'!$A:$A,$A440)=0,"",SUMIFS('Daily BSE Equity Cash'!$H:$H,'Daily BSE Equity Cash'!$A:$A,$A440))</f>
        <v>46.732999999999997</v>
      </c>
      <c r="G440" s="4">
        <f t="shared" si="54"/>
        <v>649.32719999999995</v>
      </c>
      <c r="H440" s="7">
        <f t="shared" si="55"/>
        <v>-0.1063147199509521</v>
      </c>
      <c r="I440" s="7">
        <f t="shared" si="56"/>
        <v>-5.3723509806383296E-2</v>
      </c>
      <c r="J440" s="7">
        <f t="shared" si="57"/>
        <v>-0.10272566236675662</v>
      </c>
      <c r="K440" s="7">
        <f t="shared" si="60"/>
        <v>8.9486068962275178E-2</v>
      </c>
      <c r="L440" s="7">
        <f t="shared" si="61"/>
        <v>-0.10066584558540537</v>
      </c>
      <c r="M440" s="7">
        <f t="shared" si="62"/>
        <v>7.3155462195290122E-2</v>
      </c>
      <c r="N440" s="7">
        <f t="shared" si="58"/>
        <v>0.92802858096811602</v>
      </c>
      <c r="O440" s="7">
        <f t="shared" si="59"/>
        <v>7.1971419031884087E-2</v>
      </c>
    </row>
    <row r="441" spans="1:15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4">
        <f>IF(SUMIFS('Daily NSE Equity Cash'!$H:$H,'Daily NSE Equity Cash'!$A:$A,$A441)=0,"",SUMIFS('Daily NSE Equity Cash'!$H:$H,'Daily NSE Equity Cash'!$A:$A,$A441))</f>
        <v>578.61599999999999</v>
      </c>
      <c r="F441" s="4">
        <f>IF(SUMIFS('Daily BSE Equity Cash'!$H:$H,'Daily BSE Equity Cash'!$A:$A,$A441)=0,"",SUMIFS('Daily BSE Equity Cash'!$H:$H,'Daily BSE Equity Cash'!$A:$A,$A441))</f>
        <v>46.816499999999998</v>
      </c>
      <c r="G441" s="4">
        <f t="shared" si="54"/>
        <v>625.4325</v>
      </c>
      <c r="H441" s="7">
        <f t="shared" si="55"/>
        <v>-0.25661129991525655</v>
      </c>
      <c r="I441" s="7">
        <f t="shared" si="56"/>
        <v>-0.28133826599533351</v>
      </c>
      <c r="J441" s="7">
        <f t="shared" si="57"/>
        <v>-0.25852099341168366</v>
      </c>
      <c r="K441" s="7">
        <f t="shared" si="60"/>
        <v>-3.9791620961502794E-2</v>
      </c>
      <c r="L441" s="7">
        <f t="shared" si="61"/>
        <v>1.786745982496285E-3</v>
      </c>
      <c r="M441" s="7">
        <f t="shared" si="62"/>
        <v>-3.6799166891514745E-2</v>
      </c>
      <c r="N441" s="7">
        <f t="shared" si="58"/>
        <v>0.9251453993836265</v>
      </c>
      <c r="O441" s="7">
        <f t="shared" si="59"/>
        <v>7.485460061637346E-2</v>
      </c>
    </row>
    <row r="442" spans="1:15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4">
        <f>IF(SUMIFS('Daily NSE Equity Cash'!$H:$H,'Daily NSE Equity Cash'!$A:$A,$A442)=0,"",SUMIFS('Daily NSE Equity Cash'!$H:$H,'Daily NSE Equity Cash'!$A:$A,$A442))</f>
        <v>605.96659999999997</v>
      </c>
      <c r="F442" s="4">
        <f>IF(SUMIFS('Daily BSE Equity Cash'!$H:$H,'Daily BSE Equity Cash'!$A:$A,$A442)=0,"",SUMIFS('Daily BSE Equity Cash'!$H:$H,'Daily BSE Equity Cash'!$A:$A,$A442))</f>
        <v>54.898099999999999</v>
      </c>
      <c r="G442" s="4">
        <f t="shared" si="54"/>
        <v>660.86469999999997</v>
      </c>
      <c r="H442" s="7">
        <f t="shared" si="55"/>
        <v>-0.17071226741542067</v>
      </c>
      <c r="I442" s="7">
        <f t="shared" si="56"/>
        <v>-3.2484275122353634E-2</v>
      </c>
      <c r="J442" s="7">
        <f t="shared" si="57"/>
        <v>-0.16075195257188857</v>
      </c>
      <c r="K442" s="7">
        <f t="shared" si="60"/>
        <v>4.7269000511565462E-2</v>
      </c>
      <c r="L442" s="7">
        <f t="shared" si="61"/>
        <v>0.17262290004592407</v>
      </c>
      <c r="M442" s="7">
        <f t="shared" si="62"/>
        <v>5.6652316596914831E-2</v>
      </c>
      <c r="N442" s="7">
        <f t="shared" si="58"/>
        <v>0.91692989502995093</v>
      </c>
      <c r="O442" s="7">
        <f t="shared" si="59"/>
        <v>8.3070104970049088E-2</v>
      </c>
    </row>
    <row r="443" spans="1:15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4">
        <f>IF(SUMIFS('Daily NSE Equity Cash'!$H:$H,'Daily NSE Equity Cash'!$A:$A,$A443)=0,"",SUMIFS('Daily NSE Equity Cash'!$H:$H,'Daily NSE Equity Cash'!$A:$A,$A443))</f>
        <v>595.13570000000004</v>
      </c>
      <c r="F443" s="4">
        <f>IF(SUMIFS('Daily BSE Equity Cash'!$H:$H,'Daily BSE Equity Cash'!$A:$A,$A443)=0,"",SUMIFS('Daily BSE Equity Cash'!$H:$H,'Daily BSE Equity Cash'!$A:$A,$A443))</f>
        <v>70.358099999999993</v>
      </c>
      <c r="G443" s="4">
        <f t="shared" si="54"/>
        <v>665.49380000000008</v>
      </c>
      <c r="H443" s="7" t="str">
        <f t="shared" si="55"/>
        <v/>
      </c>
      <c r="I443" s="7" t="str">
        <f t="shared" si="56"/>
        <v/>
      </c>
      <c r="J443" s="7" t="str">
        <f t="shared" si="57"/>
        <v/>
      </c>
      <c r="K443" s="7">
        <f t="shared" si="60"/>
        <v>-1.7873757398509937E-2</v>
      </c>
      <c r="L443" s="7">
        <f t="shared" si="61"/>
        <v>0.28161266054745049</v>
      </c>
      <c r="M443" s="7">
        <f t="shared" si="62"/>
        <v>7.0046107773651389E-3</v>
      </c>
      <c r="N443" s="7">
        <f t="shared" si="58"/>
        <v>0.89427685126442946</v>
      </c>
      <c r="O443" s="7">
        <f t="shared" si="59"/>
        <v>0.10572314873557047</v>
      </c>
    </row>
    <row r="444" spans="1:15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4">
        <f>IF(SUMIFS('Daily NSE Equity Cash'!$H:$H,'Daily NSE Equity Cash'!$A:$A,$A444)=0,"",SUMIFS('Daily NSE Equity Cash'!$H:$H,'Daily NSE Equity Cash'!$A:$A,$A444))</f>
        <v>651.15880000000004</v>
      </c>
      <c r="F444" s="4">
        <f>IF(SUMIFS('Daily BSE Equity Cash'!$H:$H,'Daily BSE Equity Cash'!$A:$A,$A444)=0,"",SUMIFS('Daily BSE Equity Cash'!$H:$H,'Daily BSE Equity Cash'!$A:$A,$A444))</f>
        <v>55.387700000000002</v>
      </c>
      <c r="G444" s="4">
        <f t="shared" si="54"/>
        <v>706.54650000000004</v>
      </c>
      <c r="H444" s="7">
        <f t="shared" si="55"/>
        <v>-9.7404930432574477E-2</v>
      </c>
      <c r="I444" s="7">
        <f t="shared" si="56"/>
        <v>9.8103863249761059E-2</v>
      </c>
      <c r="J444" s="7">
        <f t="shared" si="57"/>
        <v>-8.4628997925813798E-2</v>
      </c>
      <c r="K444" s="7">
        <f t="shared" si="60"/>
        <v>9.4135001479494607E-2</v>
      </c>
      <c r="L444" s="7">
        <f t="shared" si="61"/>
        <v>-0.21277436428783603</v>
      </c>
      <c r="M444" s="7">
        <f t="shared" si="62"/>
        <v>6.1687576954135404E-2</v>
      </c>
      <c r="N444" s="7">
        <f t="shared" si="58"/>
        <v>0.92160784888184999</v>
      </c>
      <c r="O444" s="7">
        <f t="shared" si="59"/>
        <v>7.8392151118150039E-2</v>
      </c>
    </row>
    <row r="445" spans="1:15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4">
        <f>IF(SUMIFS('Daily NSE Equity Cash'!$H:$H,'Daily NSE Equity Cash'!$A:$A,$A445)=0,"",SUMIFS('Daily NSE Equity Cash'!$H:$H,'Daily NSE Equity Cash'!$A:$A,$A445))</f>
        <v>637.5874</v>
      </c>
      <c r="F445" s="4">
        <f>IF(SUMIFS('Daily BSE Equity Cash'!$H:$H,'Daily BSE Equity Cash'!$A:$A,$A445)=0,"",SUMIFS('Daily BSE Equity Cash'!$H:$H,'Daily BSE Equity Cash'!$A:$A,$A445))</f>
        <v>55.506599999999999</v>
      </c>
      <c r="G445" s="4">
        <f t="shared" si="54"/>
        <v>693.09400000000005</v>
      </c>
      <c r="H445" s="7">
        <f t="shared" si="55"/>
        <v>-0.22030042261872951</v>
      </c>
      <c r="I445" s="7">
        <f t="shared" si="56"/>
        <v>0.14360061561663628</v>
      </c>
      <c r="J445" s="7">
        <f t="shared" si="57"/>
        <v>-0.19991125183170066</v>
      </c>
      <c r="K445" s="7">
        <f t="shared" si="60"/>
        <v>-2.0841920588342E-2</v>
      </c>
      <c r="L445" s="7">
        <f t="shared" si="61"/>
        <v>2.1466859970715735E-3</v>
      </c>
      <c r="M445" s="7">
        <f t="shared" si="62"/>
        <v>-1.9039794266902388E-2</v>
      </c>
      <c r="N445" s="7">
        <f t="shared" si="58"/>
        <v>0.9199147590370137</v>
      </c>
      <c r="O445" s="7">
        <f t="shared" si="59"/>
        <v>8.0085240962986248E-2</v>
      </c>
    </row>
    <row r="446" spans="1:15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4">
        <f>IF(SUMIFS('Daily NSE Equity Cash'!$H:$H,'Daily NSE Equity Cash'!$A:$A,$A446)=0,"",SUMIFS('Daily NSE Equity Cash'!$H:$H,'Daily NSE Equity Cash'!$A:$A,$A446))</f>
        <v>666.51610000000005</v>
      </c>
      <c r="F446" s="4">
        <f>IF(SUMIFS('Daily BSE Equity Cash'!$H:$H,'Daily BSE Equity Cash'!$A:$A,$A446)=0,"",SUMIFS('Daily BSE Equity Cash'!$H:$H,'Daily BSE Equity Cash'!$A:$A,$A446))</f>
        <v>51.980800000000002</v>
      </c>
      <c r="G446" s="4">
        <f t="shared" si="54"/>
        <v>718.4969000000001</v>
      </c>
      <c r="H446" s="7">
        <f t="shared" si="55"/>
        <v>-0.21893318811583684</v>
      </c>
      <c r="I446" s="7">
        <f t="shared" si="56"/>
        <v>-0.36892686438692268</v>
      </c>
      <c r="J446" s="7">
        <f t="shared" si="57"/>
        <v>-0.23213687238006309</v>
      </c>
      <c r="K446" s="7">
        <f t="shared" si="60"/>
        <v>4.5372132510774321E-2</v>
      </c>
      <c r="L446" s="7">
        <f t="shared" si="61"/>
        <v>-6.3520374153704151E-2</v>
      </c>
      <c r="M446" s="7">
        <f t="shared" si="62"/>
        <v>3.6651449875485964E-2</v>
      </c>
      <c r="N446" s="7">
        <f t="shared" si="58"/>
        <v>0.92765341089154307</v>
      </c>
      <c r="O446" s="7">
        <f t="shared" si="59"/>
        <v>7.234658910845683E-2</v>
      </c>
    </row>
    <row r="447" spans="1:15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4">
        <f>IF(SUMIFS('Daily NSE Equity Cash'!$H:$H,'Daily NSE Equity Cash'!$A:$A,$A447)=0,"",SUMIFS('Daily NSE Equity Cash'!$H:$H,'Daily NSE Equity Cash'!$A:$A,$A447))</f>
        <v>619.50779999999997</v>
      </c>
      <c r="F447" s="4">
        <f>IF(SUMIFS('Daily BSE Equity Cash'!$H:$H,'Daily BSE Equity Cash'!$A:$A,$A447)=0,"",SUMIFS('Daily BSE Equity Cash'!$H:$H,'Daily BSE Equity Cash'!$A:$A,$A447))</f>
        <v>50.186100000000003</v>
      </c>
      <c r="G447" s="4">
        <f t="shared" si="54"/>
        <v>669.69389999999999</v>
      </c>
      <c r="H447" s="7">
        <f t="shared" si="55"/>
        <v>-0.11745871197605551</v>
      </c>
      <c r="I447" s="7">
        <f t="shared" si="56"/>
        <v>-0.11712737117836314</v>
      </c>
      <c r="J447" s="7">
        <f t="shared" si="57"/>
        <v>-0.11743389029380613</v>
      </c>
      <c r="K447" s="7">
        <f t="shared" si="60"/>
        <v>-7.0528378834359806E-2</v>
      </c>
      <c r="L447" s="7">
        <f t="shared" si="61"/>
        <v>-3.4526209677419373E-2</v>
      </c>
      <c r="M447" s="7">
        <f t="shared" si="62"/>
        <v>-6.7923744695349564E-2</v>
      </c>
      <c r="N447" s="7">
        <f t="shared" si="58"/>
        <v>0.92506113613995888</v>
      </c>
      <c r="O447" s="7">
        <f t="shared" si="59"/>
        <v>7.4938863860041144E-2</v>
      </c>
    </row>
    <row r="448" spans="1:15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4">
        <f>IF(SUMIFS('Daily NSE Equity Cash'!$H:$H,'Daily NSE Equity Cash'!$A:$A,$A448)=0,"",SUMIFS('Daily NSE Equity Cash'!$H:$H,'Daily NSE Equity Cash'!$A:$A,$A448))</f>
        <v>632.91700000000003</v>
      </c>
      <c r="F448" s="4">
        <f>IF(SUMIFS('Daily BSE Equity Cash'!$H:$H,'Daily BSE Equity Cash'!$A:$A,$A448)=0,"",SUMIFS('Daily BSE Equity Cash'!$H:$H,'Daily BSE Equity Cash'!$A:$A,$A448))</f>
        <v>54.881999999999998</v>
      </c>
      <c r="G448" s="4">
        <f t="shared" si="54"/>
        <v>687.79899999999998</v>
      </c>
      <c r="H448" s="7" t="str">
        <f t="shared" si="55"/>
        <v/>
      </c>
      <c r="I448" s="7" t="str">
        <f t="shared" si="56"/>
        <v/>
      </c>
      <c r="J448" s="7" t="str">
        <f t="shared" si="57"/>
        <v/>
      </c>
      <c r="K448" s="7">
        <f t="shared" si="60"/>
        <v>2.1644925213209598E-2</v>
      </c>
      <c r="L448" s="7">
        <f t="shared" si="61"/>
        <v>9.3569733452091297E-2</v>
      </c>
      <c r="M448" s="7">
        <f t="shared" si="62"/>
        <v>2.70348886259828E-2</v>
      </c>
      <c r="N448" s="7">
        <f t="shared" si="58"/>
        <v>0.9202063393520491</v>
      </c>
      <c r="O448" s="7">
        <f t="shared" si="59"/>
        <v>7.9793660647950931E-2</v>
      </c>
    </row>
    <row r="449" spans="1:15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4">
        <f>IF(SUMIFS('Daily NSE Equity Cash'!$H:$H,'Daily NSE Equity Cash'!$A:$A,$A449)=0,"",SUMIFS('Daily NSE Equity Cash'!$H:$H,'Daily NSE Equity Cash'!$A:$A,$A449))</f>
        <v>646.72640000000001</v>
      </c>
      <c r="F449" s="4">
        <f>IF(SUMIFS('Daily BSE Equity Cash'!$H:$H,'Daily BSE Equity Cash'!$A:$A,$A449)=0,"",SUMIFS('Daily BSE Equity Cash'!$H:$H,'Daily BSE Equity Cash'!$A:$A,$A449))</f>
        <v>53.863300000000002</v>
      </c>
      <c r="G449" s="4">
        <f t="shared" si="54"/>
        <v>700.58969999999999</v>
      </c>
      <c r="H449" s="7">
        <f t="shared" si="55"/>
        <v>-0.11113151349280814</v>
      </c>
      <c r="I449" s="7">
        <f t="shared" si="56"/>
        <v>-0.31584175141910309</v>
      </c>
      <c r="J449" s="7">
        <f t="shared" si="57"/>
        <v>-0.13111964432679502</v>
      </c>
      <c r="K449" s="7">
        <f t="shared" si="60"/>
        <v>2.1818658686683978E-2</v>
      </c>
      <c r="L449" s="7">
        <f t="shared" si="61"/>
        <v>-1.8561641339601254E-2</v>
      </c>
      <c r="M449" s="7">
        <f t="shared" si="62"/>
        <v>1.8596566729524255E-2</v>
      </c>
      <c r="N449" s="7">
        <f t="shared" si="58"/>
        <v>0.92311719684146087</v>
      </c>
      <c r="O449" s="7">
        <f t="shared" si="59"/>
        <v>7.6882803158539154E-2</v>
      </c>
    </row>
    <row r="450" spans="1:15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4">
        <f>IF(SUMIFS('Daily NSE Equity Cash'!$H:$H,'Daily NSE Equity Cash'!$A:$A,$A450)=0,"",SUMIFS('Daily NSE Equity Cash'!$H:$H,'Daily NSE Equity Cash'!$A:$A,$A450))</f>
        <v>673.98580000000004</v>
      </c>
      <c r="F450" s="4">
        <f>IF(SUMIFS('Daily BSE Equity Cash'!$H:$H,'Daily BSE Equity Cash'!$A:$A,$A450)=0,"",SUMIFS('Daily BSE Equity Cash'!$H:$H,'Daily BSE Equity Cash'!$A:$A,$A450))</f>
        <v>63.902900000000002</v>
      </c>
      <c r="G450" s="4">
        <f t="shared" ref="G450:G513" si="63">IF(OR(E450="",F450=""),"",E450+F450)</f>
        <v>737.88870000000009</v>
      </c>
      <c r="H450" s="7">
        <f t="shared" ref="H450:H513" si="64">IFERROR(IF(OR(E450="",INDEX(E:E,MATCH(DATE(YEAR($A450)-1,MONTH($A450),DAY($A450)),$A:$A,0))=""),"",E450/INDEX(E:E,MATCH(DATE(YEAR($A450)-1,MONTH($A450),DAY($A450)),$A:$A,0))-1),"")</f>
        <v>9.0817309660912171E-2</v>
      </c>
      <c r="I450" s="7">
        <f t="shared" ref="I450:I513" si="65">IFERROR(IF(OR(F450="",INDEX(F:F,MATCH(DATE(YEAR($A450)-1,MONTH($A450),DAY($A450)),$A:$A,0))=""),"",F450/INDEX(F:F,MATCH(DATE(YEAR($A450)-1,MONTH($A450),DAY($A450)),$A:$A,0))-1),"")</f>
        <v>0.78661913748514722</v>
      </c>
      <c r="J450" s="7">
        <f t="shared" ref="J450:J513" si="66">IFERROR(IF(OR(G450="",INDEX(G:G,MATCH(DATE(YEAR($A450)-1,MONTH($A450),DAY($A450)),$A:$A,0))=""),"",G450/INDEX(G:G,MATCH(DATE(YEAR($A450)-1,MONTH($A450),DAY($A450)),$A:$A,0))-1),"")</f>
        <v>0.12889193711888414</v>
      </c>
      <c r="K450" s="7">
        <f t="shared" si="60"/>
        <v>4.2149817913726739E-2</v>
      </c>
      <c r="L450" s="7">
        <f t="shared" si="61"/>
        <v>0.18639036226892891</v>
      </c>
      <c r="M450" s="7">
        <f t="shared" si="62"/>
        <v>5.3239435292868453E-2</v>
      </c>
      <c r="N450" s="7">
        <f t="shared" ref="N450:N513" si="67">IF(G450="","",E450/G450)</f>
        <v>0.91339764384520317</v>
      </c>
      <c r="O450" s="7">
        <f t="shared" ref="O450:O513" si="68">IF(G450="","",F450/G450)</f>
        <v>8.6602356154796778E-2</v>
      </c>
    </row>
    <row r="451" spans="1:15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4">
        <f>IF(SUMIFS('Daily NSE Equity Cash'!$H:$H,'Daily NSE Equity Cash'!$A:$A,$A451)=0,"",SUMIFS('Daily NSE Equity Cash'!$H:$H,'Daily NSE Equity Cash'!$A:$A,$A451))</f>
        <v>635.20910000000003</v>
      </c>
      <c r="F451" s="4">
        <f>IF(SUMIFS('Daily BSE Equity Cash'!$H:$H,'Daily BSE Equity Cash'!$A:$A,$A451)=0,"",SUMIFS('Daily BSE Equity Cash'!$H:$H,'Daily BSE Equity Cash'!$A:$A,$A451))</f>
        <v>46.776400000000002</v>
      </c>
      <c r="G451" s="4">
        <f t="shared" si="63"/>
        <v>681.9855</v>
      </c>
      <c r="H451" s="7">
        <f t="shared" si="64"/>
        <v>-3.0910787401166262E-2</v>
      </c>
      <c r="I451" s="7">
        <f t="shared" si="65"/>
        <v>4.9636032348690851E-2</v>
      </c>
      <c r="J451" s="7">
        <f t="shared" si="66"/>
        <v>-2.5783154146952092E-2</v>
      </c>
      <c r="K451" s="7">
        <f t="shared" ref="K451:K514" si="69">IF(OR(E451="",E450=""),"",E451/E450-1)</f>
        <v>-5.7533407973877182E-2</v>
      </c>
      <c r="L451" s="7">
        <f t="shared" ref="L451:L514" si="70">IF(OR(F451="",F450=""),"",F451/F450-1)</f>
        <v>-0.26800818116235725</v>
      </c>
      <c r="M451" s="7">
        <f t="shared" ref="M451:M514" si="71">IF(OR(G451="",G450=""),"",G451/G450-1)</f>
        <v>-7.5761019243146155E-2</v>
      </c>
      <c r="N451" s="7">
        <f t="shared" si="67"/>
        <v>0.93141144496473904</v>
      </c>
      <c r="O451" s="7">
        <f t="shared" si="68"/>
        <v>6.8588555035261012E-2</v>
      </c>
    </row>
    <row r="452" spans="1:15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4">
        <f>IF(SUMIFS('Daily NSE Equity Cash'!$H:$H,'Daily NSE Equity Cash'!$A:$A,$A452)=0,"",SUMIFS('Daily NSE Equity Cash'!$H:$H,'Daily NSE Equity Cash'!$A:$A,$A452))</f>
        <v>678.92330000000004</v>
      </c>
      <c r="F452" s="4">
        <f>IF(SUMIFS('Daily BSE Equity Cash'!$H:$H,'Daily BSE Equity Cash'!$A:$A,$A452)=0,"",SUMIFS('Daily BSE Equity Cash'!$H:$H,'Daily BSE Equity Cash'!$A:$A,$A452))</f>
        <v>54.109499999999997</v>
      </c>
      <c r="G452" s="4">
        <f t="shared" si="63"/>
        <v>733.03280000000007</v>
      </c>
      <c r="H452" s="7">
        <f t="shared" si="64"/>
        <v>-0.16143413679653629</v>
      </c>
      <c r="I452" s="7">
        <f t="shared" si="65"/>
        <v>-1.2420149662347169E-2</v>
      </c>
      <c r="J452" s="7">
        <f t="shared" si="66"/>
        <v>-0.15198904044044603</v>
      </c>
      <c r="K452" s="7">
        <f t="shared" si="69"/>
        <v>6.8818598474108761E-2</v>
      </c>
      <c r="L452" s="7">
        <f t="shared" si="70"/>
        <v>0.15676922550687933</v>
      </c>
      <c r="M452" s="7">
        <f t="shared" si="71"/>
        <v>7.4851004896731688E-2</v>
      </c>
      <c r="N452" s="7">
        <f t="shared" si="67"/>
        <v>0.92618406707039569</v>
      </c>
      <c r="O452" s="7">
        <f t="shared" si="68"/>
        <v>7.3815932929604228E-2</v>
      </c>
    </row>
    <row r="453" spans="1:15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4">
        <f>IF(SUMIFS('Daily NSE Equity Cash'!$H:$H,'Daily NSE Equity Cash'!$A:$A,$A453)=0,"",SUMIFS('Daily NSE Equity Cash'!$H:$H,'Daily NSE Equity Cash'!$A:$A,$A453))</f>
        <v>741.90189999999996</v>
      </c>
      <c r="F453" s="4">
        <f>IF(SUMIFS('Daily BSE Equity Cash'!$H:$H,'Daily BSE Equity Cash'!$A:$A,$A453)=0,"",SUMIFS('Daily BSE Equity Cash'!$H:$H,'Daily BSE Equity Cash'!$A:$A,$A453))</f>
        <v>62.147399999999998</v>
      </c>
      <c r="G453" s="4">
        <f t="shared" si="63"/>
        <v>804.0492999999999</v>
      </c>
      <c r="H453" s="7" t="str">
        <f t="shared" si="64"/>
        <v/>
      </c>
      <c r="I453" s="7" t="str">
        <f t="shared" si="65"/>
        <v/>
      </c>
      <c r="J453" s="7" t="str">
        <f t="shared" si="66"/>
        <v/>
      </c>
      <c r="K453" s="7">
        <f t="shared" si="69"/>
        <v>9.2762466688063094E-2</v>
      </c>
      <c r="L453" s="7">
        <f t="shared" si="70"/>
        <v>0.14854877609292272</v>
      </c>
      <c r="M453" s="7">
        <f t="shared" si="71"/>
        <v>9.6880385161482341E-2</v>
      </c>
      <c r="N453" s="7">
        <f t="shared" si="67"/>
        <v>0.92270697829100778</v>
      </c>
      <c r="O453" s="7">
        <f t="shared" si="68"/>
        <v>7.7293021708992229E-2</v>
      </c>
    </row>
    <row r="454" spans="1:15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4">
        <f>IF(SUMIFS('Daily NSE Equity Cash'!$H:$H,'Daily NSE Equity Cash'!$A:$A,$A454)=0,"",SUMIFS('Daily NSE Equity Cash'!$H:$H,'Daily NSE Equity Cash'!$A:$A,$A454))</f>
        <v>733.75930000000005</v>
      </c>
      <c r="F454" s="4">
        <f>IF(SUMIFS('Daily BSE Equity Cash'!$H:$H,'Daily BSE Equity Cash'!$A:$A,$A454)=0,"",SUMIFS('Daily BSE Equity Cash'!$H:$H,'Daily BSE Equity Cash'!$A:$A,$A454))</f>
        <v>55.810499999999998</v>
      </c>
      <c r="G454" s="4">
        <f t="shared" si="63"/>
        <v>789.5698000000001</v>
      </c>
      <c r="H454" s="7">
        <f t="shared" si="64"/>
        <v>-9.2721499973331678E-3</v>
      </c>
      <c r="I454" s="7">
        <f t="shared" si="65"/>
        <v>0.17996342378722363</v>
      </c>
      <c r="J454" s="7">
        <f t="shared" si="66"/>
        <v>2.0875083288385277E-3</v>
      </c>
      <c r="K454" s="7">
        <f t="shared" si="69"/>
        <v>-1.0975305495241172E-2</v>
      </c>
      <c r="L454" s="7">
        <f t="shared" si="70"/>
        <v>-0.10196564940769848</v>
      </c>
      <c r="M454" s="7">
        <f t="shared" si="71"/>
        <v>-1.80082241225753E-2</v>
      </c>
      <c r="N454" s="7">
        <f t="shared" si="67"/>
        <v>0.92931530562592435</v>
      </c>
      <c r="O454" s="7">
        <f t="shared" si="68"/>
        <v>7.0684694374075596E-2</v>
      </c>
    </row>
    <row r="455" spans="1:15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4">
        <f>IF(SUMIFS('Daily NSE Equity Cash'!$H:$H,'Daily NSE Equity Cash'!$A:$A,$A455)=0,"",SUMIFS('Daily NSE Equity Cash'!$H:$H,'Daily NSE Equity Cash'!$A:$A,$A455))</f>
        <v>799.0068</v>
      </c>
      <c r="F455" s="4">
        <f>IF(SUMIFS('Daily BSE Equity Cash'!$H:$H,'Daily BSE Equity Cash'!$A:$A,$A455)=0,"",SUMIFS('Daily BSE Equity Cash'!$H:$H,'Daily BSE Equity Cash'!$A:$A,$A455))</f>
        <v>53.244900000000001</v>
      </c>
      <c r="G455" s="4">
        <f t="shared" si="63"/>
        <v>852.25170000000003</v>
      </c>
      <c r="H455" s="7">
        <f t="shared" si="64"/>
        <v>0.12557808649127611</v>
      </c>
      <c r="I455" s="7">
        <f t="shared" si="65"/>
        <v>0.32466805490248785</v>
      </c>
      <c r="J455" s="7">
        <f t="shared" si="66"/>
        <v>0.13624712422392715</v>
      </c>
      <c r="K455" s="7">
        <f t="shared" si="69"/>
        <v>8.8922211956972808E-2</v>
      </c>
      <c r="L455" s="7">
        <f t="shared" si="70"/>
        <v>-4.5969844384121217E-2</v>
      </c>
      <c r="M455" s="7">
        <f t="shared" si="71"/>
        <v>7.9387408181011976E-2</v>
      </c>
      <c r="N455" s="7">
        <f t="shared" si="67"/>
        <v>0.9375244426030479</v>
      </c>
      <c r="O455" s="7">
        <f t="shared" si="68"/>
        <v>6.2475557396952097E-2</v>
      </c>
    </row>
    <row r="456" spans="1:15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4">
        <f>IF(SUMIFS('Daily NSE Equity Cash'!$H:$H,'Daily NSE Equity Cash'!$A:$A,$A456)=0,"",SUMIFS('Daily NSE Equity Cash'!$H:$H,'Daily NSE Equity Cash'!$A:$A,$A456))</f>
        <v>707.19269999999995</v>
      </c>
      <c r="F456" s="4">
        <f>IF(SUMIFS('Daily BSE Equity Cash'!$H:$H,'Daily BSE Equity Cash'!$A:$A,$A456)=0,"",SUMIFS('Daily BSE Equity Cash'!$H:$H,'Daily BSE Equity Cash'!$A:$A,$A456))</f>
        <v>55.134500000000003</v>
      </c>
      <c r="G456" s="4">
        <f t="shared" si="63"/>
        <v>762.32719999999995</v>
      </c>
      <c r="H456" s="7">
        <f t="shared" si="64"/>
        <v>-7.3319510886967754E-3</v>
      </c>
      <c r="I456" s="7">
        <f t="shared" si="65"/>
        <v>2.0085515153869915E-2</v>
      </c>
      <c r="J456" s="7">
        <f t="shared" si="66"/>
        <v>-5.3985504882807511E-3</v>
      </c>
      <c r="K456" s="7">
        <f t="shared" si="69"/>
        <v>-0.11491028612021836</v>
      </c>
      <c r="L456" s="7">
        <f t="shared" si="70"/>
        <v>3.5488844941017783E-2</v>
      </c>
      <c r="M456" s="7">
        <f t="shared" si="71"/>
        <v>-0.10551401657515036</v>
      </c>
      <c r="N456" s="7">
        <f t="shared" si="67"/>
        <v>0.92767606875367947</v>
      </c>
      <c r="O456" s="7">
        <f t="shared" si="68"/>
        <v>7.2323931246320486E-2</v>
      </c>
    </row>
    <row r="457" spans="1:15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4">
        <f>IF(SUMIFS('Daily NSE Equity Cash'!$H:$H,'Daily NSE Equity Cash'!$A:$A,$A457)=0,"",SUMIFS('Daily NSE Equity Cash'!$H:$H,'Daily NSE Equity Cash'!$A:$A,$A457))</f>
        <v>604.55039999999997</v>
      </c>
      <c r="F457" s="4">
        <f>IF(SUMIFS('Daily BSE Equity Cash'!$H:$H,'Daily BSE Equity Cash'!$A:$A,$A457)=0,"",SUMIFS('Daily BSE Equity Cash'!$H:$H,'Daily BSE Equity Cash'!$A:$A,$A457))</f>
        <v>41.828200000000002</v>
      </c>
      <c r="G457" s="4">
        <f t="shared" si="63"/>
        <v>646.37860000000001</v>
      </c>
      <c r="H457" s="7" t="str">
        <f t="shared" si="64"/>
        <v/>
      </c>
      <c r="I457" s="7" t="str">
        <f t="shared" si="65"/>
        <v/>
      </c>
      <c r="J457" s="7" t="str">
        <f t="shared" si="66"/>
        <v/>
      </c>
      <c r="K457" s="7">
        <f t="shared" si="69"/>
        <v>-0.14514049706678245</v>
      </c>
      <c r="L457" s="7">
        <f t="shared" si="70"/>
        <v>-0.24134253507332071</v>
      </c>
      <c r="M457" s="7">
        <f t="shared" si="71"/>
        <v>-0.15209820664932316</v>
      </c>
      <c r="N457" s="7">
        <f t="shared" si="67"/>
        <v>0.93528838980745954</v>
      </c>
      <c r="O457" s="7">
        <f t="shared" si="68"/>
        <v>6.4711610192540417E-2</v>
      </c>
    </row>
    <row r="458" spans="1:15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4">
        <f>IF(SUMIFS('Daily NSE Equity Cash'!$H:$H,'Daily NSE Equity Cash'!$A:$A,$A458)=0,"",SUMIFS('Daily NSE Equity Cash'!$H:$H,'Daily NSE Equity Cash'!$A:$A,$A458))</f>
        <v>706.03</v>
      </c>
      <c r="F458" s="4">
        <f>IF(SUMIFS('Daily BSE Equity Cash'!$H:$H,'Daily BSE Equity Cash'!$A:$A,$A458)=0,"",SUMIFS('Daily BSE Equity Cash'!$H:$H,'Daily BSE Equity Cash'!$A:$A,$A458))</f>
        <v>61.0426</v>
      </c>
      <c r="G458" s="4">
        <f t="shared" si="63"/>
        <v>767.07259999999997</v>
      </c>
      <c r="H458" s="7">
        <f t="shared" si="64"/>
        <v>-0.19402692018351664</v>
      </c>
      <c r="I458" s="7">
        <f t="shared" si="65"/>
        <v>0.17779192714362879</v>
      </c>
      <c r="J458" s="7">
        <f t="shared" si="66"/>
        <v>-0.17325724139789289</v>
      </c>
      <c r="K458" s="7">
        <f t="shared" si="69"/>
        <v>0.1678596193137909</v>
      </c>
      <c r="L458" s="7">
        <f t="shared" si="70"/>
        <v>0.45936473479614226</v>
      </c>
      <c r="M458" s="7">
        <f t="shared" si="71"/>
        <v>0.18672338471601613</v>
      </c>
      <c r="N458" s="7">
        <f t="shared" si="67"/>
        <v>0.92042135255515578</v>
      </c>
      <c r="O458" s="7">
        <f t="shared" si="68"/>
        <v>7.9578647444844205E-2</v>
      </c>
    </row>
    <row r="459" spans="1:15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4">
        <f>IF(SUMIFS('Daily NSE Equity Cash'!$H:$H,'Daily NSE Equity Cash'!$A:$A,$A459)=0,"",SUMIFS('Daily NSE Equity Cash'!$H:$H,'Daily NSE Equity Cash'!$A:$A,$A459))</f>
        <v>600.41510000000005</v>
      </c>
      <c r="F459" s="4">
        <f>IF(SUMIFS('Daily BSE Equity Cash'!$H:$H,'Daily BSE Equity Cash'!$A:$A,$A459)=0,"",SUMIFS('Daily BSE Equity Cash'!$H:$H,'Daily BSE Equity Cash'!$A:$A,$A459))</f>
        <v>45.959299999999999</v>
      </c>
      <c r="G459" s="4">
        <f t="shared" si="63"/>
        <v>646.37440000000004</v>
      </c>
      <c r="H459" s="7">
        <f t="shared" si="64"/>
        <v>-0.40239626700151798</v>
      </c>
      <c r="I459" s="7">
        <f t="shared" si="65"/>
        <v>-0.33080805139286062</v>
      </c>
      <c r="J459" s="7">
        <f t="shared" si="66"/>
        <v>-0.39781580334031685</v>
      </c>
      <c r="K459" s="7">
        <f t="shared" si="69"/>
        <v>-0.14958981912949865</v>
      </c>
      <c r="L459" s="7">
        <f t="shared" si="70"/>
        <v>-0.24709465193160185</v>
      </c>
      <c r="M459" s="7">
        <f t="shared" si="71"/>
        <v>-0.15734912184322569</v>
      </c>
      <c r="N459" s="7">
        <f t="shared" si="67"/>
        <v>0.92889678180323976</v>
      </c>
      <c r="O459" s="7">
        <f t="shared" si="68"/>
        <v>7.1103218196760257E-2</v>
      </c>
    </row>
    <row r="460" spans="1:15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4">
        <f>IF(SUMIFS('Daily NSE Equity Cash'!$H:$H,'Daily NSE Equity Cash'!$A:$A,$A460)=0,"",SUMIFS('Daily NSE Equity Cash'!$H:$H,'Daily NSE Equity Cash'!$A:$A,$A460))</f>
        <v>575.81640000000004</v>
      </c>
      <c r="F460" s="4">
        <f>IF(SUMIFS('Daily BSE Equity Cash'!$H:$H,'Daily BSE Equity Cash'!$A:$A,$A460)=0,"",SUMIFS('Daily BSE Equity Cash'!$H:$H,'Daily BSE Equity Cash'!$A:$A,$A460))</f>
        <v>44.415300000000002</v>
      </c>
      <c r="G460" s="4">
        <f t="shared" si="63"/>
        <v>620.23170000000005</v>
      </c>
      <c r="H460" s="7">
        <f t="shared" si="64"/>
        <v>-0.36943097639594835</v>
      </c>
      <c r="I460" s="7">
        <f t="shared" si="65"/>
        <v>-0.2787686781655857</v>
      </c>
      <c r="J460" s="7">
        <f t="shared" si="66"/>
        <v>-0.3637031405215746</v>
      </c>
      <c r="K460" s="7">
        <f t="shared" si="69"/>
        <v>-4.0969489275003212E-2</v>
      </c>
      <c r="L460" s="7">
        <f t="shared" si="70"/>
        <v>-3.3594941611382212E-2</v>
      </c>
      <c r="M460" s="7">
        <f t="shared" si="71"/>
        <v>-4.0445135203374338E-2</v>
      </c>
      <c r="N460" s="7">
        <f t="shared" si="67"/>
        <v>0.92838918101090284</v>
      </c>
      <c r="O460" s="7">
        <f t="shared" si="68"/>
        <v>7.161081898909713E-2</v>
      </c>
    </row>
    <row r="461" spans="1:15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4">
        <f>IF(SUMIFS('Daily NSE Equity Cash'!$H:$H,'Daily NSE Equity Cash'!$A:$A,$A461)=0,"",SUMIFS('Daily NSE Equity Cash'!$H:$H,'Daily NSE Equity Cash'!$A:$A,$A461))</f>
        <v>556.26969999999994</v>
      </c>
      <c r="F461" s="4">
        <f>IF(SUMIFS('Daily BSE Equity Cash'!$H:$H,'Daily BSE Equity Cash'!$A:$A,$A461)=0,"",SUMIFS('Daily BSE Equity Cash'!$H:$H,'Daily BSE Equity Cash'!$A:$A,$A461))</f>
        <v>44.469299999999997</v>
      </c>
      <c r="G461" s="4">
        <f t="shared" si="63"/>
        <v>600.73899999999992</v>
      </c>
      <c r="H461" s="7">
        <f t="shared" si="64"/>
        <v>-0.38389136492718823</v>
      </c>
      <c r="I461" s="7">
        <f t="shared" si="65"/>
        <v>-0.32043613802377835</v>
      </c>
      <c r="J461" s="7">
        <f t="shared" si="66"/>
        <v>-0.37960310395181729</v>
      </c>
      <c r="K461" s="7">
        <f t="shared" si="69"/>
        <v>-3.3946063363252788E-2</v>
      </c>
      <c r="L461" s="7">
        <f t="shared" si="70"/>
        <v>1.2157972590525201E-3</v>
      </c>
      <c r="M461" s="7">
        <f t="shared" si="71"/>
        <v>-3.1428093726909023E-2</v>
      </c>
      <c r="N461" s="7">
        <f t="shared" si="67"/>
        <v>0.92597567329572417</v>
      </c>
      <c r="O461" s="7">
        <f t="shared" si="68"/>
        <v>7.4024326704275903E-2</v>
      </c>
    </row>
    <row r="462" spans="1:15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4">
        <f>IF(SUMIFS('Daily NSE Equity Cash'!$H:$H,'Daily NSE Equity Cash'!$A:$A,$A462)=0,"",SUMIFS('Daily NSE Equity Cash'!$H:$H,'Daily NSE Equity Cash'!$A:$A,$A462))</f>
        <v>584.61410000000001</v>
      </c>
      <c r="F462" s="4">
        <f>IF(SUMIFS('Daily BSE Equity Cash'!$H:$H,'Daily BSE Equity Cash'!$A:$A,$A462)=0,"",SUMIFS('Daily BSE Equity Cash'!$H:$H,'Daily BSE Equity Cash'!$A:$A,$A462))</f>
        <v>51.4557</v>
      </c>
      <c r="G462" s="4">
        <f t="shared" si="63"/>
        <v>636.06979999999999</v>
      </c>
      <c r="H462" s="7" t="str">
        <f t="shared" si="64"/>
        <v/>
      </c>
      <c r="I462" s="7" t="str">
        <f t="shared" si="65"/>
        <v/>
      </c>
      <c r="J462" s="7" t="str">
        <f t="shared" si="66"/>
        <v/>
      </c>
      <c r="K462" s="7">
        <f t="shared" si="69"/>
        <v>5.0954420131098299E-2</v>
      </c>
      <c r="L462" s="7">
        <f t="shared" si="70"/>
        <v>0.15710613839210441</v>
      </c>
      <c r="M462" s="7">
        <f t="shared" si="71"/>
        <v>5.8812229603871335E-2</v>
      </c>
      <c r="N462" s="7">
        <f t="shared" si="67"/>
        <v>0.91910368956362964</v>
      </c>
      <c r="O462" s="7">
        <f t="shared" si="68"/>
        <v>8.0896310436370356E-2</v>
      </c>
    </row>
    <row r="463" spans="1:15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4">
        <f>IF(SUMIFS('Daily NSE Equity Cash'!$H:$H,'Daily NSE Equity Cash'!$A:$A,$A463)=0,"",SUMIFS('Daily NSE Equity Cash'!$H:$H,'Daily NSE Equity Cash'!$A:$A,$A463))</f>
        <v>625.91959999999995</v>
      </c>
      <c r="F463" s="4">
        <f>IF(SUMIFS('Daily BSE Equity Cash'!$H:$H,'Daily BSE Equity Cash'!$A:$A,$A463)=0,"",SUMIFS('Daily BSE Equity Cash'!$H:$H,'Daily BSE Equity Cash'!$A:$A,$A463))</f>
        <v>49.910200000000003</v>
      </c>
      <c r="G463" s="4">
        <f t="shared" si="63"/>
        <v>675.82979999999998</v>
      </c>
      <c r="H463" s="7">
        <f t="shared" si="64"/>
        <v>-0.18794896395055205</v>
      </c>
      <c r="I463" s="7">
        <f t="shared" si="65"/>
        <v>-7.6549331606457161E-2</v>
      </c>
      <c r="J463" s="7">
        <f t="shared" si="66"/>
        <v>-0.18064948668583825</v>
      </c>
      <c r="K463" s="7">
        <f t="shared" si="69"/>
        <v>7.0654299990369651E-2</v>
      </c>
      <c r="L463" s="7">
        <f t="shared" si="70"/>
        <v>-3.0035545138828112E-2</v>
      </c>
      <c r="M463" s="7">
        <f t="shared" si="71"/>
        <v>6.2508863021007999E-2</v>
      </c>
      <c r="N463" s="7">
        <f t="shared" si="67"/>
        <v>0.92614974953753149</v>
      </c>
      <c r="O463" s="7">
        <f t="shared" si="68"/>
        <v>7.3850250462468514E-2</v>
      </c>
    </row>
    <row r="464" spans="1:15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4">
        <f>IF(SUMIFS('Daily NSE Equity Cash'!$H:$H,'Daily NSE Equity Cash'!$A:$A,$A464)=0,"",SUMIFS('Daily NSE Equity Cash'!$H:$H,'Daily NSE Equity Cash'!$A:$A,$A464))</f>
        <v>526.58889999999997</v>
      </c>
      <c r="F464" s="4">
        <f>IF(SUMIFS('Daily BSE Equity Cash'!$H:$H,'Daily BSE Equity Cash'!$A:$A,$A464)=0,"",SUMIFS('Daily BSE Equity Cash'!$H:$H,'Daily BSE Equity Cash'!$A:$A,$A464))</f>
        <v>39.790599999999998</v>
      </c>
      <c r="G464" s="4">
        <f t="shared" si="63"/>
        <v>566.37950000000001</v>
      </c>
      <c r="H464" s="7">
        <f t="shared" si="64"/>
        <v>-0.3581125869388152</v>
      </c>
      <c r="I464" s="7">
        <f t="shared" si="65"/>
        <v>-0.38835540949133884</v>
      </c>
      <c r="J464" s="7">
        <f t="shared" si="66"/>
        <v>-0.36033461222101015</v>
      </c>
      <c r="K464" s="7">
        <f t="shared" si="69"/>
        <v>-0.15869562161018758</v>
      </c>
      <c r="L464" s="7">
        <f t="shared" si="70"/>
        <v>-0.20275615004548175</v>
      </c>
      <c r="M464" s="7">
        <f t="shared" si="71"/>
        <v>-0.16194950267064279</v>
      </c>
      <c r="N464" s="7">
        <f t="shared" si="67"/>
        <v>0.92974569171377131</v>
      </c>
      <c r="O464" s="7">
        <f t="shared" si="68"/>
        <v>7.025430828622857E-2</v>
      </c>
    </row>
    <row r="465" spans="1:15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4">
        <f>IF(SUMIFS('Daily NSE Equity Cash'!$H:$H,'Daily NSE Equity Cash'!$A:$A,$A465)=0,"",SUMIFS('Daily NSE Equity Cash'!$H:$H,'Daily NSE Equity Cash'!$A:$A,$A465))</f>
        <v>583.78570000000002</v>
      </c>
      <c r="F465" s="4">
        <f>IF(SUMIFS('Daily BSE Equity Cash'!$H:$H,'Daily BSE Equity Cash'!$A:$A,$A465)=0,"",SUMIFS('Daily BSE Equity Cash'!$H:$H,'Daily BSE Equity Cash'!$A:$A,$A465))</f>
        <v>52.131999999999998</v>
      </c>
      <c r="G465" s="4">
        <f t="shared" si="63"/>
        <v>635.91769999999997</v>
      </c>
      <c r="H465" s="7">
        <f t="shared" si="64"/>
        <v>-0.25970084485952483</v>
      </c>
      <c r="I465" s="7">
        <f t="shared" si="65"/>
        <v>8.0276845289900089E-2</v>
      </c>
      <c r="J465" s="7">
        <f t="shared" si="66"/>
        <v>-0.24009534452752435</v>
      </c>
      <c r="K465" s="7">
        <f t="shared" si="69"/>
        <v>0.10861755726336053</v>
      </c>
      <c r="L465" s="7">
        <f t="shared" si="70"/>
        <v>0.31015868069343022</v>
      </c>
      <c r="M465" s="7">
        <f t="shared" si="71"/>
        <v>0.12277668948116927</v>
      </c>
      <c r="N465" s="7">
        <f t="shared" si="67"/>
        <v>0.9180208382311108</v>
      </c>
      <c r="O465" s="7">
        <f t="shared" si="68"/>
        <v>8.197916176888928E-2</v>
      </c>
    </row>
    <row r="466" spans="1:15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4">
        <f>IF(SUMIFS('Daily NSE Equity Cash'!$H:$H,'Daily NSE Equity Cash'!$A:$A,$A466)=0,"",SUMIFS('Daily NSE Equity Cash'!$H:$H,'Daily NSE Equity Cash'!$A:$A,$A466))</f>
        <v>597.77869999999996</v>
      </c>
      <c r="F466" s="4">
        <f>IF(SUMIFS('Daily BSE Equity Cash'!$H:$H,'Daily BSE Equity Cash'!$A:$A,$A466)=0,"",SUMIFS('Daily BSE Equity Cash'!$H:$H,'Daily BSE Equity Cash'!$A:$A,$A466))</f>
        <v>48.926900000000003</v>
      </c>
      <c r="G466" s="4">
        <f t="shared" si="63"/>
        <v>646.7056</v>
      </c>
      <c r="H466" s="7">
        <f t="shared" si="64"/>
        <v>-0.10509263549429682</v>
      </c>
      <c r="I466" s="7">
        <f t="shared" si="65"/>
        <v>5.6510594926786784E-2</v>
      </c>
      <c r="J466" s="7">
        <f t="shared" si="66"/>
        <v>-9.4615310738718539E-2</v>
      </c>
      <c r="K466" s="7">
        <f t="shared" si="69"/>
        <v>2.3969412063364892E-2</v>
      </c>
      <c r="L466" s="7">
        <f t="shared" si="70"/>
        <v>-6.1480472646359141E-2</v>
      </c>
      <c r="M466" s="7">
        <f t="shared" si="71"/>
        <v>1.6964302141613707E-2</v>
      </c>
      <c r="N466" s="7">
        <f t="shared" si="67"/>
        <v>0.92434440029589959</v>
      </c>
      <c r="O466" s="7">
        <f t="shared" si="68"/>
        <v>7.5655599704100296E-2</v>
      </c>
    </row>
    <row r="467" spans="1:15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4">
        <f>IF(SUMIFS('Daily NSE Equity Cash'!$H:$H,'Daily NSE Equity Cash'!$A:$A,$A467)=0,"",SUMIFS('Daily NSE Equity Cash'!$H:$H,'Daily NSE Equity Cash'!$A:$A,$A467))</f>
        <v>623.99599999999998</v>
      </c>
      <c r="F467" s="4">
        <f>IF(SUMIFS('Daily BSE Equity Cash'!$H:$H,'Daily BSE Equity Cash'!$A:$A,$A467)=0,"",SUMIFS('Daily BSE Equity Cash'!$H:$H,'Daily BSE Equity Cash'!$A:$A,$A467))</f>
        <v>52.308399999999999</v>
      </c>
      <c r="G467" s="4">
        <f t="shared" si="63"/>
        <v>676.30439999999999</v>
      </c>
      <c r="H467" s="7" t="str">
        <f t="shared" si="64"/>
        <v/>
      </c>
      <c r="I467" s="7" t="str">
        <f t="shared" si="65"/>
        <v/>
      </c>
      <c r="J467" s="7" t="str">
        <f t="shared" si="66"/>
        <v/>
      </c>
      <c r="K467" s="7">
        <f t="shared" si="69"/>
        <v>4.3857869141205708E-2</v>
      </c>
      <c r="L467" s="7">
        <f t="shared" si="70"/>
        <v>6.9113309856132288E-2</v>
      </c>
      <c r="M467" s="7">
        <f t="shared" si="71"/>
        <v>4.5768584654284794E-2</v>
      </c>
      <c r="N467" s="7">
        <f t="shared" si="67"/>
        <v>0.92265553795007105</v>
      </c>
      <c r="O467" s="7">
        <f t="shared" si="68"/>
        <v>7.7344462049928994E-2</v>
      </c>
    </row>
    <row r="468" spans="1:15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4">
        <f>IF(SUMIFS('Daily NSE Equity Cash'!$H:$H,'Daily NSE Equity Cash'!$A:$A,$A468)=0,"",SUMIFS('Daily NSE Equity Cash'!$H:$H,'Daily NSE Equity Cash'!$A:$A,$A468))</f>
        <v>612.44259999999997</v>
      </c>
      <c r="F468" s="4">
        <f>IF(SUMIFS('Daily BSE Equity Cash'!$H:$H,'Daily BSE Equity Cash'!$A:$A,$A468)=0,"",SUMIFS('Daily BSE Equity Cash'!$H:$H,'Daily BSE Equity Cash'!$A:$A,$A468))</f>
        <v>69.544300000000007</v>
      </c>
      <c r="G468" s="4">
        <f t="shared" si="63"/>
        <v>681.98689999999999</v>
      </c>
      <c r="H468" s="7">
        <f t="shared" si="64"/>
        <v>-0.10955194997321149</v>
      </c>
      <c r="I468" s="7">
        <f t="shared" si="65"/>
        <v>0.56453006258633187</v>
      </c>
      <c r="J468" s="7">
        <f t="shared" si="66"/>
        <v>-6.8631945636559388E-2</v>
      </c>
      <c r="K468" s="7">
        <f t="shared" si="69"/>
        <v>-1.8515182789633267E-2</v>
      </c>
      <c r="L468" s="7">
        <f t="shared" si="70"/>
        <v>0.32950539492700992</v>
      </c>
      <c r="M468" s="7">
        <f t="shared" si="71"/>
        <v>8.4022815761659597E-3</v>
      </c>
      <c r="N468" s="7">
        <f t="shared" si="67"/>
        <v>0.8980269269101796</v>
      </c>
      <c r="O468" s="7">
        <f t="shared" si="68"/>
        <v>0.10197307308982036</v>
      </c>
    </row>
    <row r="469" spans="1:15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4">
        <f>IF(SUMIFS('Daily NSE Equity Cash'!$H:$H,'Daily NSE Equity Cash'!$A:$A,$A469)=0,"",SUMIFS('Daily NSE Equity Cash'!$H:$H,'Daily NSE Equity Cash'!$A:$A,$A469))</f>
        <v>553.36159999999995</v>
      </c>
      <c r="F469" s="4">
        <f>IF(SUMIFS('Daily BSE Equity Cash'!$H:$H,'Daily BSE Equity Cash'!$A:$A,$A469)=0,"",SUMIFS('Daily BSE Equity Cash'!$H:$H,'Daily BSE Equity Cash'!$A:$A,$A469))</f>
        <v>40.723199999999999</v>
      </c>
      <c r="G469" s="4">
        <f t="shared" si="63"/>
        <v>594.08479999999997</v>
      </c>
      <c r="H469" s="7">
        <f t="shared" si="64"/>
        <v>-0.28101998822578789</v>
      </c>
      <c r="I469" s="7">
        <f t="shared" si="65"/>
        <v>-0.17443043825541182</v>
      </c>
      <c r="J469" s="7">
        <f t="shared" si="66"/>
        <v>-0.27460003382274567</v>
      </c>
      <c r="K469" s="7">
        <f t="shared" si="69"/>
        <v>-9.6467815922667732E-2</v>
      </c>
      <c r="L469" s="7">
        <f t="shared" si="70"/>
        <v>-0.4144279257969381</v>
      </c>
      <c r="M469" s="7">
        <f t="shared" si="71"/>
        <v>-0.128891185446524</v>
      </c>
      <c r="N469" s="7">
        <f t="shared" si="67"/>
        <v>0.93145221018952173</v>
      </c>
      <c r="O469" s="7">
        <f t="shared" si="68"/>
        <v>6.8547789810478238E-2</v>
      </c>
    </row>
    <row r="470" spans="1:15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4">
        <f>IF(SUMIFS('Daily NSE Equity Cash'!$H:$H,'Daily NSE Equity Cash'!$A:$A,$A470)=0,"",SUMIFS('Daily NSE Equity Cash'!$H:$H,'Daily NSE Equity Cash'!$A:$A,$A470))</f>
        <v>468.178</v>
      </c>
      <c r="F470" s="4">
        <f>IF(SUMIFS('Daily BSE Equity Cash'!$H:$H,'Daily BSE Equity Cash'!$A:$A,$A470)=0,"",SUMIFS('Daily BSE Equity Cash'!$H:$H,'Daily BSE Equity Cash'!$A:$A,$A470))</f>
        <v>33.837699999999998</v>
      </c>
      <c r="G470" s="4">
        <f t="shared" si="63"/>
        <v>502.01569999999998</v>
      </c>
      <c r="H470" s="7">
        <f t="shared" si="64"/>
        <v>-0.39229207903377949</v>
      </c>
      <c r="I470" s="7">
        <f t="shared" si="65"/>
        <v>-0.29132144861731268</v>
      </c>
      <c r="J470" s="7">
        <f t="shared" si="66"/>
        <v>-0.38639936842668809</v>
      </c>
      <c r="K470" s="7">
        <f t="shared" si="69"/>
        <v>-0.15393840121902203</v>
      </c>
      <c r="L470" s="7">
        <f t="shared" si="70"/>
        <v>-0.169080524123841</v>
      </c>
      <c r="M470" s="7">
        <f t="shared" si="71"/>
        <v>-0.15497636027718598</v>
      </c>
      <c r="N470" s="7">
        <f t="shared" si="67"/>
        <v>0.93259633115059948</v>
      </c>
      <c r="O470" s="7">
        <f t="shared" si="68"/>
        <v>6.7403668849400522E-2</v>
      </c>
    </row>
    <row r="471" spans="1:15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4">
        <f>IF(SUMIFS('Daily NSE Equity Cash'!$H:$H,'Daily NSE Equity Cash'!$A:$A,$A471)=0,"",SUMIFS('Daily NSE Equity Cash'!$H:$H,'Daily NSE Equity Cash'!$A:$A,$A471))</f>
        <v>400.55470000000003</v>
      </c>
      <c r="F471" s="4">
        <f>IF(SUMIFS('Daily BSE Equity Cash'!$H:$H,'Daily BSE Equity Cash'!$A:$A,$A471)=0,"",SUMIFS('Daily BSE Equity Cash'!$H:$H,'Daily BSE Equity Cash'!$A:$A,$A471))</f>
        <v>36.918900000000001</v>
      </c>
      <c r="G471" s="4">
        <f t="shared" si="63"/>
        <v>437.47360000000003</v>
      </c>
      <c r="H471" s="7">
        <f t="shared" si="64"/>
        <v>-0.51047184436474824</v>
      </c>
      <c r="I471" s="7">
        <f t="shared" si="65"/>
        <v>-0.21738217986331332</v>
      </c>
      <c r="J471" s="7">
        <f t="shared" si="66"/>
        <v>-0.4944956790349565</v>
      </c>
      <c r="K471" s="7">
        <f t="shared" si="69"/>
        <v>-0.14443929445638193</v>
      </c>
      <c r="L471" s="7">
        <f t="shared" si="70"/>
        <v>9.1058198400009616E-2</v>
      </c>
      <c r="M471" s="7">
        <f t="shared" si="71"/>
        <v>-0.12856589943302565</v>
      </c>
      <c r="N471" s="7">
        <f t="shared" si="67"/>
        <v>0.91560885045406171</v>
      </c>
      <c r="O471" s="7">
        <f t="shared" si="68"/>
        <v>8.4391149545938307E-2</v>
      </c>
    </row>
    <row r="472" spans="1:15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4">
        <f>IF(SUMIFS('Daily NSE Equity Cash'!$H:$H,'Daily NSE Equity Cash'!$A:$A,$A472)=0,"",SUMIFS('Daily NSE Equity Cash'!$H:$H,'Daily NSE Equity Cash'!$A:$A,$A472))</f>
        <v>480.51740000000001</v>
      </c>
      <c r="F472" s="4">
        <f>IF(SUMIFS('Daily BSE Equity Cash'!$H:$H,'Daily BSE Equity Cash'!$A:$A,$A472)=0,"",SUMIFS('Daily BSE Equity Cash'!$H:$H,'Daily BSE Equity Cash'!$A:$A,$A472))</f>
        <v>43.310600000000001</v>
      </c>
      <c r="G472" s="4">
        <f t="shared" si="63"/>
        <v>523.82799999999997</v>
      </c>
      <c r="H472" s="7" t="str">
        <f t="shared" si="64"/>
        <v/>
      </c>
      <c r="I472" s="7" t="str">
        <f t="shared" si="65"/>
        <v/>
      </c>
      <c r="J472" s="7" t="str">
        <f t="shared" si="66"/>
        <v/>
      </c>
      <c r="K472" s="7">
        <f t="shared" si="69"/>
        <v>0.19962991321784518</v>
      </c>
      <c r="L472" s="7">
        <f t="shared" si="70"/>
        <v>0.17312812678600942</v>
      </c>
      <c r="M472" s="7">
        <f t="shared" si="71"/>
        <v>0.19739339699584146</v>
      </c>
      <c r="N472" s="7">
        <f t="shared" si="67"/>
        <v>0.91731904365555117</v>
      </c>
      <c r="O472" s="7">
        <f t="shared" si="68"/>
        <v>8.2680956344448941E-2</v>
      </c>
    </row>
    <row r="473" spans="1:15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4">
        <f>IF(SUMIFS('Daily NSE Equity Cash'!$H:$H,'Daily NSE Equity Cash'!$A:$A,$A473)=0,"",SUMIFS('Daily NSE Equity Cash'!$H:$H,'Daily NSE Equity Cash'!$A:$A,$A473))</f>
        <v>572.86659999999995</v>
      </c>
      <c r="F473" s="4">
        <f>IF(SUMIFS('Daily BSE Equity Cash'!$H:$H,'Daily BSE Equity Cash'!$A:$A,$A473)=0,"",SUMIFS('Daily BSE Equity Cash'!$H:$H,'Daily BSE Equity Cash'!$A:$A,$A473))</f>
        <v>58.981000000000002</v>
      </c>
      <c r="G473" s="4">
        <f t="shared" si="63"/>
        <v>631.84759999999994</v>
      </c>
      <c r="H473" s="7">
        <f t="shared" si="64"/>
        <v>-0.23077627510730692</v>
      </c>
      <c r="I473" s="7">
        <f t="shared" si="65"/>
        <v>0.24720346115295655</v>
      </c>
      <c r="J473" s="7">
        <f t="shared" si="66"/>
        <v>-0.20223680090502316</v>
      </c>
      <c r="K473" s="7">
        <f t="shared" si="69"/>
        <v>0.19218700509076236</v>
      </c>
      <c r="L473" s="7">
        <f t="shared" si="70"/>
        <v>0.36181442880033998</v>
      </c>
      <c r="M473" s="7">
        <f t="shared" si="71"/>
        <v>0.20621196270531539</v>
      </c>
      <c r="N473" s="7">
        <f t="shared" si="67"/>
        <v>0.90665312331644532</v>
      </c>
      <c r="O473" s="7">
        <f t="shared" si="68"/>
        <v>9.3346876683554722E-2</v>
      </c>
    </row>
    <row r="474" spans="1:15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4">
        <f>IF(SUMIFS('Daily NSE Equity Cash'!$H:$H,'Daily NSE Equity Cash'!$A:$A,$A474)=0,"",SUMIFS('Daily NSE Equity Cash'!$H:$H,'Daily NSE Equity Cash'!$A:$A,$A474))</f>
        <v>449.53530000000001</v>
      </c>
      <c r="F474" s="4">
        <f>IF(SUMIFS('Daily BSE Equity Cash'!$H:$H,'Daily BSE Equity Cash'!$A:$A,$A474)=0,"",SUMIFS('Daily BSE Equity Cash'!$H:$H,'Daily BSE Equity Cash'!$A:$A,$A474))</f>
        <v>34.148400000000002</v>
      </c>
      <c r="G474" s="4">
        <f t="shared" si="63"/>
        <v>483.68369999999999</v>
      </c>
      <c r="H474" s="7">
        <f t="shared" si="64"/>
        <v>-0.40771774742772715</v>
      </c>
      <c r="I474" s="7">
        <f t="shared" si="65"/>
        <v>-0.24460135646310877</v>
      </c>
      <c r="J474" s="7">
        <f t="shared" si="66"/>
        <v>-0.39854855935899058</v>
      </c>
      <c r="K474" s="7">
        <f t="shared" si="69"/>
        <v>-0.21528799200372295</v>
      </c>
      <c r="L474" s="7">
        <f t="shared" si="70"/>
        <v>-0.4210271104253912</v>
      </c>
      <c r="M474" s="7">
        <f t="shared" si="71"/>
        <v>-0.23449309612001368</v>
      </c>
      <c r="N474" s="7">
        <f t="shared" si="67"/>
        <v>0.92939931612332605</v>
      </c>
      <c r="O474" s="7">
        <f t="shared" si="68"/>
        <v>7.0600683876673953E-2</v>
      </c>
    </row>
    <row r="475" spans="1:15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4">
        <f>IF(SUMIFS('Daily NSE Equity Cash'!$H:$H,'Daily NSE Equity Cash'!$A:$A,$A475)=0,"",SUMIFS('Daily NSE Equity Cash'!$H:$H,'Daily NSE Equity Cash'!$A:$A,$A475))</f>
        <v>851.14459999999997</v>
      </c>
      <c r="F475" s="4">
        <f>IF(SUMIFS('Daily BSE Equity Cash'!$H:$H,'Daily BSE Equity Cash'!$A:$A,$A475)=0,"",SUMIFS('Daily BSE Equity Cash'!$H:$H,'Daily BSE Equity Cash'!$A:$A,$A475))</f>
        <v>66.785200000000003</v>
      </c>
      <c r="G475" s="4">
        <f t="shared" si="63"/>
        <v>917.9298</v>
      </c>
      <c r="H475" s="7">
        <f t="shared" si="64"/>
        <v>0.85850956696878122</v>
      </c>
      <c r="I475" s="7">
        <f t="shared" si="65"/>
        <v>-0.83590085822230431</v>
      </c>
      <c r="J475" s="7">
        <f t="shared" si="66"/>
        <v>6.1248919593725581E-2</v>
      </c>
      <c r="K475" s="7">
        <f t="shared" si="69"/>
        <v>0.89338768279154035</v>
      </c>
      <c r="L475" s="7">
        <f t="shared" si="70"/>
        <v>0.95573438287006129</v>
      </c>
      <c r="M475" s="7">
        <f t="shared" si="71"/>
        <v>0.89778940245453809</v>
      </c>
      <c r="N475" s="7">
        <f t="shared" si="67"/>
        <v>0.92724367375370098</v>
      </c>
      <c r="O475" s="7">
        <f t="shared" si="68"/>
        <v>7.2756326246299019E-2</v>
      </c>
    </row>
    <row r="476" spans="1:15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4">
        <f>IF(SUMIFS('Daily NSE Equity Cash'!$H:$H,'Daily NSE Equity Cash'!$A:$A,$A476)=0,"",SUMIFS('Daily NSE Equity Cash'!$H:$H,'Daily NSE Equity Cash'!$A:$A,$A476))</f>
        <v>624.83370000000002</v>
      </c>
      <c r="F476" s="4">
        <f>IF(SUMIFS('Daily BSE Equity Cash'!$H:$H,'Daily BSE Equity Cash'!$A:$A,$A476)=0,"",SUMIFS('Daily BSE Equity Cash'!$H:$H,'Daily BSE Equity Cash'!$A:$A,$A476))</f>
        <v>48.843800000000002</v>
      </c>
      <c r="G476" s="4">
        <f t="shared" si="63"/>
        <v>673.67750000000001</v>
      </c>
      <c r="H476" s="7">
        <f t="shared" si="64"/>
        <v>-0.25883513861929675</v>
      </c>
      <c r="I476" s="7">
        <f t="shared" si="65"/>
        <v>-0.34697222708731357</v>
      </c>
      <c r="J476" s="7">
        <f t="shared" si="66"/>
        <v>-0.26601754752768647</v>
      </c>
      <c r="K476" s="7">
        <f t="shared" si="69"/>
        <v>-0.26589007320260261</v>
      </c>
      <c r="L476" s="7">
        <f t="shared" si="70"/>
        <v>-0.26864335211993073</v>
      </c>
      <c r="M476" s="7">
        <f t="shared" si="71"/>
        <v>-0.26609039166175885</v>
      </c>
      <c r="N476" s="7">
        <f t="shared" si="67"/>
        <v>0.9274967621747795</v>
      </c>
      <c r="O476" s="7">
        <f t="shared" si="68"/>
        <v>7.2503237825220529E-2</v>
      </c>
    </row>
    <row r="477" spans="1:15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4">
        <f>IF(SUMIFS('Daily NSE Equity Cash'!$H:$H,'Daily NSE Equity Cash'!$A:$A,$A477)=0,"",SUMIFS('Daily NSE Equity Cash'!$H:$H,'Daily NSE Equity Cash'!$A:$A,$A477))</f>
        <v>693.78480000000002</v>
      </c>
      <c r="F477" s="4">
        <f>IF(SUMIFS('Daily BSE Equity Cash'!$H:$H,'Daily BSE Equity Cash'!$A:$A,$A477)=0,"",SUMIFS('Daily BSE Equity Cash'!$H:$H,'Daily BSE Equity Cash'!$A:$A,$A477))</f>
        <v>38.985300000000002</v>
      </c>
      <c r="G477" s="4">
        <f t="shared" si="63"/>
        <v>732.77010000000007</v>
      </c>
      <c r="H477" s="7" t="str">
        <f t="shared" si="64"/>
        <v/>
      </c>
      <c r="I477" s="7" t="str">
        <f t="shared" si="65"/>
        <v/>
      </c>
      <c r="J477" s="7" t="str">
        <f t="shared" si="66"/>
        <v/>
      </c>
      <c r="K477" s="7">
        <f t="shared" si="69"/>
        <v>0.11035112222660204</v>
      </c>
      <c r="L477" s="7">
        <f t="shared" si="70"/>
        <v>-0.20183728538729584</v>
      </c>
      <c r="M477" s="7">
        <f t="shared" si="71"/>
        <v>8.7716451863094846E-2</v>
      </c>
      <c r="N477" s="7">
        <f t="shared" si="67"/>
        <v>0.94679736523092295</v>
      </c>
      <c r="O477" s="7">
        <f t="shared" si="68"/>
        <v>5.3202634769076954E-2</v>
      </c>
    </row>
    <row r="478" spans="1:15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4">
        <f>IF(SUMIFS('Daily NSE Equity Cash'!$H:$H,'Daily NSE Equity Cash'!$A:$A,$A478)=0,"",SUMIFS('Daily NSE Equity Cash'!$H:$H,'Daily NSE Equity Cash'!$A:$A,$A478))</f>
        <v>725.63419999999996</v>
      </c>
      <c r="F478" s="4">
        <f>IF(SUMIFS('Daily BSE Equity Cash'!$H:$H,'Daily BSE Equity Cash'!$A:$A,$A478)=0,"",SUMIFS('Daily BSE Equity Cash'!$H:$H,'Daily BSE Equity Cash'!$A:$A,$A478))</f>
        <v>47.631700000000002</v>
      </c>
      <c r="G478" s="4">
        <f t="shared" si="63"/>
        <v>773.26589999999999</v>
      </c>
      <c r="H478" s="7">
        <f t="shared" si="64"/>
        <v>-2.7903716096960185E-2</v>
      </c>
      <c r="I478" s="7">
        <f t="shared" si="65"/>
        <v>-0.11168199984707228</v>
      </c>
      <c r="J478" s="7">
        <f t="shared" si="66"/>
        <v>-3.351838070881108E-2</v>
      </c>
      <c r="K478" s="7">
        <f t="shared" si="69"/>
        <v>4.5906742263595257E-2</v>
      </c>
      <c r="L478" s="7">
        <f t="shared" si="70"/>
        <v>0.22178616042457033</v>
      </c>
      <c r="M478" s="7">
        <f t="shared" si="71"/>
        <v>5.5263990711411193E-2</v>
      </c>
      <c r="N478" s="7">
        <f t="shared" si="67"/>
        <v>0.93840191323579636</v>
      </c>
      <c r="O478" s="7">
        <f t="shared" si="68"/>
        <v>6.159808676420362E-2</v>
      </c>
    </row>
    <row r="479" spans="1:15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4">
        <f>IF(SUMIFS('Daily NSE Equity Cash'!$H:$H,'Daily NSE Equity Cash'!$A:$A,$A479)=0,"",SUMIFS('Daily NSE Equity Cash'!$H:$H,'Daily NSE Equity Cash'!$A:$A,$A479))</f>
        <v>654.78899999999999</v>
      </c>
      <c r="F479" s="4">
        <f>IF(SUMIFS('Daily BSE Equity Cash'!$H:$H,'Daily BSE Equity Cash'!$A:$A,$A479)=0,"",SUMIFS('Daily BSE Equity Cash'!$H:$H,'Daily BSE Equity Cash'!$A:$A,$A479))</f>
        <v>44.810099999999998</v>
      </c>
      <c r="G479" s="4">
        <f t="shared" si="63"/>
        <v>699.59910000000002</v>
      </c>
      <c r="H479" s="7">
        <f t="shared" si="64"/>
        <v>-0.17630003812884121</v>
      </c>
      <c r="I479" s="7">
        <f t="shared" si="65"/>
        <v>-0.22084161437223204</v>
      </c>
      <c r="J479" s="7">
        <f t="shared" si="66"/>
        <v>-0.17930506429019877</v>
      </c>
      <c r="K479" s="7">
        <f t="shared" si="69"/>
        <v>-9.7632112709130858E-2</v>
      </c>
      <c r="L479" s="7">
        <f t="shared" si="70"/>
        <v>-5.9237860500465089E-2</v>
      </c>
      <c r="M479" s="7">
        <f t="shared" si="71"/>
        <v>-9.5267100230334689E-2</v>
      </c>
      <c r="N479" s="7">
        <f t="shared" si="67"/>
        <v>0.93594888844196622</v>
      </c>
      <c r="O479" s="7">
        <f t="shared" si="68"/>
        <v>6.4051111558033738E-2</v>
      </c>
    </row>
    <row r="480" spans="1:15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4">
        <f>IF(SUMIFS('Daily NSE Equity Cash'!$H:$H,'Daily NSE Equity Cash'!$A:$A,$A480)=0,"",SUMIFS('Daily NSE Equity Cash'!$H:$H,'Daily NSE Equity Cash'!$A:$A,$A480))</f>
        <v>692.60500000000002</v>
      </c>
      <c r="F480" s="4">
        <f>IF(SUMIFS('Daily BSE Equity Cash'!$H:$H,'Daily BSE Equity Cash'!$A:$A,$A480)=0,"",SUMIFS('Daily BSE Equity Cash'!$H:$H,'Daily BSE Equity Cash'!$A:$A,$A480))</f>
        <v>44.5182</v>
      </c>
      <c r="G480" s="4">
        <f t="shared" si="63"/>
        <v>737.1232</v>
      </c>
      <c r="H480" s="7">
        <f t="shared" si="64"/>
        <v>-0.14401947557914829</v>
      </c>
      <c r="I480" s="7">
        <f t="shared" si="65"/>
        <v>-0.35058656715982461</v>
      </c>
      <c r="J480" s="7">
        <f t="shared" si="66"/>
        <v>-0.16015330280311513</v>
      </c>
      <c r="K480" s="7">
        <f t="shared" si="69"/>
        <v>5.7752955532240247E-2</v>
      </c>
      <c r="L480" s="7">
        <f t="shared" si="70"/>
        <v>-6.5141564067029423E-3</v>
      </c>
      <c r="M480" s="7">
        <f t="shared" si="71"/>
        <v>5.3636575575926271E-2</v>
      </c>
      <c r="N480" s="7">
        <f t="shared" si="67"/>
        <v>0.9396054825027893</v>
      </c>
      <c r="O480" s="7">
        <f t="shared" si="68"/>
        <v>6.0394517497210781E-2</v>
      </c>
    </row>
    <row r="481" spans="1:15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4">
        <f>IF(SUMIFS('Daily NSE Equity Cash'!$H:$H,'Daily NSE Equity Cash'!$A:$A,$A481)=0,"",SUMIFS('Daily NSE Equity Cash'!$H:$H,'Daily NSE Equity Cash'!$A:$A,$A481))</f>
        <v>710.07029999999997</v>
      </c>
      <c r="F481" s="4">
        <f>IF(SUMIFS('Daily BSE Equity Cash'!$H:$H,'Daily BSE Equity Cash'!$A:$A,$A481)=0,"",SUMIFS('Daily BSE Equity Cash'!$H:$H,'Daily BSE Equity Cash'!$A:$A,$A481))</f>
        <v>70.017200000000003</v>
      </c>
      <c r="G481" s="4">
        <f t="shared" si="63"/>
        <v>780.08749999999998</v>
      </c>
      <c r="H481" s="7" t="str">
        <f t="shared" si="64"/>
        <v/>
      </c>
      <c r="I481" s="7" t="str">
        <f t="shared" si="65"/>
        <v/>
      </c>
      <c r="J481" s="7" t="str">
        <f t="shared" si="66"/>
        <v/>
      </c>
      <c r="K481" s="7">
        <f t="shared" si="69"/>
        <v>2.5216826329581776E-2</v>
      </c>
      <c r="L481" s="7">
        <f t="shared" si="70"/>
        <v>0.5727769766073203</v>
      </c>
      <c r="M481" s="7">
        <f t="shared" si="71"/>
        <v>5.8286457406306003E-2</v>
      </c>
      <c r="N481" s="7">
        <f t="shared" si="67"/>
        <v>0.91024442770843017</v>
      </c>
      <c r="O481" s="7">
        <f t="shared" si="68"/>
        <v>8.9755572291569857E-2</v>
      </c>
    </row>
    <row r="482" spans="1:15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4">
        <f>IF(SUMIFS('Daily NSE Equity Cash'!$H:$H,'Daily NSE Equity Cash'!$A:$A,$A482)=0,"",SUMIFS('Daily NSE Equity Cash'!$H:$H,'Daily NSE Equity Cash'!$A:$A,$A482))</f>
        <v>726.29139999999995</v>
      </c>
      <c r="F482" s="4">
        <f>IF(SUMIFS('Daily BSE Equity Cash'!$H:$H,'Daily BSE Equity Cash'!$A:$A,$A482)=0,"",SUMIFS('Daily BSE Equity Cash'!$H:$H,'Daily BSE Equity Cash'!$A:$A,$A482))</f>
        <v>51.709299999999999</v>
      </c>
      <c r="G482" s="4">
        <f t="shared" si="63"/>
        <v>778.00069999999994</v>
      </c>
      <c r="H482" s="7">
        <f t="shared" si="64"/>
        <v>0.20155630101566868</v>
      </c>
      <c r="I482" s="7">
        <f t="shared" si="65"/>
        <v>0.22478161594724666</v>
      </c>
      <c r="J482" s="7">
        <f t="shared" si="66"/>
        <v>0.20307259515978648</v>
      </c>
      <c r="K482" s="7">
        <f t="shared" si="69"/>
        <v>2.2844357805135607E-2</v>
      </c>
      <c r="L482" s="7">
        <f t="shared" si="70"/>
        <v>-0.26147717989294061</v>
      </c>
      <c r="M482" s="7">
        <f t="shared" si="71"/>
        <v>-2.6750845257743627E-3</v>
      </c>
      <c r="N482" s="7">
        <f t="shared" si="67"/>
        <v>0.93353566391392706</v>
      </c>
      <c r="O482" s="7">
        <f t="shared" si="68"/>
        <v>6.6464336086072939E-2</v>
      </c>
    </row>
    <row r="483" spans="1:15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4">
        <f>IF(SUMIFS('Daily NSE Equity Cash'!$H:$H,'Daily NSE Equity Cash'!$A:$A,$A483)=0,"",SUMIFS('Daily NSE Equity Cash'!$H:$H,'Daily NSE Equity Cash'!$A:$A,$A483))</f>
        <v>692.13329999999996</v>
      </c>
      <c r="F483" s="4">
        <f>IF(SUMIFS('Daily BSE Equity Cash'!$H:$H,'Daily BSE Equity Cash'!$A:$A,$A483)=0,"",SUMIFS('Daily BSE Equity Cash'!$H:$H,'Daily BSE Equity Cash'!$A:$A,$A483))</f>
        <v>48.116300000000003</v>
      </c>
      <c r="G483" s="4">
        <f t="shared" si="63"/>
        <v>740.24959999999999</v>
      </c>
      <c r="H483" s="7">
        <f t="shared" si="64"/>
        <v>-2.2158536628438918E-2</v>
      </c>
      <c r="I483" s="7">
        <f t="shared" si="65"/>
        <v>-3.2692365683268831E-2</v>
      </c>
      <c r="J483" s="7">
        <f t="shared" si="66"/>
        <v>-2.2850203284228265E-2</v>
      </c>
      <c r="K483" s="7">
        <f t="shared" si="69"/>
        <v>-4.7030847398165543E-2</v>
      </c>
      <c r="L483" s="7">
        <f t="shared" si="70"/>
        <v>-6.9484599482104725E-2</v>
      </c>
      <c r="M483" s="7">
        <f t="shared" si="71"/>
        <v>-4.852322112306573E-2</v>
      </c>
      <c r="N483" s="7">
        <f t="shared" si="67"/>
        <v>0.9349998973319269</v>
      </c>
      <c r="O483" s="7">
        <f t="shared" si="68"/>
        <v>6.5000102668073045E-2</v>
      </c>
    </row>
    <row r="484" spans="1:15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4">
        <f>IF(SUMIFS('Daily NSE Equity Cash'!$H:$H,'Daily NSE Equity Cash'!$A:$A,$A484)=0,"",SUMIFS('Daily NSE Equity Cash'!$H:$H,'Daily NSE Equity Cash'!$A:$A,$A484))</f>
        <v>738.04139999999995</v>
      </c>
      <c r="F484" s="4">
        <f>IF(SUMIFS('Daily BSE Equity Cash'!$H:$H,'Daily BSE Equity Cash'!$A:$A,$A484)=0,"",SUMIFS('Daily BSE Equity Cash'!$H:$H,'Daily BSE Equity Cash'!$A:$A,$A484))</f>
        <v>74.805000000000007</v>
      </c>
      <c r="G484" s="4">
        <f t="shared" si="63"/>
        <v>812.8463999999999</v>
      </c>
      <c r="H484" s="7">
        <f t="shared" si="64"/>
        <v>0.35690102660902778</v>
      </c>
      <c r="I484" s="7">
        <f t="shared" si="65"/>
        <v>0.91328390161058071</v>
      </c>
      <c r="J484" s="7">
        <f t="shared" si="66"/>
        <v>0.3942127692857087</v>
      </c>
      <c r="K484" s="7">
        <f t="shared" si="69"/>
        <v>6.6328408126006932E-2</v>
      </c>
      <c r="L484" s="7">
        <f t="shared" si="70"/>
        <v>0.55467066254055286</v>
      </c>
      <c r="M484" s="7">
        <f t="shared" si="71"/>
        <v>9.8070704800110597E-2</v>
      </c>
      <c r="N484" s="7">
        <f t="shared" si="67"/>
        <v>0.90797154296309857</v>
      </c>
      <c r="O484" s="7">
        <f t="shared" si="68"/>
        <v>9.2028457036901462E-2</v>
      </c>
    </row>
    <row r="485" spans="1:15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4">
        <f>IF(SUMIFS('Daily NSE Equity Cash'!$H:$H,'Daily NSE Equity Cash'!$A:$A,$A485)=0,"",SUMIFS('Daily NSE Equity Cash'!$H:$H,'Daily NSE Equity Cash'!$A:$A,$A485))</f>
        <v>585.38869999999997</v>
      </c>
      <c r="F485" s="4">
        <f>IF(SUMIFS('Daily BSE Equity Cash'!$H:$H,'Daily BSE Equity Cash'!$A:$A,$A485)=0,"",SUMIFS('Daily BSE Equity Cash'!$H:$H,'Daily BSE Equity Cash'!$A:$A,$A485))</f>
        <v>42.979399999999998</v>
      </c>
      <c r="G485" s="4">
        <f t="shared" si="63"/>
        <v>628.36809999999991</v>
      </c>
      <c r="H485" s="7" t="str">
        <f t="shared" si="64"/>
        <v/>
      </c>
      <c r="I485" s="7" t="str">
        <f t="shared" si="65"/>
        <v/>
      </c>
      <c r="J485" s="7" t="str">
        <f t="shared" si="66"/>
        <v/>
      </c>
      <c r="K485" s="7">
        <f t="shared" si="69"/>
        <v>-0.20683487403281164</v>
      </c>
      <c r="L485" s="7">
        <f t="shared" si="70"/>
        <v>-0.42544749682507865</v>
      </c>
      <c r="M485" s="7">
        <f t="shared" si="71"/>
        <v>-0.22695345639717424</v>
      </c>
      <c r="N485" s="7">
        <f t="shared" si="67"/>
        <v>0.93160155647621201</v>
      </c>
      <c r="O485" s="7">
        <f t="shared" si="68"/>
        <v>6.8398443523788058E-2</v>
      </c>
    </row>
    <row r="486" spans="1:15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4">
        <f>IF(SUMIFS('Daily NSE Equity Cash'!$H:$H,'Daily NSE Equity Cash'!$A:$A,$A486)=0,"",SUMIFS('Daily NSE Equity Cash'!$H:$H,'Daily NSE Equity Cash'!$A:$A,$A486))</f>
        <v>605.79079999999999</v>
      </c>
      <c r="F486" s="4">
        <f>IF(SUMIFS('Daily BSE Equity Cash'!$H:$H,'Daily BSE Equity Cash'!$A:$A,$A486)=0,"",SUMIFS('Daily BSE Equity Cash'!$H:$H,'Daily BSE Equity Cash'!$A:$A,$A486))</f>
        <v>41.098399999999998</v>
      </c>
      <c r="G486" s="4">
        <f t="shared" si="63"/>
        <v>646.88919999999996</v>
      </c>
      <c r="H486" s="7" t="str">
        <f t="shared" si="64"/>
        <v/>
      </c>
      <c r="I486" s="7" t="str">
        <f t="shared" si="65"/>
        <v/>
      </c>
      <c r="J486" s="7" t="str">
        <f t="shared" si="66"/>
        <v/>
      </c>
      <c r="K486" s="7">
        <f t="shared" si="69"/>
        <v>3.4852227246614076E-2</v>
      </c>
      <c r="L486" s="7">
        <f t="shared" si="70"/>
        <v>-4.3765152607993629E-2</v>
      </c>
      <c r="M486" s="7">
        <f t="shared" si="71"/>
        <v>2.9474920830640627E-2</v>
      </c>
      <c r="N486" s="7">
        <f t="shared" si="67"/>
        <v>0.93646763618870132</v>
      </c>
      <c r="O486" s="7">
        <f t="shared" si="68"/>
        <v>6.3532363811298759E-2</v>
      </c>
    </row>
    <row r="487" spans="1:15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4">
        <f>IF(SUMIFS('Daily NSE Equity Cash'!$H:$H,'Daily NSE Equity Cash'!$A:$A,$A487)=0,"",SUMIFS('Daily NSE Equity Cash'!$H:$H,'Daily NSE Equity Cash'!$A:$A,$A487))</f>
        <v>682.23490000000004</v>
      </c>
      <c r="F487" s="4">
        <f>IF(SUMIFS('Daily BSE Equity Cash'!$H:$H,'Daily BSE Equity Cash'!$A:$A,$A487)=0,"",SUMIFS('Daily BSE Equity Cash'!$H:$H,'Daily BSE Equity Cash'!$A:$A,$A487))</f>
        <v>41.417400000000001</v>
      </c>
      <c r="G487" s="4">
        <f t="shared" si="63"/>
        <v>723.65230000000008</v>
      </c>
      <c r="H487" s="7">
        <f t="shared" si="64"/>
        <v>0.13697668333769419</v>
      </c>
      <c r="I487" s="7">
        <f t="shared" si="65"/>
        <v>-0.1414570442461367</v>
      </c>
      <c r="J487" s="7">
        <f t="shared" si="66"/>
        <v>0.11625729135896368</v>
      </c>
      <c r="K487" s="7">
        <f t="shared" si="69"/>
        <v>0.12618894179310747</v>
      </c>
      <c r="L487" s="7">
        <f t="shared" si="70"/>
        <v>7.7618593424562121E-3</v>
      </c>
      <c r="M487" s="7">
        <f t="shared" si="71"/>
        <v>0.1186649893057421</v>
      </c>
      <c r="N487" s="7">
        <f t="shared" si="67"/>
        <v>0.94276615993620139</v>
      </c>
      <c r="O487" s="7">
        <f t="shared" si="68"/>
        <v>5.7233840063798593E-2</v>
      </c>
    </row>
    <row r="488" spans="1:15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4">
        <f>IF(SUMIFS('Daily NSE Equity Cash'!$H:$H,'Daily NSE Equity Cash'!$A:$A,$A488)=0,"",SUMIFS('Daily NSE Equity Cash'!$H:$H,'Daily NSE Equity Cash'!$A:$A,$A488))</f>
        <v>547.33370000000002</v>
      </c>
      <c r="F488" s="4">
        <f>IF(SUMIFS('Daily BSE Equity Cash'!$H:$H,'Daily BSE Equity Cash'!$A:$A,$A488)=0,"",SUMIFS('Daily BSE Equity Cash'!$H:$H,'Daily BSE Equity Cash'!$A:$A,$A488))</f>
        <v>36.701500000000003</v>
      </c>
      <c r="G488" s="4">
        <f t="shared" si="63"/>
        <v>584.03520000000003</v>
      </c>
      <c r="H488" s="7">
        <f t="shared" si="64"/>
        <v>-7.2271734929793219E-2</v>
      </c>
      <c r="I488" s="7">
        <f t="shared" si="65"/>
        <v>-7.9710458314862231E-3</v>
      </c>
      <c r="J488" s="7">
        <f t="shared" si="66"/>
        <v>-6.8477454366121071E-2</v>
      </c>
      <c r="K488" s="7">
        <f t="shared" si="69"/>
        <v>-0.19773424080181179</v>
      </c>
      <c r="L488" s="7">
        <f t="shared" si="70"/>
        <v>-0.11386277265110789</v>
      </c>
      <c r="M488" s="7">
        <f t="shared" si="71"/>
        <v>-0.19293395460775853</v>
      </c>
      <c r="N488" s="7">
        <f t="shared" si="67"/>
        <v>0.93715875344499777</v>
      </c>
      <c r="O488" s="7">
        <f t="shared" si="68"/>
        <v>6.2841246555002173E-2</v>
      </c>
    </row>
    <row r="489" spans="1:15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4">
        <f>IF(SUMIFS('Daily NSE Equity Cash'!$H:$H,'Daily NSE Equity Cash'!$A:$A,$A489)=0,"",SUMIFS('Daily NSE Equity Cash'!$H:$H,'Daily NSE Equity Cash'!$A:$A,$A489))</f>
        <v>860.07600000000002</v>
      </c>
      <c r="F489" s="4">
        <f>IF(SUMIFS('Daily BSE Equity Cash'!$H:$H,'Daily BSE Equity Cash'!$A:$A,$A489)=0,"",SUMIFS('Daily BSE Equity Cash'!$H:$H,'Daily BSE Equity Cash'!$A:$A,$A489))</f>
        <v>41.599400000000003</v>
      </c>
      <c r="G489" s="4">
        <f t="shared" si="63"/>
        <v>901.67540000000008</v>
      </c>
      <c r="H489" s="7">
        <f t="shared" si="64"/>
        <v>0.44618327946216141</v>
      </c>
      <c r="I489" s="7">
        <f t="shared" si="65"/>
        <v>-0.50826795527537982</v>
      </c>
      <c r="J489" s="7">
        <f t="shared" si="66"/>
        <v>0.32732250974873356</v>
      </c>
      <c r="K489" s="7">
        <f t="shared" si="69"/>
        <v>0.57139236995639031</v>
      </c>
      <c r="L489" s="7">
        <f t="shared" si="70"/>
        <v>0.13345231121343804</v>
      </c>
      <c r="M489" s="7">
        <f t="shared" si="71"/>
        <v>0.54387167074861242</v>
      </c>
      <c r="N489" s="7">
        <f t="shared" si="67"/>
        <v>0.95386432855992298</v>
      </c>
      <c r="O489" s="7">
        <f t="shared" si="68"/>
        <v>4.6135671440076992E-2</v>
      </c>
    </row>
    <row r="490" spans="1:15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4">
        <f>IF(SUMIFS('Daily NSE Equity Cash'!$H:$H,'Daily NSE Equity Cash'!$A:$A,$A490)=0,"",SUMIFS('Daily NSE Equity Cash'!$H:$H,'Daily NSE Equity Cash'!$A:$A,$A490))</f>
        <v>589.15989999999999</v>
      </c>
      <c r="F490" s="4">
        <f>IF(SUMIFS('Daily BSE Equity Cash'!$H:$H,'Daily BSE Equity Cash'!$A:$A,$A490)=0,"",SUMIFS('Daily BSE Equity Cash'!$H:$H,'Daily BSE Equity Cash'!$A:$A,$A490))</f>
        <v>39.918199999999999</v>
      </c>
      <c r="G490" s="4">
        <f t="shared" si="63"/>
        <v>629.07809999999995</v>
      </c>
      <c r="H490" s="7" t="str">
        <f t="shared" si="64"/>
        <v/>
      </c>
      <c r="I490" s="7" t="str">
        <f t="shared" si="65"/>
        <v/>
      </c>
      <c r="J490" s="7" t="str">
        <f t="shared" si="66"/>
        <v/>
      </c>
      <c r="K490" s="7">
        <f t="shared" si="69"/>
        <v>-0.31499088452648372</v>
      </c>
      <c r="L490" s="7">
        <f t="shared" si="70"/>
        <v>-4.0414044433333296E-2</v>
      </c>
      <c r="M490" s="7">
        <f t="shared" si="71"/>
        <v>-0.30232309764689169</v>
      </c>
      <c r="N490" s="7">
        <f t="shared" si="67"/>
        <v>0.93654492184674687</v>
      </c>
      <c r="O490" s="7">
        <f t="shared" si="68"/>
        <v>6.3455078153253158E-2</v>
      </c>
    </row>
    <row r="491" spans="1:15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4">
        <f>IF(SUMIFS('Daily NSE Equity Cash'!$H:$H,'Daily NSE Equity Cash'!$A:$A,$A491)=0,"",SUMIFS('Daily NSE Equity Cash'!$H:$H,'Daily NSE Equity Cash'!$A:$A,$A491))</f>
        <v>618.21299999999997</v>
      </c>
      <c r="F491" s="4">
        <f>IF(SUMIFS('Daily BSE Equity Cash'!$H:$H,'Daily BSE Equity Cash'!$A:$A,$A491)=0,"",SUMIFS('Daily BSE Equity Cash'!$H:$H,'Daily BSE Equity Cash'!$A:$A,$A491))</f>
        <v>40.159300000000002</v>
      </c>
      <c r="G491" s="4">
        <f t="shared" si="63"/>
        <v>658.3723</v>
      </c>
      <c r="H491" s="7">
        <f t="shared" si="64"/>
        <v>6.845725413988224E-2</v>
      </c>
      <c r="I491" s="7">
        <f t="shared" si="65"/>
        <v>-1.2261058579506878E-3</v>
      </c>
      <c r="J491" s="7">
        <f t="shared" si="66"/>
        <v>6.3929432525548835E-2</v>
      </c>
      <c r="K491" s="7">
        <f t="shared" si="69"/>
        <v>4.9312758726451023E-2</v>
      </c>
      <c r="L491" s="7">
        <f t="shared" si="70"/>
        <v>6.0398514963100336E-3</v>
      </c>
      <c r="M491" s="7">
        <f t="shared" si="71"/>
        <v>4.656687301624407E-2</v>
      </c>
      <c r="N491" s="7">
        <f t="shared" si="67"/>
        <v>0.93900214210105737</v>
      </c>
      <c r="O491" s="7">
        <f t="shared" si="68"/>
        <v>6.099785789894259E-2</v>
      </c>
    </row>
    <row r="492" spans="1:15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4">
        <f>IF(SUMIFS('Daily NSE Equity Cash'!$H:$H,'Daily NSE Equity Cash'!$A:$A,$A492)=0,"",SUMIFS('Daily NSE Equity Cash'!$H:$H,'Daily NSE Equity Cash'!$A:$A,$A492))</f>
        <v>615.36320000000001</v>
      </c>
      <c r="F492" s="4">
        <f>IF(SUMIFS('Daily BSE Equity Cash'!$H:$H,'Daily BSE Equity Cash'!$A:$A,$A492)=0,"",SUMIFS('Daily BSE Equity Cash'!$H:$H,'Daily BSE Equity Cash'!$A:$A,$A492))</f>
        <v>45.387099999999997</v>
      </c>
      <c r="G492" s="4">
        <f t="shared" si="63"/>
        <v>660.75030000000004</v>
      </c>
      <c r="H492" s="7">
        <f t="shared" si="64"/>
        <v>-3.1898536347678697E-3</v>
      </c>
      <c r="I492" s="7">
        <f t="shared" si="65"/>
        <v>8.8216113053193768E-2</v>
      </c>
      <c r="J492" s="7">
        <f t="shared" si="66"/>
        <v>2.5948341239274697E-3</v>
      </c>
      <c r="K492" s="7">
        <f t="shared" si="69"/>
        <v>-4.6097380676238808E-3</v>
      </c>
      <c r="L492" s="7">
        <f t="shared" si="70"/>
        <v>0.13017657180279518</v>
      </c>
      <c r="M492" s="7">
        <f t="shared" si="71"/>
        <v>3.6119381085748525E-3</v>
      </c>
      <c r="N492" s="7">
        <f t="shared" si="67"/>
        <v>0.9313097549861119</v>
      </c>
      <c r="O492" s="7">
        <f t="shared" si="68"/>
        <v>6.8690245013887985E-2</v>
      </c>
    </row>
    <row r="493" spans="1:15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4">
        <f>IF(SUMIFS('Daily NSE Equity Cash'!$H:$H,'Daily NSE Equity Cash'!$A:$A,$A493)=0,"",SUMIFS('Daily NSE Equity Cash'!$H:$H,'Daily NSE Equity Cash'!$A:$A,$A493))</f>
        <v>590.1078</v>
      </c>
      <c r="F493" s="4">
        <f>IF(SUMIFS('Daily BSE Equity Cash'!$H:$H,'Daily BSE Equity Cash'!$A:$A,$A493)=0,"",SUMIFS('Daily BSE Equity Cash'!$H:$H,'Daily BSE Equity Cash'!$A:$A,$A493))</f>
        <v>114.3193</v>
      </c>
      <c r="G493" s="4">
        <f t="shared" si="63"/>
        <v>704.4271</v>
      </c>
      <c r="H493" s="7">
        <f t="shared" si="64"/>
        <v>1.3996611120685953E-2</v>
      </c>
      <c r="I493" s="7">
        <f t="shared" si="65"/>
        <v>2.1710965759048442</v>
      </c>
      <c r="J493" s="7">
        <f t="shared" si="66"/>
        <v>0.13982625276147242</v>
      </c>
      <c r="K493" s="7">
        <f t="shared" si="69"/>
        <v>-4.1041453242572801E-2</v>
      </c>
      <c r="L493" s="7">
        <f t="shared" si="70"/>
        <v>1.5187619389650364</v>
      </c>
      <c r="M493" s="7">
        <f t="shared" si="71"/>
        <v>6.6101823941661308E-2</v>
      </c>
      <c r="N493" s="7">
        <f t="shared" si="67"/>
        <v>0.83771308627961649</v>
      </c>
      <c r="O493" s="7">
        <f t="shared" si="68"/>
        <v>0.16228691372038356</v>
      </c>
    </row>
    <row r="494" spans="1:15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4">
        <f>IF(SUMIFS('Daily NSE Equity Cash'!$H:$H,'Daily NSE Equity Cash'!$A:$A,$A494)=0,"",SUMIFS('Daily NSE Equity Cash'!$H:$H,'Daily NSE Equity Cash'!$A:$A,$A494))</f>
        <v>584.67660000000001</v>
      </c>
      <c r="F494" s="4">
        <f>IF(SUMIFS('Daily BSE Equity Cash'!$H:$H,'Daily BSE Equity Cash'!$A:$A,$A494)=0,"",SUMIFS('Daily BSE Equity Cash'!$H:$H,'Daily BSE Equity Cash'!$A:$A,$A494))</f>
        <v>49.661200000000001</v>
      </c>
      <c r="G494" s="4">
        <f t="shared" si="63"/>
        <v>634.33780000000002</v>
      </c>
      <c r="H494" s="7">
        <f t="shared" si="64"/>
        <v>-0.16208974324983749</v>
      </c>
      <c r="I494" s="7">
        <f t="shared" si="65"/>
        <v>9.0824424563384243E-2</v>
      </c>
      <c r="J494" s="7">
        <f t="shared" si="66"/>
        <v>-0.146599152058278</v>
      </c>
      <c r="K494" s="7">
        <f t="shared" si="69"/>
        <v>-9.2037420959356631E-3</v>
      </c>
      <c r="L494" s="7">
        <f t="shared" si="70"/>
        <v>-0.56559216160350878</v>
      </c>
      <c r="M494" s="7">
        <f t="shared" si="71"/>
        <v>-9.9498301527581767E-2</v>
      </c>
      <c r="N494" s="7">
        <f t="shared" si="67"/>
        <v>0.92171174412119217</v>
      </c>
      <c r="O494" s="7">
        <f t="shared" si="68"/>
        <v>7.8288255878807791E-2</v>
      </c>
    </row>
    <row r="495" spans="1:15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4">
        <f>IF(SUMIFS('Daily NSE Equity Cash'!$H:$H,'Daily NSE Equity Cash'!$A:$A,$A495)=0,"",SUMIFS('Daily NSE Equity Cash'!$H:$H,'Daily NSE Equity Cash'!$A:$A,$A495))</f>
        <v>590.09749999999997</v>
      </c>
      <c r="F495" s="4">
        <f>IF(SUMIFS('Daily BSE Equity Cash'!$H:$H,'Daily BSE Equity Cash'!$A:$A,$A495)=0,"",SUMIFS('Daily BSE Equity Cash'!$H:$H,'Daily BSE Equity Cash'!$A:$A,$A495))</f>
        <v>48.7027</v>
      </c>
      <c r="G495" s="4">
        <f t="shared" si="63"/>
        <v>638.80020000000002</v>
      </c>
      <c r="H495" s="7" t="str">
        <f t="shared" si="64"/>
        <v/>
      </c>
      <c r="I495" s="7" t="str">
        <f t="shared" si="65"/>
        <v/>
      </c>
      <c r="J495" s="7" t="str">
        <f t="shared" si="66"/>
        <v/>
      </c>
      <c r="K495" s="7">
        <f t="shared" si="69"/>
        <v>9.2716212689201161E-3</v>
      </c>
      <c r="L495" s="7">
        <f t="shared" si="70"/>
        <v>-1.9300782099506253E-2</v>
      </c>
      <c r="M495" s="7">
        <f t="shared" si="71"/>
        <v>7.0347376429404918E-3</v>
      </c>
      <c r="N495" s="7">
        <f t="shared" si="67"/>
        <v>0.92375910339414413</v>
      </c>
      <c r="O495" s="7">
        <f t="shared" si="68"/>
        <v>7.6240896605855785E-2</v>
      </c>
    </row>
    <row r="496" spans="1:15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4">
        <f>IF(SUMIFS('Daily NSE Equity Cash'!$H:$H,'Daily NSE Equity Cash'!$A:$A,$A496)=0,"",SUMIFS('Daily NSE Equity Cash'!$H:$H,'Daily NSE Equity Cash'!$A:$A,$A496))</f>
        <v>624.83079999999995</v>
      </c>
      <c r="F496" s="4">
        <f>IF(SUMIFS('Daily BSE Equity Cash'!$H:$H,'Daily BSE Equity Cash'!$A:$A,$A496)=0,"",SUMIFS('Daily BSE Equity Cash'!$H:$H,'Daily BSE Equity Cash'!$A:$A,$A496))</f>
        <v>53.8337</v>
      </c>
      <c r="G496" s="4">
        <f t="shared" si="63"/>
        <v>678.66449999999998</v>
      </c>
      <c r="H496" s="7" t="str">
        <f t="shared" si="64"/>
        <v/>
      </c>
      <c r="I496" s="7" t="str">
        <f t="shared" si="65"/>
        <v/>
      </c>
      <c r="J496" s="7" t="str">
        <f t="shared" si="66"/>
        <v/>
      </c>
      <c r="K496" s="7">
        <f t="shared" si="69"/>
        <v>5.8860273090463933E-2</v>
      </c>
      <c r="L496" s="7">
        <f t="shared" si="70"/>
        <v>0.10535350196190363</v>
      </c>
      <c r="M496" s="7">
        <f t="shared" si="71"/>
        <v>6.2404958545723588E-2</v>
      </c>
      <c r="N496" s="7">
        <f t="shared" si="67"/>
        <v>0.92067700609063829</v>
      </c>
      <c r="O496" s="7">
        <f t="shared" si="68"/>
        <v>7.9322993909361691E-2</v>
      </c>
    </row>
    <row r="497" spans="1:15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4">
        <f>IF(SUMIFS('Daily NSE Equity Cash'!$H:$H,'Daily NSE Equity Cash'!$A:$A,$A497)=0,"",SUMIFS('Daily NSE Equity Cash'!$H:$H,'Daily NSE Equity Cash'!$A:$A,$A497))</f>
        <v>747.0847</v>
      </c>
      <c r="F497" s="4">
        <f>IF(SUMIFS('Daily BSE Equity Cash'!$H:$H,'Daily BSE Equity Cash'!$A:$A,$A497)=0,"",SUMIFS('Daily BSE Equity Cash'!$H:$H,'Daily BSE Equity Cash'!$A:$A,$A497))</f>
        <v>46.228999999999999</v>
      </c>
      <c r="G497" s="4">
        <f t="shared" si="63"/>
        <v>793.31370000000004</v>
      </c>
      <c r="H497" s="7">
        <f t="shared" si="64"/>
        <v>9.1041867745375926E-2</v>
      </c>
      <c r="I497" s="7">
        <f t="shared" si="65"/>
        <v>0.22252692764377491</v>
      </c>
      <c r="J497" s="7">
        <f t="shared" si="66"/>
        <v>9.792299198985388E-2</v>
      </c>
      <c r="K497" s="7">
        <f t="shared" si="69"/>
        <v>0.19565920886102295</v>
      </c>
      <c r="L497" s="7">
        <f t="shared" si="70"/>
        <v>-0.14126281492819559</v>
      </c>
      <c r="M497" s="7">
        <f t="shared" si="71"/>
        <v>0.16893354522006088</v>
      </c>
      <c r="N497" s="7">
        <f t="shared" si="67"/>
        <v>0.94172670911897771</v>
      </c>
      <c r="O497" s="7">
        <f t="shared" si="68"/>
        <v>5.8273290881022219E-2</v>
      </c>
    </row>
    <row r="498" spans="1:15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4">
        <f>IF(SUMIFS('Daily NSE Equity Cash'!$H:$H,'Daily NSE Equity Cash'!$A:$A,$A498)=0,"",SUMIFS('Daily NSE Equity Cash'!$H:$H,'Daily NSE Equity Cash'!$A:$A,$A498))</f>
        <v>668.68820000000005</v>
      </c>
      <c r="F498" s="4">
        <f>IF(SUMIFS('Daily BSE Equity Cash'!$H:$H,'Daily BSE Equity Cash'!$A:$A,$A498)=0,"",SUMIFS('Daily BSE Equity Cash'!$H:$H,'Daily BSE Equity Cash'!$A:$A,$A498))</f>
        <v>41.135800000000003</v>
      </c>
      <c r="G498" s="4">
        <f t="shared" si="63"/>
        <v>709.82400000000007</v>
      </c>
      <c r="H498" s="7">
        <f t="shared" si="64"/>
        <v>0.1777158215095882</v>
      </c>
      <c r="I498" s="7">
        <f t="shared" si="65"/>
        <v>0.20597478745236009</v>
      </c>
      <c r="J498" s="7">
        <f t="shared" si="66"/>
        <v>0.17931728842620132</v>
      </c>
      <c r="K498" s="7">
        <f t="shared" si="69"/>
        <v>-0.1049365620792394</v>
      </c>
      <c r="L498" s="7">
        <f t="shared" si="70"/>
        <v>-0.1101732678621643</v>
      </c>
      <c r="M498" s="7">
        <f t="shared" si="71"/>
        <v>-0.10524172215858618</v>
      </c>
      <c r="N498" s="7">
        <f t="shared" si="67"/>
        <v>0.94204788792714811</v>
      </c>
      <c r="O498" s="7">
        <f t="shared" si="68"/>
        <v>5.7952112072851864E-2</v>
      </c>
    </row>
    <row r="499" spans="1:15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4">
        <f>IF(SUMIFS('Daily NSE Equity Cash'!$H:$H,'Daily NSE Equity Cash'!$A:$A,$A499)=0,"",SUMIFS('Daily NSE Equity Cash'!$H:$H,'Daily NSE Equity Cash'!$A:$A,$A499))</f>
        <v>614.50239999999997</v>
      </c>
      <c r="F499" s="4">
        <f>IF(SUMIFS('Daily BSE Equity Cash'!$H:$H,'Daily BSE Equity Cash'!$A:$A,$A499)=0,"",SUMIFS('Daily BSE Equity Cash'!$H:$H,'Daily BSE Equity Cash'!$A:$A,$A499))</f>
        <v>42.788800000000002</v>
      </c>
      <c r="G499" s="4">
        <f t="shared" si="63"/>
        <v>657.2912</v>
      </c>
      <c r="H499" s="7">
        <f t="shared" si="64"/>
        <v>4.5685470950562745E-2</v>
      </c>
      <c r="I499" s="7">
        <f t="shared" si="65"/>
        <v>0.17504840104903274</v>
      </c>
      <c r="J499" s="7">
        <f t="shared" si="66"/>
        <v>5.3233805972923598E-2</v>
      </c>
      <c r="K499" s="7">
        <f t="shared" si="69"/>
        <v>-8.1032983683576365E-2</v>
      </c>
      <c r="L499" s="7">
        <f t="shared" si="70"/>
        <v>4.0183976001439081E-2</v>
      </c>
      <c r="M499" s="7">
        <f t="shared" si="71"/>
        <v>-7.4008204850779968E-2</v>
      </c>
      <c r="N499" s="7">
        <f t="shared" si="67"/>
        <v>0.93490130401867533</v>
      </c>
      <c r="O499" s="7">
        <f t="shared" si="68"/>
        <v>6.5098695981324561E-2</v>
      </c>
    </row>
    <row r="500" spans="1:15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4">
        <f>IF(SUMIFS('Daily NSE Equity Cash'!$H:$H,'Daily NSE Equity Cash'!$A:$A,$A500)=0,"",SUMIFS('Daily NSE Equity Cash'!$H:$H,'Daily NSE Equity Cash'!$A:$A,$A500))</f>
        <v>813.3492</v>
      </c>
      <c r="F500" s="4">
        <f>IF(SUMIFS('Daily BSE Equity Cash'!$H:$H,'Daily BSE Equity Cash'!$A:$A,$A500)=0,"",SUMIFS('Daily BSE Equity Cash'!$H:$H,'Daily BSE Equity Cash'!$A:$A,$A500))</f>
        <v>61.795499999999997</v>
      </c>
      <c r="G500" s="4">
        <f t="shared" si="63"/>
        <v>875.14469999999994</v>
      </c>
      <c r="H500" s="7" t="str">
        <f t="shared" si="64"/>
        <v/>
      </c>
      <c r="I500" s="7" t="str">
        <f t="shared" si="65"/>
        <v/>
      </c>
      <c r="J500" s="7" t="str">
        <f t="shared" si="66"/>
        <v/>
      </c>
      <c r="K500" s="7">
        <f t="shared" si="69"/>
        <v>0.32358994855024159</v>
      </c>
      <c r="L500" s="7">
        <f t="shared" si="70"/>
        <v>0.44419801443368345</v>
      </c>
      <c r="M500" s="7">
        <f t="shared" si="71"/>
        <v>0.33144137636408333</v>
      </c>
      <c r="N500" s="7">
        <f t="shared" si="67"/>
        <v>0.92938824859477531</v>
      </c>
      <c r="O500" s="7">
        <f t="shared" si="68"/>
        <v>7.0611751405224757E-2</v>
      </c>
    </row>
    <row r="501" spans="1:15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4">
        <f>IF(SUMIFS('Daily NSE Equity Cash'!$H:$H,'Daily NSE Equity Cash'!$A:$A,$A501)=0,"",SUMIFS('Daily NSE Equity Cash'!$H:$H,'Daily NSE Equity Cash'!$A:$A,$A501))</f>
        <v>758.92089999999996</v>
      </c>
      <c r="F501" s="4">
        <f>IF(SUMIFS('Daily BSE Equity Cash'!$H:$H,'Daily BSE Equity Cash'!$A:$A,$A501)=0,"",SUMIFS('Daily BSE Equity Cash'!$H:$H,'Daily BSE Equity Cash'!$A:$A,$A501))</f>
        <v>57.384900000000002</v>
      </c>
      <c r="G501" s="4">
        <f t="shared" si="63"/>
        <v>816.30579999999998</v>
      </c>
      <c r="H501" s="7">
        <f t="shared" si="64"/>
        <v>0.16454048105291563</v>
      </c>
      <c r="I501" s="7">
        <f t="shared" si="65"/>
        <v>0.29117316173161734</v>
      </c>
      <c r="J501" s="7">
        <f t="shared" si="66"/>
        <v>0.17262520662290814</v>
      </c>
      <c r="K501" s="7">
        <f t="shared" si="69"/>
        <v>-6.6918735519749695E-2</v>
      </c>
      <c r="L501" s="7">
        <f t="shared" si="70"/>
        <v>-7.1374129184163859E-2</v>
      </c>
      <c r="M501" s="7">
        <f t="shared" si="71"/>
        <v>-6.723333866959369E-2</v>
      </c>
      <c r="N501" s="7">
        <f t="shared" si="67"/>
        <v>0.92970171227498322</v>
      </c>
      <c r="O501" s="7">
        <f t="shared" si="68"/>
        <v>7.0298287725016784E-2</v>
      </c>
    </row>
    <row r="502" spans="1:15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4">
        <f>IF(SUMIFS('Daily NSE Equity Cash'!$H:$H,'Daily NSE Equity Cash'!$A:$A,$A502)=0,"",SUMIFS('Daily NSE Equity Cash'!$H:$H,'Daily NSE Equity Cash'!$A:$A,$A502))</f>
        <v>765</v>
      </c>
      <c r="F502" s="4">
        <f>IF(SUMIFS('Daily BSE Equity Cash'!$H:$H,'Daily BSE Equity Cash'!$A:$A,$A502)=0,"",SUMIFS('Daily BSE Equity Cash'!$H:$H,'Daily BSE Equity Cash'!$A:$A,$A502))</f>
        <v>59.605899999999998</v>
      </c>
      <c r="G502" s="4">
        <f t="shared" si="63"/>
        <v>824.60590000000002</v>
      </c>
      <c r="H502" s="7">
        <f t="shared" si="64"/>
        <v>0.18195420136049889</v>
      </c>
      <c r="I502" s="7">
        <f t="shared" si="65"/>
        <v>0.56012699642462649</v>
      </c>
      <c r="J502" s="7">
        <f t="shared" si="66"/>
        <v>0.2030332385522271</v>
      </c>
      <c r="K502" s="7">
        <f t="shared" si="69"/>
        <v>8.0101892041712919E-3</v>
      </c>
      <c r="L502" s="7">
        <f t="shared" si="70"/>
        <v>3.8703561389842989E-2</v>
      </c>
      <c r="M502" s="7">
        <f t="shared" si="71"/>
        <v>1.0167880713330746E-2</v>
      </c>
      <c r="N502" s="7">
        <f t="shared" si="67"/>
        <v>0.92771589434419521</v>
      </c>
      <c r="O502" s="7">
        <f t="shared" si="68"/>
        <v>7.2284105655804787E-2</v>
      </c>
    </row>
    <row r="503" spans="1:15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4">
        <f>IF(SUMIFS('Daily NSE Equity Cash'!$H:$H,'Daily NSE Equity Cash'!$A:$A,$A503)=0,"",SUMIFS('Daily NSE Equity Cash'!$H:$H,'Daily NSE Equity Cash'!$A:$A,$A503))</f>
        <v>793.73310000000004</v>
      </c>
      <c r="F503" s="4">
        <f>IF(SUMIFS('Daily BSE Equity Cash'!$H:$H,'Daily BSE Equity Cash'!$A:$A,$A503)=0,"",SUMIFS('Daily BSE Equity Cash'!$H:$H,'Daily BSE Equity Cash'!$A:$A,$A503))</f>
        <v>88.913300000000007</v>
      </c>
      <c r="G503" s="4">
        <f t="shared" si="63"/>
        <v>882.64640000000009</v>
      </c>
      <c r="H503" s="7">
        <f t="shared" si="64"/>
        <v>9.7073326141447147E-2</v>
      </c>
      <c r="I503" s="7">
        <f t="shared" si="65"/>
        <v>1.0868727409285079</v>
      </c>
      <c r="J503" s="7">
        <f t="shared" si="66"/>
        <v>0.15211971181552442</v>
      </c>
      <c r="K503" s="7">
        <f t="shared" si="69"/>
        <v>3.7559607843137277E-2</v>
      </c>
      <c r="L503" s="7">
        <f t="shared" si="70"/>
        <v>0.49168622569242326</v>
      </c>
      <c r="M503" s="7">
        <f t="shared" si="71"/>
        <v>7.0385744268868455E-2</v>
      </c>
      <c r="N503" s="7">
        <f t="shared" si="67"/>
        <v>0.89926509641913221</v>
      </c>
      <c r="O503" s="7">
        <f t="shared" si="68"/>
        <v>0.10073490358086772</v>
      </c>
    </row>
    <row r="504" spans="1:15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4">
        <f>IF(SUMIFS('Daily NSE Equity Cash'!$H:$H,'Daily NSE Equity Cash'!$A:$A,$A504)=0,"",SUMIFS('Daily NSE Equity Cash'!$H:$H,'Daily NSE Equity Cash'!$A:$A,$A504))</f>
        <v>708.93140000000005</v>
      </c>
      <c r="F504" s="4">
        <f>IF(SUMIFS('Daily BSE Equity Cash'!$H:$H,'Daily BSE Equity Cash'!$A:$A,$A504)=0,"",SUMIFS('Daily BSE Equity Cash'!$H:$H,'Daily BSE Equity Cash'!$A:$A,$A504))</f>
        <v>66.938900000000004</v>
      </c>
      <c r="G504" s="4">
        <f t="shared" si="63"/>
        <v>775.87030000000004</v>
      </c>
      <c r="H504" s="7">
        <f t="shared" si="64"/>
        <v>-1.0775221219180509E-2</v>
      </c>
      <c r="I504" s="7">
        <f t="shared" si="65"/>
        <v>4.0910928655843781E-2</v>
      </c>
      <c r="J504" s="7">
        <f t="shared" si="66"/>
        <v>-6.5191433892707318E-3</v>
      </c>
      <c r="K504" s="7">
        <f t="shared" si="69"/>
        <v>-0.10683906214822081</v>
      </c>
      <c r="L504" s="7">
        <f t="shared" si="70"/>
        <v>-0.24714412804383601</v>
      </c>
      <c r="M504" s="7">
        <f t="shared" si="71"/>
        <v>-0.12097267943312295</v>
      </c>
      <c r="N504" s="7">
        <f t="shared" si="67"/>
        <v>0.91372411084687744</v>
      </c>
      <c r="O504" s="7">
        <f t="shared" si="68"/>
        <v>8.6275889153122634E-2</v>
      </c>
    </row>
    <row r="505" spans="1:15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4">
        <f>IF(SUMIFS('Daily NSE Equity Cash'!$H:$H,'Daily NSE Equity Cash'!$A:$A,$A505)=0,"",SUMIFS('Daily NSE Equity Cash'!$H:$H,'Daily NSE Equity Cash'!$A:$A,$A505))</f>
        <v>637.54960000000005</v>
      </c>
      <c r="F505" s="4">
        <f>IF(SUMIFS('Daily BSE Equity Cash'!$H:$H,'Daily BSE Equity Cash'!$A:$A,$A505)=0,"",SUMIFS('Daily BSE Equity Cash'!$H:$H,'Daily BSE Equity Cash'!$A:$A,$A505))</f>
        <v>52.275500000000001</v>
      </c>
      <c r="G505" s="4">
        <f t="shared" si="63"/>
        <v>689.82510000000002</v>
      </c>
      <c r="H505" s="7" t="str">
        <f t="shared" si="64"/>
        <v/>
      </c>
      <c r="I505" s="7" t="str">
        <f t="shared" si="65"/>
        <v/>
      </c>
      <c r="J505" s="7" t="str">
        <f t="shared" si="66"/>
        <v/>
      </c>
      <c r="K505" s="7">
        <f t="shared" si="69"/>
        <v>-0.10068929095255197</v>
      </c>
      <c r="L505" s="7">
        <f t="shared" si="70"/>
        <v>-0.21905648285227275</v>
      </c>
      <c r="M505" s="7">
        <f t="shared" si="71"/>
        <v>-0.11090152568025868</v>
      </c>
      <c r="N505" s="7">
        <f t="shared" si="67"/>
        <v>0.92421919701095256</v>
      </c>
      <c r="O505" s="7">
        <f t="shared" si="68"/>
        <v>7.5780802989047519E-2</v>
      </c>
    </row>
    <row r="506" spans="1:15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4">
        <f>IF(SUMIFS('Daily NSE Equity Cash'!$H:$H,'Daily NSE Equity Cash'!$A:$A,$A506)=0,"",SUMIFS('Daily NSE Equity Cash'!$H:$H,'Daily NSE Equity Cash'!$A:$A,$A506))</f>
        <v>688.6902</v>
      </c>
      <c r="F506" s="4">
        <f>IF(SUMIFS('Daily BSE Equity Cash'!$H:$H,'Daily BSE Equity Cash'!$A:$A,$A506)=0,"",SUMIFS('Daily BSE Equity Cash'!$H:$H,'Daily BSE Equity Cash'!$A:$A,$A506))</f>
        <v>52.099200000000003</v>
      </c>
      <c r="G506" s="4">
        <f t="shared" si="63"/>
        <v>740.7894</v>
      </c>
      <c r="H506" s="7">
        <f t="shared" si="64"/>
        <v>-0.18041093568960709</v>
      </c>
      <c r="I506" s="7">
        <f t="shared" si="65"/>
        <v>-9.8653149139728114E-2</v>
      </c>
      <c r="J506" s="7">
        <f t="shared" si="66"/>
        <v>-0.17514895800381414</v>
      </c>
      <c r="K506" s="7">
        <f t="shared" si="69"/>
        <v>8.0214308031876902E-2</v>
      </c>
      <c r="L506" s="7">
        <f t="shared" si="70"/>
        <v>-3.3725167621543317E-3</v>
      </c>
      <c r="M506" s="7">
        <f t="shared" si="71"/>
        <v>7.3880031329680573E-2</v>
      </c>
      <c r="N506" s="7">
        <f t="shared" si="67"/>
        <v>0.92967069993172147</v>
      </c>
      <c r="O506" s="7">
        <f t="shared" si="68"/>
        <v>7.0329300068278519E-2</v>
      </c>
    </row>
    <row r="507" spans="1:15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4">
        <f>IF(SUMIFS('Daily NSE Equity Cash'!$H:$H,'Daily NSE Equity Cash'!$A:$A,$A507)=0,"",SUMIFS('Daily NSE Equity Cash'!$H:$H,'Daily NSE Equity Cash'!$A:$A,$A507))</f>
        <v>565.80430000000001</v>
      </c>
      <c r="F507" s="4">
        <f>IF(SUMIFS('Daily BSE Equity Cash'!$H:$H,'Daily BSE Equity Cash'!$A:$A,$A507)=0,"",SUMIFS('Daily BSE Equity Cash'!$H:$H,'Daily BSE Equity Cash'!$A:$A,$A507))</f>
        <v>41.993600000000001</v>
      </c>
      <c r="G507" s="4">
        <f t="shared" si="63"/>
        <v>607.79790000000003</v>
      </c>
      <c r="H507" s="7">
        <f t="shared" si="64"/>
        <v>-0.22146818865864726</v>
      </c>
      <c r="I507" s="7">
        <f t="shared" si="65"/>
        <v>5.1664638147185471E-2</v>
      </c>
      <c r="J507" s="7">
        <f t="shared" si="66"/>
        <v>-0.20724291358409219</v>
      </c>
      <c r="K507" s="7">
        <f t="shared" si="69"/>
        <v>-0.17843422194769143</v>
      </c>
      <c r="L507" s="7">
        <f t="shared" si="70"/>
        <v>-0.19396842945765003</v>
      </c>
      <c r="M507" s="7">
        <f t="shared" si="71"/>
        <v>-0.17952673188898216</v>
      </c>
      <c r="N507" s="7">
        <f t="shared" si="67"/>
        <v>0.93090861287937976</v>
      </c>
      <c r="O507" s="7">
        <f t="shared" si="68"/>
        <v>6.9091387120620185E-2</v>
      </c>
    </row>
    <row r="508" spans="1:15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4">
        <f>IF(SUMIFS('Daily NSE Equity Cash'!$H:$H,'Daily NSE Equity Cash'!$A:$A,$A508)=0,"",SUMIFS('Daily NSE Equity Cash'!$H:$H,'Daily NSE Equity Cash'!$A:$A,$A508))</f>
        <v>713.33939999999996</v>
      </c>
      <c r="F508" s="4">
        <f>IF(SUMIFS('Daily BSE Equity Cash'!$H:$H,'Daily BSE Equity Cash'!$A:$A,$A508)=0,"",SUMIFS('Daily BSE Equity Cash'!$H:$H,'Daily BSE Equity Cash'!$A:$A,$A508))</f>
        <v>52.024900000000002</v>
      </c>
      <c r="G508" s="4">
        <f t="shared" si="63"/>
        <v>765.36429999999996</v>
      </c>
      <c r="H508" s="7" t="str">
        <f t="shared" si="64"/>
        <v/>
      </c>
      <c r="I508" s="7" t="str">
        <f t="shared" si="65"/>
        <v/>
      </c>
      <c r="J508" s="7" t="str">
        <f t="shared" si="66"/>
        <v/>
      </c>
      <c r="K508" s="7">
        <f t="shared" si="69"/>
        <v>0.26075287868968111</v>
      </c>
      <c r="L508" s="7">
        <f t="shared" si="70"/>
        <v>0.23887687647641553</v>
      </c>
      <c r="M508" s="7">
        <f t="shared" si="71"/>
        <v>0.25924143535211286</v>
      </c>
      <c r="N508" s="7">
        <f t="shared" si="67"/>
        <v>0.93202596462887022</v>
      </c>
      <c r="O508" s="7">
        <f t="shared" si="68"/>
        <v>6.797403537112981E-2</v>
      </c>
    </row>
    <row r="509" spans="1:15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4">
        <f>IF(SUMIFS('Daily NSE Equity Cash'!$H:$H,'Daily NSE Equity Cash'!$A:$A,$A509)=0,"",SUMIFS('Daily NSE Equity Cash'!$H:$H,'Daily NSE Equity Cash'!$A:$A,$A509))</f>
        <v>796.03449999999998</v>
      </c>
      <c r="F509" s="4">
        <f>IF(SUMIFS('Daily BSE Equity Cash'!$H:$H,'Daily BSE Equity Cash'!$A:$A,$A509)=0,"",SUMIFS('Daily BSE Equity Cash'!$H:$H,'Daily BSE Equity Cash'!$A:$A,$A509))</f>
        <v>54.784100000000002</v>
      </c>
      <c r="G509" s="4">
        <f t="shared" si="63"/>
        <v>850.81859999999995</v>
      </c>
      <c r="H509" s="7">
        <f t="shared" si="64"/>
        <v>0.16886556088358295</v>
      </c>
      <c r="I509" s="7">
        <f t="shared" si="65"/>
        <v>0.40132499456445303</v>
      </c>
      <c r="J509" s="7">
        <f t="shared" si="66"/>
        <v>0.18148541186253175</v>
      </c>
      <c r="K509" s="7">
        <f t="shared" si="69"/>
        <v>0.1159267243615032</v>
      </c>
      <c r="L509" s="7">
        <f t="shared" si="70"/>
        <v>5.3036142308779066E-2</v>
      </c>
      <c r="M509" s="7">
        <f t="shared" si="71"/>
        <v>0.11165179771254019</v>
      </c>
      <c r="N509" s="7">
        <f t="shared" si="67"/>
        <v>0.93561012888058637</v>
      </c>
      <c r="O509" s="7">
        <f t="shared" si="68"/>
        <v>6.4389871119413716E-2</v>
      </c>
    </row>
    <row r="510" spans="1:15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4">
        <f>IF(SUMIFS('Daily NSE Equity Cash'!$H:$H,'Daily NSE Equity Cash'!$A:$A,$A510)=0,"",SUMIFS('Daily NSE Equity Cash'!$H:$H,'Daily NSE Equity Cash'!$A:$A,$A510))</f>
        <v>623.9982</v>
      </c>
      <c r="F510" s="4">
        <f>IF(SUMIFS('Daily BSE Equity Cash'!$H:$H,'Daily BSE Equity Cash'!$A:$A,$A510)=0,"",SUMIFS('Daily BSE Equity Cash'!$H:$H,'Daily BSE Equity Cash'!$A:$A,$A510))</f>
        <v>43.138100000000001</v>
      </c>
      <c r="G510" s="4">
        <f t="shared" si="63"/>
        <v>667.13630000000001</v>
      </c>
      <c r="H510" s="7">
        <f t="shared" si="64"/>
        <v>-0.10780059056908187</v>
      </c>
      <c r="I510" s="7">
        <f t="shared" si="65"/>
        <v>9.6464673422650637E-2</v>
      </c>
      <c r="J510" s="7">
        <f t="shared" si="66"/>
        <v>-9.6922026688556207E-2</v>
      </c>
      <c r="K510" s="7">
        <f t="shared" si="69"/>
        <v>-0.21611663816078319</v>
      </c>
      <c r="L510" s="7">
        <f t="shared" si="70"/>
        <v>-0.21257992738769094</v>
      </c>
      <c r="M510" s="7">
        <f t="shared" si="71"/>
        <v>-0.21588890980991715</v>
      </c>
      <c r="N510" s="7">
        <f t="shared" si="67"/>
        <v>0.93533840086351172</v>
      </c>
      <c r="O510" s="7">
        <f t="shared" si="68"/>
        <v>6.4661599136488307E-2</v>
      </c>
    </row>
    <row r="511" spans="1:15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4">
        <f>IF(SUMIFS('Daily NSE Equity Cash'!$H:$H,'Daily NSE Equity Cash'!$A:$A,$A511)=0,"",SUMIFS('Daily NSE Equity Cash'!$H:$H,'Daily NSE Equity Cash'!$A:$A,$A511))</f>
        <v>627.88940000000002</v>
      </c>
      <c r="F511" s="4">
        <f>IF(SUMIFS('Daily BSE Equity Cash'!$H:$H,'Daily BSE Equity Cash'!$A:$A,$A511)=0,"",SUMIFS('Daily BSE Equity Cash'!$H:$H,'Daily BSE Equity Cash'!$A:$A,$A511))</f>
        <v>61.560499999999998</v>
      </c>
      <c r="G511" s="4">
        <f t="shared" si="63"/>
        <v>689.44990000000007</v>
      </c>
      <c r="H511" s="7" t="str">
        <f t="shared" si="64"/>
        <v/>
      </c>
      <c r="I511" s="7" t="str">
        <f t="shared" si="65"/>
        <v/>
      </c>
      <c r="J511" s="7" t="str">
        <f t="shared" si="66"/>
        <v/>
      </c>
      <c r="K511" s="7">
        <f t="shared" si="69"/>
        <v>6.2359154241149461E-3</v>
      </c>
      <c r="L511" s="7">
        <f t="shared" si="70"/>
        <v>0.42705636085038501</v>
      </c>
      <c r="M511" s="7">
        <f t="shared" si="71"/>
        <v>3.3446838374707077E-2</v>
      </c>
      <c r="N511" s="7">
        <f t="shared" si="67"/>
        <v>0.91071069848585073</v>
      </c>
      <c r="O511" s="7">
        <f t="shared" si="68"/>
        <v>8.9289301514149169E-2</v>
      </c>
    </row>
    <row r="512" spans="1:15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4">
        <f>IF(SUMIFS('Daily NSE Equity Cash'!$H:$H,'Daily NSE Equity Cash'!$A:$A,$A512)=0,"",SUMIFS('Daily NSE Equity Cash'!$H:$H,'Daily NSE Equity Cash'!$A:$A,$A512))</f>
        <v>642.95640000000003</v>
      </c>
      <c r="F512" s="4">
        <f>IF(SUMIFS('Daily BSE Equity Cash'!$H:$H,'Daily BSE Equity Cash'!$A:$A,$A512)=0,"",SUMIFS('Daily BSE Equity Cash'!$H:$H,'Daily BSE Equity Cash'!$A:$A,$A512))</f>
        <v>51.656599999999997</v>
      </c>
      <c r="G512" s="4">
        <f t="shared" si="63"/>
        <v>694.61300000000006</v>
      </c>
      <c r="H512" s="7">
        <f t="shared" si="64"/>
        <v>-9.1246841585950977E-2</v>
      </c>
      <c r="I512" s="7">
        <f t="shared" si="65"/>
        <v>4.2411547596705734E-2</v>
      </c>
      <c r="J512" s="7">
        <f t="shared" si="66"/>
        <v>-8.2498073493355473E-2</v>
      </c>
      <c r="K512" s="7">
        <f t="shared" si="69"/>
        <v>2.3996264310243154E-2</v>
      </c>
      <c r="L512" s="7">
        <f t="shared" si="70"/>
        <v>-0.1608807595779761</v>
      </c>
      <c r="M512" s="7">
        <f t="shared" si="71"/>
        <v>7.4887239812493345E-3</v>
      </c>
      <c r="N512" s="7">
        <f t="shared" si="67"/>
        <v>0.92563254646832116</v>
      </c>
      <c r="O512" s="7">
        <f t="shared" si="68"/>
        <v>7.4367453531678784E-2</v>
      </c>
    </row>
    <row r="513" spans="1:15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4">
        <f>IF(SUMIFS('Daily NSE Equity Cash'!$H:$H,'Daily NSE Equity Cash'!$A:$A,$A513)=0,"",SUMIFS('Daily NSE Equity Cash'!$H:$H,'Daily NSE Equity Cash'!$A:$A,$A513))</f>
        <v>584.72019999999998</v>
      </c>
      <c r="F513" s="4">
        <f>IF(SUMIFS('Daily BSE Equity Cash'!$H:$H,'Daily BSE Equity Cash'!$A:$A,$A513)=0,"",SUMIFS('Daily BSE Equity Cash'!$H:$H,'Daily BSE Equity Cash'!$A:$A,$A513))</f>
        <v>42.731900000000003</v>
      </c>
      <c r="G513" s="4">
        <f t="shared" si="63"/>
        <v>627.45209999999997</v>
      </c>
      <c r="H513" s="7" t="str">
        <f t="shared" si="64"/>
        <v/>
      </c>
      <c r="I513" s="7" t="str">
        <f t="shared" si="65"/>
        <v/>
      </c>
      <c r="J513" s="7" t="str">
        <f t="shared" si="66"/>
        <v/>
      </c>
      <c r="K513" s="7">
        <f t="shared" si="69"/>
        <v>-9.0575659562608046E-2</v>
      </c>
      <c r="L513" s="7">
        <f t="shared" si="70"/>
        <v>-0.17276979127546133</v>
      </c>
      <c r="M513" s="7">
        <f t="shared" si="71"/>
        <v>-9.6688227833340412E-2</v>
      </c>
      <c r="N513" s="7">
        <f t="shared" si="67"/>
        <v>0.93189615589779684</v>
      </c>
      <c r="O513" s="7">
        <f t="shared" si="68"/>
        <v>6.8103844102203187E-2</v>
      </c>
    </row>
    <row r="514" spans="1:15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4">
        <f>IF(SUMIFS('Daily NSE Equity Cash'!$H:$H,'Daily NSE Equity Cash'!$A:$A,$A514)=0,"",SUMIFS('Daily NSE Equity Cash'!$H:$H,'Daily NSE Equity Cash'!$A:$A,$A514))</f>
        <v>574.03970000000004</v>
      </c>
      <c r="F514" s="4">
        <f>IF(SUMIFS('Daily BSE Equity Cash'!$H:$H,'Daily BSE Equity Cash'!$A:$A,$A514)=0,"",SUMIFS('Daily BSE Equity Cash'!$H:$H,'Daily BSE Equity Cash'!$A:$A,$A514))</f>
        <v>41.141300000000001</v>
      </c>
      <c r="G514" s="4">
        <f t="shared" ref="G514:G577" si="72">IF(OR(E514="",F514=""),"",E514+F514)</f>
        <v>615.18100000000004</v>
      </c>
      <c r="H514" s="7">
        <f t="shared" ref="H514:H577" si="73">IFERROR(IF(OR(E514="",INDEX(E:E,MATCH(DATE(YEAR($A514)-1,MONTH($A514),DAY($A514)),$A:$A,0))=""),"",E514/INDEX(E:E,MATCH(DATE(YEAR($A514)-1,MONTH($A514),DAY($A514)),$A:$A,0))-1),"")</f>
        <v>-0.10542422945185459</v>
      </c>
      <c r="I514" s="7">
        <f t="shared" ref="I514:I577" si="74">IFERROR(IF(OR(F514="",INDEX(F:F,MATCH(DATE(YEAR($A514)-1,MONTH($A514),DAY($A514)),$A:$A,0))=""),"",F514/INDEX(F:F,MATCH(DATE(YEAR($A514)-1,MONTH($A514),DAY($A514)),$A:$A,0))-1),"")</f>
        <v>1.9413843172819245E-2</v>
      </c>
      <c r="J514" s="7">
        <f t="shared" ref="J514:J577" si="75">IFERROR(IF(OR(G514="",INDEX(G:G,MATCH(DATE(YEAR($A514)-1,MONTH($A514),DAY($A514)),$A:$A,0))=""),"",G514/INDEX(G:G,MATCH(DATE(YEAR($A514)-1,MONTH($A514),DAY($A514)),$A:$A,0))-1),"")</f>
        <v>-9.8037364281733597E-2</v>
      </c>
      <c r="K514" s="7">
        <f t="shared" si="69"/>
        <v>-1.8266001414009581E-2</v>
      </c>
      <c r="L514" s="7">
        <f t="shared" si="70"/>
        <v>-3.7222777363047355E-2</v>
      </c>
      <c r="M514" s="7">
        <f t="shared" si="71"/>
        <v>-1.9557030727923141E-2</v>
      </c>
      <c r="N514" s="7">
        <f t="shared" ref="N514:N577" si="76">IF(G514="","",E514/G514)</f>
        <v>0.93312325965853948</v>
      </c>
      <c r="O514" s="7">
        <f t="shared" ref="O514:O577" si="77">IF(G514="","",F514/G514)</f>
        <v>6.6876740341460475E-2</v>
      </c>
    </row>
    <row r="515" spans="1:15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4">
        <f>IF(SUMIFS('Daily NSE Equity Cash'!$H:$H,'Daily NSE Equity Cash'!$A:$A,$A515)=0,"",SUMIFS('Daily NSE Equity Cash'!$H:$H,'Daily NSE Equity Cash'!$A:$A,$A515))</f>
        <v>649.62919999999997</v>
      </c>
      <c r="F515" s="4">
        <f>IF(SUMIFS('Daily BSE Equity Cash'!$H:$H,'Daily BSE Equity Cash'!$A:$A,$A515)=0,"",SUMIFS('Daily BSE Equity Cash'!$H:$H,'Daily BSE Equity Cash'!$A:$A,$A515))</f>
        <v>49.467700000000001</v>
      </c>
      <c r="G515" s="4">
        <f t="shared" si="72"/>
        <v>699.09690000000001</v>
      </c>
      <c r="H515" s="7">
        <f t="shared" si="73"/>
        <v>-4.0248099514545999E-3</v>
      </c>
      <c r="I515" s="7">
        <f t="shared" si="74"/>
        <v>0.32292753111578221</v>
      </c>
      <c r="J515" s="7">
        <f t="shared" si="75"/>
        <v>1.3702517374830858E-2</v>
      </c>
      <c r="K515" s="7">
        <f t="shared" ref="K515:K578" si="78">IF(OR(E515="",E514=""),"",E515/E514-1)</f>
        <v>0.13167991691167003</v>
      </c>
      <c r="L515" s="7">
        <f t="shared" ref="L515:L578" si="79">IF(OR(F515="",F514=""),"",F515/F514-1)</f>
        <v>0.20238543750440563</v>
      </c>
      <c r="M515" s="7">
        <f t="shared" ref="M515:M578" si="80">IF(OR(G515="",G514=""),"",G515/G514-1)</f>
        <v>0.13640847165305825</v>
      </c>
      <c r="N515" s="7">
        <f t="shared" si="76"/>
        <v>0.92924056736626925</v>
      </c>
      <c r="O515" s="7">
        <f t="shared" si="77"/>
        <v>7.0759432633730746E-2</v>
      </c>
    </row>
    <row r="516" spans="1:15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4">
        <f>IF(SUMIFS('Daily NSE Equity Cash'!$H:$H,'Daily NSE Equity Cash'!$A:$A,$A516)=0,"",SUMIFS('Daily NSE Equity Cash'!$H:$H,'Daily NSE Equity Cash'!$A:$A,$A516))</f>
        <v>670.21360000000004</v>
      </c>
      <c r="F516" s="4">
        <f>IF(SUMIFS('Daily BSE Equity Cash'!$H:$H,'Daily BSE Equity Cash'!$A:$A,$A516)=0,"",SUMIFS('Daily BSE Equity Cash'!$H:$H,'Daily BSE Equity Cash'!$A:$A,$A516))</f>
        <v>42.1432</v>
      </c>
      <c r="G516" s="4">
        <f t="shared" si="72"/>
        <v>712.35680000000002</v>
      </c>
      <c r="H516" s="7">
        <f t="shared" si="73"/>
        <v>-9.6250838567002672E-2</v>
      </c>
      <c r="I516" s="7">
        <f t="shared" si="74"/>
        <v>-7.207701131962474E-2</v>
      </c>
      <c r="J516" s="7">
        <f t="shared" si="75"/>
        <v>-9.4855816170890894E-2</v>
      </c>
      <c r="K516" s="7">
        <f t="shared" si="78"/>
        <v>3.1686383555419084E-2</v>
      </c>
      <c r="L516" s="7">
        <f t="shared" si="79"/>
        <v>-0.14806631397861636</v>
      </c>
      <c r="M516" s="7">
        <f t="shared" si="80"/>
        <v>1.8967184663527981E-2</v>
      </c>
      <c r="N516" s="7">
        <f t="shared" si="76"/>
        <v>0.94083975895225547</v>
      </c>
      <c r="O516" s="7">
        <f t="shared" si="77"/>
        <v>5.9160241047744609E-2</v>
      </c>
    </row>
    <row r="517" spans="1:15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4">
        <f>IF(SUMIFS('Daily NSE Equity Cash'!$H:$H,'Daily NSE Equity Cash'!$A:$A,$A517)=0,"",SUMIFS('Daily NSE Equity Cash'!$H:$H,'Daily NSE Equity Cash'!$A:$A,$A517))</f>
        <v>693.12549999999999</v>
      </c>
      <c r="F517" s="4">
        <f>IF(SUMIFS('Daily BSE Equity Cash'!$H:$H,'Daily BSE Equity Cash'!$A:$A,$A517)=0,"",SUMIFS('Daily BSE Equity Cash'!$H:$H,'Daily BSE Equity Cash'!$A:$A,$A517))</f>
        <v>45.854399999999998</v>
      </c>
      <c r="G517" s="4">
        <f t="shared" si="72"/>
        <v>738.97990000000004</v>
      </c>
      <c r="H517" s="7">
        <f t="shared" si="73"/>
        <v>-8.5674225483357347E-2</v>
      </c>
      <c r="I517" s="7">
        <f t="shared" si="74"/>
        <v>-1.008699213737585E-3</v>
      </c>
      <c r="J517" s="7">
        <f t="shared" si="75"/>
        <v>-8.0840475463432537E-2</v>
      </c>
      <c r="K517" s="7">
        <f t="shared" si="78"/>
        <v>3.4185966981272742E-2</v>
      </c>
      <c r="L517" s="7">
        <f t="shared" si="79"/>
        <v>8.8061656447540715E-2</v>
      </c>
      <c r="M517" s="7">
        <f t="shared" si="80"/>
        <v>3.7373265756710738E-2</v>
      </c>
      <c r="N517" s="7">
        <f t="shared" si="76"/>
        <v>0.93794905653049554</v>
      </c>
      <c r="O517" s="7">
        <f t="shared" si="77"/>
        <v>6.2050943469504377E-2</v>
      </c>
    </row>
    <row r="518" spans="1:15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4">
        <f>IF(SUMIFS('Daily NSE Equity Cash'!$H:$H,'Daily NSE Equity Cash'!$A:$A,$A518)=0,"",SUMIFS('Daily NSE Equity Cash'!$H:$H,'Daily NSE Equity Cash'!$A:$A,$A518))</f>
        <v>527.29629999999997</v>
      </c>
      <c r="F518" s="4">
        <f>IF(SUMIFS('Daily BSE Equity Cash'!$H:$H,'Daily BSE Equity Cash'!$A:$A,$A518)=0,"",SUMIFS('Daily BSE Equity Cash'!$H:$H,'Daily BSE Equity Cash'!$A:$A,$A518))</f>
        <v>38.865099999999998</v>
      </c>
      <c r="G518" s="4">
        <f t="shared" si="72"/>
        <v>566.16139999999996</v>
      </c>
      <c r="H518" s="7" t="str">
        <f t="shared" si="73"/>
        <v/>
      </c>
      <c r="I518" s="7" t="str">
        <f t="shared" si="74"/>
        <v/>
      </c>
      <c r="J518" s="7" t="str">
        <f t="shared" si="75"/>
        <v/>
      </c>
      <c r="K518" s="7">
        <f t="shared" si="78"/>
        <v>-0.23924844779192223</v>
      </c>
      <c r="L518" s="7">
        <f t="shared" si="79"/>
        <v>-0.15242375867964686</v>
      </c>
      <c r="M518" s="7">
        <f t="shared" si="80"/>
        <v>-0.23386089391605924</v>
      </c>
      <c r="N518" s="7">
        <f t="shared" si="76"/>
        <v>0.93135332080215993</v>
      </c>
      <c r="O518" s="7">
        <f t="shared" si="77"/>
        <v>6.8646679197840052E-2</v>
      </c>
    </row>
    <row r="519" spans="1:15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4">
        <f>IF(SUMIFS('Daily NSE Equity Cash'!$H:$H,'Daily NSE Equity Cash'!$A:$A,$A519)=0,"",SUMIFS('Daily NSE Equity Cash'!$H:$H,'Daily NSE Equity Cash'!$A:$A,$A519))</f>
        <v>616.65959999999995</v>
      </c>
      <c r="F519" s="4">
        <f>IF(SUMIFS('Daily BSE Equity Cash'!$H:$H,'Daily BSE Equity Cash'!$A:$A,$A519)=0,"",SUMIFS('Daily BSE Equity Cash'!$H:$H,'Daily BSE Equity Cash'!$A:$A,$A519))</f>
        <v>137.02500000000001</v>
      </c>
      <c r="G519" s="4">
        <f t="shared" si="72"/>
        <v>753.68459999999993</v>
      </c>
      <c r="H519" s="7">
        <f t="shared" si="73"/>
        <v>-0.2183208096328656</v>
      </c>
      <c r="I519" s="7">
        <f t="shared" si="74"/>
        <v>1.2977239914077447</v>
      </c>
      <c r="J519" s="7">
        <f t="shared" si="75"/>
        <v>-0.11177194334646201</v>
      </c>
      <c r="K519" s="7">
        <f t="shared" si="78"/>
        <v>0.16947454400874795</v>
      </c>
      <c r="L519" s="7">
        <f t="shared" si="79"/>
        <v>2.525656694566591</v>
      </c>
      <c r="M519" s="7">
        <f t="shared" si="80"/>
        <v>0.331218624229769</v>
      </c>
      <c r="N519" s="7">
        <f t="shared" si="76"/>
        <v>0.81819318054263013</v>
      </c>
      <c r="O519" s="7">
        <f t="shared" si="77"/>
        <v>0.18180681945736984</v>
      </c>
    </row>
    <row r="520" spans="1:15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4">
        <f>IF(SUMIFS('Daily NSE Equity Cash'!$H:$H,'Daily NSE Equity Cash'!$A:$A,$A520)=0,"",SUMIFS('Daily NSE Equity Cash'!$H:$H,'Daily NSE Equity Cash'!$A:$A,$A520))</f>
        <v>521.7192</v>
      </c>
      <c r="F520" s="4">
        <f>IF(SUMIFS('Daily BSE Equity Cash'!$H:$H,'Daily BSE Equity Cash'!$A:$A,$A520)=0,"",SUMIFS('Daily BSE Equity Cash'!$H:$H,'Daily BSE Equity Cash'!$A:$A,$A520))</f>
        <v>40.745600000000003</v>
      </c>
      <c r="G520" s="4">
        <f t="shared" si="72"/>
        <v>562.46479999999997</v>
      </c>
      <c r="H520" s="7">
        <f t="shared" si="73"/>
        <v>-0.25118282063897857</v>
      </c>
      <c r="I520" s="7">
        <f t="shared" si="74"/>
        <v>-8.3031207311337063E-2</v>
      </c>
      <c r="J520" s="7">
        <f t="shared" si="75"/>
        <v>-0.24110154426948582</v>
      </c>
      <c r="K520" s="7">
        <f t="shared" si="78"/>
        <v>-0.15395916969426882</v>
      </c>
      <c r="L520" s="7">
        <f t="shared" si="79"/>
        <v>-0.70264112388250322</v>
      </c>
      <c r="M520" s="7">
        <f t="shared" si="80"/>
        <v>-0.25371329067888604</v>
      </c>
      <c r="N520" s="7">
        <f t="shared" si="76"/>
        <v>0.92755884457125148</v>
      </c>
      <c r="O520" s="7">
        <f t="shared" si="77"/>
        <v>7.2441155428748613E-2</v>
      </c>
    </row>
    <row r="521" spans="1:15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4">
        <f>IF(SUMIFS('Daily NSE Equity Cash'!$H:$H,'Daily NSE Equity Cash'!$A:$A,$A521)=0,"",SUMIFS('Daily NSE Equity Cash'!$H:$H,'Daily NSE Equity Cash'!$A:$A,$A521))</f>
        <v>598.20169999999996</v>
      </c>
      <c r="F521" s="4">
        <f>IF(SUMIFS('Daily BSE Equity Cash'!$H:$H,'Daily BSE Equity Cash'!$A:$A,$A521)=0,"",SUMIFS('Daily BSE Equity Cash'!$H:$H,'Daily BSE Equity Cash'!$A:$A,$A521))</f>
        <v>43.7378</v>
      </c>
      <c r="G521" s="4">
        <f t="shared" si="72"/>
        <v>641.93949999999995</v>
      </c>
      <c r="H521" s="7">
        <f t="shared" si="73"/>
        <v>-0.17875699417127811</v>
      </c>
      <c r="I521" s="7">
        <f t="shared" si="74"/>
        <v>-5.4485475007674311E-2</v>
      </c>
      <c r="J521" s="7">
        <f t="shared" si="75"/>
        <v>-0.17133629967819786</v>
      </c>
      <c r="K521" s="7">
        <f t="shared" si="78"/>
        <v>0.14659705834096193</v>
      </c>
      <c r="L521" s="7">
        <f t="shared" si="79"/>
        <v>7.3436150160998803E-2</v>
      </c>
      <c r="M521" s="7">
        <f t="shared" si="80"/>
        <v>0.14129719762018889</v>
      </c>
      <c r="N521" s="7">
        <f t="shared" si="76"/>
        <v>0.93186616495791275</v>
      </c>
      <c r="O521" s="7">
        <f t="shared" si="77"/>
        <v>6.813383504208731E-2</v>
      </c>
    </row>
    <row r="522" spans="1:15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4">
        <f>IF(SUMIFS('Daily NSE Equity Cash'!$H:$H,'Daily NSE Equity Cash'!$A:$A,$A522)=0,"",SUMIFS('Daily NSE Equity Cash'!$H:$H,'Daily NSE Equity Cash'!$A:$A,$A522))</f>
        <v>558.53729999999996</v>
      </c>
      <c r="F522" s="4">
        <f>IF(SUMIFS('Daily BSE Equity Cash'!$H:$H,'Daily BSE Equity Cash'!$A:$A,$A522)=0,"",SUMIFS('Daily BSE Equity Cash'!$H:$H,'Daily BSE Equity Cash'!$A:$A,$A522))</f>
        <v>41.8367</v>
      </c>
      <c r="G522" s="4">
        <f t="shared" si="72"/>
        <v>600.37399999999991</v>
      </c>
      <c r="H522" s="7" t="str">
        <f t="shared" si="73"/>
        <v/>
      </c>
      <c r="I522" s="7" t="str">
        <f t="shared" si="74"/>
        <v/>
      </c>
      <c r="J522" s="7" t="str">
        <f t="shared" si="75"/>
        <v/>
      </c>
      <c r="K522" s="7">
        <f t="shared" si="78"/>
        <v>-6.6306063657124326E-2</v>
      </c>
      <c r="L522" s="7">
        <f t="shared" si="79"/>
        <v>-4.3465835044286583E-2</v>
      </c>
      <c r="M522" s="7">
        <f t="shared" si="80"/>
        <v>-6.4749871288493743E-2</v>
      </c>
      <c r="N522" s="7">
        <f t="shared" si="76"/>
        <v>0.93031560327395935</v>
      </c>
      <c r="O522" s="7">
        <f t="shared" si="77"/>
        <v>6.9684396726040779E-2</v>
      </c>
    </row>
    <row r="523" spans="1:15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4">
        <f>IF(SUMIFS('Daily NSE Equity Cash'!$H:$H,'Daily NSE Equity Cash'!$A:$A,$A523)=0,"",SUMIFS('Daily NSE Equity Cash'!$H:$H,'Daily NSE Equity Cash'!$A:$A,$A523))</f>
        <v>536.09180000000003</v>
      </c>
      <c r="F523" s="4">
        <f>IF(SUMIFS('Daily BSE Equity Cash'!$H:$H,'Daily BSE Equity Cash'!$A:$A,$A523)=0,"",SUMIFS('Daily BSE Equity Cash'!$H:$H,'Daily BSE Equity Cash'!$A:$A,$A523))</f>
        <v>35.486199999999997</v>
      </c>
      <c r="G523" s="4">
        <f t="shared" si="72"/>
        <v>571.57799999999997</v>
      </c>
      <c r="H523" s="7">
        <f t="shared" si="73"/>
        <v>-0.32476783422362221</v>
      </c>
      <c r="I523" s="7">
        <f t="shared" si="74"/>
        <v>-0.44607512581325937</v>
      </c>
      <c r="J523" s="7">
        <f t="shared" si="75"/>
        <v>-0.33382533011064563</v>
      </c>
      <c r="K523" s="7">
        <f t="shared" si="78"/>
        <v>-4.0186214958248812E-2</v>
      </c>
      <c r="L523" s="7">
        <f t="shared" si="79"/>
        <v>-0.15179256490115145</v>
      </c>
      <c r="M523" s="7">
        <f t="shared" si="80"/>
        <v>-4.7963436124815462E-2</v>
      </c>
      <c r="N523" s="7">
        <f t="shared" si="76"/>
        <v>0.9379153851267894</v>
      </c>
      <c r="O523" s="7">
        <f t="shared" si="77"/>
        <v>6.2084614873210653E-2</v>
      </c>
    </row>
    <row r="524" spans="1:15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4">
        <f>IF(SUMIFS('Daily NSE Equity Cash'!$H:$H,'Daily NSE Equity Cash'!$A:$A,$A524)=0,"",SUMIFS('Daily NSE Equity Cash'!$H:$H,'Daily NSE Equity Cash'!$A:$A,$A524))</f>
        <v>606.15480000000002</v>
      </c>
      <c r="F524" s="4">
        <f>IF(SUMIFS('Daily BSE Equity Cash'!$H:$H,'Daily BSE Equity Cash'!$A:$A,$A524)=0,"",SUMIFS('Daily BSE Equity Cash'!$H:$H,'Daily BSE Equity Cash'!$A:$A,$A524))</f>
        <v>45.215200000000003</v>
      </c>
      <c r="G524" s="4">
        <f t="shared" si="72"/>
        <v>651.37</v>
      </c>
      <c r="H524" s="7">
        <f t="shared" si="73"/>
        <v>-0.26170591536779575</v>
      </c>
      <c r="I524" s="7">
        <f t="shared" si="74"/>
        <v>-0.21484349902322541</v>
      </c>
      <c r="J524" s="7">
        <f t="shared" si="75"/>
        <v>-0.25863436527972705</v>
      </c>
      <c r="K524" s="7">
        <f t="shared" si="78"/>
        <v>0.13069216876661782</v>
      </c>
      <c r="L524" s="7">
        <f t="shared" si="79"/>
        <v>0.27416291403418813</v>
      </c>
      <c r="M524" s="7">
        <f t="shared" si="80"/>
        <v>0.13959949473212752</v>
      </c>
      <c r="N524" s="7">
        <f t="shared" si="76"/>
        <v>0.9305844604449085</v>
      </c>
      <c r="O524" s="7">
        <f t="shared" si="77"/>
        <v>6.9415539555091582E-2</v>
      </c>
    </row>
    <row r="525" spans="1:15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4">
        <f>IF(SUMIFS('Daily NSE Equity Cash'!$H:$H,'Daily NSE Equity Cash'!$A:$A,$A525)=0,"",SUMIFS('Daily NSE Equity Cash'!$H:$H,'Daily NSE Equity Cash'!$A:$A,$A525))</f>
        <v>566.61919999999998</v>
      </c>
      <c r="F525" s="4">
        <f>IF(SUMIFS('Daily BSE Equity Cash'!$H:$H,'Daily BSE Equity Cash'!$A:$A,$A525)=0,"",SUMIFS('Daily BSE Equity Cash'!$H:$H,'Daily BSE Equity Cash'!$A:$A,$A525))</f>
        <v>39.728999999999999</v>
      </c>
      <c r="G525" s="4">
        <f t="shared" si="72"/>
        <v>606.34820000000002</v>
      </c>
      <c r="H525" s="7">
        <f t="shared" si="73"/>
        <v>-0.33493588088314141</v>
      </c>
      <c r="I525" s="7">
        <f t="shared" si="74"/>
        <v>-0.40358040908237947</v>
      </c>
      <c r="J525" s="7">
        <f t="shared" si="75"/>
        <v>-0.33991371334283993</v>
      </c>
      <c r="K525" s="7">
        <f t="shared" si="78"/>
        <v>-6.5223602947629966E-2</v>
      </c>
      <c r="L525" s="7">
        <f t="shared" si="79"/>
        <v>-0.12133530317238461</v>
      </c>
      <c r="M525" s="7">
        <f t="shared" si="80"/>
        <v>-6.9118626894084767E-2</v>
      </c>
      <c r="N525" s="7">
        <f t="shared" si="76"/>
        <v>0.93447824203980479</v>
      </c>
      <c r="O525" s="7">
        <f t="shared" si="77"/>
        <v>6.5521757960195146E-2</v>
      </c>
    </row>
    <row r="526" spans="1:15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4">
        <f>IF(SUMIFS('Daily NSE Equity Cash'!$H:$H,'Daily NSE Equity Cash'!$A:$A,$A526)=0,"",SUMIFS('Daily NSE Equity Cash'!$H:$H,'Daily NSE Equity Cash'!$A:$A,$A526))</f>
        <v>622.86410000000001</v>
      </c>
      <c r="F526" s="4">
        <f>IF(SUMIFS('Daily BSE Equity Cash'!$H:$H,'Daily BSE Equity Cash'!$A:$A,$A526)=0,"",SUMIFS('Daily BSE Equity Cash'!$H:$H,'Daily BSE Equity Cash'!$A:$A,$A526))</f>
        <v>40.933599999999998</v>
      </c>
      <c r="G526" s="4">
        <f t="shared" si="72"/>
        <v>663.79769999999996</v>
      </c>
      <c r="H526" s="7" t="str">
        <f t="shared" si="73"/>
        <v/>
      </c>
      <c r="I526" s="7" t="str">
        <f t="shared" si="74"/>
        <v/>
      </c>
      <c r="J526" s="7" t="str">
        <f t="shared" si="75"/>
        <v/>
      </c>
      <c r="K526" s="7">
        <f t="shared" si="78"/>
        <v>9.9264020703851985E-2</v>
      </c>
      <c r="L526" s="7">
        <f t="shared" si="79"/>
        <v>3.0320420851267293E-2</v>
      </c>
      <c r="M526" s="7">
        <f t="shared" si="80"/>
        <v>9.4746714841406288E-2</v>
      </c>
      <c r="N526" s="7">
        <f t="shared" si="76"/>
        <v>0.93833422441807202</v>
      </c>
      <c r="O526" s="7">
        <f t="shared" si="77"/>
        <v>6.1665775581928046E-2</v>
      </c>
    </row>
    <row r="527" spans="1:15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4">
        <f>IF(SUMIFS('Daily NSE Equity Cash'!$H:$H,'Daily NSE Equity Cash'!$A:$A,$A527)=0,"",SUMIFS('Daily NSE Equity Cash'!$H:$H,'Daily NSE Equity Cash'!$A:$A,$A527))</f>
        <v>468.63040000000001</v>
      </c>
      <c r="F527" s="4">
        <f>IF(SUMIFS('Daily BSE Equity Cash'!$H:$H,'Daily BSE Equity Cash'!$A:$A,$A527)=0,"",SUMIFS('Daily BSE Equity Cash'!$H:$H,'Daily BSE Equity Cash'!$A:$A,$A527))</f>
        <v>31.299800000000001</v>
      </c>
      <c r="G527" s="4">
        <f t="shared" si="72"/>
        <v>499.93020000000001</v>
      </c>
      <c r="H527" s="7" t="str">
        <f t="shared" si="73"/>
        <v/>
      </c>
      <c r="I527" s="7" t="str">
        <f t="shared" si="74"/>
        <v/>
      </c>
      <c r="J527" s="7" t="str">
        <f t="shared" si="75"/>
        <v/>
      </c>
      <c r="K527" s="7">
        <f t="shared" si="78"/>
        <v>-0.24762014699514712</v>
      </c>
      <c r="L527" s="7">
        <f t="shared" si="79"/>
        <v>-0.23535188695839104</v>
      </c>
      <c r="M527" s="7">
        <f t="shared" si="80"/>
        <v>-0.24686361522493971</v>
      </c>
      <c r="N527" s="7">
        <f t="shared" si="76"/>
        <v>0.9373916598757186</v>
      </c>
      <c r="O527" s="7">
        <f t="shared" si="77"/>
        <v>6.2608340124281348E-2</v>
      </c>
    </row>
    <row r="528" spans="1:15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4">
        <f>IF(SUMIFS('Daily NSE Equity Cash'!$H:$H,'Daily NSE Equity Cash'!$A:$A,$A528)=0,"",SUMIFS('Daily NSE Equity Cash'!$H:$H,'Daily NSE Equity Cash'!$A:$A,$A528))</f>
        <v>559.67229999999995</v>
      </c>
      <c r="F528" s="4">
        <f>IF(SUMIFS('Daily BSE Equity Cash'!$H:$H,'Daily BSE Equity Cash'!$A:$A,$A528)=0,"",SUMIFS('Daily BSE Equity Cash'!$H:$H,'Daily BSE Equity Cash'!$A:$A,$A528))</f>
        <v>37.229399999999998</v>
      </c>
      <c r="G528" s="4">
        <f t="shared" si="72"/>
        <v>596.90169999999989</v>
      </c>
      <c r="H528" s="7">
        <f t="shared" si="73"/>
        <v>-0.26402204702996435</v>
      </c>
      <c r="I528" s="7">
        <f t="shared" si="74"/>
        <v>-0.33991244789515029</v>
      </c>
      <c r="J528" s="7">
        <f t="shared" si="75"/>
        <v>-0.26926203388195469</v>
      </c>
      <c r="K528" s="7">
        <f t="shared" si="78"/>
        <v>0.19427228792669005</v>
      </c>
      <c r="L528" s="7">
        <f t="shared" si="79"/>
        <v>0.18944529996996784</v>
      </c>
      <c r="M528" s="7">
        <f t="shared" si="80"/>
        <v>0.19397007822291967</v>
      </c>
      <c r="N528" s="7">
        <f t="shared" si="76"/>
        <v>0.93762892616992055</v>
      </c>
      <c r="O528" s="7">
        <f t="shared" si="77"/>
        <v>6.2371073830079567E-2</v>
      </c>
    </row>
    <row r="529" spans="1:15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4">
        <f>IF(SUMIFS('Daily NSE Equity Cash'!$H:$H,'Daily NSE Equity Cash'!$A:$A,$A529)=0,"",SUMIFS('Daily NSE Equity Cash'!$H:$H,'Daily NSE Equity Cash'!$A:$A,$A529))</f>
        <v>599.32349999999997</v>
      </c>
      <c r="F529" s="4">
        <f>IF(SUMIFS('Daily BSE Equity Cash'!$H:$H,'Daily BSE Equity Cash'!$A:$A,$A529)=0,"",SUMIFS('Daily BSE Equity Cash'!$H:$H,'Daily BSE Equity Cash'!$A:$A,$A529))</f>
        <v>37.4206</v>
      </c>
      <c r="G529" s="4">
        <f t="shared" si="72"/>
        <v>636.7441</v>
      </c>
      <c r="H529" s="7">
        <f t="shared" si="73"/>
        <v>-0.25369678315206545</v>
      </c>
      <c r="I529" s="7">
        <f t="shared" si="74"/>
        <v>-0.25434543059764991</v>
      </c>
      <c r="J529" s="7">
        <f t="shared" si="75"/>
        <v>-0.25373493450620987</v>
      </c>
      <c r="K529" s="7">
        <f t="shared" si="78"/>
        <v>7.0847172532926939E-2</v>
      </c>
      <c r="L529" s="7">
        <f t="shared" si="79"/>
        <v>5.1357260659585791E-3</v>
      </c>
      <c r="M529" s="7">
        <f t="shared" si="80"/>
        <v>6.6748679053854509E-2</v>
      </c>
      <c r="N529" s="7">
        <f t="shared" si="76"/>
        <v>0.94123133610503806</v>
      </c>
      <c r="O529" s="7">
        <f t="shared" si="77"/>
        <v>5.8768663894961888E-2</v>
      </c>
    </row>
    <row r="530" spans="1:15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4">
        <f>IF(SUMIFS('Daily NSE Equity Cash'!$H:$H,'Daily NSE Equity Cash'!$A:$A,$A530)=0,"",SUMIFS('Daily NSE Equity Cash'!$H:$H,'Daily NSE Equity Cash'!$A:$A,$A530))</f>
        <v>541.47640000000001</v>
      </c>
      <c r="F530" s="4">
        <f>IF(SUMIFS('Daily BSE Equity Cash'!$H:$H,'Daily BSE Equity Cash'!$A:$A,$A530)=0,"",SUMIFS('Daily BSE Equity Cash'!$H:$H,'Daily BSE Equity Cash'!$A:$A,$A530))</f>
        <v>38.565899999999999</v>
      </c>
      <c r="G530" s="4">
        <f t="shared" si="72"/>
        <v>580.04230000000007</v>
      </c>
      <c r="H530" s="7">
        <f t="shared" si="73"/>
        <v>-0.27523396641248998</v>
      </c>
      <c r="I530" s="7">
        <f t="shared" si="74"/>
        <v>-0.34700805786628242</v>
      </c>
      <c r="J530" s="7">
        <f t="shared" si="75"/>
        <v>-0.28049219180083873</v>
      </c>
      <c r="K530" s="7">
        <f t="shared" si="78"/>
        <v>-9.6520660377909406E-2</v>
      </c>
      <c r="L530" s="7">
        <f t="shared" si="79"/>
        <v>3.0606136726829547E-2</v>
      </c>
      <c r="M530" s="7">
        <f t="shared" si="80"/>
        <v>-8.9049588366817867E-2</v>
      </c>
      <c r="N530" s="7">
        <f t="shared" si="76"/>
        <v>0.93351191801011746</v>
      </c>
      <c r="O530" s="7">
        <f t="shared" si="77"/>
        <v>6.6488081989882458E-2</v>
      </c>
    </row>
    <row r="531" spans="1:15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4">
        <f>IF(SUMIFS('Daily NSE Equity Cash'!$H:$H,'Daily NSE Equity Cash'!$A:$A,$A531)=0,"",SUMIFS('Daily NSE Equity Cash'!$H:$H,'Daily NSE Equity Cash'!$A:$A,$A531))</f>
        <v>530.04899999999998</v>
      </c>
      <c r="F531" s="4">
        <f>IF(SUMIFS('Daily BSE Equity Cash'!$H:$H,'Daily BSE Equity Cash'!$A:$A,$A531)=0,"",SUMIFS('Daily BSE Equity Cash'!$H:$H,'Daily BSE Equity Cash'!$A:$A,$A531))</f>
        <v>34.255800000000001</v>
      </c>
      <c r="G531" s="4">
        <f t="shared" si="72"/>
        <v>564.3048</v>
      </c>
      <c r="H531" s="7">
        <f t="shared" si="73"/>
        <v>-0.27078915194152331</v>
      </c>
      <c r="I531" s="7">
        <f t="shared" si="74"/>
        <v>-0.37276637351892639</v>
      </c>
      <c r="J531" s="7">
        <f t="shared" si="75"/>
        <v>-0.27791574706101541</v>
      </c>
      <c r="K531" s="7">
        <f t="shared" si="78"/>
        <v>-2.1104151538275828E-2</v>
      </c>
      <c r="L531" s="7">
        <f t="shared" si="79"/>
        <v>-0.1117593521738115</v>
      </c>
      <c r="M531" s="7">
        <f t="shared" si="80"/>
        <v>-2.7131641950940644E-2</v>
      </c>
      <c r="N531" s="7">
        <f t="shared" si="76"/>
        <v>0.93929557218014093</v>
      </c>
      <c r="O531" s="7">
        <f t="shared" si="77"/>
        <v>6.0704427819859054E-2</v>
      </c>
    </row>
    <row r="532" spans="1:15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4">
        <f>IF(SUMIFS('Daily NSE Equity Cash'!$H:$H,'Daily NSE Equity Cash'!$A:$A,$A532)=0,"",SUMIFS('Daily NSE Equity Cash'!$H:$H,'Daily NSE Equity Cash'!$A:$A,$A532))</f>
        <v>550.19200000000001</v>
      </c>
      <c r="F532" s="4">
        <f>IF(SUMIFS('Daily BSE Equity Cash'!$H:$H,'Daily BSE Equity Cash'!$A:$A,$A532)=0,"",SUMIFS('Daily BSE Equity Cash'!$H:$H,'Daily BSE Equity Cash'!$A:$A,$A532))</f>
        <v>35.650799999999997</v>
      </c>
      <c r="G532" s="4">
        <f t="shared" si="72"/>
        <v>585.84280000000001</v>
      </c>
      <c r="H532" s="7" t="str">
        <f t="shared" si="73"/>
        <v/>
      </c>
      <c r="I532" s="7" t="str">
        <f t="shared" si="74"/>
        <v/>
      </c>
      <c r="J532" s="7" t="str">
        <f t="shared" si="75"/>
        <v/>
      </c>
      <c r="K532" s="7">
        <f t="shared" si="78"/>
        <v>3.8002146971317874E-2</v>
      </c>
      <c r="L532" s="7">
        <f t="shared" si="79"/>
        <v>4.0723030844411534E-2</v>
      </c>
      <c r="M532" s="7">
        <f t="shared" si="80"/>
        <v>3.8167316669998286E-2</v>
      </c>
      <c r="N532" s="7">
        <f t="shared" si="76"/>
        <v>0.93914613271683123</v>
      </c>
      <c r="O532" s="7">
        <f t="shared" si="77"/>
        <v>6.0853867283168786E-2</v>
      </c>
    </row>
    <row r="533" spans="1:15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4">
        <f>IF(SUMIFS('Daily NSE Equity Cash'!$H:$H,'Daily NSE Equity Cash'!$A:$A,$A533)=0,"",SUMIFS('Daily NSE Equity Cash'!$H:$H,'Daily NSE Equity Cash'!$A:$A,$A533))</f>
        <v>516.47550000000001</v>
      </c>
      <c r="F533" s="4">
        <f>IF(SUMIFS('Daily BSE Equity Cash'!$H:$H,'Daily BSE Equity Cash'!$A:$A,$A533)=0,"",SUMIFS('Daily BSE Equity Cash'!$H:$H,'Daily BSE Equity Cash'!$A:$A,$A533))</f>
        <v>29.8599</v>
      </c>
      <c r="G533" s="4">
        <f t="shared" si="72"/>
        <v>546.33540000000005</v>
      </c>
      <c r="H533" s="7">
        <f t="shared" si="73"/>
        <v>-0.33880396060492901</v>
      </c>
      <c r="I533" s="7">
        <f t="shared" si="74"/>
        <v>-0.45735517004503279</v>
      </c>
      <c r="J533" s="7">
        <f t="shared" si="75"/>
        <v>-0.34660575731833665</v>
      </c>
      <c r="K533" s="7">
        <f t="shared" si="78"/>
        <v>-6.1281334515950747E-2</v>
      </c>
      <c r="L533" s="7">
        <f t="shared" si="79"/>
        <v>-0.1624339425763236</v>
      </c>
      <c r="M533" s="7">
        <f t="shared" si="80"/>
        <v>-6.7436861902203105E-2</v>
      </c>
      <c r="N533" s="7">
        <f t="shared" si="76"/>
        <v>0.94534511217834316</v>
      </c>
      <c r="O533" s="7">
        <f t="shared" si="77"/>
        <v>5.4654887821656797E-2</v>
      </c>
    </row>
    <row r="534" spans="1:15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4">
        <f>IF(SUMIFS('Daily NSE Equity Cash'!$H:$H,'Daily NSE Equity Cash'!$A:$A,$A534)=0,"",SUMIFS('Daily NSE Equity Cash'!$H:$H,'Daily NSE Equity Cash'!$A:$A,$A534))</f>
        <v>494.61520000000002</v>
      </c>
      <c r="F534" s="4">
        <f>IF(SUMIFS('Daily BSE Equity Cash'!$H:$H,'Daily BSE Equity Cash'!$A:$A,$A534)=0,"",SUMIFS('Daily BSE Equity Cash'!$H:$H,'Daily BSE Equity Cash'!$A:$A,$A534))</f>
        <v>32.228700000000003</v>
      </c>
      <c r="G534" s="4">
        <f t="shared" si="72"/>
        <v>526.84390000000008</v>
      </c>
      <c r="H534" s="7">
        <f t="shared" si="73"/>
        <v>-0.32705424121711002</v>
      </c>
      <c r="I534" s="7">
        <f t="shared" si="74"/>
        <v>-0.3845597123373734</v>
      </c>
      <c r="J534" s="7">
        <f t="shared" si="75"/>
        <v>-0.33087886589100113</v>
      </c>
      <c r="K534" s="7">
        <f t="shared" si="78"/>
        <v>-4.232591865441826E-2</v>
      </c>
      <c r="L534" s="7">
        <f t="shared" si="79"/>
        <v>7.9330473310359473E-2</v>
      </c>
      <c r="M534" s="7">
        <f t="shared" si="80"/>
        <v>-3.5676802198795765E-2</v>
      </c>
      <c r="N534" s="7">
        <f t="shared" si="76"/>
        <v>0.93882685174868674</v>
      </c>
      <c r="O534" s="7">
        <f t="shared" si="77"/>
        <v>6.1173148251313147E-2</v>
      </c>
    </row>
    <row r="535" spans="1:15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4">
        <f>IF(SUMIFS('Daily NSE Equity Cash'!$H:$H,'Daily NSE Equity Cash'!$A:$A,$A535)=0,"",SUMIFS('Daily NSE Equity Cash'!$H:$H,'Daily NSE Equity Cash'!$A:$A,$A535))</f>
        <v>596.8288</v>
      </c>
      <c r="F535" s="4">
        <f>IF(SUMIFS('Daily BSE Equity Cash'!$H:$H,'Daily BSE Equity Cash'!$A:$A,$A535)=0,"",SUMIFS('Daily BSE Equity Cash'!$H:$H,'Daily BSE Equity Cash'!$A:$A,$A535))</f>
        <v>35.811</v>
      </c>
      <c r="G535" s="4">
        <f t="shared" si="72"/>
        <v>632.63980000000004</v>
      </c>
      <c r="H535" s="7">
        <f t="shared" si="73"/>
        <v>-0.13572439974988193</v>
      </c>
      <c r="I535" s="7">
        <f t="shared" si="74"/>
        <v>-0.28343031399322871</v>
      </c>
      <c r="J535" s="7">
        <f t="shared" si="75"/>
        <v>-0.14569252753503104</v>
      </c>
      <c r="K535" s="7">
        <f t="shared" si="78"/>
        <v>0.20665276764644513</v>
      </c>
      <c r="L535" s="7">
        <f t="shared" si="79"/>
        <v>0.1111524821044596</v>
      </c>
      <c r="M535" s="7">
        <f t="shared" si="80"/>
        <v>0.20081071452094235</v>
      </c>
      <c r="N535" s="7">
        <f t="shared" si="76"/>
        <v>0.94339432960114111</v>
      </c>
      <c r="O535" s="7">
        <f t="shared" si="77"/>
        <v>5.6605670398858873E-2</v>
      </c>
    </row>
    <row r="536" spans="1:15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4">
        <f>IF(SUMIFS('Daily NSE Equity Cash'!$H:$H,'Daily NSE Equity Cash'!$A:$A,$A536)=0,"",SUMIFS('Daily NSE Equity Cash'!$H:$H,'Daily NSE Equity Cash'!$A:$A,$A536))</f>
        <v>479.70179999999999</v>
      </c>
      <c r="F536" s="4">
        <f>IF(SUMIFS('Daily BSE Equity Cash'!$H:$H,'Daily BSE Equity Cash'!$A:$A,$A536)=0,"",SUMIFS('Daily BSE Equity Cash'!$H:$H,'Daily BSE Equity Cash'!$A:$A,$A536))</f>
        <v>32.1691</v>
      </c>
      <c r="G536" s="4">
        <f t="shared" si="72"/>
        <v>511.87090000000001</v>
      </c>
      <c r="H536" s="7">
        <f t="shared" si="73"/>
        <v>-0.60277491772743397</v>
      </c>
      <c r="I536" s="7">
        <f t="shared" si="74"/>
        <v>-0.38596049193251292</v>
      </c>
      <c r="J536" s="7">
        <f t="shared" si="75"/>
        <v>-0.59376018583809875</v>
      </c>
      <c r="K536" s="7">
        <f t="shared" si="78"/>
        <v>-0.1962489075594207</v>
      </c>
      <c r="L536" s="7">
        <f t="shared" si="79"/>
        <v>-0.10169780235123282</v>
      </c>
      <c r="M536" s="7">
        <f t="shared" si="80"/>
        <v>-0.19089677886215828</v>
      </c>
      <c r="N536" s="7">
        <f t="shared" si="76"/>
        <v>0.93715388001154198</v>
      </c>
      <c r="O536" s="7">
        <f t="shared" si="77"/>
        <v>6.284611998845803E-2</v>
      </c>
    </row>
    <row r="537" spans="1:15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4">
        <f>IF(SUMIFS('Daily NSE Equity Cash'!$H:$H,'Daily NSE Equity Cash'!$A:$A,$A537)=0,"",SUMIFS('Daily NSE Equity Cash'!$H:$H,'Daily NSE Equity Cash'!$A:$A,$A537))</f>
        <v>511.2595</v>
      </c>
      <c r="F537" s="4">
        <f>IF(SUMIFS('Daily BSE Equity Cash'!$H:$H,'Daily BSE Equity Cash'!$A:$A,$A537)=0,"",SUMIFS('Daily BSE Equity Cash'!$H:$H,'Daily BSE Equity Cash'!$A:$A,$A537))</f>
        <v>34.050400000000003</v>
      </c>
      <c r="G537" s="4">
        <f t="shared" si="72"/>
        <v>545.30989999999997</v>
      </c>
      <c r="H537" s="7" t="str">
        <f t="shared" si="73"/>
        <v/>
      </c>
      <c r="I537" s="7" t="str">
        <f t="shared" si="74"/>
        <v/>
      </c>
      <c r="J537" s="7" t="str">
        <f t="shared" si="75"/>
        <v/>
      </c>
      <c r="K537" s="7">
        <f t="shared" si="78"/>
        <v>6.5786077934250065E-2</v>
      </c>
      <c r="L537" s="7">
        <f t="shared" si="79"/>
        <v>5.8481586367041816E-2</v>
      </c>
      <c r="M537" s="7">
        <f t="shared" si="80"/>
        <v>6.532701898076243E-2</v>
      </c>
      <c r="N537" s="7">
        <f t="shared" si="76"/>
        <v>0.93755770801153626</v>
      </c>
      <c r="O537" s="7">
        <f t="shared" si="77"/>
        <v>6.2442291988463815E-2</v>
      </c>
    </row>
    <row r="538" spans="1:15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4">
        <f>IF(SUMIFS('Daily NSE Equity Cash'!$H:$H,'Daily NSE Equity Cash'!$A:$A,$A538)=0,"",SUMIFS('Daily NSE Equity Cash'!$H:$H,'Daily NSE Equity Cash'!$A:$A,$A538))</f>
        <v>1109.8326</v>
      </c>
      <c r="F538" s="4">
        <f>IF(SUMIFS('Daily BSE Equity Cash'!$H:$H,'Daily BSE Equity Cash'!$A:$A,$A538)=0,"",SUMIFS('Daily BSE Equity Cash'!$H:$H,'Daily BSE Equity Cash'!$A:$A,$A538))</f>
        <v>38.229599999999998</v>
      </c>
      <c r="G538" s="4">
        <f t="shared" si="72"/>
        <v>1148.0621999999998</v>
      </c>
      <c r="H538" s="7">
        <f t="shared" si="73"/>
        <v>0.53426785721691572</v>
      </c>
      <c r="I538" s="7">
        <f t="shared" si="74"/>
        <v>-0.28088619524059444</v>
      </c>
      <c r="J538" s="7">
        <f t="shared" si="75"/>
        <v>0.47846115985175453</v>
      </c>
      <c r="K538" s="7">
        <f t="shared" si="78"/>
        <v>1.1707813742336328</v>
      </c>
      <c r="L538" s="7">
        <f t="shared" si="79"/>
        <v>0.12273570941897871</v>
      </c>
      <c r="M538" s="7">
        <f t="shared" si="80"/>
        <v>1.1053390008140322</v>
      </c>
      <c r="N538" s="7">
        <f t="shared" si="76"/>
        <v>0.96670075889616447</v>
      </c>
      <c r="O538" s="7">
        <f t="shared" si="77"/>
        <v>3.3299241103835663E-2</v>
      </c>
    </row>
    <row r="539" spans="1:15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4">
        <f>IF(SUMIFS('Daily NSE Equity Cash'!$H:$H,'Daily NSE Equity Cash'!$A:$A,$A539)=0,"",SUMIFS('Daily NSE Equity Cash'!$H:$H,'Daily NSE Equity Cash'!$A:$A,$A539))</f>
        <v>497.50959999999998</v>
      </c>
      <c r="F539" s="4">
        <f>IF(SUMIFS('Daily BSE Equity Cash'!$H:$H,'Daily BSE Equity Cash'!$A:$A,$A539)=0,"",SUMIFS('Daily BSE Equity Cash'!$H:$H,'Daily BSE Equity Cash'!$A:$A,$A539))</f>
        <v>40.474699999999999</v>
      </c>
      <c r="G539" s="4">
        <f t="shared" si="72"/>
        <v>537.98429999999996</v>
      </c>
      <c r="H539" s="7">
        <f t="shared" si="73"/>
        <v>-0.22477795575943804</v>
      </c>
      <c r="I539" s="7">
        <f t="shared" si="74"/>
        <v>-0.10726763421412511</v>
      </c>
      <c r="J539" s="7">
        <f t="shared" si="75"/>
        <v>-0.21702410995747357</v>
      </c>
      <c r="K539" s="7">
        <f t="shared" si="78"/>
        <v>-0.55172554851965971</v>
      </c>
      <c r="L539" s="7">
        <f t="shared" si="79"/>
        <v>5.8726745767677446E-2</v>
      </c>
      <c r="M539" s="7">
        <f t="shared" si="80"/>
        <v>-0.53139795038979587</v>
      </c>
      <c r="N539" s="7">
        <f t="shared" si="76"/>
        <v>0.92476602012363562</v>
      </c>
      <c r="O539" s="7">
        <f t="shared" si="77"/>
        <v>7.5233979876364418E-2</v>
      </c>
    </row>
    <row r="540" spans="1:15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4">
        <f>IF(SUMIFS('Daily NSE Equity Cash'!$H:$H,'Daily NSE Equity Cash'!$A:$A,$A540)=0,"",SUMIFS('Daily NSE Equity Cash'!$H:$H,'Daily NSE Equity Cash'!$A:$A,$A540))</f>
        <v>496.72809999999998</v>
      </c>
      <c r="F540" s="4">
        <f>IF(SUMIFS('Daily BSE Equity Cash'!$H:$H,'Daily BSE Equity Cash'!$A:$A,$A540)=0,"",SUMIFS('Daily BSE Equity Cash'!$H:$H,'Daily BSE Equity Cash'!$A:$A,$A540))</f>
        <v>30.4543</v>
      </c>
      <c r="G540" s="4">
        <f t="shared" si="72"/>
        <v>527.18240000000003</v>
      </c>
      <c r="H540" s="7">
        <f t="shared" si="73"/>
        <v>-0.3319353680334296</v>
      </c>
      <c r="I540" s="7">
        <f t="shared" si="74"/>
        <v>-0.44142688402394648</v>
      </c>
      <c r="J540" s="7">
        <f t="shared" si="75"/>
        <v>-0.33941562394352465</v>
      </c>
      <c r="K540" s="7">
        <f t="shared" si="78"/>
        <v>-1.5708239599798723E-3</v>
      </c>
      <c r="L540" s="7">
        <f t="shared" si="79"/>
        <v>-0.24757194000202598</v>
      </c>
      <c r="M540" s="7">
        <f t="shared" si="80"/>
        <v>-2.0078466973850184E-2</v>
      </c>
      <c r="N540" s="7">
        <f t="shared" si="76"/>
        <v>0.94223194856277437</v>
      </c>
      <c r="O540" s="7">
        <f t="shared" si="77"/>
        <v>5.776805143722552E-2</v>
      </c>
    </row>
    <row r="541" spans="1:15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4">
        <f>IF(SUMIFS('Daily NSE Equity Cash'!$H:$H,'Daily NSE Equity Cash'!$A:$A,$A541)=0,"",SUMIFS('Daily NSE Equity Cash'!$H:$H,'Daily NSE Equity Cash'!$A:$A,$A541))</f>
        <v>518.59400000000005</v>
      </c>
      <c r="F541" s="4">
        <f>IF(SUMIFS('Daily BSE Equity Cash'!$H:$H,'Daily BSE Equity Cash'!$A:$A,$A541)=0,"",SUMIFS('Daily BSE Equity Cash'!$H:$H,'Daily BSE Equity Cash'!$A:$A,$A541))</f>
        <v>32.112200000000001</v>
      </c>
      <c r="G541" s="4">
        <f t="shared" si="72"/>
        <v>550.70620000000008</v>
      </c>
      <c r="H541" s="7">
        <f t="shared" si="73"/>
        <v>-0.30580788245127333</v>
      </c>
      <c r="I541" s="7">
        <f t="shared" si="74"/>
        <v>-0.4464692639976281</v>
      </c>
      <c r="J541" s="7">
        <f t="shared" si="75"/>
        <v>-0.31594407474124286</v>
      </c>
      <c r="K541" s="7">
        <f t="shared" si="78"/>
        <v>4.4019857141160523E-2</v>
      </c>
      <c r="L541" s="7">
        <f t="shared" si="79"/>
        <v>5.4438946224342644E-2</v>
      </c>
      <c r="M541" s="7">
        <f t="shared" si="80"/>
        <v>4.4621747615246843E-2</v>
      </c>
      <c r="N541" s="7">
        <f t="shared" si="76"/>
        <v>0.94168905307403472</v>
      </c>
      <c r="O541" s="7">
        <f t="shared" si="77"/>
        <v>5.8310946925965237E-2</v>
      </c>
    </row>
    <row r="542" spans="1:15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4">
        <f>IF(SUMIFS('Daily NSE Equity Cash'!$H:$H,'Daily NSE Equity Cash'!$A:$A,$A542)=0,"",SUMIFS('Daily NSE Equity Cash'!$H:$H,'Daily NSE Equity Cash'!$A:$A,$A542))</f>
        <v>422.53399999999999</v>
      </c>
      <c r="F542" s="4">
        <f>IF(SUMIFS('Daily BSE Equity Cash'!$H:$H,'Daily BSE Equity Cash'!$A:$A,$A542)=0,"",SUMIFS('Daily BSE Equity Cash'!$H:$H,'Daily BSE Equity Cash'!$A:$A,$A542))</f>
        <v>25.735299999999999</v>
      </c>
      <c r="G542" s="4">
        <f t="shared" si="72"/>
        <v>448.26929999999999</v>
      </c>
      <c r="H542" s="7" t="str">
        <f t="shared" si="73"/>
        <v/>
      </c>
      <c r="I542" s="7" t="str">
        <f t="shared" si="74"/>
        <v/>
      </c>
      <c r="J542" s="7" t="str">
        <f t="shared" si="75"/>
        <v/>
      </c>
      <c r="K542" s="7">
        <f t="shared" si="78"/>
        <v>-0.18523160699892416</v>
      </c>
      <c r="L542" s="7">
        <f t="shared" si="79"/>
        <v>-0.19858184739756235</v>
      </c>
      <c r="M542" s="7">
        <f t="shared" si="80"/>
        <v>-0.18601007215825804</v>
      </c>
      <c r="N542" s="7">
        <f t="shared" si="76"/>
        <v>0.94258964421609959</v>
      </c>
      <c r="O542" s="7">
        <f t="shared" si="77"/>
        <v>5.7410355783900434E-2</v>
      </c>
    </row>
    <row r="543" spans="1:15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4">
        <f>IF(SUMIFS('Daily NSE Equity Cash'!$H:$H,'Daily NSE Equity Cash'!$A:$A,$A543)=0,"",SUMIFS('Daily NSE Equity Cash'!$H:$H,'Daily NSE Equity Cash'!$A:$A,$A543))</f>
        <v>424.34190000000001</v>
      </c>
      <c r="F543" s="4">
        <f>IF(SUMIFS('Daily BSE Equity Cash'!$H:$H,'Daily BSE Equity Cash'!$A:$A,$A543)=0,"",SUMIFS('Daily BSE Equity Cash'!$H:$H,'Daily BSE Equity Cash'!$A:$A,$A543))</f>
        <v>25.933599999999998</v>
      </c>
      <c r="G543" s="4">
        <f t="shared" si="72"/>
        <v>450.27550000000002</v>
      </c>
      <c r="H543" s="7">
        <f t="shared" si="73"/>
        <v>-0.4700125808063581</v>
      </c>
      <c r="I543" s="7">
        <f t="shared" si="74"/>
        <v>-0.6528560107943715</v>
      </c>
      <c r="J543" s="7">
        <f t="shared" si="75"/>
        <v>-0.48561676283746169</v>
      </c>
      <c r="K543" s="7">
        <f t="shared" si="78"/>
        <v>4.2787089322990912E-3</v>
      </c>
      <c r="L543" s="7">
        <f t="shared" si="79"/>
        <v>7.7053696673441419E-3</v>
      </c>
      <c r="M543" s="7">
        <f t="shared" si="80"/>
        <v>4.4754347442486075E-3</v>
      </c>
      <c r="N543" s="7">
        <f t="shared" si="76"/>
        <v>0.94240503869297798</v>
      </c>
      <c r="O543" s="7">
        <f t="shared" si="77"/>
        <v>5.7594961307022026E-2</v>
      </c>
    </row>
    <row r="544" spans="1:15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4">
        <f>IF(SUMIFS('Daily NSE Equity Cash'!$H:$H,'Daily NSE Equity Cash'!$A:$A,$A544)=0,"",SUMIFS('Daily NSE Equity Cash'!$H:$H,'Daily NSE Equity Cash'!$A:$A,$A544))</f>
        <v>439.38369999999998</v>
      </c>
      <c r="F544" s="4">
        <f>IF(SUMIFS('Daily BSE Equity Cash'!$H:$H,'Daily BSE Equity Cash'!$A:$A,$A544)=0,"",SUMIFS('Daily BSE Equity Cash'!$H:$H,'Daily BSE Equity Cash'!$A:$A,$A544))</f>
        <v>29.5031</v>
      </c>
      <c r="G544" s="4">
        <f t="shared" si="72"/>
        <v>468.88679999999999</v>
      </c>
      <c r="H544" s="7">
        <f t="shared" si="73"/>
        <v>-0.43704273239921332</v>
      </c>
      <c r="I544" s="7">
        <f t="shared" si="74"/>
        <v>-0.52894150706912657</v>
      </c>
      <c r="J544" s="7">
        <f t="shared" si="75"/>
        <v>-0.44386943978320614</v>
      </c>
      <c r="K544" s="7">
        <f t="shared" si="78"/>
        <v>3.5447359782288634E-2</v>
      </c>
      <c r="L544" s="7">
        <f t="shared" si="79"/>
        <v>0.13763997285374963</v>
      </c>
      <c r="M544" s="7">
        <f t="shared" si="80"/>
        <v>4.1333139378002981E-2</v>
      </c>
      <c r="N544" s="7">
        <f t="shared" si="76"/>
        <v>0.93707841636830036</v>
      </c>
      <c r="O544" s="7">
        <f t="shared" si="77"/>
        <v>6.2921583631699599E-2</v>
      </c>
    </row>
    <row r="545" spans="1:15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4">
        <f>IF(SUMIFS('Daily NSE Equity Cash'!$H:$H,'Daily NSE Equity Cash'!$A:$A,$A545)=0,"",SUMIFS('Daily NSE Equity Cash'!$H:$H,'Daily NSE Equity Cash'!$A:$A,$A545))</f>
        <v>402.84519999999998</v>
      </c>
      <c r="F545" s="4">
        <f>IF(SUMIFS('Daily BSE Equity Cash'!$H:$H,'Daily BSE Equity Cash'!$A:$A,$A545)=0,"",SUMIFS('Daily BSE Equity Cash'!$H:$H,'Daily BSE Equity Cash'!$A:$A,$A545))</f>
        <v>34.322000000000003</v>
      </c>
      <c r="G545" s="4">
        <f t="shared" si="72"/>
        <v>437.16719999999998</v>
      </c>
      <c r="H545" s="7">
        <f t="shared" si="73"/>
        <v>-0.54603728139296381</v>
      </c>
      <c r="I545" s="7">
        <f t="shared" si="74"/>
        <v>-0.62772061583049688</v>
      </c>
      <c r="J545" s="7">
        <f t="shared" si="75"/>
        <v>-0.55372490547843789</v>
      </c>
      <c r="K545" s="7">
        <f t="shared" si="78"/>
        <v>-8.3158524087261321E-2</v>
      </c>
      <c r="L545" s="7">
        <f t="shared" si="79"/>
        <v>0.16333537831617706</v>
      </c>
      <c r="M545" s="7">
        <f t="shared" si="80"/>
        <v>-6.7648737392479452E-2</v>
      </c>
      <c r="N545" s="7">
        <f t="shared" si="76"/>
        <v>0.9214899928448429</v>
      </c>
      <c r="O545" s="7">
        <f t="shared" si="77"/>
        <v>7.8510007155157116E-2</v>
      </c>
    </row>
    <row r="546" spans="1:15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4">
        <f>IF(SUMIFS('Daily NSE Equity Cash'!$H:$H,'Daily NSE Equity Cash'!$A:$A,$A546)=0,"",SUMIFS('Daily NSE Equity Cash'!$H:$H,'Daily NSE Equity Cash'!$A:$A,$A546))</f>
        <v>402.34039999999999</v>
      </c>
      <c r="F546" s="4">
        <f>IF(SUMIFS('Daily BSE Equity Cash'!$H:$H,'Daily BSE Equity Cash'!$A:$A,$A546)=0,"",SUMIFS('Daily BSE Equity Cash'!$H:$H,'Daily BSE Equity Cash'!$A:$A,$A546))</f>
        <v>26.0288</v>
      </c>
      <c r="G546" s="4">
        <f t="shared" si="72"/>
        <v>428.36919999999998</v>
      </c>
      <c r="H546" s="7">
        <f t="shared" si="73"/>
        <v>-0.42434255661529674</v>
      </c>
      <c r="I546" s="7">
        <f t="shared" si="74"/>
        <v>-0.53045508089785898</v>
      </c>
      <c r="J546" s="7">
        <f t="shared" si="75"/>
        <v>-0.43214025606430062</v>
      </c>
      <c r="K546" s="7">
        <f t="shared" si="78"/>
        <v>-1.2530867936367818E-3</v>
      </c>
      <c r="L546" s="7">
        <f t="shared" si="79"/>
        <v>-0.24162927568323533</v>
      </c>
      <c r="M546" s="7">
        <f t="shared" si="80"/>
        <v>-2.0125023103288675E-2</v>
      </c>
      <c r="N546" s="7">
        <f t="shared" si="76"/>
        <v>0.93923746151684107</v>
      </c>
      <c r="O546" s="7">
        <f t="shared" si="77"/>
        <v>6.076253848315892E-2</v>
      </c>
    </row>
    <row r="547" spans="1:15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4">
        <f>IF(SUMIFS('Daily NSE Equity Cash'!$H:$H,'Daily NSE Equity Cash'!$A:$A,$A547)=0,"",SUMIFS('Daily NSE Equity Cash'!$H:$H,'Daily NSE Equity Cash'!$A:$A,$A547))</f>
        <v>442.77699999999999</v>
      </c>
      <c r="F547" s="4">
        <f>IF(SUMIFS('Daily BSE Equity Cash'!$H:$H,'Daily BSE Equity Cash'!$A:$A,$A547)=0,"",SUMIFS('Daily BSE Equity Cash'!$H:$H,'Daily BSE Equity Cash'!$A:$A,$A547))</f>
        <v>32.121299999999998</v>
      </c>
      <c r="G547" s="4">
        <f t="shared" si="72"/>
        <v>474.89830000000001</v>
      </c>
      <c r="H547" s="7" t="str">
        <f t="shared" si="73"/>
        <v/>
      </c>
      <c r="I547" s="7" t="str">
        <f t="shared" si="74"/>
        <v/>
      </c>
      <c r="J547" s="7" t="str">
        <f t="shared" si="75"/>
        <v/>
      </c>
      <c r="K547" s="7">
        <f t="shared" si="78"/>
        <v>0.10050345428895535</v>
      </c>
      <c r="L547" s="7">
        <f t="shared" si="79"/>
        <v>0.2340676481435946</v>
      </c>
      <c r="M547" s="7">
        <f t="shared" si="80"/>
        <v>0.10861915375802011</v>
      </c>
      <c r="N547" s="7">
        <f t="shared" si="76"/>
        <v>0.93236172881646451</v>
      </c>
      <c r="O547" s="7">
        <f t="shared" si="77"/>
        <v>6.7638271183535506E-2</v>
      </c>
    </row>
    <row r="548" spans="1:15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4">
        <f>IF(SUMIFS('Daily NSE Equity Cash'!$H:$H,'Daily NSE Equity Cash'!$A:$A,$A548)=0,"",SUMIFS('Daily NSE Equity Cash'!$H:$H,'Daily NSE Equity Cash'!$A:$A,$A548))</f>
        <v>443.27530000000002</v>
      </c>
      <c r="F548" s="4">
        <f>IF(SUMIFS('Daily BSE Equity Cash'!$H:$H,'Daily BSE Equity Cash'!$A:$A,$A548)=0,"",SUMIFS('Daily BSE Equity Cash'!$H:$H,'Daily BSE Equity Cash'!$A:$A,$A548))</f>
        <v>27.698699999999999</v>
      </c>
      <c r="G548" s="4">
        <f t="shared" si="72"/>
        <v>470.97399999999999</v>
      </c>
      <c r="H548" s="7">
        <f t="shared" si="73"/>
        <v>-0.43160841086910418</v>
      </c>
      <c r="I548" s="7">
        <f t="shared" si="74"/>
        <v>-0.5679180472098988</v>
      </c>
      <c r="J548" s="7">
        <f t="shared" si="75"/>
        <v>-0.44196190012628234</v>
      </c>
      <c r="K548" s="7">
        <f t="shared" si="78"/>
        <v>1.1253972089788622E-3</v>
      </c>
      <c r="L548" s="7">
        <f t="shared" si="79"/>
        <v>-0.13768434029755949</v>
      </c>
      <c r="M548" s="7">
        <f t="shared" si="80"/>
        <v>-8.2634534594038245E-3</v>
      </c>
      <c r="N548" s="7">
        <f t="shared" si="76"/>
        <v>0.94118847324905419</v>
      </c>
      <c r="O548" s="7">
        <f t="shared" si="77"/>
        <v>5.8811526750945912E-2</v>
      </c>
    </row>
    <row r="549" spans="1:15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4">
        <f>IF(SUMIFS('Daily NSE Equity Cash'!$H:$H,'Daily NSE Equity Cash'!$A:$A,$A549)=0,"",SUMIFS('Daily NSE Equity Cash'!$H:$H,'Daily NSE Equity Cash'!$A:$A,$A549))</f>
        <v>365.71019999999999</v>
      </c>
      <c r="F549" s="4">
        <f>IF(SUMIFS('Daily BSE Equity Cash'!$H:$H,'Daily BSE Equity Cash'!$A:$A,$A549)=0,"",SUMIFS('Daily BSE Equity Cash'!$H:$H,'Daily BSE Equity Cash'!$A:$A,$A549))</f>
        <v>22.790500000000002</v>
      </c>
      <c r="G549" s="4">
        <f t="shared" si="72"/>
        <v>388.50069999999999</v>
      </c>
      <c r="H549" s="7">
        <f t="shared" si="73"/>
        <v>-0.45516832251943873</v>
      </c>
      <c r="I549" s="7">
        <f t="shared" si="74"/>
        <v>-0.70978274295770616</v>
      </c>
      <c r="J549" s="7">
        <f t="shared" si="75"/>
        <v>-0.48183622506433021</v>
      </c>
      <c r="K549" s="7">
        <f t="shared" si="78"/>
        <v>-0.17498177768984657</v>
      </c>
      <c r="L549" s="7">
        <f t="shared" si="79"/>
        <v>-0.17719965196922594</v>
      </c>
      <c r="M549" s="7">
        <f t="shared" si="80"/>
        <v>-0.17511221426235846</v>
      </c>
      <c r="N549" s="7">
        <f t="shared" si="76"/>
        <v>0.94133730003575278</v>
      </c>
      <c r="O549" s="7">
        <f t="shared" si="77"/>
        <v>5.8662699964247174E-2</v>
      </c>
    </row>
    <row r="550" spans="1:15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4">
        <f>IF(SUMIFS('Daily NSE Equity Cash'!$H:$H,'Daily NSE Equity Cash'!$A:$A,$A550)=0,"",SUMIFS('Daily NSE Equity Cash'!$H:$H,'Daily NSE Equity Cash'!$A:$A,$A550))</f>
        <v>479.21379999999999</v>
      </c>
      <c r="F550" s="4">
        <f>IF(SUMIFS('Daily BSE Equity Cash'!$H:$H,'Daily BSE Equity Cash'!$A:$A,$A550)=0,"",SUMIFS('Daily BSE Equity Cash'!$H:$H,'Daily BSE Equity Cash'!$A:$A,$A550))</f>
        <v>31.552600000000002</v>
      </c>
      <c r="G550" s="4">
        <f t="shared" si="72"/>
        <v>510.76639999999998</v>
      </c>
      <c r="H550" s="7">
        <f t="shared" si="73"/>
        <v>-0.28616837629283298</v>
      </c>
      <c r="I550" s="7">
        <f t="shared" si="74"/>
        <v>-0.50387745603662981</v>
      </c>
      <c r="J550" s="7">
        <f t="shared" si="75"/>
        <v>-0.30500833759114032</v>
      </c>
      <c r="K550" s="7">
        <f t="shared" si="78"/>
        <v>0.31036487360757237</v>
      </c>
      <c r="L550" s="7">
        <f t="shared" si="79"/>
        <v>0.38446282442245661</v>
      </c>
      <c r="M550" s="7">
        <f t="shared" si="80"/>
        <v>0.31471165946419144</v>
      </c>
      <c r="N550" s="7">
        <f t="shared" si="76"/>
        <v>0.93822498895777018</v>
      </c>
      <c r="O550" s="7">
        <f t="shared" si="77"/>
        <v>6.1775011042229877E-2</v>
      </c>
    </row>
    <row r="551" spans="1:15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4">
        <f>IF(SUMIFS('Daily NSE Equity Cash'!$H:$H,'Daily NSE Equity Cash'!$A:$A,$A551)=0,"",SUMIFS('Daily NSE Equity Cash'!$H:$H,'Daily NSE Equity Cash'!$A:$A,$A551))</f>
        <v>611.93230000000005</v>
      </c>
      <c r="F551" s="4">
        <f>IF(SUMIFS('Daily BSE Equity Cash'!$H:$H,'Daily BSE Equity Cash'!$A:$A,$A551)=0,"",SUMIFS('Daily BSE Equity Cash'!$H:$H,'Daily BSE Equity Cash'!$A:$A,$A551))</f>
        <v>35.3309</v>
      </c>
      <c r="G551" s="4">
        <f t="shared" si="72"/>
        <v>647.2632000000001</v>
      </c>
      <c r="H551" s="7">
        <f t="shared" si="73"/>
        <v>-0.14362207051708975</v>
      </c>
      <c r="I551" s="7">
        <f t="shared" si="74"/>
        <v>-0.38937578961740604</v>
      </c>
      <c r="J551" s="7">
        <f t="shared" si="75"/>
        <v>-0.162030970237656</v>
      </c>
      <c r="K551" s="7">
        <f t="shared" si="78"/>
        <v>0.27695049683460726</v>
      </c>
      <c r="L551" s="7">
        <f t="shared" si="79"/>
        <v>0.11974607480841515</v>
      </c>
      <c r="M551" s="7">
        <f t="shared" si="80"/>
        <v>0.2672391919280519</v>
      </c>
      <c r="N551" s="7">
        <f t="shared" si="76"/>
        <v>0.94541494093901823</v>
      </c>
      <c r="O551" s="7">
        <f t="shared" si="77"/>
        <v>5.4585059060981676E-2</v>
      </c>
    </row>
    <row r="552" spans="1:15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4">
        <f>IF(SUMIFS('Daily NSE Equity Cash'!$H:$H,'Daily NSE Equity Cash'!$A:$A,$A552)=0,"",SUMIFS('Daily NSE Equity Cash'!$H:$H,'Daily NSE Equity Cash'!$A:$A,$A552))</f>
        <v>449.55630000000002</v>
      </c>
      <c r="F552" s="4">
        <f>IF(SUMIFS('Daily BSE Equity Cash'!$H:$H,'Daily BSE Equity Cash'!$A:$A,$A552)=0,"",SUMIFS('Daily BSE Equity Cash'!$H:$H,'Daily BSE Equity Cash'!$A:$A,$A552))</f>
        <v>32.925600000000003</v>
      </c>
      <c r="G552" s="4">
        <f t="shared" si="72"/>
        <v>482.4819</v>
      </c>
      <c r="H552" s="7" t="str">
        <f t="shared" si="73"/>
        <v/>
      </c>
      <c r="I552" s="7" t="str">
        <f t="shared" si="74"/>
        <v/>
      </c>
      <c r="J552" s="7" t="str">
        <f t="shared" si="75"/>
        <v/>
      </c>
      <c r="K552" s="7">
        <f t="shared" si="78"/>
        <v>-0.26534961465508522</v>
      </c>
      <c r="L552" s="7">
        <f t="shared" si="79"/>
        <v>-6.8079216776249618E-2</v>
      </c>
      <c r="M552" s="7">
        <f t="shared" si="80"/>
        <v>-0.25458159833588578</v>
      </c>
      <c r="N552" s="7">
        <f t="shared" si="76"/>
        <v>0.9317578545433518</v>
      </c>
      <c r="O552" s="7">
        <f t="shared" si="77"/>
        <v>6.8242145456648223E-2</v>
      </c>
    </row>
    <row r="553" spans="1:15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4">
        <f>IF(SUMIFS('Daily NSE Equity Cash'!$H:$H,'Daily NSE Equity Cash'!$A:$A,$A553)=0,"",SUMIFS('Daily NSE Equity Cash'!$H:$H,'Daily NSE Equity Cash'!$A:$A,$A553))</f>
        <v>435.54969999999997</v>
      </c>
      <c r="F553" s="4">
        <f>IF(SUMIFS('Daily BSE Equity Cash'!$H:$H,'Daily BSE Equity Cash'!$A:$A,$A553)=0,"",SUMIFS('Daily BSE Equity Cash'!$H:$H,'Daily BSE Equity Cash'!$A:$A,$A553))</f>
        <v>28.372699999999998</v>
      </c>
      <c r="G553" s="4">
        <f t="shared" si="72"/>
        <v>463.92239999999998</v>
      </c>
      <c r="H553" s="7">
        <f t="shared" si="73"/>
        <v>-0.28378614370658817</v>
      </c>
      <c r="I553" s="7">
        <f t="shared" si="74"/>
        <v>-0.54633005225422293</v>
      </c>
      <c r="J553" s="7">
        <f t="shared" si="75"/>
        <v>-0.30826858697979509</v>
      </c>
      <c r="K553" s="7">
        <f t="shared" si="78"/>
        <v>-3.1156498084889628E-2</v>
      </c>
      <c r="L553" s="7">
        <f t="shared" si="79"/>
        <v>-0.13827842165366777</v>
      </c>
      <c r="M553" s="7">
        <f t="shared" si="80"/>
        <v>-3.8466727974665993E-2</v>
      </c>
      <c r="N553" s="7">
        <f t="shared" si="76"/>
        <v>0.93884171145864048</v>
      </c>
      <c r="O553" s="7">
        <f t="shared" si="77"/>
        <v>6.1158288541359504E-2</v>
      </c>
    </row>
    <row r="554" spans="1:15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4">
        <f>IF(SUMIFS('Daily NSE Equity Cash'!$H:$H,'Daily NSE Equity Cash'!$A:$A,$A554)=0,"",SUMIFS('Daily NSE Equity Cash'!$H:$H,'Daily NSE Equity Cash'!$A:$A,$A554))</f>
        <v>386.18729999999999</v>
      </c>
      <c r="F554" s="4">
        <f>IF(SUMIFS('Daily BSE Equity Cash'!$H:$H,'Daily BSE Equity Cash'!$A:$A,$A554)=0,"",SUMIFS('Daily BSE Equity Cash'!$H:$H,'Daily BSE Equity Cash'!$A:$A,$A554))</f>
        <v>25.053999999999998</v>
      </c>
      <c r="G554" s="4">
        <f t="shared" si="72"/>
        <v>411.24129999999997</v>
      </c>
      <c r="H554" s="7">
        <f t="shared" si="73"/>
        <v>-0.40546616557095605</v>
      </c>
      <c r="I554" s="7">
        <f t="shared" si="74"/>
        <v>-0.5443302269073238</v>
      </c>
      <c r="J554" s="7">
        <f t="shared" si="75"/>
        <v>-0.41630312286209847</v>
      </c>
      <c r="K554" s="7">
        <f t="shared" si="78"/>
        <v>-0.11333356445888954</v>
      </c>
      <c r="L554" s="7">
        <f t="shared" si="79"/>
        <v>-0.11696807142076715</v>
      </c>
      <c r="M554" s="7">
        <f t="shared" si="80"/>
        <v>-0.11355584468436963</v>
      </c>
      <c r="N554" s="7">
        <f t="shared" si="76"/>
        <v>0.93907713062866016</v>
      </c>
      <c r="O554" s="7">
        <f t="shared" si="77"/>
        <v>6.0922869371339894E-2</v>
      </c>
    </row>
    <row r="555" spans="1:15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4">
        <f>IF(SUMIFS('Daily NSE Equity Cash'!$H:$H,'Daily NSE Equity Cash'!$A:$A,$A555)=0,"",SUMIFS('Daily NSE Equity Cash'!$H:$H,'Daily NSE Equity Cash'!$A:$A,$A555))</f>
        <v>424.35379999999998</v>
      </c>
      <c r="F555" s="4">
        <f>IF(SUMIFS('Daily BSE Equity Cash'!$H:$H,'Daily BSE Equity Cash'!$A:$A,$A555)=0,"",SUMIFS('Daily BSE Equity Cash'!$H:$H,'Daily BSE Equity Cash'!$A:$A,$A555))</f>
        <v>23.922799999999999</v>
      </c>
      <c r="G555" s="4">
        <f t="shared" si="72"/>
        <v>448.27659999999997</v>
      </c>
      <c r="H555" s="7">
        <f t="shared" si="73"/>
        <v>-0.33735202399783881</v>
      </c>
      <c r="I555" s="7">
        <f t="shared" si="74"/>
        <v>-0.81494829291989324</v>
      </c>
      <c r="J555" s="7">
        <f t="shared" si="75"/>
        <v>-0.41757094266574657</v>
      </c>
      <c r="K555" s="7">
        <f t="shared" si="78"/>
        <v>9.8828987903019971E-2</v>
      </c>
      <c r="L555" s="7">
        <f t="shared" si="79"/>
        <v>-4.5150474974055999E-2</v>
      </c>
      <c r="M555" s="7">
        <f t="shared" si="80"/>
        <v>9.0057345894004381E-2</v>
      </c>
      <c r="N555" s="7">
        <f t="shared" si="76"/>
        <v>0.9466338416950606</v>
      </c>
      <c r="O555" s="7">
        <f t="shared" si="77"/>
        <v>5.3366158304939404E-2</v>
      </c>
    </row>
    <row r="556" spans="1:15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4">
        <f>IF(SUMIFS('Daily NSE Equity Cash'!$H:$H,'Daily NSE Equity Cash'!$A:$A,$A556)=0,"",SUMIFS('Daily NSE Equity Cash'!$H:$H,'Daily NSE Equity Cash'!$A:$A,$A556))</f>
        <v>403.56209999999999</v>
      </c>
      <c r="F556" s="4">
        <f>IF(SUMIFS('Daily BSE Equity Cash'!$H:$H,'Daily BSE Equity Cash'!$A:$A,$A556)=0,"",SUMIFS('Daily BSE Equity Cash'!$H:$H,'Daily BSE Equity Cash'!$A:$A,$A556))</f>
        <v>23.4696</v>
      </c>
      <c r="G556" s="4">
        <f t="shared" si="72"/>
        <v>427.0317</v>
      </c>
      <c r="H556" s="7">
        <f t="shared" si="73"/>
        <v>-0.3649039995920903</v>
      </c>
      <c r="I556" s="7">
        <f t="shared" si="74"/>
        <v>-0.47006744505835685</v>
      </c>
      <c r="J556" s="7">
        <f t="shared" si="75"/>
        <v>-0.3717560116794687</v>
      </c>
      <c r="K556" s="7">
        <f t="shared" si="78"/>
        <v>-4.8996144255100349E-2</v>
      </c>
      <c r="L556" s="7">
        <f t="shared" si="79"/>
        <v>-1.8944270737539015E-2</v>
      </c>
      <c r="M556" s="7">
        <f t="shared" si="80"/>
        <v>-4.7392391215602125E-2</v>
      </c>
      <c r="N556" s="7">
        <f t="shared" si="76"/>
        <v>0.9450401457315698</v>
      </c>
      <c r="O556" s="7">
        <f t="shared" si="77"/>
        <v>5.495985426843019E-2</v>
      </c>
    </row>
    <row r="557" spans="1:15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4">
        <f>IF(SUMIFS('Daily NSE Equity Cash'!$H:$H,'Daily NSE Equity Cash'!$A:$A,$A557)=0,"",SUMIFS('Daily NSE Equity Cash'!$H:$H,'Daily NSE Equity Cash'!$A:$A,$A557))</f>
        <v>406.49970000000002</v>
      </c>
      <c r="F557" s="4">
        <f>IF(SUMIFS('Daily BSE Equity Cash'!$H:$H,'Daily BSE Equity Cash'!$A:$A,$A557)=0,"",SUMIFS('Daily BSE Equity Cash'!$H:$H,'Daily BSE Equity Cash'!$A:$A,$A557))</f>
        <v>25.595600000000001</v>
      </c>
      <c r="G557" s="4">
        <f t="shared" si="72"/>
        <v>432.09530000000001</v>
      </c>
      <c r="H557" s="7" t="str">
        <f t="shared" si="73"/>
        <v/>
      </c>
      <c r="I557" s="7" t="str">
        <f t="shared" si="74"/>
        <v/>
      </c>
      <c r="J557" s="7" t="str">
        <f t="shared" si="75"/>
        <v/>
      </c>
      <c r="K557" s="7">
        <f t="shared" si="78"/>
        <v>7.2791771080584766E-3</v>
      </c>
      <c r="L557" s="7">
        <f t="shared" si="79"/>
        <v>9.0585267750622034E-2</v>
      </c>
      <c r="M557" s="7">
        <f t="shared" si="80"/>
        <v>1.1857667709446407E-2</v>
      </c>
      <c r="N557" s="7">
        <f t="shared" si="76"/>
        <v>0.94076399349865647</v>
      </c>
      <c r="O557" s="7">
        <f t="shared" si="77"/>
        <v>5.9236006501343572E-2</v>
      </c>
    </row>
    <row r="558" spans="1:15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4">
        <f>IF(SUMIFS('Daily NSE Equity Cash'!$H:$H,'Daily NSE Equity Cash'!$A:$A,$A558)=0,"",SUMIFS('Daily NSE Equity Cash'!$H:$H,'Daily NSE Equity Cash'!$A:$A,$A558))</f>
        <v>408.76920000000001</v>
      </c>
      <c r="F558" s="4">
        <f>IF(SUMIFS('Daily BSE Equity Cash'!$H:$H,'Daily BSE Equity Cash'!$A:$A,$A558)=0,"",SUMIFS('Daily BSE Equity Cash'!$H:$H,'Daily BSE Equity Cash'!$A:$A,$A558))</f>
        <v>24.398499999999999</v>
      </c>
      <c r="G558" s="4">
        <f t="shared" si="72"/>
        <v>433.16770000000002</v>
      </c>
      <c r="H558" s="7">
        <f t="shared" si="73"/>
        <v>-0.29703915621833599</v>
      </c>
      <c r="I558" s="7">
        <f t="shared" si="74"/>
        <v>-0.51416379262280065</v>
      </c>
      <c r="J558" s="7">
        <f t="shared" si="75"/>
        <v>-0.31429993857999483</v>
      </c>
      <c r="K558" s="7">
        <f t="shared" si="78"/>
        <v>5.5830299505756908E-3</v>
      </c>
      <c r="L558" s="7">
        <f t="shared" si="79"/>
        <v>-4.6769757302036363E-2</v>
      </c>
      <c r="M558" s="7">
        <f t="shared" si="80"/>
        <v>2.4818599045164369E-3</v>
      </c>
      <c r="N558" s="7">
        <f t="shared" si="76"/>
        <v>0.9436742397921174</v>
      </c>
      <c r="O558" s="7">
        <f t="shared" si="77"/>
        <v>5.6325760207882526E-2</v>
      </c>
    </row>
    <row r="559" spans="1:15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4">
        <f>IF(SUMIFS('Daily NSE Equity Cash'!$H:$H,'Daily NSE Equity Cash'!$A:$A,$A559)=0,"",SUMIFS('Daily NSE Equity Cash'!$H:$H,'Daily NSE Equity Cash'!$A:$A,$A559))</f>
        <v>473.65699999999998</v>
      </c>
      <c r="F559" s="4">
        <f>IF(SUMIFS('Daily BSE Equity Cash'!$H:$H,'Daily BSE Equity Cash'!$A:$A,$A559)=0,"",SUMIFS('Daily BSE Equity Cash'!$H:$H,'Daily BSE Equity Cash'!$A:$A,$A559))</f>
        <v>25.9207</v>
      </c>
      <c r="G559" s="4">
        <f t="shared" si="72"/>
        <v>499.57769999999999</v>
      </c>
      <c r="H559" s="7">
        <f t="shared" si="73"/>
        <v>-0.24952542473317862</v>
      </c>
      <c r="I559" s="7">
        <f t="shared" si="74"/>
        <v>-0.80811378426856828</v>
      </c>
      <c r="J559" s="7">
        <f t="shared" si="75"/>
        <v>-0.34800300694180708</v>
      </c>
      <c r="K559" s="7">
        <f t="shared" si="78"/>
        <v>0.15873945492957886</v>
      </c>
      <c r="L559" s="7">
        <f t="shared" si="79"/>
        <v>6.2389081295981308E-2</v>
      </c>
      <c r="M559" s="7">
        <f t="shared" si="80"/>
        <v>0.15331244688835288</v>
      </c>
      <c r="N559" s="7">
        <f t="shared" si="76"/>
        <v>0.94811477774128028</v>
      </c>
      <c r="O559" s="7">
        <f t="shared" si="77"/>
        <v>5.1885222258719714E-2</v>
      </c>
    </row>
    <row r="560" spans="1:15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4">
        <f>IF(SUMIFS('Daily NSE Equity Cash'!$H:$H,'Daily NSE Equity Cash'!$A:$A,$A560)=0,"",SUMIFS('Daily NSE Equity Cash'!$H:$H,'Daily NSE Equity Cash'!$A:$A,$A560))</f>
        <v>478.34570000000002</v>
      </c>
      <c r="F560" s="4">
        <f>IF(SUMIFS('Daily BSE Equity Cash'!$H:$H,'Daily BSE Equity Cash'!$A:$A,$A560)=0,"",SUMIFS('Daily BSE Equity Cash'!$H:$H,'Daily BSE Equity Cash'!$A:$A,$A560))</f>
        <v>22.8935</v>
      </c>
      <c r="G560" s="4">
        <f t="shared" si="72"/>
        <v>501.23920000000004</v>
      </c>
      <c r="H560" s="7">
        <f t="shared" si="73"/>
        <v>-0.18225703190910114</v>
      </c>
      <c r="I560" s="7">
        <f t="shared" si="74"/>
        <v>-0.59327920693575886</v>
      </c>
      <c r="J560" s="7">
        <f t="shared" si="75"/>
        <v>-0.21833616245858645</v>
      </c>
      <c r="K560" s="7">
        <f t="shared" si="78"/>
        <v>9.898935305505896E-3</v>
      </c>
      <c r="L560" s="7">
        <f t="shared" si="79"/>
        <v>-0.11678696948770673</v>
      </c>
      <c r="M560" s="7">
        <f t="shared" si="80"/>
        <v>3.3258089782630673E-3</v>
      </c>
      <c r="N560" s="7">
        <f t="shared" si="76"/>
        <v>0.95432619795099827</v>
      </c>
      <c r="O560" s="7">
        <f t="shared" si="77"/>
        <v>4.5673802049001747E-2</v>
      </c>
    </row>
    <row r="561" spans="1:15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4">
        <f>IF(SUMIFS('Daily NSE Equity Cash'!$H:$H,'Daily NSE Equity Cash'!$A:$A,$A561)=0,"",SUMIFS('Daily NSE Equity Cash'!$H:$H,'Daily NSE Equity Cash'!$A:$A,$A561))</f>
        <v>465.86470000000003</v>
      </c>
      <c r="F561" s="4">
        <f>IF(SUMIFS('Daily BSE Equity Cash'!$H:$H,'Daily BSE Equity Cash'!$A:$A,$A561)=0,"",SUMIFS('Daily BSE Equity Cash'!$H:$H,'Daily BSE Equity Cash'!$A:$A,$A561))</f>
        <v>24.824200000000001</v>
      </c>
      <c r="G561" s="4">
        <f t="shared" si="72"/>
        <v>490.68890000000005</v>
      </c>
      <c r="H561" s="7">
        <f t="shared" si="73"/>
        <v>-0.12276975697054515</v>
      </c>
      <c r="I561" s="7">
        <f t="shared" si="74"/>
        <v>-0.44367177257600032</v>
      </c>
      <c r="J561" s="7">
        <f t="shared" si="75"/>
        <v>-0.14764297192543063</v>
      </c>
      <c r="K561" s="7">
        <f t="shared" si="78"/>
        <v>-2.6092008352954776E-2</v>
      </c>
      <c r="L561" s="7">
        <f t="shared" si="79"/>
        <v>8.4333981261056623E-2</v>
      </c>
      <c r="M561" s="7">
        <f t="shared" si="80"/>
        <v>-2.1048433562259272E-2</v>
      </c>
      <c r="N561" s="7">
        <f t="shared" si="76"/>
        <v>0.94940949346928372</v>
      </c>
      <c r="O561" s="7">
        <f t="shared" si="77"/>
        <v>5.0590506530716305E-2</v>
      </c>
    </row>
    <row r="562" spans="1:15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4">
        <f>IF(SUMIFS('Daily NSE Equity Cash'!$H:$H,'Daily NSE Equity Cash'!$A:$A,$A562)=0,"",SUMIFS('Daily NSE Equity Cash'!$H:$H,'Daily NSE Equity Cash'!$A:$A,$A562))</f>
        <v>390.02280000000002</v>
      </c>
      <c r="F562" s="4">
        <f>IF(SUMIFS('Daily BSE Equity Cash'!$H:$H,'Daily BSE Equity Cash'!$A:$A,$A562)=0,"",SUMIFS('Daily BSE Equity Cash'!$H:$H,'Daily BSE Equity Cash'!$A:$A,$A562))</f>
        <v>22.081</v>
      </c>
      <c r="G562" s="4">
        <f t="shared" si="72"/>
        <v>412.10380000000004</v>
      </c>
      <c r="H562" s="7" t="str">
        <f t="shared" si="73"/>
        <v/>
      </c>
      <c r="I562" s="7" t="str">
        <f t="shared" si="74"/>
        <v/>
      </c>
      <c r="J562" s="7" t="str">
        <f t="shared" si="75"/>
        <v/>
      </c>
      <c r="K562" s="7">
        <f t="shared" si="78"/>
        <v>-0.16279812572191021</v>
      </c>
      <c r="L562" s="7">
        <f t="shared" si="79"/>
        <v>-0.11050507166394086</v>
      </c>
      <c r="M562" s="7">
        <f t="shared" si="80"/>
        <v>-0.16015259362907941</v>
      </c>
      <c r="N562" s="7">
        <f t="shared" si="76"/>
        <v>0.94641883913712999</v>
      </c>
      <c r="O562" s="7">
        <f t="shared" si="77"/>
        <v>5.358116086286998E-2</v>
      </c>
    </row>
    <row r="563" spans="1:15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4">
        <f>IF(SUMIFS('Daily NSE Equity Cash'!$H:$H,'Daily NSE Equity Cash'!$A:$A,$A563)=0,"",SUMIFS('Daily NSE Equity Cash'!$H:$H,'Daily NSE Equity Cash'!$A:$A,$A563))</f>
        <v>411.85719999999998</v>
      </c>
      <c r="F563" s="4">
        <f>IF(SUMIFS('Daily BSE Equity Cash'!$H:$H,'Daily BSE Equity Cash'!$A:$A,$A563)=0,"",SUMIFS('Daily BSE Equity Cash'!$H:$H,'Daily BSE Equity Cash'!$A:$A,$A563))</f>
        <v>24.294699999999999</v>
      </c>
      <c r="G563" s="4">
        <f t="shared" si="72"/>
        <v>436.15189999999996</v>
      </c>
      <c r="H563" s="7">
        <f t="shared" si="73"/>
        <v>-0.29038954236654446</v>
      </c>
      <c r="I563" s="7">
        <f t="shared" si="74"/>
        <v>-0.56695483226979437</v>
      </c>
      <c r="J563" s="7">
        <f t="shared" si="75"/>
        <v>-0.31476635543384857</v>
      </c>
      <c r="K563" s="7">
        <f t="shared" si="78"/>
        <v>5.5982368210268696E-2</v>
      </c>
      <c r="L563" s="7">
        <f t="shared" si="79"/>
        <v>0.10025361170236846</v>
      </c>
      <c r="M563" s="7">
        <f t="shared" si="80"/>
        <v>5.835447282941808E-2</v>
      </c>
      <c r="N563" s="7">
        <f t="shared" si="76"/>
        <v>0.94429761741264917</v>
      </c>
      <c r="O563" s="7">
        <f t="shared" si="77"/>
        <v>5.5702382587350878E-2</v>
      </c>
    </row>
    <row r="564" spans="1:15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4">
        <f>IF(SUMIFS('Daily NSE Equity Cash'!$H:$H,'Daily NSE Equity Cash'!$A:$A,$A564)=0,"",SUMIFS('Daily NSE Equity Cash'!$H:$H,'Daily NSE Equity Cash'!$A:$A,$A564))</f>
        <v>460.76049999999998</v>
      </c>
      <c r="F564" s="4">
        <f>IF(SUMIFS('Daily BSE Equity Cash'!$H:$H,'Daily BSE Equity Cash'!$A:$A,$A564)=0,"",SUMIFS('Daily BSE Equity Cash'!$H:$H,'Daily BSE Equity Cash'!$A:$A,$A564))</f>
        <v>27.193100000000001</v>
      </c>
      <c r="G564" s="4">
        <f t="shared" si="72"/>
        <v>487.95359999999999</v>
      </c>
      <c r="H564" s="7">
        <f t="shared" si="73"/>
        <v>-0.31990658541254646</v>
      </c>
      <c r="I564" s="7">
        <f t="shared" si="74"/>
        <v>-0.54491582153495999</v>
      </c>
      <c r="J564" s="7">
        <f t="shared" si="75"/>
        <v>-0.33814355213883385</v>
      </c>
      <c r="K564" s="7">
        <f t="shared" si="78"/>
        <v>0.11873848508657847</v>
      </c>
      <c r="L564" s="7">
        <f t="shared" si="79"/>
        <v>0.119301740708879</v>
      </c>
      <c r="M564" s="7">
        <f t="shared" si="80"/>
        <v>0.11876985976674659</v>
      </c>
      <c r="N564" s="7">
        <f t="shared" si="76"/>
        <v>0.94427113561617326</v>
      </c>
      <c r="O564" s="7">
        <f t="shared" si="77"/>
        <v>5.5728864383826661E-2</v>
      </c>
    </row>
    <row r="565" spans="1:15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4">
        <f>IF(SUMIFS('Daily NSE Equity Cash'!$H:$H,'Daily NSE Equity Cash'!$A:$A,$A565)=0,"",SUMIFS('Daily NSE Equity Cash'!$H:$H,'Daily NSE Equity Cash'!$A:$A,$A565))</f>
        <v>463.24040000000002</v>
      </c>
      <c r="F565" s="4">
        <f>IF(SUMIFS('Daily BSE Equity Cash'!$H:$H,'Daily BSE Equity Cash'!$A:$A,$A565)=0,"",SUMIFS('Daily BSE Equity Cash'!$H:$H,'Daily BSE Equity Cash'!$A:$A,$A565))</f>
        <v>28.442299999999999</v>
      </c>
      <c r="G565" s="4">
        <f t="shared" si="72"/>
        <v>491.68270000000001</v>
      </c>
      <c r="H565" s="7">
        <f t="shared" si="73"/>
        <v>-0.21406750761348103</v>
      </c>
      <c r="I565" s="7">
        <f t="shared" si="74"/>
        <v>-0.45332285171716546</v>
      </c>
      <c r="J565" s="7">
        <f t="shared" si="75"/>
        <v>-0.23347357970923655</v>
      </c>
      <c r="K565" s="7">
        <f t="shared" si="78"/>
        <v>5.3821887943954483E-3</v>
      </c>
      <c r="L565" s="7">
        <f t="shared" si="79"/>
        <v>4.593812400939945E-2</v>
      </c>
      <c r="M565" s="7">
        <f t="shared" si="80"/>
        <v>7.6423250079515892E-3</v>
      </c>
      <c r="N565" s="7">
        <f t="shared" si="76"/>
        <v>0.94215314063317668</v>
      </c>
      <c r="O565" s="7">
        <f t="shared" si="77"/>
        <v>5.7846859366823357E-2</v>
      </c>
    </row>
    <row r="566" spans="1:15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4">
        <f>IF(SUMIFS('Daily NSE Equity Cash'!$H:$H,'Daily NSE Equity Cash'!$A:$A,$A566)=0,"",SUMIFS('Daily NSE Equity Cash'!$H:$H,'Daily NSE Equity Cash'!$A:$A,$A566))</f>
        <v>427.67099999999999</v>
      </c>
      <c r="F566" s="4">
        <f>IF(SUMIFS('Daily BSE Equity Cash'!$H:$H,'Daily BSE Equity Cash'!$A:$A,$A566)=0,"",SUMIFS('Daily BSE Equity Cash'!$H:$H,'Daily BSE Equity Cash'!$A:$A,$A566))</f>
        <v>25.426100000000002</v>
      </c>
      <c r="G566" s="4">
        <f t="shared" si="72"/>
        <v>453.09710000000001</v>
      </c>
      <c r="H566" s="7">
        <f t="shared" si="73"/>
        <v>-0.23684675889485352</v>
      </c>
      <c r="I566" s="7">
        <f t="shared" si="74"/>
        <v>-0.4635187427997518</v>
      </c>
      <c r="J566" s="7">
        <f t="shared" si="75"/>
        <v>-0.25452204949011503</v>
      </c>
      <c r="K566" s="7">
        <f t="shared" si="78"/>
        <v>-7.6783890178835912E-2</v>
      </c>
      <c r="L566" s="7">
        <f t="shared" si="79"/>
        <v>-0.10604627614503737</v>
      </c>
      <c r="M566" s="7">
        <f t="shared" si="80"/>
        <v>-7.8476627304560398E-2</v>
      </c>
      <c r="N566" s="7">
        <f t="shared" si="76"/>
        <v>0.94388377237461896</v>
      </c>
      <c r="O566" s="7">
        <f t="shared" si="77"/>
        <v>5.6116227625380967E-2</v>
      </c>
    </row>
    <row r="567" spans="1:15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4">
        <f>IF(SUMIFS('Daily NSE Equity Cash'!$H:$H,'Daily NSE Equity Cash'!$A:$A,$A567)=0,"",SUMIFS('Daily NSE Equity Cash'!$H:$H,'Daily NSE Equity Cash'!$A:$A,$A567))</f>
        <v>454.8897</v>
      </c>
      <c r="F567" s="4">
        <f>IF(SUMIFS('Daily BSE Equity Cash'!$H:$H,'Daily BSE Equity Cash'!$A:$A,$A567)=0,"",SUMIFS('Daily BSE Equity Cash'!$H:$H,'Daily BSE Equity Cash'!$A:$A,$A567))</f>
        <v>27.7546</v>
      </c>
      <c r="G567" s="4">
        <f t="shared" si="72"/>
        <v>482.64429999999999</v>
      </c>
      <c r="H567" s="7" t="str">
        <f t="shared" si="73"/>
        <v/>
      </c>
      <c r="I567" s="7" t="str">
        <f t="shared" si="74"/>
        <v/>
      </c>
      <c r="J567" s="7" t="str">
        <f t="shared" si="75"/>
        <v/>
      </c>
      <c r="K567" s="7">
        <f t="shared" si="78"/>
        <v>6.3644016077779364E-2</v>
      </c>
      <c r="L567" s="7">
        <f t="shared" si="79"/>
        <v>9.1579125386905602E-2</v>
      </c>
      <c r="M567" s="7">
        <f t="shared" si="80"/>
        <v>6.5211629030510254E-2</v>
      </c>
      <c r="N567" s="7">
        <f t="shared" si="76"/>
        <v>0.94249471090821957</v>
      </c>
      <c r="O567" s="7">
        <f t="shared" si="77"/>
        <v>5.7505289091780432E-2</v>
      </c>
    </row>
    <row r="568" spans="1:15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4">
        <f>IF(SUMIFS('Daily NSE Equity Cash'!$H:$H,'Daily NSE Equity Cash'!$A:$A,$A568)=0,"",SUMIFS('Daily NSE Equity Cash'!$H:$H,'Daily NSE Equity Cash'!$A:$A,$A568))</f>
        <v>403.34059999999999</v>
      </c>
      <c r="F568" s="4">
        <f>IF(SUMIFS('Daily BSE Equity Cash'!$H:$H,'Daily BSE Equity Cash'!$A:$A,$A568)=0,"",SUMIFS('Daily BSE Equity Cash'!$H:$H,'Daily BSE Equity Cash'!$A:$A,$A568))</f>
        <v>28.442299999999999</v>
      </c>
      <c r="G568" s="4">
        <f t="shared" si="72"/>
        <v>431.78289999999998</v>
      </c>
      <c r="H568" s="7">
        <f t="shared" si="73"/>
        <v>-0.27655452925802915</v>
      </c>
      <c r="I568" s="7">
        <f t="shared" si="74"/>
        <v>-0.66541855765181412</v>
      </c>
      <c r="J568" s="7">
        <f t="shared" si="75"/>
        <v>-0.32800190619699221</v>
      </c>
      <c r="K568" s="7">
        <f t="shared" si="78"/>
        <v>-0.11332219656765152</v>
      </c>
      <c r="L568" s="7">
        <f t="shared" si="79"/>
        <v>2.477787465861514E-2</v>
      </c>
      <c r="M568" s="7">
        <f t="shared" si="80"/>
        <v>-0.10538071204818955</v>
      </c>
      <c r="N568" s="7">
        <f t="shared" si="76"/>
        <v>0.93412823898306308</v>
      </c>
      <c r="O568" s="7">
        <f t="shared" si="77"/>
        <v>6.587176101693698E-2</v>
      </c>
    </row>
    <row r="569" spans="1:15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4">
        <f>IF(SUMIFS('Daily NSE Equity Cash'!$H:$H,'Daily NSE Equity Cash'!$A:$A,$A569)=0,"",SUMIFS('Daily NSE Equity Cash'!$H:$H,'Daily NSE Equity Cash'!$A:$A,$A569))</f>
        <v>424.05770000000001</v>
      </c>
      <c r="F569" s="4">
        <f>IF(SUMIFS('Daily BSE Equity Cash'!$H:$H,'Daily BSE Equity Cash'!$A:$A,$A569)=0,"",SUMIFS('Daily BSE Equity Cash'!$H:$H,'Daily BSE Equity Cash'!$A:$A,$A569))</f>
        <v>22.8797</v>
      </c>
      <c r="G569" s="4">
        <f t="shared" si="72"/>
        <v>446.93740000000003</v>
      </c>
      <c r="H569" s="7">
        <f t="shared" si="73"/>
        <v>-0.24066784203885894</v>
      </c>
      <c r="I569" s="7">
        <f t="shared" si="74"/>
        <v>-0.51025313908736358</v>
      </c>
      <c r="J569" s="7">
        <f t="shared" si="75"/>
        <v>-0.26147875636092999</v>
      </c>
      <c r="K569" s="7">
        <f t="shared" si="78"/>
        <v>5.1363785346677293E-2</v>
      </c>
      <c r="L569" s="7">
        <f t="shared" si="79"/>
        <v>-0.19557490076400286</v>
      </c>
      <c r="M569" s="7">
        <f t="shared" si="80"/>
        <v>3.5097499229358231E-2</v>
      </c>
      <c r="N569" s="7">
        <f t="shared" si="76"/>
        <v>0.9488078196185864</v>
      </c>
      <c r="O569" s="7">
        <f t="shared" si="77"/>
        <v>5.1192180381413592E-2</v>
      </c>
    </row>
    <row r="570" spans="1:15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4">
        <f>IF(SUMIFS('Daily NSE Equity Cash'!$H:$H,'Daily NSE Equity Cash'!$A:$A,$A570)=0,"",SUMIFS('Daily NSE Equity Cash'!$H:$H,'Daily NSE Equity Cash'!$A:$A,$A570))</f>
        <v>420.83569999999997</v>
      </c>
      <c r="F570" s="4">
        <f>IF(SUMIFS('Daily BSE Equity Cash'!$H:$H,'Daily BSE Equity Cash'!$A:$A,$A570)=0,"",SUMIFS('Daily BSE Equity Cash'!$H:$H,'Daily BSE Equity Cash'!$A:$A,$A570))</f>
        <v>23.810500000000001</v>
      </c>
      <c r="G570" s="4">
        <f t="shared" si="72"/>
        <v>444.64619999999996</v>
      </c>
      <c r="H570" s="7">
        <f t="shared" si="73"/>
        <v>-0.27404884401913054</v>
      </c>
      <c r="I570" s="7">
        <f t="shared" si="74"/>
        <v>-0.47131951969021435</v>
      </c>
      <c r="J570" s="7">
        <f t="shared" si="75"/>
        <v>-0.28827011424430737</v>
      </c>
      <c r="K570" s="7">
        <f t="shared" si="78"/>
        <v>-7.5980226275812468E-3</v>
      </c>
      <c r="L570" s="7">
        <f t="shared" si="79"/>
        <v>4.0682351604260703E-2</v>
      </c>
      <c r="M570" s="7">
        <f t="shared" si="80"/>
        <v>-5.1264450010226614E-3</v>
      </c>
      <c r="N570" s="7">
        <f t="shared" si="76"/>
        <v>0.94645068371212893</v>
      </c>
      <c r="O570" s="7">
        <f t="shared" si="77"/>
        <v>5.3549316287871129E-2</v>
      </c>
    </row>
    <row r="571" spans="1:15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4">
        <f>IF(SUMIFS('Daily NSE Equity Cash'!$H:$H,'Daily NSE Equity Cash'!$A:$A,$A571)=0,"",SUMIFS('Daily NSE Equity Cash'!$H:$H,'Daily NSE Equity Cash'!$A:$A,$A571))</f>
        <v>413.47980000000001</v>
      </c>
      <c r="F571" s="4">
        <f>IF(SUMIFS('Daily BSE Equity Cash'!$H:$H,'Daily BSE Equity Cash'!$A:$A,$A571)=0,"",SUMIFS('Daily BSE Equity Cash'!$H:$H,'Daily BSE Equity Cash'!$A:$A,$A571))</f>
        <v>23.723800000000001</v>
      </c>
      <c r="G571" s="4">
        <f t="shared" si="72"/>
        <v>437.20359999999999</v>
      </c>
      <c r="H571" s="7">
        <f t="shared" si="73"/>
        <v>-0.33324464328216397</v>
      </c>
      <c r="I571" s="7">
        <f t="shared" si="74"/>
        <v>-0.51875968614850332</v>
      </c>
      <c r="J571" s="7">
        <f t="shared" si="75"/>
        <v>-0.34690598511220816</v>
      </c>
      <c r="K571" s="7">
        <f t="shared" si="78"/>
        <v>-1.7479268037383644E-2</v>
      </c>
      <c r="L571" s="7">
        <f t="shared" si="79"/>
        <v>-3.6412507087210111E-3</v>
      </c>
      <c r="M571" s="7">
        <f t="shared" si="80"/>
        <v>-1.6738251670654014E-2</v>
      </c>
      <c r="N571" s="7">
        <f t="shared" si="76"/>
        <v>0.9457374092985511</v>
      </c>
      <c r="O571" s="7">
        <f t="shared" si="77"/>
        <v>5.426259070144894E-2</v>
      </c>
    </row>
    <row r="572" spans="1:15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4">
        <f>IF(SUMIFS('Daily NSE Equity Cash'!$H:$H,'Daily NSE Equity Cash'!$A:$A,$A572)=0,"",SUMIFS('Daily NSE Equity Cash'!$H:$H,'Daily NSE Equity Cash'!$A:$A,$A572))</f>
        <v>441.56169999999997</v>
      </c>
      <c r="F572" s="4">
        <f>IF(SUMIFS('Daily BSE Equity Cash'!$H:$H,'Daily BSE Equity Cash'!$A:$A,$A572)=0,"",SUMIFS('Daily BSE Equity Cash'!$H:$H,'Daily BSE Equity Cash'!$A:$A,$A572))</f>
        <v>118.17959999999999</v>
      </c>
      <c r="G572" s="4">
        <f t="shared" si="72"/>
        <v>559.74129999999991</v>
      </c>
      <c r="H572" s="7" t="str">
        <f t="shared" si="73"/>
        <v/>
      </c>
      <c r="I572" s="7" t="str">
        <f t="shared" si="74"/>
        <v/>
      </c>
      <c r="J572" s="7" t="str">
        <f t="shared" si="75"/>
        <v/>
      </c>
      <c r="K572" s="7">
        <f t="shared" si="78"/>
        <v>6.7916014276876213E-2</v>
      </c>
      <c r="L572" s="7">
        <f t="shared" si="79"/>
        <v>3.9814785152462919</v>
      </c>
      <c r="M572" s="7">
        <f t="shared" si="80"/>
        <v>0.2802760544515186</v>
      </c>
      <c r="N572" s="7">
        <f t="shared" si="76"/>
        <v>0.78886746430895849</v>
      </c>
      <c r="O572" s="7">
        <f t="shared" si="77"/>
        <v>0.21113253569104157</v>
      </c>
    </row>
    <row r="573" spans="1:15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4">
        <f>IF(SUMIFS('Daily NSE Equity Cash'!$H:$H,'Daily NSE Equity Cash'!$A:$A,$A573)=0,"",SUMIFS('Daily NSE Equity Cash'!$H:$H,'Daily NSE Equity Cash'!$A:$A,$A573))</f>
        <v>445.86579999999998</v>
      </c>
      <c r="F573" s="4">
        <f>IF(SUMIFS('Daily BSE Equity Cash'!$H:$H,'Daily BSE Equity Cash'!$A:$A,$A573)=0,"",SUMIFS('Daily BSE Equity Cash'!$H:$H,'Daily BSE Equity Cash'!$A:$A,$A573))</f>
        <v>28.290199999999999</v>
      </c>
      <c r="G573" s="4">
        <f t="shared" si="72"/>
        <v>474.15599999999995</v>
      </c>
      <c r="H573" s="7">
        <f t="shared" si="73"/>
        <v>-0.32364294224386947</v>
      </c>
      <c r="I573" s="7">
        <f t="shared" si="74"/>
        <v>-0.6547247092824573</v>
      </c>
      <c r="J573" s="7">
        <f t="shared" si="75"/>
        <v>-0.36024441956425124</v>
      </c>
      <c r="K573" s="7">
        <f t="shared" si="78"/>
        <v>9.7474486577979746E-3</v>
      </c>
      <c r="L573" s="7">
        <f t="shared" si="79"/>
        <v>-0.76061689157858037</v>
      </c>
      <c r="M573" s="7">
        <f t="shared" si="80"/>
        <v>-0.15290152790226486</v>
      </c>
      <c r="N573" s="7">
        <f t="shared" si="76"/>
        <v>0.94033567011700792</v>
      </c>
      <c r="O573" s="7">
        <f t="shared" si="77"/>
        <v>5.9664329882992098E-2</v>
      </c>
    </row>
    <row r="574" spans="1:15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4">
        <f>IF(SUMIFS('Daily NSE Equity Cash'!$H:$H,'Daily NSE Equity Cash'!$A:$A,$A574)=0,"",SUMIFS('Daily NSE Equity Cash'!$H:$H,'Daily NSE Equity Cash'!$A:$A,$A574))</f>
        <v>513.78650000000005</v>
      </c>
      <c r="F574" s="4">
        <f>IF(SUMIFS('Daily BSE Equity Cash'!$H:$H,'Daily BSE Equity Cash'!$A:$A,$A574)=0,"",SUMIFS('Daily BSE Equity Cash'!$H:$H,'Daily BSE Equity Cash'!$A:$A,$A574))</f>
        <v>31.393699999999999</v>
      </c>
      <c r="G574" s="4">
        <f t="shared" si="72"/>
        <v>545.18020000000001</v>
      </c>
      <c r="H574" s="7">
        <f t="shared" si="73"/>
        <v>-0.19645966905092005</v>
      </c>
      <c r="I574" s="7">
        <f t="shared" si="74"/>
        <v>-0.52129155230253121</v>
      </c>
      <c r="J574" s="7">
        <f t="shared" si="75"/>
        <v>-0.22667665271598558</v>
      </c>
      <c r="K574" s="7">
        <f t="shared" si="78"/>
        <v>0.15233440196579351</v>
      </c>
      <c r="L574" s="7">
        <f t="shared" si="79"/>
        <v>0.10970229973630441</v>
      </c>
      <c r="M574" s="7">
        <f t="shared" si="80"/>
        <v>0.14979078615476782</v>
      </c>
      <c r="N574" s="7">
        <f t="shared" si="76"/>
        <v>0.94241592046079448</v>
      </c>
      <c r="O574" s="7">
        <f t="shared" si="77"/>
        <v>5.7584079539205565E-2</v>
      </c>
    </row>
    <row r="575" spans="1:15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4">
        <f>IF(SUMIFS('Daily NSE Equity Cash'!$H:$H,'Daily NSE Equity Cash'!$A:$A,$A575)=0,"",SUMIFS('Daily NSE Equity Cash'!$H:$H,'Daily NSE Equity Cash'!$A:$A,$A575))</f>
        <v>498.46719999999999</v>
      </c>
      <c r="F575" s="4">
        <f>IF(SUMIFS('Daily BSE Equity Cash'!$H:$H,'Daily BSE Equity Cash'!$A:$A,$A575)=0,"",SUMIFS('Daily BSE Equity Cash'!$H:$H,'Daily BSE Equity Cash'!$A:$A,$A575))</f>
        <v>28.8932</v>
      </c>
      <c r="G575" s="4">
        <f t="shared" si="72"/>
        <v>527.36040000000003</v>
      </c>
      <c r="H575" s="7" t="str">
        <f t="shared" si="73"/>
        <v/>
      </c>
      <c r="I575" s="7" t="str">
        <f t="shared" si="74"/>
        <v/>
      </c>
      <c r="J575" s="7" t="str">
        <f t="shared" si="75"/>
        <v/>
      </c>
      <c r="K575" s="7">
        <f t="shared" si="78"/>
        <v>-2.981647046000635E-2</v>
      </c>
      <c r="L575" s="7">
        <f t="shared" si="79"/>
        <v>-7.9649738641829337E-2</v>
      </c>
      <c r="M575" s="7">
        <f t="shared" si="80"/>
        <v>-3.2686073338686894E-2</v>
      </c>
      <c r="N575" s="7">
        <f t="shared" si="76"/>
        <v>0.94521166170231963</v>
      </c>
      <c r="O575" s="7">
        <f t="shared" si="77"/>
        <v>5.4788338297680296E-2</v>
      </c>
    </row>
    <row r="576" spans="1:15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4">
        <f>IF(SUMIFS('Daily NSE Equity Cash'!$H:$H,'Daily NSE Equity Cash'!$A:$A,$A576)=0,"",SUMIFS('Daily NSE Equity Cash'!$H:$H,'Daily NSE Equity Cash'!$A:$A,$A576))</f>
        <v>476.86279999999999</v>
      </c>
      <c r="F576" s="4">
        <f>IF(SUMIFS('Daily BSE Equity Cash'!$H:$H,'Daily BSE Equity Cash'!$A:$A,$A576)=0,"",SUMIFS('Daily BSE Equity Cash'!$H:$H,'Daily BSE Equity Cash'!$A:$A,$A576))</f>
        <v>29.857900000000001</v>
      </c>
      <c r="G576" s="4">
        <f t="shared" si="72"/>
        <v>506.72069999999997</v>
      </c>
      <c r="H576" s="7">
        <f t="shared" si="73"/>
        <v>-0.2767085472295806</v>
      </c>
      <c r="I576" s="7">
        <f t="shared" si="74"/>
        <v>-0.40281811272450896</v>
      </c>
      <c r="J576" s="7">
        <f t="shared" si="75"/>
        <v>-0.28559799293240395</v>
      </c>
      <c r="K576" s="7">
        <f t="shared" si="78"/>
        <v>-4.334166821808938E-2</v>
      </c>
      <c r="L576" s="7">
        <f t="shared" si="79"/>
        <v>3.3388478950064471E-2</v>
      </c>
      <c r="M576" s="7">
        <f t="shared" si="80"/>
        <v>-3.91377509574099E-2</v>
      </c>
      <c r="N576" s="7">
        <f t="shared" si="76"/>
        <v>0.94107621812173847</v>
      </c>
      <c r="O576" s="7">
        <f t="shared" si="77"/>
        <v>5.8923781878261541E-2</v>
      </c>
    </row>
    <row r="577" spans="1:15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4">
        <f>IF(SUMIFS('Daily NSE Equity Cash'!$H:$H,'Daily NSE Equity Cash'!$A:$A,$A577)=0,"",SUMIFS('Daily NSE Equity Cash'!$H:$H,'Daily NSE Equity Cash'!$A:$A,$A577))</f>
        <v>555.39660000000003</v>
      </c>
      <c r="F577" s="4">
        <f>IF(SUMIFS('Daily BSE Equity Cash'!$H:$H,'Daily BSE Equity Cash'!$A:$A,$A577)=0,"",SUMIFS('Daily BSE Equity Cash'!$H:$H,'Daily BSE Equity Cash'!$A:$A,$A577))</f>
        <v>30.3902</v>
      </c>
      <c r="G577" s="4">
        <f t="shared" si="72"/>
        <v>585.78680000000008</v>
      </c>
      <c r="H577" s="7" t="str">
        <f t="shared" si="73"/>
        <v/>
      </c>
      <c r="I577" s="7" t="str">
        <f t="shared" si="74"/>
        <v/>
      </c>
      <c r="J577" s="7" t="str">
        <f t="shared" si="75"/>
        <v/>
      </c>
      <c r="K577" s="7">
        <f t="shared" si="78"/>
        <v>0.16468845965757883</v>
      </c>
      <c r="L577" s="7">
        <f t="shared" si="79"/>
        <v>1.7827777573104608E-2</v>
      </c>
      <c r="M577" s="7">
        <f t="shared" si="80"/>
        <v>0.15603487285994055</v>
      </c>
      <c r="N577" s="7">
        <f t="shared" si="76"/>
        <v>0.9481207155914062</v>
      </c>
      <c r="O577" s="7">
        <f t="shared" si="77"/>
        <v>5.1879284408593698E-2</v>
      </c>
    </row>
    <row r="578" spans="1:15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4">
        <f>IF(SUMIFS('Daily NSE Equity Cash'!$H:$H,'Daily NSE Equity Cash'!$A:$A,$A578)=0,"",SUMIFS('Daily NSE Equity Cash'!$H:$H,'Daily NSE Equity Cash'!$A:$A,$A578))</f>
        <v>472.5025</v>
      </c>
      <c r="F578" s="4">
        <f>IF(SUMIFS('Daily BSE Equity Cash'!$H:$H,'Daily BSE Equity Cash'!$A:$A,$A578)=0,"",SUMIFS('Daily BSE Equity Cash'!$H:$H,'Daily BSE Equity Cash'!$A:$A,$A578))</f>
        <v>30.200199999999999</v>
      </c>
      <c r="G578" s="4">
        <f t="shared" ref="G578:G641" si="81">IF(OR(E578="",F578=""),"",E578+F578)</f>
        <v>502.70269999999999</v>
      </c>
      <c r="H578" s="7">
        <f t="shared" ref="H578:H641" si="82">IFERROR(IF(OR(E578="",INDEX(E:E,MATCH(DATE(YEAR($A578)-1,MONTH($A578),DAY($A578)),$A:$A,0))=""),"",E578/INDEX(E:E,MATCH(DATE(YEAR($A578)-1,MONTH($A578),DAY($A578)),$A:$A,0))-1),"")</f>
        <v>-0.23205887744992237</v>
      </c>
      <c r="I578" s="7">
        <f t="shared" ref="I578:I641" si="83">IFERROR(IF(OR(F578="",INDEX(F:F,MATCH(DATE(YEAR($A578)-1,MONTH($A578),DAY($A578)),$A:$A,0))=""),"",F578/INDEX(F:F,MATCH(DATE(YEAR($A578)-1,MONTH($A578),DAY($A578)),$A:$A,0))-1),"")</f>
        <v>-0.42635119990578552</v>
      </c>
      <c r="J578" s="7">
        <f t="shared" ref="J578:J641" si="84">IFERROR(IF(OR(G578="",INDEX(G:G,MATCH(DATE(YEAR($A578)-1,MONTH($A578),DAY($A578)),$A:$A,0))=""),"",G578/INDEX(G:G,MATCH(DATE(YEAR($A578)-1,MONTH($A578),DAY($A578)),$A:$A,0))-1),"")</f>
        <v>-0.24737285580268376</v>
      </c>
      <c r="K578" s="7">
        <f t="shared" si="78"/>
        <v>-0.14925208400627599</v>
      </c>
      <c r="L578" s="7">
        <f t="shared" si="79"/>
        <v>-6.2520154523497684E-3</v>
      </c>
      <c r="M578" s="7">
        <f t="shared" si="80"/>
        <v>-0.14183334277931847</v>
      </c>
      <c r="N578" s="7">
        <f t="shared" ref="N578:N641" si="85">IF(G578="","",E578/G578)</f>
        <v>0.93992433301034584</v>
      </c>
      <c r="O578" s="7">
        <f t="shared" ref="O578:O641" si="86">IF(G578="","",F578/G578)</f>
        <v>6.0075666989654122E-2</v>
      </c>
    </row>
    <row r="579" spans="1:15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4">
        <f>IF(SUMIFS('Daily NSE Equity Cash'!$H:$H,'Daily NSE Equity Cash'!$A:$A,$A579)=0,"",SUMIFS('Daily NSE Equity Cash'!$H:$H,'Daily NSE Equity Cash'!$A:$A,$A579))</f>
        <v>440.96769999999998</v>
      </c>
      <c r="F579" s="4">
        <f>IF(SUMIFS('Daily BSE Equity Cash'!$H:$H,'Daily BSE Equity Cash'!$A:$A,$A579)=0,"",SUMIFS('Daily BSE Equity Cash'!$H:$H,'Daily BSE Equity Cash'!$A:$A,$A579))</f>
        <v>27.632400000000001</v>
      </c>
      <c r="G579" s="4">
        <f t="shared" si="81"/>
        <v>468.6001</v>
      </c>
      <c r="H579" s="7">
        <f t="shared" si="82"/>
        <v>-0.37638315901895203</v>
      </c>
      <c r="I579" s="7">
        <f t="shared" si="83"/>
        <v>-0.49186278728498456</v>
      </c>
      <c r="J579" s="7">
        <f t="shared" si="84"/>
        <v>-0.38462979961733068</v>
      </c>
      <c r="K579" s="7">
        <f t="shared" ref="K579:K642" si="87">IF(OR(E579="",E578=""),"",E579/E578-1)</f>
        <v>-6.6739964338813018E-2</v>
      </c>
      <c r="L579" s="7">
        <f t="shared" ref="L579:L642" si="88">IF(OR(F579="",F578=""),"",F579/F578-1)</f>
        <v>-8.5025926980615951E-2</v>
      </c>
      <c r="M579" s="7">
        <f t="shared" ref="M579:M642" si="89">IF(OR(G579="",G578=""),"",G579/G578-1)</f>
        <v>-6.7838505741067201E-2</v>
      </c>
      <c r="N579" s="7">
        <f t="shared" si="85"/>
        <v>0.94103202282713982</v>
      </c>
      <c r="O579" s="7">
        <f t="shared" si="86"/>
        <v>5.8967977172860189E-2</v>
      </c>
    </row>
    <row r="580" spans="1:15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4">
        <f>IF(SUMIFS('Daily NSE Equity Cash'!$H:$H,'Daily NSE Equity Cash'!$A:$A,$A580)=0,"",SUMIFS('Daily NSE Equity Cash'!$H:$H,'Daily NSE Equity Cash'!$A:$A,$A580))</f>
        <v>579.08320000000003</v>
      </c>
      <c r="F580" s="4">
        <f>IF(SUMIFS('Daily BSE Equity Cash'!$H:$H,'Daily BSE Equity Cash'!$A:$A,$A580)=0,"",SUMIFS('Daily BSE Equity Cash'!$H:$H,'Daily BSE Equity Cash'!$A:$A,$A580))</f>
        <v>33.5623</v>
      </c>
      <c r="G580" s="4">
        <f t="shared" si="81"/>
        <v>612.64550000000008</v>
      </c>
      <c r="H580" s="7">
        <f t="shared" si="82"/>
        <v>-0.14369131653257516</v>
      </c>
      <c r="I580" s="7">
        <f t="shared" si="83"/>
        <v>-0.32837385960453613</v>
      </c>
      <c r="J580" s="7">
        <f t="shared" si="84"/>
        <v>-0.15639932919036714</v>
      </c>
      <c r="K580" s="7">
        <f t="shared" si="87"/>
        <v>0.31321001515530522</v>
      </c>
      <c r="L580" s="7">
        <f t="shared" si="88"/>
        <v>0.21459952809021288</v>
      </c>
      <c r="M580" s="7">
        <f t="shared" si="89"/>
        <v>0.30739515420504615</v>
      </c>
      <c r="N580" s="7">
        <f t="shared" si="85"/>
        <v>0.9452174218206123</v>
      </c>
      <c r="O580" s="7">
        <f t="shared" si="86"/>
        <v>5.4782578179387587E-2</v>
      </c>
    </row>
    <row r="581" spans="1:15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4">
        <f>IF(SUMIFS('Daily NSE Equity Cash'!$H:$H,'Daily NSE Equity Cash'!$A:$A,$A581)=0,"",SUMIFS('Daily NSE Equity Cash'!$H:$H,'Daily NSE Equity Cash'!$A:$A,$A581))</f>
        <v>625.90430000000003</v>
      </c>
      <c r="F581" s="4">
        <f>IF(SUMIFS('Daily BSE Equity Cash'!$H:$H,'Daily BSE Equity Cash'!$A:$A,$A581)=0,"",SUMIFS('Daily BSE Equity Cash'!$H:$H,'Daily BSE Equity Cash'!$A:$A,$A581))</f>
        <v>39.523299999999999</v>
      </c>
      <c r="G581" s="4">
        <f t="shared" si="81"/>
        <v>665.42759999999998</v>
      </c>
      <c r="H581" s="7">
        <f t="shared" si="82"/>
        <v>-0.15823828108031479</v>
      </c>
      <c r="I581" s="7">
        <f t="shared" si="83"/>
        <v>-0.26951553998107414</v>
      </c>
      <c r="J581" s="7">
        <f t="shared" si="84"/>
        <v>-0.16578616503585508</v>
      </c>
      <c r="K581" s="7">
        <f t="shared" si="87"/>
        <v>8.0853839310137232E-2</v>
      </c>
      <c r="L581" s="7">
        <f t="shared" si="88"/>
        <v>0.17760999693108026</v>
      </c>
      <c r="M581" s="7">
        <f t="shared" si="89"/>
        <v>8.6154391079343418E-2</v>
      </c>
      <c r="N581" s="7">
        <f t="shared" si="85"/>
        <v>0.94060465781701874</v>
      </c>
      <c r="O581" s="7">
        <f t="shared" si="86"/>
        <v>5.9395342182981287E-2</v>
      </c>
    </row>
    <row r="582" spans="1:15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4">
        <f>IF(SUMIFS('Daily NSE Equity Cash'!$H:$H,'Daily NSE Equity Cash'!$A:$A,$A582)=0,"",SUMIFS('Daily NSE Equity Cash'!$H:$H,'Daily NSE Equity Cash'!$A:$A,$A582))</f>
        <v>586.19299999999998</v>
      </c>
      <c r="F582" s="4">
        <f>IF(SUMIFS('Daily BSE Equity Cash'!$H:$H,'Daily BSE Equity Cash'!$A:$A,$A582)=0,"",SUMIFS('Daily BSE Equity Cash'!$H:$H,'Daily BSE Equity Cash'!$A:$A,$A582))</f>
        <v>135.91079999999999</v>
      </c>
      <c r="G582" s="4">
        <f t="shared" si="81"/>
        <v>722.10379999999998</v>
      </c>
      <c r="H582" s="7" t="str">
        <f t="shared" si="82"/>
        <v/>
      </c>
      <c r="I582" s="7" t="str">
        <f t="shared" si="83"/>
        <v/>
      </c>
      <c r="J582" s="7" t="str">
        <f t="shared" si="84"/>
        <v/>
      </c>
      <c r="K582" s="7">
        <f t="shared" si="87"/>
        <v>-6.3446280845170788E-2</v>
      </c>
      <c r="L582" s="7">
        <f t="shared" si="88"/>
        <v>2.4387513188423031</v>
      </c>
      <c r="M582" s="7">
        <f t="shared" si="89"/>
        <v>8.5172601797701253E-2</v>
      </c>
      <c r="N582" s="7">
        <f t="shared" si="85"/>
        <v>0.81178495390828853</v>
      </c>
      <c r="O582" s="7">
        <f t="shared" si="86"/>
        <v>0.18821504609171147</v>
      </c>
    </row>
    <row r="583" spans="1:15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4">
        <f>IF(SUMIFS('Daily NSE Equity Cash'!$H:$H,'Daily NSE Equity Cash'!$A:$A,$A583)=0,"",SUMIFS('Daily NSE Equity Cash'!$H:$H,'Daily NSE Equity Cash'!$A:$A,$A583))</f>
        <v>619.82740000000001</v>
      </c>
      <c r="F583" s="4">
        <f>IF(SUMIFS('Daily BSE Equity Cash'!$H:$H,'Daily BSE Equity Cash'!$A:$A,$A583)=0,"",SUMIFS('Daily BSE Equity Cash'!$H:$H,'Daily BSE Equity Cash'!$A:$A,$A583))</f>
        <v>46.84</v>
      </c>
      <c r="G583" s="4">
        <f t="shared" si="81"/>
        <v>666.66740000000004</v>
      </c>
      <c r="H583" s="7">
        <f t="shared" si="82"/>
        <v>-7.2794112697357249E-2</v>
      </c>
      <c r="I583" s="7">
        <f t="shared" si="83"/>
        <v>-7.6920651437039855E-2</v>
      </c>
      <c r="J583" s="7">
        <f t="shared" si="84"/>
        <v>-7.3085247653506213E-2</v>
      </c>
      <c r="K583" s="7">
        <f t="shared" si="87"/>
        <v>5.7377689600524029E-2</v>
      </c>
      <c r="L583" s="7">
        <f t="shared" si="88"/>
        <v>-0.65536219343863766</v>
      </c>
      <c r="M583" s="7">
        <f t="shared" si="89"/>
        <v>-7.6770680337092778E-2</v>
      </c>
      <c r="N583" s="7">
        <f t="shared" si="85"/>
        <v>0.9297400772859149</v>
      </c>
      <c r="O583" s="7">
        <f t="shared" si="86"/>
        <v>7.0259922714085016E-2</v>
      </c>
    </row>
    <row r="584" spans="1:15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4">
        <f>IF(SUMIFS('Daily NSE Equity Cash'!$H:$H,'Daily NSE Equity Cash'!$A:$A,$A584)=0,"",SUMIFS('Daily NSE Equity Cash'!$H:$H,'Daily NSE Equity Cash'!$A:$A,$A584))</f>
        <v>573.96789999999999</v>
      </c>
      <c r="F584" s="4">
        <f>IF(SUMIFS('Daily BSE Equity Cash'!$H:$H,'Daily BSE Equity Cash'!$A:$A,$A584)=0,"",SUMIFS('Daily BSE Equity Cash'!$H:$H,'Daily BSE Equity Cash'!$A:$A,$A584))</f>
        <v>69.319000000000003</v>
      </c>
      <c r="G584" s="4">
        <f t="shared" si="81"/>
        <v>643.28689999999995</v>
      </c>
      <c r="H584" s="7">
        <f t="shared" si="82"/>
        <v>-0.16853216569791862</v>
      </c>
      <c r="I584" s="7">
        <f t="shared" si="83"/>
        <v>0.3992248844391515</v>
      </c>
      <c r="J584" s="7">
        <f t="shared" si="84"/>
        <v>-0.13051454637021298</v>
      </c>
      <c r="K584" s="7">
        <f t="shared" si="87"/>
        <v>-7.3987532658285282E-2</v>
      </c>
      <c r="L584" s="7">
        <f t="shared" si="88"/>
        <v>0.47991033304867625</v>
      </c>
      <c r="M584" s="7">
        <f t="shared" si="89"/>
        <v>-3.5070711422217626E-2</v>
      </c>
      <c r="N584" s="7">
        <f t="shared" si="85"/>
        <v>0.89224248154283892</v>
      </c>
      <c r="O584" s="7">
        <f t="shared" si="86"/>
        <v>0.10775751845716119</v>
      </c>
    </row>
    <row r="585" spans="1:15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4">
        <f>IF(SUMIFS('Daily NSE Equity Cash'!$H:$H,'Daily NSE Equity Cash'!$A:$A,$A585)=0,"",SUMIFS('Daily NSE Equity Cash'!$H:$H,'Daily NSE Equity Cash'!$A:$A,$A585))</f>
        <v>613.46320000000003</v>
      </c>
      <c r="F585" s="4">
        <f>IF(SUMIFS('Daily BSE Equity Cash'!$H:$H,'Daily BSE Equity Cash'!$A:$A,$A585)=0,"",SUMIFS('Daily BSE Equity Cash'!$H:$H,'Daily BSE Equity Cash'!$A:$A,$A585))</f>
        <v>41.6982</v>
      </c>
      <c r="G585" s="4">
        <f t="shared" si="81"/>
        <v>655.16140000000007</v>
      </c>
      <c r="H585" s="7">
        <f t="shared" si="82"/>
        <v>-0.2001125516323442</v>
      </c>
      <c r="I585" s="7">
        <f t="shared" si="83"/>
        <v>-0.33926384159394818</v>
      </c>
      <c r="J585" s="7">
        <f t="shared" si="84"/>
        <v>-0.21069228003859064</v>
      </c>
      <c r="K585" s="7">
        <f t="shared" si="87"/>
        <v>6.8810990997928645E-2</v>
      </c>
      <c r="L585" s="7">
        <f t="shared" si="88"/>
        <v>-0.39845929687387294</v>
      </c>
      <c r="M585" s="7">
        <f t="shared" si="89"/>
        <v>1.8459104328100162E-2</v>
      </c>
      <c r="N585" s="7">
        <f t="shared" si="85"/>
        <v>0.93635430902980543</v>
      </c>
      <c r="O585" s="7">
        <f t="shared" si="86"/>
        <v>6.3645690970194513E-2</v>
      </c>
    </row>
    <row r="586" spans="1:15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4">
        <f>IF(SUMIFS('Daily NSE Equity Cash'!$H:$H,'Daily NSE Equity Cash'!$A:$A,$A586)=0,"",SUMIFS('Daily NSE Equity Cash'!$H:$H,'Daily NSE Equity Cash'!$A:$A,$A586))</f>
        <v>591.68560000000002</v>
      </c>
      <c r="F586" s="4">
        <f>IF(SUMIFS('Daily BSE Equity Cash'!$H:$H,'Daily BSE Equity Cash'!$A:$A,$A586)=0,"",SUMIFS('Daily BSE Equity Cash'!$H:$H,'Daily BSE Equity Cash'!$A:$A,$A586))</f>
        <v>36.471200000000003</v>
      </c>
      <c r="G586" s="4">
        <f t="shared" si="81"/>
        <v>628.15679999999998</v>
      </c>
      <c r="H586" s="7">
        <f t="shared" si="82"/>
        <v>-0.12849662967290065</v>
      </c>
      <c r="I586" s="7">
        <f t="shared" si="83"/>
        <v>-0.5071639278026342</v>
      </c>
      <c r="J586" s="7">
        <f t="shared" si="84"/>
        <v>-0.16571453920089829</v>
      </c>
      <c r="K586" s="7">
        <f t="shared" si="87"/>
        <v>-3.5499439901203522E-2</v>
      </c>
      <c r="L586" s="7">
        <f t="shared" si="88"/>
        <v>-0.1253531327491354</v>
      </c>
      <c r="M586" s="7">
        <f t="shared" si="89"/>
        <v>-4.1218240268733886E-2</v>
      </c>
      <c r="N586" s="7">
        <f t="shared" si="85"/>
        <v>0.94193933743931457</v>
      </c>
      <c r="O586" s="7">
        <f t="shared" si="86"/>
        <v>5.806066256068549E-2</v>
      </c>
    </row>
    <row r="587" spans="1:15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4">
        <f>IF(SUMIFS('Daily NSE Equity Cash'!$H:$H,'Daily NSE Equity Cash'!$A:$A,$A587)=0,"",SUMIFS('Daily NSE Equity Cash'!$H:$H,'Daily NSE Equity Cash'!$A:$A,$A587))</f>
        <v>574.9298</v>
      </c>
      <c r="F587" s="4">
        <f>IF(SUMIFS('Daily BSE Equity Cash'!$H:$H,'Daily BSE Equity Cash'!$A:$A,$A587)=0,"",SUMIFS('Daily BSE Equity Cash'!$H:$H,'Daily BSE Equity Cash'!$A:$A,$A587))</f>
        <v>34.065899999999999</v>
      </c>
      <c r="G587" s="4">
        <f t="shared" si="81"/>
        <v>608.99569999999994</v>
      </c>
      <c r="H587" s="7" t="str">
        <f t="shared" si="82"/>
        <v/>
      </c>
      <c r="I587" s="7" t="str">
        <f t="shared" si="83"/>
        <v/>
      </c>
      <c r="J587" s="7" t="str">
        <f t="shared" si="84"/>
        <v/>
      </c>
      <c r="K587" s="7">
        <f t="shared" si="87"/>
        <v>-2.8318755771646331E-2</v>
      </c>
      <c r="L587" s="7">
        <f t="shared" si="88"/>
        <v>-6.595066792428006E-2</v>
      </c>
      <c r="M587" s="7">
        <f t="shared" si="89"/>
        <v>-3.0503689524653765E-2</v>
      </c>
      <c r="N587" s="7">
        <f t="shared" si="85"/>
        <v>0.94406216661299913</v>
      </c>
      <c r="O587" s="7">
        <f t="shared" si="86"/>
        <v>5.5937833387000931E-2</v>
      </c>
    </row>
    <row r="588" spans="1:15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4">
        <f>IF(SUMIFS('Daily NSE Equity Cash'!$H:$H,'Daily NSE Equity Cash'!$A:$A,$A588)=0,"",SUMIFS('Daily NSE Equity Cash'!$H:$H,'Daily NSE Equity Cash'!$A:$A,$A588))</f>
        <v>557.11710000000005</v>
      </c>
      <c r="F588" s="4">
        <f>IF(SUMIFS('Daily BSE Equity Cash'!$H:$H,'Daily BSE Equity Cash'!$A:$A,$A588)=0,"",SUMIFS('Daily BSE Equity Cash'!$H:$H,'Daily BSE Equity Cash'!$A:$A,$A588))</f>
        <v>42.836300000000001</v>
      </c>
      <c r="G588" s="4">
        <f t="shared" si="81"/>
        <v>599.9534000000001</v>
      </c>
      <c r="H588" s="7">
        <f t="shared" si="82"/>
        <v>-0.11664621268337216</v>
      </c>
      <c r="I588" s="7">
        <f t="shared" si="83"/>
        <v>-0.14799411261610673</v>
      </c>
      <c r="J588" s="7">
        <f t="shared" si="84"/>
        <v>-0.11896070406381554</v>
      </c>
      <c r="K588" s="7">
        <f t="shared" si="87"/>
        <v>-3.0982391241504481E-2</v>
      </c>
      <c r="L588" s="7">
        <f t="shared" si="88"/>
        <v>0.25745393487328982</v>
      </c>
      <c r="M588" s="7">
        <f t="shared" si="89"/>
        <v>-1.4847888088536321E-2</v>
      </c>
      <c r="N588" s="7">
        <f t="shared" si="85"/>
        <v>0.92860062131492205</v>
      </c>
      <c r="O588" s="7">
        <f t="shared" si="86"/>
        <v>7.1399378685077869E-2</v>
      </c>
    </row>
    <row r="589" spans="1:15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4">
        <f>IF(SUMIFS('Daily NSE Equity Cash'!$H:$H,'Daily NSE Equity Cash'!$A:$A,$A589)=0,"",SUMIFS('Daily NSE Equity Cash'!$H:$H,'Daily NSE Equity Cash'!$A:$A,$A589))</f>
        <v>534.84519999999998</v>
      </c>
      <c r="F589" s="4">
        <f>IF(SUMIFS('Daily BSE Equity Cash'!$H:$H,'Daily BSE Equity Cash'!$A:$A,$A589)=0,"",SUMIFS('Daily BSE Equity Cash'!$H:$H,'Daily BSE Equity Cash'!$A:$A,$A589))</f>
        <v>35.424999999999997</v>
      </c>
      <c r="G589" s="4">
        <f t="shared" si="81"/>
        <v>570.27019999999993</v>
      </c>
      <c r="H589" s="7">
        <f t="shared" si="82"/>
        <v>-0.16243988766869</v>
      </c>
      <c r="I589" s="7">
        <f t="shared" si="83"/>
        <v>-0.39873654052439345</v>
      </c>
      <c r="J589" s="7">
        <f t="shared" si="84"/>
        <v>-0.18239999288881659</v>
      </c>
      <c r="K589" s="7">
        <f t="shared" si="87"/>
        <v>-3.9977053298130838E-2</v>
      </c>
      <c r="L589" s="7">
        <f t="shared" si="88"/>
        <v>-0.17301447604018094</v>
      </c>
      <c r="M589" s="7">
        <f t="shared" si="89"/>
        <v>-4.9475842623777355E-2</v>
      </c>
      <c r="N589" s="7">
        <f t="shared" si="85"/>
        <v>0.93788032409899735</v>
      </c>
      <c r="O589" s="7">
        <f t="shared" si="86"/>
        <v>6.2119675901002723E-2</v>
      </c>
    </row>
    <row r="590" spans="1:15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4">
        <f>IF(SUMIFS('Daily NSE Equity Cash'!$H:$H,'Daily NSE Equity Cash'!$A:$A,$A590)=0,"",SUMIFS('Daily NSE Equity Cash'!$H:$H,'Daily NSE Equity Cash'!$A:$A,$A590))</f>
        <v>557.43290000000002</v>
      </c>
      <c r="F590" s="4">
        <f>IF(SUMIFS('Daily BSE Equity Cash'!$H:$H,'Daily BSE Equity Cash'!$A:$A,$A590)=0,"",SUMIFS('Daily BSE Equity Cash'!$H:$H,'Daily BSE Equity Cash'!$A:$A,$A590))</f>
        <v>43.485500000000002</v>
      </c>
      <c r="G590" s="4">
        <f t="shared" si="81"/>
        <v>600.91840000000002</v>
      </c>
      <c r="H590" s="7">
        <f t="shared" si="82"/>
        <v>-4.3924526899999927E-3</v>
      </c>
      <c r="I590" s="7">
        <f t="shared" si="83"/>
        <v>2.6261424526647925E-3</v>
      </c>
      <c r="J590" s="7">
        <f t="shared" si="84"/>
        <v>-3.8878513844190499E-3</v>
      </c>
      <c r="K590" s="7">
        <f t="shared" si="87"/>
        <v>4.2232219715162556E-2</v>
      </c>
      <c r="L590" s="7">
        <f t="shared" si="88"/>
        <v>0.22753705010585756</v>
      </c>
      <c r="M590" s="7">
        <f t="shared" si="89"/>
        <v>5.3743295721922824E-2</v>
      </c>
      <c r="N590" s="7">
        <f t="shared" si="85"/>
        <v>0.92763493346184778</v>
      </c>
      <c r="O590" s="7">
        <f t="shared" si="86"/>
        <v>7.2365066538152265E-2</v>
      </c>
    </row>
    <row r="591" spans="1:15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4">
        <f>IF(SUMIFS('Daily NSE Equity Cash'!$H:$H,'Daily NSE Equity Cash'!$A:$A,$A591)=0,"",SUMIFS('Daily NSE Equity Cash'!$H:$H,'Daily NSE Equity Cash'!$A:$A,$A591))</f>
        <v>579.95219999999995</v>
      </c>
      <c r="F591" s="4">
        <f>IF(SUMIFS('Daily BSE Equity Cash'!$H:$H,'Daily BSE Equity Cash'!$A:$A,$A591)=0,"",SUMIFS('Daily BSE Equity Cash'!$H:$H,'Daily BSE Equity Cash'!$A:$A,$A591))</f>
        <v>155.69839999999999</v>
      </c>
      <c r="G591" s="4">
        <f t="shared" si="81"/>
        <v>735.65059999999994</v>
      </c>
      <c r="H591" s="7">
        <f t="shared" si="82"/>
        <v>6.7926063962995054E-2</v>
      </c>
      <c r="I591" s="7">
        <f t="shared" si="83"/>
        <v>3.050100017948604</v>
      </c>
      <c r="J591" s="7">
        <f t="shared" si="84"/>
        <v>0.26507586923702231</v>
      </c>
      <c r="K591" s="7">
        <f t="shared" si="87"/>
        <v>4.0398225508397445E-2</v>
      </c>
      <c r="L591" s="7">
        <f t="shared" si="88"/>
        <v>2.5804670522358024</v>
      </c>
      <c r="M591" s="7">
        <f t="shared" si="89"/>
        <v>0.22421047516601234</v>
      </c>
      <c r="N591" s="7">
        <f t="shared" si="85"/>
        <v>0.78835278595572411</v>
      </c>
      <c r="O591" s="7">
        <f t="shared" si="86"/>
        <v>0.21164721404427592</v>
      </c>
    </row>
    <row r="592" spans="1:15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4">
        <f>IF(SUMIFS('Daily NSE Equity Cash'!$H:$H,'Daily NSE Equity Cash'!$A:$A,$A592)=0,"",SUMIFS('Daily NSE Equity Cash'!$H:$H,'Daily NSE Equity Cash'!$A:$A,$A592))</f>
        <v>599.20529999999997</v>
      </c>
      <c r="F592" s="4">
        <f>IF(SUMIFS('Daily BSE Equity Cash'!$H:$H,'Daily BSE Equity Cash'!$A:$A,$A592)=0,"",SUMIFS('Daily BSE Equity Cash'!$H:$H,'Daily BSE Equity Cash'!$A:$A,$A592))</f>
        <v>41.451099999999997</v>
      </c>
      <c r="G592" s="4">
        <f t="shared" si="81"/>
        <v>640.65639999999996</v>
      </c>
      <c r="H592" s="7">
        <f t="shared" si="82"/>
        <v>-7.0276656966618334E-2</v>
      </c>
      <c r="I592" s="7">
        <f t="shared" si="83"/>
        <v>-6.1797498494841729E-2</v>
      </c>
      <c r="J592" s="7">
        <f t="shared" si="84"/>
        <v>-6.9732687130842796E-2</v>
      </c>
      <c r="K592" s="7">
        <f t="shared" si="87"/>
        <v>3.3197735951342233E-2</v>
      </c>
      <c r="L592" s="7">
        <f t="shared" si="88"/>
        <v>-0.73377311520221145</v>
      </c>
      <c r="M592" s="7">
        <f t="shared" si="89"/>
        <v>-0.12912950794847444</v>
      </c>
      <c r="N592" s="7">
        <f t="shared" si="85"/>
        <v>0.935299015197538</v>
      </c>
      <c r="O592" s="7">
        <f t="shared" si="86"/>
        <v>6.4700984802461975E-2</v>
      </c>
    </row>
    <row r="593" spans="1:15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4">
        <f>IF(SUMIFS('Daily NSE Equity Cash'!$H:$H,'Daily NSE Equity Cash'!$A:$A,$A593)=0,"",SUMIFS('Daily NSE Equity Cash'!$H:$H,'Daily NSE Equity Cash'!$A:$A,$A593))</f>
        <v>589.27959999999996</v>
      </c>
      <c r="F593" s="4">
        <f>IF(SUMIFS('Daily BSE Equity Cash'!$H:$H,'Daily BSE Equity Cash'!$A:$A,$A593)=0,"",SUMIFS('Daily BSE Equity Cash'!$H:$H,'Daily BSE Equity Cash'!$A:$A,$A593))</f>
        <v>102.42610000000001</v>
      </c>
      <c r="G593" s="4">
        <f t="shared" si="81"/>
        <v>691.70569999999998</v>
      </c>
      <c r="H593" s="7">
        <f t="shared" si="82"/>
        <v>3.6244478639668731E-3</v>
      </c>
      <c r="I593" s="7">
        <f t="shared" si="83"/>
        <v>0.66259672337641895</v>
      </c>
      <c r="J593" s="7">
        <f t="shared" si="84"/>
        <v>6.6200534683524159E-2</v>
      </c>
      <c r="K593" s="7">
        <f t="shared" si="87"/>
        <v>-1.6564773375669417E-2</v>
      </c>
      <c r="L593" s="7">
        <f t="shared" si="88"/>
        <v>1.4710104195063582</v>
      </c>
      <c r="M593" s="7">
        <f t="shared" si="89"/>
        <v>7.9682806571510056E-2</v>
      </c>
      <c r="N593" s="7">
        <f t="shared" si="85"/>
        <v>0.85192242885955682</v>
      </c>
      <c r="O593" s="7">
        <f t="shared" si="86"/>
        <v>0.14807757114044312</v>
      </c>
    </row>
    <row r="594" spans="1:15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4">
        <f>IF(SUMIFS('Daily NSE Equity Cash'!$H:$H,'Daily NSE Equity Cash'!$A:$A,$A594)=0,"",SUMIFS('Daily NSE Equity Cash'!$H:$H,'Daily NSE Equity Cash'!$A:$A,$A594))</f>
        <v>678.62139999999999</v>
      </c>
      <c r="F594" s="4">
        <f>IF(SUMIFS('Daily BSE Equity Cash'!$H:$H,'Daily BSE Equity Cash'!$A:$A,$A594)=0,"",SUMIFS('Daily BSE Equity Cash'!$H:$H,'Daily BSE Equity Cash'!$A:$A,$A594))</f>
        <v>53.006700000000002</v>
      </c>
      <c r="G594" s="4">
        <f t="shared" si="81"/>
        <v>731.62810000000002</v>
      </c>
      <c r="H594" s="7" t="str">
        <f t="shared" si="82"/>
        <v/>
      </c>
      <c r="I594" s="7" t="str">
        <f t="shared" si="83"/>
        <v/>
      </c>
      <c r="J594" s="7" t="str">
        <f t="shared" si="84"/>
        <v/>
      </c>
      <c r="K594" s="7">
        <f t="shared" si="87"/>
        <v>0.15161190036105099</v>
      </c>
      <c r="L594" s="7">
        <f t="shared" si="88"/>
        <v>-0.4824883501373185</v>
      </c>
      <c r="M594" s="7">
        <f t="shared" si="89"/>
        <v>5.7715875407706063E-2</v>
      </c>
      <c r="N594" s="7">
        <f t="shared" si="85"/>
        <v>0.92754966628537094</v>
      </c>
      <c r="O594" s="7">
        <f t="shared" si="86"/>
        <v>7.2450333714629056E-2</v>
      </c>
    </row>
    <row r="595" spans="1:15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4">
        <f>IF(SUMIFS('Daily NSE Equity Cash'!$H:$H,'Daily NSE Equity Cash'!$A:$A,$A595)=0,"",SUMIFS('Daily NSE Equity Cash'!$H:$H,'Daily NSE Equity Cash'!$A:$A,$A595))</f>
        <v>551.63879999999995</v>
      </c>
      <c r="F595" s="4">
        <f>IF(SUMIFS('Daily BSE Equity Cash'!$H:$H,'Daily BSE Equity Cash'!$A:$A,$A595)=0,"",SUMIFS('Daily BSE Equity Cash'!$H:$H,'Daily BSE Equity Cash'!$A:$A,$A595))</f>
        <v>42.318600000000004</v>
      </c>
      <c r="G595" s="4">
        <f t="shared" si="81"/>
        <v>593.95740000000001</v>
      </c>
      <c r="H595" s="7" t="str">
        <f t="shared" si="82"/>
        <v/>
      </c>
      <c r="I595" s="7" t="str">
        <f t="shared" si="83"/>
        <v/>
      </c>
      <c r="J595" s="7" t="str">
        <f t="shared" si="84"/>
        <v/>
      </c>
      <c r="K595" s="7">
        <f t="shared" si="87"/>
        <v>-0.18711847283330596</v>
      </c>
      <c r="L595" s="7">
        <f t="shared" si="88"/>
        <v>-0.20163677421910808</v>
      </c>
      <c r="M595" s="7">
        <f t="shared" si="89"/>
        <v>-0.18817032861367677</v>
      </c>
      <c r="N595" s="7">
        <f t="shared" si="85"/>
        <v>0.92875145591249464</v>
      </c>
      <c r="O595" s="7">
        <f t="shared" si="86"/>
        <v>7.1248544087505264E-2</v>
      </c>
    </row>
    <row r="596" spans="1:15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4">
        <f>IF(SUMIFS('Daily NSE Equity Cash'!$H:$H,'Daily NSE Equity Cash'!$A:$A,$A596)=0,"",SUMIFS('Daily NSE Equity Cash'!$H:$H,'Daily NSE Equity Cash'!$A:$A,$A596))</f>
        <v>562.03269999999998</v>
      </c>
      <c r="F596" s="4">
        <f>IF(SUMIFS('Daily BSE Equity Cash'!$H:$H,'Daily BSE Equity Cash'!$A:$A,$A596)=0,"",SUMIFS('Daily BSE Equity Cash'!$H:$H,'Daily BSE Equity Cash'!$A:$A,$A596))</f>
        <v>45.658299999999997</v>
      </c>
      <c r="G596" s="4">
        <f t="shared" si="81"/>
        <v>607.69100000000003</v>
      </c>
      <c r="H596" s="7">
        <f t="shared" si="82"/>
        <v>-0.1134051338743457</v>
      </c>
      <c r="I596" s="7">
        <f t="shared" si="83"/>
        <v>-0.20540919643447608</v>
      </c>
      <c r="J596" s="7">
        <f t="shared" si="84"/>
        <v>-0.12105165261225237</v>
      </c>
      <c r="K596" s="7">
        <f t="shared" si="87"/>
        <v>1.8841858114403864E-2</v>
      </c>
      <c r="L596" s="7">
        <f t="shared" si="88"/>
        <v>7.8918017136672569E-2</v>
      </c>
      <c r="M596" s="7">
        <f t="shared" si="89"/>
        <v>2.3122196979109999E-2</v>
      </c>
      <c r="N596" s="7">
        <f t="shared" si="85"/>
        <v>0.92486592692667813</v>
      </c>
      <c r="O596" s="7">
        <f t="shared" si="86"/>
        <v>7.5134073073321789E-2</v>
      </c>
    </row>
    <row r="597" spans="1:15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4">
        <f>IF(SUMIFS('Daily NSE Equity Cash'!$H:$H,'Daily NSE Equity Cash'!$A:$A,$A597)=0,"",SUMIFS('Daily NSE Equity Cash'!$H:$H,'Daily NSE Equity Cash'!$A:$A,$A597))</f>
        <v>516.79259999999999</v>
      </c>
      <c r="F597" s="4">
        <f>IF(SUMIFS('Daily BSE Equity Cash'!$H:$H,'Daily BSE Equity Cash'!$A:$A,$A597)=0,"",SUMIFS('Daily BSE Equity Cash'!$H:$H,'Daily BSE Equity Cash'!$A:$A,$A597))</f>
        <v>37.020699999999998</v>
      </c>
      <c r="G597" s="4">
        <f t="shared" si="81"/>
        <v>553.81330000000003</v>
      </c>
      <c r="H597" s="7">
        <f t="shared" si="82"/>
        <v>-0.15416372469206241</v>
      </c>
      <c r="I597" s="7">
        <f t="shared" si="83"/>
        <v>-0.13028759637838128</v>
      </c>
      <c r="J597" s="7">
        <f t="shared" si="84"/>
        <v>-0.15260864189899237</v>
      </c>
      <c r="K597" s="7">
        <f t="shared" si="87"/>
        <v>-8.04937150454057E-2</v>
      </c>
      <c r="L597" s="7">
        <f t="shared" si="88"/>
        <v>-0.18917918538359946</v>
      </c>
      <c r="M597" s="7">
        <f t="shared" si="89"/>
        <v>-8.8659697115803904E-2</v>
      </c>
      <c r="N597" s="7">
        <f t="shared" si="85"/>
        <v>0.93315310412371821</v>
      </c>
      <c r="O597" s="7">
        <f t="shared" si="86"/>
        <v>6.6846895876281759E-2</v>
      </c>
    </row>
    <row r="598" spans="1:15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4">
        <f>IF(SUMIFS('Daily NSE Equity Cash'!$H:$H,'Daily NSE Equity Cash'!$A:$A,$A598)=0,"",SUMIFS('Daily NSE Equity Cash'!$H:$H,'Daily NSE Equity Cash'!$A:$A,$A598))</f>
        <v>548.33690000000001</v>
      </c>
      <c r="F598" s="4">
        <f>IF(SUMIFS('Daily BSE Equity Cash'!$H:$H,'Daily BSE Equity Cash'!$A:$A,$A598)=0,"",SUMIFS('Daily BSE Equity Cash'!$H:$H,'Daily BSE Equity Cash'!$A:$A,$A598))</f>
        <v>39.794899999999998</v>
      </c>
      <c r="G598" s="4">
        <f t="shared" si="81"/>
        <v>588.1318</v>
      </c>
      <c r="H598" s="7">
        <f t="shared" si="82"/>
        <v>1.6903044087189345E-2</v>
      </c>
      <c r="I598" s="7">
        <f t="shared" si="83"/>
        <v>-0.18225176722012171</v>
      </c>
      <c r="J598" s="7">
        <f t="shared" si="84"/>
        <v>4.1742758464913265E-4</v>
      </c>
      <c r="K598" s="7">
        <f t="shared" si="87"/>
        <v>6.103860620295265E-2</v>
      </c>
      <c r="L598" s="7">
        <f t="shared" si="88"/>
        <v>7.4936454470066804E-2</v>
      </c>
      <c r="M598" s="7">
        <f t="shared" si="89"/>
        <v>6.1967634218968781E-2</v>
      </c>
      <c r="N598" s="7">
        <f t="shared" si="85"/>
        <v>0.93233676533049226</v>
      </c>
      <c r="O598" s="7">
        <f t="shared" si="86"/>
        <v>6.7663234669507757E-2</v>
      </c>
    </row>
    <row r="599" spans="1:15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4">
        <f>IF(SUMIFS('Daily NSE Equity Cash'!$H:$H,'Daily NSE Equity Cash'!$A:$A,$A599)=0,"",SUMIFS('Daily NSE Equity Cash'!$H:$H,'Daily NSE Equity Cash'!$A:$A,$A599))</f>
        <v>543.79920000000004</v>
      </c>
      <c r="F599" s="4">
        <f>IF(SUMIFS('Daily BSE Equity Cash'!$H:$H,'Daily BSE Equity Cash'!$A:$A,$A599)=0,"",SUMIFS('Daily BSE Equity Cash'!$H:$H,'Daily BSE Equity Cash'!$A:$A,$A599))</f>
        <v>38.676600000000001</v>
      </c>
      <c r="G599" s="4">
        <f t="shared" si="81"/>
        <v>582.47580000000005</v>
      </c>
      <c r="H599" s="7">
        <f t="shared" si="82"/>
        <v>1.1778360302655777E-2</v>
      </c>
      <c r="I599" s="7">
        <f t="shared" si="83"/>
        <v>-4.4040298182824733E-2</v>
      </c>
      <c r="J599" s="7">
        <f t="shared" si="84"/>
        <v>7.8707158740263239E-3</v>
      </c>
      <c r="K599" s="7">
        <f t="shared" si="87"/>
        <v>-8.2753869017386794E-3</v>
      </c>
      <c r="L599" s="7">
        <f t="shared" si="88"/>
        <v>-2.8101590907377516E-2</v>
      </c>
      <c r="M599" s="7">
        <f t="shared" si="89"/>
        <v>-9.6168919959777055E-3</v>
      </c>
      <c r="N599" s="7">
        <f t="shared" si="85"/>
        <v>0.93359964482644597</v>
      </c>
      <c r="O599" s="7">
        <f t="shared" si="86"/>
        <v>6.6400355173553985E-2</v>
      </c>
    </row>
    <row r="600" spans="1:15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4">
        <f>IF(SUMIFS('Daily NSE Equity Cash'!$H:$H,'Daily NSE Equity Cash'!$A:$A,$A600)=0,"",SUMIFS('Daily NSE Equity Cash'!$H:$H,'Daily NSE Equity Cash'!$A:$A,$A600))</f>
        <v>537.75829999999996</v>
      </c>
      <c r="F600" s="4">
        <f>IF(SUMIFS('Daily BSE Equity Cash'!$H:$H,'Daily BSE Equity Cash'!$A:$A,$A600)=0,"",SUMIFS('Daily BSE Equity Cash'!$H:$H,'Daily BSE Equity Cash'!$A:$A,$A600))</f>
        <v>43.125599999999999</v>
      </c>
      <c r="G600" s="4">
        <f t="shared" si="81"/>
        <v>580.88389999999993</v>
      </c>
      <c r="H600" s="7" t="str">
        <f t="shared" si="82"/>
        <v/>
      </c>
      <c r="I600" s="7" t="str">
        <f t="shared" si="83"/>
        <v/>
      </c>
      <c r="J600" s="7" t="str">
        <f t="shared" si="84"/>
        <v/>
      </c>
      <c r="K600" s="7">
        <f t="shared" si="87"/>
        <v>-1.1108696003966356E-2</v>
      </c>
      <c r="L600" s="7">
        <f t="shared" si="88"/>
        <v>0.11503079381331349</v>
      </c>
      <c r="M600" s="7">
        <f t="shared" si="89"/>
        <v>-2.7329890786881306E-3</v>
      </c>
      <c r="N600" s="7">
        <f t="shared" si="85"/>
        <v>0.92575865848580075</v>
      </c>
      <c r="O600" s="7">
        <f t="shared" si="86"/>
        <v>7.424134151419931E-2</v>
      </c>
    </row>
    <row r="601" spans="1:15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4">
        <f>IF(SUMIFS('Daily NSE Equity Cash'!$H:$H,'Daily NSE Equity Cash'!$A:$A,$A601)=0,"",SUMIFS('Daily NSE Equity Cash'!$H:$H,'Daily NSE Equity Cash'!$A:$A,$A601))</f>
        <v>673.77110000000005</v>
      </c>
      <c r="F601" s="4">
        <f>IF(SUMIFS('Daily BSE Equity Cash'!$H:$H,'Daily BSE Equity Cash'!$A:$A,$A601)=0,"",SUMIFS('Daily BSE Equity Cash'!$H:$H,'Daily BSE Equity Cash'!$A:$A,$A601))</f>
        <v>42.684199999999997</v>
      </c>
      <c r="G601" s="4">
        <f t="shared" si="81"/>
        <v>716.45530000000008</v>
      </c>
      <c r="H601" s="7">
        <f t="shared" si="82"/>
        <v>0.11450426252481605</v>
      </c>
      <c r="I601" s="7">
        <f t="shared" si="83"/>
        <v>-4.2895069645628059E-2</v>
      </c>
      <c r="J601" s="7">
        <f t="shared" si="84"/>
        <v>0.10369070084495746</v>
      </c>
      <c r="K601" s="7">
        <f t="shared" si="87"/>
        <v>0.2529255243480204</v>
      </c>
      <c r="L601" s="7">
        <f t="shared" si="88"/>
        <v>-1.0235219915780913E-2</v>
      </c>
      <c r="M601" s="7">
        <f t="shared" si="89"/>
        <v>0.23338811766000078</v>
      </c>
      <c r="N601" s="7">
        <f t="shared" si="85"/>
        <v>0.94042308012795772</v>
      </c>
      <c r="O601" s="7">
        <f t="shared" si="86"/>
        <v>5.957691987204225E-2</v>
      </c>
    </row>
    <row r="602" spans="1:15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4">
        <f>IF(SUMIFS('Daily NSE Equity Cash'!$H:$H,'Daily NSE Equity Cash'!$A:$A,$A602)=0,"",SUMIFS('Daily NSE Equity Cash'!$H:$H,'Daily NSE Equity Cash'!$A:$A,$A602))</f>
        <v>651.63229999999999</v>
      </c>
      <c r="F602" s="4">
        <f>IF(SUMIFS('Daily BSE Equity Cash'!$H:$H,'Daily BSE Equity Cash'!$A:$A,$A602)=0,"",SUMIFS('Daily BSE Equity Cash'!$H:$H,'Daily BSE Equity Cash'!$A:$A,$A602))</f>
        <v>62.1023</v>
      </c>
      <c r="G602" s="4">
        <f t="shared" si="81"/>
        <v>713.7346</v>
      </c>
      <c r="H602" s="7">
        <f t="shared" si="82"/>
        <v>1.4555566194678793E-2</v>
      </c>
      <c r="I602" s="7">
        <f t="shared" si="83"/>
        <v>0.43080988673750564</v>
      </c>
      <c r="J602" s="7">
        <f t="shared" si="84"/>
        <v>4.0904225848787279E-2</v>
      </c>
      <c r="K602" s="7">
        <f t="shared" si="87"/>
        <v>-3.2858043332520626E-2</v>
      </c>
      <c r="L602" s="7">
        <f t="shared" si="88"/>
        <v>0.45492477310105395</v>
      </c>
      <c r="M602" s="7">
        <f t="shared" si="89"/>
        <v>-3.797445562898405E-3</v>
      </c>
      <c r="N602" s="7">
        <f t="shared" si="85"/>
        <v>0.9129896462914926</v>
      </c>
      <c r="O602" s="7">
        <f t="shared" si="86"/>
        <v>8.7010353708507335E-2</v>
      </c>
    </row>
    <row r="603" spans="1:15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4">
        <f>IF(SUMIFS('Daily NSE Equity Cash'!$H:$H,'Daily NSE Equity Cash'!$A:$A,$A603)=0,"",SUMIFS('Daily NSE Equity Cash'!$H:$H,'Daily NSE Equity Cash'!$A:$A,$A603))</f>
        <v>581.4144</v>
      </c>
      <c r="F603" s="4">
        <f>IF(SUMIFS('Daily BSE Equity Cash'!$H:$H,'Daily BSE Equity Cash'!$A:$A,$A603)=0,"",SUMIFS('Daily BSE Equity Cash'!$H:$H,'Daily BSE Equity Cash'!$A:$A,$A603))</f>
        <v>42.768500000000003</v>
      </c>
      <c r="G603" s="4">
        <f t="shared" si="81"/>
        <v>624.18290000000002</v>
      </c>
      <c r="H603" s="7">
        <f t="shared" si="82"/>
        <v>-5.5867119267628218E-2</v>
      </c>
      <c r="I603" s="7">
        <f t="shared" si="83"/>
        <v>-0.16603455705853554</v>
      </c>
      <c r="J603" s="7">
        <f t="shared" si="84"/>
        <v>-6.4336217401334661E-2</v>
      </c>
      <c r="K603" s="7">
        <f t="shared" si="87"/>
        <v>-0.10775693592843694</v>
      </c>
      <c r="L603" s="7">
        <f t="shared" si="88"/>
        <v>-0.31132180289618894</v>
      </c>
      <c r="M603" s="7">
        <f t="shared" si="89"/>
        <v>-0.12546918700592624</v>
      </c>
      <c r="N603" s="7">
        <f t="shared" si="85"/>
        <v>0.93148082076583638</v>
      </c>
      <c r="O603" s="7">
        <f t="shared" si="86"/>
        <v>6.8519179234163577E-2</v>
      </c>
    </row>
    <row r="604" spans="1:15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4">
        <f>IF(SUMIFS('Daily NSE Equity Cash'!$H:$H,'Daily NSE Equity Cash'!$A:$A,$A604)=0,"",SUMIFS('Daily NSE Equity Cash'!$H:$H,'Daily NSE Equity Cash'!$A:$A,$A604))</f>
        <v>522.14700000000005</v>
      </c>
      <c r="F604" s="4">
        <f>IF(SUMIFS('Daily BSE Equity Cash'!$H:$H,'Daily BSE Equity Cash'!$A:$A,$A604)=0,"",SUMIFS('Daily BSE Equity Cash'!$H:$H,'Daily BSE Equity Cash'!$A:$A,$A604))</f>
        <v>49.424199999999999</v>
      </c>
      <c r="G604" s="4">
        <f t="shared" si="81"/>
        <v>571.57120000000009</v>
      </c>
      <c r="H604" s="7" t="str">
        <f t="shared" si="82"/>
        <v/>
      </c>
      <c r="I604" s="7" t="str">
        <f t="shared" si="83"/>
        <v/>
      </c>
      <c r="J604" s="7" t="str">
        <f t="shared" si="84"/>
        <v/>
      </c>
      <c r="K604" s="7">
        <f t="shared" si="87"/>
        <v>-0.10193658774189274</v>
      </c>
      <c r="L604" s="7">
        <f t="shared" si="88"/>
        <v>0.15562154389328575</v>
      </c>
      <c r="M604" s="7">
        <f t="shared" si="89"/>
        <v>-8.4288915957165589E-2</v>
      </c>
      <c r="N604" s="7">
        <f t="shared" si="85"/>
        <v>0.91352923310341738</v>
      </c>
      <c r="O604" s="7">
        <f t="shared" si="86"/>
        <v>8.6470766896582604E-2</v>
      </c>
    </row>
    <row r="605" spans="1:15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4">
        <f>IF(SUMIFS('Daily NSE Equity Cash'!$H:$H,'Daily NSE Equity Cash'!$A:$A,$A605)=0,"",SUMIFS('Daily NSE Equity Cash'!$H:$H,'Daily NSE Equity Cash'!$A:$A,$A605))</f>
        <v>559.00630000000001</v>
      </c>
      <c r="F605" s="4">
        <f>IF(SUMIFS('Daily BSE Equity Cash'!$H:$H,'Daily BSE Equity Cash'!$A:$A,$A605)=0,"",SUMIFS('Daily BSE Equity Cash'!$H:$H,'Daily BSE Equity Cash'!$A:$A,$A605))</f>
        <v>61.076000000000001</v>
      </c>
      <c r="G605" s="4">
        <f t="shared" si="81"/>
        <v>620.08230000000003</v>
      </c>
      <c r="H605" s="7">
        <f t="shared" si="82"/>
        <v>-6.6030828721819201E-3</v>
      </c>
      <c r="I605" s="7">
        <f t="shared" si="83"/>
        <v>0.54031615369871577</v>
      </c>
      <c r="J605" s="7">
        <f t="shared" si="84"/>
        <v>2.9398200717959844E-2</v>
      </c>
      <c r="K605" s="7">
        <f t="shared" si="87"/>
        <v>7.0591806521917988E-2</v>
      </c>
      <c r="L605" s="7">
        <f t="shared" si="88"/>
        <v>0.23575090745019645</v>
      </c>
      <c r="M605" s="7">
        <f t="shared" si="89"/>
        <v>8.4873240639136371E-2</v>
      </c>
      <c r="N605" s="7">
        <f t="shared" si="85"/>
        <v>0.90150339721033801</v>
      </c>
      <c r="O605" s="7">
        <f t="shared" si="86"/>
        <v>9.8496602789661949E-2</v>
      </c>
    </row>
    <row r="606" spans="1:15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4">
        <f>IF(SUMIFS('Daily NSE Equity Cash'!$H:$H,'Daily NSE Equity Cash'!$A:$A,$A606)=0,"",SUMIFS('Daily NSE Equity Cash'!$H:$H,'Daily NSE Equity Cash'!$A:$A,$A606))</f>
        <v>627.99839999999995</v>
      </c>
      <c r="F606" s="4">
        <f>IF(SUMIFS('Daily BSE Equity Cash'!$H:$H,'Daily BSE Equity Cash'!$A:$A,$A606)=0,"",SUMIFS('Daily BSE Equity Cash'!$H:$H,'Daily BSE Equity Cash'!$A:$A,$A606))</f>
        <v>50.731400000000001</v>
      </c>
      <c r="G606" s="4">
        <f t="shared" si="81"/>
        <v>678.72979999999995</v>
      </c>
      <c r="H606" s="7">
        <f t="shared" si="82"/>
        <v>8.9798024163382451E-2</v>
      </c>
      <c r="I606" s="7">
        <f t="shared" si="83"/>
        <v>2.3305631757301937E-2</v>
      </c>
      <c r="J606" s="7">
        <f t="shared" si="84"/>
        <v>8.4530720176994034E-2</v>
      </c>
      <c r="K606" s="7">
        <f t="shared" si="87"/>
        <v>0.12341918150117448</v>
      </c>
      <c r="L606" s="7">
        <f t="shared" si="88"/>
        <v>-0.16937258497609531</v>
      </c>
      <c r="M606" s="7">
        <f t="shared" si="89"/>
        <v>9.4580187178379349E-2</v>
      </c>
      <c r="N606" s="7">
        <f t="shared" si="85"/>
        <v>0.92525538144928954</v>
      </c>
      <c r="O606" s="7">
        <f t="shared" si="86"/>
        <v>7.4744618550710462E-2</v>
      </c>
    </row>
    <row r="607" spans="1:15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4">
        <f>IF(SUMIFS('Daily NSE Equity Cash'!$H:$H,'Daily NSE Equity Cash'!$A:$A,$A607)=0,"",SUMIFS('Daily NSE Equity Cash'!$H:$H,'Daily NSE Equity Cash'!$A:$A,$A607))</f>
        <v>590.30370000000005</v>
      </c>
      <c r="F607" s="4">
        <f>IF(SUMIFS('Daily BSE Equity Cash'!$H:$H,'Daily BSE Equity Cash'!$A:$A,$A607)=0,"",SUMIFS('Daily BSE Equity Cash'!$H:$H,'Daily BSE Equity Cash'!$A:$A,$A607))</f>
        <v>47.196300000000001</v>
      </c>
      <c r="G607" s="4">
        <f t="shared" si="81"/>
        <v>637.5</v>
      </c>
      <c r="H607" s="7">
        <f t="shared" si="82"/>
        <v>-1.1069817061627463E-2</v>
      </c>
      <c r="I607" s="7">
        <f t="shared" si="83"/>
        <v>0.2373191065436242</v>
      </c>
      <c r="J607" s="7">
        <f t="shared" si="84"/>
        <v>3.8494279396728004E-3</v>
      </c>
      <c r="K607" s="7">
        <f t="shared" si="87"/>
        <v>-6.0023560569580914E-2</v>
      </c>
      <c r="L607" s="7">
        <f t="shared" si="88"/>
        <v>-6.9682681731629725E-2</v>
      </c>
      <c r="M607" s="7">
        <f t="shared" si="89"/>
        <v>-6.0745527896373441E-2</v>
      </c>
      <c r="N607" s="7">
        <f t="shared" si="85"/>
        <v>0.92596658823529421</v>
      </c>
      <c r="O607" s="7">
        <f t="shared" si="86"/>
        <v>7.4033411764705889E-2</v>
      </c>
    </row>
    <row r="608" spans="1:15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4">
        <f>IF(SUMIFS('Daily NSE Equity Cash'!$H:$H,'Daily NSE Equity Cash'!$A:$A,$A608)=0,"",SUMIFS('Daily NSE Equity Cash'!$H:$H,'Daily NSE Equity Cash'!$A:$A,$A608))</f>
        <v>578.38139999999999</v>
      </c>
      <c r="F608" s="4">
        <f>IF(SUMIFS('Daily BSE Equity Cash'!$H:$H,'Daily BSE Equity Cash'!$A:$A,$A608)=0,"",SUMIFS('Daily BSE Equity Cash'!$H:$H,'Daily BSE Equity Cash'!$A:$A,$A608))</f>
        <v>46.926099999999998</v>
      </c>
      <c r="G608" s="4">
        <f t="shared" si="81"/>
        <v>625.3075</v>
      </c>
      <c r="H608" s="7">
        <f t="shared" si="82"/>
        <v>0.16132611483563508</v>
      </c>
      <c r="I608" s="7">
        <f t="shared" si="83"/>
        <v>-0.42120706795369278</v>
      </c>
      <c r="J608" s="7">
        <f t="shared" si="84"/>
        <v>7.977122179146634E-2</v>
      </c>
      <c r="K608" s="7">
        <f t="shared" si="87"/>
        <v>-2.0196891871082756E-2</v>
      </c>
      <c r="L608" s="7">
        <f t="shared" si="88"/>
        <v>-5.7250250549302217E-3</v>
      </c>
      <c r="M608" s="7">
        <f t="shared" si="89"/>
        <v>-1.9125490196078454E-2</v>
      </c>
      <c r="N608" s="7">
        <f t="shared" si="85"/>
        <v>0.92495516206026629</v>
      </c>
      <c r="O608" s="7">
        <f t="shared" si="86"/>
        <v>7.5044837939733641E-2</v>
      </c>
    </row>
    <row r="609" spans="1:15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4">
        <f>IF(SUMIFS('Daily NSE Equity Cash'!$H:$H,'Daily NSE Equity Cash'!$A:$A,$A609)=0,"",SUMIFS('Daily NSE Equity Cash'!$H:$H,'Daily NSE Equity Cash'!$A:$A,$A609))</f>
        <v>540.86490000000003</v>
      </c>
      <c r="F609" s="4">
        <f>IF(SUMIFS('Daily BSE Equity Cash'!$H:$H,'Daily BSE Equity Cash'!$A:$A,$A609)=0,"",SUMIFS('Daily BSE Equity Cash'!$H:$H,'Daily BSE Equity Cash'!$A:$A,$A609))</f>
        <v>49.549799999999998</v>
      </c>
      <c r="G609" s="4">
        <f t="shared" si="81"/>
        <v>590.41470000000004</v>
      </c>
      <c r="H609" s="7" t="str">
        <f t="shared" si="82"/>
        <v/>
      </c>
      <c r="I609" s="7" t="str">
        <f t="shared" si="83"/>
        <v/>
      </c>
      <c r="J609" s="7" t="str">
        <f t="shared" si="84"/>
        <v/>
      </c>
      <c r="K609" s="7">
        <f t="shared" si="87"/>
        <v>-6.4864637763247468E-2</v>
      </c>
      <c r="L609" s="7">
        <f t="shared" si="88"/>
        <v>5.5911315877517964E-2</v>
      </c>
      <c r="M609" s="7">
        <f t="shared" si="89"/>
        <v>-5.5801025895259482E-2</v>
      </c>
      <c r="N609" s="7">
        <f t="shared" si="85"/>
        <v>0.91607627655612234</v>
      </c>
      <c r="O609" s="7">
        <f t="shared" si="86"/>
        <v>8.3923723443877662E-2</v>
      </c>
    </row>
    <row r="610" spans="1:15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4">
        <f>IF(SUMIFS('Daily NSE Equity Cash'!$H:$H,'Daily NSE Equity Cash'!$A:$A,$A610)=0,"",SUMIFS('Daily NSE Equity Cash'!$H:$H,'Daily NSE Equity Cash'!$A:$A,$A610))</f>
        <v>610.77340000000004</v>
      </c>
      <c r="F610" s="4">
        <f>IF(SUMIFS('Daily BSE Equity Cash'!$H:$H,'Daily BSE Equity Cash'!$A:$A,$A610)=0,"",SUMIFS('Daily BSE Equity Cash'!$H:$H,'Daily BSE Equity Cash'!$A:$A,$A610))</f>
        <v>74.317899999999995</v>
      </c>
      <c r="G610" s="4">
        <f t="shared" si="81"/>
        <v>685.09130000000005</v>
      </c>
      <c r="H610" s="7">
        <f t="shared" si="82"/>
        <v>0.1631284414047578</v>
      </c>
      <c r="I610" s="7">
        <f t="shared" si="83"/>
        <v>0.90622747640874235</v>
      </c>
      <c r="J610" s="7">
        <f t="shared" si="84"/>
        <v>0.21448662868873303</v>
      </c>
      <c r="K610" s="7">
        <f t="shared" si="87"/>
        <v>0.12925316469972437</v>
      </c>
      <c r="L610" s="7">
        <f t="shared" si="88"/>
        <v>0.49986276433002752</v>
      </c>
      <c r="M610" s="7">
        <f t="shared" si="89"/>
        <v>0.16035610224474417</v>
      </c>
      <c r="N610" s="7">
        <f t="shared" si="85"/>
        <v>0.89152117389317309</v>
      </c>
      <c r="O610" s="7">
        <f t="shared" si="86"/>
        <v>0.10847882610682691</v>
      </c>
    </row>
    <row r="611" spans="1:15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4">
        <f>IF(SUMIFS('Daily NSE Equity Cash'!$H:$H,'Daily NSE Equity Cash'!$A:$A,$A611)=0,"",SUMIFS('Daily NSE Equity Cash'!$H:$H,'Daily NSE Equity Cash'!$A:$A,$A611))</f>
        <v>734.00980000000004</v>
      </c>
      <c r="F611" s="4">
        <f>IF(SUMIFS('Daily BSE Equity Cash'!$H:$H,'Daily BSE Equity Cash'!$A:$A,$A611)=0,"",SUMIFS('Daily BSE Equity Cash'!$H:$H,'Daily BSE Equity Cash'!$A:$A,$A611))</f>
        <v>56.512799999999999</v>
      </c>
      <c r="G611" s="4">
        <f t="shared" si="81"/>
        <v>790.52260000000001</v>
      </c>
      <c r="H611" s="7">
        <f t="shared" si="82"/>
        <v>8.9295190900143595E-2</v>
      </c>
      <c r="I611" s="7">
        <f t="shared" si="83"/>
        <v>-6.9532187717643135E-2</v>
      </c>
      <c r="J611" s="7">
        <f t="shared" si="84"/>
        <v>7.6163077131255807E-2</v>
      </c>
      <c r="K611" s="7">
        <f t="shared" si="87"/>
        <v>0.20177106599599792</v>
      </c>
      <c r="L611" s="7">
        <f t="shared" si="88"/>
        <v>-0.23958023571710174</v>
      </c>
      <c r="M611" s="7">
        <f t="shared" si="89"/>
        <v>0.15389379488544086</v>
      </c>
      <c r="N611" s="7">
        <f t="shared" si="85"/>
        <v>0.928512100729315</v>
      </c>
      <c r="O611" s="7">
        <f t="shared" si="86"/>
        <v>7.1487899270684982E-2</v>
      </c>
    </row>
    <row r="612" spans="1:15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4">
        <f>IF(SUMIFS('Daily NSE Equity Cash'!$H:$H,'Daily NSE Equity Cash'!$A:$A,$A612)=0,"",SUMIFS('Daily NSE Equity Cash'!$H:$H,'Daily NSE Equity Cash'!$A:$A,$A612))</f>
        <v>667.80200000000002</v>
      </c>
      <c r="F612" s="4">
        <f>IF(SUMIFS('Daily BSE Equity Cash'!$H:$H,'Daily BSE Equity Cash'!$A:$A,$A612)=0,"",SUMIFS('Daily BSE Equity Cash'!$H:$H,'Daily BSE Equity Cash'!$A:$A,$A612))</f>
        <v>59.496000000000002</v>
      </c>
      <c r="G612" s="4">
        <f t="shared" si="81"/>
        <v>727.298</v>
      </c>
      <c r="H612" s="7">
        <f t="shared" si="82"/>
        <v>-0.10045689594440355</v>
      </c>
      <c r="I612" s="7">
        <f t="shared" si="83"/>
        <v>-0.2009766199441585</v>
      </c>
      <c r="J612" s="7">
        <f t="shared" si="84"/>
        <v>-0.10961999902061603</v>
      </c>
      <c r="K612" s="7">
        <f t="shared" si="87"/>
        <v>-9.0200158090532279E-2</v>
      </c>
      <c r="L612" s="7">
        <f t="shared" si="88"/>
        <v>5.2788040939397929E-2</v>
      </c>
      <c r="M612" s="7">
        <f t="shared" si="89"/>
        <v>-7.9978232121383996E-2</v>
      </c>
      <c r="N612" s="7">
        <f t="shared" si="85"/>
        <v>0.91819584269446641</v>
      </c>
      <c r="O612" s="7">
        <f t="shared" si="86"/>
        <v>8.1804157305533642E-2</v>
      </c>
    </row>
    <row r="613" spans="1:15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4">
        <f>IF(SUMIFS('Daily NSE Equity Cash'!$H:$H,'Daily NSE Equity Cash'!$A:$A,$A613)=0,"",SUMIFS('Daily NSE Equity Cash'!$H:$H,'Daily NSE Equity Cash'!$A:$A,$A613))</f>
        <v>954.51189999999997</v>
      </c>
      <c r="F613" s="4">
        <f>IF(SUMIFS('Daily BSE Equity Cash'!$H:$H,'Daily BSE Equity Cash'!$A:$A,$A613)=0,"",SUMIFS('Daily BSE Equity Cash'!$H:$H,'Daily BSE Equity Cash'!$A:$A,$A613))</f>
        <v>56.194899999999997</v>
      </c>
      <c r="G613" s="4">
        <f t="shared" si="81"/>
        <v>1010.7067999999999</v>
      </c>
      <c r="H613" s="7">
        <f t="shared" si="82"/>
        <v>0.25796683727093783</v>
      </c>
      <c r="I613" s="7">
        <f t="shared" si="83"/>
        <v>-0.26104262934900102</v>
      </c>
      <c r="J613" s="7">
        <f t="shared" si="84"/>
        <v>0.21068872715869058</v>
      </c>
      <c r="K613" s="7">
        <f t="shared" si="87"/>
        <v>0.4293336947178954</v>
      </c>
      <c r="L613" s="7">
        <f t="shared" si="88"/>
        <v>-5.5484402312760639E-2</v>
      </c>
      <c r="M613" s="7">
        <f t="shared" si="89"/>
        <v>0.38967355884383004</v>
      </c>
      <c r="N613" s="7">
        <f t="shared" si="85"/>
        <v>0.9444003938629878</v>
      </c>
      <c r="O613" s="7">
        <f t="shared" si="86"/>
        <v>5.5599606137012238E-2</v>
      </c>
    </row>
    <row r="614" spans="1:15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4">
        <f>IF(SUMIFS('Daily NSE Equity Cash'!$H:$H,'Daily NSE Equity Cash'!$A:$A,$A614)=0,"",SUMIFS('Daily NSE Equity Cash'!$H:$H,'Daily NSE Equity Cash'!$A:$A,$A614))</f>
        <v>589.04930000000002</v>
      </c>
      <c r="F614" s="4">
        <f>IF(SUMIFS('Daily BSE Equity Cash'!$H:$H,'Daily BSE Equity Cash'!$A:$A,$A614)=0,"",SUMIFS('Daily BSE Equity Cash'!$H:$H,'Daily BSE Equity Cash'!$A:$A,$A614))</f>
        <v>162.22579999999999</v>
      </c>
      <c r="G614" s="4">
        <f t="shared" si="81"/>
        <v>751.27510000000007</v>
      </c>
      <c r="H614" s="7" t="str">
        <f t="shared" si="82"/>
        <v/>
      </c>
      <c r="I614" s="7" t="str">
        <f t="shared" si="83"/>
        <v/>
      </c>
      <c r="J614" s="7" t="str">
        <f t="shared" si="84"/>
        <v/>
      </c>
      <c r="K614" s="7">
        <f t="shared" si="87"/>
        <v>-0.38287904006225582</v>
      </c>
      <c r="L614" s="7">
        <f t="shared" si="88"/>
        <v>1.8868420443848106</v>
      </c>
      <c r="M614" s="7">
        <f t="shared" si="89"/>
        <v>-0.25668344172612656</v>
      </c>
      <c r="N614" s="7">
        <f t="shared" si="85"/>
        <v>0.784066049839799</v>
      </c>
      <c r="O614" s="7">
        <f t="shared" si="86"/>
        <v>0.21593395016020095</v>
      </c>
    </row>
    <row r="615" spans="1:15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4">
        <f>IF(SUMIFS('Daily NSE Equity Cash'!$H:$H,'Daily NSE Equity Cash'!$A:$A,$A615)=0,"",SUMIFS('Daily NSE Equity Cash'!$H:$H,'Daily NSE Equity Cash'!$A:$A,$A615))</f>
        <v>579.70529999999997</v>
      </c>
      <c r="F615" s="4">
        <f>IF(SUMIFS('Daily BSE Equity Cash'!$H:$H,'Daily BSE Equity Cash'!$A:$A,$A615)=0,"",SUMIFS('Daily BSE Equity Cash'!$H:$H,'Daily BSE Equity Cash'!$A:$A,$A615))</f>
        <v>42.448399999999999</v>
      </c>
      <c r="G615" s="4">
        <f t="shared" si="81"/>
        <v>622.15369999999996</v>
      </c>
      <c r="H615" s="7">
        <f t="shared" si="82"/>
        <v>-0.10199824862601725</v>
      </c>
      <c r="I615" s="7">
        <f t="shared" si="83"/>
        <v>-0.34647916814208346</v>
      </c>
      <c r="J615" s="7">
        <f t="shared" si="84"/>
        <v>-0.12434840240803813</v>
      </c>
      <c r="K615" s="7">
        <f t="shared" si="87"/>
        <v>-1.5862848831159071E-2</v>
      </c>
      <c r="L615" s="7">
        <f t="shared" si="88"/>
        <v>-0.73833755173344806</v>
      </c>
      <c r="M615" s="7">
        <f t="shared" si="89"/>
        <v>-0.17186966531966796</v>
      </c>
      <c r="N615" s="7">
        <f t="shared" si="85"/>
        <v>0.9317718435171245</v>
      </c>
      <c r="O615" s="7">
        <f t="shared" si="86"/>
        <v>6.8228156482875543E-2</v>
      </c>
    </row>
    <row r="616" spans="1:15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4">
        <f>IF(SUMIFS('Daily NSE Equity Cash'!$H:$H,'Daily NSE Equity Cash'!$A:$A,$A616)=0,"",SUMIFS('Daily NSE Equity Cash'!$H:$H,'Daily NSE Equity Cash'!$A:$A,$A616))</f>
        <v>589.35230000000001</v>
      </c>
      <c r="F616" s="4">
        <f>IF(SUMIFS('Daily BSE Equity Cash'!$H:$H,'Daily BSE Equity Cash'!$A:$A,$A616)=0,"",SUMIFS('Daily BSE Equity Cash'!$H:$H,'Daily BSE Equity Cash'!$A:$A,$A616))</f>
        <v>40.9664</v>
      </c>
      <c r="G616" s="4">
        <f t="shared" si="81"/>
        <v>630.31870000000004</v>
      </c>
      <c r="H616" s="7">
        <f t="shared" si="82"/>
        <v>-0.14221367827265641</v>
      </c>
      <c r="I616" s="7">
        <f t="shared" si="83"/>
        <v>-0.18265977143586798</v>
      </c>
      <c r="J616" s="7">
        <f t="shared" si="84"/>
        <v>-0.14496363524142908</v>
      </c>
      <c r="K616" s="7">
        <f t="shared" si="87"/>
        <v>1.6641214078946698E-2</v>
      </c>
      <c r="L616" s="7">
        <f t="shared" si="88"/>
        <v>-3.4912976696412579E-2</v>
      </c>
      <c r="M616" s="7">
        <f t="shared" si="89"/>
        <v>1.3123766683377669E-2</v>
      </c>
      <c r="N616" s="7">
        <f t="shared" si="85"/>
        <v>0.93500684653652189</v>
      </c>
      <c r="O616" s="7">
        <f t="shared" si="86"/>
        <v>6.4993153463478073E-2</v>
      </c>
    </row>
    <row r="617" spans="1:15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4">
        <f>IF(SUMIFS('Daily NSE Equity Cash'!$H:$H,'Daily NSE Equity Cash'!$A:$A,$A617)=0,"",SUMIFS('Daily NSE Equity Cash'!$H:$H,'Daily NSE Equity Cash'!$A:$A,$A617))</f>
        <v>646.31299999999999</v>
      </c>
      <c r="F617" s="4">
        <f>IF(SUMIFS('Daily BSE Equity Cash'!$H:$H,'Daily BSE Equity Cash'!$A:$A,$A617)=0,"",SUMIFS('Daily BSE Equity Cash'!$H:$H,'Daily BSE Equity Cash'!$A:$A,$A617))</f>
        <v>39.9514</v>
      </c>
      <c r="G617" s="4">
        <f t="shared" si="81"/>
        <v>686.26440000000002</v>
      </c>
      <c r="H617" s="7">
        <f t="shared" si="82"/>
        <v>-5.9687612480952001E-2</v>
      </c>
      <c r="I617" s="7">
        <f t="shared" si="83"/>
        <v>-0.35912362625463801</v>
      </c>
      <c r="J617" s="7">
        <f t="shared" si="84"/>
        <v>-8.458692826900327E-2</v>
      </c>
      <c r="K617" s="7">
        <f t="shared" si="87"/>
        <v>9.6649660992245146E-2</v>
      </c>
      <c r="L617" s="7">
        <f t="shared" si="88"/>
        <v>-2.4776402124668029E-2</v>
      </c>
      <c r="M617" s="7">
        <f t="shared" si="89"/>
        <v>8.8757798237621754E-2</v>
      </c>
      <c r="N617" s="7">
        <f t="shared" si="85"/>
        <v>0.94178424525591009</v>
      </c>
      <c r="O617" s="7">
        <f t="shared" si="86"/>
        <v>5.8215754744089881E-2</v>
      </c>
    </row>
    <row r="618" spans="1:15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4">
        <f>IF(SUMIFS('Daily NSE Equity Cash'!$H:$H,'Daily NSE Equity Cash'!$A:$A,$A618)=0,"",SUMIFS('Daily NSE Equity Cash'!$H:$H,'Daily NSE Equity Cash'!$A:$A,$A618))</f>
        <v>565.82360000000006</v>
      </c>
      <c r="F618" s="4">
        <f>IF(SUMIFS('Daily BSE Equity Cash'!$H:$H,'Daily BSE Equity Cash'!$A:$A,$A618)=0,"",SUMIFS('Daily BSE Equity Cash'!$H:$H,'Daily BSE Equity Cash'!$A:$A,$A618))</f>
        <v>39.9056</v>
      </c>
      <c r="G618" s="4">
        <f t="shared" si="81"/>
        <v>605.72920000000011</v>
      </c>
      <c r="H618" s="7">
        <f t="shared" si="82"/>
        <v>-0.23732904307253255</v>
      </c>
      <c r="I618" s="7">
        <f t="shared" si="83"/>
        <v>-0.66246341752237248</v>
      </c>
      <c r="J618" s="7">
        <f t="shared" si="84"/>
        <v>-0.29576477049688432</v>
      </c>
      <c r="K618" s="7">
        <f t="shared" si="87"/>
        <v>-0.12453625410598257</v>
      </c>
      <c r="L618" s="7">
        <f t="shared" si="88"/>
        <v>-1.1463928673337564E-3</v>
      </c>
      <c r="M618" s="7">
        <f t="shared" si="89"/>
        <v>-0.11735302020620608</v>
      </c>
      <c r="N618" s="7">
        <f t="shared" si="85"/>
        <v>0.93411973535368609</v>
      </c>
      <c r="O618" s="7">
        <f t="shared" si="86"/>
        <v>6.5880264646313885E-2</v>
      </c>
    </row>
    <row r="619" spans="1:15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4">
        <f>IF(SUMIFS('Daily NSE Equity Cash'!$H:$H,'Daily NSE Equity Cash'!$A:$A,$A619)=0,"",SUMIFS('Daily NSE Equity Cash'!$H:$H,'Daily NSE Equity Cash'!$A:$A,$A619))</f>
        <v>653.41890000000001</v>
      </c>
      <c r="F619" s="4">
        <f>IF(SUMIFS('Daily BSE Equity Cash'!$H:$H,'Daily BSE Equity Cash'!$A:$A,$A619)=0,"",SUMIFS('Daily BSE Equity Cash'!$H:$H,'Daily BSE Equity Cash'!$A:$A,$A619))</f>
        <v>46.779600000000002</v>
      </c>
      <c r="G619" s="4">
        <f t="shared" si="81"/>
        <v>700.19849999999997</v>
      </c>
      <c r="H619" s="7" t="str">
        <f t="shared" si="82"/>
        <v/>
      </c>
      <c r="I619" s="7" t="str">
        <f t="shared" si="83"/>
        <v/>
      </c>
      <c r="J619" s="7" t="str">
        <f t="shared" si="84"/>
        <v/>
      </c>
      <c r="K619" s="7">
        <f t="shared" si="87"/>
        <v>0.15481026242100882</v>
      </c>
      <c r="L619" s="7">
        <f t="shared" si="88"/>
        <v>0.17225652539994396</v>
      </c>
      <c r="M619" s="7">
        <f t="shared" si="89"/>
        <v>0.15595962684315001</v>
      </c>
      <c r="N619" s="7">
        <f t="shared" si="85"/>
        <v>0.93319094513912848</v>
      </c>
      <c r="O619" s="7">
        <f t="shared" si="86"/>
        <v>6.6809054860871603E-2</v>
      </c>
    </row>
    <row r="620" spans="1:15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4">
        <f>IF(SUMIFS('Daily NSE Equity Cash'!$H:$H,'Daily NSE Equity Cash'!$A:$A,$A620)=0,"",SUMIFS('Daily NSE Equity Cash'!$H:$H,'Daily NSE Equity Cash'!$A:$A,$A620))</f>
        <v>578.95460000000003</v>
      </c>
      <c r="F620" s="4">
        <f>IF(SUMIFS('Daily BSE Equity Cash'!$H:$H,'Daily BSE Equity Cash'!$A:$A,$A620)=0,"",SUMIFS('Daily BSE Equity Cash'!$H:$H,'Daily BSE Equity Cash'!$A:$A,$A620))</f>
        <v>38.438400000000001</v>
      </c>
      <c r="G620" s="4">
        <f t="shared" si="81"/>
        <v>617.39300000000003</v>
      </c>
      <c r="H620" s="7">
        <f t="shared" si="82"/>
        <v>-0.15739507836476418</v>
      </c>
      <c r="I620" s="7">
        <f t="shared" si="83"/>
        <v>-0.26218057365736802</v>
      </c>
      <c r="J620" s="7">
        <f t="shared" si="84"/>
        <v>-0.1647801631551592</v>
      </c>
      <c r="K620" s="7">
        <f t="shared" si="87"/>
        <v>-0.11396104397959717</v>
      </c>
      <c r="L620" s="7">
        <f t="shared" si="88"/>
        <v>-0.17830849344586097</v>
      </c>
      <c r="M620" s="7">
        <f t="shared" si="89"/>
        <v>-0.1182600362611459</v>
      </c>
      <c r="N620" s="7">
        <f t="shared" si="85"/>
        <v>0.93774079071191285</v>
      </c>
      <c r="O620" s="7">
        <f t="shared" si="86"/>
        <v>6.2259209288087168E-2</v>
      </c>
    </row>
    <row r="621" spans="1:15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4">
        <f>IF(SUMIFS('Daily NSE Equity Cash'!$H:$H,'Daily NSE Equity Cash'!$A:$A,$A621)=0,"",SUMIFS('Daily NSE Equity Cash'!$H:$H,'Daily NSE Equity Cash'!$A:$A,$A621))</f>
        <v>496.24040000000002</v>
      </c>
      <c r="F621" s="4">
        <f>IF(SUMIFS('Daily BSE Equity Cash'!$H:$H,'Daily BSE Equity Cash'!$A:$A,$A621)=0,"",SUMIFS('Daily BSE Equity Cash'!$H:$H,'Daily BSE Equity Cash'!$A:$A,$A621))</f>
        <v>43.535699999999999</v>
      </c>
      <c r="G621" s="4">
        <f t="shared" si="81"/>
        <v>539.77610000000004</v>
      </c>
      <c r="H621" s="7">
        <f t="shared" si="82"/>
        <v>-0.29765149932544932</v>
      </c>
      <c r="I621" s="7">
        <f t="shared" si="83"/>
        <v>-0.3462106809150951</v>
      </c>
      <c r="J621" s="7">
        <f t="shared" si="84"/>
        <v>-0.30183388601875316</v>
      </c>
      <c r="K621" s="7">
        <f t="shared" si="87"/>
        <v>-0.14286819726451783</v>
      </c>
      <c r="L621" s="7">
        <f t="shared" si="88"/>
        <v>0.13260957792207795</v>
      </c>
      <c r="M621" s="7">
        <f t="shared" si="89"/>
        <v>-0.12571716880495887</v>
      </c>
      <c r="N621" s="7">
        <f t="shared" si="85"/>
        <v>0.91934489133550001</v>
      </c>
      <c r="O621" s="7">
        <f t="shared" si="86"/>
        <v>8.0655108664499958E-2</v>
      </c>
    </row>
    <row r="622" spans="1:15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4">
        <f>IF(SUMIFS('Daily NSE Equity Cash'!$H:$H,'Daily NSE Equity Cash'!$A:$A,$A622)=0,"",SUMIFS('Daily NSE Equity Cash'!$H:$H,'Daily NSE Equity Cash'!$A:$A,$A622))</f>
        <v>635.60469999999998</v>
      </c>
      <c r="F622" s="4">
        <f>IF(SUMIFS('Daily BSE Equity Cash'!$H:$H,'Daily BSE Equity Cash'!$A:$A,$A622)=0,"",SUMIFS('Daily BSE Equity Cash'!$H:$H,'Daily BSE Equity Cash'!$A:$A,$A622))</f>
        <v>31.580100000000002</v>
      </c>
      <c r="G622" s="4">
        <f t="shared" si="81"/>
        <v>667.1848</v>
      </c>
      <c r="H622" s="7">
        <f t="shared" si="82"/>
        <v>-0.2360503904936333</v>
      </c>
      <c r="I622" s="7">
        <f t="shared" si="83"/>
        <v>-0.67501625942635091</v>
      </c>
      <c r="J622" s="7">
        <f t="shared" si="84"/>
        <v>-0.28195816363934967</v>
      </c>
      <c r="K622" s="7">
        <f t="shared" si="87"/>
        <v>0.28084029434121027</v>
      </c>
      <c r="L622" s="7">
        <f t="shared" si="88"/>
        <v>-0.27461600479606385</v>
      </c>
      <c r="M622" s="7">
        <f t="shared" si="89"/>
        <v>0.23603990617591242</v>
      </c>
      <c r="N622" s="7">
        <f t="shared" si="85"/>
        <v>0.95266663748934322</v>
      </c>
      <c r="O622" s="7">
        <f t="shared" si="86"/>
        <v>4.7333362510656722E-2</v>
      </c>
    </row>
    <row r="623" spans="1:15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4">
        <f>IF(SUMIFS('Daily NSE Equity Cash'!$H:$H,'Daily NSE Equity Cash'!$A:$A,$A623)=0,"",SUMIFS('Daily NSE Equity Cash'!$H:$H,'Daily NSE Equity Cash'!$A:$A,$A623))</f>
        <v>586.36310000000003</v>
      </c>
      <c r="F623" s="4">
        <f>IF(SUMIFS('Daily BSE Equity Cash'!$H:$H,'Daily BSE Equity Cash'!$A:$A,$A623)=0,"",SUMIFS('Daily BSE Equity Cash'!$H:$H,'Daily BSE Equity Cash'!$A:$A,$A623))</f>
        <v>39.198500000000003</v>
      </c>
      <c r="G623" s="4">
        <f t="shared" si="81"/>
        <v>625.5616</v>
      </c>
      <c r="H623" s="7">
        <f t="shared" si="82"/>
        <v>-0.19647140496991233</v>
      </c>
      <c r="I623" s="7">
        <f t="shared" si="83"/>
        <v>-0.22267303623235823</v>
      </c>
      <c r="J623" s="7">
        <f t="shared" si="84"/>
        <v>-0.19816499767676599</v>
      </c>
      <c r="K623" s="7">
        <f t="shared" si="87"/>
        <v>-7.7472051418121857E-2</v>
      </c>
      <c r="L623" s="7">
        <f t="shared" si="88"/>
        <v>0.24124052805405949</v>
      </c>
      <c r="M623" s="7">
        <f t="shared" si="89"/>
        <v>-6.2386313357258749E-2</v>
      </c>
      <c r="N623" s="7">
        <f t="shared" si="85"/>
        <v>0.93733870493329519</v>
      </c>
      <c r="O623" s="7">
        <f t="shared" si="86"/>
        <v>6.266129506670487E-2</v>
      </c>
    </row>
    <row r="624" spans="1:15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4">
        <f>IF(SUMIFS('Daily NSE Equity Cash'!$H:$H,'Daily NSE Equity Cash'!$A:$A,$A624)=0,"",SUMIFS('Daily NSE Equity Cash'!$H:$H,'Daily NSE Equity Cash'!$A:$A,$A624))</f>
        <v>640.63400000000001</v>
      </c>
      <c r="F624" s="4">
        <f>IF(SUMIFS('Daily BSE Equity Cash'!$H:$H,'Daily BSE Equity Cash'!$A:$A,$A624)=0,"",SUMIFS('Daily BSE Equity Cash'!$H:$H,'Daily BSE Equity Cash'!$A:$A,$A624))</f>
        <v>37.768500000000003</v>
      </c>
      <c r="G624" s="4">
        <f t="shared" si="81"/>
        <v>678.40250000000003</v>
      </c>
      <c r="H624" s="7" t="str">
        <f t="shared" si="82"/>
        <v/>
      </c>
      <c r="I624" s="7" t="str">
        <f t="shared" si="83"/>
        <v/>
      </c>
      <c r="J624" s="7" t="str">
        <f t="shared" si="84"/>
        <v/>
      </c>
      <c r="K624" s="7">
        <f t="shared" si="87"/>
        <v>9.2555107918625756E-2</v>
      </c>
      <c r="L624" s="7">
        <f t="shared" si="88"/>
        <v>-3.648098779290021E-2</v>
      </c>
      <c r="M624" s="7">
        <f t="shared" si="89"/>
        <v>8.4469539050990416E-2</v>
      </c>
      <c r="N624" s="7">
        <f t="shared" si="85"/>
        <v>0.94432729832216122</v>
      </c>
      <c r="O624" s="7">
        <f t="shared" si="86"/>
        <v>5.5672701677838748E-2</v>
      </c>
    </row>
    <row r="625" spans="1:15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4">
        <f>IF(SUMIFS('Daily NSE Equity Cash'!$H:$H,'Daily NSE Equity Cash'!$A:$A,$A625)=0,"",SUMIFS('Daily NSE Equity Cash'!$H:$H,'Daily NSE Equity Cash'!$A:$A,$A625))</f>
        <v>488.6961</v>
      </c>
      <c r="F625" s="4">
        <f>IF(SUMIFS('Daily BSE Equity Cash'!$H:$H,'Daily BSE Equity Cash'!$A:$A,$A625)=0,"",SUMIFS('Daily BSE Equity Cash'!$H:$H,'Daily BSE Equity Cash'!$A:$A,$A625))</f>
        <v>28.248899999999999</v>
      </c>
      <c r="G625" s="4">
        <f t="shared" si="81"/>
        <v>516.94500000000005</v>
      </c>
      <c r="H625" s="7">
        <f t="shared" si="82"/>
        <v>-0.34334722253948069</v>
      </c>
      <c r="I625" s="7">
        <f t="shared" si="83"/>
        <v>-0.49926082702288777</v>
      </c>
      <c r="J625" s="7">
        <f t="shared" si="84"/>
        <v>-0.35433318503482336</v>
      </c>
      <c r="K625" s="7">
        <f t="shared" si="87"/>
        <v>-0.23716802417605065</v>
      </c>
      <c r="L625" s="7">
        <f t="shared" si="88"/>
        <v>-0.25205131260177138</v>
      </c>
      <c r="M625" s="7">
        <f t="shared" si="89"/>
        <v>-0.23799661705256092</v>
      </c>
      <c r="N625" s="7">
        <f t="shared" si="85"/>
        <v>0.94535414792676198</v>
      </c>
      <c r="O625" s="7">
        <f t="shared" si="86"/>
        <v>5.4645852073237959E-2</v>
      </c>
    </row>
    <row r="626" spans="1:15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4">
        <f>IF(SUMIFS('Daily NSE Equity Cash'!$H:$H,'Daily NSE Equity Cash'!$A:$A,$A626)=0,"",SUMIFS('Daily NSE Equity Cash'!$H:$H,'Daily NSE Equity Cash'!$A:$A,$A626))</f>
        <v>560.17830000000004</v>
      </c>
      <c r="F626" s="4">
        <f>IF(SUMIFS('Daily BSE Equity Cash'!$H:$H,'Daily BSE Equity Cash'!$A:$A,$A626)=0,"",SUMIFS('Daily BSE Equity Cash'!$H:$H,'Daily BSE Equity Cash'!$A:$A,$A626))</f>
        <v>35.064500000000002</v>
      </c>
      <c r="G626" s="4">
        <f t="shared" si="81"/>
        <v>595.24279999999999</v>
      </c>
      <c r="H626" s="7">
        <f t="shared" si="82"/>
        <v>-0.26310702791869645</v>
      </c>
      <c r="I626" s="7">
        <f t="shared" si="83"/>
        <v>-0.41430313356049975</v>
      </c>
      <c r="J626" s="7">
        <f t="shared" si="84"/>
        <v>-0.27414504470723089</v>
      </c>
      <c r="K626" s="7">
        <f t="shared" si="87"/>
        <v>0.14627127165532938</v>
      </c>
      <c r="L626" s="7">
        <f t="shared" si="88"/>
        <v>0.24126957155853868</v>
      </c>
      <c r="M626" s="7">
        <f t="shared" si="89"/>
        <v>0.15146253469904902</v>
      </c>
      <c r="N626" s="7">
        <f t="shared" si="85"/>
        <v>0.94109210560799739</v>
      </c>
      <c r="O626" s="7">
        <f t="shared" si="86"/>
        <v>5.8907894392002731E-2</v>
      </c>
    </row>
    <row r="627" spans="1:15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4">
        <f>IF(SUMIFS('Daily NSE Equity Cash'!$H:$H,'Daily NSE Equity Cash'!$A:$A,$A627)=0,"",SUMIFS('Daily NSE Equity Cash'!$H:$H,'Daily NSE Equity Cash'!$A:$A,$A627))</f>
        <v>489.0052</v>
      </c>
      <c r="F627" s="4">
        <f>IF(SUMIFS('Daily BSE Equity Cash'!$H:$H,'Daily BSE Equity Cash'!$A:$A,$A627)=0,"",SUMIFS('Daily BSE Equity Cash'!$H:$H,'Daily BSE Equity Cash'!$A:$A,$A627))</f>
        <v>32.171399999999998</v>
      </c>
      <c r="G627" s="4">
        <f t="shared" si="81"/>
        <v>521.17660000000001</v>
      </c>
      <c r="H627" s="7">
        <f t="shared" si="82"/>
        <v>-0.33775780448868131</v>
      </c>
      <c r="I627" s="7">
        <f t="shared" si="83"/>
        <v>-0.43533388797034456</v>
      </c>
      <c r="J627" s="7">
        <f t="shared" si="84"/>
        <v>-0.34474729520107683</v>
      </c>
      <c r="K627" s="7">
        <f t="shared" si="87"/>
        <v>-0.12705436822525973</v>
      </c>
      <c r="L627" s="7">
        <f t="shared" si="88"/>
        <v>-8.250794963567154E-2</v>
      </c>
      <c r="M627" s="7">
        <f t="shared" si="89"/>
        <v>-0.12443023250344232</v>
      </c>
      <c r="N627" s="7">
        <f t="shared" si="85"/>
        <v>0.93827159546303496</v>
      </c>
      <c r="O627" s="7">
        <f t="shared" si="86"/>
        <v>6.1728404536965008E-2</v>
      </c>
    </row>
    <row r="628" spans="1:15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4">
        <f>IF(SUMIFS('Daily NSE Equity Cash'!$H:$H,'Daily NSE Equity Cash'!$A:$A,$A628)=0,"",SUMIFS('Daily NSE Equity Cash'!$H:$H,'Daily NSE Equity Cash'!$A:$A,$A628))</f>
        <v>450.5</v>
      </c>
      <c r="F628" s="4">
        <f>IF(SUMIFS('Daily BSE Equity Cash'!$H:$H,'Daily BSE Equity Cash'!$A:$A,$A628)=0,"",SUMIFS('Daily BSE Equity Cash'!$H:$H,'Daily BSE Equity Cash'!$A:$A,$A628))</f>
        <v>34.051000000000002</v>
      </c>
      <c r="G628" s="4">
        <f t="shared" si="81"/>
        <v>484.55099999999999</v>
      </c>
      <c r="H628" s="7" t="str">
        <f t="shared" si="82"/>
        <v/>
      </c>
      <c r="I628" s="7" t="str">
        <f t="shared" si="83"/>
        <v/>
      </c>
      <c r="J628" s="7" t="str">
        <f t="shared" si="84"/>
        <v/>
      </c>
      <c r="K628" s="7">
        <f t="shared" si="87"/>
        <v>-7.8741902949089337E-2</v>
      </c>
      <c r="L628" s="7">
        <f t="shared" si="88"/>
        <v>5.8424563432116772E-2</v>
      </c>
      <c r="M628" s="7">
        <f t="shared" si="89"/>
        <v>-7.0274835823404214E-2</v>
      </c>
      <c r="N628" s="7">
        <f t="shared" si="85"/>
        <v>0.92972669543556818</v>
      </c>
      <c r="O628" s="7">
        <f t="shared" si="86"/>
        <v>7.0273304564431815E-2</v>
      </c>
    </row>
    <row r="629" spans="1:15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4">
        <f>IF(SUMIFS('Daily NSE Equity Cash'!$H:$H,'Daily NSE Equity Cash'!$A:$A,$A629)=0,"",SUMIFS('Daily NSE Equity Cash'!$H:$H,'Daily NSE Equity Cash'!$A:$A,$A629))</f>
        <v>528.14149999999995</v>
      </c>
      <c r="F629" s="4">
        <f>IF(SUMIFS('Daily BSE Equity Cash'!$H:$H,'Daily BSE Equity Cash'!$A:$A,$A629)=0,"",SUMIFS('Daily BSE Equity Cash'!$H:$H,'Daily BSE Equity Cash'!$A:$A,$A629))</f>
        <v>134.9222</v>
      </c>
      <c r="G629" s="4">
        <f t="shared" si="81"/>
        <v>663.06369999999993</v>
      </c>
      <c r="H629" s="7">
        <f t="shared" si="82"/>
        <v>-0.3285155791597073</v>
      </c>
      <c r="I629" s="7">
        <f t="shared" si="83"/>
        <v>6.1923820092952164E-2</v>
      </c>
      <c r="J629" s="7">
        <f t="shared" si="84"/>
        <v>-0.27421608637990991</v>
      </c>
      <c r="K629" s="7">
        <f t="shared" si="87"/>
        <v>0.17234517203107647</v>
      </c>
      <c r="L629" s="7">
        <f t="shared" si="88"/>
        <v>2.9623564653020469</v>
      </c>
      <c r="M629" s="7">
        <f t="shared" si="89"/>
        <v>0.36840848538131166</v>
      </c>
      <c r="N629" s="7">
        <f t="shared" si="85"/>
        <v>0.79651698622621026</v>
      </c>
      <c r="O629" s="7">
        <f t="shared" si="86"/>
        <v>0.20348301377378977</v>
      </c>
    </row>
    <row r="630" spans="1:15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4">
        <f>IF(SUMIFS('Daily NSE Equity Cash'!$H:$H,'Daily NSE Equity Cash'!$A:$A,$A630)=0,"",SUMIFS('Daily NSE Equity Cash'!$H:$H,'Daily NSE Equity Cash'!$A:$A,$A630))</f>
        <v>444.63159999999999</v>
      </c>
      <c r="F630" s="4">
        <f>IF(SUMIFS('Daily BSE Equity Cash'!$H:$H,'Daily BSE Equity Cash'!$A:$A,$A630)=0,"",SUMIFS('Daily BSE Equity Cash'!$H:$H,'Daily BSE Equity Cash'!$A:$A,$A630))</f>
        <v>29.3292</v>
      </c>
      <c r="G630" s="4">
        <f t="shared" si="81"/>
        <v>473.96080000000001</v>
      </c>
      <c r="H630" s="7">
        <f t="shared" si="82"/>
        <v>-0.41466313400734001</v>
      </c>
      <c r="I630" s="7">
        <f t="shared" si="83"/>
        <v>-0.46415123296080507</v>
      </c>
      <c r="J630" s="7">
        <f t="shared" si="84"/>
        <v>-0.41798932572907466</v>
      </c>
      <c r="K630" s="7">
        <f t="shared" si="87"/>
        <v>-0.15812031434757534</v>
      </c>
      <c r="L630" s="7">
        <f t="shared" si="88"/>
        <v>-0.78262139218008597</v>
      </c>
      <c r="M630" s="7">
        <f t="shared" si="89"/>
        <v>-0.28519567576991467</v>
      </c>
      <c r="N630" s="7">
        <f t="shared" si="85"/>
        <v>0.93811893304256377</v>
      </c>
      <c r="O630" s="7">
        <f t="shared" si="86"/>
        <v>6.1881066957436143E-2</v>
      </c>
    </row>
    <row r="631" spans="1:15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4">
        <f>IF(SUMIFS('Daily NSE Equity Cash'!$H:$H,'Daily NSE Equity Cash'!$A:$A,$A631)=0,"",SUMIFS('Daily NSE Equity Cash'!$H:$H,'Daily NSE Equity Cash'!$A:$A,$A631))</f>
        <v>413.89150000000001</v>
      </c>
      <c r="F631" s="4">
        <f>IF(SUMIFS('Daily BSE Equity Cash'!$H:$H,'Daily BSE Equity Cash'!$A:$A,$A631)=0,"",SUMIFS('Daily BSE Equity Cash'!$H:$H,'Daily BSE Equity Cash'!$A:$A,$A631))</f>
        <v>26.0654</v>
      </c>
      <c r="G631" s="4">
        <f t="shared" si="81"/>
        <v>439.95690000000002</v>
      </c>
      <c r="H631" s="7">
        <f t="shared" si="82"/>
        <v>-0.55248214243816074</v>
      </c>
      <c r="I631" s="7">
        <f t="shared" si="83"/>
        <v>-0.58616758804421343</v>
      </c>
      <c r="J631" s="7">
        <f t="shared" si="84"/>
        <v>-0.55462993866349775</v>
      </c>
      <c r="K631" s="7">
        <f t="shared" si="87"/>
        <v>-6.9136111783328014E-2</v>
      </c>
      <c r="L631" s="7">
        <f t="shared" si="88"/>
        <v>-0.11128158967854562</v>
      </c>
      <c r="M631" s="7">
        <f t="shared" si="89"/>
        <v>-7.1744118922915101E-2</v>
      </c>
      <c r="N631" s="7">
        <f t="shared" si="85"/>
        <v>0.94075465119424195</v>
      </c>
      <c r="O631" s="7">
        <f t="shared" si="86"/>
        <v>5.9245348805758019E-2</v>
      </c>
    </row>
    <row r="632" spans="1:15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4">
        <f>IF(SUMIFS('Daily NSE Equity Cash'!$H:$H,'Daily NSE Equity Cash'!$A:$A,$A632)=0,"",SUMIFS('Daily NSE Equity Cash'!$H:$H,'Daily NSE Equity Cash'!$A:$A,$A632))</f>
        <v>444.38279999999997</v>
      </c>
      <c r="F632" s="4">
        <f>IF(SUMIFS('Daily BSE Equity Cash'!$H:$H,'Daily BSE Equity Cash'!$A:$A,$A632)=0,"",SUMIFS('Daily BSE Equity Cash'!$H:$H,'Daily BSE Equity Cash'!$A:$A,$A632))</f>
        <v>27.881599999999999</v>
      </c>
      <c r="G632" s="4">
        <f t="shared" si="81"/>
        <v>472.26439999999997</v>
      </c>
      <c r="H632" s="7">
        <f t="shared" si="82"/>
        <v>-0.5485076859788024</v>
      </c>
      <c r="I632" s="7">
        <f t="shared" si="83"/>
        <v>-0.55712139069881217</v>
      </c>
      <c r="J632" s="7">
        <f t="shared" si="84"/>
        <v>-0.54902551898203289</v>
      </c>
      <c r="K632" s="7">
        <f t="shared" si="87"/>
        <v>7.3669790271121638E-2</v>
      </c>
      <c r="L632" s="7">
        <f t="shared" si="88"/>
        <v>6.9678577731398628E-2</v>
      </c>
      <c r="M632" s="7">
        <f t="shared" si="89"/>
        <v>7.343332949204795E-2</v>
      </c>
      <c r="N632" s="7">
        <f t="shared" si="85"/>
        <v>0.94096188491023247</v>
      </c>
      <c r="O632" s="7">
        <f t="shared" si="86"/>
        <v>5.9038115089767515E-2</v>
      </c>
    </row>
    <row r="633" spans="1:15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4">
        <f>IF(SUMIFS('Daily NSE Equity Cash'!$H:$H,'Daily NSE Equity Cash'!$A:$A,$A633)=0,"",SUMIFS('Daily NSE Equity Cash'!$H:$H,'Daily NSE Equity Cash'!$A:$A,$A633))</f>
        <v>471.3476</v>
      </c>
      <c r="F633" s="4">
        <f>IF(SUMIFS('Daily BSE Equity Cash'!$H:$H,'Daily BSE Equity Cash'!$A:$A,$A633)=0,"",SUMIFS('Daily BSE Equity Cash'!$H:$H,'Daily BSE Equity Cash'!$A:$A,$A633))</f>
        <v>127.49079999999999</v>
      </c>
      <c r="G633" s="4">
        <f t="shared" si="81"/>
        <v>598.83839999999998</v>
      </c>
      <c r="H633" s="7" t="str">
        <f t="shared" si="82"/>
        <v/>
      </c>
      <c r="I633" s="7" t="str">
        <f t="shared" si="83"/>
        <v/>
      </c>
      <c r="J633" s="7" t="str">
        <f t="shared" si="84"/>
        <v/>
      </c>
      <c r="K633" s="7">
        <f t="shared" si="87"/>
        <v>6.0679216207288E-2</v>
      </c>
      <c r="L633" s="7">
        <f t="shared" si="88"/>
        <v>3.5725783312291979</v>
      </c>
      <c r="M633" s="7">
        <f t="shared" si="89"/>
        <v>0.26801512034360409</v>
      </c>
      <c r="N633" s="7">
        <f t="shared" si="85"/>
        <v>0.78710316506089129</v>
      </c>
      <c r="O633" s="7">
        <f t="shared" si="86"/>
        <v>0.21289683493910877</v>
      </c>
    </row>
    <row r="634" spans="1:15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4">
        <f>IF(SUMIFS('Daily NSE Equity Cash'!$H:$H,'Daily NSE Equity Cash'!$A:$A,$A634)=0,"",SUMIFS('Daily NSE Equity Cash'!$H:$H,'Daily NSE Equity Cash'!$A:$A,$A634))</f>
        <v>516.05449999999996</v>
      </c>
      <c r="F634" s="4">
        <f>IF(SUMIFS('Daily BSE Equity Cash'!$H:$H,'Daily BSE Equity Cash'!$A:$A,$A634)=0,"",SUMIFS('Daily BSE Equity Cash'!$H:$H,'Daily BSE Equity Cash'!$A:$A,$A634))</f>
        <v>42.006</v>
      </c>
      <c r="G634" s="4">
        <f t="shared" si="81"/>
        <v>558.06049999999993</v>
      </c>
      <c r="H634" s="7">
        <f t="shared" si="82"/>
        <v>-0.50228356347394076</v>
      </c>
      <c r="I634" s="7">
        <f t="shared" si="83"/>
        <v>-0.41488487414857012</v>
      </c>
      <c r="J634" s="7">
        <f t="shared" si="84"/>
        <v>-0.49662395770512113</v>
      </c>
      <c r="K634" s="7">
        <f t="shared" si="87"/>
        <v>9.48491092348831E-2</v>
      </c>
      <c r="L634" s="7">
        <f t="shared" si="88"/>
        <v>-0.67051740203999033</v>
      </c>
      <c r="M634" s="7">
        <f t="shared" si="89"/>
        <v>-6.8094998583925204E-2</v>
      </c>
      <c r="N634" s="7">
        <f t="shared" si="85"/>
        <v>0.92472859125489082</v>
      </c>
      <c r="O634" s="7">
        <f t="shared" si="86"/>
        <v>7.5271408745109181E-2</v>
      </c>
    </row>
    <row r="635" spans="1:15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4">
        <f>IF(SUMIFS('Daily NSE Equity Cash'!$H:$H,'Daily NSE Equity Cash'!$A:$A,$A635)=0,"",SUMIFS('Daily NSE Equity Cash'!$H:$H,'Daily NSE Equity Cash'!$A:$A,$A635))</f>
        <v>476.73140000000001</v>
      </c>
      <c r="F635" s="4">
        <f>IF(SUMIFS('Daily BSE Equity Cash'!$H:$H,'Daily BSE Equity Cash'!$A:$A,$A635)=0,"",SUMIFS('Daily BSE Equity Cash'!$H:$H,'Daily BSE Equity Cash'!$A:$A,$A635))</f>
        <v>30.809200000000001</v>
      </c>
      <c r="G635" s="4">
        <f t="shared" si="81"/>
        <v>507.54059999999998</v>
      </c>
      <c r="H635" s="7">
        <f t="shared" si="82"/>
        <v>-0.54656004221555166</v>
      </c>
      <c r="I635" s="7">
        <f t="shared" si="83"/>
        <v>-0.59003115098981906</v>
      </c>
      <c r="J635" s="7">
        <f t="shared" si="84"/>
        <v>-0.54946000776553416</v>
      </c>
      <c r="K635" s="7">
        <f t="shared" si="87"/>
        <v>-7.6199509935481524E-2</v>
      </c>
      <c r="L635" s="7">
        <f t="shared" si="88"/>
        <v>-0.26655239727657953</v>
      </c>
      <c r="M635" s="7">
        <f t="shared" si="89"/>
        <v>-9.0527639924345094E-2</v>
      </c>
      <c r="N635" s="7">
        <f t="shared" si="85"/>
        <v>0.93929707298292986</v>
      </c>
      <c r="O635" s="7">
        <f t="shared" si="86"/>
        <v>6.0702927017070162E-2</v>
      </c>
    </row>
    <row r="636" spans="1:15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4">
        <f>IF(SUMIFS('Daily NSE Equity Cash'!$H:$H,'Daily NSE Equity Cash'!$A:$A,$A636)=0,"",SUMIFS('Daily NSE Equity Cash'!$H:$H,'Daily NSE Equity Cash'!$A:$A,$A636))</f>
        <v>481.92349999999999</v>
      </c>
      <c r="F636" s="4">
        <f>IF(SUMIFS('Daily BSE Equity Cash'!$H:$H,'Daily BSE Equity Cash'!$A:$A,$A636)=0,"",SUMIFS('Daily BSE Equity Cash'!$H:$H,'Daily BSE Equity Cash'!$A:$A,$A636))</f>
        <v>29.0488</v>
      </c>
      <c r="G636" s="4">
        <f t="shared" si="81"/>
        <v>510.97230000000002</v>
      </c>
      <c r="H636" s="7">
        <f t="shared" si="82"/>
        <v>-0.48833690103353244</v>
      </c>
      <c r="I636" s="7">
        <f t="shared" si="83"/>
        <v>-0.7937163621283102</v>
      </c>
      <c r="J636" s="7">
        <f t="shared" si="84"/>
        <v>-0.52805574379445097</v>
      </c>
      <c r="K636" s="7">
        <f t="shared" si="87"/>
        <v>1.0891038433801459E-2</v>
      </c>
      <c r="L636" s="7">
        <f t="shared" si="88"/>
        <v>-5.7138776729029006E-2</v>
      </c>
      <c r="M636" s="7">
        <f t="shared" si="89"/>
        <v>6.7614295289875059E-3</v>
      </c>
      <c r="N636" s="7">
        <f t="shared" si="85"/>
        <v>0.9431499515727173</v>
      </c>
      <c r="O636" s="7">
        <f t="shared" si="86"/>
        <v>5.6850048427282654E-2</v>
      </c>
    </row>
    <row r="637" spans="1:15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4">
        <f>IF(SUMIFS('Daily NSE Equity Cash'!$H:$H,'Daily NSE Equity Cash'!$A:$A,$A637)=0,"",SUMIFS('Daily NSE Equity Cash'!$H:$H,'Daily NSE Equity Cash'!$A:$A,$A637))</f>
        <v>541.04750000000001</v>
      </c>
      <c r="F637" s="4">
        <f>IF(SUMIFS('Daily BSE Equity Cash'!$H:$H,'Daily BSE Equity Cash'!$A:$A,$A637)=0,"",SUMIFS('Daily BSE Equity Cash'!$H:$H,'Daily BSE Equity Cash'!$A:$A,$A637))</f>
        <v>36.882599999999996</v>
      </c>
      <c r="G637" s="4">
        <f t="shared" si="81"/>
        <v>577.93010000000004</v>
      </c>
      <c r="H637" s="7">
        <f t="shared" si="82"/>
        <v>-0.36665078164937515</v>
      </c>
      <c r="I637" s="7">
        <f t="shared" si="83"/>
        <v>-0.33263851569582192</v>
      </c>
      <c r="J637" s="7">
        <f t="shared" si="84"/>
        <v>-0.36458407547455252</v>
      </c>
      <c r="K637" s="7">
        <f t="shared" si="87"/>
        <v>0.12268337194596235</v>
      </c>
      <c r="L637" s="7">
        <f t="shared" si="88"/>
        <v>0.26967723279446987</v>
      </c>
      <c r="M637" s="7">
        <f t="shared" si="89"/>
        <v>0.13103998005371342</v>
      </c>
      <c r="N637" s="7">
        <f t="shared" si="85"/>
        <v>0.93618155552029558</v>
      </c>
      <c r="O637" s="7">
        <f t="shared" si="86"/>
        <v>6.3818444479704375E-2</v>
      </c>
    </row>
    <row r="638" spans="1:15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4">
        <f>IF(SUMIFS('Daily NSE Equity Cash'!$H:$H,'Daily NSE Equity Cash'!$A:$A,$A638)=0,"",SUMIFS('Daily NSE Equity Cash'!$H:$H,'Daily NSE Equity Cash'!$A:$A,$A638))</f>
        <v>104.6456</v>
      </c>
      <c r="F638" s="4">
        <f>IF(SUMIFS('Daily BSE Equity Cash'!$H:$H,'Daily BSE Equity Cash'!$A:$A,$A638)=0,"",SUMIFS('Daily BSE Equity Cash'!$H:$H,'Daily BSE Equity Cash'!$A:$A,$A638))</f>
        <v>10.334</v>
      </c>
      <c r="G638" s="4">
        <f t="shared" si="81"/>
        <v>114.9796</v>
      </c>
      <c r="H638" s="7" t="str">
        <f t="shared" si="82"/>
        <v/>
      </c>
      <c r="I638" s="7" t="str">
        <f t="shared" si="83"/>
        <v/>
      </c>
      <c r="J638" s="7" t="str">
        <f t="shared" si="84"/>
        <v/>
      </c>
      <c r="K638" s="7">
        <f t="shared" si="87"/>
        <v>-0.80658703718250246</v>
      </c>
      <c r="L638" s="7">
        <f t="shared" si="88"/>
        <v>-0.71981367907902372</v>
      </c>
      <c r="M638" s="7">
        <f t="shared" si="89"/>
        <v>-0.80104929644605805</v>
      </c>
      <c r="N638" s="7">
        <f t="shared" si="85"/>
        <v>0.9101231870697063</v>
      </c>
      <c r="O638" s="7">
        <f t="shared" si="86"/>
        <v>8.9876812930293717E-2</v>
      </c>
    </row>
    <row r="639" spans="1:15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4">
        <f>IF(SUMIFS('Daily NSE Equity Cash'!$H:$H,'Daily NSE Equity Cash'!$A:$A,$A639)=0,"",SUMIFS('Daily NSE Equity Cash'!$H:$H,'Daily NSE Equity Cash'!$A:$A,$A639))</f>
        <v>530.59320000000002</v>
      </c>
      <c r="F639" s="4">
        <f>IF(SUMIFS('Daily BSE Equity Cash'!$H:$H,'Daily BSE Equity Cash'!$A:$A,$A639)=0,"",SUMIFS('Daily BSE Equity Cash'!$H:$H,'Daily BSE Equity Cash'!$A:$A,$A639))</f>
        <v>81.284300000000002</v>
      </c>
      <c r="G639" s="4">
        <f t="shared" si="81"/>
        <v>611.87750000000005</v>
      </c>
      <c r="H639" s="7">
        <f t="shared" si="82"/>
        <v>-0.34214012272603955</v>
      </c>
      <c r="I639" s="7">
        <f t="shared" si="83"/>
        <v>0.45513540027532962</v>
      </c>
      <c r="J639" s="7">
        <f t="shared" si="84"/>
        <v>-0.29049841681057631</v>
      </c>
      <c r="K639" s="7">
        <f t="shared" si="87"/>
        <v>4.0703823189890453</v>
      </c>
      <c r="L639" s="7">
        <f t="shared" si="88"/>
        <v>6.8657151151538613</v>
      </c>
      <c r="M639" s="7">
        <f t="shared" si="89"/>
        <v>4.3216179217878654</v>
      </c>
      <c r="N639" s="7">
        <f t="shared" si="85"/>
        <v>0.86715592581848489</v>
      </c>
      <c r="O639" s="7">
        <f t="shared" si="86"/>
        <v>0.13284407418151509</v>
      </c>
    </row>
    <row r="640" spans="1:15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4">
        <f>IF(SUMIFS('Daily NSE Equity Cash'!$H:$H,'Daily NSE Equity Cash'!$A:$A,$A640)=0,"",SUMIFS('Daily NSE Equity Cash'!$H:$H,'Daily NSE Equity Cash'!$A:$A,$A640))</f>
        <v>561.57270000000005</v>
      </c>
      <c r="F640" s="4">
        <f>IF(SUMIFS('Daily BSE Equity Cash'!$H:$H,'Daily BSE Equity Cash'!$A:$A,$A640)=0,"",SUMIFS('Daily BSE Equity Cash'!$H:$H,'Daily BSE Equity Cash'!$A:$A,$A640))</f>
        <v>33.639000000000003</v>
      </c>
      <c r="G640" s="4">
        <f t="shared" si="81"/>
        <v>595.21170000000006</v>
      </c>
      <c r="H640" s="7">
        <f t="shared" si="82"/>
        <v>-0.20433807017949013</v>
      </c>
      <c r="I640" s="7">
        <f t="shared" si="83"/>
        <v>-0.26684945121047532</v>
      </c>
      <c r="J640" s="7">
        <f t="shared" si="84"/>
        <v>-0.20815380671377104</v>
      </c>
      <c r="K640" s="7">
        <f t="shared" si="87"/>
        <v>5.8386537935277039E-2</v>
      </c>
      <c r="L640" s="7">
        <f t="shared" si="88"/>
        <v>-0.58615624419475831</v>
      </c>
      <c r="M640" s="7">
        <f t="shared" si="89"/>
        <v>-2.7237151227165524E-2</v>
      </c>
      <c r="N640" s="7">
        <f t="shared" si="85"/>
        <v>0.94348397385333649</v>
      </c>
      <c r="O640" s="7">
        <f t="shared" si="86"/>
        <v>5.6516026146663449E-2</v>
      </c>
    </row>
    <row r="641" spans="1:15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4">
        <f>IF(SUMIFS('Daily NSE Equity Cash'!$H:$H,'Daily NSE Equity Cash'!$A:$A,$A641)=0,"",SUMIFS('Daily NSE Equity Cash'!$H:$H,'Daily NSE Equity Cash'!$A:$A,$A641))</f>
        <v>472.6737</v>
      </c>
      <c r="F641" s="4">
        <f>IF(SUMIFS('Daily BSE Equity Cash'!$H:$H,'Daily BSE Equity Cash'!$A:$A,$A641)=0,"",SUMIFS('Daily BSE Equity Cash'!$H:$H,'Daily BSE Equity Cash'!$A:$A,$A641))</f>
        <v>31.322800000000001</v>
      </c>
      <c r="G641" s="4">
        <f t="shared" si="81"/>
        <v>503.99649999999997</v>
      </c>
      <c r="H641" s="7">
        <f t="shared" si="82"/>
        <v>-0.38102102511083513</v>
      </c>
      <c r="I641" s="7">
        <f t="shared" si="83"/>
        <v>-0.33434631723680663</v>
      </c>
      <c r="J641" s="7">
        <f t="shared" si="84"/>
        <v>-0.37831183848034677</v>
      </c>
      <c r="K641" s="7">
        <f t="shared" si="87"/>
        <v>-0.15830363548655424</v>
      </c>
      <c r="L641" s="7">
        <f t="shared" si="88"/>
        <v>-6.8854603287850424E-2</v>
      </c>
      <c r="M641" s="7">
        <f t="shared" si="89"/>
        <v>-0.15324833164401852</v>
      </c>
      <c r="N641" s="7">
        <f t="shared" si="85"/>
        <v>0.93785115571239086</v>
      </c>
      <c r="O641" s="7">
        <f t="shared" si="86"/>
        <v>6.2148844287609147E-2</v>
      </c>
    </row>
    <row r="642" spans="1:15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4">
        <f>IF(SUMIFS('Daily NSE Equity Cash'!$H:$H,'Daily NSE Equity Cash'!$A:$A,$A642)=0,"",SUMIFS('Daily NSE Equity Cash'!$H:$H,'Daily NSE Equity Cash'!$A:$A,$A642))</f>
        <v>507.4597</v>
      </c>
      <c r="F642" s="4">
        <f>IF(SUMIFS('Daily BSE Equity Cash'!$H:$H,'Daily BSE Equity Cash'!$A:$A,$A642)=0,"",SUMIFS('Daily BSE Equity Cash'!$H:$H,'Daily BSE Equity Cash'!$A:$A,$A642))</f>
        <v>32.2896</v>
      </c>
      <c r="G642" s="4">
        <f t="shared" ref="G642:G705" si="90">IF(OR(E642="",F642=""),"",E642+F642)</f>
        <v>539.74929999999995</v>
      </c>
      <c r="H642" s="7" t="str">
        <f t="shared" ref="H642:H705" si="91">IFERROR(IF(OR(E642="",INDEX(E:E,MATCH(DATE(YEAR($A642)-1,MONTH($A642),DAY($A642)),$A:$A,0))=""),"",E642/INDEX(E:E,MATCH(DATE(YEAR($A642)-1,MONTH($A642),DAY($A642)),$A:$A,0))-1),"")</f>
        <v/>
      </c>
      <c r="I642" s="7" t="str">
        <f t="shared" ref="I642:I705" si="92">IFERROR(IF(OR(F642="",INDEX(F:F,MATCH(DATE(YEAR($A642)-1,MONTH($A642),DAY($A642)),$A:$A,0))=""),"",F642/INDEX(F:F,MATCH(DATE(YEAR($A642)-1,MONTH($A642),DAY($A642)),$A:$A,0))-1),"")</f>
        <v/>
      </c>
      <c r="J642" s="7" t="str">
        <f t="shared" ref="J642:J705" si="93">IFERROR(IF(OR(G642="",INDEX(G:G,MATCH(DATE(YEAR($A642)-1,MONTH($A642),DAY($A642)),$A:$A,0))=""),"",G642/INDEX(G:G,MATCH(DATE(YEAR($A642)-1,MONTH($A642),DAY($A642)),$A:$A,0))-1),"")</f>
        <v/>
      </c>
      <c r="K642" s="7">
        <f t="shared" si="87"/>
        <v>7.3594109424746978E-2</v>
      </c>
      <c r="L642" s="7">
        <f t="shared" si="88"/>
        <v>3.0865695276284244E-2</v>
      </c>
      <c r="M642" s="7">
        <f t="shared" si="89"/>
        <v>7.0938587867177549E-2</v>
      </c>
      <c r="N642" s="7">
        <f t="shared" ref="N642:N705" si="94">IF(G642="","",E642/G642)</f>
        <v>0.94017667090999479</v>
      </c>
      <c r="O642" s="7">
        <f t="shared" ref="O642:O705" si="95">IF(G642="","",F642/G642)</f>
        <v>5.982332909000531E-2</v>
      </c>
    </row>
    <row r="643" spans="1:15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4">
        <f>IF(SUMIFS('Daily NSE Equity Cash'!$H:$H,'Daily NSE Equity Cash'!$A:$A,$A643)=0,"",SUMIFS('Daily NSE Equity Cash'!$H:$H,'Daily NSE Equity Cash'!$A:$A,$A643))</f>
        <v>583.34310000000005</v>
      </c>
      <c r="F643" s="4">
        <f>IF(SUMIFS('Daily BSE Equity Cash'!$H:$H,'Daily BSE Equity Cash'!$A:$A,$A643)=0,"",SUMIFS('Daily BSE Equity Cash'!$H:$H,'Daily BSE Equity Cash'!$A:$A,$A643))</f>
        <v>73.596800000000002</v>
      </c>
      <c r="G643" s="4">
        <f t="shared" si="90"/>
        <v>656.93990000000008</v>
      </c>
      <c r="H643" s="7">
        <f t="shared" si="91"/>
        <v>-8.232117675708428E-2</v>
      </c>
      <c r="I643" s="7">
        <f t="shared" si="92"/>
        <v>0.79716982283921212</v>
      </c>
      <c r="J643" s="7">
        <f t="shared" si="93"/>
        <v>-2.9091493812145819E-2</v>
      </c>
      <c r="K643" s="7">
        <f t="shared" ref="K643:K706" si="96">IF(OR(E643="",E642=""),"",E643/E642-1)</f>
        <v>0.14953581535637217</v>
      </c>
      <c r="L643" s="7">
        <f t="shared" ref="L643:L706" si="97">IF(OR(F643="",F642=""),"",F643/F642-1)</f>
        <v>1.2792725831227392</v>
      </c>
      <c r="M643" s="7">
        <f t="shared" ref="M643:M706" si="98">IF(OR(G643="",G642=""),"",G643/G642-1)</f>
        <v>0.21712042979953861</v>
      </c>
      <c r="N643" s="7">
        <f t="shared" si="94"/>
        <v>0.88797026942647261</v>
      </c>
      <c r="O643" s="7">
        <f t="shared" si="95"/>
        <v>0.11202973057352734</v>
      </c>
    </row>
    <row r="644" spans="1:15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4">
        <f>IF(SUMIFS('Daily NSE Equity Cash'!$H:$H,'Daily NSE Equity Cash'!$A:$A,$A644)=0,"",SUMIFS('Daily NSE Equity Cash'!$H:$H,'Daily NSE Equity Cash'!$A:$A,$A644))</f>
        <v>512.51369999999997</v>
      </c>
      <c r="F644" s="4">
        <f>IF(SUMIFS('Daily BSE Equity Cash'!$H:$H,'Daily BSE Equity Cash'!$A:$A,$A644)=0,"",SUMIFS('Daily BSE Equity Cash'!$H:$H,'Daily BSE Equity Cash'!$A:$A,$A644))</f>
        <v>33.456000000000003</v>
      </c>
      <c r="G644" s="4">
        <f t="shared" si="90"/>
        <v>545.96969999999999</v>
      </c>
      <c r="H644" s="7">
        <f t="shared" si="91"/>
        <v>-0.18645997640876366</v>
      </c>
      <c r="I644" s="7">
        <f t="shared" si="92"/>
        <v>-0.13881288176953144</v>
      </c>
      <c r="J644" s="7">
        <f t="shared" si="93"/>
        <v>-0.18369240899459416</v>
      </c>
      <c r="K644" s="7">
        <f t="shared" si="96"/>
        <v>-0.12141979565713568</v>
      </c>
      <c r="L644" s="7">
        <f t="shared" si="97"/>
        <v>-0.54541501804426273</v>
      </c>
      <c r="M644" s="7">
        <f t="shared" si="98"/>
        <v>-0.16891986618562838</v>
      </c>
      <c r="N644" s="7">
        <f t="shared" si="94"/>
        <v>0.93872187412598174</v>
      </c>
      <c r="O644" s="7">
        <f t="shared" si="95"/>
        <v>6.1278125874018291E-2</v>
      </c>
    </row>
    <row r="645" spans="1:15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4">
        <f>IF(SUMIFS('Daily NSE Equity Cash'!$H:$H,'Daily NSE Equity Cash'!$A:$A,$A645)=0,"",SUMIFS('Daily NSE Equity Cash'!$H:$H,'Daily NSE Equity Cash'!$A:$A,$A645))</f>
        <v>582.25109999999995</v>
      </c>
      <c r="F645" s="4">
        <f>IF(SUMIFS('Daily BSE Equity Cash'!$H:$H,'Daily BSE Equity Cash'!$A:$A,$A645)=0,"",SUMIFS('Daily BSE Equity Cash'!$H:$H,'Daily BSE Equity Cash'!$A:$A,$A645))</f>
        <v>67.776700000000005</v>
      </c>
      <c r="G645" s="4">
        <f t="shared" si="90"/>
        <v>650.02779999999996</v>
      </c>
      <c r="H645" s="7">
        <f t="shared" si="91"/>
        <v>-7.8126439806243231E-2</v>
      </c>
      <c r="I645" s="7">
        <f t="shared" si="92"/>
        <v>0.7172439654102154</v>
      </c>
      <c r="J645" s="7">
        <f t="shared" si="93"/>
        <v>-3.1347098643541682E-2</v>
      </c>
      <c r="K645" s="7">
        <f t="shared" si="96"/>
        <v>0.13606933824403122</v>
      </c>
      <c r="L645" s="7">
        <f t="shared" si="97"/>
        <v>1.025845887135342</v>
      </c>
      <c r="M645" s="7">
        <f t="shared" si="98"/>
        <v>0.19059317760674266</v>
      </c>
      <c r="N645" s="7">
        <f t="shared" si="94"/>
        <v>0.89573261328207809</v>
      </c>
      <c r="O645" s="7">
        <f t="shared" si="95"/>
        <v>0.10426738671792192</v>
      </c>
    </row>
    <row r="646" spans="1:15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4">
        <f>IF(SUMIFS('Daily NSE Equity Cash'!$H:$H,'Daily NSE Equity Cash'!$A:$A,$A646)=0,"",SUMIFS('Daily NSE Equity Cash'!$H:$H,'Daily NSE Equity Cash'!$A:$A,$A646))</f>
        <v>547.04369999999994</v>
      </c>
      <c r="F646" s="4">
        <f>IF(SUMIFS('Daily BSE Equity Cash'!$H:$H,'Daily BSE Equity Cash'!$A:$A,$A646)=0,"",SUMIFS('Daily BSE Equity Cash'!$H:$H,'Daily BSE Equity Cash'!$A:$A,$A646))</f>
        <v>37.419699999999999</v>
      </c>
      <c r="G646" s="4">
        <f t="shared" si="90"/>
        <v>584.46339999999998</v>
      </c>
      <c r="H646" s="7">
        <f t="shared" si="91"/>
        <v>3.7353907121043184</v>
      </c>
      <c r="I646" s="7">
        <f t="shared" si="92"/>
        <v>2.4480258005067959</v>
      </c>
      <c r="J646" s="7">
        <f t="shared" si="93"/>
        <v>3.6248376853315021</v>
      </c>
      <c r="K646" s="7">
        <f t="shared" si="96"/>
        <v>-6.0467726037786829E-2</v>
      </c>
      <c r="L646" s="7">
        <f t="shared" si="97"/>
        <v>-0.44789728623553526</v>
      </c>
      <c r="M646" s="7">
        <f t="shared" si="98"/>
        <v>-0.10086399381687983</v>
      </c>
      <c r="N646" s="7">
        <f t="shared" si="94"/>
        <v>0.9359759738590987</v>
      </c>
      <c r="O646" s="7">
        <f t="shared" si="95"/>
        <v>6.4024026140901205E-2</v>
      </c>
    </row>
    <row r="647" spans="1:15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4">
        <f>IF(SUMIFS('Daily NSE Equity Cash'!$H:$H,'Daily NSE Equity Cash'!$A:$A,$A647)=0,"",SUMIFS('Daily NSE Equity Cash'!$H:$H,'Daily NSE Equity Cash'!$A:$A,$A647))</f>
        <v>614.37860000000001</v>
      </c>
      <c r="F647" s="4">
        <f>IF(SUMIFS('Daily BSE Equity Cash'!$H:$H,'Daily BSE Equity Cash'!$A:$A,$A647)=0,"",SUMIFS('Daily BSE Equity Cash'!$H:$H,'Daily BSE Equity Cash'!$A:$A,$A647))</f>
        <v>41.810200000000002</v>
      </c>
      <c r="G647" s="4">
        <f t="shared" si="90"/>
        <v>656.18880000000001</v>
      </c>
      <c r="H647" s="7" t="str">
        <f t="shared" si="91"/>
        <v/>
      </c>
      <c r="I647" s="7" t="str">
        <f t="shared" si="92"/>
        <v/>
      </c>
      <c r="J647" s="7" t="str">
        <f t="shared" si="93"/>
        <v/>
      </c>
      <c r="K647" s="7">
        <f t="shared" si="96"/>
        <v>0.12308870388234072</v>
      </c>
      <c r="L647" s="7">
        <f t="shared" si="97"/>
        <v>0.11733124530661665</v>
      </c>
      <c r="M647" s="7">
        <f t="shared" si="98"/>
        <v>0.12272008820398339</v>
      </c>
      <c r="N647" s="7">
        <f t="shared" si="94"/>
        <v>0.93628327700808056</v>
      </c>
      <c r="O647" s="7">
        <f t="shared" si="95"/>
        <v>6.3716722991919397E-2</v>
      </c>
    </row>
    <row r="648" spans="1:15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4">
        <f>IF(SUMIFS('Daily NSE Equity Cash'!$H:$H,'Daily NSE Equity Cash'!$A:$A,$A648)=0,"",SUMIFS('Daily NSE Equity Cash'!$H:$H,'Daily NSE Equity Cash'!$A:$A,$A648))</f>
        <v>636.0326</v>
      </c>
      <c r="F648" s="4">
        <f>IF(SUMIFS('Daily BSE Equity Cash'!$H:$H,'Daily BSE Equity Cash'!$A:$A,$A648)=0,"",SUMIFS('Daily BSE Equity Cash'!$H:$H,'Daily BSE Equity Cash'!$A:$A,$A648))</f>
        <v>44.610100000000003</v>
      </c>
      <c r="G648" s="4">
        <f t="shared" si="90"/>
        <v>680.64269999999999</v>
      </c>
      <c r="H648" s="7">
        <f t="shared" si="91"/>
        <v>-7.5053119914234467E-2</v>
      </c>
      <c r="I648" s="7">
        <f t="shared" si="92"/>
        <v>-0.18828003457216935</v>
      </c>
      <c r="J648" s="7">
        <f t="shared" si="93"/>
        <v>-8.3432691471233889E-2</v>
      </c>
      <c r="K648" s="7">
        <f t="shared" si="96"/>
        <v>3.5245368246875852E-2</v>
      </c>
      <c r="L648" s="7">
        <f t="shared" si="97"/>
        <v>6.6966912380232557E-2</v>
      </c>
      <c r="M648" s="7">
        <f t="shared" si="98"/>
        <v>3.7266561087296868E-2</v>
      </c>
      <c r="N648" s="7">
        <f t="shared" si="94"/>
        <v>0.9344588577825047</v>
      </c>
      <c r="O648" s="7">
        <f t="shared" si="95"/>
        <v>6.5541142217495324E-2</v>
      </c>
    </row>
    <row r="649" spans="1:15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4">
        <f>IF(SUMIFS('Daily NSE Equity Cash'!$H:$H,'Daily NSE Equity Cash'!$A:$A,$A649)=0,"",SUMIFS('Daily NSE Equity Cash'!$H:$H,'Daily NSE Equity Cash'!$A:$A,$A649))</f>
        <v>529.94659999999999</v>
      </c>
      <c r="F649" s="4">
        <f>IF(SUMIFS('Daily BSE Equity Cash'!$H:$H,'Daily BSE Equity Cash'!$A:$A,$A649)=0,"",SUMIFS('Daily BSE Equity Cash'!$H:$H,'Daily BSE Equity Cash'!$A:$A,$A649))</f>
        <v>43.330199999999998</v>
      </c>
      <c r="G649" s="4">
        <f t="shared" si="90"/>
        <v>573.27679999999998</v>
      </c>
      <c r="H649" s="7">
        <f t="shared" si="91"/>
        <v>-0.23576986279244661</v>
      </c>
      <c r="I649" s="7">
        <f t="shared" si="92"/>
        <v>-0.12087907628819128</v>
      </c>
      <c r="J649" s="7">
        <f t="shared" si="93"/>
        <v>-0.22814559220041397</v>
      </c>
      <c r="K649" s="7">
        <f t="shared" si="96"/>
        <v>-0.16679333732264667</v>
      </c>
      <c r="L649" s="7">
        <f t="shared" si="97"/>
        <v>-2.8690812170338198E-2</v>
      </c>
      <c r="M649" s="7">
        <f t="shared" si="98"/>
        <v>-0.15774194008104403</v>
      </c>
      <c r="N649" s="7">
        <f t="shared" si="94"/>
        <v>0.92441661689431709</v>
      </c>
      <c r="O649" s="7">
        <f t="shared" si="95"/>
        <v>7.558338310568298E-2</v>
      </c>
    </row>
    <row r="650" spans="1:15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4">
        <f>IF(SUMIFS('Daily NSE Equity Cash'!$H:$H,'Daily NSE Equity Cash'!$A:$A,$A650)=0,"",SUMIFS('Daily NSE Equity Cash'!$H:$H,'Daily NSE Equity Cash'!$A:$A,$A650))</f>
        <v>729.54949999999997</v>
      </c>
      <c r="F650" s="4">
        <f>IF(SUMIFS('Daily BSE Equity Cash'!$H:$H,'Daily BSE Equity Cash'!$A:$A,$A650)=0,"",SUMIFS('Daily BSE Equity Cash'!$H:$H,'Daily BSE Equity Cash'!$A:$A,$A650))</f>
        <v>57.389299999999999</v>
      </c>
      <c r="G650" s="4">
        <f t="shared" si="90"/>
        <v>786.93880000000001</v>
      </c>
      <c r="H650" s="7">
        <f t="shared" si="91"/>
        <v>0.25753608599273958</v>
      </c>
      <c r="I650" s="7">
        <f t="shared" si="92"/>
        <v>0.37363329120710764</v>
      </c>
      <c r="J650" s="7">
        <f t="shared" si="93"/>
        <v>0.26533522253301545</v>
      </c>
      <c r="K650" s="7">
        <f t="shared" si="96"/>
        <v>0.37664719426447868</v>
      </c>
      <c r="L650" s="7">
        <f t="shared" si="97"/>
        <v>0.32446423049051232</v>
      </c>
      <c r="M650" s="7">
        <f t="shared" si="98"/>
        <v>0.37270302932196109</v>
      </c>
      <c r="N650" s="7">
        <f t="shared" si="94"/>
        <v>0.92707272789192752</v>
      </c>
      <c r="O650" s="7">
        <f t="shared" si="95"/>
        <v>7.2927272108072441E-2</v>
      </c>
    </row>
    <row r="651" spans="1:15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4">
        <f>IF(SUMIFS('Daily NSE Equity Cash'!$H:$H,'Daily NSE Equity Cash'!$A:$A,$A651)=0,"",SUMIFS('Daily NSE Equity Cash'!$H:$H,'Daily NSE Equity Cash'!$A:$A,$A651))</f>
        <v>678.74990000000003</v>
      </c>
      <c r="F651" s="4">
        <f>IF(SUMIFS('Daily BSE Equity Cash'!$H:$H,'Daily BSE Equity Cash'!$A:$A,$A651)=0,"",SUMIFS('Daily BSE Equity Cash'!$H:$H,'Daily BSE Equity Cash'!$A:$A,$A651))</f>
        <v>65.707099999999997</v>
      </c>
      <c r="G651" s="4">
        <f t="shared" si="90"/>
        <v>744.45699999999999</v>
      </c>
      <c r="H651" s="7" t="str">
        <f t="shared" si="91"/>
        <v/>
      </c>
      <c r="I651" s="7" t="str">
        <f t="shared" si="92"/>
        <v/>
      </c>
      <c r="J651" s="7" t="str">
        <f t="shared" si="93"/>
        <v/>
      </c>
      <c r="K651" s="7">
        <f t="shared" si="96"/>
        <v>-6.9631464348889227E-2</v>
      </c>
      <c r="L651" s="7">
        <f t="shared" si="97"/>
        <v>0.14493642543122154</v>
      </c>
      <c r="M651" s="7">
        <f t="shared" si="98"/>
        <v>-5.3983613465240277E-2</v>
      </c>
      <c r="N651" s="7">
        <f t="shared" si="94"/>
        <v>0.91173821993748472</v>
      </c>
      <c r="O651" s="7">
        <f t="shared" si="95"/>
        <v>8.8261780062515366E-2</v>
      </c>
    </row>
    <row r="652" spans="1:15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4">
        <f>IF(SUMIFS('Daily NSE Equity Cash'!$H:$H,'Daily NSE Equity Cash'!$A:$A,$A652)=0,"",SUMIFS('Daily NSE Equity Cash'!$H:$H,'Daily NSE Equity Cash'!$A:$A,$A652))</f>
        <v>504.88420000000002</v>
      </c>
      <c r="F652" s="4">
        <f>IF(SUMIFS('Daily BSE Equity Cash'!$H:$H,'Daily BSE Equity Cash'!$A:$A,$A652)=0,"",SUMIFS('Daily BSE Equity Cash'!$H:$H,'Daily BSE Equity Cash'!$A:$A,$A652))</f>
        <v>40.842799999999997</v>
      </c>
      <c r="G652" s="4">
        <f t="shared" si="90"/>
        <v>545.72699999999998</v>
      </c>
      <c r="H652" s="7">
        <f t="shared" si="91"/>
        <v>-0.19218747725006191</v>
      </c>
      <c r="I652" s="7">
        <f t="shared" si="92"/>
        <v>-7.3134311422768494E-2</v>
      </c>
      <c r="J652" s="7">
        <f t="shared" si="93"/>
        <v>-0.18434650510442008</v>
      </c>
      <c r="K652" s="7">
        <f t="shared" si="96"/>
        <v>-0.25615576517948657</v>
      </c>
      <c r="L652" s="7">
        <f t="shared" si="97"/>
        <v>-0.37841116104652317</v>
      </c>
      <c r="M652" s="7">
        <f t="shared" si="98"/>
        <v>-0.26694624404095879</v>
      </c>
      <c r="N652" s="7">
        <f t="shared" si="94"/>
        <v>0.92515891645456438</v>
      </c>
      <c r="O652" s="7">
        <f t="shared" si="95"/>
        <v>7.4841083545435713E-2</v>
      </c>
    </row>
    <row r="653" spans="1:15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4">
        <f>IF(SUMIFS('Daily NSE Equity Cash'!$H:$H,'Daily NSE Equity Cash'!$A:$A,$A653)=0,"",SUMIFS('Daily NSE Equity Cash'!$H:$H,'Daily NSE Equity Cash'!$A:$A,$A653))</f>
        <v>581.37310000000002</v>
      </c>
      <c r="F653" s="4">
        <f>IF(SUMIFS('Daily BSE Equity Cash'!$H:$H,'Daily BSE Equity Cash'!$A:$A,$A653)=0,"",SUMIFS('Daily BSE Equity Cash'!$H:$H,'Daily BSE Equity Cash'!$A:$A,$A653))</f>
        <v>43.646599999999999</v>
      </c>
      <c r="G653" s="4">
        <f t="shared" si="90"/>
        <v>625.01970000000006</v>
      </c>
      <c r="H653" s="7">
        <f t="shared" si="91"/>
        <v>-0.12462332894922079</v>
      </c>
      <c r="I653" s="7">
        <f t="shared" si="92"/>
        <v>-6.6676360588221462E-2</v>
      </c>
      <c r="J653" s="7">
        <f t="shared" si="93"/>
        <v>-0.12081146684536825</v>
      </c>
      <c r="K653" s="7">
        <f t="shared" si="96"/>
        <v>0.15149790783708417</v>
      </c>
      <c r="L653" s="7">
        <f t="shared" si="97"/>
        <v>6.8648574534556861E-2</v>
      </c>
      <c r="M653" s="7">
        <f t="shared" si="98"/>
        <v>0.14529737396170628</v>
      </c>
      <c r="N653" s="7">
        <f t="shared" si="94"/>
        <v>0.93016764111595196</v>
      </c>
      <c r="O653" s="7">
        <f t="shared" si="95"/>
        <v>6.9832358884047971E-2</v>
      </c>
    </row>
    <row r="654" spans="1:15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4">
        <f>IF(SUMIFS('Daily NSE Equity Cash'!$H:$H,'Daily NSE Equity Cash'!$A:$A,$A654)=0,"",SUMIFS('Daily NSE Equity Cash'!$H:$H,'Daily NSE Equity Cash'!$A:$A,$A654))</f>
        <v>496.88069999999999</v>
      </c>
      <c r="F654" s="4">
        <f>IF(SUMIFS('Daily BSE Equity Cash'!$H:$H,'Daily BSE Equity Cash'!$A:$A,$A654)=0,"",SUMIFS('Daily BSE Equity Cash'!$H:$H,'Daily BSE Equity Cash'!$A:$A,$A654))</f>
        <v>44.540999999999997</v>
      </c>
      <c r="G654" s="4">
        <f t="shared" si="90"/>
        <v>541.42169999999999</v>
      </c>
      <c r="H654" s="7">
        <f t="shared" si="91"/>
        <v>-0.20923708705939192</v>
      </c>
      <c r="I654" s="7">
        <f t="shared" si="92"/>
        <v>-0.1525281834181611</v>
      </c>
      <c r="J654" s="7">
        <f t="shared" si="93"/>
        <v>-0.20485991174210649</v>
      </c>
      <c r="K654" s="7">
        <f t="shared" si="96"/>
        <v>-0.14533248958371148</v>
      </c>
      <c r="L654" s="7">
        <f t="shared" si="97"/>
        <v>2.0491859617931318E-2</v>
      </c>
      <c r="M654" s="7">
        <f t="shared" si="98"/>
        <v>-0.13375258411854873</v>
      </c>
      <c r="N654" s="7">
        <f t="shared" si="94"/>
        <v>0.91773325672022377</v>
      </c>
      <c r="O654" s="7">
        <f t="shared" si="95"/>
        <v>8.2266743279776192E-2</v>
      </c>
    </row>
    <row r="655" spans="1:15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4">
        <f>IF(SUMIFS('Daily NSE Equity Cash'!$H:$H,'Daily NSE Equity Cash'!$A:$A,$A655)=0,"",SUMIFS('Daily NSE Equity Cash'!$H:$H,'Daily NSE Equity Cash'!$A:$A,$A655))</f>
        <v>505.46679999999998</v>
      </c>
      <c r="F655" s="4">
        <f>IF(SUMIFS('Daily BSE Equity Cash'!$H:$H,'Daily BSE Equity Cash'!$A:$A,$A655)=0,"",SUMIFS('Daily BSE Equity Cash'!$H:$H,'Daily BSE Equity Cash'!$A:$A,$A655))</f>
        <v>37.976399999999998</v>
      </c>
      <c r="G655" s="4">
        <f t="shared" si="90"/>
        <v>543.44319999999993</v>
      </c>
      <c r="H655" s="7">
        <f t="shared" si="91"/>
        <v>-0.29770224481887653</v>
      </c>
      <c r="I655" s="7">
        <f t="shared" si="92"/>
        <v>-0.43866816645258755</v>
      </c>
      <c r="J655" s="7">
        <f t="shared" si="93"/>
        <v>-0.30981436066381596</v>
      </c>
      <c r="K655" s="7">
        <f t="shared" si="96"/>
        <v>1.7280003026883595E-2</v>
      </c>
      <c r="L655" s="7">
        <f t="shared" si="97"/>
        <v>-0.14738330975954739</v>
      </c>
      <c r="M655" s="7">
        <f t="shared" si="98"/>
        <v>3.7336885462846414E-3</v>
      </c>
      <c r="N655" s="7">
        <f t="shared" si="94"/>
        <v>0.93011891583149819</v>
      </c>
      <c r="O655" s="7">
        <f t="shared" si="95"/>
        <v>6.9881084168501889E-2</v>
      </c>
    </row>
    <row r="656" spans="1:15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4">
        <f>IF(SUMIFS('Daily NSE Equity Cash'!$H:$H,'Daily NSE Equity Cash'!$A:$A,$A656)=0,"",SUMIFS('Daily NSE Equity Cash'!$H:$H,'Daily NSE Equity Cash'!$A:$A,$A656))</f>
        <v>464.89620000000002</v>
      </c>
      <c r="F656" s="4">
        <f>IF(SUMIFS('Daily BSE Equity Cash'!$H:$H,'Daily BSE Equity Cash'!$A:$A,$A656)=0,"",SUMIFS('Daily BSE Equity Cash'!$H:$H,'Daily BSE Equity Cash'!$A:$A,$A656))</f>
        <v>30.308</v>
      </c>
      <c r="G656" s="4">
        <f t="shared" si="90"/>
        <v>495.20420000000001</v>
      </c>
      <c r="H656" s="7" t="str">
        <f t="shared" si="91"/>
        <v/>
      </c>
      <c r="I656" s="7" t="str">
        <f t="shared" si="92"/>
        <v/>
      </c>
      <c r="J656" s="7" t="str">
        <f t="shared" si="93"/>
        <v/>
      </c>
      <c r="K656" s="7">
        <f t="shared" si="96"/>
        <v>-8.0263629579628071E-2</v>
      </c>
      <c r="L656" s="7">
        <f t="shared" si="97"/>
        <v>-0.20192540630496836</v>
      </c>
      <c r="M656" s="7">
        <f t="shared" si="98"/>
        <v>-8.8765486439061014E-2</v>
      </c>
      <c r="N656" s="7">
        <f t="shared" si="94"/>
        <v>0.93879696496919862</v>
      </c>
      <c r="O656" s="7">
        <f t="shared" si="95"/>
        <v>6.1203035030801434E-2</v>
      </c>
    </row>
    <row r="657" spans="1:15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4">
        <f>IF(SUMIFS('Daily NSE Equity Cash'!$H:$H,'Daily NSE Equity Cash'!$A:$A,$A657)=0,"",SUMIFS('Daily NSE Equity Cash'!$H:$H,'Daily NSE Equity Cash'!$A:$A,$A657))</f>
        <v>484.2321</v>
      </c>
      <c r="F657" s="4">
        <f>IF(SUMIFS('Daily BSE Equity Cash'!$H:$H,'Daily BSE Equity Cash'!$A:$A,$A657)=0,"",SUMIFS('Daily BSE Equity Cash'!$H:$H,'Daily BSE Equity Cash'!$A:$A,$A657))</f>
        <v>35.7714</v>
      </c>
      <c r="G657" s="4">
        <f t="shared" si="90"/>
        <v>520.00350000000003</v>
      </c>
      <c r="H657" s="7" t="str">
        <f t="shared" si="91"/>
        <v/>
      </c>
      <c r="I657" s="7">
        <f t="shared" si="92"/>
        <v>-0.35753657156712193</v>
      </c>
      <c r="J657" s="7" t="str">
        <f t="shared" si="93"/>
        <v/>
      </c>
      <c r="K657" s="7">
        <f t="shared" si="96"/>
        <v>4.1591865022772678E-2</v>
      </c>
      <c r="L657" s="7">
        <f t="shared" si="97"/>
        <v>0.18026263692754396</v>
      </c>
      <c r="M657" s="7">
        <f t="shared" si="98"/>
        <v>5.0078937133408941E-2</v>
      </c>
      <c r="N657" s="7">
        <f t="shared" si="94"/>
        <v>0.93120930916811129</v>
      </c>
      <c r="O657" s="7">
        <f t="shared" si="95"/>
        <v>6.8790690831888629E-2</v>
      </c>
    </row>
    <row r="658" spans="1:15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4">
        <f>IF(SUMIFS('Daily NSE Equity Cash'!$H:$H,'Daily NSE Equity Cash'!$A:$A,$A658)=0,"",SUMIFS('Daily NSE Equity Cash'!$H:$H,'Daily NSE Equity Cash'!$A:$A,$A658))</f>
        <v>499.13630000000001</v>
      </c>
      <c r="F658" s="4">
        <f>IF(SUMIFS('Daily BSE Equity Cash'!$H:$H,'Daily BSE Equity Cash'!$A:$A,$A658)=0,"",SUMIFS('Daily BSE Equity Cash'!$H:$H,'Daily BSE Equity Cash'!$A:$A,$A658))</f>
        <v>36.074300000000001</v>
      </c>
      <c r="G658" s="4">
        <f t="shared" si="90"/>
        <v>535.2106</v>
      </c>
      <c r="H658" s="7">
        <f t="shared" si="91"/>
        <v>-0.34539029461851856</v>
      </c>
      <c r="I658" s="7">
        <f t="shared" si="92"/>
        <v>-0.42669499740954875</v>
      </c>
      <c r="J658" s="7">
        <f t="shared" si="93"/>
        <v>-0.35158832877261326</v>
      </c>
      <c r="K658" s="7">
        <f t="shared" si="96"/>
        <v>3.0779041703348442E-2</v>
      </c>
      <c r="L658" s="7">
        <f t="shared" si="97"/>
        <v>8.4676585204941368E-3</v>
      </c>
      <c r="M658" s="7">
        <f t="shared" si="98"/>
        <v>2.9244226240784821E-2</v>
      </c>
      <c r="N658" s="7">
        <f t="shared" si="94"/>
        <v>0.93259793434584448</v>
      </c>
      <c r="O658" s="7">
        <f t="shared" si="95"/>
        <v>6.7402065654155574E-2</v>
      </c>
    </row>
    <row r="659" spans="1:15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4">
        <f>IF(SUMIFS('Daily NSE Equity Cash'!$H:$H,'Daily NSE Equity Cash'!$A:$A,$A659)=0,"",SUMIFS('Daily NSE Equity Cash'!$H:$H,'Daily NSE Equity Cash'!$A:$A,$A659))</f>
        <v>512.77940000000001</v>
      </c>
      <c r="F659" s="4">
        <f>IF(SUMIFS('Daily BSE Equity Cash'!$H:$H,'Daily BSE Equity Cash'!$A:$A,$A659)=0,"",SUMIFS('Daily BSE Equity Cash'!$H:$H,'Daily BSE Equity Cash'!$A:$A,$A659))</f>
        <v>37.038800000000002</v>
      </c>
      <c r="G659" s="4">
        <f t="shared" si="90"/>
        <v>549.81820000000005</v>
      </c>
      <c r="H659" s="7">
        <f t="shared" si="91"/>
        <v>-0.20749099466194076</v>
      </c>
      <c r="I659" s="7">
        <f t="shared" si="92"/>
        <v>-0.27797921198936426</v>
      </c>
      <c r="J659" s="7">
        <f t="shared" si="93"/>
        <v>-0.21266899383201421</v>
      </c>
      <c r="K659" s="7">
        <f t="shared" si="96"/>
        <v>2.7333415742353262E-2</v>
      </c>
      <c r="L659" s="7">
        <f t="shared" si="97"/>
        <v>2.6736485531250853E-2</v>
      </c>
      <c r="M659" s="7">
        <f t="shared" si="98"/>
        <v>2.7293181413073686E-2</v>
      </c>
      <c r="N659" s="7">
        <f t="shared" si="94"/>
        <v>0.93263445989965399</v>
      </c>
      <c r="O659" s="7">
        <f t="shared" si="95"/>
        <v>6.73655401003459E-2</v>
      </c>
    </row>
    <row r="660" spans="1:15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4">
        <f>IF(SUMIFS('Daily NSE Equity Cash'!$H:$H,'Daily NSE Equity Cash'!$A:$A,$A660)=0,"",SUMIFS('Daily NSE Equity Cash'!$H:$H,'Daily NSE Equity Cash'!$A:$A,$A660))</f>
        <v>531.32230000000004</v>
      </c>
      <c r="F660" s="4">
        <f>IF(SUMIFS('Daily BSE Equity Cash'!$H:$H,'Daily BSE Equity Cash'!$A:$A,$A660)=0,"",SUMIFS('Daily BSE Equity Cash'!$H:$H,'Daily BSE Equity Cash'!$A:$A,$A660))</f>
        <v>36.498100000000001</v>
      </c>
      <c r="G660" s="4">
        <f t="shared" si="90"/>
        <v>567.82040000000006</v>
      </c>
      <c r="H660" s="7">
        <f t="shared" si="91"/>
        <v>-0.14895238882385764</v>
      </c>
      <c r="I660" s="7">
        <f t="shared" si="92"/>
        <v>-0.22832592980994681</v>
      </c>
      <c r="J660" s="7">
        <f t="shared" si="93"/>
        <v>-0.15454214771634067</v>
      </c>
      <c r="K660" s="7">
        <f t="shared" si="96"/>
        <v>3.6161554071789892E-2</v>
      </c>
      <c r="L660" s="7">
        <f t="shared" si="97"/>
        <v>-1.4598205125436081E-2</v>
      </c>
      <c r="M660" s="7">
        <f t="shared" si="98"/>
        <v>3.2742095478105249E-2</v>
      </c>
      <c r="N660" s="7">
        <f t="shared" si="94"/>
        <v>0.93572245731220638</v>
      </c>
      <c r="O660" s="7">
        <f t="shared" si="95"/>
        <v>6.4277542687793524E-2</v>
      </c>
    </row>
    <row r="661" spans="1:15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4">
        <f>IF(SUMIFS('Daily NSE Equity Cash'!$H:$H,'Daily NSE Equity Cash'!$A:$A,$A661)=0,"",SUMIFS('Daily NSE Equity Cash'!$H:$H,'Daily NSE Equity Cash'!$A:$A,$A661))</f>
        <v>562.35979999999995</v>
      </c>
      <c r="F661" s="4">
        <f>IF(SUMIFS('Daily BSE Equity Cash'!$H:$H,'Daily BSE Equity Cash'!$A:$A,$A661)=0,"",SUMIFS('Daily BSE Equity Cash'!$H:$H,'Daily BSE Equity Cash'!$A:$A,$A661))</f>
        <v>36.367800000000003</v>
      </c>
      <c r="G661" s="4">
        <f t="shared" si="90"/>
        <v>598.72759999999994</v>
      </c>
      <c r="H661" s="7" t="str">
        <f t="shared" si="91"/>
        <v/>
      </c>
      <c r="I661" s="7" t="str">
        <f t="shared" si="92"/>
        <v/>
      </c>
      <c r="J661" s="7" t="str">
        <f t="shared" si="93"/>
        <v/>
      </c>
      <c r="K661" s="7">
        <f t="shared" si="96"/>
        <v>5.8415579395029837E-2</v>
      </c>
      <c r="L661" s="7">
        <f t="shared" si="97"/>
        <v>-3.5700488518579654E-3</v>
      </c>
      <c r="M661" s="7">
        <f t="shared" si="98"/>
        <v>5.4431295529360879E-2</v>
      </c>
      <c r="N661" s="7">
        <f t="shared" si="94"/>
        <v>0.93925818686160456</v>
      </c>
      <c r="O661" s="7">
        <f t="shared" si="95"/>
        <v>6.0741813138395502E-2</v>
      </c>
    </row>
    <row r="662" spans="1:15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4">
        <f>IF(SUMIFS('Daily NSE Equity Cash'!$H:$H,'Daily NSE Equity Cash'!$A:$A,$A662)=0,"",SUMIFS('Daily NSE Equity Cash'!$H:$H,'Daily NSE Equity Cash'!$A:$A,$A662))</f>
        <v>509.5308</v>
      </c>
      <c r="F662" s="4">
        <f>IF(SUMIFS('Daily BSE Equity Cash'!$H:$H,'Daily BSE Equity Cash'!$A:$A,$A662)=0,"",SUMIFS('Daily BSE Equity Cash'!$H:$H,'Daily BSE Equity Cash'!$A:$A,$A662))</f>
        <v>35.684100000000001</v>
      </c>
      <c r="G662" s="4">
        <f t="shared" si="90"/>
        <v>545.21489999999994</v>
      </c>
      <c r="H662" s="7">
        <f t="shared" si="91"/>
        <v>-0.26955052763362009</v>
      </c>
      <c r="I662" s="7">
        <f t="shared" si="92"/>
        <v>-0.36330351837875152</v>
      </c>
      <c r="J662" s="7">
        <f t="shared" si="93"/>
        <v>-0.27652296246992458</v>
      </c>
      <c r="K662" s="7">
        <f t="shared" si="96"/>
        <v>-9.3941636653259941E-2</v>
      </c>
      <c r="L662" s="7">
        <f t="shared" si="97"/>
        <v>-1.8799597446092497E-2</v>
      </c>
      <c r="M662" s="7">
        <f t="shared" si="98"/>
        <v>-8.9377372948900358E-2</v>
      </c>
      <c r="N662" s="7">
        <f t="shared" si="94"/>
        <v>0.9345503947159185</v>
      </c>
      <c r="O662" s="7">
        <f t="shared" si="95"/>
        <v>6.5449605284081572E-2</v>
      </c>
    </row>
    <row r="663" spans="1:15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4">
        <f>IF(SUMIFS('Daily NSE Equity Cash'!$H:$H,'Daily NSE Equity Cash'!$A:$A,$A663)=0,"",SUMIFS('Daily NSE Equity Cash'!$H:$H,'Daily NSE Equity Cash'!$A:$A,$A663))</f>
        <v>944.40700000000004</v>
      </c>
      <c r="F663" s="4">
        <f>IF(SUMIFS('Daily BSE Equity Cash'!$H:$H,'Daily BSE Equity Cash'!$A:$A,$A663)=0,"",SUMIFS('Daily BSE Equity Cash'!$H:$H,'Daily BSE Equity Cash'!$A:$A,$A663))</f>
        <v>36.980400000000003</v>
      </c>
      <c r="G663" s="4">
        <f t="shared" si="90"/>
        <v>981.38740000000007</v>
      </c>
      <c r="H663" s="7">
        <f t="shared" si="91"/>
        <v>-0.18794434760057988</v>
      </c>
      <c r="I663" s="7">
        <f t="shared" si="92"/>
        <v>-0.17791921109552522</v>
      </c>
      <c r="J663" s="7">
        <f t="shared" si="93"/>
        <v>-0.18757101808244747</v>
      </c>
      <c r="K663" s="7">
        <f t="shared" si="96"/>
        <v>0.85348363631796165</v>
      </c>
      <c r="L663" s="7">
        <f t="shared" si="97"/>
        <v>3.6327103668020166E-2</v>
      </c>
      <c r="M663" s="7">
        <f t="shared" si="98"/>
        <v>0.80000106380071445</v>
      </c>
      <c r="N663" s="7">
        <f t="shared" si="94"/>
        <v>0.96231824455867276</v>
      </c>
      <c r="O663" s="7">
        <f t="shared" si="95"/>
        <v>3.768175544132725E-2</v>
      </c>
    </row>
    <row r="664" spans="1:15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4">
        <f>IF(SUMIFS('Daily NSE Equity Cash'!$H:$H,'Daily NSE Equity Cash'!$A:$A,$A664)=0,"",SUMIFS('Daily NSE Equity Cash'!$H:$H,'Daily NSE Equity Cash'!$A:$A,$A664))</f>
        <v>617.05200000000002</v>
      </c>
      <c r="F664" s="4">
        <f>IF(SUMIFS('Daily BSE Equity Cash'!$H:$H,'Daily BSE Equity Cash'!$A:$A,$A664)=0,"",SUMIFS('Daily BSE Equity Cash'!$H:$H,'Daily BSE Equity Cash'!$A:$A,$A664))</f>
        <v>38.1676</v>
      </c>
      <c r="G664" s="4">
        <f t="shared" si="90"/>
        <v>655.21960000000001</v>
      </c>
      <c r="H664" s="7">
        <f t="shared" si="91"/>
        <v>5.6867165048015034E-2</v>
      </c>
      <c r="I664" s="7">
        <f t="shared" si="92"/>
        <v>-0.29241818360464877</v>
      </c>
      <c r="J664" s="7">
        <f t="shared" si="93"/>
        <v>2.7326506645594106E-2</v>
      </c>
      <c r="K664" s="7">
        <f t="shared" si="96"/>
        <v>-0.34662491912914661</v>
      </c>
      <c r="L664" s="7">
        <f t="shared" si="97"/>
        <v>3.2103492660977118E-2</v>
      </c>
      <c r="M664" s="7">
        <f t="shared" si="98"/>
        <v>-0.33235376773738901</v>
      </c>
      <c r="N664" s="7">
        <f t="shared" si="94"/>
        <v>0.94174838481632728</v>
      </c>
      <c r="O664" s="7">
        <f t="shared" si="95"/>
        <v>5.8251615183672771E-2</v>
      </c>
    </row>
    <row r="665" spans="1:15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4">
        <f>IF(SUMIFS('Daily NSE Equity Cash'!$H:$H,'Daily NSE Equity Cash'!$A:$A,$A665)=0,"",SUMIFS('Daily NSE Equity Cash'!$H:$H,'Daily NSE Equity Cash'!$A:$A,$A665))</f>
        <v>593.21489999999994</v>
      </c>
      <c r="F665" s="4">
        <f>IF(SUMIFS('Daily BSE Equity Cash'!$H:$H,'Daily BSE Equity Cash'!$A:$A,$A665)=0,"",SUMIFS('Daily BSE Equity Cash'!$H:$H,'Daily BSE Equity Cash'!$A:$A,$A665))</f>
        <v>38.000399999999999</v>
      </c>
      <c r="G665" s="4">
        <f t="shared" si="90"/>
        <v>631.21529999999996</v>
      </c>
      <c r="H665" s="7">
        <f t="shared" si="91"/>
        <v>3.2737226334555558E-2</v>
      </c>
      <c r="I665" s="7">
        <f t="shared" si="92"/>
        <v>-7.5555512307145967E-2</v>
      </c>
      <c r="J665" s="7">
        <f t="shared" si="93"/>
        <v>2.5505083941697704E-2</v>
      </c>
      <c r="K665" s="7">
        <f t="shared" si="96"/>
        <v>-3.8630617840960002E-2</v>
      </c>
      <c r="L665" s="7">
        <f t="shared" si="97"/>
        <v>-4.3806789004287028E-3</v>
      </c>
      <c r="M665" s="7">
        <f t="shared" si="98"/>
        <v>-3.6635503577731932E-2</v>
      </c>
      <c r="N665" s="7">
        <f t="shared" si="94"/>
        <v>0.93979803721487742</v>
      </c>
      <c r="O665" s="7">
        <f t="shared" si="95"/>
        <v>6.0201962785122604E-2</v>
      </c>
    </row>
    <row r="666" spans="1:15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4">
        <f>IF(SUMIFS('Daily NSE Equity Cash'!$H:$H,'Daily NSE Equity Cash'!$A:$A,$A666)=0,"",SUMIFS('Daily NSE Equity Cash'!$H:$H,'Daily NSE Equity Cash'!$A:$A,$A666))</f>
        <v>572.92690000000005</v>
      </c>
      <c r="F666" s="4">
        <f>IF(SUMIFS('Daily BSE Equity Cash'!$H:$H,'Daily BSE Equity Cash'!$A:$A,$A666)=0,"",SUMIFS('Daily BSE Equity Cash'!$H:$H,'Daily BSE Equity Cash'!$A:$A,$A666))</f>
        <v>41.984000000000002</v>
      </c>
      <c r="G666" s="4">
        <f t="shared" si="90"/>
        <v>614.91090000000008</v>
      </c>
      <c r="H666" s="7" t="str">
        <f t="shared" si="91"/>
        <v/>
      </c>
      <c r="I666" s="7" t="str">
        <f t="shared" si="92"/>
        <v/>
      </c>
      <c r="J666" s="7" t="str">
        <f t="shared" si="93"/>
        <v/>
      </c>
      <c r="K666" s="7">
        <f t="shared" si="96"/>
        <v>-3.420008499449334E-2</v>
      </c>
      <c r="L666" s="7">
        <f t="shared" si="97"/>
        <v>0.1048304754686793</v>
      </c>
      <c r="M666" s="7">
        <f t="shared" si="98"/>
        <v>-2.5830172367494741E-2</v>
      </c>
      <c r="N666" s="7">
        <f t="shared" si="94"/>
        <v>0.93172344155876885</v>
      </c>
      <c r="O666" s="7">
        <f t="shared" si="95"/>
        <v>6.8276558441231067E-2</v>
      </c>
    </row>
    <row r="667" spans="1:15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4">
        <f>IF(SUMIFS('Daily NSE Equity Cash'!$H:$H,'Daily NSE Equity Cash'!$A:$A,$A667)=0,"",SUMIFS('Daily NSE Equity Cash'!$H:$H,'Daily NSE Equity Cash'!$A:$A,$A667))</f>
        <v>507.41719999999998</v>
      </c>
      <c r="F667" s="4">
        <f>IF(SUMIFS('Daily BSE Equity Cash'!$H:$H,'Daily BSE Equity Cash'!$A:$A,$A667)=0,"",SUMIFS('Daily BSE Equity Cash'!$H:$H,'Daily BSE Equity Cash'!$A:$A,$A667))</f>
        <v>39.255400000000002</v>
      </c>
      <c r="G667" s="4">
        <f t="shared" si="90"/>
        <v>546.67259999999999</v>
      </c>
      <c r="H667" s="7">
        <f t="shared" si="91"/>
        <v>1.5336327437103225E-3</v>
      </c>
      <c r="I667" s="7">
        <f t="shared" si="92"/>
        <v>-5.18683473862942E-2</v>
      </c>
      <c r="J667" s="7">
        <f t="shared" si="93"/>
        <v>-2.5007157283797321E-3</v>
      </c>
      <c r="K667" s="7">
        <f t="shared" si="96"/>
        <v>-0.11434216127746843</v>
      </c>
      <c r="L667" s="7">
        <f t="shared" si="97"/>
        <v>-6.4991425304878003E-2</v>
      </c>
      <c r="M667" s="7">
        <f t="shared" si="98"/>
        <v>-0.11097266286871821</v>
      </c>
      <c r="N667" s="7">
        <f t="shared" si="94"/>
        <v>0.92819212084161529</v>
      </c>
      <c r="O667" s="7">
        <f t="shared" si="95"/>
        <v>7.1807879158384755E-2</v>
      </c>
    </row>
    <row r="668" spans="1:15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4">
        <f>IF(SUMIFS('Daily NSE Equity Cash'!$H:$H,'Daily NSE Equity Cash'!$A:$A,$A668)=0,"",SUMIFS('Daily NSE Equity Cash'!$H:$H,'Daily NSE Equity Cash'!$A:$A,$A668))</f>
        <v>494.7439</v>
      </c>
      <c r="F668" s="4">
        <f>IF(SUMIFS('Daily BSE Equity Cash'!$H:$H,'Daily BSE Equity Cash'!$A:$A,$A668)=0,"",SUMIFS('Daily BSE Equity Cash'!$H:$H,'Daily BSE Equity Cash'!$A:$A,$A668))</f>
        <v>33.1616</v>
      </c>
      <c r="G668" s="4">
        <f t="shared" si="90"/>
        <v>527.90549999999996</v>
      </c>
      <c r="H668" s="7">
        <f t="shared" si="91"/>
        <v>-8.2664660710603743E-2</v>
      </c>
      <c r="I668" s="7">
        <f t="shared" si="92"/>
        <v>-0.16884679297112903</v>
      </c>
      <c r="J668" s="7">
        <f t="shared" si="93"/>
        <v>-8.8601071603373716E-2</v>
      </c>
      <c r="K668" s="7">
        <f t="shared" si="96"/>
        <v>-2.4976094621940281E-2</v>
      </c>
      <c r="L668" s="7">
        <f t="shared" si="97"/>
        <v>-0.15523469382556287</v>
      </c>
      <c r="M668" s="7">
        <f t="shared" si="98"/>
        <v>-3.4329688372894518E-2</v>
      </c>
      <c r="N668" s="7">
        <f t="shared" si="94"/>
        <v>0.93718269652428332</v>
      </c>
      <c r="O668" s="7">
        <f t="shared" si="95"/>
        <v>6.2817303475716776E-2</v>
      </c>
    </row>
    <row r="669" spans="1:15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4">
        <f>IF(SUMIFS('Daily NSE Equity Cash'!$H:$H,'Daily NSE Equity Cash'!$A:$A,$A669)=0,"",SUMIFS('Daily NSE Equity Cash'!$H:$H,'Daily NSE Equity Cash'!$A:$A,$A669))</f>
        <v>514.54280000000006</v>
      </c>
      <c r="F669" s="4">
        <f>IF(SUMIFS('Daily BSE Equity Cash'!$H:$H,'Daily BSE Equity Cash'!$A:$A,$A669)=0,"",SUMIFS('Daily BSE Equity Cash'!$H:$H,'Daily BSE Equity Cash'!$A:$A,$A669))</f>
        <v>53.784599999999998</v>
      </c>
      <c r="G669" s="4">
        <f t="shared" si="90"/>
        <v>568.32740000000001</v>
      </c>
      <c r="H669" s="7">
        <f t="shared" si="91"/>
        <v>-0.12802790214185644</v>
      </c>
      <c r="I669" s="7">
        <f t="shared" si="92"/>
        <v>0.16667895862526727</v>
      </c>
      <c r="J669" s="7">
        <f t="shared" si="93"/>
        <v>-0.10667244060947056</v>
      </c>
      <c r="K669" s="7">
        <f t="shared" si="96"/>
        <v>4.0018482289523982E-2</v>
      </c>
      <c r="L669" s="7">
        <f t="shared" si="97"/>
        <v>0.62189399787706257</v>
      </c>
      <c r="M669" s="7">
        <f t="shared" si="98"/>
        <v>7.657033313727557E-2</v>
      </c>
      <c r="N669" s="7">
        <f t="shared" si="94"/>
        <v>0.90536335218045094</v>
      </c>
      <c r="O669" s="7">
        <f t="shared" si="95"/>
        <v>9.4636647819549072E-2</v>
      </c>
    </row>
    <row r="670" spans="1:15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4">
        <f>IF(SUMIFS('Daily NSE Equity Cash'!$H:$H,'Daily NSE Equity Cash'!$A:$A,$A670)=0,"",SUMIFS('Daily NSE Equity Cash'!$H:$H,'Daily NSE Equity Cash'!$A:$A,$A670))</f>
        <v>600.52629999999999</v>
      </c>
      <c r="F670" s="4">
        <f>IF(SUMIFS('Daily BSE Equity Cash'!$H:$H,'Daily BSE Equity Cash'!$A:$A,$A670)=0,"",SUMIFS('Daily BSE Equity Cash'!$H:$H,'Daily BSE Equity Cash'!$A:$A,$A670))</f>
        <v>41.671700000000001</v>
      </c>
      <c r="G670" s="4">
        <f t="shared" si="90"/>
        <v>642.19799999999998</v>
      </c>
      <c r="H670" s="7">
        <f t="shared" si="91"/>
        <v>6.7960576285769125E-2</v>
      </c>
      <c r="I670" s="7">
        <f t="shared" si="92"/>
        <v>-0.18103063689122711</v>
      </c>
      <c r="J670" s="7">
        <f t="shared" si="93"/>
        <v>4.7299192556226943E-2</v>
      </c>
      <c r="K670" s="7">
        <f t="shared" si="96"/>
        <v>0.16710660415421219</v>
      </c>
      <c r="L670" s="7">
        <f t="shared" si="97"/>
        <v>-0.22521130583847415</v>
      </c>
      <c r="M670" s="7">
        <f t="shared" si="98"/>
        <v>0.12997895227293266</v>
      </c>
      <c r="N670" s="7">
        <f t="shared" si="94"/>
        <v>0.93511082251891164</v>
      </c>
      <c r="O670" s="7">
        <f t="shared" si="95"/>
        <v>6.4889177481088398E-2</v>
      </c>
    </row>
    <row r="671" spans="1:15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4">
        <f>IF(SUMIFS('Daily NSE Equity Cash'!$H:$H,'Daily NSE Equity Cash'!$A:$A,$A671)=0,"",SUMIFS('Daily NSE Equity Cash'!$H:$H,'Daily NSE Equity Cash'!$A:$A,$A671))</f>
        <v>492.40899999999999</v>
      </c>
      <c r="F671" s="4">
        <f>IF(SUMIFS('Daily BSE Equity Cash'!$H:$H,'Daily BSE Equity Cash'!$A:$A,$A671)=0,"",SUMIFS('Daily BSE Equity Cash'!$H:$H,'Daily BSE Equity Cash'!$A:$A,$A671))</f>
        <v>34.128599999999999</v>
      </c>
      <c r="G671" s="4">
        <f t="shared" si="90"/>
        <v>526.5376</v>
      </c>
      <c r="H671" s="7" t="str">
        <f t="shared" si="91"/>
        <v/>
      </c>
      <c r="I671" s="7" t="str">
        <f t="shared" si="92"/>
        <v/>
      </c>
      <c r="J671" s="7" t="str">
        <f t="shared" si="93"/>
        <v/>
      </c>
      <c r="K671" s="7">
        <f t="shared" si="96"/>
        <v>-0.18003757703867429</v>
      </c>
      <c r="L671" s="7">
        <f t="shared" si="97"/>
        <v>-0.18101253368593084</v>
      </c>
      <c r="M671" s="7">
        <f t="shared" si="98"/>
        <v>-0.18010084117359437</v>
      </c>
      <c r="N671" s="7">
        <f t="shared" si="94"/>
        <v>0.93518297648638959</v>
      </c>
      <c r="O671" s="7">
        <f t="shared" si="95"/>
        <v>6.4817023513610419E-2</v>
      </c>
    </row>
    <row r="672" spans="1:15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4">
        <f>IF(SUMIFS('Daily NSE Equity Cash'!$H:$H,'Daily NSE Equity Cash'!$A:$A,$A672)=0,"",SUMIFS('Daily NSE Equity Cash'!$H:$H,'Daily NSE Equity Cash'!$A:$A,$A672))</f>
        <v>545.32299999999998</v>
      </c>
      <c r="F672" s="4">
        <f>IF(SUMIFS('Daily BSE Equity Cash'!$H:$H,'Daily BSE Equity Cash'!$A:$A,$A672)=0,"",SUMIFS('Daily BSE Equity Cash'!$H:$H,'Daily BSE Equity Cash'!$A:$A,$A672))</f>
        <v>47.500799999999998</v>
      </c>
      <c r="G672" s="4">
        <f t="shared" si="90"/>
        <v>592.82380000000001</v>
      </c>
      <c r="H672" s="7">
        <f t="shared" si="91"/>
        <v>-0.10588173181747906</v>
      </c>
      <c r="I672" s="7">
        <f t="shared" si="92"/>
        <v>-8.2156258815982208E-2</v>
      </c>
      <c r="J672" s="7">
        <f t="shared" si="93"/>
        <v>-0.10402599308489391</v>
      </c>
      <c r="K672" s="7">
        <f t="shared" si="96"/>
        <v>0.10745944936018637</v>
      </c>
      <c r="L672" s="7">
        <f t="shared" si="97"/>
        <v>0.39181800601255246</v>
      </c>
      <c r="M672" s="7">
        <f t="shared" si="98"/>
        <v>0.1258907246130192</v>
      </c>
      <c r="N672" s="7">
        <f t="shared" si="94"/>
        <v>0.91987366229223588</v>
      </c>
      <c r="O672" s="7">
        <f t="shared" si="95"/>
        <v>8.0126337707764089E-2</v>
      </c>
    </row>
    <row r="673" spans="1:15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4">
        <f>IF(SUMIFS('Daily NSE Equity Cash'!$H:$H,'Daily NSE Equity Cash'!$A:$A,$A673)=0,"",SUMIFS('Daily NSE Equity Cash'!$H:$H,'Daily NSE Equity Cash'!$A:$A,$A673))</f>
        <v>582.82579999999996</v>
      </c>
      <c r="F673" s="4">
        <f>IF(SUMIFS('Daily BSE Equity Cash'!$H:$H,'Daily BSE Equity Cash'!$A:$A,$A673)=0,"",SUMIFS('Daily BSE Equity Cash'!$H:$H,'Daily BSE Equity Cash'!$A:$A,$A673))</f>
        <v>42.913499999999999</v>
      </c>
      <c r="G673" s="4">
        <f t="shared" si="90"/>
        <v>625.73929999999996</v>
      </c>
      <c r="H673" s="7">
        <f t="shared" si="91"/>
        <v>8.1164658537284939E-3</v>
      </c>
      <c r="I673" s="7">
        <f t="shared" si="92"/>
        <v>-2.2540549528393239E-2</v>
      </c>
      <c r="J673" s="7">
        <f t="shared" si="93"/>
        <v>5.9527053476764458E-3</v>
      </c>
      <c r="K673" s="7">
        <f t="shared" si="96"/>
        <v>6.877171877951227E-2</v>
      </c>
      <c r="L673" s="7">
        <f t="shared" si="97"/>
        <v>-9.6573110347615176E-2</v>
      </c>
      <c r="M673" s="7">
        <f t="shared" si="98"/>
        <v>5.5523243162639568E-2</v>
      </c>
      <c r="N673" s="7">
        <f t="shared" si="94"/>
        <v>0.9314195224752545</v>
      </c>
      <c r="O673" s="7">
        <f t="shared" si="95"/>
        <v>6.8580477524745526E-2</v>
      </c>
    </row>
    <row r="674" spans="1:15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4">
        <f>IF(SUMIFS('Daily NSE Equity Cash'!$H:$H,'Daily NSE Equity Cash'!$A:$A,$A674)=0,"",SUMIFS('Daily NSE Equity Cash'!$H:$H,'Daily NSE Equity Cash'!$A:$A,$A674))</f>
        <v>542.51379999999995</v>
      </c>
      <c r="F674" s="4">
        <f>IF(SUMIFS('Daily BSE Equity Cash'!$H:$H,'Daily BSE Equity Cash'!$A:$A,$A674)=0,"",SUMIFS('Daily BSE Equity Cash'!$H:$H,'Daily BSE Equity Cash'!$A:$A,$A674))</f>
        <v>53.029200000000003</v>
      </c>
      <c r="G674" s="4">
        <f t="shared" si="90"/>
        <v>595.54299999999989</v>
      </c>
      <c r="H674" s="7">
        <f t="shared" si="91"/>
        <v>3.9887936475867969E-2</v>
      </c>
      <c r="I674" s="7">
        <f t="shared" si="92"/>
        <v>0.28036042822581808</v>
      </c>
      <c r="J674" s="7">
        <f t="shared" si="93"/>
        <v>5.7574608676812744E-2</v>
      </c>
      <c r="K674" s="7">
        <f t="shared" si="96"/>
        <v>-6.9166464490762136E-2</v>
      </c>
      <c r="L674" s="7">
        <f t="shared" si="97"/>
        <v>0.23572302422314673</v>
      </c>
      <c r="M674" s="7">
        <f t="shared" si="98"/>
        <v>-4.825699776248682E-2</v>
      </c>
      <c r="N674" s="7">
        <f t="shared" si="94"/>
        <v>0.91095655561395239</v>
      </c>
      <c r="O674" s="7">
        <f t="shared" si="95"/>
        <v>8.9043444386047707E-2</v>
      </c>
    </row>
    <row r="675" spans="1:15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4">
        <f>IF(SUMIFS('Daily NSE Equity Cash'!$H:$H,'Daily NSE Equity Cash'!$A:$A,$A675)=0,"",SUMIFS('Daily NSE Equity Cash'!$H:$H,'Daily NSE Equity Cash'!$A:$A,$A675))</f>
        <v>655.64890000000003</v>
      </c>
      <c r="F675" s="4">
        <f>IF(SUMIFS('Daily BSE Equity Cash'!$H:$H,'Daily BSE Equity Cash'!$A:$A,$A675)=0,"",SUMIFS('Daily BSE Equity Cash'!$H:$H,'Daily BSE Equity Cash'!$A:$A,$A675))</f>
        <v>41.307499999999997</v>
      </c>
      <c r="G675" s="4">
        <f t="shared" si="90"/>
        <v>696.95640000000003</v>
      </c>
      <c r="H675" s="7">
        <f t="shared" si="91"/>
        <v>0.1153621339321409</v>
      </c>
      <c r="I675" s="7">
        <f t="shared" si="92"/>
        <v>-7.2766738796656294E-2</v>
      </c>
      <c r="J675" s="7">
        <f t="shared" si="93"/>
        <v>0.10210912922871884</v>
      </c>
      <c r="K675" s="7">
        <f t="shared" si="96"/>
        <v>0.20853865837145547</v>
      </c>
      <c r="L675" s="7">
        <f t="shared" si="97"/>
        <v>-0.22104236910984898</v>
      </c>
      <c r="M675" s="7">
        <f t="shared" si="98"/>
        <v>0.17028728404162274</v>
      </c>
      <c r="N675" s="7">
        <f t="shared" si="94"/>
        <v>0.94073158665305323</v>
      </c>
      <c r="O675" s="7">
        <f t="shared" si="95"/>
        <v>5.9268413346946804E-2</v>
      </c>
    </row>
    <row r="676" spans="1:15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4">
        <f>IF(SUMIFS('Daily NSE Equity Cash'!$H:$H,'Daily NSE Equity Cash'!$A:$A,$A676)=0,"",SUMIFS('Daily NSE Equity Cash'!$H:$H,'Daily NSE Equity Cash'!$A:$A,$A676))</f>
        <v>471.9436</v>
      </c>
      <c r="F676" s="4">
        <f>IF(SUMIFS('Daily BSE Equity Cash'!$H:$H,'Daily BSE Equity Cash'!$A:$A,$A676)=0,"",SUMIFS('Daily BSE Equity Cash'!$H:$H,'Daily BSE Equity Cash'!$A:$A,$A676))</f>
        <v>34.441899999999997</v>
      </c>
      <c r="G676" s="4">
        <f t="shared" si="90"/>
        <v>506.38549999999998</v>
      </c>
      <c r="H676" s="7" t="str">
        <f t="shared" si="91"/>
        <v/>
      </c>
      <c r="I676" s="7" t="str">
        <f t="shared" si="92"/>
        <v/>
      </c>
      <c r="J676" s="7" t="str">
        <f t="shared" si="93"/>
        <v/>
      </c>
      <c r="K676" s="7">
        <f t="shared" si="96"/>
        <v>-0.28018852773183944</v>
      </c>
      <c r="L676" s="7">
        <f t="shared" si="97"/>
        <v>-0.16620710524723115</v>
      </c>
      <c r="M676" s="7">
        <f t="shared" si="98"/>
        <v>-0.27343302967014871</v>
      </c>
      <c r="N676" s="7">
        <f t="shared" si="94"/>
        <v>0.93198482184027787</v>
      </c>
      <c r="O676" s="7">
        <f t="shared" si="95"/>
        <v>6.8015178159722189E-2</v>
      </c>
    </row>
    <row r="677" spans="1:15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4">
        <f>IF(SUMIFS('Daily NSE Equity Cash'!$H:$H,'Daily NSE Equity Cash'!$A:$A,$A677)=0,"",SUMIFS('Daily NSE Equity Cash'!$H:$H,'Daily NSE Equity Cash'!$A:$A,$A677))</f>
        <v>465.86189999999999</v>
      </c>
      <c r="F677" s="4">
        <f>IF(SUMIFS('Daily BSE Equity Cash'!$H:$H,'Daily BSE Equity Cash'!$A:$A,$A677)=0,"",SUMIFS('Daily BSE Equity Cash'!$H:$H,'Daily BSE Equity Cash'!$A:$A,$A677))</f>
        <v>43.744500000000002</v>
      </c>
      <c r="G677" s="4">
        <f t="shared" si="90"/>
        <v>509.60640000000001</v>
      </c>
      <c r="H677" s="7">
        <f t="shared" si="91"/>
        <v>-0.25322179635765563</v>
      </c>
      <c r="I677" s="7">
        <f t="shared" si="92"/>
        <v>-0.32952352633732807</v>
      </c>
      <c r="J677" s="7">
        <f t="shared" si="93"/>
        <v>-0.26044631852449851</v>
      </c>
      <c r="K677" s="7">
        <f t="shared" si="96"/>
        <v>-1.2886497454356882E-2</v>
      </c>
      <c r="L677" s="7">
        <f t="shared" si="97"/>
        <v>0.27009543608221409</v>
      </c>
      <c r="M677" s="7">
        <f t="shared" si="98"/>
        <v>6.3605691711157153E-3</v>
      </c>
      <c r="N677" s="7">
        <f t="shared" si="94"/>
        <v>0.91416022247758266</v>
      </c>
      <c r="O677" s="7">
        <f t="shared" si="95"/>
        <v>8.583977752241731E-2</v>
      </c>
    </row>
    <row r="678" spans="1:15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4">
        <f>IF(SUMIFS('Daily NSE Equity Cash'!$H:$H,'Daily NSE Equity Cash'!$A:$A,$A678)=0,"",SUMIFS('Daily NSE Equity Cash'!$H:$H,'Daily NSE Equity Cash'!$A:$A,$A678))</f>
        <v>584.90459999999996</v>
      </c>
      <c r="F678" s="4">
        <f>IF(SUMIFS('Daily BSE Equity Cash'!$H:$H,'Daily BSE Equity Cash'!$A:$A,$A678)=0,"",SUMIFS('Daily BSE Equity Cash'!$H:$H,'Daily BSE Equity Cash'!$A:$A,$A678))</f>
        <v>43.5381</v>
      </c>
      <c r="G678" s="4">
        <f t="shared" si="90"/>
        <v>628.44269999999995</v>
      </c>
      <c r="H678" s="7">
        <f t="shared" si="91"/>
        <v>7.2355268928232297E-2</v>
      </c>
      <c r="I678" s="7">
        <f t="shared" si="92"/>
        <v>0.15838415120845428</v>
      </c>
      <c r="J678" s="7">
        <f t="shared" si="93"/>
        <v>7.7901199332309101E-2</v>
      </c>
      <c r="K678" s="7">
        <f t="shared" si="96"/>
        <v>0.25553216521891997</v>
      </c>
      <c r="L678" s="7">
        <f t="shared" si="97"/>
        <v>-4.7183074443645223E-3</v>
      </c>
      <c r="M678" s="7">
        <f t="shared" si="98"/>
        <v>0.23319232254539957</v>
      </c>
      <c r="N678" s="7">
        <f t="shared" si="94"/>
        <v>0.93072065281369332</v>
      </c>
      <c r="O678" s="7">
        <f t="shared" si="95"/>
        <v>6.9279347186306725E-2</v>
      </c>
    </row>
    <row r="679" spans="1:15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4">
        <f>IF(SUMIFS('Daily NSE Equity Cash'!$H:$H,'Daily NSE Equity Cash'!$A:$A,$A679)=0,"",SUMIFS('Daily NSE Equity Cash'!$H:$H,'Daily NSE Equity Cash'!$A:$A,$A679))</f>
        <v>538.57140000000004</v>
      </c>
      <c r="F679" s="4">
        <f>IF(SUMIFS('Daily BSE Equity Cash'!$H:$H,'Daily BSE Equity Cash'!$A:$A,$A679)=0,"",SUMIFS('Daily BSE Equity Cash'!$H:$H,'Daily BSE Equity Cash'!$A:$A,$A679))</f>
        <v>43.4801</v>
      </c>
      <c r="G679" s="4">
        <f t="shared" si="90"/>
        <v>582.05150000000003</v>
      </c>
      <c r="H679" s="7">
        <f t="shared" si="91"/>
        <v>0.14007493649449643</v>
      </c>
      <c r="I679" s="7">
        <f t="shared" si="92"/>
        <v>0.30254426932766965</v>
      </c>
      <c r="J679" s="7">
        <f t="shared" si="93"/>
        <v>0.15079770707039364</v>
      </c>
      <c r="K679" s="7">
        <f t="shared" si="96"/>
        <v>-7.9214969415525083E-2</v>
      </c>
      <c r="L679" s="7">
        <f t="shared" si="97"/>
        <v>-1.3321665391921034E-3</v>
      </c>
      <c r="M679" s="7">
        <f t="shared" si="98"/>
        <v>-7.3819299675212946E-2</v>
      </c>
      <c r="N679" s="7">
        <f t="shared" si="94"/>
        <v>0.9252985345798439</v>
      </c>
      <c r="O679" s="7">
        <f t="shared" si="95"/>
        <v>7.4701465420156113E-2</v>
      </c>
    </row>
    <row r="680" spans="1:15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4">
        <f>IF(SUMIFS('Daily NSE Equity Cash'!$H:$H,'Daily NSE Equity Cash'!$A:$A,$A680)=0,"",SUMIFS('Daily NSE Equity Cash'!$H:$H,'Daily NSE Equity Cash'!$A:$A,$A680))</f>
        <v>562.51549999999997</v>
      </c>
      <c r="F680" s="4">
        <f>IF(SUMIFS('Daily BSE Equity Cash'!$H:$H,'Daily BSE Equity Cash'!$A:$A,$A680)=0,"",SUMIFS('Daily BSE Equity Cash'!$H:$H,'Daily BSE Equity Cash'!$A:$A,$A680))</f>
        <v>43.982999999999997</v>
      </c>
      <c r="G680" s="4">
        <f t="shared" si="90"/>
        <v>606.49849999999992</v>
      </c>
      <c r="H680" s="7">
        <f t="shared" si="91"/>
        <v>0.24557500911735763</v>
      </c>
      <c r="I680" s="7">
        <f t="shared" si="92"/>
        <v>0.32091791226315647</v>
      </c>
      <c r="J680" s="7">
        <f t="shared" si="93"/>
        <v>0.25074859499237356</v>
      </c>
      <c r="K680" s="7">
        <f t="shared" si="96"/>
        <v>4.4458543472601697E-2</v>
      </c>
      <c r="L680" s="7">
        <f t="shared" si="97"/>
        <v>1.1566210749285322E-2</v>
      </c>
      <c r="M680" s="7">
        <f t="shared" si="98"/>
        <v>4.200143801708256E-2</v>
      </c>
      <c r="N680" s="7">
        <f t="shared" si="94"/>
        <v>0.9274804471898942</v>
      </c>
      <c r="O680" s="7">
        <f t="shared" si="95"/>
        <v>7.2519552810105886E-2</v>
      </c>
    </row>
    <row r="681" spans="1:15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4">
        <f>IF(SUMIFS('Daily NSE Equity Cash'!$H:$H,'Daily NSE Equity Cash'!$A:$A,$A681)=0,"",SUMIFS('Daily NSE Equity Cash'!$H:$H,'Daily NSE Equity Cash'!$A:$A,$A681))</f>
        <v>464.87009999999998</v>
      </c>
      <c r="F681" s="4">
        <f>IF(SUMIFS('Daily BSE Equity Cash'!$H:$H,'Daily BSE Equity Cash'!$A:$A,$A681)=0,"",SUMIFS('Daily BSE Equity Cash'!$H:$H,'Daily BSE Equity Cash'!$A:$A,$A681))</f>
        <v>35.117800000000003</v>
      </c>
      <c r="G681" s="4">
        <f t="shared" si="90"/>
        <v>499.98789999999997</v>
      </c>
      <c r="H681" s="7" t="str">
        <f t="shared" si="91"/>
        <v/>
      </c>
      <c r="I681" s="7" t="str">
        <f t="shared" si="92"/>
        <v/>
      </c>
      <c r="J681" s="7" t="str">
        <f t="shared" si="93"/>
        <v/>
      </c>
      <c r="K681" s="7">
        <f t="shared" si="96"/>
        <v>-0.17358703893492711</v>
      </c>
      <c r="L681" s="7">
        <f t="shared" si="97"/>
        <v>-0.20155969351795</v>
      </c>
      <c r="M681" s="7">
        <f t="shared" si="98"/>
        <v>-0.17561560333619941</v>
      </c>
      <c r="N681" s="7">
        <f t="shared" si="94"/>
        <v>0.9297627002573462</v>
      </c>
      <c r="O681" s="7">
        <f t="shared" si="95"/>
        <v>7.0237299742653789E-2</v>
      </c>
    </row>
    <row r="682" spans="1:15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4">
        <f>IF(SUMIFS('Daily NSE Equity Cash'!$H:$H,'Daily NSE Equity Cash'!$A:$A,$A682)=0,"",SUMIFS('Daily NSE Equity Cash'!$H:$H,'Daily NSE Equity Cash'!$A:$A,$A682))</f>
        <v>432.7407</v>
      </c>
      <c r="F682" s="4">
        <f>IF(SUMIFS('Daily BSE Equity Cash'!$H:$H,'Daily BSE Equity Cash'!$A:$A,$A682)=0,"",SUMIFS('Daily BSE Equity Cash'!$H:$H,'Daily BSE Equity Cash'!$A:$A,$A682))</f>
        <v>31.7623</v>
      </c>
      <c r="G682" s="4">
        <f t="shared" si="90"/>
        <v>464.50299999999999</v>
      </c>
      <c r="H682" s="7">
        <f t="shared" si="91"/>
        <v>7.7716014793230981E-2</v>
      </c>
      <c r="I682" s="7">
        <f t="shared" si="92"/>
        <v>-8.177560637159953E-2</v>
      </c>
      <c r="J682" s="7">
        <f t="shared" si="93"/>
        <v>6.5066058891237732E-2</v>
      </c>
      <c r="K682" s="7">
        <f t="shared" si="96"/>
        <v>-6.9114791422377975E-2</v>
      </c>
      <c r="L682" s="7">
        <f t="shared" si="97"/>
        <v>-9.5549835126346294E-2</v>
      </c>
      <c r="M682" s="7">
        <f t="shared" si="98"/>
        <v>-7.0971517510723725E-2</v>
      </c>
      <c r="N682" s="7">
        <f t="shared" si="94"/>
        <v>0.93162089372942702</v>
      </c>
      <c r="O682" s="7">
        <f t="shared" si="95"/>
        <v>6.8379106270573059E-2</v>
      </c>
    </row>
    <row r="683" spans="1:15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4">
        <f>IF(SUMIFS('Daily NSE Equity Cash'!$H:$H,'Daily NSE Equity Cash'!$A:$A,$A683)=0,"",SUMIFS('Daily NSE Equity Cash'!$H:$H,'Daily NSE Equity Cash'!$A:$A,$A683))</f>
        <v>432.60770000000002</v>
      </c>
      <c r="F683" s="4">
        <f>IF(SUMIFS('Daily BSE Equity Cash'!$H:$H,'Daily BSE Equity Cash'!$A:$A,$A683)=0,"",SUMIFS('Daily BSE Equity Cash'!$H:$H,'Daily BSE Equity Cash'!$A:$A,$A683))</f>
        <v>29.938800000000001</v>
      </c>
      <c r="G683" s="4">
        <f t="shared" si="90"/>
        <v>462.54650000000004</v>
      </c>
      <c r="H683" s="7">
        <f t="shared" si="91"/>
        <v>-4.9251418462472607E-3</v>
      </c>
      <c r="I683" s="7">
        <f t="shared" si="92"/>
        <v>-0.14641774746751901</v>
      </c>
      <c r="J683" s="7">
        <f t="shared" si="93"/>
        <v>-1.5488166612461773E-2</v>
      </c>
      <c r="K683" s="7">
        <f t="shared" si="96"/>
        <v>-3.0734340449134478E-4</v>
      </c>
      <c r="L683" s="7">
        <f t="shared" si="97"/>
        <v>-5.741082982025858E-2</v>
      </c>
      <c r="M683" s="7">
        <f t="shared" si="98"/>
        <v>-4.212028770535281E-3</v>
      </c>
      <c r="N683" s="7">
        <f t="shared" si="94"/>
        <v>0.93527396704979926</v>
      </c>
      <c r="O683" s="7">
        <f t="shared" si="95"/>
        <v>6.4726032950200685E-2</v>
      </c>
    </row>
    <row r="684" spans="1:15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4">
        <f>IF(SUMIFS('Daily NSE Equity Cash'!$H:$H,'Daily NSE Equity Cash'!$A:$A,$A684)=0,"",SUMIFS('Daily NSE Equity Cash'!$H:$H,'Daily NSE Equity Cash'!$A:$A,$A684))</f>
        <v>495.06139999999999</v>
      </c>
      <c r="F684" s="4">
        <f>IF(SUMIFS('Daily BSE Equity Cash'!$H:$H,'Daily BSE Equity Cash'!$A:$A,$A684)=0,"",SUMIFS('Daily BSE Equity Cash'!$H:$H,'Daily BSE Equity Cash'!$A:$A,$A684))</f>
        <v>27.356400000000001</v>
      </c>
      <c r="G684" s="4">
        <f t="shared" si="90"/>
        <v>522.41779999999994</v>
      </c>
      <c r="H684" s="7">
        <f t="shared" si="91"/>
        <v>0.1327871459478136</v>
      </c>
      <c r="I684" s="7">
        <f t="shared" si="92"/>
        <v>-0.32575862136956046</v>
      </c>
      <c r="J684" s="7">
        <f t="shared" si="93"/>
        <v>9.3832514906205589E-2</v>
      </c>
      <c r="K684" s="7">
        <f t="shared" si="96"/>
        <v>0.14436566894209224</v>
      </c>
      <c r="L684" s="7">
        <f t="shared" si="97"/>
        <v>-8.6255962162812172E-2</v>
      </c>
      <c r="M684" s="7">
        <f t="shared" si="98"/>
        <v>0.12943844564816698</v>
      </c>
      <c r="N684" s="7">
        <f t="shared" si="94"/>
        <v>0.94763501549908913</v>
      </c>
      <c r="O684" s="7">
        <f t="shared" si="95"/>
        <v>5.2364984500910962E-2</v>
      </c>
    </row>
    <row r="685" spans="1:15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4">
        <f>IF(SUMIFS('Daily NSE Equity Cash'!$H:$H,'Daily NSE Equity Cash'!$A:$A,$A685)=0,"",SUMIFS('Daily NSE Equity Cash'!$H:$H,'Daily NSE Equity Cash'!$A:$A,$A685))</f>
        <v>440.23500000000001</v>
      </c>
      <c r="F685" s="4">
        <f>IF(SUMIFS('Daily BSE Equity Cash'!$H:$H,'Daily BSE Equity Cash'!$A:$A,$A685)=0,"",SUMIFS('Daily BSE Equity Cash'!$H:$H,'Daily BSE Equity Cash'!$A:$A,$A685))</f>
        <v>29.625599999999999</v>
      </c>
      <c r="G685" s="4">
        <f t="shared" si="90"/>
        <v>469.86060000000003</v>
      </c>
      <c r="H685" s="7">
        <f t="shared" si="91"/>
        <v>-0.17917293611594332</v>
      </c>
      <c r="I685" s="7">
        <f t="shared" si="92"/>
        <v>-0.24191649863355824</v>
      </c>
      <c r="J685" s="7">
        <f t="shared" si="93"/>
        <v>-0.18343422940070964</v>
      </c>
      <c r="K685" s="7">
        <f t="shared" si="96"/>
        <v>-0.11074666697908575</v>
      </c>
      <c r="L685" s="7">
        <f t="shared" si="97"/>
        <v>8.2949510900556911E-2</v>
      </c>
      <c r="M685" s="7">
        <f t="shared" si="98"/>
        <v>-0.1006037696265325</v>
      </c>
      <c r="N685" s="7">
        <f t="shared" si="94"/>
        <v>0.93694810758765468</v>
      </c>
      <c r="O685" s="7">
        <f t="shared" si="95"/>
        <v>6.3051892412345267E-2</v>
      </c>
    </row>
    <row r="686" spans="1:15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4">
        <f>IF(SUMIFS('Daily NSE Equity Cash'!$H:$H,'Daily NSE Equity Cash'!$A:$A,$A686)=0,"",SUMIFS('Daily NSE Equity Cash'!$H:$H,'Daily NSE Equity Cash'!$A:$A,$A686))</f>
        <v>396.93970000000002</v>
      </c>
      <c r="F686" s="4">
        <f>IF(SUMIFS('Daily BSE Equity Cash'!$H:$H,'Daily BSE Equity Cash'!$A:$A,$A686)=0,"",SUMIFS('Daily BSE Equity Cash'!$H:$H,'Daily BSE Equity Cash'!$A:$A,$A686))</f>
        <v>33.9527</v>
      </c>
      <c r="G686" s="4">
        <f t="shared" si="90"/>
        <v>430.89240000000001</v>
      </c>
      <c r="H686" s="7" t="str">
        <f t="shared" si="91"/>
        <v/>
      </c>
      <c r="I686" s="7" t="str">
        <f t="shared" si="92"/>
        <v/>
      </c>
      <c r="J686" s="7" t="str">
        <f t="shared" si="93"/>
        <v/>
      </c>
      <c r="K686" s="7">
        <f t="shared" si="96"/>
        <v>-9.8345883448612614E-2</v>
      </c>
      <c r="L686" s="7">
        <f t="shared" si="97"/>
        <v>0.14605948909051647</v>
      </c>
      <c r="M686" s="7">
        <f t="shared" si="98"/>
        <v>-8.2935662194276394E-2</v>
      </c>
      <c r="N686" s="7">
        <f t="shared" si="94"/>
        <v>0.92120376223855427</v>
      </c>
      <c r="O686" s="7">
        <f t="shared" si="95"/>
        <v>7.8796237761445773E-2</v>
      </c>
    </row>
    <row r="687" spans="1:15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4">
        <f>IF(SUMIFS('Daily NSE Equity Cash'!$H:$H,'Daily NSE Equity Cash'!$A:$A,$A687)=0,"",SUMIFS('Daily NSE Equity Cash'!$H:$H,'Daily NSE Equity Cash'!$A:$A,$A687))</f>
        <v>422.57479999999998</v>
      </c>
      <c r="F687" s="4">
        <f>IF(SUMIFS('Daily BSE Equity Cash'!$H:$H,'Daily BSE Equity Cash'!$A:$A,$A687)=0,"",SUMIFS('Daily BSE Equity Cash'!$H:$H,'Daily BSE Equity Cash'!$A:$A,$A687))</f>
        <v>28.726900000000001</v>
      </c>
      <c r="G687" s="4">
        <f t="shared" si="90"/>
        <v>451.30169999999998</v>
      </c>
      <c r="H687" s="7">
        <f t="shared" si="91"/>
        <v>-0.10310436510286369</v>
      </c>
      <c r="I687" s="7">
        <f t="shared" si="92"/>
        <v>-0.39385390577029789</v>
      </c>
      <c r="J687" s="7">
        <f t="shared" si="93"/>
        <v>-0.12967755571643291</v>
      </c>
      <c r="K687" s="7">
        <f t="shared" si="96"/>
        <v>6.4581849585717777E-2</v>
      </c>
      <c r="L687" s="7">
        <f t="shared" si="97"/>
        <v>-0.15391412170460672</v>
      </c>
      <c r="M687" s="7">
        <f t="shared" si="98"/>
        <v>4.7365189082007486E-2</v>
      </c>
      <c r="N687" s="7">
        <f t="shared" si="94"/>
        <v>0.93634657259212628</v>
      </c>
      <c r="O687" s="7">
        <f t="shared" si="95"/>
        <v>6.3653427407873719E-2</v>
      </c>
    </row>
    <row r="688" spans="1:15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4">
        <f>IF(SUMIFS('Daily NSE Equity Cash'!$H:$H,'Daily NSE Equity Cash'!$A:$A,$A688)=0,"",SUMIFS('Daily NSE Equity Cash'!$H:$H,'Daily NSE Equity Cash'!$A:$A,$A688))</f>
        <v>464.62700000000001</v>
      </c>
      <c r="F688" s="4">
        <f>IF(SUMIFS('Daily BSE Equity Cash'!$H:$H,'Daily BSE Equity Cash'!$A:$A,$A688)=0,"",SUMIFS('Daily BSE Equity Cash'!$H:$H,'Daily BSE Equity Cash'!$A:$A,$A688))</f>
        <v>30.851400000000002</v>
      </c>
      <c r="G688" s="4">
        <f t="shared" si="90"/>
        <v>495.47840000000002</v>
      </c>
      <c r="H688" s="7">
        <f t="shared" si="91"/>
        <v>-0.15995765680496909</v>
      </c>
      <c r="I688" s="7">
        <f t="shared" si="92"/>
        <v>-0.40629281810484175</v>
      </c>
      <c r="J688" s="7">
        <f t="shared" si="93"/>
        <v>-0.18111338727257542</v>
      </c>
      <c r="K688" s="7">
        <f t="shared" si="96"/>
        <v>9.9514216181372017E-2</v>
      </c>
      <c r="L688" s="7">
        <f t="shared" si="97"/>
        <v>7.3955073467725452E-2</v>
      </c>
      <c r="M688" s="7">
        <f t="shared" si="98"/>
        <v>9.788728914604139E-2</v>
      </c>
      <c r="N688" s="7">
        <f t="shared" si="94"/>
        <v>0.93773411716837707</v>
      </c>
      <c r="O688" s="7">
        <f t="shared" si="95"/>
        <v>6.2265882831622932E-2</v>
      </c>
    </row>
    <row r="689" spans="1:15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4">
        <f>IF(SUMIFS('Daily NSE Equity Cash'!$H:$H,'Daily NSE Equity Cash'!$A:$A,$A689)=0,"",SUMIFS('Daily NSE Equity Cash'!$H:$H,'Daily NSE Equity Cash'!$A:$A,$A689))</f>
        <v>501.24130000000002</v>
      </c>
      <c r="F689" s="4">
        <f>IF(SUMIFS('Daily BSE Equity Cash'!$H:$H,'Daily BSE Equity Cash'!$A:$A,$A689)=0,"",SUMIFS('Daily BSE Equity Cash'!$H:$H,'Daily BSE Equity Cash'!$A:$A,$A689))</f>
        <v>33.777200000000001</v>
      </c>
      <c r="G689" s="4">
        <f t="shared" si="90"/>
        <v>535.01850000000002</v>
      </c>
      <c r="H689" s="7">
        <f t="shared" si="91"/>
        <v>-0.16819428398082814</v>
      </c>
      <c r="I689" s="7">
        <f t="shared" si="92"/>
        <v>-0.27723022275479847</v>
      </c>
      <c r="J689" s="7">
        <f t="shared" si="93"/>
        <v>-0.17604175521986443</v>
      </c>
      <c r="K689" s="7">
        <f t="shared" si="96"/>
        <v>7.8803642491719117E-2</v>
      </c>
      <c r="L689" s="7">
        <f t="shared" si="97"/>
        <v>9.4835242484943905E-2</v>
      </c>
      <c r="M689" s="7">
        <f t="shared" si="98"/>
        <v>7.9801864218500773E-2</v>
      </c>
      <c r="N689" s="7">
        <f t="shared" si="94"/>
        <v>0.93686722982476311</v>
      </c>
      <c r="O689" s="7">
        <f t="shared" si="95"/>
        <v>6.3132770175236927E-2</v>
      </c>
    </row>
    <row r="690" spans="1:15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4">
        <f>IF(SUMIFS('Daily NSE Equity Cash'!$H:$H,'Daily NSE Equity Cash'!$A:$A,$A690)=0,"",SUMIFS('Daily NSE Equity Cash'!$H:$H,'Daily NSE Equity Cash'!$A:$A,$A690))</f>
        <v>447.00869999999998</v>
      </c>
      <c r="F690" s="4">
        <f>IF(SUMIFS('Daily BSE Equity Cash'!$H:$H,'Daily BSE Equity Cash'!$A:$A,$A690)=0,"",SUMIFS('Daily BSE Equity Cash'!$H:$H,'Daily BSE Equity Cash'!$A:$A,$A690))</f>
        <v>31.447099999999999</v>
      </c>
      <c r="G690" s="4">
        <f t="shared" si="90"/>
        <v>478.45579999999995</v>
      </c>
      <c r="H690" s="7">
        <f t="shared" si="91"/>
        <v>-0.227451885188104</v>
      </c>
      <c r="I690" s="7">
        <f t="shared" si="92"/>
        <v>-0.32829023955229464</v>
      </c>
      <c r="J690" s="7">
        <f t="shared" si="93"/>
        <v>-0.23500009993084792</v>
      </c>
      <c r="K690" s="7">
        <f t="shared" si="96"/>
        <v>-0.10819659114282887</v>
      </c>
      <c r="L690" s="7">
        <f t="shared" si="97"/>
        <v>-6.8984403680589335E-2</v>
      </c>
      <c r="M690" s="7">
        <f t="shared" si="98"/>
        <v>-0.10572101712370707</v>
      </c>
      <c r="N690" s="7">
        <f t="shared" si="94"/>
        <v>0.93427376154704367</v>
      </c>
      <c r="O690" s="7">
        <f t="shared" si="95"/>
        <v>6.5726238452956373E-2</v>
      </c>
    </row>
    <row r="691" spans="1:15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4">
        <f>IF(SUMIFS('Daily NSE Equity Cash'!$H:$H,'Daily NSE Equity Cash'!$A:$A,$A691)=0,"",SUMIFS('Daily NSE Equity Cash'!$H:$H,'Daily NSE Equity Cash'!$A:$A,$A691))</f>
        <v>445.45870000000002</v>
      </c>
      <c r="F691" s="4">
        <f>IF(SUMIFS('Daily BSE Equity Cash'!$H:$H,'Daily BSE Equity Cash'!$A:$A,$A691)=0,"",SUMIFS('Daily BSE Equity Cash'!$H:$H,'Daily BSE Equity Cash'!$A:$A,$A691))</f>
        <v>29.4863</v>
      </c>
      <c r="G691" s="4">
        <f t="shared" si="90"/>
        <v>474.94500000000005</v>
      </c>
      <c r="H691" s="7" t="str">
        <f t="shared" si="91"/>
        <v/>
      </c>
      <c r="I691" s="7" t="str">
        <f t="shared" si="92"/>
        <v/>
      </c>
      <c r="J691" s="7" t="str">
        <f t="shared" si="93"/>
        <v/>
      </c>
      <c r="K691" s="7">
        <f t="shared" si="96"/>
        <v>-3.4674940331137494E-3</v>
      </c>
      <c r="L691" s="7">
        <f t="shared" si="97"/>
        <v>-6.2352331375548076E-2</v>
      </c>
      <c r="M691" s="7">
        <f t="shared" si="98"/>
        <v>-7.3377728935460906E-3</v>
      </c>
      <c r="N691" s="7">
        <f t="shared" si="94"/>
        <v>0.93791639031887897</v>
      </c>
      <c r="O691" s="7">
        <f t="shared" si="95"/>
        <v>6.2083609681120963E-2</v>
      </c>
    </row>
    <row r="692" spans="1:15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4">
        <f>IF(SUMIFS('Daily NSE Equity Cash'!$H:$H,'Daily NSE Equity Cash'!$A:$A,$A692)=0,"",SUMIFS('Daily NSE Equity Cash'!$H:$H,'Daily NSE Equity Cash'!$A:$A,$A692))</f>
        <v>442.06830000000002</v>
      </c>
      <c r="F692" s="4">
        <f>IF(SUMIFS('Daily BSE Equity Cash'!$H:$H,'Daily BSE Equity Cash'!$A:$A,$A692)=0,"",SUMIFS('Daily BSE Equity Cash'!$H:$H,'Daily BSE Equity Cash'!$A:$A,$A692))</f>
        <v>26.1953</v>
      </c>
      <c r="G692" s="4">
        <f t="shared" si="90"/>
        <v>468.2636</v>
      </c>
      <c r="H692" s="7">
        <f t="shared" si="91"/>
        <v>-0.25719747613863531</v>
      </c>
      <c r="I692" s="7">
        <f t="shared" si="92"/>
        <v>-0.62768608020967021</v>
      </c>
      <c r="J692" s="7">
        <f t="shared" si="93"/>
        <v>-0.29636669793167125</v>
      </c>
      <c r="K692" s="7">
        <f t="shared" si="96"/>
        <v>-7.611031056302231E-3</v>
      </c>
      <c r="L692" s="7">
        <f t="shared" si="97"/>
        <v>-0.11161115501097119</v>
      </c>
      <c r="M692" s="7">
        <f t="shared" si="98"/>
        <v>-1.4067734158692224E-2</v>
      </c>
      <c r="N692" s="7">
        <f t="shared" si="94"/>
        <v>0.94405864560046948</v>
      </c>
      <c r="O692" s="7">
        <f t="shared" si="95"/>
        <v>5.5941354399530518E-2</v>
      </c>
    </row>
    <row r="693" spans="1:15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4">
        <f>IF(SUMIFS('Daily NSE Equity Cash'!$H:$H,'Daily NSE Equity Cash'!$A:$A,$A693)=0,"",SUMIFS('Daily NSE Equity Cash'!$H:$H,'Daily NSE Equity Cash'!$A:$A,$A693))</f>
        <v>443.34500000000003</v>
      </c>
      <c r="F693" s="4">
        <f>IF(SUMIFS('Daily BSE Equity Cash'!$H:$H,'Daily BSE Equity Cash'!$A:$A,$A693)=0,"",SUMIFS('Daily BSE Equity Cash'!$H:$H,'Daily BSE Equity Cash'!$A:$A,$A693))</f>
        <v>29.4771</v>
      </c>
      <c r="G693" s="4">
        <f t="shared" si="90"/>
        <v>472.82210000000003</v>
      </c>
      <c r="H693" s="7">
        <f t="shared" si="91"/>
        <v>-0.31914457732890966</v>
      </c>
      <c r="I693" s="7">
        <f t="shared" si="92"/>
        <v>-0.46780422368143115</v>
      </c>
      <c r="J693" s="7">
        <f t="shared" si="93"/>
        <v>-0.33079832679094723</v>
      </c>
      <c r="K693" s="7">
        <f t="shared" si="96"/>
        <v>2.8880152682289051E-3</v>
      </c>
      <c r="L693" s="7">
        <f t="shared" si="97"/>
        <v>0.12528201623955448</v>
      </c>
      <c r="M693" s="7">
        <f t="shared" si="98"/>
        <v>9.7349014529424238E-3</v>
      </c>
      <c r="N693" s="7">
        <f t="shared" si="94"/>
        <v>0.93765710189942475</v>
      </c>
      <c r="O693" s="7">
        <f t="shared" si="95"/>
        <v>6.2342898100575243E-2</v>
      </c>
    </row>
    <row r="694" spans="1:15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4">
        <f>IF(SUMIFS('Daily NSE Equity Cash'!$H:$H,'Daily NSE Equity Cash'!$A:$A,$A694)=0,"",SUMIFS('Daily NSE Equity Cash'!$H:$H,'Daily NSE Equity Cash'!$A:$A,$A694))</f>
        <v>448.72559999999999</v>
      </c>
      <c r="F694" s="4">
        <f>IF(SUMIFS('Daily BSE Equity Cash'!$H:$H,'Daily BSE Equity Cash'!$A:$A,$A694)=0,"",SUMIFS('Daily BSE Equity Cash'!$H:$H,'Daily BSE Equity Cash'!$A:$A,$A694))</f>
        <v>26.497199999999999</v>
      </c>
      <c r="G694" s="4">
        <f t="shared" si="90"/>
        <v>475.22280000000001</v>
      </c>
      <c r="H694" s="7">
        <f t="shared" si="91"/>
        <v>-0.29621319367352617</v>
      </c>
      <c r="I694" s="7">
        <f t="shared" si="92"/>
        <v>-0.52262974132805828</v>
      </c>
      <c r="J694" s="7">
        <f t="shared" si="93"/>
        <v>-0.31434581745044687</v>
      </c>
      <c r="K694" s="7">
        <f t="shared" si="96"/>
        <v>1.213637235110343E-2</v>
      </c>
      <c r="L694" s="7">
        <f t="shared" si="97"/>
        <v>-0.10109203415532741</v>
      </c>
      <c r="M694" s="7">
        <f t="shared" si="98"/>
        <v>5.0773853421826054E-3</v>
      </c>
      <c r="N694" s="7">
        <f t="shared" si="94"/>
        <v>0.94424257421992375</v>
      </c>
      <c r="O694" s="7">
        <f t="shared" si="95"/>
        <v>5.5757425780076204E-2</v>
      </c>
    </row>
    <row r="695" spans="1:15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4">
        <f>IF(SUMIFS('Daily NSE Equity Cash'!$H:$H,'Daily NSE Equity Cash'!$A:$A,$A695)=0,"",SUMIFS('Daily NSE Equity Cash'!$H:$H,'Daily NSE Equity Cash'!$A:$A,$A695))</f>
        <v>464.58920000000001</v>
      </c>
      <c r="F695" s="4">
        <f>IF(SUMIFS('Daily BSE Equity Cash'!$H:$H,'Daily BSE Equity Cash'!$A:$A,$A695)=0,"",SUMIFS('Daily BSE Equity Cash'!$H:$H,'Daily BSE Equity Cash'!$A:$A,$A695))</f>
        <v>38.911000000000001</v>
      </c>
      <c r="G695" s="4">
        <f t="shared" si="90"/>
        <v>503.50020000000001</v>
      </c>
      <c r="H695" s="7">
        <f t="shared" si="91"/>
        <v>-0.30295877323893605</v>
      </c>
      <c r="I695" s="7">
        <f t="shared" si="92"/>
        <v>-0.25143514528441269</v>
      </c>
      <c r="J695" s="7">
        <f t="shared" si="93"/>
        <v>-0.29923121449793322</v>
      </c>
      <c r="K695" s="7">
        <f t="shared" si="96"/>
        <v>3.5352562902584594E-2</v>
      </c>
      <c r="L695" s="7">
        <f t="shared" si="97"/>
        <v>0.46849478435457348</v>
      </c>
      <c r="M695" s="7">
        <f t="shared" si="98"/>
        <v>5.9503458167411205E-2</v>
      </c>
      <c r="N695" s="7">
        <f t="shared" si="94"/>
        <v>0.92271899792691248</v>
      </c>
      <c r="O695" s="7">
        <f t="shared" si="95"/>
        <v>7.7281002073087565E-2</v>
      </c>
    </row>
    <row r="696" spans="1:15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4">
        <f>IF(SUMIFS('Daily NSE Equity Cash'!$H:$H,'Daily NSE Equity Cash'!$A:$A,$A696)=0,"",SUMIFS('Daily NSE Equity Cash'!$H:$H,'Daily NSE Equity Cash'!$A:$A,$A696))</f>
        <v>431.2167</v>
      </c>
      <c r="F696" s="4">
        <f>IF(SUMIFS('Daily BSE Equity Cash'!$H:$H,'Daily BSE Equity Cash'!$A:$A,$A696)=0,"",SUMIFS('Daily BSE Equity Cash'!$H:$H,'Daily BSE Equity Cash'!$A:$A,$A696))</f>
        <v>30.524999999999999</v>
      </c>
      <c r="G696" s="4">
        <f t="shared" si="90"/>
        <v>461.74169999999998</v>
      </c>
      <c r="H696" s="7" t="str">
        <f t="shared" si="91"/>
        <v/>
      </c>
      <c r="I696" s="7" t="str">
        <f t="shared" si="92"/>
        <v/>
      </c>
      <c r="J696" s="7" t="str">
        <f t="shared" si="93"/>
        <v/>
      </c>
      <c r="K696" s="7">
        <f t="shared" si="96"/>
        <v>-7.1832276772684334E-2</v>
      </c>
      <c r="L696" s="7">
        <f t="shared" si="97"/>
        <v>-0.21551746292822083</v>
      </c>
      <c r="M696" s="7">
        <f t="shared" si="98"/>
        <v>-8.2936411941842425E-2</v>
      </c>
      <c r="N696" s="7">
        <f t="shared" si="94"/>
        <v>0.93389161082917138</v>
      </c>
      <c r="O696" s="7">
        <f t="shared" si="95"/>
        <v>6.6108389170828619E-2</v>
      </c>
    </row>
    <row r="697" spans="1:15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4">
        <f>IF(SUMIFS('Daily NSE Equity Cash'!$H:$H,'Daily NSE Equity Cash'!$A:$A,$A697)=0,"",SUMIFS('Daily NSE Equity Cash'!$H:$H,'Daily NSE Equity Cash'!$A:$A,$A697))</f>
        <v>439.0052</v>
      </c>
      <c r="F697" s="4">
        <f>IF(SUMIFS('Daily BSE Equity Cash'!$H:$H,'Daily BSE Equity Cash'!$A:$A,$A697)=0,"",SUMIFS('Daily BSE Equity Cash'!$H:$H,'Daily BSE Equity Cash'!$A:$A,$A697))</f>
        <v>42.463799999999999</v>
      </c>
      <c r="G697" s="4">
        <f t="shared" si="90"/>
        <v>481.46899999999999</v>
      </c>
      <c r="H697" s="7">
        <f t="shared" si="91"/>
        <v>-0.30637792949154474</v>
      </c>
      <c r="I697" s="7">
        <f t="shared" si="92"/>
        <v>-0.22627090849458842</v>
      </c>
      <c r="J697" s="7">
        <f t="shared" si="93"/>
        <v>-0.29998589704259526</v>
      </c>
      <c r="K697" s="7">
        <f t="shared" si="96"/>
        <v>1.8061684531234468E-2</v>
      </c>
      <c r="L697" s="7">
        <f t="shared" si="97"/>
        <v>0.39111547911547917</v>
      </c>
      <c r="M697" s="7">
        <f t="shared" si="98"/>
        <v>4.2723669965264222E-2</v>
      </c>
      <c r="N697" s="7">
        <f t="shared" si="94"/>
        <v>0.91180366752584285</v>
      </c>
      <c r="O697" s="7">
        <f t="shared" si="95"/>
        <v>8.8196332474157216E-2</v>
      </c>
    </row>
    <row r="698" spans="1:15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4">
        <f>IF(SUMIFS('Daily NSE Equity Cash'!$H:$H,'Daily NSE Equity Cash'!$A:$A,$A698)=0,"",SUMIFS('Daily NSE Equity Cash'!$H:$H,'Daily NSE Equity Cash'!$A:$A,$A698))</f>
        <v>458.91730000000001</v>
      </c>
      <c r="F698" s="4">
        <f>IF(SUMIFS('Daily BSE Equity Cash'!$H:$H,'Daily BSE Equity Cash'!$A:$A,$A698)=0,"",SUMIFS('Daily BSE Equity Cash'!$H:$H,'Daily BSE Equity Cash'!$A:$A,$A698))</f>
        <v>27.200700000000001</v>
      </c>
      <c r="G698" s="4">
        <f t="shared" si="90"/>
        <v>486.11799999999999</v>
      </c>
      <c r="H698" s="7">
        <f t="shared" si="91"/>
        <v>-0.29039961875686537</v>
      </c>
      <c r="I698" s="7">
        <f t="shared" si="92"/>
        <v>-0.49500494771022197</v>
      </c>
      <c r="J698" s="7">
        <f t="shared" si="93"/>
        <v>-0.30613024998797445</v>
      </c>
      <c r="K698" s="7">
        <f t="shared" si="96"/>
        <v>4.5357321507809134E-2</v>
      </c>
      <c r="L698" s="7">
        <f t="shared" si="97"/>
        <v>-0.35943792124115126</v>
      </c>
      <c r="M698" s="7">
        <f t="shared" si="98"/>
        <v>9.6558656943646071E-3</v>
      </c>
      <c r="N698" s="7">
        <f t="shared" si="94"/>
        <v>0.94404506724704706</v>
      </c>
      <c r="O698" s="7">
        <f t="shared" si="95"/>
        <v>5.5954932752952991E-2</v>
      </c>
    </row>
    <row r="699" spans="1:15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4">
        <f>IF(SUMIFS('Daily NSE Equity Cash'!$H:$H,'Daily NSE Equity Cash'!$A:$A,$A699)=0,"",SUMIFS('Daily NSE Equity Cash'!$H:$H,'Daily NSE Equity Cash'!$A:$A,$A699))</f>
        <v>415.68770000000001</v>
      </c>
      <c r="F699" s="4">
        <f>IF(SUMIFS('Daily BSE Equity Cash'!$H:$H,'Daily BSE Equity Cash'!$A:$A,$A699)=0,"",SUMIFS('Daily BSE Equity Cash'!$H:$H,'Daily BSE Equity Cash'!$A:$A,$A699))</f>
        <v>29.925000000000001</v>
      </c>
      <c r="G699" s="4">
        <f t="shared" si="90"/>
        <v>445.61270000000002</v>
      </c>
      <c r="H699" s="7">
        <f t="shared" si="91"/>
        <v>-0.38323967656291869</v>
      </c>
      <c r="I699" s="7">
        <f t="shared" si="92"/>
        <v>-0.53171139337964313</v>
      </c>
      <c r="J699" s="7">
        <f t="shared" si="93"/>
        <v>-0.39609767706159482</v>
      </c>
      <c r="K699" s="7">
        <f t="shared" si="96"/>
        <v>-9.4199107333717835E-2</v>
      </c>
      <c r="L699" s="7">
        <f t="shared" si="97"/>
        <v>0.1001555107037686</v>
      </c>
      <c r="M699" s="7">
        <f t="shared" si="98"/>
        <v>-8.332400775120441E-2</v>
      </c>
      <c r="N699" s="7">
        <f t="shared" si="94"/>
        <v>0.93284527124114724</v>
      </c>
      <c r="O699" s="7">
        <f t="shared" si="95"/>
        <v>6.71547287588527E-2</v>
      </c>
    </row>
    <row r="700" spans="1:15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4">
        <f>IF(SUMIFS('Daily NSE Equity Cash'!$H:$H,'Daily NSE Equity Cash'!$A:$A,$A700)=0,"",SUMIFS('Daily NSE Equity Cash'!$H:$H,'Daily NSE Equity Cash'!$A:$A,$A700))</f>
        <v>459.95569999999998</v>
      </c>
      <c r="F700" s="4">
        <f>IF(SUMIFS('Daily BSE Equity Cash'!$H:$H,'Daily BSE Equity Cash'!$A:$A,$A700)=0,"",SUMIFS('Daily BSE Equity Cash'!$H:$H,'Daily BSE Equity Cash'!$A:$A,$A700))</f>
        <v>26.9129</v>
      </c>
      <c r="G700" s="4">
        <f t="shared" si="90"/>
        <v>486.86859999999996</v>
      </c>
      <c r="H700" s="7">
        <f t="shared" si="91"/>
        <v>-0.27589875522879004</v>
      </c>
      <c r="I700" s="7">
        <f t="shared" si="92"/>
        <v>-0.42464789936805747</v>
      </c>
      <c r="J700" s="7">
        <f t="shared" si="93"/>
        <v>-0.28610124408803417</v>
      </c>
      <c r="K700" s="7">
        <f t="shared" si="96"/>
        <v>0.10649340839288723</v>
      </c>
      <c r="L700" s="7">
        <f t="shared" si="97"/>
        <v>-0.10065497076023389</v>
      </c>
      <c r="M700" s="7">
        <f t="shared" si="98"/>
        <v>9.2582415178023236E-2</v>
      </c>
      <c r="N700" s="7">
        <f t="shared" si="94"/>
        <v>0.94472245694218115</v>
      </c>
      <c r="O700" s="7">
        <f t="shared" si="95"/>
        <v>5.5277543057818894E-2</v>
      </c>
    </row>
    <row r="701" spans="1:15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4">
        <f>IF(SUMIFS('Daily NSE Equity Cash'!$H:$H,'Daily NSE Equity Cash'!$A:$A,$A701)=0,"",SUMIFS('Daily NSE Equity Cash'!$H:$H,'Daily NSE Equity Cash'!$A:$A,$A701))</f>
        <v>422.6687</v>
      </c>
      <c r="F701" s="4">
        <f>IF(SUMIFS('Daily BSE Equity Cash'!$H:$H,'Daily BSE Equity Cash'!$A:$A,$A701)=0,"",SUMIFS('Daily BSE Equity Cash'!$H:$H,'Daily BSE Equity Cash'!$A:$A,$A701))</f>
        <v>27.259499999999999</v>
      </c>
      <c r="G701" s="4">
        <f t="shared" si="90"/>
        <v>449.9282</v>
      </c>
      <c r="H701" s="7" t="str">
        <f t="shared" si="91"/>
        <v/>
      </c>
      <c r="I701" s="7" t="str">
        <f t="shared" si="92"/>
        <v/>
      </c>
      <c r="J701" s="7" t="str">
        <f t="shared" si="93"/>
        <v/>
      </c>
      <c r="K701" s="7">
        <f t="shared" si="96"/>
        <v>-8.1066502708847743E-2</v>
      </c>
      <c r="L701" s="7">
        <f t="shared" si="97"/>
        <v>1.2878582389857618E-2</v>
      </c>
      <c r="M701" s="7">
        <f t="shared" si="98"/>
        <v>-7.5873449222233602E-2</v>
      </c>
      <c r="N701" s="7">
        <f t="shared" si="94"/>
        <v>0.93941366644722424</v>
      </c>
      <c r="O701" s="7">
        <f t="shared" si="95"/>
        <v>6.0586333552775755E-2</v>
      </c>
    </row>
    <row r="702" spans="1:15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4">
        <f>IF(SUMIFS('Daily NSE Equity Cash'!$H:$H,'Daily NSE Equity Cash'!$A:$A,$A702)=0,"",SUMIFS('Daily NSE Equity Cash'!$H:$H,'Daily NSE Equity Cash'!$A:$A,$A702))</f>
        <v>445.90460000000002</v>
      </c>
      <c r="F702" s="4">
        <f>IF(SUMIFS('Daily BSE Equity Cash'!$H:$H,'Daily BSE Equity Cash'!$A:$A,$A702)=0,"",SUMIFS('Daily BSE Equity Cash'!$H:$H,'Daily BSE Equity Cash'!$A:$A,$A702))</f>
        <v>29.474900000000002</v>
      </c>
      <c r="G702" s="4">
        <f t="shared" si="90"/>
        <v>475.37950000000001</v>
      </c>
      <c r="H702" s="7">
        <f t="shared" si="91"/>
        <v>-0.39897094211512329</v>
      </c>
      <c r="I702" s="7">
        <f t="shared" si="92"/>
        <v>-0.52572593543736335</v>
      </c>
      <c r="J702" s="7">
        <f t="shared" si="93"/>
        <v>-0.40876821856570233</v>
      </c>
      <c r="K702" s="7">
        <f t="shared" si="96"/>
        <v>5.4974262347791569E-2</v>
      </c>
      <c r="L702" s="7">
        <f t="shared" si="97"/>
        <v>8.1270749646912277E-2</v>
      </c>
      <c r="M702" s="7">
        <f t="shared" si="98"/>
        <v>5.6567470098562334E-2</v>
      </c>
      <c r="N702" s="7">
        <f t="shared" si="94"/>
        <v>0.93799711598838409</v>
      </c>
      <c r="O702" s="7">
        <f t="shared" si="95"/>
        <v>6.2002884011615987E-2</v>
      </c>
    </row>
    <row r="703" spans="1:15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4">
        <f>IF(SUMIFS('Daily NSE Equity Cash'!$H:$H,'Daily NSE Equity Cash'!$A:$A,$A703)=0,"",SUMIFS('Daily NSE Equity Cash'!$H:$H,'Daily NSE Equity Cash'!$A:$A,$A703))</f>
        <v>497.56169999999997</v>
      </c>
      <c r="F703" s="4">
        <f>IF(SUMIFS('Daily BSE Equity Cash'!$H:$H,'Daily BSE Equity Cash'!$A:$A,$A703)=0,"",SUMIFS('Daily BSE Equity Cash'!$H:$H,'Daily BSE Equity Cash'!$A:$A,$A703))</f>
        <v>28.984400000000001</v>
      </c>
      <c r="G703" s="4">
        <f t="shared" si="90"/>
        <v>526.54610000000002</v>
      </c>
      <c r="H703" s="7">
        <f t="shared" si="91"/>
        <v>-0.32190065597805717</v>
      </c>
      <c r="I703" s="7">
        <f t="shared" si="92"/>
        <v>-0.48066403275369329</v>
      </c>
      <c r="J703" s="7">
        <f t="shared" si="93"/>
        <v>-0.33312279674323919</v>
      </c>
      <c r="K703" s="7">
        <f t="shared" si="96"/>
        <v>0.11584787418654119</v>
      </c>
      <c r="L703" s="7">
        <f t="shared" si="97"/>
        <v>-1.6641277833003731E-2</v>
      </c>
      <c r="M703" s="7">
        <f t="shared" si="98"/>
        <v>0.10763316466107598</v>
      </c>
      <c r="N703" s="7">
        <f t="shared" si="94"/>
        <v>0.94495372769829644</v>
      </c>
      <c r="O703" s="7">
        <f t="shared" si="95"/>
        <v>5.5046272301703496E-2</v>
      </c>
    </row>
    <row r="704" spans="1:15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4">
        <f>IF(SUMIFS('Daily NSE Equity Cash'!$H:$H,'Daily NSE Equity Cash'!$A:$A,$A704)=0,"",SUMIFS('Daily NSE Equity Cash'!$H:$H,'Daily NSE Equity Cash'!$A:$A,$A704))</f>
        <v>766.78560000000004</v>
      </c>
      <c r="F704" s="4">
        <f>IF(SUMIFS('Daily BSE Equity Cash'!$H:$H,'Daily BSE Equity Cash'!$A:$A,$A704)=0,"",SUMIFS('Daily BSE Equity Cash'!$H:$H,'Daily BSE Equity Cash'!$A:$A,$A704))</f>
        <v>46.999499999999998</v>
      </c>
      <c r="G704" s="4">
        <f t="shared" si="90"/>
        <v>813.78510000000006</v>
      </c>
      <c r="H704" s="7">
        <f t="shared" si="91"/>
        <v>-4.0326565430982453E-2</v>
      </c>
      <c r="I704" s="7">
        <f t="shared" si="92"/>
        <v>-0.11729574100054663</v>
      </c>
      <c r="J704" s="7">
        <f t="shared" si="93"/>
        <v>-4.5135257577074928E-2</v>
      </c>
      <c r="K704" s="7">
        <f t="shared" si="96"/>
        <v>0.54108646224176837</v>
      </c>
      <c r="L704" s="7">
        <f t="shared" si="97"/>
        <v>0.62154469300727277</v>
      </c>
      <c r="M704" s="7">
        <f t="shared" si="98"/>
        <v>0.54551538792139942</v>
      </c>
      <c r="N704" s="7">
        <f t="shared" si="94"/>
        <v>0.94224580912085998</v>
      </c>
      <c r="O704" s="7">
        <f t="shared" si="95"/>
        <v>5.7754190879139952E-2</v>
      </c>
    </row>
    <row r="705" spans="1:15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4">
        <f>IF(SUMIFS('Daily NSE Equity Cash'!$H:$H,'Daily NSE Equity Cash'!$A:$A,$A705)=0,"",SUMIFS('Daily NSE Equity Cash'!$H:$H,'Daily NSE Equity Cash'!$A:$A,$A705))</f>
        <v>704.73540000000003</v>
      </c>
      <c r="F705" s="4">
        <f>IF(SUMIFS('Daily BSE Equity Cash'!$H:$H,'Daily BSE Equity Cash'!$A:$A,$A705)=0,"",SUMIFS('Daily BSE Equity Cash'!$H:$H,'Daily BSE Equity Cash'!$A:$A,$A705))</f>
        <v>48.343499999999999</v>
      </c>
      <c r="G705" s="4">
        <f t="shared" si="90"/>
        <v>753.07889999999998</v>
      </c>
      <c r="H705" s="7" t="str">
        <f t="shared" si="91"/>
        <v/>
      </c>
      <c r="I705" s="7" t="str">
        <f t="shared" si="92"/>
        <v/>
      </c>
      <c r="J705" s="7" t="str">
        <f t="shared" si="93"/>
        <v/>
      </c>
      <c r="K705" s="7">
        <f t="shared" si="96"/>
        <v>-8.0922489937213182E-2</v>
      </c>
      <c r="L705" s="7">
        <f t="shared" si="97"/>
        <v>2.8596048894137249E-2</v>
      </c>
      <c r="M705" s="7">
        <f t="shared" si="98"/>
        <v>-7.4597335340742976E-2</v>
      </c>
      <c r="N705" s="7">
        <f t="shared" si="94"/>
        <v>0.93580553113359044</v>
      </c>
      <c r="O705" s="7">
        <f t="shared" si="95"/>
        <v>6.4194468866409615E-2</v>
      </c>
    </row>
    <row r="706" spans="1:15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4">
        <f>IF(SUMIFS('Daily NSE Equity Cash'!$H:$H,'Daily NSE Equity Cash'!$A:$A,$A706)=0,"",SUMIFS('Daily NSE Equity Cash'!$H:$H,'Daily NSE Equity Cash'!$A:$A,$A706))</f>
        <v>687.24429999999995</v>
      </c>
      <c r="F706" s="4">
        <f>IF(SUMIFS('Daily BSE Equity Cash'!$H:$H,'Daily BSE Equity Cash'!$A:$A,$A706)=0,"",SUMIFS('Daily BSE Equity Cash'!$H:$H,'Daily BSE Equity Cash'!$A:$A,$A706))</f>
        <v>33.622199999999999</v>
      </c>
      <c r="G706" s="4">
        <f t="shared" ref="G706:G769" si="99">IF(OR(E706="",F706=""),"",E706+F706)</f>
        <v>720.86649999999997</v>
      </c>
      <c r="H706" s="7">
        <f t="shared" ref="H706:H769" si="100">IFERROR(IF(OR(E706="",INDEX(E:E,MATCH(DATE(YEAR($A706)-1,MONTH($A706),DAY($A706)),$A:$A,0))=""),"",E706/INDEX(E:E,MATCH(DATE(YEAR($A706)-1,MONTH($A706),DAY($A706)),$A:$A,0))-1),"")</f>
        <v>0.13678578328622382</v>
      </c>
      <c r="I706" s="7">
        <f t="shared" ref="I706:I769" si="101">IFERROR(IF(OR(F706="",INDEX(F:F,MATCH(DATE(YEAR($A706)-1,MONTH($A706),DAY($A706)),$A:$A,0))=""),"",F706/INDEX(F:F,MATCH(DATE(YEAR($A706)-1,MONTH($A706),DAY($A706)),$A:$A,0))-1),"")</f>
        <v>-0.19618343605510169</v>
      </c>
      <c r="J706" s="7">
        <f t="shared" ref="J706:J769" si="102">IFERROR(IF(OR(G706="",INDEX(G:G,MATCH(DATE(YEAR($A706)-1,MONTH($A706),DAY($A706)),$A:$A,0))=""),"",G706/INDEX(G:G,MATCH(DATE(YEAR($A706)-1,MONTH($A706),DAY($A706)),$A:$A,0))-1),"")</f>
        <v>0.11523880895809357</v>
      </c>
      <c r="K706" s="7">
        <f t="shared" si="96"/>
        <v>-2.4819386112858943E-2</v>
      </c>
      <c r="L706" s="7">
        <f t="shared" si="97"/>
        <v>-0.3045145676254305</v>
      </c>
      <c r="M706" s="7">
        <f t="shared" si="98"/>
        <v>-4.2774269734552339E-2</v>
      </c>
      <c r="N706" s="7">
        <f t="shared" ref="N706:N769" si="103">IF(G706="","",E706/G706)</f>
        <v>0.95335863159128631</v>
      </c>
      <c r="O706" s="7">
        <f t="shared" ref="O706:O769" si="104">IF(G706="","",F706/G706)</f>
        <v>4.6641368408713683E-2</v>
      </c>
    </row>
    <row r="707" spans="1:15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4">
        <f>IF(SUMIFS('Daily NSE Equity Cash'!$H:$H,'Daily NSE Equity Cash'!$A:$A,$A707)=0,"",SUMIFS('Daily NSE Equity Cash'!$H:$H,'Daily NSE Equity Cash'!$A:$A,$A707))</f>
        <v>816.08140000000003</v>
      </c>
      <c r="F707" s="4">
        <f>IF(SUMIFS('Daily BSE Equity Cash'!$H:$H,'Daily BSE Equity Cash'!$A:$A,$A707)=0,"",SUMIFS('Daily BSE Equity Cash'!$H:$H,'Daily BSE Equity Cash'!$A:$A,$A707))</f>
        <v>82.568299999999994</v>
      </c>
      <c r="G707" s="4">
        <f t="shared" si="99"/>
        <v>898.64970000000005</v>
      </c>
      <c r="H707" s="7">
        <f t="shared" si="100"/>
        <v>0.15587354644986773</v>
      </c>
      <c r="I707" s="7">
        <f t="shared" si="101"/>
        <v>0.35263406211399895</v>
      </c>
      <c r="J707" s="7">
        <f t="shared" si="102"/>
        <v>0.17153148215696934</v>
      </c>
      <c r="K707" s="7">
        <f t="shared" ref="K707:K770" si="105">IF(OR(E707="",E706=""),"",E707/E706-1)</f>
        <v>0.18746914306892037</v>
      </c>
      <c r="L707" s="7">
        <f t="shared" ref="L707:L770" si="106">IF(OR(F707="",F706=""),"",F707/F706-1)</f>
        <v>1.4557673204014012</v>
      </c>
      <c r="M707" s="7">
        <f t="shared" ref="M707:M770" si="107">IF(OR(G707="",G706=""),"",G707/G706-1)</f>
        <v>0.24662430560998483</v>
      </c>
      <c r="N707" s="7">
        <f t="shared" si="103"/>
        <v>0.90811959320745339</v>
      </c>
      <c r="O707" s="7">
        <f t="shared" si="104"/>
        <v>9.1880406792546623E-2</v>
      </c>
    </row>
    <row r="708" spans="1:15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4">
        <f>IF(SUMIFS('Daily NSE Equity Cash'!$H:$H,'Daily NSE Equity Cash'!$A:$A,$A708)=0,"",SUMIFS('Daily NSE Equity Cash'!$H:$H,'Daily NSE Equity Cash'!$A:$A,$A708))</f>
        <v>684.14290000000005</v>
      </c>
      <c r="F708" s="4">
        <f>IF(SUMIFS('Daily BSE Equity Cash'!$H:$H,'Daily BSE Equity Cash'!$A:$A,$A708)=0,"",SUMIFS('Daily BSE Equity Cash'!$H:$H,'Daily BSE Equity Cash'!$A:$A,$A708))</f>
        <v>36.521799999999999</v>
      </c>
      <c r="G708" s="4">
        <f t="shared" si="99"/>
        <v>720.66470000000004</v>
      </c>
      <c r="H708" s="7">
        <f t="shared" si="100"/>
        <v>0.13944985727374282</v>
      </c>
      <c r="I708" s="7">
        <f t="shared" si="101"/>
        <v>-0.20534472892319944</v>
      </c>
      <c r="J708" s="7">
        <f t="shared" si="102"/>
        <v>0.11493385257831989</v>
      </c>
      <c r="K708" s="7">
        <f t="shared" si="105"/>
        <v>-0.16167321054002692</v>
      </c>
      <c r="L708" s="7">
        <f t="shared" si="106"/>
        <v>-0.55767770439745035</v>
      </c>
      <c r="M708" s="7">
        <f t="shared" si="107"/>
        <v>-0.19805826452732356</v>
      </c>
      <c r="N708" s="7">
        <f t="shared" si="103"/>
        <v>0.94932206336733294</v>
      </c>
      <c r="O708" s="7">
        <f t="shared" si="104"/>
        <v>5.067793663266703E-2</v>
      </c>
    </row>
    <row r="709" spans="1:15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4">
        <f>IF(SUMIFS('Daily NSE Equity Cash'!$H:$H,'Daily NSE Equity Cash'!$A:$A,$A709)=0,"",SUMIFS('Daily NSE Equity Cash'!$H:$H,'Daily NSE Equity Cash'!$A:$A,$A709))</f>
        <v>630.56380000000001</v>
      </c>
      <c r="F709" s="4">
        <f>IF(SUMIFS('Daily BSE Equity Cash'!$H:$H,'Daily BSE Equity Cash'!$A:$A,$A709)=0,"",SUMIFS('Daily BSE Equity Cash'!$H:$H,'Daily BSE Equity Cash'!$A:$A,$A709))</f>
        <v>40.322600000000001</v>
      </c>
      <c r="G709" s="4">
        <f t="shared" si="99"/>
        <v>670.88639999999998</v>
      </c>
      <c r="H709" s="7">
        <f t="shared" si="100"/>
        <v>9.5077875517265431E-2</v>
      </c>
      <c r="I709" s="7">
        <f t="shared" si="101"/>
        <v>-9.2146174854160656E-2</v>
      </c>
      <c r="J709" s="7">
        <f t="shared" si="102"/>
        <v>8.1670607935711681E-2</v>
      </c>
      <c r="K709" s="7">
        <f t="shared" si="105"/>
        <v>-7.8315655983567267E-2</v>
      </c>
      <c r="L709" s="7">
        <f t="shared" si="106"/>
        <v>0.10406935036060672</v>
      </c>
      <c r="M709" s="7">
        <f t="shared" si="107"/>
        <v>-6.9072760189308635E-2</v>
      </c>
      <c r="N709" s="7">
        <f t="shared" si="103"/>
        <v>0.93989653091790215</v>
      </c>
      <c r="O709" s="7">
        <f t="shared" si="104"/>
        <v>6.0103469082097953E-2</v>
      </c>
    </row>
    <row r="710" spans="1:15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4">
        <f>IF(SUMIFS('Daily NSE Equity Cash'!$H:$H,'Daily NSE Equity Cash'!$A:$A,$A710)=0,"",SUMIFS('Daily NSE Equity Cash'!$H:$H,'Daily NSE Equity Cash'!$A:$A,$A710))</f>
        <v>480.12419999999997</v>
      </c>
      <c r="F710" s="4">
        <f>IF(SUMIFS('Daily BSE Equity Cash'!$H:$H,'Daily BSE Equity Cash'!$A:$A,$A710)=0,"",SUMIFS('Daily BSE Equity Cash'!$H:$H,'Daily BSE Equity Cash'!$A:$A,$A710))</f>
        <v>30.777100000000001</v>
      </c>
      <c r="G710" s="4">
        <f t="shared" si="99"/>
        <v>510.90129999999999</v>
      </c>
      <c r="H710" s="7" t="str">
        <f t="shared" si="100"/>
        <v/>
      </c>
      <c r="I710" s="7" t="str">
        <f t="shared" si="101"/>
        <v/>
      </c>
      <c r="J710" s="7" t="str">
        <f t="shared" si="102"/>
        <v/>
      </c>
      <c r="K710" s="7">
        <f t="shared" si="105"/>
        <v>-0.23857950614989321</v>
      </c>
      <c r="L710" s="7">
        <f t="shared" si="106"/>
        <v>-0.23672828637042254</v>
      </c>
      <c r="M710" s="7">
        <f t="shared" si="107"/>
        <v>-0.2384682414191136</v>
      </c>
      <c r="N710" s="7">
        <f t="shared" si="103"/>
        <v>0.93975920593664564</v>
      </c>
      <c r="O710" s="7">
        <f t="shared" si="104"/>
        <v>6.0240794063354315E-2</v>
      </c>
    </row>
    <row r="711" spans="1:15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4">
        <f>IF(SUMIFS('Daily NSE Equity Cash'!$H:$H,'Daily NSE Equity Cash'!$A:$A,$A711)=0,"",SUMIFS('Daily NSE Equity Cash'!$H:$H,'Daily NSE Equity Cash'!$A:$A,$A711))</f>
        <v>545.1028</v>
      </c>
      <c r="F711" s="4">
        <f>IF(SUMIFS('Daily BSE Equity Cash'!$H:$H,'Daily BSE Equity Cash'!$A:$A,$A711)=0,"",SUMIFS('Daily BSE Equity Cash'!$H:$H,'Daily BSE Equity Cash'!$A:$A,$A711))</f>
        <v>37.209200000000003</v>
      </c>
      <c r="G711" s="4">
        <f t="shared" si="99"/>
        <v>582.31200000000001</v>
      </c>
      <c r="H711" s="7">
        <f t="shared" si="100"/>
        <v>-6.7585266930783927E-2</v>
      </c>
      <c r="I711" s="7">
        <f t="shared" si="101"/>
        <v>-0.27686922925934343</v>
      </c>
      <c r="J711" s="7">
        <f t="shared" si="102"/>
        <v>-8.4515567316668649E-2</v>
      </c>
      <c r="K711" s="7">
        <f t="shared" si="105"/>
        <v>0.13533706486779895</v>
      </c>
      <c r="L711" s="7">
        <f t="shared" si="106"/>
        <v>0.20898980085843055</v>
      </c>
      <c r="M711" s="7">
        <f t="shared" si="107"/>
        <v>0.13977396416881316</v>
      </c>
      <c r="N711" s="7">
        <f t="shared" si="103"/>
        <v>0.93610092184258609</v>
      </c>
      <c r="O711" s="7">
        <f t="shared" si="104"/>
        <v>6.3899078157413899E-2</v>
      </c>
    </row>
    <row r="712" spans="1:15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4">
        <f>IF(SUMIFS('Daily NSE Equity Cash'!$H:$H,'Daily NSE Equity Cash'!$A:$A,$A712)=0,"",SUMIFS('Daily NSE Equity Cash'!$H:$H,'Daily NSE Equity Cash'!$A:$A,$A712))</f>
        <v>527.38329999999996</v>
      </c>
      <c r="F712" s="4">
        <f>IF(SUMIFS('Daily BSE Equity Cash'!$H:$H,'Daily BSE Equity Cash'!$A:$A,$A712)=0,"",SUMIFS('Daily BSE Equity Cash'!$H:$H,'Daily BSE Equity Cash'!$A:$A,$A712))</f>
        <v>34.201900000000002</v>
      </c>
      <c r="G712" s="4">
        <f t="shared" si="99"/>
        <v>561.58519999999999</v>
      </c>
      <c r="H712" s="7">
        <f t="shared" si="100"/>
        <v>-0.15742644901996994</v>
      </c>
      <c r="I712" s="7">
        <f t="shared" si="101"/>
        <v>-0.31473125733817942</v>
      </c>
      <c r="J712" s="7">
        <f t="shared" si="102"/>
        <v>-0.16904344851322028</v>
      </c>
      <c r="K712" s="7">
        <f t="shared" si="105"/>
        <v>-3.2506712495331214E-2</v>
      </c>
      <c r="L712" s="7">
        <f t="shared" si="106"/>
        <v>-8.0821409758876861E-2</v>
      </c>
      <c r="M712" s="7">
        <f t="shared" si="107"/>
        <v>-3.5593977111926245E-2</v>
      </c>
      <c r="N712" s="7">
        <f t="shared" si="103"/>
        <v>0.93909757593326881</v>
      </c>
      <c r="O712" s="7">
        <f t="shared" si="104"/>
        <v>6.090242406673111E-2</v>
      </c>
    </row>
    <row r="713" spans="1:15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4">
        <f>IF(SUMIFS('Daily NSE Equity Cash'!$H:$H,'Daily NSE Equity Cash'!$A:$A,$A713)=0,"",SUMIFS('Daily NSE Equity Cash'!$H:$H,'Daily NSE Equity Cash'!$A:$A,$A713))</f>
        <v>501.4914</v>
      </c>
      <c r="F713" s="4">
        <f>IF(SUMIFS('Daily BSE Equity Cash'!$H:$H,'Daily BSE Equity Cash'!$A:$A,$A713)=0,"",SUMIFS('Daily BSE Equity Cash'!$H:$H,'Daily BSE Equity Cash'!$A:$A,$A713))</f>
        <v>30.922599999999999</v>
      </c>
      <c r="G713" s="4">
        <f t="shared" si="99"/>
        <v>532.41399999999999</v>
      </c>
      <c r="H713" s="7">
        <f t="shared" si="100"/>
        <v>-4.7660518480355352E-2</v>
      </c>
      <c r="I713" s="7">
        <f t="shared" si="101"/>
        <v>-0.2228667072122561</v>
      </c>
      <c r="J713" s="7">
        <f t="shared" si="102"/>
        <v>-5.9969508077181488E-2</v>
      </c>
      <c r="K713" s="7">
        <f t="shared" si="105"/>
        <v>-4.9095032019405904E-2</v>
      </c>
      <c r="L713" s="7">
        <f t="shared" si="106"/>
        <v>-9.588063821015802E-2</v>
      </c>
      <c r="M713" s="7">
        <f t="shared" si="107"/>
        <v>-5.1944388847854239E-2</v>
      </c>
      <c r="N713" s="7">
        <f t="shared" si="103"/>
        <v>0.94192000961657663</v>
      </c>
      <c r="O713" s="7">
        <f t="shared" si="104"/>
        <v>5.8079990383423423E-2</v>
      </c>
    </row>
    <row r="714" spans="1:15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4">
        <f>IF(SUMIFS('Daily NSE Equity Cash'!$H:$H,'Daily NSE Equity Cash'!$A:$A,$A714)=0,"",SUMIFS('Daily NSE Equity Cash'!$H:$H,'Daily NSE Equity Cash'!$A:$A,$A714))</f>
        <v>462.51519999999999</v>
      </c>
      <c r="F714" s="4">
        <f>IF(SUMIFS('Daily BSE Equity Cash'!$H:$H,'Daily BSE Equity Cash'!$A:$A,$A714)=0,"",SUMIFS('Daily BSE Equity Cash'!$H:$H,'Daily BSE Equity Cash'!$A:$A,$A714))</f>
        <v>29.182700000000001</v>
      </c>
      <c r="G714" s="4">
        <f t="shared" si="99"/>
        <v>491.6979</v>
      </c>
      <c r="H714" s="7">
        <f t="shared" si="100"/>
        <v>-0.20773119314159294</v>
      </c>
      <c r="I714" s="7">
        <f t="shared" si="101"/>
        <v>-0.44021522289572623</v>
      </c>
      <c r="J714" s="7">
        <f t="shared" si="102"/>
        <v>-0.22679003902549022</v>
      </c>
      <c r="K714" s="7">
        <f t="shared" si="105"/>
        <v>-7.7720575068685127E-2</v>
      </c>
      <c r="L714" s="7">
        <f t="shared" si="106"/>
        <v>-5.6266290674134689E-2</v>
      </c>
      <c r="M714" s="7">
        <f t="shared" si="107"/>
        <v>-7.6474510437366416E-2</v>
      </c>
      <c r="N714" s="7">
        <f t="shared" si="103"/>
        <v>0.94064912622160879</v>
      </c>
      <c r="O714" s="7">
        <f t="shared" si="104"/>
        <v>5.9350873778391162E-2</v>
      </c>
    </row>
    <row r="715" spans="1:15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4">
        <f>IF(SUMIFS('Daily NSE Equity Cash'!$H:$H,'Daily NSE Equity Cash'!$A:$A,$A715)=0,"",SUMIFS('Daily NSE Equity Cash'!$H:$H,'Daily NSE Equity Cash'!$A:$A,$A715))</f>
        <v>458.40089999999998</v>
      </c>
      <c r="F715" s="4">
        <f>IF(SUMIFS('Daily BSE Equity Cash'!$H:$H,'Daily BSE Equity Cash'!$A:$A,$A715)=0,"",SUMIFS('Daily BSE Equity Cash'!$H:$H,'Daily BSE Equity Cash'!$A:$A,$A715))</f>
        <v>28.757899999999999</v>
      </c>
      <c r="G715" s="4">
        <f t="shared" si="99"/>
        <v>487.15879999999999</v>
      </c>
      <c r="H715" s="7" t="str">
        <f t="shared" si="100"/>
        <v/>
      </c>
      <c r="I715" s="7" t="str">
        <f t="shared" si="101"/>
        <v/>
      </c>
      <c r="J715" s="7" t="str">
        <f t="shared" si="102"/>
        <v/>
      </c>
      <c r="K715" s="7">
        <f t="shared" si="105"/>
        <v>-8.8954914346599523E-3</v>
      </c>
      <c r="L715" s="7">
        <f t="shared" si="106"/>
        <v>-1.4556569474380443E-2</v>
      </c>
      <c r="M715" s="7">
        <f t="shared" si="107"/>
        <v>-9.2314813628450176E-3</v>
      </c>
      <c r="N715" s="7">
        <f t="shared" si="103"/>
        <v>0.94096811963573268</v>
      </c>
      <c r="O715" s="7">
        <f t="shared" si="104"/>
        <v>5.9031880364267257E-2</v>
      </c>
    </row>
    <row r="716" spans="1:15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4">
        <f>IF(SUMIFS('Daily NSE Equity Cash'!$H:$H,'Daily NSE Equity Cash'!$A:$A,$A716)=0,"",SUMIFS('Daily NSE Equity Cash'!$H:$H,'Daily NSE Equity Cash'!$A:$A,$A716))</f>
        <v>446.24979999999999</v>
      </c>
      <c r="F716" s="4">
        <f>IF(SUMIFS('Daily BSE Equity Cash'!$H:$H,'Daily BSE Equity Cash'!$A:$A,$A716)=0,"",SUMIFS('Daily BSE Equity Cash'!$H:$H,'Daily BSE Equity Cash'!$A:$A,$A716))</f>
        <v>30.977399999999999</v>
      </c>
      <c r="G716" s="4">
        <f t="shared" si="99"/>
        <v>477.22719999999998</v>
      </c>
      <c r="H716" s="7">
        <f t="shared" si="100"/>
        <v>-0.28485150545836835</v>
      </c>
      <c r="I716" s="7">
        <f t="shared" si="101"/>
        <v>-0.40779301221218767</v>
      </c>
      <c r="J716" s="7">
        <f t="shared" si="102"/>
        <v>-0.29436035016185025</v>
      </c>
      <c r="K716" s="7">
        <f t="shared" si="105"/>
        <v>-2.6507583209369745E-2</v>
      </c>
      <c r="L716" s="7">
        <f t="shared" si="106"/>
        <v>7.7178792610030689E-2</v>
      </c>
      <c r="M716" s="7">
        <f t="shared" si="107"/>
        <v>-2.0386781476594451E-2</v>
      </c>
      <c r="N716" s="7">
        <f t="shared" si="103"/>
        <v>0.9350887795163394</v>
      </c>
      <c r="O716" s="7">
        <f t="shared" si="104"/>
        <v>6.4911220483660617E-2</v>
      </c>
    </row>
    <row r="717" spans="1:15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4">
        <f>IF(SUMIFS('Daily NSE Equity Cash'!$H:$H,'Daily NSE Equity Cash'!$A:$A,$A717)=0,"",SUMIFS('Daily NSE Equity Cash'!$H:$H,'Daily NSE Equity Cash'!$A:$A,$A717))</f>
        <v>450.65550000000002</v>
      </c>
      <c r="F717" s="4">
        <f>IF(SUMIFS('Daily BSE Equity Cash'!$H:$H,'Daily BSE Equity Cash'!$A:$A,$A717)=0,"",SUMIFS('Daily BSE Equity Cash'!$H:$H,'Daily BSE Equity Cash'!$A:$A,$A717))</f>
        <v>23.583300000000001</v>
      </c>
      <c r="G717" s="4">
        <f t="shared" si="99"/>
        <v>474.23880000000003</v>
      </c>
      <c r="H717" s="7">
        <f t="shared" si="100"/>
        <v>-0.26416696029962639</v>
      </c>
      <c r="I717" s="7">
        <f t="shared" si="101"/>
        <v>-0.66088809578930263</v>
      </c>
      <c r="J717" s="7">
        <f t="shared" si="102"/>
        <v>-0.30462183364519169</v>
      </c>
      <c r="K717" s="7">
        <f t="shared" si="105"/>
        <v>9.8727215115839151E-3</v>
      </c>
      <c r="L717" s="7">
        <f t="shared" si="106"/>
        <v>-0.23869337000522961</v>
      </c>
      <c r="M717" s="7">
        <f t="shared" si="107"/>
        <v>-6.2620068596256351E-3</v>
      </c>
      <c r="N717" s="7">
        <f t="shared" si="103"/>
        <v>0.95027125574710458</v>
      </c>
      <c r="O717" s="7">
        <f t="shared" si="104"/>
        <v>4.9728744252895377E-2</v>
      </c>
    </row>
    <row r="718" spans="1:15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4">
        <f>IF(SUMIFS('Daily NSE Equity Cash'!$H:$H,'Daily NSE Equity Cash'!$A:$A,$A718)=0,"",SUMIFS('Daily NSE Equity Cash'!$H:$H,'Daily NSE Equity Cash'!$A:$A,$A718))</f>
        <v>486.68579999999997</v>
      </c>
      <c r="F718" s="4">
        <f>IF(SUMIFS('Daily BSE Equity Cash'!$H:$H,'Daily BSE Equity Cash'!$A:$A,$A718)=0,"",SUMIFS('Daily BSE Equity Cash'!$H:$H,'Daily BSE Equity Cash'!$A:$A,$A718))</f>
        <v>60.293100000000003</v>
      </c>
      <c r="G718" s="4">
        <f t="shared" si="99"/>
        <v>546.97889999999995</v>
      </c>
      <c r="H718" s="7">
        <f t="shared" si="100"/>
        <v>-0.12049227846673849</v>
      </c>
      <c r="I718" s="7">
        <f t="shared" si="101"/>
        <v>0.48055899339934016</v>
      </c>
      <c r="J718" s="7">
        <f t="shared" si="102"/>
        <v>-7.9291542217542088E-2</v>
      </c>
      <c r="K718" s="7">
        <f t="shared" si="105"/>
        <v>7.9950871563755355E-2</v>
      </c>
      <c r="L718" s="7">
        <f t="shared" si="106"/>
        <v>1.5566014934296728</v>
      </c>
      <c r="M718" s="7">
        <f t="shared" si="107"/>
        <v>0.15338285268940433</v>
      </c>
      <c r="N718" s="7">
        <f t="shared" si="103"/>
        <v>0.88977070230679833</v>
      </c>
      <c r="O718" s="7">
        <f t="shared" si="104"/>
        <v>0.11022929769320171</v>
      </c>
    </row>
    <row r="719" spans="1:15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4">
        <f>IF(SUMIFS('Daily NSE Equity Cash'!$H:$H,'Daily NSE Equity Cash'!$A:$A,$A719)=0,"",SUMIFS('Daily NSE Equity Cash'!$H:$H,'Daily NSE Equity Cash'!$A:$A,$A719))</f>
        <v>415.3229</v>
      </c>
      <c r="F719" s="4">
        <f>IF(SUMIFS('Daily BSE Equity Cash'!$H:$H,'Daily BSE Equity Cash'!$A:$A,$A719)=0,"",SUMIFS('Daily BSE Equity Cash'!$H:$H,'Daily BSE Equity Cash'!$A:$A,$A719))</f>
        <v>28.895</v>
      </c>
      <c r="G719" s="4">
        <f t="shared" si="99"/>
        <v>444.21789999999999</v>
      </c>
      <c r="H719" s="7">
        <f t="shared" si="100"/>
        <v>-0.11289530904912237</v>
      </c>
      <c r="I719" s="7">
        <f t="shared" si="101"/>
        <v>-0.14607080268457961</v>
      </c>
      <c r="J719" s="7">
        <f t="shared" si="102"/>
        <v>-0.11513145903604205</v>
      </c>
      <c r="K719" s="7">
        <f t="shared" si="105"/>
        <v>-0.14663033110890022</v>
      </c>
      <c r="L719" s="7">
        <f t="shared" si="106"/>
        <v>-0.52075776498471638</v>
      </c>
      <c r="M719" s="7">
        <f t="shared" si="107"/>
        <v>-0.18787013539279118</v>
      </c>
      <c r="N719" s="7">
        <f t="shared" si="103"/>
        <v>0.93495309396582171</v>
      </c>
      <c r="O719" s="7">
        <f t="shared" si="104"/>
        <v>6.5046906034178273E-2</v>
      </c>
    </row>
    <row r="720" spans="1:15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4">
        <f>IF(SUMIFS('Daily NSE Equity Cash'!$H:$H,'Daily NSE Equity Cash'!$A:$A,$A720)=0,"",SUMIFS('Daily NSE Equity Cash'!$H:$H,'Daily NSE Equity Cash'!$A:$A,$A720))</f>
        <v>394.66910000000001</v>
      </c>
      <c r="F720" s="4">
        <f>IF(SUMIFS('Daily BSE Equity Cash'!$H:$H,'Daily BSE Equity Cash'!$A:$A,$A720)=0,"",SUMIFS('Daily BSE Equity Cash'!$H:$H,'Daily BSE Equity Cash'!$A:$A,$A720))</f>
        <v>27.104299999999999</v>
      </c>
      <c r="G720" s="4">
        <f t="shared" si="99"/>
        <v>421.77340000000004</v>
      </c>
      <c r="H720" s="7" t="str">
        <f t="shared" si="100"/>
        <v/>
      </c>
      <c r="I720" s="7" t="str">
        <f t="shared" si="101"/>
        <v/>
      </c>
      <c r="J720" s="7" t="str">
        <f t="shared" si="102"/>
        <v/>
      </c>
      <c r="K720" s="7">
        <f t="shared" si="105"/>
        <v>-4.9729499625472129E-2</v>
      </c>
      <c r="L720" s="7">
        <f t="shared" si="106"/>
        <v>-6.1972659629693783E-2</v>
      </c>
      <c r="M720" s="7">
        <f t="shared" si="107"/>
        <v>-5.0525879303828014E-2</v>
      </c>
      <c r="N720" s="7">
        <f t="shared" si="103"/>
        <v>0.93573729400668693</v>
      </c>
      <c r="O720" s="7">
        <f t="shared" si="104"/>
        <v>6.4262705993312991E-2</v>
      </c>
    </row>
    <row r="721" spans="1:15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4">
        <f>IF(SUMIFS('Daily NSE Equity Cash'!$H:$H,'Daily NSE Equity Cash'!$A:$A,$A721)=0,"",SUMIFS('Daily NSE Equity Cash'!$H:$H,'Daily NSE Equity Cash'!$A:$A,$A721))</f>
        <v>397.53989999999999</v>
      </c>
      <c r="F721" s="4">
        <f>IF(SUMIFS('Daily BSE Equity Cash'!$H:$H,'Daily BSE Equity Cash'!$A:$A,$A721)=0,"",SUMIFS('Daily BSE Equity Cash'!$H:$H,'Daily BSE Equity Cash'!$A:$A,$A721))</f>
        <v>23.717099999999999</v>
      </c>
      <c r="G721" s="4">
        <f t="shared" si="99"/>
        <v>421.25700000000001</v>
      </c>
      <c r="H721" s="7">
        <f t="shared" si="100"/>
        <v>-0.17268365307895206</v>
      </c>
      <c r="I721" s="7">
        <f t="shared" si="101"/>
        <v>-0.45239502569809709</v>
      </c>
      <c r="J721" s="7">
        <f t="shared" si="102"/>
        <v>-0.1958104568675213</v>
      </c>
      <c r="K721" s="7">
        <f t="shared" si="105"/>
        <v>7.2739416387044287E-3</v>
      </c>
      <c r="L721" s="7">
        <f t="shared" si="106"/>
        <v>-0.12496910084377755</v>
      </c>
      <c r="M721" s="7">
        <f t="shared" si="107"/>
        <v>-1.2243541200085417E-3</v>
      </c>
      <c r="N721" s="7">
        <f t="shared" si="103"/>
        <v>0.94369921449376504</v>
      </c>
      <c r="O721" s="7">
        <f t="shared" si="104"/>
        <v>5.6300785506234907E-2</v>
      </c>
    </row>
    <row r="722" spans="1:15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4">
        <f>IF(SUMIFS('Daily NSE Equity Cash'!$H:$H,'Daily NSE Equity Cash'!$A:$A,$A722)=0,"",SUMIFS('Daily NSE Equity Cash'!$H:$H,'Daily NSE Equity Cash'!$A:$A,$A722))</f>
        <v>417.8843</v>
      </c>
      <c r="F722" s="4">
        <f>IF(SUMIFS('Daily BSE Equity Cash'!$H:$H,'Daily BSE Equity Cash'!$A:$A,$A722)=0,"",SUMIFS('Daily BSE Equity Cash'!$H:$H,'Daily BSE Equity Cash'!$A:$A,$A722))</f>
        <v>26.904900000000001</v>
      </c>
      <c r="G722" s="4">
        <f t="shared" si="99"/>
        <v>444.78919999999999</v>
      </c>
      <c r="H722" s="7">
        <f t="shared" si="100"/>
        <v>-0.27053820208753654</v>
      </c>
      <c r="I722" s="7">
        <f t="shared" si="101"/>
        <v>-0.5438378460860277</v>
      </c>
      <c r="J722" s="7">
        <f t="shared" si="102"/>
        <v>-0.29604987025352314</v>
      </c>
      <c r="K722" s="7">
        <f t="shared" si="105"/>
        <v>5.1175743617181579E-2</v>
      </c>
      <c r="L722" s="7">
        <f t="shared" si="106"/>
        <v>0.13440935021566736</v>
      </c>
      <c r="M722" s="7">
        <f t="shared" si="107"/>
        <v>5.5861861049193218E-2</v>
      </c>
      <c r="N722" s="7">
        <f t="shared" si="103"/>
        <v>0.93951089639766439</v>
      </c>
      <c r="O722" s="7">
        <f t="shared" si="104"/>
        <v>6.048910360233567E-2</v>
      </c>
    </row>
    <row r="723" spans="1:15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4">
        <f>IF(SUMIFS('Daily NSE Equity Cash'!$H:$H,'Daily NSE Equity Cash'!$A:$A,$A723)=0,"",SUMIFS('Daily NSE Equity Cash'!$H:$H,'Daily NSE Equity Cash'!$A:$A,$A723))</f>
        <v>450.47039999999998</v>
      </c>
      <c r="F723" s="4">
        <f>IF(SUMIFS('Daily BSE Equity Cash'!$H:$H,'Daily BSE Equity Cash'!$A:$A,$A723)=0,"",SUMIFS('Daily BSE Equity Cash'!$H:$H,'Daily BSE Equity Cash'!$A:$A,$A723))</f>
        <v>26.92</v>
      </c>
      <c r="G723" s="4">
        <f t="shared" si="99"/>
        <v>477.3904</v>
      </c>
      <c r="H723" s="7">
        <f t="shared" si="100"/>
        <v>2.0801480996042176E-3</v>
      </c>
      <c r="I723" s="7">
        <f t="shared" si="101"/>
        <v>-0.2116760960982067</v>
      </c>
      <c r="J723" s="7">
        <f t="shared" si="102"/>
        <v>-1.3011188923670591E-2</v>
      </c>
      <c r="K723" s="7">
        <f t="shared" si="105"/>
        <v>7.797876110684232E-2</v>
      </c>
      <c r="L723" s="7">
        <f t="shared" si="106"/>
        <v>5.6123605737257165E-4</v>
      </c>
      <c r="M723" s="7">
        <f t="shared" si="107"/>
        <v>7.3295844413488576E-2</v>
      </c>
      <c r="N723" s="7">
        <f t="shared" si="103"/>
        <v>0.94361009354188941</v>
      </c>
      <c r="O723" s="7">
        <f t="shared" si="104"/>
        <v>5.6389906458110602E-2</v>
      </c>
    </row>
    <row r="724" spans="1:15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4">
        <f>IF(SUMIFS('Daily NSE Equity Cash'!$H:$H,'Daily NSE Equity Cash'!$A:$A,$A724)=0,"",SUMIFS('Daily NSE Equity Cash'!$H:$H,'Daily NSE Equity Cash'!$A:$A,$A724))</f>
        <v>396.91230000000002</v>
      </c>
      <c r="F724" s="4">
        <f>IF(SUMIFS('Daily BSE Equity Cash'!$H:$H,'Daily BSE Equity Cash'!$A:$A,$A724)=0,"",SUMIFS('Daily BSE Equity Cash'!$H:$H,'Daily BSE Equity Cash'!$A:$A,$A724))</f>
        <v>57.027000000000001</v>
      </c>
      <c r="G724" s="4">
        <f t="shared" si="99"/>
        <v>453.9393</v>
      </c>
      <c r="H724" s="7">
        <f t="shared" si="100"/>
        <v>-0.5336723043299576</v>
      </c>
      <c r="I724" s="7">
        <f t="shared" si="101"/>
        <v>-0.14611321071135519</v>
      </c>
      <c r="J724" s="7">
        <f t="shared" si="102"/>
        <v>-0.50547492847492259</v>
      </c>
      <c r="K724" s="7">
        <f t="shared" si="105"/>
        <v>-0.11889371643508651</v>
      </c>
      <c r="L724" s="7">
        <f t="shared" si="106"/>
        <v>1.1183878157503715</v>
      </c>
      <c r="M724" s="7">
        <f t="shared" si="107"/>
        <v>-4.9123526572800835E-2</v>
      </c>
      <c r="N724" s="7">
        <f t="shared" si="103"/>
        <v>0.87437307146572241</v>
      </c>
      <c r="O724" s="7">
        <f t="shared" si="104"/>
        <v>0.12562692853427759</v>
      </c>
    </row>
    <row r="725" spans="1:15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4">
        <f>IF(SUMIFS('Daily NSE Equity Cash'!$H:$H,'Daily NSE Equity Cash'!$A:$A,$A725)=0,"",SUMIFS('Daily NSE Equity Cash'!$H:$H,'Daily NSE Equity Cash'!$A:$A,$A725))</f>
        <v>403.26819999999998</v>
      </c>
      <c r="F725" s="4">
        <f>IF(SUMIFS('Daily BSE Equity Cash'!$H:$H,'Daily BSE Equity Cash'!$A:$A,$A725)=0,"",SUMIFS('Daily BSE Equity Cash'!$H:$H,'Daily BSE Equity Cash'!$A:$A,$A725))</f>
        <v>25.789899999999999</v>
      </c>
      <c r="G725" s="4">
        <f t="shared" si="99"/>
        <v>429.05809999999997</v>
      </c>
      <c r="H725" s="7" t="str">
        <f t="shared" si="100"/>
        <v/>
      </c>
      <c r="I725" s="7" t="str">
        <f t="shared" si="101"/>
        <v/>
      </c>
      <c r="J725" s="7" t="str">
        <f t="shared" si="102"/>
        <v/>
      </c>
      <c r="K725" s="7">
        <f t="shared" si="105"/>
        <v>1.6013361137964033E-2</v>
      </c>
      <c r="L725" s="7">
        <f t="shared" si="106"/>
        <v>-0.54775983306153231</v>
      </c>
      <c r="M725" s="7">
        <f t="shared" si="107"/>
        <v>-5.4811733639277382E-2</v>
      </c>
      <c r="N725" s="7">
        <f t="shared" si="103"/>
        <v>0.93989182350828482</v>
      </c>
      <c r="O725" s="7">
        <f t="shared" si="104"/>
        <v>6.010817649171523E-2</v>
      </c>
    </row>
    <row r="726" spans="1:15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4">
        <f>IF(SUMIFS('Daily NSE Equity Cash'!$H:$H,'Daily NSE Equity Cash'!$A:$A,$A726)=0,"",SUMIFS('Daily NSE Equity Cash'!$H:$H,'Daily NSE Equity Cash'!$A:$A,$A726))</f>
        <v>684.50480000000005</v>
      </c>
      <c r="F726" s="4">
        <f>IF(SUMIFS('Daily BSE Equity Cash'!$H:$H,'Daily BSE Equity Cash'!$A:$A,$A726)=0,"",SUMIFS('Daily BSE Equity Cash'!$H:$H,'Daily BSE Equity Cash'!$A:$A,$A726))</f>
        <v>28.9133</v>
      </c>
      <c r="G726" s="4">
        <f t="shared" si="99"/>
        <v>713.41810000000009</v>
      </c>
      <c r="H726" s="7">
        <f t="shared" si="100"/>
        <v>-1.3375905612230121E-2</v>
      </c>
      <c r="I726" s="7">
        <f t="shared" si="101"/>
        <v>-0.25835378976178203</v>
      </c>
      <c r="J726" s="7">
        <f t="shared" si="102"/>
        <v>-2.6409374509140049E-2</v>
      </c>
      <c r="K726" s="7">
        <f t="shared" si="105"/>
        <v>0.69739344684257287</v>
      </c>
      <c r="L726" s="7">
        <f t="shared" si="106"/>
        <v>0.12110942655845891</v>
      </c>
      <c r="M726" s="7">
        <f t="shared" si="107"/>
        <v>0.66275406524198033</v>
      </c>
      <c r="N726" s="7">
        <f t="shared" si="103"/>
        <v>0.95947215244468842</v>
      </c>
      <c r="O726" s="7">
        <f t="shared" si="104"/>
        <v>4.0527847555311532E-2</v>
      </c>
    </row>
    <row r="727" spans="1:15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4">
        <f>IF(SUMIFS('Daily NSE Equity Cash'!$H:$H,'Daily NSE Equity Cash'!$A:$A,$A727)=0,"",SUMIFS('Daily NSE Equity Cash'!$H:$H,'Daily NSE Equity Cash'!$A:$A,$A727))</f>
        <v>437.19510000000002</v>
      </c>
      <c r="F727" s="4">
        <f>IF(SUMIFS('Daily BSE Equity Cash'!$H:$H,'Daily BSE Equity Cash'!$A:$A,$A727)=0,"",SUMIFS('Daily BSE Equity Cash'!$H:$H,'Daily BSE Equity Cash'!$A:$A,$A727))</f>
        <v>36.6282</v>
      </c>
      <c r="G727" s="4">
        <f t="shared" si="99"/>
        <v>473.82330000000002</v>
      </c>
      <c r="H727" s="7" t="str">
        <f t="shared" si="100"/>
        <v/>
      </c>
      <c r="I727" s="7" t="str">
        <f t="shared" si="101"/>
        <v/>
      </c>
      <c r="J727" s="7" t="str">
        <f t="shared" si="102"/>
        <v/>
      </c>
      <c r="K727" s="7">
        <f t="shared" si="105"/>
        <v>-0.3612972472946866</v>
      </c>
      <c r="L727" s="7">
        <f t="shared" si="106"/>
        <v>0.26682876046663639</v>
      </c>
      <c r="M727" s="7">
        <f t="shared" si="107"/>
        <v>-0.3358406522066093</v>
      </c>
      <c r="N727" s="7">
        <f t="shared" si="103"/>
        <v>0.92269649888471084</v>
      </c>
      <c r="O727" s="7">
        <f t="shared" si="104"/>
        <v>7.7303501115289178E-2</v>
      </c>
    </row>
    <row r="728" spans="1:15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4">
        <f>IF(SUMIFS('Daily NSE Equity Cash'!$H:$H,'Daily NSE Equity Cash'!$A:$A,$A728)=0,"",SUMIFS('Daily NSE Equity Cash'!$H:$H,'Daily NSE Equity Cash'!$A:$A,$A728))</f>
        <v>538.97490000000005</v>
      </c>
      <c r="F728" s="4">
        <f>IF(SUMIFS('Daily BSE Equity Cash'!$H:$H,'Daily BSE Equity Cash'!$A:$A,$A728)=0,"",SUMIFS('Daily BSE Equity Cash'!$H:$H,'Daily BSE Equity Cash'!$A:$A,$A728))</f>
        <v>80.978800000000007</v>
      </c>
      <c r="G728" s="4">
        <f t="shared" si="99"/>
        <v>619.95370000000003</v>
      </c>
      <c r="H728" s="7">
        <f t="shared" si="100"/>
        <v>-0.25723608396627384</v>
      </c>
      <c r="I728" s="7">
        <f t="shared" si="101"/>
        <v>0.70010308261095044</v>
      </c>
      <c r="J728" s="7">
        <f t="shared" si="102"/>
        <v>-0.19826582292067962</v>
      </c>
      <c r="K728" s="7">
        <f t="shared" si="105"/>
        <v>0.23280178574737009</v>
      </c>
      <c r="L728" s="7">
        <f t="shared" si="106"/>
        <v>1.2108320911210488</v>
      </c>
      <c r="M728" s="7">
        <f t="shared" si="107"/>
        <v>0.3084069525496107</v>
      </c>
      <c r="N728" s="7">
        <f t="shared" si="103"/>
        <v>0.86937927783961932</v>
      </c>
      <c r="O728" s="7">
        <f t="shared" si="104"/>
        <v>0.1306207221603807</v>
      </c>
    </row>
    <row r="729" spans="1:15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4">
        <f>IF(SUMIFS('Daily NSE Equity Cash'!$H:$H,'Daily NSE Equity Cash'!$A:$A,$A729)=0,"",SUMIFS('Daily NSE Equity Cash'!$H:$H,'Daily NSE Equity Cash'!$A:$A,$A729))</f>
        <v>511.66649999999998</v>
      </c>
      <c r="F729" s="4">
        <f>IF(SUMIFS('Daily BSE Equity Cash'!$H:$H,'Daily BSE Equity Cash'!$A:$A,$A729)=0,"",SUMIFS('Daily BSE Equity Cash'!$H:$H,'Daily BSE Equity Cash'!$A:$A,$A729))</f>
        <v>34.304699999999997</v>
      </c>
      <c r="G729" s="4">
        <f t="shared" si="99"/>
        <v>545.97119999999995</v>
      </c>
      <c r="H729" s="7">
        <f t="shared" si="100"/>
        <v>-0.21857804575214301</v>
      </c>
      <c r="I729" s="7">
        <f t="shared" si="101"/>
        <v>-0.23444268144904834</v>
      </c>
      <c r="J729" s="7">
        <f t="shared" si="102"/>
        <v>-0.21959419330299323</v>
      </c>
      <c r="K729" s="7">
        <f t="shared" si="105"/>
        <v>-5.0667294525218232E-2</v>
      </c>
      <c r="L729" s="7">
        <f t="shared" si="106"/>
        <v>-0.57637431031331665</v>
      </c>
      <c r="M729" s="7">
        <f t="shared" si="107"/>
        <v>-0.11933552457223828</v>
      </c>
      <c r="N729" s="7">
        <f t="shared" si="103"/>
        <v>0.93716756488254327</v>
      </c>
      <c r="O729" s="7">
        <f t="shared" si="104"/>
        <v>6.2832435117456745E-2</v>
      </c>
    </row>
    <row r="730" spans="1:15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4">
        <f>IF(SUMIFS('Daily NSE Equity Cash'!$H:$H,'Daily NSE Equity Cash'!$A:$A,$A730)=0,"",SUMIFS('Daily NSE Equity Cash'!$H:$H,'Daily NSE Equity Cash'!$A:$A,$A730))</f>
        <v>522.51210000000003</v>
      </c>
      <c r="F730" s="4">
        <f>IF(SUMIFS('Daily BSE Equity Cash'!$H:$H,'Daily BSE Equity Cash'!$A:$A,$A730)=0,"",SUMIFS('Daily BSE Equity Cash'!$H:$H,'Daily BSE Equity Cash'!$A:$A,$A730))</f>
        <v>32.838000000000001</v>
      </c>
      <c r="G730" s="4">
        <f t="shared" si="99"/>
        <v>555.3501</v>
      </c>
      <c r="H730" s="7" t="str">
        <f t="shared" si="100"/>
        <v/>
      </c>
      <c r="I730" s="7" t="str">
        <f t="shared" si="101"/>
        <v/>
      </c>
      <c r="J730" s="7" t="str">
        <f t="shared" si="102"/>
        <v/>
      </c>
      <c r="K730" s="7">
        <f t="shared" si="105"/>
        <v>2.1196619282286555E-2</v>
      </c>
      <c r="L730" s="7">
        <f t="shared" si="106"/>
        <v>-4.2755074377563318E-2</v>
      </c>
      <c r="M730" s="7">
        <f t="shared" si="107"/>
        <v>1.7178378639752578E-2</v>
      </c>
      <c r="N730" s="7">
        <f t="shared" si="103"/>
        <v>0.94086973244445271</v>
      </c>
      <c r="O730" s="7">
        <f t="shared" si="104"/>
        <v>5.9130267555547393E-2</v>
      </c>
    </row>
    <row r="731" spans="1:15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4">
        <f>IF(SUMIFS('Daily NSE Equity Cash'!$H:$H,'Daily NSE Equity Cash'!$A:$A,$A731)=0,"",SUMIFS('Daily NSE Equity Cash'!$H:$H,'Daily NSE Equity Cash'!$A:$A,$A731))</f>
        <v>510.6651</v>
      </c>
      <c r="F731" s="4">
        <f>IF(SUMIFS('Daily BSE Equity Cash'!$H:$H,'Daily BSE Equity Cash'!$A:$A,$A731)=0,"",SUMIFS('Daily BSE Equity Cash'!$H:$H,'Daily BSE Equity Cash'!$A:$A,$A731))</f>
        <v>32.6447</v>
      </c>
      <c r="G731" s="4">
        <f t="shared" si="99"/>
        <v>543.3098</v>
      </c>
      <c r="H731" s="7">
        <f t="shared" si="100"/>
        <v>-0.29688675922639307</v>
      </c>
      <c r="I731" s="7">
        <f t="shared" si="101"/>
        <v>-0.36868803097315184</v>
      </c>
      <c r="J731" s="7">
        <f t="shared" si="102"/>
        <v>-0.30165898308317718</v>
      </c>
      <c r="K731" s="7">
        <f t="shared" si="105"/>
        <v>-2.2673159147893474E-2</v>
      </c>
      <c r="L731" s="7">
        <f t="shared" si="106"/>
        <v>-5.8864729886107803E-3</v>
      </c>
      <c r="M731" s="7">
        <f t="shared" si="107"/>
        <v>-2.168055790392398E-2</v>
      </c>
      <c r="N731" s="7">
        <f t="shared" si="103"/>
        <v>0.93991512761227569</v>
      </c>
      <c r="O731" s="7">
        <f t="shared" si="104"/>
        <v>6.0084872387724281E-2</v>
      </c>
    </row>
    <row r="732" spans="1:15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4">
        <f>IF(SUMIFS('Daily NSE Equity Cash'!$H:$H,'Daily NSE Equity Cash'!$A:$A,$A732)=0,"",SUMIFS('Daily NSE Equity Cash'!$H:$H,'Daily NSE Equity Cash'!$A:$A,$A732))</f>
        <v>478.85070000000002</v>
      </c>
      <c r="F732" s="4">
        <f>IF(SUMIFS('Daily BSE Equity Cash'!$H:$H,'Daily BSE Equity Cash'!$A:$A,$A732)=0,"",SUMIFS('Daily BSE Equity Cash'!$H:$H,'Daily BSE Equity Cash'!$A:$A,$A732))</f>
        <v>32.092399999999998</v>
      </c>
      <c r="G732" s="4">
        <f t="shared" si="99"/>
        <v>510.94310000000002</v>
      </c>
      <c r="H732" s="7">
        <f t="shared" si="100"/>
        <v>-0.30815249027896785</v>
      </c>
      <c r="I732" s="7">
        <f t="shared" si="101"/>
        <v>-0.33302435972840816</v>
      </c>
      <c r="J732" s="7">
        <f t="shared" si="102"/>
        <v>-0.30976916434672841</v>
      </c>
      <c r="K732" s="7">
        <f t="shared" si="105"/>
        <v>-6.2299930032422401E-2</v>
      </c>
      <c r="L732" s="7">
        <f t="shared" si="106"/>
        <v>-1.6918519698450374E-2</v>
      </c>
      <c r="M732" s="7">
        <f t="shared" si="107"/>
        <v>-5.9573193783730716E-2</v>
      </c>
      <c r="N732" s="7">
        <f t="shared" si="103"/>
        <v>0.93718987495867934</v>
      </c>
      <c r="O732" s="7">
        <f t="shared" si="104"/>
        <v>6.2810125041320636E-2</v>
      </c>
    </row>
    <row r="733" spans="1:15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4">
        <f>IF(SUMIFS('Daily NSE Equity Cash'!$H:$H,'Daily NSE Equity Cash'!$A:$A,$A733)=0,"",SUMIFS('Daily NSE Equity Cash'!$H:$H,'Daily NSE Equity Cash'!$A:$A,$A733))</f>
        <v>440.35419999999999</v>
      </c>
      <c r="F733" s="4">
        <f>IF(SUMIFS('Daily BSE Equity Cash'!$H:$H,'Daily BSE Equity Cash'!$A:$A,$A733)=0,"",SUMIFS('Daily BSE Equity Cash'!$H:$H,'Daily BSE Equity Cash'!$A:$A,$A733))</f>
        <v>28.19</v>
      </c>
      <c r="G733" s="4">
        <f t="shared" si="99"/>
        <v>468.54419999999999</v>
      </c>
      <c r="H733" s="7">
        <f t="shared" si="100"/>
        <v>-0.4033475628873936</v>
      </c>
      <c r="I733" s="7">
        <f t="shared" si="101"/>
        <v>-0.62315353251787986</v>
      </c>
      <c r="J733" s="7">
        <f t="shared" si="102"/>
        <v>-0.42357596711998724</v>
      </c>
      <c r="K733" s="7">
        <f t="shared" si="105"/>
        <v>-8.0393533934481121E-2</v>
      </c>
      <c r="L733" s="7">
        <f t="shared" si="106"/>
        <v>-0.12159888322468859</v>
      </c>
      <c r="M733" s="7">
        <f t="shared" si="107"/>
        <v>-8.2981647075770271E-2</v>
      </c>
      <c r="N733" s="7">
        <f t="shared" si="103"/>
        <v>0.93983491845593226</v>
      </c>
      <c r="O733" s="7">
        <f t="shared" si="104"/>
        <v>6.0165081544067779E-2</v>
      </c>
    </row>
    <row r="734" spans="1:15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4">
        <f>IF(SUMIFS('Daily NSE Equity Cash'!$H:$H,'Daily NSE Equity Cash'!$A:$A,$A734)=0,"",SUMIFS('Daily NSE Equity Cash'!$H:$H,'Daily NSE Equity Cash'!$A:$A,$A734))</f>
        <v>486.39030000000002</v>
      </c>
      <c r="F734" s="4">
        <f>IF(SUMIFS('Daily BSE Equity Cash'!$H:$H,'Daily BSE Equity Cash'!$A:$A,$A734)=0,"",SUMIFS('Daily BSE Equity Cash'!$H:$H,'Daily BSE Equity Cash'!$A:$A,$A734))</f>
        <v>94.187600000000003</v>
      </c>
      <c r="G734" s="4">
        <f t="shared" si="99"/>
        <v>580.5779</v>
      </c>
      <c r="H734" s="7" t="str">
        <f t="shared" si="100"/>
        <v/>
      </c>
      <c r="I734" s="7" t="str">
        <f t="shared" si="101"/>
        <v/>
      </c>
      <c r="J734" s="7" t="str">
        <f t="shared" si="102"/>
        <v/>
      </c>
      <c r="K734" s="7">
        <f t="shared" si="105"/>
        <v>0.10454334260919973</v>
      </c>
      <c r="L734" s="7">
        <f t="shared" si="106"/>
        <v>2.3411706278822275</v>
      </c>
      <c r="M734" s="7">
        <f t="shared" si="107"/>
        <v>0.23911020561133833</v>
      </c>
      <c r="N734" s="7">
        <f t="shared" si="103"/>
        <v>0.83776922959003441</v>
      </c>
      <c r="O734" s="7">
        <f t="shared" si="104"/>
        <v>0.16223077040996567</v>
      </c>
    </row>
    <row r="735" spans="1:15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4">
        <f>IF(SUMIFS('Daily NSE Equity Cash'!$H:$H,'Daily NSE Equity Cash'!$A:$A,$A735)=0,"",SUMIFS('Daily NSE Equity Cash'!$H:$H,'Daily NSE Equity Cash'!$A:$A,$A735))</f>
        <v>521.99649999999997</v>
      </c>
      <c r="F735" s="4">
        <f>IF(SUMIFS('Daily BSE Equity Cash'!$H:$H,'Daily BSE Equity Cash'!$A:$A,$A735)=0,"",SUMIFS('Daily BSE Equity Cash'!$H:$H,'Daily BSE Equity Cash'!$A:$A,$A735))</f>
        <v>34.829500000000003</v>
      </c>
      <c r="G735" s="4">
        <f t="shared" si="99"/>
        <v>556.82600000000002</v>
      </c>
      <c r="H735" s="7">
        <f t="shared" si="100"/>
        <v>-0.13832217326509422</v>
      </c>
      <c r="I735" s="7">
        <f t="shared" si="101"/>
        <v>-0.15253391859537102</v>
      </c>
      <c r="J735" s="7">
        <f t="shared" si="102"/>
        <v>-0.13922507903981074</v>
      </c>
      <c r="K735" s="7">
        <f t="shared" si="105"/>
        <v>7.3204996070028505E-2</v>
      </c>
      <c r="L735" s="7">
        <f t="shared" si="106"/>
        <v>-0.63021140787109986</v>
      </c>
      <c r="M735" s="7">
        <f t="shared" si="107"/>
        <v>-4.0910789060348285E-2</v>
      </c>
      <c r="N735" s="7">
        <f t="shared" si="103"/>
        <v>0.93744993947840072</v>
      </c>
      <c r="O735" s="7">
        <f t="shared" si="104"/>
        <v>6.2550060521599213E-2</v>
      </c>
    </row>
    <row r="736" spans="1:15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4">
        <f>IF(SUMIFS('Daily NSE Equity Cash'!$H:$H,'Daily NSE Equity Cash'!$A:$A,$A736)=0,"",SUMIFS('Daily NSE Equity Cash'!$H:$H,'Daily NSE Equity Cash'!$A:$A,$A736))</f>
        <v>467.69510000000002</v>
      </c>
      <c r="F736" s="4">
        <f>IF(SUMIFS('Daily BSE Equity Cash'!$H:$H,'Daily BSE Equity Cash'!$A:$A,$A736)=0,"",SUMIFS('Daily BSE Equity Cash'!$H:$H,'Daily BSE Equity Cash'!$A:$A,$A736))</f>
        <v>27.880199999999999</v>
      </c>
      <c r="G736" s="4">
        <f t="shared" si="99"/>
        <v>495.57530000000003</v>
      </c>
      <c r="H736" s="7">
        <f t="shared" si="100"/>
        <v>-0.31446617579956704</v>
      </c>
      <c r="I736" s="7">
        <f t="shared" si="101"/>
        <v>-0.32684813629054466</v>
      </c>
      <c r="J736" s="7">
        <f t="shared" si="102"/>
        <v>-0.31517484294598386</v>
      </c>
      <c r="K736" s="7">
        <f t="shared" si="105"/>
        <v>-0.10402636799288878</v>
      </c>
      <c r="L736" s="7">
        <f t="shared" si="106"/>
        <v>-0.19952339252645035</v>
      </c>
      <c r="M736" s="7">
        <f t="shared" si="107"/>
        <v>-0.10999971265709574</v>
      </c>
      <c r="N736" s="7">
        <f t="shared" si="103"/>
        <v>0.94374174822675783</v>
      </c>
      <c r="O736" s="7">
        <f t="shared" si="104"/>
        <v>5.6258251773242125E-2</v>
      </c>
    </row>
    <row r="737" spans="1:15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4">
        <f>IF(SUMIFS('Daily NSE Equity Cash'!$H:$H,'Daily NSE Equity Cash'!$A:$A,$A737)=0,"",SUMIFS('Daily NSE Equity Cash'!$H:$H,'Daily NSE Equity Cash'!$A:$A,$A737))</f>
        <v>526.93550000000005</v>
      </c>
      <c r="F737" s="4">
        <f>IF(SUMIFS('Daily BSE Equity Cash'!$H:$H,'Daily BSE Equity Cash'!$A:$A,$A737)=0,"",SUMIFS('Daily BSE Equity Cash'!$H:$H,'Daily BSE Equity Cash'!$A:$A,$A737))</f>
        <v>30.4649</v>
      </c>
      <c r="G737" s="4">
        <f t="shared" si="99"/>
        <v>557.40039999999999</v>
      </c>
      <c r="H737" s="7">
        <f t="shared" si="100"/>
        <v>-3.7268306336700974E-2</v>
      </c>
      <c r="I737" s="7">
        <f t="shared" si="101"/>
        <v>-0.16992765963244016</v>
      </c>
      <c r="J737" s="7">
        <f t="shared" si="102"/>
        <v>-4.5604785464985698E-2</v>
      </c>
      <c r="K737" s="7">
        <f t="shared" si="105"/>
        <v>0.1266645727098703</v>
      </c>
      <c r="L737" s="7">
        <f t="shared" si="106"/>
        <v>9.2707369387594163E-2</v>
      </c>
      <c r="M737" s="7">
        <f t="shared" si="107"/>
        <v>0.12475419981585034</v>
      </c>
      <c r="N737" s="7">
        <f t="shared" si="103"/>
        <v>0.94534467503073205</v>
      </c>
      <c r="O737" s="7">
        <f t="shared" si="104"/>
        <v>5.4655324969268053E-2</v>
      </c>
    </row>
    <row r="738" spans="1:15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4">
        <f>IF(SUMIFS('Daily NSE Equity Cash'!$H:$H,'Daily NSE Equity Cash'!$A:$A,$A738)=0,"",SUMIFS('Daily NSE Equity Cash'!$H:$H,'Daily NSE Equity Cash'!$A:$A,$A738))</f>
        <v>651.79160000000002</v>
      </c>
      <c r="F738" s="4">
        <f>IF(SUMIFS('Daily BSE Equity Cash'!$H:$H,'Daily BSE Equity Cash'!$A:$A,$A738)=0,"",SUMIFS('Daily BSE Equity Cash'!$H:$H,'Daily BSE Equity Cash'!$A:$A,$A738))</f>
        <v>28.548999999999999</v>
      </c>
      <c r="G738" s="4">
        <f t="shared" si="99"/>
        <v>680.34059999999999</v>
      </c>
      <c r="H738" s="7">
        <f t="shared" si="100"/>
        <v>-0.24216976174198557</v>
      </c>
      <c r="I738" s="7">
        <f t="shared" si="101"/>
        <v>-0.31371606321245027</v>
      </c>
      <c r="J738" s="7">
        <f t="shared" si="102"/>
        <v>-0.24547059839937968</v>
      </c>
      <c r="K738" s="7">
        <f t="shared" si="105"/>
        <v>0.23694759605302718</v>
      </c>
      <c r="L738" s="7">
        <f t="shared" si="106"/>
        <v>-6.2888767072926566E-2</v>
      </c>
      <c r="M738" s="7">
        <f t="shared" si="107"/>
        <v>0.22055994218877495</v>
      </c>
      <c r="N738" s="7">
        <f t="shared" si="103"/>
        <v>0.95803719489914319</v>
      </c>
      <c r="O738" s="7">
        <f t="shared" si="104"/>
        <v>4.1962805100856836E-2</v>
      </c>
    </row>
    <row r="739" spans="1:15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4">
        <f>IF(SUMIFS('Daily NSE Equity Cash'!$H:$H,'Daily NSE Equity Cash'!$A:$A,$A739)=0,"",SUMIFS('Daily NSE Equity Cash'!$H:$H,'Daily NSE Equity Cash'!$A:$A,$A739))</f>
        <v>470.74509999999998</v>
      </c>
      <c r="F739" s="4">
        <f>IF(SUMIFS('Daily BSE Equity Cash'!$H:$H,'Daily BSE Equity Cash'!$A:$A,$A739)=0,"",SUMIFS('Daily BSE Equity Cash'!$H:$H,'Daily BSE Equity Cash'!$A:$A,$A739))</f>
        <v>33.0002</v>
      </c>
      <c r="G739" s="4">
        <f t="shared" si="99"/>
        <v>503.74529999999999</v>
      </c>
      <c r="H739" s="7" t="str">
        <f t="shared" si="100"/>
        <v/>
      </c>
      <c r="I739" s="7" t="str">
        <f t="shared" si="101"/>
        <v/>
      </c>
      <c r="J739" s="7" t="str">
        <f t="shared" si="102"/>
        <v/>
      </c>
      <c r="K739" s="7">
        <f t="shared" si="105"/>
        <v>-0.27776746432448662</v>
      </c>
      <c r="L739" s="7">
        <f t="shared" si="106"/>
        <v>0.15591439279834662</v>
      </c>
      <c r="M739" s="7">
        <f t="shared" si="107"/>
        <v>-0.25956895707826344</v>
      </c>
      <c r="N739" s="7">
        <f t="shared" si="103"/>
        <v>0.93449030690708179</v>
      </c>
      <c r="O739" s="7">
        <f t="shared" si="104"/>
        <v>6.5509693092918195E-2</v>
      </c>
    </row>
    <row r="740" spans="1:15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4">
        <f>IF(SUMIFS('Daily NSE Equity Cash'!$H:$H,'Daily NSE Equity Cash'!$A:$A,$A740)=0,"",SUMIFS('Daily NSE Equity Cash'!$H:$H,'Daily NSE Equity Cash'!$A:$A,$A740))</f>
        <v>452.29610000000002</v>
      </c>
      <c r="F740" s="4">
        <f>IF(SUMIFS('Daily BSE Equity Cash'!$H:$H,'Daily BSE Equity Cash'!$A:$A,$A740)=0,"",SUMIFS('Daily BSE Equity Cash'!$H:$H,'Daily BSE Equity Cash'!$A:$A,$A740))</f>
        <v>25.816700000000001</v>
      </c>
      <c r="G740" s="4">
        <f t="shared" si="99"/>
        <v>478.11280000000005</v>
      </c>
      <c r="H740" s="7">
        <f t="shared" si="100"/>
        <v>-0.23230331867460763</v>
      </c>
      <c r="I740" s="7">
        <f t="shared" si="101"/>
        <v>-0.35325991652930233</v>
      </c>
      <c r="J740" s="7">
        <f t="shared" si="102"/>
        <v>-0.23997862904462886</v>
      </c>
      <c r="K740" s="7">
        <f t="shared" si="105"/>
        <v>-3.9191061149653983E-2</v>
      </c>
      <c r="L740" s="7">
        <f t="shared" si="106"/>
        <v>-0.21768049890606722</v>
      </c>
      <c r="M740" s="7">
        <f t="shared" si="107"/>
        <v>-5.0883849437404094E-2</v>
      </c>
      <c r="N740" s="7">
        <f t="shared" si="103"/>
        <v>0.94600290977359314</v>
      </c>
      <c r="O740" s="7">
        <f t="shared" si="104"/>
        <v>5.3997090226406821E-2</v>
      </c>
    </row>
    <row r="741" spans="1:15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4">
        <f>IF(SUMIFS('Daily NSE Equity Cash'!$H:$H,'Daily NSE Equity Cash'!$A:$A,$A741)=0,"",SUMIFS('Daily NSE Equity Cash'!$H:$H,'Daily NSE Equity Cash'!$A:$A,$A741))</f>
        <v>377.90890000000002</v>
      </c>
      <c r="F741" s="4">
        <f>IF(SUMIFS('Daily BSE Equity Cash'!$H:$H,'Daily BSE Equity Cash'!$A:$A,$A741)=0,"",SUMIFS('Daily BSE Equity Cash'!$H:$H,'Daily BSE Equity Cash'!$A:$A,$A741))</f>
        <v>22.988099999999999</v>
      </c>
      <c r="G741" s="4">
        <f t="shared" si="99"/>
        <v>400.89699999999999</v>
      </c>
      <c r="H741" s="7">
        <f t="shared" si="100"/>
        <v>-0.38870761371889617</v>
      </c>
      <c r="I741" s="7">
        <f t="shared" si="101"/>
        <v>-0.42757717390492367</v>
      </c>
      <c r="J741" s="7">
        <f t="shared" si="102"/>
        <v>-0.39107857362771792</v>
      </c>
      <c r="K741" s="7">
        <f t="shared" si="105"/>
        <v>-0.16446571173176161</v>
      </c>
      <c r="L741" s="7">
        <f t="shared" si="106"/>
        <v>-0.10956473910298381</v>
      </c>
      <c r="M741" s="7">
        <f t="shared" si="107"/>
        <v>-0.1615012189592081</v>
      </c>
      <c r="N741" s="7">
        <f t="shared" si="103"/>
        <v>0.94265833867552018</v>
      </c>
      <c r="O741" s="7">
        <f t="shared" si="104"/>
        <v>5.7341661324479855E-2</v>
      </c>
    </row>
    <row r="742" spans="1:15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4">
        <f>IF(SUMIFS('Daily NSE Equity Cash'!$H:$H,'Daily NSE Equity Cash'!$A:$A,$A742)=0,"",SUMIFS('Daily NSE Equity Cash'!$H:$H,'Daily NSE Equity Cash'!$A:$A,$A742))</f>
        <v>423.5591</v>
      </c>
      <c r="F742" s="4">
        <f>IF(SUMIFS('Daily BSE Equity Cash'!$H:$H,'Daily BSE Equity Cash'!$A:$A,$A742)=0,"",SUMIFS('Daily BSE Equity Cash'!$H:$H,'Daily BSE Equity Cash'!$A:$A,$A742))</f>
        <v>25.2166</v>
      </c>
      <c r="G742" s="4">
        <f t="shared" si="99"/>
        <v>448.77570000000003</v>
      </c>
      <c r="H742" s="7">
        <f t="shared" si="100"/>
        <v>-0.31169250939932713</v>
      </c>
      <c r="I742" s="7">
        <f t="shared" si="101"/>
        <v>-0.44441041617552124</v>
      </c>
      <c r="J742" s="7">
        <f t="shared" si="102"/>
        <v>-0.32080893493351426</v>
      </c>
      <c r="K742" s="7">
        <f t="shared" si="105"/>
        <v>0.12079683754470971</v>
      </c>
      <c r="L742" s="7">
        <f t="shared" si="106"/>
        <v>9.6941461016786912E-2</v>
      </c>
      <c r="M742" s="7">
        <f t="shared" si="107"/>
        <v>0.1194289306230778</v>
      </c>
      <c r="N742" s="7">
        <f t="shared" si="103"/>
        <v>0.94381023749726189</v>
      </c>
      <c r="O742" s="7">
        <f t="shared" si="104"/>
        <v>5.6189762502738001E-2</v>
      </c>
    </row>
    <row r="743" spans="1:15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4">
        <f>IF(SUMIFS('Daily NSE Equity Cash'!$H:$H,'Daily NSE Equity Cash'!$A:$A,$A743)=0,"",SUMIFS('Daily NSE Equity Cash'!$H:$H,'Daily NSE Equity Cash'!$A:$A,$A743))</f>
        <v>454.9631</v>
      </c>
      <c r="F743" s="4">
        <f>IF(SUMIFS('Daily BSE Equity Cash'!$H:$H,'Daily BSE Equity Cash'!$A:$A,$A743)=0,"",SUMIFS('Daily BSE Equity Cash'!$H:$H,'Daily BSE Equity Cash'!$A:$A,$A743))</f>
        <v>31.4682</v>
      </c>
      <c r="G743" s="4">
        <f t="shared" si="99"/>
        <v>486.43130000000002</v>
      </c>
      <c r="H743" s="7">
        <f t="shared" si="100"/>
        <v>-0.22901696944185457</v>
      </c>
      <c r="I743" s="7">
        <f t="shared" si="101"/>
        <v>-0.72473414375350442</v>
      </c>
      <c r="J743" s="7">
        <f t="shared" si="102"/>
        <v>-0.3094653797390815</v>
      </c>
      <c r="K743" s="7">
        <f t="shared" si="105"/>
        <v>7.4143136105445429E-2</v>
      </c>
      <c r="L743" s="7">
        <f t="shared" si="106"/>
        <v>0.24791605529690752</v>
      </c>
      <c r="M743" s="7">
        <f t="shared" si="107"/>
        <v>8.3907395164221299E-2</v>
      </c>
      <c r="N743" s="7">
        <f t="shared" si="103"/>
        <v>0.93530802808125213</v>
      </c>
      <c r="O743" s="7">
        <f t="shared" si="104"/>
        <v>6.4691971918747829E-2</v>
      </c>
    </row>
    <row r="744" spans="1:15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4">
        <f>IF(SUMIFS('Daily NSE Equity Cash'!$H:$H,'Daily NSE Equity Cash'!$A:$A,$A744)=0,"",SUMIFS('Daily NSE Equity Cash'!$H:$H,'Daily NSE Equity Cash'!$A:$A,$A744))</f>
        <v>427.77199999999999</v>
      </c>
      <c r="F744" s="4">
        <f>IF(SUMIFS('Daily BSE Equity Cash'!$H:$H,'Daily BSE Equity Cash'!$A:$A,$A744)=0,"",SUMIFS('Daily BSE Equity Cash'!$H:$H,'Daily BSE Equity Cash'!$A:$A,$A744))</f>
        <v>28.914200000000001</v>
      </c>
      <c r="G744" s="4">
        <f t="shared" si="99"/>
        <v>456.68619999999999</v>
      </c>
      <c r="H744" s="7" t="str">
        <f t="shared" si="100"/>
        <v/>
      </c>
      <c r="I744" s="7" t="str">
        <f t="shared" si="101"/>
        <v/>
      </c>
      <c r="J744" s="7" t="str">
        <f t="shared" si="102"/>
        <v/>
      </c>
      <c r="K744" s="7">
        <f t="shared" si="105"/>
        <v>-5.9765506257540513E-2</v>
      </c>
      <c r="L744" s="7">
        <f t="shared" si="106"/>
        <v>-8.1161299343464166E-2</v>
      </c>
      <c r="M744" s="7">
        <f t="shared" si="107"/>
        <v>-6.1149642303034435E-2</v>
      </c>
      <c r="N744" s="7">
        <f t="shared" si="103"/>
        <v>0.93668694171183631</v>
      </c>
      <c r="O744" s="7">
        <f t="shared" si="104"/>
        <v>6.3313058288163734E-2</v>
      </c>
    </row>
    <row r="745" spans="1:15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4">
        <f>IF(SUMIFS('Daily NSE Equity Cash'!$H:$H,'Daily NSE Equity Cash'!$A:$A,$A745)=0,"",SUMIFS('Daily NSE Equity Cash'!$H:$H,'Daily NSE Equity Cash'!$A:$A,$A745))</f>
        <v>441.62049999999999</v>
      </c>
      <c r="F745" s="4">
        <f>IF(SUMIFS('Daily BSE Equity Cash'!$H:$H,'Daily BSE Equity Cash'!$A:$A,$A745)=0,"",SUMIFS('Daily BSE Equity Cash'!$H:$H,'Daily BSE Equity Cash'!$A:$A,$A745))</f>
        <v>30.175899999999999</v>
      </c>
      <c r="G745" s="4">
        <f t="shared" si="99"/>
        <v>471.79640000000001</v>
      </c>
      <c r="H745" s="7">
        <f t="shared" si="100"/>
        <v>-0.25161435186558145</v>
      </c>
      <c r="I745" s="7">
        <f t="shared" si="101"/>
        <v>-0.38040601445094424</v>
      </c>
      <c r="J745" s="7">
        <f t="shared" si="102"/>
        <v>-0.26143354369644844</v>
      </c>
      <c r="K745" s="7">
        <f t="shared" si="105"/>
        <v>3.2373554136315708E-2</v>
      </c>
      <c r="L745" s="7">
        <f t="shared" si="106"/>
        <v>4.3635998920945385E-2</v>
      </c>
      <c r="M745" s="7">
        <f t="shared" si="107"/>
        <v>3.3086613959432132E-2</v>
      </c>
      <c r="N745" s="7">
        <f t="shared" si="103"/>
        <v>0.93604041912994673</v>
      </c>
      <c r="O745" s="7">
        <f t="shared" si="104"/>
        <v>6.3959580870053268E-2</v>
      </c>
    </row>
    <row r="746" spans="1:15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4">
        <f>IF(SUMIFS('Daily NSE Equity Cash'!$H:$H,'Daily NSE Equity Cash'!$A:$A,$A746)=0,"",SUMIFS('Daily NSE Equity Cash'!$H:$H,'Daily NSE Equity Cash'!$A:$A,$A746))</f>
        <v>584.62810000000002</v>
      </c>
      <c r="F746" s="4">
        <f>IF(SUMIFS('Daily BSE Equity Cash'!$H:$H,'Daily BSE Equity Cash'!$A:$A,$A746)=0,"",SUMIFS('Daily BSE Equity Cash'!$H:$H,'Daily BSE Equity Cash'!$A:$A,$A746))</f>
        <v>35.5901</v>
      </c>
      <c r="G746" s="4">
        <f t="shared" si="99"/>
        <v>620.21820000000002</v>
      </c>
      <c r="H746" s="7">
        <f t="shared" si="100"/>
        <v>-6.4341738595472431E-2</v>
      </c>
      <c r="I746" s="7">
        <f t="shared" si="101"/>
        <v>-0.33888809426065825</v>
      </c>
      <c r="J746" s="7">
        <f t="shared" si="102"/>
        <v>-8.6119577493739441E-2</v>
      </c>
      <c r="K746" s="7">
        <f t="shared" si="105"/>
        <v>0.32382464129269373</v>
      </c>
      <c r="L746" s="7">
        <f t="shared" si="106"/>
        <v>0.17942132629018515</v>
      </c>
      <c r="M746" s="7">
        <f t="shared" si="107"/>
        <v>0.314588665788887</v>
      </c>
      <c r="N746" s="7">
        <f t="shared" si="103"/>
        <v>0.94261680808463855</v>
      </c>
      <c r="O746" s="7">
        <f t="shared" si="104"/>
        <v>5.7383191915361398E-2</v>
      </c>
    </row>
    <row r="747" spans="1:15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4">
        <f>IF(SUMIFS('Daily NSE Equity Cash'!$H:$H,'Daily NSE Equity Cash'!$A:$A,$A747)=0,"",SUMIFS('Daily NSE Equity Cash'!$H:$H,'Daily NSE Equity Cash'!$A:$A,$A747))</f>
        <v>557.3048</v>
      </c>
      <c r="F747" s="4">
        <f>IF(SUMIFS('Daily BSE Equity Cash'!$H:$H,'Daily BSE Equity Cash'!$A:$A,$A747)=0,"",SUMIFS('Daily BSE Equity Cash'!$H:$H,'Daily BSE Equity Cash'!$A:$A,$A747))</f>
        <v>43.631100000000004</v>
      </c>
      <c r="G747" s="4">
        <f t="shared" si="99"/>
        <v>600.93589999999995</v>
      </c>
      <c r="H747" s="7">
        <f t="shared" si="100"/>
        <v>-0.16657000975940661</v>
      </c>
      <c r="I747" s="7">
        <f t="shared" si="101"/>
        <v>6.0660057662668576E-2</v>
      </c>
      <c r="J747" s="7">
        <f t="shared" si="102"/>
        <v>-0.15340154742584089</v>
      </c>
      <c r="K747" s="7">
        <f t="shared" si="105"/>
        <v>-4.6736207171704569E-2</v>
      </c>
      <c r="L747" s="7">
        <f t="shared" si="106"/>
        <v>0.22593361637084475</v>
      </c>
      <c r="M747" s="7">
        <f t="shared" si="107"/>
        <v>-3.1089542357834787E-2</v>
      </c>
      <c r="N747" s="7">
        <f t="shared" si="103"/>
        <v>0.92739475208587152</v>
      </c>
      <c r="O747" s="7">
        <f t="shared" si="104"/>
        <v>7.2605247914128618E-2</v>
      </c>
    </row>
    <row r="748" spans="1:15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4">
        <f>IF(SUMIFS('Daily NSE Equity Cash'!$H:$H,'Daily NSE Equity Cash'!$A:$A,$A748)=0,"",SUMIFS('Daily NSE Equity Cash'!$H:$H,'Daily NSE Equity Cash'!$A:$A,$A748))</f>
        <v>448.47410000000002</v>
      </c>
      <c r="F748" s="4">
        <f>IF(SUMIFS('Daily BSE Equity Cash'!$H:$H,'Daily BSE Equity Cash'!$A:$A,$A748)=0,"",SUMIFS('Daily BSE Equity Cash'!$H:$H,'Daily BSE Equity Cash'!$A:$A,$A748))</f>
        <v>24.8614</v>
      </c>
      <c r="G748" s="4">
        <f t="shared" si="99"/>
        <v>473.33550000000002</v>
      </c>
      <c r="H748" s="7" t="str">
        <f t="shared" si="100"/>
        <v/>
      </c>
      <c r="I748" s="7" t="str">
        <f t="shared" si="101"/>
        <v/>
      </c>
      <c r="J748" s="7" t="str">
        <f t="shared" si="102"/>
        <v/>
      </c>
      <c r="K748" s="7">
        <f t="shared" si="105"/>
        <v>-0.19528039234544536</v>
      </c>
      <c r="L748" s="7">
        <f t="shared" si="106"/>
        <v>-0.43019085010462721</v>
      </c>
      <c r="M748" s="7">
        <f t="shared" si="107"/>
        <v>-0.21233612436867211</v>
      </c>
      <c r="N748" s="7">
        <f t="shared" si="103"/>
        <v>0.94747615591900458</v>
      </c>
      <c r="O748" s="7">
        <f t="shared" si="104"/>
        <v>5.2523844080995398E-2</v>
      </c>
    </row>
    <row r="749" spans="1:15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4">
        <f>IF(SUMIFS('Daily NSE Equity Cash'!$H:$H,'Daily NSE Equity Cash'!$A:$A,$A749)=0,"",SUMIFS('Daily NSE Equity Cash'!$H:$H,'Daily NSE Equity Cash'!$A:$A,$A749))</f>
        <v>509.16809999999998</v>
      </c>
      <c r="F749" s="4">
        <f>IF(SUMIFS('Daily BSE Equity Cash'!$H:$H,'Daily BSE Equity Cash'!$A:$A,$A749)=0,"",SUMIFS('Daily BSE Equity Cash'!$H:$H,'Daily BSE Equity Cash'!$A:$A,$A749))</f>
        <v>25.945699999999999</v>
      </c>
      <c r="G749" s="4">
        <f t="shared" si="99"/>
        <v>535.11379999999997</v>
      </c>
      <c r="H749" s="7">
        <f t="shared" si="100"/>
        <v>-0.32908936886571449</v>
      </c>
      <c r="I749" s="7">
        <f t="shared" si="101"/>
        <v>-0.54786537921996903</v>
      </c>
      <c r="J749" s="7">
        <f t="shared" si="102"/>
        <v>-0.34446894778892911</v>
      </c>
      <c r="K749" s="7">
        <f t="shared" si="105"/>
        <v>0.13533445967113811</v>
      </c>
      <c r="L749" s="7">
        <f t="shared" si="106"/>
        <v>4.361379487880801E-2</v>
      </c>
      <c r="M749" s="7">
        <f t="shared" si="107"/>
        <v>0.13051693777458051</v>
      </c>
      <c r="N749" s="7">
        <f t="shared" si="103"/>
        <v>0.95151367802512288</v>
      </c>
      <c r="O749" s="7">
        <f t="shared" si="104"/>
        <v>4.8486321974877122E-2</v>
      </c>
    </row>
    <row r="750" spans="1:15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4">
        <f>IF(SUMIFS('Daily NSE Equity Cash'!$H:$H,'Daily NSE Equity Cash'!$A:$A,$A750)=0,"",SUMIFS('Daily NSE Equity Cash'!$H:$H,'Daily NSE Equity Cash'!$A:$A,$A750))</f>
        <v>512.31859999999995</v>
      </c>
      <c r="F750" s="4">
        <f>IF(SUMIFS('Daily BSE Equity Cash'!$H:$H,'Daily BSE Equity Cash'!$A:$A,$A750)=0,"",SUMIFS('Daily BSE Equity Cash'!$H:$H,'Daily BSE Equity Cash'!$A:$A,$A750))</f>
        <v>25.691800000000001</v>
      </c>
      <c r="G750" s="4">
        <f t="shared" si="99"/>
        <v>538.01039999999989</v>
      </c>
      <c r="H750" s="7">
        <f t="shared" si="100"/>
        <v>-0.33030248366013082</v>
      </c>
      <c r="I750" s="7">
        <f t="shared" si="101"/>
        <v>-0.56897219906083119</v>
      </c>
      <c r="J750" s="7">
        <f t="shared" si="102"/>
        <v>-0.34755451058499598</v>
      </c>
      <c r="K750" s="7">
        <f t="shared" si="105"/>
        <v>6.1875439565046708E-3</v>
      </c>
      <c r="L750" s="7">
        <f t="shared" si="106"/>
        <v>-9.7858219281036218E-3</v>
      </c>
      <c r="M750" s="7">
        <f t="shared" si="107"/>
        <v>5.4130541952008837E-3</v>
      </c>
      <c r="N750" s="7">
        <f t="shared" si="103"/>
        <v>0.9522466480201871</v>
      </c>
      <c r="O750" s="7">
        <f t="shared" si="104"/>
        <v>4.7753351979813043E-2</v>
      </c>
    </row>
    <row r="751" spans="1:15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4">
        <f>IF(SUMIFS('Daily NSE Equity Cash'!$H:$H,'Daily NSE Equity Cash'!$A:$A,$A751)=0,"",SUMIFS('Daily NSE Equity Cash'!$H:$H,'Daily NSE Equity Cash'!$A:$A,$A751))</f>
        <v>452.31529999999998</v>
      </c>
      <c r="F751" s="4">
        <f>IF(SUMIFS('Daily BSE Equity Cash'!$H:$H,'Daily BSE Equity Cash'!$A:$A,$A751)=0,"",SUMIFS('Daily BSE Equity Cash'!$H:$H,'Daily BSE Equity Cash'!$A:$A,$A751))</f>
        <v>29.013200000000001</v>
      </c>
      <c r="G751" s="4">
        <f t="shared" si="99"/>
        <v>481.32849999999996</v>
      </c>
      <c r="H751" s="7" t="str">
        <f t="shared" si="100"/>
        <v/>
      </c>
      <c r="I751" s="7" t="str">
        <f t="shared" si="101"/>
        <v/>
      </c>
      <c r="J751" s="7" t="str">
        <f t="shared" si="102"/>
        <v/>
      </c>
      <c r="K751" s="7">
        <f t="shared" si="105"/>
        <v>-0.11712106489984941</v>
      </c>
      <c r="L751" s="7">
        <f t="shared" si="106"/>
        <v>0.12927860251130707</v>
      </c>
      <c r="M751" s="7">
        <f t="shared" si="107"/>
        <v>-0.10535465485425555</v>
      </c>
      <c r="N751" s="7">
        <f t="shared" si="103"/>
        <v>0.93972266342009669</v>
      </c>
      <c r="O751" s="7">
        <f t="shared" si="104"/>
        <v>6.0277336579903334E-2</v>
      </c>
    </row>
    <row r="752" spans="1:15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4">
        <f>IF(SUMIFS('Daily NSE Equity Cash'!$H:$H,'Daily NSE Equity Cash'!$A:$A,$A752)=0,"",SUMIFS('Daily NSE Equity Cash'!$H:$H,'Daily NSE Equity Cash'!$A:$A,$A752))</f>
        <v>505.9914</v>
      </c>
      <c r="F752" s="4">
        <f>IF(SUMIFS('Daily BSE Equity Cash'!$H:$H,'Daily BSE Equity Cash'!$A:$A,$A752)=0,"",SUMIFS('Daily BSE Equity Cash'!$H:$H,'Daily BSE Equity Cash'!$A:$A,$A752))</f>
        <v>31.058599999999998</v>
      </c>
      <c r="G752" s="4">
        <f t="shared" si="99"/>
        <v>537.04999999999995</v>
      </c>
      <c r="H752" s="7">
        <f t="shared" si="100"/>
        <v>-0.20634974910187387</v>
      </c>
      <c r="I752" s="7">
        <f t="shared" si="101"/>
        <v>-0.40586699314210295</v>
      </c>
      <c r="J752" s="7">
        <f t="shared" si="102"/>
        <v>-0.22146932606540415</v>
      </c>
      <c r="K752" s="7">
        <f t="shared" si="105"/>
        <v>0.11866965366858029</v>
      </c>
      <c r="L752" s="7">
        <f t="shared" si="106"/>
        <v>7.0498945307652994E-2</v>
      </c>
      <c r="M752" s="7">
        <f t="shared" si="107"/>
        <v>0.11576605166741638</v>
      </c>
      <c r="N752" s="7">
        <f t="shared" si="103"/>
        <v>0.942168140769016</v>
      </c>
      <c r="O752" s="7">
        <f t="shared" si="104"/>
        <v>5.7831859230984078E-2</v>
      </c>
    </row>
    <row r="753" spans="1:15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4">
        <f>IF(SUMIFS('Daily NSE Equity Cash'!$H:$H,'Daily NSE Equity Cash'!$A:$A,$A753)=0,"",SUMIFS('Daily NSE Equity Cash'!$H:$H,'Daily NSE Equity Cash'!$A:$A,$A753))</f>
        <v>513.14739999999995</v>
      </c>
      <c r="F753" s="4">
        <f>IF(SUMIFS('Daily BSE Equity Cash'!$H:$H,'Daily BSE Equity Cash'!$A:$A,$A753)=0,"",SUMIFS('Daily BSE Equity Cash'!$H:$H,'Daily BSE Equity Cash'!$A:$A,$A753))</f>
        <v>32.262700000000002</v>
      </c>
      <c r="G753" s="4">
        <f t="shared" si="99"/>
        <v>545.41009999999994</v>
      </c>
      <c r="H753" s="7">
        <f t="shared" si="100"/>
        <v>-0.25489370982772819</v>
      </c>
      <c r="I753" s="7">
        <f t="shared" si="101"/>
        <v>-0.3807448099011117</v>
      </c>
      <c r="J753" s="7">
        <f t="shared" si="102"/>
        <v>-0.26374472960871209</v>
      </c>
      <c r="K753" s="7">
        <f t="shared" si="105"/>
        <v>1.4142532857277734E-2</v>
      </c>
      <c r="L753" s="7">
        <f t="shared" si="106"/>
        <v>3.8768650228922175E-2</v>
      </c>
      <c r="M753" s="7">
        <f t="shared" si="107"/>
        <v>1.556670701052032E-2</v>
      </c>
      <c r="N753" s="7">
        <f t="shared" si="103"/>
        <v>0.94084689667463073</v>
      </c>
      <c r="O753" s="7">
        <f t="shared" si="104"/>
        <v>5.9153103325369306E-2</v>
      </c>
    </row>
    <row r="754" spans="1:15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4">
        <f>IF(SUMIFS('Daily NSE Equity Cash'!$H:$H,'Daily NSE Equity Cash'!$A:$A,$A754)=0,"",SUMIFS('Daily NSE Equity Cash'!$H:$H,'Daily NSE Equity Cash'!$A:$A,$A754))</f>
        <v>532.9674</v>
      </c>
      <c r="F754" s="4">
        <f>IF(SUMIFS('Daily BSE Equity Cash'!$H:$H,'Daily BSE Equity Cash'!$A:$A,$A754)=0,"",SUMIFS('Daily BSE Equity Cash'!$H:$H,'Daily BSE Equity Cash'!$A:$A,$A754))</f>
        <v>29.2486</v>
      </c>
      <c r="G754" s="4">
        <f t="shared" si="99"/>
        <v>562.21600000000001</v>
      </c>
      <c r="H754" s="7">
        <f t="shared" si="100"/>
        <v>-5.8035790820253563E-2</v>
      </c>
      <c r="I754" s="7">
        <f t="shared" si="101"/>
        <v>-0.30349862836241714</v>
      </c>
      <c r="J754" s="7">
        <f t="shared" si="102"/>
        <v>-7.4995158752605096E-2</v>
      </c>
      <c r="K754" s="7">
        <f t="shared" si="105"/>
        <v>3.8624379661672315E-2</v>
      </c>
      <c r="L754" s="7">
        <f t="shared" si="106"/>
        <v>-9.3423675017900054E-2</v>
      </c>
      <c r="M754" s="7">
        <f t="shared" si="107"/>
        <v>3.0813327439297655E-2</v>
      </c>
      <c r="N754" s="7">
        <f t="shared" si="103"/>
        <v>0.94797622266175274</v>
      </c>
      <c r="O754" s="7">
        <f t="shared" si="104"/>
        <v>5.2023777338247222E-2</v>
      </c>
    </row>
    <row r="755" spans="1:15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4">
        <f>IF(SUMIFS('Daily NSE Equity Cash'!$H:$H,'Daily NSE Equity Cash'!$A:$A,$A755)=0,"",SUMIFS('Daily NSE Equity Cash'!$H:$H,'Daily NSE Equity Cash'!$A:$A,$A755))</f>
        <v>622.47130000000004</v>
      </c>
      <c r="F755" s="4">
        <f>IF(SUMIFS('Daily BSE Equity Cash'!$H:$H,'Daily BSE Equity Cash'!$A:$A,$A755)=0,"",SUMIFS('Daily BSE Equity Cash'!$H:$H,'Daily BSE Equity Cash'!$A:$A,$A755))</f>
        <v>45.317100000000003</v>
      </c>
      <c r="G755" s="4">
        <f t="shared" si="99"/>
        <v>667.78840000000002</v>
      </c>
      <c r="H755" s="7" t="str">
        <f t="shared" si="100"/>
        <v/>
      </c>
      <c r="I755" s="7" t="str">
        <f t="shared" si="101"/>
        <v/>
      </c>
      <c r="J755" s="7" t="str">
        <f t="shared" si="102"/>
        <v/>
      </c>
      <c r="K755" s="7">
        <f t="shared" si="105"/>
        <v>0.16793503692721168</v>
      </c>
      <c r="L755" s="7">
        <f t="shared" si="106"/>
        <v>0.54937672230465751</v>
      </c>
      <c r="M755" s="7">
        <f t="shared" si="107"/>
        <v>0.18777907423481377</v>
      </c>
      <c r="N755" s="7">
        <f t="shared" si="103"/>
        <v>0.932138533703191</v>
      </c>
      <c r="O755" s="7">
        <f t="shared" si="104"/>
        <v>6.7861466296808989E-2</v>
      </c>
    </row>
    <row r="756" spans="1:15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4">
        <f>IF(SUMIFS('Daily NSE Equity Cash'!$H:$H,'Daily NSE Equity Cash'!$A:$A,$A756)=0,"",SUMIFS('Daily NSE Equity Cash'!$H:$H,'Daily NSE Equity Cash'!$A:$A,$A756))</f>
        <v>513.14469999999994</v>
      </c>
      <c r="F756" s="4">
        <f>IF(SUMIFS('Daily BSE Equity Cash'!$H:$H,'Daily BSE Equity Cash'!$A:$A,$A756)=0,"",SUMIFS('Daily BSE Equity Cash'!$H:$H,'Daily BSE Equity Cash'!$A:$A,$A756))</f>
        <v>32.371699999999997</v>
      </c>
      <c r="G756" s="4">
        <f t="shared" si="99"/>
        <v>545.51639999999998</v>
      </c>
      <c r="H756" s="7">
        <f t="shared" si="100"/>
        <v>-0.28064438891220644</v>
      </c>
      <c r="I756" s="7">
        <f t="shared" si="101"/>
        <v>-0.37776526240319552</v>
      </c>
      <c r="J756" s="7">
        <f t="shared" si="102"/>
        <v>-0.28724608660215789</v>
      </c>
      <c r="K756" s="7">
        <f t="shared" si="105"/>
        <v>-0.17563315770542365</v>
      </c>
      <c r="L756" s="7">
        <f t="shared" si="106"/>
        <v>-0.285662586529147</v>
      </c>
      <c r="M756" s="7">
        <f t="shared" si="107"/>
        <v>-0.1830999160812018</v>
      </c>
      <c r="N756" s="7">
        <f t="shared" si="103"/>
        <v>0.94065861264665918</v>
      </c>
      <c r="O756" s="7">
        <f t="shared" si="104"/>
        <v>5.9341387353340797E-2</v>
      </c>
    </row>
    <row r="757" spans="1:15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4">
        <f>IF(SUMIFS('Daily NSE Equity Cash'!$H:$H,'Daily NSE Equity Cash'!$A:$A,$A757)=0,"",SUMIFS('Daily NSE Equity Cash'!$H:$H,'Daily NSE Equity Cash'!$A:$A,$A757))</f>
        <v>486.29660000000001</v>
      </c>
      <c r="F757" s="4">
        <f>IF(SUMIFS('Daily BSE Equity Cash'!$H:$H,'Daily BSE Equity Cash'!$A:$A,$A757)=0,"",SUMIFS('Daily BSE Equity Cash'!$H:$H,'Daily BSE Equity Cash'!$A:$A,$A757))</f>
        <v>30.581600000000002</v>
      </c>
      <c r="G757" s="4">
        <f t="shared" si="99"/>
        <v>516.87819999999999</v>
      </c>
      <c r="H757" s="7">
        <f t="shared" si="100"/>
        <v>-0.38910110051762825</v>
      </c>
      <c r="I757" s="7">
        <f t="shared" si="101"/>
        <v>-0.44177964044312124</v>
      </c>
      <c r="J757" s="7">
        <f t="shared" si="102"/>
        <v>-0.39249306491418967</v>
      </c>
      <c r="K757" s="7">
        <f t="shared" si="105"/>
        <v>-5.2320719672248273E-2</v>
      </c>
      <c r="L757" s="7">
        <f t="shared" si="106"/>
        <v>-5.5298300676207779E-2</v>
      </c>
      <c r="M757" s="7">
        <f t="shared" si="107"/>
        <v>-5.2497413459980269E-2</v>
      </c>
      <c r="N757" s="7">
        <f t="shared" si="103"/>
        <v>0.94083403014481948</v>
      </c>
      <c r="O757" s="7">
        <f t="shared" si="104"/>
        <v>5.9165969855180585E-2</v>
      </c>
    </row>
    <row r="758" spans="1:15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4">
        <f>IF(SUMIFS('Daily NSE Equity Cash'!$H:$H,'Daily NSE Equity Cash'!$A:$A,$A758)=0,"",SUMIFS('Daily NSE Equity Cash'!$H:$H,'Daily NSE Equity Cash'!$A:$A,$A758))</f>
        <v>452.07920000000001</v>
      </c>
      <c r="F758" s="4">
        <f>IF(SUMIFS('Daily BSE Equity Cash'!$H:$H,'Daily BSE Equity Cash'!$A:$A,$A758)=0,"",SUMIFS('Daily BSE Equity Cash'!$H:$H,'Daily BSE Equity Cash'!$A:$A,$A758))</f>
        <v>26.772500000000001</v>
      </c>
      <c r="G758" s="4">
        <f t="shared" si="99"/>
        <v>478.85169999999999</v>
      </c>
      <c r="H758" s="7">
        <f t="shared" si="100"/>
        <v>-0.27551201269490844</v>
      </c>
      <c r="I758" s="7">
        <f t="shared" si="101"/>
        <v>-0.37937693129739136</v>
      </c>
      <c r="J758" s="7">
        <f t="shared" si="102"/>
        <v>-0.28222808442592617</v>
      </c>
      <c r="K758" s="7">
        <f t="shared" si="105"/>
        <v>-7.0363230999353044E-2</v>
      </c>
      <c r="L758" s="7">
        <f t="shared" si="106"/>
        <v>-0.12455528814712113</v>
      </c>
      <c r="M758" s="7">
        <f t="shared" si="107"/>
        <v>-7.3569556618948151E-2</v>
      </c>
      <c r="N758" s="7">
        <f t="shared" si="103"/>
        <v>0.94409020579858027</v>
      </c>
      <c r="O758" s="7">
        <f t="shared" si="104"/>
        <v>5.5909794201419775E-2</v>
      </c>
    </row>
    <row r="759" spans="1:15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4">
        <f>IF(SUMIFS('Daily NSE Equity Cash'!$H:$H,'Daily NSE Equity Cash'!$A:$A,$A759)=0,"",SUMIFS('Daily NSE Equity Cash'!$H:$H,'Daily NSE Equity Cash'!$A:$A,$A759))</f>
        <v>427.87900000000002</v>
      </c>
      <c r="F759" s="4">
        <f>IF(SUMIFS('Daily BSE Equity Cash'!$H:$H,'Daily BSE Equity Cash'!$A:$A,$A759)=0,"",SUMIFS('Daily BSE Equity Cash'!$H:$H,'Daily BSE Equity Cash'!$A:$A,$A759))</f>
        <v>25.203299999999999</v>
      </c>
      <c r="G759" s="4">
        <f t="shared" si="99"/>
        <v>453.08230000000003</v>
      </c>
      <c r="H759" s="7">
        <f t="shared" si="100"/>
        <v>-0.31854399835385017</v>
      </c>
      <c r="I759" s="7">
        <f t="shared" si="101"/>
        <v>-0.59059299388406528</v>
      </c>
      <c r="J759" s="7">
        <f t="shared" si="102"/>
        <v>-0.342835063142369</v>
      </c>
      <c r="K759" s="7">
        <f t="shared" si="105"/>
        <v>-5.3530885738605094E-2</v>
      </c>
      <c r="L759" s="7">
        <f t="shared" si="106"/>
        <v>-5.8612382108506944E-2</v>
      </c>
      <c r="M759" s="7">
        <f t="shared" si="107"/>
        <v>-5.3814991154881531E-2</v>
      </c>
      <c r="N759" s="7">
        <f t="shared" si="103"/>
        <v>0.94437368222064733</v>
      </c>
      <c r="O759" s="7">
        <f t="shared" si="104"/>
        <v>5.562631777935266E-2</v>
      </c>
    </row>
    <row r="760" spans="1:15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4">
        <f>IF(SUMIFS('Daily NSE Equity Cash'!$H:$H,'Daily NSE Equity Cash'!$A:$A,$A760)=0,"",SUMIFS('Daily NSE Equity Cash'!$H:$H,'Daily NSE Equity Cash'!$A:$A,$A760))</f>
        <v>470.05419999999998</v>
      </c>
      <c r="F760" s="4">
        <f>IF(SUMIFS('Daily BSE Equity Cash'!$H:$H,'Daily BSE Equity Cash'!$A:$A,$A760)=0,"",SUMIFS('Daily BSE Equity Cash'!$H:$H,'Daily BSE Equity Cash'!$A:$A,$A760))</f>
        <v>27.4069</v>
      </c>
      <c r="G760" s="4">
        <f t="shared" si="99"/>
        <v>497.46109999999999</v>
      </c>
      <c r="H760" s="7" t="str">
        <f t="shared" si="100"/>
        <v/>
      </c>
      <c r="I760" s="7" t="str">
        <f t="shared" si="101"/>
        <v/>
      </c>
      <c r="J760" s="7" t="str">
        <f t="shared" si="102"/>
        <v/>
      </c>
      <c r="K760" s="7">
        <f t="shared" si="105"/>
        <v>9.8568053117820575E-2</v>
      </c>
      <c r="L760" s="7">
        <f t="shared" si="106"/>
        <v>8.7432994885590531E-2</v>
      </c>
      <c r="M760" s="7">
        <f t="shared" si="107"/>
        <v>9.7948650830102846E-2</v>
      </c>
      <c r="N760" s="7">
        <f t="shared" si="103"/>
        <v>0.94490644595125128</v>
      </c>
      <c r="O760" s="7">
        <f t="shared" si="104"/>
        <v>5.5093554048748737E-2</v>
      </c>
    </row>
    <row r="761" spans="1:15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4">
        <f>IF(SUMIFS('Daily NSE Equity Cash'!$H:$H,'Daily NSE Equity Cash'!$A:$A,$A761)=0,"",SUMIFS('Daily NSE Equity Cash'!$H:$H,'Daily NSE Equity Cash'!$A:$A,$A761))</f>
        <v>601.26149999999996</v>
      </c>
      <c r="F761" s="4">
        <f>IF(SUMIFS('Daily BSE Equity Cash'!$H:$H,'Daily BSE Equity Cash'!$A:$A,$A761)=0,"",SUMIFS('Daily BSE Equity Cash'!$H:$H,'Daily BSE Equity Cash'!$A:$A,$A761))</f>
        <v>33.386499999999998</v>
      </c>
      <c r="G761" s="4">
        <f t="shared" si="99"/>
        <v>634.64799999999991</v>
      </c>
      <c r="H761" s="7">
        <f t="shared" si="100"/>
        <v>2.8289256981373301E-2</v>
      </c>
      <c r="I761" s="7">
        <f t="shared" si="101"/>
        <v>-0.2186984430835045</v>
      </c>
      <c r="J761" s="7">
        <f t="shared" si="102"/>
        <v>1.146844516099299E-2</v>
      </c>
      <c r="K761" s="7">
        <f t="shared" si="105"/>
        <v>0.27913227878827596</v>
      </c>
      <c r="L761" s="7">
        <f t="shared" si="106"/>
        <v>0.21817863384768055</v>
      </c>
      <c r="M761" s="7">
        <f t="shared" si="107"/>
        <v>0.27577412585627292</v>
      </c>
      <c r="N761" s="7">
        <f t="shared" si="103"/>
        <v>0.94739367334333369</v>
      </c>
      <c r="O761" s="7">
        <f t="shared" si="104"/>
        <v>5.2606326656666376E-2</v>
      </c>
    </row>
    <row r="762" spans="1:15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4">
        <f>IF(SUMIFS('Daily NSE Equity Cash'!$H:$H,'Daily NSE Equity Cash'!$A:$A,$A762)=0,"",SUMIFS('Daily NSE Equity Cash'!$H:$H,'Daily NSE Equity Cash'!$A:$A,$A762))</f>
        <v>543.14869999999996</v>
      </c>
      <c r="F762" s="4">
        <f>IF(SUMIFS('Daily BSE Equity Cash'!$H:$H,'Daily BSE Equity Cash'!$A:$A,$A762)=0,"",SUMIFS('Daily BSE Equity Cash'!$H:$H,'Daily BSE Equity Cash'!$A:$A,$A762))</f>
        <v>29.134699999999999</v>
      </c>
      <c r="G762" s="4">
        <f t="shared" si="99"/>
        <v>572.28339999999992</v>
      </c>
      <c r="H762" s="7">
        <f t="shared" si="100"/>
        <v>-5.3813351236857043E-2</v>
      </c>
      <c r="I762" s="7">
        <f t="shared" si="101"/>
        <v>-0.29183812859583924</v>
      </c>
      <c r="J762" s="7">
        <f t="shared" si="102"/>
        <v>-6.9731672467127748E-2</v>
      </c>
      <c r="K762" s="7">
        <f t="shared" si="105"/>
        <v>-9.6651456978369632E-2</v>
      </c>
      <c r="L762" s="7">
        <f t="shared" si="106"/>
        <v>-0.12735087535381062</v>
      </c>
      <c r="M762" s="7">
        <f t="shared" si="107"/>
        <v>-9.8266440609597772E-2</v>
      </c>
      <c r="N762" s="7">
        <f t="shared" si="103"/>
        <v>0.94909043316650465</v>
      </c>
      <c r="O762" s="7">
        <f t="shared" si="104"/>
        <v>5.0909566833495436E-2</v>
      </c>
    </row>
    <row r="763" spans="1:15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4">
        <f>IF(SUMIFS('Daily NSE Equity Cash'!$H:$H,'Daily NSE Equity Cash'!$A:$A,$A763)=0,"",SUMIFS('Daily NSE Equity Cash'!$H:$H,'Daily NSE Equity Cash'!$A:$A,$A763))</f>
        <v>554.93719999999996</v>
      </c>
      <c r="F763" s="4">
        <f>IF(SUMIFS('Daily BSE Equity Cash'!$H:$H,'Daily BSE Equity Cash'!$A:$A,$A763)=0,"",SUMIFS('Daily BSE Equity Cash'!$H:$H,'Daily BSE Equity Cash'!$A:$A,$A763))</f>
        <v>30.999199999999998</v>
      </c>
      <c r="G763" s="4">
        <f t="shared" si="99"/>
        <v>585.93639999999994</v>
      </c>
      <c r="H763" s="7">
        <f t="shared" si="100"/>
        <v>-0.14576315227209613</v>
      </c>
      <c r="I763" s="7">
        <f t="shared" si="101"/>
        <v>-0.37334462689795567</v>
      </c>
      <c r="J763" s="7">
        <f t="shared" si="102"/>
        <v>-0.16186668829456985</v>
      </c>
      <c r="K763" s="7">
        <f t="shared" si="105"/>
        <v>2.1704001132654804E-2</v>
      </c>
      <c r="L763" s="7">
        <f t="shared" si="106"/>
        <v>6.3995853741414921E-2</v>
      </c>
      <c r="M763" s="7">
        <f t="shared" si="107"/>
        <v>2.3857061029552984E-2</v>
      </c>
      <c r="N763" s="7">
        <f t="shared" si="103"/>
        <v>0.94709459934559459</v>
      </c>
      <c r="O763" s="7">
        <f t="shared" si="104"/>
        <v>5.29054006544055E-2</v>
      </c>
    </row>
    <row r="764" spans="1:15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4">
        <f>IF(SUMIFS('Daily NSE Equity Cash'!$H:$H,'Daily NSE Equity Cash'!$A:$A,$A764)=0,"",SUMIFS('Daily NSE Equity Cash'!$H:$H,'Daily NSE Equity Cash'!$A:$A,$A764))</f>
        <v>647.73140000000001</v>
      </c>
      <c r="F764" s="4">
        <f>IF(SUMIFS('Daily BSE Equity Cash'!$H:$H,'Daily BSE Equity Cash'!$A:$A,$A764)=0,"",SUMIFS('Daily BSE Equity Cash'!$H:$H,'Daily BSE Equity Cash'!$A:$A,$A764))</f>
        <v>36.695500000000003</v>
      </c>
      <c r="G764" s="4">
        <f t="shared" si="99"/>
        <v>684.42690000000005</v>
      </c>
      <c r="H764" s="7">
        <f t="shared" si="100"/>
        <v>-3.3544828096594981E-2</v>
      </c>
      <c r="I764" s="7">
        <f t="shared" si="101"/>
        <v>-0.12926640596822259</v>
      </c>
      <c r="J764" s="7">
        <f t="shared" si="102"/>
        <v>-3.9207739716950796E-2</v>
      </c>
      <c r="K764" s="7">
        <f t="shared" si="105"/>
        <v>0.16721567773794965</v>
      </c>
      <c r="L764" s="7">
        <f t="shared" si="106"/>
        <v>0.18375635500270993</v>
      </c>
      <c r="M764" s="7">
        <f t="shared" si="107"/>
        <v>0.16809076889573693</v>
      </c>
      <c r="N764" s="7">
        <f t="shared" si="103"/>
        <v>0.94638507048743992</v>
      </c>
      <c r="O764" s="7">
        <f t="shared" si="104"/>
        <v>5.3614929512560069E-2</v>
      </c>
    </row>
    <row r="765" spans="1:15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4">
        <f>IF(SUMIFS('Daily NSE Equity Cash'!$H:$H,'Daily NSE Equity Cash'!$A:$A,$A765)=0,"",SUMIFS('Daily NSE Equity Cash'!$H:$H,'Daily NSE Equity Cash'!$A:$A,$A765))</f>
        <v>595.428</v>
      </c>
      <c r="F765" s="4">
        <f>IF(SUMIFS('Daily BSE Equity Cash'!$H:$H,'Daily BSE Equity Cash'!$A:$A,$A765)=0,"",SUMIFS('Daily BSE Equity Cash'!$H:$H,'Daily BSE Equity Cash'!$A:$A,$A765))</f>
        <v>42.892699999999998</v>
      </c>
      <c r="G765" s="4">
        <f t="shared" si="99"/>
        <v>638.32069999999999</v>
      </c>
      <c r="H765" s="7">
        <f t="shared" si="100"/>
        <v>0.12920951654695867</v>
      </c>
      <c r="I765" s="7">
        <f t="shared" si="101"/>
        <v>0.10363024924675357</v>
      </c>
      <c r="J765" s="7">
        <f t="shared" si="102"/>
        <v>0.12745358479048563</v>
      </c>
      <c r="K765" s="7">
        <f t="shared" si="105"/>
        <v>-8.0748594247553873E-2</v>
      </c>
      <c r="L765" s="7">
        <f t="shared" si="106"/>
        <v>0.16888174299300984</v>
      </c>
      <c r="M765" s="7">
        <f t="shared" si="107"/>
        <v>-6.7364681312204522E-2</v>
      </c>
      <c r="N765" s="7">
        <f t="shared" si="103"/>
        <v>0.93280383982534176</v>
      </c>
      <c r="O765" s="7">
        <f t="shared" si="104"/>
        <v>6.7196160174658279E-2</v>
      </c>
    </row>
    <row r="766" spans="1:15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4">
        <f>IF(SUMIFS('Daily NSE Equity Cash'!$H:$H,'Daily NSE Equity Cash'!$A:$A,$A766)=0,"",SUMIFS('Daily NSE Equity Cash'!$H:$H,'Daily NSE Equity Cash'!$A:$A,$A766))</f>
        <v>558.74639999999999</v>
      </c>
      <c r="F766" s="4">
        <f>IF(SUMIFS('Daily BSE Equity Cash'!$H:$H,'Daily BSE Equity Cash'!$A:$A,$A766)=0,"",SUMIFS('Daily BSE Equity Cash'!$H:$H,'Daily BSE Equity Cash'!$A:$A,$A766))</f>
        <v>33.551600000000001</v>
      </c>
      <c r="G766" s="4">
        <f t="shared" si="99"/>
        <v>592.298</v>
      </c>
      <c r="H766" s="7" t="str">
        <f t="shared" si="100"/>
        <v/>
      </c>
      <c r="I766" s="7" t="str">
        <f t="shared" si="101"/>
        <v/>
      </c>
      <c r="J766" s="7" t="str">
        <f t="shared" si="102"/>
        <v/>
      </c>
      <c r="K766" s="7">
        <f t="shared" si="105"/>
        <v>-6.1605433402527221E-2</v>
      </c>
      <c r="L766" s="7">
        <f t="shared" si="106"/>
        <v>-0.21777831659000246</v>
      </c>
      <c r="M766" s="7">
        <f t="shared" si="107"/>
        <v>-7.2099651476131066E-2</v>
      </c>
      <c r="N766" s="7">
        <f t="shared" si="103"/>
        <v>0.9433535146159534</v>
      </c>
      <c r="O766" s="7">
        <f t="shared" si="104"/>
        <v>5.6646485384046548E-2</v>
      </c>
    </row>
    <row r="767" spans="1:15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4">
        <f>IF(SUMIFS('Daily NSE Equity Cash'!$H:$H,'Daily NSE Equity Cash'!$A:$A,$A767)=0,"",SUMIFS('Daily NSE Equity Cash'!$H:$H,'Daily NSE Equity Cash'!$A:$A,$A767))</f>
        <v>579.23829999999998</v>
      </c>
      <c r="F767" s="4">
        <f>IF(SUMIFS('Daily BSE Equity Cash'!$H:$H,'Daily BSE Equity Cash'!$A:$A,$A767)=0,"",SUMIFS('Daily BSE Equity Cash'!$H:$H,'Daily BSE Equity Cash'!$A:$A,$A767))</f>
        <v>33.945799999999998</v>
      </c>
      <c r="G767" s="4">
        <f t="shared" si="99"/>
        <v>613.18409999999994</v>
      </c>
      <c r="H767" s="7">
        <f t="shared" si="100"/>
        <v>-6.068388459370444E-2</v>
      </c>
      <c r="I767" s="7">
        <f t="shared" si="101"/>
        <v>-0.75226564495530013</v>
      </c>
      <c r="J767" s="7">
        <f t="shared" si="102"/>
        <v>-0.18641816483977514</v>
      </c>
      <c r="K767" s="7">
        <f t="shared" si="105"/>
        <v>3.6674777680894222E-2</v>
      </c>
      <c r="L767" s="7">
        <f t="shared" si="106"/>
        <v>1.174906710857293E-2</v>
      </c>
      <c r="M767" s="7">
        <f t="shared" si="107"/>
        <v>3.5262823781272212E-2</v>
      </c>
      <c r="N767" s="7">
        <f t="shared" si="103"/>
        <v>0.94464011705456818</v>
      </c>
      <c r="O767" s="7">
        <f t="shared" si="104"/>
        <v>5.5359882945431892E-2</v>
      </c>
    </row>
    <row r="768" spans="1:15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4">
        <f>IF(SUMIFS('Daily NSE Equity Cash'!$H:$H,'Daily NSE Equity Cash'!$A:$A,$A768)=0,"",SUMIFS('Daily NSE Equity Cash'!$H:$H,'Daily NSE Equity Cash'!$A:$A,$A768))</f>
        <v>601.18790000000001</v>
      </c>
      <c r="F768" s="4">
        <f>IF(SUMIFS('Daily BSE Equity Cash'!$H:$H,'Daily BSE Equity Cash'!$A:$A,$A768)=0,"",SUMIFS('Daily BSE Equity Cash'!$H:$H,'Daily BSE Equity Cash'!$A:$A,$A768))</f>
        <v>31.1006</v>
      </c>
      <c r="G768" s="4">
        <f t="shared" si="99"/>
        <v>632.2885</v>
      </c>
      <c r="H768" s="7">
        <f t="shared" si="100"/>
        <v>0.15232082698892424</v>
      </c>
      <c r="I768" s="7">
        <f t="shared" si="101"/>
        <v>-0.2367126757244955</v>
      </c>
      <c r="J768" s="7">
        <f t="shared" si="102"/>
        <v>0.12413879055187094</v>
      </c>
      <c r="K768" s="7">
        <f t="shared" si="105"/>
        <v>3.789390307926821E-2</v>
      </c>
      <c r="L768" s="7">
        <f t="shared" si="106"/>
        <v>-8.3815965450806829E-2</v>
      </c>
      <c r="M768" s="7">
        <f t="shared" si="107"/>
        <v>3.1156059004139314E-2</v>
      </c>
      <c r="N768" s="7">
        <f t="shared" si="103"/>
        <v>0.95081264327913606</v>
      </c>
      <c r="O768" s="7">
        <f t="shared" si="104"/>
        <v>4.9187356720863974E-2</v>
      </c>
    </row>
    <row r="769" spans="1:15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4">
        <f>IF(SUMIFS('Daily NSE Equity Cash'!$H:$H,'Daily NSE Equity Cash'!$A:$A,$A769)=0,"",SUMIFS('Daily NSE Equity Cash'!$H:$H,'Daily NSE Equity Cash'!$A:$A,$A769))</f>
        <v>563.31330000000003</v>
      </c>
      <c r="F769" s="4">
        <f>IF(SUMIFS('Daily BSE Equity Cash'!$H:$H,'Daily BSE Equity Cash'!$A:$A,$A769)=0,"",SUMIFS('Daily BSE Equity Cash'!$H:$H,'Daily BSE Equity Cash'!$A:$A,$A769))</f>
        <v>34.684699999999999</v>
      </c>
      <c r="G769" s="4">
        <f t="shared" si="99"/>
        <v>597.99800000000005</v>
      </c>
      <c r="H769" s="7" t="str">
        <f t="shared" si="100"/>
        <v/>
      </c>
      <c r="I769" s="7" t="str">
        <f t="shared" si="101"/>
        <v/>
      </c>
      <c r="J769" s="7" t="str">
        <f t="shared" si="102"/>
        <v/>
      </c>
      <c r="K769" s="7">
        <f t="shared" si="105"/>
        <v>-6.2999604616127525E-2</v>
      </c>
      <c r="L769" s="7">
        <f t="shared" si="106"/>
        <v>0.11524214966913826</v>
      </c>
      <c r="M769" s="7">
        <f t="shared" si="107"/>
        <v>-5.423236386554553E-2</v>
      </c>
      <c r="N769" s="7">
        <f t="shared" si="103"/>
        <v>0.94199863544694129</v>
      </c>
      <c r="O769" s="7">
        <f t="shared" si="104"/>
        <v>5.8001364553058703E-2</v>
      </c>
    </row>
    <row r="770" spans="1:15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4">
        <f>IF(SUMIFS('Daily NSE Equity Cash'!$H:$H,'Daily NSE Equity Cash'!$A:$A,$A770)=0,"",SUMIFS('Daily NSE Equity Cash'!$H:$H,'Daily NSE Equity Cash'!$A:$A,$A770))</f>
        <v>629.94569999999999</v>
      </c>
      <c r="F770" s="4">
        <f>IF(SUMIFS('Daily BSE Equity Cash'!$H:$H,'Daily BSE Equity Cash'!$A:$A,$A770)=0,"",SUMIFS('Daily BSE Equity Cash'!$H:$H,'Daily BSE Equity Cash'!$A:$A,$A770))</f>
        <v>36.117899999999999</v>
      </c>
      <c r="G770" s="4">
        <f t="shared" ref="G770:G833" si="108">IF(OR(E770="",F770=""),"",E770+F770)</f>
        <v>666.06359999999995</v>
      </c>
      <c r="H770" s="7">
        <f t="shared" ref="H770:H833" si="109">IFERROR(IF(OR(E770="",INDEX(E:E,MATCH(DATE(YEAR($A770)-1,MONTH($A770),DAY($A770)),$A:$A,0))=""),"",E770/INDEX(E:E,MATCH(DATE(YEAR($A770)-1,MONTH($A770),DAY($A770)),$A:$A,0))-1),"")</f>
        <v>0.12784893685703724</v>
      </c>
      <c r="I770" s="7">
        <f t="shared" ref="I770:I833" si="110">IFERROR(IF(OR(F770="",INDEX(F:F,MATCH(DATE(YEAR($A770)-1,MONTH($A770),DAY($A770)),$A:$A,0))=""),"",F770/INDEX(F:F,MATCH(DATE(YEAR($A770)-1,MONTH($A770),DAY($A770)),$A:$A,0))-1),"")</f>
        <v>-0.13669338164817013</v>
      </c>
      <c r="J770" s="7">
        <f t="shared" ref="J770:J833" si="111">IFERROR(IF(OR(G770="",INDEX(G:G,MATCH(DATE(YEAR($A770)-1,MONTH($A770),DAY($A770)),$A:$A,0))=""),"",G770/INDEX(G:G,MATCH(DATE(YEAR($A770)-1,MONTH($A770),DAY($A770)),$A:$A,0))-1),"")</f>
        <v>0.10941446498349361</v>
      </c>
      <c r="K770" s="7">
        <f t="shared" si="105"/>
        <v>0.11828657338642623</v>
      </c>
      <c r="L770" s="7">
        <f t="shared" si="106"/>
        <v>4.1320812923277384E-2</v>
      </c>
      <c r="M770" s="7">
        <f t="shared" si="107"/>
        <v>0.11382245425569959</v>
      </c>
      <c r="N770" s="7">
        <f t="shared" ref="N770:N833" si="112">IF(G770="","",E770/G770)</f>
        <v>0.94577409724837092</v>
      </c>
      <c r="O770" s="7">
        <f t="shared" ref="O770:O833" si="113">IF(G770="","",F770/G770)</f>
        <v>5.4225902751629126E-2</v>
      </c>
    </row>
    <row r="771" spans="1:15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4">
        <f>IF(SUMIFS('Daily NSE Equity Cash'!$H:$H,'Daily NSE Equity Cash'!$A:$A,$A771)=0,"",SUMIFS('Daily NSE Equity Cash'!$H:$H,'Daily NSE Equity Cash'!$A:$A,$A771))</f>
        <v>517.40470000000005</v>
      </c>
      <c r="F771" s="4">
        <f>IF(SUMIFS('Daily BSE Equity Cash'!$H:$H,'Daily BSE Equity Cash'!$A:$A,$A771)=0,"",SUMIFS('Daily BSE Equity Cash'!$H:$H,'Daily BSE Equity Cash'!$A:$A,$A771))</f>
        <v>28.0425</v>
      </c>
      <c r="G771" s="4">
        <f t="shared" si="108"/>
        <v>545.44720000000007</v>
      </c>
      <c r="H771" s="7">
        <f t="shared" si="109"/>
        <v>-3.485802245063252E-2</v>
      </c>
      <c r="I771" s="7">
        <f t="shared" si="110"/>
        <v>-0.20976323190423307</v>
      </c>
      <c r="J771" s="7">
        <f t="shared" si="111"/>
        <v>-4.5716945018877353E-2</v>
      </c>
      <c r="K771" s="7">
        <f t="shared" ref="K771:K834" si="114">IF(OR(E771="",E770=""),"",E771/E770-1)</f>
        <v>-0.17865190602936087</v>
      </c>
      <c r="L771" s="7">
        <f t="shared" ref="L771:L834" si="115">IF(OR(F771="",F770=""),"",F771/F770-1)</f>
        <v>-0.22358442766606024</v>
      </c>
      <c r="M771" s="7">
        <f t="shared" ref="M771:M834" si="116">IF(OR(G771="",G770=""),"",G771/G770-1)</f>
        <v>-0.18108841257801789</v>
      </c>
      <c r="N771" s="7">
        <f t="shared" si="112"/>
        <v>0.94858805765250964</v>
      </c>
      <c r="O771" s="7">
        <f t="shared" si="113"/>
        <v>5.1411942347490275E-2</v>
      </c>
    </row>
    <row r="772" spans="1:15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4">
        <f>IF(SUMIFS('Daily NSE Equity Cash'!$H:$H,'Daily NSE Equity Cash'!$A:$A,$A772)=0,"",SUMIFS('Daily NSE Equity Cash'!$H:$H,'Daily NSE Equity Cash'!$A:$A,$A772))</f>
        <v>571.0838</v>
      </c>
      <c r="F772" s="4">
        <f>IF(SUMIFS('Daily BSE Equity Cash'!$H:$H,'Daily BSE Equity Cash'!$A:$A,$A772)=0,"",SUMIFS('Daily BSE Equity Cash'!$H:$H,'Daily BSE Equity Cash'!$A:$A,$A772))</f>
        <v>32.618499999999997</v>
      </c>
      <c r="G772" s="4">
        <f t="shared" si="108"/>
        <v>603.70230000000004</v>
      </c>
      <c r="H772" s="7">
        <f t="shared" si="109"/>
        <v>-5.7858157685132583E-2</v>
      </c>
      <c r="I772" s="7">
        <f t="shared" si="110"/>
        <v>-0.2785943664962226</v>
      </c>
      <c r="J772" s="7">
        <f t="shared" si="111"/>
        <v>-7.3180680719099667E-2</v>
      </c>
      <c r="K772" s="7">
        <f t="shared" si="114"/>
        <v>0.10374683492438308</v>
      </c>
      <c r="L772" s="7">
        <f t="shared" si="115"/>
        <v>0.16318088615494331</v>
      </c>
      <c r="M772" s="7">
        <f t="shared" si="116"/>
        <v>0.1068024549397264</v>
      </c>
      <c r="N772" s="7">
        <f t="shared" si="112"/>
        <v>0.94596923019839407</v>
      </c>
      <c r="O772" s="7">
        <f t="shared" si="113"/>
        <v>5.403076980160585E-2</v>
      </c>
    </row>
    <row r="773" spans="1:15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4">
        <f>IF(SUMIFS('Daily NSE Equity Cash'!$H:$H,'Daily NSE Equity Cash'!$A:$A,$A773)=0,"",SUMIFS('Daily NSE Equity Cash'!$H:$H,'Daily NSE Equity Cash'!$A:$A,$A773))</f>
        <v>538.07910000000004</v>
      </c>
      <c r="F773" s="4">
        <f>IF(SUMIFS('Daily BSE Equity Cash'!$H:$H,'Daily BSE Equity Cash'!$A:$A,$A773)=0,"",SUMIFS('Daily BSE Equity Cash'!$H:$H,'Daily BSE Equity Cash'!$A:$A,$A773))</f>
        <v>32.453499999999998</v>
      </c>
      <c r="G773" s="4">
        <f t="shared" si="108"/>
        <v>570.5326</v>
      </c>
      <c r="H773" s="7">
        <f t="shared" si="109"/>
        <v>-5.0369101505914227E-2</v>
      </c>
      <c r="I773" s="7">
        <f t="shared" si="110"/>
        <v>-0.18312819351103726</v>
      </c>
      <c r="J773" s="7">
        <f t="shared" si="111"/>
        <v>-5.9067710599289391E-2</v>
      </c>
      <c r="K773" s="7">
        <f t="shared" si="114"/>
        <v>-5.7793094463544525E-2</v>
      </c>
      <c r="L773" s="7">
        <f t="shared" si="115"/>
        <v>-5.0584790839554028E-3</v>
      </c>
      <c r="M773" s="7">
        <f t="shared" si="116"/>
        <v>-5.4943802599393798E-2</v>
      </c>
      <c r="N773" s="7">
        <f t="shared" si="112"/>
        <v>0.94311718559114766</v>
      </c>
      <c r="O773" s="7">
        <f t="shared" si="113"/>
        <v>5.6882814408852359E-2</v>
      </c>
    </row>
    <row r="774" spans="1:15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4">
        <f>IF(SUMIFS('Daily NSE Equity Cash'!$H:$H,'Daily NSE Equity Cash'!$A:$A,$A774)=0,"",SUMIFS('Daily NSE Equity Cash'!$H:$H,'Daily NSE Equity Cash'!$A:$A,$A774))</f>
        <v>511.904</v>
      </c>
      <c r="F774" s="4">
        <f>IF(SUMIFS('Daily BSE Equity Cash'!$H:$H,'Daily BSE Equity Cash'!$A:$A,$A774)=0,"",SUMIFS('Daily BSE Equity Cash'!$H:$H,'Daily BSE Equity Cash'!$A:$A,$A774))</f>
        <v>34.118299999999998</v>
      </c>
      <c r="G774" s="4">
        <f t="shared" si="108"/>
        <v>546.02229999999997</v>
      </c>
      <c r="H774" s="7" t="str">
        <f t="shared" si="109"/>
        <v/>
      </c>
      <c r="I774" s="7" t="str">
        <f t="shared" si="110"/>
        <v/>
      </c>
      <c r="J774" s="7" t="str">
        <f t="shared" si="111"/>
        <v/>
      </c>
      <c r="K774" s="7">
        <f t="shared" si="114"/>
        <v>-4.8645450083454334E-2</v>
      </c>
      <c r="L774" s="7">
        <f t="shared" si="115"/>
        <v>5.1298011000354249E-2</v>
      </c>
      <c r="M774" s="7">
        <f t="shared" si="116"/>
        <v>-4.296038473524566E-2</v>
      </c>
      <c r="N774" s="7">
        <f t="shared" si="112"/>
        <v>0.93751482311253587</v>
      </c>
      <c r="O774" s="7">
        <f t="shared" si="113"/>
        <v>6.2485176887464119E-2</v>
      </c>
    </row>
    <row r="775" spans="1:15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4">
        <f>IF(SUMIFS('Daily NSE Equity Cash'!$H:$H,'Daily NSE Equity Cash'!$A:$A,$A775)=0,"",SUMIFS('Daily NSE Equity Cash'!$H:$H,'Daily NSE Equity Cash'!$A:$A,$A775))</f>
        <v>564.76220000000001</v>
      </c>
      <c r="F775" s="4">
        <f>IF(SUMIFS('Daily BSE Equity Cash'!$H:$H,'Daily BSE Equity Cash'!$A:$A,$A775)=0,"",SUMIFS('Daily BSE Equity Cash'!$H:$H,'Daily BSE Equity Cash'!$A:$A,$A775))</f>
        <v>31.882899999999999</v>
      </c>
      <c r="G775" s="4">
        <f t="shared" si="108"/>
        <v>596.64509999999996</v>
      </c>
      <c r="H775" s="7">
        <f t="shared" si="109"/>
        <v>0.20513351246526046</v>
      </c>
      <c r="I775" s="7">
        <f t="shared" si="110"/>
        <v>1.8629512009661342E-2</v>
      </c>
      <c r="J775" s="7">
        <f t="shared" si="111"/>
        <v>0.19345680657019715</v>
      </c>
      <c r="K775" s="7">
        <f t="shared" si="114"/>
        <v>0.10325803275614187</v>
      </c>
      <c r="L775" s="7">
        <f t="shared" si="115"/>
        <v>-6.5519090927742552E-2</v>
      </c>
      <c r="M775" s="7">
        <f t="shared" si="116"/>
        <v>9.2711964328196839E-2</v>
      </c>
      <c r="N775" s="7">
        <f t="shared" si="112"/>
        <v>0.94656304057470686</v>
      </c>
      <c r="O775" s="7">
        <f t="shared" si="113"/>
        <v>5.3436959425293196E-2</v>
      </c>
    </row>
    <row r="776" spans="1:15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4">
        <f>IF(SUMIFS('Daily NSE Equity Cash'!$H:$H,'Daily NSE Equity Cash'!$A:$A,$A776)=0,"",SUMIFS('Daily NSE Equity Cash'!$H:$H,'Daily NSE Equity Cash'!$A:$A,$A776))</f>
        <v>551.10640000000001</v>
      </c>
      <c r="F776" s="4">
        <f>IF(SUMIFS('Daily BSE Equity Cash'!$H:$H,'Daily BSE Equity Cash'!$A:$A,$A776)=0,"",SUMIFS('Daily BSE Equity Cash'!$H:$H,'Daily BSE Equity Cash'!$A:$A,$A776))</f>
        <v>32.807499999999997</v>
      </c>
      <c r="G776" s="4">
        <f t="shared" si="108"/>
        <v>583.91390000000001</v>
      </c>
      <c r="H776" s="7">
        <f t="shared" si="109"/>
        <v>-1.5305206278745542E-2</v>
      </c>
      <c r="I776" s="7">
        <f t="shared" si="110"/>
        <v>-0.11877440947208395</v>
      </c>
      <c r="J776" s="7">
        <f t="shared" si="111"/>
        <v>-2.1758691590256674E-2</v>
      </c>
      <c r="K776" s="7">
        <f t="shared" si="114"/>
        <v>-2.4179734408570575E-2</v>
      </c>
      <c r="L776" s="7">
        <f t="shared" si="115"/>
        <v>2.8999871404420396E-2</v>
      </c>
      <c r="M776" s="7">
        <f t="shared" si="116"/>
        <v>-2.1337977970488531E-2</v>
      </c>
      <c r="N776" s="7">
        <f t="shared" si="112"/>
        <v>0.94381449045826793</v>
      </c>
      <c r="O776" s="7">
        <f t="shared" si="113"/>
        <v>5.6185509541732091E-2</v>
      </c>
    </row>
    <row r="777" spans="1:15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4">
        <f>IF(SUMIFS('Daily NSE Equity Cash'!$H:$H,'Daily NSE Equity Cash'!$A:$A,$A777)=0,"",SUMIFS('Daily NSE Equity Cash'!$H:$H,'Daily NSE Equity Cash'!$A:$A,$A777))</f>
        <v>562.5154</v>
      </c>
      <c r="F777" s="4">
        <f>IF(SUMIFS('Daily BSE Equity Cash'!$H:$H,'Daily BSE Equity Cash'!$A:$A,$A777)=0,"",SUMIFS('Daily BSE Equity Cash'!$H:$H,'Daily BSE Equity Cash'!$A:$A,$A777))</f>
        <v>32.468600000000002</v>
      </c>
      <c r="G777" s="4">
        <f t="shared" si="108"/>
        <v>594.98400000000004</v>
      </c>
      <c r="H777" s="7">
        <f t="shared" si="109"/>
        <v>-6.1416079963492076E-2</v>
      </c>
      <c r="I777" s="7">
        <f t="shared" si="110"/>
        <v>-0.13233352752227379</v>
      </c>
      <c r="J777" s="7">
        <f t="shared" si="111"/>
        <v>-6.5583803603362689E-2</v>
      </c>
      <c r="K777" s="7">
        <f t="shared" si="114"/>
        <v>2.0701991484765925E-2</v>
      </c>
      <c r="L777" s="7">
        <f t="shared" si="115"/>
        <v>-1.0329955040767946E-2</v>
      </c>
      <c r="M777" s="7">
        <f t="shared" si="116"/>
        <v>1.8958445757156994E-2</v>
      </c>
      <c r="N777" s="7">
        <f t="shared" si="112"/>
        <v>0.94542945692657276</v>
      </c>
      <c r="O777" s="7">
        <f t="shared" si="113"/>
        <v>5.4570543073427187E-2</v>
      </c>
    </row>
    <row r="778" spans="1:15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4">
        <f>IF(SUMIFS('Daily NSE Equity Cash'!$H:$H,'Daily NSE Equity Cash'!$A:$A,$A778)=0,"",SUMIFS('Daily NSE Equity Cash'!$H:$H,'Daily NSE Equity Cash'!$A:$A,$A778))</f>
        <v>550.84370000000001</v>
      </c>
      <c r="F778" s="4">
        <f>IF(SUMIFS('Daily BSE Equity Cash'!$H:$H,'Daily BSE Equity Cash'!$A:$A,$A778)=0,"",SUMIFS('Daily BSE Equity Cash'!$H:$H,'Daily BSE Equity Cash'!$A:$A,$A778))</f>
        <v>32.794899999999998</v>
      </c>
      <c r="G778" s="4">
        <f t="shared" si="108"/>
        <v>583.6386</v>
      </c>
      <c r="H778" s="7">
        <f t="shared" si="109"/>
        <v>1.7299553590885974E-2</v>
      </c>
      <c r="I778" s="7">
        <f t="shared" si="110"/>
        <v>-0.14963996691377623</v>
      </c>
      <c r="J778" s="7">
        <f t="shared" si="111"/>
        <v>6.2000650642202171E-3</v>
      </c>
      <c r="K778" s="7">
        <f t="shared" si="114"/>
        <v>-2.0749120824069878E-2</v>
      </c>
      <c r="L778" s="7">
        <f t="shared" si="115"/>
        <v>1.0049709565549403E-2</v>
      </c>
      <c r="M778" s="7">
        <f t="shared" si="116"/>
        <v>-1.9068411923682027E-2</v>
      </c>
      <c r="N778" s="7">
        <f t="shared" si="112"/>
        <v>0.94380957667981524</v>
      </c>
      <c r="O778" s="7">
        <f t="shared" si="113"/>
        <v>5.6190423320184785E-2</v>
      </c>
    </row>
    <row r="779" spans="1:15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4">
        <f>IF(SUMIFS('Daily NSE Equity Cash'!$H:$H,'Daily NSE Equity Cash'!$A:$A,$A779)=0,"",SUMIFS('Daily NSE Equity Cash'!$H:$H,'Daily NSE Equity Cash'!$A:$A,$A779))</f>
        <v>577.91089999999997</v>
      </c>
      <c r="F779" s="4">
        <f>IF(SUMIFS('Daily BSE Equity Cash'!$H:$H,'Daily BSE Equity Cash'!$A:$A,$A779)=0,"",SUMIFS('Daily BSE Equity Cash'!$H:$H,'Daily BSE Equity Cash'!$A:$A,$A779))</f>
        <v>40.065199999999997</v>
      </c>
      <c r="G779" s="4">
        <f t="shared" si="108"/>
        <v>617.97609999999997</v>
      </c>
      <c r="H779" s="7" t="str">
        <f t="shared" si="109"/>
        <v/>
      </c>
      <c r="I779" s="7" t="str">
        <f t="shared" si="110"/>
        <v/>
      </c>
      <c r="J779" s="7" t="str">
        <f t="shared" si="111"/>
        <v/>
      </c>
      <c r="K779" s="7">
        <f t="shared" si="114"/>
        <v>4.9137713656342008E-2</v>
      </c>
      <c r="L779" s="7">
        <f t="shared" si="115"/>
        <v>0.22168995788979373</v>
      </c>
      <c r="M779" s="7">
        <f t="shared" si="116"/>
        <v>5.8833497304667581E-2</v>
      </c>
      <c r="N779" s="7">
        <f t="shared" si="112"/>
        <v>0.93516707199517912</v>
      </c>
      <c r="O779" s="7">
        <f t="shared" si="113"/>
        <v>6.4832928004820892E-2</v>
      </c>
    </row>
    <row r="780" spans="1:15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4">
        <f>IF(SUMIFS('Daily NSE Equity Cash'!$H:$H,'Daily NSE Equity Cash'!$A:$A,$A780)=0,"",SUMIFS('Daily NSE Equity Cash'!$H:$H,'Daily NSE Equity Cash'!$A:$A,$A780))</f>
        <v>598.54330000000004</v>
      </c>
      <c r="F780" s="4">
        <f>IF(SUMIFS('Daily BSE Equity Cash'!$H:$H,'Daily BSE Equity Cash'!$A:$A,$A780)=0,"",SUMIFS('Daily BSE Equity Cash'!$H:$H,'Daily BSE Equity Cash'!$A:$A,$A780))</f>
        <v>42.7318</v>
      </c>
      <c r="G780" s="4">
        <f t="shared" si="108"/>
        <v>641.27510000000007</v>
      </c>
      <c r="H780" s="7">
        <f t="shared" si="109"/>
        <v>8.7880776165411456E-2</v>
      </c>
      <c r="I780" s="7">
        <f t="shared" si="110"/>
        <v>0.1986210688119201</v>
      </c>
      <c r="J780" s="7">
        <f t="shared" si="111"/>
        <v>9.4619751237021266E-2</v>
      </c>
      <c r="K780" s="7">
        <f t="shared" si="114"/>
        <v>3.5701697268558208E-2</v>
      </c>
      <c r="L780" s="7">
        <f t="shared" si="115"/>
        <v>6.6556512883999108E-2</v>
      </c>
      <c r="M780" s="7">
        <f t="shared" si="116"/>
        <v>3.7702105307956257E-2</v>
      </c>
      <c r="N780" s="7">
        <f t="shared" si="112"/>
        <v>0.93336432367325661</v>
      </c>
      <c r="O780" s="7">
        <f t="shared" si="113"/>
        <v>6.6635676326743387E-2</v>
      </c>
    </row>
    <row r="781" spans="1:15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4">
        <f>IF(SUMIFS('Daily NSE Equity Cash'!$H:$H,'Daily NSE Equity Cash'!$A:$A,$A781)=0,"",SUMIFS('Daily NSE Equity Cash'!$H:$H,'Daily NSE Equity Cash'!$A:$A,$A781))</f>
        <v>600.24950000000001</v>
      </c>
      <c r="F781" s="4">
        <f>IF(SUMIFS('Daily BSE Equity Cash'!$H:$H,'Daily BSE Equity Cash'!$A:$A,$A781)=0,"",SUMIFS('Daily BSE Equity Cash'!$H:$H,'Daily BSE Equity Cash'!$A:$A,$A781))</f>
        <v>40.955199999999998</v>
      </c>
      <c r="G781" s="4">
        <f t="shared" si="108"/>
        <v>641.2047</v>
      </c>
      <c r="H781" s="7">
        <f t="shared" si="109"/>
        <v>0.16220324100562378</v>
      </c>
      <c r="I781" s="7">
        <f t="shared" si="110"/>
        <v>0.3715786054206478</v>
      </c>
      <c r="J781" s="7">
        <f t="shared" si="111"/>
        <v>0.17364662806034525</v>
      </c>
      <c r="K781" s="7">
        <f t="shared" si="114"/>
        <v>2.8505874178190727E-3</v>
      </c>
      <c r="L781" s="7">
        <f t="shared" si="115"/>
        <v>-4.1575594756130152E-2</v>
      </c>
      <c r="M781" s="7">
        <f t="shared" si="116"/>
        <v>-1.0978127795713277E-4</v>
      </c>
      <c r="N781" s="7">
        <f t="shared" si="112"/>
        <v>0.936127729569044</v>
      </c>
      <c r="O781" s="7">
        <f t="shared" si="113"/>
        <v>6.3872270430955974E-2</v>
      </c>
    </row>
    <row r="782" spans="1:15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4">
        <f>IF(SUMIFS('Daily NSE Equity Cash'!$H:$H,'Daily NSE Equity Cash'!$A:$A,$A782)=0,"",SUMIFS('Daily NSE Equity Cash'!$H:$H,'Daily NSE Equity Cash'!$A:$A,$A782))</f>
        <v>555.52260000000001</v>
      </c>
      <c r="F782" s="4">
        <f>IF(SUMIFS('Daily BSE Equity Cash'!$H:$H,'Daily BSE Equity Cash'!$A:$A,$A782)=0,"",SUMIFS('Daily BSE Equity Cash'!$H:$H,'Daily BSE Equity Cash'!$A:$A,$A782))</f>
        <v>35.448300000000003</v>
      </c>
      <c r="G782" s="4">
        <f t="shared" si="108"/>
        <v>590.97090000000003</v>
      </c>
      <c r="H782" s="7">
        <f t="shared" si="109"/>
        <v>0.12314097908839039</v>
      </c>
      <c r="I782" s="7">
        <f t="shared" si="110"/>
        <v>9.9898537638812623E-2</v>
      </c>
      <c r="J782" s="7">
        <f t="shared" si="111"/>
        <v>0.12171916577187281</v>
      </c>
      <c r="K782" s="7">
        <f t="shared" si="114"/>
        <v>-7.451384799154348E-2</v>
      </c>
      <c r="L782" s="7">
        <f t="shared" si="115"/>
        <v>-0.13446155799507742</v>
      </c>
      <c r="M782" s="7">
        <f t="shared" si="116"/>
        <v>-7.8342844336605766E-2</v>
      </c>
      <c r="N782" s="7">
        <f t="shared" si="112"/>
        <v>0.94001684346894232</v>
      </c>
      <c r="O782" s="7">
        <f t="shared" si="113"/>
        <v>5.9983156531057624E-2</v>
      </c>
    </row>
    <row r="783" spans="1:15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4">
        <f>IF(SUMIFS('Daily NSE Equity Cash'!$H:$H,'Daily NSE Equity Cash'!$A:$A,$A783)=0,"",SUMIFS('Daily NSE Equity Cash'!$H:$H,'Daily NSE Equity Cash'!$A:$A,$A783))</f>
        <v>545.8578</v>
      </c>
      <c r="F783" s="4">
        <f>IF(SUMIFS('Daily BSE Equity Cash'!$H:$H,'Daily BSE Equity Cash'!$A:$A,$A783)=0,"",SUMIFS('Daily BSE Equity Cash'!$H:$H,'Daily BSE Equity Cash'!$A:$A,$A783))</f>
        <v>49.867600000000003</v>
      </c>
      <c r="G783" s="4">
        <f t="shared" si="108"/>
        <v>595.72540000000004</v>
      </c>
      <c r="H783" s="7">
        <f t="shared" si="109"/>
        <v>-8.5403050254947543E-2</v>
      </c>
      <c r="I783" s="7">
        <f t="shared" si="110"/>
        <v>0.39252185082795799</v>
      </c>
      <c r="J783" s="7">
        <f t="shared" si="111"/>
        <v>-5.8349790828841286E-2</v>
      </c>
      <c r="K783" s="7">
        <f t="shared" si="114"/>
        <v>-1.7397672029904832E-2</v>
      </c>
      <c r="L783" s="7">
        <f t="shared" si="115"/>
        <v>0.40676985920340325</v>
      </c>
      <c r="M783" s="7">
        <f t="shared" si="116"/>
        <v>8.0452353914550745E-3</v>
      </c>
      <c r="N783" s="7">
        <f t="shared" si="112"/>
        <v>0.91629096224535656</v>
      </c>
      <c r="O783" s="7">
        <f t="shared" si="113"/>
        <v>8.3709037754643334E-2</v>
      </c>
    </row>
    <row r="784" spans="1:15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4">
        <f>IF(SUMIFS('Daily NSE Equity Cash'!$H:$H,'Daily NSE Equity Cash'!$A:$A,$A784)=0,"",SUMIFS('Daily NSE Equity Cash'!$H:$H,'Daily NSE Equity Cash'!$A:$A,$A784))</f>
        <v>533.31299999999999</v>
      </c>
      <c r="F784" s="4">
        <f>IF(SUMIFS('Daily BSE Equity Cash'!$H:$H,'Daily BSE Equity Cash'!$A:$A,$A784)=0,"",SUMIFS('Daily BSE Equity Cash'!$H:$H,'Daily BSE Equity Cash'!$A:$A,$A784))</f>
        <v>36.4895</v>
      </c>
      <c r="G784" s="4">
        <f t="shared" si="108"/>
        <v>569.80250000000001</v>
      </c>
      <c r="H784" s="7" t="str">
        <f t="shared" si="109"/>
        <v/>
      </c>
      <c r="I784" s="7" t="str">
        <f t="shared" si="110"/>
        <v/>
      </c>
      <c r="J784" s="7" t="str">
        <f t="shared" si="111"/>
        <v/>
      </c>
      <c r="K784" s="7">
        <f t="shared" si="114"/>
        <v>-2.298180954820106E-2</v>
      </c>
      <c r="L784" s="7">
        <f t="shared" si="115"/>
        <v>-0.26827238527621144</v>
      </c>
      <c r="M784" s="7">
        <f t="shared" si="116"/>
        <v>-4.3514847612675323E-2</v>
      </c>
      <c r="N784" s="7">
        <f t="shared" si="112"/>
        <v>0.93596114443162315</v>
      </c>
      <c r="O784" s="7">
        <f t="shared" si="113"/>
        <v>6.4038855568376754E-2</v>
      </c>
    </row>
    <row r="785" spans="1:15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4">
        <f>IF(SUMIFS('Daily NSE Equity Cash'!$H:$H,'Daily NSE Equity Cash'!$A:$A,$A785)=0,"",SUMIFS('Daily NSE Equity Cash'!$H:$H,'Daily NSE Equity Cash'!$A:$A,$A785))</f>
        <v>548.67639999999994</v>
      </c>
      <c r="F785" s="4">
        <f>IF(SUMIFS('Daily BSE Equity Cash'!$H:$H,'Daily BSE Equity Cash'!$A:$A,$A785)=0,"",SUMIFS('Daily BSE Equity Cash'!$H:$H,'Daily BSE Equity Cash'!$A:$A,$A785))</f>
        <v>40.352699999999999</v>
      </c>
      <c r="G785" s="4">
        <f t="shared" si="108"/>
        <v>589.02909999999997</v>
      </c>
      <c r="H785" s="7">
        <f t="shared" si="109"/>
        <v>7.3185730534102378E-2</v>
      </c>
      <c r="I785" s="7">
        <f t="shared" si="110"/>
        <v>0.18508739985433342</v>
      </c>
      <c r="J785" s="7">
        <f t="shared" si="111"/>
        <v>8.0173127243792885E-2</v>
      </c>
      <c r="K785" s="7">
        <f t="shared" si="114"/>
        <v>2.8807473284918839E-2</v>
      </c>
      <c r="L785" s="7">
        <f t="shared" si="115"/>
        <v>0.10587155209032728</v>
      </c>
      <c r="M785" s="7">
        <f t="shared" si="116"/>
        <v>3.3742568697048503E-2</v>
      </c>
      <c r="N785" s="7">
        <f t="shared" si="112"/>
        <v>0.93149285833246609</v>
      </c>
      <c r="O785" s="7">
        <f t="shared" si="113"/>
        <v>6.8507141667533911E-2</v>
      </c>
    </row>
    <row r="786" spans="1:15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4">
        <f>IF(SUMIFS('Daily NSE Equity Cash'!$H:$H,'Daily NSE Equity Cash'!$A:$A,$A786)=0,"",SUMIFS('Daily NSE Equity Cash'!$H:$H,'Daily NSE Equity Cash'!$A:$A,$A786))</f>
        <v>1358.7869000000001</v>
      </c>
      <c r="F786" s="4">
        <f>IF(SUMIFS('Daily BSE Equity Cash'!$H:$H,'Daily BSE Equity Cash'!$A:$A,$A786)=0,"",SUMIFS('Daily BSE Equity Cash'!$H:$H,'Daily BSE Equity Cash'!$A:$A,$A786))</f>
        <v>60.480200000000004</v>
      </c>
      <c r="G786" s="4">
        <f t="shared" si="108"/>
        <v>1419.2671</v>
      </c>
      <c r="H786" s="7">
        <f t="shared" si="109"/>
        <v>0.22431698257917465</v>
      </c>
      <c r="I786" s="7">
        <f t="shared" si="110"/>
        <v>0.58202544625107255</v>
      </c>
      <c r="J786" s="7">
        <f t="shared" si="111"/>
        <v>0.23622840295586789</v>
      </c>
      <c r="K786" s="7">
        <f t="shared" si="114"/>
        <v>1.4764814014234986</v>
      </c>
      <c r="L786" s="7">
        <f t="shared" si="115"/>
        <v>0.49878942425166106</v>
      </c>
      <c r="M786" s="7">
        <f t="shared" si="116"/>
        <v>1.409502518636176</v>
      </c>
      <c r="N786" s="7">
        <f t="shared" si="112"/>
        <v>0.95738631579637123</v>
      </c>
      <c r="O786" s="7">
        <f t="shared" si="113"/>
        <v>4.2613684203628759E-2</v>
      </c>
    </row>
    <row r="787" spans="1:15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4">
        <f>IF(SUMIFS('Daily NSE Equity Cash'!$H:$H,'Daily NSE Equity Cash'!$A:$A,$A787)=0,"",SUMIFS('Daily NSE Equity Cash'!$H:$H,'Daily NSE Equity Cash'!$A:$A,$A787))</f>
        <v>584.20709999999997</v>
      </c>
      <c r="F787" s="4">
        <f>IF(SUMIFS('Daily BSE Equity Cash'!$H:$H,'Daily BSE Equity Cash'!$A:$A,$A787)=0,"",SUMIFS('Daily BSE Equity Cash'!$H:$H,'Daily BSE Equity Cash'!$A:$A,$A787))</f>
        <v>38.784100000000002</v>
      </c>
      <c r="G787" s="4">
        <f t="shared" si="108"/>
        <v>622.99119999999994</v>
      </c>
      <c r="H787" s="7">
        <f t="shared" si="109"/>
        <v>0.17426296899597515</v>
      </c>
      <c r="I787" s="7">
        <f t="shared" si="110"/>
        <v>-4.1769302799032348E-2</v>
      </c>
      <c r="J787" s="7">
        <f t="shared" si="111"/>
        <v>0.15801000140710419</v>
      </c>
      <c r="K787" s="7">
        <f t="shared" si="114"/>
        <v>-0.57005244898960983</v>
      </c>
      <c r="L787" s="7">
        <f t="shared" si="115"/>
        <v>-0.35873062589078741</v>
      </c>
      <c r="M787" s="7">
        <f t="shared" si="116"/>
        <v>-0.56104724755474145</v>
      </c>
      <c r="N787" s="7">
        <f t="shared" si="112"/>
        <v>0.93774534856993175</v>
      </c>
      <c r="O787" s="7">
        <f t="shared" si="113"/>
        <v>6.2254651430068364E-2</v>
      </c>
    </row>
    <row r="788" spans="1:15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4">
        <f>IF(SUMIFS('Daily NSE Equity Cash'!$H:$H,'Daily NSE Equity Cash'!$A:$A,$A788)=0,"",SUMIFS('Daily NSE Equity Cash'!$H:$H,'Daily NSE Equity Cash'!$A:$A,$A788))</f>
        <v>591.49459999999999</v>
      </c>
      <c r="F788" s="4">
        <f>IF(SUMIFS('Daily BSE Equity Cash'!$H:$H,'Daily BSE Equity Cash'!$A:$A,$A788)=0,"",SUMIFS('Daily BSE Equity Cash'!$H:$H,'Daily BSE Equity Cash'!$A:$A,$A788))</f>
        <v>35.7881</v>
      </c>
      <c r="G788" s="4">
        <f t="shared" si="108"/>
        <v>627.28269999999998</v>
      </c>
      <c r="H788" s="7">
        <f t="shared" si="109"/>
        <v>0.19078143555800442</v>
      </c>
      <c r="I788" s="7">
        <f t="shared" si="110"/>
        <v>0.1751411130776277</v>
      </c>
      <c r="J788" s="7">
        <f t="shared" si="111"/>
        <v>0.18987792460446307</v>
      </c>
      <c r="K788" s="7">
        <f t="shared" si="114"/>
        <v>1.2474172258433835E-2</v>
      </c>
      <c r="L788" s="7">
        <f t="shared" si="115"/>
        <v>-7.7248150659677606E-2</v>
      </c>
      <c r="M788" s="7">
        <f t="shared" si="116"/>
        <v>6.8885403196707884E-3</v>
      </c>
      <c r="N788" s="7">
        <f t="shared" si="112"/>
        <v>0.94294741429980455</v>
      </c>
      <c r="O788" s="7">
        <f t="shared" si="113"/>
        <v>5.7052585700195467E-2</v>
      </c>
    </row>
    <row r="789" spans="1:15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4">
        <f>IF(SUMIFS('Daily NSE Equity Cash'!$H:$H,'Daily NSE Equity Cash'!$A:$A,$A789)=0,"",SUMIFS('Daily NSE Equity Cash'!$H:$H,'Daily NSE Equity Cash'!$A:$A,$A789))</f>
        <v>576.18290000000002</v>
      </c>
      <c r="F789" s="4">
        <f>IF(SUMIFS('Daily BSE Equity Cash'!$H:$H,'Daily BSE Equity Cash'!$A:$A,$A789)=0,"",SUMIFS('Daily BSE Equity Cash'!$H:$H,'Daily BSE Equity Cash'!$A:$A,$A789))</f>
        <v>42.414299999999997</v>
      </c>
      <c r="G789" s="4">
        <f t="shared" si="108"/>
        <v>618.59720000000004</v>
      </c>
      <c r="H789" s="7" t="str">
        <f t="shared" si="109"/>
        <v/>
      </c>
      <c r="I789" s="7" t="str">
        <f t="shared" si="110"/>
        <v/>
      </c>
      <c r="J789" s="7" t="str">
        <f t="shared" si="111"/>
        <v/>
      </c>
      <c r="K789" s="7">
        <f t="shared" si="114"/>
        <v>-2.5886457796909679E-2</v>
      </c>
      <c r="L789" s="7">
        <f t="shared" si="115"/>
        <v>0.18515093005775651</v>
      </c>
      <c r="M789" s="7">
        <f t="shared" si="116"/>
        <v>-1.3846229140385913E-2</v>
      </c>
      <c r="N789" s="7">
        <f t="shared" si="112"/>
        <v>0.93143470419846708</v>
      </c>
      <c r="O789" s="7">
        <f t="shared" si="113"/>
        <v>6.856529580153288E-2</v>
      </c>
    </row>
    <row r="790" spans="1:15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4">
        <f>IF(SUMIFS('Daily NSE Equity Cash'!$H:$H,'Daily NSE Equity Cash'!$A:$A,$A790)=0,"",SUMIFS('Daily NSE Equity Cash'!$H:$H,'Daily NSE Equity Cash'!$A:$A,$A790))</f>
        <v>576.40949999999998</v>
      </c>
      <c r="F790" s="4">
        <f>IF(SUMIFS('Daily BSE Equity Cash'!$H:$H,'Daily BSE Equity Cash'!$A:$A,$A790)=0,"",SUMIFS('Daily BSE Equity Cash'!$H:$H,'Daily BSE Equity Cash'!$A:$A,$A790))</f>
        <v>40.752499999999998</v>
      </c>
      <c r="G790" s="4">
        <f t="shared" si="108"/>
        <v>617.16200000000003</v>
      </c>
      <c r="H790" s="7">
        <f t="shared" si="109"/>
        <v>0.36417306062944044</v>
      </c>
      <c r="I790" s="7">
        <f t="shared" si="110"/>
        <v>0.58352535233706226</v>
      </c>
      <c r="J790" s="7">
        <f t="shared" si="111"/>
        <v>0.37676615373838906</v>
      </c>
      <c r="K790" s="7">
        <f t="shared" si="114"/>
        <v>3.9327789838949911E-4</v>
      </c>
      <c r="L790" s="7">
        <f t="shared" si="115"/>
        <v>-3.9180182155546639E-2</v>
      </c>
      <c r="M790" s="7">
        <f t="shared" si="116"/>
        <v>-2.320088096098738E-3</v>
      </c>
      <c r="N790" s="7">
        <f t="shared" si="112"/>
        <v>0.93396790469925228</v>
      </c>
      <c r="O790" s="7">
        <f t="shared" si="113"/>
        <v>6.6032095300747606E-2</v>
      </c>
    </row>
    <row r="791" spans="1:15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4">
        <f>IF(SUMIFS('Daily NSE Equity Cash'!$H:$H,'Daily NSE Equity Cash'!$A:$A,$A791)=0,"",SUMIFS('Daily NSE Equity Cash'!$H:$H,'Daily NSE Equity Cash'!$A:$A,$A791))</f>
        <v>609.84069999999997</v>
      </c>
      <c r="F791" s="4">
        <f>IF(SUMIFS('Daily BSE Equity Cash'!$H:$H,'Daily BSE Equity Cash'!$A:$A,$A791)=0,"",SUMIFS('Daily BSE Equity Cash'!$H:$H,'Daily BSE Equity Cash'!$A:$A,$A791))</f>
        <v>44.688400000000001</v>
      </c>
      <c r="G791" s="4">
        <f t="shared" si="108"/>
        <v>654.52909999999997</v>
      </c>
      <c r="H791" s="7">
        <f t="shared" si="109"/>
        <v>0.43714467037075511</v>
      </c>
      <c r="I791" s="7">
        <f t="shared" si="110"/>
        <v>0.72318536570318059</v>
      </c>
      <c r="J791" s="7">
        <f t="shared" si="111"/>
        <v>0.4536191731506598</v>
      </c>
      <c r="K791" s="7">
        <f t="shared" si="114"/>
        <v>5.7999044082375439E-2</v>
      </c>
      <c r="L791" s="7">
        <f t="shared" si="115"/>
        <v>9.6580577878657925E-2</v>
      </c>
      <c r="M791" s="7">
        <f t="shared" si="116"/>
        <v>6.0546663598860517E-2</v>
      </c>
      <c r="N791" s="7">
        <f t="shared" si="112"/>
        <v>0.93172434961256878</v>
      </c>
      <c r="O791" s="7">
        <f t="shared" si="113"/>
        <v>6.8275650387431219E-2</v>
      </c>
    </row>
    <row r="792" spans="1:15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4">
        <f>IF(SUMIFS('Daily NSE Equity Cash'!$H:$H,'Daily NSE Equity Cash'!$A:$A,$A792)=0,"",SUMIFS('Daily NSE Equity Cash'!$H:$H,'Daily NSE Equity Cash'!$A:$A,$A792))</f>
        <v>605.25869999999998</v>
      </c>
      <c r="F792" s="4">
        <f>IF(SUMIFS('Daily BSE Equity Cash'!$H:$H,'Daily BSE Equity Cash'!$A:$A,$A792)=0,"",SUMIFS('Daily BSE Equity Cash'!$H:$H,'Daily BSE Equity Cash'!$A:$A,$A792))</f>
        <v>42.3566</v>
      </c>
      <c r="G792" s="4">
        <f t="shared" si="108"/>
        <v>647.61529999999993</v>
      </c>
      <c r="H792" s="7">
        <f t="shared" si="109"/>
        <v>0.37751741814728224</v>
      </c>
      <c r="I792" s="7">
        <f t="shared" si="110"/>
        <v>0.4356660825472578</v>
      </c>
      <c r="J792" s="7">
        <f t="shared" si="111"/>
        <v>0.38117622419739683</v>
      </c>
      <c r="K792" s="7">
        <f t="shared" si="114"/>
        <v>-7.5134375255702102E-3</v>
      </c>
      <c r="L792" s="7">
        <f t="shared" si="115"/>
        <v>-5.2179088980585542E-2</v>
      </c>
      <c r="M792" s="7">
        <f t="shared" si="116"/>
        <v>-1.0563013928639786E-2</v>
      </c>
      <c r="N792" s="7">
        <f t="shared" si="112"/>
        <v>0.9345960479933072</v>
      </c>
      <c r="O792" s="7">
        <f t="shared" si="113"/>
        <v>6.540395200669287E-2</v>
      </c>
    </row>
    <row r="793" spans="1:15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4">
        <f>IF(SUMIFS('Daily NSE Equity Cash'!$H:$H,'Daily NSE Equity Cash'!$A:$A,$A793)=0,"",SUMIFS('Daily NSE Equity Cash'!$H:$H,'Daily NSE Equity Cash'!$A:$A,$A793))</f>
        <v>558.78200000000004</v>
      </c>
      <c r="F793" s="4">
        <f>IF(SUMIFS('Daily BSE Equity Cash'!$H:$H,'Daily BSE Equity Cash'!$A:$A,$A793)=0,"",SUMIFS('Daily BSE Equity Cash'!$H:$H,'Daily BSE Equity Cash'!$A:$A,$A793))</f>
        <v>107.95</v>
      </c>
      <c r="G793" s="4">
        <f t="shared" si="108"/>
        <v>666.73200000000008</v>
      </c>
      <c r="H793" s="7">
        <f t="shared" si="109"/>
        <v>0.38708863851424824</v>
      </c>
      <c r="I793" s="7">
        <f t="shared" si="110"/>
        <v>2.1452129829264028</v>
      </c>
      <c r="J793" s="7">
        <f t="shared" si="111"/>
        <v>0.5251189933737026</v>
      </c>
      <c r="K793" s="7">
        <f t="shared" si="114"/>
        <v>-7.6788156865816082E-2</v>
      </c>
      <c r="L793" s="7">
        <f t="shared" si="115"/>
        <v>1.548599273784959</v>
      </c>
      <c r="M793" s="7">
        <f t="shared" si="116"/>
        <v>2.951860464074918E-2</v>
      </c>
      <c r="N793" s="7">
        <f t="shared" si="112"/>
        <v>0.83809086709502467</v>
      </c>
      <c r="O793" s="7">
        <f t="shared" si="113"/>
        <v>0.1619091329049753</v>
      </c>
    </row>
    <row r="794" spans="1:15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4">
        <f>IF(SUMIFS('Daily NSE Equity Cash'!$H:$H,'Daily NSE Equity Cash'!$A:$A,$A794)=0,"",SUMIFS('Daily NSE Equity Cash'!$H:$H,'Daily NSE Equity Cash'!$A:$A,$A794))</f>
        <v>504.55009999999999</v>
      </c>
      <c r="F794" s="4">
        <f>IF(SUMIFS('Daily BSE Equity Cash'!$H:$H,'Daily BSE Equity Cash'!$A:$A,$A794)=0,"",SUMIFS('Daily BSE Equity Cash'!$H:$H,'Daily BSE Equity Cash'!$A:$A,$A794))</f>
        <v>37.742899999999999</v>
      </c>
      <c r="G794" s="4">
        <f t="shared" si="108"/>
        <v>542.29300000000001</v>
      </c>
      <c r="H794" s="7" t="str">
        <f t="shared" si="109"/>
        <v/>
      </c>
      <c r="I794" s="7" t="str">
        <f t="shared" si="110"/>
        <v/>
      </c>
      <c r="J794" s="7" t="str">
        <f t="shared" si="111"/>
        <v/>
      </c>
      <c r="K794" s="7">
        <f t="shared" si="114"/>
        <v>-9.7053770522314675E-2</v>
      </c>
      <c r="L794" s="7">
        <f t="shared" si="115"/>
        <v>-0.6503668364983789</v>
      </c>
      <c r="M794" s="7">
        <f t="shared" si="116"/>
        <v>-0.18664020925949265</v>
      </c>
      <c r="N794" s="7">
        <f t="shared" si="112"/>
        <v>0.93040127753815738</v>
      </c>
      <c r="O794" s="7">
        <f t="shared" si="113"/>
        <v>6.959872246184258E-2</v>
      </c>
    </row>
    <row r="795" spans="1:15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4">
        <f>IF(SUMIFS('Daily NSE Equity Cash'!$H:$H,'Daily NSE Equity Cash'!$A:$A,$A795)=0,"",SUMIFS('Daily NSE Equity Cash'!$H:$H,'Daily NSE Equity Cash'!$A:$A,$A795))</f>
        <v>623.64970000000005</v>
      </c>
      <c r="F795" s="4">
        <f>IF(SUMIFS('Daily BSE Equity Cash'!$H:$H,'Daily BSE Equity Cash'!$A:$A,$A795)=0,"",SUMIFS('Daily BSE Equity Cash'!$H:$H,'Daily BSE Equity Cash'!$A:$A,$A795))</f>
        <v>45.201900000000002</v>
      </c>
      <c r="G795" s="4">
        <f t="shared" si="108"/>
        <v>668.85160000000008</v>
      </c>
      <c r="H795" s="7">
        <f t="shared" si="109"/>
        <v>0.40849615043238496</v>
      </c>
      <c r="I795" s="7">
        <f t="shared" si="110"/>
        <v>0.40722511230865521</v>
      </c>
      <c r="J795" s="7">
        <f t="shared" si="111"/>
        <v>0.4084101796110875</v>
      </c>
      <c r="K795" s="7">
        <f t="shared" si="114"/>
        <v>0.23605108788998375</v>
      </c>
      <c r="L795" s="7">
        <f t="shared" si="115"/>
        <v>0.19762657347474644</v>
      </c>
      <c r="M795" s="7">
        <f t="shared" si="116"/>
        <v>0.23337679077546647</v>
      </c>
      <c r="N795" s="7">
        <f t="shared" si="112"/>
        <v>0.93241864114550965</v>
      </c>
      <c r="O795" s="7">
        <f t="shared" si="113"/>
        <v>6.7581358854490292E-2</v>
      </c>
    </row>
    <row r="796" spans="1:15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4">
        <f>IF(SUMIFS('Daily NSE Equity Cash'!$H:$H,'Daily NSE Equity Cash'!$A:$A,$A796)=0,"",SUMIFS('Daily NSE Equity Cash'!$H:$H,'Daily NSE Equity Cash'!$A:$A,$A796))</f>
        <v>598.17920000000004</v>
      </c>
      <c r="F796" s="4">
        <f>IF(SUMIFS('Daily BSE Equity Cash'!$H:$H,'Daily BSE Equity Cash'!$A:$A,$A796)=0,"",SUMIFS('Daily BSE Equity Cash'!$H:$H,'Daily BSE Equity Cash'!$A:$A,$A796))</f>
        <v>45.268700000000003</v>
      </c>
      <c r="G796" s="4">
        <f t="shared" si="108"/>
        <v>643.4479</v>
      </c>
      <c r="H796" s="7">
        <f t="shared" si="109"/>
        <v>0.34945303742392153</v>
      </c>
      <c r="I796" s="7">
        <f t="shared" si="110"/>
        <v>0.63432579868369299</v>
      </c>
      <c r="J796" s="7">
        <f t="shared" si="111"/>
        <v>0.36620683944336641</v>
      </c>
      <c r="K796" s="7">
        <f t="shared" si="114"/>
        <v>-4.08410362419801E-2</v>
      </c>
      <c r="L796" s="7">
        <f t="shared" si="115"/>
        <v>1.4778139856952421E-3</v>
      </c>
      <c r="M796" s="7">
        <f t="shared" si="116"/>
        <v>-3.7981070838434272E-2</v>
      </c>
      <c r="N796" s="7">
        <f t="shared" si="112"/>
        <v>0.92964667380218358</v>
      </c>
      <c r="O796" s="7">
        <f t="shared" si="113"/>
        <v>7.0353326197816479E-2</v>
      </c>
    </row>
    <row r="797" spans="1:15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4">
        <f>IF(SUMIFS('Daily NSE Equity Cash'!$H:$H,'Daily NSE Equity Cash'!$A:$A,$A797)=0,"",SUMIFS('Daily NSE Equity Cash'!$H:$H,'Daily NSE Equity Cash'!$A:$A,$A797))</f>
        <v>669.75390000000004</v>
      </c>
      <c r="F797" s="4">
        <f>IF(SUMIFS('Daily BSE Equity Cash'!$H:$H,'Daily BSE Equity Cash'!$A:$A,$A797)=0,"",SUMIFS('Daily BSE Equity Cash'!$H:$H,'Daily BSE Equity Cash'!$A:$A,$A797))</f>
        <v>43.474899999999998</v>
      </c>
      <c r="G797" s="4">
        <f t="shared" si="108"/>
        <v>713.22880000000009</v>
      </c>
      <c r="H797" s="7">
        <f t="shared" si="109"/>
        <v>0.83137878024731071</v>
      </c>
      <c r="I797" s="7">
        <f t="shared" si="110"/>
        <v>0.90758868826923478</v>
      </c>
      <c r="J797" s="7">
        <f t="shared" si="111"/>
        <v>0.83584945921590381</v>
      </c>
      <c r="K797" s="7">
        <f t="shared" si="114"/>
        <v>0.11965427751416291</v>
      </c>
      <c r="L797" s="7">
        <f t="shared" si="115"/>
        <v>-3.9625613282466832E-2</v>
      </c>
      <c r="M797" s="7">
        <f t="shared" si="116"/>
        <v>0.10844840740019523</v>
      </c>
      <c r="N797" s="7">
        <f t="shared" si="112"/>
        <v>0.93904494602573529</v>
      </c>
      <c r="O797" s="7">
        <f t="shared" si="113"/>
        <v>6.0955053974264629E-2</v>
      </c>
    </row>
    <row r="798" spans="1:15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4">
        <f>IF(SUMIFS('Daily NSE Equity Cash'!$H:$H,'Daily NSE Equity Cash'!$A:$A,$A798)=0,"",SUMIFS('Daily NSE Equity Cash'!$H:$H,'Daily NSE Equity Cash'!$A:$A,$A798))</f>
        <v>763.83219999999994</v>
      </c>
      <c r="F798" s="4">
        <f>IF(SUMIFS('Daily BSE Equity Cash'!$H:$H,'Daily BSE Equity Cash'!$A:$A,$A798)=0,"",SUMIFS('Daily BSE Equity Cash'!$H:$H,'Daily BSE Equity Cash'!$A:$A,$A798))</f>
        <v>44.456899999999997</v>
      </c>
      <c r="G798" s="4">
        <f t="shared" si="108"/>
        <v>808.28909999999996</v>
      </c>
      <c r="H798" s="7">
        <f t="shared" si="109"/>
        <v>0.59392780424937675</v>
      </c>
      <c r="I798" s="7">
        <f t="shared" si="110"/>
        <v>0.40897739013583645</v>
      </c>
      <c r="J798" s="7">
        <f t="shared" si="111"/>
        <v>0.58250249037524782</v>
      </c>
      <c r="K798" s="7">
        <f t="shared" si="114"/>
        <v>0.1404669685387423</v>
      </c>
      <c r="L798" s="7">
        <f t="shared" si="115"/>
        <v>2.2587746032768363E-2</v>
      </c>
      <c r="M798" s="7">
        <f t="shared" si="116"/>
        <v>0.13328163416844618</v>
      </c>
      <c r="N798" s="7">
        <f t="shared" si="112"/>
        <v>0.9449987634374879</v>
      </c>
      <c r="O798" s="7">
        <f t="shared" si="113"/>
        <v>5.5001236562512101E-2</v>
      </c>
    </row>
    <row r="799" spans="1:15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4">
        <f>IF(SUMIFS('Daily NSE Equity Cash'!$H:$H,'Daily NSE Equity Cash'!$A:$A,$A799)=0,"",SUMIFS('Daily NSE Equity Cash'!$H:$H,'Daily NSE Equity Cash'!$A:$A,$A799))</f>
        <v>619.27739999999994</v>
      </c>
      <c r="F799" s="4">
        <f>IF(SUMIFS('Daily BSE Equity Cash'!$H:$H,'Daily BSE Equity Cash'!$A:$A,$A799)=0,"",SUMIFS('Daily BSE Equity Cash'!$H:$H,'Daily BSE Equity Cash'!$A:$A,$A799))</f>
        <v>60.622900000000001</v>
      </c>
      <c r="G799" s="4">
        <f t="shared" si="108"/>
        <v>679.9002999999999</v>
      </c>
      <c r="H799" s="7" t="str">
        <f t="shared" si="109"/>
        <v/>
      </c>
      <c r="I799" s="7" t="str">
        <f t="shared" si="110"/>
        <v/>
      </c>
      <c r="J799" s="7" t="str">
        <f t="shared" si="111"/>
        <v/>
      </c>
      <c r="K799" s="7">
        <f t="shared" si="114"/>
        <v>-0.1892494189168773</v>
      </c>
      <c r="L799" s="7">
        <f t="shared" si="115"/>
        <v>0.36363309182601578</v>
      </c>
      <c r="M799" s="7">
        <f t="shared" si="116"/>
        <v>-0.15884019715223185</v>
      </c>
      <c r="N799" s="7">
        <f t="shared" si="112"/>
        <v>0.91083560339655689</v>
      </c>
      <c r="O799" s="7">
        <f t="shared" si="113"/>
        <v>8.9164396603443191E-2</v>
      </c>
    </row>
    <row r="800" spans="1:15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4">
        <f>IF(SUMIFS('Daily NSE Equity Cash'!$H:$H,'Daily NSE Equity Cash'!$A:$A,$A800)=0,"",SUMIFS('Daily NSE Equity Cash'!$H:$H,'Daily NSE Equity Cash'!$A:$A,$A800))</f>
        <v>623.00229999999999</v>
      </c>
      <c r="F800" s="4">
        <f>IF(SUMIFS('Daily BSE Equity Cash'!$H:$H,'Daily BSE Equity Cash'!$A:$A,$A800)=0,"",SUMIFS('Daily BSE Equity Cash'!$H:$H,'Daily BSE Equity Cash'!$A:$A,$A800))</f>
        <v>116.69750000000001</v>
      </c>
      <c r="G800" s="4">
        <f t="shared" si="108"/>
        <v>739.69979999999998</v>
      </c>
      <c r="H800" s="7">
        <f t="shared" si="109"/>
        <v>0.38581597010207602</v>
      </c>
      <c r="I800" s="7">
        <f t="shared" si="110"/>
        <v>2.5442786160312947</v>
      </c>
      <c r="J800" s="7">
        <f t="shared" si="111"/>
        <v>0.53311409194831971</v>
      </c>
      <c r="K800" s="7">
        <f t="shared" si="114"/>
        <v>6.0149135104883289E-3</v>
      </c>
      <c r="L800" s="7">
        <f t="shared" si="115"/>
        <v>0.92497389600299562</v>
      </c>
      <c r="M800" s="7">
        <f t="shared" si="116"/>
        <v>8.7953336687746742E-2</v>
      </c>
      <c r="N800" s="7">
        <f t="shared" si="112"/>
        <v>0.84223667493218191</v>
      </c>
      <c r="O800" s="7">
        <f t="shared" si="113"/>
        <v>0.15776332506781807</v>
      </c>
    </row>
    <row r="801" spans="1:15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4">
        <f>IF(SUMIFS('Daily NSE Equity Cash'!$H:$H,'Daily NSE Equity Cash'!$A:$A,$A801)=0,"",SUMIFS('Daily NSE Equity Cash'!$H:$H,'Daily NSE Equity Cash'!$A:$A,$A801))</f>
        <v>701.64469999999994</v>
      </c>
      <c r="F801" s="4">
        <f>IF(SUMIFS('Daily BSE Equity Cash'!$H:$H,'Daily BSE Equity Cash'!$A:$A,$A801)=0,"",SUMIFS('Daily BSE Equity Cash'!$H:$H,'Daily BSE Equity Cash'!$A:$A,$A801))</f>
        <v>52.402799999999999</v>
      </c>
      <c r="G801" s="4">
        <f t="shared" si="108"/>
        <v>754.0474999999999</v>
      </c>
      <c r="H801" s="7">
        <f t="shared" si="109"/>
        <v>0.61094061136995381</v>
      </c>
      <c r="I801" s="7">
        <f t="shared" si="110"/>
        <v>0.84694442192671127</v>
      </c>
      <c r="J801" s="7">
        <f t="shared" si="111"/>
        <v>0.6253742005128442</v>
      </c>
      <c r="K801" s="7">
        <f t="shared" si="114"/>
        <v>0.12623131567893076</v>
      </c>
      <c r="L801" s="7">
        <f t="shared" si="115"/>
        <v>-0.55095181987617559</v>
      </c>
      <c r="M801" s="7">
        <f t="shared" si="116"/>
        <v>1.9396652533906211E-2</v>
      </c>
      <c r="N801" s="7">
        <f t="shared" si="112"/>
        <v>0.93050464327512528</v>
      </c>
      <c r="O801" s="7">
        <f t="shared" si="113"/>
        <v>6.9495356724874766E-2</v>
      </c>
    </row>
    <row r="802" spans="1:15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4">
        <f>IF(SUMIFS('Daily NSE Equity Cash'!$H:$H,'Daily NSE Equity Cash'!$A:$A,$A802)=0,"",SUMIFS('Daily NSE Equity Cash'!$H:$H,'Daily NSE Equity Cash'!$A:$A,$A802))</f>
        <v>659.67150000000004</v>
      </c>
      <c r="F802" s="4">
        <f>IF(SUMIFS('Daily BSE Equity Cash'!$H:$H,'Daily BSE Equity Cash'!$A:$A,$A802)=0,"",SUMIFS('Daily BSE Equity Cash'!$H:$H,'Daily BSE Equity Cash'!$A:$A,$A802))</f>
        <v>48.860999999999997</v>
      </c>
      <c r="G802" s="4">
        <f t="shared" si="108"/>
        <v>708.53250000000003</v>
      </c>
      <c r="H802" s="7">
        <f t="shared" si="109"/>
        <v>0.70816466517671617</v>
      </c>
      <c r="I802" s="7">
        <f t="shared" si="110"/>
        <v>0.95022750858146399</v>
      </c>
      <c r="J802" s="7">
        <f t="shared" si="111"/>
        <v>0.72291182816511879</v>
      </c>
      <c r="K802" s="7">
        <f t="shared" si="114"/>
        <v>-5.9821160196891543E-2</v>
      </c>
      <c r="L802" s="7">
        <f t="shared" si="115"/>
        <v>-6.758799148137129E-2</v>
      </c>
      <c r="M802" s="7">
        <f t="shared" si="116"/>
        <v>-6.0360918907628291E-2</v>
      </c>
      <c r="N802" s="7">
        <f t="shared" si="112"/>
        <v>0.93103915487292399</v>
      </c>
      <c r="O802" s="7">
        <f t="shared" si="113"/>
        <v>6.8960845127076023E-2</v>
      </c>
    </row>
    <row r="803" spans="1:15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4">
        <f>IF(SUMIFS('Daily NSE Equity Cash'!$H:$H,'Daily NSE Equity Cash'!$A:$A,$A803)=0,"",SUMIFS('Daily NSE Equity Cash'!$H:$H,'Daily NSE Equity Cash'!$A:$A,$A803))</f>
        <v>573.29110000000003</v>
      </c>
      <c r="F803" s="4">
        <f>IF(SUMIFS('Daily BSE Equity Cash'!$H:$H,'Daily BSE Equity Cash'!$A:$A,$A803)=0,"",SUMIFS('Daily BSE Equity Cash'!$H:$H,'Daily BSE Equity Cash'!$A:$A,$A803))</f>
        <v>46.817300000000003</v>
      </c>
      <c r="G803" s="4">
        <f t="shared" si="108"/>
        <v>620.10840000000007</v>
      </c>
      <c r="H803" s="7">
        <f t="shared" si="109"/>
        <v>0.35097435206188821</v>
      </c>
      <c r="I803" s="7">
        <f t="shared" si="110"/>
        <v>0.95701590114869517</v>
      </c>
      <c r="J803" s="7">
        <f t="shared" si="111"/>
        <v>0.38331646130982544</v>
      </c>
      <c r="K803" s="7">
        <f t="shared" si="114"/>
        <v>-0.13094456862241288</v>
      </c>
      <c r="L803" s="7">
        <f t="shared" si="115"/>
        <v>-4.1826814842103044E-2</v>
      </c>
      <c r="M803" s="7">
        <f t="shared" si="116"/>
        <v>-0.12479893300589595</v>
      </c>
      <c r="N803" s="7">
        <f t="shared" si="112"/>
        <v>0.92450142587973327</v>
      </c>
      <c r="O803" s="7">
        <f t="shared" si="113"/>
        <v>7.5498574120266712E-2</v>
      </c>
    </row>
    <row r="804" spans="1:15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4">
        <f>IF(SUMIFS('Daily NSE Equity Cash'!$H:$H,'Daily NSE Equity Cash'!$A:$A,$A804)=0,"",SUMIFS('Daily NSE Equity Cash'!$H:$H,'Daily NSE Equity Cash'!$A:$A,$A804))</f>
        <v>505.26819999999998</v>
      </c>
      <c r="F804" s="4">
        <f>IF(SUMIFS('Daily BSE Equity Cash'!$H:$H,'Daily BSE Equity Cash'!$A:$A,$A804)=0,"",SUMIFS('Daily BSE Equity Cash'!$H:$H,'Daily BSE Equity Cash'!$A:$A,$A804))</f>
        <v>34.991</v>
      </c>
      <c r="G804" s="4">
        <f t="shared" si="108"/>
        <v>540.25919999999996</v>
      </c>
      <c r="H804" s="7" t="str">
        <f t="shared" si="109"/>
        <v/>
      </c>
      <c r="I804" s="7" t="str">
        <f t="shared" si="110"/>
        <v/>
      </c>
      <c r="J804" s="7" t="str">
        <f t="shared" si="111"/>
        <v/>
      </c>
      <c r="K804" s="7">
        <f t="shared" si="114"/>
        <v>-0.1186533333589167</v>
      </c>
      <c r="L804" s="7">
        <f t="shared" si="115"/>
        <v>-0.25260534033359472</v>
      </c>
      <c r="M804" s="7">
        <f t="shared" si="116"/>
        <v>-0.12876651888605295</v>
      </c>
      <c r="N804" s="7">
        <f t="shared" si="112"/>
        <v>0.9352329400406324</v>
      </c>
      <c r="O804" s="7">
        <f t="shared" si="113"/>
        <v>6.4767059959367657E-2</v>
      </c>
    </row>
    <row r="805" spans="1:15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4">
        <f>IF(SUMIFS('Daily NSE Equity Cash'!$H:$H,'Daily NSE Equity Cash'!$A:$A,$A805)=0,"",SUMIFS('Daily NSE Equity Cash'!$H:$H,'Daily NSE Equity Cash'!$A:$A,$A805))</f>
        <v>567.99879999999996</v>
      </c>
      <c r="F805" s="4">
        <f>IF(SUMIFS('Daily BSE Equity Cash'!$H:$H,'Daily BSE Equity Cash'!$A:$A,$A805)=0,"",SUMIFS('Daily BSE Equity Cash'!$H:$H,'Daily BSE Equity Cash'!$A:$A,$A805))</f>
        <v>31.390699999999999</v>
      </c>
      <c r="G805" s="4">
        <f t="shared" si="108"/>
        <v>599.3895</v>
      </c>
      <c r="H805" s="7">
        <f t="shared" si="109"/>
        <v>0.39729205212205554</v>
      </c>
      <c r="I805" s="7">
        <f t="shared" si="110"/>
        <v>0.22641000797011968</v>
      </c>
      <c r="J805" s="7">
        <f t="shared" si="111"/>
        <v>0.38716968224370873</v>
      </c>
      <c r="K805" s="7">
        <f t="shared" si="114"/>
        <v>0.12415307355578675</v>
      </c>
      <c r="L805" s="7">
        <f t="shared" si="115"/>
        <v>-0.10289217227287017</v>
      </c>
      <c r="M805" s="7">
        <f t="shared" si="116"/>
        <v>0.1094480205057129</v>
      </c>
      <c r="N805" s="7">
        <f t="shared" si="112"/>
        <v>0.94762887905110105</v>
      </c>
      <c r="O805" s="7">
        <f t="shared" si="113"/>
        <v>5.2371120948898835E-2</v>
      </c>
    </row>
    <row r="806" spans="1:15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4">
        <f>IF(SUMIFS('Daily NSE Equity Cash'!$H:$H,'Daily NSE Equity Cash'!$A:$A,$A806)=0,"",SUMIFS('Daily NSE Equity Cash'!$H:$H,'Daily NSE Equity Cash'!$A:$A,$A806))</f>
        <v>820.21280000000002</v>
      </c>
      <c r="F806" s="4">
        <f>IF(SUMIFS('Daily BSE Equity Cash'!$H:$H,'Daily BSE Equity Cash'!$A:$A,$A806)=0,"",SUMIFS('Daily BSE Equity Cash'!$H:$H,'Daily BSE Equity Cash'!$A:$A,$A806))</f>
        <v>48.896500000000003</v>
      </c>
      <c r="G806" s="4">
        <f t="shared" si="108"/>
        <v>869.10930000000008</v>
      </c>
      <c r="H806" s="7">
        <f t="shared" si="109"/>
        <v>1.0065425672971449</v>
      </c>
      <c r="I806" s="7">
        <f t="shared" si="110"/>
        <v>1.0040781195565303</v>
      </c>
      <c r="J806" s="7">
        <f t="shared" si="111"/>
        <v>1.0064037554046621</v>
      </c>
      <c r="K806" s="7">
        <f t="shared" si="114"/>
        <v>0.4440396705063463</v>
      </c>
      <c r="L806" s="7">
        <f t="shared" si="115"/>
        <v>0.55767472531673401</v>
      </c>
      <c r="M806" s="7">
        <f t="shared" si="116"/>
        <v>0.44999086570585578</v>
      </c>
      <c r="N806" s="7">
        <f t="shared" si="112"/>
        <v>0.94373952735288869</v>
      </c>
      <c r="O806" s="7">
        <f t="shared" si="113"/>
        <v>5.6260472647111245E-2</v>
      </c>
    </row>
    <row r="807" spans="1:15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4">
        <f>IF(SUMIFS('Daily NSE Equity Cash'!$H:$H,'Daily NSE Equity Cash'!$A:$A,$A807)=0,"",SUMIFS('Daily NSE Equity Cash'!$H:$H,'Daily NSE Equity Cash'!$A:$A,$A807))</f>
        <v>757.64880000000005</v>
      </c>
      <c r="F807" s="4">
        <f>IF(SUMIFS('Daily BSE Equity Cash'!$H:$H,'Daily BSE Equity Cash'!$A:$A,$A807)=0,"",SUMIFS('Daily BSE Equity Cash'!$H:$H,'Daily BSE Equity Cash'!$A:$A,$A807))</f>
        <v>73.341700000000003</v>
      </c>
      <c r="G807" s="4">
        <f t="shared" si="108"/>
        <v>830.99050000000011</v>
      </c>
      <c r="H807" s="7">
        <f t="shared" si="109"/>
        <v>0.58389382406907808</v>
      </c>
      <c r="I807" s="7">
        <f t="shared" si="110"/>
        <v>2.2036036429554242</v>
      </c>
      <c r="J807" s="7">
        <f t="shared" si="111"/>
        <v>0.65787212971371756</v>
      </c>
      <c r="K807" s="7">
        <f t="shared" si="114"/>
        <v>-7.6277765965125144E-2</v>
      </c>
      <c r="L807" s="7">
        <f t="shared" si="115"/>
        <v>0.49993762334727432</v>
      </c>
      <c r="M807" s="7">
        <f t="shared" si="116"/>
        <v>-4.3859615815870279E-2</v>
      </c>
      <c r="N807" s="7">
        <f t="shared" si="112"/>
        <v>0.91174183098362727</v>
      </c>
      <c r="O807" s="7">
        <f t="shared" si="113"/>
        <v>8.8258169016372623E-2</v>
      </c>
    </row>
    <row r="808" spans="1:15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4">
        <f>IF(SUMIFS('Daily NSE Equity Cash'!$H:$H,'Daily NSE Equity Cash'!$A:$A,$A808)=0,"",SUMIFS('Daily NSE Equity Cash'!$H:$H,'Daily NSE Equity Cash'!$A:$A,$A808))</f>
        <v>617.55150000000003</v>
      </c>
      <c r="F808" s="4">
        <f>IF(SUMIFS('Daily BSE Equity Cash'!$H:$H,'Daily BSE Equity Cash'!$A:$A,$A808)=0,"",SUMIFS('Daily BSE Equity Cash'!$H:$H,'Daily BSE Equity Cash'!$A:$A,$A808))</f>
        <v>41.623600000000003</v>
      </c>
      <c r="G808" s="4">
        <f t="shared" si="108"/>
        <v>659.17510000000004</v>
      </c>
      <c r="H808" s="7" t="str">
        <f t="shared" si="109"/>
        <v/>
      </c>
      <c r="I808" s="7" t="str">
        <f t="shared" si="110"/>
        <v/>
      </c>
      <c r="J808" s="7" t="str">
        <f t="shared" si="111"/>
        <v/>
      </c>
      <c r="K808" s="7">
        <f t="shared" si="114"/>
        <v>-0.18491060765885192</v>
      </c>
      <c r="L808" s="7">
        <f t="shared" si="115"/>
        <v>-0.43247020453575524</v>
      </c>
      <c r="M808" s="7">
        <f t="shared" si="116"/>
        <v>-0.20675976440163879</v>
      </c>
      <c r="N808" s="7">
        <f t="shared" si="112"/>
        <v>0.93685501773352786</v>
      </c>
      <c r="O808" s="7">
        <f t="shared" si="113"/>
        <v>6.3144982266472138E-2</v>
      </c>
    </row>
    <row r="809" spans="1:15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4">
        <f>IF(SUMIFS('Daily NSE Equity Cash'!$H:$H,'Daily NSE Equity Cash'!$A:$A,$A809)=0,"",SUMIFS('Daily NSE Equity Cash'!$H:$H,'Daily NSE Equity Cash'!$A:$A,$A809))</f>
        <v>659.96529999999996</v>
      </c>
      <c r="F809" s="4">
        <f>IF(SUMIFS('Daily BSE Equity Cash'!$H:$H,'Daily BSE Equity Cash'!$A:$A,$A809)=0,"",SUMIFS('Daily BSE Equity Cash'!$H:$H,'Daily BSE Equity Cash'!$A:$A,$A809))</f>
        <v>43.106900000000003</v>
      </c>
      <c r="G809" s="4">
        <f t="shared" si="108"/>
        <v>703.07219999999995</v>
      </c>
      <c r="H809" s="7">
        <f t="shared" si="109"/>
        <v>0.69211979402229806</v>
      </c>
      <c r="I809" s="7">
        <f t="shared" si="110"/>
        <v>0.95221683800552537</v>
      </c>
      <c r="J809" s="7">
        <f t="shared" si="111"/>
        <v>0.70605609557592008</v>
      </c>
      <c r="K809" s="7">
        <f t="shared" si="114"/>
        <v>6.8680587772841584E-2</v>
      </c>
      <c r="L809" s="7">
        <f t="shared" si="115"/>
        <v>3.5636033404126577E-2</v>
      </c>
      <c r="M809" s="7">
        <f t="shared" si="116"/>
        <v>6.659398997322552E-2</v>
      </c>
      <c r="N809" s="7">
        <f t="shared" si="112"/>
        <v>0.93868780475177371</v>
      </c>
      <c r="O809" s="7">
        <f t="shared" si="113"/>
        <v>6.1312195248226294E-2</v>
      </c>
    </row>
    <row r="810" spans="1:15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4">
        <f>IF(SUMIFS('Daily NSE Equity Cash'!$H:$H,'Daily NSE Equity Cash'!$A:$A,$A810)=0,"",SUMIFS('Daily NSE Equity Cash'!$H:$H,'Daily NSE Equity Cash'!$A:$A,$A810))</f>
        <v>663.86469999999997</v>
      </c>
      <c r="F810" s="4">
        <f>IF(SUMIFS('Daily BSE Equity Cash'!$H:$H,'Daily BSE Equity Cash'!$A:$A,$A810)=0,"",SUMIFS('Daily BSE Equity Cash'!$H:$H,'Daily BSE Equity Cash'!$A:$A,$A810))</f>
        <v>40.312800000000003</v>
      </c>
      <c r="G810" s="4">
        <f t="shared" si="108"/>
        <v>704.17750000000001</v>
      </c>
      <c r="H810" s="7">
        <f t="shared" si="109"/>
        <v>0.61188076838282779</v>
      </c>
      <c r="I810" s="7">
        <f t="shared" si="110"/>
        <v>0.65932487332628131</v>
      </c>
      <c r="J810" s="7">
        <f t="shared" si="111"/>
        <v>0.61452351806790273</v>
      </c>
      <c r="K810" s="7">
        <f t="shared" si="114"/>
        <v>5.9084924616490397E-3</v>
      </c>
      <c r="L810" s="7">
        <f t="shared" si="115"/>
        <v>-6.4817929380215245E-2</v>
      </c>
      <c r="M810" s="7">
        <f t="shared" si="116"/>
        <v>1.5721002764723657E-3</v>
      </c>
      <c r="N810" s="7">
        <f t="shared" si="112"/>
        <v>0.94275193399391488</v>
      </c>
      <c r="O810" s="7">
        <f t="shared" si="113"/>
        <v>5.7248066006085119E-2</v>
      </c>
    </row>
    <row r="811" spans="1:15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4">
        <f>IF(SUMIFS('Daily NSE Equity Cash'!$H:$H,'Daily NSE Equity Cash'!$A:$A,$A811)=0,"",SUMIFS('Daily NSE Equity Cash'!$H:$H,'Daily NSE Equity Cash'!$A:$A,$A811))</f>
        <v>730.8691</v>
      </c>
      <c r="F811" s="4">
        <f>IF(SUMIFS('Daily BSE Equity Cash'!$H:$H,'Daily BSE Equity Cash'!$A:$A,$A811)=0,"",SUMIFS('Daily BSE Equity Cash'!$H:$H,'Daily BSE Equity Cash'!$A:$A,$A811))</f>
        <v>50.831400000000002</v>
      </c>
      <c r="G811" s="4">
        <f t="shared" si="108"/>
        <v>781.70050000000003</v>
      </c>
      <c r="H811" s="7">
        <f t="shared" si="109"/>
        <v>0.58622342844058917</v>
      </c>
      <c r="I811" s="7">
        <f t="shared" si="110"/>
        <v>0.86927566184068761</v>
      </c>
      <c r="J811" s="7">
        <f t="shared" si="111"/>
        <v>0.60199760796928237</v>
      </c>
      <c r="K811" s="7">
        <f t="shared" si="114"/>
        <v>0.10093080713585167</v>
      </c>
      <c r="L811" s="7">
        <f t="shared" si="115"/>
        <v>0.26092456986366619</v>
      </c>
      <c r="M811" s="7">
        <f t="shared" si="116"/>
        <v>0.1100901406250554</v>
      </c>
      <c r="N811" s="7">
        <f t="shared" si="112"/>
        <v>0.93497330499340858</v>
      </c>
      <c r="O811" s="7">
        <f t="shared" si="113"/>
        <v>6.5026695006591403E-2</v>
      </c>
    </row>
    <row r="812" spans="1:15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4">
        <f>IF(SUMIFS('Daily NSE Equity Cash'!$H:$H,'Daily NSE Equity Cash'!$A:$A,$A812)=0,"",SUMIFS('Daily NSE Equity Cash'!$H:$H,'Daily NSE Equity Cash'!$A:$A,$A812))</f>
        <v>686.06119999999999</v>
      </c>
      <c r="F812" s="4">
        <f>IF(SUMIFS('Daily BSE Equity Cash'!$H:$H,'Daily BSE Equity Cash'!$A:$A,$A812)=0,"",SUMIFS('Daily BSE Equity Cash'!$H:$H,'Daily BSE Equity Cash'!$A:$A,$A812))</f>
        <v>49.449300000000001</v>
      </c>
      <c r="G812" s="4">
        <f t="shared" si="108"/>
        <v>735.51049999999998</v>
      </c>
      <c r="H812" s="7">
        <f t="shared" si="109"/>
        <v>0.4810046792119167</v>
      </c>
      <c r="I812" s="7">
        <f t="shared" si="110"/>
        <v>0.73858302598594361</v>
      </c>
      <c r="J812" s="7">
        <f t="shared" si="111"/>
        <v>0.49590477761369267</v>
      </c>
      <c r="K812" s="7">
        <f t="shared" si="114"/>
        <v>-6.130769518098389E-2</v>
      </c>
      <c r="L812" s="7">
        <f t="shared" si="115"/>
        <v>-2.7189886566177601E-2</v>
      </c>
      <c r="M812" s="7">
        <f t="shared" si="116"/>
        <v>-5.9089126845895623E-2</v>
      </c>
      <c r="N812" s="7">
        <f t="shared" si="112"/>
        <v>0.93276873681612971</v>
      </c>
      <c r="O812" s="7">
        <f t="shared" si="113"/>
        <v>6.7231263183870252E-2</v>
      </c>
    </row>
    <row r="813" spans="1:15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4">
        <f>IF(SUMIFS('Daily NSE Equity Cash'!$H:$H,'Daily NSE Equity Cash'!$A:$A,$A813)=0,"",SUMIFS('Daily NSE Equity Cash'!$H:$H,'Daily NSE Equity Cash'!$A:$A,$A813))</f>
        <v>652.26160000000004</v>
      </c>
      <c r="F813" s="4">
        <f>IF(SUMIFS('Daily BSE Equity Cash'!$H:$H,'Daily BSE Equity Cash'!$A:$A,$A813)=0,"",SUMIFS('Daily BSE Equity Cash'!$H:$H,'Daily BSE Equity Cash'!$A:$A,$A813))</f>
        <v>42.298900000000003</v>
      </c>
      <c r="G813" s="4">
        <f t="shared" si="108"/>
        <v>694.56050000000005</v>
      </c>
      <c r="H813" s="7" t="str">
        <f t="shared" si="109"/>
        <v/>
      </c>
      <c r="I813" s="7" t="str">
        <f t="shared" si="110"/>
        <v/>
      </c>
      <c r="J813" s="7" t="str">
        <f t="shared" si="111"/>
        <v/>
      </c>
      <c r="K813" s="7">
        <f t="shared" si="114"/>
        <v>-4.9266158762512613E-2</v>
      </c>
      <c r="L813" s="7">
        <f t="shared" si="115"/>
        <v>-0.14460063135372991</v>
      </c>
      <c r="M813" s="7">
        <f t="shared" si="116"/>
        <v>-5.567561577978819E-2</v>
      </c>
      <c r="N813" s="7">
        <f t="shared" si="112"/>
        <v>0.93909976164783338</v>
      </c>
      <c r="O813" s="7">
        <f t="shared" si="113"/>
        <v>6.090023835216659E-2</v>
      </c>
    </row>
    <row r="814" spans="1:15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4">
        <f>IF(SUMIFS('Daily NSE Equity Cash'!$H:$H,'Daily NSE Equity Cash'!$A:$A,$A814)=0,"",SUMIFS('Daily NSE Equity Cash'!$H:$H,'Daily NSE Equity Cash'!$A:$A,$A814))</f>
        <v>715.26679999999999</v>
      </c>
      <c r="F814" s="4">
        <f>IF(SUMIFS('Daily BSE Equity Cash'!$H:$H,'Daily BSE Equity Cash'!$A:$A,$A814)=0,"",SUMIFS('Daily BSE Equity Cash'!$H:$H,'Daily BSE Equity Cash'!$A:$A,$A814))</f>
        <v>44.352800000000002</v>
      </c>
      <c r="G814" s="4">
        <f t="shared" si="108"/>
        <v>759.61959999999999</v>
      </c>
      <c r="H814" s="7">
        <f t="shared" si="109"/>
        <v>0.57239612152132691</v>
      </c>
      <c r="I814" s="7">
        <f t="shared" si="110"/>
        <v>0.59803419973625993</v>
      </c>
      <c r="J814" s="7">
        <f t="shared" si="111"/>
        <v>0.57387044662083442</v>
      </c>
      <c r="K814" s="7">
        <f t="shared" si="114"/>
        <v>9.6594985815507073E-2</v>
      </c>
      <c r="L814" s="7">
        <f t="shared" si="115"/>
        <v>4.8556818262413426E-2</v>
      </c>
      <c r="M814" s="7">
        <f t="shared" si="116"/>
        <v>9.3669449961522266E-2</v>
      </c>
      <c r="N814" s="7">
        <f t="shared" si="112"/>
        <v>0.94161182781486941</v>
      </c>
      <c r="O814" s="7">
        <f t="shared" si="113"/>
        <v>5.8388172185130559E-2</v>
      </c>
    </row>
    <row r="815" spans="1:15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4">
        <f>IF(SUMIFS('Daily NSE Equity Cash'!$H:$H,'Daily NSE Equity Cash'!$A:$A,$A815)=0,"",SUMIFS('Daily NSE Equity Cash'!$H:$H,'Daily NSE Equity Cash'!$A:$A,$A815))</f>
        <v>907.02279999999996</v>
      </c>
      <c r="F815" s="4">
        <f>IF(SUMIFS('Daily BSE Equity Cash'!$H:$H,'Daily BSE Equity Cash'!$A:$A,$A815)=0,"",SUMIFS('Daily BSE Equity Cash'!$H:$H,'Daily BSE Equity Cash'!$A:$A,$A815))</f>
        <v>51.763800000000003</v>
      </c>
      <c r="G815" s="4">
        <f t="shared" si="108"/>
        <v>958.78659999999991</v>
      </c>
      <c r="H815" s="7">
        <f t="shared" si="109"/>
        <v>1.2487763443600768</v>
      </c>
      <c r="I815" s="7">
        <f t="shared" si="110"/>
        <v>0.81995830154382743</v>
      </c>
      <c r="J815" s="7">
        <f t="shared" si="111"/>
        <v>1.2205293447239343</v>
      </c>
      <c r="K815" s="7">
        <f t="shared" si="114"/>
        <v>0.2680901727858751</v>
      </c>
      <c r="L815" s="7">
        <f t="shared" si="115"/>
        <v>0.16709204379430398</v>
      </c>
      <c r="M815" s="7">
        <f t="shared" si="116"/>
        <v>0.26219307663993918</v>
      </c>
      <c r="N815" s="7">
        <f t="shared" si="112"/>
        <v>0.94601113532458636</v>
      </c>
      <c r="O815" s="7">
        <f t="shared" si="113"/>
        <v>5.3988864675413702E-2</v>
      </c>
    </row>
    <row r="816" spans="1:15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4">
        <f>IF(SUMIFS('Daily NSE Equity Cash'!$H:$H,'Daily NSE Equity Cash'!$A:$A,$A816)=0,"",SUMIFS('Daily NSE Equity Cash'!$H:$H,'Daily NSE Equity Cash'!$A:$A,$A816))</f>
        <v>752.14580000000001</v>
      </c>
      <c r="F816" s="4">
        <f>IF(SUMIFS('Daily BSE Equity Cash'!$H:$H,'Daily BSE Equity Cash'!$A:$A,$A816)=0,"",SUMIFS('Daily BSE Equity Cash'!$H:$H,'Daily BSE Equity Cash'!$A:$A,$A816))</f>
        <v>51.096699999999998</v>
      </c>
      <c r="G816" s="4">
        <f t="shared" si="108"/>
        <v>803.24250000000006</v>
      </c>
      <c r="H816" s="7">
        <f t="shared" si="109"/>
        <v>0.77368740150220128</v>
      </c>
      <c r="I816" s="7">
        <f t="shared" si="110"/>
        <v>1.2332766600960676</v>
      </c>
      <c r="J816" s="7">
        <f t="shared" si="111"/>
        <v>0.79721477772949867</v>
      </c>
      <c r="K816" s="7">
        <f t="shared" si="114"/>
        <v>-0.17075314975544165</v>
      </c>
      <c r="L816" s="7">
        <f t="shared" si="115"/>
        <v>-1.2887384620140052E-2</v>
      </c>
      <c r="M816" s="7">
        <f t="shared" si="116"/>
        <v>-0.16223015632467108</v>
      </c>
      <c r="N816" s="7">
        <f t="shared" si="112"/>
        <v>0.93638695661646387</v>
      </c>
      <c r="O816" s="7">
        <f t="shared" si="113"/>
        <v>6.36130433835361E-2</v>
      </c>
    </row>
    <row r="817" spans="1:15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4">
        <f>IF(SUMIFS('Daily NSE Equity Cash'!$H:$H,'Daily NSE Equity Cash'!$A:$A,$A817)=0,"",SUMIFS('Daily NSE Equity Cash'!$H:$H,'Daily NSE Equity Cash'!$A:$A,$A817))</f>
        <v>668.91809999999998</v>
      </c>
      <c r="F817" s="4">
        <f>IF(SUMIFS('Daily BSE Equity Cash'!$H:$H,'Daily BSE Equity Cash'!$A:$A,$A817)=0,"",SUMIFS('Daily BSE Equity Cash'!$H:$H,'Daily BSE Equity Cash'!$A:$A,$A817))</f>
        <v>45.157499999999999</v>
      </c>
      <c r="G817" s="4">
        <f t="shared" si="108"/>
        <v>714.07560000000001</v>
      </c>
      <c r="H817" s="7">
        <f t="shared" si="109"/>
        <v>0.58949941746862256</v>
      </c>
      <c r="I817" s="7">
        <f t="shared" si="110"/>
        <v>0.89653724197307905</v>
      </c>
      <c r="J817" s="7">
        <f t="shared" si="111"/>
        <v>0.60594108304535177</v>
      </c>
      <c r="K817" s="7">
        <f t="shared" si="114"/>
        <v>-0.11065367911381019</v>
      </c>
      <c r="L817" s="7">
        <f t="shared" si="115"/>
        <v>-0.11623451220920333</v>
      </c>
      <c r="M817" s="7">
        <f t="shared" si="116"/>
        <v>-0.11100869289162374</v>
      </c>
      <c r="N817" s="7">
        <f t="shared" si="112"/>
        <v>0.93676089758563374</v>
      </c>
      <c r="O817" s="7">
        <f t="shared" si="113"/>
        <v>6.3239102414366213E-2</v>
      </c>
    </row>
    <row r="818" spans="1:15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4">
        <f>IF(SUMIFS('Daily NSE Equity Cash'!$H:$H,'Daily NSE Equity Cash'!$A:$A,$A818)=0,"",SUMIFS('Daily NSE Equity Cash'!$H:$H,'Daily NSE Equity Cash'!$A:$A,$A818))</f>
        <v>713.71759999999995</v>
      </c>
      <c r="F818" s="4">
        <f>IF(SUMIFS('Daily BSE Equity Cash'!$H:$H,'Daily BSE Equity Cash'!$A:$A,$A818)=0,"",SUMIFS('Daily BSE Equity Cash'!$H:$H,'Daily BSE Equity Cash'!$A:$A,$A818))</f>
        <v>44.397599999999997</v>
      </c>
      <c r="G818" s="4">
        <f t="shared" si="108"/>
        <v>758.11519999999996</v>
      </c>
      <c r="H818" s="7" t="str">
        <f t="shared" si="109"/>
        <v/>
      </c>
      <c r="I818" s="7" t="str">
        <f t="shared" si="110"/>
        <v/>
      </c>
      <c r="J818" s="7" t="str">
        <f t="shared" si="111"/>
        <v/>
      </c>
      <c r="K818" s="7">
        <f t="shared" si="114"/>
        <v>6.697307189026569E-2</v>
      </c>
      <c r="L818" s="7">
        <f t="shared" si="115"/>
        <v>-1.6827769473509391E-2</v>
      </c>
      <c r="M818" s="7">
        <f t="shared" si="116"/>
        <v>6.1673581900851815E-2</v>
      </c>
      <c r="N818" s="7">
        <f t="shared" si="112"/>
        <v>0.94143686869752774</v>
      </c>
      <c r="O818" s="7">
        <f t="shared" si="113"/>
        <v>5.8563131302472239E-2</v>
      </c>
    </row>
    <row r="819" spans="1:15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4">
        <f>IF(SUMIFS('Daily NSE Equity Cash'!$H:$H,'Daily NSE Equity Cash'!$A:$A,$A819)=0,"",SUMIFS('Daily NSE Equity Cash'!$H:$H,'Daily NSE Equity Cash'!$A:$A,$A819))</f>
        <v>761.47889999999995</v>
      </c>
      <c r="F819" s="4">
        <f>IF(SUMIFS('Daily BSE Equity Cash'!$H:$H,'Daily BSE Equity Cash'!$A:$A,$A819)=0,"",SUMIFS('Daily BSE Equity Cash'!$H:$H,'Daily BSE Equity Cash'!$A:$A,$A819))</f>
        <v>47.501300000000001</v>
      </c>
      <c r="G819" s="4">
        <f t="shared" si="108"/>
        <v>808.98019999999997</v>
      </c>
      <c r="H819" s="7">
        <f t="shared" si="109"/>
        <v>0.72451301822599201</v>
      </c>
      <c r="I819" s="7">
        <f t="shared" si="110"/>
        <v>-0.59805837894188163</v>
      </c>
      <c r="J819" s="7">
        <f t="shared" si="111"/>
        <v>0.44527516550949531</v>
      </c>
      <c r="K819" s="7">
        <f t="shared" si="114"/>
        <v>6.6919044731417632E-2</v>
      </c>
      <c r="L819" s="7">
        <f t="shared" si="115"/>
        <v>6.9906931906229319E-2</v>
      </c>
      <c r="M819" s="7">
        <f t="shared" si="116"/>
        <v>6.7094024760353088E-2</v>
      </c>
      <c r="N819" s="7">
        <f t="shared" si="112"/>
        <v>0.94128249368773176</v>
      </c>
      <c r="O819" s="7">
        <f t="shared" si="113"/>
        <v>5.8717506312268214E-2</v>
      </c>
    </row>
    <row r="820" spans="1:15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4">
        <f>IF(SUMIFS('Daily NSE Equity Cash'!$H:$H,'Daily NSE Equity Cash'!$A:$A,$A820)=0,"",SUMIFS('Daily NSE Equity Cash'!$H:$H,'Daily NSE Equity Cash'!$A:$A,$A820))</f>
        <v>669.21280000000002</v>
      </c>
      <c r="F820" s="4">
        <f>IF(SUMIFS('Daily BSE Equity Cash'!$H:$H,'Daily BSE Equity Cash'!$A:$A,$A820)=0,"",SUMIFS('Daily BSE Equity Cash'!$H:$H,'Daily BSE Equity Cash'!$A:$A,$A820))</f>
        <v>39.985700000000001</v>
      </c>
      <c r="G820" s="4">
        <f t="shared" si="108"/>
        <v>709.19849999999997</v>
      </c>
      <c r="H820" s="7">
        <f t="shared" si="109"/>
        <v>0.50092875479572574</v>
      </c>
      <c r="I820" s="7">
        <f t="shared" si="110"/>
        <v>0.41341171147605893</v>
      </c>
      <c r="J820" s="7">
        <f t="shared" si="111"/>
        <v>0.49570710905271698</v>
      </c>
      <c r="K820" s="7">
        <f t="shared" si="114"/>
        <v>-0.12116698177717067</v>
      </c>
      <c r="L820" s="7">
        <f t="shared" si="115"/>
        <v>-0.15821882769524198</v>
      </c>
      <c r="M820" s="7">
        <f t="shared" si="116"/>
        <v>-0.12334257377374624</v>
      </c>
      <c r="N820" s="7">
        <f t="shared" si="112"/>
        <v>0.94361846507007563</v>
      </c>
      <c r="O820" s="7">
        <f t="shared" si="113"/>
        <v>5.6381534929924419E-2</v>
      </c>
    </row>
    <row r="821" spans="1:15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4">
        <f>IF(SUMIFS('Daily NSE Equity Cash'!$H:$H,'Daily NSE Equity Cash'!$A:$A,$A821)=0,"",SUMIFS('Daily NSE Equity Cash'!$H:$H,'Daily NSE Equity Cash'!$A:$A,$A821))</f>
        <v>741.12459999999999</v>
      </c>
      <c r="F821" s="4">
        <f>IF(SUMIFS('Daily BSE Equity Cash'!$H:$H,'Daily BSE Equity Cash'!$A:$A,$A821)=0,"",SUMIFS('Daily BSE Equity Cash'!$H:$H,'Daily BSE Equity Cash'!$A:$A,$A821))</f>
        <v>41.954799999999999</v>
      </c>
      <c r="G821" s="4">
        <f t="shared" si="108"/>
        <v>783.07939999999996</v>
      </c>
      <c r="H821" s="7">
        <f t="shared" si="109"/>
        <v>0.44247581437036576</v>
      </c>
      <c r="I821" s="7">
        <f t="shared" si="110"/>
        <v>0.33640826025603854</v>
      </c>
      <c r="J821" s="7">
        <f t="shared" si="111"/>
        <v>0.43636801189771734</v>
      </c>
      <c r="K821" s="7">
        <f t="shared" si="114"/>
        <v>0.1074572990833409</v>
      </c>
      <c r="L821" s="7">
        <f t="shared" si="115"/>
        <v>4.9245105125082178E-2</v>
      </c>
      <c r="M821" s="7">
        <f t="shared" si="116"/>
        <v>0.10417520623633592</v>
      </c>
      <c r="N821" s="7">
        <f t="shared" si="112"/>
        <v>0.94642331288500248</v>
      </c>
      <c r="O821" s="7">
        <f t="shared" si="113"/>
        <v>5.3576687114997537E-2</v>
      </c>
    </row>
    <row r="822" spans="1:15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4">
        <f>IF(SUMIFS('Daily NSE Equity Cash'!$H:$H,'Daily NSE Equity Cash'!$A:$A,$A822)=0,"",SUMIFS('Daily NSE Equity Cash'!$H:$H,'Daily NSE Equity Cash'!$A:$A,$A822))</f>
        <v>821.95690000000002</v>
      </c>
      <c r="F822" s="4">
        <f>IF(SUMIFS('Daily BSE Equity Cash'!$H:$H,'Daily BSE Equity Cash'!$A:$A,$A822)=0,"",SUMIFS('Daily BSE Equity Cash'!$H:$H,'Daily BSE Equity Cash'!$A:$A,$A822))</f>
        <v>53.196100000000001</v>
      </c>
      <c r="G822" s="4">
        <f t="shared" si="108"/>
        <v>875.15300000000002</v>
      </c>
      <c r="H822" s="7">
        <f t="shared" si="109"/>
        <v>0.64896887899544842</v>
      </c>
      <c r="I822" s="7">
        <f t="shared" si="110"/>
        <v>0.8411287084850414</v>
      </c>
      <c r="J822" s="7">
        <f t="shared" si="111"/>
        <v>0.65949699674074869</v>
      </c>
      <c r="K822" s="7">
        <f t="shared" si="114"/>
        <v>0.10906708534570297</v>
      </c>
      <c r="L822" s="7">
        <f t="shared" si="115"/>
        <v>0.26793835270338562</v>
      </c>
      <c r="M822" s="7">
        <f t="shared" si="116"/>
        <v>0.11757888152848883</v>
      </c>
      <c r="N822" s="7">
        <f t="shared" si="112"/>
        <v>0.93921508581927959</v>
      </c>
      <c r="O822" s="7">
        <f t="shared" si="113"/>
        <v>6.0784914180720399E-2</v>
      </c>
    </row>
    <row r="823" spans="1:15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4">
        <f>IF(SUMIFS('Daily NSE Equity Cash'!$H:$H,'Daily NSE Equity Cash'!$A:$A,$A823)=0,"",SUMIFS('Daily NSE Equity Cash'!$H:$H,'Daily NSE Equity Cash'!$A:$A,$A823))</f>
        <v>752.79319999999996</v>
      </c>
      <c r="F823" s="4">
        <f>IF(SUMIFS('Daily BSE Equity Cash'!$H:$H,'Daily BSE Equity Cash'!$A:$A,$A823)=0,"",SUMIFS('Daily BSE Equity Cash'!$H:$H,'Daily BSE Equity Cash'!$A:$A,$A823))</f>
        <v>49.025599999999997</v>
      </c>
      <c r="G823" s="4">
        <f t="shared" si="108"/>
        <v>801.81880000000001</v>
      </c>
      <c r="H823" s="7" t="str">
        <f t="shared" si="109"/>
        <v/>
      </c>
      <c r="I823" s="7" t="str">
        <f t="shared" si="110"/>
        <v/>
      </c>
      <c r="J823" s="7" t="str">
        <f t="shared" si="111"/>
        <v/>
      </c>
      <c r="K823" s="7">
        <f t="shared" si="114"/>
        <v>-8.4145166248984715E-2</v>
      </c>
      <c r="L823" s="7">
        <f t="shared" si="115"/>
        <v>-7.8398604408969952E-2</v>
      </c>
      <c r="M823" s="7">
        <f t="shared" si="116"/>
        <v>-8.37958619807051E-2</v>
      </c>
      <c r="N823" s="7">
        <f t="shared" si="112"/>
        <v>0.93885700859096832</v>
      </c>
      <c r="O823" s="7">
        <f t="shared" si="113"/>
        <v>6.1142991409031559E-2</v>
      </c>
    </row>
    <row r="824" spans="1:15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4">
        <f>IF(SUMIFS('Daily NSE Equity Cash'!$H:$H,'Daily NSE Equity Cash'!$A:$A,$A824)=0,"",SUMIFS('Daily NSE Equity Cash'!$H:$H,'Daily NSE Equity Cash'!$A:$A,$A824))</f>
        <v>764.64949999999999</v>
      </c>
      <c r="F824" s="4">
        <f>IF(SUMIFS('Daily BSE Equity Cash'!$H:$H,'Daily BSE Equity Cash'!$A:$A,$A824)=0,"",SUMIFS('Daily BSE Equity Cash'!$H:$H,'Daily BSE Equity Cash'!$A:$A,$A824))</f>
        <v>48.267499999999998</v>
      </c>
      <c r="G824" s="4">
        <f t="shared" si="108"/>
        <v>812.91700000000003</v>
      </c>
      <c r="H824" s="7">
        <f t="shared" si="109"/>
        <v>0.37676301943512058</v>
      </c>
      <c r="I824" s="7">
        <f t="shared" si="110"/>
        <v>0.58825871498048699</v>
      </c>
      <c r="J824" s="7">
        <f t="shared" si="111"/>
        <v>0.38773526477551212</v>
      </c>
      <c r="K824" s="7">
        <f t="shared" si="114"/>
        <v>1.574974375432725E-2</v>
      </c>
      <c r="L824" s="7">
        <f t="shared" si="115"/>
        <v>-1.5463349760125311E-2</v>
      </c>
      <c r="M824" s="7">
        <f t="shared" si="116"/>
        <v>1.3841281845723863E-2</v>
      </c>
      <c r="N824" s="7">
        <f t="shared" si="112"/>
        <v>0.94062431957998172</v>
      </c>
      <c r="O824" s="7">
        <f t="shared" si="113"/>
        <v>5.9375680420018277E-2</v>
      </c>
    </row>
    <row r="825" spans="1:15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4">
        <f>IF(SUMIFS('Daily NSE Equity Cash'!$H:$H,'Daily NSE Equity Cash'!$A:$A,$A825)=0,"",SUMIFS('Daily NSE Equity Cash'!$H:$H,'Daily NSE Equity Cash'!$A:$A,$A825))</f>
        <v>694.70740000000001</v>
      </c>
      <c r="F825" s="4">
        <f>IF(SUMIFS('Daily BSE Equity Cash'!$H:$H,'Daily BSE Equity Cash'!$A:$A,$A825)=0,"",SUMIFS('Daily BSE Equity Cash'!$H:$H,'Daily BSE Equity Cash'!$A:$A,$A825))</f>
        <v>45.3461</v>
      </c>
      <c r="G825" s="4">
        <f t="shared" si="108"/>
        <v>740.05349999999999</v>
      </c>
      <c r="H825" s="7">
        <f t="shared" si="109"/>
        <v>0.47027243242099259</v>
      </c>
      <c r="I825" s="7">
        <f t="shared" si="110"/>
        <v>0.50151654624803821</v>
      </c>
      <c r="J825" s="7">
        <f t="shared" si="111"/>
        <v>0.47214944339865283</v>
      </c>
      <c r="K825" s="7">
        <f t="shared" si="114"/>
        <v>-9.146949026972484E-2</v>
      </c>
      <c r="L825" s="7">
        <f t="shared" si="115"/>
        <v>-6.0525198114673384E-2</v>
      </c>
      <c r="M825" s="7">
        <f t="shared" si="116"/>
        <v>-8.9632151867902965E-2</v>
      </c>
      <c r="N825" s="7">
        <f t="shared" si="112"/>
        <v>0.93872591643712244</v>
      </c>
      <c r="O825" s="7">
        <f t="shared" si="113"/>
        <v>6.127408356287755E-2</v>
      </c>
    </row>
    <row r="826" spans="1:15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4">
        <f>IF(SUMIFS('Daily NSE Equity Cash'!$H:$H,'Daily NSE Equity Cash'!$A:$A,$A826)=0,"",SUMIFS('Daily NSE Equity Cash'!$H:$H,'Daily NSE Equity Cash'!$A:$A,$A826))</f>
        <v>830.00699999999995</v>
      </c>
      <c r="F826" s="4">
        <f>IF(SUMIFS('Daily BSE Equity Cash'!$H:$H,'Daily BSE Equity Cash'!$A:$A,$A826)=0,"",SUMIFS('Daily BSE Equity Cash'!$H:$H,'Daily BSE Equity Cash'!$A:$A,$A826))</f>
        <v>44.357599999999998</v>
      </c>
      <c r="G826" s="4">
        <f t="shared" si="108"/>
        <v>874.3646</v>
      </c>
      <c r="H826" s="7">
        <f t="shared" si="109"/>
        <v>0.88223990101769356</v>
      </c>
      <c r="I826" s="7">
        <f t="shared" si="110"/>
        <v>0.60527496706764516</v>
      </c>
      <c r="J826" s="7">
        <f t="shared" si="111"/>
        <v>0.86590783911484448</v>
      </c>
      <c r="K826" s="7">
        <f t="shared" si="114"/>
        <v>0.19475767783674103</v>
      </c>
      <c r="L826" s="7">
        <f t="shared" si="115"/>
        <v>-2.179900807346169E-2</v>
      </c>
      <c r="M826" s="7">
        <f t="shared" si="116"/>
        <v>0.18148836536817958</v>
      </c>
      <c r="N826" s="7">
        <f t="shared" si="112"/>
        <v>0.94926876042328334</v>
      </c>
      <c r="O826" s="7">
        <f t="shared" si="113"/>
        <v>5.0731239576716623E-2</v>
      </c>
    </row>
    <row r="827" spans="1:15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4">
        <f>IF(SUMIFS('Daily NSE Equity Cash'!$H:$H,'Daily NSE Equity Cash'!$A:$A,$A827)=0,"",SUMIFS('Daily NSE Equity Cash'!$H:$H,'Daily NSE Equity Cash'!$A:$A,$A827))</f>
        <v>713.59389999999996</v>
      </c>
      <c r="F827" s="4">
        <f>IF(SUMIFS('Daily BSE Equity Cash'!$H:$H,'Daily BSE Equity Cash'!$A:$A,$A827)=0,"",SUMIFS('Daily BSE Equity Cash'!$H:$H,'Daily BSE Equity Cash'!$A:$A,$A827))</f>
        <v>49.950699999999998</v>
      </c>
      <c r="G827" s="4">
        <f t="shared" si="108"/>
        <v>763.54459999999995</v>
      </c>
      <c r="H827" s="7">
        <f t="shared" si="109"/>
        <v>0.23228216601690388</v>
      </c>
      <c r="I827" s="7">
        <f t="shared" si="110"/>
        <v>0.48829788184957512</v>
      </c>
      <c r="J827" s="7">
        <f t="shared" si="111"/>
        <v>0.24630736698465894</v>
      </c>
      <c r="K827" s="7">
        <f t="shared" si="114"/>
        <v>-0.1402555641097003</v>
      </c>
      <c r="L827" s="7">
        <f t="shared" si="115"/>
        <v>0.12609113207206879</v>
      </c>
      <c r="M827" s="7">
        <f t="shared" si="116"/>
        <v>-0.12674346605523601</v>
      </c>
      <c r="N827" s="7">
        <f t="shared" si="112"/>
        <v>0.93458050780530699</v>
      </c>
      <c r="O827" s="7">
        <f t="shared" si="113"/>
        <v>6.5419492194693021E-2</v>
      </c>
    </row>
    <row r="828" spans="1:15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4">
        <f>IF(SUMIFS('Daily NSE Equity Cash'!$H:$H,'Daily NSE Equity Cash'!$A:$A,$A828)=0,"",SUMIFS('Daily NSE Equity Cash'!$H:$H,'Daily NSE Equity Cash'!$A:$A,$A828))</f>
        <v>747.14739999999995</v>
      </c>
      <c r="F828" s="4">
        <f>IF(SUMIFS('Daily BSE Equity Cash'!$H:$H,'Daily BSE Equity Cash'!$A:$A,$A828)=0,"",SUMIFS('Daily BSE Equity Cash'!$H:$H,'Daily BSE Equity Cash'!$A:$A,$A828))</f>
        <v>52.459099999999999</v>
      </c>
      <c r="G828" s="4">
        <f t="shared" si="108"/>
        <v>799.60649999999998</v>
      </c>
      <c r="H828" s="7" t="str">
        <f t="shared" si="109"/>
        <v/>
      </c>
      <c r="I828" s="7" t="str">
        <f t="shared" si="110"/>
        <v/>
      </c>
      <c r="J828" s="7" t="str">
        <f t="shared" si="111"/>
        <v/>
      </c>
      <c r="K828" s="7">
        <f t="shared" si="114"/>
        <v>4.702044117809856E-2</v>
      </c>
      <c r="L828" s="7">
        <f t="shared" si="115"/>
        <v>5.02175144692667E-2</v>
      </c>
      <c r="M828" s="7">
        <f t="shared" si="116"/>
        <v>4.7229592089316208E-2</v>
      </c>
      <c r="N828" s="7">
        <f t="shared" si="112"/>
        <v>0.934393854977417</v>
      </c>
      <c r="O828" s="7">
        <f t="shared" si="113"/>
        <v>6.5606145022582982E-2</v>
      </c>
    </row>
    <row r="829" spans="1:15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4">
        <f>IF(SUMIFS('Daily NSE Equity Cash'!$H:$H,'Daily NSE Equity Cash'!$A:$A,$A829)=0,"",SUMIFS('Daily NSE Equity Cash'!$H:$H,'Daily NSE Equity Cash'!$A:$A,$A829))</f>
        <v>735.43290000000002</v>
      </c>
      <c r="F829" s="4">
        <f>IF(SUMIFS('Daily BSE Equity Cash'!$H:$H,'Daily BSE Equity Cash'!$A:$A,$A829)=0,"",SUMIFS('Daily BSE Equity Cash'!$H:$H,'Daily BSE Equity Cash'!$A:$A,$A829))</f>
        <v>64.444699999999997</v>
      </c>
      <c r="G829" s="4">
        <f t="shared" si="108"/>
        <v>799.87760000000003</v>
      </c>
      <c r="H829" s="7">
        <f t="shared" si="109"/>
        <v>0.25459174708671051</v>
      </c>
      <c r="I829" s="7">
        <f t="shared" si="110"/>
        <v>-0.52583091262798831</v>
      </c>
      <c r="J829" s="7">
        <f t="shared" si="111"/>
        <v>0.10770446021749236</v>
      </c>
      <c r="K829" s="7">
        <f t="shared" si="114"/>
        <v>-1.5678967764593654E-2</v>
      </c>
      <c r="L829" s="7">
        <f t="shared" si="115"/>
        <v>0.22847513586775214</v>
      </c>
      <c r="M829" s="7">
        <f t="shared" si="116"/>
        <v>3.3904176616883497E-4</v>
      </c>
      <c r="N829" s="7">
        <f t="shared" si="112"/>
        <v>0.919431798065104</v>
      </c>
      <c r="O829" s="7">
        <f t="shared" si="113"/>
        <v>8.0568201934896028E-2</v>
      </c>
    </row>
    <row r="830" spans="1:15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4">
        <f>IF(SUMIFS('Daily NSE Equity Cash'!$H:$H,'Daily NSE Equity Cash'!$A:$A,$A830)=0,"",SUMIFS('Daily NSE Equity Cash'!$H:$H,'Daily NSE Equity Cash'!$A:$A,$A830))</f>
        <v>782.17100000000005</v>
      </c>
      <c r="F830" s="4">
        <f>IF(SUMIFS('Daily BSE Equity Cash'!$H:$H,'Daily BSE Equity Cash'!$A:$A,$A830)=0,"",SUMIFS('Daily BSE Equity Cash'!$H:$H,'Daily BSE Equity Cash'!$A:$A,$A830))</f>
        <v>50.968000000000004</v>
      </c>
      <c r="G830" s="4">
        <f t="shared" si="108"/>
        <v>833.13900000000001</v>
      </c>
      <c r="H830" s="7">
        <f t="shared" si="109"/>
        <v>0.26191743056212102</v>
      </c>
      <c r="I830" s="7">
        <f t="shared" si="110"/>
        <v>8.8129803586677991E-2</v>
      </c>
      <c r="J830" s="7">
        <f t="shared" si="111"/>
        <v>0.2497071253221621</v>
      </c>
      <c r="K830" s="7">
        <f t="shared" si="114"/>
        <v>6.3551820975101814E-2</v>
      </c>
      <c r="L830" s="7">
        <f t="shared" si="115"/>
        <v>-0.20912037762608859</v>
      </c>
      <c r="M830" s="7">
        <f t="shared" si="116"/>
        <v>4.1583112216168949E-2</v>
      </c>
      <c r="N830" s="7">
        <f t="shared" si="112"/>
        <v>0.93882413378799945</v>
      </c>
      <c r="O830" s="7">
        <f t="shared" si="113"/>
        <v>6.1175866212000642E-2</v>
      </c>
    </row>
    <row r="831" spans="1:15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4">
        <f>IF(SUMIFS('Daily NSE Equity Cash'!$H:$H,'Daily NSE Equity Cash'!$A:$A,$A831)=0,"",SUMIFS('Daily NSE Equity Cash'!$H:$H,'Daily NSE Equity Cash'!$A:$A,$A831))</f>
        <v>1648.9906000000001</v>
      </c>
      <c r="F831" s="4">
        <f>IF(SUMIFS('Daily BSE Equity Cash'!$H:$H,'Daily BSE Equity Cash'!$A:$A,$A831)=0,"",SUMIFS('Daily BSE Equity Cash'!$H:$H,'Daily BSE Equity Cash'!$A:$A,$A831))</f>
        <v>55.244</v>
      </c>
      <c r="G831" s="4">
        <f t="shared" si="108"/>
        <v>1704.2346</v>
      </c>
      <c r="H831" s="7">
        <f t="shared" si="109"/>
        <v>1.8729665892465417</v>
      </c>
      <c r="I831" s="7">
        <f t="shared" si="110"/>
        <v>-0.20304678371009399</v>
      </c>
      <c r="J831" s="7">
        <f t="shared" si="111"/>
        <v>1.6492605398928535</v>
      </c>
      <c r="K831" s="7">
        <f t="shared" si="114"/>
        <v>1.1082226265100599</v>
      </c>
      <c r="L831" s="7">
        <f t="shared" si="115"/>
        <v>8.389577774289747E-2</v>
      </c>
      <c r="M831" s="7">
        <f t="shared" si="116"/>
        <v>1.0455585442525197</v>
      </c>
      <c r="N831" s="7">
        <f t="shared" si="112"/>
        <v>0.96758427507574374</v>
      </c>
      <c r="O831" s="7">
        <f t="shared" si="113"/>
        <v>3.2415724924256317E-2</v>
      </c>
    </row>
    <row r="832" spans="1:15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4">
        <f>IF(SUMIFS('Daily NSE Equity Cash'!$H:$H,'Daily NSE Equity Cash'!$A:$A,$A832)=0,"",SUMIFS('Daily NSE Equity Cash'!$H:$H,'Daily NSE Equity Cash'!$A:$A,$A832))</f>
        <v>793.28520000000003</v>
      </c>
      <c r="F832" s="4">
        <f>IF(SUMIFS('Daily BSE Equity Cash'!$H:$H,'Daily BSE Equity Cash'!$A:$A,$A832)=0,"",SUMIFS('Daily BSE Equity Cash'!$H:$H,'Daily BSE Equity Cash'!$A:$A,$A832))</f>
        <v>54.770800000000001</v>
      </c>
      <c r="G832" s="4">
        <f t="shared" si="108"/>
        <v>848.05600000000004</v>
      </c>
      <c r="H832" s="7">
        <f t="shared" si="109"/>
        <v>0.29312597723873246</v>
      </c>
      <c r="I832" s="7">
        <f t="shared" si="110"/>
        <v>0.31350513931056989</v>
      </c>
      <c r="J832" s="7">
        <f t="shared" si="111"/>
        <v>0.29442302309018809</v>
      </c>
      <c r="K832" s="7">
        <f t="shared" si="114"/>
        <v>-0.5189267907288253</v>
      </c>
      <c r="L832" s="7">
        <f t="shared" si="115"/>
        <v>-8.5656360871768644E-3</v>
      </c>
      <c r="M832" s="7">
        <f t="shared" si="116"/>
        <v>-0.50238306392793575</v>
      </c>
      <c r="N832" s="7">
        <f t="shared" si="112"/>
        <v>0.93541605743016965</v>
      </c>
      <c r="O832" s="7">
        <f t="shared" si="113"/>
        <v>6.4583942569830299E-2</v>
      </c>
    </row>
    <row r="833" spans="1:15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4" t="str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>98.068299999999994</v>
      </c>
      <c r="G833" s="4" t="str">
        <f t="shared" si="108"/>
        <v/>
      </c>
      <c r="H833" s="7" t="str">
        <f t="shared" si="109"/>
        <v/>
      </c>
      <c r="I833" s="7" t="str">
        <f t="shared" si="110"/>
        <v/>
      </c>
      <c r="J833" s="7" t="str">
        <f t="shared" si="111"/>
        <v/>
      </c>
      <c r="K833" s="7" t="str">
        <f t="shared" si="114"/>
        <v/>
      </c>
      <c r="L833" s="7">
        <f t="shared" si="115"/>
        <v>0.7905215917970887</v>
      </c>
      <c r="M833" s="7" t="str">
        <f t="shared" si="116"/>
        <v/>
      </c>
      <c r="N833" s="7" t="str">
        <f t="shared" si="112"/>
        <v/>
      </c>
      <c r="O833" s="7" t="str">
        <f t="shared" si="113"/>
        <v/>
      </c>
    </row>
    <row r="834" spans="1:15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4" t="str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>62.539099999999998</v>
      </c>
      <c r="G834" s="4" t="str">
        <f t="shared" ref="G834:G897" si="117">IF(OR(E834="",F834=""),"",E834+F834)</f>
        <v/>
      </c>
      <c r="H834" s="7" t="str">
        <f t="shared" ref="H834:H897" si="118">IFERROR(IF(OR(E834="",INDEX(E:E,MATCH(DATE(YEAR($A834)-1,MONTH($A834),DAY($A834)),$A:$A,0))=""),"",E834/INDEX(E:E,MATCH(DATE(YEAR($A834)-1,MONTH($A834),DAY($A834)),$A:$A,0))-1),"")</f>
        <v/>
      </c>
      <c r="I834" s="7">
        <f t="shared" ref="I834:I897" si="119">IFERROR(IF(OR(F834="",INDEX(F:F,MATCH(DATE(YEAR($A834)-1,MONTH($A834),DAY($A834)),$A:$A,0))=""),"",F834/INDEX(F:F,MATCH(DATE(YEAR($A834)-1,MONTH($A834),DAY($A834)),$A:$A,0))-1),"")</f>
        <v>0.83582702937541642</v>
      </c>
      <c r="J834" s="7" t="str">
        <f t="shared" ref="J834:J897" si="120">IFERROR(IF(OR(G834="",INDEX(G:G,MATCH(DATE(YEAR($A834)-1,MONTH($A834),DAY($A834)),$A:$A,0))=""),"",G834/INDEX(G:G,MATCH(DATE(YEAR($A834)-1,MONTH($A834),DAY($A834)),$A:$A,0))-1),"")</f>
        <v/>
      </c>
      <c r="K834" s="7" t="str">
        <f t="shared" si="114"/>
        <v/>
      </c>
      <c r="L834" s="7">
        <f t="shared" si="115"/>
        <v>-0.36229036294092998</v>
      </c>
      <c r="M834" s="7" t="str">
        <f t="shared" si="116"/>
        <v/>
      </c>
      <c r="N834" s="7" t="str">
        <f t="shared" ref="N834:N897" si="121">IF(G834="","",E834/G834)</f>
        <v/>
      </c>
      <c r="O834" s="7" t="str">
        <f t="shared" ref="O834:O897" si="122">IF(G834="","",F834/G834)</f>
        <v/>
      </c>
    </row>
    <row r="835" spans="1:15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4" t="str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>54.320599999999999</v>
      </c>
      <c r="G835" s="4" t="str">
        <f t="shared" si="117"/>
        <v/>
      </c>
      <c r="H835" s="7" t="str">
        <f t="shared" si="118"/>
        <v/>
      </c>
      <c r="I835" s="7" t="str">
        <f t="shared" si="119"/>
        <v/>
      </c>
      <c r="J835" s="7" t="str">
        <f t="shared" si="120"/>
        <v/>
      </c>
      <c r="K835" s="7" t="str">
        <f t="shared" ref="K835:K898" si="123">IF(OR(E835="",E834=""),"",E835/E834-1)</f>
        <v/>
      </c>
      <c r="L835" s="7">
        <f t="shared" ref="L835:L898" si="124">IF(OR(F835="",F834=""),"",F835/F834-1)</f>
        <v>-0.13141378753451838</v>
      </c>
      <c r="M835" s="7" t="str">
        <f t="shared" ref="M835:M898" si="125">IF(OR(G835="",G834=""),"",G835/G834-1)</f>
        <v/>
      </c>
      <c r="N835" s="7" t="str">
        <f t="shared" si="121"/>
        <v/>
      </c>
      <c r="O835" s="7" t="str">
        <f t="shared" si="122"/>
        <v/>
      </c>
    </row>
    <row r="836" spans="1:15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4">
        <f>IF(SUMIFS('Daily NSE Equity Cash'!$H:$H,'Daily NSE Equity Cash'!$A:$A,$A836)=0,"",SUMIFS('Daily NSE Equity Cash'!$H:$H,'Daily NSE Equity Cash'!$A:$A,$A836))</f>
        <v>819.21820000000002</v>
      </c>
      <c r="F836" s="4">
        <f>IF(SUMIFS('Daily BSE Equity Cash'!$H:$H,'Daily BSE Equity Cash'!$A:$A,$A836)=0,"",SUMIFS('Daily BSE Equity Cash'!$H:$H,'Daily BSE Equity Cash'!$A:$A,$A836))</f>
        <v>63.259799999999998</v>
      </c>
      <c r="G836" s="4">
        <f t="shared" si="117"/>
        <v>882.47800000000007</v>
      </c>
      <c r="H836" s="7">
        <f t="shared" si="118"/>
        <v>0.47045962150506582</v>
      </c>
      <c r="I836" s="7">
        <f t="shared" si="119"/>
        <v>0.47678020744088534</v>
      </c>
      <c r="J836" s="7">
        <f t="shared" si="120"/>
        <v>0.47091090741380892</v>
      </c>
      <c r="K836" s="7" t="str">
        <f t="shared" si="123"/>
        <v/>
      </c>
      <c r="L836" s="7">
        <f t="shared" si="124"/>
        <v>0.16456371984109164</v>
      </c>
      <c r="M836" s="7" t="str">
        <f t="shared" si="125"/>
        <v/>
      </c>
      <c r="N836" s="7">
        <f t="shared" si="121"/>
        <v>0.92831572005194463</v>
      </c>
      <c r="O836" s="7">
        <f t="shared" si="122"/>
        <v>7.168427994805536E-2</v>
      </c>
    </row>
    <row r="837" spans="1:15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4" t="str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>48.947899999999997</v>
      </c>
      <c r="G837" s="4" t="str">
        <f t="shared" si="117"/>
        <v/>
      </c>
      <c r="H837" s="7" t="str">
        <f t="shared" si="118"/>
        <v/>
      </c>
      <c r="I837" s="7">
        <f t="shared" si="119"/>
        <v>0.38173323923782632</v>
      </c>
      <c r="J837" s="7" t="str">
        <f t="shared" si="120"/>
        <v/>
      </c>
      <c r="K837" s="7" t="str">
        <f t="shared" si="123"/>
        <v/>
      </c>
      <c r="L837" s="7">
        <f t="shared" si="124"/>
        <v>-0.2262400450206925</v>
      </c>
      <c r="M837" s="7" t="str">
        <f t="shared" si="125"/>
        <v/>
      </c>
      <c r="N837" s="7" t="str">
        <f t="shared" si="121"/>
        <v/>
      </c>
      <c r="O837" s="7" t="str">
        <f t="shared" si="122"/>
        <v/>
      </c>
    </row>
    <row r="838" spans="1:15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4" t="str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>57.198099999999997</v>
      </c>
      <c r="G838" s="4" t="str">
        <f t="shared" si="117"/>
        <v/>
      </c>
      <c r="H838" s="7" t="str">
        <f t="shared" si="118"/>
        <v/>
      </c>
      <c r="I838" s="7" t="str">
        <f t="shared" si="119"/>
        <v/>
      </c>
      <c r="J838" s="7" t="str">
        <f t="shared" si="120"/>
        <v/>
      </c>
      <c r="K838" s="7" t="str">
        <f t="shared" si="123"/>
        <v/>
      </c>
      <c r="L838" s="7">
        <f t="shared" si="124"/>
        <v>0.16855064262205333</v>
      </c>
      <c r="M838" s="7" t="str">
        <f t="shared" si="125"/>
        <v/>
      </c>
      <c r="N838" s="7" t="str">
        <f t="shared" si="121"/>
        <v/>
      </c>
      <c r="O838" s="7" t="str">
        <f t="shared" si="122"/>
        <v/>
      </c>
    </row>
    <row r="839" spans="1:15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4">
        <f>IF(SUMIFS('Daily NSE Equity Cash'!$H:$H,'Daily NSE Equity Cash'!$A:$A,$A839)=0,"",SUMIFS('Daily NSE Equity Cash'!$H:$H,'Daily NSE Equity Cash'!$A:$A,$A839))</f>
        <v>721.77470000000005</v>
      </c>
      <c r="F839" s="4">
        <f>IF(SUMIFS('Daily BSE Equity Cash'!$H:$H,'Daily BSE Equity Cash'!$A:$A,$A839)=0,"",SUMIFS('Daily BSE Equity Cash'!$H:$H,'Daily BSE Equity Cash'!$A:$A,$A839))</f>
        <v>193.3561</v>
      </c>
      <c r="G839" s="4">
        <f t="shared" si="117"/>
        <v>915.13080000000002</v>
      </c>
      <c r="H839" s="7">
        <f t="shared" si="118"/>
        <v>0.24454170533364672</v>
      </c>
      <c r="I839" s="7">
        <f t="shared" si="119"/>
        <v>0.24186311484254186</v>
      </c>
      <c r="J839" s="7">
        <f t="shared" si="120"/>
        <v>0.24397478911863879</v>
      </c>
      <c r="K839" s="7" t="str">
        <f t="shared" si="123"/>
        <v/>
      </c>
      <c r="L839" s="7">
        <f t="shared" si="124"/>
        <v>2.3804636867308533</v>
      </c>
      <c r="M839" s="7" t="str">
        <f t="shared" si="125"/>
        <v/>
      </c>
      <c r="N839" s="7">
        <f t="shared" si="121"/>
        <v>0.78871206170746311</v>
      </c>
      <c r="O839" s="7">
        <f t="shared" si="122"/>
        <v>0.21128793829253698</v>
      </c>
    </row>
    <row r="840" spans="1:15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4">
        <f>IF(SUMIFS('Daily NSE Equity Cash'!$H:$H,'Daily NSE Equity Cash'!$A:$A,$A840)=0,"",SUMIFS('Daily NSE Equity Cash'!$H:$H,'Daily NSE Equity Cash'!$A:$A,$A840))</f>
        <v>715.84469999999999</v>
      </c>
      <c r="F840" s="4">
        <f>IF(SUMIFS('Daily BSE Equity Cash'!$H:$H,'Daily BSE Equity Cash'!$A:$A,$A840)=0,"",SUMIFS('Daily BSE Equity Cash'!$H:$H,'Daily BSE Equity Cash'!$A:$A,$A840))</f>
        <v>42.980200000000004</v>
      </c>
      <c r="G840" s="4">
        <f t="shared" si="117"/>
        <v>758.82489999999996</v>
      </c>
      <c r="H840" s="7">
        <f t="shared" si="118"/>
        <v>0.19465682296201314</v>
      </c>
      <c r="I840" s="7">
        <f t="shared" si="119"/>
        <v>3.6889250224964032E-2</v>
      </c>
      <c r="J840" s="7">
        <f t="shared" si="120"/>
        <v>0.18444910563603201</v>
      </c>
      <c r="K840" s="7">
        <f t="shared" si="123"/>
        <v>-8.2158601569161105E-3</v>
      </c>
      <c r="L840" s="7">
        <f t="shared" si="124"/>
        <v>-0.77771479668859689</v>
      </c>
      <c r="M840" s="7">
        <f t="shared" si="125"/>
        <v>-0.17080170397499472</v>
      </c>
      <c r="N840" s="7">
        <f t="shared" si="121"/>
        <v>0.94335952866069639</v>
      </c>
      <c r="O840" s="7">
        <f t="shared" si="122"/>
        <v>5.6640471339303715E-2</v>
      </c>
    </row>
    <row r="841" spans="1:15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4">
        <f>IF(SUMIFS('Daily NSE Equity Cash'!$H:$H,'Daily NSE Equity Cash'!$A:$A,$A841)=0,"",SUMIFS('Daily NSE Equity Cash'!$H:$H,'Daily NSE Equity Cash'!$A:$A,$A841))</f>
        <v>737.23910000000001</v>
      </c>
      <c r="F841" s="4">
        <f>IF(SUMIFS('Daily BSE Equity Cash'!$H:$H,'Daily BSE Equity Cash'!$A:$A,$A841)=0,"",SUMIFS('Daily BSE Equity Cash'!$H:$H,'Daily BSE Equity Cash'!$A:$A,$A841))</f>
        <v>74.868899999999996</v>
      </c>
      <c r="G841" s="4">
        <f t="shared" si="117"/>
        <v>812.10799999999995</v>
      </c>
      <c r="H841" s="7">
        <f t="shared" si="118"/>
        <v>0.25108539307995748</v>
      </c>
      <c r="I841" s="7">
        <f t="shared" si="119"/>
        <v>-0.26904470637855005</v>
      </c>
      <c r="J841" s="7">
        <f t="shared" si="120"/>
        <v>0.17406579127510446</v>
      </c>
      <c r="K841" s="7">
        <f t="shared" si="123"/>
        <v>2.9886929385661398E-2</v>
      </c>
      <c r="L841" s="7">
        <f t="shared" si="124"/>
        <v>0.74193931158998772</v>
      </c>
      <c r="M841" s="7">
        <f t="shared" si="125"/>
        <v>7.0217911931988564E-2</v>
      </c>
      <c r="N841" s="7">
        <f t="shared" si="121"/>
        <v>0.90780918301506708</v>
      </c>
      <c r="O841" s="7">
        <f t="shared" si="122"/>
        <v>9.2190816984933047E-2</v>
      </c>
    </row>
    <row r="842" spans="1:15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4">
        <f>IF(SUMIFS('Daily NSE Equity Cash'!$H:$H,'Daily NSE Equity Cash'!$A:$A,$A842)=0,"",SUMIFS('Daily NSE Equity Cash'!$H:$H,'Daily NSE Equity Cash'!$A:$A,$A842))</f>
        <v>625.87030000000004</v>
      </c>
      <c r="F842" s="4">
        <f>IF(SUMIFS('Daily BSE Equity Cash'!$H:$H,'Daily BSE Equity Cash'!$A:$A,$A842)=0,"",SUMIFS('Daily BSE Equity Cash'!$H:$H,'Daily BSE Equity Cash'!$A:$A,$A842))</f>
        <v>42.932699999999997</v>
      </c>
      <c r="G842" s="4">
        <f t="shared" si="117"/>
        <v>668.803</v>
      </c>
      <c r="H842" s="7" t="str">
        <f t="shared" si="118"/>
        <v/>
      </c>
      <c r="I842" s="7" t="str">
        <f t="shared" si="119"/>
        <v/>
      </c>
      <c r="J842" s="7" t="str">
        <f t="shared" si="120"/>
        <v/>
      </c>
      <c r="K842" s="7">
        <f t="shared" si="123"/>
        <v>-0.15106198246945934</v>
      </c>
      <c r="L842" s="7">
        <f t="shared" si="124"/>
        <v>-0.42656162972876588</v>
      </c>
      <c r="M842" s="7">
        <f t="shared" si="125"/>
        <v>-0.17646052002935564</v>
      </c>
      <c r="N842" s="7">
        <f t="shared" si="121"/>
        <v>0.93580665756583037</v>
      </c>
      <c r="O842" s="7">
        <f t="shared" si="122"/>
        <v>6.4193342434169701E-2</v>
      </c>
    </row>
    <row r="843" spans="1:15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4">
        <f>IF(SUMIFS('Daily NSE Equity Cash'!$H:$H,'Daily NSE Equity Cash'!$A:$A,$A843)=0,"",SUMIFS('Daily NSE Equity Cash'!$H:$H,'Daily NSE Equity Cash'!$A:$A,$A843))</f>
        <v>667.72810000000004</v>
      </c>
      <c r="F843" s="4">
        <f>IF(SUMIFS('Daily BSE Equity Cash'!$H:$H,'Daily BSE Equity Cash'!$A:$A,$A843)=0,"",SUMIFS('Daily BSE Equity Cash'!$H:$H,'Daily BSE Equity Cash'!$A:$A,$A843))</f>
        <v>46.470799999999997</v>
      </c>
      <c r="G843" s="4">
        <f t="shared" si="117"/>
        <v>714.19890000000009</v>
      </c>
      <c r="H843" s="7">
        <f t="shared" si="118"/>
        <v>0.21044440673861242</v>
      </c>
      <c r="I843" s="7">
        <f t="shared" si="119"/>
        <v>9.8117612586427594E-2</v>
      </c>
      <c r="J843" s="7">
        <f t="shared" si="120"/>
        <v>0.2024412861932523</v>
      </c>
      <c r="K843" s="7">
        <f t="shared" si="123"/>
        <v>6.6879351840149592E-2</v>
      </c>
      <c r="L843" s="7">
        <f t="shared" si="124"/>
        <v>8.2410377171712845E-2</v>
      </c>
      <c r="M843" s="7">
        <f t="shared" si="125"/>
        <v>6.7876340267612578E-2</v>
      </c>
      <c r="N843" s="7">
        <f t="shared" si="121"/>
        <v>0.93493297175338685</v>
      </c>
      <c r="O843" s="7">
        <f t="shared" si="122"/>
        <v>6.5067028246613076E-2</v>
      </c>
    </row>
    <row r="844" spans="1:15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4">
        <f>IF(SUMIFS('Daily NSE Equity Cash'!$H:$H,'Daily NSE Equity Cash'!$A:$A,$A844)=0,"",SUMIFS('Daily NSE Equity Cash'!$H:$H,'Daily NSE Equity Cash'!$A:$A,$A844))</f>
        <v>716.96860000000004</v>
      </c>
      <c r="F844" s="4">
        <f>IF(SUMIFS('Daily BSE Equity Cash'!$H:$H,'Daily BSE Equity Cash'!$A:$A,$A844)=0,"",SUMIFS('Daily BSE Equity Cash'!$H:$H,'Daily BSE Equity Cash'!$A:$A,$A844))</f>
        <v>52.587699999999998</v>
      </c>
      <c r="G844" s="4">
        <f t="shared" si="117"/>
        <v>769.55630000000008</v>
      </c>
      <c r="H844" s="7">
        <f t="shared" si="118"/>
        <v>0.27567061489482736</v>
      </c>
      <c r="I844" s="7">
        <f t="shared" si="119"/>
        <v>0.15176649152508959</v>
      </c>
      <c r="J844" s="7">
        <f t="shared" si="120"/>
        <v>0.2663611934354797</v>
      </c>
      <c r="K844" s="7">
        <f t="shared" si="123"/>
        <v>7.3743339541948227E-2</v>
      </c>
      <c r="L844" s="7">
        <f t="shared" si="124"/>
        <v>0.13162889384301546</v>
      </c>
      <c r="M844" s="7">
        <f t="shared" si="125"/>
        <v>7.7509780538726591E-2</v>
      </c>
      <c r="N844" s="7">
        <f t="shared" si="121"/>
        <v>0.9316649087272757</v>
      </c>
      <c r="O844" s="7">
        <f t="shared" si="122"/>
        <v>6.8335091272724288E-2</v>
      </c>
    </row>
    <row r="845" spans="1:15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4">
        <f>IF(SUMIFS('Daily NSE Equity Cash'!$H:$H,'Daily NSE Equity Cash'!$A:$A,$A845)=0,"",SUMIFS('Daily NSE Equity Cash'!$H:$H,'Daily NSE Equity Cash'!$A:$A,$A845))</f>
        <v>837.04610000000002</v>
      </c>
      <c r="F845" s="4">
        <f>IF(SUMIFS('Daily BSE Equity Cash'!$H:$H,'Daily BSE Equity Cash'!$A:$A,$A845)=0,"",SUMIFS('Daily BSE Equity Cash'!$H:$H,'Daily BSE Equity Cash'!$A:$A,$A845))</f>
        <v>80.902600000000007</v>
      </c>
      <c r="G845" s="4">
        <f t="shared" si="117"/>
        <v>917.94870000000003</v>
      </c>
      <c r="H845" s="7">
        <f t="shared" si="118"/>
        <v>0.61969443834915605</v>
      </c>
      <c r="I845" s="7">
        <f t="shared" si="119"/>
        <v>1.1853341508939597</v>
      </c>
      <c r="J845" s="7">
        <f t="shared" si="120"/>
        <v>0.65750569731712827</v>
      </c>
      <c r="K845" s="7">
        <f t="shared" si="123"/>
        <v>0.16747944052222086</v>
      </c>
      <c r="L845" s="7">
        <f t="shared" si="124"/>
        <v>0.53843199075068893</v>
      </c>
      <c r="M845" s="7">
        <f t="shared" si="125"/>
        <v>0.19282851689993308</v>
      </c>
      <c r="N845" s="7">
        <f t="shared" si="121"/>
        <v>0.91186588095827137</v>
      </c>
      <c r="O845" s="7">
        <f t="shared" si="122"/>
        <v>8.813411904172859E-2</v>
      </c>
    </row>
    <row r="846" spans="1:15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4">
        <f>IF(SUMIFS('Daily NSE Equity Cash'!$H:$H,'Daily NSE Equity Cash'!$A:$A,$A846)=0,"",SUMIFS('Daily NSE Equity Cash'!$H:$H,'Daily NSE Equity Cash'!$A:$A,$A846))</f>
        <v>728.01490000000001</v>
      </c>
      <c r="F846" s="4">
        <f>IF(SUMIFS('Daily BSE Equity Cash'!$H:$H,'Daily BSE Equity Cash'!$A:$A,$A846)=0,"",SUMIFS('Daily BSE Equity Cash'!$H:$H,'Daily BSE Equity Cash'!$A:$A,$A846))</f>
        <v>82.578400000000002</v>
      </c>
      <c r="G846" s="4">
        <f t="shared" si="117"/>
        <v>810.5933</v>
      </c>
      <c r="H846" s="7">
        <f t="shared" si="118"/>
        <v>0.32767811175939454</v>
      </c>
      <c r="I846" s="7">
        <f t="shared" si="119"/>
        <v>1.0751000756378333</v>
      </c>
      <c r="J846" s="7">
        <f t="shared" si="120"/>
        <v>0.37825109949844582</v>
      </c>
      <c r="K846" s="7">
        <f t="shared" si="123"/>
        <v>-0.13025710292419979</v>
      </c>
      <c r="L846" s="7">
        <f t="shared" si="124"/>
        <v>2.0713796589973521E-2</v>
      </c>
      <c r="M846" s="7">
        <f t="shared" si="125"/>
        <v>-0.11695141569458078</v>
      </c>
      <c r="N846" s="7">
        <f t="shared" si="121"/>
        <v>0.8981259776018381</v>
      </c>
      <c r="O846" s="7">
        <f t="shared" si="122"/>
        <v>0.10187402239816194</v>
      </c>
    </row>
    <row r="847" spans="1:15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4">
        <f>IF(SUMIFS('Daily NSE Equity Cash'!$H:$H,'Daily NSE Equity Cash'!$A:$A,$A847)=0,"",SUMIFS('Daily NSE Equity Cash'!$H:$H,'Daily NSE Equity Cash'!$A:$A,$A847))</f>
        <v>640.26919999999996</v>
      </c>
      <c r="F847" s="4">
        <f>IF(SUMIFS('Daily BSE Equity Cash'!$H:$H,'Daily BSE Equity Cash'!$A:$A,$A847)=0,"",SUMIFS('Daily BSE Equity Cash'!$H:$H,'Daily BSE Equity Cash'!$A:$A,$A847))</f>
        <v>81.903999999999996</v>
      </c>
      <c r="G847" s="4">
        <f t="shared" si="117"/>
        <v>722.17319999999995</v>
      </c>
      <c r="H847" s="7" t="str">
        <f t="shared" si="118"/>
        <v/>
      </c>
      <c r="I847" s="7" t="str">
        <f t="shared" si="119"/>
        <v/>
      </c>
      <c r="J847" s="7" t="str">
        <f t="shared" si="120"/>
        <v/>
      </c>
      <c r="K847" s="7">
        <f t="shared" si="123"/>
        <v>-0.12052734085524908</v>
      </c>
      <c r="L847" s="7">
        <f t="shared" si="124"/>
        <v>-8.1667845344546297E-3</v>
      </c>
      <c r="M847" s="7">
        <f t="shared" si="125"/>
        <v>-0.10908071902395444</v>
      </c>
      <c r="N847" s="7">
        <f t="shared" si="121"/>
        <v>0.88658676339692477</v>
      </c>
      <c r="O847" s="7">
        <f t="shared" si="122"/>
        <v>0.11341323660307527</v>
      </c>
    </row>
    <row r="848" spans="1:15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4">
        <f>IF(SUMIFS('Daily NSE Equity Cash'!$H:$H,'Daily NSE Equity Cash'!$A:$A,$A848)=0,"",SUMIFS('Daily NSE Equity Cash'!$H:$H,'Daily NSE Equity Cash'!$A:$A,$A848))</f>
        <v>725.37459999999999</v>
      </c>
      <c r="F848" s="4">
        <f>IF(SUMIFS('Daily BSE Equity Cash'!$H:$H,'Daily BSE Equity Cash'!$A:$A,$A848)=0,"",SUMIFS('Daily BSE Equity Cash'!$H:$H,'Daily BSE Equity Cash'!$A:$A,$A848))</f>
        <v>70.016000000000005</v>
      </c>
      <c r="G848" s="4">
        <f t="shared" si="117"/>
        <v>795.39059999999995</v>
      </c>
      <c r="H848" s="7">
        <f t="shared" si="118"/>
        <v>0.34888592142603847</v>
      </c>
      <c r="I848" s="7">
        <f t="shared" si="119"/>
        <v>0.6235368319513237</v>
      </c>
      <c r="J848" s="7">
        <f t="shared" si="120"/>
        <v>0.36927637347153208</v>
      </c>
      <c r="K848" s="7">
        <f t="shared" si="123"/>
        <v>0.13292127748765692</v>
      </c>
      <c r="L848" s="7">
        <f t="shared" si="124"/>
        <v>-0.14514553623754634</v>
      </c>
      <c r="M848" s="7">
        <f t="shared" si="125"/>
        <v>0.10138482015117711</v>
      </c>
      <c r="N848" s="7">
        <f t="shared" si="121"/>
        <v>0.91197280933418123</v>
      </c>
      <c r="O848" s="7">
        <f t="shared" si="122"/>
        <v>8.8027190665818794E-2</v>
      </c>
    </row>
    <row r="849" spans="1:15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4">
        <f>IF(SUMIFS('Daily NSE Equity Cash'!$H:$H,'Daily NSE Equity Cash'!$A:$A,$A849)=0,"",SUMIFS('Daily NSE Equity Cash'!$H:$H,'Daily NSE Equity Cash'!$A:$A,$A849))</f>
        <v>738.66089999999997</v>
      </c>
      <c r="F849" s="4">
        <f>IF(SUMIFS('Daily BSE Equity Cash'!$H:$H,'Daily BSE Equity Cash'!$A:$A,$A849)=0,"",SUMIFS('Daily BSE Equity Cash'!$H:$H,'Daily BSE Equity Cash'!$A:$A,$A849))</f>
        <v>57.637</v>
      </c>
      <c r="G849" s="4">
        <f t="shared" si="117"/>
        <v>796.29790000000003</v>
      </c>
      <c r="H849" s="7">
        <f t="shared" si="118"/>
        <v>9.630837535180703E-2</v>
      </c>
      <c r="I849" s="7">
        <f t="shared" si="119"/>
        <v>0.35031229354187277</v>
      </c>
      <c r="J849" s="7">
        <f t="shared" si="120"/>
        <v>0.1114411464330014</v>
      </c>
      <c r="K849" s="7">
        <f t="shared" si="123"/>
        <v>1.8316467105410128E-2</v>
      </c>
      <c r="L849" s="7">
        <f t="shared" si="124"/>
        <v>-0.17680244515539312</v>
      </c>
      <c r="M849" s="7">
        <f t="shared" si="125"/>
        <v>1.1406974133212344E-3</v>
      </c>
      <c r="N849" s="7">
        <f t="shared" si="121"/>
        <v>0.92761879693516702</v>
      </c>
      <c r="O849" s="7">
        <f t="shared" si="122"/>
        <v>7.2381203064832894E-2</v>
      </c>
    </row>
    <row r="850" spans="1:15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4">
        <f>IF(SUMIFS('Daily NSE Equity Cash'!$H:$H,'Daily NSE Equity Cash'!$A:$A,$A850)=0,"",SUMIFS('Daily NSE Equity Cash'!$H:$H,'Daily NSE Equity Cash'!$A:$A,$A850))</f>
        <v>1394.0151000000001</v>
      </c>
      <c r="F850" s="4">
        <f>IF(SUMIFS('Daily BSE Equity Cash'!$H:$H,'Daily BSE Equity Cash'!$A:$A,$A850)=0,"",SUMIFS('Daily BSE Equity Cash'!$H:$H,'Daily BSE Equity Cash'!$A:$A,$A850))</f>
        <v>77.183499999999995</v>
      </c>
      <c r="G850" s="4">
        <f t="shared" si="117"/>
        <v>1471.1986000000002</v>
      </c>
      <c r="H850" s="7" t="str">
        <f t="shared" si="118"/>
        <v/>
      </c>
      <c r="I850" s="7" t="str">
        <f t="shared" si="119"/>
        <v/>
      </c>
      <c r="J850" s="7" t="str">
        <f t="shared" si="120"/>
        <v/>
      </c>
      <c r="K850" s="7">
        <f t="shared" si="123"/>
        <v>0.88721929101702846</v>
      </c>
      <c r="L850" s="7">
        <f t="shared" si="124"/>
        <v>0.33913111369432825</v>
      </c>
      <c r="M850" s="7">
        <f t="shared" si="125"/>
        <v>0.84754800935679997</v>
      </c>
      <c r="N850" s="7">
        <f t="shared" si="121"/>
        <v>0.94753699466543806</v>
      </c>
      <c r="O850" s="7">
        <f t="shared" si="122"/>
        <v>5.2463005334561892E-2</v>
      </c>
    </row>
    <row r="851" spans="1:15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4">
        <f>IF(SUMIFS('Daily NSE Equity Cash'!$H:$H,'Daily NSE Equity Cash'!$A:$A,$A851)=0,"",SUMIFS('Daily NSE Equity Cash'!$H:$H,'Daily NSE Equity Cash'!$A:$A,$A851))</f>
        <v>867.57180000000005</v>
      </c>
      <c r="F851" s="4">
        <f>IF(SUMIFS('Daily BSE Equity Cash'!$H:$H,'Daily BSE Equity Cash'!$A:$A,$A851)=0,"",SUMIFS('Daily BSE Equity Cash'!$H:$H,'Daily BSE Equity Cash'!$A:$A,$A851))</f>
        <v>133.2764</v>
      </c>
      <c r="G851" s="4">
        <f t="shared" si="117"/>
        <v>1000.8482</v>
      </c>
      <c r="H851" s="7">
        <f t="shared" si="118"/>
        <v>0.33138243761090425</v>
      </c>
      <c r="I851" s="7">
        <f t="shared" si="119"/>
        <v>1.1460783256014673</v>
      </c>
      <c r="J851" s="7">
        <f t="shared" si="120"/>
        <v>0.4022694149898296</v>
      </c>
      <c r="K851" s="7">
        <f t="shared" si="123"/>
        <v>-0.37764533540562073</v>
      </c>
      <c r="L851" s="7">
        <f t="shared" si="124"/>
        <v>0.72674729702591878</v>
      </c>
      <c r="M851" s="7">
        <f t="shared" si="125"/>
        <v>-0.31970557883891415</v>
      </c>
      <c r="N851" s="7">
        <f t="shared" si="121"/>
        <v>0.86683654923893561</v>
      </c>
      <c r="O851" s="7">
        <f t="shared" si="122"/>
        <v>0.13316345076106445</v>
      </c>
    </row>
    <row r="852" spans="1:15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4">
        <f>IF(SUMIFS('Daily NSE Equity Cash'!$H:$H,'Daily NSE Equity Cash'!$A:$A,$A852)=0,"",SUMIFS('Daily NSE Equity Cash'!$H:$H,'Daily NSE Equity Cash'!$A:$A,$A852))</f>
        <v>909.48710000000005</v>
      </c>
      <c r="F852" s="4">
        <f>IF(SUMIFS('Daily BSE Equity Cash'!$H:$H,'Daily BSE Equity Cash'!$A:$A,$A852)=0,"",SUMIFS('Daily BSE Equity Cash'!$H:$H,'Daily BSE Equity Cash'!$A:$A,$A852))</f>
        <v>68.244699999999995</v>
      </c>
      <c r="G852" s="4">
        <f t="shared" si="117"/>
        <v>977.73180000000002</v>
      </c>
      <c r="H852" s="7" t="str">
        <f t="shared" si="118"/>
        <v/>
      </c>
      <c r="I852" s="7" t="str">
        <f t="shared" si="119"/>
        <v/>
      </c>
      <c r="J852" s="7" t="str">
        <f t="shared" si="120"/>
        <v/>
      </c>
      <c r="K852" s="7">
        <f t="shared" si="123"/>
        <v>4.8313349972878283E-2</v>
      </c>
      <c r="L852" s="7">
        <f t="shared" si="124"/>
        <v>-0.48794610298597507</v>
      </c>
      <c r="M852" s="7">
        <f t="shared" si="125"/>
        <v>-2.3096809286363262E-2</v>
      </c>
      <c r="N852" s="7">
        <f t="shared" si="121"/>
        <v>0.93020100195166</v>
      </c>
      <c r="O852" s="7">
        <f t="shared" si="122"/>
        <v>6.9798998048340041E-2</v>
      </c>
    </row>
    <row r="853" spans="1:15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4">
        <f>IF(SUMIFS('Daily NSE Equity Cash'!$H:$H,'Daily NSE Equity Cash'!$A:$A,$A853)=0,"",SUMIFS('Daily NSE Equity Cash'!$H:$H,'Daily NSE Equity Cash'!$A:$A,$A853))</f>
        <v>887.40880000000004</v>
      </c>
      <c r="F853" s="4">
        <f>IF(SUMIFS('Daily BSE Equity Cash'!$H:$H,'Daily BSE Equity Cash'!$A:$A,$A853)=0,"",SUMIFS('Daily BSE Equity Cash'!$H:$H,'Daily BSE Equity Cash'!$A:$A,$A853))</f>
        <v>62.886499999999998</v>
      </c>
      <c r="G853" s="4">
        <f t="shared" si="117"/>
        <v>950.2953</v>
      </c>
      <c r="H853" s="7">
        <f t="shared" si="118"/>
        <v>0.699538252637667</v>
      </c>
      <c r="I853" s="7">
        <f t="shared" si="119"/>
        <v>0.27238275986257743</v>
      </c>
      <c r="J853" s="7">
        <f t="shared" si="120"/>
        <v>0.66260178959331717</v>
      </c>
      <c r="K853" s="7">
        <f t="shared" si="123"/>
        <v>-2.4275550472348639E-2</v>
      </c>
      <c r="L853" s="7">
        <f t="shared" si="124"/>
        <v>-7.8514522006837062E-2</v>
      </c>
      <c r="M853" s="7">
        <f t="shared" si="125"/>
        <v>-2.8061376340628441E-2</v>
      </c>
      <c r="N853" s="7">
        <f t="shared" si="121"/>
        <v>0.93382425441860029</v>
      </c>
      <c r="O853" s="7">
        <f t="shared" si="122"/>
        <v>6.6175745581399797E-2</v>
      </c>
    </row>
    <row r="854" spans="1:15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4">
        <f>IF(SUMIFS('Daily NSE Equity Cash'!$H:$H,'Daily NSE Equity Cash'!$A:$A,$A854)=0,"",SUMIFS('Daily NSE Equity Cash'!$H:$H,'Daily NSE Equity Cash'!$A:$A,$A854))</f>
        <v>898.7405</v>
      </c>
      <c r="F854" s="4">
        <f>IF(SUMIFS('Daily BSE Equity Cash'!$H:$H,'Daily BSE Equity Cash'!$A:$A,$A854)=0,"",SUMIFS('Daily BSE Equity Cash'!$H:$H,'Daily BSE Equity Cash'!$A:$A,$A854))</f>
        <v>69.255200000000002</v>
      </c>
      <c r="G854" s="4">
        <f t="shared" si="117"/>
        <v>967.99569999999994</v>
      </c>
      <c r="H854" s="7">
        <f t="shared" si="118"/>
        <v>0.60774663899136727</v>
      </c>
      <c r="I854" s="7">
        <f t="shared" si="119"/>
        <v>0.13391839675158823</v>
      </c>
      <c r="J854" s="7">
        <f t="shared" si="120"/>
        <v>0.56107616682495198</v>
      </c>
      <c r="K854" s="7">
        <f t="shared" si="123"/>
        <v>1.2769424869349955E-2</v>
      </c>
      <c r="L854" s="7">
        <f t="shared" si="124"/>
        <v>0.10127292821193734</v>
      </c>
      <c r="M854" s="7">
        <f t="shared" si="125"/>
        <v>1.8626210189611525E-2</v>
      </c>
      <c r="N854" s="7">
        <f t="shared" si="121"/>
        <v>0.9284550540875337</v>
      </c>
      <c r="O854" s="7">
        <f t="shared" si="122"/>
        <v>7.1544945912466351E-2</v>
      </c>
    </row>
    <row r="855" spans="1:15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4">
        <f>IF(SUMIFS('Daily NSE Equity Cash'!$H:$H,'Daily NSE Equity Cash'!$A:$A,$A855)=0,"",SUMIFS('Daily NSE Equity Cash'!$H:$H,'Daily NSE Equity Cash'!$A:$A,$A855))</f>
        <v>809.90769999999998</v>
      </c>
      <c r="F855" s="4">
        <f>IF(SUMIFS('Daily BSE Equity Cash'!$H:$H,'Daily BSE Equity Cash'!$A:$A,$A855)=0,"",SUMIFS('Daily BSE Equity Cash'!$H:$H,'Daily BSE Equity Cash'!$A:$A,$A855))</f>
        <v>59.185099999999998</v>
      </c>
      <c r="G855" s="4">
        <f t="shared" si="117"/>
        <v>869.09280000000001</v>
      </c>
      <c r="H855" s="7">
        <f t="shared" si="118"/>
        <v>0.28966522844644205</v>
      </c>
      <c r="I855" s="7">
        <f t="shared" si="119"/>
        <v>0.16663644212460138</v>
      </c>
      <c r="J855" s="7">
        <f t="shared" si="120"/>
        <v>0.28046948874205913</v>
      </c>
      <c r="K855" s="7">
        <f t="shared" si="123"/>
        <v>-9.8841434207093126E-2</v>
      </c>
      <c r="L855" s="7">
        <f t="shared" si="124"/>
        <v>-0.14540568794834186</v>
      </c>
      <c r="M855" s="7">
        <f t="shared" si="125"/>
        <v>-0.1021728712224651</v>
      </c>
      <c r="N855" s="7">
        <f t="shared" si="121"/>
        <v>0.93190013770681335</v>
      </c>
      <c r="O855" s="7">
        <f t="shared" si="122"/>
        <v>6.8099862293186639E-2</v>
      </c>
    </row>
    <row r="856" spans="1:15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4">
        <f>IF(SUMIFS('Daily NSE Equity Cash'!$H:$H,'Daily NSE Equity Cash'!$A:$A,$A856)=0,"",SUMIFS('Daily NSE Equity Cash'!$H:$H,'Daily NSE Equity Cash'!$A:$A,$A856))</f>
        <v>912.9076</v>
      </c>
      <c r="F856" s="4">
        <f>IF(SUMIFS('Daily BSE Equity Cash'!$H:$H,'Daily BSE Equity Cash'!$A:$A,$A856)=0,"",SUMIFS('Daily BSE Equity Cash'!$H:$H,'Daily BSE Equity Cash'!$A:$A,$A856))</f>
        <v>68.841499999999996</v>
      </c>
      <c r="G856" s="4">
        <f t="shared" si="117"/>
        <v>981.7491</v>
      </c>
      <c r="H856" s="7">
        <f t="shared" si="118"/>
        <v>0.54650496007394156</v>
      </c>
      <c r="I856" s="7">
        <f t="shared" si="119"/>
        <v>0.45862069696141416</v>
      </c>
      <c r="J856" s="7">
        <f t="shared" si="120"/>
        <v>0.53999858823529401</v>
      </c>
      <c r="K856" s="7">
        <f t="shared" si="123"/>
        <v>0.12717486202440109</v>
      </c>
      <c r="L856" s="7">
        <f t="shared" si="124"/>
        <v>0.16315592944845903</v>
      </c>
      <c r="M856" s="7">
        <f t="shared" si="125"/>
        <v>0.1296251677611413</v>
      </c>
      <c r="N856" s="7">
        <f t="shared" si="121"/>
        <v>0.92987872359648716</v>
      </c>
      <c r="O856" s="7">
        <f t="shared" si="122"/>
        <v>7.0121276403512872E-2</v>
      </c>
    </row>
    <row r="857" spans="1:15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4">
        <f>IF(SUMIFS('Daily NSE Equity Cash'!$H:$H,'Daily NSE Equity Cash'!$A:$A,$A857)=0,"",SUMIFS('Daily NSE Equity Cash'!$H:$H,'Daily NSE Equity Cash'!$A:$A,$A857))</f>
        <v>923.64380000000006</v>
      </c>
      <c r="F857" s="4">
        <f>IF(SUMIFS('Daily BSE Equity Cash'!$H:$H,'Daily BSE Equity Cash'!$A:$A,$A857)=0,"",SUMIFS('Daily BSE Equity Cash'!$H:$H,'Daily BSE Equity Cash'!$A:$A,$A857))</f>
        <v>70.661000000000001</v>
      </c>
      <c r="G857" s="4">
        <f t="shared" si="117"/>
        <v>994.30480000000011</v>
      </c>
      <c r="H857" s="7" t="str">
        <f t="shared" si="118"/>
        <v/>
      </c>
      <c r="I857" s="7" t="str">
        <f t="shared" si="119"/>
        <v/>
      </c>
      <c r="J857" s="7" t="str">
        <f t="shared" si="120"/>
        <v/>
      </c>
      <c r="K857" s="7">
        <f t="shared" si="123"/>
        <v>1.1760445416381771E-2</v>
      </c>
      <c r="L857" s="7">
        <f t="shared" si="124"/>
        <v>2.6430278247859373E-2</v>
      </c>
      <c r="M857" s="7">
        <f t="shared" si="125"/>
        <v>1.2789112819151072E-2</v>
      </c>
      <c r="N857" s="7">
        <f t="shared" si="121"/>
        <v>0.92893426643419597</v>
      </c>
      <c r="O857" s="7">
        <f t="shared" si="122"/>
        <v>7.1065733565803965E-2</v>
      </c>
    </row>
    <row r="858" spans="1:15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4">
        <f>IF(SUMIFS('Daily NSE Equity Cash'!$H:$H,'Daily NSE Equity Cash'!$A:$A,$A858)=0,"",SUMIFS('Daily NSE Equity Cash'!$H:$H,'Daily NSE Equity Cash'!$A:$A,$A858))</f>
        <v>1082.7808</v>
      </c>
      <c r="F858" s="4">
        <f>IF(SUMIFS('Daily BSE Equity Cash'!$H:$H,'Daily BSE Equity Cash'!$A:$A,$A858)=0,"",SUMIFS('Daily BSE Equity Cash'!$H:$H,'Daily BSE Equity Cash'!$A:$A,$A858))</f>
        <v>93.193700000000007</v>
      </c>
      <c r="G858" s="4">
        <f t="shared" si="117"/>
        <v>1175.9745</v>
      </c>
      <c r="H858" s="7">
        <f t="shared" si="118"/>
        <v>1.0019431839633151</v>
      </c>
      <c r="I858" s="7">
        <f t="shared" si="119"/>
        <v>0.88080880245732596</v>
      </c>
      <c r="J858" s="7">
        <f t="shared" si="120"/>
        <v>0.99177713563026115</v>
      </c>
      <c r="K858" s="7">
        <f t="shared" si="123"/>
        <v>0.17229260890399511</v>
      </c>
      <c r="L858" s="7">
        <f t="shared" si="124"/>
        <v>0.31888453319369958</v>
      </c>
      <c r="M858" s="7">
        <f t="shared" si="125"/>
        <v>0.18271027153846586</v>
      </c>
      <c r="N858" s="7">
        <f t="shared" si="121"/>
        <v>0.9207519380734871</v>
      </c>
      <c r="O858" s="7">
        <f t="shared" si="122"/>
        <v>7.9248061926512861E-2</v>
      </c>
    </row>
    <row r="859" spans="1:15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4">
        <f>IF(SUMIFS('Daily NSE Equity Cash'!$H:$H,'Daily NSE Equity Cash'!$A:$A,$A859)=0,"",SUMIFS('Daily NSE Equity Cash'!$H:$H,'Daily NSE Equity Cash'!$A:$A,$A859))</f>
        <v>850.95069999999998</v>
      </c>
      <c r="F859" s="4">
        <f>IF(SUMIFS('Daily BSE Equity Cash'!$H:$H,'Daily BSE Equity Cash'!$A:$A,$A859)=0,"",SUMIFS('Daily BSE Equity Cash'!$H:$H,'Daily BSE Equity Cash'!$A:$A,$A859))</f>
        <v>61.4664</v>
      </c>
      <c r="G859" s="4">
        <f t="shared" si="117"/>
        <v>912.4171</v>
      </c>
      <c r="H859" s="7">
        <f t="shared" si="118"/>
        <v>0.39323470864972165</v>
      </c>
      <c r="I859" s="7">
        <f t="shared" si="119"/>
        <v>-0.17292603800699424</v>
      </c>
      <c r="J859" s="7">
        <f t="shared" si="120"/>
        <v>0.3318182554646365</v>
      </c>
      <c r="K859" s="7">
        <f t="shared" si="123"/>
        <v>-0.21410621614273173</v>
      </c>
      <c r="L859" s="7">
        <f t="shared" si="124"/>
        <v>-0.3404446867116554</v>
      </c>
      <c r="M859" s="7">
        <f t="shared" si="125"/>
        <v>-0.2241182950820787</v>
      </c>
      <c r="N859" s="7">
        <f t="shared" si="121"/>
        <v>0.93263344143813176</v>
      </c>
      <c r="O859" s="7">
        <f t="shared" si="122"/>
        <v>6.7366558561868253E-2</v>
      </c>
    </row>
    <row r="860" spans="1:15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4">
        <f>IF(SUMIFS('Daily NSE Equity Cash'!$H:$H,'Daily NSE Equity Cash'!$A:$A,$A860)=0,"",SUMIFS('Daily NSE Equity Cash'!$H:$H,'Daily NSE Equity Cash'!$A:$A,$A860))</f>
        <v>764.97820000000002</v>
      </c>
      <c r="F860" s="4">
        <f>IF(SUMIFS('Daily BSE Equity Cash'!$H:$H,'Daily BSE Equity Cash'!$A:$A,$A860)=0,"",SUMIFS('Daily BSE Equity Cash'!$H:$H,'Daily BSE Equity Cash'!$A:$A,$A860))</f>
        <v>52.283900000000003</v>
      </c>
      <c r="G860" s="4">
        <f t="shared" si="117"/>
        <v>817.26210000000003</v>
      </c>
      <c r="H860" s="7">
        <f t="shared" si="118"/>
        <v>4.2190717344645856E-2</v>
      </c>
      <c r="I860" s="7">
        <f t="shared" si="119"/>
        <v>-7.4830834784331945E-2</v>
      </c>
      <c r="J860" s="7">
        <f t="shared" si="120"/>
        <v>3.3825092413550362E-2</v>
      </c>
      <c r="K860" s="7">
        <f t="shared" si="123"/>
        <v>-0.10103111731384673</v>
      </c>
      <c r="L860" s="7">
        <f t="shared" si="124"/>
        <v>-0.14939056134733764</v>
      </c>
      <c r="M860" s="7">
        <f t="shared" si="125"/>
        <v>-0.10428892663234823</v>
      </c>
      <c r="N860" s="7">
        <f t="shared" si="121"/>
        <v>0.93602554186716846</v>
      </c>
      <c r="O860" s="7">
        <f t="shared" si="122"/>
        <v>6.3974458132831563E-2</v>
      </c>
    </row>
    <row r="861" spans="1:15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4">
        <f>IF(SUMIFS('Daily NSE Equity Cash'!$H:$H,'Daily NSE Equity Cash'!$A:$A,$A861)=0,"",SUMIFS('Daily NSE Equity Cash'!$H:$H,'Daily NSE Equity Cash'!$A:$A,$A861))</f>
        <v>1129.1811</v>
      </c>
      <c r="F861" s="4">
        <f>IF(SUMIFS('Daily BSE Equity Cash'!$H:$H,'Daily BSE Equity Cash'!$A:$A,$A861)=0,"",SUMIFS('Daily BSE Equity Cash'!$H:$H,'Daily BSE Equity Cash'!$A:$A,$A861))</f>
        <v>55.521099999999997</v>
      </c>
      <c r="G861" s="4">
        <f t="shared" si="117"/>
        <v>1184.7021999999999</v>
      </c>
      <c r="H861" s="7">
        <f t="shared" si="118"/>
        <v>0.69089206082042276</v>
      </c>
      <c r="I861" s="7">
        <f t="shared" si="119"/>
        <v>-6.680953341401108E-2</v>
      </c>
      <c r="J861" s="7">
        <f t="shared" si="120"/>
        <v>0.62890892041501556</v>
      </c>
      <c r="K861" s="7">
        <f t="shared" si="123"/>
        <v>0.47609578939635133</v>
      </c>
      <c r="L861" s="7">
        <f t="shared" si="124"/>
        <v>6.1915809646946762E-2</v>
      </c>
      <c r="M861" s="7">
        <f t="shared" si="125"/>
        <v>0.44959884962241592</v>
      </c>
      <c r="N861" s="7">
        <f t="shared" si="121"/>
        <v>0.95313497349798126</v>
      </c>
      <c r="O861" s="7">
        <f t="shared" si="122"/>
        <v>4.6865026502018819E-2</v>
      </c>
    </row>
    <row r="862" spans="1:15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4">
        <f>IF(SUMIFS('Daily NSE Equity Cash'!$H:$H,'Daily NSE Equity Cash'!$A:$A,$A862)=0,"",SUMIFS('Daily NSE Equity Cash'!$H:$H,'Daily NSE Equity Cash'!$A:$A,$A862))</f>
        <v>786.86739999999998</v>
      </c>
      <c r="F862" s="4">
        <f>IF(SUMIFS('Daily BSE Equity Cash'!$H:$H,'Daily BSE Equity Cash'!$A:$A,$A862)=0,"",SUMIFS('Daily BSE Equity Cash'!$H:$H,'Daily BSE Equity Cash'!$A:$A,$A862))</f>
        <v>54.0045</v>
      </c>
      <c r="G862" s="4">
        <f t="shared" si="117"/>
        <v>840.87189999999998</v>
      </c>
      <c r="H862" s="7" t="str">
        <f t="shared" si="118"/>
        <v/>
      </c>
      <c r="I862" s="7" t="str">
        <f t="shared" si="119"/>
        <v/>
      </c>
      <c r="J862" s="7" t="str">
        <f t="shared" si="120"/>
        <v/>
      </c>
      <c r="K862" s="7">
        <f t="shared" si="123"/>
        <v>-0.30315216930216071</v>
      </c>
      <c r="L862" s="7">
        <f t="shared" si="124"/>
        <v>-2.7315741222706302E-2</v>
      </c>
      <c r="M862" s="7">
        <f t="shared" si="125"/>
        <v>-0.29022508778999478</v>
      </c>
      <c r="N862" s="7">
        <f t="shared" si="121"/>
        <v>0.93577559197780302</v>
      </c>
      <c r="O862" s="7">
        <f t="shared" si="122"/>
        <v>6.4224408022196963E-2</v>
      </c>
    </row>
    <row r="863" spans="1:15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4">
        <f>IF(SUMIFS('Daily NSE Equity Cash'!$H:$H,'Daily NSE Equity Cash'!$A:$A,$A863)=0,"",SUMIFS('Daily NSE Equity Cash'!$H:$H,'Daily NSE Equity Cash'!$A:$A,$A863))</f>
        <v>900.23850000000004</v>
      </c>
      <c r="F863" s="4">
        <f>IF(SUMIFS('Daily BSE Equity Cash'!$H:$H,'Daily BSE Equity Cash'!$A:$A,$A863)=0,"",SUMIFS('Daily BSE Equity Cash'!$H:$H,'Daily BSE Equity Cash'!$A:$A,$A863))</f>
        <v>54.254100000000001</v>
      </c>
      <c r="G863" s="4">
        <f t="shared" si="117"/>
        <v>954.49260000000004</v>
      </c>
      <c r="H863" s="7">
        <f t="shared" si="118"/>
        <v>0.55292439106559854</v>
      </c>
      <c r="I863" s="7">
        <f t="shared" si="119"/>
        <v>0.27811884546885168</v>
      </c>
      <c r="J863" s="7">
        <f t="shared" si="120"/>
        <v>0.53417491529826178</v>
      </c>
      <c r="K863" s="7">
        <f t="shared" si="123"/>
        <v>0.14407904050923959</v>
      </c>
      <c r="L863" s="7">
        <f t="shared" si="124"/>
        <v>4.6218370691331057E-3</v>
      </c>
      <c r="M863" s="7">
        <f t="shared" si="125"/>
        <v>0.13512248417386763</v>
      </c>
      <c r="N863" s="7">
        <f t="shared" si="121"/>
        <v>0.94315922407360731</v>
      </c>
      <c r="O863" s="7">
        <f t="shared" si="122"/>
        <v>5.6840775926392723E-2</v>
      </c>
    </row>
    <row r="864" spans="1:15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4">
        <f>IF(SUMIFS('Daily NSE Equity Cash'!$H:$H,'Daily NSE Equity Cash'!$A:$A,$A864)=0,"",SUMIFS('Daily NSE Equity Cash'!$H:$H,'Daily NSE Equity Cash'!$A:$A,$A864))</f>
        <v>743.75429999999994</v>
      </c>
      <c r="F864" s="4">
        <f>IF(SUMIFS('Daily BSE Equity Cash'!$H:$H,'Daily BSE Equity Cash'!$A:$A,$A864)=0,"",SUMIFS('Daily BSE Equity Cash'!$H:$H,'Daily BSE Equity Cash'!$A:$A,$A864))</f>
        <v>51.083500000000001</v>
      </c>
      <c r="G864" s="4">
        <f t="shared" si="117"/>
        <v>794.8377999999999</v>
      </c>
      <c r="H864" s="7">
        <f t="shared" si="118"/>
        <v>0.26198591233121493</v>
      </c>
      <c r="I864" s="7">
        <f t="shared" si="119"/>
        <v>0.24696092407436332</v>
      </c>
      <c r="J864" s="7">
        <f t="shared" si="120"/>
        <v>0.26100939096365039</v>
      </c>
      <c r="K864" s="7">
        <f t="shared" si="123"/>
        <v>-0.17382526963687961</v>
      </c>
      <c r="L864" s="7">
        <f t="shared" si="124"/>
        <v>-5.8439822981120271E-2</v>
      </c>
      <c r="M864" s="7">
        <f t="shared" si="125"/>
        <v>-0.16726667131835293</v>
      </c>
      <c r="N864" s="7">
        <f t="shared" si="121"/>
        <v>0.93573091264658026</v>
      </c>
      <c r="O864" s="7">
        <f t="shared" si="122"/>
        <v>6.4269087353419782E-2</v>
      </c>
    </row>
    <row r="865" spans="1:15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4">
        <f>IF(SUMIFS('Daily NSE Equity Cash'!$H:$H,'Daily NSE Equity Cash'!$A:$A,$A865)=0,"",SUMIFS('Daily NSE Equity Cash'!$H:$H,'Daily NSE Equity Cash'!$A:$A,$A865))</f>
        <v>734.72749999999996</v>
      </c>
      <c r="F865" s="4">
        <f>IF(SUMIFS('Daily BSE Equity Cash'!$H:$H,'Daily BSE Equity Cash'!$A:$A,$A865)=0,"",SUMIFS('Daily BSE Equity Cash'!$H:$H,'Daily BSE Equity Cash'!$A:$A,$A865))</f>
        <v>48.815399999999997</v>
      </c>
      <c r="G865" s="4">
        <f t="shared" si="117"/>
        <v>783.54289999999992</v>
      </c>
      <c r="H865" s="7">
        <f t="shared" si="118"/>
        <v>0.13679826956907881</v>
      </c>
      <c r="I865" s="7">
        <f t="shared" si="119"/>
        <v>0.22186957152940812</v>
      </c>
      <c r="J865" s="7">
        <f t="shared" si="120"/>
        <v>0.14175075961976158</v>
      </c>
      <c r="K865" s="7">
        <f t="shared" si="123"/>
        <v>-1.2136803780495753E-2</v>
      </c>
      <c r="L865" s="7">
        <f t="shared" si="124"/>
        <v>-4.4399855139135025E-2</v>
      </c>
      <c r="M865" s="7">
        <f t="shared" si="125"/>
        <v>-1.4210320646552033E-2</v>
      </c>
      <c r="N865" s="7">
        <f t="shared" si="121"/>
        <v>0.93769913555467099</v>
      </c>
      <c r="O865" s="7">
        <f t="shared" si="122"/>
        <v>6.2300864445329035E-2</v>
      </c>
    </row>
    <row r="866" spans="1:15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4">
        <f>IF(SUMIFS('Daily NSE Equity Cash'!$H:$H,'Daily NSE Equity Cash'!$A:$A,$A866)=0,"",SUMIFS('Daily NSE Equity Cash'!$H:$H,'Daily NSE Equity Cash'!$A:$A,$A866))</f>
        <v>671.27539999999999</v>
      </c>
      <c r="F866" s="4">
        <f>IF(SUMIFS('Daily BSE Equity Cash'!$H:$H,'Daily BSE Equity Cash'!$A:$A,$A866)=0,"",SUMIFS('Daily BSE Equity Cash'!$H:$H,'Daily BSE Equity Cash'!$A:$A,$A866))</f>
        <v>43.666899999999998</v>
      </c>
      <c r="G866" s="4">
        <f t="shared" si="117"/>
        <v>714.94229999999993</v>
      </c>
      <c r="H866" s="7" t="str">
        <f t="shared" si="118"/>
        <v/>
      </c>
      <c r="I866" s="7" t="str">
        <f t="shared" si="119"/>
        <v/>
      </c>
      <c r="J866" s="7" t="str">
        <f t="shared" si="120"/>
        <v/>
      </c>
      <c r="K866" s="7">
        <f t="shared" si="123"/>
        <v>-8.6361406099540239E-2</v>
      </c>
      <c r="L866" s="7">
        <f t="shared" si="124"/>
        <v>-0.10546876600417077</v>
      </c>
      <c r="M866" s="7">
        <f t="shared" si="125"/>
        <v>-8.7551811138866786E-2</v>
      </c>
      <c r="N866" s="7">
        <f t="shared" si="121"/>
        <v>0.93892248367455677</v>
      </c>
      <c r="O866" s="7">
        <f t="shared" si="122"/>
        <v>6.107751632544333E-2</v>
      </c>
    </row>
    <row r="867" spans="1:15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4">
        <f>IF(SUMIFS('Daily NSE Equity Cash'!$H:$H,'Daily NSE Equity Cash'!$A:$A,$A867)=0,"",SUMIFS('Daily NSE Equity Cash'!$H:$H,'Daily NSE Equity Cash'!$A:$A,$A867))</f>
        <v>622.61530000000005</v>
      </c>
      <c r="F867" s="4">
        <f>IF(SUMIFS('Daily BSE Equity Cash'!$H:$H,'Daily BSE Equity Cash'!$A:$A,$A867)=0,"",SUMIFS('Daily BSE Equity Cash'!$H:$H,'Daily BSE Equity Cash'!$A:$A,$A867))</f>
        <v>47.124499999999998</v>
      </c>
      <c r="G867" s="4">
        <f t="shared" si="117"/>
        <v>669.73980000000006</v>
      </c>
      <c r="H867" s="7">
        <f t="shared" si="118"/>
        <v>-4.7142193162762802E-2</v>
      </c>
      <c r="I867" s="7">
        <f t="shared" si="119"/>
        <v>7.3728719356298544E-3</v>
      </c>
      <c r="J867" s="7">
        <f t="shared" si="120"/>
        <v>-4.3500093187860189E-2</v>
      </c>
      <c r="K867" s="7">
        <f t="shared" si="123"/>
        <v>-7.2489026113574218E-2</v>
      </c>
      <c r="L867" s="7">
        <f t="shared" si="124"/>
        <v>7.9181256283363366E-2</v>
      </c>
      <c r="M867" s="7">
        <f t="shared" si="125"/>
        <v>-6.3225381964390537E-2</v>
      </c>
      <c r="N867" s="7">
        <f t="shared" si="121"/>
        <v>0.92963759955732062</v>
      </c>
      <c r="O867" s="7">
        <f t="shared" si="122"/>
        <v>7.0362400442679371E-2</v>
      </c>
    </row>
    <row r="868" spans="1:15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4">
        <f>IF(SUMIFS('Daily NSE Equity Cash'!$H:$H,'Daily NSE Equity Cash'!$A:$A,$A868)=0,"",SUMIFS('Daily NSE Equity Cash'!$H:$H,'Daily NSE Equity Cash'!$A:$A,$A868))</f>
        <v>671.46810000000005</v>
      </c>
      <c r="F868" s="4">
        <f>IF(SUMIFS('Daily BSE Equity Cash'!$H:$H,'Daily BSE Equity Cash'!$A:$A,$A868)=0,"",SUMIFS('Daily BSE Equity Cash'!$H:$H,'Daily BSE Equity Cash'!$A:$A,$A868))</f>
        <v>42.926400000000001</v>
      </c>
      <c r="G868" s="4">
        <f t="shared" si="117"/>
        <v>714.39450000000011</v>
      </c>
      <c r="H868" s="7">
        <f t="shared" si="118"/>
        <v>0.15979404948160014</v>
      </c>
      <c r="I868" s="7">
        <f t="shared" si="119"/>
        <v>0.11675824175824179</v>
      </c>
      <c r="J868" s="7">
        <f t="shared" si="120"/>
        <v>0.1571146741216698</v>
      </c>
      <c r="K868" s="7">
        <f t="shared" si="123"/>
        <v>7.8463860428743093E-2</v>
      </c>
      <c r="L868" s="7">
        <f t="shared" si="124"/>
        <v>-8.9085295334698444E-2</v>
      </c>
      <c r="M868" s="7">
        <f t="shared" si="125"/>
        <v>6.6674699637083057E-2</v>
      </c>
      <c r="N868" s="7">
        <f t="shared" si="121"/>
        <v>0.93991219137325377</v>
      </c>
      <c r="O868" s="7">
        <f t="shared" si="122"/>
        <v>6.0087808626746141E-2</v>
      </c>
    </row>
    <row r="869" spans="1:15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4">
        <f>IF(SUMIFS('Daily NSE Equity Cash'!$H:$H,'Daily NSE Equity Cash'!$A:$A,$A869)=0,"",SUMIFS('Daily NSE Equity Cash'!$H:$H,'Daily NSE Equity Cash'!$A:$A,$A869))</f>
        <v>863.94029999999998</v>
      </c>
      <c r="F869" s="4">
        <f>IF(SUMIFS('Daily BSE Equity Cash'!$H:$H,'Daily BSE Equity Cash'!$A:$A,$A869)=0,"",SUMIFS('Daily BSE Equity Cash'!$H:$H,'Daily BSE Equity Cash'!$A:$A,$A869))</f>
        <v>55.005699999999997</v>
      </c>
      <c r="G869" s="4">
        <f t="shared" si="117"/>
        <v>918.94600000000003</v>
      </c>
      <c r="H869" s="7">
        <f t="shared" si="118"/>
        <v>0.74097131148532025</v>
      </c>
      <c r="I869" s="7">
        <f t="shared" si="119"/>
        <v>0.2634619404304972</v>
      </c>
      <c r="J869" s="7">
        <f t="shared" si="120"/>
        <v>0.7024577412745765</v>
      </c>
      <c r="K869" s="7">
        <f t="shared" si="123"/>
        <v>0.28664384801005416</v>
      </c>
      <c r="L869" s="7">
        <f t="shared" si="124"/>
        <v>0.28139559804688941</v>
      </c>
      <c r="M869" s="7">
        <f t="shared" si="125"/>
        <v>0.28632849217064216</v>
      </c>
      <c r="N869" s="7">
        <f t="shared" si="121"/>
        <v>0.94014261991455428</v>
      </c>
      <c r="O869" s="7">
        <f t="shared" si="122"/>
        <v>5.9857380085445715E-2</v>
      </c>
    </row>
    <row r="870" spans="1:15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4">
        <f>IF(SUMIFS('Daily NSE Equity Cash'!$H:$H,'Daily NSE Equity Cash'!$A:$A,$A870)=0,"",SUMIFS('Daily NSE Equity Cash'!$H:$H,'Daily NSE Equity Cash'!$A:$A,$A870))</f>
        <v>675.62210000000005</v>
      </c>
      <c r="F870" s="4">
        <f>IF(SUMIFS('Daily BSE Equity Cash'!$H:$H,'Daily BSE Equity Cash'!$A:$A,$A870)=0,"",SUMIFS('Daily BSE Equity Cash'!$H:$H,'Daily BSE Equity Cash'!$A:$A,$A870))</f>
        <v>49.691000000000003</v>
      </c>
      <c r="G870" s="4">
        <f t="shared" si="117"/>
        <v>725.31310000000008</v>
      </c>
      <c r="H870" s="7">
        <f t="shared" si="118"/>
        <v>6.2959572199513314E-2</v>
      </c>
      <c r="I870" s="7">
        <f t="shared" si="119"/>
        <v>0.57349090091544985</v>
      </c>
      <c r="J870" s="7">
        <f t="shared" si="120"/>
        <v>8.712473665467213E-2</v>
      </c>
      <c r="K870" s="7">
        <f t="shared" si="123"/>
        <v>-0.21797594116167507</v>
      </c>
      <c r="L870" s="7">
        <f t="shared" si="124"/>
        <v>-9.6620895652632321E-2</v>
      </c>
      <c r="M870" s="7">
        <f t="shared" si="125"/>
        <v>-0.21071194607735377</v>
      </c>
      <c r="N870" s="7">
        <f t="shared" si="121"/>
        <v>0.9314902764061479</v>
      </c>
      <c r="O870" s="7">
        <f t="shared" si="122"/>
        <v>6.8509723593852087E-2</v>
      </c>
    </row>
    <row r="871" spans="1:15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4">
        <f>IF(SUMIFS('Daily NSE Equity Cash'!$H:$H,'Daily NSE Equity Cash'!$A:$A,$A871)=0,"",SUMIFS('Daily NSE Equity Cash'!$H:$H,'Daily NSE Equity Cash'!$A:$A,$A871))</f>
        <v>703.69860000000006</v>
      </c>
      <c r="F871" s="4">
        <f>IF(SUMIFS('Daily BSE Equity Cash'!$H:$H,'Daily BSE Equity Cash'!$A:$A,$A871)=0,"",SUMIFS('Daily BSE Equity Cash'!$H:$H,'Daily BSE Equity Cash'!$A:$A,$A871))</f>
        <v>46.522100000000002</v>
      </c>
      <c r="G871" s="4">
        <f t="shared" si="117"/>
        <v>750.22070000000008</v>
      </c>
      <c r="H871" s="7">
        <f t="shared" si="118"/>
        <v>9.8440919464155785E-2</v>
      </c>
      <c r="I871" s="7">
        <f t="shared" si="119"/>
        <v>0.23176986112765929</v>
      </c>
      <c r="J871" s="7">
        <f t="shared" si="120"/>
        <v>0.1058637018584101</v>
      </c>
      <c r="K871" s="7">
        <f t="shared" si="123"/>
        <v>4.1556515099195224E-2</v>
      </c>
      <c r="L871" s="7">
        <f t="shared" si="124"/>
        <v>-6.3772111649996965E-2</v>
      </c>
      <c r="M871" s="7">
        <f t="shared" si="125"/>
        <v>3.4340479994088069E-2</v>
      </c>
      <c r="N871" s="7">
        <f t="shared" si="121"/>
        <v>0.93798878116799489</v>
      </c>
      <c r="O871" s="7">
        <f t="shared" si="122"/>
        <v>6.2011218832005034E-2</v>
      </c>
    </row>
    <row r="872" spans="1:15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4">
        <f>IF(SUMIFS('Daily NSE Equity Cash'!$H:$H,'Daily NSE Equity Cash'!$A:$A,$A872)=0,"",SUMIFS('Daily NSE Equity Cash'!$H:$H,'Daily NSE Equity Cash'!$A:$A,$A872))</f>
        <v>770.04179999999997</v>
      </c>
      <c r="F872" s="4">
        <f>IF(SUMIFS('Daily BSE Equity Cash'!$H:$H,'Daily BSE Equity Cash'!$A:$A,$A872)=0,"",SUMIFS('Daily BSE Equity Cash'!$H:$H,'Daily BSE Equity Cash'!$A:$A,$A872))</f>
        <v>49.567100000000003</v>
      </c>
      <c r="G872" s="4">
        <f t="shared" si="117"/>
        <v>819.60889999999995</v>
      </c>
      <c r="H872" s="7">
        <f t="shared" si="118"/>
        <v>0.5757068656778721</v>
      </c>
      <c r="I872" s="7">
        <f t="shared" si="119"/>
        <v>0.75465593350537552</v>
      </c>
      <c r="J872" s="7">
        <f t="shared" si="120"/>
        <v>0.58548568996701755</v>
      </c>
      <c r="K872" s="7">
        <f t="shared" si="123"/>
        <v>9.4277862709972515E-2</v>
      </c>
      <c r="L872" s="7">
        <f t="shared" si="124"/>
        <v>6.5452763310340778E-2</v>
      </c>
      <c r="M872" s="7">
        <f t="shared" si="125"/>
        <v>9.2490383163247536E-2</v>
      </c>
      <c r="N872" s="7">
        <f t="shared" si="121"/>
        <v>0.93952347271973258</v>
      </c>
      <c r="O872" s="7">
        <f t="shared" si="122"/>
        <v>6.0476527280267464E-2</v>
      </c>
    </row>
    <row r="873" spans="1:15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4">
        <f>IF(SUMIFS('Daily NSE Equity Cash'!$H:$H,'Daily NSE Equity Cash'!$A:$A,$A873)=0,"",SUMIFS('Daily NSE Equity Cash'!$H:$H,'Daily NSE Equity Cash'!$A:$A,$A873))</f>
        <v>661.30269999999996</v>
      </c>
      <c r="F873" s="4">
        <f>IF(SUMIFS('Daily BSE Equity Cash'!$H:$H,'Daily BSE Equity Cash'!$A:$A,$A873)=0,"",SUMIFS('Daily BSE Equity Cash'!$H:$H,'Daily BSE Equity Cash'!$A:$A,$A873))</f>
        <v>43.809800000000003</v>
      </c>
      <c r="G873" s="4">
        <f t="shared" si="117"/>
        <v>705.11249999999995</v>
      </c>
      <c r="H873" s="7" t="str">
        <f t="shared" si="118"/>
        <v/>
      </c>
      <c r="I873" s="7" t="str">
        <f t="shared" si="119"/>
        <v/>
      </c>
      <c r="J873" s="7" t="str">
        <f t="shared" si="120"/>
        <v/>
      </c>
      <c r="K873" s="7">
        <f t="shared" si="123"/>
        <v>-0.1412119445983322</v>
      </c>
      <c r="L873" s="7">
        <f t="shared" si="124"/>
        <v>-0.11615164090697261</v>
      </c>
      <c r="M873" s="7">
        <f t="shared" si="125"/>
        <v>-0.13969638445848986</v>
      </c>
      <c r="N873" s="7">
        <f t="shared" si="121"/>
        <v>0.93786835434061944</v>
      </c>
      <c r="O873" s="7">
        <f t="shared" si="122"/>
        <v>6.2131645659380605E-2</v>
      </c>
    </row>
    <row r="874" spans="1:15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4">
        <f>IF(SUMIFS('Daily NSE Equity Cash'!$H:$H,'Daily NSE Equity Cash'!$A:$A,$A874)=0,"",SUMIFS('Daily NSE Equity Cash'!$H:$H,'Daily NSE Equity Cash'!$A:$A,$A874))</f>
        <v>608.13990000000001</v>
      </c>
      <c r="F874" s="4">
        <f>IF(SUMIFS('Daily BSE Equity Cash'!$H:$H,'Daily BSE Equity Cash'!$A:$A,$A874)=0,"",SUMIFS('Daily BSE Equity Cash'!$H:$H,'Daily BSE Equity Cash'!$A:$A,$A874))</f>
        <v>48.632100000000001</v>
      </c>
      <c r="G874" s="4">
        <f t="shared" si="117"/>
        <v>656.77200000000005</v>
      </c>
      <c r="H874" s="7">
        <f t="shared" si="118"/>
        <v>8.561845398152701E-2</v>
      </c>
      <c r="I874" s="7">
        <f t="shared" si="119"/>
        <v>0.38693265268291288</v>
      </c>
      <c r="J874" s="7">
        <f t="shared" si="120"/>
        <v>0.1033682389774393</v>
      </c>
      <c r="K874" s="7">
        <f t="shared" si="123"/>
        <v>-8.0391022144624458E-2</v>
      </c>
      <c r="L874" s="7">
        <f t="shared" si="124"/>
        <v>0.11007354518851953</v>
      </c>
      <c r="M874" s="7">
        <f t="shared" si="125"/>
        <v>-6.855714513641431E-2</v>
      </c>
      <c r="N874" s="7">
        <f t="shared" si="121"/>
        <v>0.92595284208218376</v>
      </c>
      <c r="O874" s="7">
        <f t="shared" si="122"/>
        <v>7.4047157917816228E-2</v>
      </c>
    </row>
    <row r="875" spans="1:15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4">
        <f>IF(SUMIFS('Daily NSE Equity Cash'!$H:$H,'Daily NSE Equity Cash'!$A:$A,$A875)=0,"",SUMIFS('Daily NSE Equity Cash'!$H:$H,'Daily NSE Equity Cash'!$A:$A,$A875))</f>
        <v>572.11419999999998</v>
      </c>
      <c r="F875" s="4">
        <f>IF(SUMIFS('Daily BSE Equity Cash'!$H:$H,'Daily BSE Equity Cash'!$A:$A,$A875)=0,"",SUMIFS('Daily BSE Equity Cash'!$H:$H,'Daily BSE Equity Cash'!$A:$A,$A875))</f>
        <v>44.784599999999998</v>
      </c>
      <c r="G875" s="4">
        <f t="shared" si="117"/>
        <v>616.89879999999994</v>
      </c>
      <c r="H875" s="7" t="str">
        <f t="shared" si="118"/>
        <v/>
      </c>
      <c r="I875" s="7" t="str">
        <f t="shared" si="119"/>
        <v/>
      </c>
      <c r="J875" s="7" t="str">
        <f t="shared" si="120"/>
        <v/>
      </c>
      <c r="K875" s="7">
        <f t="shared" si="123"/>
        <v>-5.9239165198665678E-2</v>
      </c>
      <c r="L875" s="7">
        <f t="shared" si="124"/>
        <v>-7.9114412085844577E-2</v>
      </c>
      <c r="M875" s="7">
        <f t="shared" si="125"/>
        <v>-6.0710870743576284E-2</v>
      </c>
      <c r="N875" s="7">
        <f t="shared" si="121"/>
        <v>0.92740365194420871</v>
      </c>
      <c r="O875" s="7">
        <f t="shared" si="122"/>
        <v>7.2596348055791321E-2</v>
      </c>
    </row>
    <row r="876" spans="1:15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4">
        <f>IF(SUMIFS('Daily NSE Equity Cash'!$H:$H,'Daily NSE Equity Cash'!$A:$A,$A876)=0,"",SUMIFS('Daily NSE Equity Cash'!$H:$H,'Daily NSE Equity Cash'!$A:$A,$A876))</f>
        <v>622.60580000000004</v>
      </c>
      <c r="F876" s="4">
        <f>IF(SUMIFS('Daily BSE Equity Cash'!$H:$H,'Daily BSE Equity Cash'!$A:$A,$A876)=0,"",SUMIFS('Daily BSE Equity Cash'!$H:$H,'Daily BSE Equity Cash'!$A:$A,$A876))</f>
        <v>41.096800000000002</v>
      </c>
      <c r="G876" s="4">
        <f t="shared" si="117"/>
        <v>663.70260000000007</v>
      </c>
      <c r="H876" s="7">
        <f t="shared" si="118"/>
        <v>0.38203285238623752</v>
      </c>
      <c r="I876" s="7">
        <f t="shared" si="119"/>
        <v>0.20691903321488359</v>
      </c>
      <c r="J876" s="7">
        <f t="shared" si="120"/>
        <v>0.36972702563816839</v>
      </c>
      <c r="K876" s="7">
        <f t="shared" si="123"/>
        <v>8.8254407948622937E-2</v>
      </c>
      <c r="L876" s="7">
        <f t="shared" si="124"/>
        <v>-8.2345270472439114E-2</v>
      </c>
      <c r="M876" s="7">
        <f t="shared" si="125"/>
        <v>7.5869494315761621E-2</v>
      </c>
      <c r="N876" s="7">
        <f t="shared" si="121"/>
        <v>0.93807949524380341</v>
      </c>
      <c r="O876" s="7">
        <f t="shared" si="122"/>
        <v>6.1920504756196523E-2</v>
      </c>
    </row>
    <row r="877" spans="1:15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4">
        <f>IF(SUMIFS('Daily NSE Equity Cash'!$H:$H,'Daily NSE Equity Cash'!$A:$A,$A877)=0,"",SUMIFS('Daily NSE Equity Cash'!$H:$H,'Daily NSE Equity Cash'!$A:$A,$A877))</f>
        <v>675.86900000000003</v>
      </c>
      <c r="F877" s="4">
        <f>IF(SUMIFS('Daily BSE Equity Cash'!$H:$H,'Daily BSE Equity Cash'!$A:$A,$A877)=0,"",SUMIFS('Daily BSE Equity Cash'!$H:$H,'Daily BSE Equity Cash'!$A:$A,$A877))</f>
        <v>67.967299999999994</v>
      </c>
      <c r="G877" s="4">
        <f t="shared" si="117"/>
        <v>743.83630000000005</v>
      </c>
      <c r="H877" s="7">
        <f t="shared" si="118"/>
        <v>0.27971197112894952</v>
      </c>
      <c r="I877" s="7">
        <f t="shared" si="119"/>
        <v>-0.49624820822666693</v>
      </c>
      <c r="J877" s="7">
        <f t="shared" si="120"/>
        <v>0.12181725526521836</v>
      </c>
      <c r="K877" s="7">
        <f t="shared" si="123"/>
        <v>8.554883362795529E-2</v>
      </c>
      <c r="L877" s="7">
        <f t="shared" si="124"/>
        <v>0.65383436179945864</v>
      </c>
      <c r="M877" s="7">
        <f t="shared" si="125"/>
        <v>0.12073736037797644</v>
      </c>
      <c r="N877" s="7">
        <f t="shared" si="121"/>
        <v>0.90862599741367822</v>
      </c>
      <c r="O877" s="7">
        <f t="shared" si="122"/>
        <v>9.1374002586321737E-2</v>
      </c>
    </row>
    <row r="878" spans="1:15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4">
        <f>IF(SUMIFS('Daily NSE Equity Cash'!$H:$H,'Daily NSE Equity Cash'!$A:$A,$A878)=0,"",SUMIFS('Daily NSE Equity Cash'!$H:$H,'Daily NSE Equity Cash'!$A:$A,$A878))</f>
        <v>667.69219999999996</v>
      </c>
      <c r="F878" s="4">
        <f>IF(SUMIFS('Daily BSE Equity Cash'!$H:$H,'Daily BSE Equity Cash'!$A:$A,$A878)=0,"",SUMIFS('Daily BSE Equity Cash'!$H:$H,'Daily BSE Equity Cash'!$A:$A,$A878))</f>
        <v>43.701999999999998</v>
      </c>
      <c r="G878" s="4">
        <f t="shared" si="117"/>
        <v>711.39419999999996</v>
      </c>
      <c r="H878" s="7">
        <f t="shared" si="118"/>
        <v>0.50167509461765647</v>
      </c>
      <c r="I878" s="7">
        <f t="shared" si="119"/>
        <v>0.49005087080452236</v>
      </c>
      <c r="J878" s="7">
        <f t="shared" si="120"/>
        <v>0.50095577524554757</v>
      </c>
      <c r="K878" s="7">
        <f t="shared" si="123"/>
        <v>-1.2098202462311636E-2</v>
      </c>
      <c r="L878" s="7">
        <f t="shared" si="124"/>
        <v>-0.35701432894936236</v>
      </c>
      <c r="M878" s="7">
        <f t="shared" si="125"/>
        <v>-4.3614569496003508E-2</v>
      </c>
      <c r="N878" s="7">
        <f t="shared" si="121"/>
        <v>0.93856851798904184</v>
      </c>
      <c r="O878" s="7">
        <f t="shared" si="122"/>
        <v>6.1431482010958202E-2</v>
      </c>
    </row>
    <row r="879" spans="1:15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4">
        <f>IF(SUMIFS('Daily NSE Equity Cash'!$H:$H,'Daily NSE Equity Cash'!$A:$A,$A879)=0,"",SUMIFS('Daily NSE Equity Cash'!$H:$H,'Daily NSE Equity Cash'!$A:$A,$A879))</f>
        <v>711.46900000000005</v>
      </c>
      <c r="F879" s="4">
        <f>IF(SUMIFS('Daily BSE Equity Cash'!$H:$H,'Daily BSE Equity Cash'!$A:$A,$A879)=0,"",SUMIFS('Daily BSE Equity Cash'!$H:$H,'Daily BSE Equity Cash'!$A:$A,$A879))</f>
        <v>57.345799999999997</v>
      </c>
      <c r="G879" s="4">
        <f t="shared" si="117"/>
        <v>768.8148000000001</v>
      </c>
      <c r="H879" s="7">
        <f t="shared" si="118"/>
        <v>0.71897465881758871</v>
      </c>
      <c r="I879" s="7">
        <f t="shared" si="119"/>
        <v>1.2000736608684308</v>
      </c>
      <c r="J879" s="7">
        <f t="shared" si="120"/>
        <v>0.74747753700419306</v>
      </c>
      <c r="K879" s="7">
        <f t="shared" si="123"/>
        <v>6.5564342372129047E-2</v>
      </c>
      <c r="L879" s="7">
        <f t="shared" si="124"/>
        <v>0.31220081460802707</v>
      </c>
      <c r="M879" s="7">
        <f t="shared" si="125"/>
        <v>8.071558637953502E-2</v>
      </c>
      <c r="N879" s="7">
        <f t="shared" si="121"/>
        <v>0.92541012477907547</v>
      </c>
      <c r="O879" s="7">
        <f t="shared" si="122"/>
        <v>7.4589875220924459E-2</v>
      </c>
    </row>
    <row r="880" spans="1:15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4">
        <f>IF(SUMIFS('Daily NSE Equity Cash'!$H:$H,'Daily NSE Equity Cash'!$A:$A,$A880)=0,"",SUMIFS('Daily NSE Equity Cash'!$H:$H,'Daily NSE Equity Cash'!$A:$A,$A880))</f>
        <v>644.44140000000004</v>
      </c>
      <c r="F880" s="4">
        <f>IF(SUMIFS('Daily BSE Equity Cash'!$H:$H,'Daily BSE Equity Cash'!$A:$A,$A880)=0,"",SUMIFS('Daily BSE Equity Cash'!$H:$H,'Daily BSE Equity Cash'!$A:$A,$A880))</f>
        <v>47.237400000000001</v>
      </c>
      <c r="G880" s="4">
        <f t="shared" si="117"/>
        <v>691.67880000000002</v>
      </c>
      <c r="H880" s="7" t="str">
        <f t="shared" si="118"/>
        <v/>
      </c>
      <c r="I880" s="7" t="str">
        <f t="shared" si="119"/>
        <v/>
      </c>
      <c r="J880" s="7" t="str">
        <f t="shared" si="120"/>
        <v/>
      </c>
      <c r="K880" s="7">
        <f t="shared" si="123"/>
        <v>-9.4210148298801477E-2</v>
      </c>
      <c r="L880" s="7">
        <f t="shared" si="124"/>
        <v>-0.17627097363712763</v>
      </c>
      <c r="M880" s="7">
        <f t="shared" si="125"/>
        <v>-0.10033105502131345</v>
      </c>
      <c r="N880" s="7">
        <f t="shared" si="121"/>
        <v>0.93170616187744948</v>
      </c>
      <c r="O880" s="7">
        <f t="shared" si="122"/>
        <v>6.8293838122550521E-2</v>
      </c>
    </row>
    <row r="881" spans="1:15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4">
        <f>IF(SUMIFS('Daily NSE Equity Cash'!$H:$H,'Daily NSE Equity Cash'!$A:$A,$A881)=0,"",SUMIFS('Daily NSE Equity Cash'!$H:$H,'Daily NSE Equity Cash'!$A:$A,$A881))</f>
        <v>675.87030000000004</v>
      </c>
      <c r="F881" s="4">
        <f>IF(SUMIFS('Daily BSE Equity Cash'!$H:$H,'Daily BSE Equity Cash'!$A:$A,$A881)=0,"",SUMIFS('Daily BSE Equity Cash'!$H:$H,'Daily BSE Equity Cash'!$A:$A,$A881))</f>
        <v>49.347700000000003</v>
      </c>
      <c r="G881" s="4">
        <f t="shared" si="117"/>
        <v>725.21800000000007</v>
      </c>
      <c r="H881" s="7">
        <f t="shared" si="118"/>
        <v>0.43391055772852138</v>
      </c>
      <c r="I881" s="7">
        <f t="shared" si="119"/>
        <v>-0.61293128602220703</v>
      </c>
      <c r="J881" s="7">
        <f t="shared" si="120"/>
        <v>0.21104124251217038</v>
      </c>
      <c r="K881" s="7">
        <f t="shared" si="123"/>
        <v>4.876921315111038E-2</v>
      </c>
      <c r="L881" s="7">
        <f t="shared" si="124"/>
        <v>4.4674347021639749E-2</v>
      </c>
      <c r="M881" s="7">
        <f t="shared" si="125"/>
        <v>4.8489559026530848E-2</v>
      </c>
      <c r="N881" s="7">
        <f t="shared" si="121"/>
        <v>0.93195466742414002</v>
      </c>
      <c r="O881" s="7">
        <f t="shared" si="122"/>
        <v>6.8045332575859943E-2</v>
      </c>
    </row>
    <row r="882" spans="1:15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4">
        <f>IF(SUMIFS('Daily NSE Equity Cash'!$H:$H,'Daily NSE Equity Cash'!$A:$A,$A882)=0,"",SUMIFS('Daily NSE Equity Cash'!$H:$H,'Daily NSE Equity Cash'!$A:$A,$A882))</f>
        <v>713.74929999999995</v>
      </c>
      <c r="F882" s="4">
        <f>IF(SUMIFS('Daily BSE Equity Cash'!$H:$H,'Daily BSE Equity Cash'!$A:$A,$A882)=0,"",SUMIFS('Daily BSE Equity Cash'!$H:$H,'Daily BSE Equity Cash'!$A:$A,$A882))</f>
        <v>48.328099999999999</v>
      </c>
      <c r="G882" s="4">
        <f t="shared" si="117"/>
        <v>762.0773999999999</v>
      </c>
      <c r="H882" s="7">
        <f t="shared" si="118"/>
        <v>0.38308899544524855</v>
      </c>
      <c r="I882" s="7">
        <f t="shared" si="119"/>
        <v>0.15050468980621812</v>
      </c>
      <c r="J882" s="7">
        <f t="shared" si="120"/>
        <v>0.36558204710779574</v>
      </c>
      <c r="K882" s="7">
        <f t="shared" si="123"/>
        <v>5.6044776638357829E-2</v>
      </c>
      <c r="L882" s="7">
        <f t="shared" si="124"/>
        <v>-2.0661550588984001E-2</v>
      </c>
      <c r="M882" s="7">
        <f t="shared" si="125"/>
        <v>5.0825269091500536E-2</v>
      </c>
      <c r="N882" s="7">
        <f t="shared" si="121"/>
        <v>0.93658373808224737</v>
      </c>
      <c r="O882" s="7">
        <f t="shared" si="122"/>
        <v>6.3416261917752723E-2</v>
      </c>
    </row>
    <row r="883" spans="1:15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4">
        <f>IF(SUMIFS('Daily NSE Equity Cash'!$H:$H,'Daily NSE Equity Cash'!$A:$A,$A883)=0,"",SUMIFS('Daily NSE Equity Cash'!$H:$H,'Daily NSE Equity Cash'!$A:$A,$A883))</f>
        <v>689.94849999999997</v>
      </c>
      <c r="F883" s="4">
        <f>IF(SUMIFS('Daily BSE Equity Cash'!$H:$H,'Daily BSE Equity Cash'!$A:$A,$A883)=0,"",SUMIFS('Daily BSE Equity Cash'!$H:$H,'Daily BSE Equity Cash'!$A:$A,$A883))</f>
        <v>53.601999999999997</v>
      </c>
      <c r="G883" s="4">
        <f t="shared" si="117"/>
        <v>743.55049999999994</v>
      </c>
      <c r="H883" s="7">
        <f t="shared" si="118"/>
        <v>0.44724786326220589</v>
      </c>
      <c r="I883" s="7">
        <f t="shared" si="119"/>
        <v>0.73980499331368543</v>
      </c>
      <c r="J883" s="7">
        <f t="shared" si="120"/>
        <v>0.46500693737604437</v>
      </c>
      <c r="K883" s="7">
        <f t="shared" si="123"/>
        <v>-3.3346162300964766E-2</v>
      </c>
      <c r="L883" s="7">
        <f t="shared" si="124"/>
        <v>0.10912698823251898</v>
      </c>
      <c r="M883" s="7">
        <f t="shared" si="125"/>
        <v>-2.4311047670485864E-2</v>
      </c>
      <c r="N883" s="7">
        <f t="shared" si="121"/>
        <v>0.92791074715167299</v>
      </c>
      <c r="O883" s="7">
        <f t="shared" si="122"/>
        <v>7.2089252848327054E-2</v>
      </c>
    </row>
    <row r="884" spans="1:15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4">
        <f>IF(SUMIFS('Daily NSE Equity Cash'!$H:$H,'Daily NSE Equity Cash'!$A:$A,$A884)=0,"",SUMIFS('Daily NSE Equity Cash'!$H:$H,'Daily NSE Equity Cash'!$A:$A,$A884))</f>
        <v>698.28340000000003</v>
      </c>
      <c r="F884" s="4">
        <f>IF(SUMIFS('Daily BSE Equity Cash'!$H:$H,'Daily BSE Equity Cash'!$A:$A,$A884)=0,"",SUMIFS('Daily BSE Equity Cash'!$H:$H,'Daily BSE Equity Cash'!$A:$A,$A884))</f>
        <v>70.303399999999996</v>
      </c>
      <c r="G884" s="4">
        <f t="shared" si="117"/>
        <v>768.58680000000004</v>
      </c>
      <c r="H884" s="7">
        <f t="shared" si="118"/>
        <v>0.44895071520687413</v>
      </c>
      <c r="I884" s="7">
        <f t="shared" si="119"/>
        <v>1.4201825892980087</v>
      </c>
      <c r="J884" s="7">
        <f t="shared" si="120"/>
        <v>0.50416529428307566</v>
      </c>
      <c r="K884" s="7">
        <f t="shared" si="123"/>
        <v>1.208046687542641E-2</v>
      </c>
      <c r="L884" s="7">
        <f t="shared" si="124"/>
        <v>0.3115816574008432</v>
      </c>
      <c r="M884" s="7">
        <f t="shared" si="125"/>
        <v>3.3671283927588114E-2</v>
      </c>
      <c r="N884" s="7">
        <f t="shared" si="121"/>
        <v>0.90852900414110671</v>
      </c>
      <c r="O884" s="7">
        <f t="shared" si="122"/>
        <v>9.147099585889322E-2</v>
      </c>
    </row>
    <row r="885" spans="1:15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4">
        <f>IF(SUMIFS('Daily NSE Equity Cash'!$H:$H,'Daily NSE Equity Cash'!$A:$A,$A885)=0,"",SUMIFS('Daily NSE Equity Cash'!$H:$H,'Daily NSE Equity Cash'!$A:$A,$A885))</f>
        <v>699.67780000000005</v>
      </c>
      <c r="F885" s="4">
        <f>IF(SUMIFS('Daily BSE Equity Cash'!$H:$H,'Daily BSE Equity Cash'!$A:$A,$A885)=0,"",SUMIFS('Daily BSE Equity Cash'!$H:$H,'Daily BSE Equity Cash'!$A:$A,$A885))</f>
        <v>49.350299999999997</v>
      </c>
      <c r="G885" s="4">
        <f t="shared" si="117"/>
        <v>749.02809999999999</v>
      </c>
      <c r="H885" s="7" t="str">
        <f t="shared" si="118"/>
        <v/>
      </c>
      <c r="I885" s="7" t="str">
        <f t="shared" si="119"/>
        <v/>
      </c>
      <c r="J885" s="7" t="str">
        <f t="shared" si="120"/>
        <v/>
      </c>
      <c r="K885" s="7">
        <f t="shared" si="123"/>
        <v>1.9968969618926469E-3</v>
      </c>
      <c r="L885" s="7">
        <f t="shared" si="124"/>
        <v>-0.29803821721282331</v>
      </c>
      <c r="M885" s="7">
        <f t="shared" si="125"/>
        <v>-2.5447613724305485E-2</v>
      </c>
      <c r="N885" s="7">
        <f t="shared" si="121"/>
        <v>0.93411422081494677</v>
      </c>
      <c r="O885" s="7">
        <f t="shared" si="122"/>
        <v>6.588577918505327E-2</v>
      </c>
    </row>
    <row r="886" spans="1:15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4">
        <f>IF(SUMIFS('Daily NSE Equity Cash'!$H:$H,'Daily NSE Equity Cash'!$A:$A,$A886)=0,"",SUMIFS('Daily NSE Equity Cash'!$H:$H,'Daily NSE Equity Cash'!$A:$A,$A886))</f>
        <v>680.56290000000001</v>
      </c>
      <c r="F886" s="4">
        <f>IF(SUMIFS('Daily BSE Equity Cash'!$H:$H,'Daily BSE Equity Cash'!$A:$A,$A886)=0,"",SUMIFS('Daily BSE Equity Cash'!$H:$H,'Daily BSE Equity Cash'!$A:$A,$A886))</f>
        <v>43.313499999999998</v>
      </c>
      <c r="G886" s="4">
        <f t="shared" si="117"/>
        <v>723.87639999999999</v>
      </c>
      <c r="H886" s="7">
        <f t="shared" si="118"/>
        <v>0.28264534863997492</v>
      </c>
      <c r="I886" s="7">
        <f t="shared" si="119"/>
        <v>-0.46713571993607628</v>
      </c>
      <c r="J886" s="7">
        <f t="shared" si="120"/>
        <v>0.18304137674616228</v>
      </c>
      <c r="K886" s="7">
        <f t="shared" si="123"/>
        <v>-2.7319574810005465E-2</v>
      </c>
      <c r="L886" s="7">
        <f t="shared" si="124"/>
        <v>-0.12232549751470612</v>
      </c>
      <c r="M886" s="7">
        <f t="shared" si="125"/>
        <v>-3.3579114054599568E-2</v>
      </c>
      <c r="N886" s="7">
        <f t="shared" si="121"/>
        <v>0.94016450874762603</v>
      </c>
      <c r="O886" s="7">
        <f t="shared" si="122"/>
        <v>5.9835491252374022E-2</v>
      </c>
    </row>
    <row r="887" spans="1:15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4">
        <f>IF(SUMIFS('Daily NSE Equity Cash'!$H:$H,'Daily NSE Equity Cash'!$A:$A,$A887)=0,"",SUMIFS('Daily NSE Equity Cash'!$H:$H,'Daily NSE Equity Cash'!$A:$A,$A887))</f>
        <v>807.04520000000002</v>
      </c>
      <c r="F887" s="4">
        <f>IF(SUMIFS('Daily BSE Equity Cash'!$H:$H,'Daily BSE Equity Cash'!$A:$A,$A887)=0,"",SUMIFS('Daily BSE Equity Cash'!$H:$H,'Daily BSE Equity Cash'!$A:$A,$A887))</f>
        <v>55.489899999999999</v>
      </c>
      <c r="G887" s="4">
        <f t="shared" si="117"/>
        <v>862.53510000000006</v>
      </c>
      <c r="H887" s="7" t="str">
        <f t="shared" si="118"/>
        <v/>
      </c>
      <c r="I887" s="7" t="str">
        <f t="shared" si="119"/>
        <v/>
      </c>
      <c r="J887" s="7" t="str">
        <f t="shared" si="120"/>
        <v/>
      </c>
      <c r="K887" s="7">
        <f t="shared" si="123"/>
        <v>0.1858495371992801</v>
      </c>
      <c r="L887" s="7">
        <f t="shared" si="124"/>
        <v>0.2811225137659159</v>
      </c>
      <c r="M887" s="7">
        <f t="shared" si="125"/>
        <v>0.19155024255522091</v>
      </c>
      <c r="N887" s="7">
        <f t="shared" si="121"/>
        <v>0.9356665021516225</v>
      </c>
      <c r="O887" s="7">
        <f t="shared" si="122"/>
        <v>6.4333497848377413E-2</v>
      </c>
    </row>
    <row r="888" spans="1:15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4">
        <f>IF(SUMIFS('Daily NSE Equity Cash'!$H:$H,'Daily NSE Equity Cash'!$A:$A,$A888)=0,"",SUMIFS('Daily NSE Equity Cash'!$H:$H,'Daily NSE Equity Cash'!$A:$A,$A888))</f>
        <v>645.06790000000001</v>
      </c>
      <c r="F888" s="4">
        <f>IF(SUMIFS('Daily BSE Equity Cash'!$H:$H,'Daily BSE Equity Cash'!$A:$A,$A888)=0,"",SUMIFS('Daily BSE Equity Cash'!$H:$H,'Daily BSE Equity Cash'!$A:$A,$A888))</f>
        <v>51.064799999999998</v>
      </c>
      <c r="G888" s="4">
        <f t="shared" si="117"/>
        <v>696.1327</v>
      </c>
      <c r="H888" s="7">
        <f t="shared" si="118"/>
        <v>0.1486810167232131</v>
      </c>
      <c r="I888" s="7">
        <f t="shared" si="119"/>
        <v>0.51802372246499573</v>
      </c>
      <c r="J888" s="7">
        <f t="shared" si="120"/>
        <v>0.16955479873799506</v>
      </c>
      <c r="K888" s="7">
        <f t="shared" si="123"/>
        <v>-0.20070412413084171</v>
      </c>
      <c r="L888" s="7">
        <f t="shared" si="124"/>
        <v>-7.9746043874651118E-2</v>
      </c>
      <c r="M888" s="7">
        <f t="shared" si="125"/>
        <v>-0.19292246773493626</v>
      </c>
      <c r="N888" s="7">
        <f t="shared" si="121"/>
        <v>0.92664502041062002</v>
      </c>
      <c r="O888" s="7">
        <f t="shared" si="122"/>
        <v>7.3354979589380004E-2</v>
      </c>
    </row>
    <row r="889" spans="1:15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4">
        <f>IF(SUMIFS('Daily NSE Equity Cash'!$H:$H,'Daily NSE Equity Cash'!$A:$A,$A889)=0,"",SUMIFS('Daily NSE Equity Cash'!$H:$H,'Daily NSE Equity Cash'!$A:$A,$A889))</f>
        <v>579.89819999999997</v>
      </c>
      <c r="F889" s="4">
        <f>IF(SUMIFS('Daily BSE Equity Cash'!$H:$H,'Daily BSE Equity Cash'!$A:$A,$A889)=0,"",SUMIFS('Daily BSE Equity Cash'!$H:$H,'Daily BSE Equity Cash'!$A:$A,$A889))</f>
        <v>38.384099999999997</v>
      </c>
      <c r="G889" s="4">
        <f t="shared" si="117"/>
        <v>618.28229999999996</v>
      </c>
      <c r="H889" s="7" t="str">
        <f t="shared" si="118"/>
        <v/>
      </c>
      <c r="I889" s="7" t="str">
        <f t="shared" si="119"/>
        <v/>
      </c>
      <c r="J889" s="7" t="str">
        <f t="shared" si="120"/>
        <v/>
      </c>
      <c r="K889" s="7">
        <f t="shared" si="123"/>
        <v>-0.10102765925881607</v>
      </c>
      <c r="L889" s="7">
        <f t="shared" si="124"/>
        <v>-0.24832565681252061</v>
      </c>
      <c r="M889" s="7">
        <f t="shared" si="125"/>
        <v>-0.11183270086292463</v>
      </c>
      <c r="N889" s="7">
        <f t="shared" si="121"/>
        <v>0.93791816456657418</v>
      </c>
      <c r="O889" s="7">
        <f t="shared" si="122"/>
        <v>6.2081835433425797E-2</v>
      </c>
    </row>
    <row r="890" spans="1:15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4">
        <f>IF(SUMIFS('Daily NSE Equity Cash'!$H:$H,'Daily NSE Equity Cash'!$A:$A,$A890)=0,"",SUMIFS('Daily NSE Equity Cash'!$H:$H,'Daily NSE Equity Cash'!$A:$A,$A890))</f>
        <v>607.7115</v>
      </c>
      <c r="F890" s="4">
        <f>IF(SUMIFS('Daily BSE Equity Cash'!$H:$H,'Daily BSE Equity Cash'!$A:$A,$A890)=0,"",SUMIFS('Daily BSE Equity Cash'!$H:$H,'Daily BSE Equity Cash'!$A:$A,$A890))</f>
        <v>50.495899999999999</v>
      </c>
      <c r="G890" s="4">
        <f t="shared" si="117"/>
        <v>658.20740000000001</v>
      </c>
      <c r="H890" s="7">
        <f t="shared" si="118"/>
        <v>0.19755618032328481</v>
      </c>
      <c r="I890" s="7">
        <f t="shared" si="119"/>
        <v>0.56384408602150526</v>
      </c>
      <c r="J890" s="7">
        <f t="shared" si="120"/>
        <v>0.2194687422475583</v>
      </c>
      <c r="K890" s="7">
        <f t="shared" si="123"/>
        <v>4.7962383742525816E-2</v>
      </c>
      <c r="L890" s="7">
        <f t="shared" si="124"/>
        <v>0.3155421124892861</v>
      </c>
      <c r="M890" s="7">
        <f t="shared" si="125"/>
        <v>6.457422442790306E-2</v>
      </c>
      <c r="N890" s="7">
        <f t="shared" si="121"/>
        <v>0.92328269174731248</v>
      </c>
      <c r="O890" s="7">
        <f t="shared" si="122"/>
        <v>7.6717308252687522E-2</v>
      </c>
    </row>
    <row r="891" spans="1:15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4">
        <f>IF(SUMIFS('Daily NSE Equity Cash'!$H:$H,'Daily NSE Equity Cash'!$A:$A,$A891)=0,"",SUMIFS('Daily NSE Equity Cash'!$H:$H,'Daily NSE Equity Cash'!$A:$A,$A891))</f>
        <v>600.06560000000002</v>
      </c>
      <c r="F891" s="4">
        <f>IF(SUMIFS('Daily BSE Equity Cash'!$H:$H,'Daily BSE Equity Cash'!$A:$A,$A891)=0,"",SUMIFS('Daily BSE Equity Cash'!$H:$H,'Daily BSE Equity Cash'!$A:$A,$A891))</f>
        <v>39.776800000000001</v>
      </c>
      <c r="G891" s="4">
        <f t="shared" si="117"/>
        <v>639.8424</v>
      </c>
      <c r="H891" s="7">
        <f t="shared" si="118"/>
        <v>2.8666662895301176E-2</v>
      </c>
      <c r="I891" s="7">
        <f t="shared" si="119"/>
        <v>-0.45953084916735509</v>
      </c>
      <c r="J891" s="7">
        <f t="shared" si="120"/>
        <v>-2.6025972847744661E-2</v>
      </c>
      <c r="K891" s="7">
        <f t="shared" si="123"/>
        <v>-1.2581463408212534E-2</v>
      </c>
      <c r="L891" s="7">
        <f t="shared" si="124"/>
        <v>-0.21227664028168614</v>
      </c>
      <c r="M891" s="7">
        <f t="shared" si="125"/>
        <v>-2.7901539848989909E-2</v>
      </c>
      <c r="N891" s="7">
        <f t="shared" si="121"/>
        <v>0.93783344148496572</v>
      </c>
      <c r="O891" s="7">
        <f t="shared" si="122"/>
        <v>6.2166558515034331E-2</v>
      </c>
    </row>
    <row r="892" spans="1:15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4">
        <f>IF(SUMIFS('Daily NSE Equity Cash'!$H:$H,'Daily NSE Equity Cash'!$A:$A,$A892)=0,"",SUMIFS('Daily NSE Equity Cash'!$H:$H,'Daily NSE Equity Cash'!$A:$A,$A892))</f>
        <v>614.03719999999998</v>
      </c>
      <c r="F892" s="4">
        <f>IF(SUMIFS('Daily BSE Equity Cash'!$H:$H,'Daily BSE Equity Cash'!$A:$A,$A892)=0,"",SUMIFS('Daily BSE Equity Cash'!$H:$H,'Daily BSE Equity Cash'!$A:$A,$A892))</f>
        <v>36.528399999999998</v>
      </c>
      <c r="G892" s="4">
        <f t="shared" si="117"/>
        <v>650.56560000000002</v>
      </c>
      <c r="H892" s="7">
        <f t="shared" si="118"/>
        <v>0.19808933888011193</v>
      </c>
      <c r="I892" s="7">
        <f t="shared" si="119"/>
        <v>9.1834050693447855E-2</v>
      </c>
      <c r="J892" s="7">
        <f t="shared" si="120"/>
        <v>0.19157821395582952</v>
      </c>
      <c r="K892" s="7">
        <f t="shared" si="123"/>
        <v>2.328345434232526E-2</v>
      </c>
      <c r="L892" s="7">
        <f t="shared" si="124"/>
        <v>-8.1665694575732695E-2</v>
      </c>
      <c r="M892" s="7">
        <f t="shared" si="125"/>
        <v>1.6759126935007806E-2</v>
      </c>
      <c r="N892" s="7">
        <f t="shared" si="121"/>
        <v>0.94385131952873003</v>
      </c>
      <c r="O892" s="7">
        <f t="shared" si="122"/>
        <v>5.6148680471269918E-2</v>
      </c>
    </row>
    <row r="893" spans="1:15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4">
        <f>IF(SUMIFS('Daily NSE Equity Cash'!$H:$H,'Daily NSE Equity Cash'!$A:$A,$A893)=0,"",SUMIFS('Daily NSE Equity Cash'!$H:$H,'Daily NSE Equity Cash'!$A:$A,$A893))</f>
        <v>623.78250000000003</v>
      </c>
      <c r="F893" s="4">
        <f>IF(SUMIFS('Daily BSE Equity Cash'!$H:$H,'Daily BSE Equity Cash'!$A:$A,$A893)=0,"",SUMIFS('Daily BSE Equity Cash'!$H:$H,'Daily BSE Equity Cash'!$A:$A,$A893))</f>
        <v>55.464100000000002</v>
      </c>
      <c r="G893" s="4">
        <f t="shared" si="117"/>
        <v>679.24660000000006</v>
      </c>
      <c r="H893" s="7">
        <f t="shared" si="118"/>
        <v>7.132901938699665E-2</v>
      </c>
      <c r="I893" s="7">
        <f t="shared" si="119"/>
        <v>-0.18166420023400376</v>
      </c>
      <c r="J893" s="7">
        <f t="shared" si="120"/>
        <v>4.4950077519761544E-2</v>
      </c>
      <c r="K893" s="7">
        <f t="shared" si="123"/>
        <v>1.5870862547090026E-2</v>
      </c>
      <c r="L893" s="7">
        <f t="shared" si="124"/>
        <v>0.5183829568226368</v>
      </c>
      <c r="M893" s="7">
        <f t="shared" si="125"/>
        <v>4.4086253561516298E-2</v>
      </c>
      <c r="N893" s="7">
        <f t="shared" si="121"/>
        <v>0.91834467776504136</v>
      </c>
      <c r="O893" s="7">
        <f t="shared" si="122"/>
        <v>8.1655322234958555E-2</v>
      </c>
    </row>
    <row r="894" spans="1:15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4">
        <f>IF(SUMIFS('Daily NSE Equity Cash'!$H:$H,'Daily NSE Equity Cash'!$A:$A,$A894)=0,"",SUMIFS('Daily NSE Equity Cash'!$H:$H,'Daily NSE Equity Cash'!$A:$A,$A894))</f>
        <v>661.60410000000002</v>
      </c>
      <c r="F894" s="4">
        <f>IF(SUMIFS('Daily BSE Equity Cash'!$H:$H,'Daily BSE Equity Cash'!$A:$A,$A894)=0,"",SUMIFS('Daily BSE Equity Cash'!$H:$H,'Daily BSE Equity Cash'!$A:$A,$A894))</f>
        <v>50.616999999999997</v>
      </c>
      <c r="G894" s="4">
        <f t="shared" si="117"/>
        <v>712.22109999999998</v>
      </c>
      <c r="H894" s="7" t="str">
        <f t="shared" si="118"/>
        <v/>
      </c>
      <c r="I894" s="7" t="str">
        <f t="shared" si="119"/>
        <v/>
      </c>
      <c r="J894" s="7" t="str">
        <f t="shared" si="120"/>
        <v/>
      </c>
      <c r="K894" s="7">
        <f t="shared" si="123"/>
        <v>6.063267244592474E-2</v>
      </c>
      <c r="L894" s="7">
        <f t="shared" si="124"/>
        <v>-8.7391664157536186E-2</v>
      </c>
      <c r="M894" s="7">
        <f t="shared" si="125"/>
        <v>4.8545697541952926E-2</v>
      </c>
      <c r="N894" s="7">
        <f t="shared" si="121"/>
        <v>0.92893077725442286</v>
      </c>
      <c r="O894" s="7">
        <f t="shared" si="122"/>
        <v>7.1069222745577185E-2</v>
      </c>
    </row>
    <row r="895" spans="1:15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4">
        <f>IF(SUMIFS('Daily NSE Equity Cash'!$H:$H,'Daily NSE Equity Cash'!$A:$A,$A895)=0,"",SUMIFS('Daily NSE Equity Cash'!$H:$H,'Daily NSE Equity Cash'!$A:$A,$A895))</f>
        <v>704.00139999999999</v>
      </c>
      <c r="F895" s="4">
        <f>IF(SUMIFS('Daily BSE Equity Cash'!$H:$H,'Daily BSE Equity Cash'!$A:$A,$A895)=0,"",SUMIFS('Daily BSE Equity Cash'!$H:$H,'Daily BSE Equity Cash'!$A:$A,$A895))</f>
        <v>51.977600000000002</v>
      </c>
      <c r="G895" s="4">
        <f t="shared" si="117"/>
        <v>755.97900000000004</v>
      </c>
      <c r="H895" s="7">
        <f t="shared" si="118"/>
        <v>0.14587552365918999</v>
      </c>
      <c r="I895" s="7">
        <f t="shared" si="119"/>
        <v>0.2431798939014882</v>
      </c>
      <c r="J895" s="7">
        <f t="shared" si="120"/>
        <v>0.15207543926382172</v>
      </c>
      <c r="K895" s="7">
        <f t="shared" si="123"/>
        <v>6.4082583526915871E-2</v>
      </c>
      <c r="L895" s="7">
        <f t="shared" si="124"/>
        <v>2.6880297133374365E-2</v>
      </c>
      <c r="M895" s="7">
        <f t="shared" si="125"/>
        <v>6.1438645948568515E-2</v>
      </c>
      <c r="N895" s="7">
        <f t="shared" si="121"/>
        <v>0.9312446509757546</v>
      </c>
      <c r="O895" s="7">
        <f t="shared" si="122"/>
        <v>6.8755349024245377E-2</v>
      </c>
    </row>
    <row r="896" spans="1:15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4">
        <f>IF(SUMIFS('Daily NSE Equity Cash'!$H:$H,'Daily NSE Equity Cash'!$A:$A,$A896)=0,"",SUMIFS('Daily NSE Equity Cash'!$H:$H,'Daily NSE Equity Cash'!$A:$A,$A896))</f>
        <v>668.49789999999996</v>
      </c>
      <c r="F896" s="4">
        <f>IF(SUMIFS('Daily BSE Equity Cash'!$H:$H,'Daily BSE Equity Cash'!$A:$A,$A896)=0,"",SUMIFS('Daily BSE Equity Cash'!$H:$H,'Daily BSE Equity Cash'!$A:$A,$A896))</f>
        <v>49.125700000000002</v>
      </c>
      <c r="G896" s="4">
        <f t="shared" si="117"/>
        <v>717.62360000000001</v>
      </c>
      <c r="H896" s="7" t="str">
        <f t="shared" si="118"/>
        <v/>
      </c>
      <c r="I896" s="7" t="str">
        <f t="shared" si="119"/>
        <v/>
      </c>
      <c r="J896" s="7" t="str">
        <f t="shared" si="120"/>
        <v/>
      </c>
      <c r="K896" s="7">
        <f t="shared" si="123"/>
        <v>-5.0431007665609817E-2</v>
      </c>
      <c r="L896" s="7">
        <f t="shared" si="124"/>
        <v>-5.4867866157729539E-2</v>
      </c>
      <c r="M896" s="7">
        <f t="shared" si="125"/>
        <v>-5.0736065419806686E-2</v>
      </c>
      <c r="N896" s="7">
        <f t="shared" si="121"/>
        <v>0.9315439180093853</v>
      </c>
      <c r="O896" s="7">
        <f t="shared" si="122"/>
        <v>6.8456081990614578E-2</v>
      </c>
    </row>
    <row r="897" spans="1:15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4">
        <f>IF(SUMIFS('Daily NSE Equity Cash'!$H:$H,'Daily NSE Equity Cash'!$A:$A,$A897)=0,"",SUMIFS('Daily NSE Equity Cash'!$H:$H,'Daily NSE Equity Cash'!$A:$A,$A897))</f>
        <v>676.17290000000003</v>
      </c>
      <c r="F897" s="4">
        <f>IF(SUMIFS('Daily BSE Equity Cash'!$H:$H,'Daily BSE Equity Cash'!$A:$A,$A897)=0,"",SUMIFS('Daily BSE Equity Cash'!$H:$H,'Daily BSE Equity Cash'!$A:$A,$A897))</f>
        <v>47.392200000000003</v>
      </c>
      <c r="G897" s="4">
        <f t="shared" si="117"/>
        <v>723.56510000000003</v>
      </c>
      <c r="H897" s="7">
        <f t="shared" si="118"/>
        <v>6.3110444338859484E-2</v>
      </c>
      <c r="I897" s="7">
        <f t="shared" si="119"/>
        <v>6.23648007962323E-2</v>
      </c>
      <c r="J897" s="7">
        <f t="shared" si="120"/>
        <v>6.3061574009388499E-2</v>
      </c>
      <c r="K897" s="7">
        <f t="shared" si="123"/>
        <v>1.148096351536787E-2</v>
      </c>
      <c r="L897" s="7">
        <f t="shared" si="124"/>
        <v>-3.5287028988899904E-2</v>
      </c>
      <c r="M897" s="7">
        <f t="shared" si="125"/>
        <v>8.2794099859593295E-3</v>
      </c>
      <c r="N897" s="7">
        <f t="shared" si="121"/>
        <v>0.93450181607708827</v>
      </c>
      <c r="O897" s="7">
        <f t="shared" si="122"/>
        <v>6.5498183922911707E-2</v>
      </c>
    </row>
    <row r="898" spans="1:15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4">
        <f>IF(SUMIFS('Daily NSE Equity Cash'!$H:$H,'Daily NSE Equity Cash'!$A:$A,$A898)=0,"",SUMIFS('Daily NSE Equity Cash'!$H:$H,'Daily NSE Equity Cash'!$A:$A,$A898))</f>
        <v>584.19629999999995</v>
      </c>
      <c r="F898" s="4">
        <f>IF(SUMIFS('Daily BSE Equity Cash'!$H:$H,'Daily BSE Equity Cash'!$A:$A,$A898)=0,"",SUMIFS('Daily BSE Equity Cash'!$H:$H,'Daily BSE Equity Cash'!$A:$A,$A898))</f>
        <v>48.920400000000001</v>
      </c>
      <c r="G898" s="4">
        <f t="shared" ref="G898:G961" si="126">IF(OR(E898="",F898=""),"",E898+F898)</f>
        <v>633.11669999999992</v>
      </c>
      <c r="H898" s="7">
        <f t="shared" ref="H898:H961" si="127">IFERROR(IF(OR(E898="",INDEX(E:E,MATCH(DATE(YEAR($A898)-1,MONTH($A898),DAY($A898)),$A:$A,0))=""),"",E898/INDEX(E:E,MATCH(DATE(YEAR($A898)-1,MONTH($A898),DAY($A898)),$A:$A,0))-1),"")</f>
        <v>0.10236823861121103</v>
      </c>
      <c r="I898" s="7">
        <f t="shared" ref="I898:I961" si="128">IFERROR(IF(OR(F898="",INDEX(F:F,MATCH(DATE(YEAR($A898)-1,MONTH($A898),DAY($A898)),$A:$A,0))=""),"",F898/INDEX(F:F,MATCH(DATE(YEAR($A898)-1,MONTH($A898),DAY($A898)),$A:$A,0))-1),"")</f>
        <v>0.12901394408518785</v>
      </c>
      <c r="J898" s="7">
        <f t="shared" ref="J898:J961" si="129">IFERROR(IF(OR(G898="",INDEX(G:G,MATCH(DATE(YEAR($A898)-1,MONTH($A898),DAY($A898)),$A:$A,0))=""),"",G898/INDEX(G:G,MATCH(DATE(YEAR($A898)-1,MONTH($A898),DAY($A898)),$A:$A,0))-1),"")</f>
        <v>0.10438221117617164</v>
      </c>
      <c r="K898" s="7">
        <f t="shared" si="123"/>
        <v>-0.13602526809341231</v>
      </c>
      <c r="L898" s="7">
        <f t="shared" si="124"/>
        <v>3.2245812602073709E-2</v>
      </c>
      <c r="M898" s="7">
        <f t="shared" si="125"/>
        <v>-0.12500381790111226</v>
      </c>
      <c r="N898" s="7">
        <f t="shared" ref="N898:N961" si="130">IF(G898="","",E898/G898)</f>
        <v>0.92273083303599479</v>
      </c>
      <c r="O898" s="7">
        <f t="shared" ref="O898:O961" si="131">IF(G898="","",F898/G898)</f>
        <v>7.7269166964005223E-2</v>
      </c>
    </row>
    <row r="899" spans="1:15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4">
        <f>IF(SUMIFS('Daily NSE Equity Cash'!$H:$H,'Daily NSE Equity Cash'!$A:$A,$A899)=0,"",SUMIFS('Daily NSE Equity Cash'!$H:$H,'Daily NSE Equity Cash'!$A:$A,$A899))</f>
        <v>140.91300000000001</v>
      </c>
      <c r="F899" s="4">
        <f>IF(SUMIFS('Daily BSE Equity Cash'!$H:$H,'Daily BSE Equity Cash'!$A:$A,$A899)=0,"",SUMIFS('Daily BSE Equity Cash'!$H:$H,'Daily BSE Equity Cash'!$A:$A,$A899))</f>
        <v>16.630299999999998</v>
      </c>
      <c r="G899" s="4">
        <f t="shared" si="126"/>
        <v>157.54330000000002</v>
      </c>
      <c r="H899" s="7" t="str">
        <f t="shared" si="127"/>
        <v/>
      </c>
      <c r="I899" s="7" t="str">
        <f t="shared" si="128"/>
        <v/>
      </c>
      <c r="J899" s="7" t="str">
        <f t="shared" si="129"/>
        <v/>
      </c>
      <c r="K899" s="7">
        <f t="shared" ref="K899:K962" si="132">IF(OR(E899="",E898=""),"",E899/E898-1)</f>
        <v>-0.75879169381935485</v>
      </c>
      <c r="L899" s="7">
        <f t="shared" ref="L899:L962" si="133">IF(OR(F899="",F898=""),"",F899/F898-1)</f>
        <v>-0.66005388345148441</v>
      </c>
      <c r="M899" s="7">
        <f t="shared" ref="M899:M962" si="134">IF(OR(G899="",G898=""),"",G899/G898-1)</f>
        <v>-0.75116230546437956</v>
      </c>
      <c r="N899" s="7">
        <f t="shared" si="130"/>
        <v>0.89443981432406194</v>
      </c>
      <c r="O899" s="7">
        <f t="shared" si="131"/>
        <v>0.10556018567593796</v>
      </c>
    </row>
    <row r="900" spans="1:15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4">
        <f>IF(SUMIFS('Daily NSE Equity Cash'!$H:$H,'Daily NSE Equity Cash'!$A:$A,$A900)=0,"",SUMIFS('Daily NSE Equity Cash'!$H:$H,'Daily NSE Equity Cash'!$A:$A,$A900))</f>
        <v>598.14200000000005</v>
      </c>
      <c r="F900" s="4">
        <f>IF(SUMIFS('Daily BSE Equity Cash'!$H:$H,'Daily BSE Equity Cash'!$A:$A,$A900)=0,"",SUMIFS('Daily BSE Equity Cash'!$H:$H,'Daily BSE Equity Cash'!$A:$A,$A900))</f>
        <v>50.371499999999997</v>
      </c>
      <c r="G900" s="4">
        <f t="shared" si="126"/>
        <v>648.51350000000002</v>
      </c>
      <c r="H900" s="7" t="str">
        <f t="shared" si="127"/>
        <v/>
      </c>
      <c r="I900" s="7" t="str">
        <f t="shared" si="128"/>
        <v/>
      </c>
      <c r="J900" s="7" t="str">
        <f t="shared" si="129"/>
        <v/>
      </c>
      <c r="K900" s="7">
        <f t="shared" si="132"/>
        <v>3.2447609517929505</v>
      </c>
      <c r="L900" s="7">
        <f t="shared" si="133"/>
        <v>2.0288990577439976</v>
      </c>
      <c r="M900" s="7">
        <f t="shared" si="134"/>
        <v>3.1164143445008445</v>
      </c>
      <c r="N900" s="7">
        <f t="shared" si="130"/>
        <v>0.92232775416394575</v>
      </c>
      <c r="O900" s="7">
        <f t="shared" si="131"/>
        <v>7.7672245836054296E-2</v>
      </c>
    </row>
    <row r="901" spans="1:15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4">
        <f>IF(SUMIFS('Daily NSE Equity Cash'!$H:$H,'Daily NSE Equity Cash'!$A:$A,$A901)=0,"",SUMIFS('Daily NSE Equity Cash'!$H:$H,'Daily NSE Equity Cash'!$A:$A,$A901))</f>
        <v>810.75900000000001</v>
      </c>
      <c r="F901" s="4">
        <f>IF(SUMIFS('Daily BSE Equity Cash'!$H:$H,'Daily BSE Equity Cash'!$A:$A,$A901)=0,"",SUMIFS('Daily BSE Equity Cash'!$H:$H,'Daily BSE Equity Cash'!$A:$A,$A901))</f>
        <v>57.040500000000002</v>
      </c>
      <c r="G901" s="4">
        <f t="shared" si="126"/>
        <v>867.79949999999997</v>
      </c>
      <c r="H901" s="7">
        <f t="shared" si="127"/>
        <v>0.60583159465081304</v>
      </c>
      <c r="I901" s="7">
        <f t="shared" si="128"/>
        <v>0.39658642404536426</v>
      </c>
      <c r="J901" s="7">
        <f t="shared" si="129"/>
        <v>0.59017145935605164</v>
      </c>
      <c r="K901" s="7">
        <f t="shared" si="132"/>
        <v>0.35546241527931488</v>
      </c>
      <c r="L901" s="7">
        <f t="shared" si="133"/>
        <v>0.1323962955242548</v>
      </c>
      <c r="M901" s="7">
        <f t="shared" si="134"/>
        <v>0.33813636878800502</v>
      </c>
      <c r="N901" s="7">
        <f t="shared" si="130"/>
        <v>0.93426995521430933</v>
      </c>
      <c r="O901" s="7">
        <f t="shared" si="131"/>
        <v>6.5730044785690708E-2</v>
      </c>
    </row>
    <row r="902" spans="1:15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4">
        <f>IF(SUMIFS('Daily NSE Equity Cash'!$H:$H,'Daily NSE Equity Cash'!$A:$A,$A902)=0,"",SUMIFS('Daily NSE Equity Cash'!$H:$H,'Daily NSE Equity Cash'!$A:$A,$A902))</f>
        <v>753.41809999999998</v>
      </c>
      <c r="F902" s="4">
        <f>IF(SUMIFS('Daily BSE Equity Cash'!$H:$H,'Daily BSE Equity Cash'!$A:$A,$A902)=0,"",SUMIFS('Daily BSE Equity Cash'!$H:$H,'Daily BSE Equity Cash'!$A:$A,$A902))</f>
        <v>57.279499999999999</v>
      </c>
      <c r="G902" s="4">
        <f t="shared" si="126"/>
        <v>810.69759999999997</v>
      </c>
      <c r="H902" s="7">
        <f t="shared" si="127"/>
        <v>0.29592872460043296</v>
      </c>
      <c r="I902" s="7">
        <f t="shared" si="128"/>
        <v>0.3123473535166541</v>
      </c>
      <c r="J902" s="7">
        <f t="shared" si="129"/>
        <v>0.29707527618729435</v>
      </c>
      <c r="K902" s="7">
        <f t="shared" si="132"/>
        <v>-7.0724962658447299E-2</v>
      </c>
      <c r="L902" s="7">
        <f t="shared" si="133"/>
        <v>4.1900053470778076E-3</v>
      </c>
      <c r="M902" s="7">
        <f t="shared" si="134"/>
        <v>-6.5800798456325471E-2</v>
      </c>
      <c r="N902" s="7">
        <f t="shared" si="130"/>
        <v>0.92934541806957371</v>
      </c>
      <c r="O902" s="7">
        <f t="shared" si="131"/>
        <v>7.0654581930426341E-2</v>
      </c>
    </row>
    <row r="903" spans="1:15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4">
        <f>IF(SUMIFS('Daily NSE Equity Cash'!$H:$H,'Daily NSE Equity Cash'!$A:$A,$A903)=0,"",SUMIFS('Daily NSE Equity Cash'!$H:$H,'Daily NSE Equity Cash'!$A:$A,$A903))</f>
        <v>814.96579999999994</v>
      </c>
      <c r="F903" s="4">
        <f>IF(SUMIFS('Daily BSE Equity Cash'!$H:$H,'Daily BSE Equity Cash'!$A:$A,$A903)=0,"",SUMIFS('Daily BSE Equity Cash'!$H:$H,'Daily BSE Equity Cash'!$A:$A,$A903))</f>
        <v>63.5929</v>
      </c>
      <c r="G903" s="4">
        <f t="shared" si="126"/>
        <v>878.55869999999993</v>
      </c>
      <c r="H903" s="7">
        <f t="shared" si="127"/>
        <v>0.64016392667294175</v>
      </c>
      <c r="I903" s="7">
        <f t="shared" si="128"/>
        <v>0.42773848813452786</v>
      </c>
      <c r="J903" s="7">
        <f t="shared" si="129"/>
        <v>0.62268837765460816</v>
      </c>
      <c r="K903" s="7">
        <f t="shared" si="132"/>
        <v>8.1691294647686208E-2</v>
      </c>
      <c r="L903" s="7">
        <f t="shared" si="133"/>
        <v>0.11022093419111556</v>
      </c>
      <c r="M903" s="7">
        <f t="shared" si="134"/>
        <v>8.3707044402252961E-2</v>
      </c>
      <c r="N903" s="7">
        <f t="shared" si="130"/>
        <v>0.92761678872453257</v>
      </c>
      <c r="O903" s="7">
        <f t="shared" si="131"/>
        <v>7.238321127546743E-2</v>
      </c>
    </row>
    <row r="904" spans="1:15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4">
        <f>IF(SUMIFS('Daily NSE Equity Cash'!$H:$H,'Daily NSE Equity Cash'!$A:$A,$A904)=0,"",SUMIFS('Daily NSE Equity Cash'!$H:$H,'Daily NSE Equity Cash'!$A:$A,$A904))</f>
        <v>673.78250000000003</v>
      </c>
      <c r="F904" s="4">
        <f>IF(SUMIFS('Daily BSE Equity Cash'!$H:$H,'Daily BSE Equity Cash'!$A:$A,$A904)=0,"",SUMIFS('Daily BSE Equity Cash'!$H:$H,'Daily BSE Equity Cash'!$A:$A,$A904))</f>
        <v>52.255299999999998</v>
      </c>
      <c r="G904" s="4">
        <f t="shared" si="126"/>
        <v>726.03780000000006</v>
      </c>
      <c r="H904" s="7" t="str">
        <f t="shared" si="127"/>
        <v/>
      </c>
      <c r="I904" s="7" t="str">
        <f t="shared" si="128"/>
        <v/>
      </c>
      <c r="J904" s="7" t="str">
        <f t="shared" si="129"/>
        <v/>
      </c>
      <c r="K904" s="7">
        <f t="shared" si="132"/>
        <v>-0.17323831257704303</v>
      </c>
      <c r="L904" s="7">
        <f t="shared" si="133"/>
        <v>-0.17828405372297851</v>
      </c>
      <c r="M904" s="7">
        <f t="shared" si="134"/>
        <v>-0.17360353952445051</v>
      </c>
      <c r="N904" s="7">
        <f t="shared" si="130"/>
        <v>0.92802675012237645</v>
      </c>
      <c r="O904" s="7">
        <f t="shared" si="131"/>
        <v>7.1973249877623449E-2</v>
      </c>
    </row>
    <row r="905" spans="1:15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4">
        <f>IF(SUMIFS('Daily NSE Equity Cash'!$H:$H,'Daily NSE Equity Cash'!$A:$A,$A905)=0,"",SUMIFS('Daily NSE Equity Cash'!$H:$H,'Daily NSE Equity Cash'!$A:$A,$A905))</f>
        <v>682.06349999999998</v>
      </c>
      <c r="F905" s="4">
        <f>IF(SUMIFS('Daily BSE Equity Cash'!$H:$H,'Daily BSE Equity Cash'!$A:$A,$A905)=0,"",SUMIFS('Daily BSE Equity Cash'!$H:$H,'Daily BSE Equity Cash'!$A:$A,$A905))</f>
        <v>48.616599999999998</v>
      </c>
      <c r="G905" s="4">
        <f t="shared" si="126"/>
        <v>730.68009999999992</v>
      </c>
      <c r="H905" s="7">
        <f t="shared" si="127"/>
        <v>0.46713072724621107</v>
      </c>
      <c r="I905" s="7">
        <f t="shared" si="128"/>
        <v>0.60408473010426289</v>
      </c>
      <c r="J905" s="7">
        <f t="shared" si="129"/>
        <v>0.47551272788074073</v>
      </c>
      <c r="K905" s="7">
        <f t="shared" si="132"/>
        <v>1.2290316237064447E-2</v>
      </c>
      <c r="L905" s="7">
        <f t="shared" si="133"/>
        <v>-6.9633128122889021E-2</v>
      </c>
      <c r="M905" s="7">
        <f t="shared" si="134"/>
        <v>6.3940197053098391E-3</v>
      </c>
      <c r="N905" s="7">
        <f t="shared" si="130"/>
        <v>0.93346390575027305</v>
      </c>
      <c r="O905" s="7">
        <f t="shared" si="131"/>
        <v>6.6536094249727076E-2</v>
      </c>
    </row>
    <row r="906" spans="1:15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4">
        <f>IF(SUMIFS('Daily NSE Equity Cash'!$H:$H,'Daily NSE Equity Cash'!$A:$A,$A906)=0,"",SUMIFS('Daily NSE Equity Cash'!$H:$H,'Daily NSE Equity Cash'!$A:$A,$A906))</f>
        <v>647.83259999999996</v>
      </c>
      <c r="F906" s="4">
        <f>IF(SUMIFS('Daily BSE Equity Cash'!$H:$H,'Daily BSE Equity Cash'!$A:$A,$A906)=0,"",SUMIFS('Daily BSE Equity Cash'!$H:$H,'Daily BSE Equity Cash'!$A:$A,$A906))</f>
        <v>45.638399999999997</v>
      </c>
      <c r="G906" s="4">
        <f t="shared" si="126"/>
        <v>693.471</v>
      </c>
      <c r="H906" s="7">
        <f t="shared" si="127"/>
        <v>0.33785554489262482</v>
      </c>
      <c r="I906" s="7">
        <f t="shared" si="128"/>
        <v>0.27583488485214436</v>
      </c>
      <c r="J906" s="7">
        <f t="shared" si="129"/>
        <v>0.33358910084259041</v>
      </c>
      <c r="K906" s="7">
        <f t="shared" si="132"/>
        <v>-5.0187262622908291E-2</v>
      </c>
      <c r="L906" s="7">
        <f t="shared" si="133"/>
        <v>-6.1258911565185592E-2</v>
      </c>
      <c r="M906" s="7">
        <f t="shared" si="134"/>
        <v>-5.092392690043146E-2</v>
      </c>
      <c r="N906" s="7">
        <f t="shared" si="130"/>
        <v>0.93418845200448175</v>
      </c>
      <c r="O906" s="7">
        <f t="shared" si="131"/>
        <v>6.5811547995518194E-2</v>
      </c>
    </row>
    <row r="907" spans="1:15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4">
        <f>IF(SUMIFS('Daily NSE Equity Cash'!$H:$H,'Daily NSE Equity Cash'!$A:$A,$A907)=0,"",SUMIFS('Daily NSE Equity Cash'!$H:$H,'Daily NSE Equity Cash'!$A:$A,$A907))</f>
        <v>602.99260000000004</v>
      </c>
      <c r="F907" s="4">
        <f>IF(SUMIFS('Daily BSE Equity Cash'!$H:$H,'Daily BSE Equity Cash'!$A:$A,$A907)=0,"",SUMIFS('Daily BSE Equity Cash'!$H:$H,'Daily BSE Equity Cash'!$A:$A,$A907))</f>
        <v>51.845599999999997</v>
      </c>
      <c r="G907" s="4">
        <f t="shared" si="126"/>
        <v>654.83820000000003</v>
      </c>
      <c r="H907" s="7">
        <f t="shared" si="127"/>
        <v>0.20807202361359023</v>
      </c>
      <c r="I907" s="7">
        <f t="shared" si="128"/>
        <v>0.43718935641162804</v>
      </c>
      <c r="J907" s="7">
        <f t="shared" si="129"/>
        <v>0.22351500512134859</v>
      </c>
      <c r="K907" s="7">
        <f t="shared" si="132"/>
        <v>-6.9215411512171365E-2</v>
      </c>
      <c r="L907" s="7">
        <f t="shared" si="133"/>
        <v>0.13600827373439905</v>
      </c>
      <c r="M907" s="7">
        <f t="shared" si="134"/>
        <v>-5.5709323100749719E-2</v>
      </c>
      <c r="N907" s="7">
        <f t="shared" si="130"/>
        <v>0.9208268546337095</v>
      </c>
      <c r="O907" s="7">
        <f t="shared" si="131"/>
        <v>7.9173145366290471E-2</v>
      </c>
    </row>
    <row r="908" spans="1:15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4">
        <f>IF(SUMIFS('Daily NSE Equity Cash'!$H:$H,'Daily NSE Equity Cash'!$A:$A,$A908)=0,"",SUMIFS('Daily NSE Equity Cash'!$H:$H,'Daily NSE Equity Cash'!$A:$A,$A908))</f>
        <v>636.03290000000004</v>
      </c>
      <c r="F908" s="4">
        <f>IF(SUMIFS('Daily BSE Equity Cash'!$H:$H,'Daily BSE Equity Cash'!$A:$A,$A908)=0,"",SUMIFS('Daily BSE Equity Cash'!$H:$H,'Daily BSE Equity Cash'!$A:$A,$A908))</f>
        <v>55.366199999999999</v>
      </c>
      <c r="G908" s="4">
        <f t="shared" si="126"/>
        <v>691.39910000000009</v>
      </c>
      <c r="H908" s="7">
        <f t="shared" si="127"/>
        <v>0.24036359494940718</v>
      </c>
      <c r="I908" s="7">
        <f t="shared" si="128"/>
        <v>0.49481624674665481</v>
      </c>
      <c r="J908" s="7">
        <f t="shared" si="129"/>
        <v>0.25750493526769391</v>
      </c>
      <c r="K908" s="7">
        <f t="shared" si="132"/>
        <v>5.4793873092306544E-2</v>
      </c>
      <c r="L908" s="7">
        <f t="shared" si="133"/>
        <v>6.7905473174194153E-2</v>
      </c>
      <c r="M908" s="7">
        <f t="shared" si="134"/>
        <v>5.5831959711574619E-2</v>
      </c>
      <c r="N908" s="7">
        <f t="shared" si="130"/>
        <v>0.91992150409220952</v>
      </c>
      <c r="O908" s="7">
        <f t="shared" si="131"/>
        <v>8.007849590779044E-2</v>
      </c>
    </row>
    <row r="909" spans="1:15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4">
        <f>IF(SUMIFS('Daily NSE Equity Cash'!$H:$H,'Daily NSE Equity Cash'!$A:$A,$A909)=0,"",SUMIFS('Daily NSE Equity Cash'!$H:$H,'Daily NSE Equity Cash'!$A:$A,$A909))</f>
        <v>811.34079999999994</v>
      </c>
      <c r="F909" s="4">
        <f>IF(SUMIFS('Daily BSE Equity Cash'!$H:$H,'Daily BSE Equity Cash'!$A:$A,$A909)=0,"",SUMIFS('Daily BSE Equity Cash'!$H:$H,'Daily BSE Equity Cash'!$A:$A,$A909))</f>
        <v>58.491399999999999</v>
      </c>
      <c r="G909" s="4">
        <f t="shared" si="126"/>
        <v>869.83219999999994</v>
      </c>
      <c r="H909" s="7">
        <f t="shared" si="127"/>
        <v>0.44274324018181965</v>
      </c>
      <c r="I909" s="7">
        <f t="shared" si="128"/>
        <v>0.60832934628984958</v>
      </c>
      <c r="J909" s="7">
        <f t="shared" si="129"/>
        <v>0.45280124049734805</v>
      </c>
      <c r="K909" s="7">
        <f t="shared" si="132"/>
        <v>0.27562709413302344</v>
      </c>
      <c r="L909" s="7">
        <f t="shared" si="133"/>
        <v>5.6445990514068178E-2</v>
      </c>
      <c r="M909" s="7">
        <f t="shared" si="134"/>
        <v>0.25807540102380777</v>
      </c>
      <c r="N909" s="7">
        <f t="shared" si="130"/>
        <v>0.93275553606776107</v>
      </c>
      <c r="O909" s="7">
        <f t="shared" si="131"/>
        <v>6.7244463932238888E-2</v>
      </c>
    </row>
    <row r="910" spans="1:15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4">
        <f>IF(SUMIFS('Daily NSE Equity Cash'!$H:$H,'Daily NSE Equity Cash'!$A:$A,$A910)=0,"",SUMIFS('Daily NSE Equity Cash'!$H:$H,'Daily NSE Equity Cash'!$A:$A,$A910))</f>
        <v>845.11850000000004</v>
      </c>
      <c r="F910" s="4">
        <f>IF(SUMIFS('Daily BSE Equity Cash'!$H:$H,'Daily BSE Equity Cash'!$A:$A,$A910)=0,"",SUMIFS('Daily BSE Equity Cash'!$H:$H,'Daily BSE Equity Cash'!$A:$A,$A910))</f>
        <v>93.928299999999993</v>
      </c>
      <c r="G910" s="4">
        <f t="shared" si="126"/>
        <v>939.04680000000008</v>
      </c>
      <c r="H910" s="7">
        <f t="shared" si="127"/>
        <v>0.65862102938625111</v>
      </c>
      <c r="I910" s="7">
        <f t="shared" si="128"/>
        <v>1.632217149935125</v>
      </c>
      <c r="J910" s="7">
        <f t="shared" si="129"/>
        <v>0.72234251118228832</v>
      </c>
      <c r="K910" s="7">
        <f t="shared" si="132"/>
        <v>4.1631950470135459E-2</v>
      </c>
      <c r="L910" s="7">
        <f t="shared" si="133"/>
        <v>0.60584803919892494</v>
      </c>
      <c r="M910" s="7">
        <f t="shared" si="134"/>
        <v>7.9572358898647444E-2</v>
      </c>
      <c r="N910" s="7">
        <f t="shared" si="130"/>
        <v>0.89997484683404483</v>
      </c>
      <c r="O910" s="7">
        <f t="shared" si="131"/>
        <v>0.10002515316595507</v>
      </c>
    </row>
    <row r="911" spans="1:15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4">
        <f>IF(SUMIFS('Daily NSE Equity Cash'!$H:$H,'Daily NSE Equity Cash'!$A:$A,$A911)=0,"",SUMIFS('Daily NSE Equity Cash'!$H:$H,'Daily NSE Equity Cash'!$A:$A,$A911))</f>
        <v>1679.3429000000001</v>
      </c>
      <c r="F911" s="4">
        <f>IF(SUMIFS('Daily BSE Equity Cash'!$H:$H,'Daily BSE Equity Cash'!$A:$A,$A911)=0,"",SUMIFS('Daily BSE Equity Cash'!$H:$H,'Daily BSE Equity Cash'!$A:$A,$A911))</f>
        <v>81.873199999999997</v>
      </c>
      <c r="G911" s="4">
        <f t="shared" si="126"/>
        <v>1761.2161000000001</v>
      </c>
      <c r="H911" s="7">
        <f t="shared" si="127"/>
        <v>0.77819827680226861</v>
      </c>
      <c r="I911" s="7">
        <f t="shared" si="128"/>
        <v>1.2139619906761419</v>
      </c>
      <c r="J911" s="7">
        <f t="shared" si="129"/>
        <v>0.79461861849866833</v>
      </c>
      <c r="K911" s="7">
        <f t="shared" si="132"/>
        <v>0.98710938170209261</v>
      </c>
      <c r="L911" s="7">
        <f t="shared" si="133"/>
        <v>-0.1283436408409393</v>
      </c>
      <c r="M911" s="7">
        <f t="shared" si="134"/>
        <v>0.87553602227279836</v>
      </c>
      <c r="N911" s="7">
        <f t="shared" si="130"/>
        <v>0.95351325711819235</v>
      </c>
      <c r="O911" s="7">
        <f t="shared" si="131"/>
        <v>4.6486742881807631E-2</v>
      </c>
    </row>
    <row r="912" spans="1:15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4">
        <f>IF(SUMIFS('Daily NSE Equity Cash'!$H:$H,'Daily NSE Equity Cash'!$A:$A,$A912)=0,"",SUMIFS('Daily NSE Equity Cash'!$H:$H,'Daily NSE Equity Cash'!$A:$A,$A912))</f>
        <v>965.96889999999996</v>
      </c>
      <c r="F912" s="4">
        <f>IF(SUMIFS('Daily BSE Equity Cash'!$H:$H,'Daily BSE Equity Cash'!$A:$A,$A912)=0,"",SUMIFS('Daily BSE Equity Cash'!$H:$H,'Daily BSE Equity Cash'!$A:$A,$A912))</f>
        <v>81.482600000000005</v>
      </c>
      <c r="G912" s="4">
        <f t="shared" si="126"/>
        <v>1047.4514999999999</v>
      </c>
      <c r="H912" s="7">
        <f t="shared" si="127"/>
        <v>0.56545785444338548</v>
      </c>
      <c r="I912" s="7">
        <f t="shared" si="128"/>
        <v>1.1348630775841291</v>
      </c>
      <c r="J912" s="7">
        <f t="shared" si="129"/>
        <v>0.59862662838535341</v>
      </c>
      <c r="K912" s="7">
        <f t="shared" si="132"/>
        <v>-0.42479353085066784</v>
      </c>
      <c r="L912" s="7">
        <f t="shared" si="133"/>
        <v>-4.7707919074860827E-3</v>
      </c>
      <c r="M912" s="7">
        <f t="shared" si="134"/>
        <v>-0.40526804178090359</v>
      </c>
      <c r="N912" s="7">
        <f t="shared" si="130"/>
        <v>0.92220871324352494</v>
      </c>
      <c r="O912" s="7">
        <f t="shared" si="131"/>
        <v>7.7791286756475134E-2</v>
      </c>
    </row>
    <row r="913" spans="1:15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4">
        <f>IF(SUMIFS('Daily NSE Equity Cash'!$H:$H,'Daily NSE Equity Cash'!$A:$A,$A913)=0,"",SUMIFS('Daily NSE Equity Cash'!$H:$H,'Daily NSE Equity Cash'!$A:$A,$A913))</f>
        <v>1068.4091000000001</v>
      </c>
      <c r="F913" s="4">
        <f>IF(SUMIFS('Daily BSE Equity Cash'!$H:$H,'Daily BSE Equity Cash'!$A:$A,$A913)=0,"",SUMIFS('Daily BSE Equity Cash'!$H:$H,'Daily BSE Equity Cash'!$A:$A,$A913))</f>
        <v>122.4169</v>
      </c>
      <c r="G913" s="4">
        <f t="shared" si="126"/>
        <v>1190.826</v>
      </c>
      <c r="H913" s="7" t="str">
        <f t="shared" si="127"/>
        <v/>
      </c>
      <c r="I913" s="7" t="str">
        <f t="shared" si="128"/>
        <v/>
      </c>
      <c r="J913" s="7" t="str">
        <f t="shared" si="129"/>
        <v/>
      </c>
      <c r="K913" s="7">
        <f t="shared" si="132"/>
        <v>0.10604916990598778</v>
      </c>
      <c r="L913" s="7">
        <f t="shared" si="133"/>
        <v>0.50236860384916526</v>
      </c>
      <c r="M913" s="7">
        <f t="shared" si="134"/>
        <v>0.1368793686390255</v>
      </c>
      <c r="N913" s="7">
        <f t="shared" si="130"/>
        <v>0.89720001074884159</v>
      </c>
      <c r="O913" s="7">
        <f t="shared" si="131"/>
        <v>0.10279998925115844</v>
      </c>
    </row>
    <row r="914" spans="1:15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4">
        <f>IF(SUMIFS('Daily NSE Equity Cash'!$H:$H,'Daily NSE Equity Cash'!$A:$A,$A914)=0,"",SUMIFS('Daily NSE Equity Cash'!$H:$H,'Daily NSE Equity Cash'!$A:$A,$A914))</f>
        <v>1199.2129</v>
      </c>
      <c r="F914" s="4">
        <f>IF(SUMIFS('Daily BSE Equity Cash'!$H:$H,'Daily BSE Equity Cash'!$A:$A,$A914)=0,"",SUMIFS('Daily BSE Equity Cash'!$H:$H,'Daily BSE Equity Cash'!$A:$A,$A914))</f>
        <v>93.476299999999995</v>
      </c>
      <c r="G914" s="4">
        <f t="shared" si="126"/>
        <v>1292.6892</v>
      </c>
      <c r="H914" s="7">
        <f t="shared" si="127"/>
        <v>1.0931342200898575</v>
      </c>
      <c r="I914" s="7">
        <f t="shared" si="128"/>
        <v>1.226474371189024</v>
      </c>
      <c r="J914" s="7">
        <f t="shared" si="129"/>
        <v>1.1022382267089426</v>
      </c>
      <c r="K914" s="7">
        <f t="shared" si="132"/>
        <v>0.12242857160239451</v>
      </c>
      <c r="L914" s="7">
        <f t="shared" si="133"/>
        <v>-0.23641016885740451</v>
      </c>
      <c r="M914" s="7">
        <f t="shared" si="134"/>
        <v>8.5539952940228092E-2</v>
      </c>
      <c r="N914" s="7">
        <f t="shared" si="130"/>
        <v>0.92768849619846749</v>
      </c>
      <c r="O914" s="7">
        <f t="shared" si="131"/>
        <v>7.2311503801532492E-2</v>
      </c>
    </row>
    <row r="915" spans="1:15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4">
        <f>IF(SUMIFS('Daily NSE Equity Cash'!$H:$H,'Daily NSE Equity Cash'!$A:$A,$A915)=0,"",SUMIFS('Daily NSE Equity Cash'!$H:$H,'Daily NSE Equity Cash'!$A:$A,$A915))</f>
        <v>1177.0128</v>
      </c>
      <c r="F915" s="4">
        <f>IF(SUMIFS('Daily BSE Equity Cash'!$H:$H,'Daily BSE Equity Cash'!$A:$A,$A915)=0,"",SUMIFS('Daily BSE Equity Cash'!$H:$H,'Daily BSE Equity Cash'!$A:$A,$A915))</f>
        <v>87.884399999999999</v>
      </c>
      <c r="G915" s="4">
        <f t="shared" si="126"/>
        <v>1264.8971999999999</v>
      </c>
      <c r="H915" s="7">
        <f t="shared" si="127"/>
        <v>1.3196154958878021</v>
      </c>
      <c r="I915" s="7">
        <f t="shared" si="128"/>
        <v>1.2387849824482746</v>
      </c>
      <c r="J915" s="7">
        <f t="shared" si="129"/>
        <v>1.313811228146426</v>
      </c>
      <c r="K915" s="7">
        <f t="shared" si="132"/>
        <v>-1.8512225810779714E-2</v>
      </c>
      <c r="L915" s="7">
        <f t="shared" si="133"/>
        <v>-5.9821580443385036E-2</v>
      </c>
      <c r="M915" s="7">
        <f t="shared" si="134"/>
        <v>-2.149936736533431E-2</v>
      </c>
      <c r="N915" s="7">
        <f t="shared" si="130"/>
        <v>0.93052051977030237</v>
      </c>
      <c r="O915" s="7">
        <f t="shared" si="131"/>
        <v>6.9479480229697729E-2</v>
      </c>
    </row>
    <row r="916" spans="1:15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4">
        <f>IF(SUMIFS('Daily NSE Equity Cash'!$H:$H,'Daily NSE Equity Cash'!$A:$A,$A916)=0,"",SUMIFS('Daily NSE Equity Cash'!$H:$H,'Daily NSE Equity Cash'!$A:$A,$A916))</f>
        <v>1027.0916</v>
      </c>
      <c r="F916" s="4">
        <f>IF(SUMIFS('Daily BSE Equity Cash'!$H:$H,'Daily BSE Equity Cash'!$A:$A,$A916)=0,"",SUMIFS('Daily BSE Equity Cash'!$H:$H,'Daily BSE Equity Cash'!$A:$A,$A916))</f>
        <v>118.4432</v>
      </c>
      <c r="G916" s="4">
        <f t="shared" si="126"/>
        <v>1145.5347999999999</v>
      </c>
      <c r="H916" s="7">
        <f t="shared" si="127"/>
        <v>1.0760065965441918</v>
      </c>
      <c r="I916" s="7">
        <f t="shared" si="128"/>
        <v>2.5716973849271447</v>
      </c>
      <c r="J916" s="7">
        <f t="shared" si="129"/>
        <v>1.169961858703878</v>
      </c>
      <c r="K916" s="7">
        <f t="shared" si="132"/>
        <v>-0.1273743157253685</v>
      </c>
      <c r="L916" s="7">
        <f t="shared" si="133"/>
        <v>0.34771586311108682</v>
      </c>
      <c r="M916" s="7">
        <f t="shared" si="134"/>
        <v>-9.4365297037577456E-2</v>
      </c>
      <c r="N916" s="7">
        <f t="shared" si="130"/>
        <v>0.89660445060246097</v>
      </c>
      <c r="O916" s="7">
        <f t="shared" si="131"/>
        <v>0.10339554939753905</v>
      </c>
    </row>
    <row r="917" spans="1:15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4">
        <f>IF(SUMIFS('Daily NSE Equity Cash'!$H:$H,'Daily NSE Equity Cash'!$A:$A,$A917)=0,"",SUMIFS('Daily NSE Equity Cash'!$H:$H,'Daily NSE Equity Cash'!$A:$A,$A917))</f>
        <v>1060.9621</v>
      </c>
      <c r="F917" s="4">
        <f>IF(SUMIFS('Daily BSE Equity Cash'!$H:$H,'Daily BSE Equity Cash'!$A:$A,$A917)=0,"",SUMIFS('Daily BSE Equity Cash'!$H:$H,'Daily BSE Equity Cash'!$A:$A,$A917))</f>
        <v>146.27170000000001</v>
      </c>
      <c r="G917" s="4">
        <f t="shared" si="126"/>
        <v>1207.2338</v>
      </c>
      <c r="H917" s="7">
        <f t="shared" si="127"/>
        <v>1.0619511146594607</v>
      </c>
      <c r="I917" s="7">
        <f t="shared" si="128"/>
        <v>1.7195833007961392</v>
      </c>
      <c r="J917" s="7">
        <f t="shared" si="129"/>
        <v>1.1241872202536776</v>
      </c>
      <c r="K917" s="7">
        <f t="shared" si="132"/>
        <v>3.2977097661007093E-2</v>
      </c>
      <c r="L917" s="7">
        <f t="shared" si="133"/>
        <v>0.23495228092452747</v>
      </c>
      <c r="M917" s="7">
        <f t="shared" si="134"/>
        <v>5.3860432699207372E-2</v>
      </c>
      <c r="N917" s="7">
        <f t="shared" si="130"/>
        <v>0.87883730558239836</v>
      </c>
      <c r="O917" s="7">
        <f t="shared" si="131"/>
        <v>0.12116269441760164</v>
      </c>
    </row>
    <row r="918" spans="1:15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4">
        <f>IF(SUMIFS('Daily NSE Equity Cash'!$H:$H,'Daily NSE Equity Cash'!$A:$A,$A918)=0,"",SUMIFS('Daily NSE Equity Cash'!$H:$H,'Daily NSE Equity Cash'!$A:$A,$A918))</f>
        <v>876.52850000000001</v>
      </c>
      <c r="F918" s="4">
        <f>IF(SUMIFS('Daily BSE Equity Cash'!$H:$H,'Daily BSE Equity Cash'!$A:$A,$A918)=0,"",SUMIFS('Daily BSE Equity Cash'!$H:$H,'Daily BSE Equity Cash'!$A:$A,$A918))</f>
        <v>79.458600000000004</v>
      </c>
      <c r="G918" s="4">
        <f t="shared" si="126"/>
        <v>955.98710000000005</v>
      </c>
      <c r="H918" s="7" t="str">
        <f t="shared" si="127"/>
        <v/>
      </c>
      <c r="I918" s="7" t="str">
        <f t="shared" si="128"/>
        <v/>
      </c>
      <c r="J918" s="7" t="str">
        <f t="shared" si="129"/>
        <v/>
      </c>
      <c r="K918" s="7">
        <f t="shared" si="132"/>
        <v>-0.17383618133013423</v>
      </c>
      <c r="L918" s="7">
        <f t="shared" si="133"/>
        <v>-0.45677393508108544</v>
      </c>
      <c r="M918" s="7">
        <f t="shared" si="134"/>
        <v>-0.20811768192706326</v>
      </c>
      <c r="N918" s="7">
        <f t="shared" si="130"/>
        <v>0.91688318806812352</v>
      </c>
      <c r="O918" s="7">
        <f t="shared" si="131"/>
        <v>8.3116811931876491E-2</v>
      </c>
    </row>
    <row r="919" spans="1:15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4">
        <f>IF(SUMIFS('Daily NSE Equity Cash'!$H:$H,'Daily NSE Equity Cash'!$A:$A,$A919)=0,"",SUMIFS('Daily NSE Equity Cash'!$H:$H,'Daily NSE Equity Cash'!$A:$A,$A919))</f>
        <v>1029.6344999999999</v>
      </c>
      <c r="F919" s="4">
        <f>IF(SUMIFS('Daily BSE Equity Cash'!$H:$H,'Daily BSE Equity Cash'!$A:$A,$A919)=0,"",SUMIFS('Daily BSE Equity Cash'!$H:$H,'Daily BSE Equity Cash'!$A:$A,$A919))</f>
        <v>110.2277</v>
      </c>
      <c r="G919" s="4">
        <f t="shared" si="126"/>
        <v>1139.8621999999998</v>
      </c>
      <c r="H919" s="7">
        <f t="shared" si="127"/>
        <v>1.0910147864884676</v>
      </c>
      <c r="I919" s="7">
        <f t="shared" si="128"/>
        <v>2.2297750273963772</v>
      </c>
      <c r="J919" s="7">
        <f t="shared" si="129"/>
        <v>1.1648258357997601</v>
      </c>
      <c r="K919" s="7">
        <f t="shared" si="132"/>
        <v>0.17467315666290362</v>
      </c>
      <c r="L919" s="7">
        <f t="shared" si="133"/>
        <v>0.38723435852129273</v>
      </c>
      <c r="M919" s="7">
        <f t="shared" si="134"/>
        <v>0.19234056610178074</v>
      </c>
      <c r="N919" s="7">
        <f t="shared" si="130"/>
        <v>0.9032973459423429</v>
      </c>
      <c r="O919" s="7">
        <f t="shared" si="131"/>
        <v>9.6702654057657156E-2</v>
      </c>
    </row>
    <row r="920" spans="1:15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4">
        <f>IF(SUMIFS('Daily NSE Equity Cash'!$H:$H,'Daily NSE Equity Cash'!$A:$A,$A920)=0,"",SUMIFS('Daily NSE Equity Cash'!$H:$H,'Daily NSE Equity Cash'!$A:$A,$A920))</f>
        <v>1023.4734999999999</v>
      </c>
      <c r="F920" s="4">
        <f>IF(SUMIFS('Daily BSE Equity Cash'!$H:$H,'Daily BSE Equity Cash'!$A:$A,$A920)=0,"",SUMIFS('Daily BSE Equity Cash'!$H:$H,'Daily BSE Equity Cash'!$A:$A,$A920))</f>
        <v>75.833799999999997</v>
      </c>
      <c r="G920" s="4">
        <f t="shared" si="126"/>
        <v>1099.3072999999999</v>
      </c>
      <c r="H920" s="7">
        <f t="shared" si="127"/>
        <v>0.87682070992787753</v>
      </c>
      <c r="I920" s="7">
        <f t="shared" si="128"/>
        <v>0.59647416464564795</v>
      </c>
      <c r="J920" s="7">
        <f t="shared" si="129"/>
        <v>0.85435756796538853</v>
      </c>
      <c r="K920" s="7">
        <f t="shared" si="132"/>
        <v>-5.9836767318888207E-3</v>
      </c>
      <c r="L920" s="7">
        <f t="shared" si="133"/>
        <v>-0.31202592451806577</v>
      </c>
      <c r="M920" s="7">
        <f t="shared" si="134"/>
        <v>-3.5578774346583186E-2</v>
      </c>
      <c r="N920" s="7">
        <f t="shared" si="130"/>
        <v>0.93101674117874045</v>
      </c>
      <c r="O920" s="7">
        <f t="shared" si="131"/>
        <v>6.8983258821259538E-2</v>
      </c>
    </row>
    <row r="921" spans="1:15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4">
        <f>IF(SUMIFS('Daily NSE Equity Cash'!$H:$H,'Daily NSE Equity Cash'!$A:$A,$A921)=0,"",SUMIFS('Daily NSE Equity Cash'!$H:$H,'Daily NSE Equity Cash'!$A:$A,$A921))</f>
        <v>1159.7176999999999</v>
      </c>
      <c r="F921" s="4">
        <f>IF(SUMIFS('Daily BSE Equity Cash'!$H:$H,'Daily BSE Equity Cash'!$A:$A,$A921)=0,"",SUMIFS('Daily BSE Equity Cash'!$H:$H,'Daily BSE Equity Cash'!$A:$A,$A921))</f>
        <v>100.6956</v>
      </c>
      <c r="G921" s="4">
        <f t="shared" si="126"/>
        <v>1260.4132999999999</v>
      </c>
      <c r="H921" s="7">
        <f t="shared" si="127"/>
        <v>0.98981874172351336</v>
      </c>
      <c r="I921" s="7">
        <f t="shared" si="128"/>
        <v>1.3464783809290783</v>
      </c>
      <c r="J921" s="7">
        <f t="shared" si="129"/>
        <v>1.0142786300940343</v>
      </c>
      <c r="K921" s="7">
        <f t="shared" si="132"/>
        <v>0.13311942126493737</v>
      </c>
      <c r="L921" s="7">
        <f t="shared" si="133"/>
        <v>0.32784589457471469</v>
      </c>
      <c r="M921" s="7">
        <f t="shared" si="134"/>
        <v>0.14655228797261688</v>
      </c>
      <c r="N921" s="7">
        <f t="shared" si="130"/>
        <v>0.92010906263842185</v>
      </c>
      <c r="O921" s="7">
        <f t="shared" si="131"/>
        <v>7.9890937361578152E-2</v>
      </c>
    </row>
    <row r="922" spans="1:15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4">
        <f>IF(SUMIFS('Daily NSE Equity Cash'!$H:$H,'Daily NSE Equity Cash'!$A:$A,$A922)=0,"",SUMIFS('Daily NSE Equity Cash'!$H:$H,'Daily NSE Equity Cash'!$A:$A,$A922))</f>
        <v>1359.6206999999999</v>
      </c>
      <c r="F922" s="4">
        <f>IF(SUMIFS('Daily BSE Equity Cash'!$H:$H,'Daily BSE Equity Cash'!$A:$A,$A922)=0,"",SUMIFS('Daily BSE Equity Cash'!$H:$H,'Daily BSE Equity Cash'!$A:$A,$A922))</f>
        <v>104.7278</v>
      </c>
      <c r="G922" s="4">
        <f t="shared" si="126"/>
        <v>1464.3485000000001</v>
      </c>
      <c r="H922" s="7">
        <f t="shared" si="127"/>
        <v>1.5061495209891436</v>
      </c>
      <c r="I922" s="7">
        <f t="shared" si="128"/>
        <v>0.97490816380409284</v>
      </c>
      <c r="J922" s="7">
        <f t="shared" si="129"/>
        <v>1.4588459607450686</v>
      </c>
      <c r="K922" s="7">
        <f t="shared" si="132"/>
        <v>0.17237212124985257</v>
      </c>
      <c r="L922" s="7">
        <f t="shared" si="133"/>
        <v>4.0043457708181851E-2</v>
      </c>
      <c r="M922" s="7">
        <f t="shared" si="134"/>
        <v>0.16180026027970351</v>
      </c>
      <c r="N922" s="7">
        <f t="shared" si="130"/>
        <v>0.92848164217739149</v>
      </c>
      <c r="O922" s="7">
        <f t="shared" si="131"/>
        <v>7.1518357822608486E-2</v>
      </c>
    </row>
    <row r="923" spans="1:15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4">
        <f>IF(SUMIFS('Daily NSE Equity Cash'!$H:$H,'Daily NSE Equity Cash'!$A:$A,$A923)=0,"",SUMIFS('Daily NSE Equity Cash'!$H:$H,'Daily NSE Equity Cash'!$A:$A,$A923))</f>
        <v>978.53830000000005</v>
      </c>
      <c r="F923" s="4">
        <f>IF(SUMIFS('Daily BSE Equity Cash'!$H:$H,'Daily BSE Equity Cash'!$A:$A,$A923)=0,"",SUMIFS('Daily BSE Equity Cash'!$H:$H,'Daily BSE Equity Cash'!$A:$A,$A923))</f>
        <v>85.778800000000004</v>
      </c>
      <c r="G923" s="4">
        <f t="shared" si="126"/>
        <v>1064.3171</v>
      </c>
      <c r="H923" s="7" t="str">
        <f t="shared" si="127"/>
        <v/>
      </c>
      <c r="I923" s="7" t="str">
        <f t="shared" si="128"/>
        <v/>
      </c>
      <c r="J923" s="7" t="str">
        <f t="shared" si="129"/>
        <v/>
      </c>
      <c r="K923" s="7">
        <f t="shared" si="132"/>
        <v>-0.28028581794907936</v>
      </c>
      <c r="L923" s="7">
        <f t="shared" si="133"/>
        <v>-0.1809357209833492</v>
      </c>
      <c r="M923" s="7">
        <f t="shared" si="134"/>
        <v>-0.27318046216457359</v>
      </c>
      <c r="N923" s="7">
        <f t="shared" si="130"/>
        <v>0.91940484654432408</v>
      </c>
      <c r="O923" s="7">
        <f t="shared" si="131"/>
        <v>8.0595153455675944E-2</v>
      </c>
    </row>
    <row r="924" spans="1:15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4">
        <f>IF(SUMIFS('Daily NSE Equity Cash'!$H:$H,'Daily NSE Equity Cash'!$A:$A,$A924)=0,"",SUMIFS('Daily NSE Equity Cash'!$H:$H,'Daily NSE Equity Cash'!$A:$A,$A924))</f>
        <v>943.06679999999994</v>
      </c>
      <c r="F924" s="4">
        <f>IF(SUMIFS('Daily BSE Equity Cash'!$H:$H,'Daily BSE Equity Cash'!$A:$A,$A924)=0,"",SUMIFS('Daily BSE Equity Cash'!$H:$H,'Daily BSE Equity Cash'!$A:$A,$A924))</f>
        <v>84.921000000000006</v>
      </c>
      <c r="G924" s="4">
        <f t="shared" si="126"/>
        <v>1027.9877999999999</v>
      </c>
      <c r="H924" s="7">
        <f t="shared" si="127"/>
        <v>0.99826165668948574</v>
      </c>
      <c r="I924" s="7">
        <f t="shared" si="128"/>
        <v>1.4656305256097957</v>
      </c>
      <c r="J924" s="7">
        <f t="shared" si="129"/>
        <v>1.0300498335754082</v>
      </c>
      <c r="K924" s="7">
        <f t="shared" si="132"/>
        <v>-3.6249475365450756E-2</v>
      </c>
      <c r="L924" s="7">
        <f t="shared" si="133"/>
        <v>-1.0000139894705939E-2</v>
      </c>
      <c r="M924" s="7">
        <f t="shared" si="134"/>
        <v>-3.4133906145076609E-2</v>
      </c>
      <c r="N924" s="7">
        <f t="shared" si="130"/>
        <v>0.91739104296763063</v>
      </c>
      <c r="O924" s="7">
        <f t="shared" si="131"/>
        <v>8.2608957032369465E-2</v>
      </c>
    </row>
    <row r="925" spans="1:15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4">
        <f>IF(SUMIFS('Daily NSE Equity Cash'!$H:$H,'Daily NSE Equity Cash'!$A:$A,$A925)=0,"",SUMIFS('Daily NSE Equity Cash'!$H:$H,'Daily NSE Equity Cash'!$A:$A,$A925))</f>
        <v>1273.5125</v>
      </c>
      <c r="F925" s="4">
        <f>IF(SUMIFS('Daily BSE Equity Cash'!$H:$H,'Daily BSE Equity Cash'!$A:$A,$A925)=0,"",SUMIFS('Daily BSE Equity Cash'!$H:$H,'Daily BSE Equity Cash'!$A:$A,$A925))</f>
        <v>189.18709999999999</v>
      </c>
      <c r="G925" s="4">
        <f t="shared" si="126"/>
        <v>1462.6995999999999</v>
      </c>
      <c r="H925" s="7">
        <f t="shared" si="127"/>
        <v>1.7336695703168687</v>
      </c>
      <c r="I925" s="7">
        <f t="shared" si="128"/>
        <v>3.3248202631187915</v>
      </c>
      <c r="J925" s="7">
        <f t="shared" si="129"/>
        <v>1.8702535917916254</v>
      </c>
      <c r="K925" s="7">
        <f t="shared" si="132"/>
        <v>0.35039479705997501</v>
      </c>
      <c r="L925" s="7">
        <f t="shared" si="133"/>
        <v>1.2278011328175595</v>
      </c>
      <c r="M925" s="7">
        <f t="shared" si="134"/>
        <v>0.42287641935050213</v>
      </c>
      <c r="N925" s="7">
        <f t="shared" si="130"/>
        <v>0.87065895143473071</v>
      </c>
      <c r="O925" s="7">
        <f t="shared" si="131"/>
        <v>0.12934104856526932</v>
      </c>
    </row>
    <row r="926" spans="1:15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4">
        <f>IF(SUMIFS('Daily NSE Equity Cash'!$H:$H,'Daily NSE Equity Cash'!$A:$A,$A926)=0,"",SUMIFS('Daily NSE Equity Cash'!$H:$H,'Daily NSE Equity Cash'!$A:$A,$A926))</f>
        <v>981.21749999999997</v>
      </c>
      <c r="F926" s="4">
        <f>IF(SUMIFS('Daily BSE Equity Cash'!$H:$H,'Daily BSE Equity Cash'!$A:$A,$A926)=0,"",SUMIFS('Daily BSE Equity Cash'!$H:$H,'Daily BSE Equity Cash'!$A:$A,$A926))</f>
        <v>78.891400000000004</v>
      </c>
      <c r="G926" s="4">
        <f t="shared" si="126"/>
        <v>1060.1088999999999</v>
      </c>
      <c r="H926" s="7">
        <f t="shared" si="127"/>
        <v>0.67756844449505116</v>
      </c>
      <c r="I926" s="7">
        <f t="shared" si="128"/>
        <v>0.81200833293138652</v>
      </c>
      <c r="J926" s="7">
        <f t="shared" si="129"/>
        <v>0.68688235220172023</v>
      </c>
      <c r="K926" s="7">
        <f t="shared" si="132"/>
        <v>-0.229518752269805</v>
      </c>
      <c r="L926" s="7">
        <f t="shared" si="133"/>
        <v>-0.58299799510643169</v>
      </c>
      <c r="M926" s="7">
        <f t="shared" si="134"/>
        <v>-0.27523812818435167</v>
      </c>
      <c r="N926" s="7">
        <f t="shared" si="130"/>
        <v>0.92558179636073235</v>
      </c>
      <c r="O926" s="7">
        <f t="shared" si="131"/>
        <v>7.4418203639267627E-2</v>
      </c>
    </row>
    <row r="927" spans="1:15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4">
        <f>IF(SUMIFS('Daily NSE Equity Cash'!$H:$H,'Daily NSE Equity Cash'!$A:$A,$A927)=0,"",SUMIFS('Daily NSE Equity Cash'!$H:$H,'Daily NSE Equity Cash'!$A:$A,$A927))</f>
        <v>926.72109999999998</v>
      </c>
      <c r="F927" s="4">
        <f>IF(SUMIFS('Daily BSE Equity Cash'!$H:$H,'Daily BSE Equity Cash'!$A:$A,$A927)=0,"",SUMIFS('Daily BSE Equity Cash'!$H:$H,'Daily BSE Equity Cash'!$A:$A,$A927))</f>
        <v>86.105400000000003</v>
      </c>
      <c r="G927" s="4">
        <f t="shared" si="126"/>
        <v>1012.8265</v>
      </c>
      <c r="H927" s="7">
        <f t="shared" si="127"/>
        <v>0.72070239897625443</v>
      </c>
      <c r="I927" s="7">
        <f t="shared" si="128"/>
        <v>0.98034043159974349</v>
      </c>
      <c r="J927" s="7">
        <f t="shared" si="129"/>
        <v>0.74009774049203547</v>
      </c>
      <c r="K927" s="7">
        <f t="shared" si="132"/>
        <v>-5.5539572011302329E-2</v>
      </c>
      <c r="L927" s="7">
        <f t="shared" si="133"/>
        <v>9.1442159728436723E-2</v>
      </c>
      <c r="M927" s="7">
        <f t="shared" si="134"/>
        <v>-4.4601455567442105E-2</v>
      </c>
      <c r="N927" s="7">
        <f t="shared" si="130"/>
        <v>0.91498504432891514</v>
      </c>
      <c r="O927" s="7">
        <f t="shared" si="131"/>
        <v>8.501495567108483E-2</v>
      </c>
    </row>
    <row r="928" spans="1:15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4">
        <f>IF(SUMIFS('Daily NSE Equity Cash'!$H:$H,'Daily NSE Equity Cash'!$A:$A,$A928)=0,"",SUMIFS('Daily NSE Equity Cash'!$H:$H,'Daily NSE Equity Cash'!$A:$A,$A928))</f>
        <v>807.64110000000005</v>
      </c>
      <c r="F928" s="4">
        <f>IF(SUMIFS('Daily BSE Equity Cash'!$H:$H,'Daily BSE Equity Cash'!$A:$A,$A928)=0,"",SUMIFS('Daily BSE Equity Cash'!$H:$H,'Daily BSE Equity Cash'!$A:$A,$A928))</f>
        <v>64.794700000000006</v>
      </c>
      <c r="G928" s="4">
        <f t="shared" si="126"/>
        <v>872.43580000000009</v>
      </c>
      <c r="H928" s="7">
        <f t="shared" si="127"/>
        <v>0.73734791719235138</v>
      </c>
      <c r="I928" s="7">
        <f t="shared" si="128"/>
        <v>0.84506717391180541</v>
      </c>
      <c r="J928" s="7">
        <f t="shared" si="129"/>
        <v>0.74491382691461161</v>
      </c>
      <c r="K928" s="7">
        <f t="shared" si="132"/>
        <v>-0.12849604913495538</v>
      </c>
      <c r="L928" s="7">
        <f t="shared" si="133"/>
        <v>-0.24749551131520198</v>
      </c>
      <c r="M928" s="7">
        <f t="shared" si="134"/>
        <v>-0.13861278313709202</v>
      </c>
      <c r="N928" s="7">
        <f t="shared" si="130"/>
        <v>0.92573126870768019</v>
      </c>
      <c r="O928" s="7">
        <f t="shared" si="131"/>
        <v>7.4268731292319728E-2</v>
      </c>
    </row>
    <row r="929" spans="1:15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4">
        <f>IF(SUMIFS('Daily NSE Equity Cash'!$H:$H,'Daily NSE Equity Cash'!$A:$A,$A929)=0,"",SUMIFS('Daily NSE Equity Cash'!$H:$H,'Daily NSE Equity Cash'!$A:$A,$A929))</f>
        <v>871.61450000000002</v>
      </c>
      <c r="F929" s="4">
        <f>IF(SUMIFS('Daily BSE Equity Cash'!$H:$H,'Daily BSE Equity Cash'!$A:$A,$A929)=0,"",SUMIFS('Daily BSE Equity Cash'!$H:$H,'Daily BSE Equity Cash'!$A:$A,$A929))</f>
        <v>68.860399999999998</v>
      </c>
      <c r="G929" s="4">
        <f t="shared" si="126"/>
        <v>940.47490000000005</v>
      </c>
      <c r="H929" s="7">
        <f t="shared" si="127"/>
        <v>1.014172690481852</v>
      </c>
      <c r="I929" s="7">
        <f t="shared" si="128"/>
        <v>1.1679916126980729</v>
      </c>
      <c r="J929" s="7">
        <f t="shared" si="129"/>
        <v>1.0246906909105</v>
      </c>
      <c r="K929" s="7">
        <f t="shared" si="132"/>
        <v>7.9210183830416669E-2</v>
      </c>
      <c r="L929" s="7">
        <f t="shared" si="133"/>
        <v>6.2747416069524053E-2</v>
      </c>
      <c r="M929" s="7">
        <f t="shared" si="134"/>
        <v>7.7987514955255133E-2</v>
      </c>
      <c r="N929" s="7">
        <f t="shared" si="130"/>
        <v>0.92678124636819115</v>
      </c>
      <c r="O929" s="7">
        <f t="shared" si="131"/>
        <v>7.3218753631808769E-2</v>
      </c>
    </row>
    <row r="930" spans="1:15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4">
        <f>IF(SUMIFS('Daily NSE Equity Cash'!$H:$H,'Daily NSE Equity Cash'!$A:$A,$A930)=0,"",SUMIFS('Daily NSE Equity Cash'!$H:$H,'Daily NSE Equity Cash'!$A:$A,$A930))</f>
        <v>1105.1111000000001</v>
      </c>
      <c r="F930" s="4">
        <f>IF(SUMIFS('Daily BSE Equity Cash'!$H:$H,'Daily BSE Equity Cash'!$A:$A,$A930)=0,"",SUMIFS('Daily BSE Equity Cash'!$H:$H,'Daily BSE Equity Cash'!$A:$A,$A930))</f>
        <v>69.430499999999995</v>
      </c>
      <c r="G930" s="4">
        <f t="shared" si="126"/>
        <v>1174.5416</v>
      </c>
      <c r="H930" s="7">
        <f t="shared" si="127"/>
        <v>1.5545340501336429</v>
      </c>
      <c r="I930" s="7">
        <f t="shared" si="128"/>
        <v>1.3190809250871776</v>
      </c>
      <c r="J930" s="7">
        <f t="shared" si="129"/>
        <v>1.5392941034036576</v>
      </c>
      <c r="K930" s="7">
        <f t="shared" si="132"/>
        <v>0.26788976089773642</v>
      </c>
      <c r="L930" s="7">
        <f t="shared" si="133"/>
        <v>8.279068956904112E-3</v>
      </c>
      <c r="M930" s="7">
        <f t="shared" si="134"/>
        <v>0.24888138960433714</v>
      </c>
      <c r="N930" s="7">
        <f t="shared" si="130"/>
        <v>0.94088715120860777</v>
      </c>
      <c r="O930" s="7">
        <f t="shared" si="131"/>
        <v>5.9112848791392315E-2</v>
      </c>
    </row>
    <row r="931" spans="1:15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4">
        <f>IF(SUMIFS('Daily NSE Equity Cash'!$H:$H,'Daily NSE Equity Cash'!$A:$A,$A931)=0,"",SUMIFS('Daily NSE Equity Cash'!$H:$H,'Daily NSE Equity Cash'!$A:$A,$A931))</f>
        <v>960.88699999999994</v>
      </c>
      <c r="F931" s="4">
        <f>IF(SUMIFS('Daily BSE Equity Cash'!$H:$H,'Daily BSE Equity Cash'!$A:$A,$A931)=0,"",SUMIFS('Daily BSE Equity Cash'!$H:$H,'Daily BSE Equity Cash'!$A:$A,$A931))</f>
        <v>89.965500000000006</v>
      </c>
      <c r="G931" s="4">
        <f t="shared" si="126"/>
        <v>1050.8525</v>
      </c>
      <c r="H931" s="7">
        <f t="shared" si="127"/>
        <v>0.94094510297106582</v>
      </c>
      <c r="I931" s="7">
        <f t="shared" si="128"/>
        <v>2.2886454358029567</v>
      </c>
      <c r="J931" s="7">
        <f t="shared" si="129"/>
        <v>1.0115174100116806</v>
      </c>
      <c r="K931" s="7">
        <f t="shared" si="132"/>
        <v>-0.130506426005494</v>
      </c>
      <c r="L931" s="7">
        <f t="shared" si="133"/>
        <v>0.29576338928856938</v>
      </c>
      <c r="M931" s="7">
        <f t="shared" si="134"/>
        <v>-0.10530840286968124</v>
      </c>
      <c r="N931" s="7">
        <f t="shared" si="130"/>
        <v>0.91438808015397022</v>
      </c>
      <c r="O931" s="7">
        <f t="shared" si="131"/>
        <v>8.5611919846029783E-2</v>
      </c>
    </row>
    <row r="932" spans="1:15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4">
        <f>IF(SUMIFS('Daily NSE Equity Cash'!$H:$H,'Daily NSE Equity Cash'!$A:$A,$A932)=0,"",SUMIFS('Daily NSE Equity Cash'!$H:$H,'Daily NSE Equity Cash'!$A:$A,$A932))</f>
        <v>772.72130000000004</v>
      </c>
      <c r="F932" s="4">
        <f>IF(SUMIFS('Daily BSE Equity Cash'!$H:$H,'Daily BSE Equity Cash'!$A:$A,$A932)=0,"",SUMIFS('Daily BSE Equity Cash'!$H:$H,'Daily BSE Equity Cash'!$A:$A,$A932))</f>
        <v>69.782600000000002</v>
      </c>
      <c r="G932" s="4">
        <f t="shared" si="126"/>
        <v>842.50390000000004</v>
      </c>
      <c r="H932" s="7" t="str">
        <f t="shared" si="127"/>
        <v/>
      </c>
      <c r="I932" s="7" t="str">
        <f t="shared" si="128"/>
        <v/>
      </c>
      <c r="J932" s="7" t="str">
        <f t="shared" si="129"/>
        <v/>
      </c>
      <c r="K932" s="7">
        <f t="shared" si="132"/>
        <v>-0.19582500335627384</v>
      </c>
      <c r="L932" s="7">
        <f t="shared" si="133"/>
        <v>-0.22434044161372968</v>
      </c>
      <c r="M932" s="7">
        <f t="shared" si="134"/>
        <v>-0.1982662647707456</v>
      </c>
      <c r="N932" s="7">
        <f t="shared" si="130"/>
        <v>0.91717237154629194</v>
      </c>
      <c r="O932" s="7">
        <f t="shared" si="131"/>
        <v>8.2827628453708044E-2</v>
      </c>
    </row>
    <row r="933" spans="1:15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4">
        <f>IF(SUMIFS('Daily NSE Equity Cash'!$H:$H,'Daily NSE Equity Cash'!$A:$A,$A933)=0,"",SUMIFS('Daily NSE Equity Cash'!$H:$H,'Daily NSE Equity Cash'!$A:$A,$A933))</f>
        <v>986.88350000000003</v>
      </c>
      <c r="F933" s="4">
        <f>IF(SUMIFS('Daily BSE Equity Cash'!$H:$H,'Daily BSE Equity Cash'!$A:$A,$A933)=0,"",SUMIFS('Daily BSE Equity Cash'!$H:$H,'Daily BSE Equity Cash'!$A:$A,$A933))</f>
        <v>79.439400000000006</v>
      </c>
      <c r="G933" s="4">
        <f t="shared" si="126"/>
        <v>1066.3229000000001</v>
      </c>
      <c r="H933" s="7">
        <f t="shared" si="127"/>
        <v>1.4862302762862973</v>
      </c>
      <c r="I933" s="7">
        <f t="shared" si="128"/>
        <v>1.3397078877379416</v>
      </c>
      <c r="J933" s="7">
        <f t="shared" si="129"/>
        <v>1.4746848633208662</v>
      </c>
      <c r="K933" s="7">
        <f t="shared" si="132"/>
        <v>0.27715322458433578</v>
      </c>
      <c r="L933" s="7">
        <f t="shared" si="133"/>
        <v>0.13838406708835738</v>
      </c>
      <c r="M933" s="7">
        <f t="shared" si="134"/>
        <v>0.26565930436642504</v>
      </c>
      <c r="N933" s="7">
        <f t="shared" si="130"/>
        <v>0.92550155304739301</v>
      </c>
      <c r="O933" s="7">
        <f t="shared" si="131"/>
        <v>7.4498446952606948E-2</v>
      </c>
    </row>
    <row r="934" spans="1:15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4">
        <f>IF(SUMIFS('Daily NSE Equity Cash'!$H:$H,'Daily NSE Equity Cash'!$A:$A,$A934)=0,"",SUMIFS('Daily NSE Equity Cash'!$H:$H,'Daily NSE Equity Cash'!$A:$A,$A934))</f>
        <v>1080.2052000000001</v>
      </c>
      <c r="F934" s="4">
        <f>IF(SUMIFS('Daily BSE Equity Cash'!$H:$H,'Daily BSE Equity Cash'!$A:$A,$A934)=0,"",SUMIFS('Daily BSE Equity Cash'!$H:$H,'Daily BSE Equity Cash'!$A:$A,$A934))</f>
        <v>82.901799999999994</v>
      </c>
      <c r="G934" s="4">
        <f t="shared" si="126"/>
        <v>1163.1070000000002</v>
      </c>
      <c r="H934" s="7">
        <f t="shared" si="127"/>
        <v>1.5562461367786251</v>
      </c>
      <c r="I934" s="7">
        <f t="shared" si="128"/>
        <v>1.8858595950137325</v>
      </c>
      <c r="J934" s="7">
        <f t="shared" si="129"/>
        <v>1.5772271631150518</v>
      </c>
      <c r="K934" s="7">
        <f t="shared" si="132"/>
        <v>9.4562022771684795E-2</v>
      </c>
      <c r="L934" s="7">
        <f t="shared" si="133"/>
        <v>4.3585424864739597E-2</v>
      </c>
      <c r="M934" s="7">
        <f t="shared" si="134"/>
        <v>9.0764345396689983E-2</v>
      </c>
      <c r="N934" s="7">
        <f t="shared" si="130"/>
        <v>0.92872384054089596</v>
      </c>
      <c r="O934" s="7">
        <f t="shared" si="131"/>
        <v>7.1276159459103913E-2</v>
      </c>
    </row>
    <row r="935" spans="1:15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4">
        <f>IF(SUMIFS('Daily NSE Equity Cash'!$H:$H,'Daily NSE Equity Cash'!$A:$A,$A935)=0,"",SUMIFS('Daily NSE Equity Cash'!$H:$H,'Daily NSE Equity Cash'!$A:$A,$A935))</f>
        <v>1092.8751999999999</v>
      </c>
      <c r="F935" s="4">
        <f>IF(SUMIFS('Daily BSE Equity Cash'!$H:$H,'Daily BSE Equity Cash'!$A:$A,$A935)=0,"",SUMIFS('Daily BSE Equity Cash'!$H:$H,'Daily BSE Equity Cash'!$A:$A,$A935))</f>
        <v>80.829400000000007</v>
      </c>
      <c r="G935" s="4">
        <f t="shared" si="126"/>
        <v>1173.7046</v>
      </c>
      <c r="H935" s="7">
        <f t="shared" si="127"/>
        <v>1.3521560305363227</v>
      </c>
      <c r="I935" s="7">
        <f t="shared" si="128"/>
        <v>1.619958899758196</v>
      </c>
      <c r="J935" s="7">
        <f t="shared" si="129"/>
        <v>1.3688310126132643</v>
      </c>
      <c r="K935" s="7">
        <f t="shared" si="132"/>
        <v>1.1729252923425859E-2</v>
      </c>
      <c r="L935" s="7">
        <f t="shared" si="133"/>
        <v>-2.4998250942681488E-2</v>
      </c>
      <c r="M935" s="7">
        <f t="shared" si="134"/>
        <v>9.1114575013302446E-3</v>
      </c>
      <c r="N935" s="7">
        <f t="shared" si="130"/>
        <v>0.93113309771470598</v>
      </c>
      <c r="O935" s="7">
        <f t="shared" si="131"/>
        <v>6.8866902285293935E-2</v>
      </c>
    </row>
    <row r="936" spans="1:15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4">
        <f>IF(SUMIFS('Daily NSE Equity Cash'!$H:$H,'Daily NSE Equity Cash'!$A:$A,$A936)=0,"",SUMIFS('Daily NSE Equity Cash'!$H:$H,'Daily NSE Equity Cash'!$A:$A,$A936))</f>
        <v>1083.2867000000001</v>
      </c>
      <c r="F936" s="4">
        <f>IF(SUMIFS('Daily BSE Equity Cash'!$H:$H,'Daily BSE Equity Cash'!$A:$A,$A936)=0,"",SUMIFS('Daily BSE Equity Cash'!$H:$H,'Daily BSE Equity Cash'!$A:$A,$A936))</f>
        <v>98.309299999999993</v>
      </c>
      <c r="G936" s="4">
        <f t="shared" si="126"/>
        <v>1181.596</v>
      </c>
      <c r="H936" s="7">
        <f t="shared" si="127"/>
        <v>1.1612079850562993</v>
      </c>
      <c r="I936" s="7">
        <f t="shared" si="128"/>
        <v>1.9105224826214129</v>
      </c>
      <c r="J936" s="7">
        <f t="shared" si="129"/>
        <v>1.2085142850200508</v>
      </c>
      <c r="K936" s="7">
        <f t="shared" si="132"/>
        <v>-8.7736458838116871E-3</v>
      </c>
      <c r="L936" s="7">
        <f t="shared" si="133"/>
        <v>0.21625670857386026</v>
      </c>
      <c r="M936" s="7">
        <f t="shared" si="134"/>
        <v>6.7234975478498438E-3</v>
      </c>
      <c r="N936" s="7">
        <f t="shared" si="130"/>
        <v>0.91679956601071777</v>
      </c>
      <c r="O936" s="7">
        <f t="shared" si="131"/>
        <v>8.3200433989282285E-2</v>
      </c>
    </row>
    <row r="937" spans="1:15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4">
        <f>IF(SUMIFS('Daily NSE Equity Cash'!$H:$H,'Daily NSE Equity Cash'!$A:$A,$A937)=0,"",SUMIFS('Daily NSE Equity Cash'!$H:$H,'Daily NSE Equity Cash'!$A:$A,$A937))</f>
        <v>928.93769999999995</v>
      </c>
      <c r="F937" s="4">
        <f>IF(SUMIFS('Daily BSE Equity Cash'!$H:$H,'Daily BSE Equity Cash'!$A:$A,$A937)=0,"",SUMIFS('Daily BSE Equity Cash'!$H:$H,'Daily BSE Equity Cash'!$A:$A,$A937))</f>
        <v>90.223699999999994</v>
      </c>
      <c r="G937" s="4">
        <f t="shared" si="126"/>
        <v>1019.1614</v>
      </c>
      <c r="H937" s="7" t="str">
        <f t="shared" si="127"/>
        <v/>
      </c>
      <c r="I937" s="7" t="str">
        <f t="shared" si="128"/>
        <v/>
      </c>
      <c r="J937" s="7" t="str">
        <f t="shared" si="129"/>
        <v/>
      </c>
      <c r="K937" s="7">
        <f t="shared" si="132"/>
        <v>-0.14248213330783088</v>
      </c>
      <c r="L937" s="7">
        <f t="shared" si="133"/>
        <v>-8.2246542290505542E-2</v>
      </c>
      <c r="M937" s="7">
        <f t="shared" si="134"/>
        <v>-0.13747050599358834</v>
      </c>
      <c r="N937" s="7">
        <f t="shared" si="130"/>
        <v>0.91147260875460945</v>
      </c>
      <c r="O937" s="7">
        <f t="shared" si="131"/>
        <v>8.8527391245390566E-2</v>
      </c>
    </row>
    <row r="938" spans="1:15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4">
        <f>IF(SUMIFS('Daily NSE Equity Cash'!$H:$H,'Daily NSE Equity Cash'!$A:$A,$A938)=0,"",SUMIFS('Daily NSE Equity Cash'!$H:$H,'Daily NSE Equity Cash'!$A:$A,$A938))</f>
        <v>971.85540000000003</v>
      </c>
      <c r="F938" s="4">
        <f>IF(SUMIFS('Daily BSE Equity Cash'!$H:$H,'Daily BSE Equity Cash'!$A:$A,$A938)=0,"",SUMIFS('Daily BSE Equity Cash'!$H:$H,'Daily BSE Equity Cash'!$A:$A,$A938))</f>
        <v>87.794399999999996</v>
      </c>
      <c r="G938" s="4">
        <f t="shared" si="126"/>
        <v>1059.6498000000001</v>
      </c>
      <c r="H938" s="7">
        <f t="shared" si="127"/>
        <v>1.181695856428441</v>
      </c>
      <c r="I938" s="7">
        <f t="shared" si="128"/>
        <v>1.9774641104512942</v>
      </c>
      <c r="J938" s="7">
        <f t="shared" si="129"/>
        <v>1.2311000221078232</v>
      </c>
      <c r="K938" s="7">
        <f t="shared" si="132"/>
        <v>4.6200837795688621E-2</v>
      </c>
      <c r="L938" s="7">
        <f t="shared" si="133"/>
        <v>-2.6925297898445777E-2</v>
      </c>
      <c r="M938" s="7">
        <f t="shared" si="134"/>
        <v>3.9727171770830516E-2</v>
      </c>
      <c r="N938" s="7">
        <f t="shared" si="130"/>
        <v>0.91714772182281346</v>
      </c>
      <c r="O938" s="7">
        <f t="shared" si="131"/>
        <v>8.2852278177186447E-2</v>
      </c>
    </row>
    <row r="939" spans="1:15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4">
        <f>IF(SUMIFS('Daily NSE Equity Cash'!$H:$H,'Daily NSE Equity Cash'!$A:$A,$A939)=0,"",SUMIFS('Daily NSE Equity Cash'!$H:$H,'Daily NSE Equity Cash'!$A:$A,$A939))</f>
        <v>961.8451</v>
      </c>
      <c r="F939" s="4">
        <f>IF(SUMIFS('Daily BSE Equity Cash'!$H:$H,'Daily BSE Equity Cash'!$A:$A,$A939)=0,"",SUMIFS('Daily BSE Equity Cash'!$H:$H,'Daily BSE Equity Cash'!$A:$A,$A939))</f>
        <v>82.102000000000004</v>
      </c>
      <c r="G939" s="4">
        <f t="shared" si="126"/>
        <v>1043.9471000000001</v>
      </c>
      <c r="H939" s="7">
        <f t="shared" si="127"/>
        <v>1.175783922982037</v>
      </c>
      <c r="I939" s="7">
        <f t="shared" si="128"/>
        <v>2.1342263688524281</v>
      </c>
      <c r="J939" s="7">
        <f t="shared" si="129"/>
        <v>1.2294004915180254</v>
      </c>
      <c r="K939" s="7">
        <f t="shared" si="132"/>
        <v>-1.0300194864380052E-2</v>
      </c>
      <c r="L939" s="7">
        <f t="shared" si="133"/>
        <v>-6.4837848427690026E-2</v>
      </c>
      <c r="M939" s="7">
        <f t="shared" si="134"/>
        <v>-1.4818763708538518E-2</v>
      </c>
      <c r="N939" s="7">
        <f t="shared" si="130"/>
        <v>0.92135425252869607</v>
      </c>
      <c r="O939" s="7">
        <f t="shared" si="131"/>
        <v>7.8645747471303859E-2</v>
      </c>
    </row>
    <row r="940" spans="1:15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4">
        <f>IF(SUMIFS('Daily NSE Equity Cash'!$H:$H,'Daily NSE Equity Cash'!$A:$A,$A940)=0,"",SUMIFS('Daily NSE Equity Cash'!$H:$H,'Daily NSE Equity Cash'!$A:$A,$A940))</f>
        <v>1082.8356000000001</v>
      </c>
      <c r="F940" s="4">
        <f>IF(SUMIFS('Daily BSE Equity Cash'!$H:$H,'Daily BSE Equity Cash'!$A:$A,$A940)=0,"",SUMIFS('Daily BSE Equity Cash'!$H:$H,'Daily BSE Equity Cash'!$A:$A,$A940))</f>
        <v>86.78</v>
      </c>
      <c r="G940" s="4">
        <f t="shared" si="126"/>
        <v>1169.6156000000001</v>
      </c>
      <c r="H940" s="7">
        <f t="shared" si="127"/>
        <v>1.4424220415252229</v>
      </c>
      <c r="I940" s="7">
        <f t="shared" si="128"/>
        <v>1.9439802422897774</v>
      </c>
      <c r="J940" s="7">
        <f t="shared" si="129"/>
        <v>1.4736906333269957</v>
      </c>
      <c r="K940" s="7">
        <f t="shared" si="132"/>
        <v>0.12579000506422511</v>
      </c>
      <c r="L940" s="7">
        <f t="shared" si="133"/>
        <v>5.6977905532142881E-2</v>
      </c>
      <c r="M940" s="7">
        <f t="shared" si="134"/>
        <v>0.12037822606145454</v>
      </c>
      <c r="N940" s="7">
        <f t="shared" si="130"/>
        <v>0.92580468317967035</v>
      </c>
      <c r="O940" s="7">
        <f t="shared" si="131"/>
        <v>7.4195316820329676E-2</v>
      </c>
    </row>
    <row r="941" spans="1:15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4">
        <f>IF(SUMIFS('Daily NSE Equity Cash'!$H:$H,'Daily NSE Equity Cash'!$A:$A,$A941)=0,"",SUMIFS('Daily NSE Equity Cash'!$H:$H,'Daily NSE Equity Cash'!$A:$A,$A941))</f>
        <v>1036.8661</v>
      </c>
      <c r="F941" s="4">
        <f>IF(SUMIFS('Daily BSE Equity Cash'!$H:$H,'Daily BSE Equity Cash'!$A:$A,$A941)=0,"",SUMIFS('Daily BSE Equity Cash'!$H:$H,'Daily BSE Equity Cash'!$A:$A,$A941))</f>
        <v>108.9543</v>
      </c>
      <c r="G941" s="4">
        <f t="shared" si="126"/>
        <v>1145.8204000000001</v>
      </c>
      <c r="H941" s="7">
        <f t="shared" si="127"/>
        <v>1.3106907651357531</v>
      </c>
      <c r="I941" s="7">
        <f t="shared" si="128"/>
        <v>3.111917485621122</v>
      </c>
      <c r="J941" s="7">
        <f t="shared" si="129"/>
        <v>1.4111225303163066</v>
      </c>
      <c r="K941" s="7">
        <f t="shared" si="132"/>
        <v>-4.2452889432153973E-2</v>
      </c>
      <c r="L941" s="7">
        <f t="shared" si="133"/>
        <v>0.25552316201889846</v>
      </c>
      <c r="M941" s="7">
        <f t="shared" si="134"/>
        <v>-2.0344461889872156E-2</v>
      </c>
      <c r="N941" s="7">
        <f t="shared" si="130"/>
        <v>0.90491153761968268</v>
      </c>
      <c r="O941" s="7">
        <f t="shared" si="131"/>
        <v>9.5088462380317193E-2</v>
      </c>
    </row>
    <row r="942" spans="1:15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4">
        <f>IF(SUMIFS('Daily NSE Equity Cash'!$H:$H,'Daily NSE Equity Cash'!$A:$A,$A942)=0,"",SUMIFS('Daily NSE Equity Cash'!$H:$H,'Daily NSE Equity Cash'!$A:$A,$A942))</f>
        <v>1131.1601000000001</v>
      </c>
      <c r="F942" s="4">
        <f>IF(SUMIFS('Daily BSE Equity Cash'!$H:$H,'Daily BSE Equity Cash'!$A:$A,$A942)=0,"",SUMIFS('Daily BSE Equity Cash'!$H:$H,'Daily BSE Equity Cash'!$A:$A,$A942))</f>
        <v>96.6952</v>
      </c>
      <c r="G942" s="4">
        <f t="shared" si="126"/>
        <v>1227.8553000000002</v>
      </c>
      <c r="H942" s="7" t="str">
        <f t="shared" si="127"/>
        <v/>
      </c>
      <c r="I942" s="7" t="str">
        <f t="shared" si="128"/>
        <v/>
      </c>
      <c r="J942" s="7" t="str">
        <f t="shared" si="129"/>
        <v/>
      </c>
      <c r="K942" s="7">
        <f t="shared" si="132"/>
        <v>9.0941347199990474E-2</v>
      </c>
      <c r="L942" s="7">
        <f t="shared" si="133"/>
        <v>-0.11251598147113062</v>
      </c>
      <c r="M942" s="7">
        <f t="shared" si="134"/>
        <v>7.1594902656646697E-2</v>
      </c>
      <c r="N942" s="7">
        <f t="shared" si="130"/>
        <v>0.92124870088519384</v>
      </c>
      <c r="O942" s="7">
        <f t="shared" si="131"/>
        <v>7.8751299114806106E-2</v>
      </c>
    </row>
    <row r="943" spans="1:15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4">
        <f>IF(SUMIFS('Daily NSE Equity Cash'!$H:$H,'Daily NSE Equity Cash'!$A:$A,$A943)=0,"",SUMIFS('Daily NSE Equity Cash'!$H:$H,'Daily NSE Equity Cash'!$A:$A,$A943))</f>
        <v>1151.4285</v>
      </c>
      <c r="F943" s="4">
        <f>IF(SUMIFS('Daily BSE Equity Cash'!$H:$H,'Daily BSE Equity Cash'!$A:$A,$A943)=0,"",SUMIFS('Daily BSE Equity Cash'!$H:$H,'Daily BSE Equity Cash'!$A:$A,$A943))</f>
        <v>98.695899999999995</v>
      </c>
      <c r="G943" s="4">
        <f t="shared" si="126"/>
        <v>1250.1243999999999</v>
      </c>
      <c r="H943" s="7">
        <f t="shared" si="127"/>
        <v>1.6701853151791197</v>
      </c>
      <c r="I943" s="7">
        <f t="shared" si="128"/>
        <v>2.2332809172809172</v>
      </c>
      <c r="J943" s="7">
        <f t="shared" si="129"/>
        <v>1.7074106583832473</v>
      </c>
      <c r="K943" s="7">
        <f t="shared" si="132"/>
        <v>1.7918241635290988E-2</v>
      </c>
      <c r="L943" s="7">
        <f t="shared" si="133"/>
        <v>2.0690789201532223E-2</v>
      </c>
      <c r="M943" s="7">
        <f t="shared" si="134"/>
        <v>1.8136583357989844E-2</v>
      </c>
      <c r="N943" s="7">
        <f t="shared" si="130"/>
        <v>0.92105113699084673</v>
      </c>
      <c r="O943" s="7">
        <f t="shared" si="131"/>
        <v>7.8948863009153325E-2</v>
      </c>
    </row>
    <row r="944" spans="1:15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4">
        <f>IF(SUMIFS('Daily NSE Equity Cash'!$H:$H,'Daily NSE Equity Cash'!$A:$A,$A944)=0,"",SUMIFS('Daily NSE Equity Cash'!$H:$H,'Daily NSE Equity Cash'!$A:$A,$A944))</f>
        <v>1320.4529</v>
      </c>
      <c r="F944" s="4">
        <f>IF(SUMIFS('Daily BSE Equity Cash'!$H:$H,'Daily BSE Equity Cash'!$A:$A,$A944)=0,"",SUMIFS('Daily BSE Equity Cash'!$H:$H,'Daily BSE Equity Cash'!$A:$A,$A944))</f>
        <v>85.145700000000005</v>
      </c>
      <c r="G944" s="4">
        <f t="shared" si="126"/>
        <v>1405.5986</v>
      </c>
      <c r="H944" s="7">
        <f t="shared" si="127"/>
        <v>2.0078297478025315</v>
      </c>
      <c r="I944" s="7">
        <f t="shared" si="128"/>
        <v>1.005136139488223</v>
      </c>
      <c r="J944" s="7">
        <f t="shared" si="129"/>
        <v>1.9193958489539309</v>
      </c>
      <c r="K944" s="7">
        <f t="shared" si="132"/>
        <v>0.14679539372179873</v>
      </c>
      <c r="L944" s="7">
        <f t="shared" si="133"/>
        <v>-0.13729243058728868</v>
      </c>
      <c r="M944" s="7">
        <f t="shared" si="134"/>
        <v>0.1243669829978522</v>
      </c>
      <c r="N944" s="7">
        <f t="shared" si="130"/>
        <v>0.93942388673409316</v>
      </c>
      <c r="O944" s="7">
        <f t="shared" si="131"/>
        <v>6.0576113265906784E-2</v>
      </c>
    </row>
    <row r="945" spans="1:15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4">
        <f>IF(SUMIFS('Daily NSE Equity Cash'!$H:$H,'Daily NSE Equity Cash'!$A:$A,$A945)=0,"",SUMIFS('Daily NSE Equity Cash'!$H:$H,'Daily NSE Equity Cash'!$A:$A,$A945))</f>
        <v>1271.9081000000001</v>
      </c>
      <c r="F945" s="4">
        <f>IF(SUMIFS('Daily BSE Equity Cash'!$H:$H,'Daily BSE Equity Cash'!$A:$A,$A945)=0,"",SUMIFS('Daily BSE Equity Cash'!$H:$H,'Daily BSE Equity Cash'!$A:$A,$A945))</f>
        <v>100.0367</v>
      </c>
      <c r="G945" s="4">
        <f t="shared" si="126"/>
        <v>1371.9448000000002</v>
      </c>
      <c r="H945" s="7">
        <f t="shared" si="127"/>
        <v>1.77154097263276</v>
      </c>
      <c r="I945" s="7">
        <f t="shared" si="128"/>
        <v>2.6777252056013263</v>
      </c>
      <c r="J945" s="7">
        <f t="shared" si="129"/>
        <v>1.8222464504503026</v>
      </c>
      <c r="K945" s="7">
        <f t="shared" si="132"/>
        <v>-3.6763749771006493E-2</v>
      </c>
      <c r="L945" s="7">
        <f t="shared" si="133"/>
        <v>0.174888455905583</v>
      </c>
      <c r="M945" s="7">
        <f t="shared" si="134"/>
        <v>-2.394268178696235E-2</v>
      </c>
      <c r="N945" s="7">
        <f t="shared" si="130"/>
        <v>0.92708401970691523</v>
      </c>
      <c r="O945" s="7">
        <f t="shared" si="131"/>
        <v>7.2915980293084659E-2</v>
      </c>
    </row>
    <row r="946" spans="1:15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4">
        <f>IF(SUMIFS('Daily NSE Equity Cash'!$H:$H,'Daily NSE Equity Cash'!$A:$A,$A946)=0,"",SUMIFS('Daily NSE Equity Cash'!$H:$H,'Daily NSE Equity Cash'!$A:$A,$A946))</f>
        <v>1237.4680000000001</v>
      </c>
      <c r="F946" s="4">
        <f>IF(SUMIFS('Daily BSE Equity Cash'!$H:$H,'Daily BSE Equity Cash'!$A:$A,$A946)=0,"",SUMIFS('Daily BSE Equity Cash'!$H:$H,'Daily BSE Equity Cash'!$A:$A,$A946))</f>
        <v>113.2754</v>
      </c>
      <c r="G946" s="4">
        <f t="shared" si="126"/>
        <v>1350.7434000000001</v>
      </c>
      <c r="H946" s="7">
        <f t="shared" si="127"/>
        <v>1.9769175272686685</v>
      </c>
      <c r="I946" s="7">
        <f t="shared" si="128"/>
        <v>2.7853099415204681</v>
      </c>
      <c r="J946" s="7">
        <f t="shared" si="129"/>
        <v>2.0312049005784618</v>
      </c>
      <c r="K946" s="7">
        <f t="shared" si="132"/>
        <v>-2.707750662174413E-2</v>
      </c>
      <c r="L946" s="7">
        <f t="shared" si="133"/>
        <v>0.13233843179553118</v>
      </c>
      <c r="M946" s="7">
        <f t="shared" si="134"/>
        <v>-1.5453537197706591E-2</v>
      </c>
      <c r="N946" s="7">
        <f t="shared" si="130"/>
        <v>0.91613847604215581</v>
      </c>
      <c r="O946" s="7">
        <f t="shared" si="131"/>
        <v>8.3861523957844256E-2</v>
      </c>
    </row>
    <row r="947" spans="1:15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4">
        <f>IF(SUMIFS('Daily NSE Equity Cash'!$H:$H,'Daily NSE Equity Cash'!$A:$A,$A947)=0,"",SUMIFS('Daily NSE Equity Cash'!$H:$H,'Daily NSE Equity Cash'!$A:$A,$A947))</f>
        <v>804.47490000000005</v>
      </c>
      <c r="F947" s="4">
        <f>IF(SUMIFS('Daily BSE Equity Cash'!$H:$H,'Daily BSE Equity Cash'!$A:$A,$A947)=0,"",SUMIFS('Daily BSE Equity Cash'!$H:$H,'Daily BSE Equity Cash'!$A:$A,$A947))</f>
        <v>73.019000000000005</v>
      </c>
      <c r="G947" s="4">
        <f t="shared" si="126"/>
        <v>877.49390000000005</v>
      </c>
      <c r="H947" s="7">
        <f t="shared" si="127"/>
        <v>0.74902691715745684</v>
      </c>
      <c r="I947" s="7">
        <f t="shared" si="128"/>
        <v>1.7131598601414195</v>
      </c>
      <c r="J947" s="7">
        <f t="shared" si="129"/>
        <v>0.8023218174267146</v>
      </c>
      <c r="K947" s="7">
        <f t="shared" si="132"/>
        <v>-0.34990246212427312</v>
      </c>
      <c r="L947" s="7">
        <f t="shared" si="133"/>
        <v>-0.35538519396091295</v>
      </c>
      <c r="M947" s="7">
        <f t="shared" si="134"/>
        <v>-0.35036225237154595</v>
      </c>
      <c r="N947" s="7">
        <f t="shared" si="130"/>
        <v>0.91678688592593061</v>
      </c>
      <c r="O947" s="7">
        <f t="shared" si="131"/>
        <v>8.3213114074069353E-2</v>
      </c>
    </row>
    <row r="948" spans="1:15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4">
        <f>IF(SUMIFS('Daily NSE Equity Cash'!$H:$H,'Daily NSE Equity Cash'!$A:$A,$A948)=0,"",SUMIFS('Daily NSE Equity Cash'!$H:$H,'Daily NSE Equity Cash'!$A:$A,$A948))</f>
        <v>1515.3449000000001</v>
      </c>
      <c r="F948" s="4">
        <f>IF(SUMIFS('Daily BSE Equity Cash'!$H:$H,'Daily BSE Equity Cash'!$A:$A,$A948)=0,"",SUMIFS('Daily BSE Equity Cash'!$H:$H,'Daily BSE Equity Cash'!$A:$A,$A948))</f>
        <v>113.4791</v>
      </c>
      <c r="G948" s="4">
        <f t="shared" si="126"/>
        <v>1628.8240000000001</v>
      </c>
      <c r="H948" s="7">
        <f t="shared" si="127"/>
        <v>2.5851836201734364</v>
      </c>
      <c r="I948" s="7">
        <f t="shared" si="128"/>
        <v>3.1629193492177041</v>
      </c>
      <c r="J948" s="7">
        <f t="shared" si="129"/>
        <v>2.6201865097586681</v>
      </c>
      <c r="K948" s="7">
        <f t="shared" si="132"/>
        <v>0.88364472278749773</v>
      </c>
      <c r="L948" s="7">
        <f t="shared" si="133"/>
        <v>0.55410372642736805</v>
      </c>
      <c r="M948" s="7">
        <f t="shared" si="134"/>
        <v>0.85622259026529979</v>
      </c>
      <c r="N948" s="7">
        <f t="shared" si="130"/>
        <v>0.93033065573689977</v>
      </c>
      <c r="O948" s="7">
        <f t="shared" si="131"/>
        <v>6.9669344263100244E-2</v>
      </c>
    </row>
    <row r="949" spans="1:15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4">
        <f>IF(SUMIFS('Daily NSE Equity Cash'!$H:$H,'Daily NSE Equity Cash'!$A:$A,$A949)=0,"",SUMIFS('Daily NSE Equity Cash'!$H:$H,'Daily NSE Equity Cash'!$A:$A,$A949))</f>
        <v>1345.2001</v>
      </c>
      <c r="F949" s="4">
        <f>IF(SUMIFS('Daily BSE Equity Cash'!$H:$H,'Daily BSE Equity Cash'!$A:$A,$A949)=0,"",SUMIFS('Daily BSE Equity Cash'!$H:$H,'Daily BSE Equity Cash'!$A:$A,$A949))</f>
        <v>109.5783</v>
      </c>
      <c r="G949" s="4">
        <f t="shared" si="126"/>
        <v>1454.7783999999999</v>
      </c>
      <c r="H949" s="7">
        <f t="shared" si="127"/>
        <v>2.0167890172023344</v>
      </c>
      <c r="I949" s="7">
        <f t="shared" si="128"/>
        <v>2.7176818241961804</v>
      </c>
      <c r="J949" s="7">
        <f t="shared" si="129"/>
        <v>2.0602463926189496</v>
      </c>
      <c r="K949" s="7">
        <f t="shared" si="132"/>
        <v>-0.11228123709658444</v>
      </c>
      <c r="L949" s="7">
        <f t="shared" si="133"/>
        <v>-3.4374611712641445E-2</v>
      </c>
      <c r="M949" s="7">
        <f t="shared" si="134"/>
        <v>-0.10685353359233418</v>
      </c>
      <c r="N949" s="7">
        <f t="shared" si="130"/>
        <v>0.9246769817313758</v>
      </c>
      <c r="O949" s="7">
        <f t="shared" si="131"/>
        <v>7.5323018268624281E-2</v>
      </c>
    </row>
    <row r="950" spans="1:15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4">
        <f>IF(SUMIFS('Daily NSE Equity Cash'!$H:$H,'Daily NSE Equity Cash'!$A:$A,$A950)=0,"",SUMIFS('Daily NSE Equity Cash'!$H:$H,'Daily NSE Equity Cash'!$A:$A,$A950))</f>
        <v>1284.7301</v>
      </c>
      <c r="F950" s="4">
        <f>IF(SUMIFS('Daily BSE Equity Cash'!$H:$H,'Daily BSE Equity Cash'!$A:$A,$A950)=0,"",SUMIFS('Daily BSE Equity Cash'!$H:$H,'Daily BSE Equity Cash'!$A:$A,$A950))</f>
        <v>197.03450000000001</v>
      </c>
      <c r="G950" s="4">
        <f t="shared" si="126"/>
        <v>1481.7646</v>
      </c>
      <c r="H950" s="7">
        <f t="shared" si="127"/>
        <v>1.5820518339735554</v>
      </c>
      <c r="I950" s="7">
        <f t="shared" si="128"/>
        <v>5.7979499316873904</v>
      </c>
      <c r="J950" s="7">
        <f t="shared" si="129"/>
        <v>1.8141213086565449</v>
      </c>
      <c r="K950" s="7">
        <f t="shared" si="132"/>
        <v>-4.4952420089769518E-2</v>
      </c>
      <c r="L950" s="7">
        <f t="shared" si="133"/>
        <v>0.79811605034938493</v>
      </c>
      <c r="M950" s="7">
        <f t="shared" si="134"/>
        <v>1.8550041710819976E-2</v>
      </c>
      <c r="N950" s="7">
        <f t="shared" si="130"/>
        <v>0.86702712428141426</v>
      </c>
      <c r="O950" s="7">
        <f t="shared" si="131"/>
        <v>0.13297287571858582</v>
      </c>
    </row>
    <row r="951" spans="1:15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4">
        <f>IF(SUMIFS('Daily NSE Equity Cash'!$H:$H,'Daily NSE Equity Cash'!$A:$A,$A951)=0,"",SUMIFS('Daily NSE Equity Cash'!$H:$H,'Daily NSE Equity Cash'!$A:$A,$A951))</f>
        <v>1260.826</v>
      </c>
      <c r="F951" s="4">
        <f>IF(SUMIFS('Daily BSE Equity Cash'!$H:$H,'Daily BSE Equity Cash'!$A:$A,$A951)=0,"",SUMIFS('Daily BSE Equity Cash'!$H:$H,'Daily BSE Equity Cash'!$A:$A,$A951))</f>
        <v>106.2675</v>
      </c>
      <c r="G951" s="4">
        <f t="shared" si="126"/>
        <v>1367.0934999999999</v>
      </c>
      <c r="H951" s="7" t="str">
        <f t="shared" si="127"/>
        <v/>
      </c>
      <c r="I951" s="7" t="str">
        <f t="shared" si="128"/>
        <v/>
      </c>
      <c r="J951" s="7" t="str">
        <f t="shared" si="129"/>
        <v/>
      </c>
      <c r="K951" s="7">
        <f t="shared" si="132"/>
        <v>-1.8606320502648765E-2</v>
      </c>
      <c r="L951" s="7">
        <f t="shared" si="133"/>
        <v>-0.46066551796766564</v>
      </c>
      <c r="M951" s="7">
        <f t="shared" si="134"/>
        <v>-7.7388203227422236E-2</v>
      </c>
      <c r="N951" s="7">
        <f t="shared" si="130"/>
        <v>0.9222675698480024</v>
      </c>
      <c r="O951" s="7">
        <f t="shared" si="131"/>
        <v>7.7732430151997656E-2</v>
      </c>
    </row>
    <row r="952" spans="1:15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4">
        <f>IF(SUMIFS('Daily NSE Equity Cash'!$H:$H,'Daily NSE Equity Cash'!$A:$A,$A952)=0,"",SUMIFS('Daily NSE Equity Cash'!$H:$H,'Daily NSE Equity Cash'!$A:$A,$A952))</f>
        <v>1242.2267999999999</v>
      </c>
      <c r="F952" s="4">
        <f>IF(SUMIFS('Daily BSE Equity Cash'!$H:$H,'Daily BSE Equity Cash'!$A:$A,$A952)=0,"",SUMIFS('Daily BSE Equity Cash'!$H:$H,'Daily BSE Equity Cash'!$A:$A,$A952))</f>
        <v>101.6469</v>
      </c>
      <c r="G952" s="4">
        <f t="shared" si="126"/>
        <v>1343.8736999999999</v>
      </c>
      <c r="H952" s="7">
        <f t="shared" si="127"/>
        <v>0.76268539937116797</v>
      </c>
      <c r="I952" s="7">
        <f t="shared" si="128"/>
        <v>1.1025970399329799</v>
      </c>
      <c r="J952" s="7">
        <f t="shared" si="129"/>
        <v>0.7845058465985435</v>
      </c>
      <c r="K952" s="7">
        <f t="shared" si="132"/>
        <v>-1.4751599348363786E-2</v>
      </c>
      <c r="L952" s="7">
        <f t="shared" si="133"/>
        <v>-4.3480838450137616E-2</v>
      </c>
      <c r="M952" s="7">
        <f t="shared" si="134"/>
        <v>-1.6984792920162417E-2</v>
      </c>
      <c r="N952" s="7">
        <f t="shared" si="130"/>
        <v>0.92436275819669667</v>
      </c>
      <c r="O952" s="7">
        <f t="shared" si="131"/>
        <v>7.5637241803303404E-2</v>
      </c>
    </row>
    <row r="953" spans="1:15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4">
        <f>IF(SUMIFS('Daily NSE Equity Cash'!$H:$H,'Daily NSE Equity Cash'!$A:$A,$A953)=0,"",SUMIFS('Daily NSE Equity Cash'!$H:$H,'Daily NSE Equity Cash'!$A:$A,$A953))</f>
        <v>1348.2760000000001</v>
      </c>
      <c r="F953" s="4">
        <f>IF(SUMIFS('Daily BSE Equity Cash'!$H:$H,'Daily BSE Equity Cash'!$A:$A,$A953)=0,"",SUMIFS('Daily BSE Equity Cash'!$H:$H,'Daily BSE Equity Cash'!$A:$A,$A953))</f>
        <v>96.503799999999998</v>
      </c>
      <c r="G953" s="4">
        <f t="shared" si="126"/>
        <v>1444.7798</v>
      </c>
      <c r="H953" s="7">
        <f t="shared" si="127"/>
        <v>0.96185839591539746</v>
      </c>
      <c r="I953" s="7">
        <f t="shared" si="128"/>
        <v>1.8702404958628525</v>
      </c>
      <c r="J953" s="7">
        <f t="shared" si="129"/>
        <v>1.0042265800949277</v>
      </c>
      <c r="K953" s="7">
        <f t="shared" si="132"/>
        <v>8.5370239959402072E-2</v>
      </c>
      <c r="L953" s="7">
        <f t="shared" si="133"/>
        <v>-5.0597706373731066E-2</v>
      </c>
      <c r="M953" s="7">
        <f t="shared" si="134"/>
        <v>7.5085999525104308E-2</v>
      </c>
      <c r="N953" s="7">
        <f t="shared" si="130"/>
        <v>0.93320518462398216</v>
      </c>
      <c r="O953" s="7">
        <f t="shared" si="131"/>
        <v>6.6794815376017849E-2</v>
      </c>
    </row>
    <row r="954" spans="1:15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4">
        <f>IF(SUMIFS('Daily NSE Equity Cash'!$H:$H,'Daily NSE Equity Cash'!$A:$A,$A954)=0,"",SUMIFS('Daily NSE Equity Cash'!$H:$H,'Daily NSE Equity Cash'!$A:$A,$A954))</f>
        <v>1354.9938</v>
      </c>
      <c r="F954" s="4">
        <f>IF(SUMIFS('Daily BSE Equity Cash'!$H:$H,'Daily BSE Equity Cash'!$A:$A,$A954)=0,"",SUMIFS('Daily BSE Equity Cash'!$H:$H,'Daily BSE Equity Cash'!$A:$A,$A954))</f>
        <v>177.36699999999999</v>
      </c>
      <c r="G954" s="4">
        <f t="shared" si="126"/>
        <v>1532.3607999999999</v>
      </c>
      <c r="H954" s="7">
        <f t="shared" si="127"/>
        <v>0.66036598800070667</v>
      </c>
      <c r="I954" s="7">
        <f t="shared" si="128"/>
        <v>1.1481246434769763</v>
      </c>
      <c r="J954" s="7">
        <f t="shared" si="129"/>
        <v>0.70518145168245194</v>
      </c>
      <c r="K954" s="7">
        <f t="shared" si="132"/>
        <v>4.9825109992316374E-3</v>
      </c>
      <c r="L954" s="7">
        <f t="shared" si="133"/>
        <v>0.8379276256479018</v>
      </c>
      <c r="M954" s="7">
        <f t="shared" si="134"/>
        <v>6.0618926150545427E-2</v>
      </c>
      <c r="N954" s="7">
        <f t="shared" si="130"/>
        <v>0.88425245542694642</v>
      </c>
      <c r="O954" s="7">
        <f t="shared" si="131"/>
        <v>0.11574754457305356</v>
      </c>
    </row>
    <row r="955" spans="1:15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4">
        <f>IF(SUMIFS('Daily NSE Equity Cash'!$H:$H,'Daily NSE Equity Cash'!$A:$A,$A955)=0,"",SUMIFS('Daily NSE Equity Cash'!$H:$H,'Daily NSE Equity Cash'!$A:$A,$A955))</f>
        <v>1451.682</v>
      </c>
      <c r="F955" s="4">
        <f>IF(SUMIFS('Daily BSE Equity Cash'!$H:$H,'Daily BSE Equity Cash'!$A:$A,$A955)=0,"",SUMIFS('Daily BSE Equity Cash'!$H:$H,'Daily BSE Equity Cash'!$A:$A,$A955))</f>
        <v>118.15049999999999</v>
      </c>
      <c r="G955" s="4">
        <f t="shared" si="126"/>
        <v>1569.8325</v>
      </c>
      <c r="H955" s="7">
        <f t="shared" si="127"/>
        <v>1.1218988021362204</v>
      </c>
      <c r="I955" s="7">
        <f t="shared" si="128"/>
        <v>2.2350678225060099</v>
      </c>
      <c r="J955" s="7">
        <f t="shared" si="129"/>
        <v>1.1783119112119684</v>
      </c>
      <c r="K955" s="7">
        <f t="shared" si="132"/>
        <v>7.1356931670093271E-2</v>
      </c>
      <c r="L955" s="7">
        <f t="shared" si="133"/>
        <v>-0.33386424757705768</v>
      </c>
      <c r="M955" s="7">
        <f t="shared" si="134"/>
        <v>2.4453575163238428E-2</v>
      </c>
      <c r="N955" s="7">
        <f t="shared" si="130"/>
        <v>0.92473687479396693</v>
      </c>
      <c r="O955" s="7">
        <f t="shared" si="131"/>
        <v>7.5263125206033121E-2</v>
      </c>
    </row>
    <row r="956" spans="1:15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4">
        <f>IF(SUMIFS('Daily NSE Equity Cash'!$H:$H,'Daily NSE Equity Cash'!$A:$A,$A956)=0,"",SUMIFS('Daily NSE Equity Cash'!$H:$H,'Daily NSE Equity Cash'!$A:$A,$A956))</f>
        <v>1486.354</v>
      </c>
      <c r="F956" s="4">
        <f>IF(SUMIFS('Daily BSE Equity Cash'!$H:$H,'Daily BSE Equity Cash'!$A:$A,$A956)=0,"",SUMIFS('Daily BSE Equity Cash'!$H:$H,'Daily BSE Equity Cash'!$A:$A,$A956))</f>
        <v>128.90700000000001</v>
      </c>
      <c r="G956" s="4">
        <f t="shared" si="126"/>
        <v>1615.261</v>
      </c>
      <c r="H956" s="7" t="str">
        <f t="shared" si="127"/>
        <v/>
      </c>
      <c r="I956" s="7" t="str">
        <f t="shared" si="128"/>
        <v/>
      </c>
      <c r="J956" s="7" t="str">
        <f t="shared" si="129"/>
        <v/>
      </c>
      <c r="K956" s="7">
        <f t="shared" si="132"/>
        <v>2.388401867626655E-2</v>
      </c>
      <c r="L956" s="7">
        <f t="shared" si="133"/>
        <v>9.104066423756163E-2</v>
      </c>
      <c r="M956" s="7">
        <f t="shared" si="134"/>
        <v>2.8938437699563391E-2</v>
      </c>
      <c r="N956" s="7">
        <f t="shared" si="130"/>
        <v>0.92019432153689096</v>
      </c>
      <c r="O956" s="7">
        <f t="shared" si="131"/>
        <v>7.980567846310907E-2</v>
      </c>
    </row>
    <row r="957" spans="1:15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4">
        <f>IF(SUMIFS('Daily NSE Equity Cash'!$H:$H,'Daily NSE Equity Cash'!$A:$A,$A957)=0,"",SUMIFS('Daily NSE Equity Cash'!$H:$H,'Daily NSE Equity Cash'!$A:$A,$A957))</f>
        <v>1308.6379999999999</v>
      </c>
      <c r="F957" s="4">
        <f>IF(SUMIFS('Daily BSE Equity Cash'!$H:$H,'Daily BSE Equity Cash'!$A:$A,$A957)=0,"",SUMIFS('Daily BSE Equity Cash'!$H:$H,'Daily BSE Equity Cash'!$A:$A,$A957))</f>
        <v>114.5193</v>
      </c>
      <c r="G957" s="4">
        <f t="shared" si="126"/>
        <v>1423.1572999999999</v>
      </c>
      <c r="H957" s="7">
        <f t="shared" si="127"/>
        <v>1.7256239114795715</v>
      </c>
      <c r="I957" s="7">
        <f t="shared" si="128"/>
        <v>2.7209256232718482</v>
      </c>
      <c r="J957" s="7">
        <f t="shared" si="129"/>
        <v>1.7855816769305535</v>
      </c>
      <c r="K957" s="7">
        <f t="shared" si="132"/>
        <v>-0.11956505650740001</v>
      </c>
      <c r="L957" s="7">
        <f t="shared" si="133"/>
        <v>-0.11161302334240975</v>
      </c>
      <c r="M957" s="7">
        <f t="shared" si="134"/>
        <v>-0.11893043910550682</v>
      </c>
      <c r="N957" s="7">
        <f t="shared" si="130"/>
        <v>0.91953152332493393</v>
      </c>
      <c r="O957" s="7">
        <f t="shared" si="131"/>
        <v>8.046847667506607E-2</v>
      </c>
    </row>
    <row r="958" spans="1:15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4">
        <f>IF(SUMIFS('Daily NSE Equity Cash'!$H:$H,'Daily NSE Equity Cash'!$A:$A,$A958)=0,"",SUMIFS('Daily NSE Equity Cash'!$H:$H,'Daily NSE Equity Cash'!$A:$A,$A958))</f>
        <v>1325.6337000000001</v>
      </c>
      <c r="F958" s="4">
        <f>IF(SUMIFS('Daily BSE Equity Cash'!$H:$H,'Daily BSE Equity Cash'!$A:$A,$A958)=0,"",SUMIFS('Daily BSE Equity Cash'!$H:$H,'Daily BSE Equity Cash'!$A:$A,$A958))</f>
        <v>117.0634</v>
      </c>
      <c r="G958" s="4">
        <f t="shared" si="126"/>
        <v>1442.6971000000001</v>
      </c>
      <c r="H958" s="7">
        <f t="shared" si="127"/>
        <v>1.4318966991180382</v>
      </c>
      <c r="I958" s="7">
        <f t="shared" si="128"/>
        <v>2.1460875267406982</v>
      </c>
      <c r="J958" s="7">
        <f t="shared" si="129"/>
        <v>1.4775328346316066</v>
      </c>
      <c r="K958" s="7">
        <f t="shared" si="132"/>
        <v>1.2987319640725747E-2</v>
      </c>
      <c r="L958" s="7">
        <f t="shared" si="133"/>
        <v>2.2215469357566908E-2</v>
      </c>
      <c r="M958" s="7">
        <f t="shared" si="134"/>
        <v>1.3729894790969421E-2</v>
      </c>
      <c r="N958" s="7">
        <f t="shared" si="130"/>
        <v>0.91885795015460969</v>
      </c>
      <c r="O958" s="7">
        <f t="shared" si="131"/>
        <v>8.1142049845390266E-2</v>
      </c>
    </row>
    <row r="959" spans="1:15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4">
        <f>IF(SUMIFS('Daily NSE Equity Cash'!$H:$H,'Daily NSE Equity Cash'!$A:$A,$A959)=0,"",SUMIFS('Daily NSE Equity Cash'!$H:$H,'Daily NSE Equity Cash'!$A:$A,$A959))</f>
        <v>1469.1422</v>
      </c>
      <c r="F959" s="4">
        <f>IF(SUMIFS('Daily BSE Equity Cash'!$H:$H,'Daily BSE Equity Cash'!$A:$A,$A959)=0,"",SUMIFS('Daily BSE Equity Cash'!$H:$H,'Daily BSE Equity Cash'!$A:$A,$A959))</f>
        <v>115.5051</v>
      </c>
      <c r="G959" s="4">
        <f t="shared" si="126"/>
        <v>1584.6473000000001</v>
      </c>
      <c r="H959" s="7">
        <f t="shared" si="127"/>
        <v>1.7857199877205066</v>
      </c>
      <c r="I959" s="7">
        <f t="shared" si="128"/>
        <v>2.3771544855695148</v>
      </c>
      <c r="J959" s="7">
        <f t="shared" si="129"/>
        <v>1.8217397823162007</v>
      </c>
      <c r="K959" s="7">
        <f t="shared" si="132"/>
        <v>0.10825652667098007</v>
      </c>
      <c r="L959" s="7">
        <f t="shared" si="133"/>
        <v>-1.3311590129792883E-2</v>
      </c>
      <c r="M959" s="7">
        <f t="shared" si="134"/>
        <v>9.8392240477921611E-2</v>
      </c>
      <c r="N959" s="7">
        <f t="shared" si="130"/>
        <v>0.92710990010206051</v>
      </c>
      <c r="O959" s="7">
        <f t="shared" si="131"/>
        <v>7.2890099897939431E-2</v>
      </c>
    </row>
    <row r="960" spans="1:15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4">
        <f>IF(SUMIFS('Daily NSE Equity Cash'!$H:$H,'Daily NSE Equity Cash'!$A:$A,$A960)=0,"",SUMIFS('Daily NSE Equity Cash'!$H:$H,'Daily NSE Equity Cash'!$A:$A,$A960))</f>
        <v>1328.4196999999999</v>
      </c>
      <c r="F960" s="4">
        <f>IF(SUMIFS('Daily BSE Equity Cash'!$H:$H,'Daily BSE Equity Cash'!$A:$A,$A960)=0,"",SUMIFS('Daily BSE Equity Cash'!$H:$H,'Daily BSE Equity Cash'!$A:$A,$A960))</f>
        <v>116.6764</v>
      </c>
      <c r="G960" s="4">
        <f t="shared" si="126"/>
        <v>1445.0961</v>
      </c>
      <c r="H960" s="7">
        <f t="shared" si="127"/>
        <v>1.6489381472942504</v>
      </c>
      <c r="I960" s="7">
        <f t="shared" si="128"/>
        <v>2.7731756061909412</v>
      </c>
      <c r="J960" s="7">
        <f t="shared" si="129"/>
        <v>1.7142338480956547</v>
      </c>
      <c r="K960" s="7">
        <f t="shared" si="132"/>
        <v>-9.5785486251773411E-2</v>
      </c>
      <c r="L960" s="7">
        <f t="shared" si="133"/>
        <v>1.01406777709383E-2</v>
      </c>
      <c r="M960" s="7">
        <f t="shared" si="134"/>
        <v>-8.8064517574352408E-2</v>
      </c>
      <c r="N960" s="7">
        <f t="shared" si="130"/>
        <v>0.91926045610392271</v>
      </c>
      <c r="O960" s="7">
        <f t="shared" si="131"/>
        <v>8.0739543896077223E-2</v>
      </c>
    </row>
    <row r="961" spans="1:15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4">
        <f>IF(SUMIFS('Daily NSE Equity Cash'!$H:$H,'Daily NSE Equity Cash'!$A:$A,$A961)=0,"",SUMIFS('Daily NSE Equity Cash'!$H:$H,'Daily NSE Equity Cash'!$A:$A,$A961))</f>
        <v>1138.2168999999999</v>
      </c>
      <c r="F961" s="4">
        <f>IF(SUMIFS('Daily BSE Equity Cash'!$H:$H,'Daily BSE Equity Cash'!$A:$A,$A961)=0,"",SUMIFS('Daily BSE Equity Cash'!$H:$H,'Daily BSE Equity Cash'!$A:$A,$A961))</f>
        <v>96.008600000000001</v>
      </c>
      <c r="G961" s="4">
        <f t="shared" si="126"/>
        <v>1234.2255</v>
      </c>
      <c r="H961" s="7" t="str">
        <f t="shared" si="127"/>
        <v/>
      </c>
      <c r="I961" s="7" t="str">
        <f t="shared" si="128"/>
        <v/>
      </c>
      <c r="J961" s="7" t="str">
        <f t="shared" si="129"/>
        <v/>
      </c>
      <c r="K961" s="7">
        <f t="shared" si="132"/>
        <v>-0.14317974959269275</v>
      </c>
      <c r="L961" s="7">
        <f t="shared" si="133"/>
        <v>-0.17713779307554911</v>
      </c>
      <c r="M961" s="7">
        <f t="shared" si="134"/>
        <v>-0.14592150653510172</v>
      </c>
      <c r="N961" s="7">
        <f t="shared" si="130"/>
        <v>0.92221145973730079</v>
      </c>
      <c r="O961" s="7">
        <f t="shared" si="131"/>
        <v>7.7788540262699157E-2</v>
      </c>
    </row>
    <row r="962" spans="1:15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4">
        <f>IF(SUMIFS('Daily NSE Equity Cash'!$H:$H,'Daily NSE Equity Cash'!$A:$A,$A962)=0,"",SUMIFS('Daily NSE Equity Cash'!$H:$H,'Daily NSE Equity Cash'!$A:$A,$A962))</f>
        <v>1085.2550000000001</v>
      </c>
      <c r="F962" s="4">
        <f>IF(SUMIFS('Daily BSE Equity Cash'!$H:$H,'Daily BSE Equity Cash'!$A:$A,$A962)=0,"",SUMIFS('Daily BSE Equity Cash'!$H:$H,'Daily BSE Equity Cash'!$A:$A,$A962))</f>
        <v>83.657200000000003</v>
      </c>
      <c r="G962" s="4">
        <f t="shared" ref="G962:G1025" si="135">IF(OR(E962="",F962=""),"",E962+F962)</f>
        <v>1168.9122000000002</v>
      </c>
      <c r="H962" s="7">
        <f t="shared" ref="H962:H1025" si="136">IFERROR(IF(OR(E962="",INDEX(E:E,MATCH(DATE(YEAR($A962)-1,MONTH($A962),DAY($A962)),$A:$A,0))=""),"",E962/INDEX(E:E,MATCH(DATE(YEAR($A962)-1,MONTH($A962),DAY($A962)),$A:$A,0))-1),"")</f>
        <v>1.3674800813000152</v>
      </c>
      <c r="I962" s="7">
        <f t="shared" ref="I962:I1025" si="137">IFERROR(IF(OR(F962="",INDEX(F:F,MATCH(DATE(YEAR($A962)-1,MONTH($A962),DAY($A962)),$A:$A,0))=""),"",F962/INDEX(F:F,MATCH(DATE(YEAR($A962)-1,MONTH($A962),DAY($A962)),$A:$A,0))-1),"")</f>
        <v>1.9090163050848639</v>
      </c>
      <c r="J962" s="7">
        <f t="shared" ref="J962:J1025" si="138">IFERROR(IF(OR(G962="",INDEX(G:G,MATCH(DATE(YEAR($A962)-1,MONTH($A962),DAY($A962)),$A:$A,0))=""),"",G962/INDEX(G:G,MATCH(DATE(YEAR($A962)-1,MONTH($A962),DAY($A962)),$A:$A,0))-1),"")</f>
        <v>1.3994479828753996</v>
      </c>
      <c r="K962" s="7">
        <f t="shared" si="132"/>
        <v>-4.6530586569220489E-2</v>
      </c>
      <c r="L962" s="7">
        <f t="shared" si="133"/>
        <v>-0.12864889187010331</v>
      </c>
      <c r="M962" s="7">
        <f t="shared" si="134"/>
        <v>-5.2918449667422873E-2</v>
      </c>
      <c r="N962" s="7">
        <f t="shared" ref="N962:N1025" si="139">IF(G962="","",E962/G962)</f>
        <v>0.92843157937781806</v>
      </c>
      <c r="O962" s="7">
        <f t="shared" ref="O962:O1025" si="140">IF(G962="","",F962/G962)</f>
        <v>7.1568420622181883E-2</v>
      </c>
    </row>
    <row r="963" spans="1:15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4">
        <f>IF(SUMIFS('Daily NSE Equity Cash'!$H:$H,'Daily NSE Equity Cash'!$A:$A,$A963)=0,"",SUMIFS('Daily NSE Equity Cash'!$H:$H,'Daily NSE Equity Cash'!$A:$A,$A963))</f>
        <v>1066.4031</v>
      </c>
      <c r="F963" s="4">
        <f>IF(SUMIFS('Daily BSE Equity Cash'!$H:$H,'Daily BSE Equity Cash'!$A:$A,$A963)=0,"",SUMIFS('Daily BSE Equity Cash'!$H:$H,'Daily BSE Equity Cash'!$A:$A,$A963))</f>
        <v>150.38419999999999</v>
      </c>
      <c r="G963" s="4">
        <f t="shared" si="135"/>
        <v>1216.7873</v>
      </c>
      <c r="H963" s="7">
        <f t="shared" si="136"/>
        <v>1.3896998945433703</v>
      </c>
      <c r="I963" s="7">
        <f t="shared" si="137"/>
        <v>3.8546424167296154</v>
      </c>
      <c r="J963" s="7">
        <f t="shared" si="138"/>
        <v>1.5497023220805519</v>
      </c>
      <c r="K963" s="7">
        <f t="shared" ref="K963:K1026" si="141">IF(OR(E963="",E962=""),"",E963/E962-1)</f>
        <v>-1.7370940470212148E-2</v>
      </c>
      <c r="L963" s="7">
        <f t="shared" ref="L963:L1026" si="142">IF(OR(F963="",F962=""),"",F963/F962-1)</f>
        <v>0.79762411364473107</v>
      </c>
      <c r="M963" s="7">
        <f t="shared" ref="M963:M1026" si="143">IF(OR(G963="",G962=""),"",G963/G962-1)</f>
        <v>4.095696836768381E-2</v>
      </c>
      <c r="N963" s="7">
        <f t="shared" si="139"/>
        <v>0.87640880209712912</v>
      </c>
      <c r="O963" s="7">
        <f t="shared" si="140"/>
        <v>0.12359119790287094</v>
      </c>
    </row>
    <row r="964" spans="1:15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4">
        <f>IF(SUMIFS('Daily NSE Equity Cash'!$H:$H,'Daily NSE Equity Cash'!$A:$A,$A964)=0,"",SUMIFS('Daily NSE Equity Cash'!$H:$H,'Daily NSE Equity Cash'!$A:$A,$A964))</f>
        <v>1106.5092999999999</v>
      </c>
      <c r="F964" s="4">
        <f>IF(SUMIFS('Daily BSE Equity Cash'!$H:$H,'Daily BSE Equity Cash'!$A:$A,$A964)=0,"",SUMIFS('Daily BSE Equity Cash'!$H:$H,'Daily BSE Equity Cash'!$A:$A,$A964))</f>
        <v>118.04900000000001</v>
      </c>
      <c r="G964" s="4">
        <f t="shared" si="135"/>
        <v>1224.5582999999999</v>
      </c>
      <c r="H964" s="7">
        <f t="shared" si="136"/>
        <v>1.4553329538860611</v>
      </c>
      <c r="I964" s="7">
        <f t="shared" si="137"/>
        <v>4.0056183824994802</v>
      </c>
      <c r="J964" s="7">
        <f t="shared" si="138"/>
        <v>1.5821554457374636</v>
      </c>
      <c r="K964" s="7">
        <f t="shared" si="141"/>
        <v>3.7608855413117093E-2</v>
      </c>
      <c r="L964" s="7">
        <f t="shared" si="142"/>
        <v>-0.21501726910140817</v>
      </c>
      <c r="M964" s="7">
        <f t="shared" si="143"/>
        <v>6.3864900628072263E-3</v>
      </c>
      <c r="N964" s="7">
        <f t="shared" si="139"/>
        <v>0.90359870983684487</v>
      </c>
      <c r="O964" s="7">
        <f t="shared" si="140"/>
        <v>9.6401290163155171E-2</v>
      </c>
    </row>
    <row r="965" spans="1:15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4">
        <f>IF(SUMIFS('Daily NSE Equity Cash'!$H:$H,'Daily NSE Equity Cash'!$A:$A,$A965)=0,"",SUMIFS('Daily NSE Equity Cash'!$H:$H,'Daily NSE Equity Cash'!$A:$A,$A965))</f>
        <v>1108.7947999999999</v>
      </c>
      <c r="F965" s="4">
        <f>IF(SUMIFS('Daily BSE Equity Cash'!$H:$H,'Daily BSE Equity Cash'!$A:$A,$A965)=0,"",SUMIFS('Daily BSE Equity Cash'!$H:$H,'Daily BSE Equity Cash'!$A:$A,$A965))</f>
        <v>96.935400000000001</v>
      </c>
      <c r="G965" s="4">
        <f t="shared" si="135"/>
        <v>1205.7302</v>
      </c>
      <c r="H965" s="7">
        <f t="shared" si="136"/>
        <v>1.2782559096649213</v>
      </c>
      <c r="I965" s="7">
        <f t="shared" si="137"/>
        <v>0.60773620862088684</v>
      </c>
      <c r="J965" s="7">
        <f t="shared" si="138"/>
        <v>1.2043449939293822</v>
      </c>
      <c r="K965" s="7">
        <f t="shared" si="141"/>
        <v>2.0655045556328133E-3</v>
      </c>
      <c r="L965" s="7">
        <f t="shared" si="142"/>
        <v>-0.17885454345229523</v>
      </c>
      <c r="M965" s="7">
        <f t="shared" si="143"/>
        <v>-1.5375421488711405E-2</v>
      </c>
      <c r="N965" s="7">
        <f t="shared" si="139"/>
        <v>0.91960440237791163</v>
      </c>
      <c r="O965" s="7">
        <f t="shared" si="140"/>
        <v>8.0395597622088255E-2</v>
      </c>
    </row>
    <row r="966" spans="1:15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4">
        <f>IF(SUMIFS('Daily NSE Equity Cash'!$H:$H,'Daily NSE Equity Cash'!$A:$A,$A966)=0,"",SUMIFS('Daily NSE Equity Cash'!$H:$H,'Daily NSE Equity Cash'!$A:$A,$A966))</f>
        <v>950.51020000000005</v>
      </c>
      <c r="F966" s="4">
        <f>IF(SUMIFS('Daily BSE Equity Cash'!$H:$H,'Daily BSE Equity Cash'!$A:$A,$A966)=0,"",SUMIFS('Daily BSE Equity Cash'!$H:$H,'Daily BSE Equity Cash'!$A:$A,$A966))</f>
        <v>83.962999999999994</v>
      </c>
      <c r="G966" s="4">
        <f t="shared" si="135"/>
        <v>1034.4732000000001</v>
      </c>
      <c r="H966" s="7" t="str">
        <f t="shared" si="136"/>
        <v/>
      </c>
      <c r="I966" s="7" t="str">
        <f t="shared" si="137"/>
        <v/>
      </c>
      <c r="J966" s="7" t="str">
        <f t="shared" si="138"/>
        <v/>
      </c>
      <c r="K966" s="7">
        <f t="shared" si="141"/>
        <v>-0.1427537358580685</v>
      </c>
      <c r="L966" s="7">
        <f t="shared" si="142"/>
        <v>-0.13382520730300806</v>
      </c>
      <c r="M966" s="7">
        <f t="shared" si="143"/>
        <v>-0.14203592146899846</v>
      </c>
      <c r="N966" s="7">
        <f t="shared" si="139"/>
        <v>0.9188350167022209</v>
      </c>
      <c r="O966" s="7">
        <f t="shared" si="140"/>
        <v>8.1164983297778992E-2</v>
      </c>
    </row>
    <row r="967" spans="1:15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4">
        <f>IF(SUMIFS('Daily NSE Equity Cash'!$H:$H,'Daily NSE Equity Cash'!$A:$A,$A967)=0,"",SUMIFS('Daily NSE Equity Cash'!$H:$H,'Daily NSE Equity Cash'!$A:$A,$A967))</f>
        <v>938.56420000000003</v>
      </c>
      <c r="F967" s="4">
        <f>IF(SUMIFS('Daily BSE Equity Cash'!$H:$H,'Daily BSE Equity Cash'!$A:$A,$A967)=0,"",SUMIFS('Daily BSE Equity Cash'!$H:$H,'Daily BSE Equity Cash'!$A:$A,$A967))</f>
        <v>108.3751</v>
      </c>
      <c r="G967" s="4">
        <f t="shared" si="135"/>
        <v>1046.9393</v>
      </c>
      <c r="H967" s="7">
        <f t="shared" si="136"/>
        <v>1.3781040877028374</v>
      </c>
      <c r="I967" s="7">
        <f t="shared" si="137"/>
        <v>2.9984467409230273</v>
      </c>
      <c r="J967" s="7">
        <f t="shared" si="138"/>
        <v>1.482231691235151</v>
      </c>
      <c r="K967" s="7">
        <f t="shared" si="141"/>
        <v>-1.2567987171521189E-2</v>
      </c>
      <c r="L967" s="7">
        <f t="shared" si="142"/>
        <v>0.29074830580136513</v>
      </c>
      <c r="M967" s="7">
        <f t="shared" si="143"/>
        <v>1.2050674681567175E-2</v>
      </c>
      <c r="N967" s="7">
        <f t="shared" si="139"/>
        <v>0.8964838744710415</v>
      </c>
      <c r="O967" s="7">
        <f t="shared" si="140"/>
        <v>0.10351612552895856</v>
      </c>
    </row>
    <row r="968" spans="1:15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4">
        <f>IF(SUMIFS('Daily NSE Equity Cash'!$H:$H,'Daily NSE Equity Cash'!$A:$A,$A968)=0,"",SUMIFS('Daily NSE Equity Cash'!$H:$H,'Daily NSE Equity Cash'!$A:$A,$A968))</f>
        <v>1059.6814999999999</v>
      </c>
      <c r="F968" s="4">
        <f>IF(SUMIFS('Daily BSE Equity Cash'!$H:$H,'Daily BSE Equity Cash'!$A:$A,$A968)=0,"",SUMIFS('Daily BSE Equity Cash'!$H:$H,'Daily BSE Equity Cash'!$A:$A,$A968))</f>
        <v>82.240600000000001</v>
      </c>
      <c r="G968" s="4">
        <f t="shared" si="135"/>
        <v>1141.9221</v>
      </c>
      <c r="H968" s="7">
        <f t="shared" si="136"/>
        <v>1.6655978431347394</v>
      </c>
      <c r="I968" s="7">
        <f t="shared" si="137"/>
        <v>2.4675655961310619</v>
      </c>
      <c r="J968" s="7">
        <f t="shared" si="138"/>
        <v>1.7107492575791023</v>
      </c>
      <c r="K968" s="7">
        <f t="shared" si="141"/>
        <v>0.12904530132302061</v>
      </c>
      <c r="L968" s="7">
        <f t="shared" si="142"/>
        <v>-0.24114856641424087</v>
      </c>
      <c r="M968" s="7">
        <f t="shared" si="143"/>
        <v>9.0724266440279866E-2</v>
      </c>
      <c r="N968" s="7">
        <f t="shared" si="139"/>
        <v>0.92798055138787483</v>
      </c>
      <c r="O968" s="7">
        <f t="shared" si="140"/>
        <v>7.2019448612125114E-2</v>
      </c>
    </row>
    <row r="969" spans="1:15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4">
        <f>IF(SUMIFS('Daily NSE Equity Cash'!$H:$H,'Daily NSE Equity Cash'!$A:$A,$A969)=0,"",SUMIFS('Daily NSE Equity Cash'!$H:$H,'Daily NSE Equity Cash'!$A:$A,$A969))</f>
        <v>1017.5861</v>
      </c>
      <c r="F969" s="4">
        <f>IF(SUMIFS('Daily BSE Equity Cash'!$H:$H,'Daily BSE Equity Cash'!$A:$A,$A969)=0,"",SUMIFS('Daily BSE Equity Cash'!$H:$H,'Daily BSE Equity Cash'!$A:$A,$A969))</f>
        <v>81.425600000000003</v>
      </c>
      <c r="G969" s="4">
        <f t="shared" si="135"/>
        <v>1099.0117</v>
      </c>
      <c r="H969" s="7">
        <f t="shared" si="136"/>
        <v>1.4350905262533193</v>
      </c>
      <c r="I969" s="7">
        <f t="shared" si="137"/>
        <v>2.0264226962374883</v>
      </c>
      <c r="J969" s="7">
        <f t="shared" si="138"/>
        <v>1.4708596791468858</v>
      </c>
      <c r="K969" s="7">
        <f t="shared" si="141"/>
        <v>-3.9724577620728452E-2</v>
      </c>
      <c r="L969" s="7">
        <f t="shared" si="142"/>
        <v>-9.9099471550547769E-3</v>
      </c>
      <c r="M969" s="7">
        <f t="shared" si="143"/>
        <v>-3.7577344374016386E-2</v>
      </c>
      <c r="N969" s="7">
        <f t="shared" si="139"/>
        <v>0.92591016092003386</v>
      </c>
      <c r="O969" s="7">
        <f t="shared" si="140"/>
        <v>7.4089839079966122E-2</v>
      </c>
    </row>
    <row r="970" spans="1:15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4">
        <f>IF(SUMIFS('Daily NSE Equity Cash'!$H:$H,'Daily NSE Equity Cash'!$A:$A,$A970)=0,"",SUMIFS('Daily NSE Equity Cash'!$H:$H,'Daily NSE Equity Cash'!$A:$A,$A970))</f>
        <v>1048.1196</v>
      </c>
      <c r="F970" s="4">
        <f>IF(SUMIFS('Daily BSE Equity Cash'!$H:$H,'Daily BSE Equity Cash'!$A:$A,$A970)=0,"",SUMIFS('Daily BSE Equity Cash'!$H:$H,'Daily BSE Equity Cash'!$A:$A,$A970))</f>
        <v>88.150899999999993</v>
      </c>
      <c r="G970" s="4">
        <f t="shared" si="135"/>
        <v>1136.2705000000001</v>
      </c>
      <c r="H970" s="7">
        <f t="shared" si="136"/>
        <v>1.3267224661154207</v>
      </c>
      <c r="I970" s="7">
        <f t="shared" si="137"/>
        <v>2.2745505200594347</v>
      </c>
      <c r="J970" s="7">
        <f t="shared" si="138"/>
        <v>1.3801704014156968</v>
      </c>
      <c r="K970" s="7">
        <f t="shared" si="141"/>
        <v>3.0005814741376646E-2</v>
      </c>
      <c r="L970" s="7">
        <f t="shared" si="142"/>
        <v>8.259441748049734E-2</v>
      </c>
      <c r="M970" s="7">
        <f t="shared" si="143"/>
        <v>3.3902095855758541E-2</v>
      </c>
      <c r="N970" s="7">
        <f t="shared" si="139"/>
        <v>0.92242084961283421</v>
      </c>
      <c r="O970" s="7">
        <f t="shared" si="140"/>
        <v>7.7579150387165716E-2</v>
      </c>
    </row>
    <row r="971" spans="1:15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4">
        <f>IF(SUMIFS('Daily NSE Equity Cash'!$H:$H,'Daily NSE Equity Cash'!$A:$A,$A971)=0,"",SUMIFS('Daily NSE Equity Cash'!$H:$H,'Daily NSE Equity Cash'!$A:$A,$A971))</f>
        <v>974.05</v>
      </c>
      <c r="F971" s="4">
        <f>IF(SUMIFS('Daily BSE Equity Cash'!$H:$H,'Daily BSE Equity Cash'!$A:$A,$A971)=0,"",SUMIFS('Daily BSE Equity Cash'!$H:$H,'Daily BSE Equity Cash'!$A:$A,$A971))</f>
        <v>71.733400000000003</v>
      </c>
      <c r="G971" s="4">
        <f t="shared" si="135"/>
        <v>1045.7834</v>
      </c>
      <c r="H971" s="7" t="str">
        <f t="shared" si="136"/>
        <v/>
      </c>
      <c r="I971" s="7" t="str">
        <f t="shared" si="137"/>
        <v/>
      </c>
      <c r="J971" s="7" t="str">
        <f t="shared" si="138"/>
        <v/>
      </c>
      <c r="K971" s="7">
        <f t="shared" si="141"/>
        <v>-7.066903433539462E-2</v>
      </c>
      <c r="L971" s="7">
        <f t="shared" si="142"/>
        <v>-0.18624313535085846</v>
      </c>
      <c r="M971" s="7">
        <f t="shared" si="143"/>
        <v>-7.9635174898934791E-2</v>
      </c>
      <c r="N971" s="7">
        <f t="shared" si="139"/>
        <v>0.93140701984751328</v>
      </c>
      <c r="O971" s="7">
        <f t="shared" si="140"/>
        <v>6.8592980152486646E-2</v>
      </c>
    </row>
    <row r="972" spans="1:15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4">
        <f>IF(SUMIFS('Daily NSE Equity Cash'!$H:$H,'Daily NSE Equity Cash'!$A:$A,$A972)=0,"",SUMIFS('Daily NSE Equity Cash'!$H:$H,'Daily NSE Equity Cash'!$A:$A,$A972))</f>
        <v>975.54750000000001</v>
      </c>
      <c r="F972" s="4">
        <f>IF(SUMIFS('Daily BSE Equity Cash'!$H:$H,'Daily BSE Equity Cash'!$A:$A,$A972)=0,"",SUMIFS('Daily BSE Equity Cash'!$H:$H,'Daily BSE Equity Cash'!$A:$A,$A972))</f>
        <v>96.987099999999998</v>
      </c>
      <c r="G972" s="4">
        <f t="shared" si="135"/>
        <v>1072.5346</v>
      </c>
      <c r="H972" s="7">
        <f t="shared" si="136"/>
        <v>1.4191034651380896</v>
      </c>
      <c r="I972" s="7">
        <f t="shared" si="137"/>
        <v>2.7606621196670016</v>
      </c>
      <c r="J972" s="7">
        <f t="shared" si="138"/>
        <v>1.4997421095185013</v>
      </c>
      <c r="K972" s="7">
        <f t="shared" si="141"/>
        <v>1.5373954109132448E-3</v>
      </c>
      <c r="L972" s="7">
        <f t="shared" si="142"/>
        <v>0.35204939400613933</v>
      </c>
      <c r="M972" s="7">
        <f t="shared" si="143"/>
        <v>2.5580057973763948E-2</v>
      </c>
      <c r="N972" s="7">
        <f t="shared" si="139"/>
        <v>0.90957205483161108</v>
      </c>
      <c r="O972" s="7">
        <f t="shared" si="140"/>
        <v>9.0427945168388979E-2</v>
      </c>
    </row>
    <row r="973" spans="1:15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4">
        <f>IF(SUMIFS('Daily NSE Equity Cash'!$H:$H,'Daily NSE Equity Cash'!$A:$A,$A973)=0,"",SUMIFS('Daily NSE Equity Cash'!$H:$H,'Daily NSE Equity Cash'!$A:$A,$A973))</f>
        <v>935.72230000000002</v>
      </c>
      <c r="F973" s="4">
        <f>IF(SUMIFS('Daily BSE Equity Cash'!$H:$H,'Daily BSE Equity Cash'!$A:$A,$A973)=0,"",SUMIFS('Daily BSE Equity Cash'!$H:$H,'Daily BSE Equity Cash'!$A:$A,$A973))</f>
        <v>71.026899999999998</v>
      </c>
      <c r="G973" s="4">
        <f t="shared" si="135"/>
        <v>1006.7492</v>
      </c>
      <c r="H973" s="7">
        <f t="shared" si="136"/>
        <v>0.36700619192151751</v>
      </c>
      <c r="I973" s="7">
        <f t="shared" si="137"/>
        <v>1.4565476787499176</v>
      </c>
      <c r="J973" s="7">
        <f t="shared" si="138"/>
        <v>0.41116296320488632</v>
      </c>
      <c r="K973" s="7">
        <f t="shared" si="141"/>
        <v>-4.082343504544883E-2</v>
      </c>
      <c r="L973" s="7">
        <f t="shared" si="142"/>
        <v>-0.26766652472339103</v>
      </c>
      <c r="M973" s="7">
        <f t="shared" si="143"/>
        <v>-6.1336389520673773E-2</v>
      </c>
      <c r="N973" s="7">
        <f t="shared" si="139"/>
        <v>0.92944926104733938</v>
      </c>
      <c r="O973" s="7">
        <f t="shared" si="140"/>
        <v>7.0550738952660702E-2</v>
      </c>
    </row>
    <row r="974" spans="1:15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4">
        <f>IF(SUMIFS('Daily NSE Equity Cash'!$H:$H,'Daily NSE Equity Cash'!$A:$A,$A974)=0,"",SUMIFS('Daily NSE Equity Cash'!$H:$H,'Daily NSE Equity Cash'!$A:$A,$A974))</f>
        <v>1446.8883000000001</v>
      </c>
      <c r="F974" s="4">
        <f>IF(SUMIFS('Daily BSE Equity Cash'!$H:$H,'Daily BSE Equity Cash'!$A:$A,$A974)=0,"",SUMIFS('Daily BSE Equity Cash'!$H:$H,'Daily BSE Equity Cash'!$A:$A,$A974))</f>
        <v>93.514200000000002</v>
      </c>
      <c r="G974" s="4">
        <f t="shared" si="135"/>
        <v>1540.4025000000001</v>
      </c>
      <c r="H974" s="7">
        <f t="shared" si="136"/>
        <v>2.3094796808106954</v>
      </c>
      <c r="I974" s="7">
        <f t="shared" si="137"/>
        <v>1.5530656707127295</v>
      </c>
      <c r="J974" s="7">
        <f t="shared" si="138"/>
        <v>2.2510062295374671</v>
      </c>
      <c r="K974" s="7">
        <f t="shared" si="141"/>
        <v>0.54627959598697173</v>
      </c>
      <c r="L974" s="7">
        <f t="shared" si="142"/>
        <v>0.31660258296504562</v>
      </c>
      <c r="M974" s="7">
        <f t="shared" si="143"/>
        <v>0.53007571299783529</v>
      </c>
      <c r="N974" s="7">
        <f t="shared" si="139"/>
        <v>0.93929236027596674</v>
      </c>
      <c r="O974" s="7">
        <f t="shared" si="140"/>
        <v>6.0707639724033161E-2</v>
      </c>
    </row>
    <row r="975" spans="1:15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4">
        <f>IF(SUMIFS('Daily NSE Equity Cash'!$H:$H,'Daily NSE Equity Cash'!$A:$A,$A975)=0,"",SUMIFS('Daily NSE Equity Cash'!$H:$H,'Daily NSE Equity Cash'!$A:$A,$A975))</f>
        <v>923.7491</v>
      </c>
      <c r="F975" s="4">
        <f>IF(SUMIFS('Daily BSE Equity Cash'!$H:$H,'Daily BSE Equity Cash'!$A:$A,$A975)=0,"",SUMIFS('Daily BSE Equity Cash'!$H:$H,'Daily BSE Equity Cash'!$A:$A,$A975))</f>
        <v>81.207300000000004</v>
      </c>
      <c r="G975" s="4">
        <f t="shared" si="135"/>
        <v>1004.9564</v>
      </c>
      <c r="H975" s="7">
        <f t="shared" si="136"/>
        <v>1.1128990237996721</v>
      </c>
      <c r="I975" s="7">
        <f t="shared" si="137"/>
        <v>1.2170704539125592</v>
      </c>
      <c r="J975" s="7">
        <f t="shared" si="138"/>
        <v>1.1209518400635847</v>
      </c>
      <c r="K975" s="7">
        <f t="shared" si="141"/>
        <v>-0.36156156629368008</v>
      </c>
      <c r="L975" s="7">
        <f t="shared" si="142"/>
        <v>-0.13160461191990092</v>
      </c>
      <c r="M975" s="7">
        <f t="shared" si="143"/>
        <v>-0.34760142235552072</v>
      </c>
      <c r="N975" s="7">
        <f t="shared" si="139"/>
        <v>0.91919321077013882</v>
      </c>
      <c r="O975" s="7">
        <f t="shared" si="140"/>
        <v>8.080678922986112E-2</v>
      </c>
    </row>
    <row r="976" spans="1:15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4">
        <f>IF(SUMIFS('Daily NSE Equity Cash'!$H:$H,'Daily NSE Equity Cash'!$A:$A,$A976)=0,"",SUMIFS('Daily NSE Equity Cash'!$H:$H,'Daily NSE Equity Cash'!$A:$A,$A976))</f>
        <v>104.2723</v>
      </c>
      <c r="F976" s="4">
        <f>IF(SUMIFS('Daily BSE Equity Cash'!$H:$H,'Daily BSE Equity Cash'!$A:$A,$A976)=0,"",SUMIFS('Daily BSE Equity Cash'!$H:$H,'Daily BSE Equity Cash'!$A:$A,$A976))</f>
        <v>10.788399999999999</v>
      </c>
      <c r="G976" s="4">
        <f t="shared" si="135"/>
        <v>115.0607</v>
      </c>
      <c r="H976" s="7">
        <f t="shared" si="136"/>
        <v>-0.80653588877700988</v>
      </c>
      <c r="I976" s="7">
        <f t="shared" si="137"/>
        <v>-0.86677500777981398</v>
      </c>
      <c r="J976" s="7">
        <f t="shared" si="138"/>
        <v>-0.81440436600346122</v>
      </c>
      <c r="K976" s="7">
        <f t="shared" si="141"/>
        <v>-0.88712053954910486</v>
      </c>
      <c r="L976" s="7">
        <f t="shared" si="142"/>
        <v>-0.86714987445709935</v>
      </c>
      <c r="M976" s="7">
        <f t="shared" si="143"/>
        <v>-0.88550677422423496</v>
      </c>
      <c r="N976" s="7">
        <f t="shared" si="139"/>
        <v>0.90623731647730288</v>
      </c>
      <c r="O976" s="7">
        <f t="shared" si="140"/>
        <v>9.3762683522697149E-2</v>
      </c>
    </row>
    <row r="977" spans="1:15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4">
        <f>IF(SUMIFS('Daily NSE Equity Cash'!$H:$H,'Daily NSE Equity Cash'!$A:$A,$A977)=0,"",SUMIFS('Daily NSE Equity Cash'!$H:$H,'Daily NSE Equity Cash'!$A:$A,$A977))</f>
        <v>911.70749999999998</v>
      </c>
      <c r="F977" s="4">
        <f>IF(SUMIFS('Daily BSE Equity Cash'!$H:$H,'Daily BSE Equity Cash'!$A:$A,$A977)=0,"",SUMIFS('Daily BSE Equity Cash'!$H:$H,'Daily BSE Equity Cash'!$A:$A,$A977))</f>
        <v>72.473100000000002</v>
      </c>
      <c r="G977" s="4">
        <f t="shared" si="135"/>
        <v>984.18060000000003</v>
      </c>
      <c r="H977" s="7" t="str">
        <f t="shared" si="136"/>
        <v/>
      </c>
      <c r="I977" s="7" t="str">
        <f t="shared" si="137"/>
        <v/>
      </c>
      <c r="J977" s="7" t="str">
        <f t="shared" si="138"/>
        <v/>
      </c>
      <c r="K977" s="7">
        <f t="shared" si="141"/>
        <v>7.7435253657970531</v>
      </c>
      <c r="L977" s="7">
        <f t="shared" si="142"/>
        <v>5.7176875162211269</v>
      </c>
      <c r="M977" s="7">
        <f t="shared" si="143"/>
        <v>7.5535773726389639</v>
      </c>
      <c r="N977" s="7">
        <f t="shared" si="139"/>
        <v>0.92636199087850335</v>
      </c>
      <c r="O977" s="7">
        <f t="shared" si="140"/>
        <v>7.3638009121496609E-2</v>
      </c>
    </row>
    <row r="978" spans="1:15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4">
        <f>IF(SUMIFS('Daily NSE Equity Cash'!$H:$H,'Daily NSE Equity Cash'!$A:$A,$A978)=0,"",SUMIFS('Daily NSE Equity Cash'!$H:$H,'Daily NSE Equity Cash'!$A:$A,$A978))</f>
        <v>954.99789999999996</v>
      </c>
      <c r="F978" s="4">
        <f>IF(SUMIFS('Daily BSE Equity Cash'!$H:$H,'Daily BSE Equity Cash'!$A:$A,$A978)=0,"",SUMIFS('Daily BSE Equity Cash'!$H:$H,'Daily BSE Equity Cash'!$A:$A,$A978))</f>
        <v>85.524900000000002</v>
      </c>
      <c r="G978" s="4">
        <f t="shared" si="135"/>
        <v>1040.5228</v>
      </c>
      <c r="H978" s="7" t="str">
        <f t="shared" si="136"/>
        <v/>
      </c>
      <c r="I978" s="7" t="str">
        <f t="shared" si="137"/>
        <v/>
      </c>
      <c r="J978" s="7" t="str">
        <f t="shared" si="138"/>
        <v/>
      </c>
      <c r="K978" s="7">
        <f t="shared" si="141"/>
        <v>4.7482772709448895E-2</v>
      </c>
      <c r="L978" s="7">
        <f t="shared" si="142"/>
        <v>0.18009164779759668</v>
      </c>
      <c r="M978" s="7">
        <f t="shared" si="143"/>
        <v>5.7247826262781354E-2</v>
      </c>
      <c r="N978" s="7">
        <f t="shared" si="139"/>
        <v>0.91780583760394296</v>
      </c>
      <c r="O978" s="7">
        <f t="shared" si="140"/>
        <v>8.2194162396057063E-2</v>
      </c>
    </row>
    <row r="979" spans="1:15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4">
        <f>IF(SUMIFS('Daily NSE Equity Cash'!$H:$H,'Daily NSE Equity Cash'!$A:$A,$A979)=0,"",SUMIFS('Daily NSE Equity Cash'!$H:$H,'Daily NSE Equity Cash'!$A:$A,$A979))</f>
        <v>1102.0413000000001</v>
      </c>
      <c r="F979" s="4">
        <f>IF(SUMIFS('Daily BSE Equity Cash'!$H:$H,'Daily BSE Equity Cash'!$A:$A,$A979)=0,"",SUMIFS('Daily BSE Equity Cash'!$H:$H,'Daily BSE Equity Cash'!$A:$A,$A979))</f>
        <v>110.6763</v>
      </c>
      <c r="G979" s="4">
        <f t="shared" si="135"/>
        <v>1212.7176000000002</v>
      </c>
      <c r="H979" s="7">
        <f t="shared" si="136"/>
        <v>1.1091211093484725</v>
      </c>
      <c r="I979" s="7">
        <f t="shared" si="137"/>
        <v>2.3703727389000546</v>
      </c>
      <c r="J979" s="7">
        <f t="shared" si="138"/>
        <v>1.1836992556587282</v>
      </c>
      <c r="K979" s="7">
        <f t="shared" si="141"/>
        <v>0.15397248517509854</v>
      </c>
      <c r="L979" s="7">
        <f t="shared" si="142"/>
        <v>0.2940827758933362</v>
      </c>
      <c r="M979" s="7">
        <f t="shared" si="143"/>
        <v>0.16548873316375223</v>
      </c>
      <c r="N979" s="7">
        <f t="shared" si="139"/>
        <v>0.90873695574303526</v>
      </c>
      <c r="O979" s="7">
        <f t="shared" si="140"/>
        <v>9.1263044256964673E-2</v>
      </c>
    </row>
    <row r="980" spans="1:15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4">
        <f>IF(SUMIFS('Daily NSE Equity Cash'!$H:$H,'Daily NSE Equity Cash'!$A:$A,$A980)=0,"",SUMIFS('Daily NSE Equity Cash'!$H:$H,'Daily NSE Equity Cash'!$A:$A,$A980))</f>
        <v>1052.7538</v>
      </c>
      <c r="F980" s="4">
        <f>IF(SUMIFS('Daily BSE Equity Cash'!$H:$H,'Daily BSE Equity Cash'!$A:$A,$A980)=0,"",SUMIFS('Daily BSE Equity Cash'!$H:$H,'Daily BSE Equity Cash'!$A:$A,$A980))</f>
        <v>70.531999999999996</v>
      </c>
      <c r="G980" s="4">
        <f t="shared" si="135"/>
        <v>1123.2857999999999</v>
      </c>
      <c r="H980" s="7" t="str">
        <f t="shared" si="136"/>
        <v/>
      </c>
      <c r="I980" s="7" t="str">
        <f t="shared" si="137"/>
        <v/>
      </c>
      <c r="J980" s="7" t="str">
        <f t="shared" si="138"/>
        <v/>
      </c>
      <c r="K980" s="7">
        <f t="shared" si="141"/>
        <v>-4.4723822963803728E-2</v>
      </c>
      <c r="L980" s="7">
        <f t="shared" si="142"/>
        <v>-0.36271812483792831</v>
      </c>
      <c r="M980" s="7">
        <f t="shared" si="143"/>
        <v>-7.374495100920464E-2</v>
      </c>
      <c r="N980" s="7">
        <f t="shared" si="139"/>
        <v>0.93720921247290767</v>
      </c>
      <c r="O980" s="7">
        <f t="shared" si="140"/>
        <v>6.2790787527092398E-2</v>
      </c>
    </row>
    <row r="981" spans="1:15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4">
        <f>IF(SUMIFS('Daily NSE Equity Cash'!$H:$H,'Daily NSE Equity Cash'!$A:$A,$A981)=0,"",SUMIFS('Daily NSE Equity Cash'!$H:$H,'Daily NSE Equity Cash'!$A:$A,$A981))</f>
        <v>993.41890000000001</v>
      </c>
      <c r="F981" s="4">
        <f>IF(SUMIFS('Daily BSE Equity Cash'!$H:$H,'Daily BSE Equity Cash'!$A:$A,$A981)=0,"",SUMIFS('Daily BSE Equity Cash'!$H:$H,'Daily BSE Equity Cash'!$A:$A,$A981))</f>
        <v>134.51429999999999</v>
      </c>
      <c r="G981" s="4">
        <f t="shared" si="135"/>
        <v>1127.9331999999999</v>
      </c>
      <c r="H981" s="7" t="str">
        <f t="shared" si="136"/>
        <v/>
      </c>
      <c r="I981" s="7" t="str">
        <f t="shared" si="137"/>
        <v/>
      </c>
      <c r="J981" s="7" t="str">
        <f t="shared" si="138"/>
        <v/>
      </c>
      <c r="K981" s="7">
        <f t="shared" si="141"/>
        <v>-5.6361610853363775E-2</v>
      </c>
      <c r="L981" s="7">
        <f t="shared" si="142"/>
        <v>0.90713860375432431</v>
      </c>
      <c r="M981" s="7">
        <f t="shared" si="143"/>
        <v>4.1373264043755853E-3</v>
      </c>
      <c r="N981" s="7">
        <f t="shared" si="139"/>
        <v>0.8807426716404837</v>
      </c>
      <c r="O981" s="7">
        <f t="shared" si="140"/>
        <v>0.11925732835951633</v>
      </c>
    </row>
    <row r="982" spans="1:15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4">
        <f>IF(SUMIFS('Daily NSE Equity Cash'!$H:$H,'Daily NSE Equity Cash'!$A:$A,$A982)=0,"",SUMIFS('Daily NSE Equity Cash'!$H:$H,'Daily NSE Equity Cash'!$A:$A,$A982))</f>
        <v>982.73820000000001</v>
      </c>
      <c r="F982" s="4">
        <f>IF(SUMIFS('Daily BSE Equity Cash'!$H:$H,'Daily BSE Equity Cash'!$A:$A,$A982)=0,"",SUMIFS('Daily BSE Equity Cash'!$H:$H,'Daily BSE Equity Cash'!$A:$A,$A982))</f>
        <v>69.946299999999994</v>
      </c>
      <c r="G982" s="4">
        <f t="shared" si="135"/>
        <v>1052.6845000000001</v>
      </c>
      <c r="H982" s="7" t="str">
        <f t="shared" si="136"/>
        <v/>
      </c>
      <c r="I982" s="7" t="str">
        <f t="shared" si="137"/>
        <v/>
      </c>
      <c r="J982" s="7" t="str">
        <f t="shared" si="138"/>
        <v/>
      </c>
      <c r="K982" s="7">
        <f t="shared" si="141"/>
        <v>-1.075145640977837E-2</v>
      </c>
      <c r="L982" s="7">
        <f t="shared" si="142"/>
        <v>-0.48000844519876329</v>
      </c>
      <c r="M982" s="7">
        <f t="shared" si="143"/>
        <v>-6.6713791206784112E-2</v>
      </c>
      <c r="N982" s="7">
        <f t="shared" si="139"/>
        <v>0.9335543555547744</v>
      </c>
      <c r="O982" s="7">
        <f t="shared" si="140"/>
        <v>6.6445644445225507E-2</v>
      </c>
    </row>
    <row r="983" spans="1:15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4">
        <f>IF(SUMIFS('Daily NSE Equity Cash'!$H:$H,'Daily NSE Equity Cash'!$A:$A,$A983)=0,"",SUMIFS('Daily NSE Equity Cash'!$H:$H,'Daily NSE Equity Cash'!$A:$A,$A983))</f>
        <v>1282.4709</v>
      </c>
      <c r="F983" s="4">
        <f>IF(SUMIFS('Daily BSE Equity Cash'!$H:$H,'Daily BSE Equity Cash'!$A:$A,$A983)=0,"",SUMIFS('Daily BSE Equity Cash'!$H:$H,'Daily BSE Equity Cash'!$A:$A,$A983))</f>
        <v>265.90109999999999</v>
      </c>
      <c r="G983" s="4">
        <f t="shared" si="135"/>
        <v>1548.3720000000001</v>
      </c>
      <c r="H983" s="7">
        <f t="shared" si="136"/>
        <v>1.6367115051430918</v>
      </c>
      <c r="I983" s="7">
        <f t="shared" si="137"/>
        <v>1.8231009177428872</v>
      </c>
      <c r="J983" s="7">
        <f t="shared" si="138"/>
        <v>1.6669496031454178</v>
      </c>
      <c r="K983" s="7">
        <f t="shared" si="141"/>
        <v>0.30499750594817621</v>
      </c>
      <c r="L983" s="7">
        <f t="shared" si="142"/>
        <v>2.8015034390668272</v>
      </c>
      <c r="M983" s="7">
        <f t="shared" si="143"/>
        <v>0.47087945153557409</v>
      </c>
      <c r="N983" s="7">
        <f t="shared" si="139"/>
        <v>0.82827053188768585</v>
      </c>
      <c r="O983" s="7">
        <f t="shared" si="140"/>
        <v>0.17172946811231407</v>
      </c>
    </row>
    <row r="984" spans="1:15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4">
        <f>IF(SUMIFS('Daily NSE Equity Cash'!$H:$H,'Daily NSE Equity Cash'!$A:$A,$A984)=0,"",SUMIFS('Daily NSE Equity Cash'!$H:$H,'Daily NSE Equity Cash'!$A:$A,$A984))</f>
        <v>1152.3529000000001</v>
      </c>
      <c r="F984" s="4">
        <f>IF(SUMIFS('Daily BSE Equity Cash'!$H:$H,'Daily BSE Equity Cash'!$A:$A,$A984)=0,"",SUMIFS('Daily BSE Equity Cash'!$H:$H,'Daily BSE Equity Cash'!$A:$A,$A984))</f>
        <v>78.320899999999995</v>
      </c>
      <c r="G984" s="4">
        <f t="shared" si="135"/>
        <v>1230.6738</v>
      </c>
      <c r="H984" s="7">
        <f t="shared" si="136"/>
        <v>1.2075874071952595</v>
      </c>
      <c r="I984" s="7">
        <f t="shared" si="137"/>
        <v>1.2486943539241158</v>
      </c>
      <c r="J984" s="7">
        <f t="shared" si="138"/>
        <v>1.210158649201007</v>
      </c>
      <c r="K984" s="7">
        <f t="shared" si="141"/>
        <v>-0.10145883232126351</v>
      </c>
      <c r="L984" s="7">
        <f t="shared" si="142"/>
        <v>-0.70545101167313717</v>
      </c>
      <c r="M984" s="7">
        <f t="shared" si="143"/>
        <v>-0.20518208802535831</v>
      </c>
      <c r="N984" s="7">
        <f t="shared" si="139"/>
        <v>0.93635933421187656</v>
      </c>
      <c r="O984" s="7">
        <f t="shared" si="140"/>
        <v>6.3640665788123538E-2</v>
      </c>
    </row>
    <row r="985" spans="1:15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4">
        <f>IF(SUMIFS('Daily NSE Equity Cash'!$H:$H,'Daily NSE Equity Cash'!$A:$A,$A985)=0,"",SUMIFS('Daily NSE Equity Cash'!$H:$H,'Daily NSE Equity Cash'!$A:$A,$A985))</f>
        <v>1503.4411</v>
      </c>
      <c r="F985" s="4">
        <f>IF(SUMIFS('Daily BSE Equity Cash'!$H:$H,'Daily BSE Equity Cash'!$A:$A,$A985)=0,"",SUMIFS('Daily BSE Equity Cash'!$H:$H,'Daily BSE Equity Cash'!$A:$A,$A985))</f>
        <v>77.559700000000007</v>
      </c>
      <c r="G985" s="4">
        <f t="shared" si="135"/>
        <v>1581.0008</v>
      </c>
      <c r="H985" s="7">
        <f t="shared" si="136"/>
        <v>2.214575264953599</v>
      </c>
      <c r="I985" s="7">
        <f t="shared" si="137"/>
        <v>1.781891808523612</v>
      </c>
      <c r="J985" s="7">
        <f t="shared" si="138"/>
        <v>2.1902332501236441</v>
      </c>
      <c r="K985" s="7">
        <f t="shared" si="141"/>
        <v>0.30467073064162897</v>
      </c>
      <c r="L985" s="7">
        <f t="shared" si="142"/>
        <v>-9.7189894396002563E-3</v>
      </c>
      <c r="M985" s="7">
        <f t="shared" si="143"/>
        <v>0.28466275953871767</v>
      </c>
      <c r="N985" s="7">
        <f t="shared" si="139"/>
        <v>0.95094265606949724</v>
      </c>
      <c r="O985" s="7">
        <f t="shared" si="140"/>
        <v>4.9057343930502761E-2</v>
      </c>
    </row>
    <row r="986" spans="1:15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4">
        <f>IF(SUMIFS('Daily NSE Equity Cash'!$H:$H,'Daily NSE Equity Cash'!$A:$A,$A986)=0,"",SUMIFS('Daily NSE Equity Cash'!$H:$H,'Daily NSE Equity Cash'!$A:$A,$A986))</f>
        <v>794.40599999999995</v>
      </c>
      <c r="F986" s="4">
        <f>IF(SUMIFS('Daily BSE Equity Cash'!$H:$H,'Daily BSE Equity Cash'!$A:$A,$A986)=0,"",SUMIFS('Daily BSE Equity Cash'!$H:$H,'Daily BSE Equity Cash'!$A:$A,$A986))</f>
        <v>51.326700000000002</v>
      </c>
      <c r="G986" s="4">
        <f t="shared" si="135"/>
        <v>845.73269999999991</v>
      </c>
      <c r="H986" s="7" t="str">
        <f t="shared" si="136"/>
        <v/>
      </c>
      <c r="I986" s="7" t="str">
        <f t="shared" si="137"/>
        <v/>
      </c>
      <c r="J986" s="7" t="str">
        <f t="shared" si="138"/>
        <v/>
      </c>
      <c r="K986" s="7">
        <f t="shared" si="141"/>
        <v>-0.47160816609310474</v>
      </c>
      <c r="L986" s="7">
        <f t="shared" si="142"/>
        <v>-0.33822977654632502</v>
      </c>
      <c r="M986" s="7">
        <f t="shared" si="143"/>
        <v>-0.46506497656421175</v>
      </c>
      <c r="N986" s="7">
        <f t="shared" si="139"/>
        <v>0.93931096669195835</v>
      </c>
      <c r="O986" s="7">
        <f t="shared" si="140"/>
        <v>6.0689033308041665E-2</v>
      </c>
    </row>
    <row r="987" spans="1:15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4">
        <f>IF(SUMIFS('Daily NSE Equity Cash'!$H:$H,'Daily NSE Equity Cash'!$A:$A,$A987)=0,"",SUMIFS('Daily NSE Equity Cash'!$H:$H,'Daily NSE Equity Cash'!$A:$A,$A987))</f>
        <v>826.67269999999996</v>
      </c>
      <c r="F987" s="4">
        <f>IF(SUMIFS('Daily BSE Equity Cash'!$H:$H,'Daily BSE Equity Cash'!$A:$A,$A987)=0,"",SUMIFS('Daily BSE Equity Cash'!$H:$H,'Daily BSE Equity Cash'!$A:$A,$A987))</f>
        <v>159.0941</v>
      </c>
      <c r="G987" s="4">
        <f t="shared" si="135"/>
        <v>985.76679999999999</v>
      </c>
      <c r="H987" s="7" t="str">
        <f t="shared" si="136"/>
        <v/>
      </c>
      <c r="I987" s="7" t="str">
        <f t="shared" si="137"/>
        <v/>
      </c>
      <c r="J987" s="7" t="str">
        <f t="shared" si="138"/>
        <v/>
      </c>
      <c r="K987" s="7">
        <f t="shared" si="141"/>
        <v>4.0617392114359774E-2</v>
      </c>
      <c r="L987" s="7">
        <f t="shared" si="142"/>
        <v>2.0996362516974596</v>
      </c>
      <c r="M987" s="7">
        <f t="shared" si="143"/>
        <v>0.16557725626548447</v>
      </c>
      <c r="N987" s="7">
        <f t="shared" si="139"/>
        <v>0.838608786581167</v>
      </c>
      <c r="O987" s="7">
        <f t="shared" si="140"/>
        <v>0.16139121341883292</v>
      </c>
    </row>
    <row r="988" spans="1:15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4">
        <f>IF(SUMIFS('Daily NSE Equity Cash'!$H:$H,'Daily NSE Equity Cash'!$A:$A,$A988)=0,"",SUMIFS('Daily NSE Equity Cash'!$H:$H,'Daily NSE Equity Cash'!$A:$A,$A988))</f>
        <v>808.45540000000005</v>
      </c>
      <c r="F988" s="4">
        <f>IF(SUMIFS('Daily BSE Equity Cash'!$H:$H,'Daily BSE Equity Cash'!$A:$A,$A988)=0,"",SUMIFS('Daily BSE Equity Cash'!$H:$H,'Daily BSE Equity Cash'!$A:$A,$A988))</f>
        <v>54.4938</v>
      </c>
      <c r="G988" s="4">
        <f t="shared" si="135"/>
        <v>862.94920000000002</v>
      </c>
      <c r="H988" s="7">
        <f t="shared" si="136"/>
        <v>0.71739525275993343</v>
      </c>
      <c r="I988" s="7">
        <f t="shared" si="137"/>
        <v>0.6513172647438501</v>
      </c>
      <c r="J988" s="7">
        <f t="shared" si="138"/>
        <v>0.7130665040448021</v>
      </c>
      <c r="K988" s="7">
        <f t="shared" si="141"/>
        <v>-2.2036895617818186E-2</v>
      </c>
      <c r="L988" s="7">
        <f t="shared" si="142"/>
        <v>-0.65747441294177467</v>
      </c>
      <c r="M988" s="7">
        <f t="shared" si="143"/>
        <v>-0.12459092759058221</v>
      </c>
      <c r="N988" s="7">
        <f t="shared" si="139"/>
        <v>0.9368516709905983</v>
      </c>
      <c r="O988" s="7">
        <f t="shared" si="140"/>
        <v>6.3148329009401705E-2</v>
      </c>
    </row>
    <row r="989" spans="1:15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4">
        <f>IF(SUMIFS('Daily NSE Equity Cash'!$H:$H,'Daily NSE Equity Cash'!$A:$A,$A989)=0,"",SUMIFS('Daily NSE Equity Cash'!$H:$H,'Daily NSE Equity Cash'!$A:$A,$A989))</f>
        <v>893.13850000000002</v>
      </c>
      <c r="F989" s="4">
        <f>IF(SUMIFS('Daily BSE Equity Cash'!$H:$H,'Daily BSE Equity Cash'!$A:$A,$A989)=0,"",SUMIFS('Daily BSE Equity Cash'!$H:$H,'Daily BSE Equity Cash'!$A:$A,$A989))</f>
        <v>51.06</v>
      </c>
      <c r="G989" s="4">
        <f t="shared" si="135"/>
        <v>944.19849999999997</v>
      </c>
      <c r="H989" s="7">
        <f t="shared" si="136"/>
        <v>0.97467654485634525</v>
      </c>
      <c r="I989" s="7">
        <f t="shared" si="137"/>
        <v>0.97778957031688796</v>
      </c>
      <c r="J989" s="7">
        <f t="shared" si="138"/>
        <v>0.974844639173015</v>
      </c>
      <c r="K989" s="7">
        <f t="shared" si="141"/>
        <v>0.10474678009448635</v>
      </c>
      <c r="L989" s="7">
        <f t="shared" si="142"/>
        <v>-6.3012673001332176E-2</v>
      </c>
      <c r="M989" s="7">
        <f t="shared" si="143"/>
        <v>9.4153050955954276E-2</v>
      </c>
      <c r="N989" s="7">
        <f t="shared" si="139"/>
        <v>0.94592238814190033</v>
      </c>
      <c r="O989" s="7">
        <f t="shared" si="140"/>
        <v>5.4077611858099756E-2</v>
      </c>
    </row>
    <row r="990" spans="1:15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4">
        <f>IF(SUMIFS('Daily NSE Equity Cash'!$H:$H,'Daily NSE Equity Cash'!$A:$A,$A990)=0,"",SUMIFS('Daily NSE Equity Cash'!$H:$H,'Daily NSE Equity Cash'!$A:$A,$A990))</f>
        <v>982.26890000000003</v>
      </c>
      <c r="F990" s="4">
        <f>IF(SUMIFS('Daily BSE Equity Cash'!$H:$H,'Daily BSE Equity Cash'!$A:$A,$A990)=0,"",SUMIFS('Daily BSE Equity Cash'!$H:$H,'Daily BSE Equity Cash'!$A:$A,$A990))</f>
        <v>79.109700000000004</v>
      </c>
      <c r="G990" s="4">
        <f t="shared" si="135"/>
        <v>1061.3786</v>
      </c>
      <c r="H990" s="7">
        <f t="shared" si="136"/>
        <v>1.5992213996547844</v>
      </c>
      <c r="I990" s="7">
        <f t="shared" si="137"/>
        <v>2.4413326895219702</v>
      </c>
      <c r="J990" s="7">
        <f t="shared" si="138"/>
        <v>1.6475094600358697</v>
      </c>
      <c r="K990" s="7">
        <f t="shared" si="141"/>
        <v>9.9794600725419347E-2</v>
      </c>
      <c r="L990" s="7">
        <f t="shared" si="142"/>
        <v>0.54934782608695643</v>
      </c>
      <c r="M990" s="7">
        <f t="shared" si="143"/>
        <v>0.12410536555607754</v>
      </c>
      <c r="N990" s="7">
        <f t="shared" si="139"/>
        <v>0.92546514504814781</v>
      </c>
      <c r="O990" s="7">
        <f t="shared" si="140"/>
        <v>7.4534854951852247E-2</v>
      </c>
    </row>
    <row r="991" spans="1:15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4">
        <f>IF(SUMIFS('Daily NSE Equity Cash'!$H:$H,'Daily NSE Equity Cash'!$A:$A,$A991)=0,"",SUMIFS('Daily NSE Equity Cash'!$H:$H,'Daily NSE Equity Cash'!$A:$A,$A991))</f>
        <v>985.76340000000005</v>
      </c>
      <c r="F991" s="4">
        <f>IF(SUMIFS('Daily BSE Equity Cash'!$H:$H,'Daily BSE Equity Cash'!$A:$A,$A991)=0,"",SUMIFS('Daily BSE Equity Cash'!$H:$H,'Daily BSE Equity Cash'!$A:$A,$A991))</f>
        <v>84.891400000000004</v>
      </c>
      <c r="G991" s="4">
        <f t="shared" si="135"/>
        <v>1070.6548</v>
      </c>
      <c r="H991" s="7" t="str">
        <f t="shared" si="136"/>
        <v/>
      </c>
      <c r="I991" s="7" t="str">
        <f t="shared" si="137"/>
        <v/>
      </c>
      <c r="J991" s="7" t="str">
        <f t="shared" si="138"/>
        <v/>
      </c>
      <c r="K991" s="7">
        <f t="shared" si="141"/>
        <v>3.5575798032494443E-3</v>
      </c>
      <c r="L991" s="7">
        <f t="shared" si="142"/>
        <v>7.30845901324364E-2</v>
      </c>
      <c r="M991" s="7">
        <f t="shared" si="143"/>
        <v>8.7397654333714048E-3</v>
      </c>
      <c r="N991" s="7">
        <f t="shared" si="139"/>
        <v>0.92071076503836724</v>
      </c>
      <c r="O991" s="7">
        <f t="shared" si="140"/>
        <v>7.9289234961632829E-2</v>
      </c>
    </row>
    <row r="992" spans="1:15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4">
        <f>IF(SUMIFS('Daily NSE Equity Cash'!$H:$H,'Daily NSE Equity Cash'!$A:$A,$A992)=0,"",SUMIFS('Daily NSE Equity Cash'!$H:$H,'Daily NSE Equity Cash'!$A:$A,$A992))</f>
        <v>1198.7713000000001</v>
      </c>
      <c r="F992" s="4">
        <f>IF(SUMIFS('Daily BSE Equity Cash'!$H:$H,'Daily BSE Equity Cash'!$A:$A,$A992)=0,"",SUMIFS('Daily BSE Equity Cash'!$H:$H,'Daily BSE Equity Cash'!$A:$A,$A992))</f>
        <v>96.467500000000001</v>
      </c>
      <c r="G992" s="4">
        <f t="shared" si="135"/>
        <v>1295.2388000000001</v>
      </c>
      <c r="H992" s="7">
        <f t="shared" si="136"/>
        <v>1.802360369542654</v>
      </c>
      <c r="I992" s="7">
        <f t="shared" si="137"/>
        <v>2.3363364713531758</v>
      </c>
      <c r="J992" s="7">
        <f t="shared" si="138"/>
        <v>1.8361680296010698</v>
      </c>
      <c r="K992" s="7">
        <f t="shared" si="141"/>
        <v>0.21608420438413534</v>
      </c>
      <c r="L992" s="7">
        <f t="shared" si="142"/>
        <v>0.13636363636363624</v>
      </c>
      <c r="M992" s="7">
        <f t="shared" si="143"/>
        <v>0.20976322153508309</v>
      </c>
      <c r="N992" s="7">
        <f t="shared" si="139"/>
        <v>0.92552145596626667</v>
      </c>
      <c r="O992" s="7">
        <f t="shared" si="140"/>
        <v>7.4478544033733385E-2</v>
      </c>
    </row>
    <row r="993" spans="1:15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4">
        <f>IF(SUMIFS('Daily NSE Equity Cash'!$H:$H,'Daily NSE Equity Cash'!$A:$A,$A993)=0,"",SUMIFS('Daily NSE Equity Cash'!$H:$H,'Daily NSE Equity Cash'!$A:$A,$A993))</f>
        <v>1116.9694</v>
      </c>
      <c r="F993" s="4">
        <f>IF(SUMIFS('Daily BSE Equity Cash'!$H:$H,'Daily BSE Equity Cash'!$A:$A,$A993)=0,"",SUMIFS('Daily BSE Equity Cash'!$H:$H,'Daily BSE Equity Cash'!$A:$A,$A993))</f>
        <v>89.704499999999996</v>
      </c>
      <c r="G993" s="4">
        <f t="shared" si="135"/>
        <v>1206.6739</v>
      </c>
      <c r="H993" s="7">
        <f t="shared" si="136"/>
        <v>1.5292516991398721</v>
      </c>
      <c r="I993" s="7">
        <f t="shared" si="137"/>
        <v>1.9727199520146872</v>
      </c>
      <c r="J993" s="7">
        <f t="shared" si="138"/>
        <v>1.5576157427229202</v>
      </c>
      <c r="K993" s="7">
        <f t="shared" si="141"/>
        <v>-6.8238120148522152E-2</v>
      </c>
      <c r="L993" s="7">
        <f t="shared" si="142"/>
        <v>-7.0106512556042277E-2</v>
      </c>
      <c r="M993" s="7">
        <f t="shared" si="143"/>
        <v>-6.8377275294717932E-2</v>
      </c>
      <c r="N993" s="7">
        <f t="shared" si="139"/>
        <v>0.92565969977472784</v>
      </c>
      <c r="O993" s="7">
        <f t="shared" si="140"/>
        <v>7.4340300225272132E-2</v>
      </c>
    </row>
    <row r="994" spans="1:15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4">
        <f>IF(SUMIFS('Daily NSE Equity Cash'!$H:$H,'Daily NSE Equity Cash'!$A:$A,$A994)=0,"",SUMIFS('Daily NSE Equity Cash'!$H:$H,'Daily NSE Equity Cash'!$A:$A,$A994))</f>
        <v>844.66869999999994</v>
      </c>
      <c r="F994" s="4">
        <f>IF(SUMIFS('Daily BSE Equity Cash'!$H:$H,'Daily BSE Equity Cash'!$A:$A,$A994)=0,"",SUMIFS('Daily BSE Equity Cash'!$H:$H,'Daily BSE Equity Cash'!$A:$A,$A994))</f>
        <v>56.028399999999998</v>
      </c>
      <c r="G994" s="4">
        <f t="shared" si="135"/>
        <v>900.69709999999998</v>
      </c>
      <c r="H994" s="7" t="str">
        <f t="shared" si="136"/>
        <v/>
      </c>
      <c r="I994" s="7" t="str">
        <f t="shared" si="137"/>
        <v/>
      </c>
      <c r="J994" s="7" t="str">
        <f t="shared" si="138"/>
        <v/>
      </c>
      <c r="K994" s="7">
        <f t="shared" si="141"/>
        <v>-0.24378528185284221</v>
      </c>
      <c r="L994" s="7">
        <f t="shared" si="142"/>
        <v>-0.37541148994755003</v>
      </c>
      <c r="M994" s="7">
        <f t="shared" si="143"/>
        <v>-0.2535704136801169</v>
      </c>
      <c r="N994" s="7">
        <f t="shared" si="139"/>
        <v>0.93779440391225855</v>
      </c>
      <c r="O994" s="7">
        <f t="shared" si="140"/>
        <v>6.2205596087741372E-2</v>
      </c>
    </row>
    <row r="995" spans="1:15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4">
        <f>IF(SUMIFS('Daily NSE Equity Cash'!$H:$H,'Daily NSE Equity Cash'!$A:$A,$A995)=0,"",SUMIFS('Daily NSE Equity Cash'!$H:$H,'Daily NSE Equity Cash'!$A:$A,$A995))</f>
        <v>1013.8812</v>
      </c>
      <c r="F995" s="4">
        <f>IF(SUMIFS('Daily BSE Equity Cash'!$H:$H,'Daily BSE Equity Cash'!$A:$A,$A995)=0,"",SUMIFS('Daily BSE Equity Cash'!$H:$H,'Daily BSE Equity Cash'!$A:$A,$A995))</f>
        <v>60.325699999999998</v>
      </c>
      <c r="G995" s="4">
        <f t="shared" si="135"/>
        <v>1074.2069000000001</v>
      </c>
      <c r="H995" s="7" t="str">
        <f t="shared" si="136"/>
        <v/>
      </c>
      <c r="I995" s="7" t="str">
        <f t="shared" si="137"/>
        <v/>
      </c>
      <c r="J995" s="7" t="str">
        <f t="shared" si="138"/>
        <v/>
      </c>
      <c r="K995" s="7">
        <f t="shared" si="141"/>
        <v>0.2003300228835283</v>
      </c>
      <c r="L995" s="7">
        <f t="shared" si="142"/>
        <v>7.6698602851411168E-2</v>
      </c>
      <c r="M995" s="7">
        <f t="shared" si="143"/>
        <v>0.19263945670525651</v>
      </c>
      <c r="N995" s="7">
        <f t="shared" si="139"/>
        <v>0.9438416379563378</v>
      </c>
      <c r="O995" s="7">
        <f t="shared" si="140"/>
        <v>5.6158362043662154E-2</v>
      </c>
    </row>
    <row r="996" spans="1:15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4">
        <f>IF(SUMIFS('Daily NSE Equity Cash'!$H:$H,'Daily NSE Equity Cash'!$A:$A,$A996)=0,"",SUMIFS('Daily NSE Equity Cash'!$H:$H,'Daily NSE Equity Cash'!$A:$A,$A996))</f>
        <v>1079.6011000000001</v>
      </c>
      <c r="F996" s="4">
        <f>IF(SUMIFS('Daily BSE Equity Cash'!$H:$H,'Daily BSE Equity Cash'!$A:$A,$A996)=0,"",SUMIFS('Daily BSE Equity Cash'!$H:$H,'Daily BSE Equity Cash'!$A:$A,$A996))</f>
        <v>69.335400000000007</v>
      </c>
      <c r="G996" s="4">
        <f t="shared" si="135"/>
        <v>1148.9365</v>
      </c>
      <c r="H996" s="7">
        <f t="shared" si="136"/>
        <v>1.4072763622247084</v>
      </c>
      <c r="I996" s="7">
        <f t="shared" si="137"/>
        <v>1.7888775370654915</v>
      </c>
      <c r="J996" s="7">
        <f t="shared" si="138"/>
        <v>1.4273195228331699</v>
      </c>
      <c r="K996" s="7">
        <f t="shared" si="141"/>
        <v>6.4820118964628248E-2</v>
      </c>
      <c r="L996" s="7">
        <f t="shared" si="142"/>
        <v>0.1493509399808044</v>
      </c>
      <c r="M996" s="7">
        <f t="shared" si="143"/>
        <v>6.9567231415102571E-2</v>
      </c>
      <c r="N996" s="7">
        <f t="shared" si="139"/>
        <v>0.93965253954417849</v>
      </c>
      <c r="O996" s="7">
        <f t="shared" si="140"/>
        <v>6.0347460455821539E-2</v>
      </c>
    </row>
    <row r="997" spans="1:15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4">
        <f>IF(SUMIFS('Daily NSE Equity Cash'!$H:$H,'Daily NSE Equity Cash'!$A:$A,$A997)=0,"",SUMIFS('Daily NSE Equity Cash'!$H:$H,'Daily NSE Equity Cash'!$A:$A,$A997))</f>
        <v>1138.8478</v>
      </c>
      <c r="F997" s="4">
        <f>IF(SUMIFS('Daily BSE Equity Cash'!$H:$H,'Daily BSE Equity Cash'!$A:$A,$A997)=0,"",SUMIFS('Daily BSE Equity Cash'!$H:$H,'Daily BSE Equity Cash'!$A:$A,$A997))</f>
        <v>69.419700000000006</v>
      </c>
      <c r="G997" s="4">
        <f t="shared" si="135"/>
        <v>1208.2674999999999</v>
      </c>
      <c r="H997" s="7" t="str">
        <f t="shared" si="136"/>
        <v/>
      </c>
      <c r="I997" s="7" t="str">
        <f t="shared" si="137"/>
        <v/>
      </c>
      <c r="J997" s="7" t="str">
        <f t="shared" si="138"/>
        <v/>
      </c>
      <c r="K997" s="7">
        <f t="shared" si="141"/>
        <v>5.4878324966508352E-2</v>
      </c>
      <c r="L997" s="7">
        <f t="shared" si="142"/>
        <v>1.2158291435544477E-3</v>
      </c>
      <c r="M997" s="7">
        <f t="shared" si="143"/>
        <v>5.1639929621871916E-2</v>
      </c>
      <c r="N997" s="7">
        <f t="shared" si="139"/>
        <v>0.9425460835452415</v>
      </c>
      <c r="O997" s="7">
        <f t="shared" si="140"/>
        <v>5.7453916454758579E-2</v>
      </c>
    </row>
    <row r="998" spans="1:15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4">
        <f>IF(SUMIFS('Daily NSE Equity Cash'!$H:$H,'Daily NSE Equity Cash'!$A:$A,$A998)=0,"",SUMIFS('Daily NSE Equity Cash'!$H:$H,'Daily NSE Equity Cash'!$A:$A,$A998))</f>
        <v>969.80460000000005</v>
      </c>
      <c r="F998" s="4">
        <f>IF(SUMIFS('Daily BSE Equity Cash'!$H:$H,'Daily BSE Equity Cash'!$A:$A,$A998)=0,"",SUMIFS('Daily BSE Equity Cash'!$H:$H,'Daily BSE Equity Cash'!$A:$A,$A998))</f>
        <v>76.1828</v>
      </c>
      <c r="G998" s="4">
        <f t="shared" si="135"/>
        <v>1045.9874</v>
      </c>
      <c r="H998" s="7">
        <f t="shared" si="136"/>
        <v>0.90468452363767504</v>
      </c>
      <c r="I998" s="7">
        <f t="shared" si="137"/>
        <v>1.9362399164408748</v>
      </c>
      <c r="J998" s="7">
        <f t="shared" si="138"/>
        <v>0.95470085054805165</v>
      </c>
      <c r="K998" s="7">
        <f t="shared" si="141"/>
        <v>-0.14843353080192101</v>
      </c>
      <c r="L998" s="7">
        <f t="shared" si="142"/>
        <v>9.7423353889457776E-2</v>
      </c>
      <c r="M998" s="7">
        <f t="shared" si="143"/>
        <v>-0.13430808988903531</v>
      </c>
      <c r="N998" s="7">
        <f t="shared" si="139"/>
        <v>0.92716661787704147</v>
      </c>
      <c r="O998" s="7">
        <f t="shared" si="140"/>
        <v>7.2833382122958659E-2</v>
      </c>
    </row>
    <row r="999" spans="1:15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4">
        <f>IF(SUMIFS('Daily NSE Equity Cash'!$H:$H,'Daily NSE Equity Cash'!$A:$A,$A999)=0,"",SUMIFS('Daily NSE Equity Cash'!$H:$H,'Daily NSE Equity Cash'!$A:$A,$A999))</f>
        <v>949.71900000000005</v>
      </c>
      <c r="F999" s="4">
        <f>IF(SUMIFS('Daily BSE Equity Cash'!$H:$H,'Daily BSE Equity Cash'!$A:$A,$A999)=0,"",SUMIFS('Daily BSE Equity Cash'!$H:$H,'Daily BSE Equity Cash'!$A:$A,$A999))</f>
        <v>69.844899999999996</v>
      </c>
      <c r="G999" s="4">
        <f t="shared" si="135"/>
        <v>1019.5639000000001</v>
      </c>
      <c r="H999" s="7" t="str">
        <f t="shared" si="136"/>
        <v/>
      </c>
      <c r="I999" s="7" t="str">
        <f t="shared" si="137"/>
        <v/>
      </c>
      <c r="J999" s="7" t="str">
        <f t="shared" si="138"/>
        <v/>
      </c>
      <c r="K999" s="7">
        <f t="shared" si="141"/>
        <v>-2.0710976211084198E-2</v>
      </c>
      <c r="L999" s="7">
        <f t="shared" si="142"/>
        <v>-8.3193319226912199E-2</v>
      </c>
      <c r="M999" s="7">
        <f t="shared" si="143"/>
        <v>-2.526177657589368E-2</v>
      </c>
      <c r="N999" s="7">
        <f t="shared" si="139"/>
        <v>0.9314953187338233</v>
      </c>
      <c r="O999" s="7">
        <f t="shared" si="140"/>
        <v>6.8504681266176634E-2</v>
      </c>
    </row>
    <row r="1000" spans="1:15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4">
        <f>IF(SUMIFS('Daily NSE Equity Cash'!$H:$H,'Daily NSE Equity Cash'!$A:$A,$A1000)=0,"",SUMIFS('Daily NSE Equity Cash'!$H:$H,'Daily NSE Equity Cash'!$A:$A,$A1000))</f>
        <v>892.82320000000004</v>
      </c>
      <c r="F1000" s="4">
        <f>IF(SUMIFS('Daily BSE Equity Cash'!$H:$H,'Daily BSE Equity Cash'!$A:$A,$A1000)=0,"",SUMIFS('Daily BSE Equity Cash'!$H:$H,'Daily BSE Equity Cash'!$A:$A,$A1000))</f>
        <v>102.9727</v>
      </c>
      <c r="G1000" s="4">
        <f t="shared" si="135"/>
        <v>995.79590000000007</v>
      </c>
      <c r="H1000" s="7" t="str">
        <f t="shared" si="136"/>
        <v/>
      </c>
      <c r="I1000" s="7" t="str">
        <f t="shared" si="137"/>
        <v/>
      </c>
      <c r="J1000" s="7" t="str">
        <f t="shared" si="138"/>
        <v/>
      </c>
      <c r="K1000" s="7">
        <f t="shared" si="141"/>
        <v>-5.9908035955898553E-2</v>
      </c>
      <c r="L1000" s="7">
        <f t="shared" si="142"/>
        <v>0.47430521054507935</v>
      </c>
      <c r="M1000" s="7">
        <f t="shared" si="143"/>
        <v>-2.3311927776179631E-2</v>
      </c>
      <c r="N1000" s="7">
        <f t="shared" si="139"/>
        <v>0.8965925648016827</v>
      </c>
      <c r="O1000" s="7">
        <f t="shared" si="140"/>
        <v>0.10340743519831724</v>
      </c>
    </row>
    <row r="1001" spans="1:15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4">
        <f>IF(SUMIFS('Daily NSE Equity Cash'!$H:$H,'Daily NSE Equity Cash'!$A:$A,$A1001)=0,"",SUMIFS('Daily NSE Equity Cash'!$H:$H,'Daily NSE Equity Cash'!$A:$A,$A1001))</f>
        <v>951.35130000000004</v>
      </c>
      <c r="F1001" s="4">
        <f>IF(SUMIFS('Daily BSE Equity Cash'!$H:$H,'Daily BSE Equity Cash'!$A:$A,$A1001)=0,"",SUMIFS('Daily BSE Equity Cash'!$H:$H,'Daily BSE Equity Cash'!$A:$A,$A1001))</f>
        <v>68.080500000000001</v>
      </c>
      <c r="G1001" s="4">
        <f t="shared" si="135"/>
        <v>1019.4318000000001</v>
      </c>
      <c r="H1001" s="7">
        <f t="shared" si="136"/>
        <v>1.1032923272770123</v>
      </c>
      <c r="I1001" s="7">
        <f t="shared" si="137"/>
        <v>1.3465353701073992</v>
      </c>
      <c r="J1001" s="7">
        <f t="shared" si="138"/>
        <v>1.1179543700404198</v>
      </c>
      <c r="K1001" s="7">
        <f t="shared" si="141"/>
        <v>6.5553964099499096E-2</v>
      </c>
      <c r="L1001" s="7">
        <f t="shared" si="142"/>
        <v>-0.33884903474416039</v>
      </c>
      <c r="M1001" s="7">
        <f t="shared" si="143"/>
        <v>2.3735687202568245E-2</v>
      </c>
      <c r="N1001" s="7">
        <f t="shared" si="139"/>
        <v>0.93321720982217737</v>
      </c>
      <c r="O1001" s="7">
        <f t="shared" si="140"/>
        <v>6.6782790177822585E-2</v>
      </c>
    </row>
    <row r="1002" spans="1:15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4">
        <f>IF(SUMIFS('Daily NSE Equity Cash'!$H:$H,'Daily NSE Equity Cash'!$A:$A,$A1002)=0,"",SUMIFS('Daily NSE Equity Cash'!$H:$H,'Daily NSE Equity Cash'!$A:$A,$A1002))</f>
        <v>1151.1619000000001</v>
      </c>
      <c r="F1002" s="4">
        <f>IF(SUMIFS('Daily BSE Equity Cash'!$H:$H,'Daily BSE Equity Cash'!$A:$A,$A1002)=0,"",SUMIFS('Daily BSE Equity Cash'!$H:$H,'Daily BSE Equity Cash'!$A:$A,$A1002))</f>
        <v>78.8065</v>
      </c>
      <c r="G1002" s="4">
        <f t="shared" si="135"/>
        <v>1229.9684</v>
      </c>
      <c r="H1002" s="7">
        <f t="shared" si="136"/>
        <v>1.2433357355021193</v>
      </c>
      <c r="I1002" s="7">
        <f t="shared" si="137"/>
        <v>1.4426504911244251</v>
      </c>
      <c r="J1002" s="7">
        <f t="shared" si="138"/>
        <v>1.255125821835716</v>
      </c>
      <c r="K1002" s="7">
        <f t="shared" si="141"/>
        <v>0.21002819883674939</v>
      </c>
      <c r="L1002" s="7">
        <f t="shared" si="142"/>
        <v>0.15754878415992835</v>
      </c>
      <c r="M1002" s="7">
        <f t="shared" si="143"/>
        <v>0.20652347709773222</v>
      </c>
      <c r="N1002" s="7">
        <f t="shared" si="139"/>
        <v>0.93592802872008751</v>
      </c>
      <c r="O1002" s="7">
        <f t="shared" si="140"/>
        <v>6.4071971279912557E-2</v>
      </c>
    </row>
    <row r="1003" spans="1:15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4">
        <f>IF(SUMIFS('Daily NSE Equity Cash'!$H:$H,'Daily NSE Equity Cash'!$A:$A,$A1003)=0,"",SUMIFS('Daily NSE Equity Cash'!$H:$H,'Daily NSE Equity Cash'!$A:$A,$A1003))</f>
        <v>1047.3669</v>
      </c>
      <c r="F1003" s="4">
        <f>IF(SUMIFS('Daily BSE Equity Cash'!$H:$H,'Daily BSE Equity Cash'!$A:$A,$A1003)=0,"",SUMIFS('Daily BSE Equity Cash'!$H:$H,'Daily BSE Equity Cash'!$A:$A,$A1003))</f>
        <v>88.339600000000004</v>
      </c>
      <c r="G1003" s="4">
        <f t="shared" si="135"/>
        <v>1135.7065</v>
      </c>
      <c r="H1003" s="7" t="str">
        <f t="shared" si="136"/>
        <v/>
      </c>
      <c r="I1003" s="7" t="str">
        <f t="shared" si="137"/>
        <v/>
      </c>
      <c r="J1003" s="7" t="str">
        <f t="shared" si="138"/>
        <v/>
      </c>
      <c r="K1003" s="7">
        <f t="shared" si="141"/>
        <v>-9.0165423299711445E-2</v>
      </c>
      <c r="L1003" s="7">
        <f t="shared" si="142"/>
        <v>0.12096844803410889</v>
      </c>
      <c r="M1003" s="7">
        <f t="shared" si="143"/>
        <v>-7.6637659959394089E-2</v>
      </c>
      <c r="N1003" s="7">
        <f t="shared" si="139"/>
        <v>0.92221617116746268</v>
      </c>
      <c r="O1003" s="7">
        <f t="shared" si="140"/>
        <v>7.7783828832537288E-2</v>
      </c>
    </row>
    <row r="1004" spans="1:15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4">
        <f>IF(SUMIFS('Daily NSE Equity Cash'!$H:$H,'Daily NSE Equity Cash'!$A:$A,$A1004)=0,"",SUMIFS('Daily NSE Equity Cash'!$H:$H,'Daily NSE Equity Cash'!$A:$A,$A1004))</f>
        <v>954.37390000000005</v>
      </c>
      <c r="F1004" s="4">
        <f>IF(SUMIFS('Daily BSE Equity Cash'!$H:$H,'Daily BSE Equity Cash'!$A:$A,$A1004)=0,"",SUMIFS('Daily BSE Equity Cash'!$H:$H,'Daily BSE Equity Cash'!$A:$A,$A1004))</f>
        <v>62.8842</v>
      </c>
      <c r="G1004" s="4">
        <f t="shared" si="135"/>
        <v>1017.2581</v>
      </c>
      <c r="H1004" s="7" t="str">
        <f t="shared" si="136"/>
        <v/>
      </c>
      <c r="I1004" s="7" t="str">
        <f t="shared" si="137"/>
        <v/>
      </c>
      <c r="J1004" s="7" t="str">
        <f t="shared" si="138"/>
        <v/>
      </c>
      <c r="K1004" s="7">
        <f t="shared" si="141"/>
        <v>-8.8787415374688594E-2</v>
      </c>
      <c r="L1004" s="7">
        <f t="shared" si="142"/>
        <v>-0.28815389700655203</v>
      </c>
      <c r="M1004" s="7">
        <f t="shared" si="143"/>
        <v>-0.10429490365688665</v>
      </c>
      <c r="N1004" s="7">
        <f t="shared" si="139"/>
        <v>0.93818265000789869</v>
      </c>
      <c r="O1004" s="7">
        <f t="shared" si="140"/>
        <v>6.1817349992101318E-2</v>
      </c>
    </row>
    <row r="1005" spans="1:15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4">
        <f>IF(SUMIFS('Daily NSE Equity Cash'!$H:$H,'Daily NSE Equity Cash'!$A:$A,$A1005)=0,"",SUMIFS('Daily NSE Equity Cash'!$H:$H,'Daily NSE Equity Cash'!$A:$A,$A1005))</f>
        <v>1184.9128000000001</v>
      </c>
      <c r="F1005" s="4">
        <f>IF(SUMIFS('Daily BSE Equity Cash'!$H:$H,'Daily BSE Equity Cash'!$A:$A,$A1005)=0,"",SUMIFS('Daily BSE Equity Cash'!$H:$H,'Daily BSE Equity Cash'!$A:$A,$A1005))</f>
        <v>73.9465</v>
      </c>
      <c r="G1005" s="4">
        <f t="shared" si="135"/>
        <v>1258.8593000000001</v>
      </c>
      <c r="H1005" s="7">
        <f t="shared" si="136"/>
        <v>1.3091202150192727</v>
      </c>
      <c r="I1005" s="7">
        <f t="shared" si="137"/>
        <v>1.2842946153584771</v>
      </c>
      <c r="J1005" s="7">
        <f t="shared" si="138"/>
        <v>1.3076470294935225</v>
      </c>
      <c r="K1005" s="7">
        <f t="shared" si="141"/>
        <v>0.24156035700473377</v>
      </c>
      <c r="L1005" s="7">
        <f t="shared" si="142"/>
        <v>0.17591541277459211</v>
      </c>
      <c r="M1005" s="7">
        <f t="shared" si="143"/>
        <v>0.23750236051204721</v>
      </c>
      <c r="N1005" s="7">
        <f t="shared" si="139"/>
        <v>0.94125912244521681</v>
      </c>
      <c r="O1005" s="7">
        <f t="shared" si="140"/>
        <v>5.8740877554783126E-2</v>
      </c>
    </row>
    <row r="1006" spans="1:15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4">
        <f>IF(SUMIFS('Daily NSE Equity Cash'!$H:$H,'Daily NSE Equity Cash'!$A:$A,$A1006)=0,"",SUMIFS('Daily NSE Equity Cash'!$H:$H,'Daily NSE Equity Cash'!$A:$A,$A1006))</f>
        <v>1002.8111</v>
      </c>
      <c r="F1006" s="4">
        <f>IF(SUMIFS('Daily BSE Equity Cash'!$H:$H,'Daily BSE Equity Cash'!$A:$A,$A1006)=0,"",SUMIFS('Daily BSE Equity Cash'!$H:$H,'Daily BSE Equity Cash'!$A:$A,$A1006))</f>
        <v>81.241799999999998</v>
      </c>
      <c r="G1006" s="4">
        <f t="shared" si="135"/>
        <v>1084.0528999999999</v>
      </c>
      <c r="H1006" s="7">
        <f t="shared" si="136"/>
        <v>1.0621388263870237</v>
      </c>
      <c r="I1006" s="7">
        <f t="shared" si="137"/>
        <v>1.6565581918539252</v>
      </c>
      <c r="J1006" s="7">
        <f t="shared" si="138"/>
        <v>1.0973082246455741</v>
      </c>
      <c r="K1006" s="7">
        <f t="shared" si="141"/>
        <v>-0.15368362971519933</v>
      </c>
      <c r="L1006" s="7">
        <f t="shared" si="142"/>
        <v>9.8656461090112391E-2</v>
      </c>
      <c r="M1006" s="7">
        <f t="shared" si="143"/>
        <v>-0.13886095133904175</v>
      </c>
      <c r="N1006" s="7">
        <f t="shared" si="139"/>
        <v>0.92505734729366074</v>
      </c>
      <c r="O1006" s="7">
        <f t="shared" si="140"/>
        <v>7.4942652706339333E-2</v>
      </c>
    </row>
    <row r="1007" spans="1:15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4">
        <f>IF(SUMIFS('Daily NSE Equity Cash'!$H:$H,'Daily NSE Equity Cash'!$A:$A,$A1007)=0,"",SUMIFS('Daily NSE Equity Cash'!$H:$H,'Daily NSE Equity Cash'!$A:$A,$A1007))</f>
        <v>955.24950000000001</v>
      </c>
      <c r="F1007" s="4">
        <f>IF(SUMIFS('Daily BSE Equity Cash'!$H:$H,'Daily BSE Equity Cash'!$A:$A,$A1007)=0,"",SUMIFS('Daily BSE Equity Cash'!$H:$H,'Daily BSE Equity Cash'!$A:$A,$A1007))</f>
        <v>69.802800000000005</v>
      </c>
      <c r="G1007" s="4">
        <f t="shared" si="135"/>
        <v>1025.0523000000001</v>
      </c>
      <c r="H1007" s="7" t="str">
        <f t="shared" si="136"/>
        <v/>
      </c>
      <c r="I1007" s="7" t="str">
        <f t="shared" si="137"/>
        <v/>
      </c>
      <c r="J1007" s="7" t="str">
        <f t="shared" si="138"/>
        <v/>
      </c>
      <c r="K1007" s="7">
        <f t="shared" si="141"/>
        <v>-4.7428274377896318E-2</v>
      </c>
      <c r="L1007" s="7">
        <f t="shared" si="142"/>
        <v>-0.14080190246892599</v>
      </c>
      <c r="M1007" s="7">
        <f t="shared" si="143"/>
        <v>-5.4425941759853047E-2</v>
      </c>
      <c r="N1007" s="7">
        <f t="shared" si="139"/>
        <v>0.93190318191569343</v>
      </c>
      <c r="O1007" s="7">
        <f t="shared" si="140"/>
        <v>6.8096818084306523E-2</v>
      </c>
    </row>
    <row r="1008" spans="1:15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4">
        <f>IF(SUMIFS('Daily NSE Equity Cash'!$H:$H,'Daily NSE Equity Cash'!$A:$A,$A1008)=0,"",SUMIFS('Daily NSE Equity Cash'!$H:$H,'Daily NSE Equity Cash'!$A:$A,$A1008))</f>
        <v>1060.2919999999999</v>
      </c>
      <c r="F1008" s="4">
        <f>IF(SUMIFS('Daily BSE Equity Cash'!$H:$H,'Daily BSE Equity Cash'!$A:$A,$A1008)=0,"",SUMIFS('Daily BSE Equity Cash'!$H:$H,'Daily BSE Equity Cash'!$A:$A,$A1008))</f>
        <v>71.103899999999996</v>
      </c>
      <c r="G1008" s="4">
        <f t="shared" si="135"/>
        <v>1131.3959</v>
      </c>
      <c r="H1008" s="7" t="str">
        <f t="shared" si="136"/>
        <v/>
      </c>
      <c r="I1008" s="7" t="str">
        <f t="shared" si="137"/>
        <v/>
      </c>
      <c r="J1008" s="7" t="str">
        <f t="shared" si="138"/>
        <v/>
      </c>
      <c r="K1008" s="7">
        <f t="shared" si="141"/>
        <v>0.10996341793426723</v>
      </c>
      <c r="L1008" s="7">
        <f t="shared" si="142"/>
        <v>1.863965342364482E-2</v>
      </c>
      <c r="M1008" s="7">
        <f t="shared" si="143"/>
        <v>0.10374456015561351</v>
      </c>
      <c r="N1008" s="7">
        <f t="shared" si="139"/>
        <v>0.93715382917686019</v>
      </c>
      <c r="O1008" s="7">
        <f t="shared" si="140"/>
        <v>6.2846170823139799E-2</v>
      </c>
    </row>
    <row r="1009" spans="1:15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4">
        <f>IF(SUMIFS('Daily NSE Equity Cash'!$H:$H,'Daily NSE Equity Cash'!$A:$A,$A1009)=0,"",SUMIFS('Daily NSE Equity Cash'!$H:$H,'Daily NSE Equity Cash'!$A:$A,$A1009))</f>
        <v>1031.6075000000001</v>
      </c>
      <c r="F1009" s="4">
        <f>IF(SUMIFS('Daily BSE Equity Cash'!$H:$H,'Daily BSE Equity Cash'!$A:$A,$A1009)=0,"",SUMIFS('Daily BSE Equity Cash'!$H:$H,'Daily BSE Equity Cash'!$A:$A,$A1009))</f>
        <v>70.212400000000002</v>
      </c>
      <c r="G1009" s="4">
        <f t="shared" si="135"/>
        <v>1101.8199</v>
      </c>
      <c r="H1009" s="7">
        <f t="shared" si="136"/>
        <v>1.1946564885496187</v>
      </c>
      <c r="I1009" s="7">
        <f t="shared" si="137"/>
        <v>1.5618512126508288</v>
      </c>
      <c r="J1009" s="7">
        <f t="shared" si="138"/>
        <v>1.2148865509283038</v>
      </c>
      <c r="K1009" s="7">
        <f t="shared" si="141"/>
        <v>-2.7053396611499303E-2</v>
      </c>
      <c r="L1009" s="7">
        <f t="shared" si="142"/>
        <v>-1.2537990180566672E-2</v>
      </c>
      <c r="M1009" s="7">
        <f t="shared" si="143"/>
        <v>-2.614115889937374E-2</v>
      </c>
      <c r="N1009" s="7">
        <f t="shared" si="139"/>
        <v>0.93627597395908357</v>
      </c>
      <c r="O1009" s="7">
        <f t="shared" si="140"/>
        <v>6.3724026040916495E-2</v>
      </c>
    </row>
    <row r="1010" spans="1:15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4">
        <f>IF(SUMIFS('Daily NSE Equity Cash'!$H:$H,'Daily NSE Equity Cash'!$A:$A,$A1010)=0,"",SUMIFS('Daily NSE Equity Cash'!$H:$H,'Daily NSE Equity Cash'!$A:$A,$A1010))</f>
        <v>1387.0051000000001</v>
      </c>
      <c r="F1010" s="4">
        <f>IF(SUMIFS('Daily BSE Equity Cash'!$H:$H,'Daily BSE Equity Cash'!$A:$A,$A1010)=0,"",SUMIFS('Daily BSE Equity Cash'!$H:$H,'Daily BSE Equity Cash'!$A:$A,$A1010))</f>
        <v>99.073700000000002</v>
      </c>
      <c r="G1010" s="4">
        <f t="shared" si="135"/>
        <v>1486.0788</v>
      </c>
      <c r="H1010" s="7">
        <f t="shared" si="136"/>
        <v>1.3068250669633765</v>
      </c>
      <c r="I1010" s="7">
        <f t="shared" si="137"/>
        <v>1.9674778727928954</v>
      </c>
      <c r="J1010" s="7">
        <f t="shared" si="138"/>
        <v>1.3415795842734872</v>
      </c>
      <c r="K1010" s="7">
        <f t="shared" si="141"/>
        <v>0.34450854612825133</v>
      </c>
      <c r="L1010" s="7">
        <f t="shared" si="142"/>
        <v>0.41105702126689869</v>
      </c>
      <c r="M1010" s="7">
        <f t="shared" si="143"/>
        <v>0.34874928289096974</v>
      </c>
      <c r="N1010" s="7">
        <f t="shared" si="139"/>
        <v>0.93333213555028183</v>
      </c>
      <c r="O1010" s="7">
        <f t="shared" si="140"/>
        <v>6.6667864449718284E-2</v>
      </c>
    </row>
    <row r="1011" spans="1:15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4">
        <f>IF(SUMIFS('Daily NSE Equity Cash'!$H:$H,'Daily NSE Equity Cash'!$A:$A,$A1011)=0,"",SUMIFS('Daily NSE Equity Cash'!$H:$H,'Daily NSE Equity Cash'!$A:$A,$A1011))</f>
        <v>1224.3210999999999</v>
      </c>
      <c r="F1011" s="4">
        <f>IF(SUMIFS('Daily BSE Equity Cash'!$H:$H,'Daily BSE Equity Cash'!$A:$A,$A1011)=0,"",SUMIFS('Daily BSE Equity Cash'!$H:$H,'Daily BSE Equity Cash'!$A:$A,$A1011))</f>
        <v>100.1311</v>
      </c>
      <c r="G1011" s="4">
        <f t="shared" si="135"/>
        <v>1324.4521999999999</v>
      </c>
      <c r="H1011" s="7">
        <f t="shared" si="136"/>
        <v>1.2541177029421222</v>
      </c>
      <c r="I1011" s="7">
        <f t="shared" si="137"/>
        <v>2.4368330547422836</v>
      </c>
      <c r="J1011" s="7">
        <f t="shared" si="138"/>
        <v>1.3143292291895943</v>
      </c>
      <c r="K1011" s="7">
        <f t="shared" si="141"/>
        <v>-0.11729156583490585</v>
      </c>
      <c r="L1011" s="7">
        <f t="shared" si="142"/>
        <v>1.0672862727444388E-2</v>
      </c>
      <c r="M1011" s="7">
        <f t="shared" si="143"/>
        <v>-0.10876045065712536</v>
      </c>
      <c r="N1011" s="7">
        <f t="shared" si="139"/>
        <v>0.92439810209836182</v>
      </c>
      <c r="O1011" s="7">
        <f t="shared" si="140"/>
        <v>7.5601897901638127E-2</v>
      </c>
    </row>
    <row r="1012" spans="1:15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4">
        <f>IF(SUMIFS('Daily NSE Equity Cash'!$H:$H,'Daily NSE Equity Cash'!$A:$A,$A1012)=0,"",SUMIFS('Daily NSE Equity Cash'!$H:$H,'Daily NSE Equity Cash'!$A:$A,$A1012))</f>
        <v>1109.6002000000001</v>
      </c>
      <c r="F1012" s="4">
        <f>IF(SUMIFS('Daily BSE Equity Cash'!$H:$H,'Daily BSE Equity Cash'!$A:$A,$A1012)=0,"",SUMIFS('Daily BSE Equity Cash'!$H:$H,'Daily BSE Equity Cash'!$A:$A,$A1012))</f>
        <v>80.587400000000002</v>
      </c>
      <c r="G1012" s="4">
        <f t="shared" si="135"/>
        <v>1190.1876000000002</v>
      </c>
      <c r="H1012" s="7" t="str">
        <f t="shared" si="136"/>
        <v/>
      </c>
      <c r="I1012" s="7" t="str">
        <f t="shared" si="137"/>
        <v/>
      </c>
      <c r="J1012" s="7" t="str">
        <f t="shared" si="138"/>
        <v/>
      </c>
      <c r="K1012" s="7">
        <f t="shared" si="141"/>
        <v>-9.3701644119340788E-2</v>
      </c>
      <c r="L1012" s="7">
        <f t="shared" si="142"/>
        <v>-0.19518111755488554</v>
      </c>
      <c r="M1012" s="7">
        <f t="shared" si="143"/>
        <v>-0.10137368490912679</v>
      </c>
      <c r="N1012" s="7">
        <f t="shared" si="139"/>
        <v>0.93229017005386372</v>
      </c>
      <c r="O1012" s="7">
        <f t="shared" si="140"/>
        <v>6.770982994613621E-2</v>
      </c>
    </row>
    <row r="1013" spans="1:15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4">
        <f>IF(SUMIFS('Daily NSE Equity Cash'!$H:$H,'Daily NSE Equity Cash'!$A:$A,$A1013)=0,"",SUMIFS('Daily NSE Equity Cash'!$H:$H,'Daily NSE Equity Cash'!$A:$A,$A1013))</f>
        <v>1252.5563</v>
      </c>
      <c r="F1013" s="4">
        <f>IF(SUMIFS('Daily BSE Equity Cash'!$H:$H,'Daily BSE Equity Cash'!$A:$A,$A1013)=0,"",SUMIFS('Daily BSE Equity Cash'!$H:$H,'Daily BSE Equity Cash'!$A:$A,$A1013))</f>
        <v>79.354100000000003</v>
      </c>
      <c r="G1013" s="4">
        <f t="shared" si="135"/>
        <v>1331.9104</v>
      </c>
      <c r="H1013" s="7" t="str">
        <f t="shared" si="136"/>
        <v/>
      </c>
      <c r="I1013" s="7" t="str">
        <f t="shared" si="137"/>
        <v/>
      </c>
      <c r="J1013" s="7" t="str">
        <f t="shared" si="138"/>
        <v/>
      </c>
      <c r="K1013" s="7">
        <f t="shared" si="141"/>
        <v>0.12883568333891771</v>
      </c>
      <c r="L1013" s="7">
        <f t="shared" si="142"/>
        <v>-1.5303881251907847E-2</v>
      </c>
      <c r="M1013" s="7">
        <f t="shared" si="143"/>
        <v>0.11907601793196276</v>
      </c>
      <c r="N1013" s="7">
        <f t="shared" si="139"/>
        <v>0.94042084212271337</v>
      </c>
      <c r="O1013" s="7">
        <f t="shared" si="140"/>
        <v>5.957915787728664E-2</v>
      </c>
    </row>
    <row r="1014" spans="1:15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4">
        <f>IF(SUMIFS('Daily NSE Equity Cash'!$H:$H,'Daily NSE Equity Cash'!$A:$A,$A1014)=0,"",SUMIFS('Daily NSE Equity Cash'!$H:$H,'Daily NSE Equity Cash'!$A:$A,$A1014))</f>
        <v>1245.7728</v>
      </c>
      <c r="F1014" s="4">
        <f>IF(SUMIFS('Daily BSE Equity Cash'!$H:$H,'Daily BSE Equity Cash'!$A:$A,$A1014)=0,"",SUMIFS('Daily BSE Equity Cash'!$H:$H,'Daily BSE Equity Cash'!$A:$A,$A1014))</f>
        <v>91.911299999999997</v>
      </c>
      <c r="G1014" s="4">
        <f t="shared" si="135"/>
        <v>1337.6840999999999</v>
      </c>
      <c r="H1014" s="7">
        <f t="shared" si="136"/>
        <v>1.0922307986859874</v>
      </c>
      <c r="I1014" s="7">
        <f t="shared" si="137"/>
        <v>1.1428191743583409</v>
      </c>
      <c r="J1014" s="7">
        <f t="shared" si="138"/>
        <v>1.0956301432806423</v>
      </c>
      <c r="K1014" s="7">
        <f t="shared" si="141"/>
        <v>-5.4157246265098546E-3</v>
      </c>
      <c r="L1014" s="7">
        <f t="shared" si="142"/>
        <v>0.15824261128284478</v>
      </c>
      <c r="M1014" s="7">
        <f t="shared" si="143"/>
        <v>4.334901206567654E-3</v>
      </c>
      <c r="N1014" s="7">
        <f t="shared" si="139"/>
        <v>0.93129072850608008</v>
      </c>
      <c r="O1014" s="7">
        <f t="shared" si="140"/>
        <v>6.8709271493919977E-2</v>
      </c>
    </row>
    <row r="1015" spans="1:15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4">
        <f>IF(SUMIFS('Daily NSE Equity Cash'!$H:$H,'Daily NSE Equity Cash'!$A:$A,$A1015)=0,"",SUMIFS('Daily NSE Equity Cash'!$H:$H,'Daily NSE Equity Cash'!$A:$A,$A1015))</f>
        <v>1264.1194</v>
      </c>
      <c r="F1015" s="4">
        <f>IF(SUMIFS('Daily BSE Equity Cash'!$H:$H,'Daily BSE Equity Cash'!$A:$A,$A1015)=0,"",SUMIFS('Daily BSE Equity Cash'!$H:$H,'Daily BSE Equity Cash'!$A:$A,$A1015))</f>
        <v>81.377899999999997</v>
      </c>
      <c r="G1015" s="4">
        <f t="shared" si="135"/>
        <v>1345.4973</v>
      </c>
      <c r="H1015" s="7">
        <f t="shared" si="136"/>
        <v>1.2624206616812206</v>
      </c>
      <c r="I1015" s="7">
        <f t="shared" si="137"/>
        <v>1.4254551198750578</v>
      </c>
      <c r="J1015" s="7">
        <f t="shared" si="138"/>
        <v>1.2716559907343936</v>
      </c>
      <c r="K1015" s="7">
        <f t="shared" si="141"/>
        <v>1.4727083461767654E-2</v>
      </c>
      <c r="L1015" s="7">
        <f t="shared" si="142"/>
        <v>-0.11460397143767964</v>
      </c>
      <c r="M1015" s="7">
        <f t="shared" si="143"/>
        <v>5.8408408980865634E-3</v>
      </c>
      <c r="N1015" s="7">
        <f t="shared" si="139"/>
        <v>0.93951834760277853</v>
      </c>
      <c r="O1015" s="7">
        <f t="shared" si="140"/>
        <v>6.0481652397221454E-2</v>
      </c>
    </row>
    <row r="1016" spans="1:15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4">
        <f>IF(SUMIFS('Daily NSE Equity Cash'!$H:$H,'Daily NSE Equity Cash'!$A:$A,$A1016)=0,"",SUMIFS('Daily NSE Equity Cash'!$H:$H,'Daily NSE Equity Cash'!$A:$A,$A1016))</f>
        <v>1103.4625000000001</v>
      </c>
      <c r="F1016" s="4">
        <f>IF(SUMIFS('Daily BSE Equity Cash'!$H:$H,'Daily BSE Equity Cash'!$A:$A,$A1016)=0,"",SUMIFS('Daily BSE Equity Cash'!$H:$H,'Daily BSE Equity Cash'!$A:$A,$A1016))</f>
        <v>85.3596</v>
      </c>
      <c r="G1016" s="4">
        <f t="shared" si="135"/>
        <v>1188.8221000000001</v>
      </c>
      <c r="H1016" s="7" t="str">
        <f t="shared" si="136"/>
        <v/>
      </c>
      <c r="I1016" s="7" t="str">
        <f t="shared" si="137"/>
        <v/>
      </c>
      <c r="J1016" s="7" t="str">
        <f t="shared" si="138"/>
        <v/>
      </c>
      <c r="K1016" s="7">
        <f t="shared" si="141"/>
        <v>-0.12708997267188527</v>
      </c>
      <c r="L1016" s="7">
        <f t="shared" si="142"/>
        <v>4.892851744761173E-2</v>
      </c>
      <c r="M1016" s="7">
        <f t="shared" si="143"/>
        <v>-0.11644408353699398</v>
      </c>
      <c r="N1016" s="7">
        <f t="shared" si="139"/>
        <v>0.92819817195524879</v>
      </c>
      <c r="O1016" s="7">
        <f t="shared" si="140"/>
        <v>7.1801828044751187E-2</v>
      </c>
    </row>
    <row r="1017" spans="1:15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4">
        <f>IF(SUMIFS('Daily NSE Equity Cash'!$H:$H,'Daily NSE Equity Cash'!$A:$A,$A1017)=0,"",SUMIFS('Daily NSE Equity Cash'!$H:$H,'Daily NSE Equity Cash'!$A:$A,$A1017))</f>
        <v>1080.6650999999999</v>
      </c>
      <c r="F1017" s="4">
        <f>IF(SUMIFS('Daily BSE Equity Cash'!$H:$H,'Daily BSE Equity Cash'!$A:$A,$A1017)=0,"",SUMIFS('Daily BSE Equity Cash'!$H:$H,'Daily BSE Equity Cash'!$A:$A,$A1017))</f>
        <v>77.474199999999996</v>
      </c>
      <c r="G1017" s="4">
        <f t="shared" si="135"/>
        <v>1158.1392999999998</v>
      </c>
      <c r="H1017" s="7" t="str">
        <f t="shared" si="136"/>
        <v/>
      </c>
      <c r="I1017" s="7" t="str">
        <f t="shared" si="137"/>
        <v/>
      </c>
      <c r="J1017" s="7" t="str">
        <f t="shared" si="138"/>
        <v/>
      </c>
      <c r="K1017" s="7">
        <f t="shared" si="141"/>
        <v>-2.0659877431267626E-2</v>
      </c>
      <c r="L1017" s="7">
        <f t="shared" si="142"/>
        <v>-9.237859596343001E-2</v>
      </c>
      <c r="M1017" s="7">
        <f t="shared" si="143"/>
        <v>-2.5809412526903941E-2</v>
      </c>
      <c r="N1017" s="7">
        <f t="shared" si="139"/>
        <v>0.93310459285856207</v>
      </c>
      <c r="O1017" s="7">
        <f t="shared" si="140"/>
        <v>6.6895407141438004E-2</v>
      </c>
    </row>
    <row r="1018" spans="1:15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4">
        <f>IF(SUMIFS('Daily NSE Equity Cash'!$H:$H,'Daily NSE Equity Cash'!$A:$A,$A1018)=0,"",SUMIFS('Daily NSE Equity Cash'!$H:$H,'Daily NSE Equity Cash'!$A:$A,$A1018))</f>
        <v>989.21640000000002</v>
      </c>
      <c r="F1018" s="4">
        <f>IF(SUMIFS('Daily BSE Equity Cash'!$H:$H,'Daily BSE Equity Cash'!$A:$A,$A1018)=0,"",SUMIFS('Daily BSE Equity Cash'!$H:$H,'Daily BSE Equity Cash'!$A:$A,$A1018))</f>
        <v>63.158000000000001</v>
      </c>
      <c r="G1018" s="4">
        <f t="shared" si="135"/>
        <v>1052.3743999999999</v>
      </c>
      <c r="H1018" s="7">
        <f t="shared" si="136"/>
        <v>0.75606789330200441</v>
      </c>
      <c r="I1018" s="7">
        <f t="shared" si="137"/>
        <v>0.82091815699717752</v>
      </c>
      <c r="J1018" s="7">
        <f t="shared" si="138"/>
        <v>0.75982929708794988</v>
      </c>
      <c r="K1018" s="7">
        <f t="shared" si="141"/>
        <v>-8.46226087989701E-2</v>
      </c>
      <c r="L1018" s="7">
        <f t="shared" si="142"/>
        <v>-0.1847866773713055</v>
      </c>
      <c r="M1018" s="7">
        <f t="shared" si="143"/>
        <v>-9.1323124947059409E-2</v>
      </c>
      <c r="N1018" s="7">
        <f t="shared" si="139"/>
        <v>0.93998523719315108</v>
      </c>
      <c r="O1018" s="7">
        <f t="shared" si="140"/>
        <v>6.0014762806848976E-2</v>
      </c>
    </row>
    <row r="1019" spans="1:15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4">
        <f>IF(SUMIFS('Daily NSE Equity Cash'!$H:$H,'Daily NSE Equity Cash'!$A:$A,$A1019)=0,"",SUMIFS('Daily NSE Equity Cash'!$H:$H,'Daily NSE Equity Cash'!$A:$A,$A1019))</f>
        <v>1022.0454999999999</v>
      </c>
      <c r="F1019" s="4">
        <f>IF(SUMIFS('Daily BSE Equity Cash'!$H:$H,'Daily BSE Equity Cash'!$A:$A,$A1019)=0,"",SUMIFS('Daily BSE Equity Cash'!$H:$H,'Daily BSE Equity Cash'!$A:$A,$A1019))</f>
        <v>72.323400000000007</v>
      </c>
      <c r="G1019" s="4">
        <f t="shared" si="135"/>
        <v>1094.3688999999999</v>
      </c>
      <c r="H1019" s="7">
        <f t="shared" si="136"/>
        <v>0.62243428282786906</v>
      </c>
      <c r="I1019" s="7">
        <f t="shared" si="137"/>
        <v>1.0024253901804925</v>
      </c>
      <c r="J1019" s="7">
        <f t="shared" si="138"/>
        <v>0.64303964366165633</v>
      </c>
      <c r="K1019" s="7">
        <f t="shared" si="141"/>
        <v>3.3186975064303237E-2</v>
      </c>
      <c r="L1019" s="7">
        <f t="shared" si="142"/>
        <v>0.14511859146901429</v>
      </c>
      <c r="M1019" s="7">
        <f t="shared" si="143"/>
        <v>3.9904524473419301E-2</v>
      </c>
      <c r="N1019" s="7">
        <f t="shared" si="139"/>
        <v>0.933913143913355</v>
      </c>
      <c r="O1019" s="7">
        <f t="shared" si="140"/>
        <v>6.608685608664501E-2</v>
      </c>
    </row>
    <row r="1020" spans="1:15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4">
        <f>IF(SUMIFS('Daily NSE Equity Cash'!$H:$H,'Daily NSE Equity Cash'!$A:$A,$A1020)=0,"",SUMIFS('Daily NSE Equity Cash'!$H:$H,'Daily NSE Equity Cash'!$A:$A,$A1020))</f>
        <v>891.35609999999997</v>
      </c>
      <c r="F1020" s="4">
        <f>IF(SUMIFS('Daily BSE Equity Cash'!$H:$H,'Daily BSE Equity Cash'!$A:$A,$A1020)=0,"",SUMIFS('Daily BSE Equity Cash'!$H:$H,'Daily BSE Equity Cash'!$A:$A,$A1020))</f>
        <v>67.327299999999994</v>
      </c>
      <c r="G1020" s="4">
        <f t="shared" si="135"/>
        <v>958.68340000000001</v>
      </c>
      <c r="H1020" s="7">
        <f t="shared" si="136"/>
        <v>0.72274449768237492</v>
      </c>
      <c r="I1020" s="7">
        <f t="shared" si="137"/>
        <v>1.4009022020147985</v>
      </c>
      <c r="J1020" s="7">
        <f t="shared" si="138"/>
        <v>0.7576099024800198</v>
      </c>
      <c r="K1020" s="7">
        <f t="shared" si="141"/>
        <v>-0.12787043238290274</v>
      </c>
      <c r="L1020" s="7">
        <f t="shared" si="142"/>
        <v>-6.9079993473758261E-2</v>
      </c>
      <c r="M1020" s="7">
        <f t="shared" si="143"/>
        <v>-0.12398515710744329</v>
      </c>
      <c r="N1020" s="7">
        <f t="shared" si="139"/>
        <v>0.9297710797954778</v>
      </c>
      <c r="O1020" s="7">
        <f t="shared" si="140"/>
        <v>7.0228920204522149E-2</v>
      </c>
    </row>
    <row r="1021" spans="1:15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4">
        <f>IF(SUMIFS('Daily NSE Equity Cash'!$H:$H,'Daily NSE Equity Cash'!$A:$A,$A1021)=0,"",SUMIFS('Daily NSE Equity Cash'!$H:$H,'Daily NSE Equity Cash'!$A:$A,$A1021))</f>
        <v>984.37189999999998</v>
      </c>
      <c r="F1021" s="4">
        <f>IF(SUMIFS('Daily BSE Equity Cash'!$H:$H,'Daily BSE Equity Cash'!$A:$A,$A1021)=0,"",SUMIFS('Daily BSE Equity Cash'!$H:$H,'Daily BSE Equity Cash'!$A:$A,$A1021))</f>
        <v>69.340900000000005</v>
      </c>
      <c r="G1021" s="4">
        <f t="shared" si="135"/>
        <v>1053.7128</v>
      </c>
      <c r="H1021" s="7" t="str">
        <f t="shared" si="136"/>
        <v/>
      </c>
      <c r="I1021" s="7" t="str">
        <f t="shared" si="137"/>
        <v/>
      </c>
      <c r="J1021" s="7" t="str">
        <f t="shared" si="138"/>
        <v/>
      </c>
      <c r="K1021" s="7">
        <f t="shared" si="141"/>
        <v>0.10435313114478051</v>
      </c>
      <c r="L1021" s="7">
        <f t="shared" si="142"/>
        <v>2.9907630337173918E-2</v>
      </c>
      <c r="M1021" s="7">
        <f t="shared" si="143"/>
        <v>9.9124904008977222E-2</v>
      </c>
      <c r="N1021" s="7">
        <f t="shared" si="139"/>
        <v>0.93419373855950116</v>
      </c>
      <c r="O1021" s="7">
        <f t="shared" si="140"/>
        <v>6.5806261440498781E-2</v>
      </c>
    </row>
    <row r="1022" spans="1:15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4">
        <f>IF(SUMIFS('Daily NSE Equity Cash'!$H:$H,'Daily NSE Equity Cash'!$A:$A,$A1022)=0,"",SUMIFS('Daily NSE Equity Cash'!$H:$H,'Daily NSE Equity Cash'!$A:$A,$A1022))</f>
        <v>914.59690000000001</v>
      </c>
      <c r="F1022" s="4">
        <f>IF(SUMIFS('Daily BSE Equity Cash'!$H:$H,'Daily BSE Equity Cash'!$A:$A,$A1022)=0,"",SUMIFS('Daily BSE Equity Cash'!$H:$H,'Daily BSE Equity Cash'!$A:$A,$A1022))</f>
        <v>60.205300000000001</v>
      </c>
      <c r="G1022" s="4">
        <f t="shared" si="135"/>
        <v>974.80219999999997</v>
      </c>
      <c r="H1022" s="7" t="str">
        <f t="shared" si="136"/>
        <v/>
      </c>
      <c r="I1022" s="7" t="str">
        <f t="shared" si="137"/>
        <v/>
      </c>
      <c r="J1022" s="7" t="str">
        <f t="shared" si="138"/>
        <v/>
      </c>
      <c r="K1022" s="7">
        <f t="shared" si="141"/>
        <v>-7.0882762906986696E-2</v>
      </c>
      <c r="L1022" s="7">
        <f t="shared" si="142"/>
        <v>-0.13174908315294442</v>
      </c>
      <c r="M1022" s="7">
        <f t="shared" si="143"/>
        <v>-7.4888147890013301E-2</v>
      </c>
      <c r="N1022" s="7">
        <f t="shared" si="139"/>
        <v>0.93823844468139284</v>
      </c>
      <c r="O1022" s="7">
        <f t="shared" si="140"/>
        <v>6.1761555318607206E-2</v>
      </c>
    </row>
    <row r="1023" spans="1:15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4">
        <f>IF(SUMIFS('Daily NSE Equity Cash'!$H:$H,'Daily NSE Equity Cash'!$A:$A,$A1023)=0,"",SUMIFS('Daily NSE Equity Cash'!$H:$H,'Daily NSE Equity Cash'!$A:$A,$A1023))</f>
        <v>1005.897</v>
      </c>
      <c r="F1023" s="4">
        <f>IF(SUMIFS('Daily BSE Equity Cash'!$H:$H,'Daily BSE Equity Cash'!$A:$A,$A1023)=0,"",SUMIFS('Daily BSE Equity Cash'!$H:$H,'Daily BSE Equity Cash'!$A:$A,$A1023))</f>
        <v>63.1751</v>
      </c>
      <c r="G1023" s="4">
        <f t="shared" si="135"/>
        <v>1069.0721000000001</v>
      </c>
      <c r="H1023" s="7">
        <f t="shared" si="136"/>
        <v>0.9650110176908171</v>
      </c>
      <c r="I1023" s="7">
        <f t="shared" si="137"/>
        <v>0.85164852879539743</v>
      </c>
      <c r="J1023" s="7">
        <f t="shared" si="138"/>
        <v>0.95792754251978374</v>
      </c>
      <c r="K1023" s="7">
        <f t="shared" si="141"/>
        <v>9.9825507827546733E-2</v>
      </c>
      <c r="L1023" s="7">
        <f t="shared" si="142"/>
        <v>4.9327883093349012E-2</v>
      </c>
      <c r="M1023" s="7">
        <f t="shared" si="143"/>
        <v>9.6706695984067448E-2</v>
      </c>
      <c r="N1023" s="7">
        <f t="shared" si="139"/>
        <v>0.94090660489596534</v>
      </c>
      <c r="O1023" s="7">
        <f t="shared" si="140"/>
        <v>5.9093395104034607E-2</v>
      </c>
    </row>
    <row r="1024" spans="1:15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4">
        <f>IF(SUMIFS('Daily NSE Equity Cash'!$H:$H,'Daily NSE Equity Cash'!$A:$A,$A1024)=0,"",SUMIFS('Daily NSE Equity Cash'!$H:$H,'Daily NSE Equity Cash'!$A:$A,$A1024))</f>
        <v>1170.1424</v>
      </c>
      <c r="F1024" s="4">
        <f>IF(SUMIFS('Daily BSE Equity Cash'!$H:$H,'Daily BSE Equity Cash'!$A:$A,$A1024)=0,"",SUMIFS('Daily BSE Equity Cash'!$H:$H,'Daily BSE Equity Cash'!$A:$A,$A1024))</f>
        <v>72.132499999999993</v>
      </c>
      <c r="G1024" s="4">
        <f t="shared" si="135"/>
        <v>1242.2748999999999</v>
      </c>
      <c r="H1024" s="7">
        <f t="shared" si="136"/>
        <v>1.071920535758236</v>
      </c>
      <c r="I1024" s="7">
        <f t="shared" si="137"/>
        <v>1.2624196669688139</v>
      </c>
      <c r="J1024" s="7">
        <f t="shared" si="138"/>
        <v>1.0821002301032894</v>
      </c>
      <c r="K1024" s="7">
        <f t="shared" si="141"/>
        <v>0.16328252296209245</v>
      </c>
      <c r="L1024" s="7">
        <f t="shared" si="142"/>
        <v>0.14178687489216468</v>
      </c>
      <c r="M1024" s="7">
        <f t="shared" si="143"/>
        <v>0.16201227213767888</v>
      </c>
      <c r="N1024" s="7">
        <f t="shared" si="139"/>
        <v>0.94193515461030408</v>
      </c>
      <c r="O1024" s="7">
        <f t="shared" si="140"/>
        <v>5.8064845389695953E-2</v>
      </c>
    </row>
    <row r="1025" spans="1:15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4">
        <f>IF(SUMIFS('Daily NSE Equity Cash'!$H:$H,'Daily NSE Equity Cash'!$A:$A,$A1025)=0,"",SUMIFS('Daily NSE Equity Cash'!$H:$H,'Daily NSE Equity Cash'!$A:$A,$A1025))</f>
        <v>1121.0456999999999</v>
      </c>
      <c r="F1025" s="4">
        <f>IF(SUMIFS('Daily BSE Equity Cash'!$H:$H,'Daily BSE Equity Cash'!$A:$A,$A1025)=0,"",SUMIFS('Daily BSE Equity Cash'!$H:$H,'Daily BSE Equity Cash'!$A:$A,$A1025))</f>
        <v>75.567300000000003</v>
      </c>
      <c r="G1025" s="4">
        <f t="shared" si="135"/>
        <v>1196.6129999999998</v>
      </c>
      <c r="H1025" s="7">
        <f t="shared" si="136"/>
        <v>1.0341728929295684</v>
      </c>
      <c r="I1025" s="7">
        <f t="shared" si="137"/>
        <v>1.3033544159109964</v>
      </c>
      <c r="J1025" s="7">
        <f t="shared" si="138"/>
        <v>1.0492969939574994</v>
      </c>
      <c r="K1025" s="7">
        <f t="shared" si="141"/>
        <v>-4.1957884783937471E-2</v>
      </c>
      <c r="L1025" s="7">
        <f t="shared" si="142"/>
        <v>4.7617925345718071E-2</v>
      </c>
      <c r="M1025" s="7">
        <f t="shared" si="143"/>
        <v>-3.6756679218102217E-2</v>
      </c>
      <c r="N1025" s="7">
        <f t="shared" si="139"/>
        <v>0.93684900632033918</v>
      </c>
      <c r="O1025" s="7">
        <f t="shared" si="140"/>
        <v>6.3150993679660858E-2</v>
      </c>
    </row>
    <row r="1026" spans="1:15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4">
        <f>IF(SUMIFS('Daily NSE Equity Cash'!$H:$H,'Daily NSE Equity Cash'!$A:$A,$A1026)=0,"",SUMIFS('Daily NSE Equity Cash'!$H:$H,'Daily NSE Equity Cash'!$A:$A,$A1026))</f>
        <v>154.37970000000001</v>
      </c>
      <c r="F1026" s="4">
        <f>IF(SUMIFS('Daily BSE Equity Cash'!$H:$H,'Daily BSE Equity Cash'!$A:$A,$A1026)=0,"",SUMIFS('Daily BSE Equity Cash'!$H:$H,'Daily BSE Equity Cash'!$A:$A,$A1026))</f>
        <v>15.458</v>
      </c>
      <c r="G1026" s="4">
        <f t="shared" ref="G1026:G1089" si="144">IF(OR(E1026="",F1026=""),"",E1026+F1026)</f>
        <v>169.83770000000001</v>
      </c>
      <c r="H1026" s="7">
        <f t="shared" ref="H1026:H1089" si="145">IFERROR(IF(OR(E1026="",INDEX(E:E,MATCH(DATE(YEAR($A1026)-1,MONTH($A1026),DAY($A1026)),$A:$A,0))=""),"",E1026/INDEX(E:E,MATCH(DATE(YEAR($A1026)-1,MONTH($A1026),DAY($A1026)),$A:$A,0))-1),"")</f>
        <v>-0.72555471370206037</v>
      </c>
      <c r="I1026" s="7">
        <f t="shared" ref="I1026:I1089" si="146">IFERROR(IF(OR(F1026="",INDEX(F:F,MATCH(DATE(YEAR($A1026)-1,MONTH($A1026),DAY($A1026)),$A:$A,0))=""),"",F1026/INDEX(F:F,MATCH(DATE(YEAR($A1026)-1,MONTH($A1026),DAY($A1026)),$A:$A,0))-1),"")</f>
        <v>-0.52390925386373299</v>
      </c>
      <c r="J1026" s="7">
        <f t="shared" ref="J1026:J1089" si="147">IFERROR(IF(OR(G1026="",INDEX(G:G,MATCH(DATE(YEAR($A1026)-1,MONTH($A1026),DAY($A1026)),$A:$A,0))=""),"",G1026/INDEX(G:G,MATCH(DATE(YEAR($A1026)-1,MONTH($A1026),DAY($A1026)),$A:$A,0))-1),"")</f>
        <v>-0.71455081145039201</v>
      </c>
      <c r="K1026" s="7">
        <f t="shared" si="141"/>
        <v>-0.86228955697345788</v>
      </c>
      <c r="L1026" s="7">
        <f t="shared" si="142"/>
        <v>-0.7954406204800224</v>
      </c>
      <c r="M1026" s="7">
        <f t="shared" si="143"/>
        <v>-0.85806798020746888</v>
      </c>
      <c r="N1026" s="7">
        <f t="shared" ref="N1026:N1089" si="148">IF(G1026="","",E1026/G1026)</f>
        <v>0.90898369443297922</v>
      </c>
      <c r="O1026" s="7">
        <f t="shared" ref="O1026:O1089" si="149">IF(G1026="","",F1026/G1026)</f>
        <v>9.1016305567020742E-2</v>
      </c>
    </row>
    <row r="1027" spans="1:15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4">
        <f>IF(SUMIFS('Daily NSE Equity Cash'!$H:$H,'Daily NSE Equity Cash'!$A:$A,$A1027)=0,"",SUMIFS('Daily NSE Equity Cash'!$H:$H,'Daily NSE Equity Cash'!$A:$A,$A1027))</f>
        <v>1318.8340000000001</v>
      </c>
      <c r="F1027" s="4">
        <f>IF(SUMIFS('Daily BSE Equity Cash'!$H:$H,'Daily BSE Equity Cash'!$A:$A,$A1027)=0,"",SUMIFS('Daily BSE Equity Cash'!$H:$H,'Daily BSE Equity Cash'!$A:$A,$A1027))</f>
        <v>81.587699999999998</v>
      </c>
      <c r="G1027" s="4">
        <f t="shared" si="144"/>
        <v>1400.4217000000001</v>
      </c>
      <c r="H1027" s="7" t="str">
        <f t="shared" si="145"/>
        <v/>
      </c>
      <c r="I1027" s="7" t="str">
        <f t="shared" si="146"/>
        <v/>
      </c>
      <c r="J1027" s="7" t="str">
        <f t="shared" si="147"/>
        <v/>
      </c>
      <c r="K1027" s="7">
        <f t="shared" ref="K1027:K1090" si="150">IF(OR(E1027="",E1026=""),"",E1027/E1026-1)</f>
        <v>7.542794162704034</v>
      </c>
      <c r="L1027" s="7">
        <f t="shared" ref="L1027:L1090" si="151">IF(OR(F1027="",F1026=""),"",F1027/F1026-1)</f>
        <v>4.2780243239746412</v>
      </c>
      <c r="M1027" s="7">
        <f t="shared" ref="M1027:M1090" si="152">IF(OR(G1027="",G1026=""),"",G1027/G1026-1)</f>
        <v>7.2456468734562467</v>
      </c>
      <c r="N1027" s="7">
        <f t="shared" si="148"/>
        <v>0.94174061998610847</v>
      </c>
      <c r="O1027" s="7">
        <f t="shared" si="149"/>
        <v>5.8259380013891526E-2</v>
      </c>
    </row>
    <row r="1028" spans="1:15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4">
        <f>IF(SUMIFS('Daily NSE Equity Cash'!$H:$H,'Daily NSE Equity Cash'!$A:$A,$A1028)=0,"",SUMIFS('Daily NSE Equity Cash'!$H:$H,'Daily NSE Equity Cash'!$A:$A,$A1028))</f>
        <v>1214.6198999999999</v>
      </c>
      <c r="F1028" s="4">
        <f>IF(SUMIFS('Daily BSE Equity Cash'!$H:$H,'Daily BSE Equity Cash'!$A:$A,$A1028)=0,"",SUMIFS('Daily BSE Equity Cash'!$H:$H,'Daily BSE Equity Cash'!$A:$A,$A1028))</f>
        <v>84.641199999999998</v>
      </c>
      <c r="G1028" s="4">
        <f t="shared" si="144"/>
        <v>1299.2610999999999</v>
      </c>
      <c r="H1028" s="7">
        <f t="shared" si="145"/>
        <v>1.1017425004442725</v>
      </c>
      <c r="I1028" s="7">
        <f t="shared" si="146"/>
        <v>1.1125864840310293</v>
      </c>
      <c r="J1028" s="7">
        <f t="shared" si="147"/>
        <v>1.1024455476514383</v>
      </c>
      <c r="K1028" s="7">
        <f t="shared" si="150"/>
        <v>-7.9019876648615428E-2</v>
      </c>
      <c r="L1028" s="7">
        <f t="shared" si="151"/>
        <v>3.7425984554044334E-2</v>
      </c>
      <c r="M1028" s="7">
        <f t="shared" si="152"/>
        <v>-7.223581296976489E-2</v>
      </c>
      <c r="N1028" s="7">
        <f t="shared" si="148"/>
        <v>0.93485435683404972</v>
      </c>
      <c r="O1028" s="7">
        <f t="shared" si="149"/>
        <v>6.5145643165950243E-2</v>
      </c>
    </row>
    <row r="1029" spans="1:15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4">
        <f>IF(SUMIFS('Daily NSE Equity Cash'!$H:$H,'Daily NSE Equity Cash'!$A:$A,$A1029)=0,"",SUMIFS('Daily NSE Equity Cash'!$H:$H,'Daily NSE Equity Cash'!$A:$A,$A1029))</f>
        <v>1318.2101</v>
      </c>
      <c r="F1029" s="4">
        <f>IF(SUMIFS('Daily BSE Equity Cash'!$H:$H,'Daily BSE Equity Cash'!$A:$A,$A1029)=0,"",SUMIFS('Daily BSE Equity Cash'!$H:$H,'Daily BSE Equity Cash'!$A:$A,$A1029))</f>
        <v>86.589100000000002</v>
      </c>
      <c r="G1029" s="4">
        <f t="shared" si="144"/>
        <v>1404.7991999999999</v>
      </c>
      <c r="H1029" s="7">
        <f t="shared" si="145"/>
        <v>1.202363805592678</v>
      </c>
      <c r="I1029" s="7">
        <f t="shared" si="146"/>
        <v>1.0263386985804481</v>
      </c>
      <c r="J1029" s="7">
        <f t="shared" si="147"/>
        <v>1.1906342535364303</v>
      </c>
      <c r="K1029" s="7">
        <f t="shared" si="150"/>
        <v>8.5286104731200352E-2</v>
      </c>
      <c r="L1029" s="7">
        <f t="shared" si="151"/>
        <v>2.3013615118878228E-2</v>
      </c>
      <c r="M1029" s="7">
        <f t="shared" si="152"/>
        <v>8.1229323343860571E-2</v>
      </c>
      <c r="N1029" s="7">
        <f t="shared" si="148"/>
        <v>0.93836193813322222</v>
      </c>
      <c r="O1029" s="7">
        <f t="shared" si="149"/>
        <v>6.1638061866777831E-2</v>
      </c>
    </row>
    <row r="1030" spans="1:15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4">
        <f>IF(SUMIFS('Daily NSE Equity Cash'!$H:$H,'Daily NSE Equity Cash'!$A:$A,$A1030)=0,"",SUMIFS('Daily NSE Equity Cash'!$H:$H,'Daily NSE Equity Cash'!$A:$A,$A1030))</f>
        <v>1217.5861</v>
      </c>
      <c r="F1030" s="4">
        <f>IF(SUMIFS('Daily BSE Equity Cash'!$H:$H,'Daily BSE Equity Cash'!$A:$A,$A1030)=0,"",SUMIFS('Daily BSE Equity Cash'!$H:$H,'Daily BSE Equity Cash'!$A:$A,$A1030))</f>
        <v>91.870800000000003</v>
      </c>
      <c r="G1030" s="4">
        <f t="shared" si="144"/>
        <v>1309.4568999999999</v>
      </c>
      <c r="H1030" s="7">
        <f t="shared" si="145"/>
        <v>1.028466662612797</v>
      </c>
      <c r="I1030" s="7">
        <f t="shared" si="146"/>
        <v>1.2432023283978593</v>
      </c>
      <c r="J1030" s="7">
        <f t="shared" si="147"/>
        <v>1.0421823171289915</v>
      </c>
      <c r="K1030" s="7">
        <f t="shared" si="150"/>
        <v>-7.6333810520796352E-2</v>
      </c>
      <c r="L1030" s="7">
        <f t="shared" si="151"/>
        <v>6.0997284877657876E-2</v>
      </c>
      <c r="M1030" s="7">
        <f t="shared" si="152"/>
        <v>-6.7868987966394068E-2</v>
      </c>
      <c r="N1030" s="7">
        <f t="shared" si="148"/>
        <v>0.92984053159748903</v>
      </c>
      <c r="O1030" s="7">
        <f t="shared" si="149"/>
        <v>7.0159468402510999E-2</v>
      </c>
    </row>
    <row r="1031" spans="1:15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4">
        <f>IF(SUMIFS('Daily NSE Equity Cash'!$H:$H,'Daily NSE Equity Cash'!$A:$A,$A1031)=0,"",SUMIFS('Daily NSE Equity Cash'!$H:$H,'Daily NSE Equity Cash'!$A:$A,$A1031))</f>
        <v>1218.0813000000001</v>
      </c>
      <c r="F1031" s="4">
        <f>IF(SUMIFS('Daily BSE Equity Cash'!$H:$H,'Daily BSE Equity Cash'!$A:$A,$A1031)=0,"",SUMIFS('Daily BSE Equity Cash'!$H:$H,'Daily BSE Equity Cash'!$A:$A,$A1031))</f>
        <v>88.076999999999998</v>
      </c>
      <c r="G1031" s="4">
        <f t="shared" si="144"/>
        <v>1306.1583000000001</v>
      </c>
      <c r="H1031" s="7" t="str">
        <f t="shared" si="145"/>
        <v/>
      </c>
      <c r="I1031" s="7" t="str">
        <f t="shared" si="146"/>
        <v/>
      </c>
      <c r="J1031" s="7" t="str">
        <f t="shared" si="147"/>
        <v/>
      </c>
      <c r="K1031" s="7">
        <f t="shared" si="150"/>
        <v>4.0670635119766096E-4</v>
      </c>
      <c r="L1031" s="7">
        <f t="shared" si="151"/>
        <v>-4.1294948993586655E-2</v>
      </c>
      <c r="M1031" s="7">
        <f t="shared" si="152"/>
        <v>-2.5190596192969927E-3</v>
      </c>
      <c r="N1031" s="7">
        <f t="shared" si="148"/>
        <v>0.93256789778084326</v>
      </c>
      <c r="O1031" s="7">
        <f t="shared" si="149"/>
        <v>6.7432102219156742E-2</v>
      </c>
    </row>
    <row r="1032" spans="1:15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4">
        <f>IF(SUMIFS('Daily NSE Equity Cash'!$H:$H,'Daily NSE Equity Cash'!$A:$A,$A1032)=0,"",SUMIFS('Daily NSE Equity Cash'!$H:$H,'Daily NSE Equity Cash'!$A:$A,$A1032))</f>
        <v>1027.3747000000001</v>
      </c>
      <c r="F1032" s="4">
        <f>IF(SUMIFS('Daily BSE Equity Cash'!$H:$H,'Daily BSE Equity Cash'!$A:$A,$A1032)=0,"",SUMIFS('Daily BSE Equity Cash'!$H:$H,'Daily BSE Equity Cash'!$A:$A,$A1032))</f>
        <v>90.362300000000005</v>
      </c>
      <c r="G1032" s="4">
        <f t="shared" si="144"/>
        <v>1117.7370000000001</v>
      </c>
      <c r="H1032" s="7" t="str">
        <f t="shared" si="145"/>
        <v/>
      </c>
      <c r="I1032" s="7" t="str">
        <f t="shared" si="146"/>
        <v/>
      </c>
      <c r="J1032" s="7" t="str">
        <f t="shared" si="147"/>
        <v/>
      </c>
      <c r="K1032" s="7">
        <f t="shared" si="150"/>
        <v>-0.1565631128234215</v>
      </c>
      <c r="L1032" s="7">
        <f t="shared" si="151"/>
        <v>2.5946614893786135E-2</v>
      </c>
      <c r="M1032" s="7">
        <f t="shared" si="152"/>
        <v>-0.14425609820800434</v>
      </c>
      <c r="N1032" s="7">
        <f t="shared" si="148"/>
        <v>0.91915602686499598</v>
      </c>
      <c r="O1032" s="7">
        <f t="shared" si="149"/>
        <v>8.0843973135004035E-2</v>
      </c>
    </row>
    <row r="1033" spans="1:15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4">
        <f>IF(SUMIFS('Daily NSE Equity Cash'!$H:$H,'Daily NSE Equity Cash'!$A:$A,$A1033)=0,"",SUMIFS('Daily NSE Equity Cash'!$H:$H,'Daily NSE Equity Cash'!$A:$A,$A1033))</f>
        <v>1027.0417</v>
      </c>
      <c r="F1033" s="4">
        <f>IF(SUMIFS('Daily BSE Equity Cash'!$H:$H,'Daily BSE Equity Cash'!$A:$A,$A1033)=0,"",SUMIFS('Daily BSE Equity Cash'!$H:$H,'Daily BSE Equity Cash'!$A:$A,$A1033))</f>
        <v>80.016999999999996</v>
      </c>
      <c r="G1033" s="4">
        <f t="shared" si="144"/>
        <v>1107.0587</v>
      </c>
      <c r="H1033" s="7">
        <f t="shared" si="145"/>
        <v>0.92577660773316994</v>
      </c>
      <c r="I1033" s="7">
        <f t="shared" si="146"/>
        <v>1.1928774030885596</v>
      </c>
      <c r="J1033" s="7">
        <f t="shared" si="147"/>
        <v>0.94288143698913229</v>
      </c>
      <c r="K1033" s="7">
        <f t="shared" si="150"/>
        <v>-3.2412711739937539E-4</v>
      </c>
      <c r="L1033" s="7">
        <f t="shared" si="151"/>
        <v>-0.11448690438379727</v>
      </c>
      <c r="M1033" s="7">
        <f t="shared" si="152"/>
        <v>-9.5534996157414787E-3</v>
      </c>
      <c r="N1033" s="7">
        <f t="shared" si="148"/>
        <v>0.92772108651510521</v>
      </c>
      <c r="O1033" s="7">
        <f t="shared" si="149"/>
        <v>7.2278913484894694E-2</v>
      </c>
    </row>
    <row r="1034" spans="1:15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4">
        <f>IF(SUMIFS('Daily NSE Equity Cash'!$H:$H,'Daily NSE Equity Cash'!$A:$A,$A1034)=0,"",SUMIFS('Daily NSE Equity Cash'!$H:$H,'Daily NSE Equity Cash'!$A:$A,$A1034))</f>
        <v>1103.2189000000001</v>
      </c>
      <c r="F1034" s="4">
        <f>IF(SUMIFS('Daily BSE Equity Cash'!$H:$H,'Daily BSE Equity Cash'!$A:$A,$A1034)=0,"",SUMIFS('Daily BSE Equity Cash'!$H:$H,'Daily BSE Equity Cash'!$A:$A,$A1034))</f>
        <v>100.6931</v>
      </c>
      <c r="G1034" s="4">
        <f t="shared" si="144"/>
        <v>1203.912</v>
      </c>
      <c r="H1034" s="7">
        <f t="shared" si="145"/>
        <v>1.0106913656209748</v>
      </c>
      <c r="I1034" s="7">
        <f t="shared" si="146"/>
        <v>1.4953249720588708</v>
      </c>
      <c r="J1034" s="7">
        <f t="shared" si="147"/>
        <v>1.0438922287540633</v>
      </c>
      <c r="K1034" s="7">
        <f t="shared" si="150"/>
        <v>7.4171477165922317E-2</v>
      </c>
      <c r="L1034" s="7">
        <f t="shared" si="151"/>
        <v>0.25839634077758489</v>
      </c>
      <c r="M1034" s="7">
        <f t="shared" si="152"/>
        <v>8.748705014467606E-2</v>
      </c>
      <c r="N1034" s="7">
        <f t="shared" si="148"/>
        <v>0.91636174404773774</v>
      </c>
      <c r="O1034" s="7">
        <f t="shared" si="149"/>
        <v>8.3638255952262291E-2</v>
      </c>
    </row>
    <row r="1035" spans="1:15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4">
        <f>IF(SUMIFS('Daily NSE Equity Cash'!$H:$H,'Daily NSE Equity Cash'!$A:$A,$A1035)=0,"",SUMIFS('Daily NSE Equity Cash'!$H:$H,'Daily NSE Equity Cash'!$A:$A,$A1035))</f>
        <v>2287.3762999999999</v>
      </c>
      <c r="F1035" s="4">
        <f>IF(SUMIFS('Daily BSE Equity Cash'!$H:$H,'Daily BSE Equity Cash'!$A:$A,$A1035)=0,"",SUMIFS('Daily BSE Equity Cash'!$H:$H,'Daily BSE Equity Cash'!$A:$A,$A1035))</f>
        <v>97.273300000000006</v>
      </c>
      <c r="G1035" s="4">
        <f t="shared" si="144"/>
        <v>2384.6495999999997</v>
      </c>
      <c r="H1035" s="7">
        <f t="shared" si="145"/>
        <v>0.68339590262461303</v>
      </c>
      <c r="I1035" s="7">
        <f t="shared" si="146"/>
        <v>0.60834950942622545</v>
      </c>
      <c r="J1035" s="7">
        <f t="shared" si="147"/>
        <v>0.68019789932423547</v>
      </c>
      <c r="K1035" s="7">
        <f t="shared" si="150"/>
        <v>1.0733657663044021</v>
      </c>
      <c r="L1035" s="7">
        <f t="shared" si="151"/>
        <v>-3.3962605183473271E-2</v>
      </c>
      <c r="M1035" s="7">
        <f t="shared" si="152"/>
        <v>0.98075075254669741</v>
      </c>
      <c r="N1035" s="7">
        <f t="shared" si="148"/>
        <v>0.95920855625916701</v>
      </c>
      <c r="O1035" s="7">
        <f t="shared" si="149"/>
        <v>4.0791443740833044E-2</v>
      </c>
    </row>
    <row r="1036" spans="1:15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4">
        <f>IF(SUMIFS('Daily NSE Equity Cash'!$H:$H,'Daily NSE Equity Cash'!$A:$A,$A1036)=0,"",SUMIFS('Daily NSE Equity Cash'!$H:$H,'Daily NSE Equity Cash'!$A:$A,$A1036))</f>
        <v>1725.3987999999999</v>
      </c>
      <c r="F1036" s="4">
        <f>IF(SUMIFS('Daily BSE Equity Cash'!$H:$H,'Daily BSE Equity Cash'!$A:$A,$A1036)=0,"",SUMIFS('Daily BSE Equity Cash'!$H:$H,'Daily BSE Equity Cash'!$A:$A,$A1036))</f>
        <v>136.2483</v>
      </c>
      <c r="G1036" s="4">
        <f t="shared" si="144"/>
        <v>1861.6470999999999</v>
      </c>
      <c r="H1036" s="7" t="str">
        <f t="shared" si="145"/>
        <v/>
      </c>
      <c r="I1036" s="7" t="str">
        <f t="shared" si="146"/>
        <v/>
      </c>
      <c r="J1036" s="7" t="str">
        <f t="shared" si="147"/>
        <v/>
      </c>
      <c r="K1036" s="7">
        <f t="shared" si="150"/>
        <v>-0.24568650991094032</v>
      </c>
      <c r="L1036" s="7">
        <f t="shared" si="151"/>
        <v>0.40067521097772962</v>
      </c>
      <c r="M1036" s="7">
        <f t="shared" si="152"/>
        <v>-0.21932048213708211</v>
      </c>
      <c r="N1036" s="7">
        <f t="shared" si="148"/>
        <v>0.92681303561776018</v>
      </c>
      <c r="O1036" s="7">
        <f t="shared" si="149"/>
        <v>7.3186964382239802E-2</v>
      </c>
    </row>
    <row r="1037" spans="1:15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4">
        <f>IF(SUMIFS('Daily NSE Equity Cash'!$H:$H,'Daily NSE Equity Cash'!$A:$A,$A1037)=0,"",SUMIFS('Daily NSE Equity Cash'!$H:$H,'Daily NSE Equity Cash'!$A:$A,$A1037))</f>
        <v>2712.4542999999999</v>
      </c>
      <c r="F1037" s="4">
        <f>IF(SUMIFS('Daily BSE Equity Cash'!$H:$H,'Daily BSE Equity Cash'!$A:$A,$A1037)=0,"",SUMIFS('Daily BSE Equity Cash'!$H:$H,'Daily BSE Equity Cash'!$A:$A,$A1037))</f>
        <v>217.2218</v>
      </c>
      <c r="G1037" s="4">
        <f t="shared" si="144"/>
        <v>2929.6760999999997</v>
      </c>
      <c r="H1037" s="7" t="str">
        <f t="shared" si="145"/>
        <v/>
      </c>
      <c r="I1037" s="7" t="str">
        <f t="shared" si="146"/>
        <v/>
      </c>
      <c r="J1037" s="7" t="str">
        <f t="shared" si="147"/>
        <v/>
      </c>
      <c r="K1037" s="7">
        <f t="shared" si="150"/>
        <v>0.57207383011973811</v>
      </c>
      <c r="L1037" s="7">
        <f t="shared" si="151"/>
        <v>0.59430833265442584</v>
      </c>
      <c r="M1037" s="7">
        <f t="shared" si="152"/>
        <v>0.57370110586480094</v>
      </c>
      <c r="N1037" s="7">
        <f t="shared" si="148"/>
        <v>0.92585467041902691</v>
      </c>
      <c r="O1037" s="7">
        <f t="shared" si="149"/>
        <v>7.4145329580973141E-2</v>
      </c>
    </row>
    <row r="1038" spans="1:15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4">
        <f>IF(SUMIFS('Daily NSE Equity Cash'!$H:$H,'Daily NSE Equity Cash'!$A:$A,$A1038)=0,"",SUMIFS('Daily NSE Equity Cash'!$H:$H,'Daily NSE Equity Cash'!$A:$A,$A1038))</f>
        <v>1867.9984999999999</v>
      </c>
      <c r="F1038" s="4">
        <f>IF(SUMIFS('Daily BSE Equity Cash'!$H:$H,'Daily BSE Equity Cash'!$A:$A,$A1038)=0,"",SUMIFS('Daily BSE Equity Cash'!$H:$H,'Daily BSE Equity Cash'!$A:$A,$A1038))</f>
        <v>124.7573</v>
      </c>
      <c r="G1038" s="4">
        <f t="shared" si="144"/>
        <v>1992.7557999999999</v>
      </c>
      <c r="H1038" s="7">
        <f t="shared" si="145"/>
        <v>2.2420234963585344</v>
      </c>
      <c r="I1038" s="7">
        <f t="shared" si="146"/>
        <v>1.9413971231400731</v>
      </c>
      <c r="J1038" s="7">
        <f t="shared" si="147"/>
        <v>2.2214109601530687</v>
      </c>
      <c r="K1038" s="7">
        <f t="shared" si="150"/>
        <v>-0.31132535578571774</v>
      </c>
      <c r="L1038" s="7">
        <f t="shared" si="151"/>
        <v>-0.42566860232260295</v>
      </c>
      <c r="M1038" s="7">
        <f t="shared" si="152"/>
        <v>-0.31980337348555354</v>
      </c>
      <c r="N1038" s="7">
        <f t="shared" si="148"/>
        <v>0.93739458693333122</v>
      </c>
      <c r="O1038" s="7">
        <f t="shared" si="149"/>
        <v>6.260541306666878E-2</v>
      </c>
    </row>
    <row r="1039" spans="1:15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4">
        <f>IF(SUMIFS('Daily NSE Equity Cash'!$H:$H,'Daily NSE Equity Cash'!$A:$A,$A1039)=0,"",SUMIFS('Daily NSE Equity Cash'!$H:$H,'Daily NSE Equity Cash'!$A:$A,$A1039))</f>
        <v>1504.4191000000001</v>
      </c>
      <c r="F1039" s="4">
        <f>IF(SUMIFS('Daily BSE Equity Cash'!$H:$H,'Daily BSE Equity Cash'!$A:$A,$A1039)=0,"",SUMIFS('Daily BSE Equity Cash'!$H:$H,'Daily BSE Equity Cash'!$A:$A,$A1039))</f>
        <v>96.188800000000001</v>
      </c>
      <c r="G1039" s="4">
        <f t="shared" si="144"/>
        <v>1600.6079</v>
      </c>
      <c r="H1039" s="7">
        <f t="shared" si="145"/>
        <v>1.6099831803604903</v>
      </c>
      <c r="I1039" s="7">
        <f t="shared" si="146"/>
        <v>1.3603165449972394</v>
      </c>
      <c r="J1039" s="7">
        <f t="shared" si="147"/>
        <v>1.5934971693007669</v>
      </c>
      <c r="K1039" s="7">
        <f t="shared" si="150"/>
        <v>-0.19463580939706315</v>
      </c>
      <c r="L1039" s="7">
        <f t="shared" si="151"/>
        <v>-0.22899261205556709</v>
      </c>
      <c r="M1039" s="7">
        <f t="shared" si="152"/>
        <v>-0.1967867312191488</v>
      </c>
      <c r="N1039" s="7">
        <f t="shared" si="148"/>
        <v>0.93990483240773715</v>
      </c>
      <c r="O1039" s="7">
        <f t="shared" si="149"/>
        <v>6.0095167592262917E-2</v>
      </c>
    </row>
    <row r="1040" spans="1:15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4">
        <f>IF(SUMIFS('Daily NSE Equity Cash'!$H:$H,'Daily NSE Equity Cash'!$A:$A,$A1040)=0,"",SUMIFS('Daily NSE Equity Cash'!$H:$H,'Daily NSE Equity Cash'!$A:$A,$A1040))</f>
        <v>1368.1969999999999</v>
      </c>
      <c r="F1040" s="4">
        <f>IF(SUMIFS('Daily BSE Equity Cash'!$H:$H,'Daily BSE Equity Cash'!$A:$A,$A1040)=0,"",SUMIFS('Daily BSE Equity Cash'!$H:$H,'Daily BSE Equity Cash'!$A:$A,$A1040))</f>
        <v>115.3883</v>
      </c>
      <c r="G1040" s="4">
        <f t="shared" si="144"/>
        <v>1483.5853</v>
      </c>
      <c r="H1040" s="7">
        <f t="shared" si="145"/>
        <v>1.2435317944505835</v>
      </c>
      <c r="I1040" s="7">
        <f t="shared" si="146"/>
        <v>1.5820638017919637</v>
      </c>
      <c r="J1040" s="7">
        <f t="shared" si="147"/>
        <v>1.266645287428779</v>
      </c>
      <c r="K1040" s="7">
        <f t="shared" si="150"/>
        <v>-9.0547972968436863E-2</v>
      </c>
      <c r="L1040" s="7">
        <f t="shared" si="151"/>
        <v>0.1996022405934994</v>
      </c>
      <c r="M1040" s="7">
        <f t="shared" si="152"/>
        <v>-7.3111347257501347E-2</v>
      </c>
      <c r="N1040" s="7">
        <f t="shared" si="148"/>
        <v>0.92222334637583692</v>
      </c>
      <c r="O1040" s="7">
        <f t="shared" si="149"/>
        <v>7.7776653624163042E-2</v>
      </c>
    </row>
    <row r="1041" spans="1:15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4">
        <f>IF(SUMIFS('Daily NSE Equity Cash'!$H:$H,'Daily NSE Equity Cash'!$A:$A,$A1041)=0,"",SUMIFS('Daily NSE Equity Cash'!$H:$H,'Daily NSE Equity Cash'!$A:$A,$A1041))</f>
        <v>1273.6464000000001</v>
      </c>
      <c r="F1041" s="4">
        <f>IF(SUMIFS('Daily BSE Equity Cash'!$H:$H,'Daily BSE Equity Cash'!$A:$A,$A1041)=0,"",SUMIFS('Daily BSE Equity Cash'!$H:$H,'Daily BSE Equity Cash'!$A:$A,$A1041))</f>
        <v>95.523899999999998</v>
      </c>
      <c r="G1041" s="4">
        <f t="shared" si="144"/>
        <v>1369.1703</v>
      </c>
      <c r="H1041" s="7" t="str">
        <f t="shared" si="145"/>
        <v/>
      </c>
      <c r="I1041" s="7" t="str">
        <f t="shared" si="146"/>
        <v/>
      </c>
      <c r="J1041" s="7" t="str">
        <f t="shared" si="147"/>
        <v/>
      </c>
      <c r="K1041" s="7">
        <f t="shared" si="150"/>
        <v>-6.9105984006688992E-2</v>
      </c>
      <c r="L1041" s="7">
        <f t="shared" si="151"/>
        <v>-0.17215263592582608</v>
      </c>
      <c r="M1041" s="7">
        <f t="shared" si="152"/>
        <v>-7.7120607760133519E-2</v>
      </c>
      <c r="N1041" s="7">
        <f t="shared" si="148"/>
        <v>0.93023227278593468</v>
      </c>
      <c r="O1041" s="7">
        <f t="shared" si="149"/>
        <v>6.9767727214065337E-2</v>
      </c>
    </row>
    <row r="1042" spans="1:15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4">
        <f>IF(SUMIFS('Daily NSE Equity Cash'!$H:$H,'Daily NSE Equity Cash'!$A:$A,$A1042)=0,"",SUMIFS('Daily NSE Equity Cash'!$H:$H,'Daily NSE Equity Cash'!$A:$A,$A1042))</f>
        <v>1247.9335000000001</v>
      </c>
      <c r="F1042" s="4">
        <f>IF(SUMIFS('Daily BSE Equity Cash'!$H:$H,'Daily BSE Equity Cash'!$A:$A,$A1042)=0,"",SUMIFS('Daily BSE Equity Cash'!$H:$H,'Daily BSE Equity Cash'!$A:$A,$A1042))</f>
        <v>123.5377</v>
      </c>
      <c r="G1042" s="4">
        <f t="shared" si="144"/>
        <v>1371.4712000000002</v>
      </c>
      <c r="H1042" s="7" t="str">
        <f t="shared" si="145"/>
        <v/>
      </c>
      <c r="I1042" s="7" t="str">
        <f t="shared" si="146"/>
        <v/>
      </c>
      <c r="J1042" s="7" t="str">
        <f t="shared" si="147"/>
        <v/>
      </c>
      <c r="K1042" s="7">
        <f t="shared" si="150"/>
        <v>-2.0188413361824753E-2</v>
      </c>
      <c r="L1042" s="7">
        <f t="shared" si="151"/>
        <v>0.29326482691766143</v>
      </c>
      <c r="M1042" s="7">
        <f t="shared" si="152"/>
        <v>1.6805068003593604E-3</v>
      </c>
      <c r="N1042" s="7">
        <f t="shared" si="148"/>
        <v>0.90992322696969496</v>
      </c>
      <c r="O1042" s="7">
        <f t="shared" si="149"/>
        <v>9.0076773030304966E-2</v>
      </c>
    </row>
    <row r="1043" spans="1:15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4">
        <f>IF(SUMIFS('Daily NSE Equity Cash'!$H:$H,'Daily NSE Equity Cash'!$A:$A,$A1043)=0,"",SUMIFS('Daily NSE Equity Cash'!$H:$H,'Daily NSE Equity Cash'!$A:$A,$A1043))</f>
        <v>1200.8157000000001</v>
      </c>
      <c r="F1043" s="4">
        <f>IF(SUMIFS('Daily BSE Equity Cash'!$H:$H,'Daily BSE Equity Cash'!$A:$A,$A1043)=0,"",SUMIFS('Daily BSE Equity Cash'!$H:$H,'Daily BSE Equity Cash'!$A:$A,$A1043))</f>
        <v>81.956800000000001</v>
      </c>
      <c r="G1043" s="4">
        <f t="shared" si="144"/>
        <v>1282.7725</v>
      </c>
      <c r="H1043" s="7">
        <f t="shared" si="145"/>
        <v>1.3799731681749745</v>
      </c>
      <c r="I1043" s="7">
        <f t="shared" si="146"/>
        <v>1.1714494646675271</v>
      </c>
      <c r="J1043" s="7">
        <f t="shared" si="147"/>
        <v>1.3654601848078438</v>
      </c>
      <c r="K1043" s="7">
        <f t="shared" si="150"/>
        <v>-3.7756659309169938E-2</v>
      </c>
      <c r="L1043" s="7">
        <f t="shared" si="151"/>
        <v>-0.33658470248353334</v>
      </c>
      <c r="M1043" s="7">
        <f t="shared" si="152"/>
        <v>-6.4674125129277282E-2</v>
      </c>
      <c r="N1043" s="7">
        <f t="shared" si="148"/>
        <v>0.93610963752341125</v>
      </c>
      <c r="O1043" s="7">
        <f t="shared" si="149"/>
        <v>6.3890362476588788E-2</v>
      </c>
    </row>
    <row r="1044" spans="1:15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4">
        <f>IF(SUMIFS('Daily NSE Equity Cash'!$H:$H,'Daily NSE Equity Cash'!$A:$A,$A1044)=0,"",SUMIFS('Daily NSE Equity Cash'!$H:$H,'Daily NSE Equity Cash'!$A:$A,$A1044))</f>
        <v>1294.9286</v>
      </c>
      <c r="F1044" s="4">
        <f>IF(SUMIFS('Daily BSE Equity Cash'!$H:$H,'Daily BSE Equity Cash'!$A:$A,$A1044)=0,"",SUMIFS('Daily BSE Equity Cash'!$H:$H,'Daily BSE Equity Cash'!$A:$A,$A1044))</f>
        <v>99.069000000000003</v>
      </c>
      <c r="G1044" s="4">
        <f t="shared" si="144"/>
        <v>1393.9975999999999</v>
      </c>
      <c r="H1044" s="7">
        <f t="shared" si="145"/>
        <v>1.0763717195727023</v>
      </c>
      <c r="I1044" s="7">
        <f t="shared" si="146"/>
        <v>1.191699906419863</v>
      </c>
      <c r="J1044" s="7">
        <f t="shared" si="147"/>
        <v>1.0841657551540576</v>
      </c>
      <c r="K1044" s="7">
        <f t="shared" si="150"/>
        <v>7.8374141843748246E-2</v>
      </c>
      <c r="L1044" s="7">
        <f t="shared" si="151"/>
        <v>0.20879536536321575</v>
      </c>
      <c r="M1044" s="7">
        <f t="shared" si="152"/>
        <v>8.670680108904727E-2</v>
      </c>
      <c r="N1044" s="7">
        <f t="shared" si="148"/>
        <v>0.92893172843339189</v>
      </c>
      <c r="O1044" s="7">
        <f t="shared" si="149"/>
        <v>7.1068271566608152E-2</v>
      </c>
    </row>
    <row r="1045" spans="1:15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4">
        <f>IF(SUMIFS('Daily NSE Equity Cash'!$H:$H,'Daily NSE Equity Cash'!$A:$A,$A1045)=0,"",SUMIFS('Daily NSE Equity Cash'!$H:$H,'Daily NSE Equity Cash'!$A:$A,$A1045))</f>
        <v>1345.3333</v>
      </c>
      <c r="F1045" s="4">
        <f>IF(SUMIFS('Daily BSE Equity Cash'!$H:$H,'Daily BSE Equity Cash'!$A:$A,$A1045)=0,"",SUMIFS('Daily BSE Equity Cash'!$H:$H,'Daily BSE Equity Cash'!$A:$A,$A1045))</f>
        <v>103.1947</v>
      </c>
      <c r="G1045" s="4">
        <f t="shared" si="144"/>
        <v>1448.528</v>
      </c>
      <c r="H1045" s="7">
        <f t="shared" si="145"/>
        <v>1.2490472754652786</v>
      </c>
      <c r="I1045" s="7">
        <f t="shared" si="146"/>
        <v>1.2796037880478122</v>
      </c>
      <c r="J1045" s="7">
        <f t="shared" si="147"/>
        <v>1.2511970277624651</v>
      </c>
      <c r="K1045" s="7">
        <f t="shared" si="150"/>
        <v>3.8924694380833014E-2</v>
      </c>
      <c r="L1045" s="7">
        <f t="shared" si="151"/>
        <v>4.1644712271245332E-2</v>
      </c>
      <c r="M1045" s="7">
        <f t="shared" si="152"/>
        <v>3.9118001350934906E-2</v>
      </c>
      <c r="N1045" s="7">
        <f t="shared" si="148"/>
        <v>0.9287589193995559</v>
      </c>
      <c r="O1045" s="7">
        <f t="shared" si="149"/>
        <v>7.124108060044404E-2</v>
      </c>
    </row>
    <row r="1046" spans="1:15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4">
        <f>IF(SUMIFS('Daily NSE Equity Cash'!$H:$H,'Daily NSE Equity Cash'!$A:$A,$A1046)=0,"",SUMIFS('Daily NSE Equity Cash'!$H:$H,'Daily NSE Equity Cash'!$A:$A,$A1046))</f>
        <v>1427.9749999999999</v>
      </c>
      <c r="F1046" s="4">
        <f>IF(SUMIFS('Daily BSE Equity Cash'!$H:$H,'Daily BSE Equity Cash'!$A:$A,$A1046)=0,"",SUMIFS('Daily BSE Equity Cash'!$H:$H,'Daily BSE Equity Cash'!$A:$A,$A1046))</f>
        <v>113.8043</v>
      </c>
      <c r="G1046" s="4">
        <f t="shared" si="144"/>
        <v>1541.7792999999999</v>
      </c>
      <c r="H1046" s="7" t="str">
        <f t="shared" si="145"/>
        <v/>
      </c>
      <c r="I1046" s="7" t="str">
        <f t="shared" si="146"/>
        <v/>
      </c>
      <c r="J1046" s="7" t="str">
        <f t="shared" si="147"/>
        <v/>
      </c>
      <c r="K1046" s="7">
        <f t="shared" si="150"/>
        <v>6.1428420748969703E-2</v>
      </c>
      <c r="L1046" s="7">
        <f t="shared" si="151"/>
        <v>0.10281148159740772</v>
      </c>
      <c r="M1046" s="7">
        <f t="shared" si="152"/>
        <v>6.4376594722366454E-2</v>
      </c>
      <c r="N1046" s="7">
        <f t="shared" si="148"/>
        <v>0.92618638737723358</v>
      </c>
      <c r="O1046" s="7">
        <f t="shared" si="149"/>
        <v>7.3813612622766436E-2</v>
      </c>
    </row>
    <row r="1047" spans="1:15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4">
        <f>IF(SUMIFS('Daily NSE Equity Cash'!$H:$H,'Daily NSE Equity Cash'!$A:$A,$A1047)=0,"",SUMIFS('Daily NSE Equity Cash'!$H:$H,'Daily NSE Equity Cash'!$A:$A,$A1047))</f>
        <v>1768.3013000000001</v>
      </c>
      <c r="F1047" s="4">
        <f>IF(SUMIFS('Daily BSE Equity Cash'!$H:$H,'Daily BSE Equity Cash'!$A:$A,$A1047)=0,"",SUMIFS('Daily BSE Equity Cash'!$H:$H,'Daily BSE Equity Cash'!$A:$A,$A1047))</f>
        <v>131.29589999999999</v>
      </c>
      <c r="G1047" s="4">
        <f t="shared" si="144"/>
        <v>1899.5972000000002</v>
      </c>
      <c r="H1047" s="7">
        <f t="shared" si="145"/>
        <v>1.8554268248768651</v>
      </c>
      <c r="I1047" s="7">
        <f t="shared" si="146"/>
        <v>1.165780587863662</v>
      </c>
      <c r="J1047" s="7">
        <f t="shared" si="147"/>
        <v>1.7939349342837478</v>
      </c>
      <c r="K1047" s="7">
        <f t="shared" si="150"/>
        <v>0.23832791190321978</v>
      </c>
      <c r="L1047" s="7">
        <f t="shared" si="151"/>
        <v>0.15369893756211317</v>
      </c>
      <c r="M1047" s="7">
        <f t="shared" si="152"/>
        <v>0.23208114157454318</v>
      </c>
      <c r="N1047" s="7">
        <f t="shared" si="148"/>
        <v>0.93088224177209777</v>
      </c>
      <c r="O1047" s="7">
        <f t="shared" si="149"/>
        <v>6.9117758227902198E-2</v>
      </c>
    </row>
    <row r="1048" spans="1:15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4">
        <f>IF(SUMIFS('Daily NSE Equity Cash'!$H:$H,'Daily NSE Equity Cash'!$A:$A,$A1048)=0,"",SUMIFS('Daily NSE Equity Cash'!$H:$H,'Daily NSE Equity Cash'!$A:$A,$A1048))</f>
        <v>1413.867</v>
      </c>
      <c r="F1048" s="4">
        <f>IF(SUMIFS('Daily BSE Equity Cash'!$H:$H,'Daily BSE Equity Cash'!$A:$A,$A1048)=0,"",SUMIFS('Daily BSE Equity Cash'!$H:$H,'Daily BSE Equity Cash'!$A:$A,$A1048))</f>
        <v>95.799499999999995</v>
      </c>
      <c r="G1048" s="4">
        <f t="shared" si="144"/>
        <v>1509.6665</v>
      </c>
      <c r="H1048" s="7">
        <f t="shared" si="145"/>
        <v>1.2694410598484147</v>
      </c>
      <c r="I1048" s="7">
        <f t="shared" si="146"/>
        <v>-0.17907838642644447</v>
      </c>
      <c r="J1048" s="7">
        <f t="shared" si="147"/>
        <v>1.0409178155786982</v>
      </c>
      <c r="K1048" s="7">
        <f t="shared" si="150"/>
        <v>-0.20043773083240968</v>
      </c>
      <c r="L1048" s="7">
        <f t="shared" si="151"/>
        <v>-0.27035421517351266</v>
      </c>
      <c r="M1048" s="7">
        <f t="shared" si="152"/>
        <v>-0.20527020149324293</v>
      </c>
      <c r="N1048" s="7">
        <f t="shared" si="148"/>
        <v>0.93654260725796057</v>
      </c>
      <c r="O1048" s="7">
        <f t="shared" si="149"/>
        <v>6.3457392742039376E-2</v>
      </c>
    </row>
    <row r="1049" spans="1:15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4">
        <f>IF(SUMIFS('Daily NSE Equity Cash'!$H:$H,'Daily NSE Equity Cash'!$A:$A,$A1049)=0,"",SUMIFS('Daily NSE Equity Cash'!$H:$H,'Daily NSE Equity Cash'!$A:$A,$A1049))</f>
        <v>1867.1475</v>
      </c>
      <c r="F1049" s="4">
        <f>IF(SUMIFS('Daily BSE Equity Cash'!$H:$H,'Daily BSE Equity Cash'!$A:$A,$A1049)=0,"",SUMIFS('Daily BSE Equity Cash'!$H:$H,'Daily BSE Equity Cash'!$A:$A,$A1049))</f>
        <v>135.3186</v>
      </c>
      <c r="G1049" s="4">
        <f t="shared" si="144"/>
        <v>2002.4661000000001</v>
      </c>
      <c r="H1049" s="7">
        <f t="shared" si="145"/>
        <v>1.6611011242584746</v>
      </c>
      <c r="I1049" s="7">
        <f t="shared" si="146"/>
        <v>1.5822780462112713</v>
      </c>
      <c r="J1049" s="7">
        <f t="shared" si="147"/>
        <v>1.6556232863314317</v>
      </c>
      <c r="K1049" s="7">
        <f t="shared" si="150"/>
        <v>0.32059627956519265</v>
      </c>
      <c r="L1049" s="7">
        <f t="shared" si="151"/>
        <v>0.41251885448253911</v>
      </c>
      <c r="M1049" s="7">
        <f t="shared" si="152"/>
        <v>0.32642944650358219</v>
      </c>
      <c r="N1049" s="7">
        <f t="shared" si="148"/>
        <v>0.93242402455652051</v>
      </c>
      <c r="O1049" s="7">
        <f t="shared" si="149"/>
        <v>6.7575975443479416E-2</v>
      </c>
    </row>
    <row r="1050" spans="1:15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4">
        <f>IF(SUMIFS('Daily NSE Equity Cash'!$H:$H,'Daily NSE Equity Cash'!$A:$A,$A1050)=0,"",SUMIFS('Daily NSE Equity Cash'!$H:$H,'Daily NSE Equity Cash'!$A:$A,$A1050))</f>
        <v>1200.5527</v>
      </c>
      <c r="F1050" s="4">
        <f>IF(SUMIFS('Daily BSE Equity Cash'!$H:$H,'Daily BSE Equity Cash'!$A:$A,$A1050)=0,"",SUMIFS('Daily BSE Equity Cash'!$H:$H,'Daily BSE Equity Cash'!$A:$A,$A1050))</f>
        <v>101.8702</v>
      </c>
      <c r="G1050" s="4">
        <f t="shared" si="144"/>
        <v>1302.4229</v>
      </c>
      <c r="H1050" s="7" t="str">
        <f t="shared" si="145"/>
        <v/>
      </c>
      <c r="I1050" s="7" t="str">
        <f t="shared" si="146"/>
        <v/>
      </c>
      <c r="J1050" s="7" t="str">
        <f t="shared" si="147"/>
        <v/>
      </c>
      <c r="K1050" s="7">
        <f t="shared" si="150"/>
        <v>-0.35701239457514744</v>
      </c>
      <c r="L1050" s="7">
        <f t="shared" si="151"/>
        <v>-0.2471825750488108</v>
      </c>
      <c r="M1050" s="7">
        <f t="shared" si="152"/>
        <v>-0.34959053738787393</v>
      </c>
      <c r="N1050" s="7">
        <f t="shared" si="148"/>
        <v>0.92178408410970036</v>
      </c>
      <c r="O1050" s="7">
        <f t="shared" si="149"/>
        <v>7.8215915890299526E-2</v>
      </c>
    </row>
    <row r="1051" spans="1:15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4">
        <f>IF(SUMIFS('Daily NSE Equity Cash'!$H:$H,'Daily NSE Equity Cash'!$A:$A,$A1051)=0,"",SUMIFS('Daily NSE Equity Cash'!$H:$H,'Daily NSE Equity Cash'!$A:$A,$A1051))</f>
        <v>1253.6162999999999</v>
      </c>
      <c r="F1051" s="4">
        <f>IF(SUMIFS('Daily BSE Equity Cash'!$H:$H,'Daily BSE Equity Cash'!$A:$A,$A1051)=0,"",SUMIFS('Daily BSE Equity Cash'!$H:$H,'Daily BSE Equity Cash'!$A:$A,$A1051))</f>
        <v>104.7775</v>
      </c>
      <c r="G1051" s="4">
        <f t="shared" si="144"/>
        <v>1358.3937999999998</v>
      </c>
      <c r="H1051" s="7" t="str">
        <f t="shared" si="145"/>
        <v/>
      </c>
      <c r="I1051" s="7" t="str">
        <f t="shared" si="146"/>
        <v/>
      </c>
      <c r="J1051" s="7" t="str">
        <f t="shared" si="147"/>
        <v/>
      </c>
      <c r="K1051" s="7">
        <f t="shared" si="150"/>
        <v>4.4199309201503612E-2</v>
      </c>
      <c r="L1051" s="7">
        <f t="shared" si="151"/>
        <v>2.8539258782254384E-2</v>
      </c>
      <c r="M1051" s="7">
        <f t="shared" si="152"/>
        <v>4.2974444015073665E-2</v>
      </c>
      <c r="N1051" s="7">
        <f t="shared" si="148"/>
        <v>0.92286662380231721</v>
      </c>
      <c r="O1051" s="7">
        <f t="shared" si="149"/>
        <v>7.7133376197682887E-2</v>
      </c>
    </row>
    <row r="1052" spans="1:15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4">
        <f>IF(SUMIFS('Daily NSE Equity Cash'!$H:$H,'Daily NSE Equity Cash'!$A:$A,$A1052)=0,"",SUMIFS('Daily NSE Equity Cash'!$H:$H,'Daily NSE Equity Cash'!$A:$A,$A1052))</f>
        <v>1377.9694</v>
      </c>
      <c r="F1052" s="4">
        <f>IF(SUMIFS('Daily BSE Equity Cash'!$H:$H,'Daily BSE Equity Cash'!$A:$A,$A1052)=0,"",SUMIFS('Daily BSE Equity Cash'!$H:$H,'Daily BSE Equity Cash'!$A:$A,$A1052))</f>
        <v>150.9632</v>
      </c>
      <c r="G1052" s="4">
        <f t="shared" si="144"/>
        <v>1528.9325999999999</v>
      </c>
      <c r="H1052" s="7">
        <f t="shared" si="145"/>
        <v>1.7272038889445249</v>
      </c>
      <c r="I1052" s="7">
        <f t="shared" si="146"/>
        <v>3.3143436883770114</v>
      </c>
      <c r="J1052" s="7">
        <f t="shared" si="147"/>
        <v>1.8299982674982673</v>
      </c>
      <c r="K1052" s="7">
        <f t="shared" si="150"/>
        <v>9.9195503440725918E-2</v>
      </c>
      <c r="L1052" s="7">
        <f t="shared" si="151"/>
        <v>0.44079788122449948</v>
      </c>
      <c r="M1052" s="7">
        <f t="shared" si="152"/>
        <v>0.1255444481563448</v>
      </c>
      <c r="N1052" s="7">
        <f t="shared" si="148"/>
        <v>0.90126235780439246</v>
      </c>
      <c r="O1052" s="7">
        <f t="shared" si="149"/>
        <v>9.8737642195607586E-2</v>
      </c>
    </row>
    <row r="1053" spans="1:15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4">
        <f>IF(SUMIFS('Daily NSE Equity Cash'!$H:$H,'Daily NSE Equity Cash'!$A:$A,$A1053)=0,"",SUMIFS('Daily NSE Equity Cash'!$H:$H,'Daily NSE Equity Cash'!$A:$A,$A1053))</f>
        <v>1758.1271999999999</v>
      </c>
      <c r="F1053" s="4">
        <f>IF(SUMIFS('Daily BSE Equity Cash'!$H:$H,'Daily BSE Equity Cash'!$A:$A,$A1053)=0,"",SUMIFS('Daily BSE Equity Cash'!$H:$H,'Daily BSE Equity Cash'!$A:$A,$A1053))</f>
        <v>137.6934</v>
      </c>
      <c r="G1053" s="4">
        <f t="shared" si="144"/>
        <v>1895.8206</v>
      </c>
      <c r="H1053" s="7">
        <f t="shared" si="145"/>
        <v>2.0953009055652934</v>
      </c>
      <c r="I1053" s="7">
        <f t="shared" si="146"/>
        <v>3.3864392957149727</v>
      </c>
      <c r="J1053" s="7">
        <f t="shared" si="147"/>
        <v>2.1629192703575888</v>
      </c>
      <c r="K1053" s="7">
        <f t="shared" si="150"/>
        <v>0.27588261393903224</v>
      </c>
      <c r="L1053" s="7">
        <f t="shared" si="151"/>
        <v>-8.7900892402916764E-2</v>
      </c>
      <c r="M1053" s="7">
        <f t="shared" si="152"/>
        <v>0.23996348825317759</v>
      </c>
      <c r="N1053" s="7">
        <f t="shared" si="148"/>
        <v>0.92737002646769418</v>
      </c>
      <c r="O1053" s="7">
        <f t="shared" si="149"/>
        <v>7.2629973532305742E-2</v>
      </c>
    </row>
    <row r="1054" spans="1:15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4">
        <f>IF(SUMIFS('Daily NSE Equity Cash'!$H:$H,'Daily NSE Equity Cash'!$A:$A,$A1054)=0,"",SUMIFS('Daily NSE Equity Cash'!$H:$H,'Daily NSE Equity Cash'!$A:$A,$A1054))</f>
        <v>1443.5830000000001</v>
      </c>
      <c r="F1054" s="4">
        <f>IF(SUMIFS('Daily BSE Equity Cash'!$H:$H,'Daily BSE Equity Cash'!$A:$A,$A1054)=0,"",SUMIFS('Daily BSE Equity Cash'!$H:$H,'Daily BSE Equity Cash'!$A:$A,$A1054))</f>
        <v>105.4064</v>
      </c>
      <c r="G1054" s="4">
        <f t="shared" si="144"/>
        <v>1548.9894000000002</v>
      </c>
      <c r="H1054" s="7">
        <f t="shared" si="145"/>
        <v>0.76001032902680876</v>
      </c>
      <c r="I1054" s="7">
        <f t="shared" si="146"/>
        <v>1.1557043960201652</v>
      </c>
      <c r="J1054" s="7">
        <f t="shared" si="147"/>
        <v>0.78227226425951257</v>
      </c>
      <c r="K1054" s="7">
        <f t="shared" si="150"/>
        <v>-0.17890867054442927</v>
      </c>
      <c r="L1054" s="7">
        <f t="shared" si="151"/>
        <v>-0.23448473202056153</v>
      </c>
      <c r="M1054" s="7">
        <f t="shared" si="152"/>
        <v>-0.18294515841847048</v>
      </c>
      <c r="N1054" s="7">
        <f t="shared" si="148"/>
        <v>0.93195150334792476</v>
      </c>
      <c r="O1054" s="7">
        <f t="shared" si="149"/>
        <v>6.8048496652075213E-2</v>
      </c>
    </row>
    <row r="1055" spans="1:15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4">
        <f>IF(SUMIFS('Daily NSE Equity Cash'!$H:$H,'Daily NSE Equity Cash'!$A:$A,$A1055)=0,"",SUMIFS('Daily NSE Equity Cash'!$H:$H,'Daily NSE Equity Cash'!$A:$A,$A1055))</f>
        <v>1200.3055999999999</v>
      </c>
      <c r="F1055" s="4">
        <f>IF(SUMIFS('Daily BSE Equity Cash'!$H:$H,'Daily BSE Equity Cash'!$A:$A,$A1055)=0,"",SUMIFS('Daily BSE Equity Cash'!$H:$H,'Daily BSE Equity Cash'!$A:$A,$A1055))</f>
        <v>102.8449</v>
      </c>
      <c r="G1055" s="4">
        <f t="shared" si="144"/>
        <v>1303.1505</v>
      </c>
      <c r="H1055" s="7" t="str">
        <f t="shared" si="145"/>
        <v/>
      </c>
      <c r="I1055" s="7" t="str">
        <f t="shared" si="146"/>
        <v/>
      </c>
      <c r="J1055" s="7" t="str">
        <f t="shared" si="147"/>
        <v/>
      </c>
      <c r="K1055" s="7">
        <f t="shared" si="150"/>
        <v>-0.16852332010005666</v>
      </c>
      <c r="L1055" s="7">
        <f t="shared" si="151"/>
        <v>-2.43011809529593E-2</v>
      </c>
      <c r="M1055" s="7">
        <f t="shared" si="152"/>
        <v>-0.15870922034715029</v>
      </c>
      <c r="N1055" s="7">
        <f t="shared" si="148"/>
        <v>0.92107979853439792</v>
      </c>
      <c r="O1055" s="7">
        <f t="shared" si="149"/>
        <v>7.8920201465602011E-2</v>
      </c>
    </row>
    <row r="1056" spans="1:15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4">
        <f>IF(SUMIFS('Daily NSE Equity Cash'!$H:$H,'Daily NSE Equity Cash'!$A:$A,$A1056)=0,"",SUMIFS('Daily NSE Equity Cash'!$H:$H,'Daily NSE Equity Cash'!$A:$A,$A1056))</f>
        <v>1325.7408</v>
      </c>
      <c r="F1056" s="4">
        <f>IF(SUMIFS('Daily BSE Equity Cash'!$H:$H,'Daily BSE Equity Cash'!$A:$A,$A1056)=0,"",SUMIFS('Daily BSE Equity Cash'!$H:$H,'Daily BSE Equity Cash'!$A:$A,$A1056))</f>
        <v>86.796400000000006</v>
      </c>
      <c r="G1056" s="4">
        <f t="shared" si="144"/>
        <v>1412.5372</v>
      </c>
      <c r="H1056" s="7" t="str">
        <f t="shared" si="145"/>
        <v/>
      </c>
      <c r="I1056" s="7" t="str">
        <f t="shared" si="146"/>
        <v/>
      </c>
      <c r="J1056" s="7" t="str">
        <f t="shared" si="147"/>
        <v/>
      </c>
      <c r="K1056" s="7">
        <f t="shared" si="150"/>
        <v>0.10450271997398008</v>
      </c>
      <c r="L1056" s="7">
        <f t="shared" si="151"/>
        <v>-0.15604565710112983</v>
      </c>
      <c r="M1056" s="7">
        <f t="shared" si="152"/>
        <v>8.3940189563676659E-2</v>
      </c>
      <c r="N1056" s="7">
        <f t="shared" si="148"/>
        <v>0.93855283952875723</v>
      </c>
      <c r="O1056" s="7">
        <f t="shared" si="149"/>
        <v>6.1447160471242816E-2</v>
      </c>
    </row>
    <row r="1057" spans="1:15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4">
        <f>IF(SUMIFS('Daily NSE Equity Cash'!$H:$H,'Daily NSE Equity Cash'!$A:$A,$A1057)=0,"",SUMIFS('Daily NSE Equity Cash'!$H:$H,'Daily NSE Equity Cash'!$A:$A,$A1057))</f>
        <v>1359.2591</v>
      </c>
      <c r="F1057" s="4">
        <f>IF(SUMIFS('Daily BSE Equity Cash'!$H:$H,'Daily BSE Equity Cash'!$A:$A,$A1057)=0,"",SUMIFS('Daily BSE Equity Cash'!$H:$H,'Daily BSE Equity Cash'!$A:$A,$A1057))</f>
        <v>89.798699999999997</v>
      </c>
      <c r="G1057" s="4">
        <f t="shared" si="144"/>
        <v>1449.0578</v>
      </c>
      <c r="H1057" s="7">
        <f t="shared" si="145"/>
        <v>1.2010457427437227</v>
      </c>
      <c r="I1057" s="7">
        <f t="shared" si="146"/>
        <v>1.1573986872831759</v>
      </c>
      <c r="J1057" s="7">
        <f t="shared" si="147"/>
        <v>1.1982896502006826</v>
      </c>
      <c r="K1057" s="7">
        <f t="shared" si="150"/>
        <v>2.5282694777138959E-2</v>
      </c>
      <c r="L1057" s="7">
        <f t="shared" si="151"/>
        <v>3.459014429169871E-2</v>
      </c>
      <c r="M1057" s="7">
        <f t="shared" si="152"/>
        <v>2.585461112103804E-2</v>
      </c>
      <c r="N1057" s="7">
        <f t="shared" si="148"/>
        <v>0.93802959412661102</v>
      </c>
      <c r="O1057" s="7">
        <f t="shared" si="149"/>
        <v>6.1970405873388895E-2</v>
      </c>
    </row>
    <row r="1058" spans="1:15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4">
        <f>IF(SUMIFS('Daily NSE Equity Cash'!$H:$H,'Daily NSE Equity Cash'!$A:$A,$A1058)=0,"",SUMIFS('Daily NSE Equity Cash'!$H:$H,'Daily NSE Equity Cash'!$A:$A,$A1058))</f>
        <v>1384.5336</v>
      </c>
      <c r="F1058" s="4">
        <f>IF(SUMIFS('Daily BSE Equity Cash'!$H:$H,'Daily BSE Equity Cash'!$A:$A,$A1058)=0,"",SUMIFS('Daily BSE Equity Cash'!$H:$H,'Daily BSE Equity Cash'!$A:$A,$A1058))</f>
        <v>105.6913</v>
      </c>
      <c r="G1058" s="4">
        <f t="shared" si="144"/>
        <v>1490.2248999999999</v>
      </c>
      <c r="H1058" s="7">
        <f t="shared" si="145"/>
        <v>1.0978884798943218</v>
      </c>
      <c r="I1058" s="7">
        <f t="shared" si="146"/>
        <v>1.4518418165073337</v>
      </c>
      <c r="J1058" s="7">
        <f t="shared" si="147"/>
        <v>1.1195901359775</v>
      </c>
      <c r="K1058" s="7">
        <f t="shared" si="150"/>
        <v>1.8594320979716139E-2</v>
      </c>
      <c r="L1058" s="7">
        <f t="shared" si="151"/>
        <v>0.17698029036055085</v>
      </c>
      <c r="M1058" s="7">
        <f t="shared" si="152"/>
        <v>2.8409563786896408E-2</v>
      </c>
      <c r="N1058" s="7">
        <f t="shared" si="148"/>
        <v>0.92907694670784258</v>
      </c>
      <c r="O1058" s="7">
        <f t="shared" si="149"/>
        <v>7.0923053292157451E-2</v>
      </c>
    </row>
    <row r="1059" spans="1:15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4">
        <f>IF(SUMIFS('Daily NSE Equity Cash'!$H:$H,'Daily NSE Equity Cash'!$A:$A,$A1059)=0,"",SUMIFS('Daily NSE Equity Cash'!$H:$H,'Daily NSE Equity Cash'!$A:$A,$A1059))</f>
        <v>1556.7424000000001</v>
      </c>
      <c r="F1059" s="4">
        <f>IF(SUMIFS('Daily BSE Equity Cash'!$H:$H,'Daily BSE Equity Cash'!$A:$A,$A1059)=0,"",SUMIFS('Daily BSE Equity Cash'!$H:$H,'Daily BSE Equity Cash'!$A:$A,$A1059))</f>
        <v>134.6463</v>
      </c>
      <c r="G1059" s="4">
        <f t="shared" si="144"/>
        <v>1691.3887</v>
      </c>
      <c r="H1059" s="7">
        <f t="shared" si="145"/>
        <v>1.3449693890938925</v>
      </c>
      <c r="I1059" s="7">
        <f t="shared" si="146"/>
        <v>2.3400383997142344</v>
      </c>
      <c r="J1059" s="7">
        <f t="shared" si="147"/>
        <v>1.4019351654944954</v>
      </c>
      <c r="K1059" s="7">
        <f t="shared" si="150"/>
        <v>0.12438036895601523</v>
      </c>
      <c r="L1059" s="7">
        <f t="shared" si="151"/>
        <v>0.27395821604994919</v>
      </c>
      <c r="M1059" s="7">
        <f t="shared" si="152"/>
        <v>0.13498888657678454</v>
      </c>
      <c r="N1059" s="7">
        <f t="shared" si="148"/>
        <v>0.92039304744083961</v>
      </c>
      <c r="O1059" s="7">
        <f t="shared" si="149"/>
        <v>7.9606952559160407E-2</v>
      </c>
    </row>
    <row r="1060" spans="1:15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4">
        <f>IF(SUMIFS('Daily NSE Equity Cash'!$H:$H,'Daily NSE Equity Cash'!$A:$A,$A1060)=0,"",SUMIFS('Daily NSE Equity Cash'!$H:$H,'Daily NSE Equity Cash'!$A:$A,$A1060))</f>
        <v>1447.5655999999999</v>
      </c>
      <c r="F1060" s="4">
        <f>IF(SUMIFS('Daily BSE Equity Cash'!$H:$H,'Daily BSE Equity Cash'!$A:$A,$A1060)=0,"",SUMIFS('Daily BSE Equity Cash'!$H:$H,'Daily BSE Equity Cash'!$A:$A,$A1060))</f>
        <v>153.43289999999999</v>
      </c>
      <c r="G1060" s="4">
        <f t="shared" si="144"/>
        <v>1600.9984999999999</v>
      </c>
      <c r="H1060" s="7" t="str">
        <f t="shared" si="145"/>
        <v/>
      </c>
      <c r="I1060" s="7" t="str">
        <f t="shared" si="146"/>
        <v/>
      </c>
      <c r="J1060" s="7" t="str">
        <f t="shared" si="147"/>
        <v/>
      </c>
      <c r="K1060" s="7">
        <f t="shared" si="150"/>
        <v>-7.0131577324546557E-2</v>
      </c>
      <c r="L1060" s="7">
        <f t="shared" si="151"/>
        <v>0.13952555695923308</v>
      </c>
      <c r="M1060" s="7">
        <f t="shared" si="152"/>
        <v>-5.3441411781928072E-2</v>
      </c>
      <c r="N1060" s="7">
        <f t="shared" si="148"/>
        <v>0.90416424500085413</v>
      </c>
      <c r="O1060" s="7">
        <f t="shared" si="149"/>
        <v>9.5835754999145845E-2</v>
      </c>
    </row>
    <row r="1061" spans="1:15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4">
        <f>IF(SUMIFS('Daily NSE Equity Cash'!$H:$H,'Daily NSE Equity Cash'!$A:$A,$A1061)=0,"",SUMIFS('Daily NSE Equity Cash'!$H:$H,'Daily NSE Equity Cash'!$A:$A,$A1061))</f>
        <v>1354.4329</v>
      </c>
      <c r="F1061" s="4">
        <f>IF(SUMIFS('Daily BSE Equity Cash'!$H:$H,'Daily BSE Equity Cash'!$A:$A,$A1061)=0,"",SUMIFS('Daily BSE Equity Cash'!$H:$H,'Daily BSE Equity Cash'!$A:$A,$A1061))</f>
        <v>101.21980000000001</v>
      </c>
      <c r="G1061" s="4">
        <f t="shared" si="144"/>
        <v>1455.6527000000001</v>
      </c>
      <c r="H1061" s="7" t="str">
        <f t="shared" si="145"/>
        <v/>
      </c>
      <c r="I1061" s="7" t="str">
        <f t="shared" si="146"/>
        <v/>
      </c>
      <c r="J1061" s="7" t="str">
        <f t="shared" si="147"/>
        <v/>
      </c>
      <c r="K1061" s="7">
        <f t="shared" si="150"/>
        <v>-6.4337464222692153E-2</v>
      </c>
      <c r="L1061" s="7">
        <f t="shared" si="151"/>
        <v>-0.34029924481646368</v>
      </c>
      <c r="M1061" s="7">
        <f t="shared" si="152"/>
        <v>-9.078446981680488E-2</v>
      </c>
      <c r="N1061" s="7">
        <f t="shared" si="148"/>
        <v>0.93046432023242898</v>
      </c>
      <c r="O1061" s="7">
        <f t="shared" si="149"/>
        <v>6.9535679767570927E-2</v>
      </c>
    </row>
    <row r="1062" spans="1:15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4">
        <f>IF(SUMIFS('Daily NSE Equity Cash'!$H:$H,'Daily NSE Equity Cash'!$A:$A,$A1062)=0,"",SUMIFS('Daily NSE Equity Cash'!$H:$H,'Daily NSE Equity Cash'!$A:$A,$A1062))</f>
        <v>1477.2945</v>
      </c>
      <c r="F1062" s="4">
        <f>IF(SUMIFS('Daily BSE Equity Cash'!$H:$H,'Daily BSE Equity Cash'!$A:$A,$A1062)=0,"",SUMIFS('Daily BSE Equity Cash'!$H:$H,'Daily BSE Equity Cash'!$A:$A,$A1062))</f>
        <v>117.6596</v>
      </c>
      <c r="G1062" s="4">
        <f t="shared" si="144"/>
        <v>1594.9540999999999</v>
      </c>
      <c r="H1062" s="7">
        <f t="shared" si="145"/>
        <v>1.264880379283404</v>
      </c>
      <c r="I1062" s="7">
        <f t="shared" si="146"/>
        <v>1.7816231627772825</v>
      </c>
      <c r="J1062" s="7">
        <f t="shared" si="147"/>
        <v>1.2963501379649429</v>
      </c>
      <c r="K1062" s="7">
        <f t="shared" si="150"/>
        <v>9.0710732144796413E-2</v>
      </c>
      <c r="L1062" s="7">
        <f t="shared" si="151"/>
        <v>0.16241683939308316</v>
      </c>
      <c r="M1062" s="7">
        <f t="shared" si="152"/>
        <v>9.5696865055792335E-2</v>
      </c>
      <c r="N1062" s="7">
        <f t="shared" si="148"/>
        <v>0.92623010279731566</v>
      </c>
      <c r="O1062" s="7">
        <f t="shared" si="149"/>
        <v>7.3769897202684398E-2</v>
      </c>
    </row>
    <row r="1063" spans="1:15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4">
        <f>IF(SUMIFS('Daily NSE Equity Cash'!$H:$H,'Daily NSE Equity Cash'!$A:$A,$A1063)=0,"",SUMIFS('Daily NSE Equity Cash'!$H:$H,'Daily NSE Equity Cash'!$A:$A,$A1063))</f>
        <v>1397.0882999999999</v>
      </c>
      <c r="F1063" s="4">
        <f>IF(SUMIFS('Daily BSE Equity Cash'!$H:$H,'Daily BSE Equity Cash'!$A:$A,$A1063)=0,"",SUMIFS('Daily BSE Equity Cash'!$H:$H,'Daily BSE Equity Cash'!$A:$A,$A1063))</f>
        <v>97.488500000000002</v>
      </c>
      <c r="G1063" s="4">
        <f t="shared" si="144"/>
        <v>1494.5767999999998</v>
      </c>
      <c r="H1063" s="7">
        <f t="shared" si="145"/>
        <v>0.9532408046899421</v>
      </c>
      <c r="I1063" s="7">
        <f t="shared" si="146"/>
        <v>1.1980235746108474</v>
      </c>
      <c r="J1063" s="7">
        <f t="shared" si="147"/>
        <v>0.96753322320803714</v>
      </c>
      <c r="K1063" s="7">
        <f t="shared" si="150"/>
        <v>-5.4292627502505519E-2</v>
      </c>
      <c r="L1063" s="7">
        <f t="shared" si="151"/>
        <v>-0.17143607491441404</v>
      </c>
      <c r="M1063" s="7">
        <f t="shared" si="152"/>
        <v>-6.2934287576050019E-2</v>
      </c>
      <c r="N1063" s="7">
        <f t="shared" si="148"/>
        <v>0.9347718364154991</v>
      </c>
      <c r="O1063" s="7">
        <f t="shared" si="149"/>
        <v>6.5228163584500981E-2</v>
      </c>
    </row>
    <row r="1064" spans="1:15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4">
        <f>IF(SUMIFS('Daily NSE Equity Cash'!$H:$H,'Daily NSE Equity Cash'!$A:$A,$A1064)=0,"",SUMIFS('Daily NSE Equity Cash'!$H:$H,'Daily NSE Equity Cash'!$A:$A,$A1064))</f>
        <v>1555.5473999999999</v>
      </c>
      <c r="F1064" s="4">
        <f>IF(SUMIFS('Daily BSE Equity Cash'!$H:$H,'Daily BSE Equity Cash'!$A:$A,$A1064)=0,"",SUMIFS('Daily BSE Equity Cash'!$H:$H,'Daily BSE Equity Cash'!$A:$A,$A1064))</f>
        <v>119.5672</v>
      </c>
      <c r="G1064" s="4">
        <f t="shared" si="144"/>
        <v>1675.1145999999999</v>
      </c>
      <c r="H1064" s="7">
        <f t="shared" si="145"/>
        <v>0.71500363607177242</v>
      </c>
      <c r="I1064" s="7">
        <f t="shared" si="146"/>
        <v>1.3098613316642131</v>
      </c>
      <c r="J1064" s="7">
        <f t="shared" si="147"/>
        <v>0.74711932770024125</v>
      </c>
      <c r="K1064" s="7">
        <f t="shared" si="150"/>
        <v>0.11342096272655078</v>
      </c>
      <c r="L1064" s="7">
        <f t="shared" si="151"/>
        <v>0.2264749175543781</v>
      </c>
      <c r="M1064" s="7">
        <f t="shared" si="152"/>
        <v>0.12079526458593492</v>
      </c>
      <c r="N1064" s="7">
        <f t="shared" si="148"/>
        <v>0.92862148058407468</v>
      </c>
      <c r="O1064" s="7">
        <f t="shared" si="149"/>
        <v>7.1378519415925337E-2</v>
      </c>
    </row>
    <row r="1065" spans="1:15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4">
        <f>IF(SUMIFS('Daily NSE Equity Cash'!$H:$H,'Daily NSE Equity Cash'!$A:$A,$A1065)=0,"",SUMIFS('Daily NSE Equity Cash'!$H:$H,'Daily NSE Equity Cash'!$A:$A,$A1065))</f>
        <v>1317.4937</v>
      </c>
      <c r="F1065" s="4">
        <f>IF(SUMIFS('Daily BSE Equity Cash'!$H:$H,'Daily BSE Equity Cash'!$A:$A,$A1065)=0,"",SUMIFS('Daily BSE Equity Cash'!$H:$H,'Daily BSE Equity Cash'!$A:$A,$A1065))</f>
        <v>97.332499999999996</v>
      </c>
      <c r="G1065" s="4">
        <f t="shared" si="144"/>
        <v>1414.8262</v>
      </c>
      <c r="H1065" s="7" t="str">
        <f t="shared" si="145"/>
        <v/>
      </c>
      <c r="I1065" s="7" t="str">
        <f t="shared" si="146"/>
        <v/>
      </c>
      <c r="J1065" s="7" t="str">
        <f t="shared" si="147"/>
        <v/>
      </c>
      <c r="K1065" s="7">
        <f t="shared" si="150"/>
        <v>-0.15303532377091178</v>
      </c>
      <c r="L1065" s="7">
        <f t="shared" si="151"/>
        <v>-0.18595986190192626</v>
      </c>
      <c r="M1065" s="7">
        <f t="shared" si="152"/>
        <v>-0.15538542855515669</v>
      </c>
      <c r="N1065" s="7">
        <f t="shared" si="148"/>
        <v>0.93120533108589598</v>
      </c>
      <c r="O1065" s="7">
        <f t="shared" si="149"/>
        <v>6.8794668914104073E-2</v>
      </c>
    </row>
    <row r="1066" spans="1:15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4">
        <f>IF(SUMIFS('Daily NSE Equity Cash'!$H:$H,'Daily NSE Equity Cash'!$A:$A,$A1066)=0,"",SUMIFS('Daily NSE Equity Cash'!$H:$H,'Daily NSE Equity Cash'!$A:$A,$A1066))</f>
        <v>1251.5072</v>
      </c>
      <c r="F1066" s="4">
        <f>IF(SUMIFS('Daily BSE Equity Cash'!$H:$H,'Daily BSE Equity Cash'!$A:$A,$A1066)=0,"",SUMIFS('Daily BSE Equity Cash'!$H:$H,'Daily BSE Equity Cash'!$A:$A,$A1066))</f>
        <v>89.013199999999998</v>
      </c>
      <c r="G1066" s="4">
        <f t="shared" si="144"/>
        <v>1340.5204000000001</v>
      </c>
      <c r="H1066" s="7" t="str">
        <f t="shared" si="145"/>
        <v/>
      </c>
      <c r="I1066" s="7" t="str">
        <f t="shared" si="146"/>
        <v/>
      </c>
      <c r="J1066" s="7" t="str">
        <f t="shared" si="147"/>
        <v/>
      </c>
      <c r="K1066" s="7">
        <f t="shared" si="150"/>
        <v>-5.0084869476036187E-2</v>
      </c>
      <c r="L1066" s="7">
        <f t="shared" si="151"/>
        <v>-8.5472992063288178E-2</v>
      </c>
      <c r="M1066" s="7">
        <f t="shared" si="152"/>
        <v>-5.2519383652917861E-2</v>
      </c>
      <c r="N1066" s="7">
        <f t="shared" si="148"/>
        <v>0.93359802655744728</v>
      </c>
      <c r="O1066" s="7">
        <f t="shared" si="149"/>
        <v>6.6401973442552595E-2</v>
      </c>
    </row>
    <row r="1067" spans="1:15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4">
        <f>IF(SUMIFS('Daily NSE Equity Cash'!$H:$H,'Daily NSE Equity Cash'!$A:$A,$A1067)=0,"",SUMIFS('Daily NSE Equity Cash'!$H:$H,'Daily NSE Equity Cash'!$A:$A,$A1067))</f>
        <v>1477.8149000000001</v>
      </c>
      <c r="F1067" s="4">
        <f>IF(SUMIFS('Daily BSE Equity Cash'!$H:$H,'Daily BSE Equity Cash'!$A:$A,$A1067)=0,"",SUMIFS('Daily BSE Equity Cash'!$H:$H,'Daily BSE Equity Cash'!$A:$A,$A1067))</f>
        <v>101.0381</v>
      </c>
      <c r="G1067" s="4">
        <f t="shared" si="144"/>
        <v>1578.8530000000001</v>
      </c>
      <c r="H1067" s="7">
        <f t="shared" si="145"/>
        <v>0.94071680778022904</v>
      </c>
      <c r="I1067" s="7">
        <f t="shared" si="146"/>
        <v>1.1270596804719029</v>
      </c>
      <c r="J1067" s="7">
        <f t="shared" si="147"/>
        <v>0.9516583965837484</v>
      </c>
      <c r="K1067" s="7">
        <f t="shared" si="150"/>
        <v>0.18082812468038534</v>
      </c>
      <c r="L1067" s="7">
        <f t="shared" si="151"/>
        <v>0.13509119995686025</v>
      </c>
      <c r="M1067" s="7">
        <f t="shared" si="152"/>
        <v>0.17779110261954978</v>
      </c>
      <c r="N1067" s="7">
        <f t="shared" si="148"/>
        <v>0.93600537858812694</v>
      </c>
      <c r="O1067" s="7">
        <f t="shared" si="149"/>
        <v>6.3994621411873051E-2</v>
      </c>
    </row>
    <row r="1068" spans="1:15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4">
        <f>IF(SUMIFS('Daily NSE Equity Cash'!$H:$H,'Daily NSE Equity Cash'!$A:$A,$A1068)=0,"",SUMIFS('Daily NSE Equity Cash'!$H:$H,'Daily NSE Equity Cash'!$A:$A,$A1068))</f>
        <v>1348.8737000000001</v>
      </c>
      <c r="F1068" s="4">
        <f>IF(SUMIFS('Daily BSE Equity Cash'!$H:$H,'Daily BSE Equity Cash'!$A:$A,$A1068)=0,"",SUMIFS('Daily BSE Equity Cash'!$H:$H,'Daily BSE Equity Cash'!$A:$A,$A1068))</f>
        <v>106.9923</v>
      </c>
      <c r="G1068" s="4">
        <f t="shared" si="144"/>
        <v>1455.866</v>
      </c>
      <c r="H1068" s="7">
        <f t="shared" si="145"/>
        <v>1.0156125226534818</v>
      </c>
      <c r="I1068" s="7">
        <f t="shared" si="146"/>
        <v>1.6757640856606235</v>
      </c>
      <c r="J1068" s="7">
        <f t="shared" si="147"/>
        <v>1.0528328810622134</v>
      </c>
      <c r="K1068" s="7">
        <f t="shared" si="150"/>
        <v>-8.725125183133553E-2</v>
      </c>
      <c r="L1068" s="7">
        <f t="shared" si="151"/>
        <v>5.893024512535372E-2</v>
      </c>
      <c r="M1068" s="7">
        <f t="shared" si="152"/>
        <v>-7.789642227617144E-2</v>
      </c>
      <c r="N1068" s="7">
        <f t="shared" si="148"/>
        <v>0.92650951392504532</v>
      </c>
      <c r="O1068" s="7">
        <f t="shared" si="149"/>
        <v>7.3490486074954703E-2</v>
      </c>
    </row>
    <row r="1069" spans="1:15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4">
        <f>IF(SUMIFS('Daily NSE Equity Cash'!$H:$H,'Daily NSE Equity Cash'!$A:$A,$A1069)=0,"",SUMIFS('Daily NSE Equity Cash'!$H:$H,'Daily NSE Equity Cash'!$A:$A,$A1069))</f>
        <v>1223.6674</v>
      </c>
      <c r="F1069" s="4">
        <f>IF(SUMIFS('Daily BSE Equity Cash'!$H:$H,'Daily BSE Equity Cash'!$A:$A,$A1069)=0,"",SUMIFS('Daily BSE Equity Cash'!$H:$H,'Daily BSE Equity Cash'!$A:$A,$A1069))</f>
        <v>90.741799999999998</v>
      </c>
      <c r="G1069" s="4">
        <f t="shared" si="144"/>
        <v>1314.4092000000001</v>
      </c>
      <c r="H1069" s="7" t="str">
        <f t="shared" si="145"/>
        <v/>
      </c>
      <c r="I1069" s="7" t="str">
        <f t="shared" si="146"/>
        <v/>
      </c>
      <c r="J1069" s="7" t="str">
        <f t="shared" si="147"/>
        <v/>
      </c>
      <c r="K1069" s="7">
        <f t="shared" si="150"/>
        <v>-9.2822849166678822E-2</v>
      </c>
      <c r="L1069" s="7">
        <f t="shared" si="151"/>
        <v>-0.15188476180061561</v>
      </c>
      <c r="M1069" s="7">
        <f t="shared" si="152"/>
        <v>-9.7163337834663355E-2</v>
      </c>
      <c r="N1069" s="7">
        <f t="shared" si="148"/>
        <v>0.93096381248700932</v>
      </c>
      <c r="O1069" s="7">
        <f t="shared" si="149"/>
        <v>6.9036187512990621E-2</v>
      </c>
    </row>
    <row r="1070" spans="1:15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4">
        <f>IF(SUMIFS('Daily NSE Equity Cash'!$H:$H,'Daily NSE Equity Cash'!$A:$A,$A1070)=0,"",SUMIFS('Daily NSE Equity Cash'!$H:$H,'Daily NSE Equity Cash'!$A:$A,$A1070))</f>
        <v>1693.3661</v>
      </c>
      <c r="F1070" s="4">
        <f>IF(SUMIFS('Daily BSE Equity Cash'!$H:$H,'Daily BSE Equity Cash'!$A:$A,$A1070)=0,"",SUMIFS('Daily BSE Equity Cash'!$H:$H,'Daily BSE Equity Cash'!$A:$A,$A1070))</f>
        <v>124.5634</v>
      </c>
      <c r="G1070" s="4">
        <f t="shared" si="144"/>
        <v>1817.9295</v>
      </c>
      <c r="H1070" s="7" t="str">
        <f t="shared" si="145"/>
        <v/>
      </c>
      <c r="I1070" s="7" t="str">
        <f t="shared" si="146"/>
        <v/>
      </c>
      <c r="J1070" s="7" t="str">
        <f t="shared" si="147"/>
        <v/>
      </c>
      <c r="K1070" s="7">
        <f t="shared" si="150"/>
        <v>0.38384507097271681</v>
      </c>
      <c r="L1070" s="7">
        <f t="shared" si="151"/>
        <v>0.3727234857584929</v>
      </c>
      <c r="M1070" s="7">
        <f t="shared" si="152"/>
        <v>0.383077279130426</v>
      </c>
      <c r="N1070" s="7">
        <f t="shared" si="148"/>
        <v>0.93148062122321029</v>
      </c>
      <c r="O1070" s="7">
        <f t="shared" si="149"/>
        <v>6.8519378776789749E-2</v>
      </c>
    </row>
    <row r="1071" spans="1:15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4">
        <f>IF(SUMIFS('Daily NSE Equity Cash'!$H:$H,'Daily NSE Equity Cash'!$A:$A,$A1071)=0,"",SUMIFS('Daily NSE Equity Cash'!$H:$H,'Daily NSE Equity Cash'!$A:$A,$A1071))</f>
        <v>1372.9794999999999</v>
      </c>
      <c r="F1071" s="4">
        <f>IF(SUMIFS('Daily BSE Equity Cash'!$H:$H,'Daily BSE Equity Cash'!$A:$A,$A1071)=0,"",SUMIFS('Daily BSE Equity Cash'!$H:$H,'Daily BSE Equity Cash'!$A:$A,$A1071))</f>
        <v>89.099500000000006</v>
      </c>
      <c r="G1071" s="4">
        <f t="shared" si="144"/>
        <v>1462.079</v>
      </c>
      <c r="H1071" s="7">
        <f t="shared" si="145"/>
        <v>0.82384684133703656</v>
      </c>
      <c r="I1071" s="7">
        <f t="shared" si="146"/>
        <v>0.8174076400900756</v>
      </c>
      <c r="J1071" s="7">
        <f t="shared" si="147"/>
        <v>0.82345312931051251</v>
      </c>
      <c r="K1071" s="7">
        <f t="shared" si="150"/>
        <v>-0.18920102392506855</v>
      </c>
      <c r="L1071" s="7">
        <f t="shared" si="151"/>
        <v>-0.28470561978879827</v>
      </c>
      <c r="M1071" s="7">
        <f t="shared" si="152"/>
        <v>-0.19574493950397964</v>
      </c>
      <c r="N1071" s="7">
        <f t="shared" si="148"/>
        <v>0.93905972249105552</v>
      </c>
      <c r="O1071" s="7">
        <f t="shared" si="149"/>
        <v>6.0940277508944464E-2</v>
      </c>
    </row>
    <row r="1072" spans="1:15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4">
        <f>IF(SUMIFS('Daily NSE Equity Cash'!$H:$H,'Daily NSE Equity Cash'!$A:$A,$A1072)=0,"",SUMIFS('Daily NSE Equity Cash'!$H:$H,'Daily NSE Equity Cash'!$A:$A,$A1072))</f>
        <v>1293.6369999999999</v>
      </c>
      <c r="F1072" s="4">
        <f>IF(SUMIFS('Daily BSE Equity Cash'!$H:$H,'Daily BSE Equity Cash'!$A:$A,$A1072)=0,"",SUMIFS('Daily BSE Equity Cash'!$H:$H,'Daily BSE Equity Cash'!$A:$A,$A1072))</f>
        <v>97.470399999999998</v>
      </c>
      <c r="G1072" s="4">
        <f t="shared" si="144"/>
        <v>1391.1073999999999</v>
      </c>
      <c r="H1072" s="7">
        <f t="shared" si="145"/>
        <v>0.69180389184848745</v>
      </c>
      <c r="I1072" s="7">
        <f t="shared" si="146"/>
        <v>1.0193794996633345</v>
      </c>
      <c r="J1072" s="7">
        <f t="shared" si="147"/>
        <v>0.71125391645149483</v>
      </c>
      <c r="K1072" s="7">
        <f t="shared" si="150"/>
        <v>-5.7788554017011884E-2</v>
      </c>
      <c r="L1072" s="7">
        <f t="shared" si="151"/>
        <v>9.3950022166229719E-2</v>
      </c>
      <c r="M1072" s="7">
        <f t="shared" si="152"/>
        <v>-4.8541563075593097E-2</v>
      </c>
      <c r="N1072" s="7">
        <f t="shared" si="148"/>
        <v>0.92993323161101726</v>
      </c>
      <c r="O1072" s="7">
        <f t="shared" si="149"/>
        <v>7.0066768388982764E-2</v>
      </c>
    </row>
    <row r="1073" spans="1:15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4">
        <f>IF(SUMIFS('Daily NSE Equity Cash'!$H:$H,'Daily NSE Equity Cash'!$A:$A,$A1073)=0,"",SUMIFS('Daily NSE Equity Cash'!$H:$H,'Daily NSE Equity Cash'!$A:$A,$A1073))</f>
        <v>1367.7358999999999</v>
      </c>
      <c r="F1073" s="4">
        <f>IF(SUMIFS('Daily BSE Equity Cash'!$H:$H,'Daily BSE Equity Cash'!$A:$A,$A1073)=0,"",SUMIFS('Daily BSE Equity Cash'!$H:$H,'Daily BSE Equity Cash'!$A:$A,$A1073))</f>
        <v>122.2058</v>
      </c>
      <c r="G1073" s="4">
        <f t="shared" si="144"/>
        <v>1489.9416999999999</v>
      </c>
      <c r="H1073" s="7">
        <f t="shared" si="145"/>
        <v>0.96879420026330498</v>
      </c>
      <c r="I1073" s="7">
        <f t="shared" si="146"/>
        <v>1.6949572289568451</v>
      </c>
      <c r="J1073" s="7">
        <f t="shared" si="147"/>
        <v>1.0132891743637451</v>
      </c>
      <c r="K1073" s="7">
        <f t="shared" si="150"/>
        <v>5.7279515041700257E-2</v>
      </c>
      <c r="L1073" s="7">
        <f t="shared" si="151"/>
        <v>0.25377345327401968</v>
      </c>
      <c r="M1073" s="7">
        <f t="shared" si="152"/>
        <v>7.1047210301663277E-2</v>
      </c>
      <c r="N1073" s="7">
        <f t="shared" si="148"/>
        <v>0.91797947530430224</v>
      </c>
      <c r="O1073" s="7">
        <f t="shared" si="149"/>
        <v>8.202052469569783E-2</v>
      </c>
    </row>
    <row r="1074" spans="1:15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4">
        <f>IF(SUMIFS('Daily NSE Equity Cash'!$H:$H,'Daily NSE Equity Cash'!$A:$A,$A1074)=0,"",SUMIFS('Daily NSE Equity Cash'!$H:$H,'Daily NSE Equity Cash'!$A:$A,$A1074))</f>
        <v>1481.0432000000001</v>
      </c>
      <c r="F1074" s="4">
        <f>IF(SUMIFS('Daily BSE Equity Cash'!$H:$H,'Daily BSE Equity Cash'!$A:$A,$A1074)=0,"",SUMIFS('Daily BSE Equity Cash'!$H:$H,'Daily BSE Equity Cash'!$A:$A,$A1074))</f>
        <v>112.7346</v>
      </c>
      <c r="G1074" s="4">
        <f t="shared" si="144"/>
        <v>1593.7778000000001</v>
      </c>
      <c r="H1074" s="7" t="str">
        <f t="shared" si="145"/>
        <v/>
      </c>
      <c r="I1074" s="7" t="str">
        <f t="shared" si="146"/>
        <v/>
      </c>
      <c r="J1074" s="7" t="str">
        <f t="shared" si="147"/>
        <v/>
      </c>
      <c r="K1074" s="7">
        <f t="shared" si="150"/>
        <v>8.2842966979224775E-2</v>
      </c>
      <c r="L1074" s="7">
        <f t="shared" si="151"/>
        <v>-7.750204982087594E-2</v>
      </c>
      <c r="M1074" s="7">
        <f t="shared" si="152"/>
        <v>6.9691384568939974E-2</v>
      </c>
      <c r="N1074" s="7">
        <f t="shared" si="148"/>
        <v>0.92926579853226721</v>
      </c>
      <c r="O1074" s="7">
        <f t="shared" si="149"/>
        <v>7.0734201467732821E-2</v>
      </c>
    </row>
    <row r="1075" spans="1:15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4">
        <f>IF(SUMIFS('Daily NSE Equity Cash'!$H:$H,'Daily NSE Equity Cash'!$A:$A,$A1075)=0,"",SUMIFS('Daily NSE Equity Cash'!$H:$H,'Daily NSE Equity Cash'!$A:$A,$A1075))</f>
        <v>1365.5811000000001</v>
      </c>
      <c r="F1075" s="4">
        <f>IF(SUMIFS('Daily BSE Equity Cash'!$H:$H,'Daily BSE Equity Cash'!$A:$A,$A1075)=0,"",SUMIFS('Daily BSE Equity Cash'!$H:$H,'Daily BSE Equity Cash'!$A:$A,$A1075))</f>
        <v>123.76909999999999</v>
      </c>
      <c r="G1075" s="4">
        <f t="shared" si="144"/>
        <v>1489.3502000000001</v>
      </c>
      <c r="H1075" s="7" t="str">
        <f t="shared" si="145"/>
        <v/>
      </c>
      <c r="I1075" s="7" t="str">
        <f t="shared" si="146"/>
        <v/>
      </c>
      <c r="J1075" s="7" t="str">
        <f t="shared" si="147"/>
        <v/>
      </c>
      <c r="K1075" s="7">
        <f t="shared" si="150"/>
        <v>-7.7959981180832472E-2</v>
      </c>
      <c r="L1075" s="7">
        <f t="shared" si="151"/>
        <v>9.7880331326850811E-2</v>
      </c>
      <c r="M1075" s="7">
        <f t="shared" si="152"/>
        <v>-6.5522057089764996E-2</v>
      </c>
      <c r="N1075" s="7">
        <f t="shared" si="148"/>
        <v>0.91689724820931973</v>
      </c>
      <c r="O1075" s="7">
        <f t="shared" si="149"/>
        <v>8.3102751790680246E-2</v>
      </c>
    </row>
    <row r="1076" spans="1:15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4">
        <f>IF(SUMIFS('Daily NSE Equity Cash'!$H:$H,'Daily NSE Equity Cash'!$A:$A,$A1076)=0,"",SUMIFS('Daily NSE Equity Cash'!$H:$H,'Daily NSE Equity Cash'!$A:$A,$A1076))</f>
        <v>1363.5572999999999</v>
      </c>
      <c r="F1076" s="4">
        <f>IF(SUMIFS('Daily BSE Equity Cash'!$H:$H,'Daily BSE Equity Cash'!$A:$A,$A1076)=0,"",SUMIFS('Daily BSE Equity Cash'!$H:$H,'Daily BSE Equity Cash'!$A:$A,$A1076))</f>
        <v>87.374700000000004</v>
      </c>
      <c r="G1076" s="4">
        <f t="shared" si="144"/>
        <v>1450.932</v>
      </c>
      <c r="H1076" s="7">
        <f t="shared" si="145"/>
        <v>0.82501779434687195</v>
      </c>
      <c r="I1076" s="7">
        <f t="shared" si="146"/>
        <v>0.66557756423575709</v>
      </c>
      <c r="J1076" s="7">
        <f t="shared" si="147"/>
        <v>0.8145575354877681</v>
      </c>
      <c r="K1076" s="7">
        <f t="shared" si="150"/>
        <v>-1.482006451319684E-3</v>
      </c>
      <c r="L1076" s="7">
        <f t="shared" si="151"/>
        <v>-0.2940507768093974</v>
      </c>
      <c r="M1076" s="7">
        <f t="shared" si="152"/>
        <v>-2.5795276356091468E-2</v>
      </c>
      <c r="N1076" s="7">
        <f t="shared" si="148"/>
        <v>0.93978029294274301</v>
      </c>
      <c r="O1076" s="7">
        <f t="shared" si="149"/>
        <v>6.0219707057256995E-2</v>
      </c>
    </row>
    <row r="1077" spans="1:15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4">
        <f>IF(SUMIFS('Daily NSE Equity Cash'!$H:$H,'Daily NSE Equity Cash'!$A:$A,$A1077)=0,"",SUMIFS('Daily NSE Equity Cash'!$H:$H,'Daily NSE Equity Cash'!$A:$A,$A1077))</f>
        <v>1355.8214</v>
      </c>
      <c r="F1077" s="4">
        <f>IF(SUMIFS('Daily BSE Equity Cash'!$H:$H,'Daily BSE Equity Cash'!$A:$A,$A1077)=0,"",SUMIFS('Daily BSE Equity Cash'!$H:$H,'Daily BSE Equity Cash'!$A:$A,$A1077))</f>
        <v>94.299300000000002</v>
      </c>
      <c r="G1077" s="4">
        <f t="shared" si="144"/>
        <v>1450.1206999999999</v>
      </c>
      <c r="H1077" s="7">
        <f t="shared" si="145"/>
        <v>0.84356914138597827</v>
      </c>
      <c r="I1077" s="7">
        <f t="shared" si="146"/>
        <v>0.4632591974204241</v>
      </c>
      <c r="J1077" s="7">
        <f t="shared" si="147"/>
        <v>0.81292825302271243</v>
      </c>
      <c r="K1077" s="7">
        <f t="shared" si="150"/>
        <v>-5.6733222725586785E-3</v>
      </c>
      <c r="L1077" s="7">
        <f t="shared" si="151"/>
        <v>7.9251774255018947E-2</v>
      </c>
      <c r="M1077" s="7">
        <f t="shared" si="152"/>
        <v>-5.5915783785875917E-4</v>
      </c>
      <c r="N1077" s="7">
        <f t="shared" si="148"/>
        <v>0.93497141306927078</v>
      </c>
      <c r="O1077" s="7">
        <f t="shared" si="149"/>
        <v>6.5028586930729285E-2</v>
      </c>
    </row>
    <row r="1078" spans="1:15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4">
        <f>IF(SUMIFS('Daily NSE Equity Cash'!$H:$H,'Daily NSE Equity Cash'!$A:$A,$A1078)=0,"",SUMIFS('Daily NSE Equity Cash'!$H:$H,'Daily NSE Equity Cash'!$A:$A,$A1078))</f>
        <v>1304.5918999999999</v>
      </c>
      <c r="F1078" s="4">
        <f>IF(SUMIFS('Daily BSE Equity Cash'!$H:$H,'Daily BSE Equity Cash'!$A:$A,$A1078)=0,"",SUMIFS('Daily BSE Equity Cash'!$H:$H,'Daily BSE Equity Cash'!$A:$A,$A1078))</f>
        <v>108.6317</v>
      </c>
      <c r="G1078" s="4">
        <f t="shared" si="144"/>
        <v>1413.2235999999998</v>
      </c>
      <c r="H1078" s="7">
        <f t="shared" si="145"/>
        <v>0.66791136465044065</v>
      </c>
      <c r="I1078" s="7">
        <f t="shared" si="146"/>
        <v>1.1313706639460053</v>
      </c>
      <c r="J1078" s="7">
        <f t="shared" si="147"/>
        <v>0.6962638887388537</v>
      </c>
      <c r="K1078" s="7">
        <f t="shared" si="150"/>
        <v>-3.7784843932984202E-2</v>
      </c>
      <c r="L1078" s="7">
        <f t="shared" si="151"/>
        <v>0.15198840288316018</v>
      </c>
      <c r="M1078" s="7">
        <f t="shared" si="152"/>
        <v>-2.5444157855273764E-2</v>
      </c>
      <c r="N1078" s="7">
        <f t="shared" si="148"/>
        <v>0.92313197996410479</v>
      </c>
      <c r="O1078" s="7">
        <f t="shared" si="149"/>
        <v>7.686802003589524E-2</v>
      </c>
    </row>
    <row r="1079" spans="1:15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4">
        <f>IF(SUMIFS('Daily NSE Equity Cash'!$H:$H,'Daily NSE Equity Cash'!$A:$A,$A1079)=0,"",SUMIFS('Daily NSE Equity Cash'!$H:$H,'Daily NSE Equity Cash'!$A:$A,$A1079))</f>
        <v>1568.3381999999999</v>
      </c>
      <c r="F1079" s="4">
        <f>IF(SUMIFS('Daily BSE Equity Cash'!$H:$H,'Daily BSE Equity Cash'!$A:$A,$A1079)=0,"",SUMIFS('Daily BSE Equity Cash'!$H:$H,'Daily BSE Equity Cash'!$A:$A,$A1079))</f>
        <v>136.7747</v>
      </c>
      <c r="G1079" s="4">
        <f t="shared" si="144"/>
        <v>1705.1128999999999</v>
      </c>
      <c r="H1079" s="7" t="str">
        <f t="shared" si="145"/>
        <v/>
      </c>
      <c r="I1079" s="7" t="str">
        <f t="shared" si="146"/>
        <v/>
      </c>
      <c r="J1079" s="7" t="str">
        <f t="shared" si="147"/>
        <v/>
      </c>
      <c r="K1079" s="7">
        <f t="shared" si="150"/>
        <v>0.20216766637904171</v>
      </c>
      <c r="L1079" s="7">
        <f t="shared" si="151"/>
        <v>0.25906802526334394</v>
      </c>
      <c r="M1079" s="7">
        <f t="shared" si="152"/>
        <v>0.20654148430580976</v>
      </c>
      <c r="N1079" s="7">
        <f t="shared" si="148"/>
        <v>0.91978554616530084</v>
      </c>
      <c r="O1079" s="7">
        <f t="shared" si="149"/>
        <v>8.0214453834699162E-2</v>
      </c>
    </row>
    <row r="1080" spans="1:15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4">
        <f>IF(SUMIFS('Daily NSE Equity Cash'!$H:$H,'Daily NSE Equity Cash'!$A:$A,$A1080)=0,"",SUMIFS('Daily NSE Equity Cash'!$H:$H,'Daily NSE Equity Cash'!$A:$A,$A1080))</f>
        <v>1247.8924999999999</v>
      </c>
      <c r="F1080" s="4">
        <f>IF(SUMIFS('Daily BSE Equity Cash'!$H:$H,'Daily BSE Equity Cash'!$A:$A,$A1080)=0,"",SUMIFS('Daily BSE Equity Cash'!$H:$H,'Daily BSE Equity Cash'!$A:$A,$A1080))</f>
        <v>88.183899999999994</v>
      </c>
      <c r="G1080" s="4">
        <f t="shared" si="144"/>
        <v>1336.0763999999999</v>
      </c>
      <c r="H1080" s="7" t="str">
        <f t="shared" si="145"/>
        <v/>
      </c>
      <c r="I1080" s="7" t="str">
        <f t="shared" si="146"/>
        <v/>
      </c>
      <c r="J1080" s="7" t="str">
        <f t="shared" si="147"/>
        <v/>
      </c>
      <c r="K1080" s="7">
        <f t="shared" si="150"/>
        <v>-0.20432181018099282</v>
      </c>
      <c r="L1080" s="7">
        <f t="shared" si="151"/>
        <v>-0.35526160905489101</v>
      </c>
      <c r="M1080" s="7">
        <f t="shared" si="152"/>
        <v>-0.21642936370958188</v>
      </c>
      <c r="N1080" s="7">
        <f t="shared" si="148"/>
        <v>0.93399786120015293</v>
      </c>
      <c r="O1080" s="7">
        <f t="shared" si="149"/>
        <v>6.6002138799847079E-2</v>
      </c>
    </row>
    <row r="1081" spans="1:15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4">
        <f>IF(SUMIFS('Daily NSE Equity Cash'!$H:$H,'Daily NSE Equity Cash'!$A:$A,$A1081)=0,"",SUMIFS('Daily NSE Equity Cash'!$H:$H,'Daily NSE Equity Cash'!$A:$A,$A1081))</f>
        <v>1181.0797</v>
      </c>
      <c r="F1081" s="4">
        <f>IF(SUMIFS('Daily BSE Equity Cash'!$H:$H,'Daily BSE Equity Cash'!$A:$A,$A1081)=0,"",SUMIFS('Daily BSE Equity Cash'!$H:$H,'Daily BSE Equity Cash'!$A:$A,$A1081))</f>
        <v>74.115099999999998</v>
      </c>
      <c r="G1081" s="4">
        <f t="shared" si="144"/>
        <v>1255.1948</v>
      </c>
      <c r="H1081" s="7" t="str">
        <f t="shared" si="145"/>
        <v/>
      </c>
      <c r="I1081" s="7">
        <f t="shared" si="146"/>
        <v>-0.24425018074138127</v>
      </c>
      <c r="J1081" s="7" t="str">
        <f t="shared" si="147"/>
        <v/>
      </c>
      <c r="K1081" s="7">
        <f t="shared" si="150"/>
        <v>-5.3540509298677486E-2</v>
      </c>
      <c r="L1081" s="7">
        <f t="shared" si="151"/>
        <v>-0.15953932633961521</v>
      </c>
      <c r="M1081" s="7">
        <f t="shared" si="152"/>
        <v>-6.0536657933633053E-2</v>
      </c>
      <c r="N1081" s="7">
        <f t="shared" si="148"/>
        <v>0.94095330860197957</v>
      </c>
      <c r="O1081" s="7">
        <f t="shared" si="149"/>
        <v>5.9046691398020448E-2</v>
      </c>
    </row>
    <row r="1082" spans="1:15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4">
        <f>IF(SUMIFS('Daily NSE Equity Cash'!$H:$H,'Daily NSE Equity Cash'!$A:$A,$A1082)=0,"",SUMIFS('Daily NSE Equity Cash'!$H:$H,'Daily NSE Equity Cash'!$A:$A,$A1082))</f>
        <v>1151.1783</v>
      </c>
      <c r="F1082" s="4">
        <f>IF(SUMIFS('Daily BSE Equity Cash'!$H:$H,'Daily BSE Equity Cash'!$A:$A,$A1082)=0,"",SUMIFS('Daily BSE Equity Cash'!$H:$H,'Daily BSE Equity Cash'!$A:$A,$A1082))</f>
        <v>81.171199999999999</v>
      </c>
      <c r="G1082" s="4">
        <f t="shared" si="144"/>
        <v>1232.3495</v>
      </c>
      <c r="H1082" s="7" t="str">
        <f t="shared" si="145"/>
        <v/>
      </c>
      <c r="I1082" s="7">
        <f t="shared" si="146"/>
        <v>0.29792721673321165</v>
      </c>
      <c r="J1082" s="7" t="str">
        <f t="shared" si="147"/>
        <v/>
      </c>
      <c r="K1082" s="7">
        <f t="shared" si="150"/>
        <v>-2.5317004432469647E-2</v>
      </c>
      <c r="L1082" s="7">
        <f t="shared" si="151"/>
        <v>9.5204620920703142E-2</v>
      </c>
      <c r="M1082" s="7">
        <f t="shared" si="152"/>
        <v>-1.8200601213453016E-2</v>
      </c>
      <c r="N1082" s="7">
        <f t="shared" si="148"/>
        <v>0.93413297120662608</v>
      </c>
      <c r="O1082" s="7">
        <f t="shared" si="149"/>
        <v>6.5867028793373958E-2</v>
      </c>
    </row>
    <row r="1083" spans="1:15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4">
        <f>IF(SUMIFS('Daily NSE Equity Cash'!$H:$H,'Daily NSE Equity Cash'!$A:$A,$A1083)=0,"",SUMIFS('Daily NSE Equity Cash'!$H:$H,'Daily NSE Equity Cash'!$A:$A,$A1083))</f>
        <v>1139.4029</v>
      </c>
      <c r="F1083" s="4">
        <f>IF(SUMIFS('Daily BSE Equity Cash'!$H:$H,'Daily BSE Equity Cash'!$A:$A,$A1083)=0,"",SUMIFS('Daily BSE Equity Cash'!$H:$H,'Daily BSE Equity Cash'!$A:$A,$A1083))</f>
        <v>83.834699999999998</v>
      </c>
      <c r="G1083" s="4">
        <f t="shared" si="144"/>
        <v>1223.2375999999999</v>
      </c>
      <c r="H1083" s="7" t="str">
        <f t="shared" si="145"/>
        <v/>
      </c>
      <c r="I1083" s="7">
        <f t="shared" si="146"/>
        <v>0.54333162741206831</v>
      </c>
      <c r="J1083" s="7" t="str">
        <f t="shared" si="147"/>
        <v/>
      </c>
      <c r="K1083" s="7">
        <f t="shared" si="150"/>
        <v>-1.0228997541041229E-2</v>
      </c>
      <c r="L1083" s="7">
        <f t="shared" si="151"/>
        <v>3.2813362374832344E-2</v>
      </c>
      <c r="M1083" s="7">
        <f t="shared" si="152"/>
        <v>-7.3939251811276918E-3</v>
      </c>
      <c r="N1083" s="7">
        <f t="shared" si="148"/>
        <v>0.93146490918853386</v>
      </c>
      <c r="O1083" s="7">
        <f t="shared" si="149"/>
        <v>6.8535090811466234E-2</v>
      </c>
    </row>
    <row r="1084" spans="1:15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4">
        <f>IF(SUMIFS('Daily NSE Equity Cash'!$H:$H,'Daily NSE Equity Cash'!$A:$A,$A1084)=0,"",SUMIFS('Daily NSE Equity Cash'!$H:$H,'Daily NSE Equity Cash'!$A:$A,$A1084))</f>
        <v>1243.0709999999999</v>
      </c>
      <c r="F1084" s="4">
        <f>IF(SUMIFS('Daily BSE Equity Cash'!$H:$H,'Daily BSE Equity Cash'!$A:$A,$A1084)=0,"",SUMIFS('Daily BSE Equity Cash'!$H:$H,'Daily BSE Equity Cash'!$A:$A,$A1084))</f>
        <v>99.152799999999999</v>
      </c>
      <c r="G1084" s="4">
        <f t="shared" si="144"/>
        <v>1342.2238</v>
      </c>
      <c r="H1084" s="7" t="str">
        <f t="shared" si="145"/>
        <v/>
      </c>
      <c r="I1084" s="7" t="str">
        <f t="shared" si="146"/>
        <v/>
      </c>
      <c r="J1084" s="7" t="str">
        <f t="shared" si="147"/>
        <v/>
      </c>
      <c r="K1084" s="7">
        <f t="shared" si="150"/>
        <v>9.0984584996228968E-2</v>
      </c>
      <c r="L1084" s="7">
        <f t="shared" si="151"/>
        <v>0.18271789605020361</v>
      </c>
      <c r="M1084" s="7">
        <f t="shared" si="152"/>
        <v>9.7271535799749786E-2</v>
      </c>
      <c r="N1084" s="7">
        <f t="shared" si="148"/>
        <v>0.92612796763103133</v>
      </c>
      <c r="O1084" s="7">
        <f t="shared" si="149"/>
        <v>7.3872032368968568E-2</v>
      </c>
    </row>
    <row r="1085" spans="1:15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4">
        <f>IF(SUMIFS('Daily NSE Equity Cash'!$H:$H,'Daily NSE Equity Cash'!$A:$A,$A1085)=0,"",SUMIFS('Daily NSE Equity Cash'!$H:$H,'Daily NSE Equity Cash'!$A:$A,$A1085))</f>
        <v>1188.7575999999999</v>
      </c>
      <c r="F1085" s="4">
        <f>IF(SUMIFS('Daily BSE Equity Cash'!$H:$H,'Daily BSE Equity Cash'!$A:$A,$A1085)=0,"",SUMIFS('Daily BSE Equity Cash'!$H:$H,'Daily BSE Equity Cash'!$A:$A,$A1085))</f>
        <v>91.538600000000002</v>
      </c>
      <c r="G1085" s="4">
        <f t="shared" si="144"/>
        <v>1280.2962</v>
      </c>
      <c r="H1085" s="7" t="str">
        <f t="shared" si="145"/>
        <v/>
      </c>
      <c r="I1085" s="7" t="str">
        <f t="shared" si="146"/>
        <v/>
      </c>
      <c r="J1085" s="7" t="str">
        <f t="shared" si="147"/>
        <v/>
      </c>
      <c r="K1085" s="7">
        <f t="shared" si="150"/>
        <v>-4.3692918586307639E-2</v>
      </c>
      <c r="L1085" s="7">
        <f t="shared" si="151"/>
        <v>-7.6792586795329965E-2</v>
      </c>
      <c r="M1085" s="7">
        <f t="shared" si="152"/>
        <v>-4.6138058347646616E-2</v>
      </c>
      <c r="N1085" s="7">
        <f t="shared" si="148"/>
        <v>0.92850201383086184</v>
      </c>
      <c r="O1085" s="7">
        <f t="shared" si="149"/>
        <v>7.149798616913805E-2</v>
      </c>
    </row>
    <row r="1086" spans="1:15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4">
        <f>IF(SUMIFS('Daily NSE Equity Cash'!$H:$H,'Daily NSE Equity Cash'!$A:$A,$A1086)=0,"",SUMIFS('Daily NSE Equity Cash'!$H:$H,'Daily NSE Equity Cash'!$A:$A,$A1086))</f>
        <v>1092.7272</v>
      </c>
      <c r="F1086" s="4">
        <f>IF(SUMIFS('Daily BSE Equity Cash'!$H:$H,'Daily BSE Equity Cash'!$A:$A,$A1086)=0,"",SUMIFS('Daily BSE Equity Cash'!$H:$H,'Daily BSE Equity Cash'!$A:$A,$A1086))</f>
        <v>71.106999999999999</v>
      </c>
      <c r="G1086" s="4">
        <f t="shared" si="144"/>
        <v>1163.8342</v>
      </c>
      <c r="H1086" s="7" t="str">
        <f t="shared" si="145"/>
        <v/>
      </c>
      <c r="I1086" s="7">
        <f t="shared" si="146"/>
        <v>0.2431706647598435</v>
      </c>
      <c r="J1086" s="7" t="str">
        <f t="shared" si="147"/>
        <v/>
      </c>
      <c r="K1086" s="7">
        <f t="shared" si="150"/>
        <v>-8.0782154410621532E-2</v>
      </c>
      <c r="L1086" s="7">
        <f t="shared" si="151"/>
        <v>-0.22320201532468276</v>
      </c>
      <c r="M1086" s="7">
        <f t="shared" si="152"/>
        <v>-9.0964887656465709E-2</v>
      </c>
      <c r="N1086" s="7">
        <f t="shared" si="148"/>
        <v>0.93890280935205384</v>
      </c>
      <c r="O1086" s="7">
        <f t="shared" si="149"/>
        <v>6.1097190647946241E-2</v>
      </c>
    </row>
    <row r="1087" spans="1:15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4">
        <f>IF(SUMIFS('Daily NSE Equity Cash'!$H:$H,'Daily NSE Equity Cash'!$A:$A,$A1087)=0,"",SUMIFS('Daily NSE Equity Cash'!$H:$H,'Daily NSE Equity Cash'!$A:$A,$A1087))</f>
        <v>1116.2255</v>
      </c>
      <c r="F1087" s="4">
        <f>IF(SUMIFS('Daily BSE Equity Cash'!$H:$H,'Daily BSE Equity Cash'!$A:$A,$A1087)=0,"",SUMIFS('Daily BSE Equity Cash'!$H:$H,'Daily BSE Equity Cash'!$A:$A,$A1087))</f>
        <v>84.072599999999994</v>
      </c>
      <c r="G1087" s="4">
        <f t="shared" si="144"/>
        <v>1200.2981</v>
      </c>
      <c r="H1087" s="7">
        <f t="shared" si="145"/>
        <v>0.54650128357228356</v>
      </c>
      <c r="I1087" s="7">
        <f t="shared" si="146"/>
        <v>-0.56519292641918206</v>
      </c>
      <c r="J1087" s="7">
        <f t="shared" si="147"/>
        <v>0.31161370593143611</v>
      </c>
      <c r="K1087" s="7">
        <f t="shared" si="150"/>
        <v>2.1504269318087799E-2</v>
      </c>
      <c r="L1087" s="7">
        <f t="shared" si="151"/>
        <v>0.18233929149028927</v>
      </c>
      <c r="M1087" s="7">
        <f t="shared" si="152"/>
        <v>3.1330837330609373E-2</v>
      </c>
      <c r="N1087" s="7">
        <f t="shared" si="148"/>
        <v>0.92995689987345642</v>
      </c>
      <c r="O1087" s="7">
        <f t="shared" si="149"/>
        <v>7.0043100126543564E-2</v>
      </c>
    </row>
    <row r="1088" spans="1:15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4">
        <f>IF(SUMIFS('Daily NSE Equity Cash'!$H:$H,'Daily NSE Equity Cash'!$A:$A,$A1088)=0,"",SUMIFS('Daily NSE Equity Cash'!$H:$H,'Daily NSE Equity Cash'!$A:$A,$A1088))</f>
        <v>1084.0302999999999</v>
      </c>
      <c r="F1088" s="4">
        <f>IF(SUMIFS('Daily BSE Equity Cash'!$H:$H,'Daily BSE Equity Cash'!$A:$A,$A1088)=0,"",SUMIFS('Daily BSE Equity Cash'!$H:$H,'Daily BSE Equity Cash'!$A:$A,$A1088))</f>
        <v>82.442700000000002</v>
      </c>
      <c r="G1088" s="4">
        <f t="shared" si="144"/>
        <v>1166.473</v>
      </c>
      <c r="H1088" s="7" t="str">
        <f t="shared" si="145"/>
        <v/>
      </c>
      <c r="I1088" s="7" t="str">
        <f t="shared" si="146"/>
        <v/>
      </c>
      <c r="J1088" s="7" t="str">
        <f t="shared" si="147"/>
        <v/>
      </c>
      <c r="K1088" s="7">
        <f t="shared" si="150"/>
        <v>-2.8842917492926001E-2</v>
      </c>
      <c r="L1088" s="7">
        <f t="shared" si="151"/>
        <v>-1.9386815680732972E-2</v>
      </c>
      <c r="M1088" s="7">
        <f t="shared" si="152"/>
        <v>-2.8180582806887733E-2</v>
      </c>
      <c r="N1088" s="7">
        <f t="shared" si="148"/>
        <v>0.92932309620539866</v>
      </c>
      <c r="O1088" s="7">
        <f t="shared" si="149"/>
        <v>7.0676903794601342E-2</v>
      </c>
    </row>
    <row r="1089" spans="1:15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4">
        <f>IF(SUMIFS('Daily NSE Equity Cash'!$H:$H,'Daily NSE Equity Cash'!$A:$A,$A1089)=0,"",SUMIFS('Daily NSE Equity Cash'!$H:$H,'Daily NSE Equity Cash'!$A:$A,$A1089))</f>
        <v>1168.0513000000001</v>
      </c>
      <c r="F1089" s="4">
        <f>IF(SUMIFS('Daily BSE Equity Cash'!$H:$H,'Daily BSE Equity Cash'!$A:$A,$A1089)=0,"",SUMIFS('Daily BSE Equity Cash'!$H:$H,'Daily BSE Equity Cash'!$A:$A,$A1089))</f>
        <v>137.001</v>
      </c>
      <c r="G1089" s="4">
        <f t="shared" si="144"/>
        <v>1305.0523000000001</v>
      </c>
      <c r="H1089" s="7" t="str">
        <f t="shared" si="145"/>
        <v/>
      </c>
      <c r="I1089" s="7" t="str">
        <f t="shared" si="146"/>
        <v/>
      </c>
      <c r="J1089" s="7" t="str">
        <f t="shared" si="147"/>
        <v/>
      </c>
      <c r="K1089" s="7">
        <f t="shared" si="150"/>
        <v>7.7507981096100576E-2</v>
      </c>
      <c r="L1089" s="7">
        <f t="shared" si="151"/>
        <v>0.66177235825609793</v>
      </c>
      <c r="M1089" s="7">
        <f t="shared" si="152"/>
        <v>0.11880197827125016</v>
      </c>
      <c r="N1089" s="7">
        <f t="shared" si="148"/>
        <v>0.89502259794492534</v>
      </c>
      <c r="O1089" s="7">
        <f t="shared" si="149"/>
        <v>0.10497740205507472</v>
      </c>
    </row>
    <row r="1090" spans="1:15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4">
        <f>IF(SUMIFS('Daily NSE Equity Cash'!$H:$H,'Daily NSE Equity Cash'!$A:$A,$A1090)=0,"",SUMIFS('Daily NSE Equity Cash'!$H:$H,'Daily NSE Equity Cash'!$A:$A,$A1090))</f>
        <v>1176.2375</v>
      </c>
      <c r="F1090" s="4">
        <f>IF(SUMIFS('Daily BSE Equity Cash'!$H:$H,'Daily BSE Equity Cash'!$A:$A,$A1090)=0,"",SUMIFS('Daily BSE Equity Cash'!$H:$H,'Daily BSE Equity Cash'!$A:$A,$A1090))</f>
        <v>95.154700000000005</v>
      </c>
      <c r="G1090" s="4">
        <f t="shared" ref="G1090:G1153" si="153">IF(OR(E1090="",F1090=""),"",E1090+F1090)</f>
        <v>1271.3922</v>
      </c>
      <c r="H1090" s="7">
        <f t="shared" ref="H1090:H1153" si="154">IFERROR(IF(OR(E1090="",INDEX(E:E,MATCH(DATE(YEAR($A1090)-1,MONTH($A1090),DAY($A1090)),$A:$A,0))=""),"",E1090/INDEX(E:E,MATCH(DATE(YEAR($A1090)-1,MONTH($A1090),DAY($A1090)),$A:$A,0))-1),"")</f>
        <v>0.87936302457553883</v>
      </c>
      <c r="I1090" s="7">
        <f t="shared" ref="I1090:I1153" si="155">IFERROR(IF(OR(F1090="",INDEX(F:F,MATCH(DATE(YEAR($A1090)-1,MONTH($A1090),DAY($A1090)),$A:$A,0))=""),"",F1090/INDEX(F:F,MATCH(DATE(YEAR($A1090)-1,MONTH($A1090),DAY($A1090)),$A:$A,0))-1),"")</f>
        <v>1.216368875006697</v>
      </c>
      <c r="J1090" s="7">
        <f t="shared" ref="J1090:J1153" si="156">IFERROR(IF(OR(G1090="",INDEX(G:G,MATCH(DATE(YEAR($A1090)-1,MONTH($A1090),DAY($A1090)),$A:$A,0))=""),"",G1090/INDEX(G:G,MATCH(DATE(YEAR($A1090)-1,MONTH($A1090),DAY($A1090)),$A:$A,0))-1),"")</f>
        <v>0.90099655653458499</v>
      </c>
      <c r="K1090" s="7">
        <f t="shared" si="150"/>
        <v>7.0084250580431107E-3</v>
      </c>
      <c r="L1090" s="7">
        <f t="shared" si="151"/>
        <v>-0.30544521572835237</v>
      </c>
      <c r="M1090" s="7">
        <f t="shared" si="152"/>
        <v>-2.5792146414362116E-2</v>
      </c>
      <c r="N1090" s="7">
        <f t="shared" ref="N1090:N1153" si="157">IF(G1090="","",E1090/G1090)</f>
        <v>0.92515708370713612</v>
      </c>
      <c r="O1090" s="7">
        <f t="shared" ref="O1090:O1153" si="158">IF(G1090="","",F1090/G1090)</f>
        <v>7.484291629286384E-2</v>
      </c>
    </row>
    <row r="1091" spans="1:15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4">
        <f>IF(SUMIFS('Daily NSE Equity Cash'!$H:$H,'Daily NSE Equity Cash'!$A:$A,$A1091)=0,"",SUMIFS('Daily NSE Equity Cash'!$H:$H,'Daily NSE Equity Cash'!$A:$A,$A1091))</f>
        <v>1186.3886</v>
      </c>
      <c r="F1091" s="4">
        <f>IF(SUMIFS('Daily BSE Equity Cash'!$H:$H,'Daily BSE Equity Cash'!$A:$A,$A1091)=0,"",SUMIFS('Daily BSE Equity Cash'!$H:$H,'Daily BSE Equity Cash'!$A:$A,$A1091))</f>
        <v>93.470799999999997</v>
      </c>
      <c r="G1091" s="4">
        <f t="shared" si="153"/>
        <v>1279.8594000000001</v>
      </c>
      <c r="H1091" s="7">
        <f t="shared" si="154"/>
        <v>0.77675404105353651</v>
      </c>
      <c r="I1091" s="7">
        <f t="shared" si="155"/>
        <v>1.0113877962075111</v>
      </c>
      <c r="J1091" s="7">
        <f t="shared" si="156"/>
        <v>0.79202096222774898</v>
      </c>
      <c r="K1091" s="7">
        <f t="shared" ref="K1091:K1154" si="159">IF(OR(E1091="",E1090=""),"",E1091/E1090-1)</f>
        <v>8.6301448474479514E-3</v>
      </c>
      <c r="L1091" s="7">
        <f t="shared" ref="L1091:L1154" si="160">IF(OR(F1091="",F1090=""),"",F1091/F1090-1)</f>
        <v>-1.7696445892846135E-2</v>
      </c>
      <c r="M1091" s="7">
        <f t="shared" ref="M1091:M1154" si="161">IF(OR(G1091="",G1090=""),"",G1091/G1090-1)</f>
        <v>6.6597860203956305E-3</v>
      </c>
      <c r="N1091" s="7">
        <f t="shared" si="157"/>
        <v>0.92696791538195522</v>
      </c>
      <c r="O1091" s="7">
        <f t="shared" si="158"/>
        <v>7.3032084618044751E-2</v>
      </c>
    </row>
    <row r="1092" spans="1:15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4">
        <f>IF(SUMIFS('Daily NSE Equity Cash'!$H:$H,'Daily NSE Equity Cash'!$A:$A,$A1092)=0,"",SUMIFS('Daily NSE Equity Cash'!$H:$H,'Daily NSE Equity Cash'!$A:$A,$A1092))</f>
        <v>1179.2716</v>
      </c>
      <c r="F1092" s="4">
        <f>IF(SUMIFS('Daily BSE Equity Cash'!$H:$H,'Daily BSE Equity Cash'!$A:$A,$A1092)=0,"",SUMIFS('Daily BSE Equity Cash'!$H:$H,'Daily BSE Equity Cash'!$A:$A,$A1092))</f>
        <v>107.3626</v>
      </c>
      <c r="G1092" s="4">
        <f t="shared" si="153"/>
        <v>1286.6342</v>
      </c>
      <c r="H1092" s="7">
        <f t="shared" si="154"/>
        <v>0.64480229678119794</v>
      </c>
      <c r="I1092" s="7">
        <f t="shared" si="155"/>
        <v>1.0415914748125514</v>
      </c>
      <c r="J1092" s="7">
        <f t="shared" si="156"/>
        <v>0.67191692147799942</v>
      </c>
      <c r="K1092" s="7">
        <f t="shared" si="159"/>
        <v>-5.9988776021616674E-3</v>
      </c>
      <c r="L1092" s="7">
        <f t="shared" si="160"/>
        <v>0.14862181558304854</v>
      </c>
      <c r="M1092" s="7">
        <f t="shared" si="161"/>
        <v>5.2933939462411761E-3</v>
      </c>
      <c r="N1092" s="7">
        <f t="shared" si="157"/>
        <v>0.91655545919733838</v>
      </c>
      <c r="O1092" s="7">
        <f t="shared" si="158"/>
        <v>8.3444540802661712E-2</v>
      </c>
    </row>
    <row r="1093" spans="1:15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4">
        <f>IF(SUMIFS('Daily NSE Equity Cash'!$H:$H,'Daily NSE Equity Cash'!$A:$A,$A1093)=0,"",SUMIFS('Daily NSE Equity Cash'!$H:$H,'Daily NSE Equity Cash'!$A:$A,$A1093))</f>
        <v>1113.0526</v>
      </c>
      <c r="F1093" s="4">
        <f>IF(SUMIFS('Daily BSE Equity Cash'!$H:$H,'Daily BSE Equity Cash'!$A:$A,$A1093)=0,"",SUMIFS('Daily BSE Equity Cash'!$H:$H,'Daily BSE Equity Cash'!$A:$A,$A1093))</f>
        <v>91.719800000000006</v>
      </c>
      <c r="G1093" s="4">
        <f t="shared" si="153"/>
        <v>1204.7724000000001</v>
      </c>
      <c r="H1093" s="7" t="str">
        <f t="shared" si="154"/>
        <v/>
      </c>
      <c r="I1093" s="7" t="str">
        <f t="shared" si="155"/>
        <v/>
      </c>
      <c r="J1093" s="7" t="str">
        <f t="shared" si="156"/>
        <v/>
      </c>
      <c r="K1093" s="7">
        <f t="shared" si="159"/>
        <v>-5.6152458856806198E-2</v>
      </c>
      <c r="L1093" s="7">
        <f t="shared" si="160"/>
        <v>-0.14570064435846364</v>
      </c>
      <c r="M1093" s="7">
        <f t="shared" si="161"/>
        <v>-6.3624766075703443E-2</v>
      </c>
      <c r="N1093" s="7">
        <f t="shared" si="157"/>
        <v>0.92386960391854922</v>
      </c>
      <c r="O1093" s="7">
        <f t="shared" si="158"/>
        <v>7.6130396081450738E-2</v>
      </c>
    </row>
    <row r="1094" spans="1:15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4">
        <f>IF(SUMIFS('Daily NSE Equity Cash'!$H:$H,'Daily NSE Equity Cash'!$A:$A,$A1094)=0,"",SUMIFS('Daily NSE Equity Cash'!$H:$H,'Daily NSE Equity Cash'!$A:$A,$A1094))</f>
        <v>1152.3442</v>
      </c>
      <c r="F1094" s="4">
        <f>IF(SUMIFS('Daily BSE Equity Cash'!$H:$H,'Daily BSE Equity Cash'!$A:$A,$A1094)=0,"",SUMIFS('Daily BSE Equity Cash'!$H:$H,'Daily BSE Equity Cash'!$A:$A,$A1094))</f>
        <v>98.833500000000001</v>
      </c>
      <c r="G1094" s="4">
        <f t="shared" si="153"/>
        <v>1251.1777</v>
      </c>
      <c r="H1094" s="7" t="str">
        <f t="shared" si="154"/>
        <v/>
      </c>
      <c r="I1094" s="7" t="str">
        <f t="shared" si="155"/>
        <v/>
      </c>
      <c r="J1094" s="7" t="str">
        <f t="shared" si="156"/>
        <v/>
      </c>
      <c r="K1094" s="7">
        <f t="shared" si="159"/>
        <v>3.53007575742601E-2</v>
      </c>
      <c r="L1094" s="7">
        <f t="shared" si="160"/>
        <v>7.7559043957793117E-2</v>
      </c>
      <c r="M1094" s="7">
        <f t="shared" si="161"/>
        <v>3.8517897654361866E-2</v>
      </c>
      <c r="N1094" s="7">
        <f t="shared" si="157"/>
        <v>0.92100762345748333</v>
      </c>
      <c r="O1094" s="7">
        <f t="shared" si="158"/>
        <v>7.8992376542516701E-2</v>
      </c>
    </row>
    <row r="1095" spans="1:15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4">
        <f>IF(SUMIFS('Daily NSE Equity Cash'!$H:$H,'Daily NSE Equity Cash'!$A:$A,$A1095)=0,"",SUMIFS('Daily NSE Equity Cash'!$H:$H,'Daily NSE Equity Cash'!$A:$A,$A1095))</f>
        <v>1178.0106000000001</v>
      </c>
      <c r="F1095" s="4">
        <f>IF(SUMIFS('Daily BSE Equity Cash'!$H:$H,'Daily BSE Equity Cash'!$A:$A,$A1095)=0,"",SUMIFS('Daily BSE Equity Cash'!$H:$H,'Daily BSE Equity Cash'!$A:$A,$A1095))</f>
        <v>78.497200000000007</v>
      </c>
      <c r="G1095" s="4">
        <f t="shared" si="153"/>
        <v>1256.5078000000001</v>
      </c>
      <c r="H1095" s="7">
        <f t="shared" si="154"/>
        <v>0.83986766816207958</v>
      </c>
      <c r="I1095" s="7">
        <f t="shared" si="155"/>
        <v>-4.1595038093377501E-2</v>
      </c>
      <c r="J1095" s="7">
        <f t="shared" si="156"/>
        <v>0.73989812970074231</v>
      </c>
      <c r="K1095" s="7">
        <f t="shared" si="159"/>
        <v>2.2273206217378494E-2</v>
      </c>
      <c r="L1095" s="7">
        <f t="shared" si="160"/>
        <v>-0.20576322805526459</v>
      </c>
      <c r="M1095" s="7">
        <f t="shared" si="161"/>
        <v>4.260066335901147E-3</v>
      </c>
      <c r="N1095" s="7">
        <f t="shared" si="157"/>
        <v>0.93752748689661936</v>
      </c>
      <c r="O1095" s="7">
        <f t="shared" si="158"/>
        <v>6.2472513103380659E-2</v>
      </c>
    </row>
    <row r="1096" spans="1:15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4">
        <f>IF(SUMIFS('Daily NSE Equity Cash'!$H:$H,'Daily NSE Equity Cash'!$A:$A,$A1096)=0,"",SUMIFS('Daily NSE Equity Cash'!$H:$H,'Daily NSE Equity Cash'!$A:$A,$A1096))</f>
        <v>1314.0172</v>
      </c>
      <c r="F1096" s="4">
        <f>IF(SUMIFS('Daily BSE Equity Cash'!$H:$H,'Daily BSE Equity Cash'!$A:$A,$A1096)=0,"",SUMIFS('Daily BSE Equity Cash'!$H:$H,'Daily BSE Equity Cash'!$A:$A,$A1096))</f>
        <v>206.67609999999999</v>
      </c>
      <c r="G1096" s="4">
        <f t="shared" si="153"/>
        <v>1520.6932999999999</v>
      </c>
      <c r="H1096" s="7">
        <f t="shared" si="154"/>
        <v>0.81150153313887752</v>
      </c>
      <c r="I1096" s="7">
        <f t="shared" si="155"/>
        <v>1.9518410077696524</v>
      </c>
      <c r="J1096" s="7">
        <f t="shared" si="156"/>
        <v>0.91188241349596044</v>
      </c>
      <c r="K1096" s="7">
        <f t="shared" si="159"/>
        <v>0.11545447893253247</v>
      </c>
      <c r="L1096" s="7">
        <f t="shared" si="160"/>
        <v>1.6329104732398094</v>
      </c>
      <c r="M1096" s="7">
        <f t="shared" si="161"/>
        <v>0.21025376842069732</v>
      </c>
      <c r="N1096" s="7">
        <f t="shared" si="157"/>
        <v>0.86409087223570991</v>
      </c>
      <c r="O1096" s="7">
        <f t="shared" si="158"/>
        <v>0.13590912776429015</v>
      </c>
    </row>
    <row r="1097" spans="1:15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4">
        <f>IF(SUMIFS('Daily NSE Equity Cash'!$H:$H,'Daily NSE Equity Cash'!$A:$A,$A1097)=0,"",SUMIFS('Daily NSE Equity Cash'!$H:$H,'Daily NSE Equity Cash'!$A:$A,$A1097))</f>
        <v>2241.0798</v>
      </c>
      <c r="F1097" s="4">
        <f>IF(SUMIFS('Daily BSE Equity Cash'!$H:$H,'Daily BSE Equity Cash'!$A:$A,$A1097)=0,"",SUMIFS('Daily BSE Equity Cash'!$H:$H,'Daily BSE Equity Cash'!$A:$A,$A1097))</f>
        <v>89.44</v>
      </c>
      <c r="G1097" s="4">
        <f t="shared" si="153"/>
        <v>2330.5198</v>
      </c>
      <c r="H1097" s="7">
        <f t="shared" si="154"/>
        <v>2.0339764836611769</v>
      </c>
      <c r="I1097" s="7">
        <f t="shared" si="155"/>
        <v>0.55178097402710069</v>
      </c>
      <c r="J1097" s="7">
        <f t="shared" si="156"/>
        <v>1.926693389496569</v>
      </c>
      <c r="K1097" s="7">
        <f t="shared" si="159"/>
        <v>0.70551785775711306</v>
      </c>
      <c r="L1097" s="7">
        <f t="shared" si="160"/>
        <v>-0.56724555959784417</v>
      </c>
      <c r="M1097" s="7">
        <f t="shared" si="161"/>
        <v>0.53253769185410382</v>
      </c>
      <c r="N1097" s="7">
        <f t="shared" si="157"/>
        <v>0.96162229559259693</v>
      </c>
      <c r="O1097" s="7">
        <f t="shared" si="158"/>
        <v>3.837770440740302E-2</v>
      </c>
    </row>
    <row r="1098" spans="1:15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4">
        <f>IF(SUMIFS('Daily NSE Equity Cash'!$H:$H,'Daily NSE Equity Cash'!$A:$A,$A1098)=0,"",SUMIFS('Daily NSE Equity Cash'!$H:$H,'Daily NSE Equity Cash'!$A:$A,$A1098))</f>
        <v>1101.4685999999999</v>
      </c>
      <c r="F1098" s="4">
        <f>IF(SUMIFS('Daily BSE Equity Cash'!$H:$H,'Daily BSE Equity Cash'!$A:$A,$A1098)=0,"",SUMIFS('Daily BSE Equity Cash'!$H:$H,'Daily BSE Equity Cash'!$A:$A,$A1098))</f>
        <v>82.741600000000005</v>
      </c>
      <c r="G1098" s="4">
        <f t="shared" si="153"/>
        <v>1184.2102</v>
      </c>
      <c r="H1098" s="7" t="str">
        <f t="shared" si="154"/>
        <v/>
      </c>
      <c r="I1098" s="7" t="str">
        <f t="shared" si="155"/>
        <v/>
      </c>
      <c r="J1098" s="7" t="str">
        <f t="shared" si="156"/>
        <v/>
      </c>
      <c r="K1098" s="7">
        <f t="shared" si="159"/>
        <v>-0.50850987100057754</v>
      </c>
      <c r="L1098" s="7">
        <f t="shared" si="160"/>
        <v>-7.4892665474060705E-2</v>
      </c>
      <c r="M1098" s="7">
        <f t="shared" si="161"/>
        <v>-0.49186863806091674</v>
      </c>
      <c r="N1098" s="7">
        <f t="shared" si="157"/>
        <v>0.93012929630229491</v>
      </c>
      <c r="O1098" s="7">
        <f t="shared" si="158"/>
        <v>6.9870703697705025E-2</v>
      </c>
    </row>
    <row r="1099" spans="1:15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4">
        <f>IF(SUMIFS('Daily NSE Equity Cash'!$H:$H,'Daily NSE Equity Cash'!$A:$A,$A1099)=0,"",SUMIFS('Daily NSE Equity Cash'!$H:$H,'Daily NSE Equity Cash'!$A:$A,$A1099))</f>
        <v>1116.7369000000001</v>
      </c>
      <c r="F1099" s="4">
        <f>IF(SUMIFS('Daily BSE Equity Cash'!$H:$H,'Daily BSE Equity Cash'!$A:$A,$A1099)=0,"",SUMIFS('Daily BSE Equity Cash'!$H:$H,'Daily BSE Equity Cash'!$A:$A,$A1099))</f>
        <v>83.143199999999993</v>
      </c>
      <c r="G1099" s="4">
        <f t="shared" si="153"/>
        <v>1199.8801000000001</v>
      </c>
      <c r="H1099" s="7" t="str">
        <f t="shared" si="154"/>
        <v/>
      </c>
      <c r="I1099" s="7" t="str">
        <f t="shared" si="155"/>
        <v/>
      </c>
      <c r="J1099" s="7" t="str">
        <f t="shared" si="156"/>
        <v/>
      </c>
      <c r="K1099" s="7">
        <f t="shared" si="159"/>
        <v>1.386176600948974E-2</v>
      </c>
      <c r="L1099" s="7">
        <f t="shared" si="160"/>
        <v>4.8536649037482782E-3</v>
      </c>
      <c r="M1099" s="7">
        <f t="shared" si="161"/>
        <v>1.3232363646251466E-2</v>
      </c>
      <c r="N1099" s="7">
        <f t="shared" si="157"/>
        <v>0.93070707648205853</v>
      </c>
      <c r="O1099" s="7">
        <f t="shared" si="158"/>
        <v>6.9292923517941488E-2</v>
      </c>
    </row>
    <row r="1100" spans="1:15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4">
        <f>IF(SUMIFS('Daily NSE Equity Cash'!$H:$H,'Daily NSE Equity Cash'!$A:$A,$A1100)=0,"",SUMIFS('Daily NSE Equity Cash'!$H:$H,'Daily NSE Equity Cash'!$A:$A,$A1100))</f>
        <v>1147.8642</v>
      </c>
      <c r="F1100" s="4">
        <f>IF(SUMIFS('Daily BSE Equity Cash'!$H:$H,'Daily BSE Equity Cash'!$A:$A,$A1100)=0,"",SUMIFS('Daily BSE Equity Cash'!$H:$H,'Daily BSE Equity Cash'!$A:$A,$A1100))</f>
        <v>81.210899999999995</v>
      </c>
      <c r="G1100" s="4">
        <f t="shared" si="153"/>
        <v>1229.0751</v>
      </c>
      <c r="H1100" s="7">
        <f t="shared" si="154"/>
        <v>0.26210058394451097</v>
      </c>
      <c r="I1100" s="7">
        <f t="shared" si="155"/>
        <v>0.18999570662630205</v>
      </c>
      <c r="J1100" s="7">
        <f t="shared" si="156"/>
        <v>0.25706773575330177</v>
      </c>
      <c r="K1100" s="7">
        <f t="shared" si="159"/>
        <v>2.787344091522348E-2</v>
      </c>
      <c r="L1100" s="7">
        <f t="shared" si="160"/>
        <v>-2.3240625811852267E-2</v>
      </c>
      <c r="M1100" s="7">
        <f t="shared" si="161"/>
        <v>2.4331597798813442E-2</v>
      </c>
      <c r="N1100" s="7">
        <f t="shared" si="157"/>
        <v>0.93392519301709065</v>
      </c>
      <c r="O1100" s="7">
        <f t="shared" si="158"/>
        <v>6.6074806982909337E-2</v>
      </c>
    </row>
    <row r="1101" spans="1:15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4">
        <f>IF(SUMIFS('Daily NSE Equity Cash'!$H:$H,'Daily NSE Equity Cash'!$A:$A,$A1101)=0,"",SUMIFS('Daily NSE Equity Cash'!$H:$H,'Daily NSE Equity Cash'!$A:$A,$A1101))</f>
        <v>1197.0621000000001</v>
      </c>
      <c r="F1101" s="4">
        <f>IF(SUMIFS('Daily BSE Equity Cash'!$H:$H,'Daily BSE Equity Cash'!$A:$A,$A1101)=0,"",SUMIFS('Daily BSE Equity Cash'!$H:$H,'Daily BSE Equity Cash'!$A:$A,$A1101))</f>
        <v>79.093299999999999</v>
      </c>
      <c r="G1101" s="4">
        <f t="shared" si="153"/>
        <v>1276.1554000000001</v>
      </c>
      <c r="H1101" s="7">
        <f t="shared" si="154"/>
        <v>0.34894098413267938</v>
      </c>
      <c r="I1101" s="7">
        <f t="shared" si="155"/>
        <v>0.25771508988415648</v>
      </c>
      <c r="J1101" s="7">
        <f t="shared" si="156"/>
        <v>0.34290404256445339</v>
      </c>
      <c r="K1101" s="7">
        <f t="shared" si="159"/>
        <v>4.2860383658624546E-2</v>
      </c>
      <c r="L1101" s="7">
        <f t="shared" si="160"/>
        <v>-2.6075317475856008E-2</v>
      </c>
      <c r="M1101" s="7">
        <f t="shared" si="161"/>
        <v>3.8305470511932116E-2</v>
      </c>
      <c r="N1101" s="7">
        <f t="shared" si="157"/>
        <v>0.9380222032520491</v>
      </c>
      <c r="O1101" s="7">
        <f t="shared" si="158"/>
        <v>6.1977796747950911E-2</v>
      </c>
    </row>
    <row r="1102" spans="1:15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4">
        <f>IF(SUMIFS('Daily NSE Equity Cash'!$H:$H,'Daily NSE Equity Cash'!$A:$A,$A1102)=0,"",SUMIFS('Daily NSE Equity Cash'!$H:$H,'Daily NSE Equity Cash'!$A:$A,$A1102))</f>
        <v>1286.0252</v>
      </c>
      <c r="F1102" s="4">
        <f>IF(SUMIFS('Daily BSE Equity Cash'!$H:$H,'Daily BSE Equity Cash'!$A:$A,$A1102)=0,"",SUMIFS('Daily BSE Equity Cash'!$H:$H,'Daily BSE Equity Cash'!$A:$A,$A1102))</f>
        <v>98.514899999999997</v>
      </c>
      <c r="G1102" s="4">
        <f t="shared" si="153"/>
        <v>1384.5400999999999</v>
      </c>
      <c r="H1102" s="7">
        <f t="shared" si="154"/>
        <v>0.4309193810671712</v>
      </c>
      <c r="I1102" s="7">
        <f t="shared" si="155"/>
        <v>0.42249101872494754</v>
      </c>
      <c r="J1102" s="7">
        <f t="shared" si="156"/>
        <v>0.43031637433926617</v>
      </c>
      <c r="K1102" s="7">
        <f t="shared" si="159"/>
        <v>7.4317865380584713E-2</v>
      </c>
      <c r="L1102" s="7">
        <f t="shared" si="160"/>
        <v>0.24555303673003914</v>
      </c>
      <c r="M1102" s="7">
        <f t="shared" si="161"/>
        <v>8.493064402658157E-2</v>
      </c>
      <c r="N1102" s="7">
        <f t="shared" si="157"/>
        <v>0.9288464812250653</v>
      </c>
      <c r="O1102" s="7">
        <f t="shared" si="158"/>
        <v>7.1153518774934726E-2</v>
      </c>
    </row>
    <row r="1103" spans="1:15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4">
        <f>IF(SUMIFS('Daily NSE Equity Cash'!$H:$H,'Daily NSE Equity Cash'!$A:$A,$A1103)=0,"",SUMIFS('Daily NSE Equity Cash'!$H:$H,'Daily NSE Equity Cash'!$A:$A,$A1103))</f>
        <v>1062.5150000000001</v>
      </c>
      <c r="F1103" s="4">
        <f>IF(SUMIFS('Daily BSE Equity Cash'!$H:$H,'Daily BSE Equity Cash'!$A:$A,$A1103)=0,"",SUMIFS('Daily BSE Equity Cash'!$H:$H,'Daily BSE Equity Cash'!$A:$A,$A1103))</f>
        <v>75.405900000000003</v>
      </c>
      <c r="G1103" s="4">
        <f t="shared" si="153"/>
        <v>1137.9209000000001</v>
      </c>
      <c r="H1103" s="7" t="str">
        <f t="shared" si="154"/>
        <v/>
      </c>
      <c r="I1103" s="7" t="str">
        <f t="shared" si="155"/>
        <v/>
      </c>
      <c r="J1103" s="7" t="str">
        <f t="shared" si="156"/>
        <v/>
      </c>
      <c r="K1103" s="7">
        <f t="shared" si="159"/>
        <v>-0.17379923814867693</v>
      </c>
      <c r="L1103" s="7">
        <f t="shared" si="160"/>
        <v>-0.23457365332553748</v>
      </c>
      <c r="M1103" s="7">
        <f t="shared" si="161"/>
        <v>-0.17812355163999938</v>
      </c>
      <c r="N1103" s="7">
        <f t="shared" si="157"/>
        <v>0.93373361891850304</v>
      </c>
      <c r="O1103" s="7">
        <f t="shared" si="158"/>
        <v>6.6266381081496961E-2</v>
      </c>
    </row>
    <row r="1104" spans="1:15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4">
        <f>IF(SUMIFS('Daily NSE Equity Cash'!$H:$H,'Daily NSE Equity Cash'!$A:$A,$A1104)=0,"",SUMIFS('Daily NSE Equity Cash'!$H:$H,'Daily NSE Equity Cash'!$A:$A,$A1104))</f>
        <v>1074.0344</v>
      </c>
      <c r="F1104" s="4">
        <f>IF(SUMIFS('Daily BSE Equity Cash'!$H:$H,'Daily BSE Equity Cash'!$A:$A,$A1104)=0,"",SUMIFS('Daily BSE Equity Cash'!$H:$H,'Daily BSE Equity Cash'!$A:$A,$A1104))</f>
        <v>68.963700000000003</v>
      </c>
      <c r="G1104" s="4">
        <f t="shared" si="153"/>
        <v>1142.9981</v>
      </c>
      <c r="H1104" s="7" t="str">
        <f t="shared" si="154"/>
        <v/>
      </c>
      <c r="I1104" s="7" t="str">
        <f t="shared" si="155"/>
        <v/>
      </c>
      <c r="J1104" s="7" t="str">
        <f t="shared" si="156"/>
        <v/>
      </c>
      <c r="K1104" s="7">
        <f t="shared" si="159"/>
        <v>1.0841635176915165E-2</v>
      </c>
      <c r="L1104" s="7">
        <f t="shared" si="160"/>
        <v>-8.5433633177244728E-2</v>
      </c>
      <c r="M1104" s="7">
        <f t="shared" si="161"/>
        <v>4.4618215554350638E-3</v>
      </c>
      <c r="N1104" s="7">
        <f t="shared" si="157"/>
        <v>0.93966420416621865</v>
      </c>
      <c r="O1104" s="7">
        <f t="shared" si="158"/>
        <v>6.0335795833781354E-2</v>
      </c>
    </row>
    <row r="1105" spans="1:15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4">
        <f>IF(SUMIFS('Daily NSE Equity Cash'!$H:$H,'Daily NSE Equity Cash'!$A:$A,$A1105)=0,"",SUMIFS('Daily NSE Equity Cash'!$H:$H,'Daily NSE Equity Cash'!$A:$A,$A1105))</f>
        <v>1076.9289000000001</v>
      </c>
      <c r="F1105" s="4">
        <f>IF(SUMIFS('Daily BSE Equity Cash'!$H:$H,'Daily BSE Equity Cash'!$A:$A,$A1105)=0,"",SUMIFS('Daily BSE Equity Cash'!$H:$H,'Daily BSE Equity Cash'!$A:$A,$A1105))</f>
        <v>76.428299999999993</v>
      </c>
      <c r="G1105" s="4">
        <f t="shared" si="153"/>
        <v>1153.3572000000001</v>
      </c>
      <c r="H1105" s="7">
        <f t="shared" si="154"/>
        <v>0.16595694140966466</v>
      </c>
      <c r="I1105" s="7">
        <f t="shared" si="155"/>
        <v>8.161928079138403E-2</v>
      </c>
      <c r="J1105" s="7">
        <f t="shared" si="156"/>
        <v>0.15996342369060268</v>
      </c>
      <c r="K1105" s="7">
        <f t="shared" si="159"/>
        <v>2.6949788572880884E-3</v>
      </c>
      <c r="L1105" s="7">
        <f t="shared" si="160"/>
        <v>0.10823955211219793</v>
      </c>
      <c r="M1105" s="7">
        <f t="shared" si="161"/>
        <v>9.06309468055988E-3</v>
      </c>
      <c r="N1105" s="7">
        <f t="shared" si="157"/>
        <v>0.93373405914490326</v>
      </c>
      <c r="O1105" s="7">
        <f t="shared" si="158"/>
        <v>6.6265940855096739E-2</v>
      </c>
    </row>
    <row r="1106" spans="1:15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4">
        <f>IF(SUMIFS('Daily NSE Equity Cash'!$H:$H,'Daily NSE Equity Cash'!$A:$A,$A1106)=0,"",SUMIFS('Daily NSE Equity Cash'!$H:$H,'Daily NSE Equity Cash'!$A:$A,$A1106))</f>
        <v>1227.6529</v>
      </c>
      <c r="F1106" s="4">
        <f>IF(SUMIFS('Daily BSE Equity Cash'!$H:$H,'Daily BSE Equity Cash'!$A:$A,$A1106)=0,"",SUMIFS('Daily BSE Equity Cash'!$H:$H,'Daily BSE Equity Cash'!$A:$A,$A1106))</f>
        <v>70.729699999999994</v>
      </c>
      <c r="G1106" s="4">
        <f t="shared" si="153"/>
        <v>1298.3826000000001</v>
      </c>
      <c r="H1106" s="7">
        <f t="shared" si="154"/>
        <v>0.13379633255410517</v>
      </c>
      <c r="I1106" s="7">
        <f t="shared" si="155"/>
        <v>-0.24104633682319743</v>
      </c>
      <c r="J1106" s="7">
        <f t="shared" si="156"/>
        <v>0.1040907774785933</v>
      </c>
      <c r="K1106" s="7">
        <f t="shared" si="159"/>
        <v>0.13995724323119196</v>
      </c>
      <c r="L1106" s="7">
        <f t="shared" si="160"/>
        <v>-7.4561386292773757E-2</v>
      </c>
      <c r="M1106" s="7">
        <f t="shared" si="161"/>
        <v>0.12574196441484031</v>
      </c>
      <c r="N1106" s="7">
        <f t="shared" si="157"/>
        <v>0.94552476288576259</v>
      </c>
      <c r="O1106" s="7">
        <f t="shared" si="158"/>
        <v>5.4475237114237351E-2</v>
      </c>
    </row>
    <row r="1107" spans="1:15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4">
        <f>IF(SUMIFS('Daily NSE Equity Cash'!$H:$H,'Daily NSE Equity Cash'!$A:$A,$A1107)=0,"",SUMIFS('Daily NSE Equity Cash'!$H:$H,'Daily NSE Equity Cash'!$A:$A,$A1107))</f>
        <v>1107.0886</v>
      </c>
      <c r="F1107" s="4">
        <f>IF(SUMIFS('Daily BSE Equity Cash'!$H:$H,'Daily BSE Equity Cash'!$A:$A,$A1107)=0,"",SUMIFS('Daily BSE Equity Cash'!$H:$H,'Daily BSE Equity Cash'!$A:$A,$A1107))</f>
        <v>80.427499999999995</v>
      </c>
      <c r="G1107" s="4">
        <f t="shared" si="153"/>
        <v>1187.5161000000001</v>
      </c>
      <c r="H1107" s="7">
        <f t="shared" si="154"/>
        <v>0.30100204394919716</v>
      </c>
      <c r="I1107" s="7">
        <f t="shared" si="155"/>
        <v>0.30847910403081991</v>
      </c>
      <c r="J1107" s="7">
        <f t="shared" si="156"/>
        <v>0.30150574775505645</v>
      </c>
      <c r="K1107" s="7">
        <f t="shared" si="159"/>
        <v>-9.8207156110656335E-2</v>
      </c>
      <c r="L1107" s="7">
        <f t="shared" si="160"/>
        <v>0.13711071869384428</v>
      </c>
      <c r="M1107" s="7">
        <f t="shared" si="161"/>
        <v>-8.5388159083462867E-2</v>
      </c>
      <c r="N1107" s="7">
        <f t="shared" si="157"/>
        <v>0.93227249718972227</v>
      </c>
      <c r="O1107" s="7">
        <f t="shared" si="158"/>
        <v>6.7727502810277687E-2</v>
      </c>
    </row>
    <row r="1108" spans="1:15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4">
        <f>IF(SUMIFS('Daily NSE Equity Cash'!$H:$H,'Daily NSE Equity Cash'!$A:$A,$A1108)=0,"",SUMIFS('Daily NSE Equity Cash'!$H:$H,'Daily NSE Equity Cash'!$A:$A,$A1108))</f>
        <v>1074.9657</v>
      </c>
      <c r="F1108" s="4">
        <f>IF(SUMIFS('Daily BSE Equity Cash'!$H:$H,'Daily BSE Equity Cash'!$A:$A,$A1108)=0,"",SUMIFS('Daily BSE Equity Cash'!$H:$H,'Daily BSE Equity Cash'!$A:$A,$A1108))</f>
        <v>88.923599999999993</v>
      </c>
      <c r="G1108" s="4">
        <f t="shared" si="153"/>
        <v>1163.8893</v>
      </c>
      <c r="H1108" s="7" t="str">
        <f t="shared" si="154"/>
        <v/>
      </c>
      <c r="I1108" s="7" t="str">
        <f t="shared" si="155"/>
        <v/>
      </c>
      <c r="J1108" s="7" t="str">
        <f t="shared" si="156"/>
        <v/>
      </c>
      <c r="K1108" s="7">
        <f t="shared" si="159"/>
        <v>-2.9015654212318776E-2</v>
      </c>
      <c r="L1108" s="7">
        <f t="shared" si="160"/>
        <v>0.10563675359796099</v>
      </c>
      <c r="M1108" s="7">
        <f t="shared" si="161"/>
        <v>-1.9895982883937346E-2</v>
      </c>
      <c r="N1108" s="7">
        <f t="shared" si="157"/>
        <v>0.92359788856208225</v>
      </c>
      <c r="O1108" s="7">
        <f t="shared" si="158"/>
        <v>7.6402111437917669E-2</v>
      </c>
    </row>
    <row r="1109" spans="1:15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4">
        <f>IF(SUMIFS('Daily NSE Equity Cash'!$H:$H,'Daily NSE Equity Cash'!$A:$A,$A1109)=0,"",SUMIFS('Daily NSE Equity Cash'!$H:$H,'Daily NSE Equity Cash'!$A:$A,$A1109))</f>
        <v>1076.7546</v>
      </c>
      <c r="F1109" s="4">
        <f>IF(SUMIFS('Daily BSE Equity Cash'!$H:$H,'Daily BSE Equity Cash'!$A:$A,$A1109)=0,"",SUMIFS('Daily BSE Equity Cash'!$H:$H,'Daily BSE Equity Cash'!$A:$A,$A1109))</f>
        <v>74.200400000000002</v>
      </c>
      <c r="G1109" s="4">
        <f t="shared" si="153"/>
        <v>1150.9549999999999</v>
      </c>
      <c r="H1109" s="7" t="str">
        <f t="shared" si="154"/>
        <v/>
      </c>
      <c r="I1109" s="7" t="str">
        <f t="shared" si="155"/>
        <v/>
      </c>
      <c r="J1109" s="7" t="str">
        <f t="shared" si="156"/>
        <v/>
      </c>
      <c r="K1109" s="7">
        <f t="shared" si="159"/>
        <v>1.6641461211273079E-3</v>
      </c>
      <c r="L1109" s="7">
        <f t="shared" si="160"/>
        <v>-0.16557134439001564</v>
      </c>
      <c r="M1109" s="7">
        <f t="shared" si="161"/>
        <v>-1.1112998461279888E-2</v>
      </c>
      <c r="N1109" s="7">
        <f t="shared" si="157"/>
        <v>0.93553144996980775</v>
      </c>
      <c r="O1109" s="7">
        <f t="shared" si="158"/>
        <v>6.446855003019232E-2</v>
      </c>
    </row>
    <row r="1110" spans="1:15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4">
        <f>IF(SUMIFS('Daily NSE Equity Cash'!$H:$H,'Daily NSE Equity Cash'!$A:$A,$A1110)=0,"",SUMIFS('Daily NSE Equity Cash'!$H:$H,'Daily NSE Equity Cash'!$A:$A,$A1110))</f>
        <v>1139.4572000000001</v>
      </c>
      <c r="F1110" s="4">
        <f>IF(SUMIFS('Daily BSE Equity Cash'!$H:$H,'Daily BSE Equity Cash'!$A:$A,$A1110)=0,"",SUMIFS('Daily BSE Equity Cash'!$H:$H,'Daily BSE Equity Cash'!$A:$A,$A1110))</f>
        <v>70.168999999999997</v>
      </c>
      <c r="G1110" s="4">
        <f t="shared" si="153"/>
        <v>1209.6262000000002</v>
      </c>
      <c r="H1110" s="7">
        <f t="shared" si="154"/>
        <v>0.44809303320991578</v>
      </c>
      <c r="I1110" s="7">
        <f t="shared" si="155"/>
        <v>0.29931764945513795</v>
      </c>
      <c r="J1110" s="7">
        <f t="shared" si="156"/>
        <v>0.43853802225999017</v>
      </c>
      <c r="K1110" s="7">
        <f t="shared" si="159"/>
        <v>5.8232952986688069E-2</v>
      </c>
      <c r="L1110" s="7">
        <f t="shared" si="160"/>
        <v>-5.4331243497339754E-2</v>
      </c>
      <c r="M1110" s="7">
        <f t="shared" si="161"/>
        <v>5.0976102454049155E-2</v>
      </c>
      <c r="N1110" s="7">
        <f t="shared" si="157"/>
        <v>0.94199117049548031</v>
      </c>
      <c r="O1110" s="7">
        <f t="shared" si="158"/>
        <v>5.8008829504519653E-2</v>
      </c>
    </row>
    <row r="1111" spans="1:15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4">
        <f>IF(SUMIFS('Daily NSE Equity Cash'!$H:$H,'Daily NSE Equity Cash'!$A:$A,$A1111)=0,"",SUMIFS('Daily NSE Equity Cash'!$H:$H,'Daily NSE Equity Cash'!$A:$A,$A1111))</f>
        <v>1338.9952000000001</v>
      </c>
      <c r="F1111" s="4">
        <f>IF(SUMIFS('Daily BSE Equity Cash'!$H:$H,'Daily BSE Equity Cash'!$A:$A,$A1111)=0,"",SUMIFS('Daily BSE Equity Cash'!$H:$H,'Daily BSE Equity Cash'!$A:$A,$A1111))</f>
        <v>107.9191</v>
      </c>
      <c r="G1111" s="4">
        <f t="shared" si="153"/>
        <v>1446.9143000000001</v>
      </c>
      <c r="H1111" s="7" t="str">
        <f t="shared" si="154"/>
        <v/>
      </c>
      <c r="I1111" s="7" t="str">
        <f t="shared" si="155"/>
        <v/>
      </c>
      <c r="J1111" s="7" t="str">
        <f t="shared" si="156"/>
        <v/>
      </c>
      <c r="K1111" s="7">
        <f t="shared" si="159"/>
        <v>0.17511671346672775</v>
      </c>
      <c r="L1111" s="7">
        <f t="shared" si="160"/>
        <v>0.53798828542518784</v>
      </c>
      <c r="M1111" s="7">
        <f t="shared" si="161"/>
        <v>0.19616646861650322</v>
      </c>
      <c r="N1111" s="7">
        <f t="shared" si="157"/>
        <v>0.92541431099271043</v>
      </c>
      <c r="O1111" s="7">
        <f t="shared" si="158"/>
        <v>7.4585689007289499E-2</v>
      </c>
    </row>
    <row r="1112" spans="1:15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4">
        <f>IF(SUMIFS('Daily NSE Equity Cash'!$H:$H,'Daily NSE Equity Cash'!$A:$A,$A1112)=0,"",SUMIFS('Daily NSE Equity Cash'!$H:$H,'Daily NSE Equity Cash'!$A:$A,$A1112))</f>
        <v>1915.9771000000001</v>
      </c>
      <c r="F1112" s="4">
        <f>IF(SUMIFS('Daily BSE Equity Cash'!$H:$H,'Daily BSE Equity Cash'!$A:$A,$A1112)=0,"",SUMIFS('Daily BSE Equity Cash'!$H:$H,'Daily BSE Equity Cash'!$A:$A,$A1112))</f>
        <v>114.0064</v>
      </c>
      <c r="G1112" s="4">
        <f t="shared" si="153"/>
        <v>2029.9835</v>
      </c>
      <c r="H1112" s="7">
        <f t="shared" si="154"/>
        <v>1.1282994450914954</v>
      </c>
      <c r="I1112" s="7">
        <f t="shared" si="155"/>
        <v>1.1013416497555024</v>
      </c>
      <c r="J1112" s="7">
        <f t="shared" si="156"/>
        <v>1.1267671430873323</v>
      </c>
      <c r="K1112" s="7">
        <f t="shared" si="159"/>
        <v>0.43090662311560179</v>
      </c>
      <c r="L1112" s="7">
        <f t="shared" si="160"/>
        <v>5.6406141266930554E-2</v>
      </c>
      <c r="M1112" s="7">
        <f t="shared" si="161"/>
        <v>0.40297424664335679</v>
      </c>
      <c r="N1112" s="7">
        <f t="shared" si="157"/>
        <v>0.94383875533963701</v>
      </c>
      <c r="O1112" s="7">
        <f t="shared" si="158"/>
        <v>5.6161244660362999E-2</v>
      </c>
    </row>
    <row r="1113" spans="1:15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4">
        <f>IF(SUMIFS('Daily NSE Equity Cash'!$H:$H,'Daily NSE Equity Cash'!$A:$A,$A1113)=0,"",SUMIFS('Daily NSE Equity Cash'!$H:$H,'Daily NSE Equity Cash'!$A:$A,$A1113))</f>
        <v>1127.6626000000001</v>
      </c>
      <c r="F1113" s="4">
        <f>IF(SUMIFS('Daily BSE Equity Cash'!$H:$H,'Daily BSE Equity Cash'!$A:$A,$A1113)=0,"",SUMIFS('Daily BSE Equity Cash'!$H:$H,'Daily BSE Equity Cash'!$A:$A,$A1113))</f>
        <v>82.86</v>
      </c>
      <c r="G1113" s="4">
        <f t="shared" si="153"/>
        <v>1210.5226</v>
      </c>
      <c r="H1113" s="7" t="str">
        <f t="shared" si="154"/>
        <v/>
      </c>
      <c r="I1113" s="7" t="str">
        <f t="shared" si="155"/>
        <v/>
      </c>
      <c r="J1113" s="7" t="str">
        <f t="shared" si="156"/>
        <v/>
      </c>
      <c r="K1113" s="7">
        <f t="shared" si="159"/>
        <v>-0.41144254803462943</v>
      </c>
      <c r="L1113" s="7">
        <f t="shared" si="160"/>
        <v>-0.27319869761697591</v>
      </c>
      <c r="M1113" s="7">
        <f t="shared" si="161"/>
        <v>-0.40367860132853295</v>
      </c>
      <c r="N1113" s="7">
        <f t="shared" si="157"/>
        <v>0.93155022467155935</v>
      </c>
      <c r="O1113" s="7">
        <f t="shared" si="158"/>
        <v>6.8449775328440793E-2</v>
      </c>
    </row>
    <row r="1114" spans="1:15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4">
        <f>IF(SUMIFS('Daily NSE Equity Cash'!$H:$H,'Daily NSE Equity Cash'!$A:$A,$A1114)=0,"",SUMIFS('Daily NSE Equity Cash'!$H:$H,'Daily NSE Equity Cash'!$A:$A,$A1114))</f>
        <v>1257.4806000000001</v>
      </c>
      <c r="F1114" s="4">
        <f>IF(SUMIFS('Daily BSE Equity Cash'!$H:$H,'Daily BSE Equity Cash'!$A:$A,$A1114)=0,"",SUMIFS('Daily BSE Equity Cash'!$H:$H,'Daily BSE Equity Cash'!$A:$A,$A1114))</f>
        <v>72.849199999999996</v>
      </c>
      <c r="G1114" s="4">
        <f t="shared" si="153"/>
        <v>1330.3298</v>
      </c>
      <c r="H1114" s="7" t="str">
        <f t="shared" si="154"/>
        <v/>
      </c>
      <c r="I1114" s="7" t="str">
        <f t="shared" si="155"/>
        <v/>
      </c>
      <c r="J1114" s="7" t="str">
        <f t="shared" si="156"/>
        <v/>
      </c>
      <c r="K1114" s="7">
        <f t="shared" si="159"/>
        <v>0.11512131376885248</v>
      </c>
      <c r="L1114" s="7">
        <f t="shared" si="160"/>
        <v>-0.12081583393676087</v>
      </c>
      <c r="M1114" s="7">
        <f t="shared" si="161"/>
        <v>9.8971469016770008E-2</v>
      </c>
      <c r="N1114" s="7">
        <f t="shared" si="157"/>
        <v>0.94523974431002</v>
      </c>
      <c r="O1114" s="7">
        <f t="shared" si="158"/>
        <v>5.4760255689980032E-2</v>
      </c>
    </row>
    <row r="1115" spans="1:15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4">
        <f>IF(SUMIFS('Daily NSE Equity Cash'!$H:$H,'Daily NSE Equity Cash'!$A:$A,$A1115)=0,"",SUMIFS('Daily NSE Equity Cash'!$H:$H,'Daily NSE Equity Cash'!$A:$A,$A1115))</f>
        <v>1099.67</v>
      </c>
      <c r="F1115" s="4">
        <f>IF(SUMIFS('Daily BSE Equity Cash'!$H:$H,'Daily BSE Equity Cash'!$A:$A,$A1115)=0,"",SUMIFS('Daily BSE Equity Cash'!$H:$H,'Daily BSE Equity Cash'!$A:$A,$A1115))</f>
        <v>99.790400000000005</v>
      </c>
      <c r="G1115" s="4">
        <f t="shared" si="153"/>
        <v>1199.4604000000002</v>
      </c>
      <c r="H1115" s="7">
        <f t="shared" si="154"/>
        <v>0.63818009717025248</v>
      </c>
      <c r="I1115" s="7">
        <f t="shared" si="155"/>
        <v>1.285264124542846</v>
      </c>
      <c r="J1115" s="7">
        <f t="shared" si="156"/>
        <v>0.67770238241603598</v>
      </c>
      <c r="K1115" s="7">
        <f t="shared" si="159"/>
        <v>-0.12549744306194466</v>
      </c>
      <c r="L1115" s="7">
        <f t="shared" si="160"/>
        <v>0.36982149426486499</v>
      </c>
      <c r="M1115" s="7">
        <f t="shared" si="161"/>
        <v>-9.8373651405839202E-2</v>
      </c>
      <c r="N1115" s="7">
        <f t="shared" si="157"/>
        <v>0.91680392283063272</v>
      </c>
      <c r="O1115" s="7">
        <f t="shared" si="158"/>
        <v>8.3196077169367152E-2</v>
      </c>
    </row>
    <row r="1116" spans="1:15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4">
        <f>IF(SUMIFS('Daily NSE Equity Cash'!$H:$H,'Daily NSE Equity Cash'!$A:$A,$A1116)=0,"",SUMIFS('Daily NSE Equity Cash'!$H:$H,'Daily NSE Equity Cash'!$A:$A,$A1116))</f>
        <v>1265.5482999999999</v>
      </c>
      <c r="F1116" s="4">
        <f>IF(SUMIFS('Daily BSE Equity Cash'!$H:$H,'Daily BSE Equity Cash'!$A:$A,$A1116)=0,"",SUMIFS('Daily BSE Equity Cash'!$H:$H,'Daily BSE Equity Cash'!$A:$A,$A1116))</f>
        <v>115.1499</v>
      </c>
      <c r="G1116" s="4">
        <f t="shared" si="153"/>
        <v>1380.6981999999998</v>
      </c>
      <c r="H1116" s="7">
        <f t="shared" si="154"/>
        <v>1.0326328312201771</v>
      </c>
      <c r="I1116" s="7">
        <f t="shared" si="155"/>
        <v>1.4435251302401086</v>
      </c>
      <c r="J1116" s="7">
        <f t="shared" si="156"/>
        <v>1.0615441997026305</v>
      </c>
      <c r="K1116" s="7">
        <f t="shared" si="159"/>
        <v>0.15084370765775179</v>
      </c>
      <c r="L1116" s="7">
        <f t="shared" si="160"/>
        <v>0.15391761131331272</v>
      </c>
      <c r="M1116" s="7">
        <f t="shared" si="161"/>
        <v>0.15109944438349077</v>
      </c>
      <c r="N1116" s="7">
        <f t="shared" si="157"/>
        <v>0.91660023892259734</v>
      </c>
      <c r="O1116" s="7">
        <f t="shared" si="158"/>
        <v>8.339976107740274E-2</v>
      </c>
    </row>
    <row r="1117" spans="1:15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4">
        <f>IF(SUMIFS('Daily NSE Equity Cash'!$H:$H,'Daily NSE Equity Cash'!$A:$A,$A1117)=0,"",SUMIFS('Daily NSE Equity Cash'!$H:$H,'Daily NSE Equity Cash'!$A:$A,$A1117))</f>
        <v>1724.7628999999999</v>
      </c>
      <c r="F1117" s="4">
        <f>IF(SUMIFS('Daily BSE Equity Cash'!$H:$H,'Daily BSE Equity Cash'!$A:$A,$A1117)=0,"",SUMIFS('Daily BSE Equity Cash'!$H:$H,'Daily BSE Equity Cash'!$A:$A,$A1117))</f>
        <v>103.5158</v>
      </c>
      <c r="G1117" s="4">
        <f t="shared" si="153"/>
        <v>1828.2786999999998</v>
      </c>
      <c r="H1117" s="7">
        <f t="shared" si="154"/>
        <v>1.5686445863921157</v>
      </c>
      <c r="I1117" s="7">
        <f t="shared" si="155"/>
        <v>1.4114717283536469</v>
      </c>
      <c r="J1117" s="7">
        <f t="shared" si="156"/>
        <v>1.5592004137769813</v>
      </c>
      <c r="K1117" s="7">
        <f t="shared" si="159"/>
        <v>0.36285821726440637</v>
      </c>
      <c r="L1117" s="7">
        <f t="shared" si="160"/>
        <v>-0.10103439082448185</v>
      </c>
      <c r="M1117" s="7">
        <f t="shared" si="161"/>
        <v>0.32416968458421991</v>
      </c>
      <c r="N1117" s="7">
        <f t="shared" si="157"/>
        <v>0.94338073292655</v>
      </c>
      <c r="O1117" s="7">
        <f t="shared" si="158"/>
        <v>5.6619267073450018E-2</v>
      </c>
    </row>
    <row r="1118" spans="1:15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4">
        <f>IF(SUMIFS('Daily NSE Equity Cash'!$H:$H,'Daily NSE Equity Cash'!$A:$A,$A1118)=0,"",SUMIFS('Daily NSE Equity Cash'!$H:$H,'Daily NSE Equity Cash'!$A:$A,$A1118))</f>
        <v>1175.1094000000001</v>
      </c>
      <c r="F1118" s="4">
        <f>IF(SUMIFS('Daily BSE Equity Cash'!$H:$H,'Daily BSE Equity Cash'!$A:$A,$A1118)=0,"",SUMIFS('Daily BSE Equity Cash'!$H:$H,'Daily BSE Equity Cash'!$A:$A,$A1118))</f>
        <v>80.774600000000007</v>
      </c>
      <c r="G1118" s="4">
        <f t="shared" si="153"/>
        <v>1255.884</v>
      </c>
      <c r="H1118" s="7" t="str">
        <f t="shared" si="154"/>
        <v/>
      </c>
      <c r="I1118" s="7" t="str">
        <f t="shared" si="155"/>
        <v/>
      </c>
      <c r="J1118" s="7" t="str">
        <f t="shared" si="156"/>
        <v/>
      </c>
      <c r="K1118" s="7">
        <f t="shared" si="159"/>
        <v>-0.31868351296285413</v>
      </c>
      <c r="L1118" s="7">
        <f t="shared" si="160"/>
        <v>-0.21968820218749208</v>
      </c>
      <c r="M1118" s="7">
        <f t="shared" si="161"/>
        <v>-0.31307847102304476</v>
      </c>
      <c r="N1118" s="7">
        <f t="shared" si="157"/>
        <v>0.9356830726404668</v>
      </c>
      <c r="O1118" s="7">
        <f t="shared" si="158"/>
        <v>6.4316927359533205E-2</v>
      </c>
    </row>
    <row r="1119" spans="1:15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4">
        <f>IF(SUMIFS('Daily NSE Equity Cash'!$H:$H,'Daily NSE Equity Cash'!$A:$A,$A1119)=0,"",SUMIFS('Daily NSE Equity Cash'!$H:$H,'Daily NSE Equity Cash'!$A:$A,$A1119))</f>
        <v>1047.7207000000001</v>
      </c>
      <c r="F1119" s="4">
        <f>IF(SUMIFS('Daily BSE Equity Cash'!$H:$H,'Daily BSE Equity Cash'!$A:$A,$A1119)=0,"",SUMIFS('Daily BSE Equity Cash'!$H:$H,'Daily BSE Equity Cash'!$A:$A,$A1119))</f>
        <v>79.136499999999998</v>
      </c>
      <c r="G1119" s="4">
        <f t="shared" si="153"/>
        <v>1126.8572000000001</v>
      </c>
      <c r="H1119" s="7" t="str">
        <f t="shared" si="154"/>
        <v/>
      </c>
      <c r="I1119" s="7" t="str">
        <f t="shared" si="155"/>
        <v/>
      </c>
      <c r="J1119" s="7" t="str">
        <f t="shared" si="156"/>
        <v/>
      </c>
      <c r="K1119" s="7">
        <f t="shared" si="159"/>
        <v>-0.10840582161967216</v>
      </c>
      <c r="L1119" s="7">
        <f t="shared" si="160"/>
        <v>-2.027988996540997E-2</v>
      </c>
      <c r="M1119" s="7">
        <f t="shared" si="161"/>
        <v>-0.1027378324749737</v>
      </c>
      <c r="N1119" s="7">
        <f t="shared" si="157"/>
        <v>0.92977237932188739</v>
      </c>
      <c r="O1119" s="7">
        <f t="shared" si="158"/>
        <v>7.0227620678112529E-2</v>
      </c>
    </row>
    <row r="1120" spans="1:15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4">
        <f>IF(SUMIFS('Daily NSE Equity Cash'!$H:$H,'Daily NSE Equity Cash'!$A:$A,$A1120)=0,"",SUMIFS('Daily NSE Equity Cash'!$H:$H,'Daily NSE Equity Cash'!$A:$A,$A1120))</f>
        <v>1370.6264000000001</v>
      </c>
      <c r="F1120" s="4">
        <f>IF(SUMIFS('Daily BSE Equity Cash'!$H:$H,'Daily BSE Equity Cash'!$A:$A,$A1120)=0,"",SUMIFS('Daily BSE Equity Cash'!$H:$H,'Daily BSE Equity Cash'!$A:$A,$A1120))</f>
        <v>102.5962</v>
      </c>
      <c r="G1120" s="4">
        <f t="shared" si="153"/>
        <v>1473.2226000000001</v>
      </c>
      <c r="H1120" s="7">
        <f t="shared" si="154"/>
        <v>0.94774637891847457</v>
      </c>
      <c r="I1120" s="7">
        <f t="shared" si="155"/>
        <v>1.2053217718030784</v>
      </c>
      <c r="J1120" s="7">
        <f t="shared" si="156"/>
        <v>0.96371894297238114</v>
      </c>
      <c r="K1120" s="7">
        <f t="shared" si="159"/>
        <v>0.3081982631439848</v>
      </c>
      <c r="L1120" s="7">
        <f t="shared" si="160"/>
        <v>0.29644601416539773</v>
      </c>
      <c r="M1120" s="7">
        <f t="shared" si="161"/>
        <v>0.30737293066060167</v>
      </c>
      <c r="N1120" s="7">
        <f t="shared" si="157"/>
        <v>0.93035933605688648</v>
      </c>
      <c r="O1120" s="7">
        <f t="shared" si="158"/>
        <v>6.9640663943113551E-2</v>
      </c>
    </row>
    <row r="1121" spans="1:15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4">
        <f>IF(SUMIFS('Daily NSE Equity Cash'!$H:$H,'Daily NSE Equity Cash'!$A:$A,$A1121)=0,"",SUMIFS('Daily NSE Equity Cash'!$H:$H,'Daily NSE Equity Cash'!$A:$A,$A1121))</f>
        <v>1275.3047999999999</v>
      </c>
      <c r="F1121" s="4">
        <f>IF(SUMIFS('Daily BSE Equity Cash'!$H:$H,'Daily BSE Equity Cash'!$A:$A,$A1121)=0,"",SUMIFS('Daily BSE Equity Cash'!$H:$H,'Daily BSE Equity Cash'!$A:$A,$A1121))</f>
        <v>97.218299999999999</v>
      </c>
      <c r="G1121" s="4">
        <f t="shared" si="153"/>
        <v>1372.5230999999999</v>
      </c>
      <c r="H1121" s="7">
        <f t="shared" si="154"/>
        <v>0.65615009470914432</v>
      </c>
      <c r="I1121" s="7">
        <f t="shared" si="155"/>
        <v>0.96134734531574351</v>
      </c>
      <c r="J1121" s="7">
        <f t="shared" si="156"/>
        <v>0.67460736456131687</v>
      </c>
      <c r="K1121" s="7">
        <f t="shared" si="159"/>
        <v>-6.9546011954826015E-2</v>
      </c>
      <c r="L1121" s="7">
        <f t="shared" si="160"/>
        <v>-5.2418120749111563E-2</v>
      </c>
      <c r="M1121" s="7">
        <f t="shared" si="161"/>
        <v>-6.8353214239314619E-2</v>
      </c>
      <c r="N1121" s="7">
        <f t="shared" si="157"/>
        <v>0.92916818667751389</v>
      </c>
      <c r="O1121" s="7">
        <f t="shared" si="158"/>
        <v>7.0831813322486156E-2</v>
      </c>
    </row>
    <row r="1122" spans="1:15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4">
        <f>IF(SUMIFS('Daily NSE Equity Cash'!$H:$H,'Daily NSE Equity Cash'!$A:$A,$A1122)=0,"",SUMIFS('Daily NSE Equity Cash'!$H:$H,'Daily NSE Equity Cash'!$A:$A,$A1122))</f>
        <v>1275.2235000000001</v>
      </c>
      <c r="F1122" s="4">
        <f>IF(SUMIFS('Daily BSE Equity Cash'!$H:$H,'Daily BSE Equity Cash'!$A:$A,$A1122)=0,"",SUMIFS('Daily BSE Equity Cash'!$H:$H,'Daily BSE Equity Cash'!$A:$A,$A1122))</f>
        <v>95.113500000000002</v>
      </c>
      <c r="G1122" s="4">
        <f t="shared" si="153"/>
        <v>1370.337</v>
      </c>
      <c r="H1122" s="7" t="str">
        <f t="shared" si="154"/>
        <v/>
      </c>
      <c r="I1122" s="7" t="str">
        <f t="shared" si="155"/>
        <v/>
      </c>
      <c r="J1122" s="7" t="str">
        <f t="shared" si="156"/>
        <v/>
      </c>
      <c r="K1122" s="7">
        <f t="shared" si="159"/>
        <v>-6.3749466009843658E-5</v>
      </c>
      <c r="L1122" s="7">
        <f t="shared" si="160"/>
        <v>-2.1650244861306955E-2</v>
      </c>
      <c r="M1122" s="7">
        <f t="shared" si="161"/>
        <v>-1.5927600781363571E-3</v>
      </c>
      <c r="N1122" s="7">
        <f t="shared" si="157"/>
        <v>0.93059116115232976</v>
      </c>
      <c r="O1122" s="7">
        <f t="shared" si="158"/>
        <v>6.9408838847670323E-2</v>
      </c>
    </row>
    <row r="1123" spans="1:15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4">
        <f>IF(SUMIFS('Daily NSE Equity Cash'!$H:$H,'Daily NSE Equity Cash'!$A:$A,$A1123)=0,"",SUMIFS('Daily NSE Equity Cash'!$H:$H,'Daily NSE Equity Cash'!$A:$A,$A1123))</f>
        <v>1134.1976</v>
      </c>
      <c r="F1123" s="4">
        <f>IF(SUMIFS('Daily BSE Equity Cash'!$H:$H,'Daily BSE Equity Cash'!$A:$A,$A1123)=0,"",SUMIFS('Daily BSE Equity Cash'!$H:$H,'Daily BSE Equity Cash'!$A:$A,$A1123))</f>
        <v>65.293999999999997</v>
      </c>
      <c r="G1123" s="4">
        <f t="shared" si="153"/>
        <v>1199.4916000000001</v>
      </c>
      <c r="H1123" s="7" t="str">
        <f t="shared" si="154"/>
        <v/>
      </c>
      <c r="I1123" s="7" t="str">
        <f t="shared" si="155"/>
        <v/>
      </c>
      <c r="J1123" s="7" t="str">
        <f t="shared" si="156"/>
        <v/>
      </c>
      <c r="K1123" s="7">
        <f t="shared" si="159"/>
        <v>-0.11058916338979019</v>
      </c>
      <c r="L1123" s="7">
        <f t="shared" si="160"/>
        <v>-0.31351490587561182</v>
      </c>
      <c r="M1123" s="7">
        <f t="shared" si="161"/>
        <v>-0.12467400354803226</v>
      </c>
      <c r="N1123" s="7">
        <f t="shared" si="157"/>
        <v>0.94556527115321187</v>
      </c>
      <c r="O1123" s="7">
        <f t="shared" si="158"/>
        <v>5.4434728846788086E-2</v>
      </c>
    </row>
    <row r="1124" spans="1:15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4">
        <f>IF(SUMIFS('Daily NSE Equity Cash'!$H:$H,'Daily NSE Equity Cash'!$A:$A,$A1124)=0,"",SUMIFS('Daily NSE Equity Cash'!$H:$H,'Daily NSE Equity Cash'!$A:$A,$A1124))</f>
        <v>1079.1212</v>
      </c>
      <c r="F1124" s="4">
        <f>IF(SUMIFS('Daily BSE Equity Cash'!$H:$H,'Daily BSE Equity Cash'!$A:$A,$A1124)=0,"",SUMIFS('Daily BSE Equity Cash'!$H:$H,'Daily BSE Equity Cash'!$A:$A,$A1124))</f>
        <v>69.08</v>
      </c>
      <c r="G1124" s="4">
        <f t="shared" si="153"/>
        <v>1148.2012</v>
      </c>
      <c r="H1124" s="7">
        <f t="shared" si="154"/>
        <v>0.88619894419680567</v>
      </c>
      <c r="I1124" s="7">
        <f t="shared" si="155"/>
        <v>0.54249451820491879</v>
      </c>
      <c r="J1124" s="7">
        <f t="shared" si="156"/>
        <v>0.86124725805918256</v>
      </c>
      <c r="K1124" s="7">
        <f t="shared" si="159"/>
        <v>-4.8559792403016777E-2</v>
      </c>
      <c r="L1124" s="7">
        <f t="shared" si="160"/>
        <v>5.7983888259258043E-2</v>
      </c>
      <c r="M1124" s="7">
        <f t="shared" si="161"/>
        <v>-4.27601160358273E-2</v>
      </c>
      <c r="N1124" s="7">
        <f t="shared" si="157"/>
        <v>0.93983632833688036</v>
      </c>
      <c r="O1124" s="7">
        <f t="shared" si="158"/>
        <v>6.0163671663119672E-2</v>
      </c>
    </row>
    <row r="1125" spans="1:15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4">
        <f>IF(SUMIFS('Daily NSE Equity Cash'!$H:$H,'Daily NSE Equity Cash'!$A:$A,$A1125)=0,"",SUMIFS('Daily NSE Equity Cash'!$H:$H,'Daily NSE Equity Cash'!$A:$A,$A1125))</f>
        <v>939.7346</v>
      </c>
      <c r="F1125" s="4">
        <f>IF(SUMIFS('Daily BSE Equity Cash'!$H:$H,'Daily BSE Equity Cash'!$A:$A,$A1125)=0,"",SUMIFS('Daily BSE Equity Cash'!$H:$H,'Daily BSE Equity Cash'!$A:$A,$A1125))</f>
        <v>127.2368</v>
      </c>
      <c r="G1125" s="4">
        <f t="shared" si="153"/>
        <v>1066.9713999999999</v>
      </c>
      <c r="H1125" s="7">
        <f t="shared" si="154"/>
        <v>0.50935728513932887</v>
      </c>
      <c r="I1125" s="7">
        <f t="shared" si="155"/>
        <v>2.0960269412703663</v>
      </c>
      <c r="J1125" s="7">
        <f t="shared" si="156"/>
        <v>0.60760467112830319</v>
      </c>
      <c r="K1125" s="7">
        <f t="shared" si="159"/>
        <v>-0.12916677014592992</v>
      </c>
      <c r="L1125" s="7">
        <f t="shared" si="160"/>
        <v>0.84187608569774186</v>
      </c>
      <c r="M1125" s="7">
        <f t="shared" si="161"/>
        <v>-7.0745266596133227E-2</v>
      </c>
      <c r="N1125" s="7">
        <f t="shared" si="157"/>
        <v>0.88074956835768992</v>
      </c>
      <c r="O1125" s="7">
        <f t="shared" si="158"/>
        <v>0.1192504316423102</v>
      </c>
    </row>
    <row r="1126" spans="1:15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4">
        <f>IF(SUMIFS('Daily NSE Equity Cash'!$H:$H,'Daily NSE Equity Cash'!$A:$A,$A1126)=0,"",SUMIFS('Daily NSE Equity Cash'!$H:$H,'Daily NSE Equity Cash'!$A:$A,$A1126))</f>
        <v>819.80589999999995</v>
      </c>
      <c r="F1126" s="4">
        <f>IF(SUMIFS('Daily BSE Equity Cash'!$H:$H,'Daily BSE Equity Cash'!$A:$A,$A1126)=0,"",SUMIFS('Daily BSE Equity Cash'!$H:$H,'Daily BSE Equity Cash'!$A:$A,$A1126))</f>
        <v>56.8155</v>
      </c>
      <c r="G1126" s="4">
        <f t="shared" si="153"/>
        <v>876.62139999999999</v>
      </c>
      <c r="H1126" s="7">
        <f t="shared" si="154"/>
        <v>0.21296567826013613</v>
      </c>
      <c r="I1126" s="7">
        <f t="shared" si="155"/>
        <v>-0.16407596005726277</v>
      </c>
      <c r="J1126" s="7">
        <f t="shared" si="156"/>
        <v>0.17851387462537116</v>
      </c>
      <c r="K1126" s="7">
        <f t="shared" si="159"/>
        <v>-0.12761975562036354</v>
      </c>
      <c r="L1126" s="7">
        <f t="shared" si="160"/>
        <v>-0.55346644995787386</v>
      </c>
      <c r="M1126" s="7">
        <f t="shared" si="161"/>
        <v>-0.17840215773356238</v>
      </c>
      <c r="N1126" s="7">
        <f t="shared" si="157"/>
        <v>0.93518809830560823</v>
      </c>
      <c r="O1126" s="7">
        <f t="shared" si="158"/>
        <v>6.4811901694391674E-2</v>
      </c>
    </row>
    <row r="1127" spans="1:15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4">
        <f>IF(SUMIFS('Daily NSE Equity Cash'!$H:$H,'Daily NSE Equity Cash'!$A:$A,$A1127)=0,"",SUMIFS('Daily NSE Equity Cash'!$H:$H,'Daily NSE Equity Cash'!$A:$A,$A1127))</f>
        <v>911.79110000000003</v>
      </c>
      <c r="F1127" s="4">
        <f>IF(SUMIFS('Daily BSE Equity Cash'!$H:$H,'Daily BSE Equity Cash'!$A:$A,$A1127)=0,"",SUMIFS('Daily BSE Equity Cash'!$H:$H,'Daily BSE Equity Cash'!$A:$A,$A1127))</f>
        <v>58.103099999999998</v>
      </c>
      <c r="G1127" s="4">
        <f t="shared" si="153"/>
        <v>969.89420000000007</v>
      </c>
      <c r="H1127" s="7" t="str">
        <f t="shared" si="154"/>
        <v/>
      </c>
      <c r="I1127" s="7" t="str">
        <f t="shared" si="155"/>
        <v/>
      </c>
      <c r="J1127" s="7" t="str">
        <f t="shared" si="156"/>
        <v/>
      </c>
      <c r="K1127" s="7">
        <f t="shared" si="159"/>
        <v>0.11220363259156851</v>
      </c>
      <c r="L1127" s="7">
        <f t="shared" si="160"/>
        <v>2.2662829685561103E-2</v>
      </c>
      <c r="M1127" s="7">
        <f t="shared" si="161"/>
        <v>0.10640032287598733</v>
      </c>
      <c r="N1127" s="7">
        <f t="shared" si="157"/>
        <v>0.94009336276059796</v>
      </c>
      <c r="O1127" s="7">
        <f t="shared" si="158"/>
        <v>5.9906637239401983E-2</v>
      </c>
    </row>
    <row r="1128" spans="1:15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4">
        <f>IF(SUMIFS('Daily NSE Equity Cash'!$H:$H,'Daily NSE Equity Cash'!$A:$A,$A1128)=0,"",SUMIFS('Daily NSE Equity Cash'!$H:$H,'Daily NSE Equity Cash'!$A:$A,$A1128))</f>
        <v>1035.3006</v>
      </c>
      <c r="F1128" s="4">
        <f>IF(SUMIFS('Daily BSE Equity Cash'!$H:$H,'Daily BSE Equity Cash'!$A:$A,$A1128)=0,"",SUMIFS('Daily BSE Equity Cash'!$H:$H,'Daily BSE Equity Cash'!$A:$A,$A1128))</f>
        <v>59.938000000000002</v>
      </c>
      <c r="G1128" s="4">
        <f t="shared" si="153"/>
        <v>1095.2386000000001</v>
      </c>
      <c r="H1128" s="7" t="str">
        <f t="shared" si="154"/>
        <v/>
      </c>
      <c r="I1128" s="7" t="str">
        <f t="shared" si="155"/>
        <v/>
      </c>
      <c r="J1128" s="7" t="str">
        <f t="shared" si="156"/>
        <v/>
      </c>
      <c r="K1128" s="7">
        <f t="shared" si="159"/>
        <v>0.13545811096423299</v>
      </c>
      <c r="L1128" s="7">
        <f t="shared" si="160"/>
        <v>3.1580070598642873E-2</v>
      </c>
      <c r="M1128" s="7">
        <f t="shared" si="161"/>
        <v>0.12923512688291172</v>
      </c>
      <c r="N1128" s="7">
        <f t="shared" si="157"/>
        <v>0.94527402522153614</v>
      </c>
      <c r="O1128" s="7">
        <f t="shared" si="158"/>
        <v>5.472597477846379E-2</v>
      </c>
    </row>
    <row r="1129" spans="1:15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4">
        <f>IF(SUMIFS('Daily NSE Equity Cash'!$H:$H,'Daily NSE Equity Cash'!$A:$A,$A1129)=0,"",SUMIFS('Daily NSE Equity Cash'!$H:$H,'Daily NSE Equity Cash'!$A:$A,$A1129))</f>
        <v>1035.213</v>
      </c>
      <c r="F1129" s="4">
        <f>IF(SUMIFS('Daily BSE Equity Cash'!$H:$H,'Daily BSE Equity Cash'!$A:$A,$A1129)=0,"",SUMIFS('Daily BSE Equity Cash'!$H:$H,'Daily BSE Equity Cash'!$A:$A,$A1129))</f>
        <v>64.743200000000002</v>
      </c>
      <c r="G1129" s="4">
        <f t="shared" si="153"/>
        <v>1099.9562000000001</v>
      </c>
      <c r="H1129" s="7">
        <f t="shared" si="154"/>
        <v>0.60637258872567767</v>
      </c>
      <c r="I1129" s="7">
        <f t="shared" si="155"/>
        <v>0.37059194621211167</v>
      </c>
      <c r="J1129" s="7">
        <f t="shared" si="156"/>
        <v>0.59027022369342541</v>
      </c>
      <c r="K1129" s="7">
        <f t="shared" si="159"/>
        <v>-8.4613106570263774E-5</v>
      </c>
      <c r="L1129" s="7">
        <f t="shared" si="160"/>
        <v>8.0169508492108577E-2</v>
      </c>
      <c r="M1129" s="7">
        <f t="shared" si="161"/>
        <v>4.3073719279067557E-3</v>
      </c>
      <c r="N1129" s="7">
        <f t="shared" si="157"/>
        <v>0.94114020176439739</v>
      </c>
      <c r="O1129" s="7">
        <f t="shared" si="158"/>
        <v>5.8859798235602466E-2</v>
      </c>
    </row>
    <row r="1130" spans="1:15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4">
        <f>IF(SUMIFS('Daily NSE Equity Cash'!$H:$H,'Daily NSE Equity Cash'!$A:$A,$A1130)=0,"",SUMIFS('Daily NSE Equity Cash'!$H:$H,'Daily NSE Equity Cash'!$A:$A,$A1130))</f>
        <v>998.98220000000003</v>
      </c>
      <c r="F1130" s="4">
        <f>IF(SUMIFS('Daily BSE Equity Cash'!$H:$H,'Daily BSE Equity Cash'!$A:$A,$A1130)=0,"",SUMIFS('Daily BSE Equity Cash'!$H:$H,'Daily BSE Equity Cash'!$A:$A,$A1130))</f>
        <v>60.453000000000003</v>
      </c>
      <c r="G1130" s="4">
        <f t="shared" si="153"/>
        <v>1059.4352000000001</v>
      </c>
      <c r="H1130" s="7">
        <f t="shared" si="154"/>
        <v>0.47806790740767857</v>
      </c>
      <c r="I1130" s="7">
        <f t="shared" si="155"/>
        <v>0.22504189658281937</v>
      </c>
      <c r="J1130" s="7">
        <f t="shared" si="156"/>
        <v>0.46085066835075805</v>
      </c>
      <c r="K1130" s="7">
        <f t="shared" si="159"/>
        <v>-3.4998401295192272E-2</v>
      </c>
      <c r="L1130" s="7">
        <f t="shared" si="160"/>
        <v>-6.626487414894533E-2</v>
      </c>
      <c r="M1130" s="7">
        <f t="shared" si="161"/>
        <v>-3.6838739578903157E-2</v>
      </c>
      <c r="N1130" s="7">
        <f t="shared" si="157"/>
        <v>0.94293846381543667</v>
      </c>
      <c r="O1130" s="7">
        <f t="shared" si="158"/>
        <v>5.7061536184563243E-2</v>
      </c>
    </row>
    <row r="1131" spans="1:15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4">
        <f>IF(SUMIFS('Daily NSE Equity Cash'!$H:$H,'Daily NSE Equity Cash'!$A:$A,$A1131)=0,"",SUMIFS('Daily NSE Equity Cash'!$H:$H,'Daily NSE Equity Cash'!$A:$A,$A1131))</f>
        <v>1041.454</v>
      </c>
      <c r="F1131" s="4">
        <f>IF(SUMIFS('Daily BSE Equity Cash'!$H:$H,'Daily BSE Equity Cash'!$A:$A,$A1131)=0,"",SUMIFS('Daily BSE Equity Cash'!$H:$H,'Daily BSE Equity Cash'!$A:$A,$A1131))</f>
        <v>69.204800000000006</v>
      </c>
      <c r="G1131" s="4">
        <f t="shared" si="153"/>
        <v>1110.6587999999999</v>
      </c>
      <c r="H1131" s="7">
        <f t="shared" si="154"/>
        <v>0.45913137848261298</v>
      </c>
      <c r="I1131" s="7">
        <f t="shared" si="155"/>
        <v>0.43197849698208723</v>
      </c>
      <c r="J1131" s="7">
        <f t="shared" si="156"/>
        <v>0.45740944423755403</v>
      </c>
      <c r="K1131" s="7">
        <f t="shared" si="159"/>
        <v>4.2515071840118823E-2</v>
      </c>
      <c r="L1131" s="7">
        <f t="shared" si="160"/>
        <v>0.14477031743668634</v>
      </c>
      <c r="M1131" s="7">
        <f t="shared" si="161"/>
        <v>4.8349913236788611E-2</v>
      </c>
      <c r="N1131" s="7">
        <f t="shared" si="157"/>
        <v>0.93769031497341937</v>
      </c>
      <c r="O1131" s="7">
        <f t="shared" si="158"/>
        <v>6.230968502658063E-2</v>
      </c>
    </row>
    <row r="1132" spans="1:15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4">
        <f>IF(SUMIFS('Daily NSE Equity Cash'!$H:$H,'Daily NSE Equity Cash'!$A:$A,$A1132)=0,"",SUMIFS('Daily NSE Equity Cash'!$H:$H,'Daily NSE Equity Cash'!$A:$A,$A1132))</f>
        <v>1024.7568000000001</v>
      </c>
      <c r="F1132" s="4">
        <f>IF(SUMIFS('Daily BSE Equity Cash'!$H:$H,'Daily BSE Equity Cash'!$A:$A,$A1132)=0,"",SUMIFS('Daily BSE Equity Cash'!$H:$H,'Daily BSE Equity Cash'!$A:$A,$A1132))</f>
        <v>64.411900000000003</v>
      </c>
      <c r="G1132" s="4">
        <f t="shared" si="153"/>
        <v>1089.1687000000002</v>
      </c>
      <c r="H1132" s="7" t="str">
        <f t="shared" si="154"/>
        <v/>
      </c>
      <c r="I1132" s="7" t="str">
        <f t="shared" si="155"/>
        <v/>
      </c>
      <c r="J1132" s="7" t="str">
        <f t="shared" si="156"/>
        <v/>
      </c>
      <c r="K1132" s="7">
        <f t="shared" si="159"/>
        <v>-1.6032585212596873E-2</v>
      </c>
      <c r="L1132" s="7">
        <f t="shared" si="160"/>
        <v>-6.9256756756756799E-2</v>
      </c>
      <c r="M1132" s="7">
        <f t="shared" si="161"/>
        <v>-1.9348966577314108E-2</v>
      </c>
      <c r="N1132" s="7">
        <f t="shared" si="157"/>
        <v>0.9408614110926985</v>
      </c>
      <c r="O1132" s="7">
        <f t="shared" si="158"/>
        <v>5.9138588907301497E-2</v>
      </c>
    </row>
    <row r="1133" spans="1:15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4">
        <f>IF(SUMIFS('Daily NSE Equity Cash'!$H:$H,'Daily NSE Equity Cash'!$A:$A,$A1133)=0,"",SUMIFS('Daily NSE Equity Cash'!$H:$H,'Daily NSE Equity Cash'!$A:$A,$A1133))</f>
        <v>1151.0896</v>
      </c>
      <c r="F1133" s="4">
        <f>IF(SUMIFS('Daily BSE Equity Cash'!$H:$H,'Daily BSE Equity Cash'!$A:$A,$A1133)=0,"",SUMIFS('Daily BSE Equity Cash'!$H:$H,'Daily BSE Equity Cash'!$A:$A,$A1133))</f>
        <v>67.823599999999999</v>
      </c>
      <c r="G1133" s="4">
        <f t="shared" si="153"/>
        <v>1218.9132</v>
      </c>
      <c r="H1133" s="7" t="str">
        <f t="shared" si="154"/>
        <v/>
      </c>
      <c r="I1133" s="7" t="str">
        <f t="shared" si="155"/>
        <v/>
      </c>
      <c r="J1133" s="7" t="str">
        <f t="shared" si="156"/>
        <v/>
      </c>
      <c r="K1133" s="7">
        <f t="shared" si="159"/>
        <v>0.12328076281123468</v>
      </c>
      <c r="L1133" s="7">
        <f t="shared" si="160"/>
        <v>5.2966920708750864E-2</v>
      </c>
      <c r="M1133" s="7">
        <f t="shared" si="161"/>
        <v>0.119122501408643</v>
      </c>
      <c r="N1133" s="7">
        <f t="shared" si="157"/>
        <v>0.94435731764985398</v>
      </c>
      <c r="O1133" s="7">
        <f t="shared" si="158"/>
        <v>5.5642682350146015E-2</v>
      </c>
    </row>
    <row r="1134" spans="1:15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4">
        <f>IF(SUMIFS('Daily NSE Equity Cash'!$H:$H,'Daily NSE Equity Cash'!$A:$A,$A1134)=0,"",SUMIFS('Daily NSE Equity Cash'!$H:$H,'Daily NSE Equity Cash'!$A:$A,$A1134))</f>
        <v>1167.6439</v>
      </c>
      <c r="F1134" s="4">
        <f>IF(SUMIFS('Daily BSE Equity Cash'!$H:$H,'Daily BSE Equity Cash'!$A:$A,$A1134)=0,"",SUMIFS('Daily BSE Equity Cash'!$H:$H,'Daily BSE Equity Cash'!$A:$A,$A1134))</f>
        <v>69.754300000000001</v>
      </c>
      <c r="G1134" s="4">
        <f t="shared" si="153"/>
        <v>1237.3982000000001</v>
      </c>
      <c r="H1134" s="7">
        <f t="shared" si="154"/>
        <v>0.6688308532870415</v>
      </c>
      <c r="I1134" s="7">
        <f t="shared" si="155"/>
        <v>0.41345240049199306</v>
      </c>
      <c r="J1134" s="7">
        <f t="shared" si="156"/>
        <v>0.6520050449375665</v>
      </c>
      <c r="K1134" s="7">
        <f t="shared" si="159"/>
        <v>1.4381417397915763E-2</v>
      </c>
      <c r="L1134" s="7">
        <f t="shared" si="160"/>
        <v>2.8466492489340078E-2</v>
      </c>
      <c r="M1134" s="7">
        <f t="shared" si="161"/>
        <v>1.5165148757106062E-2</v>
      </c>
      <c r="N1134" s="7">
        <f t="shared" si="157"/>
        <v>0.94362825160081854</v>
      </c>
      <c r="O1134" s="7">
        <f t="shared" si="158"/>
        <v>5.6371748399181437E-2</v>
      </c>
    </row>
    <row r="1135" spans="1:15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4">
        <f>IF(SUMIFS('Daily NSE Equity Cash'!$H:$H,'Daily NSE Equity Cash'!$A:$A,$A1135)=0,"",SUMIFS('Daily NSE Equity Cash'!$H:$H,'Daily NSE Equity Cash'!$A:$A,$A1135))</f>
        <v>966.92700000000002</v>
      </c>
      <c r="F1135" s="4">
        <f>IF(SUMIFS('Daily BSE Equity Cash'!$H:$H,'Daily BSE Equity Cash'!$A:$A,$A1135)=0,"",SUMIFS('Daily BSE Equity Cash'!$H:$H,'Daily BSE Equity Cash'!$A:$A,$A1135))</f>
        <v>49.531100000000002</v>
      </c>
      <c r="G1135" s="4">
        <f t="shared" si="153"/>
        <v>1016.4581000000001</v>
      </c>
      <c r="H1135" s="7" t="str">
        <f t="shared" si="154"/>
        <v/>
      </c>
      <c r="I1135" s="7" t="str">
        <f t="shared" si="155"/>
        <v/>
      </c>
      <c r="J1135" s="7" t="str">
        <f t="shared" si="156"/>
        <v/>
      </c>
      <c r="K1135" s="7">
        <f t="shared" si="159"/>
        <v>-0.17189906957078271</v>
      </c>
      <c r="L1135" s="7">
        <f t="shared" si="160"/>
        <v>-0.28992047802070986</v>
      </c>
      <c r="M1135" s="7">
        <f t="shared" si="161"/>
        <v>-0.17855214271363895</v>
      </c>
      <c r="N1135" s="7">
        <f t="shared" si="157"/>
        <v>0.95127088858852127</v>
      </c>
      <c r="O1135" s="7">
        <f t="shared" si="158"/>
        <v>4.8729111411478739E-2</v>
      </c>
    </row>
    <row r="1136" spans="1:15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4">
        <f>IF(SUMIFS('Daily NSE Equity Cash'!$H:$H,'Daily NSE Equity Cash'!$A:$A,$A1136)=0,"",SUMIFS('Daily NSE Equity Cash'!$H:$H,'Daily NSE Equity Cash'!$A:$A,$A1136))</f>
        <v>1147.2574</v>
      </c>
      <c r="F1136" s="4">
        <f>IF(SUMIFS('Daily BSE Equity Cash'!$H:$H,'Daily BSE Equity Cash'!$A:$A,$A1136)=0,"",SUMIFS('Daily BSE Equity Cash'!$H:$H,'Daily BSE Equity Cash'!$A:$A,$A1136))</f>
        <v>75.126199999999997</v>
      </c>
      <c r="G1136" s="4">
        <f t="shared" si="153"/>
        <v>1222.3835999999999</v>
      </c>
      <c r="H1136" s="7">
        <f t="shared" si="154"/>
        <v>0.68574778319535179</v>
      </c>
      <c r="I1136" s="7">
        <f t="shared" si="155"/>
        <v>0.73447539450748622</v>
      </c>
      <c r="J1136" s="7">
        <f t="shared" si="156"/>
        <v>0.68866342375576806</v>
      </c>
      <c r="K1136" s="7">
        <f t="shared" si="159"/>
        <v>0.18649846368960632</v>
      </c>
      <c r="L1136" s="7">
        <f t="shared" si="160"/>
        <v>0.51674806333798351</v>
      </c>
      <c r="M1136" s="7">
        <f t="shared" si="161"/>
        <v>0.20259123322446815</v>
      </c>
      <c r="N1136" s="7">
        <f t="shared" si="157"/>
        <v>0.93854122388422101</v>
      </c>
      <c r="O1136" s="7">
        <f t="shared" si="158"/>
        <v>6.1458776115779046E-2</v>
      </c>
    </row>
    <row r="1137" spans="1:15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4">
        <f>IF(SUMIFS('Daily NSE Equity Cash'!$H:$H,'Daily NSE Equity Cash'!$A:$A,$A1137)=0,"",SUMIFS('Daily NSE Equity Cash'!$H:$H,'Daily NSE Equity Cash'!$A:$A,$A1137))</f>
        <v>1049.8009</v>
      </c>
      <c r="F1137" s="4">
        <f>IF(SUMIFS('Daily BSE Equity Cash'!$H:$H,'Daily BSE Equity Cash'!$A:$A,$A1137)=0,"",SUMIFS('Daily BSE Equity Cash'!$H:$H,'Daily BSE Equity Cash'!$A:$A,$A1137))</f>
        <v>74.444800000000001</v>
      </c>
      <c r="G1137" s="4">
        <f t="shared" si="153"/>
        <v>1124.2456999999999</v>
      </c>
      <c r="H1137" s="7" t="str">
        <f t="shared" si="154"/>
        <v/>
      </c>
      <c r="I1137" s="7" t="str">
        <f t="shared" si="155"/>
        <v/>
      </c>
      <c r="J1137" s="7" t="str">
        <f t="shared" si="156"/>
        <v/>
      </c>
      <c r="K1137" s="7">
        <f t="shared" si="159"/>
        <v>-8.494737100845895E-2</v>
      </c>
      <c r="L1137" s="7">
        <f t="shared" si="160"/>
        <v>-9.0700714264796423E-3</v>
      </c>
      <c r="M1137" s="7">
        <f t="shared" si="161"/>
        <v>-8.0284045041180141E-2</v>
      </c>
      <c r="N1137" s="7">
        <f t="shared" si="157"/>
        <v>0.93378244631044616</v>
      </c>
      <c r="O1137" s="7">
        <f t="shared" si="158"/>
        <v>6.6217553689553815E-2</v>
      </c>
    </row>
    <row r="1138" spans="1:15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4">
        <f>IF(SUMIFS('Daily NSE Equity Cash'!$H:$H,'Daily NSE Equity Cash'!$A:$A,$A1138)=0,"",SUMIFS('Daily NSE Equity Cash'!$H:$H,'Daily NSE Equity Cash'!$A:$A,$A1138))</f>
        <v>1039.5251000000001</v>
      </c>
      <c r="F1138" s="4">
        <f>IF(SUMIFS('Daily BSE Equity Cash'!$H:$H,'Daily BSE Equity Cash'!$A:$A,$A1138)=0,"",SUMIFS('Daily BSE Equity Cash'!$H:$H,'Daily BSE Equity Cash'!$A:$A,$A1138))</f>
        <v>60.615499999999997</v>
      </c>
      <c r="G1138" s="4">
        <f t="shared" si="153"/>
        <v>1100.1406000000002</v>
      </c>
      <c r="H1138" s="7" t="str">
        <f t="shared" si="154"/>
        <v/>
      </c>
      <c r="I1138" s="7" t="str">
        <f t="shared" si="155"/>
        <v/>
      </c>
      <c r="J1138" s="7" t="str">
        <f t="shared" si="156"/>
        <v/>
      </c>
      <c r="K1138" s="7">
        <f t="shared" si="159"/>
        <v>-9.788332244714093E-3</v>
      </c>
      <c r="L1138" s="7">
        <f t="shared" si="160"/>
        <v>-0.18576582917812934</v>
      </c>
      <c r="M1138" s="7">
        <f t="shared" si="161"/>
        <v>-2.1441131596055762E-2</v>
      </c>
      <c r="N1138" s="7">
        <f t="shared" si="157"/>
        <v>0.94490204252074683</v>
      </c>
      <c r="O1138" s="7">
        <f t="shared" si="158"/>
        <v>5.5097957479253099E-2</v>
      </c>
    </row>
    <row r="1139" spans="1:15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4">
        <f>IF(SUMIFS('Daily NSE Equity Cash'!$H:$H,'Daily NSE Equity Cash'!$A:$A,$A1139)=0,"",SUMIFS('Daily NSE Equity Cash'!$H:$H,'Daily NSE Equity Cash'!$A:$A,$A1139))</f>
        <v>1014.6673</v>
      </c>
      <c r="F1139" s="4">
        <f>IF(SUMIFS('Daily BSE Equity Cash'!$H:$H,'Daily BSE Equity Cash'!$A:$A,$A1139)=0,"",SUMIFS('Daily BSE Equity Cash'!$H:$H,'Daily BSE Equity Cash'!$A:$A,$A1139))</f>
        <v>87.597800000000007</v>
      </c>
      <c r="G1139" s="4">
        <f t="shared" si="153"/>
        <v>1102.2651000000001</v>
      </c>
      <c r="H1139" s="7">
        <f t="shared" si="154"/>
        <v>0.74973348770525594</v>
      </c>
      <c r="I1139" s="7">
        <f t="shared" si="155"/>
        <v>1.2821376559565034</v>
      </c>
      <c r="J1139" s="7">
        <f t="shared" si="156"/>
        <v>0.78278611566269984</v>
      </c>
      <c r="K1139" s="7">
        <f t="shared" si="159"/>
        <v>-2.3912650113018019E-2</v>
      </c>
      <c r="L1139" s="7">
        <f t="shared" si="160"/>
        <v>0.44513861965998802</v>
      </c>
      <c r="M1139" s="7">
        <f t="shared" si="161"/>
        <v>1.9311168045246241E-3</v>
      </c>
      <c r="N1139" s="7">
        <f t="shared" si="157"/>
        <v>0.92052928102323106</v>
      </c>
      <c r="O1139" s="7">
        <f t="shared" si="158"/>
        <v>7.9470718976768842E-2</v>
      </c>
    </row>
    <row r="1140" spans="1:15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4">
        <f>IF(SUMIFS('Daily NSE Equity Cash'!$H:$H,'Daily NSE Equity Cash'!$A:$A,$A1140)=0,"",SUMIFS('Daily NSE Equity Cash'!$H:$H,'Daily NSE Equity Cash'!$A:$A,$A1140))</f>
        <v>1004.8398</v>
      </c>
      <c r="F1140" s="4">
        <f>IF(SUMIFS('Daily BSE Equity Cash'!$H:$H,'Daily BSE Equity Cash'!$A:$A,$A1140)=0,"",SUMIFS('Daily BSE Equity Cash'!$H:$H,'Daily BSE Equity Cash'!$A:$A,$A1140))</f>
        <v>60.390999999999998</v>
      </c>
      <c r="G1140" s="4">
        <f t="shared" si="153"/>
        <v>1065.2308</v>
      </c>
      <c r="H1140" s="7">
        <f t="shared" si="154"/>
        <v>0.65348162738404647</v>
      </c>
      <c r="I1140" s="7">
        <f t="shared" si="155"/>
        <v>0.19595848375808722</v>
      </c>
      <c r="J1140" s="7">
        <f t="shared" si="156"/>
        <v>0.61838168334175525</v>
      </c>
      <c r="K1140" s="7">
        <f t="shared" si="159"/>
        <v>-9.6854407351060212E-3</v>
      </c>
      <c r="L1140" s="7">
        <f t="shared" si="160"/>
        <v>-0.31058770882373765</v>
      </c>
      <c r="M1140" s="7">
        <f t="shared" si="161"/>
        <v>-3.359836032185004E-2</v>
      </c>
      <c r="N1140" s="7">
        <f t="shared" si="157"/>
        <v>0.94330712179933207</v>
      </c>
      <c r="O1140" s="7">
        <f t="shared" si="158"/>
        <v>5.6692878200667873E-2</v>
      </c>
    </row>
    <row r="1141" spans="1:15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4">
        <f>IF(SUMIFS('Daily NSE Equity Cash'!$H:$H,'Daily NSE Equity Cash'!$A:$A,$A1141)=0,"",SUMIFS('Daily NSE Equity Cash'!$H:$H,'Daily NSE Equity Cash'!$A:$A,$A1141))</f>
        <v>182.24979999999999</v>
      </c>
      <c r="F1141" s="4">
        <f>IF(SUMIFS('Daily BSE Equity Cash'!$H:$H,'Daily BSE Equity Cash'!$A:$A,$A1141)=0,"",SUMIFS('Daily BSE Equity Cash'!$H:$H,'Daily BSE Equity Cash'!$A:$A,$A1141))</f>
        <v>20.730499999999999</v>
      </c>
      <c r="G1141" s="4">
        <f t="shared" si="153"/>
        <v>202.9803</v>
      </c>
      <c r="H1141" s="7">
        <f t="shared" si="154"/>
        <v>-0.69628353966632983</v>
      </c>
      <c r="I1141" s="7">
        <f t="shared" si="155"/>
        <v>-0.47882936787272989</v>
      </c>
      <c r="J1141" s="7">
        <f t="shared" si="156"/>
        <v>-0.68276516217118466</v>
      </c>
      <c r="K1141" s="7">
        <f t="shared" si="159"/>
        <v>-0.81862800418534376</v>
      </c>
      <c r="L1141" s="7">
        <f t="shared" si="160"/>
        <v>-0.65672865162027461</v>
      </c>
      <c r="M1141" s="7">
        <f t="shared" si="161"/>
        <v>-0.80944946390960526</v>
      </c>
      <c r="N1141" s="7">
        <f t="shared" si="157"/>
        <v>0.89786939914858732</v>
      </c>
      <c r="O1141" s="7">
        <f t="shared" si="158"/>
        <v>0.10213060085141266</v>
      </c>
    </row>
    <row r="1142" spans="1:15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4">
        <f>IF(SUMIFS('Daily NSE Equity Cash'!$H:$H,'Daily NSE Equity Cash'!$A:$A,$A1142)=0,"",SUMIFS('Daily NSE Equity Cash'!$H:$H,'Daily NSE Equity Cash'!$A:$A,$A1142))</f>
        <v>981.71709999999996</v>
      </c>
      <c r="F1142" s="4">
        <f>IF(SUMIFS('Daily BSE Equity Cash'!$H:$H,'Daily BSE Equity Cash'!$A:$A,$A1142)=0,"",SUMIFS('Daily BSE Equity Cash'!$H:$H,'Daily BSE Equity Cash'!$A:$A,$A1142))</f>
        <v>61.443899999999999</v>
      </c>
      <c r="G1142" s="4">
        <f t="shared" si="153"/>
        <v>1043.1610000000001</v>
      </c>
      <c r="H1142" s="7" t="str">
        <f t="shared" si="154"/>
        <v/>
      </c>
      <c r="I1142" s="7" t="str">
        <f t="shared" si="155"/>
        <v/>
      </c>
      <c r="J1142" s="7" t="str">
        <f t="shared" si="156"/>
        <v/>
      </c>
      <c r="K1142" s="7">
        <f t="shared" si="159"/>
        <v>4.3866566657411967</v>
      </c>
      <c r="L1142" s="7">
        <f t="shared" si="160"/>
        <v>1.9639371939895325</v>
      </c>
      <c r="M1142" s="7">
        <f t="shared" si="161"/>
        <v>4.1392228703967824</v>
      </c>
      <c r="N1142" s="7">
        <f t="shared" si="157"/>
        <v>0.94109835394536401</v>
      </c>
      <c r="O1142" s="7">
        <f t="shared" si="158"/>
        <v>5.890164605463586E-2</v>
      </c>
    </row>
    <row r="1143" spans="1:15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4">
        <f>IF(SUMIFS('Daily NSE Equity Cash'!$H:$H,'Daily NSE Equity Cash'!$A:$A,$A1143)=0,"",SUMIFS('Daily NSE Equity Cash'!$H:$H,'Daily NSE Equity Cash'!$A:$A,$A1143))</f>
        <v>999.25819999999999</v>
      </c>
      <c r="F1143" s="4">
        <f>IF(SUMIFS('Daily BSE Equity Cash'!$H:$H,'Daily BSE Equity Cash'!$A:$A,$A1143)=0,"",SUMIFS('Daily BSE Equity Cash'!$H:$H,'Daily BSE Equity Cash'!$A:$A,$A1143))</f>
        <v>59.478999999999999</v>
      </c>
      <c r="G1143" s="4">
        <f t="shared" si="153"/>
        <v>1058.7372</v>
      </c>
      <c r="H1143" s="7" t="str">
        <f t="shared" si="154"/>
        <v/>
      </c>
      <c r="I1143" s="7" t="str">
        <f t="shared" si="155"/>
        <v/>
      </c>
      <c r="J1143" s="7" t="str">
        <f t="shared" si="156"/>
        <v/>
      </c>
      <c r="K1143" s="7">
        <f t="shared" si="159"/>
        <v>1.7867774738771436E-2</v>
      </c>
      <c r="L1143" s="7">
        <f t="shared" si="160"/>
        <v>-3.1978764368798207E-2</v>
      </c>
      <c r="M1143" s="7">
        <f t="shared" si="161"/>
        <v>1.4931731535208881E-2</v>
      </c>
      <c r="N1143" s="7">
        <f t="shared" si="157"/>
        <v>0.94382080841213467</v>
      </c>
      <c r="O1143" s="7">
        <f t="shared" si="158"/>
        <v>5.6179191587865239E-2</v>
      </c>
    </row>
    <row r="1144" spans="1:15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4">
        <f>IF(SUMIFS('Daily NSE Equity Cash'!$H:$H,'Daily NSE Equity Cash'!$A:$A,$A1144)=0,"",SUMIFS('Daily NSE Equity Cash'!$H:$H,'Daily NSE Equity Cash'!$A:$A,$A1144))</f>
        <v>1154.2219</v>
      </c>
      <c r="F1144" s="4">
        <f>IF(SUMIFS('Daily BSE Equity Cash'!$H:$H,'Daily BSE Equity Cash'!$A:$A,$A1144)=0,"",SUMIFS('Daily BSE Equity Cash'!$H:$H,'Daily BSE Equity Cash'!$A:$A,$A1144))</f>
        <v>87.9739</v>
      </c>
      <c r="G1144" s="4">
        <f t="shared" si="153"/>
        <v>1242.1958</v>
      </c>
      <c r="H1144" s="7">
        <f t="shared" si="154"/>
        <v>0.74458093594039099</v>
      </c>
      <c r="I1144" s="7">
        <f t="shared" si="155"/>
        <v>0.73803070114783575</v>
      </c>
      <c r="J1144" s="7">
        <f t="shared" si="156"/>
        <v>0.74411541584488305</v>
      </c>
      <c r="K1144" s="7">
        <f t="shared" si="159"/>
        <v>0.15507873740740874</v>
      </c>
      <c r="L1144" s="7">
        <f t="shared" si="160"/>
        <v>0.47907496763563606</v>
      </c>
      <c r="M1144" s="7">
        <f t="shared" si="161"/>
        <v>0.17328058369914645</v>
      </c>
      <c r="N1144" s="7">
        <f t="shared" si="157"/>
        <v>0.92917871723604284</v>
      </c>
      <c r="O1144" s="7">
        <f t="shared" si="158"/>
        <v>7.0821282763957188E-2</v>
      </c>
    </row>
    <row r="1145" spans="1:15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4">
        <f>IF(SUMIFS('Daily NSE Equity Cash'!$H:$H,'Daily NSE Equity Cash'!$A:$A,$A1145)=0,"",SUMIFS('Daily NSE Equity Cash'!$H:$H,'Daily NSE Equity Cash'!$A:$A,$A1145))</f>
        <v>1013.1119</v>
      </c>
      <c r="F1145" s="4">
        <f>IF(SUMIFS('Daily BSE Equity Cash'!$H:$H,'Daily BSE Equity Cash'!$A:$A,$A1145)=0,"",SUMIFS('Daily BSE Equity Cash'!$H:$H,'Daily BSE Equity Cash'!$A:$A,$A1145))</f>
        <v>64.745699999999999</v>
      </c>
      <c r="G1145" s="4">
        <f t="shared" si="153"/>
        <v>1077.8576</v>
      </c>
      <c r="H1145" s="7">
        <f t="shared" si="154"/>
        <v>0.43907654160915022</v>
      </c>
      <c r="I1145" s="7">
        <f t="shared" si="155"/>
        <v>0.24564620144062044</v>
      </c>
      <c r="J1145" s="7">
        <f t="shared" si="156"/>
        <v>0.42577717105898438</v>
      </c>
      <c r="K1145" s="7">
        <f t="shared" si="159"/>
        <v>-0.1222555212303631</v>
      </c>
      <c r="L1145" s="7">
        <f t="shared" si="160"/>
        <v>-0.26403512860064182</v>
      </c>
      <c r="M1145" s="7">
        <f t="shared" si="161"/>
        <v>-0.13229653489409632</v>
      </c>
      <c r="N1145" s="7">
        <f t="shared" si="157"/>
        <v>0.93993111891589387</v>
      </c>
      <c r="O1145" s="7">
        <f t="shared" si="158"/>
        <v>6.0068881084106095E-2</v>
      </c>
    </row>
    <row r="1146" spans="1:15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4">
        <f>IF(SUMIFS('Daily NSE Equity Cash'!$H:$H,'Daily NSE Equity Cash'!$A:$A,$A1146)=0,"",SUMIFS('Daily NSE Equity Cash'!$H:$H,'Daily NSE Equity Cash'!$A:$A,$A1146))</f>
        <v>1000.4317</v>
      </c>
      <c r="F1146" s="4">
        <f>IF(SUMIFS('Daily BSE Equity Cash'!$H:$H,'Daily BSE Equity Cash'!$A:$A,$A1146)=0,"",SUMIFS('Daily BSE Equity Cash'!$H:$H,'Daily BSE Equity Cash'!$A:$A,$A1146))</f>
        <v>60.694800000000001</v>
      </c>
      <c r="G1146" s="4">
        <f t="shared" si="153"/>
        <v>1061.1265000000001</v>
      </c>
      <c r="H1146" s="7">
        <f t="shared" si="154"/>
        <v>0.49653678792409073</v>
      </c>
      <c r="I1146" s="7">
        <f t="shared" si="155"/>
        <v>0.23549995216353148</v>
      </c>
      <c r="J1146" s="7">
        <f t="shared" si="156"/>
        <v>0.47866722889269542</v>
      </c>
      <c r="K1146" s="7">
        <f t="shared" si="159"/>
        <v>-1.2516090275911274E-2</v>
      </c>
      <c r="L1146" s="7">
        <f t="shared" si="160"/>
        <v>-6.2566317145385741E-2</v>
      </c>
      <c r="M1146" s="7">
        <f t="shared" si="161"/>
        <v>-1.5522551401966234E-2</v>
      </c>
      <c r="N1146" s="7">
        <f t="shared" si="157"/>
        <v>0.94280154156926621</v>
      </c>
      <c r="O1146" s="7">
        <f t="shared" si="158"/>
        <v>5.7198458430733748E-2</v>
      </c>
    </row>
    <row r="1147" spans="1:15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4">
        <f>IF(SUMIFS('Daily NSE Equity Cash'!$H:$H,'Daily NSE Equity Cash'!$A:$A,$A1147)=0,"",SUMIFS('Daily NSE Equity Cash'!$H:$H,'Daily NSE Equity Cash'!$A:$A,$A1147))</f>
        <v>910.97720000000004</v>
      </c>
      <c r="F1147" s="4">
        <f>IF(SUMIFS('Daily BSE Equity Cash'!$H:$H,'Daily BSE Equity Cash'!$A:$A,$A1147)=0,"",SUMIFS('Daily BSE Equity Cash'!$H:$H,'Daily BSE Equity Cash'!$A:$A,$A1147))</f>
        <v>68.386200000000002</v>
      </c>
      <c r="G1147" s="4">
        <f t="shared" si="153"/>
        <v>979.36340000000007</v>
      </c>
      <c r="H1147" s="7" t="str">
        <f t="shared" si="154"/>
        <v/>
      </c>
      <c r="I1147" s="7" t="str">
        <f t="shared" si="155"/>
        <v/>
      </c>
      <c r="J1147" s="7" t="str">
        <f t="shared" si="156"/>
        <v/>
      </c>
      <c r="K1147" s="7">
        <f t="shared" si="159"/>
        <v>-8.9415899156334189E-2</v>
      </c>
      <c r="L1147" s="7">
        <f t="shared" si="160"/>
        <v>0.12672255283813438</v>
      </c>
      <c r="M1147" s="7">
        <f t="shared" si="161"/>
        <v>-7.7053112894645448E-2</v>
      </c>
      <c r="N1147" s="7">
        <f t="shared" si="157"/>
        <v>0.93017280408886016</v>
      </c>
      <c r="O1147" s="7">
        <f t="shared" si="158"/>
        <v>6.9827195911139825E-2</v>
      </c>
    </row>
    <row r="1148" spans="1:15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4">
        <f>IF(SUMIFS('Daily NSE Equity Cash'!$H:$H,'Daily NSE Equity Cash'!$A:$A,$A1148)=0,"",SUMIFS('Daily NSE Equity Cash'!$H:$H,'Daily NSE Equity Cash'!$A:$A,$A1148))</f>
        <v>902.44389999999999</v>
      </c>
      <c r="F1148" s="4">
        <f>IF(SUMIFS('Daily BSE Equity Cash'!$H:$H,'Daily BSE Equity Cash'!$A:$A,$A1148)=0,"",SUMIFS('Daily BSE Equity Cash'!$H:$H,'Daily BSE Equity Cash'!$A:$A,$A1148))</f>
        <v>55.351700000000001</v>
      </c>
      <c r="G1148" s="4">
        <f t="shared" si="153"/>
        <v>957.79560000000004</v>
      </c>
      <c r="H1148" s="7">
        <f t="shared" si="154"/>
        <v>5.404262913996579</v>
      </c>
      <c r="I1148" s="7">
        <f t="shared" si="155"/>
        <v>2.3283644913200607</v>
      </c>
      <c r="J1148" s="7">
        <f t="shared" si="156"/>
        <v>5.0795705053785207</v>
      </c>
      <c r="K1148" s="7">
        <f t="shared" si="159"/>
        <v>-9.3671938221945306E-3</v>
      </c>
      <c r="L1148" s="7">
        <f t="shared" si="160"/>
        <v>-0.19060132014938691</v>
      </c>
      <c r="M1148" s="7">
        <f t="shared" si="161"/>
        <v>-2.2022264667027613E-2</v>
      </c>
      <c r="N1148" s="7">
        <f t="shared" si="157"/>
        <v>0.94220927721948189</v>
      </c>
      <c r="O1148" s="7">
        <f t="shared" si="158"/>
        <v>5.7790722780518097E-2</v>
      </c>
    </row>
    <row r="1149" spans="1:15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4">
        <f>IF(SUMIFS('Daily NSE Equity Cash'!$H:$H,'Daily NSE Equity Cash'!$A:$A,$A1149)=0,"",SUMIFS('Daily NSE Equity Cash'!$H:$H,'Daily NSE Equity Cash'!$A:$A,$A1149))</f>
        <v>1015.3612000000001</v>
      </c>
      <c r="F1149" s="4">
        <f>IF(SUMIFS('Daily BSE Equity Cash'!$H:$H,'Daily BSE Equity Cash'!$A:$A,$A1149)=0,"",SUMIFS('Daily BSE Equity Cash'!$H:$H,'Daily BSE Equity Cash'!$A:$A,$A1149))</f>
        <v>68.893699999999995</v>
      </c>
      <c r="G1149" s="4">
        <f t="shared" si="153"/>
        <v>1084.2549000000001</v>
      </c>
      <c r="H1149" s="7">
        <f t="shared" si="154"/>
        <v>0.69752533679293549</v>
      </c>
      <c r="I1149" s="7">
        <f t="shared" si="155"/>
        <v>0.36771190057870018</v>
      </c>
      <c r="J1149" s="7">
        <f t="shared" si="156"/>
        <v>0.67190798649526973</v>
      </c>
      <c r="K1149" s="7">
        <f t="shared" si="159"/>
        <v>0.12512389966844495</v>
      </c>
      <c r="L1149" s="7">
        <f t="shared" si="160"/>
        <v>0.24465373240568944</v>
      </c>
      <c r="M1149" s="7">
        <f t="shared" si="161"/>
        <v>0.13203161509616468</v>
      </c>
      <c r="N1149" s="7">
        <f t="shared" si="157"/>
        <v>0.93645986750901467</v>
      </c>
      <c r="O1149" s="7">
        <f t="shared" si="158"/>
        <v>6.3540132490985266E-2</v>
      </c>
    </row>
    <row r="1150" spans="1:15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4">
        <f>IF(SUMIFS('Daily NSE Equity Cash'!$H:$H,'Daily NSE Equity Cash'!$A:$A,$A1150)=0,"",SUMIFS('Daily NSE Equity Cash'!$H:$H,'Daily NSE Equity Cash'!$A:$A,$A1150))</f>
        <v>859.53110000000004</v>
      </c>
      <c r="F1150" s="4">
        <f>IF(SUMIFS('Daily BSE Equity Cash'!$H:$H,'Daily BSE Equity Cash'!$A:$A,$A1150)=0,"",SUMIFS('Daily BSE Equity Cash'!$H:$H,'Daily BSE Equity Cash'!$A:$A,$A1150))</f>
        <v>59.9343</v>
      </c>
      <c r="G1150" s="4">
        <f t="shared" si="153"/>
        <v>919.46540000000005</v>
      </c>
      <c r="H1150" s="7" t="str">
        <f t="shared" si="154"/>
        <v/>
      </c>
      <c r="I1150" s="7" t="str">
        <f t="shared" si="155"/>
        <v/>
      </c>
      <c r="J1150" s="7" t="str">
        <f t="shared" si="156"/>
        <v/>
      </c>
      <c r="K1150" s="7">
        <f t="shared" si="159"/>
        <v>-0.15347257704942829</v>
      </c>
      <c r="L1150" s="7">
        <f t="shared" si="160"/>
        <v>-0.1300467241562</v>
      </c>
      <c r="M1150" s="7">
        <f t="shared" si="161"/>
        <v>-0.15198409525287837</v>
      </c>
      <c r="N1150" s="7">
        <f t="shared" si="157"/>
        <v>0.93481614425077875</v>
      </c>
      <c r="O1150" s="7">
        <f t="shared" si="158"/>
        <v>6.5183855749221226E-2</v>
      </c>
    </row>
    <row r="1151" spans="1:15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4">
        <f>IF(SUMIFS('Daily NSE Equity Cash'!$H:$H,'Daily NSE Equity Cash'!$A:$A,$A1151)=0,"",SUMIFS('Daily NSE Equity Cash'!$H:$H,'Daily NSE Equity Cash'!$A:$A,$A1151))</f>
        <v>898.4221</v>
      </c>
      <c r="F1151" s="4">
        <f>IF(SUMIFS('Daily BSE Equity Cash'!$H:$H,'Daily BSE Equity Cash'!$A:$A,$A1151)=0,"",SUMIFS('Daily BSE Equity Cash'!$H:$H,'Daily BSE Equity Cash'!$A:$A,$A1151))</f>
        <v>56.195700000000002</v>
      </c>
      <c r="G1151" s="4">
        <f t="shared" si="153"/>
        <v>954.61779999999999</v>
      </c>
      <c r="H1151" s="7" t="str">
        <f t="shared" si="154"/>
        <v/>
      </c>
      <c r="I1151" s="7" t="str">
        <f t="shared" si="155"/>
        <v/>
      </c>
      <c r="J1151" s="7" t="str">
        <f t="shared" si="156"/>
        <v/>
      </c>
      <c r="K1151" s="7">
        <f t="shared" si="159"/>
        <v>4.5246763031611126E-2</v>
      </c>
      <c r="L1151" s="7">
        <f t="shared" si="160"/>
        <v>-6.2378304243146165E-2</v>
      </c>
      <c r="M1151" s="7">
        <f t="shared" si="161"/>
        <v>3.8231346171373026E-2</v>
      </c>
      <c r="N1151" s="7">
        <f t="shared" si="157"/>
        <v>0.94113277586066379</v>
      </c>
      <c r="O1151" s="7">
        <f t="shared" si="158"/>
        <v>5.8867224139336184E-2</v>
      </c>
    </row>
    <row r="1152" spans="1:15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4">
        <f>IF(SUMIFS('Daily NSE Equity Cash'!$H:$H,'Daily NSE Equity Cash'!$A:$A,$A1152)=0,"",SUMIFS('Daily NSE Equity Cash'!$H:$H,'Daily NSE Equity Cash'!$A:$A,$A1152))</f>
        <v>922.73389999999995</v>
      </c>
      <c r="F1152" s="4">
        <f>IF(SUMIFS('Daily BSE Equity Cash'!$H:$H,'Daily BSE Equity Cash'!$A:$A,$A1152)=0,"",SUMIFS('Daily BSE Equity Cash'!$H:$H,'Daily BSE Equity Cash'!$A:$A,$A1152))</f>
        <v>59.506399999999999</v>
      </c>
      <c r="G1152" s="4">
        <f t="shared" si="153"/>
        <v>982.24029999999993</v>
      </c>
      <c r="H1152" s="7" t="str">
        <f t="shared" si="154"/>
        <v/>
      </c>
      <c r="I1152" s="7" t="str">
        <f t="shared" si="155"/>
        <v/>
      </c>
      <c r="J1152" s="7" t="str">
        <f t="shared" si="156"/>
        <v/>
      </c>
      <c r="K1152" s="7">
        <f t="shared" si="159"/>
        <v>2.7060554276213677E-2</v>
      </c>
      <c r="L1152" s="7">
        <f t="shared" si="160"/>
        <v>5.891376030550366E-2</v>
      </c>
      <c r="M1152" s="7">
        <f t="shared" si="161"/>
        <v>2.8935664095096403E-2</v>
      </c>
      <c r="N1152" s="7">
        <f t="shared" si="157"/>
        <v>0.93941767610227356</v>
      </c>
      <c r="O1152" s="7">
        <f t="shared" si="158"/>
        <v>6.0582323897726456E-2</v>
      </c>
    </row>
    <row r="1153" spans="1:15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4">
        <f>IF(SUMIFS('Daily NSE Equity Cash'!$H:$H,'Daily NSE Equity Cash'!$A:$A,$A1153)=0,"",SUMIFS('Daily NSE Equity Cash'!$H:$H,'Daily NSE Equity Cash'!$A:$A,$A1153))</f>
        <v>1107.7962</v>
      </c>
      <c r="F1153" s="4">
        <f>IF(SUMIFS('Daily BSE Equity Cash'!$H:$H,'Daily BSE Equity Cash'!$A:$A,$A1153)=0,"",SUMIFS('Daily BSE Equity Cash'!$H:$H,'Daily BSE Equity Cash'!$A:$A,$A1153))</f>
        <v>60.610999999999997</v>
      </c>
      <c r="G1153" s="4">
        <f t="shared" si="153"/>
        <v>1168.4072000000001</v>
      </c>
      <c r="H1153" s="7">
        <f t="shared" si="154"/>
        <v>0.62418337882030062</v>
      </c>
      <c r="I1153" s="7">
        <f t="shared" si="155"/>
        <v>0.24671408531242411</v>
      </c>
      <c r="J1153" s="7">
        <f t="shared" si="156"/>
        <v>0.5990680463310829</v>
      </c>
      <c r="K1153" s="7">
        <f t="shared" si="159"/>
        <v>0.2005586876129728</v>
      </c>
      <c r="L1153" s="7">
        <f t="shared" si="160"/>
        <v>1.8562709221193074E-2</v>
      </c>
      <c r="M1153" s="7">
        <f t="shared" si="161"/>
        <v>0.18953294830195855</v>
      </c>
      <c r="N1153" s="7">
        <f t="shared" si="157"/>
        <v>0.9481251056994513</v>
      </c>
      <c r="O1153" s="7">
        <f t="shared" si="158"/>
        <v>5.1874894300548639E-2</v>
      </c>
    </row>
    <row r="1154" spans="1:15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4">
        <f>IF(SUMIFS('Daily NSE Equity Cash'!$H:$H,'Daily NSE Equity Cash'!$A:$A,$A1154)=0,"",SUMIFS('Daily NSE Equity Cash'!$H:$H,'Daily NSE Equity Cash'!$A:$A,$A1154))</f>
        <v>1015.2518</v>
      </c>
      <c r="F1154" s="4">
        <f>IF(SUMIFS('Daily BSE Equity Cash'!$H:$H,'Daily BSE Equity Cash'!$A:$A,$A1154)=0,"",SUMIFS('Daily BSE Equity Cash'!$H:$H,'Daily BSE Equity Cash'!$A:$A,$A1154))</f>
        <v>70.299700000000001</v>
      </c>
      <c r="G1154" s="4">
        <f t="shared" ref="G1154:G1217" si="162">IF(OR(E1154="",F1154=""),"",E1154+F1154)</f>
        <v>1085.5515</v>
      </c>
      <c r="H1154" s="7">
        <f t="shared" ref="H1154:H1217" si="163">IFERROR(IF(OR(E1154="",INDEX(E:E,MATCH(DATE(YEAR($A1154)-1,MONTH($A1154),DAY($A1154)),$A:$A,0))=""),"",E1154/INDEX(E:E,MATCH(DATE(YEAR($A1154)-1,MONTH($A1154),DAY($A1154)),$A:$A,0))-1),"")</f>
        <v>0.56715145239680753</v>
      </c>
      <c r="I1154" s="7">
        <f t="shared" ref="I1154:I1217" si="164">IFERROR(IF(OR(F1154="",INDEX(F:F,MATCH(DATE(YEAR($A1154)-1,MONTH($A1154),DAY($A1154)),$A:$A,0))=""),"",F1154/INDEX(F:F,MATCH(DATE(YEAR($A1154)-1,MONTH($A1154),DAY($A1154)),$A:$A,0))-1),"")</f>
        <v>0.54036293998036755</v>
      </c>
      <c r="J1154" s="7">
        <f t="shared" ref="J1154:J1217" si="165">IFERROR(IF(OR(G1154="",INDEX(G:G,MATCH(DATE(YEAR($A1154)-1,MONTH($A1154),DAY($A1154)),$A:$A,0))=""),"",G1154/INDEX(G:G,MATCH(DATE(YEAR($A1154)-1,MONTH($A1154),DAY($A1154)),$A:$A,0))-1),"")</f>
        <v>0.56538845892618439</v>
      </c>
      <c r="K1154" s="7">
        <f t="shared" si="159"/>
        <v>-8.353919249768138E-2</v>
      </c>
      <c r="L1154" s="7">
        <f t="shared" si="160"/>
        <v>0.15985052218244222</v>
      </c>
      <c r="M1154" s="7">
        <f t="shared" si="161"/>
        <v>-7.0913376774809356E-2</v>
      </c>
      <c r="N1154" s="7">
        <f t="shared" ref="N1154:N1217" si="166">IF(G1154="","",E1154/G1154)</f>
        <v>0.93524056666127764</v>
      </c>
      <c r="O1154" s="7">
        <f t="shared" ref="O1154:O1217" si="167">IF(G1154="","",F1154/G1154)</f>
        <v>6.4759433338722305E-2</v>
      </c>
    </row>
    <row r="1155" spans="1:15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4">
        <f>IF(SUMIFS('Daily NSE Equity Cash'!$H:$H,'Daily NSE Equity Cash'!$A:$A,$A1155)=0,"",SUMIFS('Daily NSE Equity Cash'!$H:$H,'Daily NSE Equity Cash'!$A:$A,$A1155))</f>
        <v>1996.6396</v>
      </c>
      <c r="F1155" s="4">
        <f>IF(SUMIFS('Daily BSE Equity Cash'!$H:$H,'Daily BSE Equity Cash'!$A:$A,$A1155)=0,"",SUMIFS('Daily BSE Equity Cash'!$H:$H,'Daily BSE Equity Cash'!$A:$A,$A1155))</f>
        <v>75.040499999999994</v>
      </c>
      <c r="G1155" s="4">
        <f t="shared" si="162"/>
        <v>2071.6801</v>
      </c>
      <c r="H1155" s="7" t="str">
        <f t="shared" si="163"/>
        <v/>
      </c>
      <c r="I1155" s="7" t="str">
        <f t="shared" si="164"/>
        <v/>
      </c>
      <c r="J1155" s="7" t="str">
        <f t="shared" si="165"/>
        <v/>
      </c>
      <c r="K1155" s="7">
        <f t="shared" ref="K1155:K1218" si="168">IF(OR(E1155="",E1154=""),"",E1155/E1154-1)</f>
        <v>0.96664472793842871</v>
      </c>
      <c r="L1155" s="7">
        <f t="shared" ref="L1155:L1218" si="169">IF(OR(F1155="",F1154=""),"",F1155/F1154-1)</f>
        <v>6.7436987640060897E-2</v>
      </c>
      <c r="M1155" s="7">
        <f t="shared" ref="M1155:M1218" si="170">IF(OR(G1155="",G1154=""),"",G1155/G1154-1)</f>
        <v>0.9084125442229134</v>
      </c>
      <c r="N1155" s="7">
        <f t="shared" si="166"/>
        <v>0.96377795008022715</v>
      </c>
      <c r="O1155" s="7">
        <f t="shared" si="167"/>
        <v>3.622204991977284E-2</v>
      </c>
    </row>
    <row r="1156" spans="1:15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4">
        <f>IF(SUMIFS('Daily NSE Equity Cash'!$H:$H,'Daily NSE Equity Cash'!$A:$A,$A1156)=0,"",SUMIFS('Daily NSE Equity Cash'!$H:$H,'Daily NSE Equity Cash'!$A:$A,$A1156))</f>
        <v>875.10299999999995</v>
      </c>
      <c r="F1156" s="4">
        <f>IF(SUMIFS('Daily BSE Equity Cash'!$H:$H,'Daily BSE Equity Cash'!$A:$A,$A1156)=0,"",SUMIFS('Daily BSE Equity Cash'!$H:$H,'Daily BSE Equity Cash'!$A:$A,$A1156))</f>
        <v>59.174100000000003</v>
      </c>
      <c r="G1156" s="4">
        <f t="shared" si="162"/>
        <v>934.2770999999999</v>
      </c>
      <c r="H1156" s="7" t="str">
        <f t="shared" si="163"/>
        <v/>
      </c>
      <c r="I1156" s="7" t="str">
        <f t="shared" si="164"/>
        <v/>
      </c>
      <c r="J1156" s="7" t="str">
        <f t="shared" si="165"/>
        <v/>
      </c>
      <c r="K1156" s="7">
        <f t="shared" si="168"/>
        <v>-0.56171208865135203</v>
      </c>
      <c r="L1156" s="7">
        <f t="shared" si="169"/>
        <v>-0.2114378235752693</v>
      </c>
      <c r="M1156" s="7">
        <f t="shared" si="170"/>
        <v>-0.54902443673615442</v>
      </c>
      <c r="N1156" s="7">
        <f t="shared" si="166"/>
        <v>0.93666322336274754</v>
      </c>
      <c r="O1156" s="7">
        <f t="shared" si="167"/>
        <v>6.3336776637252484E-2</v>
      </c>
    </row>
    <row r="1157" spans="1:15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4">
        <f>IF(SUMIFS('Daily NSE Equity Cash'!$H:$H,'Daily NSE Equity Cash'!$A:$A,$A1157)=0,"",SUMIFS('Daily NSE Equity Cash'!$H:$H,'Daily NSE Equity Cash'!$A:$A,$A1157))</f>
        <v>1073.3216</v>
      </c>
      <c r="F1157" s="4">
        <f>IF(SUMIFS('Daily BSE Equity Cash'!$H:$H,'Daily BSE Equity Cash'!$A:$A,$A1157)=0,"",SUMIFS('Daily BSE Equity Cash'!$H:$H,'Daily BSE Equity Cash'!$A:$A,$A1157))</f>
        <v>74.676400000000001</v>
      </c>
      <c r="G1157" s="4">
        <f t="shared" si="162"/>
        <v>1147.998</v>
      </c>
      <c r="H1157" s="7" t="str">
        <f t="shared" si="163"/>
        <v/>
      </c>
      <c r="I1157" s="7" t="str">
        <f t="shared" si="164"/>
        <v/>
      </c>
      <c r="J1157" s="7" t="str">
        <f t="shared" si="165"/>
        <v/>
      </c>
      <c r="K1157" s="7">
        <f t="shared" si="168"/>
        <v>0.22650887952618159</v>
      </c>
      <c r="L1157" s="7">
        <f t="shared" si="169"/>
        <v>0.26197779095922025</v>
      </c>
      <c r="M1157" s="7">
        <f t="shared" si="170"/>
        <v>0.22875536604718261</v>
      </c>
      <c r="N1157" s="7">
        <f t="shared" si="166"/>
        <v>0.93495075775393333</v>
      </c>
      <c r="O1157" s="7">
        <f t="shared" si="167"/>
        <v>6.5049242246066633E-2</v>
      </c>
    </row>
    <row r="1158" spans="1:15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4">
        <f>IF(SUMIFS('Daily NSE Equity Cash'!$H:$H,'Daily NSE Equity Cash'!$A:$A,$A1158)=0,"",SUMIFS('Daily NSE Equity Cash'!$H:$H,'Daily NSE Equity Cash'!$A:$A,$A1158))</f>
        <v>1168.9373000000001</v>
      </c>
      <c r="F1158" s="4">
        <f>IF(SUMIFS('Daily BSE Equity Cash'!$H:$H,'Daily BSE Equity Cash'!$A:$A,$A1158)=0,"",SUMIFS('Daily BSE Equity Cash'!$H:$H,'Daily BSE Equity Cash'!$A:$A,$A1158))</f>
        <v>72.100999999999999</v>
      </c>
      <c r="G1158" s="4">
        <f t="shared" si="162"/>
        <v>1241.0383000000002</v>
      </c>
      <c r="H1158" s="7">
        <f t="shared" si="163"/>
        <v>0.44074758720379914</v>
      </c>
      <c r="I1158" s="7">
        <f t="shared" si="164"/>
        <v>0.23267694054168642</v>
      </c>
      <c r="J1158" s="7">
        <f t="shared" si="165"/>
        <v>0.42675598810897108</v>
      </c>
      <c r="K1158" s="7">
        <f t="shared" si="168"/>
        <v>8.9083924147245419E-2</v>
      </c>
      <c r="L1158" s="7">
        <f t="shared" si="169"/>
        <v>-3.4487468597843574E-2</v>
      </c>
      <c r="M1158" s="7">
        <f t="shared" si="170"/>
        <v>8.1045698685886292E-2</v>
      </c>
      <c r="N1158" s="7">
        <f t="shared" si="166"/>
        <v>0.94190267939353678</v>
      </c>
      <c r="O1158" s="7">
        <f t="shared" si="167"/>
        <v>5.8097320606463144E-2</v>
      </c>
    </row>
    <row r="1159" spans="1:15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4">
        <f>IF(SUMIFS('Daily NSE Equity Cash'!$H:$H,'Daily NSE Equity Cash'!$A:$A,$A1159)=0,"",SUMIFS('Daily NSE Equity Cash'!$H:$H,'Daily NSE Equity Cash'!$A:$A,$A1159))</f>
        <v>1084.5877</v>
      </c>
      <c r="F1159" s="4">
        <f>IF(SUMIFS('Daily BSE Equity Cash'!$H:$H,'Daily BSE Equity Cash'!$A:$A,$A1159)=0,"",SUMIFS('Daily BSE Equity Cash'!$H:$H,'Daily BSE Equity Cash'!$A:$A,$A1159))</f>
        <v>67.411000000000001</v>
      </c>
      <c r="G1159" s="4">
        <f t="shared" si="162"/>
        <v>1151.9987000000001</v>
      </c>
      <c r="H1159" s="7">
        <f t="shared" si="163"/>
        <v>0.28335576608487445</v>
      </c>
      <c r="I1159" s="7">
        <f t="shared" si="164"/>
        <v>-0.28231427588916225</v>
      </c>
      <c r="J1159" s="7">
        <f t="shared" si="165"/>
        <v>0.2267745334950293</v>
      </c>
      <c r="K1159" s="7">
        <f t="shared" si="168"/>
        <v>-7.2159216751830901E-2</v>
      </c>
      <c r="L1159" s="7">
        <f t="shared" si="169"/>
        <v>-6.5047641502891773E-2</v>
      </c>
      <c r="M1159" s="7">
        <f t="shared" si="170"/>
        <v>-7.1746053284576394E-2</v>
      </c>
      <c r="N1159" s="7">
        <f t="shared" si="166"/>
        <v>0.94148344091013292</v>
      </c>
      <c r="O1159" s="7">
        <f t="shared" si="167"/>
        <v>5.8516559089867026E-2</v>
      </c>
    </row>
    <row r="1160" spans="1:15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4">
        <f>IF(SUMIFS('Daily NSE Equity Cash'!$H:$H,'Daily NSE Equity Cash'!$A:$A,$A1160)=0,"",SUMIFS('Daily NSE Equity Cash'!$H:$H,'Daily NSE Equity Cash'!$A:$A,$A1160))</f>
        <v>990.59849999999994</v>
      </c>
      <c r="F1160" s="4">
        <f>IF(SUMIFS('Daily BSE Equity Cash'!$H:$H,'Daily BSE Equity Cash'!$A:$A,$A1160)=0,"",SUMIFS('Daily BSE Equity Cash'!$H:$H,'Daily BSE Equity Cash'!$A:$A,$A1160))</f>
        <v>83.293300000000002</v>
      </c>
      <c r="G1160" s="4">
        <f t="shared" si="162"/>
        <v>1073.8917999999999</v>
      </c>
      <c r="H1160" s="7" t="str">
        <f t="shared" si="163"/>
        <v/>
      </c>
      <c r="I1160" s="7" t="str">
        <f t="shared" si="164"/>
        <v/>
      </c>
      <c r="J1160" s="7" t="str">
        <f t="shared" si="165"/>
        <v/>
      </c>
      <c r="K1160" s="7">
        <f t="shared" si="168"/>
        <v>-8.6658921173456083E-2</v>
      </c>
      <c r="L1160" s="7">
        <f t="shared" si="169"/>
        <v>0.23560398154603845</v>
      </c>
      <c r="M1160" s="7">
        <f t="shared" si="170"/>
        <v>-6.7801204983998886E-2</v>
      </c>
      <c r="N1160" s="7">
        <f t="shared" si="166"/>
        <v>0.92243790296191852</v>
      </c>
      <c r="O1160" s="7">
        <f t="shared" si="167"/>
        <v>7.7562097038081507E-2</v>
      </c>
    </row>
    <row r="1161" spans="1:15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4">
        <f>IF(SUMIFS('Daily NSE Equity Cash'!$H:$H,'Daily NSE Equity Cash'!$A:$A,$A1161)=0,"",SUMIFS('Daily NSE Equity Cash'!$H:$H,'Daily NSE Equity Cash'!$A:$A,$A1161))</f>
        <v>1155.6044999999999</v>
      </c>
      <c r="F1161" s="4">
        <f>IF(SUMIFS('Daily BSE Equity Cash'!$H:$H,'Daily BSE Equity Cash'!$A:$A,$A1161)=0,"",SUMIFS('Daily BSE Equity Cash'!$H:$H,'Daily BSE Equity Cash'!$A:$A,$A1161))</f>
        <v>81.735299999999995</v>
      </c>
      <c r="G1161" s="4">
        <f t="shared" si="162"/>
        <v>1237.3398</v>
      </c>
      <c r="H1161" s="7" t="str">
        <f t="shared" si="163"/>
        <v/>
      </c>
      <c r="I1161" s="7" t="str">
        <f t="shared" si="164"/>
        <v/>
      </c>
      <c r="J1161" s="7" t="str">
        <f t="shared" si="165"/>
        <v/>
      </c>
      <c r="K1161" s="7">
        <f t="shared" si="168"/>
        <v>0.16657202691100381</v>
      </c>
      <c r="L1161" s="7">
        <f t="shared" si="169"/>
        <v>-1.8704985875214519E-2</v>
      </c>
      <c r="M1161" s="7">
        <f t="shared" si="170"/>
        <v>0.15220155326635343</v>
      </c>
      <c r="N1161" s="7">
        <f t="shared" si="166"/>
        <v>0.93394272131228617</v>
      </c>
      <c r="O1161" s="7">
        <f t="shared" si="167"/>
        <v>6.6057278687713758E-2</v>
      </c>
    </row>
    <row r="1162" spans="1:15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4">
        <f>IF(SUMIFS('Daily NSE Equity Cash'!$H:$H,'Daily NSE Equity Cash'!$A:$A,$A1162)=0,"",SUMIFS('Daily NSE Equity Cash'!$H:$H,'Daily NSE Equity Cash'!$A:$A,$A1162))</f>
        <v>1193.6132</v>
      </c>
      <c r="F1162" s="4">
        <f>IF(SUMIFS('Daily BSE Equity Cash'!$H:$H,'Daily BSE Equity Cash'!$A:$A,$A1162)=0,"",SUMIFS('Daily BSE Equity Cash'!$H:$H,'Daily BSE Equity Cash'!$A:$A,$A1162))</f>
        <v>65.212100000000007</v>
      </c>
      <c r="G1162" s="4">
        <f t="shared" si="162"/>
        <v>1258.8253</v>
      </c>
      <c r="H1162" s="7">
        <f t="shared" si="163"/>
        <v>0.11718741444639513</v>
      </c>
      <c r="I1162" s="7">
        <f t="shared" si="164"/>
        <v>-0.46729495682377187</v>
      </c>
      <c r="J1162" s="7">
        <f t="shared" si="165"/>
        <v>5.7102632962330313E-2</v>
      </c>
      <c r="K1162" s="7">
        <f t="shared" si="168"/>
        <v>3.289075111770523E-2</v>
      </c>
      <c r="L1162" s="7">
        <f t="shared" si="169"/>
        <v>-0.20215500524253283</v>
      </c>
      <c r="M1162" s="7">
        <f t="shared" si="170"/>
        <v>1.7364268085452439E-2</v>
      </c>
      <c r="N1162" s="7">
        <f t="shared" si="166"/>
        <v>0.94819606819151159</v>
      </c>
      <c r="O1162" s="7">
        <f t="shared" si="167"/>
        <v>5.1803931808488447E-2</v>
      </c>
    </row>
    <row r="1163" spans="1:15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4">
        <f>IF(SUMIFS('Daily NSE Equity Cash'!$H:$H,'Daily NSE Equity Cash'!$A:$A,$A1163)=0,"",SUMIFS('Daily NSE Equity Cash'!$H:$H,'Daily NSE Equity Cash'!$A:$A,$A1163))</f>
        <v>1327.6085</v>
      </c>
      <c r="F1163" s="4">
        <f>IF(SUMIFS('Daily BSE Equity Cash'!$H:$H,'Daily BSE Equity Cash'!$A:$A,$A1163)=0,"",SUMIFS('Daily BSE Equity Cash'!$H:$H,'Daily BSE Equity Cash'!$A:$A,$A1163))</f>
        <v>69.097499999999997</v>
      </c>
      <c r="G1163" s="4">
        <f t="shared" si="162"/>
        <v>1396.7060000000001</v>
      </c>
      <c r="H1163" s="7">
        <f t="shared" si="163"/>
        <v>0.10706656007452886</v>
      </c>
      <c r="I1163" s="7">
        <f t="shared" si="164"/>
        <v>-0.26080193589177147</v>
      </c>
      <c r="J1163" s="7">
        <f t="shared" si="165"/>
        <v>8.0465435929997886E-2</v>
      </c>
      <c r="K1163" s="7">
        <f t="shared" si="168"/>
        <v>0.11226023639818994</v>
      </c>
      <c r="L1163" s="7">
        <f t="shared" si="169"/>
        <v>5.9580967335816304E-2</v>
      </c>
      <c r="M1163" s="7">
        <f t="shared" si="170"/>
        <v>0.10953124313596185</v>
      </c>
      <c r="N1163" s="7">
        <f t="shared" si="166"/>
        <v>0.95052824288003335</v>
      </c>
      <c r="O1163" s="7">
        <f t="shared" si="167"/>
        <v>4.9471757119966542E-2</v>
      </c>
    </row>
    <row r="1164" spans="1:15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4">
        <f>IF(SUMIFS('Daily NSE Equity Cash'!$H:$H,'Daily NSE Equity Cash'!$A:$A,$A1164)=0,"",SUMIFS('Daily NSE Equity Cash'!$H:$H,'Daily NSE Equity Cash'!$A:$A,$A1164))</f>
        <v>1087.7908</v>
      </c>
      <c r="F1164" s="4">
        <f>IF(SUMIFS('Daily BSE Equity Cash'!$H:$H,'Daily BSE Equity Cash'!$A:$A,$A1164)=0,"",SUMIFS('Daily BSE Equity Cash'!$H:$H,'Daily BSE Equity Cash'!$A:$A,$A1164))</f>
        <v>67.450299999999999</v>
      </c>
      <c r="G1164" s="4">
        <f t="shared" si="162"/>
        <v>1155.2411</v>
      </c>
      <c r="H1164" s="7">
        <f t="shared" si="163"/>
        <v>-7.58037635614498E-2</v>
      </c>
      <c r="I1164" s="7">
        <f t="shared" si="164"/>
        <v>-0.23251111687626014</v>
      </c>
      <c r="J1164" s="7">
        <f t="shared" si="165"/>
        <v>-8.6691709017934326E-2</v>
      </c>
      <c r="K1164" s="7">
        <f t="shared" si="168"/>
        <v>-0.18063887057065398</v>
      </c>
      <c r="L1164" s="7">
        <f t="shared" si="169"/>
        <v>-2.3838778537573657E-2</v>
      </c>
      <c r="M1164" s="7">
        <f t="shared" si="170"/>
        <v>-0.17288169450120505</v>
      </c>
      <c r="N1164" s="7">
        <f t="shared" si="166"/>
        <v>0.9416136596940673</v>
      </c>
      <c r="O1164" s="7">
        <f t="shared" si="167"/>
        <v>5.8386340305932677E-2</v>
      </c>
    </row>
    <row r="1165" spans="1:15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4">
        <f>IF(SUMIFS('Daily NSE Equity Cash'!$H:$H,'Daily NSE Equity Cash'!$A:$A,$A1165)=0,"",SUMIFS('Daily NSE Equity Cash'!$H:$H,'Daily NSE Equity Cash'!$A:$A,$A1165))</f>
        <v>1066.7396000000001</v>
      </c>
      <c r="F1165" s="4">
        <f>IF(SUMIFS('Daily BSE Equity Cash'!$H:$H,'Daily BSE Equity Cash'!$A:$A,$A1165)=0,"",SUMIFS('Daily BSE Equity Cash'!$H:$H,'Daily BSE Equity Cash'!$A:$A,$A1165))</f>
        <v>69.458699999999993</v>
      </c>
      <c r="G1165" s="4">
        <f t="shared" si="162"/>
        <v>1136.1983</v>
      </c>
      <c r="H1165" s="7" t="str">
        <f t="shared" si="163"/>
        <v/>
      </c>
      <c r="I1165" s="7" t="str">
        <f t="shared" si="164"/>
        <v/>
      </c>
      <c r="J1165" s="7" t="str">
        <f t="shared" si="165"/>
        <v/>
      </c>
      <c r="K1165" s="7">
        <f t="shared" si="168"/>
        <v>-1.9352250451097674E-2</v>
      </c>
      <c r="L1165" s="7">
        <f t="shared" si="169"/>
        <v>2.9775998031142947E-2</v>
      </c>
      <c r="M1165" s="7">
        <f t="shared" si="170"/>
        <v>-1.6483831816579197E-2</v>
      </c>
      <c r="N1165" s="7">
        <f t="shared" si="166"/>
        <v>0.93886744945842648</v>
      </c>
      <c r="O1165" s="7">
        <f t="shared" si="167"/>
        <v>6.1132550541573592E-2</v>
      </c>
    </row>
    <row r="1166" spans="1:15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4">
        <f>IF(SUMIFS('Daily NSE Equity Cash'!$H:$H,'Daily NSE Equity Cash'!$A:$A,$A1166)=0,"",SUMIFS('Daily NSE Equity Cash'!$H:$H,'Daily NSE Equity Cash'!$A:$A,$A1166))</f>
        <v>1087.6494</v>
      </c>
      <c r="F1166" s="4">
        <f>IF(SUMIFS('Daily BSE Equity Cash'!$H:$H,'Daily BSE Equity Cash'!$A:$A,$A1166)=0,"",SUMIFS('Daily BSE Equity Cash'!$H:$H,'Daily BSE Equity Cash'!$A:$A,$A1166))</f>
        <v>71.499399999999994</v>
      </c>
      <c r="G1166" s="4">
        <f t="shared" si="162"/>
        <v>1159.1487999999999</v>
      </c>
      <c r="H1166" s="7" t="str">
        <f t="shared" si="163"/>
        <v/>
      </c>
      <c r="I1166" s="7" t="str">
        <f t="shared" si="164"/>
        <v/>
      </c>
      <c r="J1166" s="7" t="str">
        <f t="shared" si="165"/>
        <v/>
      </c>
      <c r="K1166" s="7">
        <f t="shared" si="168"/>
        <v>1.9601597240788582E-2</v>
      </c>
      <c r="L1166" s="7">
        <f t="shared" si="169"/>
        <v>2.9380048863569375E-2</v>
      </c>
      <c r="M1166" s="7">
        <f t="shared" si="170"/>
        <v>2.0199378928836609E-2</v>
      </c>
      <c r="N1166" s="7">
        <f t="shared" si="166"/>
        <v>0.93831732388456091</v>
      </c>
      <c r="O1166" s="7">
        <f t="shared" si="167"/>
        <v>6.1682676115439192E-2</v>
      </c>
    </row>
    <row r="1167" spans="1:15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4">
        <f>IF(SUMIFS('Daily NSE Equity Cash'!$H:$H,'Daily NSE Equity Cash'!$A:$A,$A1167)=0,"",SUMIFS('Daily NSE Equity Cash'!$H:$H,'Daily NSE Equity Cash'!$A:$A,$A1167))</f>
        <v>976.52670000000001</v>
      </c>
      <c r="F1167" s="4">
        <f>IF(SUMIFS('Daily BSE Equity Cash'!$H:$H,'Daily BSE Equity Cash'!$A:$A,$A1167)=0,"",SUMIFS('Daily BSE Equity Cash'!$H:$H,'Daily BSE Equity Cash'!$A:$A,$A1167))</f>
        <v>65.762500000000003</v>
      </c>
      <c r="G1167" s="4">
        <f t="shared" si="162"/>
        <v>1042.2891999999999</v>
      </c>
      <c r="H1167" s="7">
        <f t="shared" si="163"/>
        <v>0.11408436804964128</v>
      </c>
      <c r="I1167" s="7">
        <f t="shared" si="164"/>
        <v>-0.17236774873959526</v>
      </c>
      <c r="J1167" s="7">
        <f t="shared" si="165"/>
        <v>9.0275381330982229E-2</v>
      </c>
      <c r="K1167" s="7">
        <f t="shared" si="168"/>
        <v>-0.10216775736740169</v>
      </c>
      <c r="L1167" s="7">
        <f t="shared" si="169"/>
        <v>-8.0237036954156182E-2</v>
      </c>
      <c r="M1167" s="7">
        <f t="shared" si="170"/>
        <v>-0.10081501184317321</v>
      </c>
      <c r="N1167" s="7">
        <f t="shared" si="166"/>
        <v>0.93690570716841359</v>
      </c>
      <c r="O1167" s="7">
        <f t="shared" si="167"/>
        <v>6.3094292831586476E-2</v>
      </c>
    </row>
    <row r="1168" spans="1:15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4">
        <f>IF(SUMIFS('Daily NSE Equity Cash'!$H:$H,'Daily NSE Equity Cash'!$A:$A,$A1168)=0,"",SUMIFS('Daily NSE Equity Cash'!$H:$H,'Daily NSE Equity Cash'!$A:$A,$A1168))</f>
        <v>1061.1297</v>
      </c>
      <c r="F1168" s="4">
        <f>IF(SUMIFS('Daily BSE Equity Cash'!$H:$H,'Daily BSE Equity Cash'!$A:$A,$A1168)=0,"",SUMIFS('Daily BSE Equity Cash'!$H:$H,'Daily BSE Equity Cash'!$A:$A,$A1168))</f>
        <v>81.243799999999993</v>
      </c>
      <c r="G1168" s="4">
        <f t="shared" si="162"/>
        <v>1142.3734999999999</v>
      </c>
      <c r="H1168" s="7">
        <f t="shared" si="163"/>
        <v>3.0588718618111743E-2</v>
      </c>
      <c r="I1168" s="7">
        <f t="shared" si="164"/>
        <v>-0.2629457023960402</v>
      </c>
      <c r="J1168" s="7">
        <f t="shared" si="165"/>
        <v>2.2031610487653897E-3</v>
      </c>
      <c r="K1168" s="7">
        <f t="shared" si="168"/>
        <v>8.663664803020743E-2</v>
      </c>
      <c r="L1168" s="7">
        <f t="shared" si="169"/>
        <v>0.23541227903440398</v>
      </c>
      <c r="M1168" s="7">
        <f t="shared" si="170"/>
        <v>9.6023541258990264E-2</v>
      </c>
      <c r="N1168" s="7">
        <f t="shared" si="166"/>
        <v>0.92888157857303244</v>
      </c>
      <c r="O1168" s="7">
        <f t="shared" si="167"/>
        <v>7.1118421426967629E-2</v>
      </c>
    </row>
    <row r="1169" spans="1:15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4">
        <f>IF(SUMIFS('Daily NSE Equity Cash'!$H:$H,'Daily NSE Equity Cash'!$A:$A,$A1169)=0,"",SUMIFS('Daily NSE Equity Cash'!$H:$H,'Daily NSE Equity Cash'!$A:$A,$A1169))</f>
        <v>1008.3026</v>
      </c>
      <c r="F1169" s="4">
        <f>IF(SUMIFS('Daily BSE Equity Cash'!$H:$H,'Daily BSE Equity Cash'!$A:$A,$A1169)=0,"",SUMIFS('Daily BSE Equity Cash'!$H:$H,'Daily BSE Equity Cash'!$A:$A,$A1169))</f>
        <v>70.367800000000003</v>
      </c>
      <c r="G1169" s="4">
        <f t="shared" si="162"/>
        <v>1078.6704</v>
      </c>
      <c r="H1169" s="7">
        <f t="shared" si="163"/>
        <v>-1.4822953403287875E-2</v>
      </c>
      <c r="I1169" s="7">
        <f t="shared" si="164"/>
        <v>-7.2078677318029638E-2</v>
      </c>
      <c r="J1169" s="7">
        <f t="shared" si="165"/>
        <v>-1.8772639825097137E-2</v>
      </c>
      <c r="K1169" s="7">
        <f t="shared" si="168"/>
        <v>-4.9783829441396255E-2</v>
      </c>
      <c r="L1169" s="7">
        <f t="shared" si="169"/>
        <v>-0.13386867674825642</v>
      </c>
      <c r="M1169" s="7">
        <f t="shared" si="170"/>
        <v>-5.5763811047787715E-2</v>
      </c>
      <c r="N1169" s="7">
        <f t="shared" si="166"/>
        <v>0.93476431725576226</v>
      </c>
      <c r="O1169" s="7">
        <f t="shared" si="167"/>
        <v>6.523568274423773E-2</v>
      </c>
    </row>
    <row r="1170" spans="1:15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4">
        <f>IF(SUMIFS('Daily NSE Equity Cash'!$H:$H,'Daily NSE Equity Cash'!$A:$A,$A1170)=0,"",SUMIFS('Daily NSE Equity Cash'!$H:$H,'Daily NSE Equity Cash'!$A:$A,$A1170))</f>
        <v>891.9579</v>
      </c>
      <c r="F1170" s="4">
        <f>IF(SUMIFS('Daily BSE Equity Cash'!$H:$H,'Daily BSE Equity Cash'!$A:$A,$A1170)=0,"",SUMIFS('Daily BSE Equity Cash'!$H:$H,'Daily BSE Equity Cash'!$A:$A,$A1170))</f>
        <v>60.695799999999998</v>
      </c>
      <c r="G1170" s="4">
        <f t="shared" si="162"/>
        <v>952.65369999999996</v>
      </c>
      <c r="H1170" s="7" t="str">
        <f t="shared" si="163"/>
        <v/>
      </c>
      <c r="I1170" s="7" t="str">
        <f t="shared" si="164"/>
        <v/>
      </c>
      <c r="J1170" s="7" t="str">
        <f t="shared" si="165"/>
        <v/>
      </c>
      <c r="K1170" s="7">
        <f t="shared" si="168"/>
        <v>-0.1153866904637556</v>
      </c>
      <c r="L1170" s="7">
        <f t="shared" si="169"/>
        <v>-0.1374492310403338</v>
      </c>
      <c r="M1170" s="7">
        <f t="shared" si="170"/>
        <v>-0.11682595536134122</v>
      </c>
      <c r="N1170" s="7">
        <f t="shared" si="166"/>
        <v>0.93628765625956212</v>
      </c>
      <c r="O1170" s="7">
        <f t="shared" si="167"/>
        <v>6.3712343740437896E-2</v>
      </c>
    </row>
    <row r="1171" spans="1:15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4">
        <f>IF(SUMIFS('Daily NSE Equity Cash'!$H:$H,'Daily NSE Equity Cash'!$A:$A,$A1171)=0,"",SUMIFS('Daily NSE Equity Cash'!$H:$H,'Daily NSE Equity Cash'!$A:$A,$A1171))</f>
        <v>1080.6425999999999</v>
      </c>
      <c r="F1171" s="4">
        <f>IF(SUMIFS('Daily BSE Equity Cash'!$H:$H,'Daily BSE Equity Cash'!$A:$A,$A1171)=0,"",SUMIFS('Daily BSE Equity Cash'!$H:$H,'Daily BSE Equity Cash'!$A:$A,$A1171))</f>
        <v>65.212500000000006</v>
      </c>
      <c r="G1171" s="4">
        <f t="shared" si="162"/>
        <v>1145.8551</v>
      </c>
      <c r="H1171" s="7" t="str">
        <f t="shared" si="163"/>
        <v/>
      </c>
      <c r="I1171" s="7" t="str">
        <f t="shared" si="164"/>
        <v/>
      </c>
      <c r="J1171" s="7" t="str">
        <f t="shared" si="165"/>
        <v/>
      </c>
      <c r="K1171" s="7">
        <f t="shared" si="168"/>
        <v>0.21153991685033557</v>
      </c>
      <c r="L1171" s="7">
        <f t="shared" si="169"/>
        <v>7.4415363171751681E-2</v>
      </c>
      <c r="M1171" s="7">
        <f t="shared" si="170"/>
        <v>0.20280339015111171</v>
      </c>
      <c r="N1171" s="7">
        <f t="shared" si="166"/>
        <v>0.94308835384159817</v>
      </c>
      <c r="O1171" s="7">
        <f t="shared" si="167"/>
        <v>5.6911646158401712E-2</v>
      </c>
    </row>
    <row r="1172" spans="1:15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4">
        <f>IF(SUMIFS('Daily NSE Equity Cash'!$H:$H,'Daily NSE Equity Cash'!$A:$A,$A1172)=0,"",SUMIFS('Daily NSE Equity Cash'!$H:$H,'Daily NSE Equity Cash'!$A:$A,$A1172))</f>
        <v>1043.8589999999999</v>
      </c>
      <c r="F1172" s="4">
        <f>IF(SUMIFS('Daily BSE Equity Cash'!$H:$H,'Daily BSE Equity Cash'!$A:$A,$A1172)=0,"",SUMIFS('Daily BSE Equity Cash'!$H:$H,'Daily BSE Equity Cash'!$A:$A,$A1172))</f>
        <v>75.074100000000001</v>
      </c>
      <c r="G1172" s="4">
        <f t="shared" si="162"/>
        <v>1118.9331</v>
      </c>
      <c r="H1172" s="7">
        <f t="shared" si="163"/>
        <v>6.6753340160522923E-2</v>
      </c>
      <c r="I1172" s="7">
        <f t="shared" si="164"/>
        <v>-0.12479423820337898</v>
      </c>
      <c r="J1172" s="7">
        <f t="shared" si="165"/>
        <v>5.1315533688221393E-2</v>
      </c>
      <c r="K1172" s="7">
        <f t="shared" si="168"/>
        <v>-3.4038635900528025E-2</v>
      </c>
      <c r="L1172" s="7">
        <f t="shared" si="169"/>
        <v>0.15122254169062677</v>
      </c>
      <c r="M1172" s="7">
        <f t="shared" si="170"/>
        <v>-2.3495117314571434E-2</v>
      </c>
      <c r="N1172" s="7">
        <f t="shared" si="166"/>
        <v>0.93290564020315414</v>
      </c>
      <c r="O1172" s="7">
        <f t="shared" si="167"/>
        <v>6.7094359796845762E-2</v>
      </c>
    </row>
    <row r="1173" spans="1:15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4">
        <f>IF(SUMIFS('Daily NSE Equity Cash'!$H:$H,'Daily NSE Equity Cash'!$A:$A,$A1173)=0,"",SUMIFS('Daily NSE Equity Cash'!$H:$H,'Daily NSE Equity Cash'!$A:$A,$A1173))</f>
        <v>1030.5282999999999</v>
      </c>
      <c r="F1173" s="4">
        <f>IF(SUMIFS('Daily BSE Equity Cash'!$H:$H,'Daily BSE Equity Cash'!$A:$A,$A1173)=0,"",SUMIFS('Daily BSE Equity Cash'!$H:$H,'Daily BSE Equity Cash'!$A:$A,$A1173))</f>
        <v>64.769199999999998</v>
      </c>
      <c r="G1173" s="4">
        <f t="shared" si="162"/>
        <v>1095.2974999999999</v>
      </c>
      <c r="H1173" s="7">
        <f t="shared" si="163"/>
        <v>9.274157461592325E-2</v>
      </c>
      <c r="I1173" s="7">
        <f t="shared" si="164"/>
        <v>-0.23730054992286953</v>
      </c>
      <c r="J1173" s="7">
        <f t="shared" si="165"/>
        <v>6.5477138931026246E-2</v>
      </c>
      <c r="K1173" s="7">
        <f t="shared" si="168"/>
        <v>-1.2770594495999932E-2</v>
      </c>
      <c r="L1173" s="7">
        <f t="shared" si="169"/>
        <v>-0.13726305077250345</v>
      </c>
      <c r="M1173" s="7">
        <f t="shared" si="170"/>
        <v>-2.1123336149408867E-2</v>
      </c>
      <c r="N1173" s="7">
        <f t="shared" si="166"/>
        <v>0.94086611171850576</v>
      </c>
      <c r="O1173" s="7">
        <f t="shared" si="167"/>
        <v>5.9133888281494303E-2</v>
      </c>
    </row>
    <row r="1174" spans="1:15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4">
        <f>IF(SUMIFS('Daily NSE Equity Cash'!$H:$H,'Daily NSE Equity Cash'!$A:$A,$A1174)=0,"",SUMIFS('Daily NSE Equity Cash'!$H:$H,'Daily NSE Equity Cash'!$A:$A,$A1174))</f>
        <v>1417.7778000000001</v>
      </c>
      <c r="F1174" s="4">
        <f>IF(SUMIFS('Daily BSE Equity Cash'!$H:$H,'Daily BSE Equity Cash'!$A:$A,$A1174)=0,"",SUMIFS('Daily BSE Equity Cash'!$H:$H,'Daily BSE Equity Cash'!$A:$A,$A1174))</f>
        <v>72.631</v>
      </c>
      <c r="G1174" s="4">
        <f t="shared" si="162"/>
        <v>1490.4088000000002</v>
      </c>
      <c r="H1174" s="7">
        <f t="shared" si="163"/>
        <v>0.11328141655460788</v>
      </c>
      <c r="I1174" s="7">
        <f t="shared" si="164"/>
        <v>-0.61608904624046779</v>
      </c>
      <c r="J1174" s="7">
        <f t="shared" si="165"/>
        <v>1.8943876104157154E-2</v>
      </c>
      <c r="K1174" s="7">
        <f t="shared" si="168"/>
        <v>0.37577764725141471</v>
      </c>
      <c r="L1174" s="7">
        <f t="shared" si="169"/>
        <v>0.12138176787732435</v>
      </c>
      <c r="M1174" s="7">
        <f t="shared" si="170"/>
        <v>0.36073422974123504</v>
      </c>
      <c r="N1174" s="7">
        <f t="shared" si="166"/>
        <v>0.95126773271870102</v>
      </c>
      <c r="O1174" s="7">
        <f t="shared" si="167"/>
        <v>4.8732267281298924E-2</v>
      </c>
    </row>
    <row r="1175" spans="1:15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4">
        <f>IF(SUMIFS('Daily NSE Equity Cash'!$H:$H,'Daily NSE Equity Cash'!$A:$A,$A1175)=0,"",SUMIFS('Daily NSE Equity Cash'!$H:$H,'Daily NSE Equity Cash'!$A:$A,$A1175))</f>
        <v>829.21600000000001</v>
      </c>
      <c r="F1175" s="4">
        <f>IF(SUMIFS('Daily BSE Equity Cash'!$H:$H,'Daily BSE Equity Cash'!$A:$A,$A1175)=0,"",SUMIFS('Daily BSE Equity Cash'!$H:$H,'Daily BSE Equity Cash'!$A:$A,$A1175))</f>
        <v>57.060099999999998</v>
      </c>
      <c r="G1175" s="4">
        <f t="shared" si="162"/>
        <v>886.27610000000004</v>
      </c>
      <c r="H1175" s="7" t="str">
        <f t="shared" si="163"/>
        <v/>
      </c>
      <c r="I1175" s="7" t="str">
        <f t="shared" si="164"/>
        <v/>
      </c>
      <c r="J1175" s="7" t="str">
        <f t="shared" si="165"/>
        <v/>
      </c>
      <c r="K1175" s="7">
        <f t="shared" si="168"/>
        <v>-0.41512978973150805</v>
      </c>
      <c r="L1175" s="7">
        <f t="shared" si="169"/>
        <v>-0.2143836653770429</v>
      </c>
      <c r="M1175" s="7">
        <f t="shared" si="170"/>
        <v>-0.40534697594378133</v>
      </c>
      <c r="N1175" s="7">
        <f t="shared" si="166"/>
        <v>0.93561814427806411</v>
      </c>
      <c r="O1175" s="7">
        <f t="shared" si="167"/>
        <v>6.438185572193586E-2</v>
      </c>
    </row>
    <row r="1176" spans="1:15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4">
        <f>IF(SUMIFS('Daily NSE Equity Cash'!$H:$H,'Daily NSE Equity Cash'!$A:$A,$A1176)=0,"",SUMIFS('Daily NSE Equity Cash'!$H:$H,'Daily NSE Equity Cash'!$A:$A,$A1176))</f>
        <v>764.3614</v>
      </c>
      <c r="F1176" s="4">
        <f>IF(SUMIFS('Daily BSE Equity Cash'!$H:$H,'Daily BSE Equity Cash'!$A:$A,$A1176)=0,"",SUMIFS('Daily BSE Equity Cash'!$H:$H,'Daily BSE Equity Cash'!$A:$A,$A1176))</f>
        <v>52.491700000000002</v>
      </c>
      <c r="G1176" s="4">
        <f t="shared" si="162"/>
        <v>816.85310000000004</v>
      </c>
      <c r="H1176" s="7" t="str">
        <f t="shared" si="163"/>
        <v/>
      </c>
      <c r="I1176" s="7" t="str">
        <f t="shared" si="164"/>
        <v/>
      </c>
      <c r="J1176" s="7" t="str">
        <f t="shared" si="165"/>
        <v/>
      </c>
      <c r="K1176" s="7">
        <f t="shared" si="168"/>
        <v>-7.8211949600586639E-2</v>
      </c>
      <c r="L1176" s="7">
        <f t="shared" si="169"/>
        <v>-8.0062951169030505E-2</v>
      </c>
      <c r="M1176" s="7">
        <f t="shared" si="170"/>
        <v>-7.8331120516507258E-2</v>
      </c>
      <c r="N1176" s="7">
        <f t="shared" si="166"/>
        <v>0.93573911882075245</v>
      </c>
      <c r="O1176" s="7">
        <f t="shared" si="167"/>
        <v>6.4260881179247525E-2</v>
      </c>
    </row>
    <row r="1177" spans="1:15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4">
        <f>IF(SUMIFS('Daily NSE Equity Cash'!$H:$H,'Daily NSE Equity Cash'!$A:$A,$A1177)=0,"",SUMIFS('Daily NSE Equity Cash'!$H:$H,'Daily NSE Equity Cash'!$A:$A,$A1177))</f>
        <v>820.61360000000002</v>
      </c>
      <c r="F1177" s="4">
        <f>IF(SUMIFS('Daily BSE Equity Cash'!$H:$H,'Daily BSE Equity Cash'!$A:$A,$A1177)=0,"",SUMIFS('Daily BSE Equity Cash'!$H:$H,'Daily BSE Equity Cash'!$A:$A,$A1177))</f>
        <v>56.282400000000003</v>
      </c>
      <c r="G1177" s="4">
        <f t="shared" si="162"/>
        <v>876.89600000000007</v>
      </c>
      <c r="H1177" s="7">
        <f t="shared" si="163"/>
        <v>1.6062208820229573E-2</v>
      </c>
      <c r="I1177" s="7">
        <f t="shared" si="164"/>
        <v>-0.13137339936754089</v>
      </c>
      <c r="J1177" s="7">
        <f t="shared" si="165"/>
        <v>5.1123532528123405E-3</v>
      </c>
      <c r="K1177" s="7">
        <f t="shared" si="168"/>
        <v>7.3593721503990128E-2</v>
      </c>
      <c r="L1177" s="7">
        <f t="shared" si="169"/>
        <v>7.2215226407222444E-2</v>
      </c>
      <c r="M1177" s="7">
        <f t="shared" si="170"/>
        <v>7.3505138194370545E-2</v>
      </c>
      <c r="N1177" s="7">
        <f t="shared" si="166"/>
        <v>0.93581633397803154</v>
      </c>
      <c r="O1177" s="7">
        <f t="shared" si="167"/>
        <v>6.41836660219684E-2</v>
      </c>
    </row>
    <row r="1178" spans="1:15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4">
        <f>IF(SUMIFS('Daily NSE Equity Cash'!$H:$H,'Daily NSE Equity Cash'!$A:$A,$A1178)=0,"",SUMIFS('Daily NSE Equity Cash'!$H:$H,'Daily NSE Equity Cash'!$A:$A,$A1178))</f>
        <v>791.077</v>
      </c>
      <c r="F1178" s="4">
        <f>IF(SUMIFS('Daily BSE Equity Cash'!$H:$H,'Daily BSE Equity Cash'!$A:$A,$A1178)=0,"",SUMIFS('Daily BSE Equity Cash'!$H:$H,'Daily BSE Equity Cash'!$A:$A,$A1178))</f>
        <v>54.708599999999997</v>
      </c>
      <c r="G1178" s="4">
        <f t="shared" si="162"/>
        <v>845.78560000000004</v>
      </c>
      <c r="H1178" s="7">
        <f t="shared" si="163"/>
        <v>-9.2400367364241953E-2</v>
      </c>
      <c r="I1178" s="7">
        <f t="shared" si="164"/>
        <v>-0.20551434496459509</v>
      </c>
      <c r="J1178" s="7">
        <f t="shared" si="165"/>
        <v>-0.10068243182247605</v>
      </c>
      <c r="K1178" s="7">
        <f t="shared" si="168"/>
        <v>-3.5993310371653653E-2</v>
      </c>
      <c r="L1178" s="7">
        <f t="shared" si="169"/>
        <v>-2.7962560231973188E-2</v>
      </c>
      <c r="M1178" s="7">
        <f t="shared" si="170"/>
        <v>-3.5477867386782491E-2</v>
      </c>
      <c r="N1178" s="7">
        <f t="shared" si="166"/>
        <v>0.93531623144210541</v>
      </c>
      <c r="O1178" s="7">
        <f t="shared" si="167"/>
        <v>6.4683768557894566E-2</v>
      </c>
    </row>
    <row r="1179" spans="1:15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4">
        <f>IF(SUMIFS('Daily NSE Equity Cash'!$H:$H,'Daily NSE Equity Cash'!$A:$A,$A1179)=0,"",SUMIFS('Daily NSE Equity Cash'!$H:$H,'Daily NSE Equity Cash'!$A:$A,$A1179))</f>
        <v>1400.1726000000001</v>
      </c>
      <c r="F1179" s="4">
        <f>IF(SUMIFS('Daily BSE Equity Cash'!$H:$H,'Daily BSE Equity Cash'!$A:$A,$A1179)=0,"",SUMIFS('Daily BSE Equity Cash'!$H:$H,'Daily BSE Equity Cash'!$A:$A,$A1179))</f>
        <v>62.098799999999997</v>
      </c>
      <c r="G1179" s="4">
        <f t="shared" si="162"/>
        <v>1462.2714000000001</v>
      </c>
      <c r="H1179" s="7" t="str">
        <f t="shared" si="163"/>
        <v/>
      </c>
      <c r="I1179" s="7" t="str">
        <f t="shared" si="164"/>
        <v/>
      </c>
      <c r="J1179" s="7" t="str">
        <f t="shared" si="165"/>
        <v/>
      </c>
      <c r="K1179" s="7">
        <f t="shared" si="168"/>
        <v>0.7699574124895554</v>
      </c>
      <c r="L1179" s="7">
        <f t="shared" si="169"/>
        <v>0.13508296684616306</v>
      </c>
      <c r="M1179" s="7">
        <f t="shared" si="170"/>
        <v>0.72889134078423656</v>
      </c>
      <c r="N1179" s="7">
        <f t="shared" si="166"/>
        <v>0.95753264407687932</v>
      </c>
      <c r="O1179" s="7">
        <f t="shared" si="167"/>
        <v>4.2467355923120696E-2</v>
      </c>
    </row>
    <row r="1180" spans="1:15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4">
        <f>IF(SUMIFS('Daily NSE Equity Cash'!$H:$H,'Daily NSE Equity Cash'!$A:$A,$A1180)=0,"",SUMIFS('Daily NSE Equity Cash'!$H:$H,'Daily NSE Equity Cash'!$A:$A,$A1180))</f>
        <v>832.52779999999996</v>
      </c>
      <c r="F1180" s="4">
        <f>IF(SUMIFS('Daily BSE Equity Cash'!$H:$H,'Daily BSE Equity Cash'!$A:$A,$A1180)=0,"",SUMIFS('Daily BSE Equity Cash'!$H:$H,'Daily BSE Equity Cash'!$A:$A,$A1180))</f>
        <v>52.631799999999998</v>
      </c>
      <c r="G1180" s="4">
        <f t="shared" si="162"/>
        <v>885.15959999999995</v>
      </c>
      <c r="H1180" s="7" t="str">
        <f t="shared" si="163"/>
        <v/>
      </c>
      <c r="I1180" s="7" t="str">
        <f t="shared" si="164"/>
        <v/>
      </c>
      <c r="J1180" s="7" t="str">
        <f t="shared" si="165"/>
        <v/>
      </c>
      <c r="K1180" s="7">
        <f t="shared" si="168"/>
        <v>-0.40541059009439273</v>
      </c>
      <c r="L1180" s="7">
        <f t="shared" si="169"/>
        <v>-0.1524506109618865</v>
      </c>
      <c r="M1180" s="7">
        <f t="shared" si="170"/>
        <v>-0.39466804862626736</v>
      </c>
      <c r="N1180" s="7">
        <f t="shared" si="166"/>
        <v>0.94053976254677685</v>
      </c>
      <c r="O1180" s="7">
        <f t="shared" si="167"/>
        <v>5.9460237453223125E-2</v>
      </c>
    </row>
    <row r="1181" spans="1:15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4">
        <f>IF(SUMIFS('Daily NSE Equity Cash'!$H:$H,'Daily NSE Equity Cash'!$A:$A,$A1181)=0,"",SUMIFS('Daily NSE Equity Cash'!$H:$H,'Daily NSE Equity Cash'!$A:$A,$A1181))</f>
        <v>665.07280000000003</v>
      </c>
      <c r="F1181" s="4">
        <f>IF(SUMIFS('Daily BSE Equity Cash'!$H:$H,'Daily BSE Equity Cash'!$A:$A,$A1181)=0,"",SUMIFS('Daily BSE Equity Cash'!$H:$H,'Daily BSE Equity Cash'!$A:$A,$A1181))</f>
        <v>45.194899999999997</v>
      </c>
      <c r="G1181" s="4">
        <f t="shared" si="162"/>
        <v>710.26769999999999</v>
      </c>
      <c r="H1181" s="7">
        <f t="shared" si="163"/>
        <v>-0.13931090032072369</v>
      </c>
      <c r="I1181" s="7">
        <f t="shared" si="164"/>
        <v>-0.35234714670992484</v>
      </c>
      <c r="J1181" s="7">
        <f t="shared" si="165"/>
        <v>-0.15695618738382111</v>
      </c>
      <c r="K1181" s="7">
        <f t="shared" si="168"/>
        <v>-0.2011404303856279</v>
      </c>
      <c r="L1181" s="7">
        <f t="shared" si="169"/>
        <v>-0.14130050653787252</v>
      </c>
      <c r="M1181" s="7">
        <f t="shared" si="170"/>
        <v>-0.1975823343044576</v>
      </c>
      <c r="N1181" s="7">
        <f t="shared" si="166"/>
        <v>0.93636920276678781</v>
      </c>
      <c r="O1181" s="7">
        <f t="shared" si="167"/>
        <v>6.3630797233212202E-2</v>
      </c>
    </row>
    <row r="1182" spans="1:15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4">
        <f>IF(SUMIFS('Daily NSE Equity Cash'!$H:$H,'Daily NSE Equity Cash'!$A:$A,$A1182)=0,"",SUMIFS('Daily NSE Equity Cash'!$H:$H,'Daily NSE Equity Cash'!$A:$A,$A1182))</f>
        <v>994.1585</v>
      </c>
      <c r="F1182" s="4">
        <f>IF(SUMIFS('Daily BSE Equity Cash'!$H:$H,'Daily BSE Equity Cash'!$A:$A,$A1182)=0,"",SUMIFS('Daily BSE Equity Cash'!$H:$H,'Daily BSE Equity Cash'!$A:$A,$A1182))</f>
        <v>57.143900000000002</v>
      </c>
      <c r="G1182" s="4">
        <f t="shared" si="162"/>
        <v>1051.3024</v>
      </c>
      <c r="H1182" s="7">
        <f t="shared" si="163"/>
        <v>7.371690782143947E-3</v>
      </c>
      <c r="I1182" s="7">
        <f t="shared" si="164"/>
        <v>-0.28066047830169916</v>
      </c>
      <c r="J1182" s="7">
        <f t="shared" si="165"/>
        <v>-1.4086258486993075E-2</v>
      </c>
      <c r="K1182" s="7">
        <f t="shared" si="168"/>
        <v>0.49481154544284478</v>
      </c>
      <c r="L1182" s="7">
        <f t="shared" si="169"/>
        <v>0.26438823849593662</v>
      </c>
      <c r="M1182" s="7">
        <f t="shared" si="170"/>
        <v>0.48014952672069988</v>
      </c>
      <c r="N1182" s="7">
        <f t="shared" si="166"/>
        <v>0.94564465942434828</v>
      </c>
      <c r="O1182" s="7">
        <f t="shared" si="167"/>
        <v>5.4355340575651688E-2</v>
      </c>
    </row>
    <row r="1183" spans="1:15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4">
        <f>IF(SUMIFS('Daily NSE Equity Cash'!$H:$H,'Daily NSE Equity Cash'!$A:$A,$A1183)=0,"",SUMIFS('Daily NSE Equity Cash'!$H:$H,'Daily NSE Equity Cash'!$A:$A,$A1183))</f>
        <v>1060.9357</v>
      </c>
      <c r="F1183" s="4">
        <f>IF(SUMIFS('Daily BSE Equity Cash'!$H:$H,'Daily BSE Equity Cash'!$A:$A,$A1183)=0,"",SUMIFS('Daily BSE Equity Cash'!$H:$H,'Daily BSE Equity Cash'!$A:$A,$A1183))</f>
        <v>63.987699999999997</v>
      </c>
      <c r="G1183" s="4">
        <f t="shared" si="162"/>
        <v>1124.9233999999999</v>
      </c>
      <c r="H1183" s="7">
        <f t="shared" si="163"/>
        <v>-1.7838740268978581E-2</v>
      </c>
      <c r="I1183" s="7">
        <f t="shared" si="164"/>
        <v>-0.22815065535368351</v>
      </c>
      <c r="J1183" s="7">
        <f t="shared" si="165"/>
        <v>-3.2828965864705739E-2</v>
      </c>
      <c r="K1183" s="7">
        <f t="shared" si="168"/>
        <v>6.7169571049284338E-2</v>
      </c>
      <c r="L1183" s="7">
        <f t="shared" si="169"/>
        <v>0.11976431430126389</v>
      </c>
      <c r="M1183" s="7">
        <f t="shared" si="170"/>
        <v>7.002837623123459E-2</v>
      </c>
      <c r="N1183" s="7">
        <f t="shared" si="166"/>
        <v>0.94311817142393883</v>
      </c>
      <c r="O1183" s="7">
        <f t="shared" si="167"/>
        <v>5.688182857606127E-2</v>
      </c>
    </row>
    <row r="1184" spans="1:15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4">
        <f>IF(SUMIFS('Daily NSE Equity Cash'!$H:$H,'Daily NSE Equity Cash'!$A:$A,$A1184)=0,"",SUMIFS('Daily NSE Equity Cash'!$H:$H,'Daily NSE Equity Cash'!$A:$A,$A1184))</f>
        <v>1052.413</v>
      </c>
      <c r="F1184" s="4">
        <f>IF(SUMIFS('Daily BSE Equity Cash'!$H:$H,'Daily BSE Equity Cash'!$A:$A,$A1184)=0,"",SUMIFS('Daily BSE Equity Cash'!$H:$H,'Daily BSE Equity Cash'!$A:$A,$A1184))</f>
        <v>73.980699999999999</v>
      </c>
      <c r="G1184" s="4">
        <f t="shared" si="162"/>
        <v>1126.3937000000001</v>
      </c>
      <c r="H1184" s="7" t="str">
        <f t="shared" si="163"/>
        <v/>
      </c>
      <c r="I1184" s="7" t="str">
        <f t="shared" si="164"/>
        <v/>
      </c>
      <c r="J1184" s="7" t="str">
        <f t="shared" si="165"/>
        <v/>
      </c>
      <c r="K1184" s="7">
        <f t="shared" si="168"/>
        <v>-8.0331918324550999E-3</v>
      </c>
      <c r="L1184" s="7">
        <f t="shared" si="169"/>
        <v>0.15617063904469153</v>
      </c>
      <c r="M1184" s="7">
        <f t="shared" si="170"/>
        <v>1.307022327031504E-3</v>
      </c>
      <c r="N1184" s="7">
        <f t="shared" si="166"/>
        <v>0.93432074415899158</v>
      </c>
      <c r="O1184" s="7">
        <f t="shared" si="167"/>
        <v>6.5679255841008338E-2</v>
      </c>
    </row>
    <row r="1185" spans="1:15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4">
        <f>IF(SUMIFS('Daily NSE Equity Cash'!$H:$H,'Daily NSE Equity Cash'!$A:$A,$A1185)=0,"",SUMIFS('Daily NSE Equity Cash'!$H:$H,'Daily NSE Equity Cash'!$A:$A,$A1185))</f>
        <v>943.00109999999995</v>
      </c>
      <c r="F1185" s="4">
        <f>IF(SUMIFS('Daily BSE Equity Cash'!$H:$H,'Daily BSE Equity Cash'!$A:$A,$A1185)=0,"",SUMIFS('Daily BSE Equity Cash'!$H:$H,'Daily BSE Equity Cash'!$A:$A,$A1185))</f>
        <v>56.279000000000003</v>
      </c>
      <c r="G1185" s="4">
        <f t="shared" si="162"/>
        <v>999.28009999999995</v>
      </c>
      <c r="H1185" s="7" t="str">
        <f t="shared" si="163"/>
        <v/>
      </c>
      <c r="I1185" s="7" t="str">
        <f t="shared" si="164"/>
        <v/>
      </c>
      <c r="J1185" s="7" t="str">
        <f t="shared" si="165"/>
        <v/>
      </c>
      <c r="K1185" s="7">
        <f t="shared" si="168"/>
        <v>-0.10396289289470961</v>
      </c>
      <c r="L1185" s="7">
        <f t="shared" si="169"/>
        <v>-0.23927456755613286</v>
      </c>
      <c r="M1185" s="7">
        <f t="shared" si="170"/>
        <v>-0.11285006299307265</v>
      </c>
      <c r="N1185" s="7">
        <f t="shared" si="166"/>
        <v>0.94368045555995761</v>
      </c>
      <c r="O1185" s="7">
        <f t="shared" si="167"/>
        <v>5.6319544440042391E-2</v>
      </c>
    </row>
    <row r="1186" spans="1:15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4">
        <f>IF(SUMIFS('Daily NSE Equity Cash'!$H:$H,'Daily NSE Equity Cash'!$A:$A,$A1186)=0,"",SUMIFS('Daily NSE Equity Cash'!$H:$H,'Daily NSE Equity Cash'!$A:$A,$A1186))</f>
        <v>953.69449999999995</v>
      </c>
      <c r="F1186" s="4">
        <f>IF(SUMIFS('Daily BSE Equity Cash'!$H:$H,'Daily BSE Equity Cash'!$A:$A,$A1186)=0,"",SUMIFS('Daily BSE Equity Cash'!$H:$H,'Daily BSE Equity Cash'!$A:$A,$A1186))</f>
        <v>54.594000000000001</v>
      </c>
      <c r="G1186" s="4">
        <f t="shared" si="162"/>
        <v>1008.2885</v>
      </c>
      <c r="H1186" s="7">
        <f t="shared" si="163"/>
        <v>2.6650656981625387E-2</v>
      </c>
      <c r="I1186" s="7">
        <f t="shared" si="164"/>
        <v>-0.39490399972512757</v>
      </c>
      <c r="J1186" s="7">
        <f t="shared" si="165"/>
        <v>-1.0668477043969671E-2</v>
      </c>
      <c r="K1186" s="7">
        <f t="shared" si="168"/>
        <v>1.1339753474306713E-2</v>
      </c>
      <c r="L1186" s="7">
        <f t="shared" si="169"/>
        <v>-2.9940119760479056E-2</v>
      </c>
      <c r="M1186" s="7">
        <f t="shared" si="170"/>
        <v>9.0148898191808602E-3</v>
      </c>
      <c r="N1186" s="7">
        <f t="shared" si="166"/>
        <v>0.94585478263413691</v>
      </c>
      <c r="O1186" s="7">
        <f t="shared" si="167"/>
        <v>5.4145217365863044E-2</v>
      </c>
    </row>
    <row r="1187" spans="1:15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4">
        <f>IF(SUMIFS('Daily NSE Equity Cash'!$H:$H,'Daily NSE Equity Cash'!$A:$A,$A1187)=0,"",SUMIFS('Daily NSE Equity Cash'!$H:$H,'Daily NSE Equity Cash'!$A:$A,$A1187))</f>
        <v>892.07159999999999</v>
      </c>
      <c r="F1187" s="4">
        <f>IF(SUMIFS('Daily BSE Equity Cash'!$H:$H,'Daily BSE Equity Cash'!$A:$A,$A1187)=0,"",SUMIFS('Daily BSE Equity Cash'!$H:$H,'Daily BSE Equity Cash'!$A:$A,$A1187))</f>
        <v>45.7958</v>
      </c>
      <c r="G1187" s="4">
        <f t="shared" si="162"/>
        <v>937.86739999999998</v>
      </c>
      <c r="H1187" s="7">
        <f t="shared" si="163"/>
        <v>-8.2094311561164424E-2</v>
      </c>
      <c r="I1187" s="7">
        <f t="shared" si="164"/>
        <v>-0.47837447490956142</v>
      </c>
      <c r="J1187" s="7">
        <f t="shared" si="165"/>
        <v>-0.11492702589100678</v>
      </c>
      <c r="K1187" s="7">
        <f t="shared" si="168"/>
        <v>-6.4614926478028356E-2</v>
      </c>
      <c r="L1187" s="7">
        <f t="shared" si="169"/>
        <v>-0.16115690368905011</v>
      </c>
      <c r="M1187" s="7">
        <f t="shared" si="170"/>
        <v>-6.9842212819049343E-2</v>
      </c>
      <c r="N1187" s="7">
        <f t="shared" si="166"/>
        <v>0.95117028270734227</v>
      </c>
      <c r="O1187" s="7">
        <f t="shared" si="167"/>
        <v>4.8829717292657789E-2</v>
      </c>
    </row>
    <row r="1188" spans="1:15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4">
        <f>IF(SUMIFS('Daily NSE Equity Cash'!$H:$H,'Daily NSE Equity Cash'!$A:$A,$A1188)=0,"",SUMIFS('Daily NSE Equity Cash'!$H:$H,'Daily NSE Equity Cash'!$A:$A,$A1188))</f>
        <v>933.83550000000002</v>
      </c>
      <c r="F1188" s="4">
        <f>IF(SUMIFS('Daily BSE Equity Cash'!$H:$H,'Daily BSE Equity Cash'!$A:$A,$A1188)=0,"",SUMIFS('Daily BSE Equity Cash'!$H:$H,'Daily BSE Equity Cash'!$A:$A,$A1188))</f>
        <v>59.1614</v>
      </c>
      <c r="G1188" s="4">
        <f t="shared" si="162"/>
        <v>992.99689999999998</v>
      </c>
      <c r="H1188" s="7">
        <f t="shared" si="163"/>
        <v>-2.9120697293150366E-2</v>
      </c>
      <c r="I1188" s="7">
        <f t="shared" si="164"/>
        <v>-0.27941584857859736</v>
      </c>
      <c r="J1188" s="7">
        <f t="shared" si="165"/>
        <v>-4.8805346554437579E-2</v>
      </c>
      <c r="K1188" s="7">
        <f t="shared" si="168"/>
        <v>4.6816757758009642E-2</v>
      </c>
      <c r="L1188" s="7">
        <f t="shared" si="169"/>
        <v>0.29185209123980793</v>
      </c>
      <c r="M1188" s="7">
        <f t="shared" si="170"/>
        <v>5.8781763818637867E-2</v>
      </c>
      <c r="N1188" s="7">
        <f t="shared" si="166"/>
        <v>0.94042136486025285</v>
      </c>
      <c r="O1188" s="7">
        <f t="shared" si="167"/>
        <v>5.9578635139747163E-2</v>
      </c>
    </row>
    <row r="1189" spans="1:15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4">
        <f>IF(SUMIFS('Daily NSE Equity Cash'!$H:$H,'Daily NSE Equity Cash'!$A:$A,$A1189)=0,"",SUMIFS('Daily NSE Equity Cash'!$H:$H,'Daily NSE Equity Cash'!$A:$A,$A1189))</f>
        <v>1050.2775999999999</v>
      </c>
      <c r="F1189" s="4">
        <f>IF(SUMIFS('Daily BSE Equity Cash'!$H:$H,'Daily BSE Equity Cash'!$A:$A,$A1189)=0,"",SUMIFS('Daily BSE Equity Cash'!$H:$H,'Daily BSE Equity Cash'!$A:$A,$A1189))</f>
        <v>70.535499999999999</v>
      </c>
      <c r="G1189" s="4">
        <f t="shared" si="162"/>
        <v>1120.8130999999998</v>
      </c>
      <c r="H1189" s="7" t="str">
        <f t="shared" si="163"/>
        <v/>
      </c>
      <c r="I1189" s="7" t="str">
        <f t="shared" si="164"/>
        <v/>
      </c>
      <c r="J1189" s="7" t="str">
        <f t="shared" si="165"/>
        <v/>
      </c>
      <c r="K1189" s="7">
        <f t="shared" si="168"/>
        <v>0.12469230394432418</v>
      </c>
      <c r="L1189" s="7">
        <f t="shared" si="169"/>
        <v>0.1922554232996514</v>
      </c>
      <c r="M1189" s="7">
        <f t="shared" si="170"/>
        <v>0.12871762238129825</v>
      </c>
      <c r="N1189" s="7">
        <f t="shared" si="166"/>
        <v>0.93706756282559511</v>
      </c>
      <c r="O1189" s="7">
        <f t="shared" si="167"/>
        <v>6.2932437174404915E-2</v>
      </c>
    </row>
    <row r="1190" spans="1:15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4">
        <f>IF(SUMIFS('Daily NSE Equity Cash'!$H:$H,'Daily NSE Equity Cash'!$A:$A,$A1190)=0,"",SUMIFS('Daily NSE Equity Cash'!$H:$H,'Daily NSE Equity Cash'!$A:$A,$A1190))</f>
        <v>1032.1470999999999</v>
      </c>
      <c r="F1190" s="4">
        <f>IF(SUMIFS('Daily BSE Equity Cash'!$H:$H,'Daily BSE Equity Cash'!$A:$A,$A1190)=0,"",SUMIFS('Daily BSE Equity Cash'!$H:$H,'Daily BSE Equity Cash'!$A:$A,$A1190))</f>
        <v>65.512600000000006</v>
      </c>
      <c r="G1190" s="4">
        <f t="shared" si="162"/>
        <v>1097.6596999999999</v>
      </c>
      <c r="H1190" s="7" t="str">
        <f t="shared" si="163"/>
        <v/>
      </c>
      <c r="I1190" s="7" t="str">
        <f t="shared" si="164"/>
        <v/>
      </c>
      <c r="J1190" s="7" t="str">
        <f t="shared" si="165"/>
        <v/>
      </c>
      <c r="K1190" s="7">
        <f t="shared" si="168"/>
        <v>-1.726257896007688E-2</v>
      </c>
      <c r="L1190" s="7">
        <f t="shared" si="169"/>
        <v>-7.1210950514279947E-2</v>
      </c>
      <c r="M1190" s="7">
        <f t="shared" si="170"/>
        <v>-2.0657681463573163E-2</v>
      </c>
      <c r="N1190" s="7">
        <f t="shared" si="166"/>
        <v>0.94031611072174737</v>
      </c>
      <c r="O1190" s="7">
        <f t="shared" si="167"/>
        <v>5.968388927825264E-2</v>
      </c>
    </row>
    <row r="1191" spans="1:15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4">
        <f>IF(SUMIFS('Daily NSE Equity Cash'!$H:$H,'Daily NSE Equity Cash'!$A:$A,$A1191)=0,"",SUMIFS('Daily NSE Equity Cash'!$H:$H,'Daily NSE Equity Cash'!$A:$A,$A1191))</f>
        <v>924.52919999999995</v>
      </c>
      <c r="F1191" s="4">
        <f>IF(SUMIFS('Daily BSE Equity Cash'!$H:$H,'Daily BSE Equity Cash'!$A:$A,$A1191)=0,"",SUMIFS('Daily BSE Equity Cash'!$H:$H,'Daily BSE Equity Cash'!$A:$A,$A1191))</f>
        <v>57.217100000000002</v>
      </c>
      <c r="G1191" s="4">
        <f t="shared" si="162"/>
        <v>981.74629999999991</v>
      </c>
      <c r="H1191" s="7">
        <f t="shared" si="163"/>
        <v>-0.18267166601792273</v>
      </c>
      <c r="I1191" s="7">
        <f t="shared" si="164"/>
        <v>-0.40827362681911816</v>
      </c>
      <c r="J1191" s="7">
        <f t="shared" si="165"/>
        <v>-0.20043811351386454</v>
      </c>
      <c r="K1191" s="7">
        <f t="shared" si="168"/>
        <v>-0.10426604889942526</v>
      </c>
      <c r="L1191" s="7">
        <f t="shared" si="169"/>
        <v>-0.12662449666171094</v>
      </c>
      <c r="M1191" s="7">
        <f t="shared" si="170"/>
        <v>-0.10560048802010313</v>
      </c>
      <c r="N1191" s="7">
        <f t="shared" si="166"/>
        <v>0.94171905715356408</v>
      </c>
      <c r="O1191" s="7">
        <f t="shared" si="167"/>
        <v>5.8280942846435993E-2</v>
      </c>
    </row>
    <row r="1192" spans="1:15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4">
        <f>IF(SUMIFS('Daily NSE Equity Cash'!$H:$H,'Daily NSE Equity Cash'!$A:$A,$A1192)=0,"",SUMIFS('Daily NSE Equity Cash'!$H:$H,'Daily NSE Equity Cash'!$A:$A,$A1192))</f>
        <v>956.70540000000005</v>
      </c>
      <c r="F1192" s="4">
        <f>IF(SUMIFS('Daily BSE Equity Cash'!$H:$H,'Daily BSE Equity Cash'!$A:$A,$A1192)=0,"",SUMIFS('Daily BSE Equity Cash'!$H:$H,'Daily BSE Equity Cash'!$A:$A,$A1192))</f>
        <v>51.076000000000001</v>
      </c>
      <c r="G1192" s="4">
        <f t="shared" si="162"/>
        <v>1007.7814000000001</v>
      </c>
      <c r="H1192" s="7">
        <f t="shared" si="163"/>
        <v>-0.16911436532967516</v>
      </c>
      <c r="I1192" s="7">
        <f t="shared" si="164"/>
        <v>-0.48249116731292785</v>
      </c>
      <c r="J1192" s="7">
        <f t="shared" si="165"/>
        <v>-0.19385510753969759</v>
      </c>
      <c r="K1192" s="7">
        <f t="shared" si="168"/>
        <v>3.4802794762999412E-2</v>
      </c>
      <c r="L1192" s="7">
        <f t="shared" si="169"/>
        <v>-0.10732980175506979</v>
      </c>
      <c r="M1192" s="7">
        <f t="shared" si="170"/>
        <v>2.6519173028714427E-2</v>
      </c>
      <c r="N1192" s="7">
        <f t="shared" si="166"/>
        <v>0.94931837400452124</v>
      </c>
      <c r="O1192" s="7">
        <f t="shared" si="167"/>
        <v>5.0681625995478777E-2</v>
      </c>
    </row>
    <row r="1193" spans="1:15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4">
        <f>IF(SUMIFS('Daily NSE Equity Cash'!$H:$H,'Daily NSE Equity Cash'!$A:$A,$A1193)=0,"",SUMIFS('Daily NSE Equity Cash'!$H:$H,'Daily NSE Equity Cash'!$A:$A,$A1193))</f>
        <v>863.31320000000005</v>
      </c>
      <c r="F1193" s="4">
        <f>IF(SUMIFS('Daily BSE Equity Cash'!$H:$H,'Daily BSE Equity Cash'!$A:$A,$A1193)=0,"",SUMIFS('Daily BSE Equity Cash'!$H:$H,'Daily BSE Equity Cash'!$A:$A,$A1193))</f>
        <v>47.6404</v>
      </c>
      <c r="G1193" s="4">
        <f t="shared" si="162"/>
        <v>910.95360000000005</v>
      </c>
      <c r="H1193" s="7">
        <f t="shared" si="163"/>
        <v>-0.34619917151153212</v>
      </c>
      <c r="I1193" s="7">
        <f t="shared" si="164"/>
        <v>-0.44048378250457754</v>
      </c>
      <c r="J1193" s="7">
        <f t="shared" si="165"/>
        <v>-0.35191056678627874</v>
      </c>
      <c r="K1193" s="7">
        <f t="shared" si="168"/>
        <v>-9.7618556349739372E-2</v>
      </c>
      <c r="L1193" s="7">
        <f t="shared" si="169"/>
        <v>-6.7264468634975372E-2</v>
      </c>
      <c r="M1193" s="7">
        <f t="shared" si="170"/>
        <v>-9.6080161828745791E-2</v>
      </c>
      <c r="N1193" s="7">
        <f t="shared" si="166"/>
        <v>0.94770271504498149</v>
      </c>
      <c r="O1193" s="7">
        <f t="shared" si="167"/>
        <v>5.2297284955018564E-2</v>
      </c>
    </row>
    <row r="1194" spans="1:15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4">
        <f>IF(SUMIFS('Daily NSE Equity Cash'!$H:$H,'Daily NSE Equity Cash'!$A:$A,$A1194)=0,"",SUMIFS('Daily NSE Equity Cash'!$H:$H,'Daily NSE Equity Cash'!$A:$A,$A1194))</f>
        <v>914.54570000000001</v>
      </c>
      <c r="F1194" s="4">
        <f>IF(SUMIFS('Daily BSE Equity Cash'!$H:$H,'Daily BSE Equity Cash'!$A:$A,$A1194)=0,"",SUMIFS('Daily BSE Equity Cash'!$H:$H,'Daily BSE Equity Cash'!$A:$A,$A1194))</f>
        <v>56.749000000000002</v>
      </c>
      <c r="G1194" s="4">
        <f t="shared" si="162"/>
        <v>971.29470000000003</v>
      </c>
      <c r="H1194" s="7">
        <f t="shared" si="163"/>
        <v>0.13682316253745141</v>
      </c>
      <c r="I1194" s="7">
        <f t="shared" si="164"/>
        <v>-0.22281871841575485</v>
      </c>
      <c r="J1194" s="7">
        <f t="shared" si="165"/>
        <v>0.1068962416718795</v>
      </c>
      <c r="K1194" s="7">
        <f t="shared" si="168"/>
        <v>5.9344048023359353E-2</v>
      </c>
      <c r="L1194" s="7">
        <f t="shared" si="169"/>
        <v>0.19119486822108978</v>
      </c>
      <c r="M1194" s="7">
        <f t="shared" si="170"/>
        <v>6.6239487938792863E-2</v>
      </c>
      <c r="N1194" s="7">
        <f t="shared" si="166"/>
        <v>0.94157386012710664</v>
      </c>
      <c r="O1194" s="7">
        <f t="shared" si="167"/>
        <v>5.8426139872893364E-2</v>
      </c>
    </row>
    <row r="1195" spans="1:15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4">
        <f>IF(SUMIFS('Daily NSE Equity Cash'!$H:$H,'Daily NSE Equity Cash'!$A:$A,$A1195)=0,"",SUMIFS('Daily NSE Equity Cash'!$H:$H,'Daily NSE Equity Cash'!$A:$A,$A1195))</f>
        <v>995.02089999999998</v>
      </c>
      <c r="F1195" s="4">
        <f>IF(SUMIFS('Daily BSE Equity Cash'!$H:$H,'Daily BSE Equity Cash'!$A:$A,$A1195)=0,"",SUMIFS('Daily BSE Equity Cash'!$H:$H,'Daily BSE Equity Cash'!$A:$A,$A1195))</f>
        <v>63.874699999999997</v>
      </c>
      <c r="G1195" s="4">
        <f t="shared" si="162"/>
        <v>1058.8956000000001</v>
      </c>
      <c r="H1195" s="7" t="str">
        <f t="shared" si="163"/>
        <v/>
      </c>
      <c r="I1195" s="7" t="str">
        <f t="shared" si="164"/>
        <v/>
      </c>
      <c r="J1195" s="7" t="str">
        <f t="shared" si="165"/>
        <v/>
      </c>
      <c r="K1195" s="7">
        <f t="shared" si="168"/>
        <v>8.7994727874178391E-2</v>
      </c>
      <c r="L1195" s="7">
        <f t="shared" si="169"/>
        <v>0.12556520819750117</v>
      </c>
      <c r="M1195" s="7">
        <f t="shared" si="170"/>
        <v>9.0189826012640584E-2</v>
      </c>
      <c r="N1195" s="7">
        <f t="shared" si="166"/>
        <v>0.93967800036188642</v>
      </c>
      <c r="O1195" s="7">
        <f t="shared" si="167"/>
        <v>6.0321999638113515E-2</v>
      </c>
    </row>
    <row r="1196" spans="1:15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4">
        <f>IF(SUMIFS('Daily NSE Equity Cash'!$H:$H,'Daily NSE Equity Cash'!$A:$A,$A1196)=0,"",SUMIFS('Daily NSE Equity Cash'!$H:$H,'Daily NSE Equity Cash'!$A:$A,$A1196))</f>
        <v>966.43550000000005</v>
      </c>
      <c r="F1196" s="4">
        <f>IF(SUMIFS('Daily BSE Equity Cash'!$H:$H,'Daily BSE Equity Cash'!$A:$A,$A1196)=0,"",SUMIFS('Daily BSE Equity Cash'!$H:$H,'Daily BSE Equity Cash'!$A:$A,$A1196))</f>
        <v>55.027999999999999</v>
      </c>
      <c r="G1196" s="4">
        <f t="shared" si="162"/>
        <v>1021.4635000000001</v>
      </c>
      <c r="H1196" s="7" t="str">
        <f t="shared" si="163"/>
        <v/>
      </c>
      <c r="I1196" s="7" t="str">
        <f t="shared" si="164"/>
        <v/>
      </c>
      <c r="J1196" s="7" t="str">
        <f t="shared" si="165"/>
        <v/>
      </c>
      <c r="K1196" s="7">
        <f t="shared" si="168"/>
        <v>-2.8728441784489078E-2</v>
      </c>
      <c r="L1196" s="7">
        <f t="shared" si="169"/>
        <v>-0.13850084618792724</v>
      </c>
      <c r="M1196" s="7">
        <f t="shared" si="170"/>
        <v>-3.535013272318821E-2</v>
      </c>
      <c r="N1196" s="7">
        <f t="shared" si="166"/>
        <v>0.94612827575336755</v>
      </c>
      <c r="O1196" s="7">
        <f t="shared" si="167"/>
        <v>5.3871724246632398E-2</v>
      </c>
    </row>
    <row r="1197" spans="1:15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4">
        <f>IF(SUMIFS('Daily NSE Equity Cash'!$H:$H,'Daily NSE Equity Cash'!$A:$A,$A1197)=0,"",SUMIFS('Daily NSE Equity Cash'!$H:$H,'Daily NSE Equity Cash'!$A:$A,$A1197))</f>
        <v>949.27459999999996</v>
      </c>
      <c r="F1197" s="4">
        <f>IF(SUMIFS('Daily BSE Equity Cash'!$H:$H,'Daily BSE Equity Cash'!$A:$A,$A1197)=0,"",SUMIFS('Daily BSE Equity Cash'!$H:$H,'Daily BSE Equity Cash'!$A:$A,$A1197))</f>
        <v>49.393700000000003</v>
      </c>
      <c r="G1197" s="4">
        <f t="shared" si="162"/>
        <v>998.66829999999993</v>
      </c>
      <c r="H1197" s="7">
        <f t="shared" si="163"/>
        <v>-0.3735587192064328</v>
      </c>
      <c r="I1197" s="7">
        <f t="shared" si="164"/>
        <v>-0.56473306538384604</v>
      </c>
      <c r="J1197" s="7">
        <f t="shared" si="165"/>
        <v>-0.38687771054454023</v>
      </c>
      <c r="K1197" s="7">
        <f t="shared" si="168"/>
        <v>-1.7756901521105206E-2</v>
      </c>
      <c r="L1197" s="7">
        <f t="shared" si="169"/>
        <v>-0.10238969252017149</v>
      </c>
      <c r="M1197" s="7">
        <f t="shared" si="170"/>
        <v>-2.2316215900029857E-2</v>
      </c>
      <c r="N1197" s="7">
        <f t="shared" si="166"/>
        <v>0.95054043469688587</v>
      </c>
      <c r="O1197" s="7">
        <f t="shared" si="167"/>
        <v>4.9459565303114163E-2</v>
      </c>
    </row>
    <row r="1198" spans="1:15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4">
        <f>IF(SUMIFS('Daily NSE Equity Cash'!$H:$H,'Daily NSE Equity Cash'!$A:$A,$A1198)=0,"",SUMIFS('Daily NSE Equity Cash'!$H:$H,'Daily NSE Equity Cash'!$A:$A,$A1198))</f>
        <v>875.30930000000001</v>
      </c>
      <c r="F1198" s="4">
        <f>IF(SUMIFS('Daily BSE Equity Cash'!$H:$H,'Daily BSE Equity Cash'!$A:$A,$A1198)=0,"",SUMIFS('Daily BSE Equity Cash'!$H:$H,'Daily BSE Equity Cash'!$A:$A,$A1198))</f>
        <v>49.069499999999998</v>
      </c>
      <c r="G1198" s="4">
        <f t="shared" si="162"/>
        <v>924.37879999999996</v>
      </c>
      <c r="H1198" s="7">
        <f t="shared" si="163"/>
        <v>-0.34930922172842538</v>
      </c>
      <c r="I1198" s="7">
        <f t="shared" si="164"/>
        <v>-0.55219692220083716</v>
      </c>
      <c r="J1198" s="7">
        <f t="shared" si="165"/>
        <v>-0.36459133569758806</v>
      </c>
      <c r="K1198" s="7">
        <f t="shared" si="168"/>
        <v>-7.7917706846891255E-2</v>
      </c>
      <c r="L1198" s="7">
        <f t="shared" si="169"/>
        <v>-6.5635900934735147E-3</v>
      </c>
      <c r="M1198" s="7">
        <f t="shared" si="170"/>
        <v>-7.4388563249679573E-2</v>
      </c>
      <c r="N1198" s="7">
        <f t="shared" si="166"/>
        <v>0.946916242562032</v>
      </c>
      <c r="O1198" s="7">
        <f t="shared" si="167"/>
        <v>5.3083757437968074E-2</v>
      </c>
    </row>
    <row r="1199" spans="1:15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4">
        <f>IF(SUMIFS('Daily NSE Equity Cash'!$H:$H,'Daily NSE Equity Cash'!$A:$A,$A1199)=0,"",SUMIFS('Daily NSE Equity Cash'!$H:$H,'Daily NSE Equity Cash'!$A:$A,$A1199))</f>
        <v>951.50829999999996</v>
      </c>
      <c r="F1199" s="4">
        <f>IF(SUMIFS('Daily BSE Equity Cash'!$H:$H,'Daily BSE Equity Cash'!$A:$A,$A1199)=0,"",SUMIFS('Daily BSE Equity Cash'!$H:$H,'Daily BSE Equity Cash'!$A:$A,$A1199))</f>
        <v>56.367899999999999</v>
      </c>
      <c r="G1199" s="4">
        <f t="shared" si="162"/>
        <v>1007.8761999999999</v>
      </c>
      <c r="H1199" s="7" t="str">
        <f t="shared" si="163"/>
        <v/>
      </c>
      <c r="I1199" s="7" t="str">
        <f t="shared" si="164"/>
        <v/>
      </c>
      <c r="J1199" s="7" t="str">
        <f t="shared" si="165"/>
        <v/>
      </c>
      <c r="K1199" s="7">
        <f t="shared" si="168"/>
        <v>8.7053799154195977E-2</v>
      </c>
      <c r="L1199" s="7">
        <f t="shared" si="169"/>
        <v>0.14873597652309489</v>
      </c>
      <c r="M1199" s="7">
        <f t="shared" si="170"/>
        <v>9.0328120895892372E-2</v>
      </c>
      <c r="N1199" s="7">
        <f t="shared" si="166"/>
        <v>0.94407259542392219</v>
      </c>
      <c r="O1199" s="7">
        <f t="shared" si="167"/>
        <v>5.5927404576077901E-2</v>
      </c>
    </row>
    <row r="1200" spans="1:15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4">
        <f>IF(SUMIFS('Daily NSE Equity Cash'!$H:$H,'Daily NSE Equity Cash'!$A:$A,$A1200)=0,"",SUMIFS('Daily NSE Equity Cash'!$H:$H,'Daily NSE Equity Cash'!$A:$A,$A1200))</f>
        <v>1155.0317</v>
      </c>
      <c r="F1200" s="4">
        <f>IF(SUMIFS('Daily BSE Equity Cash'!$H:$H,'Daily BSE Equity Cash'!$A:$A,$A1200)=0,"",SUMIFS('Daily BSE Equity Cash'!$H:$H,'Daily BSE Equity Cash'!$A:$A,$A1200))</f>
        <v>64.014600000000002</v>
      </c>
      <c r="G1200" s="4">
        <f t="shared" si="162"/>
        <v>1219.0463</v>
      </c>
      <c r="H1200" s="7" t="str">
        <f t="shared" si="163"/>
        <v/>
      </c>
      <c r="I1200" s="7" t="str">
        <f t="shared" si="164"/>
        <v/>
      </c>
      <c r="J1200" s="7" t="str">
        <f t="shared" si="165"/>
        <v/>
      </c>
      <c r="K1200" s="7">
        <f t="shared" si="168"/>
        <v>0.21389555929254644</v>
      </c>
      <c r="L1200" s="7">
        <f t="shared" si="169"/>
        <v>0.13565699626915317</v>
      </c>
      <c r="M1200" s="7">
        <f t="shared" si="170"/>
        <v>0.20951987952488627</v>
      </c>
      <c r="N1200" s="7">
        <f t="shared" si="166"/>
        <v>0.94748796661783885</v>
      </c>
      <c r="O1200" s="7">
        <f t="shared" si="167"/>
        <v>5.2512033382161122E-2</v>
      </c>
    </row>
    <row r="1201" spans="1:15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4">
        <f>IF(SUMIFS('Daily NSE Equity Cash'!$H:$H,'Daily NSE Equity Cash'!$A:$A,$A1201)=0,"",SUMIFS('Daily NSE Equity Cash'!$H:$H,'Daily NSE Equity Cash'!$A:$A,$A1201))</f>
        <v>914.70929999999998</v>
      </c>
      <c r="F1201" s="4">
        <f>IF(SUMIFS('Daily BSE Equity Cash'!$H:$H,'Daily BSE Equity Cash'!$A:$A,$A1201)=0,"",SUMIFS('Daily BSE Equity Cash'!$H:$H,'Daily BSE Equity Cash'!$A:$A,$A1201))</f>
        <v>51.750399999999999</v>
      </c>
      <c r="G1201" s="4">
        <f t="shared" si="162"/>
        <v>966.4597</v>
      </c>
      <c r="H1201" s="7">
        <f t="shared" si="163"/>
        <v>-0.27451583327120477</v>
      </c>
      <c r="I1201" s="7">
        <f t="shared" si="164"/>
        <v>-0.51301762062719081</v>
      </c>
      <c r="J1201" s="7">
        <f t="shared" si="165"/>
        <v>-0.29305515679798055</v>
      </c>
      <c r="K1201" s="7">
        <f t="shared" si="168"/>
        <v>-0.20806563144543999</v>
      </c>
      <c r="L1201" s="7">
        <f t="shared" si="169"/>
        <v>-0.19158441980423224</v>
      </c>
      <c r="M1201" s="7">
        <f t="shared" si="170"/>
        <v>-0.20720016950955844</v>
      </c>
      <c r="N1201" s="7">
        <f t="shared" si="166"/>
        <v>0.94645363898774049</v>
      </c>
      <c r="O1201" s="7">
        <f t="shared" si="167"/>
        <v>5.3546361012259486E-2</v>
      </c>
    </row>
    <row r="1202" spans="1:15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4">
        <f>IF(SUMIFS('Daily NSE Equity Cash'!$H:$H,'Daily NSE Equity Cash'!$A:$A,$A1202)=0,"",SUMIFS('Daily NSE Equity Cash'!$H:$H,'Daily NSE Equity Cash'!$A:$A,$A1202))</f>
        <v>1035.6126999999999</v>
      </c>
      <c r="F1202" s="4">
        <f>IF(SUMIFS('Daily BSE Equity Cash'!$H:$H,'Daily BSE Equity Cash'!$A:$A,$A1202)=0,"",SUMIFS('Daily BSE Equity Cash'!$H:$H,'Daily BSE Equity Cash'!$A:$A,$A1202))</f>
        <v>56.881799999999998</v>
      </c>
      <c r="G1202" s="4">
        <f t="shared" si="162"/>
        <v>1092.4944999999998</v>
      </c>
      <c r="H1202" s="7">
        <f t="shared" si="163"/>
        <v>-0.16632558563379896</v>
      </c>
      <c r="I1202" s="7">
        <f t="shared" si="164"/>
        <v>-0.44039808395533953</v>
      </c>
      <c r="J1202" s="7">
        <f t="shared" si="165"/>
        <v>-0.18705567346098084</v>
      </c>
      <c r="K1202" s="7">
        <f t="shared" si="168"/>
        <v>0.13217685662537804</v>
      </c>
      <c r="L1202" s="7">
        <f t="shared" si="169"/>
        <v>9.915672149394017E-2</v>
      </c>
      <c r="M1202" s="7">
        <f t="shared" si="170"/>
        <v>0.13040874854895645</v>
      </c>
      <c r="N1202" s="7">
        <f t="shared" si="166"/>
        <v>0.94793401705912483</v>
      </c>
      <c r="O1202" s="7">
        <f t="shared" si="167"/>
        <v>5.2065982940875229E-2</v>
      </c>
    </row>
    <row r="1203" spans="1:15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4">
        <f>IF(SUMIFS('Daily NSE Equity Cash'!$H:$H,'Daily NSE Equity Cash'!$A:$A,$A1203)=0,"",SUMIFS('Daily NSE Equity Cash'!$H:$H,'Daily NSE Equity Cash'!$A:$A,$A1203))</f>
        <v>1038.9063000000001</v>
      </c>
      <c r="F1203" s="4">
        <f>IF(SUMIFS('Daily BSE Equity Cash'!$H:$H,'Daily BSE Equity Cash'!$A:$A,$A1203)=0,"",SUMIFS('Daily BSE Equity Cash'!$H:$H,'Daily BSE Equity Cash'!$A:$A,$A1203))</f>
        <v>61.128700000000002</v>
      </c>
      <c r="G1203" s="4">
        <f t="shared" si="162"/>
        <v>1100.0350000000001</v>
      </c>
      <c r="H1203" s="7">
        <f t="shared" si="163"/>
        <v>-0.22945576425004965</v>
      </c>
      <c r="I1203" s="7">
        <f t="shared" si="164"/>
        <v>-0.36656691239101458</v>
      </c>
      <c r="J1203" s="7">
        <f t="shared" si="165"/>
        <v>-0.23861407807611923</v>
      </c>
      <c r="K1203" s="7">
        <f t="shared" si="168"/>
        <v>3.1803395226808195E-3</v>
      </c>
      <c r="L1203" s="7">
        <f t="shared" si="169"/>
        <v>7.4661842628046315E-2</v>
      </c>
      <c r="M1203" s="7">
        <f t="shared" si="170"/>
        <v>6.9020942439530497E-3</v>
      </c>
      <c r="N1203" s="7">
        <f t="shared" si="166"/>
        <v>0.94443022267473309</v>
      </c>
      <c r="O1203" s="7">
        <f t="shared" si="167"/>
        <v>5.5569777325266918E-2</v>
      </c>
    </row>
    <row r="1204" spans="1:15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4">
        <f>IF(SUMIFS('Daily NSE Equity Cash'!$H:$H,'Daily NSE Equity Cash'!$A:$A,$A1204)=0,"",SUMIFS('Daily NSE Equity Cash'!$H:$H,'Daily NSE Equity Cash'!$A:$A,$A1204))</f>
        <v>1017.8964</v>
      </c>
      <c r="F1204" s="4">
        <f>IF(SUMIFS('Daily BSE Equity Cash'!$H:$H,'Daily BSE Equity Cash'!$A:$A,$A1204)=0,"",SUMIFS('Daily BSE Equity Cash'!$H:$H,'Daily BSE Equity Cash'!$A:$A,$A1204))</f>
        <v>71.826599999999999</v>
      </c>
      <c r="G1204" s="4">
        <f t="shared" si="162"/>
        <v>1089.723</v>
      </c>
      <c r="H1204" s="7">
        <f t="shared" si="163"/>
        <v>-0.24878150733973836</v>
      </c>
      <c r="I1204" s="7">
        <f t="shared" si="164"/>
        <v>-0.5950396635225268</v>
      </c>
      <c r="J1204" s="7">
        <f t="shared" si="165"/>
        <v>-0.28886003870628896</v>
      </c>
      <c r="K1204" s="7">
        <f t="shared" si="168"/>
        <v>-2.0223094228998484E-2</v>
      </c>
      <c r="L1204" s="7">
        <f t="shared" si="169"/>
        <v>0.17500617549530739</v>
      </c>
      <c r="M1204" s="7">
        <f t="shared" si="170"/>
        <v>-9.3742471830442486E-3</v>
      </c>
      <c r="N1204" s="7">
        <f t="shared" si="166"/>
        <v>0.93408728640214078</v>
      </c>
      <c r="O1204" s="7">
        <f t="shared" si="167"/>
        <v>6.5912713597859274E-2</v>
      </c>
    </row>
    <row r="1205" spans="1:15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4">
        <f>IF(SUMIFS('Daily NSE Equity Cash'!$H:$H,'Daily NSE Equity Cash'!$A:$A,$A1205)=0,"",SUMIFS('Daily NSE Equity Cash'!$H:$H,'Daily NSE Equity Cash'!$A:$A,$A1205))</f>
        <v>1048.8607999999999</v>
      </c>
      <c r="F1205" s="4">
        <f>IF(SUMIFS('Daily BSE Equity Cash'!$H:$H,'Daily BSE Equity Cash'!$A:$A,$A1205)=0,"",SUMIFS('Daily BSE Equity Cash'!$H:$H,'Daily BSE Equity Cash'!$A:$A,$A1205))</f>
        <v>53.841900000000003</v>
      </c>
      <c r="G1205" s="4">
        <f t="shared" si="162"/>
        <v>1102.7026999999998</v>
      </c>
      <c r="H1205" s="7" t="str">
        <f t="shared" si="163"/>
        <v/>
      </c>
      <c r="I1205" s="7" t="str">
        <f t="shared" si="164"/>
        <v/>
      </c>
      <c r="J1205" s="7" t="str">
        <f t="shared" si="165"/>
        <v/>
      </c>
      <c r="K1205" s="7">
        <f t="shared" si="168"/>
        <v>3.041999166123377E-2</v>
      </c>
      <c r="L1205" s="7">
        <f t="shared" si="169"/>
        <v>-0.25039052384492644</v>
      </c>
      <c r="M1205" s="7">
        <f t="shared" si="170"/>
        <v>1.191100857740901E-2</v>
      </c>
      <c r="N1205" s="7">
        <f t="shared" si="166"/>
        <v>0.95117278664503147</v>
      </c>
      <c r="O1205" s="7">
        <f t="shared" si="167"/>
        <v>4.8827213354968674E-2</v>
      </c>
    </row>
    <row r="1206" spans="1:15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4">
        <f>IF(SUMIFS('Daily NSE Equity Cash'!$H:$H,'Daily NSE Equity Cash'!$A:$A,$A1206)=0,"",SUMIFS('Daily NSE Equity Cash'!$H:$H,'Daily NSE Equity Cash'!$A:$A,$A1206))</f>
        <v>1041.9860000000001</v>
      </c>
      <c r="F1206" s="4">
        <f>IF(SUMIFS('Daily BSE Equity Cash'!$H:$H,'Daily BSE Equity Cash'!$A:$A,$A1206)=0,"",SUMIFS('Daily BSE Equity Cash'!$H:$H,'Daily BSE Equity Cash'!$A:$A,$A1206))</f>
        <v>54.2864</v>
      </c>
      <c r="G1206" s="4">
        <f t="shared" si="162"/>
        <v>1096.2724000000001</v>
      </c>
      <c r="H1206" s="7" t="str">
        <f t="shared" si="163"/>
        <v/>
      </c>
      <c r="I1206" s="7" t="str">
        <f t="shared" si="164"/>
        <v/>
      </c>
      <c r="J1206" s="7" t="str">
        <f t="shared" si="165"/>
        <v/>
      </c>
      <c r="K1206" s="7">
        <f t="shared" si="168"/>
        <v>-6.5545399351371048E-3</v>
      </c>
      <c r="L1206" s="7">
        <f t="shared" si="169"/>
        <v>8.2556521965235774E-3</v>
      </c>
      <c r="M1206" s="7">
        <f t="shared" si="170"/>
        <v>-5.8313995240963923E-3</v>
      </c>
      <c r="N1206" s="7">
        <f t="shared" si="166"/>
        <v>0.9504809206179049</v>
      </c>
      <c r="O1206" s="7">
        <f t="shared" si="167"/>
        <v>4.9519079382095176E-2</v>
      </c>
    </row>
    <row r="1207" spans="1:15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4">
        <f>IF(SUMIFS('Daily NSE Equity Cash'!$H:$H,'Daily NSE Equity Cash'!$A:$A,$A1207)=0,"",SUMIFS('Daily NSE Equity Cash'!$H:$H,'Daily NSE Equity Cash'!$A:$A,$A1207))</f>
        <v>945.11590000000001</v>
      </c>
      <c r="F1207" s="4">
        <f>IF(SUMIFS('Daily BSE Equity Cash'!$H:$H,'Daily BSE Equity Cash'!$A:$A,$A1207)=0,"",SUMIFS('Daily BSE Equity Cash'!$H:$H,'Daily BSE Equity Cash'!$A:$A,$A1207))</f>
        <v>53.194499999999998</v>
      </c>
      <c r="G1207" s="4">
        <f t="shared" si="162"/>
        <v>998.31039999999996</v>
      </c>
      <c r="H1207" s="7">
        <f t="shared" si="163"/>
        <v>-0.36413808554355154</v>
      </c>
      <c r="I1207" s="7">
        <f t="shared" si="164"/>
        <v>-0.5873420372826923</v>
      </c>
      <c r="J1207" s="7">
        <f t="shared" si="165"/>
        <v>-0.38195102834774075</v>
      </c>
      <c r="K1207" s="7">
        <f t="shared" si="168"/>
        <v>-9.2966796098987947E-2</v>
      </c>
      <c r="L1207" s="7">
        <f t="shared" si="169"/>
        <v>-2.0113693300716218E-2</v>
      </c>
      <c r="M1207" s="7">
        <f t="shared" si="170"/>
        <v>-8.935917751828848E-2</v>
      </c>
      <c r="N1207" s="7">
        <f t="shared" si="166"/>
        <v>0.94671547045888738</v>
      </c>
      <c r="O1207" s="7">
        <f t="shared" si="167"/>
        <v>5.3284529541112666E-2</v>
      </c>
    </row>
    <row r="1208" spans="1:15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4">
        <f>IF(SUMIFS('Daily NSE Equity Cash'!$H:$H,'Daily NSE Equity Cash'!$A:$A,$A1208)=0,"",SUMIFS('Daily NSE Equity Cash'!$H:$H,'Daily NSE Equity Cash'!$A:$A,$A1208))</f>
        <v>907.69150000000002</v>
      </c>
      <c r="F1208" s="4">
        <f>IF(SUMIFS('Daily BSE Equity Cash'!$H:$H,'Daily BSE Equity Cash'!$A:$A,$A1208)=0,"",SUMIFS('Daily BSE Equity Cash'!$H:$H,'Daily BSE Equity Cash'!$A:$A,$A1208))</f>
        <v>48.246000000000002</v>
      </c>
      <c r="G1208" s="4">
        <f t="shared" si="162"/>
        <v>955.9375</v>
      </c>
      <c r="H1208" s="7">
        <f t="shared" si="163"/>
        <v>-0.30638457694182797</v>
      </c>
      <c r="I1208" s="7">
        <f t="shared" si="164"/>
        <v>-0.57870856702756646</v>
      </c>
      <c r="J1208" s="7">
        <f t="shared" si="165"/>
        <v>-0.32829807358610319</v>
      </c>
      <c r="K1208" s="7">
        <f t="shared" si="168"/>
        <v>-3.959768320477941E-2</v>
      </c>
      <c r="L1208" s="7">
        <f t="shared" si="169"/>
        <v>-9.3026534698136043E-2</v>
      </c>
      <c r="M1208" s="7">
        <f t="shared" si="170"/>
        <v>-4.2444614420524829E-2</v>
      </c>
      <c r="N1208" s="7">
        <f t="shared" si="166"/>
        <v>0.94953017325923506</v>
      </c>
      <c r="O1208" s="7">
        <f t="shared" si="167"/>
        <v>5.0469826740764959E-2</v>
      </c>
    </row>
    <row r="1209" spans="1:15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4">
        <f>IF(SUMIFS('Daily NSE Equity Cash'!$H:$H,'Daily NSE Equity Cash'!$A:$A,$A1209)=0,"",SUMIFS('Daily NSE Equity Cash'!$H:$H,'Daily NSE Equity Cash'!$A:$A,$A1209))</f>
        <v>889.07849999999996</v>
      </c>
      <c r="F1209" s="4">
        <f>IF(SUMIFS('Daily BSE Equity Cash'!$H:$H,'Daily BSE Equity Cash'!$A:$A,$A1209)=0,"",SUMIFS('Daily BSE Equity Cash'!$H:$H,'Daily BSE Equity Cash'!$A:$A,$A1209))</f>
        <v>45.476900000000001</v>
      </c>
      <c r="G1209" s="4">
        <f t="shared" si="162"/>
        <v>934.55539999999996</v>
      </c>
      <c r="H1209" s="7">
        <f t="shared" si="163"/>
        <v>-0.32931812158969709</v>
      </c>
      <c r="I1209" s="7">
        <f t="shared" si="164"/>
        <v>-0.61151905719464839</v>
      </c>
      <c r="J1209" s="7">
        <f t="shared" si="165"/>
        <v>-0.3522164839729699</v>
      </c>
      <c r="K1209" s="7">
        <f t="shared" si="168"/>
        <v>-2.0505865704372073E-2</v>
      </c>
      <c r="L1209" s="7">
        <f t="shared" si="169"/>
        <v>-5.7395431745636993E-2</v>
      </c>
      <c r="M1209" s="7">
        <f t="shared" si="170"/>
        <v>-2.2367675711016721E-2</v>
      </c>
      <c r="N1209" s="7">
        <f t="shared" si="166"/>
        <v>0.95133846532800515</v>
      </c>
      <c r="O1209" s="7">
        <f t="shared" si="167"/>
        <v>4.8661534671994834E-2</v>
      </c>
    </row>
    <row r="1210" spans="1:15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4">
        <f>IF(SUMIFS('Daily NSE Equity Cash'!$H:$H,'Daily NSE Equity Cash'!$A:$A,$A1210)=0,"",SUMIFS('Daily NSE Equity Cash'!$H:$H,'Daily NSE Equity Cash'!$A:$A,$A1210))</f>
        <v>740.2011</v>
      </c>
      <c r="F1210" s="4">
        <f>IF(SUMIFS('Daily BSE Equity Cash'!$H:$H,'Daily BSE Equity Cash'!$A:$A,$A1210)=0,"",SUMIFS('Daily BSE Equity Cash'!$H:$H,'Daily BSE Equity Cash'!$A:$A,$A1210))</f>
        <v>43.231699999999996</v>
      </c>
      <c r="G1210" s="4">
        <f t="shared" si="162"/>
        <v>783.43280000000004</v>
      </c>
      <c r="H1210" s="7" t="str">
        <f t="shared" si="163"/>
        <v/>
      </c>
      <c r="I1210" s="7" t="str">
        <f t="shared" si="164"/>
        <v/>
      </c>
      <c r="J1210" s="7" t="str">
        <f t="shared" si="165"/>
        <v/>
      </c>
      <c r="K1210" s="7">
        <f t="shared" si="168"/>
        <v>-0.16745135553272295</v>
      </c>
      <c r="L1210" s="7">
        <f t="shared" si="169"/>
        <v>-4.9370119775094645E-2</v>
      </c>
      <c r="M1210" s="7">
        <f t="shared" si="170"/>
        <v>-0.16170534138479098</v>
      </c>
      <c r="N1210" s="7">
        <f t="shared" si="166"/>
        <v>0.9448176027350399</v>
      </c>
      <c r="O1210" s="7">
        <f t="shared" si="167"/>
        <v>5.5182397264960048E-2</v>
      </c>
    </row>
    <row r="1211" spans="1:15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4">
        <f>IF(SUMIFS('Daily NSE Equity Cash'!$H:$H,'Daily NSE Equity Cash'!$A:$A,$A1211)=0,"",SUMIFS('Daily NSE Equity Cash'!$H:$H,'Daily NSE Equity Cash'!$A:$A,$A1211))</f>
        <v>871.97429999999997</v>
      </c>
      <c r="F1211" s="4">
        <f>IF(SUMIFS('Daily BSE Equity Cash'!$H:$H,'Daily BSE Equity Cash'!$A:$A,$A1211)=0,"",SUMIFS('Daily BSE Equity Cash'!$H:$H,'Daily BSE Equity Cash'!$A:$A,$A1211))</f>
        <v>51.001800000000003</v>
      </c>
      <c r="G1211" s="4">
        <f t="shared" si="162"/>
        <v>922.97609999999997</v>
      </c>
      <c r="H1211" s="7" t="str">
        <f t="shared" si="163"/>
        <v/>
      </c>
      <c r="I1211" s="7" t="str">
        <f t="shared" si="164"/>
        <v/>
      </c>
      <c r="J1211" s="7" t="str">
        <f t="shared" si="165"/>
        <v/>
      </c>
      <c r="K1211" s="7">
        <f t="shared" si="168"/>
        <v>0.17802351279942696</v>
      </c>
      <c r="L1211" s="7">
        <f t="shared" si="169"/>
        <v>0.17973153958784893</v>
      </c>
      <c r="M1211" s="7">
        <f t="shared" si="170"/>
        <v>0.17811776581220484</v>
      </c>
      <c r="N1211" s="7">
        <f t="shared" si="166"/>
        <v>0.94474201444652794</v>
      </c>
      <c r="O1211" s="7">
        <f t="shared" si="167"/>
        <v>5.5257985553472083E-2</v>
      </c>
    </row>
    <row r="1212" spans="1:15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4">
        <f>IF(SUMIFS('Daily NSE Equity Cash'!$H:$H,'Daily NSE Equity Cash'!$A:$A,$A1212)=0,"",SUMIFS('Daily NSE Equity Cash'!$H:$H,'Daily NSE Equity Cash'!$A:$A,$A1212))</f>
        <v>1046.0992000000001</v>
      </c>
      <c r="F1212" s="4">
        <f>IF(SUMIFS('Daily BSE Equity Cash'!$H:$H,'Daily BSE Equity Cash'!$A:$A,$A1212)=0,"",SUMIFS('Daily BSE Equity Cash'!$H:$H,'Daily BSE Equity Cash'!$A:$A,$A1212))</f>
        <v>60.671199999999999</v>
      </c>
      <c r="G1212" s="4">
        <f t="shared" si="162"/>
        <v>1106.7704000000001</v>
      </c>
      <c r="H1212" s="7">
        <f t="shared" si="163"/>
        <v>-8.0931586940942268E-2</v>
      </c>
      <c r="I1212" s="7">
        <f t="shared" si="164"/>
        <v>-0.36806494418208369</v>
      </c>
      <c r="J1212" s="7">
        <f t="shared" si="165"/>
        <v>-0.10326727166145888</v>
      </c>
      <c r="K1212" s="7">
        <f t="shared" si="168"/>
        <v>0.19969040371946756</v>
      </c>
      <c r="L1212" s="7">
        <f t="shared" si="169"/>
        <v>0.18958938704124151</v>
      </c>
      <c r="M1212" s="7">
        <f t="shared" si="170"/>
        <v>0.19913224188578682</v>
      </c>
      <c r="N1212" s="7">
        <f t="shared" si="166"/>
        <v>0.94518176488998984</v>
      </c>
      <c r="O1212" s="7">
        <f t="shared" si="167"/>
        <v>5.4818235110010161E-2</v>
      </c>
    </row>
    <row r="1213" spans="1:15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4">
        <f>IF(SUMIFS('Daily NSE Equity Cash'!$H:$H,'Daily NSE Equity Cash'!$A:$A,$A1213)=0,"",SUMIFS('Daily NSE Equity Cash'!$H:$H,'Daily NSE Equity Cash'!$A:$A,$A1213))</f>
        <v>843.94949999999994</v>
      </c>
      <c r="F1213" s="4">
        <f>IF(SUMIFS('Daily BSE Equity Cash'!$H:$H,'Daily BSE Equity Cash'!$A:$A,$A1213)=0,"",SUMIFS('Daily BSE Equity Cash'!$H:$H,'Daily BSE Equity Cash'!$A:$A,$A1213))</f>
        <v>46.758499999999998</v>
      </c>
      <c r="G1213" s="4">
        <f t="shared" si="162"/>
        <v>890.70799999999997</v>
      </c>
      <c r="H1213" s="7">
        <f t="shared" si="163"/>
        <v>-0.22234912532077733</v>
      </c>
      <c r="I1213" s="7">
        <f t="shared" si="164"/>
        <v>-0.4410702246788083</v>
      </c>
      <c r="J1213" s="7">
        <f t="shared" si="165"/>
        <v>-0.23800264895857892</v>
      </c>
      <c r="K1213" s="7">
        <f t="shared" si="168"/>
        <v>-0.19324142490501872</v>
      </c>
      <c r="L1213" s="7">
        <f t="shared" si="169"/>
        <v>-0.22931308429699759</v>
      </c>
      <c r="M1213" s="7">
        <f t="shared" si="170"/>
        <v>-0.19521880961037641</v>
      </c>
      <c r="N1213" s="7">
        <f t="shared" si="166"/>
        <v>0.94750412031776965</v>
      </c>
      <c r="O1213" s="7">
        <f t="shared" si="167"/>
        <v>5.2495879682230316E-2</v>
      </c>
    </row>
    <row r="1214" spans="1:15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4">
        <f>IF(SUMIFS('Daily NSE Equity Cash'!$H:$H,'Daily NSE Equity Cash'!$A:$A,$A1214)=0,"",SUMIFS('Daily NSE Equity Cash'!$H:$H,'Daily NSE Equity Cash'!$A:$A,$A1214))</f>
        <v>856.5847</v>
      </c>
      <c r="F1214" s="4">
        <f>IF(SUMIFS('Daily BSE Equity Cash'!$H:$H,'Daily BSE Equity Cash'!$A:$A,$A1214)=0,"",SUMIFS('Daily BSE Equity Cash'!$H:$H,'Daily BSE Equity Cash'!$A:$A,$A1214))</f>
        <v>54.9054</v>
      </c>
      <c r="G1214" s="4">
        <f t="shared" si="162"/>
        <v>911.49009999999998</v>
      </c>
      <c r="H1214" s="7">
        <f t="shared" si="163"/>
        <v>-0.19675336652716036</v>
      </c>
      <c r="I1214" s="7">
        <f t="shared" si="164"/>
        <v>-0.63489914498996569</v>
      </c>
      <c r="J1214" s="7">
        <f t="shared" si="165"/>
        <v>-0.25090432814346431</v>
      </c>
      <c r="K1214" s="7">
        <f t="shared" si="168"/>
        <v>1.4971511921033187E-2</v>
      </c>
      <c r="L1214" s="7">
        <f t="shared" si="169"/>
        <v>0.17423356181229077</v>
      </c>
      <c r="M1214" s="7">
        <f t="shared" si="170"/>
        <v>2.3332113330070126E-2</v>
      </c>
      <c r="N1214" s="7">
        <f t="shared" si="166"/>
        <v>0.93976303198465894</v>
      </c>
      <c r="O1214" s="7">
        <f t="shared" si="167"/>
        <v>6.0236968015341036E-2</v>
      </c>
    </row>
    <row r="1215" spans="1:15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4">
        <f>IF(SUMIFS('Daily NSE Equity Cash'!$H:$H,'Daily NSE Equity Cash'!$A:$A,$A1215)=0,"",SUMIFS('Daily NSE Equity Cash'!$H:$H,'Daily NSE Equity Cash'!$A:$A,$A1215))</f>
        <v>826.81349999999998</v>
      </c>
      <c r="F1215" s="4">
        <f>IF(SUMIFS('Daily BSE Equity Cash'!$H:$H,'Daily BSE Equity Cash'!$A:$A,$A1215)=0,"",SUMIFS('Daily BSE Equity Cash'!$H:$H,'Daily BSE Equity Cash'!$A:$A,$A1215))</f>
        <v>47.272799999999997</v>
      </c>
      <c r="G1215" s="4">
        <f t="shared" si="162"/>
        <v>874.08629999999994</v>
      </c>
      <c r="H1215" s="7" t="str">
        <f t="shared" si="163"/>
        <v/>
      </c>
      <c r="I1215" s="7" t="str">
        <f t="shared" si="164"/>
        <v/>
      </c>
      <c r="J1215" s="7" t="str">
        <f t="shared" si="165"/>
        <v/>
      </c>
      <c r="K1215" s="7">
        <f t="shared" si="168"/>
        <v>-3.4755698998592877E-2</v>
      </c>
      <c r="L1215" s="7">
        <f t="shared" si="169"/>
        <v>-0.13901364893070633</v>
      </c>
      <c r="M1215" s="7">
        <f t="shared" si="170"/>
        <v>-4.1035881793998641E-2</v>
      </c>
      <c r="N1215" s="7">
        <f t="shared" si="166"/>
        <v>0.94591746833236034</v>
      </c>
      <c r="O1215" s="7">
        <f t="shared" si="167"/>
        <v>5.4082531667639683E-2</v>
      </c>
    </row>
    <row r="1216" spans="1:15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4">
        <f>IF(SUMIFS('Daily NSE Equity Cash'!$H:$H,'Daily NSE Equity Cash'!$A:$A,$A1216)=0,"",SUMIFS('Daily NSE Equity Cash'!$H:$H,'Daily NSE Equity Cash'!$A:$A,$A1216))</f>
        <v>848.76070000000004</v>
      </c>
      <c r="F1216" s="4">
        <f>IF(SUMIFS('Daily BSE Equity Cash'!$H:$H,'Daily BSE Equity Cash'!$A:$A,$A1216)=0,"",SUMIFS('Daily BSE Equity Cash'!$H:$H,'Daily BSE Equity Cash'!$A:$A,$A1216))</f>
        <v>49.0989</v>
      </c>
      <c r="G1216" s="4">
        <f t="shared" si="162"/>
        <v>897.8596</v>
      </c>
      <c r="H1216" s="7" t="str">
        <f t="shared" si="163"/>
        <v/>
      </c>
      <c r="I1216" s="7" t="str">
        <f t="shared" si="164"/>
        <v/>
      </c>
      <c r="J1216" s="7" t="str">
        <f t="shared" si="165"/>
        <v/>
      </c>
      <c r="K1216" s="7">
        <f t="shared" si="168"/>
        <v>2.6544317430714504E-2</v>
      </c>
      <c r="L1216" s="7">
        <f t="shared" si="169"/>
        <v>3.8628979032339972E-2</v>
      </c>
      <c r="M1216" s="7">
        <f t="shared" si="170"/>
        <v>2.7197886524477077E-2</v>
      </c>
      <c r="N1216" s="7">
        <f t="shared" si="166"/>
        <v>0.94531561504716333</v>
      </c>
      <c r="O1216" s="7">
        <f t="shared" si="167"/>
        <v>5.4684384952836722E-2</v>
      </c>
    </row>
    <row r="1217" spans="1:15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4">
        <f>IF(SUMIFS('Daily NSE Equity Cash'!$H:$H,'Daily NSE Equity Cash'!$A:$A,$A1217)=0,"",SUMIFS('Daily NSE Equity Cash'!$H:$H,'Daily NSE Equity Cash'!$A:$A,$A1217))</f>
        <v>842.0385</v>
      </c>
      <c r="F1217" s="4">
        <f>IF(SUMIFS('Daily BSE Equity Cash'!$H:$H,'Daily BSE Equity Cash'!$A:$A,$A1217)=0,"",SUMIFS('Daily BSE Equity Cash'!$H:$H,'Daily BSE Equity Cash'!$A:$A,$A1217))</f>
        <v>49.164999999999999</v>
      </c>
      <c r="G1217" s="4">
        <f t="shared" si="162"/>
        <v>891.20349999999996</v>
      </c>
      <c r="H1217" s="7">
        <f t="shared" si="163"/>
        <v>-0.11411944869187096</v>
      </c>
      <c r="I1217" s="7">
        <f t="shared" si="164"/>
        <v>-0.41444445767778659</v>
      </c>
      <c r="J1217" s="7">
        <f t="shared" si="165"/>
        <v>-0.13849532303011824</v>
      </c>
      <c r="K1217" s="7">
        <f t="shared" si="168"/>
        <v>-7.920017974442084E-3</v>
      </c>
      <c r="L1217" s="7">
        <f t="shared" si="169"/>
        <v>1.3462623398894369E-3</v>
      </c>
      <c r="M1217" s="7">
        <f t="shared" si="170"/>
        <v>-7.4132971346523302E-3</v>
      </c>
      <c r="N1217" s="7">
        <f t="shared" si="166"/>
        <v>0.94483302635144506</v>
      </c>
      <c r="O1217" s="7">
        <f t="shared" si="167"/>
        <v>5.5166973648555016E-2</v>
      </c>
    </row>
    <row r="1218" spans="1:15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4">
        <f>IF(SUMIFS('Daily NSE Equity Cash'!$H:$H,'Daily NSE Equity Cash'!$A:$A,$A1218)=0,"",SUMIFS('Daily NSE Equity Cash'!$H:$H,'Daily NSE Equity Cash'!$A:$A,$A1218))</f>
        <v>803.72199999999998</v>
      </c>
      <c r="F1218" s="4">
        <f>IF(SUMIFS('Daily BSE Equity Cash'!$H:$H,'Daily BSE Equity Cash'!$A:$A,$A1218)=0,"",SUMIFS('Daily BSE Equity Cash'!$H:$H,'Daily BSE Equity Cash'!$A:$A,$A1218))</f>
        <v>40.507399999999997</v>
      </c>
      <c r="G1218" s="4">
        <f t="shared" ref="G1218:G1281" si="171">IF(OR(E1218="",F1218=""),"",E1218+F1218)</f>
        <v>844.22939999999994</v>
      </c>
      <c r="H1218" s="7">
        <f t="shared" ref="H1218:H1281" si="172">IFERROR(IF(OR(E1218="",INDEX(E:E,MATCH(DATE(YEAR($A1218)-1,MONTH($A1218),DAY($A1218)),$A:$A,0))=""),"",E1218/INDEX(E:E,MATCH(DATE(YEAR($A1218)-1,MONTH($A1218),DAY($A1218)),$A:$A,0))-1),"")</f>
        <v>-0.14366859507319807</v>
      </c>
      <c r="I1218" s="7">
        <f t="shared" ref="I1218:I1281" si="173">IFERROR(IF(OR(F1218="",INDEX(F:F,MATCH(DATE(YEAR($A1218)-1,MONTH($A1218),DAY($A1218)),$A:$A,0))=""),"",F1218/INDEX(F:F,MATCH(DATE(YEAR($A1218)-1,MONTH($A1218),DAY($A1218)),$A:$A,0))-1),"")</f>
        <v>-0.62622964131059633</v>
      </c>
      <c r="J1218" s="7">
        <f t="shared" ref="J1218:J1281" si="174">IFERROR(IF(OR(G1218="",INDEX(G:G,MATCH(DATE(YEAR($A1218)-1,MONTH($A1218),DAY($A1218)),$A:$A,0))=""),"",G1218/INDEX(G:G,MATCH(DATE(YEAR($A1218)-1,MONTH($A1218),DAY($A1218)),$A:$A,0))-1),"")</f>
        <v>-0.19362144491089417</v>
      </c>
      <c r="K1218" s="7">
        <f t="shared" si="168"/>
        <v>-4.5504451399787538E-2</v>
      </c>
      <c r="L1218" s="7">
        <f t="shared" si="169"/>
        <v>-0.17609274890674265</v>
      </c>
      <c r="M1218" s="7">
        <f t="shared" si="170"/>
        <v>-5.2708612567163415E-2</v>
      </c>
      <c r="N1218" s="7">
        <f t="shared" ref="N1218:N1281" si="175">IF(G1218="","",E1218/G1218)</f>
        <v>0.95201849165641472</v>
      </c>
      <c r="O1218" s="7">
        <f t="shared" ref="O1218:O1281" si="176">IF(G1218="","",F1218/G1218)</f>
        <v>4.7981508343585284E-2</v>
      </c>
    </row>
    <row r="1219" spans="1:15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4">
        <f>IF(SUMIFS('Daily NSE Equity Cash'!$H:$H,'Daily NSE Equity Cash'!$A:$A,$A1219)=0,"",SUMIFS('Daily NSE Equity Cash'!$H:$H,'Daily NSE Equity Cash'!$A:$A,$A1219))</f>
        <v>856.27700000000004</v>
      </c>
      <c r="F1219" s="4">
        <f>IF(SUMIFS('Daily BSE Equity Cash'!$H:$H,'Daily BSE Equity Cash'!$A:$A,$A1219)=0,"",SUMIFS('Daily BSE Equity Cash'!$H:$H,'Daily BSE Equity Cash'!$A:$A,$A1219))</f>
        <v>51.258400000000002</v>
      </c>
      <c r="G1219" s="4">
        <f t="shared" si="171"/>
        <v>907.5354000000001</v>
      </c>
      <c r="H1219" s="7">
        <f t="shared" si="172"/>
        <v>-0.19194871289156212</v>
      </c>
      <c r="I1219" s="7">
        <f t="shared" si="173"/>
        <v>-0.37672633711329928</v>
      </c>
      <c r="J1219" s="7">
        <f t="shared" si="174"/>
        <v>-0.20525629550387015</v>
      </c>
      <c r="K1219" s="7">
        <f t="shared" ref="K1219:K1282" si="177">IF(OR(E1219="",E1218=""),"",E1219/E1218-1)</f>
        <v>6.5389525233849666E-2</v>
      </c>
      <c r="L1219" s="7">
        <f t="shared" ref="L1219:L1282" si="178">IF(OR(F1219="",F1218=""),"",F1219/F1218-1)</f>
        <v>0.2654082957681807</v>
      </c>
      <c r="M1219" s="7">
        <f t="shared" ref="M1219:M1282" si="179">IF(OR(G1219="",G1218=""),"",G1219/G1218-1)</f>
        <v>7.498672754111646E-2</v>
      </c>
      <c r="N1219" s="7">
        <f t="shared" si="175"/>
        <v>0.94351911782174003</v>
      </c>
      <c r="O1219" s="7">
        <f t="shared" si="176"/>
        <v>5.6480882178259931E-2</v>
      </c>
    </row>
    <row r="1220" spans="1:15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4">
        <f>IF(SUMIFS('Daily NSE Equity Cash'!$H:$H,'Daily NSE Equity Cash'!$A:$A,$A1220)=0,"",SUMIFS('Daily NSE Equity Cash'!$H:$H,'Daily NSE Equity Cash'!$A:$A,$A1220))</f>
        <v>719.47320000000002</v>
      </c>
      <c r="F1220" s="4">
        <f>IF(SUMIFS('Daily BSE Equity Cash'!$H:$H,'Daily BSE Equity Cash'!$A:$A,$A1220)=0,"",SUMIFS('Daily BSE Equity Cash'!$H:$H,'Daily BSE Equity Cash'!$A:$A,$A1220))</f>
        <v>35.302799999999998</v>
      </c>
      <c r="G1220" s="4">
        <f t="shared" si="171"/>
        <v>754.77600000000007</v>
      </c>
      <c r="H1220" s="7" t="str">
        <f t="shared" si="172"/>
        <v/>
      </c>
      <c r="I1220" s="7" t="str">
        <f t="shared" si="173"/>
        <v/>
      </c>
      <c r="J1220" s="7" t="str">
        <f t="shared" si="174"/>
        <v/>
      </c>
      <c r="K1220" s="7">
        <f t="shared" si="177"/>
        <v>-0.15976582344264767</v>
      </c>
      <c r="L1220" s="7">
        <f t="shared" si="178"/>
        <v>-0.31127776130351326</v>
      </c>
      <c r="M1220" s="7">
        <f t="shared" si="179"/>
        <v>-0.16832335135356702</v>
      </c>
      <c r="N1220" s="7">
        <f t="shared" si="175"/>
        <v>0.95322744761359657</v>
      </c>
      <c r="O1220" s="7">
        <f t="shared" si="176"/>
        <v>4.6772552386403377E-2</v>
      </c>
    </row>
    <row r="1221" spans="1:15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4">
        <f>IF(SUMIFS('Daily NSE Equity Cash'!$H:$H,'Daily NSE Equity Cash'!$A:$A,$A1221)=0,"",SUMIFS('Daily NSE Equity Cash'!$H:$H,'Daily NSE Equity Cash'!$A:$A,$A1221))</f>
        <v>750.2998</v>
      </c>
      <c r="F1221" s="4">
        <f>IF(SUMIFS('Daily BSE Equity Cash'!$H:$H,'Daily BSE Equity Cash'!$A:$A,$A1221)=0,"",SUMIFS('Daily BSE Equity Cash'!$H:$H,'Daily BSE Equity Cash'!$A:$A,$A1221))</f>
        <v>42.187800000000003</v>
      </c>
      <c r="G1221" s="4">
        <f t="shared" si="171"/>
        <v>792.48760000000004</v>
      </c>
      <c r="H1221" s="7" t="str">
        <f t="shared" si="172"/>
        <v/>
      </c>
      <c r="I1221" s="7" t="str">
        <f t="shared" si="173"/>
        <v/>
      </c>
      <c r="J1221" s="7" t="str">
        <f t="shared" si="174"/>
        <v/>
      </c>
      <c r="K1221" s="7">
        <f t="shared" si="177"/>
        <v>4.2846071264363905E-2</v>
      </c>
      <c r="L1221" s="7">
        <f t="shared" si="178"/>
        <v>0.19502702335225552</v>
      </c>
      <c r="M1221" s="7">
        <f t="shared" si="179"/>
        <v>4.9963962818107666E-2</v>
      </c>
      <c r="N1221" s="7">
        <f t="shared" si="175"/>
        <v>0.94676535001935669</v>
      </c>
      <c r="O1221" s="7">
        <f t="shared" si="176"/>
        <v>5.3234649980643228E-2</v>
      </c>
    </row>
    <row r="1222" spans="1:15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4">
        <f>IF(SUMIFS('Daily NSE Equity Cash'!$H:$H,'Daily NSE Equity Cash'!$A:$A,$A1222)=0,"",SUMIFS('Daily NSE Equity Cash'!$H:$H,'Daily NSE Equity Cash'!$A:$A,$A1222))</f>
        <v>940.80409999999995</v>
      </c>
      <c r="F1222" s="4">
        <f>IF(SUMIFS('Daily BSE Equity Cash'!$H:$H,'Daily BSE Equity Cash'!$A:$A,$A1222)=0,"",SUMIFS('Daily BSE Equity Cash'!$H:$H,'Daily BSE Equity Cash'!$A:$A,$A1222))</f>
        <v>41.79</v>
      </c>
      <c r="G1222" s="4">
        <f t="shared" si="171"/>
        <v>982.59409999999991</v>
      </c>
      <c r="H1222" s="7">
        <f t="shared" si="172"/>
        <v>-3.5614257634815405E-2</v>
      </c>
      <c r="I1222" s="7">
        <f t="shared" si="173"/>
        <v>-0.56911795486203842</v>
      </c>
      <c r="J1222" s="7">
        <f t="shared" si="174"/>
        <v>-8.3857900714811473E-2</v>
      </c>
      <c r="K1222" s="7">
        <f t="shared" si="177"/>
        <v>0.2539042393453923</v>
      </c>
      <c r="L1222" s="7">
        <f t="shared" si="178"/>
        <v>-9.4292662807732297E-3</v>
      </c>
      <c r="M1222" s="7">
        <f t="shared" si="179"/>
        <v>0.23988577234520747</v>
      </c>
      <c r="N1222" s="7">
        <f t="shared" si="175"/>
        <v>0.95746972223830784</v>
      </c>
      <c r="O1222" s="7">
        <f t="shared" si="176"/>
        <v>4.2530277761692242E-2</v>
      </c>
    </row>
    <row r="1223" spans="1:15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4">
        <f>IF(SUMIFS('Daily NSE Equity Cash'!$H:$H,'Daily NSE Equity Cash'!$A:$A,$A1223)=0,"",SUMIFS('Daily NSE Equity Cash'!$H:$H,'Daily NSE Equity Cash'!$A:$A,$A1223))</f>
        <v>1534.6351999999999</v>
      </c>
      <c r="F1223" s="4">
        <f>IF(SUMIFS('Daily BSE Equity Cash'!$H:$H,'Daily BSE Equity Cash'!$A:$A,$A1223)=0,"",SUMIFS('Daily BSE Equity Cash'!$H:$H,'Daily BSE Equity Cash'!$A:$A,$A1223))</f>
        <v>54.847299999999997</v>
      </c>
      <c r="G1223" s="4">
        <f t="shared" si="171"/>
        <v>1589.4824999999998</v>
      </c>
      <c r="H1223" s="7">
        <f t="shared" si="172"/>
        <v>0.64005410579613198</v>
      </c>
      <c r="I1223" s="7">
        <f t="shared" si="173"/>
        <v>-0.22779538456556603</v>
      </c>
      <c r="J1223" s="7">
        <f t="shared" si="174"/>
        <v>0.57882668295142414</v>
      </c>
      <c r="K1223" s="7">
        <f t="shared" si="177"/>
        <v>0.63119527221448113</v>
      </c>
      <c r="L1223" s="7">
        <f t="shared" si="178"/>
        <v>0.31245034697296004</v>
      </c>
      <c r="M1223" s="7">
        <f t="shared" si="179"/>
        <v>0.6176389620088294</v>
      </c>
      <c r="N1223" s="7">
        <f t="shared" si="175"/>
        <v>0.96549361191456973</v>
      </c>
      <c r="O1223" s="7">
        <f t="shared" si="176"/>
        <v>3.4506388085430321E-2</v>
      </c>
    </row>
    <row r="1224" spans="1:15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4">
        <f>IF(SUMIFS('Daily NSE Equity Cash'!$H:$H,'Daily NSE Equity Cash'!$A:$A,$A1224)=0,"",SUMIFS('Daily NSE Equity Cash'!$H:$H,'Daily NSE Equity Cash'!$A:$A,$A1224))</f>
        <v>949.75360000000001</v>
      </c>
      <c r="F1224" s="4">
        <f>IF(SUMIFS('Daily BSE Equity Cash'!$H:$H,'Daily BSE Equity Cash'!$A:$A,$A1224)=0,"",SUMIFS('Daily BSE Equity Cash'!$H:$H,'Daily BSE Equity Cash'!$A:$A,$A1224))</f>
        <v>60.073099999999997</v>
      </c>
      <c r="G1224" s="4">
        <f t="shared" si="171"/>
        <v>1009.8267</v>
      </c>
      <c r="H1224" s="7" t="str">
        <f t="shared" si="172"/>
        <v/>
      </c>
      <c r="I1224" s="7" t="str">
        <f t="shared" si="173"/>
        <v/>
      </c>
      <c r="J1224" s="7" t="str">
        <f t="shared" si="174"/>
        <v/>
      </c>
      <c r="K1224" s="7">
        <f t="shared" si="177"/>
        <v>-0.38112093349611686</v>
      </c>
      <c r="L1224" s="7">
        <f t="shared" si="178"/>
        <v>9.5279074813163112E-2</v>
      </c>
      <c r="M1224" s="7">
        <f t="shared" si="179"/>
        <v>-0.36468208992549456</v>
      </c>
      <c r="N1224" s="7">
        <f t="shared" si="175"/>
        <v>0.9405114758799703</v>
      </c>
      <c r="O1224" s="7">
        <f t="shared" si="176"/>
        <v>5.9488524120029702E-2</v>
      </c>
    </row>
    <row r="1225" spans="1:15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4">
        <f>IF(SUMIFS('Daily NSE Equity Cash'!$H:$H,'Daily NSE Equity Cash'!$A:$A,$A1225)=0,"",SUMIFS('Daily NSE Equity Cash'!$H:$H,'Daily NSE Equity Cash'!$A:$A,$A1225))</f>
        <v>879.16380000000004</v>
      </c>
      <c r="F1225" s="4">
        <f>IF(SUMIFS('Daily BSE Equity Cash'!$H:$H,'Daily BSE Equity Cash'!$A:$A,$A1225)=0,"",SUMIFS('Daily BSE Equity Cash'!$H:$H,'Daily BSE Equity Cash'!$A:$A,$A1225))</f>
        <v>42.206600000000002</v>
      </c>
      <c r="G1225" s="4">
        <f t="shared" si="171"/>
        <v>921.37040000000002</v>
      </c>
      <c r="H1225" s="7">
        <f t="shared" si="172"/>
        <v>-3.569532991666724E-2</v>
      </c>
      <c r="I1225" s="7">
        <f t="shared" si="173"/>
        <v>-0.41762391839178947</v>
      </c>
      <c r="J1225" s="7">
        <f t="shared" si="174"/>
        <v>-6.3819790798558707E-2</v>
      </c>
      <c r="K1225" s="7">
        <f t="shared" si="177"/>
        <v>-7.4324330015700935E-2</v>
      </c>
      <c r="L1225" s="7">
        <f t="shared" si="178"/>
        <v>-0.29741265225200619</v>
      </c>
      <c r="M1225" s="7">
        <f t="shared" si="179"/>
        <v>-8.7595525053952294E-2</v>
      </c>
      <c r="N1225" s="7">
        <f t="shared" si="175"/>
        <v>0.95419149562434391</v>
      </c>
      <c r="O1225" s="7">
        <f t="shared" si="176"/>
        <v>4.5808504375656089E-2</v>
      </c>
    </row>
    <row r="1226" spans="1:15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4">
        <f>IF(SUMIFS('Daily NSE Equity Cash'!$H:$H,'Daily NSE Equity Cash'!$A:$A,$A1226)=0,"",SUMIFS('Daily NSE Equity Cash'!$H:$H,'Daily NSE Equity Cash'!$A:$A,$A1226))</f>
        <v>960.43579999999997</v>
      </c>
      <c r="F1226" s="4">
        <f>IF(SUMIFS('Daily BSE Equity Cash'!$H:$H,'Daily BSE Equity Cash'!$A:$A,$A1226)=0,"",SUMIFS('Daily BSE Equity Cash'!$H:$H,'Daily BSE Equity Cash'!$A:$A,$A1226))</f>
        <v>72.107799999999997</v>
      </c>
      <c r="G1226" s="4">
        <f t="shared" si="171"/>
        <v>1032.5436</v>
      </c>
      <c r="H1226" s="7">
        <f t="shared" si="172"/>
        <v>5.6941486468189417E-3</v>
      </c>
      <c r="I1226" s="7">
        <f t="shared" si="173"/>
        <v>-0.15687945849688223</v>
      </c>
      <c r="J1226" s="7">
        <f t="shared" si="174"/>
        <v>-7.6684528200631208E-3</v>
      </c>
      <c r="K1226" s="7">
        <f t="shared" si="177"/>
        <v>9.2442386731573789E-2</v>
      </c>
      <c r="L1226" s="7">
        <f t="shared" si="178"/>
        <v>0.70844844171290733</v>
      </c>
      <c r="M1226" s="7">
        <f t="shared" si="179"/>
        <v>0.12066070279661689</v>
      </c>
      <c r="N1226" s="7">
        <f t="shared" si="175"/>
        <v>0.9301648860154671</v>
      </c>
      <c r="O1226" s="7">
        <f t="shared" si="176"/>
        <v>6.9835113984532959E-2</v>
      </c>
    </row>
    <row r="1227" spans="1:15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4">
        <f>IF(SUMIFS('Daily NSE Equity Cash'!$H:$H,'Daily NSE Equity Cash'!$A:$A,$A1227)=0,"",SUMIFS('Daily NSE Equity Cash'!$H:$H,'Daily NSE Equity Cash'!$A:$A,$A1227))</f>
        <v>949.50099999999998</v>
      </c>
      <c r="F1227" s="4">
        <f>IF(SUMIFS('Daily BSE Equity Cash'!$H:$H,'Daily BSE Equity Cash'!$A:$A,$A1227)=0,"",SUMIFS('Daily BSE Equity Cash'!$H:$H,'Daily BSE Equity Cash'!$A:$A,$A1227))</f>
        <v>50.048999999999999</v>
      </c>
      <c r="G1227" s="4">
        <f t="shared" si="171"/>
        <v>999.55</v>
      </c>
      <c r="H1227" s="7">
        <f t="shared" si="172"/>
        <v>-0.13841613739884351</v>
      </c>
      <c r="I1227" s="7">
        <f t="shared" si="173"/>
        <v>-0.54778936411860535</v>
      </c>
      <c r="J1227" s="7">
        <f t="shared" si="174"/>
        <v>-0.17577678430658561</v>
      </c>
      <c r="K1227" s="7">
        <f t="shared" si="177"/>
        <v>-1.1385248238351742E-2</v>
      </c>
      <c r="L1227" s="7">
        <f t="shared" si="178"/>
        <v>-0.30591420068286646</v>
      </c>
      <c r="M1227" s="7">
        <f t="shared" si="179"/>
        <v>-3.1953711204059543E-2</v>
      </c>
      <c r="N1227" s="7">
        <f t="shared" si="175"/>
        <v>0.94992846781051477</v>
      </c>
      <c r="O1227" s="7">
        <f t="shared" si="176"/>
        <v>5.007153218948527E-2</v>
      </c>
    </row>
    <row r="1228" spans="1:15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4">
        <f>IF(SUMIFS('Daily NSE Equity Cash'!$H:$H,'Daily NSE Equity Cash'!$A:$A,$A1228)=0,"",SUMIFS('Daily NSE Equity Cash'!$H:$H,'Daily NSE Equity Cash'!$A:$A,$A1228))</f>
        <v>823.44200000000001</v>
      </c>
      <c r="F1228" s="4">
        <f>IF(SUMIFS('Daily BSE Equity Cash'!$H:$H,'Daily BSE Equity Cash'!$A:$A,$A1228)=0,"",SUMIFS('Daily BSE Equity Cash'!$H:$H,'Daily BSE Equity Cash'!$A:$A,$A1228))</f>
        <v>44.229300000000002</v>
      </c>
      <c r="G1228" s="4">
        <f t="shared" si="171"/>
        <v>867.67129999999997</v>
      </c>
      <c r="H1228" s="7">
        <f t="shared" si="172"/>
        <v>-0.2178209188131166</v>
      </c>
      <c r="I1228" s="7">
        <f t="shared" si="173"/>
        <v>-0.37291867521125155</v>
      </c>
      <c r="J1228" s="7">
        <f t="shared" si="174"/>
        <v>-0.22755962908104055</v>
      </c>
      <c r="K1228" s="7">
        <f t="shared" si="177"/>
        <v>-0.13276341994373886</v>
      </c>
      <c r="L1228" s="7">
        <f t="shared" si="178"/>
        <v>-0.11628004555535565</v>
      </c>
      <c r="M1228" s="7">
        <f t="shared" si="179"/>
        <v>-0.13193807213245956</v>
      </c>
      <c r="N1228" s="7">
        <f t="shared" si="175"/>
        <v>0.94902528180890622</v>
      </c>
      <c r="O1228" s="7">
        <f t="shared" si="176"/>
        <v>5.0974718191093796E-2</v>
      </c>
    </row>
    <row r="1229" spans="1:15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4">
        <f>IF(SUMIFS('Daily NSE Equity Cash'!$H:$H,'Daily NSE Equity Cash'!$A:$A,$A1229)=0,"",SUMIFS('Daily NSE Equity Cash'!$H:$H,'Daily NSE Equity Cash'!$A:$A,$A1229))</f>
        <v>779.0806</v>
      </c>
      <c r="F1229" s="4">
        <f>IF(SUMIFS('Daily BSE Equity Cash'!$H:$H,'Daily BSE Equity Cash'!$A:$A,$A1229)=0,"",SUMIFS('Daily BSE Equity Cash'!$H:$H,'Daily BSE Equity Cash'!$A:$A,$A1229))</f>
        <v>43.856099999999998</v>
      </c>
      <c r="G1229" s="4">
        <f t="shared" si="171"/>
        <v>822.93669999999997</v>
      </c>
      <c r="H1229" s="7" t="str">
        <f t="shared" si="172"/>
        <v/>
      </c>
      <c r="I1229" s="7" t="str">
        <f t="shared" si="173"/>
        <v/>
      </c>
      <c r="J1229" s="7" t="str">
        <f t="shared" si="174"/>
        <v/>
      </c>
      <c r="K1229" s="7">
        <f t="shared" si="177"/>
        <v>-5.3873132533924672E-2</v>
      </c>
      <c r="L1229" s="7">
        <f t="shared" si="178"/>
        <v>-8.4378455006071107E-3</v>
      </c>
      <c r="M1229" s="7">
        <f t="shared" si="179"/>
        <v>-5.1557081581469877E-2</v>
      </c>
      <c r="N1229" s="7">
        <f t="shared" si="175"/>
        <v>0.94670780875369887</v>
      </c>
      <c r="O1229" s="7">
        <f t="shared" si="176"/>
        <v>5.3292191246301204E-2</v>
      </c>
    </row>
    <row r="1230" spans="1:15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4">
        <f>IF(SUMIFS('Daily NSE Equity Cash'!$H:$H,'Daily NSE Equity Cash'!$A:$A,$A1230)=0,"",SUMIFS('Daily NSE Equity Cash'!$H:$H,'Daily NSE Equity Cash'!$A:$A,$A1230))</f>
        <v>860.56600000000003</v>
      </c>
      <c r="F1230" s="4">
        <f>IF(SUMIFS('Daily BSE Equity Cash'!$H:$H,'Daily BSE Equity Cash'!$A:$A,$A1230)=0,"",SUMIFS('Daily BSE Equity Cash'!$H:$H,'Daily BSE Equity Cash'!$A:$A,$A1230))</f>
        <v>44.231999999999999</v>
      </c>
      <c r="G1230" s="4">
        <f t="shared" si="171"/>
        <v>904.798</v>
      </c>
      <c r="H1230" s="7">
        <f t="shared" si="172"/>
        <v>-0.13373301031417861</v>
      </c>
      <c r="I1230" s="7">
        <f t="shared" si="173"/>
        <v>-0.67117250730963174</v>
      </c>
      <c r="J1230" s="7">
        <f t="shared" si="174"/>
        <v>-0.19782660888073866</v>
      </c>
      <c r="K1230" s="7">
        <f t="shared" si="177"/>
        <v>0.10459174570641339</v>
      </c>
      <c r="L1230" s="7">
        <f t="shared" si="178"/>
        <v>8.5712135826030433E-3</v>
      </c>
      <c r="M1230" s="7">
        <f t="shared" si="179"/>
        <v>9.9474601144899699E-2</v>
      </c>
      <c r="N1230" s="7">
        <f t="shared" si="175"/>
        <v>0.95111395029608825</v>
      </c>
      <c r="O1230" s="7">
        <f t="shared" si="176"/>
        <v>4.8886049703911812E-2</v>
      </c>
    </row>
    <row r="1231" spans="1:15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4">
        <f>IF(SUMIFS('Daily NSE Equity Cash'!$H:$H,'Daily NSE Equity Cash'!$A:$A,$A1231)=0,"",SUMIFS('Daily NSE Equity Cash'!$H:$H,'Daily NSE Equity Cash'!$A:$A,$A1231))</f>
        <v>855.31560000000002</v>
      </c>
      <c r="F1231" s="4">
        <f>IF(SUMIFS('Daily BSE Equity Cash'!$H:$H,'Daily BSE Equity Cash'!$A:$A,$A1231)=0,"",SUMIFS('Daily BSE Equity Cash'!$H:$H,'Daily BSE Equity Cash'!$A:$A,$A1231))</f>
        <v>48.833599999999997</v>
      </c>
      <c r="G1231" s="4">
        <f t="shared" si="171"/>
        <v>904.14920000000006</v>
      </c>
      <c r="H1231" s="7">
        <f t="shared" si="172"/>
        <v>-0.129660778425017</v>
      </c>
      <c r="I1231" s="7">
        <f t="shared" si="173"/>
        <v>-0.30184155559336234</v>
      </c>
      <c r="J1231" s="7">
        <f t="shared" si="174"/>
        <v>-0.14110144112504741</v>
      </c>
      <c r="K1231" s="7">
        <f t="shared" si="177"/>
        <v>-6.1011009033589136E-3</v>
      </c>
      <c r="L1231" s="7">
        <f t="shared" si="178"/>
        <v>0.10403327907397353</v>
      </c>
      <c r="M1231" s="7">
        <f t="shared" si="179"/>
        <v>-7.170661296774794E-4</v>
      </c>
      <c r="N1231" s="7">
        <f t="shared" si="175"/>
        <v>0.9459894451048565</v>
      </c>
      <c r="O1231" s="7">
        <f t="shared" si="176"/>
        <v>5.4010554895143406E-2</v>
      </c>
    </row>
    <row r="1232" spans="1:15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4">
        <f>IF(SUMIFS('Daily NSE Equity Cash'!$H:$H,'Daily NSE Equity Cash'!$A:$A,$A1232)=0,"",SUMIFS('Daily NSE Equity Cash'!$H:$H,'Daily NSE Equity Cash'!$A:$A,$A1232))</f>
        <v>723.07780000000002</v>
      </c>
      <c r="F1232" s="4">
        <f>IF(SUMIFS('Daily BSE Equity Cash'!$H:$H,'Daily BSE Equity Cash'!$A:$A,$A1232)=0,"",SUMIFS('Daily BSE Equity Cash'!$H:$H,'Daily BSE Equity Cash'!$A:$A,$A1232))</f>
        <v>43.876199999999997</v>
      </c>
      <c r="G1232" s="4">
        <f t="shared" si="171"/>
        <v>766.95400000000006</v>
      </c>
      <c r="H1232" s="7">
        <f t="shared" si="172"/>
        <v>-0.43618385415216832</v>
      </c>
      <c r="I1232" s="7">
        <f t="shared" si="173"/>
        <v>-0.834990528433316</v>
      </c>
      <c r="J1232" s="7">
        <f t="shared" si="174"/>
        <v>-0.50467071220611071</v>
      </c>
      <c r="K1232" s="7">
        <f t="shared" si="177"/>
        <v>-0.15460702458835074</v>
      </c>
      <c r="L1232" s="7">
        <f t="shared" si="178"/>
        <v>-0.10151616919498052</v>
      </c>
      <c r="M1232" s="7">
        <f t="shared" si="179"/>
        <v>-0.15173955802869699</v>
      </c>
      <c r="N1232" s="7">
        <f t="shared" si="175"/>
        <v>0.94279161462095507</v>
      </c>
      <c r="O1232" s="7">
        <f t="shared" si="176"/>
        <v>5.7208385379044886E-2</v>
      </c>
    </row>
    <row r="1233" spans="1:15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4">
        <f>IF(SUMIFS('Daily NSE Equity Cash'!$H:$H,'Daily NSE Equity Cash'!$A:$A,$A1233)=0,"",SUMIFS('Daily NSE Equity Cash'!$H:$H,'Daily NSE Equity Cash'!$A:$A,$A1233))</f>
        <v>754.25049999999999</v>
      </c>
      <c r="F1233" s="4">
        <f>IF(SUMIFS('Daily BSE Equity Cash'!$H:$H,'Daily BSE Equity Cash'!$A:$A,$A1233)=0,"",SUMIFS('Daily BSE Equity Cash'!$H:$H,'Daily BSE Equity Cash'!$A:$A,$A1233))</f>
        <v>44.233800000000002</v>
      </c>
      <c r="G1233" s="4">
        <f t="shared" si="171"/>
        <v>798.48429999999996</v>
      </c>
      <c r="H1233" s="7" t="str">
        <f t="shared" si="172"/>
        <v/>
      </c>
      <c r="I1233" s="7" t="str">
        <f t="shared" si="173"/>
        <v/>
      </c>
      <c r="J1233" s="7" t="str">
        <f t="shared" si="174"/>
        <v/>
      </c>
      <c r="K1233" s="7">
        <f t="shared" si="177"/>
        <v>4.3111128567354662E-2</v>
      </c>
      <c r="L1233" s="7">
        <f t="shared" si="178"/>
        <v>8.1502044388530592E-3</v>
      </c>
      <c r="M1233" s="7">
        <f t="shared" si="179"/>
        <v>4.111107054660379E-2</v>
      </c>
      <c r="N1233" s="7">
        <f t="shared" si="175"/>
        <v>0.94460279306681427</v>
      </c>
      <c r="O1233" s="7">
        <f t="shared" si="176"/>
        <v>5.539720693318579E-2</v>
      </c>
    </row>
    <row r="1234" spans="1:15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4">
        <f>IF(SUMIFS('Daily NSE Equity Cash'!$H:$H,'Daily NSE Equity Cash'!$A:$A,$A1234)=0,"",SUMIFS('Daily NSE Equity Cash'!$H:$H,'Daily NSE Equity Cash'!$A:$A,$A1234))</f>
        <v>892.18799999999999</v>
      </c>
      <c r="F1234" s="4">
        <f>IF(SUMIFS('Daily BSE Equity Cash'!$H:$H,'Daily BSE Equity Cash'!$A:$A,$A1234)=0,"",SUMIFS('Daily BSE Equity Cash'!$H:$H,'Daily BSE Equity Cash'!$A:$A,$A1234))</f>
        <v>62.274099999999997</v>
      </c>
      <c r="G1234" s="4">
        <f t="shared" si="171"/>
        <v>954.46209999999996</v>
      </c>
      <c r="H1234" s="7">
        <f t="shared" si="172"/>
        <v>0.12308819419792916</v>
      </c>
      <c r="I1234" s="7">
        <f t="shared" si="173"/>
        <v>0.21328860028016594</v>
      </c>
      <c r="J1234" s="7">
        <f t="shared" si="174"/>
        <v>0.12856236964705281</v>
      </c>
      <c r="K1234" s="7">
        <f t="shared" si="177"/>
        <v>0.18288022348013033</v>
      </c>
      <c r="L1234" s="7">
        <f t="shared" si="178"/>
        <v>0.40783970628795152</v>
      </c>
      <c r="M1234" s="7">
        <f t="shared" si="179"/>
        <v>0.19534235050081761</v>
      </c>
      <c r="N1234" s="7">
        <f t="shared" si="175"/>
        <v>0.93475476920456035</v>
      </c>
      <c r="O1234" s="7">
        <f t="shared" si="176"/>
        <v>6.5245230795439646E-2</v>
      </c>
    </row>
    <row r="1235" spans="1:15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4">
        <f>IF(SUMIFS('Daily NSE Equity Cash'!$H:$H,'Daily NSE Equity Cash'!$A:$A,$A1235)=0,"",SUMIFS('Daily NSE Equity Cash'!$H:$H,'Daily NSE Equity Cash'!$A:$A,$A1235))</f>
        <v>1037.9593</v>
      </c>
      <c r="F1235" s="4">
        <f>IF(SUMIFS('Daily BSE Equity Cash'!$H:$H,'Daily BSE Equity Cash'!$A:$A,$A1235)=0,"",SUMIFS('Daily BSE Equity Cash'!$H:$H,'Daily BSE Equity Cash'!$A:$A,$A1235))</f>
        <v>64.248900000000006</v>
      </c>
      <c r="G1235" s="4">
        <f t="shared" si="171"/>
        <v>1102.2082</v>
      </c>
      <c r="H1235" s="7">
        <f t="shared" si="172"/>
        <v>0.25558676366111999</v>
      </c>
      <c r="I1235" s="7">
        <f t="shared" si="173"/>
        <v>-0.59615787134783749</v>
      </c>
      <c r="J1235" s="7">
        <f t="shared" si="174"/>
        <v>0.11812266349404354</v>
      </c>
      <c r="K1235" s="7">
        <f t="shared" si="177"/>
        <v>0.16338630423184353</v>
      </c>
      <c r="L1235" s="7">
        <f t="shared" si="178"/>
        <v>3.1711417748309545E-2</v>
      </c>
      <c r="M1235" s="7">
        <f t="shared" si="179"/>
        <v>0.15479514587326215</v>
      </c>
      <c r="N1235" s="7">
        <f t="shared" si="175"/>
        <v>0.94170892577282583</v>
      </c>
      <c r="O1235" s="7">
        <f t="shared" si="176"/>
        <v>5.8291074227174146E-2</v>
      </c>
    </row>
    <row r="1236" spans="1:15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4">
        <f>IF(SUMIFS('Daily NSE Equity Cash'!$H:$H,'Daily NSE Equity Cash'!$A:$A,$A1236)=0,"",SUMIFS('Daily NSE Equity Cash'!$H:$H,'Daily NSE Equity Cash'!$A:$A,$A1236))</f>
        <v>1041.7574</v>
      </c>
      <c r="F1236" s="4">
        <f>IF(SUMIFS('Daily BSE Equity Cash'!$H:$H,'Daily BSE Equity Cash'!$A:$A,$A1236)=0,"",SUMIFS('Daily BSE Equity Cash'!$H:$H,'Daily BSE Equity Cash'!$A:$A,$A1236))</f>
        <v>56.289499999999997</v>
      </c>
      <c r="G1236" s="4">
        <f t="shared" si="171"/>
        <v>1098.0469000000001</v>
      </c>
      <c r="H1236" s="7">
        <f t="shared" si="172"/>
        <v>0.28857745275744318</v>
      </c>
      <c r="I1236" s="7">
        <f t="shared" si="173"/>
        <v>3.2952372563484156E-2</v>
      </c>
      <c r="J1236" s="7">
        <f t="shared" si="174"/>
        <v>0.27243515609030067</v>
      </c>
      <c r="K1236" s="7">
        <f t="shared" si="177"/>
        <v>3.659199353963194E-3</v>
      </c>
      <c r="L1236" s="7">
        <f t="shared" si="178"/>
        <v>-0.12388383303060457</v>
      </c>
      <c r="M1236" s="7">
        <f t="shared" si="179"/>
        <v>-3.7754210139245847E-3</v>
      </c>
      <c r="N1236" s="7">
        <f t="shared" si="175"/>
        <v>0.94873670696579526</v>
      </c>
      <c r="O1236" s="7">
        <f t="shared" si="176"/>
        <v>5.1263293034204634E-2</v>
      </c>
    </row>
    <row r="1237" spans="1:15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4">
        <f>IF(SUMIFS('Daily NSE Equity Cash'!$H:$H,'Daily NSE Equity Cash'!$A:$A,$A1237)=0,"",SUMIFS('Daily NSE Equity Cash'!$H:$H,'Daily NSE Equity Cash'!$A:$A,$A1237))</f>
        <v>1598.4362000000001</v>
      </c>
      <c r="F1237" s="4">
        <f>IF(SUMIFS('Daily BSE Equity Cash'!$H:$H,'Daily BSE Equity Cash'!$A:$A,$A1237)=0,"",SUMIFS('Daily BSE Equity Cash'!$H:$H,'Daily BSE Equity Cash'!$A:$A,$A1237))</f>
        <v>70.064499999999995</v>
      </c>
      <c r="G1237" s="4">
        <f t="shared" si="171"/>
        <v>1668.5007000000001</v>
      </c>
      <c r="H1237" s="7">
        <f t="shared" si="172"/>
        <v>0.78968457859559305</v>
      </c>
      <c r="I1237" s="7">
        <f t="shared" si="173"/>
        <v>0.37219937328632957</v>
      </c>
      <c r="J1237" s="7">
        <f t="shared" si="174"/>
        <v>0.76710797570637967</v>
      </c>
      <c r="K1237" s="7">
        <f t="shared" si="177"/>
        <v>0.53436510266209791</v>
      </c>
      <c r="L1237" s="7">
        <f t="shared" si="178"/>
        <v>0.24471704314303722</v>
      </c>
      <c r="M1237" s="7">
        <f t="shared" si="179"/>
        <v>0.5195167893101833</v>
      </c>
      <c r="N1237" s="7">
        <f t="shared" si="175"/>
        <v>0.9580075093765319</v>
      </c>
      <c r="O1237" s="7">
        <f t="shared" si="176"/>
        <v>4.1992490623468118E-2</v>
      </c>
    </row>
    <row r="1238" spans="1:15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4">
        <f>IF(SUMIFS('Daily NSE Equity Cash'!$H:$H,'Daily NSE Equity Cash'!$A:$A,$A1238)=0,"",SUMIFS('Daily NSE Equity Cash'!$H:$H,'Daily NSE Equity Cash'!$A:$A,$A1238))</f>
        <v>1082.2307000000001</v>
      </c>
      <c r="F1238" s="4">
        <f>IF(SUMIFS('Daily BSE Equity Cash'!$H:$H,'Daily BSE Equity Cash'!$A:$A,$A1238)=0,"",SUMIFS('Daily BSE Equity Cash'!$H:$H,'Daily BSE Equity Cash'!$A:$A,$A1238))</f>
        <v>67.025300000000001</v>
      </c>
      <c r="G1238" s="4">
        <f t="shared" si="171"/>
        <v>1149.2560000000001</v>
      </c>
      <c r="H1238" s="7" t="str">
        <f t="shared" si="172"/>
        <v/>
      </c>
      <c r="I1238" s="7" t="str">
        <f t="shared" si="173"/>
        <v/>
      </c>
      <c r="J1238" s="7" t="str">
        <f t="shared" si="174"/>
        <v/>
      </c>
      <c r="K1238" s="7">
        <f t="shared" si="177"/>
        <v>-0.32294407496526922</v>
      </c>
      <c r="L1238" s="7">
        <f t="shared" si="178"/>
        <v>-4.3377173889772913E-2</v>
      </c>
      <c r="M1238" s="7">
        <f t="shared" si="179"/>
        <v>-0.31120436449322431</v>
      </c>
      <c r="N1238" s="7">
        <f t="shared" si="175"/>
        <v>0.94167939954196456</v>
      </c>
      <c r="O1238" s="7">
        <f t="shared" si="176"/>
        <v>5.8320600458035457E-2</v>
      </c>
    </row>
    <row r="1239" spans="1:15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4">
        <f>IF(SUMIFS('Daily NSE Equity Cash'!$H:$H,'Daily NSE Equity Cash'!$A:$A,$A1239)=0,"",SUMIFS('Daily NSE Equity Cash'!$H:$H,'Daily NSE Equity Cash'!$A:$A,$A1239))</f>
        <v>1088.3562999999999</v>
      </c>
      <c r="F1239" s="4">
        <f>IF(SUMIFS('Daily BSE Equity Cash'!$H:$H,'Daily BSE Equity Cash'!$A:$A,$A1239)=0,"",SUMIFS('Daily BSE Equity Cash'!$H:$H,'Daily BSE Equity Cash'!$A:$A,$A1239))</f>
        <v>66.818100000000001</v>
      </c>
      <c r="G1239" s="4">
        <f t="shared" si="171"/>
        <v>1155.1743999999999</v>
      </c>
      <c r="H1239" s="7" t="str">
        <f t="shared" si="172"/>
        <v/>
      </c>
      <c r="I1239" s="7" t="str">
        <f t="shared" si="173"/>
        <v/>
      </c>
      <c r="J1239" s="7" t="str">
        <f t="shared" si="174"/>
        <v/>
      </c>
      <c r="K1239" s="7">
        <f t="shared" si="177"/>
        <v>5.6601609989439527E-3</v>
      </c>
      <c r="L1239" s="7">
        <f t="shared" si="178"/>
        <v>-3.0913699752183055E-3</v>
      </c>
      <c r="M1239" s="7">
        <f t="shared" si="179"/>
        <v>5.1497664576036772E-3</v>
      </c>
      <c r="N1239" s="7">
        <f t="shared" si="175"/>
        <v>0.94215756512609705</v>
      </c>
      <c r="O1239" s="7">
        <f t="shared" si="176"/>
        <v>5.7842434873903031E-2</v>
      </c>
    </row>
    <row r="1240" spans="1:15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4">
        <f>IF(SUMIFS('Daily NSE Equity Cash'!$H:$H,'Daily NSE Equity Cash'!$A:$A,$A1240)=0,"",SUMIFS('Daily NSE Equity Cash'!$H:$H,'Daily NSE Equity Cash'!$A:$A,$A1240))</f>
        <v>936.03740000000005</v>
      </c>
      <c r="F1240" s="4">
        <f>IF(SUMIFS('Daily BSE Equity Cash'!$H:$H,'Daily BSE Equity Cash'!$A:$A,$A1240)=0,"",SUMIFS('Daily BSE Equity Cash'!$H:$H,'Daily BSE Equity Cash'!$A:$A,$A1240))</f>
        <v>58.880800000000001</v>
      </c>
      <c r="G1240" s="4">
        <f t="shared" si="171"/>
        <v>994.91820000000007</v>
      </c>
      <c r="H1240" s="7">
        <f t="shared" si="172"/>
        <v>-5.0444153231901323E-2</v>
      </c>
      <c r="I1240" s="7">
        <f t="shared" si="173"/>
        <v>-0.30639852800165857</v>
      </c>
      <c r="J1240" s="7">
        <f t="shared" si="174"/>
        <v>-7.0738579792478329E-2</v>
      </c>
      <c r="K1240" s="7">
        <f t="shared" si="177"/>
        <v>-0.13995315688437682</v>
      </c>
      <c r="L1240" s="7">
        <f t="shared" si="178"/>
        <v>-0.11878966926626167</v>
      </c>
      <c r="M1240" s="7">
        <f t="shared" si="179"/>
        <v>-0.13872900923012133</v>
      </c>
      <c r="N1240" s="7">
        <f t="shared" si="175"/>
        <v>0.94081845120533525</v>
      </c>
      <c r="O1240" s="7">
        <f t="shared" si="176"/>
        <v>5.9181548794664723E-2</v>
      </c>
    </row>
    <row r="1241" spans="1:15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4">
        <f>IF(SUMIFS('Daily NSE Equity Cash'!$H:$H,'Daily NSE Equity Cash'!$A:$A,$A1241)=0,"",SUMIFS('Daily NSE Equity Cash'!$H:$H,'Daily NSE Equity Cash'!$A:$A,$A1241))</f>
        <v>1498.3657000000001</v>
      </c>
      <c r="F1241" s="4">
        <f>IF(SUMIFS('Daily BSE Equity Cash'!$H:$H,'Daily BSE Equity Cash'!$A:$A,$A1241)=0,"",SUMIFS('Daily BSE Equity Cash'!$H:$H,'Daily BSE Equity Cash'!$A:$A,$A1241))</f>
        <v>66.088999999999999</v>
      </c>
      <c r="G1241" s="4">
        <f t="shared" si="171"/>
        <v>1564.4547</v>
      </c>
      <c r="H1241" s="7">
        <f t="shared" si="172"/>
        <v>0.24991789509808915</v>
      </c>
      <c r="I1241" s="7">
        <f t="shared" si="173"/>
        <v>-0.31490916629953092</v>
      </c>
      <c r="J1241" s="7">
        <f t="shared" si="174"/>
        <v>0.20785039793434223</v>
      </c>
      <c r="K1241" s="7">
        <f t="shared" si="177"/>
        <v>0.60075409380009814</v>
      </c>
      <c r="L1241" s="7">
        <f t="shared" si="178"/>
        <v>0.12242021168190642</v>
      </c>
      <c r="M1241" s="7">
        <f t="shared" si="179"/>
        <v>0.57244555381537898</v>
      </c>
      <c r="N1241" s="7">
        <f t="shared" si="175"/>
        <v>0.95775588772241216</v>
      </c>
      <c r="O1241" s="7">
        <f t="shared" si="176"/>
        <v>4.2244112277587835E-2</v>
      </c>
    </row>
    <row r="1242" spans="1:15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4">
        <f>IF(SUMIFS('Daily NSE Equity Cash'!$H:$H,'Daily NSE Equity Cash'!$A:$A,$A1242)=0,"",SUMIFS('Daily NSE Equity Cash'!$H:$H,'Daily NSE Equity Cash'!$A:$A,$A1242))</f>
        <v>1041.6832999999999</v>
      </c>
      <c r="F1242" s="4">
        <f>IF(SUMIFS('Daily BSE Equity Cash'!$H:$H,'Daily BSE Equity Cash'!$A:$A,$A1242)=0,"",SUMIFS('Daily BSE Equity Cash'!$H:$H,'Daily BSE Equity Cash'!$A:$A,$A1242))</f>
        <v>64.985100000000003</v>
      </c>
      <c r="G1242" s="4">
        <f t="shared" si="171"/>
        <v>1106.6684</v>
      </c>
      <c r="H1242" s="7">
        <f t="shared" si="172"/>
        <v>-6.7402115044512434E-2</v>
      </c>
      <c r="I1242" s="7">
        <f t="shared" si="173"/>
        <v>-0.27556477099811039</v>
      </c>
      <c r="J1242" s="7">
        <f t="shared" si="174"/>
        <v>-8.2876989383792954E-2</v>
      </c>
      <c r="K1242" s="7">
        <f t="shared" si="177"/>
        <v>-0.30478700893913957</v>
      </c>
      <c r="L1242" s="7">
        <f t="shared" si="178"/>
        <v>-1.6703233518437166E-2</v>
      </c>
      <c r="M1242" s="7">
        <f t="shared" si="179"/>
        <v>-0.29261716558491591</v>
      </c>
      <c r="N1242" s="7">
        <f t="shared" si="175"/>
        <v>0.94127861606963736</v>
      </c>
      <c r="O1242" s="7">
        <f t="shared" si="176"/>
        <v>5.8721383930362518E-2</v>
      </c>
    </row>
    <row r="1243" spans="1:15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4">
        <f>IF(SUMIFS('Daily NSE Equity Cash'!$H:$H,'Daily NSE Equity Cash'!$A:$A,$A1243)=0,"",SUMIFS('Daily NSE Equity Cash'!$H:$H,'Daily NSE Equity Cash'!$A:$A,$A1243))</f>
        <v>854.31</v>
      </c>
      <c r="F1243" s="4">
        <f>IF(SUMIFS('Daily BSE Equity Cash'!$H:$H,'Daily BSE Equity Cash'!$A:$A,$A1243)=0,"",SUMIFS('Daily BSE Equity Cash'!$H:$H,'Daily BSE Equity Cash'!$A:$A,$A1243))</f>
        <v>46.121400000000001</v>
      </c>
      <c r="G1243" s="4">
        <f t="shared" si="171"/>
        <v>900.43139999999994</v>
      </c>
      <c r="H1243" s="7">
        <f t="shared" si="172"/>
        <v>1.1414297700388376E-2</v>
      </c>
      <c r="I1243" s="7">
        <f t="shared" si="173"/>
        <v>-0.17682104075790128</v>
      </c>
      <c r="J1243" s="7">
        <f t="shared" si="174"/>
        <v>-2.9499373318742084E-4</v>
      </c>
      <c r="K1243" s="7">
        <f t="shared" si="177"/>
        <v>-0.17987549574808392</v>
      </c>
      <c r="L1243" s="7">
        <f t="shared" si="178"/>
        <v>-0.29027730972176702</v>
      </c>
      <c r="M1243" s="7">
        <f t="shared" si="179"/>
        <v>-0.18635844305304106</v>
      </c>
      <c r="N1243" s="7">
        <f t="shared" si="175"/>
        <v>0.94877855214733742</v>
      </c>
      <c r="O1243" s="7">
        <f t="shared" si="176"/>
        <v>5.1221447852662631E-2</v>
      </c>
    </row>
    <row r="1244" spans="1:15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4">
        <f>IF(SUMIFS('Daily NSE Equity Cash'!$H:$H,'Daily NSE Equity Cash'!$A:$A,$A1244)=0,"",SUMIFS('Daily NSE Equity Cash'!$H:$H,'Daily NSE Equity Cash'!$A:$A,$A1244))</f>
        <v>798.16049999999996</v>
      </c>
      <c r="F1244" s="4">
        <f>IF(SUMIFS('Daily BSE Equity Cash'!$H:$H,'Daily BSE Equity Cash'!$A:$A,$A1244)=0,"",SUMIFS('Daily BSE Equity Cash'!$H:$H,'Daily BSE Equity Cash'!$A:$A,$A1244))</f>
        <v>47.119</v>
      </c>
      <c r="G1244" s="4">
        <f t="shared" si="171"/>
        <v>845.27949999999998</v>
      </c>
      <c r="H1244" s="7">
        <f t="shared" si="172"/>
        <v>-0.21276723545125409</v>
      </c>
      <c r="I1244" s="7">
        <f t="shared" si="173"/>
        <v>-0.21892327813850476</v>
      </c>
      <c r="J1244" s="7">
        <f t="shared" si="174"/>
        <v>-0.213112948725241</v>
      </c>
      <c r="K1244" s="7">
        <f t="shared" si="177"/>
        <v>-6.5724971029251678E-2</v>
      </c>
      <c r="L1244" s="7">
        <f t="shared" si="178"/>
        <v>2.162987246701098E-2</v>
      </c>
      <c r="M1244" s="7">
        <f t="shared" si="179"/>
        <v>-6.1250529468430348E-2</v>
      </c>
      <c r="N1244" s="7">
        <f t="shared" si="175"/>
        <v>0.94425630812056838</v>
      </c>
      <c r="O1244" s="7">
        <f t="shared" si="176"/>
        <v>5.5743691879431595E-2</v>
      </c>
    </row>
    <row r="1245" spans="1:15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4">
        <f>IF(SUMIFS('Daily NSE Equity Cash'!$H:$H,'Daily NSE Equity Cash'!$A:$A,$A1245)=0,"",SUMIFS('Daily NSE Equity Cash'!$H:$H,'Daily NSE Equity Cash'!$A:$A,$A1245))</f>
        <v>904.88869999999997</v>
      </c>
      <c r="F1245" s="4">
        <f>IF(SUMIFS('Daily BSE Equity Cash'!$H:$H,'Daily BSE Equity Cash'!$A:$A,$A1245)=0,"",SUMIFS('Daily BSE Equity Cash'!$H:$H,'Daily BSE Equity Cash'!$A:$A,$A1245))</f>
        <v>52.378300000000003</v>
      </c>
      <c r="G1245" s="4">
        <f t="shared" si="171"/>
        <v>957.26699999999994</v>
      </c>
      <c r="H1245" s="7">
        <f t="shared" si="172"/>
        <v>-0.16183051314045538</v>
      </c>
      <c r="I1245" s="7">
        <f t="shared" si="173"/>
        <v>-0.24456626773625023</v>
      </c>
      <c r="J1245" s="7">
        <f t="shared" si="174"/>
        <v>-0.16682340581920763</v>
      </c>
      <c r="K1245" s="7">
        <f t="shared" si="177"/>
        <v>0.13371771717593139</v>
      </c>
      <c r="L1245" s="7">
        <f t="shared" si="178"/>
        <v>0.11161739425709372</v>
      </c>
      <c r="M1245" s="7">
        <f t="shared" si="179"/>
        <v>0.13248576358470765</v>
      </c>
      <c r="N1245" s="7">
        <f t="shared" si="175"/>
        <v>0.94528349979681747</v>
      </c>
      <c r="O1245" s="7">
        <f t="shared" si="176"/>
        <v>5.4716500203182611E-2</v>
      </c>
    </row>
    <row r="1246" spans="1:15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4">
        <f>IF(SUMIFS('Daily NSE Equity Cash'!$H:$H,'Daily NSE Equity Cash'!$A:$A,$A1246)=0,"",SUMIFS('Daily NSE Equity Cash'!$H:$H,'Daily NSE Equity Cash'!$A:$A,$A1246))</f>
        <v>1035.1315</v>
      </c>
      <c r="F1246" s="4">
        <f>IF(SUMIFS('Daily BSE Equity Cash'!$H:$H,'Daily BSE Equity Cash'!$A:$A,$A1246)=0,"",SUMIFS('Daily BSE Equity Cash'!$H:$H,'Daily BSE Equity Cash'!$A:$A,$A1246))</f>
        <v>56.701900000000002</v>
      </c>
      <c r="G1246" s="4">
        <f t="shared" si="171"/>
        <v>1091.8334</v>
      </c>
      <c r="H1246" s="7">
        <f t="shared" si="172"/>
        <v>-9.1071256404938405E-2</v>
      </c>
      <c r="I1246" s="7">
        <f t="shared" si="173"/>
        <v>-0.18320159839353967</v>
      </c>
      <c r="J1246" s="7">
        <f t="shared" si="174"/>
        <v>-9.6364505376499765E-2</v>
      </c>
      <c r="K1246" s="7">
        <f t="shared" si="177"/>
        <v>0.14393239743186093</v>
      </c>
      <c r="L1246" s="7">
        <f t="shared" si="178"/>
        <v>8.2545634356212316E-2</v>
      </c>
      <c r="M1246" s="7">
        <f t="shared" si="179"/>
        <v>0.14057352859755956</v>
      </c>
      <c r="N1246" s="7">
        <f t="shared" si="175"/>
        <v>0.94806726007832332</v>
      </c>
      <c r="O1246" s="7">
        <f t="shared" si="176"/>
        <v>5.1932739921676699E-2</v>
      </c>
    </row>
    <row r="1247" spans="1:15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4">
        <f>IF(SUMIFS('Daily NSE Equity Cash'!$H:$H,'Daily NSE Equity Cash'!$A:$A,$A1247)=0,"",SUMIFS('Daily NSE Equity Cash'!$H:$H,'Daily NSE Equity Cash'!$A:$A,$A1247))</f>
        <v>1243.3530000000001</v>
      </c>
      <c r="F1247" s="4">
        <f>IF(SUMIFS('Daily BSE Equity Cash'!$H:$H,'Daily BSE Equity Cash'!$A:$A,$A1247)=0,"",SUMIFS('Daily BSE Equity Cash'!$H:$H,'Daily BSE Equity Cash'!$A:$A,$A1247))</f>
        <v>84.622500000000002</v>
      </c>
      <c r="G1247" s="4">
        <f t="shared" si="171"/>
        <v>1327.9755</v>
      </c>
      <c r="H1247" s="7" t="str">
        <f t="shared" si="172"/>
        <v/>
      </c>
      <c r="I1247" s="7" t="str">
        <f t="shared" si="173"/>
        <v/>
      </c>
      <c r="J1247" s="7" t="str">
        <f t="shared" si="174"/>
        <v/>
      </c>
      <c r="K1247" s="7">
        <f t="shared" si="177"/>
        <v>0.20115463590857785</v>
      </c>
      <c r="L1247" s="7">
        <f t="shared" si="178"/>
        <v>0.49241030723838186</v>
      </c>
      <c r="M1247" s="7">
        <f t="shared" si="179"/>
        <v>0.21628034093846193</v>
      </c>
      <c r="N1247" s="7">
        <f t="shared" si="175"/>
        <v>0.9362770623403821</v>
      </c>
      <c r="O1247" s="7">
        <f t="shared" si="176"/>
        <v>6.3722937659617965E-2</v>
      </c>
    </row>
    <row r="1248" spans="1:15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4">
        <f>IF(SUMIFS('Daily NSE Equity Cash'!$H:$H,'Daily NSE Equity Cash'!$A:$A,$A1248)=0,"",SUMIFS('Daily NSE Equity Cash'!$H:$H,'Daily NSE Equity Cash'!$A:$A,$A1248))</f>
        <v>942.47400000000005</v>
      </c>
      <c r="F1248" s="4">
        <f>IF(SUMIFS('Daily BSE Equity Cash'!$H:$H,'Daily BSE Equity Cash'!$A:$A,$A1248)=0,"",SUMIFS('Daily BSE Equity Cash'!$H:$H,'Daily BSE Equity Cash'!$A:$A,$A1248))</f>
        <v>51.270699999999998</v>
      </c>
      <c r="G1248" s="4">
        <f t="shared" si="171"/>
        <v>993.74470000000008</v>
      </c>
      <c r="H1248" s="7">
        <f t="shared" si="172"/>
        <v>-7.6285722408417911E-3</v>
      </c>
      <c r="I1248" s="7">
        <f t="shared" si="173"/>
        <v>-0.26593495015384083</v>
      </c>
      <c r="J1248" s="7">
        <f t="shared" si="174"/>
        <v>-2.5323768328792351E-2</v>
      </c>
      <c r="K1248" s="7">
        <f t="shared" si="177"/>
        <v>-0.24199000605620447</v>
      </c>
      <c r="L1248" s="7">
        <f t="shared" si="178"/>
        <v>-0.39412449407663452</v>
      </c>
      <c r="M1248" s="7">
        <f t="shared" si="179"/>
        <v>-0.25168446255220822</v>
      </c>
      <c r="N1248" s="7">
        <f t="shared" si="175"/>
        <v>0.94840656760232278</v>
      </c>
      <c r="O1248" s="7">
        <f t="shared" si="176"/>
        <v>5.1593432397677184E-2</v>
      </c>
    </row>
    <row r="1249" spans="1:15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4">
        <f>IF(SUMIFS('Daily NSE Equity Cash'!$H:$H,'Daily NSE Equity Cash'!$A:$A,$A1249)=0,"",SUMIFS('Daily NSE Equity Cash'!$H:$H,'Daily NSE Equity Cash'!$A:$A,$A1249))</f>
        <v>809.76589999999999</v>
      </c>
      <c r="F1249" s="4">
        <f>IF(SUMIFS('Daily BSE Equity Cash'!$H:$H,'Daily BSE Equity Cash'!$A:$A,$A1249)=0,"",SUMIFS('Daily BSE Equity Cash'!$H:$H,'Daily BSE Equity Cash'!$A:$A,$A1249))</f>
        <v>36.048900000000003</v>
      </c>
      <c r="G1249" s="4">
        <f t="shared" si="171"/>
        <v>845.81479999999999</v>
      </c>
      <c r="H1249" s="7">
        <f t="shared" si="172"/>
        <v>-9.302771254151998E-2</v>
      </c>
      <c r="I1249" s="7">
        <f t="shared" si="173"/>
        <v>-0.64991789085845086</v>
      </c>
      <c r="J1249" s="7">
        <f t="shared" si="174"/>
        <v>-0.15061429756840738</v>
      </c>
      <c r="K1249" s="7">
        <f t="shared" si="177"/>
        <v>-0.14080823449771562</v>
      </c>
      <c r="L1249" s="7">
        <f t="shared" si="178"/>
        <v>-0.29689081678229468</v>
      </c>
      <c r="M1249" s="7">
        <f t="shared" si="179"/>
        <v>-0.14886107065526999</v>
      </c>
      <c r="N1249" s="7">
        <f t="shared" si="175"/>
        <v>0.95737967696947368</v>
      </c>
      <c r="O1249" s="7">
        <f t="shared" si="176"/>
        <v>4.2620323030526305E-2</v>
      </c>
    </row>
    <row r="1250" spans="1:15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4">
        <f>IF(SUMIFS('Daily NSE Equity Cash'!$H:$H,'Daily NSE Equity Cash'!$A:$A,$A1250)=0,"",SUMIFS('Daily NSE Equity Cash'!$H:$H,'Daily NSE Equity Cash'!$A:$A,$A1250))</f>
        <v>948.49810000000002</v>
      </c>
      <c r="F1250" s="4">
        <f>IF(SUMIFS('Daily BSE Equity Cash'!$H:$H,'Daily BSE Equity Cash'!$A:$A,$A1250)=0,"",SUMIFS('Daily BSE Equity Cash'!$H:$H,'Daily BSE Equity Cash'!$A:$A,$A1250))</f>
        <v>53.085500000000003</v>
      </c>
      <c r="G1250" s="4">
        <f t="shared" si="171"/>
        <v>1001.5836</v>
      </c>
      <c r="H1250" s="7" t="str">
        <f t="shared" si="172"/>
        <v/>
      </c>
      <c r="I1250" s="7" t="str">
        <f t="shared" si="173"/>
        <v/>
      </c>
      <c r="J1250" s="7" t="str">
        <f t="shared" si="174"/>
        <v/>
      </c>
      <c r="K1250" s="7">
        <f t="shared" si="177"/>
        <v>0.17132383569127829</v>
      </c>
      <c r="L1250" s="7">
        <f t="shared" si="178"/>
        <v>0.47259694470566371</v>
      </c>
      <c r="M1250" s="7">
        <f t="shared" si="179"/>
        <v>0.18416419291788233</v>
      </c>
      <c r="N1250" s="7">
        <f t="shared" si="175"/>
        <v>0.94699843328105615</v>
      </c>
      <c r="O1250" s="7">
        <f t="shared" si="176"/>
        <v>5.3001566718943884E-2</v>
      </c>
    </row>
    <row r="1251" spans="1:15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4">
        <f>IF(SUMIFS('Daily NSE Equity Cash'!$H:$H,'Daily NSE Equity Cash'!$A:$A,$A1251)=0,"",SUMIFS('Daily NSE Equity Cash'!$H:$H,'Daily NSE Equity Cash'!$A:$A,$A1251))</f>
        <v>1017.7139</v>
      </c>
      <c r="F1251" s="4">
        <f>IF(SUMIFS('Daily BSE Equity Cash'!$H:$H,'Daily BSE Equity Cash'!$A:$A,$A1251)=0,"",SUMIFS('Daily BSE Equity Cash'!$H:$H,'Daily BSE Equity Cash'!$A:$A,$A1251))</f>
        <v>56.170900000000003</v>
      </c>
      <c r="G1251" s="4">
        <f t="shared" si="171"/>
        <v>1073.8848</v>
      </c>
      <c r="H1251" s="7">
        <f t="shared" si="172"/>
        <v>-2.8311950664089203E-2</v>
      </c>
      <c r="I1251" s="7">
        <f t="shared" si="173"/>
        <v>-0.36414812835919563</v>
      </c>
      <c r="J1251" s="7">
        <f t="shared" si="174"/>
        <v>-5.4434574425698878E-2</v>
      </c>
      <c r="K1251" s="7">
        <f t="shared" si="177"/>
        <v>7.2974105061464956E-2</v>
      </c>
      <c r="L1251" s="7">
        <f t="shared" si="178"/>
        <v>5.8121332567273587E-2</v>
      </c>
      <c r="M1251" s="7">
        <f t="shared" si="179"/>
        <v>7.2186884849152921E-2</v>
      </c>
      <c r="N1251" s="7">
        <f t="shared" si="175"/>
        <v>0.94769373772680265</v>
      </c>
      <c r="O1251" s="7">
        <f t="shared" si="176"/>
        <v>5.2306262273197277E-2</v>
      </c>
    </row>
    <row r="1252" spans="1:15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4">
        <f>IF(SUMIFS('Daily NSE Equity Cash'!$H:$H,'Daily NSE Equity Cash'!$A:$A,$A1252)=0,"",SUMIFS('Daily NSE Equity Cash'!$H:$H,'Daily NSE Equity Cash'!$A:$A,$A1252))</f>
        <v>920.99850000000004</v>
      </c>
      <c r="F1252" s="4">
        <f>IF(SUMIFS('Daily BSE Equity Cash'!$H:$H,'Daily BSE Equity Cash'!$A:$A,$A1252)=0,"",SUMIFS('Daily BSE Equity Cash'!$H:$H,'Daily BSE Equity Cash'!$A:$A,$A1252))</f>
        <v>53.598599999999998</v>
      </c>
      <c r="G1252" s="4">
        <f t="shared" si="171"/>
        <v>974.59710000000007</v>
      </c>
      <c r="H1252" s="7">
        <f t="shared" si="172"/>
        <v>-3.4970989881429104E-2</v>
      </c>
      <c r="I1252" s="7">
        <f t="shared" si="173"/>
        <v>-0.14766189281250297</v>
      </c>
      <c r="J1252" s="7">
        <f t="shared" si="174"/>
        <v>-4.1937242868845148E-2</v>
      </c>
      <c r="K1252" s="7">
        <f t="shared" si="177"/>
        <v>-9.503201243492887E-2</v>
      </c>
      <c r="L1252" s="7">
        <f t="shared" si="178"/>
        <v>-4.579417456369772E-2</v>
      </c>
      <c r="M1252" s="7">
        <f t="shared" si="179"/>
        <v>-9.2456565173471117E-2</v>
      </c>
      <c r="N1252" s="7">
        <f t="shared" si="175"/>
        <v>0.94500435102874814</v>
      </c>
      <c r="O1252" s="7">
        <f t="shared" si="176"/>
        <v>5.4995648971251809E-2</v>
      </c>
    </row>
    <row r="1253" spans="1:15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4">
        <f>IF(SUMIFS('Daily NSE Equity Cash'!$H:$H,'Daily NSE Equity Cash'!$A:$A,$A1253)=0,"",SUMIFS('Daily NSE Equity Cash'!$H:$H,'Daily NSE Equity Cash'!$A:$A,$A1253))</f>
        <v>1027.4960000000001</v>
      </c>
      <c r="F1253" s="4">
        <f>IF(SUMIFS('Daily BSE Equity Cash'!$H:$H,'Daily BSE Equity Cash'!$A:$A,$A1253)=0,"",SUMIFS('Daily BSE Equity Cash'!$H:$H,'Daily BSE Equity Cash'!$A:$A,$A1253))</f>
        <v>59.537999999999997</v>
      </c>
      <c r="G1253" s="4">
        <f t="shared" si="171"/>
        <v>1087.0340000000001</v>
      </c>
      <c r="H1253" s="7" t="str">
        <f t="shared" si="172"/>
        <v/>
      </c>
      <c r="I1253" s="7" t="str">
        <f t="shared" si="173"/>
        <v/>
      </c>
      <c r="J1253" s="7" t="str">
        <f t="shared" si="174"/>
        <v/>
      </c>
      <c r="K1253" s="7">
        <f t="shared" si="177"/>
        <v>0.11563265303906589</v>
      </c>
      <c r="L1253" s="7">
        <f t="shared" si="178"/>
        <v>0.11081259585138414</v>
      </c>
      <c r="M1253" s="7">
        <f t="shared" si="179"/>
        <v>0.11536757086595073</v>
      </c>
      <c r="N1253" s="7">
        <f t="shared" si="175"/>
        <v>0.94522894408086588</v>
      </c>
      <c r="O1253" s="7">
        <f t="shared" si="176"/>
        <v>5.4771055919134073E-2</v>
      </c>
    </row>
    <row r="1254" spans="1:15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4">
        <f>IF(SUMIFS('Daily NSE Equity Cash'!$H:$H,'Daily NSE Equity Cash'!$A:$A,$A1254)=0,"",SUMIFS('Daily NSE Equity Cash'!$H:$H,'Daily NSE Equity Cash'!$A:$A,$A1254))</f>
        <v>1053.9609</v>
      </c>
      <c r="F1254" s="4">
        <f>IF(SUMIFS('Daily BSE Equity Cash'!$H:$H,'Daily BSE Equity Cash'!$A:$A,$A1254)=0,"",SUMIFS('Daily BSE Equity Cash'!$H:$H,'Daily BSE Equity Cash'!$A:$A,$A1254))</f>
        <v>65.557699999999997</v>
      </c>
      <c r="G1254" s="4">
        <f t="shared" si="171"/>
        <v>1119.5186000000001</v>
      </c>
      <c r="H1254" s="7" t="str">
        <f t="shared" si="172"/>
        <v/>
      </c>
      <c r="I1254" s="7" t="str">
        <f t="shared" si="173"/>
        <v/>
      </c>
      <c r="J1254" s="7" t="str">
        <f t="shared" si="174"/>
        <v/>
      </c>
      <c r="K1254" s="7">
        <f t="shared" si="177"/>
        <v>2.5756693943334019E-2</v>
      </c>
      <c r="L1254" s="7">
        <f t="shared" si="178"/>
        <v>0.10110685612549974</v>
      </c>
      <c r="M1254" s="7">
        <f t="shared" si="179"/>
        <v>2.9883701889729331E-2</v>
      </c>
      <c r="N1254" s="7">
        <f t="shared" si="175"/>
        <v>0.94144116944550982</v>
      </c>
      <c r="O1254" s="7">
        <f t="shared" si="176"/>
        <v>5.8558830554490106E-2</v>
      </c>
    </row>
    <row r="1255" spans="1:15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4">
        <f>IF(SUMIFS('Daily NSE Equity Cash'!$H:$H,'Daily NSE Equity Cash'!$A:$A,$A1255)=0,"",SUMIFS('Daily NSE Equity Cash'!$H:$H,'Daily NSE Equity Cash'!$A:$A,$A1255))</f>
        <v>1090.8429000000001</v>
      </c>
      <c r="F1255" s="4">
        <f>IF(SUMIFS('Daily BSE Equity Cash'!$H:$H,'Daily BSE Equity Cash'!$A:$A,$A1255)=0,"",SUMIFS('Daily BSE Equity Cash'!$H:$H,'Daily BSE Equity Cash'!$A:$A,$A1255))</f>
        <v>70.279300000000006</v>
      </c>
      <c r="G1255" s="4">
        <f t="shared" si="171"/>
        <v>1161.1222</v>
      </c>
      <c r="H1255" s="7">
        <f t="shared" si="172"/>
        <v>0.14194553360143103</v>
      </c>
      <c r="I1255" s="7">
        <f t="shared" si="173"/>
        <v>6.8263737271283542E-3</v>
      </c>
      <c r="J1255" s="7">
        <f t="shared" si="174"/>
        <v>0.13274434875176611</v>
      </c>
      <c r="K1255" s="7">
        <f t="shared" si="177"/>
        <v>3.4993708020857328E-2</v>
      </c>
      <c r="L1255" s="7">
        <f t="shared" si="178"/>
        <v>7.2022050804100957E-2</v>
      </c>
      <c r="M1255" s="7">
        <f t="shared" si="179"/>
        <v>3.7162044471614752E-2</v>
      </c>
      <c r="N1255" s="7">
        <f t="shared" si="175"/>
        <v>0.93947295125353736</v>
      </c>
      <c r="O1255" s="7">
        <f t="shared" si="176"/>
        <v>6.052704874646269E-2</v>
      </c>
    </row>
    <row r="1256" spans="1:15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4">
        <f>IF(SUMIFS('Daily NSE Equity Cash'!$H:$H,'Daily NSE Equity Cash'!$A:$A,$A1256)=0,"",SUMIFS('Daily NSE Equity Cash'!$H:$H,'Daily NSE Equity Cash'!$A:$A,$A1256))</f>
        <v>1162.4544000000001</v>
      </c>
      <c r="F1256" s="4">
        <f>IF(SUMIFS('Daily BSE Equity Cash'!$H:$H,'Daily BSE Equity Cash'!$A:$A,$A1256)=0,"",SUMIFS('Daily BSE Equity Cash'!$H:$H,'Daily BSE Equity Cash'!$A:$A,$A1256))</f>
        <v>67.836399999999998</v>
      </c>
      <c r="G1256" s="4">
        <f t="shared" si="171"/>
        <v>1230.2908</v>
      </c>
      <c r="H1256" s="7">
        <f t="shared" si="172"/>
        <v>9.6353080094917498E-2</v>
      </c>
      <c r="I1256" s="7">
        <f t="shared" si="173"/>
        <v>-4.5953878760518041E-2</v>
      </c>
      <c r="J1256" s="7">
        <f t="shared" si="174"/>
        <v>8.7409632649366964E-2</v>
      </c>
      <c r="K1256" s="7">
        <f t="shared" si="177"/>
        <v>6.5647858183795371E-2</v>
      </c>
      <c r="L1256" s="7">
        <f t="shared" si="178"/>
        <v>-3.475987950932935E-2</v>
      </c>
      <c r="M1256" s="7">
        <f t="shared" si="179"/>
        <v>5.9570474149921449E-2</v>
      </c>
      <c r="N1256" s="7">
        <f t="shared" si="175"/>
        <v>0.94486149128319918</v>
      </c>
      <c r="O1256" s="7">
        <f t="shared" si="176"/>
        <v>5.5138508716800934E-2</v>
      </c>
    </row>
    <row r="1257" spans="1:15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4">
        <f>IF(SUMIFS('Daily NSE Equity Cash'!$H:$H,'Daily NSE Equity Cash'!$A:$A,$A1257)=0,"",SUMIFS('Daily NSE Equity Cash'!$H:$H,'Daily NSE Equity Cash'!$A:$A,$A1257))</f>
        <v>1085.1895999999999</v>
      </c>
      <c r="F1257" s="4">
        <f>IF(SUMIFS('Daily BSE Equity Cash'!$H:$H,'Daily BSE Equity Cash'!$A:$A,$A1257)=0,"",SUMIFS('Daily BSE Equity Cash'!$H:$H,'Daily BSE Equity Cash'!$A:$A,$A1257))</f>
        <v>59.296799999999998</v>
      </c>
      <c r="G1257" s="4">
        <f t="shared" si="171"/>
        <v>1144.4864</v>
      </c>
      <c r="H1257" s="7">
        <f t="shared" si="172"/>
        <v>5.1940393996747547E-2</v>
      </c>
      <c r="I1257" s="7">
        <f t="shared" si="173"/>
        <v>-0.1554654163652005</v>
      </c>
      <c r="J1257" s="7">
        <f t="shared" si="174"/>
        <v>3.872366073620559E-2</v>
      </c>
      <c r="K1257" s="7">
        <f t="shared" si="177"/>
        <v>-6.6466951305788946E-2</v>
      </c>
      <c r="L1257" s="7">
        <f t="shared" si="178"/>
        <v>-0.12588521796557606</v>
      </c>
      <c r="M1257" s="7">
        <f t="shared" si="179"/>
        <v>-6.9743185919946771E-2</v>
      </c>
      <c r="N1257" s="7">
        <f t="shared" si="175"/>
        <v>0.94818916153132093</v>
      </c>
      <c r="O1257" s="7">
        <f t="shared" si="176"/>
        <v>5.1810838468679052E-2</v>
      </c>
    </row>
    <row r="1258" spans="1:15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4">
        <f>IF(SUMIFS('Daily NSE Equity Cash'!$H:$H,'Daily NSE Equity Cash'!$A:$A,$A1258)=0,"",SUMIFS('Daily NSE Equity Cash'!$H:$H,'Daily NSE Equity Cash'!$A:$A,$A1258))</f>
        <v>1138.5006000000001</v>
      </c>
      <c r="F1258" s="4">
        <f>IF(SUMIFS('Daily BSE Equity Cash'!$H:$H,'Daily BSE Equity Cash'!$A:$A,$A1258)=0,"",SUMIFS('Daily BSE Equity Cash'!$H:$H,'Daily BSE Equity Cash'!$A:$A,$A1258))</f>
        <v>77.567099999999996</v>
      </c>
      <c r="G1258" s="4">
        <f t="shared" si="171"/>
        <v>1216.0677000000001</v>
      </c>
      <c r="H1258" s="7">
        <f t="shared" si="172"/>
        <v>-0.17916624819908733</v>
      </c>
      <c r="I1258" s="7">
        <f t="shared" si="173"/>
        <v>-0.21707678223383209</v>
      </c>
      <c r="J1258" s="7">
        <f t="shared" si="174"/>
        <v>-0.18169366254333208</v>
      </c>
      <c r="K1258" s="7">
        <f t="shared" si="177"/>
        <v>4.9125977617183292E-2</v>
      </c>
      <c r="L1258" s="7">
        <f t="shared" si="178"/>
        <v>0.30811612093738616</v>
      </c>
      <c r="M1258" s="7">
        <f t="shared" si="179"/>
        <v>6.2544474097726344E-2</v>
      </c>
      <c r="N1258" s="7">
        <f t="shared" si="175"/>
        <v>0.93621481764543213</v>
      </c>
      <c r="O1258" s="7">
        <f t="shared" si="176"/>
        <v>6.3785182354567913E-2</v>
      </c>
    </row>
    <row r="1259" spans="1:15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4">
        <f>IF(SUMIFS('Daily NSE Equity Cash'!$H:$H,'Daily NSE Equity Cash'!$A:$A,$A1259)=0,"",SUMIFS('Daily NSE Equity Cash'!$H:$H,'Daily NSE Equity Cash'!$A:$A,$A1259))</f>
        <v>900.99310000000003</v>
      </c>
      <c r="F1259" s="4">
        <f>IF(SUMIFS('Daily BSE Equity Cash'!$H:$H,'Daily BSE Equity Cash'!$A:$A,$A1259)=0,"",SUMIFS('Daily BSE Equity Cash'!$H:$H,'Daily BSE Equity Cash'!$A:$A,$A1259))</f>
        <v>56.427</v>
      </c>
      <c r="G1259" s="4">
        <f t="shared" si="171"/>
        <v>957.42010000000005</v>
      </c>
      <c r="H1259" s="7" t="str">
        <f t="shared" si="172"/>
        <v/>
      </c>
      <c r="I1259" s="7" t="str">
        <f t="shared" si="173"/>
        <v/>
      </c>
      <c r="J1259" s="7" t="str">
        <f t="shared" si="174"/>
        <v/>
      </c>
      <c r="K1259" s="7">
        <f t="shared" si="177"/>
        <v>-0.20861429497709538</v>
      </c>
      <c r="L1259" s="7">
        <f t="shared" si="178"/>
        <v>-0.27253951739848459</v>
      </c>
      <c r="M1259" s="7">
        <f t="shared" si="179"/>
        <v>-0.21269177694629993</v>
      </c>
      <c r="N1259" s="7">
        <f t="shared" si="175"/>
        <v>0.94106348926662386</v>
      </c>
      <c r="O1259" s="7">
        <f t="shared" si="176"/>
        <v>5.893651073337608E-2</v>
      </c>
    </row>
    <row r="1260" spans="1:15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4">
        <f>IF(SUMIFS('Daily NSE Equity Cash'!$H:$H,'Daily NSE Equity Cash'!$A:$A,$A1260)=0,"",SUMIFS('Daily NSE Equity Cash'!$H:$H,'Daily NSE Equity Cash'!$A:$A,$A1260))</f>
        <v>1026.9654</v>
      </c>
      <c r="F1260" s="4">
        <f>IF(SUMIFS('Daily BSE Equity Cash'!$H:$H,'Daily BSE Equity Cash'!$A:$A,$A1260)=0,"",SUMIFS('Daily BSE Equity Cash'!$H:$H,'Daily BSE Equity Cash'!$A:$A,$A1260))</f>
        <v>75.622699999999995</v>
      </c>
      <c r="G1260" s="4">
        <f t="shared" si="171"/>
        <v>1102.5880999999999</v>
      </c>
      <c r="H1260" s="7">
        <f t="shared" si="172"/>
        <v>-7.4472589316404214E-2</v>
      </c>
      <c r="I1260" s="7">
        <f t="shared" si="173"/>
        <v>-6.1606404971496831E-2</v>
      </c>
      <c r="J1260" s="7">
        <f t="shared" si="174"/>
        <v>-7.3601422162355101E-2</v>
      </c>
      <c r="K1260" s="7">
        <f t="shared" si="177"/>
        <v>0.1398149441987957</v>
      </c>
      <c r="L1260" s="7">
        <f t="shared" si="178"/>
        <v>0.34018643557162354</v>
      </c>
      <c r="M1260" s="7">
        <f t="shared" si="179"/>
        <v>0.15162414075075281</v>
      </c>
      <c r="N1260" s="7">
        <f t="shared" si="175"/>
        <v>0.93141346256140445</v>
      </c>
      <c r="O1260" s="7">
        <f t="shared" si="176"/>
        <v>6.8586537438595607E-2</v>
      </c>
    </row>
    <row r="1261" spans="1:15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4">
        <f>IF(SUMIFS('Daily NSE Equity Cash'!$H:$H,'Daily NSE Equity Cash'!$A:$A,$A1261)=0,"",SUMIFS('Daily NSE Equity Cash'!$H:$H,'Daily NSE Equity Cash'!$A:$A,$A1261))</f>
        <v>1100.8758</v>
      </c>
      <c r="F1261" s="4">
        <f>IF(SUMIFS('Daily BSE Equity Cash'!$H:$H,'Daily BSE Equity Cash'!$A:$A,$A1261)=0,"",SUMIFS('Daily BSE Equity Cash'!$H:$H,'Daily BSE Equity Cash'!$A:$A,$A1261))</f>
        <v>59.862099999999998</v>
      </c>
      <c r="G1261" s="4">
        <f t="shared" si="171"/>
        <v>1160.7379000000001</v>
      </c>
      <c r="H1261" s="7">
        <f t="shared" si="172"/>
        <v>-0.12109675229768113</v>
      </c>
      <c r="I1261" s="7">
        <f t="shared" si="173"/>
        <v>-0.24563318089424491</v>
      </c>
      <c r="J1261" s="7">
        <f t="shared" si="174"/>
        <v>-0.1285165278385092</v>
      </c>
      <c r="K1261" s="7">
        <f t="shared" si="177"/>
        <v>7.1969708034954172E-2</v>
      </c>
      <c r="L1261" s="7">
        <f t="shared" si="178"/>
        <v>-0.20841096654840408</v>
      </c>
      <c r="M1261" s="7">
        <f t="shared" si="179"/>
        <v>5.273936840058413E-2</v>
      </c>
      <c r="N1261" s="7">
        <f t="shared" si="175"/>
        <v>0.94842754768324522</v>
      </c>
      <c r="O1261" s="7">
        <f t="shared" si="176"/>
        <v>5.1572452316754711E-2</v>
      </c>
    </row>
    <row r="1262" spans="1:15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4">
        <f>IF(SUMIFS('Daily NSE Equity Cash'!$H:$H,'Daily NSE Equity Cash'!$A:$A,$A1262)=0,"",SUMIFS('Daily NSE Equity Cash'!$H:$H,'Daily NSE Equity Cash'!$A:$A,$A1262))</f>
        <v>1008.9516</v>
      </c>
      <c r="F1262" s="4">
        <f>IF(SUMIFS('Daily BSE Equity Cash'!$H:$H,'Daily BSE Equity Cash'!$A:$A,$A1262)=0,"",SUMIFS('Daily BSE Equity Cash'!$H:$H,'Daily BSE Equity Cash'!$A:$A,$A1262))</f>
        <v>67.696399999999997</v>
      </c>
      <c r="G1262" s="4">
        <f t="shared" si="171"/>
        <v>1076.6479999999999</v>
      </c>
      <c r="H1262" s="7">
        <f t="shared" si="172"/>
        <v>-0.19009983200789105</v>
      </c>
      <c r="I1262" s="7">
        <f t="shared" si="173"/>
        <v>-0.26345944405094912</v>
      </c>
      <c r="J1262" s="7">
        <f t="shared" si="174"/>
        <v>-0.19514031750844618</v>
      </c>
      <c r="K1262" s="7">
        <f t="shared" si="177"/>
        <v>-8.3500972589278466E-2</v>
      </c>
      <c r="L1262" s="7">
        <f t="shared" si="178"/>
        <v>0.13087245519285151</v>
      </c>
      <c r="M1262" s="7">
        <f t="shared" si="179"/>
        <v>-7.2445209207005479E-2</v>
      </c>
      <c r="N1262" s="7">
        <f t="shared" si="175"/>
        <v>0.93712299655969278</v>
      </c>
      <c r="O1262" s="7">
        <f t="shared" si="176"/>
        <v>6.2877003440307333E-2</v>
      </c>
    </row>
    <row r="1263" spans="1:15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4">
        <f>IF(SUMIFS('Daily NSE Equity Cash'!$H:$H,'Daily NSE Equity Cash'!$A:$A,$A1263)=0,"",SUMIFS('Daily NSE Equity Cash'!$H:$H,'Daily NSE Equity Cash'!$A:$A,$A1263))</f>
        <v>898.85270000000003</v>
      </c>
      <c r="F1263" s="4">
        <f>IF(SUMIFS('Daily BSE Equity Cash'!$H:$H,'Daily BSE Equity Cash'!$A:$A,$A1263)=0,"",SUMIFS('Daily BSE Equity Cash'!$H:$H,'Daily BSE Equity Cash'!$A:$A,$A1263))</f>
        <v>61.320700000000002</v>
      </c>
      <c r="G1263" s="4">
        <f t="shared" si="171"/>
        <v>960.17340000000002</v>
      </c>
      <c r="H1263" s="7" t="str">
        <f t="shared" si="172"/>
        <v/>
      </c>
      <c r="I1263" s="7" t="str">
        <f t="shared" si="173"/>
        <v/>
      </c>
      <c r="J1263" s="7" t="str">
        <f t="shared" si="174"/>
        <v/>
      </c>
      <c r="K1263" s="7">
        <f t="shared" si="177"/>
        <v>-0.10912208276393032</v>
      </c>
      <c r="L1263" s="7">
        <f t="shared" si="178"/>
        <v>-9.4180783616263142E-2</v>
      </c>
      <c r="M1263" s="7">
        <f t="shared" si="179"/>
        <v>-0.10818261864601975</v>
      </c>
      <c r="N1263" s="7">
        <f t="shared" si="175"/>
        <v>0.93613580630331983</v>
      </c>
      <c r="O1263" s="7">
        <f t="shared" si="176"/>
        <v>6.3864193696680199E-2</v>
      </c>
    </row>
    <row r="1264" spans="1:15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4">
        <f>IF(SUMIFS('Daily NSE Equity Cash'!$H:$H,'Daily NSE Equity Cash'!$A:$A,$A1264)=0,"",SUMIFS('Daily NSE Equity Cash'!$H:$H,'Daily NSE Equity Cash'!$A:$A,$A1264))</f>
        <v>904.54160000000002</v>
      </c>
      <c r="F1264" s="4">
        <f>IF(SUMIFS('Daily BSE Equity Cash'!$H:$H,'Daily BSE Equity Cash'!$A:$A,$A1264)=0,"",SUMIFS('Daily BSE Equity Cash'!$H:$H,'Daily BSE Equity Cash'!$A:$A,$A1264))</f>
        <v>58.3123</v>
      </c>
      <c r="G1264" s="4">
        <f t="shared" si="171"/>
        <v>962.85390000000007</v>
      </c>
      <c r="H1264" s="7">
        <f t="shared" si="172"/>
        <v>-0.18026974183535915</v>
      </c>
      <c r="I1264" s="7">
        <f t="shared" si="173"/>
        <v>-0.31686301247897131</v>
      </c>
      <c r="J1264" s="7">
        <f t="shared" si="174"/>
        <v>-0.19007738836618193</v>
      </c>
      <c r="K1264" s="7">
        <f t="shared" si="177"/>
        <v>6.3290681554386552E-3</v>
      </c>
      <c r="L1264" s="7">
        <f t="shared" si="178"/>
        <v>-4.906010531517091E-2</v>
      </c>
      <c r="M1264" s="7">
        <f t="shared" si="179"/>
        <v>2.7916832522125734E-3</v>
      </c>
      <c r="N1264" s="7">
        <f t="shared" si="175"/>
        <v>0.93943806012521724</v>
      </c>
      <c r="O1264" s="7">
        <f t="shared" si="176"/>
        <v>6.0561939874782658E-2</v>
      </c>
    </row>
    <row r="1265" spans="1:15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4">
        <f>IF(SUMIFS('Daily NSE Equity Cash'!$H:$H,'Daily NSE Equity Cash'!$A:$A,$A1265)=0,"",SUMIFS('Daily NSE Equity Cash'!$H:$H,'Daily NSE Equity Cash'!$A:$A,$A1265))</f>
        <v>1012.2347</v>
      </c>
      <c r="F1265" s="4">
        <f>IF(SUMIFS('Daily BSE Equity Cash'!$H:$H,'Daily BSE Equity Cash'!$A:$A,$A1265)=0,"",SUMIFS('Daily BSE Equity Cash'!$H:$H,'Daily BSE Equity Cash'!$A:$A,$A1265))</f>
        <v>53.147399999999998</v>
      </c>
      <c r="G1265" s="4">
        <f t="shared" si="171"/>
        <v>1065.3821</v>
      </c>
      <c r="H1265" s="7">
        <f t="shared" si="172"/>
        <v>-6.3322485384232352E-2</v>
      </c>
      <c r="I1265" s="7">
        <f t="shared" si="173"/>
        <v>-0.31399872473675106</v>
      </c>
      <c r="J1265" s="7">
        <f t="shared" si="174"/>
        <v>-8.0091574476403471E-2</v>
      </c>
      <c r="K1265" s="7">
        <f t="shared" si="177"/>
        <v>0.1190582058359726</v>
      </c>
      <c r="L1265" s="7">
        <f t="shared" si="178"/>
        <v>-8.8573079779051822E-2</v>
      </c>
      <c r="M1265" s="7">
        <f t="shared" si="179"/>
        <v>0.10648365240043156</v>
      </c>
      <c r="N1265" s="7">
        <f t="shared" si="175"/>
        <v>0.95011423600978462</v>
      </c>
      <c r="O1265" s="7">
        <f t="shared" si="176"/>
        <v>4.988576399021534E-2</v>
      </c>
    </row>
    <row r="1266" spans="1:15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4">
        <f>IF(SUMIFS('Daily NSE Equity Cash'!$H:$H,'Daily NSE Equity Cash'!$A:$A,$A1266)=0,"",SUMIFS('Daily NSE Equity Cash'!$H:$H,'Daily NSE Equity Cash'!$A:$A,$A1266))</f>
        <v>1056.0586000000001</v>
      </c>
      <c r="F1266" s="4">
        <f>IF(SUMIFS('Daily BSE Equity Cash'!$H:$H,'Daily BSE Equity Cash'!$A:$A,$A1266)=0,"",SUMIFS('Daily BSE Equity Cash'!$H:$H,'Daily BSE Equity Cash'!$A:$A,$A1266))</f>
        <v>53.631300000000003</v>
      </c>
      <c r="G1266" s="4">
        <f t="shared" si="171"/>
        <v>1109.6899000000001</v>
      </c>
      <c r="H1266" s="7">
        <f t="shared" si="172"/>
        <v>6.7570857094565007E-2</v>
      </c>
      <c r="I1266" s="7">
        <f t="shared" si="173"/>
        <v>-0.15083916526805785</v>
      </c>
      <c r="J1266" s="7">
        <f t="shared" si="174"/>
        <v>5.4463031407833817E-2</v>
      </c>
      <c r="K1266" s="7">
        <f t="shared" si="177"/>
        <v>4.3294208349111241E-2</v>
      </c>
      <c r="L1266" s="7">
        <f t="shared" si="178"/>
        <v>9.1048668420281587E-3</v>
      </c>
      <c r="M1266" s="7">
        <f t="shared" si="179"/>
        <v>4.1588646927708028E-2</v>
      </c>
      <c r="N1266" s="7">
        <f t="shared" si="175"/>
        <v>0.9516700115951312</v>
      </c>
      <c r="O1266" s="7">
        <f t="shared" si="176"/>
        <v>4.8329988404868782E-2</v>
      </c>
    </row>
    <row r="1267" spans="1:15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4">
        <f>IF(SUMIFS('Daily NSE Equity Cash'!$H:$H,'Daily NSE Equity Cash'!$A:$A,$A1267)=0,"",SUMIFS('Daily NSE Equity Cash'!$H:$H,'Daily NSE Equity Cash'!$A:$A,$A1267))</f>
        <v>945.50760000000002</v>
      </c>
      <c r="F1267" s="4">
        <f>IF(SUMIFS('Daily BSE Equity Cash'!$H:$H,'Daily BSE Equity Cash'!$A:$A,$A1267)=0,"",SUMIFS('Daily BSE Equity Cash'!$H:$H,'Daily BSE Equity Cash'!$A:$A,$A1267))</f>
        <v>63.364100000000001</v>
      </c>
      <c r="G1267" s="4">
        <f t="shared" si="171"/>
        <v>1008.8717</v>
      </c>
      <c r="H1267" s="7">
        <f t="shared" si="172"/>
        <v>-7.4886979102202322E-2</v>
      </c>
      <c r="I1267" s="7">
        <f t="shared" si="173"/>
        <v>-0.12387830218159002</v>
      </c>
      <c r="J1267" s="7">
        <f t="shared" si="174"/>
        <v>-7.8124661620044167E-2</v>
      </c>
      <c r="K1267" s="7">
        <f t="shared" si="177"/>
        <v>-0.10468263787634513</v>
      </c>
      <c r="L1267" s="7">
        <f t="shared" si="178"/>
        <v>0.181476115626509</v>
      </c>
      <c r="M1267" s="7">
        <f t="shared" si="179"/>
        <v>-9.0852588637600484E-2</v>
      </c>
      <c r="N1267" s="7">
        <f t="shared" si="175"/>
        <v>0.93719310393977751</v>
      </c>
      <c r="O1267" s="7">
        <f t="shared" si="176"/>
        <v>6.2806896060222522E-2</v>
      </c>
    </row>
    <row r="1268" spans="1:15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4">
        <f>IF(SUMIFS('Daily NSE Equity Cash'!$H:$H,'Daily NSE Equity Cash'!$A:$A,$A1268)=0,"",SUMIFS('Daily NSE Equity Cash'!$H:$H,'Daily NSE Equity Cash'!$A:$A,$A1268))</f>
        <v>1067.51</v>
      </c>
      <c r="F1268" s="4">
        <f>IF(SUMIFS('Daily BSE Equity Cash'!$H:$H,'Daily BSE Equity Cash'!$A:$A,$A1268)=0,"",SUMIFS('Daily BSE Equity Cash'!$H:$H,'Daily BSE Equity Cash'!$A:$A,$A1268))</f>
        <v>68.585800000000006</v>
      </c>
      <c r="G1268" s="4">
        <f t="shared" si="171"/>
        <v>1136.0958000000001</v>
      </c>
      <c r="H1268" s="7" t="str">
        <f t="shared" si="172"/>
        <v/>
      </c>
      <c r="I1268" s="7" t="str">
        <f t="shared" si="173"/>
        <v/>
      </c>
      <c r="J1268" s="7" t="str">
        <f t="shared" si="174"/>
        <v/>
      </c>
      <c r="K1268" s="7">
        <f t="shared" si="177"/>
        <v>0.12903375922097293</v>
      </c>
      <c r="L1268" s="7">
        <f t="shared" si="178"/>
        <v>8.2407861864999266E-2</v>
      </c>
      <c r="M1268" s="7">
        <f t="shared" si="179"/>
        <v>0.12610533133202173</v>
      </c>
      <c r="N1268" s="7">
        <f t="shared" si="175"/>
        <v>0.93963026709543329</v>
      </c>
      <c r="O1268" s="7">
        <f t="shared" si="176"/>
        <v>6.0369732904566674E-2</v>
      </c>
    </row>
    <row r="1269" spans="1:15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4">
        <f>IF(SUMIFS('Daily NSE Equity Cash'!$H:$H,'Daily NSE Equity Cash'!$A:$A,$A1269)=0,"",SUMIFS('Daily NSE Equity Cash'!$H:$H,'Daily NSE Equity Cash'!$A:$A,$A1269))</f>
        <v>1149.4286999999999</v>
      </c>
      <c r="F1269" s="4">
        <f>IF(SUMIFS('Daily BSE Equity Cash'!$H:$H,'Daily BSE Equity Cash'!$A:$A,$A1269)=0,"",SUMIFS('Daily BSE Equity Cash'!$H:$H,'Daily BSE Equity Cash'!$A:$A,$A1269))</f>
        <v>105.5146</v>
      </c>
      <c r="G1269" s="4">
        <f t="shared" si="171"/>
        <v>1254.9432999999999</v>
      </c>
      <c r="H1269" s="7">
        <f t="shared" si="172"/>
        <v>0.16767727725669523</v>
      </c>
      <c r="I1269" s="7">
        <f t="shared" si="173"/>
        <v>0.52167912444170739</v>
      </c>
      <c r="J1269" s="7">
        <f t="shared" si="174"/>
        <v>0.19097281536297173</v>
      </c>
      <c r="K1269" s="7">
        <f t="shared" si="177"/>
        <v>7.6738110181637564E-2</v>
      </c>
      <c r="L1269" s="7">
        <f t="shared" si="178"/>
        <v>0.5384321535944756</v>
      </c>
      <c r="M1269" s="7">
        <f t="shared" si="179"/>
        <v>0.10461045626609988</v>
      </c>
      <c r="N1269" s="7">
        <f t="shared" si="175"/>
        <v>0.91592082287701759</v>
      </c>
      <c r="O1269" s="7">
        <f t="shared" si="176"/>
        <v>8.4079177122982379E-2</v>
      </c>
    </row>
    <row r="1270" spans="1:15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4">
        <f>IF(SUMIFS('Daily NSE Equity Cash'!$H:$H,'Daily NSE Equity Cash'!$A:$A,$A1270)=0,"",SUMIFS('Daily NSE Equity Cash'!$H:$H,'Daily NSE Equity Cash'!$A:$A,$A1270))</f>
        <v>1158.69</v>
      </c>
      <c r="F1270" s="4">
        <f>IF(SUMIFS('Daily BSE Equity Cash'!$H:$H,'Daily BSE Equity Cash'!$A:$A,$A1270)=0,"",SUMIFS('Daily BSE Equity Cash'!$H:$H,'Daily BSE Equity Cash'!$A:$A,$A1270))</f>
        <v>83.948800000000006</v>
      </c>
      <c r="G1270" s="4">
        <f t="shared" si="171"/>
        <v>1242.6388000000002</v>
      </c>
      <c r="H1270" s="7">
        <f t="shared" si="172"/>
        <v>0.26688599097591514</v>
      </c>
      <c r="I1270" s="7">
        <f t="shared" si="173"/>
        <v>0.39437557822982372</v>
      </c>
      <c r="J1270" s="7">
        <f t="shared" si="174"/>
        <v>0.27475994617164412</v>
      </c>
      <c r="K1270" s="7">
        <f t="shared" si="177"/>
        <v>8.0573070778553468E-3</v>
      </c>
      <c r="L1270" s="7">
        <f t="shared" si="178"/>
        <v>-0.20438688105721858</v>
      </c>
      <c r="M1270" s="7">
        <f t="shared" si="179"/>
        <v>-9.8048254451015282E-3</v>
      </c>
      <c r="N1270" s="7">
        <f t="shared" si="175"/>
        <v>0.93244312023735287</v>
      </c>
      <c r="O1270" s="7">
        <f t="shared" si="176"/>
        <v>6.7556879762647029E-2</v>
      </c>
    </row>
    <row r="1271" spans="1:15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4">
        <f>IF(SUMIFS('Daily NSE Equity Cash'!$H:$H,'Daily NSE Equity Cash'!$A:$A,$A1271)=0,"",SUMIFS('Daily NSE Equity Cash'!$H:$H,'Daily NSE Equity Cash'!$A:$A,$A1271))</f>
        <v>1278.9060999999999</v>
      </c>
      <c r="F1271" s="4">
        <f>IF(SUMIFS('Daily BSE Equity Cash'!$H:$H,'Daily BSE Equity Cash'!$A:$A,$A1271)=0,"",SUMIFS('Daily BSE Equity Cash'!$H:$H,'Daily BSE Equity Cash'!$A:$A,$A1271))</f>
        <v>79.695499999999996</v>
      </c>
      <c r="G1271" s="4">
        <f t="shared" si="171"/>
        <v>1358.6016</v>
      </c>
      <c r="H1271" s="7">
        <f t="shared" si="172"/>
        <v>0.27140860346536466</v>
      </c>
      <c r="I1271" s="7">
        <f t="shared" si="173"/>
        <v>0.26150176256151547</v>
      </c>
      <c r="J1271" s="7">
        <f t="shared" si="174"/>
        <v>0.27082317460160055</v>
      </c>
      <c r="K1271" s="7">
        <f t="shared" si="177"/>
        <v>0.10375173687526429</v>
      </c>
      <c r="L1271" s="7">
        <f t="shared" si="178"/>
        <v>-5.0665405580544443E-2</v>
      </c>
      <c r="M1271" s="7">
        <f t="shared" si="179"/>
        <v>9.331979654908551E-2</v>
      </c>
      <c r="N1271" s="7">
        <f t="shared" si="175"/>
        <v>0.94134005141757526</v>
      </c>
      <c r="O1271" s="7">
        <f t="shared" si="176"/>
        <v>5.8659948582424751E-2</v>
      </c>
    </row>
    <row r="1272" spans="1:15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4">
        <f>IF(SUMIFS('Daily NSE Equity Cash'!$H:$H,'Daily NSE Equity Cash'!$A:$A,$A1272)=0,"",SUMIFS('Daily NSE Equity Cash'!$H:$H,'Daily NSE Equity Cash'!$A:$A,$A1272))</f>
        <v>1498.1759</v>
      </c>
      <c r="F1272" s="4">
        <f>IF(SUMIFS('Daily BSE Equity Cash'!$H:$H,'Daily BSE Equity Cash'!$A:$A,$A1272)=0,"",SUMIFS('Daily BSE Equity Cash'!$H:$H,'Daily BSE Equity Cash'!$A:$A,$A1272))</f>
        <v>106.9918</v>
      </c>
      <c r="G1272" s="4">
        <f t="shared" si="171"/>
        <v>1605.1677</v>
      </c>
      <c r="H1272" s="7">
        <f t="shared" si="172"/>
        <v>0.28033639324581361</v>
      </c>
      <c r="I1272" s="7">
        <f t="shared" si="173"/>
        <v>0.48326759782344997</v>
      </c>
      <c r="J1272" s="7">
        <f t="shared" si="174"/>
        <v>0.29211956226435887</v>
      </c>
      <c r="K1272" s="7">
        <f t="shared" si="177"/>
        <v>0.1714510549288959</v>
      </c>
      <c r="L1272" s="7">
        <f t="shared" si="178"/>
        <v>0.34250741886304747</v>
      </c>
      <c r="M1272" s="7">
        <f t="shared" si="179"/>
        <v>0.18148521244196969</v>
      </c>
      <c r="N1272" s="7">
        <f t="shared" si="175"/>
        <v>0.93334540683817646</v>
      </c>
      <c r="O1272" s="7">
        <f t="shared" si="176"/>
        <v>6.6654593161823525E-2</v>
      </c>
    </row>
    <row r="1273" spans="1:15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4">
        <f>IF(SUMIFS('Daily NSE Equity Cash'!$H:$H,'Daily NSE Equity Cash'!$A:$A,$A1273)=0,"",SUMIFS('Daily NSE Equity Cash'!$H:$H,'Daily NSE Equity Cash'!$A:$A,$A1273))</f>
        <v>1161.1649</v>
      </c>
      <c r="F1273" s="4">
        <f>IF(SUMIFS('Daily BSE Equity Cash'!$H:$H,'Daily BSE Equity Cash'!$A:$A,$A1273)=0,"",SUMIFS('Daily BSE Equity Cash'!$H:$H,'Daily BSE Equity Cash'!$A:$A,$A1273))</f>
        <v>86.304699999999997</v>
      </c>
      <c r="G1273" s="4">
        <f t="shared" si="171"/>
        <v>1247.4695999999999</v>
      </c>
      <c r="H1273" s="7" t="str">
        <f t="shared" si="172"/>
        <v/>
      </c>
      <c r="I1273" s="7" t="str">
        <f t="shared" si="173"/>
        <v/>
      </c>
      <c r="J1273" s="7" t="str">
        <f t="shared" si="174"/>
        <v/>
      </c>
      <c r="K1273" s="7">
        <f t="shared" si="177"/>
        <v>-0.2249475512187854</v>
      </c>
      <c r="L1273" s="7">
        <f t="shared" si="178"/>
        <v>-0.19335220082286686</v>
      </c>
      <c r="M1273" s="7">
        <f t="shared" si="179"/>
        <v>-0.22284157599234033</v>
      </c>
      <c r="N1273" s="7">
        <f t="shared" si="175"/>
        <v>0.93081618982939551</v>
      </c>
      <c r="O1273" s="7">
        <f t="shared" si="176"/>
        <v>6.9183810170604557E-2</v>
      </c>
    </row>
    <row r="1274" spans="1:15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4">
        <f>IF(SUMIFS('Daily NSE Equity Cash'!$H:$H,'Daily NSE Equity Cash'!$A:$A,$A1274)=0,"",SUMIFS('Daily NSE Equity Cash'!$H:$H,'Daily NSE Equity Cash'!$A:$A,$A1274))</f>
        <v>1168.5089</v>
      </c>
      <c r="F1274" s="4">
        <f>IF(SUMIFS('Daily BSE Equity Cash'!$H:$H,'Daily BSE Equity Cash'!$A:$A,$A1274)=0,"",SUMIFS('Daily BSE Equity Cash'!$H:$H,'Daily BSE Equity Cash'!$A:$A,$A1274))</f>
        <v>78.754400000000004</v>
      </c>
      <c r="G1274" s="4">
        <f t="shared" si="171"/>
        <v>1247.2633000000001</v>
      </c>
      <c r="H1274" s="7" t="str">
        <f t="shared" si="172"/>
        <v/>
      </c>
      <c r="I1274" s="7" t="str">
        <f t="shared" si="173"/>
        <v/>
      </c>
      <c r="J1274" s="7" t="str">
        <f t="shared" si="174"/>
        <v/>
      </c>
      <c r="K1274" s="7">
        <f t="shared" si="177"/>
        <v>6.3246830833416645E-3</v>
      </c>
      <c r="L1274" s="7">
        <f t="shared" si="178"/>
        <v>-8.7484227394336478E-2</v>
      </c>
      <c r="M1274" s="7">
        <f t="shared" si="179"/>
        <v>-1.6537477145717183E-4</v>
      </c>
      <c r="N1274" s="7">
        <f t="shared" si="175"/>
        <v>0.93685823995623052</v>
      </c>
      <c r="O1274" s="7">
        <f t="shared" si="176"/>
        <v>6.3141760043769424E-2</v>
      </c>
    </row>
    <row r="1275" spans="1:15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4">
        <f>IF(SUMIFS('Daily NSE Equity Cash'!$H:$H,'Daily NSE Equity Cash'!$A:$A,$A1275)=0,"",SUMIFS('Daily NSE Equity Cash'!$H:$H,'Daily NSE Equity Cash'!$A:$A,$A1275))</f>
        <v>989.48360000000002</v>
      </c>
      <c r="F1275" s="4">
        <f>IF(SUMIFS('Daily BSE Equity Cash'!$H:$H,'Daily BSE Equity Cash'!$A:$A,$A1275)=0,"",SUMIFS('Daily BSE Equity Cash'!$H:$H,'Daily BSE Equity Cash'!$A:$A,$A1275))</f>
        <v>78.440799999999996</v>
      </c>
      <c r="G1275" s="4">
        <f t="shared" si="171"/>
        <v>1067.9244000000001</v>
      </c>
      <c r="H1275" s="7">
        <f t="shared" si="172"/>
        <v>-0.24972847227171879</v>
      </c>
      <c r="I1275" s="7">
        <f t="shared" si="173"/>
        <v>-3.8570764955992209E-2</v>
      </c>
      <c r="J1275" s="7">
        <f t="shared" si="174"/>
        <v>-0.23742655515834976</v>
      </c>
      <c r="K1275" s="7">
        <f t="shared" si="177"/>
        <v>-0.15320833243118648</v>
      </c>
      <c r="L1275" s="7">
        <f t="shared" si="178"/>
        <v>-3.9819997358878645E-3</v>
      </c>
      <c r="M1275" s="7">
        <f t="shared" si="179"/>
        <v>-0.14378591913992811</v>
      </c>
      <c r="N1275" s="7">
        <f t="shared" si="175"/>
        <v>0.92654835866658725</v>
      </c>
      <c r="O1275" s="7">
        <f t="shared" si="176"/>
        <v>7.3451641333412726E-2</v>
      </c>
    </row>
    <row r="1276" spans="1:15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4">
        <f>IF(SUMIFS('Daily NSE Equity Cash'!$H:$H,'Daily NSE Equity Cash'!$A:$A,$A1276)=0,"",SUMIFS('Daily NSE Equity Cash'!$H:$H,'Daily NSE Equity Cash'!$A:$A,$A1276))</f>
        <v>1063.5518999999999</v>
      </c>
      <c r="F1276" s="4">
        <f>IF(SUMIFS('Daily BSE Equity Cash'!$H:$H,'Daily BSE Equity Cash'!$A:$A,$A1276)=0,"",SUMIFS('Daily BSE Equity Cash'!$H:$H,'Daily BSE Equity Cash'!$A:$A,$A1276))</f>
        <v>72.064099999999996</v>
      </c>
      <c r="G1276" s="4">
        <f t="shared" si="171"/>
        <v>1135.616</v>
      </c>
      <c r="H1276" s="7">
        <f t="shared" si="172"/>
        <v>-0.12437471179255333</v>
      </c>
      <c r="I1276" s="7">
        <f t="shared" si="173"/>
        <v>-0.14859312013534787</v>
      </c>
      <c r="J1276" s="7">
        <f t="shared" si="174"/>
        <v>-0.12595243558050029</v>
      </c>
      <c r="K1276" s="7">
        <f t="shared" si="177"/>
        <v>7.4855510490522414E-2</v>
      </c>
      <c r="L1276" s="7">
        <f t="shared" si="178"/>
        <v>-8.1293153562941756E-2</v>
      </c>
      <c r="M1276" s="7">
        <f t="shared" si="179"/>
        <v>6.3386134823775864E-2</v>
      </c>
      <c r="N1276" s="7">
        <f t="shared" si="175"/>
        <v>0.93654184160843101</v>
      </c>
      <c r="O1276" s="7">
        <f t="shared" si="176"/>
        <v>6.3458158391568972E-2</v>
      </c>
    </row>
    <row r="1277" spans="1:15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4">
        <f>IF(SUMIFS('Daily NSE Equity Cash'!$H:$H,'Daily NSE Equity Cash'!$A:$A,$A1277)=0,"",SUMIFS('Daily NSE Equity Cash'!$H:$H,'Daily NSE Equity Cash'!$A:$A,$A1277))</f>
        <v>952.45460000000003</v>
      </c>
      <c r="F1277" s="4">
        <f>IF(SUMIFS('Daily BSE Equity Cash'!$H:$H,'Daily BSE Equity Cash'!$A:$A,$A1277)=0,"",SUMIFS('Daily BSE Equity Cash'!$H:$H,'Daily BSE Equity Cash'!$A:$A,$A1277))</f>
        <v>75.5214</v>
      </c>
      <c r="G1277" s="4">
        <f t="shared" si="171"/>
        <v>1027.9760000000001</v>
      </c>
      <c r="H1277" s="7">
        <f t="shared" si="172"/>
        <v>-0.27746373662286461</v>
      </c>
      <c r="I1277" s="7">
        <f t="shared" si="173"/>
        <v>-0.12781862844168612</v>
      </c>
      <c r="J1277" s="7">
        <f t="shared" si="174"/>
        <v>-0.26823990218673233</v>
      </c>
      <c r="K1277" s="7">
        <f t="shared" si="177"/>
        <v>-0.10445874808742284</v>
      </c>
      <c r="L1277" s="7">
        <f t="shared" si="178"/>
        <v>4.7975344172757284E-2</v>
      </c>
      <c r="M1277" s="7">
        <f t="shared" si="179"/>
        <v>-9.4785561316501288E-2</v>
      </c>
      <c r="N1277" s="7">
        <f t="shared" si="175"/>
        <v>0.92653388795069136</v>
      </c>
      <c r="O1277" s="7">
        <f t="shared" si="176"/>
        <v>7.346611204930853E-2</v>
      </c>
    </row>
    <row r="1278" spans="1:15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4">
        <f>IF(SUMIFS('Daily NSE Equity Cash'!$H:$H,'Daily NSE Equity Cash'!$A:$A,$A1278)=0,"",SUMIFS('Daily NSE Equity Cash'!$H:$H,'Daily NSE Equity Cash'!$A:$A,$A1278))</f>
        <v>931.7047</v>
      </c>
      <c r="F1278" s="4">
        <f>IF(SUMIFS('Daily BSE Equity Cash'!$H:$H,'Daily BSE Equity Cash'!$A:$A,$A1278)=0,"",SUMIFS('Daily BSE Equity Cash'!$H:$H,'Daily BSE Equity Cash'!$A:$A,$A1278))</f>
        <v>67.745999999999995</v>
      </c>
      <c r="G1278" s="4">
        <f t="shared" si="171"/>
        <v>999.45069999999998</v>
      </c>
      <c r="H1278" s="7" t="str">
        <f t="shared" si="172"/>
        <v/>
      </c>
      <c r="I1278" s="7" t="str">
        <f t="shared" si="173"/>
        <v/>
      </c>
      <c r="J1278" s="7" t="str">
        <f t="shared" si="174"/>
        <v/>
      </c>
      <c r="K1278" s="7">
        <f t="shared" si="177"/>
        <v>-2.1785710311021722E-2</v>
      </c>
      <c r="L1278" s="7">
        <f t="shared" si="178"/>
        <v>-0.10295624816277249</v>
      </c>
      <c r="M1278" s="7">
        <f t="shared" si="179"/>
        <v>-2.7748994139941141E-2</v>
      </c>
      <c r="N1278" s="7">
        <f t="shared" si="175"/>
        <v>0.93221676666993181</v>
      </c>
      <c r="O1278" s="7">
        <f t="shared" si="176"/>
        <v>6.7783233330068207E-2</v>
      </c>
    </row>
    <row r="1279" spans="1:15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4">
        <f>IF(SUMIFS('Daily NSE Equity Cash'!$H:$H,'Daily NSE Equity Cash'!$A:$A,$A1279)=0,"",SUMIFS('Daily NSE Equity Cash'!$H:$H,'Daily NSE Equity Cash'!$A:$A,$A1279))</f>
        <v>1192.8545999999999</v>
      </c>
      <c r="F1279" s="4">
        <f>IF(SUMIFS('Daily BSE Equity Cash'!$H:$H,'Daily BSE Equity Cash'!$A:$A,$A1279)=0,"",SUMIFS('Daily BSE Equity Cash'!$H:$H,'Daily BSE Equity Cash'!$A:$A,$A1279))</f>
        <v>94.161600000000007</v>
      </c>
      <c r="G1279" s="4">
        <f t="shared" si="171"/>
        <v>1287.0161999999998</v>
      </c>
      <c r="H1279" s="7">
        <f t="shared" si="172"/>
        <v>-2.0710193974737279E-2</v>
      </c>
      <c r="I1279" s="7">
        <f t="shared" si="173"/>
        <v>6.9082734425559567E-2</v>
      </c>
      <c r="J1279" s="7">
        <f t="shared" si="174"/>
        <v>-1.4655268048291092E-2</v>
      </c>
      <c r="K1279" s="7">
        <f t="shared" si="177"/>
        <v>0.28029256480084297</v>
      </c>
      <c r="L1279" s="7">
        <f t="shared" si="178"/>
        <v>0.38992117615800215</v>
      </c>
      <c r="M1279" s="7">
        <f t="shared" si="179"/>
        <v>0.28772354654411658</v>
      </c>
      <c r="N1279" s="7">
        <f t="shared" si="175"/>
        <v>0.92683728456564884</v>
      </c>
      <c r="O1279" s="7">
        <f t="shared" si="176"/>
        <v>7.3162715434351197E-2</v>
      </c>
    </row>
    <row r="1280" spans="1:15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4">
        <f>IF(SUMIFS('Daily NSE Equity Cash'!$H:$H,'Daily NSE Equity Cash'!$A:$A,$A1280)=0,"",SUMIFS('Daily NSE Equity Cash'!$H:$H,'Daily NSE Equity Cash'!$A:$A,$A1280))</f>
        <v>1125.3856000000001</v>
      </c>
      <c r="F1280" s="4">
        <f>IF(SUMIFS('Daily BSE Equity Cash'!$H:$H,'Daily BSE Equity Cash'!$A:$A,$A1280)=0,"",SUMIFS('Daily BSE Equity Cash'!$H:$H,'Daily BSE Equity Cash'!$A:$A,$A1280))</f>
        <v>74.038200000000003</v>
      </c>
      <c r="G1280" s="4">
        <f t="shared" si="171"/>
        <v>1199.4238</v>
      </c>
      <c r="H1280" s="7">
        <f t="shared" si="172"/>
        <v>9.5399370842984554E-2</v>
      </c>
      <c r="I1280" s="7">
        <f t="shared" si="173"/>
        <v>-0.18065166557292145</v>
      </c>
      <c r="J1280" s="7">
        <f t="shared" si="174"/>
        <v>7.3082308271086971E-2</v>
      </c>
      <c r="K1280" s="7">
        <f t="shared" si="177"/>
        <v>-5.6560958896415214E-2</v>
      </c>
      <c r="L1280" s="7">
        <f t="shared" si="178"/>
        <v>-0.21371132181271346</v>
      </c>
      <c r="M1280" s="7">
        <f t="shared" si="179"/>
        <v>-6.805850617886533E-2</v>
      </c>
      <c r="N1280" s="7">
        <f t="shared" si="175"/>
        <v>0.93827186020487507</v>
      </c>
      <c r="O1280" s="7">
        <f t="shared" si="176"/>
        <v>6.172813979512496E-2</v>
      </c>
    </row>
    <row r="1281" spans="1:15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4">
        <f>IF(SUMIFS('Daily NSE Equity Cash'!$H:$H,'Daily NSE Equity Cash'!$A:$A,$A1281)=0,"",SUMIFS('Daily NSE Equity Cash'!$H:$H,'Daily NSE Equity Cash'!$A:$A,$A1281))</f>
        <v>1073.7652</v>
      </c>
      <c r="F1281" s="4">
        <f>IF(SUMIFS('Daily BSE Equity Cash'!$H:$H,'Daily BSE Equity Cash'!$A:$A,$A1281)=0,"",SUMIFS('Daily BSE Equity Cash'!$H:$H,'Daily BSE Equity Cash'!$A:$A,$A1281))</f>
        <v>67.230800000000002</v>
      </c>
      <c r="G1281" s="4">
        <f t="shared" si="171"/>
        <v>1140.9960000000001</v>
      </c>
      <c r="H1281" s="7">
        <f t="shared" si="172"/>
        <v>4.5493284255157418E-2</v>
      </c>
      <c r="I1281" s="7">
        <f t="shared" si="173"/>
        <v>-0.15979354387192712</v>
      </c>
      <c r="J1281" s="7">
        <f t="shared" si="174"/>
        <v>3.0655375365371329E-2</v>
      </c>
      <c r="K1281" s="7">
        <f t="shared" si="177"/>
        <v>-4.58690781186466E-2</v>
      </c>
      <c r="L1281" s="7">
        <f t="shared" si="178"/>
        <v>-9.1944428686813073E-2</v>
      </c>
      <c r="M1281" s="7">
        <f t="shared" si="179"/>
        <v>-4.8713223799627725E-2</v>
      </c>
      <c r="N1281" s="7">
        <f t="shared" si="175"/>
        <v>0.9410770940476566</v>
      </c>
      <c r="O1281" s="7">
        <f t="shared" si="176"/>
        <v>5.8922905952343389E-2</v>
      </c>
    </row>
    <row r="1282" spans="1:15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4">
        <f>IF(SUMIFS('Daily NSE Equity Cash'!$H:$H,'Daily NSE Equity Cash'!$A:$A,$A1282)=0,"",SUMIFS('Daily NSE Equity Cash'!$H:$H,'Daily NSE Equity Cash'!$A:$A,$A1282))</f>
        <v>1687.9474</v>
      </c>
      <c r="F1282" s="4">
        <f>IF(SUMIFS('Daily BSE Equity Cash'!$H:$H,'Daily BSE Equity Cash'!$A:$A,$A1282)=0,"",SUMIFS('Daily BSE Equity Cash'!$H:$H,'Daily BSE Equity Cash'!$A:$A,$A1282))</f>
        <v>86.104200000000006</v>
      </c>
      <c r="G1282" s="4">
        <f t="shared" ref="G1282:G1345" si="180">IF(OR(E1282="",F1282=""),"",E1282+F1282)</f>
        <v>1774.0516</v>
      </c>
      <c r="H1282" s="7">
        <f t="shared" ref="H1282:H1345" si="181">IFERROR(IF(OR(E1282="",INDEX(E:E,MATCH(DATE(YEAR($A1282)-1,MONTH($A1282),DAY($A1282)),$A:$A,0))=""),"",E1282/INDEX(E:E,MATCH(DATE(YEAR($A1282)-1,MONTH($A1282),DAY($A1282)),$A:$A,0))-1),"")</f>
        <v>0.53002037945506553</v>
      </c>
      <c r="I1282" s="7">
        <f t="shared" ref="I1282:I1345" si="182">IFERROR(IF(OR(F1282="",INDEX(F:F,MATCH(DATE(YEAR($A1282)-1,MONTH($A1282),DAY($A1282)),$A:$A,0))=""),"",F1282/INDEX(F:F,MATCH(DATE(YEAR($A1282)-1,MONTH($A1282),DAY($A1282)),$A:$A,0))-1),"")</f>
        <v>-0.14488480342744436</v>
      </c>
      <c r="J1282" s="7">
        <f t="shared" ref="J1282:J1345" si="183">IFERROR(IF(OR(G1282="",INDEX(G:G,MATCH(DATE(YEAR($A1282)-1,MONTH($A1282),DAY($A1282)),$A:$A,0))=""),"",G1282/INDEX(G:G,MATCH(DATE(YEAR($A1282)-1,MONTH($A1282),DAY($A1282)),$A:$A,0))-1),"")</f>
        <v>0.47357248702562971</v>
      </c>
      <c r="K1282" s="7">
        <f t="shared" si="177"/>
        <v>0.57198929523884723</v>
      </c>
      <c r="L1282" s="7">
        <f t="shared" si="178"/>
        <v>0.28072550081212788</v>
      </c>
      <c r="M1282" s="7">
        <f t="shared" si="179"/>
        <v>0.55482718607251891</v>
      </c>
      <c r="N1282" s="7">
        <f t="shared" ref="N1282:N1345" si="184">IF(G1282="","",E1282/G1282)</f>
        <v>0.95146465863788854</v>
      </c>
      <c r="O1282" s="7">
        <f t="shared" ref="O1282:O1345" si="185">IF(G1282="","",F1282/G1282)</f>
        <v>4.8535341362111455E-2</v>
      </c>
    </row>
    <row r="1283" spans="1:15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4">
        <f>IF(SUMIFS('Daily NSE Equity Cash'!$H:$H,'Daily NSE Equity Cash'!$A:$A,$A1283)=0,"",SUMIFS('Daily NSE Equity Cash'!$H:$H,'Daily NSE Equity Cash'!$A:$A,$A1283))</f>
        <v>1077.0536</v>
      </c>
      <c r="F1283" s="4">
        <f>IF(SUMIFS('Daily BSE Equity Cash'!$H:$H,'Daily BSE Equity Cash'!$A:$A,$A1283)=0,"",SUMIFS('Daily BSE Equity Cash'!$H:$H,'Daily BSE Equity Cash'!$A:$A,$A1283))</f>
        <v>92.935599999999994</v>
      </c>
      <c r="G1283" s="4">
        <f t="shared" si="180"/>
        <v>1169.9892</v>
      </c>
      <c r="H1283" s="7" t="str">
        <f t="shared" si="181"/>
        <v/>
      </c>
      <c r="I1283" s="7" t="str">
        <f t="shared" si="182"/>
        <v/>
      </c>
      <c r="J1283" s="7" t="str">
        <f t="shared" si="183"/>
        <v/>
      </c>
      <c r="K1283" s="7">
        <f t="shared" ref="K1283:K1346" si="186">IF(OR(E1283="",E1282=""),"",E1283/E1282-1)</f>
        <v>-0.36191518764151065</v>
      </c>
      <c r="L1283" s="7">
        <f t="shared" ref="L1283:L1346" si="187">IF(OR(F1283="",F1282=""),"",F1283/F1282-1)</f>
        <v>7.9338754671665068E-2</v>
      </c>
      <c r="M1283" s="7">
        <f t="shared" ref="M1283:M1346" si="188">IF(OR(G1283="",G1282=""),"",G1283/G1282-1)</f>
        <v>-0.34049877692396324</v>
      </c>
      <c r="N1283" s="7">
        <f t="shared" si="184"/>
        <v>0.92056713002137114</v>
      </c>
      <c r="O1283" s="7">
        <f t="shared" si="185"/>
        <v>7.9432869978628862E-2</v>
      </c>
    </row>
    <row r="1284" spans="1:15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4">
        <f>IF(SUMIFS('Daily NSE Equity Cash'!$H:$H,'Daily NSE Equity Cash'!$A:$A,$A1284)=0,"",SUMIFS('Daily NSE Equity Cash'!$H:$H,'Daily NSE Equity Cash'!$A:$A,$A1284))</f>
        <v>1162.1190999999999</v>
      </c>
      <c r="F1284" s="4">
        <f>IF(SUMIFS('Daily BSE Equity Cash'!$H:$H,'Daily BSE Equity Cash'!$A:$A,$A1284)=0,"",SUMIFS('Daily BSE Equity Cash'!$H:$H,'Daily BSE Equity Cash'!$A:$A,$A1284))</f>
        <v>117.22580000000001</v>
      </c>
      <c r="G1284" s="4">
        <f t="shared" si="180"/>
        <v>1279.3448999999998</v>
      </c>
      <c r="H1284" s="7">
        <f t="shared" si="181"/>
        <v>-0.32646348194979624</v>
      </c>
      <c r="I1284" s="7">
        <f t="shared" si="182"/>
        <v>-0.13961642090213233</v>
      </c>
      <c r="J1284" s="7">
        <f t="shared" si="183"/>
        <v>-0.31278871274797471</v>
      </c>
      <c r="K1284" s="7">
        <f t="shared" si="186"/>
        <v>7.8979820502897757E-2</v>
      </c>
      <c r="L1284" s="7">
        <f t="shared" si="187"/>
        <v>0.26136593512066431</v>
      </c>
      <c r="M1284" s="7">
        <f t="shared" si="188"/>
        <v>9.346727303123803E-2</v>
      </c>
      <c r="N1284" s="7">
        <f t="shared" si="184"/>
        <v>0.90837044803164502</v>
      </c>
      <c r="O1284" s="7">
        <f t="shared" si="185"/>
        <v>9.1629551968355066E-2</v>
      </c>
    </row>
    <row r="1285" spans="1:15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4">
        <f>IF(SUMIFS('Daily NSE Equity Cash'!$H:$H,'Daily NSE Equity Cash'!$A:$A,$A1285)=0,"",SUMIFS('Daily NSE Equity Cash'!$H:$H,'Daily NSE Equity Cash'!$A:$A,$A1285))</f>
        <v>1108.4002</v>
      </c>
      <c r="F1285" s="4">
        <f>IF(SUMIFS('Daily BSE Equity Cash'!$H:$H,'Daily BSE Equity Cash'!$A:$A,$A1285)=0,"",SUMIFS('Daily BSE Equity Cash'!$H:$H,'Daily BSE Equity Cash'!$A:$A,$A1285))</f>
        <v>94.132800000000003</v>
      </c>
      <c r="G1285" s="4">
        <f t="shared" si="180"/>
        <v>1202.5330000000001</v>
      </c>
      <c r="H1285" s="7">
        <f t="shared" si="181"/>
        <v>-0.59136631352646196</v>
      </c>
      <c r="I1285" s="7">
        <f t="shared" si="182"/>
        <v>-0.56665122929650713</v>
      </c>
      <c r="J1285" s="7">
        <f t="shared" si="183"/>
        <v>-0.58953380546061041</v>
      </c>
      <c r="K1285" s="7">
        <f t="shared" si="186"/>
        <v>-4.6224952330617297E-2</v>
      </c>
      <c r="L1285" s="7">
        <f t="shared" si="187"/>
        <v>-0.19699588315882688</v>
      </c>
      <c r="M1285" s="7">
        <f t="shared" si="188"/>
        <v>-6.0040025172257816E-2</v>
      </c>
      <c r="N1285" s="7">
        <f t="shared" si="184"/>
        <v>0.92172123342976864</v>
      </c>
      <c r="O1285" s="7">
        <f t="shared" si="185"/>
        <v>7.8278766570231334E-2</v>
      </c>
    </row>
    <row r="1286" spans="1:15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4">
        <f>IF(SUMIFS('Daily NSE Equity Cash'!$H:$H,'Daily NSE Equity Cash'!$A:$A,$A1286)=0,"",SUMIFS('Daily NSE Equity Cash'!$H:$H,'Daily NSE Equity Cash'!$A:$A,$A1286))</f>
        <v>1171.1584</v>
      </c>
      <c r="F1286" s="4">
        <f>IF(SUMIFS('Daily BSE Equity Cash'!$H:$H,'Daily BSE Equity Cash'!$A:$A,$A1286)=0,"",SUMIFS('Daily BSE Equity Cash'!$H:$H,'Daily BSE Equity Cash'!$A:$A,$A1286))</f>
        <v>77.952200000000005</v>
      </c>
      <c r="G1286" s="4">
        <f t="shared" si="180"/>
        <v>1249.1106</v>
      </c>
      <c r="H1286" s="7">
        <f t="shared" si="181"/>
        <v>-0.37304103830918489</v>
      </c>
      <c r="I1286" s="7">
        <f t="shared" si="182"/>
        <v>-0.37516922857419965</v>
      </c>
      <c r="J1286" s="7">
        <f t="shared" si="183"/>
        <v>-0.37317427453981067</v>
      </c>
      <c r="K1286" s="7">
        <f t="shared" si="186"/>
        <v>5.6620523886588892E-2</v>
      </c>
      <c r="L1286" s="7">
        <f t="shared" si="187"/>
        <v>-0.1718912005167168</v>
      </c>
      <c r="M1286" s="7">
        <f t="shared" si="188"/>
        <v>3.8732907953461515E-2</v>
      </c>
      <c r="N1286" s="7">
        <f t="shared" si="184"/>
        <v>0.93759383676673635</v>
      </c>
      <c r="O1286" s="7">
        <f t="shared" si="185"/>
        <v>6.2406163233263735E-2</v>
      </c>
    </row>
    <row r="1287" spans="1:15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4">
        <f>IF(SUMIFS('Daily NSE Equity Cash'!$H:$H,'Daily NSE Equity Cash'!$A:$A,$A1287)=0,"",SUMIFS('Daily NSE Equity Cash'!$H:$H,'Daily NSE Equity Cash'!$A:$A,$A1287))</f>
        <v>1325.4083000000001</v>
      </c>
      <c r="F1287" s="4">
        <f>IF(SUMIFS('Daily BSE Equity Cash'!$H:$H,'Daily BSE Equity Cash'!$A:$A,$A1287)=0,"",SUMIFS('Daily BSE Equity Cash'!$H:$H,'Daily BSE Equity Cash'!$A:$A,$A1287))</f>
        <v>88.801699999999997</v>
      </c>
      <c r="G1287" s="4">
        <f t="shared" si="180"/>
        <v>1414.21</v>
      </c>
      <c r="H1287" s="7">
        <f t="shared" si="181"/>
        <v>-0.11898998091688684</v>
      </c>
      <c r="I1287" s="7">
        <f t="shared" si="182"/>
        <v>-7.6797922419242215E-2</v>
      </c>
      <c r="J1287" s="7">
        <f t="shared" si="183"/>
        <v>-0.11645444209040823</v>
      </c>
      <c r="K1287" s="7">
        <f t="shared" si="186"/>
        <v>0.13170712006164154</v>
      </c>
      <c r="L1287" s="7">
        <f t="shared" si="187"/>
        <v>0.13918144709193569</v>
      </c>
      <c r="M1287" s="7">
        <f t="shared" si="188"/>
        <v>0.13217356413435288</v>
      </c>
      <c r="N1287" s="7">
        <f t="shared" si="184"/>
        <v>0.93720755757631469</v>
      </c>
      <c r="O1287" s="7">
        <f t="shared" si="185"/>
        <v>6.2792442423685299E-2</v>
      </c>
    </row>
    <row r="1288" spans="1:15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4">
        <f>IF(SUMIFS('Daily NSE Equity Cash'!$H:$H,'Daily NSE Equity Cash'!$A:$A,$A1288)=0,"",SUMIFS('Daily NSE Equity Cash'!$H:$H,'Daily NSE Equity Cash'!$A:$A,$A1288))</f>
        <v>1177.4556</v>
      </c>
      <c r="F1288" s="4">
        <f>IF(SUMIFS('Daily BSE Equity Cash'!$H:$H,'Daily BSE Equity Cash'!$A:$A,$A1288)=0,"",SUMIFS('Daily BSE Equity Cash'!$H:$H,'Daily BSE Equity Cash'!$A:$A,$A1288))</f>
        <v>81.777199999999993</v>
      </c>
      <c r="G1288" s="4">
        <f t="shared" si="180"/>
        <v>1259.2328</v>
      </c>
      <c r="H1288" s="7" t="str">
        <f t="shared" si="181"/>
        <v/>
      </c>
      <c r="I1288" s="7" t="str">
        <f t="shared" si="182"/>
        <v/>
      </c>
      <c r="J1288" s="7" t="str">
        <f t="shared" si="183"/>
        <v/>
      </c>
      <c r="K1288" s="7">
        <f t="shared" si="186"/>
        <v>-0.11162801681564849</v>
      </c>
      <c r="L1288" s="7">
        <f t="shared" si="187"/>
        <v>-7.9103215366372548E-2</v>
      </c>
      <c r="M1288" s="7">
        <f t="shared" si="188"/>
        <v>-0.10958570509330301</v>
      </c>
      <c r="N1288" s="7">
        <f t="shared" si="184"/>
        <v>0.93505791780519054</v>
      </c>
      <c r="O1288" s="7">
        <f t="shared" si="185"/>
        <v>6.4942082194809403E-2</v>
      </c>
    </row>
    <row r="1289" spans="1:15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4">
        <f>IF(SUMIFS('Daily NSE Equity Cash'!$H:$H,'Daily NSE Equity Cash'!$A:$A,$A1289)=0,"",SUMIFS('Daily NSE Equity Cash'!$H:$H,'Daily NSE Equity Cash'!$A:$A,$A1289))</f>
        <v>1158.6294</v>
      </c>
      <c r="F1289" s="4">
        <f>IF(SUMIFS('Daily BSE Equity Cash'!$H:$H,'Daily BSE Equity Cash'!$A:$A,$A1289)=0,"",SUMIFS('Daily BSE Equity Cash'!$H:$H,'Daily BSE Equity Cash'!$A:$A,$A1289))</f>
        <v>94.363299999999995</v>
      </c>
      <c r="G1289" s="4">
        <f t="shared" si="180"/>
        <v>1252.9927</v>
      </c>
      <c r="H1289" s="7">
        <f t="shared" si="181"/>
        <v>-9.0305284103971095E-2</v>
      </c>
      <c r="I1289" s="7">
        <f t="shared" si="182"/>
        <v>-1.2149838940830548E-2</v>
      </c>
      <c r="J1289" s="7">
        <f t="shared" si="183"/>
        <v>-8.4852556325535233E-2</v>
      </c>
      <c r="K1289" s="7">
        <f t="shared" si="186"/>
        <v>-1.5988883147695754E-2</v>
      </c>
      <c r="L1289" s="7">
        <f t="shared" si="187"/>
        <v>0.15390720151827164</v>
      </c>
      <c r="M1289" s="7">
        <f t="shared" si="188"/>
        <v>-4.9554776527421796E-3</v>
      </c>
      <c r="N1289" s="7">
        <f t="shared" si="184"/>
        <v>0.92468966499166361</v>
      </c>
      <c r="O1289" s="7">
        <f t="shared" si="185"/>
        <v>7.5310335008336435E-2</v>
      </c>
    </row>
    <row r="1290" spans="1:15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4">
        <f>IF(SUMIFS('Daily NSE Equity Cash'!$H:$H,'Daily NSE Equity Cash'!$A:$A,$A1290)=0,"",SUMIFS('Daily NSE Equity Cash'!$H:$H,'Daily NSE Equity Cash'!$A:$A,$A1290))</f>
        <v>1242.3200999999999</v>
      </c>
      <c r="F1290" s="4">
        <f>IF(SUMIFS('Daily BSE Equity Cash'!$H:$H,'Daily BSE Equity Cash'!$A:$A,$A1290)=0,"",SUMIFS('Daily BSE Equity Cash'!$H:$H,'Daily BSE Equity Cash'!$A:$A,$A1290))</f>
        <v>87.145899999999997</v>
      </c>
      <c r="G1290" s="4">
        <f t="shared" si="180"/>
        <v>1329.4659999999999</v>
      </c>
      <c r="H1290" s="7">
        <f t="shared" si="181"/>
        <v>-4.498156352081395E-3</v>
      </c>
      <c r="I1290" s="7">
        <f t="shared" si="182"/>
        <v>-0.2945805207641069</v>
      </c>
      <c r="J1290" s="7">
        <f t="shared" si="183"/>
        <v>-3.0627839651317657E-2</v>
      </c>
      <c r="K1290" s="7">
        <f t="shared" si="186"/>
        <v>7.2232501609228894E-2</v>
      </c>
      <c r="L1290" s="7">
        <f t="shared" si="187"/>
        <v>-7.6485243733527719E-2</v>
      </c>
      <c r="M1290" s="7">
        <f t="shared" si="188"/>
        <v>6.1032518385781387E-2</v>
      </c>
      <c r="N1290" s="7">
        <f t="shared" si="184"/>
        <v>0.9344504485259495</v>
      </c>
      <c r="O1290" s="7">
        <f t="shared" si="185"/>
        <v>6.5549551474050491E-2</v>
      </c>
    </row>
    <row r="1291" spans="1:15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4">
        <f>IF(SUMIFS('Daily NSE Equity Cash'!$H:$H,'Daily NSE Equity Cash'!$A:$A,$A1291)=0,"",SUMIFS('Daily NSE Equity Cash'!$H:$H,'Daily NSE Equity Cash'!$A:$A,$A1291))</f>
        <v>1175.8076000000001</v>
      </c>
      <c r="F1291" s="4">
        <f>IF(SUMIFS('Daily BSE Equity Cash'!$H:$H,'Daily BSE Equity Cash'!$A:$A,$A1291)=0,"",SUMIFS('Daily BSE Equity Cash'!$H:$H,'Daily BSE Equity Cash'!$A:$A,$A1291))</f>
        <v>70.067700000000002</v>
      </c>
      <c r="G1291" s="4">
        <f t="shared" si="180"/>
        <v>1245.8753000000002</v>
      </c>
      <c r="H1291" s="7">
        <f t="shared" si="181"/>
        <v>-2.0825926909516568E-2</v>
      </c>
      <c r="I1291" s="7">
        <f t="shared" si="182"/>
        <v>-0.14506544911465546</v>
      </c>
      <c r="J1291" s="7">
        <f t="shared" si="183"/>
        <v>-2.8763635017120981E-2</v>
      </c>
      <c r="K1291" s="7">
        <f t="shared" si="186"/>
        <v>-5.3538938957841675E-2</v>
      </c>
      <c r="L1291" s="7">
        <f t="shared" si="187"/>
        <v>-0.19597250128806976</v>
      </c>
      <c r="M1291" s="7">
        <f t="shared" si="188"/>
        <v>-6.2875395083439312E-2</v>
      </c>
      <c r="N1291" s="7">
        <f t="shared" si="184"/>
        <v>0.94376026236333599</v>
      </c>
      <c r="O1291" s="7">
        <f t="shared" si="185"/>
        <v>5.6239737636663956E-2</v>
      </c>
    </row>
    <row r="1292" spans="1:15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4">
        <f>IF(SUMIFS('Daily NSE Equity Cash'!$H:$H,'Daily NSE Equity Cash'!$A:$A,$A1292)=0,"",SUMIFS('Daily NSE Equity Cash'!$H:$H,'Daily NSE Equity Cash'!$A:$A,$A1292))</f>
        <v>1049.818</v>
      </c>
      <c r="F1292" s="4">
        <f>IF(SUMIFS('Daily BSE Equity Cash'!$H:$H,'Daily BSE Equity Cash'!$A:$A,$A1292)=0,"",SUMIFS('Daily BSE Equity Cash'!$H:$H,'Daily BSE Equity Cash'!$A:$A,$A1292))</f>
        <v>69.746099999999998</v>
      </c>
      <c r="G1292" s="4">
        <f t="shared" si="180"/>
        <v>1119.5641000000001</v>
      </c>
      <c r="H1292" s="7">
        <f t="shared" si="181"/>
        <v>-0.18928503085034953</v>
      </c>
      <c r="I1292" s="7">
        <f t="shared" si="182"/>
        <v>-0.29598461678224275</v>
      </c>
      <c r="J1292" s="7">
        <f t="shared" si="183"/>
        <v>-0.19686798599940192</v>
      </c>
      <c r="K1292" s="7">
        <f t="shared" si="186"/>
        <v>-0.10715154418120798</v>
      </c>
      <c r="L1292" s="7">
        <f t="shared" si="187"/>
        <v>-4.5898466768569124E-3</v>
      </c>
      <c r="M1292" s="7">
        <f t="shared" si="188"/>
        <v>-0.10138350122199236</v>
      </c>
      <c r="N1292" s="7">
        <f t="shared" si="184"/>
        <v>0.93770245044477574</v>
      </c>
      <c r="O1292" s="7">
        <f t="shared" si="185"/>
        <v>6.2297549555224215E-2</v>
      </c>
    </row>
    <row r="1293" spans="1:15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4">
        <f>IF(SUMIFS('Daily NSE Equity Cash'!$H:$H,'Daily NSE Equity Cash'!$A:$A,$A1293)=0,"",SUMIFS('Daily NSE Equity Cash'!$H:$H,'Daily NSE Equity Cash'!$A:$A,$A1293))</f>
        <v>911.20680000000004</v>
      </c>
      <c r="F1293" s="4">
        <f>IF(SUMIFS('Daily BSE Equity Cash'!$H:$H,'Daily BSE Equity Cash'!$A:$A,$A1293)=0,"",SUMIFS('Daily BSE Equity Cash'!$H:$H,'Daily BSE Equity Cash'!$A:$A,$A1293))</f>
        <v>67.436199999999999</v>
      </c>
      <c r="G1293" s="4">
        <f t="shared" si="180"/>
        <v>978.64300000000003</v>
      </c>
      <c r="H1293" s="7" t="str">
        <f t="shared" si="181"/>
        <v/>
      </c>
      <c r="I1293" s="7" t="str">
        <f t="shared" si="182"/>
        <v/>
      </c>
      <c r="J1293" s="7" t="str">
        <f t="shared" si="183"/>
        <v/>
      </c>
      <c r="K1293" s="7">
        <f t="shared" si="186"/>
        <v>-0.13203355248243021</v>
      </c>
      <c r="L1293" s="7">
        <f t="shared" si="187"/>
        <v>-3.3118697676285835E-2</v>
      </c>
      <c r="M1293" s="7">
        <f t="shared" si="188"/>
        <v>-0.12587139941339676</v>
      </c>
      <c r="N1293" s="7">
        <f t="shared" si="184"/>
        <v>0.93109213472124153</v>
      </c>
      <c r="O1293" s="7">
        <f t="shared" si="185"/>
        <v>6.8907865278758446E-2</v>
      </c>
    </row>
    <row r="1294" spans="1:15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4">
        <f>IF(SUMIFS('Daily NSE Equity Cash'!$H:$H,'Daily NSE Equity Cash'!$A:$A,$A1294)=0,"",SUMIFS('Daily NSE Equity Cash'!$H:$H,'Daily NSE Equity Cash'!$A:$A,$A1294))</f>
        <v>1031.0895</v>
      </c>
      <c r="F1294" s="4">
        <f>IF(SUMIFS('Daily BSE Equity Cash'!$H:$H,'Daily BSE Equity Cash'!$A:$A,$A1294)=0,"",SUMIFS('Daily BSE Equity Cash'!$H:$H,'Daily BSE Equity Cash'!$A:$A,$A1294))</f>
        <v>82.363600000000005</v>
      </c>
      <c r="G1294" s="4">
        <f t="shared" si="180"/>
        <v>1113.4530999999999</v>
      </c>
      <c r="H1294" s="7" t="str">
        <f t="shared" si="181"/>
        <v/>
      </c>
      <c r="I1294" s="7" t="str">
        <f t="shared" si="182"/>
        <v/>
      </c>
      <c r="J1294" s="7" t="str">
        <f t="shared" si="183"/>
        <v/>
      </c>
      <c r="K1294" s="7">
        <f t="shared" si="186"/>
        <v>0.1315647556624906</v>
      </c>
      <c r="L1294" s="7">
        <f t="shared" si="187"/>
        <v>0.22135588897357805</v>
      </c>
      <c r="M1294" s="7">
        <f t="shared" si="188"/>
        <v>0.13775207097991804</v>
      </c>
      <c r="N1294" s="7">
        <f t="shared" si="184"/>
        <v>0.92602867601697825</v>
      </c>
      <c r="O1294" s="7">
        <f t="shared" si="185"/>
        <v>7.3971323983021836E-2</v>
      </c>
    </row>
    <row r="1295" spans="1:15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4">
        <f>IF(SUMIFS('Daily NSE Equity Cash'!$H:$H,'Daily NSE Equity Cash'!$A:$A,$A1295)=0,"",SUMIFS('Daily NSE Equity Cash'!$H:$H,'Daily NSE Equity Cash'!$A:$A,$A1295))</f>
        <v>898.92679999999996</v>
      </c>
      <c r="F1295" s="4">
        <f>IF(SUMIFS('Daily BSE Equity Cash'!$H:$H,'Daily BSE Equity Cash'!$A:$A,$A1295)=0,"",SUMIFS('Daily BSE Equity Cash'!$H:$H,'Daily BSE Equity Cash'!$A:$A,$A1295))</f>
        <v>55.069600000000001</v>
      </c>
      <c r="G1295" s="4">
        <f t="shared" si="180"/>
        <v>953.99639999999999</v>
      </c>
      <c r="H1295" s="7">
        <f t="shared" si="181"/>
        <v>-0.37048841891489692</v>
      </c>
      <c r="I1295" s="7">
        <f t="shared" si="182"/>
        <v>-0.51610264287026064</v>
      </c>
      <c r="J1295" s="7">
        <f t="shared" si="183"/>
        <v>-0.38123673083430287</v>
      </c>
      <c r="K1295" s="7">
        <f t="shared" si="186"/>
        <v>-0.12817771881102469</v>
      </c>
      <c r="L1295" s="7">
        <f t="shared" si="187"/>
        <v>-0.33138425226677803</v>
      </c>
      <c r="M1295" s="7">
        <f t="shared" si="188"/>
        <v>-0.14320917513274689</v>
      </c>
      <c r="N1295" s="7">
        <f t="shared" si="184"/>
        <v>0.94227483458008854</v>
      </c>
      <c r="O1295" s="7">
        <f t="shared" si="185"/>
        <v>5.7725165419911441E-2</v>
      </c>
    </row>
    <row r="1296" spans="1:15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4">
        <f>IF(SUMIFS('Daily NSE Equity Cash'!$H:$H,'Daily NSE Equity Cash'!$A:$A,$A1296)=0,"",SUMIFS('Daily NSE Equity Cash'!$H:$H,'Daily NSE Equity Cash'!$A:$A,$A1296))</f>
        <v>903.77459999999996</v>
      </c>
      <c r="F1296" s="4">
        <f>IF(SUMIFS('Daily BSE Equity Cash'!$H:$H,'Daily BSE Equity Cash'!$A:$A,$A1296)=0,"",SUMIFS('Daily BSE Equity Cash'!$H:$H,'Daily BSE Equity Cash'!$A:$A,$A1296))</f>
        <v>58.231299999999997</v>
      </c>
      <c r="G1296" s="4">
        <f t="shared" si="180"/>
        <v>962.0059</v>
      </c>
      <c r="H1296" s="7">
        <f t="shared" si="181"/>
        <v>-0.48890237201092379</v>
      </c>
      <c r="I1296" s="7">
        <f t="shared" si="182"/>
        <v>-0.55648805484405828</v>
      </c>
      <c r="J1296" s="7">
        <f t="shared" si="183"/>
        <v>-0.49357374289665201</v>
      </c>
      <c r="K1296" s="7">
        <f t="shared" si="186"/>
        <v>5.3928751484548787E-3</v>
      </c>
      <c r="L1296" s="7">
        <f t="shared" si="187"/>
        <v>5.7412801255138923E-2</v>
      </c>
      <c r="M1296" s="7">
        <f t="shared" si="188"/>
        <v>8.395733988094678E-3</v>
      </c>
      <c r="N1296" s="7">
        <f t="shared" si="184"/>
        <v>0.93946887435929438</v>
      </c>
      <c r="O1296" s="7">
        <f t="shared" si="185"/>
        <v>6.0531125640705528E-2</v>
      </c>
    </row>
    <row r="1297" spans="1:15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4">
        <f>IF(SUMIFS('Daily NSE Equity Cash'!$H:$H,'Daily NSE Equity Cash'!$A:$A,$A1297)=0,"",SUMIFS('Daily NSE Equity Cash'!$H:$H,'Daily NSE Equity Cash'!$A:$A,$A1297))</f>
        <v>1590.9727</v>
      </c>
      <c r="F1297" s="4">
        <f>IF(SUMIFS('Daily BSE Equity Cash'!$H:$H,'Daily BSE Equity Cash'!$A:$A,$A1297)=0,"",SUMIFS('Daily BSE Equity Cash'!$H:$H,'Daily BSE Equity Cash'!$A:$A,$A1297))</f>
        <v>73.664500000000004</v>
      </c>
      <c r="G1297" s="4">
        <f t="shared" si="180"/>
        <v>1664.6372000000001</v>
      </c>
      <c r="H1297" s="7">
        <f t="shared" si="181"/>
        <v>0.1252633380650372</v>
      </c>
      <c r="I1297" s="7">
        <f t="shared" si="182"/>
        <v>-0.23105548567581247</v>
      </c>
      <c r="J1297" s="7">
        <f t="shared" si="183"/>
        <v>0.10265227452553272</v>
      </c>
      <c r="K1297" s="7">
        <f t="shared" si="186"/>
        <v>0.76036447583280187</v>
      </c>
      <c r="L1297" s="7">
        <f t="shared" si="187"/>
        <v>0.26503272295140246</v>
      </c>
      <c r="M1297" s="7">
        <f t="shared" si="188"/>
        <v>0.73038148726530694</v>
      </c>
      <c r="N1297" s="7">
        <f t="shared" si="184"/>
        <v>0.95574741451170253</v>
      </c>
      <c r="O1297" s="7">
        <f t="shared" si="185"/>
        <v>4.4252585488297386E-2</v>
      </c>
    </row>
    <row r="1298" spans="1:15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4">
        <f>IF(SUMIFS('Daily NSE Equity Cash'!$H:$H,'Daily NSE Equity Cash'!$A:$A,$A1298)=0,"",SUMIFS('Daily NSE Equity Cash'!$H:$H,'Daily NSE Equity Cash'!$A:$A,$A1298))</f>
        <v>907.75260000000003</v>
      </c>
      <c r="F1298" s="4">
        <f>IF(SUMIFS('Daily BSE Equity Cash'!$H:$H,'Daily BSE Equity Cash'!$A:$A,$A1298)=0,"",SUMIFS('Daily BSE Equity Cash'!$H:$H,'Daily BSE Equity Cash'!$A:$A,$A1298))</f>
        <v>82.280699999999996</v>
      </c>
      <c r="G1298" s="4">
        <f t="shared" si="180"/>
        <v>990.03330000000005</v>
      </c>
      <c r="H1298" s="7" t="str">
        <f t="shared" si="181"/>
        <v/>
      </c>
      <c r="I1298" s="7" t="str">
        <f t="shared" si="182"/>
        <v/>
      </c>
      <c r="J1298" s="7" t="str">
        <f t="shared" si="183"/>
        <v/>
      </c>
      <c r="K1298" s="7">
        <f t="shared" si="186"/>
        <v>-0.42943546422889589</v>
      </c>
      <c r="L1298" s="7">
        <f t="shared" si="187"/>
        <v>0.1169654311099646</v>
      </c>
      <c r="M1298" s="7">
        <f t="shared" si="188"/>
        <v>-0.40525581189703075</v>
      </c>
      <c r="N1298" s="7">
        <f t="shared" si="184"/>
        <v>0.91689097730349067</v>
      </c>
      <c r="O1298" s="7">
        <f t="shared" si="185"/>
        <v>8.3109022696509285E-2</v>
      </c>
    </row>
    <row r="1299" spans="1:15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4">
        <f>IF(SUMIFS('Daily NSE Equity Cash'!$H:$H,'Daily NSE Equity Cash'!$A:$A,$A1299)=0,"",SUMIFS('Daily NSE Equity Cash'!$H:$H,'Daily NSE Equity Cash'!$A:$A,$A1299))</f>
        <v>1115.9412</v>
      </c>
      <c r="F1299" s="4">
        <f>IF(SUMIFS('Daily BSE Equity Cash'!$H:$H,'Daily BSE Equity Cash'!$A:$A,$A1299)=0,"",SUMIFS('Daily BSE Equity Cash'!$H:$H,'Daily BSE Equity Cash'!$A:$A,$A1299))</f>
        <v>113.64060000000001</v>
      </c>
      <c r="G1299" s="4">
        <f t="shared" si="180"/>
        <v>1229.5817999999999</v>
      </c>
      <c r="H1299" s="7">
        <f t="shared" si="181"/>
        <v>-7.0477122745215559E-2</v>
      </c>
      <c r="I1299" s="7">
        <f t="shared" si="182"/>
        <v>0.11554311270616924</v>
      </c>
      <c r="J1299" s="7">
        <f t="shared" si="183"/>
        <v>-5.5927379655256404E-2</v>
      </c>
      <c r="K1299" s="7">
        <f t="shared" si="186"/>
        <v>0.22934508807796306</v>
      </c>
      <c r="L1299" s="7">
        <f t="shared" si="187"/>
        <v>0.38113312113290254</v>
      </c>
      <c r="M1299" s="7">
        <f t="shared" si="188"/>
        <v>0.24196004316218445</v>
      </c>
      <c r="N1299" s="7">
        <f t="shared" si="184"/>
        <v>0.90757784475990133</v>
      </c>
      <c r="O1299" s="7">
        <f t="shared" si="185"/>
        <v>9.2422155240098711E-2</v>
      </c>
    </row>
    <row r="1300" spans="1:15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4">
        <f>IF(SUMIFS('Daily NSE Equity Cash'!$H:$H,'Daily NSE Equity Cash'!$A:$A,$A1300)=0,"",SUMIFS('Daily NSE Equity Cash'!$H:$H,'Daily NSE Equity Cash'!$A:$A,$A1300))</f>
        <v>1016.5764</v>
      </c>
      <c r="F1300" s="4">
        <f>IF(SUMIFS('Daily BSE Equity Cash'!$H:$H,'Daily BSE Equity Cash'!$A:$A,$A1300)=0,"",SUMIFS('Daily BSE Equity Cash'!$H:$H,'Daily BSE Equity Cash'!$A:$A,$A1300))</f>
        <v>64.013400000000004</v>
      </c>
      <c r="G1300" s="4">
        <f t="shared" si="180"/>
        <v>1080.5898</v>
      </c>
      <c r="H1300" s="7">
        <f t="shared" si="181"/>
        <v>-0.1890848898502675</v>
      </c>
      <c r="I1300" s="7">
        <f t="shared" si="182"/>
        <v>-0.38905394765097467</v>
      </c>
      <c r="J1300" s="7">
        <f t="shared" si="183"/>
        <v>-0.20450917841350569</v>
      </c>
      <c r="K1300" s="7">
        <f t="shared" si="186"/>
        <v>-8.9041250560513374E-2</v>
      </c>
      <c r="L1300" s="7">
        <f t="shared" si="187"/>
        <v>-0.43670307970918842</v>
      </c>
      <c r="M1300" s="7">
        <f t="shared" si="188"/>
        <v>-0.12117290610514886</v>
      </c>
      <c r="N1300" s="7">
        <f t="shared" si="184"/>
        <v>0.94076068458169793</v>
      </c>
      <c r="O1300" s="7">
        <f t="shared" si="185"/>
        <v>5.9239315418302123E-2</v>
      </c>
    </row>
    <row r="1301" spans="1:15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4">
        <f>IF(SUMIFS('Daily NSE Equity Cash'!$H:$H,'Daily NSE Equity Cash'!$A:$A,$A1301)=0,"",SUMIFS('Daily NSE Equity Cash'!$H:$H,'Daily NSE Equity Cash'!$A:$A,$A1301))</f>
        <v>1185.7967000000001</v>
      </c>
      <c r="F1301" s="4">
        <f>IF(SUMIFS('Daily BSE Equity Cash'!$H:$H,'Daily BSE Equity Cash'!$A:$A,$A1301)=0,"",SUMIFS('Daily BSE Equity Cash'!$H:$H,'Daily BSE Equity Cash'!$A:$A,$A1301))</f>
        <v>68.221699999999998</v>
      </c>
      <c r="G1301" s="4">
        <f t="shared" si="180"/>
        <v>1254.0184000000002</v>
      </c>
      <c r="H1301" s="7">
        <f t="shared" si="181"/>
        <v>-0.13946078918733595</v>
      </c>
      <c r="I1301" s="7">
        <f t="shared" si="182"/>
        <v>-0.54809052802272351</v>
      </c>
      <c r="J1301" s="7">
        <f t="shared" si="183"/>
        <v>-0.17980792613094898</v>
      </c>
      <c r="K1301" s="7">
        <f t="shared" si="186"/>
        <v>0.1664609762729099</v>
      </c>
      <c r="L1301" s="7">
        <f t="shared" si="187"/>
        <v>6.5740922994248052E-2</v>
      </c>
      <c r="M1301" s="7">
        <f t="shared" si="188"/>
        <v>0.16049438926778703</v>
      </c>
      <c r="N1301" s="7">
        <f t="shared" si="184"/>
        <v>0.94559752871249736</v>
      </c>
      <c r="O1301" s="7">
        <f t="shared" si="185"/>
        <v>5.4402471287502634E-2</v>
      </c>
    </row>
    <row r="1302" spans="1:15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4">
        <f>IF(SUMIFS('Daily NSE Equity Cash'!$H:$H,'Daily NSE Equity Cash'!$A:$A,$A1302)=0,"",SUMIFS('Daily NSE Equity Cash'!$H:$H,'Daily NSE Equity Cash'!$A:$A,$A1302))</f>
        <v>1530.35</v>
      </c>
      <c r="F1302" s="4">
        <f>IF(SUMIFS('Daily BSE Equity Cash'!$H:$H,'Daily BSE Equity Cash'!$A:$A,$A1302)=0,"",SUMIFS('Daily BSE Equity Cash'!$H:$H,'Daily BSE Equity Cash'!$A:$A,$A1302))</f>
        <v>72.483400000000003</v>
      </c>
      <c r="G1302" s="4">
        <f t="shared" si="180"/>
        <v>1602.8334</v>
      </c>
      <c r="H1302" s="7">
        <f t="shared" si="181"/>
        <v>-0.12955672376833716</v>
      </c>
      <c r="I1302" s="7">
        <f t="shared" si="182"/>
        <v>-0.4735884218125197</v>
      </c>
      <c r="J1302" s="7">
        <f t="shared" si="183"/>
        <v>-0.15454373689156031</v>
      </c>
      <c r="K1302" s="7">
        <f t="shared" si="186"/>
        <v>0.2905669243302833</v>
      </c>
      <c r="L1302" s="7">
        <f t="shared" si="187"/>
        <v>6.2468393487702611E-2</v>
      </c>
      <c r="M1302" s="7">
        <f t="shared" si="188"/>
        <v>0.2781578005553984</v>
      </c>
      <c r="N1302" s="7">
        <f t="shared" si="184"/>
        <v>0.95477795758436279</v>
      </c>
      <c r="O1302" s="7">
        <f t="shared" si="185"/>
        <v>4.5222042415637209E-2</v>
      </c>
    </row>
    <row r="1303" spans="1:15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4">
        <f>IF(SUMIFS('Daily NSE Equity Cash'!$H:$H,'Daily NSE Equity Cash'!$A:$A,$A1303)=0,"",SUMIFS('Daily NSE Equity Cash'!$H:$H,'Daily NSE Equity Cash'!$A:$A,$A1303))</f>
        <v>1081.9176</v>
      </c>
      <c r="F1303" s="4">
        <f>IF(SUMIFS('Daily BSE Equity Cash'!$H:$H,'Daily BSE Equity Cash'!$A:$A,$A1303)=0,"",SUMIFS('Daily BSE Equity Cash'!$H:$H,'Daily BSE Equity Cash'!$A:$A,$A1303))</f>
        <v>56.656799999999997</v>
      </c>
      <c r="G1303" s="4">
        <f t="shared" si="180"/>
        <v>1138.5744</v>
      </c>
      <c r="H1303" s="7" t="str">
        <f t="shared" si="181"/>
        <v/>
      </c>
      <c r="I1303" s="7" t="str">
        <f t="shared" si="182"/>
        <v/>
      </c>
      <c r="J1303" s="7" t="str">
        <f t="shared" si="183"/>
        <v/>
      </c>
      <c r="K1303" s="7">
        <f t="shared" si="186"/>
        <v>-0.29302603979481812</v>
      </c>
      <c r="L1303" s="7">
        <f t="shared" si="187"/>
        <v>-0.21834792518011026</v>
      </c>
      <c r="M1303" s="7">
        <f t="shared" si="188"/>
        <v>-0.2896489429281921</v>
      </c>
      <c r="N1303" s="7">
        <f t="shared" si="184"/>
        <v>0.95023882497270273</v>
      </c>
      <c r="O1303" s="7">
        <f t="shared" si="185"/>
        <v>4.9761175027297294E-2</v>
      </c>
    </row>
    <row r="1304" spans="1:15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4">
        <f>IF(SUMIFS('Daily NSE Equity Cash'!$H:$H,'Daily NSE Equity Cash'!$A:$A,$A1304)=0,"",SUMIFS('Daily NSE Equity Cash'!$H:$H,'Daily NSE Equity Cash'!$A:$A,$A1304))</f>
        <v>1008.3971</v>
      </c>
      <c r="F1304" s="4">
        <f>IF(SUMIFS('Daily BSE Equity Cash'!$H:$H,'Daily BSE Equity Cash'!$A:$A,$A1304)=0,"",SUMIFS('Daily BSE Equity Cash'!$H:$H,'Daily BSE Equity Cash'!$A:$A,$A1304))</f>
        <v>85.043300000000002</v>
      </c>
      <c r="G1304" s="4">
        <f t="shared" si="180"/>
        <v>1093.4404</v>
      </c>
      <c r="H1304" s="7">
        <f t="shared" si="181"/>
        <v>-0.15988303312089847</v>
      </c>
      <c r="I1304" s="7">
        <f t="shared" si="182"/>
        <v>-0.17309171383316035</v>
      </c>
      <c r="J1304" s="7">
        <f t="shared" si="183"/>
        <v>-0.1609254648638051</v>
      </c>
      <c r="K1304" s="7">
        <f t="shared" si="186"/>
        <v>-6.7953881145846884E-2</v>
      </c>
      <c r="L1304" s="7">
        <f t="shared" si="187"/>
        <v>0.50102547267053565</v>
      </c>
      <c r="M1304" s="7">
        <f t="shared" si="188"/>
        <v>-3.9640799933671422E-2</v>
      </c>
      <c r="N1304" s="7">
        <f t="shared" si="184"/>
        <v>0.92222411024871598</v>
      </c>
      <c r="O1304" s="7">
        <f t="shared" si="185"/>
        <v>7.7775889751284119E-2</v>
      </c>
    </row>
    <row r="1305" spans="1:15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4">
        <f>IF(SUMIFS('Daily NSE Equity Cash'!$H:$H,'Daily NSE Equity Cash'!$A:$A,$A1305)=0,"",SUMIFS('Daily NSE Equity Cash'!$H:$H,'Daily NSE Equity Cash'!$A:$A,$A1305))</f>
        <v>1051.1715999999999</v>
      </c>
      <c r="F1305" s="4">
        <f>IF(SUMIFS('Daily BSE Equity Cash'!$H:$H,'Daily BSE Equity Cash'!$A:$A,$A1305)=0,"",SUMIFS('Daily BSE Equity Cash'!$H:$H,'Daily BSE Equity Cash'!$A:$A,$A1305))</f>
        <v>69.959000000000003</v>
      </c>
      <c r="G1305" s="4">
        <f t="shared" si="180"/>
        <v>1121.1306</v>
      </c>
      <c r="H1305" s="7">
        <f t="shared" si="181"/>
        <v>-0.20710624580611847</v>
      </c>
      <c r="I1305" s="7">
        <f t="shared" si="182"/>
        <v>-0.1939873082293736</v>
      </c>
      <c r="J1305" s="7">
        <f t="shared" si="183"/>
        <v>-0.20630012434362788</v>
      </c>
      <c r="K1305" s="7">
        <f t="shared" si="186"/>
        <v>4.2418309215684902E-2</v>
      </c>
      <c r="L1305" s="7">
        <f t="shared" si="187"/>
        <v>-0.17737199755889055</v>
      </c>
      <c r="M1305" s="7">
        <f t="shared" si="188"/>
        <v>2.5323922547584754E-2</v>
      </c>
      <c r="N1305" s="7">
        <f t="shared" si="184"/>
        <v>0.93759959811996918</v>
      </c>
      <c r="O1305" s="7">
        <f t="shared" si="185"/>
        <v>6.2400401880030751E-2</v>
      </c>
    </row>
    <row r="1306" spans="1:15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4">
        <f>IF(SUMIFS('Daily NSE Equity Cash'!$H:$H,'Daily NSE Equity Cash'!$A:$A,$A1306)=0,"",SUMIFS('Daily NSE Equity Cash'!$H:$H,'Daily NSE Equity Cash'!$A:$A,$A1306))</f>
        <v>967.38819999999998</v>
      </c>
      <c r="F1306" s="4">
        <f>IF(SUMIFS('Daily BSE Equity Cash'!$H:$H,'Daily BSE Equity Cash'!$A:$A,$A1306)=0,"",SUMIFS('Daily BSE Equity Cash'!$H:$H,'Daily BSE Equity Cash'!$A:$A,$A1306))</f>
        <v>73.352400000000003</v>
      </c>
      <c r="G1306" s="4">
        <f t="shared" si="180"/>
        <v>1040.7406000000001</v>
      </c>
      <c r="H1306" s="7">
        <f t="shared" si="181"/>
        <v>-0.28829742614928977</v>
      </c>
      <c r="I1306" s="7">
        <f t="shared" si="182"/>
        <v>-0.18314630389972231</v>
      </c>
      <c r="J1306" s="7">
        <f t="shared" si="183"/>
        <v>-0.28178116842544165</v>
      </c>
      <c r="K1306" s="7">
        <f t="shared" si="186"/>
        <v>-7.970477893428618E-2</v>
      </c>
      <c r="L1306" s="7">
        <f t="shared" si="187"/>
        <v>4.8505553252619293E-2</v>
      </c>
      <c r="M1306" s="7">
        <f t="shared" si="188"/>
        <v>-7.1704402680651036E-2</v>
      </c>
      <c r="N1306" s="7">
        <f t="shared" si="184"/>
        <v>0.92951903673211167</v>
      </c>
      <c r="O1306" s="7">
        <f t="shared" si="185"/>
        <v>7.0480963267888275E-2</v>
      </c>
    </row>
    <row r="1307" spans="1:15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4">
        <f>IF(SUMIFS('Daily NSE Equity Cash'!$H:$H,'Daily NSE Equity Cash'!$A:$A,$A1307)=0,"",SUMIFS('Daily NSE Equity Cash'!$H:$H,'Daily NSE Equity Cash'!$A:$A,$A1307))</f>
        <v>888.20820000000003</v>
      </c>
      <c r="F1307" s="4">
        <f>IF(SUMIFS('Daily BSE Equity Cash'!$H:$H,'Daily BSE Equity Cash'!$A:$A,$A1307)=0,"",SUMIFS('Daily BSE Equity Cash'!$H:$H,'Daily BSE Equity Cash'!$A:$A,$A1307))</f>
        <v>62.241999999999997</v>
      </c>
      <c r="G1307" s="4">
        <f t="shared" si="180"/>
        <v>950.4502</v>
      </c>
      <c r="H1307" s="7">
        <f t="shared" si="181"/>
        <v>-0.3584784074579338</v>
      </c>
      <c r="I1307" s="7">
        <f t="shared" si="182"/>
        <v>-0.41109627755548472</v>
      </c>
      <c r="J1307" s="7">
        <f t="shared" si="183"/>
        <v>-0.36221022746298226</v>
      </c>
      <c r="K1307" s="7">
        <f t="shared" si="186"/>
        <v>-8.1849251417373092E-2</v>
      </c>
      <c r="L1307" s="7">
        <f t="shared" si="187"/>
        <v>-0.15146607336637941</v>
      </c>
      <c r="M1307" s="7">
        <f t="shared" si="188"/>
        <v>-8.6755912087988163E-2</v>
      </c>
      <c r="N1307" s="7">
        <f t="shared" si="184"/>
        <v>0.93451313914185097</v>
      </c>
      <c r="O1307" s="7">
        <f t="shared" si="185"/>
        <v>6.5486860858149115E-2</v>
      </c>
    </row>
    <row r="1308" spans="1:15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4">
        <f>IF(SUMIFS('Daily NSE Equity Cash'!$H:$H,'Daily NSE Equity Cash'!$A:$A,$A1308)=0,"",SUMIFS('Daily NSE Equity Cash'!$H:$H,'Daily NSE Equity Cash'!$A:$A,$A1308))</f>
        <v>769.16200000000003</v>
      </c>
      <c r="F1308" s="4">
        <f>IF(SUMIFS('Daily BSE Equity Cash'!$H:$H,'Daily BSE Equity Cash'!$A:$A,$A1308)=0,"",SUMIFS('Daily BSE Equity Cash'!$H:$H,'Daily BSE Equity Cash'!$A:$A,$A1308))</f>
        <v>50.421900000000001</v>
      </c>
      <c r="G1308" s="4">
        <f t="shared" si="180"/>
        <v>819.58390000000009</v>
      </c>
      <c r="H1308" s="7" t="str">
        <f t="shared" si="181"/>
        <v/>
      </c>
      <c r="I1308" s="7" t="str">
        <f t="shared" si="182"/>
        <v/>
      </c>
      <c r="J1308" s="7" t="str">
        <f t="shared" si="183"/>
        <v/>
      </c>
      <c r="K1308" s="7">
        <f t="shared" si="186"/>
        <v>-0.13402961152576609</v>
      </c>
      <c r="L1308" s="7">
        <f t="shared" si="187"/>
        <v>-0.1899055300279554</v>
      </c>
      <c r="M1308" s="7">
        <f t="shared" si="188"/>
        <v>-0.1376887500260402</v>
      </c>
      <c r="N1308" s="7">
        <f t="shared" si="184"/>
        <v>0.93847865971988953</v>
      </c>
      <c r="O1308" s="7">
        <f t="shared" si="185"/>
        <v>6.1521340280110429E-2</v>
      </c>
    </row>
    <row r="1309" spans="1:15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4">
        <f>IF(SUMIFS('Daily NSE Equity Cash'!$H:$H,'Daily NSE Equity Cash'!$A:$A,$A1309)=0,"",SUMIFS('Daily NSE Equity Cash'!$H:$H,'Daily NSE Equity Cash'!$A:$A,$A1309))</f>
        <v>910.44190000000003</v>
      </c>
      <c r="F1309" s="4">
        <f>IF(SUMIFS('Daily BSE Equity Cash'!$H:$H,'Daily BSE Equity Cash'!$A:$A,$A1309)=0,"",SUMIFS('Daily BSE Equity Cash'!$H:$H,'Daily BSE Equity Cash'!$A:$A,$A1309))</f>
        <v>64.420599999999993</v>
      </c>
      <c r="G1309" s="4">
        <f t="shared" si="180"/>
        <v>974.86250000000007</v>
      </c>
      <c r="H1309" s="7">
        <f t="shared" si="181"/>
        <v>-0.37105309769726491</v>
      </c>
      <c r="I1309" s="7">
        <f t="shared" si="182"/>
        <v>-0.58013828846355642</v>
      </c>
      <c r="J1309" s="7">
        <f t="shared" si="183"/>
        <v>-0.39109093481349289</v>
      </c>
      <c r="K1309" s="7">
        <f t="shared" si="186"/>
        <v>0.18368029101801708</v>
      </c>
      <c r="L1309" s="7">
        <f t="shared" si="187"/>
        <v>0.27763134669657408</v>
      </c>
      <c r="M1309" s="7">
        <f t="shared" si="188"/>
        <v>0.18946028588409303</v>
      </c>
      <c r="N1309" s="7">
        <f t="shared" si="184"/>
        <v>0.9339182705253305</v>
      </c>
      <c r="O1309" s="7">
        <f t="shared" si="185"/>
        <v>6.608172947466949E-2</v>
      </c>
    </row>
    <row r="1310" spans="1:15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4">
        <f>IF(SUMIFS('Daily NSE Equity Cash'!$H:$H,'Daily NSE Equity Cash'!$A:$A,$A1310)=0,"",SUMIFS('Daily NSE Equity Cash'!$H:$H,'Daily NSE Equity Cash'!$A:$A,$A1310))</f>
        <v>953.05690000000004</v>
      </c>
      <c r="F1310" s="4">
        <f>IF(SUMIFS('Daily BSE Equity Cash'!$H:$H,'Daily BSE Equity Cash'!$A:$A,$A1310)=0,"",SUMIFS('Daily BSE Equity Cash'!$H:$H,'Daily BSE Equity Cash'!$A:$A,$A1310))</f>
        <v>63.545299999999997</v>
      </c>
      <c r="G1310" s="4">
        <f t="shared" si="180"/>
        <v>1016.6022</v>
      </c>
      <c r="H1310" s="7">
        <f t="shared" si="181"/>
        <v>-0.29634247661881219</v>
      </c>
      <c r="I1310" s="7">
        <f t="shared" si="182"/>
        <v>-0.37220484529706643</v>
      </c>
      <c r="J1310" s="7">
        <f t="shared" si="183"/>
        <v>-0.30161761799363274</v>
      </c>
      <c r="K1310" s="7">
        <f t="shared" si="186"/>
        <v>4.6806940673534525E-2</v>
      </c>
      <c r="L1310" s="7">
        <f t="shared" si="187"/>
        <v>-1.3587268668717734E-2</v>
      </c>
      <c r="M1310" s="7">
        <f t="shared" si="188"/>
        <v>4.2815986869943146E-2</v>
      </c>
      <c r="N1310" s="7">
        <f t="shared" si="184"/>
        <v>0.93749246263681119</v>
      </c>
      <c r="O1310" s="7">
        <f t="shared" si="185"/>
        <v>6.2507537363188856E-2</v>
      </c>
    </row>
    <row r="1311" spans="1:15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4">
        <f>IF(SUMIFS('Daily NSE Equity Cash'!$H:$H,'Daily NSE Equity Cash'!$A:$A,$A1311)=0,"",SUMIFS('Daily NSE Equity Cash'!$H:$H,'Daily NSE Equity Cash'!$A:$A,$A1311))</f>
        <v>866.50229999999999</v>
      </c>
      <c r="F1311" s="4">
        <f>IF(SUMIFS('Daily BSE Equity Cash'!$H:$H,'Daily BSE Equity Cash'!$A:$A,$A1311)=0,"",SUMIFS('Daily BSE Equity Cash'!$H:$H,'Daily BSE Equity Cash'!$A:$A,$A1311))</f>
        <v>64.535200000000003</v>
      </c>
      <c r="G1311" s="4">
        <f t="shared" si="180"/>
        <v>931.03750000000002</v>
      </c>
      <c r="H1311" s="7">
        <f t="shared" si="181"/>
        <v>-0.41345324171991438</v>
      </c>
      <c r="I1311" s="7">
        <f t="shared" si="182"/>
        <v>-0.45150926911191258</v>
      </c>
      <c r="J1311" s="7">
        <f t="shared" si="183"/>
        <v>-0.41626063094856458</v>
      </c>
      <c r="K1311" s="7">
        <f t="shared" si="186"/>
        <v>-9.0817872469104444E-2</v>
      </c>
      <c r="L1311" s="7">
        <f t="shared" si="187"/>
        <v>1.5577863351026844E-2</v>
      </c>
      <c r="M1311" s="7">
        <f t="shared" si="188"/>
        <v>-8.4167337037043599E-2</v>
      </c>
      <c r="N1311" s="7">
        <f t="shared" si="184"/>
        <v>0.93068463944792768</v>
      </c>
      <c r="O1311" s="7">
        <f t="shared" si="185"/>
        <v>6.9315360552072283E-2</v>
      </c>
    </row>
    <row r="1312" spans="1:15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4">
        <f>IF(SUMIFS('Daily NSE Equity Cash'!$H:$H,'Daily NSE Equity Cash'!$A:$A,$A1312)=0,"",SUMIFS('Daily NSE Equity Cash'!$H:$H,'Daily NSE Equity Cash'!$A:$A,$A1312))</f>
        <v>979.00729999999999</v>
      </c>
      <c r="F1312" s="4">
        <f>IF(SUMIFS('Daily BSE Equity Cash'!$H:$H,'Daily BSE Equity Cash'!$A:$A,$A1312)=0,"",SUMIFS('Daily BSE Equity Cash'!$H:$H,'Daily BSE Equity Cash'!$A:$A,$A1312))</f>
        <v>62.316099999999999</v>
      </c>
      <c r="G1312" s="4">
        <f t="shared" si="180"/>
        <v>1041.3234</v>
      </c>
      <c r="H1312" s="7">
        <f t="shared" si="181"/>
        <v>-0.29925166505223755</v>
      </c>
      <c r="I1312" s="7">
        <f t="shared" si="182"/>
        <v>-0.36078511824471604</v>
      </c>
      <c r="J1312" s="7">
        <f t="shared" si="183"/>
        <v>-0.30326537920299568</v>
      </c>
      <c r="K1312" s="7">
        <f t="shared" si="186"/>
        <v>0.12983808583081657</v>
      </c>
      <c r="L1312" s="7">
        <f t="shared" si="187"/>
        <v>-3.438588553223676E-2</v>
      </c>
      <c r="M1312" s="7">
        <f t="shared" si="188"/>
        <v>0.1184548420444933</v>
      </c>
      <c r="N1312" s="7">
        <f t="shared" si="184"/>
        <v>0.9401568235189951</v>
      </c>
      <c r="O1312" s="7">
        <f t="shared" si="185"/>
        <v>5.9843176481004845E-2</v>
      </c>
    </row>
    <row r="1313" spans="1:15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4">
        <f>IF(SUMIFS('Daily NSE Equity Cash'!$H:$H,'Daily NSE Equity Cash'!$A:$A,$A1313)=0,"",SUMIFS('Daily NSE Equity Cash'!$H:$H,'Daily NSE Equity Cash'!$A:$A,$A1313))</f>
        <v>995.97770000000003</v>
      </c>
      <c r="F1313" s="4">
        <f>IF(SUMIFS('Daily BSE Equity Cash'!$H:$H,'Daily BSE Equity Cash'!$A:$A,$A1313)=0,"",SUMIFS('Daily BSE Equity Cash'!$H:$H,'Daily BSE Equity Cash'!$A:$A,$A1313))</f>
        <v>81.617000000000004</v>
      </c>
      <c r="G1313" s="4">
        <f t="shared" si="180"/>
        <v>1077.5947000000001</v>
      </c>
      <c r="H1313" s="7" t="str">
        <f t="shared" si="181"/>
        <v/>
      </c>
      <c r="I1313" s="7" t="str">
        <f t="shared" si="182"/>
        <v/>
      </c>
      <c r="J1313" s="7" t="str">
        <f t="shared" si="183"/>
        <v/>
      </c>
      <c r="K1313" s="7">
        <f t="shared" si="186"/>
        <v>1.7334293625798303E-2</v>
      </c>
      <c r="L1313" s="7">
        <f t="shared" si="187"/>
        <v>0.3097257370085742</v>
      </c>
      <c r="M1313" s="7">
        <f t="shared" si="188"/>
        <v>3.4831926373689592E-2</v>
      </c>
      <c r="N1313" s="7">
        <f t="shared" si="184"/>
        <v>0.92426002095221882</v>
      </c>
      <c r="O1313" s="7">
        <f t="shared" si="185"/>
        <v>7.5739979047781139E-2</v>
      </c>
    </row>
    <row r="1314" spans="1:15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4">
        <f>IF(SUMIFS('Daily NSE Equity Cash'!$H:$H,'Daily NSE Equity Cash'!$A:$A,$A1314)=0,"",SUMIFS('Daily NSE Equity Cash'!$H:$H,'Daily NSE Equity Cash'!$A:$A,$A1314))</f>
        <v>963.02030000000002</v>
      </c>
      <c r="F1314" s="4">
        <f>IF(SUMIFS('Daily BSE Equity Cash'!$H:$H,'Daily BSE Equity Cash'!$A:$A,$A1314)=0,"",SUMIFS('Daily BSE Equity Cash'!$H:$H,'Daily BSE Equity Cash'!$A:$A,$A1314))</f>
        <v>70.122600000000006</v>
      </c>
      <c r="G1314" s="4">
        <f t="shared" si="180"/>
        <v>1033.1429000000001</v>
      </c>
      <c r="H1314" s="7">
        <f t="shared" si="181"/>
        <v>-0.26905130552047418</v>
      </c>
      <c r="I1314" s="7">
        <f t="shared" si="182"/>
        <v>-0.27955616058356658</v>
      </c>
      <c r="J1314" s="7">
        <f t="shared" si="183"/>
        <v>-0.26977398354653026</v>
      </c>
      <c r="K1314" s="7">
        <f t="shared" si="186"/>
        <v>-3.3090499917819427E-2</v>
      </c>
      <c r="L1314" s="7">
        <f t="shared" si="187"/>
        <v>-0.14083340480537143</v>
      </c>
      <c r="M1314" s="7">
        <f t="shared" si="188"/>
        <v>-4.1250945276549711E-2</v>
      </c>
      <c r="N1314" s="7">
        <f t="shared" si="184"/>
        <v>0.93212691100137257</v>
      </c>
      <c r="O1314" s="7">
        <f t="shared" si="185"/>
        <v>6.7873088998627387E-2</v>
      </c>
    </row>
    <row r="1315" spans="1:15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4">
        <f>IF(SUMIFS('Daily NSE Equity Cash'!$H:$H,'Daily NSE Equity Cash'!$A:$A,$A1315)=0,"",SUMIFS('Daily NSE Equity Cash'!$H:$H,'Daily NSE Equity Cash'!$A:$A,$A1315))</f>
        <v>947.37639999999999</v>
      </c>
      <c r="F1315" s="4">
        <f>IF(SUMIFS('Daily BSE Equity Cash'!$H:$H,'Daily BSE Equity Cash'!$A:$A,$A1315)=0,"",SUMIFS('Daily BSE Equity Cash'!$H:$H,'Daily BSE Equity Cash'!$A:$A,$A1315))</f>
        <v>66.625799999999998</v>
      </c>
      <c r="G1315" s="4">
        <f t="shared" si="180"/>
        <v>1014.0022</v>
      </c>
      <c r="H1315" s="7">
        <f t="shared" si="181"/>
        <v>-0.24301162630147077</v>
      </c>
      <c r="I1315" s="7">
        <f t="shared" si="182"/>
        <v>-0.25150651813438907</v>
      </c>
      <c r="J1315" s="7">
        <f t="shared" si="183"/>
        <v>-0.24357570388335759</v>
      </c>
      <c r="K1315" s="7">
        <f t="shared" si="186"/>
        <v>-1.6244621219303479E-2</v>
      </c>
      <c r="L1315" s="7">
        <f t="shared" si="187"/>
        <v>-4.9866947317983135E-2</v>
      </c>
      <c r="M1315" s="7">
        <f t="shared" si="188"/>
        <v>-1.8526672350940077E-2</v>
      </c>
      <c r="N1315" s="7">
        <f t="shared" si="184"/>
        <v>0.93429422539714413</v>
      </c>
      <c r="O1315" s="7">
        <f t="shared" si="185"/>
        <v>6.5705774602855885E-2</v>
      </c>
    </row>
    <row r="1316" spans="1:15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4">
        <f>IF(SUMIFS('Daily NSE Equity Cash'!$H:$H,'Daily NSE Equity Cash'!$A:$A,$A1316)=0,"",SUMIFS('Daily NSE Equity Cash'!$H:$H,'Daily NSE Equity Cash'!$A:$A,$A1316))</f>
        <v>952.71510000000001</v>
      </c>
      <c r="F1316" s="4">
        <f>IF(SUMIFS('Daily BSE Equity Cash'!$H:$H,'Daily BSE Equity Cash'!$A:$A,$A1316)=0,"",SUMIFS('Daily BSE Equity Cash'!$H:$H,'Daily BSE Equity Cash'!$A:$A,$A1316))</f>
        <v>70.404899999999998</v>
      </c>
      <c r="G1316" s="4">
        <f t="shared" si="180"/>
        <v>1023.12</v>
      </c>
      <c r="H1316" s="7" t="str">
        <f t="shared" si="181"/>
        <v/>
      </c>
      <c r="I1316" s="7" t="str">
        <f t="shared" si="182"/>
        <v/>
      </c>
      <c r="J1316" s="7" t="str">
        <f t="shared" si="183"/>
        <v/>
      </c>
      <c r="K1316" s="7">
        <f t="shared" si="186"/>
        <v>5.6352469831419949E-3</v>
      </c>
      <c r="L1316" s="7">
        <f t="shared" si="187"/>
        <v>5.6721270138594848E-2</v>
      </c>
      <c r="M1316" s="7">
        <f t="shared" si="188"/>
        <v>8.9918937059505488E-3</v>
      </c>
      <c r="N1316" s="7">
        <f t="shared" si="184"/>
        <v>0.93118607787942764</v>
      </c>
      <c r="O1316" s="7">
        <f t="shared" si="185"/>
        <v>6.8813922120572371E-2</v>
      </c>
    </row>
    <row r="1317" spans="1:15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4">
        <f>IF(SUMIFS('Daily NSE Equity Cash'!$H:$H,'Daily NSE Equity Cash'!$A:$A,$A1317)=0,"",SUMIFS('Daily NSE Equity Cash'!$H:$H,'Daily NSE Equity Cash'!$A:$A,$A1317))</f>
        <v>931.15959999999995</v>
      </c>
      <c r="F1317" s="4">
        <f>IF(SUMIFS('Daily BSE Equity Cash'!$H:$H,'Daily BSE Equity Cash'!$A:$A,$A1317)=0,"",SUMIFS('Daily BSE Equity Cash'!$H:$H,'Daily BSE Equity Cash'!$A:$A,$A1317))</f>
        <v>99.951999999999998</v>
      </c>
      <c r="G1317" s="4">
        <f t="shared" si="180"/>
        <v>1031.1116</v>
      </c>
      <c r="H1317" s="7">
        <f t="shared" si="181"/>
        <v>-0.36990782810485945</v>
      </c>
      <c r="I1317" s="7">
        <f t="shared" si="182"/>
        <v>-1.074941037093935E-2</v>
      </c>
      <c r="J1317" s="7">
        <f t="shared" si="183"/>
        <v>-0.3469236211350899</v>
      </c>
      <c r="K1317" s="7">
        <f t="shared" si="186"/>
        <v>-2.2625336787461481E-2</v>
      </c>
      <c r="L1317" s="7">
        <f t="shared" si="187"/>
        <v>0.41967391474172966</v>
      </c>
      <c r="M1317" s="7">
        <f t="shared" si="188"/>
        <v>7.8110094612557912E-3</v>
      </c>
      <c r="N1317" s="7">
        <f t="shared" si="184"/>
        <v>0.90306383906455912</v>
      </c>
      <c r="O1317" s="7">
        <f t="shared" si="185"/>
        <v>9.693616093544094E-2</v>
      </c>
    </row>
    <row r="1318" spans="1:15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4">
        <f>IF(SUMIFS('Daily NSE Equity Cash'!$H:$H,'Daily NSE Equity Cash'!$A:$A,$A1318)=0,"",SUMIFS('Daily NSE Equity Cash'!$H:$H,'Daily NSE Equity Cash'!$A:$A,$A1318))</f>
        <v>914.73410000000001</v>
      </c>
      <c r="F1318" s="4">
        <f>IF(SUMIFS('Daily BSE Equity Cash'!$H:$H,'Daily BSE Equity Cash'!$A:$A,$A1318)=0,"",SUMIFS('Daily BSE Equity Cash'!$H:$H,'Daily BSE Equity Cash'!$A:$A,$A1318))</f>
        <v>65.938900000000004</v>
      </c>
      <c r="G1318" s="4">
        <f t="shared" si="180"/>
        <v>980.673</v>
      </c>
      <c r="H1318" s="7" t="str">
        <f t="shared" si="181"/>
        <v/>
      </c>
      <c r="I1318" s="7" t="str">
        <f t="shared" si="182"/>
        <v/>
      </c>
      <c r="J1318" s="7" t="str">
        <f t="shared" si="183"/>
        <v/>
      </c>
      <c r="K1318" s="7">
        <f t="shared" si="186"/>
        <v>-1.7639833171456232E-2</v>
      </c>
      <c r="L1318" s="7">
        <f t="shared" si="187"/>
        <v>-0.34029434128381619</v>
      </c>
      <c r="M1318" s="7">
        <f t="shared" si="188"/>
        <v>-4.8916722496381571E-2</v>
      </c>
      <c r="N1318" s="7">
        <f t="shared" si="184"/>
        <v>0.93276158311690038</v>
      </c>
      <c r="O1318" s="7">
        <f t="shared" si="185"/>
        <v>6.7238416883099672E-2</v>
      </c>
    </row>
    <row r="1319" spans="1:15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4">
        <f>IF(SUMIFS('Daily NSE Equity Cash'!$H:$H,'Daily NSE Equity Cash'!$A:$A,$A1319)=0,"",SUMIFS('Daily NSE Equity Cash'!$H:$H,'Daily NSE Equity Cash'!$A:$A,$A1319))</f>
        <v>1005.7381</v>
      </c>
      <c r="F1319" s="4">
        <f>IF(SUMIFS('Daily BSE Equity Cash'!$H:$H,'Daily BSE Equity Cash'!$A:$A,$A1319)=0,"",SUMIFS('Daily BSE Equity Cash'!$H:$H,'Daily BSE Equity Cash'!$A:$A,$A1319))</f>
        <v>75.959999999999994</v>
      </c>
      <c r="G1319" s="4">
        <f t="shared" si="180"/>
        <v>1081.6981000000001</v>
      </c>
      <c r="H1319" s="7">
        <f t="shared" si="181"/>
        <v>-0.17809520789717859</v>
      </c>
      <c r="I1319" s="7">
        <f t="shared" si="182"/>
        <v>-0.16289956778463732</v>
      </c>
      <c r="J1319" s="7">
        <f t="shared" si="183"/>
        <v>-0.17704615883698926</v>
      </c>
      <c r="K1319" s="7">
        <f t="shared" si="186"/>
        <v>9.9486834480096542E-2</v>
      </c>
      <c r="L1319" s="7">
        <f t="shared" si="187"/>
        <v>0.15197554099325261</v>
      </c>
      <c r="M1319" s="7">
        <f t="shared" si="188"/>
        <v>0.10301609201028272</v>
      </c>
      <c r="N1319" s="7">
        <f t="shared" si="184"/>
        <v>0.92977707920537156</v>
      </c>
      <c r="O1319" s="7">
        <f t="shared" si="185"/>
        <v>7.0222920794628357E-2</v>
      </c>
    </row>
    <row r="1320" spans="1:15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4">
        <f>IF(SUMIFS('Daily NSE Equity Cash'!$H:$H,'Daily NSE Equity Cash'!$A:$A,$A1320)=0,"",SUMIFS('Daily NSE Equity Cash'!$H:$H,'Daily NSE Equity Cash'!$A:$A,$A1320))</f>
        <v>938.26239999999996</v>
      </c>
      <c r="F1320" s="4">
        <f>IF(SUMIFS('Daily BSE Equity Cash'!$H:$H,'Daily BSE Equity Cash'!$A:$A,$A1320)=0,"",SUMIFS('Daily BSE Equity Cash'!$H:$H,'Daily BSE Equity Cash'!$A:$A,$A1320))</f>
        <v>96.017300000000006</v>
      </c>
      <c r="G1320" s="4">
        <f t="shared" si="180"/>
        <v>1034.2797</v>
      </c>
      <c r="H1320" s="7">
        <f t="shared" si="181"/>
        <v>-0.44591875318633112</v>
      </c>
      <c r="I1320" s="7">
        <f t="shared" si="182"/>
        <v>-0.22916924232960878</v>
      </c>
      <c r="J1320" s="7">
        <f t="shared" si="183"/>
        <v>-0.43106721135225534</v>
      </c>
      <c r="K1320" s="7">
        <f t="shared" si="186"/>
        <v>-6.7090726701116377E-2</v>
      </c>
      <c r="L1320" s="7">
        <f t="shared" si="187"/>
        <v>0.2640508162190629</v>
      </c>
      <c r="M1320" s="7">
        <f t="shared" si="188"/>
        <v>-4.383700036082161E-2</v>
      </c>
      <c r="N1320" s="7">
        <f t="shared" si="184"/>
        <v>0.90716505409513493</v>
      </c>
      <c r="O1320" s="7">
        <f t="shared" si="185"/>
        <v>9.2834945904865004E-2</v>
      </c>
    </row>
    <row r="1321" spans="1:15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4">
        <f>IF(SUMIFS('Daily NSE Equity Cash'!$H:$H,'Daily NSE Equity Cash'!$A:$A,$A1321)=0,"",SUMIFS('Daily NSE Equity Cash'!$H:$H,'Daily NSE Equity Cash'!$A:$A,$A1321))</f>
        <v>1000.6028</v>
      </c>
      <c r="F1321" s="4">
        <f>IF(SUMIFS('Daily BSE Equity Cash'!$H:$H,'Daily BSE Equity Cash'!$A:$A,$A1321)=0,"",SUMIFS('Daily BSE Equity Cash'!$H:$H,'Daily BSE Equity Cash'!$A:$A,$A1321))</f>
        <v>70.972399999999993</v>
      </c>
      <c r="G1321" s="4">
        <f t="shared" si="180"/>
        <v>1071.5752</v>
      </c>
      <c r="H1321" s="7">
        <f t="shared" si="181"/>
        <v>-0.27121796064689963</v>
      </c>
      <c r="I1321" s="7">
        <f t="shared" si="182"/>
        <v>-0.20344783079590811</v>
      </c>
      <c r="J1321" s="7">
        <f t="shared" si="183"/>
        <v>-0.26708803012696303</v>
      </c>
      <c r="K1321" s="7">
        <f t="shared" si="186"/>
        <v>6.6442393940117528E-2</v>
      </c>
      <c r="L1321" s="7">
        <f t="shared" si="187"/>
        <v>-0.26083736993229356</v>
      </c>
      <c r="M1321" s="7">
        <f t="shared" si="188"/>
        <v>3.6059394765264985E-2</v>
      </c>
      <c r="N1321" s="7">
        <f t="shared" si="184"/>
        <v>0.93376815738176844</v>
      </c>
      <c r="O1321" s="7">
        <f t="shared" si="185"/>
        <v>6.6231842618231548E-2</v>
      </c>
    </row>
    <row r="1322" spans="1:15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4">
        <f>IF(SUMIFS('Daily NSE Equity Cash'!$H:$H,'Daily NSE Equity Cash'!$A:$A,$A1322)=0,"",SUMIFS('Daily NSE Equity Cash'!$H:$H,'Daily NSE Equity Cash'!$A:$A,$A1322))</f>
        <v>961.22810000000004</v>
      </c>
      <c r="F1322" s="4">
        <f>IF(SUMIFS('Daily BSE Equity Cash'!$H:$H,'Daily BSE Equity Cash'!$A:$A,$A1322)=0,"",SUMIFS('Daily BSE Equity Cash'!$H:$H,'Daily BSE Equity Cash'!$A:$A,$A1322))</f>
        <v>79.966999999999999</v>
      </c>
      <c r="G1322" s="4">
        <f t="shared" si="180"/>
        <v>1041.1951000000001</v>
      </c>
      <c r="H1322" s="7">
        <f t="shared" si="181"/>
        <v>-0.25695685884061747</v>
      </c>
      <c r="I1322" s="7">
        <f t="shared" si="182"/>
        <v>-0.17957656888655427</v>
      </c>
      <c r="J1322" s="7">
        <f t="shared" si="183"/>
        <v>-0.25153507198653369</v>
      </c>
      <c r="K1322" s="7">
        <f t="shared" si="186"/>
        <v>-3.9350979229720306E-2</v>
      </c>
      <c r="L1322" s="7">
        <f t="shared" si="187"/>
        <v>0.12673377256510987</v>
      </c>
      <c r="M1322" s="7">
        <f t="shared" si="188"/>
        <v>-2.8350880087556929E-2</v>
      </c>
      <c r="N1322" s="7">
        <f t="shared" si="184"/>
        <v>0.92319691093436751</v>
      </c>
      <c r="O1322" s="7">
        <f t="shared" si="185"/>
        <v>7.6803089065632352E-2</v>
      </c>
    </row>
    <row r="1323" spans="1:15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4">
        <f>IF(SUMIFS('Daily NSE Equity Cash'!$H:$H,'Daily NSE Equity Cash'!$A:$A,$A1323)=0,"",SUMIFS('Daily NSE Equity Cash'!$H:$H,'Daily NSE Equity Cash'!$A:$A,$A1323))</f>
        <v>921.69650000000001</v>
      </c>
      <c r="F1323" s="4">
        <f>IF(SUMIFS('Daily BSE Equity Cash'!$H:$H,'Daily BSE Equity Cash'!$A:$A,$A1323)=0,"",SUMIFS('Daily BSE Equity Cash'!$H:$H,'Daily BSE Equity Cash'!$A:$A,$A1323))</f>
        <v>75.610500000000002</v>
      </c>
      <c r="G1323" s="4">
        <f t="shared" si="180"/>
        <v>997.30700000000002</v>
      </c>
      <c r="H1323" s="7" t="str">
        <f t="shared" si="181"/>
        <v/>
      </c>
      <c r="I1323" s="7" t="str">
        <f t="shared" si="182"/>
        <v/>
      </c>
      <c r="J1323" s="7" t="str">
        <f t="shared" si="183"/>
        <v/>
      </c>
      <c r="K1323" s="7">
        <f t="shared" si="186"/>
        <v>-4.1126138530490297E-2</v>
      </c>
      <c r="L1323" s="7">
        <f t="shared" si="187"/>
        <v>-5.4478722473020103E-2</v>
      </c>
      <c r="M1323" s="7">
        <f t="shared" si="188"/>
        <v>-4.2151658224284905E-2</v>
      </c>
      <c r="N1323" s="7">
        <f t="shared" si="184"/>
        <v>0.92418533109664325</v>
      </c>
      <c r="O1323" s="7">
        <f t="shared" si="185"/>
        <v>7.5814668903356738E-2</v>
      </c>
    </row>
    <row r="1324" spans="1:15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4">
        <f>IF(SUMIFS('Daily NSE Equity Cash'!$H:$H,'Daily NSE Equity Cash'!$A:$A,$A1324)=0,"",SUMIFS('Daily NSE Equity Cash'!$H:$H,'Daily NSE Equity Cash'!$A:$A,$A1324))</f>
        <v>947.94500000000005</v>
      </c>
      <c r="F1324" s="4">
        <f>IF(SUMIFS('Daily BSE Equity Cash'!$H:$H,'Daily BSE Equity Cash'!$A:$A,$A1324)=0,"",SUMIFS('Daily BSE Equity Cash'!$H:$H,'Daily BSE Equity Cash'!$A:$A,$A1324))</f>
        <v>70.156300000000002</v>
      </c>
      <c r="G1324" s="4">
        <f t="shared" si="180"/>
        <v>1018.1013</v>
      </c>
      <c r="H1324" s="7">
        <f t="shared" si="181"/>
        <v>-0.3599477719488533</v>
      </c>
      <c r="I1324" s="7">
        <f t="shared" si="182"/>
        <v>-0.37768617620499823</v>
      </c>
      <c r="J1324" s="7">
        <f t="shared" si="183"/>
        <v>-0.3612024838092236</v>
      </c>
      <c r="K1324" s="7">
        <f t="shared" si="186"/>
        <v>2.8478463355345207E-2</v>
      </c>
      <c r="L1324" s="7">
        <f t="shared" si="187"/>
        <v>-7.2135483828304259E-2</v>
      </c>
      <c r="M1324" s="7">
        <f t="shared" si="188"/>
        <v>2.0850450262557052E-2</v>
      </c>
      <c r="N1324" s="7">
        <f t="shared" si="184"/>
        <v>0.93109104172639801</v>
      </c>
      <c r="O1324" s="7">
        <f t="shared" si="185"/>
        <v>6.890895827360205E-2</v>
      </c>
    </row>
    <row r="1325" spans="1:15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4">
        <f>IF(SUMIFS('Daily NSE Equity Cash'!$H:$H,'Daily NSE Equity Cash'!$A:$A,$A1325)=0,"",SUMIFS('Daily NSE Equity Cash'!$H:$H,'Daily NSE Equity Cash'!$A:$A,$A1325))</f>
        <v>895.2319</v>
      </c>
      <c r="F1325" s="4">
        <f>IF(SUMIFS('Daily BSE Equity Cash'!$H:$H,'Daily BSE Equity Cash'!$A:$A,$A1325)=0,"",SUMIFS('Daily BSE Equity Cash'!$H:$H,'Daily BSE Equity Cash'!$A:$A,$A1325))</f>
        <v>61.3324</v>
      </c>
      <c r="G1325" s="4">
        <f t="shared" si="180"/>
        <v>956.5643</v>
      </c>
      <c r="H1325" s="7">
        <f t="shared" si="181"/>
        <v>-0.34443153907153523</v>
      </c>
      <c r="I1325" s="7">
        <f t="shared" si="182"/>
        <v>-0.50446112963574907</v>
      </c>
      <c r="J1325" s="7">
        <f t="shared" si="183"/>
        <v>-0.35773043841535723</v>
      </c>
      <c r="K1325" s="7">
        <f t="shared" si="186"/>
        <v>-5.5607762053705656E-2</v>
      </c>
      <c r="L1325" s="7">
        <f t="shared" si="187"/>
        <v>-0.12577487695331713</v>
      </c>
      <c r="M1325" s="7">
        <f t="shared" si="188"/>
        <v>-6.0442904846502055E-2</v>
      </c>
      <c r="N1325" s="7">
        <f t="shared" si="184"/>
        <v>0.93588261656848371</v>
      </c>
      <c r="O1325" s="7">
        <f t="shared" si="185"/>
        <v>6.4117383431516309E-2</v>
      </c>
    </row>
    <row r="1326" spans="1:15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4">
        <f>IF(SUMIFS('Daily NSE Equity Cash'!$H:$H,'Daily NSE Equity Cash'!$A:$A,$A1326)=0,"",SUMIFS('Daily NSE Equity Cash'!$H:$H,'Daily NSE Equity Cash'!$A:$A,$A1326))</f>
        <v>1079.9232</v>
      </c>
      <c r="F1326" s="4">
        <f>IF(SUMIFS('Daily BSE Equity Cash'!$H:$H,'Daily BSE Equity Cash'!$A:$A,$A1326)=0,"",SUMIFS('Daily BSE Equity Cash'!$H:$H,'Daily BSE Equity Cash'!$A:$A,$A1326))</f>
        <v>73.022000000000006</v>
      </c>
      <c r="G1326" s="4">
        <f t="shared" si="180"/>
        <v>1152.9451999999999</v>
      </c>
      <c r="H1326" s="7">
        <f t="shared" si="181"/>
        <v>-0.20801040044301766</v>
      </c>
      <c r="I1326" s="7">
        <f t="shared" si="182"/>
        <v>-0.16426608617826444</v>
      </c>
      <c r="J1326" s="7">
        <f t="shared" si="183"/>
        <v>-0.20537613065257376</v>
      </c>
      <c r="K1326" s="7">
        <f t="shared" si="186"/>
        <v>0.20630553938035501</v>
      </c>
      <c r="L1326" s="7">
        <f t="shared" si="187"/>
        <v>0.19059420469441934</v>
      </c>
      <c r="M1326" s="7">
        <f t="shared" si="188"/>
        <v>0.20529816971007575</v>
      </c>
      <c r="N1326" s="7">
        <f t="shared" si="184"/>
        <v>0.93666481286361225</v>
      </c>
      <c r="O1326" s="7">
        <f t="shared" si="185"/>
        <v>6.3335187136387763E-2</v>
      </c>
    </row>
    <row r="1327" spans="1:15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4">
        <f>IF(SUMIFS('Daily NSE Equity Cash'!$H:$H,'Daily NSE Equity Cash'!$A:$A,$A1327)=0,"",SUMIFS('Daily NSE Equity Cash'!$H:$H,'Daily NSE Equity Cash'!$A:$A,$A1327))</f>
        <v>948.19410000000005</v>
      </c>
      <c r="F1327" s="4">
        <f>IF(SUMIFS('Daily BSE Equity Cash'!$H:$H,'Daily BSE Equity Cash'!$A:$A,$A1327)=0,"",SUMIFS('Daily BSE Equity Cash'!$H:$H,'Daily BSE Equity Cash'!$A:$A,$A1327))</f>
        <v>78.128299999999996</v>
      </c>
      <c r="G1327" s="4">
        <f t="shared" si="180"/>
        <v>1026.3224</v>
      </c>
      <c r="H1327" s="7">
        <f t="shared" si="181"/>
        <v>-0.30064970209203068</v>
      </c>
      <c r="I1327" s="7">
        <f t="shared" si="182"/>
        <v>-0.17148589650188295</v>
      </c>
      <c r="J1327" s="7">
        <f t="shared" si="183"/>
        <v>-0.29225036233190793</v>
      </c>
      <c r="K1327" s="7">
        <f t="shared" si="186"/>
        <v>-0.12198006302670406</v>
      </c>
      <c r="L1327" s="7">
        <f t="shared" si="187"/>
        <v>6.9928240804141062E-2</v>
      </c>
      <c r="M1327" s="7">
        <f t="shared" si="188"/>
        <v>-0.10982551469055069</v>
      </c>
      <c r="N1327" s="7">
        <f t="shared" si="184"/>
        <v>0.92387548006357456</v>
      </c>
      <c r="O1327" s="7">
        <f t="shared" si="185"/>
        <v>7.6124519936425425E-2</v>
      </c>
    </row>
    <row r="1328" spans="1:15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4">
        <f>IF(SUMIFS('Daily NSE Equity Cash'!$H:$H,'Daily NSE Equity Cash'!$A:$A,$A1328)=0,"",SUMIFS('Daily NSE Equity Cash'!$H:$H,'Daily NSE Equity Cash'!$A:$A,$A1328))</f>
        <v>833.2</v>
      </c>
      <c r="F1328" s="4">
        <f>IF(SUMIFS('Daily BSE Equity Cash'!$H:$H,'Daily BSE Equity Cash'!$A:$A,$A1328)=0,"",SUMIFS('Daily BSE Equity Cash'!$H:$H,'Daily BSE Equity Cash'!$A:$A,$A1328))</f>
        <v>64.007000000000005</v>
      </c>
      <c r="G1328" s="4">
        <f t="shared" si="180"/>
        <v>897.20700000000011</v>
      </c>
      <c r="H1328" s="7" t="str">
        <f t="shared" si="181"/>
        <v/>
      </c>
      <c r="I1328" s="7" t="str">
        <f t="shared" si="182"/>
        <v/>
      </c>
      <c r="J1328" s="7" t="str">
        <f t="shared" si="183"/>
        <v/>
      </c>
      <c r="K1328" s="7">
        <f t="shared" si="186"/>
        <v>-0.12127696217472772</v>
      </c>
      <c r="L1328" s="7">
        <f t="shared" si="187"/>
        <v>-0.18074500533097471</v>
      </c>
      <c r="M1328" s="7">
        <f t="shared" si="188"/>
        <v>-0.12580393841155557</v>
      </c>
      <c r="N1328" s="7">
        <f t="shared" si="184"/>
        <v>0.9286597184373282</v>
      </c>
      <c r="O1328" s="7">
        <f t="shared" si="185"/>
        <v>7.1340281562671706E-2</v>
      </c>
    </row>
    <row r="1329" spans="1:15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4">
        <f>IF(SUMIFS('Daily NSE Equity Cash'!$H:$H,'Daily NSE Equity Cash'!$A:$A,$A1329)=0,"",SUMIFS('Daily NSE Equity Cash'!$H:$H,'Daily NSE Equity Cash'!$A:$A,$A1329))</f>
        <v>886.55409999999995</v>
      </c>
      <c r="F1329" s="4">
        <f>IF(SUMIFS('Daily BSE Equity Cash'!$H:$H,'Daily BSE Equity Cash'!$A:$A,$A1329)=0,"",SUMIFS('Daily BSE Equity Cash'!$H:$H,'Daily BSE Equity Cash'!$A:$A,$A1329))</f>
        <v>104.63590000000001</v>
      </c>
      <c r="G1329" s="4">
        <f t="shared" si="180"/>
        <v>991.18999999999994</v>
      </c>
      <c r="H1329" s="7">
        <f t="shared" si="181"/>
        <v>-0.43471752457473778</v>
      </c>
      <c r="I1329" s="7">
        <f t="shared" si="182"/>
        <v>-0.23497620539471109</v>
      </c>
      <c r="J1329" s="7">
        <f t="shared" si="183"/>
        <v>-0.41869538374848958</v>
      </c>
      <c r="K1329" s="7">
        <f t="shared" si="186"/>
        <v>6.4035165626500135E-2</v>
      </c>
      <c r="L1329" s="7">
        <f t="shared" si="187"/>
        <v>0.63475713593825667</v>
      </c>
      <c r="M1329" s="7">
        <f t="shared" si="188"/>
        <v>0.1047506316825435</v>
      </c>
      <c r="N1329" s="7">
        <f t="shared" si="184"/>
        <v>0.894434064104763</v>
      </c>
      <c r="O1329" s="7">
        <f t="shared" si="185"/>
        <v>0.10556593589523705</v>
      </c>
    </row>
    <row r="1330" spans="1:15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4">
        <f>IF(SUMIFS('Daily NSE Equity Cash'!$H:$H,'Daily NSE Equity Cash'!$A:$A,$A1330)=0,"",SUMIFS('Daily NSE Equity Cash'!$H:$H,'Daily NSE Equity Cash'!$A:$A,$A1330))</f>
        <v>891.22969999999998</v>
      </c>
      <c r="F1330" s="4">
        <f>IF(SUMIFS('Daily BSE Equity Cash'!$H:$H,'Daily BSE Equity Cash'!$A:$A,$A1330)=0,"",SUMIFS('Daily BSE Equity Cash'!$H:$H,'Daily BSE Equity Cash'!$A:$A,$A1330))</f>
        <v>103.75279999999999</v>
      </c>
      <c r="G1330" s="4">
        <f t="shared" si="180"/>
        <v>994.98249999999996</v>
      </c>
      <c r="H1330" s="7">
        <f t="shared" si="181"/>
        <v>-0.28581211923302685</v>
      </c>
      <c r="I1330" s="7">
        <f t="shared" si="182"/>
        <v>0.17655036803770296</v>
      </c>
      <c r="J1330" s="7">
        <f t="shared" si="183"/>
        <v>-0.25529520617234158</v>
      </c>
      <c r="K1330" s="7">
        <f t="shared" si="186"/>
        <v>5.2739026304204906E-3</v>
      </c>
      <c r="L1330" s="7">
        <f t="shared" si="187"/>
        <v>-8.4397420005946078E-3</v>
      </c>
      <c r="M1330" s="7">
        <f t="shared" si="188"/>
        <v>3.826208900412631E-3</v>
      </c>
      <c r="N1330" s="7">
        <f t="shared" si="184"/>
        <v>0.89572399514564327</v>
      </c>
      <c r="O1330" s="7">
        <f t="shared" si="185"/>
        <v>0.10427600485435673</v>
      </c>
    </row>
    <row r="1331" spans="1:15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4">
        <f>IF(SUMIFS('Daily NSE Equity Cash'!$H:$H,'Daily NSE Equity Cash'!$A:$A,$A1331)=0,"",SUMIFS('Daily NSE Equity Cash'!$H:$H,'Daily NSE Equity Cash'!$A:$A,$A1331))</f>
        <v>980.41489999999999</v>
      </c>
      <c r="F1331" s="4">
        <f>IF(SUMIFS('Daily BSE Equity Cash'!$H:$H,'Daily BSE Equity Cash'!$A:$A,$A1331)=0,"",SUMIFS('Daily BSE Equity Cash'!$H:$H,'Daily BSE Equity Cash'!$A:$A,$A1331))</f>
        <v>119.1833</v>
      </c>
      <c r="G1331" s="4">
        <f t="shared" si="180"/>
        <v>1099.5981999999999</v>
      </c>
      <c r="H1331" s="7">
        <f t="shared" si="181"/>
        <v>-0.16989945725085276</v>
      </c>
      <c r="I1331" s="7">
        <f t="shared" si="182"/>
        <v>0.60808391272493734</v>
      </c>
      <c r="J1331" s="7">
        <f t="shared" si="183"/>
        <v>-0.12396211329110041</v>
      </c>
      <c r="K1331" s="7">
        <f t="shared" si="186"/>
        <v>0.10006982487230842</v>
      </c>
      <c r="L1331" s="7">
        <f t="shared" si="187"/>
        <v>0.14872369709540378</v>
      </c>
      <c r="M1331" s="7">
        <f t="shared" si="188"/>
        <v>0.10514325628842713</v>
      </c>
      <c r="N1331" s="7">
        <f t="shared" si="184"/>
        <v>0.89161195425747342</v>
      </c>
      <c r="O1331" s="7">
        <f t="shared" si="185"/>
        <v>0.1083880457425267</v>
      </c>
    </row>
    <row r="1332" spans="1:15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4">
        <f>IF(SUMIFS('Daily NSE Equity Cash'!$H:$H,'Daily NSE Equity Cash'!$A:$A,$A1332)=0,"",SUMIFS('Daily NSE Equity Cash'!$H:$H,'Daily NSE Equity Cash'!$A:$A,$A1332))</f>
        <v>1004.4468000000001</v>
      </c>
      <c r="F1332" s="4">
        <f>IF(SUMIFS('Daily BSE Equity Cash'!$H:$H,'Daily BSE Equity Cash'!$A:$A,$A1332)=0,"",SUMIFS('Daily BSE Equity Cash'!$H:$H,'Daily BSE Equity Cash'!$A:$A,$A1332))</f>
        <v>155.24029999999999</v>
      </c>
      <c r="G1332" s="4">
        <f t="shared" si="180"/>
        <v>1159.6871000000001</v>
      </c>
      <c r="H1332" s="7">
        <f t="shared" si="181"/>
        <v>-0.12746201001182877</v>
      </c>
      <c r="I1332" s="7">
        <f t="shared" si="182"/>
        <v>0.91250468146337615</v>
      </c>
      <c r="J1332" s="7">
        <f t="shared" si="183"/>
        <v>-5.8962494000281529E-2</v>
      </c>
      <c r="K1332" s="7">
        <f t="shared" si="186"/>
        <v>2.4511969371334486E-2</v>
      </c>
      <c r="L1332" s="7">
        <f t="shared" si="187"/>
        <v>0.30253399595413111</v>
      </c>
      <c r="M1332" s="7">
        <f t="shared" si="188"/>
        <v>5.4646233506020936E-2</v>
      </c>
      <c r="N1332" s="7">
        <f t="shared" si="184"/>
        <v>0.86613604652496345</v>
      </c>
      <c r="O1332" s="7">
        <f t="shared" si="185"/>
        <v>0.13386395347503649</v>
      </c>
    </row>
    <row r="1333" spans="1:15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4">
        <f>IF(SUMIFS('Daily NSE Equity Cash'!$H:$H,'Daily NSE Equity Cash'!$A:$A,$A1333)=0,"",SUMIFS('Daily NSE Equity Cash'!$H:$H,'Daily NSE Equity Cash'!$A:$A,$A1333))</f>
        <v>811.93790000000001</v>
      </c>
      <c r="F1333" s="4">
        <f>IF(SUMIFS('Daily BSE Equity Cash'!$H:$H,'Daily BSE Equity Cash'!$A:$A,$A1333)=0,"",SUMIFS('Daily BSE Equity Cash'!$H:$H,'Daily BSE Equity Cash'!$A:$A,$A1333))</f>
        <v>116.786</v>
      </c>
      <c r="G1333" s="4">
        <f t="shared" si="180"/>
        <v>928.72389999999996</v>
      </c>
      <c r="H1333" s="7" t="str">
        <f t="shared" si="181"/>
        <v/>
      </c>
      <c r="I1333" s="7" t="str">
        <f t="shared" si="182"/>
        <v/>
      </c>
      <c r="J1333" s="7" t="str">
        <f t="shared" si="183"/>
        <v/>
      </c>
      <c r="K1333" s="7">
        <f t="shared" si="186"/>
        <v>-0.19165664124769977</v>
      </c>
      <c r="L1333" s="7">
        <f t="shared" si="187"/>
        <v>-0.24770823040151291</v>
      </c>
      <c r="M1333" s="7">
        <f t="shared" si="188"/>
        <v>-0.19915992857038778</v>
      </c>
      <c r="N1333" s="7">
        <f t="shared" si="184"/>
        <v>0.87425110950628071</v>
      </c>
      <c r="O1333" s="7">
        <f t="shared" si="185"/>
        <v>0.1257488904937194</v>
      </c>
    </row>
    <row r="1334" spans="1:15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4">
        <f>IF(SUMIFS('Daily NSE Equity Cash'!$H:$H,'Daily NSE Equity Cash'!$A:$A,$A1334)=0,"",SUMIFS('Daily NSE Equity Cash'!$H:$H,'Daily NSE Equity Cash'!$A:$A,$A1334))</f>
        <v>791.0856</v>
      </c>
      <c r="F1334" s="4">
        <f>IF(SUMIFS('Daily BSE Equity Cash'!$H:$H,'Daily BSE Equity Cash'!$A:$A,$A1334)=0,"",SUMIFS('Daily BSE Equity Cash'!$H:$H,'Daily BSE Equity Cash'!$A:$A,$A1334))</f>
        <v>80.350700000000003</v>
      </c>
      <c r="G1334" s="4">
        <f t="shared" si="180"/>
        <v>871.43629999999996</v>
      </c>
      <c r="H1334" s="7">
        <f t="shared" si="181"/>
        <v>-0.36360384885497288</v>
      </c>
      <c r="I1334" s="7">
        <f t="shared" si="182"/>
        <v>-0.18962752438660324</v>
      </c>
      <c r="J1334" s="7">
        <f t="shared" si="183"/>
        <v>-0.35075186418241133</v>
      </c>
      <c r="K1334" s="7">
        <f t="shared" si="186"/>
        <v>-2.5682136527929056E-2</v>
      </c>
      <c r="L1334" s="7">
        <f t="shared" si="187"/>
        <v>-0.31198345692120633</v>
      </c>
      <c r="M1334" s="7">
        <f t="shared" si="188"/>
        <v>-6.1684209914270594E-2</v>
      </c>
      <c r="N1334" s="7">
        <f t="shared" si="184"/>
        <v>0.90779509644021028</v>
      </c>
      <c r="O1334" s="7">
        <f t="shared" si="185"/>
        <v>9.2204903559789747E-2</v>
      </c>
    </row>
    <row r="1335" spans="1:15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4">
        <f>IF(SUMIFS('Daily NSE Equity Cash'!$H:$H,'Daily NSE Equity Cash'!$A:$A,$A1335)=0,"",SUMIFS('Daily NSE Equity Cash'!$H:$H,'Daily NSE Equity Cash'!$A:$A,$A1335))</f>
        <v>874.54459999999995</v>
      </c>
      <c r="F1335" s="4">
        <f>IF(SUMIFS('Daily BSE Equity Cash'!$H:$H,'Daily BSE Equity Cash'!$A:$A,$A1335)=0,"",SUMIFS('Daily BSE Equity Cash'!$H:$H,'Daily BSE Equity Cash'!$A:$A,$A1335))</f>
        <v>83.947900000000004</v>
      </c>
      <c r="G1335" s="4">
        <f t="shared" si="180"/>
        <v>958.49249999999995</v>
      </c>
      <c r="H1335" s="7">
        <f t="shared" si="181"/>
        <v>-0.26432049729902884</v>
      </c>
      <c r="I1335" s="7">
        <f t="shared" si="182"/>
        <v>-8.2923488014892022E-2</v>
      </c>
      <c r="J1335" s="7">
        <f t="shared" si="183"/>
        <v>-0.25135097643810866</v>
      </c>
      <c r="K1335" s="7">
        <f t="shared" si="186"/>
        <v>0.10549932902330661</v>
      </c>
      <c r="L1335" s="7">
        <f t="shared" si="187"/>
        <v>4.4768745014044597E-2</v>
      </c>
      <c r="M1335" s="7">
        <f t="shared" si="188"/>
        <v>9.9899671381602939E-2</v>
      </c>
      <c r="N1335" s="7">
        <f t="shared" si="184"/>
        <v>0.91241673774181853</v>
      </c>
      <c r="O1335" s="7">
        <f t="shared" si="185"/>
        <v>8.7583262258181471E-2</v>
      </c>
    </row>
    <row r="1336" spans="1:15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4">
        <f>IF(SUMIFS('Daily NSE Equity Cash'!$H:$H,'Daily NSE Equity Cash'!$A:$A,$A1336)=0,"",SUMIFS('Daily NSE Equity Cash'!$H:$H,'Daily NSE Equity Cash'!$A:$A,$A1336))</f>
        <v>833.49659999999994</v>
      </c>
      <c r="F1336" s="4">
        <f>IF(SUMIFS('Daily BSE Equity Cash'!$H:$H,'Daily BSE Equity Cash'!$A:$A,$A1336)=0,"",SUMIFS('Daily BSE Equity Cash'!$H:$H,'Daily BSE Equity Cash'!$A:$A,$A1336))</f>
        <v>78.127499999999998</v>
      </c>
      <c r="G1336" s="4">
        <f t="shared" si="180"/>
        <v>911.6241</v>
      </c>
      <c r="H1336" s="7">
        <f t="shared" si="181"/>
        <v>-0.23723267801881387</v>
      </c>
      <c r="I1336" s="7">
        <f t="shared" si="182"/>
        <v>9.8731489164217257E-2</v>
      </c>
      <c r="J1336" s="7">
        <f t="shared" si="183"/>
        <v>-0.21670621124555367</v>
      </c>
      <c r="K1336" s="7">
        <f t="shared" si="186"/>
        <v>-4.6936428399420693E-2</v>
      </c>
      <c r="L1336" s="7">
        <f t="shared" si="187"/>
        <v>-6.9333479455710112E-2</v>
      </c>
      <c r="M1336" s="7">
        <f t="shared" si="188"/>
        <v>-4.889803519589353E-2</v>
      </c>
      <c r="N1336" s="7">
        <f t="shared" si="184"/>
        <v>0.9142985579253553</v>
      </c>
      <c r="O1336" s="7">
        <f t="shared" si="185"/>
        <v>8.5701442074644585E-2</v>
      </c>
    </row>
    <row r="1337" spans="1:15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4">
        <f>IF(SUMIFS('Daily NSE Equity Cash'!$H:$H,'Daily NSE Equity Cash'!$A:$A,$A1337)=0,"",SUMIFS('Daily NSE Equity Cash'!$H:$H,'Daily NSE Equity Cash'!$A:$A,$A1337))</f>
        <v>1069.9356</v>
      </c>
      <c r="F1337" s="4">
        <f>IF(SUMIFS('Daily BSE Equity Cash'!$H:$H,'Daily BSE Equity Cash'!$A:$A,$A1337)=0,"",SUMIFS('Daily BSE Equity Cash'!$H:$H,'Daily BSE Equity Cash'!$A:$A,$A1337))</f>
        <v>89.034899999999993</v>
      </c>
      <c r="G1337" s="4">
        <f t="shared" si="180"/>
        <v>1158.9704999999999</v>
      </c>
      <c r="H1337" s="7" t="str">
        <f t="shared" si="181"/>
        <v/>
      </c>
      <c r="I1337" s="7" t="str">
        <f t="shared" si="182"/>
        <v/>
      </c>
      <c r="J1337" s="7" t="str">
        <f t="shared" si="183"/>
        <v/>
      </c>
      <c r="K1337" s="7">
        <f t="shared" si="186"/>
        <v>0.28367122313396376</v>
      </c>
      <c r="L1337" s="7">
        <f t="shared" si="187"/>
        <v>0.13961025247192094</v>
      </c>
      <c r="M1337" s="7">
        <f t="shared" si="188"/>
        <v>0.27132499020155332</v>
      </c>
      <c r="N1337" s="7">
        <f t="shared" si="184"/>
        <v>0.92317759597850002</v>
      </c>
      <c r="O1337" s="7">
        <f t="shared" si="185"/>
        <v>7.6822404021500118E-2</v>
      </c>
    </row>
    <row r="1338" spans="1:15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4">
        <f>IF(SUMIFS('Daily NSE Equity Cash'!$H:$H,'Daily NSE Equity Cash'!$A:$A,$A1338)=0,"",SUMIFS('Daily NSE Equity Cash'!$H:$H,'Daily NSE Equity Cash'!$A:$A,$A1338))</f>
        <v>876.34990000000005</v>
      </c>
      <c r="F1338" s="4">
        <f>IF(SUMIFS('Daily BSE Equity Cash'!$H:$H,'Daily BSE Equity Cash'!$A:$A,$A1338)=0,"",SUMIFS('Daily BSE Equity Cash'!$H:$H,'Daily BSE Equity Cash'!$A:$A,$A1338))</f>
        <v>72.079599999999999</v>
      </c>
      <c r="G1338" s="4">
        <f t="shared" si="180"/>
        <v>948.42950000000008</v>
      </c>
      <c r="H1338" s="7">
        <f t="shared" si="181"/>
        <v>-0.1915817297726824</v>
      </c>
      <c r="I1338" s="7">
        <f t="shared" si="182"/>
        <v>-0.12570063814018706</v>
      </c>
      <c r="J1338" s="7">
        <f t="shared" si="183"/>
        <v>-0.18692545819748929</v>
      </c>
      <c r="K1338" s="7">
        <f t="shared" si="186"/>
        <v>-0.18093210469863796</v>
      </c>
      <c r="L1338" s="7">
        <f t="shared" si="187"/>
        <v>-0.19043431283687628</v>
      </c>
      <c r="M1338" s="7">
        <f t="shared" si="188"/>
        <v>-0.18166208717132992</v>
      </c>
      <c r="N1338" s="7">
        <f t="shared" si="184"/>
        <v>0.924001098658361</v>
      </c>
      <c r="O1338" s="7">
        <f t="shared" si="185"/>
        <v>7.5998901341638989E-2</v>
      </c>
    </row>
    <row r="1339" spans="1:15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4">
        <f>IF(SUMIFS('Daily NSE Equity Cash'!$H:$H,'Daily NSE Equity Cash'!$A:$A,$A1339)=0,"",SUMIFS('Daily NSE Equity Cash'!$H:$H,'Daily NSE Equity Cash'!$A:$A,$A1339))</f>
        <v>961.70860000000005</v>
      </c>
      <c r="F1339" s="4">
        <f>IF(SUMIFS('Daily BSE Equity Cash'!$H:$H,'Daily BSE Equity Cash'!$A:$A,$A1339)=0,"",SUMIFS('Daily BSE Equity Cash'!$H:$H,'Daily BSE Equity Cash'!$A:$A,$A1339))</f>
        <v>69.018299999999996</v>
      </c>
      <c r="G1339" s="4">
        <f t="shared" si="180"/>
        <v>1030.7269000000001</v>
      </c>
      <c r="H1339" s="7">
        <f t="shared" si="181"/>
        <v>-0.17665551162008042</v>
      </c>
      <c r="I1339" s="7">
        <f t="shared" si="182"/>
        <v>-0.4962204655440472</v>
      </c>
      <c r="J1339" s="7">
        <f t="shared" si="183"/>
        <v>-0.21020261027086806</v>
      </c>
      <c r="K1339" s="7">
        <f t="shared" si="186"/>
        <v>9.740253293804213E-2</v>
      </c>
      <c r="L1339" s="7">
        <f t="shared" si="187"/>
        <v>-4.2471101393459443E-2</v>
      </c>
      <c r="M1339" s="7">
        <f t="shared" si="188"/>
        <v>8.6772290402185925E-2</v>
      </c>
      <c r="N1339" s="7">
        <f t="shared" si="184"/>
        <v>0.93303919787093936</v>
      </c>
      <c r="O1339" s="7">
        <f t="shared" si="185"/>
        <v>6.6960802129060554E-2</v>
      </c>
    </row>
    <row r="1340" spans="1:15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4">
        <f>IF(SUMIFS('Daily NSE Equity Cash'!$H:$H,'Daily NSE Equity Cash'!$A:$A,$A1340)=0,"",SUMIFS('Daily NSE Equity Cash'!$H:$H,'Daily NSE Equity Cash'!$A:$A,$A1340))</f>
        <v>970.00940000000003</v>
      </c>
      <c r="F1340" s="4">
        <f>IF(SUMIFS('Daily BSE Equity Cash'!$H:$H,'Daily BSE Equity Cash'!$A:$A,$A1340)=0,"",SUMIFS('Daily BSE Equity Cash'!$H:$H,'Daily BSE Equity Cash'!$A:$A,$A1340))</f>
        <v>166.71299999999999</v>
      </c>
      <c r="G1340" s="4">
        <f t="shared" si="180"/>
        <v>1136.7224000000001</v>
      </c>
      <c r="H1340" s="7">
        <f t="shared" si="181"/>
        <v>-0.1753286219832304</v>
      </c>
      <c r="I1340" s="7">
        <f t="shared" si="182"/>
        <v>0.75202065688820396</v>
      </c>
      <c r="J1340" s="7">
        <f t="shared" si="183"/>
        <v>-0.10592309753040796</v>
      </c>
      <c r="K1340" s="7">
        <f t="shared" si="186"/>
        <v>8.6313047424135814E-3</v>
      </c>
      <c r="L1340" s="7">
        <f t="shared" si="187"/>
        <v>1.4154898048778368</v>
      </c>
      <c r="M1340" s="7">
        <f t="shared" si="188"/>
        <v>0.10283567839356866</v>
      </c>
      <c r="N1340" s="7">
        <f t="shared" si="184"/>
        <v>0.85333886268098524</v>
      </c>
      <c r="O1340" s="7">
        <f t="shared" si="185"/>
        <v>0.14666113731901473</v>
      </c>
    </row>
    <row r="1341" spans="1:15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4">
        <f>IF(SUMIFS('Daily NSE Equity Cash'!$H:$H,'Daily NSE Equity Cash'!$A:$A,$A1341)=0,"",SUMIFS('Daily NSE Equity Cash'!$H:$H,'Daily NSE Equity Cash'!$A:$A,$A1341))</f>
        <v>822.41480000000001</v>
      </c>
      <c r="F1341" s="4">
        <f>IF(SUMIFS('Daily BSE Equity Cash'!$H:$H,'Daily BSE Equity Cash'!$A:$A,$A1341)=0,"",SUMIFS('Daily BSE Equity Cash'!$H:$H,'Daily BSE Equity Cash'!$A:$A,$A1341))</f>
        <v>67.239599999999996</v>
      </c>
      <c r="G1341" s="4">
        <f t="shared" si="180"/>
        <v>889.65440000000001</v>
      </c>
      <c r="H1341" s="7">
        <f t="shared" si="181"/>
        <v>-0.30679138353150059</v>
      </c>
      <c r="I1341" s="7">
        <f t="shared" si="182"/>
        <v>-0.28063523581696104</v>
      </c>
      <c r="J1341" s="7">
        <f t="shared" si="183"/>
        <v>-0.30488114553833023</v>
      </c>
      <c r="K1341" s="7">
        <f t="shared" si="186"/>
        <v>-0.15215790692337616</v>
      </c>
      <c r="L1341" s="7">
        <f t="shared" si="187"/>
        <v>-0.59667452448219394</v>
      </c>
      <c r="M1341" s="7">
        <f t="shared" si="188"/>
        <v>-0.21735121961175397</v>
      </c>
      <c r="N1341" s="7">
        <f t="shared" si="184"/>
        <v>0.92442053903178578</v>
      </c>
      <c r="O1341" s="7">
        <f t="shared" si="185"/>
        <v>7.5579460968214163E-2</v>
      </c>
    </row>
    <row r="1342" spans="1:15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4">
        <f>IF(SUMIFS('Daily NSE Equity Cash'!$H:$H,'Daily NSE Equity Cash'!$A:$A,$A1342)=0,"",SUMIFS('Daily NSE Equity Cash'!$H:$H,'Daily NSE Equity Cash'!$A:$A,$A1342))</f>
        <v>815.87540000000001</v>
      </c>
      <c r="F1342" s="4">
        <f>IF(SUMIFS('Daily BSE Equity Cash'!$H:$H,'Daily BSE Equity Cash'!$A:$A,$A1342)=0,"",SUMIFS('Daily BSE Equity Cash'!$H:$H,'Daily BSE Equity Cash'!$A:$A,$A1342))</f>
        <v>71.328000000000003</v>
      </c>
      <c r="G1342" s="4">
        <f t="shared" si="180"/>
        <v>887.20339999999999</v>
      </c>
      <c r="H1342" s="7" t="str">
        <f t="shared" si="181"/>
        <v/>
      </c>
      <c r="I1342" s="7" t="str">
        <f t="shared" si="182"/>
        <v/>
      </c>
      <c r="J1342" s="7" t="str">
        <f t="shared" si="183"/>
        <v/>
      </c>
      <c r="K1342" s="7">
        <f t="shared" si="186"/>
        <v>-7.9514619629900141E-3</v>
      </c>
      <c r="L1342" s="7">
        <f t="shared" si="187"/>
        <v>6.0803455106812176E-2</v>
      </c>
      <c r="M1342" s="7">
        <f t="shared" si="188"/>
        <v>-2.7550023919400424E-3</v>
      </c>
      <c r="N1342" s="7">
        <f t="shared" si="184"/>
        <v>0.91960355426951701</v>
      </c>
      <c r="O1342" s="7">
        <f t="shared" si="185"/>
        <v>8.0396445730483004E-2</v>
      </c>
    </row>
    <row r="1343" spans="1:15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4">
        <f>IF(SUMIFS('Daily NSE Equity Cash'!$H:$H,'Daily NSE Equity Cash'!$A:$A,$A1343)=0,"",SUMIFS('Daily NSE Equity Cash'!$H:$H,'Daily NSE Equity Cash'!$A:$A,$A1343))</f>
        <v>1465.1086</v>
      </c>
      <c r="F1343" s="4">
        <f>IF(SUMIFS('Daily BSE Equity Cash'!$H:$H,'Daily BSE Equity Cash'!$A:$A,$A1343)=0,"",SUMIFS('Daily BSE Equity Cash'!$H:$H,'Daily BSE Equity Cash'!$A:$A,$A1343))</f>
        <v>82.415000000000006</v>
      </c>
      <c r="G1343" s="4">
        <f t="shared" si="180"/>
        <v>1547.5236</v>
      </c>
      <c r="H1343" s="7">
        <f t="shared" si="181"/>
        <v>0.31629772034133885</v>
      </c>
      <c r="I1343" s="7">
        <f t="shared" si="182"/>
        <v>-0.10144810607960331</v>
      </c>
      <c r="J1343" s="7">
        <f t="shared" si="183"/>
        <v>0.28449456511453941</v>
      </c>
      <c r="K1343" s="7">
        <f t="shared" si="186"/>
        <v>0.79575042953862818</v>
      </c>
      <c r="L1343" s="7">
        <f t="shared" si="187"/>
        <v>0.15543685509196958</v>
      </c>
      <c r="M1343" s="7">
        <f t="shared" si="188"/>
        <v>0.74427149400013581</v>
      </c>
      <c r="N1343" s="7">
        <f t="shared" si="184"/>
        <v>0.94674394626356584</v>
      </c>
      <c r="O1343" s="7">
        <f t="shared" si="185"/>
        <v>5.325605373643414E-2</v>
      </c>
    </row>
    <row r="1344" spans="1:15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4">
        <f>IF(SUMIFS('Daily NSE Equity Cash'!$H:$H,'Daily NSE Equity Cash'!$A:$A,$A1344)=0,"",SUMIFS('Daily NSE Equity Cash'!$H:$H,'Daily NSE Equity Cash'!$A:$A,$A1344))</f>
        <v>1027.7447</v>
      </c>
      <c r="F1344" s="4">
        <f>IF(SUMIFS('Daily BSE Equity Cash'!$H:$H,'Daily BSE Equity Cash'!$A:$A,$A1344)=0,"",SUMIFS('Daily BSE Equity Cash'!$H:$H,'Daily BSE Equity Cash'!$A:$A,$A1344))</f>
        <v>75.162599999999998</v>
      </c>
      <c r="G1344" s="4">
        <f t="shared" si="180"/>
        <v>1102.9072999999999</v>
      </c>
      <c r="H1344" s="7">
        <f t="shared" si="181"/>
        <v>-0.12755903894243403</v>
      </c>
      <c r="I1344" s="7">
        <f t="shared" si="182"/>
        <v>-4.2480496119606914E-2</v>
      </c>
      <c r="J1344" s="7">
        <f t="shared" si="183"/>
        <v>-0.12224396856111852</v>
      </c>
      <c r="K1344" s="7">
        <f t="shared" si="186"/>
        <v>-0.2985197820830483</v>
      </c>
      <c r="L1344" s="7">
        <f t="shared" si="187"/>
        <v>-8.799854395437734E-2</v>
      </c>
      <c r="M1344" s="7">
        <f t="shared" si="188"/>
        <v>-0.28730825171260721</v>
      </c>
      <c r="N1344" s="7">
        <f t="shared" si="184"/>
        <v>0.93185048281029614</v>
      </c>
      <c r="O1344" s="7">
        <f t="shared" si="185"/>
        <v>6.8149517189703981E-2</v>
      </c>
    </row>
    <row r="1345" spans="1:15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4">
        <f>IF(SUMIFS('Daily NSE Equity Cash'!$H:$H,'Daily NSE Equity Cash'!$A:$A,$A1345)=0,"",SUMIFS('Daily NSE Equity Cash'!$H:$H,'Daily NSE Equity Cash'!$A:$A,$A1345))</f>
        <v>909.36810000000003</v>
      </c>
      <c r="F1345" s="4">
        <f>IF(SUMIFS('Daily BSE Equity Cash'!$H:$H,'Daily BSE Equity Cash'!$A:$A,$A1345)=0,"",SUMIFS('Daily BSE Equity Cash'!$H:$H,'Daily BSE Equity Cash'!$A:$A,$A1345))</f>
        <v>65.509600000000006</v>
      </c>
      <c r="G1345" s="4">
        <f t="shared" si="180"/>
        <v>974.8777</v>
      </c>
      <c r="H1345" s="7">
        <f t="shared" si="181"/>
        <v>-0.30794809991832672</v>
      </c>
      <c r="I1345" s="7">
        <f t="shared" si="182"/>
        <v>-0.68303253254730467</v>
      </c>
      <c r="J1345" s="7">
        <f t="shared" si="183"/>
        <v>-0.35892549799489482</v>
      </c>
      <c r="K1345" s="7">
        <f t="shared" si="186"/>
        <v>-0.1151809393908817</v>
      </c>
      <c r="L1345" s="7">
        <f t="shared" si="187"/>
        <v>-0.1284282342548021</v>
      </c>
      <c r="M1345" s="7">
        <f t="shared" si="188"/>
        <v>-0.11608373613992751</v>
      </c>
      <c r="N1345" s="7">
        <f t="shared" si="184"/>
        <v>0.93280223765504122</v>
      </c>
      <c r="O1345" s="7">
        <f t="shared" si="185"/>
        <v>6.7197762344958764E-2</v>
      </c>
    </row>
    <row r="1346" spans="1:15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4">
        <f>IF(SUMIFS('Daily NSE Equity Cash'!$H:$H,'Daily NSE Equity Cash'!$A:$A,$A1346)=0,"",SUMIFS('Daily NSE Equity Cash'!$H:$H,'Daily NSE Equity Cash'!$A:$A,$A1346))</f>
        <v>847.99419999999998</v>
      </c>
      <c r="F1346" s="4">
        <f>IF(SUMIFS('Daily BSE Equity Cash'!$H:$H,'Daily BSE Equity Cash'!$A:$A,$A1346)=0,"",SUMIFS('Daily BSE Equity Cash'!$H:$H,'Daily BSE Equity Cash'!$A:$A,$A1346))</f>
        <v>62.301499999999997</v>
      </c>
      <c r="G1346" s="4">
        <f t="shared" ref="G1346:G1409" si="189">IF(OR(E1346="",F1346=""),"",E1346+F1346)</f>
        <v>910.29570000000001</v>
      </c>
      <c r="H1346" s="7" t="str">
        <f t="shared" ref="H1346:H1409" si="190">IFERROR(IF(OR(E1346="",INDEX(E:E,MATCH(DATE(YEAR($A1346)-1,MONTH($A1346),DAY($A1346)),$A:$A,0))=""),"",E1346/INDEX(E:E,MATCH(DATE(YEAR($A1346)-1,MONTH($A1346),DAY($A1346)),$A:$A,0))-1),"")</f>
        <v/>
      </c>
      <c r="I1346" s="7" t="str">
        <f t="shared" ref="I1346:I1409" si="191">IFERROR(IF(OR(F1346="",INDEX(F:F,MATCH(DATE(YEAR($A1346)-1,MONTH($A1346),DAY($A1346)),$A:$A,0))=""),"",F1346/INDEX(F:F,MATCH(DATE(YEAR($A1346)-1,MONTH($A1346),DAY($A1346)),$A:$A,0))-1),"")</f>
        <v/>
      </c>
      <c r="J1346" s="7" t="str">
        <f t="shared" ref="J1346:J1409" si="192">IFERROR(IF(OR(G1346="",INDEX(G:G,MATCH(DATE(YEAR($A1346)-1,MONTH($A1346),DAY($A1346)),$A:$A,0))=""),"",G1346/INDEX(G:G,MATCH(DATE(YEAR($A1346)-1,MONTH($A1346),DAY($A1346)),$A:$A,0))-1),"")</f>
        <v/>
      </c>
      <c r="K1346" s="7">
        <f t="shared" si="186"/>
        <v>-6.7490711407184878E-2</v>
      </c>
      <c r="L1346" s="7">
        <f t="shared" si="187"/>
        <v>-4.8971448459462552E-2</v>
      </c>
      <c r="M1346" s="7">
        <f t="shared" si="188"/>
        <v>-6.6246258376819966E-2</v>
      </c>
      <c r="N1346" s="7">
        <f t="shared" ref="N1346:N1409" si="193">IF(G1346="","",E1346/G1346)</f>
        <v>0.93155905273418294</v>
      </c>
      <c r="O1346" s="7">
        <f t="shared" ref="O1346:O1409" si="194">IF(G1346="","",F1346/G1346)</f>
        <v>6.8440947265817023E-2</v>
      </c>
    </row>
    <row r="1347" spans="1:15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4">
        <f>IF(SUMIFS('Daily NSE Equity Cash'!$H:$H,'Daily NSE Equity Cash'!$A:$A,$A1347)=0,"",SUMIFS('Daily NSE Equity Cash'!$H:$H,'Daily NSE Equity Cash'!$A:$A,$A1347))</f>
        <v>932.44719999999995</v>
      </c>
      <c r="F1347" s="4">
        <f>IF(SUMIFS('Daily BSE Equity Cash'!$H:$H,'Daily BSE Equity Cash'!$A:$A,$A1347)=0,"",SUMIFS('Daily BSE Equity Cash'!$H:$H,'Daily BSE Equity Cash'!$A:$A,$A1347))</f>
        <v>68.951099999999997</v>
      </c>
      <c r="G1347" s="4">
        <f t="shared" si="189"/>
        <v>1001.3982999999999</v>
      </c>
      <c r="H1347" s="7">
        <f t="shared" si="190"/>
        <v>-0.1534509472171971</v>
      </c>
      <c r="I1347" s="7">
        <f t="shared" si="191"/>
        <v>-0.16666948669109627</v>
      </c>
      <c r="J1347" s="7">
        <f t="shared" si="192"/>
        <v>-0.15437453587209438</v>
      </c>
      <c r="K1347" s="7">
        <f t="shared" ref="K1347:K1410" si="195">IF(OR(E1347="",E1346=""),"",E1347/E1346-1)</f>
        <v>9.959148305495491E-2</v>
      </c>
      <c r="L1347" s="7">
        <f t="shared" ref="L1347:L1410" si="196">IF(OR(F1347="",F1346=""),"",F1347/F1346-1)</f>
        <v>0.1067325826826</v>
      </c>
      <c r="M1347" s="7">
        <f t="shared" ref="M1347:M1410" si="197">IF(OR(G1347="",G1346=""),"",G1347/G1346-1)</f>
        <v>0.10008022667799032</v>
      </c>
      <c r="N1347" s="7">
        <f t="shared" si="193"/>
        <v>0.93114517969523214</v>
      </c>
      <c r="O1347" s="7">
        <f t="shared" si="194"/>
        <v>6.8854820304767847E-2</v>
      </c>
    </row>
    <row r="1348" spans="1:15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4">
        <f>IF(SUMIFS('Daily NSE Equity Cash'!$H:$H,'Daily NSE Equity Cash'!$A:$A,$A1348)=0,"",SUMIFS('Daily NSE Equity Cash'!$H:$H,'Daily NSE Equity Cash'!$A:$A,$A1348))</f>
        <v>959.65539999999999</v>
      </c>
      <c r="F1348" s="4">
        <f>IF(SUMIFS('Daily BSE Equity Cash'!$H:$H,'Daily BSE Equity Cash'!$A:$A,$A1348)=0,"",SUMIFS('Daily BSE Equity Cash'!$H:$H,'Daily BSE Equity Cash'!$A:$A,$A1348))</f>
        <v>78.044899999999998</v>
      </c>
      <c r="G1348" s="4">
        <f t="shared" si="189"/>
        <v>1037.7003</v>
      </c>
      <c r="H1348" s="7">
        <f t="shared" si="190"/>
        <v>-0.14066115304329974</v>
      </c>
      <c r="I1348" s="7">
        <f t="shared" si="191"/>
        <v>-6.131950658622709E-2</v>
      </c>
      <c r="J1348" s="7">
        <f t="shared" si="192"/>
        <v>-0.13516333840356221</v>
      </c>
      <c r="K1348" s="7">
        <f t="shared" si="195"/>
        <v>2.9179346562465014E-2</v>
      </c>
      <c r="L1348" s="7">
        <f t="shared" si="196"/>
        <v>0.1318876711176471</v>
      </c>
      <c r="M1348" s="7">
        <f t="shared" si="197"/>
        <v>3.6251309793515762E-2</v>
      </c>
      <c r="N1348" s="7">
        <f t="shared" si="193"/>
        <v>0.92479051996033923</v>
      </c>
      <c r="O1348" s="7">
        <f t="shared" si="194"/>
        <v>7.5209480039660784E-2</v>
      </c>
    </row>
    <row r="1349" spans="1:15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4">
        <f>IF(SUMIFS('Daily NSE Equity Cash'!$H:$H,'Daily NSE Equity Cash'!$A:$A,$A1349)=0,"",SUMIFS('Daily NSE Equity Cash'!$H:$H,'Daily NSE Equity Cash'!$A:$A,$A1349))</f>
        <v>1054.7728999999999</v>
      </c>
      <c r="F1349" s="4">
        <f>IF(SUMIFS('Daily BSE Equity Cash'!$H:$H,'Daily BSE Equity Cash'!$A:$A,$A1349)=0,"",SUMIFS('Daily BSE Equity Cash'!$H:$H,'Daily BSE Equity Cash'!$A:$A,$A1349))</f>
        <v>85.072000000000003</v>
      </c>
      <c r="G1349" s="4">
        <f t="shared" si="189"/>
        <v>1139.8449000000001</v>
      </c>
      <c r="H1349" s="7">
        <f t="shared" si="190"/>
        <v>-8.10995760648342E-2</v>
      </c>
      <c r="I1349" s="7">
        <f t="shared" si="191"/>
        <v>4.7544110458078936E-2</v>
      </c>
      <c r="J1349" s="7">
        <f t="shared" si="192"/>
        <v>-7.2599469308262776E-2</v>
      </c>
      <c r="K1349" s="7">
        <f t="shared" si="195"/>
        <v>9.9116307791317526E-2</v>
      </c>
      <c r="L1349" s="7">
        <f t="shared" si="196"/>
        <v>9.0039195386245607E-2</v>
      </c>
      <c r="M1349" s="7">
        <f t="shared" si="197"/>
        <v>9.8433622887070582E-2</v>
      </c>
      <c r="N1349" s="7">
        <f t="shared" si="193"/>
        <v>0.92536528434701937</v>
      </c>
      <c r="O1349" s="7">
        <f t="shared" si="194"/>
        <v>7.4634715652980507E-2</v>
      </c>
    </row>
    <row r="1350" spans="1:15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4">
        <f>IF(SUMIFS('Daily NSE Equity Cash'!$H:$H,'Daily NSE Equity Cash'!$A:$A,$A1350)=0,"",SUMIFS('Daily NSE Equity Cash'!$H:$H,'Daily NSE Equity Cash'!$A:$A,$A1350))</f>
        <v>819.38009999999997</v>
      </c>
      <c r="F1350" s="4">
        <f>IF(SUMIFS('Daily BSE Equity Cash'!$H:$H,'Daily BSE Equity Cash'!$A:$A,$A1350)=0,"",SUMIFS('Daily BSE Equity Cash'!$H:$H,'Daily BSE Equity Cash'!$A:$A,$A1350))</f>
        <v>73.173299999999998</v>
      </c>
      <c r="G1350" s="4">
        <f t="shared" si="189"/>
        <v>892.55340000000001</v>
      </c>
      <c r="H1350" s="7">
        <f t="shared" si="190"/>
        <v>-0.31550744109265516</v>
      </c>
      <c r="I1350" s="7">
        <f t="shared" si="191"/>
        <v>-7.4848312056773447E-2</v>
      </c>
      <c r="J1350" s="7">
        <f t="shared" si="192"/>
        <v>-0.30059191850773037</v>
      </c>
      <c r="K1350" s="7">
        <f t="shared" si="195"/>
        <v>-0.22316917698587058</v>
      </c>
      <c r="L1350" s="7">
        <f t="shared" si="196"/>
        <v>-0.13986623095730677</v>
      </c>
      <c r="M1350" s="7">
        <f t="shared" si="197"/>
        <v>-0.2169518852959732</v>
      </c>
      <c r="N1350" s="7">
        <f t="shared" si="193"/>
        <v>0.91801801438434938</v>
      </c>
      <c r="O1350" s="7">
        <f t="shared" si="194"/>
        <v>8.1981985615650552E-2</v>
      </c>
    </row>
    <row r="1351" spans="1:15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4">
        <f>IF(SUMIFS('Daily NSE Equity Cash'!$H:$H,'Daily NSE Equity Cash'!$A:$A,$A1351)=0,"",SUMIFS('Daily NSE Equity Cash'!$H:$H,'Daily NSE Equity Cash'!$A:$A,$A1351))</f>
        <v>808.59069999999997</v>
      </c>
      <c r="F1351" s="4">
        <f>IF(SUMIFS('Daily BSE Equity Cash'!$H:$H,'Daily BSE Equity Cash'!$A:$A,$A1351)=0,"",SUMIFS('Daily BSE Equity Cash'!$H:$H,'Daily BSE Equity Cash'!$A:$A,$A1351))</f>
        <v>73.883300000000006</v>
      </c>
      <c r="G1351" s="4">
        <f t="shared" si="189"/>
        <v>882.47399999999993</v>
      </c>
      <c r="H1351" s="7" t="str">
        <f t="shared" si="190"/>
        <v/>
      </c>
      <c r="I1351" s="7" t="str">
        <f t="shared" si="191"/>
        <v/>
      </c>
      <c r="J1351" s="7" t="str">
        <f t="shared" si="192"/>
        <v/>
      </c>
      <c r="K1351" s="7">
        <f t="shared" si="195"/>
        <v>-1.3167759382977429E-2</v>
      </c>
      <c r="L1351" s="7">
        <f t="shared" si="196"/>
        <v>9.7029927582876763E-3</v>
      </c>
      <c r="M1351" s="7">
        <f t="shared" si="197"/>
        <v>-1.129276970991322E-2</v>
      </c>
      <c r="N1351" s="7">
        <f t="shared" si="193"/>
        <v>0.91627708011794118</v>
      </c>
      <c r="O1351" s="7">
        <f t="shared" si="194"/>
        <v>8.3722919882058863E-2</v>
      </c>
    </row>
    <row r="1352" spans="1:15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4">
        <f>IF(SUMIFS('Daily NSE Equity Cash'!$H:$H,'Daily NSE Equity Cash'!$A:$A,$A1352)=0,"",SUMIFS('Daily NSE Equity Cash'!$H:$H,'Daily NSE Equity Cash'!$A:$A,$A1352))</f>
        <v>799.08680000000004</v>
      </c>
      <c r="F1352" s="4">
        <f>IF(SUMIFS('Daily BSE Equity Cash'!$H:$H,'Daily BSE Equity Cash'!$A:$A,$A1352)=0,"",SUMIFS('Daily BSE Equity Cash'!$H:$H,'Daily BSE Equity Cash'!$A:$A,$A1352))</f>
        <v>70.685900000000004</v>
      </c>
      <c r="G1352" s="4">
        <f t="shared" si="189"/>
        <v>869.77269999999999</v>
      </c>
      <c r="H1352" s="7">
        <f t="shared" si="190"/>
        <v>-0.24792892335637617</v>
      </c>
      <c r="I1352" s="7">
        <f t="shared" si="191"/>
        <v>-6.2594571512308739E-2</v>
      </c>
      <c r="J1352" s="7">
        <f t="shared" si="192"/>
        <v>-0.23564748656958501</v>
      </c>
      <c r="K1352" s="7">
        <f t="shared" si="195"/>
        <v>-1.1753659793514726E-2</v>
      </c>
      <c r="L1352" s="7">
        <f t="shared" si="196"/>
        <v>-4.327635609129532E-2</v>
      </c>
      <c r="M1352" s="7">
        <f t="shared" si="197"/>
        <v>-1.4392831970120312E-2</v>
      </c>
      <c r="N1352" s="7">
        <f t="shared" si="193"/>
        <v>0.91873060628368775</v>
      </c>
      <c r="O1352" s="7">
        <f t="shared" si="194"/>
        <v>8.1269393716312324E-2</v>
      </c>
    </row>
    <row r="1353" spans="1:15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4">
        <f>IF(SUMIFS('Daily NSE Equity Cash'!$H:$H,'Daily NSE Equity Cash'!$A:$A,$A1353)=0,"",SUMIFS('Daily NSE Equity Cash'!$H:$H,'Daily NSE Equity Cash'!$A:$A,$A1353))</f>
        <v>1020.414</v>
      </c>
      <c r="F1353" s="4">
        <f>IF(SUMIFS('Daily BSE Equity Cash'!$H:$H,'Daily BSE Equity Cash'!$A:$A,$A1353)=0,"",SUMIFS('Daily BSE Equity Cash'!$H:$H,'Daily BSE Equity Cash'!$A:$A,$A1353))</f>
        <v>80.977800000000002</v>
      </c>
      <c r="G1353" s="4">
        <f t="shared" si="189"/>
        <v>1101.3917999999999</v>
      </c>
      <c r="H1353" s="7">
        <f t="shared" si="190"/>
        <v>-4.9924285479124308E-2</v>
      </c>
      <c r="I1353" s="7">
        <f t="shared" si="191"/>
        <v>0.17420904040821483</v>
      </c>
      <c r="J1353" s="7">
        <f t="shared" si="192"/>
        <v>-3.6401022888839618E-2</v>
      </c>
      <c r="K1353" s="7">
        <f t="shared" si="195"/>
        <v>0.27697516715330539</v>
      </c>
      <c r="L1353" s="7">
        <f t="shared" si="196"/>
        <v>0.14560046628818468</v>
      </c>
      <c r="M1353" s="7">
        <f t="shared" si="197"/>
        <v>0.26629842486433519</v>
      </c>
      <c r="N1353" s="7">
        <f t="shared" si="193"/>
        <v>0.92647684502463168</v>
      </c>
      <c r="O1353" s="7">
        <f t="shared" si="194"/>
        <v>7.3523154975368446E-2</v>
      </c>
    </row>
    <row r="1354" spans="1:15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4">
        <f>IF(SUMIFS('Daily NSE Equity Cash'!$H:$H,'Daily NSE Equity Cash'!$A:$A,$A1354)=0,"",SUMIFS('Daily NSE Equity Cash'!$H:$H,'Daily NSE Equity Cash'!$A:$A,$A1354))</f>
        <v>962.04830000000004</v>
      </c>
      <c r="F1354" s="4">
        <f>IF(SUMIFS('Daily BSE Equity Cash'!$H:$H,'Daily BSE Equity Cash'!$A:$A,$A1354)=0,"",SUMIFS('Daily BSE Equity Cash'!$H:$H,'Daily BSE Equity Cash'!$A:$A,$A1354))</f>
        <v>102.2055</v>
      </c>
      <c r="G1354" s="4">
        <f t="shared" si="189"/>
        <v>1064.2538</v>
      </c>
      <c r="H1354" s="7">
        <f t="shared" si="190"/>
        <v>-0.1066742660541472</v>
      </c>
      <c r="I1354" s="7">
        <f t="shared" si="191"/>
        <v>0.33727297349280327</v>
      </c>
      <c r="J1354" s="7">
        <f t="shared" si="192"/>
        <v>-7.7255684535545655E-2</v>
      </c>
      <c r="K1354" s="7">
        <f t="shared" si="195"/>
        <v>-5.7198058827103493E-2</v>
      </c>
      <c r="L1354" s="7">
        <f t="shared" si="196"/>
        <v>0.26214221675570348</v>
      </c>
      <c r="M1354" s="7">
        <f t="shared" si="197"/>
        <v>-3.3719154255551831E-2</v>
      </c>
      <c r="N1354" s="7">
        <f t="shared" si="193"/>
        <v>0.90396510681944486</v>
      </c>
      <c r="O1354" s="7">
        <f t="shared" si="194"/>
        <v>9.6034893180555247E-2</v>
      </c>
    </row>
    <row r="1355" spans="1:15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4">
        <f>IF(SUMIFS('Daily NSE Equity Cash'!$H:$H,'Daily NSE Equity Cash'!$A:$A,$A1355)=0,"",SUMIFS('Daily NSE Equity Cash'!$H:$H,'Daily NSE Equity Cash'!$A:$A,$A1355))</f>
        <v>922.41520000000003</v>
      </c>
      <c r="F1355" s="4">
        <f>IF(SUMIFS('Daily BSE Equity Cash'!$H:$H,'Daily BSE Equity Cash'!$A:$A,$A1355)=0,"",SUMIFS('Daily BSE Equity Cash'!$H:$H,'Daily BSE Equity Cash'!$A:$A,$A1355))</f>
        <v>73.2911</v>
      </c>
      <c r="G1355" s="4">
        <f t="shared" si="189"/>
        <v>995.70630000000006</v>
      </c>
      <c r="H1355" s="7">
        <f t="shared" si="190"/>
        <v>-0.24863518018814601</v>
      </c>
      <c r="I1355" s="7">
        <f t="shared" si="191"/>
        <v>3.6213924277920029E-2</v>
      </c>
      <c r="J1355" s="7">
        <f t="shared" si="192"/>
        <v>-0.23311795768057897</v>
      </c>
      <c r="K1355" s="7">
        <f t="shared" si="195"/>
        <v>-4.1196580254858284E-2</v>
      </c>
      <c r="L1355" s="7">
        <f t="shared" si="196"/>
        <v>-0.28290454036230928</v>
      </c>
      <c r="M1355" s="7">
        <f t="shared" si="197"/>
        <v>-6.4408978384667193E-2</v>
      </c>
      <c r="N1355" s="7">
        <f t="shared" si="193"/>
        <v>0.92639285299289553</v>
      </c>
      <c r="O1355" s="7">
        <f t="shared" si="194"/>
        <v>7.3607147007104398E-2</v>
      </c>
    </row>
    <row r="1356" spans="1:15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4">
        <f>IF(SUMIFS('Daily NSE Equity Cash'!$H:$H,'Daily NSE Equity Cash'!$A:$A,$A1356)=0,"",SUMIFS('Daily NSE Equity Cash'!$H:$H,'Daily NSE Equity Cash'!$A:$A,$A1356))</f>
        <v>851.04650000000004</v>
      </c>
      <c r="F1356" s="4">
        <f>IF(SUMIFS('Daily BSE Equity Cash'!$H:$H,'Daily BSE Equity Cash'!$A:$A,$A1356)=0,"",SUMIFS('Daily BSE Equity Cash'!$H:$H,'Daily BSE Equity Cash'!$A:$A,$A1356))</f>
        <v>74.364900000000006</v>
      </c>
      <c r="G1356" s="4">
        <f t="shared" si="189"/>
        <v>925.41140000000007</v>
      </c>
      <c r="H1356" s="7" t="str">
        <f t="shared" si="190"/>
        <v/>
      </c>
      <c r="I1356" s="7" t="str">
        <f t="shared" si="191"/>
        <v/>
      </c>
      <c r="J1356" s="7" t="str">
        <f t="shared" si="192"/>
        <v/>
      </c>
      <c r="K1356" s="7">
        <f t="shared" si="195"/>
        <v>-7.7371556756653637E-2</v>
      </c>
      <c r="L1356" s="7">
        <f t="shared" si="196"/>
        <v>1.4651165011850154E-2</v>
      </c>
      <c r="M1356" s="7">
        <f t="shared" si="197"/>
        <v>-7.059802674744553E-2</v>
      </c>
      <c r="N1356" s="7">
        <f t="shared" si="193"/>
        <v>0.91964125360893545</v>
      </c>
      <c r="O1356" s="7">
        <f t="shared" si="194"/>
        <v>8.0358746391064564E-2</v>
      </c>
    </row>
    <row r="1357" spans="1:15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4">
        <f>IF(SUMIFS('Daily NSE Equity Cash'!$H:$H,'Daily NSE Equity Cash'!$A:$A,$A1357)=0,"",SUMIFS('Daily NSE Equity Cash'!$H:$H,'Daily NSE Equity Cash'!$A:$A,$A1357))</f>
        <v>910.4846</v>
      </c>
      <c r="F1357" s="4">
        <f>IF(SUMIFS('Daily BSE Equity Cash'!$H:$H,'Daily BSE Equity Cash'!$A:$A,$A1357)=0,"",SUMIFS('Daily BSE Equity Cash'!$H:$H,'Daily BSE Equity Cash'!$A:$A,$A1357))</f>
        <v>76.7971</v>
      </c>
      <c r="G1357" s="4">
        <f t="shared" si="189"/>
        <v>987.2817</v>
      </c>
      <c r="H1357" s="7">
        <f t="shared" si="190"/>
        <v>-0.15301055652287321</v>
      </c>
      <c r="I1357" s="7">
        <f t="shared" si="191"/>
        <v>-0.13636987256476341</v>
      </c>
      <c r="J1357" s="7">
        <f t="shared" si="192"/>
        <v>-0.15173917313270258</v>
      </c>
      <c r="K1357" s="7">
        <f t="shared" si="195"/>
        <v>6.98411896412241E-2</v>
      </c>
      <c r="L1357" s="7">
        <f t="shared" si="196"/>
        <v>3.2706290198736054E-2</v>
      </c>
      <c r="M1357" s="7">
        <f t="shared" si="197"/>
        <v>6.6857075674667366E-2</v>
      </c>
      <c r="N1357" s="7">
        <f t="shared" si="193"/>
        <v>0.92221358909012496</v>
      </c>
      <c r="O1357" s="7">
        <f t="shared" si="194"/>
        <v>7.7786410909875064E-2</v>
      </c>
    </row>
    <row r="1358" spans="1:15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4">
        <f>IF(SUMIFS('Daily NSE Equity Cash'!$H:$H,'Daily NSE Equity Cash'!$A:$A,$A1358)=0,"",SUMIFS('Daily NSE Equity Cash'!$H:$H,'Daily NSE Equity Cash'!$A:$A,$A1358))</f>
        <v>1010.4126</v>
      </c>
      <c r="F1358" s="4">
        <f>IF(SUMIFS('Daily BSE Equity Cash'!$H:$H,'Daily BSE Equity Cash'!$A:$A,$A1358)=0,"",SUMIFS('Daily BSE Equity Cash'!$H:$H,'Daily BSE Equity Cash'!$A:$A,$A1358))</f>
        <v>84.638800000000003</v>
      </c>
      <c r="G1358" s="4">
        <f t="shared" si="189"/>
        <v>1095.0514000000001</v>
      </c>
      <c r="H1358" s="7">
        <f t="shared" si="190"/>
        <v>-6.1612924616249565E-2</v>
      </c>
      <c r="I1358" s="7">
        <f t="shared" si="191"/>
        <v>0.14067848690842633</v>
      </c>
      <c r="J1358" s="7">
        <f t="shared" si="192"/>
        <v>-4.8571490631692749E-2</v>
      </c>
      <c r="K1358" s="7">
        <f t="shared" si="195"/>
        <v>0.10975254276678603</v>
      </c>
      <c r="L1358" s="7">
        <f t="shared" si="196"/>
        <v>0.10210932444063636</v>
      </c>
      <c r="M1358" s="7">
        <f t="shared" si="197"/>
        <v>0.10915800424539435</v>
      </c>
      <c r="N1358" s="7">
        <f t="shared" si="193"/>
        <v>0.92270792037707083</v>
      </c>
      <c r="O1358" s="7">
        <f t="shared" si="194"/>
        <v>7.7292079622929111E-2</v>
      </c>
    </row>
    <row r="1359" spans="1:15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4">
        <f>IF(SUMIFS('Daily NSE Equity Cash'!$H:$H,'Daily NSE Equity Cash'!$A:$A,$A1359)=0,"",SUMIFS('Daily NSE Equity Cash'!$H:$H,'Daily NSE Equity Cash'!$A:$A,$A1359))</f>
        <v>979.94780000000003</v>
      </c>
      <c r="F1359" s="4">
        <f>IF(SUMIFS('Daily BSE Equity Cash'!$H:$H,'Daily BSE Equity Cash'!$A:$A,$A1359)=0,"",SUMIFS('Daily BSE Equity Cash'!$H:$H,'Daily BSE Equity Cash'!$A:$A,$A1359))</f>
        <v>84.612099999999998</v>
      </c>
      <c r="G1359" s="4">
        <f t="shared" si="189"/>
        <v>1064.5599</v>
      </c>
      <c r="H1359" s="7">
        <f t="shared" si="190"/>
        <v>-0.13998717986072673</v>
      </c>
      <c r="I1359" s="7">
        <f t="shared" si="191"/>
        <v>0.20583306018327185</v>
      </c>
      <c r="J1359" s="7">
        <f t="shared" si="192"/>
        <v>-0.1199265525168024</v>
      </c>
      <c r="K1359" s="7">
        <f t="shared" si="195"/>
        <v>-3.015085124631256E-2</v>
      </c>
      <c r="L1359" s="7">
        <f t="shared" si="196"/>
        <v>-3.1545815866962368E-4</v>
      </c>
      <c r="M1359" s="7">
        <f t="shared" si="197"/>
        <v>-2.7844811668201186E-2</v>
      </c>
      <c r="N1359" s="7">
        <f t="shared" si="193"/>
        <v>0.92051917416765372</v>
      </c>
      <c r="O1359" s="7">
        <f t="shared" si="194"/>
        <v>7.9480825832346308E-2</v>
      </c>
    </row>
    <row r="1360" spans="1:15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4">
        <f>IF(SUMIFS('Daily NSE Equity Cash'!$H:$H,'Daily NSE Equity Cash'!$A:$A,$A1360)=0,"",SUMIFS('Daily NSE Equity Cash'!$H:$H,'Daily NSE Equity Cash'!$A:$A,$A1360))</f>
        <v>1389.0310999999999</v>
      </c>
      <c r="F1360" s="4">
        <f>IF(SUMIFS('Daily BSE Equity Cash'!$H:$H,'Daily BSE Equity Cash'!$A:$A,$A1360)=0,"",SUMIFS('Daily BSE Equity Cash'!$H:$H,'Daily BSE Equity Cash'!$A:$A,$A1360))</f>
        <v>96.231399999999994</v>
      </c>
      <c r="G1360" s="4">
        <f t="shared" si="189"/>
        <v>1485.2624999999998</v>
      </c>
      <c r="H1360" s="7">
        <f t="shared" si="190"/>
        <v>3.7368244486611912E-2</v>
      </c>
      <c r="I1360" s="7">
        <f t="shared" si="191"/>
        <v>-0.10830056959333434</v>
      </c>
      <c r="J1360" s="7">
        <f t="shared" si="192"/>
        <v>2.6503435621584304E-2</v>
      </c>
      <c r="K1360" s="7">
        <f t="shared" si="195"/>
        <v>0.4174541745999123</v>
      </c>
      <c r="L1360" s="7">
        <f t="shared" si="196"/>
        <v>0.13732433068083627</v>
      </c>
      <c r="M1360" s="7">
        <f t="shared" si="197"/>
        <v>0.39518922326493788</v>
      </c>
      <c r="N1360" s="7">
        <f t="shared" si="193"/>
        <v>0.93520916336337856</v>
      </c>
      <c r="O1360" s="7">
        <f t="shared" si="194"/>
        <v>6.4790836636621482E-2</v>
      </c>
    </row>
    <row r="1361" spans="1:15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4">
        <f>IF(SUMIFS('Daily NSE Equity Cash'!$H:$H,'Daily NSE Equity Cash'!$A:$A,$A1361)=0,"",SUMIFS('Daily NSE Equity Cash'!$H:$H,'Daily NSE Equity Cash'!$A:$A,$A1361))</f>
        <v>1031.0144</v>
      </c>
      <c r="F1361" s="4">
        <f>IF(SUMIFS('Daily BSE Equity Cash'!$H:$H,'Daily BSE Equity Cash'!$A:$A,$A1361)=0,"",SUMIFS('Daily BSE Equity Cash'!$H:$H,'Daily BSE Equity Cash'!$A:$A,$A1361))</f>
        <v>85.558199999999999</v>
      </c>
      <c r="G1361" s="4">
        <f t="shared" si="189"/>
        <v>1116.5726</v>
      </c>
      <c r="H1361" s="7" t="str">
        <f t="shared" si="190"/>
        <v/>
      </c>
      <c r="I1361" s="7" t="str">
        <f t="shared" si="191"/>
        <v/>
      </c>
      <c r="J1361" s="7" t="str">
        <f t="shared" si="192"/>
        <v/>
      </c>
      <c r="K1361" s="7">
        <f t="shared" si="195"/>
        <v>-0.25774563290915509</v>
      </c>
      <c r="L1361" s="7">
        <f t="shared" si="196"/>
        <v>-0.11091182296007329</v>
      </c>
      <c r="M1361" s="7">
        <f t="shared" si="197"/>
        <v>-0.24823214751601141</v>
      </c>
      <c r="N1361" s="7">
        <f t="shared" si="193"/>
        <v>0.92337426155719748</v>
      </c>
      <c r="O1361" s="7">
        <f t="shared" si="194"/>
        <v>7.6625738442802557E-2</v>
      </c>
    </row>
    <row r="1362" spans="1:15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4">
        <f>IF(SUMIFS('Daily NSE Equity Cash'!$H:$H,'Daily NSE Equity Cash'!$A:$A,$A1362)=0,"",SUMIFS('Daily NSE Equity Cash'!$H:$H,'Daily NSE Equity Cash'!$A:$A,$A1362))</f>
        <v>1053.1721</v>
      </c>
      <c r="F1362" s="4">
        <f>IF(SUMIFS('Daily BSE Equity Cash'!$H:$H,'Daily BSE Equity Cash'!$A:$A,$A1362)=0,"",SUMIFS('Daily BSE Equity Cash'!$H:$H,'Daily BSE Equity Cash'!$A:$A,$A1362))</f>
        <v>76.635300000000001</v>
      </c>
      <c r="G1362" s="4">
        <f t="shared" si="189"/>
        <v>1129.8073999999999</v>
      </c>
      <c r="H1362" s="7">
        <f t="shared" si="190"/>
        <v>-6.6057435974200218E-2</v>
      </c>
      <c r="I1362" s="7">
        <f t="shared" si="191"/>
        <v>-7.5123099203475707E-2</v>
      </c>
      <c r="J1362" s="7">
        <f t="shared" si="192"/>
        <v>-6.6677978585447439E-2</v>
      </c>
      <c r="K1362" s="7">
        <f t="shared" si="195"/>
        <v>2.1491164429905174E-2</v>
      </c>
      <c r="L1362" s="7">
        <f t="shared" si="196"/>
        <v>-0.10429041284178486</v>
      </c>
      <c r="M1362" s="7">
        <f t="shared" si="197"/>
        <v>1.1853058188961318E-2</v>
      </c>
      <c r="N1362" s="7">
        <f t="shared" si="193"/>
        <v>0.93216958925919591</v>
      </c>
      <c r="O1362" s="7">
        <f t="shared" si="194"/>
        <v>6.7830410740804148E-2</v>
      </c>
    </row>
    <row r="1363" spans="1:15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4">
        <f>IF(SUMIFS('Daily NSE Equity Cash'!$H:$H,'Daily NSE Equity Cash'!$A:$A,$A1363)=0,"",SUMIFS('Daily NSE Equity Cash'!$H:$H,'Daily NSE Equity Cash'!$A:$A,$A1363))</f>
        <v>942.97850000000005</v>
      </c>
      <c r="F1363" s="4">
        <f>IF(SUMIFS('Daily BSE Equity Cash'!$H:$H,'Daily BSE Equity Cash'!$A:$A,$A1363)=0,"",SUMIFS('Daily BSE Equity Cash'!$H:$H,'Daily BSE Equity Cash'!$A:$A,$A1363))</f>
        <v>78.0441</v>
      </c>
      <c r="G1363" s="4">
        <f t="shared" si="189"/>
        <v>1021.0226</v>
      </c>
      <c r="H1363" s="7">
        <f t="shared" si="190"/>
        <v>-0.25010493203632722</v>
      </c>
      <c r="I1363" s="7">
        <f t="shared" si="191"/>
        <v>7.1310323243082951E-2</v>
      </c>
      <c r="J1363" s="7">
        <f t="shared" si="192"/>
        <v>-0.23250415047456652</v>
      </c>
      <c r="K1363" s="7">
        <f t="shared" si="195"/>
        <v>-0.10463019291908693</v>
      </c>
      <c r="L1363" s="7">
        <f t="shared" si="196"/>
        <v>1.8383173289593602E-2</v>
      </c>
      <c r="M1363" s="7">
        <f t="shared" si="197"/>
        <v>-9.6286145762543129E-2</v>
      </c>
      <c r="N1363" s="7">
        <f t="shared" si="193"/>
        <v>0.92356280850198624</v>
      </c>
      <c r="O1363" s="7">
        <f t="shared" si="194"/>
        <v>7.6437191498013854E-2</v>
      </c>
    </row>
    <row r="1364" spans="1:15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4">
        <f>IF(SUMIFS('Daily NSE Equity Cash'!$H:$H,'Daily NSE Equity Cash'!$A:$A,$A1364)=0,"",SUMIFS('Daily NSE Equity Cash'!$H:$H,'Daily NSE Equity Cash'!$A:$A,$A1364))</f>
        <v>1002.3574</v>
      </c>
      <c r="F1364" s="4">
        <f>IF(SUMIFS('Daily BSE Equity Cash'!$H:$H,'Daily BSE Equity Cash'!$A:$A,$A1364)=0,"",SUMIFS('Daily BSE Equity Cash'!$H:$H,'Daily BSE Equity Cash'!$A:$A,$A1364))</f>
        <v>71.8857</v>
      </c>
      <c r="G1364" s="4">
        <f t="shared" si="189"/>
        <v>1074.2430999999999</v>
      </c>
      <c r="H1364" s="7">
        <f t="shared" si="190"/>
        <v>-8.8492547764329355E-2</v>
      </c>
      <c r="I1364" s="7">
        <f t="shared" si="191"/>
        <v>-0.27963311100065746</v>
      </c>
      <c r="J1364" s="7">
        <f t="shared" si="192"/>
        <v>-0.10439469281353531</v>
      </c>
      <c r="K1364" s="7">
        <f t="shared" si="195"/>
        <v>6.2969516272110004E-2</v>
      </c>
      <c r="L1364" s="7">
        <f t="shared" si="196"/>
        <v>-7.8909232088011816E-2</v>
      </c>
      <c r="M1364" s="7">
        <f t="shared" si="197"/>
        <v>5.2124703214208923E-2</v>
      </c>
      <c r="N1364" s="7">
        <f t="shared" si="193"/>
        <v>0.93308246522598104</v>
      </c>
      <c r="O1364" s="7">
        <f t="shared" si="194"/>
        <v>6.691753477401903E-2</v>
      </c>
    </row>
    <row r="1365" spans="1:15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4">
        <f>IF(SUMIFS('Daily NSE Equity Cash'!$H:$H,'Daily NSE Equity Cash'!$A:$A,$A1365)=0,"",SUMIFS('Daily NSE Equity Cash'!$H:$H,'Daily NSE Equity Cash'!$A:$A,$A1365))</f>
        <v>973.4973</v>
      </c>
      <c r="F1365" s="4">
        <f>IF(SUMIFS('Daily BSE Equity Cash'!$H:$H,'Daily BSE Equity Cash'!$A:$A,$A1365)=0,"",SUMIFS('Daily BSE Equity Cash'!$H:$H,'Daily BSE Equity Cash'!$A:$A,$A1365))</f>
        <v>74.412300000000002</v>
      </c>
      <c r="G1365" s="4">
        <f t="shared" si="189"/>
        <v>1047.9096</v>
      </c>
      <c r="H1365" s="7">
        <f t="shared" si="190"/>
        <v>-0.23077033093086996</v>
      </c>
      <c r="I1365" s="7">
        <f t="shared" si="191"/>
        <v>-0.35377885695080935</v>
      </c>
      <c r="J1365" s="7">
        <f t="shared" si="192"/>
        <v>-0.24102921261141641</v>
      </c>
      <c r="K1365" s="7">
        <f t="shared" si="195"/>
        <v>-2.8792225208293942E-2</v>
      </c>
      <c r="L1365" s="7">
        <f t="shared" si="196"/>
        <v>3.5147463264599166E-2</v>
      </c>
      <c r="M1365" s="7">
        <f t="shared" si="197"/>
        <v>-2.4513538881469121E-2</v>
      </c>
      <c r="N1365" s="7">
        <f t="shared" si="193"/>
        <v>0.92898977163679008</v>
      </c>
      <c r="O1365" s="7">
        <f t="shared" si="194"/>
        <v>7.1010228363209957E-2</v>
      </c>
    </row>
    <row r="1366" spans="1:15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4">
        <f>IF(SUMIFS('Daily NSE Equity Cash'!$H:$H,'Daily NSE Equity Cash'!$A:$A,$A1366)=0,"",SUMIFS('Daily NSE Equity Cash'!$H:$H,'Daily NSE Equity Cash'!$A:$A,$A1366))</f>
        <v>1332.5537999999999</v>
      </c>
      <c r="F1366" s="4">
        <f>IF(SUMIFS('Daily BSE Equity Cash'!$H:$H,'Daily BSE Equity Cash'!$A:$A,$A1366)=0,"",SUMIFS('Daily BSE Equity Cash'!$H:$H,'Daily BSE Equity Cash'!$A:$A,$A1366))</f>
        <v>64.858699999999999</v>
      </c>
      <c r="G1366" s="4">
        <f t="shared" si="189"/>
        <v>1397.4124999999999</v>
      </c>
      <c r="H1366" s="7" t="str">
        <f t="shared" si="190"/>
        <v/>
      </c>
      <c r="I1366" s="7" t="str">
        <f t="shared" si="191"/>
        <v/>
      </c>
      <c r="J1366" s="7" t="str">
        <f t="shared" si="192"/>
        <v/>
      </c>
      <c r="K1366" s="7">
        <f t="shared" si="195"/>
        <v>0.3688315314279762</v>
      </c>
      <c r="L1366" s="7">
        <f t="shared" si="196"/>
        <v>-0.12838737681807988</v>
      </c>
      <c r="M1366" s="7">
        <f t="shared" si="197"/>
        <v>0.33352390320691772</v>
      </c>
      <c r="N1366" s="7">
        <f t="shared" si="193"/>
        <v>0.95358657518807077</v>
      </c>
      <c r="O1366" s="7">
        <f t="shared" si="194"/>
        <v>4.6413424811929192E-2</v>
      </c>
    </row>
    <row r="1367" spans="1:15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4">
        <f>IF(SUMIFS('Daily NSE Equity Cash'!$H:$H,'Daily NSE Equity Cash'!$A:$A,$A1367)=0,"",SUMIFS('Daily NSE Equity Cash'!$H:$H,'Daily NSE Equity Cash'!$A:$A,$A1367))</f>
        <v>1025.4458999999999</v>
      </c>
      <c r="F1367" s="4">
        <f>IF(SUMIFS('Daily BSE Equity Cash'!$H:$H,'Daily BSE Equity Cash'!$A:$A,$A1367)=0,"",SUMIFS('Daily BSE Equity Cash'!$H:$H,'Daily BSE Equity Cash'!$A:$A,$A1367))</f>
        <v>66.901700000000005</v>
      </c>
      <c r="G1367" s="4">
        <f t="shared" si="189"/>
        <v>1092.3476000000001</v>
      </c>
      <c r="H1367" s="7">
        <f t="shared" si="190"/>
        <v>-0.12736133333628352</v>
      </c>
      <c r="I1367" s="7">
        <f t="shared" si="191"/>
        <v>-0.17174829711320139</v>
      </c>
      <c r="J1367" s="7">
        <f t="shared" si="192"/>
        <v>-0.13021616646123368</v>
      </c>
      <c r="K1367" s="7">
        <f t="shared" si="195"/>
        <v>-0.23046566675206659</v>
      </c>
      <c r="L1367" s="7">
        <f t="shared" si="196"/>
        <v>3.149924374062385E-2</v>
      </c>
      <c r="M1367" s="7">
        <f t="shared" si="197"/>
        <v>-0.21830697807555022</v>
      </c>
      <c r="N1367" s="7">
        <f t="shared" si="193"/>
        <v>0.93875420241688623</v>
      </c>
      <c r="O1367" s="7">
        <f t="shared" si="194"/>
        <v>6.1245797583113652E-2</v>
      </c>
    </row>
    <row r="1368" spans="1:15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4">
        <f>IF(SUMIFS('Daily NSE Equity Cash'!$H:$H,'Daily NSE Equity Cash'!$A:$A,$A1368)=0,"",SUMIFS('Daily NSE Equity Cash'!$H:$H,'Daily NSE Equity Cash'!$A:$A,$A1368))</f>
        <v>997.44740000000002</v>
      </c>
      <c r="F1368" s="4">
        <f>IF(SUMIFS('Daily BSE Equity Cash'!$H:$H,'Daily BSE Equity Cash'!$A:$A,$A1368)=0,"",SUMIFS('Daily BSE Equity Cash'!$H:$H,'Daily BSE Equity Cash'!$A:$A,$A1368))</f>
        <v>84.991600000000005</v>
      </c>
      <c r="G1368" s="4">
        <f t="shared" si="189"/>
        <v>1082.4390000000001</v>
      </c>
      <c r="H1368" s="7">
        <f t="shared" si="190"/>
        <v>-4.7983494074327337E-2</v>
      </c>
      <c r="I1368" s="7">
        <f t="shared" si="191"/>
        <v>7.3987350969527466E-2</v>
      </c>
      <c r="J1368" s="7">
        <f t="shared" si="192"/>
        <v>-3.9417771834798665E-2</v>
      </c>
      <c r="K1368" s="7">
        <f t="shared" si="195"/>
        <v>-2.7303731966747291E-2</v>
      </c>
      <c r="L1368" s="7">
        <f t="shared" si="196"/>
        <v>0.27039522164608676</v>
      </c>
      <c r="M1368" s="7">
        <f t="shared" si="197"/>
        <v>-9.0709221130709228E-3</v>
      </c>
      <c r="N1368" s="7">
        <f t="shared" si="193"/>
        <v>0.92148139525645323</v>
      </c>
      <c r="O1368" s="7">
        <f t="shared" si="194"/>
        <v>7.8518604743546744E-2</v>
      </c>
    </row>
    <row r="1369" spans="1:15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4">
        <f>IF(SUMIFS('Daily NSE Equity Cash'!$H:$H,'Daily NSE Equity Cash'!$A:$A,$A1369)=0,"",SUMIFS('Daily NSE Equity Cash'!$H:$H,'Daily NSE Equity Cash'!$A:$A,$A1369))</f>
        <v>1128.2765999999999</v>
      </c>
      <c r="F1369" s="4">
        <f>IF(SUMIFS('Daily BSE Equity Cash'!$H:$H,'Daily BSE Equity Cash'!$A:$A,$A1369)=0,"",SUMIFS('Daily BSE Equity Cash'!$H:$H,'Daily BSE Equity Cash'!$A:$A,$A1369))</f>
        <v>77.678700000000006</v>
      </c>
      <c r="G1369" s="4">
        <f t="shared" si="189"/>
        <v>1205.9552999999999</v>
      </c>
      <c r="H1369" s="7">
        <f t="shared" si="190"/>
        <v>-0.17681681893767709</v>
      </c>
      <c r="I1369" s="7">
        <f t="shared" si="191"/>
        <v>-0.24286961895274861</v>
      </c>
      <c r="J1369" s="7">
        <f t="shared" si="192"/>
        <v>-0.18141677978602844</v>
      </c>
      <c r="K1369" s="7">
        <f t="shared" si="195"/>
        <v>0.13116400925001148</v>
      </c>
      <c r="L1369" s="7">
        <f t="shared" si="196"/>
        <v>-8.6042620682514448E-2</v>
      </c>
      <c r="M1369" s="7">
        <f t="shared" si="197"/>
        <v>0.11410924772666142</v>
      </c>
      <c r="N1369" s="7">
        <f t="shared" si="193"/>
        <v>0.93558741356333863</v>
      </c>
      <c r="O1369" s="7">
        <f t="shared" si="194"/>
        <v>6.4412586436661465E-2</v>
      </c>
    </row>
    <row r="1370" spans="1:15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4">
        <f>IF(SUMIFS('Daily NSE Equity Cash'!$H:$H,'Daily NSE Equity Cash'!$A:$A,$A1370)=0,"",SUMIFS('Daily NSE Equity Cash'!$H:$H,'Daily NSE Equity Cash'!$A:$A,$A1370))</f>
        <v>968.71839999999997</v>
      </c>
      <c r="F1370" s="4">
        <f>IF(SUMIFS('Daily BSE Equity Cash'!$H:$H,'Daily BSE Equity Cash'!$A:$A,$A1370)=0,"",SUMIFS('Daily BSE Equity Cash'!$H:$H,'Daily BSE Equity Cash'!$A:$A,$A1370))</f>
        <v>71.896299999999997</v>
      </c>
      <c r="G1370" s="4">
        <f t="shared" si="189"/>
        <v>1040.6147000000001</v>
      </c>
      <c r="H1370" s="7" t="str">
        <f t="shared" si="190"/>
        <v/>
      </c>
      <c r="I1370" s="7" t="str">
        <f t="shared" si="191"/>
        <v/>
      </c>
      <c r="J1370" s="7" t="str">
        <f t="shared" si="192"/>
        <v/>
      </c>
      <c r="K1370" s="7">
        <f t="shared" si="195"/>
        <v>-0.14141762755693055</v>
      </c>
      <c r="L1370" s="7">
        <f t="shared" si="196"/>
        <v>-7.4439968743040374E-2</v>
      </c>
      <c r="M1370" s="7">
        <f t="shared" si="197"/>
        <v>-0.13710342331925551</v>
      </c>
      <c r="N1370" s="7">
        <f t="shared" si="193"/>
        <v>0.9309097786145053</v>
      </c>
      <c r="O1370" s="7">
        <f t="shared" si="194"/>
        <v>6.9090221385494546E-2</v>
      </c>
    </row>
    <row r="1371" spans="1:15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4">
        <f>IF(SUMIFS('Daily NSE Equity Cash'!$H:$H,'Daily NSE Equity Cash'!$A:$A,$A1371)=0,"",SUMIFS('Daily NSE Equity Cash'!$H:$H,'Daily NSE Equity Cash'!$A:$A,$A1371))</f>
        <v>985.73030000000006</v>
      </c>
      <c r="F1371" s="4">
        <f>IF(SUMIFS('Daily BSE Equity Cash'!$H:$H,'Daily BSE Equity Cash'!$A:$A,$A1371)=0,"",SUMIFS('Daily BSE Equity Cash'!$H:$H,'Daily BSE Equity Cash'!$A:$A,$A1371))</f>
        <v>81.147499999999994</v>
      </c>
      <c r="G1371" s="4">
        <f t="shared" si="189"/>
        <v>1066.8778</v>
      </c>
      <c r="H1371" s="7">
        <f t="shared" si="190"/>
        <v>-0.227013696030539</v>
      </c>
      <c r="I1371" s="7">
        <f t="shared" si="191"/>
        <v>-0.14683509701567088</v>
      </c>
      <c r="J1371" s="7">
        <f t="shared" si="192"/>
        <v>-0.22144859257248395</v>
      </c>
      <c r="K1371" s="7">
        <f t="shared" si="195"/>
        <v>1.7561243804185001E-2</v>
      </c>
      <c r="L1371" s="7">
        <f t="shared" si="196"/>
        <v>0.12867421550204949</v>
      </c>
      <c r="M1371" s="7">
        <f t="shared" si="197"/>
        <v>2.5238063617590623E-2</v>
      </c>
      <c r="N1371" s="7">
        <f t="shared" si="193"/>
        <v>0.9239392740199488</v>
      </c>
      <c r="O1371" s="7">
        <f t="shared" si="194"/>
        <v>7.6060725980051314E-2</v>
      </c>
    </row>
    <row r="1372" spans="1:15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4">
        <f>IF(SUMIFS('Daily NSE Equity Cash'!$H:$H,'Daily NSE Equity Cash'!$A:$A,$A1372)=0,"",SUMIFS('Daily NSE Equity Cash'!$H:$H,'Daily NSE Equity Cash'!$A:$A,$A1372))</f>
        <v>896.02560000000005</v>
      </c>
      <c r="F1372" s="4">
        <f>IF(SUMIFS('Daily BSE Equity Cash'!$H:$H,'Daily BSE Equity Cash'!$A:$A,$A1372)=0,"",SUMIFS('Daily BSE Equity Cash'!$H:$H,'Daily BSE Equity Cash'!$A:$A,$A1372))</f>
        <v>76.440399999999997</v>
      </c>
      <c r="G1372" s="4">
        <f t="shared" si="189"/>
        <v>972.46600000000001</v>
      </c>
      <c r="H1372" s="7">
        <f t="shared" si="190"/>
        <v>-0.20999162756119383</v>
      </c>
      <c r="I1372" s="7">
        <f t="shared" si="191"/>
        <v>0.17071093821790662</v>
      </c>
      <c r="J1372" s="7">
        <f t="shared" si="192"/>
        <v>-0.18926818662173206</v>
      </c>
      <c r="K1372" s="7">
        <f t="shared" si="195"/>
        <v>-9.1003289642207386E-2</v>
      </c>
      <c r="L1372" s="7">
        <f t="shared" si="196"/>
        <v>-5.8006716165008076E-2</v>
      </c>
      <c r="M1372" s="7">
        <f t="shared" si="197"/>
        <v>-8.8493546308677451E-2</v>
      </c>
      <c r="N1372" s="7">
        <f t="shared" si="193"/>
        <v>0.92139529813895815</v>
      </c>
      <c r="O1372" s="7">
        <f t="shared" si="194"/>
        <v>7.8604701861041931E-2</v>
      </c>
    </row>
    <row r="1373" spans="1:15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4">
        <f>IF(SUMIFS('Daily NSE Equity Cash'!$H:$H,'Daily NSE Equity Cash'!$A:$A,$A1373)=0,"",SUMIFS('Daily NSE Equity Cash'!$H:$H,'Daily NSE Equity Cash'!$A:$A,$A1373))</f>
        <v>924.63580000000002</v>
      </c>
      <c r="F1373" s="4">
        <f>IF(SUMIFS('Daily BSE Equity Cash'!$H:$H,'Daily BSE Equity Cash'!$A:$A,$A1373)=0,"",SUMIFS('Daily BSE Equity Cash'!$H:$H,'Daily BSE Equity Cash'!$A:$A,$A1373))</f>
        <v>81.406499999999994</v>
      </c>
      <c r="G1373" s="4">
        <f t="shared" si="189"/>
        <v>1006.0423000000001</v>
      </c>
      <c r="H1373" s="7">
        <f t="shared" si="190"/>
        <v>-0.14315852565958298</v>
      </c>
      <c r="I1373" s="7">
        <f t="shared" si="191"/>
        <v>0.17843804284887077</v>
      </c>
      <c r="J1373" s="7">
        <f t="shared" si="192"/>
        <v>-0.12381009530385434</v>
      </c>
      <c r="K1373" s="7">
        <f t="shared" si="195"/>
        <v>3.1930114496728557E-2</v>
      </c>
      <c r="L1373" s="7">
        <f t="shared" si="196"/>
        <v>6.4966954647019071E-2</v>
      </c>
      <c r="M1373" s="7">
        <f t="shared" si="197"/>
        <v>3.4526965467173154E-2</v>
      </c>
      <c r="N1373" s="7">
        <f t="shared" si="193"/>
        <v>0.91908242824382236</v>
      </c>
      <c r="O1373" s="7">
        <f t="shared" si="194"/>
        <v>8.0917571756177642E-2</v>
      </c>
    </row>
    <row r="1374" spans="1:15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4">
        <f>IF(SUMIFS('Daily NSE Equity Cash'!$H:$H,'Daily NSE Equity Cash'!$A:$A,$A1374)=0,"",SUMIFS('Daily NSE Equity Cash'!$H:$H,'Daily NSE Equity Cash'!$A:$A,$A1374))</f>
        <v>940.05110000000002</v>
      </c>
      <c r="F1374" s="4">
        <f>IF(SUMIFS('Daily BSE Equity Cash'!$H:$H,'Daily BSE Equity Cash'!$A:$A,$A1374)=0,"",SUMIFS('Daily BSE Equity Cash'!$H:$H,'Daily BSE Equity Cash'!$A:$A,$A1374))</f>
        <v>72.1083</v>
      </c>
      <c r="G1374" s="4">
        <f t="shared" si="189"/>
        <v>1012.1594</v>
      </c>
      <c r="H1374" s="7">
        <f t="shared" si="190"/>
        <v>3.3679721912971416E-4</v>
      </c>
      <c r="I1374" s="7">
        <f t="shared" si="191"/>
        <v>-0.43327480728845746</v>
      </c>
      <c r="J1374" s="7">
        <f t="shared" si="192"/>
        <v>-5.1371573783514646E-2</v>
      </c>
      <c r="K1374" s="7">
        <f t="shared" si="195"/>
        <v>1.6671753354131402E-2</v>
      </c>
      <c r="L1374" s="7">
        <f t="shared" si="196"/>
        <v>-0.11421938051629776</v>
      </c>
      <c r="M1374" s="7">
        <f t="shared" si="197"/>
        <v>6.0803606369235208E-3</v>
      </c>
      <c r="N1374" s="7">
        <f t="shared" si="193"/>
        <v>0.92875796045563574</v>
      </c>
      <c r="O1374" s="7">
        <f t="shared" si="194"/>
        <v>7.1242039544364255E-2</v>
      </c>
    </row>
    <row r="1375" spans="1:15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4">
        <f>IF(SUMIFS('Daily NSE Equity Cash'!$H:$H,'Daily NSE Equity Cash'!$A:$A,$A1375)=0,"",SUMIFS('Daily NSE Equity Cash'!$H:$H,'Daily NSE Equity Cash'!$A:$A,$A1375))</f>
        <v>917.23490000000004</v>
      </c>
      <c r="F1375" s="4">
        <f>IF(SUMIFS('Daily BSE Equity Cash'!$H:$H,'Daily BSE Equity Cash'!$A:$A,$A1375)=0,"",SUMIFS('Daily BSE Equity Cash'!$H:$H,'Daily BSE Equity Cash'!$A:$A,$A1375))</f>
        <v>71.010599999999997</v>
      </c>
      <c r="G1375" s="4">
        <f t="shared" si="189"/>
        <v>988.24549999999999</v>
      </c>
      <c r="H1375" s="7" t="str">
        <f t="shared" si="190"/>
        <v/>
      </c>
      <c r="I1375" s="7" t="str">
        <f t="shared" si="191"/>
        <v/>
      </c>
      <c r="J1375" s="7" t="str">
        <f t="shared" si="192"/>
        <v/>
      </c>
      <c r="K1375" s="7">
        <f t="shared" si="195"/>
        <v>-2.4271233765909117E-2</v>
      </c>
      <c r="L1375" s="7">
        <f t="shared" si="196"/>
        <v>-1.5222935501183699E-2</v>
      </c>
      <c r="M1375" s="7">
        <f t="shared" si="197"/>
        <v>-2.3626614543124314E-2</v>
      </c>
      <c r="N1375" s="7">
        <f t="shared" si="193"/>
        <v>0.92814477779053894</v>
      </c>
      <c r="O1375" s="7">
        <f t="shared" si="194"/>
        <v>7.1855222209461111E-2</v>
      </c>
    </row>
    <row r="1376" spans="1:15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4">
        <f>IF(SUMIFS('Daily NSE Equity Cash'!$H:$H,'Daily NSE Equity Cash'!$A:$A,$A1376)=0,"",SUMIFS('Daily NSE Equity Cash'!$H:$H,'Daily NSE Equity Cash'!$A:$A,$A1376))</f>
        <v>1096.6478</v>
      </c>
      <c r="F1376" s="4">
        <f>IF(SUMIFS('Daily BSE Equity Cash'!$H:$H,'Daily BSE Equity Cash'!$A:$A,$A1376)=0,"",SUMIFS('Daily BSE Equity Cash'!$H:$H,'Daily BSE Equity Cash'!$A:$A,$A1376))</f>
        <v>88.261700000000005</v>
      </c>
      <c r="G1376" s="4">
        <f t="shared" si="189"/>
        <v>1184.9095</v>
      </c>
      <c r="H1376" s="7">
        <f t="shared" si="190"/>
        <v>0.20274018906304292</v>
      </c>
      <c r="I1376" s="7">
        <f t="shared" si="191"/>
        <v>0.51905320025953872</v>
      </c>
      <c r="J1376" s="7">
        <f t="shared" si="192"/>
        <v>0.22168943787889428</v>
      </c>
      <c r="K1376" s="7">
        <f t="shared" si="195"/>
        <v>0.19560191178944453</v>
      </c>
      <c r="L1376" s="7">
        <f t="shared" si="196"/>
        <v>0.24293696997349712</v>
      </c>
      <c r="M1376" s="7">
        <f t="shared" si="197"/>
        <v>0.19900318291355745</v>
      </c>
      <c r="N1376" s="7">
        <f t="shared" si="193"/>
        <v>0.92551186398623686</v>
      </c>
      <c r="O1376" s="7">
        <f t="shared" si="194"/>
        <v>7.4488136013763084E-2</v>
      </c>
    </row>
    <row r="1377" spans="1:15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4">
        <f>IF(SUMIFS('Daily NSE Equity Cash'!$H:$H,'Daily NSE Equity Cash'!$A:$A,$A1377)=0,"",SUMIFS('Daily NSE Equity Cash'!$H:$H,'Daily NSE Equity Cash'!$A:$A,$A1377))</f>
        <v>1007.1649</v>
      </c>
      <c r="F1377" s="4">
        <f>IF(SUMIFS('Daily BSE Equity Cash'!$H:$H,'Daily BSE Equity Cash'!$A:$A,$A1377)=0,"",SUMIFS('Daily BSE Equity Cash'!$H:$H,'Daily BSE Equity Cash'!$A:$A,$A1377))</f>
        <v>66.990600000000001</v>
      </c>
      <c r="G1377" s="4">
        <f t="shared" si="189"/>
        <v>1074.1555000000001</v>
      </c>
      <c r="H1377" s="7">
        <f t="shared" si="190"/>
        <v>-2.7176358248029664E-2</v>
      </c>
      <c r="I1377" s="7">
        <f t="shared" si="191"/>
        <v>0.11766492041776488</v>
      </c>
      <c r="J1377" s="7">
        <f t="shared" si="192"/>
        <v>-1.9249778084884928E-2</v>
      </c>
      <c r="K1377" s="7">
        <f t="shared" si="195"/>
        <v>-8.1596753305847147E-2</v>
      </c>
      <c r="L1377" s="7">
        <f t="shared" si="196"/>
        <v>-0.24100034329726261</v>
      </c>
      <c r="M1377" s="7">
        <f t="shared" si="197"/>
        <v>-9.3470429598209726E-2</v>
      </c>
      <c r="N1377" s="7">
        <f t="shared" si="193"/>
        <v>0.937634169354437</v>
      </c>
      <c r="O1377" s="7">
        <f t="shared" si="194"/>
        <v>6.2365830645562954E-2</v>
      </c>
    </row>
    <row r="1378" spans="1:15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4">
        <f>IF(SUMIFS('Daily NSE Equity Cash'!$H:$H,'Daily NSE Equity Cash'!$A:$A,$A1378)=0,"",SUMIFS('Daily NSE Equity Cash'!$H:$H,'Daily NSE Equity Cash'!$A:$A,$A1378))</f>
        <v>1117.1703</v>
      </c>
      <c r="F1378" s="4">
        <f>IF(SUMIFS('Daily BSE Equity Cash'!$H:$H,'Daily BSE Equity Cash'!$A:$A,$A1378)=0,"",SUMIFS('Daily BSE Equity Cash'!$H:$H,'Daily BSE Equity Cash'!$A:$A,$A1378))</f>
        <v>107.91289999999999</v>
      </c>
      <c r="G1378" s="4">
        <f t="shared" si="189"/>
        <v>1225.0832</v>
      </c>
      <c r="H1378" s="7">
        <f t="shared" si="190"/>
        <v>7.9169504246952016E-2</v>
      </c>
      <c r="I1378" s="7">
        <f t="shared" si="191"/>
        <v>0.66678353865734152</v>
      </c>
      <c r="J1378" s="7">
        <f t="shared" si="192"/>
        <v>0.11375634775275589</v>
      </c>
      <c r="K1378" s="7">
        <f t="shared" si="195"/>
        <v>0.10922282934999017</v>
      </c>
      <c r="L1378" s="7">
        <f t="shared" si="196"/>
        <v>0.61086630064516512</v>
      </c>
      <c r="M1378" s="7">
        <f t="shared" si="197"/>
        <v>0.14050824112523741</v>
      </c>
      <c r="N1378" s="7">
        <f t="shared" si="193"/>
        <v>0.91191381940426575</v>
      </c>
      <c r="O1378" s="7">
        <f t="shared" si="194"/>
        <v>8.8086180595734226E-2</v>
      </c>
    </row>
    <row r="1379" spans="1:15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4">
        <f>IF(SUMIFS('Daily NSE Equity Cash'!$H:$H,'Daily NSE Equity Cash'!$A:$A,$A1379)=0,"",SUMIFS('Daily NSE Equity Cash'!$H:$H,'Daily NSE Equity Cash'!$A:$A,$A1379))</f>
        <v>1117.6318000000001</v>
      </c>
      <c r="F1379" s="4">
        <f>IF(SUMIFS('Daily BSE Equity Cash'!$H:$H,'Daily BSE Equity Cash'!$A:$A,$A1379)=0,"",SUMIFS('Daily BSE Equity Cash'!$H:$H,'Daily BSE Equity Cash'!$A:$A,$A1379))</f>
        <v>74.260900000000007</v>
      </c>
      <c r="G1379" s="4">
        <f t="shared" si="189"/>
        <v>1191.8927000000001</v>
      </c>
      <c r="H1379" s="7">
        <f t="shared" si="190"/>
        <v>0.11877048459922523</v>
      </c>
      <c r="I1379" s="7">
        <f t="shared" si="191"/>
        <v>0.22840719236431606</v>
      </c>
      <c r="J1379" s="7">
        <f t="shared" si="192"/>
        <v>0.12502652356651911</v>
      </c>
      <c r="K1379" s="7">
        <f t="shared" si="195"/>
        <v>4.1309726905569555E-4</v>
      </c>
      <c r="L1379" s="7">
        <f t="shared" si="196"/>
        <v>-0.3118440890755414</v>
      </c>
      <c r="M1379" s="7">
        <f t="shared" si="197"/>
        <v>-2.709244563961033E-2</v>
      </c>
      <c r="N1379" s="7">
        <f t="shared" si="193"/>
        <v>0.93769497875102348</v>
      </c>
      <c r="O1379" s="7">
        <f t="shared" si="194"/>
        <v>6.2305021248976522E-2</v>
      </c>
    </row>
    <row r="1380" spans="1:15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4">
        <f>IF(SUMIFS('Daily NSE Equity Cash'!$H:$H,'Daily NSE Equity Cash'!$A:$A,$A1380)=0,"",SUMIFS('Daily NSE Equity Cash'!$H:$H,'Daily NSE Equity Cash'!$A:$A,$A1380))</f>
        <v>1000.9749</v>
      </c>
      <c r="F1380" s="4">
        <f>IF(SUMIFS('Daily BSE Equity Cash'!$H:$H,'Daily BSE Equity Cash'!$A:$A,$A1380)=0,"",SUMIFS('Daily BSE Equity Cash'!$H:$H,'Daily BSE Equity Cash'!$A:$A,$A1380))</f>
        <v>69.3155</v>
      </c>
      <c r="G1380" s="4">
        <f t="shared" si="189"/>
        <v>1070.2904000000001</v>
      </c>
      <c r="H1380" s="7" t="str">
        <f t="shared" si="190"/>
        <v/>
      </c>
      <c r="I1380" s="7" t="str">
        <f t="shared" si="191"/>
        <v/>
      </c>
      <c r="J1380" s="7" t="str">
        <f t="shared" si="192"/>
        <v/>
      </c>
      <c r="K1380" s="7">
        <f t="shared" si="195"/>
        <v>-0.10437865135906121</v>
      </c>
      <c r="L1380" s="7">
        <f t="shared" si="196"/>
        <v>-6.6594937578187241E-2</v>
      </c>
      <c r="M1380" s="7">
        <f t="shared" si="197"/>
        <v>-0.10202453626907859</v>
      </c>
      <c r="N1380" s="7">
        <f t="shared" si="193"/>
        <v>0.93523673574947508</v>
      </c>
      <c r="O1380" s="7">
        <f t="shared" si="194"/>
        <v>6.4763264250524893E-2</v>
      </c>
    </row>
    <row r="1381" spans="1:15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4">
        <f>IF(SUMIFS('Daily NSE Equity Cash'!$H:$H,'Daily NSE Equity Cash'!$A:$A,$A1381)=0,"",SUMIFS('Daily NSE Equity Cash'!$H:$H,'Daily NSE Equity Cash'!$A:$A,$A1381))</f>
        <v>197.1412</v>
      </c>
      <c r="F1381" s="4">
        <f>IF(SUMIFS('Daily BSE Equity Cash'!$H:$H,'Daily BSE Equity Cash'!$A:$A,$A1381)=0,"",SUMIFS('Daily BSE Equity Cash'!$H:$H,'Daily BSE Equity Cash'!$A:$A,$A1381))</f>
        <v>25.383199999999999</v>
      </c>
      <c r="G1381" s="4">
        <f t="shared" si="189"/>
        <v>222.52439999999999</v>
      </c>
      <c r="H1381" s="7">
        <f t="shared" si="190"/>
        <v>-0.80762147662743011</v>
      </c>
      <c r="I1381" s="7">
        <f t="shared" si="191"/>
        <v>-0.60592375011449751</v>
      </c>
      <c r="J1381" s="7">
        <f t="shared" si="192"/>
        <v>-0.79569335769564442</v>
      </c>
      <c r="K1381" s="7">
        <f t="shared" si="195"/>
        <v>-0.80305080576945542</v>
      </c>
      <c r="L1381" s="7">
        <f t="shared" si="196"/>
        <v>-0.63380196348580053</v>
      </c>
      <c r="M1381" s="7">
        <f t="shared" si="197"/>
        <v>-0.79208969827254361</v>
      </c>
      <c r="N1381" s="7">
        <f t="shared" si="193"/>
        <v>0.88593071141861301</v>
      </c>
      <c r="O1381" s="7">
        <f t="shared" si="194"/>
        <v>0.11406928858138703</v>
      </c>
    </row>
    <row r="1382" spans="1:15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4">
        <f>IF(SUMIFS('Daily NSE Equity Cash'!$H:$H,'Daily NSE Equity Cash'!$A:$A,$A1382)=0,"",SUMIFS('Daily NSE Equity Cash'!$H:$H,'Daily NSE Equity Cash'!$A:$A,$A1382))</f>
        <v>1168.4233999999999</v>
      </c>
      <c r="F1382" s="4">
        <f>IF(SUMIFS('Daily BSE Equity Cash'!$H:$H,'Daily BSE Equity Cash'!$A:$A,$A1382)=0,"",SUMIFS('Daily BSE Equity Cash'!$H:$H,'Daily BSE Equity Cash'!$A:$A,$A1382))</f>
        <v>91.943600000000004</v>
      </c>
      <c r="G1382" s="4">
        <f t="shared" si="189"/>
        <v>1260.367</v>
      </c>
      <c r="H1382" s="7">
        <f t="shared" si="190"/>
        <v>6.6758366998698193E-4</v>
      </c>
      <c r="I1382" s="7">
        <f t="shared" si="191"/>
        <v>0.31810655400455601</v>
      </c>
      <c r="J1382" s="7">
        <f t="shared" si="192"/>
        <v>1.8562173437782548E-2</v>
      </c>
      <c r="K1382" s="7">
        <f t="shared" si="195"/>
        <v>4.9268351820928347</v>
      </c>
      <c r="L1382" s="7">
        <f t="shared" si="196"/>
        <v>2.6222225724100983</v>
      </c>
      <c r="M1382" s="7">
        <f t="shared" si="197"/>
        <v>4.6639496612506317</v>
      </c>
      <c r="N1382" s="7">
        <f t="shared" si="193"/>
        <v>0.92705013698391014</v>
      </c>
      <c r="O1382" s="7">
        <f t="shared" si="194"/>
        <v>7.2949863016089758E-2</v>
      </c>
    </row>
    <row r="1383" spans="1:15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4">
        <f>IF(SUMIFS('Daily NSE Equity Cash'!$H:$H,'Daily NSE Equity Cash'!$A:$A,$A1383)=0,"",SUMIFS('Daily NSE Equity Cash'!$H:$H,'Daily NSE Equity Cash'!$A:$A,$A1383))</f>
        <v>891.32399999999996</v>
      </c>
      <c r="F1383" s="4">
        <f>IF(SUMIFS('Daily BSE Equity Cash'!$H:$H,'Daily BSE Equity Cash'!$A:$A,$A1383)=0,"",SUMIFS('Daily BSE Equity Cash'!$H:$H,'Daily BSE Equity Cash'!$A:$A,$A1383))</f>
        <v>68.341200000000001</v>
      </c>
      <c r="G1383" s="4">
        <f t="shared" si="189"/>
        <v>959.66519999999991</v>
      </c>
      <c r="H1383" s="7">
        <f t="shared" si="190"/>
        <v>-7.8188942908823611E-2</v>
      </c>
      <c r="I1383" s="7">
        <f t="shared" si="191"/>
        <v>0.37976342136556629</v>
      </c>
      <c r="J1383" s="7">
        <f t="shared" si="192"/>
        <v>-5.5873331128946768E-2</v>
      </c>
      <c r="K1383" s="7">
        <f t="shared" si="195"/>
        <v>-0.23715666769426214</v>
      </c>
      <c r="L1383" s="7">
        <f t="shared" si="196"/>
        <v>-0.25670519753414056</v>
      </c>
      <c r="M1383" s="7">
        <f t="shared" si="197"/>
        <v>-0.23858273026824728</v>
      </c>
      <c r="N1383" s="7">
        <f t="shared" si="193"/>
        <v>0.92878641426197395</v>
      </c>
      <c r="O1383" s="7">
        <f t="shared" si="194"/>
        <v>7.121358573802615E-2</v>
      </c>
    </row>
    <row r="1384" spans="1:15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4">
        <f>IF(SUMIFS('Daily NSE Equity Cash'!$H:$H,'Daily NSE Equity Cash'!$A:$A,$A1384)=0,"",SUMIFS('Daily NSE Equity Cash'!$H:$H,'Daily NSE Equity Cash'!$A:$A,$A1384))</f>
        <v>967.548</v>
      </c>
      <c r="F1384" s="4">
        <f>IF(SUMIFS('Daily BSE Equity Cash'!$H:$H,'Daily BSE Equity Cash'!$A:$A,$A1384)=0,"",SUMIFS('Daily BSE Equity Cash'!$H:$H,'Daily BSE Equity Cash'!$A:$A,$A1384))</f>
        <v>73.898899999999998</v>
      </c>
      <c r="G1384" s="4">
        <f t="shared" si="189"/>
        <v>1041.4468999999999</v>
      </c>
      <c r="H1384" s="7" t="str">
        <f t="shared" si="190"/>
        <v/>
      </c>
      <c r="I1384" s="7" t="str">
        <f t="shared" si="191"/>
        <v/>
      </c>
      <c r="J1384" s="7" t="str">
        <f t="shared" si="192"/>
        <v/>
      </c>
      <c r="K1384" s="7">
        <f t="shared" si="195"/>
        <v>8.5517724194569045E-2</v>
      </c>
      <c r="L1384" s="7">
        <f t="shared" si="196"/>
        <v>8.1322833078728562E-2</v>
      </c>
      <c r="M1384" s="7">
        <f t="shared" si="197"/>
        <v>8.5218990956429375E-2</v>
      </c>
      <c r="N1384" s="7">
        <f t="shared" si="193"/>
        <v>0.92904208558304802</v>
      </c>
      <c r="O1384" s="7">
        <f t="shared" si="194"/>
        <v>7.0957914416952039E-2</v>
      </c>
    </row>
    <row r="1385" spans="1:15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4">
        <f>IF(SUMIFS('Daily NSE Equity Cash'!$H:$H,'Daily NSE Equity Cash'!$A:$A,$A1385)=0,"",SUMIFS('Daily NSE Equity Cash'!$H:$H,'Daily NSE Equity Cash'!$A:$A,$A1385))</f>
        <v>1161.5319</v>
      </c>
      <c r="F1385" s="4">
        <f>IF(SUMIFS('Daily BSE Equity Cash'!$H:$H,'Daily BSE Equity Cash'!$A:$A,$A1385)=0,"",SUMIFS('Daily BSE Equity Cash'!$H:$H,'Daily BSE Equity Cash'!$A:$A,$A1385))</f>
        <v>82.122500000000002</v>
      </c>
      <c r="G1385" s="4">
        <f t="shared" si="189"/>
        <v>1243.6543999999999</v>
      </c>
      <c r="H1385" s="7">
        <f t="shared" si="190"/>
        <v>0.10643065747038327</v>
      </c>
      <c r="I1385" s="7">
        <f t="shared" si="191"/>
        <v>0.10313279100756545</v>
      </c>
      <c r="J1385" s="7">
        <f t="shared" si="192"/>
        <v>0.10621228082082057</v>
      </c>
      <c r="K1385" s="7">
        <f t="shared" si="195"/>
        <v>0.20049020823773089</v>
      </c>
      <c r="L1385" s="7">
        <f t="shared" si="196"/>
        <v>0.11128176468120632</v>
      </c>
      <c r="M1385" s="7">
        <f t="shared" si="197"/>
        <v>0.19416016313457751</v>
      </c>
      <c r="N1385" s="7">
        <f t="shared" si="193"/>
        <v>0.93396678369810782</v>
      </c>
      <c r="O1385" s="7">
        <f t="shared" si="194"/>
        <v>6.6033216301892239E-2</v>
      </c>
    </row>
    <row r="1386" spans="1:15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4">
        <f>IF(SUMIFS('Daily NSE Equity Cash'!$H:$H,'Daily NSE Equity Cash'!$A:$A,$A1386)=0,"",SUMIFS('Daily NSE Equity Cash'!$H:$H,'Daily NSE Equity Cash'!$A:$A,$A1386))</f>
        <v>1122.9842000000001</v>
      </c>
      <c r="F1386" s="4">
        <f>IF(SUMIFS('Daily BSE Equity Cash'!$H:$H,'Daily BSE Equity Cash'!$A:$A,$A1386)=0,"",SUMIFS('Daily BSE Equity Cash'!$H:$H,'Daily BSE Equity Cash'!$A:$A,$A1386))</f>
        <v>85.210300000000004</v>
      </c>
      <c r="G1386" s="4">
        <f t="shared" si="189"/>
        <v>1208.1945000000001</v>
      </c>
      <c r="H1386" s="7">
        <f t="shared" si="190"/>
        <v>8.028579588891116E-2</v>
      </c>
      <c r="I1386" s="7">
        <f t="shared" si="191"/>
        <v>0.40575100428108324</v>
      </c>
      <c r="J1386" s="7">
        <f t="shared" si="192"/>
        <v>9.8218264101879171E-2</v>
      </c>
      <c r="K1386" s="7">
        <f t="shared" si="195"/>
        <v>-3.3186949062698923E-2</v>
      </c>
      <c r="L1386" s="7">
        <f t="shared" si="196"/>
        <v>3.7599926938415296E-2</v>
      </c>
      <c r="M1386" s="7">
        <f t="shared" si="197"/>
        <v>-2.8512663968382035E-2</v>
      </c>
      <c r="N1386" s="7">
        <f t="shared" si="193"/>
        <v>0.92947302772856522</v>
      </c>
      <c r="O1386" s="7">
        <f t="shared" si="194"/>
        <v>7.0526972271434771E-2</v>
      </c>
    </row>
    <row r="1387" spans="1:15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4">
        <f>IF(SUMIFS('Daily NSE Equity Cash'!$H:$H,'Daily NSE Equity Cash'!$A:$A,$A1387)=0,"",SUMIFS('Daily NSE Equity Cash'!$H:$H,'Daily NSE Equity Cash'!$A:$A,$A1387))</f>
        <v>1024.8584000000001</v>
      </c>
      <c r="F1387" s="4">
        <f>IF(SUMIFS('Daily BSE Equity Cash'!$H:$H,'Daily BSE Equity Cash'!$A:$A,$A1387)=0,"",SUMIFS('Daily BSE Equity Cash'!$H:$H,'Daily BSE Equity Cash'!$A:$A,$A1387))</f>
        <v>83.382999999999996</v>
      </c>
      <c r="G1387" s="4">
        <f t="shared" si="189"/>
        <v>1108.2414000000001</v>
      </c>
      <c r="H1387" s="7">
        <f t="shared" si="190"/>
        <v>1.0043784795272348E-2</v>
      </c>
      <c r="I1387" s="7">
        <f t="shared" si="191"/>
        <v>-4.8115363627853736E-2</v>
      </c>
      <c r="J1387" s="7">
        <f t="shared" si="192"/>
        <v>5.4218354550099601E-3</v>
      </c>
      <c r="K1387" s="7">
        <f t="shared" si="195"/>
        <v>-8.7379501866544529E-2</v>
      </c>
      <c r="L1387" s="7">
        <f t="shared" si="196"/>
        <v>-2.1444590618739823E-2</v>
      </c>
      <c r="M1387" s="7">
        <f t="shared" si="197"/>
        <v>-8.272931220925106E-2</v>
      </c>
      <c r="N1387" s="7">
        <f t="shared" si="193"/>
        <v>0.92476097716616612</v>
      </c>
      <c r="O1387" s="7">
        <f t="shared" si="194"/>
        <v>7.5239022833833838E-2</v>
      </c>
    </row>
    <row r="1388" spans="1:15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4">
        <f>IF(SUMIFS('Daily NSE Equity Cash'!$H:$H,'Daily NSE Equity Cash'!$A:$A,$A1388)=0,"",SUMIFS('Daily NSE Equity Cash'!$H:$H,'Daily NSE Equity Cash'!$A:$A,$A1388))</f>
        <v>1103.8657000000001</v>
      </c>
      <c r="F1388" s="4">
        <f>IF(SUMIFS('Daily BSE Equity Cash'!$H:$H,'Daily BSE Equity Cash'!$A:$A,$A1388)=0,"",SUMIFS('Daily BSE Equity Cash'!$H:$H,'Daily BSE Equity Cash'!$A:$A,$A1388))</f>
        <v>75.398499999999999</v>
      </c>
      <c r="G1388" s="4">
        <f t="shared" si="189"/>
        <v>1179.2642000000001</v>
      </c>
      <c r="H1388" s="7">
        <f t="shared" si="190"/>
        <v>9.8548942826508279E-2</v>
      </c>
      <c r="I1388" s="7">
        <f t="shared" si="191"/>
        <v>0.24850557202232126</v>
      </c>
      <c r="J1388" s="7">
        <f t="shared" si="192"/>
        <v>0.10705041574088914</v>
      </c>
      <c r="K1388" s="7">
        <f t="shared" si="195"/>
        <v>7.709094251459514E-2</v>
      </c>
      <c r="L1388" s="7">
        <f t="shared" si="196"/>
        <v>-9.5756928870393221E-2</v>
      </c>
      <c r="M1388" s="7">
        <f t="shared" si="197"/>
        <v>6.4086037572680388E-2</v>
      </c>
      <c r="N1388" s="7">
        <f t="shared" si="193"/>
        <v>0.93606309765021267</v>
      </c>
      <c r="O1388" s="7">
        <f t="shared" si="194"/>
        <v>6.3936902349787259E-2</v>
      </c>
    </row>
    <row r="1389" spans="1:15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4">
        <f>IF(SUMIFS('Daily NSE Equity Cash'!$H:$H,'Daily NSE Equity Cash'!$A:$A,$A1389)=0,"",SUMIFS('Daily NSE Equity Cash'!$H:$H,'Daily NSE Equity Cash'!$A:$A,$A1389))</f>
        <v>992.11019999999996</v>
      </c>
      <c r="F1389" s="4">
        <f>IF(SUMIFS('Daily BSE Equity Cash'!$H:$H,'Daily BSE Equity Cash'!$A:$A,$A1389)=0,"",SUMIFS('Daily BSE Equity Cash'!$H:$H,'Daily BSE Equity Cash'!$A:$A,$A1389))</f>
        <v>75.1751</v>
      </c>
      <c r="G1389" s="4">
        <f t="shared" si="189"/>
        <v>1067.2853</v>
      </c>
      <c r="H1389" s="7" t="str">
        <f t="shared" si="190"/>
        <v/>
      </c>
      <c r="I1389" s="7" t="str">
        <f t="shared" si="191"/>
        <v/>
      </c>
      <c r="J1389" s="7" t="str">
        <f t="shared" si="192"/>
        <v/>
      </c>
      <c r="K1389" s="7">
        <f t="shared" si="195"/>
        <v>-0.10124012368533608</v>
      </c>
      <c r="L1389" s="7">
        <f t="shared" si="196"/>
        <v>-2.9629236655901448E-3</v>
      </c>
      <c r="M1389" s="7">
        <f t="shared" si="197"/>
        <v>-9.4956583944463047E-2</v>
      </c>
      <c r="N1389" s="7">
        <f t="shared" si="193"/>
        <v>0.92956419431617765</v>
      </c>
      <c r="O1389" s="7">
        <f t="shared" si="194"/>
        <v>7.0435805683822308E-2</v>
      </c>
    </row>
    <row r="1390" spans="1:15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4">
        <f>IF(SUMIFS('Daily NSE Equity Cash'!$H:$H,'Daily NSE Equity Cash'!$A:$A,$A1390)=0,"",SUMIFS('Daily NSE Equity Cash'!$H:$H,'Daily NSE Equity Cash'!$A:$A,$A1390))</f>
        <v>1039.8371</v>
      </c>
      <c r="F1390" s="4">
        <f>IF(SUMIFS('Daily BSE Equity Cash'!$H:$H,'Daily BSE Equity Cash'!$A:$A,$A1390)=0,"",SUMIFS('Daily BSE Equity Cash'!$H:$H,'Daily BSE Equity Cash'!$A:$A,$A1390))</f>
        <v>68.809700000000007</v>
      </c>
      <c r="G1390" s="4">
        <f t="shared" si="189"/>
        <v>1108.6468</v>
      </c>
      <c r="H1390" s="7">
        <f t="shared" si="190"/>
        <v>5.9202391401759202E-2</v>
      </c>
      <c r="I1390" s="7">
        <f t="shared" si="191"/>
        <v>0.11987845823588694</v>
      </c>
      <c r="J1390" s="7">
        <f t="shared" si="192"/>
        <v>6.277631161441044E-2</v>
      </c>
      <c r="K1390" s="7">
        <f t="shared" si="195"/>
        <v>4.8106450271350853E-2</v>
      </c>
      <c r="L1390" s="7">
        <f t="shared" si="196"/>
        <v>-8.4674313702276294E-2</v>
      </c>
      <c r="M1390" s="7">
        <f t="shared" si="197"/>
        <v>3.875393018155493E-2</v>
      </c>
      <c r="N1390" s="7">
        <f t="shared" si="193"/>
        <v>0.93793361420427135</v>
      </c>
      <c r="O1390" s="7">
        <f t="shared" si="194"/>
        <v>6.2066385795728637E-2</v>
      </c>
    </row>
    <row r="1391" spans="1:15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4">
        <f>IF(SUMIFS('Daily NSE Equity Cash'!$H:$H,'Daily NSE Equity Cash'!$A:$A,$A1391)=0,"",SUMIFS('Daily NSE Equity Cash'!$H:$H,'Daily NSE Equity Cash'!$A:$A,$A1391))</f>
        <v>1144.5444</v>
      </c>
      <c r="F1391" s="4">
        <f>IF(SUMIFS('Daily BSE Equity Cash'!$H:$H,'Daily BSE Equity Cash'!$A:$A,$A1391)=0,"",SUMIFS('Daily BSE Equity Cash'!$H:$H,'Daily BSE Equity Cash'!$A:$A,$A1391))</f>
        <v>95.788399999999996</v>
      </c>
      <c r="G1391" s="4">
        <f t="shared" si="189"/>
        <v>1240.3327999999999</v>
      </c>
      <c r="H1391" s="7">
        <f t="shared" si="190"/>
        <v>-8.3844363029327296E-3</v>
      </c>
      <c r="I1391" s="7">
        <f t="shared" si="191"/>
        <v>8.8827481787211893E-2</v>
      </c>
      <c r="J1391" s="7">
        <f t="shared" si="192"/>
        <v>-1.4997635638439588E-3</v>
      </c>
      <c r="K1391" s="7">
        <f t="shared" si="195"/>
        <v>0.10069586861249702</v>
      </c>
      <c r="L1391" s="7">
        <f t="shared" si="196"/>
        <v>0.39207698914542544</v>
      </c>
      <c r="M1391" s="7">
        <f t="shared" si="197"/>
        <v>0.11878084165308556</v>
      </c>
      <c r="N1391" s="7">
        <f t="shared" si="193"/>
        <v>0.92277201731664282</v>
      </c>
      <c r="O1391" s="7">
        <f t="shared" si="194"/>
        <v>7.7227982683357246E-2</v>
      </c>
    </row>
    <row r="1392" spans="1:15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4">
        <f>IF(SUMIFS('Daily NSE Equity Cash'!$H:$H,'Daily NSE Equity Cash'!$A:$A,$A1392)=0,"",SUMIFS('Daily NSE Equity Cash'!$H:$H,'Daily NSE Equity Cash'!$A:$A,$A1392))</f>
        <v>1183.9088999999999</v>
      </c>
      <c r="F1392" s="4">
        <f>IF(SUMIFS('Daily BSE Equity Cash'!$H:$H,'Daily BSE Equity Cash'!$A:$A,$A1392)=0,"",SUMIFS('Daily BSE Equity Cash'!$H:$H,'Daily BSE Equity Cash'!$A:$A,$A1392))</f>
        <v>80.913200000000003</v>
      </c>
      <c r="G1392" s="4">
        <f t="shared" si="189"/>
        <v>1264.8220999999999</v>
      </c>
      <c r="H1392" s="7">
        <f t="shared" si="190"/>
        <v>0.16858651053254814</v>
      </c>
      <c r="I1392" s="7">
        <f t="shared" si="191"/>
        <v>0.24970770259646602</v>
      </c>
      <c r="J1392" s="7">
        <f t="shared" si="192"/>
        <v>0.17345936977203658</v>
      </c>
      <c r="K1392" s="7">
        <f t="shared" si="195"/>
        <v>3.4393161156526464E-2</v>
      </c>
      <c r="L1392" s="7">
        <f t="shared" si="196"/>
        <v>-0.15529229008940537</v>
      </c>
      <c r="M1392" s="7">
        <f t="shared" si="197"/>
        <v>1.9744136412420898E-2</v>
      </c>
      <c r="N1392" s="7">
        <f t="shared" si="193"/>
        <v>0.93602799951076121</v>
      </c>
      <c r="O1392" s="7">
        <f t="shared" si="194"/>
        <v>6.3972000489238776E-2</v>
      </c>
    </row>
    <row r="1393" spans="1:15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4">
        <f>IF(SUMIFS('Daily NSE Equity Cash'!$H:$H,'Daily NSE Equity Cash'!$A:$A,$A1393)=0,"",SUMIFS('Daily NSE Equity Cash'!$H:$H,'Daily NSE Equity Cash'!$A:$A,$A1393))</f>
        <v>1013.1769</v>
      </c>
      <c r="F1393" s="4">
        <f>IF(SUMIFS('Daily BSE Equity Cash'!$H:$H,'Daily BSE Equity Cash'!$A:$A,$A1393)=0,"",SUMIFS('Daily BSE Equity Cash'!$H:$H,'Daily BSE Equity Cash'!$A:$A,$A1393))</f>
        <v>81.444500000000005</v>
      </c>
      <c r="G1393" s="4">
        <f t="shared" si="189"/>
        <v>1094.6214</v>
      </c>
      <c r="H1393" s="7" t="str">
        <f t="shared" si="190"/>
        <v/>
      </c>
      <c r="I1393" s="7" t="str">
        <f t="shared" si="191"/>
        <v/>
      </c>
      <c r="J1393" s="7" t="str">
        <f t="shared" si="192"/>
        <v/>
      </c>
      <c r="K1393" s="7">
        <f t="shared" si="195"/>
        <v>-0.14421042024432784</v>
      </c>
      <c r="L1393" s="7">
        <f t="shared" si="196"/>
        <v>6.5662957341940942E-3</v>
      </c>
      <c r="M1393" s="7">
        <f t="shared" si="197"/>
        <v>-0.13456493209598397</v>
      </c>
      <c r="N1393" s="7">
        <f t="shared" si="193"/>
        <v>0.92559573565800934</v>
      </c>
      <c r="O1393" s="7">
        <f t="shared" si="194"/>
        <v>7.4404264341990767E-2</v>
      </c>
    </row>
    <row r="1394" spans="1:15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4">
        <f>IF(SUMIFS('Daily NSE Equity Cash'!$H:$H,'Daily NSE Equity Cash'!$A:$A,$A1394)=0,"",SUMIFS('Daily NSE Equity Cash'!$H:$H,'Daily NSE Equity Cash'!$A:$A,$A1394))</f>
        <v>1043.7546</v>
      </c>
      <c r="F1394" s="4">
        <f>IF(SUMIFS('Daily BSE Equity Cash'!$H:$H,'Daily BSE Equity Cash'!$A:$A,$A1394)=0,"",SUMIFS('Daily BSE Equity Cash'!$H:$H,'Daily BSE Equity Cash'!$A:$A,$A1394))</f>
        <v>71.9071</v>
      </c>
      <c r="G1394" s="4">
        <f t="shared" si="189"/>
        <v>1115.6616999999999</v>
      </c>
      <c r="H1394" s="7">
        <f t="shared" si="190"/>
        <v>0.14575271477705476</v>
      </c>
      <c r="I1394" s="7">
        <f t="shared" si="191"/>
        <v>5.1485533631054237E-2</v>
      </c>
      <c r="J1394" s="7">
        <f t="shared" si="192"/>
        <v>0.13917030185118184</v>
      </c>
      <c r="K1394" s="7">
        <f t="shared" si="195"/>
        <v>3.0180020882828895E-2</v>
      </c>
      <c r="L1394" s="7">
        <f t="shared" si="196"/>
        <v>-0.11710305791060172</v>
      </c>
      <c r="M1394" s="7">
        <f t="shared" si="197"/>
        <v>1.9221531755180266E-2</v>
      </c>
      <c r="N1394" s="7">
        <f t="shared" si="193"/>
        <v>0.93554757683265466</v>
      </c>
      <c r="O1394" s="7">
        <f t="shared" si="194"/>
        <v>6.4452423167345452E-2</v>
      </c>
    </row>
    <row r="1395" spans="1:15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4">
        <f>IF(SUMIFS('Daily NSE Equity Cash'!$H:$H,'Daily NSE Equity Cash'!$A:$A,$A1395)=0,"",SUMIFS('Daily NSE Equity Cash'!$H:$H,'Daily NSE Equity Cash'!$A:$A,$A1395))</f>
        <v>1159.9245000000001</v>
      </c>
      <c r="F1395" s="4">
        <f>IF(SUMIFS('Daily BSE Equity Cash'!$H:$H,'Daily BSE Equity Cash'!$A:$A,$A1395)=0,"",SUMIFS('Daily BSE Equity Cash'!$H:$H,'Daily BSE Equity Cash'!$A:$A,$A1395))</f>
        <v>79.348600000000005</v>
      </c>
      <c r="G1395" s="4">
        <f t="shared" si="189"/>
        <v>1239.2731000000001</v>
      </c>
      <c r="H1395" s="7">
        <f t="shared" si="190"/>
        <v>0.28531479906950463</v>
      </c>
      <c r="I1395" s="7">
        <f t="shared" si="191"/>
        <v>0.43353501337808953</v>
      </c>
      <c r="J1395" s="7">
        <f t="shared" si="192"/>
        <v>0.29388055238508093</v>
      </c>
      <c r="K1395" s="7">
        <f t="shared" si="195"/>
        <v>0.11130001247419652</v>
      </c>
      <c r="L1395" s="7">
        <f t="shared" si="196"/>
        <v>0.10348769453920403</v>
      </c>
      <c r="M1395" s="7">
        <f t="shared" si="197"/>
        <v>0.1107964896527327</v>
      </c>
      <c r="N1395" s="7">
        <f t="shared" si="193"/>
        <v>0.93597165951556605</v>
      </c>
      <c r="O1395" s="7">
        <f t="shared" si="194"/>
        <v>6.4028340484433982E-2</v>
      </c>
    </row>
    <row r="1396" spans="1:15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4">
        <f>IF(SUMIFS('Daily NSE Equity Cash'!$H:$H,'Daily NSE Equity Cash'!$A:$A,$A1396)=0,"",SUMIFS('Daily NSE Equity Cash'!$H:$H,'Daily NSE Equity Cash'!$A:$A,$A1396))</f>
        <v>1106.375</v>
      </c>
      <c r="F1396" s="4">
        <f>IF(SUMIFS('Daily BSE Equity Cash'!$H:$H,'Daily BSE Equity Cash'!$A:$A,$A1396)=0,"",SUMIFS('Daily BSE Equity Cash'!$H:$H,'Daily BSE Equity Cash'!$A:$A,$A1396))</f>
        <v>99.165700000000001</v>
      </c>
      <c r="G1396" s="4">
        <f t="shared" si="189"/>
        <v>1205.5407</v>
      </c>
      <c r="H1396" s="7">
        <f t="shared" si="190"/>
        <v>8.9636870110853195E-2</v>
      </c>
      <c r="I1396" s="7">
        <f t="shared" si="191"/>
        <v>0.43940157082577946</v>
      </c>
      <c r="J1396" s="7">
        <f t="shared" si="192"/>
        <v>0.11186096553494917</v>
      </c>
      <c r="K1396" s="7">
        <f t="shared" si="195"/>
        <v>-4.6166366862670838E-2</v>
      </c>
      <c r="L1396" s="7">
        <f t="shared" si="196"/>
        <v>0.24974731753301249</v>
      </c>
      <c r="M1396" s="7">
        <f t="shared" si="197"/>
        <v>-2.7219504724180776E-2</v>
      </c>
      <c r="N1396" s="7">
        <f t="shared" si="193"/>
        <v>0.91774172369294538</v>
      </c>
      <c r="O1396" s="7">
        <f t="shared" si="194"/>
        <v>8.2258276307054581E-2</v>
      </c>
    </row>
    <row r="1397" spans="1:15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4">
        <f>IF(SUMIFS('Daily NSE Equity Cash'!$H:$H,'Daily NSE Equity Cash'!$A:$A,$A1397)=0,"",SUMIFS('Daily NSE Equity Cash'!$H:$H,'Daily NSE Equity Cash'!$A:$A,$A1397))</f>
        <v>1123.9708000000001</v>
      </c>
      <c r="F1397" s="4">
        <f>IF(SUMIFS('Daily BSE Equity Cash'!$H:$H,'Daily BSE Equity Cash'!$A:$A,$A1397)=0,"",SUMIFS('Daily BSE Equity Cash'!$H:$H,'Daily BSE Equity Cash'!$A:$A,$A1397))</f>
        <v>88.433999999999997</v>
      </c>
      <c r="G1397" s="4">
        <f t="shared" si="189"/>
        <v>1212.4048</v>
      </c>
      <c r="H1397" s="7">
        <f t="shared" si="190"/>
        <v>0.307655767196789</v>
      </c>
      <c r="I1397" s="7">
        <f t="shared" si="191"/>
        <v>0.47551568968019975</v>
      </c>
      <c r="J1397" s="7">
        <f t="shared" si="192"/>
        <v>0.31859752417002318</v>
      </c>
      <c r="K1397" s="7">
        <f t="shared" si="195"/>
        <v>1.5904010846232053E-2</v>
      </c>
      <c r="L1397" s="7">
        <f t="shared" si="196"/>
        <v>-0.108219878445874</v>
      </c>
      <c r="M1397" s="7">
        <f t="shared" si="197"/>
        <v>5.6937936645358178E-3</v>
      </c>
      <c r="N1397" s="7">
        <f t="shared" si="193"/>
        <v>0.92705901527278678</v>
      </c>
      <c r="O1397" s="7">
        <f t="shared" si="194"/>
        <v>7.2940984727213221E-2</v>
      </c>
    </row>
    <row r="1398" spans="1:15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4">
        <f>IF(SUMIFS('Daily NSE Equity Cash'!$H:$H,'Daily NSE Equity Cash'!$A:$A,$A1398)=0,"",SUMIFS('Daily NSE Equity Cash'!$H:$H,'Daily NSE Equity Cash'!$A:$A,$A1398))</f>
        <v>996.00189999999998</v>
      </c>
      <c r="F1398" s="4">
        <f>IF(SUMIFS('Daily BSE Equity Cash'!$H:$H,'Daily BSE Equity Cash'!$A:$A,$A1398)=0,"",SUMIFS('Daily BSE Equity Cash'!$H:$H,'Daily BSE Equity Cash'!$A:$A,$A1398))</f>
        <v>79.816100000000006</v>
      </c>
      <c r="G1398" s="4">
        <f t="shared" si="189"/>
        <v>1075.818</v>
      </c>
      <c r="H1398" s="7" t="str">
        <f t="shared" si="190"/>
        <v/>
      </c>
      <c r="I1398" s="7" t="str">
        <f t="shared" si="191"/>
        <v/>
      </c>
      <c r="J1398" s="7" t="str">
        <f t="shared" si="192"/>
        <v/>
      </c>
      <c r="K1398" s="7">
        <f t="shared" si="195"/>
        <v>-0.11385429230012034</v>
      </c>
      <c r="L1398" s="7">
        <f t="shared" si="196"/>
        <v>-9.7450075762715582E-2</v>
      </c>
      <c r="M1398" s="7">
        <f t="shared" si="197"/>
        <v>-0.11265775259220356</v>
      </c>
      <c r="N1398" s="7">
        <f t="shared" si="193"/>
        <v>0.92580891935252985</v>
      </c>
      <c r="O1398" s="7">
        <f t="shared" si="194"/>
        <v>7.4191080647470112E-2</v>
      </c>
    </row>
    <row r="1399" spans="1:15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4">
        <f>IF(SUMIFS('Daily NSE Equity Cash'!$H:$H,'Daily NSE Equity Cash'!$A:$A,$A1399)=0,"",SUMIFS('Daily NSE Equity Cash'!$H:$H,'Daily NSE Equity Cash'!$A:$A,$A1399))</f>
        <v>1170.6474000000001</v>
      </c>
      <c r="F1399" s="4">
        <f>IF(SUMIFS('Daily BSE Equity Cash'!$H:$H,'Daily BSE Equity Cash'!$A:$A,$A1399)=0,"",SUMIFS('Daily BSE Equity Cash'!$H:$H,'Daily BSE Equity Cash'!$A:$A,$A1399))</f>
        <v>141.93170000000001</v>
      </c>
      <c r="G1399" s="4">
        <f t="shared" si="189"/>
        <v>1312.5791000000002</v>
      </c>
      <c r="H1399" s="7">
        <f t="shared" si="190"/>
        <v>0.30300378853102572</v>
      </c>
      <c r="I1399" s="7">
        <f t="shared" si="191"/>
        <v>1.5256683340540289</v>
      </c>
      <c r="J1399" s="7">
        <f t="shared" si="192"/>
        <v>0.37497865637954808</v>
      </c>
      <c r="K1399" s="7">
        <f t="shared" si="195"/>
        <v>0.17534655305376434</v>
      </c>
      <c r="L1399" s="7">
        <f t="shared" si="196"/>
        <v>0.77823396532779721</v>
      </c>
      <c r="M1399" s="7">
        <f t="shared" si="197"/>
        <v>0.22007542167913186</v>
      </c>
      <c r="N1399" s="7">
        <f t="shared" si="193"/>
        <v>0.89186807865522155</v>
      </c>
      <c r="O1399" s="7">
        <f t="shared" si="194"/>
        <v>0.10813192134477838</v>
      </c>
    </row>
    <row r="1400" spans="1:15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4">
        <f>IF(SUMIFS('Daily NSE Equity Cash'!$H:$H,'Daily NSE Equity Cash'!$A:$A,$A1400)=0,"",SUMIFS('Daily NSE Equity Cash'!$H:$H,'Daily NSE Equity Cash'!$A:$A,$A1400))</f>
        <v>980.10090000000002</v>
      </c>
      <c r="F1400" s="4">
        <f>IF(SUMIFS('Daily BSE Equity Cash'!$H:$H,'Daily BSE Equity Cash'!$A:$A,$A1400)=0,"",SUMIFS('Daily BSE Equity Cash'!$H:$H,'Daily BSE Equity Cash'!$A:$A,$A1400))</f>
        <v>71.503699999999995</v>
      </c>
      <c r="G1400" s="4">
        <f t="shared" si="189"/>
        <v>1051.6046000000001</v>
      </c>
      <c r="H1400" s="7">
        <f t="shared" si="190"/>
        <v>6.2170686478517867E-2</v>
      </c>
      <c r="I1400" s="7">
        <f t="shared" si="191"/>
        <v>0.20161360794805261</v>
      </c>
      <c r="J1400" s="7">
        <f t="shared" si="192"/>
        <v>7.0618462712230601E-2</v>
      </c>
      <c r="K1400" s="7">
        <f t="shared" si="195"/>
        <v>-0.16277019023832451</v>
      </c>
      <c r="L1400" s="7">
        <f t="shared" si="196"/>
        <v>-0.49621050124813559</v>
      </c>
      <c r="M1400" s="7">
        <f t="shared" si="197"/>
        <v>-0.19882573172161588</v>
      </c>
      <c r="N1400" s="7">
        <f t="shared" si="193"/>
        <v>0.93200514718174488</v>
      </c>
      <c r="O1400" s="7">
        <f t="shared" si="194"/>
        <v>6.7994852818255055E-2</v>
      </c>
    </row>
    <row r="1401" spans="1:15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4">
        <f>IF(SUMIFS('Daily NSE Equity Cash'!$H:$H,'Daily NSE Equity Cash'!$A:$A,$A1401)=0,"",SUMIFS('Daily NSE Equity Cash'!$H:$H,'Daily NSE Equity Cash'!$A:$A,$A1401))</f>
        <v>966.28319999999997</v>
      </c>
      <c r="F1401" s="4">
        <f>IF(SUMIFS('Daily BSE Equity Cash'!$H:$H,'Daily BSE Equity Cash'!$A:$A,$A1401)=0,"",SUMIFS('Daily BSE Equity Cash'!$H:$H,'Daily BSE Equity Cash'!$A:$A,$A1401))</f>
        <v>88.973699999999994</v>
      </c>
      <c r="G1401" s="4">
        <f t="shared" si="189"/>
        <v>1055.2568999999999</v>
      </c>
      <c r="H1401" s="7" t="str">
        <f t="shared" si="190"/>
        <v/>
      </c>
      <c r="I1401" s="7" t="str">
        <f t="shared" si="191"/>
        <v/>
      </c>
      <c r="J1401" s="7" t="str">
        <f t="shared" si="192"/>
        <v/>
      </c>
      <c r="K1401" s="7">
        <f t="shared" si="195"/>
        <v>-1.4098242334029121E-2</v>
      </c>
      <c r="L1401" s="7">
        <f t="shared" si="196"/>
        <v>0.24432302104646331</v>
      </c>
      <c r="M1401" s="7">
        <f t="shared" si="197"/>
        <v>3.4730734346348768E-3</v>
      </c>
      <c r="N1401" s="7">
        <f t="shared" si="193"/>
        <v>0.91568527057250237</v>
      </c>
      <c r="O1401" s="7">
        <f t="shared" si="194"/>
        <v>8.4314729427497709E-2</v>
      </c>
    </row>
    <row r="1402" spans="1:15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4">
        <f>IF(SUMIFS('Daily NSE Equity Cash'!$H:$H,'Daily NSE Equity Cash'!$A:$A,$A1402)=0,"",SUMIFS('Daily NSE Equity Cash'!$H:$H,'Daily NSE Equity Cash'!$A:$A,$A1402))</f>
        <v>908.3623</v>
      </c>
      <c r="F1402" s="4">
        <f>IF(SUMIFS('Daily BSE Equity Cash'!$H:$H,'Daily BSE Equity Cash'!$A:$A,$A1402)=0,"",SUMIFS('Daily BSE Equity Cash'!$H:$H,'Daily BSE Equity Cash'!$A:$A,$A1402))</f>
        <v>89.917100000000005</v>
      </c>
      <c r="G1402" s="4">
        <f t="shared" si="189"/>
        <v>998.27940000000001</v>
      </c>
      <c r="H1402" s="7">
        <f t="shared" si="190"/>
        <v>-0.18002760796615835</v>
      </c>
      <c r="I1402" s="7">
        <f t="shared" si="191"/>
        <v>0.48351124383362776</v>
      </c>
      <c r="J1402" s="7">
        <f t="shared" si="192"/>
        <v>-0.14560660016473714</v>
      </c>
      <c r="K1402" s="7">
        <f t="shared" si="195"/>
        <v>-5.9941950765572627E-2</v>
      </c>
      <c r="L1402" s="7">
        <f t="shared" si="196"/>
        <v>1.0603133285454147E-2</v>
      </c>
      <c r="M1402" s="7">
        <f t="shared" si="197"/>
        <v>-5.3993961091370113E-2</v>
      </c>
      <c r="N1402" s="7">
        <f t="shared" si="193"/>
        <v>0.90992792198256323</v>
      </c>
      <c r="O1402" s="7">
        <f t="shared" si="194"/>
        <v>9.0072078017436802E-2</v>
      </c>
    </row>
    <row r="1403" spans="1:15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4">
        <f>IF(SUMIFS('Daily NSE Equity Cash'!$H:$H,'Daily NSE Equity Cash'!$A:$A,$A1403)=0,"",SUMIFS('Daily NSE Equity Cash'!$H:$H,'Daily NSE Equity Cash'!$A:$A,$A1403))</f>
        <v>1542.3067000000001</v>
      </c>
      <c r="F1403" s="4">
        <f>IF(SUMIFS('Daily BSE Equity Cash'!$H:$H,'Daily BSE Equity Cash'!$A:$A,$A1403)=0,"",SUMIFS('Daily BSE Equity Cash'!$H:$H,'Daily BSE Equity Cash'!$A:$A,$A1403))</f>
        <v>68.067099999999996</v>
      </c>
      <c r="G1403" s="4">
        <f t="shared" si="189"/>
        <v>1610.3738000000001</v>
      </c>
      <c r="H1403" s="7" t="str">
        <f t="shared" si="190"/>
        <v/>
      </c>
      <c r="I1403" s="7" t="str">
        <f t="shared" si="191"/>
        <v/>
      </c>
      <c r="J1403" s="7" t="str">
        <f t="shared" si="192"/>
        <v/>
      </c>
      <c r="K1403" s="7">
        <f t="shared" si="195"/>
        <v>0.69789818445789753</v>
      </c>
      <c r="L1403" s="7">
        <f t="shared" si="196"/>
        <v>-0.24300160926008518</v>
      </c>
      <c r="M1403" s="7">
        <f t="shared" si="197"/>
        <v>0.61314938483154124</v>
      </c>
      <c r="N1403" s="7">
        <f t="shared" si="193"/>
        <v>0.95773211163768313</v>
      </c>
      <c r="O1403" s="7">
        <f t="shared" si="194"/>
        <v>4.2267888362316867E-2</v>
      </c>
    </row>
    <row r="1404" spans="1:15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4">
        <f>IF(SUMIFS('Daily NSE Equity Cash'!$H:$H,'Daily NSE Equity Cash'!$A:$A,$A1404)=0,"",SUMIFS('Daily NSE Equity Cash'!$H:$H,'Daily NSE Equity Cash'!$A:$A,$A1404))</f>
        <v>877.13530000000003</v>
      </c>
      <c r="F1404" s="4">
        <f>IF(SUMIFS('Daily BSE Equity Cash'!$H:$H,'Daily BSE Equity Cash'!$A:$A,$A1404)=0,"",SUMIFS('Daily BSE Equity Cash'!$H:$H,'Daily BSE Equity Cash'!$A:$A,$A1404))</f>
        <v>65.705100000000002</v>
      </c>
      <c r="G1404" s="4">
        <f t="shared" si="189"/>
        <v>942.84040000000005</v>
      </c>
      <c r="H1404" s="7">
        <f t="shared" si="190"/>
        <v>-0.56069422844262928</v>
      </c>
      <c r="I1404" s="7">
        <f t="shared" si="191"/>
        <v>-0.12440482139644582</v>
      </c>
      <c r="J1404" s="7">
        <f t="shared" si="192"/>
        <v>-0.54489093176113435</v>
      </c>
      <c r="K1404" s="7">
        <f t="shared" si="195"/>
        <v>-0.43128347947914636</v>
      </c>
      <c r="L1404" s="7">
        <f t="shared" si="196"/>
        <v>-3.4701052343937056E-2</v>
      </c>
      <c r="M1404" s="7">
        <f t="shared" si="197"/>
        <v>-0.4145207777225387</v>
      </c>
      <c r="N1404" s="7">
        <f t="shared" si="193"/>
        <v>0.93031153522908017</v>
      </c>
      <c r="O1404" s="7">
        <f t="shared" si="194"/>
        <v>6.9688464770919875E-2</v>
      </c>
    </row>
    <row r="1405" spans="1:15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4">
        <f>IF(SUMIFS('Daily NSE Equity Cash'!$H:$H,'Daily NSE Equity Cash'!$A:$A,$A1405)=0,"",SUMIFS('Daily NSE Equity Cash'!$H:$H,'Daily NSE Equity Cash'!$A:$A,$A1405))</f>
        <v>947.25019999999995</v>
      </c>
      <c r="F1405" s="4">
        <f>IF(SUMIFS('Daily BSE Equity Cash'!$H:$H,'Daily BSE Equity Cash'!$A:$A,$A1405)=0,"",SUMIFS('Daily BSE Equity Cash'!$H:$H,'Daily BSE Equity Cash'!$A:$A,$A1405))</f>
        <v>68.066199999999995</v>
      </c>
      <c r="G1405" s="4">
        <f t="shared" si="189"/>
        <v>1015.3163999999999</v>
      </c>
      <c r="H1405" s="7">
        <f t="shared" si="190"/>
        <v>8.2444237992556291E-2</v>
      </c>
      <c r="I1405" s="7">
        <f t="shared" si="191"/>
        <v>0.15027013507598741</v>
      </c>
      <c r="J1405" s="7">
        <f t="shared" si="192"/>
        <v>8.6740111686350874E-2</v>
      </c>
      <c r="K1405" s="7">
        <f t="shared" si="195"/>
        <v>7.9936242447430805E-2</v>
      </c>
      <c r="L1405" s="7">
        <f t="shared" si="196"/>
        <v>3.5934805669574965E-2</v>
      </c>
      <c r="M1405" s="7">
        <f t="shared" si="197"/>
        <v>7.6869849870667251E-2</v>
      </c>
      <c r="N1405" s="7">
        <f t="shared" si="193"/>
        <v>0.93296060223197419</v>
      </c>
      <c r="O1405" s="7">
        <f t="shared" si="194"/>
        <v>6.703939776802581E-2</v>
      </c>
    </row>
    <row r="1406" spans="1:15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4">
        <f>IF(SUMIFS('Daily NSE Equity Cash'!$H:$H,'Daily NSE Equity Cash'!$A:$A,$A1406)=0,"",SUMIFS('Daily NSE Equity Cash'!$H:$H,'Daily NSE Equity Cash'!$A:$A,$A1406))</f>
        <v>848.15419999999995</v>
      </c>
      <c r="F1406" s="4">
        <f>IF(SUMIFS('Daily BSE Equity Cash'!$H:$H,'Daily BSE Equity Cash'!$A:$A,$A1406)=0,"",SUMIFS('Daily BSE Equity Cash'!$H:$H,'Daily BSE Equity Cash'!$A:$A,$A1406))</f>
        <v>99.446200000000005</v>
      </c>
      <c r="G1406" s="4">
        <f t="shared" si="189"/>
        <v>947.60039999999992</v>
      </c>
      <c r="H1406" s="7">
        <f t="shared" si="190"/>
        <v>-0.20978558523372681</v>
      </c>
      <c r="I1406" s="7">
        <f t="shared" si="191"/>
        <v>0.33169515402456473</v>
      </c>
      <c r="J1406" s="7">
        <f t="shared" si="192"/>
        <v>-0.17456267345413501</v>
      </c>
      <c r="K1406" s="7">
        <f t="shared" si="195"/>
        <v>-0.10461438804657952</v>
      </c>
      <c r="L1406" s="7">
        <f t="shared" si="196"/>
        <v>0.46102176998275235</v>
      </c>
      <c r="M1406" s="7">
        <f t="shared" si="197"/>
        <v>-6.669448065647321E-2</v>
      </c>
      <c r="N1406" s="7">
        <f t="shared" si="193"/>
        <v>0.89505470871477055</v>
      </c>
      <c r="O1406" s="7">
        <f t="shared" si="194"/>
        <v>0.10494529128522953</v>
      </c>
    </row>
    <row r="1407" spans="1:15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4">
        <f>IF(SUMIFS('Daily NSE Equity Cash'!$H:$H,'Daily NSE Equity Cash'!$A:$A,$A1407)=0,"",SUMIFS('Daily NSE Equity Cash'!$H:$H,'Daily NSE Equity Cash'!$A:$A,$A1407))</f>
        <v>825.68349999999998</v>
      </c>
      <c r="F1407" s="4">
        <f>IF(SUMIFS('Daily BSE Equity Cash'!$H:$H,'Daily BSE Equity Cash'!$A:$A,$A1407)=0,"",SUMIFS('Daily BSE Equity Cash'!$H:$H,'Daily BSE Equity Cash'!$A:$A,$A1407))</f>
        <v>61.813400000000001</v>
      </c>
      <c r="G1407" s="4">
        <f t="shared" si="189"/>
        <v>887.49689999999998</v>
      </c>
      <c r="H1407" s="7">
        <f t="shared" si="190"/>
        <v>-0.2936460321695612</v>
      </c>
      <c r="I1407" s="7">
        <f t="shared" si="191"/>
        <v>-0.14268318053841134</v>
      </c>
      <c r="J1407" s="7">
        <f t="shared" si="192"/>
        <v>-0.28487549497868048</v>
      </c>
      <c r="K1407" s="7">
        <f t="shared" si="195"/>
        <v>-2.6493649385925355E-2</v>
      </c>
      <c r="L1407" s="7">
        <f t="shared" si="196"/>
        <v>-0.37842371050879775</v>
      </c>
      <c r="M1407" s="7">
        <f t="shared" si="197"/>
        <v>-6.342705216249378E-2</v>
      </c>
      <c r="N1407" s="7">
        <f t="shared" si="193"/>
        <v>0.93035085531002981</v>
      </c>
      <c r="O1407" s="7">
        <f t="shared" si="194"/>
        <v>6.9649144689970188E-2</v>
      </c>
    </row>
    <row r="1408" spans="1:15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4">
        <f>IF(SUMIFS('Daily NSE Equity Cash'!$H:$H,'Daily NSE Equity Cash'!$A:$A,$A1408)=0,"",SUMIFS('Daily NSE Equity Cash'!$H:$H,'Daily NSE Equity Cash'!$A:$A,$A1408))</f>
        <v>852.16300000000001</v>
      </c>
      <c r="F1408" s="4">
        <f>IF(SUMIFS('Daily BSE Equity Cash'!$H:$H,'Daily BSE Equity Cash'!$A:$A,$A1408)=0,"",SUMIFS('Daily BSE Equity Cash'!$H:$H,'Daily BSE Equity Cash'!$A:$A,$A1408))</f>
        <v>62.421500000000002</v>
      </c>
      <c r="G1408" s="4">
        <f t="shared" si="189"/>
        <v>914.58450000000005</v>
      </c>
      <c r="H1408" s="7" t="str">
        <f t="shared" si="190"/>
        <v/>
      </c>
      <c r="I1408" s="7" t="str">
        <f t="shared" si="191"/>
        <v/>
      </c>
      <c r="J1408" s="7" t="str">
        <f t="shared" si="192"/>
        <v/>
      </c>
      <c r="K1408" s="7">
        <f t="shared" si="195"/>
        <v>3.2069794297693965E-2</v>
      </c>
      <c r="L1408" s="7">
        <f t="shared" si="196"/>
        <v>9.8376727376263684E-3</v>
      </c>
      <c r="M1408" s="7">
        <f t="shared" si="197"/>
        <v>3.0521346046392006E-2</v>
      </c>
      <c r="N1408" s="7">
        <f t="shared" si="193"/>
        <v>0.93174878865758159</v>
      </c>
      <c r="O1408" s="7">
        <f t="shared" si="194"/>
        <v>6.8251211342418336E-2</v>
      </c>
    </row>
    <row r="1409" spans="1:15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4">
        <f>IF(SUMIFS('Daily NSE Equity Cash'!$H:$H,'Daily NSE Equity Cash'!$A:$A,$A1409)=0,"",SUMIFS('Daily NSE Equity Cash'!$H:$H,'Daily NSE Equity Cash'!$A:$A,$A1409))</f>
        <v>938.13570000000004</v>
      </c>
      <c r="F1409" s="4">
        <f>IF(SUMIFS('Daily BSE Equity Cash'!$H:$H,'Daily BSE Equity Cash'!$A:$A,$A1409)=0,"",SUMIFS('Daily BSE Equity Cash'!$H:$H,'Daily BSE Equity Cash'!$A:$A,$A1409))</f>
        <v>58.942999999999998</v>
      </c>
      <c r="G1409" s="4">
        <f t="shared" si="189"/>
        <v>997.07870000000003</v>
      </c>
      <c r="H1409" s="7">
        <f t="shared" si="190"/>
        <v>-5.2960710116156995E-2</v>
      </c>
      <c r="I1409" s="7">
        <f t="shared" si="191"/>
        <v>-0.29234404207781428</v>
      </c>
      <c r="J1409" s="7">
        <f t="shared" si="192"/>
        <v>-7.1527783339066286E-2</v>
      </c>
      <c r="K1409" s="7">
        <f t="shared" si="195"/>
        <v>0.10088762361191472</v>
      </c>
      <c r="L1409" s="7">
        <f t="shared" si="196"/>
        <v>-5.5725991845758327E-2</v>
      </c>
      <c r="M1409" s="7">
        <f t="shared" si="197"/>
        <v>9.0198554644212781E-2</v>
      </c>
      <c r="N1409" s="7">
        <f t="shared" si="193"/>
        <v>0.94088430532113465</v>
      </c>
      <c r="O1409" s="7">
        <f t="shared" si="194"/>
        <v>5.9115694678865363E-2</v>
      </c>
    </row>
    <row r="1410" spans="1:15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4">
        <f>IF(SUMIFS('Daily NSE Equity Cash'!$H:$H,'Daily NSE Equity Cash'!$A:$A,$A1410)=0,"",SUMIFS('Daily NSE Equity Cash'!$H:$H,'Daily NSE Equity Cash'!$A:$A,$A1410))</f>
        <v>933.81690000000003</v>
      </c>
      <c r="F1410" s="4">
        <f>IF(SUMIFS('Daily BSE Equity Cash'!$H:$H,'Daily BSE Equity Cash'!$A:$A,$A1410)=0,"",SUMIFS('Daily BSE Equity Cash'!$H:$H,'Daily BSE Equity Cash'!$A:$A,$A1410))</f>
        <v>68.212000000000003</v>
      </c>
      <c r="G1410" s="4">
        <f t="shared" ref="G1410:G1473" si="198">IF(OR(E1410="",F1410=""),"",E1410+F1410)</f>
        <v>1002.0289</v>
      </c>
      <c r="H1410" s="7">
        <f t="shared" ref="H1410:H1473" si="199">IFERROR(IF(OR(E1410="",INDEX(E:E,MATCH(DATE(YEAR($A1410)-1,MONTH($A1410),DAY($A1410)),$A:$A,0))=""),"",E1410/INDEX(E:E,MATCH(DATE(YEAR($A1410)-1,MONTH($A1410),DAY($A1410)),$A:$A,0))-1),"")</f>
        <v>-0.19192344785780935</v>
      </c>
      <c r="I1410" s="7">
        <f t="shared" ref="I1410:I1473" si="200">IFERROR(IF(OR(F1410="",INDEX(F:F,MATCH(DATE(YEAR($A1410)-1,MONTH($A1410),DAY($A1410)),$A:$A,0))=""),"",F1410/INDEX(F:F,MATCH(DATE(YEAR($A1410)-1,MONTH($A1410),DAY($A1410)),$A:$A,0))-1),"")</f>
        <v>-0.165452381039771</v>
      </c>
      <c r="J1410" s="7">
        <f t="shared" ref="J1410:J1473" si="201">IFERROR(IF(OR(G1410="",INDEX(G:G,MATCH(DATE(YEAR($A1410)-1,MONTH($A1410),DAY($A1410)),$A:$A,0))=""),"",G1410/INDEX(G:G,MATCH(DATE(YEAR($A1410)-1,MONTH($A1410),DAY($A1410)),$A:$A,0))-1),"")</f>
        <v>-0.19017484121984918</v>
      </c>
      <c r="K1410" s="7">
        <f t="shared" si="195"/>
        <v>-4.6035983920024171E-3</v>
      </c>
      <c r="L1410" s="7">
        <f t="shared" si="196"/>
        <v>0.15725361790204095</v>
      </c>
      <c r="M1410" s="7">
        <f t="shared" si="197"/>
        <v>4.9647033880073632E-3</v>
      </c>
      <c r="N1410" s="7">
        <f t="shared" ref="N1410:N1473" si="202">IF(G1410="","",E1410/G1410)</f>
        <v>0.9319261151050634</v>
      </c>
      <c r="O1410" s="7">
        <f t="shared" ref="O1410:O1473" si="203">IF(G1410="","",F1410/G1410)</f>
        <v>6.8073884894936668E-2</v>
      </c>
    </row>
    <row r="1411" spans="1:15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4">
        <f>IF(SUMIFS('Daily NSE Equity Cash'!$H:$H,'Daily NSE Equity Cash'!$A:$A,$A1411)=0,"",SUMIFS('Daily NSE Equity Cash'!$H:$H,'Daily NSE Equity Cash'!$A:$A,$A1411))</f>
        <v>883.37</v>
      </c>
      <c r="F1411" s="4">
        <f>IF(SUMIFS('Daily BSE Equity Cash'!$H:$H,'Daily BSE Equity Cash'!$A:$A,$A1411)=0,"",SUMIFS('Daily BSE Equity Cash'!$H:$H,'Daily BSE Equity Cash'!$A:$A,$A1411))</f>
        <v>77.138400000000004</v>
      </c>
      <c r="G1411" s="4">
        <f t="shared" si="198"/>
        <v>960.50840000000005</v>
      </c>
      <c r="H1411" s="7">
        <f t="shared" si="199"/>
        <v>-0.25991937756720518</v>
      </c>
      <c r="I1411" s="7">
        <f t="shared" si="200"/>
        <v>0.18288477138445169</v>
      </c>
      <c r="J1411" s="7">
        <f t="shared" si="201"/>
        <v>-0.2369803816303977</v>
      </c>
      <c r="K1411" s="7">
        <f t="shared" ref="K1411:K1474" si="204">IF(OR(E1411="",E1410=""),"",E1411/E1410-1)</f>
        <v>-5.4022260680868017E-2</v>
      </c>
      <c r="L1411" s="7">
        <f t="shared" ref="L1411:L1474" si="205">IF(OR(F1411="",F1410=""),"",F1411/F1410-1)</f>
        <v>0.13086260482026613</v>
      </c>
      <c r="M1411" s="7">
        <f t="shared" ref="M1411:M1474" si="206">IF(OR(G1411="",G1410=""),"",G1411/G1410-1)</f>
        <v>-4.1436429627927818E-2</v>
      </c>
      <c r="N1411" s="7">
        <f t="shared" si="202"/>
        <v>0.91969003082117762</v>
      </c>
      <c r="O1411" s="7">
        <f t="shared" si="203"/>
        <v>8.0309969178822382E-2</v>
      </c>
    </row>
    <row r="1412" spans="1:15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4">
        <f>IF(SUMIFS('Daily NSE Equity Cash'!$H:$H,'Daily NSE Equity Cash'!$A:$A,$A1412)=0,"",SUMIFS('Daily NSE Equity Cash'!$H:$H,'Daily NSE Equity Cash'!$A:$A,$A1412))</f>
        <v>917.80560000000003</v>
      </c>
      <c r="F1412" s="4">
        <f>IF(SUMIFS('Daily BSE Equity Cash'!$H:$H,'Daily BSE Equity Cash'!$A:$A,$A1412)=0,"",SUMIFS('Daily BSE Equity Cash'!$H:$H,'Daily BSE Equity Cash'!$A:$A,$A1412))</f>
        <v>59.255600000000001</v>
      </c>
      <c r="G1412" s="4">
        <f t="shared" si="198"/>
        <v>977.06119999999999</v>
      </c>
      <c r="H1412" s="7">
        <f t="shared" si="199"/>
        <v>-0.30867752051903852</v>
      </c>
      <c r="I1412" s="7">
        <f t="shared" si="200"/>
        <v>-0.14243496508556741</v>
      </c>
      <c r="J1412" s="7">
        <f t="shared" si="201"/>
        <v>-0.30045320919363139</v>
      </c>
      <c r="K1412" s="7">
        <f t="shared" si="204"/>
        <v>3.8982079989132501E-2</v>
      </c>
      <c r="L1412" s="7">
        <f t="shared" si="205"/>
        <v>-0.23182746855003478</v>
      </c>
      <c r="M1412" s="7">
        <f t="shared" si="206"/>
        <v>1.7233373492621107E-2</v>
      </c>
      <c r="N1412" s="7">
        <f t="shared" si="202"/>
        <v>0.93935323601019061</v>
      </c>
      <c r="O1412" s="7">
        <f t="shared" si="203"/>
        <v>6.0646763989809442E-2</v>
      </c>
    </row>
    <row r="1413" spans="1:15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4">
        <f>IF(SUMIFS('Daily NSE Equity Cash'!$H:$H,'Daily NSE Equity Cash'!$A:$A,$A1413)=0,"",SUMIFS('Daily NSE Equity Cash'!$H:$H,'Daily NSE Equity Cash'!$A:$A,$A1413))</f>
        <v>967.55790000000002</v>
      </c>
      <c r="F1413" s="4">
        <f>IF(SUMIFS('Daily BSE Equity Cash'!$H:$H,'Daily BSE Equity Cash'!$A:$A,$A1413)=0,"",SUMIFS('Daily BSE Equity Cash'!$H:$H,'Daily BSE Equity Cash'!$A:$A,$A1413))</f>
        <v>69.891400000000004</v>
      </c>
      <c r="G1413" s="4">
        <f t="shared" si="198"/>
        <v>1037.4493</v>
      </c>
      <c r="H1413" s="7" t="str">
        <f t="shared" si="199"/>
        <v/>
      </c>
      <c r="I1413" s="7" t="str">
        <f t="shared" si="200"/>
        <v/>
      </c>
      <c r="J1413" s="7" t="str">
        <f t="shared" si="201"/>
        <v/>
      </c>
      <c r="K1413" s="7">
        <f t="shared" si="204"/>
        <v>5.4207884545485419E-2</v>
      </c>
      <c r="L1413" s="7">
        <f t="shared" si="205"/>
        <v>0.17949020852037623</v>
      </c>
      <c r="M1413" s="7">
        <f t="shared" si="206"/>
        <v>6.1805852079685586E-2</v>
      </c>
      <c r="N1413" s="7">
        <f t="shared" si="202"/>
        <v>0.93263150305272746</v>
      </c>
      <c r="O1413" s="7">
        <f t="shared" si="203"/>
        <v>6.736849694727251E-2</v>
      </c>
    </row>
    <row r="1414" spans="1:15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4">
        <f>IF(SUMIFS('Daily NSE Equity Cash'!$H:$H,'Daily NSE Equity Cash'!$A:$A,$A1414)=0,"",SUMIFS('Daily NSE Equity Cash'!$H:$H,'Daily NSE Equity Cash'!$A:$A,$A1414))</f>
        <v>1061.4828</v>
      </c>
      <c r="F1414" s="4">
        <f>IF(SUMIFS('Daily BSE Equity Cash'!$H:$H,'Daily BSE Equity Cash'!$A:$A,$A1414)=0,"",SUMIFS('Daily BSE Equity Cash'!$H:$H,'Daily BSE Equity Cash'!$A:$A,$A1414))</f>
        <v>78.649600000000007</v>
      </c>
      <c r="G1414" s="4">
        <f t="shared" si="198"/>
        <v>1140.1324</v>
      </c>
      <c r="H1414" s="7">
        <f t="shared" si="199"/>
        <v>-4.9279130539450211E-3</v>
      </c>
      <c r="I1414" s="7">
        <f t="shared" si="200"/>
        <v>0.1323217969815158</v>
      </c>
      <c r="J1414" s="7">
        <f t="shared" si="201"/>
        <v>3.4625117816140527E-3</v>
      </c>
      <c r="K1414" s="7">
        <f t="shared" si="204"/>
        <v>9.707419059882616E-2</v>
      </c>
      <c r="L1414" s="7">
        <f t="shared" si="205"/>
        <v>0.12531155478356415</v>
      </c>
      <c r="M1414" s="7">
        <f t="shared" si="206"/>
        <v>9.8976499381704608E-2</v>
      </c>
      <c r="N1414" s="7">
        <f t="shared" si="202"/>
        <v>0.93101713450122114</v>
      </c>
      <c r="O1414" s="7">
        <f t="shared" si="203"/>
        <v>6.8982865498778925E-2</v>
      </c>
    </row>
    <row r="1415" spans="1:15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4">
        <f>IF(SUMIFS('Daily NSE Equity Cash'!$H:$H,'Daily NSE Equity Cash'!$A:$A,$A1415)=0,"",SUMIFS('Daily NSE Equity Cash'!$H:$H,'Daily NSE Equity Cash'!$A:$A,$A1415))</f>
        <v>958.26739999999995</v>
      </c>
      <c r="F1415" s="4">
        <f>IF(SUMIFS('Daily BSE Equity Cash'!$H:$H,'Daily BSE Equity Cash'!$A:$A,$A1415)=0,"",SUMIFS('Daily BSE Equity Cash'!$H:$H,'Daily BSE Equity Cash'!$A:$A,$A1415))</f>
        <v>65.965800000000002</v>
      </c>
      <c r="G1415" s="4">
        <f t="shared" si="198"/>
        <v>1024.2331999999999</v>
      </c>
      <c r="H1415" s="7">
        <f t="shared" si="199"/>
        <v>-0.11895561198305271</v>
      </c>
      <c r="I1415" s="7">
        <f t="shared" si="200"/>
        <v>-7.7393656450263859E-2</v>
      </c>
      <c r="J1415" s="7">
        <f t="shared" si="201"/>
        <v>-0.11639195934119939</v>
      </c>
      <c r="K1415" s="7">
        <f t="shared" si="204"/>
        <v>-9.723699715153189E-2</v>
      </c>
      <c r="L1415" s="7">
        <f t="shared" si="205"/>
        <v>-0.16126973309463755</v>
      </c>
      <c r="M1415" s="7">
        <f t="shared" si="206"/>
        <v>-0.10165415876261397</v>
      </c>
      <c r="N1415" s="7">
        <f t="shared" si="202"/>
        <v>0.9355949406834303</v>
      </c>
      <c r="O1415" s="7">
        <f t="shared" si="203"/>
        <v>6.4405059316569715E-2</v>
      </c>
    </row>
    <row r="1416" spans="1:15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4">
        <f>IF(SUMIFS('Daily NSE Equity Cash'!$H:$H,'Daily NSE Equity Cash'!$A:$A,$A1416)=0,"",SUMIFS('Daily NSE Equity Cash'!$H:$H,'Daily NSE Equity Cash'!$A:$A,$A1416))</f>
        <v>793.00779999999997</v>
      </c>
      <c r="F1416" s="4">
        <f>IF(SUMIFS('Daily BSE Equity Cash'!$H:$H,'Daily BSE Equity Cash'!$A:$A,$A1416)=0,"",SUMIFS('Daily BSE Equity Cash'!$H:$H,'Daily BSE Equity Cash'!$A:$A,$A1416))</f>
        <v>72.538499999999999</v>
      </c>
      <c r="G1416" s="4">
        <f t="shared" si="198"/>
        <v>865.54629999999997</v>
      </c>
      <c r="H1416" s="7">
        <f t="shared" si="199"/>
        <v>-0.18793024297236316</v>
      </c>
      <c r="I1416" s="7">
        <f t="shared" si="200"/>
        <v>0.1030374453525944</v>
      </c>
      <c r="J1416" s="7">
        <f t="shared" si="201"/>
        <v>-0.16957184244065848</v>
      </c>
      <c r="K1416" s="7">
        <f t="shared" si="204"/>
        <v>-0.17245666501855328</v>
      </c>
      <c r="L1416" s="7">
        <f t="shared" si="205"/>
        <v>9.9637994233375382E-2</v>
      </c>
      <c r="M1416" s="7">
        <f t="shared" si="206"/>
        <v>-0.1549323923497109</v>
      </c>
      <c r="N1416" s="7">
        <f t="shared" si="202"/>
        <v>0.91619339138761269</v>
      </c>
      <c r="O1416" s="7">
        <f t="shared" si="203"/>
        <v>8.380660861238734E-2</v>
      </c>
    </row>
    <row r="1417" spans="1:15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4">
        <f>IF(SUMIFS('Daily NSE Equity Cash'!$H:$H,'Daily NSE Equity Cash'!$A:$A,$A1417)=0,"",SUMIFS('Daily NSE Equity Cash'!$H:$H,'Daily NSE Equity Cash'!$A:$A,$A1417))</f>
        <v>863.90020000000004</v>
      </c>
      <c r="F1417" s="4">
        <f>IF(SUMIFS('Daily BSE Equity Cash'!$H:$H,'Daily BSE Equity Cash'!$A:$A,$A1417)=0,"",SUMIFS('Daily BSE Equity Cash'!$H:$H,'Daily BSE Equity Cash'!$A:$A,$A1417))</f>
        <v>76.205699999999993</v>
      </c>
      <c r="G1417" s="4">
        <f t="shared" si="198"/>
        <v>940.10590000000002</v>
      </c>
      <c r="H1417" s="7">
        <f t="shared" si="199"/>
        <v>-0.18586747689749894</v>
      </c>
      <c r="I1417" s="7">
        <f t="shared" si="200"/>
        <v>-6.201211661689876E-2</v>
      </c>
      <c r="J1417" s="7">
        <f t="shared" si="201"/>
        <v>-0.17705907918907426</v>
      </c>
      <c r="K1417" s="7">
        <f t="shared" si="204"/>
        <v>8.9396850825427032E-2</v>
      </c>
      <c r="L1417" s="7">
        <f t="shared" si="205"/>
        <v>5.0555222399139677E-2</v>
      </c>
      <c r="M1417" s="7">
        <f t="shared" si="206"/>
        <v>8.6141665674037471E-2</v>
      </c>
      <c r="N1417" s="7">
        <f t="shared" si="202"/>
        <v>0.91893923865385807</v>
      </c>
      <c r="O1417" s="7">
        <f t="shared" si="203"/>
        <v>8.1060761346141957E-2</v>
      </c>
    </row>
    <row r="1418" spans="1:15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4">
        <f>IF(SUMIFS('Daily NSE Equity Cash'!$H:$H,'Daily NSE Equity Cash'!$A:$A,$A1418)=0,"",SUMIFS('Daily NSE Equity Cash'!$H:$H,'Daily NSE Equity Cash'!$A:$A,$A1418))</f>
        <v>799.72969999999998</v>
      </c>
      <c r="F1418" s="4">
        <f>IF(SUMIFS('Daily BSE Equity Cash'!$H:$H,'Daily BSE Equity Cash'!$A:$A,$A1418)=0,"",SUMIFS('Daily BSE Equity Cash'!$H:$H,'Daily BSE Equity Cash'!$A:$A,$A1418))</f>
        <v>61.6648</v>
      </c>
      <c r="G1418" s="4">
        <f t="shared" si="198"/>
        <v>861.39449999999999</v>
      </c>
      <c r="H1418" s="7" t="str">
        <f t="shared" si="199"/>
        <v/>
      </c>
      <c r="I1418" s="7" t="str">
        <f t="shared" si="200"/>
        <v/>
      </c>
      <c r="J1418" s="7" t="str">
        <f t="shared" si="201"/>
        <v/>
      </c>
      <c r="K1418" s="7">
        <f t="shared" si="204"/>
        <v>-7.4279992063898237E-2</v>
      </c>
      <c r="L1418" s="7">
        <f t="shared" si="205"/>
        <v>-0.19081118603988934</v>
      </c>
      <c r="M1418" s="7">
        <f t="shared" si="206"/>
        <v>-8.3726099368166995E-2</v>
      </c>
      <c r="N1418" s="7">
        <f t="shared" si="202"/>
        <v>0.9284128236249477</v>
      </c>
      <c r="O1418" s="7">
        <f t="shared" si="203"/>
        <v>7.1587176375052311E-2</v>
      </c>
    </row>
    <row r="1419" spans="1:15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4">
        <f>IF(SUMIFS('Daily NSE Equity Cash'!$H:$H,'Daily NSE Equity Cash'!$A:$A,$A1419)=0,"",SUMIFS('Daily NSE Equity Cash'!$H:$H,'Daily NSE Equity Cash'!$A:$A,$A1419))</f>
        <v>839.84540000000004</v>
      </c>
      <c r="F1419" s="4">
        <f>IF(SUMIFS('Daily BSE Equity Cash'!$H:$H,'Daily BSE Equity Cash'!$A:$A,$A1419)=0,"",SUMIFS('Daily BSE Equity Cash'!$H:$H,'Daily BSE Equity Cash'!$A:$A,$A1419))</f>
        <v>56.851999999999997</v>
      </c>
      <c r="G1419" s="4">
        <f t="shared" si="198"/>
        <v>896.69740000000002</v>
      </c>
      <c r="H1419" s="7">
        <f t="shared" si="199"/>
        <v>-5.8424842697172075E-2</v>
      </c>
      <c r="I1419" s="7">
        <f t="shared" si="200"/>
        <v>-6.3328928855044375E-2</v>
      </c>
      <c r="J1419" s="7">
        <f t="shared" si="201"/>
        <v>-5.8737293520195188E-2</v>
      </c>
      <c r="K1419" s="7">
        <f t="shared" si="204"/>
        <v>5.0161573341592769E-2</v>
      </c>
      <c r="L1419" s="7">
        <f t="shared" si="205"/>
        <v>-7.8047767932434731E-2</v>
      </c>
      <c r="M1419" s="7">
        <f t="shared" si="206"/>
        <v>4.0983428614879802E-2</v>
      </c>
      <c r="N1419" s="7">
        <f t="shared" si="202"/>
        <v>0.93659845562170696</v>
      </c>
      <c r="O1419" s="7">
        <f t="shared" si="203"/>
        <v>6.3401544378293054E-2</v>
      </c>
    </row>
    <row r="1420" spans="1:15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4">
        <f>IF(SUMIFS('Daily NSE Equity Cash'!$H:$H,'Daily NSE Equity Cash'!$A:$A,$A1420)=0,"",SUMIFS('Daily NSE Equity Cash'!$H:$H,'Daily NSE Equity Cash'!$A:$A,$A1420))</f>
        <v>851.79750000000001</v>
      </c>
      <c r="F1420" s="4">
        <f>IF(SUMIFS('Daily BSE Equity Cash'!$H:$H,'Daily BSE Equity Cash'!$A:$A,$A1420)=0,"",SUMIFS('Daily BSE Equity Cash'!$H:$H,'Daily BSE Equity Cash'!$A:$A,$A1420))</f>
        <v>68.400599999999997</v>
      </c>
      <c r="G1420" s="4">
        <f t="shared" si="198"/>
        <v>920.19810000000007</v>
      </c>
      <c r="H1420" s="7">
        <f t="shared" si="199"/>
        <v>-0.21176760938352779</v>
      </c>
      <c r="I1420" s="7">
        <f t="shared" si="200"/>
        <v>4.8887866589994111E-2</v>
      </c>
      <c r="J1420" s="7">
        <f t="shared" si="201"/>
        <v>-0.19693327716567299</v>
      </c>
      <c r="K1420" s="7">
        <f t="shared" si="204"/>
        <v>1.4231309714859419E-2</v>
      </c>
      <c r="L1420" s="7">
        <f t="shared" si="205"/>
        <v>0.20313445437275734</v>
      </c>
      <c r="M1420" s="7">
        <f t="shared" si="206"/>
        <v>2.6208060824086221E-2</v>
      </c>
      <c r="N1420" s="7">
        <f t="shared" si="202"/>
        <v>0.92566752745957637</v>
      </c>
      <c r="O1420" s="7">
        <f t="shared" si="203"/>
        <v>7.4332472540423619E-2</v>
      </c>
    </row>
    <row r="1421" spans="1:15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4">
        <f>IF(SUMIFS('Daily NSE Equity Cash'!$H:$H,'Daily NSE Equity Cash'!$A:$A,$A1421)=0,"",SUMIFS('Daily NSE Equity Cash'!$H:$H,'Daily NSE Equity Cash'!$A:$A,$A1421))</f>
        <v>878.65319999999997</v>
      </c>
      <c r="F1421" s="4">
        <f>IF(SUMIFS('Daily BSE Equity Cash'!$H:$H,'Daily BSE Equity Cash'!$A:$A,$A1421)=0,"",SUMIFS('Daily BSE Equity Cash'!$H:$H,'Daily BSE Equity Cash'!$A:$A,$A1421))</f>
        <v>77.236500000000007</v>
      </c>
      <c r="G1421" s="4">
        <f t="shared" si="198"/>
        <v>955.88969999999995</v>
      </c>
      <c r="H1421" s="7">
        <f t="shared" si="199"/>
        <v>-0.1582644782484991</v>
      </c>
      <c r="I1421" s="7">
        <f t="shared" si="200"/>
        <v>2.8803542100404922E-2</v>
      </c>
      <c r="J1421" s="7">
        <f t="shared" si="201"/>
        <v>-0.14571326918472605</v>
      </c>
      <c r="K1421" s="7">
        <f t="shared" si="204"/>
        <v>3.1528268162327233E-2</v>
      </c>
      <c r="L1421" s="7">
        <f t="shared" si="205"/>
        <v>0.12917869141498772</v>
      </c>
      <c r="M1421" s="7">
        <f t="shared" si="206"/>
        <v>3.8786865567316253E-2</v>
      </c>
      <c r="N1421" s="7">
        <f t="shared" si="202"/>
        <v>0.91919935950769216</v>
      </c>
      <c r="O1421" s="7">
        <f t="shared" si="203"/>
        <v>8.0800640492307854E-2</v>
      </c>
    </row>
    <row r="1422" spans="1:15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4">
        <f>IF(SUMIFS('Daily NSE Equity Cash'!$H:$H,'Daily NSE Equity Cash'!$A:$A,$A1422)=0,"",SUMIFS('Daily NSE Equity Cash'!$H:$H,'Daily NSE Equity Cash'!$A:$A,$A1422))</f>
        <v>1241.4141</v>
      </c>
      <c r="F1422" s="4">
        <f>IF(SUMIFS('Daily BSE Equity Cash'!$H:$H,'Daily BSE Equity Cash'!$A:$A,$A1422)=0,"",SUMIFS('Daily BSE Equity Cash'!$H:$H,'Daily BSE Equity Cash'!$A:$A,$A1422))</f>
        <v>78.433499999999995</v>
      </c>
      <c r="G1422" s="4">
        <f t="shared" si="198"/>
        <v>1319.8476000000001</v>
      </c>
      <c r="H1422" s="7">
        <f t="shared" si="199"/>
        <v>0.20463853345900351</v>
      </c>
      <c r="I1422" s="7">
        <f t="shared" si="200"/>
        <v>0.21096910259814838</v>
      </c>
      <c r="J1422" s="7">
        <f t="shared" si="201"/>
        <v>0.2050128846272361</v>
      </c>
      <c r="K1422" s="7">
        <f t="shared" si="204"/>
        <v>0.41286015916177177</v>
      </c>
      <c r="L1422" s="7">
        <f t="shared" si="205"/>
        <v>1.5497853993901689E-2</v>
      </c>
      <c r="M1422" s="7">
        <f t="shared" si="206"/>
        <v>0.38075303039670794</v>
      </c>
      <c r="N1422" s="7">
        <f t="shared" si="202"/>
        <v>0.94057382079567364</v>
      </c>
      <c r="O1422" s="7">
        <f t="shared" si="203"/>
        <v>5.9426179204326308E-2</v>
      </c>
    </row>
    <row r="1423" spans="1:15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4">
        <f>IF(SUMIFS('Daily NSE Equity Cash'!$H:$H,'Daily NSE Equity Cash'!$A:$A,$A1423)=0,"",SUMIFS('Daily NSE Equity Cash'!$H:$H,'Daily NSE Equity Cash'!$A:$A,$A1423))</f>
        <v>974.58450000000005</v>
      </c>
      <c r="F1423" s="4">
        <f>IF(SUMIFS('Daily BSE Equity Cash'!$H:$H,'Daily BSE Equity Cash'!$A:$A,$A1423)=0,"",SUMIFS('Daily BSE Equity Cash'!$H:$H,'Daily BSE Equity Cash'!$A:$A,$A1423))</f>
        <v>64.8767</v>
      </c>
      <c r="G1423" s="4">
        <f t="shared" si="198"/>
        <v>1039.4612</v>
      </c>
      <c r="H1423" s="7" t="str">
        <f t="shared" si="199"/>
        <v/>
      </c>
      <c r="I1423" s="7" t="str">
        <f t="shared" si="200"/>
        <v/>
      </c>
      <c r="J1423" s="7" t="str">
        <f t="shared" si="201"/>
        <v/>
      </c>
      <c r="K1423" s="7">
        <f t="shared" si="204"/>
        <v>-0.21494004297196234</v>
      </c>
      <c r="L1423" s="7">
        <f t="shared" si="205"/>
        <v>-0.17284451159262304</v>
      </c>
      <c r="M1423" s="7">
        <f t="shared" si="206"/>
        <v>-0.21243846638051245</v>
      </c>
      <c r="N1423" s="7">
        <f t="shared" si="202"/>
        <v>0.93758622255453117</v>
      </c>
      <c r="O1423" s="7">
        <f t="shared" si="203"/>
        <v>6.2413777445468867E-2</v>
      </c>
    </row>
    <row r="1424" spans="1:15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4">
        <f>IF(SUMIFS('Daily NSE Equity Cash'!$H:$H,'Daily NSE Equity Cash'!$A:$A,$A1424)=0,"",SUMIFS('Daily NSE Equity Cash'!$H:$H,'Daily NSE Equity Cash'!$A:$A,$A1424))</f>
        <v>891.55759999999998</v>
      </c>
      <c r="F1424" s="4">
        <f>IF(SUMIFS('Daily BSE Equity Cash'!$H:$H,'Daily BSE Equity Cash'!$A:$A,$A1424)=0,"",SUMIFS('Daily BSE Equity Cash'!$H:$H,'Daily BSE Equity Cash'!$A:$A,$A1424))</f>
        <v>64.274699999999996</v>
      </c>
      <c r="G1424" s="4">
        <f t="shared" si="198"/>
        <v>955.83230000000003</v>
      </c>
      <c r="H1424" s="7">
        <f t="shared" si="199"/>
        <v>7.5181376143248491E-2</v>
      </c>
      <c r="I1424" s="7">
        <f t="shared" si="200"/>
        <v>0.12643861472377371</v>
      </c>
      <c r="J1424" s="7">
        <f t="shared" si="201"/>
        <v>7.8481412282244811E-2</v>
      </c>
      <c r="K1424" s="7">
        <f t="shared" si="204"/>
        <v>-8.5192099812792077E-2</v>
      </c>
      <c r="L1424" s="7">
        <f t="shared" si="205"/>
        <v>-9.2791402768637177E-3</v>
      </c>
      <c r="M1424" s="7">
        <f t="shared" si="206"/>
        <v>-8.0454085251089658E-2</v>
      </c>
      <c r="N1424" s="7">
        <f t="shared" si="202"/>
        <v>0.93275525424282058</v>
      </c>
      <c r="O1424" s="7">
        <f t="shared" si="203"/>
        <v>6.7244745757179369E-2</v>
      </c>
    </row>
    <row r="1425" spans="1:15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4">
        <f>IF(SUMIFS('Daily NSE Equity Cash'!$H:$H,'Daily NSE Equity Cash'!$A:$A,$A1425)=0,"",SUMIFS('Daily NSE Equity Cash'!$H:$H,'Daily NSE Equity Cash'!$A:$A,$A1425))</f>
        <v>862.41020000000003</v>
      </c>
      <c r="F1425" s="4">
        <f>IF(SUMIFS('Daily BSE Equity Cash'!$H:$H,'Daily BSE Equity Cash'!$A:$A,$A1425)=0,"",SUMIFS('Daily BSE Equity Cash'!$H:$H,'Daily BSE Equity Cash'!$A:$A,$A1425))</f>
        <v>83.283500000000004</v>
      </c>
      <c r="G1425" s="4">
        <f t="shared" si="198"/>
        <v>945.69370000000004</v>
      </c>
      <c r="H1425" s="7">
        <f t="shared" si="199"/>
        <v>0.12827544666698243</v>
      </c>
      <c r="I1425" s="7">
        <f t="shared" si="200"/>
        <v>0.58660321536547677</v>
      </c>
      <c r="J1425" s="7">
        <f t="shared" si="201"/>
        <v>0.15772799295246598</v>
      </c>
      <c r="K1425" s="7">
        <f t="shared" si="204"/>
        <v>-3.2692671791480388E-2</v>
      </c>
      <c r="L1425" s="7">
        <f t="shared" si="205"/>
        <v>0.29574311509816464</v>
      </c>
      <c r="M1425" s="7">
        <f t="shared" si="206"/>
        <v>-1.0607090804527153E-2</v>
      </c>
      <c r="N1425" s="7">
        <f t="shared" si="202"/>
        <v>0.91193395916669429</v>
      </c>
      <c r="O1425" s="7">
        <f t="shared" si="203"/>
        <v>8.8066040833305756E-2</v>
      </c>
    </row>
    <row r="1426" spans="1:15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4">
        <f>IF(SUMIFS('Daily NSE Equity Cash'!$H:$H,'Daily NSE Equity Cash'!$A:$A,$A1426)=0,"",SUMIFS('Daily NSE Equity Cash'!$H:$H,'Daily NSE Equity Cash'!$A:$A,$A1426))</f>
        <v>815.53790000000004</v>
      </c>
      <c r="F1426" s="4">
        <f>IF(SUMIFS('Daily BSE Equity Cash'!$H:$H,'Daily BSE Equity Cash'!$A:$A,$A1426)=0,"",SUMIFS('Daily BSE Equity Cash'!$H:$H,'Daily BSE Equity Cash'!$A:$A,$A1426))</f>
        <v>61.72</v>
      </c>
      <c r="G1426" s="4">
        <f t="shared" si="198"/>
        <v>877.25790000000006</v>
      </c>
      <c r="H1426" s="7">
        <f t="shared" si="199"/>
        <v>-6.185249671709081E-3</v>
      </c>
      <c r="I1426" s="7">
        <f t="shared" si="200"/>
        <v>9.6612795474251278E-2</v>
      </c>
      <c r="J1426" s="7">
        <f t="shared" si="201"/>
        <v>4.1270572565044183E-4</v>
      </c>
      <c r="K1426" s="7">
        <f t="shared" si="204"/>
        <v>-5.4350354390520939E-2</v>
      </c>
      <c r="L1426" s="7">
        <f t="shared" si="205"/>
        <v>-0.25891683226569495</v>
      </c>
      <c r="M1426" s="7">
        <f t="shared" si="206"/>
        <v>-7.2365714184201457E-2</v>
      </c>
      <c r="N1426" s="7">
        <f t="shared" si="202"/>
        <v>0.9296444067360351</v>
      </c>
      <c r="O1426" s="7">
        <f t="shared" si="203"/>
        <v>7.03555932639649E-2</v>
      </c>
    </row>
    <row r="1427" spans="1:15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4">
        <f>IF(SUMIFS('Daily NSE Equity Cash'!$H:$H,'Daily NSE Equity Cash'!$A:$A,$A1427)=0,"",SUMIFS('Daily NSE Equity Cash'!$H:$H,'Daily NSE Equity Cash'!$A:$A,$A1427))</f>
        <v>1039.279</v>
      </c>
      <c r="F1427" s="4">
        <f>IF(SUMIFS('Daily BSE Equity Cash'!$H:$H,'Daily BSE Equity Cash'!$A:$A,$A1427)=0,"",SUMIFS('Daily BSE Equity Cash'!$H:$H,'Daily BSE Equity Cash'!$A:$A,$A1427))</f>
        <v>97.125299999999996</v>
      </c>
      <c r="G1427" s="4">
        <f t="shared" si="198"/>
        <v>1136.4042999999999</v>
      </c>
      <c r="H1427" s="7" t="str">
        <f t="shared" si="199"/>
        <v/>
      </c>
      <c r="I1427" s="7" t="str">
        <f t="shared" si="200"/>
        <v/>
      </c>
      <c r="J1427" s="7" t="str">
        <f t="shared" si="201"/>
        <v/>
      </c>
      <c r="K1427" s="7">
        <f t="shared" si="204"/>
        <v>0.27434788744949801</v>
      </c>
      <c r="L1427" s="7">
        <f t="shared" si="205"/>
        <v>0.57364387556707719</v>
      </c>
      <c r="M1427" s="7">
        <f t="shared" si="206"/>
        <v>0.29540503425503473</v>
      </c>
      <c r="N1427" s="7">
        <f t="shared" si="202"/>
        <v>0.91453279435848678</v>
      </c>
      <c r="O1427" s="7">
        <f t="shared" si="203"/>
        <v>8.5467205641513333E-2</v>
      </c>
    </row>
    <row r="1428" spans="1:15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4">
        <f>IF(SUMIFS('Daily NSE Equity Cash'!$H:$H,'Daily NSE Equity Cash'!$A:$A,$A1428)=0,"",SUMIFS('Daily NSE Equity Cash'!$H:$H,'Daily NSE Equity Cash'!$A:$A,$A1428))</f>
        <v>1417.9539</v>
      </c>
      <c r="F1428" s="4">
        <f>IF(SUMIFS('Daily BSE Equity Cash'!$H:$H,'Daily BSE Equity Cash'!$A:$A,$A1428)=0,"",SUMIFS('Daily BSE Equity Cash'!$H:$H,'Daily BSE Equity Cash'!$A:$A,$A1428))</f>
        <v>68.266499999999994</v>
      </c>
      <c r="G1428" s="4">
        <f t="shared" si="198"/>
        <v>1486.2203999999999</v>
      </c>
      <c r="H1428" s="7">
        <f t="shared" si="199"/>
        <v>1.2699362921399837E-2</v>
      </c>
      <c r="I1428" s="7">
        <f t="shared" si="200"/>
        <v>9.9320759821445836E-2</v>
      </c>
      <c r="J1428" s="7">
        <f t="shared" si="201"/>
        <v>1.6377944614111906E-2</v>
      </c>
      <c r="K1428" s="7">
        <f t="shared" si="204"/>
        <v>0.36436308248314453</v>
      </c>
      <c r="L1428" s="7">
        <f t="shared" si="205"/>
        <v>-0.29712958415572466</v>
      </c>
      <c r="M1428" s="7">
        <f t="shared" si="206"/>
        <v>0.3078271527131673</v>
      </c>
      <c r="N1428" s="7">
        <f t="shared" si="202"/>
        <v>0.95406704146975785</v>
      </c>
      <c r="O1428" s="7">
        <f t="shared" si="203"/>
        <v>4.5932958530242214E-2</v>
      </c>
    </row>
    <row r="1429" spans="1:15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4">
        <f>IF(SUMIFS('Daily NSE Equity Cash'!$H:$H,'Daily NSE Equity Cash'!$A:$A,$A1429)=0,"",SUMIFS('Daily NSE Equity Cash'!$H:$H,'Daily NSE Equity Cash'!$A:$A,$A1429))</f>
        <v>1006.9576</v>
      </c>
      <c r="F1429" s="4">
        <f>IF(SUMIFS('Daily BSE Equity Cash'!$H:$H,'Daily BSE Equity Cash'!$A:$A,$A1429)=0,"",SUMIFS('Daily BSE Equity Cash'!$H:$H,'Daily BSE Equity Cash'!$A:$A,$A1429))</f>
        <v>82.916399999999996</v>
      </c>
      <c r="G1429" s="4">
        <f t="shared" si="198"/>
        <v>1089.874</v>
      </c>
      <c r="H1429" s="7">
        <f t="shared" si="199"/>
        <v>0.20951828875864575</v>
      </c>
      <c r="I1429" s="7">
        <f t="shared" si="200"/>
        <v>0.57540498329907019</v>
      </c>
      <c r="J1429" s="7">
        <f t="shared" si="201"/>
        <v>0.23127399849699426</v>
      </c>
      <c r="K1429" s="7">
        <f t="shared" si="204"/>
        <v>-0.28985166584047617</v>
      </c>
      <c r="L1429" s="7">
        <f t="shared" si="205"/>
        <v>0.21459866845378039</v>
      </c>
      <c r="M1429" s="7">
        <f t="shared" si="206"/>
        <v>-0.26668076955477127</v>
      </c>
      <c r="N1429" s="7">
        <f t="shared" si="202"/>
        <v>0.92392111381682651</v>
      </c>
      <c r="O1429" s="7">
        <f t="shared" si="203"/>
        <v>7.6078886183173461E-2</v>
      </c>
    </row>
    <row r="1430" spans="1:15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4">
        <f>IF(SUMIFS('Daily NSE Equity Cash'!$H:$H,'Daily NSE Equity Cash'!$A:$A,$A1430)=0,"",SUMIFS('Daily NSE Equity Cash'!$H:$H,'Daily NSE Equity Cash'!$A:$A,$A1430))</f>
        <v>802.32389999999998</v>
      </c>
      <c r="F1430" s="4">
        <f>IF(SUMIFS('Daily BSE Equity Cash'!$H:$H,'Daily BSE Equity Cash'!$A:$A,$A1430)=0,"",SUMIFS('Daily BSE Equity Cash'!$H:$H,'Daily BSE Equity Cash'!$A:$A,$A1430))</f>
        <v>62.372300000000003</v>
      </c>
      <c r="G1430" s="4">
        <f t="shared" si="198"/>
        <v>864.69619999999998</v>
      </c>
      <c r="H1430" s="7">
        <f t="shared" si="199"/>
        <v>0.20637003949041355</v>
      </c>
      <c r="I1430" s="7">
        <f t="shared" si="200"/>
        <v>0.38007385789104542</v>
      </c>
      <c r="J1430" s="7">
        <f t="shared" si="201"/>
        <v>0.21742295193769889</v>
      </c>
      <c r="K1430" s="7">
        <f t="shared" si="204"/>
        <v>-0.20321977807208569</v>
      </c>
      <c r="L1430" s="7">
        <f t="shared" si="205"/>
        <v>-0.24776883704550601</v>
      </c>
      <c r="M1430" s="7">
        <f t="shared" si="206"/>
        <v>-0.206609020859292</v>
      </c>
      <c r="N1430" s="7">
        <f t="shared" si="202"/>
        <v>0.92786796102492408</v>
      </c>
      <c r="O1430" s="7">
        <f t="shared" si="203"/>
        <v>7.2132038975075877E-2</v>
      </c>
    </row>
    <row r="1431" spans="1:15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4">
        <f>IF(SUMIFS('Daily NSE Equity Cash'!$H:$H,'Daily NSE Equity Cash'!$A:$A,$A1431)=0,"",SUMIFS('Daily NSE Equity Cash'!$H:$H,'Daily NSE Equity Cash'!$A:$A,$A1431))</f>
        <v>1024.3851</v>
      </c>
      <c r="F1431" s="4">
        <f>IF(SUMIFS('Daily BSE Equity Cash'!$H:$H,'Daily BSE Equity Cash'!$A:$A,$A1431)=0,"",SUMIFS('Daily BSE Equity Cash'!$H:$H,'Daily BSE Equity Cash'!$A:$A,$A1431))</f>
        <v>81.261899999999997</v>
      </c>
      <c r="G1431" s="4">
        <f t="shared" si="198"/>
        <v>1105.6469999999999</v>
      </c>
      <c r="H1431" s="7">
        <f t="shared" si="199"/>
        <v>3.0404206170344006E-2</v>
      </c>
      <c r="I1431" s="7">
        <f t="shared" si="200"/>
        <v>0.4220572974543213</v>
      </c>
      <c r="J1431" s="7">
        <f t="shared" si="201"/>
        <v>5.1692643334591448E-2</v>
      </c>
      <c r="K1431" s="7">
        <f t="shared" si="204"/>
        <v>0.27677251045369577</v>
      </c>
      <c r="L1431" s="7">
        <f t="shared" si="205"/>
        <v>0.30285238799915981</v>
      </c>
      <c r="M1431" s="7">
        <f t="shared" si="206"/>
        <v>0.2786537051972704</v>
      </c>
      <c r="N1431" s="7">
        <f t="shared" si="202"/>
        <v>0.92650285308059444</v>
      </c>
      <c r="O1431" s="7">
        <f t="shared" si="203"/>
        <v>7.3497146919405565E-2</v>
      </c>
    </row>
    <row r="1432" spans="1:15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4">
        <f>IF(SUMIFS('Daily NSE Equity Cash'!$H:$H,'Daily NSE Equity Cash'!$A:$A,$A1432)=0,"",SUMIFS('Daily NSE Equity Cash'!$H:$H,'Daily NSE Equity Cash'!$A:$A,$A1432))</f>
        <v>1046.0245</v>
      </c>
      <c r="F1432" s="4">
        <f>IF(SUMIFS('Daily BSE Equity Cash'!$H:$H,'Daily BSE Equity Cash'!$A:$A,$A1432)=0,"",SUMIFS('Daily BSE Equity Cash'!$H:$H,'Daily BSE Equity Cash'!$A:$A,$A1432))</f>
        <v>81.502700000000004</v>
      </c>
      <c r="G1432" s="4">
        <f t="shared" si="198"/>
        <v>1127.5272</v>
      </c>
      <c r="H1432" s="7" t="str">
        <f t="shared" si="199"/>
        <v/>
      </c>
      <c r="I1432" s="7" t="str">
        <f t="shared" si="200"/>
        <v/>
      </c>
      <c r="J1432" s="7" t="str">
        <f t="shared" si="201"/>
        <v/>
      </c>
      <c r="K1432" s="7">
        <f t="shared" si="204"/>
        <v>2.1124282264550764E-2</v>
      </c>
      <c r="L1432" s="7">
        <f t="shared" si="205"/>
        <v>2.9632583043222027E-3</v>
      </c>
      <c r="M1432" s="7">
        <f t="shared" si="206"/>
        <v>1.9789498818338913E-2</v>
      </c>
      <c r="N1432" s="7">
        <f t="shared" si="202"/>
        <v>0.92771553537688489</v>
      </c>
      <c r="O1432" s="7">
        <f t="shared" si="203"/>
        <v>7.228446462311508E-2</v>
      </c>
    </row>
    <row r="1433" spans="1:15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4">
        <f>IF(SUMIFS('Daily NSE Equity Cash'!$H:$H,'Daily NSE Equity Cash'!$A:$A,$A1433)=0,"",SUMIFS('Daily NSE Equity Cash'!$H:$H,'Daily NSE Equity Cash'!$A:$A,$A1433))</f>
        <v>1094.5406</v>
      </c>
      <c r="F1433" s="4">
        <f>IF(SUMIFS('Daily BSE Equity Cash'!$H:$H,'Daily BSE Equity Cash'!$A:$A,$A1433)=0,"",SUMIFS('Daily BSE Equity Cash'!$H:$H,'Daily BSE Equity Cash'!$A:$A,$A1433))</f>
        <v>78.270300000000006</v>
      </c>
      <c r="G1433" s="4">
        <f t="shared" si="198"/>
        <v>1172.8108999999999</v>
      </c>
      <c r="H1433" s="7">
        <f t="shared" si="199"/>
        <v>4.002953213234739E-2</v>
      </c>
      <c r="I1433" s="7">
        <f t="shared" si="200"/>
        <v>5.798269007998047E-2</v>
      </c>
      <c r="J1433" s="7">
        <f t="shared" si="201"/>
        <v>4.120868218634377E-2</v>
      </c>
      <c r="K1433" s="7">
        <f t="shared" si="204"/>
        <v>4.6381418408459885E-2</v>
      </c>
      <c r="L1433" s="7">
        <f t="shared" si="205"/>
        <v>-3.9660035802494886E-2</v>
      </c>
      <c r="M1433" s="7">
        <f t="shared" si="206"/>
        <v>4.0161957955426653E-2</v>
      </c>
      <c r="N1433" s="7">
        <f t="shared" si="202"/>
        <v>0.93326264276704807</v>
      </c>
      <c r="O1433" s="7">
        <f t="shared" si="203"/>
        <v>6.6737357232952058E-2</v>
      </c>
    </row>
    <row r="1434" spans="1:15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4">
        <f>IF(SUMIFS('Daily NSE Equity Cash'!$H:$H,'Daily NSE Equity Cash'!$A:$A,$A1434)=0,"",SUMIFS('Daily NSE Equity Cash'!$H:$H,'Daily NSE Equity Cash'!$A:$A,$A1434))</f>
        <v>1064.6318000000001</v>
      </c>
      <c r="F1434" s="4">
        <f>IF(SUMIFS('Daily BSE Equity Cash'!$H:$H,'Daily BSE Equity Cash'!$A:$A,$A1434)=0,"",SUMIFS('Daily BSE Equity Cash'!$H:$H,'Daily BSE Equity Cash'!$A:$A,$A1434))</f>
        <v>91.662499999999994</v>
      </c>
      <c r="G1434" s="4">
        <f t="shared" si="198"/>
        <v>1156.2943</v>
      </c>
      <c r="H1434" s="7">
        <f t="shared" si="199"/>
        <v>0.12898256428332933</v>
      </c>
      <c r="I1434" s="7">
        <f t="shared" si="200"/>
        <v>0.62871586204445684</v>
      </c>
      <c r="J1434" s="7">
        <f t="shared" si="201"/>
        <v>0.15712731595475593</v>
      </c>
      <c r="K1434" s="7">
        <f t="shared" si="204"/>
        <v>-2.7325436808830927E-2</v>
      </c>
      <c r="L1434" s="7">
        <f t="shared" si="205"/>
        <v>0.17110193777205396</v>
      </c>
      <c r="M1434" s="7">
        <f t="shared" si="206"/>
        <v>-1.4082918226629659E-2</v>
      </c>
      <c r="N1434" s="7">
        <f t="shared" si="202"/>
        <v>0.92072736153762935</v>
      </c>
      <c r="O1434" s="7">
        <f t="shared" si="203"/>
        <v>7.927263846237069E-2</v>
      </c>
    </row>
    <row r="1435" spans="1:15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4">
        <f>IF(SUMIFS('Daily NSE Equity Cash'!$H:$H,'Daily NSE Equity Cash'!$A:$A,$A1435)=0,"",SUMIFS('Daily NSE Equity Cash'!$H:$H,'Daily NSE Equity Cash'!$A:$A,$A1435))</f>
        <v>1089.5413000000001</v>
      </c>
      <c r="F1435" s="4">
        <f>IF(SUMIFS('Daily BSE Equity Cash'!$H:$H,'Daily BSE Equity Cash'!$A:$A,$A1435)=0,"",SUMIFS('Daily BSE Equity Cash'!$H:$H,'Daily BSE Equity Cash'!$A:$A,$A1435))</f>
        <v>101.62090000000001</v>
      </c>
      <c r="G1435" s="4">
        <f t="shared" si="198"/>
        <v>1191.1622000000002</v>
      </c>
      <c r="H1435" s="7">
        <f t="shared" si="199"/>
        <v>0.14244267949537326</v>
      </c>
      <c r="I1435" s="7">
        <f t="shared" si="200"/>
        <v>0.86139319339121512</v>
      </c>
      <c r="J1435" s="7">
        <f t="shared" si="201"/>
        <v>0.18137041134556253</v>
      </c>
      <c r="K1435" s="7">
        <f t="shared" si="204"/>
        <v>2.3397290969516371E-2</v>
      </c>
      <c r="L1435" s="7">
        <f t="shared" si="205"/>
        <v>0.10864202918314492</v>
      </c>
      <c r="M1435" s="7">
        <f t="shared" si="206"/>
        <v>3.0154866282744885E-2</v>
      </c>
      <c r="N1435" s="7">
        <f t="shared" si="202"/>
        <v>0.91468760509693803</v>
      </c>
      <c r="O1435" s="7">
        <f t="shared" si="203"/>
        <v>8.5312394903061889E-2</v>
      </c>
    </row>
    <row r="1436" spans="1:15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4">
        <f>IF(SUMIFS('Daily NSE Equity Cash'!$H:$H,'Daily NSE Equity Cash'!$A:$A,$A1436)=0,"",SUMIFS('Daily NSE Equity Cash'!$H:$H,'Daily NSE Equity Cash'!$A:$A,$A1436))</f>
        <v>1067.4684</v>
      </c>
      <c r="F1436" s="4">
        <f>IF(SUMIFS('Daily BSE Equity Cash'!$H:$H,'Daily BSE Equity Cash'!$A:$A,$A1436)=0,"",SUMIFS('Daily BSE Equity Cash'!$H:$H,'Daily BSE Equity Cash'!$A:$A,$A1436))</f>
        <v>79.536600000000007</v>
      </c>
      <c r="G1436" s="4">
        <f t="shared" si="198"/>
        <v>1147.0049999999999</v>
      </c>
      <c r="H1436" s="7">
        <f t="shared" si="199"/>
        <v>0.19661740156283414</v>
      </c>
      <c r="I1436" s="7">
        <f t="shared" si="200"/>
        <v>0.7367662536739179</v>
      </c>
      <c r="J1436" s="7">
        <f t="shared" si="201"/>
        <v>0.22299271730737202</v>
      </c>
      <c r="K1436" s="7">
        <f t="shared" si="204"/>
        <v>-2.0258892434825704E-2</v>
      </c>
      <c r="L1436" s="7">
        <f t="shared" si="205"/>
        <v>-0.21732045278087475</v>
      </c>
      <c r="M1436" s="7">
        <f t="shared" si="206"/>
        <v>-3.7070686091281502E-2</v>
      </c>
      <c r="N1436" s="7">
        <f t="shared" si="202"/>
        <v>0.93065714621993811</v>
      </c>
      <c r="O1436" s="7">
        <f t="shared" si="203"/>
        <v>6.9342853780061997E-2</v>
      </c>
    </row>
    <row r="1437" spans="1:15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4">
        <f>IF(SUMIFS('Daily NSE Equity Cash'!$H:$H,'Daily NSE Equity Cash'!$A:$A,$A1437)=0,"",SUMIFS('Daily NSE Equity Cash'!$H:$H,'Daily NSE Equity Cash'!$A:$A,$A1437))</f>
        <v>1036.9168999999999</v>
      </c>
      <c r="F1437" s="4">
        <f>IF(SUMIFS('Daily BSE Equity Cash'!$H:$H,'Daily BSE Equity Cash'!$A:$A,$A1437)=0,"",SUMIFS('Daily BSE Equity Cash'!$H:$H,'Daily BSE Equity Cash'!$A:$A,$A1437))</f>
        <v>80.128799999999998</v>
      </c>
      <c r="G1437" s="4">
        <f t="shared" si="198"/>
        <v>1117.0456999999999</v>
      </c>
      <c r="H1437" s="7" t="str">
        <f t="shared" si="199"/>
        <v/>
      </c>
      <c r="I1437" s="7" t="str">
        <f t="shared" si="200"/>
        <v/>
      </c>
      <c r="J1437" s="7" t="str">
        <f t="shared" si="201"/>
        <v/>
      </c>
      <c r="K1437" s="7">
        <f t="shared" si="204"/>
        <v>-2.8620519352141938E-2</v>
      </c>
      <c r="L1437" s="7">
        <f t="shared" si="205"/>
        <v>7.4456288048518893E-3</v>
      </c>
      <c r="M1437" s="7">
        <f t="shared" si="206"/>
        <v>-2.6119589714081459E-2</v>
      </c>
      <c r="N1437" s="7">
        <f t="shared" si="202"/>
        <v>0.92826721413456947</v>
      </c>
      <c r="O1437" s="7">
        <f t="shared" si="203"/>
        <v>7.1732785865430582E-2</v>
      </c>
    </row>
    <row r="1438" spans="1:15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4">
        <f>IF(SUMIFS('Daily NSE Equity Cash'!$H:$H,'Daily NSE Equity Cash'!$A:$A,$A1438)=0,"",SUMIFS('Daily NSE Equity Cash'!$H:$H,'Daily NSE Equity Cash'!$A:$A,$A1438))</f>
        <v>1016.3697</v>
      </c>
      <c r="F1438" s="4">
        <f>IF(SUMIFS('Daily BSE Equity Cash'!$H:$H,'Daily BSE Equity Cash'!$A:$A,$A1438)=0,"",SUMIFS('Daily BSE Equity Cash'!$H:$H,'Daily BSE Equity Cash'!$A:$A,$A1438))</f>
        <v>75.316299999999998</v>
      </c>
      <c r="G1438" s="4">
        <f t="shared" si="198"/>
        <v>1091.6859999999999</v>
      </c>
      <c r="H1438" s="7">
        <f t="shared" si="199"/>
        <v>-3.2284702634808093E-2</v>
      </c>
      <c r="I1438" s="7">
        <f t="shared" si="200"/>
        <v>6.7778636289527849E-2</v>
      </c>
      <c r="J1438" s="7">
        <f t="shared" si="201"/>
        <v>-2.59874728444911E-2</v>
      </c>
      <c r="K1438" s="7">
        <f t="shared" si="204"/>
        <v>-1.9815667002823445E-2</v>
      </c>
      <c r="L1438" s="7">
        <f t="shared" si="205"/>
        <v>-6.0059554117870229E-2</v>
      </c>
      <c r="M1438" s="7">
        <f t="shared" si="206"/>
        <v>-2.2702473139639689E-2</v>
      </c>
      <c r="N1438" s="7">
        <f t="shared" si="202"/>
        <v>0.93100919128760473</v>
      </c>
      <c r="O1438" s="7">
        <f t="shared" si="203"/>
        <v>6.8990808712395324E-2</v>
      </c>
    </row>
    <row r="1439" spans="1:15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4">
        <f>IF(SUMIFS('Daily NSE Equity Cash'!$H:$H,'Daily NSE Equity Cash'!$A:$A,$A1439)=0,"",SUMIFS('Daily NSE Equity Cash'!$H:$H,'Daily NSE Equity Cash'!$A:$A,$A1439))</f>
        <v>1095.3810000000001</v>
      </c>
      <c r="F1439" s="4">
        <f>IF(SUMIFS('Daily BSE Equity Cash'!$H:$H,'Daily BSE Equity Cash'!$A:$A,$A1439)=0,"",SUMIFS('Daily BSE Equity Cash'!$H:$H,'Daily BSE Equity Cash'!$A:$A,$A1439))</f>
        <v>89.137299999999996</v>
      </c>
      <c r="G1439" s="4">
        <f t="shared" si="198"/>
        <v>1184.5183000000002</v>
      </c>
      <c r="H1439" s="7">
        <f t="shared" si="199"/>
        <v>6.1264426359382451E-2</v>
      </c>
      <c r="I1439" s="7">
        <f t="shared" si="200"/>
        <v>0.3606130729050594</v>
      </c>
      <c r="J1439" s="7">
        <f t="shared" si="201"/>
        <v>7.9130717835409481E-2</v>
      </c>
      <c r="K1439" s="7">
        <f t="shared" si="204"/>
        <v>7.7738740145441243E-2</v>
      </c>
      <c r="L1439" s="7">
        <f t="shared" si="205"/>
        <v>0.1835060936344457</v>
      </c>
      <c r="M1439" s="7">
        <f t="shared" si="206"/>
        <v>8.5035715398017686E-2</v>
      </c>
      <c r="N1439" s="7">
        <f t="shared" si="202"/>
        <v>0.92474806003419274</v>
      </c>
      <c r="O1439" s="7">
        <f t="shared" si="203"/>
        <v>7.5251939965807188E-2</v>
      </c>
    </row>
    <row r="1440" spans="1:15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4">
        <f>IF(SUMIFS('Daily NSE Equity Cash'!$H:$H,'Daily NSE Equity Cash'!$A:$A,$A1440)=0,"",SUMIFS('Daily NSE Equity Cash'!$H:$H,'Daily NSE Equity Cash'!$A:$A,$A1440))</f>
        <v>1250.6742999999999</v>
      </c>
      <c r="F1440" s="4">
        <f>IF(SUMIFS('Daily BSE Equity Cash'!$H:$H,'Daily BSE Equity Cash'!$A:$A,$A1440)=0,"",SUMIFS('Daily BSE Equity Cash'!$H:$H,'Daily BSE Equity Cash'!$A:$A,$A1440))</f>
        <v>91.773300000000006</v>
      </c>
      <c r="G1440" s="4">
        <f t="shared" si="198"/>
        <v>1342.4476</v>
      </c>
      <c r="H1440" s="7">
        <f t="shared" si="199"/>
        <v>0.30727212368614176</v>
      </c>
      <c r="I1440" s="7">
        <f t="shared" si="200"/>
        <v>0.79679888793170961</v>
      </c>
      <c r="J1440" s="7">
        <f t="shared" si="201"/>
        <v>0.33208213606641257</v>
      </c>
      <c r="K1440" s="7">
        <f t="shared" si="204"/>
        <v>0.14177103674429237</v>
      </c>
      <c r="L1440" s="7">
        <f t="shared" si="205"/>
        <v>2.9572356353625429E-2</v>
      </c>
      <c r="M1440" s="7">
        <f t="shared" si="206"/>
        <v>0.13332786838329103</v>
      </c>
      <c r="N1440" s="7">
        <f t="shared" si="202"/>
        <v>0.93163733169175467</v>
      </c>
      <c r="O1440" s="7">
        <f t="shared" si="203"/>
        <v>6.8362668308245333E-2</v>
      </c>
    </row>
    <row r="1441" spans="1:15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4">
        <f>IF(SUMIFS('Daily NSE Equity Cash'!$H:$H,'Daily NSE Equity Cash'!$A:$A,$A1441)=0,"",SUMIFS('Daily NSE Equity Cash'!$H:$H,'Daily NSE Equity Cash'!$A:$A,$A1441))</f>
        <v>1110.0273999999999</v>
      </c>
      <c r="F1441" s="4">
        <f>IF(SUMIFS('Daily BSE Equity Cash'!$H:$H,'Daily BSE Equity Cash'!$A:$A,$A1441)=0,"",SUMIFS('Daily BSE Equity Cash'!$H:$H,'Daily BSE Equity Cash'!$A:$A,$A1441))</f>
        <v>78.982399999999998</v>
      </c>
      <c r="G1441" s="4">
        <f t="shared" si="198"/>
        <v>1189.0098</v>
      </c>
      <c r="H1441" s="7" t="str">
        <f t="shared" si="199"/>
        <v/>
      </c>
      <c r="I1441" s="7" t="str">
        <f t="shared" si="200"/>
        <v/>
      </c>
      <c r="J1441" s="7" t="str">
        <f t="shared" si="201"/>
        <v/>
      </c>
      <c r="K1441" s="7">
        <f t="shared" si="204"/>
        <v>-0.11245685627345181</v>
      </c>
      <c r="L1441" s="7">
        <f t="shared" si="205"/>
        <v>-0.13937495981946824</v>
      </c>
      <c r="M1441" s="7">
        <f t="shared" si="206"/>
        <v>-0.11429704965765508</v>
      </c>
      <c r="N1441" s="7">
        <f t="shared" si="202"/>
        <v>0.93357296129939371</v>
      </c>
      <c r="O1441" s="7">
        <f t="shared" si="203"/>
        <v>6.6427038700606164E-2</v>
      </c>
    </row>
    <row r="1442" spans="1:15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4">
        <f>IF(SUMIFS('Daily NSE Equity Cash'!$H:$H,'Daily NSE Equity Cash'!$A:$A,$A1442)=0,"",SUMIFS('Daily NSE Equity Cash'!$H:$H,'Daily NSE Equity Cash'!$A:$A,$A1442))</f>
        <v>1251.5382999999999</v>
      </c>
      <c r="F1442" s="4">
        <f>IF(SUMIFS('Daily BSE Equity Cash'!$H:$H,'Daily BSE Equity Cash'!$A:$A,$A1442)=0,"",SUMIFS('Daily BSE Equity Cash'!$H:$H,'Daily BSE Equity Cash'!$A:$A,$A1442))</f>
        <v>94.4328</v>
      </c>
      <c r="G1442" s="4">
        <f t="shared" si="198"/>
        <v>1345.9711</v>
      </c>
      <c r="H1442" s="7">
        <f t="shared" si="199"/>
        <v>0.36848087525861195</v>
      </c>
      <c r="I1442" s="7">
        <f t="shared" si="200"/>
        <v>0.66404341926729971</v>
      </c>
      <c r="J1442" s="7">
        <f t="shared" si="201"/>
        <v>0.38574945379605174</v>
      </c>
      <c r="K1442" s="7">
        <f t="shared" si="204"/>
        <v>0.1274841503912425</v>
      </c>
      <c r="L1442" s="7">
        <f t="shared" si="205"/>
        <v>0.19561826432217821</v>
      </c>
      <c r="M1442" s="7">
        <f t="shared" si="206"/>
        <v>0.13201009781416428</v>
      </c>
      <c r="N1442" s="7">
        <f t="shared" si="202"/>
        <v>0.92984039553300957</v>
      </c>
      <c r="O1442" s="7">
        <f t="shared" si="203"/>
        <v>7.0159604466990419E-2</v>
      </c>
    </row>
    <row r="1443" spans="1:15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4">
        <f>IF(SUMIFS('Daily NSE Equity Cash'!$H:$H,'Daily NSE Equity Cash'!$A:$A,$A1443)=0,"",SUMIFS('Daily NSE Equity Cash'!$H:$H,'Daily NSE Equity Cash'!$A:$A,$A1443))</f>
        <v>1341.3589999999999</v>
      </c>
      <c r="F1443" s="4">
        <f>IF(SUMIFS('Daily BSE Equity Cash'!$H:$H,'Daily BSE Equity Cash'!$A:$A,$A1443)=0,"",SUMIFS('Daily BSE Equity Cash'!$H:$H,'Daily BSE Equity Cash'!$A:$A,$A1443))</f>
        <v>94.891999999999996</v>
      </c>
      <c r="G1443" s="4">
        <f t="shared" si="198"/>
        <v>1436.251</v>
      </c>
      <c r="H1443" s="7">
        <f t="shared" si="199"/>
        <v>0.34807118121840452</v>
      </c>
      <c r="I1443" s="7">
        <f t="shared" si="200"/>
        <v>0.4855960184548811</v>
      </c>
      <c r="J1443" s="7">
        <f t="shared" si="201"/>
        <v>0.35636695440041488</v>
      </c>
      <c r="K1443" s="7">
        <f t="shared" si="204"/>
        <v>7.1768239134191836E-2</v>
      </c>
      <c r="L1443" s="7">
        <f t="shared" si="205"/>
        <v>4.8627171914843448E-3</v>
      </c>
      <c r="M1443" s="7">
        <f t="shared" si="206"/>
        <v>6.7074174178034074E-2</v>
      </c>
      <c r="N1443" s="7">
        <f t="shared" si="202"/>
        <v>0.93393076836848155</v>
      </c>
      <c r="O1443" s="7">
        <f t="shared" si="203"/>
        <v>6.6069231631518441E-2</v>
      </c>
    </row>
    <row r="1444" spans="1:15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4">
        <f>IF(SUMIFS('Daily NSE Equity Cash'!$H:$H,'Daily NSE Equity Cash'!$A:$A,$A1444)=0,"",SUMIFS('Daily NSE Equity Cash'!$H:$H,'Daily NSE Equity Cash'!$A:$A,$A1444))</f>
        <v>1295.3289</v>
      </c>
      <c r="F1444" s="4">
        <f>IF(SUMIFS('Daily BSE Equity Cash'!$H:$H,'Daily BSE Equity Cash'!$A:$A,$A1444)=0,"",SUMIFS('Daily BSE Equity Cash'!$H:$H,'Daily BSE Equity Cash'!$A:$A,$A1444))</f>
        <v>94.855800000000002</v>
      </c>
      <c r="G1444" s="4">
        <f t="shared" si="198"/>
        <v>1390.1847</v>
      </c>
      <c r="H1444" s="7">
        <f t="shared" si="199"/>
        <v>0.34031593417253392</v>
      </c>
      <c r="I1444" s="7">
        <f t="shared" si="200"/>
        <v>0.72377335174820101</v>
      </c>
      <c r="J1444" s="7">
        <f t="shared" si="201"/>
        <v>0.36097344643249607</v>
      </c>
      <c r="K1444" s="7">
        <f t="shared" si="204"/>
        <v>-3.431601830680675E-2</v>
      </c>
      <c r="L1444" s="7">
        <f t="shared" si="205"/>
        <v>-3.8148632129153537E-4</v>
      </c>
      <c r="M1444" s="7">
        <f t="shared" si="206"/>
        <v>-3.2073989852748563E-2</v>
      </c>
      <c r="N1444" s="7">
        <f t="shared" si="202"/>
        <v>0.93176748384585151</v>
      </c>
      <c r="O1444" s="7">
        <f t="shared" si="203"/>
        <v>6.8232516154148437E-2</v>
      </c>
    </row>
    <row r="1445" spans="1:15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4">
        <f>IF(SUMIFS('Daily NSE Equity Cash'!$H:$H,'Daily NSE Equity Cash'!$A:$A,$A1445)=0,"",SUMIFS('Daily NSE Equity Cash'!$H:$H,'Daily NSE Equity Cash'!$A:$A,$A1445))</f>
        <v>1193.1412</v>
      </c>
      <c r="F1445" s="4">
        <f>IF(SUMIFS('Daily BSE Equity Cash'!$H:$H,'Daily BSE Equity Cash'!$A:$A,$A1445)=0,"",SUMIFS('Daily BSE Equity Cash'!$H:$H,'Daily BSE Equity Cash'!$A:$A,$A1445))</f>
        <v>86.526200000000003</v>
      </c>
      <c r="G1445" s="4">
        <f t="shared" si="198"/>
        <v>1279.6674</v>
      </c>
      <c r="H1445" s="7">
        <f t="shared" si="199"/>
        <v>0.25689784599735432</v>
      </c>
      <c r="I1445" s="7">
        <f t="shared" si="200"/>
        <v>0.75176591346669719</v>
      </c>
      <c r="J1445" s="7">
        <f t="shared" si="201"/>
        <v>0.28137380549678026</v>
      </c>
      <c r="K1445" s="7">
        <f t="shared" si="204"/>
        <v>-7.88893847732417E-2</v>
      </c>
      <c r="L1445" s="7">
        <f t="shared" si="205"/>
        <v>-8.7813291332738741E-2</v>
      </c>
      <c r="M1445" s="7">
        <f t="shared" si="206"/>
        <v>-7.9498285371720767E-2</v>
      </c>
      <c r="N1445" s="7">
        <f t="shared" si="202"/>
        <v>0.93238383661254476</v>
      </c>
      <c r="O1445" s="7">
        <f t="shared" si="203"/>
        <v>6.7616163387455214E-2</v>
      </c>
    </row>
    <row r="1446" spans="1:15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4">
        <f>IF(SUMIFS('Daily NSE Equity Cash'!$H:$H,'Daily NSE Equity Cash'!$A:$A,$A1446)=0,"",SUMIFS('Daily NSE Equity Cash'!$H:$H,'Daily NSE Equity Cash'!$A:$A,$A1446))</f>
        <v>1466.4367</v>
      </c>
      <c r="F1446" s="4">
        <f>IF(SUMIFS('Daily BSE Equity Cash'!$H:$H,'Daily BSE Equity Cash'!$A:$A,$A1446)=0,"",SUMIFS('Daily BSE Equity Cash'!$H:$H,'Daily BSE Equity Cash'!$A:$A,$A1446))</f>
        <v>111.282</v>
      </c>
      <c r="G1446" s="4">
        <f t="shared" si="198"/>
        <v>1577.7186999999999</v>
      </c>
      <c r="H1446" s="7">
        <f t="shared" si="199"/>
        <v>0.5411706865825554</v>
      </c>
      <c r="I1446" s="7">
        <f t="shared" si="200"/>
        <v>0.97420872517869217</v>
      </c>
      <c r="J1446" s="7">
        <f t="shared" si="201"/>
        <v>0.56538938016395268</v>
      </c>
      <c r="K1446" s="7">
        <f t="shared" si="204"/>
        <v>0.22905545462682864</v>
      </c>
      <c r="L1446" s="7">
        <f t="shared" si="205"/>
        <v>0.28610756048456998</v>
      </c>
      <c r="M1446" s="7">
        <f t="shared" si="206"/>
        <v>0.2329130991381041</v>
      </c>
      <c r="N1446" s="7">
        <f t="shared" si="202"/>
        <v>0.92946651389756618</v>
      </c>
      <c r="O1446" s="7">
        <f t="shared" si="203"/>
        <v>7.0533486102433846E-2</v>
      </c>
    </row>
    <row r="1447" spans="1:15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4">
        <f>IF(SUMIFS('Daily NSE Equity Cash'!$H:$H,'Daily NSE Equity Cash'!$A:$A,$A1447)=0,"",SUMIFS('Daily NSE Equity Cash'!$H:$H,'Daily NSE Equity Cash'!$A:$A,$A1447))</f>
        <v>1393.3051</v>
      </c>
      <c r="F1447" s="4">
        <f>IF(SUMIFS('Daily BSE Equity Cash'!$H:$H,'Daily BSE Equity Cash'!$A:$A,$A1447)=0,"",SUMIFS('Daily BSE Equity Cash'!$H:$H,'Daily BSE Equity Cash'!$A:$A,$A1447))</f>
        <v>105.0954</v>
      </c>
      <c r="G1447" s="4">
        <f t="shared" si="198"/>
        <v>1498.4005</v>
      </c>
      <c r="H1447" s="7">
        <f t="shared" si="199"/>
        <v>0.206291654159795</v>
      </c>
      <c r="I1447" s="7">
        <f t="shared" si="200"/>
        <v>0.64174110281092123</v>
      </c>
      <c r="J1447" s="7">
        <f t="shared" si="201"/>
        <v>0.22915799014360649</v>
      </c>
      <c r="K1447" s="7">
        <f t="shared" si="204"/>
        <v>-4.9870273977731139E-2</v>
      </c>
      <c r="L1447" s="7">
        <f t="shared" si="205"/>
        <v>-5.5593896587049052E-2</v>
      </c>
      <c r="M1447" s="7">
        <f t="shared" si="206"/>
        <v>-5.0273981033501003E-2</v>
      </c>
      <c r="N1447" s="7">
        <f t="shared" si="202"/>
        <v>0.9298616090958326</v>
      </c>
      <c r="O1447" s="7">
        <f t="shared" si="203"/>
        <v>7.0138390904167472E-2</v>
      </c>
    </row>
    <row r="1448" spans="1:15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4">
        <f>IF(SUMIFS('Daily NSE Equity Cash'!$H:$H,'Daily NSE Equity Cash'!$A:$A,$A1448)=0,"",SUMIFS('Daily NSE Equity Cash'!$H:$H,'Daily NSE Equity Cash'!$A:$A,$A1448))</f>
        <v>1545.7742000000001</v>
      </c>
      <c r="F1448" s="4">
        <f>IF(SUMIFS('Daily BSE Equity Cash'!$H:$H,'Daily BSE Equity Cash'!$A:$A,$A1448)=0,"",SUMIFS('Daily BSE Equity Cash'!$H:$H,'Daily BSE Equity Cash'!$A:$A,$A1448))</f>
        <v>116.6968</v>
      </c>
      <c r="G1448" s="4">
        <f t="shared" si="198"/>
        <v>1662.471</v>
      </c>
      <c r="H1448" s="7">
        <f t="shared" si="199"/>
        <v>0.68990760233879778</v>
      </c>
      <c r="I1448" s="7">
        <f t="shared" si="200"/>
        <v>1.2549931981202076</v>
      </c>
      <c r="J1448" s="7">
        <f t="shared" si="201"/>
        <v>0.72016587965333678</v>
      </c>
      <c r="K1448" s="7">
        <f t="shared" si="204"/>
        <v>0.10942980112539602</v>
      </c>
      <c r="L1448" s="7">
        <f t="shared" si="205"/>
        <v>0.11038922731156653</v>
      </c>
      <c r="M1448" s="7">
        <f t="shared" si="206"/>
        <v>0.1094970937342854</v>
      </c>
      <c r="N1448" s="7">
        <f t="shared" si="202"/>
        <v>0.92980521163978203</v>
      </c>
      <c r="O1448" s="7">
        <f t="shared" si="203"/>
        <v>7.0194788360218016E-2</v>
      </c>
    </row>
    <row r="1449" spans="1:15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4">
        <f>IF(SUMIFS('Daily NSE Equity Cash'!$H:$H,'Daily NSE Equity Cash'!$A:$A,$A1449)=0,"",SUMIFS('Daily NSE Equity Cash'!$H:$H,'Daily NSE Equity Cash'!$A:$A,$A1449))</f>
        <v>1726.8025</v>
      </c>
      <c r="F1449" s="4">
        <f>IF(SUMIFS('Daily BSE Equity Cash'!$H:$H,'Daily BSE Equity Cash'!$A:$A,$A1449)=0,"",SUMIFS('Daily BSE Equity Cash'!$H:$H,'Daily BSE Equity Cash'!$A:$A,$A1449))</f>
        <v>115.23779999999999</v>
      </c>
      <c r="G1449" s="4">
        <f t="shared" si="198"/>
        <v>1842.0403000000001</v>
      </c>
      <c r="H1449" s="7">
        <f t="shared" si="199"/>
        <v>0.66742113147125393</v>
      </c>
      <c r="I1449" s="7">
        <f t="shared" si="200"/>
        <v>1.0259169013638809</v>
      </c>
      <c r="J1449" s="7">
        <f t="shared" si="201"/>
        <v>0.6860865661108595</v>
      </c>
      <c r="K1449" s="7">
        <f t="shared" si="204"/>
        <v>0.11711173598317259</v>
      </c>
      <c r="L1449" s="7">
        <f t="shared" si="205"/>
        <v>-1.2502485072427016E-2</v>
      </c>
      <c r="M1449" s="7">
        <f t="shared" si="206"/>
        <v>0.10801349316770037</v>
      </c>
      <c r="N1449" s="7">
        <f t="shared" si="202"/>
        <v>0.93744013092438849</v>
      </c>
      <c r="O1449" s="7">
        <f t="shared" si="203"/>
        <v>6.2559869075611424E-2</v>
      </c>
    </row>
    <row r="1450" spans="1:15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4">
        <f>IF(SUMIFS('Daily NSE Equity Cash'!$H:$H,'Daily NSE Equity Cash'!$A:$A,$A1450)=0,"",SUMIFS('Daily NSE Equity Cash'!$H:$H,'Daily NSE Equity Cash'!$A:$A,$A1450))</f>
        <v>1169.8425</v>
      </c>
      <c r="F1450" s="4">
        <f>IF(SUMIFS('Daily BSE Equity Cash'!$H:$H,'Daily BSE Equity Cash'!$A:$A,$A1450)=0,"",SUMIFS('Daily BSE Equity Cash'!$H:$H,'Daily BSE Equity Cash'!$A:$A,$A1450))</f>
        <v>93.847300000000004</v>
      </c>
      <c r="G1450" s="4">
        <f t="shared" si="198"/>
        <v>1263.6897999999999</v>
      </c>
      <c r="H1450" s="7">
        <f t="shared" si="199"/>
        <v>0.14927462166090777</v>
      </c>
      <c r="I1450" s="7">
        <f t="shared" si="200"/>
        <v>0.30658140577446247</v>
      </c>
      <c r="J1450" s="7">
        <f t="shared" si="201"/>
        <v>0.15964313866918478</v>
      </c>
      <c r="K1450" s="7">
        <f t="shared" si="204"/>
        <v>-0.32253833313305957</v>
      </c>
      <c r="L1450" s="7">
        <f t="shared" si="205"/>
        <v>-0.18562051687901004</v>
      </c>
      <c r="M1450" s="7">
        <f t="shared" si="206"/>
        <v>-0.31397277247408772</v>
      </c>
      <c r="N1450" s="7">
        <f t="shared" si="202"/>
        <v>0.92573549299836089</v>
      </c>
      <c r="O1450" s="7">
        <f t="shared" si="203"/>
        <v>7.4264507001639182E-2</v>
      </c>
    </row>
    <row r="1451" spans="1:15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4">
        <f>IF(SUMIFS('Daily NSE Equity Cash'!$H:$H,'Daily NSE Equity Cash'!$A:$A,$A1451)=0,"",SUMIFS('Daily NSE Equity Cash'!$H:$H,'Daily NSE Equity Cash'!$A:$A,$A1451))</f>
        <v>1290.2257</v>
      </c>
      <c r="F1451" s="4">
        <f>IF(SUMIFS('Daily BSE Equity Cash'!$H:$H,'Daily BSE Equity Cash'!$A:$A,$A1451)=0,"",SUMIFS('Daily BSE Equity Cash'!$H:$H,'Daily BSE Equity Cash'!$A:$A,$A1451))</f>
        <v>81.688900000000004</v>
      </c>
      <c r="G1451" s="4">
        <f t="shared" si="198"/>
        <v>1371.9146000000001</v>
      </c>
      <c r="H1451" s="7" t="str">
        <f t="shared" si="199"/>
        <v/>
      </c>
      <c r="I1451" s="7" t="str">
        <f t="shared" si="200"/>
        <v/>
      </c>
      <c r="J1451" s="7" t="str">
        <f t="shared" si="201"/>
        <v/>
      </c>
      <c r="K1451" s="7">
        <f t="shared" si="204"/>
        <v>0.10290547659193439</v>
      </c>
      <c r="L1451" s="7">
        <f t="shared" si="205"/>
        <v>-0.12955513903969529</v>
      </c>
      <c r="M1451" s="7">
        <f t="shared" si="206"/>
        <v>8.5641903574753986E-2</v>
      </c>
      <c r="N1451" s="7">
        <f t="shared" si="202"/>
        <v>0.94045627912991081</v>
      </c>
      <c r="O1451" s="7">
        <f t="shared" si="203"/>
        <v>5.9543720870089141E-2</v>
      </c>
    </row>
    <row r="1452" spans="1:15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4">
        <f>IF(SUMIFS('Daily NSE Equity Cash'!$H:$H,'Daily NSE Equity Cash'!$A:$A,$A1452)=0,"",SUMIFS('Daily NSE Equity Cash'!$H:$H,'Daily NSE Equity Cash'!$A:$A,$A1452))</f>
        <v>1740.5595000000001</v>
      </c>
      <c r="F1452" s="4">
        <f>IF(SUMIFS('Daily BSE Equity Cash'!$H:$H,'Daily BSE Equity Cash'!$A:$A,$A1452)=0,"",SUMIFS('Daily BSE Equity Cash'!$H:$H,'Daily BSE Equity Cash'!$A:$A,$A1452))</f>
        <v>118.4118</v>
      </c>
      <c r="G1452" s="4">
        <f t="shared" si="198"/>
        <v>1858.9713000000002</v>
      </c>
      <c r="H1452" s="7">
        <f t="shared" si="199"/>
        <v>0.65947616690413091</v>
      </c>
      <c r="I1452" s="7">
        <f t="shared" si="200"/>
        <v>1.1992500264663764</v>
      </c>
      <c r="J1452" s="7">
        <f t="shared" si="201"/>
        <v>0.68583182030841172</v>
      </c>
      <c r="K1452" s="7">
        <f t="shared" si="204"/>
        <v>0.34903490141298543</v>
      </c>
      <c r="L1452" s="7">
        <f t="shared" si="205"/>
        <v>0.44954577672119456</v>
      </c>
      <c r="M1452" s="7">
        <f t="shared" si="206"/>
        <v>0.35501969291674573</v>
      </c>
      <c r="N1452" s="7">
        <f t="shared" si="202"/>
        <v>0.93630251311572155</v>
      </c>
      <c r="O1452" s="7">
        <f t="shared" si="203"/>
        <v>6.3697486884278412E-2</v>
      </c>
    </row>
    <row r="1453" spans="1:15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4">
        <f>IF(SUMIFS('Daily NSE Equity Cash'!$H:$H,'Daily NSE Equity Cash'!$A:$A,$A1453)=0,"",SUMIFS('Daily NSE Equity Cash'!$H:$H,'Daily NSE Equity Cash'!$A:$A,$A1453))</f>
        <v>1355.269</v>
      </c>
      <c r="F1453" s="4">
        <f>IF(SUMIFS('Daily BSE Equity Cash'!$H:$H,'Daily BSE Equity Cash'!$A:$A,$A1453)=0,"",SUMIFS('Daily BSE Equity Cash'!$H:$H,'Daily BSE Equity Cash'!$A:$A,$A1453))</f>
        <v>104.35039999999999</v>
      </c>
      <c r="G1453" s="4">
        <f t="shared" si="198"/>
        <v>1459.6194</v>
      </c>
      <c r="H1453" s="7">
        <f t="shared" si="199"/>
        <v>0.30065950982066925</v>
      </c>
      <c r="I1453" s="7">
        <f t="shared" si="200"/>
        <v>0.92221992985351742</v>
      </c>
      <c r="J1453" s="7">
        <f t="shared" si="201"/>
        <v>0.33143860960104443</v>
      </c>
      <c r="K1453" s="7">
        <f t="shared" si="204"/>
        <v>-0.22136014310341012</v>
      </c>
      <c r="L1453" s="7">
        <f t="shared" si="205"/>
        <v>-0.1187499894436197</v>
      </c>
      <c r="M1453" s="7">
        <f t="shared" si="206"/>
        <v>-0.21482413418647184</v>
      </c>
      <c r="N1453" s="7">
        <f t="shared" si="202"/>
        <v>0.92850848652737827</v>
      </c>
      <c r="O1453" s="7">
        <f t="shared" si="203"/>
        <v>7.1491513472621698E-2</v>
      </c>
    </row>
    <row r="1454" spans="1:15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4">
        <f>IF(SUMIFS('Daily NSE Equity Cash'!$H:$H,'Daily NSE Equity Cash'!$A:$A,$A1454)=0,"",SUMIFS('Daily NSE Equity Cash'!$H:$H,'Daily NSE Equity Cash'!$A:$A,$A1454))</f>
        <v>1143.1554000000001</v>
      </c>
      <c r="F1454" s="4">
        <f>IF(SUMIFS('Daily BSE Equity Cash'!$H:$H,'Daily BSE Equity Cash'!$A:$A,$A1454)=0,"",SUMIFS('Daily BSE Equity Cash'!$H:$H,'Daily BSE Equity Cash'!$A:$A,$A1454))</f>
        <v>85.818200000000004</v>
      </c>
      <c r="G1454" s="4">
        <f t="shared" si="198"/>
        <v>1228.9736</v>
      </c>
      <c r="H1454" s="7">
        <f t="shared" si="199"/>
        <v>0.2095399093381034</v>
      </c>
      <c r="I1454" s="7">
        <f t="shared" si="200"/>
        <v>0.61329084773801812</v>
      </c>
      <c r="J1454" s="7">
        <f t="shared" si="201"/>
        <v>0.23105358814252575</v>
      </c>
      <c r="K1454" s="7">
        <f t="shared" si="204"/>
        <v>-0.15651033115934909</v>
      </c>
      <c r="L1454" s="7">
        <f t="shared" si="205"/>
        <v>-0.17759586930189042</v>
      </c>
      <c r="M1454" s="7">
        <f t="shared" si="206"/>
        <v>-0.15801776819354418</v>
      </c>
      <c r="N1454" s="7">
        <f t="shared" si="202"/>
        <v>0.9301708352400736</v>
      </c>
      <c r="O1454" s="7">
        <f t="shared" si="203"/>
        <v>6.9829164759926496E-2</v>
      </c>
    </row>
    <row r="1455" spans="1:15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4">
        <f>IF(SUMIFS('Daily NSE Equity Cash'!$H:$H,'Daily NSE Equity Cash'!$A:$A,$A1455)=0,"",SUMIFS('Daily NSE Equity Cash'!$H:$H,'Daily NSE Equity Cash'!$A:$A,$A1455))</f>
        <v>1086.5563</v>
      </c>
      <c r="F1455" s="4">
        <f>IF(SUMIFS('Daily BSE Equity Cash'!$H:$H,'Daily BSE Equity Cash'!$A:$A,$A1455)=0,"",SUMIFS('Daily BSE Equity Cash'!$H:$H,'Daily BSE Equity Cash'!$A:$A,$A1455))</f>
        <v>75.14</v>
      </c>
      <c r="G1455" s="4">
        <f t="shared" si="198"/>
        <v>1161.6963000000001</v>
      </c>
      <c r="H1455" s="7">
        <f t="shared" si="199"/>
        <v>0.1970546160231752</v>
      </c>
      <c r="I1455" s="7">
        <f t="shared" si="200"/>
        <v>0.55743481324876676</v>
      </c>
      <c r="J1455" s="7">
        <f t="shared" si="201"/>
        <v>0.21524294213795359</v>
      </c>
      <c r="K1455" s="7">
        <f t="shared" si="204"/>
        <v>-4.9511291290755488E-2</v>
      </c>
      <c r="L1455" s="7">
        <f t="shared" si="205"/>
        <v>-0.12442815160420517</v>
      </c>
      <c r="M1455" s="7">
        <f t="shared" si="206"/>
        <v>-5.4742673072879611E-2</v>
      </c>
      <c r="N1455" s="7">
        <f t="shared" si="202"/>
        <v>0.93531872314648834</v>
      </c>
      <c r="O1455" s="7">
        <f t="shared" si="203"/>
        <v>6.4681276853511535E-2</v>
      </c>
    </row>
    <row r="1456" spans="1:15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4">
        <f>IF(SUMIFS('Daily NSE Equity Cash'!$H:$H,'Daily NSE Equity Cash'!$A:$A,$A1456)=0,"",SUMIFS('Daily NSE Equity Cash'!$H:$H,'Daily NSE Equity Cash'!$A:$A,$A1456))</f>
        <v>1149.7249999999999</v>
      </c>
      <c r="F1456" s="4">
        <f>IF(SUMIFS('Daily BSE Equity Cash'!$H:$H,'Daily BSE Equity Cash'!$A:$A,$A1456)=0,"",SUMIFS('Daily BSE Equity Cash'!$H:$H,'Daily BSE Equity Cash'!$A:$A,$A1456))</f>
        <v>83.828699999999998</v>
      </c>
      <c r="G1456" s="4">
        <f t="shared" si="198"/>
        <v>1233.5536999999999</v>
      </c>
      <c r="H1456" s="7" t="str">
        <f t="shared" si="199"/>
        <v/>
      </c>
      <c r="I1456" s="7" t="str">
        <f t="shared" si="200"/>
        <v/>
      </c>
      <c r="J1456" s="7" t="str">
        <f t="shared" si="201"/>
        <v/>
      </c>
      <c r="K1456" s="7">
        <f t="shared" si="204"/>
        <v>5.8136610132397237E-2</v>
      </c>
      <c r="L1456" s="7">
        <f t="shared" si="205"/>
        <v>0.11563348416289587</v>
      </c>
      <c r="M1456" s="7">
        <f t="shared" si="206"/>
        <v>6.1855581359775202E-2</v>
      </c>
      <c r="N1456" s="7">
        <f t="shared" si="202"/>
        <v>0.93204292605988692</v>
      </c>
      <c r="O1456" s="7">
        <f t="shared" si="203"/>
        <v>6.7957073940113022E-2</v>
      </c>
    </row>
    <row r="1457" spans="1:15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4">
        <f>IF(SUMIFS('Daily NSE Equity Cash'!$H:$H,'Daily NSE Equity Cash'!$A:$A,$A1457)=0,"",SUMIFS('Daily NSE Equity Cash'!$H:$H,'Daily NSE Equity Cash'!$A:$A,$A1457))</f>
        <v>1180.6385</v>
      </c>
      <c r="F1457" s="4">
        <f>IF(SUMIFS('Daily BSE Equity Cash'!$H:$H,'Daily BSE Equity Cash'!$A:$A,$A1457)=0,"",SUMIFS('Daily BSE Equity Cash'!$H:$H,'Daily BSE Equity Cash'!$A:$A,$A1457))</f>
        <v>91.873900000000006</v>
      </c>
      <c r="G1457" s="4">
        <f t="shared" si="198"/>
        <v>1272.5124000000001</v>
      </c>
      <c r="H1457" s="7">
        <f t="shared" si="199"/>
        <v>0.59502397389033868</v>
      </c>
      <c r="I1457" s="7">
        <f t="shared" si="200"/>
        <v>1.1251512200538034</v>
      </c>
      <c r="J1457" s="7">
        <f t="shared" si="201"/>
        <v>0.62427766618911029</v>
      </c>
      <c r="K1457" s="7">
        <f t="shared" si="204"/>
        <v>2.6887734023353538E-2</v>
      </c>
      <c r="L1457" s="7">
        <f t="shared" si="205"/>
        <v>9.597190461023497E-2</v>
      </c>
      <c r="M1457" s="7">
        <f t="shared" si="206"/>
        <v>3.1582492112017579E-2</v>
      </c>
      <c r="N1457" s="7">
        <f t="shared" si="202"/>
        <v>0.92780117506124105</v>
      </c>
      <c r="O1457" s="7">
        <f t="shared" si="203"/>
        <v>7.219882493875894E-2</v>
      </c>
    </row>
    <row r="1458" spans="1:15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4">
        <f>IF(SUMIFS('Daily NSE Equity Cash'!$H:$H,'Daily NSE Equity Cash'!$A:$A,$A1458)=0,"",SUMIFS('Daily NSE Equity Cash'!$H:$H,'Daily NSE Equity Cash'!$A:$A,$A1458))</f>
        <v>1126.2573</v>
      </c>
      <c r="F1458" s="4">
        <f>IF(SUMIFS('Daily BSE Equity Cash'!$H:$H,'Daily BSE Equity Cash'!$A:$A,$A1458)=0,"",SUMIFS('Daily BSE Equity Cash'!$H:$H,'Daily BSE Equity Cash'!$A:$A,$A1458))</f>
        <v>93.585300000000004</v>
      </c>
      <c r="G1458" s="4">
        <f t="shared" si="198"/>
        <v>1219.8425999999999</v>
      </c>
      <c r="H1458" s="7">
        <f t="shared" si="199"/>
        <v>0.29161753964537729</v>
      </c>
      <c r="I1458" s="7">
        <f t="shared" si="200"/>
        <v>0.83494111972518614</v>
      </c>
      <c r="J1458" s="7">
        <f t="shared" si="201"/>
        <v>0.32164050618428797</v>
      </c>
      <c r="K1458" s="7">
        <f t="shared" si="204"/>
        <v>-4.6060839113750807E-2</v>
      </c>
      <c r="L1458" s="7">
        <f t="shared" si="205"/>
        <v>1.8627706018793155E-2</v>
      </c>
      <c r="M1458" s="7">
        <f t="shared" si="206"/>
        <v>-4.1390402168183238E-2</v>
      </c>
      <c r="N1458" s="7">
        <f t="shared" si="202"/>
        <v>0.92328083967554508</v>
      </c>
      <c r="O1458" s="7">
        <f t="shared" si="203"/>
        <v>7.6719160324454985E-2</v>
      </c>
    </row>
    <row r="1459" spans="1:15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4">
        <f>IF(SUMIFS('Daily NSE Equity Cash'!$H:$H,'Daily NSE Equity Cash'!$A:$A,$A1459)=0,"",SUMIFS('Daily NSE Equity Cash'!$H:$H,'Daily NSE Equity Cash'!$A:$A,$A1459))</f>
        <v>1192.3339000000001</v>
      </c>
      <c r="F1459" s="4">
        <f>IF(SUMIFS('Daily BSE Equity Cash'!$H:$H,'Daily BSE Equity Cash'!$A:$A,$A1459)=0,"",SUMIFS('Daily BSE Equity Cash'!$H:$H,'Daily BSE Equity Cash'!$A:$A,$A1459))</f>
        <v>104.6866</v>
      </c>
      <c r="G1459" s="4">
        <f t="shared" si="198"/>
        <v>1297.0205000000001</v>
      </c>
      <c r="H1459" s="7">
        <f t="shared" si="199"/>
        <v>0.13979047111402054</v>
      </c>
      <c r="I1459" s="7">
        <f t="shared" si="200"/>
        <v>0.7254743601577025</v>
      </c>
      <c r="J1459" s="7">
        <f t="shared" si="201"/>
        <v>0.17189662824376217</v>
      </c>
      <c r="K1459" s="7">
        <f t="shared" si="204"/>
        <v>5.8669186872307044E-2</v>
      </c>
      <c r="L1459" s="7">
        <f t="shared" si="205"/>
        <v>0.11862226225699968</v>
      </c>
      <c r="M1459" s="7">
        <f t="shared" si="206"/>
        <v>6.3268736474689558E-2</v>
      </c>
      <c r="N1459" s="7">
        <f t="shared" si="202"/>
        <v>0.91928685784072028</v>
      </c>
      <c r="O1459" s="7">
        <f t="shared" si="203"/>
        <v>8.0713142159279661E-2</v>
      </c>
    </row>
    <row r="1460" spans="1:15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4">
        <f>IF(SUMIFS('Daily NSE Equity Cash'!$H:$H,'Daily NSE Equity Cash'!$A:$A,$A1460)=0,"",SUMIFS('Daily NSE Equity Cash'!$H:$H,'Daily NSE Equity Cash'!$A:$A,$A1460))</f>
        <v>1235.9944</v>
      </c>
      <c r="F1460" s="4">
        <f>IF(SUMIFS('Daily BSE Equity Cash'!$H:$H,'Daily BSE Equity Cash'!$A:$A,$A1460)=0,"",SUMIFS('Daily BSE Equity Cash'!$H:$H,'Daily BSE Equity Cash'!$A:$A,$A1460))</f>
        <v>94.244799999999998</v>
      </c>
      <c r="G1460" s="4">
        <f t="shared" si="198"/>
        <v>1330.2392</v>
      </c>
      <c r="H1460" s="7">
        <f t="shared" si="199"/>
        <v>0.46453597045794814</v>
      </c>
      <c r="I1460" s="7">
        <f t="shared" si="200"/>
        <v>1.015565084423153</v>
      </c>
      <c r="J1460" s="7">
        <f t="shared" si="201"/>
        <v>0.49346272852607131</v>
      </c>
      <c r="K1460" s="7">
        <f t="shared" si="204"/>
        <v>3.6617678990759073E-2</v>
      </c>
      <c r="L1460" s="7">
        <f t="shared" si="205"/>
        <v>-9.9743424659889612E-2</v>
      </c>
      <c r="M1460" s="7">
        <f t="shared" si="206"/>
        <v>2.5611545846808026E-2</v>
      </c>
      <c r="N1460" s="7">
        <f t="shared" si="202"/>
        <v>0.92915199010824523</v>
      </c>
      <c r="O1460" s="7">
        <f t="shared" si="203"/>
        <v>7.0848009891754812E-2</v>
      </c>
    </row>
    <row r="1461" spans="1:15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4">
        <f>IF(SUMIFS('Daily NSE Equity Cash'!$H:$H,'Daily NSE Equity Cash'!$A:$A,$A1461)=0,"",SUMIFS('Daily NSE Equity Cash'!$H:$H,'Daily NSE Equity Cash'!$A:$A,$A1461))</f>
        <v>894.36360000000002</v>
      </c>
      <c r="F1461" s="4">
        <f>IF(SUMIFS('Daily BSE Equity Cash'!$H:$H,'Daily BSE Equity Cash'!$A:$A,$A1461)=0,"",SUMIFS('Daily BSE Equity Cash'!$H:$H,'Daily BSE Equity Cash'!$A:$A,$A1461))</f>
        <v>75.058700000000002</v>
      </c>
      <c r="G1461" s="4">
        <f t="shared" si="198"/>
        <v>969.42230000000006</v>
      </c>
      <c r="H1461" s="7" t="str">
        <f t="shared" si="199"/>
        <v/>
      </c>
      <c r="I1461" s="7" t="str">
        <f t="shared" si="200"/>
        <v/>
      </c>
      <c r="J1461" s="7" t="str">
        <f t="shared" si="201"/>
        <v/>
      </c>
      <c r="K1461" s="7">
        <f t="shared" si="204"/>
        <v>-0.27640157592947023</v>
      </c>
      <c r="L1461" s="7">
        <f t="shared" si="205"/>
        <v>-0.20357727959526672</v>
      </c>
      <c r="M1461" s="7">
        <f t="shared" si="206"/>
        <v>-0.27124211946242449</v>
      </c>
      <c r="N1461" s="7">
        <f t="shared" si="202"/>
        <v>0.9225737844074765</v>
      </c>
      <c r="O1461" s="7">
        <f t="shared" si="203"/>
        <v>7.7426215592523509E-2</v>
      </c>
    </row>
    <row r="1462" spans="1:15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4">
        <f>IF(SUMIFS('Daily NSE Equity Cash'!$H:$H,'Daily NSE Equity Cash'!$A:$A,$A1462)=0,"",SUMIFS('Daily NSE Equity Cash'!$H:$H,'Daily NSE Equity Cash'!$A:$A,$A1462))</f>
        <v>956.90629999999999</v>
      </c>
      <c r="F1462" s="4">
        <f>IF(SUMIFS('Daily BSE Equity Cash'!$H:$H,'Daily BSE Equity Cash'!$A:$A,$A1462)=0,"",SUMIFS('Daily BSE Equity Cash'!$H:$H,'Daily BSE Equity Cash'!$A:$A,$A1462))</f>
        <v>68.668899999999994</v>
      </c>
      <c r="G1462" s="4">
        <f t="shared" si="198"/>
        <v>1025.5752</v>
      </c>
      <c r="H1462" s="7">
        <f t="shared" si="199"/>
        <v>0.15734237527568196</v>
      </c>
      <c r="I1462" s="7">
        <f t="shared" si="200"/>
        <v>0.45260911137059789</v>
      </c>
      <c r="J1462" s="7">
        <f t="shared" si="201"/>
        <v>0.17331114788093593</v>
      </c>
      <c r="K1462" s="7">
        <f t="shared" si="204"/>
        <v>6.9929836142705204E-2</v>
      </c>
      <c r="L1462" s="7">
        <f t="shared" si="205"/>
        <v>-8.5130704368714172E-2</v>
      </c>
      <c r="M1462" s="7">
        <f t="shared" si="206"/>
        <v>5.7924085303174833E-2</v>
      </c>
      <c r="N1462" s="7">
        <f t="shared" si="202"/>
        <v>0.93304352523344947</v>
      </c>
      <c r="O1462" s="7">
        <f t="shared" si="203"/>
        <v>6.6956474766550506E-2</v>
      </c>
    </row>
    <row r="1463" spans="1:15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4">
        <f>IF(SUMIFS('Daily NSE Equity Cash'!$H:$H,'Daily NSE Equity Cash'!$A:$A,$A1463)=0,"",SUMIFS('Daily NSE Equity Cash'!$H:$H,'Daily NSE Equity Cash'!$A:$A,$A1463))</f>
        <v>927.68409999999994</v>
      </c>
      <c r="F1463" s="4">
        <f>IF(SUMIFS('Daily BSE Equity Cash'!$H:$H,'Daily BSE Equity Cash'!$A:$A,$A1463)=0,"",SUMIFS('Daily BSE Equity Cash'!$H:$H,'Daily BSE Equity Cash'!$A:$A,$A1463))</f>
        <v>70.2273</v>
      </c>
      <c r="G1463" s="4">
        <f t="shared" si="198"/>
        <v>997.91139999999996</v>
      </c>
      <c r="H1463" s="7">
        <f t="shared" si="199"/>
        <v>9.2986633334931623E-2</v>
      </c>
      <c r="I1463" s="7">
        <f t="shared" si="200"/>
        <v>0.43032328626506899</v>
      </c>
      <c r="J1463" s="7">
        <f t="shared" si="201"/>
        <v>0.11143368072246473</v>
      </c>
      <c r="K1463" s="7">
        <f t="shared" si="204"/>
        <v>-3.0538204210799003E-2</v>
      </c>
      <c r="L1463" s="7">
        <f t="shared" si="205"/>
        <v>2.2694407511988812E-2</v>
      </c>
      <c r="M1463" s="7">
        <f t="shared" si="206"/>
        <v>-2.6973936187224545E-2</v>
      </c>
      <c r="N1463" s="7">
        <f t="shared" si="202"/>
        <v>0.92962571627100365</v>
      </c>
      <c r="O1463" s="7">
        <f t="shared" si="203"/>
        <v>7.0374283728996387E-2</v>
      </c>
    </row>
    <row r="1464" spans="1:15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4">
        <f>IF(SUMIFS('Daily NSE Equity Cash'!$H:$H,'Daily NSE Equity Cash'!$A:$A,$A1464)=0,"",SUMIFS('Daily NSE Equity Cash'!$H:$H,'Daily NSE Equity Cash'!$A:$A,$A1464))</f>
        <v>938.11519999999996</v>
      </c>
      <c r="F1464" s="4">
        <f>IF(SUMIFS('Daily BSE Equity Cash'!$H:$H,'Daily BSE Equity Cash'!$A:$A,$A1464)=0,"",SUMIFS('Daily BSE Equity Cash'!$H:$H,'Daily BSE Equity Cash'!$A:$A,$A1464))</f>
        <v>76.452600000000004</v>
      </c>
      <c r="G1464" s="4">
        <f t="shared" si="198"/>
        <v>1014.5677999999999</v>
      </c>
      <c r="H1464" s="7">
        <f t="shared" si="199"/>
        <v>0.11410012725071361</v>
      </c>
      <c r="I1464" s="7">
        <f t="shared" si="200"/>
        <v>0.5550208481643446</v>
      </c>
      <c r="J1464" s="7">
        <f t="shared" si="201"/>
        <v>0.13842438904245769</v>
      </c>
      <c r="K1464" s="7">
        <f t="shared" si="204"/>
        <v>1.1244237127703283E-2</v>
      </c>
      <c r="L1464" s="7">
        <f t="shared" si="205"/>
        <v>8.8645014118441168E-2</v>
      </c>
      <c r="M1464" s="7">
        <f t="shared" si="206"/>
        <v>1.6691261368494192E-2</v>
      </c>
      <c r="N1464" s="7">
        <f t="shared" si="202"/>
        <v>0.92464515432088423</v>
      </c>
      <c r="O1464" s="7">
        <f t="shared" si="203"/>
        <v>7.5354845679115781E-2</v>
      </c>
    </row>
    <row r="1465" spans="1:15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4">
        <f>IF(SUMIFS('Daily NSE Equity Cash'!$H:$H,'Daily NSE Equity Cash'!$A:$A,$A1465)=0,"",SUMIFS('Daily NSE Equity Cash'!$H:$H,'Daily NSE Equity Cash'!$A:$A,$A1465))</f>
        <v>926.43790000000001</v>
      </c>
      <c r="F1465" s="4">
        <f>IF(SUMIFS('Daily BSE Equity Cash'!$H:$H,'Daily BSE Equity Cash'!$A:$A,$A1465)=0,"",SUMIFS('Daily BSE Equity Cash'!$H:$H,'Daily BSE Equity Cash'!$A:$A,$A1465))</f>
        <v>75.622100000000003</v>
      </c>
      <c r="G1465" s="4">
        <f t="shared" si="198"/>
        <v>1002.0600000000001</v>
      </c>
      <c r="H1465" s="7">
        <f t="shared" si="199"/>
        <v>0.15268451031575592</v>
      </c>
      <c r="I1465" s="7">
        <f t="shared" si="200"/>
        <v>0.8668712383416366</v>
      </c>
      <c r="J1465" s="7">
        <f t="shared" si="201"/>
        <v>0.18695226676540777</v>
      </c>
      <c r="K1465" s="7">
        <f t="shared" si="204"/>
        <v>-1.2447618373521707E-2</v>
      </c>
      <c r="L1465" s="7">
        <f t="shared" si="205"/>
        <v>-1.0862939913096503E-2</v>
      </c>
      <c r="M1465" s="7">
        <f t="shared" si="206"/>
        <v>-1.232820517268518E-2</v>
      </c>
      <c r="N1465" s="7">
        <f t="shared" si="202"/>
        <v>0.9245333612757719</v>
      </c>
      <c r="O1465" s="7">
        <f t="shared" si="203"/>
        <v>7.5466638724228083E-2</v>
      </c>
    </row>
    <row r="1466" spans="1:15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4">
        <f>IF(SUMIFS('Daily NSE Equity Cash'!$H:$H,'Daily NSE Equity Cash'!$A:$A,$A1466)=0,"",SUMIFS('Daily NSE Equity Cash'!$H:$H,'Daily NSE Equity Cash'!$A:$A,$A1466))</f>
        <v>1010.5248</v>
      </c>
      <c r="F1466" s="4">
        <f>IF(SUMIFS('Daily BSE Equity Cash'!$H:$H,'Daily BSE Equity Cash'!$A:$A,$A1466)=0,"",SUMIFS('Daily BSE Equity Cash'!$H:$H,'Daily BSE Equity Cash'!$A:$A,$A1466))</f>
        <v>73.794600000000003</v>
      </c>
      <c r="G1466" s="4">
        <f t="shared" si="198"/>
        <v>1084.3194000000001</v>
      </c>
      <c r="H1466" s="7" t="str">
        <f t="shared" si="199"/>
        <v/>
      </c>
      <c r="I1466" s="7" t="str">
        <f t="shared" si="200"/>
        <v/>
      </c>
      <c r="J1466" s="7" t="str">
        <f t="shared" si="201"/>
        <v/>
      </c>
      <c r="K1466" s="7">
        <f t="shared" si="204"/>
        <v>9.0763665864706189E-2</v>
      </c>
      <c r="L1466" s="7">
        <f t="shared" si="205"/>
        <v>-2.4166215960678139E-2</v>
      </c>
      <c r="M1466" s="7">
        <f t="shared" si="206"/>
        <v>8.209029399437151E-2</v>
      </c>
      <c r="N1466" s="7">
        <f t="shared" si="202"/>
        <v>0.93194385344392061</v>
      </c>
      <c r="O1466" s="7">
        <f t="shared" si="203"/>
        <v>6.8056146556079319E-2</v>
      </c>
    </row>
    <row r="1467" spans="1:15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4">
        <f>IF(SUMIFS('Daily NSE Equity Cash'!$H:$H,'Daily NSE Equity Cash'!$A:$A,$A1467)=0,"",SUMIFS('Daily NSE Equity Cash'!$H:$H,'Daily NSE Equity Cash'!$A:$A,$A1467))</f>
        <v>1130.046</v>
      </c>
      <c r="F1467" s="4">
        <f>IF(SUMIFS('Daily BSE Equity Cash'!$H:$H,'Daily BSE Equity Cash'!$A:$A,$A1467)=0,"",SUMIFS('Daily BSE Equity Cash'!$H:$H,'Daily BSE Equity Cash'!$A:$A,$A1467))</f>
        <v>73.0702</v>
      </c>
      <c r="G1467" s="4">
        <f t="shared" si="198"/>
        <v>1203.1161999999999</v>
      </c>
      <c r="H1467" s="7">
        <f t="shared" si="199"/>
        <v>0.57065753109358353</v>
      </c>
      <c r="I1467" s="7">
        <f t="shared" si="200"/>
        <v>1.0698131592961464</v>
      </c>
      <c r="J1467" s="7">
        <f t="shared" si="201"/>
        <v>0.59400431386265562</v>
      </c>
      <c r="K1467" s="7">
        <f t="shared" si="204"/>
        <v>0.11827636491454729</v>
      </c>
      <c r="L1467" s="7">
        <f t="shared" si="205"/>
        <v>-9.8164364330182163E-3</v>
      </c>
      <c r="M1467" s="7">
        <f t="shared" si="206"/>
        <v>0.10955886245325863</v>
      </c>
      <c r="N1467" s="7">
        <f t="shared" si="202"/>
        <v>0.9392658830460433</v>
      </c>
      <c r="O1467" s="7">
        <f t="shared" si="203"/>
        <v>6.0734116953956738E-2</v>
      </c>
    </row>
    <row r="1468" spans="1:15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4">
        <f>IF(SUMIFS('Daily NSE Equity Cash'!$H:$H,'Daily NSE Equity Cash'!$A:$A,$A1468)=0,"",SUMIFS('Daily NSE Equity Cash'!$H:$H,'Daily NSE Equity Cash'!$A:$A,$A1468))</f>
        <v>1085.0378000000001</v>
      </c>
      <c r="F1468" s="4">
        <f>IF(SUMIFS('Daily BSE Equity Cash'!$H:$H,'Daily BSE Equity Cash'!$A:$A,$A1468)=0,"",SUMIFS('Daily BSE Equity Cash'!$H:$H,'Daily BSE Equity Cash'!$A:$A,$A1468))</f>
        <v>104.6447</v>
      </c>
      <c r="G1468" s="4">
        <f t="shared" si="198"/>
        <v>1189.6825000000001</v>
      </c>
      <c r="H1468" s="7">
        <f t="shared" si="199"/>
        <v>0.44613899670505042</v>
      </c>
      <c r="I1468" s="7">
        <f t="shared" si="200"/>
        <v>1.4804493242122128</v>
      </c>
      <c r="J1468" s="7">
        <f t="shared" si="201"/>
        <v>0.50120014496125886</v>
      </c>
      <c r="K1468" s="7">
        <f t="shared" si="204"/>
        <v>-3.9828644143689695E-2</v>
      </c>
      <c r="L1468" s="7">
        <f t="shared" si="205"/>
        <v>0.43211185955423681</v>
      </c>
      <c r="M1468" s="7">
        <f t="shared" si="206"/>
        <v>-1.1165754396790462E-2</v>
      </c>
      <c r="N1468" s="7">
        <f t="shared" si="202"/>
        <v>0.91203980894062064</v>
      </c>
      <c r="O1468" s="7">
        <f t="shared" si="203"/>
        <v>8.7960191059379286E-2</v>
      </c>
    </row>
    <row r="1469" spans="1:15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4">
        <f>IF(SUMIFS('Daily NSE Equity Cash'!$H:$H,'Daily NSE Equity Cash'!$A:$A,$A1469)=0,"",SUMIFS('Daily NSE Equity Cash'!$H:$H,'Daily NSE Equity Cash'!$A:$A,$A1469))</f>
        <v>1086.6576</v>
      </c>
      <c r="F1469" s="4">
        <f>IF(SUMIFS('Daily BSE Equity Cash'!$H:$H,'Daily BSE Equity Cash'!$A:$A,$A1469)=0,"",SUMIFS('Daily BSE Equity Cash'!$H:$H,'Daily BSE Equity Cash'!$A:$A,$A1469))</f>
        <v>100.2974</v>
      </c>
      <c r="G1469" s="4">
        <f t="shared" si="198"/>
        <v>1186.9549999999999</v>
      </c>
      <c r="H1469" s="7" t="str">
        <f t="shared" si="199"/>
        <v/>
      </c>
      <c r="I1469" s="7" t="str">
        <f t="shared" si="200"/>
        <v/>
      </c>
      <c r="J1469" s="7" t="str">
        <f t="shared" si="201"/>
        <v/>
      </c>
      <c r="K1469" s="7">
        <f t="shared" si="204"/>
        <v>1.4928512167962094E-3</v>
      </c>
      <c r="L1469" s="7">
        <f t="shared" si="205"/>
        <v>-4.1543432204402153E-2</v>
      </c>
      <c r="M1469" s="7">
        <f t="shared" si="206"/>
        <v>-2.2926284954180032E-3</v>
      </c>
      <c r="N1469" s="7">
        <f t="shared" si="202"/>
        <v>0.91550025064134699</v>
      </c>
      <c r="O1469" s="7">
        <f t="shared" si="203"/>
        <v>8.4499749358653023E-2</v>
      </c>
    </row>
    <row r="1470" spans="1:15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4">
        <f>IF(SUMIFS('Daily NSE Equity Cash'!$H:$H,'Daily NSE Equity Cash'!$A:$A,$A1470)=0,"",SUMIFS('Daily NSE Equity Cash'!$H:$H,'Daily NSE Equity Cash'!$A:$A,$A1470))</f>
        <v>1449.6274000000001</v>
      </c>
      <c r="F1470" s="4">
        <f>IF(SUMIFS('Daily BSE Equity Cash'!$H:$H,'Daily BSE Equity Cash'!$A:$A,$A1470)=0,"",SUMIFS('Daily BSE Equity Cash'!$H:$H,'Daily BSE Equity Cash'!$A:$A,$A1470))</f>
        <v>80.0244</v>
      </c>
      <c r="G1470" s="4">
        <f t="shared" si="198"/>
        <v>1529.6518000000001</v>
      </c>
      <c r="H1470" s="7">
        <f t="shared" si="199"/>
        <v>0.54083873571554397</v>
      </c>
      <c r="I1470" s="7">
        <f t="shared" si="200"/>
        <v>0.91491744436468059</v>
      </c>
      <c r="J1470" s="7">
        <f t="shared" si="201"/>
        <v>0.55674840709912687</v>
      </c>
      <c r="K1470" s="7">
        <f t="shared" si="204"/>
        <v>0.33402407529289824</v>
      </c>
      <c r="L1470" s="7">
        <f t="shared" si="205"/>
        <v>-0.20212886874435421</v>
      </c>
      <c r="M1470" s="7">
        <f t="shared" si="206"/>
        <v>0.28871928590384655</v>
      </c>
      <c r="N1470" s="7">
        <f t="shared" si="202"/>
        <v>0.94768456455253414</v>
      </c>
      <c r="O1470" s="7">
        <f t="shared" si="203"/>
        <v>5.2315435447465884E-2</v>
      </c>
    </row>
    <row r="1471" spans="1:15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4">
        <f>IF(SUMIFS('Daily NSE Equity Cash'!$H:$H,'Daily NSE Equity Cash'!$A:$A,$A1471)=0,"",SUMIFS('Daily NSE Equity Cash'!$H:$H,'Daily NSE Equity Cash'!$A:$A,$A1471))</f>
        <v>1353.7272</v>
      </c>
      <c r="F1471" s="4">
        <f>IF(SUMIFS('Daily BSE Equity Cash'!$H:$H,'Daily BSE Equity Cash'!$A:$A,$A1471)=0,"",SUMIFS('Daily BSE Equity Cash'!$H:$H,'Daily BSE Equity Cash'!$A:$A,$A1471))</f>
        <v>115.0569</v>
      </c>
      <c r="G1471" s="4">
        <f t="shared" si="198"/>
        <v>1468.7841000000001</v>
      </c>
      <c r="H1471" s="7" t="str">
        <f t="shared" si="199"/>
        <v/>
      </c>
      <c r="I1471" s="7" t="str">
        <f t="shared" si="200"/>
        <v/>
      </c>
      <c r="J1471" s="7" t="str">
        <f t="shared" si="201"/>
        <v/>
      </c>
      <c r="K1471" s="7">
        <f t="shared" si="204"/>
        <v>-6.615506853692199E-2</v>
      </c>
      <c r="L1471" s="7">
        <f t="shared" si="205"/>
        <v>0.43777272931755817</v>
      </c>
      <c r="M1471" s="7">
        <f t="shared" si="206"/>
        <v>-3.9791866358082295E-2</v>
      </c>
      <c r="N1471" s="7">
        <f t="shared" si="202"/>
        <v>0.92166520593462309</v>
      </c>
      <c r="O1471" s="7">
        <f t="shared" si="203"/>
        <v>7.8334794065376925E-2</v>
      </c>
    </row>
    <row r="1472" spans="1:15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4">
        <f>IF(SUMIFS('Daily NSE Equity Cash'!$H:$H,'Daily NSE Equity Cash'!$A:$A,$A1472)=0,"",SUMIFS('Daily NSE Equity Cash'!$H:$H,'Daily NSE Equity Cash'!$A:$A,$A1472))</f>
        <v>1409.5435</v>
      </c>
      <c r="F1472" s="4">
        <f>IF(SUMIFS('Daily BSE Equity Cash'!$H:$H,'Daily BSE Equity Cash'!$A:$A,$A1472)=0,"",SUMIFS('Daily BSE Equity Cash'!$H:$H,'Daily BSE Equity Cash'!$A:$A,$A1472))</f>
        <v>104.18940000000001</v>
      </c>
      <c r="G1472" s="4">
        <f t="shared" si="198"/>
        <v>1513.7329</v>
      </c>
      <c r="H1472" s="7">
        <f t="shared" si="199"/>
        <v>0.60327745523644172</v>
      </c>
      <c r="I1472" s="7">
        <f t="shared" si="200"/>
        <v>1.4685570503191445</v>
      </c>
      <c r="J1472" s="7">
        <f t="shared" si="201"/>
        <v>0.64291461935395366</v>
      </c>
      <c r="K1472" s="7">
        <f t="shared" si="204"/>
        <v>4.123157161945179E-2</v>
      </c>
      <c r="L1472" s="7">
        <f t="shared" si="205"/>
        <v>-9.4453266166566241E-2</v>
      </c>
      <c r="M1472" s="7">
        <f t="shared" si="206"/>
        <v>3.0602727793689999E-2</v>
      </c>
      <c r="N1472" s="7">
        <f t="shared" si="202"/>
        <v>0.93117055195140441</v>
      </c>
      <c r="O1472" s="7">
        <f t="shared" si="203"/>
        <v>6.8829448048595629E-2</v>
      </c>
    </row>
    <row r="1473" spans="1:15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4">
        <f>IF(SUMIFS('Daily NSE Equity Cash'!$H:$H,'Daily NSE Equity Cash'!$A:$A,$A1473)=0,"",SUMIFS('Daily NSE Equity Cash'!$H:$H,'Daily NSE Equity Cash'!$A:$A,$A1473))</f>
        <v>1240.2264</v>
      </c>
      <c r="F1473" s="4">
        <f>IF(SUMIFS('Daily BSE Equity Cash'!$H:$H,'Daily BSE Equity Cash'!$A:$A,$A1473)=0,"",SUMIFS('Daily BSE Equity Cash'!$H:$H,'Daily BSE Equity Cash'!$A:$A,$A1473))</f>
        <v>92.581000000000003</v>
      </c>
      <c r="G1473" s="4">
        <f t="shared" si="198"/>
        <v>1332.8073999999999</v>
      </c>
      <c r="H1473" s="7">
        <f t="shared" si="199"/>
        <v>0.29131629620636801</v>
      </c>
      <c r="I1473" s="7">
        <f t="shared" si="200"/>
        <v>0.28392490132828918</v>
      </c>
      <c r="J1473" s="7">
        <f t="shared" si="201"/>
        <v>0.29080011730255251</v>
      </c>
      <c r="K1473" s="7">
        <f t="shared" si="204"/>
        <v>-0.12012194018843692</v>
      </c>
      <c r="L1473" s="7">
        <f t="shared" si="205"/>
        <v>-0.11141632450134087</v>
      </c>
      <c r="M1473" s="7">
        <f t="shared" si="206"/>
        <v>-0.11952273746577091</v>
      </c>
      <c r="N1473" s="7">
        <f t="shared" si="202"/>
        <v>0.9305368502605853</v>
      </c>
      <c r="O1473" s="7">
        <f t="shared" si="203"/>
        <v>6.9463149739414726E-2</v>
      </c>
    </row>
    <row r="1474" spans="1:15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4">
        <f>IF(SUMIFS('Daily NSE Equity Cash'!$H:$H,'Daily NSE Equity Cash'!$A:$A,$A1474)=0,"",SUMIFS('Daily NSE Equity Cash'!$H:$H,'Daily NSE Equity Cash'!$A:$A,$A1474))</f>
        <v>1105.5418999999999</v>
      </c>
      <c r="F1474" s="4">
        <f>IF(SUMIFS('Daily BSE Equity Cash'!$H:$H,'Daily BSE Equity Cash'!$A:$A,$A1474)=0,"",SUMIFS('Daily BSE Equity Cash'!$H:$H,'Daily BSE Equity Cash'!$A:$A,$A1474))</f>
        <v>80.284000000000006</v>
      </c>
      <c r="G1474" s="4">
        <f t="shared" ref="G1474:G1537" si="207">IF(OR(E1474="",F1474=""),"",E1474+F1474)</f>
        <v>1185.8259</v>
      </c>
      <c r="H1474" s="7">
        <f t="shared" ref="H1474:H1537" si="208">IFERROR(IF(OR(E1474="",INDEX(E:E,MATCH(DATE(YEAR($A1474)-1,MONTH($A1474),DAY($A1474)),$A:$A,0))=""),"",E1474/INDEX(E:E,MATCH(DATE(YEAR($A1474)-1,MONTH($A1474),DAY($A1474)),$A:$A,0))-1),"")</f>
        <v>0.16433990064254811</v>
      </c>
      <c r="I1474" s="7">
        <f t="shared" ref="I1474:I1537" si="209">IFERROR(IF(OR(F1474="",INDEX(F:F,MATCH(DATE(YEAR($A1474)-1,MONTH($A1474),DAY($A1474)),$A:$A,0))=""),"",F1474/INDEX(F:F,MATCH(DATE(YEAR($A1474)-1,MONTH($A1474),DAY($A1474)),$A:$A,0))-1),"")</f>
        <v>0.6041079741852986</v>
      </c>
      <c r="J1474" s="7">
        <f t="shared" ref="J1474:J1537" si="210">IFERROR(IF(OR(G1474="",INDEX(G:G,MATCH(DATE(YEAR($A1474)-1,MONTH($A1474),DAY($A1474)),$A:$A,0))=""),"",G1474/INDEX(G:G,MATCH(DATE(YEAR($A1474)-1,MONTH($A1474),DAY($A1474)),$A:$A,0))-1),"")</f>
        <v>0.18635976189285186</v>
      </c>
      <c r="K1474" s="7">
        <f t="shared" si="204"/>
        <v>-0.10859670460167603</v>
      </c>
      <c r="L1474" s="7">
        <f t="shared" si="205"/>
        <v>-0.13282422959354512</v>
      </c>
      <c r="M1474" s="7">
        <f t="shared" si="206"/>
        <v>-0.11027962479800146</v>
      </c>
      <c r="N1474" s="7">
        <f t="shared" ref="N1474:N1537" si="211">IF(G1474="","",E1474/G1474)</f>
        <v>0.93229697546663459</v>
      </c>
      <c r="O1474" s="7">
        <f t="shared" ref="O1474:O1537" si="212">IF(G1474="","",F1474/G1474)</f>
        <v>6.7703024533365311E-2</v>
      </c>
    </row>
    <row r="1475" spans="1:15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4">
        <f>IF(SUMIFS('Daily NSE Equity Cash'!$H:$H,'Daily NSE Equity Cash'!$A:$A,$A1475)=0,"",SUMIFS('Daily NSE Equity Cash'!$H:$H,'Daily NSE Equity Cash'!$A:$A,$A1475))</f>
        <v>1165.9557</v>
      </c>
      <c r="F1475" s="4">
        <f>IF(SUMIFS('Daily BSE Equity Cash'!$H:$H,'Daily BSE Equity Cash'!$A:$A,$A1475)=0,"",SUMIFS('Daily BSE Equity Cash'!$H:$H,'Daily BSE Equity Cash'!$A:$A,$A1475))</f>
        <v>96.585400000000007</v>
      </c>
      <c r="G1475" s="4">
        <f t="shared" si="207"/>
        <v>1262.5410999999999</v>
      </c>
      <c r="H1475" s="7" t="str">
        <f t="shared" si="208"/>
        <v/>
      </c>
      <c r="I1475" s="7" t="str">
        <f t="shared" si="209"/>
        <v/>
      </c>
      <c r="J1475" s="7" t="str">
        <f t="shared" si="210"/>
        <v/>
      </c>
      <c r="K1475" s="7">
        <f t="shared" ref="K1475:K1538" si="213">IF(OR(E1475="",E1474=""),"",E1475/E1474-1)</f>
        <v>5.4646323219409432E-2</v>
      </c>
      <c r="L1475" s="7">
        <f t="shared" ref="L1475:L1538" si="214">IF(OR(F1475="",F1474=""),"",F1475/F1474-1)</f>
        <v>0.2030466842708385</v>
      </c>
      <c r="M1475" s="7">
        <f t="shared" ref="M1475:M1538" si="215">IF(OR(G1475="",G1474=""),"",G1475/G1474-1)</f>
        <v>6.4693476504434466E-2</v>
      </c>
      <c r="N1475" s="7">
        <f t="shared" si="211"/>
        <v>0.92349920331306445</v>
      </c>
      <c r="O1475" s="7">
        <f t="shared" si="212"/>
        <v>7.6500796686935588E-2</v>
      </c>
    </row>
    <row r="1476" spans="1:15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4">
        <f>IF(SUMIFS('Daily NSE Equity Cash'!$H:$H,'Daily NSE Equity Cash'!$A:$A,$A1476)=0,"",SUMIFS('Daily NSE Equity Cash'!$H:$H,'Daily NSE Equity Cash'!$A:$A,$A1476))</f>
        <v>1142.7982999999999</v>
      </c>
      <c r="F1476" s="4">
        <f>IF(SUMIFS('Daily BSE Equity Cash'!$H:$H,'Daily BSE Equity Cash'!$A:$A,$A1476)=0,"",SUMIFS('Daily BSE Equity Cash'!$H:$H,'Daily BSE Equity Cash'!$A:$A,$A1476))</f>
        <v>76.312600000000003</v>
      </c>
      <c r="G1476" s="4">
        <f t="shared" si="207"/>
        <v>1219.1108999999999</v>
      </c>
      <c r="H1476" s="7">
        <f t="shared" si="208"/>
        <v>0.46685503399776596</v>
      </c>
      <c r="I1476" s="7">
        <f t="shared" si="209"/>
        <v>0.74006808630954435</v>
      </c>
      <c r="J1476" s="7">
        <f t="shared" si="210"/>
        <v>0.48141515623255104</v>
      </c>
      <c r="K1476" s="7">
        <f t="shared" si="213"/>
        <v>-1.9861303478339698E-2</v>
      </c>
      <c r="L1476" s="7">
        <f t="shared" si="214"/>
        <v>-0.20989507730982115</v>
      </c>
      <c r="M1476" s="7">
        <f t="shared" si="215"/>
        <v>-3.4399038573872942E-2</v>
      </c>
      <c r="N1476" s="7">
        <f t="shared" si="211"/>
        <v>0.93740306972893117</v>
      </c>
      <c r="O1476" s="7">
        <f t="shared" si="212"/>
        <v>6.2596930271068871E-2</v>
      </c>
    </row>
    <row r="1477" spans="1:15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4">
        <f>IF(SUMIFS('Daily NSE Equity Cash'!$H:$H,'Daily NSE Equity Cash'!$A:$A,$A1477)=0,"",SUMIFS('Daily NSE Equity Cash'!$H:$H,'Daily NSE Equity Cash'!$A:$A,$A1477))</f>
        <v>1103.2530999999999</v>
      </c>
      <c r="F1477" s="4">
        <f>IF(SUMIFS('Daily BSE Equity Cash'!$H:$H,'Daily BSE Equity Cash'!$A:$A,$A1477)=0,"",SUMIFS('Daily BSE Equity Cash'!$H:$H,'Daily BSE Equity Cash'!$A:$A,$A1477))</f>
        <v>75.447800000000001</v>
      </c>
      <c r="G1477" s="4">
        <f t="shared" si="207"/>
        <v>1178.7008999999998</v>
      </c>
      <c r="H1477" s="7">
        <f t="shared" si="208"/>
        <v>0.28200870125010735</v>
      </c>
      <c r="I1477" s="7">
        <f t="shared" si="209"/>
        <v>0.70572888406583467</v>
      </c>
      <c r="J1477" s="7">
        <f t="shared" si="210"/>
        <v>0.3027227071677876</v>
      </c>
      <c r="K1477" s="7">
        <f t="shared" si="213"/>
        <v>-3.4603831664782869E-2</v>
      </c>
      <c r="L1477" s="7">
        <f t="shared" si="214"/>
        <v>-1.1332335682443073E-2</v>
      </c>
      <c r="M1477" s="7">
        <f t="shared" si="215"/>
        <v>-3.3147107453472935E-2</v>
      </c>
      <c r="N1477" s="7">
        <f t="shared" si="211"/>
        <v>0.93599071655922217</v>
      </c>
      <c r="O1477" s="7">
        <f t="shared" si="212"/>
        <v>6.40092834407779E-2</v>
      </c>
    </row>
    <row r="1478" spans="1:15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4">
        <f>IF(SUMIFS('Daily NSE Equity Cash'!$H:$H,'Daily NSE Equity Cash'!$A:$A,$A1478)=0,"",SUMIFS('Daily NSE Equity Cash'!$H:$H,'Daily NSE Equity Cash'!$A:$A,$A1478))</f>
        <v>1238.9141</v>
      </c>
      <c r="F1478" s="4">
        <f>IF(SUMIFS('Daily BSE Equity Cash'!$H:$H,'Daily BSE Equity Cash'!$A:$A,$A1478)=0,"",SUMIFS('Daily BSE Equity Cash'!$H:$H,'Daily BSE Equity Cash'!$A:$A,$A1478))</f>
        <v>89.061700000000002</v>
      </c>
      <c r="G1478" s="4">
        <f t="shared" si="207"/>
        <v>1327.9757999999999</v>
      </c>
      <c r="H1478" s="7">
        <f t="shared" si="208"/>
        <v>0.44848766934684692</v>
      </c>
      <c r="I1478" s="7">
        <f t="shared" si="209"/>
        <v>0.82377911929491177</v>
      </c>
      <c r="J1478" s="7">
        <f t="shared" si="210"/>
        <v>0.46875736880594476</v>
      </c>
      <c r="K1478" s="7">
        <f t="shared" si="213"/>
        <v>0.12296453098568239</v>
      </c>
      <c r="L1478" s="7">
        <f t="shared" si="214"/>
        <v>0.18044131174136302</v>
      </c>
      <c r="M1478" s="7">
        <f t="shared" si="215"/>
        <v>0.12664357853633623</v>
      </c>
      <c r="N1478" s="7">
        <f t="shared" si="211"/>
        <v>0.93293424473548392</v>
      </c>
      <c r="O1478" s="7">
        <f t="shared" si="212"/>
        <v>6.7065755264516122E-2</v>
      </c>
    </row>
    <row r="1479" spans="1:15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4">
        <f>IF(SUMIFS('Daily NSE Equity Cash'!$H:$H,'Daily NSE Equity Cash'!$A:$A,$A1479)=0,"",SUMIFS('Daily NSE Equity Cash'!$H:$H,'Daily NSE Equity Cash'!$A:$A,$A1479))</f>
        <v>1215.4753000000001</v>
      </c>
      <c r="F1479" s="4">
        <f>IF(SUMIFS('Daily BSE Equity Cash'!$H:$H,'Daily BSE Equity Cash'!$A:$A,$A1479)=0,"",SUMIFS('Daily BSE Equity Cash'!$H:$H,'Daily BSE Equity Cash'!$A:$A,$A1479))</f>
        <v>88.024600000000007</v>
      </c>
      <c r="G1479" s="4">
        <f t="shared" si="207"/>
        <v>1303.4999</v>
      </c>
      <c r="H1479" s="7">
        <f t="shared" si="208"/>
        <v>0.6809744400948281</v>
      </c>
      <c r="I1479" s="7">
        <f t="shared" si="209"/>
        <v>1.00620381892689</v>
      </c>
      <c r="J1479" s="7">
        <f t="shared" si="210"/>
        <v>0.69958028773563985</v>
      </c>
      <c r="K1479" s="7">
        <f t="shared" si="213"/>
        <v>-1.8918825768469261E-2</v>
      </c>
      <c r="L1479" s="7">
        <f t="shared" si="214"/>
        <v>-1.1644736177279347E-2</v>
      </c>
      <c r="M1479" s="7">
        <f t="shared" si="215"/>
        <v>-1.8430983456174332E-2</v>
      </c>
      <c r="N1479" s="7">
        <f t="shared" si="211"/>
        <v>0.93247057402919631</v>
      </c>
      <c r="O1479" s="7">
        <f t="shared" si="212"/>
        <v>6.7529425970803678E-2</v>
      </c>
    </row>
    <row r="1480" spans="1:15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4">
        <f>IF(SUMIFS('Daily NSE Equity Cash'!$H:$H,'Daily NSE Equity Cash'!$A:$A,$A1480)=0,"",SUMIFS('Daily NSE Equity Cash'!$H:$H,'Daily NSE Equity Cash'!$A:$A,$A1480))</f>
        <v>1249.2428</v>
      </c>
      <c r="F1480" s="4">
        <f>IF(SUMIFS('Daily BSE Equity Cash'!$H:$H,'Daily BSE Equity Cash'!$A:$A,$A1480)=0,"",SUMIFS('Daily BSE Equity Cash'!$H:$H,'Daily BSE Equity Cash'!$A:$A,$A1480))</f>
        <v>78.191000000000003</v>
      </c>
      <c r="G1480" s="4">
        <f t="shared" si="207"/>
        <v>1327.4338</v>
      </c>
      <c r="H1480" s="7" t="str">
        <f t="shared" si="208"/>
        <v/>
      </c>
      <c r="I1480" s="7" t="str">
        <f t="shared" si="209"/>
        <v/>
      </c>
      <c r="J1480" s="7" t="str">
        <f t="shared" si="210"/>
        <v/>
      </c>
      <c r="K1480" s="7">
        <f t="shared" si="213"/>
        <v>2.7781313203155911E-2</v>
      </c>
      <c r="L1480" s="7">
        <f t="shared" si="214"/>
        <v>-0.11171422534155229</v>
      </c>
      <c r="M1480" s="7">
        <f t="shared" si="215"/>
        <v>1.836125955974377E-2</v>
      </c>
      <c r="N1480" s="7">
        <f t="shared" si="211"/>
        <v>0.94109612095156836</v>
      </c>
      <c r="O1480" s="7">
        <f t="shared" si="212"/>
        <v>5.8903879048431647E-2</v>
      </c>
    </row>
    <row r="1481" spans="1:15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4">
        <f>IF(SUMIFS('Daily NSE Equity Cash'!$H:$H,'Daily NSE Equity Cash'!$A:$A,$A1481)=0,"",SUMIFS('Daily NSE Equity Cash'!$H:$H,'Daily NSE Equity Cash'!$A:$A,$A1481))</f>
        <v>1070.8339000000001</v>
      </c>
      <c r="F1481" s="4">
        <f>IF(SUMIFS('Daily BSE Equity Cash'!$H:$H,'Daily BSE Equity Cash'!$A:$A,$A1481)=0,"",SUMIFS('Daily BSE Equity Cash'!$H:$H,'Daily BSE Equity Cash'!$A:$A,$A1481))</f>
        <v>84.237799999999993</v>
      </c>
      <c r="G1481" s="4">
        <f t="shared" si="207"/>
        <v>1155.0717</v>
      </c>
      <c r="H1481" s="7">
        <f t="shared" si="208"/>
        <v>0.41973243637226632</v>
      </c>
      <c r="I1481" s="7">
        <f t="shared" si="209"/>
        <v>0.9043762914332476</v>
      </c>
      <c r="J1481" s="7">
        <f t="shared" si="210"/>
        <v>0.44658035229997628</v>
      </c>
      <c r="K1481" s="7">
        <f t="shared" si="213"/>
        <v>-0.14281363078498421</v>
      </c>
      <c r="L1481" s="7">
        <f t="shared" si="214"/>
        <v>7.7333708483073416E-2</v>
      </c>
      <c r="M1481" s="7">
        <f t="shared" si="215"/>
        <v>-0.12984609853990459</v>
      </c>
      <c r="N1481" s="7">
        <f t="shared" si="211"/>
        <v>0.92707136708483129</v>
      </c>
      <c r="O1481" s="7">
        <f t="shared" si="212"/>
        <v>7.2928632915168809E-2</v>
      </c>
    </row>
    <row r="1482" spans="1:15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4">
        <f>IF(SUMIFS('Daily NSE Equity Cash'!$H:$H,'Daily NSE Equity Cash'!$A:$A,$A1482)=0,"",SUMIFS('Daily NSE Equity Cash'!$H:$H,'Daily NSE Equity Cash'!$A:$A,$A1482))</f>
        <v>1075.4168999999999</v>
      </c>
      <c r="F1482" s="4">
        <f>IF(SUMIFS('Daily BSE Equity Cash'!$H:$H,'Daily BSE Equity Cash'!$A:$A,$A1482)=0,"",SUMIFS('Daily BSE Equity Cash'!$H:$H,'Daily BSE Equity Cash'!$A:$A,$A1482))</f>
        <v>80.205799999999996</v>
      </c>
      <c r="G1482" s="4">
        <f t="shared" si="207"/>
        <v>1155.6226999999999</v>
      </c>
      <c r="H1482" s="7">
        <f t="shared" si="208"/>
        <v>0.20537028070317009</v>
      </c>
      <c r="I1482" s="7">
        <f t="shared" si="209"/>
        <v>0.28794795910338333</v>
      </c>
      <c r="J1482" s="7">
        <f t="shared" si="210"/>
        <v>0.21075808038894372</v>
      </c>
      <c r="K1482" s="7">
        <f t="shared" si="213"/>
        <v>4.2798420931573489E-3</v>
      </c>
      <c r="L1482" s="7">
        <f t="shared" si="214"/>
        <v>-4.7864497885747204E-2</v>
      </c>
      <c r="M1482" s="7">
        <f t="shared" si="215"/>
        <v>4.7702666423221629E-4</v>
      </c>
      <c r="N1482" s="7">
        <f t="shared" si="211"/>
        <v>0.93059516743656912</v>
      </c>
      <c r="O1482" s="7">
        <f t="shared" si="212"/>
        <v>6.9404832563430954E-2</v>
      </c>
    </row>
    <row r="1483" spans="1:15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4">
        <f>IF(SUMIFS('Daily NSE Equity Cash'!$H:$H,'Daily NSE Equity Cash'!$A:$A,$A1483)=0,"",SUMIFS('Daily NSE Equity Cash'!$H:$H,'Daily NSE Equity Cash'!$A:$A,$A1483))</f>
        <v>1120.9306999999999</v>
      </c>
      <c r="F1483" s="4">
        <f>IF(SUMIFS('Daily BSE Equity Cash'!$H:$H,'Daily BSE Equity Cash'!$A:$A,$A1483)=0,"",SUMIFS('Daily BSE Equity Cash'!$H:$H,'Daily BSE Equity Cash'!$A:$A,$A1483))</f>
        <v>81.982799999999997</v>
      </c>
      <c r="G1483" s="4">
        <f t="shared" si="207"/>
        <v>1202.9134999999999</v>
      </c>
      <c r="H1483" s="7">
        <f t="shared" si="208"/>
        <v>7.9937045701117482E-2</v>
      </c>
      <c r="I1483" s="7">
        <f t="shared" si="209"/>
        <v>0.2760187333946571</v>
      </c>
      <c r="J1483" s="7">
        <f t="shared" si="210"/>
        <v>9.1366857913051103E-2</v>
      </c>
      <c r="K1483" s="7">
        <f t="shared" si="213"/>
        <v>4.2322005540363028E-2</v>
      </c>
      <c r="L1483" s="7">
        <f t="shared" si="214"/>
        <v>2.2155504963481398E-2</v>
      </c>
      <c r="M1483" s="7">
        <f t="shared" si="215"/>
        <v>4.0922352944434248E-2</v>
      </c>
      <c r="N1483" s="7">
        <f t="shared" si="211"/>
        <v>0.93184647108873575</v>
      </c>
      <c r="O1483" s="7">
        <f t="shared" si="212"/>
        <v>6.8153528911264194E-2</v>
      </c>
    </row>
    <row r="1484" spans="1:15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4">
        <f>IF(SUMIFS('Daily NSE Equity Cash'!$H:$H,'Daily NSE Equity Cash'!$A:$A,$A1484)=0,"",SUMIFS('Daily NSE Equity Cash'!$H:$H,'Daily NSE Equity Cash'!$A:$A,$A1484))</f>
        <v>1402.2816</v>
      </c>
      <c r="F1484" s="4">
        <f>IF(SUMIFS('Daily BSE Equity Cash'!$H:$H,'Daily BSE Equity Cash'!$A:$A,$A1484)=0,"",SUMIFS('Daily BSE Equity Cash'!$H:$H,'Daily BSE Equity Cash'!$A:$A,$A1484))</f>
        <v>80.483900000000006</v>
      </c>
      <c r="G1484" s="4">
        <f t="shared" si="207"/>
        <v>1482.7655</v>
      </c>
      <c r="H1484" s="7">
        <f t="shared" si="208"/>
        <v>0.34607308764977351</v>
      </c>
      <c r="I1484" s="7">
        <f t="shared" si="209"/>
        <v>0.42982083692340511</v>
      </c>
      <c r="J1484" s="7">
        <f t="shared" si="210"/>
        <v>0.35036627306174251</v>
      </c>
      <c r="K1484" s="7">
        <f t="shared" si="213"/>
        <v>0.25099758620225154</v>
      </c>
      <c r="L1484" s="7">
        <f t="shared" si="214"/>
        <v>-1.8283103285079205E-2</v>
      </c>
      <c r="M1484" s="7">
        <f t="shared" si="215"/>
        <v>0.23264515694603149</v>
      </c>
      <c r="N1484" s="7">
        <f t="shared" si="211"/>
        <v>0.94572041229715698</v>
      </c>
      <c r="O1484" s="7">
        <f t="shared" si="212"/>
        <v>5.4279587702843107E-2</v>
      </c>
    </row>
    <row r="1485" spans="1:15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4">
        <f>IF(SUMIFS('Daily NSE Equity Cash'!$H:$H,'Daily NSE Equity Cash'!$A:$A,$A1485)=0,"",SUMIFS('Daily NSE Equity Cash'!$H:$H,'Daily NSE Equity Cash'!$A:$A,$A1485))</f>
        <v>1304.3771999999999</v>
      </c>
      <c r="F1485" s="4">
        <f>IF(SUMIFS('Daily BSE Equity Cash'!$H:$H,'Daily BSE Equity Cash'!$A:$A,$A1485)=0,"",SUMIFS('Daily BSE Equity Cash'!$H:$H,'Daily BSE Equity Cash'!$A:$A,$A1485))</f>
        <v>100.4838</v>
      </c>
      <c r="G1485" s="4">
        <f t="shared" si="207"/>
        <v>1404.8609999999999</v>
      </c>
      <c r="H1485" s="7" t="str">
        <f t="shared" si="208"/>
        <v/>
      </c>
      <c r="I1485" s="7" t="str">
        <f t="shared" si="209"/>
        <v/>
      </c>
      <c r="J1485" s="7" t="str">
        <f t="shared" si="210"/>
        <v/>
      </c>
      <c r="K1485" s="7">
        <f t="shared" si="213"/>
        <v>-6.9817931006154632E-2</v>
      </c>
      <c r="L1485" s="7">
        <f t="shared" si="214"/>
        <v>0.24849566186529226</v>
      </c>
      <c r="M1485" s="7">
        <f t="shared" si="215"/>
        <v>-5.2540000424881828E-2</v>
      </c>
      <c r="N1485" s="7">
        <f t="shared" si="211"/>
        <v>0.92847420492134103</v>
      </c>
      <c r="O1485" s="7">
        <f t="shared" si="212"/>
        <v>7.1525795078659041E-2</v>
      </c>
    </row>
    <row r="1486" spans="1:15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4">
        <f>IF(SUMIFS('Daily NSE Equity Cash'!$H:$H,'Daily NSE Equity Cash'!$A:$A,$A1486)=0,"",SUMIFS('Daily NSE Equity Cash'!$H:$H,'Daily NSE Equity Cash'!$A:$A,$A1486))</f>
        <v>1280.6796999999999</v>
      </c>
      <c r="F1486" s="4">
        <f>IF(SUMIFS('Daily BSE Equity Cash'!$H:$H,'Daily BSE Equity Cash'!$A:$A,$A1486)=0,"",SUMIFS('Daily BSE Equity Cash'!$H:$H,'Daily BSE Equity Cash'!$A:$A,$A1486))</f>
        <v>106.4032</v>
      </c>
      <c r="G1486" s="4">
        <f t="shared" si="207"/>
        <v>1387.0828999999999</v>
      </c>
      <c r="H1486" s="7">
        <f t="shared" si="208"/>
        <v>0.18337032945008835</v>
      </c>
      <c r="I1486" s="7">
        <f t="shared" si="209"/>
        <v>0.58750800071017961</v>
      </c>
      <c r="J1486" s="7">
        <f t="shared" si="210"/>
        <v>0.20693988110568906</v>
      </c>
      <c r="K1486" s="7">
        <f t="shared" si="213"/>
        <v>-1.8167674197310357E-2</v>
      </c>
      <c r="L1486" s="7">
        <f t="shared" si="214"/>
        <v>5.8908998266387069E-2</v>
      </c>
      <c r="M1486" s="7">
        <f t="shared" si="215"/>
        <v>-1.2654703917327037E-2</v>
      </c>
      <c r="N1486" s="7">
        <f t="shared" si="211"/>
        <v>0.92328994900016437</v>
      </c>
      <c r="O1486" s="7">
        <f t="shared" si="212"/>
        <v>7.6710050999835702E-2</v>
      </c>
    </row>
    <row r="1487" spans="1:15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4">
        <f>IF(SUMIFS('Daily NSE Equity Cash'!$H:$H,'Daily NSE Equity Cash'!$A:$A,$A1487)=0,"",SUMIFS('Daily NSE Equity Cash'!$H:$H,'Daily NSE Equity Cash'!$A:$A,$A1487))</f>
        <v>1263.1442999999999</v>
      </c>
      <c r="F1487" s="4">
        <f>IF(SUMIFS('Daily BSE Equity Cash'!$H:$H,'Daily BSE Equity Cash'!$A:$A,$A1487)=0,"",SUMIFS('Daily BSE Equity Cash'!$H:$H,'Daily BSE Equity Cash'!$A:$A,$A1487))</f>
        <v>121.81019999999999</v>
      </c>
      <c r="G1487" s="4">
        <f t="shared" si="207"/>
        <v>1384.9544999999998</v>
      </c>
      <c r="H1487" s="7">
        <f t="shared" si="208"/>
        <v>0.16059814235466829</v>
      </c>
      <c r="I1487" s="7">
        <f t="shared" si="209"/>
        <v>0.82301202817799357</v>
      </c>
      <c r="J1487" s="7">
        <f t="shared" si="210"/>
        <v>0.19891377440497293</v>
      </c>
      <c r="K1487" s="7">
        <f t="shared" si="213"/>
        <v>-1.3692260445761772E-2</v>
      </c>
      <c r="L1487" s="7">
        <f t="shared" si="214"/>
        <v>0.1447982767435565</v>
      </c>
      <c r="M1487" s="7">
        <f t="shared" si="215"/>
        <v>-1.5344432549777576E-3</v>
      </c>
      <c r="N1487" s="7">
        <f t="shared" si="211"/>
        <v>0.91204750769790643</v>
      </c>
      <c r="O1487" s="7">
        <f t="shared" si="212"/>
        <v>8.7952492302093691E-2</v>
      </c>
    </row>
    <row r="1488" spans="1:15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4">
        <f>IF(SUMIFS('Daily NSE Equity Cash'!$H:$H,'Daily NSE Equity Cash'!$A:$A,$A1488)=0,"",SUMIFS('Daily NSE Equity Cash'!$H:$H,'Daily NSE Equity Cash'!$A:$A,$A1488))</f>
        <v>1571.0781999999999</v>
      </c>
      <c r="F1488" s="4">
        <f>IF(SUMIFS('Daily BSE Equity Cash'!$H:$H,'Daily BSE Equity Cash'!$A:$A,$A1488)=0,"",SUMIFS('Daily BSE Equity Cash'!$H:$H,'Daily BSE Equity Cash'!$A:$A,$A1488))</f>
        <v>124.96510000000001</v>
      </c>
      <c r="G1488" s="4">
        <f t="shared" si="207"/>
        <v>1696.0432999999998</v>
      </c>
      <c r="H1488" s="7">
        <f t="shared" si="208"/>
        <v>4.8527872734940303E-2</v>
      </c>
      <c r="I1488" s="7">
        <f t="shared" si="209"/>
        <v>0.89086080890919828</v>
      </c>
      <c r="J1488" s="7">
        <f t="shared" si="210"/>
        <v>8.4111479865796035E-2</v>
      </c>
      <c r="K1488" s="7">
        <f t="shared" si="213"/>
        <v>0.24378362788796193</v>
      </c>
      <c r="L1488" s="7">
        <f t="shared" si="214"/>
        <v>2.5900129874181443E-2</v>
      </c>
      <c r="M1488" s="7">
        <f t="shared" si="215"/>
        <v>0.2246202312061516</v>
      </c>
      <c r="N1488" s="7">
        <f t="shared" si="211"/>
        <v>0.92631962875004437</v>
      </c>
      <c r="O1488" s="7">
        <f t="shared" si="212"/>
        <v>7.3680371249955717E-2</v>
      </c>
    </row>
    <row r="1489" spans="1:15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4">
        <f>IF(SUMIFS('Daily NSE Equity Cash'!$H:$H,'Daily NSE Equity Cash'!$A:$A,$A1489)=0,"",SUMIFS('Daily NSE Equity Cash'!$H:$H,'Daily NSE Equity Cash'!$A:$A,$A1489))</f>
        <v>1468.6359</v>
      </c>
      <c r="F1489" s="4">
        <f>IF(SUMIFS('Daily BSE Equity Cash'!$H:$H,'Daily BSE Equity Cash'!$A:$A,$A1489)=0,"",SUMIFS('Daily BSE Equity Cash'!$H:$H,'Daily BSE Equity Cash'!$A:$A,$A1489))</f>
        <v>105.03060000000001</v>
      </c>
      <c r="G1489" s="4">
        <f t="shared" si="207"/>
        <v>1573.6665</v>
      </c>
      <c r="H1489" s="7" t="str">
        <f t="shared" si="208"/>
        <v/>
      </c>
      <c r="I1489" s="7" t="str">
        <f t="shared" si="209"/>
        <v/>
      </c>
      <c r="J1489" s="7" t="str">
        <f t="shared" si="210"/>
        <v/>
      </c>
      <c r="K1489" s="7">
        <f t="shared" si="213"/>
        <v>-6.5205092910079143E-2</v>
      </c>
      <c r="L1489" s="7">
        <f t="shared" si="214"/>
        <v>-0.15952053813424705</v>
      </c>
      <c r="M1489" s="7">
        <f t="shared" si="215"/>
        <v>-7.2154289928800686E-2</v>
      </c>
      <c r="N1489" s="7">
        <f t="shared" si="211"/>
        <v>0.93325739602387159</v>
      </c>
      <c r="O1489" s="7">
        <f t="shared" si="212"/>
        <v>6.6742603976128356E-2</v>
      </c>
    </row>
    <row r="1490" spans="1:15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4">
        <f>IF(SUMIFS('Daily NSE Equity Cash'!$H:$H,'Daily NSE Equity Cash'!$A:$A,$A1490)=0,"",SUMIFS('Daily NSE Equity Cash'!$H:$H,'Daily NSE Equity Cash'!$A:$A,$A1490))</f>
        <v>1272.4223999999999</v>
      </c>
      <c r="F1490" s="4">
        <f>IF(SUMIFS('Daily BSE Equity Cash'!$H:$H,'Daily BSE Equity Cash'!$A:$A,$A1490)=0,"",SUMIFS('Daily BSE Equity Cash'!$H:$H,'Daily BSE Equity Cash'!$A:$A,$A1490))</f>
        <v>89.395300000000006</v>
      </c>
      <c r="G1490" s="4">
        <f t="shared" si="207"/>
        <v>1361.8176999999998</v>
      </c>
      <c r="H1490" s="7">
        <f t="shared" si="208"/>
        <v>0.48941531762474977</v>
      </c>
      <c r="I1490" s="7">
        <f t="shared" si="209"/>
        <v>0.93826076398374725</v>
      </c>
      <c r="J1490" s="7">
        <f t="shared" si="210"/>
        <v>0.51240583124933226</v>
      </c>
      <c r="K1490" s="7">
        <f t="shared" si="213"/>
        <v>-0.13360254914100911</v>
      </c>
      <c r="L1490" s="7">
        <f t="shared" si="214"/>
        <v>-0.1488642357560559</v>
      </c>
      <c r="M1490" s="7">
        <f t="shared" si="215"/>
        <v>-0.13462115384676498</v>
      </c>
      <c r="N1490" s="7">
        <f t="shared" si="211"/>
        <v>0.93435589800308816</v>
      </c>
      <c r="O1490" s="7">
        <f t="shared" si="212"/>
        <v>6.5644101996911938E-2</v>
      </c>
    </row>
    <row r="1491" spans="1:15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4">
        <f>IF(SUMIFS('Daily NSE Equity Cash'!$H:$H,'Daily NSE Equity Cash'!$A:$A,$A1491)=0,"",SUMIFS('Daily NSE Equity Cash'!$H:$H,'Daily NSE Equity Cash'!$A:$A,$A1491))</f>
        <v>1170.9005999999999</v>
      </c>
      <c r="F1491" s="4">
        <f>IF(SUMIFS('Daily BSE Equity Cash'!$H:$H,'Daily BSE Equity Cash'!$A:$A,$A1491)=0,"",SUMIFS('Daily BSE Equity Cash'!$H:$H,'Daily BSE Equity Cash'!$A:$A,$A1491))</f>
        <v>85.412700000000001</v>
      </c>
      <c r="G1491" s="4">
        <f t="shared" si="207"/>
        <v>1256.3133</v>
      </c>
      <c r="H1491" s="7">
        <f t="shared" si="208"/>
        <v>0.46699893066620057</v>
      </c>
      <c r="I1491" s="7">
        <f t="shared" si="209"/>
        <v>0.81270188246779429</v>
      </c>
      <c r="J1491" s="7">
        <f t="shared" si="210"/>
        <v>0.48626968949323879</v>
      </c>
      <c r="K1491" s="7">
        <f t="shared" si="213"/>
        <v>-7.9786240795509444E-2</v>
      </c>
      <c r="L1491" s="7">
        <f t="shared" si="214"/>
        <v>-4.4550440571260563E-2</v>
      </c>
      <c r="M1491" s="7">
        <f t="shared" si="215"/>
        <v>-7.7473218331645888E-2</v>
      </c>
      <c r="N1491" s="7">
        <f t="shared" si="211"/>
        <v>0.93201321676686855</v>
      </c>
      <c r="O1491" s="7">
        <f t="shared" si="212"/>
        <v>6.7986783233131412E-2</v>
      </c>
    </row>
    <row r="1492" spans="1:15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4">
        <f>IF(SUMIFS('Daily NSE Equity Cash'!$H:$H,'Daily NSE Equity Cash'!$A:$A,$A1492)=0,"",SUMIFS('Daily NSE Equity Cash'!$H:$H,'Daily NSE Equity Cash'!$A:$A,$A1492))</f>
        <v>1161.1539</v>
      </c>
      <c r="F1492" s="4">
        <f>IF(SUMIFS('Daily BSE Equity Cash'!$H:$H,'Daily BSE Equity Cash'!$A:$A,$A1492)=0,"",SUMIFS('Daily BSE Equity Cash'!$H:$H,'Daily BSE Equity Cash'!$A:$A,$A1492))</f>
        <v>85.073899999999995</v>
      </c>
      <c r="G1492" s="4">
        <f t="shared" si="207"/>
        <v>1246.2278000000001</v>
      </c>
      <c r="H1492" s="7" t="str">
        <f t="shared" si="208"/>
        <v/>
      </c>
      <c r="I1492" s="7" t="str">
        <f t="shared" si="209"/>
        <v/>
      </c>
      <c r="J1492" s="7" t="str">
        <f t="shared" si="210"/>
        <v/>
      </c>
      <c r="K1492" s="7">
        <f t="shared" si="213"/>
        <v>-8.3241053937456178E-3</v>
      </c>
      <c r="L1492" s="7">
        <f t="shared" si="214"/>
        <v>-3.9666232305032301E-3</v>
      </c>
      <c r="M1492" s="7">
        <f t="shared" si="215"/>
        <v>-8.0278541984709628E-3</v>
      </c>
      <c r="N1492" s="7">
        <f t="shared" si="211"/>
        <v>0.93173487222801477</v>
      </c>
      <c r="O1492" s="7">
        <f t="shared" si="212"/>
        <v>6.8265127771985179E-2</v>
      </c>
    </row>
    <row r="1493" spans="1:15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4">
        <f>IF(SUMIFS('Daily NSE Equity Cash'!$H:$H,'Daily NSE Equity Cash'!$A:$A,$A1493)=0,"",SUMIFS('Daily NSE Equity Cash'!$H:$H,'Daily NSE Equity Cash'!$A:$A,$A1493))</f>
        <v>1104.6189999999999</v>
      </c>
      <c r="F1493" s="4">
        <f>IF(SUMIFS('Daily BSE Equity Cash'!$H:$H,'Daily BSE Equity Cash'!$A:$A,$A1493)=0,"",SUMIFS('Daily BSE Equity Cash'!$H:$H,'Daily BSE Equity Cash'!$A:$A,$A1493))</f>
        <v>64.745099999999994</v>
      </c>
      <c r="G1493" s="4">
        <f t="shared" si="207"/>
        <v>1169.3641</v>
      </c>
      <c r="H1493" s="7">
        <f t="shared" si="208"/>
        <v>-0.11158054068313672</v>
      </c>
      <c r="I1493" s="7">
        <f t="shared" si="209"/>
        <v>-0.23489497474076049</v>
      </c>
      <c r="J1493" s="7">
        <f t="shared" si="210"/>
        <v>-0.11943849867712164</v>
      </c>
      <c r="K1493" s="7">
        <f t="shared" si="213"/>
        <v>-4.8688550242995454E-2</v>
      </c>
      <c r="L1493" s="7">
        <f t="shared" si="214"/>
        <v>-0.23895460299809934</v>
      </c>
      <c r="M1493" s="7">
        <f t="shared" si="215"/>
        <v>-6.1677086644993828E-2</v>
      </c>
      <c r="N1493" s="7">
        <f t="shared" si="211"/>
        <v>0.94463221506458073</v>
      </c>
      <c r="O1493" s="7">
        <f t="shared" si="212"/>
        <v>5.5367784935419169E-2</v>
      </c>
    </row>
    <row r="1494" spans="1:15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4">
        <f>IF(SUMIFS('Daily NSE Equity Cash'!$H:$H,'Daily NSE Equity Cash'!$A:$A,$A1494)=0,"",SUMIFS('Daily NSE Equity Cash'!$H:$H,'Daily NSE Equity Cash'!$A:$A,$A1494))</f>
        <v>1659.2619</v>
      </c>
      <c r="F1494" s="4">
        <f>IF(SUMIFS('Daily BSE Equity Cash'!$H:$H,'Daily BSE Equity Cash'!$A:$A,$A1494)=0,"",SUMIFS('Daily BSE Equity Cash'!$H:$H,'Daily BSE Equity Cash'!$A:$A,$A1494))</f>
        <v>122.2282</v>
      </c>
      <c r="G1494" s="4">
        <f t="shared" si="207"/>
        <v>1781.4901</v>
      </c>
      <c r="H1494" s="7">
        <f t="shared" si="208"/>
        <v>0.76053864615893896</v>
      </c>
      <c r="I1494" s="7">
        <f t="shared" si="209"/>
        <v>1.3839775934403082</v>
      </c>
      <c r="J1494" s="7">
        <f t="shared" si="210"/>
        <v>0.79270400133957941</v>
      </c>
      <c r="K1494" s="7">
        <f t="shared" si="213"/>
        <v>0.50211240255689971</v>
      </c>
      <c r="L1494" s="7">
        <f t="shared" si="214"/>
        <v>0.88783707184018579</v>
      </c>
      <c r="M1494" s="7">
        <f t="shared" si="215"/>
        <v>0.52346912309006233</v>
      </c>
      <c r="N1494" s="7">
        <f t="shared" si="211"/>
        <v>0.93138990780807596</v>
      </c>
      <c r="O1494" s="7">
        <f t="shared" si="212"/>
        <v>6.8610092191924058E-2</v>
      </c>
    </row>
    <row r="1495" spans="1:15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4">
        <f>IF(SUMIFS('Daily NSE Equity Cash'!$H:$H,'Daily NSE Equity Cash'!$A:$A,$A1495)=0,"",SUMIFS('Daily NSE Equity Cash'!$H:$H,'Daily NSE Equity Cash'!$A:$A,$A1495))</f>
        <v>1333.6365000000001</v>
      </c>
      <c r="F1495" s="4">
        <f>IF(SUMIFS('Daily BSE Equity Cash'!$H:$H,'Daily BSE Equity Cash'!$A:$A,$A1495)=0,"",SUMIFS('Daily BSE Equity Cash'!$H:$H,'Daily BSE Equity Cash'!$A:$A,$A1495))</f>
        <v>103.33620000000001</v>
      </c>
      <c r="G1495" s="4">
        <f t="shared" si="207"/>
        <v>1436.9727</v>
      </c>
      <c r="H1495" s="7">
        <f t="shared" si="208"/>
        <v>0.64694080103891771</v>
      </c>
      <c r="I1495" s="7">
        <f t="shared" si="209"/>
        <v>1.8665562610787014</v>
      </c>
      <c r="J1495" s="7">
        <f t="shared" si="210"/>
        <v>0.69892120591883722</v>
      </c>
      <c r="K1495" s="7">
        <f t="shared" si="213"/>
        <v>-0.19624713856203169</v>
      </c>
      <c r="L1495" s="7">
        <f t="shared" si="214"/>
        <v>-0.15456334953799533</v>
      </c>
      <c r="M1495" s="7">
        <f t="shared" si="215"/>
        <v>-0.19338720995418379</v>
      </c>
      <c r="N1495" s="7">
        <f t="shared" si="211"/>
        <v>0.92808756909578038</v>
      </c>
      <c r="O1495" s="7">
        <f t="shared" si="212"/>
        <v>7.1912430904219685E-2</v>
      </c>
    </row>
    <row r="1496" spans="1:15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4">
        <f>IF(SUMIFS('Daily NSE Equity Cash'!$H:$H,'Daily NSE Equity Cash'!$A:$A,$A1496)=0,"",SUMIFS('Daily NSE Equity Cash'!$H:$H,'Daily NSE Equity Cash'!$A:$A,$A1496))</f>
        <v>1317.3107</v>
      </c>
      <c r="F1496" s="4">
        <f>IF(SUMIFS('Daily BSE Equity Cash'!$H:$H,'Daily BSE Equity Cash'!$A:$A,$A1496)=0,"",SUMIFS('Daily BSE Equity Cash'!$H:$H,'Daily BSE Equity Cash'!$A:$A,$A1496))</f>
        <v>88.125799999999998</v>
      </c>
      <c r="G1496" s="4">
        <f t="shared" si="207"/>
        <v>1405.4365</v>
      </c>
      <c r="H1496" s="7" t="str">
        <f t="shared" si="208"/>
        <v/>
      </c>
      <c r="I1496" s="7" t="str">
        <f t="shared" si="209"/>
        <v/>
      </c>
      <c r="J1496" s="7" t="str">
        <f t="shared" si="210"/>
        <v/>
      </c>
      <c r="K1496" s="7">
        <f t="shared" si="213"/>
        <v>-1.2241566573800378E-2</v>
      </c>
      <c r="L1496" s="7">
        <f t="shared" si="214"/>
        <v>-0.14719333592680983</v>
      </c>
      <c r="M1496" s="7">
        <f t="shared" si="215"/>
        <v>-2.1946276362800776E-2</v>
      </c>
      <c r="N1496" s="7">
        <f t="shared" si="211"/>
        <v>0.93729649116128688</v>
      </c>
      <c r="O1496" s="7">
        <f t="shared" si="212"/>
        <v>6.270350883871309E-2</v>
      </c>
    </row>
    <row r="1497" spans="1:15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4">
        <f>IF(SUMIFS('Daily NSE Equity Cash'!$H:$H,'Daily NSE Equity Cash'!$A:$A,$A1497)=0,"",SUMIFS('Daily NSE Equity Cash'!$H:$H,'Daily NSE Equity Cash'!$A:$A,$A1497))</f>
        <v>1299.8755000000001</v>
      </c>
      <c r="F1497" s="4">
        <f>IF(SUMIFS('Daily BSE Equity Cash'!$H:$H,'Daily BSE Equity Cash'!$A:$A,$A1497)=0,"",SUMIFS('Daily BSE Equity Cash'!$H:$H,'Daily BSE Equity Cash'!$A:$A,$A1497))</f>
        <v>91.783699999999996</v>
      </c>
      <c r="G1497" s="4">
        <f t="shared" si="207"/>
        <v>1391.6592000000001</v>
      </c>
      <c r="H1497" s="7" t="str">
        <f t="shared" si="208"/>
        <v/>
      </c>
      <c r="I1497" s="7" t="str">
        <f t="shared" si="209"/>
        <v/>
      </c>
      <c r="J1497" s="7" t="str">
        <f t="shared" si="210"/>
        <v/>
      </c>
      <c r="K1497" s="7">
        <f t="shared" si="213"/>
        <v>-1.323545007263649E-2</v>
      </c>
      <c r="L1497" s="7">
        <f t="shared" si="214"/>
        <v>4.1507708298818224E-2</v>
      </c>
      <c r="M1497" s="7">
        <f t="shared" si="215"/>
        <v>-9.8028619578329756E-3</v>
      </c>
      <c r="N1497" s="7">
        <f t="shared" si="211"/>
        <v>0.93404728686448524</v>
      </c>
      <c r="O1497" s="7">
        <f t="shared" si="212"/>
        <v>6.5952713135514776E-2</v>
      </c>
    </row>
    <row r="1498" spans="1:15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4">
        <f>IF(SUMIFS('Daily NSE Equity Cash'!$H:$H,'Daily NSE Equity Cash'!$A:$A,$A1498)=0,"",SUMIFS('Daily NSE Equity Cash'!$H:$H,'Daily NSE Equity Cash'!$A:$A,$A1498))</f>
        <v>1453.3045</v>
      </c>
      <c r="F1498" s="4">
        <f>IF(SUMIFS('Daily BSE Equity Cash'!$H:$H,'Daily BSE Equity Cash'!$A:$A,$A1498)=0,"",SUMIFS('Daily BSE Equity Cash'!$H:$H,'Daily BSE Equity Cash'!$A:$A,$A1498))</f>
        <v>95.366100000000003</v>
      </c>
      <c r="G1498" s="4">
        <f t="shared" si="207"/>
        <v>1548.6705999999999</v>
      </c>
      <c r="H1498" s="7">
        <f t="shared" si="208"/>
        <v>0.42800889326558278</v>
      </c>
      <c r="I1498" s="7">
        <f t="shared" si="209"/>
        <v>0.69778479604207866</v>
      </c>
      <c r="J1498" s="7">
        <f t="shared" si="210"/>
        <v>0.4421198623911986</v>
      </c>
      <c r="K1498" s="7">
        <f t="shared" si="213"/>
        <v>0.11803361168050319</v>
      </c>
      <c r="L1498" s="7">
        <f t="shared" si="214"/>
        <v>3.9030895464009507E-2</v>
      </c>
      <c r="M1498" s="7">
        <f t="shared" si="215"/>
        <v>0.11282316820095017</v>
      </c>
      <c r="N1498" s="7">
        <f t="shared" si="211"/>
        <v>0.93842066866898621</v>
      </c>
      <c r="O1498" s="7">
        <f t="shared" si="212"/>
        <v>6.1579331331013842E-2</v>
      </c>
    </row>
    <row r="1499" spans="1:15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4">
        <f>IF(SUMIFS('Daily NSE Equity Cash'!$H:$H,'Daily NSE Equity Cash'!$A:$A,$A1499)=0,"",SUMIFS('Daily NSE Equity Cash'!$H:$H,'Daily NSE Equity Cash'!$A:$A,$A1499))</f>
        <v>1527.0934</v>
      </c>
      <c r="F1499" s="4">
        <f>IF(SUMIFS('Daily BSE Equity Cash'!$H:$H,'Daily BSE Equity Cash'!$A:$A,$A1499)=0,"",SUMIFS('Daily BSE Equity Cash'!$H:$H,'Daily BSE Equity Cash'!$A:$A,$A1499))</f>
        <v>114.3373</v>
      </c>
      <c r="G1499" s="4">
        <f t="shared" si="207"/>
        <v>1641.4306999999999</v>
      </c>
      <c r="H1499" s="7">
        <f t="shared" si="208"/>
        <v>0.65808456799875348</v>
      </c>
      <c r="I1499" s="7">
        <f t="shared" si="209"/>
        <v>1.1332143003735173</v>
      </c>
      <c r="J1499" s="7">
        <f t="shared" si="210"/>
        <v>0.68421463597624066</v>
      </c>
      <c r="K1499" s="7">
        <f t="shared" si="213"/>
        <v>5.0773186211148458E-2</v>
      </c>
      <c r="L1499" s="7">
        <f t="shared" si="214"/>
        <v>0.19893022782728864</v>
      </c>
      <c r="M1499" s="7">
        <f t="shared" si="215"/>
        <v>5.9896597765851434E-2</v>
      </c>
      <c r="N1499" s="7">
        <f t="shared" si="211"/>
        <v>0.93034290147004084</v>
      </c>
      <c r="O1499" s="7">
        <f t="shared" si="212"/>
        <v>6.9657098529959272E-2</v>
      </c>
    </row>
    <row r="1500" spans="1:15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4">
        <f>IF(SUMIFS('Daily NSE Equity Cash'!$H:$H,'Daily NSE Equity Cash'!$A:$A,$A1500)=0,"",SUMIFS('Daily NSE Equity Cash'!$H:$H,'Daily NSE Equity Cash'!$A:$A,$A1500))</f>
        <v>1517.0489</v>
      </c>
      <c r="F1500" s="4">
        <f>IF(SUMIFS('Daily BSE Equity Cash'!$H:$H,'Daily BSE Equity Cash'!$A:$A,$A1500)=0,"",SUMIFS('Daily BSE Equity Cash'!$H:$H,'Daily BSE Equity Cash'!$A:$A,$A1500))</f>
        <v>101.01130000000001</v>
      </c>
      <c r="G1500" s="4">
        <f t="shared" si="207"/>
        <v>1618.0601999999999</v>
      </c>
      <c r="H1500" s="7">
        <f t="shared" si="208"/>
        <v>0.47645236575130201</v>
      </c>
      <c r="I1500" s="7">
        <f t="shared" si="209"/>
        <v>0.69658537404682752</v>
      </c>
      <c r="J1500" s="7">
        <f t="shared" si="210"/>
        <v>0.48850928305830332</v>
      </c>
      <c r="K1500" s="7">
        <f t="shared" si="213"/>
        <v>-6.577528263824628E-3</v>
      </c>
      <c r="L1500" s="7">
        <f t="shared" si="214"/>
        <v>-0.11654989229236645</v>
      </c>
      <c r="M1500" s="7">
        <f t="shared" si="215"/>
        <v>-1.4237884060533279E-2</v>
      </c>
      <c r="N1500" s="7">
        <f t="shared" si="211"/>
        <v>0.93757259464141085</v>
      </c>
      <c r="O1500" s="7">
        <f t="shared" si="212"/>
        <v>6.2427405358589261E-2</v>
      </c>
    </row>
    <row r="1501" spans="1:15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4">
        <f>IF(SUMIFS('Daily NSE Equity Cash'!$H:$H,'Daily NSE Equity Cash'!$A:$A,$A1501)=0,"",SUMIFS('Daily NSE Equity Cash'!$H:$H,'Daily NSE Equity Cash'!$A:$A,$A1501))</f>
        <v>1299.7902999999999</v>
      </c>
      <c r="F1501" s="4">
        <f>IF(SUMIFS('Daily BSE Equity Cash'!$H:$H,'Daily BSE Equity Cash'!$A:$A,$A1501)=0,"",SUMIFS('Daily BSE Equity Cash'!$H:$H,'Daily BSE Equity Cash'!$A:$A,$A1501))</f>
        <v>79.700500000000005</v>
      </c>
      <c r="G1501" s="4">
        <f t="shared" si="207"/>
        <v>1379.4907999999998</v>
      </c>
      <c r="H1501" s="7" t="str">
        <f t="shared" si="208"/>
        <v/>
      </c>
      <c r="I1501" s="7" t="str">
        <f t="shared" si="209"/>
        <v/>
      </c>
      <c r="J1501" s="7" t="str">
        <f t="shared" si="210"/>
        <v/>
      </c>
      <c r="K1501" s="7">
        <f t="shared" si="213"/>
        <v>-0.1432113361672126</v>
      </c>
      <c r="L1501" s="7">
        <f t="shared" si="214"/>
        <v>-0.21097441573368525</v>
      </c>
      <c r="M1501" s="7">
        <f t="shared" si="215"/>
        <v>-0.14744160940365514</v>
      </c>
      <c r="N1501" s="7">
        <f t="shared" si="211"/>
        <v>0.94222469624299054</v>
      </c>
      <c r="O1501" s="7">
        <f t="shared" si="212"/>
        <v>5.7775303757009483E-2</v>
      </c>
    </row>
    <row r="1502" spans="1:15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4">
        <f>IF(SUMIFS('Daily NSE Equity Cash'!$H:$H,'Daily NSE Equity Cash'!$A:$A,$A1502)=0,"",SUMIFS('Daily NSE Equity Cash'!$H:$H,'Daily NSE Equity Cash'!$A:$A,$A1502))</f>
        <v>1278.2548999999999</v>
      </c>
      <c r="F1502" s="4">
        <f>IF(SUMIFS('Daily BSE Equity Cash'!$H:$H,'Daily BSE Equity Cash'!$A:$A,$A1502)=0,"",SUMIFS('Daily BSE Equity Cash'!$H:$H,'Daily BSE Equity Cash'!$A:$A,$A1502))</f>
        <v>78.132199999999997</v>
      </c>
      <c r="G1502" s="4">
        <f t="shared" si="207"/>
        <v>1356.3870999999999</v>
      </c>
      <c r="H1502" s="7">
        <f t="shared" si="208"/>
        <v>0.21281055113145086</v>
      </c>
      <c r="I1502" s="7">
        <f t="shared" si="209"/>
        <v>0.19180813237804251</v>
      </c>
      <c r="J1502" s="7">
        <f t="shared" si="210"/>
        <v>0.21158067405043535</v>
      </c>
      <c r="K1502" s="7">
        <f t="shared" si="213"/>
        <v>-1.6568364912401656E-2</v>
      </c>
      <c r="L1502" s="7">
        <f t="shared" si="214"/>
        <v>-1.9677417331133484E-2</v>
      </c>
      <c r="M1502" s="7">
        <f t="shared" si="215"/>
        <v>-1.674799136029026E-2</v>
      </c>
      <c r="N1502" s="7">
        <f t="shared" si="211"/>
        <v>0.94239682757230581</v>
      </c>
      <c r="O1502" s="7">
        <f t="shared" si="212"/>
        <v>5.7603172427694131E-2</v>
      </c>
    </row>
    <row r="1503" spans="1:15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4">
        <f>IF(SUMIFS('Daily NSE Equity Cash'!$H:$H,'Daily NSE Equity Cash'!$A:$A,$A1503)=0,"",SUMIFS('Daily NSE Equity Cash'!$H:$H,'Daily NSE Equity Cash'!$A:$A,$A1503))</f>
        <v>1371.1319000000001</v>
      </c>
      <c r="F1503" s="4">
        <f>IF(SUMIFS('Daily BSE Equity Cash'!$H:$H,'Daily BSE Equity Cash'!$A:$A,$A1503)=0,"",SUMIFS('Daily BSE Equity Cash'!$H:$H,'Daily BSE Equity Cash'!$A:$A,$A1503))</f>
        <v>98.516900000000007</v>
      </c>
      <c r="G1503" s="4">
        <f t="shared" si="207"/>
        <v>1469.6488000000002</v>
      </c>
      <c r="H1503" s="7">
        <f t="shared" si="208"/>
        <v>0.25694717360309172</v>
      </c>
      <c r="I1503" s="7">
        <f t="shared" si="209"/>
        <v>0.40179113906939867</v>
      </c>
      <c r="J1503" s="7">
        <f t="shared" si="210"/>
        <v>0.265714151361502</v>
      </c>
      <c r="K1503" s="7">
        <f t="shared" si="213"/>
        <v>7.2659216874506161E-2</v>
      </c>
      <c r="L1503" s="7">
        <f t="shared" si="214"/>
        <v>0.26090011544536074</v>
      </c>
      <c r="M1503" s="7">
        <f t="shared" si="215"/>
        <v>8.3502489812827152E-2</v>
      </c>
      <c r="N1503" s="7">
        <f t="shared" si="211"/>
        <v>0.93296568540728908</v>
      </c>
      <c r="O1503" s="7">
        <f t="shared" si="212"/>
        <v>6.703431459271085E-2</v>
      </c>
    </row>
    <row r="1504" spans="1:15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4">
        <f>IF(SUMIFS('Daily NSE Equity Cash'!$H:$H,'Daily NSE Equity Cash'!$A:$A,$A1504)=0,"",SUMIFS('Daily NSE Equity Cash'!$H:$H,'Daily NSE Equity Cash'!$A:$A,$A1504))</f>
        <v>1354.8136</v>
      </c>
      <c r="F1504" s="4">
        <f>IF(SUMIFS('Daily BSE Equity Cash'!$H:$H,'Daily BSE Equity Cash'!$A:$A,$A1504)=0,"",SUMIFS('Daily BSE Equity Cash'!$H:$H,'Daily BSE Equity Cash'!$A:$A,$A1504))</f>
        <v>108.6786</v>
      </c>
      <c r="G1504" s="4">
        <f t="shared" si="207"/>
        <v>1463.4921999999999</v>
      </c>
      <c r="H1504" s="7">
        <f t="shared" si="208"/>
        <v>0.16547677052966536</v>
      </c>
      <c r="I1504" s="7">
        <f t="shared" si="209"/>
        <v>0.60206909564776434</v>
      </c>
      <c r="J1504" s="7">
        <f t="shared" si="210"/>
        <v>0.18954982025387812</v>
      </c>
      <c r="K1504" s="7">
        <f t="shared" si="213"/>
        <v>-1.1901334948154929E-2</v>
      </c>
      <c r="L1504" s="7">
        <f t="shared" si="214"/>
        <v>0.10314676974204429</v>
      </c>
      <c r="M1504" s="7">
        <f t="shared" si="215"/>
        <v>-4.1891641050570971E-3</v>
      </c>
      <c r="N1504" s="7">
        <f t="shared" si="211"/>
        <v>0.92574022601555372</v>
      </c>
      <c r="O1504" s="7">
        <f t="shared" si="212"/>
        <v>7.4259773984446248E-2</v>
      </c>
    </row>
    <row r="1505" spans="1:15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4">
        <f>IF(SUMIFS('Daily NSE Equity Cash'!$H:$H,'Daily NSE Equity Cash'!$A:$A,$A1505)=0,"",SUMIFS('Daily NSE Equity Cash'!$H:$H,'Daily NSE Equity Cash'!$A:$A,$A1505))</f>
        <v>1309.4328</v>
      </c>
      <c r="F1505" s="4">
        <f>IF(SUMIFS('Daily BSE Equity Cash'!$H:$H,'Daily BSE Equity Cash'!$A:$A,$A1505)=0,"",SUMIFS('Daily BSE Equity Cash'!$H:$H,'Daily BSE Equity Cash'!$A:$A,$A1505))</f>
        <v>92.357699999999994</v>
      </c>
      <c r="G1505" s="4">
        <f t="shared" si="207"/>
        <v>1401.7905000000001</v>
      </c>
      <c r="H1505" s="7">
        <f t="shared" si="208"/>
        <v>0.20663965080387814</v>
      </c>
      <c r="I1505" s="7">
        <f t="shared" si="209"/>
        <v>0.55754947990448045</v>
      </c>
      <c r="J1505" s="7">
        <f t="shared" si="210"/>
        <v>0.22482058327648113</v>
      </c>
      <c r="K1505" s="7">
        <f t="shared" si="213"/>
        <v>-3.3495973172988469E-2</v>
      </c>
      <c r="L1505" s="7">
        <f t="shared" si="214"/>
        <v>-0.15017583958571423</v>
      </c>
      <c r="M1505" s="7">
        <f t="shared" si="215"/>
        <v>-4.2160593681332847E-2</v>
      </c>
      <c r="N1505" s="7">
        <f t="shared" si="211"/>
        <v>0.93411447716331364</v>
      </c>
      <c r="O1505" s="7">
        <f t="shared" si="212"/>
        <v>6.5885522836686361E-2</v>
      </c>
    </row>
    <row r="1506" spans="1:15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4">
        <f>IF(SUMIFS('Daily NSE Equity Cash'!$H:$H,'Daily NSE Equity Cash'!$A:$A,$A1506)=0,"",SUMIFS('Daily NSE Equity Cash'!$H:$H,'Daily NSE Equity Cash'!$A:$A,$A1506))</f>
        <v>1312.5563999999999</v>
      </c>
      <c r="F1506" s="4">
        <f>IF(SUMIFS('Daily BSE Equity Cash'!$H:$H,'Daily BSE Equity Cash'!$A:$A,$A1506)=0,"",SUMIFS('Daily BSE Equity Cash'!$H:$H,'Daily BSE Equity Cash'!$A:$A,$A1506))</f>
        <v>89.930899999999994</v>
      </c>
      <c r="G1506" s="4">
        <f t="shared" si="207"/>
        <v>1402.4873</v>
      </c>
      <c r="H1506" s="7" t="str">
        <f t="shared" si="208"/>
        <v/>
      </c>
      <c r="I1506" s="7" t="str">
        <f t="shared" si="209"/>
        <v/>
      </c>
      <c r="J1506" s="7" t="str">
        <f t="shared" si="210"/>
        <v/>
      </c>
      <c r="K1506" s="7">
        <f t="shared" si="213"/>
        <v>2.3854603306101563E-3</v>
      </c>
      <c r="L1506" s="7">
        <f t="shared" si="214"/>
        <v>-2.6276098257102531E-2</v>
      </c>
      <c r="M1506" s="7">
        <f t="shared" si="215"/>
        <v>4.9707855774450138E-4</v>
      </c>
      <c r="N1506" s="7">
        <f t="shared" si="211"/>
        <v>0.93587756552234014</v>
      </c>
      <c r="O1506" s="7">
        <f t="shared" si="212"/>
        <v>6.4122434477659793E-2</v>
      </c>
    </row>
    <row r="1507" spans="1:15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4">
        <f>IF(SUMIFS('Daily NSE Equity Cash'!$H:$H,'Daily NSE Equity Cash'!$A:$A,$A1507)=0,"",SUMIFS('Daily NSE Equity Cash'!$H:$H,'Daily NSE Equity Cash'!$A:$A,$A1507))</f>
        <v>1380.8733</v>
      </c>
      <c r="F1507" s="4">
        <f>IF(SUMIFS('Daily BSE Equity Cash'!$H:$H,'Daily BSE Equity Cash'!$A:$A,$A1507)=0,"",SUMIFS('Daily BSE Equity Cash'!$H:$H,'Daily BSE Equity Cash'!$A:$A,$A1507))</f>
        <v>80.539199999999994</v>
      </c>
      <c r="G1507" s="4">
        <f t="shared" si="207"/>
        <v>1461.4124999999999</v>
      </c>
      <c r="H1507" s="7">
        <f t="shared" si="208"/>
        <v>0.53261251390271469</v>
      </c>
      <c r="I1507" s="7">
        <f t="shared" si="209"/>
        <v>0.42731671008559724</v>
      </c>
      <c r="J1507" s="7">
        <f t="shared" si="210"/>
        <v>0.52640674663086751</v>
      </c>
      <c r="K1507" s="7">
        <f t="shared" si="213"/>
        <v>5.2048734820080877E-2</v>
      </c>
      <c r="L1507" s="7">
        <f t="shared" si="214"/>
        <v>-0.10443240310060276</v>
      </c>
      <c r="M1507" s="7">
        <f t="shared" si="215"/>
        <v>4.2014783306772108E-2</v>
      </c>
      <c r="N1507" s="7">
        <f t="shared" si="211"/>
        <v>0.94488948192245514</v>
      </c>
      <c r="O1507" s="7">
        <f t="shared" si="212"/>
        <v>5.5110518077544843E-2</v>
      </c>
    </row>
    <row r="1508" spans="1:15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4">
        <f>IF(SUMIFS('Daily NSE Equity Cash'!$H:$H,'Daily NSE Equity Cash'!$A:$A,$A1508)=0,"",SUMIFS('Daily NSE Equity Cash'!$H:$H,'Daily NSE Equity Cash'!$A:$A,$A1508))</f>
        <v>1392.8009</v>
      </c>
      <c r="F1508" s="4">
        <f>IF(SUMIFS('Daily BSE Equity Cash'!$H:$H,'Daily BSE Equity Cash'!$A:$A,$A1508)=0,"",SUMIFS('Daily BSE Equity Cash'!$H:$H,'Daily BSE Equity Cash'!$A:$A,$A1508))</f>
        <v>91.486099999999993</v>
      </c>
      <c r="G1508" s="4">
        <f t="shared" si="207"/>
        <v>1484.287</v>
      </c>
      <c r="H1508" s="7">
        <f t="shared" si="208"/>
        <v>0.35622962565243177</v>
      </c>
      <c r="I1508" s="7">
        <f t="shared" si="209"/>
        <v>0.20977034673451223</v>
      </c>
      <c r="J1508" s="7">
        <f t="shared" si="210"/>
        <v>0.34618449083569836</v>
      </c>
      <c r="K1508" s="7">
        <f t="shared" si="213"/>
        <v>8.6377222298381628E-3</v>
      </c>
      <c r="L1508" s="7">
        <f t="shared" si="214"/>
        <v>0.13592014820112452</v>
      </c>
      <c r="M1508" s="7">
        <f t="shared" si="215"/>
        <v>1.565232266728267E-2</v>
      </c>
      <c r="N1508" s="7">
        <f t="shared" si="211"/>
        <v>0.93836360488234416</v>
      </c>
      <c r="O1508" s="7">
        <f t="shared" si="212"/>
        <v>6.1636395117655812E-2</v>
      </c>
    </row>
    <row r="1509" spans="1:15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4">
        <f>IF(SUMIFS('Daily NSE Equity Cash'!$H:$H,'Daily NSE Equity Cash'!$A:$A,$A1509)=0,"",SUMIFS('Daily NSE Equity Cash'!$H:$H,'Daily NSE Equity Cash'!$A:$A,$A1509))</f>
        <v>1425.5351000000001</v>
      </c>
      <c r="F1509" s="4">
        <f>IF(SUMIFS('Daily BSE Equity Cash'!$H:$H,'Daily BSE Equity Cash'!$A:$A,$A1509)=0,"",SUMIFS('Daily BSE Equity Cash'!$H:$H,'Daily BSE Equity Cash'!$A:$A,$A1509))</f>
        <v>104.4589</v>
      </c>
      <c r="G1509" s="4">
        <f t="shared" si="207"/>
        <v>1529.9940000000001</v>
      </c>
      <c r="H1509" s="7">
        <f t="shared" si="208"/>
        <v>0.29491001618892887</v>
      </c>
      <c r="I1509" s="7">
        <f t="shared" si="209"/>
        <v>0.74499224049941448</v>
      </c>
      <c r="J1509" s="7">
        <f t="shared" si="210"/>
        <v>0.31812186024080025</v>
      </c>
      <c r="K1509" s="7">
        <f t="shared" si="213"/>
        <v>2.3502425938983995E-2</v>
      </c>
      <c r="L1509" s="7">
        <f t="shared" si="214"/>
        <v>0.1418007762927922</v>
      </c>
      <c r="M1509" s="7">
        <f t="shared" si="215"/>
        <v>3.0793909803157993E-2</v>
      </c>
      <c r="N1509" s="7">
        <f t="shared" si="211"/>
        <v>0.93172594140892051</v>
      </c>
      <c r="O1509" s="7">
        <f t="shared" si="212"/>
        <v>6.8274058591079434E-2</v>
      </c>
    </row>
    <row r="1510" spans="1:15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4">
        <f>IF(SUMIFS('Daily NSE Equity Cash'!$H:$H,'Daily NSE Equity Cash'!$A:$A,$A1510)=0,"",SUMIFS('Daily NSE Equity Cash'!$H:$H,'Daily NSE Equity Cash'!$A:$A,$A1510))</f>
        <v>1368.3108999999999</v>
      </c>
      <c r="F1510" s="4">
        <f>IF(SUMIFS('Daily BSE Equity Cash'!$H:$H,'Daily BSE Equity Cash'!$A:$A,$A1510)=0,"",SUMIFS('Daily BSE Equity Cash'!$H:$H,'Daily BSE Equity Cash'!$A:$A,$A1510))</f>
        <v>170.7773</v>
      </c>
      <c r="G1510" s="4">
        <f t="shared" si="207"/>
        <v>1539.0881999999999</v>
      </c>
      <c r="H1510" s="7" t="str">
        <f t="shared" si="208"/>
        <v/>
      </c>
      <c r="I1510" s="7" t="str">
        <f t="shared" si="209"/>
        <v/>
      </c>
      <c r="J1510" s="7" t="str">
        <f t="shared" si="210"/>
        <v/>
      </c>
      <c r="K1510" s="7">
        <f t="shared" si="213"/>
        <v>-4.0142259562742533E-2</v>
      </c>
      <c r="L1510" s="7">
        <f t="shared" si="214"/>
        <v>0.63487553477970748</v>
      </c>
      <c r="M1510" s="7">
        <f t="shared" si="215"/>
        <v>5.943944878215035E-3</v>
      </c>
      <c r="N1510" s="7">
        <f t="shared" si="211"/>
        <v>0.88903995235620681</v>
      </c>
      <c r="O1510" s="7">
        <f t="shared" si="212"/>
        <v>0.11096004764379326</v>
      </c>
    </row>
    <row r="1511" spans="1:15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4">
        <f>IF(SUMIFS('Daily NSE Equity Cash'!$H:$H,'Daily NSE Equity Cash'!$A:$A,$A1511)=0,"",SUMIFS('Daily NSE Equity Cash'!$H:$H,'Daily NSE Equity Cash'!$A:$A,$A1511))</f>
        <v>1286.2918</v>
      </c>
      <c r="F1511" s="4">
        <f>IF(SUMIFS('Daily BSE Equity Cash'!$H:$H,'Daily BSE Equity Cash'!$A:$A,$A1511)=0,"",SUMIFS('Daily BSE Equity Cash'!$H:$H,'Daily BSE Equity Cash'!$A:$A,$A1511))</f>
        <v>82.552800000000005</v>
      </c>
      <c r="G1511" s="4">
        <f t="shared" si="207"/>
        <v>1368.8445999999999</v>
      </c>
      <c r="H1511" s="7">
        <f t="shared" si="208"/>
        <v>0.43103736574413132</v>
      </c>
      <c r="I1511" s="7">
        <f t="shared" si="209"/>
        <v>0.34624686280489292</v>
      </c>
      <c r="J1511" s="7">
        <f t="shared" si="210"/>
        <v>0.42562228864078078</v>
      </c>
      <c r="K1511" s="7">
        <f t="shared" si="213"/>
        <v>-5.9941859704545242E-2</v>
      </c>
      <c r="L1511" s="7">
        <f t="shared" si="214"/>
        <v>-0.51660554417946636</v>
      </c>
      <c r="M1511" s="7">
        <f t="shared" si="215"/>
        <v>-0.11061328389107261</v>
      </c>
      <c r="N1511" s="7">
        <f t="shared" si="211"/>
        <v>0.93969162021751784</v>
      </c>
      <c r="O1511" s="7">
        <f t="shared" si="212"/>
        <v>6.0308379782482255E-2</v>
      </c>
    </row>
    <row r="1512" spans="1:15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4">
        <f>IF(SUMIFS('Daily NSE Equity Cash'!$H:$H,'Daily NSE Equity Cash'!$A:$A,$A1512)=0,"",SUMIFS('Daily NSE Equity Cash'!$H:$H,'Daily NSE Equity Cash'!$A:$A,$A1512))</f>
        <v>1516.8161</v>
      </c>
      <c r="F1512" s="4">
        <f>IF(SUMIFS('Daily BSE Equity Cash'!$H:$H,'Daily BSE Equity Cash'!$A:$A,$A1512)=0,"",SUMIFS('Daily BSE Equity Cash'!$H:$H,'Daily BSE Equity Cash'!$A:$A,$A1512))</f>
        <v>112.8353</v>
      </c>
      <c r="G1512" s="4">
        <f t="shared" si="207"/>
        <v>1629.6514</v>
      </c>
      <c r="H1512" s="7">
        <f t="shared" si="208"/>
        <v>0.67688926634220037</v>
      </c>
      <c r="I1512" s="7">
        <f t="shared" si="209"/>
        <v>0.93501714046607676</v>
      </c>
      <c r="J1512" s="7">
        <f t="shared" si="210"/>
        <v>0.69252199113489588</v>
      </c>
      <c r="K1512" s="7">
        <f t="shared" si="213"/>
        <v>0.17921617785326793</v>
      </c>
      <c r="L1512" s="7">
        <f t="shared" si="214"/>
        <v>0.3668258375245903</v>
      </c>
      <c r="M1512" s="7">
        <f t="shared" si="215"/>
        <v>0.19053061245958824</v>
      </c>
      <c r="N1512" s="7">
        <f t="shared" si="211"/>
        <v>0.93076108178718464</v>
      </c>
      <c r="O1512" s="7">
        <f t="shared" si="212"/>
        <v>6.9238918212815331E-2</v>
      </c>
    </row>
    <row r="1513" spans="1:15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4">
        <f>IF(SUMIFS('Daily NSE Equity Cash'!$H:$H,'Daily NSE Equity Cash'!$A:$A,$A1513)=0,"",SUMIFS('Daily NSE Equity Cash'!$H:$H,'Daily NSE Equity Cash'!$A:$A,$A1513))</f>
        <v>1535.9858999999999</v>
      </c>
      <c r="F1513" s="4">
        <f>IF(SUMIFS('Daily BSE Equity Cash'!$H:$H,'Daily BSE Equity Cash'!$A:$A,$A1513)=0,"",SUMIFS('Daily BSE Equity Cash'!$H:$H,'Daily BSE Equity Cash'!$A:$A,$A1513))</f>
        <v>117.7529</v>
      </c>
      <c r="G1513" s="4">
        <f t="shared" si="207"/>
        <v>1653.7387999999999</v>
      </c>
      <c r="H1513" s="7">
        <f t="shared" si="208"/>
        <v>0.51742071280504409</v>
      </c>
      <c r="I1513" s="7">
        <f t="shared" si="209"/>
        <v>1.2155909790507158</v>
      </c>
      <c r="J1513" s="7">
        <f t="shared" si="210"/>
        <v>0.55224946993196133</v>
      </c>
      <c r="K1513" s="7">
        <f t="shared" si="213"/>
        <v>1.2638183363164357E-2</v>
      </c>
      <c r="L1513" s="7">
        <f t="shared" si="214"/>
        <v>4.3582105954430794E-2</v>
      </c>
      <c r="M1513" s="7">
        <f t="shared" si="215"/>
        <v>1.4780707088644762E-2</v>
      </c>
      <c r="N1513" s="7">
        <f t="shared" si="211"/>
        <v>0.92879595012223215</v>
      </c>
      <c r="O1513" s="7">
        <f t="shared" si="212"/>
        <v>7.1204049877767878E-2</v>
      </c>
    </row>
    <row r="1514" spans="1:15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4">
        <f>IF(SUMIFS('Daily NSE Equity Cash'!$H:$H,'Daily NSE Equity Cash'!$A:$A,$A1514)=0,"",SUMIFS('Daily NSE Equity Cash'!$H:$H,'Daily NSE Equity Cash'!$A:$A,$A1514))</f>
        <v>1476.6921</v>
      </c>
      <c r="F1514" s="4">
        <f>IF(SUMIFS('Daily BSE Equity Cash'!$H:$H,'Daily BSE Equity Cash'!$A:$A,$A1514)=0,"",SUMIFS('Daily BSE Equity Cash'!$H:$H,'Daily BSE Equity Cash'!$A:$A,$A1514))</f>
        <v>99.627799999999993</v>
      </c>
      <c r="G1514" s="4">
        <f t="shared" si="207"/>
        <v>1576.3199</v>
      </c>
      <c r="H1514" s="7">
        <f t="shared" si="208"/>
        <v>0.39830507511609659</v>
      </c>
      <c r="I1514" s="7">
        <f t="shared" si="209"/>
        <v>0.85764283170462008</v>
      </c>
      <c r="J1514" s="7">
        <f t="shared" si="210"/>
        <v>0.42050486356593852</v>
      </c>
      <c r="K1514" s="7">
        <f t="shared" si="213"/>
        <v>-3.860308873929108E-2</v>
      </c>
      <c r="L1514" s="7">
        <f t="shared" si="214"/>
        <v>-0.15392487148936462</v>
      </c>
      <c r="M1514" s="7">
        <f t="shared" si="215"/>
        <v>-4.6814466710220493E-2</v>
      </c>
      <c r="N1514" s="7">
        <f t="shared" si="211"/>
        <v>0.93679721990441156</v>
      </c>
      <c r="O1514" s="7">
        <f t="shared" si="212"/>
        <v>6.3202780095588468E-2</v>
      </c>
    </row>
    <row r="1515" spans="1:15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4">
        <f>IF(SUMIFS('Daily NSE Equity Cash'!$H:$H,'Daily NSE Equity Cash'!$A:$A,$A1515)=0,"",SUMIFS('Daily NSE Equity Cash'!$H:$H,'Daily NSE Equity Cash'!$A:$A,$A1515))</f>
        <v>1389.8717999999999</v>
      </c>
      <c r="F1515" s="4">
        <f>IF(SUMIFS('Daily BSE Equity Cash'!$H:$H,'Daily BSE Equity Cash'!$A:$A,$A1515)=0,"",SUMIFS('Daily BSE Equity Cash'!$H:$H,'Daily BSE Equity Cash'!$A:$A,$A1515))</f>
        <v>112.7282</v>
      </c>
      <c r="G1515" s="4">
        <f t="shared" si="207"/>
        <v>1502.6</v>
      </c>
      <c r="H1515" s="7" t="str">
        <f t="shared" si="208"/>
        <v/>
      </c>
      <c r="I1515" s="7" t="str">
        <f t="shared" si="209"/>
        <v/>
      </c>
      <c r="J1515" s="7" t="str">
        <f t="shared" si="210"/>
        <v/>
      </c>
      <c r="K1515" s="7">
        <f t="shared" si="213"/>
        <v>-5.8793772919893073E-2</v>
      </c>
      <c r="L1515" s="7">
        <f t="shared" si="214"/>
        <v>0.13149341850367069</v>
      </c>
      <c r="M1515" s="7">
        <f t="shared" si="215"/>
        <v>-4.6767093405342464E-2</v>
      </c>
      <c r="N1515" s="7">
        <f t="shared" si="211"/>
        <v>0.92497790496472776</v>
      </c>
      <c r="O1515" s="7">
        <f t="shared" si="212"/>
        <v>7.5022095035272199E-2</v>
      </c>
    </row>
    <row r="1516" spans="1:15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4">
        <f>IF(SUMIFS('Daily NSE Equity Cash'!$H:$H,'Daily NSE Equity Cash'!$A:$A,$A1516)=0,"",SUMIFS('Daily NSE Equity Cash'!$H:$H,'Daily NSE Equity Cash'!$A:$A,$A1516))</f>
        <v>1447.3173999999999</v>
      </c>
      <c r="F1516" s="4">
        <f>IF(SUMIFS('Daily BSE Equity Cash'!$H:$H,'Daily BSE Equity Cash'!$A:$A,$A1516)=0,"",SUMIFS('Daily BSE Equity Cash'!$H:$H,'Daily BSE Equity Cash'!$A:$A,$A1516))</f>
        <v>102.5915</v>
      </c>
      <c r="G1516" s="4">
        <f t="shared" si="207"/>
        <v>1549.9088999999999</v>
      </c>
      <c r="H1516" s="7">
        <f t="shared" si="208"/>
        <v>0.35578814249983592</v>
      </c>
      <c r="I1516" s="7">
        <f t="shared" si="209"/>
        <v>0.49581254428759292</v>
      </c>
      <c r="J1516" s="7">
        <f t="shared" si="210"/>
        <v>0.36424137823588443</v>
      </c>
      <c r="K1516" s="7">
        <f t="shared" si="213"/>
        <v>4.1331581804882944E-2</v>
      </c>
      <c r="L1516" s="7">
        <f t="shared" si="214"/>
        <v>-8.9921599032008026E-2</v>
      </c>
      <c r="M1516" s="7">
        <f t="shared" si="215"/>
        <v>3.1484693198456037E-2</v>
      </c>
      <c r="N1516" s="7">
        <f t="shared" si="211"/>
        <v>0.93380804510510262</v>
      </c>
      <c r="O1516" s="7">
        <f t="shared" si="212"/>
        <v>6.6191954894897376E-2</v>
      </c>
    </row>
    <row r="1517" spans="1:15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4">
        <f>IF(SUMIFS('Daily NSE Equity Cash'!$H:$H,'Daily NSE Equity Cash'!$A:$A,$A1517)=0,"",SUMIFS('Daily NSE Equity Cash'!$H:$H,'Daily NSE Equity Cash'!$A:$A,$A1517))</f>
        <v>1386.0495000000001</v>
      </c>
      <c r="F1517" s="4">
        <f>IF(SUMIFS('Daily BSE Equity Cash'!$H:$H,'Daily BSE Equity Cash'!$A:$A,$A1517)=0,"",SUMIFS('Daily BSE Equity Cash'!$H:$H,'Daily BSE Equity Cash'!$A:$A,$A1517))</f>
        <v>98.854900000000001</v>
      </c>
      <c r="G1517" s="4">
        <f t="shared" si="207"/>
        <v>1484.9044000000001</v>
      </c>
      <c r="H1517" s="7">
        <f t="shared" si="208"/>
        <v>0.20585948480318983</v>
      </c>
      <c r="I1517" s="7">
        <f t="shared" si="209"/>
        <v>-6.3116383893792927E-2</v>
      </c>
      <c r="J1517" s="7">
        <f t="shared" si="210"/>
        <v>0.18324421509720823</v>
      </c>
      <c r="K1517" s="7">
        <f t="shared" si="213"/>
        <v>-4.2332041333849713E-2</v>
      </c>
      <c r="L1517" s="7">
        <f t="shared" si="214"/>
        <v>-3.6422120740997044E-2</v>
      </c>
      <c r="M1517" s="7">
        <f t="shared" si="215"/>
        <v>-4.1940852136535089E-2</v>
      </c>
      <c r="N1517" s="7">
        <f t="shared" si="211"/>
        <v>0.93342675797849339</v>
      </c>
      <c r="O1517" s="7">
        <f t="shared" si="212"/>
        <v>6.6573242021506565E-2</v>
      </c>
    </row>
    <row r="1518" spans="1:15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4">
        <f>IF(SUMIFS('Daily NSE Equity Cash'!$H:$H,'Daily NSE Equity Cash'!$A:$A,$A1518)=0,"",SUMIFS('Daily NSE Equity Cash'!$H:$H,'Daily NSE Equity Cash'!$A:$A,$A1518))</f>
        <v>1430.1767</v>
      </c>
      <c r="F1518" s="4">
        <f>IF(SUMIFS('Daily BSE Equity Cash'!$H:$H,'Daily BSE Equity Cash'!$A:$A,$A1518)=0,"",SUMIFS('Daily BSE Equity Cash'!$H:$H,'Daily BSE Equity Cash'!$A:$A,$A1518))</f>
        <v>123.62139999999999</v>
      </c>
      <c r="G1518" s="4">
        <f t="shared" si="207"/>
        <v>1553.7981</v>
      </c>
      <c r="H1518" s="7">
        <f t="shared" si="208"/>
        <v>0.2343048615246528</v>
      </c>
      <c r="I1518" s="7">
        <f t="shared" si="209"/>
        <v>0.47258090645726902</v>
      </c>
      <c r="J1518" s="7">
        <f t="shared" si="210"/>
        <v>0.25040204764248442</v>
      </c>
      <c r="K1518" s="7">
        <f t="shared" si="213"/>
        <v>3.1836669613891866E-2</v>
      </c>
      <c r="L1518" s="7">
        <f t="shared" si="214"/>
        <v>0.25053386326828497</v>
      </c>
      <c r="M1518" s="7">
        <f t="shared" si="215"/>
        <v>4.6396050816470025E-2</v>
      </c>
      <c r="N1518" s="7">
        <f t="shared" si="211"/>
        <v>0.92043921279090246</v>
      </c>
      <c r="O1518" s="7">
        <f t="shared" si="212"/>
        <v>7.9560787209097497E-2</v>
      </c>
    </row>
    <row r="1519" spans="1:15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4">
        <f>IF(SUMIFS('Daily NSE Equity Cash'!$H:$H,'Daily NSE Equity Cash'!$A:$A,$A1519)=0,"",SUMIFS('Daily NSE Equity Cash'!$H:$H,'Daily NSE Equity Cash'!$A:$A,$A1519))</f>
        <v>1332.2725</v>
      </c>
      <c r="F1519" s="4">
        <f>IF(SUMIFS('Daily BSE Equity Cash'!$H:$H,'Daily BSE Equity Cash'!$A:$A,$A1519)=0,"",SUMIFS('Daily BSE Equity Cash'!$H:$H,'Daily BSE Equity Cash'!$A:$A,$A1519))</f>
        <v>98.233500000000006</v>
      </c>
      <c r="G1519" s="4">
        <f t="shared" si="207"/>
        <v>1430.5060000000001</v>
      </c>
      <c r="H1519" s="7">
        <f t="shared" si="208"/>
        <v>4.1728161277829745E-2</v>
      </c>
      <c r="I1519" s="7">
        <f t="shared" si="209"/>
        <v>0.23261037323311862</v>
      </c>
      <c r="J1519" s="7">
        <f t="shared" si="210"/>
        <v>5.2925302016426423E-2</v>
      </c>
      <c r="K1519" s="7">
        <f t="shared" si="213"/>
        <v>-6.8456016658640761E-2</v>
      </c>
      <c r="L1519" s="7">
        <f t="shared" si="214"/>
        <v>-0.20536816441166328</v>
      </c>
      <c r="M1519" s="7">
        <f t="shared" si="215"/>
        <v>-7.9348854912359545E-2</v>
      </c>
      <c r="N1519" s="7">
        <f t="shared" si="211"/>
        <v>0.9313295435321487</v>
      </c>
      <c r="O1519" s="7">
        <f t="shared" si="212"/>
        <v>6.8670456467851235E-2</v>
      </c>
    </row>
    <row r="1520" spans="1:15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4">
        <f>IF(SUMIFS('Daily NSE Equity Cash'!$H:$H,'Daily NSE Equity Cash'!$A:$A,$A1520)=0,"",SUMIFS('Daily NSE Equity Cash'!$H:$H,'Daily NSE Equity Cash'!$A:$A,$A1520))</f>
        <v>1234.5029999999999</v>
      </c>
      <c r="F1520" s="4">
        <f>IF(SUMIFS('Daily BSE Equity Cash'!$H:$H,'Daily BSE Equity Cash'!$A:$A,$A1520)=0,"",SUMIFS('Daily BSE Equity Cash'!$H:$H,'Daily BSE Equity Cash'!$A:$A,$A1520))</f>
        <v>87.348500000000001</v>
      </c>
      <c r="G1520" s="4">
        <f t="shared" si="207"/>
        <v>1321.8515</v>
      </c>
      <c r="H1520" s="7" t="str">
        <f t="shared" si="208"/>
        <v/>
      </c>
      <c r="I1520" s="7" t="str">
        <f t="shared" si="209"/>
        <v/>
      </c>
      <c r="J1520" s="7" t="str">
        <f t="shared" si="210"/>
        <v/>
      </c>
      <c r="K1520" s="7">
        <f t="shared" si="213"/>
        <v>-7.3385512348262183E-2</v>
      </c>
      <c r="L1520" s="7">
        <f t="shared" si="214"/>
        <v>-0.11080741294975749</v>
      </c>
      <c r="M1520" s="7">
        <f t="shared" si="215"/>
        <v>-7.595529134446144E-2</v>
      </c>
      <c r="N1520" s="7">
        <f t="shared" si="211"/>
        <v>0.93391958173819067</v>
      </c>
      <c r="O1520" s="7">
        <f t="shared" si="212"/>
        <v>6.6080418261809284E-2</v>
      </c>
    </row>
    <row r="1521" spans="1:15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4">
        <f>IF(SUMIFS('Daily NSE Equity Cash'!$H:$H,'Daily NSE Equity Cash'!$A:$A,$A1521)=0,"",SUMIFS('Daily NSE Equity Cash'!$H:$H,'Daily NSE Equity Cash'!$A:$A,$A1521))</f>
        <v>1311.1602</v>
      </c>
      <c r="F1521" s="4">
        <f>IF(SUMIFS('Daily BSE Equity Cash'!$H:$H,'Daily BSE Equity Cash'!$A:$A,$A1521)=0,"",SUMIFS('Daily BSE Equity Cash'!$H:$H,'Daily BSE Equity Cash'!$A:$A,$A1521))</f>
        <v>83.247600000000006</v>
      </c>
      <c r="G1521" s="4">
        <f t="shared" si="207"/>
        <v>1394.4078</v>
      </c>
      <c r="H1521" s="7">
        <f t="shared" si="208"/>
        <v>0.12917657087292267</v>
      </c>
      <c r="I1521" s="7">
        <f t="shared" si="209"/>
        <v>-3.542217283647342E-2</v>
      </c>
      <c r="J1521" s="7">
        <f t="shared" si="210"/>
        <v>0.11778900263381176</v>
      </c>
      <c r="K1521" s="7">
        <f t="shared" si="213"/>
        <v>6.2095596365500993E-2</v>
      </c>
      <c r="L1521" s="7">
        <f t="shared" si="214"/>
        <v>-4.6948716921297984E-2</v>
      </c>
      <c r="M1521" s="7">
        <f t="shared" si="215"/>
        <v>5.4889902534437374E-2</v>
      </c>
      <c r="N1521" s="7">
        <f t="shared" si="211"/>
        <v>0.94029895701960364</v>
      </c>
      <c r="O1521" s="7">
        <f t="shared" si="212"/>
        <v>5.9701042980396413E-2</v>
      </c>
    </row>
    <row r="1522" spans="1:15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4">
        <f>IF(SUMIFS('Daily NSE Equity Cash'!$H:$H,'Daily NSE Equity Cash'!$A:$A,$A1522)=0,"",SUMIFS('Daily NSE Equity Cash'!$H:$H,'Daily NSE Equity Cash'!$A:$A,$A1522))</f>
        <v>1145.2498000000001</v>
      </c>
      <c r="F1522" s="4">
        <f>IF(SUMIFS('Daily BSE Equity Cash'!$H:$H,'Daily BSE Equity Cash'!$A:$A,$A1522)=0,"",SUMIFS('Daily BSE Equity Cash'!$H:$H,'Daily BSE Equity Cash'!$A:$A,$A1522))</f>
        <v>91.124099999999999</v>
      </c>
      <c r="G1522" s="4">
        <f t="shared" si="207"/>
        <v>1236.3739</v>
      </c>
      <c r="H1522" s="7">
        <f t="shared" si="208"/>
        <v>-1.9904940390270021E-2</v>
      </c>
      <c r="I1522" s="7">
        <f t="shared" si="209"/>
        <v>0.15706677976087668</v>
      </c>
      <c r="J1522" s="7">
        <f t="shared" si="210"/>
        <v>-8.7306345019532161E-3</v>
      </c>
      <c r="K1522" s="7">
        <f t="shared" si="213"/>
        <v>-0.12653709287392945</v>
      </c>
      <c r="L1522" s="7">
        <f t="shared" si="214"/>
        <v>9.4615340262061531E-2</v>
      </c>
      <c r="M1522" s="7">
        <f t="shared" si="215"/>
        <v>-0.1133340619580584</v>
      </c>
      <c r="N1522" s="7">
        <f t="shared" si="211"/>
        <v>0.9262972956643617</v>
      </c>
      <c r="O1522" s="7">
        <f t="shared" si="212"/>
        <v>7.3702704335638275E-2</v>
      </c>
    </row>
    <row r="1523" spans="1:15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4">
        <f>IF(SUMIFS('Daily NSE Equity Cash'!$H:$H,'Daily NSE Equity Cash'!$A:$A,$A1523)=0,"",SUMIFS('Daily NSE Equity Cash'!$H:$H,'Daily NSE Equity Cash'!$A:$A,$A1523))</f>
        <v>1212.511</v>
      </c>
      <c r="F1523" s="4">
        <f>IF(SUMIFS('Daily BSE Equity Cash'!$H:$H,'Daily BSE Equity Cash'!$A:$A,$A1523)=0,"",SUMIFS('Daily BSE Equity Cash'!$H:$H,'Daily BSE Equity Cash'!$A:$A,$A1523))</f>
        <v>101.02589999999999</v>
      </c>
      <c r="G1523" s="4">
        <f t="shared" si="207"/>
        <v>1313.5369000000001</v>
      </c>
      <c r="H1523" s="7">
        <f t="shared" si="208"/>
        <v>0.22539777314146492</v>
      </c>
      <c r="I1523" s="7">
        <f t="shared" si="209"/>
        <v>0.28792541636495295</v>
      </c>
      <c r="J1523" s="7">
        <f t="shared" si="210"/>
        <v>0.22999053116494017</v>
      </c>
      <c r="K1523" s="7">
        <f t="shared" si="213"/>
        <v>5.8730593098553552E-2</v>
      </c>
      <c r="L1523" s="7">
        <f t="shared" si="214"/>
        <v>0.10866280160791697</v>
      </c>
      <c r="M1523" s="7">
        <f t="shared" si="215"/>
        <v>6.24107318991447E-2</v>
      </c>
      <c r="N1523" s="7">
        <f t="shared" si="211"/>
        <v>0.92308864714801686</v>
      </c>
      <c r="O1523" s="7">
        <f t="shared" si="212"/>
        <v>7.6911352851983056E-2</v>
      </c>
    </row>
    <row r="1524" spans="1:15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4">
        <f>IF(SUMIFS('Daily NSE Equity Cash'!$H:$H,'Daily NSE Equity Cash'!$A:$A,$A1524)=0,"",SUMIFS('Daily NSE Equity Cash'!$H:$H,'Daily NSE Equity Cash'!$A:$A,$A1524))</f>
        <v>1133.3848</v>
      </c>
      <c r="F1524" s="4">
        <f>IF(SUMIFS('Daily BSE Equity Cash'!$H:$H,'Daily BSE Equity Cash'!$A:$A,$A1524)=0,"",SUMIFS('Daily BSE Equity Cash'!$H:$H,'Daily BSE Equity Cash'!$A:$A,$A1524))</f>
        <v>101.3933</v>
      </c>
      <c r="G1524" s="4">
        <f t="shared" si="207"/>
        <v>1234.7781</v>
      </c>
      <c r="H1524" s="7">
        <f t="shared" si="208"/>
        <v>6.5660077331440192E-2</v>
      </c>
      <c r="I1524" s="7">
        <f t="shared" si="209"/>
        <v>0.40698766792341812</v>
      </c>
      <c r="J1524" s="7">
        <f t="shared" si="210"/>
        <v>8.732009763863835E-2</v>
      </c>
      <c r="K1524" s="7">
        <f t="shared" si="213"/>
        <v>-6.5258129616968419E-2</v>
      </c>
      <c r="L1524" s="7">
        <f t="shared" si="214"/>
        <v>3.6366911851317685E-3</v>
      </c>
      <c r="M1524" s="7">
        <f t="shared" si="215"/>
        <v>-5.9959335744584008E-2</v>
      </c>
      <c r="N1524" s="7">
        <f t="shared" si="211"/>
        <v>0.91788540791256346</v>
      </c>
      <c r="O1524" s="7">
        <f t="shared" si="212"/>
        <v>8.21145920874366E-2</v>
      </c>
    </row>
    <row r="1525" spans="1:15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4">
        <f>IF(SUMIFS('Daily NSE Equity Cash'!$H:$H,'Daily NSE Equity Cash'!$A:$A,$A1525)=0,"",SUMIFS('Daily NSE Equity Cash'!$H:$H,'Daily NSE Equity Cash'!$A:$A,$A1525))</f>
        <v>1195.8117</v>
      </c>
      <c r="F1525" s="4">
        <f>IF(SUMIFS('Daily BSE Equity Cash'!$H:$H,'Daily BSE Equity Cash'!$A:$A,$A1525)=0,"",SUMIFS('Daily BSE Equity Cash'!$H:$H,'Daily BSE Equity Cash'!$A:$A,$A1525))</f>
        <v>87.615899999999996</v>
      </c>
      <c r="G1525" s="4">
        <f t="shared" si="207"/>
        <v>1283.4276</v>
      </c>
      <c r="H1525" s="7" t="str">
        <f t="shared" si="208"/>
        <v/>
      </c>
      <c r="I1525" s="7" t="str">
        <f t="shared" si="209"/>
        <v/>
      </c>
      <c r="J1525" s="7" t="str">
        <f t="shared" si="210"/>
        <v/>
      </c>
      <c r="K1525" s="7">
        <f t="shared" si="213"/>
        <v>5.5080057540916272E-2</v>
      </c>
      <c r="L1525" s="7">
        <f t="shared" si="214"/>
        <v>-0.13588077318718295</v>
      </c>
      <c r="M1525" s="7">
        <f t="shared" si="215"/>
        <v>3.9399386821000526E-2</v>
      </c>
      <c r="N1525" s="7">
        <f t="shared" si="211"/>
        <v>0.93173288465979698</v>
      </c>
      <c r="O1525" s="7">
        <f t="shared" si="212"/>
        <v>6.8267115340203063E-2</v>
      </c>
    </row>
    <row r="1526" spans="1:15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4">
        <f>IF(SUMIFS('Daily NSE Equity Cash'!$H:$H,'Daily NSE Equity Cash'!$A:$A,$A1526)=0,"",SUMIFS('Daily NSE Equity Cash'!$H:$H,'Daily NSE Equity Cash'!$A:$A,$A1526))</f>
        <v>1275.1337000000001</v>
      </c>
      <c r="F1526" s="4">
        <f>IF(SUMIFS('Daily BSE Equity Cash'!$H:$H,'Daily BSE Equity Cash'!$A:$A,$A1526)=0,"",SUMIFS('Daily BSE Equity Cash'!$H:$H,'Daily BSE Equity Cash'!$A:$A,$A1526))</f>
        <v>94.747200000000007</v>
      </c>
      <c r="G1526" s="4">
        <f t="shared" si="207"/>
        <v>1369.8809000000001</v>
      </c>
      <c r="H1526" s="7">
        <f t="shared" si="208"/>
        <v>0.36860284165143753</v>
      </c>
      <c r="I1526" s="7">
        <f t="shared" si="209"/>
        <v>0.39856522894340651</v>
      </c>
      <c r="J1526" s="7">
        <f t="shared" si="210"/>
        <v>0.37063378914037504</v>
      </c>
      <c r="K1526" s="7">
        <f t="shared" si="213"/>
        <v>6.633318606934524E-2</v>
      </c>
      <c r="L1526" s="7">
        <f t="shared" si="214"/>
        <v>8.1392760902986971E-2</v>
      </c>
      <c r="M1526" s="7">
        <f t="shared" si="215"/>
        <v>6.7361259801487883E-2</v>
      </c>
      <c r="N1526" s="7">
        <f t="shared" si="211"/>
        <v>0.9308354470815674</v>
      </c>
      <c r="O1526" s="7">
        <f t="shared" si="212"/>
        <v>6.9164552918432542E-2</v>
      </c>
    </row>
    <row r="1527" spans="1:15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4">
        <f>IF(SUMIFS('Daily NSE Equity Cash'!$H:$H,'Daily NSE Equity Cash'!$A:$A,$A1527)=0,"",SUMIFS('Daily NSE Equity Cash'!$H:$H,'Daily NSE Equity Cash'!$A:$A,$A1527))</f>
        <v>1358.9965999999999</v>
      </c>
      <c r="F1527" s="4">
        <f>IF(SUMIFS('Daily BSE Equity Cash'!$H:$H,'Daily BSE Equity Cash'!$A:$A,$A1527)=0,"",SUMIFS('Daily BSE Equity Cash'!$H:$H,'Daily BSE Equity Cash'!$A:$A,$A1527))</f>
        <v>119.47969999999999</v>
      </c>
      <c r="G1527" s="4">
        <f t="shared" si="207"/>
        <v>1478.4763</v>
      </c>
      <c r="H1527" s="7">
        <f t="shared" si="208"/>
        <v>0.13928101547330241</v>
      </c>
      <c r="I1527" s="7">
        <f t="shared" si="209"/>
        <v>0.26887924589216827</v>
      </c>
      <c r="J1527" s="7">
        <f t="shared" si="210"/>
        <v>0.1487627739262336</v>
      </c>
      <c r="K1527" s="7">
        <f t="shared" si="213"/>
        <v>6.5767926924054976E-2</v>
      </c>
      <c r="L1527" s="7">
        <f t="shared" si="214"/>
        <v>0.2610367377611158</v>
      </c>
      <c r="M1527" s="7">
        <f t="shared" si="215"/>
        <v>7.927360692451435E-2</v>
      </c>
      <c r="N1527" s="7">
        <f t="shared" si="211"/>
        <v>0.91918727408751832</v>
      </c>
      <c r="O1527" s="7">
        <f t="shared" si="212"/>
        <v>8.0812725912481648E-2</v>
      </c>
    </row>
    <row r="1528" spans="1:15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4">
        <f>IF(SUMIFS('Daily NSE Equity Cash'!$H:$H,'Daily NSE Equity Cash'!$A:$A,$A1528)=0,"",SUMIFS('Daily NSE Equity Cash'!$H:$H,'Daily NSE Equity Cash'!$A:$A,$A1528))</f>
        <v>2874.5234</v>
      </c>
      <c r="F1528" s="4">
        <f>IF(SUMIFS('Daily BSE Equity Cash'!$H:$H,'Daily BSE Equity Cash'!$A:$A,$A1528)=0,"",SUMIFS('Daily BSE Equity Cash'!$H:$H,'Daily BSE Equity Cash'!$A:$A,$A1528))</f>
        <v>127.708</v>
      </c>
      <c r="G1528" s="4">
        <f t="shared" si="207"/>
        <v>3002.2314000000001</v>
      </c>
      <c r="H1528" s="7">
        <f t="shared" si="208"/>
        <v>1.6770502526995661</v>
      </c>
      <c r="I1528" s="7">
        <f t="shared" si="209"/>
        <v>0.89954604139769256</v>
      </c>
      <c r="J1528" s="7">
        <f t="shared" si="210"/>
        <v>1.6312374451794747</v>
      </c>
      <c r="K1528" s="7">
        <f t="shared" si="213"/>
        <v>1.1151807149480728</v>
      </c>
      <c r="L1528" s="7">
        <f t="shared" si="214"/>
        <v>6.8867765821306826E-2</v>
      </c>
      <c r="M1528" s="7">
        <f t="shared" si="215"/>
        <v>1.030625313371611</v>
      </c>
      <c r="N1528" s="7">
        <f t="shared" si="211"/>
        <v>0.95746230620331263</v>
      </c>
      <c r="O1528" s="7">
        <f t="shared" si="212"/>
        <v>4.2537693796687356E-2</v>
      </c>
    </row>
    <row r="1529" spans="1:15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4">
        <f>IF(SUMIFS('Daily NSE Equity Cash'!$H:$H,'Daily NSE Equity Cash'!$A:$A,$A1529)=0,"",SUMIFS('Daily NSE Equity Cash'!$H:$H,'Daily NSE Equity Cash'!$A:$A,$A1529))</f>
        <v>1326.7224000000001</v>
      </c>
      <c r="F1529" s="4">
        <f>IF(SUMIFS('Daily BSE Equity Cash'!$H:$H,'Daily BSE Equity Cash'!$A:$A,$A1529)=0,"",SUMIFS('Daily BSE Equity Cash'!$H:$H,'Daily BSE Equity Cash'!$A:$A,$A1529))</f>
        <v>88.739500000000007</v>
      </c>
      <c r="G1529" s="4">
        <f t="shared" si="207"/>
        <v>1415.4619</v>
      </c>
      <c r="H1529" s="7" t="str">
        <f t="shared" si="208"/>
        <v/>
      </c>
      <c r="I1529" s="7" t="str">
        <f t="shared" si="209"/>
        <v/>
      </c>
      <c r="J1529" s="7" t="str">
        <f t="shared" si="210"/>
        <v/>
      </c>
      <c r="K1529" s="7">
        <f t="shared" si="213"/>
        <v>-0.53845482698105707</v>
      </c>
      <c r="L1529" s="7">
        <f t="shared" si="214"/>
        <v>-0.3051375011745544</v>
      </c>
      <c r="M1529" s="7">
        <f t="shared" si="215"/>
        <v>-0.52853004601843812</v>
      </c>
      <c r="N1529" s="7">
        <f t="shared" si="211"/>
        <v>0.93730703737062804</v>
      </c>
      <c r="O1529" s="7">
        <f t="shared" si="212"/>
        <v>6.2692962629372087E-2</v>
      </c>
    </row>
    <row r="1530" spans="1:15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4">
        <f>IF(SUMIFS('Daily NSE Equity Cash'!$H:$H,'Daily NSE Equity Cash'!$A:$A,$A1530)=0,"",SUMIFS('Daily NSE Equity Cash'!$H:$H,'Daily NSE Equity Cash'!$A:$A,$A1530))</f>
        <v>1433.2701</v>
      </c>
      <c r="F1530" s="4">
        <f>IF(SUMIFS('Daily BSE Equity Cash'!$H:$H,'Daily BSE Equity Cash'!$A:$A,$A1530)=0,"",SUMIFS('Daily BSE Equity Cash'!$H:$H,'Daily BSE Equity Cash'!$A:$A,$A1530))</f>
        <v>88.2727</v>
      </c>
      <c r="G1530" s="4">
        <f t="shared" si="207"/>
        <v>1521.5427999999999</v>
      </c>
      <c r="H1530" s="7">
        <f t="shared" si="208"/>
        <v>0.3307323795213164</v>
      </c>
      <c r="I1530" s="7">
        <f t="shared" si="209"/>
        <v>-5.0173453445181315E-2</v>
      </c>
      <c r="J1530" s="7">
        <f t="shared" si="210"/>
        <v>0.30047593601718714</v>
      </c>
      <c r="K1530" s="7">
        <f t="shared" si="213"/>
        <v>8.0308962899849901E-2</v>
      </c>
      <c r="L1530" s="7">
        <f t="shared" si="214"/>
        <v>-5.2603406600217895E-3</v>
      </c>
      <c r="M1530" s="7">
        <f t="shared" si="215"/>
        <v>7.4944369749549544E-2</v>
      </c>
      <c r="N1530" s="7">
        <f t="shared" si="211"/>
        <v>0.94198474075129535</v>
      </c>
      <c r="O1530" s="7">
        <f t="shared" si="212"/>
        <v>5.8015259248704674E-2</v>
      </c>
    </row>
    <row r="1531" spans="1:15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4">
        <f>IF(SUMIFS('Daily NSE Equity Cash'!$H:$H,'Daily NSE Equity Cash'!$A:$A,$A1531)=0,"",SUMIFS('Daily NSE Equity Cash'!$H:$H,'Daily NSE Equity Cash'!$A:$A,$A1531))</f>
        <v>1353.52</v>
      </c>
      <c r="F1531" s="4">
        <f>IF(SUMIFS('Daily BSE Equity Cash'!$H:$H,'Daily BSE Equity Cash'!$A:$A,$A1531)=0,"",SUMIFS('Daily BSE Equity Cash'!$H:$H,'Daily BSE Equity Cash'!$A:$A,$A1531))</f>
        <v>85.587299999999999</v>
      </c>
      <c r="G1531" s="4">
        <f t="shared" si="207"/>
        <v>1439.1072999999999</v>
      </c>
      <c r="H1531" s="7">
        <f t="shared" si="208"/>
        <v>0.16469990038026228</v>
      </c>
      <c r="I1531" s="7">
        <f t="shared" si="209"/>
        <v>-0.26989365822199551</v>
      </c>
      <c r="J1531" s="7">
        <f t="shared" si="210"/>
        <v>0.1248782873172043</v>
      </c>
      <c r="K1531" s="7">
        <f t="shared" si="213"/>
        <v>-5.5642059371782016E-2</v>
      </c>
      <c r="L1531" s="7">
        <f t="shared" si="214"/>
        <v>-3.0421636587529388E-2</v>
      </c>
      <c r="M1531" s="7">
        <f t="shared" si="215"/>
        <v>-5.4178890005591729E-2</v>
      </c>
      <c r="N1531" s="7">
        <f t="shared" si="211"/>
        <v>0.94052750618386838</v>
      </c>
      <c r="O1531" s="7">
        <f t="shared" si="212"/>
        <v>5.9472493816131712E-2</v>
      </c>
    </row>
    <row r="1532" spans="1:15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4">
        <f>IF(SUMIFS('Daily NSE Equity Cash'!$H:$H,'Daily NSE Equity Cash'!$A:$A,$A1532)=0,"",SUMIFS('Daily NSE Equity Cash'!$H:$H,'Daily NSE Equity Cash'!$A:$A,$A1532))</f>
        <v>1289.8362</v>
      </c>
      <c r="F1532" s="4">
        <f>IF(SUMIFS('Daily BSE Equity Cash'!$H:$H,'Daily BSE Equity Cash'!$A:$A,$A1532)=0,"",SUMIFS('Daily BSE Equity Cash'!$H:$H,'Daily BSE Equity Cash'!$A:$A,$A1532))</f>
        <v>94.597200000000001</v>
      </c>
      <c r="G1532" s="4">
        <f t="shared" si="207"/>
        <v>1384.4333999999999</v>
      </c>
      <c r="H1532" s="7">
        <f t="shared" si="208"/>
        <v>0.16369177847495875</v>
      </c>
      <c r="I1532" s="7">
        <f t="shared" si="209"/>
        <v>4.9334557136300194E-3</v>
      </c>
      <c r="J1532" s="7">
        <f t="shared" si="210"/>
        <v>0.15126437278644311</v>
      </c>
      <c r="K1532" s="7">
        <f t="shared" si="213"/>
        <v>-4.7050505349015892E-2</v>
      </c>
      <c r="L1532" s="7">
        <f t="shared" si="214"/>
        <v>0.10527145966749751</v>
      </c>
      <c r="M1532" s="7">
        <f t="shared" si="215"/>
        <v>-3.7991538226510246E-2</v>
      </c>
      <c r="N1532" s="7">
        <f t="shared" si="211"/>
        <v>0.93167081926801254</v>
      </c>
      <c r="O1532" s="7">
        <f t="shared" si="212"/>
        <v>6.8329180731987543E-2</v>
      </c>
    </row>
    <row r="1533" spans="1:15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4">
        <f>IF(SUMIFS('Daily NSE Equity Cash'!$H:$H,'Daily NSE Equity Cash'!$A:$A,$A1533)=0,"",SUMIFS('Daily NSE Equity Cash'!$H:$H,'Daily NSE Equity Cash'!$A:$A,$A1533))</f>
        <v>1288.7062000000001</v>
      </c>
      <c r="F1533" s="4">
        <f>IF(SUMIFS('Daily BSE Equity Cash'!$H:$H,'Daily BSE Equity Cash'!$A:$A,$A1533)=0,"",SUMIFS('Daily BSE Equity Cash'!$H:$H,'Daily BSE Equity Cash'!$A:$A,$A1533))</f>
        <v>99.141599999999997</v>
      </c>
      <c r="G1533" s="4">
        <f t="shared" si="207"/>
        <v>1387.8478</v>
      </c>
      <c r="H1533" s="7">
        <f t="shared" si="208"/>
        <v>0.10036883140658004</v>
      </c>
      <c r="I1533" s="7">
        <f t="shared" si="209"/>
        <v>0.27182555463476321</v>
      </c>
      <c r="J1533" s="7">
        <f t="shared" si="210"/>
        <v>0.11106878766379857</v>
      </c>
      <c r="K1533" s="7">
        <f t="shared" si="213"/>
        <v>-8.7608023406371416E-4</v>
      </c>
      <c r="L1533" s="7">
        <f t="shared" si="214"/>
        <v>4.8039476855551655E-2</v>
      </c>
      <c r="M1533" s="7">
        <f t="shared" si="215"/>
        <v>2.4662797069183728E-3</v>
      </c>
      <c r="N1533" s="7">
        <f t="shared" si="211"/>
        <v>0.92856450109298738</v>
      </c>
      <c r="O1533" s="7">
        <f t="shared" si="212"/>
        <v>7.1435498907012715E-2</v>
      </c>
    </row>
    <row r="1534" spans="1:15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4">
        <f>IF(SUMIFS('Daily NSE Equity Cash'!$H:$H,'Daily NSE Equity Cash'!$A:$A,$A1534)=0,"",SUMIFS('Daily NSE Equity Cash'!$H:$H,'Daily NSE Equity Cash'!$A:$A,$A1534))</f>
        <v>1092.3019999999999</v>
      </c>
      <c r="F1534" s="4">
        <f>IF(SUMIFS('Daily BSE Equity Cash'!$H:$H,'Daily BSE Equity Cash'!$A:$A,$A1534)=0,"",SUMIFS('Daily BSE Equity Cash'!$H:$H,'Daily BSE Equity Cash'!$A:$A,$A1534))</f>
        <v>90.545400000000001</v>
      </c>
      <c r="G1534" s="4">
        <f t="shared" si="207"/>
        <v>1182.8473999999999</v>
      </c>
      <c r="H1534" s="7" t="str">
        <f t="shared" si="208"/>
        <v/>
      </c>
      <c r="I1534" s="7" t="str">
        <f t="shared" si="209"/>
        <v/>
      </c>
      <c r="J1534" s="7" t="str">
        <f t="shared" si="210"/>
        <v/>
      </c>
      <c r="K1534" s="7">
        <f t="shared" si="213"/>
        <v>-0.15240417094291947</v>
      </c>
      <c r="L1534" s="7">
        <f t="shared" si="214"/>
        <v>-8.6706286765595886E-2</v>
      </c>
      <c r="M1534" s="7">
        <f t="shared" si="215"/>
        <v>-0.14771100980957719</v>
      </c>
      <c r="N1534" s="7">
        <f t="shared" si="211"/>
        <v>0.92345132601212976</v>
      </c>
      <c r="O1534" s="7">
        <f t="shared" si="212"/>
        <v>7.6548673987870297E-2</v>
      </c>
    </row>
    <row r="1535" spans="1:15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4">
        <f>IF(SUMIFS('Daily NSE Equity Cash'!$H:$H,'Daily NSE Equity Cash'!$A:$A,$A1535)=0,"",SUMIFS('Daily NSE Equity Cash'!$H:$H,'Daily NSE Equity Cash'!$A:$A,$A1535))</f>
        <v>1232.028</v>
      </c>
      <c r="F1535" s="4">
        <f>IF(SUMIFS('Daily BSE Equity Cash'!$H:$H,'Daily BSE Equity Cash'!$A:$A,$A1535)=0,"",SUMIFS('Daily BSE Equity Cash'!$H:$H,'Daily BSE Equity Cash'!$A:$A,$A1535))</f>
        <v>81.838800000000006</v>
      </c>
      <c r="G1535" s="4">
        <f t="shared" si="207"/>
        <v>1313.8668</v>
      </c>
      <c r="H1535" s="7">
        <f t="shared" si="208"/>
        <v>4.6347734895481496E-2</v>
      </c>
      <c r="I1535" s="7">
        <f t="shared" si="209"/>
        <v>7.5326619155480223E-4</v>
      </c>
      <c r="J1535" s="7">
        <f t="shared" si="210"/>
        <v>4.3386735161282441E-2</v>
      </c>
      <c r="K1535" s="7">
        <f t="shared" si="213"/>
        <v>0.12791883563336892</v>
      </c>
      <c r="L1535" s="7">
        <f t="shared" si="214"/>
        <v>-9.6157286841738965E-2</v>
      </c>
      <c r="M1535" s="7">
        <f t="shared" si="215"/>
        <v>0.11076610558555577</v>
      </c>
      <c r="N1535" s="7">
        <f t="shared" si="211"/>
        <v>0.93771149404186183</v>
      </c>
      <c r="O1535" s="7">
        <f t="shared" si="212"/>
        <v>6.2288505958138229E-2</v>
      </c>
    </row>
    <row r="1536" spans="1:15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4">
        <f>IF(SUMIFS('Daily NSE Equity Cash'!$H:$H,'Daily NSE Equity Cash'!$A:$A,$A1536)=0,"",SUMIFS('Daily NSE Equity Cash'!$H:$H,'Daily NSE Equity Cash'!$A:$A,$A1536))</f>
        <v>1197.1414</v>
      </c>
      <c r="F1536" s="4">
        <f>IF(SUMIFS('Daily BSE Equity Cash'!$H:$H,'Daily BSE Equity Cash'!$A:$A,$A1536)=0,"",SUMIFS('Daily BSE Equity Cash'!$H:$H,'Daily BSE Equity Cash'!$A:$A,$A1536))</f>
        <v>84.131</v>
      </c>
      <c r="G1536" s="4">
        <f t="shared" si="207"/>
        <v>1281.2724000000001</v>
      </c>
      <c r="H1536" s="7">
        <f t="shared" si="208"/>
        <v>3.3239273921410906E-2</v>
      </c>
      <c r="I1536" s="7">
        <f t="shared" si="209"/>
        <v>-0.10843516494230276</v>
      </c>
      <c r="J1536" s="7">
        <f t="shared" si="210"/>
        <v>2.2569724468466612E-2</v>
      </c>
      <c r="K1536" s="7">
        <f t="shared" si="213"/>
        <v>-2.8316401899956878E-2</v>
      </c>
      <c r="L1536" s="7">
        <f t="shared" si="214"/>
        <v>2.8008719580443486E-2</v>
      </c>
      <c r="M1536" s="7">
        <f t="shared" si="215"/>
        <v>-2.4807994235031994E-2</v>
      </c>
      <c r="N1536" s="7">
        <f t="shared" si="211"/>
        <v>0.93433792845299712</v>
      </c>
      <c r="O1536" s="7">
        <f t="shared" si="212"/>
        <v>6.5662071547002807E-2</v>
      </c>
    </row>
    <row r="1537" spans="1:15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4">
        <f>IF(SUMIFS('Daily NSE Equity Cash'!$H:$H,'Daily NSE Equity Cash'!$A:$A,$A1537)=0,"",SUMIFS('Daily NSE Equity Cash'!$H:$H,'Daily NSE Equity Cash'!$A:$A,$A1537))</f>
        <v>1125.0222000000001</v>
      </c>
      <c r="F1537" s="4">
        <f>IF(SUMIFS('Daily BSE Equity Cash'!$H:$H,'Daily BSE Equity Cash'!$A:$A,$A1537)=0,"",SUMIFS('Daily BSE Equity Cash'!$H:$H,'Daily BSE Equity Cash'!$A:$A,$A1537))</f>
        <v>90.676000000000002</v>
      </c>
      <c r="G1537" s="4">
        <f t="shared" si="207"/>
        <v>1215.6982</v>
      </c>
      <c r="H1537" s="7">
        <f t="shared" si="208"/>
        <v>-9.4418419214178262E-2</v>
      </c>
      <c r="I1537" s="7">
        <f t="shared" si="209"/>
        <v>4.0507929805074117E-2</v>
      </c>
      <c r="J1537" s="7">
        <f t="shared" si="210"/>
        <v>-8.5574057553935101E-2</v>
      </c>
      <c r="K1537" s="7">
        <f t="shared" si="213"/>
        <v>-6.0242841823029303E-2</v>
      </c>
      <c r="L1537" s="7">
        <f t="shared" si="214"/>
        <v>7.7795342977023951E-2</v>
      </c>
      <c r="M1537" s="7">
        <f t="shared" si="215"/>
        <v>-5.1178968656469981E-2</v>
      </c>
      <c r="N1537" s="7">
        <f t="shared" si="211"/>
        <v>0.92541240909956113</v>
      </c>
      <c r="O1537" s="7">
        <f t="shared" si="212"/>
        <v>7.4587590900438941E-2</v>
      </c>
    </row>
    <row r="1538" spans="1:15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4">
        <f>IF(SUMIFS('Daily NSE Equity Cash'!$H:$H,'Daily NSE Equity Cash'!$A:$A,$A1538)=0,"",SUMIFS('Daily NSE Equity Cash'!$H:$H,'Daily NSE Equity Cash'!$A:$A,$A1538))</f>
        <v>1188.3767</v>
      </c>
      <c r="F1538" s="4">
        <f>IF(SUMIFS('Daily BSE Equity Cash'!$H:$H,'Daily BSE Equity Cash'!$A:$A,$A1538)=0,"",SUMIFS('Daily BSE Equity Cash'!$H:$H,'Daily BSE Equity Cash'!$A:$A,$A1538))</f>
        <v>90.464600000000004</v>
      </c>
      <c r="G1538" s="4">
        <f t="shared" ref="G1538:G1601" si="216">IF(OR(E1538="",F1538=""),"",E1538+F1538)</f>
        <v>1278.8413</v>
      </c>
      <c r="H1538" s="7">
        <f t="shared" ref="H1538:H1598" si="217">IFERROR(IF(OR(E1538="",INDEX(E:E,MATCH(DATE(YEAR($A1538)-1,MONTH($A1538),DAY($A1538)),$A:$A,0))=""),"",E1538/INDEX(E:E,MATCH(DATE(YEAR($A1538)-1,MONTH($A1538),DAY($A1538)),$A:$A,0))-1),"")</f>
        <v>1.0689759106847108E-2</v>
      </c>
      <c r="I1538" s="7">
        <f t="shared" ref="I1538:I1598" si="218">IFERROR(IF(OR(F1538="",INDEX(F:F,MATCH(DATE(YEAR($A1538)-1,MONTH($A1538),DAY($A1538)),$A:$A,0))=""),"",F1538/INDEX(F:F,MATCH(DATE(YEAR($A1538)-1,MONTH($A1538),DAY($A1538)),$A:$A,0))-1),"")</f>
        <v>0.29110274777108436</v>
      </c>
      <c r="J1538" s="7">
        <f t="shared" ref="J1538:J1598" si="219">IFERROR(IF(OR(G1538="",INDEX(G:G,MATCH(DATE(YEAR($A1538)-1,MONTH($A1538),DAY($A1538)),$A:$A,0))=""),"",G1538/INDEX(G:G,MATCH(DATE(YEAR($A1538)-1,MONTH($A1538),DAY($A1538)),$A:$A,0))-1),"")</f>
        <v>2.6460112019236481E-2</v>
      </c>
      <c r="K1538" s="7">
        <f t="shared" si="213"/>
        <v>5.6313999848180751E-2</v>
      </c>
      <c r="L1538" s="7">
        <f t="shared" si="214"/>
        <v>-2.3313776523005147E-3</v>
      </c>
      <c r="M1538" s="7">
        <f t="shared" si="215"/>
        <v>5.1939782422973035E-2</v>
      </c>
      <c r="N1538" s="7">
        <f t="shared" ref="N1538:N1598" si="220">IF(G1538="","",E1538/G1538)</f>
        <v>0.92926049541878264</v>
      </c>
      <c r="O1538" s="7">
        <f t="shared" ref="O1538:O1598" si="221">IF(G1538="","",F1538/G1538)</f>
        <v>7.0739504581217388E-2</v>
      </c>
    </row>
    <row r="1539" spans="1:15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4">
        <f>IF(SUMIFS('Daily NSE Equity Cash'!$H:$H,'Daily NSE Equity Cash'!$A:$A,$A1539)=0,"",SUMIFS('Daily NSE Equity Cash'!$H:$H,'Daily NSE Equity Cash'!$A:$A,$A1539))</f>
        <v>1386.4227000000001</v>
      </c>
      <c r="F1539" s="4">
        <f>IF(SUMIFS('Daily BSE Equity Cash'!$H:$H,'Daily BSE Equity Cash'!$A:$A,$A1539)=0,"",SUMIFS('Daily BSE Equity Cash'!$H:$H,'Daily BSE Equity Cash'!$A:$A,$A1539))</f>
        <v>105.8706</v>
      </c>
      <c r="G1539" s="4">
        <f t="shared" si="216"/>
        <v>1492.2933</v>
      </c>
      <c r="H1539" s="7" t="str">
        <f t="shared" si="217"/>
        <v/>
      </c>
      <c r="I1539" s="7" t="str">
        <f t="shared" si="218"/>
        <v/>
      </c>
      <c r="J1539" s="7" t="str">
        <f t="shared" si="219"/>
        <v/>
      </c>
      <c r="K1539" s="7">
        <f t="shared" ref="K1539:K1598" si="222">IF(OR(E1539="",E1538=""),"",E1539/E1538-1)</f>
        <v>0.16665254375990379</v>
      </c>
      <c r="L1539" s="7">
        <f t="shared" ref="L1539:L1598" si="223">IF(OR(F1539="",F1538=""),"",F1539/F1538-1)</f>
        <v>0.17029865825969481</v>
      </c>
      <c r="M1539" s="7">
        <f t="shared" ref="M1539:M1598" si="224">IF(OR(G1539="",G1538=""),"",G1539/G1538-1)</f>
        <v>0.16691046809326537</v>
      </c>
      <c r="N1539" s="7">
        <f t="shared" si="220"/>
        <v>0.92905509928912766</v>
      </c>
      <c r="O1539" s="7">
        <f t="shared" si="221"/>
        <v>7.0944900710872311E-2</v>
      </c>
    </row>
    <row r="1540" spans="1:15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4">
        <f>IF(SUMIFS('Daily NSE Equity Cash'!$H:$H,'Daily NSE Equity Cash'!$A:$A,$A1540)=0,"",SUMIFS('Daily NSE Equity Cash'!$H:$H,'Daily NSE Equity Cash'!$A:$A,$A1540))</f>
        <v>1196.1940999999999</v>
      </c>
      <c r="F1540" s="4">
        <f>IF(SUMIFS('Daily BSE Equity Cash'!$H:$H,'Daily BSE Equity Cash'!$A:$A,$A1540)=0,"",SUMIFS('Daily BSE Equity Cash'!$H:$H,'Daily BSE Equity Cash'!$A:$A,$A1540))</f>
        <v>127.62090000000001</v>
      </c>
      <c r="G1540" s="4">
        <f t="shared" si="216"/>
        <v>1323.8150000000001</v>
      </c>
      <c r="H1540" s="7">
        <f t="shared" si="217"/>
        <v>0.31275809179650538</v>
      </c>
      <c r="I1540" s="7">
        <f t="shared" si="218"/>
        <v>0.89246873341024568</v>
      </c>
      <c r="J1540" s="7">
        <f t="shared" si="219"/>
        <v>0.35270471458948771</v>
      </c>
      <c r="K1540" s="7">
        <f t="shared" si="222"/>
        <v>-0.13720822661083099</v>
      </c>
      <c r="L1540" s="7">
        <f t="shared" si="223"/>
        <v>0.2054423040957547</v>
      </c>
      <c r="M1540" s="7">
        <f t="shared" si="224"/>
        <v>-0.1128989187313244</v>
      </c>
      <c r="N1540" s="7">
        <f t="shared" si="220"/>
        <v>0.90359612181460391</v>
      </c>
      <c r="O1540" s="7">
        <f t="shared" si="221"/>
        <v>9.6403878185396003E-2</v>
      </c>
    </row>
    <row r="1541" spans="1:15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4">
        <f>IF(SUMIFS('Daily NSE Equity Cash'!$H:$H,'Daily NSE Equity Cash'!$A:$A,$A1541)=0,"",SUMIFS('Daily NSE Equity Cash'!$H:$H,'Daily NSE Equity Cash'!$A:$A,$A1541))</f>
        <v>1333.6860999999999</v>
      </c>
      <c r="F1541" s="4">
        <f>IF(SUMIFS('Daily BSE Equity Cash'!$H:$H,'Daily BSE Equity Cash'!$A:$A,$A1541)=0,"",SUMIFS('Daily BSE Equity Cash'!$H:$H,'Daily BSE Equity Cash'!$A:$A,$A1541))</f>
        <v>101.2988</v>
      </c>
      <c r="G1541" s="4">
        <f t="shared" si="216"/>
        <v>1434.9848999999999</v>
      </c>
      <c r="H1541" s="7">
        <f t="shared" si="217"/>
        <v>0.29347268108151603</v>
      </c>
      <c r="I1541" s="7">
        <f t="shared" si="218"/>
        <v>0.22989767324400567</v>
      </c>
      <c r="J1541" s="7">
        <f t="shared" si="219"/>
        <v>0.28876995357954449</v>
      </c>
      <c r="K1541" s="7">
        <f t="shared" si="222"/>
        <v>0.11494121229991006</v>
      </c>
      <c r="L1541" s="7">
        <f t="shared" si="223"/>
        <v>-0.20625226745775971</v>
      </c>
      <c r="M1541" s="7">
        <f t="shared" si="224"/>
        <v>8.397691520340822E-2</v>
      </c>
      <c r="N1541" s="7">
        <f t="shared" si="220"/>
        <v>0.92940775892484995</v>
      </c>
      <c r="O1541" s="7">
        <f t="shared" si="221"/>
        <v>7.0592241075149997E-2</v>
      </c>
    </row>
    <row r="1542" spans="1:15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4">
        <f>IF(SUMIFS('Daily NSE Equity Cash'!$H:$H,'Daily NSE Equity Cash'!$A:$A,$A1542)=0,"",SUMIFS('Daily NSE Equity Cash'!$H:$H,'Daily NSE Equity Cash'!$A:$A,$A1542))</f>
        <v>1338.7204999999999</v>
      </c>
      <c r="F1542" s="4">
        <f>IF(SUMIFS('Daily BSE Equity Cash'!$H:$H,'Daily BSE Equity Cash'!$A:$A,$A1542)=0,"",SUMIFS('Daily BSE Equity Cash'!$H:$H,'Daily BSE Equity Cash'!$A:$A,$A1542))</f>
        <v>114.60169999999999</v>
      </c>
      <c r="G1542" s="4">
        <f t="shared" si="216"/>
        <v>1453.3221999999998</v>
      </c>
      <c r="H1542" s="7">
        <f t="shared" si="217"/>
        <v>0.48924306183773814</v>
      </c>
      <c r="I1542" s="7">
        <f t="shared" si="218"/>
        <v>1.081033819021747</v>
      </c>
      <c r="J1542" s="7">
        <f t="shared" si="219"/>
        <v>0.52340428119015936</v>
      </c>
      <c r="K1542" s="7">
        <f t="shared" si="222"/>
        <v>3.7748012819507348E-3</v>
      </c>
      <c r="L1542" s="7">
        <f t="shared" si="223"/>
        <v>0.13132337204389377</v>
      </c>
      <c r="M1542" s="7">
        <f t="shared" si="224"/>
        <v>1.2778740737968697E-2</v>
      </c>
      <c r="N1542" s="7">
        <f t="shared" si="220"/>
        <v>0.92114501519346503</v>
      </c>
      <c r="O1542" s="7">
        <f t="shared" si="221"/>
        <v>7.8854984806534995E-2</v>
      </c>
    </row>
    <row r="1543" spans="1:15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4">
        <f>IF(SUMIFS('Daily NSE Equity Cash'!$H:$H,'Daily NSE Equity Cash'!$A:$A,$A1543)=0,"",SUMIFS('Daily NSE Equity Cash'!$H:$H,'Daily NSE Equity Cash'!$A:$A,$A1543))</f>
        <v>1599.8195000000001</v>
      </c>
      <c r="F1543" s="4">
        <f>IF(SUMIFS('Daily BSE Equity Cash'!$H:$H,'Daily BSE Equity Cash'!$A:$A,$A1543)=0,"",SUMIFS('Daily BSE Equity Cash'!$H:$H,'Daily BSE Equity Cash'!$A:$A,$A1543))</f>
        <v>108.7902</v>
      </c>
      <c r="G1543" s="4">
        <f t="shared" si="216"/>
        <v>1708.6097</v>
      </c>
      <c r="H1543" s="7">
        <f t="shared" si="217"/>
        <v>0.77015319970266938</v>
      </c>
      <c r="I1543" s="7">
        <f t="shared" si="218"/>
        <v>0.86824268048283315</v>
      </c>
      <c r="J1543" s="7">
        <f t="shared" si="219"/>
        <v>0.77609066638780488</v>
      </c>
      <c r="K1543" s="7">
        <f t="shared" si="222"/>
        <v>0.19503623049023311</v>
      </c>
      <c r="L1543" s="7">
        <f t="shared" si="223"/>
        <v>-5.0710417035698341E-2</v>
      </c>
      <c r="M1543" s="7">
        <f t="shared" si="224"/>
        <v>0.1756578823333188</v>
      </c>
      <c r="N1543" s="7">
        <f t="shared" si="220"/>
        <v>0.93632823224636974</v>
      </c>
      <c r="O1543" s="7">
        <f t="shared" si="221"/>
        <v>6.3671767753630329E-2</v>
      </c>
    </row>
    <row r="1544" spans="1:15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4">
        <f>IF(SUMIFS('Daily NSE Equity Cash'!$H:$H,'Daily NSE Equity Cash'!$A:$A,$A1544)=0,"",SUMIFS('Daily NSE Equity Cash'!$H:$H,'Daily NSE Equity Cash'!$A:$A,$A1544))</f>
        <v>1189.48</v>
      </c>
      <c r="F1544" s="4">
        <f>IF(SUMIFS('Daily BSE Equity Cash'!$H:$H,'Daily BSE Equity Cash'!$A:$A,$A1544)=0,"",SUMIFS('Daily BSE Equity Cash'!$H:$H,'Daily BSE Equity Cash'!$A:$A,$A1544))</f>
        <v>95.610600000000005</v>
      </c>
      <c r="G1544" s="4">
        <f t="shared" si="216"/>
        <v>1285.0906</v>
      </c>
      <c r="H1544" s="7" t="str">
        <f t="shared" si="217"/>
        <v/>
      </c>
      <c r="I1544" s="7" t="str">
        <f t="shared" si="218"/>
        <v/>
      </c>
      <c r="J1544" s="7" t="str">
        <f t="shared" si="219"/>
        <v/>
      </c>
      <c r="K1544" s="7">
        <f t="shared" si="222"/>
        <v>-0.25649112290480269</v>
      </c>
      <c r="L1544" s="7">
        <f t="shared" si="223"/>
        <v>-0.121146941544367</v>
      </c>
      <c r="M1544" s="7">
        <f t="shared" si="224"/>
        <v>-0.24787351962241577</v>
      </c>
      <c r="N1544" s="7">
        <f t="shared" si="220"/>
        <v>0.92560010943975468</v>
      </c>
      <c r="O1544" s="7">
        <f t="shared" si="221"/>
        <v>7.4399890560245333E-2</v>
      </c>
    </row>
    <row r="1545" spans="1:15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4">
        <f>IF(SUMIFS('Daily NSE Equity Cash'!$H:$H,'Daily NSE Equity Cash'!$A:$A,$A1545)=0,"",SUMIFS('Daily NSE Equity Cash'!$H:$H,'Daily NSE Equity Cash'!$A:$A,$A1545))</f>
        <v>1317.8441</v>
      </c>
      <c r="F1545" s="4">
        <f>IF(SUMIFS('Daily BSE Equity Cash'!$H:$H,'Daily BSE Equity Cash'!$A:$A,$A1545)=0,"",SUMIFS('Daily BSE Equity Cash'!$H:$H,'Daily BSE Equity Cash'!$A:$A,$A1545))</f>
        <v>99.836200000000005</v>
      </c>
      <c r="G1545" s="4">
        <f t="shared" si="216"/>
        <v>1417.6803</v>
      </c>
      <c r="H1545" s="7">
        <f t="shared" si="217"/>
        <v>0.45176571237581697</v>
      </c>
      <c r="I1545" s="7">
        <f t="shared" si="218"/>
        <v>0.21336109196931985</v>
      </c>
      <c r="J1545" s="7">
        <f t="shared" si="219"/>
        <v>0.4319521373675006</v>
      </c>
      <c r="K1545" s="7">
        <f t="shared" si="222"/>
        <v>0.10791614823284124</v>
      </c>
      <c r="L1545" s="7">
        <f t="shared" si="223"/>
        <v>4.4195936433826466E-2</v>
      </c>
      <c r="M1545" s="7">
        <f t="shared" si="224"/>
        <v>0.10317537144851885</v>
      </c>
      <c r="N1545" s="7">
        <f t="shared" si="220"/>
        <v>0.92957777575099265</v>
      </c>
      <c r="O1545" s="7">
        <f t="shared" si="221"/>
        <v>7.0422224249007348E-2</v>
      </c>
    </row>
    <row r="1546" spans="1:15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4">
        <f>IF(SUMIFS('Daily NSE Equity Cash'!$H:$H,'Daily NSE Equity Cash'!$A:$A,$A1546)=0,"",SUMIFS('Daily NSE Equity Cash'!$H:$H,'Daily NSE Equity Cash'!$A:$A,$A1546))</f>
        <v>1227.7621999999999</v>
      </c>
      <c r="F1546" s="4">
        <f>IF(SUMIFS('Daily BSE Equity Cash'!$H:$H,'Daily BSE Equity Cash'!$A:$A,$A1546)=0,"",SUMIFS('Daily BSE Equity Cash'!$H:$H,'Daily BSE Equity Cash'!$A:$A,$A1546))</f>
        <v>118.021</v>
      </c>
      <c r="G1546" s="4">
        <f t="shared" si="216"/>
        <v>1345.7831999999999</v>
      </c>
      <c r="H1546" s="7">
        <f t="shared" si="217"/>
        <v>0.10020330820297696</v>
      </c>
      <c r="I1546" s="7">
        <f t="shared" si="218"/>
        <v>3.8546083002025666E-2</v>
      </c>
      <c r="J1546" s="7">
        <f t="shared" si="219"/>
        <v>9.4504814563780792E-2</v>
      </c>
      <c r="K1546" s="7">
        <f t="shared" si="222"/>
        <v>-6.8355505784030268E-2</v>
      </c>
      <c r="L1546" s="7">
        <f t="shared" si="223"/>
        <v>0.18214635573068683</v>
      </c>
      <c r="M1546" s="7">
        <f t="shared" si="224"/>
        <v>-5.0714607517647003E-2</v>
      </c>
      <c r="N1546" s="7">
        <f t="shared" si="220"/>
        <v>0.91230311093198369</v>
      </c>
      <c r="O1546" s="7">
        <f t="shared" si="221"/>
        <v>8.7696889068016315E-2</v>
      </c>
    </row>
    <row r="1547" spans="1:15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4">
        <f>IF(SUMIFS('Daily NSE Equity Cash'!$H:$H,'Daily NSE Equity Cash'!$A:$A,$A1547)=0,"",SUMIFS('Daily NSE Equity Cash'!$H:$H,'Daily NSE Equity Cash'!$A:$A,$A1547))</f>
        <v>1360.5169000000001</v>
      </c>
      <c r="F1547" s="4">
        <f>IF(SUMIFS('Daily BSE Equity Cash'!$H:$H,'Daily BSE Equity Cash'!$A:$A,$A1547)=0,"",SUMIFS('Daily BSE Equity Cash'!$H:$H,'Daily BSE Equity Cash'!$A:$A,$A1547))</f>
        <v>119.4276</v>
      </c>
      <c r="G1547" s="4">
        <f t="shared" si="216"/>
        <v>1479.9445000000001</v>
      </c>
      <c r="H1547" s="7">
        <f t="shared" si="217"/>
        <v>0.3383321706071476</v>
      </c>
      <c r="I1547" s="7">
        <f t="shared" si="218"/>
        <v>0.86566562625950172</v>
      </c>
      <c r="J1547" s="7">
        <f t="shared" si="219"/>
        <v>0.36957104351716086</v>
      </c>
      <c r="K1547" s="7">
        <f t="shared" si="222"/>
        <v>0.10812737189661004</v>
      </c>
      <c r="L1547" s="7">
        <f t="shared" si="223"/>
        <v>1.1918217944264065E-2</v>
      </c>
      <c r="M1547" s="7">
        <f t="shared" si="224"/>
        <v>9.9690128395123478E-2</v>
      </c>
      <c r="N1547" s="7">
        <f t="shared" si="220"/>
        <v>0.91930264952503293</v>
      </c>
      <c r="O1547" s="7">
        <f t="shared" si="221"/>
        <v>8.0697350474967136E-2</v>
      </c>
    </row>
    <row r="1548" spans="1:15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4">
        <f>IF(SUMIFS('Daily NSE Equity Cash'!$H:$H,'Daily NSE Equity Cash'!$A:$A,$A1548)=0,"",SUMIFS('Daily NSE Equity Cash'!$H:$H,'Daily NSE Equity Cash'!$A:$A,$A1548))</f>
        <v>1834.9186999999999</v>
      </c>
      <c r="F1548" s="4">
        <f>IF(SUMIFS('Daily BSE Equity Cash'!$H:$H,'Daily BSE Equity Cash'!$A:$A,$A1548)=0,"",SUMIFS('Daily BSE Equity Cash'!$H:$H,'Daily BSE Equity Cash'!$A:$A,$A1548))</f>
        <v>100.4971</v>
      </c>
      <c r="G1548" s="4">
        <f t="shared" si="216"/>
        <v>1935.4158</v>
      </c>
      <c r="H1548" s="7" t="str">
        <f t="shared" si="217"/>
        <v/>
      </c>
      <c r="I1548" s="7" t="str">
        <f t="shared" si="218"/>
        <v/>
      </c>
      <c r="J1548" s="7" t="str">
        <f t="shared" si="219"/>
        <v/>
      </c>
      <c r="K1548" s="7">
        <f t="shared" si="222"/>
        <v>0.34869232421883178</v>
      </c>
      <c r="L1548" s="7">
        <f t="shared" si="223"/>
        <v>-0.15851026060977524</v>
      </c>
      <c r="M1548" s="7">
        <f t="shared" si="224"/>
        <v>0.30776241946910843</v>
      </c>
      <c r="N1548" s="7">
        <f t="shared" si="220"/>
        <v>0.94807467211955176</v>
      </c>
      <c r="O1548" s="7">
        <f t="shared" si="221"/>
        <v>5.1925327880448222E-2</v>
      </c>
    </row>
    <row r="1549" spans="1:15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4">
        <f>IF(SUMIFS('Daily NSE Equity Cash'!$H:$H,'Daily NSE Equity Cash'!$A:$A,$A1549)=0,"",SUMIFS('Daily NSE Equity Cash'!$H:$H,'Daily NSE Equity Cash'!$A:$A,$A1549))</f>
        <v>1404.0722000000001</v>
      </c>
      <c r="F1549" s="4">
        <f>IF(SUMIFS('Daily BSE Equity Cash'!$H:$H,'Daily BSE Equity Cash'!$A:$A,$A1549)=0,"",SUMIFS('Daily BSE Equity Cash'!$H:$H,'Daily BSE Equity Cash'!$A:$A,$A1549))</f>
        <v>109.7332</v>
      </c>
      <c r="G1549" s="4">
        <f t="shared" si="216"/>
        <v>1513.8054</v>
      </c>
      <c r="H1549" s="7">
        <f t="shared" si="217"/>
        <v>0.29776260225362816</v>
      </c>
      <c r="I1549" s="7">
        <f t="shared" si="218"/>
        <v>0.93680546730489556</v>
      </c>
      <c r="J1549" s="7">
        <f t="shared" si="219"/>
        <v>0.32956212611138991</v>
      </c>
      <c r="K1549" s="7">
        <f t="shared" si="222"/>
        <v>-0.23480413600885963</v>
      </c>
      <c r="L1549" s="7">
        <f t="shared" si="223"/>
        <v>9.190414449770179E-2</v>
      </c>
      <c r="M1549" s="7">
        <f t="shared" si="224"/>
        <v>-0.21783970142229903</v>
      </c>
      <c r="N1549" s="7">
        <f t="shared" si="220"/>
        <v>0.92751168677294993</v>
      </c>
      <c r="O1549" s="7">
        <f t="shared" si="221"/>
        <v>7.2488313227050183E-2</v>
      </c>
    </row>
    <row r="1550" spans="1:15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4">
        <f>IF(SUMIFS('Daily NSE Equity Cash'!$H:$H,'Daily NSE Equity Cash'!$A:$A,$A1550)=0,"",SUMIFS('Daily NSE Equity Cash'!$H:$H,'Daily NSE Equity Cash'!$A:$A,$A1550))</f>
        <v>1192.4260999999999</v>
      </c>
      <c r="F1550" s="4">
        <f>IF(SUMIFS('Daily BSE Equity Cash'!$H:$H,'Daily BSE Equity Cash'!$A:$A,$A1550)=0,"",SUMIFS('Daily BSE Equity Cash'!$H:$H,'Daily BSE Equity Cash'!$A:$A,$A1550))</f>
        <v>99.4131</v>
      </c>
      <c r="G1550" s="4">
        <f t="shared" si="216"/>
        <v>1291.8391999999999</v>
      </c>
      <c r="H1550" s="7">
        <f t="shared" si="217"/>
        <v>0.18249655815154564</v>
      </c>
      <c r="I1550" s="7">
        <f t="shared" si="218"/>
        <v>0.1689703950810939</v>
      </c>
      <c r="J1550" s="7">
        <f t="shared" si="219"/>
        <v>0.18144454878382033</v>
      </c>
      <c r="K1550" s="7">
        <f t="shared" si="222"/>
        <v>-0.15073733387784483</v>
      </c>
      <c r="L1550" s="7">
        <f t="shared" si="223"/>
        <v>-9.4047198113241914E-2</v>
      </c>
      <c r="M1550" s="7">
        <f t="shared" si="224"/>
        <v>-0.14662796155965629</v>
      </c>
      <c r="N1550" s="7">
        <f t="shared" si="220"/>
        <v>0.9230452985170291</v>
      </c>
      <c r="O1550" s="7">
        <f t="shared" si="221"/>
        <v>7.6954701482970955E-2</v>
      </c>
    </row>
    <row r="1551" spans="1:15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4">
        <f>IF(SUMIFS('Daily NSE Equity Cash'!$H:$H,'Daily NSE Equity Cash'!$A:$A,$A1551)=0,"",SUMIFS('Daily NSE Equity Cash'!$H:$H,'Daily NSE Equity Cash'!$A:$A,$A1551))</f>
        <v>1223.7781</v>
      </c>
      <c r="F1551" s="4">
        <f>IF(SUMIFS('Daily BSE Equity Cash'!$H:$H,'Daily BSE Equity Cash'!$A:$A,$A1551)=0,"",SUMIFS('Daily BSE Equity Cash'!$H:$H,'Daily BSE Equity Cash'!$A:$A,$A1551))</f>
        <v>112.03189999999999</v>
      </c>
      <c r="G1551" s="4">
        <f t="shared" si="216"/>
        <v>1335.81</v>
      </c>
      <c r="H1551" s="7">
        <f t="shared" si="217"/>
        <v>0.16420392255650751</v>
      </c>
      <c r="I1551" s="7">
        <f t="shared" si="218"/>
        <v>0.60139367343729888</v>
      </c>
      <c r="J1551" s="7">
        <f t="shared" si="219"/>
        <v>0.19148473870929927</v>
      </c>
      <c r="K1551" s="7">
        <f t="shared" si="222"/>
        <v>2.62926146953677E-2</v>
      </c>
      <c r="L1551" s="7">
        <f t="shared" si="223"/>
        <v>0.12693296959857392</v>
      </c>
      <c r="M1551" s="7">
        <f t="shared" si="224"/>
        <v>3.4037363164084233E-2</v>
      </c>
      <c r="N1551" s="7">
        <f t="shared" si="220"/>
        <v>0.9161318600699202</v>
      </c>
      <c r="O1551" s="7">
        <f t="shared" si="221"/>
        <v>8.3868139930079869E-2</v>
      </c>
    </row>
    <row r="1552" spans="1:15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4">
        <f>IF(SUMIFS('Daily NSE Equity Cash'!$H:$H,'Daily NSE Equity Cash'!$A:$A,$A1552)=0,"",SUMIFS('Daily NSE Equity Cash'!$H:$H,'Daily NSE Equity Cash'!$A:$A,$A1552))</f>
        <v>1316.5367000000001</v>
      </c>
      <c r="F1552" s="4">
        <f>IF(SUMIFS('Daily BSE Equity Cash'!$H:$H,'Daily BSE Equity Cash'!$A:$A,$A1552)=0,"",SUMIFS('Daily BSE Equity Cash'!$H:$H,'Daily BSE Equity Cash'!$A:$A,$A1552))</f>
        <v>105.9177</v>
      </c>
      <c r="G1552" s="4">
        <f t="shared" si="216"/>
        <v>1422.4544000000001</v>
      </c>
      <c r="H1552" s="7">
        <f t="shared" si="217"/>
        <v>0.36091870874587895</v>
      </c>
      <c r="I1552" s="7">
        <f t="shared" si="218"/>
        <v>0.44395684394784629</v>
      </c>
      <c r="J1552" s="7">
        <f t="shared" si="219"/>
        <v>0.36677131650288253</v>
      </c>
      <c r="K1552" s="7">
        <f t="shared" si="222"/>
        <v>7.5796911221078567E-2</v>
      </c>
      <c r="L1552" s="7">
        <f t="shared" si="223"/>
        <v>-5.4575527148963743E-2</v>
      </c>
      <c r="M1552" s="7">
        <f t="shared" si="224"/>
        <v>6.4862817316834187E-2</v>
      </c>
      <c r="N1552" s="7">
        <f t="shared" si="220"/>
        <v>0.92553877298281062</v>
      </c>
      <c r="O1552" s="7">
        <f t="shared" si="221"/>
        <v>7.4461227017189435E-2</v>
      </c>
    </row>
    <row r="1553" spans="1:15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4">
        <f>IF(SUMIFS('Daily NSE Equity Cash'!$H:$H,'Daily NSE Equity Cash'!$A:$A,$A1553)=0,"",SUMIFS('Daily NSE Equity Cash'!$H:$H,'Daily NSE Equity Cash'!$A:$A,$A1553))</f>
        <v>1126.9635000000001</v>
      </c>
      <c r="F1553" s="4">
        <f>IF(SUMIFS('Daily BSE Equity Cash'!$H:$H,'Daily BSE Equity Cash'!$A:$A,$A1553)=0,"",SUMIFS('Daily BSE Equity Cash'!$H:$H,'Daily BSE Equity Cash'!$A:$A,$A1553))</f>
        <v>88.008399999999995</v>
      </c>
      <c r="G1553" s="4">
        <f t="shared" si="216"/>
        <v>1214.9719</v>
      </c>
      <c r="H1553" s="7" t="str">
        <f t="shared" si="217"/>
        <v/>
      </c>
      <c r="I1553" s="7" t="str">
        <f t="shared" si="218"/>
        <v/>
      </c>
      <c r="J1553" s="7" t="str">
        <f t="shared" si="219"/>
        <v/>
      </c>
      <c r="K1553" s="7">
        <f t="shared" si="222"/>
        <v>-0.14399385903940243</v>
      </c>
      <c r="L1553" s="7">
        <f t="shared" si="223"/>
        <v>-0.16908694203140739</v>
      </c>
      <c r="M1553" s="7">
        <f t="shared" si="224"/>
        <v>-0.14586232078863126</v>
      </c>
      <c r="N1553" s="7">
        <f t="shared" si="220"/>
        <v>0.92756342759861365</v>
      </c>
      <c r="O1553" s="7">
        <f t="shared" si="221"/>
        <v>7.2436572401386401E-2</v>
      </c>
    </row>
    <row r="1554" spans="1:15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4">
        <f>IF(SUMIFS('Daily NSE Equity Cash'!$H:$H,'Daily NSE Equity Cash'!$A:$A,$A1554)=0,"",SUMIFS('Daily NSE Equity Cash'!$H:$H,'Daily NSE Equity Cash'!$A:$A,$A1554))</f>
        <v>1278.9232999999999</v>
      </c>
      <c r="F1554" s="4">
        <f>IF(SUMIFS('Daily BSE Equity Cash'!$H:$H,'Daily BSE Equity Cash'!$A:$A,$A1554)=0,"",SUMIFS('Daily BSE Equity Cash'!$H:$H,'Daily BSE Equity Cash'!$A:$A,$A1554))</f>
        <v>95.672600000000003</v>
      </c>
      <c r="G1554" s="4">
        <f t="shared" si="216"/>
        <v>1374.5959</v>
      </c>
      <c r="H1554" s="7">
        <f t="shared" si="217"/>
        <v>0.66274893975521398</v>
      </c>
      <c r="I1554" s="7">
        <f t="shared" si="218"/>
        <v>0.89744138955493558</v>
      </c>
      <c r="J1554" s="7">
        <f t="shared" si="219"/>
        <v>0.67718753382051533</v>
      </c>
      <c r="K1554" s="7">
        <f t="shared" si="222"/>
        <v>0.13484003696659186</v>
      </c>
      <c r="L1554" s="7">
        <f t="shared" si="223"/>
        <v>8.7084869171579093E-2</v>
      </c>
      <c r="M1554" s="7">
        <f t="shared" si="224"/>
        <v>0.13138081629706821</v>
      </c>
      <c r="N1554" s="7">
        <f t="shared" si="220"/>
        <v>0.93039947231037123</v>
      </c>
      <c r="O1554" s="7">
        <f t="shared" si="221"/>
        <v>6.9600527689628641E-2</v>
      </c>
    </row>
    <row r="1555" spans="1:15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4">
        <f>IF(SUMIFS('Daily NSE Equity Cash'!$H:$H,'Daily NSE Equity Cash'!$A:$A,$A1555)=0,"",SUMIFS('Daily NSE Equity Cash'!$H:$H,'Daily NSE Equity Cash'!$A:$A,$A1555))</f>
        <v>1383.8965000000001</v>
      </c>
      <c r="F1555" s="4">
        <f>IF(SUMIFS('Daily BSE Equity Cash'!$H:$H,'Daily BSE Equity Cash'!$A:$A,$A1555)=0,"",SUMIFS('Daily BSE Equity Cash'!$H:$H,'Daily BSE Equity Cash'!$A:$A,$A1555))</f>
        <v>108.5476</v>
      </c>
      <c r="G1555" s="4">
        <f t="shared" si="216"/>
        <v>1492.4441000000002</v>
      </c>
      <c r="H1555" s="7">
        <f t="shared" si="217"/>
        <v>0.52002725270003491</v>
      </c>
      <c r="I1555" s="7">
        <f t="shared" si="218"/>
        <v>0.68498275396379449</v>
      </c>
      <c r="J1555" s="7">
        <f t="shared" si="219"/>
        <v>0.53092779750990537</v>
      </c>
      <c r="K1555" s="7">
        <f t="shared" si="222"/>
        <v>8.2079355345234584E-2</v>
      </c>
      <c r="L1555" s="7">
        <f t="shared" si="223"/>
        <v>0.13457353516053705</v>
      </c>
      <c r="M1555" s="7">
        <f t="shared" si="224"/>
        <v>8.5732977961013868E-2</v>
      </c>
      <c r="N1555" s="7">
        <f t="shared" si="220"/>
        <v>0.92726856570373384</v>
      </c>
      <c r="O1555" s="7">
        <f t="shared" si="221"/>
        <v>7.2731434296266093E-2</v>
      </c>
    </row>
    <row r="1556" spans="1:15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4">
        <f>IF(SUMIFS('Daily NSE Equity Cash'!$H:$H,'Daily NSE Equity Cash'!$A:$A,$A1556)=0,"",SUMIFS('Daily NSE Equity Cash'!$H:$H,'Daily NSE Equity Cash'!$A:$A,$A1556))</f>
        <v>1244.9875</v>
      </c>
      <c r="F1556" s="4">
        <f>IF(SUMIFS('Daily BSE Equity Cash'!$H:$H,'Daily BSE Equity Cash'!$A:$A,$A1556)=0,"",SUMIFS('Daily BSE Equity Cash'!$H:$H,'Daily BSE Equity Cash'!$A:$A,$A1556))</f>
        <v>116.38500000000001</v>
      </c>
      <c r="G1556" s="4">
        <f t="shared" si="216"/>
        <v>1361.3724999999999</v>
      </c>
      <c r="H1556" s="7">
        <f t="shared" si="217"/>
        <v>0.30630972820195712</v>
      </c>
      <c r="I1556" s="7">
        <f t="shared" si="218"/>
        <v>0.83152805951030229</v>
      </c>
      <c r="J1556" s="7">
        <f t="shared" si="219"/>
        <v>0.33913983267004522</v>
      </c>
      <c r="K1556" s="7">
        <f t="shared" si="222"/>
        <v>-0.10037528095489812</v>
      </c>
      <c r="L1556" s="7">
        <f t="shared" si="223"/>
        <v>7.2202425479697352E-2</v>
      </c>
      <c r="M1556" s="7">
        <f t="shared" si="224"/>
        <v>-8.7823456838350022E-2</v>
      </c>
      <c r="N1556" s="7">
        <f t="shared" si="220"/>
        <v>0.91450907080905486</v>
      </c>
      <c r="O1556" s="7">
        <f t="shared" si="221"/>
        <v>8.549092919094517E-2</v>
      </c>
    </row>
    <row r="1557" spans="1:15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4">
        <f>IF(SUMIFS('Daily NSE Equity Cash'!$H:$H,'Daily NSE Equity Cash'!$A:$A,$A1557)=0,"",SUMIFS('Daily NSE Equity Cash'!$H:$H,'Daily NSE Equity Cash'!$A:$A,$A1557))</f>
        <v>1221.5767000000001</v>
      </c>
      <c r="F1557" s="4">
        <f>IF(SUMIFS('Daily BSE Equity Cash'!$H:$H,'Daily BSE Equity Cash'!$A:$A,$A1557)=0,"",SUMIFS('Daily BSE Equity Cash'!$H:$H,'Daily BSE Equity Cash'!$A:$A,$A1557))</f>
        <v>97.408900000000003</v>
      </c>
      <c r="G1557" s="4">
        <f t="shared" si="216"/>
        <v>1318.9856</v>
      </c>
      <c r="H1557" s="7">
        <f t="shared" si="217"/>
        <v>0.40977894692258765</v>
      </c>
      <c r="I1557" s="7">
        <f t="shared" si="218"/>
        <v>0.50939177379166711</v>
      </c>
      <c r="J1557" s="7">
        <f t="shared" si="219"/>
        <v>0.41668364593262885</v>
      </c>
      <c r="K1557" s="7">
        <f t="shared" si="222"/>
        <v>-1.88040442173113E-2</v>
      </c>
      <c r="L1557" s="7">
        <f t="shared" si="223"/>
        <v>-0.16304592516217731</v>
      </c>
      <c r="M1557" s="7">
        <f t="shared" si="224"/>
        <v>-3.1135416647537717E-2</v>
      </c>
      <c r="N1557" s="7">
        <f t="shared" si="220"/>
        <v>0.92614862512524787</v>
      </c>
      <c r="O1557" s="7">
        <f t="shared" si="221"/>
        <v>7.385137487475224E-2</v>
      </c>
    </row>
    <row r="1558" spans="1:15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4">
        <f>IF(SUMIFS('Daily NSE Equity Cash'!$H:$H,'Daily NSE Equity Cash'!$A:$A,$A1558)=0,"",SUMIFS('Daily NSE Equity Cash'!$H:$H,'Daily NSE Equity Cash'!$A:$A,$A1558))</f>
        <v>1216.8425999999999</v>
      </c>
      <c r="F1558" s="4">
        <f>IF(SUMIFS('Daily BSE Equity Cash'!$H:$H,'Daily BSE Equity Cash'!$A:$A,$A1558)=0,"",SUMIFS('Daily BSE Equity Cash'!$H:$H,'Daily BSE Equity Cash'!$A:$A,$A1558))</f>
        <v>96.915000000000006</v>
      </c>
      <c r="G1558" s="4">
        <f t="shared" si="216"/>
        <v>1313.7575999999999</v>
      </c>
      <c r="H1558" s="7" t="str">
        <f t="shared" si="217"/>
        <v/>
      </c>
      <c r="I1558" s="7" t="str">
        <f t="shared" si="218"/>
        <v/>
      </c>
      <c r="J1558" s="7" t="str">
        <f t="shared" si="219"/>
        <v/>
      </c>
      <c r="K1558" s="7">
        <f t="shared" si="222"/>
        <v>-3.8754013562963818E-3</v>
      </c>
      <c r="L1558" s="7">
        <f t="shared" si="223"/>
        <v>-5.0703785793699829E-3</v>
      </c>
      <c r="M1558" s="7">
        <f t="shared" si="224"/>
        <v>-3.9636520671644249E-3</v>
      </c>
      <c r="N1558" s="7">
        <f t="shared" si="220"/>
        <v>0.92623068365123062</v>
      </c>
      <c r="O1558" s="7">
        <f t="shared" si="221"/>
        <v>7.3769316348769376E-2</v>
      </c>
    </row>
    <row r="1559" spans="1:15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4">
        <f>IF(SUMIFS('Daily NSE Equity Cash'!$H:$H,'Daily NSE Equity Cash'!$A:$A,$A1559)=0,"",SUMIFS('Daily NSE Equity Cash'!$H:$H,'Daily NSE Equity Cash'!$A:$A,$A1559))</f>
        <v>1207.2396000000001</v>
      </c>
      <c r="F1559" s="4">
        <f>IF(SUMIFS('Daily BSE Equity Cash'!$H:$H,'Daily BSE Equity Cash'!$A:$A,$A1559)=0,"",SUMIFS('Daily BSE Equity Cash'!$H:$H,'Daily BSE Equity Cash'!$A:$A,$A1559))</f>
        <v>116.63339999999999</v>
      </c>
      <c r="G1559" s="4">
        <f t="shared" si="216"/>
        <v>1323.873</v>
      </c>
      <c r="H1559" s="7">
        <f t="shared" si="217"/>
        <v>0.21211509052863331</v>
      </c>
      <c r="I1559" s="7">
        <f t="shared" si="218"/>
        <v>0.42903316710979311</v>
      </c>
      <c r="J1559" s="7">
        <f t="shared" si="219"/>
        <v>0.2285444611039753</v>
      </c>
      <c r="K1559" s="7">
        <f t="shared" si="222"/>
        <v>-7.8917355457475136E-3</v>
      </c>
      <c r="L1559" s="7">
        <f t="shared" si="223"/>
        <v>0.20346076458752504</v>
      </c>
      <c r="M1559" s="7">
        <f t="shared" si="224"/>
        <v>7.6995938976871514E-3</v>
      </c>
      <c r="N1559" s="7">
        <f t="shared" si="220"/>
        <v>0.91189985746366919</v>
      </c>
      <c r="O1559" s="7">
        <f t="shared" si="221"/>
        <v>8.8100142536330889E-2</v>
      </c>
    </row>
    <row r="1560" spans="1:15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4">
        <f>IF(SUMIFS('Daily NSE Equity Cash'!$H:$H,'Daily NSE Equity Cash'!$A:$A,$A1560)=0,"",SUMIFS('Daily NSE Equity Cash'!$H:$H,'Daily NSE Equity Cash'!$A:$A,$A1560))</f>
        <v>1209.4156</v>
      </c>
      <c r="F1560" s="4">
        <f>IF(SUMIFS('Daily BSE Equity Cash'!$H:$H,'Daily BSE Equity Cash'!$A:$A,$A1560)=0,"",SUMIFS('Daily BSE Equity Cash'!$H:$H,'Daily BSE Equity Cash'!$A:$A,$A1560))</f>
        <v>94.343199999999996</v>
      </c>
      <c r="G1560" s="4">
        <f t="shared" si="216"/>
        <v>1303.7588000000001</v>
      </c>
      <c r="H1560" s="7">
        <f t="shared" si="217"/>
        <v>0.25585680800290511</v>
      </c>
      <c r="I1560" s="7">
        <f t="shared" si="218"/>
        <v>0.34540362165692651</v>
      </c>
      <c r="J1560" s="7">
        <f t="shared" si="219"/>
        <v>0.26193462685558799</v>
      </c>
      <c r="K1560" s="7">
        <f t="shared" si="222"/>
        <v>1.8024590975975752E-3</v>
      </c>
      <c r="L1560" s="7">
        <f t="shared" si="223"/>
        <v>-0.19111335175001332</v>
      </c>
      <c r="M1560" s="7">
        <f t="shared" si="224"/>
        <v>-1.5193451335588803E-2</v>
      </c>
      <c r="N1560" s="7">
        <f t="shared" si="220"/>
        <v>0.92763753540915694</v>
      </c>
      <c r="O1560" s="7">
        <f t="shared" si="221"/>
        <v>7.2362464590843029E-2</v>
      </c>
    </row>
    <row r="1561" spans="1:15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4">
        <f>IF(SUMIFS('Daily NSE Equity Cash'!$H:$H,'Daily NSE Equity Cash'!$A:$A,$A1561)=0,"",SUMIFS('Daily NSE Equity Cash'!$H:$H,'Daily NSE Equity Cash'!$A:$A,$A1561))</f>
        <v>1224.3715999999999</v>
      </c>
      <c r="F1561" s="4">
        <f>IF(SUMIFS('Daily BSE Equity Cash'!$H:$H,'Daily BSE Equity Cash'!$A:$A,$A1561)=0,"",SUMIFS('Daily BSE Equity Cash'!$H:$H,'Daily BSE Equity Cash'!$A:$A,$A1561))</f>
        <v>105.3634</v>
      </c>
      <c r="G1561" s="4">
        <f t="shared" si="216"/>
        <v>1329.7349999999999</v>
      </c>
      <c r="H1561" s="7">
        <f t="shared" si="217"/>
        <v>0.29238135972143686</v>
      </c>
      <c r="I1561" s="7">
        <f t="shared" si="218"/>
        <v>0.58142041071176642</v>
      </c>
      <c r="J1561" s="7">
        <f t="shared" si="219"/>
        <v>0.31137289445723093</v>
      </c>
      <c r="K1561" s="7">
        <f t="shared" si="222"/>
        <v>1.2366303196353678E-2</v>
      </c>
      <c r="L1561" s="7">
        <f t="shared" si="223"/>
        <v>0.11680969057653345</v>
      </c>
      <c r="M1561" s="7">
        <f t="shared" si="224"/>
        <v>1.9924084117399543E-2</v>
      </c>
      <c r="N1561" s="7">
        <f t="shared" si="220"/>
        <v>0.92076361079463209</v>
      </c>
      <c r="O1561" s="7">
        <f t="shared" si="221"/>
        <v>7.9236389205367991E-2</v>
      </c>
    </row>
    <row r="1562" spans="1:15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4">
        <f>IF(SUMIFS('Daily NSE Equity Cash'!$H:$H,'Daily NSE Equity Cash'!$A:$A,$A1562)=0,"",SUMIFS('Daily NSE Equity Cash'!$H:$H,'Daily NSE Equity Cash'!$A:$A,$A1562))</f>
        <v>1144.03</v>
      </c>
      <c r="F1562" s="4">
        <f>IF(SUMIFS('Daily BSE Equity Cash'!$H:$H,'Daily BSE Equity Cash'!$A:$A,$A1562)=0,"",SUMIFS('Daily BSE Equity Cash'!$H:$H,'Daily BSE Equity Cash'!$A:$A,$A1562))</f>
        <v>93.912999999999997</v>
      </c>
      <c r="G1562" s="4">
        <f t="shared" si="216"/>
        <v>1237.943</v>
      </c>
      <c r="H1562" s="7">
        <f t="shared" si="217"/>
        <v>0.2008101897408785</v>
      </c>
      <c r="I1562" s="7">
        <f t="shared" si="218"/>
        <v>0.33389863489615079</v>
      </c>
      <c r="J1562" s="7">
        <f t="shared" si="219"/>
        <v>0.20996852764094132</v>
      </c>
      <c r="K1562" s="7">
        <f t="shared" si="222"/>
        <v>-6.5618640615316415E-2</v>
      </c>
      <c r="L1562" s="7">
        <f t="shared" si="223"/>
        <v>-0.10867530850371199</v>
      </c>
      <c r="M1562" s="7">
        <f t="shared" si="224"/>
        <v>-6.9030295510007611E-2</v>
      </c>
      <c r="N1562" s="7">
        <f t="shared" si="220"/>
        <v>0.92413786418276123</v>
      </c>
      <c r="O1562" s="7">
        <f t="shared" si="221"/>
        <v>7.586213581723876E-2</v>
      </c>
    </row>
    <row r="1563" spans="1:15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4">
        <f>IF(SUMIFS('Daily NSE Equity Cash'!$H:$H,'Daily NSE Equity Cash'!$A:$A,$A1563)=0,"",SUMIFS('Daily NSE Equity Cash'!$H:$H,'Daily NSE Equity Cash'!$A:$A,$A1563))</f>
        <v>1077.9545000000001</v>
      </c>
      <c r="F1563" s="4">
        <f>IF(SUMIFS('Daily BSE Equity Cash'!$H:$H,'Daily BSE Equity Cash'!$A:$A,$A1563)=0,"",SUMIFS('Daily BSE Equity Cash'!$H:$H,'Daily BSE Equity Cash'!$A:$A,$A1563))</f>
        <v>83.910899999999998</v>
      </c>
      <c r="G1563" s="4">
        <f t="shared" si="216"/>
        <v>1161.8654000000001</v>
      </c>
      <c r="H1563" s="7" t="str">
        <f t="shared" si="217"/>
        <v/>
      </c>
      <c r="I1563" s="7" t="str">
        <f t="shared" si="218"/>
        <v/>
      </c>
      <c r="J1563" s="7" t="str">
        <f t="shared" si="219"/>
        <v/>
      </c>
      <c r="K1563" s="7">
        <f t="shared" si="222"/>
        <v>-5.7756789594678337E-2</v>
      </c>
      <c r="L1563" s="7">
        <f t="shared" si="223"/>
        <v>-0.10650389189994991</v>
      </c>
      <c r="M1563" s="7">
        <f t="shared" si="224"/>
        <v>-6.1454848890457714E-2</v>
      </c>
      <c r="N1563" s="7">
        <f t="shared" si="220"/>
        <v>0.92777915582992654</v>
      </c>
      <c r="O1563" s="7">
        <f t="shared" si="221"/>
        <v>7.2220844170073392E-2</v>
      </c>
    </row>
    <row r="1564" spans="1:15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4">
        <f>IF(SUMIFS('Daily NSE Equity Cash'!$H:$H,'Daily NSE Equity Cash'!$A:$A,$A1564)=0,"",SUMIFS('Daily NSE Equity Cash'!$H:$H,'Daily NSE Equity Cash'!$A:$A,$A1564))</f>
        <v>1133.5033000000001</v>
      </c>
      <c r="F1564" s="4">
        <f>IF(SUMIFS('Daily BSE Equity Cash'!$H:$H,'Daily BSE Equity Cash'!$A:$A,$A1564)=0,"",SUMIFS('Daily BSE Equity Cash'!$H:$H,'Daily BSE Equity Cash'!$A:$A,$A1564))</f>
        <v>92.302599999999998</v>
      </c>
      <c r="G1564" s="4">
        <f t="shared" si="216"/>
        <v>1225.8059000000001</v>
      </c>
      <c r="H1564" s="7">
        <f t="shared" si="217"/>
        <v>0.23916152245772859</v>
      </c>
      <c r="I1564" s="7">
        <f t="shared" si="218"/>
        <v>0.399820136520324</v>
      </c>
      <c r="J1564" s="7">
        <f t="shared" si="219"/>
        <v>0.24996395332593035</v>
      </c>
      <c r="K1564" s="7">
        <f t="shared" si="222"/>
        <v>5.1531674110549153E-2</v>
      </c>
      <c r="L1564" s="7">
        <f t="shared" si="223"/>
        <v>0.10000726961574724</v>
      </c>
      <c r="M1564" s="7">
        <f t="shared" si="224"/>
        <v>5.5032622539581633E-2</v>
      </c>
      <c r="N1564" s="7">
        <f t="shared" si="220"/>
        <v>0.92470047664153032</v>
      </c>
      <c r="O1564" s="7">
        <f t="shared" si="221"/>
        <v>7.5299523358469719E-2</v>
      </c>
    </row>
    <row r="1565" spans="1:15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4">
        <f>IF(SUMIFS('Daily NSE Equity Cash'!$H:$H,'Daily NSE Equity Cash'!$A:$A,$A1565)=0,"",SUMIFS('Daily NSE Equity Cash'!$H:$H,'Daily NSE Equity Cash'!$A:$A,$A1565))</f>
        <v>1114.5997</v>
      </c>
      <c r="F1565" s="4">
        <f>IF(SUMIFS('Daily BSE Equity Cash'!$H:$H,'Daily BSE Equity Cash'!$A:$A,$A1565)=0,"",SUMIFS('Daily BSE Equity Cash'!$H:$H,'Daily BSE Equity Cash'!$A:$A,$A1565))</f>
        <v>89.992699999999999</v>
      </c>
      <c r="G1565" s="4">
        <f t="shared" si="216"/>
        <v>1204.5924</v>
      </c>
      <c r="H1565" s="7">
        <f t="shared" si="217"/>
        <v>0.1082405051573565</v>
      </c>
      <c r="I1565" s="7">
        <f t="shared" si="218"/>
        <v>0.18473802001053197</v>
      </c>
      <c r="J1565" s="7">
        <f t="shared" si="219"/>
        <v>0.11361238408387697</v>
      </c>
      <c r="K1565" s="7">
        <f t="shared" si="222"/>
        <v>-1.6677145977431307E-2</v>
      </c>
      <c r="L1565" s="7">
        <f t="shared" si="223"/>
        <v>-2.5025297228897125E-2</v>
      </c>
      <c r="M1565" s="7">
        <f t="shared" si="224"/>
        <v>-1.7305757787591025E-2</v>
      </c>
      <c r="N1565" s="7">
        <f t="shared" si="220"/>
        <v>0.92529199088421943</v>
      </c>
      <c r="O1565" s="7">
        <f t="shared" si="221"/>
        <v>7.4708009115780571E-2</v>
      </c>
    </row>
    <row r="1566" spans="1:15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4">
        <f>IF(SUMIFS('Daily NSE Equity Cash'!$H:$H,'Daily NSE Equity Cash'!$A:$A,$A1566)=0,"",SUMIFS('Daily NSE Equity Cash'!$H:$H,'Daily NSE Equity Cash'!$A:$A,$A1566))</f>
        <v>1117.4962</v>
      </c>
      <c r="F1566" s="4">
        <f>IF(SUMIFS('Daily BSE Equity Cash'!$H:$H,'Daily BSE Equity Cash'!$A:$A,$A1566)=0,"",SUMIFS('Daily BSE Equity Cash'!$H:$H,'Daily BSE Equity Cash'!$A:$A,$A1566))</f>
        <v>96.198400000000007</v>
      </c>
      <c r="G1566" s="4">
        <f t="shared" si="216"/>
        <v>1213.6946</v>
      </c>
      <c r="H1566" s="7">
        <f t="shared" si="217"/>
        <v>0.19102737144747572</v>
      </c>
      <c r="I1566" s="7">
        <f t="shared" si="218"/>
        <v>1.8861184390730479E-3</v>
      </c>
      <c r="J1566" s="7">
        <f t="shared" si="219"/>
        <v>0.17346845345606221</v>
      </c>
      <c r="K1566" s="7">
        <f t="shared" si="222"/>
        <v>2.5986908124953079E-3</v>
      </c>
      <c r="L1566" s="7">
        <f t="shared" si="223"/>
        <v>6.8957815467254546E-2</v>
      </c>
      <c r="M1566" s="7">
        <f t="shared" si="224"/>
        <v>7.5562489021183676E-3</v>
      </c>
      <c r="N1566" s="7">
        <f t="shared" si="220"/>
        <v>0.92073920407984022</v>
      </c>
      <c r="O1566" s="7">
        <f t="shared" si="221"/>
        <v>7.9260795920159818E-2</v>
      </c>
    </row>
    <row r="1567" spans="1:15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4">
        <f>IF(SUMIFS('Daily NSE Equity Cash'!$H:$H,'Daily NSE Equity Cash'!$A:$A,$A1567)=0,"",SUMIFS('Daily NSE Equity Cash'!$H:$H,'Daily NSE Equity Cash'!$A:$A,$A1567))</f>
        <v>1104.6821</v>
      </c>
      <c r="F1567" s="4">
        <f>IF(SUMIFS('Daily BSE Equity Cash'!$H:$H,'Daily BSE Equity Cash'!$A:$A,$A1567)=0,"",SUMIFS('Daily BSE Equity Cash'!$H:$H,'Daily BSE Equity Cash'!$A:$A,$A1567))</f>
        <v>89.331800000000001</v>
      </c>
      <c r="G1567" s="4">
        <f t="shared" si="216"/>
        <v>1194.0138999999999</v>
      </c>
      <c r="H1567" s="7">
        <f t="shared" si="217"/>
        <v>0.10401659879424674</v>
      </c>
      <c r="I1567" s="7">
        <f t="shared" si="218"/>
        <v>0.25868365730903853</v>
      </c>
      <c r="J1567" s="7">
        <f t="shared" si="219"/>
        <v>0.1142604830720233</v>
      </c>
      <c r="K1567" s="7">
        <f t="shared" si="222"/>
        <v>-1.1466795144359332E-2</v>
      </c>
      <c r="L1567" s="7">
        <f t="shared" si="223"/>
        <v>-7.1379565564500091E-2</v>
      </c>
      <c r="M1567" s="7">
        <f t="shared" si="224"/>
        <v>-1.6215529013641539E-2</v>
      </c>
      <c r="N1567" s="7">
        <f t="shared" si="220"/>
        <v>0.92518361804665761</v>
      </c>
      <c r="O1567" s="7">
        <f t="shared" si="221"/>
        <v>7.481638195334242E-2</v>
      </c>
    </row>
    <row r="1568" spans="1:15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4">
        <f>IF(SUMIFS('Daily NSE Equity Cash'!$H:$H,'Daily NSE Equity Cash'!$A:$A,$A1568)=0,"",SUMIFS('Daily NSE Equity Cash'!$H:$H,'Daily NSE Equity Cash'!$A:$A,$A1568))</f>
        <v>1064.0383999999999</v>
      </c>
      <c r="F1568" s="4">
        <f>IF(SUMIFS('Daily BSE Equity Cash'!$H:$H,'Daily BSE Equity Cash'!$A:$A,$A1568)=0,"",SUMIFS('Daily BSE Equity Cash'!$H:$H,'Daily BSE Equity Cash'!$A:$A,$A1568))</f>
        <v>79.916399999999996</v>
      </c>
      <c r="G1568" s="4">
        <f t="shared" si="216"/>
        <v>1143.9548</v>
      </c>
      <c r="H1568" s="7" t="str">
        <f t="shared" si="217"/>
        <v/>
      </c>
      <c r="I1568" s="7" t="str">
        <f t="shared" si="218"/>
        <v/>
      </c>
      <c r="J1568" s="7" t="str">
        <f t="shared" si="219"/>
        <v/>
      </c>
      <c r="K1568" s="7">
        <f t="shared" si="222"/>
        <v>-3.679221379616826E-2</v>
      </c>
      <c r="L1568" s="7">
        <f t="shared" si="223"/>
        <v>-0.10539807772819987</v>
      </c>
      <c r="M1568" s="7">
        <f t="shared" si="224"/>
        <v>-4.1925056316346021E-2</v>
      </c>
      <c r="N1568" s="7">
        <f t="shared" si="220"/>
        <v>0.93014024679996088</v>
      </c>
      <c r="O1568" s="7">
        <f t="shared" si="221"/>
        <v>6.9859753200039024E-2</v>
      </c>
    </row>
    <row r="1569" spans="1:15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4">
        <f>IF(SUMIFS('Daily NSE Equity Cash'!$H:$H,'Daily NSE Equity Cash'!$A:$A,$A1569)=0,"",SUMIFS('Daily NSE Equity Cash'!$H:$H,'Daily NSE Equity Cash'!$A:$A,$A1569))</f>
        <v>1246.6566</v>
      </c>
      <c r="F1569" s="4">
        <f>IF(SUMIFS('Daily BSE Equity Cash'!$H:$H,'Daily BSE Equity Cash'!$A:$A,$A1569)=0,"",SUMIFS('Daily BSE Equity Cash'!$H:$H,'Daily BSE Equity Cash'!$A:$A,$A1569))</f>
        <v>84.340100000000007</v>
      </c>
      <c r="G1569" s="4">
        <f t="shared" si="216"/>
        <v>1330.9967000000001</v>
      </c>
      <c r="H1569" s="7">
        <f t="shared" si="217"/>
        <v>0.35256735812710582</v>
      </c>
      <c r="I1569" s="7">
        <f t="shared" si="218"/>
        <v>0.11545486407311167</v>
      </c>
      <c r="J1569" s="7">
        <f t="shared" si="219"/>
        <v>0.33459075289755313</v>
      </c>
      <c r="K1569" s="7">
        <f t="shared" si="222"/>
        <v>0.17162745254306633</v>
      </c>
      <c r="L1569" s="7">
        <f t="shared" si="223"/>
        <v>5.5354095029305661E-2</v>
      </c>
      <c r="M1569" s="7">
        <f t="shared" si="224"/>
        <v>0.16350462448341507</v>
      </c>
      <c r="N1569" s="7">
        <f t="shared" si="220"/>
        <v>0.93663387745439175</v>
      </c>
      <c r="O1569" s="7">
        <f t="shared" si="221"/>
        <v>6.3366122545608111E-2</v>
      </c>
    </row>
    <row r="1570" spans="1:15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4">
        <f>IF(SUMIFS('Daily NSE Equity Cash'!$H:$H,'Daily NSE Equity Cash'!$A:$A,$A1570)=0,"",SUMIFS('Daily NSE Equity Cash'!$H:$H,'Daily NSE Equity Cash'!$A:$A,$A1570))</f>
        <v>1280.9999</v>
      </c>
      <c r="F1570" s="4">
        <f>IF(SUMIFS('Daily BSE Equity Cash'!$H:$H,'Daily BSE Equity Cash'!$A:$A,$A1570)=0,"",SUMIFS('Daily BSE Equity Cash'!$H:$H,'Daily BSE Equity Cash'!$A:$A,$A1570))</f>
        <v>107.6652</v>
      </c>
      <c r="G1570" s="4">
        <f t="shared" si="216"/>
        <v>1388.6650999999999</v>
      </c>
      <c r="H1570" s="7">
        <f t="shared" si="217"/>
        <v>0.35134411806592158</v>
      </c>
      <c r="I1570" s="7">
        <f t="shared" si="218"/>
        <v>0.53464763677673988</v>
      </c>
      <c r="J1570" s="7">
        <f t="shared" si="219"/>
        <v>0.36397537258816959</v>
      </c>
      <c r="K1570" s="7">
        <f t="shared" si="222"/>
        <v>2.7548324053311868E-2</v>
      </c>
      <c r="L1570" s="7">
        <f t="shared" si="223"/>
        <v>0.27656002304953375</v>
      </c>
      <c r="M1570" s="7">
        <f t="shared" si="224"/>
        <v>4.3327229887196506E-2</v>
      </c>
      <c r="N1570" s="7">
        <f t="shared" si="220"/>
        <v>0.92246856351470208</v>
      </c>
      <c r="O1570" s="7">
        <f t="shared" si="221"/>
        <v>7.7531436485298005E-2</v>
      </c>
    </row>
    <row r="1571" spans="1:15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4">
        <f>IF(SUMIFS('Daily NSE Equity Cash'!$H:$H,'Daily NSE Equity Cash'!$A:$A,$A1571)=0,"",SUMIFS('Daily NSE Equity Cash'!$H:$H,'Daily NSE Equity Cash'!$A:$A,$A1571))</f>
        <v>1251.9558</v>
      </c>
      <c r="F1571" s="4">
        <f>IF(SUMIFS('Daily BSE Equity Cash'!$H:$H,'Daily BSE Equity Cash'!$A:$A,$A1571)=0,"",SUMIFS('Daily BSE Equity Cash'!$H:$H,'Daily BSE Equity Cash'!$A:$A,$A1571))</f>
        <v>113.4828</v>
      </c>
      <c r="G1571" s="4">
        <f t="shared" si="216"/>
        <v>1365.4386</v>
      </c>
      <c r="H1571" s="7">
        <f t="shared" si="217"/>
        <v>0.39847094367392399</v>
      </c>
      <c r="I1571" s="7">
        <f t="shared" si="218"/>
        <v>0.85029120008347947</v>
      </c>
      <c r="J1571" s="7">
        <f t="shared" si="219"/>
        <v>0.42744047629626136</v>
      </c>
      <c r="K1571" s="7">
        <f t="shared" si="222"/>
        <v>-2.2672991621623173E-2</v>
      </c>
      <c r="L1571" s="7">
        <f t="shared" si="223"/>
        <v>5.4034172601731933E-2</v>
      </c>
      <c r="M1571" s="7">
        <f t="shared" si="224"/>
        <v>-1.6725774990672737E-2</v>
      </c>
      <c r="N1571" s="7">
        <f t="shared" si="220"/>
        <v>0.91688912265992772</v>
      </c>
      <c r="O1571" s="7">
        <f t="shared" si="221"/>
        <v>8.3110877340072262E-2</v>
      </c>
    </row>
    <row r="1572" spans="1:15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4">
        <f>IF(SUMIFS('Daily NSE Equity Cash'!$H:$H,'Daily NSE Equity Cash'!$A:$A,$A1572)=0,"",SUMIFS('Daily NSE Equity Cash'!$H:$H,'Daily NSE Equity Cash'!$A:$A,$A1572))</f>
        <v>1312.7478000000001</v>
      </c>
      <c r="F1572" s="4">
        <f>IF(SUMIFS('Daily BSE Equity Cash'!$H:$H,'Daily BSE Equity Cash'!$A:$A,$A1572)=0,"",SUMIFS('Daily BSE Equity Cash'!$H:$H,'Daily BSE Equity Cash'!$A:$A,$A1572))</f>
        <v>102.4871</v>
      </c>
      <c r="G1572" s="4">
        <f t="shared" si="216"/>
        <v>1415.2349000000002</v>
      </c>
      <c r="H1572" s="7">
        <f t="shared" si="217"/>
        <v>0.21559366443836026</v>
      </c>
      <c r="I1572" s="7">
        <f t="shared" si="218"/>
        <v>0.40350990112568796</v>
      </c>
      <c r="J1572" s="7">
        <f t="shared" si="219"/>
        <v>0.22749537445491796</v>
      </c>
      <c r="K1572" s="7">
        <f t="shared" si="222"/>
        <v>4.8557624797936239E-2</v>
      </c>
      <c r="L1572" s="7">
        <f t="shared" si="223"/>
        <v>-9.6893097456178356E-2</v>
      </c>
      <c r="M1572" s="7">
        <f t="shared" si="224"/>
        <v>3.646908766164958E-2</v>
      </c>
      <c r="N1572" s="7">
        <f t="shared" si="220"/>
        <v>0.92758297580140225</v>
      </c>
      <c r="O1572" s="7">
        <f t="shared" si="221"/>
        <v>7.241702419859769E-2</v>
      </c>
    </row>
    <row r="1573" spans="1:15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4">
        <f>IF(SUMIFS('Daily NSE Equity Cash'!$H:$H,'Daily NSE Equity Cash'!$A:$A,$A1573)=0,"",SUMIFS('Daily NSE Equity Cash'!$H:$H,'Daily NSE Equity Cash'!$A:$A,$A1573))</f>
        <v>1237.7539999999999</v>
      </c>
      <c r="F1573" s="4">
        <f>IF(SUMIFS('Daily BSE Equity Cash'!$H:$H,'Daily BSE Equity Cash'!$A:$A,$A1573)=0,"",SUMIFS('Daily BSE Equity Cash'!$H:$H,'Daily BSE Equity Cash'!$A:$A,$A1573))</f>
        <v>102.6422</v>
      </c>
      <c r="G1573" s="4">
        <f t="shared" si="216"/>
        <v>1340.3961999999999</v>
      </c>
      <c r="H1573" s="7" t="str">
        <f t="shared" si="217"/>
        <v/>
      </c>
      <c r="I1573" s="7" t="str">
        <f t="shared" si="218"/>
        <v/>
      </c>
      <c r="J1573" s="7" t="str">
        <f t="shared" si="219"/>
        <v/>
      </c>
      <c r="K1573" s="7">
        <f t="shared" si="222"/>
        <v>-5.7127347690089536E-2</v>
      </c>
      <c r="L1573" s="7">
        <f t="shared" si="223"/>
        <v>1.51336119375034E-3</v>
      </c>
      <c r="M1573" s="7">
        <f t="shared" si="224"/>
        <v>-5.2880762055825703E-2</v>
      </c>
      <c r="N1573" s="7">
        <f t="shared" si="220"/>
        <v>0.92342398463976549</v>
      </c>
      <c r="O1573" s="7">
        <f t="shared" si="221"/>
        <v>7.6576015360234534E-2</v>
      </c>
    </row>
    <row r="1574" spans="1:15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4">
        <f>IF(SUMIFS('Daily NSE Equity Cash'!$H:$H,'Daily NSE Equity Cash'!$A:$A,$A1574)=0,"",SUMIFS('Daily NSE Equity Cash'!$H:$H,'Daily NSE Equity Cash'!$A:$A,$A1574))</f>
        <v>1245.7229</v>
      </c>
      <c r="F1574" s="4">
        <f>IF(SUMIFS('Daily BSE Equity Cash'!$H:$H,'Daily BSE Equity Cash'!$A:$A,$A1574)=0,"",SUMIFS('Daily BSE Equity Cash'!$H:$H,'Daily BSE Equity Cash'!$A:$A,$A1574))</f>
        <v>95.080600000000004</v>
      </c>
      <c r="G1574" s="4">
        <f t="shared" si="216"/>
        <v>1340.8035</v>
      </c>
      <c r="H1574" s="7">
        <f t="shared" si="217"/>
        <v>0.49510669707153143</v>
      </c>
      <c r="I1574" s="7">
        <f t="shared" si="218"/>
        <v>0.48547190151077224</v>
      </c>
      <c r="J1574" s="7">
        <f t="shared" si="219"/>
        <v>0.49441934804342802</v>
      </c>
      <c r="K1574" s="7">
        <f t="shared" si="222"/>
        <v>6.43819369600096E-3</v>
      </c>
      <c r="L1574" s="7">
        <f t="shared" si="223"/>
        <v>-7.3669504355908133E-2</v>
      </c>
      <c r="M1574" s="7">
        <f t="shared" si="224"/>
        <v>3.0386537950510828E-4</v>
      </c>
      <c r="N1574" s="7">
        <f t="shared" si="220"/>
        <v>0.92908684978820533</v>
      </c>
      <c r="O1574" s="7">
        <f t="shared" si="221"/>
        <v>7.0913150211794646E-2</v>
      </c>
    </row>
    <row r="1575" spans="1:15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4">
        <f>IF(SUMIFS('Daily NSE Equity Cash'!$H:$H,'Daily NSE Equity Cash'!$A:$A,$A1575)=0,"",SUMIFS('Daily NSE Equity Cash'!$H:$H,'Daily NSE Equity Cash'!$A:$A,$A1575))</f>
        <v>1311.3415</v>
      </c>
      <c r="F1575" s="4">
        <f>IF(SUMIFS('Daily BSE Equity Cash'!$H:$H,'Daily BSE Equity Cash'!$A:$A,$A1575)=0,"",SUMIFS('Daily BSE Equity Cash'!$H:$H,'Daily BSE Equity Cash'!$A:$A,$A1575))</f>
        <v>111.92019999999999</v>
      </c>
      <c r="G1575" s="4">
        <f t="shared" si="216"/>
        <v>1423.2617</v>
      </c>
      <c r="H1575" s="7">
        <f t="shared" si="217"/>
        <v>0.47914436355322265</v>
      </c>
      <c r="I1575" s="7">
        <f t="shared" si="218"/>
        <v>6.9615686394439935E-2</v>
      </c>
      <c r="J1575" s="7">
        <f t="shared" si="219"/>
        <v>0.43591208547301741</v>
      </c>
      <c r="K1575" s="7">
        <f t="shared" si="222"/>
        <v>5.2675117395690529E-2</v>
      </c>
      <c r="L1575" s="7">
        <f t="shared" si="223"/>
        <v>0.17710868463177554</v>
      </c>
      <c r="M1575" s="7">
        <f t="shared" si="224"/>
        <v>6.1499093640492442E-2</v>
      </c>
      <c r="N1575" s="7">
        <f t="shared" si="220"/>
        <v>0.92136358338034385</v>
      </c>
      <c r="O1575" s="7">
        <f t="shared" si="221"/>
        <v>7.8636416619656105E-2</v>
      </c>
    </row>
    <row r="1576" spans="1:15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4">
        <f>IF(SUMIFS('Daily NSE Equity Cash'!$H:$H,'Daily NSE Equity Cash'!$A:$A,$A1576)=0,"",SUMIFS('Daily NSE Equity Cash'!$H:$H,'Daily NSE Equity Cash'!$A:$A,$A1576))</f>
        <v>1356.1170999999999</v>
      </c>
      <c r="F1576" s="4">
        <f>IF(SUMIFS('Daily BSE Equity Cash'!$H:$H,'Daily BSE Equity Cash'!$A:$A,$A1576)=0,"",SUMIFS('Daily BSE Equity Cash'!$H:$H,'Daily BSE Equity Cash'!$A:$A,$A1576))</f>
        <v>122.26479999999999</v>
      </c>
      <c r="G1576" s="4">
        <f t="shared" si="216"/>
        <v>1478.3818999999999</v>
      </c>
      <c r="H1576" s="7">
        <f t="shared" si="217"/>
        <v>0.5216246720682669</v>
      </c>
      <c r="I1576" s="7">
        <f t="shared" si="218"/>
        <v>0.1784241003616287</v>
      </c>
      <c r="J1576" s="7">
        <f t="shared" si="219"/>
        <v>0.48583708758696753</v>
      </c>
      <c r="K1576" s="7">
        <f t="shared" si="222"/>
        <v>3.4144881405796967E-2</v>
      </c>
      <c r="L1576" s="7">
        <f t="shared" si="223"/>
        <v>9.2428355203082235E-2</v>
      </c>
      <c r="M1576" s="7">
        <f t="shared" si="224"/>
        <v>3.8728084933361107E-2</v>
      </c>
      <c r="N1576" s="7">
        <f t="shared" si="220"/>
        <v>0.91729822990933541</v>
      </c>
      <c r="O1576" s="7">
        <f t="shared" si="221"/>
        <v>8.2701770090664664E-2</v>
      </c>
    </row>
    <row r="1577" spans="1:15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4">
        <f>IF(SUMIFS('Daily NSE Equity Cash'!$H:$H,'Daily NSE Equity Cash'!$A:$A,$A1577)=0,"",SUMIFS('Daily NSE Equity Cash'!$H:$H,'Daily NSE Equity Cash'!$A:$A,$A1577))</f>
        <v>1185.4079999999999</v>
      </c>
      <c r="F1577" s="4">
        <f>IF(SUMIFS('Daily BSE Equity Cash'!$H:$H,'Daily BSE Equity Cash'!$A:$A,$A1577)=0,"",SUMIFS('Daily BSE Equity Cash'!$H:$H,'Daily BSE Equity Cash'!$A:$A,$A1577))</f>
        <v>108.343</v>
      </c>
      <c r="G1577" s="4">
        <f t="shared" si="216"/>
        <v>1293.751</v>
      </c>
      <c r="H1577" s="7">
        <f t="shared" si="217"/>
        <v>0.20908811157398755</v>
      </c>
      <c r="I1577" s="7">
        <f t="shared" si="218"/>
        <v>-9.0954856930459238E-2</v>
      </c>
      <c r="J1577" s="7">
        <f t="shared" si="219"/>
        <v>0.1765670405790043</v>
      </c>
      <c r="K1577" s="7">
        <f t="shared" si="222"/>
        <v>-0.12588079598730817</v>
      </c>
      <c r="L1577" s="7">
        <f t="shared" si="223"/>
        <v>-0.11386596960040818</v>
      </c>
      <c r="M1577" s="7">
        <f t="shared" si="224"/>
        <v>-0.12488714857777949</v>
      </c>
      <c r="N1577" s="7">
        <f t="shared" si="220"/>
        <v>0.91625668308662167</v>
      </c>
      <c r="O1577" s="7">
        <f t="shared" si="221"/>
        <v>8.3743316913378232E-2</v>
      </c>
    </row>
    <row r="1578" spans="1:15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4">
        <f>IF(SUMIFS('Daily NSE Equity Cash'!$H:$H,'Daily NSE Equity Cash'!$A:$A,$A1578)=0,"",SUMIFS('Daily NSE Equity Cash'!$H:$H,'Daily NSE Equity Cash'!$A:$A,$A1578))</f>
        <v>1213.4567999999999</v>
      </c>
      <c r="F1578" s="4">
        <f>IF(SUMIFS('Daily BSE Equity Cash'!$H:$H,'Daily BSE Equity Cash'!$A:$A,$A1578)=0,"",SUMIFS('Daily BSE Equity Cash'!$H:$H,'Daily BSE Equity Cash'!$A:$A,$A1578))</f>
        <v>102.2217</v>
      </c>
      <c r="G1578" s="4">
        <f t="shared" si="216"/>
        <v>1315.6785</v>
      </c>
      <c r="H1578" s="7" t="str">
        <f t="shared" si="217"/>
        <v/>
      </c>
      <c r="I1578" s="7" t="str">
        <f t="shared" si="218"/>
        <v/>
      </c>
      <c r="J1578" s="7" t="str">
        <f t="shared" si="219"/>
        <v/>
      </c>
      <c r="K1578" s="7">
        <f t="shared" si="222"/>
        <v>2.3661726595400001E-2</v>
      </c>
      <c r="L1578" s="7">
        <f t="shared" si="223"/>
        <v>-5.6499266219321997E-2</v>
      </c>
      <c r="M1578" s="7">
        <f t="shared" si="224"/>
        <v>1.6948779170025796E-2</v>
      </c>
      <c r="N1578" s="7">
        <f t="shared" si="220"/>
        <v>0.92230495519992151</v>
      </c>
      <c r="O1578" s="7">
        <f t="shared" si="221"/>
        <v>7.7695044800078439E-2</v>
      </c>
    </row>
    <row r="1579" spans="1:15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4">
        <f>IF(SUMIFS('Daily NSE Equity Cash'!$H:$H,'Daily NSE Equity Cash'!$A:$A,$A1579)=0,"",SUMIFS('Daily NSE Equity Cash'!$H:$H,'Daily NSE Equity Cash'!$A:$A,$A1579))</f>
        <v>1210.3577</v>
      </c>
      <c r="F1579" s="4">
        <f>IF(SUMIFS('Daily BSE Equity Cash'!$H:$H,'Daily BSE Equity Cash'!$A:$A,$A1579)=0,"",SUMIFS('Daily BSE Equity Cash'!$H:$H,'Daily BSE Equity Cash'!$A:$A,$A1579))</f>
        <v>101.10129999999999</v>
      </c>
      <c r="G1579" s="4">
        <f t="shared" si="216"/>
        <v>1311.4590000000001</v>
      </c>
      <c r="H1579" s="7">
        <f t="shared" si="217"/>
        <v>0.4907023061739082</v>
      </c>
      <c r="I1579" s="7">
        <f t="shared" si="218"/>
        <v>-0.13430291302039632</v>
      </c>
      <c r="J1579" s="7">
        <f t="shared" si="219"/>
        <v>0.41210859330744065</v>
      </c>
      <c r="K1579" s="7">
        <f t="shared" si="222"/>
        <v>-2.553943411912063E-3</v>
      </c>
      <c r="L1579" s="7">
        <f t="shared" si="223"/>
        <v>-1.0960490776420362E-2</v>
      </c>
      <c r="M1579" s="7">
        <f t="shared" si="224"/>
        <v>-3.2070904860115323E-3</v>
      </c>
      <c r="N1579" s="7">
        <f t="shared" si="220"/>
        <v>0.92290929415254308</v>
      </c>
      <c r="O1579" s="7">
        <f t="shared" si="221"/>
        <v>7.7090705847456906E-2</v>
      </c>
    </row>
    <row r="1580" spans="1:15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4">
        <f>IF(SUMIFS('Daily NSE Equity Cash'!$H:$H,'Daily NSE Equity Cash'!$A:$A,$A1580)=0,"",SUMIFS('Daily NSE Equity Cash'!$H:$H,'Daily NSE Equity Cash'!$A:$A,$A1580))</f>
        <v>1308.114</v>
      </c>
      <c r="F1580" s="4">
        <f>IF(SUMIFS('Daily BSE Equity Cash'!$H:$H,'Daily BSE Equity Cash'!$A:$A,$A1580)=0,"",SUMIFS('Daily BSE Equity Cash'!$H:$H,'Daily BSE Equity Cash'!$A:$A,$A1580))</f>
        <v>113.691</v>
      </c>
      <c r="G1580" s="4">
        <f t="shared" si="216"/>
        <v>1421.8050000000001</v>
      </c>
      <c r="H1580" s="7">
        <f t="shared" si="217"/>
        <v>0.65356821057038594</v>
      </c>
      <c r="I1580" s="7">
        <f t="shared" si="218"/>
        <v>0.41493477965966696</v>
      </c>
      <c r="J1580" s="7">
        <f t="shared" si="219"/>
        <v>0.63156503808712139</v>
      </c>
      <c r="K1580" s="7">
        <f t="shared" si="222"/>
        <v>8.0766454412608768E-2</v>
      </c>
      <c r="L1580" s="7">
        <f t="shared" si="223"/>
        <v>0.12452559957191456</v>
      </c>
      <c r="M1580" s="7">
        <f t="shared" si="224"/>
        <v>8.4139877800220919E-2</v>
      </c>
      <c r="N1580" s="7">
        <f t="shared" si="220"/>
        <v>0.92003755789295993</v>
      </c>
      <c r="O1580" s="7">
        <f t="shared" si="221"/>
        <v>7.9962442107039997E-2</v>
      </c>
    </row>
    <row r="1581" spans="1:15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4">
        <f>IF(SUMIFS('Daily NSE Equity Cash'!$H:$H,'Daily NSE Equity Cash'!$A:$A,$A1581)=0,"",SUMIFS('Daily NSE Equity Cash'!$H:$H,'Daily NSE Equity Cash'!$A:$A,$A1581))</f>
        <v>1116.3570999999999</v>
      </c>
      <c r="F1581" s="4">
        <f>IF(SUMIFS('Daily BSE Equity Cash'!$H:$H,'Daily BSE Equity Cash'!$A:$A,$A1581)=0,"",SUMIFS('Daily BSE Equity Cash'!$H:$H,'Daily BSE Equity Cash'!$A:$A,$A1581))</f>
        <v>134.18690000000001</v>
      </c>
      <c r="G1581" s="4">
        <f t="shared" si="216"/>
        <v>1250.5439999999999</v>
      </c>
      <c r="H1581" s="7">
        <f t="shared" si="217"/>
        <v>0.27650104980352053</v>
      </c>
      <c r="I1581" s="7">
        <f t="shared" si="218"/>
        <v>0.59845451762343083</v>
      </c>
      <c r="J1581" s="7">
        <f t="shared" si="219"/>
        <v>0.3046987848105227</v>
      </c>
      <c r="K1581" s="7">
        <f t="shared" si="222"/>
        <v>-0.14659035833268363</v>
      </c>
      <c r="L1581" s="7">
        <f t="shared" si="223"/>
        <v>0.18027724270170897</v>
      </c>
      <c r="M1581" s="7">
        <f t="shared" si="224"/>
        <v>-0.12045322670830405</v>
      </c>
      <c r="N1581" s="7">
        <f t="shared" si="220"/>
        <v>0.89269717818805261</v>
      </c>
      <c r="O1581" s="7">
        <f t="shared" si="221"/>
        <v>0.10730282181194746</v>
      </c>
    </row>
    <row r="1582" spans="1:15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4">
        <f>IF(SUMIFS('Daily NSE Equity Cash'!$H:$H,'Daily NSE Equity Cash'!$A:$A,$A1582)=0,"",SUMIFS('Daily NSE Equity Cash'!$H:$H,'Daily NSE Equity Cash'!$A:$A,$A1582))</f>
        <v>1055.8466000000001</v>
      </c>
      <c r="F1582" s="4">
        <f>IF(SUMIFS('Daily BSE Equity Cash'!$H:$H,'Daily BSE Equity Cash'!$A:$A,$A1582)=0,"",SUMIFS('Daily BSE Equity Cash'!$H:$H,'Daily BSE Equity Cash'!$A:$A,$A1582))</f>
        <v>92.381500000000003</v>
      </c>
      <c r="G1582" s="4">
        <f t="shared" si="216"/>
        <v>1148.2281</v>
      </c>
      <c r="H1582" s="7">
        <f t="shared" si="217"/>
        <v>0.26676773486538541</v>
      </c>
      <c r="I1582" s="7">
        <f t="shared" si="218"/>
        <v>0.18244536174842407</v>
      </c>
      <c r="J1582" s="7">
        <f t="shared" si="219"/>
        <v>0.25954118589010533</v>
      </c>
      <c r="K1582" s="7">
        <f t="shared" si="222"/>
        <v>-5.4203533976717511E-2</v>
      </c>
      <c r="L1582" s="7">
        <f t="shared" si="223"/>
        <v>-0.31154606001032892</v>
      </c>
      <c r="M1582" s="7">
        <f t="shared" si="224"/>
        <v>-8.1817113192338531E-2</v>
      </c>
      <c r="N1582" s="7">
        <f t="shared" si="220"/>
        <v>0.91954429612025701</v>
      </c>
      <c r="O1582" s="7">
        <f t="shared" si="221"/>
        <v>8.045570387974306E-2</v>
      </c>
    </row>
    <row r="1583" spans="1:15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4">
        <f>IF(SUMIFS('Daily NSE Equity Cash'!$H:$H,'Daily NSE Equity Cash'!$A:$A,$A1583)=0,"",SUMIFS('Daily NSE Equity Cash'!$H:$H,'Daily NSE Equity Cash'!$A:$A,$A1583))</f>
        <v>1082.8021000000001</v>
      </c>
      <c r="F1583" s="4">
        <f>IF(SUMIFS('Daily BSE Equity Cash'!$H:$H,'Daily BSE Equity Cash'!$A:$A,$A1583)=0,"",SUMIFS('Daily BSE Equity Cash'!$H:$H,'Daily BSE Equity Cash'!$A:$A,$A1583))</f>
        <v>91.276300000000006</v>
      </c>
      <c r="G1583" s="4">
        <f t="shared" si="216"/>
        <v>1174.0784000000001</v>
      </c>
      <c r="H1583" s="7" t="str">
        <f t="shared" si="217"/>
        <v/>
      </c>
      <c r="I1583" s="7" t="str">
        <f t="shared" si="218"/>
        <v/>
      </c>
      <c r="J1583" s="7" t="str">
        <f t="shared" si="219"/>
        <v/>
      </c>
      <c r="K1583" s="7">
        <f t="shared" si="222"/>
        <v>2.5529750249704941E-2</v>
      </c>
      <c r="L1583" s="7">
        <f t="shared" si="223"/>
        <v>-1.1963434237374337E-2</v>
      </c>
      <c r="M1583" s="7">
        <f t="shared" si="224"/>
        <v>2.251320970110382E-2</v>
      </c>
      <c r="N1583" s="7">
        <f t="shared" si="220"/>
        <v>0.9222570656269633</v>
      </c>
      <c r="O1583" s="7">
        <f t="shared" si="221"/>
        <v>7.7742934373036754E-2</v>
      </c>
    </row>
    <row r="1584" spans="1:15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4">
        <f>IF(SUMIFS('Daily NSE Equity Cash'!$H:$H,'Daily NSE Equity Cash'!$A:$A,$A1584)=0,"",SUMIFS('Daily NSE Equity Cash'!$H:$H,'Daily NSE Equity Cash'!$A:$A,$A1584))</f>
        <v>1094.6684</v>
      </c>
      <c r="F1584" s="4">
        <f>IF(SUMIFS('Daily BSE Equity Cash'!$H:$H,'Daily BSE Equity Cash'!$A:$A,$A1584)=0,"",SUMIFS('Daily BSE Equity Cash'!$H:$H,'Daily BSE Equity Cash'!$A:$A,$A1584))</f>
        <v>109.4199</v>
      </c>
      <c r="G1584" s="4">
        <f t="shared" si="216"/>
        <v>1204.0883000000001</v>
      </c>
      <c r="H1584" s="7">
        <f t="shared" si="217"/>
        <v>2.3116157645376001E-2</v>
      </c>
      <c r="I1584" s="7">
        <f t="shared" si="218"/>
        <v>0.22895516252615544</v>
      </c>
      <c r="J1584" s="7">
        <f t="shared" si="219"/>
        <v>3.8929204841710918E-2</v>
      </c>
      <c r="K1584" s="7">
        <f t="shared" si="222"/>
        <v>1.0958881590643399E-2</v>
      </c>
      <c r="L1584" s="7">
        <f t="shared" si="223"/>
        <v>0.19877668135101878</v>
      </c>
      <c r="M1584" s="7">
        <f t="shared" si="224"/>
        <v>2.5560388471502327E-2</v>
      </c>
      <c r="N1584" s="7">
        <f t="shared" si="220"/>
        <v>0.90912634895630151</v>
      </c>
      <c r="O1584" s="7">
        <f t="shared" si="221"/>
        <v>9.0873651043698364E-2</v>
      </c>
    </row>
    <row r="1585" spans="1:15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4">
        <f>IF(SUMIFS('Daily NSE Equity Cash'!$H:$H,'Daily NSE Equity Cash'!$A:$A,$A1585)=0,"",SUMIFS('Daily NSE Equity Cash'!$H:$H,'Daily NSE Equity Cash'!$A:$A,$A1585))</f>
        <v>1103.1523</v>
      </c>
      <c r="F1585" s="4">
        <f>IF(SUMIFS('Daily BSE Equity Cash'!$H:$H,'Daily BSE Equity Cash'!$A:$A,$A1585)=0,"",SUMIFS('Daily BSE Equity Cash'!$H:$H,'Daily BSE Equity Cash'!$A:$A,$A1585))</f>
        <v>93.281300000000002</v>
      </c>
      <c r="G1585" s="4">
        <f t="shared" si="216"/>
        <v>1196.4336000000001</v>
      </c>
      <c r="H1585" s="7">
        <f t="shared" si="217"/>
        <v>0.25880347564368966</v>
      </c>
      <c r="I1585" s="7">
        <f t="shared" si="218"/>
        <v>0.29414286427782632</v>
      </c>
      <c r="J1585" s="7">
        <f t="shared" si="219"/>
        <v>0.26148923035396932</v>
      </c>
      <c r="K1585" s="7">
        <f t="shared" si="222"/>
        <v>7.7502008827512459E-3</v>
      </c>
      <c r="L1585" s="7">
        <f t="shared" si="223"/>
        <v>-0.14749236656220666</v>
      </c>
      <c r="M1585" s="7">
        <f t="shared" si="224"/>
        <v>-6.3572580183696159E-3</v>
      </c>
      <c r="N1585" s="7">
        <f t="shared" si="220"/>
        <v>0.92203386798899656</v>
      </c>
      <c r="O1585" s="7">
        <f t="shared" si="221"/>
        <v>7.7966132011003372E-2</v>
      </c>
    </row>
    <row r="1586" spans="1:15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4">
        <f>IF(SUMIFS('Daily NSE Equity Cash'!$H:$H,'Daily NSE Equity Cash'!$A:$A,$A1586)=0,"",SUMIFS('Daily NSE Equity Cash'!$H:$H,'Daily NSE Equity Cash'!$A:$A,$A1586))</f>
        <v>1100.6215</v>
      </c>
      <c r="F1586" s="4">
        <f>IF(SUMIFS('Daily BSE Equity Cash'!$H:$H,'Daily BSE Equity Cash'!$A:$A,$A1586)=0,"",SUMIFS('Daily BSE Equity Cash'!$H:$H,'Daily BSE Equity Cash'!$A:$A,$A1586))</f>
        <v>93.667000000000002</v>
      </c>
      <c r="G1586" s="4">
        <f t="shared" si="216"/>
        <v>1194.2884999999999</v>
      </c>
      <c r="H1586" s="7">
        <f t="shared" si="217"/>
        <v>0.1444438575260738</v>
      </c>
      <c r="I1586" s="7">
        <f t="shared" si="218"/>
        <v>0.3571328183974396</v>
      </c>
      <c r="J1586" s="7">
        <f t="shared" si="219"/>
        <v>0.15868568095001678</v>
      </c>
      <c r="K1586" s="7">
        <f t="shared" si="222"/>
        <v>-2.294152856319065E-3</v>
      </c>
      <c r="L1586" s="7">
        <f t="shared" si="223"/>
        <v>4.1348051538732111E-3</v>
      </c>
      <c r="M1586" s="7">
        <f t="shared" si="224"/>
        <v>-1.7929118674033795E-3</v>
      </c>
      <c r="N1586" s="7">
        <f t="shared" si="220"/>
        <v>0.9215708767186489</v>
      </c>
      <c r="O1586" s="7">
        <f t="shared" si="221"/>
        <v>7.842912328135121E-2</v>
      </c>
    </row>
    <row r="1587" spans="1:15" x14ac:dyDescent="0.2">
      <c r="A1587" s="6">
        <v>46255</v>
      </c>
      <c r="B1587" s="2" t="s">
        <v>225</v>
      </c>
      <c r="C1587" s="5">
        <v>46235</v>
      </c>
      <c r="D1587" s="2" t="s">
        <v>201</v>
      </c>
      <c r="E1587" s="4">
        <f>IF(SUMIFS('Daily NSE Equity Cash'!$H:$H,'Daily NSE Equity Cash'!$A:$A,$A1587)=0,"",SUMIFS('Daily NSE Equity Cash'!$H:$H,'Daily NSE Equity Cash'!$A:$A,$A1587))</f>
        <v>1112.3320000000001</v>
      </c>
      <c r="F1587" s="4">
        <f>IF(SUMIFS('Daily BSE Equity Cash'!$H:$H,'Daily BSE Equity Cash'!$A:$A,$A1587)=0,"",SUMIFS('Daily BSE Equity Cash'!$H:$H,'Daily BSE Equity Cash'!$A:$A,$A1587))</f>
        <v>100.2103</v>
      </c>
      <c r="G1587" s="4">
        <f t="shared" si="216"/>
        <v>1212.5423000000001</v>
      </c>
      <c r="H1587" s="7">
        <f t="shared" si="217"/>
        <v>0.14672290804604571</v>
      </c>
      <c r="I1587" s="7">
        <f t="shared" si="218"/>
        <v>-0.3989053043253975</v>
      </c>
      <c r="J1587" s="7">
        <f t="shared" si="219"/>
        <v>6.6700453866308962E-2</v>
      </c>
      <c r="K1587" s="7">
        <f t="shared" si="222"/>
        <v>1.0639897548794242E-2</v>
      </c>
      <c r="L1587" s="7">
        <f t="shared" si="223"/>
        <v>6.9857046772075604E-2</v>
      </c>
      <c r="M1587" s="7">
        <f t="shared" si="224"/>
        <v>1.5284246645597133E-2</v>
      </c>
      <c r="N1587" s="7">
        <f t="shared" si="220"/>
        <v>0.91735521309235979</v>
      </c>
      <c r="O1587" s="7">
        <f t="shared" si="221"/>
        <v>8.2644786907640252E-2</v>
      </c>
    </row>
    <row r="1588" spans="1:15" x14ac:dyDescent="0.2">
      <c r="A1588" s="6">
        <v>46258</v>
      </c>
      <c r="B1588" s="2" t="s">
        <v>228</v>
      </c>
      <c r="C1588" s="5">
        <v>46235</v>
      </c>
      <c r="D1588" s="2" t="s">
        <v>201</v>
      </c>
      <c r="E1588" s="4">
        <f>IF(SUMIFS('Daily NSE Equity Cash'!$H:$H,'Daily NSE Equity Cash'!$A:$A,$A1588)=0,"",SUMIFS('Daily NSE Equity Cash'!$H:$H,'Daily NSE Equity Cash'!$A:$A,$A1588))</f>
        <v>1102.0239999999999</v>
      </c>
      <c r="F1588" s="4">
        <f>IF(SUMIFS('Daily BSE Equity Cash'!$H:$H,'Daily BSE Equity Cash'!$A:$A,$A1588)=0,"",SUMIFS('Daily BSE Equity Cash'!$H:$H,'Daily BSE Equity Cash'!$A:$A,$A1588))</f>
        <v>115.05249999999999</v>
      </c>
      <c r="G1588" s="4">
        <f t="shared" si="216"/>
        <v>1217.0764999999999</v>
      </c>
      <c r="H1588" s="7" t="str">
        <f t="shared" si="217"/>
        <v/>
      </c>
      <c r="I1588" s="7" t="str">
        <f t="shared" si="218"/>
        <v/>
      </c>
      <c r="J1588" s="7" t="str">
        <f t="shared" si="219"/>
        <v/>
      </c>
      <c r="K1588" s="7">
        <f t="shared" si="222"/>
        <v>-9.2670174012796647E-3</v>
      </c>
      <c r="L1588" s="7">
        <f t="shared" si="223"/>
        <v>0.14811052356893439</v>
      </c>
      <c r="M1588" s="7">
        <f t="shared" si="224"/>
        <v>3.739415936252044E-3</v>
      </c>
      <c r="N1588" s="7">
        <f t="shared" si="220"/>
        <v>0.90546814436068723</v>
      </c>
      <c r="O1588" s="7">
        <f t="shared" si="221"/>
        <v>9.453185563931274E-2</v>
      </c>
    </row>
    <row r="1589" spans="1:15" x14ac:dyDescent="0.2">
      <c r="A1589" s="6">
        <v>46259</v>
      </c>
      <c r="B1589" s="2" t="s">
        <v>226</v>
      </c>
      <c r="C1589" s="5">
        <v>46235</v>
      </c>
      <c r="D1589" s="2" t="s">
        <v>201</v>
      </c>
      <c r="E1589" s="4">
        <f>IF(SUMIFS('Daily NSE Equity Cash'!$H:$H,'Daily NSE Equity Cash'!$A:$A,$A1589)=0,"",SUMIFS('Daily NSE Equity Cash'!$H:$H,'Daily NSE Equity Cash'!$A:$A,$A1589))</f>
        <v>1066.5503000000001</v>
      </c>
      <c r="F1589" s="4">
        <f>IF(SUMIFS('Daily BSE Equity Cash'!$H:$H,'Daily BSE Equity Cash'!$A:$A,$A1589)=0,"",SUMIFS('Daily BSE Equity Cash'!$H:$H,'Daily BSE Equity Cash'!$A:$A,$A1589))</f>
        <v>79.787099999999995</v>
      </c>
      <c r="G1589" s="4">
        <f t="shared" si="216"/>
        <v>1146.3374000000001</v>
      </c>
      <c r="H1589" s="7">
        <f t="shared" si="217"/>
        <v>0.30724654769588611</v>
      </c>
      <c r="I1589" s="7">
        <f t="shared" si="218"/>
        <v>0.11859438088829055</v>
      </c>
      <c r="J1589" s="7">
        <f t="shared" si="219"/>
        <v>0.29207958400520129</v>
      </c>
      <c r="K1589" s="7">
        <f t="shared" si="222"/>
        <v>-3.2189589337437097E-2</v>
      </c>
      <c r="L1589" s="7">
        <f t="shared" si="223"/>
        <v>-0.30651572108385305</v>
      </c>
      <c r="M1589" s="7">
        <f t="shared" si="224"/>
        <v>-5.8122147621780362E-2</v>
      </c>
      <c r="N1589" s="7">
        <f t="shared" si="220"/>
        <v>0.93039824051801856</v>
      </c>
      <c r="O1589" s="7">
        <f t="shared" si="221"/>
        <v>6.9601759481981468E-2</v>
      </c>
    </row>
    <row r="1590" spans="1:15" x14ac:dyDescent="0.2">
      <c r="A1590" s="6">
        <v>46260</v>
      </c>
      <c r="B1590" s="2" t="s">
        <v>224</v>
      </c>
      <c r="C1590" s="5">
        <v>46235</v>
      </c>
      <c r="D1590" s="2" t="s">
        <v>201</v>
      </c>
      <c r="E1590" s="4">
        <f>IF(SUMIFS('Daily NSE Equity Cash'!$H:$H,'Daily NSE Equity Cash'!$A:$A,$A1590)=0,"",SUMIFS('Daily NSE Equity Cash'!$H:$H,'Daily NSE Equity Cash'!$A:$A,$A1590))</f>
        <v>1155.847</v>
      </c>
      <c r="F1590" s="4">
        <f>IF(SUMIFS('Daily BSE Equity Cash'!$H:$H,'Daily BSE Equity Cash'!$A:$A,$A1590)=0,"",SUMIFS('Daily BSE Equity Cash'!$H:$H,'Daily BSE Equity Cash'!$A:$A,$A1590))</f>
        <v>131.62629999999999</v>
      </c>
      <c r="G1590" s="4">
        <f t="shared" si="216"/>
        <v>1287.4732999999999</v>
      </c>
      <c r="H1590" s="7">
        <f t="shared" si="217"/>
        <v>-0.21108442063612221</v>
      </c>
      <c r="I1590" s="7">
        <f t="shared" si="218"/>
        <v>0.59711581629557697</v>
      </c>
      <c r="J1590" s="7">
        <f t="shared" si="219"/>
        <v>-0.16804286538828883</v>
      </c>
      <c r="K1590" s="7">
        <f t="shared" si="222"/>
        <v>8.3724790101320057E-2</v>
      </c>
      <c r="L1590" s="7">
        <f t="shared" si="223"/>
        <v>0.64971906486136222</v>
      </c>
      <c r="M1590" s="7">
        <f t="shared" si="224"/>
        <v>0.12311898748134698</v>
      </c>
      <c r="N1590" s="7">
        <f t="shared" si="220"/>
        <v>0.89776386042335798</v>
      </c>
      <c r="O1590" s="7">
        <f t="shared" si="221"/>
        <v>0.1022361395766421</v>
      </c>
    </row>
    <row r="1591" spans="1:15" x14ac:dyDescent="0.2">
      <c r="A1591" s="6">
        <v>46261</v>
      </c>
      <c r="B1591" s="2" t="s">
        <v>227</v>
      </c>
      <c r="C1591" s="5">
        <v>46235</v>
      </c>
      <c r="D1591" s="2" t="s">
        <v>201</v>
      </c>
      <c r="E1591" s="4">
        <f>IF(SUMIFS('Daily NSE Equity Cash'!$H:$H,'Daily NSE Equity Cash'!$A:$A,$A1591)=0,"",SUMIFS('Daily NSE Equity Cash'!$H:$H,'Daily NSE Equity Cash'!$A:$A,$A1591))</f>
        <v>1150.7140999999999</v>
      </c>
      <c r="F1591" s="4">
        <f>IF(SUMIFS('Daily BSE Equity Cash'!$H:$H,'Daily BSE Equity Cash'!$A:$A,$A1591)=0,"",SUMIFS('Daily BSE Equity Cash'!$H:$H,'Daily BSE Equity Cash'!$A:$A,$A1591))</f>
        <v>133.53489999999999</v>
      </c>
      <c r="G1591" s="4">
        <f t="shared" si="216"/>
        <v>1284.2489999999998</v>
      </c>
      <c r="H1591" s="7" t="str">
        <f t="shared" si="217"/>
        <v/>
      </c>
      <c r="I1591" s="7" t="str">
        <f t="shared" si="218"/>
        <v/>
      </c>
      <c r="J1591" s="7" t="str">
        <f t="shared" si="219"/>
        <v/>
      </c>
      <c r="K1591" s="7">
        <f t="shared" si="222"/>
        <v>-4.4408126681126925E-3</v>
      </c>
      <c r="L1591" s="7">
        <f t="shared" si="223"/>
        <v>1.4500141689008927E-2</v>
      </c>
      <c r="M1591" s="7">
        <f t="shared" si="224"/>
        <v>-2.504362614743183E-3</v>
      </c>
      <c r="N1591" s="7">
        <f t="shared" si="220"/>
        <v>0.89602102084564605</v>
      </c>
      <c r="O1591" s="7">
        <f t="shared" si="221"/>
        <v>0.10397897915435403</v>
      </c>
    </row>
    <row r="1592" spans="1:15" x14ac:dyDescent="0.2">
      <c r="A1592" s="6">
        <v>46262</v>
      </c>
      <c r="B1592" s="2" t="s">
        <v>225</v>
      </c>
      <c r="C1592" s="5">
        <v>46235</v>
      </c>
      <c r="D1592" s="2" t="s">
        <v>201</v>
      </c>
      <c r="E1592" s="4">
        <f>IF(SUMIFS('Daily NSE Equity Cash'!$H:$H,'Daily NSE Equity Cash'!$A:$A,$A1592)=0,"",SUMIFS('Daily NSE Equity Cash'!$H:$H,'Daily NSE Equity Cash'!$A:$A,$A1592))</f>
        <v>1106.7111</v>
      </c>
      <c r="F1592" s="4">
        <f>IF(SUMIFS('Daily BSE Equity Cash'!$H:$H,'Daily BSE Equity Cash'!$A:$A,$A1592)=0,"",SUMIFS('Daily BSE Equity Cash'!$H:$H,'Daily BSE Equity Cash'!$A:$A,$A1592))</f>
        <v>94.670199999999994</v>
      </c>
      <c r="G1592" s="4">
        <f t="shared" si="216"/>
        <v>1201.3813</v>
      </c>
      <c r="H1592" s="7">
        <f t="shared" si="217"/>
        <v>7.6834645802600576E-2</v>
      </c>
      <c r="I1592" s="7">
        <f t="shared" si="218"/>
        <v>0.25953865353247485</v>
      </c>
      <c r="J1592" s="7">
        <f t="shared" si="219"/>
        <v>8.9285835718015516E-2</v>
      </c>
      <c r="K1592" s="7">
        <f t="shared" si="222"/>
        <v>-3.8239733049242997E-2</v>
      </c>
      <c r="L1592" s="7">
        <f t="shared" si="223"/>
        <v>-0.29104526232468064</v>
      </c>
      <c r="M1592" s="7">
        <f t="shared" si="224"/>
        <v>-6.4526193907879059E-2</v>
      </c>
      <c r="N1592" s="7">
        <f t="shared" si="220"/>
        <v>0.9211988733302241</v>
      </c>
      <c r="O1592" s="7">
        <f t="shared" si="221"/>
        <v>7.8801126669775859E-2</v>
      </c>
    </row>
    <row r="1593" spans="1:15" x14ac:dyDescent="0.2">
      <c r="A1593" s="6">
        <v>46265</v>
      </c>
      <c r="B1593" s="2" t="s">
        <v>228</v>
      </c>
      <c r="C1593" s="5">
        <v>46235</v>
      </c>
      <c r="D1593" s="2" t="s">
        <v>201</v>
      </c>
      <c r="E1593" s="4">
        <f>IF(SUMIFS('Daily NSE Equity Cash'!$H:$H,'Daily NSE Equity Cash'!$A:$A,$A1593)=0,"",SUMIFS('Daily NSE Equity Cash'!$H:$H,'Daily NSE Equity Cash'!$A:$A,$A1593))</f>
        <v>1817.1785</v>
      </c>
      <c r="F1593" s="4">
        <f>IF(SUMIFS('Daily BSE Equity Cash'!$H:$H,'Daily BSE Equity Cash'!$A:$A,$A1593)=0,"",SUMIFS('Daily BSE Equity Cash'!$H:$H,'Daily BSE Equity Cash'!$A:$A,$A1593))</f>
        <v>97.675700000000006</v>
      </c>
      <c r="G1593" s="4">
        <f t="shared" si="216"/>
        <v>1914.8542</v>
      </c>
      <c r="H1593" s="7" t="str">
        <f t="shared" si="217"/>
        <v/>
      </c>
      <c r="I1593" s="7" t="str">
        <f t="shared" si="218"/>
        <v/>
      </c>
      <c r="J1593" s="7" t="str">
        <f t="shared" si="219"/>
        <v/>
      </c>
      <c r="K1593" s="7">
        <f t="shared" si="222"/>
        <v>0.64196283926311026</v>
      </c>
      <c r="L1593" s="7">
        <f t="shared" si="223"/>
        <v>3.1747054511345851E-2</v>
      </c>
      <c r="M1593" s="7">
        <f t="shared" si="224"/>
        <v>0.59387714791298984</v>
      </c>
      <c r="N1593" s="7">
        <f t="shared" si="220"/>
        <v>0.94899052888726465</v>
      </c>
      <c r="O1593" s="7">
        <f t="shared" si="221"/>
        <v>5.1009471112735377E-2</v>
      </c>
    </row>
    <row r="1594" spans="1:15" x14ac:dyDescent="0.2">
      <c r="A1594" s="6">
        <v>46266</v>
      </c>
      <c r="B1594" s="2" t="s">
        <v>226</v>
      </c>
      <c r="C1594" s="5">
        <v>46266</v>
      </c>
      <c r="D1594" s="2" t="s">
        <v>201</v>
      </c>
      <c r="E1594" s="4">
        <f>IF(SUMIFS('Daily NSE Equity Cash'!$H:$H,'Daily NSE Equity Cash'!$A:$A,$A1594)=0,"",SUMIFS('Daily NSE Equity Cash'!$H:$H,'Daily NSE Equity Cash'!$A:$A,$A1594))</f>
        <v>1240.326</v>
      </c>
      <c r="F1594" s="4">
        <f>IF(SUMIFS('Daily BSE Equity Cash'!$H:$H,'Daily BSE Equity Cash'!$A:$A,$A1594)=0,"",SUMIFS('Daily BSE Equity Cash'!$H:$H,'Daily BSE Equity Cash'!$A:$A,$A1594))</f>
        <v>90.278700000000001</v>
      </c>
      <c r="G1594" s="4">
        <f t="shared" si="216"/>
        <v>1330.6047000000001</v>
      </c>
      <c r="H1594" s="7">
        <f t="shared" si="217"/>
        <v>0.46265858893846223</v>
      </c>
      <c r="I1594" s="7">
        <f t="shared" si="218"/>
        <v>0.44906141906695662</v>
      </c>
      <c r="J1594" s="7">
        <f t="shared" si="219"/>
        <v>0.46172798575232221</v>
      </c>
      <c r="K1594" s="7">
        <f t="shared" si="222"/>
        <v>-0.31744404856209774</v>
      </c>
      <c r="L1594" s="7">
        <f t="shared" si="223"/>
        <v>-7.5730196968130326E-2</v>
      </c>
      <c r="M1594" s="7">
        <f t="shared" si="224"/>
        <v>-0.30511435283166721</v>
      </c>
      <c r="N1594" s="7">
        <f t="shared" si="220"/>
        <v>0.93215212602210107</v>
      </c>
      <c r="O1594" s="7">
        <f t="shared" si="221"/>
        <v>6.7847873977898918E-2</v>
      </c>
    </row>
    <row r="1595" spans="1:15" x14ac:dyDescent="0.2">
      <c r="A1595" s="6">
        <v>46267</v>
      </c>
      <c r="B1595" s="2" t="s">
        <v>224</v>
      </c>
      <c r="C1595" s="5">
        <v>46266</v>
      </c>
      <c r="D1595" s="2" t="s">
        <v>201</v>
      </c>
      <c r="E1595" s="4">
        <f>IF(SUMIFS('Daily NSE Equity Cash'!$H:$H,'Daily NSE Equity Cash'!$A:$A,$A1595)=0,"",SUMIFS('Daily NSE Equity Cash'!$H:$H,'Daily NSE Equity Cash'!$A:$A,$A1595))</f>
        <v>1151.8452</v>
      </c>
      <c r="F1595" s="4">
        <f>IF(SUMIFS('Daily BSE Equity Cash'!$H:$H,'Daily BSE Equity Cash'!$A:$A,$A1595)=0,"",SUMIFS('Daily BSE Equity Cash'!$H:$H,'Daily BSE Equity Cash'!$A:$A,$A1595))</f>
        <v>212.02719999999999</v>
      </c>
      <c r="G1595" s="4">
        <f t="shared" si="216"/>
        <v>1363.8724</v>
      </c>
      <c r="H1595" s="7">
        <f t="shared" si="217"/>
        <v>0.23529267930666742</v>
      </c>
      <c r="I1595" s="7">
        <f t="shared" si="218"/>
        <v>2.0750372365342975</v>
      </c>
      <c r="J1595" s="7">
        <f t="shared" si="219"/>
        <v>0.36196796020125066</v>
      </c>
      <c r="K1595" s="7">
        <f t="shared" si="222"/>
        <v>-7.133672921473877E-2</v>
      </c>
      <c r="L1595" s="7">
        <f t="shared" si="223"/>
        <v>1.34858499291638</v>
      </c>
      <c r="M1595" s="7">
        <f t="shared" si="224"/>
        <v>2.5001940846894444E-2</v>
      </c>
      <c r="N1595" s="7">
        <f t="shared" si="220"/>
        <v>0.84454029570508204</v>
      </c>
      <c r="O1595" s="7">
        <f t="shared" si="221"/>
        <v>0.1554597042949179</v>
      </c>
    </row>
    <row r="1596" spans="1:15" x14ac:dyDescent="0.2">
      <c r="A1596" s="6">
        <v>46268</v>
      </c>
      <c r="B1596" s="2" t="s">
        <v>227</v>
      </c>
      <c r="C1596" s="5">
        <v>46266</v>
      </c>
      <c r="D1596" s="2" t="s">
        <v>201</v>
      </c>
      <c r="E1596" s="4">
        <f>IF(SUMIFS('Daily NSE Equity Cash'!$H:$H,'Daily NSE Equity Cash'!$A:$A,$A1596)=0,"",SUMIFS('Daily NSE Equity Cash'!$H:$H,'Daily NSE Equity Cash'!$A:$A,$A1596))</f>
        <v>1115.1904</v>
      </c>
      <c r="F1596" s="4">
        <f>IF(SUMIFS('Daily BSE Equity Cash'!$H:$H,'Daily BSE Equity Cash'!$A:$A,$A1596)=0,"",SUMIFS('Daily BSE Equity Cash'!$H:$H,'Daily BSE Equity Cash'!$A:$A,$A1596))</f>
        <v>106.39700000000001</v>
      </c>
      <c r="G1596" s="4">
        <f t="shared" si="216"/>
        <v>1221.5873999999999</v>
      </c>
      <c r="H1596" s="7">
        <f t="shared" si="217"/>
        <v>0.16207380274210936</v>
      </c>
      <c r="I1596" s="7">
        <f t="shared" si="218"/>
        <v>0.36327934304483711</v>
      </c>
      <c r="J1596" s="7">
        <f t="shared" si="219"/>
        <v>0.1772063668093764</v>
      </c>
      <c r="K1596" s="7">
        <f t="shared" si="222"/>
        <v>-3.1822678950261696E-2</v>
      </c>
      <c r="L1596" s="7">
        <f t="shared" si="223"/>
        <v>-0.49819174143694767</v>
      </c>
      <c r="M1596" s="7">
        <f t="shared" si="224"/>
        <v>-0.10432427549674006</v>
      </c>
      <c r="N1596" s="7">
        <f t="shared" si="220"/>
        <v>0.9129026707380905</v>
      </c>
      <c r="O1596" s="7">
        <f t="shared" si="221"/>
        <v>8.7097329261909551E-2</v>
      </c>
    </row>
    <row r="1597" spans="1:15" x14ac:dyDescent="0.2">
      <c r="A1597" s="6">
        <v>46269</v>
      </c>
      <c r="B1597" s="2" t="s">
        <v>225</v>
      </c>
      <c r="C1597" s="5">
        <v>46266</v>
      </c>
      <c r="D1597" s="2" t="s">
        <v>201</v>
      </c>
      <c r="E1597" s="4">
        <f>IF(SUMIFS('Daily NSE Equity Cash'!$H:$H,'Daily NSE Equity Cash'!$A:$A,$A1597)=0,"",SUMIFS('Daily NSE Equity Cash'!$H:$H,'Daily NSE Equity Cash'!$A:$A,$A1597))</f>
        <v>1161.6335999999999</v>
      </c>
      <c r="F1597" s="4">
        <f>IF(SUMIFS('Daily BSE Equity Cash'!$H:$H,'Daily BSE Equity Cash'!$A:$A,$A1597)=0,"",SUMIFS('Daily BSE Equity Cash'!$H:$H,'Daily BSE Equity Cash'!$A:$A,$A1597))</f>
        <v>131.64709999999999</v>
      </c>
      <c r="G1597" s="4">
        <f t="shared" si="216"/>
        <v>1293.2806999999998</v>
      </c>
      <c r="H1597" s="7">
        <f t="shared" si="217"/>
        <v>0.10131157142926206</v>
      </c>
      <c r="I1597" s="7">
        <f t="shared" si="218"/>
        <v>0.5474786063569681</v>
      </c>
      <c r="J1597" s="7">
        <f t="shared" si="219"/>
        <v>0.13461112121482466</v>
      </c>
      <c r="K1597" s="7">
        <f t="shared" si="222"/>
        <v>4.1645982605302168E-2</v>
      </c>
      <c r="L1597" s="7">
        <f t="shared" si="223"/>
        <v>0.23731966126864479</v>
      </c>
      <c r="M1597" s="7">
        <f t="shared" si="224"/>
        <v>5.8688637423732315E-2</v>
      </c>
      <c r="N1597" s="7">
        <f t="shared" si="220"/>
        <v>0.8982068625937123</v>
      </c>
      <c r="O1597" s="7">
        <f t="shared" si="221"/>
        <v>0.10179313740628776</v>
      </c>
    </row>
    <row r="1598" spans="1:15" x14ac:dyDescent="0.2">
      <c r="A1598" s="6">
        <v>46272</v>
      </c>
      <c r="B1598" s="2" t="s">
        <v>228</v>
      </c>
      <c r="C1598" s="5">
        <v>46266</v>
      </c>
      <c r="D1598" s="2" t="s">
        <v>201</v>
      </c>
      <c r="E1598" s="4">
        <f>IF(SUMIFS('Daily NSE Equity Cash'!$H:$H,'Daily NSE Equity Cash'!$A:$A,$A1598)=0,"",SUMIFS('Daily NSE Equity Cash'!$H:$H,'Daily NSE Equity Cash'!$A:$A,$A1598))</f>
        <v>1029.4350999999999</v>
      </c>
      <c r="F1598" s="4">
        <f>IF(SUMIFS('Daily BSE Equity Cash'!$H:$H,'Daily BSE Equity Cash'!$A:$A,$A1598)=0,"",SUMIFS('Daily BSE Equity Cash'!$H:$H,'Daily BSE Equity Cash'!$A:$A,$A1598))</f>
        <v>86.967100000000002</v>
      </c>
      <c r="G1598" s="4">
        <f t="shared" si="216"/>
        <v>1116.4022</v>
      </c>
      <c r="H1598" s="7" t="str">
        <f t="shared" si="217"/>
        <v/>
      </c>
      <c r="I1598" s="7" t="str">
        <f t="shared" si="218"/>
        <v/>
      </c>
      <c r="J1598" s="7" t="str">
        <f t="shared" si="219"/>
        <v/>
      </c>
      <c r="K1598" s="7">
        <f t="shared" si="222"/>
        <v>-0.11380395677260025</v>
      </c>
      <c r="L1598" s="7">
        <f t="shared" si="223"/>
        <v>-0.33939220841173101</v>
      </c>
      <c r="M1598" s="7">
        <f t="shared" si="224"/>
        <v>-0.13676729266894638</v>
      </c>
      <c r="N1598" s="7">
        <f t="shared" si="220"/>
        <v>0.92210056554886755</v>
      </c>
      <c r="O1598" s="7">
        <f t="shared" si="221"/>
        <v>7.7899434451132399E-2</v>
      </c>
    </row>
    <row r="1600" spans="1:15" x14ac:dyDescent="0.2">
      <c r="A1600" s="1" t="s">
        <v>76</v>
      </c>
    </row>
    <row r="1601" spans="1:15" x14ac:dyDescent="0.2">
      <c r="A1601" s="2" t="s">
        <v>77</v>
      </c>
      <c r="B1601" s="3">
        <f>COUNTIF('Daily NSE Equity Cash'!$A:$A,"&gt;="&amp;DATE(2026,4,1))</f>
        <v>109</v>
      </c>
    </row>
    <row r="1602" spans="1:15" x14ac:dyDescent="0.2">
      <c r="A1602" s="2" t="s">
        <v>78</v>
      </c>
      <c r="B1602" s="6">
        <f>DATE(2025,4,1)</f>
        <v>45748</v>
      </c>
      <c r="C1602" s="6">
        <f>INDEX('Daily NSE Equity Cash'!$A:$A,COUNTIF('Daily NSE Equity Cash'!$A:$A,"&lt;"&amp;DATE(2025,4,1))+1+$B1601)</f>
        <v>45908</v>
      </c>
    </row>
    <row r="1603" spans="1:15" x14ac:dyDescent="0.2">
      <c r="E1603" s="1" t="s">
        <v>35</v>
      </c>
      <c r="F1603" s="1" t="s">
        <v>36</v>
      </c>
      <c r="G1603" s="1" t="s">
        <v>37</v>
      </c>
      <c r="N1603" s="1" t="s">
        <v>41</v>
      </c>
      <c r="O1603" s="1" t="s">
        <v>42</v>
      </c>
    </row>
    <row r="1604" spans="1:15" x14ac:dyDescent="0.2">
      <c r="A1604" s="2" t="s">
        <v>79</v>
      </c>
      <c r="E1604" s="4">
        <f>SUMIFS('Daily NSE Equity Cash'!$H:$H,'Daily NSE Equity Cash'!$A:$A,"&gt;="&amp;$B$1602,'Daily NSE Equity Cash'!$A:$A,"&lt;="&amp;$C$1602)</f>
        <v>111256.13349999997</v>
      </c>
      <c r="F1604" s="4">
        <f>SUMIFS('Daily BSE Equity Cash'!$H:$H,'Daily BSE Equity Cash'!$A:$A,"&gt;="&amp;$B$1602,'Daily BSE Equity Cash'!$A:$A,"&lt;="&amp;$C$1602)</f>
        <v>8217.5110999999997</v>
      </c>
      <c r="G1604" s="4">
        <f>E1604+F1604</f>
        <v>119473.64459999997</v>
      </c>
      <c r="N1604" s="7">
        <f>IF(G1604=0,"",E1604/G1604)</f>
        <v>0.93121904728434135</v>
      </c>
      <c r="O1604" s="7">
        <f>IF(G1604=0,"",F1604/G1604)</f>
        <v>6.8780952715658608E-2</v>
      </c>
    </row>
    <row r="1605" spans="1:15" x14ac:dyDescent="0.2">
      <c r="A1605" s="2" t="s">
        <v>80</v>
      </c>
      <c r="E1605" s="4">
        <f>SUMIFS('Daily NSE Equity Cash'!$H:$H,'Daily NSE Equity Cash'!$A:$A,"&gt;="&amp;DATE(2026,4,1))</f>
        <v>140096.36699999991</v>
      </c>
      <c r="F1605" s="4">
        <f>SUMIFS('Daily BSE Equity Cash'!$H:$H,'Daily BSE Equity Cash'!$A:$A,"&gt;="&amp;DATE(2026,4,1))</f>
        <v>11094.717400000005</v>
      </c>
      <c r="G1605" s="4">
        <f>E1605+F1605</f>
        <v>151191.08439999991</v>
      </c>
      <c r="N1605" s="7">
        <f>IF(G1605=0,"",E1605/G1605)</f>
        <v>0.92661791239854352</v>
      </c>
      <c r="O1605" s="7">
        <f>IF(G1605=0,"",F1605/G1605)</f>
        <v>7.3382087601456564E-2</v>
      </c>
    </row>
    <row r="1606" spans="1:15" x14ac:dyDescent="0.2">
      <c r="A1606" s="1" t="s">
        <v>81</v>
      </c>
      <c r="E1606" s="7">
        <f>IF(OR(E1604=0,E1604=""),"",E1605/E1604-1)</f>
        <v>0.25922376225666643</v>
      </c>
      <c r="F1606" s="7">
        <f>IF(OR(F1604=0,F1604=""),"",F1605/F1604-1)</f>
        <v>0.35013111208331749</v>
      </c>
      <c r="G1606" s="7">
        <f>IF(OR(G1604=0,G1604=""),"",G1605/G1604-1)</f>
        <v>0.265476456386599</v>
      </c>
    </row>
  </sheetData>
  <conditionalFormatting sqref="N2:N159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59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8" customWidth="1"/>
    <col min="4" max="4" width="26" customWidth="1"/>
    <col min="5" max="5" width="16" customWidth="1"/>
    <col min="6" max="6" width="20" customWidth="1"/>
    <col min="7" max="7" width="18" customWidth="1"/>
    <col min="8" max="8" width="20" customWidth="1"/>
    <col min="9" max="9" width="18" customWidth="1"/>
    <col min="10" max="10" width="26" customWidth="1"/>
    <col min="11" max="11" width="20" customWidth="1"/>
    <col min="12" max="12" width="24" customWidth="1"/>
    <col min="13" max="13" width="20" customWidth="1"/>
    <col min="14" max="14" width="24" customWidth="1"/>
  </cols>
  <sheetData>
    <row r="1" spans="1:14" x14ac:dyDescent="0.2">
      <c r="A1" s="1" t="s">
        <v>34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</row>
    <row r="2" spans="1:14" x14ac:dyDescent="0.2">
      <c r="A2" s="2" t="s">
        <v>43</v>
      </c>
      <c r="B2" s="3">
        <v>135</v>
      </c>
      <c r="C2" s="3">
        <v>543</v>
      </c>
      <c r="D2" s="3">
        <v>678</v>
      </c>
      <c r="E2" s="3">
        <v>102</v>
      </c>
      <c r="F2" s="3"/>
      <c r="G2" s="4">
        <v>0.03</v>
      </c>
      <c r="H2" s="4">
        <v>13.91</v>
      </c>
      <c r="I2" s="4">
        <v>18.05</v>
      </c>
      <c r="J2" s="4">
        <v>0.17</v>
      </c>
      <c r="K2" s="3">
        <v>60167</v>
      </c>
      <c r="L2" s="4"/>
      <c r="M2" s="4"/>
      <c r="N2" s="4">
        <v>3633.5</v>
      </c>
    </row>
    <row r="3" spans="1:14" x14ac:dyDescent="0.2">
      <c r="A3" s="2" t="s">
        <v>44</v>
      </c>
      <c r="B3" s="3">
        <v>422</v>
      </c>
      <c r="C3" s="3">
        <v>847</v>
      </c>
      <c r="D3" s="3">
        <v>1269</v>
      </c>
      <c r="E3" s="3">
        <v>246</v>
      </c>
      <c r="F3" s="3"/>
      <c r="G3" s="4">
        <v>0.66</v>
      </c>
      <c r="H3" s="4">
        <v>399.12</v>
      </c>
      <c r="I3" s="4">
        <v>672.87</v>
      </c>
      <c r="J3" s="4">
        <v>2.76</v>
      </c>
      <c r="K3" s="3">
        <v>101950</v>
      </c>
      <c r="L3" s="4"/>
      <c r="M3" s="4"/>
      <c r="N3" s="4">
        <v>4014.59</v>
      </c>
    </row>
    <row r="4" spans="1:14" x14ac:dyDescent="0.2">
      <c r="A4" s="2" t="s">
        <v>45</v>
      </c>
      <c r="B4" s="3">
        <v>550</v>
      </c>
      <c r="C4" s="3">
        <v>934</v>
      </c>
      <c r="D4" s="3">
        <v>1484</v>
      </c>
      <c r="E4" s="3">
        <v>250</v>
      </c>
      <c r="F4" s="3"/>
      <c r="G4" s="4">
        <v>2.64</v>
      </c>
      <c r="H4" s="4">
        <v>1355.61</v>
      </c>
      <c r="I4" s="4">
        <v>2945.03</v>
      </c>
      <c r="J4" s="4">
        <v>11.76</v>
      </c>
      <c r="K4" s="3">
        <v>111895</v>
      </c>
      <c r="L4" s="4"/>
      <c r="M4" s="4"/>
      <c r="N4" s="4">
        <v>4193.67</v>
      </c>
    </row>
    <row r="5" spans="1:14" x14ac:dyDescent="0.2">
      <c r="A5" s="2" t="s">
        <v>46</v>
      </c>
      <c r="B5" s="3">
        <v>612</v>
      </c>
      <c r="C5" s="3">
        <v>745</v>
      </c>
      <c r="D5" s="3">
        <v>1357</v>
      </c>
      <c r="E5" s="3">
        <v>244</v>
      </c>
      <c r="F5" s="3"/>
      <c r="G5" s="4">
        <v>3.81</v>
      </c>
      <c r="H5" s="4">
        <v>1356.85</v>
      </c>
      <c r="I5" s="4">
        <v>3701.93</v>
      </c>
      <c r="J5" s="4">
        <v>15.2</v>
      </c>
      <c r="K5" s="3">
        <v>97164</v>
      </c>
      <c r="L5" s="4"/>
      <c r="M5" s="4"/>
      <c r="N5" s="4">
        <v>4815.03</v>
      </c>
    </row>
    <row r="6" spans="1:14" x14ac:dyDescent="0.2">
      <c r="A6" s="2" t="s">
        <v>47</v>
      </c>
      <c r="B6" s="3">
        <v>648</v>
      </c>
      <c r="C6" s="3">
        <v>609</v>
      </c>
      <c r="D6" s="3">
        <v>1254</v>
      </c>
      <c r="E6" s="3">
        <v>251</v>
      </c>
      <c r="F6" s="3"/>
      <c r="G6" s="4">
        <v>5.46</v>
      </c>
      <c r="H6" s="4">
        <v>1653.27</v>
      </c>
      <c r="I6" s="4">
        <v>4144.74</v>
      </c>
      <c r="J6" s="4">
        <v>16.510000000000002</v>
      </c>
      <c r="K6" s="3">
        <v>75911</v>
      </c>
      <c r="L6" s="4">
        <v>85.42</v>
      </c>
      <c r="M6" s="4">
        <v>238.18</v>
      </c>
      <c r="N6" s="4">
        <v>4911.75</v>
      </c>
    </row>
    <row r="7" spans="1:14" x14ac:dyDescent="0.2">
      <c r="A7" s="2" t="s">
        <v>48</v>
      </c>
      <c r="B7" s="3">
        <v>720</v>
      </c>
      <c r="C7" s="3">
        <v>479</v>
      </c>
      <c r="D7" s="3">
        <v>1152</v>
      </c>
      <c r="E7" s="3">
        <v>254</v>
      </c>
      <c r="F7" s="3"/>
      <c r="G7" s="4">
        <v>9.84</v>
      </c>
      <c r="H7" s="4">
        <v>2427.04</v>
      </c>
      <c r="I7" s="4">
        <v>8390.52</v>
      </c>
      <c r="J7" s="4">
        <v>33.03</v>
      </c>
      <c r="K7" s="3">
        <v>85270</v>
      </c>
      <c r="L7" s="4">
        <v>1537.72</v>
      </c>
      <c r="M7" s="4">
        <v>7117.06</v>
      </c>
      <c r="N7" s="4">
        <v>10204.26</v>
      </c>
    </row>
    <row r="8" spans="1:14" x14ac:dyDescent="0.2">
      <c r="A8" s="2" t="s">
        <v>49</v>
      </c>
      <c r="B8" s="3">
        <v>785</v>
      </c>
      <c r="C8" s="3">
        <v>320</v>
      </c>
      <c r="D8" s="3">
        <v>1029</v>
      </c>
      <c r="E8" s="3">
        <v>251</v>
      </c>
      <c r="F8" s="3">
        <v>1201</v>
      </c>
      <c r="G8" s="4">
        <v>16.760000000000002</v>
      </c>
      <c r="H8" s="4">
        <v>3295.36</v>
      </c>
      <c r="I8" s="4">
        <v>13395.1</v>
      </c>
      <c r="J8" s="4">
        <v>53.37</v>
      </c>
      <c r="K8" s="3">
        <v>79923</v>
      </c>
      <c r="L8" s="4">
        <v>3072.22</v>
      </c>
      <c r="M8" s="4">
        <v>12643.37</v>
      </c>
      <c r="N8" s="4">
        <v>6578.47</v>
      </c>
    </row>
    <row r="9" spans="1:14" x14ac:dyDescent="0.2">
      <c r="A9" s="2" t="s">
        <v>50</v>
      </c>
      <c r="B9" s="3">
        <v>793</v>
      </c>
      <c r="C9" s="3">
        <v>197</v>
      </c>
      <c r="D9" s="3">
        <v>890</v>
      </c>
      <c r="E9" s="3">
        <v>247</v>
      </c>
      <c r="F9" s="3">
        <v>1019</v>
      </c>
      <c r="G9" s="4">
        <v>17.53</v>
      </c>
      <c r="H9" s="4">
        <v>2784.08</v>
      </c>
      <c r="I9" s="4">
        <v>5131.67</v>
      </c>
      <c r="J9" s="4">
        <v>20.78</v>
      </c>
      <c r="K9" s="3">
        <v>29274</v>
      </c>
      <c r="L9" s="4">
        <v>2777.17</v>
      </c>
      <c r="M9" s="4">
        <v>5128.66</v>
      </c>
      <c r="N9" s="4">
        <v>6368.61</v>
      </c>
    </row>
    <row r="10" spans="1:14" x14ac:dyDescent="0.2">
      <c r="A10" s="2" t="s">
        <v>51</v>
      </c>
      <c r="B10" s="3">
        <v>818</v>
      </c>
      <c r="C10" s="3">
        <v>107</v>
      </c>
      <c r="D10" s="3">
        <v>788</v>
      </c>
      <c r="E10" s="3">
        <v>251</v>
      </c>
      <c r="F10" s="3">
        <v>899</v>
      </c>
      <c r="G10" s="4">
        <v>23.98</v>
      </c>
      <c r="H10" s="4">
        <v>3640.65</v>
      </c>
      <c r="I10" s="4">
        <v>6179.89</v>
      </c>
      <c r="J10" s="4">
        <v>24.62</v>
      </c>
      <c r="K10" s="3">
        <v>25771</v>
      </c>
      <c r="L10" s="4">
        <v>3640.49</v>
      </c>
      <c r="M10" s="4">
        <v>6179.84</v>
      </c>
      <c r="N10" s="4">
        <v>5371.33</v>
      </c>
    </row>
    <row r="11" spans="1:14" x14ac:dyDescent="0.2">
      <c r="A11" s="2" t="s">
        <v>52</v>
      </c>
      <c r="B11" s="3">
        <v>909</v>
      </c>
      <c r="C11" s="3">
        <v>18</v>
      </c>
      <c r="D11" s="3">
        <v>787</v>
      </c>
      <c r="E11" s="3">
        <v>254</v>
      </c>
      <c r="F11" s="3">
        <v>804</v>
      </c>
      <c r="G11" s="4">
        <v>37.799999999999997</v>
      </c>
      <c r="H11" s="4">
        <v>7133.01</v>
      </c>
      <c r="I11" s="4">
        <v>10995.35</v>
      </c>
      <c r="J11" s="4">
        <v>43.28</v>
      </c>
      <c r="K11" s="3">
        <v>29088</v>
      </c>
      <c r="L11" s="4">
        <v>7133.01</v>
      </c>
      <c r="M11" s="4">
        <v>10995.35</v>
      </c>
      <c r="N11" s="4">
        <v>11209.76</v>
      </c>
    </row>
    <row r="12" spans="1:14" x14ac:dyDescent="0.2">
      <c r="A12" s="2" t="s">
        <v>53</v>
      </c>
      <c r="B12" s="3">
        <v>970</v>
      </c>
      <c r="C12" s="3">
        <v>1</v>
      </c>
      <c r="D12" s="3">
        <v>839</v>
      </c>
      <c r="E12" s="3">
        <v>253</v>
      </c>
      <c r="F12" s="3">
        <v>870</v>
      </c>
      <c r="G12" s="4">
        <v>45.1</v>
      </c>
      <c r="H12" s="4">
        <v>7976.84</v>
      </c>
      <c r="I12" s="4">
        <v>11400.71</v>
      </c>
      <c r="J12" s="4">
        <v>45.06</v>
      </c>
      <c r="K12" s="3">
        <v>25279</v>
      </c>
      <c r="L12" s="4">
        <v>7976.84</v>
      </c>
      <c r="M12" s="4">
        <v>11400.71</v>
      </c>
      <c r="N12" s="4">
        <v>15855.85</v>
      </c>
    </row>
    <row r="13" spans="1:14" x14ac:dyDescent="0.2">
      <c r="A13" s="2" t="s">
        <v>54</v>
      </c>
      <c r="B13" s="3">
        <v>1069</v>
      </c>
      <c r="C13" s="3"/>
      <c r="D13" s="3">
        <v>929</v>
      </c>
      <c r="E13" s="3">
        <v>251</v>
      </c>
      <c r="F13" s="3">
        <v>1288</v>
      </c>
      <c r="G13" s="4">
        <v>60.89</v>
      </c>
      <c r="H13" s="4">
        <v>8444.86</v>
      </c>
      <c r="I13" s="4">
        <v>15695.58</v>
      </c>
      <c r="J13" s="4">
        <v>62.53</v>
      </c>
      <c r="K13" s="3">
        <v>25777</v>
      </c>
      <c r="L13" s="4">
        <v>8444.86</v>
      </c>
      <c r="M13" s="4">
        <v>15695.58</v>
      </c>
      <c r="N13" s="4">
        <v>28132.01</v>
      </c>
    </row>
    <row r="14" spans="1:14" x14ac:dyDescent="0.2">
      <c r="A14" s="2" t="s">
        <v>55</v>
      </c>
      <c r="B14" s="3">
        <v>1228</v>
      </c>
      <c r="C14" s="3"/>
      <c r="D14" s="3">
        <v>1084</v>
      </c>
      <c r="E14" s="3">
        <v>249</v>
      </c>
      <c r="F14" s="3">
        <v>1191</v>
      </c>
      <c r="G14" s="4">
        <v>78.459999999999994</v>
      </c>
      <c r="H14" s="4">
        <v>8554.56</v>
      </c>
      <c r="I14" s="4">
        <v>19452.849999999999</v>
      </c>
      <c r="J14" s="4">
        <v>78.12</v>
      </c>
      <c r="K14" s="3">
        <v>24793</v>
      </c>
      <c r="L14" s="4">
        <v>8554.56</v>
      </c>
      <c r="M14" s="4">
        <v>19452.849999999999</v>
      </c>
      <c r="N14" s="4">
        <v>33673.5</v>
      </c>
    </row>
    <row r="15" spans="1:14" x14ac:dyDescent="0.2">
      <c r="A15" s="2" t="s">
        <v>56</v>
      </c>
      <c r="B15" s="3">
        <v>1381</v>
      </c>
      <c r="C15" s="3"/>
      <c r="D15" s="3">
        <v>1236</v>
      </c>
      <c r="E15" s="3">
        <v>251</v>
      </c>
      <c r="F15" s="3">
        <v>1264</v>
      </c>
      <c r="G15" s="4">
        <v>117.27</v>
      </c>
      <c r="H15" s="4">
        <v>14984.69</v>
      </c>
      <c r="I15" s="4">
        <v>35510.379999999997</v>
      </c>
      <c r="J15" s="4">
        <v>141.47999999999999</v>
      </c>
      <c r="K15" s="3">
        <v>30281</v>
      </c>
      <c r="L15" s="4">
        <v>14984.69</v>
      </c>
      <c r="M15" s="4">
        <v>35510.379999999997</v>
      </c>
      <c r="N15" s="4">
        <v>48581.22</v>
      </c>
    </row>
    <row r="16" spans="1:14" x14ac:dyDescent="0.2">
      <c r="A16" s="2" t="s">
        <v>57</v>
      </c>
      <c r="B16" s="3">
        <v>1432</v>
      </c>
      <c r="C16" s="3"/>
      <c r="D16" s="3">
        <v>1291</v>
      </c>
      <c r="E16" s="3">
        <v>243</v>
      </c>
      <c r="F16" s="3">
        <v>1327</v>
      </c>
      <c r="G16" s="4">
        <v>136.51</v>
      </c>
      <c r="H16" s="4">
        <v>14263.54</v>
      </c>
      <c r="I16" s="4">
        <v>27520.23</v>
      </c>
      <c r="J16" s="4">
        <v>113.25</v>
      </c>
      <c r="K16" s="3">
        <v>20160</v>
      </c>
      <c r="L16" s="4">
        <v>14263.54</v>
      </c>
      <c r="M16" s="4">
        <v>27520.23</v>
      </c>
      <c r="N16" s="4">
        <v>28961.94</v>
      </c>
    </row>
    <row r="17" spans="1:14" x14ac:dyDescent="0.2">
      <c r="A17" s="2" t="s">
        <v>58</v>
      </c>
      <c r="B17" s="3">
        <v>1470</v>
      </c>
      <c r="C17" s="3">
        <v>37</v>
      </c>
      <c r="D17" s="3">
        <v>1359</v>
      </c>
      <c r="E17" s="3">
        <v>244</v>
      </c>
      <c r="F17" s="3">
        <v>1968</v>
      </c>
      <c r="G17" s="4">
        <v>168.16</v>
      </c>
      <c r="H17" s="4">
        <v>22155.3</v>
      </c>
      <c r="I17" s="4">
        <v>41380.239999999998</v>
      </c>
      <c r="J17" s="4">
        <v>169.59</v>
      </c>
      <c r="K17" s="3">
        <v>24608</v>
      </c>
      <c r="L17" s="4">
        <v>22155.3</v>
      </c>
      <c r="M17" s="4">
        <v>41380.239999999998</v>
      </c>
      <c r="N17" s="4">
        <v>60091.73</v>
      </c>
    </row>
    <row r="18" spans="1:14" x14ac:dyDescent="0.2">
      <c r="A18" s="2" t="s">
        <v>59</v>
      </c>
      <c r="B18" s="3">
        <v>1574</v>
      </c>
      <c r="C18" s="3">
        <v>61</v>
      </c>
      <c r="D18" s="3">
        <v>1484</v>
      </c>
      <c r="E18" s="3">
        <v>255</v>
      </c>
      <c r="F18" s="3">
        <v>1607</v>
      </c>
      <c r="G18" s="4">
        <v>155.07</v>
      </c>
      <c r="H18" s="4">
        <v>18245.150000000001</v>
      </c>
      <c r="I18" s="4">
        <v>35774.120000000003</v>
      </c>
      <c r="J18" s="4">
        <v>140.47999999999999</v>
      </c>
      <c r="K18" s="3">
        <v>23009</v>
      </c>
      <c r="L18" s="4">
        <v>18245.150000000001</v>
      </c>
      <c r="M18" s="4">
        <v>35774.120000000003</v>
      </c>
      <c r="N18" s="4">
        <v>67026.16</v>
      </c>
    </row>
    <row r="19" spans="1:14" x14ac:dyDescent="0.2">
      <c r="A19" s="2" t="s">
        <v>60</v>
      </c>
      <c r="B19" s="3">
        <v>1646</v>
      </c>
      <c r="C19" s="3">
        <v>73</v>
      </c>
      <c r="D19" s="3">
        <v>1563</v>
      </c>
      <c r="E19" s="3">
        <v>249</v>
      </c>
      <c r="F19" s="3">
        <v>1807</v>
      </c>
      <c r="G19" s="4">
        <v>143.77000000000001</v>
      </c>
      <c r="H19" s="4">
        <v>16169.78</v>
      </c>
      <c r="I19" s="4">
        <v>28108.93</v>
      </c>
      <c r="J19" s="4">
        <v>112.89</v>
      </c>
      <c r="K19" s="3">
        <v>19551</v>
      </c>
      <c r="L19" s="4">
        <v>16169.78</v>
      </c>
      <c r="M19" s="4">
        <v>28108.93</v>
      </c>
      <c r="N19" s="4">
        <v>60965.18</v>
      </c>
    </row>
    <row r="20" spans="1:14" x14ac:dyDescent="0.2">
      <c r="A20" s="2" t="s">
        <v>61</v>
      </c>
      <c r="B20" s="3">
        <v>1666</v>
      </c>
      <c r="C20" s="3">
        <v>76</v>
      </c>
      <c r="D20" s="3">
        <v>1582</v>
      </c>
      <c r="E20" s="3">
        <v>250</v>
      </c>
      <c r="F20" s="3">
        <v>1683</v>
      </c>
      <c r="G20" s="4">
        <v>136.05000000000001</v>
      </c>
      <c r="H20" s="4">
        <v>16591.599999999999</v>
      </c>
      <c r="I20" s="4">
        <v>27082.79</v>
      </c>
      <c r="J20" s="4">
        <v>108.33</v>
      </c>
      <c r="K20" s="3">
        <v>19907</v>
      </c>
      <c r="L20" s="4">
        <v>16591.599999999999</v>
      </c>
      <c r="M20" s="4">
        <v>27082.79</v>
      </c>
      <c r="N20" s="4">
        <v>62390.35</v>
      </c>
    </row>
    <row r="21" spans="1:14" x14ac:dyDescent="0.2">
      <c r="A21" s="2" t="s">
        <v>62</v>
      </c>
      <c r="B21" s="3">
        <v>1688</v>
      </c>
      <c r="C21" s="3">
        <v>75</v>
      </c>
      <c r="D21" s="3">
        <v>1586</v>
      </c>
      <c r="E21" s="3">
        <v>251</v>
      </c>
      <c r="F21" s="3">
        <v>2860</v>
      </c>
      <c r="G21" s="4">
        <v>144.32</v>
      </c>
      <c r="H21" s="4">
        <v>15337.16</v>
      </c>
      <c r="I21" s="4">
        <v>28084.880000000001</v>
      </c>
      <c r="J21" s="4">
        <v>111.89</v>
      </c>
      <c r="K21" s="3">
        <v>19460</v>
      </c>
      <c r="L21" s="4">
        <v>15337.16</v>
      </c>
      <c r="M21" s="4">
        <v>28084.880000000001</v>
      </c>
      <c r="N21" s="4">
        <v>72777.2</v>
      </c>
    </row>
    <row r="22" spans="1:14" x14ac:dyDescent="0.2">
      <c r="A22" s="2" t="s">
        <v>63</v>
      </c>
      <c r="B22" s="3">
        <v>1733</v>
      </c>
      <c r="C22" s="3">
        <v>4</v>
      </c>
      <c r="D22" s="3">
        <v>1544</v>
      </c>
      <c r="E22" s="3">
        <v>243</v>
      </c>
      <c r="F22" s="3">
        <v>1603</v>
      </c>
      <c r="G22" s="4">
        <v>183.28</v>
      </c>
      <c r="H22" s="4">
        <v>23617.79</v>
      </c>
      <c r="I22" s="4">
        <v>43296.55</v>
      </c>
      <c r="J22" s="4">
        <v>178.18</v>
      </c>
      <c r="K22" s="3">
        <v>23623</v>
      </c>
      <c r="L22" s="4">
        <v>23617.79</v>
      </c>
      <c r="M22" s="4">
        <v>43296.55</v>
      </c>
      <c r="N22" s="4">
        <v>99301.22</v>
      </c>
    </row>
    <row r="23" spans="1:14" x14ac:dyDescent="0.2">
      <c r="A23" s="2" t="s">
        <v>64</v>
      </c>
      <c r="B23" s="3">
        <v>1808</v>
      </c>
      <c r="C23" s="3">
        <v>4</v>
      </c>
      <c r="D23" s="3">
        <v>1613</v>
      </c>
      <c r="E23" s="3">
        <v>247</v>
      </c>
      <c r="F23" s="3">
        <v>1615</v>
      </c>
      <c r="G23" s="4">
        <v>185.18</v>
      </c>
      <c r="H23" s="4">
        <v>22017.71</v>
      </c>
      <c r="I23" s="4">
        <v>42369.83</v>
      </c>
      <c r="J23" s="4">
        <v>171.54</v>
      </c>
      <c r="K23" s="3">
        <v>22881</v>
      </c>
      <c r="L23" s="4">
        <v>22017.71</v>
      </c>
      <c r="M23" s="4">
        <v>42369.83</v>
      </c>
      <c r="N23" s="4">
        <v>93104.71</v>
      </c>
    </row>
    <row r="24" spans="1:14" x14ac:dyDescent="0.2">
      <c r="A24" s="2" t="s">
        <v>65</v>
      </c>
      <c r="B24" s="3">
        <v>1817</v>
      </c>
      <c r="C24" s="3">
        <v>4</v>
      </c>
      <c r="D24" s="3">
        <v>1696</v>
      </c>
      <c r="E24" s="3">
        <v>248</v>
      </c>
      <c r="F24" s="3">
        <v>2484</v>
      </c>
      <c r="G24" s="4">
        <v>197.6</v>
      </c>
      <c r="H24" s="4">
        <v>26245.34</v>
      </c>
      <c r="I24" s="4">
        <v>50559.13</v>
      </c>
      <c r="J24" s="4">
        <v>203.87</v>
      </c>
      <c r="K24" s="3">
        <v>25586</v>
      </c>
      <c r="L24" s="4">
        <v>26245.34</v>
      </c>
      <c r="M24" s="4">
        <v>50559.13</v>
      </c>
      <c r="N24" s="4">
        <v>119784.21</v>
      </c>
    </row>
    <row r="25" spans="1:14" x14ac:dyDescent="0.2">
      <c r="A25" s="2" t="s">
        <v>66</v>
      </c>
      <c r="B25" s="3">
        <v>1931</v>
      </c>
      <c r="C25" s="3">
        <v>4</v>
      </c>
      <c r="D25" s="3">
        <v>1817</v>
      </c>
      <c r="E25" s="3">
        <v>246</v>
      </c>
      <c r="F25" s="3">
        <v>2821</v>
      </c>
      <c r="G25" s="4">
        <v>249.14</v>
      </c>
      <c r="H25" s="4">
        <v>37718.36</v>
      </c>
      <c r="I25" s="4">
        <v>72348.259999999995</v>
      </c>
      <c r="J25" s="4">
        <v>294.10000000000002</v>
      </c>
      <c r="K25" s="3">
        <v>29039</v>
      </c>
      <c r="L25" s="4">
        <v>37718.36</v>
      </c>
      <c r="M25" s="4">
        <v>72348.259999999995</v>
      </c>
      <c r="N25" s="4">
        <v>140441.51999999999</v>
      </c>
    </row>
    <row r="26" spans="1:14" x14ac:dyDescent="0.2">
      <c r="A26" s="2" t="s">
        <v>67</v>
      </c>
      <c r="B26" s="3">
        <v>1931</v>
      </c>
      <c r="C26" s="3">
        <v>4</v>
      </c>
      <c r="D26" s="3">
        <v>1884</v>
      </c>
      <c r="E26" s="3">
        <v>248</v>
      </c>
      <c r="F26" s="3">
        <v>2960</v>
      </c>
      <c r="G26" s="4">
        <v>285.32</v>
      </c>
      <c r="H26" s="4">
        <v>37499.760000000002</v>
      </c>
      <c r="I26" s="4">
        <v>79490.039999999994</v>
      </c>
      <c r="J26" s="4">
        <v>320.52</v>
      </c>
      <c r="K26" s="3">
        <v>27860</v>
      </c>
      <c r="L26" s="4">
        <v>37499.760000000002</v>
      </c>
      <c r="M26" s="4">
        <v>79490.039999999994</v>
      </c>
      <c r="N26" s="4">
        <v>149342.26999999999</v>
      </c>
    </row>
    <row r="27" spans="1:14" x14ac:dyDescent="0.2">
      <c r="A27" s="2" t="s">
        <v>68</v>
      </c>
      <c r="B27" s="3">
        <v>1949</v>
      </c>
      <c r="C27" s="3">
        <v>18</v>
      </c>
      <c r="D27" s="3">
        <v>1882</v>
      </c>
      <c r="E27" s="3">
        <v>247</v>
      </c>
      <c r="F27" s="3">
        <v>3122</v>
      </c>
      <c r="G27" s="4">
        <v>314.60000000000002</v>
      </c>
      <c r="H27" s="4">
        <v>46740.57</v>
      </c>
      <c r="I27" s="4">
        <v>89988.11</v>
      </c>
      <c r="J27" s="4">
        <v>364.32</v>
      </c>
      <c r="K27" s="3">
        <v>28604</v>
      </c>
      <c r="L27" s="4">
        <v>46740.57</v>
      </c>
      <c r="M27" s="4">
        <v>89988.11</v>
      </c>
      <c r="N27" s="4">
        <v>112431.12</v>
      </c>
    </row>
    <row r="28" spans="1:14" x14ac:dyDescent="0.2">
      <c r="A28" s="2" t="s">
        <v>69</v>
      </c>
      <c r="B28" s="3">
        <v>1969</v>
      </c>
      <c r="C28" s="3">
        <v>24</v>
      </c>
      <c r="D28" s="3">
        <v>1910</v>
      </c>
      <c r="E28" s="3">
        <v>249</v>
      </c>
      <c r="F28" s="3">
        <v>3297</v>
      </c>
      <c r="G28" s="4">
        <v>463.28</v>
      </c>
      <c r="H28" s="4">
        <v>74295.789999999994</v>
      </c>
      <c r="I28" s="4">
        <v>153979.07999999999</v>
      </c>
      <c r="J28" s="4">
        <v>618.39</v>
      </c>
      <c r="K28" s="3">
        <v>33237</v>
      </c>
      <c r="L28" s="4">
        <v>74295.789999999994</v>
      </c>
      <c r="M28" s="4">
        <v>153979.07999999999</v>
      </c>
      <c r="N28" s="4">
        <v>202958.13</v>
      </c>
    </row>
    <row r="29" spans="1:14" x14ac:dyDescent="0.2">
      <c r="A29" s="2" t="s">
        <v>70</v>
      </c>
      <c r="B29" s="3">
        <v>2065</v>
      </c>
      <c r="C29" s="3">
        <v>27</v>
      </c>
      <c r="D29" s="3">
        <v>2011</v>
      </c>
      <c r="E29" s="3">
        <v>248</v>
      </c>
      <c r="F29" s="3">
        <v>3602</v>
      </c>
      <c r="G29" s="4">
        <v>557.09</v>
      </c>
      <c r="H29" s="4">
        <v>76102.38</v>
      </c>
      <c r="I29" s="4">
        <v>165662.37</v>
      </c>
      <c r="J29" s="4">
        <v>667.99</v>
      </c>
      <c r="K29" s="3">
        <v>29737</v>
      </c>
      <c r="L29" s="4">
        <v>76102.38</v>
      </c>
      <c r="M29" s="4">
        <v>165662.37</v>
      </c>
      <c r="N29" s="4">
        <v>261810.64</v>
      </c>
    </row>
    <row r="30" spans="1:14" x14ac:dyDescent="0.2">
      <c r="A30" s="2" t="s">
        <v>71</v>
      </c>
      <c r="B30" s="3">
        <v>2191</v>
      </c>
      <c r="C30" s="3">
        <v>28</v>
      </c>
      <c r="D30" s="3">
        <v>2138</v>
      </c>
      <c r="E30" s="3">
        <v>249</v>
      </c>
      <c r="F30" s="3">
        <v>3983</v>
      </c>
      <c r="G30" s="4">
        <v>473.31</v>
      </c>
      <c r="H30" s="4">
        <v>62768.480000000003</v>
      </c>
      <c r="I30" s="4">
        <v>133050.73000000001</v>
      </c>
      <c r="J30" s="4">
        <v>534.34</v>
      </c>
      <c r="K30" s="3">
        <v>28111</v>
      </c>
      <c r="L30" s="4">
        <v>62768.480000000003</v>
      </c>
      <c r="M30" s="4">
        <v>133050.73000000001</v>
      </c>
      <c r="N30" s="4">
        <v>256327.04000000001</v>
      </c>
    </row>
    <row r="31" spans="1:14" x14ac:dyDescent="0.2">
      <c r="A31" s="2" t="s">
        <v>72</v>
      </c>
      <c r="B31" s="3">
        <v>2438</v>
      </c>
      <c r="C31" s="3">
        <v>3</v>
      </c>
      <c r="D31" s="3">
        <v>2365</v>
      </c>
      <c r="E31" s="3">
        <v>246</v>
      </c>
      <c r="F31" s="3">
        <v>5065</v>
      </c>
      <c r="G31" s="4">
        <v>681.25</v>
      </c>
      <c r="H31" s="4">
        <v>101798.61</v>
      </c>
      <c r="I31" s="4">
        <v>201034.39</v>
      </c>
      <c r="J31" s="4">
        <v>817.21</v>
      </c>
      <c r="K31" s="3">
        <v>29510</v>
      </c>
      <c r="L31" s="4">
        <v>101798.61</v>
      </c>
      <c r="M31" s="4">
        <v>201034.39</v>
      </c>
      <c r="N31" s="4">
        <v>384216.68</v>
      </c>
    </row>
    <row r="32" spans="1:14" x14ac:dyDescent="0.2">
      <c r="A32" s="2" t="s">
        <v>73</v>
      </c>
      <c r="B32" s="3">
        <v>2719</v>
      </c>
      <c r="C32" s="3">
        <v>3</v>
      </c>
      <c r="D32" s="3">
        <v>2645</v>
      </c>
      <c r="E32" s="3">
        <v>249</v>
      </c>
      <c r="F32" s="3">
        <v>6381</v>
      </c>
      <c r="G32" s="4">
        <v>968.38</v>
      </c>
      <c r="H32" s="4">
        <v>104279.95</v>
      </c>
      <c r="I32" s="4">
        <v>281278.48</v>
      </c>
      <c r="J32" s="4">
        <v>1129.6300000000001</v>
      </c>
      <c r="K32" s="3">
        <v>29046</v>
      </c>
      <c r="L32" s="4">
        <v>104279.95</v>
      </c>
      <c r="M32" s="4">
        <v>281278.48</v>
      </c>
      <c r="N32" s="4">
        <v>410869.29</v>
      </c>
    </row>
    <row r="33" spans="1:14" x14ac:dyDescent="0.2">
      <c r="A33" s="2" t="s">
        <v>74</v>
      </c>
      <c r="B33" s="3">
        <v>2978</v>
      </c>
      <c r="C33" s="3">
        <v>3</v>
      </c>
      <c r="D33" s="3">
        <v>2898</v>
      </c>
      <c r="E33" s="3">
        <v>247</v>
      </c>
      <c r="F33" s="3">
        <v>6418</v>
      </c>
      <c r="G33" s="4">
        <v>826.19</v>
      </c>
      <c r="H33" s="4">
        <v>111290.2</v>
      </c>
      <c r="I33" s="4">
        <v>260626.17</v>
      </c>
      <c r="J33" s="4">
        <v>1055.17</v>
      </c>
      <c r="K33" s="3">
        <v>31545</v>
      </c>
      <c r="L33" s="4">
        <v>111290.2</v>
      </c>
      <c r="M33" s="4">
        <v>260626.17</v>
      </c>
      <c r="N33" s="4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6" customWidth="1"/>
    <col min="5" max="5" width="18" customWidth="1"/>
    <col min="6" max="6" width="26" customWidth="1"/>
    <col min="7" max="7" width="16" customWidth="1"/>
    <col min="8" max="8" width="20" customWidth="1"/>
    <col min="9" max="9" width="18" customWidth="1"/>
    <col min="10" max="10" width="20" customWidth="1"/>
    <col min="11" max="11" width="18" customWidth="1"/>
    <col min="12" max="12" width="26" customWidth="1"/>
    <col min="13" max="13" width="20" customWidth="1"/>
    <col min="14" max="14" width="24" customWidth="1"/>
    <col min="15" max="15" width="20" customWidth="1"/>
    <col min="16" max="16" width="24" customWidth="1"/>
  </cols>
  <sheetData>
    <row r="1" spans="1:16" x14ac:dyDescent="0.2">
      <c r="A1" s="1" t="s">
        <v>208</v>
      </c>
      <c r="B1" s="1" t="s">
        <v>34</v>
      </c>
      <c r="C1" s="1" t="s">
        <v>82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</row>
    <row r="2" spans="1:16" x14ac:dyDescent="0.2">
      <c r="A2" s="5">
        <v>36251</v>
      </c>
      <c r="B2" s="2" t="s">
        <v>48</v>
      </c>
      <c r="C2" s="2" t="s">
        <v>92</v>
      </c>
      <c r="D2" s="3">
        <v>662</v>
      </c>
      <c r="E2" s="3">
        <v>600</v>
      </c>
      <c r="F2" s="3">
        <v>1251</v>
      </c>
      <c r="G2" s="3">
        <v>20</v>
      </c>
      <c r="H2" s="3">
        <v>1173</v>
      </c>
      <c r="I2" s="4">
        <v>0.49</v>
      </c>
      <c r="J2" s="4">
        <v>117.58</v>
      </c>
      <c r="K2" s="4">
        <v>359.33</v>
      </c>
      <c r="L2" s="4">
        <v>17.97</v>
      </c>
      <c r="M2" s="3">
        <v>72790</v>
      </c>
      <c r="N2" s="4">
        <v>56.33</v>
      </c>
      <c r="O2" s="4">
        <v>267.99</v>
      </c>
      <c r="P2" s="4">
        <v>4453.8</v>
      </c>
    </row>
    <row r="3" spans="1:16" x14ac:dyDescent="0.2">
      <c r="A3" s="5">
        <v>36281</v>
      </c>
      <c r="B3" s="2" t="s">
        <v>48</v>
      </c>
      <c r="C3" s="2" t="s">
        <v>92</v>
      </c>
      <c r="D3" s="3">
        <v>660</v>
      </c>
      <c r="E3" s="3">
        <v>597</v>
      </c>
      <c r="F3" s="3">
        <v>1246</v>
      </c>
      <c r="G3" s="3">
        <v>21</v>
      </c>
      <c r="H3" s="3">
        <v>1168</v>
      </c>
      <c r="I3" s="4">
        <v>0.67</v>
      </c>
      <c r="J3" s="4">
        <v>188.31</v>
      </c>
      <c r="K3" s="4">
        <v>502.63</v>
      </c>
      <c r="L3" s="4">
        <v>23.93</v>
      </c>
      <c r="M3" s="3">
        <v>75090</v>
      </c>
      <c r="N3" s="4">
        <v>121.87</v>
      </c>
      <c r="O3" s="4">
        <v>421.87</v>
      </c>
      <c r="P3" s="4">
        <v>5039.1099999999997</v>
      </c>
    </row>
    <row r="4" spans="1:16" x14ac:dyDescent="0.2">
      <c r="A4" s="5">
        <v>36312</v>
      </c>
      <c r="B4" s="2" t="s">
        <v>48</v>
      </c>
      <c r="C4" s="2" t="s">
        <v>92</v>
      </c>
      <c r="D4" s="3">
        <v>667</v>
      </c>
      <c r="E4" s="3">
        <v>591</v>
      </c>
      <c r="F4" s="3">
        <v>1247</v>
      </c>
      <c r="G4" s="3">
        <v>22</v>
      </c>
      <c r="H4" s="3">
        <v>1158</v>
      </c>
      <c r="I4" s="4">
        <v>0.6</v>
      </c>
      <c r="J4" s="4">
        <v>192.07</v>
      </c>
      <c r="K4" s="4">
        <v>404.73</v>
      </c>
      <c r="L4" s="4">
        <v>18.399999999999999</v>
      </c>
      <c r="M4" s="3">
        <v>67441</v>
      </c>
      <c r="N4" s="4">
        <v>127.7</v>
      </c>
      <c r="O4" s="4">
        <v>356.74</v>
      </c>
      <c r="P4" s="4">
        <v>5294.68</v>
      </c>
    </row>
    <row r="5" spans="1:16" x14ac:dyDescent="0.2">
      <c r="A5" s="5">
        <v>36342</v>
      </c>
      <c r="B5" s="2" t="s">
        <v>48</v>
      </c>
      <c r="C5" s="2" t="s">
        <v>93</v>
      </c>
      <c r="D5" s="3">
        <v>669</v>
      </c>
      <c r="E5" s="3">
        <v>580</v>
      </c>
      <c r="F5" s="3">
        <v>1238</v>
      </c>
      <c r="G5" s="3">
        <v>22</v>
      </c>
      <c r="H5" s="3">
        <v>1181</v>
      </c>
      <c r="I5" s="4">
        <v>0.77</v>
      </c>
      <c r="J5" s="4">
        <v>233.49</v>
      </c>
      <c r="K5" s="4">
        <v>554.54999999999995</v>
      </c>
      <c r="L5" s="4">
        <v>25.21</v>
      </c>
      <c r="M5" s="3">
        <v>72429</v>
      </c>
      <c r="N5" s="4">
        <v>150.49</v>
      </c>
      <c r="O5" s="4">
        <v>483.33</v>
      </c>
      <c r="P5" s="4">
        <v>5936.51</v>
      </c>
    </row>
    <row r="6" spans="1:16" x14ac:dyDescent="0.2">
      <c r="A6" s="5">
        <v>36373</v>
      </c>
      <c r="B6" s="2" t="s">
        <v>48</v>
      </c>
      <c r="C6" s="2" t="s">
        <v>93</v>
      </c>
      <c r="D6" s="3">
        <v>671</v>
      </c>
      <c r="E6" s="3">
        <v>579</v>
      </c>
      <c r="F6" s="3">
        <v>1239</v>
      </c>
      <c r="G6" s="3">
        <v>22</v>
      </c>
      <c r="H6" s="3">
        <v>1179</v>
      </c>
      <c r="I6" s="4">
        <v>0.81</v>
      </c>
      <c r="J6" s="4">
        <v>228.69</v>
      </c>
      <c r="K6" s="4">
        <v>536.99</v>
      </c>
      <c r="L6" s="4">
        <v>24.41</v>
      </c>
      <c r="M6" s="3">
        <v>65956</v>
      </c>
      <c r="N6" s="4">
        <v>119.63</v>
      </c>
      <c r="O6" s="4">
        <v>421.47</v>
      </c>
      <c r="P6" s="4">
        <v>6681.87</v>
      </c>
    </row>
    <row r="7" spans="1:16" x14ac:dyDescent="0.2">
      <c r="A7" s="5">
        <v>36404</v>
      </c>
      <c r="B7" s="2" t="s">
        <v>48</v>
      </c>
      <c r="C7" s="2" t="s">
        <v>93</v>
      </c>
      <c r="D7" s="3">
        <v>679</v>
      </c>
      <c r="E7" s="3">
        <v>577</v>
      </c>
      <c r="F7" s="3">
        <v>1245</v>
      </c>
      <c r="G7" s="3">
        <v>21</v>
      </c>
      <c r="H7" s="3">
        <v>1181</v>
      </c>
      <c r="I7" s="4">
        <v>0.8</v>
      </c>
      <c r="J7" s="4">
        <v>218.57</v>
      </c>
      <c r="K7" s="4">
        <v>558.78</v>
      </c>
      <c r="L7" s="4">
        <v>26.61</v>
      </c>
      <c r="M7" s="3">
        <v>69777</v>
      </c>
      <c r="N7" s="4">
        <v>116.53</v>
      </c>
      <c r="O7" s="4">
        <v>420.23</v>
      </c>
      <c r="P7" s="4">
        <v>6867.4</v>
      </c>
    </row>
    <row r="8" spans="1:16" x14ac:dyDescent="0.2">
      <c r="A8" s="5">
        <v>36434</v>
      </c>
      <c r="B8" s="2" t="s">
        <v>48</v>
      </c>
      <c r="C8" s="2" t="s">
        <v>94</v>
      </c>
      <c r="D8" s="3">
        <v>685</v>
      </c>
      <c r="E8" s="3">
        <v>572</v>
      </c>
      <c r="F8" s="3">
        <v>1233</v>
      </c>
      <c r="G8" s="3">
        <v>21</v>
      </c>
      <c r="H8" s="3">
        <v>1188</v>
      </c>
      <c r="I8" s="4">
        <v>0.92</v>
      </c>
      <c r="J8" s="4">
        <v>261</v>
      </c>
      <c r="K8" s="4">
        <v>722.16</v>
      </c>
      <c r="L8" s="4">
        <v>34.39</v>
      </c>
      <c r="M8" s="3">
        <v>78803</v>
      </c>
      <c r="N8" s="4">
        <v>141.6</v>
      </c>
      <c r="O8" s="4">
        <v>524.45000000000005</v>
      </c>
      <c r="P8" s="4">
        <v>6700.62</v>
      </c>
    </row>
    <row r="9" spans="1:16" x14ac:dyDescent="0.2">
      <c r="A9" s="5">
        <v>36465</v>
      </c>
      <c r="B9" s="2" t="s">
        <v>48</v>
      </c>
      <c r="C9" s="2" t="s">
        <v>94</v>
      </c>
      <c r="D9" s="3">
        <v>691</v>
      </c>
      <c r="E9" s="3">
        <v>546</v>
      </c>
      <c r="F9" s="3">
        <v>1237</v>
      </c>
      <c r="G9" s="3">
        <v>21</v>
      </c>
      <c r="H9" s="3">
        <v>1180</v>
      </c>
      <c r="I9" s="4">
        <v>0.77</v>
      </c>
      <c r="J9" s="4">
        <v>188.47</v>
      </c>
      <c r="K9" s="4">
        <v>663.31</v>
      </c>
      <c r="L9" s="4">
        <v>31.59</v>
      </c>
      <c r="M9" s="3">
        <v>85942</v>
      </c>
      <c r="N9" s="4">
        <v>113.87</v>
      </c>
      <c r="O9" s="4">
        <v>500.04</v>
      </c>
      <c r="P9" s="4">
        <v>7264.19</v>
      </c>
    </row>
    <row r="10" spans="1:16" x14ac:dyDescent="0.2">
      <c r="A10" s="5">
        <v>36495</v>
      </c>
      <c r="B10" s="2" t="s">
        <v>48</v>
      </c>
      <c r="C10" s="2" t="s">
        <v>94</v>
      </c>
      <c r="D10" s="3">
        <v>700</v>
      </c>
      <c r="E10" s="3">
        <v>543</v>
      </c>
      <c r="F10" s="3">
        <v>1211</v>
      </c>
      <c r="G10" s="3">
        <v>22</v>
      </c>
      <c r="H10" s="3">
        <v>1162</v>
      </c>
      <c r="I10" s="4">
        <v>1.03</v>
      </c>
      <c r="J10" s="4">
        <v>240.34</v>
      </c>
      <c r="K10" s="4">
        <v>985.85</v>
      </c>
      <c r="L10" s="4">
        <v>44.81</v>
      </c>
      <c r="M10" s="3">
        <v>95895</v>
      </c>
      <c r="N10" s="4">
        <v>163.33000000000001</v>
      </c>
      <c r="O10" s="4">
        <v>871.7</v>
      </c>
      <c r="P10" s="4">
        <v>8529.85</v>
      </c>
    </row>
    <row r="11" spans="1:16" x14ac:dyDescent="0.2">
      <c r="A11" s="5">
        <v>36526</v>
      </c>
      <c r="B11" s="2" t="s">
        <v>48</v>
      </c>
      <c r="C11" s="2" t="s">
        <v>95</v>
      </c>
      <c r="D11" s="3">
        <v>706</v>
      </c>
      <c r="E11" s="3">
        <v>534</v>
      </c>
      <c r="F11" s="3">
        <v>1203</v>
      </c>
      <c r="G11" s="3">
        <v>20</v>
      </c>
      <c r="H11" s="3">
        <v>1164</v>
      </c>
      <c r="I11" s="4">
        <v>0.89</v>
      </c>
      <c r="J11" s="4">
        <v>194.17</v>
      </c>
      <c r="K11" s="4">
        <v>859.39</v>
      </c>
      <c r="L11" s="4">
        <v>42.97</v>
      </c>
      <c r="M11" s="3">
        <v>96408</v>
      </c>
      <c r="N11" s="4">
        <v>145.91999999999999</v>
      </c>
      <c r="O11" s="4">
        <v>771.6</v>
      </c>
      <c r="P11" s="4">
        <v>9517.1200000000008</v>
      </c>
    </row>
    <row r="12" spans="1:16" x14ac:dyDescent="0.2">
      <c r="A12" s="5">
        <v>36557</v>
      </c>
      <c r="B12" s="2" t="s">
        <v>48</v>
      </c>
      <c r="C12" s="2" t="s">
        <v>95</v>
      </c>
      <c r="D12" s="3">
        <v>716</v>
      </c>
      <c r="E12" s="3">
        <v>531</v>
      </c>
      <c r="F12" s="3">
        <v>1204</v>
      </c>
      <c r="G12" s="3">
        <v>21</v>
      </c>
      <c r="H12" s="3">
        <v>1155</v>
      </c>
      <c r="I12" s="4">
        <v>1.0900000000000001</v>
      </c>
      <c r="J12" s="4">
        <v>202.49</v>
      </c>
      <c r="K12" s="4">
        <v>1186.94</v>
      </c>
      <c r="L12" s="4">
        <v>56.52</v>
      </c>
      <c r="M12" s="3">
        <v>108672</v>
      </c>
      <c r="N12" s="4">
        <v>151.16999999999999</v>
      </c>
      <c r="O12" s="4">
        <v>1087.04</v>
      </c>
      <c r="P12" s="4">
        <v>10697.7</v>
      </c>
    </row>
    <row r="13" spans="1:16" x14ac:dyDescent="0.2">
      <c r="A13" s="5">
        <v>36586</v>
      </c>
      <c r="B13" s="2" t="s">
        <v>48</v>
      </c>
      <c r="C13" s="2" t="s">
        <v>95</v>
      </c>
      <c r="D13" s="3">
        <v>720</v>
      </c>
      <c r="E13" s="3">
        <v>479</v>
      </c>
      <c r="F13" s="3">
        <v>1152</v>
      </c>
      <c r="G13" s="3">
        <v>21</v>
      </c>
      <c r="H13" s="3">
        <v>1099</v>
      </c>
      <c r="I13" s="4">
        <v>1</v>
      </c>
      <c r="J13" s="4">
        <v>161.87</v>
      </c>
      <c r="K13" s="4">
        <v>1055.8399999999999</v>
      </c>
      <c r="L13" s="4">
        <v>50.28</v>
      </c>
      <c r="M13" s="3">
        <v>105667</v>
      </c>
      <c r="N13" s="4">
        <v>129.27000000000001</v>
      </c>
      <c r="O13" s="4">
        <v>990.6</v>
      </c>
      <c r="P13" s="4">
        <v>10204.26</v>
      </c>
    </row>
    <row r="14" spans="1:16" x14ac:dyDescent="0.2">
      <c r="A14" s="5">
        <v>36617</v>
      </c>
      <c r="B14" s="2" t="s">
        <v>49</v>
      </c>
      <c r="C14" s="2" t="s">
        <v>96</v>
      </c>
      <c r="D14" s="3">
        <v>725</v>
      </c>
      <c r="E14" s="3">
        <v>473</v>
      </c>
      <c r="F14" s="3">
        <v>1145</v>
      </c>
      <c r="G14" s="3">
        <v>18</v>
      </c>
      <c r="H14" s="3">
        <v>1059</v>
      </c>
      <c r="I14" s="4">
        <v>0.74</v>
      </c>
      <c r="J14" s="4">
        <v>133.9</v>
      </c>
      <c r="K14" s="4">
        <v>572.29</v>
      </c>
      <c r="L14" s="4">
        <v>31.79</v>
      </c>
      <c r="M14" s="3">
        <v>77649</v>
      </c>
      <c r="N14" s="4">
        <v>116.79</v>
      </c>
      <c r="O14" s="4">
        <v>520.21</v>
      </c>
      <c r="P14" s="4">
        <v>8463.91</v>
      </c>
    </row>
    <row r="15" spans="1:16" x14ac:dyDescent="0.2">
      <c r="A15" s="5">
        <v>36647</v>
      </c>
      <c r="B15" s="2" t="s">
        <v>49</v>
      </c>
      <c r="C15" s="2" t="s">
        <v>96</v>
      </c>
      <c r="D15" s="3">
        <v>733</v>
      </c>
      <c r="E15" s="3">
        <v>431</v>
      </c>
      <c r="F15" s="3">
        <v>1109</v>
      </c>
      <c r="G15" s="3">
        <v>22</v>
      </c>
      <c r="H15" s="3">
        <v>1050</v>
      </c>
      <c r="I15" s="4">
        <v>1.1100000000000001</v>
      </c>
      <c r="J15" s="4">
        <v>164.77</v>
      </c>
      <c r="K15" s="4">
        <v>790.37</v>
      </c>
      <c r="L15" s="4">
        <v>35.93</v>
      </c>
      <c r="M15" s="3">
        <v>71501</v>
      </c>
      <c r="N15" s="4">
        <v>145.38</v>
      </c>
      <c r="O15" s="4">
        <v>729.95</v>
      </c>
      <c r="P15" s="4">
        <v>7904.78</v>
      </c>
    </row>
    <row r="16" spans="1:16" x14ac:dyDescent="0.2">
      <c r="A16" s="5">
        <v>36678</v>
      </c>
      <c r="B16" s="2" t="s">
        <v>49</v>
      </c>
      <c r="C16" s="2" t="s">
        <v>96</v>
      </c>
      <c r="D16" s="3">
        <v>741</v>
      </c>
      <c r="E16" s="3">
        <v>423</v>
      </c>
      <c r="F16" s="3">
        <v>1109</v>
      </c>
      <c r="G16" s="3">
        <v>22</v>
      </c>
      <c r="H16" s="3">
        <v>1058</v>
      </c>
      <c r="I16" s="4">
        <v>1.32</v>
      </c>
      <c r="J16" s="4">
        <v>196.07</v>
      </c>
      <c r="K16" s="4">
        <v>1193.73</v>
      </c>
      <c r="L16" s="4">
        <v>54.26</v>
      </c>
      <c r="M16" s="3">
        <v>90694</v>
      </c>
      <c r="N16" s="4">
        <v>173.92</v>
      </c>
      <c r="O16" s="4">
        <v>1119.26</v>
      </c>
      <c r="P16" s="4">
        <v>8525.5400000000009</v>
      </c>
    </row>
    <row r="17" spans="1:16" x14ac:dyDescent="0.2">
      <c r="A17" s="5">
        <v>36708</v>
      </c>
      <c r="B17" s="2" t="s">
        <v>49</v>
      </c>
      <c r="C17" s="2" t="s">
        <v>97</v>
      </c>
      <c r="D17" s="3">
        <v>747</v>
      </c>
      <c r="E17" s="3">
        <v>410</v>
      </c>
      <c r="F17" s="3">
        <v>1094</v>
      </c>
      <c r="G17" s="3">
        <v>21</v>
      </c>
      <c r="H17" s="3">
        <v>1050</v>
      </c>
      <c r="I17" s="4">
        <v>1.22</v>
      </c>
      <c r="J17" s="4">
        <v>191.14</v>
      </c>
      <c r="K17" s="4">
        <v>1100.56</v>
      </c>
      <c r="L17" s="4">
        <v>52.41</v>
      </c>
      <c r="M17" s="3">
        <v>89881</v>
      </c>
      <c r="N17" s="4">
        <v>171.14</v>
      </c>
      <c r="O17" s="4">
        <v>1018.47</v>
      </c>
      <c r="P17" s="4">
        <v>7464.02</v>
      </c>
    </row>
    <row r="18" spans="1:16" x14ac:dyDescent="0.2">
      <c r="A18" s="5">
        <v>36739</v>
      </c>
      <c r="B18" s="2" t="s">
        <v>49</v>
      </c>
      <c r="C18" s="2" t="s">
        <v>97</v>
      </c>
      <c r="D18" s="3">
        <v>751</v>
      </c>
      <c r="E18" s="3">
        <v>410</v>
      </c>
      <c r="F18" s="3">
        <v>1089</v>
      </c>
      <c r="G18" s="3">
        <v>22</v>
      </c>
      <c r="H18" s="3">
        <v>1038</v>
      </c>
      <c r="I18" s="4">
        <v>1.38</v>
      </c>
      <c r="J18" s="4">
        <v>234.56</v>
      </c>
      <c r="K18" s="4">
        <v>1253.47</v>
      </c>
      <c r="L18" s="4">
        <v>56.98</v>
      </c>
      <c r="M18" s="3">
        <v>91004</v>
      </c>
      <c r="N18" s="4">
        <v>211.77</v>
      </c>
      <c r="O18" s="4">
        <v>1161.8599999999999</v>
      </c>
      <c r="P18" s="4">
        <v>7945.16</v>
      </c>
    </row>
    <row r="19" spans="1:16" x14ac:dyDescent="0.2">
      <c r="A19" s="5">
        <v>36770</v>
      </c>
      <c r="B19" s="2" t="s">
        <v>49</v>
      </c>
      <c r="C19" s="2" t="s">
        <v>97</v>
      </c>
      <c r="D19" s="3">
        <v>758</v>
      </c>
      <c r="E19" s="3">
        <v>379</v>
      </c>
      <c r="F19" s="3">
        <v>1070</v>
      </c>
      <c r="G19" s="3">
        <v>20</v>
      </c>
      <c r="H19" s="3">
        <v>1035</v>
      </c>
      <c r="I19" s="4">
        <v>1.42</v>
      </c>
      <c r="J19" s="4">
        <v>259.45999999999998</v>
      </c>
      <c r="K19" s="4">
        <v>1424.8</v>
      </c>
      <c r="L19" s="4">
        <v>71.239999999999995</v>
      </c>
      <c r="M19" s="3">
        <v>100428</v>
      </c>
      <c r="N19" s="4">
        <v>241.67</v>
      </c>
      <c r="O19" s="4">
        <v>1357.14</v>
      </c>
      <c r="P19" s="4">
        <v>7303.5</v>
      </c>
    </row>
    <row r="20" spans="1:16" x14ac:dyDescent="0.2">
      <c r="A20" s="5">
        <v>36800</v>
      </c>
      <c r="B20" s="2" t="s">
        <v>49</v>
      </c>
      <c r="C20" s="2" t="s">
        <v>98</v>
      </c>
      <c r="D20" s="3">
        <v>764</v>
      </c>
      <c r="E20" s="3">
        <v>377</v>
      </c>
      <c r="F20" s="3">
        <v>1067</v>
      </c>
      <c r="G20" s="3">
        <v>21</v>
      </c>
      <c r="H20" s="3">
        <v>993</v>
      </c>
      <c r="I20" s="4">
        <v>1.31</v>
      </c>
      <c r="J20" s="4">
        <v>241.54</v>
      </c>
      <c r="K20" s="4">
        <v>1068.54</v>
      </c>
      <c r="L20" s="4">
        <v>50.88</v>
      </c>
      <c r="M20" s="3">
        <v>81553</v>
      </c>
      <c r="N20" s="4">
        <v>218.6</v>
      </c>
      <c r="O20" s="4">
        <v>995.67</v>
      </c>
      <c r="P20" s="4">
        <v>7071.21</v>
      </c>
    </row>
    <row r="21" spans="1:16" x14ac:dyDescent="0.2">
      <c r="A21" s="5">
        <v>36831</v>
      </c>
      <c r="B21" s="2" t="s">
        <v>49</v>
      </c>
      <c r="C21" s="2" t="s">
        <v>98</v>
      </c>
      <c r="D21" s="3">
        <v>767</v>
      </c>
      <c r="E21" s="3">
        <v>376</v>
      </c>
      <c r="F21" s="3">
        <v>1070</v>
      </c>
      <c r="G21" s="3">
        <v>22</v>
      </c>
      <c r="H21" s="3">
        <v>1006</v>
      </c>
      <c r="I21" s="4">
        <v>1.51</v>
      </c>
      <c r="J21" s="4">
        <v>319.05</v>
      </c>
      <c r="K21" s="4">
        <v>1227.31</v>
      </c>
      <c r="L21" s="4">
        <v>55.79</v>
      </c>
      <c r="M21" s="3">
        <v>81196</v>
      </c>
      <c r="N21" s="4">
        <v>288.57</v>
      </c>
      <c r="O21" s="4">
        <v>1133.3499999999999</v>
      </c>
      <c r="P21" s="4">
        <v>7641.77</v>
      </c>
    </row>
    <row r="22" spans="1:16" x14ac:dyDescent="0.2">
      <c r="A22" s="5">
        <v>36861</v>
      </c>
      <c r="B22" s="2" t="s">
        <v>49</v>
      </c>
      <c r="C22" s="2" t="s">
        <v>98</v>
      </c>
      <c r="D22" s="3">
        <v>775</v>
      </c>
      <c r="E22" s="3">
        <v>350</v>
      </c>
      <c r="F22" s="3">
        <v>1050</v>
      </c>
      <c r="G22" s="3">
        <v>20</v>
      </c>
      <c r="H22" s="3">
        <v>1008</v>
      </c>
      <c r="I22" s="4">
        <v>1.63</v>
      </c>
      <c r="J22" s="4">
        <v>357.9</v>
      </c>
      <c r="K22" s="4">
        <v>1314.15</v>
      </c>
      <c r="L22" s="4">
        <v>65.709999999999994</v>
      </c>
      <c r="M22" s="3">
        <v>80764</v>
      </c>
      <c r="N22" s="4">
        <v>321.58999999999997</v>
      </c>
      <c r="O22" s="4">
        <v>1207.74</v>
      </c>
      <c r="P22" s="4">
        <v>7603.91</v>
      </c>
    </row>
    <row r="23" spans="1:16" x14ac:dyDescent="0.2">
      <c r="A23" s="5">
        <v>36892</v>
      </c>
      <c r="B23" s="2" t="s">
        <v>49</v>
      </c>
      <c r="C23" s="2" t="s">
        <v>99</v>
      </c>
      <c r="D23" s="3">
        <v>778</v>
      </c>
      <c r="E23" s="3">
        <v>348</v>
      </c>
      <c r="F23" s="3">
        <v>1050</v>
      </c>
      <c r="G23" s="3">
        <v>22</v>
      </c>
      <c r="H23" s="3">
        <v>978</v>
      </c>
      <c r="I23" s="4">
        <v>1.86</v>
      </c>
      <c r="J23" s="4">
        <v>421.52</v>
      </c>
      <c r="K23" s="4">
        <v>1488.3</v>
      </c>
      <c r="L23" s="4">
        <v>67.650000000000006</v>
      </c>
      <c r="M23" s="3">
        <v>80212</v>
      </c>
      <c r="N23" s="4">
        <v>407.89</v>
      </c>
      <c r="O23" s="4">
        <v>1439.12</v>
      </c>
      <c r="P23" s="4">
        <v>8076.41</v>
      </c>
    </row>
    <row r="24" spans="1:16" x14ac:dyDescent="0.2">
      <c r="A24" s="5">
        <v>36923</v>
      </c>
      <c r="B24" s="2" t="s">
        <v>49</v>
      </c>
      <c r="C24" s="2" t="s">
        <v>99</v>
      </c>
      <c r="D24" s="3">
        <v>782</v>
      </c>
      <c r="E24" s="3">
        <v>320</v>
      </c>
      <c r="F24" s="3">
        <v>1026</v>
      </c>
      <c r="G24" s="3">
        <v>20</v>
      </c>
      <c r="H24" s="3">
        <v>984</v>
      </c>
      <c r="I24" s="4">
        <v>1.92</v>
      </c>
      <c r="J24" s="4">
        <v>482.68</v>
      </c>
      <c r="K24" s="4">
        <v>1359.32</v>
      </c>
      <c r="L24" s="4">
        <v>67.97</v>
      </c>
      <c r="M24" s="3">
        <v>70923</v>
      </c>
      <c r="N24" s="4">
        <v>482.22</v>
      </c>
      <c r="O24" s="4">
        <v>1358.5</v>
      </c>
      <c r="P24" s="4">
        <v>7896</v>
      </c>
    </row>
    <row r="25" spans="1:16" x14ac:dyDescent="0.2">
      <c r="A25" s="5">
        <v>36951</v>
      </c>
      <c r="B25" s="2" t="s">
        <v>49</v>
      </c>
      <c r="C25" s="2" t="s">
        <v>99</v>
      </c>
      <c r="D25" s="3">
        <v>785</v>
      </c>
      <c r="E25" s="3">
        <v>320</v>
      </c>
      <c r="F25" s="3">
        <v>1029</v>
      </c>
      <c r="G25" s="3">
        <v>21</v>
      </c>
      <c r="H25" s="3">
        <v>964</v>
      </c>
      <c r="I25" s="4">
        <v>1.35</v>
      </c>
      <c r="J25" s="4">
        <v>292.77</v>
      </c>
      <c r="K25" s="4">
        <v>602.26</v>
      </c>
      <c r="L25" s="4">
        <v>28.68</v>
      </c>
      <c r="M25" s="3">
        <v>44723</v>
      </c>
      <c r="N25" s="4">
        <v>292.68</v>
      </c>
      <c r="O25" s="4">
        <v>602.11</v>
      </c>
      <c r="P25" s="4">
        <v>6578.47</v>
      </c>
    </row>
    <row r="26" spans="1:16" x14ac:dyDescent="0.2">
      <c r="A26" s="5">
        <v>36982</v>
      </c>
      <c r="B26" s="2" t="s">
        <v>50</v>
      </c>
      <c r="C26" s="2" t="s">
        <v>100</v>
      </c>
      <c r="D26" s="3">
        <v>790</v>
      </c>
      <c r="E26" s="3">
        <v>319</v>
      </c>
      <c r="F26" s="3">
        <v>1031</v>
      </c>
      <c r="G26" s="3">
        <v>19</v>
      </c>
      <c r="H26" s="3">
        <v>951</v>
      </c>
      <c r="I26" s="4">
        <v>1.1399999999999999</v>
      </c>
      <c r="J26" s="4">
        <v>207.82</v>
      </c>
      <c r="K26" s="4">
        <v>356.16</v>
      </c>
      <c r="L26" s="4">
        <v>18.75</v>
      </c>
      <c r="M26" s="3">
        <v>31133</v>
      </c>
      <c r="N26" s="4">
        <v>207.35</v>
      </c>
      <c r="O26" s="4">
        <v>356.05</v>
      </c>
      <c r="P26" s="4">
        <v>6537.2</v>
      </c>
    </row>
    <row r="27" spans="1:16" x14ac:dyDescent="0.2">
      <c r="A27" s="5">
        <v>37012</v>
      </c>
      <c r="B27" s="2" t="s">
        <v>50</v>
      </c>
      <c r="C27" s="2" t="s">
        <v>100</v>
      </c>
      <c r="D27" s="3">
        <v>789</v>
      </c>
      <c r="E27" s="3">
        <v>318</v>
      </c>
      <c r="F27" s="3">
        <v>1030</v>
      </c>
      <c r="G27" s="3">
        <v>22</v>
      </c>
      <c r="H27" s="3">
        <v>954</v>
      </c>
      <c r="I27" s="4">
        <v>1.41</v>
      </c>
      <c r="J27" s="4">
        <v>257.14999999999998</v>
      </c>
      <c r="K27" s="4">
        <v>483.29</v>
      </c>
      <c r="L27" s="4">
        <v>21.97</v>
      </c>
      <c r="M27" s="3">
        <v>34276</v>
      </c>
      <c r="N27" s="4">
        <v>257.14</v>
      </c>
      <c r="O27" s="4">
        <v>483.29</v>
      </c>
      <c r="P27" s="4">
        <v>5924.37</v>
      </c>
    </row>
    <row r="28" spans="1:16" x14ac:dyDescent="0.2">
      <c r="A28" s="5">
        <v>37043</v>
      </c>
      <c r="B28" s="2" t="s">
        <v>50</v>
      </c>
      <c r="C28" s="2" t="s">
        <v>100</v>
      </c>
      <c r="D28" s="3">
        <v>790</v>
      </c>
      <c r="E28" s="3">
        <v>292</v>
      </c>
      <c r="F28" s="3">
        <v>1001</v>
      </c>
      <c r="G28" s="3">
        <v>21</v>
      </c>
      <c r="H28" s="3">
        <v>963</v>
      </c>
      <c r="I28" s="4">
        <v>1.33</v>
      </c>
      <c r="J28" s="4">
        <v>223.36</v>
      </c>
      <c r="K28" s="4">
        <v>427.83</v>
      </c>
      <c r="L28" s="4">
        <v>20.37</v>
      </c>
      <c r="M28" s="3">
        <v>32151</v>
      </c>
      <c r="N28" s="4">
        <v>219.35</v>
      </c>
      <c r="O28" s="4">
        <v>426.25</v>
      </c>
      <c r="P28" s="4">
        <v>5697.97</v>
      </c>
    </row>
    <row r="29" spans="1:16" x14ac:dyDescent="0.2">
      <c r="A29" s="5">
        <v>37073</v>
      </c>
      <c r="B29" s="2" t="s">
        <v>50</v>
      </c>
      <c r="C29" s="2" t="s">
        <v>101</v>
      </c>
      <c r="D29" s="3">
        <v>785</v>
      </c>
      <c r="E29" s="3">
        <v>294</v>
      </c>
      <c r="F29" s="3">
        <v>994</v>
      </c>
      <c r="G29" s="3">
        <v>22</v>
      </c>
      <c r="H29" s="3">
        <v>924</v>
      </c>
      <c r="I29" s="4">
        <v>0.99</v>
      </c>
      <c r="J29" s="4">
        <v>131.41999999999999</v>
      </c>
      <c r="K29" s="4">
        <v>272.27999999999997</v>
      </c>
      <c r="L29" s="4">
        <v>12.38</v>
      </c>
      <c r="M29" s="3">
        <v>27476</v>
      </c>
      <c r="N29" s="4">
        <v>131.37</v>
      </c>
      <c r="O29" s="4">
        <v>272.27</v>
      </c>
      <c r="P29" s="4">
        <v>5742.6</v>
      </c>
    </row>
    <row r="30" spans="1:16" x14ac:dyDescent="0.2">
      <c r="A30" s="5">
        <v>37104</v>
      </c>
      <c r="B30" s="2" t="s">
        <v>50</v>
      </c>
      <c r="C30" s="2" t="s">
        <v>101</v>
      </c>
      <c r="D30" s="3">
        <v>786</v>
      </c>
      <c r="E30" s="3">
        <v>293</v>
      </c>
      <c r="F30" s="3">
        <v>994</v>
      </c>
      <c r="G30" s="3">
        <v>21</v>
      </c>
      <c r="H30" s="3">
        <v>931</v>
      </c>
      <c r="I30" s="4">
        <v>1.1200000000000001</v>
      </c>
      <c r="J30" s="4">
        <v>159.37</v>
      </c>
      <c r="K30" s="4">
        <v>294.17</v>
      </c>
      <c r="L30" s="4">
        <v>14.01</v>
      </c>
      <c r="M30" s="3">
        <v>26350</v>
      </c>
      <c r="N30" s="4">
        <v>159.31</v>
      </c>
      <c r="O30" s="4">
        <v>294.14999999999998</v>
      </c>
      <c r="P30" s="4">
        <v>5752.42</v>
      </c>
    </row>
    <row r="31" spans="1:16" x14ac:dyDescent="0.2">
      <c r="A31" s="5">
        <v>37135</v>
      </c>
      <c r="B31" s="2" t="s">
        <v>50</v>
      </c>
      <c r="C31" s="2" t="s">
        <v>101</v>
      </c>
      <c r="D31" s="3">
        <v>788</v>
      </c>
      <c r="E31" s="3">
        <v>293</v>
      </c>
      <c r="F31" s="3">
        <v>987</v>
      </c>
      <c r="G31" s="3">
        <v>20</v>
      </c>
      <c r="H31" s="3">
        <v>917</v>
      </c>
      <c r="I31" s="4">
        <v>1.35</v>
      </c>
      <c r="J31" s="4">
        <v>173.42</v>
      </c>
      <c r="K31" s="4">
        <v>353.23</v>
      </c>
      <c r="L31" s="4">
        <v>17.66</v>
      </c>
      <c r="M31" s="3">
        <v>26095</v>
      </c>
      <c r="N31" s="4">
        <v>173.42</v>
      </c>
      <c r="O31" s="4">
        <v>353.23</v>
      </c>
      <c r="P31" s="4">
        <v>5091.05</v>
      </c>
    </row>
    <row r="32" spans="1:16" x14ac:dyDescent="0.2">
      <c r="A32" s="5">
        <v>37165</v>
      </c>
      <c r="B32" s="2" t="s">
        <v>50</v>
      </c>
      <c r="C32" s="2" t="s">
        <v>102</v>
      </c>
      <c r="D32" s="3">
        <v>789</v>
      </c>
      <c r="E32" s="3">
        <v>292</v>
      </c>
      <c r="F32" s="3">
        <v>986</v>
      </c>
      <c r="G32" s="3">
        <v>21</v>
      </c>
      <c r="H32" s="3">
        <v>917</v>
      </c>
      <c r="I32" s="4">
        <v>1.41</v>
      </c>
      <c r="J32" s="4">
        <v>197.99</v>
      </c>
      <c r="K32" s="4">
        <v>353.26</v>
      </c>
      <c r="L32" s="4">
        <v>16.82</v>
      </c>
      <c r="M32" s="3">
        <v>25088</v>
      </c>
      <c r="N32" s="4">
        <v>197.96</v>
      </c>
      <c r="O32" s="4">
        <v>353.24</v>
      </c>
      <c r="P32" s="4">
        <v>5358.46</v>
      </c>
    </row>
    <row r="33" spans="1:16" x14ac:dyDescent="0.2">
      <c r="A33" s="5">
        <v>37196</v>
      </c>
      <c r="B33" s="2" t="s">
        <v>50</v>
      </c>
      <c r="C33" s="2" t="s">
        <v>102</v>
      </c>
      <c r="D33" s="3">
        <v>788</v>
      </c>
      <c r="E33" s="3">
        <v>268</v>
      </c>
      <c r="F33" s="3">
        <v>956</v>
      </c>
      <c r="G33" s="3">
        <v>20</v>
      </c>
      <c r="H33" s="3">
        <v>920</v>
      </c>
      <c r="I33" s="4">
        <v>1.53</v>
      </c>
      <c r="J33" s="4">
        <v>253.49</v>
      </c>
      <c r="K33" s="4">
        <v>421.32</v>
      </c>
      <c r="L33" s="4">
        <v>21.07</v>
      </c>
      <c r="M33" s="3">
        <v>27572</v>
      </c>
      <c r="N33" s="4">
        <v>252.95</v>
      </c>
      <c r="O33" s="4">
        <v>421.21</v>
      </c>
      <c r="P33" s="4">
        <v>5813.86</v>
      </c>
    </row>
    <row r="34" spans="1:16" x14ac:dyDescent="0.2">
      <c r="A34" s="5">
        <v>37226</v>
      </c>
      <c r="B34" s="2" t="s">
        <v>50</v>
      </c>
      <c r="C34" s="2" t="s">
        <v>102</v>
      </c>
      <c r="D34" s="3">
        <v>788</v>
      </c>
      <c r="E34" s="3">
        <v>268</v>
      </c>
      <c r="F34" s="3">
        <v>956</v>
      </c>
      <c r="G34" s="3">
        <v>19</v>
      </c>
      <c r="H34" s="3">
        <v>895</v>
      </c>
      <c r="I34" s="4">
        <v>1.77</v>
      </c>
      <c r="J34" s="4">
        <v>317.77</v>
      </c>
      <c r="K34" s="4">
        <v>544.67999999999995</v>
      </c>
      <c r="L34" s="4">
        <v>28.67</v>
      </c>
      <c r="M34" s="3">
        <v>30834</v>
      </c>
      <c r="N34" s="4">
        <v>317.75</v>
      </c>
      <c r="O34" s="4">
        <v>544.65</v>
      </c>
      <c r="P34" s="4">
        <v>5529.08</v>
      </c>
    </row>
    <row r="35" spans="1:16" x14ac:dyDescent="0.2">
      <c r="A35" s="5">
        <v>37257</v>
      </c>
      <c r="B35" s="2" t="s">
        <v>50</v>
      </c>
      <c r="C35" s="2" t="s">
        <v>103</v>
      </c>
      <c r="D35" s="3">
        <v>794</v>
      </c>
      <c r="E35" s="3">
        <v>199</v>
      </c>
      <c r="F35" s="3">
        <v>893</v>
      </c>
      <c r="G35" s="3">
        <v>23</v>
      </c>
      <c r="H35" s="3">
        <v>896</v>
      </c>
      <c r="I35" s="4">
        <v>2.13</v>
      </c>
      <c r="J35" s="4">
        <v>343.84</v>
      </c>
      <c r="K35" s="4">
        <v>687.19</v>
      </c>
      <c r="L35" s="4">
        <v>29.88</v>
      </c>
      <c r="M35" s="3">
        <v>32244</v>
      </c>
      <c r="N35" s="4">
        <v>342.19</v>
      </c>
      <c r="O35" s="4">
        <v>686.06</v>
      </c>
      <c r="P35" s="4">
        <v>5636.83</v>
      </c>
    </row>
    <row r="36" spans="1:16" x14ac:dyDescent="0.2">
      <c r="A36" s="5">
        <v>37288</v>
      </c>
      <c r="B36" s="2" t="s">
        <v>50</v>
      </c>
      <c r="C36" s="2" t="s">
        <v>103</v>
      </c>
      <c r="D36" s="3">
        <v>791</v>
      </c>
      <c r="E36" s="3">
        <v>198</v>
      </c>
      <c r="F36" s="3">
        <v>889</v>
      </c>
      <c r="G36" s="3">
        <v>20</v>
      </c>
      <c r="H36" s="3">
        <v>840</v>
      </c>
      <c r="I36" s="4">
        <v>1.77</v>
      </c>
      <c r="J36" s="4">
        <v>285.52</v>
      </c>
      <c r="K36" s="4">
        <v>495.64</v>
      </c>
      <c r="L36" s="4">
        <v>24.78</v>
      </c>
      <c r="M36" s="3">
        <v>27944</v>
      </c>
      <c r="N36" s="4">
        <v>285.47000000000003</v>
      </c>
      <c r="O36" s="4">
        <v>495.64</v>
      </c>
      <c r="P36" s="4">
        <v>6215.23</v>
      </c>
    </row>
    <row r="37" spans="1:16" x14ac:dyDescent="0.2">
      <c r="A37" s="5">
        <v>37316</v>
      </c>
      <c r="B37" s="2" t="s">
        <v>50</v>
      </c>
      <c r="C37" s="2" t="s">
        <v>103</v>
      </c>
      <c r="D37" s="3">
        <v>793</v>
      </c>
      <c r="E37" s="3">
        <v>197</v>
      </c>
      <c r="F37" s="3">
        <v>890</v>
      </c>
      <c r="G37" s="3">
        <v>19</v>
      </c>
      <c r="H37" s="3">
        <v>840</v>
      </c>
      <c r="I37" s="4">
        <v>1.57</v>
      </c>
      <c r="J37" s="4">
        <v>232.94</v>
      </c>
      <c r="K37" s="4">
        <v>442.62</v>
      </c>
      <c r="L37" s="4">
        <v>23.3</v>
      </c>
      <c r="M37" s="3">
        <v>28111</v>
      </c>
      <c r="N37" s="4">
        <v>232.91</v>
      </c>
      <c r="O37" s="4">
        <v>442.62</v>
      </c>
      <c r="P37" s="4">
        <v>6368.61</v>
      </c>
    </row>
    <row r="38" spans="1:16" x14ac:dyDescent="0.2">
      <c r="A38" s="5">
        <v>37347</v>
      </c>
      <c r="B38" s="2" t="s">
        <v>51</v>
      </c>
      <c r="C38" s="2" t="s">
        <v>104</v>
      </c>
      <c r="D38" s="3">
        <v>800</v>
      </c>
      <c r="E38" s="3">
        <v>173</v>
      </c>
      <c r="F38" s="3">
        <v>865</v>
      </c>
      <c r="G38" s="3">
        <v>22</v>
      </c>
      <c r="H38" s="3">
        <v>843</v>
      </c>
      <c r="I38" s="4">
        <v>2.0099999999999998</v>
      </c>
      <c r="J38" s="4">
        <v>287.98</v>
      </c>
      <c r="K38" s="4">
        <v>533.20000000000005</v>
      </c>
      <c r="L38" s="4">
        <v>24.24</v>
      </c>
      <c r="M38" s="3">
        <v>26512</v>
      </c>
      <c r="N38" s="4">
        <v>287.82</v>
      </c>
      <c r="O38" s="4">
        <v>533.16</v>
      </c>
      <c r="P38" s="4">
        <v>6495.51</v>
      </c>
    </row>
    <row r="39" spans="1:16" x14ac:dyDescent="0.2">
      <c r="A39" s="5">
        <v>37377</v>
      </c>
      <c r="B39" s="2" t="s">
        <v>51</v>
      </c>
      <c r="C39" s="2" t="s">
        <v>104</v>
      </c>
      <c r="D39" s="3">
        <v>798</v>
      </c>
      <c r="E39" s="3">
        <v>172</v>
      </c>
      <c r="F39" s="3">
        <v>863</v>
      </c>
      <c r="G39" s="3">
        <v>22</v>
      </c>
      <c r="H39" s="3">
        <v>821</v>
      </c>
      <c r="I39" s="4">
        <v>2.17</v>
      </c>
      <c r="J39" s="4">
        <v>353.03</v>
      </c>
      <c r="K39" s="4">
        <v>549.79</v>
      </c>
      <c r="L39" s="4">
        <v>24.99</v>
      </c>
      <c r="M39" s="3">
        <v>25384</v>
      </c>
      <c r="N39" s="4">
        <v>353.03</v>
      </c>
      <c r="O39" s="4">
        <v>549.78</v>
      </c>
      <c r="P39" s="4">
        <v>6316.09</v>
      </c>
    </row>
    <row r="40" spans="1:16" x14ac:dyDescent="0.2">
      <c r="A40" s="5">
        <v>37408</v>
      </c>
      <c r="B40" s="2" t="s">
        <v>51</v>
      </c>
      <c r="C40" s="2" t="s">
        <v>104</v>
      </c>
      <c r="D40" s="3">
        <v>799</v>
      </c>
      <c r="E40" s="3">
        <v>170</v>
      </c>
      <c r="F40" s="3">
        <v>848</v>
      </c>
      <c r="G40" s="3">
        <v>20</v>
      </c>
      <c r="H40" s="3">
        <v>825</v>
      </c>
      <c r="I40" s="4">
        <v>1.89</v>
      </c>
      <c r="J40" s="4">
        <v>385.19</v>
      </c>
      <c r="K40" s="4">
        <v>442.41</v>
      </c>
      <c r="L40" s="4">
        <v>22.12</v>
      </c>
      <c r="M40" s="3">
        <v>23378</v>
      </c>
      <c r="N40" s="4">
        <v>385.18</v>
      </c>
      <c r="O40" s="4">
        <v>442.41</v>
      </c>
      <c r="P40" s="4">
        <v>6599.91</v>
      </c>
    </row>
    <row r="41" spans="1:16" x14ac:dyDescent="0.2">
      <c r="A41" s="5">
        <v>37438</v>
      </c>
      <c r="B41" s="2" t="s">
        <v>51</v>
      </c>
      <c r="C41" s="2" t="s">
        <v>105</v>
      </c>
      <c r="D41" s="3">
        <v>799</v>
      </c>
      <c r="E41" s="3">
        <v>163</v>
      </c>
      <c r="F41" s="3">
        <v>841</v>
      </c>
      <c r="G41" s="3">
        <v>23</v>
      </c>
      <c r="H41" s="3">
        <v>820</v>
      </c>
      <c r="I41" s="4">
        <v>2.11</v>
      </c>
      <c r="J41" s="4">
        <v>368.21</v>
      </c>
      <c r="K41" s="4">
        <v>513.98</v>
      </c>
      <c r="L41" s="4">
        <v>22.35</v>
      </c>
      <c r="M41" s="3">
        <v>24311</v>
      </c>
      <c r="N41" s="4">
        <v>368.2</v>
      </c>
      <c r="O41" s="4">
        <v>513.98</v>
      </c>
      <c r="P41" s="4">
        <v>6086.43</v>
      </c>
    </row>
    <row r="42" spans="1:16" x14ac:dyDescent="0.2">
      <c r="A42" s="5">
        <v>37469</v>
      </c>
      <c r="B42" s="2" t="s">
        <v>51</v>
      </c>
      <c r="C42" s="2" t="s">
        <v>105</v>
      </c>
      <c r="D42" s="3">
        <v>799</v>
      </c>
      <c r="E42" s="3">
        <v>161</v>
      </c>
      <c r="F42" s="3">
        <v>839</v>
      </c>
      <c r="G42" s="3">
        <v>21</v>
      </c>
      <c r="H42" s="3">
        <v>806</v>
      </c>
      <c r="I42" s="4">
        <v>1.91</v>
      </c>
      <c r="J42" s="4">
        <v>260</v>
      </c>
      <c r="K42" s="4">
        <v>461.13</v>
      </c>
      <c r="L42" s="4">
        <v>21.96</v>
      </c>
      <c r="M42" s="3">
        <v>24090</v>
      </c>
      <c r="N42" s="4">
        <v>260</v>
      </c>
      <c r="O42" s="4">
        <v>461.13</v>
      </c>
      <c r="P42" s="4">
        <v>6326.18</v>
      </c>
    </row>
    <row r="43" spans="1:16" x14ac:dyDescent="0.2">
      <c r="A43" s="5">
        <v>37500</v>
      </c>
      <c r="B43" s="2" t="s">
        <v>51</v>
      </c>
      <c r="C43" s="2" t="s">
        <v>105</v>
      </c>
      <c r="D43" s="3">
        <v>801</v>
      </c>
      <c r="E43" s="3">
        <v>161</v>
      </c>
      <c r="F43" s="3">
        <v>840</v>
      </c>
      <c r="G43" s="3">
        <v>20</v>
      </c>
      <c r="H43" s="3">
        <v>806</v>
      </c>
      <c r="I43" s="4">
        <v>1.85</v>
      </c>
      <c r="J43" s="4">
        <v>255.81</v>
      </c>
      <c r="K43" s="4">
        <v>464.99</v>
      </c>
      <c r="L43" s="4">
        <v>23.25</v>
      </c>
      <c r="M43" s="3">
        <v>25117</v>
      </c>
      <c r="N43" s="4">
        <v>255.81</v>
      </c>
      <c r="O43" s="4">
        <v>464.99</v>
      </c>
      <c r="P43" s="4">
        <v>5996.03</v>
      </c>
    </row>
    <row r="44" spans="1:16" x14ac:dyDescent="0.2">
      <c r="A44" s="5">
        <v>37530</v>
      </c>
      <c r="B44" s="2" t="s">
        <v>51</v>
      </c>
      <c r="C44" s="2" t="s">
        <v>106</v>
      </c>
      <c r="D44" s="3">
        <v>803</v>
      </c>
      <c r="E44" s="3">
        <v>119</v>
      </c>
      <c r="F44" s="3">
        <v>803</v>
      </c>
      <c r="G44" s="3">
        <v>21</v>
      </c>
      <c r="H44" s="3">
        <v>770</v>
      </c>
      <c r="I44" s="4">
        <v>2.0099999999999998</v>
      </c>
      <c r="J44" s="4">
        <v>264.58</v>
      </c>
      <c r="K44" s="4">
        <v>519.02</v>
      </c>
      <c r="L44" s="4">
        <v>24.72</v>
      </c>
      <c r="M44" s="3">
        <v>25806</v>
      </c>
      <c r="N44" s="4">
        <v>264.58</v>
      </c>
      <c r="O44" s="4">
        <v>519.02</v>
      </c>
      <c r="P44" s="4">
        <v>6067.88</v>
      </c>
    </row>
    <row r="45" spans="1:16" x14ac:dyDescent="0.2">
      <c r="A45" s="5">
        <v>37561</v>
      </c>
      <c r="B45" s="2" t="s">
        <v>51</v>
      </c>
      <c r="C45" s="2" t="s">
        <v>106</v>
      </c>
      <c r="D45" s="3">
        <v>805</v>
      </c>
      <c r="E45" s="3">
        <v>118</v>
      </c>
      <c r="F45" s="3">
        <v>788</v>
      </c>
      <c r="G45" s="3">
        <v>19</v>
      </c>
      <c r="H45" s="3">
        <v>767</v>
      </c>
      <c r="I45" s="4">
        <v>1.75</v>
      </c>
      <c r="J45" s="4">
        <v>236.31</v>
      </c>
      <c r="K45" s="4">
        <v>513.52</v>
      </c>
      <c r="L45" s="4">
        <v>27.03</v>
      </c>
      <c r="M45" s="3">
        <v>29354</v>
      </c>
      <c r="N45" s="4">
        <v>236.31</v>
      </c>
      <c r="O45" s="4">
        <v>513.52</v>
      </c>
      <c r="P45" s="4">
        <v>6453.88</v>
      </c>
    </row>
    <row r="46" spans="1:16" x14ac:dyDescent="0.2">
      <c r="A46" s="5">
        <v>37591</v>
      </c>
      <c r="B46" s="2" t="s">
        <v>51</v>
      </c>
      <c r="C46" s="2" t="s">
        <v>106</v>
      </c>
      <c r="D46" s="3">
        <v>809</v>
      </c>
      <c r="E46" s="3">
        <v>116</v>
      </c>
      <c r="F46" s="3">
        <v>788</v>
      </c>
      <c r="G46" s="3">
        <v>21</v>
      </c>
      <c r="H46" s="3">
        <v>762</v>
      </c>
      <c r="I46" s="4">
        <v>2.19</v>
      </c>
      <c r="J46" s="4">
        <v>330.22</v>
      </c>
      <c r="K46" s="4">
        <v>619.73</v>
      </c>
      <c r="L46" s="4">
        <v>29.51</v>
      </c>
      <c r="M46" s="3">
        <v>28236</v>
      </c>
      <c r="N46" s="4">
        <v>330.22</v>
      </c>
      <c r="O46" s="4">
        <v>619.73</v>
      </c>
      <c r="P46" s="4">
        <v>6728.62</v>
      </c>
    </row>
    <row r="47" spans="1:16" x14ac:dyDescent="0.2">
      <c r="A47" s="5">
        <v>37622</v>
      </c>
      <c r="B47" s="2" t="s">
        <v>51</v>
      </c>
      <c r="C47" s="2" t="s">
        <v>107</v>
      </c>
      <c r="D47" s="3">
        <v>814</v>
      </c>
      <c r="E47" s="3">
        <v>112</v>
      </c>
      <c r="F47" s="3">
        <v>789</v>
      </c>
      <c r="G47" s="3">
        <v>23</v>
      </c>
      <c r="H47" s="3">
        <v>763</v>
      </c>
      <c r="I47" s="4">
        <v>2.39</v>
      </c>
      <c r="J47" s="4">
        <v>363.36</v>
      </c>
      <c r="K47" s="4">
        <v>647.62</v>
      </c>
      <c r="L47" s="4">
        <v>28.16</v>
      </c>
      <c r="M47" s="3">
        <v>27054</v>
      </c>
      <c r="N47" s="4">
        <v>363.36</v>
      </c>
      <c r="O47" s="4">
        <v>647.62</v>
      </c>
      <c r="P47" s="4">
        <v>5722.77</v>
      </c>
    </row>
    <row r="48" spans="1:16" x14ac:dyDescent="0.2">
      <c r="A48" s="5">
        <v>37653</v>
      </c>
      <c r="B48" s="2" t="s">
        <v>51</v>
      </c>
      <c r="C48" s="2" t="s">
        <v>107</v>
      </c>
      <c r="D48" s="3">
        <v>818</v>
      </c>
      <c r="E48" s="3">
        <v>107</v>
      </c>
      <c r="F48" s="3">
        <v>788</v>
      </c>
      <c r="G48" s="3">
        <v>19</v>
      </c>
      <c r="H48" s="3">
        <v>760</v>
      </c>
      <c r="I48" s="4">
        <v>1.91</v>
      </c>
      <c r="J48" s="4">
        <v>286.81</v>
      </c>
      <c r="K48" s="4">
        <v>482.89</v>
      </c>
      <c r="L48" s="4">
        <v>25.42</v>
      </c>
      <c r="M48" s="3">
        <v>25273</v>
      </c>
      <c r="N48" s="4">
        <v>286.81</v>
      </c>
      <c r="O48" s="4">
        <v>482.89</v>
      </c>
      <c r="P48" s="4">
        <v>5819.85</v>
      </c>
    </row>
    <row r="49" spans="1:16" x14ac:dyDescent="0.2">
      <c r="A49" s="5">
        <v>37681</v>
      </c>
      <c r="B49" s="2" t="s">
        <v>51</v>
      </c>
      <c r="C49" s="2" t="s">
        <v>107</v>
      </c>
      <c r="D49" s="3">
        <v>818</v>
      </c>
      <c r="E49" s="3">
        <v>107</v>
      </c>
      <c r="F49" s="3">
        <v>788</v>
      </c>
      <c r="G49" s="3">
        <v>20</v>
      </c>
      <c r="H49" s="3">
        <v>762</v>
      </c>
      <c r="I49" s="4">
        <v>1.77</v>
      </c>
      <c r="J49" s="4">
        <v>249.17</v>
      </c>
      <c r="K49" s="4">
        <v>431.6</v>
      </c>
      <c r="L49" s="4">
        <v>21.58</v>
      </c>
      <c r="M49" s="3">
        <v>24378</v>
      </c>
      <c r="N49" s="4">
        <v>249.17</v>
      </c>
      <c r="O49" s="4">
        <v>431.6</v>
      </c>
      <c r="P49" s="4">
        <v>5371.33</v>
      </c>
    </row>
    <row r="50" spans="1:16" x14ac:dyDescent="0.2">
      <c r="A50" s="5">
        <v>37712</v>
      </c>
      <c r="B50" s="2" t="s">
        <v>52</v>
      </c>
      <c r="C50" s="2" t="s">
        <v>108</v>
      </c>
      <c r="D50" s="3">
        <v>830</v>
      </c>
      <c r="E50" s="3">
        <v>78</v>
      </c>
      <c r="F50" s="3">
        <v>771</v>
      </c>
      <c r="G50" s="3">
        <v>20</v>
      </c>
      <c r="H50" s="3">
        <v>738</v>
      </c>
      <c r="I50" s="4">
        <v>2.0699999999999998</v>
      </c>
      <c r="J50" s="4">
        <v>314.48</v>
      </c>
      <c r="K50" s="4">
        <v>489.71</v>
      </c>
      <c r="L50" s="4">
        <v>24.49</v>
      </c>
      <c r="M50" s="3">
        <v>23657</v>
      </c>
      <c r="N50" s="4">
        <v>314.48</v>
      </c>
      <c r="O50" s="4">
        <v>489.71</v>
      </c>
      <c r="P50" s="4">
        <v>5306.3</v>
      </c>
    </row>
    <row r="51" spans="1:16" x14ac:dyDescent="0.2">
      <c r="A51" s="5">
        <v>37742</v>
      </c>
      <c r="B51" s="2" t="s">
        <v>52</v>
      </c>
      <c r="C51" s="2" t="s">
        <v>108</v>
      </c>
      <c r="D51" s="3">
        <v>847</v>
      </c>
      <c r="E51" s="3">
        <v>61</v>
      </c>
      <c r="F51" s="3">
        <v>769</v>
      </c>
      <c r="G51" s="3">
        <v>21</v>
      </c>
      <c r="H51" s="3">
        <v>743</v>
      </c>
      <c r="I51" s="4">
        <v>2.5</v>
      </c>
      <c r="J51" s="4">
        <v>440.01</v>
      </c>
      <c r="K51" s="4">
        <v>546.9</v>
      </c>
      <c r="L51" s="4">
        <v>26.04</v>
      </c>
      <c r="M51" s="3">
        <v>21876</v>
      </c>
      <c r="N51" s="4">
        <v>440.01</v>
      </c>
      <c r="O51" s="4">
        <v>546.9</v>
      </c>
      <c r="P51" s="4">
        <v>6120.3</v>
      </c>
    </row>
    <row r="52" spans="1:16" x14ac:dyDescent="0.2">
      <c r="A52" s="5">
        <v>37773</v>
      </c>
      <c r="B52" s="2" t="s">
        <v>52</v>
      </c>
      <c r="C52" s="2" t="s">
        <v>108</v>
      </c>
      <c r="D52" s="3">
        <v>853</v>
      </c>
      <c r="E52" s="3">
        <v>52</v>
      </c>
      <c r="F52" s="3">
        <v>769</v>
      </c>
      <c r="G52" s="3">
        <v>21</v>
      </c>
      <c r="H52" s="3">
        <v>744</v>
      </c>
      <c r="I52" s="4">
        <v>2.67</v>
      </c>
      <c r="J52" s="4">
        <v>518.96</v>
      </c>
      <c r="K52" s="4">
        <v>615.86</v>
      </c>
      <c r="L52" s="4">
        <v>29.33</v>
      </c>
      <c r="M52" s="3">
        <v>23066</v>
      </c>
      <c r="N52" s="4">
        <v>518.96</v>
      </c>
      <c r="O52" s="4">
        <v>615.86</v>
      </c>
      <c r="P52" s="4">
        <v>6785.5</v>
      </c>
    </row>
    <row r="53" spans="1:16" x14ac:dyDescent="0.2">
      <c r="A53" s="5">
        <v>37803</v>
      </c>
      <c r="B53" s="2" t="s">
        <v>52</v>
      </c>
      <c r="C53" s="2" t="s">
        <v>109</v>
      </c>
      <c r="D53" s="3">
        <v>865</v>
      </c>
      <c r="E53" s="3">
        <v>44</v>
      </c>
      <c r="F53" s="3">
        <v>774</v>
      </c>
      <c r="G53" s="3">
        <v>23</v>
      </c>
      <c r="H53" s="3">
        <v>755</v>
      </c>
      <c r="I53" s="4">
        <v>3.2</v>
      </c>
      <c r="J53" s="4">
        <v>649.05999999999995</v>
      </c>
      <c r="K53" s="4">
        <v>788.78</v>
      </c>
      <c r="L53" s="4">
        <v>34.29</v>
      </c>
      <c r="M53" s="3">
        <v>24649</v>
      </c>
      <c r="N53" s="4">
        <v>649.05999999999995</v>
      </c>
      <c r="O53" s="4">
        <v>788.78</v>
      </c>
      <c r="P53" s="4">
        <v>7191.45</v>
      </c>
    </row>
    <row r="54" spans="1:16" x14ac:dyDescent="0.2">
      <c r="A54" s="5">
        <v>37834</v>
      </c>
      <c r="B54" s="2" t="s">
        <v>52</v>
      </c>
      <c r="C54" s="2" t="s">
        <v>109</v>
      </c>
      <c r="D54" s="3">
        <v>873</v>
      </c>
      <c r="E54" s="3">
        <v>35</v>
      </c>
      <c r="F54" s="3">
        <v>775</v>
      </c>
      <c r="G54" s="3">
        <v>20</v>
      </c>
      <c r="H54" s="3">
        <v>752</v>
      </c>
      <c r="I54" s="4">
        <v>3.22</v>
      </c>
      <c r="J54" s="4">
        <v>845.54</v>
      </c>
      <c r="K54" s="4">
        <v>853.47</v>
      </c>
      <c r="L54" s="4">
        <v>42.67</v>
      </c>
      <c r="M54" s="3">
        <v>26505</v>
      </c>
      <c r="N54" s="4">
        <v>845.54</v>
      </c>
      <c r="O54" s="4">
        <v>853.47</v>
      </c>
      <c r="P54" s="4">
        <v>8366.51</v>
      </c>
    </row>
    <row r="55" spans="1:16" x14ac:dyDescent="0.2">
      <c r="A55" s="5">
        <v>37865</v>
      </c>
      <c r="B55" s="2" t="s">
        <v>52</v>
      </c>
      <c r="C55" s="2" t="s">
        <v>109</v>
      </c>
      <c r="D55" s="3">
        <v>883</v>
      </c>
      <c r="E55" s="3">
        <v>27</v>
      </c>
      <c r="F55" s="3">
        <v>774</v>
      </c>
      <c r="G55" s="3">
        <v>22</v>
      </c>
      <c r="H55" s="3">
        <v>761</v>
      </c>
      <c r="I55" s="4">
        <v>3.46</v>
      </c>
      <c r="J55" s="4">
        <v>718.48</v>
      </c>
      <c r="K55" s="4">
        <v>1033.45</v>
      </c>
      <c r="L55" s="4">
        <v>46.98</v>
      </c>
      <c r="M55" s="3">
        <v>29852</v>
      </c>
      <c r="N55" s="4">
        <v>718.48</v>
      </c>
      <c r="O55" s="4">
        <v>1033.45</v>
      </c>
      <c r="P55" s="4">
        <v>8634.81</v>
      </c>
    </row>
    <row r="56" spans="1:16" x14ac:dyDescent="0.2">
      <c r="A56" s="5">
        <v>37895</v>
      </c>
      <c r="B56" s="2" t="s">
        <v>52</v>
      </c>
      <c r="C56" s="2" t="s">
        <v>110</v>
      </c>
      <c r="D56" s="3">
        <v>887</v>
      </c>
      <c r="E56" s="3">
        <v>26</v>
      </c>
      <c r="F56" s="3">
        <v>776</v>
      </c>
      <c r="G56" s="3">
        <v>23</v>
      </c>
      <c r="H56" s="3">
        <v>728</v>
      </c>
      <c r="I56" s="4">
        <v>3.58</v>
      </c>
      <c r="J56" s="4">
        <v>717.68</v>
      </c>
      <c r="K56" s="4">
        <v>1155.95</v>
      </c>
      <c r="L56" s="4">
        <v>50.26</v>
      </c>
      <c r="M56" s="3">
        <v>32315</v>
      </c>
      <c r="N56" s="4">
        <v>717.68</v>
      </c>
      <c r="O56" s="4">
        <v>1155.95</v>
      </c>
      <c r="P56" s="4">
        <v>9267.48</v>
      </c>
    </row>
    <row r="57" spans="1:16" x14ac:dyDescent="0.2">
      <c r="A57" s="5">
        <v>37926</v>
      </c>
      <c r="B57" s="2" t="s">
        <v>52</v>
      </c>
      <c r="C57" s="2" t="s">
        <v>110</v>
      </c>
      <c r="D57" s="3">
        <v>891</v>
      </c>
      <c r="E57" s="3">
        <v>23</v>
      </c>
      <c r="F57" s="3">
        <v>777</v>
      </c>
      <c r="G57" s="3">
        <v>20</v>
      </c>
      <c r="H57" s="3">
        <v>738</v>
      </c>
      <c r="I57" s="4">
        <v>3.07</v>
      </c>
      <c r="J57" s="4">
        <v>567.16</v>
      </c>
      <c r="K57" s="4">
        <v>928.86</v>
      </c>
      <c r="L57" s="4">
        <v>46.44</v>
      </c>
      <c r="M57" s="3">
        <v>30304</v>
      </c>
      <c r="N57" s="4">
        <v>567.16</v>
      </c>
      <c r="O57" s="4">
        <v>928.86</v>
      </c>
      <c r="P57" s="4">
        <v>9795.41</v>
      </c>
    </row>
    <row r="58" spans="1:16" x14ac:dyDescent="0.2">
      <c r="A58" s="5">
        <v>37956</v>
      </c>
      <c r="B58" s="2" t="s">
        <v>52</v>
      </c>
      <c r="C58" s="2" t="s">
        <v>110</v>
      </c>
      <c r="D58" s="3">
        <v>897</v>
      </c>
      <c r="E58" s="3">
        <v>23</v>
      </c>
      <c r="F58" s="3">
        <v>779</v>
      </c>
      <c r="G58" s="3">
        <v>22</v>
      </c>
      <c r="H58" s="3">
        <v>754</v>
      </c>
      <c r="I58" s="4">
        <v>3.79</v>
      </c>
      <c r="J58" s="4">
        <v>717.54</v>
      </c>
      <c r="K58" s="4">
        <v>1103.73</v>
      </c>
      <c r="L58" s="4">
        <v>50.17</v>
      </c>
      <c r="M58" s="3">
        <v>29112</v>
      </c>
      <c r="N58" s="4">
        <v>717.54</v>
      </c>
      <c r="O58" s="4">
        <v>1103.73</v>
      </c>
      <c r="P58" s="4">
        <v>11670.29</v>
      </c>
    </row>
    <row r="59" spans="1:16" x14ac:dyDescent="0.2">
      <c r="A59" s="5">
        <v>37987</v>
      </c>
      <c r="B59" s="2" t="s">
        <v>52</v>
      </c>
      <c r="C59" s="2" t="s">
        <v>111</v>
      </c>
      <c r="D59" s="3">
        <v>904</v>
      </c>
      <c r="E59" s="3">
        <v>22</v>
      </c>
      <c r="F59" s="3">
        <v>786</v>
      </c>
      <c r="G59" s="3">
        <v>21</v>
      </c>
      <c r="H59" s="3">
        <v>761</v>
      </c>
      <c r="I59" s="4">
        <v>3.98</v>
      </c>
      <c r="J59" s="4">
        <v>733.4</v>
      </c>
      <c r="K59" s="4">
        <v>1342.69</v>
      </c>
      <c r="L59" s="4">
        <v>63.94</v>
      </c>
      <c r="M59" s="3">
        <v>33740</v>
      </c>
      <c r="N59" s="4">
        <v>733.4</v>
      </c>
      <c r="O59" s="4">
        <v>1342.69</v>
      </c>
      <c r="P59" s="4">
        <v>11161.5</v>
      </c>
    </row>
    <row r="60" spans="1:16" x14ac:dyDescent="0.2">
      <c r="A60" s="5">
        <v>38018</v>
      </c>
      <c r="B60" s="2" t="s">
        <v>52</v>
      </c>
      <c r="C60" s="2" t="s">
        <v>111</v>
      </c>
      <c r="D60" s="3">
        <v>907</v>
      </c>
      <c r="E60" s="3">
        <v>21</v>
      </c>
      <c r="F60" s="3">
        <v>788</v>
      </c>
      <c r="G60" s="3">
        <v>19</v>
      </c>
      <c r="H60" s="3">
        <v>763</v>
      </c>
      <c r="I60" s="4">
        <v>3.08</v>
      </c>
      <c r="J60" s="4">
        <v>464.84</v>
      </c>
      <c r="K60" s="4">
        <v>1087.18</v>
      </c>
      <c r="L60" s="4">
        <v>57.22</v>
      </c>
      <c r="M60" s="3">
        <v>35275</v>
      </c>
      <c r="N60" s="4">
        <v>464.84</v>
      </c>
      <c r="O60" s="4">
        <v>1087.18</v>
      </c>
      <c r="P60" s="4">
        <v>11109.54</v>
      </c>
    </row>
    <row r="61" spans="1:16" x14ac:dyDescent="0.2">
      <c r="A61" s="5">
        <v>38047</v>
      </c>
      <c r="B61" s="2" t="s">
        <v>52</v>
      </c>
      <c r="C61" s="2" t="s">
        <v>111</v>
      </c>
      <c r="D61" s="3">
        <v>909</v>
      </c>
      <c r="E61" s="3">
        <v>18</v>
      </c>
      <c r="F61" s="3">
        <v>787</v>
      </c>
      <c r="G61" s="3">
        <v>22</v>
      </c>
      <c r="H61" s="3">
        <v>769</v>
      </c>
      <c r="I61" s="4">
        <v>3.18</v>
      </c>
      <c r="J61" s="4">
        <v>445.86</v>
      </c>
      <c r="K61" s="4">
        <v>1048.77</v>
      </c>
      <c r="L61" s="4">
        <v>47.67</v>
      </c>
      <c r="M61" s="3">
        <v>32981</v>
      </c>
      <c r="N61" s="4">
        <v>445.86</v>
      </c>
      <c r="O61" s="4">
        <v>1048.77</v>
      </c>
      <c r="P61" s="4">
        <v>11209.76</v>
      </c>
    </row>
    <row r="62" spans="1:16" x14ac:dyDescent="0.2">
      <c r="A62" s="5">
        <v>38078</v>
      </c>
      <c r="B62" s="2" t="s">
        <v>53</v>
      </c>
      <c r="C62" s="2" t="s">
        <v>112</v>
      </c>
      <c r="D62" s="3">
        <v>918</v>
      </c>
      <c r="E62" s="3">
        <v>18</v>
      </c>
      <c r="F62" s="3">
        <v>795</v>
      </c>
      <c r="G62" s="3">
        <v>20</v>
      </c>
      <c r="H62" s="3">
        <v>771</v>
      </c>
      <c r="I62" s="4">
        <v>3.19</v>
      </c>
      <c r="J62" s="4">
        <v>536.86</v>
      </c>
      <c r="K62" s="4">
        <v>1009.51</v>
      </c>
      <c r="L62" s="4">
        <v>50.48</v>
      </c>
      <c r="M62" s="3">
        <v>31646</v>
      </c>
      <c r="N62" s="4">
        <v>536.86</v>
      </c>
      <c r="O62" s="4">
        <v>1009.51</v>
      </c>
      <c r="P62" s="4">
        <v>11718.28</v>
      </c>
    </row>
    <row r="63" spans="1:16" x14ac:dyDescent="0.2">
      <c r="A63" s="5">
        <v>38108</v>
      </c>
      <c r="B63" s="2" t="s">
        <v>53</v>
      </c>
      <c r="C63" s="2" t="s">
        <v>112</v>
      </c>
      <c r="D63" s="3">
        <v>928</v>
      </c>
      <c r="E63" s="3">
        <v>16</v>
      </c>
      <c r="F63" s="3">
        <v>804</v>
      </c>
      <c r="G63" s="3">
        <v>21</v>
      </c>
      <c r="H63" s="3">
        <v>776</v>
      </c>
      <c r="I63" s="4">
        <v>3.57</v>
      </c>
      <c r="J63" s="4">
        <v>546.51</v>
      </c>
      <c r="K63" s="4">
        <v>989.2</v>
      </c>
      <c r="L63" s="4">
        <v>47.1</v>
      </c>
      <c r="M63" s="3">
        <v>27708</v>
      </c>
      <c r="N63" s="4">
        <v>546.51</v>
      </c>
      <c r="O63" s="4">
        <v>989.2</v>
      </c>
      <c r="P63" s="4">
        <v>9504.94</v>
      </c>
    </row>
    <row r="64" spans="1:16" x14ac:dyDescent="0.2">
      <c r="A64" s="5">
        <v>38139</v>
      </c>
      <c r="B64" s="2" t="s">
        <v>53</v>
      </c>
      <c r="C64" s="2" t="s">
        <v>112</v>
      </c>
      <c r="D64" s="3">
        <v>940</v>
      </c>
      <c r="E64" s="3">
        <v>12</v>
      </c>
      <c r="F64" s="3">
        <v>813</v>
      </c>
      <c r="G64" s="3">
        <v>22</v>
      </c>
      <c r="H64" s="3">
        <v>787</v>
      </c>
      <c r="I64" s="4">
        <v>3.36</v>
      </c>
      <c r="J64" s="4">
        <v>419.87</v>
      </c>
      <c r="K64" s="4">
        <v>848.98</v>
      </c>
      <c r="L64" s="4">
        <v>38.590000000000003</v>
      </c>
      <c r="M64" s="3">
        <v>25343</v>
      </c>
      <c r="N64" s="4">
        <v>419.87</v>
      </c>
      <c r="O64" s="4">
        <v>848.98</v>
      </c>
      <c r="P64" s="4">
        <v>9797</v>
      </c>
    </row>
    <row r="65" spans="1:16" x14ac:dyDescent="0.2">
      <c r="A65" s="5">
        <v>38169</v>
      </c>
      <c r="B65" s="2" t="s">
        <v>53</v>
      </c>
      <c r="C65" s="2" t="s">
        <v>113</v>
      </c>
      <c r="D65" s="3">
        <v>929</v>
      </c>
      <c r="E65" s="3">
        <v>12</v>
      </c>
      <c r="F65" s="3">
        <v>815</v>
      </c>
      <c r="G65" s="3">
        <v>22</v>
      </c>
      <c r="H65" s="3">
        <v>793</v>
      </c>
      <c r="I65" s="4">
        <v>3.77</v>
      </c>
      <c r="J65" s="4">
        <v>630.58000000000004</v>
      </c>
      <c r="K65" s="4">
        <v>938.36</v>
      </c>
      <c r="L65" s="4">
        <v>42.65</v>
      </c>
      <c r="M65" s="3">
        <v>24956</v>
      </c>
      <c r="N65" s="4">
        <v>630.58000000000004</v>
      </c>
      <c r="O65" s="4">
        <v>938.36</v>
      </c>
      <c r="P65" s="4">
        <v>10660.87</v>
      </c>
    </row>
    <row r="66" spans="1:16" x14ac:dyDescent="0.2">
      <c r="A66" s="5">
        <v>38200</v>
      </c>
      <c r="B66" s="2" t="s">
        <v>53</v>
      </c>
      <c r="C66" s="2" t="s">
        <v>113</v>
      </c>
      <c r="D66" s="3">
        <v>936</v>
      </c>
      <c r="E66" s="3">
        <v>9</v>
      </c>
      <c r="F66" s="3">
        <v>820</v>
      </c>
      <c r="G66" s="3">
        <v>22</v>
      </c>
      <c r="H66" s="3">
        <v>799</v>
      </c>
      <c r="I66" s="4">
        <v>3.58</v>
      </c>
      <c r="J66" s="4">
        <v>575.42999999999995</v>
      </c>
      <c r="K66" s="4">
        <v>868.56</v>
      </c>
      <c r="L66" s="4">
        <v>39.479999999999997</v>
      </c>
      <c r="M66" s="3">
        <v>24260</v>
      </c>
      <c r="N66" s="4">
        <v>575.42999999999995</v>
      </c>
      <c r="O66" s="4">
        <v>868.56</v>
      </c>
      <c r="P66" s="4">
        <v>11430.75</v>
      </c>
    </row>
    <row r="67" spans="1:16" x14ac:dyDescent="0.2">
      <c r="A67" s="5">
        <v>38231</v>
      </c>
      <c r="B67" s="2" t="s">
        <v>53</v>
      </c>
      <c r="C67" s="2" t="s">
        <v>113</v>
      </c>
      <c r="D67" s="3">
        <v>945</v>
      </c>
      <c r="E67" s="3">
        <v>7</v>
      </c>
      <c r="F67" s="3">
        <v>824</v>
      </c>
      <c r="G67" s="3">
        <v>22</v>
      </c>
      <c r="H67" s="3">
        <v>809</v>
      </c>
      <c r="I67" s="4">
        <v>3.67</v>
      </c>
      <c r="J67" s="4">
        <v>626.66</v>
      </c>
      <c r="K67" s="4">
        <v>885.08</v>
      </c>
      <c r="L67" s="4">
        <v>40.229999999999997</v>
      </c>
      <c r="M67" s="3">
        <v>24124</v>
      </c>
      <c r="N67" s="4">
        <v>626.66</v>
      </c>
      <c r="O67" s="4">
        <v>885.08</v>
      </c>
      <c r="P67" s="4">
        <v>12275.5</v>
      </c>
    </row>
    <row r="68" spans="1:16" x14ac:dyDescent="0.2">
      <c r="A68" s="5">
        <v>38261</v>
      </c>
      <c r="B68" s="2" t="s">
        <v>53</v>
      </c>
      <c r="C68" s="2" t="s">
        <v>114</v>
      </c>
      <c r="D68" s="3">
        <v>950</v>
      </c>
      <c r="E68" s="3">
        <v>6</v>
      </c>
      <c r="F68" s="3">
        <v>828</v>
      </c>
      <c r="G68" s="3">
        <v>20</v>
      </c>
      <c r="H68" s="3">
        <v>814</v>
      </c>
      <c r="I68" s="4">
        <v>2.99</v>
      </c>
      <c r="J68" s="4">
        <v>472.74</v>
      </c>
      <c r="K68" s="4">
        <v>756.98</v>
      </c>
      <c r="L68" s="4">
        <v>37.85</v>
      </c>
      <c r="M68" s="3">
        <v>25291</v>
      </c>
      <c r="N68" s="4">
        <v>472.74</v>
      </c>
      <c r="O68" s="4">
        <v>756.98</v>
      </c>
      <c r="P68" s="4">
        <v>12538.25</v>
      </c>
    </row>
    <row r="69" spans="1:16" x14ac:dyDescent="0.2">
      <c r="A69" s="5">
        <v>38292</v>
      </c>
      <c r="B69" s="2" t="s">
        <v>53</v>
      </c>
      <c r="C69" s="2" t="s">
        <v>114</v>
      </c>
      <c r="D69" s="3">
        <v>954</v>
      </c>
      <c r="E69" s="3">
        <v>6</v>
      </c>
      <c r="F69" s="3">
        <v>831</v>
      </c>
      <c r="G69" s="3">
        <v>20</v>
      </c>
      <c r="H69" s="3">
        <v>816</v>
      </c>
      <c r="I69" s="4">
        <v>3.28</v>
      </c>
      <c r="J69" s="4">
        <v>625.48</v>
      </c>
      <c r="K69" s="4">
        <v>820.35</v>
      </c>
      <c r="L69" s="4">
        <v>41.02</v>
      </c>
      <c r="M69" s="3">
        <v>25013</v>
      </c>
      <c r="N69" s="4">
        <v>625.48</v>
      </c>
      <c r="O69" s="4">
        <v>820.35</v>
      </c>
      <c r="P69" s="4">
        <v>14462.92</v>
      </c>
    </row>
    <row r="70" spans="1:16" x14ac:dyDescent="0.2">
      <c r="A70" s="5">
        <v>38322</v>
      </c>
      <c r="B70" s="2" t="s">
        <v>53</v>
      </c>
      <c r="C70" s="2" t="s">
        <v>114</v>
      </c>
      <c r="D70" s="3">
        <v>957</v>
      </c>
      <c r="E70" s="3">
        <v>6</v>
      </c>
      <c r="F70" s="3">
        <v>832</v>
      </c>
      <c r="G70" s="3">
        <v>23</v>
      </c>
      <c r="H70" s="3">
        <v>821</v>
      </c>
      <c r="I70" s="4">
        <v>4.75</v>
      </c>
      <c r="J70" s="4">
        <v>993.26</v>
      </c>
      <c r="K70" s="4">
        <v>1155.93</v>
      </c>
      <c r="L70" s="4">
        <v>50.26</v>
      </c>
      <c r="M70" s="3">
        <v>24339</v>
      </c>
      <c r="N70" s="4">
        <v>993.26</v>
      </c>
      <c r="O70" s="4">
        <v>1155.93</v>
      </c>
      <c r="P70" s="4">
        <v>15791.61</v>
      </c>
    </row>
    <row r="71" spans="1:16" x14ac:dyDescent="0.2">
      <c r="A71" s="5">
        <v>38353</v>
      </c>
      <c r="B71" s="2" t="s">
        <v>53</v>
      </c>
      <c r="C71" s="2" t="s">
        <v>115</v>
      </c>
      <c r="D71" s="3">
        <v>958</v>
      </c>
      <c r="E71" s="3">
        <v>5</v>
      </c>
      <c r="F71" s="3">
        <v>833</v>
      </c>
      <c r="G71" s="3">
        <v>19</v>
      </c>
      <c r="H71" s="3">
        <v>823</v>
      </c>
      <c r="I71" s="4">
        <v>4.0999999999999996</v>
      </c>
      <c r="J71" s="4">
        <v>815.75</v>
      </c>
      <c r="K71" s="4">
        <v>997.32</v>
      </c>
      <c r="L71" s="4">
        <v>52.49</v>
      </c>
      <c r="M71" s="3">
        <v>24343</v>
      </c>
      <c r="N71" s="4">
        <v>815.75</v>
      </c>
      <c r="O71" s="4">
        <v>997.32</v>
      </c>
      <c r="P71" s="4">
        <v>15574.44</v>
      </c>
    </row>
    <row r="72" spans="1:16" x14ac:dyDescent="0.2">
      <c r="A72" s="5">
        <v>38384</v>
      </c>
      <c r="B72" s="2" t="s">
        <v>53</v>
      </c>
      <c r="C72" s="2" t="s">
        <v>115</v>
      </c>
      <c r="D72" s="3">
        <v>964</v>
      </c>
      <c r="E72" s="3">
        <v>4</v>
      </c>
      <c r="F72" s="3">
        <v>837</v>
      </c>
      <c r="G72" s="3">
        <v>20</v>
      </c>
      <c r="H72" s="3">
        <v>835</v>
      </c>
      <c r="I72" s="4">
        <v>4.25</v>
      </c>
      <c r="J72" s="4">
        <v>896.65</v>
      </c>
      <c r="K72" s="4">
        <v>999.89</v>
      </c>
      <c r="L72" s="4">
        <v>49.99</v>
      </c>
      <c r="M72" s="3">
        <v>23551</v>
      </c>
      <c r="N72" s="4">
        <v>896.65</v>
      </c>
      <c r="O72" s="4">
        <v>999.89</v>
      </c>
      <c r="P72" s="4">
        <v>16145.97</v>
      </c>
    </row>
    <row r="73" spans="1:16" x14ac:dyDescent="0.2">
      <c r="A73" s="5">
        <v>38412</v>
      </c>
      <c r="B73" s="2" t="s">
        <v>53</v>
      </c>
      <c r="C73" s="2" t="s">
        <v>115</v>
      </c>
      <c r="D73" s="3">
        <v>970</v>
      </c>
      <c r="E73" s="3">
        <v>1</v>
      </c>
      <c r="F73" s="3">
        <v>839</v>
      </c>
      <c r="G73" s="3">
        <v>22</v>
      </c>
      <c r="H73" s="3">
        <v>870</v>
      </c>
      <c r="I73" s="4">
        <v>4.59</v>
      </c>
      <c r="J73" s="4">
        <v>837.05</v>
      </c>
      <c r="K73" s="4">
        <v>1130.55</v>
      </c>
      <c r="L73" s="4">
        <v>51.39</v>
      </c>
      <c r="M73" s="3">
        <v>24626</v>
      </c>
      <c r="N73" s="4">
        <v>837.05</v>
      </c>
      <c r="O73" s="4">
        <v>1130.55</v>
      </c>
      <c r="P73" s="4">
        <v>15855.85</v>
      </c>
    </row>
    <row r="74" spans="1:16" x14ac:dyDescent="0.2">
      <c r="A74" s="5">
        <v>38443</v>
      </c>
      <c r="B74" s="2" t="s">
        <v>54</v>
      </c>
      <c r="C74" s="2" t="s">
        <v>116</v>
      </c>
      <c r="D74" s="3">
        <v>973</v>
      </c>
      <c r="E74" s="3">
        <v>1</v>
      </c>
      <c r="F74" s="3">
        <v>836</v>
      </c>
      <c r="G74" s="3">
        <v>20</v>
      </c>
      <c r="H74" s="3">
        <v>952</v>
      </c>
      <c r="I74" s="4">
        <v>3.67</v>
      </c>
      <c r="J74" s="4">
        <v>512.65</v>
      </c>
      <c r="K74" s="4">
        <v>827.18</v>
      </c>
      <c r="L74" s="4">
        <v>41.36</v>
      </c>
      <c r="M74" s="3">
        <v>22527</v>
      </c>
      <c r="N74" s="4">
        <v>512.65</v>
      </c>
      <c r="O74" s="4">
        <v>827.18</v>
      </c>
      <c r="P74" s="4">
        <v>15179.08</v>
      </c>
    </row>
    <row r="75" spans="1:16" x14ac:dyDescent="0.2">
      <c r="A75" s="5">
        <v>38473</v>
      </c>
      <c r="B75" s="2" t="s">
        <v>54</v>
      </c>
      <c r="C75" s="2" t="s">
        <v>116</v>
      </c>
      <c r="D75" s="3">
        <v>977</v>
      </c>
      <c r="E75" s="3">
        <v>1</v>
      </c>
      <c r="F75" s="3">
        <v>842</v>
      </c>
      <c r="G75" s="3">
        <v>22</v>
      </c>
      <c r="H75" s="3">
        <v>875</v>
      </c>
      <c r="I75" s="4">
        <v>4.12</v>
      </c>
      <c r="J75" s="4">
        <v>565.16</v>
      </c>
      <c r="K75" s="4">
        <v>868.02</v>
      </c>
      <c r="L75" s="4">
        <v>39.46</v>
      </c>
      <c r="M75" s="3">
        <v>21020</v>
      </c>
      <c r="N75" s="4">
        <v>565.16</v>
      </c>
      <c r="O75" s="4">
        <v>868.02</v>
      </c>
      <c r="P75" s="4">
        <v>16549.95</v>
      </c>
    </row>
    <row r="76" spans="1:16" x14ac:dyDescent="0.2">
      <c r="A76" s="5">
        <v>38504</v>
      </c>
      <c r="B76" s="2" t="s">
        <v>54</v>
      </c>
      <c r="C76" s="2" t="s">
        <v>116</v>
      </c>
      <c r="D76" s="3">
        <v>987</v>
      </c>
      <c r="E76" s="3">
        <v>1</v>
      </c>
      <c r="F76" s="3">
        <v>854</v>
      </c>
      <c r="G76" s="3">
        <v>23</v>
      </c>
      <c r="H76" s="3">
        <v>861</v>
      </c>
      <c r="I76" s="4">
        <v>4.7699999999999996</v>
      </c>
      <c r="J76" s="4">
        <v>704.85</v>
      </c>
      <c r="K76" s="4">
        <v>1113.97</v>
      </c>
      <c r="L76" s="4">
        <v>48.43</v>
      </c>
      <c r="M76" s="3">
        <v>23374</v>
      </c>
      <c r="N76" s="4">
        <v>704.85</v>
      </c>
      <c r="O76" s="4">
        <v>1113.97</v>
      </c>
      <c r="P76" s="4">
        <v>17275.02</v>
      </c>
    </row>
    <row r="77" spans="1:16" x14ac:dyDescent="0.2">
      <c r="A77" s="5">
        <v>38534</v>
      </c>
      <c r="B77" s="2" t="s">
        <v>54</v>
      </c>
      <c r="C77" s="2" t="s">
        <v>117</v>
      </c>
      <c r="D77" s="3">
        <v>999</v>
      </c>
      <c r="E77" s="3">
        <v>1</v>
      </c>
      <c r="F77" s="3">
        <v>868</v>
      </c>
      <c r="G77" s="3">
        <v>20</v>
      </c>
      <c r="H77" s="3">
        <v>995</v>
      </c>
      <c r="I77" s="4">
        <v>5.03</v>
      </c>
      <c r="J77" s="4">
        <v>841.34</v>
      </c>
      <c r="K77" s="4">
        <v>1230.08</v>
      </c>
      <c r="L77" s="4">
        <v>61.5</v>
      </c>
      <c r="M77" s="3">
        <v>24449</v>
      </c>
      <c r="N77" s="4">
        <v>841.34</v>
      </c>
      <c r="O77" s="4">
        <v>1230.08</v>
      </c>
      <c r="P77" s="4">
        <v>18487.400000000001</v>
      </c>
    </row>
    <row r="78" spans="1:16" x14ac:dyDescent="0.2">
      <c r="A78" s="5">
        <v>38565</v>
      </c>
      <c r="B78" s="2" t="s">
        <v>54</v>
      </c>
      <c r="C78" s="2" t="s">
        <v>117</v>
      </c>
      <c r="D78" s="3">
        <v>1006</v>
      </c>
      <c r="E78" s="3">
        <v>1</v>
      </c>
      <c r="F78" s="3">
        <v>875</v>
      </c>
      <c r="G78" s="3">
        <v>22</v>
      </c>
      <c r="H78" s="3">
        <v>887</v>
      </c>
      <c r="I78" s="4">
        <v>5.7</v>
      </c>
      <c r="J78" s="4">
        <v>1007.17</v>
      </c>
      <c r="K78" s="4">
        <v>1457.31</v>
      </c>
      <c r="L78" s="4">
        <v>66.239999999999995</v>
      </c>
      <c r="M78" s="3">
        <v>25548</v>
      </c>
      <c r="N78" s="4">
        <v>1007.17</v>
      </c>
      <c r="O78" s="4">
        <v>1457.31</v>
      </c>
      <c r="P78" s="4">
        <v>19574.91</v>
      </c>
    </row>
    <row r="79" spans="1:16" x14ac:dyDescent="0.2">
      <c r="A79" s="5">
        <v>38596</v>
      </c>
      <c r="B79" s="2" t="s">
        <v>54</v>
      </c>
      <c r="C79" s="2" t="s">
        <v>117</v>
      </c>
      <c r="D79" s="3">
        <v>1016</v>
      </c>
      <c r="E79" s="3">
        <v>1</v>
      </c>
      <c r="F79" s="3">
        <v>883</v>
      </c>
      <c r="G79" s="3">
        <v>21</v>
      </c>
      <c r="H79" s="3">
        <v>899</v>
      </c>
      <c r="I79" s="4">
        <v>5.76</v>
      </c>
      <c r="J79" s="4">
        <v>919.96</v>
      </c>
      <c r="K79" s="4">
        <v>1453.93</v>
      </c>
      <c r="L79" s="4">
        <v>69.23</v>
      </c>
      <c r="M79" s="3">
        <v>25229</v>
      </c>
      <c r="N79" s="4">
        <v>919.96</v>
      </c>
      <c r="O79" s="4">
        <v>1453.93</v>
      </c>
      <c r="P79" s="4">
        <v>20982.63</v>
      </c>
    </row>
    <row r="80" spans="1:16" x14ac:dyDescent="0.2">
      <c r="A80" s="5">
        <v>38626</v>
      </c>
      <c r="B80" s="2" t="s">
        <v>54</v>
      </c>
      <c r="C80" s="2" t="s">
        <v>118</v>
      </c>
      <c r="D80" s="3">
        <v>1019</v>
      </c>
      <c r="E80" s="3">
        <v>1</v>
      </c>
      <c r="F80" s="3">
        <v>881</v>
      </c>
      <c r="G80" s="3">
        <v>20</v>
      </c>
      <c r="H80" s="3">
        <v>885</v>
      </c>
      <c r="I80" s="4">
        <v>4.63</v>
      </c>
      <c r="J80" s="4">
        <v>576.70000000000005</v>
      </c>
      <c r="K80" s="4">
        <v>1208.0999999999999</v>
      </c>
      <c r="L80" s="4">
        <v>60.4</v>
      </c>
      <c r="M80" s="3">
        <v>26077</v>
      </c>
      <c r="N80" s="4">
        <v>576.70000000000005</v>
      </c>
      <c r="O80" s="4">
        <v>1208.0999999999999</v>
      </c>
      <c r="P80" s="4">
        <v>19276.45</v>
      </c>
    </row>
    <row r="81" spans="1:16" x14ac:dyDescent="0.2">
      <c r="A81" s="5">
        <v>38657</v>
      </c>
      <c r="B81" s="2" t="s">
        <v>54</v>
      </c>
      <c r="C81" s="2" t="s">
        <v>118</v>
      </c>
      <c r="D81" s="3">
        <v>1025</v>
      </c>
      <c r="E81" s="3"/>
      <c r="F81" s="3">
        <v>886</v>
      </c>
      <c r="G81" s="3">
        <v>20</v>
      </c>
      <c r="H81" s="3">
        <v>922</v>
      </c>
      <c r="I81" s="4">
        <v>4.34</v>
      </c>
      <c r="J81" s="4">
        <v>538.70000000000005</v>
      </c>
      <c r="K81" s="4">
        <v>1095.78</v>
      </c>
      <c r="L81" s="4">
        <v>54.79</v>
      </c>
      <c r="M81" s="3">
        <v>25258</v>
      </c>
      <c r="N81" s="4">
        <v>538.70000000000005</v>
      </c>
      <c r="O81" s="4">
        <v>1095.78</v>
      </c>
      <c r="P81" s="4">
        <v>21668.23</v>
      </c>
    </row>
    <row r="82" spans="1:16" x14ac:dyDescent="0.2">
      <c r="A82" s="5">
        <v>38687</v>
      </c>
      <c r="B82" s="2" t="s">
        <v>54</v>
      </c>
      <c r="C82" s="2" t="s">
        <v>118</v>
      </c>
      <c r="D82" s="3">
        <v>1036</v>
      </c>
      <c r="E82" s="3"/>
      <c r="F82" s="3">
        <v>896</v>
      </c>
      <c r="G82" s="3">
        <v>22</v>
      </c>
      <c r="H82" s="3">
        <v>907</v>
      </c>
      <c r="I82" s="4">
        <v>5.53</v>
      </c>
      <c r="J82" s="4">
        <v>636.99</v>
      </c>
      <c r="K82" s="4">
        <v>1499.08</v>
      </c>
      <c r="L82" s="4">
        <v>68.14</v>
      </c>
      <c r="M82" s="3">
        <v>27120</v>
      </c>
      <c r="N82" s="4">
        <v>636.99</v>
      </c>
      <c r="O82" s="4">
        <v>1499.08</v>
      </c>
      <c r="P82" s="4">
        <v>23223.919999999998</v>
      </c>
    </row>
    <row r="83" spans="1:16" x14ac:dyDescent="0.2">
      <c r="A83" s="5">
        <v>38718</v>
      </c>
      <c r="B83" s="2" t="s">
        <v>54</v>
      </c>
      <c r="C83" s="2" t="s">
        <v>119</v>
      </c>
      <c r="D83" s="3">
        <v>1043</v>
      </c>
      <c r="E83" s="3"/>
      <c r="F83" s="3">
        <v>903</v>
      </c>
      <c r="G83" s="3">
        <v>20</v>
      </c>
      <c r="H83" s="3">
        <v>910</v>
      </c>
      <c r="I83" s="4">
        <v>5.54</v>
      </c>
      <c r="J83" s="4">
        <v>667.17</v>
      </c>
      <c r="K83" s="4">
        <v>1494.42</v>
      </c>
      <c r="L83" s="4">
        <v>74.72</v>
      </c>
      <c r="M83" s="3">
        <v>26997</v>
      </c>
      <c r="N83" s="4">
        <v>667.17</v>
      </c>
      <c r="O83" s="4">
        <v>1494.42</v>
      </c>
      <c r="P83" s="4">
        <v>24343.95</v>
      </c>
    </row>
    <row r="84" spans="1:16" x14ac:dyDescent="0.2">
      <c r="A84" s="5">
        <v>38749</v>
      </c>
      <c r="B84" s="2" t="s">
        <v>54</v>
      </c>
      <c r="C84" s="2" t="s">
        <v>119</v>
      </c>
      <c r="D84" s="3">
        <v>1051</v>
      </c>
      <c r="E84" s="3"/>
      <c r="F84" s="3">
        <v>911</v>
      </c>
      <c r="G84" s="3">
        <v>19</v>
      </c>
      <c r="H84" s="3">
        <v>946</v>
      </c>
      <c r="I84" s="4">
        <v>5.21</v>
      </c>
      <c r="J84" s="4">
        <v>616.29</v>
      </c>
      <c r="K84" s="4">
        <v>1353.74</v>
      </c>
      <c r="L84" s="4">
        <v>71.25</v>
      </c>
      <c r="M84" s="3">
        <v>25976</v>
      </c>
      <c r="N84" s="4">
        <v>616.29</v>
      </c>
      <c r="O84" s="4">
        <v>1353.74</v>
      </c>
      <c r="P84" s="4">
        <v>25120.83</v>
      </c>
    </row>
    <row r="85" spans="1:16" x14ac:dyDescent="0.2">
      <c r="A85" s="5">
        <v>38777</v>
      </c>
      <c r="B85" s="2" t="s">
        <v>54</v>
      </c>
      <c r="C85" s="2" t="s">
        <v>119</v>
      </c>
      <c r="D85" s="3">
        <v>1069</v>
      </c>
      <c r="E85" s="3"/>
      <c r="F85" s="3">
        <v>929</v>
      </c>
      <c r="G85" s="3">
        <v>22</v>
      </c>
      <c r="H85" s="3">
        <v>956</v>
      </c>
      <c r="I85" s="4">
        <v>6.58</v>
      </c>
      <c r="J85" s="4">
        <v>857.88</v>
      </c>
      <c r="K85" s="4">
        <v>2093.9499999999998</v>
      </c>
      <c r="L85" s="4">
        <v>95.18</v>
      </c>
      <c r="M85" s="3">
        <v>31832</v>
      </c>
      <c r="N85" s="4">
        <v>857.88</v>
      </c>
      <c r="O85" s="4">
        <v>2093.9499999999998</v>
      </c>
      <c r="P85" s="4">
        <v>28132.01</v>
      </c>
    </row>
    <row r="86" spans="1:16" x14ac:dyDescent="0.2">
      <c r="A86" s="5">
        <v>38808</v>
      </c>
      <c r="B86" s="2" t="s">
        <v>55</v>
      </c>
      <c r="C86" s="2" t="s">
        <v>120</v>
      </c>
      <c r="D86" s="3">
        <v>1084</v>
      </c>
      <c r="E86" s="3"/>
      <c r="F86" s="3">
        <v>944</v>
      </c>
      <c r="G86" s="3">
        <v>18</v>
      </c>
      <c r="H86" s="3">
        <v>967</v>
      </c>
      <c r="I86" s="4">
        <v>5.67</v>
      </c>
      <c r="J86" s="4">
        <v>728.92</v>
      </c>
      <c r="K86" s="4">
        <v>1773.72</v>
      </c>
      <c r="L86" s="4">
        <v>98.54</v>
      </c>
      <c r="M86" s="3">
        <v>31256</v>
      </c>
      <c r="N86" s="4">
        <v>728.92</v>
      </c>
      <c r="O86" s="4">
        <v>1773.72</v>
      </c>
      <c r="P86" s="4">
        <v>29902</v>
      </c>
    </row>
    <row r="87" spans="1:16" x14ac:dyDescent="0.2">
      <c r="A87" s="5">
        <v>38838</v>
      </c>
      <c r="B87" s="2" t="s">
        <v>55</v>
      </c>
      <c r="C87" s="2" t="s">
        <v>120</v>
      </c>
      <c r="D87" s="3">
        <v>1093</v>
      </c>
      <c r="E87" s="3"/>
      <c r="F87" s="3">
        <v>952</v>
      </c>
      <c r="G87" s="3">
        <v>22</v>
      </c>
      <c r="H87" s="3">
        <v>972</v>
      </c>
      <c r="I87" s="4">
        <v>6.93</v>
      </c>
      <c r="J87" s="4">
        <v>953.71</v>
      </c>
      <c r="K87" s="4">
        <v>2014.09</v>
      </c>
      <c r="L87" s="4">
        <v>91.55</v>
      </c>
      <c r="M87" s="3">
        <v>29022</v>
      </c>
      <c r="N87" s="4">
        <v>953.71</v>
      </c>
      <c r="O87" s="4">
        <v>2014.09</v>
      </c>
      <c r="P87" s="4">
        <v>26126.39</v>
      </c>
    </row>
    <row r="88" spans="1:16" x14ac:dyDescent="0.2">
      <c r="A88" s="5">
        <v>38869</v>
      </c>
      <c r="B88" s="2" t="s">
        <v>55</v>
      </c>
      <c r="C88" s="2" t="s">
        <v>120</v>
      </c>
      <c r="D88" s="3">
        <v>1099</v>
      </c>
      <c r="E88" s="3"/>
      <c r="F88" s="3">
        <v>962</v>
      </c>
      <c r="G88" s="3">
        <v>23</v>
      </c>
      <c r="H88" s="3">
        <v>1119</v>
      </c>
      <c r="I88" s="4">
        <v>6.67</v>
      </c>
      <c r="J88" s="4">
        <v>667.48</v>
      </c>
      <c r="K88" s="4">
        <v>1510.5</v>
      </c>
      <c r="L88" s="4">
        <v>65.67</v>
      </c>
      <c r="M88" s="3">
        <v>22651</v>
      </c>
      <c r="N88" s="4">
        <v>667.48</v>
      </c>
      <c r="O88" s="4">
        <v>1510.5</v>
      </c>
      <c r="P88" s="4">
        <v>25246.59</v>
      </c>
    </row>
    <row r="89" spans="1:16" x14ac:dyDescent="0.2">
      <c r="A89" s="5">
        <v>38899</v>
      </c>
      <c r="B89" s="2" t="s">
        <v>55</v>
      </c>
      <c r="C89" s="2" t="s">
        <v>121</v>
      </c>
      <c r="D89" s="3">
        <v>1095</v>
      </c>
      <c r="E89" s="3"/>
      <c r="F89" s="3">
        <v>956</v>
      </c>
      <c r="G89" s="3">
        <v>21</v>
      </c>
      <c r="H89" s="3">
        <v>964</v>
      </c>
      <c r="I89" s="4">
        <v>5.37</v>
      </c>
      <c r="J89" s="4">
        <v>461.46</v>
      </c>
      <c r="K89" s="4">
        <v>1186.98</v>
      </c>
      <c r="L89" s="4">
        <v>56.52</v>
      </c>
      <c r="M89" s="3">
        <v>22105</v>
      </c>
      <c r="N89" s="4">
        <v>461.46</v>
      </c>
      <c r="O89" s="4">
        <v>1186.98</v>
      </c>
      <c r="P89" s="4">
        <v>25142.61</v>
      </c>
    </row>
    <row r="90" spans="1:16" x14ac:dyDescent="0.2">
      <c r="A90" s="5">
        <v>38930</v>
      </c>
      <c r="B90" s="2" t="s">
        <v>55</v>
      </c>
      <c r="C90" s="2" t="s">
        <v>121</v>
      </c>
      <c r="D90" s="3">
        <v>1099</v>
      </c>
      <c r="E90" s="3"/>
      <c r="F90" s="3">
        <v>958</v>
      </c>
      <c r="G90" s="3">
        <v>22</v>
      </c>
      <c r="H90" s="3">
        <v>1069</v>
      </c>
      <c r="I90" s="4">
        <v>6.31</v>
      </c>
      <c r="J90" s="4">
        <v>564.41999999999996</v>
      </c>
      <c r="K90" s="4">
        <v>1307.96</v>
      </c>
      <c r="L90" s="4">
        <v>59.45</v>
      </c>
      <c r="M90" s="3">
        <v>20735</v>
      </c>
      <c r="N90" s="4">
        <v>564.41999999999996</v>
      </c>
      <c r="O90" s="4">
        <v>1307.96</v>
      </c>
      <c r="P90" s="4">
        <v>27774.01</v>
      </c>
    </row>
    <row r="91" spans="1:16" x14ac:dyDescent="0.2">
      <c r="A91" s="5">
        <v>38961</v>
      </c>
      <c r="B91" s="2" t="s">
        <v>55</v>
      </c>
      <c r="C91" s="2" t="s">
        <v>121</v>
      </c>
      <c r="D91" s="3">
        <v>1116</v>
      </c>
      <c r="E91" s="3"/>
      <c r="F91" s="3">
        <v>969</v>
      </c>
      <c r="G91" s="3">
        <v>21</v>
      </c>
      <c r="H91" s="3">
        <v>998</v>
      </c>
      <c r="I91" s="4">
        <v>6.48</v>
      </c>
      <c r="J91" s="4">
        <v>643.85</v>
      </c>
      <c r="K91" s="4">
        <v>1443.39</v>
      </c>
      <c r="L91" s="4">
        <v>68.73</v>
      </c>
      <c r="M91" s="3">
        <v>22278</v>
      </c>
      <c r="N91" s="4">
        <v>643.85</v>
      </c>
      <c r="O91" s="4">
        <v>1443.39</v>
      </c>
      <c r="P91" s="4">
        <v>29941.32</v>
      </c>
    </row>
    <row r="92" spans="1:16" x14ac:dyDescent="0.2">
      <c r="A92" s="5">
        <v>38991</v>
      </c>
      <c r="B92" s="2" t="s">
        <v>55</v>
      </c>
      <c r="C92" s="2" t="s">
        <v>122</v>
      </c>
      <c r="D92" s="3">
        <v>1127</v>
      </c>
      <c r="E92" s="3"/>
      <c r="F92" s="3">
        <v>981</v>
      </c>
      <c r="G92" s="3">
        <v>20</v>
      </c>
      <c r="H92" s="3">
        <v>1006</v>
      </c>
      <c r="I92" s="4">
        <v>5.79</v>
      </c>
      <c r="J92" s="4">
        <v>608.23</v>
      </c>
      <c r="K92" s="4">
        <v>1383.82</v>
      </c>
      <c r="L92" s="4">
        <v>69.19</v>
      </c>
      <c r="M92" s="3">
        <v>23892</v>
      </c>
      <c r="N92" s="4">
        <v>608.23</v>
      </c>
      <c r="O92" s="4">
        <v>1383.82</v>
      </c>
      <c r="P92" s="4">
        <v>31383.19</v>
      </c>
    </row>
    <row r="93" spans="1:16" x14ac:dyDescent="0.2">
      <c r="A93" s="5">
        <v>39022</v>
      </c>
      <c r="B93" s="2" t="s">
        <v>55</v>
      </c>
      <c r="C93" s="2" t="s">
        <v>122</v>
      </c>
      <c r="D93" s="3">
        <v>1137</v>
      </c>
      <c r="E93" s="3"/>
      <c r="F93" s="3">
        <v>991</v>
      </c>
      <c r="G93" s="3">
        <v>22</v>
      </c>
      <c r="H93" s="3">
        <v>1056</v>
      </c>
      <c r="I93" s="4">
        <v>7.47</v>
      </c>
      <c r="J93" s="4">
        <v>730.71</v>
      </c>
      <c r="K93" s="4">
        <v>1898.63</v>
      </c>
      <c r="L93" s="4">
        <v>86.3</v>
      </c>
      <c r="M93" s="3">
        <v>25419</v>
      </c>
      <c r="N93" s="4">
        <v>730.71</v>
      </c>
      <c r="O93" s="4">
        <v>1898.63</v>
      </c>
      <c r="P93" s="4">
        <v>33736.519999999997</v>
      </c>
    </row>
    <row r="94" spans="1:16" x14ac:dyDescent="0.2">
      <c r="A94" s="5">
        <v>39052</v>
      </c>
      <c r="B94" s="2" t="s">
        <v>55</v>
      </c>
      <c r="C94" s="2" t="s">
        <v>122</v>
      </c>
      <c r="D94" s="3">
        <v>1158</v>
      </c>
      <c r="E94" s="3"/>
      <c r="F94" s="3">
        <v>1016</v>
      </c>
      <c r="G94" s="3">
        <v>20</v>
      </c>
      <c r="H94" s="3">
        <v>1044</v>
      </c>
      <c r="I94" s="4">
        <v>6.66</v>
      </c>
      <c r="J94" s="4">
        <v>585.80999999999995</v>
      </c>
      <c r="K94" s="4">
        <v>1701.05</v>
      </c>
      <c r="L94" s="4">
        <v>85.05</v>
      </c>
      <c r="M94" s="3">
        <v>25545</v>
      </c>
      <c r="N94" s="4">
        <v>585.80999999999995</v>
      </c>
      <c r="O94" s="4">
        <v>1701.05</v>
      </c>
      <c r="P94" s="4">
        <v>34262.36</v>
      </c>
    </row>
    <row r="95" spans="1:16" x14ac:dyDescent="0.2">
      <c r="A95" s="5">
        <v>39083</v>
      </c>
      <c r="B95" s="2" t="s">
        <v>55</v>
      </c>
      <c r="C95" s="2" t="s">
        <v>123</v>
      </c>
      <c r="D95" s="3">
        <v>1185</v>
      </c>
      <c r="E95" s="3"/>
      <c r="F95" s="3">
        <v>1040</v>
      </c>
      <c r="G95" s="3">
        <v>20</v>
      </c>
      <c r="H95" s="3">
        <v>1084</v>
      </c>
      <c r="I95" s="4">
        <v>6.99</v>
      </c>
      <c r="J95" s="4">
        <v>883.54</v>
      </c>
      <c r="K95" s="4">
        <v>1751.47</v>
      </c>
      <c r="L95" s="4">
        <v>87.57</v>
      </c>
      <c r="M95" s="3">
        <v>25066</v>
      </c>
      <c r="N95" s="4">
        <v>883.54</v>
      </c>
      <c r="O95" s="4">
        <v>1751.47</v>
      </c>
      <c r="P95" s="4">
        <v>35714.870000000003</v>
      </c>
    </row>
    <row r="96" spans="1:16" x14ac:dyDescent="0.2">
      <c r="A96" s="5">
        <v>39114</v>
      </c>
      <c r="B96" s="2" t="s">
        <v>55</v>
      </c>
      <c r="C96" s="2" t="s">
        <v>123</v>
      </c>
      <c r="D96" s="3">
        <v>1208</v>
      </c>
      <c r="E96" s="3"/>
      <c r="F96" s="3">
        <v>1063</v>
      </c>
      <c r="G96" s="3">
        <v>19</v>
      </c>
      <c r="H96" s="3">
        <v>1086</v>
      </c>
      <c r="I96" s="4">
        <v>7.02</v>
      </c>
      <c r="J96" s="4">
        <v>898.07</v>
      </c>
      <c r="K96" s="4">
        <v>1801.7</v>
      </c>
      <c r="L96" s="4">
        <v>94.83</v>
      </c>
      <c r="M96" s="3">
        <v>25665</v>
      </c>
      <c r="N96" s="4">
        <v>898.07</v>
      </c>
      <c r="O96" s="4">
        <v>1801.7</v>
      </c>
      <c r="P96" s="4">
        <v>32969.31</v>
      </c>
    </row>
    <row r="97" spans="1:16" x14ac:dyDescent="0.2">
      <c r="A97" s="5">
        <v>39142</v>
      </c>
      <c r="B97" s="2" t="s">
        <v>55</v>
      </c>
      <c r="C97" s="2" t="s">
        <v>123</v>
      </c>
      <c r="D97" s="3">
        <v>1228</v>
      </c>
      <c r="E97" s="3"/>
      <c r="F97" s="3">
        <v>1084</v>
      </c>
      <c r="G97" s="3">
        <v>21</v>
      </c>
      <c r="H97" s="3">
        <v>1191</v>
      </c>
      <c r="I97" s="4">
        <v>7.1</v>
      </c>
      <c r="J97" s="4">
        <v>828.36</v>
      </c>
      <c r="K97" s="4">
        <v>1679.54</v>
      </c>
      <c r="L97" s="4">
        <v>79.98</v>
      </c>
      <c r="M97" s="3">
        <v>23655</v>
      </c>
      <c r="N97" s="4">
        <v>828.36</v>
      </c>
      <c r="O97" s="4">
        <v>1679.54</v>
      </c>
      <c r="P97" s="4">
        <v>33673.5</v>
      </c>
    </row>
    <row r="98" spans="1:16" x14ac:dyDescent="0.2">
      <c r="A98" s="5">
        <v>39173</v>
      </c>
      <c r="B98" s="2" t="s">
        <v>56</v>
      </c>
      <c r="C98" s="2" t="s">
        <v>124</v>
      </c>
      <c r="D98" s="3">
        <v>1246</v>
      </c>
      <c r="E98" s="3"/>
      <c r="F98" s="3">
        <v>1104</v>
      </c>
      <c r="G98" s="3">
        <v>20</v>
      </c>
      <c r="H98" s="3">
        <v>1134</v>
      </c>
      <c r="I98" s="4">
        <v>6.78</v>
      </c>
      <c r="J98" s="4">
        <v>770.81</v>
      </c>
      <c r="K98" s="4">
        <v>1685.67</v>
      </c>
      <c r="L98" s="4">
        <v>84.28</v>
      </c>
      <c r="M98" s="3">
        <v>24862</v>
      </c>
      <c r="N98" s="4">
        <v>770.81</v>
      </c>
      <c r="O98" s="4">
        <v>1685.67</v>
      </c>
      <c r="P98" s="4">
        <v>36503.68</v>
      </c>
    </row>
    <row r="99" spans="1:16" x14ac:dyDescent="0.2">
      <c r="A99" s="5">
        <v>39203</v>
      </c>
      <c r="B99" s="2" t="s">
        <v>56</v>
      </c>
      <c r="C99" s="2" t="s">
        <v>124</v>
      </c>
      <c r="D99" s="3">
        <v>1267</v>
      </c>
      <c r="E99" s="3"/>
      <c r="F99" s="3">
        <v>1126</v>
      </c>
      <c r="G99" s="3">
        <v>21</v>
      </c>
      <c r="H99" s="3">
        <v>1149</v>
      </c>
      <c r="I99" s="4">
        <v>8.02</v>
      </c>
      <c r="J99" s="4">
        <v>979.11</v>
      </c>
      <c r="K99" s="4">
        <v>2075.85</v>
      </c>
      <c r="L99" s="4">
        <v>98.85</v>
      </c>
      <c r="M99" s="3">
        <v>25883</v>
      </c>
      <c r="N99" s="4">
        <v>979.11</v>
      </c>
      <c r="O99" s="4">
        <v>2075.85</v>
      </c>
      <c r="P99" s="4">
        <v>38980.78</v>
      </c>
    </row>
    <row r="100" spans="1:16" x14ac:dyDescent="0.2">
      <c r="A100" s="5">
        <v>39234</v>
      </c>
      <c r="B100" s="2" t="s">
        <v>56</v>
      </c>
      <c r="C100" s="2" t="s">
        <v>124</v>
      </c>
      <c r="D100" s="3">
        <v>1283</v>
      </c>
      <c r="E100" s="3"/>
      <c r="F100" s="3">
        <v>1143</v>
      </c>
      <c r="G100" s="3">
        <v>21</v>
      </c>
      <c r="H100" s="3">
        <v>1219</v>
      </c>
      <c r="I100" s="4">
        <v>7.51</v>
      </c>
      <c r="J100" s="4">
        <v>796.36</v>
      </c>
      <c r="K100" s="4">
        <v>1936.48</v>
      </c>
      <c r="L100" s="4">
        <v>92.21</v>
      </c>
      <c r="M100" s="3">
        <v>25785</v>
      </c>
      <c r="N100" s="4">
        <v>796.36</v>
      </c>
      <c r="O100" s="4">
        <v>1936.48</v>
      </c>
      <c r="P100" s="4">
        <v>39783.81</v>
      </c>
    </row>
    <row r="101" spans="1:16" x14ac:dyDescent="0.2">
      <c r="A101" s="5">
        <v>39264</v>
      </c>
      <c r="B101" s="2" t="s">
        <v>56</v>
      </c>
      <c r="C101" s="2" t="s">
        <v>125</v>
      </c>
      <c r="D101" s="3">
        <v>1293</v>
      </c>
      <c r="E101" s="3"/>
      <c r="F101" s="3">
        <v>1150</v>
      </c>
      <c r="G101" s="3">
        <v>22</v>
      </c>
      <c r="H101" s="3">
        <v>1175</v>
      </c>
      <c r="I101" s="4">
        <v>8.9700000000000006</v>
      </c>
      <c r="J101" s="4">
        <v>1053.1500000000001</v>
      </c>
      <c r="K101" s="4">
        <v>2672.27</v>
      </c>
      <c r="L101" s="4">
        <v>121.47</v>
      </c>
      <c r="M101" s="3">
        <v>29791</v>
      </c>
      <c r="N101" s="4">
        <v>1053.1500000000001</v>
      </c>
      <c r="O101" s="4">
        <v>2672.27</v>
      </c>
      <c r="P101" s="4">
        <v>43175.71</v>
      </c>
    </row>
    <row r="102" spans="1:16" x14ac:dyDescent="0.2">
      <c r="A102" s="5">
        <v>39295</v>
      </c>
      <c r="B102" s="2" t="s">
        <v>56</v>
      </c>
      <c r="C102" s="2" t="s">
        <v>125</v>
      </c>
      <c r="D102" s="3">
        <v>1316</v>
      </c>
      <c r="E102" s="3"/>
      <c r="F102" s="3">
        <v>1170</v>
      </c>
      <c r="G102" s="3">
        <v>22</v>
      </c>
      <c r="H102" s="3">
        <v>1267</v>
      </c>
      <c r="I102" s="4">
        <v>8.74</v>
      </c>
      <c r="J102" s="4">
        <v>1062.18</v>
      </c>
      <c r="K102" s="4">
        <v>2312.41</v>
      </c>
      <c r="L102" s="4">
        <v>105.11</v>
      </c>
      <c r="M102" s="3">
        <v>26458</v>
      </c>
      <c r="N102" s="4">
        <v>1062.18</v>
      </c>
      <c r="O102" s="4">
        <v>2312.41</v>
      </c>
      <c r="P102" s="4">
        <v>42969.94</v>
      </c>
    </row>
    <row r="103" spans="1:16" x14ac:dyDescent="0.2">
      <c r="A103" s="5">
        <v>39326</v>
      </c>
      <c r="B103" s="2" t="s">
        <v>56</v>
      </c>
      <c r="C103" s="2" t="s">
        <v>125</v>
      </c>
      <c r="D103" s="3">
        <v>1319</v>
      </c>
      <c r="E103" s="3"/>
      <c r="F103" s="3">
        <v>1173</v>
      </c>
      <c r="G103" s="3">
        <v>20</v>
      </c>
      <c r="H103" s="3">
        <v>1213</v>
      </c>
      <c r="I103" s="4">
        <v>9.19</v>
      </c>
      <c r="J103" s="4">
        <v>1437.97</v>
      </c>
      <c r="K103" s="4">
        <v>2660.5</v>
      </c>
      <c r="L103" s="4">
        <v>133.02000000000001</v>
      </c>
      <c r="M103" s="3">
        <v>28950</v>
      </c>
      <c r="N103" s="4">
        <v>1437.97</v>
      </c>
      <c r="O103" s="4">
        <v>2660.5</v>
      </c>
      <c r="P103" s="4">
        <v>48865.61</v>
      </c>
    </row>
    <row r="104" spans="1:16" x14ac:dyDescent="0.2">
      <c r="A104" s="5">
        <v>39356</v>
      </c>
      <c r="B104" s="2" t="s">
        <v>56</v>
      </c>
      <c r="C104" s="2" t="s">
        <v>126</v>
      </c>
      <c r="D104" s="3">
        <v>1327</v>
      </c>
      <c r="E104" s="3"/>
      <c r="F104" s="3">
        <v>1180</v>
      </c>
      <c r="G104" s="3">
        <v>22</v>
      </c>
      <c r="H104" s="3">
        <v>1206</v>
      </c>
      <c r="I104" s="4">
        <v>12.27</v>
      </c>
      <c r="J104" s="4">
        <v>1709.45</v>
      </c>
      <c r="K104" s="4">
        <v>4555.8900000000003</v>
      </c>
      <c r="L104" s="4">
        <v>207.09</v>
      </c>
      <c r="M104" s="3">
        <v>37130</v>
      </c>
      <c r="N104" s="4">
        <v>1709.45</v>
      </c>
      <c r="O104" s="4">
        <v>4555.8900000000003</v>
      </c>
      <c r="P104" s="4">
        <v>57222.27</v>
      </c>
    </row>
    <row r="105" spans="1:16" x14ac:dyDescent="0.2">
      <c r="A105" s="5">
        <v>39387</v>
      </c>
      <c r="B105" s="2" t="s">
        <v>56</v>
      </c>
      <c r="C105" s="2" t="s">
        <v>126</v>
      </c>
      <c r="D105" s="3">
        <v>1343</v>
      </c>
      <c r="E105" s="3"/>
      <c r="F105" s="3">
        <v>1197</v>
      </c>
      <c r="G105" s="3">
        <v>22</v>
      </c>
      <c r="H105" s="3">
        <v>1240</v>
      </c>
      <c r="I105" s="4">
        <v>11.8</v>
      </c>
      <c r="J105" s="4">
        <v>1705.88</v>
      </c>
      <c r="K105" s="4">
        <v>4144.2</v>
      </c>
      <c r="L105" s="4">
        <v>188.37</v>
      </c>
      <c r="M105" s="3">
        <v>35120</v>
      </c>
      <c r="N105" s="4">
        <v>1705.88</v>
      </c>
      <c r="O105" s="4">
        <v>4144.2</v>
      </c>
      <c r="P105" s="4">
        <v>58767.42</v>
      </c>
    </row>
    <row r="106" spans="1:16" x14ac:dyDescent="0.2">
      <c r="A106" s="5">
        <v>39417</v>
      </c>
      <c r="B106" s="2" t="s">
        <v>56</v>
      </c>
      <c r="C106" s="2" t="s">
        <v>126</v>
      </c>
      <c r="D106" s="3">
        <v>1353</v>
      </c>
      <c r="E106" s="3"/>
      <c r="F106" s="3">
        <v>1207</v>
      </c>
      <c r="G106" s="3">
        <v>19</v>
      </c>
      <c r="H106" s="3">
        <v>1311</v>
      </c>
      <c r="I106" s="4">
        <v>10.88</v>
      </c>
      <c r="J106" s="4">
        <v>1639.65</v>
      </c>
      <c r="K106" s="4">
        <v>3663.85</v>
      </c>
      <c r="L106" s="4">
        <v>192.83</v>
      </c>
      <c r="M106" s="3">
        <v>33675</v>
      </c>
      <c r="N106" s="4">
        <v>1639.65</v>
      </c>
      <c r="O106" s="4">
        <v>3663.85</v>
      </c>
      <c r="P106" s="4">
        <v>65432.72</v>
      </c>
    </row>
    <row r="107" spans="1:16" x14ac:dyDescent="0.2">
      <c r="A107" s="5">
        <v>39448</v>
      </c>
      <c r="B107" s="2" t="s">
        <v>56</v>
      </c>
      <c r="C107" s="2" t="s">
        <v>127</v>
      </c>
      <c r="D107" s="3">
        <v>1362</v>
      </c>
      <c r="E107" s="3"/>
      <c r="F107" s="3">
        <v>1216</v>
      </c>
      <c r="G107" s="3">
        <v>23</v>
      </c>
      <c r="H107" s="3">
        <v>1269</v>
      </c>
      <c r="I107" s="4">
        <v>12.52</v>
      </c>
      <c r="J107" s="4">
        <v>1668.21</v>
      </c>
      <c r="K107" s="4">
        <v>4471.38</v>
      </c>
      <c r="L107" s="4">
        <v>194.41</v>
      </c>
      <c r="M107" s="3">
        <v>35714</v>
      </c>
      <c r="N107" s="4">
        <v>1668.21</v>
      </c>
      <c r="O107" s="4">
        <v>4471.38</v>
      </c>
      <c r="P107" s="4">
        <v>52953.87</v>
      </c>
    </row>
    <row r="108" spans="1:16" x14ac:dyDescent="0.2">
      <c r="A108" s="5">
        <v>39479</v>
      </c>
      <c r="B108" s="2" t="s">
        <v>56</v>
      </c>
      <c r="C108" s="2" t="s">
        <v>127</v>
      </c>
      <c r="D108" s="3">
        <v>1372</v>
      </c>
      <c r="E108" s="3"/>
      <c r="F108" s="3">
        <v>1227</v>
      </c>
      <c r="G108" s="3">
        <v>21</v>
      </c>
      <c r="H108" s="3">
        <v>1427</v>
      </c>
      <c r="I108" s="4">
        <v>10.72</v>
      </c>
      <c r="J108" s="4">
        <v>1135.8800000000001</v>
      </c>
      <c r="K108" s="4">
        <v>2801.76</v>
      </c>
      <c r="L108" s="4">
        <v>133.41999999999999</v>
      </c>
      <c r="M108" s="3">
        <v>26136</v>
      </c>
      <c r="N108" s="4">
        <v>1135.8800000000001</v>
      </c>
      <c r="O108" s="4">
        <v>2801.76</v>
      </c>
      <c r="P108" s="4">
        <v>54199.42</v>
      </c>
    </row>
    <row r="109" spans="1:16" x14ac:dyDescent="0.2">
      <c r="A109" s="5">
        <v>39508</v>
      </c>
      <c r="B109" s="2" t="s">
        <v>56</v>
      </c>
      <c r="C109" s="2" t="s">
        <v>127</v>
      </c>
      <c r="D109" s="3">
        <v>1381</v>
      </c>
      <c r="E109" s="3"/>
      <c r="F109" s="3">
        <v>1236</v>
      </c>
      <c r="G109" s="3">
        <v>18</v>
      </c>
      <c r="H109" s="3">
        <v>1264</v>
      </c>
      <c r="I109" s="4">
        <v>9.8699999999999992</v>
      </c>
      <c r="J109" s="4">
        <v>1026.04</v>
      </c>
      <c r="K109" s="4">
        <v>2530.12</v>
      </c>
      <c r="L109" s="4">
        <v>140.56</v>
      </c>
      <c r="M109" s="3">
        <v>25634</v>
      </c>
      <c r="N109" s="4">
        <v>1026.04</v>
      </c>
      <c r="O109" s="4">
        <v>2530.12</v>
      </c>
      <c r="P109" s="4">
        <v>48581.22</v>
      </c>
    </row>
    <row r="110" spans="1:16" x14ac:dyDescent="0.2">
      <c r="A110" s="5">
        <v>39539</v>
      </c>
      <c r="B110" s="2" t="s">
        <v>57</v>
      </c>
      <c r="C110" s="2" t="s">
        <v>128</v>
      </c>
      <c r="D110" s="3">
        <v>1390</v>
      </c>
      <c r="E110" s="3"/>
      <c r="F110" s="3">
        <v>1244</v>
      </c>
      <c r="G110" s="3">
        <v>20</v>
      </c>
      <c r="H110" s="3">
        <v>1293</v>
      </c>
      <c r="I110" s="4">
        <v>10.79</v>
      </c>
      <c r="J110" s="4">
        <v>1142.8</v>
      </c>
      <c r="K110" s="4">
        <v>2712.27</v>
      </c>
      <c r="L110" s="4">
        <v>135.61000000000001</v>
      </c>
      <c r="M110" s="3">
        <v>25137</v>
      </c>
      <c r="N110" s="4">
        <v>1142.8</v>
      </c>
      <c r="O110" s="4">
        <v>2712.27</v>
      </c>
      <c r="P110" s="4">
        <v>54427.8</v>
      </c>
    </row>
    <row r="111" spans="1:16" x14ac:dyDescent="0.2">
      <c r="A111" s="5">
        <v>39569</v>
      </c>
      <c r="B111" s="2" t="s">
        <v>57</v>
      </c>
      <c r="C111" s="2" t="s">
        <v>128</v>
      </c>
      <c r="D111" s="3">
        <v>1398</v>
      </c>
      <c r="E111" s="3"/>
      <c r="F111" s="3">
        <v>1252</v>
      </c>
      <c r="G111" s="3">
        <v>20</v>
      </c>
      <c r="H111" s="3">
        <v>1300</v>
      </c>
      <c r="I111" s="4">
        <v>10.71</v>
      </c>
      <c r="J111" s="4">
        <v>1150.1400000000001</v>
      </c>
      <c r="K111" s="4">
        <v>2779.23</v>
      </c>
      <c r="L111" s="4">
        <v>138.96</v>
      </c>
      <c r="M111" s="3">
        <v>25950</v>
      </c>
      <c r="N111" s="4">
        <v>1150.1400000000001</v>
      </c>
      <c r="O111" s="4">
        <v>2779.23</v>
      </c>
      <c r="P111" s="4">
        <v>50988.73</v>
      </c>
    </row>
    <row r="112" spans="1:16" x14ac:dyDescent="0.2">
      <c r="A112" s="5">
        <v>39600</v>
      </c>
      <c r="B112" s="2" t="s">
        <v>57</v>
      </c>
      <c r="C112" s="2" t="s">
        <v>128</v>
      </c>
      <c r="D112" s="3">
        <v>1407</v>
      </c>
      <c r="E112" s="3"/>
      <c r="F112" s="3">
        <v>1262</v>
      </c>
      <c r="G112" s="3">
        <v>21</v>
      </c>
      <c r="H112" s="3">
        <v>1356</v>
      </c>
      <c r="I112" s="4">
        <v>11.15</v>
      </c>
      <c r="J112" s="4">
        <v>1085.48</v>
      </c>
      <c r="K112" s="4">
        <v>2644.28</v>
      </c>
      <c r="L112" s="4">
        <v>125.92</v>
      </c>
      <c r="M112" s="3">
        <v>23716</v>
      </c>
      <c r="N112" s="4">
        <v>1085.48</v>
      </c>
      <c r="O112" s="4">
        <v>2644.28</v>
      </c>
      <c r="P112" s="4">
        <v>41036.51</v>
      </c>
    </row>
    <row r="113" spans="1:16" x14ac:dyDescent="0.2">
      <c r="A113" s="5">
        <v>39630</v>
      </c>
      <c r="B113" s="2" t="s">
        <v>57</v>
      </c>
      <c r="C113" s="2" t="s">
        <v>129</v>
      </c>
      <c r="D113" s="3">
        <v>1417</v>
      </c>
      <c r="E113" s="3"/>
      <c r="F113" s="3">
        <v>1272</v>
      </c>
      <c r="G113" s="3">
        <v>23</v>
      </c>
      <c r="H113" s="3">
        <v>1301</v>
      </c>
      <c r="I113" s="4">
        <v>13.37</v>
      </c>
      <c r="J113" s="4">
        <v>1342.85</v>
      </c>
      <c r="K113" s="4">
        <v>2958.16</v>
      </c>
      <c r="L113" s="4">
        <v>128.62</v>
      </c>
      <c r="M113" s="3">
        <v>22125</v>
      </c>
      <c r="N113" s="4">
        <v>1342.85</v>
      </c>
      <c r="O113" s="4">
        <v>2958.16</v>
      </c>
      <c r="P113" s="4">
        <v>44324.27</v>
      </c>
    </row>
    <row r="114" spans="1:16" x14ac:dyDescent="0.2">
      <c r="A114" s="5">
        <v>39661</v>
      </c>
      <c r="B114" s="2" t="s">
        <v>57</v>
      </c>
      <c r="C114" s="2" t="s">
        <v>129</v>
      </c>
      <c r="D114" s="3">
        <v>1422</v>
      </c>
      <c r="E114" s="3"/>
      <c r="F114" s="3">
        <v>1278</v>
      </c>
      <c r="G114" s="3">
        <v>20</v>
      </c>
      <c r="H114" s="3">
        <v>1371</v>
      </c>
      <c r="I114" s="4">
        <v>10.67</v>
      </c>
      <c r="J114" s="4">
        <v>1043.52</v>
      </c>
      <c r="K114" s="4">
        <v>2342.5100000000002</v>
      </c>
      <c r="L114" s="4">
        <v>117.13</v>
      </c>
      <c r="M114" s="3">
        <v>21954</v>
      </c>
      <c r="N114" s="4">
        <v>1043.52</v>
      </c>
      <c r="O114" s="4">
        <v>2342.5100000000002</v>
      </c>
      <c r="P114" s="4">
        <v>44724.61</v>
      </c>
    </row>
    <row r="115" spans="1:16" x14ac:dyDescent="0.2">
      <c r="A115" s="5">
        <v>39692</v>
      </c>
      <c r="B115" s="2" t="s">
        <v>57</v>
      </c>
      <c r="C115" s="2" t="s">
        <v>129</v>
      </c>
      <c r="D115" s="3">
        <v>1424</v>
      </c>
      <c r="E115" s="3"/>
      <c r="F115" s="3">
        <v>1278</v>
      </c>
      <c r="G115" s="3">
        <v>21</v>
      </c>
      <c r="H115" s="3">
        <v>1307</v>
      </c>
      <c r="I115" s="4">
        <v>11.32</v>
      </c>
      <c r="J115" s="4">
        <v>1022.02</v>
      </c>
      <c r="K115" s="4">
        <v>2622.61</v>
      </c>
      <c r="L115" s="4">
        <v>124.89</v>
      </c>
      <c r="M115" s="3">
        <v>23168</v>
      </c>
      <c r="N115" s="4">
        <v>1022.02</v>
      </c>
      <c r="O115" s="4">
        <v>2622.61</v>
      </c>
      <c r="P115" s="4">
        <v>39001.85</v>
      </c>
    </row>
    <row r="116" spans="1:16" x14ac:dyDescent="0.2">
      <c r="A116" s="5">
        <v>39722</v>
      </c>
      <c r="B116" s="2" t="s">
        <v>57</v>
      </c>
      <c r="C116" s="2" t="s">
        <v>130</v>
      </c>
      <c r="D116" s="3">
        <v>1407</v>
      </c>
      <c r="E116" s="3"/>
      <c r="F116" s="3">
        <v>1262</v>
      </c>
      <c r="G116" s="3">
        <v>20</v>
      </c>
      <c r="H116" s="3">
        <v>1306</v>
      </c>
      <c r="I116" s="4">
        <v>11.77</v>
      </c>
      <c r="J116" s="4">
        <v>1092.99</v>
      </c>
      <c r="K116" s="4">
        <v>2161.98</v>
      </c>
      <c r="L116" s="4">
        <v>108.1</v>
      </c>
      <c r="M116" s="3">
        <v>18369</v>
      </c>
      <c r="N116" s="4">
        <v>1092.99</v>
      </c>
      <c r="O116" s="4">
        <v>2161.98</v>
      </c>
      <c r="P116" s="4">
        <v>28203.88</v>
      </c>
    </row>
    <row r="117" spans="1:16" x14ac:dyDescent="0.2">
      <c r="A117" s="5">
        <v>39753</v>
      </c>
      <c r="B117" s="2" t="s">
        <v>57</v>
      </c>
      <c r="C117" s="2" t="s">
        <v>130</v>
      </c>
      <c r="D117" s="3">
        <v>1430</v>
      </c>
      <c r="E117" s="3"/>
      <c r="F117" s="3">
        <v>1286</v>
      </c>
      <c r="G117" s="3">
        <v>18</v>
      </c>
      <c r="H117" s="3">
        <v>1312</v>
      </c>
      <c r="I117" s="4">
        <v>10.99</v>
      </c>
      <c r="J117" s="4">
        <v>1068.48</v>
      </c>
      <c r="K117" s="4">
        <v>1731.23</v>
      </c>
      <c r="L117" s="4">
        <v>96.18</v>
      </c>
      <c r="M117" s="3">
        <v>15753</v>
      </c>
      <c r="N117" s="4">
        <v>1068.48</v>
      </c>
      <c r="O117" s="4">
        <v>1731.23</v>
      </c>
      <c r="P117" s="4">
        <v>26532.81</v>
      </c>
    </row>
    <row r="118" spans="1:16" x14ac:dyDescent="0.2">
      <c r="A118" s="5">
        <v>39783</v>
      </c>
      <c r="B118" s="2" t="s">
        <v>57</v>
      </c>
      <c r="C118" s="2" t="s">
        <v>130</v>
      </c>
      <c r="D118" s="3">
        <v>1428</v>
      </c>
      <c r="E118" s="3"/>
      <c r="F118" s="3">
        <v>1283</v>
      </c>
      <c r="G118" s="3">
        <v>21</v>
      </c>
      <c r="H118" s="3">
        <v>1324</v>
      </c>
      <c r="I118" s="4">
        <v>13.02</v>
      </c>
      <c r="J118" s="4">
        <v>1447.93</v>
      </c>
      <c r="K118" s="4">
        <v>2129.56</v>
      </c>
      <c r="L118" s="4">
        <v>101.41</v>
      </c>
      <c r="M118" s="3">
        <v>16359</v>
      </c>
      <c r="N118" s="4">
        <v>1447.93</v>
      </c>
      <c r="O118" s="4">
        <v>2129.56</v>
      </c>
      <c r="P118" s="4">
        <v>29167.68</v>
      </c>
    </row>
    <row r="119" spans="1:16" x14ac:dyDescent="0.2">
      <c r="A119" s="5">
        <v>39814</v>
      </c>
      <c r="B119" s="2" t="s">
        <v>57</v>
      </c>
      <c r="C119" s="2" t="s">
        <v>131</v>
      </c>
      <c r="D119" s="3">
        <v>1427</v>
      </c>
      <c r="E119" s="3"/>
      <c r="F119" s="3">
        <v>1286</v>
      </c>
      <c r="G119" s="3">
        <v>20</v>
      </c>
      <c r="H119" s="3">
        <v>1319</v>
      </c>
      <c r="I119" s="4">
        <v>12.22</v>
      </c>
      <c r="J119" s="4">
        <v>1452.54</v>
      </c>
      <c r="K119" s="4">
        <v>1911.84</v>
      </c>
      <c r="L119" s="4">
        <v>95.59</v>
      </c>
      <c r="M119" s="3">
        <v>15642</v>
      </c>
      <c r="N119" s="4">
        <v>1452.54</v>
      </c>
      <c r="O119" s="4">
        <v>1911.84</v>
      </c>
      <c r="P119" s="4">
        <v>27987.07</v>
      </c>
    </row>
    <row r="120" spans="1:16" x14ac:dyDescent="0.2">
      <c r="A120" s="5">
        <v>39845</v>
      </c>
      <c r="B120" s="2" t="s">
        <v>57</v>
      </c>
      <c r="C120" s="2" t="s">
        <v>131</v>
      </c>
      <c r="D120" s="3">
        <v>1425</v>
      </c>
      <c r="E120" s="3"/>
      <c r="F120" s="3">
        <v>1284</v>
      </c>
      <c r="G120" s="3">
        <v>19</v>
      </c>
      <c r="H120" s="3">
        <v>1313</v>
      </c>
      <c r="I120" s="4">
        <v>9.69</v>
      </c>
      <c r="J120" s="4">
        <v>1118.6500000000001</v>
      </c>
      <c r="K120" s="4">
        <v>1498.57</v>
      </c>
      <c r="L120" s="4">
        <v>78.87</v>
      </c>
      <c r="M120" s="3">
        <v>15465</v>
      </c>
      <c r="N120" s="4">
        <v>1118.6500000000001</v>
      </c>
      <c r="O120" s="4">
        <v>1498.57</v>
      </c>
      <c r="P120" s="4">
        <v>26756.22</v>
      </c>
    </row>
    <row r="121" spans="1:16" x14ac:dyDescent="0.2">
      <c r="A121" s="5">
        <v>39873</v>
      </c>
      <c r="B121" s="2" t="s">
        <v>57</v>
      </c>
      <c r="C121" s="2" t="s">
        <v>131</v>
      </c>
      <c r="D121" s="3">
        <v>1432</v>
      </c>
      <c r="E121" s="3"/>
      <c r="F121" s="3">
        <v>1291</v>
      </c>
      <c r="G121" s="3">
        <v>20</v>
      </c>
      <c r="H121" s="3">
        <v>1327</v>
      </c>
      <c r="I121" s="4">
        <v>10.81</v>
      </c>
      <c r="J121" s="4">
        <v>1296.1400000000001</v>
      </c>
      <c r="K121" s="4">
        <v>2027.99</v>
      </c>
      <c r="L121" s="4">
        <v>101.4</v>
      </c>
      <c r="M121" s="3">
        <v>18762</v>
      </c>
      <c r="N121" s="4">
        <v>1296.1400000000001</v>
      </c>
      <c r="O121" s="4">
        <v>2027.99</v>
      </c>
      <c r="P121" s="4">
        <v>28961.94</v>
      </c>
    </row>
    <row r="122" spans="1:16" x14ac:dyDescent="0.2">
      <c r="A122" s="5">
        <v>39904</v>
      </c>
      <c r="B122" s="2" t="s">
        <v>58</v>
      </c>
      <c r="C122" s="2" t="s">
        <v>132</v>
      </c>
      <c r="D122" s="3">
        <v>1420</v>
      </c>
      <c r="E122" s="3"/>
      <c r="F122" s="3">
        <v>1279</v>
      </c>
      <c r="G122" s="3">
        <v>17</v>
      </c>
      <c r="H122" s="3">
        <v>1372</v>
      </c>
      <c r="I122" s="4">
        <v>12.71</v>
      </c>
      <c r="J122" s="4">
        <v>1831.56</v>
      </c>
      <c r="K122" s="4">
        <v>2666.96</v>
      </c>
      <c r="L122" s="4">
        <v>156.88</v>
      </c>
      <c r="M122" s="3">
        <v>20980</v>
      </c>
      <c r="N122" s="4">
        <v>1831.56</v>
      </c>
      <c r="O122" s="4">
        <v>2666.96</v>
      </c>
      <c r="P122" s="4">
        <v>33750.25</v>
      </c>
    </row>
    <row r="123" spans="1:16" x14ac:dyDescent="0.2">
      <c r="A123" s="5">
        <v>39934</v>
      </c>
      <c r="B123" s="2" t="s">
        <v>58</v>
      </c>
      <c r="C123" s="2" t="s">
        <v>132</v>
      </c>
      <c r="D123" s="3">
        <v>1425</v>
      </c>
      <c r="E123" s="3"/>
      <c r="F123" s="3">
        <v>1280</v>
      </c>
      <c r="G123" s="3">
        <v>20</v>
      </c>
      <c r="H123" s="3">
        <v>1390</v>
      </c>
      <c r="I123" s="4">
        <v>14.83</v>
      </c>
      <c r="J123" s="4">
        <v>2290.2800000000002</v>
      </c>
      <c r="K123" s="4">
        <v>3825.61</v>
      </c>
      <c r="L123" s="4">
        <v>191.28</v>
      </c>
      <c r="M123" s="3">
        <v>25791</v>
      </c>
      <c r="N123" s="4">
        <v>2290.2800000000002</v>
      </c>
      <c r="O123" s="4">
        <v>3825.61</v>
      </c>
      <c r="P123" s="4">
        <v>45645.72</v>
      </c>
    </row>
    <row r="124" spans="1:16" x14ac:dyDescent="0.2">
      <c r="A124" s="5">
        <v>39965</v>
      </c>
      <c r="B124" s="2" t="s">
        <v>58</v>
      </c>
      <c r="C124" s="2" t="s">
        <v>132</v>
      </c>
      <c r="D124" s="3">
        <v>1426</v>
      </c>
      <c r="E124" s="3"/>
      <c r="F124" s="3">
        <v>1282</v>
      </c>
      <c r="G124" s="3">
        <v>22</v>
      </c>
      <c r="H124" s="3">
        <v>1535</v>
      </c>
      <c r="I124" s="4">
        <v>18</v>
      </c>
      <c r="J124" s="4">
        <v>2748.51</v>
      </c>
      <c r="K124" s="4">
        <v>4824.1400000000003</v>
      </c>
      <c r="L124" s="4">
        <v>219.28</v>
      </c>
      <c r="M124" s="3">
        <v>26807</v>
      </c>
      <c r="N124" s="4">
        <v>2748.51</v>
      </c>
      <c r="O124" s="4">
        <v>4824.1400000000003</v>
      </c>
      <c r="P124" s="4">
        <v>44325.96</v>
      </c>
    </row>
    <row r="125" spans="1:16" x14ac:dyDescent="0.2">
      <c r="A125" s="5">
        <v>39995</v>
      </c>
      <c r="B125" s="2" t="s">
        <v>58</v>
      </c>
      <c r="C125" s="2" t="s">
        <v>133</v>
      </c>
      <c r="D125" s="3">
        <v>1426</v>
      </c>
      <c r="E125" s="3"/>
      <c r="F125" s="3">
        <v>1282</v>
      </c>
      <c r="G125" s="3">
        <v>23</v>
      </c>
      <c r="H125" s="3">
        <v>1326</v>
      </c>
      <c r="I125" s="4">
        <v>17.09</v>
      </c>
      <c r="J125" s="4">
        <v>2193.56</v>
      </c>
      <c r="K125" s="4">
        <v>4261.43</v>
      </c>
      <c r="L125" s="4">
        <v>185.28</v>
      </c>
      <c r="M125" s="3">
        <v>24929</v>
      </c>
      <c r="N125" s="4">
        <v>2193.56</v>
      </c>
      <c r="O125" s="4">
        <v>4261.43</v>
      </c>
      <c r="P125" s="4">
        <v>48164.59</v>
      </c>
    </row>
    <row r="126" spans="1:16" x14ac:dyDescent="0.2">
      <c r="A126" s="5">
        <v>40026</v>
      </c>
      <c r="B126" s="2" t="s">
        <v>58</v>
      </c>
      <c r="C126" s="2" t="s">
        <v>133</v>
      </c>
      <c r="D126" s="3">
        <v>1431</v>
      </c>
      <c r="E126" s="3"/>
      <c r="F126" s="3">
        <v>1288</v>
      </c>
      <c r="G126" s="3">
        <v>21</v>
      </c>
      <c r="H126" s="3">
        <v>1608</v>
      </c>
      <c r="I126" s="4">
        <v>14.75</v>
      </c>
      <c r="J126" s="4">
        <v>1944.27</v>
      </c>
      <c r="K126" s="4">
        <v>3649.69</v>
      </c>
      <c r="L126" s="4">
        <v>173.79</v>
      </c>
      <c r="M126" s="3">
        <v>24741</v>
      </c>
      <c r="N126" s="4">
        <v>1944.27</v>
      </c>
      <c r="O126" s="4">
        <v>3649.69</v>
      </c>
      <c r="P126" s="4">
        <v>49758</v>
      </c>
    </row>
    <row r="127" spans="1:16" x14ac:dyDescent="0.2">
      <c r="A127" s="5">
        <v>40057</v>
      </c>
      <c r="B127" s="2" t="s">
        <v>58</v>
      </c>
      <c r="C127" s="2" t="s">
        <v>133</v>
      </c>
      <c r="D127" s="3">
        <v>1434</v>
      </c>
      <c r="E127" s="3"/>
      <c r="F127" s="3">
        <v>1287</v>
      </c>
      <c r="G127" s="3">
        <v>20</v>
      </c>
      <c r="H127" s="3">
        <v>1376</v>
      </c>
      <c r="I127" s="4">
        <v>13.87</v>
      </c>
      <c r="J127" s="4">
        <v>1965.12</v>
      </c>
      <c r="K127" s="4">
        <v>3650.63</v>
      </c>
      <c r="L127" s="4">
        <v>182.53</v>
      </c>
      <c r="M127" s="3">
        <v>26320</v>
      </c>
      <c r="N127" s="4">
        <v>1965.12</v>
      </c>
      <c r="O127" s="4">
        <v>3650.63</v>
      </c>
      <c r="P127" s="4">
        <v>53538.8</v>
      </c>
    </row>
    <row r="128" spans="1:16" x14ac:dyDescent="0.2">
      <c r="A128" s="5">
        <v>40087</v>
      </c>
      <c r="B128" s="2" t="s">
        <v>58</v>
      </c>
      <c r="C128" s="2" t="s">
        <v>134</v>
      </c>
      <c r="D128" s="3">
        <v>1439</v>
      </c>
      <c r="E128" s="3"/>
      <c r="F128" s="3">
        <v>1291</v>
      </c>
      <c r="G128" s="3">
        <v>20</v>
      </c>
      <c r="H128" s="3">
        <v>1365</v>
      </c>
      <c r="I128" s="4">
        <v>13.47</v>
      </c>
      <c r="J128" s="4">
        <v>1684.79</v>
      </c>
      <c r="K128" s="4">
        <v>3629.69</v>
      </c>
      <c r="L128" s="4">
        <v>181.48</v>
      </c>
      <c r="M128" s="3">
        <v>26953</v>
      </c>
      <c r="N128" s="4">
        <v>1684.79</v>
      </c>
      <c r="O128" s="4">
        <v>3629.69</v>
      </c>
      <c r="P128" s="4">
        <v>50248.3</v>
      </c>
    </row>
    <row r="129" spans="1:16" x14ac:dyDescent="0.2">
      <c r="A129" s="5">
        <v>40118</v>
      </c>
      <c r="B129" s="2" t="s">
        <v>58</v>
      </c>
      <c r="C129" s="2" t="s">
        <v>134</v>
      </c>
      <c r="D129" s="3">
        <v>1443</v>
      </c>
      <c r="E129" s="3">
        <v>10</v>
      </c>
      <c r="F129" s="3">
        <v>1292</v>
      </c>
      <c r="G129" s="3">
        <v>20</v>
      </c>
      <c r="H129" s="3">
        <v>1528</v>
      </c>
      <c r="I129" s="4">
        <v>13.17</v>
      </c>
      <c r="J129" s="4">
        <v>1574.01</v>
      </c>
      <c r="K129" s="4">
        <v>3244.77</v>
      </c>
      <c r="L129" s="4">
        <v>162.24</v>
      </c>
      <c r="M129" s="3">
        <v>24630</v>
      </c>
      <c r="N129" s="4">
        <v>1574.01</v>
      </c>
      <c r="O129" s="4">
        <v>3244.77</v>
      </c>
      <c r="P129" s="4">
        <v>54300.88</v>
      </c>
    </row>
    <row r="130" spans="1:16" x14ac:dyDescent="0.2">
      <c r="A130" s="5">
        <v>40148</v>
      </c>
      <c r="B130" s="2" t="s">
        <v>58</v>
      </c>
      <c r="C130" s="2" t="s">
        <v>134</v>
      </c>
      <c r="D130" s="3">
        <v>1453</v>
      </c>
      <c r="E130" s="3">
        <v>10</v>
      </c>
      <c r="F130" s="3">
        <v>1303</v>
      </c>
      <c r="G130" s="3">
        <v>21</v>
      </c>
      <c r="H130" s="3">
        <v>1408</v>
      </c>
      <c r="I130" s="4">
        <v>12.56</v>
      </c>
      <c r="J130" s="4">
        <v>1503.84</v>
      </c>
      <c r="K130" s="4">
        <v>2929</v>
      </c>
      <c r="L130" s="4">
        <v>139.47999999999999</v>
      </c>
      <c r="M130" s="3">
        <v>23324</v>
      </c>
      <c r="N130" s="4">
        <v>1503.84</v>
      </c>
      <c r="O130" s="4">
        <v>2929</v>
      </c>
      <c r="P130" s="4">
        <v>56996.37</v>
      </c>
    </row>
    <row r="131" spans="1:16" x14ac:dyDescent="0.2">
      <c r="A131" s="5">
        <v>40179</v>
      </c>
      <c r="B131" s="2" t="s">
        <v>58</v>
      </c>
      <c r="C131" s="2" t="s">
        <v>135</v>
      </c>
      <c r="D131" s="3">
        <v>1457</v>
      </c>
      <c r="E131" s="3">
        <v>31</v>
      </c>
      <c r="F131" s="3">
        <v>1338</v>
      </c>
      <c r="G131" s="3">
        <v>19</v>
      </c>
      <c r="H131" s="3">
        <v>1480</v>
      </c>
      <c r="I131" s="4">
        <v>14.03</v>
      </c>
      <c r="J131" s="4">
        <v>1804.24</v>
      </c>
      <c r="K131" s="4">
        <v>3384.43</v>
      </c>
      <c r="L131" s="4">
        <v>178.13</v>
      </c>
      <c r="M131" s="3">
        <v>24124</v>
      </c>
      <c r="N131" s="4">
        <v>1804.24</v>
      </c>
      <c r="O131" s="4">
        <v>3384.43</v>
      </c>
      <c r="P131" s="4">
        <v>57829.65</v>
      </c>
    </row>
    <row r="132" spans="1:16" x14ac:dyDescent="0.2">
      <c r="A132" s="5">
        <v>40210</v>
      </c>
      <c r="B132" s="2" t="s">
        <v>58</v>
      </c>
      <c r="C132" s="2" t="s">
        <v>135</v>
      </c>
      <c r="D132" s="3">
        <v>1461</v>
      </c>
      <c r="E132" s="3">
        <v>31</v>
      </c>
      <c r="F132" s="3">
        <v>1342</v>
      </c>
      <c r="G132" s="3">
        <v>20</v>
      </c>
      <c r="H132" s="3">
        <v>1585</v>
      </c>
      <c r="I132" s="4">
        <v>11.33</v>
      </c>
      <c r="J132" s="4">
        <v>1235.4100000000001</v>
      </c>
      <c r="K132" s="4">
        <v>2451.4299999999998</v>
      </c>
      <c r="L132" s="4">
        <v>122.57</v>
      </c>
      <c r="M132" s="3">
        <v>21645</v>
      </c>
      <c r="N132" s="4">
        <v>1235.4100000000001</v>
      </c>
      <c r="O132" s="4">
        <v>2451.4299999999998</v>
      </c>
      <c r="P132" s="4">
        <v>57553.05</v>
      </c>
    </row>
    <row r="133" spans="1:16" x14ac:dyDescent="0.2">
      <c r="A133" s="5">
        <v>40238</v>
      </c>
      <c r="B133" s="2" t="s">
        <v>58</v>
      </c>
      <c r="C133" s="2" t="s">
        <v>135</v>
      </c>
      <c r="D133" s="3">
        <v>1470</v>
      </c>
      <c r="E133" s="3">
        <v>37</v>
      </c>
      <c r="F133" s="3">
        <v>1359</v>
      </c>
      <c r="G133" s="3">
        <v>21</v>
      </c>
      <c r="H133" s="3">
        <v>1418</v>
      </c>
      <c r="I133" s="4">
        <v>12.35</v>
      </c>
      <c r="J133" s="4">
        <v>1379.71</v>
      </c>
      <c r="K133" s="4">
        <v>2862.46</v>
      </c>
      <c r="L133" s="4">
        <v>136.31</v>
      </c>
      <c r="M133" s="3">
        <v>23184</v>
      </c>
      <c r="N133" s="4">
        <v>1379.71</v>
      </c>
      <c r="O133" s="4">
        <v>2862.46</v>
      </c>
      <c r="P133" s="4">
        <v>60091.73</v>
      </c>
    </row>
    <row r="134" spans="1:16" x14ac:dyDescent="0.2">
      <c r="A134" s="5">
        <v>40269</v>
      </c>
      <c r="B134" s="2" t="s">
        <v>59</v>
      </c>
      <c r="C134" s="2" t="s">
        <v>136</v>
      </c>
      <c r="D134" s="3">
        <v>1478</v>
      </c>
      <c r="E134" s="3">
        <v>36</v>
      </c>
      <c r="F134" s="3">
        <v>1367</v>
      </c>
      <c r="G134" s="3">
        <v>20</v>
      </c>
      <c r="H134" s="3">
        <v>1464</v>
      </c>
      <c r="I134" s="4">
        <v>12.05</v>
      </c>
      <c r="J134" s="4">
        <v>1440.6</v>
      </c>
      <c r="K134" s="4">
        <v>2765.66</v>
      </c>
      <c r="L134" s="4">
        <v>138.28</v>
      </c>
      <c r="M134" s="3">
        <v>22947</v>
      </c>
      <c r="N134" s="4">
        <v>1440.6</v>
      </c>
      <c r="O134" s="4">
        <v>2765.66</v>
      </c>
      <c r="P134" s="4">
        <v>61178.58</v>
      </c>
    </row>
    <row r="135" spans="1:16" x14ac:dyDescent="0.2">
      <c r="A135" s="5">
        <v>40299</v>
      </c>
      <c r="B135" s="2" t="s">
        <v>59</v>
      </c>
      <c r="C135" s="2" t="s">
        <v>136</v>
      </c>
      <c r="D135" s="3">
        <v>1484</v>
      </c>
      <c r="E135" s="3">
        <v>36</v>
      </c>
      <c r="F135" s="3">
        <v>1374</v>
      </c>
      <c r="G135" s="3">
        <v>22</v>
      </c>
      <c r="H135" s="3">
        <v>1422</v>
      </c>
      <c r="I135" s="4">
        <v>12.49</v>
      </c>
      <c r="J135" s="4">
        <v>1398.12</v>
      </c>
      <c r="K135" s="4">
        <v>2846.25</v>
      </c>
      <c r="L135" s="4">
        <v>129.37</v>
      </c>
      <c r="M135" s="3">
        <v>22788</v>
      </c>
      <c r="N135" s="4">
        <v>1398.12</v>
      </c>
      <c r="O135" s="4">
        <v>2846.25</v>
      </c>
      <c r="P135" s="4">
        <v>59325.78</v>
      </c>
    </row>
    <row r="136" spans="1:16" x14ac:dyDescent="0.2">
      <c r="A136" s="5">
        <v>40330</v>
      </c>
      <c r="B136" s="2" t="s">
        <v>59</v>
      </c>
      <c r="C136" s="2" t="s">
        <v>136</v>
      </c>
      <c r="D136" s="3">
        <v>1490</v>
      </c>
      <c r="E136" s="3">
        <v>45</v>
      </c>
      <c r="F136" s="3">
        <v>1388</v>
      </c>
      <c r="G136" s="3">
        <v>22</v>
      </c>
      <c r="H136" s="3">
        <v>1547</v>
      </c>
      <c r="I136" s="4">
        <v>12.48</v>
      </c>
      <c r="J136" s="4">
        <v>1436.16</v>
      </c>
      <c r="K136" s="4">
        <v>2861.09</v>
      </c>
      <c r="L136" s="4">
        <v>130.05000000000001</v>
      </c>
      <c r="M136" s="3">
        <v>22931</v>
      </c>
      <c r="N136" s="4">
        <v>1436.16</v>
      </c>
      <c r="O136" s="4">
        <v>2861.09</v>
      </c>
      <c r="P136" s="4">
        <v>62291.360000000001</v>
      </c>
    </row>
    <row r="137" spans="1:16" x14ac:dyDescent="0.2">
      <c r="A137" s="5">
        <v>40360</v>
      </c>
      <c r="B137" s="2" t="s">
        <v>59</v>
      </c>
      <c r="C137" s="2" t="s">
        <v>137</v>
      </c>
      <c r="D137" s="3">
        <v>1497</v>
      </c>
      <c r="E137" s="3">
        <v>45</v>
      </c>
      <c r="F137" s="3">
        <v>1392</v>
      </c>
      <c r="G137" s="3">
        <v>22</v>
      </c>
      <c r="H137" s="3">
        <v>1470</v>
      </c>
      <c r="I137" s="4">
        <v>12.19</v>
      </c>
      <c r="J137" s="4">
        <v>1394.17</v>
      </c>
      <c r="K137" s="4">
        <v>2785.51</v>
      </c>
      <c r="L137" s="4">
        <v>126.61</v>
      </c>
      <c r="M137" s="3">
        <v>22850</v>
      </c>
      <c r="N137" s="4">
        <v>1394.17</v>
      </c>
      <c r="O137" s="4">
        <v>2785.51</v>
      </c>
      <c r="P137" s="4">
        <v>63401.2</v>
      </c>
    </row>
    <row r="138" spans="1:16" x14ac:dyDescent="0.2">
      <c r="A138" s="5">
        <v>40391</v>
      </c>
      <c r="B138" s="2" t="s">
        <v>59</v>
      </c>
      <c r="C138" s="2" t="s">
        <v>137</v>
      </c>
      <c r="D138" s="3">
        <v>1504</v>
      </c>
      <c r="E138" s="3">
        <v>54</v>
      </c>
      <c r="F138" s="3">
        <v>1408</v>
      </c>
      <c r="G138" s="3">
        <v>22</v>
      </c>
      <c r="H138" s="3">
        <v>1553</v>
      </c>
      <c r="I138" s="4">
        <v>13.61</v>
      </c>
      <c r="J138" s="4">
        <v>1524.67</v>
      </c>
      <c r="K138" s="4">
        <v>3119.94</v>
      </c>
      <c r="L138" s="4">
        <v>141.82</v>
      </c>
      <c r="M138" s="3">
        <v>22925</v>
      </c>
      <c r="N138" s="4">
        <v>1524.67</v>
      </c>
      <c r="O138" s="4">
        <v>3119.94</v>
      </c>
      <c r="P138" s="4">
        <v>63934.18</v>
      </c>
    </row>
    <row r="139" spans="1:16" x14ac:dyDescent="0.2">
      <c r="A139" s="5">
        <v>40422</v>
      </c>
      <c r="B139" s="2" t="s">
        <v>59</v>
      </c>
      <c r="C139" s="2" t="s">
        <v>137</v>
      </c>
      <c r="D139" s="3">
        <v>1484</v>
      </c>
      <c r="E139" s="3">
        <v>36</v>
      </c>
      <c r="F139" s="3">
        <v>1374</v>
      </c>
      <c r="G139" s="3">
        <v>21</v>
      </c>
      <c r="H139" s="3">
        <v>1505</v>
      </c>
      <c r="I139" s="4">
        <v>13.69</v>
      </c>
      <c r="J139" s="4">
        <v>1732.85</v>
      </c>
      <c r="K139" s="4">
        <v>3298.69</v>
      </c>
      <c r="L139" s="4">
        <v>157.08000000000001</v>
      </c>
      <c r="M139" s="3">
        <v>24095</v>
      </c>
      <c r="N139" s="4">
        <v>1732.85</v>
      </c>
      <c r="O139" s="4">
        <v>3298.69</v>
      </c>
      <c r="P139" s="4">
        <v>69585.34</v>
      </c>
    </row>
    <row r="140" spans="1:16" x14ac:dyDescent="0.2">
      <c r="A140" s="5">
        <v>40452</v>
      </c>
      <c r="B140" s="2" t="s">
        <v>59</v>
      </c>
      <c r="C140" s="2" t="s">
        <v>138</v>
      </c>
      <c r="D140" s="3">
        <v>1530</v>
      </c>
      <c r="E140" s="3">
        <v>60</v>
      </c>
      <c r="F140" s="3">
        <v>1435</v>
      </c>
      <c r="G140" s="3">
        <v>21</v>
      </c>
      <c r="H140" s="3">
        <v>1522</v>
      </c>
      <c r="I140" s="4">
        <v>14.47</v>
      </c>
      <c r="J140" s="4">
        <v>1932.48</v>
      </c>
      <c r="K140" s="4">
        <v>3604.72</v>
      </c>
      <c r="L140" s="4">
        <v>171.65</v>
      </c>
      <c r="M140" s="3">
        <v>24920</v>
      </c>
      <c r="N140" s="4">
        <v>1932.48</v>
      </c>
      <c r="O140" s="4">
        <v>3604.72</v>
      </c>
      <c r="P140" s="4">
        <v>70550.94</v>
      </c>
    </row>
    <row r="141" spans="1:16" x14ac:dyDescent="0.2">
      <c r="A141" s="5">
        <v>40483</v>
      </c>
      <c r="B141" s="2" t="s">
        <v>59</v>
      </c>
      <c r="C141" s="2" t="s">
        <v>138</v>
      </c>
      <c r="D141" s="3">
        <v>1536</v>
      </c>
      <c r="E141" s="3">
        <v>59</v>
      </c>
      <c r="F141" s="3">
        <v>1440</v>
      </c>
      <c r="G141" s="3">
        <v>21</v>
      </c>
      <c r="H141" s="3">
        <v>1538</v>
      </c>
      <c r="I141" s="4">
        <v>14.13</v>
      </c>
      <c r="J141" s="4">
        <v>1882.17</v>
      </c>
      <c r="K141" s="4">
        <v>3639.93</v>
      </c>
      <c r="L141" s="4">
        <v>173.33</v>
      </c>
      <c r="M141" s="3">
        <v>25751</v>
      </c>
      <c r="N141" s="4">
        <v>1882.17</v>
      </c>
      <c r="O141" s="4">
        <v>3639.93</v>
      </c>
      <c r="P141" s="4">
        <v>68949.119999999995</v>
      </c>
    </row>
    <row r="142" spans="1:16" x14ac:dyDescent="0.2">
      <c r="A142" s="5">
        <v>40513</v>
      </c>
      <c r="B142" s="2" t="s">
        <v>59</v>
      </c>
      <c r="C142" s="2" t="s">
        <v>138</v>
      </c>
      <c r="D142" s="3">
        <v>1552</v>
      </c>
      <c r="E142" s="3">
        <v>59</v>
      </c>
      <c r="F142" s="3">
        <v>1456</v>
      </c>
      <c r="G142" s="3">
        <v>22</v>
      </c>
      <c r="H142" s="3">
        <v>1623</v>
      </c>
      <c r="I142" s="4">
        <v>13.07</v>
      </c>
      <c r="J142" s="4">
        <v>1511.08</v>
      </c>
      <c r="K142" s="4">
        <v>2956.85</v>
      </c>
      <c r="L142" s="4">
        <v>134.4</v>
      </c>
      <c r="M142" s="3">
        <v>22631</v>
      </c>
      <c r="N142" s="4">
        <v>1511.08</v>
      </c>
      <c r="O142" s="4">
        <v>2956.85</v>
      </c>
      <c r="P142" s="4">
        <v>71393.100000000006</v>
      </c>
    </row>
    <row r="143" spans="1:16" x14ac:dyDescent="0.2">
      <c r="A143" s="5">
        <v>40544</v>
      </c>
      <c r="B143" s="2" t="s">
        <v>59</v>
      </c>
      <c r="C143" s="2" t="s">
        <v>139</v>
      </c>
      <c r="D143" s="3">
        <v>1558</v>
      </c>
      <c r="E143" s="3">
        <v>59</v>
      </c>
      <c r="F143" s="3">
        <v>1462</v>
      </c>
      <c r="G143" s="3">
        <v>20</v>
      </c>
      <c r="H143" s="3">
        <v>1549</v>
      </c>
      <c r="I143" s="4">
        <v>11.84</v>
      </c>
      <c r="J143" s="4">
        <v>1302.17</v>
      </c>
      <c r="K143" s="4">
        <v>2673.32</v>
      </c>
      <c r="L143" s="4">
        <v>133.66999999999999</v>
      </c>
      <c r="M143" s="3">
        <v>22578</v>
      </c>
      <c r="N143" s="4">
        <v>1302.17</v>
      </c>
      <c r="O143" s="4">
        <v>2673.32</v>
      </c>
      <c r="P143" s="4">
        <v>64414.91</v>
      </c>
    </row>
    <row r="144" spans="1:16" x14ac:dyDescent="0.2">
      <c r="A144" s="5">
        <v>40575</v>
      </c>
      <c r="B144" s="2" t="s">
        <v>59</v>
      </c>
      <c r="C144" s="2" t="s">
        <v>139</v>
      </c>
      <c r="D144" s="3">
        <v>1563</v>
      </c>
      <c r="E144" s="3">
        <v>61</v>
      </c>
      <c r="F144" s="3">
        <v>1470</v>
      </c>
      <c r="G144" s="3">
        <v>20</v>
      </c>
      <c r="H144" s="3">
        <v>1543</v>
      </c>
      <c r="I144" s="4">
        <v>12.78</v>
      </c>
      <c r="J144" s="4">
        <v>1411.68</v>
      </c>
      <c r="K144" s="4">
        <v>2665.04</v>
      </c>
      <c r="L144" s="4">
        <v>133.25</v>
      </c>
      <c r="M144" s="3">
        <v>20851</v>
      </c>
      <c r="N144" s="4">
        <v>1411.68</v>
      </c>
      <c r="O144" s="4">
        <v>2665.04</v>
      </c>
      <c r="P144" s="4">
        <v>61959.67</v>
      </c>
    </row>
    <row r="145" spans="1:16" x14ac:dyDescent="0.2">
      <c r="A145" s="5">
        <v>40603</v>
      </c>
      <c r="B145" s="2" t="s">
        <v>59</v>
      </c>
      <c r="C145" s="2" t="s">
        <v>139</v>
      </c>
      <c r="D145" s="3">
        <v>1574</v>
      </c>
      <c r="E145" s="3">
        <v>61</v>
      </c>
      <c r="F145" s="3">
        <v>1484</v>
      </c>
      <c r="G145" s="3">
        <v>22</v>
      </c>
      <c r="H145" s="3">
        <v>1607</v>
      </c>
      <c r="I145" s="4">
        <v>12.27</v>
      </c>
      <c r="J145" s="4">
        <v>1279</v>
      </c>
      <c r="K145" s="4">
        <v>2557.12</v>
      </c>
      <c r="L145" s="4">
        <v>116.23</v>
      </c>
      <c r="M145" s="3">
        <v>20839</v>
      </c>
      <c r="N145" s="4">
        <v>1279</v>
      </c>
      <c r="O145" s="4">
        <v>2557.12</v>
      </c>
      <c r="P145" s="4">
        <v>67026.16</v>
      </c>
    </row>
    <row r="146" spans="1:16" x14ac:dyDescent="0.2">
      <c r="A146" s="5">
        <v>40634</v>
      </c>
      <c r="B146" s="2" t="s">
        <v>60</v>
      </c>
      <c r="C146" s="2" t="s">
        <v>140</v>
      </c>
      <c r="D146" s="3">
        <v>1578</v>
      </c>
      <c r="E146" s="3">
        <v>61</v>
      </c>
      <c r="F146" s="3">
        <v>1488</v>
      </c>
      <c r="G146" s="3">
        <v>18</v>
      </c>
      <c r="H146" s="3">
        <v>1589</v>
      </c>
      <c r="I146" s="4">
        <v>10.73</v>
      </c>
      <c r="J146" s="4">
        <v>1294.29</v>
      </c>
      <c r="K146" s="4">
        <v>2283.48</v>
      </c>
      <c r="L146" s="4">
        <v>126.86</v>
      </c>
      <c r="M146" s="3">
        <v>21281</v>
      </c>
      <c r="N146" s="4">
        <v>1294.29</v>
      </c>
      <c r="O146" s="4">
        <v>2283.48</v>
      </c>
      <c r="P146" s="4">
        <v>67536.14</v>
      </c>
    </row>
    <row r="147" spans="1:16" x14ac:dyDescent="0.2">
      <c r="A147" s="5">
        <v>40664</v>
      </c>
      <c r="B147" s="2" t="s">
        <v>60</v>
      </c>
      <c r="C147" s="2" t="s">
        <v>140</v>
      </c>
      <c r="D147" s="3">
        <v>1585</v>
      </c>
      <c r="E147" s="3">
        <v>61</v>
      </c>
      <c r="F147" s="3">
        <v>1495</v>
      </c>
      <c r="G147" s="3">
        <v>22</v>
      </c>
      <c r="H147" s="3">
        <v>1560</v>
      </c>
      <c r="I147" s="4">
        <v>11.51</v>
      </c>
      <c r="J147" s="4">
        <v>1158.57</v>
      </c>
      <c r="K147" s="4">
        <v>2338.7600000000002</v>
      </c>
      <c r="L147" s="4">
        <v>106.31</v>
      </c>
      <c r="M147" s="3">
        <v>21281</v>
      </c>
      <c r="N147" s="4">
        <v>1158.57</v>
      </c>
      <c r="O147" s="4">
        <v>2338.7600000000002</v>
      </c>
      <c r="P147" s="4">
        <v>65697.429999999993</v>
      </c>
    </row>
    <row r="148" spans="1:16" x14ac:dyDescent="0.2">
      <c r="A148" s="5">
        <v>40695</v>
      </c>
      <c r="B148" s="2" t="s">
        <v>60</v>
      </c>
      <c r="C148" s="2" t="s">
        <v>140</v>
      </c>
      <c r="D148" s="3">
        <v>1599</v>
      </c>
      <c r="E148" s="3">
        <v>61</v>
      </c>
      <c r="F148" s="3">
        <v>1509</v>
      </c>
      <c r="G148" s="3">
        <v>22</v>
      </c>
      <c r="H148" s="3">
        <v>1663</v>
      </c>
      <c r="I148" s="4">
        <v>11.59</v>
      </c>
      <c r="J148" s="4">
        <v>1222.99</v>
      </c>
      <c r="K148" s="4">
        <v>2224.5700000000002</v>
      </c>
      <c r="L148" s="4">
        <v>101.12</v>
      </c>
      <c r="M148" s="3">
        <v>19188</v>
      </c>
      <c r="N148" s="4">
        <v>1222.99</v>
      </c>
      <c r="O148" s="4">
        <v>2224.5700000000002</v>
      </c>
      <c r="P148" s="4">
        <v>65747.429999999993</v>
      </c>
    </row>
    <row r="149" spans="1:16" x14ac:dyDescent="0.2">
      <c r="A149" s="5">
        <v>40725</v>
      </c>
      <c r="B149" s="2" t="s">
        <v>60</v>
      </c>
      <c r="C149" s="2" t="s">
        <v>141</v>
      </c>
      <c r="D149" s="3">
        <v>1606</v>
      </c>
      <c r="E149" s="3">
        <v>60</v>
      </c>
      <c r="F149" s="3">
        <v>1514</v>
      </c>
      <c r="G149" s="3">
        <v>21</v>
      </c>
      <c r="H149" s="3">
        <v>1600</v>
      </c>
      <c r="I149" s="4">
        <v>11.58</v>
      </c>
      <c r="J149" s="4">
        <v>1225.9000000000001</v>
      </c>
      <c r="K149" s="4">
        <v>2300.0300000000002</v>
      </c>
      <c r="L149" s="4">
        <v>109.53</v>
      </c>
      <c r="M149" s="3">
        <v>19862</v>
      </c>
      <c r="N149" s="4">
        <v>1225.9000000000001</v>
      </c>
      <c r="O149" s="4">
        <v>2300.0300000000002</v>
      </c>
      <c r="P149" s="4">
        <v>64622.38</v>
      </c>
    </row>
    <row r="150" spans="1:16" x14ac:dyDescent="0.2">
      <c r="A150" s="5">
        <v>40756</v>
      </c>
      <c r="B150" s="2" t="s">
        <v>60</v>
      </c>
      <c r="C150" s="2" t="s">
        <v>141</v>
      </c>
      <c r="D150" s="3">
        <v>1615</v>
      </c>
      <c r="E150" s="3">
        <v>60</v>
      </c>
      <c r="F150" s="3">
        <v>1523</v>
      </c>
      <c r="G150" s="3">
        <v>21</v>
      </c>
      <c r="H150" s="3">
        <v>1611</v>
      </c>
      <c r="I150" s="4">
        <v>12.36</v>
      </c>
      <c r="J150" s="4">
        <v>1331.1</v>
      </c>
      <c r="K150" s="4">
        <v>2352.5300000000002</v>
      </c>
      <c r="L150" s="4">
        <v>112.03</v>
      </c>
      <c r="M150" s="3">
        <v>19036</v>
      </c>
      <c r="N150" s="4">
        <v>1331.1</v>
      </c>
      <c r="O150" s="4">
        <v>2352.5300000000002</v>
      </c>
      <c r="P150" s="4">
        <v>59216.84</v>
      </c>
    </row>
    <row r="151" spans="1:16" x14ac:dyDescent="0.2">
      <c r="A151" s="5">
        <v>40787</v>
      </c>
      <c r="B151" s="2" t="s">
        <v>60</v>
      </c>
      <c r="C151" s="2" t="s">
        <v>141</v>
      </c>
      <c r="D151" s="3">
        <v>1622</v>
      </c>
      <c r="E151" s="3">
        <v>60</v>
      </c>
      <c r="F151" s="3">
        <v>1530</v>
      </c>
      <c r="G151" s="3">
        <v>21</v>
      </c>
      <c r="H151" s="3">
        <v>1698</v>
      </c>
      <c r="I151" s="4">
        <v>12.26</v>
      </c>
      <c r="J151" s="4">
        <v>1322.98</v>
      </c>
      <c r="K151" s="4">
        <v>2352.6999999999998</v>
      </c>
      <c r="L151" s="4">
        <v>112.03</v>
      </c>
      <c r="M151" s="3">
        <v>19191</v>
      </c>
      <c r="N151" s="4">
        <v>1322.98</v>
      </c>
      <c r="O151" s="4">
        <v>2352.6999999999998</v>
      </c>
      <c r="P151" s="4">
        <v>58203.34</v>
      </c>
    </row>
    <row r="152" spans="1:16" x14ac:dyDescent="0.2">
      <c r="A152" s="5">
        <v>40817</v>
      </c>
      <c r="B152" s="2" t="s">
        <v>60</v>
      </c>
      <c r="C152" s="2" t="s">
        <v>142</v>
      </c>
      <c r="D152" s="3">
        <v>1631</v>
      </c>
      <c r="E152" s="3">
        <v>66</v>
      </c>
      <c r="F152" s="3">
        <v>1543</v>
      </c>
      <c r="G152" s="3">
        <v>19</v>
      </c>
      <c r="H152" s="3">
        <v>1614</v>
      </c>
      <c r="I152" s="4">
        <v>10.08</v>
      </c>
      <c r="J152" s="4">
        <v>1012.05</v>
      </c>
      <c r="K152" s="4">
        <v>1932.93</v>
      </c>
      <c r="L152" s="4">
        <v>101.73</v>
      </c>
      <c r="M152" s="3">
        <v>19185</v>
      </c>
      <c r="N152" s="4">
        <v>1012.05</v>
      </c>
      <c r="O152" s="4">
        <v>1932.93</v>
      </c>
      <c r="P152" s="4">
        <v>61018.91</v>
      </c>
    </row>
    <row r="153" spans="1:16" x14ac:dyDescent="0.2">
      <c r="A153" s="5">
        <v>40848</v>
      </c>
      <c r="B153" s="2" t="s">
        <v>60</v>
      </c>
      <c r="C153" s="2" t="s">
        <v>142</v>
      </c>
      <c r="D153" s="3">
        <v>1633</v>
      </c>
      <c r="E153" s="3">
        <v>66</v>
      </c>
      <c r="F153" s="3">
        <v>1545</v>
      </c>
      <c r="G153" s="3">
        <v>20</v>
      </c>
      <c r="H153" s="3">
        <v>1640</v>
      </c>
      <c r="I153" s="4">
        <v>11.14</v>
      </c>
      <c r="J153" s="4">
        <v>1238.04</v>
      </c>
      <c r="K153" s="4">
        <v>2063.44</v>
      </c>
      <c r="L153" s="4">
        <v>103.17</v>
      </c>
      <c r="M153" s="3">
        <v>18522</v>
      </c>
      <c r="N153" s="4">
        <v>1238.04</v>
      </c>
      <c r="O153" s="4">
        <v>2063.44</v>
      </c>
      <c r="P153" s="4">
        <v>55477.23</v>
      </c>
    </row>
    <row r="154" spans="1:16" x14ac:dyDescent="0.2">
      <c r="A154" s="5">
        <v>40878</v>
      </c>
      <c r="B154" s="2" t="s">
        <v>60</v>
      </c>
      <c r="C154" s="2" t="s">
        <v>142</v>
      </c>
      <c r="D154" s="3">
        <v>1640</v>
      </c>
      <c r="E154" s="3">
        <v>71</v>
      </c>
      <c r="F154" s="3">
        <v>1556</v>
      </c>
      <c r="G154" s="3">
        <v>21</v>
      </c>
      <c r="H154" s="3">
        <v>1675</v>
      </c>
      <c r="I154" s="4">
        <v>10.76</v>
      </c>
      <c r="J154" s="4">
        <v>1151.1500000000001</v>
      </c>
      <c r="K154" s="4">
        <v>1888.86</v>
      </c>
      <c r="L154" s="4">
        <v>89.95</v>
      </c>
      <c r="M154" s="3">
        <v>17562</v>
      </c>
      <c r="N154" s="4">
        <v>1151.1500000000001</v>
      </c>
      <c r="O154" s="4">
        <v>1888.86</v>
      </c>
      <c r="P154" s="4">
        <v>52322.73</v>
      </c>
    </row>
    <row r="155" spans="1:16" x14ac:dyDescent="0.2">
      <c r="A155" s="5">
        <v>40909</v>
      </c>
      <c r="B155" s="2" t="s">
        <v>60</v>
      </c>
      <c r="C155" s="2" t="s">
        <v>143</v>
      </c>
      <c r="D155" s="3">
        <v>1641</v>
      </c>
      <c r="E155" s="3">
        <v>71</v>
      </c>
      <c r="F155" s="3">
        <v>1557</v>
      </c>
      <c r="G155" s="3">
        <v>22</v>
      </c>
      <c r="H155" s="3">
        <v>1721</v>
      </c>
      <c r="I155" s="4">
        <v>13.12</v>
      </c>
      <c r="J155" s="4">
        <v>1483.03</v>
      </c>
      <c r="K155" s="4">
        <v>2368.7199999999998</v>
      </c>
      <c r="L155" s="4">
        <v>107.67</v>
      </c>
      <c r="M155" s="3">
        <v>18050</v>
      </c>
      <c r="N155" s="4">
        <v>1483.03</v>
      </c>
      <c r="O155" s="4">
        <v>2368.7199999999998</v>
      </c>
      <c r="P155" s="4">
        <v>59370.39</v>
      </c>
    </row>
    <row r="156" spans="1:16" x14ac:dyDescent="0.2">
      <c r="A156" s="5">
        <v>40940</v>
      </c>
      <c r="B156" s="2" t="s">
        <v>60</v>
      </c>
      <c r="C156" s="2" t="s">
        <v>143</v>
      </c>
      <c r="D156" s="3">
        <v>1644</v>
      </c>
      <c r="E156" s="3">
        <v>71</v>
      </c>
      <c r="F156" s="3">
        <v>1560</v>
      </c>
      <c r="G156" s="3">
        <v>20</v>
      </c>
      <c r="H156" s="3">
        <v>1649</v>
      </c>
      <c r="I156" s="4">
        <v>15.35</v>
      </c>
      <c r="J156" s="4">
        <v>2079.91</v>
      </c>
      <c r="K156" s="4">
        <v>3278.08</v>
      </c>
      <c r="L156" s="4">
        <v>163.9</v>
      </c>
      <c r="M156" s="3">
        <v>21353</v>
      </c>
      <c r="N156" s="4">
        <v>2079.91</v>
      </c>
      <c r="O156" s="4">
        <v>3278.08</v>
      </c>
      <c r="P156" s="4">
        <v>62332.5</v>
      </c>
    </row>
    <row r="157" spans="1:16" x14ac:dyDescent="0.2">
      <c r="A157" s="5">
        <v>40969</v>
      </c>
      <c r="B157" s="2" t="s">
        <v>60</v>
      </c>
      <c r="C157" s="2" t="s">
        <v>143</v>
      </c>
      <c r="D157" s="3">
        <v>1646</v>
      </c>
      <c r="E157" s="3">
        <v>73</v>
      </c>
      <c r="F157" s="3">
        <v>1563</v>
      </c>
      <c r="G157" s="3">
        <v>22</v>
      </c>
      <c r="H157" s="3">
        <v>1807</v>
      </c>
      <c r="I157" s="4">
        <v>13.29</v>
      </c>
      <c r="J157" s="4">
        <v>1649.78</v>
      </c>
      <c r="K157" s="4">
        <v>2724.82</v>
      </c>
      <c r="L157" s="4">
        <v>123.86</v>
      </c>
      <c r="M157" s="3">
        <v>20503</v>
      </c>
      <c r="N157" s="4">
        <v>1649.78</v>
      </c>
      <c r="O157" s="4">
        <v>2724.82</v>
      </c>
      <c r="P157" s="4">
        <v>60965.18</v>
      </c>
    </row>
    <row r="158" spans="1:16" x14ac:dyDescent="0.2">
      <c r="A158" s="5">
        <v>41000</v>
      </c>
      <c r="B158" s="2" t="s">
        <v>61</v>
      </c>
      <c r="C158" s="2" t="s">
        <v>144</v>
      </c>
      <c r="D158" s="3">
        <v>1649</v>
      </c>
      <c r="E158" s="3">
        <v>72</v>
      </c>
      <c r="F158" s="3">
        <v>1564</v>
      </c>
      <c r="G158" s="3">
        <v>20</v>
      </c>
      <c r="H158" s="3">
        <v>1650</v>
      </c>
      <c r="I158" s="4">
        <v>9.99</v>
      </c>
      <c r="J158" s="4">
        <v>1167.55</v>
      </c>
      <c r="K158" s="4">
        <v>1983.24</v>
      </c>
      <c r="L158" s="4">
        <v>99.16</v>
      </c>
      <c r="M158" s="3">
        <v>19847</v>
      </c>
      <c r="N158" s="4">
        <v>1167.55</v>
      </c>
      <c r="O158" s="4">
        <v>1983.24</v>
      </c>
      <c r="P158" s="4">
        <v>60592.58</v>
      </c>
    </row>
    <row r="159" spans="1:16" x14ac:dyDescent="0.2">
      <c r="A159" s="5">
        <v>41030</v>
      </c>
      <c r="B159" s="2" t="s">
        <v>61</v>
      </c>
      <c r="C159" s="2" t="s">
        <v>144</v>
      </c>
      <c r="D159" s="3">
        <v>1651</v>
      </c>
      <c r="E159" s="3">
        <v>73</v>
      </c>
      <c r="F159" s="3">
        <v>1564</v>
      </c>
      <c r="G159" s="3">
        <v>22</v>
      </c>
      <c r="H159" s="3">
        <v>1644</v>
      </c>
      <c r="I159" s="4">
        <v>11.43</v>
      </c>
      <c r="J159" s="4">
        <v>1299.97</v>
      </c>
      <c r="K159" s="4">
        <v>2167.5500000000002</v>
      </c>
      <c r="L159" s="4">
        <v>98.52</v>
      </c>
      <c r="M159" s="3">
        <v>18958</v>
      </c>
      <c r="N159" s="4">
        <v>1299.97</v>
      </c>
      <c r="O159" s="4">
        <v>2167.5500000000002</v>
      </c>
      <c r="P159" s="4">
        <v>56955.47</v>
      </c>
    </row>
    <row r="160" spans="1:16" x14ac:dyDescent="0.2">
      <c r="A160" s="5">
        <v>41061</v>
      </c>
      <c r="B160" s="2" t="s">
        <v>61</v>
      </c>
      <c r="C160" s="2" t="s">
        <v>144</v>
      </c>
      <c r="D160" s="3">
        <v>1648</v>
      </c>
      <c r="E160" s="3">
        <v>73</v>
      </c>
      <c r="F160" s="3">
        <v>1564</v>
      </c>
      <c r="G160" s="3">
        <v>21</v>
      </c>
      <c r="H160" s="3">
        <v>1747</v>
      </c>
      <c r="I160" s="4">
        <v>10.58</v>
      </c>
      <c r="J160" s="4">
        <v>1250.22</v>
      </c>
      <c r="K160" s="4">
        <v>2021.04</v>
      </c>
      <c r="L160" s="4">
        <v>96.24</v>
      </c>
      <c r="M160" s="3">
        <v>19094</v>
      </c>
      <c r="N160" s="4">
        <v>1250.22</v>
      </c>
      <c r="O160" s="4">
        <v>2021.04</v>
      </c>
      <c r="P160" s="4">
        <v>60267.66</v>
      </c>
    </row>
    <row r="161" spans="1:16" x14ac:dyDescent="0.2">
      <c r="A161" s="5">
        <v>41091</v>
      </c>
      <c r="B161" s="2" t="s">
        <v>61</v>
      </c>
      <c r="C161" s="2" t="s">
        <v>145</v>
      </c>
      <c r="D161" s="3">
        <v>1652</v>
      </c>
      <c r="E161" s="3">
        <v>73</v>
      </c>
      <c r="F161" s="3">
        <v>1566</v>
      </c>
      <c r="G161" s="3">
        <v>22</v>
      </c>
      <c r="H161" s="3">
        <v>1690</v>
      </c>
      <c r="I161" s="4">
        <v>10.99</v>
      </c>
      <c r="J161" s="4">
        <v>1381.97</v>
      </c>
      <c r="K161" s="4">
        <v>2103.25</v>
      </c>
      <c r="L161" s="4">
        <v>95.6</v>
      </c>
      <c r="M161" s="3">
        <v>19140</v>
      </c>
      <c r="N161" s="4">
        <v>1381.97</v>
      </c>
      <c r="O161" s="4">
        <v>2103.25</v>
      </c>
      <c r="P161" s="4">
        <v>59515.4</v>
      </c>
    </row>
    <row r="162" spans="1:16" x14ac:dyDescent="0.2">
      <c r="A162" s="5">
        <v>41122</v>
      </c>
      <c r="B162" s="2" t="s">
        <v>61</v>
      </c>
      <c r="C162" s="2" t="s">
        <v>145</v>
      </c>
      <c r="D162" s="3">
        <v>1652</v>
      </c>
      <c r="E162" s="3">
        <v>76</v>
      </c>
      <c r="F162" s="3">
        <v>1568</v>
      </c>
      <c r="G162" s="3">
        <v>21</v>
      </c>
      <c r="H162" s="3">
        <v>1769</v>
      </c>
      <c r="I162" s="4">
        <v>10.56</v>
      </c>
      <c r="J162" s="4">
        <v>1218.47</v>
      </c>
      <c r="K162" s="4">
        <v>2048.7399999999998</v>
      </c>
      <c r="L162" s="4">
        <v>97.56</v>
      </c>
      <c r="M162" s="3">
        <v>19399</v>
      </c>
      <c r="N162" s="4">
        <v>1218.47</v>
      </c>
      <c r="O162" s="4">
        <v>2048.7399999999998</v>
      </c>
      <c r="P162" s="4">
        <v>59425.1</v>
      </c>
    </row>
    <row r="163" spans="1:16" x14ac:dyDescent="0.2">
      <c r="A163" s="5">
        <v>41153</v>
      </c>
      <c r="B163" s="2" t="s">
        <v>61</v>
      </c>
      <c r="C163" s="2" t="s">
        <v>145</v>
      </c>
      <c r="D163" s="3">
        <v>1657</v>
      </c>
      <c r="E163" s="3">
        <v>76</v>
      </c>
      <c r="F163" s="3">
        <v>1573</v>
      </c>
      <c r="G163" s="3">
        <v>20</v>
      </c>
      <c r="H163" s="3">
        <v>1665</v>
      </c>
      <c r="I163" s="4">
        <v>11.68</v>
      </c>
      <c r="J163" s="4">
        <v>1437.98</v>
      </c>
      <c r="K163" s="4">
        <v>2401.89</v>
      </c>
      <c r="L163" s="4">
        <v>120.09</v>
      </c>
      <c r="M163" s="3">
        <v>20557</v>
      </c>
      <c r="N163" s="4">
        <v>1437.98</v>
      </c>
      <c r="O163" s="4">
        <v>2401.89</v>
      </c>
      <c r="P163" s="4">
        <v>64316.55</v>
      </c>
    </row>
    <row r="164" spans="1:16" x14ac:dyDescent="0.2">
      <c r="A164" s="5">
        <v>41183</v>
      </c>
      <c r="B164" s="2" t="s">
        <v>61</v>
      </c>
      <c r="C164" s="2" t="s">
        <v>146</v>
      </c>
      <c r="D164" s="3">
        <v>1660</v>
      </c>
      <c r="E164" s="3">
        <v>76</v>
      </c>
      <c r="F164" s="3">
        <v>1575</v>
      </c>
      <c r="G164" s="3">
        <v>21</v>
      </c>
      <c r="H164" s="3">
        <v>1694</v>
      </c>
      <c r="I164" s="4">
        <v>11.66</v>
      </c>
      <c r="J164" s="4">
        <v>1472.47</v>
      </c>
      <c r="K164" s="4">
        <v>2397.9499999999998</v>
      </c>
      <c r="L164" s="4">
        <v>114.19</v>
      </c>
      <c r="M164" s="3">
        <v>20563</v>
      </c>
      <c r="N164" s="4">
        <v>1472.47</v>
      </c>
      <c r="O164" s="4">
        <v>2397.9499999999998</v>
      </c>
      <c r="P164" s="4">
        <v>63376.76</v>
      </c>
    </row>
    <row r="165" spans="1:16" x14ac:dyDescent="0.2">
      <c r="A165" s="5">
        <v>41214</v>
      </c>
      <c r="B165" s="2" t="s">
        <v>61</v>
      </c>
      <c r="C165" s="2" t="s">
        <v>146</v>
      </c>
      <c r="D165" s="3">
        <v>1661</v>
      </c>
      <c r="E165" s="3">
        <v>76</v>
      </c>
      <c r="F165" s="3">
        <v>1576</v>
      </c>
      <c r="G165" s="3">
        <v>21</v>
      </c>
      <c r="H165" s="3">
        <v>1687</v>
      </c>
      <c r="I165" s="4">
        <v>10.77</v>
      </c>
      <c r="J165" s="4">
        <v>1347.88</v>
      </c>
      <c r="K165" s="4">
        <v>2209.33</v>
      </c>
      <c r="L165" s="4">
        <v>105.21</v>
      </c>
      <c r="M165" s="3">
        <v>20515</v>
      </c>
      <c r="N165" s="4">
        <v>1347.88</v>
      </c>
      <c r="O165" s="4">
        <v>2209.33</v>
      </c>
      <c r="P165" s="4">
        <v>66030.05</v>
      </c>
    </row>
    <row r="166" spans="1:16" x14ac:dyDescent="0.2">
      <c r="A166" s="5">
        <v>41244</v>
      </c>
      <c r="B166" s="2" t="s">
        <v>61</v>
      </c>
      <c r="C166" s="2" t="s">
        <v>146</v>
      </c>
      <c r="D166" s="3">
        <v>1665</v>
      </c>
      <c r="E166" s="3">
        <v>76</v>
      </c>
      <c r="F166" s="3">
        <v>1580</v>
      </c>
      <c r="G166" s="3">
        <v>20</v>
      </c>
      <c r="H166" s="3">
        <v>1716</v>
      </c>
      <c r="I166" s="4">
        <v>11.66</v>
      </c>
      <c r="J166" s="4">
        <v>1534.42</v>
      </c>
      <c r="K166" s="4">
        <v>2403.25</v>
      </c>
      <c r="L166" s="4">
        <v>120.16</v>
      </c>
      <c r="M166" s="3">
        <v>20608</v>
      </c>
      <c r="N166" s="4">
        <v>1534.42</v>
      </c>
      <c r="O166" s="4">
        <v>2403.25</v>
      </c>
      <c r="P166" s="4">
        <v>67637.81</v>
      </c>
    </row>
    <row r="167" spans="1:16" x14ac:dyDescent="0.2">
      <c r="A167" s="5">
        <v>41275</v>
      </c>
      <c r="B167" s="2" t="s">
        <v>61</v>
      </c>
      <c r="C167" s="2" t="s">
        <v>147</v>
      </c>
      <c r="D167" s="3">
        <v>1664</v>
      </c>
      <c r="E167" s="3">
        <v>76</v>
      </c>
      <c r="F167" s="3">
        <v>1579</v>
      </c>
      <c r="G167" s="3">
        <v>23</v>
      </c>
      <c r="H167" s="3">
        <v>1692</v>
      </c>
      <c r="I167" s="4">
        <v>13.89</v>
      </c>
      <c r="J167" s="4">
        <v>1794.04</v>
      </c>
      <c r="K167" s="4">
        <v>2954.15</v>
      </c>
      <c r="L167" s="4">
        <v>128.44</v>
      </c>
      <c r="M167" s="3">
        <v>21266</v>
      </c>
      <c r="N167" s="4">
        <v>1794.04</v>
      </c>
      <c r="O167" s="4">
        <v>2954.15</v>
      </c>
      <c r="P167" s="4">
        <v>68586.53</v>
      </c>
    </row>
    <row r="168" spans="1:16" x14ac:dyDescent="0.2">
      <c r="A168" s="5">
        <v>41306</v>
      </c>
      <c r="B168" s="2" t="s">
        <v>61</v>
      </c>
      <c r="C168" s="2" t="s">
        <v>147</v>
      </c>
      <c r="D168" s="3">
        <v>1665</v>
      </c>
      <c r="E168" s="3">
        <v>76</v>
      </c>
      <c r="F168" s="3">
        <v>1579</v>
      </c>
      <c r="G168" s="3">
        <v>20</v>
      </c>
      <c r="H168" s="3">
        <v>1673</v>
      </c>
      <c r="I168" s="4">
        <v>11.67</v>
      </c>
      <c r="J168" s="4">
        <v>1392.73</v>
      </c>
      <c r="K168" s="4">
        <v>2266.42</v>
      </c>
      <c r="L168" s="4">
        <v>113.32</v>
      </c>
      <c r="M168" s="3">
        <v>19413</v>
      </c>
      <c r="N168" s="4">
        <v>1392.73</v>
      </c>
      <c r="O168" s="4">
        <v>2266.42</v>
      </c>
      <c r="P168" s="4">
        <v>63852.91</v>
      </c>
    </row>
    <row r="169" spans="1:16" x14ac:dyDescent="0.2">
      <c r="A169" s="5">
        <v>41334</v>
      </c>
      <c r="B169" s="2" t="s">
        <v>61</v>
      </c>
      <c r="C169" s="2" t="s">
        <v>147</v>
      </c>
      <c r="D169" s="3">
        <v>1666</v>
      </c>
      <c r="E169" s="3">
        <v>76</v>
      </c>
      <c r="F169" s="3">
        <v>1582</v>
      </c>
      <c r="G169" s="3">
        <v>19</v>
      </c>
      <c r="H169" s="3">
        <v>1683</v>
      </c>
      <c r="I169" s="4">
        <v>11.14</v>
      </c>
      <c r="J169" s="4">
        <v>1293.8800000000001</v>
      </c>
      <c r="K169" s="4">
        <v>2125.98</v>
      </c>
      <c r="L169" s="4">
        <v>111.89</v>
      </c>
      <c r="M169" s="3">
        <v>19076</v>
      </c>
      <c r="N169" s="4">
        <v>1293.8800000000001</v>
      </c>
      <c r="O169" s="4">
        <v>2125.98</v>
      </c>
      <c r="P169" s="4">
        <v>62390.35</v>
      </c>
    </row>
    <row r="170" spans="1:16" x14ac:dyDescent="0.2">
      <c r="A170" s="5">
        <v>41365</v>
      </c>
      <c r="B170" s="2" t="s">
        <v>62</v>
      </c>
      <c r="C170" s="2" t="s">
        <v>148</v>
      </c>
      <c r="D170" s="3">
        <v>1671</v>
      </c>
      <c r="E170" s="3">
        <v>75</v>
      </c>
      <c r="F170" s="3">
        <v>1587</v>
      </c>
      <c r="G170" s="3">
        <v>20</v>
      </c>
      <c r="H170" s="3">
        <v>1719</v>
      </c>
      <c r="I170" s="4">
        <v>11.02</v>
      </c>
      <c r="J170" s="4">
        <v>1180.48</v>
      </c>
      <c r="K170" s="4">
        <v>2107.9899999999998</v>
      </c>
      <c r="L170" s="4">
        <v>105.4</v>
      </c>
      <c r="M170" s="3">
        <v>19122</v>
      </c>
      <c r="N170" s="4">
        <v>1180.48</v>
      </c>
      <c r="O170" s="4">
        <v>2107.9899999999998</v>
      </c>
      <c r="P170" s="4">
        <v>64903.73</v>
      </c>
    </row>
    <row r="171" spans="1:16" x14ac:dyDescent="0.2">
      <c r="A171" s="5">
        <v>41395</v>
      </c>
      <c r="B171" s="2" t="s">
        <v>62</v>
      </c>
      <c r="C171" s="2" t="s">
        <v>148</v>
      </c>
      <c r="D171" s="3">
        <v>1673</v>
      </c>
      <c r="E171" s="3">
        <v>75</v>
      </c>
      <c r="F171" s="3">
        <v>1589</v>
      </c>
      <c r="G171" s="3">
        <v>23</v>
      </c>
      <c r="H171" s="3">
        <v>1670</v>
      </c>
      <c r="I171" s="4">
        <v>12.45</v>
      </c>
      <c r="J171" s="4">
        <v>1287.8499999999999</v>
      </c>
      <c r="K171" s="4">
        <v>2443.92</v>
      </c>
      <c r="L171" s="4">
        <v>106.26</v>
      </c>
      <c r="M171" s="3">
        <v>19625</v>
      </c>
      <c r="N171" s="4">
        <v>1287.8499999999999</v>
      </c>
      <c r="O171" s="4">
        <v>2443.92</v>
      </c>
      <c r="P171" s="4">
        <v>65182.27</v>
      </c>
    </row>
    <row r="172" spans="1:16" x14ac:dyDescent="0.2">
      <c r="A172" s="5">
        <v>41426</v>
      </c>
      <c r="B172" s="2" t="s">
        <v>62</v>
      </c>
      <c r="C172" s="2" t="s">
        <v>148</v>
      </c>
      <c r="D172" s="3">
        <v>1633</v>
      </c>
      <c r="E172" s="3">
        <v>76</v>
      </c>
      <c r="F172" s="3">
        <v>1589</v>
      </c>
      <c r="G172" s="3">
        <v>20</v>
      </c>
      <c r="H172" s="3">
        <v>1743</v>
      </c>
      <c r="I172" s="4">
        <v>11.24</v>
      </c>
      <c r="J172" s="4">
        <v>1156.33</v>
      </c>
      <c r="K172" s="4">
        <v>2079.44</v>
      </c>
      <c r="L172" s="4">
        <v>103.97</v>
      </c>
      <c r="M172" s="3">
        <v>18500</v>
      </c>
      <c r="N172" s="4">
        <v>1156.33</v>
      </c>
      <c r="O172" s="4">
        <v>2079.44</v>
      </c>
      <c r="P172" s="4">
        <v>62484.42</v>
      </c>
    </row>
    <row r="173" spans="1:16" x14ac:dyDescent="0.2">
      <c r="A173" s="5">
        <v>41456</v>
      </c>
      <c r="B173" s="2" t="s">
        <v>62</v>
      </c>
      <c r="C173" s="2" t="s">
        <v>149</v>
      </c>
      <c r="D173" s="3">
        <v>1672</v>
      </c>
      <c r="E173" s="3">
        <v>76</v>
      </c>
      <c r="F173" s="3">
        <v>1590</v>
      </c>
      <c r="G173" s="3">
        <v>23</v>
      </c>
      <c r="H173" s="3">
        <v>1684</v>
      </c>
      <c r="I173" s="4">
        <v>12.85</v>
      </c>
      <c r="J173" s="4">
        <v>1327.5</v>
      </c>
      <c r="K173" s="4">
        <v>2433.9</v>
      </c>
      <c r="L173" s="4">
        <v>105.82</v>
      </c>
      <c r="M173" s="3">
        <v>18946</v>
      </c>
      <c r="N173" s="4">
        <v>1327.5</v>
      </c>
      <c r="O173" s="4">
        <v>2433.9</v>
      </c>
      <c r="P173" s="4">
        <v>60987.79</v>
      </c>
    </row>
    <row r="174" spans="1:16" x14ac:dyDescent="0.2">
      <c r="A174" s="5">
        <v>41487</v>
      </c>
      <c r="B174" s="2" t="s">
        <v>62</v>
      </c>
      <c r="C174" s="2" t="s">
        <v>149</v>
      </c>
      <c r="D174" s="3">
        <v>1672</v>
      </c>
      <c r="E174" s="3">
        <v>76</v>
      </c>
      <c r="F174" s="3">
        <v>1588</v>
      </c>
      <c r="G174" s="3">
        <v>20</v>
      </c>
      <c r="H174" s="3">
        <v>1741</v>
      </c>
      <c r="I174" s="4">
        <v>13.8</v>
      </c>
      <c r="J174" s="4">
        <v>1384.55</v>
      </c>
      <c r="K174" s="4">
        <v>2507.58</v>
      </c>
      <c r="L174" s="4">
        <v>125.38</v>
      </c>
      <c r="M174" s="3">
        <v>18168</v>
      </c>
      <c r="N174" s="4">
        <v>1384.55</v>
      </c>
      <c r="O174" s="4">
        <v>2507.58</v>
      </c>
      <c r="P174" s="4">
        <v>58466.27</v>
      </c>
    </row>
    <row r="175" spans="1:16" x14ac:dyDescent="0.2">
      <c r="A175" s="5">
        <v>41518</v>
      </c>
      <c r="B175" s="2" t="s">
        <v>62</v>
      </c>
      <c r="C175" s="2" t="s">
        <v>149</v>
      </c>
      <c r="D175" s="3">
        <v>1672</v>
      </c>
      <c r="E175" s="3">
        <v>76</v>
      </c>
      <c r="F175" s="3">
        <v>1581</v>
      </c>
      <c r="G175" s="3">
        <v>20</v>
      </c>
      <c r="H175" s="3">
        <v>1687</v>
      </c>
      <c r="I175" s="4">
        <v>12.56</v>
      </c>
      <c r="J175" s="4">
        <v>1306.49</v>
      </c>
      <c r="K175" s="4">
        <v>2435.7600000000002</v>
      </c>
      <c r="L175" s="4">
        <v>121.79</v>
      </c>
      <c r="M175" s="3">
        <v>19386</v>
      </c>
      <c r="N175" s="4">
        <v>1306.49</v>
      </c>
      <c r="O175" s="4">
        <v>2435.7600000000002</v>
      </c>
      <c r="P175" s="4">
        <v>61916.26</v>
      </c>
    </row>
    <row r="176" spans="1:16" x14ac:dyDescent="0.2">
      <c r="A176" s="5">
        <v>41548</v>
      </c>
      <c r="B176" s="2" t="s">
        <v>62</v>
      </c>
      <c r="C176" s="2" t="s">
        <v>150</v>
      </c>
      <c r="D176" s="3">
        <v>1674</v>
      </c>
      <c r="E176" s="3">
        <v>76</v>
      </c>
      <c r="F176" s="3">
        <v>1583</v>
      </c>
      <c r="G176" s="3">
        <v>21</v>
      </c>
      <c r="H176" s="3">
        <v>1694</v>
      </c>
      <c r="I176" s="4">
        <v>11.86</v>
      </c>
      <c r="J176" s="4">
        <v>1313.48</v>
      </c>
      <c r="K176" s="4">
        <v>2379.08</v>
      </c>
      <c r="L176" s="4">
        <v>113.29</v>
      </c>
      <c r="M176" s="3">
        <v>20061</v>
      </c>
      <c r="N176" s="4">
        <v>1313.48</v>
      </c>
      <c r="O176" s="4">
        <v>2379.08</v>
      </c>
      <c r="P176" s="4">
        <v>66915.31</v>
      </c>
    </row>
    <row r="177" spans="1:16" x14ac:dyDescent="0.2">
      <c r="A177" s="5">
        <v>41579</v>
      </c>
      <c r="B177" s="2" t="s">
        <v>62</v>
      </c>
      <c r="C177" s="2" t="s">
        <v>150</v>
      </c>
      <c r="D177" s="3">
        <v>1679</v>
      </c>
      <c r="E177" s="3">
        <v>75</v>
      </c>
      <c r="F177" s="3">
        <v>1588</v>
      </c>
      <c r="G177" s="3">
        <v>20</v>
      </c>
      <c r="H177" s="3">
        <v>1824</v>
      </c>
      <c r="I177" s="4">
        <v>11.24</v>
      </c>
      <c r="J177" s="4">
        <v>1223.32</v>
      </c>
      <c r="K177" s="4">
        <v>2177.8200000000002</v>
      </c>
      <c r="L177" s="4">
        <v>108.89</v>
      </c>
      <c r="M177" s="3">
        <v>19376</v>
      </c>
      <c r="N177" s="4">
        <v>1223.32</v>
      </c>
      <c r="O177" s="4">
        <v>2177.8200000000002</v>
      </c>
      <c r="P177" s="4">
        <v>66448.44</v>
      </c>
    </row>
    <row r="178" spans="1:16" x14ac:dyDescent="0.2">
      <c r="A178" s="5">
        <v>41609</v>
      </c>
      <c r="B178" s="2" t="s">
        <v>62</v>
      </c>
      <c r="C178" s="2" t="s">
        <v>150</v>
      </c>
      <c r="D178" s="3">
        <v>1679</v>
      </c>
      <c r="E178" s="3">
        <v>75</v>
      </c>
      <c r="F178" s="3">
        <v>1577</v>
      </c>
      <c r="G178" s="3">
        <v>21</v>
      </c>
      <c r="H178" s="3">
        <v>1724</v>
      </c>
      <c r="I178" s="4">
        <v>11.61</v>
      </c>
      <c r="J178" s="4">
        <v>1339.61</v>
      </c>
      <c r="K178" s="4">
        <v>2308.17</v>
      </c>
      <c r="L178" s="4">
        <v>109.91</v>
      </c>
      <c r="M178" s="3">
        <v>19880</v>
      </c>
      <c r="N178" s="4">
        <v>1339.61</v>
      </c>
      <c r="O178" s="4">
        <v>2308.17</v>
      </c>
      <c r="P178" s="4">
        <v>68841.67</v>
      </c>
    </row>
    <row r="179" spans="1:16" x14ac:dyDescent="0.2">
      <c r="A179" s="5">
        <v>41640</v>
      </c>
      <c r="B179" s="2" t="s">
        <v>62</v>
      </c>
      <c r="C179" s="2" t="s">
        <v>151</v>
      </c>
      <c r="D179" s="3">
        <v>1683</v>
      </c>
      <c r="E179" s="3">
        <v>74</v>
      </c>
      <c r="F179" s="3">
        <v>1581</v>
      </c>
      <c r="G179" s="3">
        <v>23</v>
      </c>
      <c r="H179" s="3">
        <v>1788</v>
      </c>
      <c r="I179" s="4">
        <v>12.86</v>
      </c>
      <c r="J179" s="4">
        <v>1407.08</v>
      </c>
      <c r="K179" s="4">
        <v>2556.3000000000002</v>
      </c>
      <c r="L179" s="4">
        <v>111.14</v>
      </c>
      <c r="M179" s="3">
        <v>19883</v>
      </c>
      <c r="N179" s="4">
        <v>1407.08</v>
      </c>
      <c r="O179" s="4">
        <v>2556.3000000000002</v>
      </c>
      <c r="P179" s="4">
        <v>65907.850000000006</v>
      </c>
    </row>
    <row r="180" spans="1:16" x14ac:dyDescent="0.2">
      <c r="A180" s="5">
        <v>41671</v>
      </c>
      <c r="B180" s="2" t="s">
        <v>62</v>
      </c>
      <c r="C180" s="2" t="s">
        <v>151</v>
      </c>
      <c r="D180" s="3">
        <v>1684</v>
      </c>
      <c r="E180" s="3">
        <v>74</v>
      </c>
      <c r="F180" s="3">
        <v>1581</v>
      </c>
      <c r="G180" s="3">
        <v>19</v>
      </c>
      <c r="H180" s="3">
        <v>1702</v>
      </c>
      <c r="I180" s="4">
        <v>9.76</v>
      </c>
      <c r="J180" s="4">
        <v>963.69</v>
      </c>
      <c r="K180" s="4">
        <v>1887.51</v>
      </c>
      <c r="L180" s="4">
        <v>99.34</v>
      </c>
      <c r="M180" s="3">
        <v>19334</v>
      </c>
      <c r="N180" s="4">
        <v>963.69</v>
      </c>
      <c r="O180" s="4">
        <v>1887.51</v>
      </c>
      <c r="P180" s="4">
        <v>67259.34</v>
      </c>
    </row>
    <row r="181" spans="1:16" x14ac:dyDescent="0.2">
      <c r="A181" s="5">
        <v>41699</v>
      </c>
      <c r="B181" s="2" t="s">
        <v>62</v>
      </c>
      <c r="C181" s="2" t="s">
        <v>151</v>
      </c>
      <c r="D181" s="3">
        <v>1688</v>
      </c>
      <c r="E181" s="3">
        <v>75</v>
      </c>
      <c r="F181" s="3">
        <v>1586</v>
      </c>
      <c r="G181" s="3">
        <v>21</v>
      </c>
      <c r="H181" s="3">
        <v>1768</v>
      </c>
      <c r="I181" s="4">
        <v>13.06</v>
      </c>
      <c r="J181" s="4">
        <v>1446.78</v>
      </c>
      <c r="K181" s="4">
        <v>2767.41</v>
      </c>
      <c r="L181" s="4">
        <v>131.78</v>
      </c>
      <c r="M181" s="3">
        <v>21187</v>
      </c>
      <c r="N181" s="4">
        <v>1446.78</v>
      </c>
      <c r="O181" s="4">
        <v>2767.41</v>
      </c>
      <c r="P181" s="4">
        <v>72777.2</v>
      </c>
    </row>
    <row r="182" spans="1:16" x14ac:dyDescent="0.2">
      <c r="A182" s="5">
        <v>41730</v>
      </c>
      <c r="B182" s="2" t="s">
        <v>63</v>
      </c>
      <c r="C182" s="2" t="s">
        <v>152</v>
      </c>
      <c r="D182" s="3">
        <v>1690</v>
      </c>
      <c r="E182" s="3">
        <v>75</v>
      </c>
      <c r="F182" s="3">
        <v>1587</v>
      </c>
      <c r="G182" s="3">
        <v>18</v>
      </c>
      <c r="H182" s="3">
        <v>1822</v>
      </c>
      <c r="I182" s="4">
        <v>12.45</v>
      </c>
      <c r="J182" s="4">
        <v>1627.62</v>
      </c>
      <c r="K182" s="4">
        <v>2727.03</v>
      </c>
      <c r="L182" s="4">
        <v>151.5</v>
      </c>
      <c r="M182" s="3">
        <v>21904</v>
      </c>
      <c r="N182" s="4">
        <v>1627.62</v>
      </c>
      <c r="O182" s="4">
        <v>2727.03</v>
      </c>
      <c r="P182" s="4">
        <v>73467.37</v>
      </c>
    </row>
    <row r="183" spans="1:16" x14ac:dyDescent="0.2">
      <c r="A183" s="5">
        <v>41760</v>
      </c>
      <c r="B183" s="2" t="s">
        <v>63</v>
      </c>
      <c r="C183" s="2" t="s">
        <v>152</v>
      </c>
      <c r="D183" s="3">
        <v>1692</v>
      </c>
      <c r="E183" s="3">
        <v>75</v>
      </c>
      <c r="F183" s="3">
        <v>1588</v>
      </c>
      <c r="G183" s="3">
        <v>21</v>
      </c>
      <c r="H183" s="3">
        <v>1792</v>
      </c>
      <c r="I183" s="4">
        <v>18.12</v>
      </c>
      <c r="J183" s="4">
        <v>2678.96</v>
      </c>
      <c r="K183" s="4">
        <v>4360.22</v>
      </c>
      <c r="L183" s="4">
        <v>207.63</v>
      </c>
      <c r="M183" s="3">
        <v>24062</v>
      </c>
      <c r="N183" s="4">
        <v>2678.96</v>
      </c>
      <c r="O183" s="4">
        <v>4360.22</v>
      </c>
      <c r="P183" s="4">
        <v>82513.460000000006</v>
      </c>
    </row>
    <row r="184" spans="1:16" x14ac:dyDescent="0.2">
      <c r="A184" s="5">
        <v>41791</v>
      </c>
      <c r="B184" s="2" t="s">
        <v>63</v>
      </c>
      <c r="C184" s="2" t="s">
        <v>152</v>
      </c>
      <c r="D184" s="3">
        <v>1695</v>
      </c>
      <c r="E184" s="3">
        <v>75</v>
      </c>
      <c r="F184" s="3">
        <v>1588</v>
      </c>
      <c r="G184" s="3">
        <v>21</v>
      </c>
      <c r="H184" s="3">
        <v>2187</v>
      </c>
      <c r="I184" s="4">
        <v>17.899999999999999</v>
      </c>
      <c r="J184" s="4">
        <v>2656.07</v>
      </c>
      <c r="K184" s="4">
        <v>4216.88</v>
      </c>
      <c r="L184" s="4">
        <v>200.8</v>
      </c>
      <c r="M184" s="3">
        <v>23563</v>
      </c>
      <c r="N184" s="4">
        <v>2656.07</v>
      </c>
      <c r="O184" s="4">
        <v>4216.88</v>
      </c>
      <c r="P184" s="4">
        <v>88547.02</v>
      </c>
    </row>
    <row r="185" spans="1:16" x14ac:dyDescent="0.2">
      <c r="A185" s="5">
        <v>41821</v>
      </c>
      <c r="B185" s="2" t="s">
        <v>63</v>
      </c>
      <c r="C185" s="2" t="s">
        <v>153</v>
      </c>
      <c r="D185" s="3">
        <v>1696</v>
      </c>
      <c r="E185" s="3">
        <v>75</v>
      </c>
      <c r="F185" s="3">
        <v>1594</v>
      </c>
      <c r="G185" s="3">
        <v>22</v>
      </c>
      <c r="H185" s="3">
        <v>1773</v>
      </c>
      <c r="I185" s="4">
        <v>16.43</v>
      </c>
      <c r="J185" s="4">
        <v>2155.8000000000002</v>
      </c>
      <c r="K185" s="4">
        <v>3914.28</v>
      </c>
      <c r="L185" s="4">
        <v>177.92</v>
      </c>
      <c r="M185" s="3">
        <v>23826</v>
      </c>
      <c r="N185" s="4">
        <v>2155.8000000000002</v>
      </c>
      <c r="O185" s="4">
        <v>3914.28</v>
      </c>
      <c r="P185" s="4">
        <v>88311.39</v>
      </c>
    </row>
    <row r="186" spans="1:16" x14ac:dyDescent="0.2">
      <c r="A186" s="5">
        <v>41852</v>
      </c>
      <c r="B186" s="2" t="s">
        <v>63</v>
      </c>
      <c r="C186" s="2" t="s">
        <v>153</v>
      </c>
      <c r="D186" s="3">
        <v>1696</v>
      </c>
      <c r="E186" s="3">
        <v>74</v>
      </c>
      <c r="F186" s="3">
        <v>1589</v>
      </c>
      <c r="G186" s="3">
        <v>19</v>
      </c>
      <c r="H186" s="3">
        <v>2047</v>
      </c>
      <c r="I186" s="4">
        <v>12.73</v>
      </c>
      <c r="J186" s="4">
        <v>1546.47</v>
      </c>
      <c r="K186" s="4">
        <v>2947.58</v>
      </c>
      <c r="L186" s="4">
        <v>155.13999999999999</v>
      </c>
      <c r="M186" s="3">
        <v>23156</v>
      </c>
      <c r="N186" s="4">
        <v>1546.47</v>
      </c>
      <c r="O186" s="4">
        <v>2947.58</v>
      </c>
      <c r="P186" s="4">
        <v>90609.600000000006</v>
      </c>
    </row>
    <row r="187" spans="1:16" x14ac:dyDescent="0.2">
      <c r="A187" s="5">
        <v>41883</v>
      </c>
      <c r="B187" s="2" t="s">
        <v>63</v>
      </c>
      <c r="C187" s="2" t="s">
        <v>153</v>
      </c>
      <c r="D187" s="3">
        <v>1699</v>
      </c>
      <c r="E187" s="3">
        <v>73</v>
      </c>
      <c r="F187" s="3">
        <v>1587</v>
      </c>
      <c r="G187" s="3">
        <v>22</v>
      </c>
      <c r="H187" s="3">
        <v>1821</v>
      </c>
      <c r="I187" s="4">
        <v>16.73</v>
      </c>
      <c r="J187" s="4">
        <v>2265.12</v>
      </c>
      <c r="K187" s="4">
        <v>3832.61</v>
      </c>
      <c r="L187" s="4">
        <v>174.21</v>
      </c>
      <c r="M187" s="3">
        <v>22903</v>
      </c>
      <c r="N187" s="4">
        <v>2265.12</v>
      </c>
      <c r="O187" s="4">
        <v>3832.61</v>
      </c>
      <c r="P187" s="4">
        <v>91728.38</v>
      </c>
    </row>
    <row r="188" spans="1:16" x14ac:dyDescent="0.2">
      <c r="A188" s="5">
        <v>41913</v>
      </c>
      <c r="B188" s="2" t="s">
        <v>63</v>
      </c>
      <c r="C188" s="2" t="s">
        <v>154</v>
      </c>
      <c r="D188" s="3">
        <v>1706</v>
      </c>
      <c r="E188" s="3">
        <v>70</v>
      </c>
      <c r="F188" s="3">
        <v>1595</v>
      </c>
      <c r="G188" s="3">
        <v>18</v>
      </c>
      <c r="H188" s="3">
        <v>1799</v>
      </c>
      <c r="I188" s="4">
        <v>11.94</v>
      </c>
      <c r="J188" s="4">
        <v>1357.71</v>
      </c>
      <c r="K188" s="4">
        <v>2711.91</v>
      </c>
      <c r="L188" s="4">
        <v>150.66</v>
      </c>
      <c r="M188" s="3">
        <v>22720</v>
      </c>
      <c r="N188" s="4">
        <v>1357.71</v>
      </c>
      <c r="O188" s="4">
        <v>2711.91</v>
      </c>
      <c r="P188" s="4">
        <v>94905.2</v>
      </c>
    </row>
    <row r="189" spans="1:16" x14ac:dyDescent="0.2">
      <c r="A189" s="5">
        <v>41944</v>
      </c>
      <c r="B189" s="2" t="s">
        <v>63</v>
      </c>
      <c r="C189" s="2" t="s">
        <v>154</v>
      </c>
      <c r="D189" s="3">
        <v>1707</v>
      </c>
      <c r="E189" s="3">
        <v>69</v>
      </c>
      <c r="F189" s="3">
        <v>1590</v>
      </c>
      <c r="G189" s="3">
        <v>18</v>
      </c>
      <c r="H189" s="3">
        <v>1792</v>
      </c>
      <c r="I189" s="4">
        <v>13.67</v>
      </c>
      <c r="J189" s="4">
        <v>1712.79</v>
      </c>
      <c r="K189" s="4">
        <v>3296.38</v>
      </c>
      <c r="L189" s="4">
        <v>183.13</v>
      </c>
      <c r="M189" s="3">
        <v>24108</v>
      </c>
      <c r="N189" s="4">
        <v>1712.79</v>
      </c>
      <c r="O189" s="4">
        <v>3296.38</v>
      </c>
      <c r="P189" s="4">
        <v>97395.7</v>
      </c>
    </row>
    <row r="190" spans="1:16" x14ac:dyDescent="0.2">
      <c r="A190" s="5">
        <v>41974</v>
      </c>
      <c r="B190" s="2" t="s">
        <v>63</v>
      </c>
      <c r="C190" s="2" t="s">
        <v>154</v>
      </c>
      <c r="D190" s="3">
        <v>1708</v>
      </c>
      <c r="E190" s="3">
        <v>63</v>
      </c>
      <c r="F190" s="3">
        <v>1583</v>
      </c>
      <c r="G190" s="3">
        <v>22</v>
      </c>
      <c r="H190" s="3">
        <v>1780</v>
      </c>
      <c r="I190" s="4">
        <v>15.25</v>
      </c>
      <c r="J190" s="4">
        <v>1775.22</v>
      </c>
      <c r="K190" s="4">
        <v>3544.73</v>
      </c>
      <c r="L190" s="4">
        <v>161.12</v>
      </c>
      <c r="M190" s="3">
        <v>23238</v>
      </c>
      <c r="N190" s="4">
        <v>1775.22</v>
      </c>
      <c r="O190" s="4">
        <v>3544.73</v>
      </c>
      <c r="P190" s="4">
        <v>96004.59</v>
      </c>
    </row>
    <row r="191" spans="1:16" x14ac:dyDescent="0.2">
      <c r="A191" s="5">
        <v>42005</v>
      </c>
      <c r="B191" s="2" t="s">
        <v>63</v>
      </c>
      <c r="C191" s="2" t="s">
        <v>155</v>
      </c>
      <c r="D191" s="3">
        <v>1718</v>
      </c>
      <c r="E191" s="3">
        <v>4</v>
      </c>
      <c r="F191" s="3">
        <v>1546</v>
      </c>
      <c r="G191" s="3">
        <v>21</v>
      </c>
      <c r="H191" s="3">
        <v>1774</v>
      </c>
      <c r="I191" s="4">
        <v>16.100000000000001</v>
      </c>
      <c r="J191" s="4">
        <v>1901.36</v>
      </c>
      <c r="K191" s="4">
        <v>3838.72</v>
      </c>
      <c r="L191" s="4">
        <v>182.8</v>
      </c>
      <c r="M191" s="3">
        <v>23847</v>
      </c>
      <c r="N191" s="4">
        <v>1901.36</v>
      </c>
      <c r="O191" s="4">
        <v>3838.72</v>
      </c>
      <c r="P191" s="4">
        <v>101002.18</v>
      </c>
    </row>
    <row r="192" spans="1:16" x14ac:dyDescent="0.2">
      <c r="A192" s="5">
        <v>42036</v>
      </c>
      <c r="B192" s="2" t="s">
        <v>63</v>
      </c>
      <c r="C192" s="2" t="s">
        <v>155</v>
      </c>
      <c r="D192" s="3">
        <v>1719</v>
      </c>
      <c r="E192" s="3">
        <v>4</v>
      </c>
      <c r="F192" s="3">
        <v>1530</v>
      </c>
      <c r="G192" s="3">
        <v>20</v>
      </c>
      <c r="H192" s="3">
        <v>1755</v>
      </c>
      <c r="I192" s="4">
        <v>15.84</v>
      </c>
      <c r="J192" s="4">
        <v>2040.18</v>
      </c>
      <c r="K192" s="4">
        <v>3927.18</v>
      </c>
      <c r="L192" s="4">
        <v>196.36</v>
      </c>
      <c r="M192" s="3">
        <v>24795</v>
      </c>
      <c r="N192" s="4">
        <v>2040.18</v>
      </c>
      <c r="O192" s="4">
        <v>3927.18</v>
      </c>
      <c r="P192" s="4">
        <v>102126.14</v>
      </c>
    </row>
    <row r="193" spans="1:16" x14ac:dyDescent="0.2">
      <c r="A193" s="5">
        <v>42064</v>
      </c>
      <c r="B193" s="2" t="s">
        <v>63</v>
      </c>
      <c r="C193" s="2" t="s">
        <v>155</v>
      </c>
      <c r="D193" s="3">
        <v>1733</v>
      </c>
      <c r="E193" s="3">
        <v>4</v>
      </c>
      <c r="F193" s="3">
        <v>1544</v>
      </c>
      <c r="G193" s="3">
        <v>21</v>
      </c>
      <c r="H193" s="3">
        <v>1776</v>
      </c>
      <c r="I193" s="4">
        <v>16.12</v>
      </c>
      <c r="J193" s="4">
        <v>1900.47</v>
      </c>
      <c r="K193" s="4">
        <v>3979.03</v>
      </c>
      <c r="L193" s="4">
        <v>189.48</v>
      </c>
      <c r="M193" s="3">
        <v>24678</v>
      </c>
      <c r="N193" s="4">
        <v>1900.47</v>
      </c>
      <c r="O193" s="4">
        <v>3979.03</v>
      </c>
      <c r="P193" s="4">
        <v>99301.22</v>
      </c>
    </row>
    <row r="194" spans="1:16" x14ac:dyDescent="0.2">
      <c r="A194" s="5">
        <v>42095</v>
      </c>
      <c r="B194" s="2" t="s">
        <v>64</v>
      </c>
      <c r="C194" s="2" t="s">
        <v>156</v>
      </c>
      <c r="D194" s="3">
        <v>1740</v>
      </c>
      <c r="E194" s="3">
        <v>4</v>
      </c>
      <c r="F194" s="3">
        <v>1550</v>
      </c>
      <c r="G194" s="3">
        <v>19</v>
      </c>
      <c r="H194" s="3">
        <v>1763</v>
      </c>
      <c r="I194" s="4">
        <v>15.06</v>
      </c>
      <c r="J194" s="4">
        <v>1626.63</v>
      </c>
      <c r="K194" s="4">
        <v>3793.49</v>
      </c>
      <c r="L194" s="4">
        <v>199.66</v>
      </c>
      <c r="M194" s="3">
        <v>25190</v>
      </c>
      <c r="N194" s="4">
        <v>1626.63</v>
      </c>
      <c r="O194" s="4">
        <v>3793.49</v>
      </c>
      <c r="P194" s="4">
        <v>96863.24</v>
      </c>
    </row>
    <row r="195" spans="1:16" x14ac:dyDescent="0.2">
      <c r="A195" s="5">
        <v>42125</v>
      </c>
      <c r="B195" s="2" t="s">
        <v>64</v>
      </c>
      <c r="C195" s="2" t="s">
        <v>156</v>
      </c>
      <c r="D195" s="3">
        <v>1750</v>
      </c>
      <c r="E195" s="3">
        <v>4</v>
      </c>
      <c r="F195" s="3">
        <v>1555</v>
      </c>
      <c r="G195" s="3">
        <v>20</v>
      </c>
      <c r="H195" s="3">
        <v>1767</v>
      </c>
      <c r="I195" s="4">
        <v>14.53</v>
      </c>
      <c r="J195" s="4">
        <v>1529.36</v>
      </c>
      <c r="K195" s="4">
        <v>3619.35</v>
      </c>
      <c r="L195" s="4">
        <v>180.97</v>
      </c>
      <c r="M195" s="3">
        <v>24918</v>
      </c>
      <c r="N195" s="4">
        <v>1529.36</v>
      </c>
      <c r="O195" s="4">
        <v>3619.35</v>
      </c>
      <c r="P195" s="4">
        <v>100206.65</v>
      </c>
    </row>
    <row r="196" spans="1:16" x14ac:dyDescent="0.2">
      <c r="A196" s="5">
        <v>42156</v>
      </c>
      <c r="B196" s="2" t="s">
        <v>64</v>
      </c>
      <c r="C196" s="2" t="s">
        <v>156</v>
      </c>
      <c r="D196" s="3">
        <v>1751</v>
      </c>
      <c r="E196" s="3">
        <v>4</v>
      </c>
      <c r="F196" s="3">
        <v>1553</v>
      </c>
      <c r="G196" s="3">
        <v>22</v>
      </c>
      <c r="H196" s="3">
        <v>1756</v>
      </c>
      <c r="I196" s="4">
        <v>15.25</v>
      </c>
      <c r="J196" s="4">
        <v>1777.74</v>
      </c>
      <c r="K196" s="4">
        <v>3332.89</v>
      </c>
      <c r="L196" s="4">
        <v>151.5</v>
      </c>
      <c r="M196" s="3">
        <v>21851</v>
      </c>
      <c r="N196" s="4">
        <v>1777.74</v>
      </c>
      <c r="O196" s="4">
        <v>3332.89</v>
      </c>
      <c r="P196" s="4">
        <v>98490.76</v>
      </c>
    </row>
    <row r="197" spans="1:16" x14ac:dyDescent="0.2">
      <c r="A197" s="5">
        <v>42186</v>
      </c>
      <c r="B197" s="2" t="s">
        <v>64</v>
      </c>
      <c r="C197" s="2" t="s">
        <v>157</v>
      </c>
      <c r="D197" s="3">
        <v>1756</v>
      </c>
      <c r="E197" s="3">
        <v>4</v>
      </c>
      <c r="F197" s="3">
        <v>1559</v>
      </c>
      <c r="G197" s="3">
        <v>23</v>
      </c>
      <c r="H197" s="3">
        <v>1763</v>
      </c>
      <c r="I197" s="4">
        <v>17.43</v>
      </c>
      <c r="J197" s="4">
        <v>1967.77</v>
      </c>
      <c r="K197" s="4">
        <v>3834.84</v>
      </c>
      <c r="L197" s="4">
        <v>166.73</v>
      </c>
      <c r="M197" s="3">
        <v>22007</v>
      </c>
      <c r="N197" s="4">
        <v>1967.77</v>
      </c>
      <c r="O197" s="4">
        <v>3834.84</v>
      </c>
      <c r="P197" s="4">
        <v>101685.61</v>
      </c>
    </row>
    <row r="198" spans="1:16" x14ac:dyDescent="0.2">
      <c r="A198" s="5">
        <v>42217</v>
      </c>
      <c r="B198" s="2" t="s">
        <v>64</v>
      </c>
      <c r="C198" s="2" t="s">
        <v>157</v>
      </c>
      <c r="D198" s="3">
        <v>1772</v>
      </c>
      <c r="E198" s="3">
        <v>4</v>
      </c>
      <c r="F198" s="3">
        <v>1574</v>
      </c>
      <c r="G198" s="3">
        <v>21</v>
      </c>
      <c r="H198" s="3">
        <v>1785</v>
      </c>
      <c r="I198" s="4">
        <v>18.62</v>
      </c>
      <c r="J198" s="4">
        <v>2158.21</v>
      </c>
      <c r="K198" s="4">
        <v>4199.32</v>
      </c>
      <c r="L198" s="4">
        <v>199.97</v>
      </c>
      <c r="M198" s="3">
        <v>22553</v>
      </c>
      <c r="N198" s="4">
        <v>2158.21</v>
      </c>
      <c r="O198" s="4">
        <v>4199.32</v>
      </c>
      <c r="P198" s="4">
        <v>95290.7</v>
      </c>
    </row>
    <row r="199" spans="1:16" x14ac:dyDescent="0.2">
      <c r="A199" s="5">
        <v>42248</v>
      </c>
      <c r="B199" s="2" t="s">
        <v>64</v>
      </c>
      <c r="C199" s="2" t="s">
        <v>157</v>
      </c>
      <c r="D199" s="3">
        <v>1779</v>
      </c>
      <c r="E199" s="3">
        <v>4</v>
      </c>
      <c r="F199" s="3">
        <v>1581</v>
      </c>
      <c r="G199" s="3">
        <v>20</v>
      </c>
      <c r="H199" s="3">
        <v>1807</v>
      </c>
      <c r="I199" s="4">
        <v>14.97</v>
      </c>
      <c r="J199" s="4">
        <v>1641.07</v>
      </c>
      <c r="K199" s="4">
        <v>3284.12</v>
      </c>
      <c r="L199" s="4">
        <v>164.21</v>
      </c>
      <c r="M199" s="3">
        <v>21943</v>
      </c>
      <c r="N199" s="4">
        <v>1641.07</v>
      </c>
      <c r="O199" s="4">
        <v>3284.12</v>
      </c>
      <c r="P199" s="4">
        <v>94916.09</v>
      </c>
    </row>
    <row r="200" spans="1:16" x14ac:dyDescent="0.2">
      <c r="A200" s="5">
        <v>42278</v>
      </c>
      <c r="B200" s="2" t="s">
        <v>64</v>
      </c>
      <c r="C200" s="2" t="s">
        <v>158</v>
      </c>
      <c r="D200" s="3">
        <v>1781</v>
      </c>
      <c r="E200" s="3">
        <v>4</v>
      </c>
      <c r="F200" s="3">
        <v>1582</v>
      </c>
      <c r="G200" s="3">
        <v>20</v>
      </c>
      <c r="H200" s="3">
        <v>1777</v>
      </c>
      <c r="I200" s="4">
        <v>14.63</v>
      </c>
      <c r="J200" s="4">
        <v>1790.6</v>
      </c>
      <c r="K200" s="4">
        <v>3338.01</v>
      </c>
      <c r="L200" s="4">
        <v>166.9</v>
      </c>
      <c r="M200" s="3">
        <v>22816</v>
      </c>
      <c r="N200" s="4">
        <v>1790.6</v>
      </c>
      <c r="O200" s="4">
        <v>3338.01</v>
      </c>
      <c r="P200" s="4">
        <v>96541.14</v>
      </c>
    </row>
    <row r="201" spans="1:16" x14ac:dyDescent="0.2">
      <c r="A201" s="5">
        <v>42309</v>
      </c>
      <c r="B201" s="2" t="s">
        <v>64</v>
      </c>
      <c r="C201" s="2" t="s">
        <v>158</v>
      </c>
      <c r="D201" s="3">
        <v>1786</v>
      </c>
      <c r="E201" s="3">
        <v>4</v>
      </c>
      <c r="F201" s="3">
        <v>1587</v>
      </c>
      <c r="G201" s="3">
        <v>19</v>
      </c>
      <c r="H201" s="3">
        <v>1782</v>
      </c>
      <c r="I201" s="4">
        <v>13.16</v>
      </c>
      <c r="J201" s="4">
        <v>1637.08</v>
      </c>
      <c r="K201" s="4">
        <v>3071.5</v>
      </c>
      <c r="L201" s="4">
        <v>161.66</v>
      </c>
      <c r="M201" s="3">
        <v>23336</v>
      </c>
      <c r="N201" s="4">
        <v>1637.08</v>
      </c>
      <c r="O201" s="4">
        <v>3071.5</v>
      </c>
      <c r="P201" s="4">
        <v>96756.69</v>
      </c>
    </row>
    <row r="202" spans="1:16" x14ac:dyDescent="0.2">
      <c r="A202" s="5">
        <v>42339</v>
      </c>
      <c r="B202" s="2" t="s">
        <v>64</v>
      </c>
      <c r="C202" s="2" t="s">
        <v>158</v>
      </c>
      <c r="D202" s="3">
        <v>1794</v>
      </c>
      <c r="E202" s="3">
        <v>4</v>
      </c>
      <c r="F202" s="3">
        <v>1599</v>
      </c>
      <c r="G202" s="3">
        <v>22</v>
      </c>
      <c r="H202" s="3">
        <v>1815</v>
      </c>
      <c r="I202" s="4">
        <v>14.8</v>
      </c>
      <c r="J202" s="4">
        <v>1984.67</v>
      </c>
      <c r="K202" s="4">
        <v>3349.54</v>
      </c>
      <c r="L202" s="4">
        <v>152.25</v>
      </c>
      <c r="M202" s="3">
        <v>22631</v>
      </c>
      <c r="N202" s="4">
        <v>1984.67</v>
      </c>
      <c r="O202" s="4">
        <v>3349.54</v>
      </c>
      <c r="P202" s="4">
        <v>98316.58</v>
      </c>
    </row>
    <row r="203" spans="1:16" x14ac:dyDescent="0.2">
      <c r="A203" s="5">
        <v>42370</v>
      </c>
      <c r="B203" s="2" t="s">
        <v>64</v>
      </c>
      <c r="C203" s="2" t="s">
        <v>159</v>
      </c>
      <c r="D203" s="3">
        <v>1797</v>
      </c>
      <c r="E203" s="3">
        <v>4</v>
      </c>
      <c r="F203" s="3">
        <v>1603</v>
      </c>
      <c r="G203" s="3">
        <v>20</v>
      </c>
      <c r="H203" s="3">
        <v>1828</v>
      </c>
      <c r="I203" s="4">
        <v>15.52</v>
      </c>
      <c r="J203" s="4">
        <v>2093.39</v>
      </c>
      <c r="K203" s="4">
        <v>3520.84</v>
      </c>
      <c r="L203" s="4">
        <v>176.04</v>
      </c>
      <c r="M203" s="3">
        <v>22684</v>
      </c>
      <c r="N203" s="4">
        <v>2093.39</v>
      </c>
      <c r="O203" s="4">
        <v>3520.84</v>
      </c>
      <c r="P203" s="4">
        <v>92093.86</v>
      </c>
    </row>
    <row r="204" spans="1:16" x14ac:dyDescent="0.2">
      <c r="A204" s="5">
        <v>42401</v>
      </c>
      <c r="B204" s="2" t="s">
        <v>64</v>
      </c>
      <c r="C204" s="2" t="s">
        <v>159</v>
      </c>
      <c r="D204" s="3">
        <v>1800</v>
      </c>
      <c r="E204" s="3">
        <v>4</v>
      </c>
      <c r="F204" s="3">
        <v>1606</v>
      </c>
      <c r="G204" s="3">
        <v>21</v>
      </c>
      <c r="H204" s="3">
        <v>1839</v>
      </c>
      <c r="I204" s="4">
        <v>16.010000000000002</v>
      </c>
      <c r="J204" s="4">
        <v>1951.72</v>
      </c>
      <c r="K204" s="4">
        <v>3456.46</v>
      </c>
      <c r="L204" s="4">
        <v>164.59</v>
      </c>
      <c r="M204" s="3">
        <v>21590</v>
      </c>
      <c r="N204" s="4">
        <v>1951.72</v>
      </c>
      <c r="O204" s="4">
        <v>3456.46</v>
      </c>
      <c r="P204" s="4">
        <v>84228.57</v>
      </c>
    </row>
    <row r="205" spans="1:16" x14ac:dyDescent="0.2">
      <c r="A205" s="5">
        <v>42430</v>
      </c>
      <c r="B205" s="2" t="s">
        <v>64</v>
      </c>
      <c r="C205" s="2" t="s">
        <v>159</v>
      </c>
      <c r="D205" s="3">
        <v>1808</v>
      </c>
      <c r="E205" s="3">
        <v>4</v>
      </c>
      <c r="F205" s="3">
        <v>1613</v>
      </c>
      <c r="G205" s="3">
        <v>20</v>
      </c>
      <c r="H205" s="3">
        <v>1855</v>
      </c>
      <c r="I205" s="4">
        <v>15.2</v>
      </c>
      <c r="J205" s="4">
        <v>1859.47</v>
      </c>
      <c r="K205" s="4">
        <v>3569.47</v>
      </c>
      <c r="L205" s="4">
        <v>178.47</v>
      </c>
      <c r="M205" s="3">
        <v>23483</v>
      </c>
      <c r="N205" s="4">
        <v>1859.47</v>
      </c>
      <c r="O205" s="4">
        <v>3569.47</v>
      </c>
      <c r="P205" s="4">
        <v>93104.71</v>
      </c>
    </row>
    <row r="206" spans="1:16" x14ac:dyDescent="0.2">
      <c r="A206" s="5">
        <v>42461</v>
      </c>
      <c r="B206" s="2" t="s">
        <v>65</v>
      </c>
      <c r="C206" s="2" t="s">
        <v>160</v>
      </c>
      <c r="D206" s="3">
        <v>1806</v>
      </c>
      <c r="E206" s="3">
        <v>4</v>
      </c>
      <c r="F206" s="3">
        <v>1608</v>
      </c>
      <c r="G206" s="3">
        <v>18</v>
      </c>
      <c r="H206" s="3">
        <v>1846</v>
      </c>
      <c r="I206" s="4">
        <v>13.29</v>
      </c>
      <c r="J206" s="4">
        <v>1628.28</v>
      </c>
      <c r="K206" s="4">
        <v>3094.8</v>
      </c>
      <c r="L206" s="4">
        <v>171.93</v>
      </c>
      <c r="M206" s="3">
        <v>23293</v>
      </c>
      <c r="N206" s="4">
        <v>1628.28</v>
      </c>
      <c r="O206" s="4">
        <v>3094.8</v>
      </c>
      <c r="P206" s="4">
        <v>95225.89</v>
      </c>
    </row>
    <row r="207" spans="1:16" x14ac:dyDescent="0.2">
      <c r="A207" s="5">
        <v>42491</v>
      </c>
      <c r="B207" s="2" t="s">
        <v>65</v>
      </c>
      <c r="C207" s="2" t="s">
        <v>160</v>
      </c>
      <c r="D207" s="3">
        <v>1811</v>
      </c>
      <c r="E207" s="3">
        <v>4</v>
      </c>
      <c r="F207" s="3">
        <v>1612</v>
      </c>
      <c r="G207" s="3">
        <v>22</v>
      </c>
      <c r="H207" s="3">
        <v>1852</v>
      </c>
      <c r="I207" s="4">
        <v>16.25</v>
      </c>
      <c r="J207" s="4">
        <v>1938</v>
      </c>
      <c r="K207" s="4">
        <v>3876.48</v>
      </c>
      <c r="L207" s="4">
        <v>176.2</v>
      </c>
      <c r="M207" s="3">
        <v>23856</v>
      </c>
      <c r="N207" s="4">
        <v>1938</v>
      </c>
      <c r="O207" s="4">
        <v>3876.48</v>
      </c>
      <c r="P207" s="4">
        <v>97405.51</v>
      </c>
    </row>
    <row r="208" spans="1:16" x14ac:dyDescent="0.2">
      <c r="A208" s="5">
        <v>42522</v>
      </c>
      <c r="B208" s="2" t="s">
        <v>65</v>
      </c>
      <c r="C208" s="2" t="s">
        <v>160</v>
      </c>
      <c r="D208" s="3">
        <v>1822</v>
      </c>
      <c r="E208" s="3">
        <v>4</v>
      </c>
      <c r="F208" s="3">
        <v>1618</v>
      </c>
      <c r="G208" s="3">
        <v>22</v>
      </c>
      <c r="H208" s="3">
        <v>1848</v>
      </c>
      <c r="I208" s="4">
        <v>16.53</v>
      </c>
      <c r="J208" s="4">
        <v>2334.6999999999998</v>
      </c>
      <c r="K208" s="4">
        <v>3834.84</v>
      </c>
      <c r="L208" s="4">
        <v>174.31</v>
      </c>
      <c r="M208" s="3">
        <v>23199</v>
      </c>
      <c r="N208" s="4">
        <v>2334.6999999999998</v>
      </c>
      <c r="O208" s="4">
        <v>3834.84</v>
      </c>
      <c r="P208" s="4">
        <v>101003.36</v>
      </c>
    </row>
    <row r="209" spans="1:16" x14ac:dyDescent="0.2">
      <c r="A209" s="5">
        <v>42552</v>
      </c>
      <c r="B209" s="2" t="s">
        <v>65</v>
      </c>
      <c r="C209" s="2" t="s">
        <v>161</v>
      </c>
      <c r="D209" s="3">
        <v>1839</v>
      </c>
      <c r="E209" s="3">
        <v>4</v>
      </c>
      <c r="F209" s="3">
        <v>1634</v>
      </c>
      <c r="G209" s="3">
        <v>20</v>
      </c>
      <c r="H209" s="3">
        <v>1885</v>
      </c>
      <c r="I209" s="4">
        <v>15.82</v>
      </c>
      <c r="J209" s="4">
        <v>2506.54</v>
      </c>
      <c r="K209" s="4">
        <v>4073.32</v>
      </c>
      <c r="L209" s="4">
        <v>203.67</v>
      </c>
      <c r="M209" s="3">
        <v>25743</v>
      </c>
      <c r="N209" s="4">
        <v>2506.54</v>
      </c>
      <c r="O209" s="4">
        <v>4073.32</v>
      </c>
      <c r="P209" s="4">
        <v>106752.11</v>
      </c>
    </row>
    <row r="210" spans="1:16" x14ac:dyDescent="0.2">
      <c r="A210" s="5">
        <v>42583</v>
      </c>
      <c r="B210" s="2" t="s">
        <v>65</v>
      </c>
      <c r="C210" s="2" t="s">
        <v>161</v>
      </c>
      <c r="D210" s="3">
        <v>1831</v>
      </c>
      <c r="E210" s="3">
        <v>4</v>
      </c>
      <c r="F210" s="3">
        <v>1640</v>
      </c>
      <c r="G210" s="3">
        <v>22</v>
      </c>
      <c r="H210" s="3">
        <v>1895</v>
      </c>
      <c r="I210" s="4">
        <v>17.98</v>
      </c>
      <c r="J210" s="4">
        <v>2276.7199999999998</v>
      </c>
      <c r="K210" s="4">
        <v>4706.26</v>
      </c>
      <c r="L210" s="4">
        <v>213.92</v>
      </c>
      <c r="M210" s="3">
        <v>26175</v>
      </c>
      <c r="N210" s="4">
        <v>2276.7199999999998</v>
      </c>
      <c r="O210" s="4">
        <v>4706.26</v>
      </c>
      <c r="P210" s="4">
        <v>109106.96</v>
      </c>
    </row>
    <row r="211" spans="1:16" x14ac:dyDescent="0.2">
      <c r="A211" s="5">
        <v>42614</v>
      </c>
      <c r="B211" s="2" t="s">
        <v>65</v>
      </c>
      <c r="C211" s="2" t="s">
        <v>161</v>
      </c>
      <c r="D211" s="3">
        <v>1822</v>
      </c>
      <c r="E211" s="3">
        <v>4</v>
      </c>
      <c r="F211" s="3">
        <v>1650</v>
      </c>
      <c r="G211" s="3">
        <v>20</v>
      </c>
      <c r="H211" s="3">
        <v>1894</v>
      </c>
      <c r="I211" s="4">
        <v>17</v>
      </c>
      <c r="J211" s="4">
        <v>2320.5700000000002</v>
      </c>
      <c r="K211" s="4">
        <v>4589.2</v>
      </c>
      <c r="L211" s="4">
        <v>229.46</v>
      </c>
      <c r="M211" s="3">
        <v>27000</v>
      </c>
      <c r="N211" s="4">
        <v>2320.5700000000002</v>
      </c>
      <c r="O211" s="4">
        <v>4589.2</v>
      </c>
      <c r="P211" s="4">
        <v>108660.63</v>
      </c>
    </row>
    <row r="212" spans="1:16" x14ac:dyDescent="0.2">
      <c r="A212" s="5">
        <v>42644</v>
      </c>
      <c r="B212" s="2" t="s">
        <v>65</v>
      </c>
      <c r="C212" s="2" t="s">
        <v>162</v>
      </c>
      <c r="D212" s="3">
        <v>1836</v>
      </c>
      <c r="E212" s="3">
        <v>4</v>
      </c>
      <c r="F212" s="3">
        <v>1658</v>
      </c>
      <c r="G212" s="3">
        <v>19</v>
      </c>
      <c r="H212" s="3">
        <v>1921</v>
      </c>
      <c r="I212" s="4">
        <v>15</v>
      </c>
      <c r="J212" s="4">
        <v>1989.64</v>
      </c>
      <c r="K212" s="4">
        <v>3851.63</v>
      </c>
      <c r="L212" s="4">
        <v>202.72</v>
      </c>
      <c r="M212" s="3">
        <v>25671</v>
      </c>
      <c r="N212" s="4">
        <v>1989.64</v>
      </c>
      <c r="O212" s="4">
        <v>3851.63</v>
      </c>
      <c r="P212" s="4">
        <v>111610.49</v>
      </c>
    </row>
    <row r="213" spans="1:16" x14ac:dyDescent="0.2">
      <c r="A213" s="5">
        <v>42675</v>
      </c>
      <c r="B213" s="2" t="s">
        <v>65</v>
      </c>
      <c r="C213" s="2" t="s">
        <v>162</v>
      </c>
      <c r="D213" s="3">
        <v>1833</v>
      </c>
      <c r="E213" s="3">
        <v>4</v>
      </c>
      <c r="F213" s="3">
        <v>1671</v>
      </c>
      <c r="G213" s="3">
        <v>21</v>
      </c>
      <c r="H213" s="3">
        <v>1926</v>
      </c>
      <c r="I213" s="4">
        <v>18.88</v>
      </c>
      <c r="J213" s="4">
        <v>2159.04</v>
      </c>
      <c r="K213" s="4">
        <v>4728.5600000000004</v>
      </c>
      <c r="L213" s="4">
        <v>225.17</v>
      </c>
      <c r="M213" s="3">
        <v>25043</v>
      </c>
      <c r="N213" s="4">
        <v>2159.04</v>
      </c>
      <c r="O213" s="4">
        <v>4728.5600000000004</v>
      </c>
      <c r="P213" s="4">
        <v>106180.12</v>
      </c>
    </row>
    <row r="214" spans="1:16" x14ac:dyDescent="0.2">
      <c r="A214" s="5">
        <v>42705</v>
      </c>
      <c r="B214" s="2" t="s">
        <v>65</v>
      </c>
      <c r="C214" s="2" t="s">
        <v>162</v>
      </c>
      <c r="D214" s="3">
        <v>1840</v>
      </c>
      <c r="E214" s="3">
        <v>4</v>
      </c>
      <c r="F214" s="3">
        <v>1680</v>
      </c>
      <c r="G214" s="3">
        <v>22</v>
      </c>
      <c r="H214" s="3">
        <v>1939</v>
      </c>
      <c r="I214" s="4">
        <v>15.31</v>
      </c>
      <c r="J214" s="4">
        <v>1692.03</v>
      </c>
      <c r="K214" s="4">
        <v>3427.47</v>
      </c>
      <c r="L214" s="4">
        <v>155.79</v>
      </c>
      <c r="M214" s="3">
        <v>22385</v>
      </c>
      <c r="N214" s="4">
        <v>1692.03</v>
      </c>
      <c r="O214" s="4">
        <v>3427.47</v>
      </c>
      <c r="P214" s="4">
        <v>104396.21</v>
      </c>
    </row>
    <row r="215" spans="1:16" x14ac:dyDescent="0.2">
      <c r="A215" s="5">
        <v>42736</v>
      </c>
      <c r="B215" s="2" t="s">
        <v>65</v>
      </c>
      <c r="C215" s="2" t="s">
        <v>163</v>
      </c>
      <c r="D215" s="3">
        <v>1847</v>
      </c>
      <c r="E215" s="3">
        <v>4</v>
      </c>
      <c r="F215" s="3">
        <v>1687</v>
      </c>
      <c r="G215" s="3">
        <v>21</v>
      </c>
      <c r="H215" s="3">
        <v>1948</v>
      </c>
      <c r="I215" s="4">
        <v>16.12</v>
      </c>
      <c r="J215" s="4">
        <v>2158.17</v>
      </c>
      <c r="K215" s="4">
        <v>4051.19</v>
      </c>
      <c r="L215" s="4">
        <v>192.91</v>
      </c>
      <c r="M215" s="3">
        <v>25139</v>
      </c>
      <c r="N215" s="4">
        <v>2158.17</v>
      </c>
      <c r="O215" s="4">
        <v>4051.19</v>
      </c>
      <c r="P215" s="4">
        <v>110473.15</v>
      </c>
    </row>
    <row r="216" spans="1:16" x14ac:dyDescent="0.2">
      <c r="A216" s="5">
        <v>42767</v>
      </c>
      <c r="B216" s="2" t="s">
        <v>65</v>
      </c>
      <c r="C216" s="2" t="s">
        <v>163</v>
      </c>
      <c r="D216" s="3">
        <v>1850</v>
      </c>
      <c r="E216" s="3">
        <v>4</v>
      </c>
      <c r="F216" s="3">
        <v>1691</v>
      </c>
      <c r="G216" s="3">
        <v>19</v>
      </c>
      <c r="H216" s="3">
        <v>1963</v>
      </c>
      <c r="I216" s="4">
        <v>16.84</v>
      </c>
      <c r="J216" s="4">
        <v>2545.5300000000002</v>
      </c>
      <c r="K216" s="4">
        <v>4763</v>
      </c>
      <c r="L216" s="4">
        <v>250.68</v>
      </c>
      <c r="M216" s="3">
        <v>28276</v>
      </c>
      <c r="N216" s="4">
        <v>2545.5300000000002</v>
      </c>
      <c r="O216" s="4">
        <v>4763</v>
      </c>
      <c r="P216" s="4">
        <v>115622.1</v>
      </c>
    </row>
    <row r="217" spans="1:16" x14ac:dyDescent="0.2">
      <c r="A217" s="5">
        <v>42795</v>
      </c>
      <c r="B217" s="2" t="s">
        <v>65</v>
      </c>
      <c r="C217" s="2" t="s">
        <v>163</v>
      </c>
      <c r="D217" s="3">
        <v>1817</v>
      </c>
      <c r="E217" s="3">
        <v>4</v>
      </c>
      <c r="F217" s="3">
        <v>1696</v>
      </c>
      <c r="G217" s="3">
        <v>22</v>
      </c>
      <c r="H217" s="3">
        <v>2113</v>
      </c>
      <c r="I217" s="4">
        <v>18.579999999999998</v>
      </c>
      <c r="J217" s="4">
        <v>2696.1</v>
      </c>
      <c r="K217" s="4">
        <v>5562.4</v>
      </c>
      <c r="L217" s="4">
        <v>252.84</v>
      </c>
      <c r="M217" s="3">
        <v>29938</v>
      </c>
      <c r="N217" s="4">
        <v>2696.1</v>
      </c>
      <c r="O217" s="4">
        <v>5562.4</v>
      </c>
      <c r="P217" s="4">
        <v>119784.21</v>
      </c>
    </row>
    <row r="218" spans="1:16" x14ac:dyDescent="0.2">
      <c r="A218" s="5">
        <v>42826</v>
      </c>
      <c r="B218" s="2" t="s">
        <v>66</v>
      </c>
      <c r="C218" s="2" t="s">
        <v>164</v>
      </c>
      <c r="D218" s="3">
        <v>1831</v>
      </c>
      <c r="E218" s="3">
        <v>4</v>
      </c>
      <c r="F218" s="3">
        <v>1706</v>
      </c>
      <c r="G218" s="3">
        <v>18</v>
      </c>
      <c r="H218" s="3">
        <v>2020</v>
      </c>
      <c r="I218" s="4">
        <v>16.73</v>
      </c>
      <c r="J218" s="4">
        <v>2492.6</v>
      </c>
      <c r="K218" s="4">
        <v>4721.1000000000004</v>
      </c>
      <c r="L218" s="4">
        <v>214.6</v>
      </c>
      <c r="M218" s="3">
        <v>28219</v>
      </c>
      <c r="N218" s="4">
        <v>2492.6</v>
      </c>
      <c r="O218" s="4">
        <v>4721.1000000000004</v>
      </c>
      <c r="P218" s="4">
        <v>123038.75</v>
      </c>
    </row>
    <row r="219" spans="1:16" x14ac:dyDescent="0.2">
      <c r="A219" s="5">
        <v>42856</v>
      </c>
      <c r="B219" s="2" t="s">
        <v>66</v>
      </c>
      <c r="C219" s="2" t="s">
        <v>164</v>
      </c>
      <c r="D219" s="3">
        <v>1814</v>
      </c>
      <c r="E219" s="3">
        <v>4</v>
      </c>
      <c r="F219" s="3">
        <v>1707</v>
      </c>
      <c r="G219" s="3">
        <v>22</v>
      </c>
      <c r="H219" s="3">
        <v>2085</v>
      </c>
      <c r="I219" s="4">
        <v>20.93</v>
      </c>
      <c r="J219" s="4">
        <v>2951.82</v>
      </c>
      <c r="K219" s="4">
        <v>5885.02</v>
      </c>
      <c r="L219" s="4">
        <v>267.5</v>
      </c>
      <c r="M219" s="3">
        <v>28119</v>
      </c>
      <c r="N219" s="4">
        <v>2951.82</v>
      </c>
      <c r="O219" s="4">
        <v>5885.02</v>
      </c>
      <c r="P219" s="4">
        <v>124167.89</v>
      </c>
    </row>
    <row r="220" spans="1:16" x14ac:dyDescent="0.2">
      <c r="A220" s="5">
        <v>42887</v>
      </c>
      <c r="B220" s="2" t="s">
        <v>66</v>
      </c>
      <c r="C220" s="2" t="s">
        <v>164</v>
      </c>
      <c r="D220" s="3">
        <v>1820</v>
      </c>
      <c r="E220" s="3">
        <v>4</v>
      </c>
      <c r="F220" s="3">
        <v>1710</v>
      </c>
      <c r="G220" s="3">
        <v>21</v>
      </c>
      <c r="H220" s="3">
        <v>2007</v>
      </c>
      <c r="I220" s="4">
        <v>18.02</v>
      </c>
      <c r="J220" s="4">
        <v>2541.39</v>
      </c>
      <c r="K220" s="4">
        <v>4863.05</v>
      </c>
      <c r="L220" s="4">
        <v>221.05</v>
      </c>
      <c r="M220" s="3">
        <v>26991</v>
      </c>
      <c r="N220" s="4">
        <v>2541.39</v>
      </c>
      <c r="O220" s="4">
        <v>4863.05</v>
      </c>
      <c r="P220" s="4">
        <v>124301.29</v>
      </c>
    </row>
    <row r="221" spans="1:16" x14ac:dyDescent="0.2">
      <c r="A221" s="5">
        <v>42917</v>
      </c>
      <c r="B221" s="2" t="s">
        <v>66</v>
      </c>
      <c r="C221" s="2" t="s">
        <v>165</v>
      </c>
      <c r="D221" s="3">
        <v>1837</v>
      </c>
      <c r="E221" s="3">
        <v>4</v>
      </c>
      <c r="F221" s="3">
        <v>1721</v>
      </c>
      <c r="G221" s="3">
        <v>21</v>
      </c>
      <c r="H221" s="3">
        <v>2043</v>
      </c>
      <c r="I221" s="4">
        <v>18.38</v>
      </c>
      <c r="J221" s="4">
        <v>3179.88</v>
      </c>
      <c r="K221" s="4">
        <v>5439.44</v>
      </c>
      <c r="L221" s="4">
        <v>259.02</v>
      </c>
      <c r="M221" s="3">
        <v>29587</v>
      </c>
      <c r="N221" s="4">
        <v>3179.88</v>
      </c>
      <c r="O221" s="4">
        <v>5439.44</v>
      </c>
      <c r="P221" s="4">
        <v>131214.41</v>
      </c>
    </row>
    <row r="222" spans="1:16" x14ac:dyDescent="0.2">
      <c r="A222" s="5">
        <v>42948</v>
      </c>
      <c r="B222" s="2" t="s">
        <v>66</v>
      </c>
      <c r="C222" s="2" t="s">
        <v>165</v>
      </c>
      <c r="D222" s="3">
        <v>1848</v>
      </c>
      <c r="E222" s="3">
        <v>4</v>
      </c>
      <c r="F222" s="3">
        <v>1732</v>
      </c>
      <c r="G222" s="3">
        <v>21</v>
      </c>
      <c r="H222" s="3">
        <v>2105</v>
      </c>
      <c r="I222" s="4">
        <v>19.14</v>
      </c>
      <c r="J222" s="4">
        <v>2803.9</v>
      </c>
      <c r="K222" s="4">
        <v>5538.29</v>
      </c>
      <c r="L222" s="4">
        <v>263.73</v>
      </c>
      <c r="M222" s="3">
        <v>28934</v>
      </c>
      <c r="N222" s="4">
        <v>2803.9</v>
      </c>
      <c r="O222" s="4">
        <v>5538.29</v>
      </c>
      <c r="P222" s="4">
        <v>130552.08</v>
      </c>
    </row>
    <row r="223" spans="1:16" x14ac:dyDescent="0.2">
      <c r="A223" s="5">
        <v>42979</v>
      </c>
      <c r="B223" s="2" t="s">
        <v>66</v>
      </c>
      <c r="C223" s="2" t="s">
        <v>165</v>
      </c>
      <c r="D223" s="3">
        <v>1851</v>
      </c>
      <c r="E223" s="3">
        <v>4</v>
      </c>
      <c r="F223" s="3">
        <v>1745</v>
      </c>
      <c r="G223" s="3">
        <v>21</v>
      </c>
      <c r="H223" s="3">
        <v>2054</v>
      </c>
      <c r="I223" s="4">
        <v>20.68</v>
      </c>
      <c r="J223" s="4">
        <v>2966.03</v>
      </c>
      <c r="K223" s="4">
        <v>6000.92</v>
      </c>
      <c r="L223" s="4">
        <v>285.76</v>
      </c>
      <c r="M223" s="3">
        <v>29014</v>
      </c>
      <c r="N223" s="4">
        <v>2966.03</v>
      </c>
      <c r="O223" s="4">
        <v>6000.92</v>
      </c>
      <c r="P223" s="4">
        <v>130457.16</v>
      </c>
    </row>
    <row r="224" spans="1:16" x14ac:dyDescent="0.2">
      <c r="A224" s="5">
        <v>43009</v>
      </c>
      <c r="B224" s="2" t="s">
        <v>66</v>
      </c>
      <c r="C224" s="2" t="s">
        <v>166</v>
      </c>
      <c r="D224" s="3">
        <v>1873</v>
      </c>
      <c r="E224" s="3">
        <v>4</v>
      </c>
      <c r="F224" s="3">
        <v>1761</v>
      </c>
      <c r="G224" s="3">
        <v>20</v>
      </c>
      <c r="H224" s="3">
        <v>2074</v>
      </c>
      <c r="I224" s="4">
        <v>20.07</v>
      </c>
      <c r="J224" s="4">
        <v>2901.9</v>
      </c>
      <c r="K224" s="4">
        <v>6074.52</v>
      </c>
      <c r="L224" s="4">
        <v>303.73</v>
      </c>
      <c r="M224" s="3">
        <v>30272</v>
      </c>
      <c r="N224" s="4">
        <v>2901.9</v>
      </c>
      <c r="O224" s="4">
        <v>6074.52</v>
      </c>
      <c r="P224" s="4">
        <v>142086.17000000001</v>
      </c>
    </row>
    <row r="225" spans="1:16" x14ac:dyDescent="0.2">
      <c r="A225" s="5">
        <v>43040</v>
      </c>
      <c r="B225" s="2" t="s">
        <v>66</v>
      </c>
      <c r="C225" s="2" t="s">
        <v>166</v>
      </c>
      <c r="D225" s="3">
        <v>1885</v>
      </c>
      <c r="E225" s="3">
        <v>4</v>
      </c>
      <c r="F225" s="3">
        <v>1785</v>
      </c>
      <c r="G225" s="3">
        <v>22</v>
      </c>
      <c r="H225" s="3">
        <v>2194</v>
      </c>
      <c r="I225" s="4">
        <v>25.04</v>
      </c>
      <c r="J225" s="4">
        <v>3638.46</v>
      </c>
      <c r="K225" s="4">
        <v>7351.87</v>
      </c>
      <c r="L225" s="4">
        <v>334.18</v>
      </c>
      <c r="M225" s="3">
        <v>29355</v>
      </c>
      <c r="N225" s="4">
        <v>3638.46</v>
      </c>
      <c r="O225" s="4">
        <v>7351.87</v>
      </c>
      <c r="P225" s="4">
        <v>143925.01</v>
      </c>
    </row>
    <row r="226" spans="1:16" x14ac:dyDescent="0.2">
      <c r="A226" s="5">
        <v>43070</v>
      </c>
      <c r="B226" s="2" t="s">
        <v>66</v>
      </c>
      <c r="C226" s="2" t="s">
        <v>166</v>
      </c>
      <c r="D226" s="3">
        <v>1897</v>
      </c>
      <c r="E226" s="3">
        <v>4</v>
      </c>
      <c r="F226" s="3">
        <v>1786</v>
      </c>
      <c r="G226" s="3">
        <v>20</v>
      </c>
      <c r="H226" s="3">
        <v>2118</v>
      </c>
      <c r="I226" s="4">
        <v>21.04</v>
      </c>
      <c r="J226" s="4">
        <v>3485.26</v>
      </c>
      <c r="K226" s="4">
        <v>5980.32</v>
      </c>
      <c r="L226" s="4">
        <v>299.02</v>
      </c>
      <c r="M226" s="3">
        <v>28420</v>
      </c>
      <c r="N226" s="4">
        <v>3485.26</v>
      </c>
      <c r="O226" s="4">
        <v>5980.32</v>
      </c>
      <c r="P226" s="4">
        <v>149822.96</v>
      </c>
    </row>
    <row r="227" spans="1:16" x14ac:dyDescent="0.2">
      <c r="A227" s="5">
        <v>43101</v>
      </c>
      <c r="B227" s="2" t="s">
        <v>66</v>
      </c>
      <c r="C227" s="2" t="s">
        <v>167</v>
      </c>
      <c r="D227" s="3">
        <v>1906</v>
      </c>
      <c r="E227" s="3">
        <v>4</v>
      </c>
      <c r="F227" s="3">
        <v>1796</v>
      </c>
      <c r="G227" s="3">
        <v>22</v>
      </c>
      <c r="H227" s="3">
        <v>2165</v>
      </c>
      <c r="I227" s="4">
        <v>26.9</v>
      </c>
      <c r="J227" s="4">
        <v>4669.55</v>
      </c>
      <c r="K227" s="4">
        <v>8148.39</v>
      </c>
      <c r="L227" s="4">
        <v>370.38</v>
      </c>
      <c r="M227" s="3">
        <v>30287</v>
      </c>
      <c r="N227" s="4">
        <v>4669.55</v>
      </c>
      <c r="O227" s="4">
        <v>8148.39</v>
      </c>
      <c r="P227" s="4">
        <v>151404.53</v>
      </c>
    </row>
    <row r="228" spans="1:16" x14ac:dyDescent="0.2">
      <c r="A228" s="5">
        <v>43132</v>
      </c>
      <c r="B228" s="2" t="s">
        <v>66</v>
      </c>
      <c r="C228" s="2" t="s">
        <v>167</v>
      </c>
      <c r="D228" s="3">
        <v>1916</v>
      </c>
      <c r="E228" s="3">
        <v>4</v>
      </c>
      <c r="F228" s="3">
        <v>1806</v>
      </c>
      <c r="G228" s="3">
        <v>19</v>
      </c>
      <c r="H228" s="3">
        <v>2300</v>
      </c>
      <c r="I228" s="4">
        <v>22.03</v>
      </c>
      <c r="J228" s="4">
        <v>3034.53</v>
      </c>
      <c r="K228" s="4">
        <v>6396.83</v>
      </c>
      <c r="L228" s="4">
        <v>336.68</v>
      </c>
      <c r="M228" s="3">
        <v>29032</v>
      </c>
      <c r="N228" s="4">
        <v>3034.53</v>
      </c>
      <c r="O228" s="4">
        <v>6396.83</v>
      </c>
      <c r="P228" s="4">
        <v>145640.91</v>
      </c>
    </row>
    <row r="229" spans="1:16" x14ac:dyDescent="0.2">
      <c r="A229" s="5">
        <v>43160</v>
      </c>
      <c r="B229" s="2" t="s">
        <v>66</v>
      </c>
      <c r="C229" s="2" t="s">
        <v>167</v>
      </c>
      <c r="D229" s="3">
        <v>1931</v>
      </c>
      <c r="E229" s="3">
        <v>4</v>
      </c>
      <c r="F229" s="3">
        <v>1817</v>
      </c>
      <c r="G229" s="3">
        <v>19</v>
      </c>
      <c r="H229" s="3">
        <v>2145</v>
      </c>
      <c r="I229" s="4">
        <v>20.16</v>
      </c>
      <c r="J229" s="4">
        <v>3053.04</v>
      </c>
      <c r="K229" s="4">
        <v>5948.52</v>
      </c>
      <c r="L229" s="4">
        <v>313.08</v>
      </c>
      <c r="M229" s="3">
        <v>29505</v>
      </c>
      <c r="N229" s="4">
        <v>3053.04</v>
      </c>
      <c r="O229" s="4">
        <v>5948.52</v>
      </c>
      <c r="P229" s="4">
        <v>140441.51999999999</v>
      </c>
    </row>
    <row r="230" spans="1:16" x14ac:dyDescent="0.2">
      <c r="A230" s="5">
        <v>43191</v>
      </c>
      <c r="B230" s="2" t="s">
        <v>67</v>
      </c>
      <c r="C230" s="2" t="s">
        <v>168</v>
      </c>
      <c r="D230" s="3">
        <v>1952</v>
      </c>
      <c r="E230" s="3">
        <v>4</v>
      </c>
      <c r="F230" s="3">
        <v>1843</v>
      </c>
      <c r="G230" s="3">
        <v>21</v>
      </c>
      <c r="H230" s="3">
        <v>2176</v>
      </c>
      <c r="I230" s="4">
        <v>21.77</v>
      </c>
      <c r="J230" s="4">
        <v>2984.53</v>
      </c>
      <c r="K230" s="4">
        <v>6414.4</v>
      </c>
      <c r="L230" s="4">
        <v>305.45</v>
      </c>
      <c r="M230" s="3">
        <v>29467</v>
      </c>
      <c r="N230" s="4">
        <v>2984.53</v>
      </c>
      <c r="O230" s="4">
        <v>6414.4</v>
      </c>
      <c r="P230" s="4">
        <v>150920.01999999999</v>
      </c>
    </row>
    <row r="231" spans="1:16" x14ac:dyDescent="0.2">
      <c r="A231" s="5">
        <v>43221</v>
      </c>
      <c r="B231" s="2" t="s">
        <v>67</v>
      </c>
      <c r="C231" s="2" t="s">
        <v>168</v>
      </c>
      <c r="D231" s="3">
        <v>1941</v>
      </c>
      <c r="E231" s="3">
        <v>4</v>
      </c>
      <c r="F231" s="3">
        <v>1843</v>
      </c>
      <c r="G231" s="3">
        <v>22</v>
      </c>
      <c r="H231" s="3">
        <v>2174</v>
      </c>
      <c r="I231" s="4">
        <v>24.68</v>
      </c>
      <c r="J231" s="4">
        <v>3421.55</v>
      </c>
      <c r="K231" s="4">
        <v>7000.13</v>
      </c>
      <c r="L231" s="4">
        <v>318.19</v>
      </c>
      <c r="M231" s="3">
        <v>28368</v>
      </c>
      <c r="N231" s="4">
        <v>3421.55</v>
      </c>
      <c r="O231" s="4">
        <v>7000.13</v>
      </c>
      <c r="P231" s="4">
        <v>146932.6</v>
      </c>
    </row>
    <row r="232" spans="1:16" x14ac:dyDescent="0.2">
      <c r="A232" s="5">
        <v>43252</v>
      </c>
      <c r="B232" s="2" t="s">
        <v>67</v>
      </c>
      <c r="C232" s="2" t="s">
        <v>168</v>
      </c>
      <c r="D232" s="3">
        <v>1951</v>
      </c>
      <c r="E232" s="3">
        <v>4</v>
      </c>
      <c r="F232" s="3">
        <v>1860</v>
      </c>
      <c r="G232" s="3">
        <v>21</v>
      </c>
      <c r="H232" s="3">
        <v>2200</v>
      </c>
      <c r="I232" s="4">
        <v>22.25</v>
      </c>
      <c r="J232" s="4">
        <v>2802.06</v>
      </c>
      <c r="K232" s="4">
        <v>5916.96</v>
      </c>
      <c r="L232" s="4">
        <v>281.76</v>
      </c>
      <c r="M232" s="3">
        <v>26592</v>
      </c>
      <c r="N232" s="4">
        <v>2802.06</v>
      </c>
      <c r="O232" s="4">
        <v>5916.96</v>
      </c>
      <c r="P232" s="4">
        <v>143290.72</v>
      </c>
    </row>
    <row r="233" spans="1:16" x14ac:dyDescent="0.2">
      <c r="A233" s="5">
        <v>43282</v>
      </c>
      <c r="B233" s="2" t="s">
        <v>67</v>
      </c>
      <c r="C233" s="2" t="s">
        <v>169</v>
      </c>
      <c r="D233" s="3">
        <v>1938</v>
      </c>
      <c r="E233" s="3">
        <v>4</v>
      </c>
      <c r="F233" s="3">
        <v>1865</v>
      </c>
      <c r="G233" s="3">
        <v>22</v>
      </c>
      <c r="H233" s="3">
        <v>2264</v>
      </c>
      <c r="I233" s="4">
        <v>23.52</v>
      </c>
      <c r="J233" s="4">
        <v>3133.96</v>
      </c>
      <c r="K233" s="4">
        <v>6628.67</v>
      </c>
      <c r="L233" s="4">
        <v>301.3</v>
      </c>
      <c r="M233" s="3">
        <v>28185</v>
      </c>
      <c r="N233" s="4">
        <v>3133.96</v>
      </c>
      <c r="O233" s="4">
        <v>6628.67</v>
      </c>
      <c r="P233" s="4">
        <v>151284.49</v>
      </c>
    </row>
    <row r="234" spans="1:16" x14ac:dyDescent="0.2">
      <c r="A234" s="5">
        <v>43313</v>
      </c>
      <c r="B234" s="2" t="s">
        <v>67</v>
      </c>
      <c r="C234" s="2" t="s">
        <v>169</v>
      </c>
      <c r="D234" s="3">
        <v>1916</v>
      </c>
      <c r="E234" s="3">
        <v>4</v>
      </c>
      <c r="F234" s="3">
        <v>1867</v>
      </c>
      <c r="G234" s="3">
        <v>21</v>
      </c>
      <c r="H234" s="3">
        <v>2258</v>
      </c>
      <c r="I234" s="4">
        <v>24.08</v>
      </c>
      <c r="J234" s="4">
        <v>3298.45</v>
      </c>
      <c r="K234" s="4">
        <v>7058.69</v>
      </c>
      <c r="L234" s="4">
        <v>336.13</v>
      </c>
      <c r="M234" s="3">
        <v>29312</v>
      </c>
      <c r="N234" s="4">
        <v>3298.45</v>
      </c>
      <c r="O234" s="4">
        <v>7058.69</v>
      </c>
      <c r="P234" s="4">
        <v>157309.18</v>
      </c>
    </row>
    <row r="235" spans="1:16" x14ac:dyDescent="0.2">
      <c r="A235" s="5">
        <v>43344</v>
      </c>
      <c r="B235" s="2" t="s">
        <v>67</v>
      </c>
      <c r="C235" s="2" t="s">
        <v>169</v>
      </c>
      <c r="D235" s="3">
        <v>1912</v>
      </c>
      <c r="E235" s="3">
        <v>4</v>
      </c>
      <c r="F235" s="3">
        <v>1873</v>
      </c>
      <c r="G235" s="3">
        <v>18</v>
      </c>
      <c r="H235" s="3">
        <v>2253</v>
      </c>
      <c r="I235" s="4">
        <v>24.05</v>
      </c>
      <c r="J235" s="4">
        <v>3038.04</v>
      </c>
      <c r="K235" s="4">
        <v>6883.19</v>
      </c>
      <c r="L235" s="4">
        <v>382.4</v>
      </c>
      <c r="M235" s="3">
        <v>28616</v>
      </c>
      <c r="N235" s="4">
        <v>3038.04</v>
      </c>
      <c r="O235" s="4">
        <v>6883.19</v>
      </c>
      <c r="P235" s="4">
        <v>142923.01999999999</v>
      </c>
    </row>
    <row r="236" spans="1:16" x14ac:dyDescent="0.2">
      <c r="A236" s="5">
        <v>43374</v>
      </c>
      <c r="B236" s="2" t="s">
        <v>67</v>
      </c>
      <c r="C236" s="2" t="s">
        <v>170</v>
      </c>
      <c r="D236" s="3">
        <v>1921</v>
      </c>
      <c r="E236" s="3">
        <v>4</v>
      </c>
      <c r="F236" s="3">
        <v>1881</v>
      </c>
      <c r="G236" s="3">
        <v>21</v>
      </c>
      <c r="H236" s="3">
        <v>2325</v>
      </c>
      <c r="I236" s="4">
        <v>28.89</v>
      </c>
      <c r="J236" s="4">
        <v>3307.16</v>
      </c>
      <c r="K236" s="4">
        <v>7455.84</v>
      </c>
      <c r="L236" s="4">
        <v>355.04</v>
      </c>
      <c r="M236" s="3">
        <v>25809</v>
      </c>
      <c r="N236" s="4">
        <v>3307.16</v>
      </c>
      <c r="O236" s="4">
        <v>7455.84</v>
      </c>
      <c r="P236" s="4">
        <v>136938.25</v>
      </c>
    </row>
    <row r="237" spans="1:16" x14ac:dyDescent="0.2">
      <c r="A237" s="5">
        <v>43405</v>
      </c>
      <c r="B237" s="2" t="s">
        <v>67</v>
      </c>
      <c r="C237" s="2" t="s">
        <v>170</v>
      </c>
      <c r="D237" s="3">
        <v>1922</v>
      </c>
      <c r="E237" s="3">
        <v>4</v>
      </c>
      <c r="F237" s="3">
        <v>1876</v>
      </c>
      <c r="G237" s="3">
        <v>20</v>
      </c>
      <c r="H237" s="3">
        <v>2227</v>
      </c>
      <c r="I237" s="4">
        <v>23.04</v>
      </c>
      <c r="J237" s="4">
        <v>2821.82</v>
      </c>
      <c r="K237" s="4">
        <v>6109.14</v>
      </c>
      <c r="L237" s="4">
        <v>305.45999999999998</v>
      </c>
      <c r="M237" s="3">
        <v>26510</v>
      </c>
      <c r="N237" s="4">
        <v>2821.82</v>
      </c>
      <c r="O237" s="4">
        <v>6109.14</v>
      </c>
      <c r="P237" s="4">
        <v>141225.35</v>
      </c>
    </row>
    <row r="238" spans="1:16" x14ac:dyDescent="0.2">
      <c r="A238" s="5">
        <v>43435</v>
      </c>
      <c r="B238" s="2" t="s">
        <v>67</v>
      </c>
      <c r="C238" s="2" t="s">
        <v>170</v>
      </c>
      <c r="D238" s="3">
        <v>1923</v>
      </c>
      <c r="E238" s="3">
        <v>4</v>
      </c>
      <c r="F238" s="3">
        <v>1879</v>
      </c>
      <c r="G238" s="3">
        <v>20</v>
      </c>
      <c r="H238" s="3">
        <v>2238</v>
      </c>
      <c r="I238" s="4">
        <v>21.99</v>
      </c>
      <c r="J238" s="4">
        <v>2877.97</v>
      </c>
      <c r="K238" s="4">
        <v>5999.17</v>
      </c>
      <c r="L238" s="4">
        <v>299.95999999999998</v>
      </c>
      <c r="M238" s="3">
        <v>27283</v>
      </c>
      <c r="N238" s="4">
        <v>2877.97</v>
      </c>
      <c r="O238" s="4">
        <v>5999.17</v>
      </c>
      <c r="P238" s="4">
        <v>142790.82999999999</v>
      </c>
    </row>
    <row r="239" spans="1:16" x14ac:dyDescent="0.2">
      <c r="A239" s="5">
        <v>43466</v>
      </c>
      <c r="B239" s="2" t="s">
        <v>67</v>
      </c>
      <c r="C239" s="2" t="s">
        <v>171</v>
      </c>
      <c r="D239" s="3">
        <v>1926</v>
      </c>
      <c r="E239" s="3">
        <v>4</v>
      </c>
      <c r="F239" s="3">
        <v>1877</v>
      </c>
      <c r="G239" s="3">
        <v>23</v>
      </c>
      <c r="H239" s="3">
        <v>2312</v>
      </c>
      <c r="I239" s="4">
        <v>23.87</v>
      </c>
      <c r="J239" s="4">
        <v>2813.5</v>
      </c>
      <c r="K239" s="4">
        <v>6658.89</v>
      </c>
      <c r="L239" s="4">
        <v>289.52</v>
      </c>
      <c r="M239" s="3">
        <v>27902</v>
      </c>
      <c r="N239" s="4">
        <v>2813.5</v>
      </c>
      <c r="O239" s="4">
        <v>6658.89</v>
      </c>
      <c r="P239" s="4">
        <v>139166.43</v>
      </c>
    </row>
    <row r="240" spans="1:16" x14ac:dyDescent="0.2">
      <c r="A240" s="5">
        <v>43497</v>
      </c>
      <c r="B240" s="2" t="s">
        <v>67</v>
      </c>
      <c r="C240" s="2" t="s">
        <v>171</v>
      </c>
      <c r="D240" s="3">
        <v>1929</v>
      </c>
      <c r="E240" s="3">
        <v>4</v>
      </c>
      <c r="F240" s="3">
        <v>1884</v>
      </c>
      <c r="G240" s="3">
        <v>20</v>
      </c>
      <c r="H240" s="3">
        <v>2275</v>
      </c>
      <c r="I240" s="4">
        <v>23.77</v>
      </c>
      <c r="J240" s="4">
        <v>3470.11</v>
      </c>
      <c r="K240" s="4">
        <v>6392.7</v>
      </c>
      <c r="L240" s="4">
        <v>319.64</v>
      </c>
      <c r="M240" s="3">
        <v>26897</v>
      </c>
      <c r="N240" s="4">
        <v>3470.11</v>
      </c>
      <c r="O240" s="4">
        <v>6392.7</v>
      </c>
      <c r="P240" s="4">
        <v>138714.49</v>
      </c>
    </row>
    <row r="241" spans="1:16" x14ac:dyDescent="0.2">
      <c r="A241" s="5">
        <v>43525</v>
      </c>
      <c r="B241" s="2" t="s">
        <v>67</v>
      </c>
      <c r="C241" s="2" t="s">
        <v>171</v>
      </c>
      <c r="D241" s="3">
        <v>1931</v>
      </c>
      <c r="E241" s="3">
        <v>4</v>
      </c>
      <c r="F241" s="3">
        <v>1884</v>
      </c>
      <c r="G241" s="3">
        <v>19</v>
      </c>
      <c r="H241" s="3">
        <v>2331</v>
      </c>
      <c r="I241" s="4">
        <v>23.41</v>
      </c>
      <c r="J241" s="4">
        <v>3530.62</v>
      </c>
      <c r="K241" s="4">
        <v>6972.24</v>
      </c>
      <c r="L241" s="4">
        <v>366.96</v>
      </c>
      <c r="M241" s="3">
        <v>29778</v>
      </c>
      <c r="N241" s="4">
        <v>3530.62</v>
      </c>
      <c r="O241" s="4">
        <v>6972.24</v>
      </c>
      <c r="P241" s="4">
        <v>149342.26999999999</v>
      </c>
    </row>
    <row r="242" spans="1:16" x14ac:dyDescent="0.2">
      <c r="A242" s="5">
        <v>43556</v>
      </c>
      <c r="B242" s="2" t="s">
        <v>68</v>
      </c>
      <c r="C242" s="2" t="s">
        <v>172</v>
      </c>
      <c r="D242" s="3">
        <v>1938</v>
      </c>
      <c r="E242" s="3">
        <v>4</v>
      </c>
      <c r="F242" s="3">
        <v>1892</v>
      </c>
      <c r="G242" s="3">
        <v>19</v>
      </c>
      <c r="H242" s="3">
        <v>2338</v>
      </c>
      <c r="I242" s="4">
        <v>21.47</v>
      </c>
      <c r="J242" s="4">
        <v>3086.36</v>
      </c>
      <c r="K242" s="4">
        <v>6401.15</v>
      </c>
      <c r="L242" s="4">
        <v>336.9</v>
      </c>
      <c r="M242" s="3">
        <v>29811</v>
      </c>
      <c r="N242" s="4">
        <v>3086.36</v>
      </c>
      <c r="O242" s="4">
        <v>6401.15</v>
      </c>
      <c r="P242" s="4">
        <v>150432.75</v>
      </c>
    </row>
    <row r="243" spans="1:16" x14ac:dyDescent="0.2">
      <c r="A243" s="5">
        <v>43586</v>
      </c>
      <c r="B243" s="2" t="s">
        <v>68</v>
      </c>
      <c r="C243" s="2" t="s">
        <v>172</v>
      </c>
      <c r="D243" s="3">
        <v>1942</v>
      </c>
      <c r="E243" s="3">
        <v>4</v>
      </c>
      <c r="F243" s="3">
        <v>1892</v>
      </c>
      <c r="G243" s="3">
        <v>22</v>
      </c>
      <c r="H243" s="3">
        <v>2283</v>
      </c>
      <c r="I243" s="4">
        <v>27.35</v>
      </c>
      <c r="J243" s="4">
        <v>3727.12</v>
      </c>
      <c r="K243" s="4">
        <v>7881.84</v>
      </c>
      <c r="L243" s="4">
        <v>358.27</v>
      </c>
      <c r="M243" s="3">
        <v>28822</v>
      </c>
      <c r="N243" s="4">
        <v>3727.12</v>
      </c>
      <c r="O243" s="4">
        <v>7881.84</v>
      </c>
      <c r="P243" s="4">
        <v>152543.60999999999</v>
      </c>
    </row>
    <row r="244" spans="1:16" x14ac:dyDescent="0.2">
      <c r="A244" s="5">
        <v>43617</v>
      </c>
      <c r="B244" s="2" t="s">
        <v>68</v>
      </c>
      <c r="C244" s="2" t="s">
        <v>172</v>
      </c>
      <c r="D244" s="3">
        <v>1945</v>
      </c>
      <c r="E244" s="3">
        <v>4</v>
      </c>
      <c r="F244" s="3">
        <v>1888</v>
      </c>
      <c r="G244" s="3">
        <v>19</v>
      </c>
      <c r="H244" s="3">
        <v>2358</v>
      </c>
      <c r="I244" s="4">
        <v>21.46</v>
      </c>
      <c r="J244" s="4">
        <v>3025.72</v>
      </c>
      <c r="K244" s="4">
        <v>5960.3</v>
      </c>
      <c r="L244" s="4">
        <v>313.7</v>
      </c>
      <c r="M244" s="3">
        <v>27779</v>
      </c>
      <c r="N244" s="4">
        <v>3025.72</v>
      </c>
      <c r="O244" s="4">
        <v>5960.3</v>
      </c>
      <c r="P244" s="4">
        <v>150314.15</v>
      </c>
    </row>
    <row r="245" spans="1:16" x14ac:dyDescent="0.2">
      <c r="A245" s="5">
        <v>43647</v>
      </c>
      <c r="B245" s="2" t="s">
        <v>68</v>
      </c>
      <c r="C245" s="2" t="s">
        <v>173</v>
      </c>
      <c r="D245" s="3">
        <v>1950</v>
      </c>
      <c r="E245" s="3">
        <v>4</v>
      </c>
      <c r="F245" s="3">
        <v>1887</v>
      </c>
      <c r="G245" s="3">
        <v>23</v>
      </c>
      <c r="H245" s="3">
        <v>2301</v>
      </c>
      <c r="I245" s="4">
        <v>25.57</v>
      </c>
      <c r="J245" s="4">
        <v>3350.53</v>
      </c>
      <c r="K245" s="4">
        <v>7128.21</v>
      </c>
      <c r="L245" s="4">
        <v>309.92</v>
      </c>
      <c r="M245" s="3">
        <v>27879</v>
      </c>
      <c r="N245" s="4">
        <v>3350.53</v>
      </c>
      <c r="O245" s="4">
        <v>7128.21</v>
      </c>
      <c r="P245" s="4">
        <v>140054.17000000001</v>
      </c>
    </row>
    <row r="246" spans="1:16" x14ac:dyDescent="0.2">
      <c r="A246" s="5">
        <v>43678</v>
      </c>
      <c r="B246" s="2" t="s">
        <v>68</v>
      </c>
      <c r="C246" s="2" t="s">
        <v>173</v>
      </c>
      <c r="D246" s="3">
        <v>1952</v>
      </c>
      <c r="E246" s="3">
        <v>18</v>
      </c>
      <c r="F246" s="3">
        <v>1905</v>
      </c>
      <c r="G246" s="3">
        <v>20</v>
      </c>
      <c r="H246" s="3">
        <v>2312</v>
      </c>
      <c r="I246" s="4">
        <v>25.26</v>
      </c>
      <c r="J246" s="4">
        <v>3340.19</v>
      </c>
      <c r="K246" s="4">
        <v>6736.33</v>
      </c>
      <c r="L246" s="4">
        <v>336.82</v>
      </c>
      <c r="M246" s="3">
        <v>26670</v>
      </c>
      <c r="N246" s="4">
        <v>3340.19</v>
      </c>
      <c r="O246" s="4">
        <v>6736.33</v>
      </c>
      <c r="P246" s="4">
        <v>139761.68</v>
      </c>
    </row>
    <row r="247" spans="1:16" x14ac:dyDescent="0.2">
      <c r="A247" s="5">
        <v>43709</v>
      </c>
      <c r="B247" s="2" t="s">
        <v>68</v>
      </c>
      <c r="C247" s="2" t="s">
        <v>173</v>
      </c>
      <c r="D247" s="3">
        <v>1955</v>
      </c>
      <c r="E247" s="3">
        <v>18</v>
      </c>
      <c r="F247" s="3">
        <v>1902</v>
      </c>
      <c r="G247" s="3">
        <v>19</v>
      </c>
      <c r="H247" s="3">
        <v>2452</v>
      </c>
      <c r="I247" s="4">
        <v>25.04</v>
      </c>
      <c r="J247" s="4">
        <v>3469.63</v>
      </c>
      <c r="K247" s="4">
        <v>7104.98</v>
      </c>
      <c r="L247" s="4">
        <v>373.95</v>
      </c>
      <c r="M247" s="3">
        <v>28376</v>
      </c>
      <c r="N247" s="4">
        <v>3469.63</v>
      </c>
      <c r="O247" s="4">
        <v>7104.98</v>
      </c>
      <c r="P247" s="4">
        <v>145730.03</v>
      </c>
    </row>
    <row r="248" spans="1:16" x14ac:dyDescent="0.2">
      <c r="A248" s="5">
        <v>43739</v>
      </c>
      <c r="B248" s="2" t="s">
        <v>68</v>
      </c>
      <c r="C248" s="2" t="s">
        <v>174</v>
      </c>
      <c r="D248" s="3">
        <v>1949</v>
      </c>
      <c r="E248" s="3">
        <v>18</v>
      </c>
      <c r="F248" s="3">
        <v>1905</v>
      </c>
      <c r="G248" s="3">
        <v>20</v>
      </c>
      <c r="H248" s="3">
        <v>2319</v>
      </c>
      <c r="I248" s="4">
        <v>25.87</v>
      </c>
      <c r="J248" s="4">
        <v>4080.51</v>
      </c>
      <c r="K248" s="4">
        <v>7529.31</v>
      </c>
      <c r="L248" s="4">
        <v>376.47</v>
      </c>
      <c r="M248" s="3">
        <v>29102</v>
      </c>
      <c r="N248" s="4">
        <v>4080.51</v>
      </c>
      <c r="O248" s="4">
        <v>7529.31</v>
      </c>
      <c r="P248" s="4">
        <v>152477.29999999999</v>
      </c>
    </row>
    <row r="249" spans="1:16" x14ac:dyDescent="0.2">
      <c r="A249" s="5">
        <v>43770</v>
      </c>
      <c r="B249" s="2" t="s">
        <v>68</v>
      </c>
      <c r="C249" s="2" t="s">
        <v>174</v>
      </c>
      <c r="D249" s="3">
        <v>1951</v>
      </c>
      <c r="E249" s="3">
        <v>19</v>
      </c>
      <c r="F249" s="3">
        <v>1901</v>
      </c>
      <c r="G249" s="3">
        <v>20</v>
      </c>
      <c r="H249" s="3">
        <v>2336</v>
      </c>
      <c r="I249" s="4">
        <v>25.98</v>
      </c>
      <c r="J249" s="4">
        <v>4833.53</v>
      </c>
      <c r="K249" s="4">
        <v>8342.52</v>
      </c>
      <c r="L249" s="4">
        <v>417.13</v>
      </c>
      <c r="M249" s="3">
        <v>32114</v>
      </c>
      <c r="N249" s="4">
        <v>4833.53</v>
      </c>
      <c r="O249" s="4">
        <v>8342.52</v>
      </c>
      <c r="P249" s="4">
        <v>153154.78</v>
      </c>
    </row>
    <row r="250" spans="1:16" x14ac:dyDescent="0.2">
      <c r="A250" s="5">
        <v>43800</v>
      </c>
      <c r="B250" s="2" t="s">
        <v>68</v>
      </c>
      <c r="C250" s="2" t="s">
        <v>174</v>
      </c>
      <c r="D250" s="3">
        <v>1955</v>
      </c>
      <c r="E250" s="3">
        <v>19</v>
      </c>
      <c r="F250" s="3">
        <v>1902</v>
      </c>
      <c r="G250" s="3">
        <v>21</v>
      </c>
      <c r="H250" s="3">
        <v>2438</v>
      </c>
      <c r="I250" s="4">
        <v>22.37</v>
      </c>
      <c r="J250" s="4">
        <v>3911.15</v>
      </c>
      <c r="K250" s="4">
        <v>6819.83</v>
      </c>
      <c r="L250" s="4">
        <v>324.75</v>
      </c>
      <c r="M250" s="3">
        <v>30483</v>
      </c>
      <c r="N250" s="4">
        <v>3911.15</v>
      </c>
      <c r="O250" s="4">
        <v>6819.83</v>
      </c>
      <c r="P250" s="4">
        <v>154319.67000000001</v>
      </c>
    </row>
    <row r="251" spans="1:16" x14ac:dyDescent="0.2">
      <c r="A251" s="5">
        <v>43831</v>
      </c>
      <c r="B251" s="2" t="s">
        <v>68</v>
      </c>
      <c r="C251" s="2" t="s">
        <v>175</v>
      </c>
      <c r="D251" s="3">
        <v>1959</v>
      </c>
      <c r="E251" s="3">
        <v>18</v>
      </c>
      <c r="F251" s="3">
        <v>1901</v>
      </c>
      <c r="G251" s="3">
        <v>23</v>
      </c>
      <c r="H251" s="3">
        <v>2354</v>
      </c>
      <c r="I251" s="4">
        <v>26.05</v>
      </c>
      <c r="J251" s="4">
        <v>4076.94</v>
      </c>
      <c r="K251" s="4">
        <v>8053.47</v>
      </c>
      <c r="L251" s="4">
        <v>350.15</v>
      </c>
      <c r="M251" s="3">
        <v>30910</v>
      </c>
      <c r="N251" s="4">
        <v>4076.94</v>
      </c>
      <c r="O251" s="4">
        <v>8053.47</v>
      </c>
      <c r="P251" s="4">
        <v>155171.07</v>
      </c>
    </row>
    <row r="252" spans="1:16" x14ac:dyDescent="0.2">
      <c r="A252" s="5">
        <v>43862</v>
      </c>
      <c r="B252" s="2" t="s">
        <v>68</v>
      </c>
      <c r="C252" s="2" t="s">
        <v>175</v>
      </c>
      <c r="D252" s="3">
        <v>1961</v>
      </c>
      <c r="E252" s="3">
        <v>18</v>
      </c>
      <c r="F252" s="3">
        <v>1901</v>
      </c>
      <c r="G252" s="3">
        <v>20</v>
      </c>
      <c r="H252" s="3">
        <v>2326</v>
      </c>
      <c r="I252" s="4">
        <v>26.37</v>
      </c>
      <c r="J252" s="4">
        <v>3954.75</v>
      </c>
      <c r="K252" s="4">
        <v>7967.68</v>
      </c>
      <c r="L252" s="4">
        <v>398.38</v>
      </c>
      <c r="M252" s="3">
        <v>30220</v>
      </c>
      <c r="N252" s="4">
        <v>3954.75</v>
      </c>
      <c r="O252" s="4">
        <v>7967.68</v>
      </c>
      <c r="P252" s="4">
        <v>145520.74</v>
      </c>
    </row>
    <row r="253" spans="1:16" x14ac:dyDescent="0.2">
      <c r="A253" s="5">
        <v>43891</v>
      </c>
      <c r="B253" s="2" t="s">
        <v>68</v>
      </c>
      <c r="C253" s="2" t="s">
        <v>175</v>
      </c>
      <c r="D253" s="3">
        <v>1949</v>
      </c>
      <c r="E253" s="3">
        <v>18</v>
      </c>
      <c r="F253" s="3">
        <v>1882</v>
      </c>
      <c r="G253" s="3">
        <v>21</v>
      </c>
      <c r="H253" s="3">
        <v>2493</v>
      </c>
      <c r="I253" s="4">
        <v>41.81</v>
      </c>
      <c r="J253" s="4">
        <v>5884.14</v>
      </c>
      <c r="K253" s="4">
        <v>10062.49</v>
      </c>
      <c r="L253" s="4">
        <v>479.17</v>
      </c>
      <c r="M253" s="3">
        <v>24065</v>
      </c>
      <c r="N253" s="4">
        <v>5884.14</v>
      </c>
      <c r="O253" s="4">
        <v>10062.49</v>
      </c>
      <c r="P253" s="4">
        <v>112431.12</v>
      </c>
    </row>
    <row r="254" spans="1:16" x14ac:dyDescent="0.2">
      <c r="A254" s="5">
        <v>43922</v>
      </c>
      <c r="B254" s="2" t="s">
        <v>69</v>
      </c>
      <c r="C254" s="2" t="s">
        <v>176</v>
      </c>
      <c r="D254" s="3">
        <v>1949</v>
      </c>
      <c r="E254" s="3">
        <v>18</v>
      </c>
      <c r="F254" s="3">
        <v>1878</v>
      </c>
      <c r="G254" s="3">
        <v>18</v>
      </c>
      <c r="H254" s="3">
        <v>2405</v>
      </c>
      <c r="I254" s="4">
        <v>36.06</v>
      </c>
      <c r="J254" s="4">
        <v>4273.08</v>
      </c>
      <c r="K254" s="4">
        <v>9058.02</v>
      </c>
      <c r="L254" s="4">
        <v>503.22</v>
      </c>
      <c r="M254" s="3">
        <v>25118</v>
      </c>
      <c r="N254" s="4">
        <v>4273.08</v>
      </c>
      <c r="O254" s="4">
        <v>9058.02</v>
      </c>
      <c r="P254" s="4">
        <v>127386.26</v>
      </c>
    </row>
    <row r="255" spans="1:16" x14ac:dyDescent="0.2">
      <c r="A255" s="5">
        <v>43952</v>
      </c>
      <c r="B255" s="2" t="s">
        <v>69</v>
      </c>
      <c r="C255" s="2" t="s">
        <v>176</v>
      </c>
      <c r="D255" s="3">
        <v>1947</v>
      </c>
      <c r="E255" s="3">
        <v>18</v>
      </c>
      <c r="F255" s="3">
        <v>1876</v>
      </c>
      <c r="G255" s="3">
        <v>19</v>
      </c>
      <c r="H255" s="3">
        <v>2435</v>
      </c>
      <c r="I255" s="4">
        <v>34.18</v>
      </c>
      <c r="J255" s="4">
        <v>4933.59</v>
      </c>
      <c r="K255" s="4">
        <v>10004.56</v>
      </c>
      <c r="L255" s="4">
        <v>526.55999999999995</v>
      </c>
      <c r="M255" s="3">
        <v>29271</v>
      </c>
      <c r="N255" s="4">
        <v>4933.59</v>
      </c>
      <c r="O255" s="4">
        <v>10004.56</v>
      </c>
      <c r="P255" s="4">
        <v>125169.60000000001</v>
      </c>
    </row>
    <row r="256" spans="1:16" x14ac:dyDescent="0.2">
      <c r="A256" s="5">
        <v>43983</v>
      </c>
      <c r="B256" s="2" t="s">
        <v>69</v>
      </c>
      <c r="C256" s="2" t="s">
        <v>176</v>
      </c>
      <c r="D256" s="3">
        <v>1944</v>
      </c>
      <c r="E256" s="3">
        <v>18</v>
      </c>
      <c r="F256" s="3">
        <v>1869</v>
      </c>
      <c r="G256" s="3">
        <v>22</v>
      </c>
      <c r="H256" s="3">
        <v>2426</v>
      </c>
      <c r="I256" s="4">
        <v>43.04</v>
      </c>
      <c r="J256" s="4">
        <v>8457.6</v>
      </c>
      <c r="K256" s="4">
        <v>13506.81</v>
      </c>
      <c r="L256" s="4">
        <v>613.95000000000005</v>
      </c>
      <c r="M256" s="3">
        <v>31382</v>
      </c>
      <c r="N256" s="4">
        <v>8457.6</v>
      </c>
      <c r="O256" s="4">
        <v>13506.81</v>
      </c>
      <c r="P256" s="4">
        <v>138046.01</v>
      </c>
    </row>
    <row r="257" spans="1:16" x14ac:dyDescent="0.2">
      <c r="A257" s="5">
        <v>44013</v>
      </c>
      <c r="B257" s="2" t="s">
        <v>69</v>
      </c>
      <c r="C257" s="2" t="s">
        <v>177</v>
      </c>
      <c r="D257" s="3">
        <v>1941</v>
      </c>
      <c r="E257" s="3">
        <v>18</v>
      </c>
      <c r="F257" s="3">
        <v>1872</v>
      </c>
      <c r="G257" s="3">
        <v>23</v>
      </c>
      <c r="H257" s="3">
        <v>2403</v>
      </c>
      <c r="I257" s="4">
        <v>39.5</v>
      </c>
      <c r="J257" s="4">
        <v>6677.58</v>
      </c>
      <c r="K257" s="4">
        <v>13485.21</v>
      </c>
      <c r="L257" s="4">
        <v>586.30999999999995</v>
      </c>
      <c r="M257" s="3">
        <v>34136</v>
      </c>
      <c r="N257" s="4">
        <v>6677.58</v>
      </c>
      <c r="O257" s="4">
        <v>13485.21</v>
      </c>
      <c r="P257" s="4">
        <v>146296.59</v>
      </c>
    </row>
    <row r="258" spans="1:16" x14ac:dyDescent="0.2">
      <c r="A258" s="5">
        <v>44044</v>
      </c>
      <c r="B258" s="2" t="s">
        <v>69</v>
      </c>
      <c r="C258" s="2" t="s">
        <v>177</v>
      </c>
      <c r="D258" s="3">
        <v>1943</v>
      </c>
      <c r="E258" s="3">
        <v>18</v>
      </c>
      <c r="F258" s="3">
        <v>1872</v>
      </c>
      <c r="G258" s="3">
        <v>21</v>
      </c>
      <c r="H258" s="3">
        <v>2557</v>
      </c>
      <c r="I258" s="4">
        <v>37.840000000000003</v>
      </c>
      <c r="J258" s="4">
        <v>6594.5</v>
      </c>
      <c r="K258" s="4">
        <v>12825.57</v>
      </c>
      <c r="L258" s="4">
        <v>610.74</v>
      </c>
      <c r="M258" s="3">
        <v>33897</v>
      </c>
      <c r="N258" s="4">
        <v>6594.5</v>
      </c>
      <c r="O258" s="4">
        <v>12825.57</v>
      </c>
      <c r="P258" s="4">
        <v>152342.07</v>
      </c>
    </row>
    <row r="259" spans="1:16" x14ac:dyDescent="0.2">
      <c r="A259" s="5">
        <v>44075</v>
      </c>
      <c r="B259" s="2" t="s">
        <v>69</v>
      </c>
      <c r="C259" s="2" t="s">
        <v>177</v>
      </c>
      <c r="D259" s="3">
        <v>1946</v>
      </c>
      <c r="E259" s="3">
        <v>18</v>
      </c>
      <c r="F259" s="3">
        <v>1873</v>
      </c>
      <c r="G259" s="3">
        <v>22</v>
      </c>
      <c r="H259" s="3">
        <v>2356</v>
      </c>
      <c r="I259" s="4">
        <v>35.96</v>
      </c>
      <c r="J259" s="4">
        <v>5747.86</v>
      </c>
      <c r="K259" s="4">
        <v>12233.29</v>
      </c>
      <c r="L259" s="4">
        <v>556.05999999999995</v>
      </c>
      <c r="M259" s="3">
        <v>34015</v>
      </c>
      <c r="N259" s="4">
        <v>5747.86</v>
      </c>
      <c r="O259" s="4">
        <v>12233.29</v>
      </c>
      <c r="P259" s="4">
        <v>153047.22</v>
      </c>
    </row>
    <row r="260" spans="1:16" x14ac:dyDescent="0.2">
      <c r="A260" s="5">
        <v>44105</v>
      </c>
      <c r="B260" s="2" t="s">
        <v>69</v>
      </c>
      <c r="C260" s="2" t="s">
        <v>178</v>
      </c>
      <c r="D260" s="3">
        <v>1959</v>
      </c>
      <c r="E260" s="3">
        <v>22</v>
      </c>
      <c r="F260" s="3">
        <v>1883</v>
      </c>
      <c r="G260" s="3">
        <v>21</v>
      </c>
      <c r="H260" s="3">
        <v>2378</v>
      </c>
      <c r="I260" s="4">
        <v>31.82</v>
      </c>
      <c r="J260" s="4">
        <v>4187.9799999999996</v>
      </c>
      <c r="K260" s="4">
        <v>10988.84</v>
      </c>
      <c r="L260" s="4">
        <v>523.28</v>
      </c>
      <c r="M260" s="3">
        <v>34535</v>
      </c>
      <c r="N260" s="4">
        <v>4187.9799999999996</v>
      </c>
      <c r="O260" s="4">
        <v>10988.84</v>
      </c>
      <c r="P260" s="4">
        <v>155879.03</v>
      </c>
    </row>
    <row r="261" spans="1:16" x14ac:dyDescent="0.2">
      <c r="A261" s="5">
        <v>44136</v>
      </c>
      <c r="B261" s="2" t="s">
        <v>69</v>
      </c>
      <c r="C261" s="2" t="s">
        <v>178</v>
      </c>
      <c r="D261" s="3">
        <v>1959</v>
      </c>
      <c r="E261" s="3">
        <v>22</v>
      </c>
      <c r="F261" s="3">
        <v>1882</v>
      </c>
      <c r="G261" s="3">
        <v>20</v>
      </c>
      <c r="H261" s="3">
        <v>2438</v>
      </c>
      <c r="I261" s="4">
        <v>34.380000000000003</v>
      </c>
      <c r="J261" s="4">
        <v>5305.2</v>
      </c>
      <c r="K261" s="4">
        <v>13372.72</v>
      </c>
      <c r="L261" s="4">
        <v>668.64</v>
      </c>
      <c r="M261" s="3">
        <v>38895</v>
      </c>
      <c r="N261" s="4">
        <v>5305.2</v>
      </c>
      <c r="O261" s="4">
        <v>13372.72</v>
      </c>
      <c r="P261" s="4">
        <v>172713.14</v>
      </c>
    </row>
    <row r="262" spans="1:16" x14ac:dyDescent="0.2">
      <c r="A262" s="5">
        <v>44166</v>
      </c>
      <c r="B262" s="2" t="s">
        <v>69</v>
      </c>
      <c r="C262" s="2" t="s">
        <v>178</v>
      </c>
      <c r="D262" s="3">
        <v>1962</v>
      </c>
      <c r="E262" s="3">
        <v>22</v>
      </c>
      <c r="F262" s="3">
        <v>1888</v>
      </c>
      <c r="G262" s="3">
        <v>22</v>
      </c>
      <c r="H262" s="3">
        <v>2490</v>
      </c>
      <c r="I262" s="4">
        <v>40.880000000000003</v>
      </c>
      <c r="J262" s="4">
        <v>7391.7</v>
      </c>
      <c r="K262" s="4">
        <v>13745.52</v>
      </c>
      <c r="L262" s="4">
        <v>624.79999999999995</v>
      </c>
      <c r="M262" s="3">
        <v>33627</v>
      </c>
      <c r="N262" s="4">
        <v>7391.7</v>
      </c>
      <c r="O262" s="4">
        <v>13745.52</v>
      </c>
      <c r="P262" s="4">
        <v>186467.69</v>
      </c>
    </row>
    <row r="263" spans="1:16" x14ac:dyDescent="0.2">
      <c r="A263" s="5">
        <v>44197</v>
      </c>
      <c r="B263" s="2" t="s">
        <v>69</v>
      </c>
      <c r="C263" s="2" t="s">
        <v>179</v>
      </c>
      <c r="D263" s="3">
        <v>1965</v>
      </c>
      <c r="E263" s="3">
        <v>22</v>
      </c>
      <c r="F263" s="3">
        <v>1885</v>
      </c>
      <c r="G263" s="3">
        <v>20</v>
      </c>
      <c r="H263" s="3">
        <v>2412</v>
      </c>
      <c r="I263" s="4">
        <v>40.78</v>
      </c>
      <c r="J263" s="4">
        <v>7105.74</v>
      </c>
      <c r="K263" s="4">
        <v>14494.45</v>
      </c>
      <c r="L263" s="4">
        <v>724.72</v>
      </c>
      <c r="M263" s="3">
        <v>35543</v>
      </c>
      <c r="N263" s="4">
        <v>7105.74</v>
      </c>
      <c r="O263" s="4">
        <v>14494.45</v>
      </c>
      <c r="P263" s="4">
        <v>184744.5</v>
      </c>
    </row>
    <row r="264" spans="1:16" x14ac:dyDescent="0.2">
      <c r="A264" s="5">
        <v>44228</v>
      </c>
      <c r="B264" s="2" t="s">
        <v>69</v>
      </c>
      <c r="C264" s="2" t="s">
        <v>179</v>
      </c>
      <c r="D264" s="3">
        <v>1957</v>
      </c>
      <c r="E264" s="3">
        <v>24</v>
      </c>
      <c r="F264" s="3">
        <v>1895</v>
      </c>
      <c r="G264" s="3">
        <v>20</v>
      </c>
      <c r="H264" s="3">
        <v>2533</v>
      </c>
      <c r="I264" s="4">
        <v>45.58</v>
      </c>
      <c r="J264" s="4">
        <v>7166.14</v>
      </c>
      <c r="K264" s="4">
        <v>16274.64</v>
      </c>
      <c r="L264" s="4">
        <v>813.73</v>
      </c>
      <c r="M264" s="3">
        <v>35707</v>
      </c>
      <c r="N264" s="4">
        <v>7166.14</v>
      </c>
      <c r="O264" s="4">
        <v>16274.64</v>
      </c>
      <c r="P264" s="4">
        <v>199638.26</v>
      </c>
    </row>
    <row r="265" spans="1:16" x14ac:dyDescent="0.2">
      <c r="A265" s="5">
        <v>44256</v>
      </c>
      <c r="B265" s="2" t="s">
        <v>69</v>
      </c>
      <c r="C265" s="2" t="s">
        <v>179</v>
      </c>
      <c r="D265" s="3">
        <v>1968</v>
      </c>
      <c r="E265" s="3">
        <v>24</v>
      </c>
      <c r="F265" s="3">
        <v>1910</v>
      </c>
      <c r="G265" s="3">
        <v>21</v>
      </c>
      <c r="H265" s="3">
        <v>2424</v>
      </c>
      <c r="I265" s="4">
        <v>43.26</v>
      </c>
      <c r="J265" s="4">
        <v>6454.82</v>
      </c>
      <c r="K265" s="4">
        <v>13989.47</v>
      </c>
      <c r="L265" s="4">
        <v>666.17</v>
      </c>
      <c r="M265" s="3">
        <v>32341</v>
      </c>
      <c r="N265" s="4">
        <v>6454.82</v>
      </c>
      <c r="O265" s="4">
        <v>13989.47</v>
      </c>
      <c r="P265" s="4">
        <v>202958.13</v>
      </c>
    </row>
    <row r="266" spans="1:16" x14ac:dyDescent="0.2">
      <c r="A266" s="5">
        <v>44287</v>
      </c>
      <c r="B266" s="2" t="s">
        <v>70</v>
      </c>
      <c r="C266" s="2" t="s">
        <v>180</v>
      </c>
      <c r="D266" s="3">
        <v>1968</v>
      </c>
      <c r="E266" s="3">
        <v>24</v>
      </c>
      <c r="F266" s="3">
        <v>1912</v>
      </c>
      <c r="G266" s="3">
        <v>19</v>
      </c>
      <c r="H266" s="3">
        <v>2544</v>
      </c>
      <c r="I266" s="4">
        <v>38.5</v>
      </c>
      <c r="J266" s="4">
        <v>5008.47</v>
      </c>
      <c r="K266" s="4">
        <v>13306.87</v>
      </c>
      <c r="L266" s="4">
        <v>700.36</v>
      </c>
      <c r="M266" s="3">
        <v>34560</v>
      </c>
      <c r="N266" s="4">
        <v>5008.47</v>
      </c>
      <c r="O266" s="4">
        <v>13306.87</v>
      </c>
      <c r="P266" s="4">
        <v>205569.71</v>
      </c>
    </row>
    <row r="267" spans="1:16" x14ac:dyDescent="0.2">
      <c r="A267" s="5">
        <v>44317</v>
      </c>
      <c r="B267" s="2" t="s">
        <v>70</v>
      </c>
      <c r="C267" s="2" t="s">
        <v>180</v>
      </c>
      <c r="D267" s="3">
        <v>1973</v>
      </c>
      <c r="E267" s="3">
        <v>23</v>
      </c>
      <c r="F267" s="3">
        <v>1908</v>
      </c>
      <c r="G267" s="3">
        <v>20</v>
      </c>
      <c r="H267" s="3">
        <v>2441</v>
      </c>
      <c r="I267" s="4">
        <v>46.66</v>
      </c>
      <c r="J267" s="4">
        <v>7543.38</v>
      </c>
      <c r="K267" s="4">
        <v>15679.15</v>
      </c>
      <c r="L267" s="4">
        <v>783.96</v>
      </c>
      <c r="M267" s="3">
        <v>33604</v>
      </c>
      <c r="N267" s="4">
        <v>7543.38</v>
      </c>
      <c r="O267" s="4">
        <v>15679.15</v>
      </c>
      <c r="P267" s="4">
        <v>221519.45</v>
      </c>
    </row>
    <row r="268" spans="1:16" x14ac:dyDescent="0.2">
      <c r="A268" s="5">
        <v>44348</v>
      </c>
      <c r="B268" s="2" t="s">
        <v>70</v>
      </c>
      <c r="C268" s="2" t="s">
        <v>180</v>
      </c>
      <c r="D268" s="3">
        <v>1981</v>
      </c>
      <c r="E268" s="3">
        <v>23</v>
      </c>
      <c r="F268" s="3">
        <v>1916</v>
      </c>
      <c r="G268" s="3">
        <v>22</v>
      </c>
      <c r="H268" s="3">
        <v>2549</v>
      </c>
      <c r="I268" s="4">
        <v>50.73</v>
      </c>
      <c r="J268" s="4">
        <v>8641.75</v>
      </c>
      <c r="K268" s="4">
        <v>15546.94</v>
      </c>
      <c r="L268" s="4">
        <v>706.68</v>
      </c>
      <c r="M268" s="3">
        <v>30647</v>
      </c>
      <c r="N268" s="4">
        <v>8641.75</v>
      </c>
      <c r="O268" s="4">
        <v>15546.94</v>
      </c>
      <c r="P268" s="4">
        <v>228147.61</v>
      </c>
    </row>
    <row r="269" spans="1:16" x14ac:dyDescent="0.2">
      <c r="A269" s="5">
        <v>44378</v>
      </c>
      <c r="B269" s="2" t="s">
        <v>70</v>
      </c>
      <c r="C269" s="2" t="s">
        <v>181</v>
      </c>
      <c r="D269" s="3">
        <v>1988</v>
      </c>
      <c r="E269" s="3">
        <v>22</v>
      </c>
      <c r="F269" s="3">
        <v>1922</v>
      </c>
      <c r="G269" s="3">
        <v>21</v>
      </c>
      <c r="H269" s="3">
        <v>2619</v>
      </c>
      <c r="I269" s="4">
        <v>45.89</v>
      </c>
      <c r="J269" s="4">
        <v>6315.9</v>
      </c>
      <c r="K269" s="4">
        <v>13157.16</v>
      </c>
      <c r="L269" s="4">
        <v>626.53</v>
      </c>
      <c r="M269" s="3">
        <v>28669</v>
      </c>
      <c r="N269" s="4">
        <v>6315.9</v>
      </c>
      <c r="O269" s="4">
        <v>13157.16</v>
      </c>
      <c r="P269" s="4">
        <v>233557.19</v>
      </c>
    </row>
    <row r="270" spans="1:16" x14ac:dyDescent="0.2">
      <c r="A270" s="5">
        <v>44409</v>
      </c>
      <c r="B270" s="2" t="s">
        <v>70</v>
      </c>
      <c r="C270" s="2" t="s">
        <v>181</v>
      </c>
      <c r="D270" s="3">
        <v>2002</v>
      </c>
      <c r="E270" s="3">
        <v>25</v>
      </c>
      <c r="F270" s="3">
        <v>1940</v>
      </c>
      <c r="G270" s="3">
        <v>21</v>
      </c>
      <c r="H270" s="3">
        <v>2442</v>
      </c>
      <c r="I270" s="4">
        <v>44.4</v>
      </c>
      <c r="J270" s="4">
        <v>5619.18</v>
      </c>
      <c r="K270" s="4">
        <v>13213.91</v>
      </c>
      <c r="L270" s="4">
        <v>629.23</v>
      </c>
      <c r="M270" s="3">
        <v>29760</v>
      </c>
      <c r="N270" s="4">
        <v>5619.18</v>
      </c>
      <c r="O270" s="4">
        <v>13213.91</v>
      </c>
      <c r="P270" s="4">
        <v>248281.78</v>
      </c>
    </row>
    <row r="271" spans="1:16" x14ac:dyDescent="0.2">
      <c r="A271" s="5">
        <v>44440</v>
      </c>
      <c r="B271" s="2" t="s">
        <v>70</v>
      </c>
      <c r="C271" s="2" t="s">
        <v>181</v>
      </c>
      <c r="D271" s="3">
        <v>2005</v>
      </c>
      <c r="E271" s="3">
        <v>25</v>
      </c>
      <c r="F271" s="3">
        <v>1942</v>
      </c>
      <c r="G271" s="3">
        <v>21</v>
      </c>
      <c r="H271" s="3">
        <v>2481</v>
      </c>
      <c r="I271" s="4">
        <v>46.54</v>
      </c>
      <c r="J271" s="4">
        <v>6721.36</v>
      </c>
      <c r="K271" s="4">
        <v>14390.17</v>
      </c>
      <c r="L271" s="4">
        <v>685.25</v>
      </c>
      <c r="M271" s="3">
        <v>30923</v>
      </c>
      <c r="N271" s="4">
        <v>6721.36</v>
      </c>
      <c r="O271" s="4">
        <v>14390.17</v>
      </c>
      <c r="P271" s="4">
        <v>258065.65</v>
      </c>
    </row>
    <row r="272" spans="1:16" x14ac:dyDescent="0.2">
      <c r="A272" s="5">
        <v>44470</v>
      </c>
      <c r="B272" s="2" t="s">
        <v>70</v>
      </c>
      <c r="C272" s="2" t="s">
        <v>182</v>
      </c>
      <c r="D272" s="3">
        <v>2016</v>
      </c>
      <c r="E272" s="3">
        <v>25</v>
      </c>
      <c r="F272" s="3">
        <v>1951</v>
      </c>
      <c r="G272" s="3">
        <v>20</v>
      </c>
      <c r="H272" s="3">
        <v>2773</v>
      </c>
      <c r="I272" s="4">
        <v>52.81</v>
      </c>
      <c r="J272" s="4">
        <v>6642.62</v>
      </c>
      <c r="K272" s="4">
        <v>16272.17</v>
      </c>
      <c r="L272" s="4">
        <v>813.61</v>
      </c>
      <c r="M272" s="3">
        <v>30811</v>
      </c>
      <c r="N272" s="4">
        <v>6642.62</v>
      </c>
      <c r="O272" s="4">
        <v>16272.17</v>
      </c>
      <c r="P272" s="4">
        <v>257377.83</v>
      </c>
    </row>
    <row r="273" spans="1:16" x14ac:dyDescent="0.2">
      <c r="A273" s="5">
        <v>44501</v>
      </c>
      <c r="B273" s="2" t="s">
        <v>70</v>
      </c>
      <c r="C273" s="2" t="s">
        <v>182</v>
      </c>
      <c r="D273" s="3">
        <v>2035</v>
      </c>
      <c r="E273" s="3">
        <v>25</v>
      </c>
      <c r="F273" s="3">
        <v>1969</v>
      </c>
      <c r="G273" s="3">
        <v>20</v>
      </c>
      <c r="H273" s="3">
        <v>2515</v>
      </c>
      <c r="I273" s="4">
        <v>45.76</v>
      </c>
      <c r="J273" s="4">
        <v>4882.38</v>
      </c>
      <c r="K273" s="4">
        <v>13396.3</v>
      </c>
      <c r="L273" s="4">
        <v>669.82</v>
      </c>
      <c r="M273" s="3">
        <v>29278</v>
      </c>
      <c r="N273" s="4">
        <v>4882.38</v>
      </c>
      <c r="O273" s="4">
        <v>13396.3</v>
      </c>
      <c r="P273" s="4">
        <v>255370.38</v>
      </c>
    </row>
    <row r="274" spans="1:16" x14ac:dyDescent="0.2">
      <c r="A274" s="5">
        <v>44531</v>
      </c>
      <c r="B274" s="2" t="s">
        <v>70</v>
      </c>
      <c r="C274" s="2" t="s">
        <v>182</v>
      </c>
      <c r="D274" s="3">
        <v>2053</v>
      </c>
      <c r="E274" s="3">
        <v>27</v>
      </c>
      <c r="F274" s="3">
        <v>1987</v>
      </c>
      <c r="G274" s="3">
        <v>23</v>
      </c>
      <c r="H274" s="3">
        <v>2550</v>
      </c>
      <c r="I274" s="4">
        <v>44.96</v>
      </c>
      <c r="J274" s="4">
        <v>6688.74</v>
      </c>
      <c r="K274" s="4">
        <v>12327.35</v>
      </c>
      <c r="L274" s="4">
        <v>535.97</v>
      </c>
      <c r="M274" s="3">
        <v>27416</v>
      </c>
      <c r="N274" s="4">
        <v>6688.74</v>
      </c>
      <c r="O274" s="4">
        <v>12327.35</v>
      </c>
      <c r="P274" s="4">
        <v>264025.78999999998</v>
      </c>
    </row>
    <row r="275" spans="1:16" x14ac:dyDescent="0.2">
      <c r="A275" s="5">
        <v>44562</v>
      </c>
      <c r="B275" s="2" t="s">
        <v>70</v>
      </c>
      <c r="C275" s="2" t="s">
        <v>183</v>
      </c>
      <c r="D275" s="3">
        <v>2051</v>
      </c>
      <c r="E275" s="3">
        <v>27</v>
      </c>
      <c r="F275" s="3">
        <v>1985</v>
      </c>
      <c r="G275" s="3">
        <v>20</v>
      </c>
      <c r="H275" s="3">
        <v>2706</v>
      </c>
      <c r="I275" s="4">
        <v>49.04</v>
      </c>
      <c r="J275" s="4">
        <v>7111.68</v>
      </c>
      <c r="K275" s="4">
        <v>12835.51</v>
      </c>
      <c r="L275" s="4">
        <v>641.78</v>
      </c>
      <c r="M275" s="3">
        <v>26175</v>
      </c>
      <c r="N275" s="4">
        <v>7111.68</v>
      </c>
      <c r="O275" s="4">
        <v>12835.51</v>
      </c>
      <c r="P275" s="4">
        <v>262191.59000000003</v>
      </c>
    </row>
    <row r="276" spans="1:16" x14ac:dyDescent="0.2">
      <c r="A276" s="5">
        <v>44593</v>
      </c>
      <c r="B276" s="2" t="s">
        <v>70</v>
      </c>
      <c r="C276" s="2" t="s">
        <v>183</v>
      </c>
      <c r="D276" s="3">
        <v>2060</v>
      </c>
      <c r="E276" s="3">
        <v>27</v>
      </c>
      <c r="F276" s="3">
        <v>2001</v>
      </c>
      <c r="G276" s="3">
        <v>20</v>
      </c>
      <c r="H276" s="3">
        <v>2534</v>
      </c>
      <c r="I276" s="4">
        <v>44.63</v>
      </c>
      <c r="J276" s="4">
        <v>5403.3</v>
      </c>
      <c r="K276" s="4">
        <v>11688.43</v>
      </c>
      <c r="L276" s="4">
        <v>584.41999999999996</v>
      </c>
      <c r="M276" s="3">
        <v>26190</v>
      </c>
      <c r="N276" s="4">
        <v>5403.3</v>
      </c>
      <c r="O276" s="4">
        <v>11688.43</v>
      </c>
      <c r="P276" s="4">
        <v>250535.81</v>
      </c>
    </row>
    <row r="277" spans="1:16" x14ac:dyDescent="0.2">
      <c r="A277" s="5">
        <v>44621</v>
      </c>
      <c r="B277" s="2" t="s">
        <v>70</v>
      </c>
      <c r="C277" s="2" t="s">
        <v>183</v>
      </c>
      <c r="D277" s="3">
        <v>2065</v>
      </c>
      <c r="E277" s="3">
        <v>27</v>
      </c>
      <c r="F277" s="3">
        <v>2011</v>
      </c>
      <c r="G277" s="3">
        <v>21</v>
      </c>
      <c r="H277" s="3">
        <v>2715</v>
      </c>
      <c r="I277" s="4">
        <v>47.18</v>
      </c>
      <c r="J277" s="4">
        <v>5523.76</v>
      </c>
      <c r="K277" s="4">
        <v>13848.61</v>
      </c>
      <c r="L277" s="4">
        <v>659.46</v>
      </c>
      <c r="M277" s="3">
        <v>29355</v>
      </c>
      <c r="N277" s="4">
        <v>5523.76</v>
      </c>
      <c r="O277" s="4">
        <v>13848.61</v>
      </c>
      <c r="P277" s="4">
        <v>261810.64</v>
      </c>
    </row>
    <row r="278" spans="1:16" x14ac:dyDescent="0.2">
      <c r="A278" s="5">
        <v>44652</v>
      </c>
      <c r="B278" s="2" t="s">
        <v>71</v>
      </c>
      <c r="C278" s="2" t="s">
        <v>184</v>
      </c>
      <c r="D278" s="3">
        <v>2079</v>
      </c>
      <c r="E278" s="3">
        <v>27</v>
      </c>
      <c r="F278" s="3">
        <v>2028</v>
      </c>
      <c r="G278" s="3">
        <v>19</v>
      </c>
      <c r="H278" s="3">
        <v>2599</v>
      </c>
      <c r="I278" s="4">
        <v>43.77</v>
      </c>
      <c r="J278" s="4">
        <v>5527.62</v>
      </c>
      <c r="K278" s="4">
        <v>12922.43</v>
      </c>
      <c r="L278" s="4">
        <v>680.13</v>
      </c>
      <c r="M278" s="3">
        <v>29526</v>
      </c>
      <c r="N278" s="4">
        <v>5527.62</v>
      </c>
      <c r="O278" s="4">
        <v>12922.43</v>
      </c>
      <c r="P278" s="4">
        <v>264592.84999999998</v>
      </c>
    </row>
    <row r="279" spans="1:16" x14ac:dyDescent="0.2">
      <c r="A279" s="5">
        <v>44682</v>
      </c>
      <c r="B279" s="2" t="s">
        <v>71</v>
      </c>
      <c r="C279" s="2" t="s">
        <v>184</v>
      </c>
      <c r="D279" s="3">
        <v>2092</v>
      </c>
      <c r="E279" s="3">
        <v>29</v>
      </c>
      <c r="F279" s="3">
        <v>2041</v>
      </c>
      <c r="G279" s="3">
        <v>21</v>
      </c>
      <c r="H279" s="3">
        <v>2618</v>
      </c>
      <c r="I279" s="4">
        <v>44.45</v>
      </c>
      <c r="J279" s="4">
        <v>4658.6400000000003</v>
      </c>
      <c r="K279" s="4">
        <v>12112.2</v>
      </c>
      <c r="L279" s="4">
        <v>576.77</v>
      </c>
      <c r="M279" s="3">
        <v>27249</v>
      </c>
      <c r="N279" s="4">
        <v>4658.6400000000003</v>
      </c>
      <c r="O279" s="4">
        <v>12112.2</v>
      </c>
      <c r="P279" s="4">
        <v>255688.63</v>
      </c>
    </row>
    <row r="280" spans="1:16" x14ac:dyDescent="0.2">
      <c r="A280" s="5">
        <v>44713</v>
      </c>
      <c r="B280" s="2" t="s">
        <v>71</v>
      </c>
      <c r="C280" s="2" t="s">
        <v>184</v>
      </c>
      <c r="D280" s="3">
        <v>2096</v>
      </c>
      <c r="E280" s="3">
        <v>29</v>
      </c>
      <c r="F280" s="3">
        <v>2048</v>
      </c>
      <c r="G280" s="3">
        <v>22</v>
      </c>
      <c r="H280" s="3">
        <v>2655</v>
      </c>
      <c r="I280" s="4">
        <v>37.25</v>
      </c>
      <c r="J280" s="4">
        <v>3970.15</v>
      </c>
      <c r="K280" s="4">
        <v>9813.67</v>
      </c>
      <c r="L280" s="4">
        <v>446.08</v>
      </c>
      <c r="M280" s="3">
        <v>26347</v>
      </c>
      <c r="N280" s="4">
        <v>3970.15</v>
      </c>
      <c r="O280" s="4">
        <v>9813.67</v>
      </c>
      <c r="P280" s="4">
        <v>242033.24</v>
      </c>
    </row>
    <row r="281" spans="1:16" x14ac:dyDescent="0.2">
      <c r="A281" s="5">
        <v>44743</v>
      </c>
      <c r="B281" s="2" t="s">
        <v>71</v>
      </c>
      <c r="C281" s="2" t="s">
        <v>185</v>
      </c>
      <c r="D281" s="3">
        <v>2104</v>
      </c>
      <c r="E281" s="3">
        <v>29</v>
      </c>
      <c r="F281" s="3">
        <v>2054</v>
      </c>
      <c r="G281" s="3">
        <v>21</v>
      </c>
      <c r="H281" s="3">
        <v>2681</v>
      </c>
      <c r="I281" s="4">
        <v>34.32</v>
      </c>
      <c r="J281" s="4">
        <v>3774.3</v>
      </c>
      <c r="K281" s="4">
        <v>9786.42</v>
      </c>
      <c r="L281" s="4">
        <v>466.02</v>
      </c>
      <c r="M281" s="3">
        <v>28516</v>
      </c>
      <c r="N281" s="4">
        <v>3774.3</v>
      </c>
      <c r="O281" s="4">
        <v>9786.42</v>
      </c>
      <c r="P281" s="4">
        <v>264700.31</v>
      </c>
    </row>
    <row r="282" spans="1:16" x14ac:dyDescent="0.2">
      <c r="A282" s="5">
        <v>44774</v>
      </c>
      <c r="B282" s="2" t="s">
        <v>71</v>
      </c>
      <c r="C282" s="2" t="s">
        <v>185</v>
      </c>
      <c r="D282" s="3">
        <v>2111</v>
      </c>
      <c r="E282" s="3">
        <v>29</v>
      </c>
      <c r="F282" s="3">
        <v>2062</v>
      </c>
      <c r="G282" s="3">
        <v>20</v>
      </c>
      <c r="H282" s="3">
        <v>2718</v>
      </c>
      <c r="I282" s="4">
        <v>39.31</v>
      </c>
      <c r="J282" s="4">
        <v>5458.46</v>
      </c>
      <c r="K282" s="4">
        <v>11590.65</v>
      </c>
      <c r="L282" s="4">
        <v>579.53</v>
      </c>
      <c r="M282" s="3">
        <v>29483</v>
      </c>
      <c r="N282" s="4">
        <v>5458.46</v>
      </c>
      <c r="O282" s="4">
        <v>11590.65</v>
      </c>
      <c r="P282" s="4">
        <v>278172.42</v>
      </c>
    </row>
    <row r="283" spans="1:16" x14ac:dyDescent="0.2">
      <c r="A283" s="5">
        <v>44805</v>
      </c>
      <c r="B283" s="2" t="s">
        <v>71</v>
      </c>
      <c r="C283" s="2" t="s">
        <v>185</v>
      </c>
      <c r="D283" s="3">
        <v>2126</v>
      </c>
      <c r="E283" s="3">
        <v>29</v>
      </c>
      <c r="F283" s="3">
        <v>2076</v>
      </c>
      <c r="G283" s="3">
        <v>22</v>
      </c>
      <c r="H283" s="3">
        <v>2778</v>
      </c>
      <c r="I283" s="4">
        <v>45.48</v>
      </c>
      <c r="J283" s="4">
        <v>6260.58</v>
      </c>
      <c r="K283" s="4">
        <v>13539.67</v>
      </c>
      <c r="L283" s="4">
        <v>615.44000000000005</v>
      </c>
      <c r="M283" s="3">
        <v>29770</v>
      </c>
      <c r="N283" s="4">
        <v>6260.58</v>
      </c>
      <c r="O283" s="4">
        <v>13539.67</v>
      </c>
      <c r="P283" s="4">
        <v>269771.53000000003</v>
      </c>
    </row>
    <row r="284" spans="1:16" x14ac:dyDescent="0.2">
      <c r="A284" s="5">
        <v>44835</v>
      </c>
      <c r="B284" s="2" t="s">
        <v>71</v>
      </c>
      <c r="C284" s="2" t="s">
        <v>186</v>
      </c>
      <c r="D284" s="3">
        <v>2137</v>
      </c>
      <c r="E284" s="3">
        <v>29</v>
      </c>
      <c r="F284" s="3">
        <v>2071</v>
      </c>
      <c r="G284" s="3">
        <v>19</v>
      </c>
      <c r="H284" s="3">
        <v>3009</v>
      </c>
      <c r="I284" s="4">
        <v>32.520000000000003</v>
      </c>
      <c r="J284" s="4">
        <v>4194.37</v>
      </c>
      <c r="K284" s="4">
        <v>9124.11</v>
      </c>
      <c r="L284" s="4">
        <v>480.22</v>
      </c>
      <c r="M284" s="3">
        <v>28059</v>
      </c>
      <c r="N284" s="4">
        <v>4194.37</v>
      </c>
      <c r="O284" s="4">
        <v>9124.11</v>
      </c>
      <c r="P284" s="4">
        <v>277771.8</v>
      </c>
    </row>
    <row r="285" spans="1:16" x14ac:dyDescent="0.2">
      <c r="A285" s="5">
        <v>44866</v>
      </c>
      <c r="B285" s="2" t="s">
        <v>71</v>
      </c>
      <c r="C285" s="2" t="s">
        <v>186</v>
      </c>
      <c r="D285" s="3">
        <v>2155</v>
      </c>
      <c r="E285" s="3">
        <v>29</v>
      </c>
      <c r="F285" s="3">
        <v>2087</v>
      </c>
      <c r="G285" s="3">
        <v>21</v>
      </c>
      <c r="H285" s="3">
        <v>2870</v>
      </c>
      <c r="I285" s="4">
        <v>39.61</v>
      </c>
      <c r="J285" s="4">
        <v>5947.05</v>
      </c>
      <c r="K285" s="4">
        <v>12011.08</v>
      </c>
      <c r="L285" s="4">
        <v>571.96</v>
      </c>
      <c r="M285" s="3">
        <v>30321</v>
      </c>
      <c r="N285" s="4">
        <v>5947.05</v>
      </c>
      <c r="O285" s="4">
        <v>12011.08</v>
      </c>
      <c r="P285" s="4">
        <v>286429.84999999998</v>
      </c>
    </row>
    <row r="286" spans="1:16" x14ac:dyDescent="0.2">
      <c r="A286" s="5">
        <v>44896</v>
      </c>
      <c r="B286" s="2" t="s">
        <v>71</v>
      </c>
      <c r="C286" s="2" t="s">
        <v>186</v>
      </c>
      <c r="D286" s="3">
        <v>2168</v>
      </c>
      <c r="E286" s="3">
        <v>29</v>
      </c>
      <c r="F286" s="3">
        <v>2099</v>
      </c>
      <c r="G286" s="3">
        <v>22</v>
      </c>
      <c r="H286" s="3">
        <v>2897</v>
      </c>
      <c r="I286" s="4">
        <v>42.5</v>
      </c>
      <c r="J286" s="4">
        <v>8704.49</v>
      </c>
      <c r="K286" s="4">
        <v>11608.46</v>
      </c>
      <c r="L286" s="4">
        <v>527.66</v>
      </c>
      <c r="M286" s="3">
        <v>27317</v>
      </c>
      <c r="N286" s="4">
        <v>8704.49</v>
      </c>
      <c r="O286" s="4">
        <v>11608.46</v>
      </c>
      <c r="P286" s="4">
        <v>280192.81</v>
      </c>
    </row>
    <row r="287" spans="1:16" x14ac:dyDescent="0.2">
      <c r="A287" s="5">
        <v>44927</v>
      </c>
      <c r="B287" s="2" t="s">
        <v>71</v>
      </c>
      <c r="C287" s="2" t="s">
        <v>187</v>
      </c>
      <c r="D287" s="3">
        <v>2179</v>
      </c>
      <c r="E287" s="3">
        <v>29</v>
      </c>
      <c r="F287" s="3">
        <v>2131</v>
      </c>
      <c r="G287" s="3">
        <v>21</v>
      </c>
      <c r="H287" s="3">
        <v>2803</v>
      </c>
      <c r="I287" s="4">
        <v>37.869999999999997</v>
      </c>
      <c r="J287" s="4">
        <v>5168.47</v>
      </c>
      <c r="K287" s="4">
        <v>10206.26</v>
      </c>
      <c r="L287" s="4">
        <v>486.01</v>
      </c>
      <c r="M287" s="3">
        <v>26954</v>
      </c>
      <c r="N287" s="4">
        <v>5168.47</v>
      </c>
      <c r="O287" s="4">
        <v>10206.26</v>
      </c>
      <c r="P287" s="4">
        <v>268023.51</v>
      </c>
    </row>
    <row r="288" spans="1:16" x14ac:dyDescent="0.2">
      <c r="A288" s="5">
        <v>44958</v>
      </c>
      <c r="B288" s="2" t="s">
        <v>71</v>
      </c>
      <c r="C288" s="2" t="s">
        <v>187</v>
      </c>
      <c r="D288" s="3">
        <v>2186</v>
      </c>
      <c r="E288" s="3">
        <v>28</v>
      </c>
      <c r="F288" s="3">
        <v>2135</v>
      </c>
      <c r="G288" s="3">
        <v>20</v>
      </c>
      <c r="H288" s="3">
        <v>2841</v>
      </c>
      <c r="I288" s="4">
        <v>38.54</v>
      </c>
      <c r="J288" s="4">
        <v>4356.4799999999996</v>
      </c>
      <c r="K288" s="4">
        <v>10049.969999999999</v>
      </c>
      <c r="L288" s="4">
        <v>502.5</v>
      </c>
      <c r="M288" s="3">
        <v>26075</v>
      </c>
      <c r="N288" s="4">
        <v>4356.4799999999996</v>
      </c>
      <c r="O288" s="4">
        <v>10049.969999999999</v>
      </c>
      <c r="P288" s="4">
        <v>255832.22</v>
      </c>
    </row>
    <row r="289" spans="1:16" x14ac:dyDescent="0.2">
      <c r="A289" s="5">
        <v>44986</v>
      </c>
      <c r="B289" s="2" t="s">
        <v>71</v>
      </c>
      <c r="C289" s="2" t="s">
        <v>187</v>
      </c>
      <c r="D289" s="3">
        <v>2191</v>
      </c>
      <c r="E289" s="3">
        <v>28</v>
      </c>
      <c r="F289" s="3">
        <v>2138</v>
      </c>
      <c r="G289" s="3">
        <v>21</v>
      </c>
      <c r="H289" s="3">
        <v>2833</v>
      </c>
      <c r="I289" s="4">
        <v>37.700000000000003</v>
      </c>
      <c r="J289" s="4">
        <v>4747.8500000000004</v>
      </c>
      <c r="K289" s="4">
        <v>10285.83</v>
      </c>
      <c r="L289" s="4">
        <v>489.8</v>
      </c>
      <c r="M289" s="3">
        <v>27280</v>
      </c>
      <c r="N289" s="4">
        <v>4747.8500000000004</v>
      </c>
      <c r="O289" s="4">
        <v>10285.83</v>
      </c>
      <c r="P289" s="4">
        <v>256327.04000000001</v>
      </c>
    </row>
    <row r="290" spans="1:16" x14ac:dyDescent="0.2">
      <c r="A290" s="5">
        <v>45017</v>
      </c>
      <c r="B290" s="2" t="s">
        <v>72</v>
      </c>
      <c r="C290" s="2" t="s">
        <v>188</v>
      </c>
      <c r="D290" s="3">
        <v>2202</v>
      </c>
      <c r="E290" s="3">
        <v>28</v>
      </c>
      <c r="F290" s="3">
        <v>2139</v>
      </c>
      <c r="G290" s="3">
        <v>17</v>
      </c>
      <c r="H290" s="3">
        <v>2829</v>
      </c>
      <c r="I290" s="4">
        <v>29</v>
      </c>
      <c r="J290" s="4">
        <v>3795.9</v>
      </c>
      <c r="K290" s="4">
        <v>8793.39</v>
      </c>
      <c r="L290" s="4">
        <v>517.26</v>
      </c>
      <c r="M290" s="3">
        <v>30324</v>
      </c>
      <c r="N290" s="4">
        <v>3795.9</v>
      </c>
      <c r="O290" s="4">
        <v>8793.39</v>
      </c>
      <c r="P290" s="4">
        <v>270184.90000000002</v>
      </c>
    </row>
    <row r="291" spans="1:16" x14ac:dyDescent="0.2">
      <c r="A291" s="5">
        <v>45047</v>
      </c>
      <c r="B291" s="2" t="s">
        <v>72</v>
      </c>
      <c r="C291" s="2" t="s">
        <v>188</v>
      </c>
      <c r="D291" s="3">
        <v>2213</v>
      </c>
      <c r="E291" s="3">
        <v>28</v>
      </c>
      <c r="F291" s="3">
        <v>2151</v>
      </c>
      <c r="G291" s="3">
        <v>22</v>
      </c>
      <c r="H291" s="3">
        <v>2921</v>
      </c>
      <c r="I291" s="4">
        <v>41.95</v>
      </c>
      <c r="J291" s="4">
        <v>5732.18</v>
      </c>
      <c r="K291" s="4">
        <v>13214.42</v>
      </c>
      <c r="L291" s="4">
        <v>600.66</v>
      </c>
      <c r="M291" s="3">
        <v>31497</v>
      </c>
      <c r="N291" s="4">
        <v>5732.18</v>
      </c>
      <c r="O291" s="4">
        <v>13214.42</v>
      </c>
      <c r="P291" s="4">
        <v>281813.95</v>
      </c>
    </row>
    <row r="292" spans="1:16" x14ac:dyDescent="0.2">
      <c r="A292" s="5">
        <v>45078</v>
      </c>
      <c r="B292" s="2" t="s">
        <v>72</v>
      </c>
      <c r="C292" s="2" t="s">
        <v>188</v>
      </c>
      <c r="D292" s="3">
        <v>2232</v>
      </c>
      <c r="E292" s="3">
        <v>17</v>
      </c>
      <c r="F292" s="3">
        <v>2158</v>
      </c>
      <c r="G292" s="3">
        <v>21</v>
      </c>
      <c r="H292" s="3">
        <v>3057</v>
      </c>
      <c r="I292" s="4">
        <v>43.16</v>
      </c>
      <c r="J292" s="4">
        <v>6339.49</v>
      </c>
      <c r="K292" s="4">
        <v>13090.16</v>
      </c>
      <c r="L292" s="4">
        <v>623.34</v>
      </c>
      <c r="M292" s="3">
        <v>30326</v>
      </c>
      <c r="N292" s="4">
        <v>6339.49</v>
      </c>
      <c r="O292" s="4">
        <v>13090.16</v>
      </c>
      <c r="P292" s="4">
        <v>294599.40000000002</v>
      </c>
    </row>
    <row r="293" spans="1:16" x14ac:dyDescent="0.2">
      <c r="A293" s="5">
        <v>45108</v>
      </c>
      <c r="B293" s="2" t="s">
        <v>72</v>
      </c>
      <c r="C293" s="2" t="s">
        <v>189</v>
      </c>
      <c r="D293" s="3">
        <v>2250</v>
      </c>
      <c r="E293" s="3">
        <v>16</v>
      </c>
      <c r="F293" s="3">
        <v>2174</v>
      </c>
      <c r="G293" s="3">
        <v>21</v>
      </c>
      <c r="H293" s="3">
        <v>3010</v>
      </c>
      <c r="I293" s="4">
        <v>49.41</v>
      </c>
      <c r="J293" s="4">
        <v>7091.16</v>
      </c>
      <c r="K293" s="4">
        <v>15264.32</v>
      </c>
      <c r="L293" s="4">
        <v>726.87</v>
      </c>
      <c r="M293" s="3">
        <v>30891</v>
      </c>
      <c r="N293" s="4">
        <v>7091.16</v>
      </c>
      <c r="O293" s="4">
        <v>15264.32</v>
      </c>
      <c r="P293" s="4">
        <v>304829.52</v>
      </c>
    </row>
    <row r="294" spans="1:16" x14ac:dyDescent="0.2">
      <c r="A294" s="5">
        <v>45139</v>
      </c>
      <c r="B294" s="2" t="s">
        <v>72</v>
      </c>
      <c r="C294" s="2" t="s">
        <v>189</v>
      </c>
      <c r="D294" s="3">
        <v>2270</v>
      </c>
      <c r="E294" s="3">
        <v>15</v>
      </c>
      <c r="F294" s="3">
        <v>2190</v>
      </c>
      <c r="G294" s="3">
        <v>22</v>
      </c>
      <c r="H294" s="3">
        <v>3151</v>
      </c>
      <c r="I294" s="4">
        <v>55.97</v>
      </c>
      <c r="J294" s="4">
        <v>8785.85</v>
      </c>
      <c r="K294" s="4">
        <v>16844.93</v>
      </c>
      <c r="L294" s="4">
        <v>765.68</v>
      </c>
      <c r="M294" s="3">
        <v>30096</v>
      </c>
      <c r="N294" s="4">
        <v>8785.85</v>
      </c>
      <c r="O294" s="4">
        <v>16844.93</v>
      </c>
      <c r="P294" s="4">
        <v>307248.82</v>
      </c>
    </row>
    <row r="295" spans="1:16" x14ac:dyDescent="0.2">
      <c r="A295" s="5">
        <v>45170</v>
      </c>
      <c r="B295" s="2" t="s">
        <v>72</v>
      </c>
      <c r="C295" s="2" t="s">
        <v>189</v>
      </c>
      <c r="D295" s="3">
        <v>2299</v>
      </c>
      <c r="E295" s="3">
        <v>15</v>
      </c>
      <c r="F295" s="3">
        <v>2223</v>
      </c>
      <c r="G295" s="3">
        <v>20</v>
      </c>
      <c r="H295" s="3">
        <v>3162</v>
      </c>
      <c r="I295" s="4">
        <v>54.46</v>
      </c>
      <c r="J295" s="4">
        <v>10291.969999999999</v>
      </c>
      <c r="K295" s="4">
        <v>16708.07</v>
      </c>
      <c r="L295" s="4">
        <v>835.4</v>
      </c>
      <c r="M295" s="3">
        <v>30679</v>
      </c>
      <c r="N295" s="4">
        <v>10291.969999999999</v>
      </c>
      <c r="O295" s="4">
        <v>16708.07</v>
      </c>
      <c r="P295" s="4">
        <v>316808.51</v>
      </c>
    </row>
    <row r="296" spans="1:16" x14ac:dyDescent="0.2">
      <c r="A296" s="5">
        <v>45200</v>
      </c>
      <c r="B296" s="2" t="s">
        <v>72</v>
      </c>
      <c r="C296" s="2" t="s">
        <v>190</v>
      </c>
      <c r="D296" s="3">
        <v>2328</v>
      </c>
      <c r="E296" s="3">
        <v>15</v>
      </c>
      <c r="F296" s="3">
        <v>2253</v>
      </c>
      <c r="G296" s="3">
        <v>20</v>
      </c>
      <c r="H296" s="3">
        <v>3265</v>
      </c>
      <c r="I296" s="4">
        <v>50.51</v>
      </c>
      <c r="J296" s="4">
        <v>7391.82</v>
      </c>
      <c r="K296" s="4">
        <v>13435.19</v>
      </c>
      <c r="L296" s="4">
        <v>671.76</v>
      </c>
      <c r="M296" s="3">
        <v>26600</v>
      </c>
      <c r="N296" s="4">
        <v>7391.82</v>
      </c>
      <c r="O296" s="4">
        <v>13435.19</v>
      </c>
      <c r="P296" s="4">
        <v>308761.88</v>
      </c>
    </row>
    <row r="297" spans="1:16" x14ac:dyDescent="0.2">
      <c r="A297" s="5">
        <v>45231</v>
      </c>
      <c r="B297" s="2" t="s">
        <v>72</v>
      </c>
      <c r="C297" s="2" t="s">
        <v>190</v>
      </c>
      <c r="D297" s="3">
        <v>2347</v>
      </c>
      <c r="E297" s="3">
        <v>5</v>
      </c>
      <c r="F297" s="3">
        <v>2259</v>
      </c>
      <c r="G297" s="3">
        <v>21</v>
      </c>
      <c r="H297" s="3">
        <v>3270</v>
      </c>
      <c r="I297" s="4">
        <v>51.87</v>
      </c>
      <c r="J297" s="4">
        <v>8354.64</v>
      </c>
      <c r="K297" s="4">
        <v>14829.06</v>
      </c>
      <c r="L297" s="4">
        <v>706.15</v>
      </c>
      <c r="M297" s="3">
        <v>28586</v>
      </c>
      <c r="N297" s="4">
        <v>8354.64</v>
      </c>
      <c r="O297" s="4">
        <v>14829.06</v>
      </c>
      <c r="P297" s="4">
        <v>332641.03999999998</v>
      </c>
    </row>
    <row r="298" spans="1:16" x14ac:dyDescent="0.2">
      <c r="A298" s="5">
        <v>45261</v>
      </c>
      <c r="B298" s="2" t="s">
        <v>72</v>
      </c>
      <c r="C298" s="2" t="s">
        <v>190</v>
      </c>
      <c r="D298" s="3">
        <v>2370</v>
      </c>
      <c r="E298" s="3">
        <v>5</v>
      </c>
      <c r="F298" s="3">
        <v>2298</v>
      </c>
      <c r="G298" s="3">
        <v>20</v>
      </c>
      <c r="H298" s="3">
        <v>3331</v>
      </c>
      <c r="I298" s="4">
        <v>68.22</v>
      </c>
      <c r="J298" s="4">
        <v>10358.36</v>
      </c>
      <c r="K298" s="4">
        <v>20795.939999999999</v>
      </c>
      <c r="L298" s="4">
        <v>1039.8</v>
      </c>
      <c r="M298" s="3">
        <v>30484</v>
      </c>
      <c r="N298" s="4">
        <v>10358.36</v>
      </c>
      <c r="O298" s="4">
        <v>20795.939999999999</v>
      </c>
      <c r="P298" s="4">
        <v>361055.48</v>
      </c>
    </row>
    <row r="299" spans="1:16" x14ac:dyDescent="0.2">
      <c r="A299" s="5">
        <v>45292</v>
      </c>
      <c r="B299" s="2" t="s">
        <v>72</v>
      </c>
      <c r="C299" s="2" t="s">
        <v>191</v>
      </c>
      <c r="D299" s="3">
        <v>2389</v>
      </c>
      <c r="E299" s="3">
        <v>3</v>
      </c>
      <c r="F299" s="3">
        <v>2315</v>
      </c>
      <c r="G299" s="3">
        <v>22</v>
      </c>
      <c r="H299" s="3">
        <v>3490</v>
      </c>
      <c r="I299" s="4">
        <v>84.65</v>
      </c>
      <c r="J299" s="4">
        <v>13639.16</v>
      </c>
      <c r="K299" s="4">
        <v>24911.81</v>
      </c>
      <c r="L299" s="4">
        <v>1132.3499999999999</v>
      </c>
      <c r="M299" s="3">
        <v>29429</v>
      </c>
      <c r="N299" s="4">
        <v>13639.16</v>
      </c>
      <c r="O299" s="4">
        <v>24911.81</v>
      </c>
      <c r="P299" s="4">
        <v>376380.48</v>
      </c>
    </row>
    <row r="300" spans="1:16" x14ac:dyDescent="0.2">
      <c r="A300" s="5">
        <v>45323</v>
      </c>
      <c r="B300" s="2" t="s">
        <v>72</v>
      </c>
      <c r="C300" s="2" t="s">
        <v>191</v>
      </c>
      <c r="D300" s="3">
        <v>2417</v>
      </c>
      <c r="E300" s="3">
        <v>3</v>
      </c>
      <c r="F300" s="3">
        <v>2344</v>
      </c>
      <c r="G300" s="3">
        <v>21</v>
      </c>
      <c r="H300" s="3">
        <v>3370</v>
      </c>
      <c r="I300" s="4">
        <v>87.21</v>
      </c>
      <c r="J300" s="4">
        <v>12645.81</v>
      </c>
      <c r="K300" s="4">
        <v>24576.71</v>
      </c>
      <c r="L300" s="4">
        <v>1170.32</v>
      </c>
      <c r="M300" s="3">
        <v>28180</v>
      </c>
      <c r="N300" s="4">
        <v>12645.81</v>
      </c>
      <c r="O300" s="4">
        <v>24576.71</v>
      </c>
      <c r="P300" s="4">
        <v>384568.06</v>
      </c>
    </row>
    <row r="301" spans="1:16" x14ac:dyDescent="0.2">
      <c r="A301" s="5">
        <v>45352</v>
      </c>
      <c r="B301" s="2" t="s">
        <v>72</v>
      </c>
      <c r="C301" s="2" t="s">
        <v>191</v>
      </c>
      <c r="D301" s="3">
        <v>2438</v>
      </c>
      <c r="E301" s="3">
        <v>3</v>
      </c>
      <c r="F301" s="3">
        <v>2365</v>
      </c>
      <c r="G301" s="3">
        <v>19</v>
      </c>
      <c r="H301" s="3">
        <v>3400</v>
      </c>
      <c r="I301" s="4">
        <v>64.819999999999993</v>
      </c>
      <c r="J301" s="4">
        <v>7372.26</v>
      </c>
      <c r="K301" s="4">
        <v>18570.39</v>
      </c>
      <c r="L301" s="4">
        <v>977.39</v>
      </c>
      <c r="M301" s="3">
        <v>28649</v>
      </c>
      <c r="N301" s="4">
        <v>7372.26</v>
      </c>
      <c r="O301" s="4">
        <v>18570.39</v>
      </c>
      <c r="P301" s="4">
        <v>384216.68</v>
      </c>
    </row>
    <row r="302" spans="1:16" x14ac:dyDescent="0.2">
      <c r="A302" s="5">
        <v>45383</v>
      </c>
      <c r="B302" s="2" t="s">
        <v>73</v>
      </c>
      <c r="C302" s="2" t="s">
        <v>192</v>
      </c>
      <c r="D302" s="3">
        <v>2464</v>
      </c>
      <c r="E302" s="3">
        <v>3</v>
      </c>
      <c r="F302" s="3">
        <v>2389</v>
      </c>
      <c r="G302" s="3">
        <v>20</v>
      </c>
      <c r="H302" s="3">
        <v>3532</v>
      </c>
      <c r="I302" s="4">
        <v>68.099999999999994</v>
      </c>
      <c r="J302" s="4">
        <v>9905.84</v>
      </c>
      <c r="K302" s="4">
        <v>21201.96</v>
      </c>
      <c r="L302" s="4">
        <v>1060.0999999999999</v>
      </c>
      <c r="M302" s="3">
        <v>31133</v>
      </c>
      <c r="N302" s="4">
        <v>9905.84</v>
      </c>
      <c r="O302" s="4">
        <v>21201.96</v>
      </c>
      <c r="P302" s="4">
        <v>403044.06</v>
      </c>
    </row>
    <row r="303" spans="1:16" x14ac:dyDescent="0.2">
      <c r="A303" s="5">
        <v>45413</v>
      </c>
      <c r="B303" s="2" t="s">
        <v>73</v>
      </c>
      <c r="C303" s="2" t="s">
        <v>192</v>
      </c>
      <c r="D303" s="3">
        <v>2482</v>
      </c>
      <c r="E303" s="3">
        <v>3</v>
      </c>
      <c r="F303" s="3">
        <v>2405</v>
      </c>
      <c r="G303" s="3">
        <v>22</v>
      </c>
      <c r="H303" s="3">
        <v>3640</v>
      </c>
      <c r="I303" s="4">
        <v>76.8</v>
      </c>
      <c r="J303" s="4">
        <v>9248.8799999999992</v>
      </c>
      <c r="K303" s="4">
        <v>24679.41</v>
      </c>
      <c r="L303" s="4">
        <v>1121.79</v>
      </c>
      <c r="M303" s="3">
        <v>32133</v>
      </c>
      <c r="N303" s="4">
        <v>9248.8799999999992</v>
      </c>
      <c r="O303" s="4">
        <v>24679.41</v>
      </c>
      <c r="P303" s="4">
        <v>408805.3</v>
      </c>
    </row>
    <row r="304" spans="1:16" x14ac:dyDescent="0.2">
      <c r="A304" s="5">
        <v>45444</v>
      </c>
      <c r="B304" s="2" t="s">
        <v>73</v>
      </c>
      <c r="C304" s="2" t="s">
        <v>192</v>
      </c>
      <c r="D304" s="3">
        <v>2499</v>
      </c>
      <c r="E304" s="3">
        <v>3</v>
      </c>
      <c r="F304" s="3">
        <v>2426</v>
      </c>
      <c r="G304" s="3">
        <v>19</v>
      </c>
      <c r="H304" s="3">
        <v>3387</v>
      </c>
      <c r="I304" s="4">
        <v>87.1</v>
      </c>
      <c r="J304" s="4">
        <v>11576.08</v>
      </c>
      <c r="K304" s="4">
        <v>29052.26</v>
      </c>
      <c r="L304" s="4">
        <v>1529.07</v>
      </c>
      <c r="M304" s="3">
        <v>33356</v>
      </c>
      <c r="N304" s="4">
        <v>11576.08</v>
      </c>
      <c r="O304" s="4">
        <v>29052.26</v>
      </c>
      <c r="P304" s="4">
        <v>435739.19</v>
      </c>
    </row>
    <row r="305" spans="1:16" x14ac:dyDescent="0.2">
      <c r="A305" s="5">
        <v>45474</v>
      </c>
      <c r="B305" s="2" t="s">
        <v>73</v>
      </c>
      <c r="C305" s="2" t="s">
        <v>193</v>
      </c>
      <c r="D305" s="3">
        <v>2529</v>
      </c>
      <c r="E305" s="3">
        <v>3</v>
      </c>
      <c r="F305" s="3">
        <v>2459</v>
      </c>
      <c r="G305" s="3">
        <v>22</v>
      </c>
      <c r="H305" s="3">
        <v>3665</v>
      </c>
      <c r="I305" s="4">
        <v>98.5</v>
      </c>
      <c r="J305" s="4">
        <v>11851.07</v>
      </c>
      <c r="K305" s="4">
        <v>30615.77</v>
      </c>
      <c r="L305" s="4">
        <v>1391.63</v>
      </c>
      <c r="M305" s="3">
        <v>31081</v>
      </c>
      <c r="N305" s="4">
        <v>11851.07</v>
      </c>
      <c r="O305" s="4">
        <v>30615.77</v>
      </c>
      <c r="P305" s="4">
        <v>458658.78</v>
      </c>
    </row>
    <row r="306" spans="1:16" x14ac:dyDescent="0.2">
      <c r="A306" s="5">
        <v>45505</v>
      </c>
      <c r="B306" s="2" t="s">
        <v>73</v>
      </c>
      <c r="C306" s="2" t="s">
        <v>193</v>
      </c>
      <c r="D306" s="3">
        <v>2559</v>
      </c>
      <c r="E306" s="3">
        <v>3</v>
      </c>
      <c r="F306" s="3">
        <v>2487</v>
      </c>
      <c r="G306" s="3">
        <v>21</v>
      </c>
      <c r="H306" s="3">
        <v>3567</v>
      </c>
      <c r="I306" s="4">
        <v>88.84</v>
      </c>
      <c r="J306" s="4">
        <v>10050.99</v>
      </c>
      <c r="K306" s="4">
        <v>26381.57</v>
      </c>
      <c r="L306" s="4">
        <v>1256.2652</v>
      </c>
      <c r="M306" s="3">
        <v>29695</v>
      </c>
      <c r="N306" s="4">
        <v>10050.99</v>
      </c>
      <c r="O306" s="4">
        <v>26381.57</v>
      </c>
      <c r="P306" s="4">
        <v>461096.16</v>
      </c>
    </row>
    <row r="307" spans="1:16" x14ac:dyDescent="0.2">
      <c r="A307" s="5">
        <v>45536</v>
      </c>
      <c r="B307" s="2" t="s">
        <v>73</v>
      </c>
      <c r="C307" s="2" t="s">
        <v>193</v>
      </c>
      <c r="D307" s="3">
        <v>2604</v>
      </c>
      <c r="E307" s="3">
        <v>3</v>
      </c>
      <c r="F307" s="3">
        <v>2533</v>
      </c>
      <c r="G307" s="3">
        <v>21</v>
      </c>
      <c r="H307" s="3">
        <v>3627</v>
      </c>
      <c r="I307" s="4">
        <v>84.87</v>
      </c>
      <c r="J307" s="4">
        <v>9697.44</v>
      </c>
      <c r="K307" s="4">
        <v>25593.759999999998</v>
      </c>
      <c r="L307" s="4">
        <v>1218.7505000000001</v>
      </c>
      <c r="M307" s="3">
        <v>30156</v>
      </c>
      <c r="N307" s="4">
        <v>9697.44</v>
      </c>
      <c r="O307" s="4">
        <v>25593.759999999998</v>
      </c>
      <c r="P307" s="4">
        <v>470647.25</v>
      </c>
    </row>
    <row r="308" spans="1:16" x14ac:dyDescent="0.2">
      <c r="A308" s="5">
        <v>45566</v>
      </c>
      <c r="B308" s="2" t="s">
        <v>73</v>
      </c>
      <c r="C308" s="2" t="s">
        <v>194</v>
      </c>
      <c r="D308" s="3">
        <v>2629</v>
      </c>
      <c r="E308" s="3">
        <v>3</v>
      </c>
      <c r="F308" s="3">
        <v>2561</v>
      </c>
      <c r="G308" s="3">
        <v>22</v>
      </c>
      <c r="H308" s="3">
        <v>3826</v>
      </c>
      <c r="I308" s="4">
        <v>84.74</v>
      </c>
      <c r="J308" s="4">
        <v>7843.89</v>
      </c>
      <c r="K308" s="4">
        <v>23530.98</v>
      </c>
      <c r="L308" s="4">
        <v>1069.5902000000001</v>
      </c>
      <c r="M308" s="3">
        <v>27768</v>
      </c>
      <c r="N308" s="4">
        <v>7843.89</v>
      </c>
      <c r="O308" s="4">
        <v>23530.98</v>
      </c>
      <c r="P308" s="4">
        <v>441379.74229999998</v>
      </c>
    </row>
    <row r="309" spans="1:16" x14ac:dyDescent="0.2">
      <c r="A309" s="5">
        <v>45597</v>
      </c>
      <c r="B309" s="2" t="s">
        <v>73</v>
      </c>
      <c r="C309" s="2" t="s">
        <v>194</v>
      </c>
      <c r="D309" s="3">
        <v>2643</v>
      </c>
      <c r="E309" s="3">
        <v>3</v>
      </c>
      <c r="F309" s="3">
        <v>2574</v>
      </c>
      <c r="G309" s="3">
        <v>19</v>
      </c>
      <c r="H309" s="3">
        <v>3621</v>
      </c>
      <c r="I309" s="4">
        <v>68.66</v>
      </c>
      <c r="J309" s="4">
        <v>6369.74</v>
      </c>
      <c r="K309" s="4">
        <v>19162.099999999999</v>
      </c>
      <c r="L309" s="4">
        <v>1008.5314</v>
      </c>
      <c r="M309" s="3">
        <v>27908</v>
      </c>
      <c r="N309" s="4">
        <v>6369.74</v>
      </c>
      <c r="O309" s="4">
        <v>19162.099999999999</v>
      </c>
      <c r="P309" s="4">
        <v>443200.59879999998</v>
      </c>
    </row>
    <row r="310" spans="1:16" x14ac:dyDescent="0.2">
      <c r="A310" s="5">
        <v>45627</v>
      </c>
      <c r="B310" s="2" t="s">
        <v>73</v>
      </c>
      <c r="C310" s="2" t="s">
        <v>194</v>
      </c>
      <c r="D310" s="3">
        <v>2673</v>
      </c>
      <c r="E310" s="3">
        <v>3</v>
      </c>
      <c r="F310" s="3">
        <v>2603</v>
      </c>
      <c r="G310" s="3">
        <v>21</v>
      </c>
      <c r="H310" s="3">
        <v>3813</v>
      </c>
      <c r="I310" s="4">
        <v>74.84</v>
      </c>
      <c r="J310" s="4">
        <v>7125.46</v>
      </c>
      <c r="K310" s="4">
        <v>21858.3</v>
      </c>
      <c r="L310" s="4">
        <v>1040.8699999999999</v>
      </c>
      <c r="M310" s="3">
        <v>29206</v>
      </c>
      <c r="N310" s="4">
        <v>7125.46</v>
      </c>
      <c r="O310" s="4">
        <v>21858.3</v>
      </c>
      <c r="P310" s="4">
        <v>438939.74</v>
      </c>
    </row>
    <row r="311" spans="1:16" x14ac:dyDescent="0.2">
      <c r="A311" s="5">
        <v>45658</v>
      </c>
      <c r="B311" s="2" t="s">
        <v>73</v>
      </c>
      <c r="C311" s="2" t="s">
        <v>195</v>
      </c>
      <c r="D311" s="3">
        <v>2690</v>
      </c>
      <c r="E311" s="3">
        <v>3</v>
      </c>
      <c r="F311" s="3">
        <v>2619</v>
      </c>
      <c r="G311" s="3">
        <v>23</v>
      </c>
      <c r="H311" s="3">
        <v>3773</v>
      </c>
      <c r="I311" s="4">
        <v>87.47</v>
      </c>
      <c r="J311" s="4">
        <v>7580.31</v>
      </c>
      <c r="K311" s="4">
        <v>22118.51</v>
      </c>
      <c r="L311" s="4">
        <v>961.67</v>
      </c>
      <c r="M311" s="3">
        <v>25286</v>
      </c>
      <c r="N311" s="4">
        <v>87.47</v>
      </c>
      <c r="O311" s="4">
        <v>22118.51</v>
      </c>
      <c r="P311" s="4">
        <v>421227.96</v>
      </c>
    </row>
    <row r="312" spans="1:16" x14ac:dyDescent="0.2">
      <c r="A312" s="5">
        <v>45689</v>
      </c>
      <c r="B312" s="2" t="s">
        <v>73</v>
      </c>
      <c r="C312" s="2" t="s">
        <v>195</v>
      </c>
      <c r="D312" s="3">
        <v>2712</v>
      </c>
      <c r="E312" s="3">
        <v>3</v>
      </c>
      <c r="F312" s="3">
        <v>2641</v>
      </c>
      <c r="G312" s="3">
        <v>20</v>
      </c>
      <c r="H312" s="3">
        <v>3637</v>
      </c>
      <c r="I312" s="4">
        <v>77.400000000000006</v>
      </c>
      <c r="J312" s="4">
        <v>5995.44</v>
      </c>
      <c r="K312" s="4">
        <v>18332.259999999998</v>
      </c>
      <c r="L312" s="4">
        <v>916.61</v>
      </c>
      <c r="M312" s="3">
        <v>23684</v>
      </c>
      <c r="N312" s="4">
        <v>77.400000000000006</v>
      </c>
      <c r="O312" s="4">
        <v>18332.259999999998</v>
      </c>
      <c r="P312" s="4">
        <v>381674.14</v>
      </c>
    </row>
    <row r="313" spans="1:16" x14ac:dyDescent="0.2">
      <c r="A313" s="5">
        <v>45717</v>
      </c>
      <c r="B313" s="2" t="s">
        <v>73</v>
      </c>
      <c r="C313" s="2" t="s">
        <v>195</v>
      </c>
      <c r="D313" s="3">
        <v>2719</v>
      </c>
      <c r="E313" s="3">
        <v>3</v>
      </c>
      <c r="F313" s="3">
        <v>2645</v>
      </c>
      <c r="G313" s="3">
        <v>19</v>
      </c>
      <c r="H313" s="3">
        <v>3819</v>
      </c>
      <c r="I313" s="4">
        <v>71.040000000000006</v>
      </c>
      <c r="J313" s="4">
        <v>7034.8</v>
      </c>
      <c r="K313" s="4">
        <v>18751.599999999999</v>
      </c>
      <c r="L313" s="4">
        <v>986.93</v>
      </c>
      <c r="M313" s="3">
        <v>26396</v>
      </c>
      <c r="N313" s="4">
        <v>71.040000000000006</v>
      </c>
      <c r="O313" s="4">
        <v>18751.599999999999</v>
      </c>
      <c r="P313" s="4">
        <v>410869.29</v>
      </c>
    </row>
    <row r="314" spans="1:16" x14ac:dyDescent="0.2">
      <c r="A314" s="5">
        <v>45748</v>
      </c>
      <c r="B314" s="2" t="s">
        <v>74</v>
      </c>
      <c r="C314" s="2" t="s">
        <v>196</v>
      </c>
      <c r="D314" s="3">
        <v>2726</v>
      </c>
      <c r="E314" s="3">
        <v>3</v>
      </c>
      <c r="F314" s="3">
        <v>2651</v>
      </c>
      <c r="G314" s="3">
        <v>19</v>
      </c>
      <c r="H314" s="3">
        <v>3786</v>
      </c>
      <c r="I314" s="4">
        <v>68.36</v>
      </c>
      <c r="J314" s="4">
        <v>7138.33</v>
      </c>
      <c r="K314" s="4">
        <v>19062.57</v>
      </c>
      <c r="L314" s="4">
        <v>1003.29</v>
      </c>
      <c r="M314" s="3">
        <v>27886</v>
      </c>
      <c r="N314" s="4">
        <v>7138.33</v>
      </c>
      <c r="O314" s="4">
        <v>19062.57</v>
      </c>
      <c r="P314" s="4">
        <v>421381.13</v>
      </c>
    </row>
    <row r="315" spans="1:16" x14ac:dyDescent="0.2">
      <c r="A315" s="5">
        <v>45778</v>
      </c>
      <c r="B315" s="2" t="s">
        <v>74</v>
      </c>
      <c r="C315" s="2" t="s">
        <v>196</v>
      </c>
      <c r="D315" s="3">
        <v>2735</v>
      </c>
      <c r="E315" s="3">
        <v>3</v>
      </c>
      <c r="F315" s="3">
        <v>2666</v>
      </c>
      <c r="G315" s="3">
        <v>21</v>
      </c>
      <c r="H315" s="3">
        <v>3815</v>
      </c>
      <c r="I315" s="4">
        <v>72.790000000000006</v>
      </c>
      <c r="J315" s="4">
        <v>8401.44</v>
      </c>
      <c r="K315" s="4">
        <v>23325.68</v>
      </c>
      <c r="L315" s="4">
        <v>1110.75</v>
      </c>
      <c r="M315" s="3">
        <v>32047</v>
      </c>
      <c r="N315" s="4">
        <v>8401.44</v>
      </c>
      <c r="O315" s="4">
        <v>23325.68</v>
      </c>
      <c r="P315" s="4">
        <v>442015.39</v>
      </c>
    </row>
    <row r="316" spans="1:16" x14ac:dyDescent="0.2">
      <c r="A316" s="5">
        <v>45809</v>
      </c>
      <c r="B316" s="2" t="s">
        <v>74</v>
      </c>
      <c r="C316" s="2" t="s">
        <v>196</v>
      </c>
      <c r="D316" s="3">
        <v>2758</v>
      </c>
      <c r="E316" s="3">
        <v>3</v>
      </c>
      <c r="F316" s="3">
        <v>2676</v>
      </c>
      <c r="G316" s="3">
        <v>21</v>
      </c>
      <c r="H316" s="3">
        <v>3965</v>
      </c>
      <c r="I316" s="4">
        <v>72.680000000000007</v>
      </c>
      <c r="J316" s="4">
        <v>9937.9</v>
      </c>
      <c r="K316" s="4">
        <v>23822.48</v>
      </c>
      <c r="L316" s="4">
        <v>1134.4000000000001</v>
      </c>
      <c r="M316" s="3">
        <v>32778</v>
      </c>
      <c r="N316" s="4">
        <v>9937.9</v>
      </c>
      <c r="O316" s="4">
        <v>23822.48</v>
      </c>
      <c r="P316" s="4">
        <v>459169.42</v>
      </c>
    </row>
    <row r="317" spans="1:16" x14ac:dyDescent="0.2">
      <c r="A317" s="5">
        <v>45839</v>
      </c>
      <c r="B317" s="2" t="s">
        <v>74</v>
      </c>
      <c r="C317" s="2" t="s">
        <v>197</v>
      </c>
      <c r="D317" s="3">
        <v>2788</v>
      </c>
      <c r="E317" s="3">
        <v>3</v>
      </c>
      <c r="F317" s="3">
        <v>2709</v>
      </c>
      <c r="G317" s="3">
        <v>23</v>
      </c>
      <c r="H317" s="3">
        <v>4088</v>
      </c>
      <c r="I317" s="4">
        <v>73.069999999999993</v>
      </c>
      <c r="J317" s="4">
        <v>9026.2999999999993</v>
      </c>
      <c r="K317" s="4">
        <v>21848.95</v>
      </c>
      <c r="L317" s="4">
        <v>949.95</v>
      </c>
      <c r="M317" s="3">
        <v>29900</v>
      </c>
      <c r="N317" s="4">
        <v>9026.2999999999993</v>
      </c>
      <c r="O317" s="4">
        <v>21848.95</v>
      </c>
      <c r="P317" s="4">
        <v>446974.68</v>
      </c>
    </row>
    <row r="318" spans="1:16" x14ac:dyDescent="0.2">
      <c r="A318" s="5">
        <v>45870</v>
      </c>
      <c r="B318" s="2" t="s">
        <v>74</v>
      </c>
      <c r="C318" s="2" t="s">
        <v>197</v>
      </c>
      <c r="D318" s="3">
        <v>2819</v>
      </c>
      <c r="E318" s="3">
        <v>3</v>
      </c>
      <c r="F318" s="3">
        <v>2743</v>
      </c>
      <c r="G318" s="3">
        <v>19</v>
      </c>
      <c r="H318" s="3">
        <v>3947</v>
      </c>
      <c r="I318" s="4">
        <v>59.76</v>
      </c>
      <c r="J318" s="4">
        <v>6772.81</v>
      </c>
      <c r="K318" s="4">
        <v>17773.62</v>
      </c>
      <c r="L318" s="4">
        <v>935.45</v>
      </c>
      <c r="M318" s="3">
        <v>29742</v>
      </c>
      <c r="N318" s="4">
        <v>6772.81</v>
      </c>
      <c r="O318" s="4">
        <v>17773.62</v>
      </c>
      <c r="P318" s="4">
        <v>440275.17</v>
      </c>
    </row>
    <row r="319" spans="1:16" x14ac:dyDescent="0.2">
      <c r="A319" s="5">
        <v>45901</v>
      </c>
      <c r="B319" s="2" t="s">
        <v>74</v>
      </c>
      <c r="C319" s="2" t="s">
        <v>197</v>
      </c>
      <c r="D319" s="3">
        <v>2856</v>
      </c>
      <c r="E319" s="3">
        <v>3</v>
      </c>
      <c r="F319" s="3">
        <v>2781</v>
      </c>
      <c r="G319" s="3">
        <v>22</v>
      </c>
      <c r="H319" s="3">
        <v>4109</v>
      </c>
      <c r="I319" s="4">
        <v>69.930000000000007</v>
      </c>
      <c r="J319" s="4">
        <v>9506</v>
      </c>
      <c r="K319" s="4">
        <v>21628.75</v>
      </c>
      <c r="L319" s="4">
        <v>983.12</v>
      </c>
      <c r="M319" s="3">
        <v>30927</v>
      </c>
      <c r="N319" s="4">
        <v>9506</v>
      </c>
      <c r="O319" s="4">
        <v>21628.75</v>
      </c>
      <c r="P319" s="4">
        <v>448779.77</v>
      </c>
    </row>
    <row r="320" spans="1:16" x14ac:dyDescent="0.2">
      <c r="A320" s="5">
        <v>45931</v>
      </c>
      <c r="B320" s="2" t="s">
        <v>74</v>
      </c>
      <c r="C320" s="2" t="s">
        <v>198</v>
      </c>
      <c r="D320" s="3">
        <v>2883</v>
      </c>
      <c r="E320" s="3">
        <v>3</v>
      </c>
      <c r="F320" s="3">
        <v>2807</v>
      </c>
      <c r="G320" s="3">
        <v>21</v>
      </c>
      <c r="H320" s="3">
        <v>4040</v>
      </c>
      <c r="I320" s="4">
        <v>65.349999999999994</v>
      </c>
      <c r="J320" s="4">
        <v>9260.8799999999992</v>
      </c>
      <c r="K320" s="4">
        <v>20735.39</v>
      </c>
      <c r="L320" s="4">
        <v>987.4</v>
      </c>
      <c r="M320" s="3">
        <v>31731</v>
      </c>
      <c r="N320" s="4">
        <v>9260.8799999999992</v>
      </c>
      <c r="O320" s="4">
        <v>20735.39</v>
      </c>
      <c r="P320" s="4">
        <v>467669.09</v>
      </c>
    </row>
    <row r="321" spans="1:16" x14ac:dyDescent="0.2">
      <c r="A321" s="5">
        <v>45962</v>
      </c>
      <c r="B321" s="2" t="s">
        <v>74</v>
      </c>
      <c r="C321" s="2" t="s">
        <v>198</v>
      </c>
      <c r="D321" s="3">
        <v>2904</v>
      </c>
      <c r="E321" s="3">
        <v>3</v>
      </c>
      <c r="F321" s="3">
        <v>2828</v>
      </c>
      <c r="G321" s="3">
        <v>19</v>
      </c>
      <c r="H321" s="3">
        <v>3894</v>
      </c>
      <c r="I321" s="4">
        <v>59.38</v>
      </c>
      <c r="J321" s="4">
        <v>8429.17</v>
      </c>
      <c r="K321" s="4">
        <v>19869.53</v>
      </c>
      <c r="L321" s="4">
        <v>1045.76</v>
      </c>
      <c r="M321" s="3">
        <v>33464</v>
      </c>
      <c r="N321" s="4">
        <v>8429.17</v>
      </c>
      <c r="O321" s="4">
        <v>19869.53</v>
      </c>
      <c r="P321" s="4">
        <v>472092.53</v>
      </c>
    </row>
    <row r="322" spans="1:16" x14ac:dyDescent="0.2">
      <c r="A322" s="5">
        <v>45992</v>
      </c>
      <c r="B322" s="2" t="s">
        <v>74</v>
      </c>
      <c r="C322" s="2" t="s">
        <v>198</v>
      </c>
      <c r="D322" s="3">
        <v>2933</v>
      </c>
      <c r="E322" s="3">
        <v>3</v>
      </c>
      <c r="F322" s="3">
        <v>2855</v>
      </c>
      <c r="G322" s="3">
        <v>22</v>
      </c>
      <c r="H322" s="3">
        <v>4020</v>
      </c>
      <c r="I322" s="4">
        <v>66.83</v>
      </c>
      <c r="J322" s="4">
        <v>10300.299999999999</v>
      </c>
      <c r="K322" s="4">
        <v>20789.23</v>
      </c>
      <c r="L322" s="4">
        <v>944.96</v>
      </c>
      <c r="M322" s="3">
        <v>31110</v>
      </c>
      <c r="N322" s="4">
        <v>10300.299999999999</v>
      </c>
      <c r="O322" s="4">
        <v>20789.23</v>
      </c>
      <c r="P322" s="4">
        <v>473637.02</v>
      </c>
    </row>
    <row r="323" spans="1:16" x14ac:dyDescent="0.2">
      <c r="A323" s="5">
        <v>46023</v>
      </c>
      <c r="B323" s="2" t="s">
        <v>74</v>
      </c>
      <c r="C323" s="2" t="s">
        <v>199</v>
      </c>
      <c r="D323" s="3">
        <v>2942</v>
      </c>
      <c r="E323" s="3">
        <v>3</v>
      </c>
      <c r="F323" s="3">
        <v>2865</v>
      </c>
      <c r="G323" s="3">
        <v>20</v>
      </c>
      <c r="H323" s="3">
        <v>3911</v>
      </c>
      <c r="I323" s="4">
        <v>71.25</v>
      </c>
      <c r="J323" s="4">
        <v>11969.63</v>
      </c>
      <c r="K323" s="4">
        <v>23911.97</v>
      </c>
      <c r="L323" s="4">
        <v>1195.5999999999999</v>
      </c>
      <c r="M323" s="3">
        <v>33559</v>
      </c>
      <c r="N323" s="4">
        <v>11969.63</v>
      </c>
      <c r="O323" s="4">
        <v>23911.97</v>
      </c>
      <c r="P323" s="4">
        <v>458144.3</v>
      </c>
    </row>
    <row r="324" spans="1:16" x14ac:dyDescent="0.2">
      <c r="A324" s="5">
        <v>46054</v>
      </c>
      <c r="B324" s="2" t="s">
        <v>74</v>
      </c>
      <c r="C324" s="2" t="s">
        <v>199</v>
      </c>
      <c r="D324" s="3">
        <v>2959</v>
      </c>
      <c r="E324" s="3">
        <v>3</v>
      </c>
      <c r="F324" s="3">
        <v>2877</v>
      </c>
      <c r="G324" s="3">
        <v>21</v>
      </c>
      <c r="H324" s="3">
        <v>4006</v>
      </c>
      <c r="I324" s="4">
        <v>70.95</v>
      </c>
      <c r="J324" s="4">
        <v>10330.459999999999</v>
      </c>
      <c r="K324" s="4">
        <v>24075.96</v>
      </c>
      <c r="L324" s="4">
        <v>1146.47</v>
      </c>
      <c r="M324" s="3">
        <v>33933</v>
      </c>
      <c r="N324" s="4">
        <v>10330.459999999999</v>
      </c>
      <c r="O324" s="4">
        <v>24075.96</v>
      </c>
      <c r="P324" s="4">
        <v>461752.07</v>
      </c>
    </row>
    <row r="325" spans="1:16" x14ac:dyDescent="0.2">
      <c r="A325" s="5">
        <v>46082</v>
      </c>
      <c r="B325" s="2" t="s">
        <v>74</v>
      </c>
      <c r="C325" s="2" t="s">
        <v>199</v>
      </c>
      <c r="D325" s="3">
        <v>2978</v>
      </c>
      <c r="E325" s="3">
        <v>3</v>
      </c>
      <c r="F325" s="3">
        <v>2898</v>
      </c>
      <c r="G325" s="3">
        <v>19</v>
      </c>
      <c r="H325" s="3">
        <v>4011</v>
      </c>
      <c r="I325" s="4">
        <v>75.849999999999994</v>
      </c>
      <c r="J325" s="4">
        <v>10217</v>
      </c>
      <c r="K325" s="4">
        <v>23782.06</v>
      </c>
      <c r="L325" s="4">
        <v>1251.69</v>
      </c>
      <c r="M325" s="3">
        <v>31352</v>
      </c>
      <c r="N325" s="4">
        <v>10217</v>
      </c>
      <c r="O325" s="4">
        <v>23782.06</v>
      </c>
      <c r="P325" s="4">
        <v>411252.15</v>
      </c>
    </row>
    <row r="326" spans="1:16" x14ac:dyDescent="0.2">
      <c r="A326" s="5">
        <v>46113</v>
      </c>
      <c r="B326" s="2" t="s">
        <v>75</v>
      </c>
      <c r="C326" s="2" t="s">
        <v>200</v>
      </c>
      <c r="D326" s="3">
        <v>2986</v>
      </c>
      <c r="E326" s="3">
        <v>109</v>
      </c>
      <c r="F326" s="3">
        <v>3015</v>
      </c>
      <c r="G326" s="3">
        <v>20</v>
      </c>
      <c r="H326" s="3">
        <v>4223</v>
      </c>
      <c r="I326" s="4">
        <v>74.72</v>
      </c>
      <c r="J326" s="4">
        <v>10653.12</v>
      </c>
      <c r="K326" s="4">
        <v>26941.82</v>
      </c>
      <c r="L326" s="4">
        <v>1347.09</v>
      </c>
      <c r="M326" s="3">
        <v>36057</v>
      </c>
      <c r="N326" s="4">
        <v>10653.12</v>
      </c>
      <c r="O326" s="4">
        <v>26941.82</v>
      </c>
      <c r="P326" s="4">
        <v>463472.19</v>
      </c>
    </row>
    <row r="327" spans="1:16" x14ac:dyDescent="0.2">
      <c r="A327" s="5">
        <v>46143</v>
      </c>
      <c r="B327" s="2" t="s">
        <v>75</v>
      </c>
      <c r="C327" s="2" t="s">
        <v>200</v>
      </c>
      <c r="D327" s="3">
        <v>2993</v>
      </c>
      <c r="E327" s="3">
        <v>109</v>
      </c>
      <c r="F327" s="3">
        <v>3022</v>
      </c>
      <c r="G327" s="3">
        <v>19</v>
      </c>
      <c r="H327" s="3">
        <v>4111</v>
      </c>
      <c r="I327" s="4">
        <v>75.16</v>
      </c>
      <c r="J327" s="4">
        <v>11012.56</v>
      </c>
      <c r="K327" s="4">
        <v>26911.06</v>
      </c>
      <c r="L327" s="4">
        <v>1416.37</v>
      </c>
      <c r="M327" s="3">
        <v>35803</v>
      </c>
      <c r="N327" s="4">
        <v>11012.56</v>
      </c>
      <c r="O327" s="4">
        <v>26911.06</v>
      </c>
      <c r="P327" s="4">
        <v>465347.94</v>
      </c>
    </row>
    <row r="328" spans="1:16" x14ac:dyDescent="0.2">
      <c r="A328" s="5">
        <v>46174</v>
      </c>
      <c r="B328" s="2" t="s">
        <v>75</v>
      </c>
      <c r="C328" s="2" t="s">
        <v>200</v>
      </c>
      <c r="D328" s="3">
        <v>3005</v>
      </c>
      <c r="E328" s="3">
        <v>107</v>
      </c>
      <c r="F328" s="3">
        <v>3031</v>
      </c>
      <c r="G328" s="3">
        <v>21</v>
      </c>
      <c r="H328" s="3">
        <v>4235</v>
      </c>
      <c r="I328" s="4">
        <v>80.400000000000006</v>
      </c>
      <c r="J328" s="4">
        <v>11983.82</v>
      </c>
      <c r="K328" s="4">
        <v>27716.36</v>
      </c>
      <c r="L328" s="4">
        <v>1319.83</v>
      </c>
      <c r="M328" s="3">
        <v>34472</v>
      </c>
      <c r="N328" s="4">
        <v>11983.82</v>
      </c>
      <c r="O328" s="4">
        <v>27716.36</v>
      </c>
      <c r="P328" s="4">
        <v>474082.75</v>
      </c>
    </row>
    <row r="329" spans="1:16" x14ac:dyDescent="0.2">
      <c r="A329" s="5">
        <v>46204</v>
      </c>
      <c r="B329" s="2" t="s">
        <v>75</v>
      </c>
      <c r="C329" s="2" t="s">
        <v>201</v>
      </c>
      <c r="D329" s="3">
        <v>3028</v>
      </c>
      <c r="E329" s="3">
        <v>107</v>
      </c>
      <c r="F329" s="3">
        <v>3055</v>
      </c>
      <c r="G329" s="3">
        <v>23</v>
      </c>
      <c r="H329" s="3">
        <v>4268</v>
      </c>
      <c r="I329" s="4">
        <v>84.77</v>
      </c>
      <c r="J329" s="4">
        <v>10687.74</v>
      </c>
      <c r="K329" s="4">
        <v>27695.62</v>
      </c>
      <c r="L329" s="4">
        <v>1204.1600000000001</v>
      </c>
      <c r="M329" s="3">
        <v>32670</v>
      </c>
      <c r="N329" s="4">
        <v>10687.74</v>
      </c>
      <c r="O329" s="4">
        <v>27695.62</v>
      </c>
      <c r="P329" s="4">
        <v>485336.65</v>
      </c>
    </row>
    <row r="330" spans="1:16" x14ac:dyDescent="0.2">
      <c r="A330" s="5">
        <v>46235</v>
      </c>
      <c r="B330" s="2" t="s">
        <v>75</v>
      </c>
      <c r="C330" s="2" t="s">
        <v>201</v>
      </c>
      <c r="D330" s="3"/>
      <c r="E330" s="3"/>
      <c r="F330" s="3"/>
      <c r="G330" s="3">
        <v>21</v>
      </c>
      <c r="H330" s="3">
        <v>4661</v>
      </c>
      <c r="I330" s="4">
        <v>75.900000000000006</v>
      </c>
      <c r="J330" s="4">
        <v>10157.59</v>
      </c>
      <c r="K330" s="4">
        <v>25133.08</v>
      </c>
      <c r="L330" s="4">
        <v>1196.81</v>
      </c>
      <c r="M330" s="3">
        <v>33114</v>
      </c>
      <c r="N330" s="4">
        <v>10157.59</v>
      </c>
      <c r="O330" s="4">
        <v>25133.08</v>
      </c>
      <c r="P330" s="4">
        <v>489252.64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6" customWidth="1"/>
    <col min="7" max="7" width="20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1906</v>
      </c>
      <c r="F2" s="8">
        <v>1.6427</v>
      </c>
      <c r="G2" s="4">
        <v>158.03829999999999</v>
      </c>
      <c r="H2" s="4">
        <v>318.69540000000001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1941</v>
      </c>
      <c r="F3" s="8">
        <v>1.9547000000000001</v>
      </c>
      <c r="G3" s="4">
        <v>184.23519999999999</v>
      </c>
      <c r="H3" s="4">
        <v>396.4776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1998</v>
      </c>
      <c r="F4" s="8">
        <v>2.1522999999999999</v>
      </c>
      <c r="G4" s="4">
        <v>217.74170000000001</v>
      </c>
      <c r="H4" s="4">
        <v>524.38580000000002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1964</v>
      </c>
      <c r="F5" s="8">
        <v>2.3815</v>
      </c>
      <c r="G5" s="4">
        <v>245.04490000000001</v>
      </c>
      <c r="H5" s="4">
        <v>575.93470000000002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1950</v>
      </c>
      <c r="F6" s="8">
        <v>2.0733000000000001</v>
      </c>
      <c r="G6" s="4">
        <v>218.06030000000001</v>
      </c>
      <c r="H6" s="4">
        <v>515.43679999999995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1957</v>
      </c>
      <c r="F7" s="8">
        <v>1.9716</v>
      </c>
      <c r="G7" s="4">
        <v>271.36320000000001</v>
      </c>
      <c r="H7" s="4">
        <v>458.1918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1968</v>
      </c>
      <c r="F8" s="8">
        <v>2.5257000000000001</v>
      </c>
      <c r="G8" s="4">
        <v>313.59570000000002</v>
      </c>
      <c r="H8" s="4">
        <v>646.63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1953</v>
      </c>
      <c r="F9" s="8">
        <v>2.0472000000000001</v>
      </c>
      <c r="G9" s="4">
        <v>236.2226</v>
      </c>
      <c r="H9" s="4">
        <v>499.16269999999997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1964</v>
      </c>
      <c r="F10" s="8">
        <v>2.2271999999999998</v>
      </c>
      <c r="G10" s="4">
        <v>278.5566</v>
      </c>
      <c r="H10" s="4">
        <v>553.9348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1986</v>
      </c>
      <c r="F11" s="8">
        <v>1.976</v>
      </c>
      <c r="G11" s="4">
        <v>264.5335</v>
      </c>
      <c r="H11" s="4">
        <v>482.21890000000002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1941</v>
      </c>
      <c r="F12" s="8">
        <v>1.9067000000000001</v>
      </c>
      <c r="G12" s="4">
        <v>222.85300000000001</v>
      </c>
      <c r="H12" s="4">
        <v>469.77519999999998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1944</v>
      </c>
      <c r="F13" s="8">
        <v>1.9006000000000001</v>
      </c>
      <c r="G13" s="4">
        <v>246.2741</v>
      </c>
      <c r="H13" s="4">
        <v>524.69949999999994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1950</v>
      </c>
      <c r="F14" s="8">
        <v>1.819</v>
      </c>
      <c r="G14" s="4">
        <v>256.42250000000001</v>
      </c>
      <c r="H14" s="4">
        <v>486.30970000000002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1962</v>
      </c>
      <c r="F15" s="8">
        <v>1.8709</v>
      </c>
      <c r="G15" s="4">
        <v>223.40780000000001</v>
      </c>
      <c r="H15" s="4">
        <v>530.08339999999998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1979</v>
      </c>
      <c r="F16" s="8">
        <v>1.7509999999999999</v>
      </c>
      <c r="G16" s="4">
        <v>191.1404</v>
      </c>
      <c r="H16" s="4">
        <v>457.40800000000002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1945</v>
      </c>
      <c r="F17" s="8">
        <v>1.7204999999999999</v>
      </c>
      <c r="G17" s="4">
        <v>202.71530000000001</v>
      </c>
      <c r="H17" s="4">
        <v>485.37610000000001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1963</v>
      </c>
      <c r="F18" s="8">
        <v>1.8633</v>
      </c>
      <c r="G18" s="4">
        <v>236.92619999999999</v>
      </c>
      <c r="H18" s="4">
        <v>503.9665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1949</v>
      </c>
      <c r="F19" s="8">
        <v>2.2776999999999998</v>
      </c>
      <c r="G19" s="4">
        <v>305.94779999999997</v>
      </c>
      <c r="H19" s="4">
        <v>629.33529999999996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1979</v>
      </c>
      <c r="F20" s="8">
        <v>2.0291999999999999</v>
      </c>
      <c r="G20" s="4">
        <v>243.8553</v>
      </c>
      <c r="H20" s="4">
        <v>484.3347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1939</v>
      </c>
      <c r="F21" s="8">
        <v>1.7589999999999999</v>
      </c>
      <c r="G21" s="4">
        <v>214.9333</v>
      </c>
      <c r="H21" s="4">
        <v>472.75290000000001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1933</v>
      </c>
      <c r="F22" s="8">
        <v>1.9137</v>
      </c>
      <c r="G22" s="4">
        <v>239.07159999999999</v>
      </c>
      <c r="H22" s="4">
        <v>495.62959999999998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1919</v>
      </c>
      <c r="F23" s="8">
        <v>1.6713</v>
      </c>
      <c r="G23" s="4">
        <v>194.47880000000001</v>
      </c>
      <c r="H23" s="4">
        <v>750.30280000000005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1934</v>
      </c>
      <c r="F24" s="8">
        <v>1.6556999999999999</v>
      </c>
      <c r="G24" s="4">
        <v>201.4855</v>
      </c>
      <c r="H24" s="4">
        <v>473.66969999999998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1970</v>
      </c>
      <c r="F25" s="8">
        <v>1.7652000000000001</v>
      </c>
      <c r="G25" s="4">
        <v>289.18779999999998</v>
      </c>
      <c r="H25" s="4">
        <v>466.13720000000001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1911</v>
      </c>
      <c r="F26" s="8">
        <v>1.8341000000000001</v>
      </c>
      <c r="G26" s="4">
        <v>252.59829999999999</v>
      </c>
      <c r="H26" s="4">
        <v>530.61659999999995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1923</v>
      </c>
      <c r="F27" s="8">
        <v>2.0242</v>
      </c>
      <c r="G27" s="4">
        <v>317.9862</v>
      </c>
      <c r="H27" s="4">
        <v>575.32899999999995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1912</v>
      </c>
      <c r="F28" s="8">
        <v>1.7763</v>
      </c>
      <c r="G28" s="4">
        <v>235.7927</v>
      </c>
      <c r="H28" s="4">
        <v>486.94510000000002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1912</v>
      </c>
      <c r="F29" s="8">
        <v>1.6079000000000001</v>
      </c>
      <c r="G29" s="4">
        <v>209.73740000000001</v>
      </c>
      <c r="H29" s="4">
        <v>436.60140000000001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1956</v>
      </c>
      <c r="F30" s="8">
        <v>1.9957</v>
      </c>
      <c r="G30" s="4">
        <v>260.14299999999997</v>
      </c>
      <c r="H30" s="4">
        <v>520.63310000000001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1913</v>
      </c>
      <c r="F31" s="8">
        <v>1.7309000000000001</v>
      </c>
      <c r="G31" s="4">
        <v>290.76600000000002</v>
      </c>
      <c r="H31" s="4">
        <v>490.65109999999999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1910</v>
      </c>
      <c r="F32" s="8">
        <v>1.5880000000000001</v>
      </c>
      <c r="G32" s="4">
        <v>234.4092</v>
      </c>
      <c r="H32" s="4">
        <v>463.65620000000001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1898</v>
      </c>
      <c r="F33" s="8">
        <v>1.6275999999999999</v>
      </c>
      <c r="G33" s="4">
        <v>223.2801</v>
      </c>
      <c r="H33" s="4">
        <v>465.96719999999999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1894</v>
      </c>
      <c r="F34" s="8">
        <v>1.7352000000000001</v>
      </c>
      <c r="G34" s="4">
        <v>226.63919999999999</v>
      </c>
      <c r="H34" s="4">
        <v>489.25259999999997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1963</v>
      </c>
      <c r="F35" s="8">
        <v>1.6636</v>
      </c>
      <c r="G35" s="4">
        <v>207.23570000000001</v>
      </c>
      <c r="H35" s="4">
        <v>474.12819999999999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1916</v>
      </c>
      <c r="F36" s="8">
        <v>1.7272000000000001</v>
      </c>
      <c r="G36" s="4">
        <v>230.69550000000001</v>
      </c>
      <c r="H36" s="4">
        <v>524.49109999999996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1936</v>
      </c>
      <c r="F37" s="8">
        <v>1.8219000000000001</v>
      </c>
      <c r="G37" s="4">
        <v>287.76100000000002</v>
      </c>
      <c r="H37" s="4">
        <v>568.49789999999996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1927</v>
      </c>
      <c r="F38" s="8">
        <v>2.2528000000000001</v>
      </c>
      <c r="G38" s="4">
        <v>548.36</v>
      </c>
      <c r="H38" s="4">
        <v>834.96839999999997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1981</v>
      </c>
      <c r="F39" s="8">
        <v>2.0638000000000001</v>
      </c>
      <c r="G39" s="4">
        <v>333.97770000000003</v>
      </c>
      <c r="H39" s="4">
        <v>632.52229999999997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1943</v>
      </c>
      <c r="F40" s="8">
        <v>1.9313</v>
      </c>
      <c r="G40" s="4">
        <v>354.4563</v>
      </c>
      <c r="H40" s="4">
        <v>605.55380000000002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1961</v>
      </c>
      <c r="F41" s="8">
        <v>2.0779999999999998</v>
      </c>
      <c r="G41" s="4">
        <v>394.69409999999999</v>
      </c>
      <c r="H41" s="4">
        <v>658.71939999999995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1929</v>
      </c>
      <c r="F42" s="8">
        <v>1.9790000000000001</v>
      </c>
      <c r="G42" s="4">
        <v>365.76929999999999</v>
      </c>
      <c r="H42" s="4">
        <v>610.7491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1972</v>
      </c>
      <c r="F43" s="8">
        <v>2.0709</v>
      </c>
      <c r="G43" s="4">
        <v>501.48390000000001</v>
      </c>
      <c r="H43" s="4">
        <v>643.33240000000001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1995</v>
      </c>
      <c r="F44" s="8">
        <v>2.3178000000000001</v>
      </c>
      <c r="G44" s="4">
        <v>528.18859999999995</v>
      </c>
      <c r="H44" s="4">
        <v>679.92619999999999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1992</v>
      </c>
      <c r="F45" s="8">
        <v>2.0628000000000002</v>
      </c>
      <c r="G45" s="4">
        <v>452.68849999999998</v>
      </c>
      <c r="H45" s="4">
        <v>637.86469999999997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1982</v>
      </c>
      <c r="F46" s="8">
        <v>1.8277000000000001</v>
      </c>
      <c r="G46" s="4">
        <v>367.67739999999998</v>
      </c>
      <c r="H46" s="4">
        <v>529.54139999999995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1945</v>
      </c>
      <c r="F47" s="8">
        <v>2.0030999999999999</v>
      </c>
      <c r="G47" s="4">
        <v>498.43579999999997</v>
      </c>
      <c r="H47" s="4">
        <v>577.01760000000002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1941</v>
      </c>
      <c r="F48" s="8">
        <v>1.9301999999999999</v>
      </c>
      <c r="G48" s="4">
        <v>430.81</v>
      </c>
      <c r="H48" s="4">
        <v>608.10299999999995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1973</v>
      </c>
      <c r="F49" s="8">
        <v>1.7404999999999999</v>
      </c>
      <c r="G49" s="4">
        <v>328.72949999999997</v>
      </c>
      <c r="H49" s="4">
        <v>542.01790000000005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1955</v>
      </c>
      <c r="F50" s="8">
        <v>1.9008</v>
      </c>
      <c r="G50" s="4">
        <v>360.86860000000001</v>
      </c>
      <c r="H50" s="4">
        <v>603.04480000000001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1950</v>
      </c>
      <c r="F51" s="8">
        <v>1.69</v>
      </c>
      <c r="G51" s="4">
        <v>276.04320000000001</v>
      </c>
      <c r="H51" s="4">
        <v>522.05179999999996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1943</v>
      </c>
      <c r="F52" s="8">
        <v>1.7383999999999999</v>
      </c>
      <c r="G52" s="4">
        <v>349.62529999999998</v>
      </c>
      <c r="H52" s="4">
        <v>511.55549999999999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1942</v>
      </c>
      <c r="F53" s="8">
        <v>2.1457000000000002</v>
      </c>
      <c r="G53" s="4">
        <v>372.78609999999998</v>
      </c>
      <c r="H53" s="4">
        <v>823.43700000000001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2020</v>
      </c>
      <c r="F54" s="8">
        <v>2.2115999999999998</v>
      </c>
      <c r="G54" s="4">
        <v>434.0643</v>
      </c>
      <c r="H54" s="4">
        <v>700.53679999999997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1971</v>
      </c>
      <c r="F55" s="8">
        <v>2.0329999999999999</v>
      </c>
      <c r="G55" s="4">
        <v>323.84989999999999</v>
      </c>
      <c r="H55" s="4">
        <v>647.18020000000001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1975</v>
      </c>
      <c r="F56" s="8">
        <v>2.2871999999999999</v>
      </c>
      <c r="G56" s="4">
        <v>421.74450000000002</v>
      </c>
      <c r="H56" s="4">
        <v>744.70370000000003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1956</v>
      </c>
      <c r="F57" s="8">
        <v>1.9957</v>
      </c>
      <c r="G57" s="4">
        <v>374.00799999999998</v>
      </c>
      <c r="H57" s="4">
        <v>685.6712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1962</v>
      </c>
      <c r="F58" s="8">
        <v>1.7785</v>
      </c>
      <c r="G58" s="4">
        <v>356.93819999999999</v>
      </c>
      <c r="H58" s="4">
        <v>560.07349999999997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1985</v>
      </c>
      <c r="F59" s="8">
        <v>1.6507000000000001</v>
      </c>
      <c r="G59" s="4">
        <v>324.51620000000003</v>
      </c>
      <c r="H59" s="4">
        <v>491.39409999999998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1953</v>
      </c>
      <c r="F60" s="8">
        <v>1.6035999999999999</v>
      </c>
      <c r="G60" s="4">
        <v>296.82139999999998</v>
      </c>
      <c r="H60" s="4">
        <v>491.81060000000002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1982</v>
      </c>
      <c r="F61" s="8">
        <v>1.5696000000000001</v>
      </c>
      <c r="G61" s="4">
        <v>268.44189999999998</v>
      </c>
      <c r="H61" s="4">
        <v>496.4545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1965</v>
      </c>
      <c r="F62" s="8">
        <v>1.6145</v>
      </c>
      <c r="G62" s="4">
        <v>300.9726</v>
      </c>
      <c r="H62" s="4">
        <v>531.48879999999997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1980</v>
      </c>
      <c r="F63" s="8">
        <v>1.5452999999999999</v>
      </c>
      <c r="G63" s="4">
        <v>292.77870000000001</v>
      </c>
      <c r="H63" s="4">
        <v>487.21030000000002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2026</v>
      </c>
      <c r="F64" s="8">
        <v>1.6751</v>
      </c>
      <c r="G64" s="4">
        <v>285.8073</v>
      </c>
      <c r="H64" s="4">
        <v>541.4357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1996</v>
      </c>
      <c r="F65" s="8">
        <v>2.0078999999999998</v>
      </c>
      <c r="G65" s="4">
        <v>291.99790000000002</v>
      </c>
      <c r="H65" s="4">
        <v>653.50120000000004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1985</v>
      </c>
      <c r="F66" s="8">
        <v>1.9842</v>
      </c>
      <c r="G66" s="4">
        <v>358.50549999999998</v>
      </c>
      <c r="H66" s="4">
        <v>660.76520000000005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1967</v>
      </c>
      <c r="F67" s="8">
        <v>1.6016999999999999</v>
      </c>
      <c r="G67" s="4">
        <v>300.86590000000001</v>
      </c>
      <c r="H67" s="4">
        <v>527.23760000000004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1962</v>
      </c>
      <c r="F68" s="8">
        <v>1.6854</v>
      </c>
      <c r="G68" s="4">
        <v>355.29969999999997</v>
      </c>
      <c r="H68" s="4">
        <v>541.60220000000004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2001</v>
      </c>
      <c r="F69" s="8">
        <v>1.579</v>
      </c>
      <c r="G69" s="4">
        <v>260.74979999999999</v>
      </c>
      <c r="H69" s="4">
        <v>523.5462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1968</v>
      </c>
      <c r="F70" s="8">
        <v>1.6977</v>
      </c>
      <c r="G70" s="4">
        <v>238.58799999999999</v>
      </c>
      <c r="H70" s="4">
        <v>541.08879999999999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1962</v>
      </c>
      <c r="F71" s="8">
        <v>1.7416</v>
      </c>
      <c r="G71" s="4">
        <v>289.71940000000001</v>
      </c>
      <c r="H71" s="4">
        <v>640.36860000000001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1963</v>
      </c>
      <c r="F72" s="8">
        <v>1.7274</v>
      </c>
      <c r="G72" s="4">
        <v>297.733</v>
      </c>
      <c r="H72" s="4">
        <v>612.49779999999998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1955</v>
      </c>
      <c r="F73" s="8">
        <v>1.7395</v>
      </c>
      <c r="G73" s="4">
        <v>311.42809999999997</v>
      </c>
      <c r="H73" s="4">
        <v>586.66880000000003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2023</v>
      </c>
      <c r="F74" s="8">
        <v>1.6786000000000001</v>
      </c>
      <c r="G74" s="4">
        <v>309.91890000000001</v>
      </c>
      <c r="H74" s="4">
        <v>563.33159999999998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1981</v>
      </c>
      <c r="F75" s="8">
        <v>1.9092</v>
      </c>
      <c r="G75" s="4">
        <v>297.15750000000003</v>
      </c>
      <c r="H75" s="4">
        <v>669.30420000000004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1976</v>
      </c>
      <c r="F76" s="8">
        <v>1.8405</v>
      </c>
      <c r="G76" s="4">
        <v>297.62110000000001</v>
      </c>
      <c r="H76" s="4">
        <v>656.68209999999999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1967</v>
      </c>
      <c r="F77" s="8">
        <v>1.6520999999999999</v>
      </c>
      <c r="G77" s="4">
        <v>259.23410000000001</v>
      </c>
      <c r="H77" s="4">
        <v>563.89139999999998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1973</v>
      </c>
      <c r="F78" s="8">
        <v>1.6986000000000001</v>
      </c>
      <c r="G78" s="4">
        <v>289.02600000000001</v>
      </c>
      <c r="H78" s="4">
        <v>632.8605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1984</v>
      </c>
      <c r="F79" s="8">
        <v>1.6616</v>
      </c>
      <c r="G79" s="4">
        <v>227.70590000000001</v>
      </c>
      <c r="H79" s="4">
        <v>563.38720000000001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1981</v>
      </c>
      <c r="F80" s="8">
        <v>1.6725000000000001</v>
      </c>
      <c r="G80" s="4">
        <v>326.25889999999998</v>
      </c>
      <c r="H80" s="4">
        <v>602.91200000000003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1976</v>
      </c>
      <c r="F81" s="8">
        <v>1.7381</v>
      </c>
      <c r="G81" s="4">
        <v>309.1669</v>
      </c>
      <c r="H81" s="4">
        <v>625.40859999999998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1984</v>
      </c>
      <c r="F82" s="8">
        <v>1.7407999999999999</v>
      </c>
      <c r="G82" s="4">
        <v>258.79419999999999</v>
      </c>
      <c r="H82" s="4">
        <v>642.67489999999998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1932</v>
      </c>
      <c r="F83" s="8">
        <v>1.7436</v>
      </c>
      <c r="G83" s="4">
        <v>249.81010000000001</v>
      </c>
      <c r="H83" s="4">
        <v>620.89189999999996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1972</v>
      </c>
      <c r="F84" s="8">
        <v>1.6778999999999999</v>
      </c>
      <c r="G84" s="4">
        <v>259.06819999999999</v>
      </c>
      <c r="H84" s="4">
        <v>584.26949999999999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1961</v>
      </c>
      <c r="F85" s="8">
        <v>1.6629</v>
      </c>
      <c r="G85" s="4">
        <v>242.5248</v>
      </c>
      <c r="H85" s="4">
        <v>586.27710000000002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1980</v>
      </c>
      <c r="F86" s="8">
        <v>1.6711</v>
      </c>
      <c r="G86" s="4">
        <v>288.0949</v>
      </c>
      <c r="H86" s="4">
        <v>609.01480000000004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1967</v>
      </c>
      <c r="F87" s="8">
        <v>1.6373</v>
      </c>
      <c r="G87" s="4">
        <v>278.52010000000001</v>
      </c>
      <c r="H87" s="4">
        <v>580.50329999999997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1976</v>
      </c>
      <c r="F88" s="8">
        <v>1.7144999999999999</v>
      </c>
      <c r="G88" s="4">
        <v>357.34949999999998</v>
      </c>
      <c r="H88" s="4">
        <v>592.08100000000002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2011</v>
      </c>
      <c r="F89" s="8">
        <v>1.8035000000000001</v>
      </c>
      <c r="G89" s="4">
        <v>275.4282</v>
      </c>
      <c r="H89" s="4">
        <v>607.27930000000003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1989</v>
      </c>
      <c r="F90" s="8">
        <v>1.7239</v>
      </c>
      <c r="G90" s="4">
        <v>258.45949999999999</v>
      </c>
      <c r="H90" s="4">
        <v>581.19349999999997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1992</v>
      </c>
      <c r="F91" s="8">
        <v>1.7252000000000001</v>
      </c>
      <c r="G91" s="4">
        <v>271.72899999999998</v>
      </c>
      <c r="H91" s="4">
        <v>550.08730000000003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1985</v>
      </c>
      <c r="F92" s="8">
        <v>1.8247</v>
      </c>
      <c r="G92" s="4">
        <v>350.42349999999999</v>
      </c>
      <c r="H92" s="4">
        <v>582.65689999999995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1991</v>
      </c>
      <c r="F93" s="8">
        <v>1.946</v>
      </c>
      <c r="G93" s="4">
        <v>337.33049999999997</v>
      </c>
      <c r="H93" s="4">
        <v>651.58870000000002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1991</v>
      </c>
      <c r="F94" s="8">
        <v>1.5972999999999999</v>
      </c>
      <c r="G94" s="4">
        <v>249.2433</v>
      </c>
      <c r="H94" s="4">
        <v>509.26429999999999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1981</v>
      </c>
      <c r="F95" s="8">
        <v>1.6634</v>
      </c>
      <c r="G95" s="4">
        <v>284.24250000000001</v>
      </c>
      <c r="H95" s="4">
        <v>535.03129999999999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1986</v>
      </c>
      <c r="F96" s="8">
        <v>1.7010000000000001</v>
      </c>
      <c r="G96" s="4">
        <v>321.63749999999999</v>
      </c>
      <c r="H96" s="4">
        <v>566.12369999999999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1985</v>
      </c>
      <c r="F97" s="8">
        <v>1.8259000000000001</v>
      </c>
      <c r="G97" s="4">
        <v>347.5804</v>
      </c>
      <c r="H97" s="4">
        <v>563.93190000000004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1986</v>
      </c>
      <c r="F98" s="8">
        <v>1.7654000000000001</v>
      </c>
      <c r="G98" s="4">
        <v>317.77949999999998</v>
      </c>
      <c r="H98" s="4">
        <v>561.23820000000001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2028</v>
      </c>
      <c r="F99" s="8">
        <v>1.7884</v>
      </c>
      <c r="G99" s="4">
        <v>316.29320000000001</v>
      </c>
      <c r="H99" s="4">
        <v>569.0249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2001</v>
      </c>
      <c r="F100" s="8">
        <v>1.8499000000000001</v>
      </c>
      <c r="G100" s="4">
        <v>287.27620000000002</v>
      </c>
      <c r="H100" s="4">
        <v>609.63670000000002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2004</v>
      </c>
      <c r="F101" s="8">
        <v>1.8425</v>
      </c>
      <c r="G101" s="4">
        <v>281.52809999999999</v>
      </c>
      <c r="H101" s="4">
        <v>638.80229999999995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1990</v>
      </c>
      <c r="F102" s="8">
        <v>1.8379000000000001</v>
      </c>
      <c r="G102" s="4">
        <v>303.58390000000003</v>
      </c>
      <c r="H102" s="4">
        <v>628.95240000000001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2001</v>
      </c>
      <c r="F103" s="8">
        <v>2.0232000000000001</v>
      </c>
      <c r="G103" s="4">
        <v>491.30720000000002</v>
      </c>
      <c r="H103" s="4">
        <v>729.25210000000004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2024</v>
      </c>
      <c r="F104" s="8">
        <v>2.5546000000000002</v>
      </c>
      <c r="G104" s="4">
        <v>475.10219999999998</v>
      </c>
      <c r="H104" s="4">
        <v>989.35609999999997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1957</v>
      </c>
      <c r="F105" s="8">
        <v>1.7298</v>
      </c>
      <c r="G105" s="4">
        <v>433.89</v>
      </c>
      <c r="H105" s="4">
        <v>617.87649999999996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1980</v>
      </c>
      <c r="F106" s="8">
        <v>1.4775</v>
      </c>
      <c r="G106" s="4">
        <v>241.38</v>
      </c>
      <c r="H106" s="4">
        <v>495.64920000000001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1959</v>
      </c>
      <c r="F107" s="8">
        <v>1.5093000000000001</v>
      </c>
      <c r="G107" s="4">
        <v>341.43270000000001</v>
      </c>
      <c r="H107" s="4">
        <v>493.07240000000002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1981</v>
      </c>
      <c r="F108" s="8">
        <v>1.6478999999999999</v>
      </c>
      <c r="G108" s="4">
        <v>377.41770000000002</v>
      </c>
      <c r="H108" s="4">
        <v>556.40170000000001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1977</v>
      </c>
      <c r="F109" s="8">
        <v>1.4282999999999999</v>
      </c>
      <c r="G109" s="4">
        <v>308.67809999999997</v>
      </c>
      <c r="H109" s="4">
        <v>464.66050000000001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1964</v>
      </c>
      <c r="F110" s="8">
        <v>1.4723999999999999</v>
      </c>
      <c r="G110" s="4">
        <v>231.83680000000001</v>
      </c>
      <c r="H110" s="4">
        <v>495.71140000000003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1969</v>
      </c>
      <c r="F111" s="8">
        <v>1.6207</v>
      </c>
      <c r="G111" s="4">
        <v>250.50530000000001</v>
      </c>
      <c r="H111" s="4">
        <v>541.97630000000004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1958</v>
      </c>
      <c r="F112" s="8">
        <v>1.5674999999999999</v>
      </c>
      <c r="G112" s="4">
        <v>233.64490000000001</v>
      </c>
      <c r="H112" s="4">
        <v>595.35389999999995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1953</v>
      </c>
      <c r="F113" s="8">
        <v>1.4711000000000001</v>
      </c>
      <c r="G113" s="4">
        <v>200.88720000000001</v>
      </c>
      <c r="H113" s="4">
        <v>513.30179999999996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1992</v>
      </c>
      <c r="F114" s="8">
        <v>2.0223</v>
      </c>
      <c r="G114" s="4">
        <v>284.39389999999997</v>
      </c>
      <c r="H114" s="4">
        <v>636.61789999999996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1972</v>
      </c>
      <c r="F115" s="8">
        <v>1.6253</v>
      </c>
      <c r="G115" s="4">
        <v>264.40480000000002</v>
      </c>
      <c r="H115" s="4">
        <v>538.15110000000004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1963</v>
      </c>
      <c r="F116" s="8">
        <v>1.5709</v>
      </c>
      <c r="G116" s="4">
        <v>197.17009999999999</v>
      </c>
      <c r="H116" s="4">
        <v>509.80180000000001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1962</v>
      </c>
      <c r="F117" s="8">
        <v>1.5923</v>
      </c>
      <c r="G117" s="4">
        <v>192.3304</v>
      </c>
      <c r="H117" s="4">
        <v>510.0059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1964</v>
      </c>
      <c r="F118" s="8">
        <v>1.9539</v>
      </c>
      <c r="G118" s="4">
        <v>262.04129999999998</v>
      </c>
      <c r="H118" s="4">
        <v>838.68870000000004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2012</v>
      </c>
      <c r="F119" s="8">
        <v>1.9438</v>
      </c>
      <c r="G119" s="4">
        <v>236.8426</v>
      </c>
      <c r="H119" s="4">
        <v>641.69389999999999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1976</v>
      </c>
      <c r="F120" s="8">
        <v>1.9025000000000001</v>
      </c>
      <c r="G120" s="4">
        <v>261.55059999999997</v>
      </c>
      <c r="H120" s="4">
        <v>608.67420000000004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1981</v>
      </c>
      <c r="F121" s="8">
        <v>1.6520999999999999</v>
      </c>
      <c r="G121" s="4">
        <v>264.0016</v>
      </c>
      <c r="H121" s="4">
        <v>573.49689999999998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1967</v>
      </c>
      <c r="F122" s="8">
        <v>1.7958000000000001</v>
      </c>
      <c r="G122" s="4">
        <v>250.57159999999999</v>
      </c>
      <c r="H122" s="4">
        <v>587.47450000000003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1975</v>
      </c>
      <c r="F123" s="8">
        <v>1.6701999999999999</v>
      </c>
      <c r="G123" s="4">
        <v>267.81130000000002</v>
      </c>
      <c r="H123" s="4">
        <v>551.9873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2003</v>
      </c>
      <c r="F124" s="8">
        <v>1.4401999999999999</v>
      </c>
      <c r="G124" s="4">
        <v>221.1276</v>
      </c>
      <c r="H124" s="4">
        <v>470.93709999999999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1970</v>
      </c>
      <c r="F125" s="8">
        <v>1.4642999999999999</v>
      </c>
      <c r="G125" s="4">
        <v>228.53129999999999</v>
      </c>
      <c r="H125" s="4">
        <v>506.65589999999997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1957</v>
      </c>
      <c r="F126" s="8">
        <v>1.4069</v>
      </c>
      <c r="G126" s="4">
        <v>197.4085</v>
      </c>
      <c r="H126" s="4">
        <v>485.09840000000003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1971</v>
      </c>
      <c r="F127" s="8">
        <v>1.3787</v>
      </c>
      <c r="G127" s="4">
        <v>190.78219999999999</v>
      </c>
      <c r="H127" s="4">
        <v>465.55270000000002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2019</v>
      </c>
      <c r="F128" s="8">
        <v>1.5233000000000001</v>
      </c>
      <c r="G128" s="4">
        <v>210.8468</v>
      </c>
      <c r="H128" s="4">
        <v>515.99599999999998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2009</v>
      </c>
      <c r="F129" s="8">
        <v>1.4602999999999999</v>
      </c>
      <c r="G129" s="4">
        <v>187.44710000000001</v>
      </c>
      <c r="H129" s="4">
        <v>497.05119999999999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2018</v>
      </c>
      <c r="F130" s="8">
        <v>1.4879</v>
      </c>
      <c r="G130" s="4">
        <v>194.03100000000001</v>
      </c>
      <c r="H130" s="4">
        <v>536.20770000000005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2001</v>
      </c>
      <c r="F131" s="8">
        <v>1.6903999999999999</v>
      </c>
      <c r="G131" s="4">
        <v>218.18799999999999</v>
      </c>
      <c r="H131" s="4">
        <v>615.3202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1992</v>
      </c>
      <c r="F132" s="8">
        <v>1.5302</v>
      </c>
      <c r="G132" s="4">
        <v>204.7878</v>
      </c>
      <c r="H132" s="4">
        <v>568.19100000000003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1997</v>
      </c>
      <c r="F133" s="8">
        <v>1.4556</v>
      </c>
      <c r="G133" s="4">
        <v>186.2149</v>
      </c>
      <c r="H133" s="4">
        <v>472.02269999999999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1994</v>
      </c>
      <c r="F134" s="8">
        <v>1.4315</v>
      </c>
      <c r="G134" s="4">
        <v>167.77860000000001</v>
      </c>
      <c r="H134" s="4">
        <v>501.05500000000001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1984</v>
      </c>
      <c r="F135" s="8">
        <v>1.4351</v>
      </c>
      <c r="G135" s="4">
        <v>191.30279999999999</v>
      </c>
      <c r="H135" s="4">
        <v>508.49459999999999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2009</v>
      </c>
      <c r="F136" s="8">
        <v>1.5452999999999999</v>
      </c>
      <c r="G136" s="4">
        <v>199.53639999999999</v>
      </c>
      <c r="H136" s="4">
        <v>548.40419999999995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2003</v>
      </c>
      <c r="F137" s="8">
        <v>1.4504999999999999</v>
      </c>
      <c r="G137" s="4">
        <v>170.23580000000001</v>
      </c>
      <c r="H137" s="4">
        <v>494.4151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1989</v>
      </c>
      <c r="F138" s="8">
        <v>1.4653</v>
      </c>
      <c r="G138" s="4">
        <v>188.6404</v>
      </c>
      <c r="H138" s="4">
        <v>484.37990000000002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1991</v>
      </c>
      <c r="F139" s="8">
        <v>1.4175</v>
      </c>
      <c r="G139" s="4">
        <v>184.6704</v>
      </c>
      <c r="H139" s="4">
        <v>475.75760000000002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1996</v>
      </c>
      <c r="F140" s="8">
        <v>1.6737</v>
      </c>
      <c r="G140" s="4">
        <v>213.93610000000001</v>
      </c>
      <c r="H140" s="4">
        <v>614.44389999999999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1977</v>
      </c>
      <c r="F141" s="8">
        <v>1.5778000000000001</v>
      </c>
      <c r="G141" s="4">
        <v>206.2604</v>
      </c>
      <c r="H141" s="4">
        <v>544.53930000000003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1998</v>
      </c>
      <c r="F142" s="8">
        <v>1.4464999999999999</v>
      </c>
      <c r="G142" s="4">
        <v>238.8545</v>
      </c>
      <c r="H142" s="4">
        <v>494.67919999999998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2022</v>
      </c>
      <c r="F143" s="8">
        <v>1.4785999999999999</v>
      </c>
      <c r="G143" s="4">
        <v>210.29140000000001</v>
      </c>
      <c r="H143" s="4">
        <v>496.37549999999999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1978</v>
      </c>
      <c r="F144" s="8">
        <v>1.7403</v>
      </c>
      <c r="G144" s="4">
        <v>195.98159999999999</v>
      </c>
      <c r="H144" s="4">
        <v>597.89149999999995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1979</v>
      </c>
      <c r="F145" s="8">
        <v>1.6117999999999999</v>
      </c>
      <c r="G145" s="4">
        <v>202.25810000000001</v>
      </c>
      <c r="H145" s="4">
        <v>559.07650000000001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1996</v>
      </c>
      <c r="F146" s="8">
        <v>1.5111000000000001</v>
      </c>
      <c r="G146" s="4">
        <v>192.41659999999999</v>
      </c>
      <c r="H146" s="4">
        <v>492.9991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1978</v>
      </c>
      <c r="F147" s="8">
        <v>1.508</v>
      </c>
      <c r="G147" s="4">
        <v>233.51599999999999</v>
      </c>
      <c r="H147" s="4">
        <v>505.98450000000003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1984</v>
      </c>
      <c r="F148" s="8">
        <v>1.6052</v>
      </c>
      <c r="G148" s="4">
        <v>201.5993</v>
      </c>
      <c r="H148" s="4">
        <v>553.41010000000006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1971</v>
      </c>
      <c r="F149" s="8">
        <v>1.6101000000000001</v>
      </c>
      <c r="G149" s="4">
        <v>198.29929999999999</v>
      </c>
      <c r="H149" s="4">
        <v>580.90679999999998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1980</v>
      </c>
      <c r="F150" s="8">
        <v>1.4644999999999999</v>
      </c>
      <c r="G150" s="4">
        <v>192.2253</v>
      </c>
      <c r="H150" s="4">
        <v>568.45759999999996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1995</v>
      </c>
      <c r="F151" s="8">
        <v>1.5361</v>
      </c>
      <c r="G151" s="4">
        <v>207.6593</v>
      </c>
      <c r="H151" s="4">
        <v>558.4171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1995</v>
      </c>
      <c r="F152" s="8">
        <v>1.5649999999999999</v>
      </c>
      <c r="G152" s="4">
        <v>220.83760000000001</v>
      </c>
      <c r="H152" s="4">
        <v>593.12329999999997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2016</v>
      </c>
      <c r="F153" s="8">
        <v>1.5172000000000001</v>
      </c>
      <c r="G153" s="4">
        <v>207.5316</v>
      </c>
      <c r="H153" s="4">
        <v>569.024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2018</v>
      </c>
      <c r="F154" s="8">
        <v>2.1406000000000001</v>
      </c>
      <c r="G154" s="4">
        <v>281.11349999999999</v>
      </c>
      <c r="H154" s="4">
        <v>826.2568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1989</v>
      </c>
      <c r="F155" s="8">
        <v>1.9632000000000001</v>
      </c>
      <c r="G155" s="4">
        <v>256.73579999999998</v>
      </c>
      <c r="H155" s="4">
        <v>817.43309999999997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2009</v>
      </c>
      <c r="F156" s="8">
        <v>1.6588000000000001</v>
      </c>
      <c r="G156" s="4">
        <v>262.30259999999998</v>
      </c>
      <c r="H156" s="4">
        <v>635.76570000000004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1994</v>
      </c>
      <c r="F157" s="8">
        <v>1.4973000000000001</v>
      </c>
      <c r="G157" s="4">
        <v>222.67349999999999</v>
      </c>
      <c r="H157" s="4">
        <v>582.26480000000004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1878</v>
      </c>
      <c r="F158" s="8">
        <v>0.39350000000000002</v>
      </c>
      <c r="G158" s="4">
        <v>79.150899999999993</v>
      </c>
      <c r="H158" s="4">
        <v>95.228300000000004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2027</v>
      </c>
      <c r="F159" s="8">
        <v>1.8424</v>
      </c>
      <c r="G159" s="4">
        <v>296.4074</v>
      </c>
      <c r="H159" s="4">
        <v>672.35919999999999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2017</v>
      </c>
      <c r="F160" s="8">
        <v>1.8726</v>
      </c>
      <c r="G160" s="4">
        <v>310.97000000000003</v>
      </c>
      <c r="H160" s="4">
        <v>684.70690000000002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2012</v>
      </c>
      <c r="F161" s="8">
        <v>2.0182000000000002</v>
      </c>
      <c r="G161" s="4">
        <v>337.69159999999999</v>
      </c>
      <c r="H161" s="4">
        <v>768.33230000000003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2000</v>
      </c>
      <c r="F162" s="8">
        <v>1.9477</v>
      </c>
      <c r="G162" s="4">
        <v>331.76119999999997</v>
      </c>
      <c r="H162" s="4">
        <v>730.88559999999995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2043</v>
      </c>
      <c r="F163" s="8">
        <v>1.919</v>
      </c>
      <c r="G163" s="4">
        <v>315.22039999999998</v>
      </c>
      <c r="H163" s="4">
        <v>710.73220000000003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2025</v>
      </c>
      <c r="F164" s="8">
        <v>1.8512999999999999</v>
      </c>
      <c r="G164" s="4">
        <v>286.32940000000002</v>
      </c>
      <c r="H164" s="4">
        <v>663.99519999999995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2018</v>
      </c>
      <c r="F165" s="8">
        <v>1.8939999999999999</v>
      </c>
      <c r="G165" s="4">
        <v>343.0419</v>
      </c>
      <c r="H165" s="4">
        <v>674.154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2018</v>
      </c>
      <c r="F166" s="8">
        <v>1.6379999999999999</v>
      </c>
      <c r="G166" s="4">
        <v>256.66629999999998</v>
      </c>
      <c r="H166" s="4">
        <v>612.66629999999998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2031</v>
      </c>
      <c r="F167" s="8">
        <v>2.4470000000000001</v>
      </c>
      <c r="G167" s="4">
        <v>496.9837</v>
      </c>
      <c r="H167" s="4">
        <v>1474.5998999999999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2051</v>
      </c>
      <c r="F168" s="8">
        <v>1.8875999999999999</v>
      </c>
      <c r="G168" s="4">
        <v>329.24489999999997</v>
      </c>
      <c r="H168" s="4">
        <v>631.58550000000002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2020</v>
      </c>
      <c r="F169" s="8">
        <v>1.8636999999999999</v>
      </c>
      <c r="G169" s="4">
        <v>342.43810000000002</v>
      </c>
      <c r="H169" s="4">
        <v>670.69749999999999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2049</v>
      </c>
      <c r="F170" s="8">
        <v>1.9689000000000001</v>
      </c>
      <c r="G170" s="4">
        <v>343.47469999999998</v>
      </c>
      <c r="H170" s="4">
        <v>715.72720000000004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2035</v>
      </c>
      <c r="F171" s="8">
        <v>2.0013999999999998</v>
      </c>
      <c r="G171" s="4">
        <v>349.4359</v>
      </c>
      <c r="H171" s="4">
        <v>720.20339999999999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2034</v>
      </c>
      <c r="F172" s="8">
        <v>2.0234000000000001</v>
      </c>
      <c r="G172" s="4">
        <v>333.4606</v>
      </c>
      <c r="H172" s="4">
        <v>681.12099999999998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2036</v>
      </c>
      <c r="F173" s="8">
        <v>2.0874000000000001</v>
      </c>
      <c r="G173" s="4">
        <v>412.75349999999997</v>
      </c>
      <c r="H173" s="4">
        <v>693.76099999999997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2043</v>
      </c>
      <c r="F174" s="8">
        <v>1.903</v>
      </c>
      <c r="G174" s="4">
        <v>417.95170000000002</v>
      </c>
      <c r="H174" s="4">
        <v>626.25250000000005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2035</v>
      </c>
      <c r="F175" s="8">
        <v>1.8087</v>
      </c>
      <c r="G175" s="4">
        <v>358.53640000000001</v>
      </c>
      <c r="H175" s="4">
        <v>610.03530000000001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2016</v>
      </c>
      <c r="F176" s="8">
        <v>1.8536999999999999</v>
      </c>
      <c r="G176" s="4">
        <v>406.71929999999998</v>
      </c>
      <c r="H176" s="4">
        <v>643.0136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2033</v>
      </c>
      <c r="F177" s="8">
        <v>1.8006</v>
      </c>
      <c r="G177" s="4">
        <v>332.92880000000002</v>
      </c>
      <c r="H177" s="4">
        <v>565.86249999999995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2030</v>
      </c>
      <c r="F178" s="8">
        <v>1.8249</v>
      </c>
      <c r="G178" s="4">
        <v>345.6576</v>
      </c>
      <c r="H178" s="4">
        <v>616.23270000000002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2035</v>
      </c>
      <c r="F179" s="8">
        <v>1.8269</v>
      </c>
      <c r="G179" s="4">
        <v>337.61399999999998</v>
      </c>
      <c r="H179" s="4">
        <v>624.7885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2035</v>
      </c>
      <c r="F180" s="8">
        <v>1.7450000000000001</v>
      </c>
      <c r="G180" s="4">
        <v>280.79559999999998</v>
      </c>
      <c r="H180" s="4">
        <v>589.25609999999995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2034</v>
      </c>
      <c r="F181" s="8">
        <v>1.7596000000000001</v>
      </c>
      <c r="G181" s="4">
        <v>297.62630000000001</v>
      </c>
      <c r="H181" s="4">
        <v>687.82780000000002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2048</v>
      </c>
      <c r="F182" s="8">
        <v>2.3668</v>
      </c>
      <c r="G182" s="4">
        <v>377.61500000000001</v>
      </c>
      <c r="H182" s="4">
        <v>762.08090000000004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2016</v>
      </c>
      <c r="F183" s="8">
        <v>2.2282999999999999</v>
      </c>
      <c r="G183" s="4">
        <v>355.96379999999999</v>
      </c>
      <c r="H183" s="4">
        <v>696.50969999999995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2012</v>
      </c>
      <c r="F184" s="8">
        <v>1.8254999999999999</v>
      </c>
      <c r="G184" s="4">
        <v>338.50189999999998</v>
      </c>
      <c r="H184" s="4">
        <v>574.67629999999997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2028</v>
      </c>
      <c r="F185" s="8">
        <v>1.7494000000000001</v>
      </c>
      <c r="G185" s="4">
        <v>313.58530000000002</v>
      </c>
      <c r="H185" s="4">
        <v>578.8193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2051</v>
      </c>
      <c r="F186" s="8">
        <v>1.5306999999999999</v>
      </c>
      <c r="G186" s="4">
        <v>270.26589999999999</v>
      </c>
      <c r="H186" s="4">
        <v>478.70690000000002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2046</v>
      </c>
      <c r="F187" s="8">
        <v>1.6609</v>
      </c>
      <c r="G187" s="4">
        <v>276.2921</v>
      </c>
      <c r="H187" s="4">
        <v>516.10249999999996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2016</v>
      </c>
      <c r="F188" s="8">
        <v>1.554</v>
      </c>
      <c r="G188" s="4">
        <v>245.04339999999999</v>
      </c>
      <c r="H188" s="4">
        <v>511.99020000000002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2017</v>
      </c>
      <c r="F189" s="8">
        <v>1.6061000000000001</v>
      </c>
      <c r="G189" s="4">
        <v>325.80009999999999</v>
      </c>
      <c r="H189" s="4">
        <v>550.26499999999999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2008</v>
      </c>
      <c r="F190" s="8">
        <v>1.3428</v>
      </c>
      <c r="G190" s="4">
        <v>271.0301</v>
      </c>
      <c r="H190" s="4">
        <v>416.76769999999999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2074</v>
      </c>
      <c r="F191" s="8">
        <v>1.8621000000000001</v>
      </c>
      <c r="G191" s="4">
        <v>426.00599999999997</v>
      </c>
      <c r="H191" s="4">
        <v>635.31970000000001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2069</v>
      </c>
      <c r="F192" s="8">
        <v>1.9734</v>
      </c>
      <c r="G192" s="4">
        <v>378.79340000000002</v>
      </c>
      <c r="H192" s="4">
        <v>674.28009999999995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2057</v>
      </c>
      <c r="F193" s="8">
        <v>2.2016</v>
      </c>
      <c r="G193" s="4">
        <v>428.01780000000002</v>
      </c>
      <c r="H193" s="4">
        <v>778.3492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2034</v>
      </c>
      <c r="F194" s="8">
        <v>2.0733000000000001</v>
      </c>
      <c r="G194" s="4">
        <v>396.76609999999999</v>
      </c>
      <c r="H194" s="4">
        <v>730.70730000000003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2059</v>
      </c>
      <c r="F195" s="8">
        <v>2.1229</v>
      </c>
      <c r="G195" s="4">
        <v>381.32870000000003</v>
      </c>
      <c r="H195" s="4">
        <v>758.76549999999997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2066</v>
      </c>
      <c r="F196" s="8">
        <v>2.0768</v>
      </c>
      <c r="G196" s="4">
        <v>329.79579999999999</v>
      </c>
      <c r="H196" s="4">
        <v>721.42960000000005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2028</v>
      </c>
      <c r="F197" s="8">
        <v>2.1859000000000002</v>
      </c>
      <c r="G197" s="4">
        <v>424.31360000000001</v>
      </c>
      <c r="H197" s="4">
        <v>817.73469999999998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2056</v>
      </c>
      <c r="F198" s="8">
        <v>2.3203999999999998</v>
      </c>
      <c r="G198" s="4">
        <v>452.23329999999999</v>
      </c>
      <c r="H198" s="4">
        <v>853.34069999999997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2025</v>
      </c>
      <c r="F199" s="8">
        <v>1.9097</v>
      </c>
      <c r="G199" s="4">
        <v>294.26749999999998</v>
      </c>
      <c r="H199" s="4">
        <v>701.95899999999995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2041</v>
      </c>
      <c r="F200" s="8">
        <v>2.0638999999999998</v>
      </c>
      <c r="G200" s="4">
        <v>463.2287</v>
      </c>
      <c r="H200" s="4">
        <v>752.29190000000006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2077</v>
      </c>
      <c r="F201" s="8">
        <v>2.0426000000000002</v>
      </c>
      <c r="G201" s="4">
        <v>344.37599999999998</v>
      </c>
      <c r="H201" s="4">
        <v>727.58389999999997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2035</v>
      </c>
      <c r="F202" s="8">
        <v>1.6814</v>
      </c>
      <c r="G202" s="4">
        <v>264.89490000000001</v>
      </c>
      <c r="H202" s="4">
        <v>617.8723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2030</v>
      </c>
      <c r="F203" s="8">
        <v>1.8319000000000001</v>
      </c>
      <c r="G203" s="4">
        <v>287.60160000000002</v>
      </c>
      <c r="H203" s="4">
        <v>655.47019999999998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2040</v>
      </c>
      <c r="F204" s="8">
        <v>2.1621999999999999</v>
      </c>
      <c r="G204" s="4">
        <v>323.70909999999998</v>
      </c>
      <c r="H204" s="4">
        <v>809.62429999999995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2034</v>
      </c>
      <c r="F205" s="8">
        <v>2.3153000000000001</v>
      </c>
      <c r="G205" s="4">
        <v>354.86590000000001</v>
      </c>
      <c r="H205" s="4">
        <v>835.05909999999994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2034</v>
      </c>
      <c r="F206" s="8">
        <v>2.1284999999999998</v>
      </c>
      <c r="G206" s="4">
        <v>308.3605</v>
      </c>
      <c r="H206" s="4">
        <v>740.62649999999996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2012</v>
      </c>
      <c r="F207" s="8">
        <v>2.1974999999999998</v>
      </c>
      <c r="G207" s="4">
        <v>292.01049999999998</v>
      </c>
      <c r="H207" s="4">
        <v>709.86350000000004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1999</v>
      </c>
      <c r="F208" s="8">
        <v>2.0592000000000001</v>
      </c>
      <c r="G208" s="4">
        <v>335.29640000000001</v>
      </c>
      <c r="H208" s="4">
        <v>712.41610000000003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1996</v>
      </c>
      <c r="F209" s="8">
        <v>2.2284000000000002</v>
      </c>
      <c r="G209" s="4">
        <v>348.84210000000002</v>
      </c>
      <c r="H209" s="4">
        <v>844.98739999999998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2034</v>
      </c>
      <c r="F210" s="8">
        <v>2.4895</v>
      </c>
      <c r="G210" s="4">
        <v>381.34559999999999</v>
      </c>
      <c r="H210" s="4">
        <v>875.99699999999996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2031</v>
      </c>
      <c r="F211" s="8">
        <v>2.5318999999999998</v>
      </c>
      <c r="G211" s="4">
        <v>362.49119999999999</v>
      </c>
      <c r="H211" s="4">
        <v>1004.7044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2018</v>
      </c>
      <c r="F212" s="8">
        <v>2.4615999999999998</v>
      </c>
      <c r="G212" s="4">
        <v>364.85500000000002</v>
      </c>
      <c r="H212" s="4">
        <v>913.16949999999997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2010</v>
      </c>
      <c r="F213" s="8">
        <v>2.4470000000000001</v>
      </c>
      <c r="G213" s="4">
        <v>400.85550000000001</v>
      </c>
      <c r="H213" s="4">
        <v>902.87599999999998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2010</v>
      </c>
      <c r="F214" s="8">
        <v>2.4775999999999998</v>
      </c>
      <c r="G214" s="4">
        <v>413.88830000000002</v>
      </c>
      <c r="H214" s="4">
        <v>953.09630000000004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2066</v>
      </c>
      <c r="F215" s="8">
        <v>2.3104</v>
      </c>
      <c r="G215" s="4">
        <v>314.66890000000001</v>
      </c>
      <c r="H215" s="4">
        <v>770.7885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2045</v>
      </c>
      <c r="F216" s="8">
        <v>2.2816000000000001</v>
      </c>
      <c r="G216" s="4">
        <v>343.35899999999998</v>
      </c>
      <c r="H216" s="4">
        <v>820.37580000000003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2024</v>
      </c>
      <c r="F217" s="8">
        <v>2.1288999999999998</v>
      </c>
      <c r="G217" s="4">
        <v>287.6277</v>
      </c>
      <c r="H217" s="4">
        <v>788.58079999999995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2044</v>
      </c>
      <c r="F218" s="8">
        <v>1.9764999999999999</v>
      </c>
      <c r="G218" s="4">
        <v>292.67540000000002</v>
      </c>
      <c r="H218" s="4">
        <v>667.97829999999999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2011</v>
      </c>
      <c r="F219" s="8">
        <v>2.0789</v>
      </c>
      <c r="G219" s="4">
        <v>300.74160000000001</v>
      </c>
      <c r="H219" s="4">
        <v>728.62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2055</v>
      </c>
      <c r="F220" s="8">
        <v>2.0228000000000002</v>
      </c>
      <c r="G220" s="4">
        <v>273.12909999999999</v>
      </c>
      <c r="H220" s="4">
        <v>687.79150000000004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2026</v>
      </c>
      <c r="F221" s="8">
        <v>2.1374</v>
      </c>
      <c r="G221" s="4">
        <v>334.51010000000002</v>
      </c>
      <c r="H221" s="4">
        <v>769.6481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2022</v>
      </c>
      <c r="F222" s="8">
        <v>2.1518000000000002</v>
      </c>
      <c r="G222" s="4">
        <v>398.91340000000002</v>
      </c>
      <c r="H222" s="4">
        <v>770.39970000000005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2022</v>
      </c>
      <c r="F223" s="8">
        <v>2.3854000000000002</v>
      </c>
      <c r="G223" s="4">
        <v>446.30540000000002</v>
      </c>
      <c r="H223" s="4">
        <v>818.24649999999997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2014</v>
      </c>
      <c r="F224" s="8">
        <v>2.4916999999999998</v>
      </c>
      <c r="G224" s="4">
        <v>473.9443</v>
      </c>
      <c r="H224" s="4">
        <v>840.02480000000003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2038</v>
      </c>
      <c r="F225" s="8">
        <v>2.3136999999999999</v>
      </c>
      <c r="G225" s="4">
        <v>329.71109999999999</v>
      </c>
      <c r="H225" s="4">
        <v>744.73339999999996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2011</v>
      </c>
      <c r="F226" s="8">
        <v>2.2046999999999999</v>
      </c>
      <c r="G226" s="4">
        <v>336.11500000000001</v>
      </c>
      <c r="H226" s="4">
        <v>758.98829999999998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1922</v>
      </c>
      <c r="F227" s="8">
        <v>1.3716999999999999</v>
      </c>
      <c r="G227" s="4">
        <v>222.63339999999999</v>
      </c>
      <c r="H227" s="4">
        <v>457.97160000000002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2026</v>
      </c>
      <c r="F228" s="8">
        <v>2.3614000000000002</v>
      </c>
      <c r="G228" s="4">
        <v>388.13510000000002</v>
      </c>
      <c r="H228" s="4">
        <v>843.04280000000006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2039</v>
      </c>
      <c r="F229" s="8">
        <v>2.9542000000000002</v>
      </c>
      <c r="G229" s="4">
        <v>500.23239999999998</v>
      </c>
      <c r="H229" s="4">
        <v>1157.6030000000001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2077</v>
      </c>
      <c r="F230" s="8">
        <v>2.1610999999999998</v>
      </c>
      <c r="G230" s="4">
        <v>358.37650000000002</v>
      </c>
      <c r="H230" s="4">
        <v>669.29920000000004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2011</v>
      </c>
      <c r="F231" s="8">
        <v>2.3572000000000002</v>
      </c>
      <c r="G231" s="4">
        <v>385.87939999999998</v>
      </c>
      <c r="H231" s="4">
        <v>746.4633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2033</v>
      </c>
      <c r="F232" s="8">
        <v>2.3717999999999999</v>
      </c>
      <c r="G232" s="4">
        <v>386.57549999999998</v>
      </c>
      <c r="H232" s="4">
        <v>794.93629999999996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2033</v>
      </c>
      <c r="F233" s="8">
        <v>2.3451</v>
      </c>
      <c r="G233" s="4">
        <v>406.61919999999998</v>
      </c>
      <c r="H233" s="4">
        <v>809.13639999999998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2038</v>
      </c>
      <c r="F234" s="8">
        <v>2.3656999999999999</v>
      </c>
      <c r="G234" s="4">
        <v>361.83179999999999</v>
      </c>
      <c r="H234" s="4">
        <v>771.71990000000005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2079</v>
      </c>
      <c r="F235" s="8">
        <v>1.9639</v>
      </c>
      <c r="G235" s="4">
        <v>287.99250000000001</v>
      </c>
      <c r="H235" s="4">
        <v>604.45889999999997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2032</v>
      </c>
      <c r="F236" s="8">
        <v>2.0781000000000001</v>
      </c>
      <c r="G236" s="4">
        <v>332.00760000000002</v>
      </c>
      <c r="H236" s="4">
        <v>707.8175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2038</v>
      </c>
      <c r="F237" s="8">
        <v>1.7561</v>
      </c>
      <c r="G237" s="4">
        <v>254.51070000000001</v>
      </c>
      <c r="H237" s="4">
        <v>543.91690000000006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2045</v>
      </c>
      <c r="F238" s="8">
        <v>2.1812999999999998</v>
      </c>
      <c r="G238" s="4">
        <v>327.60000000000002</v>
      </c>
      <c r="H238" s="4">
        <v>672.56960000000004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2084</v>
      </c>
      <c r="F239" s="8">
        <v>2.0213000000000001</v>
      </c>
      <c r="G239" s="4">
        <v>282.26780000000002</v>
      </c>
      <c r="H239" s="4">
        <v>600.04300000000001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2038</v>
      </c>
      <c r="F240" s="8">
        <v>1.8853</v>
      </c>
      <c r="G240" s="4">
        <v>257.25349999999997</v>
      </c>
      <c r="H240" s="4">
        <v>589.97199999999998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2030</v>
      </c>
      <c r="F241" s="8">
        <v>1.8878999999999999</v>
      </c>
      <c r="G241" s="4">
        <v>257.56639999999999</v>
      </c>
      <c r="H241" s="4">
        <v>594.72130000000004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2053</v>
      </c>
      <c r="F242" s="8">
        <v>2.0501999999999998</v>
      </c>
      <c r="G242" s="4">
        <v>292.68349999999998</v>
      </c>
      <c r="H242" s="4">
        <v>634.59140000000002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2021</v>
      </c>
      <c r="F243" s="8">
        <v>2.4251</v>
      </c>
      <c r="G243" s="4">
        <v>386.50630000000001</v>
      </c>
      <c r="H243" s="4">
        <v>939.16830000000004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2075</v>
      </c>
      <c r="F244" s="8">
        <v>1.8374999999999999</v>
      </c>
      <c r="G244" s="4">
        <v>236.1037</v>
      </c>
      <c r="H244" s="4">
        <v>578.60339999999997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2033</v>
      </c>
      <c r="F245" s="8">
        <v>1.8605</v>
      </c>
      <c r="G245" s="4">
        <v>237.97110000000001</v>
      </c>
      <c r="H245" s="4">
        <v>617.33240000000001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2014</v>
      </c>
      <c r="F246" s="8">
        <v>1.8876999999999999</v>
      </c>
      <c r="G246" s="4">
        <v>252.64070000000001</v>
      </c>
      <c r="H246" s="4">
        <v>581.96230000000003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2040</v>
      </c>
      <c r="F247" s="8">
        <v>2.2303000000000002</v>
      </c>
      <c r="G247" s="4">
        <v>340.02730000000003</v>
      </c>
      <c r="H247" s="4">
        <v>697.77949999999998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2025</v>
      </c>
      <c r="F248" s="8">
        <v>1.8532</v>
      </c>
      <c r="G248" s="4">
        <v>281.96460000000002</v>
      </c>
      <c r="H248" s="4">
        <v>582.44820000000004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2067</v>
      </c>
      <c r="F249" s="8">
        <v>1.9845999999999999</v>
      </c>
      <c r="G249" s="4">
        <v>283.63679999999999</v>
      </c>
      <c r="H249" s="4">
        <v>684.74429999999995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2019</v>
      </c>
      <c r="F250" s="8">
        <v>1.7524999999999999</v>
      </c>
      <c r="G250" s="4">
        <v>244.80199999999999</v>
      </c>
      <c r="H250" s="4">
        <v>567.78399999999999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2012</v>
      </c>
      <c r="F251" s="8">
        <v>1.7270000000000001</v>
      </c>
      <c r="G251" s="4">
        <v>254.68549999999999</v>
      </c>
      <c r="H251" s="4">
        <v>587.65509999999995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2085</v>
      </c>
      <c r="F252" s="8">
        <v>1.9927999999999999</v>
      </c>
      <c r="G252" s="4">
        <v>262.875</v>
      </c>
      <c r="H252" s="4">
        <v>651.69129999999996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2014</v>
      </c>
      <c r="F253" s="8">
        <v>1.8771</v>
      </c>
      <c r="G253" s="4">
        <v>246.6121</v>
      </c>
      <c r="H253" s="4">
        <v>647.23320000000001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2034</v>
      </c>
      <c r="F254" s="8">
        <v>2.0259999999999998</v>
      </c>
      <c r="G254" s="4">
        <v>243.44720000000001</v>
      </c>
      <c r="H254" s="4">
        <v>723.50049999999999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2052</v>
      </c>
      <c r="F255" s="8">
        <v>2.0720000000000001</v>
      </c>
      <c r="G255" s="4">
        <v>277.66300000000001</v>
      </c>
      <c r="H255" s="4">
        <v>716.65350000000001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2023</v>
      </c>
      <c r="F256" s="8">
        <v>2.0306000000000002</v>
      </c>
      <c r="G256" s="4">
        <v>265.70650000000001</v>
      </c>
      <c r="H256" s="4">
        <v>706.16399999999999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2077</v>
      </c>
      <c r="F257" s="8">
        <v>2.7136</v>
      </c>
      <c r="G257" s="4">
        <v>348.86810000000003</v>
      </c>
      <c r="H257" s="4">
        <v>840.28719999999998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2005</v>
      </c>
      <c r="F258" s="8">
        <v>2.0807000000000002</v>
      </c>
      <c r="G258" s="4">
        <v>277.24979999999999</v>
      </c>
      <c r="H258" s="4">
        <v>726.75810000000001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2015</v>
      </c>
      <c r="F259" s="8">
        <v>2.0354000000000001</v>
      </c>
      <c r="G259" s="4">
        <v>254.84889999999999</v>
      </c>
      <c r="H259" s="4">
        <v>705.33019999999999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2008</v>
      </c>
      <c r="F260" s="8">
        <v>1.8586</v>
      </c>
      <c r="G260" s="4">
        <v>226.39840000000001</v>
      </c>
      <c r="H260" s="4">
        <v>660.91790000000003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2054</v>
      </c>
      <c r="F261" s="8">
        <v>2.1671</v>
      </c>
      <c r="G261" s="4">
        <v>245.9331</v>
      </c>
      <c r="H261" s="4">
        <v>681.0317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2023</v>
      </c>
      <c r="F262" s="8">
        <v>1.9650000000000001</v>
      </c>
      <c r="G262" s="4">
        <v>237.76580000000001</v>
      </c>
      <c r="H262" s="4">
        <v>699.39319999999998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2021</v>
      </c>
      <c r="F263" s="8">
        <v>2.0926</v>
      </c>
      <c r="G263" s="4">
        <v>252.0814</v>
      </c>
      <c r="H263" s="4">
        <v>707.51490000000001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2010</v>
      </c>
      <c r="F264" s="8">
        <v>1.9551000000000001</v>
      </c>
      <c r="G264" s="4">
        <v>252.49680000000001</v>
      </c>
      <c r="H264" s="4">
        <v>655.45150000000001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2052</v>
      </c>
      <c r="F265" s="8">
        <v>1.7948</v>
      </c>
      <c r="G265" s="4">
        <v>228.12119999999999</v>
      </c>
      <c r="H265" s="4">
        <v>641.6893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2011</v>
      </c>
      <c r="F266" s="8">
        <v>1.8911</v>
      </c>
      <c r="G266" s="4">
        <v>247.68350000000001</v>
      </c>
      <c r="H266" s="4">
        <v>652.25440000000003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2025</v>
      </c>
      <c r="F267" s="8">
        <v>2.028</v>
      </c>
      <c r="G267" s="4">
        <v>258.1918</v>
      </c>
      <c r="H267" s="4">
        <v>741.59249999999997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2019</v>
      </c>
      <c r="F268" s="8">
        <v>2.0049000000000001</v>
      </c>
      <c r="G268" s="4">
        <v>292.68290000000002</v>
      </c>
      <c r="H268" s="4">
        <v>758.07280000000003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2000</v>
      </c>
      <c r="F269" s="8">
        <v>2.1913999999999998</v>
      </c>
      <c r="G269" s="4">
        <v>335.15379999999999</v>
      </c>
      <c r="H269" s="4">
        <v>803.67639999999994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2069</v>
      </c>
      <c r="F270" s="8">
        <v>2.1099000000000001</v>
      </c>
      <c r="G270" s="4">
        <v>326.34140000000002</v>
      </c>
      <c r="H270" s="4">
        <v>707.82429999999999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2022</v>
      </c>
      <c r="F271" s="8">
        <v>2.3098000000000001</v>
      </c>
      <c r="G271" s="4">
        <v>410.09660000000002</v>
      </c>
      <c r="H271" s="4">
        <v>788.89089999999999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2003</v>
      </c>
      <c r="F272" s="8">
        <v>1.9787999999999999</v>
      </c>
      <c r="G272" s="4">
        <v>282.86369999999999</v>
      </c>
      <c r="H272" s="4">
        <v>696.72439999999995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2001</v>
      </c>
      <c r="F273" s="8">
        <v>2.0975000000000001</v>
      </c>
      <c r="G273" s="4">
        <v>304.32600000000002</v>
      </c>
      <c r="H273" s="4">
        <v>728.41010000000006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2034</v>
      </c>
      <c r="F274" s="8">
        <v>2.1560999999999999</v>
      </c>
      <c r="G274" s="4">
        <v>352.24</v>
      </c>
      <c r="H274" s="4">
        <v>761.79129999999998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2095</v>
      </c>
      <c r="F275" s="8">
        <v>2.4302999999999999</v>
      </c>
      <c r="G275" s="4">
        <v>408.11090000000002</v>
      </c>
      <c r="H275" s="4">
        <v>793.93700000000001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2039</v>
      </c>
      <c r="F276" s="8">
        <v>2.5558000000000001</v>
      </c>
      <c r="G276" s="4">
        <v>498.5222</v>
      </c>
      <c r="H276" s="4">
        <v>821.02080000000001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2048</v>
      </c>
      <c r="F277" s="8">
        <v>2.6869000000000001</v>
      </c>
      <c r="G277" s="4">
        <v>562.03629999999998</v>
      </c>
      <c r="H277" s="4">
        <v>851.97680000000003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2067</v>
      </c>
      <c r="F278" s="8">
        <v>2.6231</v>
      </c>
      <c r="G278" s="4">
        <v>413.36399999999998</v>
      </c>
      <c r="H278" s="4">
        <v>852.54190000000006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2095</v>
      </c>
      <c r="F279" s="8">
        <v>2.3300999999999998</v>
      </c>
      <c r="G279" s="4">
        <v>329.26299999999998</v>
      </c>
      <c r="H279" s="4">
        <v>760.44709999999998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2043</v>
      </c>
      <c r="F280" s="8">
        <v>2.3773</v>
      </c>
      <c r="G280" s="4">
        <v>336.72449999999998</v>
      </c>
      <c r="H280" s="4">
        <v>803.05629999999996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2038</v>
      </c>
      <c r="F281" s="8">
        <v>2.2675999999999998</v>
      </c>
      <c r="G281" s="4">
        <v>341.74119999999999</v>
      </c>
      <c r="H281" s="4">
        <v>747.10509999999999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2035</v>
      </c>
      <c r="F282" s="8">
        <v>2.2557999999999998</v>
      </c>
      <c r="G282" s="4">
        <v>348.9051</v>
      </c>
      <c r="H282" s="4">
        <v>726.88030000000003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2050</v>
      </c>
      <c r="F283" s="8">
        <v>2.2928999999999999</v>
      </c>
      <c r="G283" s="4">
        <v>349.71440000000001</v>
      </c>
      <c r="H283" s="4">
        <v>759.62630000000001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2093</v>
      </c>
      <c r="F284" s="8">
        <v>2.4072</v>
      </c>
      <c r="G284" s="4">
        <v>382.2296</v>
      </c>
      <c r="H284" s="4">
        <v>781.12310000000002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2057</v>
      </c>
      <c r="F285" s="8">
        <v>2.3681000000000001</v>
      </c>
      <c r="G285" s="4">
        <v>356.52120000000002</v>
      </c>
      <c r="H285" s="4">
        <v>735.00009999999997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2056</v>
      </c>
      <c r="F286" s="8">
        <v>2.2452000000000001</v>
      </c>
      <c r="G286" s="4">
        <v>354.74970000000002</v>
      </c>
      <c r="H286" s="4">
        <v>690.55380000000002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2040</v>
      </c>
      <c r="F287" s="8">
        <v>2.6181999999999999</v>
      </c>
      <c r="G287" s="4">
        <v>464.68689999999998</v>
      </c>
      <c r="H287" s="4">
        <v>1207.6322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2052</v>
      </c>
      <c r="F288" s="8">
        <v>2.2869000000000002</v>
      </c>
      <c r="G288" s="4">
        <v>385.62479999999999</v>
      </c>
      <c r="H288" s="4">
        <v>741.24860000000001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2097</v>
      </c>
      <c r="F289" s="8">
        <v>2.2610999999999999</v>
      </c>
      <c r="G289" s="4">
        <v>335.31560000000002</v>
      </c>
      <c r="H289" s="4">
        <v>723.36300000000006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2043</v>
      </c>
      <c r="F290" s="8">
        <v>2.1440000000000001</v>
      </c>
      <c r="G290" s="4">
        <v>305.51609999999999</v>
      </c>
      <c r="H290" s="4">
        <v>641.76400000000001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2033</v>
      </c>
      <c r="F291" s="8">
        <v>2.2219000000000002</v>
      </c>
      <c r="G291" s="4">
        <v>364.92180000000002</v>
      </c>
      <c r="H291" s="4">
        <v>743.53300000000002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2056</v>
      </c>
      <c r="F292" s="8">
        <v>2.3317000000000001</v>
      </c>
      <c r="G292" s="4">
        <v>375.46050000000002</v>
      </c>
      <c r="H292" s="4">
        <v>747.04679999999996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2070</v>
      </c>
      <c r="F293" s="8">
        <v>2.3483000000000001</v>
      </c>
      <c r="G293" s="4">
        <v>420.96469999999999</v>
      </c>
      <c r="H293" s="4">
        <v>754.11599999999999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2131</v>
      </c>
      <c r="F294" s="8">
        <v>2.5558999999999998</v>
      </c>
      <c r="G294" s="4">
        <v>478.56290000000001</v>
      </c>
      <c r="H294" s="4">
        <v>800.66409999999996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2044</v>
      </c>
      <c r="F295" s="8">
        <v>2.5562</v>
      </c>
      <c r="G295" s="4">
        <v>425.20769999999999</v>
      </c>
      <c r="H295" s="4">
        <v>780.49210000000005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2053</v>
      </c>
      <c r="F296" s="8">
        <v>2.8685999999999998</v>
      </c>
      <c r="G296" s="4">
        <v>521.59079999999994</v>
      </c>
      <c r="H296" s="4">
        <v>887.39710000000002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2074</v>
      </c>
      <c r="F297" s="8">
        <v>2.2181000000000002</v>
      </c>
      <c r="G297" s="4">
        <v>383.38600000000002</v>
      </c>
      <c r="H297" s="4">
        <v>698.92330000000004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2064</v>
      </c>
      <c r="F298" s="8">
        <v>2.3254999999999999</v>
      </c>
      <c r="G298" s="4">
        <v>468.02850000000001</v>
      </c>
      <c r="H298" s="4">
        <v>717.51530000000002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2108</v>
      </c>
      <c r="F299" s="8">
        <v>2.5327999999999999</v>
      </c>
      <c r="G299" s="4">
        <v>457.65960000000001</v>
      </c>
      <c r="H299" s="4">
        <v>779.87660000000005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2072</v>
      </c>
      <c r="F300" s="8">
        <v>2.2698999999999998</v>
      </c>
      <c r="G300" s="4">
        <v>344.17910000000001</v>
      </c>
      <c r="H300" s="4">
        <v>671.23519999999996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2075</v>
      </c>
      <c r="F301" s="8">
        <v>2.2827999999999999</v>
      </c>
      <c r="G301" s="4">
        <v>370.61630000000002</v>
      </c>
      <c r="H301" s="4">
        <v>671.3261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2068</v>
      </c>
      <c r="F302" s="8">
        <v>2.4365000000000001</v>
      </c>
      <c r="G302" s="4">
        <v>328.9511</v>
      </c>
      <c r="H302" s="4">
        <v>714.55870000000004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2070</v>
      </c>
      <c r="F303" s="8">
        <v>2.8557000000000001</v>
      </c>
      <c r="G303" s="4">
        <v>567.09209999999996</v>
      </c>
      <c r="H303" s="4">
        <v>971.55849999999998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2096</v>
      </c>
      <c r="F304" s="8">
        <v>2.1703999999999999</v>
      </c>
      <c r="G304" s="4">
        <v>379.12389999999999</v>
      </c>
      <c r="H304" s="4">
        <v>608.12800000000004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2068</v>
      </c>
      <c r="F305" s="8">
        <v>2.2240000000000002</v>
      </c>
      <c r="G305" s="4">
        <v>388.42009999999999</v>
      </c>
      <c r="H305" s="4">
        <v>649.56320000000005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2052</v>
      </c>
      <c r="F306" s="8">
        <v>2.1591</v>
      </c>
      <c r="G306" s="4">
        <v>392.86329999999998</v>
      </c>
      <c r="H306" s="4">
        <v>640.39099999999996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2035</v>
      </c>
      <c r="F307" s="8">
        <v>2.0257000000000001</v>
      </c>
      <c r="G307" s="4">
        <v>309.93450000000001</v>
      </c>
      <c r="H307" s="4">
        <v>635.4348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2045</v>
      </c>
      <c r="F308" s="8">
        <v>2.0116999999999998</v>
      </c>
      <c r="G308" s="4">
        <v>329.2473</v>
      </c>
      <c r="H308" s="4">
        <v>635.81529999999998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2089</v>
      </c>
      <c r="F309" s="8">
        <v>2.0447000000000002</v>
      </c>
      <c r="G309" s="4">
        <v>348.5951</v>
      </c>
      <c r="H309" s="4">
        <v>581.49639999999999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2057</v>
      </c>
      <c r="F310" s="8">
        <v>2.0581</v>
      </c>
      <c r="G310" s="4">
        <v>353.9212</v>
      </c>
      <c r="H310" s="4">
        <v>631.14329999999995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2055</v>
      </c>
      <c r="F311" s="8">
        <v>2.0869</v>
      </c>
      <c r="G311" s="4">
        <v>327.51400000000001</v>
      </c>
      <c r="H311" s="4">
        <v>584.95849999999996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2053</v>
      </c>
      <c r="F312" s="8">
        <v>1.8728</v>
      </c>
      <c r="G312" s="4">
        <v>292.52300000000002</v>
      </c>
      <c r="H312" s="4">
        <v>531.06320000000005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2034</v>
      </c>
      <c r="F313" s="8">
        <v>2.0739000000000001</v>
      </c>
      <c r="G313" s="4">
        <v>302.10500000000002</v>
      </c>
      <c r="H313" s="4">
        <v>599.64210000000003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2112</v>
      </c>
      <c r="F314" s="8">
        <v>2.1053000000000002</v>
      </c>
      <c r="G314" s="4">
        <v>312.06060000000002</v>
      </c>
      <c r="H314" s="4">
        <v>580.399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2050</v>
      </c>
      <c r="F315" s="8">
        <v>2.327</v>
      </c>
      <c r="G315" s="4">
        <v>356.43920000000003</v>
      </c>
      <c r="H315" s="4">
        <v>677.49590000000001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2051</v>
      </c>
      <c r="F316" s="8">
        <v>2.0638999999999998</v>
      </c>
      <c r="G316" s="4">
        <v>292.6105</v>
      </c>
      <c r="H316" s="4">
        <v>589.41499999999996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2048</v>
      </c>
      <c r="F317" s="8">
        <v>2.0286</v>
      </c>
      <c r="G317" s="4">
        <v>289.33319999999998</v>
      </c>
      <c r="H317" s="4">
        <v>560.3999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2033</v>
      </c>
      <c r="F318" s="8">
        <v>1.8551</v>
      </c>
      <c r="G318" s="4">
        <v>263.80110000000002</v>
      </c>
      <c r="H318" s="4">
        <v>523.12549999999999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2103</v>
      </c>
      <c r="F319" s="8">
        <v>2.0272000000000001</v>
      </c>
      <c r="G319" s="4">
        <v>300.47019999999998</v>
      </c>
      <c r="H319" s="4">
        <v>557.52729999999997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2056</v>
      </c>
      <c r="F320" s="8">
        <v>2.0853000000000002</v>
      </c>
      <c r="G320" s="4">
        <v>266.13529999999997</v>
      </c>
      <c r="H320" s="4">
        <v>558.46140000000003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2058</v>
      </c>
      <c r="F321" s="8">
        <v>2.0438999999999998</v>
      </c>
      <c r="G321" s="4">
        <v>231.87729999999999</v>
      </c>
      <c r="H321" s="4">
        <v>579.70249999999999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2069</v>
      </c>
      <c r="F322" s="8">
        <v>2.1793</v>
      </c>
      <c r="G322" s="4">
        <v>252.2363</v>
      </c>
      <c r="H322" s="4">
        <v>620.13720000000001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2054</v>
      </c>
      <c r="F323" s="8">
        <v>2.1598999999999999</v>
      </c>
      <c r="G323" s="4">
        <v>291.8272</v>
      </c>
      <c r="H323" s="4">
        <v>631.77560000000005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2109</v>
      </c>
      <c r="F324" s="8">
        <v>2.3569</v>
      </c>
      <c r="G324" s="4">
        <v>342.64940000000001</v>
      </c>
      <c r="H324" s="4">
        <v>659.21659999999997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2065</v>
      </c>
      <c r="F325" s="8">
        <v>2.3792</v>
      </c>
      <c r="G325" s="4">
        <v>273.75420000000003</v>
      </c>
      <c r="H325" s="4">
        <v>639.40350000000001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2064</v>
      </c>
      <c r="F326" s="8">
        <v>2.2549000000000001</v>
      </c>
      <c r="G326" s="4">
        <v>300.98110000000003</v>
      </c>
      <c r="H326" s="4">
        <v>659.29549999999995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2074</v>
      </c>
      <c r="F327" s="8">
        <v>2.3081</v>
      </c>
      <c r="G327" s="4">
        <v>409.85199999999998</v>
      </c>
      <c r="H327" s="4">
        <v>680.29819999999995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2112</v>
      </c>
      <c r="F328" s="8">
        <v>2.2351000000000001</v>
      </c>
      <c r="G328" s="4">
        <v>300.88040000000001</v>
      </c>
      <c r="H328" s="4">
        <v>615.28480000000002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2084</v>
      </c>
      <c r="F329" s="8">
        <v>2.3574999999999999</v>
      </c>
      <c r="G329" s="4">
        <v>304.4153</v>
      </c>
      <c r="H329" s="4">
        <v>707.11320000000001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2045</v>
      </c>
      <c r="F330" s="8">
        <v>2.3752</v>
      </c>
      <c r="G330" s="4">
        <v>311.57040000000001</v>
      </c>
      <c r="H330" s="4">
        <v>676.25519999999995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2057</v>
      </c>
      <c r="F331" s="8">
        <v>2.4020000000000001</v>
      </c>
      <c r="G331" s="4">
        <v>309.22800000000001</v>
      </c>
      <c r="H331" s="4">
        <v>743.56470000000002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2039</v>
      </c>
      <c r="F332" s="8">
        <v>2.4018000000000002</v>
      </c>
      <c r="G332" s="4">
        <v>311.15030000000002</v>
      </c>
      <c r="H332" s="4">
        <v>767.58299999999997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2114</v>
      </c>
      <c r="F333" s="8">
        <v>2.306</v>
      </c>
      <c r="G333" s="4">
        <v>299.44589999999999</v>
      </c>
      <c r="H333" s="4">
        <v>668.48950000000002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2081</v>
      </c>
      <c r="F334" s="8">
        <v>2.2972999999999999</v>
      </c>
      <c r="G334" s="4">
        <v>330.05509999999998</v>
      </c>
      <c r="H334" s="4">
        <v>690.30679999999995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2057</v>
      </c>
      <c r="F335" s="8">
        <v>2.3346</v>
      </c>
      <c r="G335" s="4">
        <v>406.76620000000003</v>
      </c>
      <c r="H335" s="4">
        <v>766.93690000000004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2072</v>
      </c>
      <c r="F336" s="8">
        <v>2.1880999999999999</v>
      </c>
      <c r="G336" s="4">
        <v>466.38330000000002</v>
      </c>
      <c r="H336" s="4">
        <v>678.92520000000002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2052</v>
      </c>
      <c r="F337" s="8">
        <v>1.9824999999999999</v>
      </c>
      <c r="G337" s="4">
        <v>357.5256</v>
      </c>
      <c r="H337" s="4">
        <v>636.04399999999998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2113</v>
      </c>
      <c r="F338" s="8">
        <v>2.0234999999999999</v>
      </c>
      <c r="G338" s="4">
        <v>315.78140000000002</v>
      </c>
      <c r="H338" s="4">
        <v>572.43579999999997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2069</v>
      </c>
      <c r="F339" s="8">
        <v>2.2685</v>
      </c>
      <c r="G339" s="4">
        <v>267.99630000000002</v>
      </c>
      <c r="H339" s="4">
        <v>630.68399999999997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2065</v>
      </c>
      <c r="F340" s="8">
        <v>2.4127000000000001</v>
      </c>
      <c r="G340" s="4">
        <v>281.18709999999999</v>
      </c>
      <c r="H340" s="4">
        <v>638.57529999999997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2062</v>
      </c>
      <c r="F341" s="8">
        <v>1.9906999999999999</v>
      </c>
      <c r="G341" s="4">
        <v>230.3409</v>
      </c>
      <c r="H341" s="4">
        <v>559.8922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2053</v>
      </c>
      <c r="F342" s="8">
        <v>2.1030000000000002</v>
      </c>
      <c r="G342" s="4">
        <v>218.6046</v>
      </c>
      <c r="H342" s="4">
        <v>615.42870000000005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2091</v>
      </c>
      <c r="F343" s="8">
        <v>1.986</v>
      </c>
      <c r="G343" s="4">
        <v>219.19139999999999</v>
      </c>
      <c r="H343" s="4">
        <v>543.06399999999996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2054</v>
      </c>
      <c r="F344" s="8">
        <v>2.1522000000000001</v>
      </c>
      <c r="G344" s="4">
        <v>214.59289999999999</v>
      </c>
      <c r="H344" s="4">
        <v>644.49850000000004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2068</v>
      </c>
      <c r="F345" s="8">
        <v>1.9998</v>
      </c>
      <c r="G345" s="4">
        <v>234.363</v>
      </c>
      <c r="H345" s="4">
        <v>587.15150000000006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2076</v>
      </c>
      <c r="F346" s="8">
        <v>2.456</v>
      </c>
      <c r="G346" s="4">
        <v>246.48099999999999</v>
      </c>
      <c r="H346" s="4">
        <v>693.24649999999997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2129</v>
      </c>
      <c r="F347" s="8">
        <v>2.3323999999999998</v>
      </c>
      <c r="G347" s="4">
        <v>281.59730000000002</v>
      </c>
      <c r="H347" s="4">
        <v>633.92280000000005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2059</v>
      </c>
      <c r="F348" s="8">
        <v>2.1446000000000001</v>
      </c>
      <c r="G348" s="4">
        <v>228.06309999999999</v>
      </c>
      <c r="H348" s="4">
        <v>610.98419999999999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2061</v>
      </c>
      <c r="F349" s="8">
        <v>1.8359000000000001</v>
      </c>
      <c r="G349" s="4">
        <v>192.30969999999999</v>
      </c>
      <c r="H349" s="4">
        <v>539.22239999999999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2074</v>
      </c>
      <c r="F350" s="8">
        <v>1.774</v>
      </c>
      <c r="G350" s="4">
        <v>196.95320000000001</v>
      </c>
      <c r="H350" s="4">
        <v>537.46870000000001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2078</v>
      </c>
      <c r="F351" s="8">
        <v>1.7463</v>
      </c>
      <c r="G351" s="4">
        <v>188.57130000000001</v>
      </c>
      <c r="H351" s="4">
        <v>533.47059999999999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2128</v>
      </c>
      <c r="F352" s="8">
        <v>1.9661999999999999</v>
      </c>
      <c r="G352" s="4">
        <v>198.60470000000001</v>
      </c>
      <c r="H352" s="4">
        <v>604.54780000000005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2083</v>
      </c>
      <c r="F353" s="8">
        <v>2.1015000000000001</v>
      </c>
      <c r="G353" s="4">
        <v>244.3612</v>
      </c>
      <c r="H353" s="4">
        <v>828.61490000000003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2068</v>
      </c>
      <c r="F354" s="8">
        <v>2.0722999999999998</v>
      </c>
      <c r="G354" s="4">
        <v>232.7807</v>
      </c>
      <c r="H354" s="4">
        <v>642.2835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2076</v>
      </c>
      <c r="F355" s="8">
        <v>2.0840000000000001</v>
      </c>
      <c r="G355" s="4">
        <v>270.55239999999998</v>
      </c>
      <c r="H355" s="4">
        <v>615.8184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2067</v>
      </c>
      <c r="F356" s="8">
        <v>2.1393</v>
      </c>
      <c r="G356" s="4">
        <v>306.57780000000002</v>
      </c>
      <c r="H356" s="4">
        <v>636.88649999999996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2130</v>
      </c>
      <c r="F357" s="8">
        <v>1.9131</v>
      </c>
      <c r="G357" s="4">
        <v>220.36109999999999</v>
      </c>
      <c r="H357" s="4">
        <v>562.72199999999998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2076</v>
      </c>
      <c r="F358" s="8">
        <v>1.9483999999999999</v>
      </c>
      <c r="G358" s="4">
        <v>286.20010000000002</v>
      </c>
      <c r="H358" s="4">
        <v>576.25210000000004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2083</v>
      </c>
      <c r="F359" s="8">
        <v>1.9438</v>
      </c>
      <c r="G359" s="4">
        <v>319.32600000000002</v>
      </c>
      <c r="H359" s="4">
        <v>596.91139999999996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2082</v>
      </c>
      <c r="F360" s="8">
        <v>1.7435</v>
      </c>
      <c r="G360" s="4">
        <v>236.8185</v>
      </c>
      <c r="H360" s="4">
        <v>498.03530000000001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2129</v>
      </c>
      <c r="F361" s="8">
        <v>1.9399</v>
      </c>
      <c r="G361" s="4">
        <v>220.12090000000001</v>
      </c>
      <c r="H361" s="4">
        <v>525.11260000000004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2098</v>
      </c>
      <c r="F362" s="8">
        <v>2.2078000000000002</v>
      </c>
      <c r="G362" s="4">
        <v>376.75959999999998</v>
      </c>
      <c r="H362" s="4">
        <v>673.83920000000001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2101</v>
      </c>
      <c r="F363" s="8">
        <v>2.3477000000000001</v>
      </c>
      <c r="G363" s="4">
        <v>390.98250000000002</v>
      </c>
      <c r="H363" s="4">
        <v>742.37909999999999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2093</v>
      </c>
      <c r="F364" s="8">
        <v>2.4314</v>
      </c>
      <c r="G364" s="4">
        <v>609.2396</v>
      </c>
      <c r="H364" s="4">
        <v>758.77350000000001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2090</v>
      </c>
      <c r="F365" s="8">
        <v>2.7145000000000001</v>
      </c>
      <c r="G365" s="4">
        <v>516.05610000000001</v>
      </c>
      <c r="H365" s="4">
        <v>1053.8846000000001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2139</v>
      </c>
      <c r="F366" s="8">
        <v>2.2707999999999999</v>
      </c>
      <c r="G366" s="4">
        <v>307.66899999999998</v>
      </c>
      <c r="H366" s="4">
        <v>645.55029999999999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2096</v>
      </c>
      <c r="F367" s="8">
        <v>2.1983000000000001</v>
      </c>
      <c r="G367" s="4">
        <v>276.92930000000001</v>
      </c>
      <c r="H367" s="4">
        <v>687.06190000000004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2090</v>
      </c>
      <c r="F368" s="8">
        <v>2.2017000000000002</v>
      </c>
      <c r="G368" s="4">
        <v>260.66120000000001</v>
      </c>
      <c r="H368" s="4">
        <v>687.33860000000004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2114</v>
      </c>
      <c r="F369" s="8">
        <v>2.4073000000000002</v>
      </c>
      <c r="G369" s="4">
        <v>264.50549999999998</v>
      </c>
      <c r="H369" s="4">
        <v>741.89739999999995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2115</v>
      </c>
      <c r="F370" s="8">
        <v>2.4794999999999998</v>
      </c>
      <c r="G370" s="4">
        <v>330.2054</v>
      </c>
      <c r="H370" s="4">
        <v>790.04539999999997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2140</v>
      </c>
      <c r="F371" s="8">
        <v>2.3363</v>
      </c>
      <c r="G371" s="4">
        <v>252.38290000000001</v>
      </c>
      <c r="H371" s="4">
        <v>687.10090000000002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2118</v>
      </c>
      <c r="F372" s="8">
        <v>2.3624999999999998</v>
      </c>
      <c r="G372" s="4">
        <v>284.72390000000001</v>
      </c>
      <c r="H372" s="4">
        <v>706.5444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2116</v>
      </c>
      <c r="F373" s="8">
        <v>2.4636</v>
      </c>
      <c r="G373" s="4">
        <v>374.38040000000001</v>
      </c>
      <c r="H373" s="4">
        <v>831.9982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2120</v>
      </c>
      <c r="F374" s="8">
        <v>2.3294000000000001</v>
      </c>
      <c r="G374" s="4">
        <v>384.12299999999999</v>
      </c>
      <c r="H374" s="4">
        <v>729.73519999999996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2115</v>
      </c>
      <c r="F375" s="8">
        <v>2.2206999999999999</v>
      </c>
      <c r="G375" s="4">
        <v>309.35410000000002</v>
      </c>
      <c r="H375" s="4">
        <v>645.14350000000002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2245</v>
      </c>
      <c r="F376" s="8">
        <v>2.3237999999999999</v>
      </c>
      <c r="G376" s="4">
        <v>296.11599999999999</v>
      </c>
      <c r="H376" s="4">
        <v>744.22299999999996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2138</v>
      </c>
      <c r="F377" s="8">
        <v>2.3927</v>
      </c>
      <c r="G377" s="4">
        <v>337.85449999999997</v>
      </c>
      <c r="H377" s="4">
        <v>711.41129999999998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2126</v>
      </c>
      <c r="F378" s="8">
        <v>2.5386000000000002</v>
      </c>
      <c r="G378" s="4">
        <v>339.22460000000001</v>
      </c>
      <c r="H378" s="4">
        <v>760.18949999999995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2114</v>
      </c>
      <c r="F379" s="8">
        <v>2.3632</v>
      </c>
      <c r="G379" s="4">
        <v>300.35149999999999</v>
      </c>
      <c r="H379" s="4">
        <v>738.40840000000003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2134</v>
      </c>
      <c r="F380" s="8">
        <v>2.4329000000000001</v>
      </c>
      <c r="G380" s="4">
        <v>286.71370000000002</v>
      </c>
      <c r="H380" s="4">
        <v>742.95950000000005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2163</v>
      </c>
      <c r="F381" s="8">
        <v>2.5537999999999998</v>
      </c>
      <c r="G381" s="4">
        <v>338.22480000000002</v>
      </c>
      <c r="H381" s="4">
        <v>786.52829999999994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2131</v>
      </c>
      <c r="F382" s="8">
        <v>2.5162</v>
      </c>
      <c r="G382" s="4">
        <v>377.96260000000001</v>
      </c>
      <c r="H382" s="4">
        <v>759.61659999999995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2147</v>
      </c>
      <c r="F383" s="8">
        <v>2.8504999999999998</v>
      </c>
      <c r="G383" s="4">
        <v>417.39960000000002</v>
      </c>
      <c r="H383" s="4">
        <v>924.86030000000005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2133</v>
      </c>
      <c r="F384" s="8">
        <v>2.8879000000000001</v>
      </c>
      <c r="G384" s="4">
        <v>346.24529999999999</v>
      </c>
      <c r="H384" s="4">
        <v>984.25329999999997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2172</v>
      </c>
      <c r="F385" s="8">
        <v>3.2014999999999998</v>
      </c>
      <c r="G385" s="4">
        <v>487.00889999999998</v>
      </c>
      <c r="H385" s="4">
        <v>1036.8444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2138</v>
      </c>
      <c r="F386" s="8">
        <v>3.2349999999999999</v>
      </c>
      <c r="G386" s="4">
        <v>403.59719999999999</v>
      </c>
      <c r="H386" s="4">
        <v>1051.3661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2120</v>
      </c>
      <c r="F387" s="8">
        <v>3.0893999999999999</v>
      </c>
      <c r="G387" s="4">
        <v>332.29329999999999</v>
      </c>
      <c r="H387" s="4">
        <v>941.87660000000005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2117</v>
      </c>
      <c r="F388" s="8">
        <v>2.7008999999999999</v>
      </c>
      <c r="G388" s="4">
        <v>313.8603</v>
      </c>
      <c r="H388" s="4">
        <v>854.26409999999998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2113</v>
      </c>
      <c r="F389" s="8">
        <v>2.6833999999999998</v>
      </c>
      <c r="G389" s="4">
        <v>331.38409999999999</v>
      </c>
      <c r="H389" s="4">
        <v>793.9538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2137</v>
      </c>
      <c r="F390" s="8">
        <v>2.7395999999999998</v>
      </c>
      <c r="G390" s="4">
        <v>304.39409999999998</v>
      </c>
      <c r="H390" s="4">
        <v>806.5444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2118</v>
      </c>
      <c r="F391" s="8">
        <v>2.4275000000000002</v>
      </c>
      <c r="G391" s="4">
        <v>292.37</v>
      </c>
      <c r="H391" s="4">
        <v>738.26679999999999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2112</v>
      </c>
      <c r="F392" s="8">
        <v>2.2759</v>
      </c>
      <c r="G392" s="4">
        <v>245.66919999999999</v>
      </c>
      <c r="H392" s="4">
        <v>705.79309999999998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2110</v>
      </c>
      <c r="F393" s="8">
        <v>2.6219000000000001</v>
      </c>
      <c r="G393" s="4">
        <v>293.2208</v>
      </c>
      <c r="H393" s="4">
        <v>763.6345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2096</v>
      </c>
      <c r="F394" s="8">
        <v>2.7565</v>
      </c>
      <c r="G394" s="4">
        <v>289.3734</v>
      </c>
      <c r="H394" s="4">
        <v>782.03099999999995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2127</v>
      </c>
      <c r="F395" s="8">
        <v>2.2553000000000001</v>
      </c>
      <c r="G395" s="4">
        <v>238.4426</v>
      </c>
      <c r="H395" s="4">
        <v>635.67240000000004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2123</v>
      </c>
      <c r="F396" s="8">
        <v>2.2225999999999999</v>
      </c>
      <c r="G396" s="4">
        <v>227.11269999999999</v>
      </c>
      <c r="H396" s="4">
        <v>629.97969999999998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2105</v>
      </c>
      <c r="F397" s="8">
        <v>2.0466000000000002</v>
      </c>
      <c r="G397" s="4">
        <v>210.4162</v>
      </c>
      <c r="H397" s="4">
        <v>631.59540000000004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2017</v>
      </c>
      <c r="F398" s="8">
        <v>0.65359999999999996</v>
      </c>
      <c r="G398" s="4">
        <v>57.023499999999999</v>
      </c>
      <c r="H398" s="4">
        <v>115.5224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2175</v>
      </c>
      <c r="F399" s="8">
        <v>2.3725000000000001</v>
      </c>
      <c r="G399" s="4">
        <v>235.29230000000001</v>
      </c>
      <c r="H399" s="4">
        <v>709.55520000000001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2129</v>
      </c>
      <c r="F400" s="8">
        <v>2.2166000000000001</v>
      </c>
      <c r="G400" s="4">
        <v>265.83420000000001</v>
      </c>
      <c r="H400" s="4">
        <v>687.64229999999998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2103</v>
      </c>
      <c r="F401" s="8">
        <v>2.2642000000000002</v>
      </c>
      <c r="G401" s="4">
        <v>255.74340000000001</v>
      </c>
      <c r="H401" s="4">
        <v>693.43849999999998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2142</v>
      </c>
      <c r="F402" s="8">
        <v>2.0840000000000001</v>
      </c>
      <c r="G402" s="4">
        <v>215.79169999999999</v>
      </c>
      <c r="H402" s="4">
        <v>580.14200000000005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2121</v>
      </c>
      <c r="F403" s="8">
        <v>2.0819999999999999</v>
      </c>
      <c r="G403" s="4">
        <v>229.93369999999999</v>
      </c>
      <c r="H403" s="4">
        <v>627.41579999999999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2168</v>
      </c>
      <c r="F404" s="8">
        <v>2.1597</v>
      </c>
      <c r="G404" s="4">
        <v>215.06270000000001</v>
      </c>
      <c r="H404" s="4">
        <v>625.00170000000003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2155</v>
      </c>
      <c r="F405" s="8">
        <v>2.2412000000000001</v>
      </c>
      <c r="G405" s="4">
        <v>217.6705</v>
      </c>
      <c r="H405" s="4">
        <v>664.14049999999997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2123</v>
      </c>
      <c r="F406" s="8">
        <v>2.1680000000000001</v>
      </c>
      <c r="G406" s="4">
        <v>194.2398</v>
      </c>
      <c r="H406" s="4">
        <v>628.35609999999997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2130</v>
      </c>
      <c r="F407" s="8">
        <v>2.5095000000000001</v>
      </c>
      <c r="G407" s="4">
        <v>240.8854</v>
      </c>
      <c r="H407" s="4">
        <v>719.73289999999997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44523</v>
      </c>
      <c r="B408" s="2" t="s">
        <v>226</v>
      </c>
      <c r="C408" s="5">
        <v>44501</v>
      </c>
      <c r="D408" s="2" t="s">
        <v>182</v>
      </c>
      <c r="E408" s="3">
        <v>2122</v>
      </c>
      <c r="F408" s="8">
        <v>2.4163999999999999</v>
      </c>
      <c r="G408" s="4">
        <v>276.00209999999998</v>
      </c>
      <c r="H408" s="4">
        <v>762.49450000000002</v>
      </c>
      <c r="I408" s="4">
        <v>17.52</v>
      </c>
      <c r="J408" s="4">
        <v>20.024999999999999</v>
      </c>
      <c r="K408" s="4">
        <v>16.7925</v>
      </c>
      <c r="L408" s="4">
        <v>18.015000000000001</v>
      </c>
      <c r="M408" s="7">
        <v>2.8299999999999999E-2</v>
      </c>
    </row>
    <row r="409" spans="1:13" x14ac:dyDescent="0.2">
      <c r="A409" s="6">
        <v>44524</v>
      </c>
      <c r="B409" s="2" t="s">
        <v>224</v>
      </c>
      <c r="C409" s="5">
        <v>44501</v>
      </c>
      <c r="D409" s="2" t="s">
        <v>182</v>
      </c>
      <c r="E409" s="3">
        <v>2110</v>
      </c>
      <c r="F409" s="8">
        <v>2.2812000000000001</v>
      </c>
      <c r="G409" s="4">
        <v>269.95819999999998</v>
      </c>
      <c r="H409" s="4">
        <v>647.03290000000004</v>
      </c>
      <c r="I409" s="4">
        <v>18.015000000000001</v>
      </c>
      <c r="J409" s="4">
        <v>18.015000000000001</v>
      </c>
      <c r="K409" s="4">
        <v>15.577500000000001</v>
      </c>
      <c r="L409" s="4">
        <v>17.094999999999999</v>
      </c>
      <c r="M409" s="7">
        <v>-5.11E-2</v>
      </c>
    </row>
    <row r="410" spans="1:13" x14ac:dyDescent="0.2">
      <c r="A410" s="6">
        <v>44525</v>
      </c>
      <c r="B410" s="2" t="s">
        <v>227</v>
      </c>
      <c r="C410" s="5">
        <v>44501</v>
      </c>
      <c r="D410" s="2" t="s">
        <v>182</v>
      </c>
      <c r="E410" s="3">
        <v>2115</v>
      </c>
      <c r="F410" s="8">
        <v>2.1109</v>
      </c>
      <c r="G410" s="4">
        <v>257.0874</v>
      </c>
      <c r="H410" s="4">
        <v>624.31560000000002</v>
      </c>
      <c r="I410" s="4">
        <v>17.094999999999999</v>
      </c>
      <c r="J410" s="4">
        <v>18.072500000000002</v>
      </c>
      <c r="K410" s="4">
        <v>16.002500000000001</v>
      </c>
      <c r="L410" s="4">
        <v>16.662500000000001</v>
      </c>
      <c r="M410" s="7">
        <v>-2.53E-2</v>
      </c>
    </row>
    <row r="411" spans="1:13" x14ac:dyDescent="0.2">
      <c r="A411" s="6">
        <v>44526</v>
      </c>
      <c r="B411" s="2" t="s">
        <v>225</v>
      </c>
      <c r="C411" s="5">
        <v>44501</v>
      </c>
      <c r="D411" s="2" t="s">
        <v>182</v>
      </c>
      <c r="E411" s="3">
        <v>2140</v>
      </c>
      <c r="F411" s="8">
        <v>3.0916999999999999</v>
      </c>
      <c r="G411" s="4">
        <v>323.88799999999998</v>
      </c>
      <c r="H411" s="4">
        <v>805.12580000000003</v>
      </c>
      <c r="I411" s="4">
        <v>16.662500000000001</v>
      </c>
      <c r="J411" s="4">
        <v>21.392499999999998</v>
      </c>
      <c r="K411" s="4">
        <v>16.05</v>
      </c>
      <c r="L411" s="4">
        <v>20.802499999999998</v>
      </c>
      <c r="M411" s="7">
        <v>0.2485</v>
      </c>
    </row>
    <row r="412" spans="1:13" x14ac:dyDescent="0.2">
      <c r="A412" s="6">
        <v>44529</v>
      </c>
      <c r="B412" s="2" t="s">
        <v>228</v>
      </c>
      <c r="C412" s="5">
        <v>44501</v>
      </c>
      <c r="D412" s="2" t="s">
        <v>182</v>
      </c>
      <c r="E412" s="3">
        <v>2169</v>
      </c>
      <c r="F412" s="8">
        <v>2.8742000000000001</v>
      </c>
      <c r="G412" s="4">
        <v>315.46120000000002</v>
      </c>
      <c r="H412" s="4">
        <v>697.55790000000002</v>
      </c>
      <c r="I412" s="4">
        <v>20.802499999999998</v>
      </c>
      <c r="J412" s="4">
        <v>23.82</v>
      </c>
      <c r="K412" s="4">
        <v>18.892499999999998</v>
      </c>
      <c r="L412" s="4">
        <v>20.83</v>
      </c>
      <c r="M412" s="7">
        <v>1.2999999999999999E-3</v>
      </c>
    </row>
    <row r="413" spans="1:13" x14ac:dyDescent="0.2">
      <c r="A413" s="6">
        <v>44530</v>
      </c>
      <c r="B413" s="2" t="s">
        <v>226</v>
      </c>
      <c r="C413" s="5">
        <v>44501</v>
      </c>
      <c r="D413" s="2" t="s">
        <v>182</v>
      </c>
      <c r="E413" s="3">
        <v>2140</v>
      </c>
      <c r="F413" s="8">
        <v>2.9329999999999998</v>
      </c>
      <c r="G413" s="4">
        <v>356.69119999999998</v>
      </c>
      <c r="H413" s="4">
        <v>1162.9830999999999</v>
      </c>
      <c r="I413" s="4">
        <v>20.83</v>
      </c>
      <c r="J413" s="4">
        <v>21.965</v>
      </c>
      <c r="K413" s="4">
        <v>18.807500000000001</v>
      </c>
      <c r="L413" s="4">
        <v>21.1675</v>
      </c>
      <c r="M413" s="7">
        <v>1.6199999999999999E-2</v>
      </c>
    </row>
    <row r="414" spans="1:13" x14ac:dyDescent="0.2">
      <c r="A414" s="6">
        <v>44531</v>
      </c>
      <c r="B414" s="2" t="s">
        <v>224</v>
      </c>
      <c r="C414" s="5">
        <v>44531</v>
      </c>
      <c r="D414" s="2" t="s">
        <v>182</v>
      </c>
      <c r="E414" s="3">
        <v>2136</v>
      </c>
      <c r="F414" s="8">
        <v>2.1511</v>
      </c>
      <c r="G414" s="4">
        <v>278.6078</v>
      </c>
      <c r="H414" s="4">
        <v>583.8501</v>
      </c>
      <c r="I414" s="4">
        <v>21.1675</v>
      </c>
      <c r="J414" s="4">
        <v>21.1675</v>
      </c>
      <c r="K414" s="4">
        <v>18.934999999999999</v>
      </c>
      <c r="L414" s="4">
        <v>19.447500000000002</v>
      </c>
      <c r="M414" s="7">
        <v>-8.1299999999999997E-2</v>
      </c>
    </row>
    <row r="415" spans="1:13" x14ac:dyDescent="0.2">
      <c r="A415" s="6">
        <v>44532</v>
      </c>
      <c r="B415" s="2" t="s">
        <v>227</v>
      </c>
      <c r="C415" s="5">
        <v>44531</v>
      </c>
      <c r="D415" s="2" t="s">
        <v>182</v>
      </c>
      <c r="E415" s="3">
        <v>2141</v>
      </c>
      <c r="F415" s="8">
        <v>2.0796000000000001</v>
      </c>
      <c r="G415" s="4">
        <v>265.5059</v>
      </c>
      <c r="H415" s="4">
        <v>574.41030000000001</v>
      </c>
      <c r="I415" s="4">
        <v>19.447500000000002</v>
      </c>
      <c r="J415" s="4">
        <v>22.965</v>
      </c>
      <c r="K415" s="4">
        <v>18.002500000000001</v>
      </c>
      <c r="L415" s="4">
        <v>18.087499999999999</v>
      </c>
      <c r="M415" s="7">
        <v>-6.9900000000000004E-2</v>
      </c>
    </row>
    <row r="416" spans="1:13" x14ac:dyDescent="0.2">
      <c r="A416" s="6">
        <v>44533</v>
      </c>
      <c r="B416" s="2" t="s">
        <v>225</v>
      </c>
      <c r="C416" s="5">
        <v>44531</v>
      </c>
      <c r="D416" s="2" t="s">
        <v>182</v>
      </c>
      <c r="E416" s="3">
        <v>2141</v>
      </c>
      <c r="F416" s="8">
        <v>2.1309999999999998</v>
      </c>
      <c r="G416" s="4">
        <v>322.97539999999998</v>
      </c>
      <c r="H416" s="4">
        <v>611.76919999999996</v>
      </c>
      <c r="I416" s="4">
        <v>18.087499999999999</v>
      </c>
      <c r="J416" s="4">
        <v>18.8325</v>
      </c>
      <c r="K416" s="4">
        <v>17.21</v>
      </c>
      <c r="L416" s="4">
        <v>18.454999999999998</v>
      </c>
      <c r="M416" s="7">
        <v>2.0299999999999999E-2</v>
      </c>
    </row>
    <row r="417" spans="1:13" x14ac:dyDescent="0.2">
      <c r="A417" s="6">
        <v>44536</v>
      </c>
      <c r="B417" s="2" t="s">
        <v>228</v>
      </c>
      <c r="C417" s="5">
        <v>44531</v>
      </c>
      <c r="D417" s="2" t="s">
        <v>182</v>
      </c>
      <c r="E417" s="3">
        <v>2184</v>
      </c>
      <c r="F417" s="8">
        <v>1.9665999999999999</v>
      </c>
      <c r="G417" s="4">
        <v>371.30889999999999</v>
      </c>
      <c r="H417" s="4">
        <v>506.64019999999999</v>
      </c>
      <c r="I417" s="4">
        <v>18.454999999999998</v>
      </c>
      <c r="J417" s="4">
        <v>20.477499999999999</v>
      </c>
      <c r="K417" s="4">
        <v>18.3</v>
      </c>
      <c r="L417" s="4">
        <v>20.077500000000001</v>
      </c>
      <c r="M417" s="7">
        <v>8.7900000000000006E-2</v>
      </c>
    </row>
    <row r="418" spans="1:13" x14ac:dyDescent="0.2">
      <c r="A418" s="6">
        <v>44537</v>
      </c>
      <c r="B418" s="2" t="s">
        <v>226</v>
      </c>
      <c r="C418" s="5">
        <v>44531</v>
      </c>
      <c r="D418" s="2" t="s">
        <v>182</v>
      </c>
      <c r="E418" s="3">
        <v>2138</v>
      </c>
      <c r="F418" s="8">
        <v>1.9107000000000001</v>
      </c>
      <c r="G418" s="4">
        <v>280.85629999999998</v>
      </c>
      <c r="H418" s="4">
        <v>539.32719999999995</v>
      </c>
      <c r="I418" s="4">
        <v>20.077500000000001</v>
      </c>
      <c r="J418" s="4">
        <v>20.077500000000001</v>
      </c>
      <c r="K418" s="4">
        <v>18.2425</v>
      </c>
      <c r="L418" s="4">
        <v>18.46</v>
      </c>
      <c r="M418" s="7">
        <v>-8.0600000000000005E-2</v>
      </c>
    </row>
    <row r="419" spans="1:13" x14ac:dyDescent="0.2">
      <c r="A419" s="6">
        <v>44538</v>
      </c>
      <c r="B419" s="2" t="s">
        <v>224</v>
      </c>
      <c r="C419" s="5">
        <v>44531</v>
      </c>
      <c r="D419" s="2" t="s">
        <v>182</v>
      </c>
      <c r="E419" s="3">
        <v>2151</v>
      </c>
      <c r="F419" s="8">
        <v>2.0379</v>
      </c>
      <c r="G419" s="4">
        <v>273.55560000000003</v>
      </c>
      <c r="H419" s="4">
        <v>590.09090000000003</v>
      </c>
      <c r="I419" s="4">
        <v>18.46</v>
      </c>
      <c r="J419" s="4">
        <v>18.46</v>
      </c>
      <c r="K419" s="4">
        <v>16.565000000000001</v>
      </c>
      <c r="L419" s="4">
        <v>17.265000000000001</v>
      </c>
      <c r="M419" s="7">
        <v>-6.4699999999999994E-2</v>
      </c>
    </row>
    <row r="420" spans="1:13" x14ac:dyDescent="0.2">
      <c r="A420" s="6">
        <v>44539</v>
      </c>
      <c r="B420" s="2" t="s">
        <v>227</v>
      </c>
      <c r="C420" s="5">
        <v>44531</v>
      </c>
      <c r="D420" s="2" t="s">
        <v>182</v>
      </c>
      <c r="E420" s="3">
        <v>2136</v>
      </c>
      <c r="F420" s="8">
        <v>1.9569000000000001</v>
      </c>
      <c r="G420" s="4">
        <v>445.5471</v>
      </c>
      <c r="H420" s="4">
        <v>562.31129999999996</v>
      </c>
      <c r="I420" s="4">
        <v>17.265000000000001</v>
      </c>
      <c r="J420" s="4">
        <v>17.434999999999999</v>
      </c>
      <c r="K420" s="4">
        <v>15.54</v>
      </c>
      <c r="L420" s="4">
        <v>16.602499999999999</v>
      </c>
      <c r="M420" s="7">
        <v>-3.8399999999999997E-2</v>
      </c>
    </row>
    <row r="421" spans="1:13" x14ac:dyDescent="0.2">
      <c r="A421" s="6">
        <v>44540</v>
      </c>
      <c r="B421" s="2" t="s">
        <v>225</v>
      </c>
      <c r="C421" s="5">
        <v>44531</v>
      </c>
      <c r="D421" s="2" t="s">
        <v>182</v>
      </c>
      <c r="E421" s="3">
        <v>2129</v>
      </c>
      <c r="F421" s="8">
        <v>1.9569000000000001</v>
      </c>
      <c r="G421" s="4">
        <v>376.54989999999998</v>
      </c>
      <c r="H421" s="4">
        <v>555.63440000000003</v>
      </c>
      <c r="I421" s="4">
        <v>16.602499999999999</v>
      </c>
      <c r="J421" s="4">
        <v>16.932500000000001</v>
      </c>
      <c r="K421" s="4">
        <v>15.21</v>
      </c>
      <c r="L421" s="4">
        <v>16.059999999999999</v>
      </c>
      <c r="M421" s="7">
        <v>-3.27E-2</v>
      </c>
    </row>
    <row r="422" spans="1:13" x14ac:dyDescent="0.2">
      <c r="A422" s="6">
        <v>44543</v>
      </c>
      <c r="B422" s="2" t="s">
        <v>228</v>
      </c>
      <c r="C422" s="5">
        <v>44531</v>
      </c>
      <c r="D422" s="2" t="s">
        <v>182</v>
      </c>
      <c r="E422" s="3">
        <v>2190</v>
      </c>
      <c r="F422" s="8">
        <v>2.1555</v>
      </c>
      <c r="G422" s="4">
        <v>334.33670000000001</v>
      </c>
      <c r="H422" s="4">
        <v>609.90030000000002</v>
      </c>
      <c r="I422" s="4">
        <v>16.059999999999999</v>
      </c>
      <c r="J422" s="4">
        <v>16.86</v>
      </c>
      <c r="K422" s="4">
        <v>14.675000000000001</v>
      </c>
      <c r="L422" s="4">
        <v>16.57</v>
      </c>
      <c r="M422" s="7">
        <v>3.1800000000000002E-2</v>
      </c>
    </row>
    <row r="423" spans="1:13" x14ac:dyDescent="0.2">
      <c r="A423" s="6">
        <v>44544</v>
      </c>
      <c r="B423" s="2" t="s">
        <v>226</v>
      </c>
      <c r="C423" s="5">
        <v>44531</v>
      </c>
      <c r="D423" s="2" t="s">
        <v>182</v>
      </c>
      <c r="E423" s="3">
        <v>2148</v>
      </c>
      <c r="F423" s="8">
        <v>2.0569999999999999</v>
      </c>
      <c r="G423" s="4">
        <v>275.40839999999997</v>
      </c>
      <c r="H423" s="4">
        <v>578.13340000000005</v>
      </c>
      <c r="I423" s="4">
        <v>16.57</v>
      </c>
      <c r="J423" s="4">
        <v>17.329999999999998</v>
      </c>
      <c r="K423" s="4">
        <v>13.9375</v>
      </c>
      <c r="L423" s="4">
        <v>16.952500000000001</v>
      </c>
      <c r="M423" s="7">
        <v>2.3099999999999999E-2</v>
      </c>
    </row>
    <row r="424" spans="1:13" x14ac:dyDescent="0.2">
      <c r="A424" s="6">
        <v>44545</v>
      </c>
      <c r="B424" s="2" t="s">
        <v>224</v>
      </c>
      <c r="C424" s="5">
        <v>44531</v>
      </c>
      <c r="D424" s="2" t="s">
        <v>182</v>
      </c>
      <c r="E424" s="3">
        <v>2149</v>
      </c>
      <c r="F424" s="8">
        <v>1.9651000000000001</v>
      </c>
      <c r="G424" s="4">
        <v>243.96940000000001</v>
      </c>
      <c r="H424" s="4">
        <v>521.70410000000004</v>
      </c>
      <c r="I424" s="4">
        <v>16.952500000000001</v>
      </c>
      <c r="J424" s="4">
        <v>17.712499999999999</v>
      </c>
      <c r="K424" s="4">
        <v>15.7675</v>
      </c>
      <c r="L424" s="4">
        <v>17.217500000000001</v>
      </c>
      <c r="M424" s="7">
        <v>1.5599999999999999E-2</v>
      </c>
    </row>
    <row r="425" spans="1:13" x14ac:dyDescent="0.2">
      <c r="A425" s="6">
        <v>44546</v>
      </c>
      <c r="B425" s="2" t="s">
        <v>227</v>
      </c>
      <c r="C425" s="5">
        <v>44531</v>
      </c>
      <c r="D425" s="2" t="s">
        <v>182</v>
      </c>
      <c r="E425" s="3">
        <v>2128</v>
      </c>
      <c r="F425" s="8">
        <v>1.9537</v>
      </c>
      <c r="G425" s="4">
        <v>282.99450000000002</v>
      </c>
      <c r="H425" s="4">
        <v>587.83500000000004</v>
      </c>
      <c r="I425" s="4">
        <v>17.217500000000001</v>
      </c>
      <c r="J425" s="4">
        <v>17.217500000000001</v>
      </c>
      <c r="K425" s="4">
        <v>15.262499999999999</v>
      </c>
      <c r="L425" s="4">
        <v>15.895</v>
      </c>
      <c r="M425" s="7">
        <v>-7.6799999999999993E-2</v>
      </c>
    </row>
    <row r="426" spans="1:13" x14ac:dyDescent="0.2">
      <c r="A426" s="6">
        <v>44547</v>
      </c>
      <c r="B426" s="2" t="s">
        <v>225</v>
      </c>
      <c r="C426" s="5">
        <v>44531</v>
      </c>
      <c r="D426" s="2" t="s">
        <v>182</v>
      </c>
      <c r="E426" s="3">
        <v>2157</v>
      </c>
      <c r="F426" s="8">
        <v>2.3523999999999998</v>
      </c>
      <c r="G426" s="4">
        <v>312.17669999999998</v>
      </c>
      <c r="H426" s="4">
        <v>726.72289999999998</v>
      </c>
      <c r="I426" s="4">
        <v>15.895</v>
      </c>
      <c r="J426" s="4">
        <v>16.907499999999999</v>
      </c>
      <c r="K426" s="4">
        <v>13.76</v>
      </c>
      <c r="L426" s="4">
        <v>16.337499999999999</v>
      </c>
      <c r="M426" s="7">
        <v>2.7799999999999998E-2</v>
      </c>
    </row>
    <row r="427" spans="1:13" x14ac:dyDescent="0.2">
      <c r="A427" s="6">
        <v>44550</v>
      </c>
      <c r="B427" s="2" t="s">
        <v>228</v>
      </c>
      <c r="C427" s="5">
        <v>44531</v>
      </c>
      <c r="D427" s="2" t="s">
        <v>182</v>
      </c>
      <c r="E427" s="3">
        <v>2200</v>
      </c>
      <c r="F427" s="8">
        <v>2.6667000000000001</v>
      </c>
      <c r="G427" s="4">
        <v>314.8306</v>
      </c>
      <c r="H427" s="4">
        <v>623.82899999999995</v>
      </c>
      <c r="I427" s="4">
        <v>16.337499999999999</v>
      </c>
      <c r="J427" s="4">
        <v>20.135000000000002</v>
      </c>
      <c r="K427" s="4">
        <v>16.337499999999999</v>
      </c>
      <c r="L427" s="4">
        <v>18.965</v>
      </c>
      <c r="M427" s="7">
        <v>0.1608</v>
      </c>
    </row>
    <row r="428" spans="1:13" x14ac:dyDescent="0.2">
      <c r="A428" s="6">
        <v>44551</v>
      </c>
      <c r="B428" s="2" t="s">
        <v>226</v>
      </c>
      <c r="C428" s="5">
        <v>44531</v>
      </c>
      <c r="D428" s="2" t="s">
        <v>182</v>
      </c>
      <c r="E428" s="3">
        <v>2150</v>
      </c>
      <c r="F428" s="8">
        <v>1.9916</v>
      </c>
      <c r="G428" s="4">
        <v>262.32619999999997</v>
      </c>
      <c r="H428" s="4">
        <v>545.43920000000003</v>
      </c>
      <c r="I428" s="4">
        <v>18.965</v>
      </c>
      <c r="J428" s="4">
        <v>18.965</v>
      </c>
      <c r="K428" s="4">
        <v>16.627500000000001</v>
      </c>
      <c r="L428" s="4">
        <v>17.537500000000001</v>
      </c>
      <c r="M428" s="7">
        <v>-7.5300000000000006E-2</v>
      </c>
    </row>
    <row r="429" spans="1:13" x14ac:dyDescent="0.2">
      <c r="A429" s="6">
        <v>44552</v>
      </c>
      <c r="B429" s="2" t="s">
        <v>224</v>
      </c>
      <c r="C429" s="5">
        <v>44531</v>
      </c>
      <c r="D429" s="2" t="s">
        <v>182</v>
      </c>
      <c r="E429" s="3">
        <v>2140</v>
      </c>
      <c r="F429" s="8">
        <v>1.7464999999999999</v>
      </c>
      <c r="G429" s="4">
        <v>236.41390000000001</v>
      </c>
      <c r="H429" s="4">
        <v>472.4</v>
      </c>
      <c r="I429" s="4">
        <v>17.537500000000001</v>
      </c>
      <c r="J429" s="4">
        <v>17.537500000000001</v>
      </c>
      <c r="K429" s="4">
        <v>15.69</v>
      </c>
      <c r="L429" s="4">
        <v>16.579999999999998</v>
      </c>
      <c r="M429" s="7">
        <v>-5.4600000000000003E-2</v>
      </c>
    </row>
    <row r="430" spans="1:13" x14ac:dyDescent="0.2">
      <c r="A430" s="6">
        <v>44553</v>
      </c>
      <c r="B430" s="2" t="s">
        <v>227</v>
      </c>
      <c r="C430" s="5">
        <v>44531</v>
      </c>
      <c r="D430" s="2" t="s">
        <v>182</v>
      </c>
      <c r="E430" s="3">
        <v>2152</v>
      </c>
      <c r="F430" s="8">
        <v>1.7230000000000001</v>
      </c>
      <c r="G430" s="4">
        <v>233.48570000000001</v>
      </c>
      <c r="H430" s="4">
        <v>451.61110000000002</v>
      </c>
      <c r="I430" s="4">
        <v>16.579999999999998</v>
      </c>
      <c r="J430" s="4">
        <v>16.579999999999998</v>
      </c>
      <c r="K430" s="4">
        <v>15.68</v>
      </c>
      <c r="L430" s="4">
        <v>15.824999999999999</v>
      </c>
      <c r="M430" s="7">
        <v>-4.5499999999999999E-2</v>
      </c>
    </row>
    <row r="431" spans="1:13" x14ac:dyDescent="0.2">
      <c r="A431" s="6">
        <v>44554</v>
      </c>
      <c r="B431" s="2" t="s">
        <v>225</v>
      </c>
      <c r="C431" s="5">
        <v>44531</v>
      </c>
      <c r="D431" s="2" t="s">
        <v>182</v>
      </c>
      <c r="E431" s="3">
        <v>2150</v>
      </c>
      <c r="F431" s="8">
        <v>1.5652999999999999</v>
      </c>
      <c r="G431" s="4">
        <v>233.60720000000001</v>
      </c>
      <c r="H431" s="4">
        <v>430.94560000000001</v>
      </c>
      <c r="I431" s="4">
        <v>15.824999999999999</v>
      </c>
      <c r="J431" s="4">
        <v>16.6525</v>
      </c>
      <c r="K431" s="4">
        <v>15.3325</v>
      </c>
      <c r="L431" s="4">
        <v>16.147500000000001</v>
      </c>
      <c r="M431" s="7">
        <v>2.0400000000000001E-2</v>
      </c>
    </row>
    <row r="432" spans="1:13" x14ac:dyDescent="0.2">
      <c r="A432" s="6">
        <v>44557</v>
      </c>
      <c r="B432" s="2" t="s">
        <v>228</v>
      </c>
      <c r="C432" s="5">
        <v>44531</v>
      </c>
      <c r="D432" s="2" t="s">
        <v>182</v>
      </c>
      <c r="E432" s="3">
        <v>2188</v>
      </c>
      <c r="F432" s="8">
        <v>1.6105</v>
      </c>
      <c r="G432" s="4">
        <v>235.39259999999999</v>
      </c>
      <c r="H432" s="4">
        <v>401.53500000000003</v>
      </c>
      <c r="I432" s="4">
        <v>16.147500000000001</v>
      </c>
      <c r="J432" s="4">
        <v>17.2775</v>
      </c>
      <c r="K432" s="4">
        <v>15.262499999999999</v>
      </c>
      <c r="L432" s="4">
        <v>17.1175</v>
      </c>
      <c r="M432" s="7">
        <v>6.0100000000000001E-2</v>
      </c>
    </row>
    <row r="433" spans="1:13" x14ac:dyDescent="0.2">
      <c r="A433" s="6">
        <v>44558</v>
      </c>
      <c r="B433" s="2" t="s">
        <v>226</v>
      </c>
      <c r="C433" s="5">
        <v>44531</v>
      </c>
      <c r="D433" s="2" t="s">
        <v>182</v>
      </c>
      <c r="E433" s="3">
        <v>2145</v>
      </c>
      <c r="F433" s="8">
        <v>1.6718999999999999</v>
      </c>
      <c r="G433" s="4">
        <v>240.3691</v>
      </c>
      <c r="H433" s="4">
        <v>434.74889999999999</v>
      </c>
      <c r="I433" s="4">
        <v>17.1175</v>
      </c>
      <c r="J433" s="4">
        <v>17.1175</v>
      </c>
      <c r="K433" s="4">
        <v>15.2075</v>
      </c>
      <c r="L433" s="4">
        <v>16.475000000000001</v>
      </c>
      <c r="M433" s="7">
        <v>-3.7499999999999999E-2</v>
      </c>
    </row>
    <row r="434" spans="1:13" x14ac:dyDescent="0.2">
      <c r="A434" s="6">
        <v>44559</v>
      </c>
      <c r="B434" s="2" t="s">
        <v>224</v>
      </c>
      <c r="C434" s="5">
        <v>44531</v>
      </c>
      <c r="D434" s="2" t="s">
        <v>182</v>
      </c>
      <c r="E434" s="3">
        <v>2153</v>
      </c>
      <c r="F434" s="8">
        <v>1.6882999999999999</v>
      </c>
      <c r="G434" s="4">
        <v>294.89690000000002</v>
      </c>
      <c r="H434" s="4">
        <v>437.02949999999998</v>
      </c>
      <c r="I434" s="4">
        <v>16.475000000000001</v>
      </c>
      <c r="J434" s="4">
        <v>16.862500000000001</v>
      </c>
      <c r="K434" s="4">
        <v>15.8</v>
      </c>
      <c r="L434" s="4">
        <v>16.2425</v>
      </c>
      <c r="M434" s="7">
        <v>-1.41E-2</v>
      </c>
    </row>
    <row r="435" spans="1:13" x14ac:dyDescent="0.2">
      <c r="A435" s="6">
        <v>44560</v>
      </c>
      <c r="B435" s="2" t="s">
        <v>227</v>
      </c>
      <c r="C435" s="5">
        <v>44531</v>
      </c>
      <c r="D435" s="2" t="s">
        <v>182</v>
      </c>
      <c r="E435" s="3">
        <v>2159</v>
      </c>
      <c r="F435" s="8">
        <v>1.8378000000000001</v>
      </c>
      <c r="G435" s="4">
        <v>281.3005</v>
      </c>
      <c r="H435" s="4">
        <v>536.33100000000002</v>
      </c>
      <c r="I435" s="4">
        <v>16.2425</v>
      </c>
      <c r="J435" s="4">
        <v>16.787500000000001</v>
      </c>
      <c r="K435" s="4">
        <v>15.2925</v>
      </c>
      <c r="L435" s="4">
        <v>16.565000000000001</v>
      </c>
      <c r="M435" s="7">
        <v>1.9900000000000001E-2</v>
      </c>
    </row>
    <row r="436" spans="1:13" x14ac:dyDescent="0.2">
      <c r="A436" s="6">
        <v>44561</v>
      </c>
      <c r="B436" s="2" t="s">
        <v>225</v>
      </c>
      <c r="C436" s="5">
        <v>44531</v>
      </c>
      <c r="D436" s="2" t="s">
        <v>182</v>
      </c>
      <c r="E436" s="3">
        <v>2175</v>
      </c>
      <c r="F436" s="8">
        <v>1.7859</v>
      </c>
      <c r="G436" s="4">
        <v>292.20740000000001</v>
      </c>
      <c r="H436" s="4">
        <v>444.94600000000003</v>
      </c>
      <c r="I436" s="4">
        <v>16.565000000000001</v>
      </c>
      <c r="J436" s="4">
        <v>16.767499999999998</v>
      </c>
      <c r="K436" s="4">
        <v>15.4</v>
      </c>
      <c r="L436" s="4">
        <v>16.2225</v>
      </c>
      <c r="M436" s="7">
        <v>-2.07E-2</v>
      </c>
    </row>
    <row r="437" spans="1:13" x14ac:dyDescent="0.2">
      <c r="A437" s="6">
        <v>44564</v>
      </c>
      <c r="B437" s="2" t="s">
        <v>228</v>
      </c>
      <c r="C437" s="5">
        <v>44562</v>
      </c>
      <c r="D437" s="2" t="s">
        <v>183</v>
      </c>
      <c r="E437" s="3">
        <v>2227</v>
      </c>
      <c r="F437" s="8">
        <v>1.9462999999999999</v>
      </c>
      <c r="G437" s="4">
        <v>374.42020000000002</v>
      </c>
      <c r="H437" s="4">
        <v>471.15269999999998</v>
      </c>
      <c r="I437" s="4">
        <v>16.2225</v>
      </c>
      <c r="J437" s="4">
        <v>16.809999999999999</v>
      </c>
      <c r="K437" s="4">
        <v>15.452500000000001</v>
      </c>
      <c r="L437" s="4">
        <v>16.452500000000001</v>
      </c>
      <c r="M437" s="7">
        <v>1.4200000000000001E-2</v>
      </c>
    </row>
    <row r="438" spans="1:13" x14ac:dyDescent="0.2">
      <c r="A438" s="6">
        <v>44565</v>
      </c>
      <c r="B438" s="2" t="s">
        <v>226</v>
      </c>
      <c r="C438" s="5">
        <v>44562</v>
      </c>
      <c r="D438" s="2" t="s">
        <v>183</v>
      </c>
      <c r="E438" s="3">
        <v>2183</v>
      </c>
      <c r="F438" s="8">
        <v>2.2302</v>
      </c>
      <c r="G438" s="4">
        <v>399.19619999999998</v>
      </c>
      <c r="H438" s="4">
        <v>553.09950000000003</v>
      </c>
      <c r="I438" s="4">
        <v>16.452500000000001</v>
      </c>
      <c r="J438" s="4">
        <v>16.675000000000001</v>
      </c>
      <c r="K438" s="4">
        <v>15.71</v>
      </c>
      <c r="L438" s="4">
        <v>16.12</v>
      </c>
      <c r="M438" s="7">
        <v>-2.0199999999999999E-2</v>
      </c>
    </row>
    <row r="439" spans="1:13" x14ac:dyDescent="0.2">
      <c r="A439" s="6">
        <v>44566</v>
      </c>
      <c r="B439" s="2" t="s">
        <v>224</v>
      </c>
      <c r="C439" s="5">
        <v>44562</v>
      </c>
      <c r="D439" s="2" t="s">
        <v>183</v>
      </c>
      <c r="E439" s="3">
        <v>2187</v>
      </c>
      <c r="F439" s="8">
        <v>2.1876000000000002</v>
      </c>
      <c r="G439" s="4">
        <v>332.94889999999998</v>
      </c>
      <c r="H439" s="4">
        <v>602.5942</v>
      </c>
      <c r="I439" s="4">
        <v>16.12</v>
      </c>
      <c r="J439" s="4">
        <v>17.38</v>
      </c>
      <c r="K439" s="4">
        <v>15.0875</v>
      </c>
      <c r="L439" s="4">
        <v>17.227499999999999</v>
      </c>
      <c r="M439" s="7">
        <v>6.8699999999999997E-2</v>
      </c>
    </row>
    <row r="440" spans="1:13" x14ac:dyDescent="0.2">
      <c r="A440" s="6">
        <v>44567</v>
      </c>
      <c r="B440" s="2" t="s">
        <v>227</v>
      </c>
      <c r="C440" s="5">
        <v>44562</v>
      </c>
      <c r="D440" s="2" t="s">
        <v>183</v>
      </c>
      <c r="E440" s="3">
        <v>2181</v>
      </c>
      <c r="F440" s="8">
        <v>2.0832999999999999</v>
      </c>
      <c r="G440" s="4">
        <v>361.85390000000001</v>
      </c>
      <c r="H440" s="4">
        <v>578.61599999999999</v>
      </c>
      <c r="I440" s="4">
        <v>17.227499999999999</v>
      </c>
      <c r="J440" s="4">
        <v>18.4175</v>
      </c>
      <c r="K440" s="4">
        <v>16.399999999999999</v>
      </c>
      <c r="L440" s="4">
        <v>17.977499999999999</v>
      </c>
      <c r="M440" s="7">
        <v>4.3499999999999997E-2</v>
      </c>
    </row>
    <row r="441" spans="1:13" x14ac:dyDescent="0.2">
      <c r="A441" s="6">
        <v>44568</v>
      </c>
      <c r="B441" s="2" t="s">
        <v>225</v>
      </c>
      <c r="C441" s="5">
        <v>44562</v>
      </c>
      <c r="D441" s="2" t="s">
        <v>183</v>
      </c>
      <c r="E441" s="3">
        <v>2172</v>
      </c>
      <c r="F441" s="8">
        <v>2.2178</v>
      </c>
      <c r="G441" s="4">
        <v>385.60419999999999</v>
      </c>
      <c r="H441" s="4">
        <v>605.96659999999997</v>
      </c>
      <c r="I441" s="4">
        <v>17.977499999999999</v>
      </c>
      <c r="J441" s="4">
        <v>18.09</v>
      </c>
      <c r="K441" s="4">
        <v>16.86</v>
      </c>
      <c r="L441" s="4">
        <v>17.602499999999999</v>
      </c>
      <c r="M441" s="7">
        <v>-2.0899999999999998E-2</v>
      </c>
    </row>
    <row r="442" spans="1:13" x14ac:dyDescent="0.2">
      <c r="A442" s="6">
        <v>44571</v>
      </c>
      <c r="B442" s="2" t="s">
        <v>228</v>
      </c>
      <c r="C442" s="5">
        <v>44562</v>
      </c>
      <c r="D442" s="2" t="s">
        <v>183</v>
      </c>
      <c r="E442" s="3">
        <v>2225</v>
      </c>
      <c r="F442" s="8">
        <v>2.3359000000000001</v>
      </c>
      <c r="G442" s="4">
        <v>338.49259999999998</v>
      </c>
      <c r="H442" s="4">
        <v>595.13570000000004</v>
      </c>
      <c r="I442" s="4">
        <v>17.602499999999999</v>
      </c>
      <c r="J442" s="4">
        <v>18.39</v>
      </c>
      <c r="K442" s="4">
        <v>15.842499999999999</v>
      </c>
      <c r="L442" s="4">
        <v>17.677499999999998</v>
      </c>
      <c r="M442" s="7">
        <v>4.3E-3</v>
      </c>
    </row>
    <row r="443" spans="1:13" x14ac:dyDescent="0.2">
      <c r="A443" s="6">
        <v>44572</v>
      </c>
      <c r="B443" s="2" t="s">
        <v>226</v>
      </c>
      <c r="C443" s="5">
        <v>44562</v>
      </c>
      <c r="D443" s="2" t="s">
        <v>183</v>
      </c>
      <c r="E443" s="3">
        <v>2197</v>
      </c>
      <c r="F443" s="8">
        <v>2.5809000000000002</v>
      </c>
      <c r="G443" s="4">
        <v>560.63170000000002</v>
      </c>
      <c r="H443" s="4">
        <v>651.15880000000004</v>
      </c>
      <c r="I443" s="4">
        <v>17.677499999999998</v>
      </c>
      <c r="J443" s="4">
        <v>18.247499999999999</v>
      </c>
      <c r="K443" s="4">
        <v>16.4375</v>
      </c>
      <c r="L443" s="4">
        <v>17.7575</v>
      </c>
      <c r="M443" s="7">
        <v>4.4999999999999997E-3</v>
      </c>
    </row>
    <row r="444" spans="1:13" x14ac:dyDescent="0.2">
      <c r="A444" s="6">
        <v>44573</v>
      </c>
      <c r="B444" s="2" t="s">
        <v>224</v>
      </c>
      <c r="C444" s="5">
        <v>44562</v>
      </c>
      <c r="D444" s="2" t="s">
        <v>183</v>
      </c>
      <c r="E444" s="3">
        <v>2170</v>
      </c>
      <c r="F444" s="8">
        <v>2.5352999999999999</v>
      </c>
      <c r="G444" s="4">
        <v>466.44959999999998</v>
      </c>
      <c r="H444" s="4">
        <v>637.5874</v>
      </c>
      <c r="I444" s="4">
        <v>17.7575</v>
      </c>
      <c r="J444" s="4">
        <v>17.925000000000001</v>
      </c>
      <c r="K444" s="4">
        <v>16.547499999999999</v>
      </c>
      <c r="L444" s="4">
        <v>17.182500000000001</v>
      </c>
      <c r="M444" s="7">
        <v>-3.2399999999999998E-2</v>
      </c>
    </row>
    <row r="445" spans="1:13" x14ac:dyDescent="0.2">
      <c r="A445" s="6">
        <v>44574</v>
      </c>
      <c r="B445" s="2" t="s">
        <v>227</v>
      </c>
      <c r="C445" s="5">
        <v>44562</v>
      </c>
      <c r="D445" s="2" t="s">
        <v>183</v>
      </c>
      <c r="E445" s="3">
        <v>2168</v>
      </c>
      <c r="F445" s="8">
        <v>2.3874</v>
      </c>
      <c r="G445" s="4">
        <v>356.8725</v>
      </c>
      <c r="H445" s="4">
        <v>666.51610000000005</v>
      </c>
      <c r="I445" s="4">
        <v>17.182500000000001</v>
      </c>
      <c r="J445" s="4">
        <v>17.524999999999999</v>
      </c>
      <c r="K445" s="4">
        <v>16.607500000000002</v>
      </c>
      <c r="L445" s="4">
        <v>16.704999999999998</v>
      </c>
      <c r="M445" s="7">
        <v>-2.7799999999999998E-2</v>
      </c>
    </row>
    <row r="446" spans="1:13" x14ac:dyDescent="0.2">
      <c r="A446" s="6">
        <v>44575</v>
      </c>
      <c r="B446" s="2" t="s">
        <v>225</v>
      </c>
      <c r="C446" s="5">
        <v>44562</v>
      </c>
      <c r="D446" s="2" t="s">
        <v>183</v>
      </c>
      <c r="E446" s="3">
        <v>2146</v>
      </c>
      <c r="F446" s="8">
        <v>2.2565</v>
      </c>
      <c r="G446" s="4">
        <v>357.45499999999998</v>
      </c>
      <c r="H446" s="4">
        <v>619.50779999999997</v>
      </c>
      <c r="I446" s="4">
        <v>16.704999999999998</v>
      </c>
      <c r="J446" s="4">
        <v>17.100000000000001</v>
      </c>
      <c r="K446" s="4">
        <v>15.342499999999999</v>
      </c>
      <c r="L446" s="4">
        <v>16.555</v>
      </c>
      <c r="M446" s="7">
        <v>-8.9999999999999993E-3</v>
      </c>
    </row>
    <row r="447" spans="1:13" x14ac:dyDescent="0.2">
      <c r="A447" s="6">
        <v>44578</v>
      </c>
      <c r="B447" s="2" t="s">
        <v>228</v>
      </c>
      <c r="C447" s="5">
        <v>44562</v>
      </c>
      <c r="D447" s="2" t="s">
        <v>183</v>
      </c>
      <c r="E447" s="3">
        <v>2235</v>
      </c>
      <c r="F447" s="8">
        <v>2.4081999999999999</v>
      </c>
      <c r="G447" s="4">
        <v>316.73230000000001</v>
      </c>
      <c r="H447" s="4">
        <v>632.91700000000003</v>
      </c>
      <c r="I447" s="4">
        <v>16.555</v>
      </c>
      <c r="J447" s="4">
        <v>17.547499999999999</v>
      </c>
      <c r="K447" s="4">
        <v>16.267499999999998</v>
      </c>
      <c r="L447" s="4">
        <v>16.765000000000001</v>
      </c>
      <c r="M447" s="7">
        <v>1.2699999999999999E-2</v>
      </c>
    </row>
    <row r="448" spans="1:13" x14ac:dyDescent="0.2">
      <c r="A448" s="6">
        <v>44579</v>
      </c>
      <c r="B448" s="2" t="s">
        <v>226</v>
      </c>
      <c r="C448" s="5">
        <v>44562</v>
      </c>
      <c r="D448" s="2" t="s">
        <v>183</v>
      </c>
      <c r="E448" s="3">
        <v>2191</v>
      </c>
      <c r="F448" s="8">
        <v>2.6377000000000002</v>
      </c>
      <c r="G448" s="4">
        <v>367.94589999999999</v>
      </c>
      <c r="H448" s="4">
        <v>646.72640000000001</v>
      </c>
      <c r="I448" s="4">
        <v>16.765000000000001</v>
      </c>
      <c r="J448" s="4">
        <v>17.875</v>
      </c>
      <c r="K448" s="4">
        <v>16.765000000000001</v>
      </c>
      <c r="L448" s="4">
        <v>17.78</v>
      </c>
      <c r="M448" s="7">
        <v>6.0499999999999998E-2</v>
      </c>
    </row>
    <row r="449" spans="1:13" x14ac:dyDescent="0.2">
      <c r="A449" s="6">
        <v>44580</v>
      </c>
      <c r="B449" s="2" t="s">
        <v>224</v>
      </c>
      <c r="C449" s="5">
        <v>44562</v>
      </c>
      <c r="D449" s="2" t="s">
        <v>183</v>
      </c>
      <c r="E449" s="3">
        <v>2174</v>
      </c>
      <c r="F449" s="8">
        <v>2.4535999999999998</v>
      </c>
      <c r="G449" s="4">
        <v>302.12520000000001</v>
      </c>
      <c r="H449" s="4">
        <v>673.98580000000004</v>
      </c>
      <c r="I449" s="4">
        <v>17.78</v>
      </c>
      <c r="J449" s="4">
        <v>18.447500000000002</v>
      </c>
      <c r="K449" s="4">
        <v>15.94</v>
      </c>
      <c r="L449" s="4">
        <v>17.817499999999999</v>
      </c>
      <c r="M449" s="7">
        <v>2.0999999999999999E-3</v>
      </c>
    </row>
    <row r="450" spans="1:13" x14ac:dyDescent="0.2">
      <c r="A450" s="6">
        <v>44581</v>
      </c>
      <c r="B450" s="2" t="s">
        <v>227</v>
      </c>
      <c r="C450" s="5">
        <v>44562</v>
      </c>
      <c r="D450" s="2" t="s">
        <v>183</v>
      </c>
      <c r="E450" s="3">
        <v>2170</v>
      </c>
      <c r="F450" s="8">
        <v>2.3039000000000001</v>
      </c>
      <c r="G450" s="4">
        <v>278.899</v>
      </c>
      <c r="H450" s="4">
        <v>635.20910000000003</v>
      </c>
      <c r="I450" s="4">
        <v>17.817499999999999</v>
      </c>
      <c r="J450" s="4">
        <v>18.45</v>
      </c>
      <c r="K450" s="4">
        <v>17.32</v>
      </c>
      <c r="L450" s="4">
        <v>17.79</v>
      </c>
      <c r="M450" s="7">
        <v>-1.5E-3</v>
      </c>
    </row>
    <row r="451" spans="1:13" x14ac:dyDescent="0.2">
      <c r="A451" s="6">
        <v>44582</v>
      </c>
      <c r="B451" s="2" t="s">
        <v>225</v>
      </c>
      <c r="C451" s="5">
        <v>44562</v>
      </c>
      <c r="D451" s="2" t="s">
        <v>183</v>
      </c>
      <c r="E451" s="3">
        <v>2184</v>
      </c>
      <c r="F451" s="8">
        <v>2.5998999999999999</v>
      </c>
      <c r="G451" s="4">
        <v>326.61869999999999</v>
      </c>
      <c r="H451" s="4">
        <v>678.92330000000004</v>
      </c>
      <c r="I451" s="4">
        <v>17.79</v>
      </c>
      <c r="J451" s="4">
        <v>19.605</v>
      </c>
      <c r="K451" s="4">
        <v>16.982500000000002</v>
      </c>
      <c r="L451" s="4">
        <v>18.887499999999999</v>
      </c>
      <c r="M451" s="7">
        <v>6.1699999999999998E-2</v>
      </c>
    </row>
    <row r="452" spans="1:13" x14ac:dyDescent="0.2">
      <c r="A452" s="6">
        <v>44585</v>
      </c>
      <c r="B452" s="2" t="s">
        <v>228</v>
      </c>
      <c r="C452" s="5">
        <v>44562</v>
      </c>
      <c r="D452" s="2" t="s">
        <v>183</v>
      </c>
      <c r="E452" s="3">
        <v>2239</v>
      </c>
      <c r="F452" s="8">
        <v>3.1246999999999998</v>
      </c>
      <c r="G452" s="4">
        <v>360.07170000000002</v>
      </c>
      <c r="H452" s="4">
        <v>741.90189999999996</v>
      </c>
      <c r="I452" s="4">
        <v>18.887499999999999</v>
      </c>
      <c r="J452" s="4">
        <v>23.9</v>
      </c>
      <c r="K452" s="4">
        <v>18.887499999999999</v>
      </c>
      <c r="L452" s="4">
        <v>22.824999999999999</v>
      </c>
      <c r="M452" s="7">
        <v>0.20849999999999999</v>
      </c>
    </row>
    <row r="453" spans="1:13" x14ac:dyDescent="0.2">
      <c r="A453" s="6">
        <v>44586</v>
      </c>
      <c r="B453" s="2" t="s">
        <v>226</v>
      </c>
      <c r="C453" s="5">
        <v>44562</v>
      </c>
      <c r="D453" s="2" t="s">
        <v>183</v>
      </c>
      <c r="E453" s="3">
        <v>2177</v>
      </c>
      <c r="F453" s="8">
        <v>2.9039999999999999</v>
      </c>
      <c r="G453" s="4">
        <v>327.22660000000002</v>
      </c>
      <c r="H453" s="4">
        <v>733.75930000000005</v>
      </c>
      <c r="I453" s="4">
        <v>22.824999999999999</v>
      </c>
      <c r="J453" s="4">
        <v>24.137499999999999</v>
      </c>
      <c r="K453" s="4">
        <v>21.18</v>
      </c>
      <c r="L453" s="4">
        <v>21.357500000000002</v>
      </c>
      <c r="M453" s="7">
        <v>-6.4299999999999996E-2</v>
      </c>
    </row>
    <row r="454" spans="1:13" x14ac:dyDescent="0.2">
      <c r="A454" s="6">
        <v>44588</v>
      </c>
      <c r="B454" s="2" t="s">
        <v>227</v>
      </c>
      <c r="C454" s="5">
        <v>44562</v>
      </c>
      <c r="D454" s="2" t="s">
        <v>183</v>
      </c>
      <c r="E454" s="3">
        <v>2184</v>
      </c>
      <c r="F454" s="8">
        <v>2.9443999999999999</v>
      </c>
      <c r="G454" s="4">
        <v>333.69819999999999</v>
      </c>
      <c r="H454" s="4">
        <v>799.0068</v>
      </c>
      <c r="I454" s="4">
        <v>21.357500000000002</v>
      </c>
      <c r="J454" s="4">
        <v>23.8675</v>
      </c>
      <c r="K454" s="4">
        <v>20.442499999999999</v>
      </c>
      <c r="L454" s="4">
        <v>21.065000000000001</v>
      </c>
      <c r="M454" s="7">
        <v>-1.37E-2</v>
      </c>
    </row>
    <row r="455" spans="1:13" x14ac:dyDescent="0.2">
      <c r="A455" s="6">
        <v>44589</v>
      </c>
      <c r="B455" s="2" t="s">
        <v>225</v>
      </c>
      <c r="C455" s="5">
        <v>44562</v>
      </c>
      <c r="D455" s="2" t="s">
        <v>183</v>
      </c>
      <c r="E455" s="3">
        <v>2181</v>
      </c>
      <c r="F455" s="8">
        <v>2.6120000000000001</v>
      </c>
      <c r="G455" s="4">
        <v>311.54419999999999</v>
      </c>
      <c r="H455" s="4">
        <v>707.19269999999995</v>
      </c>
      <c r="I455" s="4">
        <v>21.065000000000001</v>
      </c>
      <c r="J455" s="4">
        <v>21.32</v>
      </c>
      <c r="K455" s="4">
        <v>20.282499999999999</v>
      </c>
      <c r="L455" s="4">
        <v>20.695</v>
      </c>
      <c r="M455" s="7">
        <v>-1.7600000000000001E-2</v>
      </c>
    </row>
    <row r="456" spans="1:13" x14ac:dyDescent="0.2">
      <c r="A456" s="6">
        <v>44592</v>
      </c>
      <c r="B456" s="2" t="s">
        <v>228</v>
      </c>
      <c r="C456" s="5">
        <v>44562</v>
      </c>
      <c r="D456" s="2" t="s">
        <v>183</v>
      </c>
      <c r="E456" s="3">
        <v>2227</v>
      </c>
      <c r="F456" s="8">
        <v>2.2881</v>
      </c>
      <c r="G456" s="4">
        <v>252.89099999999999</v>
      </c>
      <c r="H456" s="4">
        <v>604.55039999999997</v>
      </c>
      <c r="I456" s="4">
        <v>20.695</v>
      </c>
      <c r="J456" s="4">
        <v>22.11</v>
      </c>
      <c r="K456" s="4">
        <v>20.695</v>
      </c>
      <c r="L456" s="4">
        <v>21.952500000000001</v>
      </c>
      <c r="M456" s="7">
        <v>6.08E-2</v>
      </c>
    </row>
    <row r="457" spans="1:13" x14ac:dyDescent="0.2">
      <c r="A457" s="6">
        <v>44593</v>
      </c>
      <c r="B457" s="2" t="s">
        <v>226</v>
      </c>
      <c r="C457" s="5">
        <v>44593</v>
      </c>
      <c r="D457" s="2" t="s">
        <v>183</v>
      </c>
      <c r="E457" s="3">
        <v>2171</v>
      </c>
      <c r="F457" s="8">
        <v>2.4733000000000001</v>
      </c>
      <c r="G457" s="4">
        <v>326.57850000000002</v>
      </c>
      <c r="H457" s="4">
        <v>706.03</v>
      </c>
      <c r="I457" s="4">
        <v>21.952500000000001</v>
      </c>
      <c r="J457" s="4">
        <v>22.07</v>
      </c>
      <c r="K457" s="4">
        <v>19.745000000000001</v>
      </c>
      <c r="L457" s="4">
        <v>19.977499999999999</v>
      </c>
      <c r="M457" s="7">
        <v>-0.09</v>
      </c>
    </row>
    <row r="458" spans="1:13" x14ac:dyDescent="0.2">
      <c r="A458" s="6">
        <v>44594</v>
      </c>
      <c r="B458" s="2" t="s">
        <v>224</v>
      </c>
      <c r="C458" s="5">
        <v>44593</v>
      </c>
      <c r="D458" s="2" t="s">
        <v>183</v>
      </c>
      <c r="E458" s="3">
        <v>2203</v>
      </c>
      <c r="F458" s="8">
        <v>2.1863999999999999</v>
      </c>
      <c r="G458" s="4">
        <v>293.34269999999998</v>
      </c>
      <c r="H458" s="4">
        <v>600.41510000000005</v>
      </c>
      <c r="I458" s="4">
        <v>19.977499999999999</v>
      </c>
      <c r="J458" s="4">
        <v>19.977499999999999</v>
      </c>
      <c r="K458" s="4">
        <v>18.547499999999999</v>
      </c>
      <c r="L458" s="4">
        <v>18.649999999999999</v>
      </c>
      <c r="M458" s="7">
        <v>-6.6400000000000001E-2</v>
      </c>
    </row>
    <row r="459" spans="1:13" x14ac:dyDescent="0.2">
      <c r="A459" s="6">
        <v>44595</v>
      </c>
      <c r="B459" s="2" t="s">
        <v>227</v>
      </c>
      <c r="C459" s="5">
        <v>44593</v>
      </c>
      <c r="D459" s="2" t="s">
        <v>183</v>
      </c>
      <c r="E459" s="3">
        <v>2190</v>
      </c>
      <c r="F459" s="8">
        <v>2.1958000000000002</v>
      </c>
      <c r="G459" s="4">
        <v>288.05</v>
      </c>
      <c r="H459" s="4">
        <v>575.81640000000004</v>
      </c>
      <c r="I459" s="4">
        <v>18.649999999999999</v>
      </c>
      <c r="J459" s="4">
        <v>19.594999999999999</v>
      </c>
      <c r="K459" s="4">
        <v>17.407499999999999</v>
      </c>
      <c r="L459" s="4">
        <v>19.16</v>
      </c>
      <c r="M459" s="7">
        <v>2.7300000000000001E-2</v>
      </c>
    </row>
    <row r="460" spans="1:13" x14ac:dyDescent="0.2">
      <c r="A460" s="6">
        <v>44596</v>
      </c>
      <c r="B460" s="2" t="s">
        <v>225</v>
      </c>
      <c r="C460" s="5">
        <v>44593</v>
      </c>
      <c r="D460" s="2" t="s">
        <v>183</v>
      </c>
      <c r="E460" s="3">
        <v>2177</v>
      </c>
      <c r="F460" s="8">
        <v>2.0829</v>
      </c>
      <c r="G460" s="4">
        <v>255.09469999999999</v>
      </c>
      <c r="H460" s="4">
        <v>556.26969999999994</v>
      </c>
      <c r="I460" s="4">
        <v>19.16</v>
      </c>
      <c r="J460" s="4">
        <v>19.7775</v>
      </c>
      <c r="K460" s="4">
        <v>18.594999999999999</v>
      </c>
      <c r="L460" s="4">
        <v>18.897500000000001</v>
      </c>
      <c r="M460" s="7">
        <v>-1.37E-2</v>
      </c>
    </row>
    <row r="461" spans="1:13" x14ac:dyDescent="0.2">
      <c r="A461" s="6">
        <v>44599</v>
      </c>
      <c r="B461" s="2" t="s">
        <v>228</v>
      </c>
      <c r="C461" s="5">
        <v>44593</v>
      </c>
      <c r="D461" s="2" t="s">
        <v>183</v>
      </c>
      <c r="E461" s="3">
        <v>2220</v>
      </c>
      <c r="F461" s="8">
        <v>2.2805</v>
      </c>
      <c r="G461" s="4">
        <v>294.16579999999999</v>
      </c>
      <c r="H461" s="4">
        <v>584.61410000000001</v>
      </c>
      <c r="I461" s="4">
        <v>18.897500000000001</v>
      </c>
      <c r="J461" s="4">
        <v>21.0825</v>
      </c>
      <c r="K461" s="4">
        <v>18.182500000000001</v>
      </c>
      <c r="L461" s="4">
        <v>20.4375</v>
      </c>
      <c r="M461" s="7">
        <v>8.1500000000000003E-2</v>
      </c>
    </row>
    <row r="462" spans="1:13" x14ac:dyDescent="0.2">
      <c r="A462" s="6">
        <v>44600</v>
      </c>
      <c r="B462" s="2" t="s">
        <v>226</v>
      </c>
      <c r="C462" s="5">
        <v>44593</v>
      </c>
      <c r="D462" s="2" t="s">
        <v>183</v>
      </c>
      <c r="E462" s="3">
        <v>2177</v>
      </c>
      <c r="F462" s="8">
        <v>2.3431000000000002</v>
      </c>
      <c r="G462" s="4">
        <v>306.74360000000001</v>
      </c>
      <c r="H462" s="4">
        <v>625.91959999999995</v>
      </c>
      <c r="I462" s="4">
        <v>20.4375</v>
      </c>
      <c r="J462" s="4">
        <v>20.9375</v>
      </c>
      <c r="K462" s="4">
        <v>19.555</v>
      </c>
      <c r="L462" s="4">
        <v>19.684999999999999</v>
      </c>
      <c r="M462" s="7">
        <v>-3.6799999999999999E-2</v>
      </c>
    </row>
    <row r="463" spans="1:13" x14ac:dyDescent="0.2">
      <c r="A463" s="6">
        <v>44601</v>
      </c>
      <c r="B463" s="2" t="s">
        <v>224</v>
      </c>
      <c r="C463" s="5">
        <v>44593</v>
      </c>
      <c r="D463" s="2" t="s">
        <v>183</v>
      </c>
      <c r="E463" s="3">
        <v>2183</v>
      </c>
      <c r="F463" s="8">
        <v>2.0002</v>
      </c>
      <c r="G463" s="4">
        <v>229.8296</v>
      </c>
      <c r="H463" s="4">
        <v>526.58889999999997</v>
      </c>
      <c r="I463" s="4">
        <v>19.684999999999999</v>
      </c>
      <c r="J463" s="4">
        <v>19.684999999999999</v>
      </c>
      <c r="K463" s="4">
        <v>17.885000000000002</v>
      </c>
      <c r="L463" s="4">
        <v>18.555</v>
      </c>
      <c r="M463" s="7">
        <v>-5.74E-2</v>
      </c>
    </row>
    <row r="464" spans="1:13" x14ac:dyDescent="0.2">
      <c r="A464" s="6">
        <v>44602</v>
      </c>
      <c r="B464" s="2" t="s">
        <v>227</v>
      </c>
      <c r="C464" s="5">
        <v>44593</v>
      </c>
      <c r="D464" s="2" t="s">
        <v>183</v>
      </c>
      <c r="E464" s="3">
        <v>2157</v>
      </c>
      <c r="F464" s="8">
        <v>2.2048000000000001</v>
      </c>
      <c r="G464" s="4">
        <v>266.37</v>
      </c>
      <c r="H464" s="4">
        <v>583.78570000000002</v>
      </c>
      <c r="I464" s="4">
        <v>18.555</v>
      </c>
      <c r="J464" s="4">
        <v>18.925000000000001</v>
      </c>
      <c r="K464" s="4">
        <v>16.8</v>
      </c>
      <c r="L464" s="4">
        <v>17.71</v>
      </c>
      <c r="M464" s="7">
        <v>-4.5499999999999999E-2</v>
      </c>
    </row>
    <row r="465" spans="1:13" x14ac:dyDescent="0.2">
      <c r="A465" s="6">
        <v>44603</v>
      </c>
      <c r="B465" s="2" t="s">
        <v>225</v>
      </c>
      <c r="C465" s="5">
        <v>44593</v>
      </c>
      <c r="D465" s="2" t="s">
        <v>183</v>
      </c>
      <c r="E465" s="3">
        <v>2158</v>
      </c>
      <c r="F465" s="8">
        <v>2.2974999999999999</v>
      </c>
      <c r="G465" s="4">
        <v>243.03489999999999</v>
      </c>
      <c r="H465" s="4">
        <v>597.77869999999996</v>
      </c>
      <c r="I465" s="4">
        <v>17.71</v>
      </c>
      <c r="J465" s="4">
        <v>19.532499999999999</v>
      </c>
      <c r="K465" s="4">
        <v>16.855</v>
      </c>
      <c r="L465" s="4">
        <v>18.68</v>
      </c>
      <c r="M465" s="7">
        <v>5.4800000000000001E-2</v>
      </c>
    </row>
    <row r="466" spans="1:13" x14ac:dyDescent="0.2">
      <c r="A466" s="6">
        <v>44606</v>
      </c>
      <c r="B466" s="2" t="s">
        <v>228</v>
      </c>
      <c r="C466" s="5">
        <v>44593</v>
      </c>
      <c r="D466" s="2" t="s">
        <v>183</v>
      </c>
      <c r="E466" s="3">
        <v>2211</v>
      </c>
      <c r="F466" s="8">
        <v>2.7566999999999999</v>
      </c>
      <c r="G466" s="4">
        <v>274.1035</v>
      </c>
      <c r="H466" s="4">
        <v>623.99599999999998</v>
      </c>
      <c r="I466" s="4">
        <v>18.68</v>
      </c>
      <c r="J466" s="4">
        <v>23.535</v>
      </c>
      <c r="K466" s="4">
        <v>18.68</v>
      </c>
      <c r="L466" s="4">
        <v>22.977499999999999</v>
      </c>
      <c r="M466" s="7">
        <v>0.2301</v>
      </c>
    </row>
    <row r="467" spans="1:13" x14ac:dyDescent="0.2">
      <c r="A467" s="6">
        <v>44607</v>
      </c>
      <c r="B467" s="2" t="s">
        <v>226</v>
      </c>
      <c r="C467" s="5">
        <v>44593</v>
      </c>
      <c r="D467" s="2" t="s">
        <v>183</v>
      </c>
      <c r="E467" s="3">
        <v>2189</v>
      </c>
      <c r="F467" s="8">
        <v>2.4885999999999999</v>
      </c>
      <c r="G467" s="4">
        <v>280.21710000000002</v>
      </c>
      <c r="H467" s="4">
        <v>612.44259999999997</v>
      </c>
      <c r="I467" s="4">
        <v>22.977499999999999</v>
      </c>
      <c r="J467" s="4">
        <v>23.14</v>
      </c>
      <c r="K467" s="4">
        <v>20.434999999999999</v>
      </c>
      <c r="L467" s="4">
        <v>20.612500000000001</v>
      </c>
      <c r="M467" s="7">
        <v>-0.10290000000000001</v>
      </c>
    </row>
    <row r="468" spans="1:13" x14ac:dyDescent="0.2">
      <c r="A468" s="6">
        <v>44608</v>
      </c>
      <c r="B468" s="2" t="s">
        <v>224</v>
      </c>
      <c r="C468" s="5">
        <v>44593</v>
      </c>
      <c r="D468" s="2" t="s">
        <v>183</v>
      </c>
      <c r="E468" s="3">
        <v>2178</v>
      </c>
      <c r="F468" s="8">
        <v>2.0516999999999999</v>
      </c>
      <c r="G468" s="4">
        <v>263.66149999999999</v>
      </c>
      <c r="H468" s="4">
        <v>553.36159999999995</v>
      </c>
      <c r="I468" s="4">
        <v>20.612500000000001</v>
      </c>
      <c r="J468" s="4">
        <v>21.02</v>
      </c>
      <c r="K468" s="4">
        <v>19.352499999999999</v>
      </c>
      <c r="L468" s="4">
        <v>20.592500000000001</v>
      </c>
      <c r="M468" s="7">
        <v>-1E-3</v>
      </c>
    </row>
    <row r="469" spans="1:13" x14ac:dyDescent="0.2">
      <c r="A469" s="6">
        <v>44609</v>
      </c>
      <c r="B469" s="2" t="s">
        <v>227</v>
      </c>
      <c r="C469" s="5">
        <v>44593</v>
      </c>
      <c r="D469" s="2" t="s">
        <v>183</v>
      </c>
      <c r="E469" s="3">
        <v>2164</v>
      </c>
      <c r="F469" s="8">
        <v>1.7113</v>
      </c>
      <c r="G469" s="4">
        <v>203.5103</v>
      </c>
      <c r="H469" s="4">
        <v>468.178</v>
      </c>
      <c r="I469" s="4">
        <v>20.592500000000001</v>
      </c>
      <c r="J469" s="4">
        <v>22.37</v>
      </c>
      <c r="K469" s="4">
        <v>19.462499999999999</v>
      </c>
      <c r="L469" s="4">
        <v>22.004999999999999</v>
      </c>
      <c r="M469" s="7">
        <v>6.8599999999999994E-2</v>
      </c>
    </row>
    <row r="470" spans="1:13" x14ac:dyDescent="0.2">
      <c r="A470" s="6">
        <v>44610</v>
      </c>
      <c r="B470" s="2" t="s">
        <v>225</v>
      </c>
      <c r="C470" s="5">
        <v>44593</v>
      </c>
      <c r="D470" s="2" t="s">
        <v>183</v>
      </c>
      <c r="E470" s="3">
        <v>2179</v>
      </c>
      <c r="F470" s="8">
        <v>1.5925</v>
      </c>
      <c r="G470" s="4">
        <v>179.5686</v>
      </c>
      <c r="H470" s="4">
        <v>400.55470000000003</v>
      </c>
      <c r="I470" s="4">
        <v>22.004999999999999</v>
      </c>
      <c r="J470" s="4">
        <v>23.21</v>
      </c>
      <c r="K470" s="4">
        <v>21.635000000000002</v>
      </c>
      <c r="L470" s="4">
        <v>22.164999999999999</v>
      </c>
      <c r="M470" s="7">
        <v>7.3000000000000001E-3</v>
      </c>
    </row>
    <row r="471" spans="1:13" x14ac:dyDescent="0.2">
      <c r="A471" s="6">
        <v>44613</v>
      </c>
      <c r="B471" s="2" t="s">
        <v>228</v>
      </c>
      <c r="C471" s="5">
        <v>44593</v>
      </c>
      <c r="D471" s="2" t="s">
        <v>183</v>
      </c>
      <c r="E471" s="3">
        <v>2230</v>
      </c>
      <c r="F471" s="8">
        <v>1.9554</v>
      </c>
      <c r="G471" s="4">
        <v>258.14760000000001</v>
      </c>
      <c r="H471" s="4">
        <v>480.51740000000001</v>
      </c>
      <c r="I471" s="4">
        <v>22.164999999999999</v>
      </c>
      <c r="J471" s="4">
        <v>23.754999999999999</v>
      </c>
      <c r="K471" s="4">
        <v>20.57</v>
      </c>
      <c r="L471" s="4">
        <v>22.9025</v>
      </c>
      <c r="M471" s="7">
        <v>3.3300000000000003E-2</v>
      </c>
    </row>
    <row r="472" spans="1:13" x14ac:dyDescent="0.2">
      <c r="A472" s="6">
        <v>44614</v>
      </c>
      <c r="B472" s="2" t="s">
        <v>226</v>
      </c>
      <c r="C472" s="5">
        <v>44593</v>
      </c>
      <c r="D472" s="2" t="s">
        <v>183</v>
      </c>
      <c r="E472" s="3">
        <v>2190</v>
      </c>
      <c r="F472" s="8">
        <v>2.2818000000000001</v>
      </c>
      <c r="G472" s="4">
        <v>252.60769999999999</v>
      </c>
      <c r="H472" s="4">
        <v>572.86659999999995</v>
      </c>
      <c r="I472" s="4">
        <v>22.9025</v>
      </c>
      <c r="J472" s="4">
        <v>27.815000000000001</v>
      </c>
      <c r="K472" s="4">
        <v>22.9025</v>
      </c>
      <c r="L472" s="4">
        <v>26.662500000000001</v>
      </c>
      <c r="M472" s="7">
        <v>0.16420000000000001</v>
      </c>
    </row>
    <row r="473" spans="1:13" x14ac:dyDescent="0.2">
      <c r="A473" s="6">
        <v>44615</v>
      </c>
      <c r="B473" s="2" t="s">
        <v>224</v>
      </c>
      <c r="C473" s="5">
        <v>44593</v>
      </c>
      <c r="D473" s="2" t="s">
        <v>183</v>
      </c>
      <c r="E473" s="3">
        <v>2180</v>
      </c>
      <c r="F473" s="8">
        <v>1.8085</v>
      </c>
      <c r="G473" s="4">
        <v>215.51740000000001</v>
      </c>
      <c r="H473" s="4">
        <v>449.53530000000001</v>
      </c>
      <c r="I473" s="4">
        <v>26.662500000000001</v>
      </c>
      <c r="J473" s="4">
        <v>26.662500000000001</v>
      </c>
      <c r="K473" s="4">
        <v>23.907499999999999</v>
      </c>
      <c r="L473" s="4">
        <v>24.5425</v>
      </c>
      <c r="M473" s="7">
        <v>-7.9500000000000001E-2</v>
      </c>
    </row>
    <row r="474" spans="1:13" x14ac:dyDescent="0.2">
      <c r="A474" s="6">
        <v>44616</v>
      </c>
      <c r="B474" s="2" t="s">
        <v>227</v>
      </c>
      <c r="C474" s="5">
        <v>44593</v>
      </c>
      <c r="D474" s="2" t="s">
        <v>183</v>
      </c>
      <c r="E474" s="3">
        <v>2226</v>
      </c>
      <c r="F474" s="8">
        <v>3.3429000000000002</v>
      </c>
      <c r="G474" s="4">
        <v>385.95440000000002</v>
      </c>
      <c r="H474" s="4">
        <v>851.14459999999997</v>
      </c>
      <c r="I474" s="4">
        <v>24.5425</v>
      </c>
      <c r="J474" s="4">
        <v>33.972499999999997</v>
      </c>
      <c r="K474" s="4">
        <v>24.5425</v>
      </c>
      <c r="L474" s="4">
        <v>31.982500000000002</v>
      </c>
      <c r="M474" s="7">
        <v>0.30309999999999998</v>
      </c>
    </row>
    <row r="475" spans="1:13" x14ac:dyDescent="0.2">
      <c r="A475" s="6">
        <v>44617</v>
      </c>
      <c r="B475" s="2" t="s">
        <v>225</v>
      </c>
      <c r="C475" s="5">
        <v>44593</v>
      </c>
      <c r="D475" s="2" t="s">
        <v>183</v>
      </c>
      <c r="E475" s="3">
        <v>2168</v>
      </c>
      <c r="F475" s="8">
        <v>2.3184999999999998</v>
      </c>
      <c r="G475" s="4">
        <v>295.70170000000002</v>
      </c>
      <c r="H475" s="4">
        <v>624.83370000000002</v>
      </c>
      <c r="I475" s="4">
        <v>31.982500000000002</v>
      </c>
      <c r="J475" s="4">
        <v>31.982500000000002</v>
      </c>
      <c r="K475" s="4">
        <v>26.15</v>
      </c>
      <c r="L475" s="4">
        <v>26.74</v>
      </c>
      <c r="M475" s="7">
        <v>-0.16389999999999999</v>
      </c>
    </row>
    <row r="476" spans="1:13" x14ac:dyDescent="0.2">
      <c r="A476" s="6">
        <v>44620</v>
      </c>
      <c r="B476" s="2" t="s">
        <v>228</v>
      </c>
      <c r="C476" s="5">
        <v>44593</v>
      </c>
      <c r="D476" s="2" t="s">
        <v>183</v>
      </c>
      <c r="E476" s="3">
        <v>2192</v>
      </c>
      <c r="F476" s="8">
        <v>2.2562000000000002</v>
      </c>
      <c r="G476" s="4">
        <v>291.1028</v>
      </c>
      <c r="H476" s="4">
        <v>693.78480000000002</v>
      </c>
      <c r="I476" s="4">
        <v>26.74</v>
      </c>
      <c r="J476" s="4">
        <v>29.785</v>
      </c>
      <c r="K476" s="4">
        <v>26.74</v>
      </c>
      <c r="L476" s="4">
        <v>28.57</v>
      </c>
      <c r="M476" s="7">
        <v>6.8400000000000002E-2</v>
      </c>
    </row>
    <row r="477" spans="1:13" x14ac:dyDescent="0.2">
      <c r="A477" s="6">
        <v>44622</v>
      </c>
      <c r="B477" s="2" t="s">
        <v>224</v>
      </c>
      <c r="C477" s="5">
        <v>44621</v>
      </c>
      <c r="D477" s="2" t="s">
        <v>183</v>
      </c>
      <c r="E477" s="3">
        <v>2198</v>
      </c>
      <c r="F477" s="8">
        <v>2.4853999999999998</v>
      </c>
      <c r="G477" s="4">
        <v>266.29070000000002</v>
      </c>
      <c r="H477" s="4">
        <v>725.63419999999996</v>
      </c>
      <c r="I477" s="4">
        <v>28.57</v>
      </c>
      <c r="J477" s="4">
        <v>30.842500000000001</v>
      </c>
      <c r="K477" s="4">
        <v>28.57</v>
      </c>
      <c r="L477" s="4">
        <v>29.232500000000002</v>
      </c>
      <c r="M477" s="7">
        <v>2.3199999999999998E-2</v>
      </c>
    </row>
    <row r="478" spans="1:13" x14ac:dyDescent="0.2">
      <c r="A478" s="6">
        <v>44623</v>
      </c>
      <c r="B478" s="2" t="s">
        <v>227</v>
      </c>
      <c r="C478" s="5">
        <v>44621</v>
      </c>
      <c r="D478" s="2" t="s">
        <v>183</v>
      </c>
      <c r="E478" s="3">
        <v>2172</v>
      </c>
      <c r="F478" s="8">
        <v>2.2892000000000001</v>
      </c>
      <c r="G478" s="4">
        <v>275.64499999999998</v>
      </c>
      <c r="H478" s="4">
        <v>654.78899999999999</v>
      </c>
      <c r="I478" s="4">
        <v>29.232500000000002</v>
      </c>
      <c r="J478" s="4">
        <v>29.232500000000002</v>
      </c>
      <c r="K478" s="4">
        <v>27.2225</v>
      </c>
      <c r="L478" s="4">
        <v>28.155000000000001</v>
      </c>
      <c r="M478" s="7">
        <v>-3.6900000000000002E-2</v>
      </c>
    </row>
    <row r="479" spans="1:13" x14ac:dyDescent="0.2">
      <c r="A479" s="6">
        <v>44624</v>
      </c>
      <c r="B479" s="2" t="s">
        <v>225</v>
      </c>
      <c r="C479" s="5">
        <v>44621</v>
      </c>
      <c r="D479" s="2" t="s">
        <v>183</v>
      </c>
      <c r="E479" s="3">
        <v>2186</v>
      </c>
      <c r="F479" s="8">
        <v>2.5335000000000001</v>
      </c>
      <c r="G479" s="4">
        <v>288.89980000000003</v>
      </c>
      <c r="H479" s="4">
        <v>692.60500000000002</v>
      </c>
      <c r="I479" s="4">
        <v>28.155000000000001</v>
      </c>
      <c r="J479" s="4">
        <v>29.925000000000001</v>
      </c>
      <c r="K479" s="4">
        <v>27.2225</v>
      </c>
      <c r="L479" s="4">
        <v>27.9575</v>
      </c>
      <c r="M479" s="7">
        <v>-7.0000000000000001E-3</v>
      </c>
    </row>
    <row r="480" spans="1:13" x14ac:dyDescent="0.2">
      <c r="A480" s="6">
        <v>44627</v>
      </c>
      <c r="B480" s="2" t="s">
        <v>228</v>
      </c>
      <c r="C480" s="5">
        <v>44621</v>
      </c>
      <c r="D480" s="2" t="s">
        <v>183</v>
      </c>
      <c r="E480" s="3">
        <v>2243</v>
      </c>
      <c r="F480" s="8">
        <v>2.7471999999999999</v>
      </c>
      <c r="G480" s="4">
        <v>277.23559999999998</v>
      </c>
      <c r="H480" s="4">
        <v>710.07029999999997</v>
      </c>
      <c r="I480" s="4">
        <v>27.9575</v>
      </c>
      <c r="J480" s="4">
        <v>30.2775</v>
      </c>
      <c r="K480" s="4">
        <v>27.9575</v>
      </c>
      <c r="L480" s="4">
        <v>29.33</v>
      </c>
      <c r="M480" s="7">
        <v>4.9099999999999998E-2</v>
      </c>
    </row>
    <row r="481" spans="1:13" x14ac:dyDescent="0.2">
      <c r="A481" s="6">
        <v>44628</v>
      </c>
      <c r="B481" s="2" t="s">
        <v>226</v>
      </c>
      <c r="C481" s="5">
        <v>44621</v>
      </c>
      <c r="D481" s="2" t="s">
        <v>183</v>
      </c>
      <c r="E481" s="3">
        <v>2188</v>
      </c>
      <c r="F481" s="8">
        <v>2.5535000000000001</v>
      </c>
      <c r="G481" s="4">
        <v>265.96129999999999</v>
      </c>
      <c r="H481" s="4">
        <v>726.29139999999995</v>
      </c>
      <c r="I481" s="4">
        <v>29.33</v>
      </c>
      <c r="J481" s="4">
        <v>30.057500000000001</v>
      </c>
      <c r="K481" s="4">
        <v>27.112500000000001</v>
      </c>
      <c r="L481" s="4">
        <v>28.587499999999999</v>
      </c>
      <c r="M481" s="7">
        <v>-2.53E-2</v>
      </c>
    </row>
    <row r="482" spans="1:13" x14ac:dyDescent="0.2">
      <c r="A482" s="6">
        <v>44629</v>
      </c>
      <c r="B482" s="2" t="s">
        <v>224</v>
      </c>
      <c r="C482" s="5">
        <v>44621</v>
      </c>
      <c r="D482" s="2" t="s">
        <v>183</v>
      </c>
      <c r="E482" s="3">
        <v>2191</v>
      </c>
      <c r="F482" s="8">
        <v>2.3283999999999998</v>
      </c>
      <c r="G482" s="4">
        <v>264.74209999999999</v>
      </c>
      <c r="H482" s="4">
        <v>692.13329999999996</v>
      </c>
      <c r="I482" s="4">
        <v>28.587499999999999</v>
      </c>
      <c r="J482" s="4">
        <v>28.587499999999999</v>
      </c>
      <c r="K482" s="4">
        <v>27.305</v>
      </c>
      <c r="L482" s="4">
        <v>27.467500000000001</v>
      </c>
      <c r="M482" s="7">
        <v>-3.9199999999999999E-2</v>
      </c>
    </row>
    <row r="483" spans="1:13" x14ac:dyDescent="0.2">
      <c r="A483" s="6">
        <v>44630</v>
      </c>
      <c r="B483" s="2" t="s">
        <v>227</v>
      </c>
      <c r="C483" s="5">
        <v>44621</v>
      </c>
      <c r="D483" s="2" t="s">
        <v>183</v>
      </c>
      <c r="E483" s="3">
        <v>2194</v>
      </c>
      <c r="F483" s="8">
        <v>2.3826000000000001</v>
      </c>
      <c r="G483" s="4">
        <v>272.47559999999999</v>
      </c>
      <c r="H483" s="4">
        <v>738.04139999999995</v>
      </c>
      <c r="I483" s="4">
        <v>27.467500000000001</v>
      </c>
      <c r="J483" s="4">
        <v>27.467500000000001</v>
      </c>
      <c r="K483" s="4">
        <v>22.962499999999999</v>
      </c>
      <c r="L483" s="4">
        <v>25.5825</v>
      </c>
      <c r="M483" s="7">
        <v>-6.8599999999999994E-2</v>
      </c>
    </row>
    <row r="484" spans="1:13" x14ac:dyDescent="0.2">
      <c r="A484" s="6">
        <v>44631</v>
      </c>
      <c r="B484" s="2" t="s">
        <v>225</v>
      </c>
      <c r="C484" s="5">
        <v>44621</v>
      </c>
      <c r="D484" s="2" t="s">
        <v>183</v>
      </c>
      <c r="E484" s="3">
        <v>2175</v>
      </c>
      <c r="F484" s="8">
        <v>2.0308000000000002</v>
      </c>
      <c r="G484" s="4">
        <v>226.66200000000001</v>
      </c>
      <c r="H484" s="4">
        <v>585.38869999999997</v>
      </c>
      <c r="I484" s="4">
        <v>25.5825</v>
      </c>
      <c r="J484" s="4">
        <v>25.872499999999999</v>
      </c>
      <c r="K484" s="4">
        <v>24.58</v>
      </c>
      <c r="L484" s="4">
        <v>25.344999999999999</v>
      </c>
      <c r="M484" s="7">
        <v>-9.2999999999999992E-3</v>
      </c>
    </row>
    <row r="485" spans="1:13" x14ac:dyDescent="0.2">
      <c r="A485" s="6">
        <v>44634</v>
      </c>
      <c r="B485" s="2" t="s">
        <v>228</v>
      </c>
      <c r="C485" s="5">
        <v>44621</v>
      </c>
      <c r="D485" s="2" t="s">
        <v>183</v>
      </c>
      <c r="E485" s="3">
        <v>2194</v>
      </c>
      <c r="F485" s="8">
        <v>2.1133000000000002</v>
      </c>
      <c r="G485" s="4">
        <v>226.9194</v>
      </c>
      <c r="H485" s="4">
        <v>605.79079999999999</v>
      </c>
      <c r="I485" s="4">
        <v>25.344999999999999</v>
      </c>
      <c r="J485" s="4">
        <v>26.212499999999999</v>
      </c>
      <c r="K485" s="4">
        <v>25.09</v>
      </c>
      <c r="L485" s="4">
        <v>25.677499999999998</v>
      </c>
      <c r="M485" s="7">
        <v>1.3100000000000001E-2</v>
      </c>
    </row>
    <row r="486" spans="1:13" x14ac:dyDescent="0.2">
      <c r="A486" s="6">
        <v>44635</v>
      </c>
      <c r="B486" s="2" t="s">
        <v>226</v>
      </c>
      <c r="C486" s="5">
        <v>44621</v>
      </c>
      <c r="D486" s="2" t="s">
        <v>183</v>
      </c>
      <c r="E486" s="3">
        <v>2175</v>
      </c>
      <c r="F486" s="8">
        <v>2.4483000000000001</v>
      </c>
      <c r="G486" s="4">
        <v>254.3038</v>
      </c>
      <c r="H486" s="4">
        <v>682.23490000000004</v>
      </c>
      <c r="I486" s="4">
        <v>25.677499999999998</v>
      </c>
      <c r="J486" s="4">
        <v>27.5425</v>
      </c>
      <c r="K486" s="4">
        <v>23.657499999999999</v>
      </c>
      <c r="L486" s="4">
        <v>26.73</v>
      </c>
      <c r="M486" s="7">
        <v>4.1000000000000002E-2</v>
      </c>
    </row>
    <row r="487" spans="1:13" x14ac:dyDescent="0.2">
      <c r="A487" s="6">
        <v>44636</v>
      </c>
      <c r="B487" s="2" t="s">
        <v>224</v>
      </c>
      <c r="C487" s="5">
        <v>44621</v>
      </c>
      <c r="D487" s="2" t="s">
        <v>183</v>
      </c>
      <c r="E487" s="3">
        <v>2179</v>
      </c>
      <c r="F487" s="8">
        <v>1.9731000000000001</v>
      </c>
      <c r="G487" s="4">
        <v>208.84729999999999</v>
      </c>
      <c r="H487" s="4">
        <v>547.33370000000002</v>
      </c>
      <c r="I487" s="4">
        <v>26.73</v>
      </c>
      <c r="J487" s="4">
        <v>26.73</v>
      </c>
      <c r="K487" s="4">
        <v>24.012499999999999</v>
      </c>
      <c r="L487" s="4">
        <v>24.1175</v>
      </c>
      <c r="M487" s="7">
        <v>-9.7699999999999995E-2</v>
      </c>
    </row>
    <row r="488" spans="1:13" x14ac:dyDescent="0.2">
      <c r="A488" s="6">
        <v>44637</v>
      </c>
      <c r="B488" s="2" t="s">
        <v>227</v>
      </c>
      <c r="C488" s="5">
        <v>44621</v>
      </c>
      <c r="D488" s="2" t="s">
        <v>183</v>
      </c>
      <c r="E488" s="3">
        <v>2204</v>
      </c>
      <c r="F488" s="8">
        <v>2.3729</v>
      </c>
      <c r="G488" s="4">
        <v>356.20490000000001</v>
      </c>
      <c r="H488" s="4">
        <v>860.07600000000002</v>
      </c>
      <c r="I488" s="4">
        <v>24.1175</v>
      </c>
      <c r="J488" s="4">
        <v>24.1175</v>
      </c>
      <c r="K488" s="4">
        <v>20.77</v>
      </c>
      <c r="L488" s="4">
        <v>22.61</v>
      </c>
      <c r="M488" s="7">
        <v>-6.25E-2</v>
      </c>
    </row>
    <row r="489" spans="1:13" x14ac:dyDescent="0.2">
      <c r="A489" s="6">
        <v>44641</v>
      </c>
      <c r="B489" s="2" t="s">
        <v>228</v>
      </c>
      <c r="C489" s="5">
        <v>44621</v>
      </c>
      <c r="D489" s="2" t="s">
        <v>183</v>
      </c>
      <c r="E489" s="3">
        <v>2232</v>
      </c>
      <c r="F489" s="8">
        <v>2.1568999999999998</v>
      </c>
      <c r="G489" s="4">
        <v>226.15969999999999</v>
      </c>
      <c r="H489" s="4">
        <v>589.15989999999999</v>
      </c>
      <c r="I489" s="4">
        <v>22.61</v>
      </c>
      <c r="J489" s="4">
        <v>24.712499999999999</v>
      </c>
      <c r="K489" s="4">
        <v>22.61</v>
      </c>
      <c r="L489" s="4">
        <v>24.622499999999999</v>
      </c>
      <c r="M489" s="7">
        <v>8.8999999999999996E-2</v>
      </c>
    </row>
    <row r="490" spans="1:13" x14ac:dyDescent="0.2">
      <c r="A490" s="6">
        <v>44642</v>
      </c>
      <c r="B490" s="2" t="s">
        <v>226</v>
      </c>
      <c r="C490" s="5">
        <v>44621</v>
      </c>
      <c r="D490" s="2" t="s">
        <v>183</v>
      </c>
      <c r="E490" s="3">
        <v>2190</v>
      </c>
      <c r="F490" s="8">
        <v>2.0933999999999999</v>
      </c>
      <c r="G490" s="4">
        <v>230.95760000000001</v>
      </c>
      <c r="H490" s="4">
        <v>618.21299999999997</v>
      </c>
      <c r="I490" s="4">
        <v>24.622499999999999</v>
      </c>
      <c r="J490" s="4">
        <v>25.157499999999999</v>
      </c>
      <c r="K490" s="4">
        <v>23.76</v>
      </c>
      <c r="L490" s="4">
        <v>24.07</v>
      </c>
      <c r="M490" s="7">
        <v>-2.24E-2</v>
      </c>
    </row>
    <row r="491" spans="1:13" x14ac:dyDescent="0.2">
      <c r="A491" s="6">
        <v>44643</v>
      </c>
      <c r="B491" s="2" t="s">
        <v>224</v>
      </c>
      <c r="C491" s="5">
        <v>44621</v>
      </c>
      <c r="D491" s="2" t="s">
        <v>183</v>
      </c>
      <c r="E491" s="3">
        <v>2174</v>
      </c>
      <c r="F491" s="8">
        <v>2.0569000000000002</v>
      </c>
      <c r="G491" s="4">
        <v>244.5907</v>
      </c>
      <c r="H491" s="4">
        <v>615.36320000000001</v>
      </c>
      <c r="I491" s="4">
        <v>24.07</v>
      </c>
      <c r="J491" s="4">
        <v>24.975000000000001</v>
      </c>
      <c r="K491" s="4">
        <v>20.454999999999998</v>
      </c>
      <c r="L491" s="4">
        <v>24.747499999999999</v>
      </c>
      <c r="M491" s="7">
        <v>2.81E-2</v>
      </c>
    </row>
    <row r="492" spans="1:13" x14ac:dyDescent="0.2">
      <c r="A492" s="6">
        <v>44644</v>
      </c>
      <c r="B492" s="2" t="s">
        <v>227</v>
      </c>
      <c r="C492" s="5">
        <v>44621</v>
      </c>
      <c r="D492" s="2" t="s">
        <v>183</v>
      </c>
      <c r="E492" s="3">
        <v>2192</v>
      </c>
      <c r="F492" s="8">
        <v>1.9849000000000001</v>
      </c>
      <c r="G492" s="4">
        <v>235.48349999999999</v>
      </c>
      <c r="H492" s="4">
        <v>590.1078</v>
      </c>
      <c r="I492" s="4">
        <v>24.747499999999999</v>
      </c>
      <c r="J492" s="4">
        <v>25.53</v>
      </c>
      <c r="K492" s="4">
        <v>23.8125</v>
      </c>
      <c r="L492" s="4">
        <v>23.93</v>
      </c>
      <c r="M492" s="7">
        <v>-3.3000000000000002E-2</v>
      </c>
    </row>
    <row r="493" spans="1:13" x14ac:dyDescent="0.2">
      <c r="A493" s="6">
        <v>44645</v>
      </c>
      <c r="B493" s="2" t="s">
        <v>225</v>
      </c>
      <c r="C493" s="5">
        <v>44621</v>
      </c>
      <c r="D493" s="2" t="s">
        <v>183</v>
      </c>
      <c r="E493" s="3">
        <v>2192</v>
      </c>
      <c r="F493" s="8">
        <v>1.9433</v>
      </c>
      <c r="G493" s="4">
        <v>228.46899999999999</v>
      </c>
      <c r="H493" s="4">
        <v>584.67660000000001</v>
      </c>
      <c r="I493" s="4">
        <v>23.93</v>
      </c>
      <c r="J493" s="4">
        <v>24.272500000000001</v>
      </c>
      <c r="K493" s="4">
        <v>22.91</v>
      </c>
      <c r="L493" s="4">
        <v>23.43</v>
      </c>
      <c r="M493" s="7">
        <v>-2.0899999999999998E-2</v>
      </c>
    </row>
    <row r="494" spans="1:13" x14ac:dyDescent="0.2">
      <c r="A494" s="6">
        <v>44648</v>
      </c>
      <c r="B494" s="2" t="s">
        <v>228</v>
      </c>
      <c r="C494" s="5">
        <v>44621</v>
      </c>
      <c r="D494" s="2" t="s">
        <v>183</v>
      </c>
      <c r="E494" s="3">
        <v>2236</v>
      </c>
      <c r="F494" s="8">
        <v>2.1472000000000002</v>
      </c>
      <c r="G494" s="4">
        <v>251.0591</v>
      </c>
      <c r="H494" s="4">
        <v>590.09749999999997</v>
      </c>
      <c r="I494" s="4">
        <v>23.43</v>
      </c>
      <c r="J494" s="4">
        <v>24.212499999999999</v>
      </c>
      <c r="K494" s="4">
        <v>19.59</v>
      </c>
      <c r="L494" s="4">
        <v>22.61</v>
      </c>
      <c r="M494" s="7">
        <v>-3.5000000000000003E-2</v>
      </c>
    </row>
    <row r="495" spans="1:13" x14ac:dyDescent="0.2">
      <c r="A495" s="6">
        <v>44649</v>
      </c>
      <c r="B495" s="2" t="s">
        <v>226</v>
      </c>
      <c r="C495" s="5">
        <v>44621</v>
      </c>
      <c r="D495" s="2" t="s">
        <v>183</v>
      </c>
      <c r="E495" s="3">
        <v>2226</v>
      </c>
      <c r="F495" s="8">
        <v>2.1781000000000001</v>
      </c>
      <c r="G495" s="4">
        <v>309.44150000000002</v>
      </c>
      <c r="H495" s="4">
        <v>624.83079999999995</v>
      </c>
      <c r="I495" s="4">
        <v>22.61</v>
      </c>
      <c r="J495" s="4">
        <v>22.61</v>
      </c>
      <c r="K495" s="4">
        <v>21.102499999999999</v>
      </c>
      <c r="L495" s="4">
        <v>21.302499999999998</v>
      </c>
      <c r="M495" s="7">
        <v>-5.7799999999999997E-2</v>
      </c>
    </row>
    <row r="496" spans="1:13" x14ac:dyDescent="0.2">
      <c r="A496" s="6">
        <v>44650</v>
      </c>
      <c r="B496" s="2" t="s">
        <v>224</v>
      </c>
      <c r="C496" s="5">
        <v>44621</v>
      </c>
      <c r="D496" s="2" t="s">
        <v>183</v>
      </c>
      <c r="E496" s="3">
        <v>2188</v>
      </c>
      <c r="F496" s="8">
        <v>2.2624</v>
      </c>
      <c r="G496" s="4">
        <v>328.71359999999999</v>
      </c>
      <c r="H496" s="4">
        <v>747.0847</v>
      </c>
      <c r="I496" s="4">
        <v>21.302499999999998</v>
      </c>
      <c r="J496" s="4">
        <v>21.302499999999998</v>
      </c>
      <c r="K496" s="4">
        <v>19.73</v>
      </c>
      <c r="L496" s="4">
        <v>20.61</v>
      </c>
      <c r="M496" s="7">
        <v>-3.2500000000000001E-2</v>
      </c>
    </row>
    <row r="497" spans="1:13" x14ac:dyDescent="0.2">
      <c r="A497" s="6">
        <v>44651</v>
      </c>
      <c r="B497" s="2" t="s">
        <v>227</v>
      </c>
      <c r="C497" s="5">
        <v>44621</v>
      </c>
      <c r="D497" s="2" t="s">
        <v>183</v>
      </c>
      <c r="E497" s="3">
        <v>2172</v>
      </c>
      <c r="F497" s="8">
        <v>2.0954000000000002</v>
      </c>
      <c r="G497" s="4">
        <v>284.69580000000002</v>
      </c>
      <c r="H497" s="4">
        <v>668.68820000000005</v>
      </c>
      <c r="I497" s="4">
        <v>20.61</v>
      </c>
      <c r="J497" s="4">
        <v>20.942499999999999</v>
      </c>
      <c r="K497" s="4">
        <v>20.212499999999999</v>
      </c>
      <c r="L497" s="4">
        <v>20.56</v>
      </c>
      <c r="M497" s="7">
        <v>-2.3999999999999998E-3</v>
      </c>
    </row>
    <row r="498" spans="1:13" x14ac:dyDescent="0.2">
      <c r="A498" s="6">
        <v>44652</v>
      </c>
      <c r="B498" s="2" t="s">
        <v>225</v>
      </c>
      <c r="C498" s="5">
        <v>44652</v>
      </c>
      <c r="D498" s="2" t="s">
        <v>184</v>
      </c>
      <c r="E498" s="3">
        <v>2187</v>
      </c>
      <c r="F498" s="8">
        <v>2.0571999999999999</v>
      </c>
      <c r="G498" s="4">
        <v>293.78429999999997</v>
      </c>
      <c r="H498" s="4">
        <v>614.50239999999997</v>
      </c>
      <c r="I498" s="4">
        <v>20.56</v>
      </c>
      <c r="J498" s="4">
        <v>20.855</v>
      </c>
      <c r="K498" s="4">
        <v>18.12</v>
      </c>
      <c r="L498" s="4">
        <v>18.434999999999999</v>
      </c>
      <c r="M498" s="7">
        <v>-0.10340000000000001</v>
      </c>
    </row>
    <row r="499" spans="1:13" x14ac:dyDescent="0.2">
      <c r="A499" s="6">
        <v>44655</v>
      </c>
      <c r="B499" s="2" t="s">
        <v>228</v>
      </c>
      <c r="C499" s="5">
        <v>44652</v>
      </c>
      <c r="D499" s="2" t="s">
        <v>184</v>
      </c>
      <c r="E499" s="3">
        <v>2224</v>
      </c>
      <c r="F499" s="8">
        <v>2.4243999999999999</v>
      </c>
      <c r="G499" s="4">
        <v>310.83260000000001</v>
      </c>
      <c r="H499" s="4">
        <v>813.3492</v>
      </c>
      <c r="I499" s="4">
        <v>18.434999999999999</v>
      </c>
      <c r="J499" s="4">
        <v>18.824999999999999</v>
      </c>
      <c r="K499" s="4">
        <v>17.592500000000001</v>
      </c>
      <c r="L499" s="4">
        <v>17.907499999999999</v>
      </c>
      <c r="M499" s="7">
        <v>-2.86E-2</v>
      </c>
    </row>
    <row r="500" spans="1:13" x14ac:dyDescent="0.2">
      <c r="A500" s="6">
        <v>44656</v>
      </c>
      <c r="B500" s="2" t="s">
        <v>226</v>
      </c>
      <c r="C500" s="5">
        <v>44652</v>
      </c>
      <c r="D500" s="2" t="s">
        <v>184</v>
      </c>
      <c r="E500" s="3">
        <v>2198</v>
      </c>
      <c r="F500" s="8">
        <v>2.4384000000000001</v>
      </c>
      <c r="G500" s="4">
        <v>318.76870000000002</v>
      </c>
      <c r="H500" s="4">
        <v>758.92089999999996</v>
      </c>
      <c r="I500" s="4">
        <v>17.907499999999999</v>
      </c>
      <c r="J500" s="4">
        <v>18.63</v>
      </c>
      <c r="K500" s="4">
        <v>16.79</v>
      </c>
      <c r="L500" s="4">
        <v>18.487500000000001</v>
      </c>
      <c r="M500" s="7">
        <v>3.2399999999999998E-2</v>
      </c>
    </row>
    <row r="501" spans="1:13" x14ac:dyDescent="0.2">
      <c r="A501" s="6">
        <v>44657</v>
      </c>
      <c r="B501" s="2" t="s">
        <v>224</v>
      </c>
      <c r="C501" s="5">
        <v>44652</v>
      </c>
      <c r="D501" s="2" t="s">
        <v>184</v>
      </c>
      <c r="E501" s="3">
        <v>2210</v>
      </c>
      <c r="F501" s="8">
        <v>2.4739</v>
      </c>
      <c r="G501" s="4">
        <v>413.53649999999999</v>
      </c>
      <c r="H501" s="4">
        <v>765</v>
      </c>
      <c r="I501" s="4">
        <v>18.487500000000001</v>
      </c>
      <c r="J501" s="4">
        <v>19.282499999999999</v>
      </c>
      <c r="K501" s="4">
        <v>16.809999999999999</v>
      </c>
      <c r="L501" s="4">
        <v>19.022500000000001</v>
      </c>
      <c r="M501" s="7">
        <v>2.8899999999999999E-2</v>
      </c>
    </row>
    <row r="502" spans="1:13" x14ac:dyDescent="0.2">
      <c r="A502" s="6">
        <v>44658</v>
      </c>
      <c r="B502" s="2" t="s">
        <v>227</v>
      </c>
      <c r="C502" s="5">
        <v>44652</v>
      </c>
      <c r="D502" s="2" t="s">
        <v>184</v>
      </c>
      <c r="E502" s="3">
        <v>2206</v>
      </c>
      <c r="F502" s="8">
        <v>2.6739000000000002</v>
      </c>
      <c r="G502" s="4">
        <v>485.03649999999999</v>
      </c>
      <c r="H502" s="4">
        <v>793.73310000000004</v>
      </c>
      <c r="I502" s="4">
        <v>19.022500000000001</v>
      </c>
      <c r="J502" s="4">
        <v>19.489999999999998</v>
      </c>
      <c r="K502" s="4">
        <v>17.717500000000001</v>
      </c>
      <c r="L502" s="4">
        <v>18.997499999999999</v>
      </c>
      <c r="M502" s="7">
        <v>-1.2999999999999999E-3</v>
      </c>
    </row>
    <row r="503" spans="1:13" x14ac:dyDescent="0.2">
      <c r="A503" s="6">
        <v>44659</v>
      </c>
      <c r="B503" s="2" t="s">
        <v>225</v>
      </c>
      <c r="C503" s="5">
        <v>44652</v>
      </c>
      <c r="D503" s="2" t="s">
        <v>184</v>
      </c>
      <c r="E503" s="3">
        <v>2212</v>
      </c>
      <c r="F503" s="8">
        <v>2.2357</v>
      </c>
      <c r="G503" s="4">
        <v>342.19310000000002</v>
      </c>
      <c r="H503" s="4">
        <v>708.93140000000005</v>
      </c>
      <c r="I503" s="4">
        <v>18.997499999999999</v>
      </c>
      <c r="J503" s="4">
        <v>20.087499999999999</v>
      </c>
      <c r="K503" s="4">
        <v>17.53</v>
      </c>
      <c r="L503" s="4">
        <v>17.6875</v>
      </c>
      <c r="M503" s="7">
        <v>-6.9000000000000006E-2</v>
      </c>
    </row>
    <row r="504" spans="1:13" x14ac:dyDescent="0.2">
      <c r="A504" s="6">
        <v>44662</v>
      </c>
      <c r="B504" s="2" t="s">
        <v>228</v>
      </c>
      <c r="C504" s="5">
        <v>44652</v>
      </c>
      <c r="D504" s="2" t="s">
        <v>184</v>
      </c>
      <c r="E504" s="3">
        <v>2252</v>
      </c>
      <c r="F504" s="8">
        <v>2.3475000000000001</v>
      </c>
      <c r="G504" s="4">
        <v>285.78309999999999</v>
      </c>
      <c r="H504" s="4">
        <v>637.54960000000005</v>
      </c>
      <c r="I504" s="4">
        <v>17.6875</v>
      </c>
      <c r="J504" s="4">
        <v>19.145</v>
      </c>
      <c r="K504" s="4">
        <v>16.642499999999998</v>
      </c>
      <c r="L504" s="4">
        <v>18.27</v>
      </c>
      <c r="M504" s="7">
        <v>3.2899999999999999E-2</v>
      </c>
    </row>
    <row r="505" spans="1:13" x14ac:dyDescent="0.2">
      <c r="A505" s="6">
        <v>44663</v>
      </c>
      <c r="B505" s="2" t="s">
        <v>226</v>
      </c>
      <c r="C505" s="5">
        <v>44652</v>
      </c>
      <c r="D505" s="2" t="s">
        <v>184</v>
      </c>
      <c r="E505" s="3">
        <v>2216</v>
      </c>
      <c r="F505" s="8">
        <v>2.4453999999999998</v>
      </c>
      <c r="G505" s="4">
        <v>266.78539999999998</v>
      </c>
      <c r="H505" s="4">
        <v>688.6902</v>
      </c>
      <c r="I505" s="4">
        <v>18.27</v>
      </c>
      <c r="J505" s="4">
        <v>18.672499999999999</v>
      </c>
      <c r="K505" s="4">
        <v>15.085000000000001</v>
      </c>
      <c r="L505" s="4">
        <v>18.157499999999999</v>
      </c>
      <c r="M505" s="7">
        <v>-6.1999999999999998E-3</v>
      </c>
    </row>
    <row r="506" spans="1:13" x14ac:dyDescent="0.2">
      <c r="A506" s="6">
        <v>44664</v>
      </c>
      <c r="B506" s="2" t="s">
        <v>224</v>
      </c>
      <c r="C506" s="5">
        <v>44652</v>
      </c>
      <c r="D506" s="2" t="s">
        <v>184</v>
      </c>
      <c r="E506" s="3">
        <v>2214</v>
      </c>
      <c r="F506" s="8">
        <v>2.0196000000000001</v>
      </c>
      <c r="G506" s="4">
        <v>226.428</v>
      </c>
      <c r="H506" s="4">
        <v>565.80430000000001</v>
      </c>
      <c r="I506" s="4">
        <v>18.157499999999999</v>
      </c>
      <c r="J506" s="4">
        <v>18.4025</v>
      </c>
      <c r="K506" s="4">
        <v>16.192499999999999</v>
      </c>
      <c r="L506" s="4">
        <v>17.785</v>
      </c>
      <c r="M506" s="7">
        <v>-2.0500000000000001E-2</v>
      </c>
    </row>
    <row r="507" spans="1:13" x14ac:dyDescent="0.2">
      <c r="A507" s="6">
        <v>44669</v>
      </c>
      <c r="B507" s="2" t="s">
        <v>228</v>
      </c>
      <c r="C507" s="5">
        <v>44652</v>
      </c>
      <c r="D507" s="2" t="s">
        <v>184</v>
      </c>
      <c r="E507" s="3">
        <v>2279</v>
      </c>
      <c r="F507" s="8">
        <v>2.5886</v>
      </c>
      <c r="G507" s="4">
        <v>263.2294</v>
      </c>
      <c r="H507" s="4">
        <v>713.33939999999996</v>
      </c>
      <c r="I507" s="4">
        <v>17.785</v>
      </c>
      <c r="J507" s="4">
        <v>20.482500000000002</v>
      </c>
      <c r="K507" s="4">
        <v>17.785</v>
      </c>
      <c r="L507" s="4">
        <v>19.335000000000001</v>
      </c>
      <c r="M507" s="7">
        <v>8.72E-2</v>
      </c>
    </row>
    <row r="508" spans="1:13" x14ac:dyDescent="0.2">
      <c r="A508" s="6">
        <v>44670</v>
      </c>
      <c r="B508" s="2" t="s">
        <v>226</v>
      </c>
      <c r="C508" s="5">
        <v>44652</v>
      </c>
      <c r="D508" s="2" t="s">
        <v>184</v>
      </c>
      <c r="E508" s="3">
        <v>2209</v>
      </c>
      <c r="F508" s="8">
        <v>2.6503999999999999</v>
      </c>
      <c r="G508" s="4">
        <v>298.16329999999999</v>
      </c>
      <c r="H508" s="4">
        <v>796.03449999999998</v>
      </c>
      <c r="I508" s="4">
        <v>19.335000000000001</v>
      </c>
      <c r="J508" s="4">
        <v>20.807500000000001</v>
      </c>
      <c r="K508" s="4">
        <v>14.6275</v>
      </c>
      <c r="L508" s="4">
        <v>19.774999999999999</v>
      </c>
      <c r="M508" s="7">
        <v>2.2800000000000001E-2</v>
      </c>
    </row>
    <row r="509" spans="1:13" x14ac:dyDescent="0.2">
      <c r="A509" s="6">
        <v>44671</v>
      </c>
      <c r="B509" s="2" t="s">
        <v>224</v>
      </c>
      <c r="C509" s="5">
        <v>44652</v>
      </c>
      <c r="D509" s="2" t="s">
        <v>184</v>
      </c>
      <c r="E509" s="3">
        <v>2242</v>
      </c>
      <c r="F509" s="8">
        <v>2.2370999999999999</v>
      </c>
      <c r="G509" s="4">
        <v>234.49639999999999</v>
      </c>
      <c r="H509" s="4">
        <v>623.9982</v>
      </c>
      <c r="I509" s="4">
        <v>19.774999999999999</v>
      </c>
      <c r="J509" s="4">
        <v>20.265000000000001</v>
      </c>
      <c r="K509" s="4">
        <v>17.835000000000001</v>
      </c>
      <c r="L509" s="4">
        <v>18.672499999999999</v>
      </c>
      <c r="M509" s="7">
        <v>-5.5800000000000002E-2</v>
      </c>
    </row>
    <row r="510" spans="1:13" x14ac:dyDescent="0.2">
      <c r="A510" s="6">
        <v>44672</v>
      </c>
      <c r="B510" s="2" t="s">
        <v>227</v>
      </c>
      <c r="C510" s="5">
        <v>44652</v>
      </c>
      <c r="D510" s="2" t="s">
        <v>184</v>
      </c>
      <c r="E510" s="3">
        <v>2194</v>
      </c>
      <c r="F510" s="8">
        <v>2.0146999999999999</v>
      </c>
      <c r="G510" s="4">
        <v>244.14779999999999</v>
      </c>
      <c r="H510" s="4">
        <v>627.88940000000002</v>
      </c>
      <c r="I510" s="4">
        <v>18.672499999999999</v>
      </c>
      <c r="J510" s="4">
        <v>18.672499999999999</v>
      </c>
      <c r="K510" s="4">
        <v>13.35</v>
      </c>
      <c r="L510" s="4">
        <v>17.852499999999999</v>
      </c>
      <c r="M510" s="7">
        <v>-4.3900000000000002E-2</v>
      </c>
    </row>
    <row r="511" spans="1:13" x14ac:dyDescent="0.2">
      <c r="A511" s="6">
        <v>44673</v>
      </c>
      <c r="B511" s="2" t="s">
        <v>225</v>
      </c>
      <c r="C511" s="5">
        <v>44652</v>
      </c>
      <c r="D511" s="2" t="s">
        <v>184</v>
      </c>
      <c r="E511" s="3">
        <v>2208</v>
      </c>
      <c r="F511" s="8">
        <v>2.1680999999999999</v>
      </c>
      <c r="G511" s="4">
        <v>264.75869999999998</v>
      </c>
      <c r="H511" s="4">
        <v>642.95640000000003</v>
      </c>
      <c r="I511" s="4">
        <v>17.852499999999999</v>
      </c>
      <c r="J511" s="4">
        <v>18.760000000000002</v>
      </c>
      <c r="K511" s="4">
        <v>17.8125</v>
      </c>
      <c r="L511" s="4">
        <v>18.352499999999999</v>
      </c>
      <c r="M511" s="7">
        <v>2.8000000000000001E-2</v>
      </c>
    </row>
    <row r="512" spans="1:13" x14ac:dyDescent="0.2">
      <c r="A512" s="6">
        <v>44676</v>
      </c>
      <c r="B512" s="2" t="s">
        <v>228</v>
      </c>
      <c r="C512" s="5">
        <v>44652</v>
      </c>
      <c r="D512" s="2" t="s">
        <v>184</v>
      </c>
      <c r="E512" s="3">
        <v>2230</v>
      </c>
      <c r="F512" s="8">
        <v>2.2046000000000001</v>
      </c>
      <c r="G512" s="4">
        <v>254.3579</v>
      </c>
      <c r="H512" s="4">
        <v>584.72019999999998</v>
      </c>
      <c r="I512" s="4">
        <v>18.352499999999999</v>
      </c>
      <c r="J512" s="4">
        <v>21.754999999999999</v>
      </c>
      <c r="K512" s="4">
        <v>18.352499999999999</v>
      </c>
      <c r="L512" s="4">
        <v>21.2575</v>
      </c>
      <c r="M512" s="7">
        <v>0.1583</v>
      </c>
    </row>
    <row r="513" spans="1:13" x14ac:dyDescent="0.2">
      <c r="A513" s="6">
        <v>44677</v>
      </c>
      <c r="B513" s="2" t="s">
        <v>226</v>
      </c>
      <c r="C513" s="5">
        <v>44652</v>
      </c>
      <c r="D513" s="2" t="s">
        <v>184</v>
      </c>
      <c r="E513" s="3">
        <v>2210</v>
      </c>
      <c r="F513" s="8">
        <v>2.0404</v>
      </c>
      <c r="G513" s="4">
        <v>229.053</v>
      </c>
      <c r="H513" s="4">
        <v>574.03970000000004</v>
      </c>
      <c r="I513" s="4">
        <v>21.2575</v>
      </c>
      <c r="J513" s="4">
        <v>21.2575</v>
      </c>
      <c r="K513" s="4">
        <v>19.004999999999999</v>
      </c>
      <c r="L513" s="4">
        <v>19.1875</v>
      </c>
      <c r="M513" s="7">
        <v>-9.74E-2</v>
      </c>
    </row>
    <row r="514" spans="1:13" x14ac:dyDescent="0.2">
      <c r="A514" s="6">
        <v>44678</v>
      </c>
      <c r="B514" s="2" t="s">
        <v>224</v>
      </c>
      <c r="C514" s="5">
        <v>44652</v>
      </c>
      <c r="D514" s="2" t="s">
        <v>184</v>
      </c>
      <c r="E514" s="3">
        <v>2202</v>
      </c>
      <c r="F514" s="8">
        <v>2.2351000000000001</v>
      </c>
      <c r="G514" s="4">
        <v>275.30939999999998</v>
      </c>
      <c r="H514" s="4">
        <v>649.62919999999997</v>
      </c>
      <c r="I514" s="4">
        <v>19.1875</v>
      </c>
      <c r="J514" s="4">
        <v>21.364999999999998</v>
      </c>
      <c r="K514" s="4">
        <v>19.1875</v>
      </c>
      <c r="L514" s="4">
        <v>20.605</v>
      </c>
      <c r="M514" s="7">
        <v>7.3899999999999993E-2</v>
      </c>
    </row>
    <row r="515" spans="1:13" x14ac:dyDescent="0.2">
      <c r="A515" s="6">
        <v>44679</v>
      </c>
      <c r="B515" s="2" t="s">
        <v>227</v>
      </c>
      <c r="C515" s="5">
        <v>44652</v>
      </c>
      <c r="D515" s="2" t="s">
        <v>184</v>
      </c>
      <c r="E515" s="3">
        <v>2208</v>
      </c>
      <c r="F515" s="8">
        <v>2.1770999999999998</v>
      </c>
      <c r="G515" s="4">
        <v>259.40679999999998</v>
      </c>
      <c r="H515" s="4">
        <v>670.21360000000004</v>
      </c>
      <c r="I515" s="4">
        <v>20.605</v>
      </c>
      <c r="J515" s="4">
        <v>20.605</v>
      </c>
      <c r="K515" s="4">
        <v>19.022500000000001</v>
      </c>
      <c r="L515" s="4">
        <v>19.377500000000001</v>
      </c>
      <c r="M515" s="7">
        <v>-5.96E-2</v>
      </c>
    </row>
    <row r="516" spans="1:13" x14ac:dyDescent="0.2">
      <c r="A516" s="6">
        <v>44680</v>
      </c>
      <c r="B516" s="2" t="s">
        <v>225</v>
      </c>
      <c r="C516" s="5">
        <v>44652</v>
      </c>
      <c r="D516" s="2" t="s">
        <v>184</v>
      </c>
      <c r="E516" s="3">
        <v>2186</v>
      </c>
      <c r="F516" s="8">
        <v>2.3338000000000001</v>
      </c>
      <c r="G516" s="4">
        <v>261.54989999999998</v>
      </c>
      <c r="H516" s="4">
        <v>693.12549999999999</v>
      </c>
      <c r="I516" s="4">
        <v>19.377500000000001</v>
      </c>
      <c r="J516" s="4">
        <v>19.647500000000001</v>
      </c>
      <c r="K516" s="4">
        <v>18.2075</v>
      </c>
      <c r="L516" s="4">
        <v>19.414999999999999</v>
      </c>
      <c r="M516" s="7">
        <v>1.9E-3</v>
      </c>
    </row>
    <row r="517" spans="1:13" x14ac:dyDescent="0.2">
      <c r="A517" s="6">
        <v>44683</v>
      </c>
      <c r="B517" s="2" t="s">
        <v>228</v>
      </c>
      <c r="C517" s="5">
        <v>44682</v>
      </c>
      <c r="D517" s="2" t="s">
        <v>184</v>
      </c>
      <c r="E517" s="3">
        <v>2233</v>
      </c>
      <c r="F517" s="8">
        <v>2.0931000000000002</v>
      </c>
      <c r="G517" s="4">
        <v>220.2396</v>
      </c>
      <c r="H517" s="4">
        <v>527.29629999999997</v>
      </c>
      <c r="I517" s="4">
        <v>19.414999999999999</v>
      </c>
      <c r="J517" s="4">
        <v>21.0625</v>
      </c>
      <c r="K517" s="4">
        <v>19.414999999999999</v>
      </c>
      <c r="L517" s="4">
        <v>20.282499999999999</v>
      </c>
      <c r="M517" s="7">
        <v>4.4699999999999997E-2</v>
      </c>
    </row>
    <row r="518" spans="1:13" x14ac:dyDescent="0.2">
      <c r="A518" s="6">
        <v>44685</v>
      </c>
      <c r="B518" s="2" t="s">
        <v>224</v>
      </c>
      <c r="C518" s="5">
        <v>44682</v>
      </c>
      <c r="D518" s="2" t="s">
        <v>184</v>
      </c>
      <c r="E518" s="3">
        <v>2233</v>
      </c>
      <c r="F518" s="8">
        <v>2.3889</v>
      </c>
      <c r="G518" s="4">
        <v>237.94829999999999</v>
      </c>
      <c r="H518" s="4">
        <v>616.65959999999995</v>
      </c>
      <c r="I518" s="4">
        <v>20.282499999999999</v>
      </c>
      <c r="J518" s="4">
        <v>22.387499999999999</v>
      </c>
      <c r="K518" s="4">
        <v>18.427499999999998</v>
      </c>
      <c r="L518" s="4">
        <v>21.877500000000001</v>
      </c>
      <c r="M518" s="7">
        <v>7.8600000000000003E-2</v>
      </c>
    </row>
    <row r="519" spans="1:13" x14ac:dyDescent="0.2">
      <c r="A519" s="6">
        <v>44686</v>
      </c>
      <c r="B519" s="2" t="s">
        <v>227</v>
      </c>
      <c r="C519" s="5">
        <v>44682</v>
      </c>
      <c r="D519" s="2" t="s">
        <v>184</v>
      </c>
      <c r="E519" s="3">
        <v>2218</v>
      </c>
      <c r="F519" s="8">
        <v>1.9438</v>
      </c>
      <c r="G519" s="4">
        <v>201.0146</v>
      </c>
      <c r="H519" s="4">
        <v>521.7192</v>
      </c>
      <c r="I519" s="4">
        <v>21.877500000000001</v>
      </c>
      <c r="J519" s="4">
        <v>21.877500000000001</v>
      </c>
      <c r="K519" s="4">
        <v>19.614999999999998</v>
      </c>
      <c r="L519" s="4">
        <v>20.2925</v>
      </c>
      <c r="M519" s="7">
        <v>-7.2400000000000006E-2</v>
      </c>
    </row>
    <row r="520" spans="1:13" x14ac:dyDescent="0.2">
      <c r="A520" s="6">
        <v>44687</v>
      </c>
      <c r="B520" s="2" t="s">
        <v>225</v>
      </c>
      <c r="C520" s="5">
        <v>44682</v>
      </c>
      <c r="D520" s="2" t="s">
        <v>184</v>
      </c>
      <c r="E520" s="3">
        <v>2203</v>
      </c>
      <c r="F520" s="8">
        <v>2.3111999999999999</v>
      </c>
      <c r="G520" s="4">
        <v>217.36850000000001</v>
      </c>
      <c r="H520" s="4">
        <v>598.20169999999996</v>
      </c>
      <c r="I520" s="4">
        <v>20.2925</v>
      </c>
      <c r="J520" s="4">
        <v>21.81</v>
      </c>
      <c r="K520" s="4">
        <v>19.3325</v>
      </c>
      <c r="L520" s="4">
        <v>21.25</v>
      </c>
      <c r="M520" s="7">
        <v>4.7199999999999999E-2</v>
      </c>
    </row>
    <row r="521" spans="1:13" x14ac:dyDescent="0.2">
      <c r="A521" s="6">
        <v>44690</v>
      </c>
      <c r="B521" s="2" t="s">
        <v>228</v>
      </c>
      <c r="C521" s="5">
        <v>44682</v>
      </c>
      <c r="D521" s="2" t="s">
        <v>184</v>
      </c>
      <c r="E521" s="3">
        <v>2231</v>
      </c>
      <c r="F521" s="8">
        <v>2.2029000000000001</v>
      </c>
      <c r="G521" s="4">
        <v>217.64510000000001</v>
      </c>
      <c r="H521" s="4">
        <v>558.53729999999996</v>
      </c>
      <c r="I521" s="4">
        <v>21.25</v>
      </c>
      <c r="J521" s="4">
        <v>22.52</v>
      </c>
      <c r="K521" s="4">
        <v>18.96</v>
      </c>
      <c r="L521" s="4">
        <v>22.032499999999999</v>
      </c>
      <c r="M521" s="7">
        <v>3.6799999999999999E-2</v>
      </c>
    </row>
    <row r="522" spans="1:13" x14ac:dyDescent="0.2">
      <c r="A522" s="6">
        <v>44691</v>
      </c>
      <c r="B522" s="2" t="s">
        <v>226</v>
      </c>
      <c r="C522" s="5">
        <v>44682</v>
      </c>
      <c r="D522" s="2" t="s">
        <v>184</v>
      </c>
      <c r="E522" s="3">
        <v>2213</v>
      </c>
      <c r="F522" s="8">
        <v>2.1886999999999999</v>
      </c>
      <c r="G522" s="4">
        <v>196.2877</v>
      </c>
      <c r="H522" s="4">
        <v>536.09180000000003</v>
      </c>
      <c r="I522" s="4">
        <v>22.032499999999999</v>
      </c>
      <c r="J522" s="4">
        <v>22.515000000000001</v>
      </c>
      <c r="K522" s="4">
        <v>21.217500000000001</v>
      </c>
      <c r="L522" s="4">
        <v>22.302499999999998</v>
      </c>
      <c r="M522" s="7">
        <v>1.23E-2</v>
      </c>
    </row>
    <row r="523" spans="1:13" x14ac:dyDescent="0.2">
      <c r="A523" s="6">
        <v>44692</v>
      </c>
      <c r="B523" s="2" t="s">
        <v>224</v>
      </c>
      <c r="C523" s="5">
        <v>44682</v>
      </c>
      <c r="D523" s="2" t="s">
        <v>184</v>
      </c>
      <c r="E523" s="3">
        <v>2215</v>
      </c>
      <c r="F523" s="8">
        <v>2.5503</v>
      </c>
      <c r="G523" s="4">
        <v>267.27420000000001</v>
      </c>
      <c r="H523" s="4">
        <v>606.15480000000002</v>
      </c>
      <c r="I523" s="4">
        <v>22.302499999999998</v>
      </c>
      <c r="J523" s="4">
        <v>24.1875</v>
      </c>
      <c r="K523" s="4">
        <v>20.482500000000002</v>
      </c>
      <c r="L523" s="4">
        <v>22.802499999999998</v>
      </c>
      <c r="M523" s="7">
        <v>2.24E-2</v>
      </c>
    </row>
    <row r="524" spans="1:13" x14ac:dyDescent="0.2">
      <c r="A524" s="6">
        <v>44693</v>
      </c>
      <c r="B524" s="2" t="s">
        <v>227</v>
      </c>
      <c r="C524" s="5">
        <v>44682</v>
      </c>
      <c r="D524" s="2" t="s">
        <v>184</v>
      </c>
      <c r="E524" s="3">
        <v>2225</v>
      </c>
      <c r="F524" s="8">
        <v>2.4163999999999999</v>
      </c>
      <c r="G524" s="4">
        <v>241.30969999999999</v>
      </c>
      <c r="H524" s="4">
        <v>566.61919999999998</v>
      </c>
      <c r="I524" s="4">
        <v>22.802499999999998</v>
      </c>
      <c r="J524" s="4">
        <v>25.315000000000001</v>
      </c>
      <c r="K524" s="4">
        <v>21.15</v>
      </c>
      <c r="L524" s="4">
        <v>24.265000000000001</v>
      </c>
      <c r="M524" s="7">
        <v>6.4100000000000004E-2</v>
      </c>
    </row>
    <row r="525" spans="1:13" x14ac:dyDescent="0.2">
      <c r="A525" s="6">
        <v>44694</v>
      </c>
      <c r="B525" s="2" t="s">
        <v>225</v>
      </c>
      <c r="C525" s="5">
        <v>44682</v>
      </c>
      <c r="D525" s="2" t="s">
        <v>184</v>
      </c>
      <c r="E525" s="3">
        <v>2193</v>
      </c>
      <c r="F525" s="8">
        <v>2.4716</v>
      </c>
      <c r="G525" s="4">
        <v>244.32149999999999</v>
      </c>
      <c r="H525" s="4">
        <v>622.86410000000001</v>
      </c>
      <c r="I525" s="4">
        <v>24.265000000000001</v>
      </c>
      <c r="J525" s="4">
        <v>24.265000000000001</v>
      </c>
      <c r="K525" s="4">
        <v>20.967500000000001</v>
      </c>
      <c r="L525" s="4">
        <v>23.484999999999999</v>
      </c>
      <c r="M525" s="7">
        <v>-3.2099999999999997E-2</v>
      </c>
    </row>
    <row r="526" spans="1:13" x14ac:dyDescent="0.2">
      <c r="A526" s="6">
        <v>44697</v>
      </c>
      <c r="B526" s="2" t="s">
        <v>228</v>
      </c>
      <c r="C526" s="5">
        <v>44682</v>
      </c>
      <c r="D526" s="2" t="s">
        <v>184</v>
      </c>
      <c r="E526" s="3">
        <v>2224</v>
      </c>
      <c r="F526" s="8">
        <v>1.9035</v>
      </c>
      <c r="G526" s="4">
        <v>205.12090000000001</v>
      </c>
      <c r="H526" s="4">
        <v>468.63040000000001</v>
      </c>
      <c r="I526" s="4">
        <v>23.484999999999999</v>
      </c>
      <c r="J526" s="4">
        <v>24.712499999999999</v>
      </c>
      <c r="K526" s="4">
        <v>21.274999999999999</v>
      </c>
      <c r="L526" s="4">
        <v>24.5275</v>
      </c>
      <c r="M526" s="7">
        <v>4.4400000000000002E-2</v>
      </c>
    </row>
    <row r="527" spans="1:13" x14ac:dyDescent="0.2">
      <c r="A527" s="6">
        <v>44698</v>
      </c>
      <c r="B527" s="2" t="s">
        <v>226</v>
      </c>
      <c r="C527" s="5">
        <v>44682</v>
      </c>
      <c r="D527" s="2" t="s">
        <v>184</v>
      </c>
      <c r="E527" s="3">
        <v>2207</v>
      </c>
      <c r="F527" s="8">
        <v>2.0878999999999999</v>
      </c>
      <c r="G527" s="4">
        <v>210.2817</v>
      </c>
      <c r="H527" s="4">
        <v>559.67229999999995</v>
      </c>
      <c r="I527" s="4">
        <v>24.5275</v>
      </c>
      <c r="J527" s="4">
        <v>24.84</v>
      </c>
      <c r="K527" s="4">
        <v>17.094999999999999</v>
      </c>
      <c r="L527" s="4">
        <v>22.7425</v>
      </c>
      <c r="M527" s="7">
        <v>-7.2800000000000004E-2</v>
      </c>
    </row>
    <row r="528" spans="1:13" x14ac:dyDescent="0.2">
      <c r="A528" s="6">
        <v>44699</v>
      </c>
      <c r="B528" s="2" t="s">
        <v>224</v>
      </c>
      <c r="C528" s="5">
        <v>44682</v>
      </c>
      <c r="D528" s="2" t="s">
        <v>184</v>
      </c>
      <c r="E528" s="3">
        <v>2210</v>
      </c>
      <c r="F528" s="8">
        <v>2.1274999999999999</v>
      </c>
      <c r="G528" s="4">
        <v>226.32810000000001</v>
      </c>
      <c r="H528" s="4">
        <v>599.32349999999997</v>
      </c>
      <c r="I528" s="4">
        <v>22.7425</v>
      </c>
      <c r="J528" s="4">
        <v>23.06</v>
      </c>
      <c r="K528" s="4">
        <v>21.34</v>
      </c>
      <c r="L528" s="4">
        <v>22.295000000000002</v>
      </c>
      <c r="M528" s="7">
        <v>-1.9699999999999999E-2</v>
      </c>
    </row>
    <row r="529" spans="1:13" x14ac:dyDescent="0.2">
      <c r="A529" s="6">
        <v>44700</v>
      </c>
      <c r="B529" s="2" t="s">
        <v>227</v>
      </c>
      <c r="C529" s="5">
        <v>44682</v>
      </c>
      <c r="D529" s="2" t="s">
        <v>184</v>
      </c>
      <c r="E529" s="3">
        <v>2214</v>
      </c>
      <c r="F529" s="8">
        <v>2.0956999999999999</v>
      </c>
      <c r="G529" s="4">
        <v>212.56229999999999</v>
      </c>
      <c r="H529" s="4">
        <v>541.47640000000001</v>
      </c>
      <c r="I529" s="4">
        <v>22.295000000000002</v>
      </c>
      <c r="J529" s="4">
        <v>25.147500000000001</v>
      </c>
      <c r="K529" s="4">
        <v>22.295000000000002</v>
      </c>
      <c r="L529" s="4">
        <v>24.557500000000001</v>
      </c>
      <c r="M529" s="7">
        <v>0.10150000000000001</v>
      </c>
    </row>
    <row r="530" spans="1:13" x14ac:dyDescent="0.2">
      <c r="A530" s="6">
        <v>44701</v>
      </c>
      <c r="B530" s="2" t="s">
        <v>225</v>
      </c>
      <c r="C530" s="5">
        <v>44682</v>
      </c>
      <c r="D530" s="2" t="s">
        <v>184</v>
      </c>
      <c r="E530" s="3">
        <v>2201</v>
      </c>
      <c r="F530" s="8">
        <v>1.8642000000000001</v>
      </c>
      <c r="G530" s="4">
        <v>203.46029999999999</v>
      </c>
      <c r="H530" s="4">
        <v>530.04899999999998</v>
      </c>
      <c r="I530" s="4">
        <v>24.557500000000001</v>
      </c>
      <c r="J530" s="4">
        <v>24.557500000000001</v>
      </c>
      <c r="K530" s="4">
        <v>22.442499999999999</v>
      </c>
      <c r="L530" s="4">
        <v>23.1</v>
      </c>
      <c r="M530" s="7">
        <v>-5.9400000000000001E-2</v>
      </c>
    </row>
    <row r="531" spans="1:13" x14ac:dyDescent="0.2">
      <c r="A531" s="6">
        <v>44704</v>
      </c>
      <c r="B531" s="2" t="s">
        <v>228</v>
      </c>
      <c r="C531" s="5">
        <v>44682</v>
      </c>
      <c r="D531" s="2" t="s">
        <v>184</v>
      </c>
      <c r="E531" s="3">
        <v>2242</v>
      </c>
      <c r="F531" s="8">
        <v>1.9855</v>
      </c>
      <c r="G531" s="4">
        <v>209.54220000000001</v>
      </c>
      <c r="H531" s="4">
        <v>550.19200000000001</v>
      </c>
      <c r="I531" s="4">
        <v>23.1</v>
      </c>
      <c r="J531" s="4">
        <v>23.975000000000001</v>
      </c>
      <c r="K531" s="4">
        <v>20.5</v>
      </c>
      <c r="L531" s="4">
        <v>23.397500000000001</v>
      </c>
      <c r="M531" s="7">
        <v>1.29E-2</v>
      </c>
    </row>
    <row r="532" spans="1:13" x14ac:dyDescent="0.2">
      <c r="A532" s="6">
        <v>44705</v>
      </c>
      <c r="B532" s="2" t="s">
        <v>226</v>
      </c>
      <c r="C532" s="5">
        <v>44682</v>
      </c>
      <c r="D532" s="2" t="s">
        <v>184</v>
      </c>
      <c r="E532" s="3">
        <v>2213</v>
      </c>
      <c r="F532" s="8">
        <v>1.8768</v>
      </c>
      <c r="G532" s="4">
        <v>229.2499</v>
      </c>
      <c r="H532" s="4">
        <v>516.47550000000001</v>
      </c>
      <c r="I532" s="4">
        <v>23.397500000000001</v>
      </c>
      <c r="J532" s="4">
        <v>25.99</v>
      </c>
      <c r="K532" s="4">
        <v>23.155000000000001</v>
      </c>
      <c r="L532" s="4">
        <v>25.635000000000002</v>
      </c>
      <c r="M532" s="7">
        <v>9.5600000000000004E-2</v>
      </c>
    </row>
    <row r="533" spans="1:13" x14ac:dyDescent="0.2">
      <c r="A533" s="6">
        <v>44706</v>
      </c>
      <c r="B533" s="2" t="s">
        <v>224</v>
      </c>
      <c r="C533" s="5">
        <v>44682</v>
      </c>
      <c r="D533" s="2" t="s">
        <v>184</v>
      </c>
      <c r="E533" s="3">
        <v>2209</v>
      </c>
      <c r="F533" s="8">
        <v>1.9394</v>
      </c>
      <c r="G533" s="4">
        <v>188.4042</v>
      </c>
      <c r="H533" s="4">
        <v>494.61520000000002</v>
      </c>
      <c r="I533" s="4">
        <v>25.635000000000002</v>
      </c>
      <c r="J533" s="4">
        <v>25.635000000000002</v>
      </c>
      <c r="K533" s="4">
        <v>24.362500000000001</v>
      </c>
      <c r="L533" s="4">
        <v>25.282499999999999</v>
      </c>
      <c r="M533" s="7">
        <v>-1.38E-2</v>
      </c>
    </row>
    <row r="534" spans="1:13" x14ac:dyDescent="0.2">
      <c r="A534" s="6">
        <v>44707</v>
      </c>
      <c r="B534" s="2" t="s">
        <v>227</v>
      </c>
      <c r="C534" s="5">
        <v>44682</v>
      </c>
      <c r="D534" s="2" t="s">
        <v>184</v>
      </c>
      <c r="E534" s="3">
        <v>2207</v>
      </c>
      <c r="F534" s="8">
        <v>2.2139000000000002</v>
      </c>
      <c r="G534" s="4">
        <v>226.68860000000001</v>
      </c>
      <c r="H534" s="4">
        <v>596.8288</v>
      </c>
      <c r="I534" s="4">
        <v>25.282499999999999</v>
      </c>
      <c r="J534" s="4">
        <v>25.282499999999999</v>
      </c>
      <c r="K534" s="4">
        <v>22.535</v>
      </c>
      <c r="L534" s="4">
        <v>22.717500000000001</v>
      </c>
      <c r="M534" s="7">
        <v>-0.10150000000000001</v>
      </c>
    </row>
    <row r="535" spans="1:13" x14ac:dyDescent="0.2">
      <c r="A535" s="6">
        <v>44708</v>
      </c>
      <c r="B535" s="2" t="s">
        <v>225</v>
      </c>
      <c r="C535" s="5">
        <v>44682</v>
      </c>
      <c r="D535" s="2" t="s">
        <v>184</v>
      </c>
      <c r="E535" s="3">
        <v>2218</v>
      </c>
      <c r="F535" s="8">
        <v>1.7697000000000001</v>
      </c>
      <c r="G535" s="4">
        <v>180.03059999999999</v>
      </c>
      <c r="H535" s="4">
        <v>479.70179999999999</v>
      </c>
      <c r="I535" s="4">
        <v>22.717500000000001</v>
      </c>
      <c r="J535" s="4">
        <v>22.717500000000001</v>
      </c>
      <c r="K535" s="4">
        <v>21.2</v>
      </c>
      <c r="L535" s="4">
        <v>21.48</v>
      </c>
      <c r="M535" s="7">
        <v>-5.45E-2</v>
      </c>
    </row>
    <row r="536" spans="1:13" x14ac:dyDescent="0.2">
      <c r="A536" s="6">
        <v>44711</v>
      </c>
      <c r="B536" s="2" t="s">
        <v>228</v>
      </c>
      <c r="C536" s="5">
        <v>44682</v>
      </c>
      <c r="D536" s="2" t="s">
        <v>184</v>
      </c>
      <c r="E536" s="3">
        <v>2242</v>
      </c>
      <c r="F536" s="8">
        <v>1.8147</v>
      </c>
      <c r="G536" s="4">
        <v>196.31800000000001</v>
      </c>
      <c r="H536" s="4">
        <v>511.2595</v>
      </c>
      <c r="I536" s="4">
        <v>21.48</v>
      </c>
      <c r="J536" s="4">
        <v>21.48</v>
      </c>
      <c r="K536" s="4">
        <v>19.72</v>
      </c>
      <c r="L536" s="4">
        <v>19.98</v>
      </c>
      <c r="M536" s="7">
        <v>-6.9800000000000001E-2</v>
      </c>
    </row>
    <row r="537" spans="1:13" x14ac:dyDescent="0.2">
      <c r="A537" s="6">
        <v>44712</v>
      </c>
      <c r="B537" s="2" t="s">
        <v>226</v>
      </c>
      <c r="C537" s="5">
        <v>44682</v>
      </c>
      <c r="D537" s="2" t="s">
        <v>184</v>
      </c>
      <c r="E537" s="3">
        <v>2204</v>
      </c>
      <c r="F537" s="8">
        <v>2.2039</v>
      </c>
      <c r="G537" s="4">
        <v>327.245</v>
      </c>
      <c r="H537" s="4">
        <v>1109.8326</v>
      </c>
      <c r="I537" s="4">
        <v>19.98</v>
      </c>
      <c r="J537" s="4">
        <v>20.75</v>
      </c>
      <c r="K537" s="4">
        <v>19.68</v>
      </c>
      <c r="L537" s="4">
        <v>20.477499999999999</v>
      </c>
      <c r="M537" s="7">
        <v>2.4899999999999999E-2</v>
      </c>
    </row>
    <row r="538" spans="1:13" x14ac:dyDescent="0.2">
      <c r="A538" s="6">
        <v>44713</v>
      </c>
      <c r="B538" s="2" t="s">
        <v>224</v>
      </c>
      <c r="C538" s="5">
        <v>44713</v>
      </c>
      <c r="D538" s="2" t="s">
        <v>184</v>
      </c>
      <c r="E538" s="3">
        <v>2209</v>
      </c>
      <c r="F538" s="8">
        <v>1.8604000000000001</v>
      </c>
      <c r="G538" s="4">
        <v>196.42590000000001</v>
      </c>
      <c r="H538" s="4">
        <v>497.50959999999998</v>
      </c>
      <c r="I538" s="4">
        <v>20.477499999999999</v>
      </c>
      <c r="J538" s="4">
        <v>21.337499999999999</v>
      </c>
      <c r="K538" s="4">
        <v>18.23</v>
      </c>
      <c r="L538" s="4">
        <v>20.844999999999999</v>
      </c>
      <c r="M538" s="7">
        <v>1.7899999999999999E-2</v>
      </c>
    </row>
    <row r="539" spans="1:13" x14ac:dyDescent="0.2">
      <c r="A539" s="6">
        <v>44714</v>
      </c>
      <c r="B539" s="2" t="s">
        <v>227</v>
      </c>
      <c r="C539" s="5">
        <v>44713</v>
      </c>
      <c r="D539" s="2" t="s">
        <v>184</v>
      </c>
      <c r="E539" s="3">
        <v>2208</v>
      </c>
      <c r="F539" s="8">
        <v>1.7509999999999999</v>
      </c>
      <c r="G539" s="4">
        <v>206.9341</v>
      </c>
      <c r="H539" s="4">
        <v>496.72809999999998</v>
      </c>
      <c r="I539" s="4">
        <v>20.844999999999999</v>
      </c>
      <c r="J539" s="4">
        <v>20.997499999999999</v>
      </c>
      <c r="K539" s="4">
        <v>18.3825</v>
      </c>
      <c r="L539" s="4">
        <v>20.32</v>
      </c>
      <c r="M539" s="7">
        <v>-2.52E-2</v>
      </c>
    </row>
    <row r="540" spans="1:13" x14ac:dyDescent="0.2">
      <c r="A540" s="6">
        <v>44715</v>
      </c>
      <c r="B540" s="2" t="s">
        <v>225</v>
      </c>
      <c r="C540" s="5">
        <v>44713</v>
      </c>
      <c r="D540" s="2" t="s">
        <v>184</v>
      </c>
      <c r="E540" s="3">
        <v>2216</v>
      </c>
      <c r="F540" s="8">
        <v>1.726</v>
      </c>
      <c r="G540" s="4">
        <v>185.46109999999999</v>
      </c>
      <c r="H540" s="4">
        <v>518.59400000000005</v>
      </c>
      <c r="I540" s="4">
        <v>20.32</v>
      </c>
      <c r="J540" s="4">
        <v>20.32</v>
      </c>
      <c r="K540" s="4">
        <v>18.734999999999999</v>
      </c>
      <c r="L540" s="4">
        <v>19.975000000000001</v>
      </c>
      <c r="M540" s="7">
        <v>-1.7000000000000001E-2</v>
      </c>
    </row>
    <row r="541" spans="1:13" x14ac:dyDescent="0.2">
      <c r="A541" s="6">
        <v>44718</v>
      </c>
      <c r="B541" s="2" t="s">
        <v>228</v>
      </c>
      <c r="C541" s="5">
        <v>44713</v>
      </c>
      <c r="D541" s="2" t="s">
        <v>184</v>
      </c>
      <c r="E541" s="3">
        <v>2243</v>
      </c>
      <c r="F541" s="8">
        <v>1.5893999999999999</v>
      </c>
      <c r="G541" s="4">
        <v>176.44309999999999</v>
      </c>
      <c r="H541" s="4">
        <v>422.53399999999999</v>
      </c>
      <c r="I541" s="4">
        <v>19.975000000000001</v>
      </c>
      <c r="J541" s="4">
        <v>20.682500000000001</v>
      </c>
      <c r="K541" s="4">
        <v>18.649999999999999</v>
      </c>
      <c r="L541" s="4">
        <v>20.202500000000001</v>
      </c>
      <c r="M541" s="7">
        <v>1.14E-2</v>
      </c>
    </row>
    <row r="542" spans="1:13" x14ac:dyDescent="0.2">
      <c r="A542" s="6">
        <v>44719</v>
      </c>
      <c r="B542" s="2" t="s">
        <v>226</v>
      </c>
      <c r="C542" s="5">
        <v>44713</v>
      </c>
      <c r="D542" s="2" t="s">
        <v>184</v>
      </c>
      <c r="E542" s="3">
        <v>2214</v>
      </c>
      <c r="F542" s="8">
        <v>1.5195000000000001</v>
      </c>
      <c r="G542" s="4">
        <v>176.58860000000001</v>
      </c>
      <c r="H542" s="4">
        <v>424.34190000000001</v>
      </c>
      <c r="I542" s="4">
        <v>20.202500000000001</v>
      </c>
      <c r="J542" s="4">
        <v>21.07</v>
      </c>
      <c r="K542" s="4">
        <v>19.432500000000001</v>
      </c>
      <c r="L542" s="4">
        <v>20.425000000000001</v>
      </c>
      <c r="M542" s="7">
        <v>1.0999999999999999E-2</v>
      </c>
    </row>
    <row r="543" spans="1:13" x14ac:dyDescent="0.2">
      <c r="A543" s="6">
        <v>44720</v>
      </c>
      <c r="B543" s="2" t="s">
        <v>224</v>
      </c>
      <c r="C543" s="5">
        <v>44713</v>
      </c>
      <c r="D543" s="2" t="s">
        <v>184</v>
      </c>
      <c r="E543" s="3">
        <v>2213</v>
      </c>
      <c r="F543" s="8">
        <v>1.6914</v>
      </c>
      <c r="G543" s="4">
        <v>178.19890000000001</v>
      </c>
      <c r="H543" s="4">
        <v>439.38369999999998</v>
      </c>
      <c r="I543" s="4">
        <v>20.425000000000001</v>
      </c>
      <c r="J543" s="4">
        <v>20.6875</v>
      </c>
      <c r="K543" s="4">
        <v>19.387499999999999</v>
      </c>
      <c r="L543" s="4">
        <v>19.837499999999999</v>
      </c>
      <c r="M543" s="7">
        <v>-2.8799999999999999E-2</v>
      </c>
    </row>
    <row r="544" spans="1:13" x14ac:dyDescent="0.2">
      <c r="A544" s="6">
        <v>44721</v>
      </c>
      <c r="B544" s="2" t="s">
        <v>227</v>
      </c>
      <c r="C544" s="5">
        <v>44713</v>
      </c>
      <c r="D544" s="2" t="s">
        <v>184</v>
      </c>
      <c r="E544" s="3">
        <v>2197</v>
      </c>
      <c r="F544" s="8">
        <v>1.5093000000000001</v>
      </c>
      <c r="G544" s="4">
        <v>161.24119999999999</v>
      </c>
      <c r="H544" s="4">
        <v>402.84519999999998</v>
      </c>
      <c r="I544" s="4">
        <v>19.837499999999999</v>
      </c>
      <c r="J544" s="4">
        <v>19.837499999999999</v>
      </c>
      <c r="K544" s="4">
        <v>18.155000000000001</v>
      </c>
      <c r="L544" s="4">
        <v>19.14</v>
      </c>
      <c r="M544" s="7">
        <v>-3.5200000000000002E-2</v>
      </c>
    </row>
    <row r="545" spans="1:13" x14ac:dyDescent="0.2">
      <c r="A545" s="6">
        <v>44722</v>
      </c>
      <c r="B545" s="2" t="s">
        <v>225</v>
      </c>
      <c r="C545" s="5">
        <v>44713</v>
      </c>
      <c r="D545" s="2" t="s">
        <v>184</v>
      </c>
      <c r="E545" s="3">
        <v>2212</v>
      </c>
      <c r="F545" s="8">
        <v>1.5053000000000001</v>
      </c>
      <c r="G545" s="4">
        <v>151.72460000000001</v>
      </c>
      <c r="H545" s="4">
        <v>402.34039999999999</v>
      </c>
      <c r="I545" s="4">
        <v>19.14</v>
      </c>
      <c r="J545" s="4">
        <v>19.754999999999999</v>
      </c>
      <c r="K545" s="4">
        <v>18.254999999999999</v>
      </c>
      <c r="L545" s="4">
        <v>19.574999999999999</v>
      </c>
      <c r="M545" s="7">
        <v>2.2700000000000001E-2</v>
      </c>
    </row>
    <row r="546" spans="1:13" x14ac:dyDescent="0.2">
      <c r="A546" s="6">
        <v>44725</v>
      </c>
      <c r="B546" s="2" t="s">
        <v>228</v>
      </c>
      <c r="C546" s="5">
        <v>44713</v>
      </c>
      <c r="D546" s="2" t="s">
        <v>184</v>
      </c>
      <c r="E546" s="3">
        <v>2235</v>
      </c>
      <c r="F546" s="8">
        <v>1.8745000000000001</v>
      </c>
      <c r="G546" s="4">
        <v>186.36850000000001</v>
      </c>
      <c r="H546" s="4">
        <v>442.77699999999999</v>
      </c>
      <c r="I546" s="4">
        <v>19.574999999999999</v>
      </c>
      <c r="J546" s="4">
        <v>22.802499999999998</v>
      </c>
      <c r="K546" s="4">
        <v>19.574999999999999</v>
      </c>
      <c r="L546" s="4">
        <v>22.364999999999998</v>
      </c>
      <c r="M546" s="7">
        <v>0.14249999999999999</v>
      </c>
    </row>
    <row r="547" spans="1:13" x14ac:dyDescent="0.2">
      <c r="A547" s="6">
        <v>44726</v>
      </c>
      <c r="B547" s="2" t="s">
        <v>226</v>
      </c>
      <c r="C547" s="5">
        <v>44713</v>
      </c>
      <c r="D547" s="2" t="s">
        <v>184</v>
      </c>
      <c r="E547" s="3">
        <v>2204</v>
      </c>
      <c r="F547" s="8">
        <v>1.6817</v>
      </c>
      <c r="G547" s="4">
        <v>180.1695</v>
      </c>
      <c r="H547" s="4">
        <v>443.27530000000002</v>
      </c>
      <c r="I547" s="4">
        <v>22.364999999999998</v>
      </c>
      <c r="J547" s="4">
        <v>22.635000000000002</v>
      </c>
      <c r="K547" s="4">
        <v>18.947500000000002</v>
      </c>
      <c r="L547" s="4">
        <v>21.887499999999999</v>
      </c>
      <c r="M547" s="7">
        <v>-2.1399999999999999E-2</v>
      </c>
    </row>
    <row r="548" spans="1:13" x14ac:dyDescent="0.2">
      <c r="A548" s="6">
        <v>44727</v>
      </c>
      <c r="B548" s="2" t="s">
        <v>224</v>
      </c>
      <c r="C548" s="5">
        <v>44713</v>
      </c>
      <c r="D548" s="2" t="s">
        <v>184</v>
      </c>
      <c r="E548" s="3">
        <v>2211</v>
      </c>
      <c r="F548" s="8">
        <v>1.4411</v>
      </c>
      <c r="G548" s="4">
        <v>145.35509999999999</v>
      </c>
      <c r="H548" s="4">
        <v>365.71019999999999</v>
      </c>
      <c r="I548" s="4">
        <v>21.887499999999999</v>
      </c>
      <c r="J548" s="4">
        <v>22.364999999999998</v>
      </c>
      <c r="K548" s="4">
        <v>20.95</v>
      </c>
      <c r="L548" s="4">
        <v>22.147500000000001</v>
      </c>
      <c r="M548" s="7">
        <v>1.1900000000000001E-2</v>
      </c>
    </row>
    <row r="549" spans="1:13" x14ac:dyDescent="0.2">
      <c r="A549" s="6">
        <v>44728</v>
      </c>
      <c r="B549" s="2" t="s">
        <v>227</v>
      </c>
      <c r="C549" s="5">
        <v>44713</v>
      </c>
      <c r="D549" s="2" t="s">
        <v>184</v>
      </c>
      <c r="E549" s="3">
        <v>2222</v>
      </c>
      <c r="F549" s="8">
        <v>2.0026000000000002</v>
      </c>
      <c r="G549" s="4">
        <v>203.19460000000001</v>
      </c>
      <c r="H549" s="4">
        <v>479.21379999999999</v>
      </c>
      <c r="I549" s="4">
        <v>22.147500000000001</v>
      </c>
      <c r="J549" s="4">
        <v>28.13</v>
      </c>
      <c r="K549" s="4">
        <v>19.747499999999999</v>
      </c>
      <c r="L549" s="4">
        <v>22.8675</v>
      </c>
      <c r="M549" s="7">
        <v>3.2500000000000001E-2</v>
      </c>
    </row>
    <row r="550" spans="1:13" x14ac:dyDescent="0.2">
      <c r="A550" s="6">
        <v>44729</v>
      </c>
      <c r="B550" s="2" t="s">
        <v>225</v>
      </c>
      <c r="C550" s="5">
        <v>44713</v>
      </c>
      <c r="D550" s="2" t="s">
        <v>184</v>
      </c>
      <c r="E550" s="3">
        <v>2197</v>
      </c>
      <c r="F550" s="8">
        <v>2.1059999999999999</v>
      </c>
      <c r="G550" s="4">
        <v>215.16810000000001</v>
      </c>
      <c r="H550" s="4">
        <v>611.93230000000005</v>
      </c>
      <c r="I550" s="4">
        <v>22.8675</v>
      </c>
      <c r="J550" s="4">
        <v>23.69</v>
      </c>
      <c r="K550" s="4">
        <v>18.022500000000001</v>
      </c>
      <c r="L550" s="4">
        <v>22.7575</v>
      </c>
      <c r="M550" s="7">
        <v>-4.7999999999999996E-3</v>
      </c>
    </row>
    <row r="551" spans="1:13" x14ac:dyDescent="0.2">
      <c r="A551" s="6">
        <v>44732</v>
      </c>
      <c r="B551" s="2" t="s">
        <v>228</v>
      </c>
      <c r="C551" s="5">
        <v>44713</v>
      </c>
      <c r="D551" s="2" t="s">
        <v>184</v>
      </c>
      <c r="E551" s="3">
        <v>2252</v>
      </c>
      <c r="F551" s="8">
        <v>1.9487000000000001</v>
      </c>
      <c r="G551" s="4">
        <v>211.53980000000001</v>
      </c>
      <c r="H551" s="4">
        <v>449.55630000000002</v>
      </c>
      <c r="I551" s="4">
        <v>22.7575</v>
      </c>
      <c r="J551" s="4">
        <v>23.635000000000002</v>
      </c>
      <c r="K551" s="4">
        <v>16.002500000000001</v>
      </c>
      <c r="L551" s="4">
        <v>22.412500000000001</v>
      </c>
      <c r="M551" s="7">
        <v>-1.52E-2</v>
      </c>
    </row>
    <row r="552" spans="1:13" x14ac:dyDescent="0.2">
      <c r="A552" s="6">
        <v>44733</v>
      </c>
      <c r="B552" s="2" t="s">
        <v>226</v>
      </c>
      <c r="C552" s="5">
        <v>44713</v>
      </c>
      <c r="D552" s="2" t="s">
        <v>184</v>
      </c>
      <c r="E552" s="3">
        <v>2232</v>
      </c>
      <c r="F552" s="8">
        <v>1.6387</v>
      </c>
      <c r="G552" s="4">
        <v>199.14699999999999</v>
      </c>
      <c r="H552" s="4">
        <v>435.54969999999997</v>
      </c>
      <c r="I552" s="4">
        <v>22.412500000000001</v>
      </c>
      <c r="J552" s="4">
        <v>22.412500000000001</v>
      </c>
      <c r="K552" s="4">
        <v>20.48</v>
      </c>
      <c r="L552" s="4">
        <v>21.142499999999998</v>
      </c>
      <c r="M552" s="7">
        <v>-5.67E-2</v>
      </c>
    </row>
    <row r="553" spans="1:13" x14ac:dyDescent="0.2">
      <c r="A553" s="6">
        <v>44734</v>
      </c>
      <c r="B553" s="2" t="s">
        <v>224</v>
      </c>
      <c r="C553" s="5">
        <v>44713</v>
      </c>
      <c r="D553" s="2" t="s">
        <v>184</v>
      </c>
      <c r="E553" s="3">
        <v>2212</v>
      </c>
      <c r="F553" s="8">
        <v>1.5946</v>
      </c>
      <c r="G553" s="4">
        <v>175.3509</v>
      </c>
      <c r="H553" s="4">
        <v>386.18729999999999</v>
      </c>
      <c r="I553" s="4">
        <v>21.142499999999998</v>
      </c>
      <c r="J553" s="4">
        <v>21.785</v>
      </c>
      <c r="K553" s="4">
        <v>19.32</v>
      </c>
      <c r="L553" s="4">
        <v>21.3</v>
      </c>
      <c r="M553" s="7">
        <v>7.4000000000000003E-3</v>
      </c>
    </row>
    <row r="554" spans="1:13" x14ac:dyDescent="0.2">
      <c r="A554" s="6">
        <v>44735</v>
      </c>
      <c r="B554" s="2" t="s">
        <v>227</v>
      </c>
      <c r="C554" s="5">
        <v>44713</v>
      </c>
      <c r="D554" s="2" t="s">
        <v>184</v>
      </c>
      <c r="E554" s="3">
        <v>2197</v>
      </c>
      <c r="F554" s="8">
        <v>1.6439999999999999</v>
      </c>
      <c r="G554" s="4">
        <v>165.88</v>
      </c>
      <c r="H554" s="4">
        <v>424.35379999999998</v>
      </c>
      <c r="I554" s="4">
        <v>21.3</v>
      </c>
      <c r="J554" s="4">
        <v>21.71</v>
      </c>
      <c r="K554" s="4">
        <v>18.355</v>
      </c>
      <c r="L554" s="4">
        <v>20.88</v>
      </c>
      <c r="M554" s="7">
        <v>-1.9699999999999999E-2</v>
      </c>
    </row>
    <row r="555" spans="1:13" x14ac:dyDescent="0.2">
      <c r="A555" s="6">
        <v>44736</v>
      </c>
      <c r="B555" s="2" t="s">
        <v>225</v>
      </c>
      <c r="C555" s="5">
        <v>44713</v>
      </c>
      <c r="D555" s="2" t="s">
        <v>184</v>
      </c>
      <c r="E555" s="3">
        <v>2199</v>
      </c>
      <c r="F555" s="8">
        <v>1.5598000000000001</v>
      </c>
      <c r="G555" s="4">
        <v>165.0771</v>
      </c>
      <c r="H555" s="4">
        <v>403.56209999999999</v>
      </c>
      <c r="I555" s="4">
        <v>20.88</v>
      </c>
      <c r="J555" s="4">
        <v>21.272500000000001</v>
      </c>
      <c r="K555" s="4">
        <v>18.682500000000001</v>
      </c>
      <c r="L555" s="4">
        <v>20.55</v>
      </c>
      <c r="M555" s="7">
        <v>-1.5800000000000002E-2</v>
      </c>
    </row>
    <row r="556" spans="1:13" x14ac:dyDescent="0.2">
      <c r="A556" s="6">
        <v>44739</v>
      </c>
      <c r="B556" s="2" t="s">
        <v>228</v>
      </c>
      <c r="C556" s="5">
        <v>44713</v>
      </c>
      <c r="D556" s="2" t="s">
        <v>184</v>
      </c>
      <c r="E556" s="3">
        <v>2222</v>
      </c>
      <c r="F556" s="8">
        <v>1.5960000000000001</v>
      </c>
      <c r="G556" s="4">
        <v>168.89150000000001</v>
      </c>
      <c r="H556" s="4">
        <v>406.49970000000002</v>
      </c>
      <c r="I556" s="4">
        <v>20.55</v>
      </c>
      <c r="J556" s="4">
        <v>21.12</v>
      </c>
      <c r="K556" s="4">
        <v>19.545000000000002</v>
      </c>
      <c r="L556" s="4">
        <v>21.004999999999999</v>
      </c>
      <c r="M556" s="7">
        <v>2.2100000000000002E-2</v>
      </c>
    </row>
    <row r="557" spans="1:13" x14ac:dyDescent="0.2">
      <c r="A557" s="6">
        <v>44740</v>
      </c>
      <c r="B557" s="2" t="s">
        <v>226</v>
      </c>
      <c r="C557" s="5">
        <v>44713</v>
      </c>
      <c r="D557" s="2" t="s">
        <v>184</v>
      </c>
      <c r="E557" s="3">
        <v>2197</v>
      </c>
      <c r="F557" s="8">
        <v>1.5671999999999999</v>
      </c>
      <c r="G557" s="4">
        <v>171.61340000000001</v>
      </c>
      <c r="H557" s="4">
        <v>408.76920000000001</v>
      </c>
      <c r="I557" s="4">
        <v>21.004999999999999</v>
      </c>
      <c r="J557" s="4">
        <v>21.68</v>
      </c>
      <c r="K557" s="4">
        <v>20.512499999999999</v>
      </c>
      <c r="L557" s="4">
        <v>21.45</v>
      </c>
      <c r="M557" s="7">
        <v>2.12E-2</v>
      </c>
    </row>
    <row r="558" spans="1:13" x14ac:dyDescent="0.2">
      <c r="A558" s="6">
        <v>44741</v>
      </c>
      <c r="B558" s="2" t="s">
        <v>224</v>
      </c>
      <c r="C558" s="5">
        <v>44713</v>
      </c>
      <c r="D558" s="2" t="s">
        <v>184</v>
      </c>
      <c r="E558" s="3">
        <v>2190</v>
      </c>
      <c r="F558" s="8">
        <v>1.6705000000000001</v>
      </c>
      <c r="G558" s="4">
        <v>183.3802</v>
      </c>
      <c r="H558" s="4">
        <v>473.65699999999998</v>
      </c>
      <c r="I558" s="4">
        <v>21.45</v>
      </c>
      <c r="J558" s="4">
        <v>22.085000000000001</v>
      </c>
      <c r="K558" s="4">
        <v>21.45</v>
      </c>
      <c r="L558" s="4">
        <v>21.9</v>
      </c>
      <c r="M558" s="7">
        <v>2.1000000000000001E-2</v>
      </c>
    </row>
    <row r="559" spans="1:13" x14ac:dyDescent="0.2">
      <c r="A559" s="6">
        <v>44742</v>
      </c>
      <c r="B559" s="2" t="s">
        <v>227</v>
      </c>
      <c r="C559" s="5">
        <v>44713</v>
      </c>
      <c r="D559" s="2" t="s">
        <v>184</v>
      </c>
      <c r="E559" s="3">
        <v>2191</v>
      </c>
      <c r="F559" s="8">
        <v>1.7698</v>
      </c>
      <c r="G559" s="4">
        <v>165.99420000000001</v>
      </c>
      <c r="H559" s="4">
        <v>478.34570000000002</v>
      </c>
      <c r="I559" s="4">
        <v>21.9</v>
      </c>
      <c r="J559" s="4">
        <v>22.272500000000001</v>
      </c>
      <c r="K559" s="4">
        <v>21.537500000000001</v>
      </c>
      <c r="L559" s="4">
        <v>21.84</v>
      </c>
      <c r="M559" s="7">
        <v>-2.7000000000000001E-3</v>
      </c>
    </row>
    <row r="560" spans="1:13" x14ac:dyDescent="0.2">
      <c r="A560" s="6">
        <v>44743</v>
      </c>
      <c r="B560" s="2" t="s">
        <v>225</v>
      </c>
      <c r="C560" s="5">
        <v>44743</v>
      </c>
      <c r="D560" s="2" t="s">
        <v>185</v>
      </c>
      <c r="E560" s="3">
        <v>2210</v>
      </c>
      <c r="F560" s="8">
        <v>1.5699000000000001</v>
      </c>
      <c r="G560" s="4">
        <v>165.93860000000001</v>
      </c>
      <c r="H560" s="4">
        <v>465.86470000000003</v>
      </c>
      <c r="I560" s="4">
        <v>21.84</v>
      </c>
      <c r="J560" s="4">
        <v>22.43</v>
      </c>
      <c r="K560" s="4">
        <v>21.142499999999998</v>
      </c>
      <c r="L560" s="4">
        <v>21.25</v>
      </c>
      <c r="M560" s="7">
        <v>-2.7E-2</v>
      </c>
    </row>
    <row r="561" spans="1:13" x14ac:dyDescent="0.2">
      <c r="A561" s="6">
        <v>44746</v>
      </c>
      <c r="B561" s="2" t="s">
        <v>228</v>
      </c>
      <c r="C561" s="5">
        <v>44743</v>
      </c>
      <c r="D561" s="2" t="s">
        <v>185</v>
      </c>
      <c r="E561" s="3">
        <v>2251</v>
      </c>
      <c r="F561" s="8">
        <v>1.4630000000000001</v>
      </c>
      <c r="G561" s="4">
        <v>143.99930000000001</v>
      </c>
      <c r="H561" s="4">
        <v>390.02280000000002</v>
      </c>
      <c r="I561" s="4">
        <v>21.25</v>
      </c>
      <c r="J561" s="4">
        <v>22.247499999999999</v>
      </c>
      <c r="K561" s="4">
        <v>20.922499999999999</v>
      </c>
      <c r="L561" s="4">
        <v>20.9725</v>
      </c>
      <c r="M561" s="7">
        <v>-1.3100000000000001E-2</v>
      </c>
    </row>
    <row r="562" spans="1:13" x14ac:dyDescent="0.2">
      <c r="A562" s="6">
        <v>44747</v>
      </c>
      <c r="B562" s="2" t="s">
        <v>226</v>
      </c>
      <c r="C562" s="5">
        <v>44743</v>
      </c>
      <c r="D562" s="2" t="s">
        <v>185</v>
      </c>
      <c r="E562" s="3">
        <v>2210</v>
      </c>
      <c r="F562" s="8">
        <v>1.5762</v>
      </c>
      <c r="G562" s="4">
        <v>156.637</v>
      </c>
      <c r="H562" s="4">
        <v>411.85719999999998</v>
      </c>
      <c r="I562" s="4">
        <v>20.9725</v>
      </c>
      <c r="J562" s="4">
        <v>20.9925</v>
      </c>
      <c r="K562" s="4">
        <v>20.234999999999999</v>
      </c>
      <c r="L562" s="4">
        <v>20.787500000000001</v>
      </c>
      <c r="M562" s="7">
        <v>-8.8000000000000005E-3</v>
      </c>
    </row>
    <row r="563" spans="1:13" x14ac:dyDescent="0.2">
      <c r="A563" s="6">
        <v>44748</v>
      </c>
      <c r="B563" s="2" t="s">
        <v>224</v>
      </c>
      <c r="C563" s="5">
        <v>44743</v>
      </c>
      <c r="D563" s="2" t="s">
        <v>185</v>
      </c>
      <c r="E563" s="3">
        <v>2195</v>
      </c>
      <c r="F563" s="8">
        <v>1.6420999999999999</v>
      </c>
      <c r="G563" s="4">
        <v>160.63239999999999</v>
      </c>
      <c r="H563" s="4">
        <v>460.76049999999998</v>
      </c>
      <c r="I563" s="4">
        <v>20.787500000000001</v>
      </c>
      <c r="J563" s="4">
        <v>20.787500000000001</v>
      </c>
      <c r="K563" s="4">
        <v>19.822500000000002</v>
      </c>
      <c r="L563" s="4">
        <v>20.267499999999998</v>
      </c>
      <c r="M563" s="7">
        <v>-2.5000000000000001E-2</v>
      </c>
    </row>
    <row r="564" spans="1:13" x14ac:dyDescent="0.2">
      <c r="A564" s="6">
        <v>44749</v>
      </c>
      <c r="B564" s="2" t="s">
        <v>227</v>
      </c>
      <c r="C564" s="5">
        <v>44743</v>
      </c>
      <c r="D564" s="2" t="s">
        <v>185</v>
      </c>
      <c r="E564" s="3">
        <v>2194</v>
      </c>
      <c r="F564" s="8">
        <v>1.6232</v>
      </c>
      <c r="G564" s="4">
        <v>168.83359999999999</v>
      </c>
      <c r="H564" s="4">
        <v>463.24040000000002</v>
      </c>
      <c r="I564" s="4">
        <v>20.267499999999998</v>
      </c>
      <c r="J564" s="4">
        <v>20.267499999999998</v>
      </c>
      <c r="K564" s="4">
        <v>19.012499999999999</v>
      </c>
      <c r="L564" s="4">
        <v>19.202500000000001</v>
      </c>
      <c r="M564" s="7">
        <v>-5.2499999999999998E-2</v>
      </c>
    </row>
    <row r="565" spans="1:13" x14ac:dyDescent="0.2">
      <c r="A565" s="6">
        <v>44750</v>
      </c>
      <c r="B565" s="2" t="s">
        <v>225</v>
      </c>
      <c r="C565" s="5">
        <v>44743</v>
      </c>
      <c r="D565" s="2" t="s">
        <v>185</v>
      </c>
      <c r="E565" s="3">
        <v>2210</v>
      </c>
      <c r="F565" s="8">
        <v>1.5528</v>
      </c>
      <c r="G565" s="4">
        <v>157.01759999999999</v>
      </c>
      <c r="H565" s="4">
        <v>427.67099999999999</v>
      </c>
      <c r="I565" s="4">
        <v>19.202500000000001</v>
      </c>
      <c r="J565" s="4">
        <v>19.202500000000001</v>
      </c>
      <c r="K565" s="4">
        <v>18.22</v>
      </c>
      <c r="L565" s="4">
        <v>18.395</v>
      </c>
      <c r="M565" s="7">
        <v>-4.2099999999999999E-2</v>
      </c>
    </row>
    <row r="566" spans="1:13" x14ac:dyDescent="0.2">
      <c r="A566" s="6">
        <v>44753</v>
      </c>
      <c r="B566" s="2" t="s">
        <v>228</v>
      </c>
      <c r="C566" s="5">
        <v>44743</v>
      </c>
      <c r="D566" s="2" t="s">
        <v>185</v>
      </c>
      <c r="E566" s="3">
        <v>2232</v>
      </c>
      <c r="F566" s="8">
        <v>1.6109</v>
      </c>
      <c r="G566" s="4">
        <v>180.70840000000001</v>
      </c>
      <c r="H566" s="4">
        <v>454.8897</v>
      </c>
      <c r="I566" s="4">
        <v>18.395</v>
      </c>
      <c r="J566" s="4">
        <v>19.215</v>
      </c>
      <c r="K566" s="4">
        <v>16.647500000000001</v>
      </c>
      <c r="L566" s="4">
        <v>18.3675</v>
      </c>
      <c r="M566" s="7">
        <v>-1.5E-3</v>
      </c>
    </row>
    <row r="567" spans="1:13" x14ac:dyDescent="0.2">
      <c r="A567" s="6">
        <v>44754</v>
      </c>
      <c r="B567" s="2" t="s">
        <v>226</v>
      </c>
      <c r="C567" s="5">
        <v>44743</v>
      </c>
      <c r="D567" s="2" t="s">
        <v>185</v>
      </c>
      <c r="E567" s="3">
        <v>2210</v>
      </c>
      <c r="F567" s="8">
        <v>1.5242</v>
      </c>
      <c r="G567" s="4">
        <v>177.08879999999999</v>
      </c>
      <c r="H567" s="4">
        <v>403.34059999999999</v>
      </c>
      <c r="I567" s="4">
        <v>18.3675</v>
      </c>
      <c r="J567" s="4">
        <v>18.637499999999999</v>
      </c>
      <c r="K567" s="4">
        <v>17.3</v>
      </c>
      <c r="L567" s="4">
        <v>18.547499999999999</v>
      </c>
      <c r="M567" s="7">
        <v>9.7999999999999997E-3</v>
      </c>
    </row>
    <row r="568" spans="1:13" x14ac:dyDescent="0.2">
      <c r="A568" s="6">
        <v>44755</v>
      </c>
      <c r="B568" s="2" t="s">
        <v>224</v>
      </c>
      <c r="C568" s="5">
        <v>44743</v>
      </c>
      <c r="D568" s="2" t="s">
        <v>185</v>
      </c>
      <c r="E568" s="3">
        <v>2223</v>
      </c>
      <c r="F568" s="8">
        <v>1.5409999999999999</v>
      </c>
      <c r="G568" s="4">
        <v>159.18530000000001</v>
      </c>
      <c r="H568" s="4">
        <v>424.05770000000001</v>
      </c>
      <c r="I568" s="4">
        <v>18.547499999999999</v>
      </c>
      <c r="J568" s="4">
        <v>18.762499999999999</v>
      </c>
      <c r="K568" s="4">
        <v>17.734999999999999</v>
      </c>
      <c r="L568" s="4">
        <v>18.52</v>
      </c>
      <c r="M568" s="7">
        <v>-1.5E-3</v>
      </c>
    </row>
    <row r="569" spans="1:13" x14ac:dyDescent="0.2">
      <c r="A569" s="6">
        <v>44756</v>
      </c>
      <c r="B569" s="2" t="s">
        <v>227</v>
      </c>
      <c r="C569" s="5">
        <v>44743</v>
      </c>
      <c r="D569" s="2" t="s">
        <v>185</v>
      </c>
      <c r="E569" s="3">
        <v>2195</v>
      </c>
      <c r="F569" s="8">
        <v>1.5316000000000001</v>
      </c>
      <c r="G569" s="4">
        <v>147.3689</v>
      </c>
      <c r="H569" s="4">
        <v>420.83569999999997</v>
      </c>
      <c r="I569" s="4">
        <v>18.52</v>
      </c>
      <c r="J569" s="4">
        <v>18.690000000000001</v>
      </c>
      <c r="K569" s="4">
        <v>17.75</v>
      </c>
      <c r="L569" s="4">
        <v>18.34</v>
      </c>
      <c r="M569" s="7">
        <v>-9.7000000000000003E-3</v>
      </c>
    </row>
    <row r="570" spans="1:13" x14ac:dyDescent="0.2">
      <c r="A570" s="6">
        <v>44757</v>
      </c>
      <c r="B570" s="2" t="s">
        <v>225</v>
      </c>
      <c r="C570" s="5">
        <v>44743</v>
      </c>
      <c r="D570" s="2" t="s">
        <v>185</v>
      </c>
      <c r="E570" s="3">
        <v>2209</v>
      </c>
      <c r="F570" s="8">
        <v>1.4120999999999999</v>
      </c>
      <c r="G570" s="4">
        <v>144.08260000000001</v>
      </c>
      <c r="H570" s="4">
        <v>413.47980000000001</v>
      </c>
      <c r="I570" s="4">
        <v>18.34</v>
      </c>
      <c r="J570" s="4">
        <v>18.34</v>
      </c>
      <c r="K570" s="4">
        <v>17.53</v>
      </c>
      <c r="L570" s="4">
        <v>17.5975</v>
      </c>
      <c r="M570" s="7">
        <v>-4.0500000000000001E-2</v>
      </c>
    </row>
    <row r="571" spans="1:13" x14ac:dyDescent="0.2">
      <c r="A571" s="6">
        <v>44760</v>
      </c>
      <c r="B571" s="2" t="s">
        <v>228</v>
      </c>
      <c r="C571" s="5">
        <v>44743</v>
      </c>
      <c r="D571" s="2" t="s">
        <v>185</v>
      </c>
      <c r="E571" s="3">
        <v>2254</v>
      </c>
      <c r="F571" s="8">
        <v>1.6012</v>
      </c>
      <c r="G571" s="4">
        <v>158.1002</v>
      </c>
      <c r="H571" s="4">
        <v>441.56169999999997</v>
      </c>
      <c r="I571" s="4">
        <v>17.5975</v>
      </c>
      <c r="J571" s="4">
        <v>18.182500000000001</v>
      </c>
      <c r="K571" s="4">
        <v>16.47</v>
      </c>
      <c r="L571" s="4">
        <v>17.16</v>
      </c>
      <c r="M571" s="7">
        <v>-2.4899999999999999E-2</v>
      </c>
    </row>
    <row r="572" spans="1:13" x14ac:dyDescent="0.2">
      <c r="A572" s="6">
        <v>44761</v>
      </c>
      <c r="B572" s="2" t="s">
        <v>226</v>
      </c>
      <c r="C572" s="5">
        <v>44743</v>
      </c>
      <c r="D572" s="2" t="s">
        <v>185</v>
      </c>
      <c r="E572" s="3">
        <v>2215</v>
      </c>
      <c r="F572" s="8">
        <v>1.5673999999999999</v>
      </c>
      <c r="G572" s="4">
        <v>176.51830000000001</v>
      </c>
      <c r="H572" s="4">
        <v>445.86579999999998</v>
      </c>
      <c r="I572" s="4">
        <v>17.16</v>
      </c>
      <c r="J572" s="4">
        <v>17.6675</v>
      </c>
      <c r="K572" s="4">
        <v>16.352499999999999</v>
      </c>
      <c r="L572" s="4">
        <v>17.202500000000001</v>
      </c>
      <c r="M572" s="7">
        <v>2.5000000000000001E-3</v>
      </c>
    </row>
    <row r="573" spans="1:13" x14ac:dyDescent="0.2">
      <c r="A573" s="6">
        <v>44762</v>
      </c>
      <c r="B573" s="2" t="s">
        <v>224</v>
      </c>
      <c r="C573" s="5">
        <v>44743</v>
      </c>
      <c r="D573" s="2" t="s">
        <v>185</v>
      </c>
      <c r="E573" s="3">
        <v>2235</v>
      </c>
      <c r="F573" s="8">
        <v>1.8144</v>
      </c>
      <c r="G573" s="4">
        <v>201.5599</v>
      </c>
      <c r="H573" s="4">
        <v>513.78650000000005</v>
      </c>
      <c r="I573" s="4">
        <v>17.202500000000001</v>
      </c>
      <c r="J573" s="4">
        <v>17.272500000000001</v>
      </c>
      <c r="K573" s="4">
        <v>15.657500000000001</v>
      </c>
      <c r="L573" s="4">
        <v>16.822500000000002</v>
      </c>
      <c r="M573" s="7">
        <v>-2.2100000000000002E-2</v>
      </c>
    </row>
    <row r="574" spans="1:13" x14ac:dyDescent="0.2">
      <c r="A574" s="6">
        <v>44763</v>
      </c>
      <c r="B574" s="2" t="s">
        <v>227</v>
      </c>
      <c r="C574" s="5">
        <v>44743</v>
      </c>
      <c r="D574" s="2" t="s">
        <v>185</v>
      </c>
      <c r="E574" s="3">
        <v>2217</v>
      </c>
      <c r="F574" s="8">
        <v>1.7271000000000001</v>
      </c>
      <c r="G574" s="4">
        <v>204.24199999999999</v>
      </c>
      <c r="H574" s="4">
        <v>498.46719999999999</v>
      </c>
      <c r="I574" s="4">
        <v>16.822500000000002</v>
      </c>
      <c r="J574" s="4">
        <v>17.2075</v>
      </c>
      <c r="K574" s="4">
        <v>15.9725</v>
      </c>
      <c r="L574" s="4">
        <v>16.857500000000002</v>
      </c>
      <c r="M574" s="7">
        <v>2.0999999999999999E-3</v>
      </c>
    </row>
    <row r="575" spans="1:13" x14ac:dyDescent="0.2">
      <c r="A575" s="6">
        <v>44764</v>
      </c>
      <c r="B575" s="2" t="s">
        <v>225</v>
      </c>
      <c r="C575" s="5">
        <v>44743</v>
      </c>
      <c r="D575" s="2" t="s">
        <v>185</v>
      </c>
      <c r="E575" s="3">
        <v>2218</v>
      </c>
      <c r="F575" s="8">
        <v>1.7078</v>
      </c>
      <c r="G575" s="4">
        <v>178.6447</v>
      </c>
      <c r="H575" s="4">
        <v>476.86279999999999</v>
      </c>
      <c r="I575" s="4">
        <v>16.857500000000002</v>
      </c>
      <c r="J575" s="4">
        <v>16.962499999999999</v>
      </c>
      <c r="K575" s="4">
        <v>16.162500000000001</v>
      </c>
      <c r="L575" s="4">
        <v>16.649999999999999</v>
      </c>
      <c r="M575" s="7">
        <v>-1.23E-2</v>
      </c>
    </row>
    <row r="576" spans="1:13" x14ac:dyDescent="0.2">
      <c r="A576" s="6">
        <v>44767</v>
      </c>
      <c r="B576" s="2" t="s">
        <v>228</v>
      </c>
      <c r="C576" s="5">
        <v>44743</v>
      </c>
      <c r="D576" s="2" t="s">
        <v>185</v>
      </c>
      <c r="E576" s="3">
        <v>2366</v>
      </c>
      <c r="F576" s="8">
        <v>1.6541999999999999</v>
      </c>
      <c r="G576" s="4">
        <v>202.60249999999999</v>
      </c>
      <c r="H576" s="4">
        <v>555.39660000000003</v>
      </c>
      <c r="I576" s="4">
        <v>16.649999999999999</v>
      </c>
      <c r="J576" s="4">
        <v>17.907499999999999</v>
      </c>
      <c r="K576" s="4">
        <v>16.177499999999998</v>
      </c>
      <c r="L576" s="4">
        <v>17.68</v>
      </c>
      <c r="M576" s="7">
        <v>6.1899999999999997E-2</v>
      </c>
    </row>
    <row r="577" spans="1:13" x14ac:dyDescent="0.2">
      <c r="A577" s="6">
        <v>44768</v>
      </c>
      <c r="B577" s="2" t="s">
        <v>226</v>
      </c>
      <c r="C577" s="5">
        <v>44743</v>
      </c>
      <c r="D577" s="2" t="s">
        <v>185</v>
      </c>
      <c r="E577" s="3">
        <v>2211</v>
      </c>
      <c r="F577" s="8">
        <v>1.6647000000000001</v>
      </c>
      <c r="G577" s="4">
        <v>209.65479999999999</v>
      </c>
      <c r="H577" s="4">
        <v>472.5025</v>
      </c>
      <c r="I577" s="4">
        <v>17.68</v>
      </c>
      <c r="J577" s="4">
        <v>18.267499999999998</v>
      </c>
      <c r="K577" s="4">
        <v>17.355</v>
      </c>
      <c r="L577" s="4">
        <v>18.170000000000002</v>
      </c>
      <c r="M577" s="7">
        <v>2.7699999999999999E-2</v>
      </c>
    </row>
    <row r="578" spans="1:13" x14ac:dyDescent="0.2">
      <c r="A578" s="6">
        <v>44769</v>
      </c>
      <c r="B578" s="2" t="s">
        <v>224</v>
      </c>
      <c r="C578" s="5">
        <v>44743</v>
      </c>
      <c r="D578" s="2" t="s">
        <v>185</v>
      </c>
      <c r="E578" s="3">
        <v>2215</v>
      </c>
      <c r="F578" s="8">
        <v>1.6197999999999999</v>
      </c>
      <c r="G578" s="4">
        <v>201.85239999999999</v>
      </c>
      <c r="H578" s="4">
        <v>440.96769999999998</v>
      </c>
      <c r="I578" s="4">
        <v>18.170000000000002</v>
      </c>
      <c r="J578" s="4">
        <v>18.635000000000002</v>
      </c>
      <c r="K578" s="4">
        <v>17.752500000000001</v>
      </c>
      <c r="L578" s="4">
        <v>18.13</v>
      </c>
      <c r="M578" s="7">
        <v>-2.2000000000000001E-3</v>
      </c>
    </row>
    <row r="579" spans="1:13" x14ac:dyDescent="0.2">
      <c r="A579" s="6">
        <v>44770</v>
      </c>
      <c r="B579" s="2" t="s">
        <v>227</v>
      </c>
      <c r="C579" s="5">
        <v>44743</v>
      </c>
      <c r="D579" s="2" t="s">
        <v>185</v>
      </c>
      <c r="E579" s="3">
        <v>2222</v>
      </c>
      <c r="F579" s="8">
        <v>1.8707</v>
      </c>
      <c r="G579" s="4">
        <v>228.53210000000001</v>
      </c>
      <c r="H579" s="4">
        <v>579.08320000000003</v>
      </c>
      <c r="I579" s="4">
        <v>18.13</v>
      </c>
      <c r="J579" s="4">
        <v>18.13</v>
      </c>
      <c r="K579" s="4">
        <v>16.837499999999999</v>
      </c>
      <c r="L579" s="4">
        <v>17.012499999999999</v>
      </c>
      <c r="M579" s="7">
        <v>-6.1600000000000002E-2</v>
      </c>
    </row>
    <row r="580" spans="1:13" x14ac:dyDescent="0.2">
      <c r="A580" s="6">
        <v>44771</v>
      </c>
      <c r="B580" s="2" t="s">
        <v>225</v>
      </c>
      <c r="C580" s="5">
        <v>44743</v>
      </c>
      <c r="D580" s="2" t="s">
        <v>185</v>
      </c>
      <c r="E580" s="3">
        <v>2224</v>
      </c>
      <c r="F580" s="8">
        <v>2.0448</v>
      </c>
      <c r="G580" s="4">
        <v>251.10310000000001</v>
      </c>
      <c r="H580" s="4">
        <v>625.90430000000003</v>
      </c>
      <c r="I580" s="4">
        <v>17.012499999999999</v>
      </c>
      <c r="J580" s="4">
        <v>18.645</v>
      </c>
      <c r="K580" s="4">
        <v>16.489999999999998</v>
      </c>
      <c r="L580" s="4">
        <v>16.55</v>
      </c>
      <c r="M580" s="7">
        <v>-2.7199999999999998E-2</v>
      </c>
    </row>
    <row r="581" spans="1:13" x14ac:dyDescent="0.2">
      <c r="A581" s="6">
        <v>44774</v>
      </c>
      <c r="B581" s="2" t="s">
        <v>228</v>
      </c>
      <c r="C581" s="5">
        <v>44774</v>
      </c>
      <c r="D581" s="2" t="s">
        <v>185</v>
      </c>
      <c r="E581" s="3">
        <v>2279</v>
      </c>
      <c r="F581" s="8">
        <v>2.1004</v>
      </c>
      <c r="G581" s="4">
        <v>286.02690000000001</v>
      </c>
      <c r="H581" s="4">
        <v>586.19299999999998</v>
      </c>
      <c r="I581" s="4">
        <v>16.55</v>
      </c>
      <c r="J581" s="4">
        <v>17.625</v>
      </c>
      <c r="K581" s="4">
        <v>15.8925</v>
      </c>
      <c r="L581" s="4">
        <v>17.484999999999999</v>
      </c>
      <c r="M581" s="7">
        <v>5.6500000000000002E-2</v>
      </c>
    </row>
    <row r="582" spans="1:13" x14ac:dyDescent="0.2">
      <c r="A582" s="6">
        <v>44775</v>
      </c>
      <c r="B582" s="2" t="s">
        <v>226</v>
      </c>
      <c r="C582" s="5">
        <v>44774</v>
      </c>
      <c r="D582" s="2" t="s">
        <v>185</v>
      </c>
      <c r="E582" s="3">
        <v>2220</v>
      </c>
      <c r="F582" s="8">
        <v>2.1345000000000001</v>
      </c>
      <c r="G582" s="4">
        <v>403.5521</v>
      </c>
      <c r="H582" s="4">
        <v>619.82740000000001</v>
      </c>
      <c r="I582" s="4">
        <v>17.484999999999999</v>
      </c>
      <c r="J582" s="4">
        <v>18.754999999999999</v>
      </c>
      <c r="K582" s="4">
        <v>17.484999999999999</v>
      </c>
      <c r="L582" s="4">
        <v>18.53</v>
      </c>
      <c r="M582" s="7">
        <v>5.9799999999999999E-2</v>
      </c>
    </row>
    <row r="583" spans="1:13" x14ac:dyDescent="0.2">
      <c r="A583" s="6">
        <v>44776</v>
      </c>
      <c r="B583" s="2" t="s">
        <v>224</v>
      </c>
      <c r="C583" s="5">
        <v>44774</v>
      </c>
      <c r="D583" s="2" t="s">
        <v>185</v>
      </c>
      <c r="E583" s="3">
        <v>2224</v>
      </c>
      <c r="F583" s="8">
        <v>1.9943</v>
      </c>
      <c r="G583" s="4">
        <v>303.96980000000002</v>
      </c>
      <c r="H583" s="4">
        <v>573.96789999999999</v>
      </c>
      <c r="I583" s="4">
        <v>18.53</v>
      </c>
      <c r="J583" s="4">
        <v>19.172499999999999</v>
      </c>
      <c r="K583" s="4">
        <v>17.95</v>
      </c>
      <c r="L583" s="4">
        <v>18.45</v>
      </c>
      <c r="M583" s="7">
        <v>-4.3E-3</v>
      </c>
    </row>
    <row r="584" spans="1:13" x14ac:dyDescent="0.2">
      <c r="A584" s="6">
        <v>44777</v>
      </c>
      <c r="B584" s="2" t="s">
        <v>227</v>
      </c>
      <c r="C584" s="5">
        <v>44774</v>
      </c>
      <c r="D584" s="2" t="s">
        <v>185</v>
      </c>
      <c r="E584" s="3">
        <v>2216</v>
      </c>
      <c r="F584" s="8">
        <v>2.1057999999999999</v>
      </c>
      <c r="G584" s="4">
        <v>309.29160000000002</v>
      </c>
      <c r="H584" s="4">
        <v>613.46320000000003</v>
      </c>
      <c r="I584" s="4">
        <v>18.45</v>
      </c>
      <c r="J584" s="4">
        <v>21.06</v>
      </c>
      <c r="K584" s="4">
        <v>17.625</v>
      </c>
      <c r="L584" s="4">
        <v>19.2575</v>
      </c>
      <c r="M584" s="7">
        <v>4.3799999999999999E-2</v>
      </c>
    </row>
    <row r="585" spans="1:13" x14ac:dyDescent="0.2">
      <c r="A585" s="6">
        <v>44778</v>
      </c>
      <c r="B585" s="2" t="s">
        <v>225</v>
      </c>
      <c r="C585" s="5">
        <v>44774</v>
      </c>
      <c r="D585" s="2" t="s">
        <v>185</v>
      </c>
      <c r="E585" s="3">
        <v>2216</v>
      </c>
      <c r="F585" s="8">
        <v>1.9419999999999999</v>
      </c>
      <c r="G585" s="4">
        <v>294.3732</v>
      </c>
      <c r="H585" s="4">
        <v>591.68560000000002</v>
      </c>
      <c r="I585" s="4">
        <v>19.2575</v>
      </c>
      <c r="J585" s="4">
        <v>19.39</v>
      </c>
      <c r="K585" s="4">
        <v>18.0075</v>
      </c>
      <c r="L585" s="4">
        <v>18.914999999999999</v>
      </c>
      <c r="M585" s="7">
        <v>-1.78E-2</v>
      </c>
    </row>
    <row r="586" spans="1:13" x14ac:dyDescent="0.2">
      <c r="A586" s="6">
        <v>44781</v>
      </c>
      <c r="B586" s="2" t="s">
        <v>228</v>
      </c>
      <c r="C586" s="5">
        <v>44774</v>
      </c>
      <c r="D586" s="2" t="s">
        <v>185</v>
      </c>
      <c r="E586" s="3">
        <v>2377</v>
      </c>
      <c r="F586" s="8">
        <v>1.7625999999999999</v>
      </c>
      <c r="G586" s="4">
        <v>231.34229999999999</v>
      </c>
      <c r="H586" s="4">
        <v>574.9298</v>
      </c>
      <c r="I586" s="4">
        <v>18.914999999999999</v>
      </c>
      <c r="J586" s="4">
        <v>20.18</v>
      </c>
      <c r="K586" s="4">
        <v>17.78</v>
      </c>
      <c r="L586" s="4">
        <v>19.302499999999998</v>
      </c>
      <c r="M586" s="7">
        <v>2.0500000000000001E-2</v>
      </c>
    </row>
    <row r="587" spans="1:13" x14ac:dyDescent="0.2">
      <c r="A587" s="6">
        <v>44783</v>
      </c>
      <c r="B587" s="2" t="s">
        <v>224</v>
      </c>
      <c r="C587" s="5">
        <v>44774</v>
      </c>
      <c r="D587" s="2" t="s">
        <v>185</v>
      </c>
      <c r="E587" s="3">
        <v>2244</v>
      </c>
      <c r="F587" s="8">
        <v>2.0023</v>
      </c>
      <c r="G587" s="4">
        <v>264.77210000000002</v>
      </c>
      <c r="H587" s="4">
        <v>557.11710000000005</v>
      </c>
      <c r="I587" s="4">
        <v>19.302499999999998</v>
      </c>
      <c r="J587" s="4">
        <v>20.77</v>
      </c>
      <c r="K587" s="4">
        <v>18.857500000000002</v>
      </c>
      <c r="L587" s="4">
        <v>19.587499999999999</v>
      </c>
      <c r="M587" s="7">
        <v>1.4800000000000001E-2</v>
      </c>
    </row>
    <row r="588" spans="1:13" x14ac:dyDescent="0.2">
      <c r="A588" s="6">
        <v>44784</v>
      </c>
      <c r="B588" s="2" t="s">
        <v>227</v>
      </c>
      <c r="C588" s="5">
        <v>44774</v>
      </c>
      <c r="D588" s="2" t="s">
        <v>185</v>
      </c>
      <c r="E588" s="3">
        <v>2227</v>
      </c>
      <c r="F588" s="8">
        <v>1.8446</v>
      </c>
      <c r="G588" s="4">
        <v>220.14359999999999</v>
      </c>
      <c r="H588" s="4">
        <v>534.84519999999998</v>
      </c>
      <c r="I588" s="4">
        <v>19.587499999999999</v>
      </c>
      <c r="J588" s="4">
        <v>19.587499999999999</v>
      </c>
      <c r="K588" s="4">
        <v>18.2</v>
      </c>
      <c r="L588" s="4">
        <v>18.355</v>
      </c>
      <c r="M588" s="7">
        <v>-6.2899999999999998E-2</v>
      </c>
    </row>
    <row r="589" spans="1:13" x14ac:dyDescent="0.2">
      <c r="A589" s="6">
        <v>44785</v>
      </c>
      <c r="B589" s="2" t="s">
        <v>225</v>
      </c>
      <c r="C589" s="5">
        <v>44774</v>
      </c>
      <c r="D589" s="2" t="s">
        <v>185</v>
      </c>
      <c r="E589" s="3">
        <v>2246</v>
      </c>
      <c r="F589" s="8">
        <v>1.8621000000000001</v>
      </c>
      <c r="G589" s="4">
        <v>242.55789999999999</v>
      </c>
      <c r="H589" s="4">
        <v>557.43290000000002</v>
      </c>
      <c r="I589" s="4">
        <v>18.355</v>
      </c>
      <c r="J589" s="4">
        <v>18.524999999999999</v>
      </c>
      <c r="K589" s="4">
        <v>17.41</v>
      </c>
      <c r="L589" s="4">
        <v>17.607500000000002</v>
      </c>
      <c r="M589" s="7">
        <v>-4.07E-2</v>
      </c>
    </row>
    <row r="590" spans="1:13" x14ac:dyDescent="0.2">
      <c r="A590" s="6">
        <v>44789</v>
      </c>
      <c r="B590" s="2" t="s">
        <v>226</v>
      </c>
      <c r="C590" s="5">
        <v>44774</v>
      </c>
      <c r="D590" s="2" t="s">
        <v>185</v>
      </c>
      <c r="E590" s="3">
        <v>2309</v>
      </c>
      <c r="F590" s="8">
        <v>2.0203000000000002</v>
      </c>
      <c r="G590" s="4">
        <v>251.0797</v>
      </c>
      <c r="H590" s="4">
        <v>579.95219999999995</v>
      </c>
      <c r="I590" s="4">
        <v>17.607500000000002</v>
      </c>
      <c r="J590" s="4">
        <v>18.355</v>
      </c>
      <c r="K590" s="4">
        <v>17.004999999999999</v>
      </c>
      <c r="L590" s="4">
        <v>17.684999999999999</v>
      </c>
      <c r="M590" s="7">
        <v>4.4000000000000003E-3</v>
      </c>
    </row>
    <row r="591" spans="1:13" x14ac:dyDescent="0.2">
      <c r="A591" s="6">
        <v>44790</v>
      </c>
      <c r="B591" s="2" t="s">
        <v>224</v>
      </c>
      <c r="C591" s="5">
        <v>44774</v>
      </c>
      <c r="D591" s="2" t="s">
        <v>185</v>
      </c>
      <c r="E591" s="3">
        <v>2259</v>
      </c>
      <c r="F591" s="8">
        <v>1.9957</v>
      </c>
      <c r="G591" s="4">
        <v>266.88650000000001</v>
      </c>
      <c r="H591" s="4">
        <v>599.20529999999997</v>
      </c>
      <c r="I591" s="4">
        <v>17.684999999999999</v>
      </c>
      <c r="J591" s="4">
        <v>17.787500000000001</v>
      </c>
      <c r="K591" s="4">
        <v>16.547499999999999</v>
      </c>
      <c r="L591" s="4">
        <v>17.677499999999998</v>
      </c>
      <c r="M591" s="7">
        <v>-4.0000000000000002E-4</v>
      </c>
    </row>
    <row r="592" spans="1:13" x14ac:dyDescent="0.2">
      <c r="A592" s="6">
        <v>44791</v>
      </c>
      <c r="B592" s="2" t="s">
        <v>227</v>
      </c>
      <c r="C592" s="5">
        <v>44774</v>
      </c>
      <c r="D592" s="2" t="s">
        <v>185</v>
      </c>
      <c r="E592" s="3">
        <v>2241</v>
      </c>
      <c r="F592" s="8">
        <v>1.9180999999999999</v>
      </c>
      <c r="G592" s="4">
        <v>261.8698</v>
      </c>
      <c r="H592" s="4">
        <v>589.27959999999996</v>
      </c>
      <c r="I592" s="4">
        <v>17.677499999999998</v>
      </c>
      <c r="J592" s="4">
        <v>18.440000000000001</v>
      </c>
      <c r="K592" s="4">
        <v>16.715</v>
      </c>
      <c r="L592" s="4">
        <v>17.350000000000001</v>
      </c>
      <c r="M592" s="7">
        <v>-1.8499999999999999E-2</v>
      </c>
    </row>
    <row r="593" spans="1:13" x14ac:dyDescent="0.2">
      <c r="A593" s="6">
        <v>44792</v>
      </c>
      <c r="B593" s="2" t="s">
        <v>225</v>
      </c>
      <c r="C593" s="5">
        <v>44774</v>
      </c>
      <c r="D593" s="2" t="s">
        <v>185</v>
      </c>
      <c r="E593" s="3">
        <v>2247</v>
      </c>
      <c r="F593" s="8">
        <v>2.1583000000000001</v>
      </c>
      <c r="G593" s="4">
        <v>280.12830000000002</v>
      </c>
      <c r="H593" s="4">
        <v>678.62139999999999</v>
      </c>
      <c r="I593" s="4">
        <v>17.350000000000001</v>
      </c>
      <c r="J593" s="4">
        <v>18.567499999999999</v>
      </c>
      <c r="K593" s="4">
        <v>16.875</v>
      </c>
      <c r="L593" s="4">
        <v>18.285</v>
      </c>
      <c r="M593" s="7">
        <v>5.3900000000000003E-2</v>
      </c>
    </row>
    <row r="594" spans="1:13" x14ac:dyDescent="0.2">
      <c r="A594" s="6">
        <v>44795</v>
      </c>
      <c r="B594" s="2" t="s">
        <v>228</v>
      </c>
      <c r="C594" s="5">
        <v>44774</v>
      </c>
      <c r="D594" s="2" t="s">
        <v>185</v>
      </c>
      <c r="E594" s="3">
        <v>2280</v>
      </c>
      <c r="F594" s="8">
        <v>2.0474000000000001</v>
      </c>
      <c r="G594" s="4">
        <v>257.49340000000001</v>
      </c>
      <c r="H594" s="4">
        <v>551.63879999999995</v>
      </c>
      <c r="I594" s="4">
        <v>18.285</v>
      </c>
      <c r="J594" s="4">
        <v>19.295000000000002</v>
      </c>
      <c r="K594" s="4">
        <v>17.2</v>
      </c>
      <c r="L594" s="4">
        <v>19.037500000000001</v>
      </c>
      <c r="M594" s="7">
        <v>4.1200000000000001E-2</v>
      </c>
    </row>
    <row r="595" spans="1:13" x14ac:dyDescent="0.2">
      <c r="A595" s="6">
        <v>44796</v>
      </c>
      <c r="B595" s="2" t="s">
        <v>226</v>
      </c>
      <c r="C595" s="5">
        <v>44774</v>
      </c>
      <c r="D595" s="2" t="s">
        <v>185</v>
      </c>
      <c r="E595" s="3">
        <v>2228</v>
      </c>
      <c r="F595" s="8">
        <v>1.9131</v>
      </c>
      <c r="G595" s="4">
        <v>262.30360000000002</v>
      </c>
      <c r="H595" s="4">
        <v>562.03269999999998</v>
      </c>
      <c r="I595" s="4">
        <v>19.037500000000001</v>
      </c>
      <c r="J595" s="4">
        <v>19.59</v>
      </c>
      <c r="K595" s="4">
        <v>18.177499999999998</v>
      </c>
      <c r="L595" s="4">
        <v>19.05</v>
      </c>
      <c r="M595" s="7">
        <v>6.9999999999999999E-4</v>
      </c>
    </row>
    <row r="596" spans="1:13" x14ac:dyDescent="0.2">
      <c r="A596" s="6">
        <v>44797</v>
      </c>
      <c r="B596" s="2" t="s">
        <v>224</v>
      </c>
      <c r="C596" s="5">
        <v>44774</v>
      </c>
      <c r="D596" s="2" t="s">
        <v>185</v>
      </c>
      <c r="E596" s="3">
        <v>2251</v>
      </c>
      <c r="F596" s="8">
        <v>1.7988</v>
      </c>
      <c r="G596" s="4">
        <v>254.07749999999999</v>
      </c>
      <c r="H596" s="4">
        <v>516.79259999999999</v>
      </c>
      <c r="I596" s="4">
        <v>19.05</v>
      </c>
      <c r="J596" s="4">
        <v>19.342500000000001</v>
      </c>
      <c r="K596" s="4">
        <v>17.987500000000001</v>
      </c>
      <c r="L596" s="4">
        <v>18.43</v>
      </c>
      <c r="M596" s="7">
        <v>-3.2500000000000001E-2</v>
      </c>
    </row>
    <row r="597" spans="1:13" x14ac:dyDescent="0.2">
      <c r="A597" s="6">
        <v>44798</v>
      </c>
      <c r="B597" s="2" t="s">
        <v>227</v>
      </c>
      <c r="C597" s="5">
        <v>44774</v>
      </c>
      <c r="D597" s="2" t="s">
        <v>185</v>
      </c>
      <c r="E597" s="3">
        <v>2240</v>
      </c>
      <c r="F597" s="8">
        <v>1.8646</v>
      </c>
      <c r="G597" s="4">
        <v>296.84390000000002</v>
      </c>
      <c r="H597" s="4">
        <v>548.33690000000001</v>
      </c>
      <c r="I597" s="4">
        <v>18.43</v>
      </c>
      <c r="J597" s="4">
        <v>20.215</v>
      </c>
      <c r="K597" s="4">
        <v>17.274999999999999</v>
      </c>
      <c r="L597" s="4">
        <v>19.57</v>
      </c>
      <c r="M597" s="7">
        <v>6.1899999999999997E-2</v>
      </c>
    </row>
    <row r="598" spans="1:13" x14ac:dyDescent="0.2">
      <c r="A598" s="6">
        <v>44799</v>
      </c>
      <c r="B598" s="2" t="s">
        <v>225</v>
      </c>
      <c r="C598" s="5">
        <v>44774</v>
      </c>
      <c r="D598" s="2" t="s">
        <v>185</v>
      </c>
      <c r="E598" s="3">
        <v>2254</v>
      </c>
      <c r="F598" s="8">
        <v>1.8722000000000001</v>
      </c>
      <c r="G598" s="4">
        <v>266.31819999999999</v>
      </c>
      <c r="H598" s="4">
        <v>543.79920000000004</v>
      </c>
      <c r="I598" s="4">
        <v>19.57</v>
      </c>
      <c r="J598" s="4">
        <v>19.57</v>
      </c>
      <c r="K598" s="4">
        <v>15.824999999999999</v>
      </c>
      <c r="L598" s="4">
        <v>18.215</v>
      </c>
      <c r="M598" s="7">
        <v>-6.9199999999999998E-2</v>
      </c>
    </row>
    <row r="599" spans="1:13" x14ac:dyDescent="0.2">
      <c r="A599" s="6">
        <v>44802</v>
      </c>
      <c r="B599" s="2" t="s">
        <v>228</v>
      </c>
      <c r="C599" s="5">
        <v>44774</v>
      </c>
      <c r="D599" s="2" t="s">
        <v>185</v>
      </c>
      <c r="E599" s="3">
        <v>2301</v>
      </c>
      <c r="F599" s="8">
        <v>1.9872000000000001</v>
      </c>
      <c r="G599" s="4">
        <v>238.34350000000001</v>
      </c>
      <c r="H599" s="4">
        <v>537.75829999999996</v>
      </c>
      <c r="I599" s="4">
        <v>18.215</v>
      </c>
      <c r="J599" s="4">
        <v>21.204999999999998</v>
      </c>
      <c r="K599" s="4">
        <v>18.215</v>
      </c>
      <c r="L599" s="4">
        <v>19.822500000000002</v>
      </c>
      <c r="M599" s="7">
        <v>8.8300000000000003E-2</v>
      </c>
    </row>
    <row r="600" spans="1:13" x14ac:dyDescent="0.2">
      <c r="A600" s="6">
        <v>44803</v>
      </c>
      <c r="B600" s="2" t="s">
        <v>226</v>
      </c>
      <c r="C600" s="5">
        <v>44774</v>
      </c>
      <c r="D600" s="2" t="s">
        <v>185</v>
      </c>
      <c r="E600" s="3">
        <v>2273</v>
      </c>
      <c r="F600" s="8">
        <v>1.988</v>
      </c>
      <c r="G600" s="4">
        <v>267.08460000000002</v>
      </c>
      <c r="H600" s="4">
        <v>673.77110000000005</v>
      </c>
      <c r="I600" s="4">
        <v>19.822500000000002</v>
      </c>
      <c r="J600" s="4">
        <v>19.822500000000002</v>
      </c>
      <c r="K600" s="4">
        <v>17.2575</v>
      </c>
      <c r="L600" s="4">
        <v>18.7</v>
      </c>
      <c r="M600" s="7">
        <v>-5.6599999999999998E-2</v>
      </c>
    </row>
    <row r="601" spans="1:13" x14ac:dyDescent="0.2">
      <c r="A601" s="6">
        <v>44805</v>
      </c>
      <c r="B601" s="2" t="s">
        <v>227</v>
      </c>
      <c r="C601" s="5">
        <v>44805</v>
      </c>
      <c r="D601" s="2" t="s">
        <v>185</v>
      </c>
      <c r="E601" s="3">
        <v>2270</v>
      </c>
      <c r="F601" s="8">
        <v>2.2126000000000001</v>
      </c>
      <c r="G601" s="4">
        <v>327.39350000000002</v>
      </c>
      <c r="H601" s="4">
        <v>651.63229999999999</v>
      </c>
      <c r="I601" s="4">
        <v>18.7</v>
      </c>
      <c r="J601" s="4">
        <v>20.987500000000001</v>
      </c>
      <c r="K601" s="4">
        <v>18.105</v>
      </c>
      <c r="L601" s="4">
        <v>19.872499999999999</v>
      </c>
      <c r="M601" s="7">
        <v>6.2700000000000006E-2</v>
      </c>
    </row>
    <row r="602" spans="1:13" x14ac:dyDescent="0.2">
      <c r="A602" s="6">
        <v>44806</v>
      </c>
      <c r="B602" s="2" t="s">
        <v>225</v>
      </c>
      <c r="C602" s="5">
        <v>44805</v>
      </c>
      <c r="D602" s="2" t="s">
        <v>185</v>
      </c>
      <c r="E602" s="3">
        <v>2291</v>
      </c>
      <c r="F602" s="8">
        <v>1.98</v>
      </c>
      <c r="G602" s="4">
        <v>335.20609999999999</v>
      </c>
      <c r="H602" s="4">
        <v>581.4144</v>
      </c>
      <c r="I602" s="4">
        <v>19.872499999999999</v>
      </c>
      <c r="J602" s="4">
        <v>20.142499999999998</v>
      </c>
      <c r="K602" s="4">
        <v>17.4025</v>
      </c>
      <c r="L602" s="4">
        <v>19.55</v>
      </c>
      <c r="M602" s="7">
        <v>-1.6199999999999999E-2</v>
      </c>
    </row>
    <row r="603" spans="1:13" x14ac:dyDescent="0.2">
      <c r="A603" s="6">
        <v>44809</v>
      </c>
      <c r="B603" s="2" t="s">
        <v>228</v>
      </c>
      <c r="C603" s="5">
        <v>44805</v>
      </c>
      <c r="D603" s="2" t="s">
        <v>185</v>
      </c>
      <c r="E603" s="3">
        <v>2311</v>
      </c>
      <c r="F603" s="8">
        <v>1.8292999999999999</v>
      </c>
      <c r="G603" s="4">
        <v>357.65100000000001</v>
      </c>
      <c r="H603" s="4">
        <v>522.14700000000005</v>
      </c>
      <c r="I603" s="4">
        <v>19.55</v>
      </c>
      <c r="J603" s="4">
        <v>20.29</v>
      </c>
      <c r="K603" s="4">
        <v>19.45</v>
      </c>
      <c r="L603" s="4">
        <v>19.662500000000001</v>
      </c>
      <c r="M603" s="7">
        <v>5.7999999999999996E-3</v>
      </c>
    </row>
    <row r="604" spans="1:13" x14ac:dyDescent="0.2">
      <c r="A604" s="6">
        <v>44810</v>
      </c>
      <c r="B604" s="2" t="s">
        <v>226</v>
      </c>
      <c r="C604" s="5">
        <v>44805</v>
      </c>
      <c r="D604" s="2" t="s">
        <v>185</v>
      </c>
      <c r="E604" s="3">
        <v>2291</v>
      </c>
      <c r="F604" s="8">
        <v>1.9012</v>
      </c>
      <c r="G604" s="4">
        <v>367.86369999999999</v>
      </c>
      <c r="H604" s="4">
        <v>559.00630000000001</v>
      </c>
      <c r="I604" s="4">
        <v>19.662500000000001</v>
      </c>
      <c r="J604" s="4">
        <v>20</v>
      </c>
      <c r="K604" s="4">
        <v>18.645</v>
      </c>
      <c r="L604" s="4">
        <v>19.524999999999999</v>
      </c>
      <c r="M604" s="7">
        <v>-7.0000000000000001E-3</v>
      </c>
    </row>
    <row r="605" spans="1:13" x14ac:dyDescent="0.2">
      <c r="A605" s="6">
        <v>44811</v>
      </c>
      <c r="B605" s="2" t="s">
        <v>224</v>
      </c>
      <c r="C605" s="5">
        <v>44805</v>
      </c>
      <c r="D605" s="2" t="s">
        <v>185</v>
      </c>
      <c r="E605" s="3">
        <v>2271</v>
      </c>
      <c r="F605" s="8">
        <v>1.9097</v>
      </c>
      <c r="G605" s="4">
        <v>338.93360000000001</v>
      </c>
      <c r="H605" s="4">
        <v>627.99839999999995</v>
      </c>
      <c r="I605" s="4">
        <v>19.524999999999999</v>
      </c>
      <c r="J605" s="4">
        <v>20.175000000000001</v>
      </c>
      <c r="K605" s="4">
        <v>18.2775</v>
      </c>
      <c r="L605" s="4">
        <v>19.3675</v>
      </c>
      <c r="M605" s="7">
        <v>-8.0999999999999996E-3</v>
      </c>
    </row>
    <row r="606" spans="1:13" x14ac:dyDescent="0.2">
      <c r="A606" s="6">
        <v>44812</v>
      </c>
      <c r="B606" s="2" t="s">
        <v>227</v>
      </c>
      <c r="C606" s="5">
        <v>44805</v>
      </c>
      <c r="D606" s="2" t="s">
        <v>185</v>
      </c>
      <c r="E606" s="3">
        <v>2287</v>
      </c>
      <c r="F606" s="8">
        <v>1.8955</v>
      </c>
      <c r="G606" s="4">
        <v>302.42899999999997</v>
      </c>
      <c r="H606" s="4">
        <v>590.30370000000005</v>
      </c>
      <c r="I606" s="4">
        <v>19.3675</v>
      </c>
      <c r="J606" s="4">
        <v>19.3675</v>
      </c>
      <c r="K606" s="4">
        <v>17.302499999999998</v>
      </c>
      <c r="L606" s="4">
        <v>18.305</v>
      </c>
      <c r="M606" s="7">
        <v>-5.4899999999999997E-2</v>
      </c>
    </row>
    <row r="607" spans="1:13" x14ac:dyDescent="0.2">
      <c r="A607" s="6">
        <v>44813</v>
      </c>
      <c r="B607" s="2" t="s">
        <v>225</v>
      </c>
      <c r="C607" s="5">
        <v>44805</v>
      </c>
      <c r="D607" s="2" t="s">
        <v>185</v>
      </c>
      <c r="E607" s="3">
        <v>2282</v>
      </c>
      <c r="F607" s="8">
        <v>1.9722999999999999</v>
      </c>
      <c r="G607" s="4">
        <v>297.92720000000003</v>
      </c>
      <c r="H607" s="4">
        <v>578.38139999999999</v>
      </c>
      <c r="I607" s="4">
        <v>18.305</v>
      </c>
      <c r="J607" s="4">
        <v>18.510000000000002</v>
      </c>
      <c r="K607" s="4">
        <v>16.545000000000002</v>
      </c>
      <c r="L607" s="4">
        <v>17.717500000000001</v>
      </c>
      <c r="M607" s="7">
        <v>-3.2099999999999997E-2</v>
      </c>
    </row>
    <row r="608" spans="1:13" x14ac:dyDescent="0.2">
      <c r="A608" s="6">
        <v>44816</v>
      </c>
      <c r="B608" s="2" t="s">
        <v>228</v>
      </c>
      <c r="C608" s="5">
        <v>44805</v>
      </c>
      <c r="D608" s="2" t="s">
        <v>185</v>
      </c>
      <c r="E608" s="3">
        <v>2329</v>
      </c>
      <c r="F608" s="8">
        <v>1.8110999999999999</v>
      </c>
      <c r="G608" s="4">
        <v>230.4923</v>
      </c>
      <c r="H608" s="4">
        <v>540.86490000000003</v>
      </c>
      <c r="I608" s="4">
        <v>17.717500000000001</v>
      </c>
      <c r="J608" s="4">
        <v>18.3825</v>
      </c>
      <c r="K608" s="4">
        <v>16.392499999999998</v>
      </c>
      <c r="L608" s="4">
        <v>17.9375</v>
      </c>
      <c r="M608" s="7">
        <v>1.24E-2</v>
      </c>
    </row>
    <row r="609" spans="1:13" x14ac:dyDescent="0.2">
      <c r="A609" s="6">
        <v>44817</v>
      </c>
      <c r="B609" s="2" t="s">
        <v>226</v>
      </c>
      <c r="C609" s="5">
        <v>44805</v>
      </c>
      <c r="D609" s="2" t="s">
        <v>185</v>
      </c>
      <c r="E609" s="3">
        <v>2283</v>
      </c>
      <c r="F609" s="8">
        <v>1.9807999999999999</v>
      </c>
      <c r="G609" s="4">
        <v>273.45370000000003</v>
      </c>
      <c r="H609" s="4">
        <v>610.77340000000004</v>
      </c>
      <c r="I609" s="4">
        <v>17.9375</v>
      </c>
      <c r="J609" s="4">
        <v>17.9375</v>
      </c>
      <c r="K609" s="4">
        <v>16.857500000000002</v>
      </c>
      <c r="L609" s="4">
        <v>17.47</v>
      </c>
      <c r="M609" s="7">
        <v>-2.6100000000000002E-2</v>
      </c>
    </row>
    <row r="610" spans="1:13" x14ac:dyDescent="0.2">
      <c r="A610" s="6">
        <v>44818</v>
      </c>
      <c r="B610" s="2" t="s">
        <v>224</v>
      </c>
      <c r="C610" s="5">
        <v>44805</v>
      </c>
      <c r="D610" s="2" t="s">
        <v>185</v>
      </c>
      <c r="E610" s="3">
        <v>2258</v>
      </c>
      <c r="F610" s="8">
        <v>2.2675999999999998</v>
      </c>
      <c r="G610" s="4">
        <v>298.02769999999998</v>
      </c>
      <c r="H610" s="4">
        <v>734.00980000000004</v>
      </c>
      <c r="I610" s="4">
        <v>17.47</v>
      </c>
      <c r="J610" s="4">
        <v>18.565000000000001</v>
      </c>
      <c r="K610" s="4">
        <v>17.260000000000002</v>
      </c>
      <c r="L610" s="4">
        <v>18.2775</v>
      </c>
      <c r="M610" s="7">
        <v>4.6199999999999998E-2</v>
      </c>
    </row>
    <row r="611" spans="1:13" x14ac:dyDescent="0.2">
      <c r="A611" s="6">
        <v>44819</v>
      </c>
      <c r="B611" s="2" t="s">
        <v>227</v>
      </c>
      <c r="C611" s="5">
        <v>44805</v>
      </c>
      <c r="D611" s="2" t="s">
        <v>185</v>
      </c>
      <c r="E611" s="3">
        <v>2243</v>
      </c>
      <c r="F611" s="8">
        <v>2.2726999999999999</v>
      </c>
      <c r="G611" s="4">
        <v>294.50650000000002</v>
      </c>
      <c r="H611" s="4">
        <v>667.80200000000002</v>
      </c>
      <c r="I611" s="4">
        <v>18.2775</v>
      </c>
      <c r="J611" s="4">
        <v>19.215</v>
      </c>
      <c r="K611" s="4">
        <v>16.78</v>
      </c>
      <c r="L611" s="4">
        <v>18.392499999999998</v>
      </c>
      <c r="M611" s="7">
        <v>6.3E-3</v>
      </c>
    </row>
    <row r="612" spans="1:13" x14ac:dyDescent="0.2">
      <c r="A612" s="6">
        <v>44820</v>
      </c>
      <c r="B612" s="2" t="s">
        <v>225</v>
      </c>
      <c r="C612" s="5">
        <v>44805</v>
      </c>
      <c r="D612" s="2" t="s">
        <v>185</v>
      </c>
      <c r="E612" s="3">
        <v>2269</v>
      </c>
      <c r="F612" s="8">
        <v>2.7513000000000001</v>
      </c>
      <c r="G612" s="4">
        <v>375.88560000000001</v>
      </c>
      <c r="H612" s="4">
        <v>954.51189999999997</v>
      </c>
      <c r="I612" s="4">
        <v>18.392499999999998</v>
      </c>
      <c r="J612" s="4">
        <v>20.2425</v>
      </c>
      <c r="K612" s="4">
        <v>18.3</v>
      </c>
      <c r="L612" s="4">
        <v>19.822500000000002</v>
      </c>
      <c r="M612" s="7">
        <v>7.7700000000000005E-2</v>
      </c>
    </row>
    <row r="613" spans="1:13" x14ac:dyDescent="0.2">
      <c r="A613" s="6">
        <v>44823</v>
      </c>
      <c r="B613" s="2" t="s">
        <v>228</v>
      </c>
      <c r="C613" s="5">
        <v>44805</v>
      </c>
      <c r="D613" s="2" t="s">
        <v>185</v>
      </c>
      <c r="E613" s="3">
        <v>2305</v>
      </c>
      <c r="F613" s="8">
        <v>2.1082999999999998</v>
      </c>
      <c r="G613" s="4">
        <v>239.34889999999999</v>
      </c>
      <c r="H613" s="4">
        <v>589.04930000000002</v>
      </c>
      <c r="I613" s="4">
        <v>19.822500000000002</v>
      </c>
      <c r="J613" s="4">
        <v>21.204999999999998</v>
      </c>
      <c r="K613" s="4">
        <v>16.4725</v>
      </c>
      <c r="L613" s="4">
        <v>19.940000000000001</v>
      </c>
      <c r="M613" s="7">
        <v>5.8999999999999999E-3</v>
      </c>
    </row>
    <row r="614" spans="1:13" x14ac:dyDescent="0.2">
      <c r="A614" s="6">
        <v>44824</v>
      </c>
      <c r="B614" s="2" t="s">
        <v>226</v>
      </c>
      <c r="C614" s="5">
        <v>44805</v>
      </c>
      <c r="D614" s="2" t="s">
        <v>185</v>
      </c>
      <c r="E614" s="3">
        <v>2269</v>
      </c>
      <c r="F614" s="8">
        <v>2.0139999999999998</v>
      </c>
      <c r="G614" s="4">
        <v>223.52090000000001</v>
      </c>
      <c r="H614" s="4">
        <v>579.70529999999997</v>
      </c>
      <c r="I614" s="4">
        <v>19.940000000000001</v>
      </c>
      <c r="J614" s="4">
        <v>19.940000000000001</v>
      </c>
      <c r="K614" s="4">
        <v>18.112500000000001</v>
      </c>
      <c r="L614" s="4">
        <v>18.797499999999999</v>
      </c>
      <c r="M614" s="7">
        <v>-5.7299999999999997E-2</v>
      </c>
    </row>
    <row r="615" spans="1:13" x14ac:dyDescent="0.2">
      <c r="A615" s="6">
        <v>44825</v>
      </c>
      <c r="B615" s="2" t="s">
        <v>224</v>
      </c>
      <c r="C615" s="5">
        <v>44805</v>
      </c>
      <c r="D615" s="2" t="s">
        <v>185</v>
      </c>
      <c r="E615" s="3">
        <v>2265</v>
      </c>
      <c r="F615" s="8">
        <v>2.0482</v>
      </c>
      <c r="G615" s="4">
        <v>244.10679999999999</v>
      </c>
      <c r="H615" s="4">
        <v>589.35230000000001</v>
      </c>
      <c r="I615" s="4">
        <v>18.797499999999999</v>
      </c>
      <c r="J615" s="4">
        <v>20.29</v>
      </c>
      <c r="K615" s="4">
        <v>18.305</v>
      </c>
      <c r="L615" s="4">
        <v>19.324999999999999</v>
      </c>
      <c r="M615" s="7">
        <v>2.81E-2</v>
      </c>
    </row>
    <row r="616" spans="1:13" x14ac:dyDescent="0.2">
      <c r="A616" s="6">
        <v>44826</v>
      </c>
      <c r="B616" s="2" t="s">
        <v>227</v>
      </c>
      <c r="C616" s="5">
        <v>44805</v>
      </c>
      <c r="D616" s="2" t="s">
        <v>185</v>
      </c>
      <c r="E616" s="3">
        <v>2271</v>
      </c>
      <c r="F616" s="8">
        <v>1.9802</v>
      </c>
      <c r="G616" s="4">
        <v>271.6977</v>
      </c>
      <c r="H616" s="4">
        <v>646.31299999999999</v>
      </c>
      <c r="I616" s="4">
        <v>19.324999999999999</v>
      </c>
      <c r="J616" s="4">
        <v>20.137499999999999</v>
      </c>
      <c r="K616" s="4">
        <v>17.407499999999999</v>
      </c>
      <c r="L616" s="4">
        <v>18.815000000000001</v>
      </c>
      <c r="M616" s="7">
        <v>-2.64E-2</v>
      </c>
    </row>
    <row r="617" spans="1:13" x14ac:dyDescent="0.2">
      <c r="A617" s="6">
        <v>44827</v>
      </c>
      <c r="B617" s="2" t="s">
        <v>225</v>
      </c>
      <c r="C617" s="5">
        <v>44805</v>
      </c>
      <c r="D617" s="2" t="s">
        <v>185</v>
      </c>
      <c r="E617" s="3">
        <v>2276</v>
      </c>
      <c r="F617" s="8">
        <v>2.0383</v>
      </c>
      <c r="G617" s="4">
        <v>241.0514</v>
      </c>
      <c r="H617" s="4">
        <v>565.82360000000006</v>
      </c>
      <c r="I617" s="4">
        <v>18.815000000000001</v>
      </c>
      <c r="J617" s="4">
        <v>20.8125</v>
      </c>
      <c r="K617" s="4">
        <v>17.344999999999999</v>
      </c>
      <c r="L617" s="4">
        <v>20.592500000000001</v>
      </c>
      <c r="M617" s="7">
        <v>9.4500000000000001E-2</v>
      </c>
    </row>
    <row r="618" spans="1:13" x14ac:dyDescent="0.2">
      <c r="A618" s="6">
        <v>44830</v>
      </c>
      <c r="B618" s="2" t="s">
        <v>228</v>
      </c>
      <c r="C618" s="5">
        <v>44805</v>
      </c>
      <c r="D618" s="2" t="s">
        <v>185</v>
      </c>
      <c r="E618" s="3">
        <v>2320</v>
      </c>
      <c r="F618" s="8">
        <v>2.5945</v>
      </c>
      <c r="G618" s="4">
        <v>277.2038</v>
      </c>
      <c r="H618" s="4">
        <v>653.41890000000001</v>
      </c>
      <c r="I618" s="4">
        <v>20.592500000000001</v>
      </c>
      <c r="J618" s="4">
        <v>22.897500000000001</v>
      </c>
      <c r="K618" s="4">
        <v>18.805</v>
      </c>
      <c r="L618" s="4">
        <v>21.892499999999998</v>
      </c>
      <c r="M618" s="7">
        <v>6.3100000000000003E-2</v>
      </c>
    </row>
    <row r="619" spans="1:13" x14ac:dyDescent="0.2">
      <c r="A619" s="6">
        <v>44831</v>
      </c>
      <c r="B619" s="2" t="s">
        <v>226</v>
      </c>
      <c r="C619" s="5">
        <v>44805</v>
      </c>
      <c r="D619" s="2" t="s">
        <v>185</v>
      </c>
      <c r="E619" s="3">
        <v>2255</v>
      </c>
      <c r="F619" s="8">
        <v>2.0585</v>
      </c>
      <c r="G619" s="4">
        <v>253.89830000000001</v>
      </c>
      <c r="H619" s="4">
        <v>578.95460000000003</v>
      </c>
      <c r="I619" s="4">
        <v>21.892499999999998</v>
      </c>
      <c r="J619" s="4">
        <v>22.2925</v>
      </c>
      <c r="K619" s="4">
        <v>20.787500000000001</v>
      </c>
      <c r="L619" s="4">
        <v>21.567499999999999</v>
      </c>
      <c r="M619" s="7">
        <v>-1.4800000000000001E-2</v>
      </c>
    </row>
    <row r="620" spans="1:13" x14ac:dyDescent="0.2">
      <c r="A620" s="6">
        <v>44832</v>
      </c>
      <c r="B620" s="2" t="s">
        <v>224</v>
      </c>
      <c r="C620" s="5">
        <v>44805</v>
      </c>
      <c r="D620" s="2" t="s">
        <v>185</v>
      </c>
      <c r="E620" s="3">
        <v>2248</v>
      </c>
      <c r="F620" s="8">
        <v>1.8656999999999999</v>
      </c>
      <c r="G620" s="4">
        <v>217.78</v>
      </c>
      <c r="H620" s="4">
        <v>496.24040000000002</v>
      </c>
      <c r="I620" s="4">
        <v>21.567499999999999</v>
      </c>
      <c r="J620" s="4">
        <v>22.362500000000001</v>
      </c>
      <c r="K620" s="4">
        <v>21.49</v>
      </c>
      <c r="L620" s="4">
        <v>22.094999999999999</v>
      </c>
      <c r="M620" s="7">
        <v>2.4500000000000001E-2</v>
      </c>
    </row>
    <row r="621" spans="1:13" x14ac:dyDescent="0.2">
      <c r="A621" s="6">
        <v>44833</v>
      </c>
      <c r="B621" s="2" t="s">
        <v>227</v>
      </c>
      <c r="C621" s="5">
        <v>44805</v>
      </c>
      <c r="D621" s="2" t="s">
        <v>185</v>
      </c>
      <c r="E621" s="3">
        <v>2259</v>
      </c>
      <c r="F621" s="8">
        <v>2.0114999999999998</v>
      </c>
      <c r="G621" s="4">
        <v>240.70699999999999</v>
      </c>
      <c r="H621" s="4">
        <v>635.60469999999998</v>
      </c>
      <c r="I621" s="4">
        <v>22.094999999999999</v>
      </c>
      <c r="J621" s="4">
        <v>22.287500000000001</v>
      </c>
      <c r="K621" s="4">
        <v>21.065000000000001</v>
      </c>
      <c r="L621" s="4">
        <v>21.302499999999998</v>
      </c>
      <c r="M621" s="7">
        <v>-3.5900000000000001E-2</v>
      </c>
    </row>
    <row r="622" spans="1:13" x14ac:dyDescent="0.2">
      <c r="A622" s="6">
        <v>44834</v>
      </c>
      <c r="B622" s="2" t="s">
        <v>225</v>
      </c>
      <c r="C622" s="5">
        <v>44805</v>
      </c>
      <c r="D622" s="2" t="s">
        <v>185</v>
      </c>
      <c r="E622" s="3">
        <v>2273</v>
      </c>
      <c r="F622" s="8">
        <v>1.9771000000000001</v>
      </c>
      <c r="G622" s="4">
        <v>251.4973</v>
      </c>
      <c r="H622" s="4">
        <v>586.36310000000003</v>
      </c>
      <c r="I622" s="4">
        <v>21.302499999999998</v>
      </c>
      <c r="J622" s="4">
        <v>21.987500000000001</v>
      </c>
      <c r="K622" s="4">
        <v>19.697500000000002</v>
      </c>
      <c r="L622" s="4">
        <v>19.967500000000001</v>
      </c>
      <c r="M622" s="7">
        <v>-6.2700000000000006E-2</v>
      </c>
    </row>
    <row r="623" spans="1:13" x14ac:dyDescent="0.2">
      <c r="A623" s="6">
        <v>44837</v>
      </c>
      <c r="B623" s="2" t="s">
        <v>228</v>
      </c>
      <c r="C623" s="5">
        <v>44835</v>
      </c>
      <c r="D623" s="2" t="s">
        <v>186</v>
      </c>
      <c r="E623" s="3">
        <v>2616</v>
      </c>
      <c r="F623" s="8">
        <v>1.9365000000000001</v>
      </c>
      <c r="G623" s="4">
        <v>250.60390000000001</v>
      </c>
      <c r="H623" s="4">
        <v>640.63400000000001</v>
      </c>
      <c r="I623" s="4">
        <v>19.967500000000001</v>
      </c>
      <c r="J623" s="4">
        <v>21.68</v>
      </c>
      <c r="K623" s="4">
        <v>19.967500000000001</v>
      </c>
      <c r="L623" s="4">
        <v>21.364999999999998</v>
      </c>
      <c r="M623" s="7">
        <v>7.0000000000000007E-2</v>
      </c>
    </row>
    <row r="624" spans="1:13" x14ac:dyDescent="0.2">
      <c r="A624" s="6">
        <v>44838</v>
      </c>
      <c r="B624" s="2" t="s">
        <v>226</v>
      </c>
      <c r="C624" s="5">
        <v>44835</v>
      </c>
      <c r="D624" s="2" t="s">
        <v>186</v>
      </c>
      <c r="E624" s="3">
        <v>2281</v>
      </c>
      <c r="F624" s="8">
        <v>1.7344999999999999</v>
      </c>
      <c r="G624" s="4">
        <v>217.06450000000001</v>
      </c>
      <c r="H624" s="4">
        <v>488.6961</v>
      </c>
      <c r="I624" s="4">
        <v>21.364999999999998</v>
      </c>
      <c r="J624" s="4">
        <v>21.364999999999998</v>
      </c>
      <c r="K624" s="4">
        <v>19.447500000000002</v>
      </c>
      <c r="L624" s="4">
        <v>19.57</v>
      </c>
      <c r="M624" s="7">
        <v>-8.4000000000000005E-2</v>
      </c>
    </row>
    <row r="625" spans="1:13" x14ac:dyDescent="0.2">
      <c r="A625" s="6">
        <v>44840</v>
      </c>
      <c r="B625" s="2" t="s">
        <v>227</v>
      </c>
      <c r="C625" s="5">
        <v>44835</v>
      </c>
      <c r="D625" s="2" t="s">
        <v>186</v>
      </c>
      <c r="E625" s="3">
        <v>2304</v>
      </c>
      <c r="F625" s="8">
        <v>2.0729000000000002</v>
      </c>
      <c r="G625" s="4">
        <v>233.77330000000001</v>
      </c>
      <c r="H625" s="4">
        <v>560.17830000000004</v>
      </c>
      <c r="I625" s="4">
        <v>19.57</v>
      </c>
      <c r="J625" s="4">
        <v>20.02</v>
      </c>
      <c r="K625" s="4">
        <v>18.585000000000001</v>
      </c>
      <c r="L625" s="4">
        <v>19.315000000000001</v>
      </c>
      <c r="M625" s="7">
        <v>-1.2999999999999999E-2</v>
      </c>
    </row>
    <row r="626" spans="1:13" x14ac:dyDescent="0.2">
      <c r="A626" s="6">
        <v>44841</v>
      </c>
      <c r="B626" s="2" t="s">
        <v>225</v>
      </c>
      <c r="C626" s="5">
        <v>44835</v>
      </c>
      <c r="D626" s="2" t="s">
        <v>186</v>
      </c>
      <c r="E626" s="3">
        <v>2271</v>
      </c>
      <c r="F626" s="8">
        <v>1.7616000000000001</v>
      </c>
      <c r="G626" s="4">
        <v>237.0307</v>
      </c>
      <c r="H626" s="4">
        <v>489.0052</v>
      </c>
      <c r="I626" s="4">
        <v>19.315000000000001</v>
      </c>
      <c r="J626" s="4">
        <v>19.725000000000001</v>
      </c>
      <c r="K626" s="4">
        <v>18.6875</v>
      </c>
      <c r="L626" s="4">
        <v>18.8125</v>
      </c>
      <c r="M626" s="7">
        <v>-2.5999999999999999E-2</v>
      </c>
    </row>
    <row r="627" spans="1:13" x14ac:dyDescent="0.2">
      <c r="A627" s="6">
        <v>44844</v>
      </c>
      <c r="B627" s="2" t="s">
        <v>228</v>
      </c>
      <c r="C627" s="5">
        <v>44835</v>
      </c>
      <c r="D627" s="2" t="s">
        <v>186</v>
      </c>
      <c r="E627" s="3">
        <v>2323</v>
      </c>
      <c r="F627" s="8">
        <v>1.7678</v>
      </c>
      <c r="G627" s="4">
        <v>239.07939999999999</v>
      </c>
      <c r="H627" s="4">
        <v>450.5</v>
      </c>
      <c r="I627" s="4">
        <v>18.8125</v>
      </c>
      <c r="J627" s="4">
        <v>20.34</v>
      </c>
      <c r="K627" s="4">
        <v>18.8125</v>
      </c>
      <c r="L627" s="4">
        <v>19.622499999999999</v>
      </c>
      <c r="M627" s="7">
        <v>4.3099999999999999E-2</v>
      </c>
    </row>
    <row r="628" spans="1:13" x14ac:dyDescent="0.2">
      <c r="A628" s="6">
        <v>44845</v>
      </c>
      <c r="B628" s="2" t="s">
        <v>226</v>
      </c>
      <c r="C628" s="5">
        <v>44835</v>
      </c>
      <c r="D628" s="2" t="s">
        <v>186</v>
      </c>
      <c r="E628" s="3">
        <v>2310</v>
      </c>
      <c r="F628" s="8">
        <v>1.8503000000000001</v>
      </c>
      <c r="G628" s="4">
        <v>246.16890000000001</v>
      </c>
      <c r="H628" s="4">
        <v>528.14149999999995</v>
      </c>
      <c r="I628" s="4">
        <v>19.622499999999999</v>
      </c>
      <c r="J628" s="4">
        <v>20.817499999999999</v>
      </c>
      <c r="K628" s="4">
        <v>19.09</v>
      </c>
      <c r="L628" s="4">
        <v>20.49</v>
      </c>
      <c r="M628" s="7">
        <v>4.4200000000000003E-2</v>
      </c>
    </row>
    <row r="629" spans="1:13" x14ac:dyDescent="0.2">
      <c r="A629" s="6">
        <v>44846</v>
      </c>
      <c r="B629" s="2" t="s">
        <v>224</v>
      </c>
      <c r="C629" s="5">
        <v>44835</v>
      </c>
      <c r="D629" s="2" t="s">
        <v>186</v>
      </c>
      <c r="E629" s="3">
        <v>2271</v>
      </c>
      <c r="F629" s="8">
        <v>1.6617</v>
      </c>
      <c r="G629" s="4">
        <v>211.83690000000001</v>
      </c>
      <c r="H629" s="4">
        <v>444.63159999999999</v>
      </c>
      <c r="I629" s="4">
        <v>20.49</v>
      </c>
      <c r="J629" s="4">
        <v>20.885000000000002</v>
      </c>
      <c r="K629" s="4">
        <v>19.885000000000002</v>
      </c>
      <c r="L629" s="4">
        <v>20.175000000000001</v>
      </c>
      <c r="M629" s="7">
        <v>-1.54E-2</v>
      </c>
    </row>
    <row r="630" spans="1:13" x14ac:dyDescent="0.2">
      <c r="A630" s="6">
        <v>44847</v>
      </c>
      <c r="B630" s="2" t="s">
        <v>227</v>
      </c>
      <c r="C630" s="5">
        <v>44835</v>
      </c>
      <c r="D630" s="2" t="s">
        <v>186</v>
      </c>
      <c r="E630" s="3">
        <v>2294</v>
      </c>
      <c r="F630" s="8">
        <v>1.5783</v>
      </c>
      <c r="G630" s="4">
        <v>191.75790000000001</v>
      </c>
      <c r="H630" s="4">
        <v>413.89150000000001</v>
      </c>
      <c r="I630" s="4">
        <v>20.175000000000001</v>
      </c>
      <c r="J630" s="4">
        <v>20.942499999999999</v>
      </c>
      <c r="K630" s="4">
        <v>18.4025</v>
      </c>
      <c r="L630" s="4">
        <v>20.29</v>
      </c>
      <c r="M630" s="7">
        <v>5.7000000000000002E-3</v>
      </c>
    </row>
    <row r="631" spans="1:13" x14ac:dyDescent="0.2">
      <c r="A631" s="6">
        <v>44848</v>
      </c>
      <c r="B631" s="2" t="s">
        <v>225</v>
      </c>
      <c r="C631" s="5">
        <v>44835</v>
      </c>
      <c r="D631" s="2" t="s">
        <v>186</v>
      </c>
      <c r="E631" s="3">
        <v>2266</v>
      </c>
      <c r="F631" s="8">
        <v>1.6598999999999999</v>
      </c>
      <c r="G631" s="4">
        <v>198.82679999999999</v>
      </c>
      <c r="H631" s="4">
        <v>444.38279999999997</v>
      </c>
      <c r="I631" s="4">
        <v>20.29</v>
      </c>
      <c r="J631" s="4">
        <v>20.63</v>
      </c>
      <c r="K631" s="4">
        <v>18.074999999999999</v>
      </c>
      <c r="L631" s="4">
        <v>18.2575</v>
      </c>
      <c r="M631" s="7">
        <v>-0.1002</v>
      </c>
    </row>
    <row r="632" spans="1:13" x14ac:dyDescent="0.2">
      <c r="A632" s="6">
        <v>44851</v>
      </c>
      <c r="B632" s="2" t="s">
        <v>228</v>
      </c>
      <c r="C632" s="5">
        <v>44835</v>
      </c>
      <c r="D632" s="2" t="s">
        <v>186</v>
      </c>
      <c r="E632" s="3">
        <v>2363</v>
      </c>
      <c r="F632" s="8">
        <v>1.7363</v>
      </c>
      <c r="G632" s="4">
        <v>208.52080000000001</v>
      </c>
      <c r="H632" s="4">
        <v>471.3476</v>
      </c>
      <c r="I632" s="4">
        <v>18.2575</v>
      </c>
      <c r="J632" s="4">
        <v>19.077500000000001</v>
      </c>
      <c r="K632" s="4">
        <v>18.2575</v>
      </c>
      <c r="L632" s="4">
        <v>18.4175</v>
      </c>
      <c r="M632" s="7">
        <v>8.8000000000000005E-3</v>
      </c>
    </row>
    <row r="633" spans="1:13" x14ac:dyDescent="0.2">
      <c r="A633" s="6">
        <v>44852</v>
      </c>
      <c r="B633" s="2" t="s">
        <v>226</v>
      </c>
      <c r="C633" s="5">
        <v>44835</v>
      </c>
      <c r="D633" s="2" t="s">
        <v>186</v>
      </c>
      <c r="E633" s="3">
        <v>2282</v>
      </c>
      <c r="F633" s="8">
        <v>1.8011999999999999</v>
      </c>
      <c r="G633" s="4">
        <v>240.21950000000001</v>
      </c>
      <c r="H633" s="4">
        <v>516.05449999999996</v>
      </c>
      <c r="I633" s="4">
        <v>18.4175</v>
      </c>
      <c r="J633" s="4">
        <v>18.4175</v>
      </c>
      <c r="K633" s="4">
        <v>16.574999999999999</v>
      </c>
      <c r="L633" s="4">
        <v>17.452500000000001</v>
      </c>
      <c r="M633" s="7">
        <v>-5.2400000000000002E-2</v>
      </c>
    </row>
    <row r="634" spans="1:13" x14ac:dyDescent="0.2">
      <c r="A634" s="6">
        <v>44853</v>
      </c>
      <c r="B634" s="2" t="s">
        <v>224</v>
      </c>
      <c r="C634" s="5">
        <v>44835</v>
      </c>
      <c r="D634" s="2" t="s">
        <v>186</v>
      </c>
      <c r="E634" s="3">
        <v>2275</v>
      </c>
      <c r="F634" s="8">
        <v>1.7337</v>
      </c>
      <c r="G634" s="4">
        <v>245.87129999999999</v>
      </c>
      <c r="H634" s="4">
        <v>476.73140000000001</v>
      </c>
      <c r="I634" s="4">
        <v>17.452500000000001</v>
      </c>
      <c r="J634" s="4">
        <v>17.555</v>
      </c>
      <c r="K634" s="4">
        <v>16.227499999999999</v>
      </c>
      <c r="L634" s="4">
        <v>17.487500000000001</v>
      </c>
      <c r="M634" s="7">
        <v>2E-3</v>
      </c>
    </row>
    <row r="635" spans="1:13" x14ac:dyDescent="0.2">
      <c r="A635" s="6">
        <v>44854</v>
      </c>
      <c r="B635" s="2" t="s">
        <v>227</v>
      </c>
      <c r="C635" s="5">
        <v>44835</v>
      </c>
      <c r="D635" s="2" t="s">
        <v>186</v>
      </c>
      <c r="E635" s="3">
        <v>2263</v>
      </c>
      <c r="F635" s="8">
        <v>1.7134</v>
      </c>
      <c r="G635" s="4">
        <v>265.86559999999997</v>
      </c>
      <c r="H635" s="4">
        <v>481.92349999999999</v>
      </c>
      <c r="I635" s="4">
        <v>17.487500000000001</v>
      </c>
      <c r="J635" s="4">
        <v>17.762499999999999</v>
      </c>
      <c r="K635" s="4">
        <v>15.567500000000001</v>
      </c>
      <c r="L635" s="4">
        <v>17.232500000000002</v>
      </c>
      <c r="M635" s="7">
        <v>-1.46E-2</v>
      </c>
    </row>
    <row r="636" spans="1:13" x14ac:dyDescent="0.2">
      <c r="A636" s="6">
        <v>44855</v>
      </c>
      <c r="B636" s="2" t="s">
        <v>225</v>
      </c>
      <c r="C636" s="5">
        <v>44835</v>
      </c>
      <c r="D636" s="2" t="s">
        <v>186</v>
      </c>
      <c r="E636" s="3">
        <v>2279</v>
      </c>
      <c r="F636" s="8">
        <v>1.7587999999999999</v>
      </c>
      <c r="G636" s="4">
        <v>231.3306</v>
      </c>
      <c r="H636" s="4">
        <v>541.04750000000001</v>
      </c>
      <c r="I636" s="4">
        <v>17.232500000000002</v>
      </c>
      <c r="J636" s="4">
        <v>17.427499999999998</v>
      </c>
      <c r="K636" s="4">
        <v>16.585000000000001</v>
      </c>
      <c r="L636" s="4">
        <v>17.28</v>
      </c>
      <c r="M636" s="7">
        <v>2.8E-3</v>
      </c>
    </row>
    <row r="637" spans="1:13" x14ac:dyDescent="0.2">
      <c r="A637" s="6">
        <v>44858</v>
      </c>
      <c r="B637" s="2" t="s">
        <v>228</v>
      </c>
      <c r="C637" s="5">
        <v>44835</v>
      </c>
      <c r="D637" s="2" t="s">
        <v>186</v>
      </c>
      <c r="E637" s="3">
        <v>2241</v>
      </c>
      <c r="F637" s="8">
        <v>0.56989999999999996</v>
      </c>
      <c r="G637" s="4">
        <v>68.987099999999998</v>
      </c>
      <c r="H637" s="4">
        <v>104.6456</v>
      </c>
      <c r="I637" s="4">
        <v>17.28</v>
      </c>
      <c r="J637" s="4">
        <v>17.672499999999999</v>
      </c>
      <c r="K637" s="4">
        <v>17.07</v>
      </c>
      <c r="L637" s="4">
        <v>17.422499999999999</v>
      </c>
      <c r="M637" s="7">
        <v>8.2000000000000007E-3</v>
      </c>
    </row>
    <row r="638" spans="1:13" x14ac:dyDescent="0.2">
      <c r="A638" s="6">
        <v>44859</v>
      </c>
      <c r="B638" s="2" t="s">
        <v>226</v>
      </c>
      <c r="C638" s="5">
        <v>44835</v>
      </c>
      <c r="D638" s="2" t="s">
        <v>186</v>
      </c>
      <c r="E638" s="3">
        <v>2285</v>
      </c>
      <c r="F638" s="8">
        <v>1.7058</v>
      </c>
      <c r="G638" s="4">
        <v>253.4093</v>
      </c>
      <c r="H638" s="4">
        <v>530.59320000000002</v>
      </c>
      <c r="I638" s="4">
        <v>17.422499999999999</v>
      </c>
      <c r="J638" s="4">
        <v>17.6175</v>
      </c>
      <c r="K638" s="4">
        <v>16.489999999999998</v>
      </c>
      <c r="L638" s="4">
        <v>16.88</v>
      </c>
      <c r="M638" s="7">
        <v>-3.1099999999999999E-2</v>
      </c>
    </row>
    <row r="639" spans="1:13" x14ac:dyDescent="0.2">
      <c r="A639" s="6">
        <v>44861</v>
      </c>
      <c r="B639" s="2" t="s">
        <v>227</v>
      </c>
      <c r="C639" s="5">
        <v>44835</v>
      </c>
      <c r="D639" s="2" t="s">
        <v>186</v>
      </c>
      <c r="E639" s="3">
        <v>2298</v>
      </c>
      <c r="F639" s="8">
        <v>1.8973</v>
      </c>
      <c r="G639" s="4">
        <v>248.08439999999999</v>
      </c>
      <c r="H639" s="4">
        <v>561.57270000000005</v>
      </c>
      <c r="I639" s="4">
        <v>16.88</v>
      </c>
      <c r="J639" s="4">
        <v>17.07</v>
      </c>
      <c r="K639" s="4">
        <v>14.79</v>
      </c>
      <c r="L639" s="4">
        <v>16.5975</v>
      </c>
      <c r="M639" s="7">
        <v>-1.67E-2</v>
      </c>
    </row>
    <row r="640" spans="1:13" x14ac:dyDescent="0.2">
      <c r="A640" s="6">
        <v>44862</v>
      </c>
      <c r="B640" s="2" t="s">
        <v>225</v>
      </c>
      <c r="C640" s="5">
        <v>44835</v>
      </c>
      <c r="D640" s="2" t="s">
        <v>186</v>
      </c>
      <c r="E640" s="3">
        <v>2292</v>
      </c>
      <c r="F640" s="8">
        <v>1.7016</v>
      </c>
      <c r="G640" s="4">
        <v>202.54519999999999</v>
      </c>
      <c r="H640" s="4">
        <v>472.6737</v>
      </c>
      <c r="I640" s="4">
        <v>16.5975</v>
      </c>
      <c r="J640" s="4">
        <v>17.037500000000001</v>
      </c>
      <c r="K640" s="4">
        <v>15.8475</v>
      </c>
      <c r="L640" s="4">
        <v>15.922499999999999</v>
      </c>
      <c r="M640" s="7">
        <v>-4.07E-2</v>
      </c>
    </row>
    <row r="641" spans="1:13" x14ac:dyDescent="0.2">
      <c r="A641" s="6">
        <v>44865</v>
      </c>
      <c r="B641" s="2" t="s">
        <v>228</v>
      </c>
      <c r="C641" s="5">
        <v>44835</v>
      </c>
      <c r="D641" s="2" t="s">
        <v>186</v>
      </c>
      <c r="E641" s="3">
        <v>2350</v>
      </c>
      <c r="F641" s="8">
        <v>1.8756999999999999</v>
      </c>
      <c r="G641" s="4">
        <v>203.4068</v>
      </c>
      <c r="H641" s="4">
        <v>507.4597</v>
      </c>
      <c r="I641" s="4">
        <v>15.922499999999999</v>
      </c>
      <c r="J641" s="4">
        <v>16.63</v>
      </c>
      <c r="K641" s="4">
        <v>15.07</v>
      </c>
      <c r="L641" s="4">
        <v>15.8025</v>
      </c>
      <c r="M641" s="7">
        <v>-7.4999999999999997E-3</v>
      </c>
    </row>
    <row r="642" spans="1:13" x14ac:dyDescent="0.2">
      <c r="A642" s="6">
        <v>44866</v>
      </c>
      <c r="B642" s="2" t="s">
        <v>226</v>
      </c>
      <c r="C642" s="5">
        <v>44866</v>
      </c>
      <c r="D642" s="2" t="s">
        <v>186</v>
      </c>
      <c r="E642" s="3">
        <v>2323</v>
      </c>
      <c r="F642" s="8">
        <v>1.956</v>
      </c>
      <c r="G642" s="4">
        <v>248.78530000000001</v>
      </c>
      <c r="H642" s="4">
        <v>583.34310000000005</v>
      </c>
      <c r="I642" s="4">
        <v>15.8025</v>
      </c>
      <c r="J642" s="4">
        <v>16.202500000000001</v>
      </c>
      <c r="K642" s="4">
        <v>15.1075</v>
      </c>
      <c r="L642" s="4">
        <v>16.13</v>
      </c>
      <c r="M642" s="7">
        <v>2.07E-2</v>
      </c>
    </row>
    <row r="643" spans="1:13" x14ac:dyDescent="0.2">
      <c r="A643" s="6">
        <v>44867</v>
      </c>
      <c r="B643" s="2" t="s">
        <v>224</v>
      </c>
      <c r="C643" s="5">
        <v>44866</v>
      </c>
      <c r="D643" s="2" t="s">
        <v>186</v>
      </c>
      <c r="E643" s="3">
        <v>2301</v>
      </c>
      <c r="F643" s="8">
        <v>1.7337</v>
      </c>
      <c r="G643" s="4">
        <v>205.39519999999999</v>
      </c>
      <c r="H643" s="4">
        <v>512.51369999999997</v>
      </c>
      <c r="I643" s="4">
        <v>16.13</v>
      </c>
      <c r="J643" s="4">
        <v>16.855</v>
      </c>
      <c r="K643" s="4">
        <v>14.68</v>
      </c>
      <c r="L643" s="4">
        <v>16.662500000000001</v>
      </c>
      <c r="M643" s="7">
        <v>3.3000000000000002E-2</v>
      </c>
    </row>
    <row r="644" spans="1:13" x14ac:dyDescent="0.2">
      <c r="A644" s="6">
        <v>44868</v>
      </c>
      <c r="B644" s="2" t="s">
        <v>227</v>
      </c>
      <c r="C644" s="5">
        <v>44866</v>
      </c>
      <c r="D644" s="2" t="s">
        <v>186</v>
      </c>
      <c r="E644" s="3">
        <v>2402</v>
      </c>
      <c r="F644" s="8">
        <v>1.7446999999999999</v>
      </c>
      <c r="G644" s="4">
        <v>250.99809999999999</v>
      </c>
      <c r="H644" s="4">
        <v>582.25109999999995</v>
      </c>
      <c r="I644" s="4">
        <v>16.662500000000001</v>
      </c>
      <c r="J644" s="4">
        <v>16.732500000000002</v>
      </c>
      <c r="K644" s="4">
        <v>14.984999999999999</v>
      </c>
      <c r="L644" s="4">
        <v>15.942500000000001</v>
      </c>
      <c r="M644" s="7">
        <v>-4.3200000000000002E-2</v>
      </c>
    </row>
    <row r="645" spans="1:13" x14ac:dyDescent="0.2">
      <c r="A645" s="6">
        <v>44869</v>
      </c>
      <c r="B645" s="2" t="s">
        <v>225</v>
      </c>
      <c r="C645" s="5">
        <v>44866</v>
      </c>
      <c r="D645" s="2" t="s">
        <v>186</v>
      </c>
      <c r="E645" s="3">
        <v>2310</v>
      </c>
      <c r="F645" s="8">
        <v>1.8509</v>
      </c>
      <c r="G645" s="4">
        <v>263.18700000000001</v>
      </c>
      <c r="H645" s="4">
        <v>547.04369999999994</v>
      </c>
      <c r="I645" s="4">
        <v>15.942500000000001</v>
      </c>
      <c r="J645" s="4">
        <v>16.2075</v>
      </c>
      <c r="K645" s="4">
        <v>15.4825</v>
      </c>
      <c r="L645" s="4">
        <v>15.654999999999999</v>
      </c>
      <c r="M645" s="7">
        <v>-1.7999999999999999E-2</v>
      </c>
    </row>
    <row r="646" spans="1:13" x14ac:dyDescent="0.2">
      <c r="A646" s="6">
        <v>44872</v>
      </c>
      <c r="B646" s="2" t="s">
        <v>228</v>
      </c>
      <c r="C646" s="5">
        <v>44866</v>
      </c>
      <c r="D646" s="2" t="s">
        <v>186</v>
      </c>
      <c r="E646" s="3">
        <v>2343</v>
      </c>
      <c r="F646" s="8">
        <v>2.0666000000000002</v>
      </c>
      <c r="G646" s="4">
        <v>309.47539999999998</v>
      </c>
      <c r="H646" s="4">
        <v>614.37860000000001</v>
      </c>
      <c r="I646" s="4">
        <v>15.654999999999999</v>
      </c>
      <c r="J646" s="4">
        <v>16.355</v>
      </c>
      <c r="K646" s="4">
        <v>15.2775</v>
      </c>
      <c r="L646" s="4">
        <v>15.585000000000001</v>
      </c>
      <c r="M646" s="7">
        <v>-4.4999999999999997E-3</v>
      </c>
    </row>
    <row r="647" spans="1:13" x14ac:dyDescent="0.2">
      <c r="A647" s="6">
        <v>44874</v>
      </c>
      <c r="B647" s="2" t="s">
        <v>224</v>
      </c>
      <c r="C647" s="5">
        <v>44866</v>
      </c>
      <c r="D647" s="2" t="s">
        <v>186</v>
      </c>
      <c r="E647" s="3">
        <v>2323</v>
      </c>
      <c r="F647" s="8">
        <v>2.0943000000000001</v>
      </c>
      <c r="G647" s="4">
        <v>314.00799999999998</v>
      </c>
      <c r="H647" s="4">
        <v>636.0326</v>
      </c>
      <c r="I647" s="4">
        <v>15.585000000000001</v>
      </c>
      <c r="J647" s="4">
        <v>16.067499999999999</v>
      </c>
      <c r="K647" s="4">
        <v>15.0175</v>
      </c>
      <c r="L647" s="4">
        <v>15.914999999999999</v>
      </c>
      <c r="M647" s="7">
        <v>2.12E-2</v>
      </c>
    </row>
    <row r="648" spans="1:13" x14ac:dyDescent="0.2">
      <c r="A648" s="6">
        <v>44875</v>
      </c>
      <c r="B648" s="2" t="s">
        <v>227</v>
      </c>
      <c r="C648" s="5">
        <v>44866</v>
      </c>
      <c r="D648" s="2" t="s">
        <v>186</v>
      </c>
      <c r="E648" s="3">
        <v>2292</v>
      </c>
      <c r="F648" s="8">
        <v>1.9437</v>
      </c>
      <c r="G648" s="4">
        <v>238.02269999999999</v>
      </c>
      <c r="H648" s="4">
        <v>529.94659999999999</v>
      </c>
      <c r="I648" s="4">
        <v>15.914999999999999</v>
      </c>
      <c r="J648" s="4">
        <v>16.2925</v>
      </c>
      <c r="K648" s="4">
        <v>15.4925</v>
      </c>
      <c r="L648" s="4">
        <v>15.567500000000001</v>
      </c>
      <c r="M648" s="7">
        <v>-2.18E-2</v>
      </c>
    </row>
    <row r="649" spans="1:13" x14ac:dyDescent="0.2">
      <c r="A649" s="6">
        <v>44876</v>
      </c>
      <c r="B649" s="2" t="s">
        <v>225</v>
      </c>
      <c r="C649" s="5">
        <v>44866</v>
      </c>
      <c r="D649" s="2" t="s">
        <v>186</v>
      </c>
      <c r="E649" s="3">
        <v>2290</v>
      </c>
      <c r="F649" s="8">
        <v>2.2591999999999999</v>
      </c>
      <c r="G649" s="4">
        <v>298.46109999999999</v>
      </c>
      <c r="H649" s="4">
        <v>729.54949999999997</v>
      </c>
      <c r="I649" s="4">
        <v>15.567500000000001</v>
      </c>
      <c r="J649" s="4">
        <v>15.567500000000001</v>
      </c>
      <c r="K649" s="4">
        <v>14.2775</v>
      </c>
      <c r="L649" s="4">
        <v>14.404999999999999</v>
      </c>
      <c r="M649" s="7">
        <v>-7.4700000000000003E-2</v>
      </c>
    </row>
    <row r="650" spans="1:13" x14ac:dyDescent="0.2">
      <c r="A650" s="6">
        <v>44879</v>
      </c>
      <c r="B650" s="2" t="s">
        <v>228</v>
      </c>
      <c r="C650" s="5">
        <v>44866</v>
      </c>
      <c r="D650" s="2" t="s">
        <v>186</v>
      </c>
      <c r="E650" s="3">
        <v>2479</v>
      </c>
      <c r="F650" s="8">
        <v>2.0365000000000002</v>
      </c>
      <c r="G650" s="4">
        <v>273.46690000000001</v>
      </c>
      <c r="H650" s="4">
        <v>678.74990000000003</v>
      </c>
      <c r="I650" s="4">
        <v>14.404999999999999</v>
      </c>
      <c r="J650" s="4">
        <v>15.27</v>
      </c>
      <c r="K650" s="4">
        <v>12.555</v>
      </c>
      <c r="L650" s="4">
        <v>14.91</v>
      </c>
      <c r="M650" s="7">
        <v>3.5099999999999999E-2</v>
      </c>
    </row>
    <row r="651" spans="1:13" x14ac:dyDescent="0.2">
      <c r="A651" s="6">
        <v>44880</v>
      </c>
      <c r="B651" s="2" t="s">
        <v>226</v>
      </c>
      <c r="C651" s="5">
        <v>44866</v>
      </c>
      <c r="D651" s="2" t="s">
        <v>186</v>
      </c>
      <c r="E651" s="3">
        <v>2320</v>
      </c>
      <c r="F651" s="8">
        <v>1.8110999999999999</v>
      </c>
      <c r="G651" s="4">
        <v>212.05160000000001</v>
      </c>
      <c r="H651" s="4">
        <v>504.88420000000002</v>
      </c>
      <c r="I651" s="4">
        <v>14.91</v>
      </c>
      <c r="J651" s="4">
        <v>15.015000000000001</v>
      </c>
      <c r="K651" s="4">
        <v>13.827500000000001</v>
      </c>
      <c r="L651" s="4">
        <v>14.635</v>
      </c>
      <c r="M651" s="7">
        <v>-1.84E-2</v>
      </c>
    </row>
    <row r="652" spans="1:13" x14ac:dyDescent="0.2">
      <c r="A652" s="6">
        <v>44881</v>
      </c>
      <c r="B652" s="2" t="s">
        <v>224</v>
      </c>
      <c r="C652" s="5">
        <v>44866</v>
      </c>
      <c r="D652" s="2" t="s">
        <v>186</v>
      </c>
      <c r="E652" s="3">
        <v>2304</v>
      </c>
      <c r="F652" s="8">
        <v>2.0167000000000002</v>
      </c>
      <c r="G652" s="4">
        <v>282.51260000000002</v>
      </c>
      <c r="H652" s="4">
        <v>581.37310000000002</v>
      </c>
      <c r="I652" s="4">
        <v>14.635</v>
      </c>
      <c r="J652" s="4">
        <v>15.532500000000001</v>
      </c>
      <c r="K652" s="4">
        <v>13.9275</v>
      </c>
      <c r="L652" s="4">
        <v>15.1</v>
      </c>
      <c r="M652" s="7">
        <v>3.1800000000000002E-2</v>
      </c>
    </row>
    <row r="653" spans="1:13" x14ac:dyDescent="0.2">
      <c r="A653" s="6">
        <v>44882</v>
      </c>
      <c r="B653" s="2" t="s">
        <v>227</v>
      </c>
      <c r="C653" s="5">
        <v>44866</v>
      </c>
      <c r="D653" s="2" t="s">
        <v>186</v>
      </c>
      <c r="E653" s="3">
        <v>2291</v>
      </c>
      <c r="F653" s="8">
        <v>1.7313000000000001</v>
      </c>
      <c r="G653" s="4">
        <v>243.56809999999999</v>
      </c>
      <c r="H653" s="4">
        <v>496.88069999999999</v>
      </c>
      <c r="I653" s="4">
        <v>15.1</v>
      </c>
      <c r="J653" s="4">
        <v>16.262499999999999</v>
      </c>
      <c r="K653" s="4">
        <v>13.09</v>
      </c>
      <c r="L653" s="4">
        <v>14.8775</v>
      </c>
      <c r="M653" s="7">
        <v>-1.47E-2</v>
      </c>
    </row>
    <row r="654" spans="1:13" x14ac:dyDescent="0.2">
      <c r="A654" s="6">
        <v>44883</v>
      </c>
      <c r="B654" s="2" t="s">
        <v>225</v>
      </c>
      <c r="C654" s="5">
        <v>44866</v>
      </c>
      <c r="D654" s="2" t="s">
        <v>186</v>
      </c>
      <c r="E654" s="3">
        <v>2299</v>
      </c>
      <c r="F654" s="8">
        <v>1.7822</v>
      </c>
      <c r="G654" s="4">
        <v>256.01339999999999</v>
      </c>
      <c r="H654" s="4">
        <v>505.46679999999998</v>
      </c>
      <c r="I654" s="4">
        <v>14.8775</v>
      </c>
      <c r="J654" s="4">
        <v>15.692500000000001</v>
      </c>
      <c r="K654" s="4">
        <v>13.86</v>
      </c>
      <c r="L654" s="4">
        <v>14.39</v>
      </c>
      <c r="M654" s="7">
        <v>-3.2800000000000003E-2</v>
      </c>
    </row>
    <row r="655" spans="1:13" x14ac:dyDescent="0.2">
      <c r="A655" s="6">
        <v>44886</v>
      </c>
      <c r="B655" s="2" t="s">
        <v>228</v>
      </c>
      <c r="C655" s="5">
        <v>44866</v>
      </c>
      <c r="D655" s="2" t="s">
        <v>186</v>
      </c>
      <c r="E655" s="3">
        <v>2338</v>
      </c>
      <c r="F655" s="8">
        <v>1.7478</v>
      </c>
      <c r="G655" s="4">
        <v>277.94040000000001</v>
      </c>
      <c r="H655" s="4">
        <v>464.89620000000002</v>
      </c>
      <c r="I655" s="4">
        <v>14.39</v>
      </c>
      <c r="J655" s="4">
        <v>15.547499999999999</v>
      </c>
      <c r="K655" s="4">
        <v>13.362500000000001</v>
      </c>
      <c r="L655" s="4">
        <v>14.797499999999999</v>
      </c>
      <c r="M655" s="7">
        <v>2.8299999999999999E-2</v>
      </c>
    </row>
    <row r="656" spans="1:13" x14ac:dyDescent="0.2">
      <c r="A656" s="6">
        <v>44887</v>
      </c>
      <c r="B656" s="2" t="s">
        <v>226</v>
      </c>
      <c r="C656" s="5">
        <v>44866</v>
      </c>
      <c r="D656" s="2" t="s">
        <v>186</v>
      </c>
      <c r="E656" s="3">
        <v>2325</v>
      </c>
      <c r="F656" s="8">
        <v>1.7532000000000001</v>
      </c>
      <c r="G656" s="4">
        <v>289.96499999999997</v>
      </c>
      <c r="H656" s="4">
        <v>484.2321</v>
      </c>
      <c r="I656" s="4">
        <v>14.797499999999999</v>
      </c>
      <c r="J656" s="4">
        <v>16.272500000000001</v>
      </c>
      <c r="K656" s="4">
        <v>13.32</v>
      </c>
      <c r="L656" s="4">
        <v>13.842499999999999</v>
      </c>
      <c r="M656" s="7">
        <v>-6.4500000000000002E-2</v>
      </c>
    </row>
    <row r="657" spans="1:13" x14ac:dyDescent="0.2">
      <c r="A657" s="6">
        <v>44888</v>
      </c>
      <c r="B657" s="2" t="s">
        <v>224</v>
      </c>
      <c r="C657" s="5">
        <v>44866</v>
      </c>
      <c r="D657" s="2" t="s">
        <v>186</v>
      </c>
      <c r="E657" s="3">
        <v>2297</v>
      </c>
      <c r="F657" s="8">
        <v>1.7861</v>
      </c>
      <c r="G657" s="4">
        <v>281.17829999999998</v>
      </c>
      <c r="H657" s="4">
        <v>499.13630000000001</v>
      </c>
      <c r="I657" s="4">
        <v>13.842499999999999</v>
      </c>
      <c r="J657" s="4">
        <v>14.327500000000001</v>
      </c>
      <c r="K657" s="4">
        <v>11.875</v>
      </c>
      <c r="L657" s="4">
        <v>14.0425</v>
      </c>
      <c r="M657" s="7">
        <v>1.44E-2</v>
      </c>
    </row>
    <row r="658" spans="1:13" x14ac:dyDescent="0.2">
      <c r="A658" s="6">
        <v>44889</v>
      </c>
      <c r="B658" s="2" t="s">
        <v>227</v>
      </c>
      <c r="C658" s="5">
        <v>44866</v>
      </c>
      <c r="D658" s="2" t="s">
        <v>186</v>
      </c>
      <c r="E658" s="3">
        <v>2302</v>
      </c>
      <c r="F658" s="8">
        <v>1.7143999999999999</v>
      </c>
      <c r="G658" s="4">
        <v>285.16399999999999</v>
      </c>
      <c r="H658" s="4">
        <v>512.77940000000001</v>
      </c>
      <c r="I658" s="4">
        <v>14.0425</v>
      </c>
      <c r="J658" s="4">
        <v>14.0425</v>
      </c>
      <c r="K658" s="4">
        <v>12.9975</v>
      </c>
      <c r="L658" s="4">
        <v>13.477499999999999</v>
      </c>
      <c r="M658" s="7">
        <v>-4.02E-2</v>
      </c>
    </row>
    <row r="659" spans="1:13" x14ac:dyDescent="0.2">
      <c r="A659" s="6">
        <v>44890</v>
      </c>
      <c r="B659" s="2" t="s">
        <v>225</v>
      </c>
      <c r="C659" s="5">
        <v>44866</v>
      </c>
      <c r="D659" s="2" t="s">
        <v>186</v>
      </c>
      <c r="E659" s="3">
        <v>2309</v>
      </c>
      <c r="F659" s="8">
        <v>1.7926</v>
      </c>
      <c r="G659" s="4">
        <v>358.77330000000001</v>
      </c>
      <c r="H659" s="4">
        <v>531.32230000000004</v>
      </c>
      <c r="I659" s="4">
        <v>13.477499999999999</v>
      </c>
      <c r="J659" s="4">
        <v>15.772500000000001</v>
      </c>
      <c r="K659" s="4">
        <v>12.772500000000001</v>
      </c>
      <c r="L659" s="4">
        <v>13.3325</v>
      </c>
      <c r="M659" s="7">
        <v>-1.0800000000000001E-2</v>
      </c>
    </row>
    <row r="660" spans="1:13" x14ac:dyDescent="0.2">
      <c r="A660" s="6">
        <v>44893</v>
      </c>
      <c r="B660" s="2" t="s">
        <v>228</v>
      </c>
      <c r="C660" s="5">
        <v>44866</v>
      </c>
      <c r="D660" s="2" t="s">
        <v>186</v>
      </c>
      <c r="E660" s="3">
        <v>2380</v>
      </c>
      <c r="F660" s="8">
        <v>1.8704000000000001</v>
      </c>
      <c r="G660" s="4">
        <v>337.77609999999999</v>
      </c>
      <c r="H660" s="4">
        <v>562.35979999999995</v>
      </c>
      <c r="I660" s="4">
        <v>13.3325</v>
      </c>
      <c r="J660" s="4">
        <v>14.057499999999999</v>
      </c>
      <c r="K660" s="4">
        <v>12.41</v>
      </c>
      <c r="L660" s="4">
        <v>13.565</v>
      </c>
      <c r="M660" s="7">
        <v>1.7399999999999999E-2</v>
      </c>
    </row>
    <row r="661" spans="1:13" x14ac:dyDescent="0.2">
      <c r="A661" s="6">
        <v>44894</v>
      </c>
      <c r="B661" s="2" t="s">
        <v>226</v>
      </c>
      <c r="C661" s="5">
        <v>44866</v>
      </c>
      <c r="D661" s="2" t="s">
        <v>186</v>
      </c>
      <c r="E661" s="3">
        <v>2315</v>
      </c>
      <c r="F661" s="8">
        <v>1.8569</v>
      </c>
      <c r="G661" s="4">
        <v>300.52809999999999</v>
      </c>
      <c r="H661" s="4">
        <v>509.5308</v>
      </c>
      <c r="I661" s="4">
        <v>13.565</v>
      </c>
      <c r="J661" s="4">
        <v>14.62</v>
      </c>
      <c r="K661" s="4">
        <v>12.407500000000001</v>
      </c>
      <c r="L661" s="4">
        <v>13.615</v>
      </c>
      <c r="M661" s="7">
        <v>3.7000000000000002E-3</v>
      </c>
    </row>
    <row r="662" spans="1:13" x14ac:dyDescent="0.2">
      <c r="A662" s="6">
        <v>44895</v>
      </c>
      <c r="B662" s="2" t="s">
        <v>224</v>
      </c>
      <c r="C662" s="5">
        <v>44866</v>
      </c>
      <c r="D662" s="2" t="s">
        <v>186</v>
      </c>
      <c r="E662" s="3">
        <v>2311</v>
      </c>
      <c r="F662" s="8">
        <v>2.0651000000000002</v>
      </c>
      <c r="G662" s="4">
        <v>419.7842</v>
      </c>
      <c r="H662" s="4">
        <v>944.40700000000004</v>
      </c>
      <c r="I662" s="4">
        <v>13.615</v>
      </c>
      <c r="J662" s="4">
        <v>14.05</v>
      </c>
      <c r="K662" s="4">
        <v>12.7525</v>
      </c>
      <c r="L662" s="4">
        <v>13.807499999999999</v>
      </c>
      <c r="M662" s="7">
        <v>1.41E-2</v>
      </c>
    </row>
    <row r="663" spans="1:13" x14ac:dyDescent="0.2">
      <c r="A663" s="6">
        <v>44896</v>
      </c>
      <c r="B663" s="2" t="s">
        <v>227</v>
      </c>
      <c r="C663" s="5">
        <v>44896</v>
      </c>
      <c r="D663" s="2" t="s">
        <v>186</v>
      </c>
      <c r="E663" s="3">
        <v>2339</v>
      </c>
      <c r="F663" s="8">
        <v>2.0287999999999999</v>
      </c>
      <c r="G663" s="4">
        <v>308.53519999999997</v>
      </c>
      <c r="H663" s="4">
        <v>617.05200000000002</v>
      </c>
      <c r="I663" s="4">
        <v>13.807499999999999</v>
      </c>
      <c r="J663" s="4">
        <v>14.23</v>
      </c>
      <c r="K663" s="4">
        <v>12.984999999999999</v>
      </c>
      <c r="L663" s="4">
        <v>13.36</v>
      </c>
      <c r="M663" s="7">
        <v>-3.2399999999999998E-2</v>
      </c>
    </row>
    <row r="664" spans="1:13" x14ac:dyDescent="0.2">
      <c r="A664" s="6">
        <v>44897</v>
      </c>
      <c r="B664" s="2" t="s">
        <v>225</v>
      </c>
      <c r="C664" s="5">
        <v>44896</v>
      </c>
      <c r="D664" s="2" t="s">
        <v>186</v>
      </c>
      <c r="E664" s="3">
        <v>2338</v>
      </c>
      <c r="F664" s="8">
        <v>1.9511000000000001</v>
      </c>
      <c r="G664" s="4">
        <v>358.09199999999998</v>
      </c>
      <c r="H664" s="4">
        <v>593.21489999999994</v>
      </c>
      <c r="I664" s="4">
        <v>13.36</v>
      </c>
      <c r="J664" s="4">
        <v>14.092499999999999</v>
      </c>
      <c r="K664" s="4">
        <v>12.96</v>
      </c>
      <c r="L664" s="4">
        <v>13.45</v>
      </c>
      <c r="M664" s="7">
        <v>6.7000000000000002E-3</v>
      </c>
    </row>
    <row r="665" spans="1:13" x14ac:dyDescent="0.2">
      <c r="A665" s="6">
        <v>44900</v>
      </c>
      <c r="B665" s="2" t="s">
        <v>228</v>
      </c>
      <c r="C665" s="5">
        <v>44896</v>
      </c>
      <c r="D665" s="2" t="s">
        <v>186</v>
      </c>
      <c r="E665" s="3">
        <v>2366</v>
      </c>
      <c r="F665" s="8">
        <v>1.9645999999999999</v>
      </c>
      <c r="G665" s="4">
        <v>380.83370000000002</v>
      </c>
      <c r="H665" s="4">
        <v>572.92690000000005</v>
      </c>
      <c r="I665" s="4">
        <v>13.45</v>
      </c>
      <c r="J665" s="4">
        <v>14.4175</v>
      </c>
      <c r="K665" s="4">
        <v>13.45</v>
      </c>
      <c r="L665" s="4">
        <v>13.7325</v>
      </c>
      <c r="M665" s="7">
        <v>2.1000000000000001E-2</v>
      </c>
    </row>
    <row r="666" spans="1:13" x14ac:dyDescent="0.2">
      <c r="A666" s="6">
        <v>44901</v>
      </c>
      <c r="B666" s="2" t="s">
        <v>226</v>
      </c>
      <c r="C666" s="5">
        <v>44896</v>
      </c>
      <c r="D666" s="2" t="s">
        <v>186</v>
      </c>
      <c r="E666" s="3">
        <v>2333</v>
      </c>
      <c r="F666" s="8">
        <v>1.8024</v>
      </c>
      <c r="G666" s="4">
        <v>343.91640000000001</v>
      </c>
      <c r="H666" s="4">
        <v>507.41719999999998</v>
      </c>
      <c r="I666" s="4">
        <v>13.7325</v>
      </c>
      <c r="J666" s="4">
        <v>14.2525</v>
      </c>
      <c r="K666" s="4">
        <v>12.18</v>
      </c>
      <c r="L666" s="4">
        <v>14.0425</v>
      </c>
      <c r="M666" s="7">
        <v>2.2599999999999999E-2</v>
      </c>
    </row>
    <row r="667" spans="1:13" x14ac:dyDescent="0.2">
      <c r="A667" s="6">
        <v>44902</v>
      </c>
      <c r="B667" s="2" t="s">
        <v>224</v>
      </c>
      <c r="C667" s="5">
        <v>44896</v>
      </c>
      <c r="D667" s="2" t="s">
        <v>186</v>
      </c>
      <c r="E667" s="3">
        <v>2328</v>
      </c>
      <c r="F667" s="8">
        <v>1.7624</v>
      </c>
      <c r="G667" s="4">
        <v>319.94229999999999</v>
      </c>
      <c r="H667" s="4">
        <v>494.7439</v>
      </c>
      <c r="I667" s="4">
        <v>14.0425</v>
      </c>
      <c r="J667" s="4">
        <v>14.4625</v>
      </c>
      <c r="K667" s="4">
        <v>13.795</v>
      </c>
      <c r="L667" s="4">
        <v>14.077500000000001</v>
      </c>
      <c r="M667" s="7">
        <v>2.5000000000000001E-3</v>
      </c>
    </row>
    <row r="668" spans="1:13" x14ac:dyDescent="0.2">
      <c r="A668" s="6">
        <v>44903</v>
      </c>
      <c r="B668" s="2" t="s">
        <v>227</v>
      </c>
      <c r="C668" s="5">
        <v>44896</v>
      </c>
      <c r="D668" s="2" t="s">
        <v>186</v>
      </c>
      <c r="E668" s="3">
        <v>2318</v>
      </c>
      <c r="F668" s="8">
        <v>1.7798</v>
      </c>
      <c r="G668" s="4">
        <v>297.4402</v>
      </c>
      <c r="H668" s="4">
        <v>514.54280000000006</v>
      </c>
      <c r="I668" s="4">
        <v>14.077500000000001</v>
      </c>
      <c r="J668" s="4">
        <v>14.89</v>
      </c>
      <c r="K668" s="4">
        <v>13.26</v>
      </c>
      <c r="L668" s="4">
        <v>13.397500000000001</v>
      </c>
      <c r="M668" s="7">
        <v>-4.8300000000000003E-2</v>
      </c>
    </row>
    <row r="669" spans="1:13" x14ac:dyDescent="0.2">
      <c r="A669" s="6">
        <v>44904</v>
      </c>
      <c r="B669" s="2" t="s">
        <v>225</v>
      </c>
      <c r="C669" s="5">
        <v>44896</v>
      </c>
      <c r="D669" s="2" t="s">
        <v>186</v>
      </c>
      <c r="E669" s="3">
        <v>2324</v>
      </c>
      <c r="F669" s="8">
        <v>2.1143000000000001</v>
      </c>
      <c r="G669" s="4">
        <v>497.57319999999999</v>
      </c>
      <c r="H669" s="4">
        <v>600.52629999999999</v>
      </c>
      <c r="I669" s="4">
        <v>13.397500000000001</v>
      </c>
      <c r="J669" s="4">
        <v>13.9625</v>
      </c>
      <c r="K669" s="4">
        <v>11.9125</v>
      </c>
      <c r="L669" s="4">
        <v>13.477499999999999</v>
      </c>
      <c r="M669" s="7">
        <v>6.0000000000000001E-3</v>
      </c>
    </row>
    <row r="670" spans="1:13" x14ac:dyDescent="0.2">
      <c r="A670" s="6">
        <v>44907</v>
      </c>
      <c r="B670" s="2" t="s">
        <v>228</v>
      </c>
      <c r="C670" s="5">
        <v>44896</v>
      </c>
      <c r="D670" s="2" t="s">
        <v>186</v>
      </c>
      <c r="E670" s="3">
        <v>2335</v>
      </c>
      <c r="F670" s="8">
        <v>1.8743000000000001</v>
      </c>
      <c r="G670" s="4">
        <v>403.64249999999998</v>
      </c>
      <c r="H670" s="4">
        <v>492.40899999999999</v>
      </c>
      <c r="I670" s="4">
        <v>13.477499999999999</v>
      </c>
      <c r="J670" s="4">
        <v>14.15</v>
      </c>
      <c r="K670" s="4">
        <v>12.5275</v>
      </c>
      <c r="L670" s="4">
        <v>13.317500000000001</v>
      </c>
      <c r="M670" s="7">
        <v>-1.1900000000000001E-2</v>
      </c>
    </row>
    <row r="671" spans="1:13" x14ac:dyDescent="0.2">
      <c r="A671" s="6">
        <v>44908</v>
      </c>
      <c r="B671" s="2" t="s">
        <v>226</v>
      </c>
      <c r="C671" s="5">
        <v>44896</v>
      </c>
      <c r="D671" s="2" t="s">
        <v>186</v>
      </c>
      <c r="E671" s="3">
        <v>2326</v>
      </c>
      <c r="F671" s="8">
        <v>1.8964000000000001</v>
      </c>
      <c r="G671" s="4">
        <v>491.81810000000002</v>
      </c>
      <c r="H671" s="4">
        <v>545.32299999999998</v>
      </c>
      <c r="I671" s="4">
        <v>13.317500000000001</v>
      </c>
      <c r="J671" s="4">
        <v>13.577500000000001</v>
      </c>
      <c r="K671" s="4">
        <v>11.432499999999999</v>
      </c>
      <c r="L671" s="4">
        <v>12.8825</v>
      </c>
      <c r="M671" s="7">
        <v>-3.27E-2</v>
      </c>
    </row>
    <row r="672" spans="1:13" x14ac:dyDescent="0.2">
      <c r="A672" s="6">
        <v>44909</v>
      </c>
      <c r="B672" s="2" t="s">
        <v>224</v>
      </c>
      <c r="C672" s="5">
        <v>44896</v>
      </c>
      <c r="D672" s="2" t="s">
        <v>186</v>
      </c>
      <c r="E672" s="3">
        <v>2330</v>
      </c>
      <c r="F672" s="8">
        <v>1.9881</v>
      </c>
      <c r="G672" s="4">
        <v>627.26</v>
      </c>
      <c r="H672" s="4">
        <v>582.82579999999996</v>
      </c>
      <c r="I672" s="4">
        <v>12.8825</v>
      </c>
      <c r="J672" s="4">
        <v>13.0825</v>
      </c>
      <c r="K672" s="4">
        <v>11.5275</v>
      </c>
      <c r="L672" s="4">
        <v>12.885</v>
      </c>
      <c r="M672" s="7">
        <v>2.0000000000000001E-4</v>
      </c>
    </row>
    <row r="673" spans="1:13" x14ac:dyDescent="0.2">
      <c r="A673" s="6">
        <v>44910</v>
      </c>
      <c r="B673" s="2" t="s">
        <v>227</v>
      </c>
      <c r="C673" s="5">
        <v>44896</v>
      </c>
      <c r="D673" s="2" t="s">
        <v>186</v>
      </c>
      <c r="E673" s="3">
        <v>2313</v>
      </c>
      <c r="F673" s="8">
        <v>1.9366000000000001</v>
      </c>
      <c r="G673" s="4">
        <v>503.13310000000001</v>
      </c>
      <c r="H673" s="4">
        <v>542.51379999999995</v>
      </c>
      <c r="I673" s="4">
        <v>12.885</v>
      </c>
      <c r="J673" s="4">
        <v>13.8825</v>
      </c>
      <c r="K673" s="4">
        <v>12.5875</v>
      </c>
      <c r="L673" s="4">
        <v>13.7325</v>
      </c>
      <c r="M673" s="7">
        <v>6.5799999999999997E-2</v>
      </c>
    </row>
    <row r="674" spans="1:13" x14ac:dyDescent="0.2">
      <c r="A674" s="6">
        <v>44911</v>
      </c>
      <c r="B674" s="2" t="s">
        <v>225</v>
      </c>
      <c r="C674" s="5">
        <v>44896</v>
      </c>
      <c r="D674" s="2" t="s">
        <v>186</v>
      </c>
      <c r="E674" s="3">
        <v>2318</v>
      </c>
      <c r="F674" s="8">
        <v>2.1806000000000001</v>
      </c>
      <c r="G674" s="4">
        <v>444.70519999999999</v>
      </c>
      <c r="H674" s="4">
        <v>655.64890000000003</v>
      </c>
      <c r="I674" s="4">
        <v>13.7325</v>
      </c>
      <c r="J674" s="4">
        <v>14.22</v>
      </c>
      <c r="K674" s="4">
        <v>12.4925</v>
      </c>
      <c r="L674" s="4">
        <v>14.07</v>
      </c>
      <c r="M674" s="7">
        <v>2.46E-2</v>
      </c>
    </row>
    <row r="675" spans="1:13" x14ac:dyDescent="0.2">
      <c r="A675" s="6">
        <v>44914</v>
      </c>
      <c r="B675" s="2" t="s">
        <v>228</v>
      </c>
      <c r="C675" s="5">
        <v>44896</v>
      </c>
      <c r="D675" s="2" t="s">
        <v>186</v>
      </c>
      <c r="E675" s="3">
        <v>2354</v>
      </c>
      <c r="F675" s="8">
        <v>1.8889</v>
      </c>
      <c r="G675" s="4">
        <v>382.73649999999998</v>
      </c>
      <c r="H675" s="4">
        <v>471.9436</v>
      </c>
      <c r="I675" s="4">
        <v>14.07</v>
      </c>
      <c r="J675" s="4">
        <v>14.487500000000001</v>
      </c>
      <c r="K675" s="4">
        <v>13.5</v>
      </c>
      <c r="L675" s="4">
        <v>13.5525</v>
      </c>
      <c r="M675" s="7">
        <v>-3.6799999999999999E-2</v>
      </c>
    </row>
    <row r="676" spans="1:13" x14ac:dyDescent="0.2">
      <c r="A676" s="6">
        <v>44915</v>
      </c>
      <c r="B676" s="2" t="s">
        <v>226</v>
      </c>
      <c r="C676" s="5">
        <v>44896</v>
      </c>
      <c r="D676" s="2" t="s">
        <v>186</v>
      </c>
      <c r="E676" s="3">
        <v>2348</v>
      </c>
      <c r="F676" s="8">
        <v>1.7992999999999999</v>
      </c>
      <c r="G676" s="4">
        <v>368.48579999999998</v>
      </c>
      <c r="H676" s="4">
        <v>465.86189999999999</v>
      </c>
      <c r="I676" s="4">
        <v>13.5525</v>
      </c>
      <c r="J676" s="4">
        <v>14.922499999999999</v>
      </c>
      <c r="K676" s="4">
        <v>13.04</v>
      </c>
      <c r="L676" s="4">
        <v>13.78</v>
      </c>
      <c r="M676" s="7">
        <v>1.6799999999999999E-2</v>
      </c>
    </row>
    <row r="677" spans="1:13" x14ac:dyDescent="0.2">
      <c r="A677" s="6">
        <v>44916</v>
      </c>
      <c r="B677" s="2" t="s">
        <v>224</v>
      </c>
      <c r="C677" s="5">
        <v>44896</v>
      </c>
      <c r="D677" s="2" t="s">
        <v>186</v>
      </c>
      <c r="E677" s="3">
        <v>2325</v>
      </c>
      <c r="F677" s="8">
        <v>2.1974</v>
      </c>
      <c r="G677" s="4">
        <v>471.43729999999999</v>
      </c>
      <c r="H677" s="4">
        <v>584.90459999999996</v>
      </c>
      <c r="I677" s="4">
        <v>13.78</v>
      </c>
      <c r="J677" s="4">
        <v>16.010000000000002</v>
      </c>
      <c r="K677" s="4">
        <v>12.4625</v>
      </c>
      <c r="L677" s="4">
        <v>15.5625</v>
      </c>
      <c r="M677" s="7">
        <v>0.12939999999999999</v>
      </c>
    </row>
    <row r="678" spans="1:13" x14ac:dyDescent="0.2">
      <c r="A678" s="6">
        <v>44917</v>
      </c>
      <c r="B678" s="2" t="s">
        <v>227</v>
      </c>
      <c r="C678" s="5">
        <v>44896</v>
      </c>
      <c r="D678" s="2" t="s">
        <v>186</v>
      </c>
      <c r="E678" s="3">
        <v>2329</v>
      </c>
      <c r="F678" s="8">
        <v>2.2305999999999999</v>
      </c>
      <c r="G678" s="4">
        <v>406.97390000000001</v>
      </c>
      <c r="H678" s="4">
        <v>538.57140000000004</v>
      </c>
      <c r="I678" s="4">
        <v>15.5625</v>
      </c>
      <c r="J678" s="4">
        <v>16.3</v>
      </c>
      <c r="K678" s="4">
        <v>14.44</v>
      </c>
      <c r="L678" s="4">
        <v>15.1875</v>
      </c>
      <c r="M678" s="7">
        <v>-2.41E-2</v>
      </c>
    </row>
    <row r="679" spans="1:13" x14ac:dyDescent="0.2">
      <c r="A679" s="6">
        <v>44918</v>
      </c>
      <c r="B679" s="2" t="s">
        <v>225</v>
      </c>
      <c r="C679" s="5">
        <v>44896</v>
      </c>
      <c r="D679" s="2" t="s">
        <v>186</v>
      </c>
      <c r="E679" s="3">
        <v>2360</v>
      </c>
      <c r="F679" s="8">
        <v>2.4512999999999998</v>
      </c>
      <c r="G679" s="4">
        <v>406.79610000000002</v>
      </c>
      <c r="H679" s="4">
        <v>562.51549999999997</v>
      </c>
      <c r="I679" s="4">
        <v>15.1875</v>
      </c>
      <c r="J679" s="4">
        <v>16.48</v>
      </c>
      <c r="K679" s="4">
        <v>14.4825</v>
      </c>
      <c r="L679" s="4">
        <v>16.16</v>
      </c>
      <c r="M679" s="7">
        <v>6.4000000000000001E-2</v>
      </c>
    </row>
    <row r="680" spans="1:13" x14ac:dyDescent="0.2">
      <c r="A680" s="6">
        <v>44921</v>
      </c>
      <c r="B680" s="2" t="s">
        <v>228</v>
      </c>
      <c r="C680" s="5">
        <v>44896</v>
      </c>
      <c r="D680" s="2" t="s">
        <v>186</v>
      </c>
      <c r="E680" s="3">
        <v>2377</v>
      </c>
      <c r="F680" s="8">
        <v>1.9472</v>
      </c>
      <c r="G680" s="4">
        <v>420.39100000000002</v>
      </c>
      <c r="H680" s="4">
        <v>464.87009999999998</v>
      </c>
      <c r="I680" s="4">
        <v>16.16</v>
      </c>
      <c r="J680" s="4">
        <v>17.23</v>
      </c>
      <c r="K680" s="4">
        <v>14.307499999999999</v>
      </c>
      <c r="L680" s="4">
        <v>15.932499999999999</v>
      </c>
      <c r="M680" s="7">
        <v>-1.41E-2</v>
      </c>
    </row>
    <row r="681" spans="1:13" x14ac:dyDescent="0.2">
      <c r="A681" s="6">
        <v>44922</v>
      </c>
      <c r="B681" s="2" t="s">
        <v>226</v>
      </c>
      <c r="C681" s="5">
        <v>44896</v>
      </c>
      <c r="D681" s="2" t="s">
        <v>186</v>
      </c>
      <c r="E681" s="3">
        <v>2339</v>
      </c>
      <c r="F681" s="8">
        <v>1.7173</v>
      </c>
      <c r="G681" s="4">
        <v>352.52699999999999</v>
      </c>
      <c r="H681" s="4">
        <v>432.7407</v>
      </c>
      <c r="I681" s="4">
        <v>15.932499999999999</v>
      </c>
      <c r="J681" s="4">
        <v>16.1325</v>
      </c>
      <c r="K681" s="4">
        <v>14.925000000000001</v>
      </c>
      <c r="L681" s="4">
        <v>15.29</v>
      </c>
      <c r="M681" s="7">
        <v>-4.0300000000000002E-2</v>
      </c>
    </row>
    <row r="682" spans="1:13" x14ac:dyDescent="0.2">
      <c r="A682" s="6">
        <v>44923</v>
      </c>
      <c r="B682" s="2" t="s">
        <v>224</v>
      </c>
      <c r="C682" s="5">
        <v>44896</v>
      </c>
      <c r="D682" s="2" t="s">
        <v>186</v>
      </c>
      <c r="E682" s="3">
        <v>2316</v>
      </c>
      <c r="F682" s="8">
        <v>1.6281000000000001</v>
      </c>
      <c r="G682" s="4">
        <v>323.21159999999998</v>
      </c>
      <c r="H682" s="4">
        <v>432.60770000000002</v>
      </c>
      <c r="I682" s="4">
        <v>15.29</v>
      </c>
      <c r="J682" s="4">
        <v>15.647500000000001</v>
      </c>
      <c r="K682" s="4">
        <v>15.272500000000001</v>
      </c>
      <c r="L682" s="4">
        <v>15.395</v>
      </c>
      <c r="M682" s="7">
        <v>6.8999999999999999E-3</v>
      </c>
    </row>
    <row r="683" spans="1:13" x14ac:dyDescent="0.2">
      <c r="A683" s="6">
        <v>44924</v>
      </c>
      <c r="B683" s="2" t="s">
        <v>227</v>
      </c>
      <c r="C683" s="5">
        <v>44896</v>
      </c>
      <c r="D683" s="2" t="s">
        <v>186</v>
      </c>
      <c r="E683" s="3">
        <v>2311</v>
      </c>
      <c r="F683" s="8">
        <v>1.7226999999999999</v>
      </c>
      <c r="G683" s="4">
        <v>297.0308</v>
      </c>
      <c r="H683" s="4">
        <v>495.06139999999999</v>
      </c>
      <c r="I683" s="4">
        <v>15.395</v>
      </c>
      <c r="J683" s="4">
        <v>15.77</v>
      </c>
      <c r="K683" s="4">
        <v>14.71</v>
      </c>
      <c r="L683" s="4">
        <v>14.8125</v>
      </c>
      <c r="M683" s="7">
        <v>-3.78E-2</v>
      </c>
    </row>
    <row r="684" spans="1:13" x14ac:dyDescent="0.2">
      <c r="A684" s="6">
        <v>44925</v>
      </c>
      <c r="B684" s="2" t="s">
        <v>225</v>
      </c>
      <c r="C684" s="5">
        <v>44896</v>
      </c>
      <c r="D684" s="2" t="s">
        <v>186</v>
      </c>
      <c r="E684" s="3">
        <v>2335</v>
      </c>
      <c r="F684" s="8">
        <v>1.633</v>
      </c>
      <c r="G684" s="4">
        <v>298.01069999999999</v>
      </c>
      <c r="H684" s="4">
        <v>440.23500000000001</v>
      </c>
      <c r="I684" s="4">
        <v>14.8125</v>
      </c>
      <c r="J684" s="4">
        <v>15.115</v>
      </c>
      <c r="K684" s="4">
        <v>14.282500000000001</v>
      </c>
      <c r="L684" s="4">
        <v>14.8675</v>
      </c>
      <c r="M684" s="7">
        <v>3.7000000000000002E-3</v>
      </c>
    </row>
    <row r="685" spans="1:13" x14ac:dyDescent="0.2">
      <c r="A685" s="6">
        <v>44928</v>
      </c>
      <c r="B685" s="2" t="s">
        <v>228</v>
      </c>
      <c r="C685" s="5">
        <v>44927</v>
      </c>
      <c r="D685" s="2" t="s">
        <v>187</v>
      </c>
      <c r="E685" s="3">
        <v>2383</v>
      </c>
      <c r="F685" s="8">
        <v>1.6479999999999999</v>
      </c>
      <c r="G685" s="4">
        <v>294.7475</v>
      </c>
      <c r="H685" s="4">
        <v>396.93970000000002</v>
      </c>
      <c r="I685" s="4">
        <v>14.8675</v>
      </c>
      <c r="J685" s="4">
        <v>15.452500000000001</v>
      </c>
      <c r="K685" s="4">
        <v>14.567500000000001</v>
      </c>
      <c r="L685" s="4">
        <v>14.685</v>
      </c>
      <c r="M685" s="7">
        <v>-1.23E-2</v>
      </c>
    </row>
    <row r="686" spans="1:13" x14ac:dyDescent="0.2">
      <c r="A686" s="6">
        <v>44929</v>
      </c>
      <c r="B686" s="2" t="s">
        <v>226</v>
      </c>
      <c r="C686" s="5">
        <v>44927</v>
      </c>
      <c r="D686" s="2" t="s">
        <v>187</v>
      </c>
      <c r="E686" s="3">
        <v>2382</v>
      </c>
      <c r="F686" s="8">
        <v>1.6052999999999999</v>
      </c>
      <c r="G686" s="4">
        <v>297.69690000000003</v>
      </c>
      <c r="H686" s="4">
        <v>422.57479999999998</v>
      </c>
      <c r="I686" s="4">
        <v>14.685</v>
      </c>
      <c r="J686" s="4">
        <v>14.99</v>
      </c>
      <c r="K686" s="4">
        <v>14.305</v>
      </c>
      <c r="L686" s="4">
        <v>14.385</v>
      </c>
      <c r="M686" s="7">
        <v>-2.0400000000000001E-2</v>
      </c>
    </row>
    <row r="687" spans="1:13" x14ac:dyDescent="0.2">
      <c r="A687" s="6">
        <v>44930</v>
      </c>
      <c r="B687" s="2" t="s">
        <v>224</v>
      </c>
      <c r="C687" s="5">
        <v>44927</v>
      </c>
      <c r="D687" s="2" t="s">
        <v>187</v>
      </c>
      <c r="E687" s="3">
        <v>2383</v>
      </c>
      <c r="F687" s="8">
        <v>1.7644</v>
      </c>
      <c r="G687" s="4">
        <v>299.85199999999998</v>
      </c>
      <c r="H687" s="4">
        <v>464.62700000000001</v>
      </c>
      <c r="I687" s="4">
        <v>14.385</v>
      </c>
      <c r="J687" s="4">
        <v>15.682499999999999</v>
      </c>
      <c r="K687" s="4">
        <v>14.33</v>
      </c>
      <c r="L687" s="4">
        <v>15.1975</v>
      </c>
      <c r="M687" s="7">
        <v>5.6500000000000002E-2</v>
      </c>
    </row>
    <row r="688" spans="1:13" x14ac:dyDescent="0.2">
      <c r="A688" s="6">
        <v>44931</v>
      </c>
      <c r="B688" s="2" t="s">
        <v>227</v>
      </c>
      <c r="C688" s="5">
        <v>44927</v>
      </c>
      <c r="D688" s="2" t="s">
        <v>187</v>
      </c>
      <c r="E688" s="3">
        <v>2350</v>
      </c>
      <c r="F688" s="8">
        <v>1.8385</v>
      </c>
      <c r="G688" s="4">
        <v>247.2603</v>
      </c>
      <c r="H688" s="4">
        <v>501.24130000000002</v>
      </c>
      <c r="I688" s="4">
        <v>15.1975</v>
      </c>
      <c r="J688" s="4">
        <v>15.6</v>
      </c>
      <c r="K688" s="4">
        <v>14.8125</v>
      </c>
      <c r="L688" s="4">
        <v>14.9825</v>
      </c>
      <c r="M688" s="7">
        <v>-1.41E-2</v>
      </c>
    </row>
    <row r="689" spans="1:13" x14ac:dyDescent="0.2">
      <c r="A689" s="6">
        <v>44932</v>
      </c>
      <c r="B689" s="2" t="s">
        <v>225</v>
      </c>
      <c r="C689" s="5">
        <v>44927</v>
      </c>
      <c r="D689" s="2" t="s">
        <v>187</v>
      </c>
      <c r="E689" s="3">
        <v>2381</v>
      </c>
      <c r="F689" s="8">
        <v>1.7242999999999999</v>
      </c>
      <c r="G689" s="4">
        <v>239.45820000000001</v>
      </c>
      <c r="H689" s="4">
        <v>447.00869999999998</v>
      </c>
      <c r="I689" s="4">
        <v>14.9825</v>
      </c>
      <c r="J689" s="4">
        <v>15.4375</v>
      </c>
      <c r="K689" s="4">
        <v>14.6225</v>
      </c>
      <c r="L689" s="4">
        <v>15.025</v>
      </c>
      <c r="M689" s="7">
        <v>2.8E-3</v>
      </c>
    </row>
    <row r="690" spans="1:13" x14ac:dyDescent="0.2">
      <c r="A690" s="6">
        <v>44935</v>
      </c>
      <c r="B690" s="2" t="s">
        <v>228</v>
      </c>
      <c r="C690" s="5">
        <v>44927</v>
      </c>
      <c r="D690" s="2" t="s">
        <v>187</v>
      </c>
      <c r="E690" s="3">
        <v>2388</v>
      </c>
      <c r="F690" s="8">
        <v>1.7709999999999999</v>
      </c>
      <c r="G690" s="4">
        <v>228.3296</v>
      </c>
      <c r="H690" s="4">
        <v>445.45870000000002</v>
      </c>
      <c r="I690" s="4">
        <v>15.025</v>
      </c>
      <c r="J690" s="4">
        <v>15.3775</v>
      </c>
      <c r="K690" s="4">
        <v>14.53</v>
      </c>
      <c r="L690" s="4">
        <v>14.6525</v>
      </c>
      <c r="M690" s="7">
        <v>-2.4799999999999999E-2</v>
      </c>
    </row>
    <row r="691" spans="1:13" x14ac:dyDescent="0.2">
      <c r="A691" s="6">
        <v>44936</v>
      </c>
      <c r="B691" s="2" t="s">
        <v>226</v>
      </c>
      <c r="C691" s="5">
        <v>44927</v>
      </c>
      <c r="D691" s="2" t="s">
        <v>187</v>
      </c>
      <c r="E691" s="3">
        <v>2354</v>
      </c>
      <c r="F691" s="8">
        <v>1.6961999999999999</v>
      </c>
      <c r="G691" s="4">
        <v>224.41200000000001</v>
      </c>
      <c r="H691" s="4">
        <v>442.06830000000002</v>
      </c>
      <c r="I691" s="4">
        <v>14.6525</v>
      </c>
      <c r="J691" s="4">
        <v>15.935</v>
      </c>
      <c r="K691" s="4">
        <v>14.5625</v>
      </c>
      <c r="L691" s="4">
        <v>15.51</v>
      </c>
      <c r="M691" s="7">
        <v>5.8500000000000003E-2</v>
      </c>
    </row>
    <row r="692" spans="1:13" x14ac:dyDescent="0.2">
      <c r="A692" s="6">
        <v>44937</v>
      </c>
      <c r="B692" s="2" t="s">
        <v>224</v>
      </c>
      <c r="C692" s="5">
        <v>44927</v>
      </c>
      <c r="D692" s="2" t="s">
        <v>187</v>
      </c>
      <c r="E692" s="3">
        <v>2343</v>
      </c>
      <c r="F692" s="8">
        <v>1.6748000000000001</v>
      </c>
      <c r="G692" s="4">
        <v>225.74170000000001</v>
      </c>
      <c r="H692" s="4">
        <v>443.34500000000003</v>
      </c>
      <c r="I692" s="4">
        <v>15.51</v>
      </c>
      <c r="J692" s="4">
        <v>16.225000000000001</v>
      </c>
      <c r="K692" s="4">
        <v>15.115</v>
      </c>
      <c r="L692" s="4">
        <v>15.435</v>
      </c>
      <c r="M692" s="7">
        <v>-4.7999999999999996E-3</v>
      </c>
    </row>
    <row r="693" spans="1:13" x14ac:dyDescent="0.2">
      <c r="A693" s="6">
        <v>44938</v>
      </c>
      <c r="B693" s="2" t="s">
        <v>227</v>
      </c>
      <c r="C693" s="5">
        <v>44927</v>
      </c>
      <c r="D693" s="2" t="s">
        <v>187</v>
      </c>
      <c r="E693" s="3">
        <v>2349</v>
      </c>
      <c r="F693" s="8">
        <v>1.6950000000000001</v>
      </c>
      <c r="G693" s="4">
        <v>210.72489999999999</v>
      </c>
      <c r="H693" s="4">
        <v>448.72559999999999</v>
      </c>
      <c r="I693" s="4">
        <v>15.435</v>
      </c>
      <c r="J693" s="4">
        <v>16.0425</v>
      </c>
      <c r="K693" s="4">
        <v>14.4175</v>
      </c>
      <c r="L693" s="4">
        <v>15.275</v>
      </c>
      <c r="M693" s="7">
        <v>-1.04E-2</v>
      </c>
    </row>
    <row r="694" spans="1:13" x14ac:dyDescent="0.2">
      <c r="A694" s="6">
        <v>44939</v>
      </c>
      <c r="B694" s="2" t="s">
        <v>225</v>
      </c>
      <c r="C694" s="5">
        <v>44927</v>
      </c>
      <c r="D694" s="2" t="s">
        <v>187</v>
      </c>
      <c r="E694" s="3">
        <v>2335</v>
      </c>
      <c r="F694" s="8">
        <v>1.6468</v>
      </c>
      <c r="G694" s="4">
        <v>230.4778</v>
      </c>
      <c r="H694" s="4">
        <v>464.58920000000001</v>
      </c>
      <c r="I694" s="4">
        <v>15.275</v>
      </c>
      <c r="J694" s="4">
        <v>15.602499999999999</v>
      </c>
      <c r="K694" s="4">
        <v>14.395</v>
      </c>
      <c r="L694" s="4">
        <v>14.46</v>
      </c>
      <c r="M694" s="7">
        <v>-5.3400000000000003E-2</v>
      </c>
    </row>
    <row r="695" spans="1:13" x14ac:dyDescent="0.2">
      <c r="A695" s="6">
        <v>44942</v>
      </c>
      <c r="B695" s="2" t="s">
        <v>228</v>
      </c>
      <c r="C695" s="5">
        <v>44927</v>
      </c>
      <c r="D695" s="2" t="s">
        <v>187</v>
      </c>
      <c r="E695" s="3">
        <v>2390</v>
      </c>
      <c r="F695" s="8">
        <v>1.5772999999999999</v>
      </c>
      <c r="G695" s="4">
        <v>253.64850000000001</v>
      </c>
      <c r="H695" s="4">
        <v>431.2167</v>
      </c>
      <c r="I695" s="4">
        <v>14.46</v>
      </c>
      <c r="J695" s="4">
        <v>15.362500000000001</v>
      </c>
      <c r="K695" s="4">
        <v>14.46</v>
      </c>
      <c r="L695" s="4">
        <v>15.022500000000001</v>
      </c>
      <c r="M695" s="7">
        <v>3.8899999999999997E-2</v>
      </c>
    </row>
    <row r="696" spans="1:13" x14ac:dyDescent="0.2">
      <c r="A696" s="6">
        <v>44943</v>
      </c>
      <c r="B696" s="2" t="s">
        <v>226</v>
      </c>
      <c r="C696" s="5">
        <v>44927</v>
      </c>
      <c r="D696" s="2" t="s">
        <v>187</v>
      </c>
      <c r="E696" s="3">
        <v>2323</v>
      </c>
      <c r="F696" s="8">
        <v>1.6233</v>
      </c>
      <c r="G696" s="4">
        <v>230.91370000000001</v>
      </c>
      <c r="H696" s="4">
        <v>439.0052</v>
      </c>
      <c r="I696" s="4">
        <v>15.022500000000001</v>
      </c>
      <c r="J696" s="4">
        <v>15.31</v>
      </c>
      <c r="K696" s="4">
        <v>13.84</v>
      </c>
      <c r="L696" s="4">
        <v>14.59</v>
      </c>
      <c r="M696" s="7">
        <v>-2.8799999999999999E-2</v>
      </c>
    </row>
    <row r="697" spans="1:13" x14ac:dyDescent="0.2">
      <c r="A697" s="6">
        <v>44944</v>
      </c>
      <c r="B697" s="2" t="s">
        <v>224</v>
      </c>
      <c r="C697" s="5">
        <v>44927</v>
      </c>
      <c r="D697" s="2" t="s">
        <v>187</v>
      </c>
      <c r="E697" s="3">
        <v>2341</v>
      </c>
      <c r="F697" s="8">
        <v>1.6722999999999999</v>
      </c>
      <c r="G697" s="4">
        <v>215.58690000000001</v>
      </c>
      <c r="H697" s="4">
        <v>458.91730000000001</v>
      </c>
      <c r="I697" s="4">
        <v>14.59</v>
      </c>
      <c r="J697" s="4">
        <v>14.75</v>
      </c>
      <c r="K697" s="4">
        <v>12.4725</v>
      </c>
      <c r="L697" s="4">
        <v>14.3725</v>
      </c>
      <c r="M697" s="7">
        <v>-1.49E-2</v>
      </c>
    </row>
    <row r="698" spans="1:13" x14ac:dyDescent="0.2">
      <c r="A698" s="6">
        <v>44945</v>
      </c>
      <c r="B698" s="2" t="s">
        <v>227</v>
      </c>
      <c r="C698" s="5">
        <v>44927</v>
      </c>
      <c r="D698" s="2" t="s">
        <v>187</v>
      </c>
      <c r="E698" s="3">
        <v>2341</v>
      </c>
      <c r="F698" s="8">
        <v>1.5752999999999999</v>
      </c>
      <c r="G698" s="4">
        <v>202.59899999999999</v>
      </c>
      <c r="H698" s="4">
        <v>415.68770000000001</v>
      </c>
      <c r="I698" s="4">
        <v>14.3725</v>
      </c>
      <c r="J698" s="4">
        <v>14.8325</v>
      </c>
      <c r="K698" s="4">
        <v>13.8925</v>
      </c>
      <c r="L698" s="4">
        <v>13.96</v>
      </c>
      <c r="M698" s="7">
        <v>-2.87E-2</v>
      </c>
    </row>
    <row r="699" spans="1:13" x14ac:dyDescent="0.2">
      <c r="A699" s="6">
        <v>44946</v>
      </c>
      <c r="B699" s="2" t="s">
        <v>225</v>
      </c>
      <c r="C699" s="5">
        <v>44927</v>
      </c>
      <c r="D699" s="2" t="s">
        <v>187</v>
      </c>
      <c r="E699" s="3">
        <v>2356</v>
      </c>
      <c r="F699" s="8">
        <v>1.6605000000000001</v>
      </c>
      <c r="G699" s="4">
        <v>207.88</v>
      </c>
      <c r="H699" s="4">
        <v>459.95569999999998</v>
      </c>
      <c r="I699" s="4">
        <v>13.96</v>
      </c>
      <c r="J699" s="4">
        <v>14.185</v>
      </c>
      <c r="K699" s="4">
        <v>11.6425</v>
      </c>
      <c r="L699" s="4">
        <v>13.7875</v>
      </c>
      <c r="M699" s="7">
        <v>-1.24E-2</v>
      </c>
    </row>
    <row r="700" spans="1:13" x14ac:dyDescent="0.2">
      <c r="A700" s="6">
        <v>44949</v>
      </c>
      <c r="B700" s="2" t="s">
        <v>228</v>
      </c>
      <c r="C700" s="5">
        <v>44927</v>
      </c>
      <c r="D700" s="2" t="s">
        <v>187</v>
      </c>
      <c r="E700" s="3">
        <v>2393</v>
      </c>
      <c r="F700" s="8">
        <v>1.5976999999999999</v>
      </c>
      <c r="G700" s="4">
        <v>240.30930000000001</v>
      </c>
      <c r="H700" s="4">
        <v>422.6687</v>
      </c>
      <c r="I700" s="4">
        <v>13.7875</v>
      </c>
      <c r="J700" s="4">
        <v>14.26</v>
      </c>
      <c r="K700" s="4">
        <v>13.48</v>
      </c>
      <c r="L700" s="4">
        <v>13.6175</v>
      </c>
      <c r="M700" s="7">
        <v>-1.23E-2</v>
      </c>
    </row>
    <row r="701" spans="1:13" x14ac:dyDescent="0.2">
      <c r="A701" s="6">
        <v>44950</v>
      </c>
      <c r="B701" s="2" t="s">
        <v>226</v>
      </c>
      <c r="C701" s="5">
        <v>44927</v>
      </c>
      <c r="D701" s="2" t="s">
        <v>187</v>
      </c>
      <c r="E701" s="3">
        <v>2345</v>
      </c>
      <c r="F701" s="8">
        <v>1.5992</v>
      </c>
      <c r="G701" s="4">
        <v>200.0729</v>
      </c>
      <c r="H701" s="4">
        <v>445.90460000000002</v>
      </c>
      <c r="I701" s="4">
        <v>13.6175</v>
      </c>
      <c r="J701" s="4">
        <v>13.81</v>
      </c>
      <c r="K701" s="4">
        <v>13.3</v>
      </c>
      <c r="L701" s="4">
        <v>13.657500000000001</v>
      </c>
      <c r="M701" s="7">
        <v>2.8999999999999998E-3</v>
      </c>
    </row>
    <row r="702" spans="1:13" x14ac:dyDescent="0.2">
      <c r="A702" s="6">
        <v>44951</v>
      </c>
      <c r="B702" s="2" t="s">
        <v>224</v>
      </c>
      <c r="C702" s="5">
        <v>44927</v>
      </c>
      <c r="D702" s="2" t="s">
        <v>187</v>
      </c>
      <c r="E702" s="3">
        <v>2343</v>
      </c>
      <c r="F702" s="8">
        <v>1.893</v>
      </c>
      <c r="G702" s="4">
        <v>245.7122</v>
      </c>
      <c r="H702" s="4">
        <v>497.56169999999997</v>
      </c>
      <c r="I702" s="4">
        <v>13.657500000000001</v>
      </c>
      <c r="J702" s="4">
        <v>15.422499999999999</v>
      </c>
      <c r="K702" s="4">
        <v>13.5175</v>
      </c>
      <c r="L702" s="4">
        <v>14.654999999999999</v>
      </c>
      <c r="M702" s="7">
        <v>7.2999999999999995E-2</v>
      </c>
    </row>
    <row r="703" spans="1:13" x14ac:dyDescent="0.2">
      <c r="A703" s="6">
        <v>44953</v>
      </c>
      <c r="B703" s="2" t="s">
        <v>225</v>
      </c>
      <c r="C703" s="5">
        <v>44927</v>
      </c>
      <c r="D703" s="2" t="s">
        <v>187</v>
      </c>
      <c r="E703" s="3">
        <v>2360</v>
      </c>
      <c r="F703" s="8">
        <v>2.6617999999999999</v>
      </c>
      <c r="G703" s="4">
        <v>314.25920000000002</v>
      </c>
      <c r="H703" s="4">
        <v>766.78560000000004</v>
      </c>
      <c r="I703" s="4">
        <v>14.654999999999999</v>
      </c>
      <c r="J703" s="4">
        <v>18.012499999999999</v>
      </c>
      <c r="K703" s="4">
        <v>14.5825</v>
      </c>
      <c r="L703" s="4">
        <v>17.32</v>
      </c>
      <c r="M703" s="7">
        <v>0.18179999999999999</v>
      </c>
    </row>
    <row r="704" spans="1:13" x14ac:dyDescent="0.2">
      <c r="A704" s="6">
        <v>44956</v>
      </c>
      <c r="B704" s="2" t="s">
        <v>228</v>
      </c>
      <c r="C704" s="5">
        <v>44927</v>
      </c>
      <c r="D704" s="2" t="s">
        <v>187</v>
      </c>
      <c r="E704" s="3">
        <v>2389</v>
      </c>
      <c r="F704" s="8">
        <v>2.5305</v>
      </c>
      <c r="G704" s="4">
        <v>280.67869999999999</v>
      </c>
      <c r="H704" s="4">
        <v>704.73540000000003</v>
      </c>
      <c r="I704" s="4">
        <v>17.32</v>
      </c>
      <c r="J704" s="4">
        <v>19.39</v>
      </c>
      <c r="K704" s="4">
        <v>17.29</v>
      </c>
      <c r="L704" s="4">
        <v>17.71</v>
      </c>
      <c r="M704" s="7">
        <v>2.2499999999999999E-2</v>
      </c>
    </row>
    <row r="705" spans="1:13" x14ac:dyDescent="0.2">
      <c r="A705" s="6">
        <v>44957</v>
      </c>
      <c r="B705" s="2" t="s">
        <v>226</v>
      </c>
      <c r="C705" s="5">
        <v>44927</v>
      </c>
      <c r="D705" s="2" t="s">
        <v>187</v>
      </c>
      <c r="E705" s="3">
        <v>2349</v>
      </c>
      <c r="F705" s="8">
        <v>2.4100999999999999</v>
      </c>
      <c r="G705" s="4">
        <v>278.1112</v>
      </c>
      <c r="H705" s="4">
        <v>687.24429999999995</v>
      </c>
      <c r="I705" s="4">
        <v>17.71</v>
      </c>
      <c r="J705" s="4">
        <v>18.3675</v>
      </c>
      <c r="K705" s="4">
        <v>16.565000000000001</v>
      </c>
      <c r="L705" s="4">
        <v>16.875</v>
      </c>
      <c r="M705" s="7">
        <v>-4.7100000000000003E-2</v>
      </c>
    </row>
    <row r="706" spans="1:13" x14ac:dyDescent="0.2">
      <c r="A706" s="6">
        <v>44958</v>
      </c>
      <c r="B706" s="2" t="s">
        <v>224</v>
      </c>
      <c r="C706" s="5">
        <v>44958</v>
      </c>
      <c r="D706" s="2" t="s">
        <v>187</v>
      </c>
      <c r="E706" s="3">
        <v>2335</v>
      </c>
      <c r="F706" s="8">
        <v>2.7690000000000001</v>
      </c>
      <c r="G706" s="4">
        <v>343.96120000000002</v>
      </c>
      <c r="H706" s="4">
        <v>816.08140000000003</v>
      </c>
      <c r="I706" s="4">
        <v>16.875</v>
      </c>
      <c r="J706" s="4">
        <v>18.54</v>
      </c>
      <c r="K706" s="4">
        <v>14.8475</v>
      </c>
      <c r="L706" s="4">
        <v>16.78</v>
      </c>
      <c r="M706" s="7">
        <v>-5.5999999999999999E-3</v>
      </c>
    </row>
    <row r="707" spans="1:13" x14ac:dyDescent="0.2">
      <c r="A707" s="6">
        <v>44959</v>
      </c>
      <c r="B707" s="2" t="s">
        <v>227</v>
      </c>
      <c r="C707" s="5">
        <v>44958</v>
      </c>
      <c r="D707" s="2" t="s">
        <v>187</v>
      </c>
      <c r="E707" s="3">
        <v>2348</v>
      </c>
      <c r="F707" s="8">
        <v>2.5990000000000002</v>
      </c>
      <c r="G707" s="4">
        <v>257.57170000000002</v>
      </c>
      <c r="H707" s="4">
        <v>684.14290000000005</v>
      </c>
      <c r="I707" s="4">
        <v>16.78</v>
      </c>
      <c r="J707" s="4">
        <v>17.767499999999998</v>
      </c>
      <c r="K707" s="4">
        <v>15.5075</v>
      </c>
      <c r="L707" s="4">
        <v>15.7325</v>
      </c>
      <c r="M707" s="7">
        <v>-6.2399999999999997E-2</v>
      </c>
    </row>
    <row r="708" spans="1:13" x14ac:dyDescent="0.2">
      <c r="A708" s="6">
        <v>44960</v>
      </c>
      <c r="B708" s="2" t="s">
        <v>225</v>
      </c>
      <c r="C708" s="5">
        <v>44958</v>
      </c>
      <c r="D708" s="2" t="s">
        <v>187</v>
      </c>
      <c r="E708" s="3">
        <v>2361</v>
      </c>
      <c r="F708" s="8">
        <v>2.4487999999999999</v>
      </c>
      <c r="G708" s="4">
        <v>273.52019999999999</v>
      </c>
      <c r="H708" s="4">
        <v>630.56380000000001</v>
      </c>
      <c r="I708" s="4">
        <v>15.7325</v>
      </c>
      <c r="J708" s="4">
        <v>15.7575</v>
      </c>
      <c r="K708" s="4">
        <v>14.27</v>
      </c>
      <c r="L708" s="4">
        <v>14.397500000000001</v>
      </c>
      <c r="M708" s="7">
        <v>-8.4900000000000003E-2</v>
      </c>
    </row>
    <row r="709" spans="1:13" x14ac:dyDescent="0.2">
      <c r="A709" s="6">
        <v>44963</v>
      </c>
      <c r="B709" s="2" t="s">
        <v>228</v>
      </c>
      <c r="C709" s="5">
        <v>44958</v>
      </c>
      <c r="D709" s="2" t="s">
        <v>187</v>
      </c>
      <c r="E709" s="3">
        <v>2377</v>
      </c>
      <c r="F709" s="8">
        <v>2.0196999999999998</v>
      </c>
      <c r="G709" s="4">
        <v>271.40710000000001</v>
      </c>
      <c r="H709" s="4">
        <v>480.12419999999997</v>
      </c>
      <c r="I709" s="4">
        <v>14.397500000000001</v>
      </c>
      <c r="J709" s="4">
        <v>15.205</v>
      </c>
      <c r="K709" s="4">
        <v>14.185</v>
      </c>
      <c r="L709" s="4">
        <v>14.6875</v>
      </c>
      <c r="M709" s="7">
        <v>2.01E-2</v>
      </c>
    </row>
    <row r="710" spans="1:13" x14ac:dyDescent="0.2">
      <c r="A710" s="6">
        <v>44964</v>
      </c>
      <c r="B710" s="2" t="s">
        <v>226</v>
      </c>
      <c r="C710" s="5">
        <v>44958</v>
      </c>
      <c r="D710" s="2" t="s">
        <v>187</v>
      </c>
      <c r="E710" s="3">
        <v>2350</v>
      </c>
      <c r="F710" s="8">
        <v>2.1429</v>
      </c>
      <c r="G710" s="4">
        <v>230.70079999999999</v>
      </c>
      <c r="H710" s="4">
        <v>545.1028</v>
      </c>
      <c r="I710" s="4">
        <v>14.6875</v>
      </c>
      <c r="J710" s="4">
        <v>14.875</v>
      </c>
      <c r="K710" s="4">
        <v>13.664999999999999</v>
      </c>
      <c r="L710" s="4">
        <v>14.125</v>
      </c>
      <c r="M710" s="7">
        <v>-3.8300000000000001E-2</v>
      </c>
    </row>
    <row r="711" spans="1:13" x14ac:dyDescent="0.2">
      <c r="A711" s="6">
        <v>44965</v>
      </c>
      <c r="B711" s="2" t="s">
        <v>224</v>
      </c>
      <c r="C711" s="5">
        <v>44958</v>
      </c>
      <c r="D711" s="2" t="s">
        <v>187</v>
      </c>
      <c r="E711" s="3">
        <v>2335</v>
      </c>
      <c r="F711" s="8">
        <v>1.9679</v>
      </c>
      <c r="G711" s="4">
        <v>227.15989999999999</v>
      </c>
      <c r="H711" s="4">
        <v>527.38329999999996</v>
      </c>
      <c r="I711" s="4">
        <v>14.125</v>
      </c>
      <c r="J711" s="4">
        <v>14.2475</v>
      </c>
      <c r="K711" s="4">
        <v>13.535</v>
      </c>
      <c r="L711" s="4">
        <v>13.595000000000001</v>
      </c>
      <c r="M711" s="7">
        <v>-3.7499999999999999E-2</v>
      </c>
    </row>
    <row r="712" spans="1:13" x14ac:dyDescent="0.2">
      <c r="A712" s="6">
        <v>44966</v>
      </c>
      <c r="B712" s="2" t="s">
        <v>227</v>
      </c>
      <c r="C712" s="5">
        <v>44958</v>
      </c>
      <c r="D712" s="2" t="s">
        <v>187</v>
      </c>
      <c r="E712" s="3">
        <v>2346</v>
      </c>
      <c r="F712" s="8">
        <v>1.8492999999999999</v>
      </c>
      <c r="G712" s="4">
        <v>202.69040000000001</v>
      </c>
      <c r="H712" s="4">
        <v>501.4914</v>
      </c>
      <c r="I712" s="4">
        <v>13.595000000000001</v>
      </c>
      <c r="J712" s="4">
        <v>13.815</v>
      </c>
      <c r="K712" s="4">
        <v>12.0625</v>
      </c>
      <c r="L712" s="4">
        <v>13.04</v>
      </c>
      <c r="M712" s="7">
        <v>-4.0800000000000003E-2</v>
      </c>
    </row>
    <row r="713" spans="1:13" x14ac:dyDescent="0.2">
      <c r="A713" s="6">
        <v>44967</v>
      </c>
      <c r="B713" s="2" t="s">
        <v>225</v>
      </c>
      <c r="C713" s="5">
        <v>44958</v>
      </c>
      <c r="D713" s="2" t="s">
        <v>187</v>
      </c>
      <c r="E713" s="3">
        <v>2329</v>
      </c>
      <c r="F713" s="8">
        <v>1.8309</v>
      </c>
      <c r="G713" s="4">
        <v>207.46520000000001</v>
      </c>
      <c r="H713" s="4">
        <v>462.51519999999999</v>
      </c>
      <c r="I713" s="4">
        <v>13.04</v>
      </c>
      <c r="J713" s="4">
        <v>13.2775</v>
      </c>
      <c r="K713" s="4">
        <v>12.2075</v>
      </c>
      <c r="L713" s="4">
        <v>12.744999999999999</v>
      </c>
      <c r="M713" s="7">
        <v>-2.2599999999999999E-2</v>
      </c>
    </row>
    <row r="714" spans="1:13" x14ac:dyDescent="0.2">
      <c r="A714" s="6">
        <v>44970</v>
      </c>
      <c r="B714" s="2" t="s">
        <v>228</v>
      </c>
      <c r="C714" s="5">
        <v>44958</v>
      </c>
      <c r="D714" s="2" t="s">
        <v>187</v>
      </c>
      <c r="E714" s="3">
        <v>2369</v>
      </c>
      <c r="F714" s="8">
        <v>1.8089</v>
      </c>
      <c r="G714" s="4">
        <v>188.4145</v>
      </c>
      <c r="H714" s="4">
        <v>458.40089999999998</v>
      </c>
      <c r="I714" s="4">
        <v>12.744999999999999</v>
      </c>
      <c r="J714" s="4">
        <v>14.095000000000001</v>
      </c>
      <c r="K714" s="4">
        <v>11.83</v>
      </c>
      <c r="L714" s="4">
        <v>13.68</v>
      </c>
      <c r="M714" s="7">
        <v>7.3400000000000007E-2</v>
      </c>
    </row>
    <row r="715" spans="1:13" x14ac:dyDescent="0.2">
      <c r="A715" s="6">
        <v>44971</v>
      </c>
      <c r="B715" s="2" t="s">
        <v>226</v>
      </c>
      <c r="C715" s="5">
        <v>44958</v>
      </c>
      <c r="D715" s="2" t="s">
        <v>187</v>
      </c>
      <c r="E715" s="3">
        <v>2336</v>
      </c>
      <c r="F715" s="8">
        <v>1.7952999999999999</v>
      </c>
      <c r="G715" s="4">
        <v>193.87280000000001</v>
      </c>
      <c r="H715" s="4">
        <v>446.24979999999999</v>
      </c>
      <c r="I715" s="4">
        <v>13.68</v>
      </c>
      <c r="J715" s="4">
        <v>13.68</v>
      </c>
      <c r="K715" s="4">
        <v>12.452500000000001</v>
      </c>
      <c r="L715" s="4">
        <v>13.452500000000001</v>
      </c>
      <c r="M715" s="7">
        <v>-1.66E-2</v>
      </c>
    </row>
    <row r="716" spans="1:13" x14ac:dyDescent="0.2">
      <c r="A716" s="6">
        <v>44972</v>
      </c>
      <c r="B716" s="2" t="s">
        <v>224</v>
      </c>
      <c r="C716" s="5">
        <v>44958</v>
      </c>
      <c r="D716" s="2" t="s">
        <v>187</v>
      </c>
      <c r="E716" s="3">
        <v>2336</v>
      </c>
      <c r="F716" s="8">
        <v>1.6724000000000001</v>
      </c>
      <c r="G716" s="4">
        <v>177.25149999999999</v>
      </c>
      <c r="H716" s="4">
        <v>450.65550000000002</v>
      </c>
      <c r="I716" s="4">
        <v>13.452500000000001</v>
      </c>
      <c r="J716" s="4">
        <v>13.452500000000001</v>
      </c>
      <c r="K716" s="4">
        <v>11.28</v>
      </c>
      <c r="L716" s="4">
        <v>12.86</v>
      </c>
      <c r="M716" s="7">
        <v>-4.3999999999999997E-2</v>
      </c>
    </row>
    <row r="717" spans="1:13" x14ac:dyDescent="0.2">
      <c r="A717" s="6">
        <v>44973</v>
      </c>
      <c r="B717" s="2" t="s">
        <v>227</v>
      </c>
      <c r="C717" s="5">
        <v>44958</v>
      </c>
      <c r="D717" s="2" t="s">
        <v>187</v>
      </c>
      <c r="E717" s="3">
        <v>2347</v>
      </c>
      <c r="F717" s="8">
        <v>1.8640000000000001</v>
      </c>
      <c r="G717" s="4">
        <v>177.0445</v>
      </c>
      <c r="H717" s="4">
        <v>486.68579999999997</v>
      </c>
      <c r="I717" s="4">
        <v>12.86</v>
      </c>
      <c r="J717" s="4">
        <v>13.1625</v>
      </c>
      <c r="K717" s="4">
        <v>10.172499999999999</v>
      </c>
      <c r="L717" s="4">
        <v>12.89</v>
      </c>
      <c r="M717" s="7">
        <v>2.3E-3</v>
      </c>
    </row>
    <row r="718" spans="1:13" x14ac:dyDescent="0.2">
      <c r="A718" s="6">
        <v>44974</v>
      </c>
      <c r="B718" s="2" t="s">
        <v>225</v>
      </c>
      <c r="C718" s="5">
        <v>44958</v>
      </c>
      <c r="D718" s="2" t="s">
        <v>187</v>
      </c>
      <c r="E718" s="3">
        <v>2344</v>
      </c>
      <c r="F718" s="8">
        <v>1.601</v>
      </c>
      <c r="G718" s="4">
        <v>165.4693</v>
      </c>
      <c r="H718" s="4">
        <v>415.3229</v>
      </c>
      <c r="I718" s="4">
        <v>12.89</v>
      </c>
      <c r="J718" s="4">
        <v>13.52</v>
      </c>
      <c r="K718" s="4">
        <v>10.8025</v>
      </c>
      <c r="L718" s="4">
        <v>13.085000000000001</v>
      </c>
      <c r="M718" s="7">
        <v>1.5100000000000001E-2</v>
      </c>
    </row>
    <row r="719" spans="1:13" x14ac:dyDescent="0.2">
      <c r="A719" s="6">
        <v>44977</v>
      </c>
      <c r="B719" s="2" t="s">
        <v>228</v>
      </c>
      <c r="C719" s="5">
        <v>44958</v>
      </c>
      <c r="D719" s="2" t="s">
        <v>187</v>
      </c>
      <c r="E719" s="3">
        <v>2374</v>
      </c>
      <c r="F719" s="8">
        <v>1.6123000000000001</v>
      </c>
      <c r="G719" s="4">
        <v>198.6523</v>
      </c>
      <c r="H719" s="4">
        <v>394.66910000000001</v>
      </c>
      <c r="I719" s="4">
        <v>13.085000000000001</v>
      </c>
      <c r="J719" s="4">
        <v>13.7075</v>
      </c>
      <c r="K719" s="4">
        <v>10.922499999999999</v>
      </c>
      <c r="L719" s="4">
        <v>13.3825</v>
      </c>
      <c r="M719" s="7">
        <v>2.2700000000000001E-2</v>
      </c>
    </row>
    <row r="720" spans="1:13" x14ac:dyDescent="0.2">
      <c r="A720" s="6">
        <v>44978</v>
      </c>
      <c r="B720" s="2" t="s">
        <v>226</v>
      </c>
      <c r="C720" s="5">
        <v>44958</v>
      </c>
      <c r="D720" s="2" t="s">
        <v>187</v>
      </c>
      <c r="E720" s="3">
        <v>2347</v>
      </c>
      <c r="F720" s="8">
        <v>1.6473</v>
      </c>
      <c r="G720" s="4">
        <v>186.23500000000001</v>
      </c>
      <c r="H720" s="4">
        <v>397.53989999999999</v>
      </c>
      <c r="I720" s="4">
        <v>13.3825</v>
      </c>
      <c r="J720" s="4">
        <v>14.295</v>
      </c>
      <c r="K720" s="4">
        <v>13.3825</v>
      </c>
      <c r="L720" s="4">
        <v>14.0075</v>
      </c>
      <c r="M720" s="7">
        <v>4.6699999999999998E-2</v>
      </c>
    </row>
    <row r="721" spans="1:13" x14ac:dyDescent="0.2">
      <c r="A721" s="6">
        <v>44979</v>
      </c>
      <c r="B721" s="2" t="s">
        <v>224</v>
      </c>
      <c r="C721" s="5">
        <v>44958</v>
      </c>
      <c r="D721" s="2" t="s">
        <v>187</v>
      </c>
      <c r="E721" s="3">
        <v>2358</v>
      </c>
      <c r="F721" s="8">
        <v>1.758</v>
      </c>
      <c r="G721" s="4">
        <v>202.28290000000001</v>
      </c>
      <c r="H721" s="4">
        <v>417.8843</v>
      </c>
      <c r="I721" s="4">
        <v>14.0075</v>
      </c>
      <c r="J721" s="4">
        <v>15.914999999999999</v>
      </c>
      <c r="K721" s="4">
        <v>12.3775</v>
      </c>
      <c r="L721" s="4">
        <v>15.5875</v>
      </c>
      <c r="M721" s="7">
        <v>0.1128</v>
      </c>
    </row>
    <row r="722" spans="1:13" x14ac:dyDescent="0.2">
      <c r="A722" s="6">
        <v>44980</v>
      </c>
      <c r="B722" s="2" t="s">
        <v>227</v>
      </c>
      <c r="C722" s="5">
        <v>44958</v>
      </c>
      <c r="D722" s="2" t="s">
        <v>187</v>
      </c>
      <c r="E722" s="3">
        <v>2326</v>
      </c>
      <c r="F722" s="8">
        <v>1.7710999999999999</v>
      </c>
      <c r="G722" s="4">
        <v>221.5839</v>
      </c>
      <c r="H722" s="4">
        <v>450.47039999999998</v>
      </c>
      <c r="I722" s="4">
        <v>15.5875</v>
      </c>
      <c r="J722" s="4">
        <v>16.010000000000002</v>
      </c>
      <c r="K722" s="4">
        <v>14.5175</v>
      </c>
      <c r="L722" s="4">
        <v>15.074999999999999</v>
      </c>
      <c r="M722" s="7">
        <v>-3.2899999999999999E-2</v>
      </c>
    </row>
    <row r="723" spans="1:13" x14ac:dyDescent="0.2">
      <c r="A723" s="6">
        <v>44981</v>
      </c>
      <c r="B723" s="2" t="s">
        <v>225</v>
      </c>
      <c r="C723" s="5">
        <v>44958</v>
      </c>
      <c r="D723" s="2" t="s">
        <v>187</v>
      </c>
      <c r="E723" s="3">
        <v>2351</v>
      </c>
      <c r="F723" s="8">
        <v>1.6740999999999999</v>
      </c>
      <c r="G723" s="4">
        <v>195.62110000000001</v>
      </c>
      <c r="H723" s="4">
        <v>396.91230000000002</v>
      </c>
      <c r="I723" s="4">
        <v>15.074999999999999</v>
      </c>
      <c r="J723" s="4">
        <v>15.1425</v>
      </c>
      <c r="K723" s="4">
        <v>14.0075</v>
      </c>
      <c r="L723" s="4">
        <v>14.185</v>
      </c>
      <c r="M723" s="7">
        <v>-5.8999999999999997E-2</v>
      </c>
    </row>
    <row r="724" spans="1:13" x14ac:dyDescent="0.2">
      <c r="A724" s="6">
        <v>44984</v>
      </c>
      <c r="B724" s="2" t="s">
        <v>228</v>
      </c>
      <c r="C724" s="5">
        <v>44958</v>
      </c>
      <c r="D724" s="2" t="s">
        <v>187</v>
      </c>
      <c r="E724" s="3">
        <v>2408</v>
      </c>
      <c r="F724" s="8">
        <v>1.7565</v>
      </c>
      <c r="G724" s="4">
        <v>183.2397</v>
      </c>
      <c r="H724" s="4">
        <v>403.26819999999998</v>
      </c>
      <c r="I724" s="4">
        <v>14.185</v>
      </c>
      <c r="J724" s="4">
        <v>15.0975</v>
      </c>
      <c r="K724" s="4">
        <v>13.75</v>
      </c>
      <c r="L724" s="4">
        <v>13.875</v>
      </c>
      <c r="M724" s="7">
        <v>-2.1899999999999999E-2</v>
      </c>
    </row>
    <row r="725" spans="1:13" x14ac:dyDescent="0.2">
      <c r="A725" s="6">
        <v>44985</v>
      </c>
      <c r="B725" s="2" t="s">
        <v>226</v>
      </c>
      <c r="C725" s="5">
        <v>44958</v>
      </c>
      <c r="D725" s="2" t="s">
        <v>187</v>
      </c>
      <c r="E725" s="3">
        <v>2363</v>
      </c>
      <c r="F725" s="8">
        <v>1.9537</v>
      </c>
      <c r="G725" s="4">
        <v>252.3364</v>
      </c>
      <c r="H725" s="4">
        <v>684.50480000000005</v>
      </c>
      <c r="I725" s="4">
        <v>13.875</v>
      </c>
      <c r="J725" s="4">
        <v>14.567500000000001</v>
      </c>
      <c r="K725" s="4">
        <v>13.5</v>
      </c>
      <c r="L725" s="4">
        <v>14.02</v>
      </c>
      <c r="M725" s="7">
        <v>1.0500000000000001E-2</v>
      </c>
    </row>
    <row r="726" spans="1:13" x14ac:dyDescent="0.2">
      <c r="A726" s="6">
        <v>44986</v>
      </c>
      <c r="B726" s="2" t="s">
        <v>224</v>
      </c>
      <c r="C726" s="5">
        <v>44986</v>
      </c>
      <c r="D726" s="2" t="s">
        <v>187</v>
      </c>
      <c r="E726" s="3">
        <v>2359</v>
      </c>
      <c r="F726" s="8">
        <v>1.8102</v>
      </c>
      <c r="G726" s="4">
        <v>217.7302</v>
      </c>
      <c r="H726" s="4">
        <v>437.19510000000002</v>
      </c>
      <c r="I726" s="4">
        <v>14.02</v>
      </c>
      <c r="J726" s="4">
        <v>14.02</v>
      </c>
      <c r="K726" s="4">
        <v>12.275</v>
      </c>
      <c r="L726" s="4">
        <v>12.994999999999999</v>
      </c>
      <c r="M726" s="7">
        <v>-7.3099999999999998E-2</v>
      </c>
    </row>
    <row r="727" spans="1:13" x14ac:dyDescent="0.2">
      <c r="A727" s="6">
        <v>44987</v>
      </c>
      <c r="B727" s="2" t="s">
        <v>227</v>
      </c>
      <c r="C727" s="5">
        <v>44986</v>
      </c>
      <c r="D727" s="2" t="s">
        <v>187</v>
      </c>
      <c r="E727" s="3">
        <v>2364</v>
      </c>
      <c r="F727" s="8">
        <v>1.6616</v>
      </c>
      <c r="G727" s="4">
        <v>220.73410000000001</v>
      </c>
      <c r="H727" s="4">
        <v>538.97490000000005</v>
      </c>
      <c r="I727" s="4">
        <v>12.994999999999999</v>
      </c>
      <c r="J727" s="4">
        <v>13.55</v>
      </c>
      <c r="K727" s="4">
        <v>11.1</v>
      </c>
      <c r="L727" s="4">
        <v>12.97</v>
      </c>
      <c r="M727" s="7">
        <v>-1.9E-3</v>
      </c>
    </row>
    <row r="728" spans="1:13" x14ac:dyDescent="0.2">
      <c r="A728" s="6">
        <v>44988</v>
      </c>
      <c r="B728" s="2" t="s">
        <v>225</v>
      </c>
      <c r="C728" s="5">
        <v>44986</v>
      </c>
      <c r="D728" s="2" t="s">
        <v>187</v>
      </c>
      <c r="E728" s="3">
        <v>2379</v>
      </c>
      <c r="F728" s="8">
        <v>1.7805</v>
      </c>
      <c r="G728" s="4">
        <v>254.46250000000001</v>
      </c>
      <c r="H728" s="4">
        <v>511.66649999999998</v>
      </c>
      <c r="I728" s="4">
        <v>12.97</v>
      </c>
      <c r="J728" s="4">
        <v>12.97</v>
      </c>
      <c r="K728" s="4">
        <v>11.98</v>
      </c>
      <c r="L728" s="4">
        <v>12.18</v>
      </c>
      <c r="M728" s="7">
        <v>-6.0900000000000003E-2</v>
      </c>
    </row>
    <row r="729" spans="1:13" x14ac:dyDescent="0.2">
      <c r="A729" s="6">
        <v>44991</v>
      </c>
      <c r="B729" s="2" t="s">
        <v>228</v>
      </c>
      <c r="C729" s="5">
        <v>44986</v>
      </c>
      <c r="D729" s="2" t="s">
        <v>187</v>
      </c>
      <c r="E729" s="3">
        <v>2414</v>
      </c>
      <c r="F729" s="8">
        <v>1.867</v>
      </c>
      <c r="G729" s="4">
        <v>224.24250000000001</v>
      </c>
      <c r="H729" s="4">
        <v>522.51210000000003</v>
      </c>
      <c r="I729" s="4">
        <v>12.18</v>
      </c>
      <c r="J729" s="4">
        <v>12.4725</v>
      </c>
      <c r="K729" s="4">
        <v>11.8375</v>
      </c>
      <c r="L729" s="4">
        <v>12.2675</v>
      </c>
      <c r="M729" s="7">
        <v>7.1999999999999998E-3</v>
      </c>
    </row>
    <row r="730" spans="1:13" x14ac:dyDescent="0.2">
      <c r="A730" s="6">
        <v>44993</v>
      </c>
      <c r="B730" s="2" t="s">
        <v>224</v>
      </c>
      <c r="C730" s="5">
        <v>44986</v>
      </c>
      <c r="D730" s="2" t="s">
        <v>187</v>
      </c>
      <c r="E730" s="3">
        <v>2378</v>
      </c>
      <c r="F730" s="8">
        <v>1.8254999999999999</v>
      </c>
      <c r="G730" s="4">
        <v>213.17140000000001</v>
      </c>
      <c r="H730" s="4">
        <v>510.6651</v>
      </c>
      <c r="I730" s="4">
        <v>12.2675</v>
      </c>
      <c r="J730" s="4">
        <v>12.8475</v>
      </c>
      <c r="K730" s="4">
        <v>11.897500000000001</v>
      </c>
      <c r="L730" s="4">
        <v>12.45</v>
      </c>
      <c r="M730" s="7">
        <v>1.49E-2</v>
      </c>
    </row>
    <row r="731" spans="1:13" x14ac:dyDescent="0.2">
      <c r="A731" s="6">
        <v>44994</v>
      </c>
      <c r="B731" s="2" t="s">
        <v>227</v>
      </c>
      <c r="C731" s="5">
        <v>44986</v>
      </c>
      <c r="D731" s="2" t="s">
        <v>187</v>
      </c>
      <c r="E731" s="3">
        <v>2383</v>
      </c>
      <c r="F731" s="8">
        <v>1.7329000000000001</v>
      </c>
      <c r="G731" s="4">
        <v>206.30680000000001</v>
      </c>
      <c r="H731" s="4">
        <v>478.85070000000002</v>
      </c>
      <c r="I731" s="4">
        <v>12.45</v>
      </c>
      <c r="J731" s="4">
        <v>12.842499999999999</v>
      </c>
      <c r="K731" s="4">
        <v>11.78</v>
      </c>
      <c r="L731" s="4">
        <v>12.725</v>
      </c>
      <c r="M731" s="7">
        <v>2.2100000000000002E-2</v>
      </c>
    </row>
    <row r="732" spans="1:13" x14ac:dyDescent="0.2">
      <c r="A732" s="6">
        <v>44995</v>
      </c>
      <c r="B732" s="2" t="s">
        <v>225</v>
      </c>
      <c r="C732" s="5">
        <v>44986</v>
      </c>
      <c r="D732" s="2" t="s">
        <v>187</v>
      </c>
      <c r="E732" s="3">
        <v>2349</v>
      </c>
      <c r="F732" s="8">
        <v>1.7431000000000001</v>
      </c>
      <c r="G732" s="4">
        <v>198.0557</v>
      </c>
      <c r="H732" s="4">
        <v>440.35419999999999</v>
      </c>
      <c r="I732" s="4">
        <v>12.725</v>
      </c>
      <c r="J732" s="4">
        <v>13.817500000000001</v>
      </c>
      <c r="K732" s="4">
        <v>12.725</v>
      </c>
      <c r="L732" s="4">
        <v>13.4125</v>
      </c>
      <c r="M732" s="7">
        <v>5.3999999999999999E-2</v>
      </c>
    </row>
    <row r="733" spans="1:13" x14ac:dyDescent="0.2">
      <c r="A733" s="6">
        <v>44998</v>
      </c>
      <c r="B733" s="2" t="s">
        <v>228</v>
      </c>
      <c r="C733" s="5">
        <v>44986</v>
      </c>
      <c r="D733" s="2" t="s">
        <v>187</v>
      </c>
      <c r="E733" s="3">
        <v>2407</v>
      </c>
      <c r="F733" s="8">
        <v>1.9111</v>
      </c>
      <c r="G733" s="4">
        <v>245.59299999999999</v>
      </c>
      <c r="H733" s="4">
        <v>486.39030000000002</v>
      </c>
      <c r="I733" s="4">
        <v>13.4125</v>
      </c>
      <c r="J733" s="4">
        <v>16.427499999999998</v>
      </c>
      <c r="K733" s="4">
        <v>13.4125</v>
      </c>
      <c r="L733" s="4">
        <v>16.215</v>
      </c>
      <c r="M733" s="7">
        <v>0.2089</v>
      </c>
    </row>
    <row r="734" spans="1:13" x14ac:dyDescent="0.2">
      <c r="A734" s="6">
        <v>44999</v>
      </c>
      <c r="B734" s="2" t="s">
        <v>226</v>
      </c>
      <c r="C734" s="5">
        <v>44986</v>
      </c>
      <c r="D734" s="2" t="s">
        <v>187</v>
      </c>
      <c r="E734" s="3">
        <v>2400</v>
      </c>
      <c r="F734" s="8">
        <v>1.9337</v>
      </c>
      <c r="G734" s="4">
        <v>218.95269999999999</v>
      </c>
      <c r="H734" s="4">
        <v>521.99649999999997</v>
      </c>
      <c r="I734" s="4">
        <v>16.215</v>
      </c>
      <c r="J734" s="4">
        <v>16.642499999999998</v>
      </c>
      <c r="K734" s="4">
        <v>15.0025</v>
      </c>
      <c r="L734" s="4">
        <v>16.217500000000001</v>
      </c>
      <c r="M734" s="7">
        <v>2.0000000000000001E-4</v>
      </c>
    </row>
    <row r="735" spans="1:13" x14ac:dyDescent="0.2">
      <c r="A735" s="6">
        <v>45000</v>
      </c>
      <c r="B735" s="2" t="s">
        <v>224</v>
      </c>
      <c r="C735" s="5">
        <v>44986</v>
      </c>
      <c r="D735" s="2" t="s">
        <v>187</v>
      </c>
      <c r="E735" s="3">
        <v>2357</v>
      </c>
      <c r="F735" s="8">
        <v>1.8191999999999999</v>
      </c>
      <c r="G735" s="4">
        <v>197.19059999999999</v>
      </c>
      <c r="H735" s="4">
        <v>467.69510000000002</v>
      </c>
      <c r="I735" s="4">
        <v>16.217500000000001</v>
      </c>
      <c r="J735" s="4">
        <v>16.504999999999999</v>
      </c>
      <c r="K735" s="4">
        <v>14.5175</v>
      </c>
      <c r="L735" s="4">
        <v>16.295000000000002</v>
      </c>
      <c r="M735" s="7">
        <v>4.7999999999999996E-3</v>
      </c>
    </row>
    <row r="736" spans="1:13" x14ac:dyDescent="0.2">
      <c r="A736" s="6">
        <v>45001</v>
      </c>
      <c r="B736" s="2" t="s">
        <v>227</v>
      </c>
      <c r="C736" s="5">
        <v>44986</v>
      </c>
      <c r="D736" s="2" t="s">
        <v>187</v>
      </c>
      <c r="E736" s="3">
        <v>2388</v>
      </c>
      <c r="F736" s="8">
        <v>2.0933999999999999</v>
      </c>
      <c r="G736" s="4">
        <v>273.79610000000002</v>
      </c>
      <c r="H736" s="4">
        <v>526.93550000000005</v>
      </c>
      <c r="I736" s="4">
        <v>16.295000000000002</v>
      </c>
      <c r="J736" s="4">
        <v>17.355</v>
      </c>
      <c r="K736" s="4">
        <v>13.95</v>
      </c>
      <c r="L736" s="4">
        <v>16.217500000000001</v>
      </c>
      <c r="M736" s="7">
        <v>-4.7999999999999996E-3</v>
      </c>
    </row>
    <row r="737" spans="1:13" x14ac:dyDescent="0.2">
      <c r="A737" s="6">
        <v>45002</v>
      </c>
      <c r="B737" s="2" t="s">
        <v>225</v>
      </c>
      <c r="C737" s="5">
        <v>44986</v>
      </c>
      <c r="D737" s="2" t="s">
        <v>187</v>
      </c>
      <c r="E737" s="3">
        <v>2374</v>
      </c>
      <c r="F737" s="8">
        <v>1.8698999999999999</v>
      </c>
      <c r="G737" s="4">
        <v>297.25920000000002</v>
      </c>
      <c r="H737" s="4">
        <v>651.79160000000002</v>
      </c>
      <c r="I737" s="4">
        <v>16.217500000000001</v>
      </c>
      <c r="J737" s="4">
        <v>16.217500000000001</v>
      </c>
      <c r="K737" s="4">
        <v>14.6</v>
      </c>
      <c r="L737" s="4">
        <v>14.7675</v>
      </c>
      <c r="M737" s="7">
        <v>-8.9399999999999993E-2</v>
      </c>
    </row>
    <row r="738" spans="1:13" x14ac:dyDescent="0.2">
      <c r="A738" s="6">
        <v>45005</v>
      </c>
      <c r="B738" s="2" t="s">
        <v>228</v>
      </c>
      <c r="C738" s="5">
        <v>44986</v>
      </c>
      <c r="D738" s="2" t="s">
        <v>187</v>
      </c>
      <c r="E738" s="3">
        <v>2398</v>
      </c>
      <c r="F738" s="8">
        <v>1.8947000000000001</v>
      </c>
      <c r="G738" s="4">
        <v>224.6121</v>
      </c>
      <c r="H738" s="4">
        <v>470.74509999999998</v>
      </c>
      <c r="I738" s="4">
        <v>14.7675</v>
      </c>
      <c r="J738" s="4">
        <v>17.22</v>
      </c>
      <c r="K738" s="4">
        <v>14.52</v>
      </c>
      <c r="L738" s="4">
        <v>16.0075</v>
      </c>
      <c r="M738" s="7">
        <v>8.4000000000000005E-2</v>
      </c>
    </row>
    <row r="739" spans="1:13" x14ac:dyDescent="0.2">
      <c r="A739" s="6">
        <v>45006</v>
      </c>
      <c r="B739" s="2" t="s">
        <v>226</v>
      </c>
      <c r="C739" s="5">
        <v>44986</v>
      </c>
      <c r="D739" s="2" t="s">
        <v>187</v>
      </c>
      <c r="E739" s="3">
        <v>2372</v>
      </c>
      <c r="F739" s="8">
        <v>1.6493</v>
      </c>
      <c r="G739" s="4">
        <v>194.28440000000001</v>
      </c>
      <c r="H739" s="4">
        <v>452.29610000000002</v>
      </c>
      <c r="I739" s="4">
        <v>16.0075</v>
      </c>
      <c r="J739" s="4">
        <v>16.035</v>
      </c>
      <c r="K739" s="4">
        <v>14.0825</v>
      </c>
      <c r="L739" s="4">
        <v>15.0825</v>
      </c>
      <c r="M739" s="7">
        <v>-5.7799999999999997E-2</v>
      </c>
    </row>
    <row r="740" spans="1:13" x14ac:dyDescent="0.2">
      <c r="A740" s="6">
        <v>45007</v>
      </c>
      <c r="B740" s="2" t="s">
        <v>224</v>
      </c>
      <c r="C740" s="5">
        <v>44986</v>
      </c>
      <c r="D740" s="2" t="s">
        <v>187</v>
      </c>
      <c r="E740" s="3">
        <v>2352</v>
      </c>
      <c r="F740" s="8">
        <v>1.4497</v>
      </c>
      <c r="G740" s="4">
        <v>184.65639999999999</v>
      </c>
      <c r="H740" s="4">
        <v>377.90890000000002</v>
      </c>
      <c r="I740" s="4">
        <v>15.0825</v>
      </c>
      <c r="J740" s="4">
        <v>15.092499999999999</v>
      </c>
      <c r="K740" s="4">
        <v>14.2425</v>
      </c>
      <c r="L740" s="4">
        <v>14.807499999999999</v>
      </c>
      <c r="M740" s="7">
        <v>-1.8200000000000001E-2</v>
      </c>
    </row>
    <row r="741" spans="1:13" x14ac:dyDescent="0.2">
      <c r="A741" s="6">
        <v>45008</v>
      </c>
      <c r="B741" s="2" t="s">
        <v>227</v>
      </c>
      <c r="C741" s="5">
        <v>44986</v>
      </c>
      <c r="D741" s="2" t="s">
        <v>187</v>
      </c>
      <c r="E741" s="3">
        <v>2356</v>
      </c>
      <c r="F741" s="8">
        <v>1.5423</v>
      </c>
      <c r="G741" s="4">
        <v>181.3586</v>
      </c>
      <c r="H741" s="4">
        <v>423.5591</v>
      </c>
      <c r="I741" s="4">
        <v>14.807499999999999</v>
      </c>
      <c r="J741" s="4">
        <v>15.057499999999999</v>
      </c>
      <c r="K741" s="4">
        <v>13.9025</v>
      </c>
      <c r="L741" s="4">
        <v>14.49</v>
      </c>
      <c r="M741" s="7">
        <v>-2.1399999999999999E-2</v>
      </c>
    </row>
    <row r="742" spans="1:13" x14ac:dyDescent="0.2">
      <c r="A742" s="6">
        <v>45009</v>
      </c>
      <c r="B742" s="2" t="s">
        <v>225</v>
      </c>
      <c r="C742" s="5">
        <v>44986</v>
      </c>
      <c r="D742" s="2" t="s">
        <v>187</v>
      </c>
      <c r="E742" s="3">
        <v>2407</v>
      </c>
      <c r="F742" s="8">
        <v>1.6645000000000001</v>
      </c>
      <c r="G742" s="4">
        <v>202.19800000000001</v>
      </c>
      <c r="H742" s="4">
        <v>454.9631</v>
      </c>
      <c r="I742" s="4">
        <v>14.49</v>
      </c>
      <c r="J742" s="4">
        <v>15.43</v>
      </c>
      <c r="K742" s="4">
        <v>14.202500000000001</v>
      </c>
      <c r="L742" s="4">
        <v>15.24</v>
      </c>
      <c r="M742" s="7">
        <v>5.1799999999999999E-2</v>
      </c>
    </row>
    <row r="743" spans="1:13" x14ac:dyDescent="0.2">
      <c r="A743" s="6">
        <v>45012</v>
      </c>
      <c r="B743" s="2" t="s">
        <v>228</v>
      </c>
      <c r="C743" s="5">
        <v>44986</v>
      </c>
      <c r="D743" s="2" t="s">
        <v>187</v>
      </c>
      <c r="E743" s="3">
        <v>2419</v>
      </c>
      <c r="F743" s="8">
        <v>1.7265999999999999</v>
      </c>
      <c r="G743" s="4">
        <v>220.34059999999999</v>
      </c>
      <c r="H743" s="4">
        <v>427.77199999999999</v>
      </c>
      <c r="I743" s="4">
        <v>15.24</v>
      </c>
      <c r="J743" s="4">
        <v>16.092500000000001</v>
      </c>
      <c r="K743" s="4">
        <v>15.0975</v>
      </c>
      <c r="L743" s="4">
        <v>15.445</v>
      </c>
      <c r="M743" s="7">
        <v>1.35E-2</v>
      </c>
    </row>
    <row r="744" spans="1:13" x14ac:dyDescent="0.2">
      <c r="A744" s="6">
        <v>45013</v>
      </c>
      <c r="B744" s="2" t="s">
        <v>226</v>
      </c>
      <c r="C744" s="5">
        <v>44986</v>
      </c>
      <c r="D744" s="2" t="s">
        <v>187</v>
      </c>
      <c r="E744" s="3">
        <v>2394</v>
      </c>
      <c r="F744" s="8">
        <v>1.7209000000000001</v>
      </c>
      <c r="G744" s="4">
        <v>216.44280000000001</v>
      </c>
      <c r="H744" s="4">
        <v>441.62049999999999</v>
      </c>
      <c r="I744" s="4">
        <v>15.445</v>
      </c>
      <c r="J744" s="4">
        <v>15.6075</v>
      </c>
      <c r="K744" s="4">
        <v>14.865</v>
      </c>
      <c r="L744" s="4">
        <v>15.1</v>
      </c>
      <c r="M744" s="7">
        <v>-2.23E-2</v>
      </c>
    </row>
    <row r="745" spans="1:13" x14ac:dyDescent="0.2">
      <c r="A745" s="6">
        <v>45014</v>
      </c>
      <c r="B745" s="2" t="s">
        <v>224</v>
      </c>
      <c r="C745" s="5">
        <v>44986</v>
      </c>
      <c r="D745" s="2" t="s">
        <v>187</v>
      </c>
      <c r="E745" s="3">
        <v>2387</v>
      </c>
      <c r="F745" s="8">
        <v>1.9560999999999999</v>
      </c>
      <c r="G745" s="4">
        <v>291.36680000000001</v>
      </c>
      <c r="H745" s="4">
        <v>584.62810000000002</v>
      </c>
      <c r="I745" s="4">
        <v>15.1</v>
      </c>
      <c r="J745" s="4">
        <v>15.1</v>
      </c>
      <c r="K745" s="4">
        <v>13.32</v>
      </c>
      <c r="L745" s="4">
        <v>13.6275</v>
      </c>
      <c r="M745" s="7">
        <v>-9.7500000000000003E-2</v>
      </c>
    </row>
    <row r="746" spans="1:13" x14ac:dyDescent="0.2">
      <c r="A746" s="6">
        <v>45016</v>
      </c>
      <c r="B746" s="2" t="s">
        <v>225</v>
      </c>
      <c r="C746" s="5">
        <v>44986</v>
      </c>
      <c r="D746" s="2" t="s">
        <v>187</v>
      </c>
      <c r="E746" s="3">
        <v>2403</v>
      </c>
      <c r="F746" s="8">
        <v>2.0516999999999999</v>
      </c>
      <c r="G746" s="4">
        <v>265.09660000000002</v>
      </c>
      <c r="H746" s="4">
        <v>557.3048</v>
      </c>
      <c r="I746" s="4">
        <v>13.6275</v>
      </c>
      <c r="J746" s="4">
        <v>13.6275</v>
      </c>
      <c r="K746" s="4">
        <v>12.0725</v>
      </c>
      <c r="L746" s="4">
        <v>12.935</v>
      </c>
      <c r="M746" s="7">
        <v>-5.0799999999999998E-2</v>
      </c>
    </row>
    <row r="747" spans="1:13" x14ac:dyDescent="0.2">
      <c r="A747" s="6">
        <v>45019</v>
      </c>
      <c r="B747" s="2" t="s">
        <v>228</v>
      </c>
      <c r="C747" s="5">
        <v>45017</v>
      </c>
      <c r="D747" s="2" t="s">
        <v>188</v>
      </c>
      <c r="E747" s="3">
        <v>2403</v>
      </c>
      <c r="F747" s="8">
        <v>1.6841999999999999</v>
      </c>
      <c r="G747" s="4">
        <v>208.86019999999999</v>
      </c>
      <c r="H747" s="4">
        <v>448.47410000000002</v>
      </c>
      <c r="I747" s="4">
        <v>12.935</v>
      </c>
      <c r="J747" s="4">
        <v>13.49</v>
      </c>
      <c r="K747" s="4">
        <v>12.465</v>
      </c>
      <c r="L747" s="4">
        <v>12.585000000000001</v>
      </c>
      <c r="M747" s="7">
        <v>-2.7099999999999999E-2</v>
      </c>
    </row>
    <row r="748" spans="1:13" x14ac:dyDescent="0.2">
      <c r="A748" s="6">
        <v>45021</v>
      </c>
      <c r="B748" s="2" t="s">
        <v>224</v>
      </c>
      <c r="C748" s="5">
        <v>45017</v>
      </c>
      <c r="D748" s="2" t="s">
        <v>188</v>
      </c>
      <c r="E748" s="3">
        <v>2390</v>
      </c>
      <c r="F748" s="8">
        <v>1.7672000000000001</v>
      </c>
      <c r="G748" s="4">
        <v>213.78100000000001</v>
      </c>
      <c r="H748" s="4">
        <v>509.16809999999998</v>
      </c>
      <c r="I748" s="4">
        <v>12.585000000000001</v>
      </c>
      <c r="J748" s="4">
        <v>12.805</v>
      </c>
      <c r="K748" s="4">
        <v>12.0525</v>
      </c>
      <c r="L748" s="4">
        <v>12.4125</v>
      </c>
      <c r="M748" s="7">
        <v>-1.37E-2</v>
      </c>
    </row>
    <row r="749" spans="1:13" x14ac:dyDescent="0.2">
      <c r="A749" s="6">
        <v>45022</v>
      </c>
      <c r="B749" s="2" t="s">
        <v>227</v>
      </c>
      <c r="C749" s="5">
        <v>45017</v>
      </c>
      <c r="D749" s="2" t="s">
        <v>188</v>
      </c>
      <c r="E749" s="3">
        <v>2391</v>
      </c>
      <c r="F749" s="8">
        <v>1.6813</v>
      </c>
      <c r="G749" s="4">
        <v>217.46180000000001</v>
      </c>
      <c r="H749" s="4">
        <v>512.31859999999995</v>
      </c>
      <c r="I749" s="4">
        <v>12.4125</v>
      </c>
      <c r="J749" s="4">
        <v>12.57</v>
      </c>
      <c r="K749" s="4">
        <v>11.65</v>
      </c>
      <c r="L749" s="4">
        <v>11.797499999999999</v>
      </c>
      <c r="M749" s="7">
        <v>-4.9500000000000002E-2</v>
      </c>
    </row>
    <row r="750" spans="1:13" x14ac:dyDescent="0.2">
      <c r="A750" s="6">
        <v>45026</v>
      </c>
      <c r="B750" s="2" t="s">
        <v>228</v>
      </c>
      <c r="C750" s="5">
        <v>45017</v>
      </c>
      <c r="D750" s="2" t="s">
        <v>188</v>
      </c>
      <c r="E750" s="3">
        <v>2416</v>
      </c>
      <c r="F750" s="8">
        <v>1.5250999999999999</v>
      </c>
      <c r="G750" s="4">
        <v>182.16059999999999</v>
      </c>
      <c r="H750" s="4">
        <v>452.31529999999998</v>
      </c>
      <c r="I750" s="4">
        <v>11.797499999999999</v>
      </c>
      <c r="J750" s="4">
        <v>12.5625</v>
      </c>
      <c r="K750" s="4">
        <v>11.797499999999999</v>
      </c>
      <c r="L750" s="4">
        <v>12.272500000000001</v>
      </c>
      <c r="M750" s="7">
        <v>4.0300000000000002E-2</v>
      </c>
    </row>
    <row r="751" spans="1:13" x14ac:dyDescent="0.2">
      <c r="A751" s="6">
        <v>45027</v>
      </c>
      <c r="B751" s="2" t="s">
        <v>226</v>
      </c>
      <c r="C751" s="5">
        <v>45017</v>
      </c>
      <c r="D751" s="2" t="s">
        <v>188</v>
      </c>
      <c r="E751" s="3">
        <v>2375</v>
      </c>
      <c r="F751" s="8">
        <v>1.6439999999999999</v>
      </c>
      <c r="G751" s="4">
        <v>199.29589999999999</v>
      </c>
      <c r="H751" s="4">
        <v>505.9914</v>
      </c>
      <c r="I751" s="4">
        <v>12.272500000000001</v>
      </c>
      <c r="J751" s="4">
        <v>12.272500000000001</v>
      </c>
      <c r="K751" s="4">
        <v>11.664999999999999</v>
      </c>
      <c r="L751" s="4">
        <v>11.975</v>
      </c>
      <c r="M751" s="7">
        <v>-2.4199999999999999E-2</v>
      </c>
    </row>
    <row r="752" spans="1:13" x14ac:dyDescent="0.2">
      <c r="A752" s="6">
        <v>45028</v>
      </c>
      <c r="B752" s="2" t="s">
        <v>224</v>
      </c>
      <c r="C752" s="5">
        <v>45017</v>
      </c>
      <c r="D752" s="2" t="s">
        <v>188</v>
      </c>
      <c r="E752" s="3">
        <v>2390</v>
      </c>
      <c r="F752" s="8">
        <v>1.7027000000000001</v>
      </c>
      <c r="G752" s="4">
        <v>195.49930000000001</v>
      </c>
      <c r="H752" s="4">
        <v>513.14739999999995</v>
      </c>
      <c r="I752" s="4">
        <v>11.975</v>
      </c>
      <c r="J752" s="4">
        <v>12.395</v>
      </c>
      <c r="K752" s="4">
        <v>11.975</v>
      </c>
      <c r="L752" s="4">
        <v>12.272500000000001</v>
      </c>
      <c r="M752" s="7">
        <v>2.4799999999999999E-2</v>
      </c>
    </row>
    <row r="753" spans="1:13" x14ac:dyDescent="0.2">
      <c r="A753" s="6">
        <v>45029</v>
      </c>
      <c r="B753" s="2" t="s">
        <v>227</v>
      </c>
      <c r="C753" s="5">
        <v>45017</v>
      </c>
      <c r="D753" s="2" t="s">
        <v>188</v>
      </c>
      <c r="E753" s="3">
        <v>2365</v>
      </c>
      <c r="F753" s="8">
        <v>1.7015</v>
      </c>
      <c r="G753" s="4">
        <v>197.76400000000001</v>
      </c>
      <c r="H753" s="4">
        <v>532.9674</v>
      </c>
      <c r="I753" s="4">
        <v>12.272500000000001</v>
      </c>
      <c r="J753" s="4">
        <v>12.51</v>
      </c>
      <c r="K753" s="4">
        <v>11.84</v>
      </c>
      <c r="L753" s="4">
        <v>11.907500000000001</v>
      </c>
      <c r="M753" s="7">
        <v>-2.9700000000000001E-2</v>
      </c>
    </row>
    <row r="754" spans="1:13" x14ac:dyDescent="0.2">
      <c r="A754" s="6">
        <v>45033</v>
      </c>
      <c r="B754" s="2" t="s">
        <v>228</v>
      </c>
      <c r="C754" s="5">
        <v>45017</v>
      </c>
      <c r="D754" s="2" t="s">
        <v>188</v>
      </c>
      <c r="E754" s="3">
        <v>2421</v>
      </c>
      <c r="F754" s="8">
        <v>1.9711000000000001</v>
      </c>
      <c r="G754" s="4">
        <v>214.72219999999999</v>
      </c>
      <c r="H754" s="4">
        <v>622.47130000000004</v>
      </c>
      <c r="I754" s="4">
        <v>11.907500000000001</v>
      </c>
      <c r="J754" s="4">
        <v>13.272500000000001</v>
      </c>
      <c r="K754" s="4">
        <v>11.907500000000001</v>
      </c>
      <c r="L754" s="4">
        <v>12.265000000000001</v>
      </c>
      <c r="M754" s="7">
        <v>0.03</v>
      </c>
    </row>
    <row r="755" spans="1:13" x14ac:dyDescent="0.2">
      <c r="A755" s="6">
        <v>45034</v>
      </c>
      <c r="B755" s="2" t="s">
        <v>226</v>
      </c>
      <c r="C755" s="5">
        <v>45017</v>
      </c>
      <c r="D755" s="2" t="s">
        <v>188</v>
      </c>
      <c r="E755" s="3">
        <v>2380</v>
      </c>
      <c r="F755" s="8">
        <v>1.7396</v>
      </c>
      <c r="G755" s="4">
        <v>223.66730000000001</v>
      </c>
      <c r="H755" s="4">
        <v>513.14469999999994</v>
      </c>
      <c r="I755" s="4">
        <v>12.265000000000001</v>
      </c>
      <c r="J755" s="4">
        <v>12.525</v>
      </c>
      <c r="K755" s="4">
        <v>11.862500000000001</v>
      </c>
      <c r="L755" s="4">
        <v>12.074999999999999</v>
      </c>
      <c r="M755" s="7">
        <v>-1.55E-2</v>
      </c>
    </row>
    <row r="756" spans="1:13" x14ac:dyDescent="0.2">
      <c r="A756" s="6">
        <v>45035</v>
      </c>
      <c r="B756" s="2" t="s">
        <v>224</v>
      </c>
      <c r="C756" s="5">
        <v>45017</v>
      </c>
      <c r="D756" s="2" t="s">
        <v>188</v>
      </c>
      <c r="E756" s="3">
        <v>2371</v>
      </c>
      <c r="F756" s="8">
        <v>1.7215</v>
      </c>
      <c r="G756" s="4">
        <v>220.56110000000001</v>
      </c>
      <c r="H756" s="4">
        <v>486.29660000000001</v>
      </c>
      <c r="I756" s="4">
        <v>12.074999999999999</v>
      </c>
      <c r="J756" s="4">
        <v>12.47</v>
      </c>
      <c r="K756" s="4">
        <v>11.1075</v>
      </c>
      <c r="L756" s="4">
        <v>12.1525</v>
      </c>
      <c r="M756" s="7">
        <v>6.4000000000000003E-3</v>
      </c>
    </row>
    <row r="757" spans="1:13" x14ac:dyDescent="0.2">
      <c r="A757" s="6">
        <v>45036</v>
      </c>
      <c r="B757" s="2" t="s">
        <v>227</v>
      </c>
      <c r="C757" s="5">
        <v>45017</v>
      </c>
      <c r="D757" s="2" t="s">
        <v>188</v>
      </c>
      <c r="E757" s="3">
        <v>2358</v>
      </c>
      <c r="F757" s="8">
        <v>1.5628</v>
      </c>
      <c r="G757" s="4">
        <v>169.8263</v>
      </c>
      <c r="H757" s="4">
        <v>452.07920000000001</v>
      </c>
      <c r="I757" s="4">
        <v>12.1525</v>
      </c>
      <c r="J757" s="4">
        <v>12.397500000000001</v>
      </c>
      <c r="K757" s="4">
        <v>11.58</v>
      </c>
      <c r="L757" s="4">
        <v>11.94</v>
      </c>
      <c r="M757" s="7">
        <v>-1.7500000000000002E-2</v>
      </c>
    </row>
    <row r="758" spans="1:13" x14ac:dyDescent="0.2">
      <c r="A758" s="6">
        <v>45037</v>
      </c>
      <c r="B758" s="2" t="s">
        <v>225</v>
      </c>
      <c r="C758" s="5">
        <v>45017</v>
      </c>
      <c r="D758" s="2" t="s">
        <v>188</v>
      </c>
      <c r="E758" s="3">
        <v>2372</v>
      </c>
      <c r="F758" s="8">
        <v>1.4862</v>
      </c>
      <c r="G758" s="4">
        <v>203.88460000000001</v>
      </c>
      <c r="H758" s="4">
        <v>427.87900000000002</v>
      </c>
      <c r="I758" s="4">
        <v>11.94</v>
      </c>
      <c r="J758" s="4">
        <v>12.04</v>
      </c>
      <c r="K758" s="4">
        <v>11.52</v>
      </c>
      <c r="L758" s="4">
        <v>11.63</v>
      </c>
      <c r="M758" s="7">
        <v>-2.5999999999999999E-2</v>
      </c>
    </row>
    <row r="759" spans="1:13" x14ac:dyDescent="0.2">
      <c r="A759" s="6">
        <v>45040</v>
      </c>
      <c r="B759" s="2" t="s">
        <v>228</v>
      </c>
      <c r="C759" s="5">
        <v>45017</v>
      </c>
      <c r="D759" s="2" t="s">
        <v>188</v>
      </c>
      <c r="E759" s="3">
        <v>2412</v>
      </c>
      <c r="F759" s="8">
        <v>1.5922000000000001</v>
      </c>
      <c r="G759" s="4">
        <v>220.1497</v>
      </c>
      <c r="H759" s="4">
        <v>470.05419999999998</v>
      </c>
      <c r="I759" s="4">
        <v>11.63</v>
      </c>
      <c r="J759" s="4">
        <v>12.205</v>
      </c>
      <c r="K759" s="4">
        <v>11.58</v>
      </c>
      <c r="L759" s="4">
        <v>11.6675</v>
      </c>
      <c r="M759" s="7">
        <v>3.2000000000000002E-3</v>
      </c>
    </row>
    <row r="760" spans="1:13" x14ac:dyDescent="0.2">
      <c r="A760" s="6">
        <v>45041</v>
      </c>
      <c r="B760" s="2" t="s">
        <v>226</v>
      </c>
      <c r="C760" s="5">
        <v>45017</v>
      </c>
      <c r="D760" s="2" t="s">
        <v>188</v>
      </c>
      <c r="E760" s="3">
        <v>2359</v>
      </c>
      <c r="F760" s="8">
        <v>1.7396</v>
      </c>
      <c r="G760" s="4">
        <v>272.16019999999997</v>
      </c>
      <c r="H760" s="4">
        <v>601.26149999999996</v>
      </c>
      <c r="I760" s="4">
        <v>11.6675</v>
      </c>
      <c r="J760" s="4">
        <v>11.8125</v>
      </c>
      <c r="K760" s="4">
        <v>11.425000000000001</v>
      </c>
      <c r="L760" s="4">
        <v>11.52</v>
      </c>
      <c r="M760" s="7">
        <v>-1.26E-2</v>
      </c>
    </row>
    <row r="761" spans="1:13" x14ac:dyDescent="0.2">
      <c r="A761" s="6">
        <v>45042</v>
      </c>
      <c r="B761" s="2" t="s">
        <v>224</v>
      </c>
      <c r="C761" s="5">
        <v>45017</v>
      </c>
      <c r="D761" s="2" t="s">
        <v>188</v>
      </c>
      <c r="E761" s="3">
        <v>2371</v>
      </c>
      <c r="F761" s="8">
        <v>1.7922</v>
      </c>
      <c r="G761" s="4">
        <v>286.32760000000002</v>
      </c>
      <c r="H761" s="4">
        <v>543.14869999999996</v>
      </c>
      <c r="I761" s="4">
        <v>11.52</v>
      </c>
      <c r="J761" s="4">
        <v>11.897500000000001</v>
      </c>
      <c r="K761" s="4">
        <v>11.297499999999999</v>
      </c>
      <c r="L761" s="4">
        <v>11.6525</v>
      </c>
      <c r="M761" s="7">
        <v>1.15E-2</v>
      </c>
    </row>
    <row r="762" spans="1:13" x14ac:dyDescent="0.2">
      <c r="A762" s="6">
        <v>45043</v>
      </c>
      <c r="B762" s="2" t="s">
        <v>227</v>
      </c>
      <c r="C762" s="5">
        <v>45017</v>
      </c>
      <c r="D762" s="2" t="s">
        <v>188</v>
      </c>
      <c r="E762" s="3">
        <v>2371</v>
      </c>
      <c r="F762" s="8">
        <v>1.7045999999999999</v>
      </c>
      <c r="G762" s="4">
        <v>279.488</v>
      </c>
      <c r="H762" s="4">
        <v>554.93719999999996</v>
      </c>
      <c r="I762" s="4">
        <v>11.6525</v>
      </c>
      <c r="J762" s="4">
        <v>12.02</v>
      </c>
      <c r="K762" s="4">
        <v>10.96</v>
      </c>
      <c r="L762" s="4">
        <v>11.425000000000001</v>
      </c>
      <c r="M762" s="7">
        <v>-1.95E-2</v>
      </c>
    </row>
    <row r="763" spans="1:13" x14ac:dyDescent="0.2">
      <c r="A763" s="6">
        <v>45044</v>
      </c>
      <c r="B763" s="2" t="s">
        <v>225</v>
      </c>
      <c r="C763" s="5">
        <v>45017</v>
      </c>
      <c r="D763" s="2" t="s">
        <v>188</v>
      </c>
      <c r="E763" s="3">
        <v>2381</v>
      </c>
      <c r="F763" s="8">
        <v>1.9823</v>
      </c>
      <c r="G763" s="4">
        <v>290.28859999999997</v>
      </c>
      <c r="H763" s="4">
        <v>647.73140000000001</v>
      </c>
      <c r="I763" s="4">
        <v>11.425000000000001</v>
      </c>
      <c r="J763" s="4">
        <v>11.5425</v>
      </c>
      <c r="K763" s="4">
        <v>10.7875</v>
      </c>
      <c r="L763" s="4">
        <v>10.9475</v>
      </c>
      <c r="M763" s="7">
        <v>-4.1799999999999997E-2</v>
      </c>
    </row>
    <row r="764" spans="1:13" x14ac:dyDescent="0.2">
      <c r="A764" s="6">
        <v>45048</v>
      </c>
      <c r="B764" s="2" t="s">
        <v>226</v>
      </c>
      <c r="C764" s="5">
        <v>45047</v>
      </c>
      <c r="D764" s="2" t="s">
        <v>188</v>
      </c>
      <c r="E764" s="3">
        <v>2432</v>
      </c>
      <c r="F764" s="8">
        <v>2.0897999999999999</v>
      </c>
      <c r="G764" s="4">
        <v>299.6977</v>
      </c>
      <c r="H764" s="4">
        <v>595.428</v>
      </c>
      <c r="I764" s="4">
        <v>10.9475</v>
      </c>
      <c r="J764" s="4">
        <v>12.0625</v>
      </c>
      <c r="K764" s="4">
        <v>10.9475</v>
      </c>
      <c r="L764" s="4">
        <v>11.897500000000001</v>
      </c>
      <c r="M764" s="7">
        <v>8.6800000000000002E-2</v>
      </c>
    </row>
    <row r="765" spans="1:13" x14ac:dyDescent="0.2">
      <c r="A765" s="6">
        <v>45049</v>
      </c>
      <c r="B765" s="2" t="s">
        <v>224</v>
      </c>
      <c r="C765" s="5">
        <v>45047</v>
      </c>
      <c r="D765" s="2" t="s">
        <v>188</v>
      </c>
      <c r="E765" s="3">
        <v>2378</v>
      </c>
      <c r="F765" s="8">
        <v>1.9339999999999999</v>
      </c>
      <c r="G765" s="4">
        <v>302.29829999999998</v>
      </c>
      <c r="H765" s="4">
        <v>558.74639999999999</v>
      </c>
      <c r="I765" s="4">
        <v>11.897500000000001</v>
      </c>
      <c r="J765" s="4">
        <v>12.25</v>
      </c>
      <c r="K765" s="4">
        <v>11.13</v>
      </c>
      <c r="L765" s="4">
        <v>11.84</v>
      </c>
      <c r="M765" s="7">
        <v>-4.7999999999999996E-3</v>
      </c>
    </row>
    <row r="766" spans="1:13" x14ac:dyDescent="0.2">
      <c r="A766" s="6">
        <v>45050</v>
      </c>
      <c r="B766" s="2" t="s">
        <v>227</v>
      </c>
      <c r="C766" s="5">
        <v>45047</v>
      </c>
      <c r="D766" s="2" t="s">
        <v>188</v>
      </c>
      <c r="E766" s="3">
        <v>2378</v>
      </c>
      <c r="F766" s="8">
        <v>1.873</v>
      </c>
      <c r="G766" s="4">
        <v>323.52260000000001</v>
      </c>
      <c r="H766" s="4">
        <v>579.23829999999998</v>
      </c>
      <c r="I766" s="4">
        <v>11.84</v>
      </c>
      <c r="J766" s="4">
        <v>12.03</v>
      </c>
      <c r="K766" s="4">
        <v>11.185</v>
      </c>
      <c r="L766" s="4">
        <v>11.7325</v>
      </c>
      <c r="M766" s="7">
        <v>-9.1000000000000004E-3</v>
      </c>
    </row>
    <row r="767" spans="1:13" x14ac:dyDescent="0.2">
      <c r="A767" s="6">
        <v>45051</v>
      </c>
      <c r="B767" s="2" t="s">
        <v>225</v>
      </c>
      <c r="C767" s="5">
        <v>45047</v>
      </c>
      <c r="D767" s="2" t="s">
        <v>188</v>
      </c>
      <c r="E767" s="3">
        <v>2360</v>
      </c>
      <c r="F767" s="8">
        <v>1.9611000000000001</v>
      </c>
      <c r="G767" s="4">
        <v>294.15780000000001</v>
      </c>
      <c r="H767" s="4">
        <v>601.18790000000001</v>
      </c>
      <c r="I767" s="4">
        <v>11.7325</v>
      </c>
      <c r="J767" s="4">
        <v>12.375</v>
      </c>
      <c r="K767" s="4">
        <v>11.53</v>
      </c>
      <c r="L767" s="4">
        <v>12.295</v>
      </c>
      <c r="M767" s="7">
        <v>4.7899999999999998E-2</v>
      </c>
    </row>
    <row r="768" spans="1:13" x14ac:dyDescent="0.2">
      <c r="A768" s="6">
        <v>45054</v>
      </c>
      <c r="B768" s="2" t="s">
        <v>228</v>
      </c>
      <c r="C768" s="5">
        <v>45047</v>
      </c>
      <c r="D768" s="2" t="s">
        <v>188</v>
      </c>
      <c r="E768" s="3">
        <v>2433</v>
      </c>
      <c r="F768" s="8">
        <v>1.9028</v>
      </c>
      <c r="G768" s="4">
        <v>239.56880000000001</v>
      </c>
      <c r="H768" s="4">
        <v>563.31330000000003</v>
      </c>
      <c r="I768" s="4">
        <v>12.295</v>
      </c>
      <c r="J768" s="4">
        <v>12.91</v>
      </c>
      <c r="K768" s="4">
        <v>11.7225</v>
      </c>
      <c r="L768" s="4">
        <v>12.635</v>
      </c>
      <c r="M768" s="7">
        <v>2.7699999999999999E-2</v>
      </c>
    </row>
    <row r="769" spans="1:13" x14ac:dyDescent="0.2">
      <c r="A769" s="6">
        <v>45055</v>
      </c>
      <c r="B769" s="2" t="s">
        <v>226</v>
      </c>
      <c r="C769" s="5">
        <v>45047</v>
      </c>
      <c r="D769" s="2" t="s">
        <v>188</v>
      </c>
      <c r="E769" s="3">
        <v>2408</v>
      </c>
      <c r="F769" s="8">
        <v>2.0127000000000002</v>
      </c>
      <c r="G769" s="4">
        <v>251.0025</v>
      </c>
      <c r="H769" s="4">
        <v>629.94569999999999</v>
      </c>
      <c r="I769" s="4">
        <v>12.635</v>
      </c>
      <c r="J769" s="4">
        <v>12.815</v>
      </c>
      <c r="K769" s="4">
        <v>11.657500000000001</v>
      </c>
      <c r="L769" s="4">
        <v>12.6775</v>
      </c>
      <c r="M769" s="7">
        <v>3.3999999999999998E-3</v>
      </c>
    </row>
    <row r="770" spans="1:13" x14ac:dyDescent="0.2">
      <c r="A770" s="6">
        <v>45056</v>
      </c>
      <c r="B770" s="2" t="s">
        <v>224</v>
      </c>
      <c r="C770" s="5">
        <v>45047</v>
      </c>
      <c r="D770" s="2" t="s">
        <v>188</v>
      </c>
      <c r="E770" s="3">
        <v>2390</v>
      </c>
      <c r="F770" s="8">
        <v>1.744</v>
      </c>
      <c r="G770" s="4">
        <v>221.45590000000001</v>
      </c>
      <c r="H770" s="4">
        <v>517.40470000000005</v>
      </c>
      <c r="I770" s="4">
        <v>12.6775</v>
      </c>
      <c r="J770" s="4">
        <v>13.297499999999999</v>
      </c>
      <c r="K770" s="4">
        <v>11.5425</v>
      </c>
      <c r="L770" s="4">
        <v>13.0825</v>
      </c>
      <c r="M770" s="7">
        <v>3.1899999999999998E-2</v>
      </c>
    </row>
    <row r="771" spans="1:13" x14ac:dyDescent="0.2">
      <c r="A771" s="6">
        <v>45057</v>
      </c>
      <c r="B771" s="2" t="s">
        <v>227</v>
      </c>
      <c r="C771" s="5">
        <v>45047</v>
      </c>
      <c r="D771" s="2" t="s">
        <v>188</v>
      </c>
      <c r="E771" s="3">
        <v>2364</v>
      </c>
      <c r="F771" s="8">
        <v>1.8686</v>
      </c>
      <c r="G771" s="4">
        <v>231.3955</v>
      </c>
      <c r="H771" s="4">
        <v>571.0838</v>
      </c>
      <c r="I771" s="4">
        <v>13.0825</v>
      </c>
      <c r="J771" s="4">
        <v>13.74</v>
      </c>
      <c r="K771" s="4">
        <v>12.815</v>
      </c>
      <c r="L771" s="4">
        <v>13.215</v>
      </c>
      <c r="M771" s="7">
        <v>1.01E-2</v>
      </c>
    </row>
    <row r="772" spans="1:13" x14ac:dyDescent="0.2">
      <c r="A772" s="6">
        <v>45058</v>
      </c>
      <c r="B772" s="2" t="s">
        <v>225</v>
      </c>
      <c r="C772" s="5">
        <v>45047</v>
      </c>
      <c r="D772" s="2" t="s">
        <v>188</v>
      </c>
      <c r="E772" s="3">
        <v>2361</v>
      </c>
      <c r="F772" s="8">
        <v>1.9104000000000001</v>
      </c>
      <c r="G772" s="4">
        <v>216.6763</v>
      </c>
      <c r="H772" s="4">
        <v>538.07910000000004</v>
      </c>
      <c r="I772" s="4">
        <v>13.215</v>
      </c>
      <c r="J772" s="4">
        <v>13.51</v>
      </c>
      <c r="K772" s="4">
        <v>12.737500000000001</v>
      </c>
      <c r="L772" s="4">
        <v>12.852499999999999</v>
      </c>
      <c r="M772" s="7">
        <v>-2.7400000000000001E-2</v>
      </c>
    </row>
    <row r="773" spans="1:13" x14ac:dyDescent="0.2">
      <c r="A773" s="6">
        <v>45061</v>
      </c>
      <c r="B773" s="2" t="s">
        <v>228</v>
      </c>
      <c r="C773" s="5">
        <v>45047</v>
      </c>
      <c r="D773" s="2" t="s">
        <v>188</v>
      </c>
      <c r="E773" s="3">
        <v>2427</v>
      </c>
      <c r="F773" s="8">
        <v>1.9371</v>
      </c>
      <c r="G773" s="4">
        <v>215.13140000000001</v>
      </c>
      <c r="H773" s="4">
        <v>511.904</v>
      </c>
      <c r="I773" s="4">
        <v>12.852499999999999</v>
      </c>
      <c r="J773" s="4">
        <v>13.615</v>
      </c>
      <c r="K773" s="4">
        <v>12.5375</v>
      </c>
      <c r="L773" s="4">
        <v>13.172499999999999</v>
      </c>
      <c r="M773" s="7">
        <v>2.4899999999999999E-2</v>
      </c>
    </row>
    <row r="774" spans="1:13" x14ac:dyDescent="0.2">
      <c r="A774" s="6">
        <v>45062</v>
      </c>
      <c r="B774" s="2" t="s">
        <v>226</v>
      </c>
      <c r="C774" s="5">
        <v>45047</v>
      </c>
      <c r="D774" s="2" t="s">
        <v>188</v>
      </c>
      <c r="E774" s="3">
        <v>2371</v>
      </c>
      <c r="F774" s="8">
        <v>1.9404999999999999</v>
      </c>
      <c r="G774" s="4">
        <v>255.2071</v>
      </c>
      <c r="H774" s="4">
        <v>564.76220000000001</v>
      </c>
      <c r="I774" s="4">
        <v>13.172499999999999</v>
      </c>
      <c r="J774" s="4">
        <v>13.484999999999999</v>
      </c>
      <c r="K774" s="4">
        <v>11.71</v>
      </c>
      <c r="L774" s="4">
        <v>13.2925</v>
      </c>
      <c r="M774" s="7">
        <v>9.1000000000000004E-3</v>
      </c>
    </row>
    <row r="775" spans="1:13" x14ac:dyDescent="0.2">
      <c r="A775" s="6">
        <v>45063</v>
      </c>
      <c r="B775" s="2" t="s">
        <v>224</v>
      </c>
      <c r="C775" s="5">
        <v>45047</v>
      </c>
      <c r="D775" s="2" t="s">
        <v>188</v>
      </c>
      <c r="E775" s="3">
        <v>2369</v>
      </c>
      <c r="F775" s="8">
        <v>1.9376</v>
      </c>
      <c r="G775" s="4">
        <v>235.86590000000001</v>
      </c>
      <c r="H775" s="4">
        <v>551.10640000000001</v>
      </c>
      <c r="I775" s="4">
        <v>13.2925</v>
      </c>
      <c r="J775" s="4">
        <v>13.58</v>
      </c>
      <c r="K775" s="4">
        <v>11.895</v>
      </c>
      <c r="L775" s="4">
        <v>13.105</v>
      </c>
      <c r="M775" s="7">
        <v>-1.41E-2</v>
      </c>
    </row>
    <row r="776" spans="1:13" x14ac:dyDescent="0.2">
      <c r="A776" s="6">
        <v>45064</v>
      </c>
      <c r="B776" s="2" t="s">
        <v>227</v>
      </c>
      <c r="C776" s="5">
        <v>45047</v>
      </c>
      <c r="D776" s="2" t="s">
        <v>188</v>
      </c>
      <c r="E776" s="3">
        <v>2364</v>
      </c>
      <c r="F776" s="8">
        <v>1.8216000000000001</v>
      </c>
      <c r="G776" s="4">
        <v>229.2303</v>
      </c>
      <c r="H776" s="4">
        <v>562.5154</v>
      </c>
      <c r="I776" s="4">
        <v>13.105</v>
      </c>
      <c r="J776" s="4">
        <v>13.105</v>
      </c>
      <c r="K776" s="4">
        <v>11.137499999999999</v>
      </c>
      <c r="L776" s="4">
        <v>12.795</v>
      </c>
      <c r="M776" s="7">
        <v>-2.3699999999999999E-2</v>
      </c>
    </row>
    <row r="777" spans="1:13" x14ac:dyDescent="0.2">
      <c r="A777" s="6">
        <v>45065</v>
      </c>
      <c r="B777" s="2" t="s">
        <v>225</v>
      </c>
      <c r="C777" s="5">
        <v>45047</v>
      </c>
      <c r="D777" s="2" t="s">
        <v>188</v>
      </c>
      <c r="E777" s="3">
        <v>2376</v>
      </c>
      <c r="F777" s="8">
        <v>1.8111999999999999</v>
      </c>
      <c r="G777" s="4">
        <v>214.20660000000001</v>
      </c>
      <c r="H777" s="4">
        <v>550.84370000000001</v>
      </c>
      <c r="I777" s="4">
        <v>12.795</v>
      </c>
      <c r="J777" s="4">
        <v>12.82</v>
      </c>
      <c r="K777" s="4">
        <v>11.6875</v>
      </c>
      <c r="L777" s="4">
        <v>12.3025</v>
      </c>
      <c r="M777" s="7">
        <v>-3.85E-2</v>
      </c>
    </row>
    <row r="778" spans="1:13" x14ac:dyDescent="0.2">
      <c r="A778" s="6">
        <v>45068</v>
      </c>
      <c r="B778" s="2" t="s">
        <v>228</v>
      </c>
      <c r="C778" s="5">
        <v>45047</v>
      </c>
      <c r="D778" s="2" t="s">
        <v>188</v>
      </c>
      <c r="E778" s="3">
        <v>2430</v>
      </c>
      <c r="F778" s="8">
        <v>1.8613999999999999</v>
      </c>
      <c r="G778" s="4">
        <v>238.07079999999999</v>
      </c>
      <c r="H778" s="4">
        <v>577.91089999999997</v>
      </c>
      <c r="I778" s="4">
        <v>12.3025</v>
      </c>
      <c r="J778" s="4">
        <v>12.82</v>
      </c>
      <c r="K778" s="4">
        <v>11.555</v>
      </c>
      <c r="L778" s="4">
        <v>12.57</v>
      </c>
      <c r="M778" s="7">
        <v>2.1700000000000001E-2</v>
      </c>
    </row>
    <row r="779" spans="1:13" x14ac:dyDescent="0.2">
      <c r="A779" s="6">
        <v>45069</v>
      </c>
      <c r="B779" s="2" t="s">
        <v>226</v>
      </c>
      <c r="C779" s="5">
        <v>45047</v>
      </c>
      <c r="D779" s="2" t="s">
        <v>188</v>
      </c>
      <c r="E779" s="3">
        <v>2366</v>
      </c>
      <c r="F779" s="8">
        <v>1.8962000000000001</v>
      </c>
      <c r="G779" s="4">
        <v>239.74170000000001</v>
      </c>
      <c r="H779" s="4">
        <v>598.54330000000004</v>
      </c>
      <c r="I779" s="4">
        <v>12.57</v>
      </c>
      <c r="J779" s="4">
        <v>13.074999999999999</v>
      </c>
      <c r="K779" s="4">
        <v>12.317500000000001</v>
      </c>
      <c r="L779" s="4">
        <v>12.605</v>
      </c>
      <c r="M779" s="7">
        <v>2.8E-3</v>
      </c>
    </row>
    <row r="780" spans="1:13" x14ac:dyDescent="0.2">
      <c r="A780" s="6">
        <v>45070</v>
      </c>
      <c r="B780" s="2" t="s">
        <v>224</v>
      </c>
      <c r="C780" s="5">
        <v>45047</v>
      </c>
      <c r="D780" s="2" t="s">
        <v>188</v>
      </c>
      <c r="E780" s="3">
        <v>2377</v>
      </c>
      <c r="F780" s="8">
        <v>1.8653999999999999</v>
      </c>
      <c r="G780" s="4">
        <v>252.11949999999999</v>
      </c>
      <c r="H780" s="4">
        <v>600.24950000000001</v>
      </c>
      <c r="I780" s="4">
        <v>12.605</v>
      </c>
      <c r="J780" s="4">
        <v>13.4375</v>
      </c>
      <c r="K780" s="4">
        <v>12.41</v>
      </c>
      <c r="L780" s="4">
        <v>13.112500000000001</v>
      </c>
      <c r="M780" s="7">
        <v>4.0300000000000002E-2</v>
      </c>
    </row>
    <row r="781" spans="1:13" x14ac:dyDescent="0.2">
      <c r="A781" s="6">
        <v>45071</v>
      </c>
      <c r="B781" s="2" t="s">
        <v>227</v>
      </c>
      <c r="C781" s="5">
        <v>45047</v>
      </c>
      <c r="D781" s="2" t="s">
        <v>188</v>
      </c>
      <c r="E781" s="3">
        <v>2348</v>
      </c>
      <c r="F781" s="8">
        <v>1.8148</v>
      </c>
      <c r="G781" s="4">
        <v>279.73860000000002</v>
      </c>
      <c r="H781" s="4">
        <v>555.52260000000001</v>
      </c>
      <c r="I781" s="4">
        <v>13.112500000000001</v>
      </c>
      <c r="J781" s="4">
        <v>13.1325</v>
      </c>
      <c r="K781" s="4">
        <v>8.1824999999999992</v>
      </c>
      <c r="L781" s="4">
        <v>12.52</v>
      </c>
      <c r="M781" s="7">
        <v>-4.5199999999999997E-2</v>
      </c>
    </row>
    <row r="782" spans="1:13" x14ac:dyDescent="0.2">
      <c r="A782" s="6">
        <v>45072</v>
      </c>
      <c r="B782" s="2" t="s">
        <v>225</v>
      </c>
      <c r="C782" s="5">
        <v>45047</v>
      </c>
      <c r="D782" s="2" t="s">
        <v>188</v>
      </c>
      <c r="E782" s="3">
        <v>2369</v>
      </c>
      <c r="F782" s="8">
        <v>1.8037000000000001</v>
      </c>
      <c r="G782" s="4">
        <v>248.785</v>
      </c>
      <c r="H782" s="4">
        <v>545.8578</v>
      </c>
      <c r="I782" s="4">
        <v>12.52</v>
      </c>
      <c r="J782" s="4">
        <v>12.8575</v>
      </c>
      <c r="K782" s="4">
        <v>11.7</v>
      </c>
      <c r="L782" s="4">
        <v>11.9</v>
      </c>
      <c r="M782" s="7">
        <v>-4.9500000000000002E-2</v>
      </c>
    </row>
    <row r="783" spans="1:13" x14ac:dyDescent="0.2">
      <c r="A783" s="6">
        <v>45075</v>
      </c>
      <c r="B783" s="2" t="s">
        <v>228</v>
      </c>
      <c r="C783" s="5">
        <v>45047</v>
      </c>
      <c r="D783" s="2" t="s">
        <v>188</v>
      </c>
      <c r="E783" s="3">
        <v>2436</v>
      </c>
      <c r="F783" s="8">
        <v>1.8593</v>
      </c>
      <c r="G783" s="4">
        <v>266.68599999999998</v>
      </c>
      <c r="H783" s="4">
        <v>533.31299999999999</v>
      </c>
      <c r="I783" s="4">
        <v>11.9</v>
      </c>
      <c r="J783" s="4">
        <v>12.4925</v>
      </c>
      <c r="K783" s="4">
        <v>8.8074999999999992</v>
      </c>
      <c r="L783" s="4">
        <v>12.297499999999999</v>
      </c>
      <c r="M783" s="7">
        <v>3.3399999999999999E-2</v>
      </c>
    </row>
    <row r="784" spans="1:13" x14ac:dyDescent="0.2">
      <c r="A784" s="6">
        <v>45076</v>
      </c>
      <c r="B784" s="2" t="s">
        <v>226</v>
      </c>
      <c r="C784" s="5">
        <v>45047</v>
      </c>
      <c r="D784" s="2" t="s">
        <v>188</v>
      </c>
      <c r="E784" s="3">
        <v>2391</v>
      </c>
      <c r="F784" s="8">
        <v>1.7967</v>
      </c>
      <c r="G784" s="4">
        <v>243.68369999999999</v>
      </c>
      <c r="H784" s="4">
        <v>548.67639999999994</v>
      </c>
      <c r="I784" s="4">
        <v>12.297499999999999</v>
      </c>
      <c r="J784" s="4">
        <v>12.38</v>
      </c>
      <c r="K784" s="4">
        <v>11.7675</v>
      </c>
      <c r="L784" s="4">
        <v>12.01</v>
      </c>
      <c r="M784" s="7">
        <v>-2.3400000000000001E-2</v>
      </c>
    </row>
    <row r="785" spans="1:13" x14ac:dyDescent="0.2">
      <c r="A785" s="6">
        <v>45077</v>
      </c>
      <c r="B785" s="2" t="s">
        <v>224</v>
      </c>
      <c r="C785" s="5">
        <v>45047</v>
      </c>
      <c r="D785" s="2" t="s">
        <v>188</v>
      </c>
      <c r="E785" s="3">
        <v>2380</v>
      </c>
      <c r="F785" s="8">
        <v>2.3125</v>
      </c>
      <c r="G785" s="4">
        <v>433.94279999999998</v>
      </c>
      <c r="H785" s="4">
        <v>1358.7869000000001</v>
      </c>
      <c r="I785" s="4">
        <v>12.01</v>
      </c>
      <c r="J785" s="4">
        <v>12.467499999999999</v>
      </c>
      <c r="K785" s="4">
        <v>11.58</v>
      </c>
      <c r="L785" s="4">
        <v>11.9725</v>
      </c>
      <c r="M785" s="7">
        <v>-3.0999999999999999E-3</v>
      </c>
    </row>
    <row r="786" spans="1:13" x14ac:dyDescent="0.2">
      <c r="A786" s="6">
        <v>45078</v>
      </c>
      <c r="B786" s="2" t="s">
        <v>227</v>
      </c>
      <c r="C786" s="5">
        <v>45078</v>
      </c>
      <c r="D786" s="2" t="s">
        <v>188</v>
      </c>
      <c r="E786" s="3">
        <v>2435</v>
      </c>
      <c r="F786" s="8">
        <v>1.9338</v>
      </c>
      <c r="G786" s="4">
        <v>267.06790000000001</v>
      </c>
      <c r="H786" s="4">
        <v>584.20709999999997</v>
      </c>
      <c r="I786" s="4">
        <v>11.9725</v>
      </c>
      <c r="J786" s="4">
        <v>11.9725</v>
      </c>
      <c r="K786" s="4">
        <v>11.22</v>
      </c>
      <c r="L786" s="4">
        <v>11.5975</v>
      </c>
      <c r="M786" s="7">
        <v>-3.1300000000000001E-2</v>
      </c>
    </row>
    <row r="787" spans="1:13" x14ac:dyDescent="0.2">
      <c r="A787" s="6">
        <v>45079</v>
      </c>
      <c r="B787" s="2" t="s">
        <v>225</v>
      </c>
      <c r="C787" s="5">
        <v>45078</v>
      </c>
      <c r="D787" s="2" t="s">
        <v>188</v>
      </c>
      <c r="E787" s="3">
        <v>2414</v>
      </c>
      <c r="F787" s="8">
        <v>2.0354000000000001</v>
      </c>
      <c r="G787" s="4">
        <v>276.72480000000002</v>
      </c>
      <c r="H787" s="4">
        <v>591.49459999999999</v>
      </c>
      <c r="I787" s="4">
        <v>11.5975</v>
      </c>
      <c r="J787" s="4">
        <v>11.734999999999999</v>
      </c>
      <c r="K787" s="4">
        <v>10.86</v>
      </c>
      <c r="L787" s="4">
        <v>11.125</v>
      </c>
      <c r="M787" s="7">
        <v>-4.07E-2</v>
      </c>
    </row>
    <row r="788" spans="1:13" x14ac:dyDescent="0.2">
      <c r="A788" s="6">
        <v>45082</v>
      </c>
      <c r="B788" s="2" t="s">
        <v>228</v>
      </c>
      <c r="C788" s="5">
        <v>45078</v>
      </c>
      <c r="D788" s="2" t="s">
        <v>188</v>
      </c>
      <c r="E788" s="3">
        <v>2465</v>
      </c>
      <c r="F788" s="8">
        <v>1.9911000000000001</v>
      </c>
      <c r="G788" s="4">
        <v>265.3929</v>
      </c>
      <c r="H788" s="4">
        <v>576.18290000000002</v>
      </c>
      <c r="I788" s="4">
        <v>11.125</v>
      </c>
      <c r="J788" s="4">
        <v>11.335000000000001</v>
      </c>
      <c r="K788" s="4">
        <v>10.3225</v>
      </c>
      <c r="L788" s="4">
        <v>11.137499999999999</v>
      </c>
      <c r="M788" s="7">
        <v>1.1000000000000001E-3</v>
      </c>
    </row>
    <row r="789" spans="1:13" x14ac:dyDescent="0.2">
      <c r="A789" s="6">
        <v>45083</v>
      </c>
      <c r="B789" s="2" t="s">
        <v>226</v>
      </c>
      <c r="C789" s="5">
        <v>45078</v>
      </c>
      <c r="D789" s="2" t="s">
        <v>188</v>
      </c>
      <c r="E789" s="3">
        <v>2417</v>
      </c>
      <c r="F789" s="8">
        <v>1.9359</v>
      </c>
      <c r="G789" s="4">
        <v>259.90929999999997</v>
      </c>
      <c r="H789" s="4">
        <v>576.40949999999998</v>
      </c>
      <c r="I789" s="4">
        <v>11.137499999999999</v>
      </c>
      <c r="J789" s="4">
        <v>11.6175</v>
      </c>
      <c r="K789" s="4">
        <v>10.465</v>
      </c>
      <c r="L789" s="4">
        <v>11.38</v>
      </c>
      <c r="M789" s="7">
        <v>2.18E-2</v>
      </c>
    </row>
    <row r="790" spans="1:13" x14ac:dyDescent="0.2">
      <c r="A790" s="6">
        <v>45084</v>
      </c>
      <c r="B790" s="2" t="s">
        <v>224</v>
      </c>
      <c r="C790" s="5">
        <v>45078</v>
      </c>
      <c r="D790" s="2" t="s">
        <v>188</v>
      </c>
      <c r="E790" s="3">
        <v>2435</v>
      </c>
      <c r="F790" s="8">
        <v>2.0510000000000002</v>
      </c>
      <c r="G790" s="4">
        <v>461.53390000000002</v>
      </c>
      <c r="H790" s="4">
        <v>609.84069999999997</v>
      </c>
      <c r="I790" s="4">
        <v>11.38</v>
      </c>
      <c r="J790" s="4">
        <v>11.5375</v>
      </c>
      <c r="K790" s="4">
        <v>9.6374999999999993</v>
      </c>
      <c r="L790" s="4">
        <v>11.442500000000001</v>
      </c>
      <c r="M790" s="7">
        <v>5.4999999999999997E-3</v>
      </c>
    </row>
    <row r="791" spans="1:13" x14ac:dyDescent="0.2">
      <c r="A791" s="6">
        <v>45085</v>
      </c>
      <c r="B791" s="2" t="s">
        <v>227</v>
      </c>
      <c r="C791" s="5">
        <v>45078</v>
      </c>
      <c r="D791" s="2" t="s">
        <v>188</v>
      </c>
      <c r="E791" s="3">
        <v>2416</v>
      </c>
      <c r="F791" s="8">
        <v>1.9775</v>
      </c>
      <c r="G791" s="4">
        <v>360.8245</v>
      </c>
      <c r="H791" s="4">
        <v>605.25869999999998</v>
      </c>
      <c r="I791" s="4">
        <v>11.442500000000001</v>
      </c>
      <c r="J791" s="4">
        <v>11.567500000000001</v>
      </c>
      <c r="K791" s="4">
        <v>10.130000000000001</v>
      </c>
      <c r="L791" s="4">
        <v>11.2575</v>
      </c>
      <c r="M791" s="7">
        <v>-1.6199999999999999E-2</v>
      </c>
    </row>
    <row r="792" spans="1:13" x14ac:dyDescent="0.2">
      <c r="A792" s="6">
        <v>45086</v>
      </c>
      <c r="B792" s="2" t="s">
        <v>225</v>
      </c>
      <c r="C792" s="5">
        <v>45078</v>
      </c>
      <c r="D792" s="2" t="s">
        <v>188</v>
      </c>
      <c r="E792" s="3">
        <v>2408</v>
      </c>
      <c r="F792" s="8">
        <v>1.8883000000000001</v>
      </c>
      <c r="G792" s="4">
        <v>287.02050000000003</v>
      </c>
      <c r="H792" s="4">
        <v>558.78200000000004</v>
      </c>
      <c r="I792" s="4">
        <v>11.2575</v>
      </c>
      <c r="J792" s="4">
        <v>11.297499999999999</v>
      </c>
      <c r="K792" s="4">
        <v>10.307499999999999</v>
      </c>
      <c r="L792" s="4">
        <v>11.12</v>
      </c>
      <c r="M792" s="7">
        <v>-1.2200000000000001E-2</v>
      </c>
    </row>
    <row r="793" spans="1:13" x14ac:dyDescent="0.2">
      <c r="A793" s="6">
        <v>45089</v>
      </c>
      <c r="B793" s="2" t="s">
        <v>228</v>
      </c>
      <c r="C793" s="5">
        <v>45078</v>
      </c>
      <c r="D793" s="2" t="s">
        <v>188</v>
      </c>
      <c r="E793" s="3">
        <v>2440</v>
      </c>
      <c r="F793" s="8">
        <v>1.8821000000000001</v>
      </c>
      <c r="G793" s="4">
        <v>306.43450000000001</v>
      </c>
      <c r="H793" s="4">
        <v>504.55009999999999</v>
      </c>
      <c r="I793" s="4">
        <v>11.12</v>
      </c>
      <c r="J793" s="4">
        <v>11.8025</v>
      </c>
      <c r="K793" s="4">
        <v>10.5825</v>
      </c>
      <c r="L793" s="4">
        <v>11.244999999999999</v>
      </c>
      <c r="M793" s="7">
        <v>1.12E-2</v>
      </c>
    </row>
    <row r="794" spans="1:13" x14ac:dyDescent="0.2">
      <c r="A794" s="6">
        <v>45090</v>
      </c>
      <c r="B794" s="2" t="s">
        <v>226</v>
      </c>
      <c r="C794" s="5">
        <v>45078</v>
      </c>
      <c r="D794" s="2" t="s">
        <v>188</v>
      </c>
      <c r="E794" s="3">
        <v>2440</v>
      </c>
      <c r="F794" s="8">
        <v>2.0836000000000001</v>
      </c>
      <c r="G794" s="4">
        <v>326.51690000000002</v>
      </c>
      <c r="H794" s="4">
        <v>623.64970000000005</v>
      </c>
      <c r="I794" s="4">
        <v>11.244999999999999</v>
      </c>
      <c r="J794" s="4">
        <v>11.25</v>
      </c>
      <c r="K794" s="4">
        <v>9.99</v>
      </c>
      <c r="L794" s="4">
        <v>11.11</v>
      </c>
      <c r="M794" s="7">
        <v>-1.2E-2</v>
      </c>
    </row>
    <row r="795" spans="1:13" x14ac:dyDescent="0.2">
      <c r="A795" s="6">
        <v>45091</v>
      </c>
      <c r="B795" s="2" t="s">
        <v>224</v>
      </c>
      <c r="C795" s="5">
        <v>45078</v>
      </c>
      <c r="D795" s="2" t="s">
        <v>188</v>
      </c>
      <c r="E795" s="3">
        <v>2446</v>
      </c>
      <c r="F795" s="8">
        <v>2.0667</v>
      </c>
      <c r="G795" s="4">
        <v>307.05340000000001</v>
      </c>
      <c r="H795" s="4">
        <v>598.17920000000004</v>
      </c>
      <c r="I795" s="4">
        <v>11.11</v>
      </c>
      <c r="J795" s="4">
        <v>11.3675</v>
      </c>
      <c r="K795" s="4">
        <v>10.6325</v>
      </c>
      <c r="L795" s="4">
        <v>11.1625</v>
      </c>
      <c r="M795" s="7">
        <v>4.7000000000000002E-3</v>
      </c>
    </row>
    <row r="796" spans="1:13" x14ac:dyDescent="0.2">
      <c r="A796" s="6">
        <v>45092</v>
      </c>
      <c r="B796" s="2" t="s">
        <v>227</v>
      </c>
      <c r="C796" s="5">
        <v>45078</v>
      </c>
      <c r="D796" s="2" t="s">
        <v>188</v>
      </c>
      <c r="E796" s="3">
        <v>2436</v>
      </c>
      <c r="F796" s="8">
        <v>2.1970000000000001</v>
      </c>
      <c r="G796" s="4">
        <v>302.06790000000001</v>
      </c>
      <c r="H796" s="4">
        <v>669.75390000000004</v>
      </c>
      <c r="I796" s="4">
        <v>11.1625</v>
      </c>
      <c r="J796" s="4">
        <v>11.37</v>
      </c>
      <c r="K796" s="4">
        <v>9.6925000000000008</v>
      </c>
      <c r="L796" s="4">
        <v>11.08</v>
      </c>
      <c r="M796" s="7">
        <v>-7.4000000000000003E-3</v>
      </c>
    </row>
    <row r="797" spans="1:13" x14ac:dyDescent="0.2">
      <c r="A797" s="6">
        <v>45093</v>
      </c>
      <c r="B797" s="2" t="s">
        <v>225</v>
      </c>
      <c r="C797" s="5">
        <v>45078</v>
      </c>
      <c r="D797" s="2" t="s">
        <v>188</v>
      </c>
      <c r="E797" s="3">
        <v>2440</v>
      </c>
      <c r="F797" s="8">
        <v>2.2406000000000001</v>
      </c>
      <c r="G797" s="4">
        <v>327.62810000000002</v>
      </c>
      <c r="H797" s="4">
        <v>763.83219999999994</v>
      </c>
      <c r="I797" s="4">
        <v>11.08</v>
      </c>
      <c r="J797" s="4">
        <v>11.08</v>
      </c>
      <c r="K797" s="4">
        <v>10.557499999999999</v>
      </c>
      <c r="L797" s="4">
        <v>10.84</v>
      </c>
      <c r="M797" s="7">
        <v>-2.1700000000000001E-2</v>
      </c>
    </row>
    <row r="798" spans="1:13" x14ac:dyDescent="0.2">
      <c r="A798" s="6">
        <v>45096</v>
      </c>
      <c r="B798" s="2" t="s">
        <v>228</v>
      </c>
      <c r="C798" s="5">
        <v>45078</v>
      </c>
      <c r="D798" s="2" t="s">
        <v>188</v>
      </c>
      <c r="E798" s="3">
        <v>2475</v>
      </c>
      <c r="F798" s="8">
        <v>2.04</v>
      </c>
      <c r="G798" s="4">
        <v>285.00749999999999</v>
      </c>
      <c r="H798" s="4">
        <v>619.27739999999994</v>
      </c>
      <c r="I798" s="4">
        <v>10.84</v>
      </c>
      <c r="J798" s="4">
        <v>11.4975</v>
      </c>
      <c r="K798" s="4">
        <v>10.33</v>
      </c>
      <c r="L798" s="4">
        <v>11.225</v>
      </c>
      <c r="M798" s="7">
        <v>3.5499999999999997E-2</v>
      </c>
    </row>
    <row r="799" spans="1:13" x14ac:dyDescent="0.2">
      <c r="A799" s="6">
        <v>45097</v>
      </c>
      <c r="B799" s="2" t="s">
        <v>226</v>
      </c>
      <c r="C799" s="5">
        <v>45078</v>
      </c>
      <c r="D799" s="2" t="s">
        <v>188</v>
      </c>
      <c r="E799" s="3">
        <v>2431</v>
      </c>
      <c r="F799" s="8">
        <v>2.1008</v>
      </c>
      <c r="G799" s="4">
        <v>277.6789</v>
      </c>
      <c r="H799" s="4">
        <v>623.00229999999999</v>
      </c>
      <c r="I799" s="4">
        <v>11.225</v>
      </c>
      <c r="J799" s="4">
        <v>11.4375</v>
      </c>
      <c r="K799" s="4">
        <v>10.567500000000001</v>
      </c>
      <c r="L799" s="4">
        <v>11.1325</v>
      </c>
      <c r="M799" s="7">
        <v>-8.2000000000000007E-3</v>
      </c>
    </row>
    <row r="800" spans="1:13" x14ac:dyDescent="0.2">
      <c r="A800" s="6">
        <v>45098</v>
      </c>
      <c r="B800" s="2" t="s">
        <v>224</v>
      </c>
      <c r="C800" s="5">
        <v>45078</v>
      </c>
      <c r="D800" s="2" t="s">
        <v>188</v>
      </c>
      <c r="E800" s="3">
        <v>2434</v>
      </c>
      <c r="F800" s="8">
        <v>2.2389999999999999</v>
      </c>
      <c r="G800" s="4">
        <v>303.64640000000003</v>
      </c>
      <c r="H800" s="4">
        <v>701.64469999999994</v>
      </c>
      <c r="I800" s="4">
        <v>11.1325</v>
      </c>
      <c r="J800" s="4">
        <v>11.432499999999999</v>
      </c>
      <c r="K800" s="4">
        <v>10.77</v>
      </c>
      <c r="L800" s="4">
        <v>11.2925</v>
      </c>
      <c r="M800" s="7">
        <v>1.44E-2</v>
      </c>
    </row>
    <row r="801" spans="1:13" x14ac:dyDescent="0.2">
      <c r="A801" s="6">
        <v>45099</v>
      </c>
      <c r="B801" s="2" t="s">
        <v>227</v>
      </c>
      <c r="C801" s="5">
        <v>45078</v>
      </c>
      <c r="D801" s="2" t="s">
        <v>188</v>
      </c>
      <c r="E801" s="3">
        <v>2432</v>
      </c>
      <c r="F801" s="8">
        <v>2.1217999999999999</v>
      </c>
      <c r="G801" s="4">
        <v>331.20409999999998</v>
      </c>
      <c r="H801" s="4">
        <v>659.67150000000004</v>
      </c>
      <c r="I801" s="4">
        <v>11.2925</v>
      </c>
      <c r="J801" s="4">
        <v>11.7125</v>
      </c>
      <c r="K801" s="4">
        <v>10.692500000000001</v>
      </c>
      <c r="L801" s="4">
        <v>11.547499999999999</v>
      </c>
      <c r="M801" s="7">
        <v>2.2599999999999999E-2</v>
      </c>
    </row>
    <row r="802" spans="1:13" x14ac:dyDescent="0.2">
      <c r="A802" s="6">
        <v>45100</v>
      </c>
      <c r="B802" s="2" t="s">
        <v>225</v>
      </c>
      <c r="C802" s="5">
        <v>45078</v>
      </c>
      <c r="D802" s="2" t="s">
        <v>188</v>
      </c>
      <c r="E802" s="3">
        <v>2436</v>
      </c>
      <c r="F802" s="8">
        <v>2.0427</v>
      </c>
      <c r="G802" s="4">
        <v>260.36970000000002</v>
      </c>
      <c r="H802" s="4">
        <v>573.29110000000003</v>
      </c>
      <c r="I802" s="4">
        <v>11.547499999999999</v>
      </c>
      <c r="J802" s="4">
        <v>11.8375</v>
      </c>
      <c r="K802" s="4">
        <v>11.1425</v>
      </c>
      <c r="L802" s="4">
        <v>11.234999999999999</v>
      </c>
      <c r="M802" s="7">
        <v>-2.7099999999999999E-2</v>
      </c>
    </row>
    <row r="803" spans="1:13" x14ac:dyDescent="0.2">
      <c r="A803" s="6">
        <v>45103</v>
      </c>
      <c r="B803" s="2" t="s">
        <v>228</v>
      </c>
      <c r="C803" s="5">
        <v>45078</v>
      </c>
      <c r="D803" s="2" t="s">
        <v>188</v>
      </c>
      <c r="E803" s="3">
        <v>2458</v>
      </c>
      <c r="F803" s="8">
        <v>1.8953</v>
      </c>
      <c r="G803" s="4">
        <v>252.3997</v>
      </c>
      <c r="H803" s="4">
        <v>505.26819999999998</v>
      </c>
      <c r="I803" s="4">
        <v>11.234999999999999</v>
      </c>
      <c r="J803" s="4">
        <v>11.925000000000001</v>
      </c>
      <c r="K803" s="4">
        <v>11.234999999999999</v>
      </c>
      <c r="L803" s="4">
        <v>11.395</v>
      </c>
      <c r="M803" s="7">
        <v>1.4200000000000001E-2</v>
      </c>
    </row>
    <row r="804" spans="1:13" x14ac:dyDescent="0.2">
      <c r="A804" s="6">
        <v>45104</v>
      </c>
      <c r="B804" s="2" t="s">
        <v>226</v>
      </c>
      <c r="C804" s="5">
        <v>45078</v>
      </c>
      <c r="D804" s="2" t="s">
        <v>188</v>
      </c>
      <c r="E804" s="3">
        <v>2408</v>
      </c>
      <c r="F804" s="8">
        <v>1.9228000000000001</v>
      </c>
      <c r="G804" s="4">
        <v>264.08569999999997</v>
      </c>
      <c r="H804" s="4">
        <v>567.99879999999996</v>
      </c>
      <c r="I804" s="4">
        <v>11.395</v>
      </c>
      <c r="J804" s="4">
        <v>11.422499999999999</v>
      </c>
      <c r="K804" s="4">
        <v>10.692500000000001</v>
      </c>
      <c r="L804" s="4">
        <v>10.7775</v>
      </c>
      <c r="M804" s="7">
        <v>-5.4199999999999998E-2</v>
      </c>
    </row>
    <row r="805" spans="1:13" x14ac:dyDescent="0.2">
      <c r="A805" s="6">
        <v>45105</v>
      </c>
      <c r="B805" s="2" t="s">
        <v>224</v>
      </c>
      <c r="C805" s="5">
        <v>45078</v>
      </c>
      <c r="D805" s="2" t="s">
        <v>188</v>
      </c>
      <c r="E805" s="3">
        <v>2425</v>
      </c>
      <c r="F805" s="8">
        <v>2.1556999999999999</v>
      </c>
      <c r="G805" s="4">
        <v>294.4658</v>
      </c>
      <c r="H805" s="4">
        <v>820.21280000000002</v>
      </c>
      <c r="I805" s="4">
        <v>10.7775</v>
      </c>
      <c r="J805" s="4">
        <v>11.535</v>
      </c>
      <c r="K805" s="4">
        <v>10.6525</v>
      </c>
      <c r="L805" s="4">
        <v>10.887499999999999</v>
      </c>
      <c r="M805" s="7">
        <v>1.0200000000000001E-2</v>
      </c>
    </row>
    <row r="806" spans="1:13" x14ac:dyDescent="0.2">
      <c r="A806" s="6">
        <v>45107</v>
      </c>
      <c r="B806" s="2" t="s">
        <v>225</v>
      </c>
      <c r="C806" s="5">
        <v>45078</v>
      </c>
      <c r="D806" s="2" t="s">
        <v>188</v>
      </c>
      <c r="E806" s="3">
        <v>2456</v>
      </c>
      <c r="F806" s="8">
        <v>2.3637000000000001</v>
      </c>
      <c r="G806" s="4">
        <v>322.4554</v>
      </c>
      <c r="H806" s="4">
        <v>757.64880000000005</v>
      </c>
      <c r="I806" s="4">
        <v>10.887499999999999</v>
      </c>
      <c r="J806" s="4">
        <v>11.215</v>
      </c>
      <c r="K806" s="4">
        <v>10.07</v>
      </c>
      <c r="L806" s="4">
        <v>10.8</v>
      </c>
      <c r="M806" s="7">
        <v>-8.0000000000000002E-3</v>
      </c>
    </row>
    <row r="807" spans="1:13" x14ac:dyDescent="0.2">
      <c r="A807" s="6">
        <v>45110</v>
      </c>
      <c r="B807" s="2" t="s">
        <v>228</v>
      </c>
      <c r="C807" s="5">
        <v>45108</v>
      </c>
      <c r="D807" s="2" t="s">
        <v>189</v>
      </c>
      <c r="E807" s="3">
        <v>2492</v>
      </c>
      <c r="F807" s="8">
        <v>2.2044000000000001</v>
      </c>
      <c r="G807" s="4">
        <v>351.27229999999997</v>
      </c>
      <c r="H807" s="4">
        <v>617.55150000000003</v>
      </c>
      <c r="I807" s="4">
        <v>10.8</v>
      </c>
      <c r="J807" s="4">
        <v>12.03</v>
      </c>
      <c r="K807" s="4">
        <v>10.8</v>
      </c>
      <c r="L807" s="4">
        <v>11.54</v>
      </c>
      <c r="M807" s="7">
        <v>6.8500000000000005E-2</v>
      </c>
    </row>
    <row r="808" spans="1:13" x14ac:dyDescent="0.2">
      <c r="A808" s="6">
        <v>45111</v>
      </c>
      <c r="B808" s="2" t="s">
        <v>226</v>
      </c>
      <c r="C808" s="5">
        <v>45108</v>
      </c>
      <c r="D808" s="2" t="s">
        <v>189</v>
      </c>
      <c r="E808" s="3">
        <v>2458</v>
      </c>
      <c r="F808" s="8">
        <v>2.1480999999999999</v>
      </c>
      <c r="G808" s="4">
        <v>410.5806</v>
      </c>
      <c r="H808" s="4">
        <v>659.96529999999996</v>
      </c>
      <c r="I808" s="4">
        <v>11.54</v>
      </c>
      <c r="J808" s="4">
        <v>11.99</v>
      </c>
      <c r="K808" s="4">
        <v>11.522500000000001</v>
      </c>
      <c r="L808" s="4">
        <v>11.7</v>
      </c>
      <c r="M808" s="7">
        <v>1.3899999999999999E-2</v>
      </c>
    </row>
    <row r="809" spans="1:13" x14ac:dyDescent="0.2">
      <c r="A809" s="6">
        <v>45112</v>
      </c>
      <c r="B809" s="2" t="s">
        <v>224</v>
      </c>
      <c r="C809" s="5">
        <v>45108</v>
      </c>
      <c r="D809" s="2" t="s">
        <v>189</v>
      </c>
      <c r="E809" s="3">
        <v>2427</v>
      </c>
      <c r="F809" s="8">
        <v>2.2383999999999999</v>
      </c>
      <c r="G809" s="4">
        <v>348.94639999999998</v>
      </c>
      <c r="H809" s="4">
        <v>663.86469999999997</v>
      </c>
      <c r="I809" s="4">
        <v>11.7</v>
      </c>
      <c r="J809" s="4">
        <v>12.21</v>
      </c>
      <c r="K809" s="4">
        <v>11.567500000000001</v>
      </c>
      <c r="L809" s="4">
        <v>11.8825</v>
      </c>
      <c r="M809" s="7">
        <v>1.5599999999999999E-2</v>
      </c>
    </row>
    <row r="810" spans="1:13" x14ac:dyDescent="0.2">
      <c r="A810" s="6">
        <v>45113</v>
      </c>
      <c r="B810" s="2" t="s">
        <v>227</v>
      </c>
      <c r="C810" s="5">
        <v>45108</v>
      </c>
      <c r="D810" s="2" t="s">
        <v>189</v>
      </c>
      <c r="E810" s="3">
        <v>2455</v>
      </c>
      <c r="F810" s="8">
        <v>2.2673999999999999</v>
      </c>
      <c r="G810" s="4">
        <v>374.72609999999997</v>
      </c>
      <c r="H810" s="4">
        <v>730.8691</v>
      </c>
      <c r="I810" s="4">
        <v>11.8825</v>
      </c>
      <c r="J810" s="4">
        <v>12.205</v>
      </c>
      <c r="K810" s="4">
        <v>11.7775</v>
      </c>
      <c r="L810" s="4">
        <v>11.84</v>
      </c>
      <c r="M810" s="7">
        <v>-3.5999999999999999E-3</v>
      </c>
    </row>
    <row r="811" spans="1:13" x14ac:dyDescent="0.2">
      <c r="A811" s="6">
        <v>45114</v>
      </c>
      <c r="B811" s="2" t="s">
        <v>225</v>
      </c>
      <c r="C811" s="5">
        <v>45108</v>
      </c>
      <c r="D811" s="2" t="s">
        <v>189</v>
      </c>
      <c r="E811" s="3">
        <v>2435</v>
      </c>
      <c r="F811" s="8">
        <v>2.2995000000000001</v>
      </c>
      <c r="G811" s="4">
        <v>337.39920000000001</v>
      </c>
      <c r="H811" s="4">
        <v>686.06119999999999</v>
      </c>
      <c r="I811" s="4">
        <v>11.84</v>
      </c>
      <c r="J811" s="4">
        <v>12.0725</v>
      </c>
      <c r="K811" s="4">
        <v>11.08</v>
      </c>
      <c r="L811" s="4">
        <v>11.532500000000001</v>
      </c>
      <c r="M811" s="7">
        <v>-2.5999999999999999E-2</v>
      </c>
    </row>
    <row r="812" spans="1:13" x14ac:dyDescent="0.2">
      <c r="A812" s="6">
        <v>45117</v>
      </c>
      <c r="B812" s="2" t="s">
        <v>228</v>
      </c>
      <c r="C812" s="5">
        <v>45108</v>
      </c>
      <c r="D812" s="2" t="s">
        <v>189</v>
      </c>
      <c r="E812" s="3">
        <v>2475</v>
      </c>
      <c r="F812" s="8">
        <v>2.1315</v>
      </c>
      <c r="G812" s="4">
        <v>268.76949999999999</v>
      </c>
      <c r="H812" s="4">
        <v>652.26160000000004</v>
      </c>
      <c r="I812" s="4">
        <v>11.532500000000001</v>
      </c>
      <c r="J812" s="4">
        <v>12.01</v>
      </c>
      <c r="K812" s="4">
        <v>11.36</v>
      </c>
      <c r="L812" s="4">
        <v>11.4625</v>
      </c>
      <c r="M812" s="7">
        <v>-6.1000000000000004E-3</v>
      </c>
    </row>
    <row r="813" spans="1:13" x14ac:dyDescent="0.2">
      <c r="A813" s="6">
        <v>45118</v>
      </c>
      <c r="B813" s="2" t="s">
        <v>226</v>
      </c>
      <c r="C813" s="5">
        <v>45108</v>
      </c>
      <c r="D813" s="2" t="s">
        <v>189</v>
      </c>
      <c r="E813" s="3">
        <v>2433</v>
      </c>
      <c r="F813" s="8">
        <v>2.2909999999999999</v>
      </c>
      <c r="G813" s="4">
        <v>286.36200000000002</v>
      </c>
      <c r="H813" s="4">
        <v>715.26679999999999</v>
      </c>
      <c r="I813" s="4">
        <v>11.4625</v>
      </c>
      <c r="J813" s="4">
        <v>11.4625</v>
      </c>
      <c r="K813" s="4">
        <v>10.945</v>
      </c>
      <c r="L813" s="4">
        <v>11.012499999999999</v>
      </c>
      <c r="M813" s="7">
        <v>-3.9300000000000002E-2</v>
      </c>
    </row>
    <row r="814" spans="1:13" x14ac:dyDescent="0.2">
      <c r="A814" s="6">
        <v>45119</v>
      </c>
      <c r="B814" s="2" t="s">
        <v>224</v>
      </c>
      <c r="C814" s="5">
        <v>45108</v>
      </c>
      <c r="D814" s="2" t="s">
        <v>189</v>
      </c>
      <c r="E814" s="3">
        <v>2427</v>
      </c>
      <c r="F814" s="8">
        <v>2.4609999999999999</v>
      </c>
      <c r="G814" s="4">
        <v>333.21449999999999</v>
      </c>
      <c r="H814" s="4">
        <v>907.02279999999996</v>
      </c>
      <c r="I814" s="4">
        <v>11.012499999999999</v>
      </c>
      <c r="J814" s="4">
        <v>11.2</v>
      </c>
      <c r="K814" s="4">
        <v>10.72</v>
      </c>
      <c r="L814" s="4">
        <v>10.935</v>
      </c>
      <c r="M814" s="7">
        <v>-7.0000000000000001E-3</v>
      </c>
    </row>
    <row r="815" spans="1:13" x14ac:dyDescent="0.2">
      <c r="A815" s="6">
        <v>45120</v>
      </c>
      <c r="B815" s="2" t="s">
        <v>227</v>
      </c>
      <c r="C815" s="5">
        <v>45108</v>
      </c>
      <c r="D815" s="2" t="s">
        <v>189</v>
      </c>
      <c r="E815" s="3">
        <v>2441</v>
      </c>
      <c r="F815" s="8">
        <v>2.4973999999999998</v>
      </c>
      <c r="G815" s="4">
        <v>332.75630000000001</v>
      </c>
      <c r="H815" s="4">
        <v>752.14580000000001</v>
      </c>
      <c r="I815" s="4">
        <v>10.935</v>
      </c>
      <c r="J815" s="4">
        <v>11.172499999999999</v>
      </c>
      <c r="K815" s="4">
        <v>10.695</v>
      </c>
      <c r="L815" s="4">
        <v>10.9375</v>
      </c>
      <c r="M815" s="7">
        <v>2.0000000000000001E-4</v>
      </c>
    </row>
    <row r="816" spans="1:13" x14ac:dyDescent="0.2">
      <c r="A816" s="6">
        <v>45121</v>
      </c>
      <c r="B816" s="2" t="s">
        <v>225</v>
      </c>
      <c r="C816" s="5">
        <v>45108</v>
      </c>
      <c r="D816" s="2" t="s">
        <v>189</v>
      </c>
      <c r="E816" s="3">
        <v>2398</v>
      </c>
      <c r="F816" s="8">
        <v>2.2682000000000002</v>
      </c>
      <c r="G816" s="4">
        <v>275.24900000000002</v>
      </c>
      <c r="H816" s="4">
        <v>668.91809999999998</v>
      </c>
      <c r="I816" s="4">
        <v>10.9375</v>
      </c>
      <c r="J816" s="4">
        <v>10.9375</v>
      </c>
      <c r="K816" s="4">
        <v>10.612500000000001</v>
      </c>
      <c r="L816" s="4">
        <v>10.682499999999999</v>
      </c>
      <c r="M816" s="7">
        <v>-2.3300000000000001E-2</v>
      </c>
    </row>
    <row r="817" spans="1:13" x14ac:dyDescent="0.2">
      <c r="A817" s="6">
        <v>45124</v>
      </c>
      <c r="B817" s="2" t="s">
        <v>228</v>
      </c>
      <c r="C817" s="5">
        <v>45108</v>
      </c>
      <c r="D817" s="2" t="s">
        <v>189</v>
      </c>
      <c r="E817" s="3">
        <v>2518</v>
      </c>
      <c r="F817" s="8">
        <v>2.3412000000000002</v>
      </c>
      <c r="G817" s="4">
        <v>313.57089999999999</v>
      </c>
      <c r="H817" s="4">
        <v>713.71759999999995</v>
      </c>
      <c r="I817" s="4">
        <v>10.682499999999999</v>
      </c>
      <c r="J817" s="4">
        <v>11.397500000000001</v>
      </c>
      <c r="K817" s="4">
        <v>9.8574999999999999</v>
      </c>
      <c r="L817" s="4">
        <v>11.315</v>
      </c>
      <c r="M817" s="7">
        <v>5.9200000000000003E-2</v>
      </c>
    </row>
    <row r="818" spans="1:13" x14ac:dyDescent="0.2">
      <c r="A818" s="6">
        <v>45125</v>
      </c>
      <c r="B818" s="2" t="s">
        <v>226</v>
      </c>
      <c r="C818" s="5">
        <v>45108</v>
      </c>
      <c r="D818" s="2" t="s">
        <v>189</v>
      </c>
      <c r="E818" s="3">
        <v>2430</v>
      </c>
      <c r="F818" s="8">
        <v>2.3540000000000001</v>
      </c>
      <c r="G818" s="4">
        <v>314.91289999999998</v>
      </c>
      <c r="H818" s="4">
        <v>761.47889999999995</v>
      </c>
      <c r="I818" s="4">
        <v>11.315</v>
      </c>
      <c r="J818" s="4">
        <v>12.02</v>
      </c>
      <c r="K818" s="4">
        <v>11.067500000000001</v>
      </c>
      <c r="L818" s="4">
        <v>11.71</v>
      </c>
      <c r="M818" s="7">
        <v>3.49E-2</v>
      </c>
    </row>
    <row r="819" spans="1:13" x14ac:dyDescent="0.2">
      <c r="A819" s="6">
        <v>45126</v>
      </c>
      <c r="B819" s="2" t="s">
        <v>224</v>
      </c>
      <c r="C819" s="5">
        <v>45108</v>
      </c>
      <c r="D819" s="2" t="s">
        <v>189</v>
      </c>
      <c r="E819" s="3">
        <v>2409</v>
      </c>
      <c r="F819" s="8">
        <v>2.1366999999999998</v>
      </c>
      <c r="G819" s="4">
        <v>299.82650000000001</v>
      </c>
      <c r="H819" s="4">
        <v>669.21280000000002</v>
      </c>
      <c r="I819" s="4">
        <v>11.71</v>
      </c>
      <c r="J819" s="4">
        <v>11.9375</v>
      </c>
      <c r="K819" s="4">
        <v>11.54</v>
      </c>
      <c r="L819" s="4">
        <v>11.6</v>
      </c>
      <c r="M819" s="7">
        <v>-9.4000000000000004E-3</v>
      </c>
    </row>
    <row r="820" spans="1:13" x14ac:dyDescent="0.2">
      <c r="A820" s="6">
        <v>45127</v>
      </c>
      <c r="B820" s="2" t="s">
        <v>227</v>
      </c>
      <c r="C820" s="5">
        <v>45108</v>
      </c>
      <c r="D820" s="2" t="s">
        <v>189</v>
      </c>
      <c r="E820" s="3">
        <v>2401</v>
      </c>
      <c r="F820" s="8">
        <v>2.2078000000000002</v>
      </c>
      <c r="G820" s="4">
        <v>337.20409999999998</v>
      </c>
      <c r="H820" s="4">
        <v>741.12459999999999</v>
      </c>
      <c r="I820" s="4">
        <v>11.6</v>
      </c>
      <c r="J820" s="4">
        <v>12.255000000000001</v>
      </c>
      <c r="K820" s="4">
        <v>11.37</v>
      </c>
      <c r="L820" s="4">
        <v>11.785</v>
      </c>
      <c r="M820" s="7">
        <v>1.5900000000000001E-2</v>
      </c>
    </row>
    <row r="821" spans="1:13" x14ac:dyDescent="0.2">
      <c r="A821" s="6">
        <v>45128</v>
      </c>
      <c r="B821" s="2" t="s">
        <v>225</v>
      </c>
      <c r="C821" s="5">
        <v>45108</v>
      </c>
      <c r="D821" s="2" t="s">
        <v>189</v>
      </c>
      <c r="E821" s="3">
        <v>2393</v>
      </c>
      <c r="F821" s="8">
        <v>2.5041000000000002</v>
      </c>
      <c r="G821" s="4">
        <v>386.64069999999998</v>
      </c>
      <c r="H821" s="4">
        <v>821.95690000000002</v>
      </c>
      <c r="I821" s="4">
        <v>11.785</v>
      </c>
      <c r="J821" s="4">
        <v>12.032500000000001</v>
      </c>
      <c r="K821" s="4">
        <v>11.06</v>
      </c>
      <c r="L821" s="4">
        <v>11.484999999999999</v>
      </c>
      <c r="M821" s="7">
        <v>-2.5499999999999998E-2</v>
      </c>
    </row>
    <row r="822" spans="1:13" x14ac:dyDescent="0.2">
      <c r="A822" s="6">
        <v>45131</v>
      </c>
      <c r="B822" s="2" t="s">
        <v>228</v>
      </c>
      <c r="C822" s="5">
        <v>45108</v>
      </c>
      <c r="D822" s="2" t="s">
        <v>189</v>
      </c>
      <c r="E822" s="3">
        <v>2491</v>
      </c>
      <c r="F822" s="8">
        <v>2.4956</v>
      </c>
      <c r="G822" s="4">
        <v>428.7432</v>
      </c>
      <c r="H822" s="4">
        <v>752.79319999999996</v>
      </c>
      <c r="I822" s="4">
        <v>11.484999999999999</v>
      </c>
      <c r="J822" s="4">
        <v>11.994999999999999</v>
      </c>
      <c r="K822" s="4">
        <v>10.5375</v>
      </c>
      <c r="L822" s="4">
        <v>11.6525</v>
      </c>
      <c r="M822" s="7">
        <v>1.46E-2</v>
      </c>
    </row>
    <row r="823" spans="1:13" x14ac:dyDescent="0.2">
      <c r="A823" s="6">
        <v>45132</v>
      </c>
      <c r="B823" s="2" t="s">
        <v>226</v>
      </c>
      <c r="C823" s="5">
        <v>45108</v>
      </c>
      <c r="D823" s="2" t="s">
        <v>189</v>
      </c>
      <c r="E823" s="3">
        <v>2462</v>
      </c>
      <c r="F823" s="8">
        <v>2.5895000000000001</v>
      </c>
      <c r="G823" s="4">
        <v>334.74869999999999</v>
      </c>
      <c r="H823" s="4">
        <v>764.64949999999999</v>
      </c>
      <c r="I823" s="4">
        <v>11.6525</v>
      </c>
      <c r="J823" s="4">
        <v>11.6525</v>
      </c>
      <c r="K823" s="4">
        <v>10.112500000000001</v>
      </c>
      <c r="L823" s="4">
        <v>10.2425</v>
      </c>
      <c r="M823" s="7">
        <v>-0.121</v>
      </c>
    </row>
    <row r="824" spans="1:13" x14ac:dyDescent="0.2">
      <c r="A824" s="6">
        <v>45133</v>
      </c>
      <c r="B824" s="2" t="s">
        <v>224</v>
      </c>
      <c r="C824" s="5">
        <v>45108</v>
      </c>
      <c r="D824" s="2" t="s">
        <v>189</v>
      </c>
      <c r="E824" s="3">
        <v>2474</v>
      </c>
      <c r="F824" s="8">
        <v>2.3822000000000001</v>
      </c>
      <c r="G824" s="4">
        <v>330.68619999999999</v>
      </c>
      <c r="H824" s="4">
        <v>694.70740000000001</v>
      </c>
      <c r="I824" s="4">
        <v>10.2425</v>
      </c>
      <c r="J824" s="4">
        <v>10.862500000000001</v>
      </c>
      <c r="K824" s="4">
        <v>10.217499999999999</v>
      </c>
      <c r="L824" s="4">
        <v>10.4575</v>
      </c>
      <c r="M824" s="7">
        <v>2.1000000000000001E-2</v>
      </c>
    </row>
    <row r="825" spans="1:13" x14ac:dyDescent="0.2">
      <c r="A825" s="6">
        <v>45134</v>
      </c>
      <c r="B825" s="2" t="s">
        <v>227</v>
      </c>
      <c r="C825" s="5">
        <v>45108</v>
      </c>
      <c r="D825" s="2" t="s">
        <v>189</v>
      </c>
      <c r="E825" s="3">
        <v>2436</v>
      </c>
      <c r="F825" s="8">
        <v>2.5655000000000001</v>
      </c>
      <c r="G825" s="4">
        <v>355.53949999999998</v>
      </c>
      <c r="H825" s="4">
        <v>830.00699999999995</v>
      </c>
      <c r="I825" s="4">
        <v>10.4575</v>
      </c>
      <c r="J825" s="4">
        <v>10.9825</v>
      </c>
      <c r="K825" s="4">
        <v>9.8874999999999993</v>
      </c>
      <c r="L825" s="4">
        <v>10.512499999999999</v>
      </c>
      <c r="M825" s="7">
        <v>5.3E-3</v>
      </c>
    </row>
    <row r="826" spans="1:13" x14ac:dyDescent="0.2">
      <c r="A826" s="6">
        <v>45135</v>
      </c>
      <c r="B826" s="2" t="s">
        <v>225</v>
      </c>
      <c r="C826" s="5">
        <v>45108</v>
      </c>
      <c r="D826" s="2" t="s">
        <v>189</v>
      </c>
      <c r="E826" s="3">
        <v>2471</v>
      </c>
      <c r="F826" s="8">
        <v>2.3984000000000001</v>
      </c>
      <c r="G826" s="4">
        <v>300.12520000000001</v>
      </c>
      <c r="H826" s="4">
        <v>713.59389999999996</v>
      </c>
      <c r="I826" s="4">
        <v>10.512499999999999</v>
      </c>
      <c r="J826" s="4">
        <v>10.81</v>
      </c>
      <c r="K826" s="4">
        <v>10.035</v>
      </c>
      <c r="L826" s="4">
        <v>10.135</v>
      </c>
      <c r="M826" s="7">
        <v>-3.5900000000000001E-2</v>
      </c>
    </row>
    <row r="827" spans="1:13" x14ac:dyDescent="0.2">
      <c r="A827" s="6">
        <v>45138</v>
      </c>
      <c r="B827" s="2" t="s">
        <v>228</v>
      </c>
      <c r="C827" s="5">
        <v>45108</v>
      </c>
      <c r="D827" s="2" t="s">
        <v>189</v>
      </c>
      <c r="E827" s="3">
        <v>2523</v>
      </c>
      <c r="F827" s="8">
        <v>2.6313</v>
      </c>
      <c r="G827" s="4">
        <v>369.88819999999998</v>
      </c>
      <c r="H827" s="4">
        <v>747.14739999999995</v>
      </c>
      <c r="I827" s="4">
        <v>10.135</v>
      </c>
      <c r="J827" s="4">
        <v>11.1875</v>
      </c>
      <c r="K827" s="4">
        <v>10.135</v>
      </c>
      <c r="L827" s="4">
        <v>10.4125</v>
      </c>
      <c r="M827" s="7">
        <v>2.7400000000000001E-2</v>
      </c>
    </row>
    <row r="828" spans="1:13" x14ac:dyDescent="0.2">
      <c r="A828" s="6">
        <v>45139</v>
      </c>
      <c r="B828" s="2" t="s">
        <v>226</v>
      </c>
      <c r="C828" s="5">
        <v>45139</v>
      </c>
      <c r="D828" s="2" t="s">
        <v>189</v>
      </c>
      <c r="E828" s="3">
        <v>2474</v>
      </c>
      <c r="F828" s="8">
        <v>2.5265</v>
      </c>
      <c r="G828" s="4">
        <v>409.19400000000002</v>
      </c>
      <c r="H828" s="4">
        <v>735.43290000000002</v>
      </c>
      <c r="I828" s="4">
        <v>10.4125</v>
      </c>
      <c r="J828" s="4">
        <v>10.702500000000001</v>
      </c>
      <c r="K828" s="4">
        <v>10.195</v>
      </c>
      <c r="L828" s="4">
        <v>10.282500000000001</v>
      </c>
      <c r="M828" s="7">
        <v>-1.2500000000000001E-2</v>
      </c>
    </row>
    <row r="829" spans="1:13" x14ac:dyDescent="0.2">
      <c r="A829" s="6">
        <v>45140</v>
      </c>
      <c r="B829" s="2" t="s">
        <v>224</v>
      </c>
      <c r="C829" s="5">
        <v>45139</v>
      </c>
      <c r="D829" s="2" t="s">
        <v>189</v>
      </c>
      <c r="E829" s="3">
        <v>2496</v>
      </c>
      <c r="F829" s="8">
        <v>2.9138000000000002</v>
      </c>
      <c r="G829" s="4">
        <v>415.48779999999999</v>
      </c>
      <c r="H829" s="4">
        <v>782.17100000000005</v>
      </c>
      <c r="I829" s="4">
        <v>10.282500000000001</v>
      </c>
      <c r="J829" s="4">
        <v>11.805</v>
      </c>
      <c r="K829" s="4">
        <v>9.9499999999999993</v>
      </c>
      <c r="L829" s="4">
        <v>11.2775</v>
      </c>
      <c r="M829" s="7">
        <v>9.6799999999999997E-2</v>
      </c>
    </row>
    <row r="830" spans="1:13" x14ac:dyDescent="0.2">
      <c r="A830" s="6">
        <v>45141</v>
      </c>
      <c r="B830" s="2" t="s">
        <v>227</v>
      </c>
      <c r="C830" s="5">
        <v>45139</v>
      </c>
      <c r="D830" s="2" t="s">
        <v>189</v>
      </c>
      <c r="E830" s="3">
        <v>2470</v>
      </c>
      <c r="F830" s="8">
        <v>2.5543999999999998</v>
      </c>
      <c r="G830" s="4">
        <v>377.64240000000001</v>
      </c>
      <c r="H830" s="4">
        <v>824.49530000000004</v>
      </c>
      <c r="I830" s="4">
        <v>11.2775</v>
      </c>
      <c r="J830" s="4">
        <v>11.96</v>
      </c>
      <c r="K830" s="4">
        <v>10.9825</v>
      </c>
      <c r="L830" s="4">
        <v>11.185</v>
      </c>
      <c r="M830" s="7">
        <v>-8.2000000000000007E-3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2470</v>
      </c>
      <c r="F831" s="8">
        <v>2.5543999999999998</v>
      </c>
      <c r="G831" s="4">
        <v>377.64240000000001</v>
      </c>
      <c r="H831" s="4">
        <v>824.49530000000004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2472</v>
      </c>
      <c r="F832" s="8">
        <v>2.4723000000000002</v>
      </c>
      <c r="G832" s="4">
        <v>419.98869999999999</v>
      </c>
      <c r="H832" s="4">
        <v>793.28520000000003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45148</v>
      </c>
      <c r="B833" s="2" t="s">
        <v>227</v>
      </c>
      <c r="C833" s="5">
        <v>45139</v>
      </c>
      <c r="D833" s="2" t="s">
        <v>189</v>
      </c>
      <c r="E833" s="3">
        <v>2470</v>
      </c>
      <c r="F833" s="8">
        <v>2.6715</v>
      </c>
      <c r="G833" s="4">
        <v>446.48390000000001</v>
      </c>
      <c r="H833" s="4">
        <v>819.21820000000002</v>
      </c>
      <c r="I833" s="4">
        <v>11.14</v>
      </c>
      <c r="J833" s="4">
        <v>11.91</v>
      </c>
      <c r="K833" s="4">
        <v>10.6275</v>
      </c>
      <c r="L833" s="4">
        <v>11.4</v>
      </c>
      <c r="M833" s="7">
        <v>2.3300000000000001E-2</v>
      </c>
    </row>
    <row r="834" spans="1:13" x14ac:dyDescent="0.2">
      <c r="A834" s="6">
        <v>45154</v>
      </c>
      <c r="B834" s="2" t="s">
        <v>224</v>
      </c>
      <c r="C834" s="5">
        <v>45139</v>
      </c>
      <c r="D834" s="2" t="s">
        <v>189</v>
      </c>
      <c r="E834" s="3">
        <v>2502</v>
      </c>
      <c r="F834" s="8">
        <v>2.4661</v>
      </c>
      <c r="G834" s="4">
        <v>353.0806</v>
      </c>
      <c r="H834" s="4">
        <v>721.77470000000005</v>
      </c>
      <c r="I834" s="4">
        <v>11.994999999999999</v>
      </c>
      <c r="J834" s="4">
        <v>12.682499999999999</v>
      </c>
      <c r="K834" s="4">
        <v>11.994999999999999</v>
      </c>
      <c r="L834" s="4">
        <v>12.125</v>
      </c>
      <c r="M834" s="7">
        <v>1.0800000000000001E-2</v>
      </c>
    </row>
    <row r="835" spans="1:13" x14ac:dyDescent="0.2">
      <c r="A835" s="6">
        <v>45155</v>
      </c>
      <c r="B835" s="2" t="s">
        <v>227</v>
      </c>
      <c r="C835" s="5">
        <v>45139</v>
      </c>
      <c r="D835" s="2" t="s">
        <v>189</v>
      </c>
      <c r="E835" s="3">
        <v>2471</v>
      </c>
      <c r="F835" s="8">
        <v>2.5640999999999998</v>
      </c>
      <c r="G835" s="4">
        <v>331.608</v>
      </c>
      <c r="H835" s="4">
        <v>715.84469999999999</v>
      </c>
      <c r="I835" s="4">
        <v>12.125</v>
      </c>
      <c r="J835" s="4">
        <v>12.664999999999999</v>
      </c>
      <c r="K835" s="4">
        <v>12.112500000000001</v>
      </c>
      <c r="L835" s="4">
        <v>12.24</v>
      </c>
      <c r="M835" s="7">
        <v>9.4999999999999998E-3</v>
      </c>
    </row>
    <row r="836" spans="1:13" x14ac:dyDescent="0.2">
      <c r="A836" s="6">
        <v>45156</v>
      </c>
      <c r="B836" s="2" t="s">
        <v>225</v>
      </c>
      <c r="C836" s="5">
        <v>45139</v>
      </c>
      <c r="D836" s="2" t="s">
        <v>189</v>
      </c>
      <c r="E836" s="3">
        <v>2482</v>
      </c>
      <c r="F836" s="8">
        <v>2.5935000000000001</v>
      </c>
      <c r="G836" s="4">
        <v>336.06369999999998</v>
      </c>
      <c r="H836" s="4">
        <v>737.23910000000001</v>
      </c>
      <c r="I836" s="4">
        <v>12.24</v>
      </c>
      <c r="J836" s="4">
        <v>12.4925</v>
      </c>
      <c r="K836" s="4">
        <v>10.7875</v>
      </c>
      <c r="L836" s="4">
        <v>12.1425</v>
      </c>
      <c r="M836" s="7">
        <v>-8.0000000000000002E-3</v>
      </c>
    </row>
    <row r="837" spans="1:13" x14ac:dyDescent="0.2">
      <c r="A837" s="6">
        <v>45159</v>
      </c>
      <c r="B837" s="2" t="s">
        <v>228</v>
      </c>
      <c r="C837" s="5">
        <v>45139</v>
      </c>
      <c r="D837" s="2" t="s">
        <v>189</v>
      </c>
      <c r="E837" s="3">
        <v>2545</v>
      </c>
      <c r="F837" s="8">
        <v>2.3637999999999999</v>
      </c>
      <c r="G837" s="4">
        <v>284.6001</v>
      </c>
      <c r="H837" s="4">
        <v>625.87030000000004</v>
      </c>
      <c r="I837" s="4">
        <v>12.1425</v>
      </c>
      <c r="J837" s="4">
        <v>12.59</v>
      </c>
      <c r="K837" s="4">
        <v>11.172499999999999</v>
      </c>
      <c r="L837" s="4">
        <v>11.96</v>
      </c>
      <c r="M837" s="7">
        <v>-1.4999999999999999E-2</v>
      </c>
    </row>
    <row r="838" spans="1:13" x14ac:dyDescent="0.2">
      <c r="A838" s="6">
        <v>45160</v>
      </c>
      <c r="B838" s="2" t="s">
        <v>226</v>
      </c>
      <c r="C838" s="5">
        <v>45139</v>
      </c>
      <c r="D838" s="2" t="s">
        <v>189</v>
      </c>
      <c r="E838" s="3">
        <v>2496</v>
      </c>
      <c r="F838" s="8">
        <v>2.3573</v>
      </c>
      <c r="G838" s="4">
        <v>387.5498</v>
      </c>
      <c r="H838" s="4">
        <v>667.72810000000004</v>
      </c>
      <c r="I838" s="4">
        <v>11.96</v>
      </c>
      <c r="J838" s="4">
        <v>12.085000000000001</v>
      </c>
      <c r="K838" s="4">
        <v>11.59</v>
      </c>
      <c r="L838" s="4">
        <v>11.7475</v>
      </c>
      <c r="M838" s="7">
        <v>-1.78E-2</v>
      </c>
    </row>
    <row r="839" spans="1:13" x14ac:dyDescent="0.2">
      <c r="A839" s="6">
        <v>45161</v>
      </c>
      <c r="B839" s="2" t="s">
        <v>224</v>
      </c>
      <c r="C839" s="5">
        <v>45139</v>
      </c>
      <c r="D839" s="2" t="s">
        <v>189</v>
      </c>
      <c r="E839" s="3">
        <v>2471</v>
      </c>
      <c r="F839" s="8">
        <v>2.4323000000000001</v>
      </c>
      <c r="G839" s="4">
        <v>400.4194</v>
      </c>
      <c r="H839" s="4">
        <v>716.96860000000004</v>
      </c>
      <c r="I839" s="4">
        <v>11.7475</v>
      </c>
      <c r="J839" s="4">
        <v>11.885</v>
      </c>
      <c r="K839" s="4">
        <v>10.307499999999999</v>
      </c>
      <c r="L839" s="4">
        <v>11.727499999999999</v>
      </c>
      <c r="M839" s="7">
        <v>-1.6999999999999999E-3</v>
      </c>
    </row>
    <row r="840" spans="1:13" x14ac:dyDescent="0.2">
      <c r="A840" s="6">
        <v>45162</v>
      </c>
      <c r="B840" s="2" t="s">
        <v>227</v>
      </c>
      <c r="C840" s="5">
        <v>45139</v>
      </c>
      <c r="D840" s="2" t="s">
        <v>189</v>
      </c>
      <c r="E840" s="3">
        <v>2465</v>
      </c>
      <c r="F840" s="8">
        <v>2.4756</v>
      </c>
      <c r="G840" s="4">
        <v>391.79849999999999</v>
      </c>
      <c r="H840" s="4">
        <v>837.04610000000002</v>
      </c>
      <c r="I840" s="4">
        <v>11.727499999999999</v>
      </c>
      <c r="J840" s="4">
        <v>12.234999999999999</v>
      </c>
      <c r="K840" s="4">
        <v>10.1975</v>
      </c>
      <c r="L840" s="4">
        <v>11.7</v>
      </c>
      <c r="M840" s="7">
        <v>-2.3E-3</v>
      </c>
    </row>
    <row r="841" spans="1:13" x14ac:dyDescent="0.2">
      <c r="A841" s="6">
        <v>45163</v>
      </c>
      <c r="B841" s="2" t="s">
        <v>225</v>
      </c>
      <c r="C841" s="5">
        <v>45139</v>
      </c>
      <c r="D841" s="2" t="s">
        <v>189</v>
      </c>
      <c r="E841" s="3">
        <v>2491</v>
      </c>
      <c r="F841" s="8">
        <v>2.3868999999999998</v>
      </c>
      <c r="G841" s="4">
        <v>418.87689999999998</v>
      </c>
      <c r="H841" s="4">
        <v>728.01490000000001</v>
      </c>
      <c r="I841" s="4">
        <v>11.7</v>
      </c>
      <c r="J841" s="4">
        <v>12.2425</v>
      </c>
      <c r="K841" s="4">
        <v>9.98</v>
      </c>
      <c r="L841" s="4">
        <v>12.0825</v>
      </c>
      <c r="M841" s="7">
        <v>3.27E-2</v>
      </c>
    </row>
    <row r="842" spans="1:13" x14ac:dyDescent="0.2">
      <c r="A842" s="6">
        <v>45166</v>
      </c>
      <c r="B842" s="2" t="s">
        <v>228</v>
      </c>
      <c r="C842" s="5">
        <v>45139</v>
      </c>
      <c r="D842" s="2" t="s">
        <v>189</v>
      </c>
      <c r="E842" s="3">
        <v>2532</v>
      </c>
      <c r="F842" s="8">
        <v>2.3574999999999999</v>
      </c>
      <c r="G842" s="4">
        <v>437.17290000000003</v>
      </c>
      <c r="H842" s="4">
        <v>640.26919999999996</v>
      </c>
      <c r="I842" s="4">
        <v>12.0825</v>
      </c>
      <c r="J842" s="4">
        <v>12.72</v>
      </c>
      <c r="K842" s="4">
        <v>9.5</v>
      </c>
      <c r="L842" s="4">
        <v>12.397500000000001</v>
      </c>
      <c r="M842" s="7">
        <v>2.6100000000000002E-2</v>
      </c>
    </row>
    <row r="843" spans="1:13" x14ac:dyDescent="0.2">
      <c r="A843" s="6">
        <v>45167</v>
      </c>
      <c r="B843" s="2" t="s">
        <v>226</v>
      </c>
      <c r="C843" s="5">
        <v>45139</v>
      </c>
      <c r="D843" s="2" t="s">
        <v>189</v>
      </c>
      <c r="E843" s="3">
        <v>2492</v>
      </c>
      <c r="F843" s="8">
        <v>2.4613999999999998</v>
      </c>
      <c r="G843" s="4">
        <v>428.65750000000003</v>
      </c>
      <c r="H843" s="4">
        <v>725.37459999999999</v>
      </c>
      <c r="I843" s="4">
        <v>12.397500000000001</v>
      </c>
      <c r="J843" s="4">
        <v>12.4625</v>
      </c>
      <c r="K843" s="4">
        <v>10.647500000000001</v>
      </c>
      <c r="L843" s="4">
        <v>12.225</v>
      </c>
      <c r="M843" s="7">
        <v>-1.3899999999999999E-2</v>
      </c>
    </row>
    <row r="844" spans="1:13" x14ac:dyDescent="0.2">
      <c r="A844" s="6">
        <v>45168</v>
      </c>
      <c r="B844" s="2" t="s">
        <v>224</v>
      </c>
      <c r="C844" s="5">
        <v>45139</v>
      </c>
      <c r="D844" s="2" t="s">
        <v>189</v>
      </c>
      <c r="E844" s="3">
        <v>2480</v>
      </c>
      <c r="F844" s="8">
        <v>2.4861</v>
      </c>
      <c r="G844" s="4">
        <v>454.70190000000002</v>
      </c>
      <c r="H844" s="4">
        <v>738.66089999999997</v>
      </c>
      <c r="I844" s="4">
        <v>12.225</v>
      </c>
      <c r="J844" s="4">
        <v>12.2425</v>
      </c>
      <c r="K844" s="4">
        <v>11.4625</v>
      </c>
      <c r="L844" s="4">
        <v>11.8</v>
      </c>
      <c r="M844" s="7">
        <v>-3.4799999999999998E-2</v>
      </c>
    </row>
    <row r="845" spans="1:13" x14ac:dyDescent="0.2">
      <c r="A845" s="6">
        <v>45169</v>
      </c>
      <c r="B845" s="2" t="s">
        <v>227</v>
      </c>
      <c r="C845" s="5">
        <v>45139</v>
      </c>
      <c r="D845" s="2" t="s">
        <v>189</v>
      </c>
      <c r="E845" s="3">
        <v>2462</v>
      </c>
      <c r="F845" s="8">
        <v>2.9003000000000001</v>
      </c>
      <c r="G845" s="4">
        <v>581.98979999999995</v>
      </c>
      <c r="H845" s="4">
        <v>1394.0151000000001</v>
      </c>
      <c r="I845" s="4">
        <v>11.8</v>
      </c>
      <c r="J845" s="4">
        <v>12.28</v>
      </c>
      <c r="K845" s="4">
        <v>11.76</v>
      </c>
      <c r="L845" s="4">
        <v>12.0625</v>
      </c>
      <c r="M845" s="7">
        <v>2.2200000000000001E-2</v>
      </c>
    </row>
    <row r="846" spans="1:13" x14ac:dyDescent="0.2">
      <c r="A846" s="6">
        <v>45170</v>
      </c>
      <c r="B846" s="2" t="s">
        <v>225</v>
      </c>
      <c r="C846" s="5">
        <v>45170</v>
      </c>
      <c r="D846" s="2" t="s">
        <v>189</v>
      </c>
      <c r="E846" s="3">
        <v>2498</v>
      </c>
      <c r="F846" s="8">
        <v>2.7645</v>
      </c>
      <c r="G846" s="4">
        <v>558.24369999999999</v>
      </c>
      <c r="H846" s="4">
        <v>867.57180000000005</v>
      </c>
      <c r="I846" s="4">
        <v>12.0625</v>
      </c>
      <c r="J846" s="4">
        <v>12.18</v>
      </c>
      <c r="K846" s="4">
        <v>10.407500000000001</v>
      </c>
      <c r="L846" s="4">
        <v>11.365</v>
      </c>
      <c r="M846" s="7">
        <v>-5.7799999999999997E-2</v>
      </c>
    </row>
    <row r="847" spans="1:13" x14ac:dyDescent="0.2">
      <c r="A847" s="6">
        <v>45173</v>
      </c>
      <c r="B847" s="2" t="s">
        <v>228</v>
      </c>
      <c r="C847" s="5">
        <v>45170</v>
      </c>
      <c r="D847" s="2" t="s">
        <v>189</v>
      </c>
      <c r="E847" s="3">
        <v>2548</v>
      </c>
      <c r="F847" s="8">
        <v>3.0371999999999999</v>
      </c>
      <c r="G847" s="4">
        <v>667.31809999999996</v>
      </c>
      <c r="H847" s="4">
        <v>909.48710000000005</v>
      </c>
      <c r="I847" s="4">
        <v>11.365</v>
      </c>
      <c r="J847" s="4">
        <v>11.5425</v>
      </c>
      <c r="K847" s="4">
        <v>10.86</v>
      </c>
      <c r="L847" s="4">
        <v>10.9625</v>
      </c>
      <c r="M847" s="7">
        <v>-3.5400000000000001E-2</v>
      </c>
    </row>
    <row r="848" spans="1:13" x14ac:dyDescent="0.2">
      <c r="A848" s="6">
        <v>45174</v>
      </c>
      <c r="B848" s="2" t="s">
        <v>226</v>
      </c>
      <c r="C848" s="5">
        <v>45170</v>
      </c>
      <c r="D848" s="2" t="s">
        <v>189</v>
      </c>
      <c r="E848" s="3">
        <v>2535</v>
      </c>
      <c r="F848" s="8">
        <v>2.9620000000000002</v>
      </c>
      <c r="G848" s="4">
        <v>572.20190000000002</v>
      </c>
      <c r="H848" s="4">
        <v>887.40880000000004</v>
      </c>
      <c r="I848" s="4">
        <v>10.9625</v>
      </c>
      <c r="J848" s="4">
        <v>11.085000000000001</v>
      </c>
      <c r="K848" s="4">
        <v>9.3650000000000002</v>
      </c>
      <c r="L848" s="4">
        <v>10.815</v>
      </c>
      <c r="M848" s="7">
        <v>-1.35E-2</v>
      </c>
    </row>
    <row r="849" spans="1:13" x14ac:dyDescent="0.2">
      <c r="A849" s="6">
        <v>45175</v>
      </c>
      <c r="B849" s="2" t="s">
        <v>224</v>
      </c>
      <c r="C849" s="5">
        <v>45170</v>
      </c>
      <c r="D849" s="2" t="s">
        <v>189</v>
      </c>
      <c r="E849" s="3">
        <v>2526</v>
      </c>
      <c r="F849" s="8">
        <v>2.9091</v>
      </c>
      <c r="G849" s="4">
        <v>522.07389999999998</v>
      </c>
      <c r="H849" s="4">
        <v>898.7405</v>
      </c>
      <c r="I849" s="4">
        <v>10.815</v>
      </c>
      <c r="J849" s="4">
        <v>10.975</v>
      </c>
      <c r="K849" s="4">
        <v>9.8049999999999997</v>
      </c>
      <c r="L849" s="4">
        <v>10.6775</v>
      </c>
      <c r="M849" s="7">
        <v>-1.2699999999999999E-2</v>
      </c>
    </row>
    <row r="850" spans="1:13" x14ac:dyDescent="0.2">
      <c r="A850" s="6">
        <v>45176</v>
      </c>
      <c r="B850" s="2" t="s">
        <v>227</v>
      </c>
      <c r="C850" s="5">
        <v>45170</v>
      </c>
      <c r="D850" s="2" t="s">
        <v>189</v>
      </c>
      <c r="E850" s="3">
        <v>2522</v>
      </c>
      <c r="F850" s="8">
        <v>2.6617000000000002</v>
      </c>
      <c r="G850" s="4">
        <v>503.58620000000002</v>
      </c>
      <c r="H850" s="4">
        <v>809.90769999999998</v>
      </c>
      <c r="I850" s="4">
        <v>10.6775</v>
      </c>
      <c r="J850" s="4">
        <v>11.025</v>
      </c>
      <c r="K850" s="4">
        <v>9.8000000000000007</v>
      </c>
      <c r="L850" s="4">
        <v>10.8725</v>
      </c>
      <c r="M850" s="7">
        <v>1.83E-2</v>
      </c>
    </row>
    <row r="851" spans="1:13" x14ac:dyDescent="0.2">
      <c r="A851" s="6">
        <v>45177</v>
      </c>
      <c r="B851" s="2" t="s">
        <v>225</v>
      </c>
      <c r="C851" s="5">
        <v>45170</v>
      </c>
      <c r="D851" s="2" t="s">
        <v>189</v>
      </c>
      <c r="E851" s="3">
        <v>2517</v>
      </c>
      <c r="F851" s="8">
        <v>2.7214</v>
      </c>
      <c r="G851" s="4">
        <v>531.52880000000005</v>
      </c>
      <c r="H851" s="4">
        <v>912.9076</v>
      </c>
      <c r="I851" s="4">
        <v>10.8725</v>
      </c>
      <c r="J851" s="4">
        <v>10.97</v>
      </c>
      <c r="K851" s="4">
        <v>10.077500000000001</v>
      </c>
      <c r="L851" s="4">
        <v>10.78</v>
      </c>
      <c r="M851" s="7">
        <v>-8.5000000000000006E-3</v>
      </c>
    </row>
    <row r="852" spans="1:13" x14ac:dyDescent="0.2">
      <c r="A852" s="6">
        <v>45180</v>
      </c>
      <c r="B852" s="2" t="s">
        <v>228</v>
      </c>
      <c r="C852" s="5">
        <v>45170</v>
      </c>
      <c r="D852" s="2" t="s">
        <v>189</v>
      </c>
      <c r="E852" s="3">
        <v>2574</v>
      </c>
      <c r="F852" s="8">
        <v>2.9754999999999998</v>
      </c>
      <c r="G852" s="4">
        <v>599.14700000000005</v>
      </c>
      <c r="H852" s="4">
        <v>923.64380000000006</v>
      </c>
      <c r="I852" s="4">
        <v>10.78</v>
      </c>
      <c r="J852" s="4">
        <v>11.5</v>
      </c>
      <c r="K852" s="4">
        <v>10.3375</v>
      </c>
      <c r="L852" s="4">
        <v>11.3475</v>
      </c>
      <c r="M852" s="7">
        <v>5.2600000000000001E-2</v>
      </c>
    </row>
    <row r="853" spans="1:13" x14ac:dyDescent="0.2">
      <c r="A853" s="6">
        <v>45181</v>
      </c>
      <c r="B853" s="2" t="s">
        <v>226</v>
      </c>
      <c r="C853" s="5">
        <v>45170</v>
      </c>
      <c r="D853" s="2" t="s">
        <v>189</v>
      </c>
      <c r="E853" s="3">
        <v>2530</v>
      </c>
      <c r="F853" s="8">
        <v>3.7469000000000001</v>
      </c>
      <c r="G853" s="4">
        <v>729.99980000000005</v>
      </c>
      <c r="H853" s="4">
        <v>1082.7808</v>
      </c>
      <c r="I853" s="4">
        <v>11.3475</v>
      </c>
      <c r="J853" s="4">
        <v>12.022500000000001</v>
      </c>
      <c r="K853" s="4">
        <v>10.7125</v>
      </c>
      <c r="L853" s="4">
        <v>11.69</v>
      </c>
      <c r="M853" s="7">
        <v>3.0200000000000001E-2</v>
      </c>
    </row>
    <row r="854" spans="1:13" x14ac:dyDescent="0.2">
      <c r="A854" s="6">
        <v>45182</v>
      </c>
      <c r="B854" s="2" t="s">
        <v>224</v>
      </c>
      <c r="C854" s="5">
        <v>45170</v>
      </c>
      <c r="D854" s="2" t="s">
        <v>189</v>
      </c>
      <c r="E854" s="3">
        <v>2514</v>
      </c>
      <c r="F854" s="8">
        <v>2.9239000000000002</v>
      </c>
      <c r="G854" s="4">
        <v>566.77470000000005</v>
      </c>
      <c r="H854" s="4">
        <v>850.95069999999998</v>
      </c>
      <c r="I854" s="4">
        <v>11.69</v>
      </c>
      <c r="J854" s="4">
        <v>12.047499999999999</v>
      </c>
      <c r="K854" s="4">
        <v>11.535</v>
      </c>
      <c r="L854" s="4">
        <v>11.827500000000001</v>
      </c>
      <c r="M854" s="7">
        <v>1.18E-2</v>
      </c>
    </row>
    <row r="855" spans="1:13" x14ac:dyDescent="0.2">
      <c r="A855" s="6">
        <v>45183</v>
      </c>
      <c r="B855" s="2" t="s">
        <v>227</v>
      </c>
      <c r="C855" s="5">
        <v>45170</v>
      </c>
      <c r="D855" s="2" t="s">
        <v>189</v>
      </c>
      <c r="E855" s="3">
        <v>2510</v>
      </c>
      <c r="F855" s="8">
        <v>2.7141999999999999</v>
      </c>
      <c r="G855" s="4">
        <v>485.40120000000002</v>
      </c>
      <c r="H855" s="4">
        <v>764.97820000000002</v>
      </c>
      <c r="I855" s="4">
        <v>11.827500000000001</v>
      </c>
      <c r="J855" s="4">
        <v>12.0425</v>
      </c>
      <c r="K855" s="4">
        <v>11.21</v>
      </c>
      <c r="L855" s="4">
        <v>11.317500000000001</v>
      </c>
      <c r="M855" s="7">
        <v>-4.3099999999999999E-2</v>
      </c>
    </row>
    <row r="856" spans="1:13" x14ac:dyDescent="0.2">
      <c r="A856" s="6">
        <v>45184</v>
      </c>
      <c r="B856" s="2" t="s">
        <v>225</v>
      </c>
      <c r="C856" s="5">
        <v>45170</v>
      </c>
      <c r="D856" s="2" t="s">
        <v>189</v>
      </c>
      <c r="E856" s="3">
        <v>2511</v>
      </c>
      <c r="F856" s="8">
        <v>2.8153000000000001</v>
      </c>
      <c r="G856" s="4">
        <v>627.64880000000005</v>
      </c>
      <c r="H856" s="4">
        <v>1129.1811</v>
      </c>
      <c r="I856" s="4">
        <v>11.317500000000001</v>
      </c>
      <c r="J856" s="4">
        <v>11.32</v>
      </c>
      <c r="K856" s="4">
        <v>10.0725</v>
      </c>
      <c r="L856" s="4">
        <v>10.9025</v>
      </c>
      <c r="M856" s="7">
        <v>-3.6700000000000003E-2</v>
      </c>
    </row>
    <row r="857" spans="1:13" x14ac:dyDescent="0.2">
      <c r="A857" s="6">
        <v>45187</v>
      </c>
      <c r="B857" s="2" t="s">
        <v>228</v>
      </c>
      <c r="C857" s="5">
        <v>45170</v>
      </c>
      <c r="D857" s="2" t="s">
        <v>189</v>
      </c>
      <c r="E857" s="3">
        <v>2554</v>
      </c>
      <c r="F857" s="8">
        <v>2.5478999999999998</v>
      </c>
      <c r="G857" s="4">
        <v>652.51729999999998</v>
      </c>
      <c r="H857" s="4">
        <v>786.86739999999998</v>
      </c>
      <c r="I857" s="4">
        <v>10.9025</v>
      </c>
      <c r="J857" s="4">
        <v>11.407500000000001</v>
      </c>
      <c r="K857" s="4">
        <v>10.45</v>
      </c>
      <c r="L857" s="4">
        <v>10.835000000000001</v>
      </c>
      <c r="M857" s="7">
        <v>-6.1999999999999998E-3</v>
      </c>
    </row>
    <row r="858" spans="1:13" x14ac:dyDescent="0.2">
      <c r="A858" s="6">
        <v>45189</v>
      </c>
      <c r="B858" s="2" t="s">
        <v>224</v>
      </c>
      <c r="C858" s="5">
        <v>45170</v>
      </c>
      <c r="D858" s="2" t="s">
        <v>189</v>
      </c>
      <c r="E858" s="3">
        <v>2508</v>
      </c>
      <c r="F858" s="8">
        <v>2.7166000000000001</v>
      </c>
      <c r="G858" s="4">
        <v>471.16609999999997</v>
      </c>
      <c r="H858" s="4">
        <v>900.23850000000004</v>
      </c>
      <c r="I858" s="4">
        <v>10.835000000000001</v>
      </c>
      <c r="J858" s="4">
        <v>11.47</v>
      </c>
      <c r="K858" s="4">
        <v>10.835000000000001</v>
      </c>
      <c r="L858" s="4">
        <v>11.1275</v>
      </c>
      <c r="M858" s="7">
        <v>2.7E-2</v>
      </c>
    </row>
    <row r="859" spans="1:13" x14ac:dyDescent="0.2">
      <c r="A859" s="6">
        <v>45190</v>
      </c>
      <c r="B859" s="2" t="s">
        <v>227</v>
      </c>
      <c r="C859" s="5">
        <v>45170</v>
      </c>
      <c r="D859" s="2" t="s">
        <v>189</v>
      </c>
      <c r="E859" s="3">
        <v>2498</v>
      </c>
      <c r="F859" s="8">
        <v>2.5891999999999999</v>
      </c>
      <c r="G859" s="4">
        <v>452.19200000000001</v>
      </c>
      <c r="H859" s="4">
        <v>743.75429999999994</v>
      </c>
      <c r="I859" s="4">
        <v>11.1275</v>
      </c>
      <c r="J859" s="4">
        <v>11.39</v>
      </c>
      <c r="K859" s="4">
        <v>10.62</v>
      </c>
      <c r="L859" s="4">
        <v>10.817500000000001</v>
      </c>
      <c r="M859" s="7">
        <v>-2.7900000000000001E-2</v>
      </c>
    </row>
    <row r="860" spans="1:13" x14ac:dyDescent="0.2">
      <c r="A860" s="6">
        <v>45191</v>
      </c>
      <c r="B860" s="2" t="s">
        <v>225</v>
      </c>
      <c r="C860" s="5">
        <v>45170</v>
      </c>
      <c r="D860" s="2" t="s">
        <v>189</v>
      </c>
      <c r="E860" s="3">
        <v>2496</v>
      </c>
      <c r="F860" s="8">
        <v>2.4828000000000001</v>
      </c>
      <c r="G860" s="4">
        <v>480.18560000000002</v>
      </c>
      <c r="H860" s="4">
        <v>734.72749999999996</v>
      </c>
      <c r="I860" s="4">
        <v>10.817500000000001</v>
      </c>
      <c r="J860" s="4">
        <v>11.0725</v>
      </c>
      <c r="K860" s="4">
        <v>10.3925</v>
      </c>
      <c r="L860" s="4">
        <v>10.66</v>
      </c>
      <c r="M860" s="7">
        <v>-1.46E-2</v>
      </c>
    </row>
    <row r="861" spans="1:13" x14ac:dyDescent="0.2">
      <c r="A861" s="6">
        <v>45194</v>
      </c>
      <c r="B861" s="2" t="s">
        <v>228</v>
      </c>
      <c r="C861" s="5">
        <v>45170</v>
      </c>
      <c r="D861" s="2" t="s">
        <v>189</v>
      </c>
      <c r="E861" s="3">
        <v>2554</v>
      </c>
      <c r="F861" s="8">
        <v>2.3955000000000002</v>
      </c>
      <c r="G861" s="4">
        <v>373.3186</v>
      </c>
      <c r="H861" s="4">
        <v>671.27539999999999</v>
      </c>
      <c r="I861" s="4">
        <v>10.66</v>
      </c>
      <c r="J861" s="4">
        <v>11.305</v>
      </c>
      <c r="K861" s="4">
        <v>10.272500000000001</v>
      </c>
      <c r="L861" s="4">
        <v>10.9</v>
      </c>
      <c r="M861" s="7">
        <v>2.2499999999999999E-2</v>
      </c>
    </row>
    <row r="862" spans="1:13" x14ac:dyDescent="0.2">
      <c r="A862" s="6">
        <v>45195</v>
      </c>
      <c r="B862" s="2" t="s">
        <v>226</v>
      </c>
      <c r="C862" s="5">
        <v>45170</v>
      </c>
      <c r="D862" s="2" t="s">
        <v>189</v>
      </c>
      <c r="E862" s="3">
        <v>2529</v>
      </c>
      <c r="F862" s="8">
        <v>2.2665000000000002</v>
      </c>
      <c r="G862" s="4">
        <v>365.7475</v>
      </c>
      <c r="H862" s="4">
        <v>622.61530000000005</v>
      </c>
      <c r="I862" s="4">
        <v>10.9</v>
      </c>
      <c r="J862" s="4">
        <v>11.29</v>
      </c>
      <c r="K862" s="4">
        <v>9.2475000000000005</v>
      </c>
      <c r="L862" s="4">
        <v>11.185</v>
      </c>
      <c r="M862" s="7">
        <v>2.6100000000000002E-2</v>
      </c>
    </row>
    <row r="863" spans="1:13" x14ac:dyDescent="0.2">
      <c r="A863" s="6">
        <v>45196</v>
      </c>
      <c r="B863" s="2" t="s">
        <v>224</v>
      </c>
      <c r="C863" s="5">
        <v>45170</v>
      </c>
      <c r="D863" s="2" t="s">
        <v>189</v>
      </c>
      <c r="E863" s="3">
        <v>2500</v>
      </c>
      <c r="F863" s="8">
        <v>2.3006000000000002</v>
      </c>
      <c r="G863" s="4">
        <v>390.089</v>
      </c>
      <c r="H863" s="4">
        <v>671.46810000000005</v>
      </c>
      <c r="I863" s="4">
        <v>11.185</v>
      </c>
      <c r="J863" s="4">
        <v>11.8225</v>
      </c>
      <c r="K863" s="4">
        <v>9.39</v>
      </c>
      <c r="L863" s="4">
        <v>11.585000000000001</v>
      </c>
      <c r="M863" s="7">
        <v>3.5799999999999998E-2</v>
      </c>
    </row>
    <row r="864" spans="1:13" x14ac:dyDescent="0.2">
      <c r="A864" s="6">
        <v>45197</v>
      </c>
      <c r="B864" s="2" t="s">
        <v>227</v>
      </c>
      <c r="C864" s="5">
        <v>45170</v>
      </c>
      <c r="D864" s="2" t="s">
        <v>189</v>
      </c>
      <c r="E864" s="3">
        <v>2517</v>
      </c>
      <c r="F864" s="8">
        <v>2.6158999999999999</v>
      </c>
      <c r="G864" s="4">
        <v>426.10520000000002</v>
      </c>
      <c r="H864" s="4">
        <v>863.94029999999998</v>
      </c>
      <c r="I864" s="4">
        <v>11.585000000000001</v>
      </c>
      <c r="J864" s="4">
        <v>13.022500000000001</v>
      </c>
      <c r="K864" s="4">
        <v>9.3975000000000009</v>
      </c>
      <c r="L864" s="4">
        <v>12.8225</v>
      </c>
      <c r="M864" s="7">
        <v>0.10680000000000001</v>
      </c>
    </row>
    <row r="865" spans="1:13" x14ac:dyDescent="0.2">
      <c r="A865" s="6">
        <v>45198</v>
      </c>
      <c r="B865" s="2" t="s">
        <v>225</v>
      </c>
      <c r="C865" s="5">
        <v>45170</v>
      </c>
      <c r="D865" s="2" t="s">
        <v>189</v>
      </c>
      <c r="E865" s="3">
        <v>2515</v>
      </c>
      <c r="F865" s="8">
        <v>2.3144999999999998</v>
      </c>
      <c r="G865" s="4">
        <v>316.72140000000002</v>
      </c>
      <c r="H865" s="4">
        <v>675.62210000000005</v>
      </c>
      <c r="I865" s="4">
        <v>12.8225</v>
      </c>
      <c r="J865" s="4">
        <v>12.8225</v>
      </c>
      <c r="K865" s="4">
        <v>11.307499999999999</v>
      </c>
      <c r="L865" s="4">
        <v>11.452500000000001</v>
      </c>
      <c r="M865" s="7">
        <v>-0.10680000000000001</v>
      </c>
    </row>
    <row r="866" spans="1:13" x14ac:dyDescent="0.2">
      <c r="A866" s="6">
        <v>45202</v>
      </c>
      <c r="B866" s="2" t="s">
        <v>226</v>
      </c>
      <c r="C866" s="5">
        <v>45200</v>
      </c>
      <c r="D866" s="2" t="s">
        <v>190</v>
      </c>
      <c r="E866" s="3">
        <v>2589</v>
      </c>
      <c r="F866" s="8">
        <v>2.5767000000000002</v>
      </c>
      <c r="G866" s="4">
        <v>376.62029999999999</v>
      </c>
      <c r="H866" s="4">
        <v>703.69860000000006</v>
      </c>
      <c r="I866" s="4">
        <v>11.452500000000001</v>
      </c>
      <c r="J866" s="4">
        <v>12.407500000000001</v>
      </c>
      <c r="K866" s="4">
        <v>10.775</v>
      </c>
      <c r="L866" s="4">
        <v>11.7875</v>
      </c>
      <c r="M866" s="7">
        <v>2.93E-2</v>
      </c>
    </row>
    <row r="867" spans="1:13" x14ac:dyDescent="0.2">
      <c r="A867" s="6">
        <v>45203</v>
      </c>
      <c r="B867" s="2" t="s">
        <v>224</v>
      </c>
      <c r="C867" s="5">
        <v>45200</v>
      </c>
      <c r="D867" s="2" t="s">
        <v>190</v>
      </c>
      <c r="E867" s="3">
        <v>2546</v>
      </c>
      <c r="F867" s="8">
        <v>2.6375999999999999</v>
      </c>
      <c r="G867" s="4">
        <v>454.04340000000002</v>
      </c>
      <c r="H867" s="4">
        <v>770.04179999999997</v>
      </c>
      <c r="I867" s="4">
        <v>11.7875</v>
      </c>
      <c r="J867" s="4">
        <v>12.22</v>
      </c>
      <c r="K867" s="4">
        <v>11.115</v>
      </c>
      <c r="L867" s="4">
        <v>11.654999999999999</v>
      </c>
      <c r="M867" s="7">
        <v>-1.12E-2</v>
      </c>
    </row>
    <row r="868" spans="1:13" x14ac:dyDescent="0.2">
      <c r="A868" s="6">
        <v>45204</v>
      </c>
      <c r="B868" s="2" t="s">
        <v>227</v>
      </c>
      <c r="C868" s="5">
        <v>45200</v>
      </c>
      <c r="D868" s="2" t="s">
        <v>190</v>
      </c>
      <c r="E868" s="3">
        <v>2529</v>
      </c>
      <c r="F868" s="8">
        <v>2.3321999999999998</v>
      </c>
      <c r="G868" s="4">
        <v>392.54509999999999</v>
      </c>
      <c r="H868" s="4">
        <v>661.30269999999996</v>
      </c>
      <c r="I868" s="4">
        <v>11.654999999999999</v>
      </c>
      <c r="J868" s="4">
        <v>11.654999999999999</v>
      </c>
      <c r="K868" s="4">
        <v>10.842499999999999</v>
      </c>
      <c r="L868" s="4">
        <v>10.94</v>
      </c>
      <c r="M868" s="7">
        <v>-6.13E-2</v>
      </c>
    </row>
    <row r="869" spans="1:13" x14ac:dyDescent="0.2">
      <c r="A869" s="6">
        <v>45205</v>
      </c>
      <c r="B869" s="2" t="s">
        <v>225</v>
      </c>
      <c r="C869" s="5">
        <v>45200</v>
      </c>
      <c r="D869" s="2" t="s">
        <v>190</v>
      </c>
      <c r="E869" s="3">
        <v>2554</v>
      </c>
      <c r="F869" s="8">
        <v>2.2107999999999999</v>
      </c>
      <c r="G869" s="4">
        <v>358.74720000000002</v>
      </c>
      <c r="H869" s="4">
        <v>608.13990000000001</v>
      </c>
      <c r="I869" s="4">
        <v>10.94</v>
      </c>
      <c r="J869" s="4">
        <v>10.94</v>
      </c>
      <c r="K869" s="4">
        <v>9.73</v>
      </c>
      <c r="L869" s="4">
        <v>10.3</v>
      </c>
      <c r="M869" s="7">
        <v>-5.8500000000000003E-2</v>
      </c>
    </row>
    <row r="870" spans="1:13" x14ac:dyDescent="0.2">
      <c r="A870" s="6">
        <v>45208</v>
      </c>
      <c r="B870" s="2" t="s">
        <v>228</v>
      </c>
      <c r="C870" s="5">
        <v>45200</v>
      </c>
      <c r="D870" s="2" t="s">
        <v>190</v>
      </c>
      <c r="E870" s="3">
        <v>2566</v>
      </c>
      <c r="F870" s="8">
        <v>2.4089</v>
      </c>
      <c r="G870" s="4">
        <v>366.88990000000001</v>
      </c>
      <c r="H870" s="4">
        <v>572.11419999999998</v>
      </c>
      <c r="I870" s="4">
        <v>10.3</v>
      </c>
      <c r="J870" s="4">
        <v>11.6325</v>
      </c>
      <c r="K870" s="4">
        <v>10.119999999999999</v>
      </c>
      <c r="L870" s="4">
        <v>11.4</v>
      </c>
      <c r="M870" s="7">
        <v>0.10680000000000001</v>
      </c>
    </row>
    <row r="871" spans="1:13" x14ac:dyDescent="0.2">
      <c r="A871" s="6">
        <v>45209</v>
      </c>
      <c r="B871" s="2" t="s">
        <v>226</v>
      </c>
      <c r="C871" s="5">
        <v>45200</v>
      </c>
      <c r="D871" s="2" t="s">
        <v>190</v>
      </c>
      <c r="E871" s="3">
        <v>2545</v>
      </c>
      <c r="F871" s="8">
        <v>2.3586</v>
      </c>
      <c r="G871" s="4">
        <v>311.75990000000002</v>
      </c>
      <c r="H871" s="4">
        <v>622.60580000000004</v>
      </c>
      <c r="I871" s="4">
        <v>11.4</v>
      </c>
      <c r="J871" s="4">
        <v>11.4</v>
      </c>
      <c r="K871" s="4">
        <v>10.855</v>
      </c>
      <c r="L871" s="4">
        <v>11.27</v>
      </c>
      <c r="M871" s="7">
        <v>-1.14E-2</v>
      </c>
    </row>
    <row r="872" spans="1:13" x14ac:dyDescent="0.2">
      <c r="A872" s="6">
        <v>45210</v>
      </c>
      <c r="B872" s="2" t="s">
        <v>224</v>
      </c>
      <c r="C872" s="5">
        <v>45200</v>
      </c>
      <c r="D872" s="2" t="s">
        <v>190</v>
      </c>
      <c r="E872" s="3">
        <v>2550</v>
      </c>
      <c r="F872" s="8">
        <v>2.3782999999999999</v>
      </c>
      <c r="G872" s="4">
        <v>365.60559999999998</v>
      </c>
      <c r="H872" s="4">
        <v>675.86900000000003</v>
      </c>
      <c r="I872" s="4">
        <v>11.27</v>
      </c>
      <c r="J872" s="4">
        <v>11.3225</v>
      </c>
      <c r="K872" s="4">
        <v>10.39</v>
      </c>
      <c r="L872" s="4">
        <v>10.984999999999999</v>
      </c>
      <c r="M872" s="7">
        <v>-2.53E-2</v>
      </c>
    </row>
    <row r="873" spans="1:13" x14ac:dyDescent="0.2">
      <c r="A873" s="6">
        <v>45211</v>
      </c>
      <c r="B873" s="2" t="s">
        <v>227</v>
      </c>
      <c r="C873" s="5">
        <v>45200</v>
      </c>
      <c r="D873" s="2" t="s">
        <v>190</v>
      </c>
      <c r="E873" s="3">
        <v>2551</v>
      </c>
      <c r="F873" s="8">
        <v>2.3643000000000001</v>
      </c>
      <c r="G873" s="4">
        <v>349.3612</v>
      </c>
      <c r="H873" s="4">
        <v>667.69219999999996</v>
      </c>
      <c r="I873" s="4">
        <v>10.984999999999999</v>
      </c>
      <c r="J873" s="4">
        <v>11.1175</v>
      </c>
      <c r="K873" s="4">
        <v>10.565</v>
      </c>
      <c r="L873" s="4">
        <v>10.6175</v>
      </c>
      <c r="M873" s="7">
        <v>-3.3500000000000002E-2</v>
      </c>
    </row>
    <row r="874" spans="1:13" x14ac:dyDescent="0.2">
      <c r="A874" s="6">
        <v>45212</v>
      </c>
      <c r="B874" s="2" t="s">
        <v>225</v>
      </c>
      <c r="C874" s="5">
        <v>45200</v>
      </c>
      <c r="D874" s="2" t="s">
        <v>190</v>
      </c>
      <c r="E874" s="3">
        <v>2541</v>
      </c>
      <c r="F874" s="8">
        <v>2.4016000000000002</v>
      </c>
      <c r="G874" s="4">
        <v>353.56270000000001</v>
      </c>
      <c r="H874" s="4">
        <v>711.46900000000005</v>
      </c>
      <c r="I874" s="4">
        <v>10.6175</v>
      </c>
      <c r="J874" s="4">
        <v>11.025</v>
      </c>
      <c r="K874" s="4">
        <v>10.4025</v>
      </c>
      <c r="L874" s="4">
        <v>10.6175</v>
      </c>
      <c r="M874" s="7">
        <v>0</v>
      </c>
    </row>
    <row r="875" spans="1:13" x14ac:dyDescent="0.2">
      <c r="A875" s="6">
        <v>45215</v>
      </c>
      <c r="B875" s="2" t="s">
        <v>228</v>
      </c>
      <c r="C875" s="5">
        <v>45200</v>
      </c>
      <c r="D875" s="2" t="s">
        <v>190</v>
      </c>
      <c r="E875" s="3">
        <v>2583</v>
      </c>
      <c r="F875" s="8">
        <v>2.4428000000000001</v>
      </c>
      <c r="G875" s="4">
        <v>365.58839999999998</v>
      </c>
      <c r="H875" s="4">
        <v>644.44140000000004</v>
      </c>
      <c r="I875" s="4">
        <v>10.6175</v>
      </c>
      <c r="J875" s="4">
        <v>11.1525</v>
      </c>
      <c r="K875" s="4">
        <v>9.1524999999999999</v>
      </c>
      <c r="L875" s="4">
        <v>11.07</v>
      </c>
      <c r="M875" s="7">
        <v>4.2599999999999999E-2</v>
      </c>
    </row>
    <row r="876" spans="1:13" x14ac:dyDescent="0.2">
      <c r="A876" s="6">
        <v>45216</v>
      </c>
      <c r="B876" s="2" t="s">
        <v>226</v>
      </c>
      <c r="C876" s="5">
        <v>45200</v>
      </c>
      <c r="D876" s="2" t="s">
        <v>190</v>
      </c>
      <c r="E876" s="3">
        <v>2565</v>
      </c>
      <c r="F876" s="8">
        <v>2.4001000000000001</v>
      </c>
      <c r="G876" s="4">
        <v>380.40280000000001</v>
      </c>
      <c r="H876" s="4">
        <v>675.87030000000004</v>
      </c>
      <c r="I876" s="4">
        <v>11.07</v>
      </c>
      <c r="J876" s="4">
        <v>11.07</v>
      </c>
      <c r="K876" s="4">
        <v>10.4275</v>
      </c>
      <c r="L876" s="4">
        <v>10.695</v>
      </c>
      <c r="M876" s="7">
        <v>-3.39E-2</v>
      </c>
    </row>
    <row r="877" spans="1:13" x14ac:dyDescent="0.2">
      <c r="A877" s="6">
        <v>45217</v>
      </c>
      <c r="B877" s="2" t="s">
        <v>224</v>
      </c>
      <c r="C877" s="5">
        <v>45200</v>
      </c>
      <c r="D877" s="2" t="s">
        <v>190</v>
      </c>
      <c r="E877" s="3">
        <v>2546</v>
      </c>
      <c r="F877" s="8">
        <v>2.5905999999999998</v>
      </c>
      <c r="G877" s="4">
        <v>396.73759999999999</v>
      </c>
      <c r="H877" s="4">
        <v>713.74929999999995</v>
      </c>
      <c r="I877" s="4">
        <v>10.695</v>
      </c>
      <c r="J877" s="4">
        <v>11.17</v>
      </c>
      <c r="K877" s="4">
        <v>10.484999999999999</v>
      </c>
      <c r="L877" s="4">
        <v>10.965</v>
      </c>
      <c r="M877" s="7">
        <v>2.52E-2</v>
      </c>
    </row>
    <row r="878" spans="1:13" x14ac:dyDescent="0.2">
      <c r="A878" s="6">
        <v>45218</v>
      </c>
      <c r="B878" s="2" t="s">
        <v>227</v>
      </c>
      <c r="C878" s="5">
        <v>45200</v>
      </c>
      <c r="D878" s="2" t="s">
        <v>190</v>
      </c>
      <c r="E878" s="3">
        <v>2522</v>
      </c>
      <c r="F878" s="8">
        <v>2.5337000000000001</v>
      </c>
      <c r="G878" s="4">
        <v>382.41449999999998</v>
      </c>
      <c r="H878" s="4">
        <v>689.94849999999997</v>
      </c>
      <c r="I878" s="4">
        <v>10.965</v>
      </c>
      <c r="J878" s="4">
        <v>11.2125</v>
      </c>
      <c r="K878" s="4">
        <v>10.047499999999999</v>
      </c>
      <c r="L878" s="4">
        <v>10.897500000000001</v>
      </c>
      <c r="M878" s="7">
        <v>-6.1999999999999998E-3</v>
      </c>
    </row>
    <row r="879" spans="1:13" x14ac:dyDescent="0.2">
      <c r="A879" s="6">
        <v>45219</v>
      </c>
      <c r="B879" s="2" t="s">
        <v>225</v>
      </c>
      <c r="C879" s="5">
        <v>45200</v>
      </c>
      <c r="D879" s="2" t="s">
        <v>190</v>
      </c>
      <c r="E879" s="3">
        <v>2526</v>
      </c>
      <c r="F879" s="8">
        <v>2.5421</v>
      </c>
      <c r="G879" s="4">
        <v>418.1626</v>
      </c>
      <c r="H879" s="4">
        <v>698.28340000000003</v>
      </c>
      <c r="I879" s="4">
        <v>10.897500000000001</v>
      </c>
      <c r="J879" s="4">
        <v>11.09</v>
      </c>
      <c r="K879" s="4">
        <v>10.074999999999999</v>
      </c>
      <c r="L879" s="4">
        <v>10.817500000000001</v>
      </c>
      <c r="M879" s="7">
        <v>-7.3000000000000001E-3</v>
      </c>
    </row>
    <row r="880" spans="1:13" x14ac:dyDescent="0.2">
      <c r="A880" s="6">
        <v>45222</v>
      </c>
      <c r="B880" s="2" t="s">
        <v>228</v>
      </c>
      <c r="C880" s="5">
        <v>45200</v>
      </c>
      <c r="D880" s="2" t="s">
        <v>190</v>
      </c>
      <c r="E880" s="3">
        <v>2592</v>
      </c>
      <c r="F880" s="8">
        <v>2.9805000000000001</v>
      </c>
      <c r="G880" s="4">
        <v>405.79860000000002</v>
      </c>
      <c r="H880" s="4">
        <v>699.67780000000005</v>
      </c>
      <c r="I880" s="4">
        <v>10.817500000000001</v>
      </c>
      <c r="J880" s="4">
        <v>11.3575</v>
      </c>
      <c r="K880" s="4">
        <v>8.8249999999999993</v>
      </c>
      <c r="L880" s="4">
        <v>10.904999999999999</v>
      </c>
      <c r="M880" s="7">
        <v>8.0999999999999996E-3</v>
      </c>
    </row>
    <row r="881" spans="1:13" x14ac:dyDescent="0.2">
      <c r="A881" s="6">
        <v>45224</v>
      </c>
      <c r="B881" s="2" t="s">
        <v>224</v>
      </c>
      <c r="C881" s="5">
        <v>45200</v>
      </c>
      <c r="D881" s="2" t="s">
        <v>190</v>
      </c>
      <c r="E881" s="3">
        <v>2539</v>
      </c>
      <c r="F881" s="8">
        <v>2.9462999999999999</v>
      </c>
      <c r="G881" s="4">
        <v>381.3956</v>
      </c>
      <c r="H881" s="4">
        <v>680.56290000000001</v>
      </c>
      <c r="I881" s="4">
        <v>10.904999999999999</v>
      </c>
      <c r="J881" s="4">
        <v>12.1775</v>
      </c>
      <c r="K881" s="4">
        <v>9.9649999999999999</v>
      </c>
      <c r="L881" s="4">
        <v>11.3125</v>
      </c>
      <c r="M881" s="7">
        <v>3.7400000000000003E-2</v>
      </c>
    </row>
    <row r="882" spans="1:13" x14ac:dyDescent="0.2">
      <c r="A882" s="6">
        <v>45225</v>
      </c>
      <c r="B882" s="2" t="s">
        <v>227</v>
      </c>
      <c r="C882" s="5">
        <v>45200</v>
      </c>
      <c r="D882" s="2" t="s">
        <v>190</v>
      </c>
      <c r="E882" s="3">
        <v>2579</v>
      </c>
      <c r="F882" s="8">
        <v>3.3142999999999998</v>
      </c>
      <c r="G882" s="4">
        <v>392.72120000000001</v>
      </c>
      <c r="H882" s="4">
        <v>807.04520000000002</v>
      </c>
      <c r="I882" s="4">
        <v>11.3125</v>
      </c>
      <c r="J882" s="4">
        <v>12.7</v>
      </c>
      <c r="K882" s="4">
        <v>11.3125</v>
      </c>
      <c r="L882" s="4">
        <v>11.73</v>
      </c>
      <c r="M882" s="7">
        <v>3.6900000000000002E-2</v>
      </c>
    </row>
    <row r="883" spans="1:13" x14ac:dyDescent="0.2">
      <c r="A883" s="6">
        <v>45226</v>
      </c>
      <c r="B883" s="2" t="s">
        <v>225</v>
      </c>
      <c r="C883" s="5">
        <v>45200</v>
      </c>
      <c r="D883" s="2" t="s">
        <v>190</v>
      </c>
      <c r="E883" s="3">
        <v>2520</v>
      </c>
      <c r="F883" s="8">
        <v>2.4352999999999998</v>
      </c>
      <c r="G883" s="4">
        <v>325.82190000000003</v>
      </c>
      <c r="H883" s="4">
        <v>645.06790000000001</v>
      </c>
      <c r="I883" s="4">
        <v>11.73</v>
      </c>
      <c r="J883" s="4">
        <v>12.305</v>
      </c>
      <c r="K883" s="4">
        <v>10.672499999999999</v>
      </c>
      <c r="L883" s="4">
        <v>10.904999999999999</v>
      </c>
      <c r="M883" s="7">
        <v>-7.0300000000000001E-2</v>
      </c>
    </row>
    <row r="884" spans="1:13" x14ac:dyDescent="0.2">
      <c r="A884" s="6">
        <v>45229</v>
      </c>
      <c r="B884" s="2" t="s">
        <v>228</v>
      </c>
      <c r="C884" s="5">
        <v>45200</v>
      </c>
      <c r="D884" s="2" t="s">
        <v>190</v>
      </c>
      <c r="E884" s="3">
        <v>2578</v>
      </c>
      <c r="F884" s="8">
        <v>2.3107000000000002</v>
      </c>
      <c r="G884" s="4">
        <v>323.51440000000002</v>
      </c>
      <c r="H884" s="4">
        <v>579.89819999999997</v>
      </c>
      <c r="I884" s="4">
        <v>10.904999999999999</v>
      </c>
      <c r="J884" s="4">
        <v>12.192500000000001</v>
      </c>
      <c r="K884" s="4">
        <v>10.904999999999999</v>
      </c>
      <c r="L884" s="4">
        <v>11.49</v>
      </c>
      <c r="M884" s="7">
        <v>5.3600000000000002E-2</v>
      </c>
    </row>
    <row r="885" spans="1:13" x14ac:dyDescent="0.2">
      <c r="A885" s="6">
        <v>45230</v>
      </c>
      <c r="B885" s="2" t="s">
        <v>226</v>
      </c>
      <c r="C885" s="5">
        <v>45200</v>
      </c>
      <c r="D885" s="2" t="s">
        <v>190</v>
      </c>
      <c r="E885" s="3">
        <v>2547</v>
      </c>
      <c r="F885" s="8">
        <v>2.3435999999999999</v>
      </c>
      <c r="G885" s="4">
        <v>290.12529999999998</v>
      </c>
      <c r="H885" s="4">
        <v>607.7115</v>
      </c>
      <c r="I885" s="4">
        <v>11.49</v>
      </c>
      <c r="J885" s="4">
        <v>12.285</v>
      </c>
      <c r="K885" s="4">
        <v>11.262499999999999</v>
      </c>
      <c r="L885" s="4">
        <v>11.824999999999999</v>
      </c>
      <c r="M885" s="7">
        <v>2.92E-2</v>
      </c>
    </row>
    <row r="886" spans="1:13" x14ac:dyDescent="0.2">
      <c r="A886" s="6">
        <v>45231</v>
      </c>
      <c r="B886" s="2" t="s">
        <v>224</v>
      </c>
      <c r="C886" s="5">
        <v>45231</v>
      </c>
      <c r="D886" s="2" t="s">
        <v>190</v>
      </c>
      <c r="E886" s="3">
        <v>2565</v>
      </c>
      <c r="F886" s="8">
        <v>2.3205</v>
      </c>
      <c r="G886" s="4">
        <v>373.66180000000003</v>
      </c>
      <c r="H886" s="4">
        <v>600.06560000000002</v>
      </c>
      <c r="I886" s="4">
        <v>11.824999999999999</v>
      </c>
      <c r="J886" s="4">
        <v>12.195</v>
      </c>
      <c r="K886" s="4">
        <v>11.824999999999999</v>
      </c>
      <c r="L886" s="4">
        <v>12.047499999999999</v>
      </c>
      <c r="M886" s="7">
        <v>1.8800000000000001E-2</v>
      </c>
    </row>
    <row r="887" spans="1:13" x14ac:dyDescent="0.2">
      <c r="A887" s="6">
        <v>45232</v>
      </c>
      <c r="B887" s="2" t="s">
        <v>227</v>
      </c>
      <c r="C887" s="5">
        <v>45231</v>
      </c>
      <c r="D887" s="2" t="s">
        <v>190</v>
      </c>
      <c r="E887" s="3">
        <v>2558</v>
      </c>
      <c r="F887" s="8">
        <v>2.2631000000000001</v>
      </c>
      <c r="G887" s="4">
        <v>364.03410000000002</v>
      </c>
      <c r="H887" s="4">
        <v>614.03719999999998</v>
      </c>
      <c r="I887" s="4">
        <v>12.047499999999999</v>
      </c>
      <c r="J887" s="4">
        <v>12.047499999999999</v>
      </c>
      <c r="K887" s="4">
        <v>10.9475</v>
      </c>
      <c r="L887" s="4">
        <v>11.074999999999999</v>
      </c>
      <c r="M887" s="7">
        <v>-8.0699999999999994E-2</v>
      </c>
    </row>
    <row r="888" spans="1:13" x14ac:dyDescent="0.2">
      <c r="A888" s="6">
        <v>45233</v>
      </c>
      <c r="B888" s="2" t="s">
        <v>225</v>
      </c>
      <c r="C888" s="5">
        <v>45231</v>
      </c>
      <c r="D888" s="2" t="s">
        <v>190</v>
      </c>
      <c r="E888" s="3">
        <v>2588</v>
      </c>
      <c r="F888" s="8">
        <v>2.1962999999999999</v>
      </c>
      <c r="G888" s="4">
        <v>431.30070000000001</v>
      </c>
      <c r="H888" s="4">
        <v>623.78250000000003</v>
      </c>
      <c r="I888" s="4">
        <v>11.074999999999999</v>
      </c>
      <c r="J888" s="4">
        <v>11.074999999999999</v>
      </c>
      <c r="K888" s="4">
        <v>10.635</v>
      </c>
      <c r="L888" s="4">
        <v>10.8825</v>
      </c>
      <c r="M888" s="7">
        <v>-1.7399999999999999E-2</v>
      </c>
    </row>
    <row r="889" spans="1:13" x14ac:dyDescent="0.2">
      <c r="A889" s="6">
        <v>45236</v>
      </c>
      <c r="B889" s="2" t="s">
        <v>228</v>
      </c>
      <c r="C889" s="5">
        <v>45231</v>
      </c>
      <c r="D889" s="2" t="s">
        <v>190</v>
      </c>
      <c r="E889" s="3">
        <v>2595</v>
      </c>
      <c r="F889" s="8">
        <v>2.4350999999999998</v>
      </c>
      <c r="G889" s="4">
        <v>481.8032</v>
      </c>
      <c r="H889" s="4">
        <v>661.60410000000002</v>
      </c>
      <c r="I889" s="4">
        <v>10.8825</v>
      </c>
      <c r="J889" s="4">
        <v>11.28</v>
      </c>
      <c r="K889" s="4">
        <v>10.38</v>
      </c>
      <c r="L889" s="4">
        <v>11.105</v>
      </c>
      <c r="M889" s="7">
        <v>2.0400000000000001E-2</v>
      </c>
    </row>
    <row r="890" spans="1:13" x14ac:dyDescent="0.2">
      <c r="A890" s="6">
        <v>45237</v>
      </c>
      <c r="B890" s="2" t="s">
        <v>226</v>
      </c>
      <c r="C890" s="5">
        <v>45231</v>
      </c>
      <c r="D890" s="2" t="s">
        <v>190</v>
      </c>
      <c r="E890" s="3">
        <v>2555</v>
      </c>
      <c r="F890" s="8">
        <v>2.5853999999999999</v>
      </c>
      <c r="G890" s="4">
        <v>473.4504</v>
      </c>
      <c r="H890" s="4">
        <v>704.00139999999999</v>
      </c>
      <c r="I890" s="4">
        <v>11.105</v>
      </c>
      <c r="J890" s="4">
        <v>12.1775</v>
      </c>
      <c r="K890" s="4">
        <v>11</v>
      </c>
      <c r="L890" s="4">
        <v>11.192500000000001</v>
      </c>
      <c r="M890" s="7">
        <v>7.9000000000000008E-3</v>
      </c>
    </row>
    <row r="891" spans="1:13" x14ac:dyDescent="0.2">
      <c r="A891" s="6">
        <v>45238</v>
      </c>
      <c r="B891" s="2" t="s">
        <v>224</v>
      </c>
      <c r="C891" s="5">
        <v>45231</v>
      </c>
      <c r="D891" s="2" t="s">
        <v>190</v>
      </c>
      <c r="E891" s="3">
        <v>2552</v>
      </c>
      <c r="F891" s="8">
        <v>2.468</v>
      </c>
      <c r="G891" s="4">
        <v>402.41230000000002</v>
      </c>
      <c r="H891" s="4">
        <v>668.49789999999996</v>
      </c>
      <c r="I891" s="4">
        <v>11.192500000000001</v>
      </c>
      <c r="J891" s="4">
        <v>11.3325</v>
      </c>
      <c r="K891" s="4">
        <v>10.63</v>
      </c>
      <c r="L891" s="4">
        <v>11.0375</v>
      </c>
      <c r="M891" s="7">
        <v>-1.38E-2</v>
      </c>
    </row>
    <row r="892" spans="1:13" x14ac:dyDescent="0.2">
      <c r="A892" s="6">
        <v>45239</v>
      </c>
      <c r="B892" s="2" t="s">
        <v>227</v>
      </c>
      <c r="C892" s="5">
        <v>45231</v>
      </c>
      <c r="D892" s="2" t="s">
        <v>190</v>
      </c>
      <c r="E892" s="3">
        <v>2566</v>
      </c>
      <c r="F892" s="8">
        <v>2.4382000000000001</v>
      </c>
      <c r="G892" s="4">
        <v>406.11619999999999</v>
      </c>
      <c r="H892" s="4">
        <v>676.17290000000003</v>
      </c>
      <c r="I892" s="4">
        <v>11.0375</v>
      </c>
      <c r="J892" s="4">
        <v>11.2525</v>
      </c>
      <c r="K892" s="4">
        <v>10.37</v>
      </c>
      <c r="L892" s="4">
        <v>10.9825</v>
      </c>
      <c r="M892" s="7">
        <v>-5.0000000000000001E-3</v>
      </c>
    </row>
    <row r="893" spans="1:13" x14ac:dyDescent="0.2">
      <c r="A893" s="6">
        <v>45240</v>
      </c>
      <c r="B893" s="2" t="s">
        <v>225</v>
      </c>
      <c r="C893" s="5">
        <v>45231</v>
      </c>
      <c r="D893" s="2" t="s">
        <v>190</v>
      </c>
      <c r="E893" s="3">
        <v>2560</v>
      </c>
      <c r="F893" s="8">
        <v>2.1838000000000002</v>
      </c>
      <c r="G893" s="4">
        <v>342.21440000000001</v>
      </c>
      <c r="H893" s="4">
        <v>584.19629999999995</v>
      </c>
      <c r="I893" s="4">
        <v>10.9825</v>
      </c>
      <c r="J893" s="4">
        <v>11.3575</v>
      </c>
      <c r="K893" s="4">
        <v>9.86</v>
      </c>
      <c r="L893" s="4">
        <v>11.1075</v>
      </c>
      <c r="M893" s="7">
        <v>1.14E-2</v>
      </c>
    </row>
    <row r="894" spans="1:13" x14ac:dyDescent="0.2">
      <c r="A894" s="6">
        <v>45242</v>
      </c>
      <c r="B894" s="2" t="s">
        <v>230</v>
      </c>
      <c r="C894" s="5">
        <v>45231</v>
      </c>
      <c r="D894" s="2" t="s">
        <v>190</v>
      </c>
      <c r="E894" s="3">
        <v>2463</v>
      </c>
      <c r="F894" s="8">
        <v>0.73499999999999999</v>
      </c>
      <c r="G894" s="4">
        <v>100.90600000000001</v>
      </c>
      <c r="H894" s="4">
        <v>140.91300000000001</v>
      </c>
      <c r="I894" s="4">
        <v>11.1075</v>
      </c>
      <c r="J894" s="4">
        <v>11.54</v>
      </c>
      <c r="K894" s="4">
        <v>9.7524999999999995</v>
      </c>
      <c r="L894" s="4">
        <v>11.3475</v>
      </c>
      <c r="M894" s="7">
        <v>2.1600000000000001E-2</v>
      </c>
    </row>
    <row r="895" spans="1:13" x14ac:dyDescent="0.2">
      <c r="A895" s="6">
        <v>45243</v>
      </c>
      <c r="B895" s="2" t="s">
        <v>228</v>
      </c>
      <c r="C895" s="5">
        <v>45231</v>
      </c>
      <c r="D895" s="2" t="s">
        <v>190</v>
      </c>
      <c r="E895" s="3">
        <v>2559</v>
      </c>
      <c r="F895" s="8">
        <v>2.1993999999999998</v>
      </c>
      <c r="G895" s="4">
        <v>400.91469999999998</v>
      </c>
      <c r="H895" s="4">
        <v>598.14200000000005</v>
      </c>
      <c r="I895" s="4">
        <v>11.3475</v>
      </c>
      <c r="J895" s="4">
        <v>11.6325</v>
      </c>
      <c r="K895" s="4">
        <v>10.5025</v>
      </c>
      <c r="L895" s="4">
        <v>11.1875</v>
      </c>
      <c r="M895" s="7">
        <v>-1.41E-2</v>
      </c>
    </row>
    <row r="896" spans="1:13" x14ac:dyDescent="0.2">
      <c r="A896" s="6">
        <v>45245</v>
      </c>
      <c r="B896" s="2" t="s">
        <v>224</v>
      </c>
      <c r="C896" s="5">
        <v>45231</v>
      </c>
      <c r="D896" s="2" t="s">
        <v>190</v>
      </c>
      <c r="E896" s="3">
        <v>2573</v>
      </c>
      <c r="F896" s="8">
        <v>2.7965</v>
      </c>
      <c r="G896" s="4">
        <v>447.93689999999998</v>
      </c>
      <c r="H896" s="4">
        <v>810.75900000000001</v>
      </c>
      <c r="I896" s="4">
        <v>11.1875</v>
      </c>
      <c r="J896" s="4">
        <v>11.4175</v>
      </c>
      <c r="K896" s="4">
        <v>8.3949999999999996</v>
      </c>
      <c r="L896" s="4">
        <v>11.135</v>
      </c>
      <c r="M896" s="7">
        <v>-4.7000000000000002E-3</v>
      </c>
    </row>
    <row r="897" spans="1:13" x14ac:dyDescent="0.2">
      <c r="A897" s="6">
        <v>45246</v>
      </c>
      <c r="B897" s="2" t="s">
        <v>227</v>
      </c>
      <c r="C897" s="5">
        <v>45231</v>
      </c>
      <c r="D897" s="2" t="s">
        <v>190</v>
      </c>
      <c r="E897" s="3">
        <v>2602</v>
      </c>
      <c r="F897" s="8">
        <v>2.5785999999999998</v>
      </c>
      <c r="G897" s="4">
        <v>406.10300000000001</v>
      </c>
      <c r="H897" s="4">
        <v>753.41809999999998</v>
      </c>
      <c r="I897" s="4">
        <v>11.135</v>
      </c>
      <c r="J897" s="4">
        <v>11.807499999999999</v>
      </c>
      <c r="K897" s="4">
        <v>10.6175</v>
      </c>
      <c r="L897" s="4">
        <v>11.647500000000001</v>
      </c>
      <c r="M897" s="7">
        <v>4.5999999999999999E-2</v>
      </c>
    </row>
    <row r="898" spans="1:13" x14ac:dyDescent="0.2">
      <c r="A898" s="6">
        <v>45247</v>
      </c>
      <c r="B898" s="2" t="s">
        <v>225</v>
      </c>
      <c r="C898" s="5">
        <v>45231</v>
      </c>
      <c r="D898" s="2" t="s">
        <v>190</v>
      </c>
      <c r="E898" s="3">
        <v>2590</v>
      </c>
      <c r="F898" s="8">
        <v>2.8302999999999998</v>
      </c>
      <c r="G898" s="4">
        <v>501.03879999999998</v>
      </c>
      <c r="H898" s="4">
        <v>814.96579999999994</v>
      </c>
      <c r="I898" s="4">
        <v>11.647500000000001</v>
      </c>
      <c r="J898" s="4">
        <v>12.09</v>
      </c>
      <c r="K898" s="4">
        <v>10.19</v>
      </c>
      <c r="L898" s="4">
        <v>11.827500000000001</v>
      </c>
      <c r="M898" s="7">
        <v>1.55E-2</v>
      </c>
    </row>
    <row r="899" spans="1:13" x14ac:dyDescent="0.2">
      <c r="A899" s="6">
        <v>45250</v>
      </c>
      <c r="B899" s="2" t="s">
        <v>228</v>
      </c>
      <c r="C899" s="5">
        <v>45231</v>
      </c>
      <c r="D899" s="2" t="s">
        <v>190</v>
      </c>
      <c r="E899" s="3">
        <v>2646</v>
      </c>
      <c r="F899" s="8">
        <v>2.5920999999999998</v>
      </c>
      <c r="G899" s="4">
        <v>393.35520000000002</v>
      </c>
      <c r="H899" s="4">
        <v>673.78250000000003</v>
      </c>
      <c r="I899" s="4">
        <v>11.827500000000001</v>
      </c>
      <c r="J899" s="4">
        <v>12.67</v>
      </c>
      <c r="K899" s="4">
        <v>11.2</v>
      </c>
      <c r="L899" s="4">
        <v>12.147500000000001</v>
      </c>
      <c r="M899" s="7">
        <v>2.7099999999999999E-2</v>
      </c>
    </row>
    <row r="900" spans="1:13" x14ac:dyDescent="0.2">
      <c r="A900" s="6">
        <v>45251</v>
      </c>
      <c r="B900" s="2" t="s">
        <v>226</v>
      </c>
      <c r="C900" s="5">
        <v>45231</v>
      </c>
      <c r="D900" s="2" t="s">
        <v>190</v>
      </c>
      <c r="E900" s="3">
        <v>2605</v>
      </c>
      <c r="F900" s="8">
        <v>2.5411000000000001</v>
      </c>
      <c r="G900" s="4">
        <v>358.7371</v>
      </c>
      <c r="H900" s="4">
        <v>682.06349999999998</v>
      </c>
      <c r="I900" s="4">
        <v>12.147500000000001</v>
      </c>
      <c r="J900" s="4">
        <v>12.435</v>
      </c>
      <c r="K900" s="4">
        <v>10.755000000000001</v>
      </c>
      <c r="L900" s="4">
        <v>12.2325</v>
      </c>
      <c r="M900" s="7">
        <v>7.0000000000000001E-3</v>
      </c>
    </row>
    <row r="901" spans="1:13" x14ac:dyDescent="0.2">
      <c r="A901" s="6">
        <v>45252</v>
      </c>
      <c r="B901" s="2" t="s">
        <v>224</v>
      </c>
      <c r="C901" s="5">
        <v>45231</v>
      </c>
      <c r="D901" s="2" t="s">
        <v>190</v>
      </c>
      <c r="E901" s="3">
        <v>2595</v>
      </c>
      <c r="F901" s="8">
        <v>2.4504999999999999</v>
      </c>
      <c r="G901" s="4">
        <v>322.3501</v>
      </c>
      <c r="H901" s="4">
        <v>647.83259999999996</v>
      </c>
      <c r="I901" s="4">
        <v>12.2325</v>
      </c>
      <c r="J901" s="4">
        <v>12.7075</v>
      </c>
      <c r="K901" s="4">
        <v>11.022500000000001</v>
      </c>
      <c r="L901" s="4">
        <v>11.865</v>
      </c>
      <c r="M901" s="7">
        <v>-0.03</v>
      </c>
    </row>
    <row r="902" spans="1:13" x14ac:dyDescent="0.2">
      <c r="A902" s="6">
        <v>45253</v>
      </c>
      <c r="B902" s="2" t="s">
        <v>227</v>
      </c>
      <c r="C902" s="5">
        <v>45231</v>
      </c>
      <c r="D902" s="2" t="s">
        <v>190</v>
      </c>
      <c r="E902" s="3">
        <v>2562</v>
      </c>
      <c r="F902" s="8">
        <v>2.2707999999999999</v>
      </c>
      <c r="G902" s="4">
        <v>351.96120000000002</v>
      </c>
      <c r="H902" s="4">
        <v>602.99260000000004</v>
      </c>
      <c r="I902" s="4">
        <v>11.865</v>
      </c>
      <c r="J902" s="4">
        <v>12.14</v>
      </c>
      <c r="K902" s="4">
        <v>10.975</v>
      </c>
      <c r="L902" s="4">
        <v>11.315</v>
      </c>
      <c r="M902" s="7">
        <v>-4.6399999999999997E-2</v>
      </c>
    </row>
    <row r="903" spans="1:13" x14ac:dyDescent="0.2">
      <c r="A903" s="6">
        <v>45254</v>
      </c>
      <c r="B903" s="2" t="s">
        <v>225</v>
      </c>
      <c r="C903" s="5">
        <v>45231</v>
      </c>
      <c r="D903" s="2" t="s">
        <v>190</v>
      </c>
      <c r="E903" s="3">
        <v>2560</v>
      </c>
      <c r="F903" s="8">
        <v>2.3197000000000001</v>
      </c>
      <c r="G903" s="4">
        <v>327.93830000000003</v>
      </c>
      <c r="H903" s="4">
        <v>636.03290000000004</v>
      </c>
      <c r="I903" s="4">
        <v>11.315</v>
      </c>
      <c r="J903" s="4">
        <v>11.465</v>
      </c>
      <c r="K903" s="4">
        <v>8.6775000000000002</v>
      </c>
      <c r="L903" s="4">
        <v>11.33</v>
      </c>
      <c r="M903" s="7">
        <v>1.2999999999999999E-3</v>
      </c>
    </row>
    <row r="904" spans="1:13" x14ac:dyDescent="0.2">
      <c r="A904" s="6">
        <v>45258</v>
      </c>
      <c r="B904" s="2" t="s">
        <v>226</v>
      </c>
      <c r="C904" s="5">
        <v>45231</v>
      </c>
      <c r="D904" s="2" t="s">
        <v>190</v>
      </c>
      <c r="E904" s="3">
        <v>2623</v>
      </c>
      <c r="F904" s="8">
        <v>2.9695</v>
      </c>
      <c r="G904" s="4">
        <v>358.73180000000002</v>
      </c>
      <c r="H904" s="4">
        <v>811.34079999999994</v>
      </c>
      <c r="I904" s="4">
        <v>11.33</v>
      </c>
      <c r="J904" s="4">
        <v>12.4925</v>
      </c>
      <c r="K904" s="4">
        <v>11.065</v>
      </c>
      <c r="L904" s="4">
        <v>12.175000000000001</v>
      </c>
      <c r="M904" s="7">
        <v>7.46E-2</v>
      </c>
    </row>
    <row r="905" spans="1:13" x14ac:dyDescent="0.2">
      <c r="A905" s="6">
        <v>45259</v>
      </c>
      <c r="B905" s="2" t="s">
        <v>224</v>
      </c>
      <c r="C905" s="5">
        <v>45231</v>
      </c>
      <c r="D905" s="2" t="s">
        <v>190</v>
      </c>
      <c r="E905" s="3">
        <v>2611</v>
      </c>
      <c r="F905" s="8">
        <v>2.8506999999999998</v>
      </c>
      <c r="G905" s="4">
        <v>446.5806</v>
      </c>
      <c r="H905" s="4">
        <v>845.11850000000004</v>
      </c>
      <c r="I905" s="4">
        <v>12.175000000000001</v>
      </c>
      <c r="J905" s="4">
        <v>14.46</v>
      </c>
      <c r="K905" s="4">
        <v>11.3325</v>
      </c>
      <c r="L905" s="4">
        <v>12.7075</v>
      </c>
      <c r="M905" s="7">
        <v>4.3700000000000003E-2</v>
      </c>
    </row>
    <row r="906" spans="1:13" x14ac:dyDescent="0.2">
      <c r="A906" s="6">
        <v>45260</v>
      </c>
      <c r="B906" s="2" t="s">
        <v>227</v>
      </c>
      <c r="C906" s="5">
        <v>45231</v>
      </c>
      <c r="D906" s="2" t="s">
        <v>190</v>
      </c>
      <c r="E906" s="3">
        <v>2608</v>
      </c>
      <c r="F906" s="8">
        <v>3.8500999999999999</v>
      </c>
      <c r="G906" s="4">
        <v>663.09059999999999</v>
      </c>
      <c r="H906" s="4">
        <v>1679.3429000000001</v>
      </c>
      <c r="I906" s="4">
        <v>12.7075</v>
      </c>
      <c r="J906" s="4">
        <v>13.352499999999999</v>
      </c>
      <c r="K906" s="4">
        <v>11.762499999999999</v>
      </c>
      <c r="L906" s="4">
        <v>12.69</v>
      </c>
      <c r="M906" s="7">
        <v>-1.4E-3</v>
      </c>
    </row>
    <row r="907" spans="1:13" x14ac:dyDescent="0.2">
      <c r="A907" s="6">
        <v>45261</v>
      </c>
      <c r="B907" s="2" t="s">
        <v>225</v>
      </c>
      <c r="C907" s="5">
        <v>45261</v>
      </c>
      <c r="D907" s="2" t="s">
        <v>190</v>
      </c>
      <c r="E907" s="3">
        <v>2622</v>
      </c>
      <c r="F907" s="8">
        <v>3.0226999999999999</v>
      </c>
      <c r="G907" s="4">
        <v>398.73149999999998</v>
      </c>
      <c r="H907" s="4">
        <v>965.96889999999996</v>
      </c>
      <c r="I907" s="4">
        <v>12.69</v>
      </c>
      <c r="J907" s="4">
        <v>12.755000000000001</v>
      </c>
      <c r="K907" s="4">
        <v>11.7775</v>
      </c>
      <c r="L907" s="4">
        <v>12.3825</v>
      </c>
      <c r="M907" s="7">
        <v>-2.4199999999999999E-2</v>
      </c>
    </row>
    <row r="908" spans="1:13" x14ac:dyDescent="0.2">
      <c r="A908" s="6">
        <v>45264</v>
      </c>
      <c r="B908" s="2" t="s">
        <v>228</v>
      </c>
      <c r="C908" s="5">
        <v>45261</v>
      </c>
      <c r="D908" s="2" t="s">
        <v>190</v>
      </c>
      <c r="E908" s="3">
        <v>2665</v>
      </c>
      <c r="F908" s="8">
        <v>3.4357000000000002</v>
      </c>
      <c r="G908" s="4">
        <v>454.48790000000002</v>
      </c>
      <c r="H908" s="4">
        <v>1068.4091000000001</v>
      </c>
      <c r="I908" s="4">
        <v>12.3825</v>
      </c>
      <c r="J908" s="4">
        <v>13.16</v>
      </c>
      <c r="K908" s="4">
        <v>11.34</v>
      </c>
      <c r="L908" s="4">
        <v>12.9925</v>
      </c>
      <c r="M908" s="7">
        <v>4.9299999999999997E-2</v>
      </c>
    </row>
    <row r="909" spans="1:13" x14ac:dyDescent="0.2">
      <c r="A909" s="6">
        <v>45265</v>
      </c>
      <c r="B909" s="2" t="s">
        <v>226</v>
      </c>
      <c r="C909" s="5">
        <v>45261</v>
      </c>
      <c r="D909" s="2" t="s">
        <v>190</v>
      </c>
      <c r="E909" s="3">
        <v>2628</v>
      </c>
      <c r="F909" s="8">
        <v>3.5402</v>
      </c>
      <c r="G909" s="4">
        <v>515.21590000000003</v>
      </c>
      <c r="H909" s="4">
        <v>1199.2129</v>
      </c>
      <c r="I909" s="4">
        <v>12.9925</v>
      </c>
      <c r="J909" s="4">
        <v>13.8825</v>
      </c>
      <c r="K909" s="4">
        <v>11.475</v>
      </c>
      <c r="L909" s="4">
        <v>13.4575</v>
      </c>
      <c r="M909" s="7">
        <v>3.5799999999999998E-2</v>
      </c>
    </row>
    <row r="910" spans="1:13" x14ac:dyDescent="0.2">
      <c r="A910" s="6">
        <v>45266</v>
      </c>
      <c r="B910" s="2" t="s">
        <v>224</v>
      </c>
      <c r="C910" s="5">
        <v>45261</v>
      </c>
      <c r="D910" s="2" t="s">
        <v>190</v>
      </c>
      <c r="E910" s="3">
        <v>2612</v>
      </c>
      <c r="F910" s="8">
        <v>3.5051000000000001</v>
      </c>
      <c r="G910" s="4">
        <v>483.7414</v>
      </c>
      <c r="H910" s="4">
        <v>1177.0128</v>
      </c>
      <c r="I910" s="4">
        <v>13.4575</v>
      </c>
      <c r="J910" s="4">
        <v>14.0875</v>
      </c>
      <c r="K910" s="4">
        <v>12.6875</v>
      </c>
      <c r="L910" s="4">
        <v>13.74</v>
      </c>
      <c r="M910" s="7">
        <v>2.1000000000000001E-2</v>
      </c>
    </row>
    <row r="911" spans="1:13" x14ac:dyDescent="0.2">
      <c r="A911" s="6">
        <v>45267</v>
      </c>
      <c r="B911" s="2" t="s">
        <v>227</v>
      </c>
      <c r="C911" s="5">
        <v>45261</v>
      </c>
      <c r="D911" s="2" t="s">
        <v>190</v>
      </c>
      <c r="E911" s="3">
        <v>2598</v>
      </c>
      <c r="F911" s="8">
        <v>3.3191000000000002</v>
      </c>
      <c r="G911" s="4">
        <v>517.49109999999996</v>
      </c>
      <c r="H911" s="4">
        <v>1027.0916</v>
      </c>
      <c r="I911" s="4">
        <v>13.74</v>
      </c>
      <c r="J911" s="4">
        <v>13.74</v>
      </c>
      <c r="K911" s="4">
        <v>12.545</v>
      </c>
      <c r="L911" s="4">
        <v>12.672499999999999</v>
      </c>
      <c r="M911" s="7">
        <v>-7.7700000000000005E-2</v>
      </c>
    </row>
    <row r="912" spans="1:13" x14ac:dyDescent="0.2">
      <c r="A912" s="6">
        <v>45268</v>
      </c>
      <c r="B912" s="2" t="s">
        <v>225</v>
      </c>
      <c r="C912" s="5">
        <v>45261</v>
      </c>
      <c r="D912" s="2" t="s">
        <v>190</v>
      </c>
      <c r="E912" s="3">
        <v>2618</v>
      </c>
      <c r="F912" s="8">
        <v>3.4262000000000001</v>
      </c>
      <c r="G912" s="4">
        <v>605.03489999999999</v>
      </c>
      <c r="H912" s="4">
        <v>1060.9621</v>
      </c>
      <c r="I912" s="4">
        <v>12.672499999999999</v>
      </c>
      <c r="J912" s="4">
        <v>12.875</v>
      </c>
      <c r="K912" s="4">
        <v>12.135</v>
      </c>
      <c r="L912" s="4">
        <v>12.47</v>
      </c>
      <c r="M912" s="7">
        <v>-1.6E-2</v>
      </c>
    </row>
    <row r="913" spans="1:13" x14ac:dyDescent="0.2">
      <c r="A913" s="6">
        <v>45271</v>
      </c>
      <c r="B913" s="2" t="s">
        <v>228</v>
      </c>
      <c r="C913" s="5">
        <v>45261</v>
      </c>
      <c r="D913" s="2" t="s">
        <v>190</v>
      </c>
      <c r="E913" s="3">
        <v>2662</v>
      </c>
      <c r="F913" s="8">
        <v>3.0139999999999998</v>
      </c>
      <c r="G913" s="4">
        <v>531.00900000000001</v>
      </c>
      <c r="H913" s="4">
        <v>876.52850000000001</v>
      </c>
      <c r="I913" s="4">
        <v>12.47</v>
      </c>
      <c r="J913" s="4">
        <v>13.1225</v>
      </c>
      <c r="K913" s="4">
        <v>12.227499999999999</v>
      </c>
      <c r="L913" s="4">
        <v>12.7575</v>
      </c>
      <c r="M913" s="7">
        <v>2.3099999999999999E-2</v>
      </c>
    </row>
    <row r="914" spans="1:13" x14ac:dyDescent="0.2">
      <c r="A914" s="6">
        <v>45272</v>
      </c>
      <c r="B914" s="2" t="s">
        <v>226</v>
      </c>
      <c r="C914" s="5">
        <v>45261</v>
      </c>
      <c r="D914" s="2" t="s">
        <v>190</v>
      </c>
      <c r="E914" s="3">
        <v>2609</v>
      </c>
      <c r="F914" s="8">
        <v>3.4215</v>
      </c>
      <c r="G914" s="4">
        <v>622.86329999999998</v>
      </c>
      <c r="H914" s="4">
        <v>1029.6344999999999</v>
      </c>
      <c r="I914" s="4">
        <v>12.7575</v>
      </c>
      <c r="J914" s="4">
        <v>12.8675</v>
      </c>
      <c r="K914" s="4">
        <v>11.692500000000001</v>
      </c>
      <c r="L914" s="4">
        <v>12.7125</v>
      </c>
      <c r="M914" s="7">
        <v>-3.5000000000000001E-3</v>
      </c>
    </row>
    <row r="915" spans="1:13" x14ac:dyDescent="0.2">
      <c r="A915" s="6">
        <v>45273</v>
      </c>
      <c r="B915" s="2" t="s">
        <v>224</v>
      </c>
      <c r="C915" s="5">
        <v>45261</v>
      </c>
      <c r="D915" s="2" t="s">
        <v>190</v>
      </c>
      <c r="E915" s="3">
        <v>2602</v>
      </c>
      <c r="F915" s="8">
        <v>3.2673999999999999</v>
      </c>
      <c r="G915" s="4">
        <v>556.96310000000005</v>
      </c>
      <c r="H915" s="4">
        <v>1023.4734999999999</v>
      </c>
      <c r="I915" s="4">
        <v>12.7125</v>
      </c>
      <c r="J915" s="4">
        <v>12.817500000000001</v>
      </c>
      <c r="K915" s="4">
        <v>11.54</v>
      </c>
      <c r="L915" s="4">
        <v>12.065</v>
      </c>
      <c r="M915" s="7">
        <v>-5.0900000000000001E-2</v>
      </c>
    </row>
    <row r="916" spans="1:13" x14ac:dyDescent="0.2">
      <c r="A916" s="6">
        <v>45274</v>
      </c>
      <c r="B916" s="2" t="s">
        <v>227</v>
      </c>
      <c r="C916" s="5">
        <v>45261</v>
      </c>
      <c r="D916" s="2" t="s">
        <v>190</v>
      </c>
      <c r="E916" s="3">
        <v>2628</v>
      </c>
      <c r="F916" s="8">
        <v>3.5482999999999998</v>
      </c>
      <c r="G916" s="4">
        <v>621.72670000000005</v>
      </c>
      <c r="H916" s="4">
        <v>1159.7176999999999</v>
      </c>
      <c r="I916" s="4">
        <v>12.065</v>
      </c>
      <c r="J916" s="4">
        <v>12.512499999999999</v>
      </c>
      <c r="K916" s="4">
        <v>11</v>
      </c>
      <c r="L916" s="4">
        <v>12.32</v>
      </c>
      <c r="M916" s="7">
        <v>2.1100000000000001E-2</v>
      </c>
    </row>
    <row r="917" spans="1:13" x14ac:dyDescent="0.2">
      <c r="A917" s="6">
        <v>45275</v>
      </c>
      <c r="B917" s="2" t="s">
        <v>225</v>
      </c>
      <c r="C917" s="5">
        <v>45261</v>
      </c>
      <c r="D917" s="2" t="s">
        <v>190</v>
      </c>
      <c r="E917" s="3">
        <v>2624</v>
      </c>
      <c r="F917" s="8">
        <v>3.6427999999999998</v>
      </c>
      <c r="G917" s="4">
        <v>591.26689999999996</v>
      </c>
      <c r="H917" s="4">
        <v>1359.6206999999999</v>
      </c>
      <c r="I917" s="4">
        <v>12.32</v>
      </c>
      <c r="J917" s="4">
        <v>13.342499999999999</v>
      </c>
      <c r="K917" s="4">
        <v>10.8</v>
      </c>
      <c r="L917" s="4">
        <v>13.1275</v>
      </c>
      <c r="M917" s="7">
        <v>6.5500000000000003E-2</v>
      </c>
    </row>
    <row r="918" spans="1:13" x14ac:dyDescent="0.2">
      <c r="A918" s="6">
        <v>45278</v>
      </c>
      <c r="B918" s="2" t="s">
        <v>228</v>
      </c>
      <c r="C918" s="5">
        <v>45261</v>
      </c>
      <c r="D918" s="2" t="s">
        <v>190</v>
      </c>
      <c r="E918" s="3">
        <v>2681</v>
      </c>
      <c r="F918" s="8">
        <v>3.3481000000000001</v>
      </c>
      <c r="G918" s="4">
        <v>534.71450000000004</v>
      </c>
      <c r="H918" s="4">
        <v>978.53830000000005</v>
      </c>
      <c r="I918" s="4">
        <v>13.1275</v>
      </c>
      <c r="J918" s="4">
        <v>14.1175</v>
      </c>
      <c r="K918" s="4">
        <v>13.125</v>
      </c>
      <c r="L918" s="4">
        <v>13.9</v>
      </c>
      <c r="M918" s="7">
        <v>5.8799999999999998E-2</v>
      </c>
    </row>
    <row r="919" spans="1:13" x14ac:dyDescent="0.2">
      <c r="A919" s="6">
        <v>45279</v>
      </c>
      <c r="B919" s="2" t="s">
        <v>226</v>
      </c>
      <c r="C919" s="5">
        <v>45261</v>
      </c>
      <c r="D919" s="2" t="s">
        <v>190</v>
      </c>
      <c r="E919" s="3">
        <v>2623</v>
      </c>
      <c r="F919" s="8">
        <v>3.2524000000000002</v>
      </c>
      <c r="G919" s="4">
        <v>502.49740000000003</v>
      </c>
      <c r="H919" s="4">
        <v>943.06679999999994</v>
      </c>
      <c r="I919" s="4">
        <v>13.9</v>
      </c>
      <c r="J919" s="4">
        <v>14.12</v>
      </c>
      <c r="K919" s="4">
        <v>13.5525</v>
      </c>
      <c r="L919" s="4">
        <v>13.8675</v>
      </c>
      <c r="M919" s="7">
        <v>-2.3E-3</v>
      </c>
    </row>
    <row r="920" spans="1:13" x14ac:dyDescent="0.2">
      <c r="A920" s="6">
        <v>45280</v>
      </c>
      <c r="B920" s="2" t="s">
        <v>224</v>
      </c>
      <c r="C920" s="5">
        <v>45261</v>
      </c>
      <c r="D920" s="2" t="s">
        <v>190</v>
      </c>
      <c r="E920" s="3">
        <v>2607</v>
      </c>
      <c r="F920" s="8">
        <v>4.6363000000000003</v>
      </c>
      <c r="G920" s="4">
        <v>691.99260000000004</v>
      </c>
      <c r="H920" s="4">
        <v>1273.5125</v>
      </c>
      <c r="I920" s="4">
        <v>13.8675</v>
      </c>
      <c r="J920" s="4">
        <v>14.87</v>
      </c>
      <c r="K920" s="4">
        <v>12.7775</v>
      </c>
      <c r="L920" s="4">
        <v>14.45</v>
      </c>
      <c r="M920" s="7">
        <v>4.2000000000000003E-2</v>
      </c>
    </row>
    <row r="921" spans="1:13" x14ac:dyDescent="0.2">
      <c r="A921" s="6">
        <v>45281</v>
      </c>
      <c r="B921" s="2" t="s">
        <v>227</v>
      </c>
      <c r="C921" s="5">
        <v>45261</v>
      </c>
      <c r="D921" s="2" t="s">
        <v>190</v>
      </c>
      <c r="E921" s="3">
        <v>2611</v>
      </c>
      <c r="F921" s="8">
        <v>3.6423000000000001</v>
      </c>
      <c r="G921" s="4">
        <v>489.3168</v>
      </c>
      <c r="H921" s="4">
        <v>981.21749999999997</v>
      </c>
      <c r="I921" s="4">
        <v>14.45</v>
      </c>
      <c r="J921" s="4">
        <v>15.01</v>
      </c>
      <c r="K921" s="4">
        <v>12.282500000000001</v>
      </c>
      <c r="L921" s="4">
        <v>13.7575</v>
      </c>
      <c r="M921" s="7">
        <v>-4.7899999999999998E-2</v>
      </c>
    </row>
    <row r="922" spans="1:13" x14ac:dyDescent="0.2">
      <c r="A922" s="6">
        <v>45282</v>
      </c>
      <c r="B922" s="2" t="s">
        <v>225</v>
      </c>
      <c r="C922" s="5">
        <v>45261</v>
      </c>
      <c r="D922" s="2" t="s">
        <v>190</v>
      </c>
      <c r="E922" s="3">
        <v>2605</v>
      </c>
      <c r="F922" s="8">
        <v>3.2913000000000001</v>
      </c>
      <c r="G922" s="4">
        <v>424.36009999999999</v>
      </c>
      <c r="H922" s="4">
        <v>926.72109999999998</v>
      </c>
      <c r="I922" s="4">
        <v>13.7575</v>
      </c>
      <c r="J922" s="4">
        <v>13.987500000000001</v>
      </c>
      <c r="K922" s="4">
        <v>12.225</v>
      </c>
      <c r="L922" s="4">
        <v>13.7075</v>
      </c>
      <c r="M922" s="7">
        <v>-3.5999999999999999E-3</v>
      </c>
    </row>
    <row r="923" spans="1:13" x14ac:dyDescent="0.2">
      <c r="A923" s="6">
        <v>45286</v>
      </c>
      <c r="B923" s="2" t="s">
        <v>226</v>
      </c>
      <c r="C923" s="5">
        <v>45261</v>
      </c>
      <c r="D923" s="2" t="s">
        <v>190</v>
      </c>
      <c r="E923" s="3">
        <v>2651</v>
      </c>
      <c r="F923" s="8">
        <v>3.0705</v>
      </c>
      <c r="G923" s="4">
        <v>380.33620000000002</v>
      </c>
      <c r="H923" s="4">
        <v>807.64110000000005</v>
      </c>
      <c r="I923" s="4">
        <v>13.7075</v>
      </c>
      <c r="J923" s="4">
        <v>14.95</v>
      </c>
      <c r="K923" s="4">
        <v>13.7075</v>
      </c>
      <c r="L923" s="4">
        <v>14.6775</v>
      </c>
      <c r="M923" s="7">
        <v>7.0800000000000002E-2</v>
      </c>
    </row>
    <row r="924" spans="1:13" x14ac:dyDescent="0.2">
      <c r="A924" s="6">
        <v>45287</v>
      </c>
      <c r="B924" s="2" t="s">
        <v>224</v>
      </c>
      <c r="C924" s="5">
        <v>45261</v>
      </c>
      <c r="D924" s="2" t="s">
        <v>190</v>
      </c>
      <c r="E924" s="3">
        <v>2618</v>
      </c>
      <c r="F924" s="8">
        <v>3.2250999999999999</v>
      </c>
      <c r="G924" s="4">
        <v>375.9812</v>
      </c>
      <c r="H924" s="4">
        <v>871.61450000000002</v>
      </c>
      <c r="I924" s="4">
        <v>14.6775</v>
      </c>
      <c r="J924" s="4">
        <v>15.7325</v>
      </c>
      <c r="K924" s="4">
        <v>14.47</v>
      </c>
      <c r="L924" s="4">
        <v>15.557499999999999</v>
      </c>
      <c r="M924" s="7">
        <v>0.06</v>
      </c>
    </row>
    <row r="925" spans="1:13" x14ac:dyDescent="0.2">
      <c r="A925" s="6">
        <v>45288</v>
      </c>
      <c r="B925" s="2" t="s">
        <v>227</v>
      </c>
      <c r="C925" s="5">
        <v>45261</v>
      </c>
      <c r="D925" s="2" t="s">
        <v>190</v>
      </c>
      <c r="E925" s="3">
        <v>2631</v>
      </c>
      <c r="F925" s="8">
        <v>3.4241000000000001</v>
      </c>
      <c r="G925" s="4">
        <v>462.0718</v>
      </c>
      <c r="H925" s="4">
        <v>1105.1111000000001</v>
      </c>
      <c r="I925" s="4">
        <v>15.557499999999999</v>
      </c>
      <c r="J925" s="4">
        <v>16.47</v>
      </c>
      <c r="K925" s="4">
        <v>14.9625</v>
      </c>
      <c r="L925" s="4">
        <v>15.14</v>
      </c>
      <c r="M925" s="7">
        <v>-2.6800000000000001E-2</v>
      </c>
    </row>
    <row r="926" spans="1:13" x14ac:dyDescent="0.2">
      <c r="A926" s="6">
        <v>45289</v>
      </c>
      <c r="B926" s="2" t="s">
        <v>225</v>
      </c>
      <c r="C926" s="5">
        <v>45261</v>
      </c>
      <c r="D926" s="2" t="s">
        <v>190</v>
      </c>
      <c r="E926" s="3">
        <v>2647</v>
      </c>
      <c r="F926" s="8">
        <v>3.1867999999999999</v>
      </c>
      <c r="G926" s="4">
        <v>598.5607</v>
      </c>
      <c r="H926" s="4">
        <v>960.88699999999994</v>
      </c>
      <c r="I926" s="4">
        <v>15.14</v>
      </c>
      <c r="J926" s="4">
        <v>15.4275</v>
      </c>
      <c r="K926" s="4">
        <v>14.3725</v>
      </c>
      <c r="L926" s="4">
        <v>14.5025</v>
      </c>
      <c r="M926" s="7">
        <v>-4.2099999999999999E-2</v>
      </c>
    </row>
    <row r="927" spans="1:13" x14ac:dyDescent="0.2">
      <c r="A927" s="6">
        <v>45292</v>
      </c>
      <c r="B927" s="2" t="s">
        <v>228</v>
      </c>
      <c r="C927" s="5">
        <v>45292</v>
      </c>
      <c r="D927" s="2" t="s">
        <v>191</v>
      </c>
      <c r="E927" s="3">
        <v>2683</v>
      </c>
      <c r="F927" s="8">
        <v>2.9049999999999998</v>
      </c>
      <c r="G927" s="4">
        <v>608.6499</v>
      </c>
      <c r="H927" s="4">
        <v>772.72130000000004</v>
      </c>
      <c r="I927" s="4">
        <v>14.5025</v>
      </c>
      <c r="J927" s="4">
        <v>14.8675</v>
      </c>
      <c r="K927" s="4">
        <v>14.327500000000001</v>
      </c>
      <c r="L927" s="4">
        <v>14.68</v>
      </c>
      <c r="M927" s="7">
        <v>1.2200000000000001E-2</v>
      </c>
    </row>
    <row r="928" spans="1:13" x14ac:dyDescent="0.2">
      <c r="A928" s="6">
        <v>45293</v>
      </c>
      <c r="B928" s="2" t="s">
        <v>226</v>
      </c>
      <c r="C928" s="5">
        <v>45292</v>
      </c>
      <c r="D928" s="2" t="s">
        <v>191</v>
      </c>
      <c r="E928" s="3">
        <v>2658</v>
      </c>
      <c r="F928" s="8">
        <v>3.5474999999999999</v>
      </c>
      <c r="G928" s="4">
        <v>664.85649999999998</v>
      </c>
      <c r="H928" s="4">
        <v>986.88350000000003</v>
      </c>
      <c r="I928" s="4">
        <v>14.68</v>
      </c>
      <c r="J928" s="4">
        <v>15.08</v>
      </c>
      <c r="K928" s="4">
        <v>14.2425</v>
      </c>
      <c r="L928" s="4">
        <v>14.58</v>
      </c>
      <c r="M928" s="7">
        <v>-6.7999999999999996E-3</v>
      </c>
    </row>
    <row r="929" spans="1:13" x14ac:dyDescent="0.2">
      <c r="A929" s="6">
        <v>45294</v>
      </c>
      <c r="B929" s="2" t="s">
        <v>224</v>
      </c>
      <c r="C929" s="5">
        <v>45292</v>
      </c>
      <c r="D929" s="2" t="s">
        <v>191</v>
      </c>
      <c r="E929" s="3">
        <v>2660</v>
      </c>
      <c r="F929" s="8">
        <v>3.5762</v>
      </c>
      <c r="G929" s="4">
        <v>600.11959999999999</v>
      </c>
      <c r="H929" s="4">
        <v>1080.2052000000001</v>
      </c>
      <c r="I929" s="4">
        <v>14.58</v>
      </c>
      <c r="J929" s="4">
        <v>14.78</v>
      </c>
      <c r="K929" s="4">
        <v>14.022500000000001</v>
      </c>
      <c r="L929" s="4">
        <v>14.0975</v>
      </c>
      <c r="M929" s="7">
        <v>-3.3099999999999997E-2</v>
      </c>
    </row>
    <row r="930" spans="1:13" x14ac:dyDescent="0.2">
      <c r="A930" s="6">
        <v>45295</v>
      </c>
      <c r="B930" s="2" t="s">
        <v>227</v>
      </c>
      <c r="C930" s="5">
        <v>45292</v>
      </c>
      <c r="D930" s="2" t="s">
        <v>191</v>
      </c>
      <c r="E930" s="3">
        <v>2668</v>
      </c>
      <c r="F930" s="8">
        <v>3.6315</v>
      </c>
      <c r="G930" s="4">
        <v>654.49969999999996</v>
      </c>
      <c r="H930" s="4">
        <v>1092.8751999999999</v>
      </c>
      <c r="I930" s="4">
        <v>14.0975</v>
      </c>
      <c r="J930" s="4">
        <v>14.2075</v>
      </c>
      <c r="K930" s="4">
        <v>13.2125</v>
      </c>
      <c r="L930" s="4">
        <v>13.33</v>
      </c>
      <c r="M930" s="7">
        <v>-5.4399999999999997E-2</v>
      </c>
    </row>
    <row r="931" spans="1:13" x14ac:dyDescent="0.2">
      <c r="A931" s="6">
        <v>45296</v>
      </c>
      <c r="B931" s="2" t="s">
        <v>225</v>
      </c>
      <c r="C931" s="5">
        <v>45292</v>
      </c>
      <c r="D931" s="2" t="s">
        <v>191</v>
      </c>
      <c r="E931" s="3">
        <v>2655</v>
      </c>
      <c r="F931" s="8">
        <v>3.6825999999999999</v>
      </c>
      <c r="G931" s="4">
        <v>768.96950000000004</v>
      </c>
      <c r="H931" s="4">
        <v>1083.2867000000001</v>
      </c>
      <c r="I931" s="4">
        <v>13.33</v>
      </c>
      <c r="J931" s="4">
        <v>13.467499999999999</v>
      </c>
      <c r="K931" s="4">
        <v>12.487500000000001</v>
      </c>
      <c r="L931" s="4">
        <v>12.63</v>
      </c>
      <c r="M931" s="7">
        <v>-5.2499999999999998E-2</v>
      </c>
    </row>
    <row r="932" spans="1:13" x14ac:dyDescent="0.2">
      <c r="A932" s="6">
        <v>45299</v>
      </c>
      <c r="B932" s="2" t="s">
        <v>228</v>
      </c>
      <c r="C932" s="5">
        <v>45292</v>
      </c>
      <c r="D932" s="2" t="s">
        <v>191</v>
      </c>
      <c r="E932" s="3">
        <v>2690</v>
      </c>
      <c r="F932" s="8">
        <v>3.5226999999999999</v>
      </c>
      <c r="G932" s="4">
        <v>641.6377</v>
      </c>
      <c r="H932" s="4">
        <v>928.93769999999995</v>
      </c>
      <c r="I932" s="4">
        <v>12.63</v>
      </c>
      <c r="J932" s="4">
        <v>13.595000000000001</v>
      </c>
      <c r="K932" s="4">
        <v>12.63</v>
      </c>
      <c r="L932" s="4">
        <v>13.4625</v>
      </c>
      <c r="M932" s="7">
        <v>6.59E-2</v>
      </c>
    </row>
    <row r="933" spans="1:13" x14ac:dyDescent="0.2">
      <c r="A933" s="6">
        <v>45300</v>
      </c>
      <c r="B933" s="2" t="s">
        <v>226</v>
      </c>
      <c r="C933" s="5">
        <v>45292</v>
      </c>
      <c r="D933" s="2" t="s">
        <v>191</v>
      </c>
      <c r="E933" s="3">
        <v>2664</v>
      </c>
      <c r="F933" s="8">
        <v>3.5070999999999999</v>
      </c>
      <c r="G933" s="4">
        <v>635.9588</v>
      </c>
      <c r="H933" s="4">
        <v>971.85540000000003</v>
      </c>
      <c r="I933" s="4">
        <v>13.4625</v>
      </c>
      <c r="J933" s="4">
        <v>13.505000000000001</v>
      </c>
      <c r="K933" s="4">
        <v>12.775</v>
      </c>
      <c r="L933" s="4">
        <v>13.262499999999999</v>
      </c>
      <c r="M933" s="7">
        <v>-1.49E-2</v>
      </c>
    </row>
    <row r="934" spans="1:13" x14ac:dyDescent="0.2">
      <c r="A934" s="6">
        <v>45301</v>
      </c>
      <c r="B934" s="2" t="s">
        <v>224</v>
      </c>
      <c r="C934" s="5">
        <v>45292</v>
      </c>
      <c r="D934" s="2" t="s">
        <v>191</v>
      </c>
      <c r="E934" s="3">
        <v>2643</v>
      </c>
      <c r="F934" s="8">
        <v>3.4155000000000002</v>
      </c>
      <c r="G934" s="4">
        <v>605.35760000000005</v>
      </c>
      <c r="H934" s="4">
        <v>961.8451</v>
      </c>
      <c r="I934" s="4">
        <v>13.262499999999999</v>
      </c>
      <c r="J934" s="4">
        <v>14.557499999999999</v>
      </c>
      <c r="K934" s="4">
        <v>12.81</v>
      </c>
      <c r="L934" s="4">
        <v>12.97</v>
      </c>
      <c r="M934" s="7">
        <v>-2.2100000000000002E-2</v>
      </c>
    </row>
    <row r="935" spans="1:13" x14ac:dyDescent="0.2">
      <c r="A935" s="6">
        <v>45302</v>
      </c>
      <c r="B935" s="2" t="s">
        <v>227</v>
      </c>
      <c r="C935" s="5">
        <v>45292</v>
      </c>
      <c r="D935" s="2" t="s">
        <v>191</v>
      </c>
      <c r="E935" s="3">
        <v>2662</v>
      </c>
      <c r="F935" s="8">
        <v>3.7551000000000001</v>
      </c>
      <c r="G935" s="4">
        <v>543.40869999999995</v>
      </c>
      <c r="H935" s="4">
        <v>1082.8356000000001</v>
      </c>
      <c r="I935" s="4">
        <v>12.97</v>
      </c>
      <c r="J935" s="4">
        <v>13.19</v>
      </c>
      <c r="K935" s="4">
        <v>12.63</v>
      </c>
      <c r="L935" s="4">
        <v>12.7675</v>
      </c>
      <c r="M935" s="7">
        <v>-1.5599999999999999E-2</v>
      </c>
    </row>
    <row r="936" spans="1:13" x14ac:dyDescent="0.2">
      <c r="A936" s="6">
        <v>45303</v>
      </c>
      <c r="B936" s="2" t="s">
        <v>225</v>
      </c>
      <c r="C936" s="5">
        <v>45292</v>
      </c>
      <c r="D936" s="2" t="s">
        <v>191</v>
      </c>
      <c r="E936" s="3">
        <v>2652</v>
      </c>
      <c r="F936" s="8">
        <v>3.5682999999999998</v>
      </c>
      <c r="G936" s="4">
        <v>537.51199999999994</v>
      </c>
      <c r="H936" s="4">
        <v>1036.8661</v>
      </c>
      <c r="I936" s="4">
        <v>12.7675</v>
      </c>
      <c r="J936" s="4">
        <v>13.285</v>
      </c>
      <c r="K936" s="4">
        <v>12.42</v>
      </c>
      <c r="L936" s="4">
        <v>13.1</v>
      </c>
      <c r="M936" s="7">
        <v>2.5999999999999999E-2</v>
      </c>
    </row>
    <row r="937" spans="1:13" x14ac:dyDescent="0.2">
      <c r="A937" s="6">
        <v>45306</v>
      </c>
      <c r="B937" s="2" t="s">
        <v>228</v>
      </c>
      <c r="C937" s="5">
        <v>45292</v>
      </c>
      <c r="D937" s="2" t="s">
        <v>191</v>
      </c>
      <c r="E937" s="3">
        <v>2682</v>
      </c>
      <c r="F937" s="8">
        <v>3.8117999999999999</v>
      </c>
      <c r="G937" s="4">
        <v>593.94330000000002</v>
      </c>
      <c r="H937" s="4">
        <v>1131.1601000000001</v>
      </c>
      <c r="I937" s="4">
        <v>13.1</v>
      </c>
      <c r="J937" s="4">
        <v>13.885</v>
      </c>
      <c r="K937" s="4">
        <v>11.7875</v>
      </c>
      <c r="L937" s="4">
        <v>13.785</v>
      </c>
      <c r="M937" s="7">
        <v>5.2299999999999999E-2</v>
      </c>
    </row>
    <row r="938" spans="1:13" x14ac:dyDescent="0.2">
      <c r="A938" s="6">
        <v>45307</v>
      </c>
      <c r="B938" s="2" t="s">
        <v>226</v>
      </c>
      <c r="C938" s="5">
        <v>45292</v>
      </c>
      <c r="D938" s="2" t="s">
        <v>191</v>
      </c>
      <c r="E938" s="3">
        <v>2633</v>
      </c>
      <c r="F938" s="8">
        <v>3.9815</v>
      </c>
      <c r="G938" s="4">
        <v>671.02290000000005</v>
      </c>
      <c r="H938" s="4">
        <v>1151.4285</v>
      </c>
      <c r="I938" s="4">
        <v>13.785</v>
      </c>
      <c r="J938" s="4">
        <v>14.0425</v>
      </c>
      <c r="K938" s="4">
        <v>12.484999999999999</v>
      </c>
      <c r="L938" s="4">
        <v>13.5725</v>
      </c>
      <c r="M938" s="7">
        <v>-1.54E-2</v>
      </c>
    </row>
    <row r="939" spans="1:13" x14ac:dyDescent="0.2">
      <c r="A939" s="6">
        <v>45308</v>
      </c>
      <c r="B939" s="2" t="s">
        <v>224</v>
      </c>
      <c r="C939" s="5">
        <v>45292</v>
      </c>
      <c r="D939" s="2" t="s">
        <v>191</v>
      </c>
      <c r="E939" s="3">
        <v>2637</v>
      </c>
      <c r="F939" s="8">
        <v>4.1463999999999999</v>
      </c>
      <c r="G939" s="4">
        <v>583.85389999999995</v>
      </c>
      <c r="H939" s="4">
        <v>1320.4529</v>
      </c>
      <c r="I939" s="4">
        <v>13.5725</v>
      </c>
      <c r="J939" s="4">
        <v>15.23</v>
      </c>
      <c r="K939" s="4">
        <v>12.715</v>
      </c>
      <c r="L939" s="4">
        <v>15.08</v>
      </c>
      <c r="M939" s="7">
        <v>0.1111</v>
      </c>
    </row>
    <row r="940" spans="1:13" x14ac:dyDescent="0.2">
      <c r="A940" s="6">
        <v>45309</v>
      </c>
      <c r="B940" s="2" t="s">
        <v>227</v>
      </c>
      <c r="C940" s="5">
        <v>45292</v>
      </c>
      <c r="D940" s="2" t="s">
        <v>191</v>
      </c>
      <c r="E940" s="3">
        <v>2640</v>
      </c>
      <c r="F940" s="8">
        <v>4.3600000000000003</v>
      </c>
      <c r="G940" s="4">
        <v>580.2056</v>
      </c>
      <c r="H940" s="4">
        <v>1271.9081000000001</v>
      </c>
      <c r="I940" s="4">
        <v>15.08</v>
      </c>
      <c r="J940" s="4">
        <v>15.705</v>
      </c>
      <c r="K940" s="4">
        <v>12.98</v>
      </c>
      <c r="L940" s="4">
        <v>14.07</v>
      </c>
      <c r="M940" s="7">
        <v>-6.7000000000000004E-2</v>
      </c>
    </row>
    <row r="941" spans="1:13" x14ac:dyDescent="0.2">
      <c r="A941" s="6">
        <v>45310</v>
      </c>
      <c r="B941" s="2" t="s">
        <v>225</v>
      </c>
      <c r="C941" s="5">
        <v>45292</v>
      </c>
      <c r="D941" s="2" t="s">
        <v>191</v>
      </c>
      <c r="E941" s="3">
        <v>2628</v>
      </c>
      <c r="F941" s="8">
        <v>3.9733000000000001</v>
      </c>
      <c r="G941" s="4">
        <v>556.67700000000002</v>
      </c>
      <c r="H941" s="4">
        <v>1237.4680000000001</v>
      </c>
      <c r="I941" s="4">
        <v>14.07</v>
      </c>
      <c r="J941" s="4">
        <v>14.112500000000001</v>
      </c>
      <c r="K941" s="4">
        <v>13.6775</v>
      </c>
      <c r="L941" s="4">
        <v>13.8775</v>
      </c>
      <c r="M941" s="7">
        <v>-1.37E-2</v>
      </c>
    </row>
    <row r="942" spans="1:13" x14ac:dyDescent="0.2">
      <c r="A942" s="6">
        <v>45311</v>
      </c>
      <c r="B942" s="2" t="s">
        <v>229</v>
      </c>
      <c r="C942" s="5">
        <v>45292</v>
      </c>
      <c r="D942" s="2" t="s">
        <v>191</v>
      </c>
      <c r="E942" s="3">
        <v>2590</v>
      </c>
      <c r="F942" s="8">
        <v>2.7576999999999998</v>
      </c>
      <c r="G942" s="4">
        <v>464.3845</v>
      </c>
      <c r="H942" s="4">
        <v>804.47490000000005</v>
      </c>
      <c r="I942" s="4">
        <v>13.8775</v>
      </c>
      <c r="J942" s="4">
        <v>14.2475</v>
      </c>
      <c r="K942" s="4">
        <v>13.0975</v>
      </c>
      <c r="L942" s="4">
        <v>13.8025</v>
      </c>
      <c r="M942" s="7">
        <v>-5.4000000000000003E-3</v>
      </c>
    </row>
    <row r="943" spans="1:13" x14ac:dyDescent="0.2">
      <c r="A943" s="6">
        <v>45314</v>
      </c>
      <c r="B943" s="2" t="s">
        <v>226</v>
      </c>
      <c r="C943" s="5">
        <v>45292</v>
      </c>
      <c r="D943" s="2" t="s">
        <v>191</v>
      </c>
      <c r="E943" s="3">
        <v>2683</v>
      </c>
      <c r="F943" s="8">
        <v>5.2832999999999997</v>
      </c>
      <c r="G943" s="4">
        <v>711.10059999999999</v>
      </c>
      <c r="H943" s="4">
        <v>1515.3449000000001</v>
      </c>
      <c r="I943" s="4">
        <v>13.8025</v>
      </c>
      <c r="J943" s="4">
        <v>15.404999999999999</v>
      </c>
      <c r="K943" s="4">
        <v>12.195</v>
      </c>
      <c r="L943" s="4">
        <v>14.852499999999999</v>
      </c>
      <c r="M943" s="7">
        <v>7.6100000000000001E-2</v>
      </c>
    </row>
    <row r="944" spans="1:13" x14ac:dyDescent="0.2">
      <c r="A944" s="6">
        <v>45315</v>
      </c>
      <c r="B944" s="2" t="s">
        <v>224</v>
      </c>
      <c r="C944" s="5">
        <v>45292</v>
      </c>
      <c r="D944" s="2" t="s">
        <v>191</v>
      </c>
      <c r="E944" s="3">
        <v>2634</v>
      </c>
      <c r="F944" s="8">
        <v>4.3402000000000003</v>
      </c>
      <c r="G944" s="4">
        <v>648.6046</v>
      </c>
      <c r="H944" s="4">
        <v>1345.2001</v>
      </c>
      <c r="I944" s="4">
        <v>14.852499999999999</v>
      </c>
      <c r="J944" s="4">
        <v>15.647500000000001</v>
      </c>
      <c r="K944" s="4">
        <v>14.03</v>
      </c>
      <c r="L944" s="4">
        <v>14.375</v>
      </c>
      <c r="M944" s="7">
        <v>-3.2099999999999997E-2</v>
      </c>
    </row>
    <row r="945" spans="1:13" x14ac:dyDescent="0.2">
      <c r="A945" s="6">
        <v>45316</v>
      </c>
      <c r="B945" s="2" t="s">
        <v>227</v>
      </c>
      <c r="C945" s="5">
        <v>45292</v>
      </c>
      <c r="D945" s="2" t="s">
        <v>191</v>
      </c>
      <c r="E945" s="3">
        <v>2667</v>
      </c>
      <c r="F945" s="8">
        <v>3.9868000000000001</v>
      </c>
      <c r="G945" s="4">
        <v>619.4529</v>
      </c>
      <c r="H945" s="4">
        <v>1284.7301</v>
      </c>
      <c r="I945" s="4">
        <v>14.375</v>
      </c>
      <c r="J945" s="4">
        <v>15.3375</v>
      </c>
      <c r="K945" s="4">
        <v>13.36</v>
      </c>
      <c r="L945" s="4">
        <v>13.865</v>
      </c>
      <c r="M945" s="7">
        <v>-3.5499999999999997E-2</v>
      </c>
    </row>
    <row r="946" spans="1:13" x14ac:dyDescent="0.2">
      <c r="A946" s="6">
        <v>45320</v>
      </c>
      <c r="B946" s="2" t="s">
        <v>228</v>
      </c>
      <c r="C946" s="5">
        <v>45292</v>
      </c>
      <c r="D946" s="2" t="s">
        <v>191</v>
      </c>
      <c r="E946" s="3">
        <v>2686</v>
      </c>
      <c r="F946" s="8">
        <v>4.2619999999999996</v>
      </c>
      <c r="G946" s="4">
        <v>662.76390000000004</v>
      </c>
      <c r="H946" s="4">
        <v>1260.826</v>
      </c>
      <c r="I946" s="4">
        <v>13.865</v>
      </c>
      <c r="J946" s="4">
        <v>15.8475</v>
      </c>
      <c r="K946" s="4">
        <v>13.795</v>
      </c>
      <c r="L946" s="4">
        <v>15.68</v>
      </c>
      <c r="M946" s="7">
        <v>0.13089999999999999</v>
      </c>
    </row>
    <row r="947" spans="1:13" x14ac:dyDescent="0.2">
      <c r="A947" s="6">
        <v>45321</v>
      </c>
      <c r="B947" s="2" t="s">
        <v>226</v>
      </c>
      <c r="C947" s="5">
        <v>45292</v>
      </c>
      <c r="D947" s="2" t="s">
        <v>191</v>
      </c>
      <c r="E947" s="3">
        <v>2646</v>
      </c>
      <c r="F947" s="8">
        <v>4.3258999999999999</v>
      </c>
      <c r="G947" s="4">
        <v>660.89189999999996</v>
      </c>
      <c r="H947" s="4">
        <v>1242.2267999999999</v>
      </c>
      <c r="I947" s="4">
        <v>15.68</v>
      </c>
      <c r="J947" s="4">
        <v>16.574999999999999</v>
      </c>
      <c r="K947" s="4">
        <v>14.987500000000001</v>
      </c>
      <c r="L947" s="4">
        <v>16.102499999999999</v>
      </c>
      <c r="M947" s="7">
        <v>2.69E-2</v>
      </c>
    </row>
    <row r="948" spans="1:13" x14ac:dyDescent="0.2">
      <c r="A948" s="6">
        <v>45322</v>
      </c>
      <c r="B948" s="2" t="s">
        <v>224</v>
      </c>
      <c r="C948" s="5">
        <v>45292</v>
      </c>
      <c r="D948" s="2" t="s">
        <v>191</v>
      </c>
      <c r="E948" s="3">
        <v>2639</v>
      </c>
      <c r="F948" s="8">
        <v>4.3090999999999999</v>
      </c>
      <c r="G948" s="4">
        <v>625.28470000000004</v>
      </c>
      <c r="H948" s="4">
        <v>1348.2760000000001</v>
      </c>
      <c r="I948" s="4">
        <v>16.102499999999999</v>
      </c>
      <c r="J948" s="4">
        <v>16.532499999999999</v>
      </c>
      <c r="K948" s="4">
        <v>15.8</v>
      </c>
      <c r="L948" s="4">
        <v>16.047499999999999</v>
      </c>
      <c r="M948" s="7">
        <v>-3.3999999999999998E-3</v>
      </c>
    </row>
    <row r="949" spans="1:13" x14ac:dyDescent="0.2">
      <c r="A949" s="6">
        <v>45323</v>
      </c>
      <c r="B949" s="2" t="s">
        <v>227</v>
      </c>
      <c r="C949" s="5">
        <v>45323</v>
      </c>
      <c r="D949" s="2" t="s">
        <v>191</v>
      </c>
      <c r="E949" s="3">
        <v>2661</v>
      </c>
      <c r="F949" s="8">
        <v>4.7119</v>
      </c>
      <c r="G949" s="4">
        <v>684.79610000000002</v>
      </c>
      <c r="H949" s="4">
        <v>1354.9938</v>
      </c>
      <c r="I949" s="4">
        <v>16.047499999999999</v>
      </c>
      <c r="J949" s="4">
        <v>16.107500000000002</v>
      </c>
      <c r="K949" s="4">
        <v>14.36</v>
      </c>
      <c r="L949" s="4">
        <v>14.455</v>
      </c>
      <c r="M949" s="7">
        <v>-9.9199999999999997E-2</v>
      </c>
    </row>
    <row r="950" spans="1:13" x14ac:dyDescent="0.2">
      <c r="A950" s="6">
        <v>45324</v>
      </c>
      <c r="B950" s="2" t="s">
        <v>225</v>
      </c>
      <c r="C950" s="5">
        <v>45323</v>
      </c>
      <c r="D950" s="2" t="s">
        <v>191</v>
      </c>
      <c r="E950" s="3">
        <v>2707</v>
      </c>
      <c r="F950" s="8">
        <v>4.8627000000000002</v>
      </c>
      <c r="G950" s="4">
        <v>727.44029999999998</v>
      </c>
      <c r="H950" s="4">
        <v>1451.682</v>
      </c>
      <c r="I950" s="4">
        <v>14.455</v>
      </c>
      <c r="J950" s="4">
        <v>15.1325</v>
      </c>
      <c r="K950" s="4">
        <v>14.025</v>
      </c>
      <c r="L950" s="4">
        <v>14.6975</v>
      </c>
      <c r="M950" s="7">
        <v>1.6799999999999999E-2</v>
      </c>
    </row>
    <row r="951" spans="1:13" x14ac:dyDescent="0.2">
      <c r="A951" s="6">
        <v>45327</v>
      </c>
      <c r="B951" s="2" t="s">
        <v>228</v>
      </c>
      <c r="C951" s="5">
        <v>45323</v>
      </c>
      <c r="D951" s="2" t="s">
        <v>191</v>
      </c>
      <c r="E951" s="3">
        <v>2752</v>
      </c>
      <c r="F951" s="8">
        <v>5.3083</v>
      </c>
      <c r="G951" s="4">
        <v>790.8279</v>
      </c>
      <c r="H951" s="4">
        <v>1486.354</v>
      </c>
      <c r="I951" s="4">
        <v>14.6975</v>
      </c>
      <c r="J951" s="4">
        <v>16.05</v>
      </c>
      <c r="K951" s="4">
        <v>14.6975</v>
      </c>
      <c r="L951" s="4">
        <v>15.6175</v>
      </c>
      <c r="M951" s="7">
        <v>6.2600000000000003E-2</v>
      </c>
    </row>
    <row r="952" spans="1:13" x14ac:dyDescent="0.2">
      <c r="A952" s="6">
        <v>45328</v>
      </c>
      <c r="B952" s="2" t="s">
        <v>226</v>
      </c>
      <c r="C952" s="5">
        <v>45323</v>
      </c>
      <c r="D952" s="2" t="s">
        <v>191</v>
      </c>
      <c r="E952" s="3">
        <v>2673</v>
      </c>
      <c r="F952" s="8">
        <v>4.6798999999999999</v>
      </c>
      <c r="G952" s="4">
        <v>689.10389999999995</v>
      </c>
      <c r="H952" s="4">
        <v>1308.6379999999999</v>
      </c>
      <c r="I952" s="4">
        <v>15.6175</v>
      </c>
      <c r="J952" s="4">
        <v>15.9825</v>
      </c>
      <c r="K952" s="4">
        <v>15.0875</v>
      </c>
      <c r="L952" s="4">
        <v>15.785</v>
      </c>
      <c r="M952" s="7">
        <v>1.0699999999999999E-2</v>
      </c>
    </row>
    <row r="953" spans="1:13" x14ac:dyDescent="0.2">
      <c r="A953" s="6">
        <v>45329</v>
      </c>
      <c r="B953" s="2" t="s">
        <v>224</v>
      </c>
      <c r="C953" s="5">
        <v>45323</v>
      </c>
      <c r="D953" s="2" t="s">
        <v>191</v>
      </c>
      <c r="E953" s="3">
        <v>2679</v>
      </c>
      <c r="F953" s="8">
        <v>4.7203999999999997</v>
      </c>
      <c r="G953" s="4">
        <v>828.50689999999997</v>
      </c>
      <c r="H953" s="4">
        <v>1325.6337000000001</v>
      </c>
      <c r="I953" s="4">
        <v>15.785</v>
      </c>
      <c r="J953" s="4">
        <v>16.017499999999998</v>
      </c>
      <c r="K953" s="4">
        <v>14.74</v>
      </c>
      <c r="L953" s="4">
        <v>15.505000000000001</v>
      </c>
      <c r="M953" s="7">
        <v>-1.77E-2</v>
      </c>
    </row>
    <row r="954" spans="1:13" x14ac:dyDescent="0.2">
      <c r="A954" s="6">
        <v>45330</v>
      </c>
      <c r="B954" s="2" t="s">
        <v>227</v>
      </c>
      <c r="C954" s="5">
        <v>45323</v>
      </c>
      <c r="D954" s="2" t="s">
        <v>191</v>
      </c>
      <c r="E954" s="3">
        <v>2666</v>
      </c>
      <c r="F954" s="8">
        <v>4.8402000000000003</v>
      </c>
      <c r="G954" s="4">
        <v>854.22400000000005</v>
      </c>
      <c r="H954" s="4">
        <v>1469.1422</v>
      </c>
      <c r="I954" s="4">
        <v>15.505000000000001</v>
      </c>
      <c r="J954" s="4">
        <v>16.0275</v>
      </c>
      <c r="K954" s="4">
        <v>15.2425</v>
      </c>
      <c r="L954" s="4">
        <v>15.827500000000001</v>
      </c>
      <c r="M954" s="7">
        <v>2.0799999999999999E-2</v>
      </c>
    </row>
    <row r="955" spans="1:13" x14ac:dyDescent="0.2">
      <c r="A955" s="6">
        <v>45331</v>
      </c>
      <c r="B955" s="2" t="s">
        <v>225</v>
      </c>
      <c r="C955" s="5">
        <v>45323</v>
      </c>
      <c r="D955" s="2" t="s">
        <v>191</v>
      </c>
      <c r="E955" s="3">
        <v>2661</v>
      </c>
      <c r="F955" s="8">
        <v>4.8390000000000004</v>
      </c>
      <c r="G955" s="4">
        <v>819.83860000000004</v>
      </c>
      <c r="H955" s="4">
        <v>1328.4196999999999</v>
      </c>
      <c r="I955" s="4">
        <v>15.827500000000001</v>
      </c>
      <c r="J955" s="4">
        <v>16.3325</v>
      </c>
      <c r="K955" s="4">
        <v>15.265000000000001</v>
      </c>
      <c r="L955" s="4">
        <v>15.4475</v>
      </c>
      <c r="M955" s="7">
        <v>-2.4E-2</v>
      </c>
    </row>
    <row r="956" spans="1:13" x14ac:dyDescent="0.2">
      <c r="A956" s="6">
        <v>45334</v>
      </c>
      <c r="B956" s="2" t="s">
        <v>228</v>
      </c>
      <c r="C956" s="5">
        <v>45323</v>
      </c>
      <c r="D956" s="2" t="s">
        <v>191</v>
      </c>
      <c r="E956" s="3">
        <v>2710</v>
      </c>
      <c r="F956" s="8">
        <v>4.7190000000000003</v>
      </c>
      <c r="G956" s="4">
        <v>606.66489999999999</v>
      </c>
      <c r="H956" s="4">
        <v>1138.2168999999999</v>
      </c>
      <c r="I956" s="4">
        <v>15.4475</v>
      </c>
      <c r="J956" s="4">
        <v>16.535</v>
      </c>
      <c r="K956" s="4">
        <v>15.4475</v>
      </c>
      <c r="L956" s="4">
        <v>16.0625</v>
      </c>
      <c r="M956" s="7">
        <v>3.9800000000000002E-2</v>
      </c>
    </row>
    <row r="957" spans="1:13" x14ac:dyDescent="0.2">
      <c r="A957" s="6">
        <v>45335</v>
      </c>
      <c r="B957" s="2" t="s">
        <v>226</v>
      </c>
      <c r="C957" s="5">
        <v>45323</v>
      </c>
      <c r="D957" s="2" t="s">
        <v>191</v>
      </c>
      <c r="E957" s="3">
        <v>2658</v>
      </c>
      <c r="F957" s="8">
        <v>4.3644999999999996</v>
      </c>
      <c r="G957" s="4">
        <v>564.23149999999998</v>
      </c>
      <c r="H957" s="4">
        <v>1085.2550000000001</v>
      </c>
      <c r="I957" s="4">
        <v>16.0625</v>
      </c>
      <c r="J957" s="4">
        <v>16.57</v>
      </c>
      <c r="K957" s="4">
        <v>15.7525</v>
      </c>
      <c r="L957" s="4">
        <v>15.807499999999999</v>
      </c>
      <c r="M957" s="7">
        <v>-1.5900000000000001E-2</v>
      </c>
    </row>
    <row r="958" spans="1:13" x14ac:dyDescent="0.2">
      <c r="A958" s="6">
        <v>45336</v>
      </c>
      <c r="B958" s="2" t="s">
        <v>224</v>
      </c>
      <c r="C958" s="5">
        <v>45323</v>
      </c>
      <c r="D958" s="2" t="s">
        <v>191</v>
      </c>
      <c r="E958" s="3">
        <v>2651</v>
      </c>
      <c r="F958" s="8">
        <v>3.9394999999999998</v>
      </c>
      <c r="G958" s="4">
        <v>515.63739999999996</v>
      </c>
      <c r="H958" s="4">
        <v>1066.4031</v>
      </c>
      <c r="I958" s="4">
        <v>15.807499999999999</v>
      </c>
      <c r="J958" s="4">
        <v>16.197500000000002</v>
      </c>
      <c r="K958" s="4">
        <v>15.34</v>
      </c>
      <c r="L958" s="4">
        <v>15.435</v>
      </c>
      <c r="M958" s="7">
        <v>-2.3599999999999999E-2</v>
      </c>
    </row>
    <row r="959" spans="1:13" x14ac:dyDescent="0.2">
      <c r="A959" s="6">
        <v>45337</v>
      </c>
      <c r="B959" s="2" t="s">
        <v>227</v>
      </c>
      <c r="C959" s="5">
        <v>45323</v>
      </c>
      <c r="D959" s="2" t="s">
        <v>191</v>
      </c>
      <c r="E959" s="3">
        <v>2640</v>
      </c>
      <c r="F959" s="8">
        <v>4.0110000000000001</v>
      </c>
      <c r="G959" s="4">
        <v>541.45590000000004</v>
      </c>
      <c r="H959" s="4">
        <v>1106.5092999999999</v>
      </c>
      <c r="I959" s="4">
        <v>15.435</v>
      </c>
      <c r="J959" s="4">
        <v>15.6625</v>
      </c>
      <c r="K959" s="4">
        <v>15.112500000000001</v>
      </c>
      <c r="L959" s="4">
        <v>15.225</v>
      </c>
      <c r="M959" s="7">
        <v>-1.3599999999999999E-2</v>
      </c>
    </row>
    <row r="960" spans="1:13" x14ac:dyDescent="0.2">
      <c r="A960" s="6">
        <v>45338</v>
      </c>
      <c r="B960" s="2" t="s">
        <v>225</v>
      </c>
      <c r="C960" s="5">
        <v>45323</v>
      </c>
      <c r="D960" s="2" t="s">
        <v>191</v>
      </c>
      <c r="E960" s="3">
        <v>2663</v>
      </c>
      <c r="F960" s="8">
        <v>3.9510999999999998</v>
      </c>
      <c r="G960" s="4">
        <v>486.40809999999999</v>
      </c>
      <c r="H960" s="4">
        <v>1108.7947999999999</v>
      </c>
      <c r="I960" s="4">
        <v>15.225</v>
      </c>
      <c r="J960" s="4">
        <v>15.5525</v>
      </c>
      <c r="K960" s="4">
        <v>14.9025</v>
      </c>
      <c r="L960" s="4">
        <v>15.2225</v>
      </c>
      <c r="M960" s="7">
        <v>-2.0000000000000001E-4</v>
      </c>
    </row>
    <row r="961" spans="1:13" x14ac:dyDescent="0.2">
      <c r="A961" s="6">
        <v>45341</v>
      </c>
      <c r="B961" s="2" t="s">
        <v>228</v>
      </c>
      <c r="C961" s="5">
        <v>45323</v>
      </c>
      <c r="D961" s="2" t="s">
        <v>191</v>
      </c>
      <c r="E961" s="3">
        <v>2705</v>
      </c>
      <c r="F961" s="8">
        <v>3.5049999999999999</v>
      </c>
      <c r="G961" s="4">
        <v>469.16449999999998</v>
      </c>
      <c r="H961" s="4">
        <v>950.51020000000005</v>
      </c>
      <c r="I961" s="4">
        <v>15.2225</v>
      </c>
      <c r="J961" s="4">
        <v>16.1175</v>
      </c>
      <c r="K961" s="4">
        <v>13.7</v>
      </c>
      <c r="L961" s="4">
        <v>16.017499999999998</v>
      </c>
      <c r="M961" s="7">
        <v>5.2200000000000003E-2</v>
      </c>
    </row>
    <row r="962" spans="1:13" x14ac:dyDescent="0.2">
      <c r="A962" s="6">
        <v>45342</v>
      </c>
      <c r="B962" s="2" t="s">
        <v>226</v>
      </c>
      <c r="C962" s="5">
        <v>45323</v>
      </c>
      <c r="D962" s="2" t="s">
        <v>191</v>
      </c>
      <c r="E962" s="3">
        <v>2655</v>
      </c>
      <c r="F962" s="8">
        <v>3.4514999999999998</v>
      </c>
      <c r="G962" s="4">
        <v>437.89460000000003</v>
      </c>
      <c r="H962" s="4">
        <v>938.56420000000003</v>
      </c>
      <c r="I962" s="4">
        <v>16.017499999999998</v>
      </c>
      <c r="J962" s="4">
        <v>16.36</v>
      </c>
      <c r="K962" s="4">
        <v>14.2125</v>
      </c>
      <c r="L962" s="4">
        <v>16.072500000000002</v>
      </c>
      <c r="M962" s="7">
        <v>3.3999999999999998E-3</v>
      </c>
    </row>
    <row r="963" spans="1:13" x14ac:dyDescent="0.2">
      <c r="A963" s="6">
        <v>45343</v>
      </c>
      <c r="B963" s="2" t="s">
        <v>224</v>
      </c>
      <c r="C963" s="5">
        <v>45323</v>
      </c>
      <c r="D963" s="2" t="s">
        <v>191</v>
      </c>
      <c r="E963" s="3">
        <v>2645</v>
      </c>
      <c r="F963" s="8">
        <v>3.7469000000000001</v>
      </c>
      <c r="G963" s="4">
        <v>501.52839999999998</v>
      </c>
      <c r="H963" s="4">
        <v>1059.6814999999999</v>
      </c>
      <c r="I963" s="4">
        <v>16.072500000000002</v>
      </c>
      <c r="J963" s="4">
        <v>16.309999999999999</v>
      </c>
      <c r="K963" s="4">
        <v>15.68</v>
      </c>
      <c r="L963" s="4">
        <v>15.9275</v>
      </c>
      <c r="M963" s="7">
        <v>-8.9999999999999993E-3</v>
      </c>
    </row>
    <row r="964" spans="1:13" x14ac:dyDescent="0.2">
      <c r="A964" s="6">
        <v>45344</v>
      </c>
      <c r="B964" s="2" t="s">
        <v>227</v>
      </c>
      <c r="C964" s="5">
        <v>45323</v>
      </c>
      <c r="D964" s="2" t="s">
        <v>191</v>
      </c>
      <c r="E964" s="3">
        <v>2654</v>
      </c>
      <c r="F964" s="8">
        <v>3.5920000000000001</v>
      </c>
      <c r="G964" s="4">
        <v>469.46409999999997</v>
      </c>
      <c r="H964" s="4">
        <v>1017.5861</v>
      </c>
      <c r="I964" s="4">
        <v>15.9275</v>
      </c>
      <c r="J964" s="4">
        <v>16.149999999999999</v>
      </c>
      <c r="K964" s="4">
        <v>15.1325</v>
      </c>
      <c r="L964" s="4">
        <v>15.1975</v>
      </c>
      <c r="M964" s="7">
        <v>-4.58E-2</v>
      </c>
    </row>
    <row r="965" spans="1:13" x14ac:dyDescent="0.2">
      <c r="A965" s="6">
        <v>45345</v>
      </c>
      <c r="B965" s="2" t="s">
        <v>225</v>
      </c>
      <c r="C965" s="5">
        <v>45323</v>
      </c>
      <c r="D965" s="2" t="s">
        <v>191</v>
      </c>
      <c r="E965" s="3">
        <v>2667</v>
      </c>
      <c r="F965" s="8">
        <v>3.4853000000000001</v>
      </c>
      <c r="G965" s="4">
        <v>589.71900000000005</v>
      </c>
      <c r="H965" s="4">
        <v>1048.1196</v>
      </c>
      <c r="I965" s="4">
        <v>15.1975</v>
      </c>
      <c r="J965" s="4">
        <v>15.442500000000001</v>
      </c>
      <c r="K965" s="4">
        <v>14.84</v>
      </c>
      <c r="L965" s="4">
        <v>14.9725</v>
      </c>
      <c r="M965" s="7">
        <v>-1.4800000000000001E-2</v>
      </c>
    </row>
    <row r="966" spans="1:13" x14ac:dyDescent="0.2">
      <c r="A966" s="6">
        <v>45348</v>
      </c>
      <c r="B966" s="2" t="s">
        <v>228</v>
      </c>
      <c r="C966" s="5">
        <v>45323</v>
      </c>
      <c r="D966" s="2" t="s">
        <v>191</v>
      </c>
      <c r="E966" s="3">
        <v>2719</v>
      </c>
      <c r="F966" s="8">
        <v>3.5952000000000002</v>
      </c>
      <c r="G966" s="4">
        <v>435.72750000000002</v>
      </c>
      <c r="H966" s="4">
        <v>974.05</v>
      </c>
      <c r="I966" s="4">
        <v>14.9725</v>
      </c>
      <c r="J966" s="4">
        <v>15.96</v>
      </c>
      <c r="K966" s="4">
        <v>13.7575</v>
      </c>
      <c r="L966" s="4">
        <v>15.6</v>
      </c>
      <c r="M966" s="7">
        <v>4.19E-2</v>
      </c>
    </row>
    <row r="967" spans="1:13" x14ac:dyDescent="0.2">
      <c r="A967" s="6">
        <v>45349</v>
      </c>
      <c r="B967" s="2" t="s">
        <v>226</v>
      </c>
      <c r="C967" s="5">
        <v>45323</v>
      </c>
      <c r="D967" s="2" t="s">
        <v>191</v>
      </c>
      <c r="E967" s="3">
        <v>2665</v>
      </c>
      <c r="F967" s="8">
        <v>3.4519000000000002</v>
      </c>
      <c r="G967" s="4">
        <v>431.32859999999999</v>
      </c>
      <c r="H967" s="4">
        <v>975.54750000000001</v>
      </c>
      <c r="I967" s="4">
        <v>15.6</v>
      </c>
      <c r="J967" s="4">
        <v>15.9975</v>
      </c>
      <c r="K967" s="4">
        <v>15.53</v>
      </c>
      <c r="L967" s="4">
        <v>15.727499999999999</v>
      </c>
      <c r="M967" s="7">
        <v>8.2000000000000007E-3</v>
      </c>
    </row>
    <row r="968" spans="1:13" x14ac:dyDescent="0.2">
      <c r="A968" s="6">
        <v>45350</v>
      </c>
      <c r="B968" s="2" t="s">
        <v>224</v>
      </c>
      <c r="C968" s="5">
        <v>45323</v>
      </c>
      <c r="D968" s="2" t="s">
        <v>191</v>
      </c>
      <c r="E968" s="3">
        <v>2668</v>
      </c>
      <c r="F968" s="8">
        <v>3.5686</v>
      </c>
      <c r="G968" s="4">
        <v>541.18119999999999</v>
      </c>
      <c r="H968" s="4">
        <v>935.72230000000002</v>
      </c>
      <c r="I968" s="4">
        <v>15.727499999999999</v>
      </c>
      <c r="J968" s="4">
        <v>16.739999999999998</v>
      </c>
      <c r="K968" s="4">
        <v>15.31</v>
      </c>
      <c r="L968" s="4">
        <v>16.329999999999998</v>
      </c>
      <c r="M968" s="7">
        <v>3.8300000000000001E-2</v>
      </c>
    </row>
    <row r="969" spans="1:13" x14ac:dyDescent="0.2">
      <c r="A969" s="6">
        <v>45351</v>
      </c>
      <c r="B969" s="2" t="s">
        <v>227</v>
      </c>
      <c r="C969" s="5">
        <v>45323</v>
      </c>
      <c r="D969" s="2" t="s">
        <v>191</v>
      </c>
      <c r="E969" s="3">
        <v>2640</v>
      </c>
      <c r="F969" s="8">
        <v>3.8679999999999999</v>
      </c>
      <c r="G969" s="4">
        <v>660.66639999999995</v>
      </c>
      <c r="H969" s="4">
        <v>1446.8883000000001</v>
      </c>
      <c r="I969" s="4">
        <v>16.329999999999998</v>
      </c>
      <c r="J969" s="4">
        <v>16.552499999999998</v>
      </c>
      <c r="K969" s="4">
        <v>15.37</v>
      </c>
      <c r="L969" s="4">
        <v>15.5725</v>
      </c>
      <c r="M969" s="7">
        <v>-4.6399999999999997E-2</v>
      </c>
    </row>
    <row r="970" spans="1:13" x14ac:dyDescent="0.2">
      <c r="A970" s="6">
        <v>45352</v>
      </c>
      <c r="B970" s="2" t="s">
        <v>225</v>
      </c>
      <c r="C970" s="5">
        <v>45352</v>
      </c>
      <c r="D970" s="2" t="s">
        <v>191</v>
      </c>
      <c r="E970" s="3">
        <v>2694</v>
      </c>
      <c r="F970" s="8">
        <v>3.2898000000000001</v>
      </c>
      <c r="G970" s="4">
        <v>403.06240000000003</v>
      </c>
      <c r="H970" s="4">
        <v>923.7491</v>
      </c>
      <c r="I970" s="4">
        <v>15.5725</v>
      </c>
      <c r="J970" s="4">
        <v>15.6425</v>
      </c>
      <c r="K970" s="4">
        <v>15</v>
      </c>
      <c r="L970" s="4">
        <v>15.234999999999999</v>
      </c>
      <c r="M970" s="7">
        <v>-2.1700000000000001E-2</v>
      </c>
    </row>
    <row r="971" spans="1:13" x14ac:dyDescent="0.2">
      <c r="A971" s="6">
        <v>45353</v>
      </c>
      <c r="B971" s="2" t="s">
        <v>229</v>
      </c>
      <c r="C971" s="5">
        <v>45352</v>
      </c>
      <c r="D971" s="2" t="s">
        <v>191</v>
      </c>
      <c r="E971" s="3">
        <v>2440</v>
      </c>
      <c r="F971" s="8">
        <v>0.42049999999999998</v>
      </c>
      <c r="G971" s="4">
        <v>70.167900000000003</v>
      </c>
      <c r="H971" s="4">
        <v>104.2723</v>
      </c>
      <c r="I971" s="4"/>
      <c r="J971" s="4"/>
      <c r="K971" s="4"/>
      <c r="L971" s="4"/>
      <c r="M971" s="7"/>
    </row>
    <row r="972" spans="1:13" x14ac:dyDescent="0.2">
      <c r="A972" s="6">
        <v>45355</v>
      </c>
      <c r="B972" s="2" t="s">
        <v>228</v>
      </c>
      <c r="C972" s="5">
        <v>45352</v>
      </c>
      <c r="D972" s="2" t="s">
        <v>191</v>
      </c>
      <c r="E972" s="3">
        <v>2709</v>
      </c>
      <c r="F972" s="8">
        <v>3.2799</v>
      </c>
      <c r="G972" s="4">
        <v>368.96</v>
      </c>
      <c r="H972" s="4">
        <v>911.70749999999998</v>
      </c>
      <c r="I972" s="4">
        <v>14.9925</v>
      </c>
      <c r="J972" s="4">
        <v>15.3025</v>
      </c>
      <c r="K972" s="4">
        <v>14.8225</v>
      </c>
      <c r="L972" s="4">
        <v>14.922499999999999</v>
      </c>
      <c r="M972" s="7">
        <v>-4.7000000000000002E-3</v>
      </c>
    </row>
    <row r="973" spans="1:13" x14ac:dyDescent="0.2">
      <c r="A973" s="6">
        <v>45356</v>
      </c>
      <c r="B973" s="2" t="s">
        <v>226</v>
      </c>
      <c r="C973" s="5">
        <v>45352</v>
      </c>
      <c r="D973" s="2" t="s">
        <v>191</v>
      </c>
      <c r="E973" s="3">
        <v>2692</v>
      </c>
      <c r="F973" s="8">
        <v>3.4054000000000002</v>
      </c>
      <c r="G973" s="4">
        <v>382.44049999999999</v>
      </c>
      <c r="H973" s="4">
        <v>954.99789999999996</v>
      </c>
      <c r="I973" s="4">
        <v>14.922499999999999</v>
      </c>
      <c r="J973" s="4">
        <v>15.164999999999999</v>
      </c>
      <c r="K973" s="4">
        <v>14.1775</v>
      </c>
      <c r="L973" s="4">
        <v>14.38</v>
      </c>
      <c r="M973" s="7">
        <v>-3.6400000000000002E-2</v>
      </c>
    </row>
    <row r="974" spans="1:13" x14ac:dyDescent="0.2">
      <c r="A974" s="6">
        <v>45357</v>
      </c>
      <c r="B974" s="2" t="s">
        <v>224</v>
      </c>
      <c r="C974" s="5">
        <v>45352</v>
      </c>
      <c r="D974" s="2" t="s">
        <v>191</v>
      </c>
      <c r="E974" s="3">
        <v>2691</v>
      </c>
      <c r="F974" s="8">
        <v>3.968</v>
      </c>
      <c r="G974" s="4">
        <v>488.6995</v>
      </c>
      <c r="H974" s="4">
        <v>1102.0413000000001</v>
      </c>
      <c r="I974" s="4">
        <v>14.38</v>
      </c>
      <c r="J974" s="4">
        <v>14.71</v>
      </c>
      <c r="K974" s="4">
        <v>13.904999999999999</v>
      </c>
      <c r="L974" s="4">
        <v>14.295</v>
      </c>
      <c r="M974" s="7">
        <v>-5.8999999999999999E-3</v>
      </c>
    </row>
    <row r="975" spans="1:13" x14ac:dyDescent="0.2">
      <c r="A975" s="6">
        <v>45358</v>
      </c>
      <c r="B975" s="2" t="s">
        <v>227</v>
      </c>
      <c r="C975" s="5">
        <v>45352</v>
      </c>
      <c r="D975" s="2" t="s">
        <v>191</v>
      </c>
      <c r="E975" s="3">
        <v>2704</v>
      </c>
      <c r="F975" s="8">
        <v>3.1926000000000001</v>
      </c>
      <c r="G975" s="4">
        <v>373.33789999999999</v>
      </c>
      <c r="H975" s="4">
        <v>1052.7538</v>
      </c>
      <c r="I975" s="4">
        <v>14.295</v>
      </c>
      <c r="J975" s="4">
        <v>14.432499999999999</v>
      </c>
      <c r="K975" s="4">
        <v>13.56</v>
      </c>
      <c r="L975" s="4">
        <v>13.612500000000001</v>
      </c>
      <c r="M975" s="7">
        <v>-4.7699999999999999E-2</v>
      </c>
    </row>
    <row r="976" spans="1:13" x14ac:dyDescent="0.2">
      <c r="A976" s="6">
        <v>45362</v>
      </c>
      <c r="B976" s="2" t="s">
        <v>228</v>
      </c>
      <c r="C976" s="5">
        <v>45352</v>
      </c>
      <c r="D976" s="2" t="s">
        <v>191</v>
      </c>
      <c r="E976" s="3">
        <v>2746</v>
      </c>
      <c r="F976" s="8">
        <v>3.7684000000000002</v>
      </c>
      <c r="G976" s="4">
        <v>359.98160000000001</v>
      </c>
      <c r="H976" s="4">
        <v>993.41890000000001</v>
      </c>
      <c r="I976" s="4">
        <v>13.612500000000001</v>
      </c>
      <c r="J976" s="4">
        <v>14.5525</v>
      </c>
      <c r="K976" s="4">
        <v>13.612500000000001</v>
      </c>
      <c r="L976" s="4">
        <v>13.994999999999999</v>
      </c>
      <c r="M976" s="7">
        <v>2.81E-2</v>
      </c>
    </row>
    <row r="977" spans="1:13" x14ac:dyDescent="0.2">
      <c r="A977" s="6">
        <v>45363</v>
      </c>
      <c r="B977" s="2" t="s">
        <v>226</v>
      </c>
      <c r="C977" s="5">
        <v>45352</v>
      </c>
      <c r="D977" s="2" t="s">
        <v>191</v>
      </c>
      <c r="E977" s="3">
        <v>2712</v>
      </c>
      <c r="F977" s="8">
        <v>3.8784999999999998</v>
      </c>
      <c r="G977" s="4">
        <v>384.62549999999999</v>
      </c>
      <c r="H977" s="4">
        <v>982.73820000000001</v>
      </c>
      <c r="I977" s="4">
        <v>13.994999999999999</v>
      </c>
      <c r="J977" s="4">
        <v>14.195</v>
      </c>
      <c r="K977" s="4">
        <v>13.577500000000001</v>
      </c>
      <c r="L977" s="4">
        <v>13.637499999999999</v>
      </c>
      <c r="M977" s="7">
        <v>-2.5499999999999998E-2</v>
      </c>
    </row>
    <row r="978" spans="1:13" x14ac:dyDescent="0.2">
      <c r="A978" s="6">
        <v>45364</v>
      </c>
      <c r="B978" s="2" t="s">
        <v>224</v>
      </c>
      <c r="C978" s="5">
        <v>45352</v>
      </c>
      <c r="D978" s="2" t="s">
        <v>191</v>
      </c>
      <c r="E978" s="3">
        <v>2692</v>
      </c>
      <c r="F978" s="8">
        <v>5.3699000000000003</v>
      </c>
      <c r="G978" s="4">
        <v>571.50969999999995</v>
      </c>
      <c r="H978" s="4">
        <v>1282.4709</v>
      </c>
      <c r="I978" s="4">
        <v>13.637499999999999</v>
      </c>
      <c r="J978" s="4">
        <v>15.005000000000001</v>
      </c>
      <c r="K978" s="4">
        <v>13.532500000000001</v>
      </c>
      <c r="L978" s="4">
        <v>14.432499999999999</v>
      </c>
      <c r="M978" s="7">
        <v>5.8299999999999998E-2</v>
      </c>
    </row>
    <row r="979" spans="1:13" x14ac:dyDescent="0.2">
      <c r="A979" s="6">
        <v>45365</v>
      </c>
      <c r="B979" s="2" t="s">
        <v>227</v>
      </c>
      <c r="C979" s="5">
        <v>45352</v>
      </c>
      <c r="D979" s="2" t="s">
        <v>191</v>
      </c>
      <c r="E979" s="3">
        <v>2718</v>
      </c>
      <c r="F979" s="8">
        <v>4.4229000000000003</v>
      </c>
      <c r="G979" s="4">
        <v>553.91330000000005</v>
      </c>
      <c r="H979" s="4">
        <v>1152.3529000000001</v>
      </c>
      <c r="I979" s="4">
        <v>14.432499999999999</v>
      </c>
      <c r="J979" s="4">
        <v>14.682499999999999</v>
      </c>
      <c r="K979" s="4">
        <v>13.522500000000001</v>
      </c>
      <c r="L979" s="4">
        <v>13.6225</v>
      </c>
      <c r="M979" s="7">
        <v>-5.6099999999999997E-2</v>
      </c>
    </row>
    <row r="980" spans="1:13" x14ac:dyDescent="0.2">
      <c r="A980" s="6">
        <v>45366</v>
      </c>
      <c r="B980" s="2" t="s">
        <v>225</v>
      </c>
      <c r="C980" s="5">
        <v>45352</v>
      </c>
      <c r="D980" s="2" t="s">
        <v>191</v>
      </c>
      <c r="E980" s="3">
        <v>2681</v>
      </c>
      <c r="F980" s="8">
        <v>4.2198000000000002</v>
      </c>
      <c r="G980" s="4">
        <v>557.49310000000003</v>
      </c>
      <c r="H980" s="4">
        <v>1503.4411</v>
      </c>
      <c r="I980" s="4">
        <v>13.6225</v>
      </c>
      <c r="J980" s="4">
        <v>14.3325</v>
      </c>
      <c r="K980" s="4">
        <v>13.59</v>
      </c>
      <c r="L980" s="4">
        <v>13.69</v>
      </c>
      <c r="M980" s="7">
        <v>5.0000000000000001E-3</v>
      </c>
    </row>
    <row r="981" spans="1:13" x14ac:dyDescent="0.2">
      <c r="A981" s="6">
        <v>45369</v>
      </c>
      <c r="B981" s="2" t="s">
        <v>228</v>
      </c>
      <c r="C981" s="5">
        <v>45352</v>
      </c>
      <c r="D981" s="2" t="s">
        <v>191</v>
      </c>
      <c r="E981" s="3">
        <v>2721</v>
      </c>
      <c r="F981" s="8">
        <v>3.2101999999999999</v>
      </c>
      <c r="G981" s="4">
        <v>332.3929</v>
      </c>
      <c r="H981" s="4">
        <v>794.40599999999995</v>
      </c>
      <c r="I981" s="4">
        <v>13.69</v>
      </c>
      <c r="J981" s="4">
        <v>14.615</v>
      </c>
      <c r="K981" s="4">
        <v>13.69</v>
      </c>
      <c r="L981" s="4">
        <v>13.895</v>
      </c>
      <c r="M981" s="7">
        <v>1.4999999999999999E-2</v>
      </c>
    </row>
    <row r="982" spans="1:13" x14ac:dyDescent="0.2">
      <c r="A982" s="6">
        <v>45370</v>
      </c>
      <c r="B982" s="2" t="s">
        <v>226</v>
      </c>
      <c r="C982" s="5">
        <v>45352</v>
      </c>
      <c r="D982" s="2" t="s">
        <v>191</v>
      </c>
      <c r="E982" s="3">
        <v>2706</v>
      </c>
      <c r="F982" s="8">
        <v>3.0493000000000001</v>
      </c>
      <c r="G982" s="4">
        <v>315.64370000000002</v>
      </c>
      <c r="H982" s="4">
        <v>826.67269999999996</v>
      </c>
      <c r="I982" s="4">
        <v>13.895</v>
      </c>
      <c r="J982" s="4">
        <v>14.445</v>
      </c>
      <c r="K982" s="4">
        <v>13.875</v>
      </c>
      <c r="L982" s="4">
        <v>14.112500000000001</v>
      </c>
      <c r="M982" s="7">
        <v>1.5699999999999999E-2</v>
      </c>
    </row>
    <row r="983" spans="1:13" x14ac:dyDescent="0.2">
      <c r="A983" s="6">
        <v>45371</v>
      </c>
      <c r="B983" s="2" t="s">
        <v>224</v>
      </c>
      <c r="C983" s="5">
        <v>45352</v>
      </c>
      <c r="D983" s="2" t="s">
        <v>191</v>
      </c>
      <c r="E983" s="3">
        <v>2694</v>
      </c>
      <c r="F983" s="8">
        <v>3.0310999999999999</v>
      </c>
      <c r="G983" s="4">
        <v>343.41950000000003</v>
      </c>
      <c r="H983" s="4">
        <v>808.45540000000005</v>
      </c>
      <c r="I983" s="4">
        <v>14.112500000000001</v>
      </c>
      <c r="J983" s="4">
        <v>14.282500000000001</v>
      </c>
      <c r="K983" s="4">
        <v>13.085000000000001</v>
      </c>
      <c r="L983" s="4">
        <v>13.4725</v>
      </c>
      <c r="M983" s="7">
        <v>-4.53E-2</v>
      </c>
    </row>
    <row r="984" spans="1:13" x14ac:dyDescent="0.2">
      <c r="A984" s="6">
        <v>45372</v>
      </c>
      <c r="B984" s="2" t="s">
        <v>227</v>
      </c>
      <c r="C984" s="5">
        <v>45352</v>
      </c>
      <c r="D984" s="2" t="s">
        <v>191</v>
      </c>
      <c r="E984" s="3">
        <v>2698</v>
      </c>
      <c r="F984" s="8">
        <v>2.9758</v>
      </c>
      <c r="G984" s="4">
        <v>328.34530000000001</v>
      </c>
      <c r="H984" s="4">
        <v>893.13850000000002</v>
      </c>
      <c r="I984" s="4">
        <v>13.4725</v>
      </c>
      <c r="J984" s="4">
        <v>13.4725</v>
      </c>
      <c r="K984" s="4">
        <v>12.342499999999999</v>
      </c>
      <c r="L984" s="4">
        <v>12.512499999999999</v>
      </c>
      <c r="M984" s="7">
        <v>-7.1300000000000002E-2</v>
      </c>
    </row>
    <row r="985" spans="1:13" x14ac:dyDescent="0.2">
      <c r="A985" s="6">
        <v>45373</v>
      </c>
      <c r="B985" s="2" t="s">
        <v>225</v>
      </c>
      <c r="C985" s="5">
        <v>45352</v>
      </c>
      <c r="D985" s="2" t="s">
        <v>191</v>
      </c>
      <c r="E985" s="3">
        <v>2704</v>
      </c>
      <c r="F985" s="8">
        <v>3.0878000000000001</v>
      </c>
      <c r="G985" s="4">
        <v>380.30779999999999</v>
      </c>
      <c r="H985" s="4">
        <v>982.26890000000003</v>
      </c>
      <c r="I985" s="4">
        <v>12.512499999999999</v>
      </c>
      <c r="J985" s="4">
        <v>13.047499999999999</v>
      </c>
      <c r="K985" s="4">
        <v>11.81</v>
      </c>
      <c r="L985" s="4">
        <v>12.22</v>
      </c>
      <c r="M985" s="7">
        <v>-2.3400000000000001E-2</v>
      </c>
    </row>
    <row r="986" spans="1:13" x14ac:dyDescent="0.2">
      <c r="A986" s="6">
        <v>45377</v>
      </c>
      <c r="B986" s="2" t="s">
        <v>226</v>
      </c>
      <c r="C986" s="5">
        <v>45352</v>
      </c>
      <c r="D986" s="2" t="s">
        <v>191</v>
      </c>
      <c r="E986" s="3">
        <v>2744</v>
      </c>
      <c r="F986" s="8">
        <v>3.2374000000000001</v>
      </c>
      <c r="G986" s="4">
        <v>347.14229999999998</v>
      </c>
      <c r="H986" s="4">
        <v>985.76340000000005</v>
      </c>
      <c r="I986" s="4">
        <v>12.22</v>
      </c>
      <c r="J986" s="4">
        <v>13.102499999999999</v>
      </c>
      <c r="K986" s="4">
        <v>12.085000000000001</v>
      </c>
      <c r="L986" s="4">
        <v>12.82</v>
      </c>
      <c r="M986" s="7">
        <v>4.9099999999999998E-2</v>
      </c>
    </row>
    <row r="987" spans="1:13" x14ac:dyDescent="0.2">
      <c r="A987" s="6">
        <v>45378</v>
      </c>
      <c r="B987" s="2" t="s">
        <v>224</v>
      </c>
      <c r="C987" s="5">
        <v>45352</v>
      </c>
      <c r="D987" s="2" t="s">
        <v>191</v>
      </c>
      <c r="E987" s="3">
        <v>2729</v>
      </c>
      <c r="F987" s="8">
        <v>3.6139999999999999</v>
      </c>
      <c r="G987" s="4">
        <v>422.63470000000001</v>
      </c>
      <c r="H987" s="4">
        <v>1198.7713000000001</v>
      </c>
      <c r="I987" s="4">
        <v>12.82</v>
      </c>
      <c r="J987" s="4">
        <v>13.01</v>
      </c>
      <c r="K987" s="4">
        <v>12.532500000000001</v>
      </c>
      <c r="L987" s="4">
        <v>12.702500000000001</v>
      </c>
      <c r="M987" s="7">
        <v>-9.1999999999999998E-3</v>
      </c>
    </row>
    <row r="988" spans="1:13" x14ac:dyDescent="0.2">
      <c r="A988" s="6">
        <v>45379</v>
      </c>
      <c r="B988" s="2" t="s">
        <v>227</v>
      </c>
      <c r="C988" s="5">
        <v>45352</v>
      </c>
      <c r="D988" s="2" t="s">
        <v>191</v>
      </c>
      <c r="E988" s="3">
        <v>2716</v>
      </c>
      <c r="F988" s="8">
        <v>3.3986999999999998</v>
      </c>
      <c r="G988" s="4">
        <v>388.18310000000002</v>
      </c>
      <c r="H988" s="4">
        <v>1116.9694</v>
      </c>
      <c r="I988" s="4">
        <v>12.702500000000001</v>
      </c>
      <c r="J988" s="4">
        <v>13.18</v>
      </c>
      <c r="K988" s="4">
        <v>12.26</v>
      </c>
      <c r="L988" s="4">
        <v>12.8325</v>
      </c>
      <c r="M988" s="7">
        <v>1.0200000000000001E-2</v>
      </c>
    </row>
    <row r="989" spans="1:13" x14ac:dyDescent="0.2">
      <c r="A989" s="6">
        <v>45383</v>
      </c>
      <c r="B989" s="2" t="s">
        <v>228</v>
      </c>
      <c r="C989" s="5">
        <v>45383</v>
      </c>
      <c r="D989" s="2" t="s">
        <v>192</v>
      </c>
      <c r="E989" s="3">
        <v>2746</v>
      </c>
      <c r="F989" s="8">
        <v>3.0518000000000001</v>
      </c>
      <c r="G989" s="4">
        <v>361.20170000000002</v>
      </c>
      <c r="H989" s="4">
        <v>844.66869999999994</v>
      </c>
      <c r="I989" s="4">
        <v>12.8325</v>
      </c>
      <c r="J989" s="4">
        <v>13.3575</v>
      </c>
      <c r="K989" s="4">
        <v>12.005000000000001</v>
      </c>
      <c r="L989" s="4">
        <v>12.0825</v>
      </c>
      <c r="M989" s="7">
        <v>-5.8400000000000001E-2</v>
      </c>
    </row>
    <row r="990" spans="1:13" x14ac:dyDescent="0.2">
      <c r="A990" s="6">
        <v>45384</v>
      </c>
      <c r="B990" s="2" t="s">
        <v>226</v>
      </c>
      <c r="C990" s="5">
        <v>45383</v>
      </c>
      <c r="D990" s="2" t="s">
        <v>192</v>
      </c>
      <c r="E990" s="3">
        <v>2725</v>
      </c>
      <c r="F990" s="8">
        <v>3.2403</v>
      </c>
      <c r="G990" s="4">
        <v>409.75810000000001</v>
      </c>
      <c r="H990" s="4">
        <v>1013.8812</v>
      </c>
      <c r="I990" s="4">
        <v>12.0825</v>
      </c>
      <c r="J990" s="4">
        <v>12.305</v>
      </c>
      <c r="K990" s="4">
        <v>11.5975</v>
      </c>
      <c r="L990" s="4">
        <v>11.6525</v>
      </c>
      <c r="M990" s="7">
        <v>-3.56E-2</v>
      </c>
    </row>
    <row r="991" spans="1:13" x14ac:dyDescent="0.2">
      <c r="A991" s="6">
        <v>45385</v>
      </c>
      <c r="B991" s="2" t="s">
        <v>224</v>
      </c>
      <c r="C991" s="5">
        <v>45383</v>
      </c>
      <c r="D991" s="2" t="s">
        <v>192</v>
      </c>
      <c r="E991" s="3">
        <v>2731</v>
      </c>
      <c r="F991" s="8">
        <v>3.3984999999999999</v>
      </c>
      <c r="G991" s="4">
        <v>455.88889999999998</v>
      </c>
      <c r="H991" s="4">
        <v>1079.6011000000001</v>
      </c>
      <c r="I991" s="4">
        <v>11.6525</v>
      </c>
      <c r="J991" s="4">
        <v>11.827500000000001</v>
      </c>
      <c r="K991" s="4">
        <v>11.3125</v>
      </c>
      <c r="L991" s="4">
        <v>11.3725</v>
      </c>
      <c r="M991" s="7">
        <v>-2.4E-2</v>
      </c>
    </row>
    <row r="992" spans="1:13" x14ac:dyDescent="0.2">
      <c r="A992" s="6">
        <v>45386</v>
      </c>
      <c r="B992" s="2" t="s">
        <v>227</v>
      </c>
      <c r="C992" s="5">
        <v>45383</v>
      </c>
      <c r="D992" s="2" t="s">
        <v>192</v>
      </c>
      <c r="E992" s="3">
        <v>2713</v>
      </c>
      <c r="F992" s="8">
        <v>3.6924000000000001</v>
      </c>
      <c r="G992" s="4">
        <v>477.55099999999999</v>
      </c>
      <c r="H992" s="4">
        <v>1138.8478</v>
      </c>
      <c r="I992" s="4">
        <v>11.3725</v>
      </c>
      <c r="J992" s="4">
        <v>11.8375</v>
      </c>
      <c r="K992" s="4">
        <v>10.86</v>
      </c>
      <c r="L992" s="4">
        <v>11.22</v>
      </c>
      <c r="M992" s="7">
        <v>-1.34E-2</v>
      </c>
    </row>
    <row r="993" spans="1:13" x14ac:dyDescent="0.2">
      <c r="A993" s="6">
        <v>45387</v>
      </c>
      <c r="B993" s="2" t="s">
        <v>225</v>
      </c>
      <c r="C993" s="5">
        <v>45383</v>
      </c>
      <c r="D993" s="2" t="s">
        <v>192</v>
      </c>
      <c r="E993" s="3">
        <v>2730</v>
      </c>
      <c r="F993" s="8">
        <v>3.1511999999999998</v>
      </c>
      <c r="G993" s="4">
        <v>451.1918</v>
      </c>
      <c r="H993" s="4">
        <v>969.80460000000005</v>
      </c>
      <c r="I993" s="4">
        <v>11.22</v>
      </c>
      <c r="J993" s="4">
        <v>11.682499999999999</v>
      </c>
      <c r="K993" s="4">
        <v>11.035</v>
      </c>
      <c r="L993" s="4">
        <v>11.3375</v>
      </c>
      <c r="M993" s="7">
        <v>1.0500000000000001E-2</v>
      </c>
    </row>
    <row r="994" spans="1:13" x14ac:dyDescent="0.2">
      <c r="A994" s="6">
        <v>45390</v>
      </c>
      <c r="B994" s="2" t="s">
        <v>228</v>
      </c>
      <c r="C994" s="5">
        <v>45383</v>
      </c>
      <c r="D994" s="2" t="s">
        <v>192</v>
      </c>
      <c r="E994" s="3">
        <v>2725</v>
      </c>
      <c r="F994" s="8">
        <v>3.177</v>
      </c>
      <c r="G994" s="4">
        <v>395.3623</v>
      </c>
      <c r="H994" s="4">
        <v>949.71900000000005</v>
      </c>
      <c r="I994" s="4">
        <v>11.3375</v>
      </c>
      <c r="J994" s="4">
        <v>11.7425</v>
      </c>
      <c r="K994" s="4">
        <v>11.1325</v>
      </c>
      <c r="L994" s="4">
        <v>11.61</v>
      </c>
      <c r="M994" s="7">
        <v>2.4E-2</v>
      </c>
    </row>
    <row r="995" spans="1:13" x14ac:dyDescent="0.2">
      <c r="A995" s="6">
        <v>45391</v>
      </c>
      <c r="B995" s="2" t="s">
        <v>226</v>
      </c>
      <c r="C995" s="5">
        <v>45383</v>
      </c>
      <c r="D995" s="2" t="s">
        <v>192</v>
      </c>
      <c r="E995" s="3">
        <v>2697</v>
      </c>
      <c r="F995" s="8">
        <v>2.9422000000000001</v>
      </c>
      <c r="G995" s="4">
        <v>337.40859999999998</v>
      </c>
      <c r="H995" s="4">
        <v>892.82320000000004</v>
      </c>
      <c r="I995" s="4">
        <v>11.61</v>
      </c>
      <c r="J995" s="4">
        <v>11.612500000000001</v>
      </c>
      <c r="K995" s="4">
        <v>10.6175</v>
      </c>
      <c r="L995" s="4">
        <v>11.355</v>
      </c>
      <c r="M995" s="7">
        <v>-2.1999999999999999E-2</v>
      </c>
    </row>
    <row r="996" spans="1:13" x14ac:dyDescent="0.2">
      <c r="A996" s="6">
        <v>45392</v>
      </c>
      <c r="B996" s="2" t="s">
        <v>224</v>
      </c>
      <c r="C996" s="5">
        <v>45383</v>
      </c>
      <c r="D996" s="2" t="s">
        <v>192</v>
      </c>
      <c r="E996" s="3">
        <v>2709</v>
      </c>
      <c r="F996" s="8">
        <v>3.0888</v>
      </c>
      <c r="G996" s="4">
        <v>356.77280000000002</v>
      </c>
      <c r="H996" s="4">
        <v>951.35130000000004</v>
      </c>
      <c r="I996" s="4">
        <v>11.355</v>
      </c>
      <c r="J996" s="4">
        <v>11.355</v>
      </c>
      <c r="K996" s="4">
        <v>10.984999999999999</v>
      </c>
      <c r="L996" s="4">
        <v>11.1075</v>
      </c>
      <c r="M996" s="7">
        <v>-2.18E-2</v>
      </c>
    </row>
    <row r="997" spans="1:13" x14ac:dyDescent="0.2">
      <c r="A997" s="6">
        <v>45394</v>
      </c>
      <c r="B997" s="2" t="s">
        <v>225</v>
      </c>
      <c r="C997" s="5">
        <v>45383</v>
      </c>
      <c r="D997" s="2" t="s">
        <v>192</v>
      </c>
      <c r="E997" s="3">
        <v>2728</v>
      </c>
      <c r="F997" s="8">
        <v>3.6061000000000001</v>
      </c>
      <c r="G997" s="4">
        <v>446.08569999999997</v>
      </c>
      <c r="H997" s="4">
        <v>1151.1619000000001</v>
      </c>
      <c r="I997" s="4">
        <v>11.1075</v>
      </c>
      <c r="J997" s="4">
        <v>11.605</v>
      </c>
      <c r="K997" s="4">
        <v>11.1075</v>
      </c>
      <c r="L997" s="4">
        <v>11.532500000000001</v>
      </c>
      <c r="M997" s="7">
        <v>3.8300000000000001E-2</v>
      </c>
    </row>
    <row r="998" spans="1:13" x14ac:dyDescent="0.2">
      <c r="A998" s="6">
        <v>45397</v>
      </c>
      <c r="B998" s="2" t="s">
        <v>228</v>
      </c>
      <c r="C998" s="5">
        <v>45383</v>
      </c>
      <c r="D998" s="2" t="s">
        <v>192</v>
      </c>
      <c r="E998" s="3">
        <v>2757</v>
      </c>
      <c r="F998" s="8">
        <v>3.8662000000000001</v>
      </c>
      <c r="G998" s="4">
        <v>445.79250000000002</v>
      </c>
      <c r="H998" s="4">
        <v>1047.3669</v>
      </c>
      <c r="I998" s="4">
        <v>11.532500000000001</v>
      </c>
      <c r="J998" s="4">
        <v>12.737500000000001</v>
      </c>
      <c r="K998" s="4">
        <v>11.307499999999999</v>
      </c>
      <c r="L998" s="4">
        <v>12.467499999999999</v>
      </c>
      <c r="M998" s="7">
        <v>8.1100000000000005E-2</v>
      </c>
    </row>
    <row r="999" spans="1:13" x14ac:dyDescent="0.2">
      <c r="A999" s="6">
        <v>45398</v>
      </c>
      <c r="B999" s="2" t="s">
        <v>226</v>
      </c>
      <c r="C999" s="5">
        <v>45383</v>
      </c>
      <c r="D999" s="2" t="s">
        <v>192</v>
      </c>
      <c r="E999" s="3">
        <v>2727</v>
      </c>
      <c r="F999" s="8">
        <v>3.2206999999999999</v>
      </c>
      <c r="G999" s="4">
        <v>415.73149999999998</v>
      </c>
      <c r="H999" s="4">
        <v>954.37390000000005</v>
      </c>
      <c r="I999" s="4">
        <v>12.467499999999999</v>
      </c>
      <c r="J999" s="4">
        <v>12.925000000000001</v>
      </c>
      <c r="K999" s="4">
        <v>12.34</v>
      </c>
      <c r="L999" s="4">
        <v>12.615</v>
      </c>
      <c r="M999" s="7">
        <v>1.18E-2</v>
      </c>
    </row>
    <row r="1000" spans="1:13" x14ac:dyDescent="0.2">
      <c r="A1000" s="6">
        <v>45400</v>
      </c>
      <c r="B1000" s="2" t="s">
        <v>227</v>
      </c>
      <c r="C1000" s="5">
        <v>45383</v>
      </c>
      <c r="D1000" s="2" t="s">
        <v>192</v>
      </c>
      <c r="E1000" s="3">
        <v>2730</v>
      </c>
      <c r="F1000" s="8">
        <v>3.7797000000000001</v>
      </c>
      <c r="G1000" s="4">
        <v>407.5548</v>
      </c>
      <c r="H1000" s="4">
        <v>1184.9128000000001</v>
      </c>
      <c r="I1000" s="4">
        <v>12.615</v>
      </c>
      <c r="J1000" s="4">
        <v>13.387499999999999</v>
      </c>
      <c r="K1000" s="4">
        <v>12.0275</v>
      </c>
      <c r="L1000" s="4">
        <v>13.04</v>
      </c>
      <c r="M1000" s="7">
        <v>3.3700000000000001E-2</v>
      </c>
    </row>
    <row r="1001" spans="1:13" x14ac:dyDescent="0.2">
      <c r="A1001" s="6">
        <v>45401</v>
      </c>
      <c r="B1001" s="2" t="s">
        <v>225</v>
      </c>
      <c r="C1001" s="5">
        <v>45383</v>
      </c>
      <c r="D1001" s="2" t="s">
        <v>192</v>
      </c>
      <c r="E1001" s="3">
        <v>2719</v>
      </c>
      <c r="F1001" s="8">
        <v>3.4790999999999999</v>
      </c>
      <c r="G1001" s="4">
        <v>380.0129</v>
      </c>
      <c r="H1001" s="4">
        <v>1002.8111</v>
      </c>
      <c r="I1001" s="4">
        <v>13.04</v>
      </c>
      <c r="J1001" s="4">
        <v>14.4125</v>
      </c>
      <c r="K1001" s="4">
        <v>11.914999999999999</v>
      </c>
      <c r="L1001" s="4">
        <v>13.4575</v>
      </c>
      <c r="M1001" s="7">
        <v>3.2000000000000001E-2</v>
      </c>
    </row>
    <row r="1002" spans="1:13" x14ac:dyDescent="0.2">
      <c r="A1002" s="6">
        <v>45404</v>
      </c>
      <c r="B1002" s="2" t="s">
        <v>228</v>
      </c>
      <c r="C1002" s="5">
        <v>45383</v>
      </c>
      <c r="D1002" s="2" t="s">
        <v>192</v>
      </c>
      <c r="E1002" s="3">
        <v>2765</v>
      </c>
      <c r="F1002" s="8">
        <v>3.1219999999999999</v>
      </c>
      <c r="G1002" s="4">
        <v>483.00810000000001</v>
      </c>
      <c r="H1002" s="4">
        <v>955.24950000000001</v>
      </c>
      <c r="I1002" s="4">
        <v>13.4575</v>
      </c>
      <c r="J1002" s="4">
        <v>13.4575</v>
      </c>
      <c r="K1002" s="4">
        <v>12.612500000000001</v>
      </c>
      <c r="L1002" s="4">
        <v>12.7</v>
      </c>
      <c r="M1002" s="7">
        <v>-5.6300000000000003E-2</v>
      </c>
    </row>
    <row r="1003" spans="1:13" x14ac:dyDescent="0.2">
      <c r="A1003" s="6">
        <v>45405</v>
      </c>
      <c r="B1003" s="2" t="s">
        <v>226</v>
      </c>
      <c r="C1003" s="5">
        <v>45383</v>
      </c>
      <c r="D1003" s="2" t="s">
        <v>192</v>
      </c>
      <c r="E1003" s="3">
        <v>2743</v>
      </c>
      <c r="F1003" s="8">
        <v>3.3835999999999999</v>
      </c>
      <c r="G1003" s="4">
        <v>617.96770000000004</v>
      </c>
      <c r="H1003" s="4">
        <v>1060.2919999999999</v>
      </c>
      <c r="I1003" s="4">
        <v>12.7</v>
      </c>
      <c r="J1003" s="4">
        <v>12.7</v>
      </c>
      <c r="K1003" s="4">
        <v>9.8574999999999999</v>
      </c>
      <c r="L1003" s="4">
        <v>10.195</v>
      </c>
      <c r="M1003" s="7">
        <v>-0.19719999999999999</v>
      </c>
    </row>
    <row r="1004" spans="1:13" x14ac:dyDescent="0.2">
      <c r="A1004" s="6">
        <v>45406</v>
      </c>
      <c r="B1004" s="2" t="s">
        <v>224</v>
      </c>
      <c r="C1004" s="5">
        <v>45383</v>
      </c>
      <c r="D1004" s="2" t="s">
        <v>192</v>
      </c>
      <c r="E1004" s="3">
        <v>2718</v>
      </c>
      <c r="F1004" s="8">
        <v>3.2947000000000002</v>
      </c>
      <c r="G1004" s="4">
        <v>495.30590000000001</v>
      </c>
      <c r="H1004" s="4">
        <v>1031.6075000000001</v>
      </c>
      <c r="I1004" s="4">
        <v>10.195</v>
      </c>
      <c r="J1004" s="4">
        <v>11.1325</v>
      </c>
      <c r="K1004" s="4">
        <v>9.9450000000000003</v>
      </c>
      <c r="L1004" s="4">
        <v>10.275</v>
      </c>
      <c r="M1004" s="7">
        <v>7.7999999999999996E-3</v>
      </c>
    </row>
    <row r="1005" spans="1:13" x14ac:dyDescent="0.2">
      <c r="A1005" s="6">
        <v>45407</v>
      </c>
      <c r="B1005" s="2" t="s">
        <v>227</v>
      </c>
      <c r="C1005" s="5">
        <v>45383</v>
      </c>
      <c r="D1005" s="2" t="s">
        <v>192</v>
      </c>
      <c r="E1005" s="3">
        <v>2712</v>
      </c>
      <c r="F1005" s="8">
        <v>3.782</v>
      </c>
      <c r="G1005" s="4">
        <v>1181.2743</v>
      </c>
      <c r="H1005" s="4">
        <v>1387.0051000000001</v>
      </c>
      <c r="I1005" s="4">
        <v>10.275</v>
      </c>
      <c r="J1005" s="4">
        <v>11.4575</v>
      </c>
      <c r="K1005" s="4">
        <v>10.26</v>
      </c>
      <c r="L1005" s="4">
        <v>10.73</v>
      </c>
      <c r="M1005" s="7">
        <v>4.4299999999999999E-2</v>
      </c>
    </row>
    <row r="1006" spans="1:13" x14ac:dyDescent="0.2">
      <c r="A1006" s="6">
        <v>45408</v>
      </c>
      <c r="B1006" s="2" t="s">
        <v>225</v>
      </c>
      <c r="C1006" s="5">
        <v>45383</v>
      </c>
      <c r="D1006" s="2" t="s">
        <v>192</v>
      </c>
      <c r="E1006" s="3">
        <v>2730</v>
      </c>
      <c r="F1006" s="8">
        <v>3.7018</v>
      </c>
      <c r="G1006" s="4">
        <v>763.24570000000006</v>
      </c>
      <c r="H1006" s="4">
        <v>1224.3210999999999</v>
      </c>
      <c r="I1006" s="4">
        <v>10.73</v>
      </c>
      <c r="J1006" s="4">
        <v>11.315</v>
      </c>
      <c r="K1006" s="4">
        <v>10.5875</v>
      </c>
      <c r="L1006" s="4">
        <v>10.925000000000001</v>
      </c>
      <c r="M1006" s="7">
        <v>1.8200000000000001E-2</v>
      </c>
    </row>
    <row r="1007" spans="1:13" x14ac:dyDescent="0.2">
      <c r="A1007" s="6">
        <v>45411</v>
      </c>
      <c r="B1007" s="2" t="s">
        <v>228</v>
      </c>
      <c r="C1007" s="5">
        <v>45383</v>
      </c>
      <c r="D1007" s="2" t="s">
        <v>192</v>
      </c>
      <c r="E1007" s="3">
        <v>2767</v>
      </c>
      <c r="F1007" s="8">
        <v>3.4632000000000001</v>
      </c>
      <c r="G1007" s="4">
        <v>539.96420000000001</v>
      </c>
      <c r="H1007" s="4">
        <v>1109.6002000000001</v>
      </c>
      <c r="I1007" s="4">
        <v>10.925000000000001</v>
      </c>
      <c r="J1007" s="4">
        <v>12.487500000000001</v>
      </c>
      <c r="K1007" s="4">
        <v>10.925000000000001</v>
      </c>
      <c r="L1007" s="4">
        <v>12.234999999999999</v>
      </c>
      <c r="M1007" s="7">
        <v>0.11990000000000001</v>
      </c>
    </row>
    <row r="1008" spans="1:13" x14ac:dyDescent="0.2">
      <c r="A1008" s="6">
        <v>45412</v>
      </c>
      <c r="B1008" s="2" t="s">
        <v>226</v>
      </c>
      <c r="C1008" s="5">
        <v>45383</v>
      </c>
      <c r="D1008" s="2" t="s">
        <v>192</v>
      </c>
      <c r="E1008" s="3">
        <v>2758</v>
      </c>
      <c r="F1008" s="8">
        <v>3.6604000000000001</v>
      </c>
      <c r="G1008" s="4">
        <v>484.7654</v>
      </c>
      <c r="H1008" s="4">
        <v>1252.5563</v>
      </c>
      <c r="I1008" s="4">
        <v>12.234999999999999</v>
      </c>
      <c r="J1008" s="4">
        <v>13.2125</v>
      </c>
      <c r="K1008" s="4">
        <v>12.234999999999999</v>
      </c>
      <c r="L1008" s="4">
        <v>12.87</v>
      </c>
      <c r="M1008" s="7">
        <v>5.1900000000000002E-2</v>
      </c>
    </row>
    <row r="1009" spans="1:13" x14ac:dyDescent="0.2">
      <c r="A1009" s="6">
        <v>45414</v>
      </c>
      <c r="B1009" s="2" t="s">
        <v>227</v>
      </c>
      <c r="C1009" s="5">
        <v>45413</v>
      </c>
      <c r="D1009" s="2" t="s">
        <v>192</v>
      </c>
      <c r="E1009" s="3">
        <v>2769</v>
      </c>
      <c r="F1009" s="8">
        <v>4.0496999999999996</v>
      </c>
      <c r="G1009" s="4">
        <v>465.56169999999997</v>
      </c>
      <c r="H1009" s="4">
        <v>1245.7728</v>
      </c>
      <c r="I1009" s="4">
        <v>12.87</v>
      </c>
      <c r="J1009" s="4">
        <v>13.9475</v>
      </c>
      <c r="K1009" s="4">
        <v>12.87</v>
      </c>
      <c r="L1009" s="4">
        <v>13.445</v>
      </c>
      <c r="M1009" s="7">
        <v>4.4699999999999997E-2</v>
      </c>
    </row>
    <row r="1010" spans="1:13" x14ac:dyDescent="0.2">
      <c r="A1010" s="6">
        <v>45415</v>
      </c>
      <c r="B1010" s="2" t="s">
        <v>225</v>
      </c>
      <c r="C1010" s="5">
        <v>45413</v>
      </c>
      <c r="D1010" s="2" t="s">
        <v>192</v>
      </c>
      <c r="E1010" s="3">
        <v>2740</v>
      </c>
      <c r="F1010" s="8">
        <v>3.8353000000000002</v>
      </c>
      <c r="G1010" s="4">
        <v>537.5376</v>
      </c>
      <c r="H1010" s="4">
        <v>1264.1194</v>
      </c>
      <c r="I1010" s="4">
        <v>13.445</v>
      </c>
      <c r="J1010" s="4">
        <v>15.3125</v>
      </c>
      <c r="K1010" s="4">
        <v>13.445</v>
      </c>
      <c r="L1010" s="4">
        <v>14.6175</v>
      </c>
      <c r="M1010" s="7">
        <v>8.72E-2</v>
      </c>
    </row>
    <row r="1011" spans="1:13" x14ac:dyDescent="0.2">
      <c r="A1011" s="6">
        <v>45418</v>
      </c>
      <c r="B1011" s="2" t="s">
        <v>228</v>
      </c>
      <c r="C1011" s="5">
        <v>45413</v>
      </c>
      <c r="D1011" s="2" t="s">
        <v>192</v>
      </c>
      <c r="E1011" s="3">
        <v>2764</v>
      </c>
      <c r="F1011" s="8">
        <v>3.6560000000000001</v>
      </c>
      <c r="G1011" s="4">
        <v>424.03050000000002</v>
      </c>
      <c r="H1011" s="4">
        <v>1103.4625000000001</v>
      </c>
      <c r="I1011" s="4">
        <v>14.6175</v>
      </c>
      <c r="J1011" s="4">
        <v>16.962499999999999</v>
      </c>
      <c r="K1011" s="4">
        <v>14.6175</v>
      </c>
      <c r="L1011" s="4">
        <v>16.600000000000001</v>
      </c>
      <c r="M1011" s="7">
        <v>0.1356</v>
      </c>
    </row>
    <row r="1012" spans="1:13" x14ac:dyDescent="0.2">
      <c r="A1012" s="6">
        <v>45419</v>
      </c>
      <c r="B1012" s="2" t="s">
        <v>226</v>
      </c>
      <c r="C1012" s="5">
        <v>45413</v>
      </c>
      <c r="D1012" s="2" t="s">
        <v>192</v>
      </c>
      <c r="E1012" s="3">
        <v>2733</v>
      </c>
      <c r="F1012" s="8">
        <v>3.8409</v>
      </c>
      <c r="G1012" s="4">
        <v>477.58229999999998</v>
      </c>
      <c r="H1012" s="4">
        <v>1080.6650999999999</v>
      </c>
      <c r="I1012" s="4">
        <v>16.600000000000001</v>
      </c>
      <c r="J1012" s="4">
        <v>17.642499999999998</v>
      </c>
      <c r="K1012" s="4">
        <v>16.600000000000001</v>
      </c>
      <c r="L1012" s="4">
        <v>17.0075</v>
      </c>
      <c r="M1012" s="7">
        <v>2.4500000000000001E-2</v>
      </c>
    </row>
    <row r="1013" spans="1:13" x14ac:dyDescent="0.2">
      <c r="A1013" s="6">
        <v>45420</v>
      </c>
      <c r="B1013" s="2" t="s">
        <v>224</v>
      </c>
      <c r="C1013" s="5">
        <v>45413</v>
      </c>
      <c r="D1013" s="2" t="s">
        <v>192</v>
      </c>
      <c r="E1013" s="3">
        <v>2713</v>
      </c>
      <c r="F1013" s="8">
        <v>3.2435999999999998</v>
      </c>
      <c r="G1013" s="4">
        <v>358.48750000000001</v>
      </c>
      <c r="H1013" s="4">
        <v>989.21640000000002</v>
      </c>
      <c r="I1013" s="4">
        <v>17.0075</v>
      </c>
      <c r="J1013" s="4">
        <v>18.317499999999999</v>
      </c>
      <c r="K1013" s="4">
        <v>16.462499999999999</v>
      </c>
      <c r="L1013" s="4">
        <v>17.079999999999998</v>
      </c>
      <c r="M1013" s="7">
        <v>4.3E-3</v>
      </c>
    </row>
    <row r="1014" spans="1:13" x14ac:dyDescent="0.2">
      <c r="A1014" s="6">
        <v>45421</v>
      </c>
      <c r="B1014" s="2" t="s">
        <v>227</v>
      </c>
      <c r="C1014" s="5">
        <v>45413</v>
      </c>
      <c r="D1014" s="2" t="s">
        <v>192</v>
      </c>
      <c r="E1014" s="3">
        <v>2704</v>
      </c>
      <c r="F1014" s="8">
        <v>3.7136</v>
      </c>
      <c r="G1014" s="4">
        <v>359.4434</v>
      </c>
      <c r="H1014" s="4">
        <v>1022.0454999999999</v>
      </c>
      <c r="I1014" s="4">
        <v>17.079999999999998</v>
      </c>
      <c r="J1014" s="4">
        <v>19.172499999999999</v>
      </c>
      <c r="K1014" s="4">
        <v>17.079999999999998</v>
      </c>
      <c r="L1014" s="4">
        <v>18.2</v>
      </c>
      <c r="M1014" s="7">
        <v>6.5600000000000006E-2</v>
      </c>
    </row>
    <row r="1015" spans="1:13" x14ac:dyDescent="0.2">
      <c r="A1015" s="6">
        <v>45422</v>
      </c>
      <c r="B1015" s="2" t="s">
        <v>225</v>
      </c>
      <c r="C1015" s="5">
        <v>45413</v>
      </c>
      <c r="D1015" s="2" t="s">
        <v>192</v>
      </c>
      <c r="E1015" s="3">
        <v>2710</v>
      </c>
      <c r="F1015" s="8">
        <v>3.1869999999999998</v>
      </c>
      <c r="G1015" s="4">
        <v>323.072</v>
      </c>
      <c r="H1015" s="4">
        <v>891.35609999999997</v>
      </c>
      <c r="I1015" s="4">
        <v>18.2</v>
      </c>
      <c r="J1015" s="4">
        <v>19.0075</v>
      </c>
      <c r="K1015" s="4">
        <v>17.995000000000001</v>
      </c>
      <c r="L1015" s="4">
        <v>18.4725</v>
      </c>
      <c r="M1015" s="7">
        <v>1.4999999999999999E-2</v>
      </c>
    </row>
    <row r="1016" spans="1:13" x14ac:dyDescent="0.2">
      <c r="A1016" s="6">
        <v>45425</v>
      </c>
      <c r="B1016" s="2" t="s">
        <v>228</v>
      </c>
      <c r="C1016" s="5">
        <v>45413</v>
      </c>
      <c r="D1016" s="2" t="s">
        <v>192</v>
      </c>
      <c r="E1016" s="3">
        <v>2744</v>
      </c>
      <c r="F1016" s="8">
        <v>3.5204</v>
      </c>
      <c r="G1016" s="4">
        <v>337.9907</v>
      </c>
      <c r="H1016" s="4">
        <v>984.37189999999998</v>
      </c>
      <c r="I1016" s="4">
        <v>18.4725</v>
      </c>
      <c r="J1016" s="4">
        <v>21.484999999999999</v>
      </c>
      <c r="K1016" s="4">
        <v>18.4725</v>
      </c>
      <c r="L1016" s="4">
        <v>20.6</v>
      </c>
      <c r="M1016" s="7">
        <v>0.1152</v>
      </c>
    </row>
    <row r="1017" spans="1:13" x14ac:dyDescent="0.2">
      <c r="A1017" s="6">
        <v>45426</v>
      </c>
      <c r="B1017" s="2" t="s">
        <v>226</v>
      </c>
      <c r="C1017" s="5">
        <v>45413</v>
      </c>
      <c r="D1017" s="2" t="s">
        <v>192</v>
      </c>
      <c r="E1017" s="3">
        <v>2702</v>
      </c>
      <c r="F1017" s="8">
        <v>3.1185</v>
      </c>
      <c r="G1017" s="4">
        <v>359.57080000000002</v>
      </c>
      <c r="H1017" s="4">
        <v>914.59690000000001</v>
      </c>
      <c r="I1017" s="4">
        <v>20.6</v>
      </c>
      <c r="J1017" s="4">
        <v>21.875</v>
      </c>
      <c r="K1017" s="4">
        <v>20.112500000000001</v>
      </c>
      <c r="L1017" s="4">
        <v>20.195</v>
      </c>
      <c r="M1017" s="7">
        <v>-1.9699999999999999E-2</v>
      </c>
    </row>
    <row r="1018" spans="1:13" x14ac:dyDescent="0.2">
      <c r="A1018" s="6">
        <v>45427</v>
      </c>
      <c r="B1018" s="2" t="s">
        <v>224</v>
      </c>
      <c r="C1018" s="5">
        <v>45413</v>
      </c>
      <c r="D1018" s="2" t="s">
        <v>192</v>
      </c>
      <c r="E1018" s="3">
        <v>2706</v>
      </c>
      <c r="F1018" s="8">
        <v>3.2324000000000002</v>
      </c>
      <c r="G1018" s="4">
        <v>335.85680000000002</v>
      </c>
      <c r="H1018" s="4">
        <v>1005.897</v>
      </c>
      <c r="I1018" s="4">
        <v>20.195</v>
      </c>
      <c r="J1018" s="4">
        <v>20.657499999999999</v>
      </c>
      <c r="K1018" s="4">
        <v>19.87</v>
      </c>
      <c r="L1018" s="4">
        <v>20.272500000000001</v>
      </c>
      <c r="M1018" s="7">
        <v>3.8E-3</v>
      </c>
    </row>
    <row r="1019" spans="1:13" x14ac:dyDescent="0.2">
      <c r="A1019" s="6">
        <v>45428</v>
      </c>
      <c r="B1019" s="2" t="s">
        <v>227</v>
      </c>
      <c r="C1019" s="5">
        <v>45413</v>
      </c>
      <c r="D1019" s="2" t="s">
        <v>192</v>
      </c>
      <c r="E1019" s="3">
        <v>2710</v>
      </c>
      <c r="F1019" s="8">
        <v>3.6755</v>
      </c>
      <c r="G1019" s="4">
        <v>348.73230000000001</v>
      </c>
      <c r="H1019" s="4">
        <v>1170.1424</v>
      </c>
      <c r="I1019" s="4">
        <v>20.272500000000001</v>
      </c>
      <c r="J1019" s="4">
        <v>21.112500000000001</v>
      </c>
      <c r="K1019" s="4">
        <v>18.965</v>
      </c>
      <c r="L1019" s="4">
        <v>19.995000000000001</v>
      </c>
      <c r="M1019" s="7">
        <v>-1.37E-2</v>
      </c>
    </row>
    <row r="1020" spans="1:13" x14ac:dyDescent="0.2">
      <c r="A1020" s="6">
        <v>45429</v>
      </c>
      <c r="B1020" s="2" t="s">
        <v>225</v>
      </c>
      <c r="C1020" s="5">
        <v>45413</v>
      </c>
      <c r="D1020" s="2" t="s">
        <v>192</v>
      </c>
      <c r="E1020" s="3">
        <v>2731</v>
      </c>
      <c r="F1020" s="8">
        <v>3.4297</v>
      </c>
      <c r="G1020" s="4">
        <v>374.1755</v>
      </c>
      <c r="H1020" s="4">
        <v>1121.0456999999999</v>
      </c>
      <c r="I1020" s="4">
        <v>19.995000000000001</v>
      </c>
      <c r="J1020" s="4">
        <v>20.3675</v>
      </c>
      <c r="K1020" s="4">
        <v>18.98</v>
      </c>
      <c r="L1020" s="4">
        <v>19.797499999999999</v>
      </c>
      <c r="M1020" s="7">
        <v>-9.9000000000000008E-3</v>
      </c>
    </row>
    <row r="1021" spans="1:13" x14ac:dyDescent="0.2">
      <c r="A1021" s="6">
        <v>45430</v>
      </c>
      <c r="B1021" s="2" t="s">
        <v>229</v>
      </c>
      <c r="C1021" s="5">
        <v>45413</v>
      </c>
      <c r="D1021" s="2" t="s">
        <v>192</v>
      </c>
      <c r="E1021" s="3">
        <v>2512</v>
      </c>
      <c r="F1021" s="8">
        <v>0.52910000000000001</v>
      </c>
      <c r="G1021" s="4">
        <v>76.3673</v>
      </c>
      <c r="H1021" s="4">
        <v>154.37970000000001</v>
      </c>
      <c r="I1021" s="4">
        <v>19.797499999999999</v>
      </c>
      <c r="J1021" s="4">
        <v>20.945</v>
      </c>
      <c r="K1021" s="4">
        <v>17.337499999999999</v>
      </c>
      <c r="L1021" s="4">
        <v>20.524999999999999</v>
      </c>
      <c r="M1021" s="7">
        <v>3.6700000000000003E-2</v>
      </c>
    </row>
    <row r="1022" spans="1:13" x14ac:dyDescent="0.2">
      <c r="A1022" s="6">
        <v>45433</v>
      </c>
      <c r="B1022" s="2" t="s">
        <v>226</v>
      </c>
      <c r="C1022" s="5">
        <v>45413</v>
      </c>
      <c r="D1022" s="2" t="s">
        <v>192</v>
      </c>
      <c r="E1022" s="3">
        <v>2793</v>
      </c>
      <c r="F1022" s="8">
        <v>4.2035999999999998</v>
      </c>
      <c r="G1022" s="4">
        <v>502.19099999999997</v>
      </c>
      <c r="H1022" s="4">
        <v>1318.8340000000001</v>
      </c>
      <c r="I1022" s="4">
        <v>20.524999999999999</v>
      </c>
      <c r="J1022" s="4">
        <v>22.302499999999998</v>
      </c>
      <c r="K1022" s="4">
        <v>20.524999999999999</v>
      </c>
      <c r="L1022" s="4">
        <v>21.81</v>
      </c>
      <c r="M1022" s="7">
        <v>6.2600000000000003E-2</v>
      </c>
    </row>
    <row r="1023" spans="1:13" x14ac:dyDescent="0.2">
      <c r="A1023" s="6">
        <v>45434</v>
      </c>
      <c r="B1023" s="2" t="s">
        <v>224</v>
      </c>
      <c r="C1023" s="5">
        <v>45413</v>
      </c>
      <c r="D1023" s="2" t="s">
        <v>192</v>
      </c>
      <c r="E1023" s="3">
        <v>2735</v>
      </c>
      <c r="F1023" s="8">
        <v>3.8561000000000001</v>
      </c>
      <c r="G1023" s="4">
        <v>411.83920000000001</v>
      </c>
      <c r="H1023" s="4">
        <v>1214.6198999999999</v>
      </c>
      <c r="I1023" s="4">
        <v>21.81</v>
      </c>
      <c r="J1023" s="4">
        <v>22.2925</v>
      </c>
      <c r="K1023" s="4">
        <v>18.184999999999999</v>
      </c>
      <c r="L1023" s="4">
        <v>21.467500000000001</v>
      </c>
      <c r="M1023" s="7">
        <v>-1.5699999999999999E-2</v>
      </c>
    </row>
    <row r="1024" spans="1:13" x14ac:dyDescent="0.2">
      <c r="A1024" s="6">
        <v>45435</v>
      </c>
      <c r="B1024" s="2" t="s">
        <v>227</v>
      </c>
      <c r="C1024" s="5">
        <v>45413</v>
      </c>
      <c r="D1024" s="2" t="s">
        <v>192</v>
      </c>
      <c r="E1024" s="3">
        <v>2732</v>
      </c>
      <c r="F1024" s="8">
        <v>3.7277999999999998</v>
      </c>
      <c r="G1024" s="4">
        <v>462.18360000000001</v>
      </c>
      <c r="H1024" s="4">
        <v>1318.2101</v>
      </c>
      <c r="I1024" s="4">
        <v>21.467500000000001</v>
      </c>
      <c r="J1024" s="4">
        <v>24.215</v>
      </c>
      <c r="K1024" s="4">
        <v>18.84</v>
      </c>
      <c r="L1024" s="4">
        <v>21.38</v>
      </c>
      <c r="M1024" s="7">
        <v>-4.1000000000000003E-3</v>
      </c>
    </row>
    <row r="1025" spans="1:13" x14ac:dyDescent="0.2">
      <c r="A1025" s="6">
        <v>45436</v>
      </c>
      <c r="B1025" s="2" t="s">
        <v>225</v>
      </c>
      <c r="C1025" s="5">
        <v>45413</v>
      </c>
      <c r="D1025" s="2" t="s">
        <v>192</v>
      </c>
      <c r="E1025" s="3">
        <v>2749</v>
      </c>
      <c r="F1025" s="8">
        <v>3.5853999999999999</v>
      </c>
      <c r="G1025" s="4">
        <v>643.71540000000005</v>
      </c>
      <c r="H1025" s="4">
        <v>1217.5861</v>
      </c>
      <c r="I1025" s="4">
        <v>21.38</v>
      </c>
      <c r="J1025" s="4">
        <v>21.897500000000001</v>
      </c>
      <c r="K1025" s="4">
        <v>20.59</v>
      </c>
      <c r="L1025" s="4">
        <v>21.71</v>
      </c>
      <c r="M1025" s="7">
        <v>1.54E-2</v>
      </c>
    </row>
    <row r="1026" spans="1:13" x14ac:dyDescent="0.2">
      <c r="A1026" s="6">
        <v>45439</v>
      </c>
      <c r="B1026" s="2" t="s">
        <v>228</v>
      </c>
      <c r="C1026" s="5">
        <v>45413</v>
      </c>
      <c r="D1026" s="2" t="s">
        <v>192</v>
      </c>
      <c r="E1026" s="3">
        <v>2783</v>
      </c>
      <c r="F1026" s="8">
        <v>3.7511999999999999</v>
      </c>
      <c r="G1026" s="4">
        <v>484.23910000000001</v>
      </c>
      <c r="H1026" s="4">
        <v>1218.0813000000001</v>
      </c>
      <c r="I1026" s="4">
        <v>21.71</v>
      </c>
      <c r="J1026" s="4">
        <v>26.195</v>
      </c>
      <c r="K1026" s="4">
        <v>18.434999999999999</v>
      </c>
      <c r="L1026" s="4">
        <v>23.192499999999999</v>
      </c>
      <c r="M1026" s="7">
        <v>6.83E-2</v>
      </c>
    </row>
    <row r="1027" spans="1:13" x14ac:dyDescent="0.2">
      <c r="A1027" s="6">
        <v>45440</v>
      </c>
      <c r="B1027" s="2" t="s">
        <v>226</v>
      </c>
      <c r="C1027" s="5">
        <v>45413</v>
      </c>
      <c r="D1027" s="2" t="s">
        <v>192</v>
      </c>
      <c r="E1027" s="3">
        <v>2717</v>
      </c>
      <c r="F1027" s="8">
        <v>3.3649</v>
      </c>
      <c r="G1027" s="4">
        <v>394.37470000000002</v>
      </c>
      <c r="H1027" s="4">
        <v>1027.3747000000001</v>
      </c>
      <c r="I1027" s="4">
        <v>23.192499999999999</v>
      </c>
      <c r="J1027" s="4">
        <v>24.475000000000001</v>
      </c>
      <c r="K1027" s="4">
        <v>22.024999999999999</v>
      </c>
      <c r="L1027" s="4">
        <v>24.195</v>
      </c>
      <c r="M1027" s="7">
        <v>4.3200000000000002E-2</v>
      </c>
    </row>
    <row r="1028" spans="1:13" x14ac:dyDescent="0.2">
      <c r="A1028" s="6">
        <v>45441</v>
      </c>
      <c r="B1028" s="2" t="s">
        <v>224</v>
      </c>
      <c r="C1028" s="5">
        <v>45413</v>
      </c>
      <c r="D1028" s="2" t="s">
        <v>192</v>
      </c>
      <c r="E1028" s="3">
        <v>2719</v>
      </c>
      <c r="F1028" s="8">
        <v>3.2113999999999998</v>
      </c>
      <c r="G1028" s="4">
        <v>351.6524</v>
      </c>
      <c r="H1028" s="4">
        <v>1027.0417</v>
      </c>
      <c r="I1028" s="4">
        <v>24.195</v>
      </c>
      <c r="J1028" s="4">
        <v>24.772500000000001</v>
      </c>
      <c r="K1028" s="4">
        <v>23.545000000000002</v>
      </c>
      <c r="L1028" s="4">
        <v>24.175000000000001</v>
      </c>
      <c r="M1028" s="7">
        <v>-8.0000000000000004E-4</v>
      </c>
    </row>
    <row r="1029" spans="1:13" x14ac:dyDescent="0.2">
      <c r="A1029" s="6">
        <v>45442</v>
      </c>
      <c r="B1029" s="2" t="s">
        <v>227</v>
      </c>
      <c r="C1029" s="5">
        <v>45413</v>
      </c>
      <c r="D1029" s="2" t="s">
        <v>192</v>
      </c>
      <c r="E1029" s="3">
        <v>2707</v>
      </c>
      <c r="F1029" s="8">
        <v>3.5573000000000001</v>
      </c>
      <c r="G1029" s="4">
        <v>453.28339999999997</v>
      </c>
      <c r="H1029" s="4">
        <v>1103.2189000000001</v>
      </c>
      <c r="I1029" s="4">
        <v>24.175000000000001</v>
      </c>
      <c r="J1029" s="4">
        <v>24.52</v>
      </c>
      <c r="K1029" s="4">
        <v>22.752500000000001</v>
      </c>
      <c r="L1029" s="4">
        <v>24.175000000000001</v>
      </c>
      <c r="M1029" s="7">
        <v>0</v>
      </c>
    </row>
    <row r="1030" spans="1:13" x14ac:dyDescent="0.2">
      <c r="A1030" s="6">
        <v>45443</v>
      </c>
      <c r="B1030" s="2" t="s">
        <v>225</v>
      </c>
      <c r="C1030" s="5">
        <v>45413</v>
      </c>
      <c r="D1030" s="2" t="s">
        <v>192</v>
      </c>
      <c r="E1030" s="3">
        <v>2736</v>
      </c>
      <c r="F1030" s="8">
        <v>4.5141</v>
      </c>
      <c r="G1030" s="4">
        <v>766.99419999999998</v>
      </c>
      <c r="H1030" s="4">
        <v>2287.3762999999999</v>
      </c>
      <c r="I1030" s="4">
        <v>24.175000000000001</v>
      </c>
      <c r="J1030" s="4">
        <v>24.81</v>
      </c>
      <c r="K1030" s="4">
        <v>22.5975</v>
      </c>
      <c r="L1030" s="4">
        <v>24.602499999999999</v>
      </c>
      <c r="M1030" s="7">
        <v>1.77E-2</v>
      </c>
    </row>
    <row r="1031" spans="1:13" x14ac:dyDescent="0.2">
      <c r="A1031" s="6">
        <v>45446</v>
      </c>
      <c r="B1031" s="2" t="s">
        <v>228</v>
      </c>
      <c r="C1031" s="5">
        <v>45444</v>
      </c>
      <c r="D1031" s="2" t="s">
        <v>192</v>
      </c>
      <c r="E1031" s="3">
        <v>2806</v>
      </c>
      <c r="F1031" s="8">
        <v>4.8574999999999999</v>
      </c>
      <c r="G1031" s="4">
        <v>667.14469999999994</v>
      </c>
      <c r="H1031" s="4">
        <v>1725.3987999999999</v>
      </c>
      <c r="I1031" s="4">
        <v>24.602499999999999</v>
      </c>
      <c r="J1031" s="4">
        <v>24.602499999999999</v>
      </c>
      <c r="K1031" s="4">
        <v>19.114999999999998</v>
      </c>
      <c r="L1031" s="4">
        <v>20.9375</v>
      </c>
      <c r="M1031" s="7">
        <v>-0.14899999999999999</v>
      </c>
    </row>
    <row r="1032" spans="1:13" x14ac:dyDescent="0.2">
      <c r="A1032" s="6">
        <v>45447</v>
      </c>
      <c r="B1032" s="2" t="s">
        <v>226</v>
      </c>
      <c r="C1032" s="5">
        <v>45444</v>
      </c>
      <c r="D1032" s="2" t="s">
        <v>192</v>
      </c>
      <c r="E1032" s="3">
        <v>2757</v>
      </c>
      <c r="F1032" s="8">
        <v>8.8505000000000003</v>
      </c>
      <c r="G1032" s="4">
        <v>1128.241</v>
      </c>
      <c r="H1032" s="4">
        <v>2712.4542999999999</v>
      </c>
      <c r="I1032" s="4">
        <v>20.9375</v>
      </c>
      <c r="J1032" s="4">
        <v>31.71</v>
      </c>
      <c r="K1032" s="4">
        <v>18.802499999999998</v>
      </c>
      <c r="L1032" s="4">
        <v>26.747499999999999</v>
      </c>
      <c r="M1032" s="7">
        <v>0.27750000000000002</v>
      </c>
    </row>
    <row r="1033" spans="1:13" x14ac:dyDescent="0.2">
      <c r="A1033" s="6">
        <v>45448</v>
      </c>
      <c r="B1033" s="2" t="s">
        <v>224</v>
      </c>
      <c r="C1033" s="5">
        <v>45444</v>
      </c>
      <c r="D1033" s="2" t="s">
        <v>192</v>
      </c>
      <c r="E1033" s="3">
        <v>2774</v>
      </c>
      <c r="F1033" s="8">
        <v>5.9612999999999996</v>
      </c>
      <c r="G1033" s="4">
        <v>686.67939999999999</v>
      </c>
      <c r="H1033" s="4">
        <v>1867.9984999999999</v>
      </c>
      <c r="I1033" s="4">
        <v>26.747499999999999</v>
      </c>
      <c r="J1033" s="4">
        <v>26.925000000000001</v>
      </c>
      <c r="K1033" s="4">
        <v>18.657499999999999</v>
      </c>
      <c r="L1033" s="4">
        <v>18.885000000000002</v>
      </c>
      <c r="M1033" s="7">
        <v>-0.29399999999999998</v>
      </c>
    </row>
    <row r="1034" spans="1:13" x14ac:dyDescent="0.2">
      <c r="A1034" s="6">
        <v>45449</v>
      </c>
      <c r="B1034" s="2" t="s">
        <v>227</v>
      </c>
      <c r="C1034" s="5">
        <v>45444</v>
      </c>
      <c r="D1034" s="2" t="s">
        <v>192</v>
      </c>
      <c r="E1034" s="3">
        <v>2743</v>
      </c>
      <c r="F1034" s="8">
        <v>4.7365000000000004</v>
      </c>
      <c r="G1034" s="4">
        <v>513.12170000000003</v>
      </c>
      <c r="H1034" s="4">
        <v>1504.4191000000001</v>
      </c>
      <c r="I1034" s="4">
        <v>18.885000000000002</v>
      </c>
      <c r="J1034" s="4">
        <v>18.885000000000002</v>
      </c>
      <c r="K1034" s="4">
        <v>16.557500000000001</v>
      </c>
      <c r="L1034" s="4">
        <v>16.8</v>
      </c>
      <c r="M1034" s="7">
        <v>-0.1104</v>
      </c>
    </row>
    <row r="1035" spans="1:13" x14ac:dyDescent="0.2">
      <c r="A1035" s="6">
        <v>45450</v>
      </c>
      <c r="B1035" s="2" t="s">
        <v>225</v>
      </c>
      <c r="C1035" s="5">
        <v>45444</v>
      </c>
      <c r="D1035" s="2" t="s">
        <v>192</v>
      </c>
      <c r="E1035" s="3">
        <v>2755</v>
      </c>
      <c r="F1035" s="8">
        <v>4.0808999999999997</v>
      </c>
      <c r="G1035" s="4">
        <v>509.68329999999997</v>
      </c>
      <c r="H1035" s="4">
        <v>1368.1969999999999</v>
      </c>
      <c r="I1035" s="4">
        <v>16.8</v>
      </c>
      <c r="J1035" s="4">
        <v>17.145</v>
      </c>
      <c r="K1035" s="4">
        <v>16.372499999999999</v>
      </c>
      <c r="L1035" s="4">
        <v>16.8825</v>
      </c>
      <c r="M1035" s="7">
        <v>4.8999999999999998E-3</v>
      </c>
    </row>
    <row r="1036" spans="1:13" x14ac:dyDescent="0.2">
      <c r="A1036" s="6">
        <v>45453</v>
      </c>
      <c r="B1036" s="2" t="s">
        <v>228</v>
      </c>
      <c r="C1036" s="5">
        <v>45444</v>
      </c>
      <c r="D1036" s="2" t="s">
        <v>192</v>
      </c>
      <c r="E1036" s="3">
        <v>2799</v>
      </c>
      <c r="F1036" s="8">
        <v>3.9918</v>
      </c>
      <c r="G1036" s="4">
        <v>529.50959999999998</v>
      </c>
      <c r="H1036" s="4">
        <v>1273.6464000000001</v>
      </c>
      <c r="I1036" s="4">
        <v>16.8825</v>
      </c>
      <c r="J1036" s="4">
        <v>17.25</v>
      </c>
      <c r="K1036" s="4">
        <v>16.170000000000002</v>
      </c>
      <c r="L1036" s="4">
        <v>16.397500000000001</v>
      </c>
      <c r="M1036" s="7">
        <v>-2.87E-2</v>
      </c>
    </row>
    <row r="1037" spans="1:13" x14ac:dyDescent="0.2">
      <c r="A1037" s="6">
        <v>45454</v>
      </c>
      <c r="B1037" s="2" t="s">
        <v>226</v>
      </c>
      <c r="C1037" s="5">
        <v>45444</v>
      </c>
      <c r="D1037" s="2" t="s">
        <v>192</v>
      </c>
      <c r="E1037" s="3">
        <v>2758</v>
      </c>
      <c r="F1037" s="8">
        <v>4.0301</v>
      </c>
      <c r="G1037" s="4">
        <v>652.30309999999997</v>
      </c>
      <c r="H1037" s="4">
        <v>1247.9335000000001</v>
      </c>
      <c r="I1037" s="4">
        <v>16.397500000000001</v>
      </c>
      <c r="J1037" s="4">
        <v>16.397500000000001</v>
      </c>
      <c r="K1037" s="4">
        <v>14.675000000000001</v>
      </c>
      <c r="L1037" s="4">
        <v>14.765000000000001</v>
      </c>
      <c r="M1037" s="7">
        <v>-9.9599999999999994E-2</v>
      </c>
    </row>
    <row r="1038" spans="1:13" x14ac:dyDescent="0.2">
      <c r="A1038" s="6">
        <v>45455</v>
      </c>
      <c r="B1038" s="2" t="s">
        <v>224</v>
      </c>
      <c r="C1038" s="5">
        <v>45444</v>
      </c>
      <c r="D1038" s="2" t="s">
        <v>192</v>
      </c>
      <c r="E1038" s="3">
        <v>2757</v>
      </c>
      <c r="F1038" s="8">
        <v>3.8601999999999999</v>
      </c>
      <c r="G1038" s="4">
        <v>573.09389999999996</v>
      </c>
      <c r="H1038" s="4">
        <v>1200.8157000000001</v>
      </c>
      <c r="I1038" s="4">
        <v>14.765000000000001</v>
      </c>
      <c r="J1038" s="4">
        <v>14.765000000000001</v>
      </c>
      <c r="K1038" s="4">
        <v>13.164999999999999</v>
      </c>
      <c r="L1038" s="4">
        <v>14.387499999999999</v>
      </c>
      <c r="M1038" s="7">
        <v>-2.5600000000000001E-2</v>
      </c>
    </row>
    <row r="1039" spans="1:13" x14ac:dyDescent="0.2">
      <c r="A1039" s="6">
        <v>45456</v>
      </c>
      <c r="B1039" s="2" t="s">
        <v>227</v>
      </c>
      <c r="C1039" s="5">
        <v>45444</v>
      </c>
      <c r="D1039" s="2" t="s">
        <v>192</v>
      </c>
      <c r="E1039" s="3">
        <v>2778</v>
      </c>
      <c r="F1039" s="8">
        <v>3.8466999999999998</v>
      </c>
      <c r="G1039" s="4">
        <v>573.53070000000002</v>
      </c>
      <c r="H1039" s="4">
        <v>1294.9286</v>
      </c>
      <c r="I1039" s="4">
        <v>14.387499999999999</v>
      </c>
      <c r="J1039" s="4">
        <v>14.387499999999999</v>
      </c>
      <c r="K1039" s="4">
        <v>13.3125</v>
      </c>
      <c r="L1039" s="4">
        <v>13.487500000000001</v>
      </c>
      <c r="M1039" s="7">
        <v>-6.2600000000000003E-2</v>
      </c>
    </row>
    <row r="1040" spans="1:13" x14ac:dyDescent="0.2">
      <c r="A1040" s="6">
        <v>45457</v>
      </c>
      <c r="B1040" s="2" t="s">
        <v>225</v>
      </c>
      <c r="C1040" s="5">
        <v>45444</v>
      </c>
      <c r="D1040" s="2" t="s">
        <v>192</v>
      </c>
      <c r="E1040" s="3">
        <v>2764</v>
      </c>
      <c r="F1040" s="8">
        <v>4.0795000000000003</v>
      </c>
      <c r="G1040" s="4">
        <v>546.20429999999999</v>
      </c>
      <c r="H1040" s="4">
        <v>1345.3333</v>
      </c>
      <c r="I1040" s="4">
        <v>13.487500000000001</v>
      </c>
      <c r="J1040" s="4">
        <v>13.487500000000001</v>
      </c>
      <c r="K1040" s="4">
        <v>12.654999999999999</v>
      </c>
      <c r="L1040" s="4">
        <v>12.8225</v>
      </c>
      <c r="M1040" s="7">
        <v>-4.9299999999999997E-2</v>
      </c>
    </row>
    <row r="1041" spans="1:13" x14ac:dyDescent="0.2">
      <c r="A1041" s="6">
        <v>45461</v>
      </c>
      <c r="B1041" s="2" t="s">
        <v>226</v>
      </c>
      <c r="C1041" s="5">
        <v>45444</v>
      </c>
      <c r="D1041" s="2" t="s">
        <v>192</v>
      </c>
      <c r="E1041" s="3">
        <v>2810</v>
      </c>
      <c r="F1041" s="8">
        <v>4.4188999999999998</v>
      </c>
      <c r="G1041" s="4">
        <v>526.81889999999999</v>
      </c>
      <c r="H1041" s="4">
        <v>1427.9749999999999</v>
      </c>
      <c r="I1041" s="4">
        <v>12.8225</v>
      </c>
      <c r="J1041" s="4">
        <v>13.42</v>
      </c>
      <c r="K1041" s="4">
        <v>12.625</v>
      </c>
      <c r="L1041" s="4">
        <v>12.965</v>
      </c>
      <c r="M1041" s="7">
        <v>1.11E-2</v>
      </c>
    </row>
    <row r="1042" spans="1:13" x14ac:dyDescent="0.2">
      <c r="A1042" s="6">
        <v>45462</v>
      </c>
      <c r="B1042" s="2" t="s">
        <v>224</v>
      </c>
      <c r="C1042" s="5">
        <v>45444</v>
      </c>
      <c r="D1042" s="2" t="s">
        <v>192</v>
      </c>
      <c r="E1042" s="3">
        <v>2778</v>
      </c>
      <c r="F1042" s="8">
        <v>4.5008999999999997</v>
      </c>
      <c r="G1042" s="4">
        <v>755.1404</v>
      </c>
      <c r="H1042" s="4">
        <v>1768.3013000000001</v>
      </c>
      <c r="I1042" s="4">
        <v>12.965</v>
      </c>
      <c r="J1042" s="4">
        <v>13.815</v>
      </c>
      <c r="K1042" s="4">
        <v>11.63</v>
      </c>
      <c r="L1042" s="4">
        <v>13.7125</v>
      </c>
      <c r="M1042" s="7">
        <v>5.7700000000000001E-2</v>
      </c>
    </row>
    <row r="1043" spans="1:13" x14ac:dyDescent="0.2">
      <c r="A1043" s="6">
        <v>45463</v>
      </c>
      <c r="B1043" s="2" t="s">
        <v>227</v>
      </c>
      <c r="C1043" s="5">
        <v>45444</v>
      </c>
      <c r="D1043" s="2" t="s">
        <v>192</v>
      </c>
      <c r="E1043" s="3">
        <v>2774</v>
      </c>
      <c r="F1043" s="8">
        <v>4.2275</v>
      </c>
      <c r="G1043" s="4">
        <v>570.72260000000006</v>
      </c>
      <c r="H1043" s="4">
        <v>1413.867</v>
      </c>
      <c r="I1043" s="4">
        <v>13.7125</v>
      </c>
      <c r="J1043" s="4">
        <v>14.06</v>
      </c>
      <c r="K1043" s="4">
        <v>13.102499999999999</v>
      </c>
      <c r="L1043" s="4">
        <v>13.345000000000001</v>
      </c>
      <c r="M1043" s="7">
        <v>-2.6800000000000001E-2</v>
      </c>
    </row>
    <row r="1044" spans="1:13" x14ac:dyDescent="0.2">
      <c r="A1044" s="6">
        <v>45464</v>
      </c>
      <c r="B1044" s="2" t="s">
        <v>225</v>
      </c>
      <c r="C1044" s="5">
        <v>45444</v>
      </c>
      <c r="D1044" s="2" t="s">
        <v>192</v>
      </c>
      <c r="E1044" s="3">
        <v>2746</v>
      </c>
      <c r="F1044" s="8">
        <v>4.7316000000000003</v>
      </c>
      <c r="G1044" s="4">
        <v>669.64059999999995</v>
      </c>
      <c r="H1044" s="4">
        <v>1867.1475</v>
      </c>
      <c r="I1044" s="4">
        <v>13.345000000000001</v>
      </c>
      <c r="J1044" s="4">
        <v>13.59</v>
      </c>
      <c r="K1044" s="4">
        <v>12.475</v>
      </c>
      <c r="L1044" s="4">
        <v>13.18</v>
      </c>
      <c r="M1044" s="7">
        <v>-1.24E-2</v>
      </c>
    </row>
    <row r="1045" spans="1:13" x14ac:dyDescent="0.2">
      <c r="A1045" s="6">
        <v>45467</v>
      </c>
      <c r="B1045" s="2" t="s">
        <v>228</v>
      </c>
      <c r="C1045" s="5">
        <v>45444</v>
      </c>
      <c r="D1045" s="2" t="s">
        <v>192</v>
      </c>
      <c r="E1045" s="3">
        <v>2796</v>
      </c>
      <c r="F1045" s="8">
        <v>4.1398999999999999</v>
      </c>
      <c r="G1045" s="4">
        <v>539.98320000000001</v>
      </c>
      <c r="H1045" s="4">
        <v>1200.5527</v>
      </c>
      <c r="I1045" s="4">
        <v>13.18</v>
      </c>
      <c r="J1045" s="4">
        <v>14.2675</v>
      </c>
      <c r="K1045" s="4">
        <v>13.15</v>
      </c>
      <c r="L1045" s="4">
        <v>14.057499999999999</v>
      </c>
      <c r="M1045" s="7">
        <v>6.6600000000000006E-2</v>
      </c>
    </row>
    <row r="1046" spans="1:13" x14ac:dyDescent="0.2">
      <c r="A1046" s="6">
        <v>45468</v>
      </c>
      <c r="B1046" s="2" t="s">
        <v>226</v>
      </c>
      <c r="C1046" s="5">
        <v>45444</v>
      </c>
      <c r="D1046" s="2" t="s">
        <v>192</v>
      </c>
      <c r="E1046" s="3">
        <v>2761</v>
      </c>
      <c r="F1046" s="8">
        <v>3.8776000000000002</v>
      </c>
      <c r="G1046" s="4">
        <v>412.32209999999998</v>
      </c>
      <c r="H1046" s="4">
        <v>1253.6162999999999</v>
      </c>
      <c r="I1046" s="4">
        <v>14.057499999999999</v>
      </c>
      <c r="J1046" s="4">
        <v>14.455</v>
      </c>
      <c r="K1046" s="4">
        <v>13.842499999999999</v>
      </c>
      <c r="L1046" s="4">
        <v>14.3125</v>
      </c>
      <c r="M1046" s="7">
        <v>1.8100000000000002E-2</v>
      </c>
    </row>
    <row r="1047" spans="1:13" x14ac:dyDescent="0.2">
      <c r="A1047" s="6">
        <v>45469</v>
      </c>
      <c r="B1047" s="2" t="s">
        <v>224</v>
      </c>
      <c r="C1047" s="5">
        <v>45444</v>
      </c>
      <c r="D1047" s="2" t="s">
        <v>192</v>
      </c>
      <c r="E1047" s="3">
        <v>2751</v>
      </c>
      <c r="F1047" s="8">
        <v>4.0000999999999998</v>
      </c>
      <c r="G1047" s="4">
        <v>548.56150000000002</v>
      </c>
      <c r="H1047" s="4">
        <v>1377.9694</v>
      </c>
      <c r="I1047" s="4">
        <v>14.3125</v>
      </c>
      <c r="J1047" s="4">
        <v>14.547499999999999</v>
      </c>
      <c r="K1047" s="4">
        <v>13.984999999999999</v>
      </c>
      <c r="L1047" s="4">
        <v>14.045</v>
      </c>
      <c r="M1047" s="7">
        <v>-1.8700000000000001E-2</v>
      </c>
    </row>
    <row r="1048" spans="1:13" x14ac:dyDescent="0.2">
      <c r="A1048" s="6">
        <v>45470</v>
      </c>
      <c r="B1048" s="2" t="s">
        <v>227</v>
      </c>
      <c r="C1048" s="5">
        <v>45444</v>
      </c>
      <c r="D1048" s="2" t="s">
        <v>192</v>
      </c>
      <c r="E1048" s="3">
        <v>2762</v>
      </c>
      <c r="F1048" s="8">
        <v>4.7632000000000003</v>
      </c>
      <c r="G1048" s="4">
        <v>602.23429999999996</v>
      </c>
      <c r="H1048" s="4">
        <v>1758.1271999999999</v>
      </c>
      <c r="I1048" s="4">
        <v>14.045</v>
      </c>
      <c r="J1048" s="4">
        <v>14.61</v>
      </c>
      <c r="K1048" s="4">
        <v>13.914999999999999</v>
      </c>
      <c r="L1048" s="4">
        <v>14.1525</v>
      </c>
      <c r="M1048" s="7">
        <v>7.7000000000000002E-3</v>
      </c>
    </row>
    <row r="1049" spans="1:13" x14ac:dyDescent="0.2">
      <c r="A1049" s="6">
        <v>45471</v>
      </c>
      <c r="B1049" s="2" t="s">
        <v>225</v>
      </c>
      <c r="C1049" s="5">
        <v>45444</v>
      </c>
      <c r="D1049" s="2" t="s">
        <v>192</v>
      </c>
      <c r="E1049" s="3">
        <v>2765</v>
      </c>
      <c r="F1049" s="8">
        <v>4.1432000000000002</v>
      </c>
      <c r="G1049" s="4">
        <v>571.14850000000001</v>
      </c>
      <c r="H1049" s="4">
        <v>1443.5830000000001</v>
      </c>
      <c r="I1049" s="4">
        <v>14.1525</v>
      </c>
      <c r="J1049" s="4">
        <v>14.29</v>
      </c>
      <c r="K1049" s="4">
        <v>13.6875</v>
      </c>
      <c r="L1049" s="4">
        <v>13.8025</v>
      </c>
      <c r="M1049" s="7">
        <v>-2.47E-2</v>
      </c>
    </row>
    <row r="1050" spans="1:13" x14ac:dyDescent="0.2">
      <c r="A1050" s="6">
        <v>45474</v>
      </c>
      <c r="B1050" s="2" t="s">
        <v>228</v>
      </c>
      <c r="C1050" s="5">
        <v>45474</v>
      </c>
      <c r="D1050" s="2" t="s">
        <v>193</v>
      </c>
      <c r="E1050" s="3">
        <v>2837</v>
      </c>
      <c r="F1050" s="8">
        <v>4.0782999999999996</v>
      </c>
      <c r="G1050" s="4">
        <v>430.45069999999998</v>
      </c>
      <c r="H1050" s="4">
        <v>1200.3055999999999</v>
      </c>
      <c r="I1050" s="4">
        <v>13.8025</v>
      </c>
      <c r="J1050" s="4">
        <v>14.227499999999999</v>
      </c>
      <c r="K1050" s="4">
        <v>13.7925</v>
      </c>
      <c r="L1050" s="4">
        <v>13.83</v>
      </c>
      <c r="M1050" s="7">
        <v>2E-3</v>
      </c>
    </row>
    <row r="1051" spans="1:13" x14ac:dyDescent="0.2">
      <c r="A1051" s="6">
        <v>45475</v>
      </c>
      <c r="B1051" s="2" t="s">
        <v>226</v>
      </c>
      <c r="C1051" s="5">
        <v>45474</v>
      </c>
      <c r="D1051" s="2" t="s">
        <v>193</v>
      </c>
      <c r="E1051" s="3">
        <v>2794</v>
      </c>
      <c r="F1051" s="8">
        <v>4.4690000000000003</v>
      </c>
      <c r="G1051" s="4">
        <v>461.0985</v>
      </c>
      <c r="H1051" s="4">
        <v>1325.7408</v>
      </c>
      <c r="I1051" s="4">
        <v>13.83</v>
      </c>
      <c r="J1051" s="4">
        <v>14.012499999999999</v>
      </c>
      <c r="K1051" s="4">
        <v>13.3225</v>
      </c>
      <c r="L1051" s="4">
        <v>13.64</v>
      </c>
      <c r="M1051" s="7">
        <v>-1.37E-2</v>
      </c>
    </row>
    <row r="1052" spans="1:13" x14ac:dyDescent="0.2">
      <c r="A1052" s="6">
        <v>45476</v>
      </c>
      <c r="B1052" s="2" t="s">
        <v>224</v>
      </c>
      <c r="C1052" s="5">
        <v>45474</v>
      </c>
      <c r="D1052" s="2" t="s">
        <v>193</v>
      </c>
      <c r="E1052" s="3">
        <v>2800</v>
      </c>
      <c r="F1052" s="8">
        <v>3.9992000000000001</v>
      </c>
      <c r="G1052" s="4">
        <v>487.43029999999999</v>
      </c>
      <c r="H1052" s="4">
        <v>1359.2591</v>
      </c>
      <c r="I1052" s="4">
        <v>13.64</v>
      </c>
      <c r="J1052" s="4">
        <v>13.715</v>
      </c>
      <c r="K1052" s="4">
        <v>12.87</v>
      </c>
      <c r="L1052" s="4">
        <v>13.205</v>
      </c>
      <c r="M1052" s="7">
        <v>-3.1899999999999998E-2</v>
      </c>
    </row>
    <row r="1053" spans="1:13" x14ac:dyDescent="0.2">
      <c r="A1053" s="6">
        <v>45477</v>
      </c>
      <c r="B1053" s="2" t="s">
        <v>227</v>
      </c>
      <c r="C1053" s="5">
        <v>45474</v>
      </c>
      <c r="D1053" s="2" t="s">
        <v>193</v>
      </c>
      <c r="E1053" s="3">
        <v>2792</v>
      </c>
      <c r="F1053" s="8">
        <v>4.0038</v>
      </c>
      <c r="G1053" s="4">
        <v>510.86919999999998</v>
      </c>
      <c r="H1053" s="4">
        <v>1384.5336</v>
      </c>
      <c r="I1053" s="4">
        <v>13.205</v>
      </c>
      <c r="J1053" s="4">
        <v>13.205</v>
      </c>
      <c r="K1053" s="4">
        <v>12.2575</v>
      </c>
      <c r="L1053" s="4">
        <v>12.855</v>
      </c>
      <c r="M1053" s="7">
        <v>-2.6499999999999999E-2</v>
      </c>
    </row>
    <row r="1054" spans="1:13" x14ac:dyDescent="0.2">
      <c r="A1054" s="6">
        <v>45478</v>
      </c>
      <c r="B1054" s="2" t="s">
        <v>225</v>
      </c>
      <c r="C1054" s="5">
        <v>45474</v>
      </c>
      <c r="D1054" s="2" t="s">
        <v>193</v>
      </c>
      <c r="E1054" s="3">
        <v>2775</v>
      </c>
      <c r="F1054" s="8">
        <v>4.5522999999999998</v>
      </c>
      <c r="G1054" s="4">
        <v>589.0634</v>
      </c>
      <c r="H1054" s="4">
        <v>1556.7424000000001</v>
      </c>
      <c r="I1054" s="4">
        <v>12.855</v>
      </c>
      <c r="J1054" s="4">
        <v>12.99</v>
      </c>
      <c r="K1054" s="4">
        <v>12.08</v>
      </c>
      <c r="L1054" s="4">
        <v>12.695</v>
      </c>
      <c r="M1054" s="7">
        <v>-1.24E-2</v>
      </c>
    </row>
    <row r="1055" spans="1:13" x14ac:dyDescent="0.2">
      <c r="A1055" s="6">
        <v>45481</v>
      </c>
      <c r="B1055" s="2" t="s">
        <v>228</v>
      </c>
      <c r="C1055" s="5">
        <v>45474</v>
      </c>
      <c r="D1055" s="2" t="s">
        <v>193</v>
      </c>
      <c r="E1055" s="3">
        <v>2815</v>
      </c>
      <c r="F1055" s="8">
        <v>4.6288999999999998</v>
      </c>
      <c r="G1055" s="4">
        <v>590.53740000000005</v>
      </c>
      <c r="H1055" s="4">
        <v>1447.5655999999999</v>
      </c>
      <c r="I1055" s="4">
        <v>12.695</v>
      </c>
      <c r="J1055" s="4">
        <v>13.7575</v>
      </c>
      <c r="K1055" s="4">
        <v>12.695</v>
      </c>
      <c r="L1055" s="4">
        <v>13.6</v>
      </c>
      <c r="M1055" s="7">
        <v>7.1300000000000002E-2</v>
      </c>
    </row>
    <row r="1056" spans="1:13" x14ac:dyDescent="0.2">
      <c r="A1056" s="6">
        <v>45482</v>
      </c>
      <c r="B1056" s="2" t="s">
        <v>226</v>
      </c>
      <c r="C1056" s="5">
        <v>45474</v>
      </c>
      <c r="D1056" s="2" t="s">
        <v>193</v>
      </c>
      <c r="E1056" s="3">
        <v>2795</v>
      </c>
      <c r="F1056" s="8">
        <v>4.4499000000000004</v>
      </c>
      <c r="G1056" s="4">
        <v>512.49289999999996</v>
      </c>
      <c r="H1056" s="4">
        <v>1354.4329</v>
      </c>
      <c r="I1056" s="4">
        <v>13.6</v>
      </c>
      <c r="J1056" s="4">
        <v>14.4025</v>
      </c>
      <c r="K1056" s="4">
        <v>12.79</v>
      </c>
      <c r="L1056" s="4">
        <v>14.28</v>
      </c>
      <c r="M1056" s="7">
        <v>0.05</v>
      </c>
    </row>
    <row r="1057" spans="1:13" x14ac:dyDescent="0.2">
      <c r="A1057" s="6">
        <v>45483</v>
      </c>
      <c r="B1057" s="2" t="s">
        <v>224</v>
      </c>
      <c r="C1057" s="5">
        <v>45474</v>
      </c>
      <c r="D1057" s="2" t="s">
        <v>193</v>
      </c>
      <c r="E1057" s="3">
        <v>2815</v>
      </c>
      <c r="F1057" s="8">
        <v>4.7458999999999998</v>
      </c>
      <c r="G1057" s="4">
        <v>496.09089999999998</v>
      </c>
      <c r="H1057" s="4">
        <v>1477.2945</v>
      </c>
      <c r="I1057" s="4">
        <v>14.28</v>
      </c>
      <c r="J1057" s="4">
        <v>14.914999999999999</v>
      </c>
      <c r="K1057" s="4">
        <v>13.407500000000001</v>
      </c>
      <c r="L1057" s="4">
        <v>14.432499999999999</v>
      </c>
      <c r="M1057" s="7">
        <v>1.0699999999999999E-2</v>
      </c>
    </row>
    <row r="1058" spans="1:13" x14ac:dyDescent="0.2">
      <c r="A1058" s="6">
        <v>45484</v>
      </c>
      <c r="B1058" s="2" t="s">
        <v>227</v>
      </c>
      <c r="C1058" s="5">
        <v>45474</v>
      </c>
      <c r="D1058" s="2" t="s">
        <v>193</v>
      </c>
      <c r="E1058" s="3">
        <v>2774</v>
      </c>
      <c r="F1058" s="8">
        <v>4.2173999999999996</v>
      </c>
      <c r="G1058" s="4">
        <v>506.65269999999998</v>
      </c>
      <c r="H1058" s="4">
        <v>1397.0882999999999</v>
      </c>
      <c r="I1058" s="4">
        <v>14.432499999999999</v>
      </c>
      <c r="J1058" s="4">
        <v>14.432499999999999</v>
      </c>
      <c r="K1058" s="4">
        <v>12.68</v>
      </c>
      <c r="L1058" s="4">
        <v>13.994999999999999</v>
      </c>
      <c r="M1058" s="7">
        <v>-3.0300000000000001E-2</v>
      </c>
    </row>
    <row r="1059" spans="1:13" x14ac:dyDescent="0.2">
      <c r="A1059" s="6">
        <v>45485</v>
      </c>
      <c r="B1059" s="2" t="s">
        <v>225</v>
      </c>
      <c r="C1059" s="5">
        <v>45474</v>
      </c>
      <c r="D1059" s="2" t="s">
        <v>193</v>
      </c>
      <c r="E1059" s="3">
        <v>2769</v>
      </c>
      <c r="F1059" s="8">
        <v>4.6407999999999996</v>
      </c>
      <c r="G1059" s="4">
        <v>567.54690000000005</v>
      </c>
      <c r="H1059" s="4">
        <v>1555.5473999999999</v>
      </c>
      <c r="I1059" s="4">
        <v>13.994999999999999</v>
      </c>
      <c r="J1059" s="4">
        <v>14.0525</v>
      </c>
      <c r="K1059" s="4">
        <v>13.2225</v>
      </c>
      <c r="L1059" s="4">
        <v>13.725</v>
      </c>
      <c r="M1059" s="7">
        <v>-1.9300000000000001E-2</v>
      </c>
    </row>
    <row r="1060" spans="1:13" x14ac:dyDescent="0.2">
      <c r="A1060" s="6">
        <v>45488</v>
      </c>
      <c r="B1060" s="2" t="s">
        <v>228</v>
      </c>
      <c r="C1060" s="5">
        <v>45474</v>
      </c>
      <c r="D1060" s="2" t="s">
        <v>193</v>
      </c>
      <c r="E1060" s="3">
        <v>2839</v>
      </c>
      <c r="F1060" s="8">
        <v>4.3292999999999999</v>
      </c>
      <c r="G1060" s="4">
        <v>530.62400000000002</v>
      </c>
      <c r="H1060" s="4">
        <v>1317.4937</v>
      </c>
      <c r="I1060" s="4">
        <v>13.725</v>
      </c>
      <c r="J1060" s="4">
        <v>14.34</v>
      </c>
      <c r="K1060" s="4">
        <v>13.567500000000001</v>
      </c>
      <c r="L1060" s="4">
        <v>14.1875</v>
      </c>
      <c r="M1060" s="7">
        <v>3.3700000000000001E-2</v>
      </c>
    </row>
    <row r="1061" spans="1:13" x14ac:dyDescent="0.2">
      <c r="A1061" s="6">
        <v>45489</v>
      </c>
      <c r="B1061" s="2" t="s">
        <v>226</v>
      </c>
      <c r="C1061" s="5">
        <v>45474</v>
      </c>
      <c r="D1061" s="2" t="s">
        <v>193</v>
      </c>
      <c r="E1061" s="3">
        <v>2777</v>
      </c>
      <c r="F1061" s="8">
        <v>4.1570999999999998</v>
      </c>
      <c r="G1061" s="4">
        <v>595.29039999999998</v>
      </c>
      <c r="H1061" s="4">
        <v>1251.5072</v>
      </c>
      <c r="I1061" s="4">
        <v>14.1875</v>
      </c>
      <c r="J1061" s="4">
        <v>14.5875</v>
      </c>
      <c r="K1061" s="4">
        <v>13.8025</v>
      </c>
      <c r="L1061" s="4">
        <v>14.2225</v>
      </c>
      <c r="M1061" s="7">
        <v>2.5000000000000001E-3</v>
      </c>
    </row>
    <row r="1062" spans="1:13" x14ac:dyDescent="0.2">
      <c r="A1062" s="6">
        <v>45491</v>
      </c>
      <c r="B1062" s="2" t="s">
        <v>227</v>
      </c>
      <c r="C1062" s="5">
        <v>45474</v>
      </c>
      <c r="D1062" s="2" t="s">
        <v>193</v>
      </c>
      <c r="E1062" s="3">
        <v>2794</v>
      </c>
      <c r="F1062" s="8">
        <v>4.8273999999999999</v>
      </c>
      <c r="G1062" s="4">
        <v>526.71789999999999</v>
      </c>
      <c r="H1062" s="4">
        <v>1477.8149000000001</v>
      </c>
      <c r="I1062" s="4">
        <v>14.2225</v>
      </c>
      <c r="J1062" s="4">
        <v>14.71</v>
      </c>
      <c r="K1062" s="4">
        <v>13.75</v>
      </c>
      <c r="L1062" s="4">
        <v>14.51</v>
      </c>
      <c r="M1062" s="7">
        <v>2.0199999999999999E-2</v>
      </c>
    </row>
    <row r="1063" spans="1:13" x14ac:dyDescent="0.2">
      <c r="A1063" s="6">
        <v>45492</v>
      </c>
      <c r="B1063" s="2" t="s">
        <v>225</v>
      </c>
      <c r="C1063" s="5">
        <v>45474</v>
      </c>
      <c r="D1063" s="2" t="s">
        <v>193</v>
      </c>
      <c r="E1063" s="3">
        <v>2788</v>
      </c>
      <c r="F1063" s="8">
        <v>4.7244999999999999</v>
      </c>
      <c r="G1063" s="4">
        <v>549.84789999999998</v>
      </c>
      <c r="H1063" s="4">
        <v>1348.8737000000001</v>
      </c>
      <c r="I1063" s="4">
        <v>14.51</v>
      </c>
      <c r="J1063" s="4">
        <v>14.965</v>
      </c>
      <c r="K1063" s="4">
        <v>12.737500000000001</v>
      </c>
      <c r="L1063" s="4">
        <v>14.824999999999999</v>
      </c>
      <c r="M1063" s="7">
        <v>2.1700000000000001E-2</v>
      </c>
    </row>
    <row r="1064" spans="1:13" x14ac:dyDescent="0.2">
      <c r="A1064" s="6">
        <v>45495</v>
      </c>
      <c r="B1064" s="2" t="s">
        <v>228</v>
      </c>
      <c r="C1064" s="5">
        <v>45474</v>
      </c>
      <c r="D1064" s="2" t="s">
        <v>193</v>
      </c>
      <c r="E1064" s="3">
        <v>2818</v>
      </c>
      <c r="F1064" s="8">
        <v>4.2388000000000003</v>
      </c>
      <c r="G1064" s="4">
        <v>522.14419999999996</v>
      </c>
      <c r="H1064" s="4">
        <v>1223.6674</v>
      </c>
      <c r="I1064" s="4">
        <v>14.824999999999999</v>
      </c>
      <c r="J1064" s="4">
        <v>15.625</v>
      </c>
      <c r="K1064" s="4">
        <v>13.115</v>
      </c>
      <c r="L1064" s="4">
        <v>15.4375</v>
      </c>
      <c r="M1064" s="7">
        <v>4.1300000000000003E-2</v>
      </c>
    </row>
    <row r="1065" spans="1:13" x14ac:dyDescent="0.2">
      <c r="A1065" s="6">
        <v>45496</v>
      </c>
      <c r="B1065" s="2" t="s">
        <v>226</v>
      </c>
      <c r="C1065" s="5">
        <v>45474</v>
      </c>
      <c r="D1065" s="2" t="s">
        <v>193</v>
      </c>
      <c r="E1065" s="3">
        <v>2780</v>
      </c>
      <c r="F1065" s="8">
        <v>5.8836000000000004</v>
      </c>
      <c r="G1065" s="4">
        <v>694.34500000000003</v>
      </c>
      <c r="H1065" s="4">
        <v>1693.3661</v>
      </c>
      <c r="I1065" s="4">
        <v>15.4375</v>
      </c>
      <c r="J1065" s="4">
        <v>16.065000000000001</v>
      </c>
      <c r="K1065" s="4">
        <v>12.592499999999999</v>
      </c>
      <c r="L1065" s="4">
        <v>12.7475</v>
      </c>
      <c r="M1065" s="7">
        <v>-0.17430000000000001</v>
      </c>
    </row>
    <row r="1066" spans="1:13" x14ac:dyDescent="0.2">
      <c r="A1066" s="6">
        <v>45497</v>
      </c>
      <c r="B1066" s="2" t="s">
        <v>224</v>
      </c>
      <c r="C1066" s="5">
        <v>45474</v>
      </c>
      <c r="D1066" s="2" t="s">
        <v>193</v>
      </c>
      <c r="E1066" s="3">
        <v>2774</v>
      </c>
      <c r="F1066" s="8">
        <v>4.4622000000000002</v>
      </c>
      <c r="G1066" s="4">
        <v>488.61439999999999</v>
      </c>
      <c r="H1066" s="4">
        <v>1372.9794999999999</v>
      </c>
      <c r="I1066" s="4">
        <v>12.7475</v>
      </c>
      <c r="J1066" s="4">
        <v>14.0375</v>
      </c>
      <c r="K1066" s="4">
        <v>11.6175</v>
      </c>
      <c r="L1066" s="4">
        <v>11.762499999999999</v>
      </c>
      <c r="M1066" s="7">
        <v>-7.7299999999999994E-2</v>
      </c>
    </row>
    <row r="1067" spans="1:13" x14ac:dyDescent="0.2">
      <c r="A1067" s="6">
        <v>45498</v>
      </c>
      <c r="B1067" s="2" t="s">
        <v>227</v>
      </c>
      <c r="C1067" s="5">
        <v>45474</v>
      </c>
      <c r="D1067" s="2" t="s">
        <v>193</v>
      </c>
      <c r="E1067" s="3">
        <v>2769</v>
      </c>
      <c r="F1067" s="8">
        <v>4.3365999999999998</v>
      </c>
      <c r="G1067" s="4">
        <v>525.34379999999999</v>
      </c>
      <c r="H1067" s="4">
        <v>1293.6369999999999</v>
      </c>
      <c r="I1067" s="4">
        <v>11.762499999999999</v>
      </c>
      <c r="J1067" s="4">
        <v>13.217499999999999</v>
      </c>
      <c r="K1067" s="4">
        <v>11.275</v>
      </c>
      <c r="L1067" s="4">
        <v>12.6175</v>
      </c>
      <c r="M1067" s="7">
        <v>7.2700000000000001E-2</v>
      </c>
    </row>
    <row r="1068" spans="1:13" x14ac:dyDescent="0.2">
      <c r="A1068" s="6">
        <v>45499</v>
      </c>
      <c r="B1068" s="2" t="s">
        <v>225</v>
      </c>
      <c r="C1068" s="5">
        <v>45474</v>
      </c>
      <c r="D1068" s="2" t="s">
        <v>193</v>
      </c>
      <c r="E1068" s="3">
        <v>2775</v>
      </c>
      <c r="F1068" s="8">
        <v>4.3750999999999998</v>
      </c>
      <c r="G1068" s="4">
        <v>641.83770000000004</v>
      </c>
      <c r="H1068" s="4">
        <v>1367.7358999999999</v>
      </c>
      <c r="I1068" s="4">
        <v>12.6175</v>
      </c>
      <c r="J1068" s="4">
        <v>13.135</v>
      </c>
      <c r="K1068" s="4">
        <v>11.977499999999999</v>
      </c>
      <c r="L1068" s="4">
        <v>12.2475</v>
      </c>
      <c r="M1068" s="7">
        <v>-2.93E-2</v>
      </c>
    </row>
    <row r="1069" spans="1:13" x14ac:dyDescent="0.2">
      <c r="A1069" s="6">
        <v>45502</v>
      </c>
      <c r="B1069" s="2" t="s">
        <v>228</v>
      </c>
      <c r="C1069" s="5">
        <v>45474</v>
      </c>
      <c r="D1069" s="2" t="s">
        <v>193</v>
      </c>
      <c r="E1069" s="3">
        <v>2832</v>
      </c>
      <c r="F1069" s="8">
        <v>4.6063000000000001</v>
      </c>
      <c r="G1069" s="4">
        <v>604.44209999999998</v>
      </c>
      <c r="H1069" s="4">
        <v>1481.0432000000001</v>
      </c>
      <c r="I1069" s="4">
        <v>12.2475</v>
      </c>
      <c r="J1069" s="4">
        <v>13.255000000000001</v>
      </c>
      <c r="K1069" s="4">
        <v>12.0275</v>
      </c>
      <c r="L1069" s="4">
        <v>12.945</v>
      </c>
      <c r="M1069" s="7">
        <v>5.7000000000000002E-2</v>
      </c>
    </row>
    <row r="1070" spans="1:13" x14ac:dyDescent="0.2">
      <c r="A1070" s="6">
        <v>45503</v>
      </c>
      <c r="B1070" s="2" t="s">
        <v>226</v>
      </c>
      <c r="C1070" s="5">
        <v>45474</v>
      </c>
      <c r="D1070" s="2" t="s">
        <v>193</v>
      </c>
      <c r="E1070" s="3">
        <v>2792</v>
      </c>
      <c r="F1070" s="8">
        <v>4.4268999999999998</v>
      </c>
      <c r="G1070" s="4">
        <v>504.93819999999999</v>
      </c>
      <c r="H1070" s="4">
        <v>1365.5811000000001</v>
      </c>
      <c r="I1070" s="4">
        <v>12.945</v>
      </c>
      <c r="J1070" s="4">
        <v>13.26</v>
      </c>
      <c r="K1070" s="4">
        <v>11.715</v>
      </c>
      <c r="L1070" s="4">
        <v>12.88</v>
      </c>
      <c r="M1070" s="7">
        <v>-5.0000000000000001E-3</v>
      </c>
    </row>
    <row r="1071" spans="1:13" x14ac:dyDescent="0.2">
      <c r="A1071" s="6">
        <v>45504</v>
      </c>
      <c r="B1071" s="2" t="s">
        <v>224</v>
      </c>
      <c r="C1071" s="5">
        <v>45474</v>
      </c>
      <c r="D1071" s="2" t="s">
        <v>193</v>
      </c>
      <c r="E1071" s="3">
        <v>2794</v>
      </c>
      <c r="F1071" s="8">
        <v>4.3509000000000002</v>
      </c>
      <c r="G1071" s="4">
        <v>514.68679999999995</v>
      </c>
      <c r="H1071" s="4">
        <v>1363.5572999999999</v>
      </c>
      <c r="I1071" s="4">
        <v>12.88</v>
      </c>
      <c r="J1071" s="4">
        <v>13.387499999999999</v>
      </c>
      <c r="K1071" s="4">
        <v>11.6225</v>
      </c>
      <c r="L1071" s="4">
        <v>13.25</v>
      </c>
      <c r="M1071" s="7">
        <v>2.87E-2</v>
      </c>
    </row>
    <row r="1072" spans="1:13" x14ac:dyDescent="0.2">
      <c r="A1072" s="6">
        <v>45505</v>
      </c>
      <c r="B1072" s="2" t="s">
        <v>227</v>
      </c>
      <c r="C1072" s="5">
        <v>45505</v>
      </c>
      <c r="D1072" s="2" t="s">
        <v>193</v>
      </c>
      <c r="E1072" s="3">
        <v>2806</v>
      </c>
      <c r="F1072" s="8">
        <v>4.4337999999999997</v>
      </c>
      <c r="G1072" s="4">
        <v>520.82950000000005</v>
      </c>
      <c r="H1072" s="4">
        <v>1355.8214</v>
      </c>
      <c r="I1072" s="4">
        <v>13.25</v>
      </c>
      <c r="J1072" s="4">
        <v>13.305</v>
      </c>
      <c r="K1072" s="4">
        <v>11.9825</v>
      </c>
      <c r="L1072" s="4">
        <v>12.93</v>
      </c>
      <c r="M1072" s="7">
        <v>-2.4199999999999999E-2</v>
      </c>
    </row>
    <row r="1073" spans="1:13" x14ac:dyDescent="0.2">
      <c r="A1073" s="6">
        <v>45506</v>
      </c>
      <c r="B1073" s="2" t="s">
        <v>225</v>
      </c>
      <c r="C1073" s="5">
        <v>45505</v>
      </c>
      <c r="D1073" s="2" t="s">
        <v>193</v>
      </c>
      <c r="E1073" s="3">
        <v>2776</v>
      </c>
      <c r="F1073" s="8">
        <v>4.4118000000000004</v>
      </c>
      <c r="G1073" s="4">
        <v>524.22119999999995</v>
      </c>
      <c r="H1073" s="4">
        <v>1304.5918999999999</v>
      </c>
      <c r="I1073" s="4">
        <v>12.93</v>
      </c>
      <c r="J1073" s="4">
        <v>14.51</v>
      </c>
      <c r="K1073" s="4">
        <v>11.692500000000001</v>
      </c>
      <c r="L1073" s="4">
        <v>14.32</v>
      </c>
      <c r="M1073" s="7">
        <v>0.1075</v>
      </c>
    </row>
    <row r="1074" spans="1:13" x14ac:dyDescent="0.2">
      <c r="A1074" s="6">
        <v>45509</v>
      </c>
      <c r="B1074" s="2" t="s">
        <v>228</v>
      </c>
      <c r="C1074" s="5">
        <v>45505</v>
      </c>
      <c r="D1074" s="2" t="s">
        <v>193</v>
      </c>
      <c r="E1074" s="3">
        <v>2859</v>
      </c>
      <c r="F1074" s="8">
        <v>6.3129</v>
      </c>
      <c r="G1074" s="4">
        <v>646.22889999999995</v>
      </c>
      <c r="H1074" s="4">
        <v>1568.3381999999999</v>
      </c>
      <c r="I1074" s="4">
        <v>14.32</v>
      </c>
      <c r="J1074" s="4">
        <v>23.1525</v>
      </c>
      <c r="K1074" s="4">
        <v>13.907500000000001</v>
      </c>
      <c r="L1074" s="4">
        <v>20.3675</v>
      </c>
      <c r="M1074" s="7">
        <v>0.42230000000000001</v>
      </c>
    </row>
    <row r="1075" spans="1:13" x14ac:dyDescent="0.2">
      <c r="A1075" s="6">
        <v>45510</v>
      </c>
      <c r="B1075" s="2" t="s">
        <v>226</v>
      </c>
      <c r="C1075" s="5">
        <v>45505</v>
      </c>
      <c r="D1075" s="2" t="s">
        <v>193</v>
      </c>
      <c r="E1075" s="3">
        <v>2823</v>
      </c>
      <c r="F1075" s="8">
        <v>4.7641999999999998</v>
      </c>
      <c r="G1075" s="4">
        <v>452.29730000000001</v>
      </c>
      <c r="H1075" s="4">
        <v>1247.8924999999999</v>
      </c>
      <c r="I1075" s="4">
        <v>20.3675</v>
      </c>
      <c r="J1075" s="4">
        <v>20.3675</v>
      </c>
      <c r="K1075" s="4">
        <v>14.8675</v>
      </c>
      <c r="L1075" s="4">
        <v>18.7425</v>
      </c>
      <c r="M1075" s="7">
        <v>-7.9799999999999996E-2</v>
      </c>
    </row>
    <row r="1076" spans="1:13" x14ac:dyDescent="0.2">
      <c r="A1076" s="6">
        <v>45511</v>
      </c>
      <c r="B1076" s="2" t="s">
        <v>224</v>
      </c>
      <c r="C1076" s="5">
        <v>45505</v>
      </c>
      <c r="D1076" s="2" t="s">
        <v>193</v>
      </c>
      <c r="E1076" s="3">
        <v>2812</v>
      </c>
      <c r="F1076" s="8">
        <v>4.2142999999999997</v>
      </c>
      <c r="G1076" s="4">
        <v>428.0335</v>
      </c>
      <c r="H1076" s="4">
        <v>1181.0797</v>
      </c>
      <c r="I1076" s="4">
        <v>18.7425</v>
      </c>
      <c r="J1076" s="4">
        <v>18.7425</v>
      </c>
      <c r="K1076" s="4">
        <v>13.7225</v>
      </c>
      <c r="L1076" s="4">
        <v>16.170000000000002</v>
      </c>
      <c r="M1076" s="7">
        <v>-0.13730000000000001</v>
      </c>
    </row>
    <row r="1077" spans="1:13" x14ac:dyDescent="0.2">
      <c r="A1077" s="6">
        <v>45512</v>
      </c>
      <c r="B1077" s="2" t="s">
        <v>227</v>
      </c>
      <c r="C1077" s="5">
        <v>45505</v>
      </c>
      <c r="D1077" s="2" t="s">
        <v>193</v>
      </c>
      <c r="E1077" s="3">
        <v>2790</v>
      </c>
      <c r="F1077" s="8">
        <v>4.3186</v>
      </c>
      <c r="G1077" s="4">
        <v>431.41890000000001</v>
      </c>
      <c r="H1077" s="4">
        <v>1151.1783</v>
      </c>
      <c r="I1077" s="4">
        <v>16.170000000000002</v>
      </c>
      <c r="J1077" s="4">
        <v>17.23</v>
      </c>
      <c r="K1077" s="4">
        <v>14.38</v>
      </c>
      <c r="L1077" s="4">
        <v>16.602499999999999</v>
      </c>
      <c r="M1077" s="7">
        <v>2.6700000000000002E-2</v>
      </c>
    </row>
    <row r="1078" spans="1:13" x14ac:dyDescent="0.2">
      <c r="A1078" s="6">
        <v>45513</v>
      </c>
      <c r="B1078" s="2" t="s">
        <v>225</v>
      </c>
      <c r="C1078" s="5">
        <v>45505</v>
      </c>
      <c r="D1078" s="2" t="s">
        <v>193</v>
      </c>
      <c r="E1078" s="3">
        <v>2781</v>
      </c>
      <c r="F1078" s="8">
        <v>3.9462000000000002</v>
      </c>
      <c r="G1078" s="4">
        <v>452.75150000000002</v>
      </c>
      <c r="H1078" s="4">
        <v>1139.4029</v>
      </c>
      <c r="I1078" s="4">
        <v>16.602499999999999</v>
      </c>
      <c r="J1078" s="4">
        <v>16.602499999999999</v>
      </c>
      <c r="K1078" s="4">
        <v>13.432499999999999</v>
      </c>
      <c r="L1078" s="4">
        <v>15.335000000000001</v>
      </c>
      <c r="M1078" s="7">
        <v>-7.6300000000000007E-2</v>
      </c>
    </row>
    <row r="1079" spans="1:13" x14ac:dyDescent="0.2">
      <c r="A1079" s="6">
        <v>45516</v>
      </c>
      <c r="B1079" s="2" t="s">
        <v>228</v>
      </c>
      <c r="C1079" s="5">
        <v>45505</v>
      </c>
      <c r="D1079" s="2" t="s">
        <v>193</v>
      </c>
      <c r="E1079" s="3">
        <v>2836</v>
      </c>
      <c r="F1079" s="8">
        <v>4.5392999999999999</v>
      </c>
      <c r="G1079" s="4">
        <v>478.31810000000002</v>
      </c>
      <c r="H1079" s="4">
        <v>1243.0709999999999</v>
      </c>
      <c r="I1079" s="4">
        <v>15.335000000000001</v>
      </c>
      <c r="J1079" s="4">
        <v>16.557500000000001</v>
      </c>
      <c r="K1079" s="4">
        <v>13.395</v>
      </c>
      <c r="L1079" s="4">
        <v>15.8675</v>
      </c>
      <c r="M1079" s="7">
        <v>3.4700000000000002E-2</v>
      </c>
    </row>
    <row r="1080" spans="1:13" x14ac:dyDescent="0.2">
      <c r="A1080" s="6">
        <v>45517</v>
      </c>
      <c r="B1080" s="2" t="s">
        <v>226</v>
      </c>
      <c r="C1080" s="5">
        <v>45505</v>
      </c>
      <c r="D1080" s="2" t="s">
        <v>193</v>
      </c>
      <c r="E1080" s="3">
        <v>2819</v>
      </c>
      <c r="F1080" s="8">
        <v>4.4242999999999997</v>
      </c>
      <c r="G1080" s="4">
        <v>485.01710000000003</v>
      </c>
      <c r="H1080" s="4">
        <v>1188.7575999999999</v>
      </c>
      <c r="I1080" s="4">
        <v>15.8675</v>
      </c>
      <c r="J1080" s="4">
        <v>16.375</v>
      </c>
      <c r="K1080" s="4">
        <v>14.2225</v>
      </c>
      <c r="L1080" s="4">
        <v>16.1675</v>
      </c>
      <c r="M1080" s="7">
        <v>1.89E-2</v>
      </c>
    </row>
    <row r="1081" spans="1:13" x14ac:dyDescent="0.2">
      <c r="A1081" s="6">
        <v>45518</v>
      </c>
      <c r="B1081" s="2" t="s">
        <v>224</v>
      </c>
      <c r="C1081" s="5">
        <v>45505</v>
      </c>
      <c r="D1081" s="2" t="s">
        <v>193</v>
      </c>
      <c r="E1081" s="3">
        <v>2802</v>
      </c>
      <c r="F1081" s="8">
        <v>4.1795</v>
      </c>
      <c r="G1081" s="4">
        <v>395.84660000000002</v>
      </c>
      <c r="H1081" s="4">
        <v>1092.7272</v>
      </c>
      <c r="I1081" s="4">
        <v>16.1675</v>
      </c>
      <c r="J1081" s="4">
        <v>16.22</v>
      </c>
      <c r="K1081" s="4">
        <v>13.8225</v>
      </c>
      <c r="L1081" s="4">
        <v>15.435</v>
      </c>
      <c r="M1081" s="7">
        <v>-4.53E-2</v>
      </c>
    </row>
    <row r="1082" spans="1:13" x14ac:dyDescent="0.2">
      <c r="A1082" s="6">
        <v>45520</v>
      </c>
      <c r="B1082" s="2" t="s">
        <v>225</v>
      </c>
      <c r="C1082" s="5">
        <v>45505</v>
      </c>
      <c r="D1082" s="2" t="s">
        <v>193</v>
      </c>
      <c r="E1082" s="3">
        <v>2798</v>
      </c>
      <c r="F1082" s="8">
        <v>4.0046999999999997</v>
      </c>
      <c r="G1082" s="4">
        <v>385.6465</v>
      </c>
      <c r="H1082" s="4">
        <v>1116.2255</v>
      </c>
      <c r="I1082" s="4">
        <v>15.435</v>
      </c>
      <c r="J1082" s="4">
        <v>15.435</v>
      </c>
      <c r="K1082" s="4">
        <v>12.95</v>
      </c>
      <c r="L1082" s="4">
        <v>14.4025</v>
      </c>
      <c r="M1082" s="7">
        <v>-6.6900000000000001E-2</v>
      </c>
    </row>
    <row r="1083" spans="1:13" x14ac:dyDescent="0.2">
      <c r="A1083" s="6">
        <v>45523</v>
      </c>
      <c r="B1083" s="2" t="s">
        <v>228</v>
      </c>
      <c r="C1083" s="5">
        <v>45505</v>
      </c>
      <c r="D1083" s="2" t="s">
        <v>193</v>
      </c>
      <c r="E1083" s="3">
        <v>2842</v>
      </c>
      <c r="F1083" s="8">
        <v>3.8298000000000001</v>
      </c>
      <c r="G1083" s="4">
        <v>412.74869999999999</v>
      </c>
      <c r="H1083" s="4">
        <v>1084.0302999999999</v>
      </c>
      <c r="I1083" s="4">
        <v>14.4025</v>
      </c>
      <c r="J1083" s="4">
        <v>14.83</v>
      </c>
      <c r="K1083" s="4">
        <v>13.1975</v>
      </c>
      <c r="L1083" s="4">
        <v>14.315</v>
      </c>
      <c r="M1083" s="7">
        <v>-6.1000000000000004E-3</v>
      </c>
    </row>
    <row r="1084" spans="1:13" x14ac:dyDescent="0.2">
      <c r="A1084" s="6">
        <v>45524</v>
      </c>
      <c r="B1084" s="2" t="s">
        <v>226</v>
      </c>
      <c r="C1084" s="5">
        <v>45505</v>
      </c>
      <c r="D1084" s="2" t="s">
        <v>193</v>
      </c>
      <c r="E1084" s="3">
        <v>2808</v>
      </c>
      <c r="F1084" s="8">
        <v>3.9321000000000002</v>
      </c>
      <c r="G1084" s="4">
        <v>416.923</v>
      </c>
      <c r="H1084" s="4">
        <v>1168.0513000000001</v>
      </c>
      <c r="I1084" s="4">
        <v>14.315</v>
      </c>
      <c r="J1084" s="4">
        <v>14.315</v>
      </c>
      <c r="K1084" s="4">
        <v>11.425000000000001</v>
      </c>
      <c r="L1084" s="4">
        <v>13.82</v>
      </c>
      <c r="M1084" s="7">
        <v>-3.4599999999999999E-2</v>
      </c>
    </row>
    <row r="1085" spans="1:13" x14ac:dyDescent="0.2">
      <c r="A1085" s="6">
        <v>45525</v>
      </c>
      <c r="B1085" s="2" t="s">
        <v>224</v>
      </c>
      <c r="C1085" s="5">
        <v>45505</v>
      </c>
      <c r="D1085" s="2" t="s">
        <v>193</v>
      </c>
      <c r="E1085" s="3">
        <v>2801</v>
      </c>
      <c r="F1085" s="8">
        <v>3.8813</v>
      </c>
      <c r="G1085" s="4">
        <v>433.07350000000002</v>
      </c>
      <c r="H1085" s="4">
        <v>1176.2375</v>
      </c>
      <c r="I1085" s="4">
        <v>13.82</v>
      </c>
      <c r="J1085" s="4">
        <v>14.045</v>
      </c>
      <c r="K1085" s="4">
        <v>11.8225</v>
      </c>
      <c r="L1085" s="4">
        <v>13.3325</v>
      </c>
      <c r="M1085" s="7">
        <v>-3.5299999999999998E-2</v>
      </c>
    </row>
    <row r="1086" spans="1:13" x14ac:dyDescent="0.2">
      <c r="A1086" s="6">
        <v>45526</v>
      </c>
      <c r="B1086" s="2" t="s">
        <v>227</v>
      </c>
      <c r="C1086" s="5">
        <v>45505</v>
      </c>
      <c r="D1086" s="2" t="s">
        <v>193</v>
      </c>
      <c r="E1086" s="3">
        <v>2837</v>
      </c>
      <c r="F1086" s="8">
        <v>3.9556</v>
      </c>
      <c r="G1086" s="4">
        <v>466.31420000000003</v>
      </c>
      <c r="H1086" s="4">
        <v>1186.3886</v>
      </c>
      <c r="I1086" s="4">
        <v>13.3325</v>
      </c>
      <c r="J1086" s="4">
        <v>13.782500000000001</v>
      </c>
      <c r="K1086" s="4">
        <v>10.9575</v>
      </c>
      <c r="L1086" s="4">
        <v>13</v>
      </c>
      <c r="M1086" s="7">
        <v>-2.4899999999999999E-2</v>
      </c>
    </row>
    <row r="1087" spans="1:13" x14ac:dyDescent="0.2">
      <c r="A1087" s="6">
        <v>45527</v>
      </c>
      <c r="B1087" s="2" t="s">
        <v>225</v>
      </c>
      <c r="C1087" s="5">
        <v>45505</v>
      </c>
      <c r="D1087" s="2" t="s">
        <v>193</v>
      </c>
      <c r="E1087" s="3">
        <v>2801</v>
      </c>
      <c r="F1087" s="8">
        <v>3.7623000000000002</v>
      </c>
      <c r="G1087" s="4">
        <v>484.68220000000002</v>
      </c>
      <c r="H1087" s="4">
        <v>1179.2716</v>
      </c>
      <c r="I1087" s="4">
        <v>13</v>
      </c>
      <c r="J1087" s="4">
        <v>13.62</v>
      </c>
      <c r="K1087" s="4">
        <v>10.84</v>
      </c>
      <c r="L1087" s="4">
        <v>13.5525</v>
      </c>
      <c r="M1087" s="7">
        <v>4.2500000000000003E-2</v>
      </c>
    </row>
    <row r="1088" spans="1:13" x14ac:dyDescent="0.2">
      <c r="A1088" s="6">
        <v>45530</v>
      </c>
      <c r="B1088" s="2" t="s">
        <v>228</v>
      </c>
      <c r="C1088" s="5">
        <v>45505</v>
      </c>
      <c r="D1088" s="2" t="s">
        <v>193</v>
      </c>
      <c r="E1088" s="3">
        <v>2877</v>
      </c>
      <c r="F1088" s="8">
        <v>3.9601999999999999</v>
      </c>
      <c r="G1088" s="4">
        <v>426.72489999999999</v>
      </c>
      <c r="H1088" s="4">
        <v>1113.0526</v>
      </c>
      <c r="I1088" s="4">
        <v>13.5525</v>
      </c>
      <c r="J1088" s="4">
        <v>13.9925</v>
      </c>
      <c r="K1088" s="4">
        <v>12.01</v>
      </c>
      <c r="L1088" s="4">
        <v>13.795</v>
      </c>
      <c r="M1088" s="7">
        <v>1.7899999999999999E-2</v>
      </c>
    </row>
    <row r="1089" spans="1:13" x14ac:dyDescent="0.2">
      <c r="A1089" s="6">
        <v>45531</v>
      </c>
      <c r="B1089" s="2" t="s">
        <v>226</v>
      </c>
      <c r="C1089" s="5">
        <v>45505</v>
      </c>
      <c r="D1089" s="2" t="s">
        <v>193</v>
      </c>
      <c r="E1089" s="3">
        <v>2825</v>
      </c>
      <c r="F1089" s="8">
        <v>3.7301000000000002</v>
      </c>
      <c r="G1089" s="4">
        <v>401.09410000000003</v>
      </c>
      <c r="H1089" s="4">
        <v>1152.3442</v>
      </c>
      <c r="I1089" s="4">
        <v>13.795</v>
      </c>
      <c r="J1089" s="4">
        <v>14.01</v>
      </c>
      <c r="K1089" s="4">
        <v>12.71</v>
      </c>
      <c r="L1089" s="4">
        <v>13.6325</v>
      </c>
      <c r="M1089" s="7">
        <v>-1.18E-2</v>
      </c>
    </row>
    <row r="1090" spans="1:13" x14ac:dyDescent="0.2">
      <c r="A1090" s="6">
        <v>45532</v>
      </c>
      <c r="B1090" s="2" t="s">
        <v>224</v>
      </c>
      <c r="C1090" s="5">
        <v>45505</v>
      </c>
      <c r="D1090" s="2" t="s">
        <v>193</v>
      </c>
      <c r="E1090" s="3">
        <v>2826</v>
      </c>
      <c r="F1090" s="8">
        <v>3.8317999999999999</v>
      </c>
      <c r="G1090" s="4">
        <v>473.65030000000002</v>
      </c>
      <c r="H1090" s="4">
        <v>1178.0106000000001</v>
      </c>
      <c r="I1090" s="4">
        <v>13.6325</v>
      </c>
      <c r="J1090" s="4">
        <v>14.085000000000001</v>
      </c>
      <c r="K1090" s="4">
        <v>12.035</v>
      </c>
      <c r="L1090" s="4">
        <v>13.95</v>
      </c>
      <c r="M1090" s="7">
        <v>2.3300000000000001E-2</v>
      </c>
    </row>
    <row r="1091" spans="1:13" x14ac:dyDescent="0.2">
      <c r="A1091" s="6">
        <v>45533</v>
      </c>
      <c r="B1091" s="2" t="s">
        <v>227</v>
      </c>
      <c r="C1091" s="5">
        <v>45505</v>
      </c>
      <c r="D1091" s="2" t="s">
        <v>193</v>
      </c>
      <c r="E1091" s="3">
        <v>2821</v>
      </c>
      <c r="F1091" s="8">
        <v>4.1055000000000001</v>
      </c>
      <c r="G1091" s="4">
        <v>460.84010000000001</v>
      </c>
      <c r="H1091" s="4">
        <v>1314.0172</v>
      </c>
      <c r="I1091" s="4">
        <v>13.95</v>
      </c>
      <c r="J1091" s="4">
        <v>14.135</v>
      </c>
      <c r="K1091" s="4">
        <v>12.4825</v>
      </c>
      <c r="L1091" s="4">
        <v>13.7875</v>
      </c>
      <c r="M1091" s="7">
        <v>-1.1599999999999999E-2</v>
      </c>
    </row>
    <row r="1092" spans="1:13" x14ac:dyDescent="0.2">
      <c r="A1092" s="6">
        <v>45534</v>
      </c>
      <c r="B1092" s="2" t="s">
        <v>225</v>
      </c>
      <c r="C1092" s="5">
        <v>45505</v>
      </c>
      <c r="D1092" s="2" t="s">
        <v>193</v>
      </c>
      <c r="E1092" s="3">
        <v>2813</v>
      </c>
      <c r="F1092" s="8">
        <v>4.3032000000000004</v>
      </c>
      <c r="G1092" s="4">
        <v>874.33349999999996</v>
      </c>
      <c r="H1092" s="4">
        <v>2241.0798</v>
      </c>
      <c r="I1092" s="4">
        <v>13.7875</v>
      </c>
      <c r="J1092" s="4">
        <v>13.904999999999999</v>
      </c>
      <c r="K1092" s="4">
        <v>12.54</v>
      </c>
      <c r="L1092" s="4">
        <v>13.3925</v>
      </c>
      <c r="M1092" s="7">
        <v>-2.86E-2</v>
      </c>
    </row>
    <row r="1093" spans="1:13" x14ac:dyDescent="0.2">
      <c r="A1093" s="6">
        <v>45537</v>
      </c>
      <c r="B1093" s="2" t="s">
        <v>228</v>
      </c>
      <c r="C1093" s="5">
        <v>45536</v>
      </c>
      <c r="D1093" s="2" t="s">
        <v>193</v>
      </c>
      <c r="E1093" s="3">
        <v>2889</v>
      </c>
      <c r="F1093" s="8">
        <v>3.9563999999999999</v>
      </c>
      <c r="G1093" s="4">
        <v>410.75330000000002</v>
      </c>
      <c r="H1093" s="4">
        <v>1101.4685999999999</v>
      </c>
      <c r="I1093" s="4">
        <v>13.3925</v>
      </c>
      <c r="J1093" s="4">
        <v>14.25</v>
      </c>
      <c r="K1093" s="4">
        <v>12.6275</v>
      </c>
      <c r="L1093" s="4">
        <v>14.06</v>
      </c>
      <c r="M1093" s="7">
        <v>4.9799999999999997E-2</v>
      </c>
    </row>
    <row r="1094" spans="1:13" x14ac:dyDescent="0.2">
      <c r="A1094" s="6">
        <v>45538</v>
      </c>
      <c r="B1094" s="2" t="s">
        <v>226</v>
      </c>
      <c r="C1094" s="5">
        <v>45536</v>
      </c>
      <c r="D1094" s="2" t="s">
        <v>193</v>
      </c>
      <c r="E1094" s="3">
        <v>2838</v>
      </c>
      <c r="F1094" s="8">
        <v>3.6417999999999999</v>
      </c>
      <c r="G1094" s="4">
        <v>334.37299999999999</v>
      </c>
      <c r="H1094" s="4">
        <v>1116.7369000000001</v>
      </c>
      <c r="I1094" s="4">
        <v>14.06</v>
      </c>
      <c r="J1094" s="4">
        <v>14.15</v>
      </c>
      <c r="K1094" s="4">
        <v>12.69</v>
      </c>
      <c r="L1094" s="4">
        <v>13.842499999999999</v>
      </c>
      <c r="M1094" s="7">
        <v>-1.55E-2</v>
      </c>
    </row>
    <row r="1095" spans="1:13" x14ac:dyDescent="0.2">
      <c r="A1095" s="6">
        <v>45539</v>
      </c>
      <c r="B1095" s="2" t="s">
        <v>224</v>
      </c>
      <c r="C1095" s="5">
        <v>45536</v>
      </c>
      <c r="D1095" s="2" t="s">
        <v>193</v>
      </c>
      <c r="E1095" s="3">
        <v>2811</v>
      </c>
      <c r="F1095" s="8">
        <v>3.8904000000000001</v>
      </c>
      <c r="G1095" s="4">
        <v>400.91419999999999</v>
      </c>
      <c r="H1095" s="4">
        <v>1147.8642</v>
      </c>
      <c r="I1095" s="4">
        <v>13.842499999999999</v>
      </c>
      <c r="J1095" s="4">
        <v>14.555</v>
      </c>
      <c r="K1095" s="4">
        <v>12.805</v>
      </c>
      <c r="L1095" s="4">
        <v>14.3775</v>
      </c>
      <c r="M1095" s="7">
        <v>3.8600000000000002E-2</v>
      </c>
    </row>
    <row r="1096" spans="1:13" x14ac:dyDescent="0.2">
      <c r="A1096" s="6">
        <v>45540</v>
      </c>
      <c r="B1096" s="2" t="s">
        <v>227</v>
      </c>
      <c r="C1096" s="5">
        <v>45536</v>
      </c>
      <c r="D1096" s="2" t="s">
        <v>193</v>
      </c>
      <c r="E1096" s="3">
        <v>2812</v>
      </c>
      <c r="F1096" s="8">
        <v>3.9626000000000001</v>
      </c>
      <c r="G1096" s="4">
        <v>452.47770000000003</v>
      </c>
      <c r="H1096" s="4">
        <v>1197.0621000000001</v>
      </c>
      <c r="I1096" s="4">
        <v>14.3775</v>
      </c>
      <c r="J1096" s="4">
        <v>14.3775</v>
      </c>
      <c r="K1096" s="4">
        <v>13.335000000000001</v>
      </c>
      <c r="L1096" s="4">
        <v>14.2075</v>
      </c>
      <c r="M1096" s="7">
        <v>-1.18E-2</v>
      </c>
    </row>
    <row r="1097" spans="1:13" x14ac:dyDescent="0.2">
      <c r="A1097" s="6">
        <v>45541</v>
      </c>
      <c r="B1097" s="2" t="s">
        <v>225</v>
      </c>
      <c r="C1097" s="5">
        <v>45536</v>
      </c>
      <c r="D1097" s="2" t="s">
        <v>193</v>
      </c>
      <c r="E1097" s="3">
        <v>2826</v>
      </c>
      <c r="F1097" s="8">
        <v>4.4663000000000004</v>
      </c>
      <c r="G1097" s="4">
        <v>614.34879999999998</v>
      </c>
      <c r="H1097" s="4">
        <v>1286.0252</v>
      </c>
      <c r="I1097" s="4">
        <v>14.2075</v>
      </c>
      <c r="J1097" s="4">
        <v>15.672499999999999</v>
      </c>
      <c r="K1097" s="4">
        <v>12.352499999999999</v>
      </c>
      <c r="L1097" s="4">
        <v>15.217499999999999</v>
      </c>
      <c r="M1097" s="7">
        <v>7.1099999999999997E-2</v>
      </c>
    </row>
    <row r="1098" spans="1:13" x14ac:dyDescent="0.2">
      <c r="A1098" s="6">
        <v>45544</v>
      </c>
      <c r="B1098" s="2" t="s">
        <v>228</v>
      </c>
      <c r="C1098" s="5">
        <v>45536</v>
      </c>
      <c r="D1098" s="2" t="s">
        <v>193</v>
      </c>
      <c r="E1098" s="3">
        <v>2871</v>
      </c>
      <c r="F1098" s="8">
        <v>4.0521000000000003</v>
      </c>
      <c r="G1098" s="4">
        <v>430.6825</v>
      </c>
      <c r="H1098" s="4">
        <v>1062.5150000000001</v>
      </c>
      <c r="I1098" s="4">
        <v>15.217499999999999</v>
      </c>
      <c r="J1098" s="4">
        <v>15.5625</v>
      </c>
      <c r="K1098" s="4">
        <v>14.11</v>
      </c>
      <c r="L1098" s="4">
        <v>14.237500000000001</v>
      </c>
      <c r="M1098" s="7">
        <v>-6.4399999999999999E-2</v>
      </c>
    </row>
    <row r="1099" spans="1:13" x14ac:dyDescent="0.2">
      <c r="A1099" s="6">
        <v>45545</v>
      </c>
      <c r="B1099" s="2" t="s">
        <v>226</v>
      </c>
      <c r="C1099" s="5">
        <v>45536</v>
      </c>
      <c r="D1099" s="2" t="s">
        <v>193</v>
      </c>
      <c r="E1099" s="3">
        <v>2823</v>
      </c>
      <c r="F1099" s="8">
        <v>3.9281999999999999</v>
      </c>
      <c r="G1099" s="4">
        <v>401.89530000000002</v>
      </c>
      <c r="H1099" s="4">
        <v>1074.0344</v>
      </c>
      <c r="I1099" s="4">
        <v>14.237500000000001</v>
      </c>
      <c r="J1099" s="4">
        <v>14.237500000000001</v>
      </c>
      <c r="K1099" s="4">
        <v>12.1675</v>
      </c>
      <c r="L1099" s="4">
        <v>13.36</v>
      </c>
      <c r="M1099" s="7">
        <v>-6.1600000000000002E-2</v>
      </c>
    </row>
    <row r="1100" spans="1:13" x14ac:dyDescent="0.2">
      <c r="A1100" s="6">
        <v>45546</v>
      </c>
      <c r="B1100" s="2" t="s">
        <v>224</v>
      </c>
      <c r="C1100" s="5">
        <v>45536</v>
      </c>
      <c r="D1100" s="2" t="s">
        <v>193</v>
      </c>
      <c r="E1100" s="3">
        <v>2839</v>
      </c>
      <c r="F1100" s="8">
        <v>3.8411</v>
      </c>
      <c r="G1100" s="4">
        <v>413.56720000000001</v>
      </c>
      <c r="H1100" s="4">
        <v>1076.9289000000001</v>
      </c>
      <c r="I1100" s="4">
        <v>13.36</v>
      </c>
      <c r="J1100" s="4">
        <v>13.765000000000001</v>
      </c>
      <c r="K1100" s="4">
        <v>11.324999999999999</v>
      </c>
      <c r="L1100" s="4">
        <v>13.6275</v>
      </c>
      <c r="M1100" s="7">
        <v>0.02</v>
      </c>
    </row>
    <row r="1101" spans="1:13" x14ac:dyDescent="0.2">
      <c r="A1101" s="6">
        <v>45547</v>
      </c>
      <c r="B1101" s="2" t="s">
        <v>227</v>
      </c>
      <c r="C1101" s="5">
        <v>45536</v>
      </c>
      <c r="D1101" s="2" t="s">
        <v>193</v>
      </c>
      <c r="E1101" s="3">
        <v>2822</v>
      </c>
      <c r="F1101" s="8">
        <v>3.8546999999999998</v>
      </c>
      <c r="G1101" s="4">
        <v>393.54419999999999</v>
      </c>
      <c r="H1101" s="4">
        <v>1227.6529</v>
      </c>
      <c r="I1101" s="4">
        <v>13.6275</v>
      </c>
      <c r="J1101" s="4">
        <v>13.6275</v>
      </c>
      <c r="K1101" s="4">
        <v>11.14</v>
      </c>
      <c r="L1101" s="4">
        <v>13.182499999999999</v>
      </c>
      <c r="M1101" s="7">
        <v>-3.27E-2</v>
      </c>
    </row>
    <row r="1102" spans="1:13" x14ac:dyDescent="0.2">
      <c r="A1102" s="6">
        <v>45548</v>
      </c>
      <c r="B1102" s="2" t="s">
        <v>225</v>
      </c>
      <c r="C1102" s="5">
        <v>45536</v>
      </c>
      <c r="D1102" s="2" t="s">
        <v>193</v>
      </c>
      <c r="E1102" s="3">
        <v>2871</v>
      </c>
      <c r="F1102" s="8">
        <v>3.7149999999999999</v>
      </c>
      <c r="G1102" s="4">
        <v>379.44290000000001</v>
      </c>
      <c r="H1102" s="4">
        <v>1107.0886</v>
      </c>
      <c r="I1102" s="4">
        <v>13.182499999999999</v>
      </c>
      <c r="J1102" s="4">
        <v>13.182499999999999</v>
      </c>
      <c r="K1102" s="4">
        <v>12.467499999999999</v>
      </c>
      <c r="L1102" s="4">
        <v>12.55</v>
      </c>
      <c r="M1102" s="7">
        <v>-4.8000000000000001E-2</v>
      </c>
    </row>
    <row r="1103" spans="1:13" x14ac:dyDescent="0.2">
      <c r="A1103" s="6">
        <v>45551</v>
      </c>
      <c r="B1103" s="2" t="s">
        <v>228</v>
      </c>
      <c r="C1103" s="5">
        <v>45536</v>
      </c>
      <c r="D1103" s="2" t="s">
        <v>193</v>
      </c>
      <c r="E1103" s="3">
        <v>2899</v>
      </c>
      <c r="F1103" s="8">
        <v>3.9146999999999998</v>
      </c>
      <c r="G1103" s="4">
        <v>414.61950000000002</v>
      </c>
      <c r="H1103" s="4">
        <v>1074.9657</v>
      </c>
      <c r="I1103" s="4">
        <v>12.55</v>
      </c>
      <c r="J1103" s="4">
        <v>12.955</v>
      </c>
      <c r="K1103" s="4">
        <v>12.31</v>
      </c>
      <c r="L1103" s="4">
        <v>12.46</v>
      </c>
      <c r="M1103" s="7">
        <v>-7.1999999999999998E-3</v>
      </c>
    </row>
    <row r="1104" spans="1:13" x14ac:dyDescent="0.2">
      <c r="A1104" s="6">
        <v>45552</v>
      </c>
      <c r="B1104" s="2" t="s">
        <v>226</v>
      </c>
      <c r="C1104" s="5">
        <v>45536</v>
      </c>
      <c r="D1104" s="2" t="s">
        <v>193</v>
      </c>
      <c r="E1104" s="3">
        <v>2867</v>
      </c>
      <c r="F1104" s="8">
        <v>3.7719999999999998</v>
      </c>
      <c r="G1104" s="4">
        <v>356.49079999999998</v>
      </c>
      <c r="H1104" s="4">
        <v>1076.7546</v>
      </c>
      <c r="I1104" s="4">
        <v>12.46</v>
      </c>
      <c r="J1104" s="4">
        <v>12.75</v>
      </c>
      <c r="K1104" s="4">
        <v>11.8825</v>
      </c>
      <c r="L1104" s="4">
        <v>12.59</v>
      </c>
      <c r="M1104" s="7">
        <v>1.04E-2</v>
      </c>
    </row>
    <row r="1105" spans="1:13" x14ac:dyDescent="0.2">
      <c r="A1105" s="6">
        <v>45553</v>
      </c>
      <c r="B1105" s="2" t="s">
        <v>224</v>
      </c>
      <c r="C1105" s="5">
        <v>45536</v>
      </c>
      <c r="D1105" s="2" t="s">
        <v>193</v>
      </c>
      <c r="E1105" s="3">
        <v>2870</v>
      </c>
      <c r="F1105" s="8">
        <v>3.9586000000000001</v>
      </c>
      <c r="G1105" s="4">
        <v>389.60399999999998</v>
      </c>
      <c r="H1105" s="4">
        <v>1139.4572000000001</v>
      </c>
      <c r="I1105" s="4">
        <v>12.59</v>
      </c>
      <c r="J1105" s="4">
        <v>13.8475</v>
      </c>
      <c r="K1105" s="4">
        <v>12.26</v>
      </c>
      <c r="L1105" s="4">
        <v>13.3725</v>
      </c>
      <c r="M1105" s="7">
        <v>6.2199999999999998E-2</v>
      </c>
    </row>
    <row r="1106" spans="1:13" x14ac:dyDescent="0.2">
      <c r="A1106" s="6">
        <v>45554</v>
      </c>
      <c r="B1106" s="2" t="s">
        <v>227</v>
      </c>
      <c r="C1106" s="5">
        <v>45536</v>
      </c>
      <c r="D1106" s="2" t="s">
        <v>193</v>
      </c>
      <c r="E1106" s="3">
        <v>2873</v>
      </c>
      <c r="F1106" s="8">
        <v>4.8981000000000003</v>
      </c>
      <c r="G1106" s="4">
        <v>658.87199999999996</v>
      </c>
      <c r="H1106" s="4">
        <v>1338.9952000000001</v>
      </c>
      <c r="I1106" s="4">
        <v>13.3725</v>
      </c>
      <c r="J1106" s="4">
        <v>13.3725</v>
      </c>
      <c r="K1106" s="4">
        <v>12.1</v>
      </c>
      <c r="L1106" s="4">
        <v>12.47</v>
      </c>
      <c r="M1106" s="7">
        <v>-6.7500000000000004E-2</v>
      </c>
    </row>
    <row r="1107" spans="1:13" x14ac:dyDescent="0.2">
      <c r="A1107" s="6">
        <v>45555</v>
      </c>
      <c r="B1107" s="2" t="s">
        <v>225</v>
      </c>
      <c r="C1107" s="5">
        <v>45536</v>
      </c>
      <c r="D1107" s="2" t="s">
        <v>193</v>
      </c>
      <c r="E1107" s="3">
        <v>2848</v>
      </c>
      <c r="F1107" s="8">
        <v>4.9234999999999998</v>
      </c>
      <c r="G1107" s="4">
        <v>611.02650000000006</v>
      </c>
      <c r="H1107" s="4">
        <v>1915.9771000000001</v>
      </c>
      <c r="I1107" s="4">
        <v>12.47</v>
      </c>
      <c r="J1107" s="4">
        <v>13.11</v>
      </c>
      <c r="K1107" s="4">
        <v>10.9025</v>
      </c>
      <c r="L1107" s="4">
        <v>12.79</v>
      </c>
      <c r="M1107" s="7">
        <v>2.5700000000000001E-2</v>
      </c>
    </row>
    <row r="1108" spans="1:13" x14ac:dyDescent="0.2">
      <c r="A1108" s="6">
        <v>45558</v>
      </c>
      <c r="B1108" s="2" t="s">
        <v>228</v>
      </c>
      <c r="C1108" s="5">
        <v>45536</v>
      </c>
      <c r="D1108" s="2" t="s">
        <v>193</v>
      </c>
      <c r="E1108" s="3">
        <v>2909</v>
      </c>
      <c r="F1108" s="8">
        <v>3.9418000000000002</v>
      </c>
      <c r="G1108" s="4">
        <v>534.84960000000001</v>
      </c>
      <c r="H1108" s="4">
        <v>1127.6626000000001</v>
      </c>
      <c r="I1108" s="4">
        <v>12.79</v>
      </c>
      <c r="J1108" s="4">
        <v>14.03</v>
      </c>
      <c r="K1108" s="4">
        <v>12.4275</v>
      </c>
      <c r="L1108" s="4">
        <v>13.785</v>
      </c>
      <c r="M1108" s="7">
        <v>7.7799999999999994E-2</v>
      </c>
    </row>
    <row r="1109" spans="1:13" x14ac:dyDescent="0.2">
      <c r="A1109" s="6">
        <v>45559</v>
      </c>
      <c r="B1109" s="2" t="s">
        <v>226</v>
      </c>
      <c r="C1109" s="5">
        <v>45536</v>
      </c>
      <c r="D1109" s="2" t="s">
        <v>193</v>
      </c>
      <c r="E1109" s="3">
        <v>2887</v>
      </c>
      <c r="F1109" s="8">
        <v>4.0415999999999999</v>
      </c>
      <c r="G1109" s="4">
        <v>429.95929999999998</v>
      </c>
      <c r="H1109" s="4">
        <v>1257.4806000000001</v>
      </c>
      <c r="I1109" s="4">
        <v>13.785</v>
      </c>
      <c r="J1109" s="4">
        <v>14.105</v>
      </c>
      <c r="K1109" s="4">
        <v>12.7425</v>
      </c>
      <c r="L1109" s="4">
        <v>13.3925</v>
      </c>
      <c r="M1109" s="7">
        <v>-2.8500000000000001E-2</v>
      </c>
    </row>
    <row r="1110" spans="1:13" x14ac:dyDescent="0.2">
      <c r="A1110" s="6">
        <v>45560</v>
      </c>
      <c r="B1110" s="2" t="s">
        <v>224</v>
      </c>
      <c r="C1110" s="5">
        <v>45536</v>
      </c>
      <c r="D1110" s="2" t="s">
        <v>193</v>
      </c>
      <c r="E1110" s="3">
        <v>2879</v>
      </c>
      <c r="F1110" s="8">
        <v>3.7852999999999999</v>
      </c>
      <c r="G1110" s="4">
        <v>492.73520000000002</v>
      </c>
      <c r="H1110" s="4">
        <v>1099.67</v>
      </c>
      <c r="I1110" s="4">
        <v>13.3925</v>
      </c>
      <c r="J1110" s="4">
        <v>13.61</v>
      </c>
      <c r="K1110" s="4">
        <v>8.98</v>
      </c>
      <c r="L1110" s="4">
        <v>12.7425</v>
      </c>
      <c r="M1110" s="7">
        <v>-4.8500000000000001E-2</v>
      </c>
    </row>
    <row r="1111" spans="1:13" x14ac:dyDescent="0.2">
      <c r="A1111" s="6">
        <v>45561</v>
      </c>
      <c r="B1111" s="2" t="s">
        <v>227</v>
      </c>
      <c r="C1111" s="5">
        <v>45536</v>
      </c>
      <c r="D1111" s="2" t="s">
        <v>193</v>
      </c>
      <c r="E1111" s="3">
        <v>2867</v>
      </c>
      <c r="F1111" s="8">
        <v>3.8589000000000002</v>
      </c>
      <c r="G1111" s="4">
        <v>497.83210000000003</v>
      </c>
      <c r="H1111" s="4">
        <v>1265.5482999999999</v>
      </c>
      <c r="I1111" s="4">
        <v>12.7425</v>
      </c>
      <c r="J1111" s="4">
        <v>12.7425</v>
      </c>
      <c r="K1111" s="4">
        <v>11.352499999999999</v>
      </c>
      <c r="L1111" s="4">
        <v>12.0025</v>
      </c>
      <c r="M1111" s="7">
        <v>-5.8099999999999999E-2</v>
      </c>
    </row>
    <row r="1112" spans="1:13" x14ac:dyDescent="0.2">
      <c r="A1112" s="6">
        <v>45562</v>
      </c>
      <c r="B1112" s="2" t="s">
        <v>225</v>
      </c>
      <c r="C1112" s="5">
        <v>45536</v>
      </c>
      <c r="D1112" s="2" t="s">
        <v>193</v>
      </c>
      <c r="E1112" s="3">
        <v>2899</v>
      </c>
      <c r="F1112" s="8">
        <v>4.3449999999999998</v>
      </c>
      <c r="G1112" s="4">
        <v>609.38210000000004</v>
      </c>
      <c r="H1112" s="4">
        <v>1724.7628999999999</v>
      </c>
      <c r="I1112" s="4">
        <v>12.0025</v>
      </c>
      <c r="J1112" s="4">
        <v>12.08</v>
      </c>
      <c r="K1112" s="4">
        <v>10.5025</v>
      </c>
      <c r="L1112" s="4">
        <v>11.9625</v>
      </c>
      <c r="M1112" s="7">
        <v>-3.3E-3</v>
      </c>
    </row>
    <row r="1113" spans="1:13" x14ac:dyDescent="0.2">
      <c r="A1113" s="6">
        <v>45565</v>
      </c>
      <c r="B1113" s="2" t="s">
        <v>228</v>
      </c>
      <c r="C1113" s="5">
        <v>45536</v>
      </c>
      <c r="D1113" s="2" t="s">
        <v>193</v>
      </c>
      <c r="E1113" s="3">
        <v>2900</v>
      </c>
      <c r="F1113" s="8">
        <v>4.1215999999999999</v>
      </c>
      <c r="G1113" s="4">
        <v>470.06529999999998</v>
      </c>
      <c r="H1113" s="4">
        <v>1175.1094000000001</v>
      </c>
      <c r="I1113" s="4">
        <v>11.9625</v>
      </c>
      <c r="J1113" s="4">
        <v>13.237500000000001</v>
      </c>
      <c r="K1113" s="4">
        <v>11.6</v>
      </c>
      <c r="L1113" s="4">
        <v>12.7875</v>
      </c>
      <c r="M1113" s="7">
        <v>6.9000000000000006E-2</v>
      </c>
    </row>
    <row r="1114" spans="1:13" x14ac:dyDescent="0.2">
      <c r="A1114" s="6">
        <v>45566</v>
      </c>
      <c r="B1114" s="2" t="s">
        <v>226</v>
      </c>
      <c r="C1114" s="5">
        <v>45566</v>
      </c>
      <c r="D1114" s="2" t="s">
        <v>194</v>
      </c>
      <c r="E1114" s="3">
        <v>2878</v>
      </c>
      <c r="F1114" s="8">
        <v>3.5848</v>
      </c>
      <c r="G1114" s="4">
        <v>398.89179999999999</v>
      </c>
      <c r="H1114" s="4">
        <v>1047.7207000000001</v>
      </c>
      <c r="I1114" s="4">
        <v>12.7875</v>
      </c>
      <c r="J1114" s="4">
        <v>12.7875</v>
      </c>
      <c r="K1114" s="4">
        <v>11.7125</v>
      </c>
      <c r="L1114" s="4">
        <v>11.987500000000001</v>
      </c>
      <c r="M1114" s="7">
        <v>-6.2600000000000003E-2</v>
      </c>
    </row>
    <row r="1115" spans="1:13" x14ac:dyDescent="0.2">
      <c r="A1115" s="6">
        <v>45568</v>
      </c>
      <c r="B1115" s="2" t="s">
        <v>227</v>
      </c>
      <c r="C1115" s="5">
        <v>45566</v>
      </c>
      <c r="D1115" s="2" t="s">
        <v>194</v>
      </c>
      <c r="E1115" s="3">
        <v>2914</v>
      </c>
      <c r="F1115" s="8">
        <v>4.7591000000000001</v>
      </c>
      <c r="G1115" s="4">
        <v>454.4323</v>
      </c>
      <c r="H1115" s="4">
        <v>1370.6264000000001</v>
      </c>
      <c r="I1115" s="4">
        <v>11.987500000000001</v>
      </c>
      <c r="J1115" s="4">
        <v>13.9275</v>
      </c>
      <c r="K1115" s="4">
        <v>11.685</v>
      </c>
      <c r="L1115" s="4">
        <v>13.17</v>
      </c>
      <c r="M1115" s="7">
        <v>9.8599999999999993E-2</v>
      </c>
    </row>
    <row r="1116" spans="1:13" x14ac:dyDescent="0.2">
      <c r="A1116" s="6">
        <v>45569</v>
      </c>
      <c r="B1116" s="2" t="s">
        <v>225</v>
      </c>
      <c r="C1116" s="5">
        <v>45566</v>
      </c>
      <c r="D1116" s="2" t="s">
        <v>194</v>
      </c>
      <c r="E1116" s="3">
        <v>2917</v>
      </c>
      <c r="F1116" s="8">
        <v>4.3564999999999996</v>
      </c>
      <c r="G1116" s="4">
        <v>414.73129999999998</v>
      </c>
      <c r="H1116" s="4">
        <v>1275.3047999999999</v>
      </c>
      <c r="I1116" s="4">
        <v>13.17</v>
      </c>
      <c r="J1116" s="4">
        <v>14.48</v>
      </c>
      <c r="K1116" s="4">
        <v>12.285</v>
      </c>
      <c r="L1116" s="4">
        <v>14.1275</v>
      </c>
      <c r="M1116" s="7">
        <v>7.2700000000000001E-2</v>
      </c>
    </row>
    <row r="1117" spans="1:13" x14ac:dyDescent="0.2">
      <c r="A1117" s="6">
        <v>45572</v>
      </c>
      <c r="B1117" s="2" t="s">
        <v>228</v>
      </c>
      <c r="C1117" s="5">
        <v>45566</v>
      </c>
      <c r="D1117" s="2" t="s">
        <v>194</v>
      </c>
      <c r="E1117" s="3">
        <v>2939</v>
      </c>
      <c r="F1117" s="8">
        <v>4.9996999999999998</v>
      </c>
      <c r="G1117" s="4">
        <v>476.76499999999999</v>
      </c>
      <c r="H1117" s="4">
        <v>1275.2235000000001</v>
      </c>
      <c r="I1117" s="4">
        <v>14.1275</v>
      </c>
      <c r="J1117" s="4">
        <v>15.5</v>
      </c>
      <c r="K1117" s="4">
        <v>13.6175</v>
      </c>
      <c r="L1117" s="4">
        <v>15.08</v>
      </c>
      <c r="M1117" s="7">
        <v>6.7400000000000002E-2</v>
      </c>
    </row>
    <row r="1118" spans="1:13" x14ac:dyDescent="0.2">
      <c r="A1118" s="6">
        <v>45573</v>
      </c>
      <c r="B1118" s="2" t="s">
        <v>226</v>
      </c>
      <c r="C1118" s="5">
        <v>45566</v>
      </c>
      <c r="D1118" s="2" t="s">
        <v>194</v>
      </c>
      <c r="E1118" s="3">
        <v>2886</v>
      </c>
      <c r="F1118" s="8">
        <v>4.0063000000000004</v>
      </c>
      <c r="G1118" s="4">
        <v>411.13959999999997</v>
      </c>
      <c r="H1118" s="4">
        <v>1134.1976</v>
      </c>
      <c r="I1118" s="4">
        <v>15.08</v>
      </c>
      <c r="J1118" s="4">
        <v>15.555</v>
      </c>
      <c r="K1118" s="4">
        <v>13.8775</v>
      </c>
      <c r="L1118" s="4">
        <v>14.5875</v>
      </c>
      <c r="M1118" s="7">
        <v>-3.27E-2</v>
      </c>
    </row>
    <row r="1119" spans="1:13" x14ac:dyDescent="0.2">
      <c r="A1119" s="6">
        <v>45574</v>
      </c>
      <c r="B1119" s="2" t="s">
        <v>224</v>
      </c>
      <c r="C1119" s="5">
        <v>45566</v>
      </c>
      <c r="D1119" s="2" t="s">
        <v>194</v>
      </c>
      <c r="E1119" s="3">
        <v>2874</v>
      </c>
      <c r="F1119" s="8">
        <v>3.6514000000000002</v>
      </c>
      <c r="G1119" s="4">
        <v>397.26900000000001</v>
      </c>
      <c r="H1119" s="4">
        <v>1079.1212</v>
      </c>
      <c r="I1119" s="4">
        <v>14.5875</v>
      </c>
      <c r="J1119" s="4">
        <v>14.5875</v>
      </c>
      <c r="K1119" s="4">
        <v>12.7</v>
      </c>
      <c r="L1119" s="4">
        <v>14.1225</v>
      </c>
      <c r="M1119" s="7">
        <v>-3.1899999999999998E-2</v>
      </c>
    </row>
    <row r="1120" spans="1:13" x14ac:dyDescent="0.2">
      <c r="A1120" s="6">
        <v>45575</v>
      </c>
      <c r="B1120" s="2" t="s">
        <v>227</v>
      </c>
      <c r="C1120" s="5">
        <v>45566</v>
      </c>
      <c r="D1120" s="2" t="s">
        <v>194</v>
      </c>
      <c r="E1120" s="3">
        <v>2869</v>
      </c>
      <c r="F1120" s="8">
        <v>3.2065999999999999</v>
      </c>
      <c r="G1120" s="4">
        <v>316.25549999999998</v>
      </c>
      <c r="H1120" s="4">
        <v>939.7346</v>
      </c>
      <c r="I1120" s="4">
        <v>14.1225</v>
      </c>
      <c r="J1120" s="4">
        <v>14.1225</v>
      </c>
      <c r="K1120" s="4">
        <v>11.727499999999999</v>
      </c>
      <c r="L1120" s="4">
        <v>13.494999999999999</v>
      </c>
      <c r="M1120" s="7">
        <v>-4.4400000000000002E-2</v>
      </c>
    </row>
    <row r="1121" spans="1:13" x14ac:dyDescent="0.2">
      <c r="A1121" s="6">
        <v>45576</v>
      </c>
      <c r="B1121" s="2" t="s">
        <v>225</v>
      </c>
      <c r="C1121" s="5">
        <v>45566</v>
      </c>
      <c r="D1121" s="2" t="s">
        <v>194</v>
      </c>
      <c r="E1121" s="3">
        <v>2852</v>
      </c>
      <c r="F1121" s="8">
        <v>2.8292000000000002</v>
      </c>
      <c r="G1121" s="4">
        <v>286.02530000000002</v>
      </c>
      <c r="H1121" s="4">
        <v>819.80589999999995</v>
      </c>
      <c r="I1121" s="4">
        <v>13.494999999999999</v>
      </c>
      <c r="J1121" s="4">
        <v>13.702500000000001</v>
      </c>
      <c r="K1121" s="4">
        <v>11.535</v>
      </c>
      <c r="L1121" s="4">
        <v>13.22</v>
      </c>
      <c r="M1121" s="7">
        <v>-2.0400000000000001E-2</v>
      </c>
    </row>
    <row r="1122" spans="1:13" x14ac:dyDescent="0.2">
      <c r="A1122" s="6">
        <v>45579</v>
      </c>
      <c r="B1122" s="2" t="s">
        <v>228</v>
      </c>
      <c r="C1122" s="5">
        <v>45566</v>
      </c>
      <c r="D1122" s="2" t="s">
        <v>194</v>
      </c>
      <c r="E1122" s="3">
        <v>2903</v>
      </c>
      <c r="F1122" s="8">
        <v>3.2463000000000002</v>
      </c>
      <c r="G1122" s="4">
        <v>300.9477</v>
      </c>
      <c r="H1122" s="4">
        <v>911.79110000000003</v>
      </c>
      <c r="I1122" s="4">
        <v>13.22</v>
      </c>
      <c r="J1122" s="4">
        <v>13.734999999999999</v>
      </c>
      <c r="K1122" s="4">
        <v>12.914999999999999</v>
      </c>
      <c r="L1122" s="4">
        <v>12.994999999999999</v>
      </c>
      <c r="M1122" s="7">
        <v>-1.7000000000000001E-2</v>
      </c>
    </row>
    <row r="1123" spans="1:13" x14ac:dyDescent="0.2">
      <c r="A1123" s="6">
        <v>45580</v>
      </c>
      <c r="B1123" s="2" t="s">
        <v>226</v>
      </c>
      <c r="C1123" s="5">
        <v>45566</v>
      </c>
      <c r="D1123" s="2" t="s">
        <v>194</v>
      </c>
      <c r="E1123" s="3">
        <v>2875</v>
      </c>
      <c r="F1123" s="8">
        <v>3.407</v>
      </c>
      <c r="G1123" s="4">
        <v>287.51659999999998</v>
      </c>
      <c r="H1123" s="4">
        <v>1035.3006</v>
      </c>
      <c r="I1123" s="4">
        <v>12.994999999999999</v>
      </c>
      <c r="J1123" s="4">
        <v>13.362500000000001</v>
      </c>
      <c r="K1123" s="4">
        <v>10.922499999999999</v>
      </c>
      <c r="L1123" s="4">
        <v>13.0025</v>
      </c>
      <c r="M1123" s="7">
        <v>5.9999999999999995E-4</v>
      </c>
    </row>
    <row r="1124" spans="1:13" x14ac:dyDescent="0.2">
      <c r="A1124" s="6">
        <v>45581</v>
      </c>
      <c r="B1124" s="2" t="s">
        <v>224</v>
      </c>
      <c r="C1124" s="5">
        <v>45566</v>
      </c>
      <c r="D1124" s="2" t="s">
        <v>194</v>
      </c>
      <c r="E1124" s="3">
        <v>2876</v>
      </c>
      <c r="F1124" s="8">
        <v>3.5257000000000001</v>
      </c>
      <c r="G1124" s="4">
        <v>288.30959999999999</v>
      </c>
      <c r="H1124" s="4">
        <v>1035.213</v>
      </c>
      <c r="I1124" s="4">
        <v>13.0025</v>
      </c>
      <c r="J1124" s="4">
        <v>13.56</v>
      </c>
      <c r="K1124" s="4">
        <v>11.435</v>
      </c>
      <c r="L1124" s="4">
        <v>13.0525</v>
      </c>
      <c r="M1124" s="7">
        <v>3.8E-3</v>
      </c>
    </row>
    <row r="1125" spans="1:13" x14ac:dyDescent="0.2">
      <c r="A1125" s="6">
        <v>45582</v>
      </c>
      <c r="B1125" s="2" t="s">
        <v>227</v>
      </c>
      <c r="C1125" s="5">
        <v>45566</v>
      </c>
      <c r="D1125" s="2" t="s">
        <v>194</v>
      </c>
      <c r="E1125" s="3">
        <v>2846</v>
      </c>
      <c r="F1125" s="8">
        <v>3.4567000000000001</v>
      </c>
      <c r="G1125" s="4">
        <v>288.67290000000003</v>
      </c>
      <c r="H1125" s="4">
        <v>998.98220000000003</v>
      </c>
      <c r="I1125" s="4">
        <v>13.0525</v>
      </c>
      <c r="J1125" s="4">
        <v>13.465</v>
      </c>
      <c r="K1125" s="4">
        <v>11.0625</v>
      </c>
      <c r="L1125" s="4">
        <v>13.387499999999999</v>
      </c>
      <c r="M1125" s="7">
        <v>2.5700000000000001E-2</v>
      </c>
    </row>
    <row r="1126" spans="1:13" x14ac:dyDescent="0.2">
      <c r="A1126" s="6">
        <v>45583</v>
      </c>
      <c r="B1126" s="2" t="s">
        <v>225</v>
      </c>
      <c r="C1126" s="5">
        <v>45566</v>
      </c>
      <c r="D1126" s="2" t="s">
        <v>194</v>
      </c>
      <c r="E1126" s="3">
        <v>2855</v>
      </c>
      <c r="F1126" s="8">
        <v>3.5537999999999998</v>
      </c>
      <c r="G1126" s="4">
        <v>300.75400000000002</v>
      </c>
      <c r="H1126" s="4">
        <v>1041.454</v>
      </c>
      <c r="I1126" s="4">
        <v>13.387499999999999</v>
      </c>
      <c r="J1126" s="4">
        <v>14.06</v>
      </c>
      <c r="K1126" s="4">
        <v>12.8675</v>
      </c>
      <c r="L1126" s="4">
        <v>13.0375</v>
      </c>
      <c r="M1126" s="7">
        <v>-2.6100000000000002E-2</v>
      </c>
    </row>
    <row r="1127" spans="1:13" x14ac:dyDescent="0.2">
      <c r="A1127" s="6">
        <v>45586</v>
      </c>
      <c r="B1127" s="2" t="s">
        <v>228</v>
      </c>
      <c r="C1127" s="5">
        <v>45566</v>
      </c>
      <c r="D1127" s="2" t="s">
        <v>194</v>
      </c>
      <c r="E1127" s="3">
        <v>2912</v>
      </c>
      <c r="F1127" s="8">
        <v>3.5226000000000002</v>
      </c>
      <c r="G1127" s="4">
        <v>310.95460000000003</v>
      </c>
      <c r="H1127" s="4">
        <v>1024.7568000000001</v>
      </c>
      <c r="I1127" s="4">
        <v>13.0375</v>
      </c>
      <c r="J1127" s="4">
        <v>14.195</v>
      </c>
      <c r="K1127" s="4">
        <v>12.5525</v>
      </c>
      <c r="L1127" s="4">
        <v>13.762499999999999</v>
      </c>
      <c r="M1127" s="7">
        <v>5.5599999999999997E-2</v>
      </c>
    </row>
    <row r="1128" spans="1:13" x14ac:dyDescent="0.2">
      <c r="A1128" s="6">
        <v>45587</v>
      </c>
      <c r="B1128" s="2" t="s">
        <v>226</v>
      </c>
      <c r="C1128" s="5">
        <v>45566</v>
      </c>
      <c r="D1128" s="2" t="s">
        <v>194</v>
      </c>
      <c r="E1128" s="3">
        <v>2917</v>
      </c>
      <c r="F1128" s="8">
        <v>4.6234999999999999</v>
      </c>
      <c r="G1128" s="4">
        <v>384.63170000000002</v>
      </c>
      <c r="H1128" s="4">
        <v>1151.0896</v>
      </c>
      <c r="I1128" s="4">
        <v>13.762499999999999</v>
      </c>
      <c r="J1128" s="4">
        <v>14.515000000000001</v>
      </c>
      <c r="K1128" s="4">
        <v>9.4700000000000006</v>
      </c>
      <c r="L1128" s="4">
        <v>14.395</v>
      </c>
      <c r="M1128" s="7">
        <v>4.5999999999999999E-2</v>
      </c>
    </row>
    <row r="1129" spans="1:13" x14ac:dyDescent="0.2">
      <c r="A1129" s="6">
        <v>45588</v>
      </c>
      <c r="B1129" s="2" t="s">
        <v>224</v>
      </c>
      <c r="C1129" s="5">
        <v>45566</v>
      </c>
      <c r="D1129" s="2" t="s">
        <v>194</v>
      </c>
      <c r="E1129" s="3">
        <v>2859</v>
      </c>
      <c r="F1129" s="8">
        <v>4.2794999999999996</v>
      </c>
      <c r="G1129" s="4">
        <v>397.20690000000002</v>
      </c>
      <c r="H1129" s="4">
        <v>1167.6439</v>
      </c>
      <c r="I1129" s="4">
        <v>14.395</v>
      </c>
      <c r="J1129" s="4">
        <v>15.032500000000001</v>
      </c>
      <c r="K1129" s="4">
        <v>11.74</v>
      </c>
      <c r="L1129" s="4">
        <v>14.6225</v>
      </c>
      <c r="M1129" s="7">
        <v>1.5800000000000002E-2</v>
      </c>
    </row>
    <row r="1130" spans="1:13" x14ac:dyDescent="0.2">
      <c r="A1130" s="6">
        <v>45589</v>
      </c>
      <c r="B1130" s="2" t="s">
        <v>227</v>
      </c>
      <c r="C1130" s="5">
        <v>45566</v>
      </c>
      <c r="D1130" s="2" t="s">
        <v>194</v>
      </c>
      <c r="E1130" s="3">
        <v>2843</v>
      </c>
      <c r="F1130" s="8">
        <v>3.5975000000000001</v>
      </c>
      <c r="G1130" s="4">
        <v>283.31939999999997</v>
      </c>
      <c r="H1130" s="4">
        <v>966.92700000000002</v>
      </c>
      <c r="I1130" s="4">
        <v>14.6225</v>
      </c>
      <c r="J1130" s="4">
        <v>14.897500000000001</v>
      </c>
      <c r="K1130" s="4">
        <v>12.695</v>
      </c>
      <c r="L1130" s="4">
        <v>13.97</v>
      </c>
      <c r="M1130" s="7">
        <v>-4.4600000000000001E-2</v>
      </c>
    </row>
    <row r="1131" spans="1:13" x14ac:dyDescent="0.2">
      <c r="A1131" s="6">
        <v>45590</v>
      </c>
      <c r="B1131" s="2" t="s">
        <v>225</v>
      </c>
      <c r="C1131" s="5">
        <v>45566</v>
      </c>
      <c r="D1131" s="2" t="s">
        <v>194</v>
      </c>
      <c r="E1131" s="3">
        <v>2902</v>
      </c>
      <c r="F1131" s="8">
        <v>4.6351000000000004</v>
      </c>
      <c r="G1131" s="4">
        <v>381.00700000000001</v>
      </c>
      <c r="H1131" s="4">
        <v>1147.2574</v>
      </c>
      <c r="I1131" s="4">
        <v>13.97</v>
      </c>
      <c r="J1131" s="4">
        <v>15.08</v>
      </c>
      <c r="K1131" s="4">
        <v>13.35</v>
      </c>
      <c r="L1131" s="4">
        <v>14.6325</v>
      </c>
      <c r="M1131" s="7">
        <v>4.7399999999999998E-2</v>
      </c>
    </row>
    <row r="1132" spans="1:13" x14ac:dyDescent="0.2">
      <c r="A1132" s="6">
        <v>45593</v>
      </c>
      <c r="B1132" s="2" t="s">
        <v>228</v>
      </c>
      <c r="C1132" s="5">
        <v>45566</v>
      </c>
      <c r="D1132" s="2" t="s">
        <v>194</v>
      </c>
      <c r="E1132" s="3">
        <v>2920</v>
      </c>
      <c r="F1132" s="8">
        <v>4.1981999999999999</v>
      </c>
      <c r="G1132" s="4">
        <v>411.18599999999998</v>
      </c>
      <c r="H1132" s="4">
        <v>1049.8009</v>
      </c>
      <c r="I1132" s="4">
        <v>14.6325</v>
      </c>
      <c r="J1132" s="4">
        <v>15.477499999999999</v>
      </c>
      <c r="K1132" s="4">
        <v>13.535</v>
      </c>
      <c r="L1132" s="4">
        <v>14.29</v>
      </c>
      <c r="M1132" s="7">
        <v>-2.3400000000000001E-2</v>
      </c>
    </row>
    <row r="1133" spans="1:13" x14ac:dyDescent="0.2">
      <c r="A1133" s="6">
        <v>45594</v>
      </c>
      <c r="B1133" s="2" t="s">
        <v>226</v>
      </c>
      <c r="C1133" s="5">
        <v>45566</v>
      </c>
      <c r="D1133" s="2" t="s">
        <v>194</v>
      </c>
      <c r="E1133" s="3">
        <v>2865</v>
      </c>
      <c r="F1133" s="8">
        <v>3.9131999999999998</v>
      </c>
      <c r="G1133" s="4">
        <v>331.86009999999999</v>
      </c>
      <c r="H1133" s="4">
        <v>1039.5251000000001</v>
      </c>
      <c r="I1133" s="4">
        <v>14.29</v>
      </c>
      <c r="J1133" s="4">
        <v>15.0275</v>
      </c>
      <c r="K1133" s="4">
        <v>13.557499999999999</v>
      </c>
      <c r="L1133" s="4">
        <v>14.515000000000001</v>
      </c>
      <c r="M1133" s="7">
        <v>1.5699999999999999E-2</v>
      </c>
    </row>
    <row r="1134" spans="1:13" x14ac:dyDescent="0.2">
      <c r="A1134" s="6">
        <v>45595</v>
      </c>
      <c r="B1134" s="2" t="s">
        <v>224</v>
      </c>
      <c r="C1134" s="5">
        <v>45566</v>
      </c>
      <c r="D1134" s="2" t="s">
        <v>194</v>
      </c>
      <c r="E1134" s="3">
        <v>2850</v>
      </c>
      <c r="F1134" s="8">
        <v>3.6783999999999999</v>
      </c>
      <c r="G1134" s="4">
        <v>388.62830000000002</v>
      </c>
      <c r="H1134" s="4">
        <v>1014.6673</v>
      </c>
      <c r="I1134" s="4">
        <v>14.515000000000001</v>
      </c>
      <c r="J1134" s="4">
        <v>15.7</v>
      </c>
      <c r="K1134" s="4">
        <v>14.28</v>
      </c>
      <c r="L1134" s="4">
        <v>15.51</v>
      </c>
      <c r="M1134" s="7">
        <v>6.8500000000000005E-2</v>
      </c>
    </row>
    <row r="1135" spans="1:13" x14ac:dyDescent="0.2">
      <c r="A1135" s="6">
        <v>45596</v>
      </c>
      <c r="B1135" s="2" t="s">
        <v>227</v>
      </c>
      <c r="C1135" s="5">
        <v>45566</v>
      </c>
      <c r="D1135" s="2" t="s">
        <v>194</v>
      </c>
      <c r="E1135" s="3">
        <v>2850</v>
      </c>
      <c r="F1135" s="8">
        <v>3.7097000000000002</v>
      </c>
      <c r="G1135" s="4">
        <v>333.3854</v>
      </c>
      <c r="H1135" s="4">
        <v>1004.8398</v>
      </c>
      <c r="I1135" s="4">
        <v>15.51</v>
      </c>
      <c r="J1135" s="4">
        <v>16.239999999999998</v>
      </c>
      <c r="K1135" s="4">
        <v>14.6525</v>
      </c>
      <c r="L1135" s="4">
        <v>15.55</v>
      </c>
      <c r="M1135" s="7">
        <v>2.5999999999999999E-3</v>
      </c>
    </row>
    <row r="1136" spans="1:13" x14ac:dyDescent="0.2">
      <c r="A1136" s="6">
        <v>45597</v>
      </c>
      <c r="B1136" s="2" t="s">
        <v>225</v>
      </c>
      <c r="C1136" s="5">
        <v>45597</v>
      </c>
      <c r="D1136" s="2" t="s">
        <v>194</v>
      </c>
      <c r="E1136" s="3">
        <v>2746</v>
      </c>
      <c r="F1136" s="8">
        <v>0.96940000000000004</v>
      </c>
      <c r="G1136" s="4">
        <v>100.6932</v>
      </c>
      <c r="H1136" s="4">
        <v>182.24979999999999</v>
      </c>
      <c r="I1136" s="4">
        <v>15.55</v>
      </c>
      <c r="J1136" s="4">
        <v>16.125</v>
      </c>
      <c r="K1136" s="4">
        <v>13.6325</v>
      </c>
      <c r="L1136" s="4">
        <v>15.9025</v>
      </c>
      <c r="M1136" s="7">
        <v>2.2700000000000001E-2</v>
      </c>
    </row>
    <row r="1137" spans="1:13" x14ac:dyDescent="0.2">
      <c r="A1137" s="6">
        <v>45600</v>
      </c>
      <c r="B1137" s="2" t="s">
        <v>228</v>
      </c>
      <c r="C1137" s="5">
        <v>45597</v>
      </c>
      <c r="D1137" s="2" t="s">
        <v>194</v>
      </c>
      <c r="E1137" s="3">
        <v>2946</v>
      </c>
      <c r="F1137" s="8">
        <v>3.8353000000000002</v>
      </c>
      <c r="G1137" s="4">
        <v>344.12540000000001</v>
      </c>
      <c r="H1137" s="4">
        <v>981.71709999999996</v>
      </c>
      <c r="I1137" s="4">
        <v>15.9025</v>
      </c>
      <c r="J1137" s="4">
        <v>17.600000000000001</v>
      </c>
      <c r="K1137" s="4">
        <v>14.7775</v>
      </c>
      <c r="L1137" s="4">
        <v>16.6875</v>
      </c>
      <c r="M1137" s="7">
        <v>4.9399999999999999E-2</v>
      </c>
    </row>
    <row r="1138" spans="1:13" x14ac:dyDescent="0.2">
      <c r="A1138" s="6">
        <v>45601</v>
      </c>
      <c r="B1138" s="2" t="s">
        <v>226</v>
      </c>
      <c r="C1138" s="5">
        <v>45597</v>
      </c>
      <c r="D1138" s="2" t="s">
        <v>194</v>
      </c>
      <c r="E1138" s="3">
        <v>2895</v>
      </c>
      <c r="F1138" s="8">
        <v>3.6817000000000002</v>
      </c>
      <c r="G1138" s="4">
        <v>327.9846</v>
      </c>
      <c r="H1138" s="4">
        <v>999.25819999999999</v>
      </c>
      <c r="I1138" s="4">
        <v>16.6875</v>
      </c>
      <c r="J1138" s="4">
        <v>19.02</v>
      </c>
      <c r="K1138" s="4">
        <v>15.795</v>
      </c>
      <c r="L1138" s="4">
        <v>16.122499999999999</v>
      </c>
      <c r="M1138" s="7">
        <v>-3.39E-2</v>
      </c>
    </row>
    <row r="1139" spans="1:13" x14ac:dyDescent="0.2">
      <c r="A1139" s="6">
        <v>45602</v>
      </c>
      <c r="B1139" s="2" t="s">
        <v>224</v>
      </c>
      <c r="C1139" s="5">
        <v>45597</v>
      </c>
      <c r="D1139" s="2" t="s">
        <v>194</v>
      </c>
      <c r="E1139" s="3">
        <v>2926</v>
      </c>
      <c r="F1139" s="8">
        <v>3.7646000000000002</v>
      </c>
      <c r="G1139" s="4">
        <v>336.37349999999998</v>
      </c>
      <c r="H1139" s="4">
        <v>1154.2219</v>
      </c>
      <c r="I1139" s="4">
        <v>16.122499999999999</v>
      </c>
      <c r="J1139" s="4">
        <v>20.75</v>
      </c>
      <c r="K1139" s="4">
        <v>14.7125</v>
      </c>
      <c r="L1139" s="4">
        <v>14.8675</v>
      </c>
      <c r="M1139" s="7">
        <v>-7.7799999999999994E-2</v>
      </c>
    </row>
    <row r="1140" spans="1:13" x14ac:dyDescent="0.2">
      <c r="A1140" s="6">
        <v>45603</v>
      </c>
      <c r="B1140" s="2" t="s">
        <v>227</v>
      </c>
      <c r="C1140" s="5">
        <v>45597</v>
      </c>
      <c r="D1140" s="2" t="s">
        <v>194</v>
      </c>
      <c r="E1140" s="3">
        <v>2898</v>
      </c>
      <c r="F1140" s="8">
        <v>3.6783999999999999</v>
      </c>
      <c r="G1140" s="4">
        <v>321.28050000000002</v>
      </c>
      <c r="H1140" s="4">
        <v>1013.1119</v>
      </c>
      <c r="I1140" s="4">
        <v>14.8675</v>
      </c>
      <c r="J1140" s="4">
        <v>15.522500000000001</v>
      </c>
      <c r="K1140" s="4">
        <v>14.2675</v>
      </c>
      <c r="L1140" s="4">
        <v>14.94</v>
      </c>
      <c r="M1140" s="7">
        <v>4.8999999999999998E-3</v>
      </c>
    </row>
    <row r="1141" spans="1:13" x14ac:dyDescent="0.2">
      <c r="A1141" s="6">
        <v>45604</v>
      </c>
      <c r="B1141" s="2" t="s">
        <v>225</v>
      </c>
      <c r="C1141" s="5">
        <v>45597</v>
      </c>
      <c r="D1141" s="2" t="s">
        <v>194</v>
      </c>
      <c r="E1141" s="3">
        <v>2878</v>
      </c>
      <c r="F1141" s="8">
        <v>3.5503</v>
      </c>
      <c r="G1141" s="4">
        <v>293.6087</v>
      </c>
      <c r="H1141" s="4">
        <v>1000.4317</v>
      </c>
      <c r="I1141" s="4">
        <v>14.94</v>
      </c>
      <c r="J1141" s="4">
        <v>15.725</v>
      </c>
      <c r="K1141" s="4">
        <v>14.3925</v>
      </c>
      <c r="L1141" s="4">
        <v>14.47</v>
      </c>
      <c r="M1141" s="7">
        <v>-3.15E-2</v>
      </c>
    </row>
    <row r="1142" spans="1:13" x14ac:dyDescent="0.2">
      <c r="A1142" s="6">
        <v>45607</v>
      </c>
      <c r="B1142" s="2" t="s">
        <v>228</v>
      </c>
      <c r="C1142" s="5">
        <v>45597</v>
      </c>
      <c r="D1142" s="2" t="s">
        <v>194</v>
      </c>
      <c r="E1142" s="3">
        <v>2928</v>
      </c>
      <c r="F1142" s="8">
        <v>3.6646000000000001</v>
      </c>
      <c r="G1142" s="4">
        <v>296.66980000000001</v>
      </c>
      <c r="H1142" s="4">
        <v>910.97720000000004</v>
      </c>
      <c r="I1142" s="4">
        <v>14.47</v>
      </c>
      <c r="J1142" s="4">
        <v>15.47</v>
      </c>
      <c r="K1142" s="4">
        <v>13.1175</v>
      </c>
      <c r="L1142" s="4">
        <v>14.27</v>
      </c>
      <c r="M1142" s="7">
        <v>-1.38E-2</v>
      </c>
    </row>
    <row r="1143" spans="1:13" x14ac:dyDescent="0.2">
      <c r="A1143" s="6">
        <v>45608</v>
      </c>
      <c r="B1143" s="2" t="s">
        <v>226</v>
      </c>
      <c r="C1143" s="5">
        <v>45597</v>
      </c>
      <c r="D1143" s="2" t="s">
        <v>194</v>
      </c>
      <c r="E1143" s="3">
        <v>2886</v>
      </c>
      <c r="F1143" s="8">
        <v>3.7101000000000002</v>
      </c>
      <c r="G1143" s="4">
        <v>298.3732</v>
      </c>
      <c r="H1143" s="4">
        <v>902.44389999999999</v>
      </c>
      <c r="I1143" s="4">
        <v>14.27</v>
      </c>
      <c r="J1143" s="4">
        <v>14.8375</v>
      </c>
      <c r="K1143" s="4">
        <v>12.74</v>
      </c>
      <c r="L1143" s="4">
        <v>14.59</v>
      </c>
      <c r="M1143" s="7">
        <v>2.24E-2</v>
      </c>
    </row>
    <row r="1144" spans="1:13" x14ac:dyDescent="0.2">
      <c r="A1144" s="6">
        <v>45609</v>
      </c>
      <c r="B1144" s="2" t="s">
        <v>224</v>
      </c>
      <c r="C1144" s="5">
        <v>45597</v>
      </c>
      <c r="D1144" s="2" t="s">
        <v>194</v>
      </c>
      <c r="E1144" s="3">
        <v>2889</v>
      </c>
      <c r="F1144" s="8">
        <v>4.4263000000000003</v>
      </c>
      <c r="G1144" s="4">
        <v>356.31720000000001</v>
      </c>
      <c r="H1144" s="4">
        <v>1015.3612000000001</v>
      </c>
      <c r="I1144" s="4">
        <v>14.59</v>
      </c>
      <c r="J1144" s="4">
        <v>15.865</v>
      </c>
      <c r="K1144" s="4">
        <v>13.932499999999999</v>
      </c>
      <c r="L1144" s="4">
        <v>15.435</v>
      </c>
      <c r="M1144" s="7">
        <v>5.79E-2</v>
      </c>
    </row>
    <row r="1145" spans="1:13" x14ac:dyDescent="0.2">
      <c r="A1145" s="6">
        <v>45610</v>
      </c>
      <c r="B1145" s="2" t="s">
        <v>227</v>
      </c>
      <c r="C1145" s="5">
        <v>45597</v>
      </c>
      <c r="D1145" s="2" t="s">
        <v>194</v>
      </c>
      <c r="E1145" s="3">
        <v>2897</v>
      </c>
      <c r="F1145" s="8">
        <v>3.7921</v>
      </c>
      <c r="G1145" s="4">
        <v>290.99709999999999</v>
      </c>
      <c r="H1145" s="4">
        <v>859.53110000000004</v>
      </c>
      <c r="I1145" s="4">
        <v>15.435</v>
      </c>
      <c r="J1145" s="4">
        <v>15.685</v>
      </c>
      <c r="K1145" s="4">
        <v>13.407500000000001</v>
      </c>
      <c r="L1145" s="4">
        <v>14.775</v>
      </c>
      <c r="M1145" s="7">
        <v>-4.2799999999999998E-2</v>
      </c>
    </row>
    <row r="1146" spans="1:13" x14ac:dyDescent="0.2">
      <c r="A1146" s="6">
        <v>45614</v>
      </c>
      <c r="B1146" s="2" t="s">
        <v>228</v>
      </c>
      <c r="C1146" s="5">
        <v>45597</v>
      </c>
      <c r="D1146" s="2" t="s">
        <v>194</v>
      </c>
      <c r="E1146" s="3">
        <v>2949</v>
      </c>
      <c r="F1146" s="8">
        <v>3.7907999999999999</v>
      </c>
      <c r="G1146" s="4">
        <v>313.65879999999999</v>
      </c>
      <c r="H1146" s="4">
        <v>898.4221</v>
      </c>
      <c r="I1146" s="4">
        <v>14.775</v>
      </c>
      <c r="J1146" s="4">
        <v>16.579999999999998</v>
      </c>
      <c r="K1146" s="4">
        <v>13.755000000000001</v>
      </c>
      <c r="L1146" s="4">
        <v>15.1675</v>
      </c>
      <c r="M1146" s="7">
        <v>2.6599999999999999E-2</v>
      </c>
    </row>
    <row r="1147" spans="1:13" x14ac:dyDescent="0.2">
      <c r="A1147" s="6">
        <v>45615</v>
      </c>
      <c r="B1147" s="2" t="s">
        <v>226</v>
      </c>
      <c r="C1147" s="5">
        <v>45597</v>
      </c>
      <c r="D1147" s="2" t="s">
        <v>194</v>
      </c>
      <c r="E1147" s="3">
        <v>2897</v>
      </c>
      <c r="F1147" s="8">
        <v>3.4859</v>
      </c>
      <c r="G1147" s="4">
        <v>282.47399999999999</v>
      </c>
      <c r="H1147" s="4">
        <v>922.73389999999995</v>
      </c>
      <c r="I1147" s="4">
        <v>15.1675</v>
      </c>
      <c r="J1147" s="4">
        <v>16.184999999999999</v>
      </c>
      <c r="K1147" s="4">
        <v>12.7325</v>
      </c>
      <c r="L1147" s="4">
        <v>15.6625</v>
      </c>
      <c r="M1147" s="7">
        <v>3.2599999999999997E-2</v>
      </c>
    </row>
    <row r="1148" spans="1:13" x14ac:dyDescent="0.2">
      <c r="A1148" s="6">
        <v>45617</v>
      </c>
      <c r="B1148" s="2" t="s">
        <v>227</v>
      </c>
      <c r="C1148" s="5">
        <v>45597</v>
      </c>
      <c r="D1148" s="2" t="s">
        <v>194</v>
      </c>
      <c r="E1148" s="3">
        <v>2910</v>
      </c>
      <c r="F1148" s="8">
        <v>4.0259999999999998</v>
      </c>
      <c r="G1148" s="4">
        <v>352.87970000000001</v>
      </c>
      <c r="H1148" s="4">
        <v>1107.7962</v>
      </c>
      <c r="I1148" s="4">
        <v>15.6625</v>
      </c>
      <c r="J1148" s="4">
        <v>16.78</v>
      </c>
      <c r="K1148" s="4">
        <v>14.8375</v>
      </c>
      <c r="L1148" s="4">
        <v>15.99</v>
      </c>
      <c r="M1148" s="7">
        <v>2.0899999999999998E-2</v>
      </c>
    </row>
    <row r="1149" spans="1:13" x14ac:dyDescent="0.2">
      <c r="A1149" s="6">
        <v>45618</v>
      </c>
      <c r="B1149" s="2" t="s">
        <v>225</v>
      </c>
      <c r="C1149" s="5">
        <v>45597</v>
      </c>
      <c r="D1149" s="2" t="s">
        <v>194</v>
      </c>
      <c r="E1149" s="3">
        <v>2887</v>
      </c>
      <c r="F1149" s="8">
        <v>3.5809000000000002</v>
      </c>
      <c r="G1149" s="4">
        <v>309.92619999999999</v>
      </c>
      <c r="H1149" s="4">
        <v>1015.2518</v>
      </c>
      <c r="I1149" s="4">
        <v>15.99</v>
      </c>
      <c r="J1149" s="4">
        <v>18.670000000000002</v>
      </c>
      <c r="K1149" s="4">
        <v>12.7525</v>
      </c>
      <c r="L1149" s="4">
        <v>16.0975</v>
      </c>
      <c r="M1149" s="7">
        <v>6.7000000000000002E-3</v>
      </c>
    </row>
    <row r="1150" spans="1:13" x14ac:dyDescent="0.2">
      <c r="A1150" s="6">
        <v>45621</v>
      </c>
      <c r="B1150" s="2" t="s">
        <v>228</v>
      </c>
      <c r="C1150" s="5">
        <v>45597</v>
      </c>
      <c r="D1150" s="2" t="s">
        <v>194</v>
      </c>
      <c r="E1150" s="3">
        <v>2922</v>
      </c>
      <c r="F1150" s="8">
        <v>4.2946999999999997</v>
      </c>
      <c r="G1150" s="4">
        <v>462.87810000000002</v>
      </c>
      <c r="H1150" s="4">
        <v>1996.6396</v>
      </c>
      <c r="I1150" s="4">
        <v>16.0975</v>
      </c>
      <c r="J1150" s="4">
        <v>16.864999999999998</v>
      </c>
      <c r="K1150" s="4">
        <v>13.63</v>
      </c>
      <c r="L1150" s="4">
        <v>15.3025</v>
      </c>
      <c r="M1150" s="7">
        <v>-4.9399999999999999E-2</v>
      </c>
    </row>
    <row r="1151" spans="1:13" x14ac:dyDescent="0.2">
      <c r="A1151" s="6">
        <v>45622</v>
      </c>
      <c r="B1151" s="2" t="s">
        <v>226</v>
      </c>
      <c r="C1151" s="5">
        <v>45597</v>
      </c>
      <c r="D1151" s="2" t="s">
        <v>194</v>
      </c>
      <c r="E1151" s="3">
        <v>2886</v>
      </c>
      <c r="F1151" s="8">
        <v>3.2425000000000002</v>
      </c>
      <c r="G1151" s="4">
        <v>422.64929999999998</v>
      </c>
      <c r="H1151" s="4">
        <v>875.10299999999995</v>
      </c>
      <c r="I1151" s="4">
        <v>15.3025</v>
      </c>
      <c r="J1151" s="4">
        <v>16.260000000000002</v>
      </c>
      <c r="K1151" s="4">
        <v>13.8725</v>
      </c>
      <c r="L1151" s="4">
        <v>15.305</v>
      </c>
      <c r="M1151" s="7">
        <v>2.0000000000000001E-4</v>
      </c>
    </row>
    <row r="1152" spans="1:13" x14ac:dyDescent="0.2">
      <c r="A1152" s="6">
        <v>45623</v>
      </c>
      <c r="B1152" s="2" t="s">
        <v>224</v>
      </c>
      <c r="C1152" s="5">
        <v>45597</v>
      </c>
      <c r="D1152" s="2" t="s">
        <v>194</v>
      </c>
      <c r="E1152" s="3">
        <v>2882</v>
      </c>
      <c r="F1152" s="8">
        <v>3.5560999999999998</v>
      </c>
      <c r="G1152" s="4">
        <v>439.95249999999999</v>
      </c>
      <c r="H1152" s="4">
        <v>1073.3216</v>
      </c>
      <c r="I1152" s="4">
        <v>15.305</v>
      </c>
      <c r="J1152" s="4">
        <v>15.305</v>
      </c>
      <c r="K1152" s="4">
        <v>13.244999999999999</v>
      </c>
      <c r="L1152" s="4">
        <v>14.625</v>
      </c>
      <c r="M1152" s="7">
        <v>-4.4400000000000002E-2</v>
      </c>
    </row>
    <row r="1153" spans="1:13" x14ac:dyDescent="0.2">
      <c r="A1153" s="6">
        <v>45624</v>
      </c>
      <c r="B1153" s="2" t="s">
        <v>227</v>
      </c>
      <c r="C1153" s="5">
        <v>45597</v>
      </c>
      <c r="D1153" s="2" t="s">
        <v>194</v>
      </c>
      <c r="E1153" s="3">
        <v>2886</v>
      </c>
      <c r="F1153" s="8">
        <v>3.9731000000000001</v>
      </c>
      <c r="G1153" s="4">
        <v>454.70760000000001</v>
      </c>
      <c r="H1153" s="4">
        <v>1168.9373000000001</v>
      </c>
      <c r="I1153" s="4">
        <v>14.625</v>
      </c>
      <c r="J1153" s="4">
        <v>15.5625</v>
      </c>
      <c r="K1153" s="4">
        <v>14.27</v>
      </c>
      <c r="L1153" s="4">
        <v>15.205</v>
      </c>
      <c r="M1153" s="7">
        <v>3.9699999999999999E-2</v>
      </c>
    </row>
    <row r="1154" spans="1:13" x14ac:dyDescent="0.2">
      <c r="A1154" s="6">
        <v>45625</v>
      </c>
      <c r="B1154" s="2" t="s">
        <v>225</v>
      </c>
      <c r="C1154" s="5">
        <v>45597</v>
      </c>
      <c r="D1154" s="2" t="s">
        <v>194</v>
      </c>
      <c r="E1154" s="3">
        <v>2891</v>
      </c>
      <c r="F1154" s="8">
        <v>3.6394000000000002</v>
      </c>
      <c r="G1154" s="4">
        <v>364.19510000000002</v>
      </c>
      <c r="H1154" s="4">
        <v>1084.5877</v>
      </c>
      <c r="I1154" s="4">
        <v>15.205</v>
      </c>
      <c r="J1154" s="4">
        <v>15.4575</v>
      </c>
      <c r="K1154" s="4">
        <v>14.3325</v>
      </c>
      <c r="L1154" s="4">
        <v>14.425000000000001</v>
      </c>
      <c r="M1154" s="7">
        <v>-5.1299999999999998E-2</v>
      </c>
    </row>
    <row r="1155" spans="1:13" x14ac:dyDescent="0.2">
      <c r="A1155" s="6">
        <v>45628</v>
      </c>
      <c r="B1155" s="2" t="s">
        <v>228</v>
      </c>
      <c r="C1155" s="5">
        <v>45627</v>
      </c>
      <c r="D1155" s="2" t="s">
        <v>194</v>
      </c>
      <c r="E1155" s="3">
        <v>2937</v>
      </c>
      <c r="F1155" s="8">
        <v>3.5878999999999999</v>
      </c>
      <c r="G1155" s="4">
        <v>321.37090000000001</v>
      </c>
      <c r="H1155" s="4">
        <v>990.59849999999994</v>
      </c>
      <c r="I1155" s="4">
        <v>14.425000000000001</v>
      </c>
      <c r="J1155" s="4">
        <v>15.08</v>
      </c>
      <c r="K1155" s="4">
        <v>13.3125</v>
      </c>
      <c r="L1155" s="4">
        <v>14.7</v>
      </c>
      <c r="M1155" s="7">
        <v>1.9099999999999999E-2</v>
      </c>
    </row>
    <row r="1156" spans="1:13" x14ac:dyDescent="0.2">
      <c r="A1156" s="6">
        <v>45629</v>
      </c>
      <c r="B1156" s="2" t="s">
        <v>226</v>
      </c>
      <c r="C1156" s="5">
        <v>45627</v>
      </c>
      <c r="D1156" s="2" t="s">
        <v>194</v>
      </c>
      <c r="E1156" s="3">
        <v>2907</v>
      </c>
      <c r="F1156" s="8">
        <v>3.9462999999999999</v>
      </c>
      <c r="G1156" s="4">
        <v>366.06150000000002</v>
      </c>
      <c r="H1156" s="4">
        <v>1155.6044999999999</v>
      </c>
      <c r="I1156" s="4">
        <v>14.7</v>
      </c>
      <c r="J1156" s="4">
        <v>14.89</v>
      </c>
      <c r="K1156" s="4">
        <v>14.234999999999999</v>
      </c>
      <c r="L1156" s="4">
        <v>14.3725</v>
      </c>
      <c r="M1156" s="7">
        <v>-2.23E-2</v>
      </c>
    </row>
    <row r="1157" spans="1:13" x14ac:dyDescent="0.2">
      <c r="A1157" s="6">
        <v>45630</v>
      </c>
      <c r="B1157" s="2" t="s">
        <v>224</v>
      </c>
      <c r="C1157" s="5">
        <v>45627</v>
      </c>
      <c r="D1157" s="2" t="s">
        <v>194</v>
      </c>
      <c r="E1157" s="3">
        <v>2894</v>
      </c>
      <c r="F1157" s="8">
        <v>4.0054999999999996</v>
      </c>
      <c r="G1157" s="4">
        <v>416.59109999999998</v>
      </c>
      <c r="H1157" s="4">
        <v>1193.6132</v>
      </c>
      <c r="I1157" s="4">
        <v>14.3725</v>
      </c>
      <c r="J1157" s="4">
        <v>14.797499999999999</v>
      </c>
      <c r="K1157" s="4">
        <v>14.11</v>
      </c>
      <c r="L1157" s="4">
        <v>14.45</v>
      </c>
      <c r="M1157" s="7">
        <v>5.4000000000000003E-3</v>
      </c>
    </row>
    <row r="1158" spans="1:13" x14ac:dyDescent="0.2">
      <c r="A1158" s="6">
        <v>45631</v>
      </c>
      <c r="B1158" s="2" t="s">
        <v>227</v>
      </c>
      <c r="C1158" s="5">
        <v>45627</v>
      </c>
      <c r="D1158" s="2" t="s">
        <v>194</v>
      </c>
      <c r="E1158" s="3">
        <v>2883</v>
      </c>
      <c r="F1158" s="8">
        <v>4.0476999999999999</v>
      </c>
      <c r="G1158" s="4">
        <v>426.62180000000001</v>
      </c>
      <c r="H1158" s="4">
        <v>1327.6085</v>
      </c>
      <c r="I1158" s="4">
        <v>14.45</v>
      </c>
      <c r="J1158" s="4">
        <v>15.705</v>
      </c>
      <c r="K1158" s="4">
        <v>14.055</v>
      </c>
      <c r="L1158" s="4">
        <v>14.5275</v>
      </c>
      <c r="M1158" s="7">
        <v>5.4000000000000003E-3</v>
      </c>
    </row>
    <row r="1159" spans="1:13" x14ac:dyDescent="0.2">
      <c r="A1159" s="6">
        <v>45632</v>
      </c>
      <c r="B1159" s="2" t="s">
        <v>225</v>
      </c>
      <c r="C1159" s="5">
        <v>45627</v>
      </c>
      <c r="D1159" s="2" t="s">
        <v>194</v>
      </c>
      <c r="E1159" s="3">
        <v>2910</v>
      </c>
      <c r="F1159" s="8">
        <v>3.6913</v>
      </c>
      <c r="G1159" s="4">
        <v>412.07010000000002</v>
      </c>
      <c r="H1159" s="4">
        <v>1087.7908</v>
      </c>
      <c r="I1159" s="4">
        <v>14.5275</v>
      </c>
      <c r="J1159" s="4">
        <v>15.022500000000001</v>
      </c>
      <c r="K1159" s="4">
        <v>14.045</v>
      </c>
      <c r="L1159" s="4">
        <v>14.14</v>
      </c>
      <c r="M1159" s="7">
        <v>-2.6700000000000002E-2</v>
      </c>
    </row>
    <row r="1160" spans="1:13" x14ac:dyDescent="0.2">
      <c r="A1160" s="6">
        <v>45635</v>
      </c>
      <c r="B1160" s="2" t="s">
        <v>228</v>
      </c>
      <c r="C1160" s="5">
        <v>45627</v>
      </c>
      <c r="D1160" s="2" t="s">
        <v>194</v>
      </c>
      <c r="E1160" s="3">
        <v>2944</v>
      </c>
      <c r="F1160" s="8">
        <v>3.7216999999999998</v>
      </c>
      <c r="G1160" s="4">
        <v>372.14600000000002</v>
      </c>
      <c r="H1160" s="4">
        <v>1066.7396000000001</v>
      </c>
      <c r="I1160" s="4">
        <v>14.14</v>
      </c>
      <c r="J1160" s="4">
        <v>14.635</v>
      </c>
      <c r="K1160" s="4">
        <v>13.45</v>
      </c>
      <c r="L1160" s="4">
        <v>14.1075</v>
      </c>
      <c r="M1160" s="7">
        <v>-2.3E-3</v>
      </c>
    </row>
    <row r="1161" spans="1:13" x14ac:dyDescent="0.2">
      <c r="A1161" s="6">
        <v>45636</v>
      </c>
      <c r="B1161" s="2" t="s">
        <v>226</v>
      </c>
      <c r="C1161" s="5">
        <v>45627</v>
      </c>
      <c r="D1161" s="2" t="s">
        <v>194</v>
      </c>
      <c r="E1161" s="3">
        <v>2901</v>
      </c>
      <c r="F1161" s="8">
        <v>3.7052</v>
      </c>
      <c r="G1161" s="4">
        <v>360.05650000000003</v>
      </c>
      <c r="H1161" s="4">
        <v>1087.6494</v>
      </c>
      <c r="I1161" s="4">
        <v>14.1075</v>
      </c>
      <c r="J1161" s="4">
        <v>14.672499999999999</v>
      </c>
      <c r="K1161" s="4">
        <v>13.6975</v>
      </c>
      <c r="L1161" s="4">
        <v>13.7775</v>
      </c>
      <c r="M1161" s="7">
        <v>-2.3400000000000001E-2</v>
      </c>
    </row>
    <row r="1162" spans="1:13" x14ac:dyDescent="0.2">
      <c r="A1162" s="6">
        <v>45637</v>
      </c>
      <c r="B1162" s="2" t="s">
        <v>224</v>
      </c>
      <c r="C1162" s="5">
        <v>45627</v>
      </c>
      <c r="D1162" s="2" t="s">
        <v>194</v>
      </c>
      <c r="E1162" s="3">
        <v>2894</v>
      </c>
      <c r="F1162" s="8">
        <v>3.4041999999999999</v>
      </c>
      <c r="G1162" s="4">
        <v>318.27319999999997</v>
      </c>
      <c r="H1162" s="4">
        <v>976.52670000000001</v>
      </c>
      <c r="I1162" s="4">
        <v>13.7775</v>
      </c>
      <c r="J1162" s="4">
        <v>14.11</v>
      </c>
      <c r="K1162" s="4">
        <v>13.175000000000001</v>
      </c>
      <c r="L1162" s="4">
        <v>13.2675</v>
      </c>
      <c r="M1162" s="7">
        <v>-3.6999999999999998E-2</v>
      </c>
    </row>
    <row r="1163" spans="1:13" x14ac:dyDescent="0.2">
      <c r="A1163" s="6">
        <v>45638</v>
      </c>
      <c r="B1163" s="2" t="s">
        <v>227</v>
      </c>
      <c r="C1163" s="5">
        <v>45627</v>
      </c>
      <c r="D1163" s="2" t="s">
        <v>194</v>
      </c>
      <c r="E1163" s="3">
        <v>2893</v>
      </c>
      <c r="F1163" s="8">
        <v>3.4485999999999999</v>
      </c>
      <c r="G1163" s="4">
        <v>313.54340000000002</v>
      </c>
      <c r="H1163" s="4">
        <v>1061.1297</v>
      </c>
      <c r="I1163" s="4">
        <v>13.2675</v>
      </c>
      <c r="J1163" s="4">
        <v>13.4</v>
      </c>
      <c r="K1163" s="4">
        <v>12.9475</v>
      </c>
      <c r="L1163" s="4">
        <v>13.19</v>
      </c>
      <c r="M1163" s="7">
        <v>-5.7999999999999996E-3</v>
      </c>
    </row>
    <row r="1164" spans="1:13" x14ac:dyDescent="0.2">
      <c r="A1164" s="6">
        <v>45639</v>
      </c>
      <c r="B1164" s="2" t="s">
        <v>225</v>
      </c>
      <c r="C1164" s="5">
        <v>45627</v>
      </c>
      <c r="D1164" s="2" t="s">
        <v>194</v>
      </c>
      <c r="E1164" s="3">
        <v>2877</v>
      </c>
      <c r="F1164" s="8">
        <v>3.5358999999999998</v>
      </c>
      <c r="G1164" s="4">
        <v>344.38380000000001</v>
      </c>
      <c r="H1164" s="4">
        <v>1008.3026</v>
      </c>
      <c r="I1164" s="4">
        <v>13.19</v>
      </c>
      <c r="J1164" s="4">
        <v>14.72</v>
      </c>
      <c r="K1164" s="4">
        <v>12.47</v>
      </c>
      <c r="L1164" s="4">
        <v>13.0525</v>
      </c>
      <c r="M1164" s="7">
        <v>-1.04E-2</v>
      </c>
    </row>
    <row r="1165" spans="1:13" x14ac:dyDescent="0.2">
      <c r="A1165" s="6">
        <v>45642</v>
      </c>
      <c r="B1165" s="2" t="s">
        <v>228</v>
      </c>
      <c r="C1165" s="5">
        <v>45627</v>
      </c>
      <c r="D1165" s="2" t="s">
        <v>194</v>
      </c>
      <c r="E1165" s="3">
        <v>2921</v>
      </c>
      <c r="F1165" s="8">
        <v>3.1623000000000001</v>
      </c>
      <c r="G1165" s="4">
        <v>280.47710000000001</v>
      </c>
      <c r="H1165" s="4">
        <v>891.9579</v>
      </c>
      <c r="I1165" s="4">
        <v>13.0525</v>
      </c>
      <c r="J1165" s="4">
        <v>14.505000000000001</v>
      </c>
      <c r="K1165" s="4">
        <v>13.0525</v>
      </c>
      <c r="L1165" s="4">
        <v>14.02</v>
      </c>
      <c r="M1165" s="7">
        <v>7.4099999999999999E-2</v>
      </c>
    </row>
    <row r="1166" spans="1:13" x14ac:dyDescent="0.2">
      <c r="A1166" s="6">
        <v>45643</v>
      </c>
      <c r="B1166" s="2" t="s">
        <v>226</v>
      </c>
      <c r="C1166" s="5">
        <v>45627</v>
      </c>
      <c r="D1166" s="2" t="s">
        <v>194</v>
      </c>
      <c r="E1166" s="3">
        <v>2899</v>
      </c>
      <c r="F1166" s="8">
        <v>3.5909</v>
      </c>
      <c r="G1166" s="4">
        <v>339.76560000000001</v>
      </c>
      <c r="H1166" s="4">
        <v>1080.6425999999999</v>
      </c>
      <c r="I1166" s="4">
        <v>14.02</v>
      </c>
      <c r="J1166" s="4">
        <v>14.975</v>
      </c>
      <c r="K1166" s="4">
        <v>13.18</v>
      </c>
      <c r="L1166" s="4">
        <v>14.484999999999999</v>
      </c>
      <c r="M1166" s="7">
        <v>3.32E-2</v>
      </c>
    </row>
    <row r="1167" spans="1:13" x14ac:dyDescent="0.2">
      <c r="A1167" s="6">
        <v>45644</v>
      </c>
      <c r="B1167" s="2" t="s">
        <v>224</v>
      </c>
      <c r="C1167" s="5">
        <v>45627</v>
      </c>
      <c r="D1167" s="2" t="s">
        <v>194</v>
      </c>
      <c r="E1167" s="3">
        <v>2897</v>
      </c>
      <c r="F1167" s="8">
        <v>3.6949000000000001</v>
      </c>
      <c r="G1167" s="4">
        <v>367.93509999999998</v>
      </c>
      <c r="H1167" s="4">
        <v>1043.8589999999999</v>
      </c>
      <c r="I1167" s="4">
        <v>14.484999999999999</v>
      </c>
      <c r="J1167" s="4">
        <v>15.2425</v>
      </c>
      <c r="K1167" s="4">
        <v>14.27</v>
      </c>
      <c r="L1167" s="4">
        <v>14.3725</v>
      </c>
      <c r="M1167" s="7">
        <v>-7.7999999999999996E-3</v>
      </c>
    </row>
    <row r="1168" spans="1:13" x14ac:dyDescent="0.2">
      <c r="A1168" s="6">
        <v>45645</v>
      </c>
      <c r="B1168" s="2" t="s">
        <v>227</v>
      </c>
      <c r="C1168" s="5">
        <v>45627</v>
      </c>
      <c r="D1168" s="2" t="s">
        <v>194</v>
      </c>
      <c r="E1168" s="3">
        <v>2891</v>
      </c>
      <c r="F1168" s="8">
        <v>3.5396000000000001</v>
      </c>
      <c r="G1168" s="4">
        <v>317.8</v>
      </c>
      <c r="H1168" s="4">
        <v>1030.5282999999999</v>
      </c>
      <c r="I1168" s="4">
        <v>14.3725</v>
      </c>
      <c r="J1168" s="4">
        <v>15.435</v>
      </c>
      <c r="K1168" s="4">
        <v>13.87</v>
      </c>
      <c r="L1168" s="4">
        <v>14.51</v>
      </c>
      <c r="M1168" s="7">
        <v>9.5999999999999992E-3</v>
      </c>
    </row>
    <row r="1169" spans="1:13" x14ac:dyDescent="0.2">
      <c r="A1169" s="6">
        <v>45646</v>
      </c>
      <c r="B1169" s="2" t="s">
        <v>225</v>
      </c>
      <c r="C1169" s="5">
        <v>45627</v>
      </c>
      <c r="D1169" s="2" t="s">
        <v>194</v>
      </c>
      <c r="E1169" s="3">
        <v>2896</v>
      </c>
      <c r="F1169" s="8">
        <v>4.0545999999999998</v>
      </c>
      <c r="G1169" s="4">
        <v>411.01119999999997</v>
      </c>
      <c r="H1169" s="4">
        <v>1417.7778000000001</v>
      </c>
      <c r="I1169" s="4">
        <v>14.51</v>
      </c>
      <c r="J1169" s="4">
        <v>15.5525</v>
      </c>
      <c r="K1169" s="4">
        <v>14.397500000000001</v>
      </c>
      <c r="L1169" s="4">
        <v>15.0725</v>
      </c>
      <c r="M1169" s="7">
        <v>3.8800000000000001E-2</v>
      </c>
    </row>
    <row r="1170" spans="1:13" x14ac:dyDescent="0.2">
      <c r="A1170" s="6">
        <v>45649</v>
      </c>
      <c r="B1170" s="2" t="s">
        <v>228</v>
      </c>
      <c r="C1170" s="5">
        <v>45627</v>
      </c>
      <c r="D1170" s="2" t="s">
        <v>194</v>
      </c>
      <c r="E1170" s="3">
        <v>2938</v>
      </c>
      <c r="F1170" s="8">
        <v>3.3506999999999998</v>
      </c>
      <c r="G1170" s="4">
        <v>272.72840000000002</v>
      </c>
      <c r="H1170" s="4">
        <v>829.21600000000001</v>
      </c>
      <c r="I1170" s="4">
        <v>15.0725</v>
      </c>
      <c r="J1170" s="4">
        <v>16.8825</v>
      </c>
      <c r="K1170" s="4">
        <v>13.4175</v>
      </c>
      <c r="L1170" s="4">
        <v>13.52</v>
      </c>
      <c r="M1170" s="7">
        <v>-0.10299999999999999</v>
      </c>
    </row>
    <row r="1171" spans="1:13" x14ac:dyDescent="0.2">
      <c r="A1171" s="6">
        <v>45650</v>
      </c>
      <c r="B1171" s="2" t="s">
        <v>226</v>
      </c>
      <c r="C1171" s="5">
        <v>45627</v>
      </c>
      <c r="D1171" s="2" t="s">
        <v>194</v>
      </c>
      <c r="E1171" s="3">
        <v>2897</v>
      </c>
      <c r="F1171" s="8">
        <v>2.8279999999999998</v>
      </c>
      <c r="G1171" s="4">
        <v>238.68770000000001</v>
      </c>
      <c r="H1171" s="4">
        <v>764.3614</v>
      </c>
      <c r="I1171" s="4">
        <v>13.52</v>
      </c>
      <c r="J1171" s="4">
        <v>15.03</v>
      </c>
      <c r="K1171" s="4">
        <v>12.975</v>
      </c>
      <c r="L1171" s="4">
        <v>13.1775</v>
      </c>
      <c r="M1171" s="7">
        <v>-2.53E-2</v>
      </c>
    </row>
    <row r="1172" spans="1:13" x14ac:dyDescent="0.2">
      <c r="A1172" s="6">
        <v>45652</v>
      </c>
      <c r="B1172" s="2" t="s">
        <v>227</v>
      </c>
      <c r="C1172" s="5">
        <v>45627</v>
      </c>
      <c r="D1172" s="2" t="s">
        <v>194</v>
      </c>
      <c r="E1172" s="3">
        <v>2921</v>
      </c>
      <c r="F1172" s="8">
        <v>2.996</v>
      </c>
      <c r="G1172" s="4">
        <v>263.9563</v>
      </c>
      <c r="H1172" s="4">
        <v>820.61360000000002</v>
      </c>
      <c r="I1172" s="4">
        <v>13.1775</v>
      </c>
      <c r="J1172" s="4">
        <v>14.387499999999999</v>
      </c>
      <c r="K1172" s="4">
        <v>13.0825</v>
      </c>
      <c r="L1172" s="4">
        <v>14.035</v>
      </c>
      <c r="M1172" s="7">
        <v>6.5100000000000005E-2</v>
      </c>
    </row>
    <row r="1173" spans="1:13" x14ac:dyDescent="0.2">
      <c r="A1173" s="6">
        <v>45653</v>
      </c>
      <c r="B1173" s="2" t="s">
        <v>225</v>
      </c>
      <c r="C1173" s="5">
        <v>45627</v>
      </c>
      <c r="D1173" s="2" t="s">
        <v>194</v>
      </c>
      <c r="E1173" s="3">
        <v>2911</v>
      </c>
      <c r="F1173" s="8">
        <v>2.9540000000000002</v>
      </c>
      <c r="G1173" s="4">
        <v>241.0712</v>
      </c>
      <c r="H1173" s="4">
        <v>791.077</v>
      </c>
      <c r="I1173" s="4">
        <v>14.035</v>
      </c>
      <c r="J1173" s="4">
        <v>14.237500000000001</v>
      </c>
      <c r="K1173" s="4">
        <v>13.035</v>
      </c>
      <c r="L1173" s="4">
        <v>13.237500000000001</v>
      </c>
      <c r="M1173" s="7">
        <v>-5.6800000000000003E-2</v>
      </c>
    </row>
    <row r="1174" spans="1:13" x14ac:dyDescent="0.2">
      <c r="A1174" s="6">
        <v>45656</v>
      </c>
      <c r="B1174" s="2" t="s">
        <v>228</v>
      </c>
      <c r="C1174" s="5">
        <v>45627</v>
      </c>
      <c r="D1174" s="2" t="s">
        <v>194</v>
      </c>
      <c r="E1174" s="3">
        <v>2956</v>
      </c>
      <c r="F1174" s="8">
        <v>4.2332999999999998</v>
      </c>
      <c r="G1174" s="4">
        <v>425.38580000000002</v>
      </c>
      <c r="H1174" s="4">
        <v>1400.1726000000001</v>
      </c>
      <c r="I1174" s="4">
        <v>13.237500000000001</v>
      </c>
      <c r="J1174" s="4">
        <v>14.37</v>
      </c>
      <c r="K1174" s="4">
        <v>13.237500000000001</v>
      </c>
      <c r="L1174" s="4">
        <v>13.9725</v>
      </c>
      <c r="M1174" s="7">
        <v>5.5500000000000001E-2</v>
      </c>
    </row>
    <row r="1175" spans="1:13" x14ac:dyDescent="0.2">
      <c r="A1175" s="6">
        <v>45657</v>
      </c>
      <c r="B1175" s="2" t="s">
        <v>226</v>
      </c>
      <c r="C1175" s="5">
        <v>45627</v>
      </c>
      <c r="D1175" s="2" t="s">
        <v>194</v>
      </c>
      <c r="E1175" s="3">
        <v>2916</v>
      </c>
      <c r="F1175" s="8">
        <v>3.3441000000000001</v>
      </c>
      <c r="G1175" s="4">
        <v>315.52600000000001</v>
      </c>
      <c r="H1175" s="4">
        <v>832.52779999999996</v>
      </c>
      <c r="I1175" s="4">
        <v>13.9725</v>
      </c>
      <c r="J1175" s="4">
        <v>14.637499999999999</v>
      </c>
      <c r="K1175" s="4">
        <v>13.9725</v>
      </c>
      <c r="L1175" s="4">
        <v>14.4475</v>
      </c>
      <c r="M1175" s="7">
        <v>3.4000000000000002E-2</v>
      </c>
    </row>
    <row r="1176" spans="1:13" x14ac:dyDescent="0.2">
      <c r="A1176" s="6">
        <v>45658</v>
      </c>
      <c r="B1176" s="2" t="s">
        <v>224</v>
      </c>
      <c r="C1176" s="5">
        <v>45658</v>
      </c>
      <c r="D1176" s="2" t="s">
        <v>195</v>
      </c>
      <c r="E1176" s="3">
        <v>2911</v>
      </c>
      <c r="F1176" s="8">
        <v>2.7696000000000001</v>
      </c>
      <c r="G1176" s="4">
        <v>247.80439999999999</v>
      </c>
      <c r="H1176" s="4">
        <v>665.07280000000003</v>
      </c>
      <c r="I1176" s="4">
        <v>14.4475</v>
      </c>
      <c r="J1176" s="4">
        <v>14.835000000000001</v>
      </c>
      <c r="K1176" s="4">
        <v>14.305</v>
      </c>
      <c r="L1176" s="4">
        <v>14.5075</v>
      </c>
      <c r="M1176" s="7">
        <v>4.1999999999999997E-3</v>
      </c>
    </row>
    <row r="1177" spans="1:13" x14ac:dyDescent="0.2">
      <c r="A1177" s="6">
        <v>45659</v>
      </c>
      <c r="B1177" s="2" t="s">
        <v>227</v>
      </c>
      <c r="C1177" s="5">
        <v>45658</v>
      </c>
      <c r="D1177" s="2" t="s">
        <v>195</v>
      </c>
      <c r="E1177" s="3">
        <v>2930</v>
      </c>
      <c r="F1177" s="8">
        <v>3.4632000000000001</v>
      </c>
      <c r="G1177" s="4">
        <v>315.38099999999997</v>
      </c>
      <c r="H1177" s="4">
        <v>994.1585</v>
      </c>
      <c r="I1177" s="4">
        <v>14.5075</v>
      </c>
      <c r="J1177" s="4">
        <v>14.8025</v>
      </c>
      <c r="K1177" s="4">
        <v>13.63</v>
      </c>
      <c r="L1177" s="4">
        <v>13.737500000000001</v>
      </c>
      <c r="M1177" s="7">
        <v>-5.3100000000000001E-2</v>
      </c>
    </row>
    <row r="1178" spans="1:13" x14ac:dyDescent="0.2">
      <c r="A1178" s="6">
        <v>45660</v>
      </c>
      <c r="B1178" s="2" t="s">
        <v>225</v>
      </c>
      <c r="C1178" s="5">
        <v>45658</v>
      </c>
      <c r="D1178" s="2" t="s">
        <v>195</v>
      </c>
      <c r="E1178" s="3">
        <v>2922</v>
      </c>
      <c r="F1178" s="8">
        <v>3.5701999999999998</v>
      </c>
      <c r="G1178" s="4">
        <v>360.53489999999999</v>
      </c>
      <c r="H1178" s="4">
        <v>1060.9357</v>
      </c>
      <c r="I1178" s="4">
        <v>13.737500000000001</v>
      </c>
      <c r="J1178" s="4">
        <v>13.977499999999999</v>
      </c>
      <c r="K1178" s="4">
        <v>13.225</v>
      </c>
      <c r="L1178" s="4">
        <v>13.54</v>
      </c>
      <c r="M1178" s="7">
        <v>-1.44E-2</v>
      </c>
    </row>
    <row r="1179" spans="1:13" x14ac:dyDescent="0.2">
      <c r="A1179" s="6">
        <v>45663</v>
      </c>
      <c r="B1179" s="2" t="s">
        <v>228</v>
      </c>
      <c r="C1179" s="5">
        <v>45658</v>
      </c>
      <c r="D1179" s="2" t="s">
        <v>195</v>
      </c>
      <c r="E1179" s="3">
        <v>2976</v>
      </c>
      <c r="F1179" s="8">
        <v>4.5292000000000003</v>
      </c>
      <c r="G1179" s="4">
        <v>400.7747</v>
      </c>
      <c r="H1179" s="4">
        <v>1052.413</v>
      </c>
      <c r="I1179" s="4">
        <v>13.54</v>
      </c>
      <c r="J1179" s="4">
        <v>15.92</v>
      </c>
      <c r="K1179" s="4">
        <v>13.54</v>
      </c>
      <c r="L1179" s="4">
        <v>15.65</v>
      </c>
      <c r="M1179" s="7">
        <v>0.15579999999999999</v>
      </c>
    </row>
    <row r="1180" spans="1:13" x14ac:dyDescent="0.2">
      <c r="A1180" s="6">
        <v>45664</v>
      </c>
      <c r="B1180" s="2" t="s">
        <v>226</v>
      </c>
      <c r="C1180" s="5">
        <v>45658</v>
      </c>
      <c r="D1180" s="2" t="s">
        <v>195</v>
      </c>
      <c r="E1180" s="3">
        <v>2918</v>
      </c>
      <c r="F1180" s="8">
        <v>3.62</v>
      </c>
      <c r="G1180" s="4">
        <v>314.18770000000001</v>
      </c>
      <c r="H1180" s="4">
        <v>943.00109999999995</v>
      </c>
      <c r="I1180" s="4">
        <v>15.65</v>
      </c>
      <c r="J1180" s="4">
        <v>15.65</v>
      </c>
      <c r="K1180" s="4">
        <v>14.345000000000001</v>
      </c>
      <c r="L1180" s="4">
        <v>14.66</v>
      </c>
      <c r="M1180" s="7">
        <v>-6.3299999999999995E-2</v>
      </c>
    </row>
    <row r="1181" spans="1:13" x14ac:dyDescent="0.2">
      <c r="A1181" s="6">
        <v>45665</v>
      </c>
      <c r="B1181" s="2" t="s">
        <v>224</v>
      </c>
      <c r="C1181" s="5">
        <v>45658</v>
      </c>
      <c r="D1181" s="2" t="s">
        <v>195</v>
      </c>
      <c r="E1181" s="3">
        <v>2941</v>
      </c>
      <c r="F1181" s="8">
        <v>3.7690000000000001</v>
      </c>
      <c r="G1181" s="4">
        <v>312.84190000000001</v>
      </c>
      <c r="H1181" s="4">
        <v>953.69449999999995</v>
      </c>
      <c r="I1181" s="4">
        <v>14.66</v>
      </c>
      <c r="J1181" s="4">
        <v>14.88</v>
      </c>
      <c r="K1181" s="4">
        <v>14.095000000000001</v>
      </c>
      <c r="L1181" s="4">
        <v>14.465</v>
      </c>
      <c r="M1181" s="7">
        <v>-1.3299999999999999E-2</v>
      </c>
    </row>
    <row r="1182" spans="1:13" x14ac:dyDescent="0.2">
      <c r="A1182" s="6">
        <v>45666</v>
      </c>
      <c r="B1182" s="2" t="s">
        <v>227</v>
      </c>
      <c r="C1182" s="5">
        <v>45658</v>
      </c>
      <c r="D1182" s="2" t="s">
        <v>195</v>
      </c>
      <c r="E1182" s="3">
        <v>2917</v>
      </c>
      <c r="F1182" s="8">
        <v>3.4777</v>
      </c>
      <c r="G1182" s="4">
        <v>272.77159999999998</v>
      </c>
      <c r="H1182" s="4">
        <v>892.07159999999999</v>
      </c>
      <c r="I1182" s="4">
        <v>14.465</v>
      </c>
      <c r="J1182" s="4">
        <v>14.885</v>
      </c>
      <c r="K1182" s="4">
        <v>13.7475</v>
      </c>
      <c r="L1182" s="4">
        <v>14.657500000000001</v>
      </c>
      <c r="M1182" s="7">
        <v>1.3299999999999999E-2</v>
      </c>
    </row>
    <row r="1183" spans="1:13" x14ac:dyDescent="0.2">
      <c r="A1183" s="6">
        <v>45667</v>
      </c>
      <c r="B1183" s="2" t="s">
        <v>225</v>
      </c>
      <c r="C1183" s="5">
        <v>45658</v>
      </c>
      <c r="D1183" s="2" t="s">
        <v>195</v>
      </c>
      <c r="E1183" s="3">
        <v>2932</v>
      </c>
      <c r="F1183" s="8">
        <v>4.0739000000000001</v>
      </c>
      <c r="G1183" s="4">
        <v>312.5616</v>
      </c>
      <c r="H1183" s="4">
        <v>933.83550000000002</v>
      </c>
      <c r="I1183" s="4">
        <v>14.657500000000001</v>
      </c>
      <c r="J1183" s="4">
        <v>15.515000000000001</v>
      </c>
      <c r="K1183" s="4">
        <v>14.657500000000001</v>
      </c>
      <c r="L1183" s="4">
        <v>14.914999999999999</v>
      </c>
      <c r="M1183" s="7">
        <v>1.7600000000000001E-2</v>
      </c>
    </row>
    <row r="1184" spans="1:13" x14ac:dyDescent="0.2">
      <c r="A1184" s="6">
        <v>45670</v>
      </c>
      <c r="B1184" s="2" t="s">
        <v>228</v>
      </c>
      <c r="C1184" s="5">
        <v>45658</v>
      </c>
      <c r="D1184" s="2" t="s">
        <v>195</v>
      </c>
      <c r="E1184" s="3">
        <v>2963</v>
      </c>
      <c r="F1184" s="8">
        <v>4.7972999999999999</v>
      </c>
      <c r="G1184" s="4">
        <v>402.07650000000001</v>
      </c>
      <c r="H1184" s="4">
        <v>1050.2775999999999</v>
      </c>
      <c r="I1184" s="4">
        <v>14.914999999999999</v>
      </c>
      <c r="J1184" s="4">
        <v>16.184999999999999</v>
      </c>
      <c r="K1184" s="4">
        <v>14.45</v>
      </c>
      <c r="L1184" s="4">
        <v>15.9975</v>
      </c>
      <c r="M1184" s="7">
        <v>7.2599999999999998E-2</v>
      </c>
    </row>
    <row r="1185" spans="1:13" x14ac:dyDescent="0.2">
      <c r="A1185" s="6">
        <v>45671</v>
      </c>
      <c r="B1185" s="2" t="s">
        <v>226</v>
      </c>
      <c r="C1185" s="5">
        <v>45658</v>
      </c>
      <c r="D1185" s="2" t="s">
        <v>195</v>
      </c>
      <c r="E1185" s="3">
        <v>2901</v>
      </c>
      <c r="F1185" s="8">
        <v>4.0913000000000004</v>
      </c>
      <c r="G1185" s="4">
        <v>362.61540000000002</v>
      </c>
      <c r="H1185" s="4">
        <v>1032.1470999999999</v>
      </c>
      <c r="I1185" s="4">
        <v>15.9975</v>
      </c>
      <c r="J1185" s="4">
        <v>15.9975</v>
      </c>
      <c r="K1185" s="4">
        <v>15.115</v>
      </c>
      <c r="L1185" s="4">
        <v>15.47</v>
      </c>
      <c r="M1185" s="7">
        <v>-3.3000000000000002E-2</v>
      </c>
    </row>
    <row r="1186" spans="1:13" x14ac:dyDescent="0.2">
      <c r="A1186" s="6">
        <v>45672</v>
      </c>
      <c r="B1186" s="2" t="s">
        <v>224</v>
      </c>
      <c r="C1186" s="5">
        <v>45658</v>
      </c>
      <c r="D1186" s="2" t="s">
        <v>195</v>
      </c>
      <c r="E1186" s="3">
        <v>2915</v>
      </c>
      <c r="F1186" s="8">
        <v>3.6941000000000002</v>
      </c>
      <c r="G1186" s="4">
        <v>407.81970000000001</v>
      </c>
      <c r="H1186" s="4">
        <v>924.52919999999995</v>
      </c>
      <c r="I1186" s="4">
        <v>15.47</v>
      </c>
      <c r="J1186" s="4">
        <v>15.6625</v>
      </c>
      <c r="K1186" s="4">
        <v>15.1975</v>
      </c>
      <c r="L1186" s="4">
        <v>15.2575</v>
      </c>
      <c r="M1186" s="7">
        <v>-1.37E-2</v>
      </c>
    </row>
    <row r="1187" spans="1:13" x14ac:dyDescent="0.2">
      <c r="A1187" s="6">
        <v>45673</v>
      </c>
      <c r="B1187" s="2" t="s">
        <v>227</v>
      </c>
      <c r="C1187" s="5">
        <v>45658</v>
      </c>
      <c r="D1187" s="2" t="s">
        <v>195</v>
      </c>
      <c r="E1187" s="3">
        <v>2878</v>
      </c>
      <c r="F1187" s="8">
        <v>3.5316999999999998</v>
      </c>
      <c r="G1187" s="4">
        <v>317.96600000000001</v>
      </c>
      <c r="H1187" s="4">
        <v>956.70540000000005</v>
      </c>
      <c r="I1187" s="4">
        <v>15.2575</v>
      </c>
      <c r="J1187" s="4">
        <v>15.5725</v>
      </c>
      <c r="K1187" s="4">
        <v>13.9575</v>
      </c>
      <c r="L1187" s="4">
        <v>15.465</v>
      </c>
      <c r="M1187" s="7">
        <v>1.3599999999999999E-2</v>
      </c>
    </row>
    <row r="1188" spans="1:13" x14ac:dyDescent="0.2">
      <c r="A1188" s="6">
        <v>45674</v>
      </c>
      <c r="B1188" s="2" t="s">
        <v>225</v>
      </c>
      <c r="C1188" s="5">
        <v>45658</v>
      </c>
      <c r="D1188" s="2" t="s">
        <v>195</v>
      </c>
      <c r="E1188" s="3">
        <v>2921</v>
      </c>
      <c r="F1188" s="8">
        <v>3.2347000000000001</v>
      </c>
      <c r="G1188" s="4">
        <v>300.84789999999998</v>
      </c>
      <c r="H1188" s="4">
        <v>863.31320000000005</v>
      </c>
      <c r="I1188" s="4">
        <v>15.465</v>
      </c>
      <c r="J1188" s="4">
        <v>16.3825</v>
      </c>
      <c r="K1188" s="4">
        <v>14.0525</v>
      </c>
      <c r="L1188" s="4">
        <v>15.7475</v>
      </c>
      <c r="M1188" s="7">
        <v>1.83E-2</v>
      </c>
    </row>
    <row r="1189" spans="1:13" x14ac:dyDescent="0.2">
      <c r="A1189" s="6">
        <v>45677</v>
      </c>
      <c r="B1189" s="2" t="s">
        <v>228</v>
      </c>
      <c r="C1189" s="5">
        <v>45658</v>
      </c>
      <c r="D1189" s="2" t="s">
        <v>195</v>
      </c>
      <c r="E1189" s="3">
        <v>2967</v>
      </c>
      <c r="F1189" s="8">
        <v>3.3555999999999999</v>
      </c>
      <c r="G1189" s="4">
        <v>457.54579999999999</v>
      </c>
      <c r="H1189" s="4">
        <v>914.54570000000001</v>
      </c>
      <c r="I1189" s="4">
        <v>15.7475</v>
      </c>
      <c r="J1189" s="4">
        <v>17.02</v>
      </c>
      <c r="K1189" s="4">
        <v>15.182499999999999</v>
      </c>
      <c r="L1189" s="4">
        <v>16.414999999999999</v>
      </c>
      <c r="M1189" s="7">
        <v>4.24E-2</v>
      </c>
    </row>
    <row r="1190" spans="1:13" x14ac:dyDescent="0.2">
      <c r="A1190" s="6">
        <v>45678</v>
      </c>
      <c r="B1190" s="2" t="s">
        <v>226</v>
      </c>
      <c r="C1190" s="5">
        <v>45658</v>
      </c>
      <c r="D1190" s="2" t="s">
        <v>195</v>
      </c>
      <c r="E1190" s="3">
        <v>2903</v>
      </c>
      <c r="F1190" s="8">
        <v>3.6998000000000002</v>
      </c>
      <c r="G1190" s="4">
        <v>342.61059999999998</v>
      </c>
      <c r="H1190" s="4">
        <v>995.02089999999998</v>
      </c>
      <c r="I1190" s="4">
        <v>16.414999999999999</v>
      </c>
      <c r="J1190" s="4">
        <v>17.445</v>
      </c>
      <c r="K1190" s="4">
        <v>15.202500000000001</v>
      </c>
      <c r="L1190" s="4">
        <v>17.055</v>
      </c>
      <c r="M1190" s="7">
        <v>3.9E-2</v>
      </c>
    </row>
    <row r="1191" spans="1:13" x14ac:dyDescent="0.2">
      <c r="A1191" s="6">
        <v>45679</v>
      </c>
      <c r="B1191" s="2" t="s">
        <v>224</v>
      </c>
      <c r="C1191" s="5">
        <v>45658</v>
      </c>
      <c r="D1191" s="2" t="s">
        <v>195</v>
      </c>
      <c r="E1191" s="3">
        <v>2916</v>
      </c>
      <c r="F1191" s="8">
        <v>3.9864999999999999</v>
      </c>
      <c r="G1191" s="4">
        <v>309.8107</v>
      </c>
      <c r="H1191" s="4">
        <v>966.43550000000005</v>
      </c>
      <c r="I1191" s="4">
        <v>17.055</v>
      </c>
      <c r="J1191" s="4">
        <v>17.295000000000002</v>
      </c>
      <c r="K1191" s="4">
        <v>15.904999999999999</v>
      </c>
      <c r="L1191" s="4">
        <v>16.772500000000001</v>
      </c>
      <c r="M1191" s="7">
        <v>-1.66E-2</v>
      </c>
    </row>
    <row r="1192" spans="1:13" x14ac:dyDescent="0.2">
      <c r="A1192" s="6">
        <v>45680</v>
      </c>
      <c r="B1192" s="2" t="s">
        <v>227</v>
      </c>
      <c r="C1192" s="5">
        <v>45658</v>
      </c>
      <c r="D1192" s="2" t="s">
        <v>195</v>
      </c>
      <c r="E1192" s="3">
        <v>2938</v>
      </c>
      <c r="F1192" s="8">
        <v>3.4335</v>
      </c>
      <c r="G1192" s="4">
        <v>270.66410000000002</v>
      </c>
      <c r="H1192" s="4">
        <v>949.27459999999996</v>
      </c>
      <c r="I1192" s="4">
        <v>16.772500000000001</v>
      </c>
      <c r="J1192" s="4">
        <v>17.0825</v>
      </c>
      <c r="K1192" s="4">
        <v>15.6675</v>
      </c>
      <c r="L1192" s="4">
        <v>16.695</v>
      </c>
      <c r="M1192" s="7">
        <v>-4.5999999999999999E-3</v>
      </c>
    </row>
    <row r="1193" spans="1:13" x14ac:dyDescent="0.2">
      <c r="A1193" s="6">
        <v>45681</v>
      </c>
      <c r="B1193" s="2" t="s">
        <v>225</v>
      </c>
      <c r="C1193" s="5">
        <v>45658</v>
      </c>
      <c r="D1193" s="2" t="s">
        <v>195</v>
      </c>
      <c r="E1193" s="3">
        <v>2917</v>
      </c>
      <c r="F1193" s="8">
        <v>3.4691000000000001</v>
      </c>
      <c r="G1193" s="4">
        <v>251.5403</v>
      </c>
      <c r="H1193" s="4">
        <v>875.30930000000001</v>
      </c>
      <c r="I1193" s="4">
        <v>16.695</v>
      </c>
      <c r="J1193" s="4">
        <v>17.309999999999999</v>
      </c>
      <c r="K1193" s="4">
        <v>16.1175</v>
      </c>
      <c r="L1193" s="4">
        <v>16.745000000000001</v>
      </c>
      <c r="M1193" s="7">
        <v>3.0000000000000001E-3</v>
      </c>
    </row>
    <row r="1194" spans="1:13" x14ac:dyDescent="0.2">
      <c r="A1194" s="6">
        <v>45684</v>
      </c>
      <c r="B1194" s="2" t="s">
        <v>228</v>
      </c>
      <c r="C1194" s="5">
        <v>45658</v>
      </c>
      <c r="D1194" s="2" t="s">
        <v>195</v>
      </c>
      <c r="E1194" s="3">
        <v>2981</v>
      </c>
      <c r="F1194" s="8">
        <v>4.4307999999999996</v>
      </c>
      <c r="G1194" s="4">
        <v>340.16660000000002</v>
      </c>
      <c r="H1194" s="4">
        <v>951.50829999999996</v>
      </c>
      <c r="I1194" s="4">
        <v>16.745000000000001</v>
      </c>
      <c r="J1194" s="4">
        <v>18.522500000000001</v>
      </c>
      <c r="K1194" s="4">
        <v>16.745000000000001</v>
      </c>
      <c r="L1194" s="4">
        <v>18.1325</v>
      </c>
      <c r="M1194" s="7">
        <v>8.2900000000000001E-2</v>
      </c>
    </row>
    <row r="1195" spans="1:13" x14ac:dyDescent="0.2">
      <c r="A1195" s="6">
        <v>45685</v>
      </c>
      <c r="B1195" s="2" t="s">
        <v>226</v>
      </c>
      <c r="C1195" s="5">
        <v>45658</v>
      </c>
      <c r="D1195" s="2" t="s">
        <v>195</v>
      </c>
      <c r="E1195" s="3">
        <v>2960</v>
      </c>
      <c r="F1195" s="8">
        <v>4.9516999999999998</v>
      </c>
      <c r="G1195" s="4">
        <v>376.69940000000003</v>
      </c>
      <c r="H1195" s="4">
        <v>1155.0317</v>
      </c>
      <c r="I1195" s="4">
        <v>18.1325</v>
      </c>
      <c r="J1195" s="4">
        <v>18.502500000000001</v>
      </c>
      <c r="K1195" s="4">
        <v>16.827500000000001</v>
      </c>
      <c r="L1195" s="4">
        <v>18.195</v>
      </c>
      <c r="M1195" s="7">
        <v>3.3999999999999998E-3</v>
      </c>
    </row>
    <row r="1196" spans="1:13" x14ac:dyDescent="0.2">
      <c r="A1196" s="6">
        <v>45686</v>
      </c>
      <c r="B1196" s="2" t="s">
        <v>224</v>
      </c>
      <c r="C1196" s="5">
        <v>45658</v>
      </c>
      <c r="D1196" s="2" t="s">
        <v>195</v>
      </c>
      <c r="E1196" s="3">
        <v>2927</v>
      </c>
      <c r="F1196" s="8">
        <v>3.7974000000000001</v>
      </c>
      <c r="G1196" s="4">
        <v>287.37169999999998</v>
      </c>
      <c r="H1196" s="4">
        <v>914.70929999999998</v>
      </c>
      <c r="I1196" s="4">
        <v>18.195</v>
      </c>
      <c r="J1196" s="4">
        <v>19.010000000000002</v>
      </c>
      <c r="K1196" s="4">
        <v>17.287500000000001</v>
      </c>
      <c r="L1196" s="4">
        <v>18.64</v>
      </c>
      <c r="M1196" s="7">
        <v>2.4500000000000001E-2</v>
      </c>
    </row>
    <row r="1197" spans="1:13" x14ac:dyDescent="0.2">
      <c r="A1197" s="6">
        <v>45687</v>
      </c>
      <c r="B1197" s="2" t="s">
        <v>227</v>
      </c>
      <c r="C1197" s="5">
        <v>45658</v>
      </c>
      <c r="D1197" s="2" t="s">
        <v>195</v>
      </c>
      <c r="E1197" s="3">
        <v>2921</v>
      </c>
      <c r="F1197" s="8">
        <v>3.8967000000000001</v>
      </c>
      <c r="G1197" s="4">
        <v>286.50400000000002</v>
      </c>
      <c r="H1197" s="4">
        <v>1035.6126999999999</v>
      </c>
      <c r="I1197" s="4">
        <v>18.64</v>
      </c>
      <c r="J1197" s="4">
        <v>18.984999999999999</v>
      </c>
      <c r="K1197" s="4">
        <v>17.217500000000001</v>
      </c>
      <c r="L1197" s="4">
        <v>17.39</v>
      </c>
      <c r="M1197" s="7">
        <v>-6.7100000000000007E-2</v>
      </c>
    </row>
    <row r="1198" spans="1:13" x14ac:dyDescent="0.2">
      <c r="A1198" s="6">
        <v>45688</v>
      </c>
      <c r="B1198" s="2" t="s">
        <v>225</v>
      </c>
      <c r="C1198" s="5">
        <v>45658</v>
      </c>
      <c r="D1198" s="2" t="s">
        <v>195</v>
      </c>
      <c r="E1198" s="3">
        <v>2931</v>
      </c>
      <c r="F1198" s="8">
        <v>3.8302999999999998</v>
      </c>
      <c r="G1198" s="4">
        <v>329.2165</v>
      </c>
      <c r="H1198" s="4">
        <v>1038.9063000000001</v>
      </c>
      <c r="I1198" s="4">
        <v>17.39</v>
      </c>
      <c r="J1198" s="4">
        <v>17.942499999999999</v>
      </c>
      <c r="K1198" s="4">
        <v>16.107500000000002</v>
      </c>
      <c r="L1198" s="4">
        <v>16.247499999999999</v>
      </c>
      <c r="M1198" s="7">
        <v>-6.5699999999999995E-2</v>
      </c>
    </row>
    <row r="1199" spans="1:13" x14ac:dyDescent="0.2">
      <c r="A1199" s="6">
        <v>45689</v>
      </c>
      <c r="B1199" s="2" t="s">
        <v>229</v>
      </c>
      <c r="C1199" s="5">
        <v>45689</v>
      </c>
      <c r="D1199" s="2" t="s">
        <v>195</v>
      </c>
      <c r="E1199" s="3">
        <v>2866</v>
      </c>
      <c r="F1199" s="8">
        <v>3.8024</v>
      </c>
      <c r="G1199" s="4">
        <v>397.14920000000001</v>
      </c>
      <c r="H1199" s="4">
        <v>1017.8964</v>
      </c>
      <c r="I1199" s="4">
        <v>16.247499999999999</v>
      </c>
      <c r="J1199" s="4">
        <v>16.579999999999998</v>
      </c>
      <c r="K1199" s="4">
        <v>14.012499999999999</v>
      </c>
      <c r="L1199" s="4">
        <v>14.095000000000001</v>
      </c>
      <c r="M1199" s="7">
        <v>-0.13250000000000001</v>
      </c>
    </row>
    <row r="1200" spans="1:13" x14ac:dyDescent="0.2">
      <c r="A1200" s="6">
        <v>45691</v>
      </c>
      <c r="B1200" s="2" t="s">
        <v>228</v>
      </c>
      <c r="C1200" s="5">
        <v>45689</v>
      </c>
      <c r="D1200" s="2" t="s">
        <v>195</v>
      </c>
      <c r="E1200" s="3">
        <v>2946</v>
      </c>
      <c r="F1200" s="8">
        <v>4.3737000000000004</v>
      </c>
      <c r="G1200" s="4">
        <v>314.97129999999999</v>
      </c>
      <c r="H1200" s="4">
        <v>1048.8607999999999</v>
      </c>
      <c r="I1200" s="4">
        <v>14.095000000000001</v>
      </c>
      <c r="J1200" s="4">
        <v>15.112500000000001</v>
      </c>
      <c r="K1200" s="4">
        <v>14.095000000000001</v>
      </c>
      <c r="L1200" s="4">
        <v>14.352499999999999</v>
      </c>
      <c r="M1200" s="7">
        <v>1.83E-2</v>
      </c>
    </row>
    <row r="1201" spans="1:13" x14ac:dyDescent="0.2">
      <c r="A1201" s="6">
        <v>45692</v>
      </c>
      <c r="B1201" s="2" t="s">
        <v>226</v>
      </c>
      <c r="C1201" s="5">
        <v>45689</v>
      </c>
      <c r="D1201" s="2" t="s">
        <v>195</v>
      </c>
      <c r="E1201" s="3">
        <v>2914</v>
      </c>
      <c r="F1201" s="8">
        <v>3.8986000000000001</v>
      </c>
      <c r="G1201" s="4">
        <v>312.71800000000002</v>
      </c>
      <c r="H1201" s="4">
        <v>1041.9860000000001</v>
      </c>
      <c r="I1201" s="4">
        <v>14.352499999999999</v>
      </c>
      <c r="J1201" s="4">
        <v>15.1325</v>
      </c>
      <c r="K1201" s="4">
        <v>13.664999999999999</v>
      </c>
      <c r="L1201" s="4">
        <v>14.0175</v>
      </c>
      <c r="M1201" s="7">
        <v>-2.3300000000000001E-2</v>
      </c>
    </row>
    <row r="1202" spans="1:13" x14ac:dyDescent="0.2">
      <c r="A1202" s="6">
        <v>45693</v>
      </c>
      <c r="B1202" s="2" t="s">
        <v>224</v>
      </c>
      <c r="C1202" s="5">
        <v>45689</v>
      </c>
      <c r="D1202" s="2" t="s">
        <v>195</v>
      </c>
      <c r="E1202" s="3">
        <v>2932</v>
      </c>
      <c r="F1202" s="8">
        <v>3.6962999999999999</v>
      </c>
      <c r="G1202" s="4">
        <v>299.11840000000001</v>
      </c>
      <c r="H1202" s="4">
        <v>945.11590000000001</v>
      </c>
      <c r="I1202" s="4">
        <v>14.0175</v>
      </c>
      <c r="J1202" s="4">
        <v>14.297499999999999</v>
      </c>
      <c r="K1202" s="4">
        <v>13.4975</v>
      </c>
      <c r="L1202" s="4">
        <v>14.0825</v>
      </c>
      <c r="M1202" s="7">
        <v>4.5999999999999999E-3</v>
      </c>
    </row>
    <row r="1203" spans="1:13" x14ac:dyDescent="0.2">
      <c r="A1203" s="6">
        <v>45694</v>
      </c>
      <c r="B1203" s="2" t="s">
        <v>227</v>
      </c>
      <c r="C1203" s="5">
        <v>45689</v>
      </c>
      <c r="D1203" s="2" t="s">
        <v>195</v>
      </c>
      <c r="E1203" s="3">
        <v>2920</v>
      </c>
      <c r="F1203" s="8">
        <v>3.4519000000000002</v>
      </c>
      <c r="G1203" s="4">
        <v>267.56810000000002</v>
      </c>
      <c r="H1203" s="4">
        <v>907.69150000000002</v>
      </c>
      <c r="I1203" s="4">
        <v>14.0825</v>
      </c>
      <c r="J1203" s="4">
        <v>14.64</v>
      </c>
      <c r="K1203" s="4">
        <v>13.15</v>
      </c>
      <c r="L1203" s="4">
        <v>14.175000000000001</v>
      </c>
      <c r="M1203" s="7">
        <v>6.6E-3</v>
      </c>
    </row>
    <row r="1204" spans="1:13" x14ac:dyDescent="0.2">
      <c r="A1204" s="6">
        <v>45695</v>
      </c>
      <c r="B1204" s="2" t="s">
        <v>225</v>
      </c>
      <c r="C1204" s="5">
        <v>45689</v>
      </c>
      <c r="D1204" s="2" t="s">
        <v>195</v>
      </c>
      <c r="E1204" s="3">
        <v>2912</v>
      </c>
      <c r="F1204" s="8">
        <v>3.5581</v>
      </c>
      <c r="G1204" s="4">
        <v>302.315</v>
      </c>
      <c r="H1204" s="4">
        <v>889.07849999999996</v>
      </c>
      <c r="I1204" s="4">
        <v>14.175000000000001</v>
      </c>
      <c r="J1204" s="4">
        <v>14.505000000000001</v>
      </c>
      <c r="K1204" s="4">
        <v>13.55</v>
      </c>
      <c r="L1204" s="4">
        <v>13.685</v>
      </c>
      <c r="M1204" s="7">
        <v>-3.4599999999999999E-2</v>
      </c>
    </row>
    <row r="1205" spans="1:13" x14ac:dyDescent="0.2">
      <c r="A1205" s="6">
        <v>45698</v>
      </c>
      <c r="B1205" s="2" t="s">
        <v>228</v>
      </c>
      <c r="C1205" s="5">
        <v>45689</v>
      </c>
      <c r="D1205" s="2" t="s">
        <v>195</v>
      </c>
      <c r="E1205" s="3">
        <v>2971</v>
      </c>
      <c r="F1205" s="8">
        <v>3.3910999999999998</v>
      </c>
      <c r="G1205" s="4">
        <v>234.9204</v>
      </c>
      <c r="H1205" s="4">
        <v>740.2011</v>
      </c>
      <c r="I1205" s="4">
        <v>13.685</v>
      </c>
      <c r="J1205" s="4">
        <v>14.717499999999999</v>
      </c>
      <c r="K1205" s="4">
        <v>13.685</v>
      </c>
      <c r="L1205" s="4">
        <v>14.445</v>
      </c>
      <c r="M1205" s="7">
        <v>5.5500000000000001E-2</v>
      </c>
    </row>
    <row r="1206" spans="1:13" x14ac:dyDescent="0.2">
      <c r="A1206" s="6">
        <v>45699</v>
      </c>
      <c r="B1206" s="2" t="s">
        <v>226</v>
      </c>
      <c r="C1206" s="5">
        <v>45689</v>
      </c>
      <c r="D1206" s="2" t="s">
        <v>195</v>
      </c>
      <c r="E1206" s="3">
        <v>2939</v>
      </c>
      <c r="F1206" s="8">
        <v>3.9171999999999998</v>
      </c>
      <c r="G1206" s="4">
        <v>276.67189999999999</v>
      </c>
      <c r="H1206" s="4">
        <v>871.97429999999997</v>
      </c>
      <c r="I1206" s="4">
        <v>14.445</v>
      </c>
      <c r="J1206" s="4">
        <v>15.432499999999999</v>
      </c>
      <c r="K1206" s="4">
        <v>13.845000000000001</v>
      </c>
      <c r="L1206" s="4">
        <v>14.87</v>
      </c>
      <c r="M1206" s="7">
        <v>2.9399999999999999E-2</v>
      </c>
    </row>
    <row r="1207" spans="1:13" x14ac:dyDescent="0.2">
      <c r="A1207" s="6">
        <v>45700</v>
      </c>
      <c r="B1207" s="2" t="s">
        <v>224</v>
      </c>
      <c r="C1207" s="5">
        <v>45689</v>
      </c>
      <c r="D1207" s="2" t="s">
        <v>195</v>
      </c>
      <c r="E1207" s="3">
        <v>2934</v>
      </c>
      <c r="F1207" s="8">
        <v>4.8265000000000002</v>
      </c>
      <c r="G1207" s="4">
        <v>382.65719999999999</v>
      </c>
      <c r="H1207" s="4">
        <v>1046.0992000000001</v>
      </c>
      <c r="I1207" s="4">
        <v>14.87</v>
      </c>
      <c r="J1207" s="4">
        <v>15.6225</v>
      </c>
      <c r="K1207" s="4">
        <v>14.6075</v>
      </c>
      <c r="L1207" s="4">
        <v>14.895</v>
      </c>
      <c r="M1207" s="7">
        <v>1.6999999999999999E-3</v>
      </c>
    </row>
    <row r="1208" spans="1:13" x14ac:dyDescent="0.2">
      <c r="A1208" s="6">
        <v>45701</v>
      </c>
      <c r="B1208" s="2" t="s">
        <v>227</v>
      </c>
      <c r="C1208" s="5">
        <v>45689</v>
      </c>
      <c r="D1208" s="2" t="s">
        <v>195</v>
      </c>
      <c r="E1208" s="3">
        <v>2908</v>
      </c>
      <c r="F1208" s="8">
        <v>3.7103999999999999</v>
      </c>
      <c r="G1208" s="4">
        <v>308.08519999999999</v>
      </c>
      <c r="H1208" s="4">
        <v>843.94949999999994</v>
      </c>
      <c r="I1208" s="4">
        <v>14.895</v>
      </c>
      <c r="J1208" s="4">
        <v>15.465</v>
      </c>
      <c r="K1208" s="4">
        <v>12.195</v>
      </c>
      <c r="L1208" s="4">
        <v>14.955</v>
      </c>
      <c r="M1208" s="7">
        <v>4.0000000000000001E-3</v>
      </c>
    </row>
    <row r="1209" spans="1:13" x14ac:dyDescent="0.2">
      <c r="A1209" s="6">
        <v>45702</v>
      </c>
      <c r="B1209" s="2" t="s">
        <v>225</v>
      </c>
      <c r="C1209" s="5">
        <v>45689</v>
      </c>
      <c r="D1209" s="2" t="s">
        <v>195</v>
      </c>
      <c r="E1209" s="3">
        <v>2948</v>
      </c>
      <c r="F1209" s="8">
        <v>4.1299000000000001</v>
      </c>
      <c r="G1209" s="4">
        <v>319.23989999999998</v>
      </c>
      <c r="H1209" s="4">
        <v>856.5847</v>
      </c>
      <c r="I1209" s="4">
        <v>14.955</v>
      </c>
      <c r="J1209" s="4">
        <v>15.6775</v>
      </c>
      <c r="K1209" s="4">
        <v>14.3575</v>
      </c>
      <c r="L1209" s="4">
        <v>15.015000000000001</v>
      </c>
      <c r="M1209" s="7">
        <v>4.0000000000000001E-3</v>
      </c>
    </row>
    <row r="1210" spans="1:13" x14ac:dyDescent="0.2">
      <c r="A1210" s="6">
        <v>45705</v>
      </c>
      <c r="B1210" s="2" t="s">
        <v>228</v>
      </c>
      <c r="C1210" s="5">
        <v>45689</v>
      </c>
      <c r="D1210" s="2" t="s">
        <v>195</v>
      </c>
      <c r="E1210" s="3">
        <v>2972</v>
      </c>
      <c r="F1210" s="8">
        <v>4.5382999999999996</v>
      </c>
      <c r="G1210" s="4">
        <v>317.065</v>
      </c>
      <c r="H1210" s="4">
        <v>826.81349999999998</v>
      </c>
      <c r="I1210" s="4">
        <v>15.015000000000001</v>
      </c>
      <c r="J1210" s="4">
        <v>16.309999999999999</v>
      </c>
      <c r="K1210" s="4">
        <v>14.4975</v>
      </c>
      <c r="L1210" s="4">
        <v>15.7225</v>
      </c>
      <c r="M1210" s="7">
        <v>4.7100000000000003E-2</v>
      </c>
    </row>
    <row r="1211" spans="1:13" x14ac:dyDescent="0.2">
      <c r="A1211" s="6">
        <v>45706</v>
      </c>
      <c r="B1211" s="2" t="s">
        <v>226</v>
      </c>
      <c r="C1211" s="5">
        <v>45689</v>
      </c>
      <c r="D1211" s="2" t="s">
        <v>195</v>
      </c>
      <c r="E1211" s="3">
        <v>2943</v>
      </c>
      <c r="F1211" s="8">
        <v>3.7473999999999998</v>
      </c>
      <c r="G1211" s="4">
        <v>278.30009999999999</v>
      </c>
      <c r="H1211" s="4">
        <v>848.76070000000004</v>
      </c>
      <c r="I1211" s="4">
        <v>15.7225</v>
      </c>
      <c r="J1211" s="4">
        <v>16.322500000000002</v>
      </c>
      <c r="K1211" s="4">
        <v>14.78</v>
      </c>
      <c r="L1211" s="4">
        <v>15.664999999999999</v>
      </c>
      <c r="M1211" s="7">
        <v>-3.7000000000000002E-3</v>
      </c>
    </row>
    <row r="1212" spans="1:13" x14ac:dyDescent="0.2">
      <c r="A1212" s="6">
        <v>45707</v>
      </c>
      <c r="B1212" s="2" t="s">
        <v>224</v>
      </c>
      <c r="C1212" s="5">
        <v>45689</v>
      </c>
      <c r="D1212" s="2" t="s">
        <v>195</v>
      </c>
      <c r="E1212" s="3">
        <v>2938</v>
      </c>
      <c r="F1212" s="8">
        <v>3.8570000000000002</v>
      </c>
      <c r="G1212" s="4">
        <v>285.89150000000001</v>
      </c>
      <c r="H1212" s="4">
        <v>842.0385</v>
      </c>
      <c r="I1212" s="4">
        <v>15.664999999999999</v>
      </c>
      <c r="J1212" s="4">
        <v>16.022500000000001</v>
      </c>
      <c r="K1212" s="4">
        <v>14.7525</v>
      </c>
      <c r="L1212" s="4">
        <v>15.42</v>
      </c>
      <c r="M1212" s="7">
        <v>-1.5599999999999999E-2</v>
      </c>
    </row>
    <row r="1213" spans="1:13" x14ac:dyDescent="0.2">
      <c r="A1213" s="6">
        <v>45708</v>
      </c>
      <c r="B1213" s="2" t="s">
        <v>227</v>
      </c>
      <c r="C1213" s="5">
        <v>45689</v>
      </c>
      <c r="D1213" s="2" t="s">
        <v>195</v>
      </c>
      <c r="E1213" s="3">
        <v>2911</v>
      </c>
      <c r="F1213" s="8">
        <v>3.5402999999999998</v>
      </c>
      <c r="G1213" s="4">
        <v>256.48329999999999</v>
      </c>
      <c r="H1213" s="4">
        <v>803.72199999999998</v>
      </c>
      <c r="I1213" s="4">
        <v>15.42</v>
      </c>
      <c r="J1213" s="4">
        <v>15.9025</v>
      </c>
      <c r="K1213" s="4">
        <v>14.637499999999999</v>
      </c>
      <c r="L1213" s="4">
        <v>14.682499999999999</v>
      </c>
      <c r="M1213" s="7">
        <v>-4.7800000000000002E-2</v>
      </c>
    </row>
    <row r="1214" spans="1:13" x14ac:dyDescent="0.2">
      <c r="A1214" s="6">
        <v>45709</v>
      </c>
      <c r="B1214" s="2" t="s">
        <v>225</v>
      </c>
      <c r="C1214" s="5">
        <v>45689</v>
      </c>
      <c r="D1214" s="2" t="s">
        <v>195</v>
      </c>
      <c r="E1214" s="3">
        <v>2926</v>
      </c>
      <c r="F1214" s="8">
        <v>3.7128000000000001</v>
      </c>
      <c r="G1214" s="4">
        <v>281.13299999999998</v>
      </c>
      <c r="H1214" s="4">
        <v>856.27700000000004</v>
      </c>
      <c r="I1214" s="4">
        <v>14.682499999999999</v>
      </c>
      <c r="J1214" s="4">
        <v>15.2425</v>
      </c>
      <c r="K1214" s="4">
        <v>12.0825</v>
      </c>
      <c r="L1214" s="4">
        <v>14.53</v>
      </c>
      <c r="M1214" s="7">
        <v>-1.04E-2</v>
      </c>
    </row>
    <row r="1215" spans="1:13" x14ac:dyDescent="0.2">
      <c r="A1215" s="6">
        <v>45712</v>
      </c>
      <c r="B1215" s="2" t="s">
        <v>228</v>
      </c>
      <c r="C1215" s="5">
        <v>45689</v>
      </c>
      <c r="D1215" s="2" t="s">
        <v>195</v>
      </c>
      <c r="E1215" s="3">
        <v>2982</v>
      </c>
      <c r="F1215" s="8">
        <v>3.3751000000000002</v>
      </c>
      <c r="G1215" s="4">
        <v>226.7809</v>
      </c>
      <c r="H1215" s="4">
        <v>719.47320000000002</v>
      </c>
      <c r="I1215" s="4">
        <v>14.53</v>
      </c>
      <c r="J1215" s="4">
        <v>15.58</v>
      </c>
      <c r="K1215" s="4">
        <v>14.365</v>
      </c>
      <c r="L1215" s="4">
        <v>14.44</v>
      </c>
      <c r="M1215" s="7">
        <v>-6.1999999999999998E-3</v>
      </c>
    </row>
    <row r="1216" spans="1:13" x14ac:dyDescent="0.2">
      <c r="A1216" s="6">
        <v>45713</v>
      </c>
      <c r="B1216" s="2" t="s">
        <v>226</v>
      </c>
      <c r="C1216" s="5">
        <v>45689</v>
      </c>
      <c r="D1216" s="2" t="s">
        <v>195</v>
      </c>
      <c r="E1216" s="3">
        <v>2929</v>
      </c>
      <c r="F1216" s="8">
        <v>3.1257000000000001</v>
      </c>
      <c r="G1216" s="4">
        <v>221.37029999999999</v>
      </c>
      <c r="H1216" s="4">
        <v>750.2998</v>
      </c>
      <c r="I1216" s="4">
        <v>14.442500000000001</v>
      </c>
      <c r="J1216" s="4">
        <v>15.077500000000001</v>
      </c>
      <c r="K1216" s="4">
        <v>13.605</v>
      </c>
      <c r="L1216" s="4">
        <v>13.72</v>
      </c>
      <c r="M1216" s="7">
        <v>-0.05</v>
      </c>
    </row>
    <row r="1217" spans="1:13" x14ac:dyDescent="0.2">
      <c r="A1217" s="6">
        <v>45715</v>
      </c>
      <c r="B1217" s="2" t="s">
        <v>227</v>
      </c>
      <c r="C1217" s="5">
        <v>45689</v>
      </c>
      <c r="D1217" s="2" t="s">
        <v>195</v>
      </c>
      <c r="E1217" s="3">
        <v>2952</v>
      </c>
      <c r="F1217" s="8">
        <v>3.782</v>
      </c>
      <c r="G1217" s="4">
        <v>276.52510000000001</v>
      </c>
      <c r="H1217" s="4">
        <v>940.80409999999995</v>
      </c>
      <c r="I1217" s="4">
        <v>13.715</v>
      </c>
      <c r="J1217" s="4">
        <v>14.0075</v>
      </c>
      <c r="K1217" s="4">
        <v>12.91</v>
      </c>
      <c r="L1217" s="4">
        <v>13.31</v>
      </c>
      <c r="M1217" s="7">
        <v>-2.9499999999999998E-2</v>
      </c>
    </row>
    <row r="1218" spans="1:13" x14ac:dyDescent="0.2">
      <c r="A1218" s="6">
        <v>45716</v>
      </c>
      <c r="B1218" s="2" t="s">
        <v>225</v>
      </c>
      <c r="C1218" s="5">
        <v>45689</v>
      </c>
      <c r="D1218" s="2" t="s">
        <v>195</v>
      </c>
      <c r="E1218" s="3">
        <v>2988</v>
      </c>
      <c r="F1218" s="8">
        <v>4.9683000000000002</v>
      </c>
      <c r="G1218" s="4">
        <v>436.47160000000002</v>
      </c>
      <c r="H1218" s="4">
        <v>1534.6351999999999</v>
      </c>
      <c r="I1218" s="4">
        <v>13.307499999999999</v>
      </c>
      <c r="J1218" s="4">
        <v>14.1225</v>
      </c>
      <c r="K1218" s="4">
        <v>13.2325</v>
      </c>
      <c r="L1218" s="4">
        <v>13.91</v>
      </c>
      <c r="M1218" s="7">
        <v>4.53E-2</v>
      </c>
    </row>
    <row r="1219" spans="1:13" x14ac:dyDescent="0.2">
      <c r="A1219" s="6">
        <v>45719</v>
      </c>
      <c r="B1219" s="2" t="s">
        <v>228</v>
      </c>
      <c r="C1219" s="5">
        <v>45717</v>
      </c>
      <c r="D1219" s="2" t="s">
        <v>195</v>
      </c>
      <c r="E1219" s="3">
        <v>3035</v>
      </c>
      <c r="F1219" s="8">
        <v>4.6740000000000004</v>
      </c>
      <c r="G1219" s="4">
        <v>360.99680000000001</v>
      </c>
      <c r="H1219" s="4">
        <v>949.75360000000001</v>
      </c>
      <c r="I1219" s="4">
        <v>13.91</v>
      </c>
      <c r="J1219" s="4">
        <v>14.36</v>
      </c>
      <c r="K1219" s="4">
        <v>13.567500000000001</v>
      </c>
      <c r="L1219" s="4">
        <v>13.76</v>
      </c>
      <c r="M1219" s="7">
        <v>-1.0800000000000001E-2</v>
      </c>
    </row>
    <row r="1220" spans="1:13" x14ac:dyDescent="0.2">
      <c r="A1220" s="6">
        <v>45720</v>
      </c>
      <c r="B1220" s="2" t="s">
        <v>226</v>
      </c>
      <c r="C1220" s="5">
        <v>45717</v>
      </c>
      <c r="D1220" s="2" t="s">
        <v>195</v>
      </c>
      <c r="E1220" s="3">
        <v>2970</v>
      </c>
      <c r="F1220" s="8">
        <v>3.9016000000000002</v>
      </c>
      <c r="G1220" s="4">
        <v>314.24990000000003</v>
      </c>
      <c r="H1220" s="4">
        <v>879.16380000000004</v>
      </c>
      <c r="I1220" s="4">
        <v>13.762499999999999</v>
      </c>
      <c r="J1220" s="4">
        <v>14.1975</v>
      </c>
      <c r="K1220" s="4">
        <v>13.3725</v>
      </c>
      <c r="L1220" s="4">
        <v>13.83</v>
      </c>
      <c r="M1220" s="7">
        <v>4.8999999999999998E-3</v>
      </c>
    </row>
    <row r="1221" spans="1:13" x14ac:dyDescent="0.2">
      <c r="A1221" s="6">
        <v>45721</v>
      </c>
      <c r="B1221" s="2" t="s">
        <v>224</v>
      </c>
      <c r="C1221" s="5">
        <v>45717</v>
      </c>
      <c r="D1221" s="2" t="s">
        <v>195</v>
      </c>
      <c r="E1221" s="3">
        <v>2979</v>
      </c>
      <c r="F1221" s="8">
        <v>3.8759000000000001</v>
      </c>
      <c r="G1221" s="4">
        <v>328.1875</v>
      </c>
      <c r="H1221" s="4">
        <v>960.43579999999997</v>
      </c>
      <c r="I1221" s="4">
        <v>13.83</v>
      </c>
      <c r="J1221" s="4">
        <v>14.13</v>
      </c>
      <c r="K1221" s="4">
        <v>13.095000000000001</v>
      </c>
      <c r="L1221" s="4">
        <v>13.67</v>
      </c>
      <c r="M1221" s="7">
        <v>-1.1599999999999999E-2</v>
      </c>
    </row>
    <row r="1222" spans="1:13" x14ac:dyDescent="0.2">
      <c r="A1222" s="6">
        <v>45722</v>
      </c>
      <c r="B1222" s="2" t="s">
        <v>227</v>
      </c>
      <c r="C1222" s="5">
        <v>45717</v>
      </c>
      <c r="D1222" s="2" t="s">
        <v>195</v>
      </c>
      <c r="E1222" s="3">
        <v>3007</v>
      </c>
      <c r="F1222" s="8">
        <v>3.7795999999999998</v>
      </c>
      <c r="G1222" s="4">
        <v>313.65069999999997</v>
      </c>
      <c r="H1222" s="4">
        <v>949.50099999999998</v>
      </c>
      <c r="I1222" s="4">
        <v>13.67</v>
      </c>
      <c r="J1222" s="4">
        <v>14.1775</v>
      </c>
      <c r="K1222" s="4">
        <v>13.28</v>
      </c>
      <c r="L1222" s="4">
        <v>13.73</v>
      </c>
      <c r="M1222" s="7">
        <v>4.4000000000000003E-3</v>
      </c>
    </row>
    <row r="1223" spans="1:13" x14ac:dyDescent="0.2">
      <c r="A1223" s="6">
        <v>45723</v>
      </c>
      <c r="B1223" s="2" t="s">
        <v>225</v>
      </c>
      <c r="C1223" s="5">
        <v>45717</v>
      </c>
      <c r="D1223" s="2" t="s">
        <v>195</v>
      </c>
      <c r="E1223" s="3">
        <v>3000</v>
      </c>
      <c r="F1223" s="8">
        <v>3.4588999999999999</v>
      </c>
      <c r="G1223" s="4">
        <v>307.4984</v>
      </c>
      <c r="H1223" s="4">
        <v>823.44200000000001</v>
      </c>
      <c r="I1223" s="4">
        <v>13.725</v>
      </c>
      <c r="J1223" s="4">
        <v>13.86</v>
      </c>
      <c r="K1223" s="4">
        <v>13.3325</v>
      </c>
      <c r="L1223" s="4">
        <v>13.47</v>
      </c>
      <c r="M1223" s="7">
        <v>-1.8599999999999998E-2</v>
      </c>
    </row>
    <row r="1224" spans="1:13" x14ac:dyDescent="0.2">
      <c r="A1224" s="6">
        <v>45726</v>
      </c>
      <c r="B1224" s="2" t="s">
        <v>228</v>
      </c>
      <c r="C1224" s="5">
        <v>45717</v>
      </c>
      <c r="D1224" s="2" t="s">
        <v>195</v>
      </c>
      <c r="E1224" s="3">
        <v>2999</v>
      </c>
      <c r="F1224" s="8">
        <v>3.3614000000000002</v>
      </c>
      <c r="G1224" s="4">
        <v>293.87169999999998</v>
      </c>
      <c r="H1224" s="4">
        <v>779.0806</v>
      </c>
      <c r="I1224" s="4">
        <v>13.47</v>
      </c>
      <c r="J1224" s="4">
        <v>14.2075</v>
      </c>
      <c r="K1224" s="4">
        <v>13.47</v>
      </c>
      <c r="L1224" s="4">
        <v>13.99</v>
      </c>
      <c r="M1224" s="7">
        <v>3.8600000000000002E-2</v>
      </c>
    </row>
    <row r="1225" spans="1:13" x14ac:dyDescent="0.2">
      <c r="A1225" s="6">
        <v>45727</v>
      </c>
      <c r="B1225" s="2" t="s">
        <v>226</v>
      </c>
      <c r="C1225" s="5">
        <v>45717</v>
      </c>
      <c r="D1225" s="2" t="s">
        <v>195</v>
      </c>
      <c r="E1225" s="3">
        <v>2972</v>
      </c>
      <c r="F1225" s="8">
        <v>3.4045000000000001</v>
      </c>
      <c r="G1225" s="4">
        <v>295.55169999999998</v>
      </c>
      <c r="H1225" s="4">
        <v>860.56600000000003</v>
      </c>
      <c r="I1225" s="4">
        <v>13.984999999999999</v>
      </c>
      <c r="J1225" s="4">
        <v>14.5025</v>
      </c>
      <c r="K1225" s="4">
        <v>13.675000000000001</v>
      </c>
      <c r="L1225" s="4">
        <v>14.07</v>
      </c>
      <c r="M1225" s="7">
        <v>6.1000000000000004E-3</v>
      </c>
    </row>
    <row r="1226" spans="1:13" x14ac:dyDescent="0.2">
      <c r="A1226" s="6">
        <v>45728</v>
      </c>
      <c r="B1226" s="2" t="s">
        <v>224</v>
      </c>
      <c r="C1226" s="5">
        <v>45717</v>
      </c>
      <c r="D1226" s="2" t="s">
        <v>195</v>
      </c>
      <c r="E1226" s="3">
        <v>2979</v>
      </c>
      <c r="F1226" s="8">
        <v>3.1766000000000001</v>
      </c>
      <c r="G1226" s="4">
        <v>312.96390000000002</v>
      </c>
      <c r="H1226" s="4">
        <v>855.31560000000002</v>
      </c>
      <c r="I1226" s="4">
        <v>14.0725</v>
      </c>
      <c r="J1226" s="4">
        <v>14.3725</v>
      </c>
      <c r="K1226" s="4">
        <v>13.635</v>
      </c>
      <c r="L1226" s="4">
        <v>13.69</v>
      </c>
      <c r="M1226" s="7">
        <v>-2.7199999999999998E-2</v>
      </c>
    </row>
    <row r="1227" spans="1:13" x14ac:dyDescent="0.2">
      <c r="A1227" s="6">
        <v>45729</v>
      </c>
      <c r="B1227" s="2" t="s">
        <v>227</v>
      </c>
      <c r="C1227" s="5">
        <v>45717</v>
      </c>
      <c r="D1227" s="2" t="s">
        <v>195</v>
      </c>
      <c r="E1227" s="3">
        <v>2971</v>
      </c>
      <c r="F1227" s="8">
        <v>2.9245000000000001</v>
      </c>
      <c r="G1227" s="4">
        <v>277.02370000000002</v>
      </c>
      <c r="H1227" s="4">
        <v>723.07780000000002</v>
      </c>
      <c r="I1227" s="4">
        <v>13.692500000000001</v>
      </c>
      <c r="J1227" s="4">
        <v>13.9275</v>
      </c>
      <c r="K1227" s="4">
        <v>13.2225</v>
      </c>
      <c r="L1227" s="4">
        <v>13.28</v>
      </c>
      <c r="M1227" s="7">
        <v>-3.0099999999999998E-2</v>
      </c>
    </row>
    <row r="1228" spans="1:13" x14ac:dyDescent="0.2">
      <c r="A1228" s="6">
        <v>45733</v>
      </c>
      <c r="B1228" s="2" t="s">
        <v>228</v>
      </c>
      <c r="C1228" s="5">
        <v>45717</v>
      </c>
      <c r="D1228" s="2" t="s">
        <v>195</v>
      </c>
      <c r="E1228" s="3">
        <v>3002</v>
      </c>
      <c r="F1228" s="8">
        <v>3.1373000000000002</v>
      </c>
      <c r="G1228" s="4">
        <v>282.94220000000001</v>
      </c>
      <c r="H1228" s="4">
        <v>754.25049999999999</v>
      </c>
      <c r="I1228" s="4">
        <v>13.28</v>
      </c>
      <c r="J1228" s="4">
        <v>14.0975</v>
      </c>
      <c r="K1228" s="4">
        <v>13.28</v>
      </c>
      <c r="L1228" s="4">
        <v>13.42</v>
      </c>
      <c r="M1228" s="7">
        <v>1.0500000000000001E-2</v>
      </c>
    </row>
    <row r="1229" spans="1:13" x14ac:dyDescent="0.2">
      <c r="A1229" s="6">
        <v>45734</v>
      </c>
      <c r="B1229" s="2" t="s">
        <v>226</v>
      </c>
      <c r="C1229" s="5">
        <v>45717</v>
      </c>
      <c r="D1229" s="2" t="s">
        <v>195</v>
      </c>
      <c r="E1229" s="3">
        <v>3043</v>
      </c>
      <c r="F1229" s="8">
        <v>3.3086000000000002</v>
      </c>
      <c r="G1229" s="4">
        <v>341.19260000000003</v>
      </c>
      <c r="H1229" s="4">
        <v>892.18799999999999</v>
      </c>
      <c r="I1229" s="4">
        <v>13.414999999999999</v>
      </c>
      <c r="J1229" s="4">
        <v>13.6525</v>
      </c>
      <c r="K1229" s="4">
        <v>11.342499999999999</v>
      </c>
      <c r="L1229" s="4">
        <v>13.21</v>
      </c>
      <c r="M1229" s="7">
        <v>-1.5299999999999999E-2</v>
      </c>
    </row>
    <row r="1230" spans="1:13" x14ac:dyDescent="0.2">
      <c r="A1230" s="6">
        <v>45735</v>
      </c>
      <c r="B1230" s="2" t="s">
        <v>224</v>
      </c>
      <c r="C1230" s="5">
        <v>45717</v>
      </c>
      <c r="D1230" s="2" t="s">
        <v>195</v>
      </c>
      <c r="E1230" s="3">
        <v>3001</v>
      </c>
      <c r="F1230" s="8">
        <v>3.7473999999999998</v>
      </c>
      <c r="G1230" s="4">
        <v>432.57400000000001</v>
      </c>
      <c r="H1230" s="4">
        <v>1037.9593</v>
      </c>
      <c r="I1230" s="4">
        <v>13.21</v>
      </c>
      <c r="J1230" s="4">
        <v>13.5725</v>
      </c>
      <c r="K1230" s="4">
        <v>12.585000000000001</v>
      </c>
      <c r="L1230" s="4">
        <v>13.3</v>
      </c>
      <c r="M1230" s="7">
        <v>6.7999999999999996E-3</v>
      </c>
    </row>
    <row r="1231" spans="1:13" x14ac:dyDescent="0.2">
      <c r="A1231" s="6">
        <v>45736</v>
      </c>
      <c r="B1231" s="2" t="s">
        <v>227</v>
      </c>
      <c r="C1231" s="5">
        <v>45717</v>
      </c>
      <c r="D1231" s="2" t="s">
        <v>195</v>
      </c>
      <c r="E1231" s="3">
        <v>2996</v>
      </c>
      <c r="F1231" s="8">
        <v>3.8641000000000001</v>
      </c>
      <c r="G1231" s="4">
        <v>364.90350000000001</v>
      </c>
      <c r="H1231" s="4">
        <v>1041.7574</v>
      </c>
      <c r="I1231" s="4">
        <v>13.297499999999999</v>
      </c>
      <c r="J1231" s="4">
        <v>13.297499999999999</v>
      </c>
      <c r="K1231" s="4">
        <v>12.512499999999999</v>
      </c>
      <c r="L1231" s="4">
        <v>12.6</v>
      </c>
      <c r="M1231" s="7">
        <v>-5.2499999999999998E-2</v>
      </c>
    </row>
    <row r="1232" spans="1:13" x14ac:dyDescent="0.2">
      <c r="A1232" s="6">
        <v>45737</v>
      </c>
      <c r="B1232" s="2" t="s">
        <v>225</v>
      </c>
      <c r="C1232" s="5">
        <v>45717</v>
      </c>
      <c r="D1232" s="2" t="s">
        <v>195</v>
      </c>
      <c r="E1232" s="3">
        <v>3001</v>
      </c>
      <c r="F1232" s="8">
        <v>4.5316000000000001</v>
      </c>
      <c r="G1232" s="4">
        <v>557.05070000000001</v>
      </c>
      <c r="H1232" s="4">
        <v>1598.4362000000001</v>
      </c>
      <c r="I1232" s="4">
        <v>12.602499999999999</v>
      </c>
      <c r="J1232" s="4">
        <v>12.835000000000001</v>
      </c>
      <c r="K1232" s="4">
        <v>10.695</v>
      </c>
      <c r="L1232" s="4">
        <v>12.58</v>
      </c>
      <c r="M1232" s="7">
        <v>-1.8E-3</v>
      </c>
    </row>
    <row r="1233" spans="1:13" x14ac:dyDescent="0.2">
      <c r="A1233" s="6">
        <v>45740</v>
      </c>
      <c r="B1233" s="2" t="s">
        <v>228</v>
      </c>
      <c r="C1233" s="5">
        <v>45717</v>
      </c>
      <c r="D1233" s="2" t="s">
        <v>195</v>
      </c>
      <c r="E1233" s="3">
        <v>3043</v>
      </c>
      <c r="F1233" s="8">
        <v>4.008</v>
      </c>
      <c r="G1233" s="4">
        <v>419.00470000000001</v>
      </c>
      <c r="H1233" s="4">
        <v>1082.2307000000001</v>
      </c>
      <c r="I1233" s="4">
        <v>12.574999999999999</v>
      </c>
      <c r="J1233" s="4">
        <v>13.952500000000001</v>
      </c>
      <c r="K1233" s="4">
        <v>12.574999999999999</v>
      </c>
      <c r="L1233" s="4">
        <v>13.7</v>
      </c>
      <c r="M1233" s="7">
        <v>8.9499999999999996E-2</v>
      </c>
    </row>
    <row r="1234" spans="1:13" x14ac:dyDescent="0.2">
      <c r="A1234" s="6">
        <v>45741</v>
      </c>
      <c r="B1234" s="2" t="s">
        <v>226</v>
      </c>
      <c r="C1234" s="5">
        <v>45717</v>
      </c>
      <c r="D1234" s="2" t="s">
        <v>195</v>
      </c>
      <c r="E1234" s="3">
        <v>3017</v>
      </c>
      <c r="F1234" s="8">
        <v>4.0441000000000003</v>
      </c>
      <c r="G1234" s="4">
        <v>394.25920000000002</v>
      </c>
      <c r="H1234" s="4">
        <v>1088.3562999999999</v>
      </c>
      <c r="I1234" s="4">
        <v>13.7</v>
      </c>
      <c r="J1234" s="4">
        <v>14.475</v>
      </c>
      <c r="K1234" s="4">
        <v>13.49</v>
      </c>
      <c r="L1234" s="4">
        <v>13.64</v>
      </c>
      <c r="M1234" s="7">
        <v>-4.4000000000000003E-3</v>
      </c>
    </row>
    <row r="1235" spans="1:13" x14ac:dyDescent="0.2">
      <c r="A1235" s="6">
        <v>45742</v>
      </c>
      <c r="B1235" s="2" t="s">
        <v>224</v>
      </c>
      <c r="C1235" s="5">
        <v>45717</v>
      </c>
      <c r="D1235" s="2" t="s">
        <v>195</v>
      </c>
      <c r="E1235" s="3">
        <v>3013</v>
      </c>
      <c r="F1235" s="8">
        <v>3.5983999999999998</v>
      </c>
      <c r="G1235" s="4">
        <v>383.12090000000001</v>
      </c>
      <c r="H1235" s="4">
        <v>936.03740000000005</v>
      </c>
      <c r="I1235" s="4">
        <v>13.635</v>
      </c>
      <c r="J1235" s="4">
        <v>13.914999999999999</v>
      </c>
      <c r="K1235" s="4">
        <v>13.305</v>
      </c>
      <c r="L1235" s="4">
        <v>13.47</v>
      </c>
      <c r="M1235" s="7">
        <v>-1.21E-2</v>
      </c>
    </row>
    <row r="1236" spans="1:13" x14ac:dyDescent="0.2">
      <c r="A1236" s="6">
        <v>45743</v>
      </c>
      <c r="B1236" s="2" t="s">
        <v>227</v>
      </c>
      <c r="C1236" s="5">
        <v>45717</v>
      </c>
      <c r="D1236" s="2" t="s">
        <v>195</v>
      </c>
      <c r="E1236" s="3">
        <v>3005</v>
      </c>
      <c r="F1236" s="8">
        <v>4.5133000000000001</v>
      </c>
      <c r="G1236" s="4">
        <v>616.53610000000003</v>
      </c>
      <c r="H1236" s="4">
        <v>1498.3657000000001</v>
      </c>
      <c r="I1236" s="4">
        <v>13.47</v>
      </c>
      <c r="J1236" s="4">
        <v>13.85</v>
      </c>
      <c r="K1236" s="4">
        <v>12.977499999999999</v>
      </c>
      <c r="L1236" s="4">
        <v>13.3</v>
      </c>
      <c r="M1236" s="7">
        <v>-1.26E-2</v>
      </c>
    </row>
    <row r="1237" spans="1:13" x14ac:dyDescent="0.2">
      <c r="A1237" s="6">
        <v>45744</v>
      </c>
      <c r="B1237" s="2" t="s">
        <v>225</v>
      </c>
      <c r="C1237" s="5">
        <v>45717</v>
      </c>
      <c r="D1237" s="2" t="s">
        <v>195</v>
      </c>
      <c r="E1237" s="3">
        <v>3001</v>
      </c>
      <c r="F1237" s="8">
        <v>3.7302</v>
      </c>
      <c r="G1237" s="4">
        <v>439.22640000000001</v>
      </c>
      <c r="H1237" s="4">
        <v>1041.6832999999999</v>
      </c>
      <c r="I1237" s="4">
        <v>13.3</v>
      </c>
      <c r="J1237" s="4">
        <v>13.61</v>
      </c>
      <c r="K1237" s="4">
        <v>12.5725</v>
      </c>
      <c r="L1237" s="4">
        <v>12.72</v>
      </c>
      <c r="M1237" s="7">
        <v>-4.36E-2</v>
      </c>
    </row>
    <row r="1238" spans="1:13" x14ac:dyDescent="0.2">
      <c r="A1238" s="6">
        <v>45748</v>
      </c>
      <c r="B1238" s="2" t="s">
        <v>226</v>
      </c>
      <c r="C1238" s="5">
        <v>45748</v>
      </c>
      <c r="D1238" s="2" t="s">
        <v>196</v>
      </c>
      <c r="E1238" s="3">
        <v>3014</v>
      </c>
      <c r="F1238" s="8">
        <v>3.2429000000000001</v>
      </c>
      <c r="G1238" s="4">
        <v>506.41269999999997</v>
      </c>
      <c r="H1238" s="4">
        <v>854.31</v>
      </c>
      <c r="I1238" s="4">
        <v>12.717499999999999</v>
      </c>
      <c r="J1238" s="4">
        <v>14.0525</v>
      </c>
      <c r="K1238" s="4">
        <v>12.717499999999999</v>
      </c>
      <c r="L1238" s="4">
        <v>13.78</v>
      </c>
      <c r="M1238" s="7">
        <v>8.3500000000000005E-2</v>
      </c>
    </row>
    <row r="1239" spans="1:13" x14ac:dyDescent="0.2">
      <c r="A1239" s="6">
        <v>45749</v>
      </c>
      <c r="B1239" s="2" t="s">
        <v>224</v>
      </c>
      <c r="C1239" s="5">
        <v>45748</v>
      </c>
      <c r="D1239" s="2" t="s">
        <v>196</v>
      </c>
      <c r="E1239" s="3">
        <v>2999</v>
      </c>
      <c r="F1239" s="8">
        <v>2.9342999999999999</v>
      </c>
      <c r="G1239" s="4">
        <v>355.02159999999998</v>
      </c>
      <c r="H1239" s="4">
        <v>798.16049999999996</v>
      </c>
      <c r="I1239" s="4">
        <v>13.782500000000001</v>
      </c>
      <c r="J1239" s="4">
        <v>14.1425</v>
      </c>
      <c r="K1239" s="4">
        <v>13.512499999999999</v>
      </c>
      <c r="L1239" s="4">
        <v>13.72</v>
      </c>
      <c r="M1239" s="7">
        <v>-4.4999999999999997E-3</v>
      </c>
    </row>
    <row r="1240" spans="1:13" x14ac:dyDescent="0.2">
      <c r="A1240" s="6">
        <v>45750</v>
      </c>
      <c r="B1240" s="2" t="s">
        <v>227</v>
      </c>
      <c r="C1240" s="5">
        <v>45748</v>
      </c>
      <c r="D1240" s="2" t="s">
        <v>196</v>
      </c>
      <c r="E1240" s="3">
        <v>2992</v>
      </c>
      <c r="F1240" s="8">
        <v>3.3239000000000001</v>
      </c>
      <c r="G1240" s="4">
        <v>357.96050000000002</v>
      </c>
      <c r="H1240" s="4">
        <v>904.88869999999997</v>
      </c>
      <c r="I1240" s="4">
        <v>13.7225</v>
      </c>
      <c r="J1240" s="4">
        <v>14.1075</v>
      </c>
      <c r="K1240" s="4">
        <v>13.41</v>
      </c>
      <c r="L1240" s="4">
        <v>13.6</v>
      </c>
      <c r="M1240" s="7">
        <v>-8.8999999999999999E-3</v>
      </c>
    </row>
    <row r="1241" spans="1:13" x14ac:dyDescent="0.2">
      <c r="A1241" s="6">
        <v>45751</v>
      </c>
      <c r="B1241" s="2" t="s">
        <v>225</v>
      </c>
      <c r="C1241" s="5">
        <v>45748</v>
      </c>
      <c r="D1241" s="2" t="s">
        <v>196</v>
      </c>
      <c r="E1241" s="3">
        <v>2968</v>
      </c>
      <c r="F1241" s="8">
        <v>3.9174000000000002</v>
      </c>
      <c r="G1241" s="4">
        <v>377.33300000000003</v>
      </c>
      <c r="H1241" s="4">
        <v>1035.1315</v>
      </c>
      <c r="I1241" s="4">
        <v>13.6</v>
      </c>
      <c r="J1241" s="4">
        <v>14.2475</v>
      </c>
      <c r="K1241" s="4">
        <v>13.395</v>
      </c>
      <c r="L1241" s="4">
        <v>13.76</v>
      </c>
      <c r="M1241" s="7">
        <v>1.18E-2</v>
      </c>
    </row>
    <row r="1242" spans="1:13" x14ac:dyDescent="0.2">
      <c r="A1242" s="6">
        <v>45754</v>
      </c>
      <c r="B1242" s="2" t="s">
        <v>228</v>
      </c>
      <c r="C1242" s="5">
        <v>45748</v>
      </c>
      <c r="D1242" s="2" t="s">
        <v>196</v>
      </c>
      <c r="E1242" s="3">
        <v>3057</v>
      </c>
      <c r="F1242" s="8">
        <v>5.2721999999999998</v>
      </c>
      <c r="G1242" s="4">
        <v>463.61419999999998</v>
      </c>
      <c r="H1242" s="4">
        <v>1243.3530000000001</v>
      </c>
      <c r="I1242" s="4">
        <v>13.755000000000001</v>
      </c>
      <c r="J1242" s="4">
        <v>23.1875</v>
      </c>
      <c r="K1242" s="4">
        <v>13.755000000000001</v>
      </c>
      <c r="L1242" s="4">
        <v>22.79</v>
      </c>
      <c r="M1242" s="7">
        <v>0.65690000000000004</v>
      </c>
    </row>
    <row r="1243" spans="1:13" x14ac:dyDescent="0.2">
      <c r="A1243" s="6">
        <v>45755</v>
      </c>
      <c r="B1243" s="2" t="s">
        <v>226</v>
      </c>
      <c r="C1243" s="5">
        <v>45748</v>
      </c>
      <c r="D1243" s="2" t="s">
        <v>196</v>
      </c>
      <c r="E1243" s="3">
        <v>2976</v>
      </c>
      <c r="F1243" s="8">
        <v>3.5089999999999999</v>
      </c>
      <c r="G1243" s="4">
        <v>330.52640000000002</v>
      </c>
      <c r="H1243" s="4">
        <v>942.47400000000005</v>
      </c>
      <c r="I1243" s="4">
        <v>22.7925</v>
      </c>
      <c r="J1243" s="4">
        <v>22.7925</v>
      </c>
      <c r="K1243" s="4">
        <v>19.3825</v>
      </c>
      <c r="L1243" s="4">
        <v>20.440000000000001</v>
      </c>
      <c r="M1243" s="7">
        <v>-0.1032</v>
      </c>
    </row>
    <row r="1244" spans="1:13" x14ac:dyDescent="0.2">
      <c r="A1244" s="6">
        <v>45756</v>
      </c>
      <c r="B1244" s="2" t="s">
        <v>224</v>
      </c>
      <c r="C1244" s="5">
        <v>45748</v>
      </c>
      <c r="D1244" s="2" t="s">
        <v>196</v>
      </c>
      <c r="E1244" s="3">
        <v>2940</v>
      </c>
      <c r="F1244" s="8">
        <v>3.1960999999999999</v>
      </c>
      <c r="G1244" s="4">
        <v>282.64339999999999</v>
      </c>
      <c r="H1244" s="4">
        <v>809.76589999999999</v>
      </c>
      <c r="I1244" s="4">
        <v>20.442499999999999</v>
      </c>
      <c r="J1244" s="4">
        <v>21.747499999999999</v>
      </c>
      <c r="K1244" s="4">
        <v>19.697500000000002</v>
      </c>
      <c r="L1244" s="4">
        <v>21.43</v>
      </c>
      <c r="M1244" s="7">
        <v>4.8300000000000003E-2</v>
      </c>
    </row>
    <row r="1245" spans="1:13" x14ac:dyDescent="0.2">
      <c r="A1245" s="6">
        <v>45758</v>
      </c>
      <c r="B1245" s="2" t="s">
        <v>225</v>
      </c>
      <c r="C1245" s="5">
        <v>45748</v>
      </c>
      <c r="D1245" s="2" t="s">
        <v>196</v>
      </c>
      <c r="E1245" s="3">
        <v>2993</v>
      </c>
      <c r="F1245" s="8">
        <v>3.5265</v>
      </c>
      <c r="G1245" s="4">
        <v>327.61559999999997</v>
      </c>
      <c r="H1245" s="4">
        <v>948.49810000000002</v>
      </c>
      <c r="I1245" s="4">
        <v>21.43</v>
      </c>
      <c r="J1245" s="4">
        <v>21.43</v>
      </c>
      <c r="K1245" s="4">
        <v>18.855</v>
      </c>
      <c r="L1245" s="4">
        <v>20.11</v>
      </c>
      <c r="M1245" s="7">
        <v>-6.1600000000000002E-2</v>
      </c>
    </row>
    <row r="1246" spans="1:13" x14ac:dyDescent="0.2">
      <c r="A1246" s="6">
        <v>45762</v>
      </c>
      <c r="B1246" s="2" t="s">
        <v>226</v>
      </c>
      <c r="C1246" s="5">
        <v>45748</v>
      </c>
      <c r="D1246" s="2" t="s">
        <v>196</v>
      </c>
      <c r="E1246" s="3">
        <v>3053</v>
      </c>
      <c r="F1246" s="8">
        <v>3.6663999999999999</v>
      </c>
      <c r="G1246" s="4">
        <v>341.18630000000002</v>
      </c>
      <c r="H1246" s="4">
        <v>1017.7139</v>
      </c>
      <c r="I1246" s="4">
        <v>20.107500000000002</v>
      </c>
      <c r="J1246" s="4">
        <v>20.107500000000002</v>
      </c>
      <c r="K1246" s="4">
        <v>15.9725</v>
      </c>
      <c r="L1246" s="4">
        <v>16.13</v>
      </c>
      <c r="M1246" s="7">
        <v>-0.1978</v>
      </c>
    </row>
    <row r="1247" spans="1:13" x14ac:dyDescent="0.2">
      <c r="A1247" s="6">
        <v>45763</v>
      </c>
      <c r="B1247" s="2" t="s">
        <v>224</v>
      </c>
      <c r="C1247" s="5">
        <v>45748</v>
      </c>
      <c r="D1247" s="2" t="s">
        <v>196</v>
      </c>
      <c r="E1247" s="3">
        <v>3010</v>
      </c>
      <c r="F1247" s="8">
        <v>3.4333999999999998</v>
      </c>
      <c r="G1247" s="4">
        <v>342.06169999999997</v>
      </c>
      <c r="H1247" s="4">
        <v>920.99850000000004</v>
      </c>
      <c r="I1247" s="4">
        <v>16.125</v>
      </c>
      <c r="J1247" s="4">
        <v>16.125</v>
      </c>
      <c r="K1247" s="4">
        <v>15.115</v>
      </c>
      <c r="L1247" s="4">
        <v>15.87</v>
      </c>
      <c r="M1247" s="7">
        <v>-1.5800000000000002E-2</v>
      </c>
    </row>
    <row r="1248" spans="1:13" x14ac:dyDescent="0.2">
      <c r="A1248" s="6">
        <v>45764</v>
      </c>
      <c r="B1248" s="2" t="s">
        <v>227</v>
      </c>
      <c r="C1248" s="5">
        <v>45748</v>
      </c>
      <c r="D1248" s="2" t="s">
        <v>196</v>
      </c>
      <c r="E1248" s="3">
        <v>3015</v>
      </c>
      <c r="F1248" s="8">
        <v>3.5779999999999998</v>
      </c>
      <c r="G1248" s="4">
        <v>362.00720000000001</v>
      </c>
      <c r="H1248" s="4">
        <v>1027.4960000000001</v>
      </c>
      <c r="I1248" s="4">
        <v>15.865</v>
      </c>
      <c r="J1248" s="4">
        <v>16.462499999999999</v>
      </c>
      <c r="K1248" s="4">
        <v>15.09</v>
      </c>
      <c r="L1248" s="4">
        <v>15.47</v>
      </c>
      <c r="M1248" s="7">
        <v>-2.4899999999999999E-2</v>
      </c>
    </row>
    <row r="1249" spans="1:13" x14ac:dyDescent="0.2">
      <c r="A1249" s="6">
        <v>45768</v>
      </c>
      <c r="B1249" s="2" t="s">
        <v>228</v>
      </c>
      <c r="C1249" s="5">
        <v>45748</v>
      </c>
      <c r="D1249" s="2" t="s">
        <v>196</v>
      </c>
      <c r="E1249" s="3">
        <v>3053</v>
      </c>
      <c r="F1249" s="8">
        <v>3.7284999999999999</v>
      </c>
      <c r="G1249" s="4">
        <v>456.79539999999997</v>
      </c>
      <c r="H1249" s="4">
        <v>1053.9609</v>
      </c>
      <c r="I1249" s="4">
        <v>15.467499999999999</v>
      </c>
      <c r="J1249" s="4">
        <v>16.3325</v>
      </c>
      <c r="K1249" s="4">
        <v>14.217499999999999</v>
      </c>
      <c r="L1249" s="4">
        <v>15.52</v>
      </c>
      <c r="M1249" s="7">
        <v>3.3999999999999998E-3</v>
      </c>
    </row>
    <row r="1250" spans="1:13" x14ac:dyDescent="0.2">
      <c r="A1250" s="6">
        <v>45769</v>
      </c>
      <c r="B1250" s="2" t="s">
        <v>226</v>
      </c>
      <c r="C1250" s="5">
        <v>45748</v>
      </c>
      <c r="D1250" s="2" t="s">
        <v>196</v>
      </c>
      <c r="E1250" s="3">
        <v>3021</v>
      </c>
      <c r="F1250" s="8">
        <v>3.5851999999999999</v>
      </c>
      <c r="G1250" s="4">
        <v>417.101</v>
      </c>
      <c r="H1250" s="4">
        <v>1090.8429000000001</v>
      </c>
      <c r="I1250" s="4">
        <v>15.515000000000001</v>
      </c>
      <c r="J1250" s="4">
        <v>16.0075</v>
      </c>
      <c r="K1250" s="4">
        <v>14.54</v>
      </c>
      <c r="L1250" s="4">
        <v>15.23</v>
      </c>
      <c r="M1250" s="7">
        <v>-1.84E-2</v>
      </c>
    </row>
    <row r="1251" spans="1:13" x14ac:dyDescent="0.2">
      <c r="A1251" s="6">
        <v>45770</v>
      </c>
      <c r="B1251" s="2" t="s">
        <v>224</v>
      </c>
      <c r="C1251" s="5">
        <v>45748</v>
      </c>
      <c r="D1251" s="2" t="s">
        <v>196</v>
      </c>
      <c r="E1251" s="3">
        <v>2970</v>
      </c>
      <c r="F1251" s="8">
        <v>3.6724999999999999</v>
      </c>
      <c r="G1251" s="4">
        <v>390.84930000000003</v>
      </c>
      <c r="H1251" s="4">
        <v>1162.4544000000001</v>
      </c>
      <c r="I1251" s="4">
        <v>15.23</v>
      </c>
      <c r="J1251" s="4">
        <v>16.517499999999998</v>
      </c>
      <c r="K1251" s="4">
        <v>12.842499999999999</v>
      </c>
      <c r="L1251" s="4">
        <v>15.96</v>
      </c>
      <c r="M1251" s="7">
        <v>4.7899999999999998E-2</v>
      </c>
    </row>
    <row r="1252" spans="1:13" x14ac:dyDescent="0.2">
      <c r="A1252" s="6">
        <v>45771</v>
      </c>
      <c r="B1252" s="2" t="s">
        <v>227</v>
      </c>
      <c r="C1252" s="5">
        <v>45748</v>
      </c>
      <c r="D1252" s="2" t="s">
        <v>196</v>
      </c>
      <c r="E1252" s="3">
        <v>2967</v>
      </c>
      <c r="F1252" s="8">
        <v>3.4965000000000002</v>
      </c>
      <c r="G1252" s="4">
        <v>373.56889999999999</v>
      </c>
      <c r="H1252" s="4">
        <v>1085.1895999999999</v>
      </c>
      <c r="I1252" s="4">
        <v>15.96</v>
      </c>
      <c r="J1252" s="4">
        <v>16.762499999999999</v>
      </c>
      <c r="K1252" s="4">
        <v>15.5525</v>
      </c>
      <c r="L1252" s="4">
        <v>16.25</v>
      </c>
      <c r="M1252" s="7">
        <v>1.8200000000000001E-2</v>
      </c>
    </row>
    <row r="1253" spans="1:13" x14ac:dyDescent="0.2">
      <c r="A1253" s="6">
        <v>45772</v>
      </c>
      <c r="B1253" s="2" t="s">
        <v>225</v>
      </c>
      <c r="C1253" s="5">
        <v>45748</v>
      </c>
      <c r="D1253" s="2" t="s">
        <v>196</v>
      </c>
      <c r="E1253" s="3">
        <v>2982</v>
      </c>
      <c r="F1253" s="8">
        <v>4.1760999999999999</v>
      </c>
      <c r="G1253" s="4">
        <v>537.26660000000004</v>
      </c>
      <c r="H1253" s="4">
        <v>1138.5006000000001</v>
      </c>
      <c r="I1253" s="4">
        <v>16.25</v>
      </c>
      <c r="J1253" s="4">
        <v>17.574999999999999</v>
      </c>
      <c r="K1253" s="4">
        <v>15.914999999999999</v>
      </c>
      <c r="L1253" s="4">
        <v>17.16</v>
      </c>
      <c r="M1253" s="7">
        <v>5.6000000000000001E-2</v>
      </c>
    </row>
    <row r="1254" spans="1:13" x14ac:dyDescent="0.2">
      <c r="A1254" s="6">
        <v>45775</v>
      </c>
      <c r="B1254" s="2" t="s">
        <v>228</v>
      </c>
      <c r="C1254" s="5">
        <v>45748</v>
      </c>
      <c r="D1254" s="2" t="s">
        <v>196</v>
      </c>
      <c r="E1254" s="3">
        <v>3023</v>
      </c>
      <c r="F1254" s="8">
        <v>3.2747000000000002</v>
      </c>
      <c r="G1254" s="4">
        <v>298.41480000000001</v>
      </c>
      <c r="H1254" s="4">
        <v>900.99310000000003</v>
      </c>
      <c r="I1254" s="4">
        <v>17.157499999999999</v>
      </c>
      <c r="J1254" s="4">
        <v>18.072500000000002</v>
      </c>
      <c r="K1254" s="4">
        <v>16.622499999999999</v>
      </c>
      <c r="L1254" s="4">
        <v>16.940000000000001</v>
      </c>
      <c r="M1254" s="7">
        <v>-1.2699999999999999E-2</v>
      </c>
    </row>
    <row r="1255" spans="1:13" x14ac:dyDescent="0.2">
      <c r="A1255" s="6">
        <v>45776</v>
      </c>
      <c r="B1255" s="2" t="s">
        <v>226</v>
      </c>
      <c r="C1255" s="5">
        <v>45748</v>
      </c>
      <c r="D1255" s="2" t="s">
        <v>196</v>
      </c>
      <c r="E1255" s="3">
        <v>2970</v>
      </c>
      <c r="F1255" s="8">
        <v>3.2359</v>
      </c>
      <c r="G1255" s="4">
        <v>311.28300000000002</v>
      </c>
      <c r="H1255" s="4">
        <v>1026.9654</v>
      </c>
      <c r="I1255" s="4">
        <v>16.940000000000001</v>
      </c>
      <c r="J1255" s="4">
        <v>17.585000000000001</v>
      </c>
      <c r="K1255" s="4">
        <v>16.065000000000001</v>
      </c>
      <c r="L1255" s="4">
        <v>17.37</v>
      </c>
      <c r="M1255" s="7">
        <v>2.5399999999999999E-2</v>
      </c>
    </row>
    <row r="1256" spans="1:13" x14ac:dyDescent="0.2">
      <c r="A1256" s="6">
        <v>45777</v>
      </c>
      <c r="B1256" s="2" t="s">
        <v>224</v>
      </c>
      <c r="C1256" s="5">
        <v>45748</v>
      </c>
      <c r="D1256" s="2" t="s">
        <v>196</v>
      </c>
      <c r="E1256" s="3">
        <v>2966</v>
      </c>
      <c r="F1256" s="8">
        <v>3.5895000000000001</v>
      </c>
      <c r="G1256" s="4">
        <v>306.66419999999999</v>
      </c>
      <c r="H1256" s="4">
        <v>1100.8758</v>
      </c>
      <c r="I1256" s="4">
        <v>17.37</v>
      </c>
      <c r="J1256" s="4">
        <v>18.559999999999999</v>
      </c>
      <c r="K1256" s="4">
        <v>15.984999999999999</v>
      </c>
      <c r="L1256" s="4">
        <v>18.22</v>
      </c>
      <c r="M1256" s="7">
        <v>4.8899999999999999E-2</v>
      </c>
    </row>
    <row r="1257" spans="1:13" x14ac:dyDescent="0.2">
      <c r="A1257" s="6">
        <v>45779</v>
      </c>
      <c r="B1257" s="2" t="s">
        <v>225</v>
      </c>
      <c r="C1257" s="5">
        <v>45778</v>
      </c>
      <c r="D1257" s="2" t="s">
        <v>196</v>
      </c>
      <c r="E1257" s="3">
        <v>2977</v>
      </c>
      <c r="F1257" s="8">
        <v>3.5535999999999999</v>
      </c>
      <c r="G1257" s="4">
        <v>297.3997</v>
      </c>
      <c r="H1257" s="4">
        <v>1008.9516</v>
      </c>
      <c r="I1257" s="4">
        <v>18.2225</v>
      </c>
      <c r="J1257" s="4">
        <v>18.862500000000001</v>
      </c>
      <c r="K1257" s="4">
        <v>17.350000000000001</v>
      </c>
      <c r="L1257" s="4">
        <v>18.260000000000002</v>
      </c>
      <c r="M1257" s="7">
        <v>2.0999999999999999E-3</v>
      </c>
    </row>
    <row r="1258" spans="1:13" x14ac:dyDescent="0.2">
      <c r="A1258" s="6">
        <v>45782</v>
      </c>
      <c r="B1258" s="2" t="s">
        <v>228</v>
      </c>
      <c r="C1258" s="5">
        <v>45778</v>
      </c>
      <c r="D1258" s="2" t="s">
        <v>196</v>
      </c>
      <c r="E1258" s="3">
        <v>3012</v>
      </c>
      <c r="F1258" s="8">
        <v>3.1303000000000001</v>
      </c>
      <c r="G1258" s="4">
        <v>293.72129999999999</v>
      </c>
      <c r="H1258" s="4">
        <v>898.85270000000003</v>
      </c>
      <c r="I1258" s="4">
        <v>18.2575</v>
      </c>
      <c r="J1258" s="4">
        <v>18.795000000000002</v>
      </c>
      <c r="K1258" s="4">
        <v>18.067499999999999</v>
      </c>
      <c r="L1258" s="4">
        <v>18.34</v>
      </c>
      <c r="M1258" s="7">
        <v>4.4999999999999997E-3</v>
      </c>
    </row>
    <row r="1259" spans="1:13" x14ac:dyDescent="0.2">
      <c r="A1259" s="6">
        <v>45783</v>
      </c>
      <c r="B1259" s="2" t="s">
        <v>226</v>
      </c>
      <c r="C1259" s="5">
        <v>45778</v>
      </c>
      <c r="D1259" s="2" t="s">
        <v>196</v>
      </c>
      <c r="E1259" s="3">
        <v>2976</v>
      </c>
      <c r="F1259" s="8">
        <v>3.2311000000000001</v>
      </c>
      <c r="G1259" s="4">
        <v>330.3263</v>
      </c>
      <c r="H1259" s="4">
        <v>904.54160000000002</v>
      </c>
      <c r="I1259" s="4">
        <v>18.337499999999999</v>
      </c>
      <c r="J1259" s="4">
        <v>19.302499999999998</v>
      </c>
      <c r="K1259" s="4">
        <v>17.987500000000001</v>
      </c>
      <c r="L1259" s="4">
        <v>19</v>
      </c>
      <c r="M1259" s="7">
        <v>3.61E-2</v>
      </c>
    </row>
    <row r="1260" spans="1:13" x14ac:dyDescent="0.2">
      <c r="A1260" s="6">
        <v>45784</v>
      </c>
      <c r="B1260" s="2" t="s">
        <v>224</v>
      </c>
      <c r="C1260" s="5">
        <v>45778</v>
      </c>
      <c r="D1260" s="2" t="s">
        <v>196</v>
      </c>
      <c r="E1260" s="3">
        <v>2938</v>
      </c>
      <c r="F1260" s="8">
        <v>3.4982000000000002</v>
      </c>
      <c r="G1260" s="4">
        <v>331.96940000000001</v>
      </c>
      <c r="H1260" s="4">
        <v>1012.2347</v>
      </c>
      <c r="I1260" s="4">
        <v>18.995000000000001</v>
      </c>
      <c r="J1260" s="4">
        <v>19.73</v>
      </c>
      <c r="K1260" s="4">
        <v>18.364999999999998</v>
      </c>
      <c r="L1260" s="4">
        <v>19.059999999999999</v>
      </c>
      <c r="M1260" s="7">
        <v>3.3999999999999998E-3</v>
      </c>
    </row>
    <row r="1261" spans="1:13" x14ac:dyDescent="0.2">
      <c r="A1261" s="6">
        <v>45785</v>
      </c>
      <c r="B1261" s="2" t="s">
        <v>227</v>
      </c>
      <c r="C1261" s="5">
        <v>45778</v>
      </c>
      <c r="D1261" s="2" t="s">
        <v>196</v>
      </c>
      <c r="E1261" s="3">
        <v>2963</v>
      </c>
      <c r="F1261" s="8">
        <v>3.5375999999999999</v>
      </c>
      <c r="G1261" s="4">
        <v>340.36450000000002</v>
      </c>
      <c r="H1261" s="4">
        <v>1056.0586000000001</v>
      </c>
      <c r="I1261" s="4">
        <v>19.059999999999999</v>
      </c>
      <c r="J1261" s="4">
        <v>21.892499999999998</v>
      </c>
      <c r="K1261" s="4">
        <v>18.1525</v>
      </c>
      <c r="L1261" s="4">
        <v>21.01</v>
      </c>
      <c r="M1261" s="7">
        <v>0.1023</v>
      </c>
    </row>
    <row r="1262" spans="1:13" x14ac:dyDescent="0.2">
      <c r="A1262" s="6">
        <v>45786</v>
      </c>
      <c r="B1262" s="2" t="s">
        <v>225</v>
      </c>
      <c r="C1262" s="5">
        <v>45778</v>
      </c>
      <c r="D1262" s="2" t="s">
        <v>196</v>
      </c>
      <c r="E1262" s="3">
        <v>2922</v>
      </c>
      <c r="F1262" s="8">
        <v>3.5230999999999999</v>
      </c>
      <c r="G1262" s="4">
        <v>387.60129999999998</v>
      </c>
      <c r="H1262" s="4">
        <v>945.50760000000002</v>
      </c>
      <c r="I1262" s="4">
        <v>21.0075</v>
      </c>
      <c r="J1262" s="4">
        <v>22.747499999999999</v>
      </c>
      <c r="K1262" s="4">
        <v>21.002500000000001</v>
      </c>
      <c r="L1262" s="4">
        <v>21.63</v>
      </c>
      <c r="M1262" s="7">
        <v>2.9600000000000001E-2</v>
      </c>
    </row>
    <row r="1263" spans="1:13" x14ac:dyDescent="0.2">
      <c r="A1263" s="6">
        <v>45789</v>
      </c>
      <c r="B1263" s="2" t="s">
        <v>228</v>
      </c>
      <c r="C1263" s="5">
        <v>45778</v>
      </c>
      <c r="D1263" s="2" t="s">
        <v>196</v>
      </c>
      <c r="E1263" s="3">
        <v>3036</v>
      </c>
      <c r="F1263" s="8">
        <v>3.5316999999999998</v>
      </c>
      <c r="G1263" s="4">
        <v>420.41120000000001</v>
      </c>
      <c r="H1263" s="4">
        <v>1067.51</v>
      </c>
      <c r="I1263" s="4">
        <v>21.6325</v>
      </c>
      <c r="J1263" s="4">
        <v>21.6325</v>
      </c>
      <c r="K1263" s="4">
        <v>17.2075</v>
      </c>
      <c r="L1263" s="4">
        <v>18.39</v>
      </c>
      <c r="M1263" s="7">
        <v>-0.14990000000000001</v>
      </c>
    </row>
    <row r="1264" spans="1:13" x14ac:dyDescent="0.2">
      <c r="A1264" s="6">
        <v>45790</v>
      </c>
      <c r="B1264" s="2" t="s">
        <v>226</v>
      </c>
      <c r="C1264" s="5">
        <v>45778</v>
      </c>
      <c r="D1264" s="2" t="s">
        <v>196</v>
      </c>
      <c r="E1264" s="3">
        <v>2982</v>
      </c>
      <c r="F1264" s="8">
        <v>3.6175999999999999</v>
      </c>
      <c r="G1264" s="4">
        <v>374.68790000000001</v>
      </c>
      <c r="H1264" s="4">
        <v>1149.4286999999999</v>
      </c>
      <c r="I1264" s="4">
        <v>18.392499999999998</v>
      </c>
      <c r="J1264" s="4">
        <v>18.9025</v>
      </c>
      <c r="K1264" s="4">
        <v>17.892499999999998</v>
      </c>
      <c r="L1264" s="4">
        <v>18.2</v>
      </c>
      <c r="M1264" s="7">
        <v>-1.0500000000000001E-2</v>
      </c>
    </row>
    <row r="1265" spans="1:13" x14ac:dyDescent="0.2">
      <c r="A1265" s="6">
        <v>45791</v>
      </c>
      <c r="B1265" s="2" t="s">
        <v>224</v>
      </c>
      <c r="C1265" s="5">
        <v>45778</v>
      </c>
      <c r="D1265" s="2" t="s">
        <v>196</v>
      </c>
      <c r="E1265" s="3">
        <v>2991</v>
      </c>
      <c r="F1265" s="8">
        <v>3.6707000000000001</v>
      </c>
      <c r="G1265" s="4">
        <v>376.32440000000003</v>
      </c>
      <c r="H1265" s="4">
        <v>1158.69</v>
      </c>
      <c r="I1265" s="4">
        <v>18.2</v>
      </c>
      <c r="J1265" s="4">
        <v>19.2425</v>
      </c>
      <c r="K1265" s="4">
        <v>17.0825</v>
      </c>
      <c r="L1265" s="4">
        <v>17.23</v>
      </c>
      <c r="M1265" s="7">
        <v>-5.33E-2</v>
      </c>
    </row>
    <row r="1266" spans="1:13" x14ac:dyDescent="0.2">
      <c r="A1266" s="6">
        <v>45792</v>
      </c>
      <c r="B1266" s="2" t="s">
        <v>227</v>
      </c>
      <c r="C1266" s="5">
        <v>45778</v>
      </c>
      <c r="D1266" s="2" t="s">
        <v>196</v>
      </c>
      <c r="E1266" s="3">
        <v>2969</v>
      </c>
      <c r="F1266" s="8">
        <v>3.7208000000000001</v>
      </c>
      <c r="G1266" s="4">
        <v>425.84519999999998</v>
      </c>
      <c r="H1266" s="4">
        <v>1278.9060999999999</v>
      </c>
      <c r="I1266" s="4">
        <v>17.225000000000001</v>
      </c>
      <c r="J1266" s="4">
        <v>17.672499999999999</v>
      </c>
      <c r="K1266" s="4">
        <v>16.72</v>
      </c>
      <c r="L1266" s="4">
        <v>16.89</v>
      </c>
      <c r="M1266" s="7">
        <v>-1.9400000000000001E-2</v>
      </c>
    </row>
    <row r="1267" spans="1:13" x14ac:dyDescent="0.2">
      <c r="A1267" s="6">
        <v>45793</v>
      </c>
      <c r="B1267" s="2" t="s">
        <v>225</v>
      </c>
      <c r="C1267" s="5">
        <v>45778</v>
      </c>
      <c r="D1267" s="2" t="s">
        <v>196</v>
      </c>
      <c r="E1267" s="3">
        <v>2990</v>
      </c>
      <c r="F1267" s="8">
        <v>3.8325</v>
      </c>
      <c r="G1267" s="4">
        <v>460.59559999999999</v>
      </c>
      <c r="H1267" s="4">
        <v>1498.1759</v>
      </c>
      <c r="I1267" s="4">
        <v>16.892499999999998</v>
      </c>
      <c r="J1267" s="4">
        <v>17.055</v>
      </c>
      <c r="K1267" s="4">
        <v>16.215</v>
      </c>
      <c r="L1267" s="4">
        <v>16.55</v>
      </c>
      <c r="M1267" s="7">
        <v>-2.0299999999999999E-2</v>
      </c>
    </row>
    <row r="1268" spans="1:13" x14ac:dyDescent="0.2">
      <c r="A1268" s="6">
        <v>45796</v>
      </c>
      <c r="B1268" s="2" t="s">
        <v>228</v>
      </c>
      <c r="C1268" s="5">
        <v>45778</v>
      </c>
      <c r="D1268" s="2" t="s">
        <v>196</v>
      </c>
      <c r="E1268" s="3">
        <v>3026</v>
      </c>
      <c r="F1268" s="8">
        <v>3.7944</v>
      </c>
      <c r="G1268" s="4">
        <v>536.72260000000006</v>
      </c>
      <c r="H1268" s="4">
        <v>1161.1649</v>
      </c>
      <c r="I1268" s="4">
        <v>16.55</v>
      </c>
      <c r="J1268" s="4">
        <v>17.447500000000002</v>
      </c>
      <c r="K1268" s="4">
        <v>15.827500000000001</v>
      </c>
      <c r="L1268" s="4">
        <v>17.36</v>
      </c>
      <c r="M1268" s="7">
        <v>4.8899999999999999E-2</v>
      </c>
    </row>
    <row r="1269" spans="1:13" x14ac:dyDescent="0.2">
      <c r="A1269" s="6">
        <v>45797</v>
      </c>
      <c r="B1269" s="2" t="s">
        <v>226</v>
      </c>
      <c r="C1269" s="5">
        <v>45778</v>
      </c>
      <c r="D1269" s="2" t="s">
        <v>196</v>
      </c>
      <c r="E1269" s="3">
        <v>2993</v>
      </c>
      <c r="F1269" s="8">
        <v>3.6335000000000002</v>
      </c>
      <c r="G1269" s="4">
        <v>430.37360000000001</v>
      </c>
      <c r="H1269" s="4">
        <v>1168.5089</v>
      </c>
      <c r="I1269" s="4">
        <v>17.355</v>
      </c>
      <c r="J1269" s="4">
        <v>17.66</v>
      </c>
      <c r="K1269" s="4">
        <v>15.967499999999999</v>
      </c>
      <c r="L1269" s="4">
        <v>17.39</v>
      </c>
      <c r="M1269" s="7">
        <v>2E-3</v>
      </c>
    </row>
    <row r="1270" spans="1:13" x14ac:dyDescent="0.2">
      <c r="A1270" s="6">
        <v>45798</v>
      </c>
      <c r="B1270" s="2" t="s">
        <v>224</v>
      </c>
      <c r="C1270" s="5">
        <v>45778</v>
      </c>
      <c r="D1270" s="2" t="s">
        <v>196</v>
      </c>
      <c r="E1270" s="3">
        <v>2972</v>
      </c>
      <c r="F1270" s="8">
        <v>3.2456</v>
      </c>
      <c r="G1270" s="4">
        <v>374.62009999999998</v>
      </c>
      <c r="H1270" s="4">
        <v>989.48360000000002</v>
      </c>
      <c r="I1270" s="4">
        <v>17.385000000000002</v>
      </c>
      <c r="J1270" s="4">
        <v>17.997499999999999</v>
      </c>
      <c r="K1270" s="4">
        <v>17.0425</v>
      </c>
      <c r="L1270" s="4">
        <v>17.55</v>
      </c>
      <c r="M1270" s="7">
        <v>9.4999999999999998E-3</v>
      </c>
    </row>
    <row r="1271" spans="1:13" x14ac:dyDescent="0.2">
      <c r="A1271" s="6">
        <v>45799</v>
      </c>
      <c r="B1271" s="2" t="s">
        <v>227</v>
      </c>
      <c r="C1271" s="5">
        <v>45778</v>
      </c>
      <c r="D1271" s="2" t="s">
        <v>196</v>
      </c>
      <c r="E1271" s="3">
        <v>2972</v>
      </c>
      <c r="F1271" s="8">
        <v>3.2585000000000002</v>
      </c>
      <c r="G1271" s="4">
        <v>347.76600000000002</v>
      </c>
      <c r="H1271" s="4">
        <v>1063.5518999999999</v>
      </c>
      <c r="I1271" s="4">
        <v>17.547499999999999</v>
      </c>
      <c r="J1271" s="4">
        <v>18.202500000000001</v>
      </c>
      <c r="K1271" s="4">
        <v>16.704999999999998</v>
      </c>
      <c r="L1271" s="4">
        <v>17.260000000000002</v>
      </c>
      <c r="M1271" s="7">
        <v>-1.6400000000000001E-2</v>
      </c>
    </row>
    <row r="1272" spans="1:13" x14ac:dyDescent="0.2">
      <c r="A1272" s="6">
        <v>45800</v>
      </c>
      <c r="B1272" s="2" t="s">
        <v>225</v>
      </c>
      <c r="C1272" s="5">
        <v>45778</v>
      </c>
      <c r="D1272" s="2" t="s">
        <v>196</v>
      </c>
      <c r="E1272" s="3">
        <v>2975</v>
      </c>
      <c r="F1272" s="8">
        <v>3.1183999999999998</v>
      </c>
      <c r="G1272" s="4">
        <v>382.22410000000002</v>
      </c>
      <c r="H1272" s="4">
        <v>952.45460000000003</v>
      </c>
      <c r="I1272" s="4">
        <v>17.2575</v>
      </c>
      <c r="J1272" s="4">
        <v>17.522500000000001</v>
      </c>
      <c r="K1272" s="4">
        <v>15.484999999999999</v>
      </c>
      <c r="L1272" s="4">
        <v>17.28</v>
      </c>
      <c r="M1272" s="7">
        <v>1.2999999999999999E-3</v>
      </c>
    </row>
    <row r="1273" spans="1:13" x14ac:dyDescent="0.2">
      <c r="A1273" s="6">
        <v>45803</v>
      </c>
      <c r="B1273" s="2" t="s">
        <v>228</v>
      </c>
      <c r="C1273" s="5">
        <v>45778</v>
      </c>
      <c r="D1273" s="2" t="s">
        <v>196</v>
      </c>
      <c r="E1273" s="3">
        <v>3008</v>
      </c>
      <c r="F1273" s="8">
        <v>3.2061000000000002</v>
      </c>
      <c r="G1273" s="4">
        <v>384.81959999999998</v>
      </c>
      <c r="H1273" s="4">
        <v>931.7047</v>
      </c>
      <c r="I1273" s="4">
        <v>17.2775</v>
      </c>
      <c r="J1273" s="4">
        <v>18.412500000000001</v>
      </c>
      <c r="K1273" s="4">
        <v>16.057500000000001</v>
      </c>
      <c r="L1273" s="4">
        <v>18.02</v>
      </c>
      <c r="M1273" s="7">
        <v>4.2999999999999997E-2</v>
      </c>
    </row>
    <row r="1274" spans="1:13" x14ac:dyDescent="0.2">
      <c r="A1274" s="6">
        <v>45804</v>
      </c>
      <c r="B1274" s="2" t="s">
        <v>226</v>
      </c>
      <c r="C1274" s="5">
        <v>45778</v>
      </c>
      <c r="D1274" s="2" t="s">
        <v>196</v>
      </c>
      <c r="E1274" s="3">
        <v>2983</v>
      </c>
      <c r="F1274" s="8">
        <v>3.2541000000000002</v>
      </c>
      <c r="G1274" s="4">
        <v>373.93549999999999</v>
      </c>
      <c r="H1274" s="4">
        <v>1192.8545999999999</v>
      </c>
      <c r="I1274" s="4">
        <v>18.02</v>
      </c>
      <c r="J1274" s="4">
        <v>19.184999999999999</v>
      </c>
      <c r="K1274" s="4">
        <v>17.420000000000002</v>
      </c>
      <c r="L1274" s="4">
        <v>18.54</v>
      </c>
      <c r="M1274" s="7">
        <v>2.8899999999999999E-2</v>
      </c>
    </row>
    <row r="1275" spans="1:13" x14ac:dyDescent="0.2">
      <c r="A1275" s="6">
        <v>45805</v>
      </c>
      <c r="B1275" s="2" t="s">
        <v>224</v>
      </c>
      <c r="C1275" s="5">
        <v>45778</v>
      </c>
      <c r="D1275" s="2" t="s">
        <v>196</v>
      </c>
      <c r="E1275" s="3">
        <v>2973</v>
      </c>
      <c r="F1275" s="8">
        <v>3.1772999999999998</v>
      </c>
      <c r="G1275" s="4">
        <v>486.4699</v>
      </c>
      <c r="H1275" s="4">
        <v>1125.3856000000001</v>
      </c>
      <c r="I1275" s="4">
        <v>18.535</v>
      </c>
      <c r="J1275" s="4">
        <v>19.035</v>
      </c>
      <c r="K1275" s="4">
        <v>17.875</v>
      </c>
      <c r="L1275" s="4">
        <v>18.02</v>
      </c>
      <c r="M1275" s="7">
        <v>-2.7799999999999998E-2</v>
      </c>
    </row>
    <row r="1276" spans="1:13" x14ac:dyDescent="0.2">
      <c r="A1276" s="6">
        <v>45806</v>
      </c>
      <c r="B1276" s="2" t="s">
        <v>227</v>
      </c>
      <c r="C1276" s="5">
        <v>45778</v>
      </c>
      <c r="D1276" s="2" t="s">
        <v>196</v>
      </c>
      <c r="E1276" s="3">
        <v>2980</v>
      </c>
      <c r="F1276" s="8">
        <v>3.3671000000000002</v>
      </c>
      <c r="G1276" s="4">
        <v>384.79039999999998</v>
      </c>
      <c r="H1276" s="4">
        <v>1073.7652</v>
      </c>
      <c r="I1276" s="4">
        <v>18.017499999999998</v>
      </c>
      <c r="J1276" s="4">
        <v>18.017499999999998</v>
      </c>
      <c r="K1276" s="4">
        <v>16.2075</v>
      </c>
      <c r="L1276" s="4">
        <v>16.420000000000002</v>
      </c>
      <c r="M1276" s="7">
        <v>-8.8700000000000001E-2</v>
      </c>
    </row>
    <row r="1277" spans="1:13" x14ac:dyDescent="0.2">
      <c r="A1277" s="6">
        <v>45807</v>
      </c>
      <c r="B1277" s="2" t="s">
        <v>225</v>
      </c>
      <c r="C1277" s="5">
        <v>45778</v>
      </c>
      <c r="D1277" s="2" t="s">
        <v>196</v>
      </c>
      <c r="E1277" s="3">
        <v>2986</v>
      </c>
      <c r="F1277" s="8">
        <v>3.8839000000000001</v>
      </c>
      <c r="G1277" s="4">
        <v>660.46939999999995</v>
      </c>
      <c r="H1277" s="4">
        <v>1687.9474</v>
      </c>
      <c r="I1277" s="4">
        <v>16.420000000000002</v>
      </c>
      <c r="J1277" s="4">
        <v>16.545000000000002</v>
      </c>
      <c r="K1277" s="4">
        <v>15.2875</v>
      </c>
      <c r="L1277" s="4">
        <v>16.079999999999998</v>
      </c>
      <c r="M1277" s="7">
        <v>-2.07E-2</v>
      </c>
    </row>
    <row r="1278" spans="1:13" x14ac:dyDescent="0.2">
      <c r="A1278" s="6">
        <v>45810</v>
      </c>
      <c r="B1278" s="2" t="s">
        <v>228</v>
      </c>
      <c r="C1278" s="5">
        <v>45809</v>
      </c>
      <c r="D1278" s="2" t="s">
        <v>196</v>
      </c>
      <c r="E1278" s="3">
        <v>3038</v>
      </c>
      <c r="F1278" s="8">
        <v>3.6654</v>
      </c>
      <c r="G1278" s="4">
        <v>527.08860000000004</v>
      </c>
      <c r="H1278" s="4">
        <v>1077.0536</v>
      </c>
      <c r="I1278" s="4">
        <v>16.077500000000001</v>
      </c>
      <c r="J1278" s="4">
        <v>17.727499999999999</v>
      </c>
      <c r="K1278" s="4">
        <v>16.077500000000001</v>
      </c>
      <c r="L1278" s="4">
        <v>17.16</v>
      </c>
      <c r="M1278" s="7">
        <v>6.7299999999999999E-2</v>
      </c>
    </row>
    <row r="1279" spans="1:13" x14ac:dyDescent="0.2">
      <c r="A1279" s="6">
        <v>45811</v>
      </c>
      <c r="B1279" s="2" t="s">
        <v>226</v>
      </c>
      <c r="C1279" s="5">
        <v>45809</v>
      </c>
      <c r="D1279" s="2" t="s">
        <v>196</v>
      </c>
      <c r="E1279" s="3">
        <v>3025</v>
      </c>
      <c r="F1279" s="8">
        <v>3.6194000000000002</v>
      </c>
      <c r="G1279" s="4">
        <v>579.37279999999998</v>
      </c>
      <c r="H1279" s="4">
        <v>1162.1190999999999</v>
      </c>
      <c r="I1279" s="4">
        <v>17.157499999999999</v>
      </c>
      <c r="J1279" s="4">
        <v>17.727499999999999</v>
      </c>
      <c r="K1279" s="4">
        <v>16.2575</v>
      </c>
      <c r="L1279" s="4">
        <v>16.559999999999999</v>
      </c>
      <c r="M1279" s="7">
        <v>-3.4799999999999998E-2</v>
      </c>
    </row>
    <row r="1280" spans="1:13" x14ac:dyDescent="0.2">
      <c r="A1280" s="6">
        <v>45812</v>
      </c>
      <c r="B1280" s="2" t="s">
        <v>224</v>
      </c>
      <c r="C1280" s="5">
        <v>45809</v>
      </c>
      <c r="D1280" s="2" t="s">
        <v>196</v>
      </c>
      <c r="E1280" s="3">
        <v>3004</v>
      </c>
      <c r="F1280" s="8">
        <v>3.3412000000000002</v>
      </c>
      <c r="G1280" s="4">
        <v>439.13600000000002</v>
      </c>
      <c r="H1280" s="4">
        <v>1108.4002</v>
      </c>
      <c r="I1280" s="4">
        <v>16.555</v>
      </c>
      <c r="J1280" s="4">
        <v>17.059999999999999</v>
      </c>
      <c r="K1280" s="4">
        <v>15.63</v>
      </c>
      <c r="L1280" s="4">
        <v>15.75</v>
      </c>
      <c r="M1280" s="7">
        <v>-4.8599999999999997E-2</v>
      </c>
    </row>
    <row r="1281" spans="1:13" x14ac:dyDescent="0.2">
      <c r="A1281" s="6">
        <v>45813</v>
      </c>
      <c r="B1281" s="2" t="s">
        <v>227</v>
      </c>
      <c r="C1281" s="5">
        <v>45809</v>
      </c>
      <c r="D1281" s="2" t="s">
        <v>196</v>
      </c>
      <c r="E1281" s="3">
        <v>2995</v>
      </c>
      <c r="F1281" s="8">
        <v>3.4199000000000002</v>
      </c>
      <c r="G1281" s="4">
        <v>396.03289999999998</v>
      </c>
      <c r="H1281" s="4">
        <v>1171.1584</v>
      </c>
      <c r="I1281" s="4">
        <v>15.744999999999999</v>
      </c>
      <c r="J1281" s="4">
        <v>15.932499999999999</v>
      </c>
      <c r="K1281" s="4">
        <v>14.9825</v>
      </c>
      <c r="L1281" s="4">
        <v>15.08</v>
      </c>
      <c r="M1281" s="7">
        <v>-4.2200000000000001E-2</v>
      </c>
    </row>
    <row r="1282" spans="1:13" x14ac:dyDescent="0.2">
      <c r="A1282" s="6">
        <v>45814</v>
      </c>
      <c r="B1282" s="2" t="s">
        <v>225</v>
      </c>
      <c r="C1282" s="5">
        <v>45809</v>
      </c>
      <c r="D1282" s="2" t="s">
        <v>196</v>
      </c>
      <c r="E1282" s="3">
        <v>3020</v>
      </c>
      <c r="F1282" s="8">
        <v>3.6280000000000001</v>
      </c>
      <c r="G1282" s="4">
        <v>444.92099999999999</v>
      </c>
      <c r="H1282" s="4">
        <v>1325.4083000000001</v>
      </c>
      <c r="I1282" s="4">
        <v>15.0825</v>
      </c>
      <c r="J1282" s="4">
        <v>15.61</v>
      </c>
      <c r="K1282" s="4">
        <v>14.3675</v>
      </c>
      <c r="L1282" s="4">
        <v>14.63</v>
      </c>
      <c r="M1282" s="7">
        <v>-0.03</v>
      </c>
    </row>
    <row r="1283" spans="1:13" x14ac:dyDescent="0.2">
      <c r="A1283" s="6">
        <v>45817</v>
      </c>
      <c r="B1283" s="2" t="s">
        <v>228</v>
      </c>
      <c r="C1283" s="5">
        <v>45809</v>
      </c>
      <c r="D1283" s="2" t="s">
        <v>196</v>
      </c>
      <c r="E1283" s="3">
        <v>3081</v>
      </c>
      <c r="F1283" s="8">
        <v>3.6137999999999999</v>
      </c>
      <c r="G1283" s="4">
        <v>521.08510000000001</v>
      </c>
      <c r="H1283" s="4">
        <v>1177.4556</v>
      </c>
      <c r="I1283" s="4">
        <v>14.63</v>
      </c>
      <c r="J1283" s="4">
        <v>15.52</v>
      </c>
      <c r="K1283" s="4">
        <v>14.63</v>
      </c>
      <c r="L1283" s="4">
        <v>14.69</v>
      </c>
      <c r="M1283" s="7">
        <v>4.1000000000000003E-3</v>
      </c>
    </row>
    <row r="1284" spans="1:13" x14ac:dyDescent="0.2">
      <c r="A1284" s="6">
        <v>45818</v>
      </c>
      <c r="B1284" s="2" t="s">
        <v>226</v>
      </c>
      <c r="C1284" s="5">
        <v>45809</v>
      </c>
      <c r="D1284" s="2" t="s">
        <v>196</v>
      </c>
      <c r="E1284" s="3">
        <v>3013</v>
      </c>
      <c r="F1284" s="8">
        <v>3.4683999999999999</v>
      </c>
      <c r="G1284" s="4">
        <v>498.07679999999999</v>
      </c>
      <c r="H1284" s="4">
        <v>1158.6294</v>
      </c>
      <c r="I1284" s="4">
        <v>14.692500000000001</v>
      </c>
      <c r="J1284" s="4">
        <v>14.74</v>
      </c>
      <c r="K1284" s="4">
        <v>13.932499999999999</v>
      </c>
      <c r="L1284" s="4">
        <v>14.02</v>
      </c>
      <c r="M1284" s="7">
        <v>-4.58E-2</v>
      </c>
    </row>
    <row r="1285" spans="1:13" x14ac:dyDescent="0.2">
      <c r="A1285" s="6">
        <v>45819</v>
      </c>
      <c r="B1285" s="2" t="s">
        <v>224</v>
      </c>
      <c r="C1285" s="5">
        <v>45809</v>
      </c>
      <c r="D1285" s="2" t="s">
        <v>196</v>
      </c>
      <c r="E1285" s="3">
        <v>3028</v>
      </c>
      <c r="F1285" s="8">
        <v>3.8582999999999998</v>
      </c>
      <c r="G1285" s="4">
        <v>677.35730000000001</v>
      </c>
      <c r="H1285" s="4">
        <v>1242.3200999999999</v>
      </c>
      <c r="I1285" s="4">
        <v>14.015000000000001</v>
      </c>
      <c r="J1285" s="4">
        <v>14.154999999999999</v>
      </c>
      <c r="K1285" s="4">
        <v>13.557499999999999</v>
      </c>
      <c r="L1285" s="4">
        <v>13.67</v>
      </c>
      <c r="M1285" s="7">
        <v>-2.46E-2</v>
      </c>
    </row>
    <row r="1286" spans="1:13" x14ac:dyDescent="0.2">
      <c r="A1286" s="6">
        <v>45820</v>
      </c>
      <c r="B1286" s="2" t="s">
        <v>227</v>
      </c>
      <c r="C1286" s="5">
        <v>45809</v>
      </c>
      <c r="D1286" s="2" t="s">
        <v>196</v>
      </c>
      <c r="E1286" s="3">
        <v>2992</v>
      </c>
      <c r="F1286" s="8">
        <v>3.6876000000000002</v>
      </c>
      <c r="G1286" s="4">
        <v>570.80439999999999</v>
      </c>
      <c r="H1286" s="4">
        <v>1175.8076000000001</v>
      </c>
      <c r="I1286" s="4">
        <v>13.6675</v>
      </c>
      <c r="J1286" s="4">
        <v>14.272500000000001</v>
      </c>
      <c r="K1286" s="4">
        <v>13.13</v>
      </c>
      <c r="L1286" s="4">
        <v>14.02</v>
      </c>
      <c r="M1286" s="7">
        <v>2.58E-2</v>
      </c>
    </row>
    <row r="1287" spans="1:13" x14ac:dyDescent="0.2">
      <c r="A1287" s="6">
        <v>45821</v>
      </c>
      <c r="B1287" s="2" t="s">
        <v>225</v>
      </c>
      <c r="C1287" s="5">
        <v>45809</v>
      </c>
      <c r="D1287" s="2" t="s">
        <v>196</v>
      </c>
      <c r="E1287" s="3">
        <v>2992</v>
      </c>
      <c r="F1287" s="8">
        <v>3.5011000000000001</v>
      </c>
      <c r="G1287" s="4">
        <v>478.10300000000001</v>
      </c>
      <c r="H1287" s="4">
        <v>1049.818</v>
      </c>
      <c r="I1287" s="4">
        <v>14.015000000000001</v>
      </c>
      <c r="J1287" s="4">
        <v>15.975</v>
      </c>
      <c r="K1287" s="4">
        <v>14.015000000000001</v>
      </c>
      <c r="L1287" s="4">
        <v>15.08</v>
      </c>
      <c r="M1287" s="7">
        <v>7.5999999999999998E-2</v>
      </c>
    </row>
    <row r="1288" spans="1:13" x14ac:dyDescent="0.2">
      <c r="A1288" s="6">
        <v>45824</v>
      </c>
      <c r="B1288" s="2" t="s">
        <v>228</v>
      </c>
      <c r="C1288" s="5">
        <v>45809</v>
      </c>
      <c r="D1288" s="2" t="s">
        <v>196</v>
      </c>
      <c r="E1288" s="3">
        <v>3042</v>
      </c>
      <c r="F1288" s="8">
        <v>3.1581999999999999</v>
      </c>
      <c r="G1288" s="4">
        <v>426.80700000000002</v>
      </c>
      <c r="H1288" s="4">
        <v>911.20680000000004</v>
      </c>
      <c r="I1288" s="4">
        <v>15.08</v>
      </c>
      <c r="J1288" s="4">
        <v>15.4725</v>
      </c>
      <c r="K1288" s="4">
        <v>14.5525</v>
      </c>
      <c r="L1288" s="4">
        <v>14.84</v>
      </c>
      <c r="M1288" s="7">
        <v>-1.5900000000000001E-2</v>
      </c>
    </row>
    <row r="1289" spans="1:13" x14ac:dyDescent="0.2">
      <c r="A1289" s="6">
        <v>45825</v>
      </c>
      <c r="B1289" s="2" t="s">
        <v>226</v>
      </c>
      <c r="C1289" s="5">
        <v>45809</v>
      </c>
      <c r="D1289" s="2" t="s">
        <v>196</v>
      </c>
      <c r="E1289" s="3">
        <v>2995</v>
      </c>
      <c r="F1289" s="8">
        <v>3.044</v>
      </c>
      <c r="G1289" s="4">
        <v>459.49630000000002</v>
      </c>
      <c r="H1289" s="4">
        <v>1031.0895</v>
      </c>
      <c r="I1289" s="4">
        <v>14.8375</v>
      </c>
      <c r="J1289" s="4">
        <v>15.022500000000001</v>
      </c>
      <c r="K1289" s="4">
        <v>14.3</v>
      </c>
      <c r="L1289" s="4">
        <v>14.4</v>
      </c>
      <c r="M1289" s="7">
        <v>-2.9499999999999998E-2</v>
      </c>
    </row>
    <row r="1290" spans="1:13" x14ac:dyDescent="0.2">
      <c r="A1290" s="6">
        <v>45826</v>
      </c>
      <c r="B1290" s="2" t="s">
        <v>224</v>
      </c>
      <c r="C1290" s="5">
        <v>45809</v>
      </c>
      <c r="D1290" s="2" t="s">
        <v>196</v>
      </c>
      <c r="E1290" s="3">
        <v>2993</v>
      </c>
      <c r="F1290" s="8">
        <v>2.8589000000000002</v>
      </c>
      <c r="G1290" s="4">
        <v>355.50970000000001</v>
      </c>
      <c r="H1290" s="4">
        <v>898.92679999999996</v>
      </c>
      <c r="I1290" s="4">
        <v>14.4025</v>
      </c>
      <c r="J1290" s="4">
        <v>14.817500000000001</v>
      </c>
      <c r="K1290" s="4">
        <v>14.105</v>
      </c>
      <c r="L1290" s="4">
        <v>14.28</v>
      </c>
      <c r="M1290" s="7">
        <v>-8.5000000000000006E-3</v>
      </c>
    </row>
    <row r="1291" spans="1:13" x14ac:dyDescent="0.2">
      <c r="A1291" s="6">
        <v>45827</v>
      </c>
      <c r="B1291" s="2" t="s">
        <v>227</v>
      </c>
      <c r="C1291" s="5">
        <v>45809</v>
      </c>
      <c r="D1291" s="2" t="s">
        <v>196</v>
      </c>
      <c r="E1291" s="3">
        <v>2986</v>
      </c>
      <c r="F1291" s="8">
        <v>3.2244999999999999</v>
      </c>
      <c r="G1291" s="4">
        <v>403.75839999999999</v>
      </c>
      <c r="H1291" s="4">
        <v>903.77459999999996</v>
      </c>
      <c r="I1291" s="4">
        <v>14.275</v>
      </c>
      <c r="J1291" s="4">
        <v>14.37</v>
      </c>
      <c r="K1291" s="4">
        <v>13.74</v>
      </c>
      <c r="L1291" s="4">
        <v>14.26</v>
      </c>
      <c r="M1291" s="7">
        <v>-1.1000000000000001E-3</v>
      </c>
    </row>
    <row r="1292" spans="1:13" x14ac:dyDescent="0.2">
      <c r="A1292" s="6">
        <v>45828</v>
      </c>
      <c r="B1292" s="2" t="s">
        <v>225</v>
      </c>
      <c r="C1292" s="5">
        <v>45809</v>
      </c>
      <c r="D1292" s="2" t="s">
        <v>196</v>
      </c>
      <c r="E1292" s="3">
        <v>2989</v>
      </c>
      <c r="F1292" s="8">
        <v>3.7023999999999999</v>
      </c>
      <c r="G1292" s="4">
        <v>491.94130000000001</v>
      </c>
      <c r="H1292" s="4">
        <v>1590.9727</v>
      </c>
      <c r="I1292" s="4">
        <v>14.255000000000001</v>
      </c>
      <c r="J1292" s="4">
        <v>14.255000000000001</v>
      </c>
      <c r="K1292" s="4">
        <v>13.3225</v>
      </c>
      <c r="L1292" s="4">
        <v>13.67</v>
      </c>
      <c r="M1292" s="7">
        <v>-4.1000000000000002E-2</v>
      </c>
    </row>
    <row r="1293" spans="1:13" x14ac:dyDescent="0.2">
      <c r="A1293" s="6">
        <v>45831</v>
      </c>
      <c r="B1293" s="2" t="s">
        <v>228</v>
      </c>
      <c r="C1293" s="5">
        <v>45809</v>
      </c>
      <c r="D1293" s="2" t="s">
        <v>196</v>
      </c>
      <c r="E1293" s="3">
        <v>3019</v>
      </c>
      <c r="F1293" s="8">
        <v>3.0175999999999998</v>
      </c>
      <c r="G1293" s="4">
        <v>338.03460000000001</v>
      </c>
      <c r="H1293" s="4">
        <v>907.75260000000003</v>
      </c>
      <c r="I1293" s="4">
        <v>13.672499999999999</v>
      </c>
      <c r="J1293" s="4">
        <v>14.522500000000001</v>
      </c>
      <c r="K1293" s="4">
        <v>13.6625</v>
      </c>
      <c r="L1293" s="4">
        <v>14.05</v>
      </c>
      <c r="M1293" s="7">
        <v>2.76E-2</v>
      </c>
    </row>
    <row r="1294" spans="1:13" x14ac:dyDescent="0.2">
      <c r="A1294" s="6">
        <v>45832</v>
      </c>
      <c r="B1294" s="2" t="s">
        <v>226</v>
      </c>
      <c r="C1294" s="5">
        <v>45809</v>
      </c>
      <c r="D1294" s="2" t="s">
        <v>196</v>
      </c>
      <c r="E1294" s="3">
        <v>3002</v>
      </c>
      <c r="F1294" s="8">
        <v>3.4645000000000001</v>
      </c>
      <c r="G1294" s="4">
        <v>452.16770000000002</v>
      </c>
      <c r="H1294" s="4">
        <v>1115.9412</v>
      </c>
      <c r="I1294" s="4">
        <v>14.047499999999999</v>
      </c>
      <c r="J1294" s="4">
        <v>14.342499999999999</v>
      </c>
      <c r="K1294" s="4">
        <v>13.307499999999999</v>
      </c>
      <c r="L1294" s="4">
        <v>13.64</v>
      </c>
      <c r="M1294" s="7">
        <v>-2.9000000000000001E-2</v>
      </c>
    </row>
    <row r="1295" spans="1:13" x14ac:dyDescent="0.2">
      <c r="A1295" s="6">
        <v>45833</v>
      </c>
      <c r="B1295" s="2" t="s">
        <v>224</v>
      </c>
      <c r="C1295" s="5">
        <v>45809</v>
      </c>
      <c r="D1295" s="2" t="s">
        <v>196</v>
      </c>
      <c r="E1295" s="3">
        <v>3012</v>
      </c>
      <c r="F1295" s="8">
        <v>3.3685</v>
      </c>
      <c r="G1295" s="4">
        <v>486.78</v>
      </c>
      <c r="H1295" s="4">
        <v>1016.5764</v>
      </c>
      <c r="I1295" s="4">
        <v>13.6425</v>
      </c>
      <c r="J1295" s="4">
        <v>13.6425</v>
      </c>
      <c r="K1295" s="4">
        <v>12.9</v>
      </c>
      <c r="L1295" s="4">
        <v>12.96</v>
      </c>
      <c r="M1295" s="7">
        <v>-0.05</v>
      </c>
    </row>
    <row r="1296" spans="1:13" x14ac:dyDescent="0.2">
      <c r="A1296" s="6">
        <v>45834</v>
      </c>
      <c r="B1296" s="2" t="s">
        <v>227</v>
      </c>
      <c r="C1296" s="5">
        <v>45809</v>
      </c>
      <c r="D1296" s="2" t="s">
        <v>196</v>
      </c>
      <c r="E1296" s="3">
        <v>3005</v>
      </c>
      <c r="F1296" s="8">
        <v>3.4220999999999999</v>
      </c>
      <c r="G1296" s="4">
        <v>446.04739999999998</v>
      </c>
      <c r="H1296" s="4">
        <v>1185.7967000000001</v>
      </c>
      <c r="I1296" s="4">
        <v>12.9625</v>
      </c>
      <c r="J1296" s="4">
        <v>13.33</v>
      </c>
      <c r="K1296" s="4">
        <v>12.515000000000001</v>
      </c>
      <c r="L1296" s="4">
        <v>12.59</v>
      </c>
      <c r="M1296" s="7">
        <v>-2.87E-2</v>
      </c>
    </row>
    <row r="1297" spans="1:13" x14ac:dyDescent="0.2">
      <c r="A1297" s="6">
        <v>45835</v>
      </c>
      <c r="B1297" s="2" t="s">
        <v>225</v>
      </c>
      <c r="C1297" s="5">
        <v>45809</v>
      </c>
      <c r="D1297" s="2" t="s">
        <v>196</v>
      </c>
      <c r="E1297" s="3">
        <v>3004</v>
      </c>
      <c r="F1297" s="8">
        <v>3.9986999999999999</v>
      </c>
      <c r="G1297" s="4">
        <v>504.96510000000001</v>
      </c>
      <c r="H1297" s="4">
        <v>1530.35</v>
      </c>
      <c r="I1297" s="4">
        <v>12.59</v>
      </c>
      <c r="J1297" s="4">
        <v>12.922499999999999</v>
      </c>
      <c r="K1297" s="4">
        <v>12.3225</v>
      </c>
      <c r="L1297" s="4">
        <v>12.39</v>
      </c>
      <c r="M1297" s="7">
        <v>-1.5900000000000001E-2</v>
      </c>
    </row>
    <row r="1298" spans="1:13" x14ac:dyDescent="0.2">
      <c r="A1298" s="6">
        <v>45838</v>
      </c>
      <c r="B1298" s="2" t="s">
        <v>228</v>
      </c>
      <c r="C1298" s="5">
        <v>45809</v>
      </c>
      <c r="D1298" s="2" t="s">
        <v>196</v>
      </c>
      <c r="E1298" s="3">
        <v>3066</v>
      </c>
      <c r="F1298" s="8">
        <v>3.6152000000000002</v>
      </c>
      <c r="G1298" s="4">
        <v>440.41129999999998</v>
      </c>
      <c r="H1298" s="4">
        <v>1081.9176</v>
      </c>
      <c r="I1298" s="4">
        <v>12.387499999999999</v>
      </c>
      <c r="J1298" s="4">
        <v>13.0275</v>
      </c>
      <c r="K1298" s="4">
        <v>12.387499999999999</v>
      </c>
      <c r="L1298" s="4">
        <v>12.79</v>
      </c>
      <c r="M1298" s="7">
        <v>3.2500000000000001E-2</v>
      </c>
    </row>
    <row r="1299" spans="1:13" x14ac:dyDescent="0.2">
      <c r="A1299" s="6">
        <v>45839</v>
      </c>
      <c r="B1299" s="2" t="s">
        <v>226</v>
      </c>
      <c r="C1299" s="5">
        <v>45839</v>
      </c>
      <c r="D1299" s="2" t="s">
        <v>197</v>
      </c>
      <c r="E1299" s="3">
        <v>3038</v>
      </c>
      <c r="F1299" s="8">
        <v>3.3698999999999999</v>
      </c>
      <c r="G1299" s="4">
        <v>438.04360000000003</v>
      </c>
      <c r="H1299" s="4">
        <v>1008.3971</v>
      </c>
      <c r="I1299" s="4">
        <v>12.785</v>
      </c>
      <c r="J1299" s="4">
        <v>12.9925</v>
      </c>
      <c r="K1299" s="4">
        <v>12.4375</v>
      </c>
      <c r="L1299" s="4">
        <v>12.53</v>
      </c>
      <c r="M1299" s="7">
        <v>-1.9900000000000001E-2</v>
      </c>
    </row>
    <row r="1300" spans="1:13" x14ac:dyDescent="0.2">
      <c r="A1300" s="6">
        <v>45840</v>
      </c>
      <c r="B1300" s="2" t="s">
        <v>224</v>
      </c>
      <c r="C1300" s="5">
        <v>45839</v>
      </c>
      <c r="D1300" s="2" t="s">
        <v>197</v>
      </c>
      <c r="E1300" s="3">
        <v>3052</v>
      </c>
      <c r="F1300" s="8">
        <v>3.3704000000000001</v>
      </c>
      <c r="G1300" s="4">
        <v>447.44670000000002</v>
      </c>
      <c r="H1300" s="4">
        <v>1051.1715999999999</v>
      </c>
      <c r="I1300" s="4">
        <v>12.5275</v>
      </c>
      <c r="J1300" s="4">
        <v>12.6625</v>
      </c>
      <c r="K1300" s="4">
        <v>12.34</v>
      </c>
      <c r="L1300" s="4">
        <v>12.45</v>
      </c>
      <c r="M1300" s="7">
        <v>-6.1999999999999998E-3</v>
      </c>
    </row>
    <row r="1301" spans="1:13" x14ac:dyDescent="0.2">
      <c r="A1301" s="6">
        <v>45841</v>
      </c>
      <c r="B1301" s="2" t="s">
        <v>227</v>
      </c>
      <c r="C1301" s="5">
        <v>45839</v>
      </c>
      <c r="D1301" s="2" t="s">
        <v>197</v>
      </c>
      <c r="E1301" s="3">
        <v>3050</v>
      </c>
      <c r="F1301" s="8">
        <v>3.0985</v>
      </c>
      <c r="G1301" s="4">
        <v>395.55029999999999</v>
      </c>
      <c r="H1301" s="4">
        <v>967.38819999999998</v>
      </c>
      <c r="I1301" s="4">
        <v>12.445</v>
      </c>
      <c r="J1301" s="4">
        <v>12.66</v>
      </c>
      <c r="K1301" s="4">
        <v>12.19</v>
      </c>
      <c r="L1301" s="4">
        <v>12.39</v>
      </c>
      <c r="M1301" s="7">
        <v>-4.4000000000000003E-3</v>
      </c>
    </row>
    <row r="1302" spans="1:13" x14ac:dyDescent="0.2">
      <c r="A1302" s="6">
        <v>45842</v>
      </c>
      <c r="B1302" s="2" t="s">
        <v>225</v>
      </c>
      <c r="C1302" s="5">
        <v>45839</v>
      </c>
      <c r="D1302" s="2" t="s">
        <v>197</v>
      </c>
      <c r="E1302" s="3">
        <v>3037</v>
      </c>
      <c r="F1302" s="8">
        <v>2.9784000000000002</v>
      </c>
      <c r="G1302" s="4">
        <v>363.58679999999998</v>
      </c>
      <c r="H1302" s="4">
        <v>888.20820000000003</v>
      </c>
      <c r="I1302" s="4">
        <v>12.385</v>
      </c>
      <c r="J1302" s="4">
        <v>12.6975</v>
      </c>
      <c r="K1302" s="4">
        <v>12.24</v>
      </c>
      <c r="L1302" s="4">
        <v>12.32</v>
      </c>
      <c r="M1302" s="7">
        <v>-5.1999999999999998E-3</v>
      </c>
    </row>
    <row r="1303" spans="1:13" x14ac:dyDescent="0.2">
      <c r="A1303" s="6">
        <v>45845</v>
      </c>
      <c r="B1303" s="2" t="s">
        <v>228</v>
      </c>
      <c r="C1303" s="5">
        <v>45839</v>
      </c>
      <c r="D1303" s="2" t="s">
        <v>197</v>
      </c>
      <c r="E1303" s="3">
        <v>3076</v>
      </c>
      <c r="F1303" s="8">
        <v>2.8763999999999998</v>
      </c>
      <c r="G1303" s="4">
        <v>460.4579</v>
      </c>
      <c r="H1303" s="4">
        <v>769.16200000000003</v>
      </c>
      <c r="I1303" s="4">
        <v>12.315</v>
      </c>
      <c r="J1303" s="4">
        <v>12.79</v>
      </c>
      <c r="K1303" s="4">
        <v>11.94</v>
      </c>
      <c r="L1303" s="4">
        <v>12.56</v>
      </c>
      <c r="M1303" s="7">
        <v>1.9900000000000001E-2</v>
      </c>
    </row>
    <row r="1304" spans="1:13" x14ac:dyDescent="0.2">
      <c r="A1304" s="6">
        <v>45846</v>
      </c>
      <c r="B1304" s="2" t="s">
        <v>226</v>
      </c>
      <c r="C1304" s="5">
        <v>45839</v>
      </c>
      <c r="D1304" s="2" t="s">
        <v>197</v>
      </c>
      <c r="E1304" s="3">
        <v>3042</v>
      </c>
      <c r="F1304" s="8">
        <v>3.1432000000000002</v>
      </c>
      <c r="G1304" s="4">
        <v>475.39330000000001</v>
      </c>
      <c r="H1304" s="4">
        <v>910.44190000000003</v>
      </c>
      <c r="I1304" s="4">
        <v>12.56</v>
      </c>
      <c r="J1304" s="4">
        <v>12.71</v>
      </c>
      <c r="K1304" s="4">
        <v>12.055</v>
      </c>
      <c r="L1304" s="4">
        <v>12.2</v>
      </c>
      <c r="M1304" s="7">
        <v>-2.87E-2</v>
      </c>
    </row>
    <row r="1305" spans="1:13" x14ac:dyDescent="0.2">
      <c r="A1305" s="6">
        <v>45847</v>
      </c>
      <c r="B1305" s="2" t="s">
        <v>224</v>
      </c>
      <c r="C1305" s="5">
        <v>45839</v>
      </c>
      <c r="D1305" s="2" t="s">
        <v>197</v>
      </c>
      <c r="E1305" s="3">
        <v>3045</v>
      </c>
      <c r="F1305" s="8">
        <v>3.1562999999999999</v>
      </c>
      <c r="G1305" s="4">
        <v>423.4742</v>
      </c>
      <c r="H1305" s="4">
        <v>953.05690000000004</v>
      </c>
      <c r="I1305" s="4">
        <v>12.195</v>
      </c>
      <c r="J1305" s="4">
        <v>12.355</v>
      </c>
      <c r="K1305" s="4">
        <v>11.75</v>
      </c>
      <c r="L1305" s="4">
        <v>11.94</v>
      </c>
      <c r="M1305" s="7">
        <v>-2.0899999999999998E-2</v>
      </c>
    </row>
    <row r="1306" spans="1:13" x14ac:dyDescent="0.2">
      <c r="A1306" s="6">
        <v>45848</v>
      </c>
      <c r="B1306" s="2" t="s">
        <v>227</v>
      </c>
      <c r="C1306" s="5">
        <v>45839</v>
      </c>
      <c r="D1306" s="2" t="s">
        <v>197</v>
      </c>
      <c r="E1306" s="3">
        <v>3027</v>
      </c>
      <c r="F1306" s="8">
        <v>2.9277000000000002</v>
      </c>
      <c r="G1306" s="4">
        <v>403.9674</v>
      </c>
      <c r="H1306" s="4">
        <v>866.50229999999999</v>
      </c>
      <c r="I1306" s="4">
        <v>11.94</v>
      </c>
      <c r="J1306" s="4">
        <v>12.1875</v>
      </c>
      <c r="K1306" s="4">
        <v>11.612500000000001</v>
      </c>
      <c r="L1306" s="4">
        <v>11.67</v>
      </c>
      <c r="M1306" s="7">
        <v>-2.2599999999999999E-2</v>
      </c>
    </row>
    <row r="1307" spans="1:13" x14ac:dyDescent="0.2">
      <c r="A1307" s="6">
        <v>45849</v>
      </c>
      <c r="B1307" s="2" t="s">
        <v>225</v>
      </c>
      <c r="C1307" s="5">
        <v>45839</v>
      </c>
      <c r="D1307" s="2" t="s">
        <v>197</v>
      </c>
      <c r="E1307" s="3">
        <v>3029</v>
      </c>
      <c r="F1307" s="8">
        <v>3.1859000000000002</v>
      </c>
      <c r="G1307" s="4">
        <v>392.20409999999998</v>
      </c>
      <c r="H1307" s="4">
        <v>979.00729999999999</v>
      </c>
      <c r="I1307" s="4">
        <v>11.672499999999999</v>
      </c>
      <c r="J1307" s="4">
        <v>12.1225</v>
      </c>
      <c r="K1307" s="4">
        <v>11.535</v>
      </c>
      <c r="L1307" s="4">
        <v>11.82</v>
      </c>
      <c r="M1307" s="7">
        <v>1.26E-2</v>
      </c>
    </row>
    <row r="1308" spans="1:13" x14ac:dyDescent="0.2">
      <c r="A1308" s="6">
        <v>45852</v>
      </c>
      <c r="B1308" s="2" t="s">
        <v>228</v>
      </c>
      <c r="C1308" s="5">
        <v>45839</v>
      </c>
      <c r="D1308" s="2" t="s">
        <v>197</v>
      </c>
      <c r="E1308" s="3">
        <v>3110</v>
      </c>
      <c r="F1308" s="8">
        <v>3.2606000000000002</v>
      </c>
      <c r="G1308" s="4">
        <v>555.72</v>
      </c>
      <c r="H1308" s="4">
        <v>995.97770000000003</v>
      </c>
      <c r="I1308" s="4">
        <v>11.817500000000001</v>
      </c>
      <c r="J1308" s="4">
        <v>12.42</v>
      </c>
      <c r="K1308" s="4">
        <v>11.817500000000001</v>
      </c>
      <c r="L1308" s="4">
        <v>11.98</v>
      </c>
      <c r="M1308" s="7">
        <v>1.38E-2</v>
      </c>
    </row>
    <row r="1309" spans="1:13" x14ac:dyDescent="0.2">
      <c r="A1309" s="6">
        <v>45853</v>
      </c>
      <c r="B1309" s="2" t="s">
        <v>226</v>
      </c>
      <c r="C1309" s="5">
        <v>45839</v>
      </c>
      <c r="D1309" s="2" t="s">
        <v>197</v>
      </c>
      <c r="E1309" s="3">
        <v>3037</v>
      </c>
      <c r="F1309" s="8">
        <v>3.2387999999999999</v>
      </c>
      <c r="G1309" s="4">
        <v>420.32850000000002</v>
      </c>
      <c r="H1309" s="4">
        <v>963.02030000000002</v>
      </c>
      <c r="I1309" s="4">
        <v>11.98</v>
      </c>
      <c r="J1309" s="4">
        <v>12.025</v>
      </c>
      <c r="K1309" s="4">
        <v>11.404999999999999</v>
      </c>
      <c r="L1309" s="4">
        <v>11.48</v>
      </c>
      <c r="M1309" s="7">
        <v>-4.1700000000000001E-2</v>
      </c>
    </row>
    <row r="1310" spans="1:13" x14ac:dyDescent="0.2">
      <c r="A1310" s="6">
        <v>45854</v>
      </c>
      <c r="B1310" s="2" t="s">
        <v>224</v>
      </c>
      <c r="C1310" s="5">
        <v>45839</v>
      </c>
      <c r="D1310" s="2" t="s">
        <v>197</v>
      </c>
      <c r="E1310" s="3">
        <v>3035</v>
      </c>
      <c r="F1310" s="8">
        <v>3.1313</v>
      </c>
      <c r="G1310" s="4">
        <v>435.04969999999997</v>
      </c>
      <c r="H1310" s="4">
        <v>947.37639999999999</v>
      </c>
      <c r="I1310" s="4">
        <v>11.48</v>
      </c>
      <c r="J1310" s="4">
        <v>11.6675</v>
      </c>
      <c r="K1310" s="4">
        <v>11.1975</v>
      </c>
      <c r="L1310" s="4">
        <v>11.24</v>
      </c>
      <c r="M1310" s="7">
        <v>-2.0899999999999998E-2</v>
      </c>
    </row>
    <row r="1311" spans="1:13" x14ac:dyDescent="0.2">
      <c r="A1311" s="6">
        <v>45855</v>
      </c>
      <c r="B1311" s="2" t="s">
        <v>227</v>
      </c>
      <c r="C1311" s="5">
        <v>45839</v>
      </c>
      <c r="D1311" s="2" t="s">
        <v>197</v>
      </c>
      <c r="E1311" s="3">
        <v>3047</v>
      </c>
      <c r="F1311" s="8">
        <v>3.097</v>
      </c>
      <c r="G1311" s="4">
        <v>377.60410000000002</v>
      </c>
      <c r="H1311" s="4">
        <v>952.71510000000001</v>
      </c>
      <c r="I1311" s="4">
        <v>11.24</v>
      </c>
      <c r="J1311" s="4">
        <v>11.5425</v>
      </c>
      <c r="K1311" s="4">
        <v>10.727499999999999</v>
      </c>
      <c r="L1311" s="4">
        <v>11.24</v>
      </c>
      <c r="M1311" s="7">
        <v>0</v>
      </c>
    </row>
    <row r="1312" spans="1:13" x14ac:dyDescent="0.2">
      <c r="A1312" s="6">
        <v>45856</v>
      </c>
      <c r="B1312" s="2" t="s">
        <v>225</v>
      </c>
      <c r="C1312" s="5">
        <v>45839</v>
      </c>
      <c r="D1312" s="2" t="s">
        <v>197</v>
      </c>
      <c r="E1312" s="3">
        <v>3059</v>
      </c>
      <c r="F1312" s="8">
        <v>3.1067</v>
      </c>
      <c r="G1312" s="4">
        <v>343.73630000000003</v>
      </c>
      <c r="H1312" s="4">
        <v>931.15959999999995</v>
      </c>
      <c r="I1312" s="4">
        <v>11.2425</v>
      </c>
      <c r="J1312" s="4">
        <v>11.86</v>
      </c>
      <c r="K1312" s="4">
        <v>9.9</v>
      </c>
      <c r="L1312" s="4">
        <v>11.39</v>
      </c>
      <c r="M1312" s="7">
        <v>1.3100000000000001E-2</v>
      </c>
    </row>
    <row r="1313" spans="1:13" x14ac:dyDescent="0.2">
      <c r="A1313" s="6">
        <v>45859</v>
      </c>
      <c r="B1313" s="2" t="s">
        <v>228</v>
      </c>
      <c r="C1313" s="5">
        <v>45839</v>
      </c>
      <c r="D1313" s="2" t="s">
        <v>197</v>
      </c>
      <c r="E1313" s="3">
        <v>3094</v>
      </c>
      <c r="F1313" s="8">
        <v>3.2151999999999998</v>
      </c>
      <c r="G1313" s="4">
        <v>334.49540000000002</v>
      </c>
      <c r="H1313" s="4">
        <v>914.73410000000001</v>
      </c>
      <c r="I1313" s="4">
        <v>11.3925</v>
      </c>
      <c r="J1313" s="4">
        <v>11.942500000000001</v>
      </c>
      <c r="K1313" s="4">
        <v>11.0875</v>
      </c>
      <c r="L1313" s="4">
        <v>11.2</v>
      </c>
      <c r="M1313" s="7">
        <v>-1.6899999999999998E-2</v>
      </c>
    </row>
    <row r="1314" spans="1:13" x14ac:dyDescent="0.2">
      <c r="A1314" s="6">
        <v>45860</v>
      </c>
      <c r="B1314" s="2" t="s">
        <v>226</v>
      </c>
      <c r="C1314" s="5">
        <v>45839</v>
      </c>
      <c r="D1314" s="2" t="s">
        <v>197</v>
      </c>
      <c r="E1314" s="3">
        <v>3052</v>
      </c>
      <c r="F1314" s="8">
        <v>3.1095999999999999</v>
      </c>
      <c r="G1314" s="4">
        <v>340.45030000000003</v>
      </c>
      <c r="H1314" s="4">
        <v>1005.7381</v>
      </c>
      <c r="I1314" s="4">
        <v>11.202500000000001</v>
      </c>
      <c r="J1314" s="4">
        <v>11.227499999999999</v>
      </c>
      <c r="K1314" s="4">
        <v>10.6875</v>
      </c>
      <c r="L1314" s="4">
        <v>10.75</v>
      </c>
      <c r="M1314" s="7">
        <v>-4.0399999999999998E-2</v>
      </c>
    </row>
    <row r="1315" spans="1:13" x14ac:dyDescent="0.2">
      <c r="A1315" s="6">
        <v>45861</v>
      </c>
      <c r="B1315" s="2" t="s">
        <v>224</v>
      </c>
      <c r="C1315" s="5">
        <v>45839</v>
      </c>
      <c r="D1315" s="2" t="s">
        <v>197</v>
      </c>
      <c r="E1315" s="3">
        <v>3073</v>
      </c>
      <c r="F1315" s="8">
        <v>3.0354000000000001</v>
      </c>
      <c r="G1315" s="4">
        <v>349.59870000000001</v>
      </c>
      <c r="H1315" s="4">
        <v>938.26239999999996</v>
      </c>
      <c r="I1315" s="4">
        <v>10.7525</v>
      </c>
      <c r="J1315" s="4">
        <v>10.7525</v>
      </c>
      <c r="K1315" s="4">
        <v>10.220000000000001</v>
      </c>
      <c r="L1315" s="4">
        <v>10.52</v>
      </c>
      <c r="M1315" s="7">
        <v>-2.1600000000000001E-2</v>
      </c>
    </row>
    <row r="1316" spans="1:13" x14ac:dyDescent="0.2">
      <c r="A1316" s="6">
        <v>45862</v>
      </c>
      <c r="B1316" s="2" t="s">
        <v>227</v>
      </c>
      <c r="C1316" s="5">
        <v>45839</v>
      </c>
      <c r="D1316" s="2" t="s">
        <v>197</v>
      </c>
      <c r="E1316" s="3">
        <v>3077</v>
      </c>
      <c r="F1316" s="8">
        <v>3.1888999999999998</v>
      </c>
      <c r="G1316" s="4">
        <v>362.26100000000002</v>
      </c>
      <c r="H1316" s="4">
        <v>1000.6028</v>
      </c>
      <c r="I1316" s="4">
        <v>10.515000000000001</v>
      </c>
      <c r="J1316" s="4">
        <v>11.105</v>
      </c>
      <c r="K1316" s="4">
        <v>9.8674999999999997</v>
      </c>
      <c r="L1316" s="4">
        <v>10.72</v>
      </c>
      <c r="M1316" s="7">
        <v>1.95E-2</v>
      </c>
    </row>
    <row r="1317" spans="1:13" x14ac:dyDescent="0.2">
      <c r="A1317" s="6">
        <v>45863</v>
      </c>
      <c r="B1317" s="2" t="s">
        <v>225</v>
      </c>
      <c r="C1317" s="5">
        <v>45839</v>
      </c>
      <c r="D1317" s="2" t="s">
        <v>197</v>
      </c>
      <c r="E1317" s="3">
        <v>3048</v>
      </c>
      <c r="F1317" s="8">
        <v>3.3212999999999999</v>
      </c>
      <c r="G1317" s="4">
        <v>360.25670000000002</v>
      </c>
      <c r="H1317" s="4">
        <v>961.22810000000004</v>
      </c>
      <c r="I1317" s="4">
        <v>10.7225</v>
      </c>
      <c r="J1317" s="4">
        <v>11.5825</v>
      </c>
      <c r="K1317" s="4">
        <v>10.612500000000001</v>
      </c>
      <c r="L1317" s="4">
        <v>11.28</v>
      </c>
      <c r="M1317" s="7">
        <v>5.1999999999999998E-2</v>
      </c>
    </row>
    <row r="1318" spans="1:13" x14ac:dyDescent="0.2">
      <c r="A1318" s="6">
        <v>45866</v>
      </c>
      <c r="B1318" s="2" t="s">
        <v>228</v>
      </c>
      <c r="C1318" s="5">
        <v>45839</v>
      </c>
      <c r="D1318" s="2" t="s">
        <v>197</v>
      </c>
      <c r="E1318" s="3">
        <v>3109</v>
      </c>
      <c r="F1318" s="8">
        <v>3.4885999999999999</v>
      </c>
      <c r="G1318" s="4">
        <v>347.48430000000002</v>
      </c>
      <c r="H1318" s="4">
        <v>921.69650000000001</v>
      </c>
      <c r="I1318" s="4">
        <v>11.275</v>
      </c>
      <c r="J1318" s="4">
        <v>12.23</v>
      </c>
      <c r="K1318" s="4">
        <v>10.324999999999999</v>
      </c>
      <c r="L1318" s="4">
        <v>12.06</v>
      </c>
      <c r="M1318" s="7">
        <v>6.9599999999999995E-2</v>
      </c>
    </row>
    <row r="1319" spans="1:13" x14ac:dyDescent="0.2">
      <c r="A1319" s="6">
        <v>45867</v>
      </c>
      <c r="B1319" s="2" t="s">
        <v>226</v>
      </c>
      <c r="C1319" s="5">
        <v>45839</v>
      </c>
      <c r="D1319" s="2" t="s">
        <v>197</v>
      </c>
      <c r="E1319" s="3">
        <v>3062</v>
      </c>
      <c r="F1319" s="8">
        <v>3.2054</v>
      </c>
      <c r="G1319" s="4">
        <v>321.13299999999998</v>
      </c>
      <c r="H1319" s="4">
        <v>947.94500000000005</v>
      </c>
      <c r="I1319" s="4">
        <v>12.0625</v>
      </c>
      <c r="J1319" s="4">
        <v>12.3</v>
      </c>
      <c r="K1319" s="4">
        <v>11.4</v>
      </c>
      <c r="L1319" s="4">
        <v>11.53</v>
      </c>
      <c r="M1319" s="7">
        <v>-4.41E-2</v>
      </c>
    </row>
    <row r="1320" spans="1:13" x14ac:dyDescent="0.2">
      <c r="A1320" s="6">
        <v>45868</v>
      </c>
      <c r="B1320" s="2" t="s">
        <v>224</v>
      </c>
      <c r="C1320" s="5">
        <v>45839</v>
      </c>
      <c r="D1320" s="2" t="s">
        <v>197</v>
      </c>
      <c r="E1320" s="3">
        <v>3075</v>
      </c>
      <c r="F1320" s="8">
        <v>3.0533999999999999</v>
      </c>
      <c r="G1320" s="4">
        <v>311.98570000000001</v>
      </c>
      <c r="H1320" s="4">
        <v>895.2319</v>
      </c>
      <c r="I1320" s="4">
        <v>11.525</v>
      </c>
      <c r="J1320" s="4">
        <v>11.775</v>
      </c>
      <c r="K1320" s="4">
        <v>10.612500000000001</v>
      </c>
      <c r="L1320" s="4">
        <v>11.21</v>
      </c>
      <c r="M1320" s="7">
        <v>-2.7300000000000001E-2</v>
      </c>
    </row>
    <row r="1321" spans="1:13" x14ac:dyDescent="0.2">
      <c r="A1321" s="6">
        <v>45869</v>
      </c>
      <c r="B1321" s="2" t="s">
        <v>227</v>
      </c>
      <c r="C1321" s="5">
        <v>45839</v>
      </c>
      <c r="D1321" s="2" t="s">
        <v>197</v>
      </c>
      <c r="E1321" s="3">
        <v>3067</v>
      </c>
      <c r="F1321" s="8">
        <v>3.5137</v>
      </c>
      <c r="G1321" s="4">
        <v>366.07170000000002</v>
      </c>
      <c r="H1321" s="4">
        <v>1079.9232</v>
      </c>
      <c r="I1321" s="4">
        <v>11.205</v>
      </c>
      <c r="J1321" s="4">
        <v>12.12</v>
      </c>
      <c r="K1321" s="4">
        <v>11.205</v>
      </c>
      <c r="L1321" s="4">
        <v>11.54</v>
      </c>
      <c r="M1321" s="7">
        <v>2.9899999999999999E-2</v>
      </c>
    </row>
    <row r="1322" spans="1:13" x14ac:dyDescent="0.2">
      <c r="A1322" s="6">
        <v>45870</v>
      </c>
      <c r="B1322" s="2" t="s">
        <v>225</v>
      </c>
      <c r="C1322" s="5">
        <v>45870</v>
      </c>
      <c r="D1322" s="2" t="s">
        <v>197</v>
      </c>
      <c r="E1322" s="3">
        <v>3055</v>
      </c>
      <c r="F1322" s="8">
        <v>3.3268</v>
      </c>
      <c r="G1322" s="4">
        <v>355.54770000000002</v>
      </c>
      <c r="H1322" s="4">
        <v>948.19410000000005</v>
      </c>
      <c r="I1322" s="4">
        <v>11.5425</v>
      </c>
      <c r="J1322" s="4">
        <v>12.11</v>
      </c>
      <c r="K1322" s="4">
        <v>11.4025</v>
      </c>
      <c r="L1322" s="4">
        <v>11.98</v>
      </c>
      <c r="M1322" s="7">
        <v>3.7900000000000003E-2</v>
      </c>
    </row>
    <row r="1323" spans="1:13" x14ac:dyDescent="0.2">
      <c r="A1323" s="6">
        <v>45873</v>
      </c>
      <c r="B1323" s="2" t="s">
        <v>228</v>
      </c>
      <c r="C1323" s="5">
        <v>45870</v>
      </c>
      <c r="D1323" s="2" t="s">
        <v>197</v>
      </c>
      <c r="E1323" s="3">
        <v>3116</v>
      </c>
      <c r="F1323" s="8">
        <v>3.1103000000000001</v>
      </c>
      <c r="G1323" s="4">
        <v>316.9402</v>
      </c>
      <c r="H1323" s="4">
        <v>833.2</v>
      </c>
      <c r="I1323" s="4">
        <v>11.975</v>
      </c>
      <c r="J1323" s="4">
        <v>12.63</v>
      </c>
      <c r="K1323" s="4">
        <v>11.8025</v>
      </c>
      <c r="L1323" s="4">
        <v>11.97</v>
      </c>
      <c r="M1323" s="7">
        <v>-4.0000000000000002E-4</v>
      </c>
    </row>
    <row r="1324" spans="1:13" x14ac:dyDescent="0.2">
      <c r="A1324" s="6">
        <v>45874</v>
      </c>
      <c r="B1324" s="2" t="s">
        <v>226</v>
      </c>
      <c r="C1324" s="5">
        <v>45870</v>
      </c>
      <c r="D1324" s="2" t="s">
        <v>197</v>
      </c>
      <c r="E1324" s="3">
        <v>3080</v>
      </c>
      <c r="F1324" s="8">
        <v>3.0175000000000001</v>
      </c>
      <c r="G1324" s="4">
        <v>290.45209999999997</v>
      </c>
      <c r="H1324" s="4">
        <v>886.55409999999995</v>
      </c>
      <c r="I1324" s="4">
        <v>11.967499999999999</v>
      </c>
      <c r="J1324" s="4">
        <v>12.1775</v>
      </c>
      <c r="K1324" s="4">
        <v>11.64</v>
      </c>
      <c r="L1324" s="4">
        <v>11.71</v>
      </c>
      <c r="M1324" s="7">
        <v>-2.1499999999999998E-2</v>
      </c>
    </row>
    <row r="1325" spans="1:13" x14ac:dyDescent="0.2">
      <c r="A1325" s="6">
        <v>45875</v>
      </c>
      <c r="B1325" s="2" t="s">
        <v>224</v>
      </c>
      <c r="C1325" s="5">
        <v>45870</v>
      </c>
      <c r="D1325" s="2" t="s">
        <v>197</v>
      </c>
      <c r="E1325" s="3">
        <v>3093</v>
      </c>
      <c r="F1325" s="8">
        <v>3.1894999999999998</v>
      </c>
      <c r="G1325" s="4">
        <v>279.25290000000001</v>
      </c>
      <c r="H1325" s="4">
        <v>891.22969999999998</v>
      </c>
      <c r="I1325" s="4">
        <v>11.7125</v>
      </c>
      <c r="J1325" s="4">
        <v>12.047499999999999</v>
      </c>
      <c r="K1325" s="4">
        <v>10.657500000000001</v>
      </c>
      <c r="L1325" s="4">
        <v>11.96</v>
      </c>
      <c r="M1325" s="7">
        <v>2.1100000000000001E-2</v>
      </c>
    </row>
    <row r="1326" spans="1:13" x14ac:dyDescent="0.2">
      <c r="A1326" s="6">
        <v>45876</v>
      </c>
      <c r="B1326" s="2" t="s">
        <v>227</v>
      </c>
      <c r="C1326" s="5">
        <v>45870</v>
      </c>
      <c r="D1326" s="2" t="s">
        <v>197</v>
      </c>
      <c r="E1326" s="3">
        <v>3079</v>
      </c>
      <c r="F1326" s="8">
        <v>3.266</v>
      </c>
      <c r="G1326" s="4">
        <v>320.75979999999998</v>
      </c>
      <c r="H1326" s="4">
        <v>980.41489999999999</v>
      </c>
      <c r="I1326" s="4">
        <v>11.96</v>
      </c>
      <c r="J1326" s="4">
        <v>12.307499999999999</v>
      </c>
      <c r="K1326" s="4">
        <v>11.555</v>
      </c>
      <c r="L1326" s="4">
        <v>11.69</v>
      </c>
      <c r="M1326" s="7">
        <v>-2.2599999999999999E-2</v>
      </c>
    </row>
    <row r="1327" spans="1:13" x14ac:dyDescent="0.2">
      <c r="A1327" s="6">
        <v>45877</v>
      </c>
      <c r="B1327" s="2" t="s">
        <v>225</v>
      </c>
      <c r="C1327" s="5">
        <v>45870</v>
      </c>
      <c r="D1327" s="2" t="s">
        <v>197</v>
      </c>
      <c r="E1327" s="3">
        <v>3057</v>
      </c>
      <c r="F1327" s="8">
        <v>3.0596999999999999</v>
      </c>
      <c r="G1327" s="4">
        <v>283.89159999999998</v>
      </c>
      <c r="H1327" s="4">
        <v>1004.4468000000001</v>
      </c>
      <c r="I1327" s="4">
        <v>11.6875</v>
      </c>
      <c r="J1327" s="4">
        <v>12.1975</v>
      </c>
      <c r="K1327" s="4">
        <v>10.897500000000001</v>
      </c>
      <c r="L1327" s="4">
        <v>12.03</v>
      </c>
      <c r="M1327" s="7">
        <v>2.93E-2</v>
      </c>
    </row>
    <row r="1328" spans="1:13" x14ac:dyDescent="0.2">
      <c r="A1328" s="6">
        <v>45880</v>
      </c>
      <c r="B1328" s="2" t="s">
        <v>228</v>
      </c>
      <c r="C1328" s="5">
        <v>45870</v>
      </c>
      <c r="D1328" s="2" t="s">
        <v>197</v>
      </c>
      <c r="E1328" s="3">
        <v>3109</v>
      </c>
      <c r="F1328" s="8">
        <v>3.1324000000000001</v>
      </c>
      <c r="G1328" s="4">
        <v>261.2835</v>
      </c>
      <c r="H1328" s="4">
        <v>811.93790000000001</v>
      </c>
      <c r="I1328" s="4">
        <v>12.032500000000001</v>
      </c>
      <c r="J1328" s="4">
        <v>12.73</v>
      </c>
      <c r="K1328" s="4">
        <v>12.032500000000001</v>
      </c>
      <c r="L1328" s="4">
        <v>12.22</v>
      </c>
      <c r="M1328" s="7">
        <v>1.5599999999999999E-2</v>
      </c>
    </row>
    <row r="1329" spans="1:13" x14ac:dyDescent="0.2">
      <c r="A1329" s="6">
        <v>45881</v>
      </c>
      <c r="B1329" s="2" t="s">
        <v>226</v>
      </c>
      <c r="C1329" s="5">
        <v>45870</v>
      </c>
      <c r="D1329" s="2" t="s">
        <v>197</v>
      </c>
      <c r="E1329" s="3">
        <v>3079</v>
      </c>
      <c r="F1329" s="8">
        <v>2.9754999999999998</v>
      </c>
      <c r="G1329" s="4">
        <v>267.85250000000002</v>
      </c>
      <c r="H1329" s="4">
        <v>791.0856</v>
      </c>
      <c r="I1329" s="4">
        <v>12.217499999999999</v>
      </c>
      <c r="J1329" s="4">
        <v>12.422499999999999</v>
      </c>
      <c r="K1329" s="4">
        <v>11.595000000000001</v>
      </c>
      <c r="L1329" s="4">
        <v>12.23</v>
      </c>
      <c r="M1329" s="7">
        <v>1E-3</v>
      </c>
    </row>
    <row r="1330" spans="1:13" x14ac:dyDescent="0.2">
      <c r="A1330" s="6">
        <v>45882</v>
      </c>
      <c r="B1330" s="2" t="s">
        <v>224</v>
      </c>
      <c r="C1330" s="5">
        <v>45870</v>
      </c>
      <c r="D1330" s="2" t="s">
        <v>197</v>
      </c>
      <c r="E1330" s="3">
        <v>3077</v>
      </c>
      <c r="F1330" s="8">
        <v>3.0575000000000001</v>
      </c>
      <c r="G1330" s="4">
        <v>331.68579999999997</v>
      </c>
      <c r="H1330" s="4">
        <v>874.54459999999995</v>
      </c>
      <c r="I1330" s="4">
        <v>12.2325</v>
      </c>
      <c r="J1330" s="4">
        <v>12.352499999999999</v>
      </c>
      <c r="K1330" s="4">
        <v>10.7775</v>
      </c>
      <c r="L1330" s="4">
        <v>12.14</v>
      </c>
      <c r="M1330" s="7">
        <v>-7.6E-3</v>
      </c>
    </row>
    <row r="1331" spans="1:13" x14ac:dyDescent="0.2">
      <c r="A1331" s="6">
        <v>45883</v>
      </c>
      <c r="B1331" s="2" t="s">
        <v>227</v>
      </c>
      <c r="C1331" s="5">
        <v>45870</v>
      </c>
      <c r="D1331" s="2" t="s">
        <v>197</v>
      </c>
      <c r="E1331" s="3">
        <v>3059</v>
      </c>
      <c r="F1331" s="8">
        <v>2.9005000000000001</v>
      </c>
      <c r="G1331" s="4">
        <v>318.64460000000003</v>
      </c>
      <c r="H1331" s="4">
        <v>833.49659999999994</v>
      </c>
      <c r="I1331" s="4">
        <v>12.14</v>
      </c>
      <c r="J1331" s="4">
        <v>12.47</v>
      </c>
      <c r="K1331" s="4">
        <v>11.4725</v>
      </c>
      <c r="L1331" s="4">
        <v>12.36</v>
      </c>
      <c r="M1331" s="7">
        <v>1.8100000000000002E-2</v>
      </c>
    </row>
    <row r="1332" spans="1:13" x14ac:dyDescent="0.2">
      <c r="A1332" s="6">
        <v>45887</v>
      </c>
      <c r="B1332" s="2" t="s">
        <v>228</v>
      </c>
      <c r="C1332" s="5">
        <v>45870</v>
      </c>
      <c r="D1332" s="2" t="s">
        <v>197</v>
      </c>
      <c r="E1332" s="3">
        <v>3160</v>
      </c>
      <c r="F1332" s="8">
        <v>3.4634</v>
      </c>
      <c r="G1332" s="4">
        <v>368.0822</v>
      </c>
      <c r="H1332" s="4">
        <v>1069.9356</v>
      </c>
      <c r="I1332" s="4">
        <v>12.355</v>
      </c>
      <c r="J1332" s="4">
        <v>13.465</v>
      </c>
      <c r="K1332" s="4">
        <v>11.75</v>
      </c>
      <c r="L1332" s="4">
        <v>12.34</v>
      </c>
      <c r="M1332" s="7">
        <v>-1.1999999999999999E-3</v>
      </c>
    </row>
    <row r="1333" spans="1:13" x14ac:dyDescent="0.2">
      <c r="A1333" s="6">
        <v>45888</v>
      </c>
      <c r="B1333" s="2" t="s">
        <v>226</v>
      </c>
      <c r="C1333" s="5">
        <v>45870</v>
      </c>
      <c r="D1333" s="2" t="s">
        <v>197</v>
      </c>
      <c r="E1333" s="3">
        <v>3090</v>
      </c>
      <c r="F1333" s="8">
        <v>3.1269</v>
      </c>
      <c r="G1333" s="4">
        <v>368.30279999999999</v>
      </c>
      <c r="H1333" s="4">
        <v>876.34990000000005</v>
      </c>
      <c r="I1333" s="4">
        <v>12.34</v>
      </c>
      <c r="J1333" s="4">
        <v>12.34</v>
      </c>
      <c r="K1333" s="4">
        <v>11.76</v>
      </c>
      <c r="L1333" s="4">
        <v>11.79</v>
      </c>
      <c r="M1333" s="7">
        <v>-4.4600000000000001E-2</v>
      </c>
    </row>
    <row r="1334" spans="1:13" x14ac:dyDescent="0.2">
      <c r="A1334" s="6">
        <v>45889</v>
      </c>
      <c r="B1334" s="2" t="s">
        <v>224</v>
      </c>
      <c r="C1334" s="5">
        <v>45870</v>
      </c>
      <c r="D1334" s="2" t="s">
        <v>197</v>
      </c>
      <c r="E1334" s="3">
        <v>3076</v>
      </c>
      <c r="F1334" s="8">
        <v>3.1573000000000002</v>
      </c>
      <c r="G1334" s="4">
        <v>445.16649999999998</v>
      </c>
      <c r="H1334" s="4">
        <v>961.70860000000005</v>
      </c>
      <c r="I1334" s="4">
        <v>11.79</v>
      </c>
      <c r="J1334" s="4">
        <v>11.99</v>
      </c>
      <c r="K1334" s="4">
        <v>10.185</v>
      </c>
      <c r="L1334" s="4">
        <v>11.79</v>
      </c>
      <c r="M1334" s="7">
        <v>0</v>
      </c>
    </row>
    <row r="1335" spans="1:13" x14ac:dyDescent="0.2">
      <c r="A1335" s="6">
        <v>45890</v>
      </c>
      <c r="B1335" s="2" t="s">
        <v>227</v>
      </c>
      <c r="C1335" s="5">
        <v>45870</v>
      </c>
      <c r="D1335" s="2" t="s">
        <v>197</v>
      </c>
      <c r="E1335" s="3">
        <v>3080</v>
      </c>
      <c r="F1335" s="8">
        <v>3.1839</v>
      </c>
      <c r="G1335" s="4">
        <v>368.34249999999997</v>
      </c>
      <c r="H1335" s="4">
        <v>970.00940000000003</v>
      </c>
      <c r="I1335" s="4">
        <v>11.785</v>
      </c>
      <c r="J1335" s="4">
        <v>11.8925</v>
      </c>
      <c r="K1335" s="4">
        <v>10.0875</v>
      </c>
      <c r="L1335" s="4">
        <v>11.37</v>
      </c>
      <c r="M1335" s="7">
        <v>-3.5200000000000002E-2</v>
      </c>
    </row>
    <row r="1336" spans="1:13" x14ac:dyDescent="0.2">
      <c r="A1336" s="6">
        <v>45891</v>
      </c>
      <c r="B1336" s="2" t="s">
        <v>225</v>
      </c>
      <c r="C1336" s="5">
        <v>45870</v>
      </c>
      <c r="D1336" s="2" t="s">
        <v>197</v>
      </c>
      <c r="E1336" s="3">
        <v>3063</v>
      </c>
      <c r="F1336" s="8">
        <v>2.8268</v>
      </c>
      <c r="G1336" s="4">
        <v>435.15499999999997</v>
      </c>
      <c r="H1336" s="4">
        <v>822.41480000000001</v>
      </c>
      <c r="I1336" s="4">
        <v>11.3725</v>
      </c>
      <c r="J1336" s="4">
        <v>11.785</v>
      </c>
      <c r="K1336" s="4">
        <v>10.695</v>
      </c>
      <c r="L1336" s="4">
        <v>11.73</v>
      </c>
      <c r="M1336" s="7">
        <v>3.1399999999999997E-2</v>
      </c>
    </row>
    <row r="1337" spans="1:13" x14ac:dyDescent="0.2">
      <c r="A1337" s="6">
        <v>45894</v>
      </c>
      <c r="B1337" s="2" t="s">
        <v>228</v>
      </c>
      <c r="C1337" s="5">
        <v>45870</v>
      </c>
      <c r="D1337" s="2" t="s">
        <v>197</v>
      </c>
      <c r="E1337" s="3">
        <v>3119</v>
      </c>
      <c r="F1337" s="8">
        <v>2.9222999999999999</v>
      </c>
      <c r="G1337" s="4">
        <v>389.07010000000002</v>
      </c>
      <c r="H1337" s="4">
        <v>815.87540000000001</v>
      </c>
      <c r="I1337" s="4">
        <v>11.727499999999999</v>
      </c>
      <c r="J1337" s="4">
        <v>12.3475</v>
      </c>
      <c r="K1337" s="4">
        <v>11.545</v>
      </c>
      <c r="L1337" s="4">
        <v>11.76</v>
      </c>
      <c r="M1337" s="7">
        <v>2.8E-3</v>
      </c>
    </row>
    <row r="1338" spans="1:13" x14ac:dyDescent="0.2">
      <c r="A1338" s="6">
        <v>45895</v>
      </c>
      <c r="B1338" s="2" t="s">
        <v>226</v>
      </c>
      <c r="C1338" s="5">
        <v>45870</v>
      </c>
      <c r="D1338" s="2" t="s">
        <v>197</v>
      </c>
      <c r="E1338" s="3">
        <v>3095</v>
      </c>
      <c r="F1338" s="8">
        <v>3.5369999999999999</v>
      </c>
      <c r="G1338" s="4">
        <v>578.44809999999995</v>
      </c>
      <c r="H1338" s="4">
        <v>1465.1086</v>
      </c>
      <c r="I1338" s="4">
        <v>11.7575</v>
      </c>
      <c r="J1338" s="4">
        <v>12.547499999999999</v>
      </c>
      <c r="K1338" s="4">
        <v>10.9275</v>
      </c>
      <c r="L1338" s="4">
        <v>12.19</v>
      </c>
      <c r="M1338" s="7">
        <v>3.6799999999999999E-2</v>
      </c>
    </row>
    <row r="1339" spans="1:13" x14ac:dyDescent="0.2">
      <c r="A1339" s="6">
        <v>45897</v>
      </c>
      <c r="B1339" s="2" t="s">
        <v>227</v>
      </c>
      <c r="C1339" s="5">
        <v>45870</v>
      </c>
      <c r="D1339" s="2" t="s">
        <v>197</v>
      </c>
      <c r="E1339" s="3">
        <v>3085</v>
      </c>
      <c r="F1339" s="8">
        <v>3.3832</v>
      </c>
      <c r="G1339" s="4">
        <v>399.80689999999998</v>
      </c>
      <c r="H1339" s="4">
        <v>1027.7447</v>
      </c>
      <c r="I1339" s="4">
        <v>12.192500000000001</v>
      </c>
      <c r="J1339" s="4">
        <v>13.145</v>
      </c>
      <c r="K1339" s="4">
        <v>11.574999999999999</v>
      </c>
      <c r="L1339" s="4">
        <v>12.18</v>
      </c>
      <c r="M1339" s="7">
        <v>-1E-3</v>
      </c>
    </row>
    <row r="1340" spans="1:13" x14ac:dyDescent="0.2">
      <c r="A1340" s="6">
        <v>45898</v>
      </c>
      <c r="B1340" s="2" t="s">
        <v>225</v>
      </c>
      <c r="C1340" s="5">
        <v>45870</v>
      </c>
      <c r="D1340" s="2" t="s">
        <v>197</v>
      </c>
      <c r="E1340" s="3">
        <v>3110</v>
      </c>
      <c r="F1340" s="8">
        <v>3.1233</v>
      </c>
      <c r="G1340" s="4">
        <v>394.12560000000002</v>
      </c>
      <c r="H1340" s="4">
        <v>909.36810000000003</v>
      </c>
      <c r="I1340" s="4">
        <v>12.1775</v>
      </c>
      <c r="J1340" s="4">
        <v>12.202500000000001</v>
      </c>
      <c r="K1340" s="4">
        <v>11.592499999999999</v>
      </c>
      <c r="L1340" s="4">
        <v>11.75</v>
      </c>
      <c r="M1340" s="7">
        <v>-3.5099999999999999E-2</v>
      </c>
    </row>
    <row r="1341" spans="1:13" x14ac:dyDescent="0.2">
      <c r="A1341" s="6">
        <v>45901</v>
      </c>
      <c r="B1341" s="2" t="s">
        <v>228</v>
      </c>
      <c r="C1341" s="5">
        <v>45901</v>
      </c>
      <c r="D1341" s="2" t="s">
        <v>197</v>
      </c>
      <c r="E1341" s="3">
        <v>3168</v>
      </c>
      <c r="F1341" s="8">
        <v>3.0411999999999999</v>
      </c>
      <c r="G1341" s="4">
        <v>393.62580000000003</v>
      </c>
      <c r="H1341" s="4">
        <v>847.99419999999998</v>
      </c>
      <c r="I1341" s="4">
        <v>11.7525</v>
      </c>
      <c r="J1341" s="4">
        <v>12.195</v>
      </c>
      <c r="K1341" s="4">
        <v>11.234999999999999</v>
      </c>
      <c r="L1341" s="4">
        <v>11.29</v>
      </c>
      <c r="M1341" s="7">
        <v>-3.9399999999999998E-2</v>
      </c>
    </row>
    <row r="1342" spans="1:13" x14ac:dyDescent="0.2">
      <c r="A1342" s="6">
        <v>45902</v>
      </c>
      <c r="B1342" s="2" t="s">
        <v>226</v>
      </c>
      <c r="C1342" s="5">
        <v>45901</v>
      </c>
      <c r="D1342" s="2" t="s">
        <v>197</v>
      </c>
      <c r="E1342" s="3">
        <v>3148</v>
      </c>
      <c r="F1342" s="8">
        <v>3.2683</v>
      </c>
      <c r="G1342" s="4">
        <v>447.21940000000001</v>
      </c>
      <c r="H1342" s="4">
        <v>932.44719999999995</v>
      </c>
      <c r="I1342" s="4">
        <v>11.2925</v>
      </c>
      <c r="J1342" s="4">
        <v>11.782500000000001</v>
      </c>
      <c r="K1342" s="4">
        <v>10.78</v>
      </c>
      <c r="L1342" s="4">
        <v>11.4</v>
      </c>
      <c r="M1342" s="7">
        <v>9.4999999999999998E-3</v>
      </c>
    </row>
    <row r="1343" spans="1:13" x14ac:dyDescent="0.2">
      <c r="A1343" s="6">
        <v>45903</v>
      </c>
      <c r="B1343" s="2" t="s">
        <v>224</v>
      </c>
      <c r="C1343" s="5">
        <v>45901</v>
      </c>
      <c r="D1343" s="2" t="s">
        <v>197</v>
      </c>
      <c r="E1343" s="3">
        <v>3152</v>
      </c>
      <c r="F1343" s="8">
        <v>3.27</v>
      </c>
      <c r="G1343" s="4">
        <v>470.17230000000001</v>
      </c>
      <c r="H1343" s="4">
        <v>959.65539999999999</v>
      </c>
      <c r="I1343" s="4">
        <v>11.4</v>
      </c>
      <c r="J1343" s="4">
        <v>11.577500000000001</v>
      </c>
      <c r="K1343" s="4">
        <v>10.85</v>
      </c>
      <c r="L1343" s="4">
        <v>10.93</v>
      </c>
      <c r="M1343" s="7">
        <v>-4.1200000000000001E-2</v>
      </c>
    </row>
    <row r="1344" spans="1:13" x14ac:dyDescent="0.2">
      <c r="A1344" s="6">
        <v>45904</v>
      </c>
      <c r="B1344" s="2" t="s">
        <v>227</v>
      </c>
      <c r="C1344" s="5">
        <v>45901</v>
      </c>
      <c r="D1344" s="2" t="s">
        <v>197</v>
      </c>
      <c r="E1344" s="3">
        <v>3154</v>
      </c>
      <c r="F1344" s="8">
        <v>3.3628</v>
      </c>
      <c r="G1344" s="4">
        <v>460.3141</v>
      </c>
      <c r="H1344" s="4">
        <v>1054.7728999999999</v>
      </c>
      <c r="I1344" s="4">
        <v>10.93</v>
      </c>
      <c r="J1344" s="4">
        <v>11.237500000000001</v>
      </c>
      <c r="K1344" s="4">
        <v>10.4925</v>
      </c>
      <c r="L1344" s="4">
        <v>10.85</v>
      </c>
      <c r="M1344" s="7">
        <v>-7.3000000000000001E-3</v>
      </c>
    </row>
    <row r="1345" spans="1:13" x14ac:dyDescent="0.2">
      <c r="A1345" s="6">
        <v>45905</v>
      </c>
      <c r="B1345" s="2" t="s">
        <v>225</v>
      </c>
      <c r="C1345" s="5">
        <v>45901</v>
      </c>
      <c r="D1345" s="2" t="s">
        <v>197</v>
      </c>
      <c r="E1345" s="3">
        <v>3144</v>
      </c>
      <c r="F1345" s="8">
        <v>2.9537</v>
      </c>
      <c r="G1345" s="4">
        <v>484.12139999999999</v>
      </c>
      <c r="H1345" s="4">
        <v>819.38009999999997</v>
      </c>
      <c r="I1345" s="4">
        <v>10.852499999999999</v>
      </c>
      <c r="J1345" s="4">
        <v>11.435</v>
      </c>
      <c r="K1345" s="4">
        <v>9.9525000000000006</v>
      </c>
      <c r="L1345" s="4">
        <v>10.78</v>
      </c>
      <c r="M1345" s="7">
        <v>-6.7000000000000002E-3</v>
      </c>
    </row>
    <row r="1346" spans="1:13" x14ac:dyDescent="0.2">
      <c r="A1346" s="6">
        <v>45908</v>
      </c>
      <c r="B1346" s="2" t="s">
        <v>228</v>
      </c>
      <c r="C1346" s="5">
        <v>45901</v>
      </c>
      <c r="D1346" s="2" t="s">
        <v>197</v>
      </c>
      <c r="E1346" s="3">
        <v>3152</v>
      </c>
      <c r="F1346" s="8">
        <v>3.0093999999999999</v>
      </c>
      <c r="G1346" s="4">
        <v>383.2176</v>
      </c>
      <c r="H1346" s="4">
        <v>808.59069999999997</v>
      </c>
      <c r="I1346" s="4">
        <v>10.78</v>
      </c>
      <c r="J1346" s="4">
        <v>11.0825</v>
      </c>
      <c r="K1346" s="4">
        <v>10.42</v>
      </c>
      <c r="L1346" s="4">
        <v>10.84</v>
      </c>
      <c r="M1346" s="7">
        <v>5.5999999999999999E-3</v>
      </c>
    </row>
    <row r="1347" spans="1:13" x14ac:dyDescent="0.2">
      <c r="A1347" s="6">
        <v>45909</v>
      </c>
      <c r="B1347" s="2" t="s">
        <v>226</v>
      </c>
      <c r="C1347" s="5">
        <v>45901</v>
      </c>
      <c r="D1347" s="2" t="s">
        <v>197</v>
      </c>
      <c r="E1347" s="3">
        <v>3124</v>
      </c>
      <c r="F1347" s="8">
        <v>2.8540000000000001</v>
      </c>
      <c r="G1347" s="4">
        <v>353.96660000000003</v>
      </c>
      <c r="H1347" s="4">
        <v>799.08680000000004</v>
      </c>
      <c r="I1347" s="4">
        <v>10.8375</v>
      </c>
      <c r="J1347" s="4">
        <v>11.45</v>
      </c>
      <c r="K1347" s="4">
        <v>9.8524999999999991</v>
      </c>
      <c r="L1347" s="4">
        <v>10.69</v>
      </c>
      <c r="M1347" s="7">
        <v>-1.3599999999999999E-2</v>
      </c>
    </row>
    <row r="1348" spans="1:13" x14ac:dyDescent="0.2">
      <c r="A1348" s="6">
        <v>45910</v>
      </c>
      <c r="B1348" s="2" t="s">
        <v>224</v>
      </c>
      <c r="C1348" s="5">
        <v>45901</v>
      </c>
      <c r="D1348" s="2" t="s">
        <v>197</v>
      </c>
      <c r="E1348" s="3">
        <v>3136</v>
      </c>
      <c r="F1348" s="8">
        <v>3.2450000000000001</v>
      </c>
      <c r="G1348" s="4">
        <v>398.96370000000002</v>
      </c>
      <c r="H1348" s="4">
        <v>1020.414</v>
      </c>
      <c r="I1348" s="4">
        <v>10.685</v>
      </c>
      <c r="J1348" s="4">
        <v>10.84</v>
      </c>
      <c r="K1348" s="4">
        <v>10.2475</v>
      </c>
      <c r="L1348" s="4">
        <v>10.54</v>
      </c>
      <c r="M1348" s="7">
        <v>-1.3599999999999999E-2</v>
      </c>
    </row>
    <row r="1349" spans="1:13" x14ac:dyDescent="0.2">
      <c r="A1349" s="6">
        <v>45911</v>
      </c>
      <c r="B1349" s="2" t="s">
        <v>227</v>
      </c>
      <c r="C1349" s="5">
        <v>45901</v>
      </c>
      <c r="D1349" s="2" t="s">
        <v>197</v>
      </c>
      <c r="E1349" s="3">
        <v>3159</v>
      </c>
      <c r="F1349" s="8">
        <v>3.0695999999999999</v>
      </c>
      <c r="G1349" s="4">
        <v>365.76740000000001</v>
      </c>
      <c r="H1349" s="4">
        <v>962.04830000000004</v>
      </c>
      <c r="I1349" s="4">
        <v>10.5375</v>
      </c>
      <c r="J1349" s="4">
        <v>10.7775</v>
      </c>
      <c r="K1349" s="4">
        <v>10.182499999999999</v>
      </c>
      <c r="L1349" s="4">
        <v>10.36</v>
      </c>
      <c r="M1349" s="7">
        <v>-1.6799999999999999E-2</v>
      </c>
    </row>
    <row r="1350" spans="1:13" x14ac:dyDescent="0.2">
      <c r="A1350" s="6">
        <v>45912</v>
      </c>
      <c r="B1350" s="2" t="s">
        <v>225</v>
      </c>
      <c r="C1350" s="5">
        <v>45901</v>
      </c>
      <c r="D1350" s="2" t="s">
        <v>197</v>
      </c>
      <c r="E1350" s="3">
        <v>3155</v>
      </c>
      <c r="F1350" s="8">
        <v>2.9538000000000002</v>
      </c>
      <c r="G1350" s="4">
        <v>407.86419999999998</v>
      </c>
      <c r="H1350" s="4">
        <v>922.41520000000003</v>
      </c>
      <c r="I1350" s="4">
        <v>10.36</v>
      </c>
      <c r="J1350" s="4">
        <v>10.36</v>
      </c>
      <c r="K1350" s="4">
        <v>9.85</v>
      </c>
      <c r="L1350" s="4">
        <v>10.119999999999999</v>
      </c>
      <c r="M1350" s="7">
        <v>-2.3199999999999998E-2</v>
      </c>
    </row>
    <row r="1351" spans="1:13" x14ac:dyDescent="0.2">
      <c r="A1351" s="6">
        <v>45915</v>
      </c>
      <c r="B1351" s="2" t="s">
        <v>228</v>
      </c>
      <c r="C1351" s="5">
        <v>45901</v>
      </c>
      <c r="D1351" s="2" t="s">
        <v>197</v>
      </c>
      <c r="E1351" s="3">
        <v>3183</v>
      </c>
      <c r="F1351" s="8">
        <v>3.0013000000000001</v>
      </c>
      <c r="G1351" s="4">
        <v>485.70429999999999</v>
      </c>
      <c r="H1351" s="4">
        <v>851.04650000000004</v>
      </c>
      <c r="I1351" s="4">
        <v>10.1225</v>
      </c>
      <c r="J1351" s="4">
        <v>10.682499999999999</v>
      </c>
      <c r="K1351" s="4">
        <v>9.9024999999999999</v>
      </c>
      <c r="L1351" s="4">
        <v>10.4</v>
      </c>
      <c r="M1351" s="7">
        <v>2.7400000000000001E-2</v>
      </c>
    </row>
    <row r="1352" spans="1:13" x14ac:dyDescent="0.2">
      <c r="A1352" s="6">
        <v>45916</v>
      </c>
      <c r="B1352" s="2" t="s">
        <v>226</v>
      </c>
      <c r="C1352" s="5">
        <v>45901</v>
      </c>
      <c r="D1352" s="2" t="s">
        <v>197</v>
      </c>
      <c r="E1352" s="3">
        <v>3168</v>
      </c>
      <c r="F1352" s="8">
        <v>2.9676</v>
      </c>
      <c r="G1352" s="4">
        <v>424.42880000000002</v>
      </c>
      <c r="H1352" s="4">
        <v>910.4846</v>
      </c>
      <c r="I1352" s="4">
        <v>10.397500000000001</v>
      </c>
      <c r="J1352" s="4">
        <v>10.5</v>
      </c>
      <c r="K1352" s="4">
        <v>9.7550000000000008</v>
      </c>
      <c r="L1352" s="4">
        <v>10.27</v>
      </c>
      <c r="M1352" s="7">
        <v>-1.23E-2</v>
      </c>
    </row>
    <row r="1353" spans="1:13" x14ac:dyDescent="0.2">
      <c r="A1353" s="6">
        <v>45917</v>
      </c>
      <c r="B1353" s="2" t="s">
        <v>224</v>
      </c>
      <c r="C1353" s="5">
        <v>45901</v>
      </c>
      <c r="D1353" s="2" t="s">
        <v>197</v>
      </c>
      <c r="E1353" s="3">
        <v>3191</v>
      </c>
      <c r="F1353" s="8">
        <v>3.2583000000000002</v>
      </c>
      <c r="G1353" s="4">
        <v>466.04070000000002</v>
      </c>
      <c r="H1353" s="4">
        <v>1010.4126</v>
      </c>
      <c r="I1353" s="4">
        <v>10.272500000000001</v>
      </c>
      <c r="J1353" s="4">
        <v>10.3575</v>
      </c>
      <c r="K1353" s="4">
        <v>9.6150000000000002</v>
      </c>
      <c r="L1353" s="4">
        <v>10.25</v>
      </c>
      <c r="M1353" s="7">
        <v>-2.2000000000000001E-3</v>
      </c>
    </row>
    <row r="1354" spans="1:13" x14ac:dyDescent="0.2">
      <c r="A1354" s="6">
        <v>45918</v>
      </c>
      <c r="B1354" s="2" t="s">
        <v>227</v>
      </c>
      <c r="C1354" s="5">
        <v>45901</v>
      </c>
      <c r="D1354" s="2" t="s">
        <v>197</v>
      </c>
      <c r="E1354" s="3">
        <v>3148</v>
      </c>
      <c r="F1354" s="8">
        <v>2.9868999999999999</v>
      </c>
      <c r="G1354" s="4">
        <v>427.68189999999998</v>
      </c>
      <c r="H1354" s="4">
        <v>979.94780000000003</v>
      </c>
      <c r="I1354" s="4">
        <v>10.2475</v>
      </c>
      <c r="J1354" s="4">
        <v>10.2475</v>
      </c>
      <c r="K1354" s="4">
        <v>9.4924999999999997</v>
      </c>
      <c r="L1354" s="4">
        <v>9.89</v>
      </c>
      <c r="M1354" s="7">
        <v>-3.49E-2</v>
      </c>
    </row>
    <row r="1355" spans="1:13" x14ac:dyDescent="0.2">
      <c r="A1355" s="6">
        <v>45919</v>
      </c>
      <c r="B1355" s="2" t="s">
        <v>225</v>
      </c>
      <c r="C1355" s="5">
        <v>45901</v>
      </c>
      <c r="D1355" s="2" t="s">
        <v>197</v>
      </c>
      <c r="E1355" s="3">
        <v>3139</v>
      </c>
      <c r="F1355" s="8">
        <v>3.3134000000000001</v>
      </c>
      <c r="G1355" s="4">
        <v>674.61310000000003</v>
      </c>
      <c r="H1355" s="4">
        <v>1389.0310999999999</v>
      </c>
      <c r="I1355" s="4">
        <v>9.8849999999999998</v>
      </c>
      <c r="J1355" s="4">
        <v>10.255000000000001</v>
      </c>
      <c r="K1355" s="4">
        <v>9.3975000000000009</v>
      </c>
      <c r="L1355" s="4">
        <v>9.9700000000000006</v>
      </c>
      <c r="M1355" s="7">
        <v>8.6E-3</v>
      </c>
    </row>
    <row r="1356" spans="1:13" x14ac:dyDescent="0.2">
      <c r="A1356" s="6">
        <v>45922</v>
      </c>
      <c r="B1356" s="2" t="s">
        <v>228</v>
      </c>
      <c r="C1356" s="5">
        <v>45901</v>
      </c>
      <c r="D1356" s="2" t="s">
        <v>197</v>
      </c>
      <c r="E1356" s="3">
        <v>3210</v>
      </c>
      <c r="F1356" s="8">
        <v>3.3439999999999999</v>
      </c>
      <c r="G1356" s="4">
        <v>426.22770000000003</v>
      </c>
      <c r="H1356" s="4">
        <v>1031.0144</v>
      </c>
      <c r="I1356" s="4">
        <v>9.9674999999999994</v>
      </c>
      <c r="J1356" s="4">
        <v>10.7325</v>
      </c>
      <c r="K1356" s="4">
        <v>9.9674999999999994</v>
      </c>
      <c r="L1356" s="4">
        <v>10.56</v>
      </c>
      <c r="M1356" s="7">
        <v>5.9400000000000001E-2</v>
      </c>
    </row>
    <row r="1357" spans="1:13" x14ac:dyDescent="0.2">
      <c r="A1357" s="6">
        <v>45923</v>
      </c>
      <c r="B1357" s="2" t="s">
        <v>226</v>
      </c>
      <c r="C1357" s="5">
        <v>45901</v>
      </c>
      <c r="D1357" s="2" t="s">
        <v>197</v>
      </c>
      <c r="E1357" s="3">
        <v>3144</v>
      </c>
      <c r="F1357" s="8">
        <v>3.2075</v>
      </c>
      <c r="G1357" s="4">
        <v>451.69150000000002</v>
      </c>
      <c r="H1357" s="4">
        <v>1053.1721</v>
      </c>
      <c r="I1357" s="4">
        <v>10.557499999999999</v>
      </c>
      <c r="J1357" s="4">
        <v>10.9025</v>
      </c>
      <c r="K1357" s="4">
        <v>9.9625000000000004</v>
      </c>
      <c r="L1357" s="4">
        <v>10.63</v>
      </c>
      <c r="M1357" s="7">
        <v>6.8999999999999999E-3</v>
      </c>
    </row>
    <row r="1358" spans="1:13" x14ac:dyDescent="0.2">
      <c r="A1358" s="6">
        <v>45924</v>
      </c>
      <c r="B1358" s="2" t="s">
        <v>224</v>
      </c>
      <c r="C1358" s="5">
        <v>45901</v>
      </c>
      <c r="D1358" s="2" t="s">
        <v>197</v>
      </c>
      <c r="E1358" s="3">
        <v>3139</v>
      </c>
      <c r="F1358" s="8">
        <v>3.1103999999999998</v>
      </c>
      <c r="G1358" s="4">
        <v>369.52330000000001</v>
      </c>
      <c r="H1358" s="4">
        <v>942.97850000000005</v>
      </c>
      <c r="I1358" s="4">
        <v>10.625</v>
      </c>
      <c r="J1358" s="4">
        <v>10.8925</v>
      </c>
      <c r="K1358" s="4">
        <v>10.112500000000001</v>
      </c>
      <c r="L1358" s="4">
        <v>10.52</v>
      </c>
      <c r="M1358" s="7">
        <v>-9.9000000000000008E-3</v>
      </c>
    </row>
    <row r="1359" spans="1:13" x14ac:dyDescent="0.2">
      <c r="A1359" s="6">
        <v>45925</v>
      </c>
      <c r="B1359" s="2" t="s">
        <v>227</v>
      </c>
      <c r="C1359" s="5">
        <v>45901</v>
      </c>
      <c r="D1359" s="2" t="s">
        <v>197</v>
      </c>
      <c r="E1359" s="3">
        <v>3131</v>
      </c>
      <c r="F1359" s="8">
        <v>3.0602</v>
      </c>
      <c r="G1359" s="4">
        <v>369.59429999999998</v>
      </c>
      <c r="H1359" s="4">
        <v>1002.3574</v>
      </c>
      <c r="I1359" s="4">
        <v>10.522500000000001</v>
      </c>
      <c r="J1359" s="4">
        <v>10.897500000000001</v>
      </c>
      <c r="K1359" s="4">
        <v>10.285</v>
      </c>
      <c r="L1359" s="4">
        <v>10.78</v>
      </c>
      <c r="M1359" s="7">
        <v>2.4500000000000001E-2</v>
      </c>
    </row>
    <row r="1360" spans="1:13" x14ac:dyDescent="0.2">
      <c r="A1360" s="6">
        <v>45926</v>
      </c>
      <c r="B1360" s="2" t="s">
        <v>225</v>
      </c>
      <c r="C1360" s="5">
        <v>45901</v>
      </c>
      <c r="D1360" s="2" t="s">
        <v>197</v>
      </c>
      <c r="E1360" s="3">
        <v>3151</v>
      </c>
      <c r="F1360" s="8">
        <v>3.5426000000000002</v>
      </c>
      <c r="G1360" s="4">
        <v>464.25909999999999</v>
      </c>
      <c r="H1360" s="4">
        <v>973.4973</v>
      </c>
      <c r="I1360" s="4">
        <v>10.782500000000001</v>
      </c>
      <c r="J1360" s="4">
        <v>11.6775</v>
      </c>
      <c r="K1360" s="4">
        <v>10.17</v>
      </c>
      <c r="L1360" s="4">
        <v>11.43</v>
      </c>
      <c r="M1360" s="7">
        <v>6.0100000000000001E-2</v>
      </c>
    </row>
    <row r="1361" spans="1:13" x14ac:dyDescent="0.2">
      <c r="A1361" s="6">
        <v>45929</v>
      </c>
      <c r="B1361" s="2" t="s">
        <v>228</v>
      </c>
      <c r="C1361" s="5">
        <v>45901</v>
      </c>
      <c r="D1361" s="2" t="s">
        <v>197</v>
      </c>
      <c r="E1361" s="3">
        <v>3174</v>
      </c>
      <c r="F1361" s="8">
        <v>3.8195000000000001</v>
      </c>
      <c r="G1361" s="4">
        <v>418.68830000000003</v>
      </c>
      <c r="H1361" s="4">
        <v>1332.5537999999999</v>
      </c>
      <c r="I1361" s="4">
        <v>11.425000000000001</v>
      </c>
      <c r="J1361" s="4">
        <v>11.725</v>
      </c>
      <c r="K1361" s="4">
        <v>10.615</v>
      </c>
      <c r="L1361" s="4">
        <v>11.37</v>
      </c>
      <c r="M1361" s="7">
        <v>-4.7999999999999996E-3</v>
      </c>
    </row>
    <row r="1362" spans="1:13" x14ac:dyDescent="0.2">
      <c r="A1362" s="6">
        <v>45930</v>
      </c>
      <c r="B1362" s="2" t="s">
        <v>226</v>
      </c>
      <c r="C1362" s="5">
        <v>45901</v>
      </c>
      <c r="D1362" s="2" t="s">
        <v>197</v>
      </c>
      <c r="E1362" s="3">
        <v>3122</v>
      </c>
      <c r="F1362" s="8">
        <v>3.2945000000000002</v>
      </c>
      <c r="G1362" s="4">
        <v>362.31169999999997</v>
      </c>
      <c r="H1362" s="4">
        <v>1025.4458999999999</v>
      </c>
      <c r="I1362" s="4">
        <v>11.365</v>
      </c>
      <c r="J1362" s="4">
        <v>11.7875</v>
      </c>
      <c r="K1362" s="4">
        <v>10.93</v>
      </c>
      <c r="L1362" s="4">
        <v>11.07</v>
      </c>
      <c r="M1362" s="7">
        <v>-2.5999999999999999E-2</v>
      </c>
    </row>
    <row r="1363" spans="1:13" x14ac:dyDescent="0.2">
      <c r="A1363" s="6">
        <v>45931</v>
      </c>
      <c r="B1363" s="2" t="s">
        <v>224</v>
      </c>
      <c r="C1363" s="5">
        <v>45931</v>
      </c>
      <c r="D1363" s="2" t="s">
        <v>198</v>
      </c>
      <c r="E1363" s="3">
        <v>3163</v>
      </c>
      <c r="F1363" s="8">
        <v>3.0907</v>
      </c>
      <c r="G1363" s="4">
        <v>379.12580000000003</v>
      </c>
      <c r="H1363" s="4">
        <v>997.44740000000002</v>
      </c>
      <c r="I1363" s="4">
        <v>11.065</v>
      </c>
      <c r="J1363" s="4">
        <v>11.255000000000001</v>
      </c>
      <c r="K1363" s="4">
        <v>10.1525</v>
      </c>
      <c r="L1363" s="4">
        <v>10.29</v>
      </c>
      <c r="M1363" s="7">
        <v>-7.0000000000000007E-2</v>
      </c>
    </row>
    <row r="1364" spans="1:13" x14ac:dyDescent="0.2">
      <c r="A1364" s="6">
        <v>45933</v>
      </c>
      <c r="B1364" s="2" t="s">
        <v>225</v>
      </c>
      <c r="C1364" s="5">
        <v>45931</v>
      </c>
      <c r="D1364" s="2" t="s">
        <v>198</v>
      </c>
      <c r="E1364" s="3">
        <v>3190</v>
      </c>
      <c r="F1364" s="8">
        <v>3.3557000000000001</v>
      </c>
      <c r="G1364" s="4">
        <v>425.15530000000001</v>
      </c>
      <c r="H1364" s="4">
        <v>1128.2765999999999</v>
      </c>
      <c r="I1364" s="4">
        <v>10.2875</v>
      </c>
      <c r="J1364" s="4">
        <v>10.6225</v>
      </c>
      <c r="K1364" s="4">
        <v>9.9450000000000003</v>
      </c>
      <c r="L1364" s="4">
        <v>10.06</v>
      </c>
      <c r="M1364" s="7">
        <v>-2.2100000000000002E-2</v>
      </c>
    </row>
    <row r="1365" spans="1:13" x14ac:dyDescent="0.2">
      <c r="A1365" s="6">
        <v>45936</v>
      </c>
      <c r="B1365" s="2" t="s">
        <v>228</v>
      </c>
      <c r="C1365" s="5">
        <v>45931</v>
      </c>
      <c r="D1365" s="2" t="s">
        <v>198</v>
      </c>
      <c r="E1365" s="3">
        <v>3223</v>
      </c>
      <c r="F1365" s="8">
        <v>3.1650999999999998</v>
      </c>
      <c r="G1365" s="4">
        <v>442.61860000000001</v>
      </c>
      <c r="H1365" s="4">
        <v>968.71839999999997</v>
      </c>
      <c r="I1365" s="4">
        <v>10.06</v>
      </c>
      <c r="J1365" s="4">
        <v>10.5375</v>
      </c>
      <c r="K1365" s="4">
        <v>9.6575000000000006</v>
      </c>
      <c r="L1365" s="4">
        <v>10.19</v>
      </c>
      <c r="M1365" s="7">
        <v>1.29E-2</v>
      </c>
    </row>
    <row r="1366" spans="1:13" x14ac:dyDescent="0.2">
      <c r="A1366" s="6">
        <v>45937</v>
      </c>
      <c r="B1366" s="2" t="s">
        <v>226</v>
      </c>
      <c r="C1366" s="5">
        <v>45931</v>
      </c>
      <c r="D1366" s="2" t="s">
        <v>198</v>
      </c>
      <c r="E1366" s="3">
        <v>3209</v>
      </c>
      <c r="F1366" s="8">
        <v>3.1021999999999998</v>
      </c>
      <c r="G1366" s="4">
        <v>456.52390000000003</v>
      </c>
      <c r="H1366" s="4">
        <v>985.73030000000006</v>
      </c>
      <c r="I1366" s="4">
        <v>10.192500000000001</v>
      </c>
      <c r="J1366" s="4">
        <v>10.45</v>
      </c>
      <c r="K1366" s="4">
        <v>10</v>
      </c>
      <c r="L1366" s="4">
        <v>10.050000000000001</v>
      </c>
      <c r="M1366" s="7">
        <v>-1.4E-2</v>
      </c>
    </row>
    <row r="1367" spans="1:13" x14ac:dyDescent="0.2">
      <c r="A1367" s="6">
        <v>45938</v>
      </c>
      <c r="B1367" s="2" t="s">
        <v>224</v>
      </c>
      <c r="C1367" s="5">
        <v>45931</v>
      </c>
      <c r="D1367" s="2" t="s">
        <v>198</v>
      </c>
      <c r="E1367" s="3">
        <v>3218</v>
      </c>
      <c r="F1367" s="8">
        <v>3.0954999999999999</v>
      </c>
      <c r="G1367" s="4">
        <v>423.41199999999998</v>
      </c>
      <c r="H1367" s="4">
        <v>896.02560000000005</v>
      </c>
      <c r="I1367" s="4">
        <v>10.050000000000001</v>
      </c>
      <c r="J1367" s="4">
        <v>10.522500000000001</v>
      </c>
      <c r="K1367" s="4">
        <v>9.6875</v>
      </c>
      <c r="L1367" s="4">
        <v>10.31</v>
      </c>
      <c r="M1367" s="7">
        <v>2.5899999999999999E-2</v>
      </c>
    </row>
    <row r="1368" spans="1:13" x14ac:dyDescent="0.2">
      <c r="A1368" s="6">
        <v>45939</v>
      </c>
      <c r="B1368" s="2" t="s">
        <v>227</v>
      </c>
      <c r="C1368" s="5">
        <v>45931</v>
      </c>
      <c r="D1368" s="2" t="s">
        <v>198</v>
      </c>
      <c r="E1368" s="3">
        <v>3205</v>
      </c>
      <c r="F1368" s="8">
        <v>3.0794999999999999</v>
      </c>
      <c r="G1368" s="4">
        <v>406.18889999999999</v>
      </c>
      <c r="H1368" s="4">
        <v>924.63580000000002</v>
      </c>
      <c r="I1368" s="4">
        <v>10.3125</v>
      </c>
      <c r="J1368" s="4">
        <v>10.565</v>
      </c>
      <c r="K1368" s="4">
        <v>9.9975000000000005</v>
      </c>
      <c r="L1368" s="4">
        <v>10.119999999999999</v>
      </c>
      <c r="M1368" s="7">
        <v>-1.8700000000000001E-2</v>
      </c>
    </row>
    <row r="1369" spans="1:13" x14ac:dyDescent="0.2">
      <c r="A1369" s="6">
        <v>45940</v>
      </c>
      <c r="B1369" s="2" t="s">
        <v>225</v>
      </c>
      <c r="C1369" s="5">
        <v>45931</v>
      </c>
      <c r="D1369" s="2" t="s">
        <v>198</v>
      </c>
      <c r="E1369" s="3">
        <v>3181</v>
      </c>
      <c r="F1369" s="8">
        <v>3.0937000000000001</v>
      </c>
      <c r="G1369" s="4">
        <v>462.99669999999998</v>
      </c>
      <c r="H1369" s="4">
        <v>940.05110000000002</v>
      </c>
      <c r="I1369" s="4">
        <v>10.119999999999999</v>
      </c>
      <c r="J1369" s="4">
        <v>10.342499999999999</v>
      </c>
      <c r="K1369" s="4">
        <v>9.7100000000000009</v>
      </c>
      <c r="L1369" s="4">
        <v>10.1</v>
      </c>
      <c r="M1369" s="7">
        <v>-2E-3</v>
      </c>
    </row>
    <row r="1370" spans="1:13" x14ac:dyDescent="0.2">
      <c r="A1370" s="6">
        <v>45943</v>
      </c>
      <c r="B1370" s="2" t="s">
        <v>228</v>
      </c>
      <c r="C1370" s="5">
        <v>45931</v>
      </c>
      <c r="D1370" s="2" t="s">
        <v>198</v>
      </c>
      <c r="E1370" s="3">
        <v>3218</v>
      </c>
      <c r="F1370" s="8">
        <v>3.0722999999999998</v>
      </c>
      <c r="G1370" s="4">
        <v>437.8485</v>
      </c>
      <c r="H1370" s="4">
        <v>917.23490000000004</v>
      </c>
      <c r="I1370" s="4">
        <v>10.102499999999999</v>
      </c>
      <c r="J1370" s="4">
        <v>11.2575</v>
      </c>
      <c r="K1370" s="4">
        <v>9.7774999999999999</v>
      </c>
      <c r="L1370" s="4">
        <v>11.01</v>
      </c>
      <c r="M1370" s="7">
        <v>8.9800000000000005E-2</v>
      </c>
    </row>
    <row r="1371" spans="1:13" x14ac:dyDescent="0.2">
      <c r="A1371" s="6">
        <v>45944</v>
      </c>
      <c r="B1371" s="2" t="s">
        <v>226</v>
      </c>
      <c r="C1371" s="5">
        <v>45931</v>
      </c>
      <c r="D1371" s="2" t="s">
        <v>198</v>
      </c>
      <c r="E1371" s="3">
        <v>3215</v>
      </c>
      <c r="F1371" s="8">
        <v>3.4685000000000001</v>
      </c>
      <c r="G1371" s="4">
        <v>441.892</v>
      </c>
      <c r="H1371" s="4">
        <v>1096.6478</v>
      </c>
      <c r="I1371" s="4">
        <v>11.0075</v>
      </c>
      <c r="J1371" s="4">
        <v>11.6675</v>
      </c>
      <c r="K1371" s="4">
        <v>10.012499999999999</v>
      </c>
      <c r="L1371" s="4">
        <v>11.16</v>
      </c>
      <c r="M1371" s="7">
        <v>1.3899999999999999E-2</v>
      </c>
    </row>
    <row r="1372" spans="1:13" x14ac:dyDescent="0.2">
      <c r="A1372" s="6">
        <v>45945</v>
      </c>
      <c r="B1372" s="2" t="s">
        <v>224</v>
      </c>
      <c r="C1372" s="5">
        <v>45931</v>
      </c>
      <c r="D1372" s="2" t="s">
        <v>198</v>
      </c>
      <c r="E1372" s="3">
        <v>3198</v>
      </c>
      <c r="F1372" s="8">
        <v>3.202</v>
      </c>
      <c r="G1372" s="4">
        <v>412.37619999999998</v>
      </c>
      <c r="H1372" s="4">
        <v>1007.1649</v>
      </c>
      <c r="I1372" s="4">
        <v>11.154999999999999</v>
      </c>
      <c r="J1372" s="4">
        <v>11.154999999999999</v>
      </c>
      <c r="K1372" s="4">
        <v>10.432499999999999</v>
      </c>
      <c r="L1372" s="4">
        <v>10.53</v>
      </c>
      <c r="M1372" s="7">
        <v>-5.6000000000000001E-2</v>
      </c>
    </row>
    <row r="1373" spans="1:13" x14ac:dyDescent="0.2">
      <c r="A1373" s="6">
        <v>45946</v>
      </c>
      <c r="B1373" s="2" t="s">
        <v>227</v>
      </c>
      <c r="C1373" s="5">
        <v>45931</v>
      </c>
      <c r="D1373" s="2" t="s">
        <v>198</v>
      </c>
      <c r="E1373" s="3">
        <v>3215</v>
      </c>
      <c r="F1373" s="8">
        <v>3.4662999999999999</v>
      </c>
      <c r="G1373" s="4">
        <v>419.62259999999998</v>
      </c>
      <c r="H1373" s="4">
        <v>1117.1703</v>
      </c>
      <c r="I1373" s="4">
        <v>10.53</v>
      </c>
      <c r="J1373" s="4">
        <v>11.057499999999999</v>
      </c>
      <c r="K1373" s="4">
        <v>10.3825</v>
      </c>
      <c r="L1373" s="4">
        <v>10.87</v>
      </c>
      <c r="M1373" s="7">
        <v>3.2300000000000002E-2</v>
      </c>
    </row>
    <row r="1374" spans="1:13" x14ac:dyDescent="0.2">
      <c r="A1374" s="6">
        <v>45947</v>
      </c>
      <c r="B1374" s="2" t="s">
        <v>225</v>
      </c>
      <c r="C1374" s="5">
        <v>45931</v>
      </c>
      <c r="D1374" s="2" t="s">
        <v>198</v>
      </c>
      <c r="E1374" s="3">
        <v>3168</v>
      </c>
      <c r="F1374" s="8">
        <v>3.4095</v>
      </c>
      <c r="G1374" s="4">
        <v>405.32900000000001</v>
      </c>
      <c r="H1374" s="4">
        <v>1117.6318000000001</v>
      </c>
      <c r="I1374" s="4">
        <v>10.865</v>
      </c>
      <c r="J1374" s="4">
        <v>11.81</v>
      </c>
      <c r="K1374" s="4">
        <v>9.7750000000000004</v>
      </c>
      <c r="L1374" s="4">
        <v>11.63</v>
      </c>
      <c r="M1374" s="7">
        <v>7.0400000000000004E-2</v>
      </c>
    </row>
    <row r="1375" spans="1:13" x14ac:dyDescent="0.2">
      <c r="A1375" s="6">
        <v>45950</v>
      </c>
      <c r="B1375" s="2" t="s">
        <v>228</v>
      </c>
      <c r="C1375" s="5">
        <v>45931</v>
      </c>
      <c r="D1375" s="2" t="s">
        <v>198</v>
      </c>
      <c r="E1375" s="3">
        <v>3244</v>
      </c>
      <c r="F1375" s="8">
        <v>3.3702999999999999</v>
      </c>
      <c r="G1375" s="4">
        <v>427.75259999999997</v>
      </c>
      <c r="H1375" s="4">
        <v>1000.9749</v>
      </c>
      <c r="I1375" s="4">
        <v>11.625</v>
      </c>
      <c r="J1375" s="4">
        <v>11.8775</v>
      </c>
      <c r="K1375" s="4">
        <v>10.6675</v>
      </c>
      <c r="L1375" s="4">
        <v>11.36</v>
      </c>
      <c r="M1375" s="7">
        <v>-2.2800000000000001E-2</v>
      </c>
    </row>
    <row r="1376" spans="1:13" x14ac:dyDescent="0.2">
      <c r="A1376" s="6">
        <v>45951</v>
      </c>
      <c r="B1376" s="2" t="s">
        <v>226</v>
      </c>
      <c r="C1376" s="5">
        <v>45931</v>
      </c>
      <c r="D1376" s="2" t="s">
        <v>198</v>
      </c>
      <c r="E1376" s="3">
        <v>3039</v>
      </c>
      <c r="F1376" s="8">
        <v>0.90449999999999997</v>
      </c>
      <c r="G1376" s="4">
        <v>115.3639</v>
      </c>
      <c r="H1376" s="4">
        <v>197.1412</v>
      </c>
      <c r="I1376" s="4">
        <v>11.355</v>
      </c>
      <c r="J1376" s="4">
        <v>11.595000000000001</v>
      </c>
      <c r="K1376" s="4">
        <v>10.7</v>
      </c>
      <c r="L1376" s="4">
        <v>11.3</v>
      </c>
      <c r="M1376" s="7">
        <v>-4.7999999999999996E-3</v>
      </c>
    </row>
    <row r="1377" spans="1:13" x14ac:dyDescent="0.2">
      <c r="A1377" s="6">
        <v>45953</v>
      </c>
      <c r="B1377" s="2" t="s">
        <v>227</v>
      </c>
      <c r="C1377" s="5">
        <v>45931</v>
      </c>
      <c r="D1377" s="2" t="s">
        <v>198</v>
      </c>
      <c r="E1377" s="3">
        <v>3219</v>
      </c>
      <c r="F1377" s="8">
        <v>3.5819999999999999</v>
      </c>
      <c r="G1377" s="4">
        <v>530.72929999999997</v>
      </c>
      <c r="H1377" s="4">
        <v>1168.4233999999999</v>
      </c>
      <c r="I1377" s="4">
        <v>11.297499999999999</v>
      </c>
      <c r="J1377" s="4">
        <v>12.05</v>
      </c>
      <c r="K1377" s="4">
        <v>10.737500000000001</v>
      </c>
      <c r="L1377" s="4">
        <v>11.73</v>
      </c>
      <c r="M1377" s="7">
        <v>3.8300000000000001E-2</v>
      </c>
    </row>
    <row r="1378" spans="1:13" x14ac:dyDescent="0.2">
      <c r="A1378" s="6">
        <v>45954</v>
      </c>
      <c r="B1378" s="2" t="s">
        <v>225</v>
      </c>
      <c r="C1378" s="5">
        <v>45931</v>
      </c>
      <c r="D1378" s="2" t="s">
        <v>198</v>
      </c>
      <c r="E1378" s="3">
        <v>3188</v>
      </c>
      <c r="F1378" s="8">
        <v>2.8740999999999999</v>
      </c>
      <c r="G1378" s="4">
        <v>408.31760000000003</v>
      </c>
      <c r="H1378" s="4">
        <v>891.32399999999996</v>
      </c>
      <c r="I1378" s="4">
        <v>11.7325</v>
      </c>
      <c r="J1378" s="4">
        <v>11.94</v>
      </c>
      <c r="K1378" s="4">
        <v>11.4375</v>
      </c>
      <c r="L1378" s="4">
        <v>11.59</v>
      </c>
      <c r="M1378" s="7">
        <v>-1.21E-2</v>
      </c>
    </row>
    <row r="1379" spans="1:13" x14ac:dyDescent="0.2">
      <c r="A1379" s="6">
        <v>45957</v>
      </c>
      <c r="B1379" s="2" t="s">
        <v>228</v>
      </c>
      <c r="C1379" s="5">
        <v>45931</v>
      </c>
      <c r="D1379" s="2" t="s">
        <v>198</v>
      </c>
      <c r="E1379" s="3">
        <v>3250</v>
      </c>
      <c r="F1379" s="8">
        <v>3.1711999999999998</v>
      </c>
      <c r="G1379" s="4">
        <v>638.82510000000002</v>
      </c>
      <c r="H1379" s="4">
        <v>967.548</v>
      </c>
      <c r="I1379" s="4">
        <v>11.59</v>
      </c>
      <c r="J1379" s="4">
        <v>12.727499999999999</v>
      </c>
      <c r="K1379" s="4">
        <v>11.2775</v>
      </c>
      <c r="L1379" s="4">
        <v>11.86</v>
      </c>
      <c r="M1379" s="7">
        <v>2.3300000000000001E-2</v>
      </c>
    </row>
    <row r="1380" spans="1:13" x14ac:dyDescent="0.2">
      <c r="A1380" s="6">
        <v>45958</v>
      </c>
      <c r="B1380" s="2" t="s">
        <v>226</v>
      </c>
      <c r="C1380" s="5">
        <v>45931</v>
      </c>
      <c r="D1380" s="2" t="s">
        <v>198</v>
      </c>
      <c r="E1380" s="3">
        <v>3240</v>
      </c>
      <c r="F1380" s="8">
        <v>3.3700999999999999</v>
      </c>
      <c r="G1380" s="4">
        <v>506.01049999999998</v>
      </c>
      <c r="H1380" s="4">
        <v>1161.5319</v>
      </c>
      <c r="I1380" s="4">
        <v>11.8575</v>
      </c>
      <c r="J1380" s="4">
        <v>12.635</v>
      </c>
      <c r="K1380" s="4">
        <v>10.705</v>
      </c>
      <c r="L1380" s="4">
        <v>11.95</v>
      </c>
      <c r="M1380" s="7">
        <v>7.7999999999999996E-3</v>
      </c>
    </row>
    <row r="1381" spans="1:13" x14ac:dyDescent="0.2">
      <c r="A1381" s="6">
        <v>45959</v>
      </c>
      <c r="B1381" s="2" t="s">
        <v>224</v>
      </c>
      <c r="C1381" s="5">
        <v>45931</v>
      </c>
      <c r="D1381" s="2" t="s">
        <v>198</v>
      </c>
      <c r="E1381" s="3">
        <v>3205</v>
      </c>
      <c r="F1381" s="8">
        <v>3.1842999999999999</v>
      </c>
      <c r="G1381" s="4">
        <v>459.5385</v>
      </c>
      <c r="H1381" s="4">
        <v>1122.9842000000001</v>
      </c>
      <c r="I1381" s="4">
        <v>11.952500000000001</v>
      </c>
      <c r="J1381" s="4">
        <v>12.102499999999999</v>
      </c>
      <c r="K1381" s="4">
        <v>11.227499999999999</v>
      </c>
      <c r="L1381" s="4">
        <v>11.97</v>
      </c>
      <c r="M1381" s="7">
        <v>1.5E-3</v>
      </c>
    </row>
    <row r="1382" spans="1:13" x14ac:dyDescent="0.2">
      <c r="A1382" s="6">
        <v>45960</v>
      </c>
      <c r="B1382" s="2" t="s">
        <v>227</v>
      </c>
      <c r="C1382" s="5">
        <v>45931</v>
      </c>
      <c r="D1382" s="2" t="s">
        <v>198</v>
      </c>
      <c r="E1382" s="3">
        <v>3180</v>
      </c>
      <c r="F1382" s="8">
        <v>3.0741000000000001</v>
      </c>
      <c r="G1382" s="4">
        <v>617.67190000000005</v>
      </c>
      <c r="H1382" s="4">
        <v>1024.8584000000001</v>
      </c>
      <c r="I1382" s="4">
        <v>11.9725</v>
      </c>
      <c r="J1382" s="4">
        <v>12.272500000000001</v>
      </c>
      <c r="K1382" s="4">
        <v>11.705</v>
      </c>
      <c r="L1382" s="4">
        <v>12.07</v>
      </c>
      <c r="M1382" s="7">
        <v>8.0999999999999996E-3</v>
      </c>
    </row>
    <row r="1383" spans="1:13" x14ac:dyDescent="0.2">
      <c r="A1383" s="6">
        <v>45961</v>
      </c>
      <c r="B1383" s="2" t="s">
        <v>225</v>
      </c>
      <c r="C1383" s="5">
        <v>45931</v>
      </c>
      <c r="D1383" s="2" t="s">
        <v>198</v>
      </c>
      <c r="E1383" s="3">
        <v>3189</v>
      </c>
      <c r="F1383" s="8">
        <v>3.2155</v>
      </c>
      <c r="G1383" s="4">
        <v>443.5779</v>
      </c>
      <c r="H1383" s="4">
        <v>1103.8657000000001</v>
      </c>
      <c r="I1383" s="4">
        <v>12.067500000000001</v>
      </c>
      <c r="J1383" s="4">
        <v>12.2875</v>
      </c>
      <c r="K1383" s="4">
        <v>11.77</v>
      </c>
      <c r="L1383" s="4">
        <v>12.15</v>
      </c>
      <c r="M1383" s="7">
        <v>6.7999999999999996E-3</v>
      </c>
    </row>
    <row r="1384" spans="1:13" x14ac:dyDescent="0.2">
      <c r="A1384" s="6">
        <v>45964</v>
      </c>
      <c r="B1384" s="2" t="s">
        <v>228</v>
      </c>
      <c r="C1384" s="5">
        <v>45962</v>
      </c>
      <c r="D1384" s="2" t="s">
        <v>198</v>
      </c>
      <c r="E1384" s="3">
        <v>3216</v>
      </c>
      <c r="F1384" s="8">
        <v>3.2492000000000001</v>
      </c>
      <c r="G1384" s="4">
        <v>555.625</v>
      </c>
      <c r="H1384" s="4">
        <v>992.11019999999996</v>
      </c>
      <c r="I1384" s="4">
        <v>12.1525</v>
      </c>
      <c r="J1384" s="4">
        <v>12.94</v>
      </c>
      <c r="K1384" s="4">
        <v>11.7875</v>
      </c>
      <c r="L1384" s="4">
        <v>12.67</v>
      </c>
      <c r="M1384" s="7">
        <v>4.2599999999999999E-2</v>
      </c>
    </row>
    <row r="1385" spans="1:13" x14ac:dyDescent="0.2">
      <c r="A1385" s="6">
        <v>45965</v>
      </c>
      <c r="B1385" s="2" t="s">
        <v>226</v>
      </c>
      <c r="C1385" s="5">
        <v>45962</v>
      </c>
      <c r="D1385" s="2" t="s">
        <v>198</v>
      </c>
      <c r="E1385" s="3">
        <v>3183</v>
      </c>
      <c r="F1385" s="8">
        <v>3.1457999999999999</v>
      </c>
      <c r="G1385" s="4">
        <v>437.7953</v>
      </c>
      <c r="H1385" s="4">
        <v>1039.8371</v>
      </c>
      <c r="I1385" s="4">
        <v>12.664999999999999</v>
      </c>
      <c r="J1385" s="4">
        <v>12.935</v>
      </c>
      <c r="K1385" s="4">
        <v>10.98</v>
      </c>
      <c r="L1385" s="4">
        <v>12.65</v>
      </c>
      <c r="M1385" s="7">
        <v>-1.1999999999999999E-3</v>
      </c>
    </row>
    <row r="1386" spans="1:13" x14ac:dyDescent="0.2">
      <c r="A1386" s="6">
        <v>45967</v>
      </c>
      <c r="B1386" s="2" t="s">
        <v>227</v>
      </c>
      <c r="C1386" s="5">
        <v>45962</v>
      </c>
      <c r="D1386" s="2" t="s">
        <v>198</v>
      </c>
      <c r="E1386" s="3">
        <v>3199</v>
      </c>
      <c r="F1386" s="8">
        <v>3.6236999999999999</v>
      </c>
      <c r="G1386" s="4">
        <v>418.48140000000001</v>
      </c>
      <c r="H1386" s="4">
        <v>1144.5444</v>
      </c>
      <c r="I1386" s="4">
        <v>12.6525</v>
      </c>
      <c r="J1386" s="4">
        <v>12.865</v>
      </c>
      <c r="K1386" s="4">
        <v>12.057499999999999</v>
      </c>
      <c r="L1386" s="4">
        <v>12.41</v>
      </c>
      <c r="M1386" s="7">
        <v>-1.9199999999999998E-2</v>
      </c>
    </row>
    <row r="1387" spans="1:13" x14ac:dyDescent="0.2">
      <c r="A1387" s="6">
        <v>45968</v>
      </c>
      <c r="B1387" s="2" t="s">
        <v>225</v>
      </c>
      <c r="C1387" s="5">
        <v>45962</v>
      </c>
      <c r="D1387" s="2" t="s">
        <v>198</v>
      </c>
      <c r="E1387" s="3">
        <v>3214</v>
      </c>
      <c r="F1387" s="8">
        <v>3.3294000000000001</v>
      </c>
      <c r="G1387" s="4">
        <v>436.74990000000003</v>
      </c>
      <c r="H1387" s="4">
        <v>1183.9088999999999</v>
      </c>
      <c r="I1387" s="4">
        <v>12.41</v>
      </c>
      <c r="J1387" s="4">
        <v>12.6675</v>
      </c>
      <c r="K1387" s="4">
        <v>11.9575</v>
      </c>
      <c r="L1387" s="4">
        <v>12.56</v>
      </c>
      <c r="M1387" s="7">
        <v>1.21E-2</v>
      </c>
    </row>
    <row r="1388" spans="1:13" x14ac:dyDescent="0.2">
      <c r="A1388" s="6">
        <v>45971</v>
      </c>
      <c r="B1388" s="2" t="s">
        <v>228</v>
      </c>
      <c r="C1388" s="5">
        <v>45962</v>
      </c>
      <c r="D1388" s="2" t="s">
        <v>198</v>
      </c>
      <c r="E1388" s="3">
        <v>3239</v>
      </c>
      <c r="F1388" s="8">
        <v>3.302</v>
      </c>
      <c r="G1388" s="4">
        <v>361.6379</v>
      </c>
      <c r="H1388" s="4">
        <v>1013.1769</v>
      </c>
      <c r="I1388" s="4">
        <v>12.557499999999999</v>
      </c>
      <c r="J1388" s="4">
        <v>12.9275</v>
      </c>
      <c r="K1388" s="4">
        <v>11.404999999999999</v>
      </c>
      <c r="L1388" s="4">
        <v>12.3</v>
      </c>
      <c r="M1388" s="7">
        <v>-2.0500000000000001E-2</v>
      </c>
    </row>
    <row r="1389" spans="1:13" x14ac:dyDescent="0.2">
      <c r="A1389" s="6">
        <v>45972</v>
      </c>
      <c r="B1389" s="2" t="s">
        <v>226</v>
      </c>
      <c r="C1389" s="5">
        <v>45962</v>
      </c>
      <c r="D1389" s="2" t="s">
        <v>198</v>
      </c>
      <c r="E1389" s="3">
        <v>3208</v>
      </c>
      <c r="F1389" s="8">
        <v>3.2888000000000002</v>
      </c>
      <c r="G1389" s="4">
        <v>511.2226</v>
      </c>
      <c r="H1389" s="4">
        <v>1043.7546</v>
      </c>
      <c r="I1389" s="4">
        <v>12.3</v>
      </c>
      <c r="J1389" s="4">
        <v>13.005000000000001</v>
      </c>
      <c r="K1389" s="4">
        <v>11.9925</v>
      </c>
      <c r="L1389" s="4">
        <v>12.49</v>
      </c>
      <c r="M1389" s="7">
        <v>1.54E-2</v>
      </c>
    </row>
    <row r="1390" spans="1:13" x14ac:dyDescent="0.2">
      <c r="A1390" s="6">
        <v>45973</v>
      </c>
      <c r="B1390" s="2" t="s">
        <v>224</v>
      </c>
      <c r="C1390" s="5">
        <v>45962</v>
      </c>
      <c r="D1390" s="2" t="s">
        <v>198</v>
      </c>
      <c r="E1390" s="3">
        <v>3202</v>
      </c>
      <c r="F1390" s="8">
        <v>3.4087999999999998</v>
      </c>
      <c r="G1390" s="4">
        <v>491.32240000000002</v>
      </c>
      <c r="H1390" s="4">
        <v>1159.9245000000001</v>
      </c>
      <c r="I1390" s="4">
        <v>12.49</v>
      </c>
      <c r="J1390" s="4">
        <v>12.7125</v>
      </c>
      <c r="K1390" s="4">
        <v>11.442500000000001</v>
      </c>
      <c r="L1390" s="4">
        <v>12.11</v>
      </c>
      <c r="M1390" s="7">
        <v>-3.04E-2</v>
      </c>
    </row>
    <row r="1391" spans="1:13" x14ac:dyDescent="0.2">
      <c r="A1391" s="6">
        <v>45974</v>
      </c>
      <c r="B1391" s="2" t="s">
        <v>227</v>
      </c>
      <c r="C1391" s="5">
        <v>45962</v>
      </c>
      <c r="D1391" s="2" t="s">
        <v>198</v>
      </c>
      <c r="E1391" s="3">
        <v>3192</v>
      </c>
      <c r="F1391" s="8">
        <v>3.3287</v>
      </c>
      <c r="G1391" s="4">
        <v>515.1712</v>
      </c>
      <c r="H1391" s="4">
        <v>1106.375</v>
      </c>
      <c r="I1391" s="4">
        <v>12.11</v>
      </c>
      <c r="J1391" s="4">
        <v>12.272500000000001</v>
      </c>
      <c r="K1391" s="4">
        <v>11.23</v>
      </c>
      <c r="L1391" s="4">
        <v>12.16</v>
      </c>
      <c r="M1391" s="7">
        <v>4.1000000000000003E-3</v>
      </c>
    </row>
    <row r="1392" spans="1:13" x14ac:dyDescent="0.2">
      <c r="A1392" s="6">
        <v>45975</v>
      </c>
      <c r="B1392" s="2" t="s">
        <v>225</v>
      </c>
      <c r="C1392" s="5">
        <v>45962</v>
      </c>
      <c r="D1392" s="2" t="s">
        <v>198</v>
      </c>
      <c r="E1392" s="3">
        <v>3196</v>
      </c>
      <c r="F1392" s="8">
        <v>3.1194000000000002</v>
      </c>
      <c r="G1392" s="4">
        <v>561.20190000000002</v>
      </c>
      <c r="H1392" s="4">
        <v>1123.9708000000001</v>
      </c>
      <c r="I1392" s="4">
        <v>12.1625</v>
      </c>
      <c r="J1392" s="4">
        <v>12.445</v>
      </c>
      <c r="K1392" s="4">
        <v>11.8025</v>
      </c>
      <c r="L1392" s="4">
        <v>11.94</v>
      </c>
      <c r="M1392" s="7">
        <v>-1.83E-2</v>
      </c>
    </row>
    <row r="1393" spans="1:13" x14ac:dyDescent="0.2">
      <c r="A1393" s="6">
        <v>45978</v>
      </c>
      <c r="B1393" s="2" t="s">
        <v>228</v>
      </c>
      <c r="C1393" s="5">
        <v>45962</v>
      </c>
      <c r="D1393" s="2" t="s">
        <v>198</v>
      </c>
      <c r="E1393" s="3">
        <v>3258</v>
      </c>
      <c r="F1393" s="8">
        <v>3.1452</v>
      </c>
      <c r="G1393" s="4">
        <v>474.7758</v>
      </c>
      <c r="H1393" s="4">
        <v>996.00189999999998</v>
      </c>
      <c r="I1393" s="4">
        <v>11.9375</v>
      </c>
      <c r="J1393" s="4">
        <v>12.28</v>
      </c>
      <c r="K1393" s="4">
        <v>10.895</v>
      </c>
      <c r="L1393" s="4">
        <v>11.79</v>
      </c>
      <c r="M1393" s="7">
        <v>-1.24E-2</v>
      </c>
    </row>
    <row r="1394" spans="1:13" x14ac:dyDescent="0.2">
      <c r="A1394" s="6">
        <v>45979</v>
      </c>
      <c r="B1394" s="2" t="s">
        <v>226</v>
      </c>
      <c r="C1394" s="5">
        <v>45962</v>
      </c>
      <c r="D1394" s="2" t="s">
        <v>198</v>
      </c>
      <c r="E1394" s="3">
        <v>3236</v>
      </c>
      <c r="F1394" s="8">
        <v>3.1257999999999999</v>
      </c>
      <c r="G1394" s="4">
        <v>449.54790000000003</v>
      </c>
      <c r="H1394" s="4">
        <v>1170.6474000000001</v>
      </c>
      <c r="I1394" s="4">
        <v>11.7875</v>
      </c>
      <c r="J1394" s="4">
        <v>12.29</v>
      </c>
      <c r="K1394" s="4">
        <v>10.94</v>
      </c>
      <c r="L1394" s="4">
        <v>12.1</v>
      </c>
      <c r="M1394" s="7">
        <v>2.6499999999999999E-2</v>
      </c>
    </row>
    <row r="1395" spans="1:13" x14ac:dyDescent="0.2">
      <c r="A1395" s="6">
        <v>45980</v>
      </c>
      <c r="B1395" s="2" t="s">
        <v>224</v>
      </c>
      <c r="C1395" s="5">
        <v>45962</v>
      </c>
      <c r="D1395" s="2" t="s">
        <v>198</v>
      </c>
      <c r="E1395" s="3">
        <v>3221</v>
      </c>
      <c r="F1395" s="8">
        <v>3.1383000000000001</v>
      </c>
      <c r="G1395" s="4">
        <v>449.96499999999997</v>
      </c>
      <c r="H1395" s="4">
        <v>980.10090000000002</v>
      </c>
      <c r="I1395" s="4">
        <v>12.095000000000001</v>
      </c>
      <c r="J1395" s="4">
        <v>12.375</v>
      </c>
      <c r="K1395" s="4">
        <v>10.765000000000001</v>
      </c>
      <c r="L1395" s="4">
        <v>11.97</v>
      </c>
      <c r="M1395" s="7">
        <v>-1.03E-2</v>
      </c>
    </row>
    <row r="1396" spans="1:13" x14ac:dyDescent="0.2">
      <c r="A1396" s="6">
        <v>45981</v>
      </c>
      <c r="B1396" s="2" t="s">
        <v>227</v>
      </c>
      <c r="C1396" s="5">
        <v>45962</v>
      </c>
      <c r="D1396" s="2" t="s">
        <v>198</v>
      </c>
      <c r="E1396" s="3">
        <v>3207</v>
      </c>
      <c r="F1396" s="8">
        <v>2.9327000000000001</v>
      </c>
      <c r="G1396" s="4">
        <v>477.20819999999998</v>
      </c>
      <c r="H1396" s="4">
        <v>966.28319999999997</v>
      </c>
      <c r="I1396" s="4">
        <v>11.9725</v>
      </c>
      <c r="J1396" s="4">
        <v>12.3775</v>
      </c>
      <c r="K1396" s="4">
        <v>11.055</v>
      </c>
      <c r="L1396" s="4">
        <v>12.14</v>
      </c>
      <c r="M1396" s="7">
        <v>1.4E-2</v>
      </c>
    </row>
    <row r="1397" spans="1:13" x14ac:dyDescent="0.2">
      <c r="A1397" s="6">
        <v>45982</v>
      </c>
      <c r="B1397" s="2" t="s">
        <v>225</v>
      </c>
      <c r="C1397" s="5">
        <v>45962</v>
      </c>
      <c r="D1397" s="2" t="s">
        <v>198</v>
      </c>
      <c r="E1397" s="3">
        <v>3182</v>
      </c>
      <c r="F1397" s="8">
        <v>2.8420999999999998</v>
      </c>
      <c r="G1397" s="4">
        <v>411.01350000000002</v>
      </c>
      <c r="H1397" s="4">
        <v>908.3623</v>
      </c>
      <c r="I1397" s="4">
        <v>12.135</v>
      </c>
      <c r="J1397" s="4">
        <v>13.85</v>
      </c>
      <c r="K1397" s="4">
        <v>12.135</v>
      </c>
      <c r="L1397" s="4">
        <v>13.63</v>
      </c>
      <c r="M1397" s="7">
        <v>0.1232</v>
      </c>
    </row>
    <row r="1398" spans="1:13" x14ac:dyDescent="0.2">
      <c r="A1398" s="6">
        <v>45985</v>
      </c>
      <c r="B1398" s="2" t="s">
        <v>228</v>
      </c>
      <c r="C1398" s="5">
        <v>45962</v>
      </c>
      <c r="D1398" s="2" t="s">
        <v>198</v>
      </c>
      <c r="E1398" s="3">
        <v>3220</v>
      </c>
      <c r="F1398" s="8">
        <v>3.3483999999999998</v>
      </c>
      <c r="G1398" s="4">
        <v>453.4237</v>
      </c>
      <c r="H1398" s="4">
        <v>1542.3067000000001</v>
      </c>
      <c r="I1398" s="4">
        <v>13.63</v>
      </c>
      <c r="J1398" s="4">
        <v>13.63</v>
      </c>
      <c r="K1398" s="4">
        <v>11.9375</v>
      </c>
      <c r="L1398" s="4">
        <v>13.24</v>
      </c>
      <c r="M1398" s="7">
        <v>-2.86E-2</v>
      </c>
    </row>
    <row r="1399" spans="1:13" x14ac:dyDescent="0.2">
      <c r="A1399" s="6">
        <v>45986</v>
      </c>
      <c r="B1399" s="2" t="s">
        <v>226</v>
      </c>
      <c r="C1399" s="5">
        <v>45962</v>
      </c>
      <c r="D1399" s="2" t="s">
        <v>198</v>
      </c>
      <c r="E1399" s="3">
        <v>3220</v>
      </c>
      <c r="F1399" s="8">
        <v>2.8622000000000001</v>
      </c>
      <c r="G1399" s="4">
        <v>366.923</v>
      </c>
      <c r="H1399" s="4">
        <v>877.13530000000003</v>
      </c>
      <c r="I1399" s="4">
        <v>13.234999999999999</v>
      </c>
      <c r="J1399" s="4">
        <v>13.234999999999999</v>
      </c>
      <c r="K1399" s="4">
        <v>10.855</v>
      </c>
      <c r="L1399" s="4">
        <v>12.24</v>
      </c>
      <c r="M1399" s="7">
        <v>-7.5200000000000003E-2</v>
      </c>
    </row>
    <row r="1400" spans="1:13" x14ac:dyDescent="0.2">
      <c r="A1400" s="6">
        <v>45987</v>
      </c>
      <c r="B1400" s="2" t="s">
        <v>224</v>
      </c>
      <c r="C1400" s="5">
        <v>45962</v>
      </c>
      <c r="D1400" s="2" t="s">
        <v>198</v>
      </c>
      <c r="E1400" s="3">
        <v>3200</v>
      </c>
      <c r="F1400" s="8">
        <v>2.7723</v>
      </c>
      <c r="G1400" s="4">
        <v>349.68770000000001</v>
      </c>
      <c r="H1400" s="4">
        <v>947.25019999999995</v>
      </c>
      <c r="I1400" s="4">
        <v>12.2425</v>
      </c>
      <c r="J1400" s="4">
        <v>12.5725</v>
      </c>
      <c r="K1400" s="4">
        <v>11.585000000000001</v>
      </c>
      <c r="L1400" s="4">
        <v>11.97</v>
      </c>
      <c r="M1400" s="7">
        <v>-2.23E-2</v>
      </c>
    </row>
    <row r="1401" spans="1:13" x14ac:dyDescent="0.2">
      <c r="A1401" s="6">
        <v>45988</v>
      </c>
      <c r="B1401" s="2" t="s">
        <v>227</v>
      </c>
      <c r="C1401" s="5">
        <v>45962</v>
      </c>
      <c r="D1401" s="2" t="s">
        <v>198</v>
      </c>
      <c r="E1401" s="3">
        <v>3202</v>
      </c>
      <c r="F1401" s="8">
        <v>2.7296999999999998</v>
      </c>
      <c r="G1401" s="4">
        <v>359.33600000000001</v>
      </c>
      <c r="H1401" s="4">
        <v>848.15419999999995</v>
      </c>
      <c r="I1401" s="4">
        <v>11.967499999999999</v>
      </c>
      <c r="J1401" s="4">
        <v>12.2425</v>
      </c>
      <c r="K1401" s="4">
        <v>11.5075</v>
      </c>
      <c r="L1401" s="4">
        <v>11.79</v>
      </c>
      <c r="M1401" s="7">
        <v>-1.4800000000000001E-2</v>
      </c>
    </row>
    <row r="1402" spans="1:13" x14ac:dyDescent="0.2">
      <c r="A1402" s="6">
        <v>45989</v>
      </c>
      <c r="B1402" s="2" t="s">
        <v>225</v>
      </c>
      <c r="C1402" s="5">
        <v>45962</v>
      </c>
      <c r="D1402" s="2" t="s">
        <v>198</v>
      </c>
      <c r="E1402" s="3">
        <v>3193</v>
      </c>
      <c r="F1402" s="8">
        <v>2.6825999999999999</v>
      </c>
      <c r="G1402" s="4">
        <v>348.07690000000002</v>
      </c>
      <c r="H1402" s="4">
        <v>825.68349999999998</v>
      </c>
      <c r="I1402" s="4">
        <v>11.785</v>
      </c>
      <c r="J1402" s="4">
        <v>11.785</v>
      </c>
      <c r="K1402" s="4">
        <v>10.817500000000001</v>
      </c>
      <c r="L1402" s="4">
        <v>11.62</v>
      </c>
      <c r="M1402" s="7">
        <v>-1.4E-2</v>
      </c>
    </row>
    <row r="1403" spans="1:13" x14ac:dyDescent="0.2">
      <c r="A1403" s="6">
        <v>45992</v>
      </c>
      <c r="B1403" s="2" t="s">
        <v>228</v>
      </c>
      <c r="C1403" s="5">
        <v>45992</v>
      </c>
      <c r="D1403" s="2" t="s">
        <v>198</v>
      </c>
      <c r="E1403" s="3">
        <v>3228</v>
      </c>
      <c r="F1403" s="8">
        <v>3.0659000000000001</v>
      </c>
      <c r="G1403" s="4">
        <v>412.78530000000001</v>
      </c>
      <c r="H1403" s="4">
        <v>852.16300000000001</v>
      </c>
      <c r="I1403" s="4">
        <v>11.6175</v>
      </c>
      <c r="J1403" s="4">
        <v>12.01</v>
      </c>
      <c r="K1403" s="4">
        <v>10.9</v>
      </c>
      <c r="L1403" s="4">
        <v>11.63</v>
      </c>
      <c r="M1403" s="7">
        <v>1.1000000000000001E-3</v>
      </c>
    </row>
    <row r="1404" spans="1:13" x14ac:dyDescent="0.2">
      <c r="A1404" s="6">
        <v>45993</v>
      </c>
      <c r="B1404" s="2" t="s">
        <v>226</v>
      </c>
      <c r="C1404" s="5">
        <v>45992</v>
      </c>
      <c r="D1404" s="2" t="s">
        <v>198</v>
      </c>
      <c r="E1404" s="3">
        <v>3211</v>
      </c>
      <c r="F1404" s="8">
        <v>2.8873000000000002</v>
      </c>
      <c r="G1404" s="4">
        <v>487.77820000000003</v>
      </c>
      <c r="H1404" s="4">
        <v>938.13570000000004</v>
      </c>
      <c r="I1404" s="4">
        <v>11.625</v>
      </c>
      <c r="J1404" s="4">
        <v>11.94</v>
      </c>
      <c r="K1404" s="4">
        <v>11.03</v>
      </c>
      <c r="L1404" s="4">
        <v>11.23</v>
      </c>
      <c r="M1404" s="7">
        <v>-3.4000000000000002E-2</v>
      </c>
    </row>
    <row r="1405" spans="1:13" x14ac:dyDescent="0.2">
      <c r="A1405" s="6">
        <v>45994</v>
      </c>
      <c r="B1405" s="2" t="s">
        <v>224</v>
      </c>
      <c r="C1405" s="5">
        <v>45992</v>
      </c>
      <c r="D1405" s="2" t="s">
        <v>198</v>
      </c>
      <c r="E1405" s="3">
        <v>3227</v>
      </c>
      <c r="F1405" s="8">
        <v>3.0266000000000002</v>
      </c>
      <c r="G1405" s="4">
        <v>477.00970000000001</v>
      </c>
      <c r="H1405" s="4">
        <v>933.81690000000003</v>
      </c>
      <c r="I1405" s="4">
        <v>11.227499999999999</v>
      </c>
      <c r="J1405" s="4">
        <v>11.3725</v>
      </c>
      <c r="K1405" s="4">
        <v>10.914999999999999</v>
      </c>
      <c r="L1405" s="4">
        <v>11.21</v>
      </c>
      <c r="M1405" s="7">
        <v>-1.6000000000000001E-3</v>
      </c>
    </row>
    <row r="1406" spans="1:13" x14ac:dyDescent="0.2">
      <c r="A1406" s="6">
        <v>45995</v>
      </c>
      <c r="B1406" s="2" t="s">
        <v>227</v>
      </c>
      <c r="C1406" s="5">
        <v>45992</v>
      </c>
      <c r="D1406" s="2" t="s">
        <v>198</v>
      </c>
      <c r="E1406" s="3">
        <v>3224</v>
      </c>
      <c r="F1406" s="8">
        <v>2.8517000000000001</v>
      </c>
      <c r="G1406" s="4">
        <v>458.19189999999998</v>
      </c>
      <c r="H1406" s="4">
        <v>883.37</v>
      </c>
      <c r="I1406" s="4">
        <v>11.2125</v>
      </c>
      <c r="J1406" s="4">
        <v>11.27</v>
      </c>
      <c r="K1406" s="4">
        <v>10.58</v>
      </c>
      <c r="L1406" s="4">
        <v>10.82</v>
      </c>
      <c r="M1406" s="7">
        <v>-3.5000000000000003E-2</v>
      </c>
    </row>
    <row r="1407" spans="1:13" x14ac:dyDescent="0.2">
      <c r="A1407" s="6">
        <v>45996</v>
      </c>
      <c r="B1407" s="2" t="s">
        <v>225</v>
      </c>
      <c r="C1407" s="5">
        <v>45992</v>
      </c>
      <c r="D1407" s="2" t="s">
        <v>198</v>
      </c>
      <c r="E1407" s="3">
        <v>3203</v>
      </c>
      <c r="F1407" s="8">
        <v>2.7965</v>
      </c>
      <c r="G1407" s="4">
        <v>438.24509999999998</v>
      </c>
      <c r="H1407" s="4">
        <v>917.80560000000003</v>
      </c>
      <c r="I1407" s="4">
        <v>10.817500000000001</v>
      </c>
      <c r="J1407" s="4">
        <v>10.8675</v>
      </c>
      <c r="K1407" s="4">
        <v>10.157500000000001</v>
      </c>
      <c r="L1407" s="4">
        <v>10.32</v>
      </c>
      <c r="M1407" s="7">
        <v>-4.5999999999999999E-2</v>
      </c>
    </row>
    <row r="1408" spans="1:13" x14ac:dyDescent="0.2">
      <c r="A1408" s="6">
        <v>45999</v>
      </c>
      <c r="B1408" s="2" t="s">
        <v>228</v>
      </c>
      <c r="C1408" s="5">
        <v>45992</v>
      </c>
      <c r="D1408" s="2" t="s">
        <v>198</v>
      </c>
      <c r="E1408" s="3">
        <v>3256</v>
      </c>
      <c r="F1408" s="8">
        <v>3.3702000000000001</v>
      </c>
      <c r="G1408" s="4">
        <v>426.61540000000002</v>
      </c>
      <c r="H1408" s="4">
        <v>967.55790000000002</v>
      </c>
      <c r="I1408" s="4">
        <v>10.315</v>
      </c>
      <c r="J1408" s="4">
        <v>11.61</v>
      </c>
      <c r="K1408" s="4">
        <v>10.135</v>
      </c>
      <c r="L1408" s="4">
        <v>11.13</v>
      </c>
      <c r="M1408" s="7">
        <v>7.9000000000000001E-2</v>
      </c>
    </row>
    <row r="1409" spans="1:13" x14ac:dyDescent="0.2">
      <c r="A1409" s="6">
        <v>46000</v>
      </c>
      <c r="B1409" s="2" t="s">
        <v>226</v>
      </c>
      <c r="C1409" s="5">
        <v>45992</v>
      </c>
      <c r="D1409" s="2" t="s">
        <v>198</v>
      </c>
      <c r="E1409" s="3">
        <v>3217</v>
      </c>
      <c r="F1409" s="8">
        <v>3.4342999999999999</v>
      </c>
      <c r="G1409" s="4">
        <v>463.36559999999997</v>
      </c>
      <c r="H1409" s="4">
        <v>1061.4828</v>
      </c>
      <c r="I1409" s="4">
        <v>11.125</v>
      </c>
      <c r="J1409" s="4">
        <v>11.8825</v>
      </c>
      <c r="K1409" s="4">
        <v>10.455</v>
      </c>
      <c r="L1409" s="4">
        <v>10.95</v>
      </c>
      <c r="M1409" s="7">
        <v>-1.5699999999999999E-2</v>
      </c>
    </row>
    <row r="1410" spans="1:13" x14ac:dyDescent="0.2">
      <c r="A1410" s="6">
        <v>46001</v>
      </c>
      <c r="B1410" s="2" t="s">
        <v>224</v>
      </c>
      <c r="C1410" s="5">
        <v>45992</v>
      </c>
      <c r="D1410" s="2" t="s">
        <v>198</v>
      </c>
      <c r="E1410" s="3">
        <v>3214</v>
      </c>
      <c r="F1410" s="8">
        <v>3.1032000000000002</v>
      </c>
      <c r="G1410" s="4">
        <v>417.19310000000002</v>
      </c>
      <c r="H1410" s="4">
        <v>958.26739999999995</v>
      </c>
      <c r="I1410" s="4">
        <v>10.952500000000001</v>
      </c>
      <c r="J1410" s="4">
        <v>11.422499999999999</v>
      </c>
      <c r="K1410" s="4">
        <v>10.49</v>
      </c>
      <c r="L1410" s="4">
        <v>10.91</v>
      </c>
      <c r="M1410" s="7">
        <v>-3.8999999999999998E-3</v>
      </c>
    </row>
    <row r="1411" spans="1:13" x14ac:dyDescent="0.2">
      <c r="A1411" s="6">
        <v>46002</v>
      </c>
      <c r="B1411" s="2" t="s">
        <v>227</v>
      </c>
      <c r="C1411" s="5">
        <v>45992</v>
      </c>
      <c r="D1411" s="2" t="s">
        <v>198</v>
      </c>
      <c r="E1411" s="3">
        <v>3214</v>
      </c>
      <c r="F1411" s="8">
        <v>2.6536</v>
      </c>
      <c r="G1411" s="4">
        <v>393.57709999999997</v>
      </c>
      <c r="H1411" s="4">
        <v>793.00779999999997</v>
      </c>
      <c r="I1411" s="4">
        <v>10.9125</v>
      </c>
      <c r="J1411" s="4">
        <v>11.192500000000001</v>
      </c>
      <c r="K1411" s="4">
        <v>10.317500000000001</v>
      </c>
      <c r="L1411" s="4">
        <v>10.4</v>
      </c>
      <c r="M1411" s="7">
        <v>-4.7E-2</v>
      </c>
    </row>
    <row r="1412" spans="1:13" x14ac:dyDescent="0.2">
      <c r="A1412" s="6">
        <v>46003</v>
      </c>
      <c r="B1412" s="2" t="s">
        <v>225</v>
      </c>
      <c r="C1412" s="5">
        <v>45992</v>
      </c>
      <c r="D1412" s="2" t="s">
        <v>198</v>
      </c>
      <c r="E1412" s="3">
        <v>3201</v>
      </c>
      <c r="F1412" s="8">
        <v>2.7286000000000001</v>
      </c>
      <c r="G1412" s="4">
        <v>427.76600000000002</v>
      </c>
      <c r="H1412" s="4">
        <v>863.90020000000004</v>
      </c>
      <c r="I1412" s="4">
        <v>10.4</v>
      </c>
      <c r="J1412" s="4">
        <v>10.4</v>
      </c>
      <c r="K1412" s="4">
        <v>9.9625000000000004</v>
      </c>
      <c r="L1412" s="4">
        <v>10.11</v>
      </c>
      <c r="M1412" s="7">
        <v>-2.7900000000000001E-2</v>
      </c>
    </row>
    <row r="1413" spans="1:13" x14ac:dyDescent="0.2">
      <c r="A1413" s="6">
        <v>46006</v>
      </c>
      <c r="B1413" s="2" t="s">
        <v>228</v>
      </c>
      <c r="C1413" s="5">
        <v>45992</v>
      </c>
      <c r="D1413" s="2" t="s">
        <v>198</v>
      </c>
      <c r="E1413" s="3">
        <v>3242</v>
      </c>
      <c r="F1413" s="8">
        <v>2.8464999999999998</v>
      </c>
      <c r="G1413" s="4">
        <v>433.0548</v>
      </c>
      <c r="H1413" s="4">
        <v>799.72969999999998</v>
      </c>
      <c r="I1413" s="4">
        <v>10.1075</v>
      </c>
      <c r="J1413" s="4">
        <v>10.842499999999999</v>
      </c>
      <c r="K1413" s="4">
        <v>10.047499999999999</v>
      </c>
      <c r="L1413" s="4">
        <v>10.25</v>
      </c>
      <c r="M1413" s="7">
        <v>1.41E-2</v>
      </c>
    </row>
    <row r="1414" spans="1:13" x14ac:dyDescent="0.2">
      <c r="A1414" s="6">
        <v>46007</v>
      </c>
      <c r="B1414" s="2" t="s">
        <v>226</v>
      </c>
      <c r="C1414" s="5">
        <v>45992</v>
      </c>
      <c r="D1414" s="2" t="s">
        <v>198</v>
      </c>
      <c r="E1414" s="3">
        <v>3217</v>
      </c>
      <c r="F1414" s="8">
        <v>2.8266</v>
      </c>
      <c r="G1414" s="4">
        <v>393.74810000000002</v>
      </c>
      <c r="H1414" s="4">
        <v>839.84540000000004</v>
      </c>
      <c r="I1414" s="4">
        <v>10.25</v>
      </c>
      <c r="J1414" s="4">
        <v>10.4275</v>
      </c>
      <c r="K1414" s="4">
        <v>9.6624999999999996</v>
      </c>
      <c r="L1414" s="4">
        <v>10.06</v>
      </c>
      <c r="M1414" s="7">
        <v>-1.8499999999999999E-2</v>
      </c>
    </row>
    <row r="1415" spans="1:13" x14ac:dyDescent="0.2">
      <c r="A1415" s="6">
        <v>46008</v>
      </c>
      <c r="B1415" s="2" t="s">
        <v>224</v>
      </c>
      <c r="C1415" s="5">
        <v>45992</v>
      </c>
      <c r="D1415" s="2" t="s">
        <v>198</v>
      </c>
      <c r="E1415" s="3">
        <v>3231</v>
      </c>
      <c r="F1415" s="8">
        <v>2.8077000000000001</v>
      </c>
      <c r="G1415" s="4">
        <v>407.59530000000001</v>
      </c>
      <c r="H1415" s="4">
        <v>851.79750000000001</v>
      </c>
      <c r="I1415" s="4">
        <v>10.0625</v>
      </c>
      <c r="J1415" s="4">
        <v>10.1775</v>
      </c>
      <c r="K1415" s="4">
        <v>9.4824999999999999</v>
      </c>
      <c r="L1415" s="4">
        <v>9.84</v>
      </c>
      <c r="M1415" s="7">
        <v>-2.2100000000000002E-2</v>
      </c>
    </row>
    <row r="1416" spans="1:13" x14ac:dyDescent="0.2">
      <c r="A1416" s="6">
        <v>46009</v>
      </c>
      <c r="B1416" s="2" t="s">
        <v>227</v>
      </c>
      <c r="C1416" s="5">
        <v>45992</v>
      </c>
      <c r="D1416" s="2" t="s">
        <v>198</v>
      </c>
      <c r="E1416" s="3">
        <v>3215</v>
      </c>
      <c r="F1416" s="8">
        <v>2.9912999999999998</v>
      </c>
      <c r="G1416" s="4">
        <v>437.9769</v>
      </c>
      <c r="H1416" s="4">
        <v>878.65319999999997</v>
      </c>
      <c r="I1416" s="4">
        <v>9.8375000000000004</v>
      </c>
      <c r="J1416" s="4">
        <v>9.9474999999999998</v>
      </c>
      <c r="K1416" s="4">
        <v>9.6125000000000007</v>
      </c>
      <c r="L1416" s="4">
        <v>9.7100000000000009</v>
      </c>
      <c r="M1416" s="7">
        <v>-1.2999999999999999E-2</v>
      </c>
    </row>
    <row r="1417" spans="1:13" x14ac:dyDescent="0.2">
      <c r="A1417" s="6">
        <v>46010</v>
      </c>
      <c r="B1417" s="2" t="s">
        <v>225</v>
      </c>
      <c r="C1417" s="5">
        <v>45992</v>
      </c>
      <c r="D1417" s="2" t="s">
        <v>198</v>
      </c>
      <c r="E1417" s="3">
        <v>3220</v>
      </c>
      <c r="F1417" s="8">
        <v>3.4097</v>
      </c>
      <c r="G1417" s="4">
        <v>527.76070000000004</v>
      </c>
      <c r="H1417" s="4">
        <v>1241.4141</v>
      </c>
      <c r="I1417" s="4">
        <v>9.7074999999999996</v>
      </c>
      <c r="J1417" s="4">
        <v>10.307499999999999</v>
      </c>
      <c r="K1417" s="4">
        <v>9.4350000000000005</v>
      </c>
      <c r="L1417" s="4">
        <v>9.52</v>
      </c>
      <c r="M1417" s="7">
        <v>-1.9300000000000001E-2</v>
      </c>
    </row>
    <row r="1418" spans="1:13" x14ac:dyDescent="0.2">
      <c r="A1418" s="6">
        <v>46013</v>
      </c>
      <c r="B1418" s="2" t="s">
        <v>228</v>
      </c>
      <c r="C1418" s="5">
        <v>45992</v>
      </c>
      <c r="D1418" s="2" t="s">
        <v>198</v>
      </c>
      <c r="E1418" s="3">
        <v>3289</v>
      </c>
      <c r="F1418" s="8">
        <v>3.1968000000000001</v>
      </c>
      <c r="G1418" s="4">
        <v>504.34210000000002</v>
      </c>
      <c r="H1418" s="4">
        <v>974.58450000000005</v>
      </c>
      <c r="I1418" s="4">
        <v>9.5225000000000009</v>
      </c>
      <c r="J1418" s="4">
        <v>9.8975000000000009</v>
      </c>
      <c r="K1418" s="4">
        <v>8.8625000000000007</v>
      </c>
      <c r="L1418" s="4">
        <v>9.68</v>
      </c>
      <c r="M1418" s="7">
        <v>1.6500000000000001E-2</v>
      </c>
    </row>
    <row r="1419" spans="1:13" x14ac:dyDescent="0.2">
      <c r="A1419" s="6">
        <v>46014</v>
      </c>
      <c r="B1419" s="2" t="s">
        <v>226</v>
      </c>
      <c r="C1419" s="5">
        <v>45992</v>
      </c>
      <c r="D1419" s="2" t="s">
        <v>198</v>
      </c>
      <c r="E1419" s="3">
        <v>3269</v>
      </c>
      <c r="F1419" s="8">
        <v>3.0592999999999999</v>
      </c>
      <c r="G1419" s="4">
        <v>466.21629999999999</v>
      </c>
      <c r="H1419" s="4">
        <v>891.55759999999998</v>
      </c>
      <c r="I1419" s="4">
        <v>9.6750000000000007</v>
      </c>
      <c r="J1419" s="4">
        <v>9.7850000000000001</v>
      </c>
      <c r="K1419" s="4">
        <v>9.3224999999999998</v>
      </c>
      <c r="L1419" s="4">
        <v>9.3800000000000008</v>
      </c>
      <c r="M1419" s="7">
        <v>-3.0499999999999999E-2</v>
      </c>
    </row>
    <row r="1420" spans="1:13" x14ac:dyDescent="0.2">
      <c r="A1420" s="6">
        <v>46015</v>
      </c>
      <c r="B1420" s="2" t="s">
        <v>224</v>
      </c>
      <c r="C1420" s="5">
        <v>45992</v>
      </c>
      <c r="D1420" s="2" t="s">
        <v>198</v>
      </c>
      <c r="E1420" s="3">
        <v>3253</v>
      </c>
      <c r="F1420" s="8">
        <v>2.8546</v>
      </c>
      <c r="G1420" s="4">
        <v>430.3732</v>
      </c>
      <c r="H1420" s="4">
        <v>862.41020000000003</v>
      </c>
      <c r="I1420" s="4">
        <v>9.3774999999999995</v>
      </c>
      <c r="J1420" s="4">
        <v>9.68</v>
      </c>
      <c r="K1420" s="4">
        <v>8.8825000000000003</v>
      </c>
      <c r="L1420" s="4">
        <v>9.19</v>
      </c>
      <c r="M1420" s="7">
        <v>-0.02</v>
      </c>
    </row>
    <row r="1421" spans="1:13" x14ac:dyDescent="0.2">
      <c r="A1421" s="6">
        <v>46017</v>
      </c>
      <c r="B1421" s="2" t="s">
        <v>225</v>
      </c>
      <c r="C1421" s="5">
        <v>45992</v>
      </c>
      <c r="D1421" s="2" t="s">
        <v>198</v>
      </c>
      <c r="E1421" s="3">
        <v>3254</v>
      </c>
      <c r="F1421" s="8">
        <v>2.7145999999999999</v>
      </c>
      <c r="G1421" s="4">
        <v>425.02339999999998</v>
      </c>
      <c r="H1421" s="4">
        <v>815.53790000000004</v>
      </c>
      <c r="I1421" s="4">
        <v>9.19</v>
      </c>
      <c r="J1421" s="4">
        <v>9.3949999999999996</v>
      </c>
      <c r="K1421" s="4">
        <v>9.02</v>
      </c>
      <c r="L1421" s="4">
        <v>9.15</v>
      </c>
      <c r="M1421" s="7">
        <v>-4.4000000000000003E-3</v>
      </c>
    </row>
    <row r="1422" spans="1:13" x14ac:dyDescent="0.2">
      <c r="A1422" s="6">
        <v>46020</v>
      </c>
      <c r="B1422" s="2" t="s">
        <v>228</v>
      </c>
      <c r="C1422" s="5">
        <v>45992</v>
      </c>
      <c r="D1422" s="2" t="s">
        <v>198</v>
      </c>
      <c r="E1422" s="3">
        <v>3299</v>
      </c>
      <c r="F1422" s="8">
        <v>3.2393999999999998</v>
      </c>
      <c r="G1422" s="4">
        <v>542.41970000000003</v>
      </c>
      <c r="H1422" s="4">
        <v>1039.279</v>
      </c>
      <c r="I1422" s="4">
        <v>9.15</v>
      </c>
      <c r="J1422" s="4">
        <v>9.77</v>
      </c>
      <c r="K1422" s="4">
        <v>9.0474999999999994</v>
      </c>
      <c r="L1422" s="4">
        <v>9.7200000000000006</v>
      </c>
      <c r="M1422" s="7">
        <v>6.2300000000000001E-2</v>
      </c>
    </row>
    <row r="1423" spans="1:13" x14ac:dyDescent="0.2">
      <c r="A1423" s="6">
        <v>46021</v>
      </c>
      <c r="B1423" s="2" t="s">
        <v>226</v>
      </c>
      <c r="C1423" s="5">
        <v>45992</v>
      </c>
      <c r="D1423" s="2" t="s">
        <v>198</v>
      </c>
      <c r="E1423" s="3">
        <v>3247</v>
      </c>
      <c r="F1423" s="8">
        <v>3.8942000000000001</v>
      </c>
      <c r="G1423" s="4">
        <v>563.18719999999996</v>
      </c>
      <c r="H1423" s="4">
        <v>1417.9539</v>
      </c>
      <c r="I1423" s="4">
        <v>9.7200000000000006</v>
      </c>
      <c r="J1423" s="4">
        <v>9.9875000000000007</v>
      </c>
      <c r="K1423" s="4">
        <v>9.5875000000000004</v>
      </c>
      <c r="L1423" s="4">
        <v>9.68</v>
      </c>
      <c r="M1423" s="7">
        <v>-4.1000000000000003E-3</v>
      </c>
    </row>
    <row r="1424" spans="1:13" x14ac:dyDescent="0.2">
      <c r="A1424" s="6">
        <v>46022</v>
      </c>
      <c r="B1424" s="2" t="s">
        <v>224</v>
      </c>
      <c r="C1424" s="5">
        <v>45992</v>
      </c>
      <c r="D1424" s="2" t="s">
        <v>198</v>
      </c>
      <c r="E1424" s="3">
        <v>3256</v>
      </c>
      <c r="F1424" s="8">
        <v>3.0670000000000002</v>
      </c>
      <c r="G1424" s="4">
        <v>766.07119999999998</v>
      </c>
      <c r="H1424" s="4">
        <v>1006.9576</v>
      </c>
      <c r="I1424" s="4">
        <v>9.6775000000000002</v>
      </c>
      <c r="J1424" s="4">
        <v>9.73</v>
      </c>
      <c r="K1424" s="4">
        <v>9.3125</v>
      </c>
      <c r="L1424" s="4">
        <v>9.48</v>
      </c>
      <c r="M1424" s="7">
        <v>-2.0400000000000001E-2</v>
      </c>
    </row>
    <row r="1425" spans="1:13" x14ac:dyDescent="0.2">
      <c r="A1425" s="6">
        <v>46023</v>
      </c>
      <c r="B1425" s="2" t="s">
        <v>227</v>
      </c>
      <c r="C1425" s="5">
        <v>46023</v>
      </c>
      <c r="D1425" s="2" t="s">
        <v>199</v>
      </c>
      <c r="E1425" s="3">
        <v>3227</v>
      </c>
      <c r="F1425" s="8">
        <v>2.4411</v>
      </c>
      <c r="G1425" s="4">
        <v>602.32280000000003</v>
      </c>
      <c r="H1425" s="4">
        <v>802.32389999999998</v>
      </c>
      <c r="I1425" s="4">
        <v>9.4749999999999996</v>
      </c>
      <c r="J1425" s="4">
        <v>9.4749999999999996</v>
      </c>
      <c r="K1425" s="4">
        <v>8.7200000000000006</v>
      </c>
      <c r="L1425" s="4">
        <v>9.19</v>
      </c>
      <c r="M1425" s="7">
        <v>-3.0099999999999998E-2</v>
      </c>
    </row>
    <row r="1426" spans="1:13" x14ac:dyDescent="0.2">
      <c r="A1426" s="6">
        <v>46024</v>
      </c>
      <c r="B1426" s="2" t="s">
        <v>225</v>
      </c>
      <c r="C1426" s="5">
        <v>46023</v>
      </c>
      <c r="D1426" s="2" t="s">
        <v>199</v>
      </c>
      <c r="E1426" s="3">
        <v>3252</v>
      </c>
      <c r="F1426" s="8">
        <v>3.1153</v>
      </c>
      <c r="G1426" s="4">
        <v>570.32979999999998</v>
      </c>
      <c r="H1426" s="4">
        <v>1024.3851</v>
      </c>
      <c r="I1426" s="4">
        <v>9.1850000000000005</v>
      </c>
      <c r="J1426" s="4">
        <v>9.5549999999999997</v>
      </c>
      <c r="K1426" s="4">
        <v>8.9674999999999994</v>
      </c>
      <c r="L1426" s="4">
        <v>9.4499999999999993</v>
      </c>
      <c r="M1426" s="7">
        <v>2.8899999999999999E-2</v>
      </c>
    </row>
    <row r="1427" spans="1:13" x14ac:dyDescent="0.2">
      <c r="A1427" s="6">
        <v>46027</v>
      </c>
      <c r="B1427" s="2" t="s">
        <v>228</v>
      </c>
      <c r="C1427" s="5">
        <v>46023</v>
      </c>
      <c r="D1427" s="2" t="s">
        <v>199</v>
      </c>
      <c r="E1427" s="3">
        <v>3262</v>
      </c>
      <c r="F1427" s="8">
        <v>3.3595999999999999</v>
      </c>
      <c r="G1427" s="4">
        <v>538.78579999999999</v>
      </c>
      <c r="H1427" s="4">
        <v>1046.0245</v>
      </c>
      <c r="I1427" s="4">
        <v>9.4499999999999993</v>
      </c>
      <c r="J1427" s="4">
        <v>10.215</v>
      </c>
      <c r="K1427" s="4">
        <v>9.2925000000000004</v>
      </c>
      <c r="L1427" s="4">
        <v>10.02</v>
      </c>
      <c r="M1427" s="7">
        <v>6.0299999999999999E-2</v>
      </c>
    </row>
    <row r="1428" spans="1:13" x14ac:dyDescent="0.2">
      <c r="A1428" s="6">
        <v>46028</v>
      </c>
      <c r="B1428" s="2" t="s">
        <v>226</v>
      </c>
      <c r="C1428" s="5">
        <v>46023</v>
      </c>
      <c r="D1428" s="2" t="s">
        <v>199</v>
      </c>
      <c r="E1428" s="3">
        <v>3239</v>
      </c>
      <c r="F1428" s="8">
        <v>3.3227000000000002</v>
      </c>
      <c r="G1428" s="4">
        <v>484.52629999999999</v>
      </c>
      <c r="H1428" s="4">
        <v>1094.5406</v>
      </c>
      <c r="I1428" s="4">
        <v>10.022500000000001</v>
      </c>
      <c r="J1428" s="4">
        <v>10.285</v>
      </c>
      <c r="K1428" s="4">
        <v>9.6475000000000009</v>
      </c>
      <c r="L1428" s="4">
        <v>10.02</v>
      </c>
      <c r="M1428" s="7">
        <v>-2.0000000000000001E-4</v>
      </c>
    </row>
    <row r="1429" spans="1:13" x14ac:dyDescent="0.2">
      <c r="A1429" s="6">
        <v>46029</v>
      </c>
      <c r="B1429" s="2" t="s">
        <v>224</v>
      </c>
      <c r="C1429" s="5">
        <v>46023</v>
      </c>
      <c r="D1429" s="2" t="s">
        <v>199</v>
      </c>
      <c r="E1429" s="3">
        <v>3250</v>
      </c>
      <c r="F1429" s="8">
        <v>3.1970999999999998</v>
      </c>
      <c r="G1429" s="4">
        <v>446.27539999999999</v>
      </c>
      <c r="H1429" s="4">
        <v>1064.6318000000001</v>
      </c>
      <c r="I1429" s="4">
        <v>10.0175</v>
      </c>
      <c r="J1429" s="4">
        <v>10.24</v>
      </c>
      <c r="K1429" s="4">
        <v>9.7449999999999992</v>
      </c>
      <c r="L1429" s="4">
        <v>9.9499999999999993</v>
      </c>
      <c r="M1429" s="7">
        <v>-6.7000000000000002E-3</v>
      </c>
    </row>
    <row r="1430" spans="1:13" x14ac:dyDescent="0.2">
      <c r="A1430" s="6">
        <v>46030</v>
      </c>
      <c r="B1430" s="2" t="s">
        <v>227</v>
      </c>
      <c r="C1430" s="5">
        <v>46023</v>
      </c>
      <c r="D1430" s="2" t="s">
        <v>199</v>
      </c>
      <c r="E1430" s="3">
        <v>3249</v>
      </c>
      <c r="F1430" s="8">
        <v>3.5427</v>
      </c>
      <c r="G1430" s="4">
        <v>488.25020000000001</v>
      </c>
      <c r="H1430" s="4">
        <v>1089.5413000000001</v>
      </c>
      <c r="I1430" s="4">
        <v>9.9499999999999993</v>
      </c>
      <c r="J1430" s="4">
        <v>10.99</v>
      </c>
      <c r="K1430" s="4">
        <v>9.4749999999999996</v>
      </c>
      <c r="L1430" s="4">
        <v>10.6</v>
      </c>
      <c r="M1430" s="7">
        <v>6.5299999999999997E-2</v>
      </c>
    </row>
    <row r="1431" spans="1:13" x14ac:dyDescent="0.2">
      <c r="A1431" s="6">
        <v>46031</v>
      </c>
      <c r="B1431" s="2" t="s">
        <v>225</v>
      </c>
      <c r="C1431" s="5">
        <v>46023</v>
      </c>
      <c r="D1431" s="2" t="s">
        <v>199</v>
      </c>
      <c r="E1431" s="3">
        <v>3244</v>
      </c>
      <c r="F1431" s="8">
        <v>3.3708999999999998</v>
      </c>
      <c r="G1431" s="4">
        <v>622.31659999999999</v>
      </c>
      <c r="H1431" s="4">
        <v>1067.4684</v>
      </c>
      <c r="I1431" s="4">
        <v>10.6</v>
      </c>
      <c r="J1431" s="4">
        <v>11.035</v>
      </c>
      <c r="K1431" s="4">
        <v>10.217499999999999</v>
      </c>
      <c r="L1431" s="4">
        <v>10.93</v>
      </c>
      <c r="M1431" s="7">
        <v>3.1099999999999999E-2</v>
      </c>
    </row>
    <row r="1432" spans="1:13" x14ac:dyDescent="0.2">
      <c r="A1432" s="6">
        <v>46034</v>
      </c>
      <c r="B1432" s="2" t="s">
        <v>228</v>
      </c>
      <c r="C1432" s="5">
        <v>46023</v>
      </c>
      <c r="D1432" s="2" t="s">
        <v>199</v>
      </c>
      <c r="E1432" s="3">
        <v>3240</v>
      </c>
      <c r="F1432" s="8">
        <v>3.5547</v>
      </c>
      <c r="G1432" s="4">
        <v>526.89359999999999</v>
      </c>
      <c r="H1432" s="4">
        <v>1036.9168999999999</v>
      </c>
      <c r="I1432" s="4">
        <v>10.925000000000001</v>
      </c>
      <c r="J1432" s="4">
        <v>11.945</v>
      </c>
      <c r="K1432" s="4">
        <v>10.5175</v>
      </c>
      <c r="L1432" s="4">
        <v>11.37</v>
      </c>
      <c r="M1432" s="7">
        <v>4.07E-2</v>
      </c>
    </row>
    <row r="1433" spans="1:13" x14ac:dyDescent="0.2">
      <c r="A1433" s="6">
        <v>46035</v>
      </c>
      <c r="B1433" s="2" t="s">
        <v>226</v>
      </c>
      <c r="C1433" s="5">
        <v>46023</v>
      </c>
      <c r="D1433" s="2" t="s">
        <v>199</v>
      </c>
      <c r="E1433" s="3">
        <v>3249</v>
      </c>
      <c r="F1433" s="8">
        <v>2.9942000000000002</v>
      </c>
      <c r="G1433" s="4">
        <v>480.3886</v>
      </c>
      <c r="H1433" s="4">
        <v>1016.3697</v>
      </c>
      <c r="I1433" s="4">
        <v>11.3675</v>
      </c>
      <c r="J1433" s="4">
        <v>11.68</v>
      </c>
      <c r="K1433" s="4">
        <v>10.637499999999999</v>
      </c>
      <c r="L1433" s="4">
        <v>11.2</v>
      </c>
      <c r="M1433" s="7">
        <v>-1.47E-2</v>
      </c>
    </row>
    <row r="1434" spans="1:13" x14ac:dyDescent="0.2">
      <c r="A1434" s="6">
        <v>46036</v>
      </c>
      <c r="B1434" s="2" t="s">
        <v>224</v>
      </c>
      <c r="C1434" s="5">
        <v>46023</v>
      </c>
      <c r="D1434" s="2" t="s">
        <v>199</v>
      </c>
      <c r="E1434" s="3">
        <v>3244</v>
      </c>
      <c r="F1434" s="8">
        <v>3.1139000000000001</v>
      </c>
      <c r="G1434" s="4">
        <v>487.14960000000002</v>
      </c>
      <c r="H1434" s="4">
        <v>1095.3810000000001</v>
      </c>
      <c r="I1434" s="4">
        <v>11.1975</v>
      </c>
      <c r="J1434" s="4">
        <v>11.4725</v>
      </c>
      <c r="K1434" s="4">
        <v>11.012499999999999</v>
      </c>
      <c r="L1434" s="4">
        <v>11.32</v>
      </c>
      <c r="M1434" s="7">
        <v>1.09E-2</v>
      </c>
    </row>
    <row r="1435" spans="1:13" x14ac:dyDescent="0.2">
      <c r="A1435" s="6">
        <v>46038</v>
      </c>
      <c r="B1435" s="2" t="s">
        <v>225</v>
      </c>
      <c r="C1435" s="5">
        <v>46023</v>
      </c>
      <c r="D1435" s="2" t="s">
        <v>199</v>
      </c>
      <c r="E1435" s="3">
        <v>3276</v>
      </c>
      <c r="F1435" s="8">
        <v>3.5657000000000001</v>
      </c>
      <c r="G1435" s="4">
        <v>574.19680000000005</v>
      </c>
      <c r="H1435" s="4">
        <v>1250.6742999999999</v>
      </c>
      <c r="I1435" s="4">
        <v>11.32</v>
      </c>
      <c r="J1435" s="4">
        <v>11.574999999999999</v>
      </c>
      <c r="K1435" s="4">
        <v>10.875</v>
      </c>
      <c r="L1435" s="4">
        <v>11.37</v>
      </c>
      <c r="M1435" s="7">
        <v>4.4000000000000003E-3</v>
      </c>
    </row>
    <row r="1436" spans="1:13" x14ac:dyDescent="0.2">
      <c r="A1436" s="6">
        <v>46041</v>
      </c>
      <c r="B1436" s="2" t="s">
        <v>228</v>
      </c>
      <c r="C1436" s="5">
        <v>46023</v>
      </c>
      <c r="D1436" s="2" t="s">
        <v>199</v>
      </c>
      <c r="E1436" s="3">
        <v>3297</v>
      </c>
      <c r="F1436" s="8">
        <v>3.2646999999999999</v>
      </c>
      <c r="G1436" s="4">
        <v>577.57500000000005</v>
      </c>
      <c r="H1436" s="4">
        <v>1110.0273999999999</v>
      </c>
      <c r="I1436" s="4">
        <v>11.3725</v>
      </c>
      <c r="J1436" s="4">
        <v>12.125</v>
      </c>
      <c r="K1436" s="4">
        <v>10.3925</v>
      </c>
      <c r="L1436" s="4">
        <v>11.83</v>
      </c>
      <c r="M1436" s="7">
        <v>4.02E-2</v>
      </c>
    </row>
    <row r="1437" spans="1:13" x14ac:dyDescent="0.2">
      <c r="A1437" s="6">
        <v>46042</v>
      </c>
      <c r="B1437" s="2" t="s">
        <v>226</v>
      </c>
      <c r="C1437" s="5">
        <v>46023</v>
      </c>
      <c r="D1437" s="2" t="s">
        <v>199</v>
      </c>
      <c r="E1437" s="3">
        <v>3310</v>
      </c>
      <c r="F1437" s="8">
        <v>3.9312</v>
      </c>
      <c r="G1437" s="4">
        <v>697.0856</v>
      </c>
      <c r="H1437" s="4">
        <v>1251.5382999999999</v>
      </c>
      <c r="I1437" s="4">
        <v>11.827500000000001</v>
      </c>
      <c r="J1437" s="4">
        <v>12.9025</v>
      </c>
      <c r="K1437" s="4">
        <v>10.994999999999999</v>
      </c>
      <c r="L1437" s="4">
        <v>12.73</v>
      </c>
      <c r="M1437" s="7">
        <v>7.6300000000000007E-2</v>
      </c>
    </row>
    <row r="1438" spans="1:13" x14ac:dyDescent="0.2">
      <c r="A1438" s="6">
        <v>46043</v>
      </c>
      <c r="B1438" s="2" t="s">
        <v>224</v>
      </c>
      <c r="C1438" s="5">
        <v>46023</v>
      </c>
      <c r="D1438" s="2" t="s">
        <v>199</v>
      </c>
      <c r="E1438" s="3">
        <v>3303</v>
      </c>
      <c r="F1438" s="8">
        <v>4.2569999999999997</v>
      </c>
      <c r="G1438" s="4">
        <v>790.69050000000004</v>
      </c>
      <c r="H1438" s="4">
        <v>1341.3589999999999</v>
      </c>
      <c r="I1438" s="4">
        <v>12.73</v>
      </c>
      <c r="J1438" s="4">
        <v>14.43</v>
      </c>
      <c r="K1438" s="4">
        <v>12.432499999999999</v>
      </c>
      <c r="L1438" s="4">
        <v>13.78</v>
      </c>
      <c r="M1438" s="7">
        <v>8.2500000000000004E-2</v>
      </c>
    </row>
    <row r="1439" spans="1:13" x14ac:dyDescent="0.2">
      <c r="A1439" s="6">
        <v>46044</v>
      </c>
      <c r="B1439" s="2" t="s">
        <v>227</v>
      </c>
      <c r="C1439" s="5">
        <v>46023</v>
      </c>
      <c r="D1439" s="2" t="s">
        <v>199</v>
      </c>
      <c r="E1439" s="3">
        <v>3270</v>
      </c>
      <c r="F1439" s="8">
        <v>3.7892000000000001</v>
      </c>
      <c r="G1439" s="4">
        <v>678.27959999999996</v>
      </c>
      <c r="H1439" s="4">
        <v>1295.3289</v>
      </c>
      <c r="I1439" s="4">
        <v>13.78</v>
      </c>
      <c r="J1439" s="4">
        <v>14.327500000000001</v>
      </c>
      <c r="K1439" s="4">
        <v>12.907500000000001</v>
      </c>
      <c r="L1439" s="4">
        <v>13.35</v>
      </c>
      <c r="M1439" s="7">
        <v>-3.1199999999999999E-2</v>
      </c>
    </row>
    <row r="1440" spans="1:13" x14ac:dyDescent="0.2">
      <c r="A1440" s="6">
        <v>46045</v>
      </c>
      <c r="B1440" s="2" t="s">
        <v>225</v>
      </c>
      <c r="C1440" s="5">
        <v>46023</v>
      </c>
      <c r="D1440" s="2" t="s">
        <v>199</v>
      </c>
      <c r="E1440" s="3">
        <v>3261</v>
      </c>
      <c r="F1440" s="8">
        <v>3.6038000000000001</v>
      </c>
      <c r="G1440" s="4">
        <v>560.94839999999999</v>
      </c>
      <c r="H1440" s="4">
        <v>1193.1412</v>
      </c>
      <c r="I1440" s="4">
        <v>13.35</v>
      </c>
      <c r="J1440" s="4">
        <v>14.432499999999999</v>
      </c>
      <c r="K1440" s="4">
        <v>12.282500000000001</v>
      </c>
      <c r="L1440" s="4">
        <v>14.19</v>
      </c>
      <c r="M1440" s="7">
        <v>6.2899999999999998E-2</v>
      </c>
    </row>
    <row r="1441" spans="1:13" x14ac:dyDescent="0.2">
      <c r="A1441" s="6">
        <v>46049</v>
      </c>
      <c r="B1441" s="2" t="s">
        <v>226</v>
      </c>
      <c r="C1441" s="5">
        <v>46023</v>
      </c>
      <c r="D1441" s="2" t="s">
        <v>199</v>
      </c>
      <c r="E1441" s="3">
        <v>3318</v>
      </c>
      <c r="F1441" s="8">
        <v>4.3502000000000001</v>
      </c>
      <c r="G1441" s="4">
        <v>634.26639999999998</v>
      </c>
      <c r="H1441" s="4">
        <v>1466.4367</v>
      </c>
      <c r="I1441" s="4">
        <v>14.192500000000001</v>
      </c>
      <c r="J1441" s="4">
        <v>16.057500000000001</v>
      </c>
      <c r="K1441" s="4">
        <v>13.922499999999999</v>
      </c>
      <c r="L1441" s="4">
        <v>14.45</v>
      </c>
      <c r="M1441" s="7">
        <v>1.8100000000000002E-2</v>
      </c>
    </row>
    <row r="1442" spans="1:13" x14ac:dyDescent="0.2">
      <c r="A1442" s="6">
        <v>46050</v>
      </c>
      <c r="B1442" s="2" t="s">
        <v>224</v>
      </c>
      <c r="C1442" s="5">
        <v>46023</v>
      </c>
      <c r="D1442" s="2" t="s">
        <v>199</v>
      </c>
      <c r="E1442" s="3">
        <v>3287</v>
      </c>
      <c r="F1442" s="8">
        <v>3.7193000000000001</v>
      </c>
      <c r="G1442" s="4">
        <v>619.53689999999995</v>
      </c>
      <c r="H1442" s="4">
        <v>1393.3051</v>
      </c>
      <c r="I1442" s="4">
        <v>14.452500000000001</v>
      </c>
      <c r="J1442" s="4">
        <v>14.51</v>
      </c>
      <c r="K1442" s="4">
        <v>13.44</v>
      </c>
      <c r="L1442" s="4">
        <v>13.53</v>
      </c>
      <c r="M1442" s="7">
        <v>-6.3799999999999996E-2</v>
      </c>
    </row>
    <row r="1443" spans="1:13" x14ac:dyDescent="0.2">
      <c r="A1443" s="6">
        <v>46051</v>
      </c>
      <c r="B1443" s="2" t="s">
        <v>227</v>
      </c>
      <c r="C1443" s="5">
        <v>46023</v>
      </c>
      <c r="D1443" s="2" t="s">
        <v>199</v>
      </c>
      <c r="E1443" s="3">
        <v>3308</v>
      </c>
      <c r="F1443" s="8">
        <v>4.0778999999999996</v>
      </c>
      <c r="G1443" s="4">
        <v>686.27599999999995</v>
      </c>
      <c r="H1443" s="4">
        <v>1545.7742000000001</v>
      </c>
      <c r="I1443" s="4">
        <v>13.525</v>
      </c>
      <c r="J1443" s="4">
        <v>14.192500000000001</v>
      </c>
      <c r="K1443" s="4">
        <v>13.0725</v>
      </c>
      <c r="L1443" s="4">
        <v>13.37</v>
      </c>
      <c r="M1443" s="7">
        <v>-1.15E-2</v>
      </c>
    </row>
    <row r="1444" spans="1:13" x14ac:dyDescent="0.2">
      <c r="A1444" s="6">
        <v>46052</v>
      </c>
      <c r="B1444" s="2" t="s">
        <v>225</v>
      </c>
      <c r="C1444" s="5">
        <v>46023</v>
      </c>
      <c r="D1444" s="2" t="s">
        <v>199</v>
      </c>
      <c r="E1444" s="3">
        <v>3262</v>
      </c>
      <c r="F1444" s="8">
        <v>4.6814999999999998</v>
      </c>
      <c r="G1444" s="4">
        <v>903.53819999999996</v>
      </c>
      <c r="H1444" s="4">
        <v>1726.8025</v>
      </c>
      <c r="I1444" s="4">
        <v>13.37</v>
      </c>
      <c r="J1444" s="4">
        <v>14.23</v>
      </c>
      <c r="K1444" s="4">
        <v>12.8825</v>
      </c>
      <c r="L1444" s="4">
        <v>13.63</v>
      </c>
      <c r="M1444" s="7">
        <v>1.9400000000000001E-2</v>
      </c>
    </row>
    <row r="1445" spans="1:13" x14ac:dyDescent="0.2">
      <c r="A1445" s="6">
        <v>46054</v>
      </c>
      <c r="B1445" s="2" t="s">
        <v>230</v>
      </c>
      <c r="C1445" s="5">
        <v>46054</v>
      </c>
      <c r="D1445" s="2" t="s">
        <v>199</v>
      </c>
      <c r="E1445" s="3">
        <v>3229</v>
      </c>
      <c r="F1445" s="8">
        <v>3.6659000000000002</v>
      </c>
      <c r="G1445" s="4">
        <v>530.82330000000002</v>
      </c>
      <c r="H1445" s="4">
        <v>1169.8425</v>
      </c>
      <c r="I1445" s="4">
        <v>13.6325</v>
      </c>
      <c r="J1445" s="4">
        <v>16.112500000000001</v>
      </c>
      <c r="K1445" s="4">
        <v>13.3475</v>
      </c>
      <c r="L1445" s="4">
        <v>15.1</v>
      </c>
      <c r="M1445" s="7">
        <v>0.1076</v>
      </c>
    </row>
    <row r="1446" spans="1:13" x14ac:dyDescent="0.2">
      <c r="A1446" s="6">
        <v>46055</v>
      </c>
      <c r="B1446" s="2" t="s">
        <v>228</v>
      </c>
      <c r="C1446" s="5">
        <v>46054</v>
      </c>
      <c r="D1446" s="2" t="s">
        <v>199</v>
      </c>
      <c r="E1446" s="3">
        <v>3289</v>
      </c>
      <c r="F1446" s="8">
        <v>4.2066999999999997</v>
      </c>
      <c r="G1446" s="4">
        <v>612.48670000000004</v>
      </c>
      <c r="H1446" s="4">
        <v>1290.2257</v>
      </c>
      <c r="I1446" s="4">
        <v>15.095000000000001</v>
      </c>
      <c r="J1446" s="4">
        <v>15.5525</v>
      </c>
      <c r="K1446" s="4">
        <v>13.58</v>
      </c>
      <c r="L1446" s="4">
        <v>13.87</v>
      </c>
      <c r="M1446" s="7">
        <v>-8.1199999999999994E-2</v>
      </c>
    </row>
    <row r="1447" spans="1:13" x14ac:dyDescent="0.2">
      <c r="A1447" s="6">
        <v>46056</v>
      </c>
      <c r="B1447" s="2" t="s">
        <v>226</v>
      </c>
      <c r="C1447" s="5">
        <v>46054</v>
      </c>
      <c r="D1447" s="2" t="s">
        <v>199</v>
      </c>
      <c r="E1447" s="3">
        <v>3320</v>
      </c>
      <c r="F1447" s="8">
        <v>4.7102000000000004</v>
      </c>
      <c r="G1447" s="4">
        <v>762.6395</v>
      </c>
      <c r="H1447" s="4">
        <v>1740.5595000000001</v>
      </c>
      <c r="I1447" s="4">
        <v>13.865</v>
      </c>
      <c r="J1447" s="4">
        <v>15.465</v>
      </c>
      <c r="K1447" s="4">
        <v>11.85</v>
      </c>
      <c r="L1447" s="4">
        <v>12.9</v>
      </c>
      <c r="M1447" s="7">
        <v>-6.9599999999999995E-2</v>
      </c>
    </row>
    <row r="1448" spans="1:13" x14ac:dyDescent="0.2">
      <c r="A1448" s="6">
        <v>46057</v>
      </c>
      <c r="B1448" s="2" t="s">
        <v>224</v>
      </c>
      <c r="C1448" s="5">
        <v>46054</v>
      </c>
      <c r="D1448" s="2" t="s">
        <v>199</v>
      </c>
      <c r="E1448" s="3">
        <v>3299</v>
      </c>
      <c r="F1448" s="8">
        <v>3.9590000000000001</v>
      </c>
      <c r="G1448" s="4">
        <v>642.9366</v>
      </c>
      <c r="H1448" s="4">
        <v>1355.269</v>
      </c>
      <c r="I1448" s="4">
        <v>12.895</v>
      </c>
      <c r="J1448" s="4">
        <v>13.145</v>
      </c>
      <c r="K1448" s="4">
        <v>12.06</v>
      </c>
      <c r="L1448" s="4">
        <v>12.25</v>
      </c>
      <c r="M1448" s="7">
        <v>-0.05</v>
      </c>
    </row>
    <row r="1449" spans="1:13" x14ac:dyDescent="0.2">
      <c r="A1449" s="6">
        <v>46058</v>
      </c>
      <c r="B1449" s="2" t="s">
        <v>227</v>
      </c>
      <c r="C1449" s="5">
        <v>46054</v>
      </c>
      <c r="D1449" s="2" t="s">
        <v>199</v>
      </c>
      <c r="E1449" s="3">
        <v>3247</v>
      </c>
      <c r="F1449" s="8">
        <v>3.5129000000000001</v>
      </c>
      <c r="G1449" s="4">
        <v>531.56820000000005</v>
      </c>
      <c r="H1449" s="4">
        <v>1143.1554000000001</v>
      </c>
      <c r="I1449" s="4">
        <v>12.2525</v>
      </c>
      <c r="J1449" s="4">
        <v>12.545</v>
      </c>
      <c r="K1449" s="4">
        <v>10.935</v>
      </c>
      <c r="L1449" s="4">
        <v>12.17</v>
      </c>
      <c r="M1449" s="7">
        <v>-6.7000000000000002E-3</v>
      </c>
    </row>
    <row r="1450" spans="1:13" x14ac:dyDescent="0.2">
      <c r="A1450" s="6">
        <v>46059</v>
      </c>
      <c r="B1450" s="2" t="s">
        <v>225</v>
      </c>
      <c r="C1450" s="5">
        <v>46054</v>
      </c>
      <c r="D1450" s="2" t="s">
        <v>199</v>
      </c>
      <c r="E1450" s="3">
        <v>3245</v>
      </c>
      <c r="F1450" s="8">
        <v>3.2202000000000002</v>
      </c>
      <c r="G1450" s="4">
        <v>450.91730000000001</v>
      </c>
      <c r="H1450" s="4">
        <v>1086.5563</v>
      </c>
      <c r="I1450" s="4">
        <v>12.1675</v>
      </c>
      <c r="J1450" s="4">
        <v>12.345000000000001</v>
      </c>
      <c r="K1450" s="4">
        <v>11.16</v>
      </c>
      <c r="L1450" s="4">
        <v>11.94</v>
      </c>
      <c r="M1450" s="7">
        <v>-1.8700000000000001E-2</v>
      </c>
    </row>
    <row r="1451" spans="1:13" x14ac:dyDescent="0.2">
      <c r="A1451" s="6">
        <v>46062</v>
      </c>
      <c r="B1451" s="2" t="s">
        <v>228</v>
      </c>
      <c r="C1451" s="5">
        <v>46054</v>
      </c>
      <c r="D1451" s="2" t="s">
        <v>199</v>
      </c>
      <c r="E1451" s="3">
        <v>3309</v>
      </c>
      <c r="F1451" s="8">
        <v>3.5960999999999999</v>
      </c>
      <c r="G1451" s="4">
        <v>524.49480000000005</v>
      </c>
      <c r="H1451" s="4">
        <v>1149.7249999999999</v>
      </c>
      <c r="I1451" s="4">
        <v>11.94</v>
      </c>
      <c r="J1451" s="4">
        <v>12.28</v>
      </c>
      <c r="K1451" s="4">
        <v>10.67</v>
      </c>
      <c r="L1451" s="4">
        <v>12.19</v>
      </c>
      <c r="M1451" s="7">
        <v>2.0899999999999998E-2</v>
      </c>
    </row>
    <row r="1452" spans="1:13" x14ac:dyDescent="0.2">
      <c r="A1452" s="6">
        <v>46063</v>
      </c>
      <c r="B1452" s="2" t="s">
        <v>226</v>
      </c>
      <c r="C1452" s="5">
        <v>46054</v>
      </c>
      <c r="D1452" s="2" t="s">
        <v>199</v>
      </c>
      <c r="E1452" s="3">
        <v>3272</v>
      </c>
      <c r="F1452" s="8">
        <v>3.4180000000000001</v>
      </c>
      <c r="G1452" s="4">
        <v>461.0335</v>
      </c>
      <c r="H1452" s="4">
        <v>1180.6385</v>
      </c>
      <c r="I1452" s="4">
        <v>12.19</v>
      </c>
      <c r="J1452" s="4">
        <v>12.19</v>
      </c>
      <c r="K1452" s="4">
        <v>10.355</v>
      </c>
      <c r="L1452" s="4">
        <v>11.67</v>
      </c>
      <c r="M1452" s="7">
        <v>-4.2700000000000002E-2</v>
      </c>
    </row>
    <row r="1453" spans="1:13" x14ac:dyDescent="0.2">
      <c r="A1453" s="6">
        <v>46064</v>
      </c>
      <c r="B1453" s="2" t="s">
        <v>224</v>
      </c>
      <c r="C1453" s="5">
        <v>46054</v>
      </c>
      <c r="D1453" s="2" t="s">
        <v>199</v>
      </c>
      <c r="E1453" s="3">
        <v>3255</v>
      </c>
      <c r="F1453" s="8">
        <v>3.3024</v>
      </c>
      <c r="G1453" s="4">
        <v>501.04199999999997</v>
      </c>
      <c r="H1453" s="4">
        <v>1126.2573</v>
      </c>
      <c r="I1453" s="4">
        <v>11.664999999999999</v>
      </c>
      <c r="J1453" s="4">
        <v>11.7125</v>
      </c>
      <c r="K1453" s="4">
        <v>10.557499999999999</v>
      </c>
      <c r="L1453" s="4">
        <v>11.55</v>
      </c>
      <c r="M1453" s="7">
        <v>-9.9000000000000008E-3</v>
      </c>
    </row>
    <row r="1454" spans="1:13" x14ac:dyDescent="0.2">
      <c r="A1454" s="6">
        <v>46065</v>
      </c>
      <c r="B1454" s="2" t="s">
        <v>227</v>
      </c>
      <c r="C1454" s="5">
        <v>46054</v>
      </c>
      <c r="D1454" s="2" t="s">
        <v>199</v>
      </c>
      <c r="E1454" s="3">
        <v>3266</v>
      </c>
      <c r="F1454" s="8">
        <v>3.4544000000000001</v>
      </c>
      <c r="G1454" s="4">
        <v>434.49119999999999</v>
      </c>
      <c r="H1454" s="4">
        <v>1192.3339000000001</v>
      </c>
      <c r="I1454" s="4">
        <v>11.547499999999999</v>
      </c>
      <c r="J1454" s="4">
        <v>12.1075</v>
      </c>
      <c r="K1454" s="4">
        <v>10.8475</v>
      </c>
      <c r="L1454" s="4">
        <v>11.73</v>
      </c>
      <c r="M1454" s="7">
        <v>1.5800000000000002E-2</v>
      </c>
    </row>
    <row r="1455" spans="1:13" x14ac:dyDescent="0.2">
      <c r="A1455" s="6">
        <v>46066</v>
      </c>
      <c r="B1455" s="2" t="s">
        <v>225</v>
      </c>
      <c r="C1455" s="5">
        <v>46054</v>
      </c>
      <c r="D1455" s="2" t="s">
        <v>199</v>
      </c>
      <c r="E1455" s="3">
        <v>3250</v>
      </c>
      <c r="F1455" s="8">
        <v>3.6537999999999999</v>
      </c>
      <c r="G1455" s="4">
        <v>457.25040000000001</v>
      </c>
      <c r="H1455" s="4">
        <v>1235.9944</v>
      </c>
      <c r="I1455" s="4">
        <v>11.725</v>
      </c>
      <c r="J1455" s="4">
        <v>13.5825</v>
      </c>
      <c r="K1455" s="4">
        <v>10.9625</v>
      </c>
      <c r="L1455" s="4">
        <v>13.29</v>
      </c>
      <c r="M1455" s="7">
        <v>0.13350000000000001</v>
      </c>
    </row>
    <row r="1456" spans="1:13" x14ac:dyDescent="0.2">
      <c r="A1456" s="6">
        <v>46069</v>
      </c>
      <c r="B1456" s="2" t="s">
        <v>228</v>
      </c>
      <c r="C1456" s="5">
        <v>46054</v>
      </c>
      <c r="D1456" s="2" t="s">
        <v>199</v>
      </c>
      <c r="E1456" s="3">
        <v>3270</v>
      </c>
      <c r="F1456" s="8">
        <v>2.9645000000000001</v>
      </c>
      <c r="G1456" s="4">
        <v>392.15780000000001</v>
      </c>
      <c r="H1456" s="4">
        <v>894.36360000000002</v>
      </c>
      <c r="I1456" s="4">
        <v>13.2925</v>
      </c>
      <c r="J1456" s="4">
        <v>13.8325</v>
      </c>
      <c r="K1456" s="4">
        <v>13.234999999999999</v>
      </c>
      <c r="L1456" s="4">
        <v>13.33</v>
      </c>
      <c r="M1456" s="7">
        <v>2.8E-3</v>
      </c>
    </row>
    <row r="1457" spans="1:13" x14ac:dyDescent="0.2">
      <c r="A1457" s="6">
        <v>46070</v>
      </c>
      <c r="B1457" s="2" t="s">
        <v>226</v>
      </c>
      <c r="C1457" s="5">
        <v>46054</v>
      </c>
      <c r="D1457" s="2" t="s">
        <v>199</v>
      </c>
      <c r="E1457" s="3">
        <v>3255</v>
      </c>
      <c r="F1457" s="8">
        <v>2.948</v>
      </c>
      <c r="G1457" s="4">
        <v>456.71120000000002</v>
      </c>
      <c r="H1457" s="4">
        <v>956.90629999999999</v>
      </c>
      <c r="I1457" s="4">
        <v>13.33</v>
      </c>
      <c r="J1457" s="4">
        <v>13.477499999999999</v>
      </c>
      <c r="K1457" s="4">
        <v>11.625</v>
      </c>
      <c r="L1457" s="4">
        <v>12.67</v>
      </c>
      <c r="M1457" s="7">
        <v>-4.9500000000000002E-2</v>
      </c>
    </row>
    <row r="1458" spans="1:13" x14ac:dyDescent="0.2">
      <c r="A1458" s="6">
        <v>46071</v>
      </c>
      <c r="B1458" s="2" t="s">
        <v>224</v>
      </c>
      <c r="C1458" s="5">
        <v>46054</v>
      </c>
      <c r="D1458" s="2" t="s">
        <v>199</v>
      </c>
      <c r="E1458" s="3">
        <v>3285</v>
      </c>
      <c r="F1458" s="8">
        <v>2.8397000000000001</v>
      </c>
      <c r="G1458" s="4">
        <v>455.21929999999998</v>
      </c>
      <c r="H1458" s="4">
        <v>927.68409999999994</v>
      </c>
      <c r="I1458" s="4">
        <v>12.672499999999999</v>
      </c>
      <c r="J1458" s="4">
        <v>12.7675</v>
      </c>
      <c r="K1458" s="4">
        <v>11.352499999999999</v>
      </c>
      <c r="L1458" s="4">
        <v>12.22</v>
      </c>
      <c r="M1458" s="7">
        <v>-3.5700000000000003E-2</v>
      </c>
    </row>
    <row r="1459" spans="1:13" x14ac:dyDescent="0.2">
      <c r="A1459" s="6">
        <v>46072</v>
      </c>
      <c r="B1459" s="2" t="s">
        <v>227</v>
      </c>
      <c r="C1459" s="5">
        <v>46054</v>
      </c>
      <c r="D1459" s="2" t="s">
        <v>199</v>
      </c>
      <c r="E1459" s="3">
        <v>3254</v>
      </c>
      <c r="F1459" s="8">
        <v>2.8073999999999999</v>
      </c>
      <c r="G1459" s="4">
        <v>374.40370000000001</v>
      </c>
      <c r="H1459" s="4">
        <v>938.11519999999996</v>
      </c>
      <c r="I1459" s="4">
        <v>12.2225</v>
      </c>
      <c r="J1459" s="4">
        <v>13.68</v>
      </c>
      <c r="K1459" s="4">
        <v>9.73</v>
      </c>
      <c r="L1459" s="4">
        <v>13.46</v>
      </c>
      <c r="M1459" s="7">
        <v>0.1012</v>
      </c>
    </row>
    <row r="1460" spans="1:13" x14ac:dyDescent="0.2">
      <c r="A1460" s="6">
        <v>46073</v>
      </c>
      <c r="B1460" s="2" t="s">
        <v>225</v>
      </c>
      <c r="C1460" s="5">
        <v>46054</v>
      </c>
      <c r="D1460" s="2" t="s">
        <v>199</v>
      </c>
      <c r="E1460" s="3">
        <v>3255</v>
      </c>
      <c r="F1460" s="8">
        <v>2.7170000000000001</v>
      </c>
      <c r="G1460" s="4">
        <v>350.98329999999999</v>
      </c>
      <c r="H1460" s="4">
        <v>926.43790000000001</v>
      </c>
      <c r="I1460" s="4">
        <v>13.46</v>
      </c>
      <c r="J1460" s="4">
        <v>14.782500000000001</v>
      </c>
      <c r="K1460" s="4">
        <v>13.095000000000001</v>
      </c>
      <c r="L1460" s="4">
        <v>14.36</v>
      </c>
      <c r="M1460" s="7">
        <v>6.6900000000000001E-2</v>
      </c>
    </row>
    <row r="1461" spans="1:13" x14ac:dyDescent="0.2">
      <c r="A1461" s="6">
        <v>46076</v>
      </c>
      <c r="B1461" s="2" t="s">
        <v>228</v>
      </c>
      <c r="C1461" s="5">
        <v>46054</v>
      </c>
      <c r="D1461" s="2" t="s">
        <v>199</v>
      </c>
      <c r="E1461" s="3">
        <v>3288</v>
      </c>
      <c r="F1461" s="8">
        <v>3.1052</v>
      </c>
      <c r="G1461" s="4">
        <v>491.24950000000001</v>
      </c>
      <c r="H1461" s="4">
        <v>1010.5248</v>
      </c>
      <c r="I1461" s="4">
        <v>14.362500000000001</v>
      </c>
      <c r="J1461" s="4">
        <v>14.477499999999999</v>
      </c>
      <c r="K1461" s="4">
        <v>12.772500000000001</v>
      </c>
      <c r="L1461" s="4">
        <v>14.17</v>
      </c>
      <c r="M1461" s="7">
        <v>-1.34E-2</v>
      </c>
    </row>
    <row r="1462" spans="1:13" x14ac:dyDescent="0.2">
      <c r="A1462" s="6">
        <v>46077</v>
      </c>
      <c r="B1462" s="2" t="s">
        <v>226</v>
      </c>
      <c r="C1462" s="5">
        <v>46054</v>
      </c>
      <c r="D1462" s="2" t="s">
        <v>199</v>
      </c>
      <c r="E1462" s="3">
        <v>3279</v>
      </c>
      <c r="F1462" s="8">
        <v>3.2471999999999999</v>
      </c>
      <c r="G1462" s="4">
        <v>492.24900000000002</v>
      </c>
      <c r="H1462" s="4">
        <v>1130.046</v>
      </c>
      <c r="I1462" s="4">
        <v>14.1675</v>
      </c>
      <c r="J1462" s="4">
        <v>14.9475</v>
      </c>
      <c r="K1462" s="4">
        <v>12.3475</v>
      </c>
      <c r="L1462" s="4">
        <v>14.15</v>
      </c>
      <c r="M1462" s="7">
        <v>-1.1999999999999999E-3</v>
      </c>
    </row>
    <row r="1463" spans="1:13" x14ac:dyDescent="0.2">
      <c r="A1463" s="6">
        <v>46078</v>
      </c>
      <c r="B1463" s="2" t="s">
        <v>224</v>
      </c>
      <c r="C1463" s="5">
        <v>46054</v>
      </c>
      <c r="D1463" s="2" t="s">
        <v>199</v>
      </c>
      <c r="E1463" s="3">
        <v>3291</v>
      </c>
      <c r="F1463" s="8">
        <v>3.1214</v>
      </c>
      <c r="G1463" s="4">
        <v>410.55840000000001</v>
      </c>
      <c r="H1463" s="4">
        <v>1085.0378000000001</v>
      </c>
      <c r="I1463" s="4">
        <v>14.15</v>
      </c>
      <c r="J1463" s="4">
        <v>14.15</v>
      </c>
      <c r="K1463" s="4">
        <v>12.8375</v>
      </c>
      <c r="L1463" s="4">
        <v>13.49</v>
      </c>
      <c r="M1463" s="7">
        <v>-4.6600000000000003E-2</v>
      </c>
    </row>
    <row r="1464" spans="1:13" x14ac:dyDescent="0.2">
      <c r="A1464" s="6">
        <v>46079</v>
      </c>
      <c r="B1464" s="2" t="s">
        <v>227</v>
      </c>
      <c r="C1464" s="5">
        <v>46054</v>
      </c>
      <c r="D1464" s="2" t="s">
        <v>199</v>
      </c>
      <c r="E1464" s="3">
        <v>3265</v>
      </c>
      <c r="F1464" s="8">
        <v>3.0748000000000002</v>
      </c>
      <c r="G1464" s="4">
        <v>451.82339999999999</v>
      </c>
      <c r="H1464" s="4">
        <v>1086.6576</v>
      </c>
      <c r="I1464" s="4">
        <v>13.487500000000001</v>
      </c>
      <c r="J1464" s="4">
        <v>13.605</v>
      </c>
      <c r="K1464" s="4">
        <v>11.8125</v>
      </c>
      <c r="L1464" s="4">
        <v>13.06</v>
      </c>
      <c r="M1464" s="7">
        <v>-3.1699999999999999E-2</v>
      </c>
    </row>
    <row r="1465" spans="1:13" x14ac:dyDescent="0.2">
      <c r="A1465" s="6">
        <v>46080</v>
      </c>
      <c r="B1465" s="2" t="s">
        <v>225</v>
      </c>
      <c r="C1465" s="5">
        <v>46054</v>
      </c>
      <c r="D1465" s="2" t="s">
        <v>199</v>
      </c>
      <c r="E1465" s="3">
        <v>3243</v>
      </c>
      <c r="F1465" s="8">
        <v>3.4268999999999998</v>
      </c>
      <c r="G1465" s="4">
        <v>545.41880000000003</v>
      </c>
      <c r="H1465" s="4">
        <v>1449.6274000000001</v>
      </c>
      <c r="I1465" s="4">
        <v>13.0625</v>
      </c>
      <c r="J1465" s="4">
        <v>14.035</v>
      </c>
      <c r="K1465" s="4">
        <v>11.2</v>
      </c>
      <c r="L1465" s="4">
        <v>13.7</v>
      </c>
      <c r="M1465" s="7">
        <v>4.8800000000000003E-2</v>
      </c>
    </row>
    <row r="1466" spans="1:13" x14ac:dyDescent="0.2">
      <c r="A1466" s="6">
        <v>46083</v>
      </c>
      <c r="B1466" s="2" t="s">
        <v>228</v>
      </c>
      <c r="C1466" s="5">
        <v>46082</v>
      </c>
      <c r="D1466" s="2" t="s">
        <v>199</v>
      </c>
      <c r="E1466" s="3">
        <v>3304</v>
      </c>
      <c r="F1466" s="8">
        <v>4.2816000000000001</v>
      </c>
      <c r="G1466" s="4">
        <v>618.7002</v>
      </c>
      <c r="H1466" s="4">
        <v>1353.7272</v>
      </c>
      <c r="I1466" s="4">
        <v>13.702500000000001</v>
      </c>
      <c r="J1466" s="4">
        <v>17.8125</v>
      </c>
      <c r="K1466" s="4">
        <v>12.824999999999999</v>
      </c>
      <c r="L1466" s="4">
        <v>17.13</v>
      </c>
      <c r="M1466" s="7">
        <v>0.25009999999999999</v>
      </c>
    </row>
    <row r="1467" spans="1:13" x14ac:dyDescent="0.2">
      <c r="A1467" s="6">
        <v>46085</v>
      </c>
      <c r="B1467" s="2" t="s">
        <v>224</v>
      </c>
      <c r="C1467" s="5">
        <v>46082</v>
      </c>
      <c r="D1467" s="2" t="s">
        <v>199</v>
      </c>
      <c r="E1467" s="3">
        <v>3346</v>
      </c>
      <c r="F1467" s="8">
        <v>4.5564</v>
      </c>
      <c r="G1467" s="4">
        <v>585.57380000000001</v>
      </c>
      <c r="H1467" s="4">
        <v>1409.5435</v>
      </c>
      <c r="I1467" s="4">
        <v>17.13</v>
      </c>
      <c r="J1467" s="4">
        <v>21.3675</v>
      </c>
      <c r="K1467" s="4">
        <v>16.967500000000001</v>
      </c>
      <c r="L1467" s="4">
        <v>21.14</v>
      </c>
      <c r="M1467" s="7">
        <v>0.2341</v>
      </c>
    </row>
    <row r="1468" spans="1:13" x14ac:dyDescent="0.2">
      <c r="A1468" s="6">
        <v>46086</v>
      </c>
      <c r="B1468" s="2" t="s">
        <v>227</v>
      </c>
      <c r="C1468" s="5">
        <v>46082</v>
      </c>
      <c r="D1468" s="2" t="s">
        <v>199</v>
      </c>
      <c r="E1468" s="3">
        <v>3341</v>
      </c>
      <c r="F1468" s="8">
        <v>3.7648000000000001</v>
      </c>
      <c r="G1468" s="4">
        <v>492.99990000000003</v>
      </c>
      <c r="H1468" s="4">
        <v>1240.2264</v>
      </c>
      <c r="I1468" s="4">
        <v>21.14</v>
      </c>
      <c r="J1468" s="4">
        <v>21.14</v>
      </c>
      <c r="K1468" s="4">
        <v>17.302499999999998</v>
      </c>
      <c r="L1468" s="4">
        <v>17.86</v>
      </c>
      <c r="M1468" s="7">
        <v>-0.1552</v>
      </c>
    </row>
    <row r="1469" spans="1:13" x14ac:dyDescent="0.2">
      <c r="A1469" s="6">
        <v>46087</v>
      </c>
      <c r="B1469" s="2" t="s">
        <v>225</v>
      </c>
      <c r="C1469" s="5">
        <v>46082</v>
      </c>
      <c r="D1469" s="2" t="s">
        <v>199</v>
      </c>
      <c r="E1469" s="3">
        <v>3303</v>
      </c>
      <c r="F1469" s="8">
        <v>3.3502999999999998</v>
      </c>
      <c r="G1469" s="4">
        <v>408.33390000000003</v>
      </c>
      <c r="H1469" s="4">
        <v>1105.5418999999999</v>
      </c>
      <c r="I1469" s="4">
        <v>17.857500000000002</v>
      </c>
      <c r="J1469" s="4">
        <v>20.142499999999998</v>
      </c>
      <c r="K1469" s="4">
        <v>17.197500000000002</v>
      </c>
      <c r="L1469" s="4">
        <v>19.88</v>
      </c>
      <c r="M1469" s="7">
        <v>0.1133</v>
      </c>
    </row>
    <row r="1470" spans="1:13" x14ac:dyDescent="0.2">
      <c r="A1470" s="6">
        <v>46090</v>
      </c>
      <c r="B1470" s="2" t="s">
        <v>228</v>
      </c>
      <c r="C1470" s="5">
        <v>46082</v>
      </c>
      <c r="D1470" s="2" t="s">
        <v>199</v>
      </c>
      <c r="E1470" s="3">
        <v>3379</v>
      </c>
      <c r="F1470" s="8">
        <v>4.0126999999999997</v>
      </c>
      <c r="G1470" s="4">
        <v>470.9597</v>
      </c>
      <c r="H1470" s="4">
        <v>1165.9557</v>
      </c>
      <c r="I1470" s="4">
        <v>19.88</v>
      </c>
      <c r="J1470" s="4">
        <v>24.4925</v>
      </c>
      <c r="K1470" s="4">
        <v>19.217500000000001</v>
      </c>
      <c r="L1470" s="4">
        <v>23.36</v>
      </c>
      <c r="M1470" s="7">
        <v>0.17510000000000001</v>
      </c>
    </row>
    <row r="1471" spans="1:13" x14ac:dyDescent="0.2">
      <c r="A1471" s="6">
        <v>46091</v>
      </c>
      <c r="B1471" s="2" t="s">
        <v>226</v>
      </c>
      <c r="C1471" s="5">
        <v>46082</v>
      </c>
      <c r="D1471" s="2" t="s">
        <v>199</v>
      </c>
      <c r="E1471" s="3">
        <v>3312</v>
      </c>
      <c r="F1471" s="8">
        <v>3.5186000000000002</v>
      </c>
      <c r="G1471" s="4">
        <v>445.57139999999998</v>
      </c>
      <c r="H1471" s="4">
        <v>1142.7982999999999</v>
      </c>
      <c r="I1471" s="4">
        <v>23.362500000000001</v>
      </c>
      <c r="J1471" s="4">
        <v>23.362500000000001</v>
      </c>
      <c r="K1471" s="4">
        <v>18.7775</v>
      </c>
      <c r="L1471" s="4">
        <v>18.91</v>
      </c>
      <c r="M1471" s="7">
        <v>-0.19059999999999999</v>
      </c>
    </row>
    <row r="1472" spans="1:13" x14ac:dyDescent="0.2">
      <c r="A1472" s="6">
        <v>46092</v>
      </c>
      <c r="B1472" s="2" t="s">
        <v>224</v>
      </c>
      <c r="C1472" s="5">
        <v>46082</v>
      </c>
      <c r="D1472" s="2" t="s">
        <v>199</v>
      </c>
      <c r="E1472" s="3">
        <v>3306</v>
      </c>
      <c r="F1472" s="8">
        <v>3.61</v>
      </c>
      <c r="G1472" s="4">
        <v>434.25850000000003</v>
      </c>
      <c r="H1472" s="4">
        <v>1103.2530999999999</v>
      </c>
      <c r="I1472" s="4">
        <v>18.905000000000001</v>
      </c>
      <c r="J1472" s="4">
        <v>21.385000000000002</v>
      </c>
      <c r="K1472" s="4">
        <v>17.239999999999998</v>
      </c>
      <c r="L1472" s="4">
        <v>21.06</v>
      </c>
      <c r="M1472" s="7">
        <v>0.114</v>
      </c>
    </row>
    <row r="1473" spans="1:13" x14ac:dyDescent="0.2">
      <c r="A1473" s="6">
        <v>46093</v>
      </c>
      <c r="B1473" s="2" t="s">
        <v>227</v>
      </c>
      <c r="C1473" s="5">
        <v>46082</v>
      </c>
      <c r="D1473" s="2" t="s">
        <v>199</v>
      </c>
      <c r="E1473" s="3">
        <v>3313</v>
      </c>
      <c r="F1473" s="8">
        <v>4.0117000000000003</v>
      </c>
      <c r="G1473" s="4">
        <v>503.48450000000003</v>
      </c>
      <c r="H1473" s="4">
        <v>1238.9141</v>
      </c>
      <c r="I1473" s="4">
        <v>21.0625</v>
      </c>
      <c r="J1473" s="4">
        <v>22.355</v>
      </c>
      <c r="K1473" s="4">
        <v>20.822500000000002</v>
      </c>
      <c r="L1473" s="4">
        <v>21.52</v>
      </c>
      <c r="M1473" s="7">
        <v>2.1700000000000001E-2</v>
      </c>
    </row>
    <row r="1474" spans="1:13" x14ac:dyDescent="0.2">
      <c r="A1474" s="6">
        <v>46094</v>
      </c>
      <c r="B1474" s="2" t="s">
        <v>225</v>
      </c>
      <c r="C1474" s="5">
        <v>46082</v>
      </c>
      <c r="D1474" s="2" t="s">
        <v>199</v>
      </c>
      <c r="E1474" s="3">
        <v>3325</v>
      </c>
      <c r="F1474" s="8">
        <v>4.1353999999999997</v>
      </c>
      <c r="G1474" s="4">
        <v>527.08040000000005</v>
      </c>
      <c r="H1474" s="4">
        <v>1215.4753000000001</v>
      </c>
      <c r="I1474" s="4">
        <v>21.517499999999998</v>
      </c>
      <c r="J1474" s="4">
        <v>22.8825</v>
      </c>
      <c r="K1474" s="4">
        <v>21.247499999999999</v>
      </c>
      <c r="L1474" s="4">
        <v>22.65</v>
      </c>
      <c r="M1474" s="7">
        <v>5.2600000000000001E-2</v>
      </c>
    </row>
    <row r="1475" spans="1:13" x14ac:dyDescent="0.2">
      <c r="A1475" s="6">
        <v>46097</v>
      </c>
      <c r="B1475" s="2" t="s">
        <v>228</v>
      </c>
      <c r="C1475" s="5">
        <v>46082</v>
      </c>
      <c r="D1475" s="2" t="s">
        <v>199</v>
      </c>
      <c r="E1475" s="3">
        <v>3378</v>
      </c>
      <c r="F1475" s="8">
        <v>4.1357999999999997</v>
      </c>
      <c r="G1475" s="4">
        <v>548.79880000000003</v>
      </c>
      <c r="H1475" s="4">
        <v>1249.2428</v>
      </c>
      <c r="I1475" s="4">
        <v>22.645</v>
      </c>
      <c r="J1475" s="4">
        <v>22.875</v>
      </c>
      <c r="K1475" s="4">
        <v>19.82</v>
      </c>
      <c r="L1475" s="4">
        <v>21.6</v>
      </c>
      <c r="M1475" s="7">
        <v>-4.6100000000000002E-2</v>
      </c>
    </row>
    <row r="1476" spans="1:13" x14ac:dyDescent="0.2">
      <c r="A1476" s="6">
        <v>46098</v>
      </c>
      <c r="B1476" s="2" t="s">
        <v>226</v>
      </c>
      <c r="C1476" s="5">
        <v>46082</v>
      </c>
      <c r="D1476" s="2" t="s">
        <v>199</v>
      </c>
      <c r="E1476" s="3">
        <v>3331</v>
      </c>
      <c r="F1476" s="8">
        <v>3.5943000000000001</v>
      </c>
      <c r="G1476" s="4">
        <v>450.17619999999999</v>
      </c>
      <c r="H1476" s="4">
        <v>1070.8339000000001</v>
      </c>
      <c r="I1476" s="4">
        <v>21.602499999999999</v>
      </c>
      <c r="J1476" s="4">
        <v>21.602499999999999</v>
      </c>
      <c r="K1476" s="4">
        <v>19.627500000000001</v>
      </c>
      <c r="L1476" s="4">
        <v>19.79</v>
      </c>
      <c r="M1476" s="7">
        <v>-8.3900000000000002E-2</v>
      </c>
    </row>
    <row r="1477" spans="1:13" x14ac:dyDescent="0.2">
      <c r="A1477" s="6">
        <v>46099</v>
      </c>
      <c r="B1477" s="2" t="s">
        <v>224</v>
      </c>
      <c r="C1477" s="5">
        <v>46082</v>
      </c>
      <c r="D1477" s="2" t="s">
        <v>199</v>
      </c>
      <c r="E1477" s="3">
        <v>3340</v>
      </c>
      <c r="F1477" s="8">
        <v>3.5543</v>
      </c>
      <c r="G1477" s="4">
        <v>496.97410000000002</v>
      </c>
      <c r="H1477" s="4">
        <v>1075.4168999999999</v>
      </c>
      <c r="I1477" s="4">
        <v>19.79</v>
      </c>
      <c r="J1477" s="4">
        <v>19.79</v>
      </c>
      <c r="K1477" s="4">
        <v>18.592500000000001</v>
      </c>
      <c r="L1477" s="4">
        <v>18.72</v>
      </c>
      <c r="M1477" s="7">
        <v>-5.4100000000000002E-2</v>
      </c>
    </row>
    <row r="1478" spans="1:13" x14ac:dyDescent="0.2">
      <c r="A1478" s="6">
        <v>46100</v>
      </c>
      <c r="B1478" s="2" t="s">
        <v>227</v>
      </c>
      <c r="C1478" s="5">
        <v>46082</v>
      </c>
      <c r="D1478" s="2" t="s">
        <v>199</v>
      </c>
      <c r="E1478" s="3">
        <v>3312</v>
      </c>
      <c r="F1478" s="8">
        <v>3.6240999999999999</v>
      </c>
      <c r="G1478" s="4">
        <v>551.21360000000004</v>
      </c>
      <c r="H1478" s="4">
        <v>1120.9306999999999</v>
      </c>
      <c r="I1478" s="4">
        <v>18.7225</v>
      </c>
      <c r="J1478" s="4">
        <v>23.195</v>
      </c>
      <c r="K1478" s="4">
        <v>18.7225</v>
      </c>
      <c r="L1478" s="4">
        <v>22.8</v>
      </c>
      <c r="M1478" s="7">
        <v>0.21779999999999999</v>
      </c>
    </row>
    <row r="1479" spans="1:13" x14ac:dyDescent="0.2">
      <c r="A1479" s="6">
        <v>46101</v>
      </c>
      <c r="B1479" s="2" t="s">
        <v>225</v>
      </c>
      <c r="C1479" s="5">
        <v>46082</v>
      </c>
      <c r="D1479" s="2" t="s">
        <v>199</v>
      </c>
      <c r="E1479" s="3">
        <v>3328</v>
      </c>
      <c r="F1479" s="8">
        <v>3.7214999999999998</v>
      </c>
      <c r="G1479" s="4">
        <v>586.50750000000005</v>
      </c>
      <c r="H1479" s="4">
        <v>1402.2816</v>
      </c>
      <c r="I1479" s="4">
        <v>22.802499999999998</v>
      </c>
      <c r="J1479" s="4">
        <v>23.137499999999999</v>
      </c>
      <c r="K1479" s="4">
        <v>21.684999999999999</v>
      </c>
      <c r="L1479" s="4">
        <v>22.81</v>
      </c>
      <c r="M1479" s="7">
        <v>2.9999999999999997E-4</v>
      </c>
    </row>
    <row r="1480" spans="1:13" x14ac:dyDescent="0.2">
      <c r="A1480" s="6">
        <v>46104</v>
      </c>
      <c r="B1480" s="2" t="s">
        <v>228</v>
      </c>
      <c r="C1480" s="5">
        <v>46082</v>
      </c>
      <c r="D1480" s="2" t="s">
        <v>199</v>
      </c>
      <c r="E1480" s="3">
        <v>3427</v>
      </c>
      <c r="F1480" s="8">
        <v>4.6078000000000001</v>
      </c>
      <c r="G1480" s="4">
        <v>672.23779999999999</v>
      </c>
      <c r="H1480" s="4">
        <v>1304.3771999999999</v>
      </c>
      <c r="I1480" s="4">
        <v>22.8125</v>
      </c>
      <c r="J1480" s="4">
        <v>27.172499999999999</v>
      </c>
      <c r="K1480" s="4">
        <v>22.8125</v>
      </c>
      <c r="L1480" s="4">
        <v>26.73</v>
      </c>
      <c r="M1480" s="7">
        <v>0.17169999999999999</v>
      </c>
    </row>
    <row r="1481" spans="1:13" x14ac:dyDescent="0.2">
      <c r="A1481" s="6">
        <v>46105</v>
      </c>
      <c r="B1481" s="2" t="s">
        <v>226</v>
      </c>
      <c r="C1481" s="5">
        <v>46082</v>
      </c>
      <c r="D1481" s="2" t="s">
        <v>199</v>
      </c>
      <c r="E1481" s="3">
        <v>3374</v>
      </c>
      <c r="F1481" s="8">
        <v>3.9719000000000002</v>
      </c>
      <c r="G1481" s="4">
        <v>563.39250000000004</v>
      </c>
      <c r="H1481" s="4">
        <v>1280.6796999999999</v>
      </c>
      <c r="I1481" s="4">
        <v>26.73</v>
      </c>
      <c r="J1481" s="4">
        <v>26.73</v>
      </c>
      <c r="K1481" s="4">
        <v>24.63</v>
      </c>
      <c r="L1481" s="4">
        <v>24.74</v>
      </c>
      <c r="M1481" s="7">
        <v>-7.4399999999999994E-2</v>
      </c>
    </row>
    <row r="1482" spans="1:13" x14ac:dyDescent="0.2">
      <c r="A1482" s="6">
        <v>46106</v>
      </c>
      <c r="B1482" s="2" t="s">
        <v>224</v>
      </c>
      <c r="C1482" s="5">
        <v>46082</v>
      </c>
      <c r="D1482" s="2" t="s">
        <v>199</v>
      </c>
      <c r="E1482" s="3">
        <v>3373</v>
      </c>
      <c r="F1482" s="8">
        <v>3.9729999999999999</v>
      </c>
      <c r="G1482" s="4">
        <v>547.49959999999999</v>
      </c>
      <c r="H1482" s="4">
        <v>1263.1442999999999</v>
      </c>
      <c r="I1482" s="4">
        <v>24.74</v>
      </c>
      <c r="J1482" s="4">
        <v>25.23</v>
      </c>
      <c r="K1482" s="4">
        <v>24.135000000000002</v>
      </c>
      <c r="L1482" s="4">
        <v>24.64</v>
      </c>
      <c r="M1482" s="7">
        <v>-4.0000000000000001E-3</v>
      </c>
    </row>
    <row r="1483" spans="1:13" x14ac:dyDescent="0.2">
      <c r="A1483" s="6">
        <v>46108</v>
      </c>
      <c r="B1483" s="2" t="s">
        <v>225</v>
      </c>
      <c r="C1483" s="5">
        <v>46082</v>
      </c>
      <c r="D1483" s="2" t="s">
        <v>199</v>
      </c>
      <c r="E1483" s="3">
        <v>3393</v>
      </c>
      <c r="F1483" s="8">
        <v>4.8815</v>
      </c>
      <c r="G1483" s="4">
        <v>665.83130000000006</v>
      </c>
      <c r="H1483" s="4">
        <v>1571.0781999999999</v>
      </c>
      <c r="I1483" s="4">
        <v>24.64</v>
      </c>
      <c r="J1483" s="4">
        <v>27.087499999999999</v>
      </c>
      <c r="K1483" s="4">
        <v>23.385000000000002</v>
      </c>
      <c r="L1483" s="4">
        <v>26.8</v>
      </c>
      <c r="M1483" s="7">
        <v>8.77E-2</v>
      </c>
    </row>
    <row r="1484" spans="1:13" x14ac:dyDescent="0.2">
      <c r="A1484" s="6">
        <v>46111</v>
      </c>
      <c r="B1484" s="2" t="s">
        <v>228</v>
      </c>
      <c r="C1484" s="5">
        <v>46082</v>
      </c>
      <c r="D1484" s="2" t="s">
        <v>199</v>
      </c>
      <c r="E1484" s="3">
        <v>3418</v>
      </c>
      <c r="F1484" s="8">
        <v>4.5481999999999996</v>
      </c>
      <c r="G1484" s="4">
        <v>647.40610000000004</v>
      </c>
      <c r="H1484" s="4">
        <v>1468.6359</v>
      </c>
      <c r="I1484" s="4">
        <v>26.802499999999998</v>
      </c>
      <c r="J1484" s="4">
        <v>28.907499999999999</v>
      </c>
      <c r="K1484" s="4">
        <v>26.802499999999998</v>
      </c>
      <c r="L1484" s="4">
        <v>27.89</v>
      </c>
      <c r="M1484" s="7">
        <v>4.0599999999999997E-2</v>
      </c>
    </row>
    <row r="1485" spans="1:13" x14ac:dyDescent="0.2">
      <c r="A1485" s="6">
        <v>46113</v>
      </c>
      <c r="B1485" s="2" t="s">
        <v>224</v>
      </c>
      <c r="C1485" s="5">
        <v>46113</v>
      </c>
      <c r="D1485" s="2" t="s">
        <v>200</v>
      </c>
      <c r="E1485" s="3">
        <v>3326</v>
      </c>
      <c r="F1485" s="8">
        <v>3.8449</v>
      </c>
      <c r="G1485" s="4">
        <v>541.75390000000004</v>
      </c>
      <c r="H1485" s="4">
        <v>1272.4223999999999</v>
      </c>
      <c r="I1485" s="4">
        <v>27.887499999999999</v>
      </c>
      <c r="J1485" s="4">
        <v>27.887499999999999</v>
      </c>
      <c r="K1485" s="4">
        <v>23.647500000000001</v>
      </c>
      <c r="L1485" s="4">
        <v>25.01</v>
      </c>
      <c r="M1485" s="7">
        <v>-0.1032</v>
      </c>
    </row>
    <row r="1486" spans="1:13" x14ac:dyDescent="0.2">
      <c r="A1486" s="6">
        <v>46114</v>
      </c>
      <c r="B1486" s="2" t="s">
        <v>227</v>
      </c>
      <c r="C1486" s="5">
        <v>46113</v>
      </c>
      <c r="D1486" s="2" t="s">
        <v>200</v>
      </c>
      <c r="E1486" s="3">
        <v>3313</v>
      </c>
      <c r="F1486" s="8">
        <v>3.7187000000000001</v>
      </c>
      <c r="G1486" s="4">
        <v>549.19870000000003</v>
      </c>
      <c r="H1486" s="4">
        <v>1170.9005999999999</v>
      </c>
      <c r="I1486" s="4">
        <v>25.01</v>
      </c>
      <c r="J1486" s="4">
        <v>26.594999999999999</v>
      </c>
      <c r="K1486" s="4">
        <v>25.01</v>
      </c>
      <c r="L1486" s="4">
        <v>25.52</v>
      </c>
      <c r="M1486" s="7">
        <v>2.0400000000000001E-2</v>
      </c>
    </row>
    <row r="1487" spans="1:13" x14ac:dyDescent="0.2">
      <c r="A1487" s="6">
        <v>46118</v>
      </c>
      <c r="B1487" s="2" t="s">
        <v>228</v>
      </c>
      <c r="C1487" s="5">
        <v>46113</v>
      </c>
      <c r="D1487" s="2" t="s">
        <v>200</v>
      </c>
      <c r="E1487" s="3">
        <v>3350</v>
      </c>
      <c r="F1487" s="8">
        <v>3.6150000000000002</v>
      </c>
      <c r="G1487" s="4">
        <v>513.68700000000001</v>
      </c>
      <c r="H1487" s="4">
        <v>1161.1539</v>
      </c>
      <c r="I1487" s="4">
        <v>25.52</v>
      </c>
      <c r="J1487" s="4">
        <v>26.56</v>
      </c>
      <c r="K1487" s="4">
        <v>25.0825</v>
      </c>
      <c r="L1487" s="4">
        <v>25.47</v>
      </c>
      <c r="M1487" s="7">
        <v>-2E-3</v>
      </c>
    </row>
    <row r="1488" spans="1:13" x14ac:dyDescent="0.2">
      <c r="A1488" s="6">
        <v>46119</v>
      </c>
      <c r="B1488" s="2" t="s">
        <v>226</v>
      </c>
      <c r="C1488" s="5">
        <v>46113</v>
      </c>
      <c r="D1488" s="2" t="s">
        <v>200</v>
      </c>
      <c r="E1488" s="3">
        <v>3317</v>
      </c>
      <c r="F1488" s="8">
        <v>3.2576000000000001</v>
      </c>
      <c r="G1488" s="4">
        <v>421.89670000000001</v>
      </c>
      <c r="H1488" s="4">
        <v>1104.6189999999999</v>
      </c>
      <c r="I1488" s="4">
        <v>25.467500000000001</v>
      </c>
      <c r="J1488" s="4">
        <v>26.254999999999999</v>
      </c>
      <c r="K1488" s="4">
        <v>24.545000000000002</v>
      </c>
      <c r="L1488" s="4">
        <v>24.7</v>
      </c>
      <c r="M1488" s="7">
        <v>-3.0099999999999998E-2</v>
      </c>
    </row>
    <row r="1489" spans="1:13" x14ac:dyDescent="0.2">
      <c r="A1489" s="6">
        <v>46120</v>
      </c>
      <c r="B1489" s="2" t="s">
        <v>224</v>
      </c>
      <c r="C1489" s="5">
        <v>46113</v>
      </c>
      <c r="D1489" s="2" t="s">
        <v>200</v>
      </c>
      <c r="E1489" s="3">
        <v>3376</v>
      </c>
      <c r="F1489" s="8">
        <v>4.3018000000000001</v>
      </c>
      <c r="G1489" s="4">
        <v>683.17089999999996</v>
      </c>
      <c r="H1489" s="4">
        <v>1659.2619</v>
      </c>
      <c r="I1489" s="4">
        <v>24.695</v>
      </c>
      <c r="J1489" s="4">
        <v>24.695</v>
      </c>
      <c r="K1489" s="4">
        <v>19.305</v>
      </c>
      <c r="L1489" s="4">
        <v>19.7</v>
      </c>
      <c r="M1489" s="7">
        <v>-0.20230000000000001</v>
      </c>
    </row>
    <row r="1490" spans="1:13" x14ac:dyDescent="0.2">
      <c r="A1490" s="6">
        <v>46121</v>
      </c>
      <c r="B1490" s="2" t="s">
        <v>227</v>
      </c>
      <c r="C1490" s="5">
        <v>46113</v>
      </c>
      <c r="D1490" s="2" t="s">
        <v>200</v>
      </c>
      <c r="E1490" s="3">
        <v>3326</v>
      </c>
      <c r="F1490" s="8">
        <v>3.7488000000000001</v>
      </c>
      <c r="G1490" s="4">
        <v>568.99300000000005</v>
      </c>
      <c r="H1490" s="4">
        <v>1333.6365000000001</v>
      </c>
      <c r="I1490" s="4">
        <v>19.697500000000002</v>
      </c>
      <c r="J1490" s="4">
        <v>20.942499999999999</v>
      </c>
      <c r="K1490" s="4">
        <v>19.172499999999999</v>
      </c>
      <c r="L1490" s="4">
        <v>20.43</v>
      </c>
      <c r="M1490" s="7">
        <v>3.7199999999999997E-2</v>
      </c>
    </row>
    <row r="1491" spans="1:13" x14ac:dyDescent="0.2">
      <c r="A1491" s="6">
        <v>46122</v>
      </c>
      <c r="B1491" s="2" t="s">
        <v>225</v>
      </c>
      <c r="C1491" s="5">
        <v>46113</v>
      </c>
      <c r="D1491" s="2" t="s">
        <v>200</v>
      </c>
      <c r="E1491" s="3">
        <v>3349</v>
      </c>
      <c r="F1491" s="8">
        <v>3.6072000000000002</v>
      </c>
      <c r="G1491" s="4">
        <v>598.27139999999997</v>
      </c>
      <c r="H1491" s="4">
        <v>1317.3107</v>
      </c>
      <c r="I1491" s="4">
        <v>20.427499999999998</v>
      </c>
      <c r="J1491" s="4">
        <v>20.427499999999998</v>
      </c>
      <c r="K1491" s="4">
        <v>18.37</v>
      </c>
      <c r="L1491" s="4">
        <v>18.850000000000001</v>
      </c>
      <c r="M1491" s="7">
        <v>-7.7200000000000005E-2</v>
      </c>
    </row>
    <row r="1492" spans="1:13" x14ac:dyDescent="0.2">
      <c r="A1492" s="6">
        <v>46125</v>
      </c>
      <c r="B1492" s="2" t="s">
        <v>228</v>
      </c>
      <c r="C1492" s="5">
        <v>46113</v>
      </c>
      <c r="D1492" s="2" t="s">
        <v>200</v>
      </c>
      <c r="E1492" s="3">
        <v>3329</v>
      </c>
      <c r="F1492" s="8">
        <v>3.6071</v>
      </c>
      <c r="G1492" s="4">
        <v>540.7663</v>
      </c>
      <c r="H1492" s="4">
        <v>1299.8755000000001</v>
      </c>
      <c r="I1492" s="4">
        <v>18.850000000000001</v>
      </c>
      <c r="J1492" s="4">
        <v>21.5075</v>
      </c>
      <c r="K1492" s="4">
        <v>18.182500000000001</v>
      </c>
      <c r="L1492" s="4">
        <v>20.5</v>
      </c>
      <c r="M1492" s="7">
        <v>8.7499999999999994E-2</v>
      </c>
    </row>
    <row r="1493" spans="1:13" x14ac:dyDescent="0.2">
      <c r="A1493" s="6">
        <v>46127</v>
      </c>
      <c r="B1493" s="2" t="s">
        <v>224</v>
      </c>
      <c r="C1493" s="5">
        <v>46113</v>
      </c>
      <c r="D1493" s="2" t="s">
        <v>200</v>
      </c>
      <c r="E1493" s="3">
        <v>3367</v>
      </c>
      <c r="F1493" s="8">
        <v>4.0090000000000003</v>
      </c>
      <c r="G1493" s="4">
        <v>603.64919999999995</v>
      </c>
      <c r="H1493" s="4">
        <v>1453.3045</v>
      </c>
      <c r="I1493" s="4">
        <v>20.5</v>
      </c>
      <c r="J1493" s="4">
        <v>20.5</v>
      </c>
      <c r="K1493" s="4">
        <v>17.337499999999999</v>
      </c>
      <c r="L1493" s="4">
        <v>18.670000000000002</v>
      </c>
      <c r="M1493" s="7">
        <v>-8.9300000000000004E-2</v>
      </c>
    </row>
    <row r="1494" spans="1:13" x14ac:dyDescent="0.2">
      <c r="A1494" s="6">
        <v>46128</v>
      </c>
      <c r="B1494" s="2" t="s">
        <v>227</v>
      </c>
      <c r="C1494" s="5">
        <v>46113</v>
      </c>
      <c r="D1494" s="2" t="s">
        <v>200</v>
      </c>
      <c r="E1494" s="3">
        <v>3330</v>
      </c>
      <c r="F1494" s="8">
        <v>3.9432999999999998</v>
      </c>
      <c r="G1494" s="4">
        <v>580.95579999999995</v>
      </c>
      <c r="H1494" s="4">
        <v>1527.0934</v>
      </c>
      <c r="I1494" s="4">
        <v>18.6675</v>
      </c>
      <c r="J1494" s="4">
        <v>18.6675</v>
      </c>
      <c r="K1494" s="4">
        <v>16.8325</v>
      </c>
      <c r="L1494" s="4">
        <v>18.09</v>
      </c>
      <c r="M1494" s="7">
        <v>-3.09E-2</v>
      </c>
    </row>
    <row r="1495" spans="1:13" x14ac:dyDescent="0.2">
      <c r="A1495" s="6">
        <v>46129</v>
      </c>
      <c r="B1495" s="2" t="s">
        <v>225</v>
      </c>
      <c r="C1495" s="5">
        <v>46113</v>
      </c>
      <c r="D1495" s="2" t="s">
        <v>200</v>
      </c>
      <c r="E1495" s="3">
        <v>3356</v>
      </c>
      <c r="F1495" s="8">
        <v>3.9832000000000001</v>
      </c>
      <c r="G1495" s="4">
        <v>616.29480000000001</v>
      </c>
      <c r="H1495" s="4">
        <v>1517.0489</v>
      </c>
      <c r="I1495" s="4">
        <v>18.085000000000001</v>
      </c>
      <c r="J1495" s="4">
        <v>18.47</v>
      </c>
      <c r="K1495" s="4">
        <v>16.592500000000001</v>
      </c>
      <c r="L1495" s="4">
        <v>17.21</v>
      </c>
      <c r="M1495" s="7">
        <v>-4.8399999999999999E-2</v>
      </c>
    </row>
    <row r="1496" spans="1:13" x14ac:dyDescent="0.2">
      <c r="A1496" s="6">
        <v>46132</v>
      </c>
      <c r="B1496" s="2" t="s">
        <v>228</v>
      </c>
      <c r="C1496" s="5">
        <v>46113</v>
      </c>
      <c r="D1496" s="2" t="s">
        <v>200</v>
      </c>
      <c r="E1496" s="3">
        <v>3430</v>
      </c>
      <c r="F1496" s="8">
        <v>3.7551999999999999</v>
      </c>
      <c r="G1496" s="4">
        <v>535.00199999999995</v>
      </c>
      <c r="H1496" s="4">
        <v>1299.7902999999999</v>
      </c>
      <c r="I1496" s="4">
        <v>17.204999999999998</v>
      </c>
      <c r="J1496" s="4">
        <v>19.010000000000002</v>
      </c>
      <c r="K1496" s="4">
        <v>16.48</v>
      </c>
      <c r="L1496" s="4">
        <v>18.79</v>
      </c>
      <c r="M1496" s="7">
        <v>9.2100000000000001E-2</v>
      </c>
    </row>
    <row r="1497" spans="1:13" x14ac:dyDescent="0.2">
      <c r="A1497" s="6">
        <v>46133</v>
      </c>
      <c r="B1497" s="2" t="s">
        <v>226</v>
      </c>
      <c r="C1497" s="5">
        <v>46113</v>
      </c>
      <c r="D1497" s="2" t="s">
        <v>200</v>
      </c>
      <c r="E1497" s="3">
        <v>3440</v>
      </c>
      <c r="F1497" s="8">
        <v>3.4129</v>
      </c>
      <c r="G1497" s="4">
        <v>476.34179999999998</v>
      </c>
      <c r="H1497" s="4">
        <v>1278.2548999999999</v>
      </c>
      <c r="I1497" s="4">
        <v>18.79</v>
      </c>
      <c r="J1497" s="4">
        <v>18.79</v>
      </c>
      <c r="K1497" s="4">
        <v>17.452500000000001</v>
      </c>
      <c r="L1497" s="4">
        <v>17.53</v>
      </c>
      <c r="M1497" s="7">
        <v>-6.7100000000000007E-2</v>
      </c>
    </row>
    <row r="1498" spans="1:13" x14ac:dyDescent="0.2">
      <c r="A1498" s="6">
        <v>46134</v>
      </c>
      <c r="B1498" s="2" t="s">
        <v>224</v>
      </c>
      <c r="C1498" s="5">
        <v>46113</v>
      </c>
      <c r="D1498" s="2" t="s">
        <v>200</v>
      </c>
      <c r="E1498" s="3">
        <v>3402</v>
      </c>
      <c r="F1498" s="8">
        <v>3.7122000000000002</v>
      </c>
      <c r="G1498" s="4">
        <v>515.29129999999998</v>
      </c>
      <c r="H1498" s="4">
        <v>1371.1319000000001</v>
      </c>
      <c r="I1498" s="4">
        <v>17.532499999999999</v>
      </c>
      <c r="J1498" s="4">
        <v>18.73</v>
      </c>
      <c r="K1498" s="4">
        <v>17.245000000000001</v>
      </c>
      <c r="L1498" s="4">
        <v>18.3</v>
      </c>
      <c r="M1498" s="7">
        <v>4.3799999999999999E-2</v>
      </c>
    </row>
    <row r="1499" spans="1:13" x14ac:dyDescent="0.2">
      <c r="A1499" s="6">
        <v>46135</v>
      </c>
      <c r="B1499" s="2" t="s">
        <v>227</v>
      </c>
      <c r="C1499" s="5">
        <v>46113</v>
      </c>
      <c r="D1499" s="2" t="s">
        <v>200</v>
      </c>
      <c r="E1499" s="3">
        <v>3400</v>
      </c>
      <c r="F1499" s="8">
        <v>3.6379000000000001</v>
      </c>
      <c r="G1499" s="4">
        <v>488.59280000000001</v>
      </c>
      <c r="H1499" s="4">
        <v>1354.8136</v>
      </c>
      <c r="I1499" s="4">
        <v>18.3</v>
      </c>
      <c r="J1499" s="4">
        <v>19.12</v>
      </c>
      <c r="K1499" s="4">
        <v>17.489999999999998</v>
      </c>
      <c r="L1499" s="4">
        <v>18.59</v>
      </c>
      <c r="M1499" s="7">
        <v>1.5800000000000002E-2</v>
      </c>
    </row>
    <row r="1500" spans="1:13" x14ac:dyDescent="0.2">
      <c r="A1500" s="6">
        <v>46136</v>
      </c>
      <c r="B1500" s="2" t="s">
        <v>225</v>
      </c>
      <c r="C1500" s="5">
        <v>46113</v>
      </c>
      <c r="D1500" s="2" t="s">
        <v>200</v>
      </c>
      <c r="E1500" s="3">
        <v>3403</v>
      </c>
      <c r="F1500" s="8">
        <v>3.6545999999999998</v>
      </c>
      <c r="G1500" s="4">
        <v>449.65109999999999</v>
      </c>
      <c r="H1500" s="4">
        <v>1309.4328</v>
      </c>
      <c r="I1500" s="4">
        <v>18.59</v>
      </c>
      <c r="J1500" s="4">
        <v>19.895</v>
      </c>
      <c r="K1500" s="4">
        <v>18.0625</v>
      </c>
      <c r="L1500" s="4">
        <v>19.71</v>
      </c>
      <c r="M1500" s="7">
        <v>6.0199999999999997E-2</v>
      </c>
    </row>
    <row r="1501" spans="1:13" x14ac:dyDescent="0.2">
      <c r="A1501" s="6">
        <v>46139</v>
      </c>
      <c r="B1501" s="2" t="s">
        <v>228</v>
      </c>
      <c r="C1501" s="5">
        <v>46113</v>
      </c>
      <c r="D1501" s="2" t="s">
        <v>200</v>
      </c>
      <c r="E1501" s="3">
        <v>3451</v>
      </c>
      <c r="F1501" s="8">
        <v>3.6941999999999999</v>
      </c>
      <c r="G1501" s="4">
        <v>461.73989999999998</v>
      </c>
      <c r="H1501" s="4">
        <v>1312.5563999999999</v>
      </c>
      <c r="I1501" s="4">
        <v>19.712499999999999</v>
      </c>
      <c r="J1501" s="4">
        <v>19.712499999999999</v>
      </c>
      <c r="K1501" s="4">
        <v>18.27</v>
      </c>
      <c r="L1501" s="4">
        <v>18.38</v>
      </c>
      <c r="M1501" s="7">
        <v>-6.7599999999999993E-2</v>
      </c>
    </row>
    <row r="1502" spans="1:13" x14ac:dyDescent="0.2">
      <c r="A1502" s="6">
        <v>46140</v>
      </c>
      <c r="B1502" s="2" t="s">
        <v>226</v>
      </c>
      <c r="C1502" s="5">
        <v>46113</v>
      </c>
      <c r="D1502" s="2" t="s">
        <v>200</v>
      </c>
      <c r="E1502" s="3">
        <v>3383</v>
      </c>
      <c r="F1502" s="8">
        <v>3.5565000000000002</v>
      </c>
      <c r="G1502" s="4">
        <v>520.59820000000002</v>
      </c>
      <c r="H1502" s="4">
        <v>1380.8733</v>
      </c>
      <c r="I1502" s="4">
        <v>18.377500000000001</v>
      </c>
      <c r="J1502" s="4">
        <v>18.407499999999999</v>
      </c>
      <c r="K1502" s="4">
        <v>17.267499999999998</v>
      </c>
      <c r="L1502" s="4">
        <v>18.05</v>
      </c>
      <c r="M1502" s="7">
        <v>-1.78E-2</v>
      </c>
    </row>
    <row r="1503" spans="1:13" x14ac:dyDescent="0.2">
      <c r="A1503" s="6">
        <v>46141</v>
      </c>
      <c r="B1503" s="2" t="s">
        <v>224</v>
      </c>
      <c r="C1503" s="5">
        <v>46113</v>
      </c>
      <c r="D1503" s="2" t="s">
        <v>200</v>
      </c>
      <c r="E1503" s="3">
        <v>3399</v>
      </c>
      <c r="F1503" s="8">
        <v>3.7113999999999998</v>
      </c>
      <c r="G1503" s="4">
        <v>514.20190000000002</v>
      </c>
      <c r="H1503" s="4">
        <v>1392.8009</v>
      </c>
      <c r="I1503" s="4">
        <v>18.047499999999999</v>
      </c>
      <c r="J1503" s="4">
        <v>18.047499999999999</v>
      </c>
      <c r="K1503" s="4">
        <v>16.75</v>
      </c>
      <c r="L1503" s="4">
        <v>17.440000000000001</v>
      </c>
      <c r="M1503" s="7">
        <v>-3.3700000000000001E-2</v>
      </c>
    </row>
    <row r="1504" spans="1:13" x14ac:dyDescent="0.2">
      <c r="A1504" s="6">
        <v>46142</v>
      </c>
      <c r="B1504" s="2" t="s">
        <v>227</v>
      </c>
      <c r="C1504" s="5">
        <v>46113</v>
      </c>
      <c r="D1504" s="2" t="s">
        <v>200</v>
      </c>
      <c r="E1504" s="3">
        <v>3374</v>
      </c>
      <c r="F1504" s="8">
        <v>3.9483000000000001</v>
      </c>
      <c r="G1504" s="4">
        <v>473.06189999999998</v>
      </c>
      <c r="H1504" s="4">
        <v>1425.5351000000001</v>
      </c>
      <c r="I1504" s="4">
        <v>17.4375</v>
      </c>
      <c r="J1504" s="4">
        <v>19.48</v>
      </c>
      <c r="K1504" s="4">
        <v>17.184999999999999</v>
      </c>
      <c r="L1504" s="4">
        <v>18.46</v>
      </c>
      <c r="M1504" s="7">
        <v>5.8599999999999999E-2</v>
      </c>
    </row>
    <row r="1505" spans="1:13" x14ac:dyDescent="0.2">
      <c r="A1505" s="6">
        <v>46146</v>
      </c>
      <c r="B1505" s="2" t="s">
        <v>228</v>
      </c>
      <c r="C1505" s="5">
        <v>46143</v>
      </c>
      <c r="D1505" s="2" t="s">
        <v>200</v>
      </c>
      <c r="E1505" s="3">
        <v>3435</v>
      </c>
      <c r="F1505" s="8">
        <v>4.0990000000000002</v>
      </c>
      <c r="G1505" s="4">
        <v>558.59450000000004</v>
      </c>
      <c r="H1505" s="4">
        <v>1368.3108999999999</v>
      </c>
      <c r="I1505" s="4">
        <v>18.46</v>
      </c>
      <c r="J1505" s="4">
        <v>18.875</v>
      </c>
      <c r="K1505" s="4">
        <v>16.747499999999999</v>
      </c>
      <c r="L1505" s="4">
        <v>18.3</v>
      </c>
      <c r="M1505" s="7">
        <v>-8.6999999999999994E-3</v>
      </c>
    </row>
    <row r="1506" spans="1:13" x14ac:dyDescent="0.2">
      <c r="A1506" s="6">
        <v>46147</v>
      </c>
      <c r="B1506" s="2" t="s">
        <v>226</v>
      </c>
      <c r="C1506" s="5">
        <v>46143</v>
      </c>
      <c r="D1506" s="2" t="s">
        <v>200</v>
      </c>
      <c r="E1506" s="3">
        <v>3397</v>
      </c>
      <c r="F1506" s="8">
        <v>3.7252000000000001</v>
      </c>
      <c r="G1506" s="4">
        <v>493.92770000000002</v>
      </c>
      <c r="H1506" s="4">
        <v>1286.2918</v>
      </c>
      <c r="I1506" s="4">
        <v>18.3</v>
      </c>
      <c r="J1506" s="4">
        <v>18.842500000000001</v>
      </c>
      <c r="K1506" s="4">
        <v>17.712499999999999</v>
      </c>
      <c r="L1506" s="4">
        <v>17.91</v>
      </c>
      <c r="M1506" s="7">
        <v>-2.1299999999999999E-2</v>
      </c>
    </row>
    <row r="1507" spans="1:13" x14ac:dyDescent="0.2">
      <c r="A1507" s="6">
        <v>46148</v>
      </c>
      <c r="B1507" s="2" t="s">
        <v>224</v>
      </c>
      <c r="C1507" s="5">
        <v>46143</v>
      </c>
      <c r="D1507" s="2" t="s">
        <v>200</v>
      </c>
      <c r="E1507" s="3">
        <v>3379</v>
      </c>
      <c r="F1507" s="8">
        <v>4.0907</v>
      </c>
      <c r="G1507" s="4">
        <v>585.25080000000003</v>
      </c>
      <c r="H1507" s="4">
        <v>1516.8161</v>
      </c>
      <c r="I1507" s="4">
        <v>17.907499999999999</v>
      </c>
      <c r="J1507" s="4">
        <v>18.077500000000001</v>
      </c>
      <c r="K1507" s="4">
        <v>16.577500000000001</v>
      </c>
      <c r="L1507" s="4">
        <v>16.68</v>
      </c>
      <c r="M1507" s="7">
        <v>-6.8500000000000005E-2</v>
      </c>
    </row>
    <row r="1508" spans="1:13" x14ac:dyDescent="0.2">
      <c r="A1508" s="6">
        <v>46149</v>
      </c>
      <c r="B1508" s="2" t="s">
        <v>227</v>
      </c>
      <c r="C1508" s="5">
        <v>46143</v>
      </c>
      <c r="D1508" s="2" t="s">
        <v>200</v>
      </c>
      <c r="E1508" s="3">
        <v>3397</v>
      </c>
      <c r="F1508" s="8">
        <v>4.1858000000000004</v>
      </c>
      <c r="G1508" s="4">
        <v>557.38409999999999</v>
      </c>
      <c r="H1508" s="4">
        <v>1535.9858999999999</v>
      </c>
      <c r="I1508" s="4">
        <v>16.677499999999998</v>
      </c>
      <c r="J1508" s="4">
        <v>17.195</v>
      </c>
      <c r="K1508" s="4">
        <v>15.1675</v>
      </c>
      <c r="L1508" s="4">
        <v>16.62</v>
      </c>
      <c r="M1508" s="7">
        <v>-3.3999999999999998E-3</v>
      </c>
    </row>
    <row r="1509" spans="1:13" x14ac:dyDescent="0.2">
      <c r="A1509" s="6">
        <v>46150</v>
      </c>
      <c r="B1509" s="2" t="s">
        <v>225</v>
      </c>
      <c r="C1509" s="5">
        <v>46143</v>
      </c>
      <c r="D1509" s="2" t="s">
        <v>200</v>
      </c>
      <c r="E1509" s="3">
        <v>3393</v>
      </c>
      <c r="F1509" s="8">
        <v>4.1121999999999996</v>
      </c>
      <c r="G1509" s="4">
        <v>515.91020000000003</v>
      </c>
      <c r="H1509" s="4">
        <v>1476.6921</v>
      </c>
      <c r="I1509" s="4">
        <v>16.62</v>
      </c>
      <c r="J1509" s="4">
        <v>17.425000000000001</v>
      </c>
      <c r="K1509" s="4">
        <v>16.162500000000001</v>
      </c>
      <c r="L1509" s="4">
        <v>16.84</v>
      </c>
      <c r="M1509" s="7">
        <v>1.32E-2</v>
      </c>
    </row>
    <row r="1510" spans="1:13" x14ac:dyDescent="0.2">
      <c r="A1510" s="6">
        <v>46153</v>
      </c>
      <c r="B1510" s="2" t="s">
        <v>228</v>
      </c>
      <c r="C1510" s="5">
        <v>46143</v>
      </c>
      <c r="D1510" s="2" t="s">
        <v>200</v>
      </c>
      <c r="E1510" s="3">
        <v>3427</v>
      </c>
      <c r="F1510" s="8">
        <v>4.3254000000000001</v>
      </c>
      <c r="G1510" s="4">
        <v>665.21489999999994</v>
      </c>
      <c r="H1510" s="4">
        <v>1389.8717999999999</v>
      </c>
      <c r="I1510" s="4">
        <v>16.84</v>
      </c>
      <c r="J1510" s="4">
        <v>18.967500000000001</v>
      </c>
      <c r="K1510" s="4">
        <v>16.84</v>
      </c>
      <c r="L1510" s="4">
        <v>18.55</v>
      </c>
      <c r="M1510" s="7">
        <v>0.10150000000000001</v>
      </c>
    </row>
    <row r="1511" spans="1:13" x14ac:dyDescent="0.2">
      <c r="A1511" s="6">
        <v>46154</v>
      </c>
      <c r="B1511" s="2" t="s">
        <v>226</v>
      </c>
      <c r="C1511" s="5">
        <v>46143</v>
      </c>
      <c r="D1511" s="2" t="s">
        <v>200</v>
      </c>
      <c r="E1511" s="3">
        <v>3391</v>
      </c>
      <c r="F1511" s="8">
        <v>4.3456999999999999</v>
      </c>
      <c r="G1511" s="4">
        <v>620.38210000000004</v>
      </c>
      <c r="H1511" s="4">
        <v>1447.3173999999999</v>
      </c>
      <c r="I1511" s="4">
        <v>18.552499999999998</v>
      </c>
      <c r="J1511" s="4">
        <v>19.46</v>
      </c>
      <c r="K1511" s="4">
        <v>17.63</v>
      </c>
      <c r="L1511" s="4">
        <v>19.28</v>
      </c>
      <c r="M1511" s="7">
        <v>3.9199999999999999E-2</v>
      </c>
    </row>
    <row r="1512" spans="1:13" x14ac:dyDescent="0.2">
      <c r="A1512" s="6">
        <v>46155</v>
      </c>
      <c r="B1512" s="2" t="s">
        <v>224</v>
      </c>
      <c r="C1512" s="5">
        <v>46143</v>
      </c>
      <c r="D1512" s="2" t="s">
        <v>200</v>
      </c>
      <c r="E1512" s="3">
        <v>3381</v>
      </c>
      <c r="F1512" s="8">
        <v>4.2195</v>
      </c>
      <c r="G1512" s="4">
        <v>659.77340000000004</v>
      </c>
      <c r="H1512" s="4">
        <v>1386.0495000000001</v>
      </c>
      <c r="I1512" s="4">
        <v>19.28</v>
      </c>
      <c r="J1512" s="4">
        <v>20.125</v>
      </c>
      <c r="K1512" s="4">
        <v>18.357500000000002</v>
      </c>
      <c r="L1512" s="4">
        <v>19.43</v>
      </c>
      <c r="M1512" s="7">
        <v>7.7999999999999996E-3</v>
      </c>
    </row>
    <row r="1513" spans="1:13" x14ac:dyDescent="0.2">
      <c r="A1513" s="6">
        <v>46156</v>
      </c>
      <c r="B1513" s="2" t="s">
        <v>227</v>
      </c>
      <c r="C1513" s="5">
        <v>46143</v>
      </c>
      <c r="D1513" s="2" t="s">
        <v>200</v>
      </c>
      <c r="E1513" s="3">
        <v>3378</v>
      </c>
      <c r="F1513" s="8">
        <v>4.1040000000000001</v>
      </c>
      <c r="G1513" s="4">
        <v>566.60910000000001</v>
      </c>
      <c r="H1513" s="4">
        <v>1430.1767</v>
      </c>
      <c r="I1513" s="4">
        <v>19.425000000000001</v>
      </c>
      <c r="J1513" s="4">
        <v>19.425000000000001</v>
      </c>
      <c r="K1513" s="4">
        <v>18.387499999999999</v>
      </c>
      <c r="L1513" s="4">
        <v>18.61</v>
      </c>
      <c r="M1513" s="7">
        <v>-4.2000000000000003E-2</v>
      </c>
    </row>
    <row r="1514" spans="1:13" x14ac:dyDescent="0.2">
      <c r="A1514" s="6">
        <v>46157</v>
      </c>
      <c r="B1514" s="2" t="s">
        <v>225</v>
      </c>
      <c r="C1514" s="5">
        <v>46143</v>
      </c>
      <c r="D1514" s="2" t="s">
        <v>200</v>
      </c>
      <c r="E1514" s="3">
        <v>3370</v>
      </c>
      <c r="F1514" s="8">
        <v>3.7955000000000001</v>
      </c>
      <c r="G1514" s="4">
        <v>614.63850000000002</v>
      </c>
      <c r="H1514" s="4">
        <v>1332.2725</v>
      </c>
      <c r="I1514" s="4">
        <v>18.612500000000001</v>
      </c>
      <c r="J1514" s="4">
        <v>19.012499999999999</v>
      </c>
      <c r="K1514" s="4">
        <v>17.422499999999999</v>
      </c>
      <c r="L1514" s="4">
        <v>18.79</v>
      </c>
      <c r="M1514" s="7">
        <v>9.4999999999999998E-3</v>
      </c>
    </row>
    <row r="1515" spans="1:13" x14ac:dyDescent="0.2">
      <c r="A1515" s="6">
        <v>46160</v>
      </c>
      <c r="B1515" s="2" t="s">
        <v>228</v>
      </c>
      <c r="C1515" s="5">
        <v>46143</v>
      </c>
      <c r="D1515" s="2" t="s">
        <v>200</v>
      </c>
      <c r="E1515" s="3">
        <v>3417</v>
      </c>
      <c r="F1515" s="8">
        <v>4.1172000000000004</v>
      </c>
      <c r="G1515" s="4">
        <v>535.90470000000005</v>
      </c>
      <c r="H1515" s="4">
        <v>1234.5029999999999</v>
      </c>
      <c r="I1515" s="4">
        <v>18.79</v>
      </c>
      <c r="J1515" s="4">
        <v>20.057500000000001</v>
      </c>
      <c r="K1515" s="4">
        <v>17.72</v>
      </c>
      <c r="L1515" s="4">
        <v>19.63</v>
      </c>
      <c r="M1515" s="7">
        <v>4.4699999999999997E-2</v>
      </c>
    </row>
    <row r="1516" spans="1:13" x14ac:dyDescent="0.2">
      <c r="A1516" s="6">
        <v>46161</v>
      </c>
      <c r="B1516" s="2" t="s">
        <v>226</v>
      </c>
      <c r="C1516" s="5">
        <v>46143</v>
      </c>
      <c r="D1516" s="2" t="s">
        <v>200</v>
      </c>
      <c r="E1516" s="3">
        <v>3359</v>
      </c>
      <c r="F1516" s="8">
        <v>3.8972000000000002</v>
      </c>
      <c r="G1516" s="4">
        <v>544.96010000000001</v>
      </c>
      <c r="H1516" s="4">
        <v>1311.1602</v>
      </c>
      <c r="I1516" s="4">
        <v>19.63</v>
      </c>
      <c r="J1516" s="4">
        <v>19.63</v>
      </c>
      <c r="K1516" s="4">
        <v>18.267499999999998</v>
      </c>
      <c r="L1516" s="4">
        <v>18.68</v>
      </c>
      <c r="M1516" s="7">
        <v>-4.8399999999999999E-2</v>
      </c>
    </row>
    <row r="1517" spans="1:13" x14ac:dyDescent="0.2">
      <c r="A1517" s="6">
        <v>46162</v>
      </c>
      <c r="B1517" s="2" t="s">
        <v>224</v>
      </c>
      <c r="C1517" s="5">
        <v>46143</v>
      </c>
      <c r="D1517" s="2" t="s">
        <v>200</v>
      </c>
      <c r="E1517" s="3">
        <v>3374</v>
      </c>
      <c r="F1517" s="8">
        <v>3.4904999999999999</v>
      </c>
      <c r="G1517" s="4">
        <v>459.01920000000001</v>
      </c>
      <c r="H1517" s="4">
        <v>1145.2498000000001</v>
      </c>
      <c r="I1517" s="4">
        <v>18.675000000000001</v>
      </c>
      <c r="J1517" s="4">
        <v>19.454999999999998</v>
      </c>
      <c r="K1517" s="4">
        <v>18.057500000000001</v>
      </c>
      <c r="L1517" s="4">
        <v>18.440000000000001</v>
      </c>
      <c r="M1517" s="7">
        <v>-1.26E-2</v>
      </c>
    </row>
    <row r="1518" spans="1:13" x14ac:dyDescent="0.2">
      <c r="A1518" s="6">
        <v>46163</v>
      </c>
      <c r="B1518" s="2" t="s">
        <v>227</v>
      </c>
      <c r="C1518" s="5">
        <v>46143</v>
      </c>
      <c r="D1518" s="2" t="s">
        <v>200</v>
      </c>
      <c r="E1518" s="3">
        <v>3385</v>
      </c>
      <c r="F1518" s="8">
        <v>3.4300999999999999</v>
      </c>
      <c r="G1518" s="4">
        <v>490.03769999999997</v>
      </c>
      <c r="H1518" s="4">
        <v>1212.511</v>
      </c>
      <c r="I1518" s="4">
        <v>18.440000000000001</v>
      </c>
      <c r="J1518" s="4">
        <v>18.440000000000001</v>
      </c>
      <c r="K1518" s="4">
        <v>17.425000000000001</v>
      </c>
      <c r="L1518" s="4">
        <v>17.82</v>
      </c>
      <c r="M1518" s="7">
        <v>-3.3599999999999998E-2</v>
      </c>
    </row>
    <row r="1519" spans="1:13" x14ac:dyDescent="0.2">
      <c r="A1519" s="6">
        <v>46164</v>
      </c>
      <c r="B1519" s="2" t="s">
        <v>225</v>
      </c>
      <c r="C1519" s="5">
        <v>46143</v>
      </c>
      <c r="D1519" s="2" t="s">
        <v>200</v>
      </c>
      <c r="E1519" s="3">
        <v>3374</v>
      </c>
      <c r="F1519" s="8">
        <v>3.3645</v>
      </c>
      <c r="G1519" s="4">
        <v>453.86470000000003</v>
      </c>
      <c r="H1519" s="4">
        <v>1133.3848</v>
      </c>
      <c r="I1519" s="4">
        <v>17.822500000000002</v>
      </c>
      <c r="J1519" s="4">
        <v>19.024999999999999</v>
      </c>
      <c r="K1519" s="4">
        <v>16.465</v>
      </c>
      <c r="L1519" s="4">
        <v>17.91</v>
      </c>
      <c r="M1519" s="7">
        <v>4.8999999999999998E-3</v>
      </c>
    </row>
    <row r="1520" spans="1:13" x14ac:dyDescent="0.2">
      <c r="A1520" s="6">
        <v>46167</v>
      </c>
      <c r="B1520" s="2" t="s">
        <v>228</v>
      </c>
      <c r="C1520" s="5">
        <v>46143</v>
      </c>
      <c r="D1520" s="2" t="s">
        <v>200</v>
      </c>
      <c r="E1520" s="3">
        <v>3426</v>
      </c>
      <c r="F1520" s="8">
        <v>3.444</v>
      </c>
      <c r="G1520" s="4">
        <v>520.75660000000005</v>
      </c>
      <c r="H1520" s="4">
        <v>1195.8117</v>
      </c>
      <c r="I1520" s="4">
        <v>17.91</v>
      </c>
      <c r="J1520" s="4">
        <v>17.91</v>
      </c>
      <c r="K1520" s="4">
        <v>16.392499999999998</v>
      </c>
      <c r="L1520" s="4">
        <v>16.7</v>
      </c>
      <c r="M1520" s="7">
        <v>-6.7599999999999993E-2</v>
      </c>
    </row>
    <row r="1521" spans="1:13" x14ac:dyDescent="0.2">
      <c r="A1521" s="6">
        <v>46168</v>
      </c>
      <c r="B1521" s="2" t="s">
        <v>226</v>
      </c>
      <c r="C1521" s="5">
        <v>46143</v>
      </c>
      <c r="D1521" s="2" t="s">
        <v>200</v>
      </c>
      <c r="E1521" s="3">
        <v>3429</v>
      </c>
      <c r="F1521" s="8">
        <v>3.5596000000000001</v>
      </c>
      <c r="G1521" s="4">
        <v>524.80560000000003</v>
      </c>
      <c r="H1521" s="4">
        <v>1275.1337000000001</v>
      </c>
      <c r="I1521" s="4">
        <v>16.702500000000001</v>
      </c>
      <c r="J1521" s="4">
        <v>16.96</v>
      </c>
      <c r="K1521" s="4">
        <v>15.362500000000001</v>
      </c>
      <c r="L1521" s="4">
        <v>16.13</v>
      </c>
      <c r="M1521" s="7">
        <v>-3.4299999999999997E-2</v>
      </c>
    </row>
    <row r="1522" spans="1:13" x14ac:dyDescent="0.2">
      <c r="A1522" s="6">
        <v>46169</v>
      </c>
      <c r="B1522" s="2" t="s">
        <v>224</v>
      </c>
      <c r="C1522" s="5">
        <v>46143</v>
      </c>
      <c r="D1522" s="2" t="s">
        <v>200</v>
      </c>
      <c r="E1522" s="3">
        <v>3425</v>
      </c>
      <c r="F1522" s="8">
        <v>3.7351999999999999</v>
      </c>
      <c r="G1522" s="4">
        <v>683.84389999999996</v>
      </c>
      <c r="H1522" s="4">
        <v>1358.9965999999999</v>
      </c>
      <c r="I1522" s="4">
        <v>16.1325</v>
      </c>
      <c r="J1522" s="4">
        <v>16.327500000000001</v>
      </c>
      <c r="K1522" s="4">
        <v>14.6975</v>
      </c>
      <c r="L1522" s="4">
        <v>14.98</v>
      </c>
      <c r="M1522" s="7">
        <v>-7.1400000000000005E-2</v>
      </c>
    </row>
    <row r="1523" spans="1:13" x14ac:dyDescent="0.2">
      <c r="A1523" s="6">
        <v>46171</v>
      </c>
      <c r="B1523" s="2" t="s">
        <v>225</v>
      </c>
      <c r="C1523" s="5">
        <v>46143</v>
      </c>
      <c r="D1523" s="2" t="s">
        <v>200</v>
      </c>
      <c r="E1523" s="3">
        <v>3426</v>
      </c>
      <c r="F1523" s="8">
        <v>5.1231</v>
      </c>
      <c r="G1523" s="4">
        <v>961.68719999999996</v>
      </c>
      <c r="H1523" s="4">
        <v>2874.5234</v>
      </c>
      <c r="I1523" s="4">
        <v>14.9825</v>
      </c>
      <c r="J1523" s="4">
        <v>16.552499999999998</v>
      </c>
      <c r="K1523" s="4">
        <v>14.592499999999999</v>
      </c>
      <c r="L1523" s="4">
        <v>16.190000000000001</v>
      </c>
      <c r="M1523" s="7">
        <v>8.0600000000000005E-2</v>
      </c>
    </row>
    <row r="1524" spans="1:13" x14ac:dyDescent="0.2">
      <c r="A1524" s="6">
        <v>46174</v>
      </c>
      <c r="B1524" s="2" t="s">
        <v>228</v>
      </c>
      <c r="C1524" s="5">
        <v>46174</v>
      </c>
      <c r="D1524" s="2" t="s">
        <v>200</v>
      </c>
      <c r="E1524" s="3">
        <v>3459</v>
      </c>
      <c r="F1524" s="8">
        <v>4.0606</v>
      </c>
      <c r="G1524" s="4">
        <v>591.10149999999999</v>
      </c>
      <c r="H1524" s="4">
        <v>1326.7224000000001</v>
      </c>
      <c r="I1524" s="4">
        <v>16.184999999999999</v>
      </c>
      <c r="J1524" s="4">
        <v>16.9175</v>
      </c>
      <c r="K1524" s="4">
        <v>13.9125</v>
      </c>
      <c r="L1524" s="4">
        <v>16.54</v>
      </c>
      <c r="M1524" s="7">
        <v>2.1899999999999999E-2</v>
      </c>
    </row>
    <row r="1525" spans="1:13" x14ac:dyDescent="0.2">
      <c r="A1525" s="6">
        <v>46175</v>
      </c>
      <c r="B1525" s="2" t="s">
        <v>226</v>
      </c>
      <c r="C1525" s="5">
        <v>46174</v>
      </c>
      <c r="D1525" s="2" t="s">
        <v>200</v>
      </c>
      <c r="E1525" s="3">
        <v>3433</v>
      </c>
      <c r="F1525" s="8">
        <v>4.0027999999999997</v>
      </c>
      <c r="G1525" s="4">
        <v>554.72640000000001</v>
      </c>
      <c r="H1525" s="4">
        <v>1433.2701</v>
      </c>
      <c r="I1525" s="4">
        <v>16.5425</v>
      </c>
      <c r="J1525" s="4">
        <v>16.5425</v>
      </c>
      <c r="K1525" s="4">
        <v>15.115</v>
      </c>
      <c r="L1525" s="4">
        <v>15.36</v>
      </c>
      <c r="M1525" s="7">
        <v>-7.1499999999999994E-2</v>
      </c>
    </row>
    <row r="1526" spans="1:13" x14ac:dyDescent="0.2">
      <c r="A1526" s="6">
        <v>46176</v>
      </c>
      <c r="B1526" s="2" t="s">
        <v>224</v>
      </c>
      <c r="C1526" s="5">
        <v>46174</v>
      </c>
      <c r="D1526" s="2" t="s">
        <v>200</v>
      </c>
      <c r="E1526" s="3">
        <v>3408</v>
      </c>
      <c r="F1526" s="8">
        <v>3.7886000000000002</v>
      </c>
      <c r="G1526" s="4">
        <v>632.75660000000005</v>
      </c>
      <c r="H1526" s="4">
        <v>1353.52</v>
      </c>
      <c r="I1526" s="4">
        <v>15.355</v>
      </c>
      <c r="J1526" s="4">
        <v>16.98</v>
      </c>
      <c r="K1526" s="4">
        <v>14.85</v>
      </c>
      <c r="L1526" s="4">
        <v>16.28</v>
      </c>
      <c r="M1526" s="7">
        <v>6.0199999999999997E-2</v>
      </c>
    </row>
    <row r="1527" spans="1:13" x14ac:dyDescent="0.2">
      <c r="A1527" s="6">
        <v>46177</v>
      </c>
      <c r="B1527" s="2" t="s">
        <v>227</v>
      </c>
      <c r="C1527" s="5">
        <v>46174</v>
      </c>
      <c r="D1527" s="2" t="s">
        <v>200</v>
      </c>
      <c r="E1527" s="3">
        <v>3400</v>
      </c>
      <c r="F1527" s="8">
        <v>3.6985000000000001</v>
      </c>
      <c r="G1527" s="4">
        <v>604.76900000000001</v>
      </c>
      <c r="H1527" s="4">
        <v>1289.8362</v>
      </c>
      <c r="I1527" s="4">
        <v>16.2775</v>
      </c>
      <c r="J1527" s="4">
        <v>16.405000000000001</v>
      </c>
      <c r="K1527" s="4">
        <v>15.53</v>
      </c>
      <c r="L1527" s="4">
        <v>15.89</v>
      </c>
      <c r="M1527" s="7">
        <v>-2.3800000000000002E-2</v>
      </c>
    </row>
    <row r="1528" spans="1:13" x14ac:dyDescent="0.2">
      <c r="A1528" s="6">
        <v>46178</v>
      </c>
      <c r="B1528" s="2" t="s">
        <v>225</v>
      </c>
      <c r="C1528" s="5">
        <v>46174</v>
      </c>
      <c r="D1528" s="2" t="s">
        <v>200</v>
      </c>
      <c r="E1528" s="3">
        <v>3417</v>
      </c>
      <c r="F1528" s="8">
        <v>3.6739999999999999</v>
      </c>
      <c r="G1528" s="4">
        <v>572.32259999999997</v>
      </c>
      <c r="H1528" s="4">
        <v>1288.7062000000001</v>
      </c>
      <c r="I1528" s="4">
        <v>15.885</v>
      </c>
      <c r="J1528" s="4">
        <v>16.37</v>
      </c>
      <c r="K1528" s="4">
        <v>13.46</v>
      </c>
      <c r="L1528" s="4">
        <v>15.79</v>
      </c>
      <c r="M1528" s="7">
        <v>-6.0000000000000001E-3</v>
      </c>
    </row>
    <row r="1529" spans="1:13" x14ac:dyDescent="0.2">
      <c r="A1529" s="6">
        <v>46181</v>
      </c>
      <c r="B1529" s="2" t="s">
        <v>228</v>
      </c>
      <c r="C1529" s="5">
        <v>46174</v>
      </c>
      <c r="D1529" s="2" t="s">
        <v>200</v>
      </c>
      <c r="E1529" s="3">
        <v>3414</v>
      </c>
      <c r="F1529" s="8">
        <v>3.6738</v>
      </c>
      <c r="G1529" s="4">
        <v>518.41650000000004</v>
      </c>
      <c r="H1529" s="4">
        <v>1092.3019999999999</v>
      </c>
      <c r="I1529" s="4">
        <v>15.7875</v>
      </c>
      <c r="J1529" s="4">
        <v>18.440000000000001</v>
      </c>
      <c r="K1529" s="4">
        <v>15.7875</v>
      </c>
      <c r="L1529" s="4">
        <v>17.03</v>
      </c>
      <c r="M1529" s="7">
        <v>7.8700000000000006E-2</v>
      </c>
    </row>
    <row r="1530" spans="1:13" x14ac:dyDescent="0.2">
      <c r="A1530" s="6">
        <v>46182</v>
      </c>
      <c r="B1530" s="2" t="s">
        <v>226</v>
      </c>
      <c r="C1530" s="5">
        <v>46174</v>
      </c>
      <c r="D1530" s="2" t="s">
        <v>200</v>
      </c>
      <c r="E1530" s="3">
        <v>3402</v>
      </c>
      <c r="F1530" s="8">
        <v>3.4718</v>
      </c>
      <c r="G1530" s="4">
        <v>573.39610000000005</v>
      </c>
      <c r="H1530" s="4">
        <v>1232.028</v>
      </c>
      <c r="I1530" s="4">
        <v>17.0275</v>
      </c>
      <c r="J1530" s="4">
        <v>17.0275</v>
      </c>
      <c r="K1530" s="4">
        <v>15.522500000000001</v>
      </c>
      <c r="L1530" s="4">
        <v>15.58</v>
      </c>
      <c r="M1530" s="7">
        <v>-8.5000000000000006E-2</v>
      </c>
    </row>
    <row r="1531" spans="1:13" x14ac:dyDescent="0.2">
      <c r="A1531" s="6">
        <v>46183</v>
      </c>
      <c r="B1531" s="2" t="s">
        <v>224</v>
      </c>
      <c r="C1531" s="5">
        <v>46174</v>
      </c>
      <c r="D1531" s="2" t="s">
        <v>200</v>
      </c>
      <c r="E1531" s="3">
        <v>3380</v>
      </c>
      <c r="F1531" s="8">
        <v>3.5485000000000002</v>
      </c>
      <c r="G1531" s="4">
        <v>568.52779999999996</v>
      </c>
      <c r="H1531" s="4">
        <v>1197.1414</v>
      </c>
      <c r="I1531" s="4">
        <v>15.574999999999999</v>
      </c>
      <c r="J1531" s="4">
        <v>15.845000000000001</v>
      </c>
      <c r="K1531" s="4">
        <v>14.9025</v>
      </c>
      <c r="L1531" s="4">
        <v>15.63</v>
      </c>
      <c r="M1531" s="7">
        <v>3.5000000000000001E-3</v>
      </c>
    </row>
    <row r="1532" spans="1:13" x14ac:dyDescent="0.2">
      <c r="A1532" s="6">
        <v>46184</v>
      </c>
      <c r="B1532" s="2" t="s">
        <v>227</v>
      </c>
      <c r="C1532" s="5">
        <v>46174</v>
      </c>
      <c r="D1532" s="2" t="s">
        <v>200</v>
      </c>
      <c r="E1532" s="3">
        <v>3368</v>
      </c>
      <c r="F1532" s="8">
        <v>3.5464000000000002</v>
      </c>
      <c r="G1532" s="4">
        <v>522.89599999999996</v>
      </c>
      <c r="H1532" s="4">
        <v>1125.0222000000001</v>
      </c>
      <c r="I1532" s="4">
        <v>15.6325</v>
      </c>
      <c r="J1532" s="4">
        <v>15.945</v>
      </c>
      <c r="K1532" s="4">
        <v>15.1225</v>
      </c>
      <c r="L1532" s="4">
        <v>15.61</v>
      </c>
      <c r="M1532" s="7">
        <v>-1.4E-3</v>
      </c>
    </row>
    <row r="1533" spans="1:13" x14ac:dyDescent="0.2">
      <c r="A1533" s="6">
        <v>46185</v>
      </c>
      <c r="B1533" s="2" t="s">
        <v>225</v>
      </c>
      <c r="C1533" s="5">
        <v>46174</v>
      </c>
      <c r="D1533" s="2" t="s">
        <v>200</v>
      </c>
      <c r="E1533" s="3">
        <v>3396</v>
      </c>
      <c r="F1533" s="8">
        <v>3.5489000000000002</v>
      </c>
      <c r="G1533" s="4">
        <v>560.06690000000003</v>
      </c>
      <c r="H1533" s="4">
        <v>1188.3767</v>
      </c>
      <c r="I1533" s="4">
        <v>15.612500000000001</v>
      </c>
      <c r="J1533" s="4">
        <v>15.612500000000001</v>
      </c>
      <c r="K1533" s="4">
        <v>14.395</v>
      </c>
      <c r="L1533" s="4">
        <v>14.72</v>
      </c>
      <c r="M1533" s="7">
        <v>-5.7200000000000001E-2</v>
      </c>
    </row>
    <row r="1534" spans="1:13" x14ac:dyDescent="0.2">
      <c r="A1534" s="6">
        <v>46188</v>
      </c>
      <c r="B1534" s="2" t="s">
        <v>228</v>
      </c>
      <c r="C1534" s="5">
        <v>46174</v>
      </c>
      <c r="D1534" s="2" t="s">
        <v>200</v>
      </c>
      <c r="E1534" s="3">
        <v>3455</v>
      </c>
      <c r="F1534" s="8">
        <v>4.1923000000000004</v>
      </c>
      <c r="G1534" s="4">
        <v>609.57870000000003</v>
      </c>
      <c r="H1534" s="4">
        <v>1386.4227000000001</v>
      </c>
      <c r="I1534" s="4">
        <v>14.717499999999999</v>
      </c>
      <c r="J1534" s="4">
        <v>14.717499999999999</v>
      </c>
      <c r="K1534" s="4">
        <v>13.557499999999999</v>
      </c>
      <c r="L1534" s="4">
        <v>14.35</v>
      </c>
      <c r="M1534" s="7">
        <v>-2.5000000000000001E-2</v>
      </c>
    </row>
    <row r="1535" spans="1:13" x14ac:dyDescent="0.2">
      <c r="A1535" s="6">
        <v>46189</v>
      </c>
      <c r="B1535" s="2" t="s">
        <v>226</v>
      </c>
      <c r="C1535" s="5">
        <v>46174</v>
      </c>
      <c r="D1535" s="2" t="s">
        <v>200</v>
      </c>
      <c r="E1535" s="3">
        <v>3420</v>
      </c>
      <c r="F1535" s="8">
        <v>3.7368999999999999</v>
      </c>
      <c r="G1535" s="4">
        <v>589.61490000000003</v>
      </c>
      <c r="H1535" s="4">
        <v>1196.1940999999999</v>
      </c>
      <c r="I1535" s="4">
        <v>14.352499999999999</v>
      </c>
      <c r="J1535" s="4">
        <v>14.352499999999999</v>
      </c>
      <c r="K1535" s="4">
        <v>13.01</v>
      </c>
      <c r="L1535" s="4">
        <v>13.36</v>
      </c>
      <c r="M1535" s="7">
        <v>-6.9199999999999998E-2</v>
      </c>
    </row>
    <row r="1536" spans="1:13" x14ac:dyDescent="0.2">
      <c r="A1536" s="6">
        <v>46190</v>
      </c>
      <c r="B1536" s="2" t="s">
        <v>224</v>
      </c>
      <c r="C1536" s="5">
        <v>46174</v>
      </c>
      <c r="D1536" s="2" t="s">
        <v>200</v>
      </c>
      <c r="E1536" s="3">
        <v>3434</v>
      </c>
      <c r="F1536" s="8">
        <v>3.6951999999999998</v>
      </c>
      <c r="G1536" s="4">
        <v>611.73720000000003</v>
      </c>
      <c r="H1536" s="4">
        <v>1333.6860999999999</v>
      </c>
      <c r="I1536" s="4">
        <v>13.362500000000001</v>
      </c>
      <c r="J1536" s="4">
        <v>13.532500000000001</v>
      </c>
      <c r="K1536" s="4">
        <v>12.35</v>
      </c>
      <c r="L1536" s="4">
        <v>13.19</v>
      </c>
      <c r="M1536" s="7">
        <v>-1.29E-2</v>
      </c>
    </row>
    <row r="1537" spans="1:13" x14ac:dyDescent="0.2">
      <c r="A1537" s="6">
        <v>46191</v>
      </c>
      <c r="B1537" s="2" t="s">
        <v>227</v>
      </c>
      <c r="C1537" s="5">
        <v>46174</v>
      </c>
      <c r="D1537" s="2" t="s">
        <v>200</v>
      </c>
      <c r="E1537" s="3">
        <v>3388</v>
      </c>
      <c r="F1537" s="8">
        <v>3.7480000000000002</v>
      </c>
      <c r="G1537" s="4">
        <v>585.73050000000001</v>
      </c>
      <c r="H1537" s="4">
        <v>1338.7204999999999</v>
      </c>
      <c r="I1537" s="4">
        <v>13.1875</v>
      </c>
      <c r="J1537" s="4">
        <v>13.225</v>
      </c>
      <c r="K1537" s="4">
        <v>11.9925</v>
      </c>
      <c r="L1537" s="4">
        <v>12.67</v>
      </c>
      <c r="M1537" s="7">
        <v>-3.9199999999999999E-2</v>
      </c>
    </row>
    <row r="1538" spans="1:13" x14ac:dyDescent="0.2">
      <c r="A1538" s="6">
        <v>46192</v>
      </c>
      <c r="B1538" s="2" t="s">
        <v>225</v>
      </c>
      <c r="C1538" s="5">
        <v>46174</v>
      </c>
      <c r="D1538" s="2" t="s">
        <v>200</v>
      </c>
      <c r="E1538" s="3">
        <v>3403</v>
      </c>
      <c r="F1538" s="8">
        <v>4.0644999999999998</v>
      </c>
      <c r="G1538" s="4">
        <v>627.86559999999997</v>
      </c>
      <c r="H1538" s="4">
        <v>1599.8195000000001</v>
      </c>
      <c r="I1538" s="4">
        <v>12.672499999999999</v>
      </c>
      <c r="J1538" s="4">
        <v>13.6425</v>
      </c>
      <c r="K1538" s="4">
        <v>12.07</v>
      </c>
      <c r="L1538" s="4">
        <v>12.97</v>
      </c>
      <c r="M1538" s="7">
        <v>2.35E-2</v>
      </c>
    </row>
    <row r="1539" spans="1:13" x14ac:dyDescent="0.2">
      <c r="A1539" s="6">
        <v>46195</v>
      </c>
      <c r="B1539" s="2" t="s">
        <v>228</v>
      </c>
      <c r="C1539" s="5">
        <v>46174</v>
      </c>
      <c r="D1539" s="2" t="s">
        <v>200</v>
      </c>
      <c r="E1539" s="3">
        <v>3457</v>
      </c>
      <c r="F1539" s="8">
        <v>3.7385000000000002</v>
      </c>
      <c r="G1539" s="4">
        <v>485.27530000000002</v>
      </c>
      <c r="H1539" s="4">
        <v>1189.48</v>
      </c>
      <c r="I1539" s="4">
        <v>12.97</v>
      </c>
      <c r="J1539" s="4">
        <v>13.51</v>
      </c>
      <c r="K1539" s="4">
        <v>12.647500000000001</v>
      </c>
      <c r="L1539" s="4">
        <v>12.84</v>
      </c>
      <c r="M1539" s="7">
        <v>-0.01</v>
      </c>
    </row>
    <row r="1540" spans="1:13" x14ac:dyDescent="0.2">
      <c r="A1540" s="6">
        <v>46196</v>
      </c>
      <c r="B1540" s="2" t="s">
        <v>226</v>
      </c>
      <c r="C1540" s="5">
        <v>46174</v>
      </c>
      <c r="D1540" s="2" t="s">
        <v>200</v>
      </c>
      <c r="E1540" s="3">
        <v>3404</v>
      </c>
      <c r="F1540" s="8">
        <v>3.9009999999999998</v>
      </c>
      <c r="G1540" s="4">
        <v>538.38019999999995</v>
      </c>
      <c r="H1540" s="4">
        <v>1317.8441</v>
      </c>
      <c r="I1540" s="4">
        <v>12.842499999999999</v>
      </c>
      <c r="J1540" s="4">
        <v>14.24</v>
      </c>
      <c r="K1540" s="4">
        <v>12.43</v>
      </c>
      <c r="L1540" s="4">
        <v>13.94</v>
      </c>
      <c r="M1540" s="7">
        <v>8.5500000000000007E-2</v>
      </c>
    </row>
    <row r="1541" spans="1:13" x14ac:dyDescent="0.2">
      <c r="A1541" s="6">
        <v>46197</v>
      </c>
      <c r="B1541" s="2" t="s">
        <v>224</v>
      </c>
      <c r="C1541" s="5">
        <v>46174</v>
      </c>
      <c r="D1541" s="2" t="s">
        <v>200</v>
      </c>
      <c r="E1541" s="3">
        <v>3417</v>
      </c>
      <c r="F1541" s="8">
        <v>3.7726999999999999</v>
      </c>
      <c r="G1541" s="4">
        <v>507.88639999999998</v>
      </c>
      <c r="H1541" s="4">
        <v>1227.7621999999999</v>
      </c>
      <c r="I1541" s="4">
        <v>13.942500000000001</v>
      </c>
      <c r="J1541" s="4">
        <v>14.3025</v>
      </c>
      <c r="K1541" s="4">
        <v>13.295</v>
      </c>
      <c r="L1541" s="4">
        <v>13.39</v>
      </c>
      <c r="M1541" s="7">
        <v>-3.9600000000000003E-2</v>
      </c>
    </row>
    <row r="1542" spans="1:13" x14ac:dyDescent="0.2">
      <c r="A1542" s="6">
        <v>46198</v>
      </c>
      <c r="B1542" s="2" t="s">
        <v>227</v>
      </c>
      <c r="C1542" s="5">
        <v>46174</v>
      </c>
      <c r="D1542" s="2" t="s">
        <v>200</v>
      </c>
      <c r="E1542" s="3">
        <v>3428</v>
      </c>
      <c r="F1542" s="8">
        <v>3.7873999999999999</v>
      </c>
      <c r="G1542" s="4">
        <v>532.26649999999995</v>
      </c>
      <c r="H1542" s="4">
        <v>1360.5169000000001</v>
      </c>
      <c r="I1542" s="4">
        <v>13.385</v>
      </c>
      <c r="J1542" s="4">
        <v>13.385</v>
      </c>
      <c r="K1542" s="4">
        <v>12.432499999999999</v>
      </c>
      <c r="L1542" s="4">
        <v>13.05</v>
      </c>
      <c r="M1542" s="7">
        <v>-2.5000000000000001E-2</v>
      </c>
    </row>
    <row r="1543" spans="1:13" x14ac:dyDescent="0.2">
      <c r="A1543" s="6">
        <v>46202</v>
      </c>
      <c r="B1543" s="2" t="s">
        <v>228</v>
      </c>
      <c r="C1543" s="5">
        <v>46174</v>
      </c>
      <c r="D1543" s="2" t="s">
        <v>200</v>
      </c>
      <c r="E1543" s="3">
        <v>3479</v>
      </c>
      <c r="F1543" s="8">
        <v>4.7267999999999999</v>
      </c>
      <c r="G1543" s="4">
        <v>628.95219999999995</v>
      </c>
      <c r="H1543" s="4">
        <v>1834.9186999999999</v>
      </c>
      <c r="I1543" s="4">
        <v>13.05</v>
      </c>
      <c r="J1543" s="4">
        <v>14.07</v>
      </c>
      <c r="K1543" s="4">
        <v>12.9175</v>
      </c>
      <c r="L1543" s="4">
        <v>13.61</v>
      </c>
      <c r="M1543" s="7">
        <v>4.2900000000000001E-2</v>
      </c>
    </row>
    <row r="1544" spans="1:13" x14ac:dyDescent="0.2">
      <c r="A1544" s="6">
        <v>46203</v>
      </c>
      <c r="B1544" s="2" t="s">
        <v>226</v>
      </c>
      <c r="C1544" s="5">
        <v>46174</v>
      </c>
      <c r="D1544" s="2" t="s">
        <v>200</v>
      </c>
      <c r="E1544" s="3">
        <v>3419</v>
      </c>
      <c r="F1544" s="8">
        <v>4.0259</v>
      </c>
      <c r="G1544" s="4">
        <v>567.55269999999996</v>
      </c>
      <c r="H1544" s="4">
        <v>1404.0722000000001</v>
      </c>
      <c r="I1544" s="4">
        <v>13.61</v>
      </c>
      <c r="J1544" s="4">
        <v>13.967499999999999</v>
      </c>
      <c r="K1544" s="4">
        <v>13.1525</v>
      </c>
      <c r="L1544" s="4">
        <v>13.6</v>
      </c>
      <c r="M1544" s="7">
        <v>-6.9999999999999999E-4</v>
      </c>
    </row>
    <row r="1545" spans="1:13" x14ac:dyDescent="0.2">
      <c r="A1545" s="6">
        <v>46204</v>
      </c>
      <c r="B1545" s="2" t="s">
        <v>224</v>
      </c>
      <c r="C1545" s="5">
        <v>46204</v>
      </c>
      <c r="D1545" s="2" t="s">
        <v>201</v>
      </c>
      <c r="E1545" s="3">
        <v>3430</v>
      </c>
      <c r="F1545" s="8">
        <v>3.8104</v>
      </c>
      <c r="G1545" s="4">
        <v>556.1748</v>
      </c>
      <c r="H1545" s="4">
        <v>1192.4260999999999</v>
      </c>
      <c r="I1545" s="4">
        <v>13.6</v>
      </c>
      <c r="J1545" s="4">
        <v>14.0725</v>
      </c>
      <c r="K1545" s="4">
        <v>13.15</v>
      </c>
      <c r="L1545" s="4">
        <v>13.24</v>
      </c>
      <c r="M1545" s="7">
        <v>-2.6499999999999999E-2</v>
      </c>
    </row>
    <row r="1546" spans="1:13" x14ac:dyDescent="0.2">
      <c r="A1546" s="6">
        <v>46205</v>
      </c>
      <c r="B1546" s="2" t="s">
        <v>227</v>
      </c>
      <c r="C1546" s="5">
        <v>46204</v>
      </c>
      <c r="D1546" s="2" t="s">
        <v>201</v>
      </c>
      <c r="E1546" s="3">
        <v>3463</v>
      </c>
      <c r="F1546" s="8">
        <v>3.7820999999999998</v>
      </c>
      <c r="G1546" s="4">
        <v>558.68759999999997</v>
      </c>
      <c r="H1546" s="4">
        <v>1223.7781</v>
      </c>
      <c r="I1546" s="4">
        <v>13.2425</v>
      </c>
      <c r="J1546" s="4">
        <v>13.2925</v>
      </c>
      <c r="K1546" s="4">
        <v>12.192500000000001</v>
      </c>
      <c r="L1546" s="4">
        <v>12.29</v>
      </c>
      <c r="M1546" s="7">
        <v>-7.1900000000000006E-2</v>
      </c>
    </row>
    <row r="1547" spans="1:13" x14ac:dyDescent="0.2">
      <c r="A1547" s="6">
        <v>46206</v>
      </c>
      <c r="B1547" s="2" t="s">
        <v>225</v>
      </c>
      <c r="C1547" s="5">
        <v>46204</v>
      </c>
      <c r="D1547" s="2" t="s">
        <v>201</v>
      </c>
      <c r="E1547" s="3">
        <v>3447</v>
      </c>
      <c r="F1547" s="8">
        <v>3.8548</v>
      </c>
      <c r="G1547" s="4">
        <v>605.23050000000001</v>
      </c>
      <c r="H1547" s="4">
        <v>1316.5367000000001</v>
      </c>
      <c r="I1547" s="4">
        <v>12.2875</v>
      </c>
      <c r="J1547" s="4">
        <v>12.2875</v>
      </c>
      <c r="K1547" s="4">
        <v>11.65</v>
      </c>
      <c r="L1547" s="4">
        <v>11.8</v>
      </c>
      <c r="M1547" s="7">
        <v>-3.9699999999999999E-2</v>
      </c>
    </row>
    <row r="1548" spans="1:13" x14ac:dyDescent="0.2">
      <c r="A1548" s="6">
        <v>46209</v>
      </c>
      <c r="B1548" s="2" t="s">
        <v>228</v>
      </c>
      <c r="C1548" s="5">
        <v>46204</v>
      </c>
      <c r="D1548" s="2" t="s">
        <v>201</v>
      </c>
      <c r="E1548" s="3">
        <v>3469</v>
      </c>
      <c r="F1548" s="8">
        <v>3.5720000000000001</v>
      </c>
      <c r="G1548" s="4">
        <v>465.5865</v>
      </c>
      <c r="H1548" s="4">
        <v>1126.9635000000001</v>
      </c>
      <c r="I1548" s="4">
        <v>11.797499999999999</v>
      </c>
      <c r="J1548" s="4">
        <v>12.3575</v>
      </c>
      <c r="K1548" s="4">
        <v>11.702500000000001</v>
      </c>
      <c r="L1548" s="4">
        <v>11.82</v>
      </c>
      <c r="M1548" s="7">
        <v>1.9E-3</v>
      </c>
    </row>
    <row r="1549" spans="1:13" x14ac:dyDescent="0.2">
      <c r="A1549" s="6">
        <v>46210</v>
      </c>
      <c r="B1549" s="2" t="s">
        <v>226</v>
      </c>
      <c r="C1549" s="5">
        <v>46204</v>
      </c>
      <c r="D1549" s="2" t="s">
        <v>201</v>
      </c>
      <c r="E1549" s="3">
        <v>3394</v>
      </c>
      <c r="F1549" s="8">
        <v>3.8098000000000001</v>
      </c>
      <c r="G1549" s="4">
        <v>470.76940000000002</v>
      </c>
      <c r="H1549" s="4">
        <v>1278.9232999999999</v>
      </c>
      <c r="I1549" s="4">
        <v>11.817500000000001</v>
      </c>
      <c r="J1549" s="4">
        <v>11.935</v>
      </c>
      <c r="K1549" s="4">
        <v>11.055</v>
      </c>
      <c r="L1549" s="4">
        <v>11.65</v>
      </c>
      <c r="M1549" s="7">
        <v>-1.4200000000000001E-2</v>
      </c>
    </row>
    <row r="1550" spans="1:13" x14ac:dyDescent="0.2">
      <c r="A1550" s="6">
        <v>46211</v>
      </c>
      <c r="B1550" s="2" t="s">
        <v>224</v>
      </c>
      <c r="C1550" s="5">
        <v>46204</v>
      </c>
      <c r="D1550" s="2" t="s">
        <v>201</v>
      </c>
      <c r="E1550" s="3">
        <v>3422</v>
      </c>
      <c r="F1550" s="8">
        <v>4.4169</v>
      </c>
      <c r="G1550" s="4">
        <v>567.41560000000004</v>
      </c>
      <c r="H1550" s="4">
        <v>1383.8965000000001</v>
      </c>
      <c r="I1550" s="4">
        <v>11.647500000000001</v>
      </c>
      <c r="J1550" s="4">
        <v>15.16</v>
      </c>
      <c r="K1550" s="4">
        <v>11.335000000000001</v>
      </c>
      <c r="L1550" s="4">
        <v>14.68</v>
      </c>
      <c r="M1550" s="7">
        <v>0.26040000000000002</v>
      </c>
    </row>
    <row r="1551" spans="1:13" x14ac:dyDescent="0.2">
      <c r="A1551" s="6">
        <v>46212</v>
      </c>
      <c r="B1551" s="2" t="s">
        <v>227</v>
      </c>
      <c r="C1551" s="5">
        <v>46204</v>
      </c>
      <c r="D1551" s="2" t="s">
        <v>201</v>
      </c>
      <c r="E1551" s="3">
        <v>3421</v>
      </c>
      <c r="F1551" s="8">
        <v>3.8450000000000002</v>
      </c>
      <c r="G1551" s="4">
        <v>527.05579999999998</v>
      </c>
      <c r="H1551" s="4">
        <v>1244.9875</v>
      </c>
      <c r="I1551" s="4">
        <v>14.68</v>
      </c>
      <c r="J1551" s="4">
        <v>14.68</v>
      </c>
      <c r="K1551" s="4">
        <v>13.067500000000001</v>
      </c>
      <c r="L1551" s="4">
        <v>13.36</v>
      </c>
      <c r="M1551" s="7">
        <v>-8.9899999999999994E-2</v>
      </c>
    </row>
    <row r="1552" spans="1:13" x14ac:dyDescent="0.2">
      <c r="A1552" s="6">
        <v>46213</v>
      </c>
      <c r="B1552" s="2" t="s">
        <v>225</v>
      </c>
      <c r="C1552" s="5">
        <v>46204</v>
      </c>
      <c r="D1552" s="2" t="s">
        <v>201</v>
      </c>
      <c r="E1552" s="3">
        <v>3417</v>
      </c>
      <c r="F1552" s="8">
        <v>3.7488000000000001</v>
      </c>
      <c r="G1552" s="4">
        <v>462.30869999999999</v>
      </c>
      <c r="H1552" s="4">
        <v>1221.5767000000001</v>
      </c>
      <c r="I1552" s="4">
        <v>13.362500000000001</v>
      </c>
      <c r="J1552" s="4">
        <v>13.362500000000001</v>
      </c>
      <c r="K1552" s="4">
        <v>12.1275</v>
      </c>
      <c r="L1552" s="4">
        <v>12.25</v>
      </c>
      <c r="M1552" s="7">
        <v>-8.3299999999999999E-2</v>
      </c>
    </row>
    <row r="1553" spans="1:13" x14ac:dyDescent="0.2">
      <c r="A1553" s="6">
        <v>46216</v>
      </c>
      <c r="B1553" s="2" t="s">
        <v>228</v>
      </c>
      <c r="C1553" s="5">
        <v>46204</v>
      </c>
      <c r="D1553" s="2" t="s">
        <v>201</v>
      </c>
      <c r="E1553" s="3">
        <v>3451</v>
      </c>
      <c r="F1553" s="8">
        <v>3.7482000000000002</v>
      </c>
      <c r="G1553" s="4">
        <v>460.56549999999999</v>
      </c>
      <c r="H1553" s="4">
        <v>1216.8425999999999</v>
      </c>
      <c r="I1553" s="4">
        <v>12.2525</v>
      </c>
      <c r="J1553" s="4">
        <v>13.522500000000001</v>
      </c>
      <c r="K1553" s="4">
        <v>9.4749999999999996</v>
      </c>
      <c r="L1553" s="4">
        <v>13.28</v>
      </c>
      <c r="M1553" s="7">
        <v>8.3900000000000002E-2</v>
      </c>
    </row>
    <row r="1554" spans="1:13" x14ac:dyDescent="0.2">
      <c r="A1554" s="6">
        <v>46217</v>
      </c>
      <c r="B1554" s="2" t="s">
        <v>226</v>
      </c>
      <c r="C1554" s="5">
        <v>46204</v>
      </c>
      <c r="D1554" s="2" t="s">
        <v>201</v>
      </c>
      <c r="E1554" s="3">
        <v>3418</v>
      </c>
      <c r="F1554" s="8">
        <v>3.6576</v>
      </c>
      <c r="G1554" s="4">
        <v>431.93729999999999</v>
      </c>
      <c r="H1554" s="4">
        <v>1207.2396000000001</v>
      </c>
      <c r="I1554" s="4">
        <v>13.28</v>
      </c>
      <c r="J1554" s="4">
        <v>13.865</v>
      </c>
      <c r="K1554" s="4">
        <v>11.657500000000001</v>
      </c>
      <c r="L1554" s="4">
        <v>13.75</v>
      </c>
      <c r="M1554" s="7">
        <v>3.5400000000000001E-2</v>
      </c>
    </row>
    <row r="1555" spans="1:13" x14ac:dyDescent="0.2">
      <c r="A1555" s="6">
        <v>46218</v>
      </c>
      <c r="B1555" s="2" t="s">
        <v>224</v>
      </c>
      <c r="C1555" s="5">
        <v>46204</v>
      </c>
      <c r="D1555" s="2" t="s">
        <v>201</v>
      </c>
      <c r="E1555" s="3">
        <v>3409</v>
      </c>
      <c r="F1555" s="8">
        <v>3.6061999999999999</v>
      </c>
      <c r="G1555" s="4">
        <v>501.82619999999997</v>
      </c>
      <c r="H1555" s="4">
        <v>1209.4156</v>
      </c>
      <c r="I1555" s="4">
        <v>13.75</v>
      </c>
      <c r="J1555" s="4">
        <v>13.8725</v>
      </c>
      <c r="K1555" s="4">
        <v>13.04</v>
      </c>
      <c r="L1555" s="4">
        <v>13.27</v>
      </c>
      <c r="M1555" s="7">
        <v>-3.49E-2</v>
      </c>
    </row>
    <row r="1556" spans="1:13" x14ac:dyDescent="0.2">
      <c r="A1556" s="6">
        <v>46219</v>
      </c>
      <c r="B1556" s="2" t="s">
        <v>227</v>
      </c>
      <c r="C1556" s="5">
        <v>46204</v>
      </c>
      <c r="D1556" s="2" t="s">
        <v>201</v>
      </c>
      <c r="E1556" s="3">
        <v>3439</v>
      </c>
      <c r="F1556" s="8">
        <v>3.5792999999999999</v>
      </c>
      <c r="G1556" s="4">
        <v>421.14800000000002</v>
      </c>
      <c r="H1556" s="4">
        <v>1224.3715999999999</v>
      </c>
      <c r="I1556" s="4">
        <v>13.27</v>
      </c>
      <c r="J1556" s="4">
        <v>13.27</v>
      </c>
      <c r="K1556" s="4">
        <v>12.775</v>
      </c>
      <c r="L1556" s="4">
        <v>12.88</v>
      </c>
      <c r="M1556" s="7">
        <v>-2.9399999999999999E-2</v>
      </c>
    </row>
    <row r="1557" spans="1:13" x14ac:dyDescent="0.2">
      <c r="A1557" s="6">
        <v>46220</v>
      </c>
      <c r="B1557" s="2" t="s">
        <v>225</v>
      </c>
      <c r="C1557" s="5">
        <v>46204</v>
      </c>
      <c r="D1557" s="2" t="s">
        <v>201</v>
      </c>
      <c r="E1557" s="3">
        <v>3426</v>
      </c>
      <c r="F1557" s="8">
        <v>3.4464999999999999</v>
      </c>
      <c r="G1557" s="4">
        <v>456.47109999999998</v>
      </c>
      <c r="H1557" s="4">
        <v>1144.03</v>
      </c>
      <c r="I1557" s="4">
        <v>12.8825</v>
      </c>
      <c r="J1557" s="4">
        <v>13.35</v>
      </c>
      <c r="K1557" s="4">
        <v>12.81</v>
      </c>
      <c r="L1557" s="4">
        <v>13.15</v>
      </c>
      <c r="M1557" s="7">
        <v>2.0799999999999999E-2</v>
      </c>
    </row>
    <row r="1558" spans="1:13" x14ac:dyDescent="0.2">
      <c r="A1558" s="6">
        <v>46223</v>
      </c>
      <c r="B1558" s="2" t="s">
        <v>228</v>
      </c>
      <c r="C1558" s="5">
        <v>46204</v>
      </c>
      <c r="D1558" s="2" t="s">
        <v>201</v>
      </c>
      <c r="E1558" s="3">
        <v>3395</v>
      </c>
      <c r="F1558" s="8">
        <v>3.4167000000000001</v>
      </c>
      <c r="G1558" s="4">
        <v>427.77089999999998</v>
      </c>
      <c r="H1558" s="4">
        <v>1077.9545000000001</v>
      </c>
      <c r="I1558" s="4">
        <v>13.15</v>
      </c>
      <c r="J1558" s="4">
        <v>13.842499999999999</v>
      </c>
      <c r="K1558" s="4">
        <v>12.8925</v>
      </c>
      <c r="L1558" s="4">
        <v>12.98</v>
      </c>
      <c r="M1558" s="7">
        <v>-1.29E-2</v>
      </c>
    </row>
    <row r="1559" spans="1:13" x14ac:dyDescent="0.2">
      <c r="A1559" s="6">
        <v>46224</v>
      </c>
      <c r="B1559" s="2" t="s">
        <v>226</v>
      </c>
      <c r="C1559" s="5">
        <v>46204</v>
      </c>
      <c r="D1559" s="2" t="s">
        <v>201</v>
      </c>
      <c r="E1559" s="3">
        <v>3442</v>
      </c>
      <c r="F1559" s="8">
        <v>3.5356000000000001</v>
      </c>
      <c r="G1559" s="4">
        <v>429.29450000000003</v>
      </c>
      <c r="H1559" s="4">
        <v>1133.5033000000001</v>
      </c>
      <c r="I1559" s="4">
        <v>12.98</v>
      </c>
      <c r="J1559" s="4">
        <v>13.08</v>
      </c>
      <c r="K1559" s="4">
        <v>12.0975</v>
      </c>
      <c r="L1559" s="4">
        <v>12.6</v>
      </c>
      <c r="M1559" s="7">
        <v>-2.93E-2</v>
      </c>
    </row>
    <row r="1560" spans="1:13" x14ac:dyDescent="0.2">
      <c r="A1560" s="6">
        <v>46225</v>
      </c>
      <c r="B1560" s="2" t="s">
        <v>224</v>
      </c>
      <c r="C1560" s="5">
        <v>46204</v>
      </c>
      <c r="D1560" s="2" t="s">
        <v>201</v>
      </c>
      <c r="E1560" s="3">
        <v>3417</v>
      </c>
      <c r="F1560" s="8">
        <v>3.5320999999999998</v>
      </c>
      <c r="G1560" s="4">
        <v>426.62670000000003</v>
      </c>
      <c r="H1560" s="4">
        <v>1114.5997</v>
      </c>
      <c r="I1560" s="4">
        <v>12.6</v>
      </c>
      <c r="J1560" s="4">
        <v>13.425000000000001</v>
      </c>
      <c r="K1560" s="4">
        <v>11.725</v>
      </c>
      <c r="L1560" s="4">
        <v>13.29</v>
      </c>
      <c r="M1560" s="7">
        <v>5.4800000000000001E-2</v>
      </c>
    </row>
    <row r="1561" spans="1:13" x14ac:dyDescent="0.2">
      <c r="A1561" s="6">
        <v>46226</v>
      </c>
      <c r="B1561" s="2" t="s">
        <v>227</v>
      </c>
      <c r="C1561" s="5">
        <v>46204</v>
      </c>
      <c r="D1561" s="2" t="s">
        <v>201</v>
      </c>
      <c r="E1561" s="3">
        <v>3393</v>
      </c>
      <c r="F1561" s="8">
        <v>3.5891999999999999</v>
      </c>
      <c r="G1561" s="4">
        <v>423.07799999999997</v>
      </c>
      <c r="H1561" s="4">
        <v>1117.4962</v>
      </c>
      <c r="I1561" s="4">
        <v>13.2925</v>
      </c>
      <c r="J1561" s="4">
        <v>13.74</v>
      </c>
      <c r="K1561" s="4">
        <v>12.914999999999999</v>
      </c>
      <c r="L1561" s="4">
        <v>13.48</v>
      </c>
      <c r="M1561" s="7">
        <v>1.41E-2</v>
      </c>
    </row>
    <row r="1562" spans="1:13" x14ac:dyDescent="0.2">
      <c r="A1562" s="6">
        <v>46227</v>
      </c>
      <c r="B1562" s="2" t="s">
        <v>225</v>
      </c>
      <c r="C1562" s="5">
        <v>46204</v>
      </c>
      <c r="D1562" s="2" t="s">
        <v>201</v>
      </c>
      <c r="E1562" s="3">
        <v>3432</v>
      </c>
      <c r="F1562" s="8">
        <v>3.5415999999999999</v>
      </c>
      <c r="G1562" s="4">
        <v>421.98450000000003</v>
      </c>
      <c r="H1562" s="4">
        <v>1104.6821</v>
      </c>
      <c r="I1562" s="4">
        <v>13.475</v>
      </c>
      <c r="J1562" s="4">
        <v>14.7675</v>
      </c>
      <c r="K1562" s="4">
        <v>13.18</v>
      </c>
      <c r="L1562" s="4">
        <v>14.03</v>
      </c>
      <c r="M1562" s="7">
        <v>4.1200000000000001E-2</v>
      </c>
    </row>
    <row r="1563" spans="1:13" x14ac:dyDescent="0.2">
      <c r="A1563" s="6">
        <v>46230</v>
      </c>
      <c r="B1563" s="2" t="s">
        <v>228</v>
      </c>
      <c r="C1563" s="5">
        <v>46204</v>
      </c>
      <c r="D1563" s="2" t="s">
        <v>201</v>
      </c>
      <c r="E1563" s="3">
        <v>3453</v>
      </c>
      <c r="F1563" s="8">
        <v>3.3618999999999999</v>
      </c>
      <c r="G1563" s="4">
        <v>394.15440000000001</v>
      </c>
      <c r="H1563" s="4">
        <v>1064.0383999999999</v>
      </c>
      <c r="I1563" s="4">
        <v>14.03</v>
      </c>
      <c r="J1563" s="4">
        <v>14.3325</v>
      </c>
      <c r="K1563" s="4">
        <v>12.602499999999999</v>
      </c>
      <c r="L1563" s="4">
        <v>12.66</v>
      </c>
      <c r="M1563" s="7">
        <v>-9.7600000000000006E-2</v>
      </c>
    </row>
    <row r="1564" spans="1:13" x14ac:dyDescent="0.2">
      <c r="A1564" s="6">
        <v>46231</v>
      </c>
      <c r="B1564" s="2" t="s">
        <v>226</v>
      </c>
      <c r="C1564" s="5">
        <v>46204</v>
      </c>
      <c r="D1564" s="2" t="s">
        <v>201</v>
      </c>
      <c r="E1564" s="3">
        <v>3413</v>
      </c>
      <c r="F1564" s="8">
        <v>3.6791</v>
      </c>
      <c r="G1564" s="4">
        <v>414.1472</v>
      </c>
      <c r="H1564" s="4">
        <v>1246.6566</v>
      </c>
      <c r="I1564" s="4">
        <v>12.66</v>
      </c>
      <c r="J1564" s="4">
        <v>12.82</v>
      </c>
      <c r="K1564" s="4">
        <v>11.7225</v>
      </c>
      <c r="L1564" s="4">
        <v>12.56</v>
      </c>
      <c r="M1564" s="7">
        <v>-7.9000000000000008E-3</v>
      </c>
    </row>
    <row r="1565" spans="1:13" x14ac:dyDescent="0.2">
      <c r="A1565" s="6">
        <v>46232</v>
      </c>
      <c r="B1565" s="2" t="s">
        <v>224</v>
      </c>
      <c r="C1565" s="5">
        <v>46204</v>
      </c>
      <c r="D1565" s="2" t="s">
        <v>201</v>
      </c>
      <c r="E1565" s="3">
        <v>3446</v>
      </c>
      <c r="F1565" s="8">
        <v>3.7195</v>
      </c>
      <c r="G1565" s="4">
        <v>433.30399999999997</v>
      </c>
      <c r="H1565" s="4">
        <v>1280.9999</v>
      </c>
      <c r="I1565" s="4">
        <v>12.5625</v>
      </c>
      <c r="J1565" s="4">
        <v>12.5625</v>
      </c>
      <c r="K1565" s="4">
        <v>11.5625</v>
      </c>
      <c r="L1565" s="4">
        <v>12.01</v>
      </c>
      <c r="M1565" s="7">
        <v>-4.3999999999999997E-2</v>
      </c>
    </row>
    <row r="1566" spans="1:13" x14ac:dyDescent="0.2">
      <c r="A1566" s="6">
        <v>46233</v>
      </c>
      <c r="B1566" s="2" t="s">
        <v>227</v>
      </c>
      <c r="C1566" s="5">
        <v>46204</v>
      </c>
      <c r="D1566" s="2" t="s">
        <v>201</v>
      </c>
      <c r="E1566" s="3">
        <v>3422</v>
      </c>
      <c r="F1566" s="8">
        <v>3.7584</v>
      </c>
      <c r="G1566" s="4">
        <v>395.63549999999998</v>
      </c>
      <c r="H1566" s="4">
        <v>1251.9558</v>
      </c>
      <c r="I1566" s="4">
        <v>12.0075</v>
      </c>
      <c r="J1566" s="4">
        <v>12.317500000000001</v>
      </c>
      <c r="K1566" s="4">
        <v>11.3025</v>
      </c>
      <c r="L1566" s="4">
        <v>12.16</v>
      </c>
      <c r="M1566" s="7">
        <v>1.2699999999999999E-2</v>
      </c>
    </row>
    <row r="1567" spans="1:13" x14ac:dyDescent="0.2">
      <c r="A1567" s="6">
        <v>46234</v>
      </c>
      <c r="B1567" s="2" t="s">
        <v>225</v>
      </c>
      <c r="C1567" s="5">
        <v>46204</v>
      </c>
      <c r="D1567" s="2" t="s">
        <v>201</v>
      </c>
      <c r="E1567" s="3">
        <v>3440</v>
      </c>
      <c r="F1567" s="8">
        <v>3.7627000000000002</v>
      </c>
      <c r="G1567" s="4">
        <v>436.56920000000002</v>
      </c>
      <c r="H1567" s="4">
        <v>1312.7478000000001</v>
      </c>
      <c r="I1567" s="4">
        <v>12.154999999999999</v>
      </c>
      <c r="J1567" s="4">
        <v>12.21</v>
      </c>
      <c r="K1567" s="4">
        <v>11.645</v>
      </c>
      <c r="L1567" s="4">
        <v>11.76</v>
      </c>
      <c r="M1567" s="7">
        <v>-3.2500000000000001E-2</v>
      </c>
    </row>
    <row r="1568" spans="1:13" x14ac:dyDescent="0.2">
      <c r="A1568" s="6">
        <v>46237</v>
      </c>
      <c r="B1568" s="2" t="s">
        <v>228</v>
      </c>
      <c r="C1568" s="5">
        <v>46235</v>
      </c>
      <c r="D1568" s="2" t="s">
        <v>201</v>
      </c>
      <c r="E1568" s="3">
        <v>3514</v>
      </c>
      <c r="F1568" s="8">
        <v>3.8485999999999998</v>
      </c>
      <c r="G1568" s="4">
        <v>460.9117</v>
      </c>
      <c r="H1568" s="4">
        <v>1237.7539999999999</v>
      </c>
      <c r="I1568" s="4">
        <v>11.755000000000001</v>
      </c>
      <c r="J1568" s="4">
        <v>12.06</v>
      </c>
      <c r="K1568" s="4">
        <v>11.695</v>
      </c>
      <c r="L1568" s="4">
        <v>11.93</v>
      </c>
      <c r="M1568" s="7">
        <v>1.49E-2</v>
      </c>
    </row>
    <row r="1569" spans="1:13" x14ac:dyDescent="0.2">
      <c r="A1569" s="6">
        <v>46238</v>
      </c>
      <c r="B1569" s="2" t="s">
        <v>226</v>
      </c>
      <c r="C1569" s="5">
        <v>46235</v>
      </c>
      <c r="D1569" s="2" t="s">
        <v>201</v>
      </c>
      <c r="E1569" s="3">
        <v>3447</v>
      </c>
      <c r="F1569" s="8">
        <v>3.5162</v>
      </c>
      <c r="G1569" s="4">
        <v>440.84750000000003</v>
      </c>
      <c r="H1569" s="4">
        <v>1245.7229</v>
      </c>
      <c r="I1569" s="4">
        <v>11.925000000000001</v>
      </c>
      <c r="J1569" s="4">
        <v>12.545</v>
      </c>
      <c r="K1569" s="4">
        <v>11.4275</v>
      </c>
      <c r="L1569" s="4">
        <v>12.19</v>
      </c>
      <c r="M1569" s="7">
        <v>2.2200000000000001E-2</v>
      </c>
    </row>
    <row r="1570" spans="1:13" x14ac:dyDescent="0.2">
      <c r="A1570" s="6">
        <v>46239</v>
      </c>
      <c r="B1570" s="2" t="s">
        <v>224</v>
      </c>
      <c r="C1570" s="5">
        <v>46235</v>
      </c>
      <c r="D1570" s="2" t="s">
        <v>201</v>
      </c>
      <c r="E1570" s="3">
        <v>3477</v>
      </c>
      <c r="F1570" s="8">
        <v>3.7496999999999998</v>
      </c>
      <c r="G1570" s="4">
        <v>472.33409999999998</v>
      </c>
      <c r="H1570" s="4">
        <v>1311.3415</v>
      </c>
      <c r="I1570" s="4">
        <v>12.19</v>
      </c>
      <c r="J1570" s="4">
        <v>12.672499999999999</v>
      </c>
      <c r="K1570" s="4">
        <v>10.805</v>
      </c>
      <c r="L1570" s="4">
        <v>12.06</v>
      </c>
      <c r="M1570" s="7">
        <v>-1.0699999999999999E-2</v>
      </c>
    </row>
    <row r="1571" spans="1:13" x14ac:dyDescent="0.2">
      <c r="A1571" s="6">
        <v>46240</v>
      </c>
      <c r="B1571" s="2" t="s">
        <v>227</v>
      </c>
      <c r="C1571" s="5">
        <v>46235</v>
      </c>
      <c r="D1571" s="2" t="s">
        <v>201</v>
      </c>
      <c r="E1571" s="3">
        <v>3484</v>
      </c>
      <c r="F1571" s="8">
        <v>3.9626000000000001</v>
      </c>
      <c r="G1571" s="4">
        <v>441.09570000000002</v>
      </c>
      <c r="H1571" s="4">
        <v>1356.1170999999999</v>
      </c>
      <c r="I1571" s="4">
        <v>12.06</v>
      </c>
      <c r="J1571" s="4">
        <v>12.432499999999999</v>
      </c>
      <c r="K1571" s="4">
        <v>10.095000000000001</v>
      </c>
      <c r="L1571" s="4">
        <v>12.16</v>
      </c>
      <c r="M1571" s="7">
        <v>8.3000000000000001E-3</v>
      </c>
    </row>
    <row r="1572" spans="1:13" x14ac:dyDescent="0.2">
      <c r="A1572" s="6">
        <v>46241</v>
      </c>
      <c r="B1572" s="2" t="s">
        <v>225</v>
      </c>
      <c r="C1572" s="5">
        <v>46235</v>
      </c>
      <c r="D1572" s="2" t="s">
        <v>201</v>
      </c>
      <c r="E1572" s="3">
        <v>3473</v>
      </c>
      <c r="F1572" s="8">
        <v>3.5977000000000001</v>
      </c>
      <c r="G1572" s="4">
        <v>416.59460000000001</v>
      </c>
      <c r="H1572" s="4">
        <v>1185.4079999999999</v>
      </c>
      <c r="I1572" s="4">
        <v>12.157500000000001</v>
      </c>
      <c r="J1572" s="4">
        <v>12.547499999999999</v>
      </c>
      <c r="K1572" s="4">
        <v>11.3</v>
      </c>
      <c r="L1572" s="4">
        <v>12.16</v>
      </c>
      <c r="M1572" s="7">
        <v>2.0000000000000001E-4</v>
      </c>
    </row>
    <row r="1573" spans="1:13" x14ac:dyDescent="0.2">
      <c r="A1573" s="6">
        <v>46244</v>
      </c>
      <c r="B1573" s="2" t="s">
        <v>228</v>
      </c>
      <c r="C1573" s="5">
        <v>46235</v>
      </c>
      <c r="D1573" s="2" t="s">
        <v>201</v>
      </c>
      <c r="E1573" s="3">
        <v>3564</v>
      </c>
      <c r="F1573" s="8">
        <v>3.7706</v>
      </c>
      <c r="G1573" s="4">
        <v>459.79790000000003</v>
      </c>
      <c r="H1573" s="4">
        <v>1213.4567999999999</v>
      </c>
      <c r="I1573" s="4">
        <v>12.154999999999999</v>
      </c>
      <c r="J1573" s="4">
        <v>12.914999999999999</v>
      </c>
      <c r="K1573" s="4">
        <v>10.815</v>
      </c>
      <c r="L1573" s="4">
        <v>12.25</v>
      </c>
      <c r="M1573" s="7">
        <v>7.7999999999999996E-3</v>
      </c>
    </row>
    <row r="1574" spans="1:13" x14ac:dyDescent="0.2">
      <c r="A1574" s="6">
        <v>46245</v>
      </c>
      <c r="B1574" s="2" t="s">
        <v>226</v>
      </c>
      <c r="C1574" s="5">
        <v>46235</v>
      </c>
      <c r="D1574" s="2" t="s">
        <v>201</v>
      </c>
      <c r="E1574" s="3">
        <v>3483</v>
      </c>
      <c r="F1574" s="8">
        <v>3.6989999999999998</v>
      </c>
      <c r="G1574" s="4">
        <v>489.79860000000002</v>
      </c>
      <c r="H1574" s="4">
        <v>1210.3577</v>
      </c>
      <c r="I1574" s="4">
        <v>12.244999999999999</v>
      </c>
      <c r="J1574" s="4">
        <v>12.455</v>
      </c>
      <c r="K1574" s="4">
        <v>11.192500000000001</v>
      </c>
      <c r="L1574" s="4">
        <v>11.86</v>
      </c>
      <c r="M1574" s="7">
        <v>-3.1399999999999997E-2</v>
      </c>
    </row>
    <row r="1575" spans="1:13" x14ac:dyDescent="0.2">
      <c r="A1575" s="6">
        <v>46246</v>
      </c>
      <c r="B1575" s="2" t="s">
        <v>224</v>
      </c>
      <c r="C1575" s="5">
        <v>46235</v>
      </c>
      <c r="D1575" s="2" t="s">
        <v>201</v>
      </c>
      <c r="E1575" s="3">
        <v>3480</v>
      </c>
      <c r="F1575" s="8">
        <v>3.8376999999999999</v>
      </c>
      <c r="G1575" s="4">
        <v>509.27550000000002</v>
      </c>
      <c r="H1575" s="4">
        <v>1308.114</v>
      </c>
      <c r="I1575" s="4">
        <v>11.855</v>
      </c>
      <c r="J1575" s="4">
        <v>12.09</v>
      </c>
      <c r="K1575" s="4">
        <v>11.2575</v>
      </c>
      <c r="L1575" s="4">
        <v>11.69</v>
      </c>
      <c r="M1575" s="7">
        <v>-1.3899999999999999E-2</v>
      </c>
    </row>
    <row r="1576" spans="1:13" x14ac:dyDescent="0.2">
      <c r="A1576" s="6">
        <v>46247</v>
      </c>
      <c r="B1576" s="2" t="s">
        <v>227</v>
      </c>
      <c r="C1576" s="5">
        <v>46235</v>
      </c>
      <c r="D1576" s="2" t="s">
        <v>201</v>
      </c>
      <c r="E1576" s="3">
        <v>3503</v>
      </c>
      <c r="F1576" s="8">
        <v>3.4657</v>
      </c>
      <c r="G1576" s="4">
        <v>416.57279999999997</v>
      </c>
      <c r="H1576" s="4">
        <v>1116.3570999999999</v>
      </c>
      <c r="I1576" s="4">
        <v>11.69</v>
      </c>
      <c r="J1576" s="4">
        <v>12.1975</v>
      </c>
      <c r="K1576" s="4">
        <v>10.6525</v>
      </c>
      <c r="L1576" s="4">
        <v>11.42</v>
      </c>
      <c r="M1576" s="7">
        <v>-2.3099999999999999E-2</v>
      </c>
    </row>
    <row r="1577" spans="1:13" x14ac:dyDescent="0.2">
      <c r="A1577" s="6">
        <v>46248</v>
      </c>
      <c r="B1577" s="2" t="s">
        <v>225</v>
      </c>
      <c r="C1577" s="5">
        <v>46235</v>
      </c>
      <c r="D1577" s="2" t="s">
        <v>201</v>
      </c>
      <c r="E1577" s="3">
        <v>3464</v>
      </c>
      <c r="F1577" s="8">
        <v>3.4590999999999998</v>
      </c>
      <c r="G1577" s="4">
        <v>456.67250000000001</v>
      </c>
      <c r="H1577" s="4">
        <v>1055.8466000000001</v>
      </c>
      <c r="I1577" s="4">
        <v>11.4175</v>
      </c>
      <c r="J1577" s="4">
        <v>11.56</v>
      </c>
      <c r="K1577" s="4">
        <v>10.824999999999999</v>
      </c>
      <c r="L1577" s="4">
        <v>11.31</v>
      </c>
      <c r="M1577" s="7">
        <v>-9.4000000000000004E-3</v>
      </c>
    </row>
    <row r="1578" spans="1:13" x14ac:dyDescent="0.2">
      <c r="A1578" s="6">
        <v>46251</v>
      </c>
      <c r="B1578" s="2" t="s">
        <v>228</v>
      </c>
      <c r="C1578" s="5">
        <v>46235</v>
      </c>
      <c r="D1578" s="2" t="s">
        <v>201</v>
      </c>
      <c r="E1578" s="3">
        <v>3626</v>
      </c>
      <c r="F1578" s="8">
        <v>3.5360999999999998</v>
      </c>
      <c r="G1578" s="4">
        <v>411.9325</v>
      </c>
      <c r="H1578" s="4">
        <v>1082.8021000000001</v>
      </c>
      <c r="I1578" s="4">
        <v>11.305</v>
      </c>
      <c r="J1578" s="4">
        <v>11.775</v>
      </c>
      <c r="K1578" s="4">
        <v>11.092499999999999</v>
      </c>
      <c r="L1578" s="4">
        <v>11.33</v>
      </c>
      <c r="M1578" s="7">
        <v>2.2000000000000001E-3</v>
      </c>
    </row>
    <row r="1579" spans="1:13" x14ac:dyDescent="0.2">
      <c r="A1579" s="6">
        <v>46252</v>
      </c>
      <c r="B1579" s="2" t="s">
        <v>226</v>
      </c>
      <c r="C1579" s="5">
        <v>46235</v>
      </c>
      <c r="D1579" s="2" t="s">
        <v>201</v>
      </c>
      <c r="E1579" s="3">
        <v>3586</v>
      </c>
      <c r="F1579" s="8">
        <v>3.4813000000000001</v>
      </c>
      <c r="G1579" s="4">
        <v>437.75869999999998</v>
      </c>
      <c r="H1579" s="4">
        <v>1094.6684</v>
      </c>
      <c r="I1579" s="4">
        <v>11.324999999999999</v>
      </c>
      <c r="J1579" s="4">
        <v>11.785</v>
      </c>
      <c r="K1579" s="4">
        <v>10.14</v>
      </c>
      <c r="L1579" s="4">
        <v>11.39</v>
      </c>
      <c r="M1579" s="7">
        <v>5.7000000000000002E-3</v>
      </c>
    </row>
    <row r="1580" spans="1:13" x14ac:dyDescent="0.2">
      <c r="A1580" s="6">
        <v>46253</v>
      </c>
      <c r="B1580" s="2" t="s">
        <v>224</v>
      </c>
      <c r="C1580" s="5">
        <v>46235</v>
      </c>
      <c r="D1580" s="2" t="s">
        <v>201</v>
      </c>
      <c r="E1580" s="3">
        <v>3614</v>
      </c>
      <c r="F1580" s="8">
        <v>3.5203000000000002</v>
      </c>
      <c r="G1580" s="4">
        <v>436.76749999999998</v>
      </c>
      <c r="H1580" s="4">
        <v>1103.1523</v>
      </c>
      <c r="I1580" s="4">
        <v>11.387499999999999</v>
      </c>
      <c r="J1580" s="4">
        <v>11.725</v>
      </c>
      <c r="K1580" s="4">
        <v>10.06</v>
      </c>
      <c r="L1580" s="4">
        <v>11.32</v>
      </c>
      <c r="M1580" s="7">
        <v>-5.8999999999999999E-3</v>
      </c>
    </row>
    <row r="1581" spans="1:13" x14ac:dyDescent="0.2">
      <c r="A1581" s="6">
        <v>46254</v>
      </c>
      <c r="B1581" s="2" t="s">
        <v>227</v>
      </c>
      <c r="C1581" s="5">
        <v>46235</v>
      </c>
      <c r="D1581" s="2" t="s">
        <v>201</v>
      </c>
      <c r="E1581" s="3">
        <v>3638</v>
      </c>
      <c r="F1581" s="8">
        <v>3.4942000000000002</v>
      </c>
      <c r="G1581" s="4">
        <v>450.76150000000001</v>
      </c>
      <c r="H1581" s="4">
        <v>1100.6215</v>
      </c>
      <c r="I1581" s="4">
        <v>11.3225</v>
      </c>
      <c r="J1581" s="4">
        <v>11.3225</v>
      </c>
      <c r="K1581" s="4">
        <v>9.3324999999999996</v>
      </c>
      <c r="L1581" s="4">
        <v>10.76</v>
      </c>
      <c r="M1581" s="7">
        <v>-4.9700000000000001E-2</v>
      </c>
    </row>
    <row r="1582" spans="1:13" x14ac:dyDescent="0.2">
      <c r="A1582" s="6">
        <v>46255</v>
      </c>
      <c r="B1582" s="2" t="s">
        <v>225</v>
      </c>
      <c r="C1582" s="5">
        <v>46235</v>
      </c>
      <c r="D1582" s="2" t="s">
        <v>201</v>
      </c>
      <c r="E1582" s="3">
        <v>3649</v>
      </c>
      <c r="F1582" s="8">
        <v>3.4342999999999999</v>
      </c>
      <c r="G1582" s="4">
        <v>483.07600000000002</v>
      </c>
      <c r="H1582" s="4">
        <v>1112.3320000000001</v>
      </c>
      <c r="I1582" s="4">
        <v>10.755000000000001</v>
      </c>
      <c r="J1582" s="4">
        <v>11.35</v>
      </c>
      <c r="K1582" s="4">
        <v>9.57</v>
      </c>
      <c r="L1582" s="4">
        <v>11.2</v>
      </c>
      <c r="M1582" s="7">
        <v>4.1399999999999999E-2</v>
      </c>
    </row>
    <row r="1583" spans="1:13" x14ac:dyDescent="0.2">
      <c r="A1583" s="6">
        <v>46258</v>
      </c>
      <c r="B1583" s="2" t="s">
        <v>228</v>
      </c>
      <c r="C1583" s="5">
        <v>46235</v>
      </c>
      <c r="D1583" s="2" t="s">
        <v>201</v>
      </c>
      <c r="E1583" s="3">
        <v>3676</v>
      </c>
      <c r="F1583" s="8">
        <v>3.7543000000000002</v>
      </c>
      <c r="G1583" s="4">
        <v>572.38300000000004</v>
      </c>
      <c r="H1583" s="4">
        <v>1102.0239999999999</v>
      </c>
      <c r="I1583" s="4">
        <v>11.195</v>
      </c>
      <c r="J1583" s="4">
        <v>11.76</v>
      </c>
      <c r="K1583" s="4">
        <v>10.3225</v>
      </c>
      <c r="L1583" s="4">
        <v>11.53</v>
      </c>
      <c r="M1583" s="7">
        <v>2.9899999999999999E-2</v>
      </c>
    </row>
    <row r="1584" spans="1:13" x14ac:dyDescent="0.2">
      <c r="A1584" s="6">
        <v>46259</v>
      </c>
      <c r="B1584" s="2" t="s">
        <v>226</v>
      </c>
      <c r="C1584" s="5">
        <v>46235</v>
      </c>
      <c r="D1584" s="2" t="s">
        <v>201</v>
      </c>
      <c r="E1584" s="3">
        <v>3641</v>
      </c>
      <c r="F1584" s="8">
        <v>3.4296000000000002</v>
      </c>
      <c r="G1584" s="4">
        <v>605.79449999999997</v>
      </c>
      <c r="H1584" s="4">
        <v>1066.5503000000001</v>
      </c>
      <c r="I1584" s="4">
        <v>11.525</v>
      </c>
      <c r="J1584" s="4">
        <v>11.615</v>
      </c>
      <c r="K1584" s="4">
        <v>9.4499999999999993</v>
      </c>
      <c r="L1584" s="4">
        <v>11.08</v>
      </c>
      <c r="M1584" s="7">
        <v>-3.8600000000000002E-2</v>
      </c>
    </row>
    <row r="1585" spans="1:13" x14ac:dyDescent="0.2">
      <c r="A1585" s="6">
        <v>46260</v>
      </c>
      <c r="B1585" s="2" t="s">
        <v>224</v>
      </c>
      <c r="C1585" s="5">
        <v>46235</v>
      </c>
      <c r="D1585" s="2" t="s">
        <v>201</v>
      </c>
      <c r="E1585" s="3">
        <v>3653</v>
      </c>
      <c r="F1585" s="8">
        <v>3.3980999999999999</v>
      </c>
      <c r="G1585" s="4">
        <v>546.44309999999996</v>
      </c>
      <c r="H1585" s="4">
        <v>1155.847</v>
      </c>
      <c r="I1585" s="4">
        <v>11.074999999999999</v>
      </c>
      <c r="J1585" s="4">
        <v>11.074999999999999</v>
      </c>
      <c r="K1585" s="4">
        <v>10.130000000000001</v>
      </c>
      <c r="L1585" s="4">
        <v>10.57</v>
      </c>
      <c r="M1585" s="7">
        <v>-4.5600000000000002E-2</v>
      </c>
    </row>
    <row r="1586" spans="1:13" x14ac:dyDescent="0.2">
      <c r="A1586" s="6">
        <v>46261</v>
      </c>
      <c r="B1586" s="2" t="s">
        <v>227</v>
      </c>
      <c r="C1586" s="5">
        <v>46235</v>
      </c>
      <c r="D1586" s="2" t="s">
        <v>201</v>
      </c>
      <c r="E1586" s="3">
        <v>3624</v>
      </c>
      <c r="F1586" s="8">
        <v>3.5125999999999999</v>
      </c>
      <c r="G1586" s="4">
        <v>504.14359999999999</v>
      </c>
      <c r="H1586" s="4">
        <v>1150.7140999999999</v>
      </c>
      <c r="I1586" s="4">
        <v>10.565</v>
      </c>
      <c r="J1586" s="4">
        <v>11.28</v>
      </c>
      <c r="K1586" s="4">
        <v>10.355</v>
      </c>
      <c r="L1586" s="4">
        <v>11.07</v>
      </c>
      <c r="M1586" s="7">
        <v>4.7800000000000002E-2</v>
      </c>
    </row>
    <row r="1587" spans="1:13" x14ac:dyDescent="0.2">
      <c r="A1587" s="6">
        <v>46262</v>
      </c>
      <c r="B1587" s="2" t="s">
        <v>225</v>
      </c>
      <c r="C1587" s="5">
        <v>46235</v>
      </c>
      <c r="D1587" s="2" t="s">
        <v>201</v>
      </c>
      <c r="E1587" s="3">
        <v>3612</v>
      </c>
      <c r="F1587" s="8">
        <v>3.4007000000000001</v>
      </c>
      <c r="G1587" s="4">
        <v>475.05799999999999</v>
      </c>
      <c r="H1587" s="4">
        <v>1106.7111</v>
      </c>
      <c r="I1587" s="4">
        <v>11.067500000000001</v>
      </c>
      <c r="J1587" s="4">
        <v>11.1425</v>
      </c>
      <c r="K1587" s="4">
        <v>10.532500000000001</v>
      </c>
      <c r="L1587" s="4">
        <v>10.68</v>
      </c>
      <c r="M1587" s="7">
        <v>-3.5000000000000003E-2</v>
      </c>
    </row>
    <row r="1588" spans="1:13" x14ac:dyDescent="0.2">
      <c r="A1588" s="6">
        <v>46265</v>
      </c>
      <c r="B1588" s="2" t="s">
        <v>228</v>
      </c>
      <c r="C1588" s="5">
        <v>46235</v>
      </c>
      <c r="D1588" s="2" t="s">
        <v>201</v>
      </c>
      <c r="E1588" s="3">
        <v>3646</v>
      </c>
      <c r="F1588" s="8">
        <v>4.0308000000000002</v>
      </c>
      <c r="G1588" s="4">
        <v>669.56629999999996</v>
      </c>
      <c r="H1588" s="4">
        <v>1817.1785</v>
      </c>
      <c r="I1588" s="4">
        <v>10.68</v>
      </c>
      <c r="J1588" s="4">
        <v>11.44</v>
      </c>
      <c r="K1588" s="4">
        <v>10.68</v>
      </c>
      <c r="L1588" s="4">
        <v>11.19</v>
      </c>
      <c r="M1588" s="7">
        <v>4.7800000000000002E-2</v>
      </c>
    </row>
    <row r="1589" spans="1:13" x14ac:dyDescent="0.2">
      <c r="A1589" s="6">
        <v>46266</v>
      </c>
      <c r="B1589" s="2" t="s">
        <v>226</v>
      </c>
      <c r="C1589" s="5">
        <v>46266</v>
      </c>
      <c r="D1589" s="2" t="s">
        <v>201</v>
      </c>
      <c r="E1589" s="3">
        <v>3656</v>
      </c>
      <c r="F1589" s="8">
        <v>3.7698999999999998</v>
      </c>
      <c r="G1589" s="4">
        <v>501.88839999999999</v>
      </c>
      <c r="H1589" s="4">
        <v>1240.326</v>
      </c>
      <c r="I1589" s="4">
        <v>11.19</v>
      </c>
      <c r="J1589" s="4">
        <v>12.1225</v>
      </c>
      <c r="K1589" s="4">
        <v>9.2475000000000005</v>
      </c>
      <c r="L1589" s="4">
        <v>11.49</v>
      </c>
      <c r="M1589" s="7">
        <v>2.6800000000000001E-2</v>
      </c>
    </row>
    <row r="1590" spans="1:13" x14ac:dyDescent="0.2">
      <c r="A1590" s="6">
        <v>46267</v>
      </c>
      <c r="B1590" s="2" t="s">
        <v>224</v>
      </c>
      <c r="C1590" s="5">
        <v>46266</v>
      </c>
      <c r="D1590" s="2" t="s">
        <v>201</v>
      </c>
      <c r="E1590" s="3">
        <v>3633</v>
      </c>
      <c r="F1590" s="8">
        <v>3.8763999999999998</v>
      </c>
      <c r="G1590" s="4">
        <v>495.79149999999998</v>
      </c>
      <c r="H1590" s="4">
        <v>1151.8452</v>
      </c>
      <c r="I1590" s="4">
        <v>11.4925</v>
      </c>
      <c r="J1590" s="4">
        <v>12.112500000000001</v>
      </c>
      <c r="K1590" s="4">
        <v>10.547499999999999</v>
      </c>
      <c r="L1590" s="4">
        <v>11.59</v>
      </c>
      <c r="M1590" s="7">
        <v>8.5000000000000006E-3</v>
      </c>
    </row>
    <row r="1591" spans="1:13" x14ac:dyDescent="0.2">
      <c r="A1591" s="6">
        <v>46268</v>
      </c>
      <c r="B1591" s="2" t="s">
        <v>227</v>
      </c>
      <c r="C1591" s="5">
        <v>46266</v>
      </c>
      <c r="D1591" s="2" t="s">
        <v>201</v>
      </c>
      <c r="E1591" s="3">
        <v>3635</v>
      </c>
      <c r="F1591" s="8">
        <v>3.4943</v>
      </c>
      <c r="G1591" s="4">
        <v>495.19209999999998</v>
      </c>
      <c r="H1591" s="4">
        <v>1115.1904</v>
      </c>
      <c r="I1591" s="4">
        <v>11.592499999999999</v>
      </c>
      <c r="J1591" s="4">
        <v>11.592499999999999</v>
      </c>
      <c r="K1591" s="4">
        <v>10.75</v>
      </c>
      <c r="L1591" s="4">
        <v>11.34</v>
      </c>
      <c r="M1591" s="7">
        <v>-2.18E-2</v>
      </c>
    </row>
    <row r="1592" spans="1:13" x14ac:dyDescent="0.2">
      <c r="A1592" s="6">
        <v>46269</v>
      </c>
      <c r="B1592" s="2" t="s">
        <v>225</v>
      </c>
      <c r="C1592" s="5">
        <v>46266</v>
      </c>
      <c r="D1592" s="2" t="s">
        <v>201</v>
      </c>
      <c r="E1592" s="3">
        <v>3655</v>
      </c>
      <c r="F1592" s="8">
        <v>3.5661999999999998</v>
      </c>
      <c r="G1592" s="4">
        <v>611.57950000000005</v>
      </c>
      <c r="H1592" s="4">
        <v>1161.6335999999999</v>
      </c>
      <c r="I1592" s="4">
        <v>11.3375</v>
      </c>
      <c r="J1592" s="4">
        <v>11.3375</v>
      </c>
      <c r="K1592" s="4">
        <v>10.565</v>
      </c>
      <c r="L1592" s="4">
        <v>10.68</v>
      </c>
      <c r="M1592" s="7">
        <v>-5.8000000000000003E-2</v>
      </c>
    </row>
    <row r="1593" spans="1:13" x14ac:dyDescent="0.2">
      <c r="A1593" s="6">
        <v>46272</v>
      </c>
      <c r="B1593" s="2" t="s">
        <v>228</v>
      </c>
      <c r="C1593" s="5">
        <v>46266</v>
      </c>
      <c r="D1593" s="2" t="s">
        <v>201</v>
      </c>
      <c r="E1593" s="3">
        <v>3704</v>
      </c>
      <c r="F1593" s="8">
        <v>3.7505999999999999</v>
      </c>
      <c r="G1593" s="4">
        <v>676.2002</v>
      </c>
      <c r="H1593" s="4">
        <v>1029.4350999999999</v>
      </c>
      <c r="I1593" s="4">
        <v>10.68</v>
      </c>
      <c r="J1593" s="4">
        <v>11.3475</v>
      </c>
      <c r="K1593" s="4">
        <v>10.275</v>
      </c>
      <c r="L1593" s="4">
        <v>11.16</v>
      </c>
      <c r="M1593" s="7">
        <v>4.4900000000000002E-2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0" customWidth="1"/>
    <col min="4" max="4" width="18" customWidth="1"/>
    <col min="5" max="5" width="20" customWidth="1"/>
    <col min="6" max="7" width="22" customWidth="1"/>
    <col min="8" max="8" width="20" customWidth="1"/>
    <col min="9" max="9" width="16" customWidth="1"/>
  </cols>
  <sheetData>
    <row r="1" spans="1:9" x14ac:dyDescent="0.2">
      <c r="A1" s="1" t="s">
        <v>34</v>
      </c>
      <c r="B1" s="1" t="s">
        <v>231</v>
      </c>
      <c r="C1" s="1" t="s">
        <v>235</v>
      </c>
      <c r="D1" s="1" t="s">
        <v>249</v>
      </c>
      <c r="E1" s="1" t="s">
        <v>250</v>
      </c>
      <c r="F1" s="1" t="s">
        <v>37</v>
      </c>
      <c r="G1" s="1" t="s">
        <v>251</v>
      </c>
      <c r="H1" s="1" t="s">
        <v>240</v>
      </c>
      <c r="I1" s="1" t="s">
        <v>234</v>
      </c>
    </row>
    <row r="2" spans="1:9" x14ac:dyDescent="0.2">
      <c r="A2" s="2" t="s">
        <v>46</v>
      </c>
      <c r="B2" s="3"/>
      <c r="C2" s="3">
        <v>5041</v>
      </c>
      <c r="D2" s="4">
        <v>0.88390000000000002</v>
      </c>
      <c r="E2" s="4">
        <v>371.32</v>
      </c>
      <c r="F2" s="4">
        <v>868.99159999999995</v>
      </c>
      <c r="G2" s="4">
        <v>8.9587000000000003</v>
      </c>
      <c r="H2" s="3">
        <v>98318</v>
      </c>
      <c r="I2" s="3">
        <v>97</v>
      </c>
    </row>
    <row r="3" spans="1:9" x14ac:dyDescent="0.2">
      <c r="A3" s="2" t="s">
        <v>47</v>
      </c>
      <c r="B3" s="3">
        <v>5848</v>
      </c>
      <c r="C3" s="3">
        <v>4374</v>
      </c>
      <c r="D3" s="4">
        <v>3.2624</v>
      </c>
      <c r="E3" s="4">
        <v>1186.1400000000001</v>
      </c>
      <c r="F3" s="4">
        <v>2846.3687</v>
      </c>
      <c r="G3" s="4">
        <v>12.707000000000001</v>
      </c>
      <c r="H3" s="3">
        <v>87248</v>
      </c>
      <c r="I3" s="3">
        <v>224</v>
      </c>
    </row>
    <row r="4" spans="1:9" x14ac:dyDescent="0.2">
      <c r="A4" s="2" t="s">
        <v>48</v>
      </c>
      <c r="B4" s="3">
        <v>5889</v>
      </c>
      <c r="C4" s="3">
        <v>4596</v>
      </c>
      <c r="D4" s="4">
        <v>7.4074999999999998</v>
      </c>
      <c r="E4" s="4">
        <v>2102.2800000000002</v>
      </c>
      <c r="F4" s="4">
        <v>6864.2855</v>
      </c>
      <c r="G4" s="4">
        <v>27.2392</v>
      </c>
      <c r="H4" s="3">
        <v>92667</v>
      </c>
      <c r="I4" s="3">
        <v>252</v>
      </c>
    </row>
    <row r="5" spans="1:9" x14ac:dyDescent="0.2">
      <c r="A5" s="2" t="s">
        <v>49</v>
      </c>
      <c r="B5" s="3">
        <v>5955</v>
      </c>
      <c r="C5" s="3">
        <v>4660</v>
      </c>
      <c r="D5" s="4">
        <v>14.563800000000001</v>
      </c>
      <c r="E5" s="4">
        <v>2578.9899999999998</v>
      </c>
      <c r="F5" s="4">
        <v>10000.3262</v>
      </c>
      <c r="G5" s="4">
        <v>39.841900000000003</v>
      </c>
      <c r="H5" s="3">
        <v>68666</v>
      </c>
      <c r="I5" s="3">
        <v>251</v>
      </c>
    </row>
    <row r="6" spans="1:9" x14ac:dyDescent="0.2">
      <c r="A6" s="2" t="s">
        <v>50</v>
      </c>
      <c r="B6" s="3">
        <v>5782</v>
      </c>
      <c r="C6" s="3">
        <v>5746</v>
      </c>
      <c r="D6" s="4">
        <v>12.7722</v>
      </c>
      <c r="E6" s="4">
        <v>1821.08</v>
      </c>
      <c r="F6" s="4">
        <v>3072.9776999999999</v>
      </c>
      <c r="G6" s="4">
        <v>12.4412</v>
      </c>
      <c r="H6" s="3">
        <v>24060</v>
      </c>
      <c r="I6" s="3">
        <v>247</v>
      </c>
    </row>
    <row r="7" spans="1:9" x14ac:dyDescent="0.2">
      <c r="A7" s="2" t="s">
        <v>51</v>
      </c>
      <c r="B7" s="3">
        <v>5650</v>
      </c>
      <c r="C7" s="3">
        <v>3079</v>
      </c>
      <c r="D7" s="4">
        <v>14.130800000000001</v>
      </c>
      <c r="E7" s="4">
        <v>2213.98</v>
      </c>
      <c r="F7" s="4">
        <v>3140.7312999999999</v>
      </c>
      <c r="G7" s="4">
        <v>12.5129</v>
      </c>
      <c r="H7" s="3">
        <v>22227</v>
      </c>
      <c r="I7" s="3">
        <v>251</v>
      </c>
    </row>
    <row r="8" spans="1:9" x14ac:dyDescent="0.2">
      <c r="A8" s="2" t="s">
        <v>52</v>
      </c>
      <c r="B8" s="3">
        <v>5528</v>
      </c>
      <c r="C8" s="3">
        <v>2933</v>
      </c>
      <c r="D8" s="4">
        <v>20.279800000000002</v>
      </c>
      <c r="E8" s="4">
        <v>3904.44</v>
      </c>
      <c r="F8" s="4">
        <v>5026.1837999999998</v>
      </c>
      <c r="G8" s="4">
        <v>19.7881</v>
      </c>
      <c r="H8" s="3">
        <v>24785</v>
      </c>
      <c r="I8" s="3">
        <v>254</v>
      </c>
    </row>
    <row r="9" spans="1:9" x14ac:dyDescent="0.2">
      <c r="A9" s="2" t="s">
        <v>53</v>
      </c>
      <c r="B9" s="3">
        <v>4731</v>
      </c>
      <c r="C9" s="3">
        <v>3010</v>
      </c>
      <c r="D9" s="4">
        <v>23.741</v>
      </c>
      <c r="E9" s="4">
        <v>4771.74</v>
      </c>
      <c r="F9" s="4">
        <v>5187.1565000000001</v>
      </c>
      <c r="G9" s="4">
        <v>20.502600000000001</v>
      </c>
      <c r="H9" s="3">
        <v>21849</v>
      </c>
      <c r="I9" s="3">
        <v>253</v>
      </c>
    </row>
    <row r="10" spans="1:9" x14ac:dyDescent="0.2">
      <c r="A10" s="2" t="s">
        <v>54</v>
      </c>
      <c r="B10" s="3">
        <v>4781</v>
      </c>
      <c r="C10" s="3">
        <v>3099</v>
      </c>
      <c r="D10" s="4">
        <v>26.400700000000001</v>
      </c>
      <c r="E10" s="4">
        <v>6644.56</v>
      </c>
      <c r="F10" s="4">
        <v>8160.8469999999998</v>
      </c>
      <c r="G10" s="4">
        <v>32.513300000000001</v>
      </c>
      <c r="H10" s="3">
        <v>30912</v>
      </c>
      <c r="I10" s="3">
        <v>251</v>
      </c>
    </row>
    <row r="11" spans="1:9" x14ac:dyDescent="0.2">
      <c r="A11" s="2" t="s">
        <v>55</v>
      </c>
      <c r="B11" s="3">
        <v>4821</v>
      </c>
      <c r="C11" s="3">
        <v>3156</v>
      </c>
      <c r="D11" s="4">
        <v>34.622199999999999</v>
      </c>
      <c r="E11" s="4">
        <v>5607.8</v>
      </c>
      <c r="F11" s="4">
        <v>9561.8911000000007</v>
      </c>
      <c r="G11" s="4">
        <v>38.401200000000003</v>
      </c>
      <c r="H11" s="3">
        <v>27618</v>
      </c>
      <c r="I11" s="3">
        <v>249</v>
      </c>
    </row>
    <row r="12" spans="1:9" x14ac:dyDescent="0.2">
      <c r="A12" s="2" t="s">
        <v>56</v>
      </c>
      <c r="B12" s="3">
        <v>4887</v>
      </c>
      <c r="C12" s="3">
        <v>3280</v>
      </c>
      <c r="D12" s="4">
        <v>53.033999999999999</v>
      </c>
      <c r="E12" s="4">
        <v>9860.0499999999993</v>
      </c>
      <c r="F12" s="4">
        <v>15788.554099999999</v>
      </c>
      <c r="G12" s="4">
        <v>62.9026</v>
      </c>
      <c r="H12" s="3">
        <v>29771</v>
      </c>
      <c r="I12" s="3">
        <v>251</v>
      </c>
    </row>
    <row r="13" spans="1:9" x14ac:dyDescent="0.2">
      <c r="A13" s="2" t="s">
        <v>57</v>
      </c>
      <c r="B13" s="3">
        <v>4929</v>
      </c>
      <c r="C13" s="3">
        <v>3312</v>
      </c>
      <c r="D13" s="4">
        <v>54.079799999999999</v>
      </c>
      <c r="E13" s="4">
        <v>7396</v>
      </c>
      <c r="F13" s="4">
        <v>11000.7377</v>
      </c>
      <c r="G13" s="4">
        <v>45.270499999999998</v>
      </c>
      <c r="H13" s="3">
        <v>20342</v>
      </c>
      <c r="I13" s="3">
        <v>243</v>
      </c>
    </row>
    <row r="14" spans="1:9" x14ac:dyDescent="0.2">
      <c r="A14" s="2" t="s">
        <v>58</v>
      </c>
      <c r="B14" s="3">
        <v>4975</v>
      </c>
      <c r="C14" s="3">
        <v>3504</v>
      </c>
      <c r="D14" s="4">
        <v>60.558799999999998</v>
      </c>
      <c r="E14" s="4">
        <v>11365.1</v>
      </c>
      <c r="F14" s="4">
        <v>13788.093199999999</v>
      </c>
      <c r="G14" s="4">
        <v>56.508600000000001</v>
      </c>
      <c r="H14" s="3">
        <v>22769</v>
      </c>
      <c r="I14" s="3">
        <v>244</v>
      </c>
    </row>
    <row r="15" spans="1:9" x14ac:dyDescent="0.2">
      <c r="A15" s="2" t="s">
        <v>59</v>
      </c>
      <c r="B15" s="3">
        <v>5067</v>
      </c>
      <c r="C15" s="3">
        <v>3749</v>
      </c>
      <c r="D15" s="4">
        <v>52.846899999999998</v>
      </c>
      <c r="E15" s="4">
        <v>9907.77</v>
      </c>
      <c r="F15" s="4">
        <v>11050.268899999999</v>
      </c>
      <c r="G15" s="4">
        <v>43.334400000000002</v>
      </c>
      <c r="H15" s="3">
        <v>20910</v>
      </c>
      <c r="I15" s="3">
        <v>255</v>
      </c>
    </row>
    <row r="16" spans="1:9" x14ac:dyDescent="0.2">
      <c r="A16" s="2" t="s">
        <v>60</v>
      </c>
      <c r="B16" s="3">
        <v>5133</v>
      </c>
      <c r="C16" s="3">
        <v>3918</v>
      </c>
      <c r="D16" s="4">
        <v>39.439500000000002</v>
      </c>
      <c r="E16" s="4">
        <v>6541.37</v>
      </c>
      <c r="F16" s="4">
        <v>6674.9758000000002</v>
      </c>
      <c r="G16" s="4">
        <v>26.807099999999998</v>
      </c>
      <c r="H16" s="3">
        <v>16925</v>
      </c>
      <c r="I16" s="3">
        <v>249</v>
      </c>
    </row>
    <row r="17" spans="1:9" x14ac:dyDescent="0.2">
      <c r="A17" s="2" t="s">
        <v>61</v>
      </c>
      <c r="B17" s="3">
        <v>5211</v>
      </c>
      <c r="C17" s="3">
        <v>4145</v>
      </c>
      <c r="D17" s="4">
        <v>32.350900000000003</v>
      </c>
      <c r="E17" s="4">
        <v>5672.18</v>
      </c>
      <c r="F17" s="4">
        <v>5487.7443999999996</v>
      </c>
      <c r="G17" s="4">
        <v>21.951000000000001</v>
      </c>
      <c r="H17" s="3">
        <v>16964</v>
      </c>
      <c r="I17" s="3">
        <v>250</v>
      </c>
    </row>
    <row r="18" spans="1:9" x14ac:dyDescent="0.2">
      <c r="A18" s="2" t="s">
        <v>62</v>
      </c>
      <c r="B18" s="3">
        <v>5336</v>
      </c>
      <c r="C18" s="3">
        <v>4333</v>
      </c>
      <c r="D18" s="4">
        <v>36.321100000000001</v>
      </c>
      <c r="E18" s="4">
        <v>4799.49</v>
      </c>
      <c r="F18" s="4">
        <v>5216.6419999999998</v>
      </c>
      <c r="G18" s="4">
        <v>20.7834</v>
      </c>
      <c r="H18" s="3">
        <v>14363</v>
      </c>
      <c r="I18" s="3">
        <v>251</v>
      </c>
    </row>
    <row r="19" spans="1:9" x14ac:dyDescent="0.2">
      <c r="A19" s="2" t="s">
        <v>63</v>
      </c>
      <c r="B19" s="3">
        <v>5624</v>
      </c>
      <c r="C19" s="3">
        <v>4814</v>
      </c>
      <c r="D19" s="4">
        <v>71.106700000000004</v>
      </c>
      <c r="E19" s="4">
        <v>8567.6</v>
      </c>
      <c r="F19" s="4">
        <v>8548.4434000000001</v>
      </c>
      <c r="G19" s="4">
        <v>35.178800000000003</v>
      </c>
      <c r="H19" s="3">
        <v>12022</v>
      </c>
      <c r="I19" s="3">
        <v>243</v>
      </c>
    </row>
    <row r="20" spans="1:9" x14ac:dyDescent="0.2">
      <c r="A20" s="2" t="s">
        <v>64</v>
      </c>
      <c r="B20" s="3">
        <v>5911</v>
      </c>
      <c r="C20" s="3">
        <v>5035</v>
      </c>
      <c r="D20" s="4">
        <v>41.168900000000001</v>
      </c>
      <c r="E20" s="4">
        <v>7625.49</v>
      </c>
      <c r="F20" s="4">
        <v>7400.8919999999998</v>
      </c>
      <c r="G20" s="4">
        <v>29.963100000000001</v>
      </c>
      <c r="H20" s="3">
        <v>17977</v>
      </c>
      <c r="I20" s="3">
        <v>247</v>
      </c>
    </row>
    <row r="21" spans="1:9" x14ac:dyDescent="0.2">
      <c r="A21" s="2" t="s">
        <v>65</v>
      </c>
      <c r="B21" s="3">
        <v>5834</v>
      </c>
      <c r="C21" s="3">
        <v>5086</v>
      </c>
      <c r="D21" s="4">
        <v>39.185000000000002</v>
      </c>
      <c r="E21" s="4">
        <v>7072.23</v>
      </c>
      <c r="F21" s="4">
        <v>9982.6057999999994</v>
      </c>
      <c r="G21" s="4">
        <v>40.252400000000002</v>
      </c>
      <c r="H21" s="3">
        <v>25476</v>
      </c>
      <c r="I21" s="3">
        <v>248</v>
      </c>
    </row>
    <row r="22" spans="1:9" x14ac:dyDescent="0.2">
      <c r="A22" s="2" t="s">
        <v>66</v>
      </c>
      <c r="B22" s="3">
        <v>5619</v>
      </c>
      <c r="C22" s="3">
        <v>5212</v>
      </c>
      <c r="D22" s="4">
        <v>35.858199999999997</v>
      </c>
      <c r="E22" s="4">
        <v>7716.04</v>
      </c>
      <c r="F22" s="4">
        <v>10829.682199999999</v>
      </c>
      <c r="G22" s="4">
        <v>44.023099999999999</v>
      </c>
      <c r="H22" s="3">
        <v>30202</v>
      </c>
      <c r="I22" s="3">
        <v>246</v>
      </c>
    </row>
    <row r="23" spans="1:9" x14ac:dyDescent="0.2">
      <c r="A23" s="2" t="s">
        <v>67</v>
      </c>
      <c r="B23" s="3">
        <v>5262</v>
      </c>
      <c r="C23" s="3">
        <v>5440</v>
      </c>
      <c r="D23" s="4">
        <v>31.452300000000001</v>
      </c>
      <c r="E23" s="4">
        <v>5181.08</v>
      </c>
      <c r="F23" s="4">
        <v>7755.9008000000003</v>
      </c>
      <c r="G23" s="4">
        <v>31.273800000000001</v>
      </c>
      <c r="H23" s="3">
        <v>24660</v>
      </c>
      <c r="I23" s="3">
        <v>248</v>
      </c>
    </row>
    <row r="24" spans="1:9" x14ac:dyDescent="0.2">
      <c r="A24" s="2" t="s">
        <v>68</v>
      </c>
      <c r="B24" s="3">
        <v>5378</v>
      </c>
      <c r="C24" s="3">
        <v>5565</v>
      </c>
      <c r="D24" s="4">
        <v>32.475499999999997</v>
      </c>
      <c r="E24" s="4">
        <v>5735.46</v>
      </c>
      <c r="F24" s="4">
        <v>6608.9602999999997</v>
      </c>
      <c r="G24" s="4">
        <v>26.756900000000002</v>
      </c>
      <c r="H24" s="3">
        <v>20351</v>
      </c>
      <c r="I24" s="3">
        <v>247</v>
      </c>
    </row>
    <row r="25" spans="1:9" x14ac:dyDescent="0.2">
      <c r="A25" s="2" t="s">
        <v>69</v>
      </c>
      <c r="B25" s="3">
        <v>5478</v>
      </c>
      <c r="C25" s="3">
        <v>5681</v>
      </c>
      <c r="D25" s="4">
        <v>55.007599999999996</v>
      </c>
      <c r="E25" s="4">
        <v>10456.299999999999</v>
      </c>
      <c r="F25" s="4">
        <v>10450.8956</v>
      </c>
      <c r="G25" s="4">
        <v>41.971499999999999</v>
      </c>
      <c r="H25" s="3">
        <v>19000</v>
      </c>
      <c r="I25" s="3">
        <v>249</v>
      </c>
    </row>
    <row r="26" spans="1:9" x14ac:dyDescent="0.2">
      <c r="A26" s="2" t="s">
        <v>70</v>
      </c>
      <c r="B26" s="3">
        <v>5618</v>
      </c>
      <c r="C26" s="3">
        <v>5967</v>
      </c>
      <c r="D26" s="4">
        <v>79.486699999999999</v>
      </c>
      <c r="E26" s="4">
        <v>16221.88</v>
      </c>
      <c r="F26" s="4">
        <v>13382.2531</v>
      </c>
      <c r="G26" s="4">
        <v>53.960700000000003</v>
      </c>
      <c r="H26" s="3">
        <v>16836</v>
      </c>
      <c r="I26" s="3">
        <v>248</v>
      </c>
    </row>
    <row r="27" spans="1:9" x14ac:dyDescent="0.2">
      <c r="A27" s="2" t="s">
        <v>71</v>
      </c>
      <c r="B27" s="3">
        <v>5681</v>
      </c>
      <c r="C27" s="3">
        <v>6177</v>
      </c>
      <c r="D27" s="4">
        <v>67.225099999999998</v>
      </c>
      <c r="E27" s="4">
        <v>13551.98</v>
      </c>
      <c r="F27" s="4">
        <v>10288.6492</v>
      </c>
      <c r="G27" s="4">
        <v>41.319899999999997</v>
      </c>
      <c r="H27" s="3">
        <v>15305</v>
      </c>
      <c r="I27" s="3">
        <v>249</v>
      </c>
    </row>
    <row r="28" spans="1:9" x14ac:dyDescent="0.2">
      <c r="A28" s="2" t="s">
        <v>72</v>
      </c>
      <c r="B28" s="3">
        <v>5715</v>
      </c>
      <c r="C28" s="3">
        <v>6535</v>
      </c>
      <c r="D28" s="4">
        <v>82.634900000000002</v>
      </c>
      <c r="E28" s="4">
        <v>21207.14</v>
      </c>
      <c r="F28" s="4">
        <v>16290.3838</v>
      </c>
      <c r="G28" s="4">
        <v>66.221100000000007</v>
      </c>
      <c r="H28" s="3">
        <v>19714</v>
      </c>
      <c r="I28" s="3">
        <v>246</v>
      </c>
    </row>
    <row r="29" spans="1:9" x14ac:dyDescent="0.2">
      <c r="A29" s="2" t="s">
        <v>73</v>
      </c>
      <c r="B29" s="3">
        <v>5923</v>
      </c>
      <c r="C29" s="3">
        <v>7515</v>
      </c>
      <c r="D29" s="4">
        <v>103.3094</v>
      </c>
      <c r="E29" s="4">
        <v>19952.189999999999</v>
      </c>
      <c r="F29" s="4">
        <v>19339.0684</v>
      </c>
      <c r="G29" s="4">
        <v>77.666899999999998</v>
      </c>
      <c r="H29" s="3">
        <v>18720</v>
      </c>
      <c r="I29" s="3">
        <v>249</v>
      </c>
    </row>
    <row r="30" spans="1:9" x14ac:dyDescent="0.2">
      <c r="A30" s="2" t="s">
        <v>74</v>
      </c>
      <c r="B30" s="3">
        <v>6239</v>
      </c>
      <c r="C30" s="3">
        <v>8288</v>
      </c>
      <c r="D30" s="4">
        <v>86.042000000000002</v>
      </c>
      <c r="E30" s="4">
        <v>21682.91</v>
      </c>
      <c r="F30" s="4">
        <v>19636.4725</v>
      </c>
      <c r="G30" s="4">
        <v>79.499899999999997</v>
      </c>
      <c r="H30" s="3">
        <v>22822</v>
      </c>
      <c r="I30" s="3">
        <v>247</v>
      </c>
    </row>
    <row r="31" spans="1:9" x14ac:dyDescent="0.2">
      <c r="A31" s="2" t="s">
        <v>75</v>
      </c>
      <c r="B31" s="3"/>
      <c r="C31" s="3">
        <v>7663</v>
      </c>
      <c r="D31" s="4">
        <v>42.077300000000001</v>
      </c>
      <c r="E31" s="4">
        <v>7753.49</v>
      </c>
      <c r="F31" s="4">
        <v>11094.7183</v>
      </c>
      <c r="G31" s="4">
        <v>101.7864</v>
      </c>
      <c r="H31" s="3">
        <v>26368</v>
      </c>
      <c r="I31" s="3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20" customWidth="1"/>
    <col min="5" max="6" width="16" customWidth="1"/>
    <col min="7" max="7" width="18" customWidth="1"/>
    <col min="8" max="8" width="22" customWidth="1"/>
    <col min="9" max="9" width="20" customWidth="1"/>
    <col min="10" max="10" width="16" customWidth="1"/>
  </cols>
  <sheetData>
    <row r="1" spans="1:10" x14ac:dyDescent="0.2">
      <c r="A1" s="1" t="s">
        <v>208</v>
      </c>
      <c r="B1" s="1" t="s">
        <v>34</v>
      </c>
      <c r="C1" s="1" t="s">
        <v>82</v>
      </c>
      <c r="D1" s="1" t="s">
        <v>235</v>
      </c>
      <c r="E1" s="1" t="s">
        <v>236</v>
      </c>
      <c r="F1" s="1" t="s">
        <v>252</v>
      </c>
      <c r="G1" s="1" t="s">
        <v>238</v>
      </c>
      <c r="H1" s="1" t="s">
        <v>251</v>
      </c>
      <c r="I1" s="1" t="s">
        <v>240</v>
      </c>
      <c r="J1" s="1" t="s">
        <v>234</v>
      </c>
    </row>
    <row r="2" spans="1:10" x14ac:dyDescent="0.2">
      <c r="A2" s="5">
        <v>35735</v>
      </c>
      <c r="B2" s="2" t="s">
        <v>46</v>
      </c>
      <c r="C2" s="2" t="s">
        <v>86</v>
      </c>
      <c r="D2" s="3">
        <v>3210</v>
      </c>
      <c r="E2" s="4">
        <v>0.1082</v>
      </c>
      <c r="F2" s="4">
        <v>47.92</v>
      </c>
      <c r="G2" s="4">
        <v>118.8862</v>
      </c>
      <c r="H2" s="4">
        <v>7.9257</v>
      </c>
      <c r="I2" s="3">
        <v>109846</v>
      </c>
      <c r="J2" s="3">
        <v>15</v>
      </c>
    </row>
    <row r="3" spans="1:10" x14ac:dyDescent="0.2">
      <c r="A3" s="5">
        <v>35765</v>
      </c>
      <c r="B3" s="2" t="s">
        <v>46</v>
      </c>
      <c r="C3" s="2" t="s">
        <v>86</v>
      </c>
      <c r="D3" s="3">
        <v>3187</v>
      </c>
      <c r="E3" s="4">
        <v>0.17380000000000001</v>
      </c>
      <c r="F3" s="4">
        <v>73.209999999999994</v>
      </c>
      <c r="G3" s="4">
        <v>180.73920000000001</v>
      </c>
      <c r="H3" s="4">
        <v>8.2154000000000007</v>
      </c>
      <c r="I3" s="3">
        <v>103982</v>
      </c>
      <c r="J3" s="3">
        <v>22</v>
      </c>
    </row>
    <row r="4" spans="1:10" x14ac:dyDescent="0.2">
      <c r="A4" s="5">
        <v>35796</v>
      </c>
      <c r="B4" s="2" t="s">
        <v>46</v>
      </c>
      <c r="C4" s="2" t="s">
        <v>87</v>
      </c>
      <c r="D4" s="3">
        <v>3263</v>
      </c>
      <c r="E4" s="4">
        <v>0.18210000000000001</v>
      </c>
      <c r="F4" s="4">
        <v>77.42</v>
      </c>
      <c r="G4" s="4">
        <v>173.58879999999999</v>
      </c>
      <c r="H4" s="4">
        <v>8.6793999999999993</v>
      </c>
      <c r="I4" s="3">
        <v>95323</v>
      </c>
      <c r="J4" s="3">
        <v>20</v>
      </c>
    </row>
    <row r="5" spans="1:10" x14ac:dyDescent="0.2">
      <c r="A5" s="5">
        <v>35827</v>
      </c>
      <c r="B5" s="2" t="s">
        <v>46</v>
      </c>
      <c r="C5" s="2" t="s">
        <v>87</v>
      </c>
      <c r="D5" s="3">
        <v>3093</v>
      </c>
      <c r="E5" s="4">
        <v>0.15809999999999999</v>
      </c>
      <c r="F5" s="4">
        <v>60.92</v>
      </c>
      <c r="G5" s="4">
        <v>164.03059999999999</v>
      </c>
      <c r="H5" s="4">
        <v>8.6332000000000004</v>
      </c>
      <c r="I5" s="3">
        <v>103740</v>
      </c>
      <c r="J5" s="3">
        <v>19</v>
      </c>
    </row>
    <row r="6" spans="1:10" x14ac:dyDescent="0.2">
      <c r="A6" s="5">
        <v>35855</v>
      </c>
      <c r="B6" s="2" t="s">
        <v>46</v>
      </c>
      <c r="C6" s="2" t="s">
        <v>87</v>
      </c>
      <c r="D6" s="3">
        <v>3144</v>
      </c>
      <c r="E6" s="4">
        <v>0.2616</v>
      </c>
      <c r="F6" s="4">
        <v>111.85</v>
      </c>
      <c r="G6" s="4">
        <v>231.74680000000001</v>
      </c>
      <c r="H6" s="4">
        <v>11.035600000000001</v>
      </c>
      <c r="I6" s="3">
        <v>88593</v>
      </c>
      <c r="J6" s="3">
        <v>21</v>
      </c>
    </row>
    <row r="7" spans="1:10" x14ac:dyDescent="0.2">
      <c r="A7" s="5">
        <v>35886</v>
      </c>
      <c r="B7" s="2" t="s">
        <v>47</v>
      </c>
      <c r="C7" s="2" t="s">
        <v>88</v>
      </c>
      <c r="D7" s="3">
        <v>3306</v>
      </c>
      <c r="E7" s="4">
        <v>0.32490000000000002</v>
      </c>
      <c r="F7" s="4">
        <v>134.04</v>
      </c>
      <c r="G7" s="4">
        <v>265.52789999999999</v>
      </c>
      <c r="H7" s="4">
        <v>13.975199999999999</v>
      </c>
      <c r="I7" s="3">
        <v>81719</v>
      </c>
      <c r="J7" s="3">
        <v>19</v>
      </c>
    </row>
    <row r="8" spans="1:10" x14ac:dyDescent="0.2">
      <c r="A8" s="5">
        <v>35916</v>
      </c>
      <c r="B8" s="2" t="s">
        <v>47</v>
      </c>
      <c r="C8" s="2" t="s">
        <v>88</v>
      </c>
      <c r="D8" s="3">
        <v>2965</v>
      </c>
      <c r="E8" s="4">
        <v>6.5199999999999994E-2</v>
      </c>
      <c r="F8" s="4">
        <v>23.83</v>
      </c>
      <c r="G8" s="4">
        <v>56.179000000000002</v>
      </c>
      <c r="H8" s="4">
        <v>11.235799999999999</v>
      </c>
      <c r="I8" s="3">
        <v>86200</v>
      </c>
      <c r="J8" s="3">
        <v>5</v>
      </c>
    </row>
    <row r="9" spans="1:10" x14ac:dyDescent="0.2">
      <c r="A9" s="5">
        <v>35947</v>
      </c>
      <c r="B9" s="2" t="s">
        <v>47</v>
      </c>
      <c r="C9" s="2" t="s">
        <v>88</v>
      </c>
      <c r="D9" s="3">
        <v>2748</v>
      </c>
      <c r="E9" s="4">
        <v>0.1656</v>
      </c>
      <c r="F9" s="4">
        <v>66.08</v>
      </c>
      <c r="G9" s="4">
        <v>130.94120000000001</v>
      </c>
      <c r="H9" s="4">
        <v>8.1837999999999997</v>
      </c>
      <c r="I9" s="3">
        <v>79080</v>
      </c>
      <c r="J9" s="3">
        <v>16</v>
      </c>
    </row>
    <row r="10" spans="1:10" x14ac:dyDescent="0.2">
      <c r="A10" s="5">
        <v>35977</v>
      </c>
      <c r="B10" s="2" t="s">
        <v>47</v>
      </c>
      <c r="C10" s="2" t="s">
        <v>89</v>
      </c>
      <c r="D10" s="3">
        <v>2714</v>
      </c>
      <c r="E10" s="4">
        <v>0.24779999999999999</v>
      </c>
      <c r="F10" s="4">
        <v>82.34</v>
      </c>
      <c r="G10" s="4">
        <v>212.3811</v>
      </c>
      <c r="H10" s="4">
        <v>9.234</v>
      </c>
      <c r="I10" s="3">
        <v>85692</v>
      </c>
      <c r="J10" s="3">
        <v>23</v>
      </c>
    </row>
    <row r="11" spans="1:10" x14ac:dyDescent="0.2">
      <c r="A11" s="5">
        <v>36008</v>
      </c>
      <c r="B11" s="2" t="s">
        <v>47</v>
      </c>
      <c r="C11" s="2" t="s">
        <v>89</v>
      </c>
      <c r="D11" s="3">
        <v>2592</v>
      </c>
      <c r="E11" s="4">
        <v>0.21440000000000001</v>
      </c>
      <c r="F11" s="4">
        <v>70.540000000000006</v>
      </c>
      <c r="G11" s="4">
        <v>182.11699999999999</v>
      </c>
      <c r="H11" s="4">
        <v>9.1059000000000001</v>
      </c>
      <c r="I11" s="3">
        <v>84956</v>
      </c>
      <c r="J11" s="3">
        <v>20</v>
      </c>
    </row>
    <row r="12" spans="1:10" x14ac:dyDescent="0.2">
      <c r="A12" s="5">
        <v>36039</v>
      </c>
      <c r="B12" s="2" t="s">
        <v>47</v>
      </c>
      <c r="C12" s="2" t="s">
        <v>89</v>
      </c>
      <c r="D12" s="3">
        <v>2713</v>
      </c>
      <c r="E12" s="4">
        <v>0.2944</v>
      </c>
      <c r="F12" s="4">
        <v>108.25</v>
      </c>
      <c r="G12" s="4">
        <v>276.46710000000002</v>
      </c>
      <c r="H12" s="4">
        <v>12.566700000000001</v>
      </c>
      <c r="I12" s="3">
        <v>93919</v>
      </c>
      <c r="J12" s="3">
        <v>22</v>
      </c>
    </row>
    <row r="13" spans="1:10" x14ac:dyDescent="0.2">
      <c r="A13" s="5">
        <v>36069</v>
      </c>
      <c r="B13" s="2" t="s">
        <v>47</v>
      </c>
      <c r="C13" s="2" t="s">
        <v>90</v>
      </c>
      <c r="D13" s="3">
        <v>2497</v>
      </c>
      <c r="E13" s="4">
        <v>0.2235</v>
      </c>
      <c r="F13" s="4">
        <v>83.63</v>
      </c>
      <c r="G13" s="4">
        <v>223.65129999999999</v>
      </c>
      <c r="H13" s="4">
        <v>12.4251</v>
      </c>
      <c r="I13" s="3">
        <v>100063</v>
      </c>
      <c r="J13" s="3">
        <v>18</v>
      </c>
    </row>
    <row r="14" spans="1:10" x14ac:dyDescent="0.2">
      <c r="A14" s="5">
        <v>36100</v>
      </c>
      <c r="B14" s="2" t="s">
        <v>47</v>
      </c>
      <c r="C14" s="2" t="s">
        <v>90</v>
      </c>
      <c r="D14" s="3">
        <v>2748</v>
      </c>
      <c r="E14" s="4">
        <v>0.2482</v>
      </c>
      <c r="F14" s="4">
        <v>99.63</v>
      </c>
      <c r="G14" s="4">
        <v>202.2055</v>
      </c>
      <c r="H14" s="4">
        <v>10.110300000000001</v>
      </c>
      <c r="I14" s="3">
        <v>81471</v>
      </c>
      <c r="J14" s="3">
        <v>20</v>
      </c>
    </row>
    <row r="15" spans="1:10" x14ac:dyDescent="0.2">
      <c r="A15" s="5">
        <v>36130</v>
      </c>
      <c r="B15" s="2" t="s">
        <v>47</v>
      </c>
      <c r="C15" s="2" t="s">
        <v>90</v>
      </c>
      <c r="D15" s="3">
        <v>2718</v>
      </c>
      <c r="E15" s="4">
        <v>0.30580000000000002</v>
      </c>
      <c r="F15" s="4">
        <v>111.03</v>
      </c>
      <c r="G15" s="4">
        <v>266.87599999999998</v>
      </c>
      <c r="H15" s="4">
        <v>12.130699999999999</v>
      </c>
      <c r="I15" s="3">
        <v>87272</v>
      </c>
      <c r="J15" s="3">
        <v>22</v>
      </c>
    </row>
    <row r="16" spans="1:10" x14ac:dyDescent="0.2">
      <c r="A16" s="5">
        <v>36161</v>
      </c>
      <c r="B16" s="2" t="s">
        <v>47</v>
      </c>
      <c r="C16" s="2" t="s">
        <v>91</v>
      </c>
      <c r="D16" s="3">
        <v>2836</v>
      </c>
      <c r="E16" s="4">
        <v>0.36309999999999998</v>
      </c>
      <c r="F16" s="4">
        <v>132.79</v>
      </c>
      <c r="G16" s="4">
        <v>325.15859999999998</v>
      </c>
      <c r="H16" s="4">
        <v>17.113600000000002</v>
      </c>
      <c r="I16" s="3">
        <v>89541</v>
      </c>
      <c r="J16" s="3">
        <v>19</v>
      </c>
    </row>
    <row r="17" spans="1:10" x14ac:dyDescent="0.2">
      <c r="A17" s="5">
        <v>36192</v>
      </c>
      <c r="B17" s="2" t="s">
        <v>47</v>
      </c>
      <c r="C17" s="2" t="s">
        <v>91</v>
      </c>
      <c r="D17" s="3">
        <v>2987</v>
      </c>
      <c r="E17" s="4">
        <v>0.38440000000000002</v>
      </c>
      <c r="F17" s="4">
        <v>129.11000000000001</v>
      </c>
      <c r="G17" s="4">
        <v>311.4178</v>
      </c>
      <c r="H17" s="4">
        <v>14.8294</v>
      </c>
      <c r="I17" s="3">
        <v>81016</v>
      </c>
      <c r="J17" s="3">
        <v>21</v>
      </c>
    </row>
    <row r="18" spans="1:10" x14ac:dyDescent="0.2">
      <c r="A18" s="5">
        <v>36220</v>
      </c>
      <c r="B18" s="2" t="s">
        <v>47</v>
      </c>
      <c r="C18" s="2" t="s">
        <v>91</v>
      </c>
      <c r="D18" s="3">
        <v>3192</v>
      </c>
      <c r="E18" s="4">
        <v>0.42509999999999998</v>
      </c>
      <c r="F18" s="4">
        <v>144.87</v>
      </c>
      <c r="G18" s="4">
        <v>393.44619999999998</v>
      </c>
      <c r="H18" s="4">
        <v>20.707699999999999</v>
      </c>
      <c r="I18" s="3">
        <v>92554</v>
      </c>
      <c r="J18" s="3">
        <v>19</v>
      </c>
    </row>
    <row r="19" spans="1:10" x14ac:dyDescent="0.2">
      <c r="A19" s="5">
        <v>36251</v>
      </c>
      <c r="B19" s="2" t="s">
        <v>48</v>
      </c>
      <c r="C19" s="2" t="s">
        <v>92</v>
      </c>
      <c r="D19" s="3">
        <v>2750</v>
      </c>
      <c r="E19" s="4">
        <v>0.32369999999999999</v>
      </c>
      <c r="F19" s="4">
        <v>87.67</v>
      </c>
      <c r="G19" s="4">
        <v>270.02710000000002</v>
      </c>
      <c r="H19" s="4">
        <v>14.212</v>
      </c>
      <c r="I19" s="3">
        <v>83415</v>
      </c>
      <c r="J19" s="3">
        <v>19</v>
      </c>
    </row>
    <row r="20" spans="1:10" x14ac:dyDescent="0.2">
      <c r="A20" s="5">
        <v>36281</v>
      </c>
      <c r="B20" s="2" t="s">
        <v>48</v>
      </c>
      <c r="C20" s="2" t="s">
        <v>92</v>
      </c>
      <c r="D20" s="3">
        <v>2645</v>
      </c>
      <c r="E20" s="4">
        <v>0.44140000000000001</v>
      </c>
      <c r="F20" s="4">
        <v>143.43</v>
      </c>
      <c r="G20" s="4">
        <v>362.35340000000002</v>
      </c>
      <c r="H20" s="4">
        <v>17.254899999999999</v>
      </c>
      <c r="I20" s="3">
        <v>82086</v>
      </c>
      <c r="J20" s="3">
        <v>21</v>
      </c>
    </row>
    <row r="21" spans="1:10" x14ac:dyDescent="0.2">
      <c r="A21" s="5">
        <v>36312</v>
      </c>
      <c r="B21" s="2" t="s">
        <v>48</v>
      </c>
      <c r="C21" s="2" t="s">
        <v>92</v>
      </c>
      <c r="D21" s="3">
        <v>2650</v>
      </c>
      <c r="E21" s="4">
        <v>0.43840000000000001</v>
      </c>
      <c r="F21" s="4">
        <v>150.51</v>
      </c>
      <c r="G21" s="4">
        <v>332.39550000000003</v>
      </c>
      <c r="H21" s="4">
        <v>15.1089</v>
      </c>
      <c r="I21" s="3">
        <v>75820</v>
      </c>
      <c r="J21" s="3">
        <v>22</v>
      </c>
    </row>
    <row r="22" spans="1:10" x14ac:dyDescent="0.2">
      <c r="A22" s="5">
        <v>36342</v>
      </c>
      <c r="B22" s="2" t="s">
        <v>48</v>
      </c>
      <c r="C22" s="2" t="s">
        <v>93</v>
      </c>
      <c r="D22" s="3">
        <v>2852</v>
      </c>
      <c r="E22" s="4">
        <v>0.54110000000000003</v>
      </c>
      <c r="F22" s="4">
        <v>189.72</v>
      </c>
      <c r="G22" s="4">
        <v>466.3931</v>
      </c>
      <c r="H22" s="4">
        <v>21.1997</v>
      </c>
      <c r="I22" s="3">
        <v>86194</v>
      </c>
      <c r="J22" s="3">
        <v>22</v>
      </c>
    </row>
    <row r="23" spans="1:10" x14ac:dyDescent="0.2">
      <c r="A23" s="5">
        <v>36373</v>
      </c>
      <c r="B23" s="2" t="s">
        <v>48</v>
      </c>
      <c r="C23" s="2" t="s">
        <v>93</v>
      </c>
      <c r="D23" s="3">
        <v>3007</v>
      </c>
      <c r="E23" s="4">
        <v>0.61019999999999996</v>
      </c>
      <c r="F23" s="4">
        <v>199.76</v>
      </c>
      <c r="G23" s="4">
        <v>499.97160000000002</v>
      </c>
      <c r="H23" s="4">
        <v>22.725999999999999</v>
      </c>
      <c r="I23" s="3">
        <v>81938</v>
      </c>
      <c r="J23" s="3">
        <v>22</v>
      </c>
    </row>
    <row r="24" spans="1:10" x14ac:dyDescent="0.2">
      <c r="A24" s="5">
        <v>36404</v>
      </c>
      <c r="B24" s="2" t="s">
        <v>48</v>
      </c>
      <c r="C24" s="2" t="s">
        <v>93</v>
      </c>
      <c r="D24" s="3">
        <v>3063</v>
      </c>
      <c r="E24" s="4">
        <v>0.55910000000000004</v>
      </c>
      <c r="F24" s="4">
        <v>174.63</v>
      </c>
      <c r="G24" s="4">
        <v>465.77719999999999</v>
      </c>
      <c r="H24" s="4">
        <v>22.1799</v>
      </c>
      <c r="I24" s="3">
        <v>83304</v>
      </c>
      <c r="J24" s="3">
        <v>21</v>
      </c>
    </row>
    <row r="25" spans="1:10" x14ac:dyDescent="0.2">
      <c r="A25" s="5">
        <v>36434</v>
      </c>
      <c r="B25" s="2" t="s">
        <v>48</v>
      </c>
      <c r="C25" s="2" t="s">
        <v>94</v>
      </c>
      <c r="D25" s="3">
        <v>3282</v>
      </c>
      <c r="E25" s="4">
        <v>0.65839999999999999</v>
      </c>
      <c r="F25" s="4">
        <v>213.46</v>
      </c>
      <c r="G25" s="4">
        <v>576.98789999999997</v>
      </c>
      <c r="H25" s="4">
        <v>28.849399999999999</v>
      </c>
      <c r="I25" s="3">
        <v>87641</v>
      </c>
      <c r="J25" s="3">
        <v>20</v>
      </c>
    </row>
    <row r="26" spans="1:10" x14ac:dyDescent="0.2">
      <c r="A26" s="5">
        <v>36465</v>
      </c>
      <c r="B26" s="2" t="s">
        <v>48</v>
      </c>
      <c r="C26" s="2" t="s">
        <v>94</v>
      </c>
      <c r="D26" s="3">
        <v>3149</v>
      </c>
      <c r="E26" s="4">
        <v>0.51890000000000003</v>
      </c>
      <c r="F26" s="4">
        <v>146.22</v>
      </c>
      <c r="G26" s="4">
        <v>491.2133</v>
      </c>
      <c r="H26" s="4">
        <v>24.560700000000001</v>
      </c>
      <c r="I26" s="3">
        <v>94659</v>
      </c>
      <c r="J26" s="3">
        <v>20</v>
      </c>
    </row>
    <row r="27" spans="1:10" x14ac:dyDescent="0.2">
      <c r="A27" s="5">
        <v>36495</v>
      </c>
      <c r="B27" s="2" t="s">
        <v>48</v>
      </c>
      <c r="C27" s="2" t="s">
        <v>94</v>
      </c>
      <c r="D27" s="3">
        <v>3497</v>
      </c>
      <c r="E27" s="4">
        <v>0.80920000000000003</v>
      </c>
      <c r="F27" s="4">
        <v>233.82</v>
      </c>
      <c r="G27" s="4">
        <v>784.47550000000001</v>
      </c>
      <c r="H27" s="4">
        <v>35.658000000000001</v>
      </c>
      <c r="I27" s="3">
        <v>96948</v>
      </c>
      <c r="J27" s="3">
        <v>22</v>
      </c>
    </row>
    <row r="28" spans="1:10" x14ac:dyDescent="0.2">
      <c r="A28" s="5">
        <v>36526</v>
      </c>
      <c r="B28" s="2" t="s">
        <v>48</v>
      </c>
      <c r="C28" s="2" t="s">
        <v>95</v>
      </c>
      <c r="D28" s="3">
        <v>3548</v>
      </c>
      <c r="E28" s="4">
        <v>0.75060000000000004</v>
      </c>
      <c r="F28" s="4">
        <v>194.43</v>
      </c>
      <c r="G28" s="4">
        <v>745.63559999999995</v>
      </c>
      <c r="H28" s="4">
        <v>35.506500000000003</v>
      </c>
      <c r="I28" s="3">
        <v>99337</v>
      </c>
      <c r="J28" s="3">
        <v>21</v>
      </c>
    </row>
    <row r="29" spans="1:10" x14ac:dyDescent="0.2">
      <c r="A29" s="5">
        <v>36557</v>
      </c>
      <c r="B29" s="2" t="s">
        <v>48</v>
      </c>
      <c r="C29" s="2" t="s">
        <v>95</v>
      </c>
      <c r="D29" s="3">
        <v>3476</v>
      </c>
      <c r="E29" s="4">
        <v>0.9516</v>
      </c>
      <c r="F29" s="4">
        <v>206.17</v>
      </c>
      <c r="G29" s="4">
        <v>1018.4206</v>
      </c>
      <c r="H29" s="4">
        <v>48.496200000000002</v>
      </c>
      <c r="I29" s="3">
        <v>107021</v>
      </c>
      <c r="J29" s="3">
        <v>21</v>
      </c>
    </row>
    <row r="30" spans="1:10" x14ac:dyDescent="0.2">
      <c r="A30" s="5">
        <v>36586</v>
      </c>
      <c r="B30" s="2" t="s">
        <v>48</v>
      </c>
      <c r="C30" s="2" t="s">
        <v>95</v>
      </c>
      <c r="D30" s="3">
        <v>3530</v>
      </c>
      <c r="E30" s="4">
        <v>0.80479999999999996</v>
      </c>
      <c r="F30" s="4">
        <v>162.46</v>
      </c>
      <c r="G30" s="4">
        <v>850.63469999999995</v>
      </c>
      <c r="H30" s="4">
        <v>40.506399999999999</v>
      </c>
      <c r="I30" s="3">
        <v>105695</v>
      </c>
      <c r="J30" s="3">
        <v>21</v>
      </c>
    </row>
    <row r="31" spans="1:10" x14ac:dyDescent="0.2">
      <c r="A31" s="5">
        <v>36617</v>
      </c>
      <c r="B31" s="2" t="s">
        <v>49</v>
      </c>
      <c r="C31" s="2" t="s">
        <v>96</v>
      </c>
      <c r="D31" s="3">
        <v>3080</v>
      </c>
      <c r="E31" s="4">
        <v>0.59040000000000004</v>
      </c>
      <c r="F31" s="4">
        <v>114.39</v>
      </c>
      <c r="G31" s="4">
        <v>446.01429999999999</v>
      </c>
      <c r="H31" s="4">
        <v>24.778600000000001</v>
      </c>
      <c r="I31" s="3">
        <v>75546</v>
      </c>
      <c r="J31" s="3">
        <v>18</v>
      </c>
    </row>
    <row r="32" spans="1:10" x14ac:dyDescent="0.2">
      <c r="A32" s="5">
        <v>36647</v>
      </c>
      <c r="B32" s="2" t="s">
        <v>49</v>
      </c>
      <c r="C32" s="2" t="s">
        <v>96</v>
      </c>
      <c r="D32" s="3">
        <v>2950</v>
      </c>
      <c r="E32" s="4">
        <v>0.89870000000000005</v>
      </c>
      <c r="F32" s="4">
        <v>129.37</v>
      </c>
      <c r="G32" s="4">
        <v>578.91380000000004</v>
      </c>
      <c r="H32" s="4">
        <v>26.314299999999999</v>
      </c>
      <c r="I32" s="3">
        <v>64418</v>
      </c>
      <c r="J32" s="3">
        <v>22</v>
      </c>
    </row>
    <row r="33" spans="1:10" x14ac:dyDescent="0.2">
      <c r="A33" s="5">
        <v>36678</v>
      </c>
      <c r="B33" s="2" t="s">
        <v>49</v>
      </c>
      <c r="C33" s="2" t="s">
        <v>96</v>
      </c>
      <c r="D33" s="3">
        <v>3005</v>
      </c>
      <c r="E33" s="4">
        <v>1.1091</v>
      </c>
      <c r="F33" s="4">
        <v>159.85</v>
      </c>
      <c r="G33" s="4">
        <v>862.77589999999998</v>
      </c>
      <c r="H33" s="4">
        <v>39.217100000000002</v>
      </c>
      <c r="I33" s="3">
        <v>77791</v>
      </c>
      <c r="J33" s="3">
        <v>22</v>
      </c>
    </row>
    <row r="34" spans="1:10" x14ac:dyDescent="0.2">
      <c r="A34" s="5">
        <v>36708</v>
      </c>
      <c r="B34" s="2" t="s">
        <v>49</v>
      </c>
      <c r="C34" s="2" t="s">
        <v>97</v>
      </c>
      <c r="D34" s="3">
        <v>2921</v>
      </c>
      <c r="E34" s="4">
        <v>1.0690999999999999</v>
      </c>
      <c r="F34" s="4">
        <v>153.28</v>
      </c>
      <c r="G34" s="4">
        <v>803.46789999999999</v>
      </c>
      <c r="H34" s="4">
        <v>38.260399999999997</v>
      </c>
      <c r="I34" s="3">
        <v>75151</v>
      </c>
      <c r="J34" s="3">
        <v>21</v>
      </c>
    </row>
    <row r="35" spans="1:10" x14ac:dyDescent="0.2">
      <c r="A35" s="5">
        <v>36739</v>
      </c>
      <c r="B35" s="2" t="s">
        <v>49</v>
      </c>
      <c r="C35" s="2" t="s">
        <v>97</v>
      </c>
      <c r="D35" s="3">
        <v>2880</v>
      </c>
      <c r="E35" s="4">
        <v>1.2067000000000001</v>
      </c>
      <c r="F35" s="4">
        <v>179.67</v>
      </c>
      <c r="G35" s="4">
        <v>925.62800000000004</v>
      </c>
      <c r="H35" s="4">
        <v>42.073999999999998</v>
      </c>
      <c r="I35" s="3">
        <v>76710</v>
      </c>
      <c r="J35" s="3">
        <v>22</v>
      </c>
    </row>
    <row r="36" spans="1:10" x14ac:dyDescent="0.2">
      <c r="A36" s="5">
        <v>36770</v>
      </c>
      <c r="B36" s="2" t="s">
        <v>49</v>
      </c>
      <c r="C36" s="2" t="s">
        <v>97</v>
      </c>
      <c r="D36" s="3">
        <v>2794</v>
      </c>
      <c r="E36" s="4">
        <v>1.2945</v>
      </c>
      <c r="F36" s="4">
        <v>211.85</v>
      </c>
      <c r="G36" s="4">
        <v>1144.3226999999999</v>
      </c>
      <c r="H36" s="4">
        <v>57.216099999999997</v>
      </c>
      <c r="I36" s="3">
        <v>88396</v>
      </c>
      <c r="J36" s="3">
        <v>20</v>
      </c>
    </row>
    <row r="37" spans="1:10" x14ac:dyDescent="0.2">
      <c r="A37" s="5">
        <v>36800</v>
      </c>
      <c r="B37" s="2" t="s">
        <v>49</v>
      </c>
      <c r="C37" s="2" t="s">
        <v>98</v>
      </c>
      <c r="D37" s="3">
        <v>2620</v>
      </c>
      <c r="E37" s="4">
        <v>1.085</v>
      </c>
      <c r="F37" s="4">
        <v>173.38</v>
      </c>
      <c r="G37" s="4">
        <v>763.04319999999996</v>
      </c>
      <c r="H37" s="4">
        <v>36.3354</v>
      </c>
      <c r="I37" s="3">
        <v>70327</v>
      </c>
      <c r="J37" s="3">
        <v>21</v>
      </c>
    </row>
    <row r="38" spans="1:10" x14ac:dyDescent="0.2">
      <c r="A38" s="5">
        <v>36831</v>
      </c>
      <c r="B38" s="2" t="s">
        <v>49</v>
      </c>
      <c r="C38" s="2" t="s">
        <v>98</v>
      </c>
      <c r="D38" s="3">
        <v>2744</v>
      </c>
      <c r="E38" s="4">
        <v>1.3105</v>
      </c>
      <c r="F38" s="4">
        <v>237.11</v>
      </c>
      <c r="G38" s="4">
        <v>869.71379999999999</v>
      </c>
      <c r="H38" s="4">
        <v>39.532400000000003</v>
      </c>
      <c r="I38" s="3">
        <v>66366</v>
      </c>
      <c r="J38" s="3">
        <v>22</v>
      </c>
    </row>
    <row r="39" spans="1:10" x14ac:dyDescent="0.2">
      <c r="A39" s="5">
        <v>36861</v>
      </c>
      <c r="B39" s="2" t="s">
        <v>49</v>
      </c>
      <c r="C39" s="2" t="s">
        <v>98</v>
      </c>
      <c r="D39" s="3">
        <v>2791</v>
      </c>
      <c r="E39" s="4">
        <v>1.4402999999999999</v>
      </c>
      <c r="F39" s="4">
        <v>279.58</v>
      </c>
      <c r="G39" s="4">
        <v>991.98659999999995</v>
      </c>
      <c r="H39" s="4">
        <v>49.599299999999999</v>
      </c>
      <c r="I39" s="3">
        <v>68875</v>
      </c>
      <c r="J39" s="3">
        <v>20</v>
      </c>
    </row>
    <row r="40" spans="1:10" x14ac:dyDescent="0.2">
      <c r="A40" s="5">
        <v>36892</v>
      </c>
      <c r="B40" s="2" t="s">
        <v>49</v>
      </c>
      <c r="C40" s="2" t="s">
        <v>99</v>
      </c>
      <c r="D40" s="3">
        <v>2827</v>
      </c>
      <c r="E40" s="4">
        <v>1.6583000000000001</v>
      </c>
      <c r="F40" s="4">
        <v>337.51</v>
      </c>
      <c r="G40" s="4">
        <v>1148.4866999999999</v>
      </c>
      <c r="H40" s="4">
        <v>52.203899999999997</v>
      </c>
      <c r="I40" s="3">
        <v>69258</v>
      </c>
      <c r="J40" s="3">
        <v>22</v>
      </c>
    </row>
    <row r="41" spans="1:10" x14ac:dyDescent="0.2">
      <c r="A41" s="5">
        <v>36923</v>
      </c>
      <c r="B41" s="2" t="s">
        <v>49</v>
      </c>
      <c r="C41" s="2" t="s">
        <v>99</v>
      </c>
      <c r="D41" s="3">
        <v>2826</v>
      </c>
      <c r="E41" s="4">
        <v>1.6811</v>
      </c>
      <c r="F41" s="4">
        <v>379.47</v>
      </c>
      <c r="G41" s="4">
        <v>1014.2705999999999</v>
      </c>
      <c r="H41" s="4">
        <v>50.713500000000003</v>
      </c>
      <c r="I41" s="3">
        <v>60335</v>
      </c>
      <c r="J41" s="3">
        <v>20</v>
      </c>
    </row>
    <row r="42" spans="1:10" x14ac:dyDescent="0.2">
      <c r="A42" s="5">
        <v>36951</v>
      </c>
      <c r="B42" s="2" t="s">
        <v>49</v>
      </c>
      <c r="C42" s="2" t="s">
        <v>99</v>
      </c>
      <c r="D42" s="3">
        <v>2836</v>
      </c>
      <c r="E42" s="4">
        <v>1.2201</v>
      </c>
      <c r="F42" s="4">
        <v>223.53</v>
      </c>
      <c r="G42" s="4">
        <v>451.70269999999999</v>
      </c>
      <c r="H42" s="4">
        <v>21.509699999999999</v>
      </c>
      <c r="I42" s="3">
        <v>37023</v>
      </c>
      <c r="J42" s="3">
        <v>21</v>
      </c>
    </row>
    <row r="43" spans="1:10" x14ac:dyDescent="0.2">
      <c r="A43" s="5">
        <v>36982</v>
      </c>
      <c r="B43" s="2" t="s">
        <v>50</v>
      </c>
      <c r="C43" s="2" t="s">
        <v>100</v>
      </c>
      <c r="D43" s="3">
        <v>2297</v>
      </c>
      <c r="E43" s="4">
        <v>0.95350000000000001</v>
      </c>
      <c r="F43" s="4">
        <v>139.65</v>
      </c>
      <c r="G43" s="4">
        <v>238.76240000000001</v>
      </c>
      <c r="H43" s="4">
        <v>12.5664</v>
      </c>
      <c r="I43" s="3">
        <v>25040</v>
      </c>
      <c r="J43" s="3">
        <v>19</v>
      </c>
    </row>
    <row r="44" spans="1:10" x14ac:dyDescent="0.2">
      <c r="A44" s="5">
        <v>37012</v>
      </c>
      <c r="B44" s="2" t="s">
        <v>50</v>
      </c>
      <c r="C44" s="2" t="s">
        <v>100</v>
      </c>
      <c r="D44" s="3">
        <v>2510</v>
      </c>
      <c r="E44" s="4">
        <v>1.1963999999999999</v>
      </c>
      <c r="F44" s="4">
        <v>181.24</v>
      </c>
      <c r="G44" s="4">
        <v>318.68290000000002</v>
      </c>
      <c r="H44" s="4">
        <v>14.4856</v>
      </c>
      <c r="I44" s="3">
        <v>26637</v>
      </c>
      <c r="J44" s="3">
        <v>22</v>
      </c>
    </row>
    <row r="45" spans="1:10" x14ac:dyDescent="0.2">
      <c r="A45" s="5">
        <v>37043</v>
      </c>
      <c r="B45" s="2" t="s">
        <v>50</v>
      </c>
      <c r="C45" s="2" t="s">
        <v>100</v>
      </c>
      <c r="D45" s="3">
        <v>2579</v>
      </c>
      <c r="E45" s="4">
        <v>1.0478000000000001</v>
      </c>
      <c r="F45" s="4">
        <v>154.11000000000001</v>
      </c>
      <c r="G45" s="4">
        <v>254.50839999999999</v>
      </c>
      <c r="H45" s="4">
        <v>12.119400000000001</v>
      </c>
      <c r="I45" s="3">
        <v>24290</v>
      </c>
      <c r="J45" s="3">
        <v>21</v>
      </c>
    </row>
    <row r="46" spans="1:10" x14ac:dyDescent="0.2">
      <c r="A46" s="5">
        <v>37073</v>
      </c>
      <c r="B46" s="2" t="s">
        <v>50</v>
      </c>
      <c r="C46" s="2" t="s">
        <v>101</v>
      </c>
      <c r="D46" s="3">
        <v>2602</v>
      </c>
      <c r="E46" s="4">
        <v>0.77990000000000004</v>
      </c>
      <c r="F46" s="4">
        <v>99.35</v>
      </c>
      <c r="G46" s="4">
        <v>172.4401</v>
      </c>
      <c r="H46" s="4">
        <v>7.8381999999999996</v>
      </c>
      <c r="I46" s="3">
        <v>22110</v>
      </c>
      <c r="J46" s="3">
        <v>22</v>
      </c>
    </row>
    <row r="47" spans="1:10" x14ac:dyDescent="0.2">
      <c r="A47" s="5">
        <v>37104</v>
      </c>
      <c r="B47" s="2" t="s">
        <v>50</v>
      </c>
      <c r="C47" s="2" t="s">
        <v>101</v>
      </c>
      <c r="D47" s="3">
        <v>2561</v>
      </c>
      <c r="E47" s="4">
        <v>0.79079999999999995</v>
      </c>
      <c r="F47" s="4">
        <v>102.11</v>
      </c>
      <c r="G47" s="4">
        <v>174.44040000000001</v>
      </c>
      <c r="H47" s="4">
        <v>8.3066999999999993</v>
      </c>
      <c r="I47" s="3">
        <v>22058</v>
      </c>
      <c r="J47" s="3">
        <v>21</v>
      </c>
    </row>
    <row r="48" spans="1:10" x14ac:dyDescent="0.2">
      <c r="A48" s="5">
        <v>37135</v>
      </c>
      <c r="B48" s="2" t="s">
        <v>50</v>
      </c>
      <c r="C48" s="2" t="s">
        <v>101</v>
      </c>
      <c r="D48" s="3">
        <v>2481</v>
      </c>
      <c r="E48" s="4">
        <v>0.95209999999999995</v>
      </c>
      <c r="F48" s="4">
        <v>109.71</v>
      </c>
      <c r="G48" s="4">
        <v>215.93190000000001</v>
      </c>
      <c r="H48" s="4">
        <v>10.7966</v>
      </c>
      <c r="I48" s="3">
        <v>22679</v>
      </c>
      <c r="J48" s="3">
        <v>20</v>
      </c>
    </row>
    <row r="49" spans="1:10" x14ac:dyDescent="0.2">
      <c r="A49" s="5">
        <v>37165</v>
      </c>
      <c r="B49" s="2" t="s">
        <v>50</v>
      </c>
      <c r="C49" s="2" t="s">
        <v>102</v>
      </c>
      <c r="D49" s="3">
        <v>2563</v>
      </c>
      <c r="E49" s="4">
        <v>0.998</v>
      </c>
      <c r="F49" s="4">
        <v>121.61</v>
      </c>
      <c r="G49" s="4">
        <v>219.21539999999999</v>
      </c>
      <c r="H49" s="4">
        <v>10.438800000000001</v>
      </c>
      <c r="I49" s="3">
        <v>21967</v>
      </c>
      <c r="J49" s="3">
        <v>21</v>
      </c>
    </row>
    <row r="50" spans="1:10" x14ac:dyDescent="0.2">
      <c r="A50" s="5">
        <v>37196</v>
      </c>
      <c r="B50" s="2" t="s">
        <v>50</v>
      </c>
      <c r="C50" s="2" t="s">
        <v>102</v>
      </c>
      <c r="D50" s="3">
        <v>2732</v>
      </c>
      <c r="E50" s="4">
        <v>1.0727</v>
      </c>
      <c r="F50" s="4">
        <v>167.47</v>
      </c>
      <c r="G50" s="4">
        <v>244.06649999999999</v>
      </c>
      <c r="H50" s="4">
        <v>12.2033</v>
      </c>
      <c r="I50" s="3">
        <v>22754</v>
      </c>
      <c r="J50" s="3">
        <v>20</v>
      </c>
    </row>
    <row r="51" spans="1:10" x14ac:dyDescent="0.2">
      <c r="A51" s="5">
        <v>37226</v>
      </c>
      <c r="B51" s="2" t="s">
        <v>50</v>
      </c>
      <c r="C51" s="2" t="s">
        <v>102</v>
      </c>
      <c r="D51" s="3">
        <v>3228</v>
      </c>
      <c r="E51" s="4">
        <v>1.2047000000000001</v>
      </c>
      <c r="F51" s="4">
        <v>192.56</v>
      </c>
      <c r="G51" s="4">
        <v>300.3331</v>
      </c>
      <c r="H51" s="4">
        <v>15.807</v>
      </c>
      <c r="I51" s="3">
        <v>24931</v>
      </c>
      <c r="J51" s="3">
        <v>19</v>
      </c>
    </row>
    <row r="52" spans="1:10" x14ac:dyDescent="0.2">
      <c r="A52" s="5">
        <v>37257</v>
      </c>
      <c r="B52" s="2" t="s">
        <v>50</v>
      </c>
      <c r="C52" s="2" t="s">
        <v>103</v>
      </c>
      <c r="D52" s="3">
        <v>2154</v>
      </c>
      <c r="E52" s="4">
        <v>1.4381999999999999</v>
      </c>
      <c r="F52" s="4">
        <v>210.03</v>
      </c>
      <c r="G52" s="4">
        <v>391.69</v>
      </c>
      <c r="H52" s="4">
        <v>17.03</v>
      </c>
      <c r="I52" s="3">
        <v>27236</v>
      </c>
      <c r="J52" s="3">
        <v>23</v>
      </c>
    </row>
    <row r="53" spans="1:10" x14ac:dyDescent="0.2">
      <c r="A53" s="5">
        <v>37288</v>
      </c>
      <c r="B53" s="2" t="s">
        <v>50</v>
      </c>
      <c r="C53" s="2" t="s">
        <v>103</v>
      </c>
      <c r="D53" s="3">
        <v>2238</v>
      </c>
      <c r="E53" s="4">
        <v>1.2146999999999999</v>
      </c>
      <c r="F53" s="4">
        <v>183.16</v>
      </c>
      <c r="G53" s="4">
        <v>285.71559999999999</v>
      </c>
      <c r="H53" s="4">
        <v>14.2858</v>
      </c>
      <c r="I53" s="3">
        <v>23522</v>
      </c>
      <c r="J53" s="3">
        <v>20</v>
      </c>
    </row>
    <row r="54" spans="1:10" x14ac:dyDescent="0.2">
      <c r="A54" s="5">
        <v>37316</v>
      </c>
      <c r="B54" s="2" t="s">
        <v>50</v>
      </c>
      <c r="C54" s="2" t="s">
        <v>103</v>
      </c>
      <c r="D54" s="3">
        <v>2379</v>
      </c>
      <c r="E54" s="4">
        <v>1.1233</v>
      </c>
      <c r="F54" s="4">
        <v>160.08000000000001</v>
      </c>
      <c r="G54" s="4">
        <v>257.19099999999997</v>
      </c>
      <c r="H54" s="4">
        <v>13.5364</v>
      </c>
      <c r="I54" s="3">
        <v>22896</v>
      </c>
      <c r="J54" s="3">
        <v>19</v>
      </c>
    </row>
    <row r="55" spans="1:10" x14ac:dyDescent="0.2">
      <c r="A55" s="5">
        <v>37347</v>
      </c>
      <c r="B55" s="2" t="s">
        <v>51</v>
      </c>
      <c r="C55" s="2" t="s">
        <v>104</v>
      </c>
      <c r="D55" s="3">
        <v>2220</v>
      </c>
      <c r="E55" s="4">
        <v>1.35</v>
      </c>
      <c r="F55" s="4">
        <v>183.4</v>
      </c>
      <c r="G55" s="4">
        <v>288.74489999999997</v>
      </c>
      <c r="H55" s="4">
        <v>13.1248</v>
      </c>
      <c r="I55" s="3">
        <v>21388</v>
      </c>
      <c r="J55" s="3">
        <v>22</v>
      </c>
    </row>
    <row r="56" spans="1:10" x14ac:dyDescent="0.2">
      <c r="A56" s="5">
        <v>37377</v>
      </c>
      <c r="B56" s="2" t="s">
        <v>51</v>
      </c>
      <c r="C56" s="2" t="s">
        <v>104</v>
      </c>
      <c r="D56" s="3">
        <v>2251</v>
      </c>
      <c r="E56" s="4">
        <v>1.3929</v>
      </c>
      <c r="F56" s="4">
        <v>217.94</v>
      </c>
      <c r="G56" s="4">
        <v>281.37790000000001</v>
      </c>
      <c r="H56" s="4">
        <v>12.789899999999999</v>
      </c>
      <c r="I56" s="3">
        <v>20202</v>
      </c>
      <c r="J56" s="3">
        <v>22</v>
      </c>
    </row>
    <row r="57" spans="1:10" x14ac:dyDescent="0.2">
      <c r="A57" s="5">
        <v>37408</v>
      </c>
      <c r="B57" s="2" t="s">
        <v>51</v>
      </c>
      <c r="C57" s="2" t="s">
        <v>104</v>
      </c>
      <c r="D57" s="3">
        <v>2413</v>
      </c>
      <c r="E57" s="4">
        <v>1.2916000000000001</v>
      </c>
      <c r="F57" s="4">
        <v>271.27999999999997</v>
      </c>
      <c r="G57" s="4">
        <v>233.1978</v>
      </c>
      <c r="H57" s="4">
        <v>11.6599</v>
      </c>
      <c r="I57" s="3">
        <v>18055</v>
      </c>
      <c r="J57" s="3">
        <v>20</v>
      </c>
    </row>
    <row r="58" spans="1:10" x14ac:dyDescent="0.2">
      <c r="A58" s="5">
        <v>37438</v>
      </c>
      <c r="B58" s="2" t="s">
        <v>51</v>
      </c>
      <c r="C58" s="2" t="s">
        <v>105</v>
      </c>
      <c r="D58" s="3">
        <v>2591</v>
      </c>
      <c r="E58" s="4">
        <v>1.4487000000000001</v>
      </c>
      <c r="F58" s="4">
        <v>283.75</v>
      </c>
      <c r="G58" s="4">
        <v>267.23669999999998</v>
      </c>
      <c r="H58" s="4">
        <v>11.619</v>
      </c>
      <c r="I58" s="3">
        <v>18448</v>
      </c>
      <c r="J58" s="3">
        <v>23</v>
      </c>
    </row>
    <row r="59" spans="1:10" x14ac:dyDescent="0.2">
      <c r="A59" s="5">
        <v>37469</v>
      </c>
      <c r="B59" s="2" t="s">
        <v>51</v>
      </c>
      <c r="C59" s="2" t="s">
        <v>105</v>
      </c>
      <c r="D59" s="3">
        <v>2460</v>
      </c>
      <c r="E59" s="4">
        <v>1.1505000000000001</v>
      </c>
      <c r="F59" s="4">
        <v>156.22</v>
      </c>
      <c r="G59" s="4">
        <v>237.7962</v>
      </c>
      <c r="H59" s="4">
        <v>11.323600000000001</v>
      </c>
      <c r="I59" s="3">
        <v>20670</v>
      </c>
      <c r="J59" s="3">
        <v>21</v>
      </c>
    </row>
    <row r="60" spans="1:10" x14ac:dyDescent="0.2">
      <c r="A60" s="5">
        <v>37500</v>
      </c>
      <c r="B60" s="2" t="s">
        <v>51</v>
      </c>
      <c r="C60" s="2" t="s">
        <v>105</v>
      </c>
      <c r="D60" s="3">
        <v>2390</v>
      </c>
      <c r="E60" s="4">
        <v>1.0610999999999999</v>
      </c>
      <c r="F60" s="4">
        <v>156.03</v>
      </c>
      <c r="G60" s="4">
        <v>244.10069999999999</v>
      </c>
      <c r="H60" s="4">
        <v>12.205</v>
      </c>
      <c r="I60" s="3">
        <v>23005</v>
      </c>
      <c r="J60" s="3">
        <v>20</v>
      </c>
    </row>
    <row r="61" spans="1:10" x14ac:dyDescent="0.2">
      <c r="A61" s="5">
        <v>37530</v>
      </c>
      <c r="B61" s="2" t="s">
        <v>51</v>
      </c>
      <c r="C61" s="2" t="s">
        <v>106</v>
      </c>
      <c r="D61" s="3">
        <v>2358</v>
      </c>
      <c r="E61" s="4">
        <v>1.1366000000000001</v>
      </c>
      <c r="F61" s="4">
        <v>158.32</v>
      </c>
      <c r="G61" s="4">
        <v>276.40949999999998</v>
      </c>
      <c r="H61" s="4">
        <v>13.1624</v>
      </c>
      <c r="I61" s="3">
        <v>24319</v>
      </c>
      <c r="J61" s="3">
        <v>21</v>
      </c>
    </row>
    <row r="62" spans="1:10" x14ac:dyDescent="0.2">
      <c r="A62" s="5">
        <v>37561</v>
      </c>
      <c r="B62" s="2" t="s">
        <v>51</v>
      </c>
      <c r="C62" s="2" t="s">
        <v>106</v>
      </c>
      <c r="D62" s="3">
        <v>2354</v>
      </c>
      <c r="E62" s="4">
        <v>0.96250000000000002</v>
      </c>
      <c r="F62" s="4">
        <v>136.25</v>
      </c>
      <c r="G62" s="4">
        <v>259.81330000000003</v>
      </c>
      <c r="H62" s="4">
        <v>13.6744</v>
      </c>
      <c r="I62" s="3">
        <v>26994</v>
      </c>
      <c r="J62" s="3">
        <v>19</v>
      </c>
    </row>
    <row r="63" spans="1:10" x14ac:dyDescent="0.2">
      <c r="A63" s="5">
        <v>37591</v>
      </c>
      <c r="B63" s="2" t="s">
        <v>51</v>
      </c>
      <c r="C63" s="2" t="s">
        <v>106</v>
      </c>
      <c r="D63" s="3">
        <v>2436</v>
      </c>
      <c r="E63" s="4">
        <v>1.2311000000000001</v>
      </c>
      <c r="F63" s="4">
        <v>187.05</v>
      </c>
      <c r="G63" s="4">
        <v>305.81610000000001</v>
      </c>
      <c r="H63" s="4">
        <v>14.5627</v>
      </c>
      <c r="I63" s="3">
        <v>24842</v>
      </c>
      <c r="J63" s="3">
        <v>21</v>
      </c>
    </row>
    <row r="64" spans="1:10" x14ac:dyDescent="0.2">
      <c r="A64" s="5">
        <v>37622</v>
      </c>
      <c r="B64" s="2" t="s">
        <v>51</v>
      </c>
      <c r="C64" s="2" t="s">
        <v>107</v>
      </c>
      <c r="D64" s="3">
        <v>2462</v>
      </c>
      <c r="E64" s="4">
        <v>1.3019000000000001</v>
      </c>
      <c r="F64" s="4">
        <v>193.75</v>
      </c>
      <c r="G64" s="4">
        <v>308.98129999999998</v>
      </c>
      <c r="H64" s="4">
        <v>13.433999999999999</v>
      </c>
      <c r="I64" s="3">
        <v>23733</v>
      </c>
      <c r="J64" s="3">
        <v>23</v>
      </c>
    </row>
    <row r="65" spans="1:10" x14ac:dyDescent="0.2">
      <c r="A65" s="5">
        <v>37653</v>
      </c>
      <c r="B65" s="2" t="s">
        <v>51</v>
      </c>
      <c r="C65" s="2" t="s">
        <v>107</v>
      </c>
      <c r="D65" s="3">
        <v>2329</v>
      </c>
      <c r="E65" s="4">
        <v>0.95330000000000004</v>
      </c>
      <c r="F65" s="4">
        <v>143.35</v>
      </c>
      <c r="G65" s="4">
        <v>234.6095</v>
      </c>
      <c r="H65" s="4">
        <v>12.347899999999999</v>
      </c>
      <c r="I65" s="3">
        <v>24610</v>
      </c>
      <c r="J65" s="3">
        <v>19</v>
      </c>
    </row>
    <row r="66" spans="1:10" x14ac:dyDescent="0.2">
      <c r="A66" s="5">
        <v>37681</v>
      </c>
      <c r="B66" s="2" t="s">
        <v>51</v>
      </c>
      <c r="C66" s="2" t="s">
        <v>107</v>
      </c>
      <c r="D66" s="3">
        <v>2329</v>
      </c>
      <c r="E66" s="4">
        <v>0.85060000000000002</v>
      </c>
      <c r="F66" s="4">
        <v>126.64</v>
      </c>
      <c r="G66" s="4">
        <v>202.6474</v>
      </c>
      <c r="H66" s="4">
        <v>10.132400000000001</v>
      </c>
      <c r="I66" s="3">
        <v>23825</v>
      </c>
      <c r="J66" s="3">
        <v>20</v>
      </c>
    </row>
    <row r="67" spans="1:10" x14ac:dyDescent="0.2">
      <c r="A67" s="5">
        <v>37712</v>
      </c>
      <c r="B67" s="2" t="s">
        <v>52</v>
      </c>
      <c r="C67" s="2" t="s">
        <v>108</v>
      </c>
      <c r="D67" s="3">
        <v>2185</v>
      </c>
      <c r="E67" s="4">
        <v>0.96209999999999996</v>
      </c>
      <c r="F67" s="4">
        <v>141.44999999999999</v>
      </c>
      <c r="G67" s="4">
        <v>208.2259</v>
      </c>
      <c r="H67" s="4">
        <v>10.411300000000001</v>
      </c>
      <c r="I67" s="3">
        <v>21644</v>
      </c>
      <c r="J67" s="3">
        <v>20</v>
      </c>
    </row>
    <row r="68" spans="1:10" x14ac:dyDescent="0.2">
      <c r="A68" s="5">
        <v>37742</v>
      </c>
      <c r="B68" s="2" t="s">
        <v>52</v>
      </c>
      <c r="C68" s="2" t="s">
        <v>108</v>
      </c>
      <c r="D68" s="3">
        <v>2260</v>
      </c>
      <c r="E68" s="4">
        <v>1.1836</v>
      </c>
      <c r="F68" s="4">
        <v>216.5</v>
      </c>
      <c r="G68" s="4">
        <v>225.1045</v>
      </c>
      <c r="H68" s="4">
        <v>10.7193</v>
      </c>
      <c r="I68" s="3">
        <v>19019</v>
      </c>
      <c r="J68" s="3">
        <v>21</v>
      </c>
    </row>
    <row r="69" spans="1:10" x14ac:dyDescent="0.2">
      <c r="A69" s="5">
        <v>37773</v>
      </c>
      <c r="B69" s="2" t="s">
        <v>52</v>
      </c>
      <c r="C69" s="2" t="s">
        <v>108</v>
      </c>
      <c r="D69" s="3">
        <v>2379</v>
      </c>
      <c r="E69" s="4">
        <v>1.3885000000000001</v>
      </c>
      <c r="F69" s="4">
        <v>264.94</v>
      </c>
      <c r="G69" s="4">
        <v>249.32929999999999</v>
      </c>
      <c r="H69" s="4">
        <v>11.8728</v>
      </c>
      <c r="I69" s="3">
        <v>17958</v>
      </c>
      <c r="J69" s="3">
        <v>21</v>
      </c>
    </row>
    <row r="70" spans="1:10" x14ac:dyDescent="0.2">
      <c r="A70" s="5">
        <v>37803</v>
      </c>
      <c r="B70" s="2" t="s">
        <v>52</v>
      </c>
      <c r="C70" s="2" t="s">
        <v>109</v>
      </c>
      <c r="D70" s="3">
        <v>2461</v>
      </c>
      <c r="E70" s="4">
        <v>1.7266999999999999</v>
      </c>
      <c r="F70" s="4">
        <v>357.84</v>
      </c>
      <c r="G70" s="4">
        <v>329.75689999999997</v>
      </c>
      <c r="H70" s="4">
        <v>14.337300000000001</v>
      </c>
      <c r="I70" s="3">
        <v>19098</v>
      </c>
      <c r="J70" s="3">
        <v>23</v>
      </c>
    </row>
    <row r="71" spans="1:10" x14ac:dyDescent="0.2">
      <c r="A71" s="5">
        <v>37834</v>
      </c>
      <c r="B71" s="2" t="s">
        <v>52</v>
      </c>
      <c r="C71" s="2" t="s">
        <v>109</v>
      </c>
      <c r="D71" s="3">
        <v>2504</v>
      </c>
      <c r="E71" s="4">
        <v>1.8096000000000001</v>
      </c>
      <c r="F71" s="4">
        <v>464.31</v>
      </c>
      <c r="G71" s="4">
        <v>363.34320000000002</v>
      </c>
      <c r="H71" s="4">
        <v>18.167200000000001</v>
      </c>
      <c r="I71" s="3">
        <v>20079</v>
      </c>
      <c r="J71" s="3">
        <v>20</v>
      </c>
    </row>
    <row r="72" spans="1:10" x14ac:dyDescent="0.2">
      <c r="A72" s="5">
        <v>37865</v>
      </c>
      <c r="B72" s="2" t="s">
        <v>52</v>
      </c>
      <c r="C72" s="2" t="s">
        <v>109</v>
      </c>
      <c r="D72" s="3">
        <v>2500</v>
      </c>
      <c r="E72" s="4">
        <v>1.8037000000000001</v>
      </c>
      <c r="F72" s="4">
        <v>365.67</v>
      </c>
      <c r="G72" s="4">
        <v>446.97750000000002</v>
      </c>
      <c r="H72" s="4">
        <v>20.3172</v>
      </c>
      <c r="I72" s="3">
        <v>24782</v>
      </c>
      <c r="J72" s="3">
        <v>22</v>
      </c>
    </row>
    <row r="73" spans="1:10" x14ac:dyDescent="0.2">
      <c r="A73" s="5">
        <v>37895</v>
      </c>
      <c r="B73" s="2" t="s">
        <v>52</v>
      </c>
      <c r="C73" s="2" t="s">
        <v>110</v>
      </c>
      <c r="D73" s="3">
        <v>2434</v>
      </c>
      <c r="E73" s="4">
        <v>1.8944000000000001</v>
      </c>
      <c r="F73" s="4">
        <v>363.81</v>
      </c>
      <c r="G73" s="4">
        <v>526.30579999999998</v>
      </c>
      <c r="H73" s="4">
        <v>22.882899999999999</v>
      </c>
      <c r="I73" s="3">
        <v>27783</v>
      </c>
      <c r="J73" s="3">
        <v>23</v>
      </c>
    </row>
    <row r="74" spans="1:10" x14ac:dyDescent="0.2">
      <c r="A74" s="5">
        <v>37926</v>
      </c>
      <c r="B74" s="2" t="s">
        <v>52</v>
      </c>
      <c r="C74" s="2" t="s">
        <v>110</v>
      </c>
      <c r="D74" s="3">
        <v>2443</v>
      </c>
      <c r="E74" s="4">
        <v>1.7564</v>
      </c>
      <c r="F74" s="4">
        <v>331.88</v>
      </c>
      <c r="G74" s="4">
        <v>450.29160000000002</v>
      </c>
      <c r="H74" s="4">
        <v>22.514600000000002</v>
      </c>
      <c r="I74" s="3">
        <v>25638</v>
      </c>
      <c r="J74" s="3">
        <v>20</v>
      </c>
    </row>
    <row r="75" spans="1:10" x14ac:dyDescent="0.2">
      <c r="A75" s="5">
        <v>37956</v>
      </c>
      <c r="B75" s="2" t="s">
        <v>52</v>
      </c>
      <c r="C75" s="2" t="s">
        <v>110</v>
      </c>
      <c r="D75" s="3">
        <v>2583</v>
      </c>
      <c r="E75" s="4">
        <v>2.3285999999999998</v>
      </c>
      <c r="F75" s="4">
        <v>473.55</v>
      </c>
      <c r="G75" s="4">
        <v>548.15520000000004</v>
      </c>
      <c r="H75" s="4">
        <v>24.9161</v>
      </c>
      <c r="I75" s="3">
        <v>23540</v>
      </c>
      <c r="J75" s="3">
        <v>22</v>
      </c>
    </row>
    <row r="76" spans="1:10" x14ac:dyDescent="0.2">
      <c r="A76" s="5">
        <v>37987</v>
      </c>
      <c r="B76" s="2" t="s">
        <v>52</v>
      </c>
      <c r="C76" s="2" t="s">
        <v>111</v>
      </c>
      <c r="D76" s="3">
        <v>2572</v>
      </c>
      <c r="E76" s="4">
        <v>2.2347000000000001</v>
      </c>
      <c r="F76" s="4">
        <v>433.47</v>
      </c>
      <c r="G76" s="4">
        <v>656.2029</v>
      </c>
      <c r="H76" s="4">
        <v>31.247800000000002</v>
      </c>
      <c r="I76" s="3">
        <v>29365</v>
      </c>
      <c r="J76" s="3">
        <v>21</v>
      </c>
    </row>
    <row r="77" spans="1:10" x14ac:dyDescent="0.2">
      <c r="A77" s="5">
        <v>38018</v>
      </c>
      <c r="B77" s="2" t="s">
        <v>52</v>
      </c>
      <c r="C77" s="2" t="s">
        <v>111</v>
      </c>
      <c r="D77" s="3">
        <v>2503</v>
      </c>
      <c r="E77" s="4">
        <v>1.5792999999999999</v>
      </c>
      <c r="F77" s="4">
        <v>243.49</v>
      </c>
      <c r="G77" s="4">
        <v>514.63509999999997</v>
      </c>
      <c r="H77" s="4">
        <v>27.086099999999998</v>
      </c>
      <c r="I77" s="3">
        <v>32586</v>
      </c>
      <c r="J77" s="3">
        <v>19</v>
      </c>
    </row>
    <row r="78" spans="1:10" x14ac:dyDescent="0.2">
      <c r="A78" s="5">
        <v>38047</v>
      </c>
      <c r="B78" s="2" t="s">
        <v>52</v>
      </c>
      <c r="C78" s="2" t="s">
        <v>111</v>
      </c>
      <c r="D78" s="3">
        <v>2513</v>
      </c>
      <c r="E78" s="4">
        <v>1.6121000000000001</v>
      </c>
      <c r="F78" s="4">
        <v>247.53</v>
      </c>
      <c r="G78" s="4">
        <v>507.85590000000002</v>
      </c>
      <c r="H78" s="4">
        <v>23.084399999999999</v>
      </c>
      <c r="I78" s="3">
        <v>31503</v>
      </c>
      <c r="J78" s="3">
        <v>22</v>
      </c>
    </row>
    <row r="79" spans="1:10" x14ac:dyDescent="0.2">
      <c r="A79" s="5">
        <v>38078</v>
      </c>
      <c r="B79" s="2" t="s">
        <v>53</v>
      </c>
      <c r="C79" s="2" t="s">
        <v>112</v>
      </c>
      <c r="D79" s="3">
        <v>2445</v>
      </c>
      <c r="E79" s="4">
        <v>1.5630999999999999</v>
      </c>
      <c r="F79" s="4">
        <v>256.69</v>
      </c>
      <c r="G79" s="4">
        <v>448.6352</v>
      </c>
      <c r="H79" s="4">
        <v>22.431799999999999</v>
      </c>
      <c r="I79" s="3">
        <v>28703</v>
      </c>
      <c r="J79" s="3">
        <v>20</v>
      </c>
    </row>
    <row r="80" spans="1:10" x14ac:dyDescent="0.2">
      <c r="A80" s="5">
        <v>38108</v>
      </c>
      <c r="B80" s="2" t="s">
        <v>53</v>
      </c>
      <c r="C80" s="2" t="s">
        <v>112</v>
      </c>
      <c r="D80" s="3">
        <v>2417</v>
      </c>
      <c r="E80" s="4">
        <v>1.7004999999999999</v>
      </c>
      <c r="F80" s="4">
        <v>259.07</v>
      </c>
      <c r="G80" s="4">
        <v>459.37560000000002</v>
      </c>
      <c r="H80" s="4">
        <v>21.875</v>
      </c>
      <c r="I80" s="3">
        <v>27015</v>
      </c>
      <c r="J80" s="3">
        <v>21</v>
      </c>
    </row>
    <row r="81" spans="1:10" x14ac:dyDescent="0.2">
      <c r="A81" s="5">
        <v>38139</v>
      </c>
      <c r="B81" s="2" t="s">
        <v>53</v>
      </c>
      <c r="C81" s="2" t="s">
        <v>112</v>
      </c>
      <c r="D81" s="3">
        <v>2386</v>
      </c>
      <c r="E81" s="4">
        <v>1.4859</v>
      </c>
      <c r="F81" s="4">
        <v>191.22</v>
      </c>
      <c r="G81" s="4">
        <v>369.90039999999999</v>
      </c>
      <c r="H81" s="4">
        <v>16.813700000000001</v>
      </c>
      <c r="I81" s="3">
        <v>24895</v>
      </c>
      <c r="J81" s="3">
        <v>22</v>
      </c>
    </row>
    <row r="82" spans="1:10" x14ac:dyDescent="0.2">
      <c r="A82" s="5">
        <v>38169</v>
      </c>
      <c r="B82" s="2" t="s">
        <v>53</v>
      </c>
      <c r="C82" s="2" t="s">
        <v>113</v>
      </c>
      <c r="D82" s="3">
        <v>2440</v>
      </c>
      <c r="E82" s="4">
        <v>1.7467999999999999</v>
      </c>
      <c r="F82" s="4">
        <v>286.24</v>
      </c>
      <c r="G82" s="4">
        <v>394.48689999999999</v>
      </c>
      <c r="H82" s="4">
        <v>17.9312</v>
      </c>
      <c r="I82" s="3">
        <v>22584</v>
      </c>
      <c r="J82" s="3">
        <v>22</v>
      </c>
    </row>
    <row r="83" spans="1:10" x14ac:dyDescent="0.2">
      <c r="A83" s="5">
        <v>38200</v>
      </c>
      <c r="B83" s="2" t="s">
        <v>53</v>
      </c>
      <c r="C83" s="2" t="s">
        <v>113</v>
      </c>
      <c r="D83" s="3">
        <v>2486</v>
      </c>
      <c r="E83" s="4">
        <v>1.7764</v>
      </c>
      <c r="F83" s="4">
        <v>304.45999999999998</v>
      </c>
      <c r="G83" s="4">
        <v>381.94589999999999</v>
      </c>
      <c r="H83" s="4">
        <v>17.3612</v>
      </c>
      <c r="I83" s="3">
        <v>21501</v>
      </c>
      <c r="J83" s="3">
        <v>22</v>
      </c>
    </row>
    <row r="84" spans="1:10" x14ac:dyDescent="0.2">
      <c r="A84" s="5">
        <v>38231</v>
      </c>
      <c r="B84" s="2" t="s">
        <v>53</v>
      </c>
      <c r="C84" s="2" t="s">
        <v>113</v>
      </c>
      <c r="D84" s="3">
        <v>2554</v>
      </c>
      <c r="E84" s="4">
        <v>2.0518999999999998</v>
      </c>
      <c r="F84" s="4">
        <v>369.55</v>
      </c>
      <c r="G84" s="4">
        <v>396.0301</v>
      </c>
      <c r="H84" s="4">
        <v>18.0014</v>
      </c>
      <c r="I84" s="3">
        <v>19301</v>
      </c>
      <c r="J84" s="3">
        <v>22</v>
      </c>
    </row>
    <row r="85" spans="1:10" x14ac:dyDescent="0.2">
      <c r="A85" s="5">
        <v>38261</v>
      </c>
      <c r="B85" s="2" t="s">
        <v>53</v>
      </c>
      <c r="C85" s="2" t="s">
        <v>114</v>
      </c>
      <c r="D85" s="3">
        <v>2587</v>
      </c>
      <c r="E85" s="4">
        <v>1.7351000000000001</v>
      </c>
      <c r="F85" s="4">
        <v>293.08999999999997</v>
      </c>
      <c r="G85" s="4">
        <v>346.08269999999999</v>
      </c>
      <c r="H85" s="4">
        <v>17.304099999999998</v>
      </c>
      <c r="I85" s="3">
        <v>19947</v>
      </c>
      <c r="J85" s="3">
        <v>20</v>
      </c>
    </row>
    <row r="86" spans="1:10" x14ac:dyDescent="0.2">
      <c r="A86" s="5">
        <v>38292</v>
      </c>
      <c r="B86" s="2" t="s">
        <v>53</v>
      </c>
      <c r="C86" s="2" t="s">
        <v>114</v>
      </c>
      <c r="D86" s="3">
        <v>2628</v>
      </c>
      <c r="E86" s="4">
        <v>2.0070999999999999</v>
      </c>
      <c r="F86" s="4">
        <v>423.45</v>
      </c>
      <c r="G86" s="4">
        <v>357.42270000000002</v>
      </c>
      <c r="H86" s="4">
        <v>17.871099999999998</v>
      </c>
      <c r="I86" s="3">
        <v>17808</v>
      </c>
      <c r="J86" s="3">
        <v>20</v>
      </c>
    </row>
    <row r="87" spans="1:10" x14ac:dyDescent="0.2">
      <c r="A87" s="5">
        <v>38322</v>
      </c>
      <c r="B87" s="2" t="s">
        <v>53</v>
      </c>
      <c r="C87" s="2" t="s">
        <v>114</v>
      </c>
      <c r="D87" s="3">
        <v>2677</v>
      </c>
      <c r="E87" s="4">
        <v>2.7404999999999999</v>
      </c>
      <c r="F87" s="4">
        <v>626.46</v>
      </c>
      <c r="G87" s="4">
        <v>502.25670000000002</v>
      </c>
      <c r="H87" s="4">
        <v>21.837199999999999</v>
      </c>
      <c r="I87" s="3">
        <v>18328</v>
      </c>
      <c r="J87" s="3">
        <v>23</v>
      </c>
    </row>
    <row r="88" spans="1:10" x14ac:dyDescent="0.2">
      <c r="A88" s="5">
        <v>38353</v>
      </c>
      <c r="B88" s="2" t="s">
        <v>53</v>
      </c>
      <c r="C88" s="2" t="s">
        <v>115</v>
      </c>
      <c r="D88" s="3">
        <v>2644</v>
      </c>
      <c r="E88" s="4">
        <v>2.1997</v>
      </c>
      <c r="F88" s="4">
        <v>535.20000000000005</v>
      </c>
      <c r="G88" s="4">
        <v>438.88069999999999</v>
      </c>
      <c r="H88" s="4">
        <v>23.099</v>
      </c>
      <c r="I88" s="3">
        <v>19952</v>
      </c>
      <c r="J88" s="3">
        <v>19</v>
      </c>
    </row>
    <row r="89" spans="1:10" x14ac:dyDescent="0.2">
      <c r="A89" s="5">
        <v>38384</v>
      </c>
      <c r="B89" s="2" t="s">
        <v>53</v>
      </c>
      <c r="C89" s="2" t="s">
        <v>115</v>
      </c>
      <c r="D89" s="3">
        <v>2664</v>
      </c>
      <c r="E89" s="4">
        <v>2.5110999999999999</v>
      </c>
      <c r="F89" s="4">
        <v>616.26</v>
      </c>
      <c r="G89" s="4">
        <v>496.86430000000001</v>
      </c>
      <c r="H89" s="4">
        <v>24.8432</v>
      </c>
      <c r="I89" s="3">
        <v>19787</v>
      </c>
      <c r="J89" s="3">
        <v>20</v>
      </c>
    </row>
    <row r="90" spans="1:10" x14ac:dyDescent="0.2">
      <c r="A90" s="5">
        <v>38412</v>
      </c>
      <c r="B90" s="2" t="s">
        <v>53</v>
      </c>
      <c r="C90" s="2" t="s">
        <v>115</v>
      </c>
      <c r="D90" s="3">
        <v>2701</v>
      </c>
      <c r="E90" s="4">
        <v>2.2229000000000001</v>
      </c>
      <c r="F90" s="4">
        <v>610.04999999999995</v>
      </c>
      <c r="G90" s="4">
        <v>595.27530000000002</v>
      </c>
      <c r="H90" s="4">
        <v>27.058</v>
      </c>
      <c r="I90" s="3">
        <v>26779</v>
      </c>
      <c r="J90" s="3">
        <v>22</v>
      </c>
    </row>
    <row r="91" spans="1:10" x14ac:dyDescent="0.2">
      <c r="A91" s="5">
        <v>38443</v>
      </c>
      <c r="B91" s="2" t="s">
        <v>54</v>
      </c>
      <c r="C91" s="2" t="s">
        <v>116</v>
      </c>
      <c r="D91" s="3">
        <v>2686</v>
      </c>
      <c r="E91" s="4">
        <v>1.3595999999999999</v>
      </c>
      <c r="F91" s="4">
        <v>333.71</v>
      </c>
      <c r="G91" s="4">
        <v>378.08800000000002</v>
      </c>
      <c r="H91" s="4">
        <v>18.904399999999999</v>
      </c>
      <c r="I91" s="3">
        <v>27809</v>
      </c>
      <c r="J91" s="3">
        <v>20</v>
      </c>
    </row>
    <row r="92" spans="1:10" x14ac:dyDescent="0.2">
      <c r="A92" s="5">
        <v>38473</v>
      </c>
      <c r="B92" s="2" t="s">
        <v>54</v>
      </c>
      <c r="C92" s="2" t="s">
        <v>116</v>
      </c>
      <c r="D92" s="3">
        <v>2708</v>
      </c>
      <c r="E92" s="4">
        <v>1.7002999999999999</v>
      </c>
      <c r="F92" s="4">
        <v>433.71</v>
      </c>
      <c r="G92" s="4">
        <v>433.59350000000001</v>
      </c>
      <c r="H92" s="4">
        <v>19.7088</v>
      </c>
      <c r="I92" s="3">
        <v>25501</v>
      </c>
      <c r="J92" s="3">
        <v>22</v>
      </c>
    </row>
    <row r="93" spans="1:10" x14ac:dyDescent="0.2">
      <c r="A93" s="5">
        <v>38504</v>
      </c>
      <c r="B93" s="2" t="s">
        <v>54</v>
      </c>
      <c r="C93" s="2" t="s">
        <v>116</v>
      </c>
      <c r="D93" s="3">
        <v>2772</v>
      </c>
      <c r="E93" s="4">
        <v>2.0404</v>
      </c>
      <c r="F93" s="4">
        <v>633.09</v>
      </c>
      <c r="G93" s="4">
        <v>584.78909999999996</v>
      </c>
      <c r="H93" s="4">
        <v>25.425599999999999</v>
      </c>
      <c r="I93" s="3">
        <v>28662</v>
      </c>
      <c r="J93" s="3">
        <v>23</v>
      </c>
    </row>
    <row r="94" spans="1:10" x14ac:dyDescent="0.2">
      <c r="A94" s="5">
        <v>38534</v>
      </c>
      <c r="B94" s="2" t="s">
        <v>54</v>
      </c>
      <c r="C94" s="2" t="s">
        <v>117</v>
      </c>
      <c r="D94" s="3">
        <v>2788</v>
      </c>
      <c r="E94" s="4">
        <v>2.1886999999999999</v>
      </c>
      <c r="F94" s="4">
        <v>677.21</v>
      </c>
      <c r="G94" s="4">
        <v>618.98969999999997</v>
      </c>
      <c r="H94" s="4">
        <v>30.9495</v>
      </c>
      <c r="I94" s="3">
        <v>28281</v>
      </c>
      <c r="J94" s="3">
        <v>20</v>
      </c>
    </row>
    <row r="95" spans="1:10" x14ac:dyDescent="0.2">
      <c r="A95" s="5">
        <v>38565</v>
      </c>
      <c r="B95" s="2" t="s">
        <v>54</v>
      </c>
      <c r="C95" s="2" t="s">
        <v>117</v>
      </c>
      <c r="D95" s="3">
        <v>2792</v>
      </c>
      <c r="E95" s="4">
        <v>2.7162999999999999</v>
      </c>
      <c r="F95" s="4">
        <v>1015.04</v>
      </c>
      <c r="G95" s="4">
        <v>759.3279</v>
      </c>
      <c r="H95" s="4">
        <v>34.514899999999997</v>
      </c>
      <c r="I95" s="3">
        <v>27955</v>
      </c>
      <c r="J95" s="3">
        <v>22</v>
      </c>
    </row>
    <row r="96" spans="1:10" x14ac:dyDescent="0.2">
      <c r="A96" s="5">
        <v>38596</v>
      </c>
      <c r="B96" s="2" t="s">
        <v>54</v>
      </c>
      <c r="C96" s="2" t="s">
        <v>117</v>
      </c>
      <c r="D96" s="3">
        <v>2796</v>
      </c>
      <c r="E96" s="4">
        <v>2.8433999999999999</v>
      </c>
      <c r="F96" s="4">
        <v>870.55</v>
      </c>
      <c r="G96" s="4">
        <v>812.91300000000001</v>
      </c>
      <c r="H96" s="4">
        <v>38.710099999999997</v>
      </c>
      <c r="I96" s="3">
        <v>28590</v>
      </c>
      <c r="J96" s="3">
        <v>21</v>
      </c>
    </row>
    <row r="97" spans="1:10" x14ac:dyDescent="0.2">
      <c r="A97" s="5">
        <v>38626</v>
      </c>
      <c r="B97" s="2" t="s">
        <v>54</v>
      </c>
      <c r="C97" s="2" t="s">
        <v>118</v>
      </c>
      <c r="D97" s="3">
        <v>2725</v>
      </c>
      <c r="E97" s="4">
        <v>1.8347</v>
      </c>
      <c r="F97" s="4">
        <v>364.96</v>
      </c>
      <c r="G97" s="4">
        <v>591.02059999999994</v>
      </c>
      <c r="H97" s="4">
        <v>29.550999999999998</v>
      </c>
      <c r="I97" s="3">
        <v>32214</v>
      </c>
      <c r="J97" s="3">
        <v>20</v>
      </c>
    </row>
    <row r="98" spans="1:10" x14ac:dyDescent="0.2">
      <c r="A98" s="5">
        <v>38657</v>
      </c>
      <c r="B98" s="2" t="s">
        <v>54</v>
      </c>
      <c r="C98" s="2" t="s">
        <v>118</v>
      </c>
      <c r="D98" s="3">
        <v>2733</v>
      </c>
      <c r="E98" s="4">
        <v>1.7144999999999999</v>
      </c>
      <c r="F98" s="4">
        <v>319.42</v>
      </c>
      <c r="G98" s="4">
        <v>526.94359999999995</v>
      </c>
      <c r="H98" s="4">
        <v>26.347200000000001</v>
      </c>
      <c r="I98" s="3">
        <v>30735</v>
      </c>
      <c r="J98" s="3">
        <v>20</v>
      </c>
    </row>
    <row r="99" spans="1:10" x14ac:dyDescent="0.2">
      <c r="A99" s="5">
        <v>38687</v>
      </c>
      <c r="B99" s="2" t="s">
        <v>54</v>
      </c>
      <c r="C99" s="2" t="s">
        <v>118</v>
      </c>
      <c r="D99" s="3">
        <v>2739</v>
      </c>
      <c r="E99" s="4">
        <v>2.3403</v>
      </c>
      <c r="F99" s="4">
        <v>452.18</v>
      </c>
      <c r="G99" s="4">
        <v>773.56079999999997</v>
      </c>
      <c r="H99" s="4">
        <v>35.161900000000003</v>
      </c>
      <c r="I99" s="3">
        <v>33054</v>
      </c>
      <c r="J99" s="3">
        <v>22</v>
      </c>
    </row>
    <row r="100" spans="1:10" x14ac:dyDescent="0.2">
      <c r="A100" s="5">
        <v>38718</v>
      </c>
      <c r="B100" s="2" t="s">
        <v>54</v>
      </c>
      <c r="C100" s="2" t="s">
        <v>119</v>
      </c>
      <c r="D100" s="3">
        <v>2750</v>
      </c>
      <c r="E100" s="4">
        <v>2.5009000000000001</v>
      </c>
      <c r="F100" s="4">
        <v>491.36</v>
      </c>
      <c r="G100" s="4">
        <v>793.26639999999998</v>
      </c>
      <c r="H100" s="4">
        <v>39.6633</v>
      </c>
      <c r="I100" s="3">
        <v>31720</v>
      </c>
      <c r="J100" s="3">
        <v>20</v>
      </c>
    </row>
    <row r="101" spans="1:10" x14ac:dyDescent="0.2">
      <c r="A101" s="5">
        <v>38749</v>
      </c>
      <c r="B101" s="2" t="s">
        <v>54</v>
      </c>
      <c r="C101" s="2" t="s">
        <v>119</v>
      </c>
      <c r="D101" s="3">
        <v>2760</v>
      </c>
      <c r="E101" s="4">
        <v>2.2216</v>
      </c>
      <c r="F101" s="4">
        <v>421.08</v>
      </c>
      <c r="G101" s="4">
        <v>700.70240000000001</v>
      </c>
      <c r="H101" s="4">
        <v>36.879100000000001</v>
      </c>
      <c r="I101" s="3">
        <v>31541</v>
      </c>
      <c r="J101" s="3">
        <v>19</v>
      </c>
    </row>
    <row r="102" spans="1:10" x14ac:dyDescent="0.2">
      <c r="A102" s="5">
        <v>38777</v>
      </c>
      <c r="B102" s="2" t="s">
        <v>54</v>
      </c>
      <c r="C102" s="2" t="s">
        <v>119</v>
      </c>
      <c r="D102" s="3">
        <v>2791</v>
      </c>
      <c r="E102" s="4">
        <v>2.9399000000000002</v>
      </c>
      <c r="F102" s="4">
        <v>632.25</v>
      </c>
      <c r="G102" s="4">
        <v>1187.652</v>
      </c>
      <c r="H102" s="4">
        <v>53.984200000000001</v>
      </c>
      <c r="I102" s="3">
        <v>40398</v>
      </c>
      <c r="J102" s="3">
        <v>22</v>
      </c>
    </row>
    <row r="103" spans="1:10" x14ac:dyDescent="0.2">
      <c r="A103" s="5">
        <v>38808</v>
      </c>
      <c r="B103" s="2" t="s">
        <v>55</v>
      </c>
      <c r="C103" s="2" t="s">
        <v>120</v>
      </c>
      <c r="D103" s="3">
        <v>2808</v>
      </c>
      <c r="E103" s="4">
        <v>2.5695999999999999</v>
      </c>
      <c r="F103" s="4">
        <v>478.79</v>
      </c>
      <c r="G103" s="4">
        <v>874.8732</v>
      </c>
      <c r="H103" s="4">
        <v>48.604100000000003</v>
      </c>
      <c r="I103" s="3">
        <v>34048</v>
      </c>
      <c r="J103" s="3">
        <v>18</v>
      </c>
    </row>
    <row r="104" spans="1:10" x14ac:dyDescent="0.2">
      <c r="A104" s="5">
        <v>38838</v>
      </c>
      <c r="B104" s="2" t="s">
        <v>55</v>
      </c>
      <c r="C104" s="2" t="s">
        <v>120</v>
      </c>
      <c r="D104" s="3">
        <v>2817</v>
      </c>
      <c r="E104" s="4">
        <v>3.1078000000000001</v>
      </c>
      <c r="F104" s="4">
        <v>584.83000000000004</v>
      </c>
      <c r="G104" s="4">
        <v>958.197</v>
      </c>
      <c r="H104" s="4">
        <v>43.554400000000001</v>
      </c>
      <c r="I104" s="3">
        <v>30832</v>
      </c>
      <c r="J104" s="3">
        <v>22</v>
      </c>
    </row>
    <row r="105" spans="1:10" x14ac:dyDescent="0.2">
      <c r="A105" s="5">
        <v>38869</v>
      </c>
      <c r="B105" s="2" t="s">
        <v>55</v>
      </c>
      <c r="C105" s="2" t="s">
        <v>120</v>
      </c>
      <c r="D105" s="3">
        <v>2786</v>
      </c>
      <c r="E105" s="4">
        <v>2.7475999999999998</v>
      </c>
      <c r="F105" s="4">
        <v>363.91</v>
      </c>
      <c r="G105" s="4">
        <v>720.1336</v>
      </c>
      <c r="H105" s="4">
        <v>31.310199999999998</v>
      </c>
      <c r="I105" s="3">
        <v>26210</v>
      </c>
      <c r="J105" s="3">
        <v>23</v>
      </c>
    </row>
    <row r="106" spans="1:10" x14ac:dyDescent="0.2">
      <c r="A106" s="5">
        <v>38899</v>
      </c>
      <c r="B106" s="2" t="s">
        <v>55</v>
      </c>
      <c r="C106" s="2" t="s">
        <v>121</v>
      </c>
      <c r="D106" s="3">
        <v>2779</v>
      </c>
      <c r="E106" s="4">
        <v>2.1709000000000001</v>
      </c>
      <c r="F106" s="4">
        <v>256.82</v>
      </c>
      <c r="G106" s="4">
        <v>546.9787</v>
      </c>
      <c r="H106" s="4">
        <v>26.046600000000002</v>
      </c>
      <c r="I106" s="3">
        <v>25196</v>
      </c>
      <c r="J106" s="3">
        <v>21</v>
      </c>
    </row>
    <row r="107" spans="1:10" x14ac:dyDescent="0.2">
      <c r="A107" s="5">
        <v>38930</v>
      </c>
      <c r="B107" s="2" t="s">
        <v>55</v>
      </c>
      <c r="C107" s="2" t="s">
        <v>121</v>
      </c>
      <c r="D107" s="3">
        <v>2807</v>
      </c>
      <c r="E107" s="4">
        <v>2.6351</v>
      </c>
      <c r="F107" s="4">
        <v>364.06</v>
      </c>
      <c r="G107" s="4">
        <v>630.84190000000001</v>
      </c>
      <c r="H107" s="4">
        <v>28.674600000000002</v>
      </c>
      <c r="I107" s="3">
        <v>23940</v>
      </c>
      <c r="J107" s="3">
        <v>22</v>
      </c>
    </row>
    <row r="108" spans="1:10" x14ac:dyDescent="0.2">
      <c r="A108" s="5">
        <v>38961</v>
      </c>
      <c r="B108" s="2" t="s">
        <v>55</v>
      </c>
      <c r="C108" s="2" t="s">
        <v>121</v>
      </c>
      <c r="D108" s="3">
        <v>2844</v>
      </c>
      <c r="E108" s="4">
        <v>2.8187000000000002</v>
      </c>
      <c r="F108" s="4">
        <v>428.07</v>
      </c>
      <c r="G108" s="4">
        <v>716.28830000000005</v>
      </c>
      <c r="H108" s="4">
        <v>34.109000000000002</v>
      </c>
      <c r="I108" s="3">
        <v>25413</v>
      </c>
      <c r="J108" s="3">
        <v>21</v>
      </c>
    </row>
    <row r="109" spans="1:10" x14ac:dyDescent="0.2">
      <c r="A109" s="5">
        <v>38991</v>
      </c>
      <c r="B109" s="2" t="s">
        <v>55</v>
      </c>
      <c r="C109" s="2" t="s">
        <v>122</v>
      </c>
      <c r="D109" s="3">
        <v>2804</v>
      </c>
      <c r="E109" s="4">
        <v>2.6362000000000001</v>
      </c>
      <c r="F109" s="4">
        <v>426.78</v>
      </c>
      <c r="G109" s="4">
        <v>696.26729999999998</v>
      </c>
      <c r="H109" s="4">
        <v>34.813400000000001</v>
      </c>
      <c r="I109" s="3">
        <v>26413</v>
      </c>
      <c r="J109" s="3">
        <v>20</v>
      </c>
    </row>
    <row r="110" spans="1:10" x14ac:dyDescent="0.2">
      <c r="A110" s="5">
        <v>39022</v>
      </c>
      <c r="B110" s="2" t="s">
        <v>55</v>
      </c>
      <c r="C110" s="2" t="s">
        <v>122</v>
      </c>
      <c r="D110" s="3">
        <v>2828</v>
      </c>
      <c r="E110" s="4">
        <v>3.4131</v>
      </c>
      <c r="F110" s="4">
        <v>521.63</v>
      </c>
      <c r="G110" s="4">
        <v>1018.3955</v>
      </c>
      <c r="H110" s="4">
        <v>46.290700000000001</v>
      </c>
      <c r="I110" s="3">
        <v>29838</v>
      </c>
      <c r="J110" s="3">
        <v>22</v>
      </c>
    </row>
    <row r="111" spans="1:10" x14ac:dyDescent="0.2">
      <c r="A111" s="5">
        <v>39052</v>
      </c>
      <c r="B111" s="2" t="s">
        <v>55</v>
      </c>
      <c r="C111" s="2" t="s">
        <v>122</v>
      </c>
      <c r="D111" s="3">
        <v>2850</v>
      </c>
      <c r="E111" s="4">
        <v>3.0632999999999999</v>
      </c>
      <c r="F111" s="4">
        <v>447.38</v>
      </c>
      <c r="G111" s="4">
        <v>855.12149999999997</v>
      </c>
      <c r="H111" s="4">
        <v>42.756100000000004</v>
      </c>
      <c r="I111" s="3">
        <v>27916</v>
      </c>
      <c r="J111" s="3">
        <v>20</v>
      </c>
    </row>
    <row r="112" spans="1:10" x14ac:dyDescent="0.2">
      <c r="A112" s="5">
        <v>39083</v>
      </c>
      <c r="B112" s="2" t="s">
        <v>55</v>
      </c>
      <c r="C112" s="2" t="s">
        <v>123</v>
      </c>
      <c r="D112" s="3">
        <v>2866</v>
      </c>
      <c r="E112" s="4">
        <v>3.2778</v>
      </c>
      <c r="F112" s="4">
        <v>680.53</v>
      </c>
      <c r="G112" s="4">
        <v>876.08190000000002</v>
      </c>
      <c r="H112" s="4">
        <v>43.804099999999998</v>
      </c>
      <c r="I112" s="3">
        <v>26729</v>
      </c>
      <c r="J112" s="3">
        <v>20</v>
      </c>
    </row>
    <row r="113" spans="1:10" x14ac:dyDescent="0.2">
      <c r="A113" s="5">
        <v>39114</v>
      </c>
      <c r="B113" s="2" t="s">
        <v>55</v>
      </c>
      <c r="C113" s="2" t="s">
        <v>123</v>
      </c>
      <c r="D113" s="3">
        <v>2886</v>
      </c>
      <c r="E113" s="4">
        <v>3.1966000000000001</v>
      </c>
      <c r="F113" s="4">
        <v>595.76</v>
      </c>
      <c r="G113" s="4">
        <v>888.43700000000001</v>
      </c>
      <c r="H113" s="4">
        <v>46.759799999999998</v>
      </c>
      <c r="I113" s="3">
        <v>27794</v>
      </c>
      <c r="J113" s="3">
        <v>19</v>
      </c>
    </row>
    <row r="114" spans="1:10" x14ac:dyDescent="0.2">
      <c r="A114" s="5">
        <v>39142</v>
      </c>
      <c r="B114" s="2" t="s">
        <v>55</v>
      </c>
      <c r="C114" s="2" t="s">
        <v>123</v>
      </c>
      <c r="D114" s="3">
        <v>2917</v>
      </c>
      <c r="E114" s="4">
        <v>2.9855999999999998</v>
      </c>
      <c r="F114" s="4">
        <v>459.24</v>
      </c>
      <c r="G114" s="4">
        <v>780.27520000000004</v>
      </c>
      <c r="H114" s="4">
        <v>37.155999999999999</v>
      </c>
      <c r="I114" s="3">
        <v>26136</v>
      </c>
      <c r="J114" s="3">
        <v>21</v>
      </c>
    </row>
    <row r="115" spans="1:10" x14ac:dyDescent="0.2">
      <c r="A115" s="5">
        <v>39173</v>
      </c>
      <c r="B115" s="2" t="s">
        <v>56</v>
      </c>
      <c r="C115" s="2" t="s">
        <v>124</v>
      </c>
      <c r="D115" s="3">
        <v>2907</v>
      </c>
      <c r="E115" s="4">
        <v>2.9876</v>
      </c>
      <c r="F115" s="4">
        <v>442.7</v>
      </c>
      <c r="G115" s="4">
        <v>786.92790000000002</v>
      </c>
      <c r="H115" s="4">
        <v>39.346400000000003</v>
      </c>
      <c r="I115" s="3">
        <v>26340</v>
      </c>
      <c r="J115" s="3">
        <v>20</v>
      </c>
    </row>
    <row r="116" spans="1:10" x14ac:dyDescent="0.2">
      <c r="A116" s="5">
        <v>39203</v>
      </c>
      <c r="B116" s="2" t="s">
        <v>56</v>
      </c>
      <c r="C116" s="2" t="s">
        <v>124</v>
      </c>
      <c r="D116" s="3">
        <v>2923</v>
      </c>
      <c r="E116" s="4">
        <v>3.5836999999999999</v>
      </c>
      <c r="F116" s="4">
        <v>574.78</v>
      </c>
      <c r="G116" s="4">
        <v>988.20669999999996</v>
      </c>
      <c r="H116" s="4">
        <v>47.057499999999997</v>
      </c>
      <c r="I116" s="3">
        <v>27576</v>
      </c>
      <c r="J116" s="3">
        <v>21</v>
      </c>
    </row>
    <row r="117" spans="1:10" x14ac:dyDescent="0.2">
      <c r="A117" s="5">
        <v>39234</v>
      </c>
      <c r="B117" s="2" t="s">
        <v>56</v>
      </c>
      <c r="C117" s="2" t="s">
        <v>124</v>
      </c>
      <c r="D117" s="3">
        <v>2940</v>
      </c>
      <c r="E117" s="4">
        <v>3.3780999999999999</v>
      </c>
      <c r="F117" s="4">
        <v>518.42999999999995</v>
      </c>
      <c r="G117" s="4">
        <v>952.68349999999998</v>
      </c>
      <c r="H117" s="4">
        <v>45.365900000000003</v>
      </c>
      <c r="I117" s="3">
        <v>28202</v>
      </c>
      <c r="J117" s="3">
        <v>21</v>
      </c>
    </row>
    <row r="118" spans="1:10" x14ac:dyDescent="0.2">
      <c r="A118" s="5">
        <v>39264</v>
      </c>
      <c r="B118" s="2" t="s">
        <v>56</v>
      </c>
      <c r="C118" s="2" t="s">
        <v>125</v>
      </c>
      <c r="D118" s="3">
        <v>2978</v>
      </c>
      <c r="E118" s="4">
        <v>4.0994000000000002</v>
      </c>
      <c r="F118" s="4">
        <v>741.11</v>
      </c>
      <c r="G118" s="4">
        <v>1250.537</v>
      </c>
      <c r="H118" s="4">
        <v>56.842599999999997</v>
      </c>
      <c r="I118" s="3">
        <v>30506</v>
      </c>
      <c r="J118" s="3">
        <v>22</v>
      </c>
    </row>
    <row r="119" spans="1:10" x14ac:dyDescent="0.2">
      <c r="A119" s="5">
        <v>39295</v>
      </c>
      <c r="B119" s="2" t="s">
        <v>56</v>
      </c>
      <c r="C119" s="2" t="s">
        <v>125</v>
      </c>
      <c r="D119" s="3">
        <v>2999</v>
      </c>
      <c r="E119" s="4">
        <v>3.8639000000000001</v>
      </c>
      <c r="F119" s="4">
        <v>762.61</v>
      </c>
      <c r="G119" s="4">
        <v>1060.4141999999999</v>
      </c>
      <c r="H119" s="4">
        <v>48.200600000000001</v>
      </c>
      <c r="I119" s="3">
        <v>27444</v>
      </c>
      <c r="J119" s="3">
        <v>22</v>
      </c>
    </row>
    <row r="120" spans="1:10" x14ac:dyDescent="0.2">
      <c r="A120" s="5">
        <v>39326</v>
      </c>
      <c r="B120" s="2" t="s">
        <v>56</v>
      </c>
      <c r="C120" s="2" t="s">
        <v>125</v>
      </c>
      <c r="D120" s="3">
        <v>3001</v>
      </c>
      <c r="E120" s="4">
        <v>4.2834000000000003</v>
      </c>
      <c r="F120" s="4">
        <v>1001.64</v>
      </c>
      <c r="G120" s="4">
        <v>1231.4386</v>
      </c>
      <c r="H120" s="4">
        <v>61.571899999999999</v>
      </c>
      <c r="I120" s="3">
        <v>28750</v>
      </c>
      <c r="J120" s="3">
        <v>20</v>
      </c>
    </row>
    <row r="121" spans="1:10" x14ac:dyDescent="0.2">
      <c r="A121" s="5">
        <v>39356</v>
      </c>
      <c r="B121" s="2" t="s">
        <v>56</v>
      </c>
      <c r="C121" s="2" t="s">
        <v>126</v>
      </c>
      <c r="D121" s="3">
        <v>3004</v>
      </c>
      <c r="E121" s="4">
        <v>5.5636000000000001</v>
      </c>
      <c r="F121" s="4">
        <v>1033.3</v>
      </c>
      <c r="G121" s="4">
        <v>1990.8871999999999</v>
      </c>
      <c r="H121" s="4">
        <v>90.494900000000001</v>
      </c>
      <c r="I121" s="3">
        <v>35785</v>
      </c>
      <c r="J121" s="3">
        <v>22</v>
      </c>
    </row>
    <row r="122" spans="1:10" x14ac:dyDescent="0.2">
      <c r="A122" s="5">
        <v>39387</v>
      </c>
      <c r="B122" s="2" t="s">
        <v>56</v>
      </c>
      <c r="C122" s="2" t="s">
        <v>126</v>
      </c>
      <c r="D122" s="3">
        <v>3013</v>
      </c>
      <c r="E122" s="4">
        <v>5.3357999999999999</v>
      </c>
      <c r="F122" s="4">
        <v>1058</v>
      </c>
      <c r="G122" s="4">
        <v>1706.2268999999999</v>
      </c>
      <c r="H122" s="4">
        <v>77.555800000000005</v>
      </c>
      <c r="I122" s="3">
        <v>31977</v>
      </c>
      <c r="J122" s="3">
        <v>22</v>
      </c>
    </row>
    <row r="123" spans="1:10" x14ac:dyDescent="0.2">
      <c r="A123" s="5">
        <v>39417</v>
      </c>
      <c r="B123" s="2" t="s">
        <v>56</v>
      </c>
      <c r="C123" s="2" t="s">
        <v>126</v>
      </c>
      <c r="D123" s="3">
        <v>3041</v>
      </c>
      <c r="E123" s="4">
        <v>5.4717000000000002</v>
      </c>
      <c r="F123" s="4">
        <v>1289.05</v>
      </c>
      <c r="G123" s="4">
        <v>1635.1568</v>
      </c>
      <c r="H123" s="4">
        <v>86.060900000000004</v>
      </c>
      <c r="I123" s="3">
        <v>29885</v>
      </c>
      <c r="J123" s="3">
        <v>19</v>
      </c>
    </row>
    <row r="124" spans="1:10" x14ac:dyDescent="0.2">
      <c r="A124" s="5">
        <v>39448</v>
      </c>
      <c r="B124" s="2" t="s">
        <v>56</v>
      </c>
      <c r="C124" s="2" t="s">
        <v>127</v>
      </c>
      <c r="D124" s="3">
        <v>3052</v>
      </c>
      <c r="E124" s="4">
        <v>5.8327</v>
      </c>
      <c r="F124" s="4">
        <v>1180.5</v>
      </c>
      <c r="G124" s="4">
        <v>1856.4183</v>
      </c>
      <c r="H124" s="4">
        <v>80.713800000000006</v>
      </c>
      <c r="I124" s="3">
        <v>31828</v>
      </c>
      <c r="J124" s="3">
        <v>23</v>
      </c>
    </row>
    <row r="125" spans="1:10" x14ac:dyDescent="0.2">
      <c r="A125" s="5">
        <v>39479</v>
      </c>
      <c r="B125" s="2" t="s">
        <v>56</v>
      </c>
      <c r="C125" s="2" t="s">
        <v>127</v>
      </c>
      <c r="D125" s="3">
        <v>3044</v>
      </c>
      <c r="E125" s="4">
        <v>4.5716000000000001</v>
      </c>
      <c r="F125" s="4">
        <v>660.61</v>
      </c>
      <c r="G125" s="4">
        <v>1219.7460000000001</v>
      </c>
      <c r="H125" s="4">
        <v>58.083100000000002</v>
      </c>
      <c r="I125" s="3">
        <v>26681</v>
      </c>
      <c r="J125" s="3">
        <v>21</v>
      </c>
    </row>
    <row r="126" spans="1:10" x14ac:dyDescent="0.2">
      <c r="A126" s="5">
        <v>39508</v>
      </c>
      <c r="B126" s="2" t="s">
        <v>56</v>
      </c>
      <c r="C126" s="2" t="s">
        <v>127</v>
      </c>
      <c r="D126" s="3">
        <v>3032</v>
      </c>
      <c r="E126" s="4">
        <v>4.0625999999999998</v>
      </c>
      <c r="F126" s="4">
        <v>597.32000000000005</v>
      </c>
      <c r="G126" s="4">
        <v>1109.9110000000001</v>
      </c>
      <c r="H126" s="4">
        <v>61.661700000000003</v>
      </c>
      <c r="I126" s="3">
        <v>27321</v>
      </c>
      <c r="J126" s="3">
        <v>18</v>
      </c>
    </row>
    <row r="127" spans="1:10" x14ac:dyDescent="0.2">
      <c r="A127" s="5">
        <v>39539</v>
      </c>
      <c r="B127" s="2" t="s">
        <v>57</v>
      </c>
      <c r="C127" s="2" t="s">
        <v>128</v>
      </c>
      <c r="D127" s="3">
        <v>3010</v>
      </c>
      <c r="E127" s="4">
        <v>4.7480000000000002</v>
      </c>
      <c r="F127" s="4">
        <v>676.72</v>
      </c>
      <c r="G127" s="4">
        <v>1154.5429999999999</v>
      </c>
      <c r="H127" s="4">
        <v>57.727200000000003</v>
      </c>
      <c r="I127" s="3">
        <v>24317</v>
      </c>
      <c r="J127" s="3">
        <v>20</v>
      </c>
    </row>
    <row r="128" spans="1:10" x14ac:dyDescent="0.2">
      <c r="A128" s="5">
        <v>39569</v>
      </c>
      <c r="B128" s="2" t="s">
        <v>57</v>
      </c>
      <c r="C128" s="2" t="s">
        <v>128</v>
      </c>
      <c r="D128" s="3">
        <v>3043</v>
      </c>
      <c r="E128" s="4">
        <v>4.8766999999999996</v>
      </c>
      <c r="F128" s="4">
        <v>728.92</v>
      </c>
      <c r="G128" s="4">
        <v>1216.7009</v>
      </c>
      <c r="H128" s="4">
        <v>60.835000000000001</v>
      </c>
      <c r="I128" s="3">
        <v>24950</v>
      </c>
      <c r="J128" s="3">
        <v>20</v>
      </c>
    </row>
    <row r="129" spans="1:10" x14ac:dyDescent="0.2">
      <c r="A129" s="5">
        <v>39600</v>
      </c>
      <c r="B129" s="2" t="s">
        <v>57</v>
      </c>
      <c r="C129" s="2" t="s">
        <v>128</v>
      </c>
      <c r="D129" s="3">
        <v>3060</v>
      </c>
      <c r="E129" s="4">
        <v>4.7834000000000003</v>
      </c>
      <c r="F129" s="4">
        <v>609.42999999999995</v>
      </c>
      <c r="G129" s="4">
        <v>1136.0461</v>
      </c>
      <c r="H129" s="4">
        <v>54.0974</v>
      </c>
      <c r="I129" s="3">
        <v>23750</v>
      </c>
      <c r="J129" s="3">
        <v>21</v>
      </c>
    </row>
    <row r="130" spans="1:10" x14ac:dyDescent="0.2">
      <c r="A130" s="5">
        <v>39630</v>
      </c>
      <c r="B130" s="2" t="s">
        <v>57</v>
      </c>
      <c r="C130" s="2" t="s">
        <v>129</v>
      </c>
      <c r="D130" s="3">
        <v>3064</v>
      </c>
      <c r="E130" s="4">
        <v>5.5716000000000001</v>
      </c>
      <c r="F130" s="4">
        <v>751.14</v>
      </c>
      <c r="G130" s="4">
        <v>1239.1559</v>
      </c>
      <c r="H130" s="4">
        <v>53.876300000000001</v>
      </c>
      <c r="I130" s="3">
        <v>22241</v>
      </c>
      <c r="J130" s="3">
        <v>23</v>
      </c>
    </row>
    <row r="131" spans="1:10" x14ac:dyDescent="0.2">
      <c r="A131" s="5">
        <v>39661</v>
      </c>
      <c r="B131" s="2" t="s">
        <v>57</v>
      </c>
      <c r="C131" s="2" t="s">
        <v>129</v>
      </c>
      <c r="D131" s="3">
        <v>3053</v>
      </c>
      <c r="E131" s="4">
        <v>4.4641999999999999</v>
      </c>
      <c r="F131" s="4">
        <v>604.53</v>
      </c>
      <c r="G131" s="4">
        <v>999.23929999999996</v>
      </c>
      <c r="H131" s="4">
        <v>49.962000000000003</v>
      </c>
      <c r="I131" s="3">
        <v>22384</v>
      </c>
      <c r="J131" s="3">
        <v>20</v>
      </c>
    </row>
    <row r="132" spans="1:10" x14ac:dyDescent="0.2">
      <c r="A132" s="5">
        <v>39692</v>
      </c>
      <c r="B132" s="2" t="s">
        <v>57</v>
      </c>
      <c r="C132" s="2" t="s">
        <v>129</v>
      </c>
      <c r="D132" s="3">
        <v>3082</v>
      </c>
      <c r="E132" s="4">
        <v>4.5137999999999998</v>
      </c>
      <c r="F132" s="4">
        <v>548.82000000000005</v>
      </c>
      <c r="G132" s="4">
        <v>1080.8995</v>
      </c>
      <c r="H132" s="4">
        <v>51.471400000000003</v>
      </c>
      <c r="I132" s="3">
        <v>23947</v>
      </c>
      <c r="J132" s="3">
        <v>21</v>
      </c>
    </row>
    <row r="133" spans="1:10" x14ac:dyDescent="0.2">
      <c r="A133" s="5">
        <v>39722</v>
      </c>
      <c r="B133" s="2" t="s">
        <v>57</v>
      </c>
      <c r="C133" s="2" t="s">
        <v>130</v>
      </c>
      <c r="D133" s="3">
        <v>3047</v>
      </c>
      <c r="E133" s="4">
        <v>4.3082000000000003</v>
      </c>
      <c r="F133" s="4">
        <v>520.30999999999995</v>
      </c>
      <c r="G133" s="4">
        <v>782.27210000000002</v>
      </c>
      <c r="H133" s="4">
        <v>39.113599999999998</v>
      </c>
      <c r="I133" s="3">
        <v>18158</v>
      </c>
      <c r="J133" s="3">
        <v>20</v>
      </c>
    </row>
    <row r="134" spans="1:10" x14ac:dyDescent="0.2">
      <c r="A134" s="5">
        <v>39753</v>
      </c>
      <c r="B134" s="2" t="s">
        <v>57</v>
      </c>
      <c r="C134" s="2" t="s">
        <v>130</v>
      </c>
      <c r="D134" s="3">
        <v>3032</v>
      </c>
      <c r="E134" s="4">
        <v>3.9847999999999999</v>
      </c>
      <c r="F134" s="4">
        <v>503.57</v>
      </c>
      <c r="G134" s="4">
        <v>636.93619999999999</v>
      </c>
      <c r="H134" s="4">
        <v>35.385300000000001</v>
      </c>
      <c r="I134" s="3">
        <v>15985</v>
      </c>
      <c r="J134" s="3">
        <v>18</v>
      </c>
    </row>
    <row r="135" spans="1:10" x14ac:dyDescent="0.2">
      <c r="A135" s="5">
        <v>39783</v>
      </c>
      <c r="B135" s="2" t="s">
        <v>57</v>
      </c>
      <c r="C135" s="2" t="s">
        <v>130</v>
      </c>
      <c r="D135" s="3">
        <v>3031</v>
      </c>
      <c r="E135" s="4">
        <v>4.8429000000000002</v>
      </c>
      <c r="F135" s="4">
        <v>676.08</v>
      </c>
      <c r="G135" s="4">
        <v>808.65790000000004</v>
      </c>
      <c r="H135" s="4">
        <v>38.5075</v>
      </c>
      <c r="I135" s="3">
        <v>16698</v>
      </c>
      <c r="J135" s="3">
        <v>21</v>
      </c>
    </row>
    <row r="136" spans="1:10" x14ac:dyDescent="0.2">
      <c r="A136" s="5">
        <v>39814</v>
      </c>
      <c r="B136" s="2" t="s">
        <v>57</v>
      </c>
      <c r="C136" s="2" t="s">
        <v>131</v>
      </c>
      <c r="D136" s="3">
        <v>3022</v>
      </c>
      <c r="E136" s="4">
        <v>4.4939999999999998</v>
      </c>
      <c r="F136" s="4">
        <v>673.83</v>
      </c>
      <c r="G136" s="4">
        <v>705.09500000000003</v>
      </c>
      <c r="H136" s="4">
        <v>35.254800000000003</v>
      </c>
      <c r="I136" s="3">
        <v>15690</v>
      </c>
      <c r="J136" s="3">
        <v>20</v>
      </c>
    </row>
    <row r="137" spans="1:10" x14ac:dyDescent="0.2">
      <c r="A137" s="5">
        <v>39845</v>
      </c>
      <c r="B137" s="2" t="s">
        <v>57</v>
      </c>
      <c r="C137" s="2" t="s">
        <v>131</v>
      </c>
      <c r="D137" s="3">
        <v>3050</v>
      </c>
      <c r="E137" s="4">
        <v>3.5291000000000001</v>
      </c>
      <c r="F137" s="4">
        <v>520.16999999999996</v>
      </c>
      <c r="G137" s="4">
        <v>543.29740000000004</v>
      </c>
      <c r="H137" s="4">
        <v>28.5946</v>
      </c>
      <c r="I137" s="3">
        <v>15395</v>
      </c>
      <c r="J137" s="3">
        <v>19</v>
      </c>
    </row>
    <row r="138" spans="1:10" x14ac:dyDescent="0.2">
      <c r="A138" s="5">
        <v>39873</v>
      </c>
      <c r="B138" s="2" t="s">
        <v>57</v>
      </c>
      <c r="C138" s="2" t="s">
        <v>131</v>
      </c>
      <c r="D138" s="3">
        <v>3070</v>
      </c>
      <c r="E138" s="4">
        <v>3.9630999999999998</v>
      </c>
      <c r="F138" s="4">
        <v>582.48</v>
      </c>
      <c r="G138" s="4">
        <v>697.89440000000002</v>
      </c>
      <c r="H138" s="4">
        <v>34.8947</v>
      </c>
      <c r="I138" s="3">
        <v>17610</v>
      </c>
      <c r="J138" s="3">
        <v>20</v>
      </c>
    </row>
    <row r="139" spans="1:10" x14ac:dyDescent="0.2">
      <c r="A139" s="5">
        <v>39904</v>
      </c>
      <c r="B139" s="2" t="s">
        <v>58</v>
      </c>
      <c r="C139" s="2" t="s">
        <v>132</v>
      </c>
      <c r="D139" s="3">
        <v>3058</v>
      </c>
      <c r="E139" s="4">
        <v>4.6889000000000003</v>
      </c>
      <c r="F139" s="4">
        <v>847.27</v>
      </c>
      <c r="G139" s="4">
        <v>889.42920000000004</v>
      </c>
      <c r="H139" s="4">
        <v>52.319400000000002</v>
      </c>
      <c r="I139" s="3">
        <v>18969</v>
      </c>
      <c r="J139" s="3">
        <v>17</v>
      </c>
    </row>
    <row r="140" spans="1:10" x14ac:dyDescent="0.2">
      <c r="A140" s="5">
        <v>39934</v>
      </c>
      <c r="B140" s="2" t="s">
        <v>58</v>
      </c>
      <c r="C140" s="2" t="s">
        <v>132</v>
      </c>
      <c r="D140" s="3">
        <v>3092</v>
      </c>
      <c r="E140" s="4">
        <v>5.5224000000000002</v>
      </c>
      <c r="F140" s="4">
        <v>1182.8599999999999</v>
      </c>
      <c r="G140" s="4">
        <v>1285.4169999999999</v>
      </c>
      <c r="H140" s="4">
        <v>64.270899999999997</v>
      </c>
      <c r="I140" s="3">
        <v>23277</v>
      </c>
      <c r="J140" s="3">
        <v>20</v>
      </c>
    </row>
    <row r="141" spans="1:10" x14ac:dyDescent="0.2">
      <c r="A141" s="5">
        <v>39965</v>
      </c>
      <c r="B141" s="2" t="s">
        <v>58</v>
      </c>
      <c r="C141" s="2" t="s">
        <v>132</v>
      </c>
      <c r="D141" s="3">
        <v>3110</v>
      </c>
      <c r="E141" s="4">
        <v>6.5575000000000001</v>
      </c>
      <c r="F141" s="4">
        <v>1280.58</v>
      </c>
      <c r="G141" s="4">
        <v>1591.9472000000001</v>
      </c>
      <c r="H141" s="4">
        <v>72.361199999999997</v>
      </c>
      <c r="I141" s="3">
        <v>24277</v>
      </c>
      <c r="J141" s="3">
        <v>22</v>
      </c>
    </row>
    <row r="142" spans="1:10" x14ac:dyDescent="0.2">
      <c r="A142" s="5">
        <v>39995</v>
      </c>
      <c r="B142" s="2" t="s">
        <v>58</v>
      </c>
      <c r="C142" s="2" t="s">
        <v>133</v>
      </c>
      <c r="D142" s="3">
        <v>3106</v>
      </c>
      <c r="E142" s="4">
        <v>5.9462999999999999</v>
      </c>
      <c r="F142" s="4">
        <v>969.55</v>
      </c>
      <c r="G142" s="4">
        <v>1389.8624</v>
      </c>
      <c r="H142" s="4">
        <v>60.428800000000003</v>
      </c>
      <c r="I142" s="3">
        <v>23374</v>
      </c>
      <c r="J142" s="3">
        <v>23</v>
      </c>
    </row>
    <row r="143" spans="1:10" x14ac:dyDescent="0.2">
      <c r="A143" s="5">
        <v>40026</v>
      </c>
      <c r="B143" s="2" t="s">
        <v>58</v>
      </c>
      <c r="C143" s="2" t="s">
        <v>133</v>
      </c>
      <c r="D143" s="3">
        <v>3132</v>
      </c>
      <c r="E143" s="4">
        <v>5.3361999999999998</v>
      </c>
      <c r="F143" s="4">
        <v>958.99</v>
      </c>
      <c r="G143" s="4">
        <v>1223.1929</v>
      </c>
      <c r="H143" s="4">
        <v>58.247300000000003</v>
      </c>
      <c r="I143" s="3">
        <v>22923</v>
      </c>
      <c r="J143" s="3">
        <v>21</v>
      </c>
    </row>
    <row r="144" spans="1:10" x14ac:dyDescent="0.2">
      <c r="A144" s="5">
        <v>40057</v>
      </c>
      <c r="B144" s="2" t="s">
        <v>58</v>
      </c>
      <c r="C144" s="2" t="s">
        <v>133</v>
      </c>
      <c r="D144" s="3">
        <v>3168</v>
      </c>
      <c r="E144" s="4">
        <v>5.1062000000000003</v>
      </c>
      <c r="F144" s="4">
        <v>1067.6300000000001</v>
      </c>
      <c r="G144" s="4">
        <v>1242.1990000000001</v>
      </c>
      <c r="H144" s="4">
        <v>62.11</v>
      </c>
      <c r="I144" s="3">
        <v>24328</v>
      </c>
      <c r="J144" s="3">
        <v>20</v>
      </c>
    </row>
    <row r="145" spans="1:10" x14ac:dyDescent="0.2">
      <c r="A145" s="5">
        <v>40087</v>
      </c>
      <c r="B145" s="2" t="s">
        <v>58</v>
      </c>
      <c r="C145" s="2" t="s">
        <v>134</v>
      </c>
      <c r="D145" s="3">
        <v>3177</v>
      </c>
      <c r="E145" s="4">
        <v>4.7107000000000001</v>
      </c>
      <c r="F145" s="4">
        <v>901.97</v>
      </c>
      <c r="G145" s="4">
        <v>1140.0697</v>
      </c>
      <c r="H145" s="4">
        <v>57.003500000000003</v>
      </c>
      <c r="I145" s="3">
        <v>24202</v>
      </c>
      <c r="J145" s="3">
        <v>20</v>
      </c>
    </row>
    <row r="146" spans="1:10" x14ac:dyDescent="0.2">
      <c r="A146" s="5">
        <v>40118</v>
      </c>
      <c r="B146" s="2" t="s">
        <v>58</v>
      </c>
      <c r="C146" s="2" t="s">
        <v>134</v>
      </c>
      <c r="D146" s="3">
        <v>3194</v>
      </c>
      <c r="E146" s="4">
        <v>4.5545999999999998</v>
      </c>
      <c r="F146" s="4">
        <v>778.66</v>
      </c>
      <c r="G146" s="4">
        <v>1051.42</v>
      </c>
      <c r="H146" s="4">
        <v>52.570999999999998</v>
      </c>
      <c r="I146" s="3">
        <v>23085</v>
      </c>
      <c r="J146" s="3">
        <v>20</v>
      </c>
    </row>
    <row r="147" spans="1:10" x14ac:dyDescent="0.2">
      <c r="A147" s="5">
        <v>40148</v>
      </c>
      <c r="B147" s="2" t="s">
        <v>58</v>
      </c>
      <c r="C147" s="2" t="s">
        <v>134</v>
      </c>
      <c r="D147" s="3">
        <v>3202</v>
      </c>
      <c r="E147" s="4">
        <v>4.5213999999999999</v>
      </c>
      <c r="F147" s="4">
        <v>827.69</v>
      </c>
      <c r="G147" s="4">
        <v>980.82489999999996</v>
      </c>
      <c r="H147" s="4">
        <v>46.7059</v>
      </c>
      <c r="I147" s="3">
        <v>21693</v>
      </c>
      <c r="J147" s="3">
        <v>21</v>
      </c>
    </row>
    <row r="148" spans="1:10" x14ac:dyDescent="0.2">
      <c r="A148" s="5">
        <v>40179</v>
      </c>
      <c r="B148" s="2" t="s">
        <v>58</v>
      </c>
      <c r="C148" s="2" t="s">
        <v>135</v>
      </c>
      <c r="D148" s="3">
        <v>3222</v>
      </c>
      <c r="E148" s="4">
        <v>5.2782999999999998</v>
      </c>
      <c r="F148" s="4">
        <v>1071.1500000000001</v>
      </c>
      <c r="G148" s="4">
        <v>1170.8448000000001</v>
      </c>
      <c r="H148" s="4">
        <v>61.623399999999997</v>
      </c>
      <c r="I148" s="3">
        <v>22183</v>
      </c>
      <c r="J148" s="3">
        <v>19</v>
      </c>
    </row>
    <row r="149" spans="1:10" x14ac:dyDescent="0.2">
      <c r="A149" s="5">
        <v>40210</v>
      </c>
      <c r="B149" s="2" t="s">
        <v>58</v>
      </c>
      <c r="C149" s="2" t="s">
        <v>135</v>
      </c>
      <c r="D149" s="3">
        <v>3233</v>
      </c>
      <c r="E149" s="4">
        <v>3.9799000000000002</v>
      </c>
      <c r="F149" s="4">
        <v>664.08</v>
      </c>
      <c r="G149" s="4">
        <v>825.09879999999998</v>
      </c>
      <c r="H149" s="4">
        <v>41.254899999999999</v>
      </c>
      <c r="I149" s="3">
        <v>20732</v>
      </c>
      <c r="J149" s="3">
        <v>20</v>
      </c>
    </row>
    <row r="150" spans="1:10" x14ac:dyDescent="0.2">
      <c r="A150" s="5">
        <v>40238</v>
      </c>
      <c r="B150" s="2" t="s">
        <v>58</v>
      </c>
      <c r="C150" s="2" t="s">
        <v>135</v>
      </c>
      <c r="D150" s="3">
        <v>3262</v>
      </c>
      <c r="E150" s="4">
        <v>4.3563000000000001</v>
      </c>
      <c r="F150" s="4">
        <v>814.67</v>
      </c>
      <c r="G150" s="4">
        <v>997.78729999999996</v>
      </c>
      <c r="H150" s="4">
        <v>47.5137</v>
      </c>
      <c r="I150" s="3">
        <v>22905</v>
      </c>
      <c r="J150" s="3">
        <v>21</v>
      </c>
    </row>
    <row r="151" spans="1:10" x14ac:dyDescent="0.2">
      <c r="A151" s="5">
        <v>40269</v>
      </c>
      <c r="B151" s="2" t="s">
        <v>59</v>
      </c>
      <c r="C151" s="2" t="s">
        <v>136</v>
      </c>
      <c r="D151" s="3">
        <v>3278</v>
      </c>
      <c r="E151" s="4">
        <v>4.5274000000000001</v>
      </c>
      <c r="F151" s="4">
        <v>857.92</v>
      </c>
      <c r="G151" s="4">
        <v>939.29229999999995</v>
      </c>
      <c r="H151" s="4">
        <v>46.964599999999997</v>
      </c>
      <c r="I151" s="3">
        <v>20747</v>
      </c>
      <c r="J151" s="3">
        <v>20</v>
      </c>
    </row>
    <row r="152" spans="1:10" x14ac:dyDescent="0.2">
      <c r="A152" s="5">
        <v>40299</v>
      </c>
      <c r="B152" s="2" t="s">
        <v>59</v>
      </c>
      <c r="C152" s="2" t="s">
        <v>136</v>
      </c>
      <c r="D152" s="3">
        <v>3275</v>
      </c>
      <c r="E152" s="4">
        <v>4.3147000000000002</v>
      </c>
      <c r="F152" s="4">
        <v>754.64</v>
      </c>
      <c r="G152" s="4">
        <v>866.8</v>
      </c>
      <c r="H152" s="4">
        <v>39.4</v>
      </c>
      <c r="I152" s="3">
        <v>20090</v>
      </c>
      <c r="J152" s="3">
        <v>22</v>
      </c>
    </row>
    <row r="153" spans="1:10" x14ac:dyDescent="0.2">
      <c r="A153" s="5">
        <v>40330</v>
      </c>
      <c r="B153" s="2" t="s">
        <v>59</v>
      </c>
      <c r="C153" s="2" t="s">
        <v>136</v>
      </c>
      <c r="D153" s="3">
        <v>3303</v>
      </c>
      <c r="E153" s="4">
        <v>4.4316000000000004</v>
      </c>
      <c r="F153" s="4">
        <v>789.69</v>
      </c>
      <c r="G153" s="4">
        <v>924.92610000000002</v>
      </c>
      <c r="H153" s="4">
        <v>42.042099999999998</v>
      </c>
      <c r="I153" s="3">
        <v>20872</v>
      </c>
      <c r="J153" s="3">
        <v>22</v>
      </c>
    </row>
    <row r="154" spans="1:10" x14ac:dyDescent="0.2">
      <c r="A154" s="5">
        <v>40360</v>
      </c>
      <c r="B154" s="2" t="s">
        <v>59</v>
      </c>
      <c r="C154" s="2" t="s">
        <v>137</v>
      </c>
      <c r="D154" s="3">
        <v>3338</v>
      </c>
      <c r="E154" s="4">
        <v>4.5260999999999996</v>
      </c>
      <c r="F154" s="4">
        <v>877.63</v>
      </c>
      <c r="G154" s="4">
        <v>929.56899999999996</v>
      </c>
      <c r="H154" s="4">
        <v>42.253100000000003</v>
      </c>
      <c r="I154" s="3">
        <v>20539</v>
      </c>
      <c r="J154" s="3">
        <v>22</v>
      </c>
    </row>
    <row r="155" spans="1:10" x14ac:dyDescent="0.2">
      <c r="A155" s="5">
        <v>40391</v>
      </c>
      <c r="B155" s="2" t="s">
        <v>59</v>
      </c>
      <c r="C155" s="2" t="s">
        <v>137</v>
      </c>
      <c r="D155" s="3">
        <v>3353</v>
      </c>
      <c r="E155" s="4">
        <v>5.1734</v>
      </c>
      <c r="F155" s="4">
        <v>938.51</v>
      </c>
      <c r="G155" s="4">
        <v>1128.8190999999999</v>
      </c>
      <c r="H155" s="4">
        <v>51.31</v>
      </c>
      <c r="I155" s="3">
        <v>21820</v>
      </c>
      <c r="J155" s="3">
        <v>22</v>
      </c>
    </row>
    <row r="156" spans="1:10" x14ac:dyDescent="0.2">
      <c r="A156" s="5">
        <v>40422</v>
      </c>
      <c r="B156" s="2" t="s">
        <v>59</v>
      </c>
      <c r="C156" s="2" t="s">
        <v>137</v>
      </c>
      <c r="D156" s="3">
        <v>3372</v>
      </c>
      <c r="E156" s="4">
        <v>4.9414999999999996</v>
      </c>
      <c r="F156" s="4">
        <v>1039.8699999999999</v>
      </c>
      <c r="G156" s="4">
        <v>1088.8477</v>
      </c>
      <c r="H156" s="4">
        <v>51.849899999999998</v>
      </c>
      <c r="I156" s="3">
        <v>22035</v>
      </c>
      <c r="J156" s="3">
        <v>21</v>
      </c>
    </row>
    <row r="157" spans="1:10" x14ac:dyDescent="0.2">
      <c r="A157" s="5">
        <v>40452</v>
      </c>
      <c r="B157" s="2" t="s">
        <v>59</v>
      </c>
      <c r="C157" s="2" t="s">
        <v>138</v>
      </c>
      <c r="D157" s="3">
        <v>3401</v>
      </c>
      <c r="E157" s="4">
        <v>5.2705000000000002</v>
      </c>
      <c r="F157" s="4">
        <v>1096.97</v>
      </c>
      <c r="G157" s="4">
        <v>1184.9694999999999</v>
      </c>
      <c r="H157" s="4">
        <v>56.427100000000003</v>
      </c>
      <c r="I157" s="3">
        <v>22484</v>
      </c>
      <c r="J157" s="3">
        <v>21</v>
      </c>
    </row>
    <row r="158" spans="1:10" x14ac:dyDescent="0.2">
      <c r="A158" s="5">
        <v>40483</v>
      </c>
      <c r="B158" s="2" t="s">
        <v>59</v>
      </c>
      <c r="C158" s="2" t="s">
        <v>138</v>
      </c>
      <c r="D158" s="3">
        <v>3388</v>
      </c>
      <c r="E158" s="4">
        <v>4.6680999999999999</v>
      </c>
      <c r="F158" s="4">
        <v>950.76</v>
      </c>
      <c r="G158" s="4">
        <v>1060.0047</v>
      </c>
      <c r="H158" s="4">
        <v>50.476399999999998</v>
      </c>
      <c r="I158" s="3">
        <v>22708</v>
      </c>
      <c r="J158" s="3">
        <v>21</v>
      </c>
    </row>
    <row r="159" spans="1:10" x14ac:dyDescent="0.2">
      <c r="A159" s="5">
        <v>40513</v>
      </c>
      <c r="B159" s="2" t="s">
        <v>59</v>
      </c>
      <c r="C159" s="2" t="s">
        <v>138</v>
      </c>
      <c r="D159" s="3">
        <v>3392</v>
      </c>
      <c r="E159" s="4">
        <v>4.1043000000000003</v>
      </c>
      <c r="F159" s="4">
        <v>764.04</v>
      </c>
      <c r="G159" s="4">
        <v>815.60090000000002</v>
      </c>
      <c r="H159" s="4">
        <v>37.072800000000001</v>
      </c>
      <c r="I159" s="3">
        <v>19872</v>
      </c>
      <c r="J159" s="3">
        <v>22</v>
      </c>
    </row>
    <row r="160" spans="1:10" x14ac:dyDescent="0.2">
      <c r="A160" s="5">
        <v>40544</v>
      </c>
      <c r="B160" s="2" t="s">
        <v>59</v>
      </c>
      <c r="C160" s="2" t="s">
        <v>139</v>
      </c>
      <c r="D160" s="3">
        <v>3383</v>
      </c>
      <c r="E160" s="4">
        <v>3.5158</v>
      </c>
      <c r="F160" s="4">
        <v>627.77</v>
      </c>
      <c r="G160" s="4">
        <v>698.57550000000003</v>
      </c>
      <c r="H160" s="4">
        <v>34.928800000000003</v>
      </c>
      <c r="I160" s="3">
        <v>19870</v>
      </c>
      <c r="J160" s="3">
        <v>20</v>
      </c>
    </row>
    <row r="161" spans="1:10" x14ac:dyDescent="0.2">
      <c r="A161" s="5">
        <v>40575</v>
      </c>
      <c r="B161" s="2" t="s">
        <v>59</v>
      </c>
      <c r="C161" s="2" t="s">
        <v>139</v>
      </c>
      <c r="D161" s="3">
        <v>3387</v>
      </c>
      <c r="E161" s="4">
        <v>3.68</v>
      </c>
      <c r="F161" s="4">
        <v>576.27</v>
      </c>
      <c r="G161" s="4">
        <v>688.29830000000004</v>
      </c>
      <c r="H161" s="4">
        <v>34.414900000000003</v>
      </c>
      <c r="I161" s="3">
        <v>18704</v>
      </c>
      <c r="J161" s="3">
        <v>20</v>
      </c>
    </row>
    <row r="162" spans="1:10" x14ac:dyDescent="0.2">
      <c r="A162" s="5">
        <v>40603</v>
      </c>
      <c r="B162" s="2" t="s">
        <v>59</v>
      </c>
      <c r="C162" s="2" t="s">
        <v>139</v>
      </c>
      <c r="D162" s="3">
        <v>3432</v>
      </c>
      <c r="E162" s="4">
        <v>3.6936</v>
      </c>
      <c r="F162" s="4">
        <v>633.70000000000005</v>
      </c>
      <c r="G162" s="4">
        <v>724.56579999999997</v>
      </c>
      <c r="H162" s="4">
        <v>32.934800000000003</v>
      </c>
      <c r="I162" s="3">
        <v>19617</v>
      </c>
      <c r="J162" s="3">
        <v>22</v>
      </c>
    </row>
    <row r="163" spans="1:10" x14ac:dyDescent="0.2">
      <c r="A163" s="5">
        <v>40634</v>
      </c>
      <c r="B163" s="2" t="s">
        <v>60</v>
      </c>
      <c r="C163" s="2" t="s">
        <v>140</v>
      </c>
      <c r="D163" s="3">
        <v>3403</v>
      </c>
      <c r="E163" s="4">
        <v>3.2696999999999998</v>
      </c>
      <c r="F163" s="4">
        <v>622.62</v>
      </c>
      <c r="G163" s="4">
        <v>693.36279999999999</v>
      </c>
      <c r="H163" s="4">
        <v>38.520200000000003</v>
      </c>
      <c r="I163" s="3">
        <v>21206</v>
      </c>
      <c r="J163" s="3">
        <v>18</v>
      </c>
    </row>
    <row r="164" spans="1:10" x14ac:dyDescent="0.2">
      <c r="A164" s="5">
        <v>40664</v>
      </c>
      <c r="B164" s="2" t="s">
        <v>60</v>
      </c>
      <c r="C164" s="2" t="s">
        <v>140</v>
      </c>
      <c r="D164" s="3">
        <v>3403</v>
      </c>
      <c r="E164" s="4">
        <v>3.3628</v>
      </c>
      <c r="F164" s="4">
        <v>538.74</v>
      </c>
      <c r="G164" s="4">
        <v>594.9425</v>
      </c>
      <c r="H164" s="4">
        <v>27.0428</v>
      </c>
      <c r="I164" s="3">
        <v>17693</v>
      </c>
      <c r="J164" s="3">
        <v>22</v>
      </c>
    </row>
    <row r="165" spans="1:10" x14ac:dyDescent="0.2">
      <c r="A165" s="5">
        <v>40695</v>
      </c>
      <c r="B165" s="2" t="s">
        <v>60</v>
      </c>
      <c r="C165" s="2" t="s">
        <v>140</v>
      </c>
      <c r="D165" s="3">
        <v>3408</v>
      </c>
      <c r="E165" s="4">
        <v>3.35</v>
      </c>
      <c r="F165" s="4">
        <v>570.92999999999995</v>
      </c>
      <c r="G165" s="4">
        <v>593.37300000000005</v>
      </c>
      <c r="H165" s="4">
        <v>26.971499999999999</v>
      </c>
      <c r="I165" s="3">
        <v>17713</v>
      </c>
      <c r="J165" s="3">
        <v>22</v>
      </c>
    </row>
    <row r="166" spans="1:10" x14ac:dyDescent="0.2">
      <c r="A166" s="5">
        <v>40725</v>
      </c>
      <c r="B166" s="2" t="s">
        <v>60</v>
      </c>
      <c r="C166" s="2" t="s">
        <v>141</v>
      </c>
      <c r="D166" s="3">
        <v>3435</v>
      </c>
      <c r="E166" s="4">
        <v>3.3711000000000002</v>
      </c>
      <c r="F166" s="4">
        <v>629.69000000000005</v>
      </c>
      <c r="G166" s="4">
        <v>595.54669999999999</v>
      </c>
      <c r="H166" s="4">
        <v>28.359400000000001</v>
      </c>
      <c r="I166" s="3">
        <v>17667</v>
      </c>
      <c r="J166" s="3">
        <v>21</v>
      </c>
    </row>
    <row r="167" spans="1:10" x14ac:dyDescent="0.2">
      <c r="A167" s="5">
        <v>40756</v>
      </c>
      <c r="B167" s="2" t="s">
        <v>60</v>
      </c>
      <c r="C167" s="2" t="s">
        <v>141</v>
      </c>
      <c r="D167" s="3">
        <v>3448</v>
      </c>
      <c r="E167" s="4">
        <v>3.3125</v>
      </c>
      <c r="F167" s="4">
        <v>563.41</v>
      </c>
      <c r="G167" s="4">
        <v>533.00750000000005</v>
      </c>
      <c r="H167" s="4">
        <v>25.3813</v>
      </c>
      <c r="I167" s="3">
        <v>16091</v>
      </c>
      <c r="J167" s="3">
        <v>21</v>
      </c>
    </row>
    <row r="168" spans="1:10" x14ac:dyDescent="0.2">
      <c r="A168" s="5">
        <v>40787</v>
      </c>
      <c r="B168" s="2" t="s">
        <v>60</v>
      </c>
      <c r="C168" s="2" t="s">
        <v>141</v>
      </c>
      <c r="D168" s="3">
        <v>3461</v>
      </c>
      <c r="E168" s="4">
        <v>3.3357999999999999</v>
      </c>
      <c r="F168" s="4">
        <v>517.48</v>
      </c>
      <c r="G168" s="4">
        <v>543.5992</v>
      </c>
      <c r="H168" s="4">
        <v>25.8857</v>
      </c>
      <c r="I168" s="3">
        <v>16297</v>
      </c>
      <c r="J168" s="3">
        <v>21</v>
      </c>
    </row>
    <row r="169" spans="1:10" x14ac:dyDescent="0.2">
      <c r="A169" s="5">
        <v>40817</v>
      </c>
      <c r="B169" s="2" t="s">
        <v>60</v>
      </c>
      <c r="C169" s="2" t="s">
        <v>142</v>
      </c>
      <c r="D169" s="3">
        <v>3470</v>
      </c>
      <c r="E169" s="4">
        <v>2.7871999999999999</v>
      </c>
      <c r="F169" s="4">
        <v>374.21</v>
      </c>
      <c r="G169" s="4">
        <v>435.15170000000001</v>
      </c>
      <c r="H169" s="4">
        <v>22.902699999999999</v>
      </c>
      <c r="I169" s="3">
        <v>15613</v>
      </c>
      <c r="J169" s="3">
        <v>19</v>
      </c>
    </row>
    <row r="170" spans="1:10" x14ac:dyDescent="0.2">
      <c r="A170" s="5">
        <v>40848</v>
      </c>
      <c r="B170" s="2" t="s">
        <v>60</v>
      </c>
      <c r="C170" s="2" t="s">
        <v>142</v>
      </c>
      <c r="D170" s="3">
        <v>3498</v>
      </c>
      <c r="E170" s="4">
        <v>2.9523000000000001</v>
      </c>
      <c r="F170" s="4">
        <v>463.88</v>
      </c>
      <c r="G170" s="4">
        <v>438.72120000000001</v>
      </c>
      <c r="H170" s="4">
        <v>21.9361</v>
      </c>
      <c r="I170" s="3">
        <v>14861</v>
      </c>
      <c r="J170" s="3">
        <v>20</v>
      </c>
    </row>
    <row r="171" spans="1:10" x14ac:dyDescent="0.2">
      <c r="A171" s="5">
        <v>40878</v>
      </c>
      <c r="B171" s="2" t="s">
        <v>60</v>
      </c>
      <c r="C171" s="2" t="s">
        <v>142</v>
      </c>
      <c r="D171" s="3">
        <v>3497</v>
      </c>
      <c r="E171" s="4">
        <v>2.6916000000000002</v>
      </c>
      <c r="F171" s="4">
        <v>407.14</v>
      </c>
      <c r="G171" s="4">
        <v>394.9221</v>
      </c>
      <c r="H171" s="4">
        <v>18.805800000000001</v>
      </c>
      <c r="I171" s="3">
        <v>14673</v>
      </c>
      <c r="J171" s="3">
        <v>21</v>
      </c>
    </row>
    <row r="172" spans="1:10" x14ac:dyDescent="0.2">
      <c r="A172" s="5">
        <v>40909</v>
      </c>
      <c r="B172" s="2" t="s">
        <v>60</v>
      </c>
      <c r="C172" s="2" t="s">
        <v>143</v>
      </c>
      <c r="D172" s="3">
        <v>3526</v>
      </c>
      <c r="E172" s="4">
        <v>3.5185</v>
      </c>
      <c r="F172" s="4">
        <v>546.48</v>
      </c>
      <c r="G172" s="4">
        <v>525.70820000000003</v>
      </c>
      <c r="H172" s="4">
        <v>23.895800000000001</v>
      </c>
      <c r="I172" s="3">
        <v>14942</v>
      </c>
      <c r="J172" s="3">
        <v>22</v>
      </c>
    </row>
    <row r="173" spans="1:10" x14ac:dyDescent="0.2">
      <c r="A173" s="5">
        <v>40940</v>
      </c>
      <c r="B173" s="2" t="s">
        <v>60</v>
      </c>
      <c r="C173" s="2" t="s">
        <v>143</v>
      </c>
      <c r="D173" s="3">
        <v>3581</v>
      </c>
      <c r="E173" s="4">
        <v>4.1542000000000003</v>
      </c>
      <c r="F173" s="4">
        <v>682.7</v>
      </c>
      <c r="G173" s="4">
        <v>699.4692</v>
      </c>
      <c r="H173" s="4">
        <v>34.973500000000001</v>
      </c>
      <c r="I173" s="3">
        <v>16838</v>
      </c>
      <c r="J173" s="3">
        <v>20</v>
      </c>
    </row>
    <row r="174" spans="1:10" x14ac:dyDescent="0.2">
      <c r="A174" s="5">
        <v>40969</v>
      </c>
      <c r="B174" s="2" t="s">
        <v>60</v>
      </c>
      <c r="C174" s="2" t="s">
        <v>143</v>
      </c>
      <c r="D174" s="3">
        <v>3629</v>
      </c>
      <c r="E174" s="4">
        <v>3.3340000000000001</v>
      </c>
      <c r="F174" s="4">
        <v>624.09</v>
      </c>
      <c r="G174" s="4">
        <v>627.17169999999999</v>
      </c>
      <c r="H174" s="4">
        <v>28.5078</v>
      </c>
      <c r="I174" s="3">
        <v>18812</v>
      </c>
      <c r="J174" s="3">
        <v>22</v>
      </c>
    </row>
    <row r="175" spans="1:10" x14ac:dyDescent="0.2">
      <c r="A175" s="5">
        <v>41000</v>
      </c>
      <c r="B175" s="2" t="s">
        <v>61</v>
      </c>
      <c r="C175" s="2" t="s">
        <v>144</v>
      </c>
      <c r="D175" s="3">
        <v>3603</v>
      </c>
      <c r="E175" s="4">
        <v>2.5333000000000001</v>
      </c>
      <c r="F175" s="4">
        <v>416.05</v>
      </c>
      <c r="G175" s="4">
        <v>423.05459999999999</v>
      </c>
      <c r="H175" s="4">
        <v>21.152699999999999</v>
      </c>
      <c r="I175" s="3">
        <v>16700</v>
      </c>
      <c r="J175" s="3">
        <v>20</v>
      </c>
    </row>
    <row r="176" spans="1:10" x14ac:dyDescent="0.2">
      <c r="A176" s="5">
        <v>41030</v>
      </c>
      <c r="B176" s="2" t="s">
        <v>61</v>
      </c>
      <c r="C176" s="2" t="s">
        <v>144</v>
      </c>
      <c r="D176" s="3">
        <v>3558</v>
      </c>
      <c r="E176" s="4">
        <v>2.6934</v>
      </c>
      <c r="F176" s="4">
        <v>419.53</v>
      </c>
      <c r="G176" s="4">
        <v>416.54599999999999</v>
      </c>
      <c r="H176" s="4">
        <v>18.933900000000001</v>
      </c>
      <c r="I176" s="3">
        <v>15466</v>
      </c>
      <c r="J176" s="3">
        <v>22</v>
      </c>
    </row>
    <row r="177" spans="1:10" x14ac:dyDescent="0.2">
      <c r="A177" s="5">
        <v>41061</v>
      </c>
      <c r="B177" s="2" t="s">
        <v>61</v>
      </c>
      <c r="C177" s="2" t="s">
        <v>144</v>
      </c>
      <c r="D177" s="3">
        <v>3571</v>
      </c>
      <c r="E177" s="4">
        <v>2.5489999999999999</v>
      </c>
      <c r="F177" s="4">
        <v>398.8</v>
      </c>
      <c r="G177" s="4">
        <v>443.1472</v>
      </c>
      <c r="H177" s="4">
        <v>21.1022</v>
      </c>
      <c r="I177" s="3">
        <v>17386</v>
      </c>
      <c r="J177" s="3">
        <v>21</v>
      </c>
    </row>
    <row r="178" spans="1:10" x14ac:dyDescent="0.2">
      <c r="A178" s="5">
        <v>41091</v>
      </c>
      <c r="B178" s="2" t="s">
        <v>61</v>
      </c>
      <c r="C178" s="2" t="s">
        <v>145</v>
      </c>
      <c r="D178" s="3">
        <v>3604</v>
      </c>
      <c r="E178" s="4">
        <v>2.8016000000000001</v>
      </c>
      <c r="F178" s="4">
        <v>477.28</v>
      </c>
      <c r="G178" s="4">
        <v>444.74579999999997</v>
      </c>
      <c r="H178" s="4">
        <v>20.215699999999998</v>
      </c>
      <c r="I178" s="3">
        <v>15875</v>
      </c>
      <c r="J178" s="3">
        <v>22</v>
      </c>
    </row>
    <row r="179" spans="1:10" x14ac:dyDescent="0.2">
      <c r="A179" s="5">
        <v>41122</v>
      </c>
      <c r="B179" s="2" t="s">
        <v>61</v>
      </c>
      <c r="C179" s="2" t="s">
        <v>145</v>
      </c>
      <c r="D179" s="3">
        <v>3623</v>
      </c>
      <c r="E179" s="4">
        <v>2.6974999999999998</v>
      </c>
      <c r="F179" s="4">
        <v>416.23</v>
      </c>
      <c r="G179" s="4">
        <v>427.88819999999998</v>
      </c>
      <c r="H179" s="4">
        <v>20.375599999999999</v>
      </c>
      <c r="I179" s="3">
        <v>15863</v>
      </c>
      <c r="J179" s="3">
        <v>21</v>
      </c>
    </row>
    <row r="180" spans="1:10" x14ac:dyDescent="0.2">
      <c r="A180" s="5">
        <v>41153</v>
      </c>
      <c r="B180" s="2" t="s">
        <v>61</v>
      </c>
      <c r="C180" s="2" t="s">
        <v>145</v>
      </c>
      <c r="D180" s="3">
        <v>3633</v>
      </c>
      <c r="E180" s="4">
        <v>2.7761</v>
      </c>
      <c r="F180" s="4">
        <v>452.09</v>
      </c>
      <c r="G180" s="4">
        <v>455.01319999999998</v>
      </c>
      <c r="H180" s="4">
        <v>22.750699999999998</v>
      </c>
      <c r="I180" s="3">
        <v>16391</v>
      </c>
      <c r="J180" s="3">
        <v>20</v>
      </c>
    </row>
    <row r="181" spans="1:10" x14ac:dyDescent="0.2">
      <c r="A181" s="5">
        <v>41183</v>
      </c>
      <c r="B181" s="2" t="s">
        <v>61</v>
      </c>
      <c r="C181" s="2" t="s">
        <v>146</v>
      </c>
      <c r="D181" s="3">
        <v>3651</v>
      </c>
      <c r="E181" s="4">
        <v>2.9802</v>
      </c>
      <c r="F181" s="4">
        <v>534.35</v>
      </c>
      <c r="G181" s="4">
        <v>510.30189999999999</v>
      </c>
      <c r="H181" s="4">
        <v>24.3001</v>
      </c>
      <c r="I181" s="3">
        <v>17124</v>
      </c>
      <c r="J181" s="3">
        <v>21</v>
      </c>
    </row>
    <row r="182" spans="1:10" x14ac:dyDescent="0.2">
      <c r="A182" s="5">
        <v>41214</v>
      </c>
      <c r="B182" s="2" t="s">
        <v>61</v>
      </c>
      <c r="C182" s="2" t="s">
        <v>146</v>
      </c>
      <c r="D182" s="3">
        <v>3647</v>
      </c>
      <c r="E182" s="4">
        <v>2.7097000000000002</v>
      </c>
      <c r="F182" s="4">
        <v>475.1</v>
      </c>
      <c r="G182" s="4">
        <v>477.82960000000003</v>
      </c>
      <c r="H182" s="4">
        <v>22.753799999999998</v>
      </c>
      <c r="I182" s="3">
        <v>17634</v>
      </c>
      <c r="J182" s="3">
        <v>21</v>
      </c>
    </row>
    <row r="183" spans="1:10" x14ac:dyDescent="0.2">
      <c r="A183" s="5">
        <v>41244</v>
      </c>
      <c r="B183" s="2" t="s">
        <v>61</v>
      </c>
      <c r="C183" s="2" t="s">
        <v>146</v>
      </c>
      <c r="D183" s="3">
        <v>3686</v>
      </c>
      <c r="E183" s="4">
        <v>2.8502999999999998</v>
      </c>
      <c r="F183" s="4">
        <v>542.35</v>
      </c>
      <c r="G183" s="4">
        <v>503.7724</v>
      </c>
      <c r="H183" s="4">
        <v>25.188600000000001</v>
      </c>
      <c r="I183" s="3">
        <v>17675</v>
      </c>
      <c r="J183" s="3">
        <v>20</v>
      </c>
    </row>
    <row r="184" spans="1:10" x14ac:dyDescent="0.2">
      <c r="A184" s="5">
        <v>41275</v>
      </c>
      <c r="B184" s="2" t="s">
        <v>61</v>
      </c>
      <c r="C184" s="2" t="s">
        <v>147</v>
      </c>
      <c r="D184" s="3">
        <v>3722</v>
      </c>
      <c r="E184" s="4">
        <v>3.1768000000000001</v>
      </c>
      <c r="F184" s="4">
        <v>631.21</v>
      </c>
      <c r="G184" s="4">
        <v>566.61680000000001</v>
      </c>
      <c r="H184" s="4">
        <v>24.6355</v>
      </c>
      <c r="I184" s="3">
        <v>17837</v>
      </c>
      <c r="J184" s="3">
        <v>23</v>
      </c>
    </row>
    <row r="185" spans="1:10" x14ac:dyDescent="0.2">
      <c r="A185" s="5">
        <v>41306</v>
      </c>
      <c r="B185" s="2" t="s">
        <v>61</v>
      </c>
      <c r="C185" s="2" t="s">
        <v>147</v>
      </c>
      <c r="D185" s="3">
        <v>3689</v>
      </c>
      <c r="E185" s="4">
        <v>2.3955000000000002</v>
      </c>
      <c r="F185" s="4">
        <v>458.16</v>
      </c>
      <c r="G185" s="4">
        <v>421.37950000000001</v>
      </c>
      <c r="H185" s="4">
        <v>21.068999999999999</v>
      </c>
      <c r="I185" s="3">
        <v>17591</v>
      </c>
      <c r="J185" s="3">
        <v>20</v>
      </c>
    </row>
    <row r="186" spans="1:10" x14ac:dyDescent="0.2">
      <c r="A186" s="5">
        <v>41334</v>
      </c>
      <c r="B186" s="2" t="s">
        <v>61</v>
      </c>
      <c r="C186" s="2" t="s">
        <v>147</v>
      </c>
      <c r="D186" s="3">
        <v>3711</v>
      </c>
      <c r="E186" s="4">
        <v>2.1875</v>
      </c>
      <c r="F186" s="4">
        <v>451.03</v>
      </c>
      <c r="G186" s="4">
        <v>397.44920000000002</v>
      </c>
      <c r="H186" s="4">
        <v>20.918399999999998</v>
      </c>
      <c r="I186" s="3">
        <v>18169</v>
      </c>
      <c r="J186" s="3">
        <v>19</v>
      </c>
    </row>
    <row r="187" spans="1:10" x14ac:dyDescent="0.2">
      <c r="A187" s="5">
        <v>41365</v>
      </c>
      <c r="B187" s="2" t="s">
        <v>62</v>
      </c>
      <c r="C187" s="2" t="s">
        <v>148</v>
      </c>
      <c r="D187" s="3">
        <v>3587</v>
      </c>
      <c r="E187" s="4">
        <v>2.2016</v>
      </c>
      <c r="F187" s="4">
        <v>352.67</v>
      </c>
      <c r="G187" s="4">
        <v>409.80020000000002</v>
      </c>
      <c r="H187" s="4">
        <v>20.49</v>
      </c>
      <c r="I187" s="3">
        <v>18614</v>
      </c>
      <c r="J187" s="3">
        <v>20</v>
      </c>
    </row>
    <row r="188" spans="1:10" x14ac:dyDescent="0.2">
      <c r="A188" s="5">
        <v>41395</v>
      </c>
      <c r="B188" s="2" t="s">
        <v>62</v>
      </c>
      <c r="C188" s="2" t="s">
        <v>148</v>
      </c>
      <c r="D188" s="3">
        <v>3508</v>
      </c>
      <c r="E188" s="4">
        <v>2.4137</v>
      </c>
      <c r="F188" s="4">
        <v>403.49</v>
      </c>
      <c r="G188" s="4">
        <v>499.96069999999997</v>
      </c>
      <c r="H188" s="4">
        <v>21.737400000000001</v>
      </c>
      <c r="I188" s="3">
        <v>20714</v>
      </c>
      <c r="J188" s="3">
        <v>23</v>
      </c>
    </row>
    <row r="189" spans="1:10" x14ac:dyDescent="0.2">
      <c r="A189" s="5">
        <v>41426</v>
      </c>
      <c r="B189" s="2" t="s">
        <v>62</v>
      </c>
      <c r="C189" s="2" t="s">
        <v>148</v>
      </c>
      <c r="D189" s="3">
        <v>3471</v>
      </c>
      <c r="E189" s="4">
        <v>2.4535999999999998</v>
      </c>
      <c r="F189" s="4">
        <v>333.23</v>
      </c>
      <c r="G189" s="4">
        <v>363.77409999999998</v>
      </c>
      <c r="H189" s="4">
        <v>18.188700000000001</v>
      </c>
      <c r="I189" s="3">
        <v>14826</v>
      </c>
      <c r="J189" s="3">
        <v>20</v>
      </c>
    </row>
    <row r="190" spans="1:10" x14ac:dyDescent="0.2">
      <c r="A190" s="5">
        <v>41456</v>
      </c>
      <c r="B190" s="2" t="s">
        <v>62</v>
      </c>
      <c r="C190" s="2" t="s">
        <v>149</v>
      </c>
      <c r="D190" s="3">
        <v>3511</v>
      </c>
      <c r="E190" s="4">
        <v>3.4274</v>
      </c>
      <c r="F190" s="4">
        <v>376.44</v>
      </c>
      <c r="G190" s="4">
        <v>415.35120000000001</v>
      </c>
      <c r="H190" s="4">
        <v>18.058700000000002</v>
      </c>
      <c r="I190" s="3">
        <v>12119</v>
      </c>
      <c r="J190" s="3">
        <v>23</v>
      </c>
    </row>
    <row r="191" spans="1:10" x14ac:dyDescent="0.2">
      <c r="A191" s="5">
        <v>41487</v>
      </c>
      <c r="B191" s="2" t="s">
        <v>62</v>
      </c>
      <c r="C191" s="2" t="s">
        <v>149</v>
      </c>
      <c r="D191" s="3">
        <v>3470</v>
      </c>
      <c r="E191" s="4">
        <v>3.4022999999999999</v>
      </c>
      <c r="F191" s="4">
        <v>354.12</v>
      </c>
      <c r="G191" s="4">
        <v>408.75720000000001</v>
      </c>
      <c r="H191" s="4">
        <v>20.437899999999999</v>
      </c>
      <c r="I191" s="3">
        <v>12015</v>
      </c>
      <c r="J191" s="3">
        <v>20</v>
      </c>
    </row>
    <row r="192" spans="1:10" x14ac:dyDescent="0.2">
      <c r="A192" s="5">
        <v>41518</v>
      </c>
      <c r="B192" s="2" t="s">
        <v>62</v>
      </c>
      <c r="C192" s="2" t="s">
        <v>149</v>
      </c>
      <c r="D192" s="3">
        <v>3566</v>
      </c>
      <c r="E192" s="4">
        <v>3.1865000000000001</v>
      </c>
      <c r="F192" s="4">
        <v>363.75</v>
      </c>
      <c r="G192" s="4">
        <v>398.98469999999998</v>
      </c>
      <c r="H192" s="4">
        <v>19.949200000000001</v>
      </c>
      <c r="I192" s="3">
        <v>12521</v>
      </c>
      <c r="J192" s="3">
        <v>20</v>
      </c>
    </row>
    <row r="193" spans="1:10" x14ac:dyDescent="0.2">
      <c r="A193" s="5">
        <v>41548</v>
      </c>
      <c r="B193" s="2" t="s">
        <v>62</v>
      </c>
      <c r="C193" s="2" t="s">
        <v>150</v>
      </c>
      <c r="D193" s="3">
        <v>3612</v>
      </c>
      <c r="E193" s="4">
        <v>3.2805</v>
      </c>
      <c r="F193" s="4">
        <v>401.34</v>
      </c>
      <c r="G193" s="4">
        <v>410.1841</v>
      </c>
      <c r="H193" s="4">
        <v>19.532599999999999</v>
      </c>
      <c r="I193" s="3">
        <v>12504</v>
      </c>
      <c r="J193" s="3">
        <v>21</v>
      </c>
    </row>
    <row r="194" spans="1:10" x14ac:dyDescent="0.2">
      <c r="A194" s="5">
        <v>41579</v>
      </c>
      <c r="B194" s="2" t="s">
        <v>62</v>
      </c>
      <c r="C194" s="2" t="s">
        <v>150</v>
      </c>
      <c r="D194" s="3">
        <v>3614</v>
      </c>
      <c r="E194" s="4">
        <v>3.1476000000000002</v>
      </c>
      <c r="F194" s="4">
        <v>365.48</v>
      </c>
      <c r="G194" s="4">
        <v>407.67610000000002</v>
      </c>
      <c r="H194" s="4">
        <v>20.383800000000001</v>
      </c>
      <c r="I194" s="3">
        <v>12953</v>
      </c>
      <c r="J194" s="3">
        <v>20</v>
      </c>
    </row>
    <row r="195" spans="1:10" x14ac:dyDescent="0.2">
      <c r="A195" s="5">
        <v>41609</v>
      </c>
      <c r="B195" s="2" t="s">
        <v>62</v>
      </c>
      <c r="C195" s="2" t="s">
        <v>150</v>
      </c>
      <c r="D195" s="3">
        <v>3656</v>
      </c>
      <c r="E195" s="4">
        <v>3.2783000000000002</v>
      </c>
      <c r="F195" s="4">
        <v>421.01</v>
      </c>
      <c r="G195" s="4">
        <v>435.66180000000003</v>
      </c>
      <c r="H195" s="4">
        <v>20.745799999999999</v>
      </c>
      <c r="I195" s="3">
        <v>13290</v>
      </c>
      <c r="J195" s="3">
        <v>21</v>
      </c>
    </row>
    <row r="196" spans="1:10" x14ac:dyDescent="0.2">
      <c r="A196" s="5">
        <v>41640</v>
      </c>
      <c r="B196" s="2" t="s">
        <v>62</v>
      </c>
      <c r="C196" s="2" t="s">
        <v>151</v>
      </c>
      <c r="D196" s="3">
        <v>3772</v>
      </c>
      <c r="E196" s="4">
        <v>3.6036000000000001</v>
      </c>
      <c r="F196" s="4">
        <v>469.96</v>
      </c>
      <c r="G196" s="4">
        <v>496.73039999999997</v>
      </c>
      <c r="H196" s="4">
        <v>21.597000000000001</v>
      </c>
      <c r="I196" s="3">
        <v>13785</v>
      </c>
      <c r="J196" s="3">
        <v>23</v>
      </c>
    </row>
    <row r="197" spans="1:10" x14ac:dyDescent="0.2">
      <c r="A197" s="5">
        <v>41671</v>
      </c>
      <c r="B197" s="2" t="s">
        <v>62</v>
      </c>
      <c r="C197" s="2" t="s">
        <v>151</v>
      </c>
      <c r="D197" s="3">
        <v>3755</v>
      </c>
      <c r="E197" s="4">
        <v>2.5295999999999998</v>
      </c>
      <c r="F197" s="4">
        <v>307.43</v>
      </c>
      <c r="G197" s="4">
        <v>348.51650000000001</v>
      </c>
      <c r="H197" s="4">
        <v>18.343</v>
      </c>
      <c r="I197" s="3">
        <v>13778</v>
      </c>
      <c r="J197" s="3">
        <v>19</v>
      </c>
    </row>
    <row r="198" spans="1:10" x14ac:dyDescent="0.2">
      <c r="A198" s="5">
        <v>41699</v>
      </c>
      <c r="B198" s="2" t="s">
        <v>62</v>
      </c>
      <c r="C198" s="2" t="s">
        <v>151</v>
      </c>
      <c r="D198" s="3">
        <v>3906</v>
      </c>
      <c r="E198" s="4">
        <v>3.3963000000000001</v>
      </c>
      <c r="F198" s="4">
        <v>650.57000000000005</v>
      </c>
      <c r="G198" s="4">
        <v>621.245</v>
      </c>
      <c r="H198" s="4">
        <v>29.583100000000002</v>
      </c>
      <c r="I198" s="3">
        <v>18292</v>
      </c>
      <c r="J198" s="3">
        <v>21</v>
      </c>
    </row>
    <row r="199" spans="1:10" x14ac:dyDescent="0.2">
      <c r="A199" s="5">
        <v>41730</v>
      </c>
      <c r="B199" s="2" t="s">
        <v>63</v>
      </c>
      <c r="C199" s="2" t="s">
        <v>152</v>
      </c>
      <c r="D199" s="3">
        <v>3864</v>
      </c>
      <c r="E199" s="4">
        <v>4.2342000000000004</v>
      </c>
      <c r="F199" s="4">
        <v>570.44000000000005</v>
      </c>
      <c r="G199" s="4">
        <v>497.16390000000001</v>
      </c>
      <c r="H199" s="4">
        <v>27.620200000000001</v>
      </c>
      <c r="I199" s="3">
        <v>11742</v>
      </c>
      <c r="J199" s="3">
        <v>18</v>
      </c>
    </row>
    <row r="200" spans="1:10" x14ac:dyDescent="0.2">
      <c r="A200" s="5">
        <v>41760</v>
      </c>
      <c r="B200" s="2" t="s">
        <v>63</v>
      </c>
      <c r="C200" s="2" t="s">
        <v>152</v>
      </c>
      <c r="D200" s="3">
        <v>3954</v>
      </c>
      <c r="E200" s="4">
        <v>7.1261999999999999</v>
      </c>
      <c r="F200" s="4">
        <v>824.89</v>
      </c>
      <c r="G200" s="4">
        <v>921.2192</v>
      </c>
      <c r="H200" s="4">
        <v>43.867600000000003</v>
      </c>
      <c r="I200" s="3">
        <v>12928</v>
      </c>
      <c r="J200" s="3">
        <v>21</v>
      </c>
    </row>
    <row r="201" spans="1:10" x14ac:dyDescent="0.2">
      <c r="A201" s="5">
        <v>41791</v>
      </c>
      <c r="B201" s="2" t="s">
        <v>63</v>
      </c>
      <c r="C201" s="2" t="s">
        <v>152</v>
      </c>
      <c r="D201" s="3">
        <v>3996</v>
      </c>
      <c r="E201" s="4">
        <v>6.9987000000000004</v>
      </c>
      <c r="F201" s="4">
        <v>946.32</v>
      </c>
      <c r="G201" s="4">
        <v>841.40629999999999</v>
      </c>
      <c r="H201" s="4">
        <v>40.067</v>
      </c>
      <c r="I201" s="3">
        <v>12023</v>
      </c>
      <c r="J201" s="3">
        <v>21</v>
      </c>
    </row>
    <row r="202" spans="1:10" x14ac:dyDescent="0.2">
      <c r="A202" s="5">
        <v>41821</v>
      </c>
      <c r="B202" s="2" t="s">
        <v>63</v>
      </c>
      <c r="C202" s="2" t="s">
        <v>153</v>
      </c>
      <c r="D202" s="3">
        <v>3996</v>
      </c>
      <c r="E202" s="4">
        <v>6.3141999999999996</v>
      </c>
      <c r="F202" s="4">
        <v>744.65</v>
      </c>
      <c r="G202" s="4">
        <v>751.19029999999998</v>
      </c>
      <c r="H202" s="4">
        <v>34.145000000000003</v>
      </c>
      <c r="I202" s="3">
        <v>11897</v>
      </c>
      <c r="J202" s="3">
        <v>22</v>
      </c>
    </row>
    <row r="203" spans="1:10" x14ac:dyDescent="0.2">
      <c r="A203" s="5">
        <v>41852</v>
      </c>
      <c r="B203" s="2" t="s">
        <v>63</v>
      </c>
      <c r="C203" s="2" t="s">
        <v>153</v>
      </c>
      <c r="D203" s="3">
        <v>4020</v>
      </c>
      <c r="E203" s="4">
        <v>4.9767999999999999</v>
      </c>
      <c r="F203" s="4">
        <v>648.62</v>
      </c>
      <c r="G203" s="4">
        <v>536.48</v>
      </c>
      <c r="H203" s="4">
        <v>28.235800000000001</v>
      </c>
      <c r="I203" s="3">
        <v>10780</v>
      </c>
      <c r="J203" s="3">
        <v>19</v>
      </c>
    </row>
    <row r="204" spans="1:10" x14ac:dyDescent="0.2">
      <c r="A204" s="5">
        <v>41883</v>
      </c>
      <c r="B204" s="2" t="s">
        <v>63</v>
      </c>
      <c r="C204" s="2" t="s">
        <v>153</v>
      </c>
      <c r="D204" s="3">
        <v>4071</v>
      </c>
      <c r="E204" s="4">
        <v>6.9882999999999997</v>
      </c>
      <c r="F204" s="4">
        <v>812.49</v>
      </c>
      <c r="G204" s="4">
        <v>823.09990000000005</v>
      </c>
      <c r="H204" s="4">
        <v>37.413600000000002</v>
      </c>
      <c r="I204" s="3">
        <v>11779</v>
      </c>
      <c r="J204" s="3">
        <v>22</v>
      </c>
    </row>
    <row r="205" spans="1:10" x14ac:dyDescent="0.2">
      <c r="A205" s="5">
        <v>41913</v>
      </c>
      <c r="B205" s="2" t="s">
        <v>63</v>
      </c>
      <c r="C205" s="2" t="s">
        <v>154</v>
      </c>
      <c r="D205" s="3">
        <v>4006</v>
      </c>
      <c r="E205" s="4">
        <v>4.3381999999999996</v>
      </c>
      <c r="F205" s="4">
        <v>517.87</v>
      </c>
      <c r="G205" s="4">
        <v>510.7801</v>
      </c>
      <c r="H205" s="4">
        <v>28.3767</v>
      </c>
      <c r="I205" s="3">
        <v>11775</v>
      </c>
      <c r="J205" s="3">
        <v>18</v>
      </c>
    </row>
    <row r="206" spans="1:10" x14ac:dyDescent="0.2">
      <c r="A206" s="5">
        <v>41944</v>
      </c>
      <c r="B206" s="2" t="s">
        <v>63</v>
      </c>
      <c r="C206" s="2" t="s">
        <v>154</v>
      </c>
      <c r="D206" s="3">
        <v>4108</v>
      </c>
      <c r="E206" s="4">
        <v>5.4488000000000003</v>
      </c>
      <c r="F206" s="4">
        <v>641.04999999999995</v>
      </c>
      <c r="G206" s="4">
        <v>678.92079999999999</v>
      </c>
      <c r="H206" s="4">
        <v>37.717799999999997</v>
      </c>
      <c r="I206" s="3">
        <v>12461</v>
      </c>
      <c r="J206" s="3">
        <v>18</v>
      </c>
    </row>
    <row r="207" spans="1:10" x14ac:dyDescent="0.2">
      <c r="A207" s="5">
        <v>41974</v>
      </c>
      <c r="B207" s="2" t="s">
        <v>63</v>
      </c>
      <c r="C207" s="2" t="s">
        <v>154</v>
      </c>
      <c r="D207" s="3">
        <v>4131</v>
      </c>
      <c r="E207" s="4">
        <v>5.9405999999999999</v>
      </c>
      <c r="F207" s="4">
        <v>755.89</v>
      </c>
      <c r="G207" s="4">
        <v>671.35019999999997</v>
      </c>
      <c r="H207" s="4">
        <v>30.515899999999998</v>
      </c>
      <c r="I207" s="3">
        <v>11302</v>
      </c>
      <c r="J207" s="3">
        <v>22</v>
      </c>
    </row>
    <row r="208" spans="1:10" x14ac:dyDescent="0.2">
      <c r="A208" s="5">
        <v>42005</v>
      </c>
      <c r="B208" s="2" t="s">
        <v>63</v>
      </c>
      <c r="C208" s="2" t="s">
        <v>155</v>
      </c>
      <c r="D208" s="3">
        <v>4139</v>
      </c>
      <c r="E208" s="4">
        <v>6.3428000000000004</v>
      </c>
      <c r="F208" s="4">
        <v>666.94</v>
      </c>
      <c r="G208" s="4">
        <v>736.86019999999996</v>
      </c>
      <c r="H208" s="4">
        <v>35.0886</v>
      </c>
      <c r="I208" s="3">
        <v>11618</v>
      </c>
      <c r="J208" s="3">
        <v>21</v>
      </c>
    </row>
    <row r="209" spans="1:10" x14ac:dyDescent="0.2">
      <c r="A209" s="5">
        <v>42036</v>
      </c>
      <c r="B209" s="2" t="s">
        <v>63</v>
      </c>
      <c r="C209" s="2" t="s">
        <v>155</v>
      </c>
      <c r="D209" s="3">
        <v>4109</v>
      </c>
      <c r="E209" s="4">
        <v>6.4604999999999997</v>
      </c>
      <c r="F209" s="4">
        <v>707.01</v>
      </c>
      <c r="G209" s="4">
        <v>784.09109999999998</v>
      </c>
      <c r="H209" s="4">
        <v>39.204599999999999</v>
      </c>
      <c r="I209" s="3">
        <v>12137</v>
      </c>
      <c r="J209" s="3">
        <v>20</v>
      </c>
    </row>
    <row r="210" spans="1:10" x14ac:dyDescent="0.2">
      <c r="A210" s="5">
        <v>42064</v>
      </c>
      <c r="B210" s="2" t="s">
        <v>63</v>
      </c>
      <c r="C210" s="2" t="s">
        <v>155</v>
      </c>
      <c r="D210" s="3">
        <v>4147</v>
      </c>
      <c r="E210" s="4">
        <v>5.9375</v>
      </c>
      <c r="F210" s="4">
        <v>731.43</v>
      </c>
      <c r="G210" s="4">
        <v>795.88139999999999</v>
      </c>
      <c r="H210" s="4">
        <v>37.899099999999997</v>
      </c>
      <c r="I210" s="3">
        <v>13405</v>
      </c>
      <c r="J210" s="3">
        <v>21</v>
      </c>
    </row>
    <row r="211" spans="1:10" x14ac:dyDescent="0.2">
      <c r="A211" s="5">
        <v>42095</v>
      </c>
      <c r="B211" s="2" t="s">
        <v>64</v>
      </c>
      <c r="C211" s="2" t="s">
        <v>156</v>
      </c>
      <c r="D211" s="3">
        <v>4056</v>
      </c>
      <c r="E211" s="4">
        <v>5.3868999999999998</v>
      </c>
      <c r="F211" s="4">
        <v>652.52</v>
      </c>
      <c r="G211" s="4">
        <v>674.21270000000004</v>
      </c>
      <c r="H211" s="4">
        <v>35.484900000000003</v>
      </c>
      <c r="I211" s="3">
        <v>12516</v>
      </c>
      <c r="J211" s="3">
        <v>19</v>
      </c>
    </row>
    <row r="212" spans="1:10" x14ac:dyDescent="0.2">
      <c r="A212" s="5">
        <v>42125</v>
      </c>
      <c r="B212" s="2" t="s">
        <v>64</v>
      </c>
      <c r="C212" s="2" t="s">
        <v>156</v>
      </c>
      <c r="D212" s="3">
        <v>4022</v>
      </c>
      <c r="E212" s="4">
        <v>3.2606999999999999</v>
      </c>
      <c r="F212" s="4">
        <v>483.3</v>
      </c>
      <c r="G212" s="4">
        <v>606.04610000000002</v>
      </c>
      <c r="H212" s="4">
        <v>30.302299999999999</v>
      </c>
      <c r="I212" s="3">
        <v>18587</v>
      </c>
      <c r="J212" s="3">
        <v>20</v>
      </c>
    </row>
    <row r="213" spans="1:10" x14ac:dyDescent="0.2">
      <c r="A213" s="5">
        <v>42156</v>
      </c>
      <c r="B213" s="2" t="s">
        <v>64</v>
      </c>
      <c r="C213" s="2" t="s">
        <v>156</v>
      </c>
      <c r="D213" s="3">
        <v>4054</v>
      </c>
      <c r="E213" s="4">
        <v>2.9169999999999998</v>
      </c>
      <c r="F213" s="4">
        <v>556.79</v>
      </c>
      <c r="G213" s="4">
        <v>603.70219999999995</v>
      </c>
      <c r="H213" s="4">
        <v>27.440999999999999</v>
      </c>
      <c r="I213" s="3">
        <v>20696</v>
      </c>
      <c r="J213" s="3">
        <v>22</v>
      </c>
    </row>
    <row r="214" spans="1:10" x14ac:dyDescent="0.2">
      <c r="A214" s="5">
        <v>42186</v>
      </c>
      <c r="B214" s="2" t="s">
        <v>64</v>
      </c>
      <c r="C214" s="2" t="s">
        <v>157</v>
      </c>
      <c r="D214" s="3">
        <v>4121</v>
      </c>
      <c r="E214" s="4">
        <v>3.7448000000000001</v>
      </c>
      <c r="F214" s="4">
        <v>709.89</v>
      </c>
      <c r="G214" s="4">
        <v>702.5367</v>
      </c>
      <c r="H214" s="4">
        <v>30.545100000000001</v>
      </c>
      <c r="I214" s="3">
        <v>18761</v>
      </c>
      <c r="J214" s="3">
        <v>23</v>
      </c>
    </row>
    <row r="215" spans="1:10" x14ac:dyDescent="0.2">
      <c r="A215" s="5">
        <v>42217</v>
      </c>
      <c r="B215" s="2" t="s">
        <v>64</v>
      </c>
      <c r="C215" s="2" t="s">
        <v>157</v>
      </c>
      <c r="D215" s="3">
        <v>4133</v>
      </c>
      <c r="E215" s="4">
        <v>3.9268000000000001</v>
      </c>
      <c r="F215" s="4">
        <v>737.01</v>
      </c>
      <c r="G215" s="4">
        <v>738.21680000000003</v>
      </c>
      <c r="H215" s="4">
        <v>35.153199999999998</v>
      </c>
      <c r="I215" s="3">
        <v>18800</v>
      </c>
      <c r="J215" s="3">
        <v>21</v>
      </c>
    </row>
    <row r="216" spans="1:10" x14ac:dyDescent="0.2">
      <c r="A216" s="5">
        <v>42248</v>
      </c>
      <c r="B216" s="2" t="s">
        <v>64</v>
      </c>
      <c r="C216" s="2" t="s">
        <v>157</v>
      </c>
      <c r="D216" s="3">
        <v>4030</v>
      </c>
      <c r="E216" s="4">
        <v>2.7494000000000001</v>
      </c>
      <c r="F216" s="4">
        <v>482.61</v>
      </c>
      <c r="G216" s="4">
        <v>544.26340000000005</v>
      </c>
      <c r="H216" s="4">
        <v>27.213200000000001</v>
      </c>
      <c r="I216" s="3">
        <v>19796</v>
      </c>
      <c r="J216" s="3">
        <v>20</v>
      </c>
    </row>
    <row r="217" spans="1:10" x14ac:dyDescent="0.2">
      <c r="A217" s="5">
        <v>42278</v>
      </c>
      <c r="B217" s="2" t="s">
        <v>64</v>
      </c>
      <c r="C217" s="2" t="s">
        <v>158</v>
      </c>
      <c r="D217" s="3">
        <v>4106</v>
      </c>
      <c r="E217" s="4">
        <v>3.1145999999999998</v>
      </c>
      <c r="F217" s="4">
        <v>613.04</v>
      </c>
      <c r="G217" s="4">
        <v>581.42830000000004</v>
      </c>
      <c r="H217" s="4">
        <v>29.071400000000001</v>
      </c>
      <c r="I217" s="3">
        <v>18668</v>
      </c>
      <c r="J217" s="3">
        <v>20</v>
      </c>
    </row>
    <row r="218" spans="1:10" x14ac:dyDescent="0.2">
      <c r="A218" s="5">
        <v>42309</v>
      </c>
      <c r="B218" s="2" t="s">
        <v>64</v>
      </c>
      <c r="C218" s="2" t="s">
        <v>158</v>
      </c>
      <c r="D218" s="3">
        <v>4002</v>
      </c>
      <c r="E218" s="4">
        <v>2.8633000000000002</v>
      </c>
      <c r="F218" s="4">
        <v>649.92999999999995</v>
      </c>
      <c r="G218" s="4">
        <v>507.99189999999999</v>
      </c>
      <c r="H218" s="4">
        <v>26.7364</v>
      </c>
      <c r="I218" s="3">
        <v>17742</v>
      </c>
      <c r="J218" s="3">
        <v>19</v>
      </c>
    </row>
    <row r="219" spans="1:10" x14ac:dyDescent="0.2">
      <c r="A219" s="5">
        <v>42339</v>
      </c>
      <c r="B219" s="2" t="s">
        <v>64</v>
      </c>
      <c r="C219" s="2" t="s">
        <v>158</v>
      </c>
      <c r="D219" s="3">
        <v>4115</v>
      </c>
      <c r="E219" s="4">
        <v>3.5051999999999999</v>
      </c>
      <c r="F219" s="4">
        <v>845.98</v>
      </c>
      <c r="G219" s="4">
        <v>617.41369999999995</v>
      </c>
      <c r="H219" s="4">
        <v>28.064299999999999</v>
      </c>
      <c r="I219" s="3">
        <v>17615</v>
      </c>
      <c r="J219" s="3">
        <v>22</v>
      </c>
    </row>
    <row r="220" spans="1:10" x14ac:dyDescent="0.2">
      <c r="A220" s="5">
        <v>42370</v>
      </c>
      <c r="B220" s="2" t="s">
        <v>64</v>
      </c>
      <c r="C220" s="2" t="s">
        <v>159</v>
      </c>
      <c r="D220" s="3">
        <v>4050</v>
      </c>
      <c r="E220" s="4">
        <v>3.6040999999999999</v>
      </c>
      <c r="F220" s="4">
        <v>725.22</v>
      </c>
      <c r="G220" s="4">
        <v>635.76260000000002</v>
      </c>
      <c r="H220" s="4">
        <v>31.7881</v>
      </c>
      <c r="I220" s="3">
        <v>17641</v>
      </c>
      <c r="J220" s="3">
        <v>20</v>
      </c>
    </row>
    <row r="221" spans="1:10" x14ac:dyDescent="0.2">
      <c r="A221" s="5">
        <v>42401</v>
      </c>
      <c r="B221" s="2" t="s">
        <v>64</v>
      </c>
      <c r="C221" s="2" t="s">
        <v>159</v>
      </c>
      <c r="D221" s="3">
        <v>4055</v>
      </c>
      <c r="E221" s="4">
        <v>3.1907000000000001</v>
      </c>
      <c r="F221" s="4">
        <v>578.67999999999995</v>
      </c>
      <c r="G221" s="4">
        <v>571.58349999999996</v>
      </c>
      <c r="H221" s="4">
        <v>27.218299999999999</v>
      </c>
      <c r="I221" s="3">
        <v>17915</v>
      </c>
      <c r="J221" s="3">
        <v>21</v>
      </c>
    </row>
    <row r="222" spans="1:10" x14ac:dyDescent="0.2">
      <c r="A222" s="5">
        <v>42430</v>
      </c>
      <c r="B222" s="2" t="s">
        <v>64</v>
      </c>
      <c r="C222" s="2" t="s">
        <v>159</v>
      </c>
      <c r="D222" s="3">
        <v>4127</v>
      </c>
      <c r="E222" s="4">
        <v>2.9054000000000002</v>
      </c>
      <c r="F222" s="4">
        <v>590.52</v>
      </c>
      <c r="G222" s="4">
        <v>617.73410000000001</v>
      </c>
      <c r="H222" s="4">
        <v>30.886700000000001</v>
      </c>
      <c r="I222" s="3">
        <v>21262</v>
      </c>
      <c r="J222" s="3">
        <v>20</v>
      </c>
    </row>
    <row r="223" spans="1:10" x14ac:dyDescent="0.2">
      <c r="A223" s="5">
        <v>42461</v>
      </c>
      <c r="B223" s="2" t="s">
        <v>65</v>
      </c>
      <c r="C223" s="2" t="s">
        <v>160</v>
      </c>
      <c r="D223" s="3">
        <v>4018</v>
      </c>
      <c r="E223" s="4">
        <v>2.6833</v>
      </c>
      <c r="F223" s="4">
        <v>417.79</v>
      </c>
      <c r="G223" s="4">
        <v>491.74079999999998</v>
      </c>
      <c r="H223" s="4">
        <v>27.318899999999999</v>
      </c>
      <c r="I223" s="3">
        <v>18326</v>
      </c>
      <c r="J223" s="3">
        <v>18</v>
      </c>
    </row>
    <row r="224" spans="1:10" x14ac:dyDescent="0.2">
      <c r="A224" s="5">
        <v>42491</v>
      </c>
      <c r="B224" s="2" t="s">
        <v>65</v>
      </c>
      <c r="C224" s="2" t="s">
        <v>160</v>
      </c>
      <c r="D224" s="3">
        <v>4089</v>
      </c>
      <c r="E224" s="4">
        <v>3.4281999999999999</v>
      </c>
      <c r="F224" s="4">
        <v>483.17</v>
      </c>
      <c r="G224" s="4">
        <v>595.20690000000002</v>
      </c>
      <c r="H224" s="4">
        <v>27.0549</v>
      </c>
      <c r="I224" s="3">
        <v>17363</v>
      </c>
      <c r="J224" s="3">
        <v>22</v>
      </c>
    </row>
    <row r="225" spans="1:10" x14ac:dyDescent="0.2">
      <c r="A225" s="5">
        <v>42522</v>
      </c>
      <c r="B225" s="2" t="s">
        <v>65</v>
      </c>
      <c r="C225" s="2" t="s">
        <v>160</v>
      </c>
      <c r="D225" s="3">
        <v>4113</v>
      </c>
      <c r="E225" s="4">
        <v>3.5920000000000001</v>
      </c>
      <c r="F225" s="4">
        <v>597.25</v>
      </c>
      <c r="G225" s="4">
        <v>607.39949999999999</v>
      </c>
      <c r="H225" s="4">
        <v>27.609100000000002</v>
      </c>
      <c r="I225" s="3">
        <v>16910</v>
      </c>
      <c r="J225" s="3">
        <v>22</v>
      </c>
    </row>
    <row r="226" spans="1:10" x14ac:dyDescent="0.2">
      <c r="A226" s="5">
        <v>42552</v>
      </c>
      <c r="B226" s="2" t="s">
        <v>65</v>
      </c>
      <c r="C226" s="2" t="s">
        <v>161</v>
      </c>
      <c r="D226" s="3">
        <v>4127</v>
      </c>
      <c r="E226" s="4">
        <v>3.4836</v>
      </c>
      <c r="F226" s="4">
        <v>644.82000000000005</v>
      </c>
      <c r="G226" s="4">
        <v>680.32529999999997</v>
      </c>
      <c r="H226" s="4">
        <v>34.016300000000001</v>
      </c>
      <c r="I226" s="3">
        <v>19530</v>
      </c>
      <c r="J226" s="3">
        <v>20</v>
      </c>
    </row>
    <row r="227" spans="1:10" x14ac:dyDescent="0.2">
      <c r="A227" s="5">
        <v>42583</v>
      </c>
      <c r="B227" s="2" t="s">
        <v>65</v>
      </c>
      <c r="C227" s="2" t="s">
        <v>161</v>
      </c>
      <c r="D227" s="3">
        <v>4194</v>
      </c>
      <c r="E227" s="4">
        <v>3.6714000000000002</v>
      </c>
      <c r="F227" s="4">
        <v>558.96</v>
      </c>
      <c r="G227" s="4">
        <v>740.83920000000001</v>
      </c>
      <c r="H227" s="4">
        <v>33.674500000000002</v>
      </c>
      <c r="I227" s="3">
        <v>20179</v>
      </c>
      <c r="J227" s="3">
        <v>22</v>
      </c>
    </row>
    <row r="228" spans="1:10" x14ac:dyDescent="0.2">
      <c r="A228" s="5">
        <v>42614</v>
      </c>
      <c r="B228" s="2" t="s">
        <v>65</v>
      </c>
      <c r="C228" s="2" t="s">
        <v>161</v>
      </c>
      <c r="D228" s="3">
        <v>4200</v>
      </c>
      <c r="E228" s="4">
        <v>3.5384000000000002</v>
      </c>
      <c r="F228" s="4">
        <v>612.94000000000005</v>
      </c>
      <c r="G228" s="4">
        <v>759.15290000000005</v>
      </c>
      <c r="H228" s="4">
        <v>37.957599999999999</v>
      </c>
      <c r="I228" s="3">
        <v>21455</v>
      </c>
      <c r="J228" s="3">
        <v>20</v>
      </c>
    </row>
    <row r="229" spans="1:10" x14ac:dyDescent="0.2">
      <c r="A229" s="5">
        <v>42644</v>
      </c>
      <c r="B229" s="2" t="s">
        <v>65</v>
      </c>
      <c r="C229" s="2" t="s">
        <v>162</v>
      </c>
      <c r="D229" s="3">
        <v>4201</v>
      </c>
      <c r="E229" s="4">
        <v>3.1934</v>
      </c>
      <c r="F229" s="4">
        <v>598.35</v>
      </c>
      <c r="G229" s="4">
        <v>645.09910000000002</v>
      </c>
      <c r="H229" s="4">
        <v>33.952599999999997</v>
      </c>
      <c r="I229" s="3">
        <v>20201</v>
      </c>
      <c r="J229" s="3">
        <v>19</v>
      </c>
    </row>
    <row r="230" spans="1:10" x14ac:dyDescent="0.2">
      <c r="A230" s="5">
        <v>42675</v>
      </c>
      <c r="B230" s="2" t="s">
        <v>65</v>
      </c>
      <c r="C230" s="2" t="s">
        <v>162</v>
      </c>
      <c r="D230" s="3">
        <v>4174</v>
      </c>
      <c r="E230" s="4">
        <v>3.4315000000000002</v>
      </c>
      <c r="F230" s="4">
        <v>554.28</v>
      </c>
      <c r="G230" s="4">
        <v>701.78089999999997</v>
      </c>
      <c r="H230" s="4">
        <v>33.418100000000003</v>
      </c>
      <c r="I230" s="3">
        <v>20451</v>
      </c>
      <c r="J230" s="3">
        <v>21</v>
      </c>
    </row>
    <row r="231" spans="1:10" x14ac:dyDescent="0.2">
      <c r="A231" s="5">
        <v>42705</v>
      </c>
      <c r="B231" s="2" t="s">
        <v>65</v>
      </c>
      <c r="C231" s="2" t="s">
        <v>162</v>
      </c>
      <c r="D231" s="3">
        <v>4122</v>
      </c>
      <c r="E231" s="4">
        <v>2.6783000000000001</v>
      </c>
      <c r="F231" s="4">
        <v>440.79</v>
      </c>
      <c r="G231" s="4">
        <v>539.05399999999997</v>
      </c>
      <c r="H231" s="4">
        <v>24.502500000000001</v>
      </c>
      <c r="I231" s="3">
        <v>20127</v>
      </c>
      <c r="J231" s="3">
        <v>22</v>
      </c>
    </row>
    <row r="232" spans="1:10" x14ac:dyDescent="0.2">
      <c r="A232" s="5">
        <v>42736</v>
      </c>
      <c r="B232" s="2" t="s">
        <v>65</v>
      </c>
      <c r="C232" s="2" t="s">
        <v>163</v>
      </c>
      <c r="D232" s="3">
        <v>4230</v>
      </c>
      <c r="E232" s="4">
        <v>3.1328999999999998</v>
      </c>
      <c r="F232" s="4">
        <v>555.58000000000004</v>
      </c>
      <c r="G232" s="4">
        <v>647.64179999999999</v>
      </c>
      <c r="H232" s="4">
        <v>30.8401</v>
      </c>
      <c r="I232" s="3">
        <v>20673</v>
      </c>
      <c r="J232" s="3">
        <v>21</v>
      </c>
    </row>
    <row r="233" spans="1:10" x14ac:dyDescent="0.2">
      <c r="A233" s="5">
        <v>42767</v>
      </c>
      <c r="B233" s="2" t="s">
        <v>65</v>
      </c>
      <c r="C233" s="2" t="s">
        <v>163</v>
      </c>
      <c r="D233" s="3">
        <v>4235</v>
      </c>
      <c r="E233" s="4">
        <v>3.0743</v>
      </c>
      <c r="F233" s="4">
        <v>604.41999999999996</v>
      </c>
      <c r="G233" s="4">
        <v>683.29809999999998</v>
      </c>
      <c r="H233" s="4">
        <v>35.963099999999997</v>
      </c>
      <c r="I233" s="3">
        <v>22227</v>
      </c>
      <c r="J233" s="3">
        <v>19</v>
      </c>
    </row>
    <row r="234" spans="1:10" x14ac:dyDescent="0.2">
      <c r="A234" s="5">
        <v>42795</v>
      </c>
      <c r="B234" s="2" t="s">
        <v>65</v>
      </c>
      <c r="C234" s="2" t="s">
        <v>163</v>
      </c>
      <c r="D234" s="3">
        <v>4361</v>
      </c>
      <c r="E234" s="4">
        <v>3.2776000000000001</v>
      </c>
      <c r="F234" s="4">
        <v>1003.88</v>
      </c>
      <c r="G234" s="4">
        <v>2891.0673000000002</v>
      </c>
      <c r="H234" s="4">
        <v>131.41220000000001</v>
      </c>
      <c r="I234" s="3">
        <v>88208</v>
      </c>
      <c r="J234" s="3">
        <v>22</v>
      </c>
    </row>
    <row r="235" spans="1:10" x14ac:dyDescent="0.2">
      <c r="A235" s="5">
        <v>42826</v>
      </c>
      <c r="B235" s="2" t="s">
        <v>66</v>
      </c>
      <c r="C235" s="2" t="s">
        <v>164</v>
      </c>
      <c r="D235" s="3">
        <v>4233</v>
      </c>
      <c r="E235" s="4">
        <v>2.8734999999999999</v>
      </c>
      <c r="F235" s="4">
        <v>577.78</v>
      </c>
      <c r="G235" s="4">
        <v>750.70399999999995</v>
      </c>
      <c r="H235" s="4">
        <v>41.705800000000004</v>
      </c>
      <c r="I235" s="3">
        <v>26125</v>
      </c>
      <c r="J235" s="3">
        <v>18</v>
      </c>
    </row>
    <row r="236" spans="1:10" x14ac:dyDescent="0.2">
      <c r="A236" s="5">
        <v>42856</v>
      </c>
      <c r="B236" s="2" t="s">
        <v>66</v>
      </c>
      <c r="C236" s="2" t="s">
        <v>164</v>
      </c>
      <c r="D236" s="3">
        <v>4298</v>
      </c>
      <c r="E236" s="4">
        <v>3.1488</v>
      </c>
      <c r="F236" s="4">
        <v>633.39</v>
      </c>
      <c r="G236" s="4">
        <v>911.05619999999999</v>
      </c>
      <c r="H236" s="4">
        <v>41.4116</v>
      </c>
      <c r="I236" s="3">
        <v>28934</v>
      </c>
      <c r="J236" s="3">
        <v>22</v>
      </c>
    </row>
    <row r="237" spans="1:10" x14ac:dyDescent="0.2">
      <c r="A237" s="5">
        <v>42887</v>
      </c>
      <c r="B237" s="2" t="s">
        <v>66</v>
      </c>
      <c r="C237" s="2" t="s">
        <v>164</v>
      </c>
      <c r="D237" s="3">
        <v>4188</v>
      </c>
      <c r="E237" s="4">
        <v>2.6069</v>
      </c>
      <c r="F237" s="4">
        <v>545.77</v>
      </c>
      <c r="G237" s="4">
        <v>859.34519999999998</v>
      </c>
      <c r="H237" s="4">
        <v>40.921199999999999</v>
      </c>
      <c r="I237" s="3">
        <v>32965</v>
      </c>
      <c r="J237" s="3">
        <v>21</v>
      </c>
    </row>
    <row r="238" spans="1:10" x14ac:dyDescent="0.2">
      <c r="A238" s="5">
        <v>42917</v>
      </c>
      <c r="B238" s="2" t="s">
        <v>66</v>
      </c>
      <c r="C238" s="2" t="s">
        <v>165</v>
      </c>
      <c r="D238" s="3">
        <v>4203</v>
      </c>
      <c r="E238" s="4">
        <v>3.2128999999999999</v>
      </c>
      <c r="F238" s="4">
        <v>713.94</v>
      </c>
      <c r="G238" s="4">
        <v>883.95240000000001</v>
      </c>
      <c r="H238" s="4">
        <v>42.093000000000004</v>
      </c>
      <c r="I238" s="3">
        <v>27513</v>
      </c>
      <c r="J238" s="3">
        <v>21</v>
      </c>
    </row>
    <row r="239" spans="1:10" x14ac:dyDescent="0.2">
      <c r="A239" s="5">
        <v>42948</v>
      </c>
      <c r="B239" s="2" t="s">
        <v>66</v>
      </c>
      <c r="C239" s="2" t="s">
        <v>165</v>
      </c>
      <c r="D239" s="3">
        <v>4156</v>
      </c>
      <c r="E239" s="4">
        <v>2.7593000000000001</v>
      </c>
      <c r="F239" s="4">
        <v>583.09</v>
      </c>
      <c r="G239" s="4">
        <v>790.64469999999994</v>
      </c>
      <c r="H239" s="4">
        <v>37.649700000000003</v>
      </c>
      <c r="I239" s="3">
        <v>28655</v>
      </c>
      <c r="J239" s="3">
        <v>21</v>
      </c>
    </row>
    <row r="240" spans="1:10" x14ac:dyDescent="0.2">
      <c r="A240" s="5">
        <v>42979</v>
      </c>
      <c r="B240" s="2" t="s">
        <v>66</v>
      </c>
      <c r="C240" s="2" t="s">
        <v>165</v>
      </c>
      <c r="D240" s="3">
        <v>4093</v>
      </c>
      <c r="E240" s="4">
        <v>2.9521999999999999</v>
      </c>
      <c r="F240" s="4">
        <v>578.15</v>
      </c>
      <c r="G240" s="4">
        <v>843.4914</v>
      </c>
      <c r="H240" s="4">
        <v>40.1663</v>
      </c>
      <c r="I240" s="3">
        <v>28572</v>
      </c>
      <c r="J240" s="3">
        <v>21</v>
      </c>
    </row>
    <row r="241" spans="1:10" x14ac:dyDescent="0.2">
      <c r="A241" s="5">
        <v>43009</v>
      </c>
      <c r="B241" s="2" t="s">
        <v>66</v>
      </c>
      <c r="C241" s="2" t="s">
        <v>166</v>
      </c>
      <c r="D241" s="3">
        <v>4095</v>
      </c>
      <c r="E241" s="4">
        <v>2.8727999999999998</v>
      </c>
      <c r="F241" s="4">
        <v>526.82000000000005</v>
      </c>
      <c r="G241" s="4">
        <v>779.96600000000001</v>
      </c>
      <c r="H241" s="4">
        <v>38.9983</v>
      </c>
      <c r="I241" s="3">
        <v>27151</v>
      </c>
      <c r="J241" s="3">
        <v>20</v>
      </c>
    </row>
    <row r="242" spans="1:10" x14ac:dyDescent="0.2">
      <c r="A242" s="5">
        <v>43040</v>
      </c>
      <c r="B242" s="2" t="s">
        <v>66</v>
      </c>
      <c r="C242" s="2" t="s">
        <v>166</v>
      </c>
      <c r="D242" s="3">
        <v>4197</v>
      </c>
      <c r="E242" s="4">
        <v>3.7199</v>
      </c>
      <c r="F242" s="4">
        <v>748.32</v>
      </c>
      <c r="G242" s="4">
        <v>1227.0858000000001</v>
      </c>
      <c r="H242" s="4">
        <v>55.776600000000002</v>
      </c>
      <c r="I242" s="3">
        <v>32988</v>
      </c>
      <c r="J242" s="3">
        <v>22</v>
      </c>
    </row>
    <row r="243" spans="1:10" x14ac:dyDescent="0.2">
      <c r="A243" s="5">
        <v>43070</v>
      </c>
      <c r="B243" s="2" t="s">
        <v>66</v>
      </c>
      <c r="C243" s="2" t="s">
        <v>166</v>
      </c>
      <c r="D243" s="3">
        <v>4124</v>
      </c>
      <c r="E243" s="4">
        <v>3.0179999999999998</v>
      </c>
      <c r="F243" s="4">
        <v>693.07</v>
      </c>
      <c r="G243" s="4">
        <v>956.89369999999997</v>
      </c>
      <c r="H243" s="4">
        <v>47.844700000000003</v>
      </c>
      <c r="I243" s="3">
        <v>31707</v>
      </c>
      <c r="J243" s="3">
        <v>20</v>
      </c>
    </row>
    <row r="244" spans="1:10" x14ac:dyDescent="0.2">
      <c r="A244" s="5">
        <v>43101</v>
      </c>
      <c r="B244" s="2" t="s">
        <v>66</v>
      </c>
      <c r="C244" s="2" t="s">
        <v>167</v>
      </c>
      <c r="D244" s="3">
        <v>4293</v>
      </c>
      <c r="E244" s="4">
        <v>3.9601000000000002</v>
      </c>
      <c r="F244" s="4">
        <v>1009.4</v>
      </c>
      <c r="G244" s="4">
        <v>1225.3746000000001</v>
      </c>
      <c r="H244" s="4">
        <v>55.698799999999999</v>
      </c>
      <c r="I244" s="3">
        <v>30943</v>
      </c>
      <c r="J244" s="3">
        <v>22</v>
      </c>
    </row>
    <row r="245" spans="1:10" x14ac:dyDescent="0.2">
      <c r="A245" s="5">
        <v>43132</v>
      </c>
      <c r="B245" s="2" t="s">
        <v>66</v>
      </c>
      <c r="C245" s="2" t="s">
        <v>167</v>
      </c>
      <c r="D245" s="3">
        <v>4217</v>
      </c>
      <c r="E245" s="4">
        <v>2.6545000000000001</v>
      </c>
      <c r="F245" s="4">
        <v>566.13</v>
      </c>
      <c r="G245" s="4">
        <v>817.58230000000003</v>
      </c>
      <c r="H245" s="4">
        <v>43.0306</v>
      </c>
      <c r="I245" s="3">
        <v>30801</v>
      </c>
      <c r="J245" s="3">
        <v>19</v>
      </c>
    </row>
    <row r="246" spans="1:10" x14ac:dyDescent="0.2">
      <c r="A246" s="5">
        <v>43160</v>
      </c>
      <c r="B246" s="2" t="s">
        <v>66</v>
      </c>
      <c r="C246" s="2" t="s">
        <v>167</v>
      </c>
      <c r="D246" s="3">
        <v>4204</v>
      </c>
      <c r="E246" s="4">
        <v>2.0794000000000001</v>
      </c>
      <c r="F246" s="4">
        <v>540.17999999999995</v>
      </c>
      <c r="G246" s="4">
        <v>783.58590000000004</v>
      </c>
      <c r="H246" s="4">
        <v>41.241399999999999</v>
      </c>
      <c r="I246" s="3">
        <v>37684</v>
      </c>
      <c r="J246" s="3">
        <v>19</v>
      </c>
    </row>
    <row r="247" spans="1:10" x14ac:dyDescent="0.2">
      <c r="A247" s="5">
        <v>43191</v>
      </c>
      <c r="B247" s="2" t="s">
        <v>67</v>
      </c>
      <c r="C247" s="2" t="s">
        <v>168</v>
      </c>
      <c r="D247" s="3">
        <v>4211</v>
      </c>
      <c r="E247" s="4">
        <v>2.3386999999999998</v>
      </c>
      <c r="F247" s="4">
        <v>473.31</v>
      </c>
      <c r="G247" s="4">
        <v>716.29660000000001</v>
      </c>
      <c r="H247" s="4">
        <v>34.109400000000001</v>
      </c>
      <c r="I247" s="3">
        <v>30628</v>
      </c>
      <c r="J247" s="3">
        <v>21</v>
      </c>
    </row>
    <row r="248" spans="1:10" x14ac:dyDescent="0.2">
      <c r="A248" s="5">
        <v>43221</v>
      </c>
      <c r="B248" s="2" t="s">
        <v>67</v>
      </c>
      <c r="C248" s="2" t="s">
        <v>168</v>
      </c>
      <c r="D248" s="3">
        <v>4175</v>
      </c>
      <c r="E248" s="4">
        <v>2.5802</v>
      </c>
      <c r="F248" s="4">
        <v>513.33000000000004</v>
      </c>
      <c r="G248" s="4">
        <v>753.60500000000002</v>
      </c>
      <c r="H248" s="4">
        <v>34.254800000000003</v>
      </c>
      <c r="I248" s="3">
        <v>29208</v>
      </c>
      <c r="J248" s="3">
        <v>22</v>
      </c>
    </row>
    <row r="249" spans="1:10" x14ac:dyDescent="0.2">
      <c r="A249" s="5">
        <v>43252</v>
      </c>
      <c r="B249" s="2" t="s">
        <v>67</v>
      </c>
      <c r="C249" s="2" t="s">
        <v>168</v>
      </c>
      <c r="D249" s="3">
        <v>4188</v>
      </c>
      <c r="E249" s="4">
        <v>1.9117999999999999</v>
      </c>
      <c r="F249" s="4">
        <v>410.6</v>
      </c>
      <c r="G249" s="4">
        <v>641.6259</v>
      </c>
      <c r="H249" s="4">
        <v>30.553599999999999</v>
      </c>
      <c r="I249" s="3">
        <v>33562</v>
      </c>
      <c r="J249" s="3">
        <v>21</v>
      </c>
    </row>
    <row r="250" spans="1:10" x14ac:dyDescent="0.2">
      <c r="A250" s="5">
        <v>43282</v>
      </c>
      <c r="B250" s="2" t="s">
        <v>67</v>
      </c>
      <c r="C250" s="2" t="s">
        <v>169</v>
      </c>
      <c r="D250" s="3">
        <v>4234</v>
      </c>
      <c r="E250" s="4">
        <v>2.4283000000000001</v>
      </c>
      <c r="F250" s="4">
        <v>418.52</v>
      </c>
      <c r="G250" s="4">
        <v>651.6848</v>
      </c>
      <c r="H250" s="4">
        <v>29.622</v>
      </c>
      <c r="I250" s="3">
        <v>26837</v>
      </c>
      <c r="J250" s="3">
        <v>22</v>
      </c>
    </row>
    <row r="251" spans="1:10" x14ac:dyDescent="0.2">
      <c r="A251" s="5">
        <v>43313</v>
      </c>
      <c r="B251" s="2" t="s">
        <v>67</v>
      </c>
      <c r="C251" s="2" t="s">
        <v>169</v>
      </c>
      <c r="D251" s="3">
        <v>4322</v>
      </c>
      <c r="E251" s="4">
        <v>2.9226999999999999</v>
      </c>
      <c r="F251" s="4">
        <v>455.97</v>
      </c>
      <c r="G251" s="4">
        <v>678.95600000000002</v>
      </c>
      <c r="H251" s="4">
        <v>32.331200000000003</v>
      </c>
      <c r="I251" s="3">
        <v>23231</v>
      </c>
      <c r="J251" s="3">
        <v>21</v>
      </c>
    </row>
    <row r="252" spans="1:10" x14ac:dyDescent="0.2">
      <c r="A252" s="5">
        <v>43344</v>
      </c>
      <c r="B252" s="2" t="s">
        <v>67</v>
      </c>
      <c r="C252" s="2" t="s">
        <v>169</v>
      </c>
      <c r="D252" s="3">
        <v>4233</v>
      </c>
      <c r="E252" s="4">
        <v>2.9769000000000001</v>
      </c>
      <c r="F252" s="4">
        <v>387.42</v>
      </c>
      <c r="G252" s="4">
        <v>624.76710000000003</v>
      </c>
      <c r="H252" s="4">
        <v>34.709299999999999</v>
      </c>
      <c r="I252" s="3">
        <v>20988</v>
      </c>
      <c r="J252" s="3">
        <v>18</v>
      </c>
    </row>
    <row r="253" spans="1:10" x14ac:dyDescent="0.2">
      <c r="A253" s="5">
        <v>43374</v>
      </c>
      <c r="B253" s="2" t="s">
        <v>67</v>
      </c>
      <c r="C253" s="2" t="s">
        <v>170</v>
      </c>
      <c r="D253" s="3">
        <v>4282</v>
      </c>
      <c r="E253" s="4">
        <v>3.3729</v>
      </c>
      <c r="F253" s="4">
        <v>439.3</v>
      </c>
      <c r="G253" s="4">
        <v>663.84709999999995</v>
      </c>
      <c r="H253" s="4">
        <v>31.611799999999999</v>
      </c>
      <c r="I253" s="3">
        <v>19682</v>
      </c>
      <c r="J253" s="3">
        <v>21</v>
      </c>
    </row>
    <row r="254" spans="1:10" x14ac:dyDescent="0.2">
      <c r="A254" s="5">
        <v>43405</v>
      </c>
      <c r="B254" s="2" t="s">
        <v>67</v>
      </c>
      <c r="C254" s="2" t="s">
        <v>170</v>
      </c>
      <c r="D254" s="3">
        <v>4193</v>
      </c>
      <c r="E254" s="4">
        <v>2.5531000000000001</v>
      </c>
      <c r="F254" s="4">
        <v>380.77</v>
      </c>
      <c r="G254" s="4">
        <v>590.63840000000005</v>
      </c>
      <c r="H254" s="4">
        <v>29.5319</v>
      </c>
      <c r="I254" s="3">
        <v>23135</v>
      </c>
      <c r="J254" s="3">
        <v>20</v>
      </c>
    </row>
    <row r="255" spans="1:10" x14ac:dyDescent="0.2">
      <c r="A255" s="5">
        <v>43435</v>
      </c>
      <c r="B255" s="2" t="s">
        <v>67</v>
      </c>
      <c r="C255" s="2" t="s">
        <v>170</v>
      </c>
      <c r="D255" s="3">
        <v>4204</v>
      </c>
      <c r="E255" s="4">
        <v>2.4906999999999999</v>
      </c>
      <c r="F255" s="4">
        <v>380.61</v>
      </c>
      <c r="G255" s="4">
        <v>504.82909999999998</v>
      </c>
      <c r="H255" s="4">
        <v>25.241499999999998</v>
      </c>
      <c r="I255" s="3">
        <v>20269</v>
      </c>
      <c r="J255" s="3">
        <v>20</v>
      </c>
    </row>
    <row r="256" spans="1:10" x14ac:dyDescent="0.2">
      <c r="A256" s="5">
        <v>43466</v>
      </c>
      <c r="B256" s="2" t="s">
        <v>67</v>
      </c>
      <c r="C256" s="2" t="s">
        <v>171</v>
      </c>
      <c r="D256" s="3">
        <v>4311</v>
      </c>
      <c r="E256" s="4">
        <v>2.7465000000000002</v>
      </c>
      <c r="F256" s="4">
        <v>388.52</v>
      </c>
      <c r="G256" s="4">
        <v>613.32330000000002</v>
      </c>
      <c r="H256" s="4">
        <v>26.6662</v>
      </c>
      <c r="I256" s="3">
        <v>22332</v>
      </c>
      <c r="J256" s="3">
        <v>23</v>
      </c>
    </row>
    <row r="257" spans="1:10" x14ac:dyDescent="0.2">
      <c r="A257" s="5">
        <v>43497</v>
      </c>
      <c r="B257" s="2" t="s">
        <v>67</v>
      </c>
      <c r="C257" s="2" t="s">
        <v>171</v>
      </c>
      <c r="D257" s="3">
        <v>4271</v>
      </c>
      <c r="E257" s="4">
        <v>2.5714999999999999</v>
      </c>
      <c r="F257" s="4">
        <v>422.31</v>
      </c>
      <c r="G257" s="4">
        <v>506.55689999999998</v>
      </c>
      <c r="H257" s="4">
        <v>25.3278</v>
      </c>
      <c r="I257" s="3">
        <v>19699</v>
      </c>
      <c r="J257" s="3">
        <v>20</v>
      </c>
    </row>
    <row r="258" spans="1:10" x14ac:dyDescent="0.2">
      <c r="A258" s="5">
        <v>43525</v>
      </c>
      <c r="B258" s="2" t="s">
        <v>67</v>
      </c>
      <c r="C258" s="2" t="s">
        <v>171</v>
      </c>
      <c r="D258" s="3">
        <v>4372</v>
      </c>
      <c r="E258" s="4">
        <v>2.5590999999999999</v>
      </c>
      <c r="F258" s="4">
        <v>510.42</v>
      </c>
      <c r="G258" s="4">
        <v>809.77059999999994</v>
      </c>
      <c r="H258" s="4">
        <v>42.619500000000002</v>
      </c>
      <c r="I258" s="3">
        <v>31644</v>
      </c>
      <c r="J258" s="3">
        <v>19</v>
      </c>
    </row>
    <row r="259" spans="1:10" x14ac:dyDescent="0.2">
      <c r="A259" s="5">
        <v>43556</v>
      </c>
      <c r="B259" s="2" t="s">
        <v>68</v>
      </c>
      <c r="C259" s="2" t="s">
        <v>172</v>
      </c>
      <c r="D259" s="3">
        <v>4296</v>
      </c>
      <c r="E259" s="4">
        <v>2.5459999999999998</v>
      </c>
      <c r="F259" s="4">
        <v>769.37</v>
      </c>
      <c r="G259" s="4">
        <v>558.67809999999997</v>
      </c>
      <c r="H259" s="4">
        <v>29.4041</v>
      </c>
      <c r="I259" s="3">
        <v>21944</v>
      </c>
      <c r="J259" s="3">
        <v>19</v>
      </c>
    </row>
    <row r="260" spans="1:10" x14ac:dyDescent="0.2">
      <c r="A260" s="5">
        <v>43586</v>
      </c>
      <c r="B260" s="2" t="s">
        <v>68</v>
      </c>
      <c r="C260" s="2" t="s">
        <v>172</v>
      </c>
      <c r="D260" s="3">
        <v>4335</v>
      </c>
      <c r="E260" s="4">
        <v>2.8264999999999998</v>
      </c>
      <c r="F260" s="4">
        <v>423.42</v>
      </c>
      <c r="G260" s="4">
        <v>581.71619999999996</v>
      </c>
      <c r="H260" s="4">
        <v>26.441600000000001</v>
      </c>
      <c r="I260" s="3">
        <v>20581</v>
      </c>
      <c r="J260" s="3">
        <v>22</v>
      </c>
    </row>
    <row r="261" spans="1:10" x14ac:dyDescent="0.2">
      <c r="A261" s="5">
        <v>43617</v>
      </c>
      <c r="B261" s="2" t="s">
        <v>68</v>
      </c>
      <c r="C261" s="2" t="s">
        <v>172</v>
      </c>
      <c r="D261" s="3">
        <v>4276</v>
      </c>
      <c r="E261" s="4">
        <v>2.0821000000000001</v>
      </c>
      <c r="F261" s="4">
        <v>374.54</v>
      </c>
      <c r="G261" s="4">
        <v>469.58100000000002</v>
      </c>
      <c r="H261" s="4">
        <v>24.7148</v>
      </c>
      <c r="I261" s="3">
        <v>22554</v>
      </c>
      <c r="J261" s="3">
        <v>19</v>
      </c>
    </row>
    <row r="262" spans="1:10" x14ac:dyDescent="0.2">
      <c r="A262" s="5">
        <v>43647</v>
      </c>
      <c r="B262" s="2" t="s">
        <v>68</v>
      </c>
      <c r="C262" s="2" t="s">
        <v>173</v>
      </c>
      <c r="D262" s="3">
        <v>4328</v>
      </c>
      <c r="E262" s="4">
        <v>2.1861000000000002</v>
      </c>
      <c r="F262" s="4">
        <v>389.42</v>
      </c>
      <c r="G262" s="4">
        <v>482.48599999999999</v>
      </c>
      <c r="H262" s="4">
        <v>20.977699999999999</v>
      </c>
      <c r="I262" s="3">
        <v>22071</v>
      </c>
      <c r="J262" s="3">
        <v>23</v>
      </c>
    </row>
    <row r="263" spans="1:10" x14ac:dyDescent="0.2">
      <c r="A263" s="5">
        <v>43678</v>
      </c>
      <c r="B263" s="2" t="s">
        <v>68</v>
      </c>
      <c r="C263" s="2" t="s">
        <v>173</v>
      </c>
      <c r="D263" s="3">
        <v>4280</v>
      </c>
      <c r="E263" s="4">
        <v>2.4775</v>
      </c>
      <c r="F263" s="4">
        <v>377.94</v>
      </c>
      <c r="G263" s="4">
        <v>508.04539999999997</v>
      </c>
      <c r="H263" s="4">
        <v>25.4023</v>
      </c>
      <c r="I263" s="3">
        <v>20507</v>
      </c>
      <c r="J263" s="3">
        <v>20</v>
      </c>
    </row>
    <row r="264" spans="1:10" x14ac:dyDescent="0.2">
      <c r="A264" s="5">
        <v>43709</v>
      </c>
      <c r="B264" s="2" t="s">
        <v>68</v>
      </c>
      <c r="C264" s="2" t="s">
        <v>173</v>
      </c>
      <c r="D264" s="3">
        <v>4321</v>
      </c>
      <c r="E264" s="4">
        <v>2.6175999999999999</v>
      </c>
      <c r="F264" s="4">
        <v>386.17</v>
      </c>
      <c r="G264" s="4">
        <v>526.90459999999996</v>
      </c>
      <c r="H264" s="4">
        <v>27.7318</v>
      </c>
      <c r="I264" s="3">
        <v>20129</v>
      </c>
      <c r="J264" s="3">
        <v>19</v>
      </c>
    </row>
    <row r="265" spans="1:10" x14ac:dyDescent="0.2">
      <c r="A265" s="5">
        <v>43739</v>
      </c>
      <c r="B265" s="2" t="s">
        <v>68</v>
      </c>
      <c r="C265" s="2" t="s">
        <v>174</v>
      </c>
      <c r="D265" s="3">
        <v>4458</v>
      </c>
      <c r="E265" s="4">
        <v>2.3224999999999998</v>
      </c>
      <c r="F265" s="4">
        <v>457.97</v>
      </c>
      <c r="G265" s="4">
        <v>566.22339999999997</v>
      </c>
      <c r="H265" s="4">
        <v>28.311199999999999</v>
      </c>
      <c r="I265" s="3">
        <v>24381</v>
      </c>
      <c r="J265" s="3">
        <v>20</v>
      </c>
    </row>
    <row r="266" spans="1:10" x14ac:dyDescent="0.2">
      <c r="A266" s="5">
        <v>43770</v>
      </c>
      <c r="B266" s="2" t="s">
        <v>68</v>
      </c>
      <c r="C266" s="2" t="s">
        <v>174</v>
      </c>
      <c r="D266" s="3">
        <v>4439</v>
      </c>
      <c r="E266" s="4">
        <v>2.6221999999999999</v>
      </c>
      <c r="F266" s="4">
        <v>576.05999999999995</v>
      </c>
      <c r="G266" s="4">
        <v>544.4461</v>
      </c>
      <c r="H266" s="4">
        <v>27.222300000000001</v>
      </c>
      <c r="I266" s="3">
        <v>20763</v>
      </c>
      <c r="J266" s="3">
        <v>20</v>
      </c>
    </row>
    <row r="267" spans="1:10" x14ac:dyDescent="0.2">
      <c r="A267" s="5">
        <v>43800</v>
      </c>
      <c r="B267" s="2" t="s">
        <v>68</v>
      </c>
      <c r="C267" s="2" t="s">
        <v>174</v>
      </c>
      <c r="D267" s="3">
        <v>4477</v>
      </c>
      <c r="E267" s="4">
        <v>2.4799000000000002</v>
      </c>
      <c r="F267" s="4">
        <v>422.49</v>
      </c>
      <c r="G267" s="4">
        <v>435.60120000000001</v>
      </c>
      <c r="H267" s="4">
        <v>20.742899999999999</v>
      </c>
      <c r="I267" s="3">
        <v>17566</v>
      </c>
      <c r="J267" s="3">
        <v>21</v>
      </c>
    </row>
    <row r="268" spans="1:10" x14ac:dyDescent="0.2">
      <c r="A268" s="5">
        <v>43831</v>
      </c>
      <c r="B268" s="2" t="s">
        <v>68</v>
      </c>
      <c r="C268" s="2" t="s">
        <v>175</v>
      </c>
      <c r="D268" s="3">
        <v>4446</v>
      </c>
      <c r="E268" s="4">
        <v>3.1928999999999998</v>
      </c>
      <c r="F268" s="4">
        <v>461.97</v>
      </c>
      <c r="G268" s="4">
        <v>558.45770000000005</v>
      </c>
      <c r="H268" s="4">
        <v>24.280799999999999</v>
      </c>
      <c r="I268" s="3">
        <v>17491</v>
      </c>
      <c r="J268" s="3">
        <v>23</v>
      </c>
    </row>
    <row r="269" spans="1:10" x14ac:dyDescent="0.2">
      <c r="A269" s="5">
        <v>43862</v>
      </c>
      <c r="B269" s="2" t="s">
        <v>68</v>
      </c>
      <c r="C269" s="2" t="s">
        <v>175</v>
      </c>
      <c r="D269" s="3">
        <v>4368</v>
      </c>
      <c r="E269" s="4">
        <v>3.0706000000000002</v>
      </c>
      <c r="F269" s="4">
        <v>488.37</v>
      </c>
      <c r="G269" s="4">
        <v>557.09990000000005</v>
      </c>
      <c r="H269" s="4">
        <v>27.855</v>
      </c>
      <c r="I269" s="3">
        <v>18143</v>
      </c>
      <c r="J269" s="3">
        <v>20</v>
      </c>
    </row>
    <row r="270" spans="1:10" x14ac:dyDescent="0.2">
      <c r="A270" s="5">
        <v>43891</v>
      </c>
      <c r="B270" s="2" t="s">
        <v>68</v>
      </c>
      <c r="C270" s="2" t="s">
        <v>175</v>
      </c>
      <c r="D270" s="3">
        <v>4330</v>
      </c>
      <c r="E270" s="4">
        <v>4.0515999999999996</v>
      </c>
      <c r="F270" s="4">
        <v>607.74</v>
      </c>
      <c r="G270" s="4">
        <v>819.72069999999997</v>
      </c>
      <c r="H270" s="4">
        <v>39.034300000000002</v>
      </c>
      <c r="I270" s="3">
        <v>20233</v>
      </c>
      <c r="J270" s="3">
        <v>21</v>
      </c>
    </row>
    <row r="271" spans="1:10" x14ac:dyDescent="0.2">
      <c r="A271" s="5">
        <v>43922</v>
      </c>
      <c r="B271" s="2" t="s">
        <v>69</v>
      </c>
      <c r="C271" s="2" t="s">
        <v>176</v>
      </c>
      <c r="D271" s="3">
        <v>4149</v>
      </c>
      <c r="E271" s="4">
        <v>3.4912999999999998</v>
      </c>
      <c r="F271" s="4">
        <v>388.85</v>
      </c>
      <c r="G271" s="4">
        <v>444.76339999999999</v>
      </c>
      <c r="H271" s="4">
        <v>24.709099999999999</v>
      </c>
      <c r="I271" s="3">
        <v>12740</v>
      </c>
      <c r="J271" s="3">
        <v>18</v>
      </c>
    </row>
    <row r="272" spans="1:10" x14ac:dyDescent="0.2">
      <c r="A272" s="5">
        <v>43952</v>
      </c>
      <c r="B272" s="2" t="s">
        <v>69</v>
      </c>
      <c r="C272" s="2" t="s">
        <v>176</v>
      </c>
      <c r="D272" s="3">
        <v>4127</v>
      </c>
      <c r="E272" s="4">
        <v>3.1429</v>
      </c>
      <c r="F272" s="4">
        <v>508.3</v>
      </c>
      <c r="G272" s="4">
        <v>650.18989999999997</v>
      </c>
      <c r="H272" s="4">
        <v>34.220500000000001</v>
      </c>
      <c r="I272" s="3">
        <v>20688</v>
      </c>
      <c r="J272" s="3">
        <v>19</v>
      </c>
    </row>
    <row r="273" spans="1:10" x14ac:dyDescent="0.2">
      <c r="A273" s="5">
        <v>43983</v>
      </c>
      <c r="B273" s="2" t="s">
        <v>69</v>
      </c>
      <c r="C273" s="2" t="s">
        <v>176</v>
      </c>
      <c r="D273" s="3">
        <v>4378</v>
      </c>
      <c r="E273" s="4">
        <v>5.5576999999999996</v>
      </c>
      <c r="F273" s="4">
        <v>1082.3499999999999</v>
      </c>
      <c r="G273" s="4">
        <v>1101.9269999999999</v>
      </c>
      <c r="H273" s="4">
        <v>50.087600000000002</v>
      </c>
      <c r="I273" s="3">
        <v>19828</v>
      </c>
      <c r="J273" s="3">
        <v>22</v>
      </c>
    </row>
    <row r="274" spans="1:10" x14ac:dyDescent="0.2">
      <c r="A274" s="5">
        <v>44013</v>
      </c>
      <c r="B274" s="2" t="s">
        <v>69</v>
      </c>
      <c r="C274" s="2" t="s">
        <v>177</v>
      </c>
      <c r="D274" s="3">
        <v>4531</v>
      </c>
      <c r="E274" s="4">
        <v>5.1369999999999996</v>
      </c>
      <c r="F274" s="4">
        <v>985.14</v>
      </c>
      <c r="G274" s="4">
        <v>800.92740000000003</v>
      </c>
      <c r="H274" s="4">
        <v>34.822899999999997</v>
      </c>
      <c r="I274" s="3">
        <v>15592</v>
      </c>
      <c r="J274" s="3">
        <v>23</v>
      </c>
    </row>
    <row r="275" spans="1:10" x14ac:dyDescent="0.2">
      <c r="A275" s="5">
        <v>44044</v>
      </c>
      <c r="B275" s="2" t="s">
        <v>69</v>
      </c>
      <c r="C275" s="2" t="s">
        <v>177</v>
      </c>
      <c r="D275" s="3">
        <v>4511</v>
      </c>
      <c r="E275" s="4">
        <v>4.8421000000000003</v>
      </c>
      <c r="F275" s="4">
        <v>996.71</v>
      </c>
      <c r="G275" s="4">
        <v>930.79989999999998</v>
      </c>
      <c r="H275" s="4">
        <v>44.323799999999999</v>
      </c>
      <c r="I275" s="3">
        <v>19223</v>
      </c>
      <c r="J275" s="3">
        <v>21</v>
      </c>
    </row>
    <row r="276" spans="1:10" x14ac:dyDescent="0.2">
      <c r="A276" s="5">
        <v>44075</v>
      </c>
      <c r="B276" s="2" t="s">
        <v>69</v>
      </c>
      <c r="C276" s="2" t="s">
        <v>177</v>
      </c>
      <c r="D276" s="3">
        <v>4520</v>
      </c>
      <c r="E276" s="4">
        <v>4.0270999999999999</v>
      </c>
      <c r="F276" s="4">
        <v>788.27</v>
      </c>
      <c r="G276" s="4">
        <v>700.2527</v>
      </c>
      <c r="H276" s="4">
        <v>31.829699999999999</v>
      </c>
      <c r="I276" s="3">
        <v>17389</v>
      </c>
      <c r="J276" s="3">
        <v>22</v>
      </c>
    </row>
    <row r="277" spans="1:10" x14ac:dyDescent="0.2">
      <c r="A277" s="5">
        <v>44105</v>
      </c>
      <c r="B277" s="2" t="s">
        <v>69</v>
      </c>
      <c r="C277" s="2" t="s">
        <v>178</v>
      </c>
      <c r="D277" s="3">
        <v>4485</v>
      </c>
      <c r="E277" s="4">
        <v>3.6427999999999998</v>
      </c>
      <c r="F277" s="4">
        <v>545.24</v>
      </c>
      <c r="G277" s="4">
        <v>578.66309999999999</v>
      </c>
      <c r="H277" s="4">
        <v>27.555399999999999</v>
      </c>
      <c r="I277" s="3">
        <v>15886</v>
      </c>
      <c r="J277" s="3">
        <v>21</v>
      </c>
    </row>
    <row r="278" spans="1:10" x14ac:dyDescent="0.2">
      <c r="A278" s="5">
        <v>44136</v>
      </c>
      <c r="B278" s="2" t="s">
        <v>69</v>
      </c>
      <c r="C278" s="2" t="s">
        <v>178</v>
      </c>
      <c r="D278" s="3">
        <v>4491</v>
      </c>
      <c r="E278" s="4">
        <v>4.1219999999999999</v>
      </c>
      <c r="F278" s="4">
        <v>683.35</v>
      </c>
      <c r="G278" s="4">
        <v>706.75890000000004</v>
      </c>
      <c r="H278" s="4">
        <v>35.337899999999998</v>
      </c>
      <c r="I278" s="3">
        <v>17146</v>
      </c>
      <c r="J278" s="3">
        <v>20</v>
      </c>
    </row>
    <row r="279" spans="1:10" x14ac:dyDescent="0.2">
      <c r="A279" s="5">
        <v>44166</v>
      </c>
      <c r="B279" s="2" t="s">
        <v>69</v>
      </c>
      <c r="C279" s="2" t="s">
        <v>178</v>
      </c>
      <c r="D279" s="3">
        <v>4678</v>
      </c>
      <c r="E279" s="4">
        <v>5.3879000000000001</v>
      </c>
      <c r="F279" s="4">
        <v>1302.56</v>
      </c>
      <c r="G279" s="4">
        <v>994.14800000000002</v>
      </c>
      <c r="H279" s="4">
        <v>45.188499999999998</v>
      </c>
      <c r="I279" s="3">
        <v>18452</v>
      </c>
      <c r="J279" s="3">
        <v>22</v>
      </c>
    </row>
    <row r="280" spans="1:10" x14ac:dyDescent="0.2">
      <c r="A280" s="5">
        <v>44197</v>
      </c>
      <c r="B280" s="2" t="s">
        <v>69</v>
      </c>
      <c r="C280" s="2" t="s">
        <v>179</v>
      </c>
      <c r="D280" s="3">
        <v>4640</v>
      </c>
      <c r="E280" s="4">
        <v>5.0717999999999996</v>
      </c>
      <c r="F280" s="4">
        <v>1150.54</v>
      </c>
      <c r="G280" s="4">
        <v>1040.6322</v>
      </c>
      <c r="H280" s="4">
        <v>52.031599999999997</v>
      </c>
      <c r="I280" s="3">
        <v>20519</v>
      </c>
      <c r="J280" s="3">
        <v>20</v>
      </c>
    </row>
    <row r="281" spans="1:10" x14ac:dyDescent="0.2">
      <c r="A281" s="5">
        <v>44228</v>
      </c>
      <c r="B281" s="2" t="s">
        <v>69</v>
      </c>
      <c r="C281" s="2" t="s">
        <v>179</v>
      </c>
      <c r="D281" s="3">
        <v>4643</v>
      </c>
      <c r="E281" s="4">
        <v>5.3285999999999998</v>
      </c>
      <c r="F281" s="4">
        <v>1011.11</v>
      </c>
      <c r="G281" s="4">
        <v>1449.5451</v>
      </c>
      <c r="H281" s="4">
        <v>72.4773</v>
      </c>
      <c r="I281" s="3">
        <v>27204</v>
      </c>
      <c r="J281" s="3">
        <v>20</v>
      </c>
    </row>
    <row r="282" spans="1:10" x14ac:dyDescent="0.2">
      <c r="A282" s="5">
        <v>44256</v>
      </c>
      <c r="B282" s="2" t="s">
        <v>69</v>
      </c>
      <c r="C282" s="2" t="s">
        <v>179</v>
      </c>
      <c r="D282" s="3">
        <v>4798</v>
      </c>
      <c r="E282" s="4">
        <v>5.2564000000000002</v>
      </c>
      <c r="F282" s="4">
        <v>1013.88</v>
      </c>
      <c r="G282" s="4">
        <v>1052.288</v>
      </c>
      <c r="H282" s="4">
        <v>50.109000000000002</v>
      </c>
      <c r="I282" s="3">
        <v>20020</v>
      </c>
      <c r="J282" s="3">
        <v>21</v>
      </c>
    </row>
    <row r="283" spans="1:10" x14ac:dyDescent="0.2">
      <c r="A283" s="5">
        <v>44287</v>
      </c>
      <c r="B283" s="2" t="s">
        <v>70</v>
      </c>
      <c r="C283" s="2" t="s">
        <v>180</v>
      </c>
      <c r="D283" s="3">
        <v>4677</v>
      </c>
      <c r="E283" s="4">
        <v>4.1448</v>
      </c>
      <c r="F283" s="4">
        <v>658.6</v>
      </c>
      <c r="G283" s="4">
        <v>828.79449999999997</v>
      </c>
      <c r="H283" s="4">
        <v>43.620800000000003</v>
      </c>
      <c r="I283" s="3">
        <v>19997</v>
      </c>
      <c r="J283" s="3">
        <v>19</v>
      </c>
    </row>
    <row r="284" spans="1:10" x14ac:dyDescent="0.2">
      <c r="A284" s="5">
        <v>44317</v>
      </c>
      <c r="B284" s="2" t="s">
        <v>70</v>
      </c>
      <c r="C284" s="2" t="s">
        <v>180</v>
      </c>
      <c r="D284" s="3">
        <v>4761</v>
      </c>
      <c r="E284" s="4">
        <v>5.9743000000000004</v>
      </c>
      <c r="F284" s="4">
        <v>1109.98</v>
      </c>
      <c r="G284" s="4">
        <v>1125.0059000000001</v>
      </c>
      <c r="H284" s="4">
        <v>56.250300000000003</v>
      </c>
      <c r="I284" s="3">
        <v>18831</v>
      </c>
      <c r="J284" s="3">
        <v>20</v>
      </c>
    </row>
    <row r="285" spans="1:10" x14ac:dyDescent="0.2">
      <c r="A285" s="5">
        <v>44348</v>
      </c>
      <c r="B285" s="2" t="s">
        <v>70</v>
      </c>
      <c r="C285" s="2" t="s">
        <v>180</v>
      </c>
      <c r="D285" s="3">
        <v>4831</v>
      </c>
      <c r="E285" s="4">
        <v>7.8129999999999997</v>
      </c>
      <c r="F285" s="4">
        <v>1847.71</v>
      </c>
      <c r="G285" s="4">
        <v>1499.4581000000001</v>
      </c>
      <c r="H285" s="4">
        <v>68.157200000000003</v>
      </c>
      <c r="I285" s="3">
        <v>19192</v>
      </c>
      <c r="J285" s="3">
        <v>22</v>
      </c>
    </row>
    <row r="286" spans="1:10" x14ac:dyDescent="0.2">
      <c r="A286" s="5">
        <v>44378</v>
      </c>
      <c r="B286" s="2" t="s">
        <v>70</v>
      </c>
      <c r="C286" s="2" t="s">
        <v>181</v>
      </c>
      <c r="D286" s="3">
        <v>4816</v>
      </c>
      <c r="E286" s="4">
        <v>7.1505999999999998</v>
      </c>
      <c r="F286" s="4">
        <v>1418.31</v>
      </c>
      <c r="G286" s="4">
        <v>1160.3475000000001</v>
      </c>
      <c r="H286" s="4">
        <v>55.254600000000003</v>
      </c>
      <c r="I286" s="3">
        <v>16228</v>
      </c>
      <c r="J286" s="3">
        <v>21</v>
      </c>
    </row>
    <row r="287" spans="1:10" x14ac:dyDescent="0.2">
      <c r="A287" s="5">
        <v>44409</v>
      </c>
      <c r="B287" s="2" t="s">
        <v>70</v>
      </c>
      <c r="C287" s="2" t="s">
        <v>181</v>
      </c>
      <c r="D287" s="3">
        <v>4796</v>
      </c>
      <c r="E287" s="4">
        <v>6.3181000000000003</v>
      </c>
      <c r="F287" s="4">
        <v>1207.2</v>
      </c>
      <c r="G287" s="4">
        <v>1091.8108999999999</v>
      </c>
      <c r="H287" s="4">
        <v>51.991</v>
      </c>
      <c r="I287" s="3">
        <v>17281</v>
      </c>
      <c r="J287" s="3">
        <v>21</v>
      </c>
    </row>
    <row r="288" spans="1:10" x14ac:dyDescent="0.2">
      <c r="A288" s="5">
        <v>44440</v>
      </c>
      <c r="B288" s="2" t="s">
        <v>70</v>
      </c>
      <c r="C288" s="2" t="s">
        <v>181</v>
      </c>
      <c r="D288" s="3">
        <v>4785</v>
      </c>
      <c r="E288" s="4">
        <v>6.0494000000000003</v>
      </c>
      <c r="F288" s="4">
        <v>1312.56</v>
      </c>
      <c r="G288" s="4">
        <v>1289.7484999999999</v>
      </c>
      <c r="H288" s="4">
        <v>61.416600000000003</v>
      </c>
      <c r="I288" s="3">
        <v>21321</v>
      </c>
      <c r="J288" s="3">
        <v>21</v>
      </c>
    </row>
    <row r="289" spans="1:10" x14ac:dyDescent="0.2">
      <c r="A289" s="5">
        <v>44470</v>
      </c>
      <c r="B289" s="2" t="s">
        <v>70</v>
      </c>
      <c r="C289" s="2" t="s">
        <v>182</v>
      </c>
      <c r="D289" s="3">
        <v>4802</v>
      </c>
      <c r="E289" s="4">
        <v>7.2427999999999999</v>
      </c>
      <c r="F289" s="4">
        <v>1158.98</v>
      </c>
      <c r="G289" s="4">
        <v>1337.2855</v>
      </c>
      <c r="H289" s="4">
        <v>66.8643</v>
      </c>
      <c r="I289" s="3">
        <v>18464</v>
      </c>
      <c r="J289" s="3">
        <v>20</v>
      </c>
    </row>
    <row r="290" spans="1:10" x14ac:dyDescent="0.2">
      <c r="A290" s="5">
        <v>44501</v>
      </c>
      <c r="B290" s="2" t="s">
        <v>70</v>
      </c>
      <c r="C290" s="2" t="s">
        <v>182</v>
      </c>
      <c r="D290" s="3">
        <v>4800</v>
      </c>
      <c r="E290" s="4">
        <v>6.4008000000000003</v>
      </c>
      <c r="F290" s="4">
        <v>1026.33</v>
      </c>
      <c r="G290" s="4">
        <v>970.65689999999995</v>
      </c>
      <c r="H290" s="4">
        <v>48.532800000000002</v>
      </c>
      <c r="I290" s="3">
        <v>15165</v>
      </c>
      <c r="J290" s="3">
        <v>20</v>
      </c>
    </row>
    <row r="291" spans="1:10" x14ac:dyDescent="0.2">
      <c r="A291" s="5">
        <v>44531</v>
      </c>
      <c r="B291" s="2" t="s">
        <v>70</v>
      </c>
      <c r="C291" s="2" t="s">
        <v>182</v>
      </c>
      <c r="D291" s="3">
        <v>4900</v>
      </c>
      <c r="E291" s="4">
        <v>6.9817999999999998</v>
      </c>
      <c r="F291" s="4">
        <v>1900.41</v>
      </c>
      <c r="G291" s="4">
        <v>978.96910000000003</v>
      </c>
      <c r="H291" s="4">
        <v>42.563899999999997</v>
      </c>
      <c r="I291" s="3">
        <v>14022</v>
      </c>
      <c r="J291" s="3">
        <v>23</v>
      </c>
    </row>
    <row r="292" spans="1:10" x14ac:dyDescent="0.2">
      <c r="A292" s="5">
        <v>44562</v>
      </c>
      <c r="B292" s="2" t="s">
        <v>70</v>
      </c>
      <c r="C292" s="2" t="s">
        <v>183</v>
      </c>
      <c r="D292" s="3">
        <v>4893</v>
      </c>
      <c r="E292" s="4">
        <v>8.3957999999999995</v>
      </c>
      <c r="F292" s="4">
        <v>1995.02</v>
      </c>
      <c r="G292" s="4">
        <v>1072.9371000000001</v>
      </c>
      <c r="H292" s="4">
        <v>53.646900000000002</v>
      </c>
      <c r="I292" s="3">
        <v>12780</v>
      </c>
      <c r="J292" s="3">
        <v>20</v>
      </c>
    </row>
    <row r="293" spans="1:10" x14ac:dyDescent="0.2">
      <c r="A293" s="5">
        <v>44593</v>
      </c>
      <c r="B293" s="2" t="s">
        <v>70</v>
      </c>
      <c r="C293" s="2" t="s">
        <v>183</v>
      </c>
      <c r="D293" s="3">
        <v>4846</v>
      </c>
      <c r="E293" s="4">
        <v>6.6238999999999999</v>
      </c>
      <c r="F293" s="4">
        <v>1337.52</v>
      </c>
      <c r="G293" s="4">
        <v>962.48869999999999</v>
      </c>
      <c r="H293" s="4">
        <v>48.124400000000001</v>
      </c>
      <c r="I293" s="3">
        <v>14531</v>
      </c>
      <c r="J293" s="3">
        <v>20</v>
      </c>
    </row>
    <row r="294" spans="1:10" x14ac:dyDescent="0.2">
      <c r="A294" s="5">
        <v>44621</v>
      </c>
      <c r="B294" s="2" t="s">
        <v>70</v>
      </c>
      <c r="C294" s="2" t="s">
        <v>183</v>
      </c>
      <c r="D294" s="3">
        <v>4901</v>
      </c>
      <c r="E294" s="4">
        <v>6.3914999999999997</v>
      </c>
      <c r="F294" s="4">
        <v>1249.26</v>
      </c>
      <c r="G294" s="4">
        <v>1064.7503999999999</v>
      </c>
      <c r="H294" s="4">
        <v>50.702399999999997</v>
      </c>
      <c r="I294" s="3">
        <v>16659</v>
      </c>
      <c r="J294" s="3">
        <v>21</v>
      </c>
    </row>
    <row r="295" spans="1:10" x14ac:dyDescent="0.2">
      <c r="A295" s="5">
        <v>44652</v>
      </c>
      <c r="B295" s="2" t="s">
        <v>71</v>
      </c>
      <c r="C295" s="2" t="s">
        <v>184</v>
      </c>
      <c r="D295" s="3">
        <v>4828</v>
      </c>
      <c r="E295" s="4">
        <v>6.5293999999999999</v>
      </c>
      <c r="F295" s="4">
        <v>1325.11</v>
      </c>
      <c r="G295" s="4">
        <v>1008.2984</v>
      </c>
      <c r="H295" s="4">
        <v>53.068300000000001</v>
      </c>
      <c r="I295" s="3">
        <v>15443</v>
      </c>
      <c r="J295" s="3">
        <v>19</v>
      </c>
    </row>
    <row r="296" spans="1:10" x14ac:dyDescent="0.2">
      <c r="A296" s="5">
        <v>44682</v>
      </c>
      <c r="B296" s="2" t="s">
        <v>71</v>
      </c>
      <c r="C296" s="2" t="s">
        <v>184</v>
      </c>
      <c r="D296" s="3">
        <v>4811</v>
      </c>
      <c r="E296" s="4">
        <v>6.3983999999999996</v>
      </c>
      <c r="F296" s="4">
        <v>994.74</v>
      </c>
      <c r="G296" s="4">
        <v>880.34820000000002</v>
      </c>
      <c r="H296" s="4">
        <v>41.921300000000002</v>
      </c>
      <c r="I296" s="3">
        <v>13759</v>
      </c>
      <c r="J296" s="3">
        <v>21</v>
      </c>
    </row>
    <row r="297" spans="1:10" x14ac:dyDescent="0.2">
      <c r="A297" s="5">
        <v>44713</v>
      </c>
      <c r="B297" s="2" t="s">
        <v>71</v>
      </c>
      <c r="C297" s="2" t="s">
        <v>184</v>
      </c>
      <c r="D297" s="3">
        <v>4797</v>
      </c>
      <c r="E297" s="4">
        <v>5.3132000000000001</v>
      </c>
      <c r="F297" s="4">
        <v>888.64</v>
      </c>
      <c r="G297" s="4">
        <v>626.61400000000003</v>
      </c>
      <c r="H297" s="4">
        <v>28.482500000000002</v>
      </c>
      <c r="I297" s="3">
        <v>11794</v>
      </c>
      <c r="J297" s="3">
        <v>22</v>
      </c>
    </row>
    <row r="298" spans="1:10" x14ac:dyDescent="0.2">
      <c r="A298" s="5">
        <v>44743</v>
      </c>
      <c r="B298" s="2" t="s">
        <v>71</v>
      </c>
      <c r="C298" s="2" t="s">
        <v>185</v>
      </c>
      <c r="D298" s="3">
        <v>4799</v>
      </c>
      <c r="E298" s="4">
        <v>4.9387999999999996</v>
      </c>
      <c r="F298" s="4">
        <v>833.53</v>
      </c>
      <c r="G298" s="4">
        <v>676.79549999999995</v>
      </c>
      <c r="H298" s="4">
        <v>32.228400000000001</v>
      </c>
      <c r="I298" s="3">
        <v>13704</v>
      </c>
      <c r="J298" s="3">
        <v>21</v>
      </c>
    </row>
    <row r="299" spans="1:10" x14ac:dyDescent="0.2">
      <c r="A299" s="5">
        <v>44774</v>
      </c>
      <c r="B299" s="2" t="s">
        <v>71</v>
      </c>
      <c r="C299" s="2" t="s">
        <v>185</v>
      </c>
      <c r="D299" s="3">
        <v>4885</v>
      </c>
      <c r="E299" s="4">
        <v>5.8238000000000003</v>
      </c>
      <c r="F299" s="4">
        <v>1249.73</v>
      </c>
      <c r="G299" s="4">
        <v>1127.9131</v>
      </c>
      <c r="H299" s="4">
        <v>56.395699999999998</v>
      </c>
      <c r="I299" s="3">
        <v>19368</v>
      </c>
      <c r="J299" s="3">
        <v>20</v>
      </c>
    </row>
    <row r="300" spans="1:10" x14ac:dyDescent="0.2">
      <c r="A300" s="5">
        <v>44805</v>
      </c>
      <c r="B300" s="2" t="s">
        <v>71</v>
      </c>
      <c r="C300" s="2" t="s">
        <v>185</v>
      </c>
      <c r="D300" s="3">
        <v>4923</v>
      </c>
      <c r="E300" s="4">
        <v>7.1928999999999998</v>
      </c>
      <c r="F300" s="4">
        <v>1449.89</v>
      </c>
      <c r="G300" s="4">
        <v>1181.3263999999999</v>
      </c>
      <c r="H300" s="4">
        <v>53.6967</v>
      </c>
      <c r="I300" s="3">
        <v>16424</v>
      </c>
      <c r="J300" s="3">
        <v>22</v>
      </c>
    </row>
    <row r="301" spans="1:10" x14ac:dyDescent="0.2">
      <c r="A301" s="5">
        <v>44835</v>
      </c>
      <c r="B301" s="2" t="s">
        <v>71</v>
      </c>
      <c r="C301" s="2" t="s">
        <v>186</v>
      </c>
      <c r="D301" s="3">
        <v>4891</v>
      </c>
      <c r="E301" s="4">
        <v>4.5453000000000001</v>
      </c>
      <c r="F301" s="4">
        <v>913.65</v>
      </c>
      <c r="G301" s="4">
        <v>840.60979999999995</v>
      </c>
      <c r="H301" s="4">
        <v>44.242600000000003</v>
      </c>
      <c r="I301" s="3">
        <v>18495</v>
      </c>
      <c r="J301" s="3">
        <v>19</v>
      </c>
    </row>
    <row r="302" spans="1:10" x14ac:dyDescent="0.2">
      <c r="A302" s="5">
        <v>44866</v>
      </c>
      <c r="B302" s="2" t="s">
        <v>71</v>
      </c>
      <c r="C302" s="2" t="s">
        <v>186</v>
      </c>
      <c r="D302" s="3">
        <v>4994</v>
      </c>
      <c r="E302" s="4">
        <v>5.4698000000000002</v>
      </c>
      <c r="F302" s="4">
        <v>1107.28</v>
      </c>
      <c r="G302" s="4">
        <v>916.83730000000003</v>
      </c>
      <c r="H302" s="4">
        <v>43.658900000000003</v>
      </c>
      <c r="I302" s="3">
        <v>16762</v>
      </c>
      <c r="J302" s="3">
        <v>21</v>
      </c>
    </row>
    <row r="303" spans="1:10" x14ac:dyDescent="0.2">
      <c r="A303" s="5">
        <v>44896</v>
      </c>
      <c r="B303" s="2" t="s">
        <v>71</v>
      </c>
      <c r="C303" s="2" t="s">
        <v>186</v>
      </c>
      <c r="D303" s="3">
        <v>5012</v>
      </c>
      <c r="E303" s="4">
        <v>6.1643999999999997</v>
      </c>
      <c r="F303" s="4">
        <v>1578.1</v>
      </c>
      <c r="G303" s="4">
        <v>867.89369999999997</v>
      </c>
      <c r="H303" s="4">
        <v>39.4497</v>
      </c>
      <c r="I303" s="3">
        <v>14080</v>
      </c>
      <c r="J303" s="3">
        <v>22</v>
      </c>
    </row>
    <row r="304" spans="1:10" x14ac:dyDescent="0.2">
      <c r="A304" s="5">
        <v>44927</v>
      </c>
      <c r="B304" s="2" t="s">
        <v>71</v>
      </c>
      <c r="C304" s="2" t="s">
        <v>187</v>
      </c>
      <c r="D304" s="3">
        <v>4991</v>
      </c>
      <c r="E304" s="4">
        <v>4.9149000000000003</v>
      </c>
      <c r="F304" s="4">
        <v>1299.9100000000001</v>
      </c>
      <c r="G304" s="4">
        <v>681.03369999999995</v>
      </c>
      <c r="H304" s="4">
        <v>32.430199999999999</v>
      </c>
      <c r="I304" s="3">
        <v>13857</v>
      </c>
      <c r="J304" s="3">
        <v>21</v>
      </c>
    </row>
    <row r="305" spans="1:10" x14ac:dyDescent="0.2">
      <c r="A305" s="5">
        <v>44958</v>
      </c>
      <c r="B305" s="2" t="s">
        <v>71</v>
      </c>
      <c r="C305" s="2" t="s">
        <v>187</v>
      </c>
      <c r="D305" s="3">
        <v>4996</v>
      </c>
      <c r="E305" s="4">
        <v>5.1614000000000004</v>
      </c>
      <c r="F305" s="4">
        <v>893.44</v>
      </c>
      <c r="G305" s="4">
        <v>710.58960000000002</v>
      </c>
      <c r="H305" s="4">
        <v>35.529499999999999</v>
      </c>
      <c r="I305" s="3">
        <v>13768</v>
      </c>
      <c r="J305" s="3">
        <v>20</v>
      </c>
    </row>
    <row r="306" spans="1:10" x14ac:dyDescent="0.2">
      <c r="A306" s="5">
        <v>44986</v>
      </c>
      <c r="B306" s="2" t="s">
        <v>71</v>
      </c>
      <c r="C306" s="2" t="s">
        <v>187</v>
      </c>
      <c r="D306" s="3">
        <v>5130</v>
      </c>
      <c r="E306" s="4">
        <v>4.7728000000000002</v>
      </c>
      <c r="F306" s="4">
        <v>1017.96</v>
      </c>
      <c r="G306" s="4">
        <v>770.3895</v>
      </c>
      <c r="H306" s="4">
        <v>36.685200000000002</v>
      </c>
      <c r="I306" s="3">
        <v>16142</v>
      </c>
      <c r="J306" s="3">
        <v>21</v>
      </c>
    </row>
    <row r="307" spans="1:10" x14ac:dyDescent="0.2">
      <c r="A307" s="5">
        <v>45017</v>
      </c>
      <c r="B307" s="2" t="s">
        <v>72</v>
      </c>
      <c r="C307" s="2" t="s">
        <v>188</v>
      </c>
      <c r="D307" s="3">
        <v>4969</v>
      </c>
      <c r="E307" s="4">
        <v>3.4716999999999998</v>
      </c>
      <c r="F307" s="4">
        <v>789.93</v>
      </c>
      <c r="G307" s="4">
        <v>515.95119999999997</v>
      </c>
      <c r="H307" s="4">
        <v>30.350100000000001</v>
      </c>
      <c r="I307" s="3">
        <v>14862</v>
      </c>
      <c r="J307" s="3">
        <v>17</v>
      </c>
    </row>
    <row r="308" spans="1:10" x14ac:dyDescent="0.2">
      <c r="A308" s="5">
        <v>45047</v>
      </c>
      <c r="B308" s="2" t="s">
        <v>72</v>
      </c>
      <c r="C308" s="2" t="s">
        <v>188</v>
      </c>
      <c r="D308" s="3">
        <v>5050</v>
      </c>
      <c r="E308" s="4">
        <v>4.9999000000000002</v>
      </c>
      <c r="F308" s="4">
        <v>1089.3</v>
      </c>
      <c r="G308" s="4">
        <v>815.87059999999997</v>
      </c>
      <c r="H308" s="4">
        <v>37.085000000000001</v>
      </c>
      <c r="I308" s="3">
        <v>16318</v>
      </c>
      <c r="J308" s="3">
        <v>22</v>
      </c>
    </row>
    <row r="309" spans="1:10" x14ac:dyDescent="0.2">
      <c r="A309" s="5">
        <v>45078</v>
      </c>
      <c r="B309" s="2" t="s">
        <v>72</v>
      </c>
      <c r="C309" s="2" t="s">
        <v>188</v>
      </c>
      <c r="D309" s="3">
        <v>5087</v>
      </c>
      <c r="E309" s="4">
        <v>5.4149000000000003</v>
      </c>
      <c r="F309" s="4">
        <v>1323.75</v>
      </c>
      <c r="G309" s="4">
        <v>1082.9006999999999</v>
      </c>
      <c r="H309" s="4">
        <v>51.566699999999997</v>
      </c>
      <c r="I309" s="3">
        <v>19999</v>
      </c>
      <c r="J309" s="3">
        <v>21</v>
      </c>
    </row>
    <row r="310" spans="1:10" x14ac:dyDescent="0.2">
      <c r="A310" s="5">
        <v>45108</v>
      </c>
      <c r="B310" s="2" t="s">
        <v>72</v>
      </c>
      <c r="C310" s="2" t="s">
        <v>189</v>
      </c>
      <c r="D310" s="3">
        <v>5113</v>
      </c>
      <c r="E310" s="4">
        <v>5.883</v>
      </c>
      <c r="F310" s="4">
        <v>1260.95</v>
      </c>
      <c r="G310" s="4">
        <v>976.43610000000001</v>
      </c>
      <c r="H310" s="4">
        <v>46.497</v>
      </c>
      <c r="I310" s="3">
        <v>16598</v>
      </c>
      <c r="J310" s="3">
        <v>21</v>
      </c>
    </row>
    <row r="311" spans="1:10" x14ac:dyDescent="0.2">
      <c r="A311" s="5">
        <v>45139</v>
      </c>
      <c r="B311" s="2" t="s">
        <v>72</v>
      </c>
      <c r="C311" s="2" t="s">
        <v>189</v>
      </c>
      <c r="D311" s="3">
        <v>5177</v>
      </c>
      <c r="E311" s="4">
        <v>6.9539999999999997</v>
      </c>
      <c r="F311" s="4">
        <v>1979.31</v>
      </c>
      <c r="G311" s="4">
        <v>1513.1794</v>
      </c>
      <c r="H311" s="4">
        <v>68.780900000000003</v>
      </c>
      <c r="I311" s="3">
        <v>21760</v>
      </c>
      <c r="J311" s="3">
        <v>22</v>
      </c>
    </row>
    <row r="312" spans="1:10" x14ac:dyDescent="0.2">
      <c r="A312" s="5">
        <v>45170</v>
      </c>
      <c r="B312" s="2" t="s">
        <v>72</v>
      </c>
      <c r="C312" s="2" t="s">
        <v>189</v>
      </c>
      <c r="D312" s="3">
        <v>5192</v>
      </c>
      <c r="E312" s="4">
        <v>6.6369999999999996</v>
      </c>
      <c r="F312" s="4">
        <v>2060.65</v>
      </c>
      <c r="G312" s="4">
        <v>1241.3876</v>
      </c>
      <c r="H312" s="4">
        <v>62.069400000000002</v>
      </c>
      <c r="I312" s="3">
        <v>18704</v>
      </c>
      <c r="J312" s="3">
        <v>20</v>
      </c>
    </row>
    <row r="313" spans="1:10" x14ac:dyDescent="0.2">
      <c r="A313" s="5">
        <v>45200</v>
      </c>
      <c r="B313" s="2" t="s">
        <v>72</v>
      </c>
      <c r="C313" s="2" t="s">
        <v>190</v>
      </c>
      <c r="D313" s="3">
        <v>5207</v>
      </c>
      <c r="E313" s="4">
        <v>5.9881000000000002</v>
      </c>
      <c r="F313" s="4">
        <v>1369.48</v>
      </c>
      <c r="G313" s="4">
        <v>1000.3449000000001</v>
      </c>
      <c r="H313" s="4">
        <v>50.017200000000003</v>
      </c>
      <c r="I313" s="3">
        <v>16706</v>
      </c>
      <c r="J313" s="3">
        <v>20</v>
      </c>
    </row>
    <row r="314" spans="1:10" x14ac:dyDescent="0.2">
      <c r="A314" s="5">
        <v>45231</v>
      </c>
      <c r="B314" s="2" t="s">
        <v>72</v>
      </c>
      <c r="C314" s="2" t="s">
        <v>190</v>
      </c>
      <c r="D314" s="3">
        <v>5245</v>
      </c>
      <c r="E314" s="4">
        <v>6.2483000000000004</v>
      </c>
      <c r="F314" s="4">
        <v>1736.58</v>
      </c>
      <c r="G314" s="4">
        <v>1112.7321999999999</v>
      </c>
      <c r="H314" s="4">
        <v>52.987200000000001</v>
      </c>
      <c r="I314" s="3">
        <v>17809</v>
      </c>
      <c r="J314" s="3">
        <v>21</v>
      </c>
    </row>
    <row r="315" spans="1:10" x14ac:dyDescent="0.2">
      <c r="A315" s="5">
        <v>45261</v>
      </c>
      <c r="B315" s="2" t="s">
        <v>72</v>
      </c>
      <c r="C315" s="2" t="s">
        <v>190</v>
      </c>
      <c r="D315" s="3">
        <v>5340</v>
      </c>
      <c r="E315" s="4">
        <v>8.4831000000000003</v>
      </c>
      <c r="F315" s="4">
        <v>2465.5300000000002</v>
      </c>
      <c r="G315" s="4">
        <v>1938.8534999999999</v>
      </c>
      <c r="H315" s="4">
        <v>96.942700000000002</v>
      </c>
      <c r="I315" s="3">
        <v>22856</v>
      </c>
      <c r="J315" s="3">
        <v>20</v>
      </c>
    </row>
    <row r="316" spans="1:10" x14ac:dyDescent="0.2">
      <c r="A316" s="5">
        <v>45292</v>
      </c>
      <c r="B316" s="2" t="s">
        <v>72</v>
      </c>
      <c r="C316" s="2" t="s">
        <v>191</v>
      </c>
      <c r="D316" s="3">
        <v>5429</v>
      </c>
      <c r="E316" s="4">
        <v>10.8765</v>
      </c>
      <c r="F316" s="4">
        <v>2989.25</v>
      </c>
      <c r="G316" s="4">
        <v>2158.4955</v>
      </c>
      <c r="H316" s="4">
        <v>98.113399999999999</v>
      </c>
      <c r="I316" s="3">
        <v>19846</v>
      </c>
      <c r="J316" s="3">
        <v>22</v>
      </c>
    </row>
    <row r="317" spans="1:10" x14ac:dyDescent="0.2">
      <c r="A317" s="5">
        <v>45323</v>
      </c>
      <c r="B317" s="2" t="s">
        <v>72</v>
      </c>
      <c r="C317" s="2" t="s">
        <v>191</v>
      </c>
      <c r="D317" s="3">
        <v>5466</v>
      </c>
      <c r="E317" s="4">
        <v>10.5871</v>
      </c>
      <c r="F317" s="4">
        <v>2660.39</v>
      </c>
      <c r="G317" s="4">
        <v>2210.64</v>
      </c>
      <c r="H317" s="4">
        <v>105.26860000000001</v>
      </c>
      <c r="I317" s="3">
        <v>20881</v>
      </c>
      <c r="J317" s="3">
        <v>21</v>
      </c>
    </row>
    <row r="318" spans="1:10" x14ac:dyDescent="0.2">
      <c r="A318" s="5">
        <v>45352</v>
      </c>
      <c r="B318" s="2" t="s">
        <v>72</v>
      </c>
      <c r="C318" s="2" t="s">
        <v>191</v>
      </c>
      <c r="D318" s="3">
        <v>5451</v>
      </c>
      <c r="E318" s="4">
        <v>7.0914999999999999</v>
      </c>
      <c r="F318" s="4">
        <v>1482.02</v>
      </c>
      <c r="G318" s="4">
        <v>1723.5921000000001</v>
      </c>
      <c r="H318" s="4">
        <v>90.715400000000002</v>
      </c>
      <c r="I318" s="3">
        <v>24306</v>
      </c>
      <c r="J318" s="3">
        <v>19</v>
      </c>
    </row>
    <row r="319" spans="1:10" x14ac:dyDescent="0.2">
      <c r="A319" s="5">
        <v>45383</v>
      </c>
      <c r="B319" s="2" t="s">
        <v>73</v>
      </c>
      <c r="C319" s="2" t="s">
        <v>192</v>
      </c>
      <c r="D319" s="3">
        <v>5419</v>
      </c>
      <c r="E319" s="4">
        <v>7.6649000000000003</v>
      </c>
      <c r="F319" s="4">
        <v>1883.99</v>
      </c>
      <c r="G319" s="4">
        <v>1527.6742999999999</v>
      </c>
      <c r="H319" s="4">
        <v>76.383700000000005</v>
      </c>
      <c r="I319" s="3">
        <v>19931</v>
      </c>
      <c r="J319" s="3">
        <v>20</v>
      </c>
    </row>
    <row r="320" spans="1:10" x14ac:dyDescent="0.2">
      <c r="A320" s="5">
        <v>45413</v>
      </c>
      <c r="B320" s="2" t="s">
        <v>73</v>
      </c>
      <c r="C320" s="2" t="s">
        <v>192</v>
      </c>
      <c r="D320" s="3">
        <v>5476</v>
      </c>
      <c r="E320" s="4">
        <v>8.7116000000000007</v>
      </c>
      <c r="F320" s="4">
        <v>1762.58</v>
      </c>
      <c r="G320" s="4">
        <v>1695.9223999999999</v>
      </c>
      <c r="H320" s="4">
        <v>77.087400000000002</v>
      </c>
      <c r="I320" s="3">
        <v>19468</v>
      </c>
      <c r="J320" s="3">
        <v>22</v>
      </c>
    </row>
    <row r="321" spans="1:10" x14ac:dyDescent="0.2">
      <c r="A321" s="5">
        <v>45444</v>
      </c>
      <c r="B321" s="2" t="s">
        <v>73</v>
      </c>
      <c r="C321" s="2" t="s">
        <v>192</v>
      </c>
      <c r="D321" s="3">
        <v>5617</v>
      </c>
      <c r="E321" s="4">
        <v>10.8027</v>
      </c>
      <c r="F321" s="4">
        <v>2014.61</v>
      </c>
      <c r="G321" s="4">
        <v>2270.0156999999999</v>
      </c>
      <c r="H321" s="4">
        <v>119.47450000000001</v>
      </c>
      <c r="I321" s="3">
        <v>21014</v>
      </c>
      <c r="J321" s="3">
        <v>19</v>
      </c>
    </row>
    <row r="322" spans="1:10" x14ac:dyDescent="0.2">
      <c r="A322" s="5">
        <v>45474</v>
      </c>
      <c r="B322" s="2" t="s">
        <v>73</v>
      </c>
      <c r="C322" s="2" t="s">
        <v>193</v>
      </c>
      <c r="D322" s="3">
        <v>5703</v>
      </c>
      <c r="E322" s="4">
        <v>12.103</v>
      </c>
      <c r="F322" s="4">
        <v>2425.37</v>
      </c>
      <c r="G322" s="4">
        <v>2351.4812000000002</v>
      </c>
      <c r="H322" s="4">
        <v>106.88549999999999</v>
      </c>
      <c r="I322" s="3">
        <v>19429</v>
      </c>
      <c r="J322" s="3">
        <v>22</v>
      </c>
    </row>
    <row r="323" spans="1:10" x14ac:dyDescent="0.2">
      <c r="A323" s="5">
        <v>45505</v>
      </c>
      <c r="B323" s="2" t="s">
        <v>73</v>
      </c>
      <c r="C323" s="2" t="s">
        <v>193</v>
      </c>
      <c r="D323" s="3">
        <v>5789</v>
      </c>
      <c r="E323" s="4">
        <v>10.432</v>
      </c>
      <c r="F323" s="4">
        <v>1854.15</v>
      </c>
      <c r="G323" s="4">
        <v>2093.4801000000002</v>
      </c>
      <c r="H323" s="4">
        <v>99.689499999999995</v>
      </c>
      <c r="I323" s="3">
        <v>20068</v>
      </c>
      <c r="J323" s="3">
        <v>21</v>
      </c>
    </row>
    <row r="324" spans="1:10" x14ac:dyDescent="0.2">
      <c r="A324" s="5">
        <v>45536</v>
      </c>
      <c r="B324" s="2" t="s">
        <v>73</v>
      </c>
      <c r="C324" s="2" t="s">
        <v>193</v>
      </c>
      <c r="D324" s="3">
        <v>5869</v>
      </c>
      <c r="E324" s="4">
        <v>9.4021000000000008</v>
      </c>
      <c r="F324" s="4">
        <v>1753.63</v>
      </c>
      <c r="G324" s="4">
        <v>1806.8175000000001</v>
      </c>
      <c r="H324" s="4">
        <v>86.038899999999998</v>
      </c>
      <c r="I324" s="3">
        <v>19218</v>
      </c>
      <c r="J324" s="3">
        <v>21</v>
      </c>
    </row>
    <row r="325" spans="1:10" x14ac:dyDescent="0.2">
      <c r="A325" s="5">
        <v>45566</v>
      </c>
      <c r="B325" s="2" t="s">
        <v>73</v>
      </c>
      <c r="C325" s="2" t="s">
        <v>194</v>
      </c>
      <c r="D325" s="3">
        <v>5830</v>
      </c>
      <c r="E325" s="4">
        <v>8.6465999999999994</v>
      </c>
      <c r="F325" s="4">
        <v>1670.97</v>
      </c>
      <c r="G325" s="4">
        <v>1614.6292000000001</v>
      </c>
      <c r="H325" s="4">
        <v>73.392200000000003</v>
      </c>
      <c r="I325" s="3">
        <v>18674</v>
      </c>
      <c r="J325" s="3">
        <v>22</v>
      </c>
    </row>
    <row r="326" spans="1:10" x14ac:dyDescent="0.2">
      <c r="A326" s="5">
        <v>45597</v>
      </c>
      <c r="B326" s="2" t="s">
        <v>73</v>
      </c>
      <c r="C326" s="2" t="s">
        <v>194</v>
      </c>
      <c r="D326" s="3">
        <v>5822</v>
      </c>
      <c r="E326" s="4">
        <v>7.0304000000000002</v>
      </c>
      <c r="F326" s="4">
        <v>1263.29</v>
      </c>
      <c r="G326" s="4">
        <v>1202.6495</v>
      </c>
      <c r="H326" s="4">
        <v>63.2973</v>
      </c>
      <c r="I326" s="3">
        <v>17107</v>
      </c>
      <c r="J326" s="3">
        <v>19</v>
      </c>
    </row>
    <row r="327" spans="1:10" x14ac:dyDescent="0.2">
      <c r="A327" s="5">
        <v>45627</v>
      </c>
      <c r="B327" s="2" t="s">
        <v>73</v>
      </c>
      <c r="C327" s="2" t="s">
        <v>194</v>
      </c>
      <c r="D327" s="3">
        <v>5938</v>
      </c>
      <c r="E327" s="4">
        <v>7.6262999999999996</v>
      </c>
      <c r="F327" s="4">
        <v>1619.85</v>
      </c>
      <c r="G327" s="4">
        <v>1398.7766999999999</v>
      </c>
      <c r="H327" s="4">
        <v>66.608400000000003</v>
      </c>
      <c r="I327" s="3">
        <v>18342</v>
      </c>
      <c r="J327" s="3">
        <v>21</v>
      </c>
    </row>
    <row r="328" spans="1:10" x14ac:dyDescent="0.2">
      <c r="A328" s="5">
        <v>45658</v>
      </c>
      <c r="B328" s="2" t="s">
        <v>73</v>
      </c>
      <c r="C328" s="2" t="s">
        <v>195</v>
      </c>
      <c r="D328" s="3">
        <v>5950</v>
      </c>
      <c r="E328" s="4">
        <v>7.9657</v>
      </c>
      <c r="F328" s="4">
        <v>1406.33</v>
      </c>
      <c r="G328" s="4">
        <v>1312.3774000000001</v>
      </c>
      <c r="H328" s="4">
        <v>57.059899999999999</v>
      </c>
      <c r="I328" s="3">
        <v>16476</v>
      </c>
      <c r="J328" s="3">
        <v>23</v>
      </c>
    </row>
    <row r="329" spans="1:10" x14ac:dyDescent="0.2">
      <c r="A329" s="5">
        <v>45689</v>
      </c>
      <c r="B329" s="2" t="s">
        <v>73</v>
      </c>
      <c r="C329" s="2" t="s">
        <v>195</v>
      </c>
      <c r="D329" s="3">
        <v>5860</v>
      </c>
      <c r="E329" s="4">
        <v>6.6863000000000001</v>
      </c>
      <c r="F329" s="4">
        <v>1023.6</v>
      </c>
      <c r="G329" s="4">
        <v>994.87159999999994</v>
      </c>
      <c r="H329" s="4">
        <v>49.743600000000001</v>
      </c>
      <c r="I329" s="3">
        <v>14880</v>
      </c>
      <c r="J329" s="3">
        <v>20</v>
      </c>
    </row>
    <row r="330" spans="1:10" x14ac:dyDescent="0.2">
      <c r="A330" s="5">
        <v>45717</v>
      </c>
      <c r="B330" s="2" t="s">
        <v>73</v>
      </c>
      <c r="C330" s="2" t="s">
        <v>195</v>
      </c>
      <c r="D330" s="3">
        <v>5919</v>
      </c>
      <c r="E330" s="4">
        <v>6.2377000000000002</v>
      </c>
      <c r="F330" s="4">
        <v>1273.82</v>
      </c>
      <c r="G330" s="4">
        <v>1070.3728000000001</v>
      </c>
      <c r="H330" s="4">
        <v>56.3354</v>
      </c>
      <c r="I330" s="3">
        <v>17160</v>
      </c>
      <c r="J330" s="3">
        <v>19</v>
      </c>
    </row>
    <row r="331" spans="1:10" x14ac:dyDescent="0.2">
      <c r="A331" s="5">
        <v>45748</v>
      </c>
      <c r="B331" s="2" t="s">
        <v>74</v>
      </c>
      <c r="C331" s="2" t="s">
        <v>196</v>
      </c>
      <c r="D331" s="3">
        <v>5903</v>
      </c>
      <c r="E331" s="4">
        <v>6.2276999999999996</v>
      </c>
      <c r="F331" s="4">
        <v>1161.8</v>
      </c>
      <c r="G331" s="4">
        <v>1129.1048000000001</v>
      </c>
      <c r="H331" s="4">
        <v>59.426600000000001</v>
      </c>
      <c r="I331" s="3">
        <v>18131</v>
      </c>
      <c r="J331" s="3">
        <v>19</v>
      </c>
    </row>
    <row r="332" spans="1:10" x14ac:dyDescent="0.2">
      <c r="A332" s="5">
        <v>45778</v>
      </c>
      <c r="B332" s="2" t="s">
        <v>74</v>
      </c>
      <c r="C332" s="2" t="s">
        <v>196</v>
      </c>
      <c r="D332" s="3">
        <v>5980</v>
      </c>
      <c r="E332" s="4">
        <v>7.2777000000000003</v>
      </c>
      <c r="F332" s="4">
        <v>1608.69</v>
      </c>
      <c r="G332" s="4">
        <v>1582.575</v>
      </c>
      <c r="H332" s="4">
        <v>75.360699999999994</v>
      </c>
      <c r="I332" s="3">
        <v>21746</v>
      </c>
      <c r="J332" s="3">
        <v>21</v>
      </c>
    </row>
    <row r="333" spans="1:10" x14ac:dyDescent="0.2">
      <c r="A333" s="5">
        <v>45809</v>
      </c>
      <c r="B333" s="2" t="s">
        <v>74</v>
      </c>
      <c r="C333" s="2" t="s">
        <v>196</v>
      </c>
      <c r="D333" s="3">
        <v>6042</v>
      </c>
      <c r="E333" s="4">
        <v>7.2458999999999998</v>
      </c>
      <c r="F333" s="4">
        <v>1875.61</v>
      </c>
      <c r="G333" s="4">
        <v>1668.2102</v>
      </c>
      <c r="H333" s="4">
        <v>79.438599999999994</v>
      </c>
      <c r="I333" s="3">
        <v>23023</v>
      </c>
      <c r="J333" s="3">
        <v>21</v>
      </c>
    </row>
    <row r="334" spans="1:10" x14ac:dyDescent="0.2">
      <c r="A334" s="5">
        <v>45839</v>
      </c>
      <c r="B334" s="2" t="s">
        <v>74</v>
      </c>
      <c r="C334" s="2" t="s">
        <v>197</v>
      </c>
      <c r="D334" s="3">
        <v>6172</v>
      </c>
      <c r="E334" s="4">
        <v>7.6219999999999999</v>
      </c>
      <c r="F334" s="4">
        <v>1845.23</v>
      </c>
      <c r="G334" s="4">
        <v>1653.5352</v>
      </c>
      <c r="H334" s="4">
        <v>71.892799999999994</v>
      </c>
      <c r="I334" s="3">
        <v>21695</v>
      </c>
      <c r="J334" s="3">
        <v>23</v>
      </c>
    </row>
    <row r="335" spans="1:10" x14ac:dyDescent="0.2">
      <c r="A335" s="5">
        <v>45870</v>
      </c>
      <c r="B335" s="2" t="s">
        <v>74</v>
      </c>
      <c r="C335" s="2" t="s">
        <v>197</v>
      </c>
      <c r="D335" s="3">
        <v>6191</v>
      </c>
      <c r="E335" s="4">
        <v>6.8051000000000004</v>
      </c>
      <c r="F335" s="4">
        <v>1698.21</v>
      </c>
      <c r="G335" s="4">
        <v>1742.6605</v>
      </c>
      <c r="H335" s="4">
        <v>91.718999999999994</v>
      </c>
      <c r="I335" s="3">
        <v>25609</v>
      </c>
      <c r="J335" s="3">
        <v>19</v>
      </c>
    </row>
    <row r="336" spans="1:10" x14ac:dyDescent="0.2">
      <c r="A336" s="5">
        <v>45901</v>
      </c>
      <c r="B336" s="2" t="s">
        <v>74</v>
      </c>
      <c r="C336" s="2" t="s">
        <v>197</v>
      </c>
      <c r="D336" s="3">
        <v>6277</v>
      </c>
      <c r="E336" s="4">
        <v>8.4122000000000003</v>
      </c>
      <c r="F336" s="4">
        <v>2567.3200000000002</v>
      </c>
      <c r="G336" s="4">
        <v>1703.5266999999999</v>
      </c>
      <c r="H336" s="4">
        <v>77.433000000000007</v>
      </c>
      <c r="I336" s="3">
        <v>20251</v>
      </c>
      <c r="J336" s="3">
        <v>22</v>
      </c>
    </row>
    <row r="337" spans="1:10" x14ac:dyDescent="0.2">
      <c r="A337" s="5">
        <v>45931</v>
      </c>
      <c r="B337" s="2" t="s">
        <v>74</v>
      </c>
      <c r="C337" s="2" t="s">
        <v>198</v>
      </c>
      <c r="D337" s="3">
        <v>6308</v>
      </c>
      <c r="E337" s="4">
        <v>7.3433000000000002</v>
      </c>
      <c r="F337" s="4">
        <v>2022.29</v>
      </c>
      <c r="G337" s="4">
        <v>1609.1026999999999</v>
      </c>
      <c r="H337" s="4">
        <v>76.623900000000006</v>
      </c>
      <c r="I337" s="3">
        <v>21913</v>
      </c>
      <c r="J337" s="3">
        <v>21</v>
      </c>
    </row>
    <row r="338" spans="1:10" x14ac:dyDescent="0.2">
      <c r="A338" s="5">
        <v>45962</v>
      </c>
      <c r="B338" s="2" t="s">
        <v>74</v>
      </c>
      <c r="C338" s="2" t="s">
        <v>198</v>
      </c>
      <c r="D338" s="3">
        <v>6279</v>
      </c>
      <c r="E338" s="4">
        <v>6.3098999999999998</v>
      </c>
      <c r="F338" s="4">
        <v>1614.93</v>
      </c>
      <c r="G338" s="4">
        <v>1576.2266999999999</v>
      </c>
      <c r="H338" s="4">
        <v>82.959299999999999</v>
      </c>
      <c r="I338" s="3">
        <v>24981</v>
      </c>
      <c r="J338" s="3">
        <v>19</v>
      </c>
    </row>
    <row r="339" spans="1:10" x14ac:dyDescent="0.2">
      <c r="A339" s="5">
        <v>45992</v>
      </c>
      <c r="B339" s="2" t="s">
        <v>74</v>
      </c>
      <c r="C339" s="2" t="s">
        <v>198</v>
      </c>
      <c r="D339" s="3">
        <v>6433</v>
      </c>
      <c r="E339" s="4">
        <v>6.6919000000000004</v>
      </c>
      <c r="F339" s="4">
        <v>1931.65</v>
      </c>
      <c r="G339" s="4">
        <v>1554.2719999999999</v>
      </c>
      <c r="H339" s="4">
        <v>70.648700000000005</v>
      </c>
      <c r="I339" s="3">
        <v>23227</v>
      </c>
      <c r="J339" s="3">
        <v>22</v>
      </c>
    </row>
    <row r="340" spans="1:10" x14ac:dyDescent="0.2">
      <c r="A340" s="5">
        <v>46023</v>
      </c>
      <c r="B340" s="2" t="s">
        <v>74</v>
      </c>
      <c r="C340" s="2" t="s">
        <v>199</v>
      </c>
      <c r="D340" s="3">
        <v>6436</v>
      </c>
      <c r="E340" s="4">
        <v>7.4901</v>
      </c>
      <c r="F340" s="4">
        <v>1833.73</v>
      </c>
      <c r="G340" s="4">
        <v>1810.5842</v>
      </c>
      <c r="H340" s="4">
        <v>90.529200000000003</v>
      </c>
      <c r="I340" s="3">
        <v>24173</v>
      </c>
      <c r="J340" s="3">
        <v>20</v>
      </c>
    </row>
    <row r="341" spans="1:10" x14ac:dyDescent="0.2">
      <c r="A341" s="5">
        <v>46054</v>
      </c>
      <c r="B341" s="2" t="s">
        <v>74</v>
      </c>
      <c r="C341" s="2" t="s">
        <v>199</v>
      </c>
      <c r="D341" s="3">
        <v>6407</v>
      </c>
      <c r="E341" s="4">
        <v>7.0803000000000003</v>
      </c>
      <c r="F341" s="4">
        <v>1779.65</v>
      </c>
      <c r="G341" s="4">
        <v>1825.3368</v>
      </c>
      <c r="H341" s="4">
        <v>86.9208</v>
      </c>
      <c r="I341" s="3">
        <v>25781</v>
      </c>
      <c r="J341" s="3">
        <v>21</v>
      </c>
    </row>
    <row r="342" spans="1:10" x14ac:dyDescent="0.2">
      <c r="A342" s="5">
        <v>46082</v>
      </c>
      <c r="B342" s="2" t="s">
        <v>74</v>
      </c>
      <c r="C342" s="2" t="s">
        <v>199</v>
      </c>
      <c r="D342" s="3">
        <v>6520</v>
      </c>
      <c r="E342" s="4">
        <v>7.5358999999999998</v>
      </c>
      <c r="F342" s="4">
        <v>1743.8</v>
      </c>
      <c r="G342" s="4">
        <v>1781.3377</v>
      </c>
      <c r="H342" s="4">
        <v>93.754599999999996</v>
      </c>
      <c r="I342" s="3">
        <v>23639</v>
      </c>
      <c r="J342" s="3">
        <v>19</v>
      </c>
    </row>
    <row r="343" spans="1:10" x14ac:dyDescent="0.2">
      <c r="A343" s="5">
        <v>46113</v>
      </c>
      <c r="B343" s="2" t="s">
        <v>75</v>
      </c>
      <c r="C343" s="2" t="s">
        <v>200</v>
      </c>
      <c r="D343" s="3">
        <v>6509</v>
      </c>
      <c r="E343" s="4">
        <v>7.7317999999999998</v>
      </c>
      <c r="F343" s="4">
        <v>1810.51</v>
      </c>
      <c r="G343" s="4">
        <v>1864.6166000000001</v>
      </c>
      <c r="H343" s="4">
        <v>93.230800000000002</v>
      </c>
      <c r="I343" s="3">
        <v>24117</v>
      </c>
      <c r="J343" s="3">
        <v>20</v>
      </c>
    </row>
    <row r="344" spans="1:10" x14ac:dyDescent="0.2">
      <c r="A344" s="5">
        <v>46143</v>
      </c>
      <c r="B344" s="2" t="s">
        <v>75</v>
      </c>
      <c r="C344" s="2" t="s">
        <v>200</v>
      </c>
      <c r="D344" s="3">
        <v>6467</v>
      </c>
      <c r="E344" s="4">
        <v>7.7003000000000004</v>
      </c>
      <c r="F344" s="4">
        <v>1333.68</v>
      </c>
      <c r="G344" s="4">
        <v>2013.2657999999999</v>
      </c>
      <c r="H344" s="4">
        <v>105.9614</v>
      </c>
      <c r="I344" s="3">
        <v>26146</v>
      </c>
      <c r="J344" s="3">
        <v>19</v>
      </c>
    </row>
    <row r="345" spans="1:10" x14ac:dyDescent="0.2">
      <c r="A345" s="5">
        <v>46174</v>
      </c>
      <c r="B345" s="2" t="s">
        <v>75</v>
      </c>
      <c r="C345" s="2" t="s">
        <v>200</v>
      </c>
      <c r="D345" s="3">
        <v>6607</v>
      </c>
      <c r="E345" s="4">
        <v>7.9592999999999998</v>
      </c>
      <c r="F345" s="4">
        <v>1442.05</v>
      </c>
      <c r="G345" s="4">
        <v>2095.3022000000001</v>
      </c>
      <c r="H345" s="4">
        <v>99.776300000000006</v>
      </c>
      <c r="I345" s="3">
        <v>26326</v>
      </c>
      <c r="J345" s="3">
        <v>21</v>
      </c>
    </row>
    <row r="346" spans="1:10" x14ac:dyDescent="0.2">
      <c r="A346" s="5">
        <v>46204</v>
      </c>
      <c r="B346" s="2" t="s">
        <v>75</v>
      </c>
      <c r="C346" s="2" t="s">
        <v>201</v>
      </c>
      <c r="D346" s="3">
        <v>6613</v>
      </c>
      <c r="E346" s="4">
        <v>8.8295999999999992</v>
      </c>
      <c r="F346" s="4">
        <v>1389.81</v>
      </c>
      <c r="G346" s="4">
        <v>2270.1815999999999</v>
      </c>
      <c r="H346" s="4">
        <v>98.703500000000005</v>
      </c>
      <c r="I346" s="3">
        <v>25712</v>
      </c>
      <c r="J346" s="3">
        <v>23</v>
      </c>
    </row>
    <row r="347" spans="1:10" x14ac:dyDescent="0.2">
      <c r="A347" s="5">
        <v>46235</v>
      </c>
      <c r="B347" s="2" t="s">
        <v>75</v>
      </c>
      <c r="C347" s="2" t="s">
        <v>201</v>
      </c>
      <c r="D347" s="3">
        <v>6715</v>
      </c>
      <c r="E347" s="4">
        <v>7.8067000000000002</v>
      </c>
      <c r="F347" s="4">
        <v>1335.14</v>
      </c>
      <c r="G347" s="4">
        <v>2224.0349000000001</v>
      </c>
      <c r="H347" s="4">
        <v>105.9064</v>
      </c>
      <c r="I347" s="3">
        <v>28489</v>
      </c>
      <c r="J347" s="3">
        <v>21</v>
      </c>
    </row>
    <row r="348" spans="1:10" x14ac:dyDescent="0.2">
      <c r="A348" s="5">
        <v>46266</v>
      </c>
      <c r="B348" s="2" t="s">
        <v>75</v>
      </c>
      <c r="C348" s="2" t="s">
        <v>201</v>
      </c>
      <c r="D348" s="3">
        <v>5924</v>
      </c>
      <c r="E348" s="4">
        <v>2.0495999999999999</v>
      </c>
      <c r="F348" s="4">
        <v>442.3</v>
      </c>
      <c r="G348" s="4">
        <v>627.31719999999996</v>
      </c>
      <c r="H348" s="4">
        <v>125.46339999999999</v>
      </c>
      <c r="I348" s="3">
        <v>30607</v>
      </c>
      <c r="J348" s="3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9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20" customWidth="1"/>
    <col min="6" max="6" width="14" customWidth="1"/>
    <col min="7" max="7" width="18" customWidth="1"/>
    <col min="8" max="8" width="16" customWidth="1"/>
    <col min="9" max="13" width="15" customWidth="1"/>
  </cols>
  <sheetData>
    <row r="1" spans="1:13" x14ac:dyDescent="0.2">
      <c r="A1" s="1" t="s">
        <v>218</v>
      </c>
      <c r="B1" s="1" t="s">
        <v>219</v>
      </c>
      <c r="C1" s="1" t="s">
        <v>220</v>
      </c>
      <c r="D1" s="1" t="s">
        <v>82</v>
      </c>
      <c r="E1" s="1" t="s">
        <v>253</v>
      </c>
      <c r="F1" s="1" t="s">
        <v>236</v>
      </c>
      <c r="G1" s="1" t="s">
        <v>254</v>
      </c>
      <c r="H1" s="1" t="s">
        <v>238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</row>
    <row r="2" spans="1:13" x14ac:dyDescent="0.2">
      <c r="A2" s="6">
        <v>43922</v>
      </c>
      <c r="B2" s="2" t="s">
        <v>224</v>
      </c>
      <c r="C2" s="5">
        <v>43922</v>
      </c>
      <c r="D2" s="2" t="s">
        <v>176</v>
      </c>
      <c r="E2" s="3">
        <v>2556</v>
      </c>
      <c r="F2" s="8">
        <v>0.15459999999999999</v>
      </c>
      <c r="G2" s="4">
        <v>14.209300000000001</v>
      </c>
      <c r="H2" s="4">
        <v>18.849399999999999</v>
      </c>
      <c r="I2" s="4">
        <v>64.407499999999999</v>
      </c>
      <c r="J2" s="4">
        <v>64.407499999999999</v>
      </c>
      <c r="K2" s="4">
        <v>59.78</v>
      </c>
      <c r="L2" s="4">
        <v>60.052500000000002</v>
      </c>
      <c r="M2" s="7">
        <v>-6.7599999999999993E-2</v>
      </c>
    </row>
    <row r="3" spans="1:13" x14ac:dyDescent="0.2">
      <c r="A3" s="6">
        <v>43924</v>
      </c>
      <c r="B3" s="2" t="s">
        <v>225</v>
      </c>
      <c r="C3" s="5">
        <v>43922</v>
      </c>
      <c r="D3" s="2" t="s">
        <v>176</v>
      </c>
      <c r="E3" s="3">
        <v>2655</v>
      </c>
      <c r="F3" s="8">
        <v>0.17630000000000001</v>
      </c>
      <c r="G3" s="4">
        <v>15.109400000000001</v>
      </c>
      <c r="H3" s="4">
        <v>21.887599999999999</v>
      </c>
      <c r="I3" s="4">
        <v>60.052500000000002</v>
      </c>
      <c r="J3" s="4">
        <v>60.59</v>
      </c>
      <c r="K3" s="4">
        <v>54.9</v>
      </c>
      <c r="L3" s="4">
        <v>55.302500000000002</v>
      </c>
      <c r="M3" s="7">
        <v>-7.9100000000000004E-2</v>
      </c>
    </row>
    <row r="4" spans="1:13" x14ac:dyDescent="0.2">
      <c r="A4" s="6">
        <v>43928</v>
      </c>
      <c r="B4" s="2" t="s">
        <v>226</v>
      </c>
      <c r="C4" s="5">
        <v>43922</v>
      </c>
      <c r="D4" s="2" t="s">
        <v>176</v>
      </c>
      <c r="E4" s="3">
        <v>2831</v>
      </c>
      <c r="F4" s="8">
        <v>0.19889999999999999</v>
      </c>
      <c r="G4" s="4">
        <v>15.207100000000001</v>
      </c>
      <c r="H4" s="4">
        <v>23.503</v>
      </c>
      <c r="I4" s="4">
        <v>55.302500000000002</v>
      </c>
      <c r="J4" s="4">
        <v>55.302500000000002</v>
      </c>
      <c r="K4" s="4">
        <v>49.942500000000003</v>
      </c>
      <c r="L4" s="4">
        <v>51.8</v>
      </c>
      <c r="M4" s="7">
        <v>-6.3299999999999995E-2</v>
      </c>
    </row>
    <row r="5" spans="1:13" x14ac:dyDescent="0.2">
      <c r="A5" s="6">
        <v>43929</v>
      </c>
      <c r="B5" s="2" t="s">
        <v>224</v>
      </c>
      <c r="C5" s="5">
        <v>43922</v>
      </c>
      <c r="D5" s="2" t="s">
        <v>176</v>
      </c>
      <c r="E5" s="3">
        <v>2749</v>
      </c>
      <c r="F5" s="8">
        <v>0.26369999999999999</v>
      </c>
      <c r="G5" s="4">
        <v>16.852799999999998</v>
      </c>
      <c r="H5" s="4">
        <v>25.651399999999999</v>
      </c>
      <c r="I5" s="4">
        <v>51.8</v>
      </c>
      <c r="J5" s="4">
        <v>53.732500000000002</v>
      </c>
      <c r="K5" s="4">
        <v>46.975000000000001</v>
      </c>
      <c r="L5" s="4">
        <v>52.2425</v>
      </c>
      <c r="M5" s="7">
        <v>8.5000000000000006E-3</v>
      </c>
    </row>
    <row r="6" spans="1:13" x14ac:dyDescent="0.2">
      <c r="A6" s="6">
        <v>43930</v>
      </c>
      <c r="B6" s="2" t="s">
        <v>227</v>
      </c>
      <c r="C6" s="5">
        <v>43922</v>
      </c>
      <c r="D6" s="2" t="s">
        <v>176</v>
      </c>
      <c r="E6" s="3">
        <v>2821</v>
      </c>
      <c r="F6" s="8">
        <v>0.20269999999999999</v>
      </c>
      <c r="G6" s="4">
        <v>22.9422</v>
      </c>
      <c r="H6" s="4">
        <v>26.209299999999999</v>
      </c>
      <c r="I6" s="4">
        <v>52.2425</v>
      </c>
      <c r="J6" s="4">
        <v>52.2425</v>
      </c>
      <c r="K6" s="4">
        <v>46.902500000000003</v>
      </c>
      <c r="L6" s="4">
        <v>49.744999999999997</v>
      </c>
      <c r="M6" s="7">
        <v>-4.7800000000000002E-2</v>
      </c>
    </row>
    <row r="7" spans="1:13" x14ac:dyDescent="0.2">
      <c r="A7" s="6">
        <v>43934</v>
      </c>
      <c r="B7" s="2" t="s">
        <v>228</v>
      </c>
      <c r="C7" s="5">
        <v>43922</v>
      </c>
      <c r="D7" s="2" t="s">
        <v>176</v>
      </c>
      <c r="E7" s="3">
        <v>2839</v>
      </c>
      <c r="F7" s="8">
        <v>0.2044</v>
      </c>
      <c r="G7" s="4">
        <v>24.7883</v>
      </c>
      <c r="H7" s="4">
        <v>22.5763</v>
      </c>
      <c r="I7" s="4">
        <v>49.744999999999997</v>
      </c>
      <c r="J7" s="4">
        <v>52.4925</v>
      </c>
      <c r="K7" s="4">
        <v>43.634999999999998</v>
      </c>
      <c r="L7" s="4">
        <v>51.457500000000003</v>
      </c>
      <c r="M7" s="7">
        <v>3.44E-2</v>
      </c>
    </row>
    <row r="8" spans="1:13" x14ac:dyDescent="0.2">
      <c r="A8" s="6">
        <v>43936</v>
      </c>
      <c r="B8" s="2" t="s">
        <v>224</v>
      </c>
      <c r="C8" s="5">
        <v>43922</v>
      </c>
      <c r="D8" s="2" t="s">
        <v>176</v>
      </c>
      <c r="E8" s="3">
        <v>2850</v>
      </c>
      <c r="F8" s="8">
        <v>0.23150000000000001</v>
      </c>
      <c r="G8" s="4">
        <v>26.822099999999999</v>
      </c>
      <c r="H8" s="4">
        <v>40.716700000000003</v>
      </c>
      <c r="I8" s="4">
        <v>51.457500000000003</v>
      </c>
      <c r="J8" s="4">
        <v>51.457500000000003</v>
      </c>
      <c r="K8" s="4">
        <v>44.647500000000001</v>
      </c>
      <c r="L8" s="4">
        <v>49.734999999999999</v>
      </c>
      <c r="M8" s="7">
        <v>-3.3500000000000002E-2</v>
      </c>
    </row>
    <row r="9" spans="1:13" x14ac:dyDescent="0.2">
      <c r="A9" s="6">
        <v>43937</v>
      </c>
      <c r="B9" s="2" t="s">
        <v>227</v>
      </c>
      <c r="C9" s="5">
        <v>43922</v>
      </c>
      <c r="D9" s="2" t="s">
        <v>176</v>
      </c>
      <c r="E9" s="3">
        <v>2762</v>
      </c>
      <c r="F9" s="8">
        <v>0.19259999999999999</v>
      </c>
      <c r="G9" s="4">
        <v>18.846399999999999</v>
      </c>
      <c r="H9" s="4">
        <v>21.918700000000001</v>
      </c>
      <c r="I9" s="4">
        <v>49.734999999999999</v>
      </c>
      <c r="J9" s="4">
        <v>49.734999999999999</v>
      </c>
      <c r="K9" s="4">
        <v>42.255000000000003</v>
      </c>
      <c r="L9" s="4">
        <v>46.094999999999999</v>
      </c>
      <c r="M9" s="7">
        <v>-7.3200000000000001E-2</v>
      </c>
    </row>
    <row r="10" spans="1:13" x14ac:dyDescent="0.2">
      <c r="A10" s="6">
        <v>43938</v>
      </c>
      <c r="B10" s="2" t="s">
        <v>225</v>
      </c>
      <c r="C10" s="5">
        <v>43922</v>
      </c>
      <c r="D10" s="2" t="s">
        <v>176</v>
      </c>
      <c r="E10" s="3">
        <v>2847</v>
      </c>
      <c r="F10" s="8">
        <v>0.22459999999999999</v>
      </c>
      <c r="G10" s="4">
        <v>24.1907</v>
      </c>
      <c r="H10" s="4">
        <v>28.122900000000001</v>
      </c>
      <c r="I10" s="4">
        <v>46.094999999999999</v>
      </c>
      <c r="J10" s="4">
        <v>46.094999999999999</v>
      </c>
      <c r="K10" s="4">
        <v>40.305</v>
      </c>
      <c r="L10" s="4">
        <v>42.592500000000001</v>
      </c>
      <c r="M10" s="7">
        <v>-7.5999999999999998E-2</v>
      </c>
    </row>
    <row r="11" spans="1:13" x14ac:dyDescent="0.2">
      <c r="A11" s="6">
        <v>43941</v>
      </c>
      <c r="B11" s="2" t="s">
        <v>228</v>
      </c>
      <c r="C11" s="5">
        <v>43922</v>
      </c>
      <c r="D11" s="2" t="s">
        <v>176</v>
      </c>
      <c r="E11" s="3">
        <v>2926</v>
      </c>
      <c r="F11" s="8">
        <v>0.21</v>
      </c>
      <c r="G11" s="4">
        <v>24.401700000000002</v>
      </c>
      <c r="H11" s="4">
        <v>23.394100000000002</v>
      </c>
      <c r="I11" s="4">
        <v>42.592500000000001</v>
      </c>
      <c r="J11" s="4">
        <v>44.037500000000001</v>
      </c>
      <c r="K11" s="4">
        <v>40.295000000000002</v>
      </c>
      <c r="L11" s="4">
        <v>43.454999999999998</v>
      </c>
      <c r="M11" s="7">
        <v>2.0299999999999999E-2</v>
      </c>
    </row>
    <row r="12" spans="1:13" x14ac:dyDescent="0.2">
      <c r="A12" s="6">
        <v>43942</v>
      </c>
      <c r="B12" s="2" t="s">
        <v>226</v>
      </c>
      <c r="C12" s="5">
        <v>43922</v>
      </c>
      <c r="D12" s="2" t="s">
        <v>176</v>
      </c>
      <c r="E12" s="3">
        <v>2779</v>
      </c>
      <c r="F12" s="8">
        <v>0.1915</v>
      </c>
      <c r="G12" s="4">
        <v>26.8339</v>
      </c>
      <c r="H12" s="4">
        <v>21.926200000000001</v>
      </c>
      <c r="I12" s="4">
        <v>43.454999999999998</v>
      </c>
      <c r="J12" s="4">
        <v>45.962499999999999</v>
      </c>
      <c r="K12" s="4">
        <v>36.215000000000003</v>
      </c>
      <c r="L12" s="4">
        <v>45.197499999999998</v>
      </c>
      <c r="M12" s="7">
        <v>4.0099999999999997E-2</v>
      </c>
    </row>
    <row r="13" spans="1:13" x14ac:dyDescent="0.2">
      <c r="A13" s="6">
        <v>43943</v>
      </c>
      <c r="B13" s="2" t="s">
        <v>224</v>
      </c>
      <c r="C13" s="5">
        <v>43922</v>
      </c>
      <c r="D13" s="2" t="s">
        <v>176</v>
      </c>
      <c r="E13" s="3">
        <v>2780</v>
      </c>
      <c r="F13" s="8">
        <v>0.1802</v>
      </c>
      <c r="G13" s="4">
        <v>22.712399999999999</v>
      </c>
      <c r="H13" s="4">
        <v>26.9285</v>
      </c>
      <c r="I13" s="4">
        <v>45.197499999999998</v>
      </c>
      <c r="J13" s="4">
        <v>45.424999999999997</v>
      </c>
      <c r="K13" s="4">
        <v>40.465000000000003</v>
      </c>
      <c r="L13" s="4">
        <v>42.822499999999998</v>
      </c>
      <c r="M13" s="7">
        <v>-5.2499999999999998E-2</v>
      </c>
    </row>
    <row r="14" spans="1:13" x14ac:dyDescent="0.2">
      <c r="A14" s="6">
        <v>43944</v>
      </c>
      <c r="B14" s="2" t="s">
        <v>227</v>
      </c>
      <c r="C14" s="5">
        <v>43922</v>
      </c>
      <c r="D14" s="2" t="s">
        <v>176</v>
      </c>
      <c r="E14" s="3">
        <v>2817</v>
      </c>
      <c r="F14" s="8">
        <v>0.16819999999999999</v>
      </c>
      <c r="G14" s="4">
        <v>24.188800000000001</v>
      </c>
      <c r="H14" s="4">
        <v>26.812200000000001</v>
      </c>
      <c r="I14" s="4">
        <v>42.822499999999998</v>
      </c>
      <c r="J14" s="4">
        <v>42.822499999999998</v>
      </c>
      <c r="K14" s="4">
        <v>36.997500000000002</v>
      </c>
      <c r="L14" s="4">
        <v>39.229999999999997</v>
      </c>
      <c r="M14" s="7">
        <v>-8.3900000000000002E-2</v>
      </c>
    </row>
    <row r="15" spans="1:13" x14ac:dyDescent="0.2">
      <c r="A15" s="6">
        <v>43945</v>
      </c>
      <c r="B15" s="2" t="s">
        <v>225</v>
      </c>
      <c r="C15" s="5">
        <v>43922</v>
      </c>
      <c r="D15" s="2" t="s">
        <v>176</v>
      </c>
      <c r="E15" s="3">
        <v>2785</v>
      </c>
      <c r="F15" s="8">
        <v>0.1875</v>
      </c>
      <c r="G15" s="4">
        <v>19.9239</v>
      </c>
      <c r="H15" s="4">
        <v>24.931799999999999</v>
      </c>
      <c r="I15" s="4">
        <v>39.229999999999997</v>
      </c>
      <c r="J15" s="4">
        <v>39.947499999999998</v>
      </c>
      <c r="K15" s="4">
        <v>34.982500000000002</v>
      </c>
      <c r="L15" s="4">
        <v>39.1175</v>
      </c>
      <c r="M15" s="7">
        <v>-2.8999999999999998E-3</v>
      </c>
    </row>
    <row r="16" spans="1:13" x14ac:dyDescent="0.2">
      <c r="A16" s="6">
        <v>43948</v>
      </c>
      <c r="B16" s="2" t="s">
        <v>228</v>
      </c>
      <c r="C16" s="5">
        <v>43922</v>
      </c>
      <c r="D16" s="2" t="s">
        <v>176</v>
      </c>
      <c r="E16" s="3">
        <v>2877</v>
      </c>
      <c r="F16" s="8">
        <v>0.1613</v>
      </c>
      <c r="G16" s="4">
        <v>20.255299999999998</v>
      </c>
      <c r="H16" s="4">
        <v>20.148</v>
      </c>
      <c r="I16" s="4">
        <v>39.1175</v>
      </c>
      <c r="J16" s="4">
        <v>40.167499999999997</v>
      </c>
      <c r="K16" s="4">
        <v>35.212499999999999</v>
      </c>
      <c r="L16" s="4">
        <v>38.042499999999997</v>
      </c>
      <c r="M16" s="7">
        <v>-2.75E-2</v>
      </c>
    </row>
    <row r="17" spans="1:13" x14ac:dyDescent="0.2">
      <c r="A17" s="6">
        <v>43949</v>
      </c>
      <c r="B17" s="2" t="s">
        <v>226</v>
      </c>
      <c r="C17" s="5">
        <v>43922</v>
      </c>
      <c r="D17" s="2" t="s">
        <v>176</v>
      </c>
      <c r="E17" s="3">
        <v>2803</v>
      </c>
      <c r="F17" s="8">
        <v>0.1615</v>
      </c>
      <c r="G17" s="4">
        <v>19.0808</v>
      </c>
      <c r="H17" s="4">
        <v>22.493300000000001</v>
      </c>
      <c r="I17" s="4">
        <v>38.042499999999997</v>
      </c>
      <c r="J17" s="4">
        <v>41.912500000000001</v>
      </c>
      <c r="K17" s="4">
        <v>35.067500000000003</v>
      </c>
      <c r="L17" s="4">
        <v>35.354999999999997</v>
      </c>
      <c r="M17" s="7">
        <v>-7.0599999999999996E-2</v>
      </c>
    </row>
    <row r="18" spans="1:13" x14ac:dyDescent="0.2">
      <c r="A18" s="6">
        <v>43950</v>
      </c>
      <c r="B18" s="2" t="s">
        <v>224</v>
      </c>
      <c r="C18" s="5">
        <v>43922</v>
      </c>
      <c r="D18" s="2" t="s">
        <v>176</v>
      </c>
      <c r="E18" s="3">
        <v>2773</v>
      </c>
      <c r="F18" s="8">
        <v>0.17929999999999999</v>
      </c>
      <c r="G18" s="4">
        <v>20.9621</v>
      </c>
      <c r="H18" s="4">
        <v>22.075500000000002</v>
      </c>
      <c r="I18" s="4">
        <v>35.354999999999997</v>
      </c>
      <c r="J18" s="4">
        <v>35.354999999999997</v>
      </c>
      <c r="K18" s="4">
        <v>31.482500000000002</v>
      </c>
      <c r="L18" s="4">
        <v>33.837499999999999</v>
      </c>
      <c r="M18" s="7">
        <v>-4.2900000000000001E-2</v>
      </c>
    </row>
    <row r="19" spans="1:13" x14ac:dyDescent="0.2">
      <c r="A19" s="6">
        <v>43951</v>
      </c>
      <c r="B19" s="2" t="s">
        <v>227</v>
      </c>
      <c r="C19" s="5">
        <v>43922</v>
      </c>
      <c r="D19" s="2" t="s">
        <v>176</v>
      </c>
      <c r="E19" s="3">
        <v>2841</v>
      </c>
      <c r="F19" s="8">
        <v>0.2026</v>
      </c>
      <c r="G19" s="4">
        <v>31.5334</v>
      </c>
      <c r="H19" s="4">
        <v>26.618500000000001</v>
      </c>
      <c r="I19" s="4">
        <v>33.837499999999999</v>
      </c>
      <c r="J19" s="4">
        <v>34.252499999999998</v>
      </c>
      <c r="K19" s="4">
        <v>32.534999999999997</v>
      </c>
      <c r="L19" s="4">
        <v>33.987499999999997</v>
      </c>
      <c r="M19" s="7">
        <v>4.4000000000000003E-3</v>
      </c>
    </row>
    <row r="20" spans="1:13" x14ac:dyDescent="0.2">
      <c r="A20" s="6">
        <v>43955</v>
      </c>
      <c r="B20" s="2" t="s">
        <v>228</v>
      </c>
      <c r="C20" s="5">
        <v>43952</v>
      </c>
      <c r="D20" s="2" t="s">
        <v>176</v>
      </c>
      <c r="E20" s="3">
        <v>2848</v>
      </c>
      <c r="F20" s="8">
        <v>0.19309999999999999</v>
      </c>
      <c r="G20" s="4">
        <v>23.608000000000001</v>
      </c>
      <c r="H20" s="4">
        <v>23.418299999999999</v>
      </c>
      <c r="I20" s="4">
        <v>33.987499999999997</v>
      </c>
      <c r="J20" s="4">
        <v>43.92</v>
      </c>
      <c r="K20" s="4">
        <v>33.987499999999997</v>
      </c>
      <c r="L20" s="4">
        <v>43.67</v>
      </c>
      <c r="M20" s="7">
        <v>0.28489999999999999</v>
      </c>
    </row>
    <row r="21" spans="1:13" x14ac:dyDescent="0.2">
      <c r="A21" s="6">
        <v>43956</v>
      </c>
      <c r="B21" s="2" t="s">
        <v>226</v>
      </c>
      <c r="C21" s="5">
        <v>43952</v>
      </c>
      <c r="D21" s="2" t="s">
        <v>176</v>
      </c>
      <c r="E21" s="3">
        <v>2829</v>
      </c>
      <c r="F21" s="8">
        <v>0.16170000000000001</v>
      </c>
      <c r="G21" s="4">
        <v>20.245200000000001</v>
      </c>
      <c r="H21" s="4">
        <v>21.508700000000001</v>
      </c>
      <c r="I21" s="4">
        <v>43.67</v>
      </c>
      <c r="J21" s="4">
        <v>43.865000000000002</v>
      </c>
      <c r="K21" s="4">
        <v>38.147500000000001</v>
      </c>
      <c r="L21" s="4">
        <v>43.607500000000002</v>
      </c>
      <c r="M21" s="7">
        <v>-1.4E-3</v>
      </c>
    </row>
    <row r="22" spans="1:13" x14ac:dyDescent="0.2">
      <c r="A22" s="6">
        <v>43957</v>
      </c>
      <c r="B22" s="2" t="s">
        <v>224</v>
      </c>
      <c r="C22" s="5">
        <v>43952</v>
      </c>
      <c r="D22" s="2" t="s">
        <v>176</v>
      </c>
      <c r="E22" s="3">
        <v>2708</v>
      </c>
      <c r="F22" s="8">
        <v>0.17860000000000001</v>
      </c>
      <c r="G22" s="4">
        <v>22.743200000000002</v>
      </c>
      <c r="H22" s="4">
        <v>20.5749</v>
      </c>
      <c r="I22" s="4">
        <v>43.607500000000002</v>
      </c>
      <c r="J22" s="4">
        <v>43.63</v>
      </c>
      <c r="K22" s="4">
        <v>40.197499999999998</v>
      </c>
      <c r="L22" s="4">
        <v>41.247500000000002</v>
      </c>
      <c r="M22" s="7">
        <v>-5.4100000000000002E-2</v>
      </c>
    </row>
    <row r="23" spans="1:13" x14ac:dyDescent="0.2">
      <c r="A23" s="6">
        <v>43958</v>
      </c>
      <c r="B23" s="2" t="s">
        <v>227</v>
      </c>
      <c r="C23" s="5">
        <v>43952</v>
      </c>
      <c r="D23" s="2" t="s">
        <v>176</v>
      </c>
      <c r="E23" s="3">
        <v>2698</v>
      </c>
      <c r="F23" s="8">
        <v>0.1767</v>
      </c>
      <c r="G23" s="4">
        <v>18.558299999999999</v>
      </c>
      <c r="H23" s="4">
        <v>31.457799999999999</v>
      </c>
      <c r="I23" s="4">
        <v>41.247500000000002</v>
      </c>
      <c r="J23" s="4">
        <v>41.715000000000003</v>
      </c>
      <c r="K23" s="4">
        <v>39.657499999999999</v>
      </c>
      <c r="L23" s="4">
        <v>39.93</v>
      </c>
      <c r="M23" s="7">
        <v>-3.1899999999999998E-2</v>
      </c>
    </row>
    <row r="24" spans="1:13" x14ac:dyDescent="0.2">
      <c r="A24" s="6">
        <v>43959</v>
      </c>
      <c r="B24" s="2" t="s">
        <v>225</v>
      </c>
      <c r="C24" s="5">
        <v>43952</v>
      </c>
      <c r="D24" s="2" t="s">
        <v>176</v>
      </c>
      <c r="E24" s="3">
        <v>2739</v>
      </c>
      <c r="F24" s="8">
        <v>0.17430000000000001</v>
      </c>
      <c r="G24" s="4">
        <v>19.654399999999999</v>
      </c>
      <c r="H24" s="4">
        <v>29.170200000000001</v>
      </c>
      <c r="I24" s="4">
        <v>39.93</v>
      </c>
      <c r="J24" s="4">
        <v>39.93</v>
      </c>
      <c r="K24" s="4">
        <v>36.547499999999999</v>
      </c>
      <c r="L24" s="4">
        <v>38.407499999999999</v>
      </c>
      <c r="M24" s="7">
        <v>-3.8100000000000002E-2</v>
      </c>
    </row>
    <row r="25" spans="1:13" x14ac:dyDescent="0.2">
      <c r="A25" s="6">
        <v>43962</v>
      </c>
      <c r="B25" s="2" t="s">
        <v>228</v>
      </c>
      <c r="C25" s="5">
        <v>43952</v>
      </c>
      <c r="D25" s="2" t="s">
        <v>176</v>
      </c>
      <c r="E25" s="3">
        <v>2859</v>
      </c>
      <c r="F25" s="8">
        <v>0.14929999999999999</v>
      </c>
      <c r="G25" s="4">
        <v>25.218499999999999</v>
      </c>
      <c r="H25" s="4">
        <v>25.211300000000001</v>
      </c>
      <c r="I25" s="4">
        <v>38.407499999999999</v>
      </c>
      <c r="J25" s="4">
        <v>38.494999999999997</v>
      </c>
      <c r="K25" s="4">
        <v>36.947499999999998</v>
      </c>
      <c r="L25" s="4">
        <v>38.037500000000001</v>
      </c>
      <c r="M25" s="7">
        <v>-9.5999999999999992E-3</v>
      </c>
    </row>
    <row r="26" spans="1:13" x14ac:dyDescent="0.2">
      <c r="A26" s="6">
        <v>43963</v>
      </c>
      <c r="B26" s="2" t="s">
        <v>226</v>
      </c>
      <c r="C26" s="5">
        <v>43952</v>
      </c>
      <c r="D26" s="2" t="s">
        <v>176</v>
      </c>
      <c r="E26" s="3">
        <v>2686</v>
      </c>
      <c r="F26" s="8">
        <v>0.16159999999999999</v>
      </c>
      <c r="G26" s="4">
        <v>23.442599999999999</v>
      </c>
      <c r="H26" s="4">
        <v>32.433900000000001</v>
      </c>
      <c r="I26" s="4">
        <v>38.037500000000001</v>
      </c>
      <c r="J26" s="4">
        <v>38.8125</v>
      </c>
      <c r="K26" s="4">
        <v>35.244999999999997</v>
      </c>
      <c r="L26" s="4">
        <v>38.204999999999998</v>
      </c>
      <c r="M26" s="7">
        <v>4.4000000000000003E-3</v>
      </c>
    </row>
    <row r="27" spans="1:13" x14ac:dyDescent="0.2">
      <c r="A27" s="6">
        <v>43964</v>
      </c>
      <c r="B27" s="2" t="s">
        <v>224</v>
      </c>
      <c r="C27" s="5">
        <v>43952</v>
      </c>
      <c r="D27" s="2" t="s">
        <v>176</v>
      </c>
      <c r="E27" s="3">
        <v>2785</v>
      </c>
      <c r="F27" s="8">
        <v>0.17680000000000001</v>
      </c>
      <c r="G27" s="4">
        <v>32.457000000000001</v>
      </c>
      <c r="H27" s="4">
        <v>27.685199999999998</v>
      </c>
      <c r="I27" s="4">
        <v>38.204999999999998</v>
      </c>
      <c r="J27" s="4">
        <v>39.047499999999999</v>
      </c>
      <c r="K27" s="4">
        <v>33.44</v>
      </c>
      <c r="L27" s="4">
        <v>38.835000000000001</v>
      </c>
      <c r="M27" s="7">
        <v>1.6500000000000001E-2</v>
      </c>
    </row>
    <row r="28" spans="1:13" x14ac:dyDescent="0.2">
      <c r="A28" s="6">
        <v>43965</v>
      </c>
      <c r="B28" s="2" t="s">
        <v>227</v>
      </c>
      <c r="C28" s="5">
        <v>43952</v>
      </c>
      <c r="D28" s="2" t="s">
        <v>176</v>
      </c>
      <c r="E28" s="3">
        <v>2705</v>
      </c>
      <c r="F28" s="8">
        <v>0.16389999999999999</v>
      </c>
      <c r="G28" s="4">
        <v>19.9116</v>
      </c>
      <c r="H28" s="4">
        <v>22.959</v>
      </c>
      <c r="I28" s="4">
        <v>38.835000000000001</v>
      </c>
      <c r="J28" s="4">
        <v>38.835000000000001</v>
      </c>
      <c r="K28" s="4">
        <v>35.795000000000002</v>
      </c>
      <c r="L28" s="4">
        <v>38.182499999999997</v>
      </c>
      <c r="M28" s="7">
        <v>-1.6799999999999999E-2</v>
      </c>
    </row>
    <row r="29" spans="1:13" x14ac:dyDescent="0.2">
      <c r="A29" s="6">
        <v>43966</v>
      </c>
      <c r="B29" s="2" t="s">
        <v>225</v>
      </c>
      <c r="C29" s="5">
        <v>43952</v>
      </c>
      <c r="D29" s="2" t="s">
        <v>176</v>
      </c>
      <c r="E29" s="3">
        <v>2728</v>
      </c>
      <c r="F29" s="8">
        <v>0.14929999999999999</v>
      </c>
      <c r="G29" s="4">
        <v>21.328299999999999</v>
      </c>
      <c r="H29" s="4">
        <v>19.897400000000001</v>
      </c>
      <c r="I29" s="4">
        <v>38.182499999999997</v>
      </c>
      <c r="J29" s="4">
        <v>38.46</v>
      </c>
      <c r="K29" s="4">
        <v>34.055</v>
      </c>
      <c r="L29" s="4">
        <v>38.017499999999998</v>
      </c>
      <c r="M29" s="7">
        <v>-4.3E-3</v>
      </c>
    </row>
    <row r="30" spans="1:13" x14ac:dyDescent="0.2">
      <c r="A30" s="6">
        <v>43969</v>
      </c>
      <c r="B30" s="2" t="s">
        <v>228</v>
      </c>
      <c r="C30" s="5">
        <v>43952</v>
      </c>
      <c r="D30" s="2" t="s">
        <v>176</v>
      </c>
      <c r="E30" s="3">
        <v>2722</v>
      </c>
      <c r="F30" s="8">
        <v>0.17849999999999999</v>
      </c>
      <c r="G30" s="4">
        <v>23.1142</v>
      </c>
      <c r="H30" s="4">
        <v>23.372599999999998</v>
      </c>
      <c r="I30" s="4">
        <v>38.017499999999998</v>
      </c>
      <c r="J30" s="4">
        <v>41.244999999999997</v>
      </c>
      <c r="K30" s="4">
        <v>27.934999999999999</v>
      </c>
      <c r="L30" s="4">
        <v>40.914999999999999</v>
      </c>
      <c r="M30" s="7">
        <v>7.6200000000000004E-2</v>
      </c>
    </row>
    <row r="31" spans="1:13" x14ac:dyDescent="0.2">
      <c r="A31" s="6">
        <v>43970</v>
      </c>
      <c r="B31" s="2" t="s">
        <v>226</v>
      </c>
      <c r="C31" s="5">
        <v>43952</v>
      </c>
      <c r="D31" s="2" t="s">
        <v>176</v>
      </c>
      <c r="E31" s="3">
        <v>2688</v>
      </c>
      <c r="F31" s="8">
        <v>0.15279999999999999</v>
      </c>
      <c r="G31" s="4">
        <v>39.583199999999998</v>
      </c>
      <c r="H31" s="4">
        <v>106.5502</v>
      </c>
      <c r="I31" s="4">
        <v>40.914999999999999</v>
      </c>
      <c r="J31" s="4">
        <v>40.914999999999999</v>
      </c>
      <c r="K31" s="4">
        <v>37.952500000000001</v>
      </c>
      <c r="L31" s="4">
        <v>39.452500000000001</v>
      </c>
      <c r="M31" s="7">
        <v>-3.5700000000000003E-2</v>
      </c>
    </row>
    <row r="32" spans="1:13" x14ac:dyDescent="0.2">
      <c r="A32" s="6">
        <v>43971</v>
      </c>
      <c r="B32" s="2" t="s">
        <v>224</v>
      </c>
      <c r="C32" s="5">
        <v>43952</v>
      </c>
      <c r="D32" s="2" t="s">
        <v>176</v>
      </c>
      <c r="E32" s="3">
        <v>2726</v>
      </c>
      <c r="F32" s="8">
        <v>0.1434</v>
      </c>
      <c r="G32" s="4">
        <v>26.670999999999999</v>
      </c>
      <c r="H32" s="4">
        <v>20.2486</v>
      </c>
      <c r="I32" s="4">
        <v>39.452500000000001</v>
      </c>
      <c r="J32" s="4">
        <v>39.452500000000001</v>
      </c>
      <c r="K32" s="4">
        <v>34.094999999999999</v>
      </c>
      <c r="L32" s="4">
        <v>35.81</v>
      </c>
      <c r="M32" s="7">
        <v>-9.2299999999999993E-2</v>
      </c>
    </row>
    <row r="33" spans="1:13" x14ac:dyDescent="0.2">
      <c r="A33" s="6">
        <v>43972</v>
      </c>
      <c r="B33" s="2" t="s">
        <v>227</v>
      </c>
      <c r="C33" s="5">
        <v>43952</v>
      </c>
      <c r="D33" s="2" t="s">
        <v>176</v>
      </c>
      <c r="E33" s="3">
        <v>2629</v>
      </c>
      <c r="F33" s="8">
        <v>0.1416</v>
      </c>
      <c r="G33" s="4">
        <v>22.531300000000002</v>
      </c>
      <c r="H33" s="4">
        <v>19.296099999999999</v>
      </c>
      <c r="I33" s="4">
        <v>35.81</v>
      </c>
      <c r="J33" s="4">
        <v>35.81</v>
      </c>
      <c r="K33" s="4">
        <v>32.575000000000003</v>
      </c>
      <c r="L33" s="4">
        <v>32.984999999999999</v>
      </c>
      <c r="M33" s="7">
        <v>-7.8899999999999998E-2</v>
      </c>
    </row>
    <row r="34" spans="1:13" x14ac:dyDescent="0.2">
      <c r="A34" s="6">
        <v>43973</v>
      </c>
      <c r="B34" s="2" t="s">
        <v>225</v>
      </c>
      <c r="C34" s="5">
        <v>43952</v>
      </c>
      <c r="D34" s="2" t="s">
        <v>176</v>
      </c>
      <c r="E34" s="3">
        <v>2688</v>
      </c>
      <c r="F34" s="8">
        <v>0.1646</v>
      </c>
      <c r="G34" s="4">
        <v>22.459800000000001</v>
      </c>
      <c r="H34" s="4">
        <v>21.7499</v>
      </c>
      <c r="I34" s="4">
        <v>32.984999999999999</v>
      </c>
      <c r="J34" s="4">
        <v>34.36</v>
      </c>
      <c r="K34" s="4">
        <v>26.335000000000001</v>
      </c>
      <c r="L34" s="4">
        <v>32.377499999999998</v>
      </c>
      <c r="M34" s="7">
        <v>-1.84E-2</v>
      </c>
    </row>
    <row r="35" spans="1:13" x14ac:dyDescent="0.2">
      <c r="A35" s="6">
        <v>43977</v>
      </c>
      <c r="B35" s="2" t="s">
        <v>226</v>
      </c>
      <c r="C35" s="5">
        <v>43952</v>
      </c>
      <c r="D35" s="2" t="s">
        <v>176</v>
      </c>
      <c r="E35" s="3">
        <v>2778</v>
      </c>
      <c r="F35" s="8">
        <v>0.16370000000000001</v>
      </c>
      <c r="G35" s="4">
        <v>34.891800000000003</v>
      </c>
      <c r="H35" s="4">
        <v>115.962</v>
      </c>
      <c r="I35" s="4">
        <v>32.377499999999998</v>
      </c>
      <c r="J35" s="4">
        <v>33.21</v>
      </c>
      <c r="K35" s="4">
        <v>30.9725</v>
      </c>
      <c r="L35" s="4">
        <v>31.47</v>
      </c>
      <c r="M35" s="7">
        <v>-2.8000000000000001E-2</v>
      </c>
    </row>
    <row r="36" spans="1:13" x14ac:dyDescent="0.2">
      <c r="A36" s="6">
        <v>43978</v>
      </c>
      <c r="B36" s="2" t="s">
        <v>224</v>
      </c>
      <c r="C36" s="5">
        <v>43952</v>
      </c>
      <c r="D36" s="2" t="s">
        <v>176</v>
      </c>
      <c r="E36" s="3">
        <v>2704</v>
      </c>
      <c r="F36" s="8">
        <v>0.1512</v>
      </c>
      <c r="G36" s="4">
        <v>19.790500000000002</v>
      </c>
      <c r="H36" s="4">
        <v>21.081499999999998</v>
      </c>
      <c r="I36" s="4">
        <v>31.47</v>
      </c>
      <c r="J36" s="4">
        <v>32.015000000000001</v>
      </c>
      <c r="K36" s="4">
        <v>28.855</v>
      </c>
      <c r="L36" s="4">
        <v>31.272500000000001</v>
      </c>
      <c r="M36" s="7">
        <v>-6.3E-3</v>
      </c>
    </row>
    <row r="37" spans="1:13" x14ac:dyDescent="0.2">
      <c r="A37" s="6">
        <v>43979</v>
      </c>
      <c r="B37" s="2" t="s">
        <v>227</v>
      </c>
      <c r="C37" s="5">
        <v>43952</v>
      </c>
      <c r="D37" s="2" t="s">
        <v>176</v>
      </c>
      <c r="E37" s="3">
        <v>2745</v>
      </c>
      <c r="F37" s="8">
        <v>0.16969999999999999</v>
      </c>
      <c r="G37" s="4">
        <v>31.851600000000001</v>
      </c>
      <c r="H37" s="4">
        <v>30.2683</v>
      </c>
      <c r="I37" s="4">
        <v>31.272500000000001</v>
      </c>
      <c r="J37" s="4">
        <v>31.272500000000001</v>
      </c>
      <c r="K37" s="4">
        <v>29.195</v>
      </c>
      <c r="L37" s="4">
        <v>30.017499999999998</v>
      </c>
      <c r="M37" s="7">
        <v>-4.0099999999999997E-2</v>
      </c>
    </row>
    <row r="38" spans="1:13" x14ac:dyDescent="0.2">
      <c r="A38" s="6">
        <v>43980</v>
      </c>
      <c r="B38" s="2" t="s">
        <v>225</v>
      </c>
      <c r="C38" s="5">
        <v>43952</v>
      </c>
      <c r="D38" s="2" t="s">
        <v>176</v>
      </c>
      <c r="E38" s="3">
        <v>2753</v>
      </c>
      <c r="F38" s="8">
        <v>0.19220000000000001</v>
      </c>
      <c r="G38" s="4">
        <v>60.248399999999997</v>
      </c>
      <c r="H38" s="4">
        <v>37.343800000000002</v>
      </c>
      <c r="I38" s="4">
        <v>30.017499999999998</v>
      </c>
      <c r="J38" s="4">
        <v>30.567499999999999</v>
      </c>
      <c r="K38" s="4">
        <v>27.41</v>
      </c>
      <c r="L38" s="4">
        <v>30.22</v>
      </c>
      <c r="M38" s="7">
        <v>6.7000000000000002E-3</v>
      </c>
    </row>
    <row r="39" spans="1:13" x14ac:dyDescent="0.2">
      <c r="A39" s="6">
        <v>43983</v>
      </c>
      <c r="B39" s="2" t="s">
        <v>228</v>
      </c>
      <c r="C39" s="5">
        <v>43983</v>
      </c>
      <c r="D39" s="2" t="s">
        <v>176</v>
      </c>
      <c r="E39" s="3">
        <v>2877</v>
      </c>
      <c r="F39" s="8">
        <v>0.19769999999999999</v>
      </c>
      <c r="G39" s="4">
        <v>33.2941</v>
      </c>
      <c r="H39" s="4">
        <v>28.613900000000001</v>
      </c>
      <c r="I39" s="4">
        <v>30.22</v>
      </c>
      <c r="J39" s="4">
        <v>32.172499999999999</v>
      </c>
      <c r="K39" s="4">
        <v>28.8325</v>
      </c>
      <c r="L39" s="4">
        <v>30.7425</v>
      </c>
      <c r="M39" s="7">
        <v>1.7299999999999999E-2</v>
      </c>
    </row>
    <row r="40" spans="1:13" x14ac:dyDescent="0.2">
      <c r="A40" s="6">
        <v>43984</v>
      </c>
      <c r="B40" s="2" t="s">
        <v>226</v>
      </c>
      <c r="C40" s="5">
        <v>43983</v>
      </c>
      <c r="D40" s="2" t="s">
        <v>176</v>
      </c>
      <c r="E40" s="3">
        <v>2858</v>
      </c>
      <c r="F40" s="8">
        <v>0.2069</v>
      </c>
      <c r="G40" s="4">
        <v>41.823999999999998</v>
      </c>
      <c r="H40" s="4">
        <v>102.43729999999999</v>
      </c>
      <c r="I40" s="4">
        <v>30.7425</v>
      </c>
      <c r="J40" s="4">
        <v>30.9175</v>
      </c>
      <c r="K40" s="4">
        <v>27.9025</v>
      </c>
      <c r="L40" s="4">
        <v>30.114999999999998</v>
      </c>
      <c r="M40" s="7">
        <v>-2.0400000000000001E-2</v>
      </c>
    </row>
    <row r="41" spans="1:13" x14ac:dyDescent="0.2">
      <c r="A41" s="6">
        <v>43985</v>
      </c>
      <c r="B41" s="2" t="s">
        <v>224</v>
      </c>
      <c r="C41" s="5">
        <v>43983</v>
      </c>
      <c r="D41" s="2" t="s">
        <v>176</v>
      </c>
      <c r="E41" s="3">
        <v>2904</v>
      </c>
      <c r="F41" s="8">
        <v>0.19170000000000001</v>
      </c>
      <c r="G41" s="4">
        <v>42.683500000000002</v>
      </c>
      <c r="H41" s="4">
        <v>42.300899999999999</v>
      </c>
      <c r="I41" s="4">
        <v>30.114999999999998</v>
      </c>
      <c r="J41" s="4">
        <v>30.4025</v>
      </c>
      <c r="K41" s="4">
        <v>29.335000000000001</v>
      </c>
      <c r="L41" s="4">
        <v>30.0425</v>
      </c>
      <c r="M41" s="7">
        <v>-2.3999999999999998E-3</v>
      </c>
    </row>
    <row r="42" spans="1:13" x14ac:dyDescent="0.2">
      <c r="A42" s="6">
        <v>43986</v>
      </c>
      <c r="B42" s="2" t="s">
        <v>227</v>
      </c>
      <c r="C42" s="5">
        <v>43983</v>
      </c>
      <c r="D42" s="2" t="s">
        <v>176</v>
      </c>
      <c r="E42" s="3">
        <v>2852</v>
      </c>
      <c r="F42" s="8">
        <v>0.1963</v>
      </c>
      <c r="G42" s="4">
        <v>38.519100000000002</v>
      </c>
      <c r="H42" s="4">
        <v>47.818199999999997</v>
      </c>
      <c r="I42" s="4">
        <v>30.0425</v>
      </c>
      <c r="J42" s="4">
        <v>30.265000000000001</v>
      </c>
      <c r="K42" s="4">
        <v>28.45</v>
      </c>
      <c r="L42" s="4">
        <v>29.69</v>
      </c>
      <c r="M42" s="7">
        <v>-1.17E-2</v>
      </c>
    </row>
    <row r="43" spans="1:13" x14ac:dyDescent="0.2">
      <c r="A43" s="6">
        <v>43987</v>
      </c>
      <c r="B43" s="2" t="s">
        <v>225</v>
      </c>
      <c r="C43" s="5">
        <v>43983</v>
      </c>
      <c r="D43" s="2" t="s">
        <v>176</v>
      </c>
      <c r="E43" s="3">
        <v>2952</v>
      </c>
      <c r="F43" s="8">
        <v>0.2215</v>
      </c>
      <c r="G43" s="4">
        <v>51.713900000000002</v>
      </c>
      <c r="H43" s="4">
        <v>32.629399999999997</v>
      </c>
      <c r="I43" s="4">
        <v>29.69</v>
      </c>
      <c r="J43" s="4">
        <v>29.69</v>
      </c>
      <c r="K43" s="4">
        <v>25.92</v>
      </c>
      <c r="L43" s="4">
        <v>28.68</v>
      </c>
      <c r="M43" s="7">
        <v>-3.4000000000000002E-2</v>
      </c>
    </row>
    <row r="44" spans="1:13" x14ac:dyDescent="0.2">
      <c r="A44" s="6">
        <v>43990</v>
      </c>
      <c r="B44" s="2" t="s">
        <v>228</v>
      </c>
      <c r="C44" s="5">
        <v>43983</v>
      </c>
      <c r="D44" s="2" t="s">
        <v>176</v>
      </c>
      <c r="E44" s="3">
        <v>3067</v>
      </c>
      <c r="F44" s="8">
        <v>0.25180000000000002</v>
      </c>
      <c r="G44" s="4">
        <v>56.007899999999999</v>
      </c>
      <c r="H44" s="4">
        <v>39.979500000000002</v>
      </c>
      <c r="I44" s="4">
        <v>28.68</v>
      </c>
      <c r="J44" s="4">
        <v>30.145</v>
      </c>
      <c r="K44" s="4">
        <v>27.797499999999999</v>
      </c>
      <c r="L44" s="4">
        <v>29.647500000000001</v>
      </c>
      <c r="M44" s="7">
        <v>3.3700000000000001E-2</v>
      </c>
    </row>
    <row r="45" spans="1:13" x14ac:dyDescent="0.2">
      <c r="A45" s="6">
        <v>43991</v>
      </c>
      <c r="B45" s="2" t="s">
        <v>226</v>
      </c>
      <c r="C45" s="5">
        <v>43983</v>
      </c>
      <c r="D45" s="2" t="s">
        <v>176</v>
      </c>
      <c r="E45" s="3">
        <v>2993</v>
      </c>
      <c r="F45" s="8">
        <v>0.2051</v>
      </c>
      <c r="G45" s="4">
        <v>56.194200000000002</v>
      </c>
      <c r="H45" s="4">
        <v>34.211799999999997</v>
      </c>
      <c r="I45" s="4">
        <v>29.647500000000001</v>
      </c>
      <c r="J45" s="4">
        <v>30.34</v>
      </c>
      <c r="K45" s="4">
        <v>27.24</v>
      </c>
      <c r="L45" s="4">
        <v>30.204999999999998</v>
      </c>
      <c r="M45" s="7">
        <v>1.8800000000000001E-2</v>
      </c>
    </row>
    <row r="46" spans="1:13" x14ac:dyDescent="0.2">
      <c r="A46" s="6">
        <v>43992</v>
      </c>
      <c r="B46" s="2" t="s">
        <v>224</v>
      </c>
      <c r="C46" s="5">
        <v>43983</v>
      </c>
      <c r="D46" s="2" t="s">
        <v>176</v>
      </c>
      <c r="E46" s="3">
        <v>2946</v>
      </c>
      <c r="F46" s="8">
        <v>0.22839999999999999</v>
      </c>
      <c r="G46" s="4">
        <v>42.5503</v>
      </c>
      <c r="H46" s="4">
        <v>29.283000000000001</v>
      </c>
      <c r="I46" s="4">
        <v>30.204999999999998</v>
      </c>
      <c r="J46" s="4">
        <v>30.204999999999998</v>
      </c>
      <c r="K46" s="4">
        <v>28.727499999999999</v>
      </c>
      <c r="L46" s="4">
        <v>29.4375</v>
      </c>
      <c r="M46" s="7">
        <v>-2.5399999999999999E-2</v>
      </c>
    </row>
    <row r="47" spans="1:13" x14ac:dyDescent="0.2">
      <c r="A47" s="6">
        <v>43993</v>
      </c>
      <c r="B47" s="2" t="s">
        <v>227</v>
      </c>
      <c r="C47" s="5">
        <v>43983</v>
      </c>
      <c r="D47" s="2" t="s">
        <v>176</v>
      </c>
      <c r="E47" s="3">
        <v>2914</v>
      </c>
      <c r="F47" s="8">
        <v>0.22559999999999999</v>
      </c>
      <c r="G47" s="4">
        <v>71.007900000000006</v>
      </c>
      <c r="H47" s="4">
        <v>33.395200000000003</v>
      </c>
      <c r="I47" s="4">
        <v>29.4375</v>
      </c>
      <c r="J47" s="4">
        <v>30.42</v>
      </c>
      <c r="K47" s="4">
        <v>28.39</v>
      </c>
      <c r="L47" s="4">
        <v>29.66</v>
      </c>
      <c r="M47" s="7">
        <v>7.6E-3</v>
      </c>
    </row>
    <row r="48" spans="1:13" x14ac:dyDescent="0.2">
      <c r="A48" s="6">
        <v>43994</v>
      </c>
      <c r="B48" s="2" t="s">
        <v>225</v>
      </c>
      <c r="C48" s="5">
        <v>43983</v>
      </c>
      <c r="D48" s="2" t="s">
        <v>176</v>
      </c>
      <c r="E48" s="3">
        <v>2878</v>
      </c>
      <c r="F48" s="8">
        <v>0.23130000000000001</v>
      </c>
      <c r="G48" s="4">
        <v>52.095100000000002</v>
      </c>
      <c r="H48" s="4">
        <v>33.479199999999999</v>
      </c>
      <c r="I48" s="4">
        <v>29.66</v>
      </c>
      <c r="J48" s="4">
        <v>32.875</v>
      </c>
      <c r="K48" s="4">
        <v>29.66</v>
      </c>
      <c r="L48" s="4">
        <v>30.822500000000002</v>
      </c>
      <c r="M48" s="7">
        <v>3.9199999999999999E-2</v>
      </c>
    </row>
    <row r="49" spans="1:13" x14ac:dyDescent="0.2">
      <c r="A49" s="6">
        <v>43997</v>
      </c>
      <c r="B49" s="2" t="s">
        <v>228</v>
      </c>
      <c r="C49" s="5">
        <v>43983</v>
      </c>
      <c r="D49" s="2" t="s">
        <v>176</v>
      </c>
      <c r="E49" s="3">
        <v>2985</v>
      </c>
      <c r="F49" s="8">
        <v>0.2505</v>
      </c>
      <c r="G49" s="4">
        <v>38.555</v>
      </c>
      <c r="H49" s="4">
        <v>29.5992</v>
      </c>
      <c r="I49" s="4">
        <v>30.822500000000002</v>
      </c>
      <c r="J49" s="4">
        <v>33.777500000000003</v>
      </c>
      <c r="K49" s="4">
        <v>29.914999999999999</v>
      </c>
      <c r="L49" s="4">
        <v>32.577500000000001</v>
      </c>
      <c r="M49" s="7">
        <v>5.6899999999999999E-2</v>
      </c>
    </row>
    <row r="50" spans="1:13" x14ac:dyDescent="0.2">
      <c r="A50" s="6">
        <v>43998</v>
      </c>
      <c r="B50" s="2" t="s">
        <v>226</v>
      </c>
      <c r="C50" s="5">
        <v>43983</v>
      </c>
      <c r="D50" s="2" t="s">
        <v>176</v>
      </c>
      <c r="E50" s="3">
        <v>2956</v>
      </c>
      <c r="F50" s="8">
        <v>0.2752</v>
      </c>
      <c r="G50" s="4">
        <v>47.188299999999998</v>
      </c>
      <c r="H50" s="4">
        <v>38.883000000000003</v>
      </c>
      <c r="I50" s="4">
        <v>32.577500000000001</v>
      </c>
      <c r="J50" s="4">
        <v>35.3125</v>
      </c>
      <c r="K50" s="4">
        <v>30.407499999999999</v>
      </c>
      <c r="L50" s="4">
        <v>32.965000000000003</v>
      </c>
      <c r="M50" s="7">
        <v>1.1900000000000001E-2</v>
      </c>
    </row>
    <row r="51" spans="1:13" x14ac:dyDescent="0.2">
      <c r="A51" s="6">
        <v>43999</v>
      </c>
      <c r="B51" s="2" t="s">
        <v>224</v>
      </c>
      <c r="C51" s="5">
        <v>43983</v>
      </c>
      <c r="D51" s="2" t="s">
        <v>176</v>
      </c>
      <c r="E51" s="3">
        <v>2973</v>
      </c>
      <c r="F51" s="8">
        <v>0.23649999999999999</v>
      </c>
      <c r="G51" s="4">
        <v>33.953099999999999</v>
      </c>
      <c r="H51" s="4">
        <v>34.678899999999999</v>
      </c>
      <c r="I51" s="4">
        <v>32.965000000000003</v>
      </c>
      <c r="J51" s="4">
        <v>34.017499999999998</v>
      </c>
      <c r="K51" s="4">
        <v>29.05</v>
      </c>
      <c r="L51" s="4">
        <v>33.354999999999997</v>
      </c>
      <c r="M51" s="7">
        <v>1.18E-2</v>
      </c>
    </row>
    <row r="52" spans="1:13" x14ac:dyDescent="0.2">
      <c r="A52" s="6">
        <v>44000</v>
      </c>
      <c r="B52" s="2" t="s">
        <v>227</v>
      </c>
      <c r="C52" s="5">
        <v>43983</v>
      </c>
      <c r="D52" s="2" t="s">
        <v>176</v>
      </c>
      <c r="E52" s="3">
        <v>3007</v>
      </c>
      <c r="F52" s="8">
        <v>0.27639999999999998</v>
      </c>
      <c r="G52" s="4">
        <v>50.628500000000003</v>
      </c>
      <c r="H52" s="4">
        <v>33.0274</v>
      </c>
      <c r="I52" s="4">
        <v>33.354999999999997</v>
      </c>
      <c r="J52" s="4">
        <v>33.422499999999999</v>
      </c>
      <c r="K52" s="4">
        <v>31.217500000000001</v>
      </c>
      <c r="L52" s="4">
        <v>31.454999999999998</v>
      </c>
      <c r="M52" s="7">
        <v>-5.7000000000000002E-2</v>
      </c>
    </row>
    <row r="53" spans="1:13" x14ac:dyDescent="0.2">
      <c r="A53" s="6">
        <v>44001</v>
      </c>
      <c r="B53" s="2" t="s">
        <v>225</v>
      </c>
      <c r="C53" s="5">
        <v>43983</v>
      </c>
      <c r="D53" s="2" t="s">
        <v>176</v>
      </c>
      <c r="E53" s="3">
        <v>3041</v>
      </c>
      <c r="F53" s="8">
        <v>0.32829999999999998</v>
      </c>
      <c r="G53" s="4">
        <v>49.445399999999999</v>
      </c>
      <c r="H53" s="4">
        <v>47.218699999999998</v>
      </c>
      <c r="I53" s="4">
        <v>31.454999999999998</v>
      </c>
      <c r="J53" s="4">
        <v>31.912500000000001</v>
      </c>
      <c r="K53" s="4">
        <v>29.677499999999998</v>
      </c>
      <c r="L53" s="4">
        <v>29.965</v>
      </c>
      <c r="M53" s="7">
        <v>-4.7399999999999998E-2</v>
      </c>
    </row>
    <row r="54" spans="1:13" x14ac:dyDescent="0.2">
      <c r="A54" s="6">
        <v>44004</v>
      </c>
      <c r="B54" s="2" t="s">
        <v>228</v>
      </c>
      <c r="C54" s="5">
        <v>43983</v>
      </c>
      <c r="D54" s="2" t="s">
        <v>176</v>
      </c>
      <c r="E54" s="3">
        <v>3198</v>
      </c>
      <c r="F54" s="8">
        <v>0.33079999999999998</v>
      </c>
      <c r="G54" s="4">
        <v>52.6614</v>
      </c>
      <c r="H54" s="4">
        <v>45.598399999999998</v>
      </c>
      <c r="I54" s="4">
        <v>29.965</v>
      </c>
      <c r="J54" s="4">
        <v>30.982500000000002</v>
      </c>
      <c r="K54" s="4">
        <v>29.965</v>
      </c>
      <c r="L54" s="4">
        <v>30.46</v>
      </c>
      <c r="M54" s="7">
        <v>1.6500000000000001E-2</v>
      </c>
    </row>
    <row r="55" spans="1:13" x14ac:dyDescent="0.2">
      <c r="A55" s="6">
        <v>44005</v>
      </c>
      <c r="B55" s="2" t="s">
        <v>226</v>
      </c>
      <c r="C55" s="5">
        <v>43983</v>
      </c>
      <c r="D55" s="2" t="s">
        <v>176</v>
      </c>
      <c r="E55" s="3">
        <v>3121</v>
      </c>
      <c r="F55" s="8">
        <v>0.30559999999999998</v>
      </c>
      <c r="G55" s="4">
        <v>58.496400000000001</v>
      </c>
      <c r="H55" s="4">
        <v>225.0317</v>
      </c>
      <c r="I55" s="4">
        <v>30.46</v>
      </c>
      <c r="J55" s="4">
        <v>31.147500000000001</v>
      </c>
      <c r="K55" s="4">
        <v>29.2425</v>
      </c>
      <c r="L55" s="4">
        <v>29.34</v>
      </c>
      <c r="M55" s="7">
        <v>-3.6799999999999999E-2</v>
      </c>
    </row>
    <row r="56" spans="1:13" x14ac:dyDescent="0.2">
      <c r="A56" s="6">
        <v>44006</v>
      </c>
      <c r="B56" s="2" t="s">
        <v>224</v>
      </c>
      <c r="C56" s="5">
        <v>43983</v>
      </c>
      <c r="D56" s="2" t="s">
        <v>176</v>
      </c>
      <c r="E56" s="3">
        <v>3126</v>
      </c>
      <c r="F56" s="8">
        <v>0.33629999999999999</v>
      </c>
      <c r="G56" s="4">
        <v>66.260199999999998</v>
      </c>
      <c r="H56" s="4">
        <v>75.883899999999997</v>
      </c>
      <c r="I56" s="4">
        <v>29.34</v>
      </c>
      <c r="J56" s="4">
        <v>30.53</v>
      </c>
      <c r="K56" s="4">
        <v>27.79</v>
      </c>
      <c r="L56" s="4">
        <v>29.577500000000001</v>
      </c>
      <c r="M56" s="7">
        <v>8.0999999999999996E-3</v>
      </c>
    </row>
    <row r="57" spans="1:13" x14ac:dyDescent="0.2">
      <c r="A57" s="6">
        <v>44007</v>
      </c>
      <c r="B57" s="2" t="s">
        <v>227</v>
      </c>
      <c r="C57" s="5">
        <v>43983</v>
      </c>
      <c r="D57" s="2" t="s">
        <v>176</v>
      </c>
      <c r="E57" s="3">
        <v>3052</v>
      </c>
      <c r="F57" s="8">
        <v>0.29370000000000002</v>
      </c>
      <c r="G57" s="4">
        <v>55.956400000000002</v>
      </c>
      <c r="H57" s="4">
        <v>37.179499999999997</v>
      </c>
      <c r="I57" s="4">
        <v>29.577500000000001</v>
      </c>
      <c r="J57" s="4">
        <v>31.285</v>
      </c>
      <c r="K57" s="4">
        <v>29.057500000000001</v>
      </c>
      <c r="L57" s="4">
        <v>29.727499999999999</v>
      </c>
      <c r="M57" s="7">
        <v>5.1000000000000004E-3</v>
      </c>
    </row>
    <row r="58" spans="1:13" x14ac:dyDescent="0.2">
      <c r="A58" s="6">
        <v>44008</v>
      </c>
      <c r="B58" s="2" t="s">
        <v>225</v>
      </c>
      <c r="C58" s="5">
        <v>43983</v>
      </c>
      <c r="D58" s="2" t="s">
        <v>176</v>
      </c>
      <c r="E58" s="3">
        <v>3133</v>
      </c>
      <c r="F58" s="8">
        <v>0.28029999999999999</v>
      </c>
      <c r="G58" s="4">
        <v>49.6325</v>
      </c>
      <c r="H58" s="4">
        <v>38.521299999999997</v>
      </c>
      <c r="I58" s="4">
        <v>29.727499999999999</v>
      </c>
      <c r="J58" s="4">
        <v>30.065000000000001</v>
      </c>
      <c r="K58" s="4">
        <v>28.315000000000001</v>
      </c>
      <c r="L58" s="4">
        <v>28.734999999999999</v>
      </c>
      <c r="M58" s="7">
        <v>-3.3399999999999999E-2</v>
      </c>
    </row>
    <row r="59" spans="1:13" x14ac:dyDescent="0.2">
      <c r="A59" s="6">
        <v>44011</v>
      </c>
      <c r="B59" s="2" t="s">
        <v>228</v>
      </c>
      <c r="C59" s="5">
        <v>43983</v>
      </c>
      <c r="D59" s="2" t="s">
        <v>176</v>
      </c>
      <c r="E59" s="3">
        <v>3168</v>
      </c>
      <c r="F59" s="8">
        <v>0.25540000000000002</v>
      </c>
      <c r="G59" s="4">
        <v>50.122</v>
      </c>
      <c r="H59" s="4">
        <v>42.275799999999997</v>
      </c>
      <c r="I59" s="4">
        <v>28.734999999999999</v>
      </c>
      <c r="J59" s="4">
        <v>30.45</v>
      </c>
      <c r="K59" s="4">
        <v>27.98</v>
      </c>
      <c r="L59" s="4">
        <v>28.91</v>
      </c>
      <c r="M59" s="7">
        <v>6.1000000000000004E-3</v>
      </c>
    </row>
    <row r="60" spans="1:13" x14ac:dyDescent="0.2">
      <c r="A60" s="6">
        <v>44012</v>
      </c>
      <c r="B60" s="2" t="s">
        <v>226</v>
      </c>
      <c r="C60" s="5">
        <v>43983</v>
      </c>
      <c r="D60" s="2" t="s">
        <v>176</v>
      </c>
      <c r="E60" s="3">
        <v>3158</v>
      </c>
      <c r="F60" s="8">
        <v>0.23250000000000001</v>
      </c>
      <c r="G60" s="4">
        <v>43.5745</v>
      </c>
      <c r="H60" s="4">
        <v>29.880500000000001</v>
      </c>
      <c r="I60" s="4">
        <v>28.91</v>
      </c>
      <c r="J60" s="4">
        <v>29.6325</v>
      </c>
      <c r="K60" s="4">
        <v>28.405000000000001</v>
      </c>
      <c r="L60" s="4">
        <v>29.1175</v>
      </c>
      <c r="M60" s="7">
        <v>7.1999999999999998E-3</v>
      </c>
    </row>
    <row r="61" spans="1:13" x14ac:dyDescent="0.2">
      <c r="A61" s="6">
        <v>44013</v>
      </c>
      <c r="B61" s="2" t="s">
        <v>224</v>
      </c>
      <c r="C61" s="5">
        <v>44013</v>
      </c>
      <c r="D61" s="2" t="s">
        <v>177</v>
      </c>
      <c r="E61" s="3">
        <v>3164</v>
      </c>
      <c r="F61" s="8">
        <v>0.2407</v>
      </c>
      <c r="G61" s="4">
        <v>65.2376</v>
      </c>
      <c r="H61" s="4">
        <v>31.0181</v>
      </c>
      <c r="I61" s="4">
        <v>29.1175</v>
      </c>
      <c r="J61" s="4">
        <v>29.162500000000001</v>
      </c>
      <c r="K61" s="4">
        <v>27.9375</v>
      </c>
      <c r="L61" s="4">
        <v>28.1175</v>
      </c>
      <c r="M61" s="7">
        <v>-3.4299999999999997E-2</v>
      </c>
    </row>
    <row r="62" spans="1:13" x14ac:dyDescent="0.2">
      <c r="A62" s="6">
        <v>44014</v>
      </c>
      <c r="B62" s="2" t="s">
        <v>227</v>
      </c>
      <c r="C62" s="5">
        <v>44013</v>
      </c>
      <c r="D62" s="2" t="s">
        <v>177</v>
      </c>
      <c r="E62" s="3">
        <v>3152</v>
      </c>
      <c r="F62" s="8">
        <v>0.23549999999999999</v>
      </c>
      <c r="G62" s="4">
        <v>54.460500000000003</v>
      </c>
      <c r="H62" s="4">
        <v>33.940600000000003</v>
      </c>
      <c r="I62" s="4">
        <v>28.1175</v>
      </c>
      <c r="J62" s="4">
        <v>28.1175</v>
      </c>
      <c r="K62" s="4">
        <v>26.315000000000001</v>
      </c>
      <c r="L62" s="4">
        <v>26.5075</v>
      </c>
      <c r="M62" s="7">
        <v>-5.7299999999999997E-2</v>
      </c>
    </row>
    <row r="63" spans="1:13" x14ac:dyDescent="0.2">
      <c r="A63" s="6">
        <v>44015</v>
      </c>
      <c r="B63" s="2" t="s">
        <v>225</v>
      </c>
      <c r="C63" s="5">
        <v>44013</v>
      </c>
      <c r="D63" s="2" t="s">
        <v>177</v>
      </c>
      <c r="E63" s="3">
        <v>3158</v>
      </c>
      <c r="F63" s="8">
        <v>0.21790000000000001</v>
      </c>
      <c r="G63" s="4">
        <v>61.033099999999997</v>
      </c>
      <c r="H63" s="4">
        <v>31.575399999999998</v>
      </c>
      <c r="I63" s="4">
        <v>26.5075</v>
      </c>
      <c r="J63" s="4">
        <v>26.774999999999999</v>
      </c>
      <c r="K63" s="4">
        <v>25.627500000000001</v>
      </c>
      <c r="L63" s="4">
        <v>25.767499999999998</v>
      </c>
      <c r="M63" s="7">
        <v>-2.7900000000000001E-2</v>
      </c>
    </row>
    <row r="64" spans="1:13" x14ac:dyDescent="0.2">
      <c r="A64" s="6">
        <v>44018</v>
      </c>
      <c r="B64" s="2" t="s">
        <v>228</v>
      </c>
      <c r="C64" s="5">
        <v>44013</v>
      </c>
      <c r="D64" s="2" t="s">
        <v>177</v>
      </c>
      <c r="E64" s="3">
        <v>3236</v>
      </c>
      <c r="F64" s="8">
        <v>0.22650000000000001</v>
      </c>
      <c r="G64" s="4">
        <v>42.748699999999999</v>
      </c>
      <c r="H64" s="4">
        <v>37.240200000000002</v>
      </c>
      <c r="I64" s="4">
        <v>25.767499999999998</v>
      </c>
      <c r="J64" s="4">
        <v>26.175000000000001</v>
      </c>
      <c r="K64" s="4">
        <v>24.5425</v>
      </c>
      <c r="L64" s="4">
        <v>25.197500000000002</v>
      </c>
      <c r="M64" s="7">
        <v>-2.2100000000000002E-2</v>
      </c>
    </row>
    <row r="65" spans="1:13" x14ac:dyDescent="0.2">
      <c r="A65" s="6">
        <v>44019</v>
      </c>
      <c r="B65" s="2" t="s">
        <v>226</v>
      </c>
      <c r="C65" s="5">
        <v>44013</v>
      </c>
      <c r="D65" s="2" t="s">
        <v>177</v>
      </c>
      <c r="E65" s="3">
        <v>3155</v>
      </c>
      <c r="F65" s="8">
        <v>0.23050000000000001</v>
      </c>
      <c r="G65" s="4">
        <v>34.028700000000001</v>
      </c>
      <c r="H65" s="4">
        <v>37.1053</v>
      </c>
      <c r="I65" s="4">
        <v>25.197500000000002</v>
      </c>
      <c r="J65" s="4">
        <v>25.645</v>
      </c>
      <c r="K65" s="4">
        <v>24.24</v>
      </c>
      <c r="L65" s="4">
        <v>25.102499999999999</v>
      </c>
      <c r="M65" s="7">
        <v>-3.8E-3</v>
      </c>
    </row>
    <row r="66" spans="1:13" x14ac:dyDescent="0.2">
      <c r="A66" s="6">
        <v>44020</v>
      </c>
      <c r="B66" s="2" t="s">
        <v>224</v>
      </c>
      <c r="C66" s="5">
        <v>44013</v>
      </c>
      <c r="D66" s="2" t="s">
        <v>177</v>
      </c>
      <c r="E66" s="3">
        <v>3164</v>
      </c>
      <c r="F66" s="8">
        <v>0.2334</v>
      </c>
      <c r="G66" s="4">
        <v>41.692900000000002</v>
      </c>
      <c r="H66" s="4">
        <v>38.571800000000003</v>
      </c>
      <c r="I66" s="4">
        <v>25.102499999999999</v>
      </c>
      <c r="J66" s="4">
        <v>26.355</v>
      </c>
      <c r="K66" s="4">
        <v>25.03</v>
      </c>
      <c r="L66" s="4">
        <v>26.1</v>
      </c>
      <c r="M66" s="7">
        <v>3.9699999999999999E-2</v>
      </c>
    </row>
    <row r="67" spans="1:13" x14ac:dyDescent="0.2">
      <c r="A67" s="6">
        <v>44021</v>
      </c>
      <c r="B67" s="2" t="s">
        <v>227</v>
      </c>
      <c r="C67" s="5">
        <v>44013</v>
      </c>
      <c r="D67" s="2" t="s">
        <v>177</v>
      </c>
      <c r="E67" s="3">
        <v>3089</v>
      </c>
      <c r="F67" s="8">
        <v>0.2009</v>
      </c>
      <c r="G67" s="4">
        <v>59.828400000000002</v>
      </c>
      <c r="H67" s="4">
        <v>29.200399999999998</v>
      </c>
      <c r="I67" s="4">
        <v>26.1</v>
      </c>
      <c r="J67" s="4">
        <v>27.657499999999999</v>
      </c>
      <c r="K67" s="4">
        <v>24.734999999999999</v>
      </c>
      <c r="L67" s="4">
        <v>24.912500000000001</v>
      </c>
      <c r="M67" s="7">
        <v>-4.5499999999999999E-2</v>
      </c>
    </row>
    <row r="68" spans="1:13" x14ac:dyDescent="0.2">
      <c r="A68" s="6">
        <v>44022</v>
      </c>
      <c r="B68" s="2" t="s">
        <v>225</v>
      </c>
      <c r="C68" s="5">
        <v>44013</v>
      </c>
      <c r="D68" s="2" t="s">
        <v>177</v>
      </c>
      <c r="E68" s="3">
        <v>3070</v>
      </c>
      <c r="F68" s="8">
        <v>0.22339999999999999</v>
      </c>
      <c r="G68" s="4">
        <v>57.891199999999998</v>
      </c>
      <c r="H68" s="4">
        <v>34.589500000000001</v>
      </c>
      <c r="I68" s="4">
        <v>24.912500000000001</v>
      </c>
      <c r="J68" s="4">
        <v>25.477499999999999</v>
      </c>
      <c r="K68" s="4">
        <v>23.484999999999999</v>
      </c>
      <c r="L68" s="4">
        <v>24.942499999999999</v>
      </c>
      <c r="M68" s="7">
        <v>1.1999999999999999E-3</v>
      </c>
    </row>
    <row r="69" spans="1:13" x14ac:dyDescent="0.2">
      <c r="A69" s="6">
        <v>44025</v>
      </c>
      <c r="B69" s="2" t="s">
        <v>228</v>
      </c>
      <c r="C69" s="5">
        <v>44013</v>
      </c>
      <c r="D69" s="2" t="s">
        <v>177</v>
      </c>
      <c r="E69" s="3">
        <v>3129</v>
      </c>
      <c r="F69" s="8">
        <v>0.20300000000000001</v>
      </c>
      <c r="G69" s="4">
        <v>34.468800000000002</v>
      </c>
      <c r="H69" s="4">
        <v>31.931000000000001</v>
      </c>
      <c r="I69" s="4">
        <v>24.942499999999999</v>
      </c>
      <c r="J69" s="4">
        <v>25.907499999999999</v>
      </c>
      <c r="K69" s="4">
        <v>22.805</v>
      </c>
      <c r="L69" s="4">
        <v>25.252500000000001</v>
      </c>
      <c r="M69" s="7">
        <v>1.24E-2</v>
      </c>
    </row>
    <row r="70" spans="1:13" x14ac:dyDescent="0.2">
      <c r="A70" s="6">
        <v>44026</v>
      </c>
      <c r="B70" s="2" t="s">
        <v>226</v>
      </c>
      <c r="C70" s="5">
        <v>44013</v>
      </c>
      <c r="D70" s="2" t="s">
        <v>177</v>
      </c>
      <c r="E70" s="3">
        <v>3061</v>
      </c>
      <c r="F70" s="8">
        <v>0.20880000000000001</v>
      </c>
      <c r="G70" s="4">
        <v>28.5898</v>
      </c>
      <c r="H70" s="4">
        <v>30.9297</v>
      </c>
      <c r="I70" s="4">
        <v>25.252500000000001</v>
      </c>
      <c r="J70" s="4">
        <v>27.265000000000001</v>
      </c>
      <c r="K70" s="4">
        <v>25.252500000000001</v>
      </c>
      <c r="L70" s="4">
        <v>26.637499999999999</v>
      </c>
      <c r="M70" s="7">
        <v>5.4800000000000001E-2</v>
      </c>
    </row>
    <row r="71" spans="1:13" x14ac:dyDescent="0.2">
      <c r="A71" s="6">
        <v>44027</v>
      </c>
      <c r="B71" s="2" t="s">
        <v>224</v>
      </c>
      <c r="C71" s="5">
        <v>44013</v>
      </c>
      <c r="D71" s="2" t="s">
        <v>177</v>
      </c>
      <c r="E71" s="3">
        <v>3022</v>
      </c>
      <c r="F71" s="8">
        <v>0.21970000000000001</v>
      </c>
      <c r="G71" s="4">
        <v>48.828400000000002</v>
      </c>
      <c r="H71" s="4">
        <v>35.831899999999997</v>
      </c>
      <c r="I71" s="4">
        <v>26.637499999999999</v>
      </c>
      <c r="J71" s="4">
        <v>26.637499999999999</v>
      </c>
      <c r="K71" s="4">
        <v>23.74</v>
      </c>
      <c r="L71" s="4">
        <v>26.29</v>
      </c>
      <c r="M71" s="7">
        <v>-1.2999999999999999E-2</v>
      </c>
    </row>
    <row r="72" spans="1:13" x14ac:dyDescent="0.2">
      <c r="A72" s="6">
        <v>44028</v>
      </c>
      <c r="B72" s="2" t="s">
        <v>227</v>
      </c>
      <c r="C72" s="5">
        <v>44013</v>
      </c>
      <c r="D72" s="2" t="s">
        <v>177</v>
      </c>
      <c r="E72" s="3">
        <v>3017</v>
      </c>
      <c r="F72" s="8">
        <v>0.21629999999999999</v>
      </c>
      <c r="G72" s="4">
        <v>41.1768</v>
      </c>
      <c r="H72" s="4">
        <v>34.195599999999999</v>
      </c>
      <c r="I72" s="4">
        <v>26.29</v>
      </c>
      <c r="J72" s="4">
        <v>26.5975</v>
      </c>
      <c r="K72" s="4">
        <v>25.245000000000001</v>
      </c>
      <c r="L72" s="4">
        <v>25.362500000000001</v>
      </c>
      <c r="M72" s="7">
        <v>-3.5299999999999998E-2</v>
      </c>
    </row>
    <row r="73" spans="1:13" x14ac:dyDescent="0.2">
      <c r="A73" s="6">
        <v>44029</v>
      </c>
      <c r="B73" s="2" t="s">
        <v>225</v>
      </c>
      <c r="C73" s="5">
        <v>44013</v>
      </c>
      <c r="D73" s="2" t="s">
        <v>177</v>
      </c>
      <c r="E73" s="3">
        <v>3060</v>
      </c>
      <c r="F73" s="8">
        <v>0.21149999999999999</v>
      </c>
      <c r="G73" s="4">
        <v>39.334400000000002</v>
      </c>
      <c r="H73" s="4">
        <v>33.464100000000002</v>
      </c>
      <c r="I73" s="4">
        <v>25.362500000000001</v>
      </c>
      <c r="J73" s="4">
        <v>25.502500000000001</v>
      </c>
      <c r="K73" s="4">
        <v>23.77</v>
      </c>
      <c r="L73" s="4">
        <v>24.157499999999999</v>
      </c>
      <c r="M73" s="7">
        <v>-4.7500000000000001E-2</v>
      </c>
    </row>
    <row r="74" spans="1:13" x14ac:dyDescent="0.2">
      <c r="A74" s="6">
        <v>44032</v>
      </c>
      <c r="B74" s="2" t="s">
        <v>228</v>
      </c>
      <c r="C74" s="5">
        <v>44013</v>
      </c>
      <c r="D74" s="2" t="s">
        <v>177</v>
      </c>
      <c r="E74" s="3">
        <v>3160</v>
      </c>
      <c r="F74" s="8">
        <v>0.24390000000000001</v>
      </c>
      <c r="G74" s="4">
        <v>38.465000000000003</v>
      </c>
      <c r="H74" s="4">
        <v>37.353099999999998</v>
      </c>
      <c r="I74" s="4">
        <v>24.157499999999999</v>
      </c>
      <c r="J74" s="4">
        <v>25.12</v>
      </c>
      <c r="K74" s="4">
        <v>24.157499999999999</v>
      </c>
      <c r="L74" s="4">
        <v>24.712499999999999</v>
      </c>
      <c r="M74" s="7">
        <v>2.3E-2</v>
      </c>
    </row>
    <row r="75" spans="1:13" x14ac:dyDescent="0.2">
      <c r="A75" s="6">
        <v>44033</v>
      </c>
      <c r="B75" s="2" t="s">
        <v>226</v>
      </c>
      <c r="C75" s="5">
        <v>44013</v>
      </c>
      <c r="D75" s="2" t="s">
        <v>177</v>
      </c>
      <c r="E75" s="3">
        <v>3089</v>
      </c>
      <c r="F75" s="8">
        <v>0.21920000000000001</v>
      </c>
      <c r="G75" s="4">
        <v>37.9497</v>
      </c>
      <c r="H75" s="4">
        <v>39.141399999999997</v>
      </c>
      <c r="I75" s="4">
        <v>24.712499999999999</v>
      </c>
      <c r="J75" s="4">
        <v>24.712499999999999</v>
      </c>
      <c r="K75" s="4">
        <v>23.725000000000001</v>
      </c>
      <c r="L75" s="4">
        <v>24.427499999999998</v>
      </c>
      <c r="M75" s="7">
        <v>-1.15E-2</v>
      </c>
    </row>
    <row r="76" spans="1:13" x14ac:dyDescent="0.2">
      <c r="A76" s="6">
        <v>44034</v>
      </c>
      <c r="B76" s="2" t="s">
        <v>224</v>
      </c>
      <c r="C76" s="5">
        <v>44013</v>
      </c>
      <c r="D76" s="2" t="s">
        <v>177</v>
      </c>
      <c r="E76" s="3">
        <v>3064</v>
      </c>
      <c r="F76" s="8">
        <v>0.23549999999999999</v>
      </c>
      <c r="G76" s="4">
        <v>37.207700000000003</v>
      </c>
      <c r="H76" s="4">
        <v>37.622199999999999</v>
      </c>
      <c r="I76" s="4">
        <v>24.427499999999998</v>
      </c>
      <c r="J76" s="4">
        <v>25.802499999999998</v>
      </c>
      <c r="K76" s="4">
        <v>23.73</v>
      </c>
      <c r="L76" s="4">
        <v>24.885000000000002</v>
      </c>
      <c r="M76" s="7">
        <v>1.8700000000000001E-2</v>
      </c>
    </row>
    <row r="77" spans="1:13" x14ac:dyDescent="0.2">
      <c r="A77" s="6">
        <v>44035</v>
      </c>
      <c r="B77" s="2" t="s">
        <v>227</v>
      </c>
      <c r="C77" s="5">
        <v>44013</v>
      </c>
      <c r="D77" s="2" t="s">
        <v>177</v>
      </c>
      <c r="E77" s="3">
        <v>3075</v>
      </c>
      <c r="F77" s="8">
        <v>0.25169999999999998</v>
      </c>
      <c r="G77" s="4">
        <v>30.9055</v>
      </c>
      <c r="H77" s="4">
        <v>35.869199999999999</v>
      </c>
      <c r="I77" s="4">
        <v>24.885000000000002</v>
      </c>
      <c r="J77" s="4">
        <v>24.934999999999999</v>
      </c>
      <c r="K77" s="4">
        <v>24.0075</v>
      </c>
      <c r="L77" s="4">
        <v>24.64</v>
      </c>
      <c r="M77" s="7">
        <v>-9.7999999999999997E-3</v>
      </c>
    </row>
    <row r="78" spans="1:13" x14ac:dyDescent="0.2">
      <c r="A78" s="6">
        <v>44036</v>
      </c>
      <c r="B78" s="2" t="s">
        <v>225</v>
      </c>
      <c r="C78" s="5">
        <v>44013</v>
      </c>
      <c r="D78" s="2" t="s">
        <v>177</v>
      </c>
      <c r="E78" s="3">
        <v>3050</v>
      </c>
      <c r="F78" s="8">
        <v>0.23039999999999999</v>
      </c>
      <c r="G78" s="4">
        <v>41.012099999999997</v>
      </c>
      <c r="H78" s="4">
        <v>37.3566</v>
      </c>
      <c r="I78" s="4">
        <v>24.64</v>
      </c>
      <c r="J78" s="4">
        <v>25.295000000000002</v>
      </c>
      <c r="K78" s="4">
        <v>22.737500000000001</v>
      </c>
      <c r="L78" s="4">
        <v>24.535</v>
      </c>
      <c r="M78" s="7">
        <v>-4.3E-3</v>
      </c>
    </row>
    <row r="79" spans="1:13" x14ac:dyDescent="0.2">
      <c r="A79" s="6">
        <v>44039</v>
      </c>
      <c r="B79" s="2" t="s">
        <v>228</v>
      </c>
      <c r="C79" s="5">
        <v>44013</v>
      </c>
      <c r="D79" s="2" t="s">
        <v>177</v>
      </c>
      <c r="E79" s="3">
        <v>3129</v>
      </c>
      <c r="F79" s="8">
        <v>0.22409999999999999</v>
      </c>
      <c r="G79" s="4">
        <v>32.1126</v>
      </c>
      <c r="H79" s="4">
        <v>33.698999999999998</v>
      </c>
      <c r="I79" s="4">
        <v>24.535</v>
      </c>
      <c r="J79" s="4">
        <v>25.717500000000001</v>
      </c>
      <c r="K79" s="4">
        <v>23.29</v>
      </c>
      <c r="L79" s="4">
        <v>25.017499999999998</v>
      </c>
      <c r="M79" s="7">
        <v>1.9699999999999999E-2</v>
      </c>
    </row>
    <row r="80" spans="1:13" x14ac:dyDescent="0.2">
      <c r="A80" s="6">
        <v>44040</v>
      </c>
      <c r="B80" s="2" t="s">
        <v>226</v>
      </c>
      <c r="C80" s="5">
        <v>44013</v>
      </c>
      <c r="D80" s="2" t="s">
        <v>177</v>
      </c>
      <c r="E80" s="3">
        <v>3064</v>
      </c>
      <c r="F80" s="8">
        <v>0.2094</v>
      </c>
      <c r="G80" s="4">
        <v>39.872500000000002</v>
      </c>
      <c r="H80" s="4">
        <v>32.020499999999998</v>
      </c>
      <c r="I80" s="4">
        <v>25.017499999999998</v>
      </c>
      <c r="J80" s="4">
        <v>25.215</v>
      </c>
      <c r="K80" s="4">
        <v>23.545000000000002</v>
      </c>
      <c r="L80" s="4">
        <v>23.642499999999998</v>
      </c>
      <c r="M80" s="7">
        <v>-5.5E-2</v>
      </c>
    </row>
    <row r="81" spans="1:13" x14ac:dyDescent="0.2">
      <c r="A81" s="6">
        <v>44041</v>
      </c>
      <c r="B81" s="2" t="s">
        <v>224</v>
      </c>
      <c r="C81" s="5">
        <v>44013</v>
      </c>
      <c r="D81" s="2" t="s">
        <v>177</v>
      </c>
      <c r="E81" s="3">
        <v>3108</v>
      </c>
      <c r="F81" s="8">
        <v>0.21329999999999999</v>
      </c>
      <c r="G81" s="4">
        <v>43.905500000000004</v>
      </c>
      <c r="H81" s="4">
        <v>35.720300000000002</v>
      </c>
      <c r="I81" s="4">
        <v>23.642499999999998</v>
      </c>
      <c r="J81" s="4">
        <v>24.497499999999999</v>
      </c>
      <c r="K81" s="4">
        <v>23.642499999999998</v>
      </c>
      <c r="L81" s="4">
        <v>24.112500000000001</v>
      </c>
      <c r="M81" s="7">
        <v>1.9900000000000001E-2</v>
      </c>
    </row>
    <row r="82" spans="1:13" x14ac:dyDescent="0.2">
      <c r="A82" s="6">
        <v>44042</v>
      </c>
      <c r="B82" s="2" t="s">
        <v>227</v>
      </c>
      <c r="C82" s="5">
        <v>44013</v>
      </c>
      <c r="D82" s="2" t="s">
        <v>177</v>
      </c>
      <c r="E82" s="3">
        <v>3048</v>
      </c>
      <c r="F82" s="8">
        <v>0.21640000000000001</v>
      </c>
      <c r="G82" s="4">
        <v>36.546300000000002</v>
      </c>
      <c r="H82" s="4">
        <v>37.411000000000001</v>
      </c>
      <c r="I82" s="4">
        <v>24.112500000000001</v>
      </c>
      <c r="J82" s="4">
        <v>25.142499999999998</v>
      </c>
      <c r="K82" s="4">
        <v>22.09</v>
      </c>
      <c r="L82" s="4">
        <v>24.727499999999999</v>
      </c>
      <c r="M82" s="7">
        <v>2.5499999999999998E-2</v>
      </c>
    </row>
    <row r="83" spans="1:13" x14ac:dyDescent="0.2">
      <c r="A83" s="6">
        <v>44043</v>
      </c>
      <c r="B83" s="2" t="s">
        <v>225</v>
      </c>
      <c r="C83" s="5">
        <v>44013</v>
      </c>
      <c r="D83" s="2" t="s">
        <v>177</v>
      </c>
      <c r="E83" s="3">
        <v>3100</v>
      </c>
      <c r="F83" s="8">
        <v>0.22500000000000001</v>
      </c>
      <c r="G83" s="4">
        <v>37.834800000000001</v>
      </c>
      <c r="H83" s="4">
        <v>35.1404</v>
      </c>
      <c r="I83" s="4">
        <v>24.727499999999999</v>
      </c>
      <c r="J83" s="4">
        <v>25.372499999999999</v>
      </c>
      <c r="K83" s="4">
        <v>23.967500000000001</v>
      </c>
      <c r="L83" s="4">
        <v>24.192499999999999</v>
      </c>
      <c r="M83" s="7">
        <v>-2.1600000000000001E-2</v>
      </c>
    </row>
    <row r="84" spans="1:13" x14ac:dyDescent="0.2">
      <c r="A84" s="6">
        <v>44046</v>
      </c>
      <c r="B84" s="2" t="s">
        <v>228</v>
      </c>
      <c r="C84" s="5">
        <v>44044</v>
      </c>
      <c r="D84" s="2" t="s">
        <v>177</v>
      </c>
      <c r="E84" s="3">
        <v>3072</v>
      </c>
      <c r="F84" s="8">
        <v>0.21240000000000001</v>
      </c>
      <c r="G84" s="4">
        <v>73.581999999999994</v>
      </c>
      <c r="H84" s="4">
        <v>154.03460000000001</v>
      </c>
      <c r="I84" s="4">
        <v>24.192499999999999</v>
      </c>
      <c r="J84" s="4">
        <v>25.69</v>
      </c>
      <c r="K84" s="4">
        <v>23.262499999999999</v>
      </c>
      <c r="L84" s="4">
        <v>25.184999999999999</v>
      </c>
      <c r="M84" s="7">
        <v>4.1000000000000002E-2</v>
      </c>
    </row>
    <row r="85" spans="1:13" x14ac:dyDescent="0.2">
      <c r="A85" s="6">
        <v>44047</v>
      </c>
      <c r="B85" s="2" t="s">
        <v>226</v>
      </c>
      <c r="C85" s="5">
        <v>44044</v>
      </c>
      <c r="D85" s="2" t="s">
        <v>177</v>
      </c>
      <c r="E85" s="3">
        <v>3043</v>
      </c>
      <c r="F85" s="8">
        <v>0.2084</v>
      </c>
      <c r="G85" s="4">
        <v>30.306100000000001</v>
      </c>
      <c r="H85" s="4">
        <v>34.706000000000003</v>
      </c>
      <c r="I85" s="4">
        <v>25.184999999999999</v>
      </c>
      <c r="J85" s="4">
        <v>25.184999999999999</v>
      </c>
      <c r="K85" s="4">
        <v>23.555</v>
      </c>
      <c r="L85" s="4">
        <v>23.815000000000001</v>
      </c>
      <c r="M85" s="7">
        <v>-5.4399999999999997E-2</v>
      </c>
    </row>
    <row r="86" spans="1:13" x14ac:dyDescent="0.2">
      <c r="A86" s="6">
        <v>44048</v>
      </c>
      <c r="B86" s="2" t="s">
        <v>224</v>
      </c>
      <c r="C86" s="5">
        <v>44044</v>
      </c>
      <c r="D86" s="2" t="s">
        <v>177</v>
      </c>
      <c r="E86" s="3">
        <v>3058</v>
      </c>
      <c r="F86" s="8">
        <v>0.20380000000000001</v>
      </c>
      <c r="G86" s="4">
        <v>33.112099999999998</v>
      </c>
      <c r="H86" s="4">
        <v>38.816099999999999</v>
      </c>
      <c r="I86" s="4">
        <v>23.815000000000001</v>
      </c>
      <c r="J86" s="4">
        <v>23.932500000000001</v>
      </c>
      <c r="K86" s="4">
        <v>21.824999999999999</v>
      </c>
      <c r="L86" s="4">
        <v>23.567499999999999</v>
      </c>
      <c r="M86" s="7">
        <v>-1.04E-2</v>
      </c>
    </row>
    <row r="87" spans="1:13" x14ac:dyDescent="0.2">
      <c r="A87" s="6">
        <v>44049</v>
      </c>
      <c r="B87" s="2" t="s">
        <v>227</v>
      </c>
      <c r="C87" s="5">
        <v>44044</v>
      </c>
      <c r="D87" s="2" t="s">
        <v>177</v>
      </c>
      <c r="E87" s="3">
        <v>3086</v>
      </c>
      <c r="F87" s="8">
        <v>0.2102</v>
      </c>
      <c r="G87" s="4">
        <v>34.161299999999997</v>
      </c>
      <c r="H87" s="4">
        <v>34.540999999999997</v>
      </c>
      <c r="I87" s="4">
        <v>23.567499999999999</v>
      </c>
      <c r="J87" s="4">
        <v>23.704999999999998</v>
      </c>
      <c r="K87" s="4">
        <v>22.524999999999999</v>
      </c>
      <c r="L87" s="4">
        <v>23.15</v>
      </c>
      <c r="M87" s="7">
        <v>-1.77E-2</v>
      </c>
    </row>
    <row r="88" spans="1:13" x14ac:dyDescent="0.2">
      <c r="A88" s="6">
        <v>44050</v>
      </c>
      <c r="B88" s="2" t="s">
        <v>225</v>
      </c>
      <c r="C88" s="5">
        <v>44044</v>
      </c>
      <c r="D88" s="2" t="s">
        <v>177</v>
      </c>
      <c r="E88" s="3">
        <v>3111</v>
      </c>
      <c r="F88" s="8">
        <v>0.2208</v>
      </c>
      <c r="G88" s="4">
        <v>57.287599999999998</v>
      </c>
      <c r="H88" s="4">
        <v>37.506399999999999</v>
      </c>
      <c r="I88" s="4">
        <v>23.15</v>
      </c>
      <c r="J88" s="4">
        <v>23.31</v>
      </c>
      <c r="K88" s="4">
        <v>21.754999999999999</v>
      </c>
      <c r="L88" s="4">
        <v>22.577500000000001</v>
      </c>
      <c r="M88" s="7">
        <v>-2.47E-2</v>
      </c>
    </row>
    <row r="89" spans="1:13" x14ac:dyDescent="0.2">
      <c r="A89" s="6">
        <v>44053</v>
      </c>
      <c r="B89" s="2" t="s">
        <v>228</v>
      </c>
      <c r="C89" s="5">
        <v>44044</v>
      </c>
      <c r="D89" s="2" t="s">
        <v>177</v>
      </c>
      <c r="E89" s="3">
        <v>3206</v>
      </c>
      <c r="F89" s="8">
        <v>0.26379999999999998</v>
      </c>
      <c r="G89" s="4">
        <v>45.970199999999998</v>
      </c>
      <c r="H89" s="4">
        <v>40.821100000000001</v>
      </c>
      <c r="I89" s="4">
        <v>22.577500000000001</v>
      </c>
      <c r="J89" s="4">
        <v>23.015000000000001</v>
      </c>
      <c r="K89" s="4">
        <v>21.452500000000001</v>
      </c>
      <c r="L89" s="4">
        <v>22.51</v>
      </c>
      <c r="M89" s="7">
        <v>-3.0000000000000001E-3</v>
      </c>
    </row>
    <row r="90" spans="1:13" x14ac:dyDescent="0.2">
      <c r="A90" s="6">
        <v>44054</v>
      </c>
      <c r="B90" s="2" t="s">
        <v>226</v>
      </c>
      <c r="C90" s="5">
        <v>44044</v>
      </c>
      <c r="D90" s="2" t="s">
        <v>177</v>
      </c>
      <c r="E90" s="3">
        <v>3176</v>
      </c>
      <c r="F90" s="8">
        <v>0.21990000000000001</v>
      </c>
      <c r="G90" s="4">
        <v>38.548299999999998</v>
      </c>
      <c r="H90" s="4">
        <v>34.287799999999997</v>
      </c>
      <c r="I90" s="4">
        <v>22.51</v>
      </c>
      <c r="J90" s="4">
        <v>22.51</v>
      </c>
      <c r="K90" s="4">
        <v>20.215</v>
      </c>
      <c r="L90" s="4">
        <v>21.36</v>
      </c>
      <c r="M90" s="7">
        <v>-5.11E-2</v>
      </c>
    </row>
    <row r="91" spans="1:13" x14ac:dyDescent="0.2">
      <c r="A91" s="6">
        <v>44055</v>
      </c>
      <c r="B91" s="2" t="s">
        <v>224</v>
      </c>
      <c r="C91" s="5">
        <v>44044</v>
      </c>
      <c r="D91" s="2" t="s">
        <v>177</v>
      </c>
      <c r="E91" s="3">
        <v>3139</v>
      </c>
      <c r="F91" s="8">
        <v>0.22739999999999999</v>
      </c>
      <c r="G91" s="4">
        <v>48.655900000000003</v>
      </c>
      <c r="H91" s="4">
        <v>42.8842</v>
      </c>
      <c r="I91" s="4">
        <v>21.36</v>
      </c>
      <c r="J91" s="4">
        <v>21.922499999999999</v>
      </c>
      <c r="K91" s="4">
        <v>16.850000000000001</v>
      </c>
      <c r="L91" s="4">
        <v>20.844999999999999</v>
      </c>
      <c r="M91" s="7">
        <v>-2.41E-2</v>
      </c>
    </row>
    <row r="92" spans="1:13" x14ac:dyDescent="0.2">
      <c r="A92" s="6">
        <v>44056</v>
      </c>
      <c r="B92" s="2" t="s">
        <v>227</v>
      </c>
      <c r="C92" s="5">
        <v>44044</v>
      </c>
      <c r="D92" s="2" t="s">
        <v>177</v>
      </c>
      <c r="E92" s="3">
        <v>3127</v>
      </c>
      <c r="F92" s="8">
        <v>0.25180000000000002</v>
      </c>
      <c r="G92" s="4">
        <v>60.369700000000002</v>
      </c>
      <c r="H92" s="4">
        <v>39.538600000000002</v>
      </c>
      <c r="I92" s="4">
        <v>20.844999999999999</v>
      </c>
      <c r="J92" s="4">
        <v>21.19</v>
      </c>
      <c r="K92" s="4">
        <v>19.46</v>
      </c>
      <c r="L92" s="4">
        <v>20.567499999999999</v>
      </c>
      <c r="M92" s="7">
        <v>-1.3299999999999999E-2</v>
      </c>
    </row>
    <row r="93" spans="1:13" x14ac:dyDescent="0.2">
      <c r="A93" s="6">
        <v>44057</v>
      </c>
      <c r="B93" s="2" t="s">
        <v>225</v>
      </c>
      <c r="C93" s="5">
        <v>44044</v>
      </c>
      <c r="D93" s="2" t="s">
        <v>177</v>
      </c>
      <c r="E93" s="3">
        <v>3124</v>
      </c>
      <c r="F93" s="8">
        <v>0.25509999999999999</v>
      </c>
      <c r="G93" s="4">
        <v>47.124299999999998</v>
      </c>
      <c r="H93" s="4">
        <v>39.853499999999997</v>
      </c>
      <c r="I93" s="4">
        <v>20.567499999999999</v>
      </c>
      <c r="J93" s="4">
        <v>22.97</v>
      </c>
      <c r="K93" s="4">
        <v>16.34</v>
      </c>
      <c r="L93" s="4">
        <v>21.672499999999999</v>
      </c>
      <c r="M93" s="7">
        <v>5.3699999999999998E-2</v>
      </c>
    </row>
    <row r="94" spans="1:13" x14ac:dyDescent="0.2">
      <c r="A94" s="6">
        <v>44060</v>
      </c>
      <c r="B94" s="2" t="s">
        <v>228</v>
      </c>
      <c r="C94" s="5">
        <v>44044</v>
      </c>
      <c r="D94" s="2" t="s">
        <v>177</v>
      </c>
      <c r="E94" s="3">
        <v>3196</v>
      </c>
      <c r="F94" s="8">
        <v>0.2155</v>
      </c>
      <c r="G94" s="4">
        <v>39.8155</v>
      </c>
      <c r="H94" s="4">
        <v>32.470500000000001</v>
      </c>
      <c r="I94" s="4">
        <v>21.672499999999999</v>
      </c>
      <c r="J94" s="4">
        <v>22.877500000000001</v>
      </c>
      <c r="K94" s="4">
        <v>19.557500000000001</v>
      </c>
      <c r="L94" s="4">
        <v>21.307500000000001</v>
      </c>
      <c r="M94" s="7">
        <v>-1.6799999999999999E-2</v>
      </c>
    </row>
    <row r="95" spans="1:13" x14ac:dyDescent="0.2">
      <c r="A95" s="6">
        <v>44061</v>
      </c>
      <c r="B95" s="2" t="s">
        <v>226</v>
      </c>
      <c r="C95" s="5">
        <v>44044</v>
      </c>
      <c r="D95" s="2" t="s">
        <v>177</v>
      </c>
      <c r="E95" s="3">
        <v>3206</v>
      </c>
      <c r="F95" s="8">
        <v>0.2016</v>
      </c>
      <c r="G95" s="4">
        <v>41.483499999999999</v>
      </c>
      <c r="H95" s="4">
        <v>31.507200000000001</v>
      </c>
      <c r="I95" s="4">
        <v>21.307500000000001</v>
      </c>
      <c r="J95" s="4">
        <v>21.307500000000001</v>
      </c>
      <c r="K95" s="4">
        <v>18.252500000000001</v>
      </c>
      <c r="L95" s="4">
        <v>20.43</v>
      </c>
      <c r="M95" s="7">
        <v>-4.1200000000000001E-2</v>
      </c>
    </row>
    <row r="96" spans="1:13" x14ac:dyDescent="0.2">
      <c r="A96" s="6">
        <v>44062</v>
      </c>
      <c r="B96" s="2" t="s">
        <v>224</v>
      </c>
      <c r="C96" s="5">
        <v>44044</v>
      </c>
      <c r="D96" s="2" t="s">
        <v>177</v>
      </c>
      <c r="E96" s="3">
        <v>3206</v>
      </c>
      <c r="F96" s="8">
        <v>0.21110000000000001</v>
      </c>
      <c r="G96" s="4">
        <v>46.55</v>
      </c>
      <c r="H96" s="4">
        <v>33.988999999999997</v>
      </c>
      <c r="I96" s="4">
        <v>20.43</v>
      </c>
      <c r="J96" s="4">
        <v>20.43</v>
      </c>
      <c r="K96" s="4">
        <v>17.835000000000001</v>
      </c>
      <c r="L96" s="4">
        <v>19.9575</v>
      </c>
      <c r="M96" s="7">
        <v>-2.3099999999999999E-2</v>
      </c>
    </row>
    <row r="97" spans="1:13" x14ac:dyDescent="0.2">
      <c r="A97" s="6">
        <v>44063</v>
      </c>
      <c r="B97" s="2" t="s">
        <v>227</v>
      </c>
      <c r="C97" s="5">
        <v>44044</v>
      </c>
      <c r="D97" s="2" t="s">
        <v>177</v>
      </c>
      <c r="E97" s="3">
        <v>3172</v>
      </c>
      <c r="F97" s="8">
        <v>0.22919999999999999</v>
      </c>
      <c r="G97" s="4">
        <v>44.9621</v>
      </c>
      <c r="H97" s="4">
        <v>37.123199999999997</v>
      </c>
      <c r="I97" s="4">
        <v>19.9575</v>
      </c>
      <c r="J97" s="4">
        <v>21.08</v>
      </c>
      <c r="K97" s="4">
        <v>17.662500000000001</v>
      </c>
      <c r="L97" s="4">
        <v>20.6175</v>
      </c>
      <c r="M97" s="7">
        <v>3.3099999999999997E-2</v>
      </c>
    </row>
    <row r="98" spans="1:13" x14ac:dyDescent="0.2">
      <c r="A98" s="6">
        <v>44064</v>
      </c>
      <c r="B98" s="2" t="s">
        <v>225</v>
      </c>
      <c r="C98" s="5">
        <v>44044</v>
      </c>
      <c r="D98" s="2" t="s">
        <v>177</v>
      </c>
      <c r="E98" s="3">
        <v>3241</v>
      </c>
      <c r="F98" s="8">
        <v>0.22409999999999999</v>
      </c>
      <c r="G98" s="4">
        <v>42.284999999999997</v>
      </c>
      <c r="H98" s="4">
        <v>35.421100000000003</v>
      </c>
      <c r="I98" s="4">
        <v>20.6175</v>
      </c>
      <c r="J98" s="4">
        <v>20.6175</v>
      </c>
      <c r="K98" s="4">
        <v>14.885</v>
      </c>
      <c r="L98" s="4">
        <v>19.9375</v>
      </c>
      <c r="M98" s="7">
        <v>-3.3000000000000002E-2</v>
      </c>
    </row>
    <row r="99" spans="1:13" x14ac:dyDescent="0.2">
      <c r="A99" s="6">
        <v>44067</v>
      </c>
      <c r="B99" s="2" t="s">
        <v>228</v>
      </c>
      <c r="C99" s="5">
        <v>44044</v>
      </c>
      <c r="D99" s="2" t="s">
        <v>177</v>
      </c>
      <c r="E99" s="3">
        <v>3309</v>
      </c>
      <c r="F99" s="8">
        <v>0.2462</v>
      </c>
      <c r="G99" s="4">
        <v>51.697699999999998</v>
      </c>
      <c r="H99" s="4">
        <v>42.203499999999998</v>
      </c>
      <c r="I99" s="4">
        <v>19.9375</v>
      </c>
      <c r="J99" s="4">
        <v>20.067499999999999</v>
      </c>
      <c r="K99" s="4">
        <v>17.887499999999999</v>
      </c>
      <c r="L99" s="4">
        <v>19.23</v>
      </c>
      <c r="M99" s="7">
        <v>-3.5499999999999997E-2</v>
      </c>
    </row>
    <row r="100" spans="1:13" x14ac:dyDescent="0.2">
      <c r="A100" s="6">
        <v>44068</v>
      </c>
      <c r="B100" s="2" t="s">
        <v>226</v>
      </c>
      <c r="C100" s="5">
        <v>44044</v>
      </c>
      <c r="D100" s="2" t="s">
        <v>177</v>
      </c>
      <c r="E100" s="3">
        <v>3220</v>
      </c>
      <c r="F100" s="8">
        <v>0.21410000000000001</v>
      </c>
      <c r="G100" s="4">
        <v>42.674199999999999</v>
      </c>
      <c r="H100" s="4">
        <v>52.095700000000001</v>
      </c>
      <c r="I100" s="4">
        <v>19.23</v>
      </c>
      <c r="J100" s="4">
        <v>19.805</v>
      </c>
      <c r="K100" s="4">
        <v>15.422499999999999</v>
      </c>
      <c r="L100" s="4">
        <v>19.315000000000001</v>
      </c>
      <c r="M100" s="7">
        <v>4.4000000000000003E-3</v>
      </c>
    </row>
    <row r="101" spans="1:13" x14ac:dyDescent="0.2">
      <c r="A101" s="6">
        <v>44069</v>
      </c>
      <c r="B101" s="2" t="s">
        <v>224</v>
      </c>
      <c r="C101" s="5">
        <v>44044</v>
      </c>
      <c r="D101" s="2" t="s">
        <v>177</v>
      </c>
      <c r="E101" s="3">
        <v>3308</v>
      </c>
      <c r="F101" s="8">
        <v>0.25209999999999999</v>
      </c>
      <c r="G101" s="4">
        <v>41.594499999999996</v>
      </c>
      <c r="H101" s="4">
        <v>38.260599999999997</v>
      </c>
      <c r="I101" s="4">
        <v>19.315000000000001</v>
      </c>
      <c r="J101" s="4">
        <v>19.592500000000001</v>
      </c>
      <c r="K101" s="4">
        <v>17.2225</v>
      </c>
      <c r="L101" s="4">
        <v>19.302499999999998</v>
      </c>
      <c r="M101" s="7">
        <v>-5.9999999999999995E-4</v>
      </c>
    </row>
    <row r="102" spans="1:13" x14ac:dyDescent="0.2">
      <c r="A102" s="6">
        <v>44070</v>
      </c>
      <c r="B102" s="2" t="s">
        <v>227</v>
      </c>
      <c r="C102" s="5">
        <v>44044</v>
      </c>
      <c r="D102" s="2" t="s">
        <v>177</v>
      </c>
      <c r="E102" s="3">
        <v>3293</v>
      </c>
      <c r="F102" s="8">
        <v>0.21060000000000001</v>
      </c>
      <c r="G102" s="4">
        <v>41.925199999999997</v>
      </c>
      <c r="H102" s="4">
        <v>36.770499999999998</v>
      </c>
      <c r="I102" s="4">
        <v>19.302499999999998</v>
      </c>
      <c r="J102" s="4">
        <v>19.47</v>
      </c>
      <c r="K102" s="4">
        <v>17.452500000000001</v>
      </c>
      <c r="L102" s="4">
        <v>18.895</v>
      </c>
      <c r="M102" s="7">
        <v>-2.1100000000000001E-2</v>
      </c>
    </row>
    <row r="103" spans="1:13" x14ac:dyDescent="0.2">
      <c r="A103" s="6">
        <v>44071</v>
      </c>
      <c r="B103" s="2" t="s">
        <v>225</v>
      </c>
      <c r="C103" s="5">
        <v>44044</v>
      </c>
      <c r="D103" s="2" t="s">
        <v>177</v>
      </c>
      <c r="E103" s="3">
        <v>3336</v>
      </c>
      <c r="F103" s="8">
        <v>0.23019999999999999</v>
      </c>
      <c r="G103" s="4">
        <v>70.876599999999996</v>
      </c>
      <c r="H103" s="4">
        <v>42.987699999999997</v>
      </c>
      <c r="I103" s="4">
        <v>18.895</v>
      </c>
      <c r="J103" s="4">
        <v>18.895</v>
      </c>
      <c r="K103" s="4">
        <v>16.655000000000001</v>
      </c>
      <c r="L103" s="4">
        <v>18.3475</v>
      </c>
      <c r="M103" s="7">
        <v>-2.9000000000000001E-2</v>
      </c>
    </row>
    <row r="104" spans="1:13" x14ac:dyDescent="0.2">
      <c r="A104" s="6">
        <v>44074</v>
      </c>
      <c r="B104" s="2" t="s">
        <v>228</v>
      </c>
      <c r="C104" s="5">
        <v>44044</v>
      </c>
      <c r="D104" s="2" t="s">
        <v>177</v>
      </c>
      <c r="E104" s="3">
        <v>3279</v>
      </c>
      <c r="F104" s="8">
        <v>0.33379999999999999</v>
      </c>
      <c r="G104" s="4">
        <v>63.718200000000003</v>
      </c>
      <c r="H104" s="4">
        <v>50.981299999999997</v>
      </c>
      <c r="I104" s="4">
        <v>18.3475</v>
      </c>
      <c r="J104" s="4">
        <v>23.872499999999999</v>
      </c>
      <c r="K104" s="4">
        <v>16.399999999999999</v>
      </c>
      <c r="L104" s="4">
        <v>22.835000000000001</v>
      </c>
      <c r="M104" s="7">
        <v>0.24460000000000001</v>
      </c>
    </row>
    <row r="105" spans="1:13" x14ac:dyDescent="0.2">
      <c r="A105" s="6">
        <v>44075</v>
      </c>
      <c r="B105" s="2" t="s">
        <v>226</v>
      </c>
      <c r="C105" s="5">
        <v>44075</v>
      </c>
      <c r="D105" s="2" t="s">
        <v>177</v>
      </c>
      <c r="E105" s="3">
        <v>3066</v>
      </c>
      <c r="F105" s="8">
        <v>0.1996</v>
      </c>
      <c r="G105" s="4">
        <v>52.616599999999998</v>
      </c>
      <c r="H105" s="4">
        <v>35.0092</v>
      </c>
      <c r="I105" s="4">
        <v>22.835000000000001</v>
      </c>
      <c r="J105" s="4">
        <v>23.2425</v>
      </c>
      <c r="K105" s="4">
        <v>21.11</v>
      </c>
      <c r="L105" s="4">
        <v>21.8</v>
      </c>
      <c r="M105" s="7">
        <v>-4.53E-2</v>
      </c>
    </row>
    <row r="106" spans="1:13" x14ac:dyDescent="0.2">
      <c r="A106" s="6">
        <v>44076</v>
      </c>
      <c r="B106" s="2" t="s">
        <v>224</v>
      </c>
      <c r="C106" s="5">
        <v>44075</v>
      </c>
      <c r="D106" s="2" t="s">
        <v>177</v>
      </c>
      <c r="E106" s="3">
        <v>3078</v>
      </c>
      <c r="F106" s="8">
        <v>0.1714</v>
      </c>
      <c r="G106" s="4">
        <v>34.620100000000001</v>
      </c>
      <c r="H106" s="4">
        <v>32.9985</v>
      </c>
      <c r="I106" s="4">
        <v>21.8</v>
      </c>
      <c r="J106" s="4">
        <v>22.495000000000001</v>
      </c>
      <c r="K106" s="4">
        <v>19.852499999999999</v>
      </c>
      <c r="L106" s="4">
        <v>21.105</v>
      </c>
      <c r="M106" s="7">
        <v>-3.1899999999999998E-2</v>
      </c>
    </row>
    <row r="107" spans="1:13" x14ac:dyDescent="0.2">
      <c r="A107" s="6">
        <v>44077</v>
      </c>
      <c r="B107" s="2" t="s">
        <v>227</v>
      </c>
      <c r="C107" s="5">
        <v>44075</v>
      </c>
      <c r="D107" s="2" t="s">
        <v>177</v>
      </c>
      <c r="E107" s="3">
        <v>3110</v>
      </c>
      <c r="F107" s="8">
        <v>0.17879999999999999</v>
      </c>
      <c r="G107" s="4">
        <v>58.663200000000003</v>
      </c>
      <c r="H107" s="4">
        <v>29.6587</v>
      </c>
      <c r="I107" s="4">
        <v>21.105</v>
      </c>
      <c r="J107" s="4">
        <v>21.105</v>
      </c>
      <c r="K107" s="4">
        <v>18.16</v>
      </c>
      <c r="L107" s="4">
        <v>20.502500000000001</v>
      </c>
      <c r="M107" s="7">
        <v>-2.8500000000000001E-2</v>
      </c>
    </row>
    <row r="108" spans="1:13" x14ac:dyDescent="0.2">
      <c r="A108" s="6">
        <v>44078</v>
      </c>
      <c r="B108" s="2" t="s">
        <v>225</v>
      </c>
      <c r="C108" s="5">
        <v>44075</v>
      </c>
      <c r="D108" s="2" t="s">
        <v>177</v>
      </c>
      <c r="E108" s="3">
        <v>3157</v>
      </c>
      <c r="F108" s="8">
        <v>0.20080000000000001</v>
      </c>
      <c r="G108" s="4">
        <v>66.226299999999995</v>
      </c>
      <c r="H108" s="4">
        <v>35.151000000000003</v>
      </c>
      <c r="I108" s="4">
        <v>20.502500000000001</v>
      </c>
      <c r="J108" s="4">
        <v>22.647500000000001</v>
      </c>
      <c r="K108" s="4">
        <v>19.857500000000002</v>
      </c>
      <c r="L108" s="4">
        <v>22.1525</v>
      </c>
      <c r="M108" s="7">
        <v>8.0500000000000002E-2</v>
      </c>
    </row>
    <row r="109" spans="1:13" x14ac:dyDescent="0.2">
      <c r="A109" s="6">
        <v>44081</v>
      </c>
      <c r="B109" s="2" t="s">
        <v>228</v>
      </c>
      <c r="C109" s="5">
        <v>44075</v>
      </c>
      <c r="D109" s="2" t="s">
        <v>177</v>
      </c>
      <c r="E109" s="3">
        <v>3180</v>
      </c>
      <c r="F109" s="8">
        <v>0.16220000000000001</v>
      </c>
      <c r="G109" s="4">
        <v>43.020600000000002</v>
      </c>
      <c r="H109" s="4">
        <v>26.537199999999999</v>
      </c>
      <c r="I109" s="4">
        <v>22.1525</v>
      </c>
      <c r="J109" s="4">
        <v>23.247499999999999</v>
      </c>
      <c r="K109" s="4">
        <v>17.245000000000001</v>
      </c>
      <c r="L109" s="4">
        <v>22.0075</v>
      </c>
      <c r="M109" s="7">
        <v>-6.4999999999999997E-3</v>
      </c>
    </row>
    <row r="110" spans="1:13" x14ac:dyDescent="0.2">
      <c r="A110" s="6">
        <v>44082</v>
      </c>
      <c r="B110" s="2" t="s">
        <v>226</v>
      </c>
      <c r="C110" s="5">
        <v>44075</v>
      </c>
      <c r="D110" s="2" t="s">
        <v>177</v>
      </c>
      <c r="E110" s="3">
        <v>3134</v>
      </c>
      <c r="F110" s="8">
        <v>0.15740000000000001</v>
      </c>
      <c r="G110" s="4">
        <v>31.2347</v>
      </c>
      <c r="H110" s="4">
        <v>26.2837</v>
      </c>
      <c r="I110" s="4">
        <v>22.0075</v>
      </c>
      <c r="J110" s="4">
        <v>23.072500000000002</v>
      </c>
      <c r="K110" s="4">
        <v>17.57</v>
      </c>
      <c r="L110" s="4">
        <v>22.7225</v>
      </c>
      <c r="M110" s="7">
        <v>3.2500000000000001E-2</v>
      </c>
    </row>
    <row r="111" spans="1:13" x14ac:dyDescent="0.2">
      <c r="A111" s="6">
        <v>44083</v>
      </c>
      <c r="B111" s="2" t="s">
        <v>224</v>
      </c>
      <c r="C111" s="5">
        <v>44075</v>
      </c>
      <c r="D111" s="2" t="s">
        <v>177</v>
      </c>
      <c r="E111" s="3">
        <v>3092</v>
      </c>
      <c r="F111" s="8">
        <v>0.16089999999999999</v>
      </c>
      <c r="G111" s="4">
        <v>31.267800000000001</v>
      </c>
      <c r="H111" s="4">
        <v>25.661000000000001</v>
      </c>
      <c r="I111" s="4">
        <v>22.7225</v>
      </c>
      <c r="J111" s="4">
        <v>23.27</v>
      </c>
      <c r="K111" s="4">
        <v>20.197500000000002</v>
      </c>
      <c r="L111" s="4">
        <v>22.23</v>
      </c>
      <c r="M111" s="7">
        <v>-2.1700000000000001E-2</v>
      </c>
    </row>
    <row r="112" spans="1:13" x14ac:dyDescent="0.2">
      <c r="A112" s="6">
        <v>44084</v>
      </c>
      <c r="B112" s="2" t="s">
        <v>227</v>
      </c>
      <c r="C112" s="5">
        <v>44075</v>
      </c>
      <c r="D112" s="2" t="s">
        <v>177</v>
      </c>
      <c r="E112" s="3">
        <v>3119</v>
      </c>
      <c r="F112" s="8">
        <v>0.17019999999999999</v>
      </c>
      <c r="G112" s="4">
        <v>30.0702</v>
      </c>
      <c r="H112" s="4">
        <v>33.0291</v>
      </c>
      <c r="I112" s="4">
        <v>22.23</v>
      </c>
      <c r="J112" s="4">
        <v>22.23</v>
      </c>
      <c r="K112" s="4">
        <v>17.7</v>
      </c>
      <c r="L112" s="4">
        <v>21.262499999999999</v>
      </c>
      <c r="M112" s="7">
        <v>-4.3499999999999997E-2</v>
      </c>
    </row>
    <row r="113" spans="1:13" x14ac:dyDescent="0.2">
      <c r="A113" s="6">
        <v>44085</v>
      </c>
      <c r="B113" s="2" t="s">
        <v>225</v>
      </c>
      <c r="C113" s="5">
        <v>44075</v>
      </c>
      <c r="D113" s="2" t="s">
        <v>177</v>
      </c>
      <c r="E113" s="3">
        <v>3133</v>
      </c>
      <c r="F113" s="8">
        <v>0.15670000000000001</v>
      </c>
      <c r="G113" s="4">
        <v>30.3202</v>
      </c>
      <c r="H113" s="4">
        <v>31.699300000000001</v>
      </c>
      <c r="I113" s="4">
        <v>21.262499999999999</v>
      </c>
      <c r="J113" s="4">
        <v>21.344999999999999</v>
      </c>
      <c r="K113" s="4">
        <v>18.172499999999999</v>
      </c>
      <c r="L113" s="4">
        <v>20.712499999999999</v>
      </c>
      <c r="M113" s="7">
        <v>-2.5899999999999999E-2</v>
      </c>
    </row>
    <row r="114" spans="1:13" x14ac:dyDescent="0.2">
      <c r="A114" s="6">
        <v>44088</v>
      </c>
      <c r="B114" s="2" t="s">
        <v>228</v>
      </c>
      <c r="C114" s="5">
        <v>44075</v>
      </c>
      <c r="D114" s="2" t="s">
        <v>177</v>
      </c>
      <c r="E114" s="3">
        <v>3213</v>
      </c>
      <c r="F114" s="8">
        <v>0.2145</v>
      </c>
      <c r="G114" s="4">
        <v>35.207799999999999</v>
      </c>
      <c r="H114" s="4">
        <v>37.696199999999997</v>
      </c>
      <c r="I114" s="4">
        <v>20.712499999999999</v>
      </c>
      <c r="J114" s="4">
        <v>21.74</v>
      </c>
      <c r="K114" s="4">
        <v>17.532499999999999</v>
      </c>
      <c r="L114" s="4">
        <v>21.19</v>
      </c>
      <c r="M114" s="7">
        <v>2.3099999999999999E-2</v>
      </c>
    </row>
    <row r="115" spans="1:13" x14ac:dyDescent="0.2">
      <c r="A115" s="6">
        <v>44089</v>
      </c>
      <c r="B115" s="2" t="s">
        <v>226</v>
      </c>
      <c r="C115" s="5">
        <v>44075</v>
      </c>
      <c r="D115" s="2" t="s">
        <v>177</v>
      </c>
      <c r="E115" s="3">
        <v>3192</v>
      </c>
      <c r="F115" s="8">
        <v>0.16400000000000001</v>
      </c>
      <c r="G115" s="4">
        <v>35.920699999999997</v>
      </c>
      <c r="H115" s="4">
        <v>27.504899999999999</v>
      </c>
      <c r="I115" s="4">
        <v>21.19</v>
      </c>
      <c r="J115" s="4">
        <v>21.19</v>
      </c>
      <c r="K115" s="4">
        <v>18.897500000000001</v>
      </c>
      <c r="L115" s="4">
        <v>20.5975</v>
      </c>
      <c r="M115" s="7">
        <v>-2.8000000000000001E-2</v>
      </c>
    </row>
    <row r="116" spans="1:13" x14ac:dyDescent="0.2">
      <c r="A116" s="6">
        <v>44090</v>
      </c>
      <c r="B116" s="2" t="s">
        <v>224</v>
      </c>
      <c r="C116" s="5">
        <v>44075</v>
      </c>
      <c r="D116" s="2" t="s">
        <v>177</v>
      </c>
      <c r="E116" s="3">
        <v>3195</v>
      </c>
      <c r="F116" s="8">
        <v>0.15060000000000001</v>
      </c>
      <c r="G116" s="4">
        <v>23.547499999999999</v>
      </c>
      <c r="H116" s="4">
        <v>31.3368</v>
      </c>
      <c r="I116" s="4">
        <v>20.5975</v>
      </c>
      <c r="J116" s="4">
        <v>20.5975</v>
      </c>
      <c r="K116" s="4">
        <v>16.324999999999999</v>
      </c>
      <c r="L116" s="4">
        <v>19.66</v>
      </c>
      <c r="M116" s="7">
        <v>-4.5499999999999999E-2</v>
      </c>
    </row>
    <row r="117" spans="1:13" x14ac:dyDescent="0.2">
      <c r="A117" s="6">
        <v>44091</v>
      </c>
      <c r="B117" s="2" t="s">
        <v>227</v>
      </c>
      <c r="C117" s="5">
        <v>44075</v>
      </c>
      <c r="D117" s="2" t="s">
        <v>177</v>
      </c>
      <c r="E117" s="3">
        <v>3139</v>
      </c>
      <c r="F117" s="8">
        <v>0.18049999999999999</v>
      </c>
      <c r="G117" s="4">
        <v>24.493500000000001</v>
      </c>
      <c r="H117" s="4">
        <v>28.2135</v>
      </c>
      <c r="I117" s="4">
        <v>19.66</v>
      </c>
      <c r="J117" s="4">
        <v>20.682500000000001</v>
      </c>
      <c r="K117" s="4">
        <v>17.552499999999998</v>
      </c>
      <c r="L117" s="4">
        <v>20.100000000000001</v>
      </c>
      <c r="M117" s="7">
        <v>2.24E-2</v>
      </c>
    </row>
    <row r="118" spans="1:13" x14ac:dyDescent="0.2">
      <c r="A118" s="6">
        <v>44092</v>
      </c>
      <c r="B118" s="2" t="s">
        <v>225</v>
      </c>
      <c r="C118" s="5">
        <v>44075</v>
      </c>
      <c r="D118" s="2" t="s">
        <v>177</v>
      </c>
      <c r="E118" s="3">
        <v>3172</v>
      </c>
      <c r="F118" s="8">
        <v>0.1956</v>
      </c>
      <c r="G118" s="4">
        <v>35.047699999999999</v>
      </c>
      <c r="H118" s="4">
        <v>56.340299999999999</v>
      </c>
      <c r="I118" s="4">
        <v>20.100000000000001</v>
      </c>
      <c r="J118" s="4">
        <v>20.77</v>
      </c>
      <c r="K118" s="4">
        <v>17.5825</v>
      </c>
      <c r="L118" s="4">
        <v>20.045000000000002</v>
      </c>
      <c r="M118" s="7">
        <v>-2.7000000000000001E-3</v>
      </c>
    </row>
    <row r="119" spans="1:13" x14ac:dyDescent="0.2">
      <c r="A119" s="6">
        <v>44095</v>
      </c>
      <c r="B119" s="2" t="s">
        <v>228</v>
      </c>
      <c r="C119" s="5">
        <v>44075</v>
      </c>
      <c r="D119" s="2" t="s">
        <v>177</v>
      </c>
      <c r="E119" s="3">
        <v>3208</v>
      </c>
      <c r="F119" s="8">
        <v>0.26240000000000002</v>
      </c>
      <c r="G119" s="4">
        <v>32.517800000000001</v>
      </c>
      <c r="H119" s="4">
        <v>33.697899999999997</v>
      </c>
      <c r="I119" s="4">
        <v>20.045000000000002</v>
      </c>
      <c r="J119" s="4">
        <v>22.9925</v>
      </c>
      <c r="K119" s="4">
        <v>18.267499999999998</v>
      </c>
      <c r="L119" s="4">
        <v>22.1875</v>
      </c>
      <c r="M119" s="7">
        <v>0.1069</v>
      </c>
    </row>
    <row r="120" spans="1:13" x14ac:dyDescent="0.2">
      <c r="A120" s="6">
        <v>44096</v>
      </c>
      <c r="B120" s="2" t="s">
        <v>226</v>
      </c>
      <c r="C120" s="5">
        <v>44075</v>
      </c>
      <c r="D120" s="2" t="s">
        <v>177</v>
      </c>
      <c r="E120" s="3">
        <v>3045</v>
      </c>
      <c r="F120" s="8">
        <v>0.21790000000000001</v>
      </c>
      <c r="G120" s="4">
        <v>33.052700000000002</v>
      </c>
      <c r="H120" s="4">
        <v>31.2608</v>
      </c>
      <c r="I120" s="4">
        <v>22.1875</v>
      </c>
      <c r="J120" s="4">
        <v>23.274999999999999</v>
      </c>
      <c r="K120" s="4">
        <v>15.755000000000001</v>
      </c>
      <c r="L120" s="4">
        <v>21.41</v>
      </c>
      <c r="M120" s="7">
        <v>-3.5000000000000003E-2</v>
      </c>
    </row>
    <row r="121" spans="1:13" x14ac:dyDescent="0.2">
      <c r="A121" s="6">
        <v>44097</v>
      </c>
      <c r="B121" s="2" t="s">
        <v>224</v>
      </c>
      <c r="C121" s="5">
        <v>44075</v>
      </c>
      <c r="D121" s="2" t="s">
        <v>177</v>
      </c>
      <c r="E121" s="3">
        <v>3050</v>
      </c>
      <c r="F121" s="8">
        <v>0.19350000000000001</v>
      </c>
      <c r="G121" s="4">
        <v>33.287300000000002</v>
      </c>
      <c r="H121" s="4">
        <v>29.853300000000001</v>
      </c>
      <c r="I121" s="4">
        <v>21.41</v>
      </c>
      <c r="J121" s="4">
        <v>22.477499999999999</v>
      </c>
      <c r="K121" s="4">
        <v>19.37</v>
      </c>
      <c r="L121" s="4">
        <v>20.99</v>
      </c>
      <c r="M121" s="7">
        <v>-1.9599999999999999E-2</v>
      </c>
    </row>
    <row r="122" spans="1:13" x14ac:dyDescent="0.2">
      <c r="A122" s="6">
        <v>44098</v>
      </c>
      <c r="B122" s="2" t="s">
        <v>227</v>
      </c>
      <c r="C122" s="5">
        <v>44075</v>
      </c>
      <c r="D122" s="2" t="s">
        <v>177</v>
      </c>
      <c r="E122" s="3">
        <v>3078</v>
      </c>
      <c r="F122" s="8">
        <v>0.1893</v>
      </c>
      <c r="G122" s="4">
        <v>33.602600000000002</v>
      </c>
      <c r="H122" s="4">
        <v>28.912199999999999</v>
      </c>
      <c r="I122" s="4">
        <v>20.99</v>
      </c>
      <c r="J122" s="4">
        <v>23.817499999999999</v>
      </c>
      <c r="K122" s="4">
        <v>20.925000000000001</v>
      </c>
      <c r="L122" s="4">
        <v>23.51</v>
      </c>
      <c r="M122" s="7">
        <v>0.1201</v>
      </c>
    </row>
    <row r="123" spans="1:13" x14ac:dyDescent="0.2">
      <c r="A123" s="6">
        <v>44099</v>
      </c>
      <c r="B123" s="2" t="s">
        <v>225</v>
      </c>
      <c r="C123" s="5">
        <v>44075</v>
      </c>
      <c r="D123" s="2" t="s">
        <v>177</v>
      </c>
      <c r="E123" s="3">
        <v>3080</v>
      </c>
      <c r="F123" s="8">
        <v>0.18640000000000001</v>
      </c>
      <c r="G123" s="4">
        <v>39.501300000000001</v>
      </c>
      <c r="H123" s="4">
        <v>30.057700000000001</v>
      </c>
      <c r="I123" s="4">
        <v>23.51</v>
      </c>
      <c r="J123" s="4">
        <v>23.51</v>
      </c>
      <c r="K123" s="4">
        <v>18.6675</v>
      </c>
      <c r="L123" s="4">
        <v>20.675000000000001</v>
      </c>
      <c r="M123" s="7">
        <v>-0.1206</v>
      </c>
    </row>
    <row r="124" spans="1:13" x14ac:dyDescent="0.2">
      <c r="A124" s="6">
        <v>44102</v>
      </c>
      <c r="B124" s="2" t="s">
        <v>228</v>
      </c>
      <c r="C124" s="5">
        <v>44075</v>
      </c>
      <c r="D124" s="2" t="s">
        <v>177</v>
      </c>
      <c r="E124" s="3">
        <v>3145</v>
      </c>
      <c r="F124" s="8">
        <v>0.1971</v>
      </c>
      <c r="G124" s="4">
        <v>33.476599999999998</v>
      </c>
      <c r="H124" s="4">
        <v>32.610999999999997</v>
      </c>
      <c r="I124" s="4">
        <v>20.675000000000001</v>
      </c>
      <c r="J124" s="4">
        <v>21.0975</v>
      </c>
      <c r="K124" s="4">
        <v>19.350000000000001</v>
      </c>
      <c r="L124" s="4">
        <v>19.572500000000002</v>
      </c>
      <c r="M124" s="7">
        <v>-5.33E-2</v>
      </c>
    </row>
    <row r="125" spans="1:13" x14ac:dyDescent="0.2">
      <c r="A125" s="6">
        <v>44103</v>
      </c>
      <c r="B125" s="2" t="s">
        <v>226</v>
      </c>
      <c r="C125" s="5">
        <v>44075</v>
      </c>
      <c r="D125" s="2" t="s">
        <v>177</v>
      </c>
      <c r="E125" s="3">
        <v>3069</v>
      </c>
      <c r="F125" s="8">
        <v>0.1686</v>
      </c>
      <c r="G125" s="4">
        <v>23.555</v>
      </c>
      <c r="H125" s="4">
        <v>23.312999999999999</v>
      </c>
      <c r="I125" s="4">
        <v>19.572500000000002</v>
      </c>
      <c r="J125" s="4">
        <v>20.197500000000002</v>
      </c>
      <c r="K125" s="4">
        <v>18.427499999999998</v>
      </c>
      <c r="L125" s="4">
        <v>19.774999999999999</v>
      </c>
      <c r="M125" s="7">
        <v>1.03E-2</v>
      </c>
    </row>
    <row r="126" spans="1:13" x14ac:dyDescent="0.2">
      <c r="A126" s="6">
        <v>44104</v>
      </c>
      <c r="B126" s="2" t="s">
        <v>224</v>
      </c>
      <c r="C126" s="5">
        <v>44075</v>
      </c>
      <c r="D126" s="2" t="s">
        <v>177</v>
      </c>
      <c r="E126" s="3">
        <v>3027</v>
      </c>
      <c r="F126" s="8">
        <v>0.14849999999999999</v>
      </c>
      <c r="G126" s="4">
        <v>27.014900000000001</v>
      </c>
      <c r="H126" s="4">
        <v>33.427399999999999</v>
      </c>
      <c r="I126" s="4">
        <v>19.774999999999999</v>
      </c>
      <c r="J126" s="4">
        <v>20.215</v>
      </c>
      <c r="K126" s="4">
        <v>17.675000000000001</v>
      </c>
      <c r="L126" s="4">
        <v>19.53</v>
      </c>
      <c r="M126" s="7">
        <v>-1.24E-2</v>
      </c>
    </row>
    <row r="127" spans="1:13" x14ac:dyDescent="0.2">
      <c r="A127" s="6">
        <v>44105</v>
      </c>
      <c r="B127" s="2" t="s">
        <v>227</v>
      </c>
      <c r="C127" s="5">
        <v>44105</v>
      </c>
      <c r="D127" s="2" t="s">
        <v>178</v>
      </c>
      <c r="E127" s="3">
        <v>3085</v>
      </c>
      <c r="F127" s="8">
        <v>0.23300000000000001</v>
      </c>
      <c r="G127" s="4">
        <v>28.8017</v>
      </c>
      <c r="H127" s="4">
        <v>43.927100000000003</v>
      </c>
      <c r="I127" s="4">
        <v>19.53</v>
      </c>
      <c r="J127" s="4">
        <v>19.53</v>
      </c>
      <c r="K127" s="4">
        <v>17.375</v>
      </c>
      <c r="L127" s="4">
        <v>18.350000000000001</v>
      </c>
      <c r="M127" s="7">
        <v>-6.0400000000000002E-2</v>
      </c>
    </row>
    <row r="128" spans="1:13" x14ac:dyDescent="0.2">
      <c r="A128" s="6">
        <v>44109</v>
      </c>
      <c r="B128" s="2" t="s">
        <v>228</v>
      </c>
      <c r="C128" s="5">
        <v>44105</v>
      </c>
      <c r="D128" s="2" t="s">
        <v>178</v>
      </c>
      <c r="E128" s="3">
        <v>3206</v>
      </c>
      <c r="F128" s="8">
        <v>0.18920000000000001</v>
      </c>
      <c r="G128" s="4">
        <v>26.419899999999998</v>
      </c>
      <c r="H128" s="4">
        <v>27.691099999999999</v>
      </c>
      <c r="I128" s="4">
        <v>18.350000000000001</v>
      </c>
      <c r="J128" s="4">
        <v>20.024999999999999</v>
      </c>
      <c r="K128" s="4">
        <v>18.350000000000001</v>
      </c>
      <c r="L128" s="4">
        <v>19.704999999999998</v>
      </c>
      <c r="M128" s="7">
        <v>7.3800000000000004E-2</v>
      </c>
    </row>
    <row r="129" spans="1:13" x14ac:dyDescent="0.2">
      <c r="A129" s="6">
        <v>44110</v>
      </c>
      <c r="B129" s="2" t="s">
        <v>226</v>
      </c>
      <c r="C129" s="5">
        <v>44105</v>
      </c>
      <c r="D129" s="2" t="s">
        <v>178</v>
      </c>
      <c r="E129" s="3">
        <v>3135</v>
      </c>
      <c r="F129" s="8">
        <v>0.16919999999999999</v>
      </c>
      <c r="G129" s="4">
        <v>26.337599999999998</v>
      </c>
      <c r="H129" s="4">
        <v>28.0654</v>
      </c>
      <c r="I129" s="4">
        <v>19.704999999999998</v>
      </c>
      <c r="J129" s="4">
        <v>19.892499999999998</v>
      </c>
      <c r="K129" s="4">
        <v>18.36</v>
      </c>
      <c r="L129" s="4">
        <v>19.635000000000002</v>
      </c>
      <c r="M129" s="7">
        <v>-3.5999999999999999E-3</v>
      </c>
    </row>
    <row r="130" spans="1:13" x14ac:dyDescent="0.2">
      <c r="A130" s="6">
        <v>44111</v>
      </c>
      <c r="B130" s="2" t="s">
        <v>224</v>
      </c>
      <c r="C130" s="5">
        <v>44105</v>
      </c>
      <c r="D130" s="2" t="s">
        <v>178</v>
      </c>
      <c r="E130" s="3">
        <v>3162</v>
      </c>
      <c r="F130" s="8">
        <v>0.16819999999999999</v>
      </c>
      <c r="G130" s="4">
        <v>25.7287</v>
      </c>
      <c r="H130" s="4">
        <v>26.600100000000001</v>
      </c>
      <c r="I130" s="4">
        <v>19.635000000000002</v>
      </c>
      <c r="J130" s="4">
        <v>20.337499999999999</v>
      </c>
      <c r="K130" s="4">
        <v>19.067499999999999</v>
      </c>
      <c r="L130" s="4">
        <v>20.059999999999999</v>
      </c>
      <c r="M130" s="7">
        <v>2.1600000000000001E-2</v>
      </c>
    </row>
    <row r="131" spans="1:13" x14ac:dyDescent="0.2">
      <c r="A131" s="6">
        <v>44112</v>
      </c>
      <c r="B131" s="2" t="s">
        <v>227</v>
      </c>
      <c r="C131" s="5">
        <v>44105</v>
      </c>
      <c r="D131" s="2" t="s">
        <v>178</v>
      </c>
      <c r="E131" s="3">
        <v>3131</v>
      </c>
      <c r="F131" s="8">
        <v>0.18629999999999999</v>
      </c>
      <c r="G131" s="4">
        <v>25.492100000000001</v>
      </c>
      <c r="H131" s="4">
        <v>30.4434</v>
      </c>
      <c r="I131" s="4">
        <v>20.059999999999999</v>
      </c>
      <c r="J131" s="4">
        <v>20.855</v>
      </c>
      <c r="K131" s="4">
        <v>18.977499999999999</v>
      </c>
      <c r="L131" s="4">
        <v>20.38</v>
      </c>
      <c r="M131" s="7">
        <v>1.6E-2</v>
      </c>
    </row>
    <row r="132" spans="1:13" x14ac:dyDescent="0.2">
      <c r="A132" s="6">
        <v>44113</v>
      </c>
      <c r="B132" s="2" t="s">
        <v>225</v>
      </c>
      <c r="C132" s="5">
        <v>44105</v>
      </c>
      <c r="D132" s="2" t="s">
        <v>178</v>
      </c>
      <c r="E132" s="3">
        <v>3144</v>
      </c>
      <c r="F132" s="8">
        <v>0.16689999999999999</v>
      </c>
      <c r="G132" s="4">
        <v>22.865600000000001</v>
      </c>
      <c r="H132" s="4">
        <v>26.701599999999999</v>
      </c>
      <c r="I132" s="4">
        <v>20.38</v>
      </c>
      <c r="J132" s="4">
        <v>21.0075</v>
      </c>
      <c r="K132" s="4">
        <v>17.510000000000002</v>
      </c>
      <c r="L132" s="4">
        <v>20.38</v>
      </c>
      <c r="M132" s="7">
        <v>0</v>
      </c>
    </row>
    <row r="133" spans="1:13" x14ac:dyDescent="0.2">
      <c r="A133" s="6">
        <v>44116</v>
      </c>
      <c r="B133" s="2" t="s">
        <v>228</v>
      </c>
      <c r="C133" s="5">
        <v>44105</v>
      </c>
      <c r="D133" s="2" t="s">
        <v>178</v>
      </c>
      <c r="E133" s="3">
        <v>3190</v>
      </c>
      <c r="F133" s="8">
        <v>0.1983</v>
      </c>
      <c r="G133" s="4">
        <v>21.5215</v>
      </c>
      <c r="H133" s="4">
        <v>27.697399999999998</v>
      </c>
      <c r="I133" s="4">
        <v>20.38</v>
      </c>
      <c r="J133" s="4">
        <v>22.1</v>
      </c>
      <c r="K133" s="4">
        <v>19.39</v>
      </c>
      <c r="L133" s="4">
        <v>21.127500000000001</v>
      </c>
      <c r="M133" s="7">
        <v>3.6700000000000003E-2</v>
      </c>
    </row>
    <row r="134" spans="1:13" x14ac:dyDescent="0.2">
      <c r="A134" s="6">
        <v>44117</v>
      </c>
      <c r="B134" s="2" t="s">
        <v>226</v>
      </c>
      <c r="C134" s="5">
        <v>44105</v>
      </c>
      <c r="D134" s="2" t="s">
        <v>178</v>
      </c>
      <c r="E134" s="3">
        <v>3104</v>
      </c>
      <c r="F134" s="8">
        <v>0.15659999999999999</v>
      </c>
      <c r="G134" s="4">
        <v>20.584900000000001</v>
      </c>
      <c r="H134" s="4">
        <v>22.0122</v>
      </c>
      <c r="I134" s="4">
        <v>21.127500000000001</v>
      </c>
      <c r="J134" s="4">
        <v>21.65</v>
      </c>
      <c r="K134" s="4">
        <v>20.524999999999999</v>
      </c>
      <c r="L134" s="4">
        <v>20.715</v>
      </c>
      <c r="M134" s="7">
        <v>-1.95E-2</v>
      </c>
    </row>
    <row r="135" spans="1:13" x14ac:dyDescent="0.2">
      <c r="A135" s="6">
        <v>44118</v>
      </c>
      <c r="B135" s="2" t="s">
        <v>224</v>
      </c>
      <c r="C135" s="5">
        <v>44105</v>
      </c>
      <c r="D135" s="2" t="s">
        <v>178</v>
      </c>
      <c r="E135" s="3">
        <v>3138</v>
      </c>
      <c r="F135" s="8">
        <v>0.1487</v>
      </c>
      <c r="G135" s="4">
        <v>20.939399999999999</v>
      </c>
      <c r="H135" s="4">
        <v>21.188500000000001</v>
      </c>
      <c r="I135" s="4">
        <v>20.715</v>
      </c>
      <c r="J135" s="4">
        <v>20.962499999999999</v>
      </c>
      <c r="K135" s="4">
        <v>18.425000000000001</v>
      </c>
      <c r="L135" s="4">
        <v>20.21</v>
      </c>
      <c r="M135" s="7">
        <v>-2.4400000000000002E-2</v>
      </c>
    </row>
    <row r="136" spans="1:13" x14ac:dyDescent="0.2">
      <c r="A136" s="6">
        <v>44119</v>
      </c>
      <c r="B136" s="2" t="s">
        <v>227</v>
      </c>
      <c r="C136" s="5">
        <v>44105</v>
      </c>
      <c r="D136" s="2" t="s">
        <v>178</v>
      </c>
      <c r="E136" s="3">
        <v>3080</v>
      </c>
      <c r="F136" s="8">
        <v>0.18010000000000001</v>
      </c>
      <c r="G136" s="4">
        <v>28.142399999999999</v>
      </c>
      <c r="H136" s="4">
        <v>38.653500000000001</v>
      </c>
      <c r="I136" s="4">
        <v>20.21</v>
      </c>
      <c r="J136" s="4">
        <v>22.274999999999999</v>
      </c>
      <c r="K136" s="4">
        <v>19.037500000000001</v>
      </c>
      <c r="L136" s="4">
        <v>22.057500000000001</v>
      </c>
      <c r="M136" s="7">
        <v>9.1399999999999995E-2</v>
      </c>
    </row>
    <row r="137" spans="1:13" x14ac:dyDescent="0.2">
      <c r="A137" s="6">
        <v>44120</v>
      </c>
      <c r="B137" s="2" t="s">
        <v>225</v>
      </c>
      <c r="C137" s="5">
        <v>44105</v>
      </c>
      <c r="D137" s="2" t="s">
        <v>178</v>
      </c>
      <c r="E137" s="3">
        <v>3085</v>
      </c>
      <c r="F137" s="8">
        <v>0.15640000000000001</v>
      </c>
      <c r="G137" s="4">
        <v>19.335599999999999</v>
      </c>
      <c r="H137" s="4">
        <v>21.830300000000001</v>
      </c>
      <c r="I137" s="4">
        <v>22.057500000000001</v>
      </c>
      <c r="J137" s="4">
        <v>22.4175</v>
      </c>
      <c r="K137" s="4">
        <v>20.484999999999999</v>
      </c>
      <c r="L137" s="4">
        <v>21.645</v>
      </c>
      <c r="M137" s="7">
        <v>-1.8700000000000001E-2</v>
      </c>
    </row>
    <row r="138" spans="1:13" x14ac:dyDescent="0.2">
      <c r="A138" s="6">
        <v>44123</v>
      </c>
      <c r="B138" s="2" t="s">
        <v>228</v>
      </c>
      <c r="C138" s="5">
        <v>44105</v>
      </c>
      <c r="D138" s="2" t="s">
        <v>178</v>
      </c>
      <c r="E138" s="3">
        <v>3082</v>
      </c>
      <c r="F138" s="8">
        <v>0.15129999999999999</v>
      </c>
      <c r="G138" s="4">
        <v>22.4773</v>
      </c>
      <c r="H138" s="4">
        <v>22.385400000000001</v>
      </c>
      <c r="I138" s="4">
        <v>21.645</v>
      </c>
      <c r="J138" s="4">
        <v>22.317499999999999</v>
      </c>
      <c r="K138" s="4">
        <v>15.465</v>
      </c>
      <c r="L138" s="4">
        <v>21.817499999999999</v>
      </c>
      <c r="M138" s="7">
        <v>8.0000000000000002E-3</v>
      </c>
    </row>
    <row r="139" spans="1:13" x14ac:dyDescent="0.2">
      <c r="A139" s="6">
        <v>44124</v>
      </c>
      <c r="B139" s="2" t="s">
        <v>226</v>
      </c>
      <c r="C139" s="5">
        <v>44105</v>
      </c>
      <c r="D139" s="2" t="s">
        <v>178</v>
      </c>
      <c r="E139" s="3">
        <v>3131</v>
      </c>
      <c r="F139" s="8">
        <v>0.14899999999999999</v>
      </c>
      <c r="G139" s="4">
        <v>27.188099999999999</v>
      </c>
      <c r="H139" s="4">
        <v>23.3232</v>
      </c>
      <c r="I139" s="4">
        <v>21.817499999999999</v>
      </c>
      <c r="J139" s="4">
        <v>22.7925</v>
      </c>
      <c r="K139" s="4">
        <v>18.79</v>
      </c>
      <c r="L139" s="4">
        <v>22.69</v>
      </c>
      <c r="M139" s="7">
        <v>0.04</v>
      </c>
    </row>
    <row r="140" spans="1:13" x14ac:dyDescent="0.2">
      <c r="A140" s="6">
        <v>44125</v>
      </c>
      <c r="B140" s="2" t="s">
        <v>224</v>
      </c>
      <c r="C140" s="5">
        <v>44105</v>
      </c>
      <c r="D140" s="2" t="s">
        <v>178</v>
      </c>
      <c r="E140" s="3">
        <v>3118</v>
      </c>
      <c r="F140" s="8">
        <v>0.1764</v>
      </c>
      <c r="G140" s="4">
        <v>29.068200000000001</v>
      </c>
      <c r="H140" s="4">
        <v>27.274699999999999</v>
      </c>
      <c r="I140" s="4">
        <v>22.69</v>
      </c>
      <c r="J140" s="4">
        <v>23.545000000000002</v>
      </c>
      <c r="K140" s="4">
        <v>18.377500000000001</v>
      </c>
      <c r="L140" s="4">
        <v>22.914999999999999</v>
      </c>
      <c r="M140" s="7">
        <v>9.9000000000000008E-3</v>
      </c>
    </row>
    <row r="141" spans="1:13" x14ac:dyDescent="0.2">
      <c r="A141" s="6">
        <v>44126</v>
      </c>
      <c r="B141" s="2" t="s">
        <v>227</v>
      </c>
      <c r="C141" s="5">
        <v>44105</v>
      </c>
      <c r="D141" s="2" t="s">
        <v>178</v>
      </c>
      <c r="E141" s="3">
        <v>3068</v>
      </c>
      <c r="F141" s="8">
        <v>0.1643</v>
      </c>
      <c r="G141" s="4">
        <v>29.820499999999999</v>
      </c>
      <c r="H141" s="4">
        <v>24.0428</v>
      </c>
      <c r="I141" s="4">
        <v>22.914999999999999</v>
      </c>
      <c r="J141" s="4">
        <v>23.515000000000001</v>
      </c>
      <c r="K141" s="4">
        <v>17.440000000000001</v>
      </c>
      <c r="L141" s="4">
        <v>22.635000000000002</v>
      </c>
      <c r="M141" s="7">
        <v>-1.2200000000000001E-2</v>
      </c>
    </row>
    <row r="142" spans="1:13" x14ac:dyDescent="0.2">
      <c r="A142" s="6">
        <v>44127</v>
      </c>
      <c r="B142" s="2" t="s">
        <v>225</v>
      </c>
      <c r="C142" s="5">
        <v>44105</v>
      </c>
      <c r="D142" s="2" t="s">
        <v>178</v>
      </c>
      <c r="E142" s="3">
        <v>3128</v>
      </c>
      <c r="F142" s="8">
        <v>0.16850000000000001</v>
      </c>
      <c r="G142" s="4">
        <v>36.4236</v>
      </c>
      <c r="H142" s="4">
        <v>28.600899999999999</v>
      </c>
      <c r="I142" s="4">
        <v>22.635000000000002</v>
      </c>
      <c r="J142" s="4">
        <v>22.78</v>
      </c>
      <c r="K142" s="4">
        <v>19.8325</v>
      </c>
      <c r="L142" s="4">
        <v>21.827500000000001</v>
      </c>
      <c r="M142" s="7">
        <v>-3.5700000000000003E-2</v>
      </c>
    </row>
    <row r="143" spans="1:13" x14ac:dyDescent="0.2">
      <c r="A143" s="6">
        <v>44130</v>
      </c>
      <c r="B143" s="2" t="s">
        <v>228</v>
      </c>
      <c r="C143" s="5">
        <v>44105</v>
      </c>
      <c r="D143" s="2" t="s">
        <v>178</v>
      </c>
      <c r="E143" s="3">
        <v>3139</v>
      </c>
      <c r="F143" s="8">
        <v>0.18390000000000001</v>
      </c>
      <c r="G143" s="4">
        <v>35.483400000000003</v>
      </c>
      <c r="H143" s="4">
        <v>26.748000000000001</v>
      </c>
      <c r="I143" s="4">
        <v>21.827500000000001</v>
      </c>
      <c r="J143" s="4">
        <v>23.405000000000001</v>
      </c>
      <c r="K143" s="4">
        <v>21.32</v>
      </c>
      <c r="L143" s="4">
        <v>22.8325</v>
      </c>
      <c r="M143" s="7">
        <v>4.5999999999999999E-2</v>
      </c>
    </row>
    <row r="144" spans="1:13" x14ac:dyDescent="0.2">
      <c r="A144" s="6">
        <v>44131</v>
      </c>
      <c r="B144" s="2" t="s">
        <v>226</v>
      </c>
      <c r="C144" s="5">
        <v>44105</v>
      </c>
      <c r="D144" s="2" t="s">
        <v>178</v>
      </c>
      <c r="E144" s="3">
        <v>3125</v>
      </c>
      <c r="F144" s="8">
        <v>0.1681</v>
      </c>
      <c r="G144" s="4">
        <v>23.659099999999999</v>
      </c>
      <c r="H144" s="4">
        <v>25.1113</v>
      </c>
      <c r="I144" s="4">
        <v>22.8325</v>
      </c>
      <c r="J144" s="4">
        <v>23.1675</v>
      </c>
      <c r="K144" s="4">
        <v>22.122499999999999</v>
      </c>
      <c r="L144" s="4">
        <v>22.195</v>
      </c>
      <c r="M144" s="7">
        <v>-2.7900000000000001E-2</v>
      </c>
    </row>
    <row r="145" spans="1:13" x14ac:dyDescent="0.2">
      <c r="A145" s="6">
        <v>44132</v>
      </c>
      <c r="B145" s="2" t="s">
        <v>224</v>
      </c>
      <c r="C145" s="5">
        <v>44105</v>
      </c>
      <c r="D145" s="2" t="s">
        <v>178</v>
      </c>
      <c r="E145" s="3">
        <v>3040</v>
      </c>
      <c r="F145" s="8">
        <v>0.1845</v>
      </c>
      <c r="G145" s="4">
        <v>26.736899999999999</v>
      </c>
      <c r="H145" s="4">
        <v>40.119700000000002</v>
      </c>
      <c r="I145" s="4">
        <v>22.195</v>
      </c>
      <c r="J145" s="4">
        <v>23.465</v>
      </c>
      <c r="K145" s="4">
        <v>20.079999999999998</v>
      </c>
      <c r="L145" s="4">
        <v>23.28</v>
      </c>
      <c r="M145" s="7">
        <v>4.8899999999999999E-2</v>
      </c>
    </row>
    <row r="146" spans="1:13" x14ac:dyDescent="0.2">
      <c r="A146" s="6">
        <v>44133</v>
      </c>
      <c r="B146" s="2" t="s">
        <v>227</v>
      </c>
      <c r="C146" s="5">
        <v>44105</v>
      </c>
      <c r="D146" s="2" t="s">
        <v>178</v>
      </c>
      <c r="E146" s="3">
        <v>3041</v>
      </c>
      <c r="F146" s="8">
        <v>0.17100000000000001</v>
      </c>
      <c r="G146" s="4">
        <v>22.632000000000001</v>
      </c>
      <c r="H146" s="4">
        <v>25.0198</v>
      </c>
      <c r="I146" s="4">
        <v>23.28</v>
      </c>
      <c r="J146" s="4">
        <v>24.36</v>
      </c>
      <c r="K146" s="4">
        <v>22.282499999999999</v>
      </c>
      <c r="L146" s="4">
        <v>24.022500000000001</v>
      </c>
      <c r="M146" s="7">
        <v>3.1899999999999998E-2</v>
      </c>
    </row>
    <row r="147" spans="1:13" x14ac:dyDescent="0.2">
      <c r="A147" s="6">
        <v>44134</v>
      </c>
      <c r="B147" s="2" t="s">
        <v>225</v>
      </c>
      <c r="C147" s="5">
        <v>44105</v>
      </c>
      <c r="D147" s="2" t="s">
        <v>178</v>
      </c>
      <c r="E147" s="3">
        <v>3002</v>
      </c>
      <c r="F147" s="8">
        <v>0.17280000000000001</v>
      </c>
      <c r="G147" s="4">
        <v>25.584800000000001</v>
      </c>
      <c r="H147" s="4">
        <v>21.226700000000001</v>
      </c>
      <c r="I147" s="4">
        <v>24.022500000000001</v>
      </c>
      <c r="J147" s="4">
        <v>26.3</v>
      </c>
      <c r="K147" s="4">
        <v>21.725000000000001</v>
      </c>
      <c r="L147" s="4">
        <v>24.752500000000001</v>
      </c>
      <c r="M147" s="7">
        <v>3.04E-2</v>
      </c>
    </row>
    <row r="148" spans="1:13" x14ac:dyDescent="0.2">
      <c r="A148" s="6">
        <v>44137</v>
      </c>
      <c r="B148" s="2" t="s">
        <v>228</v>
      </c>
      <c r="C148" s="5">
        <v>44136</v>
      </c>
      <c r="D148" s="2" t="s">
        <v>178</v>
      </c>
      <c r="E148" s="3">
        <v>3100</v>
      </c>
      <c r="F148" s="8">
        <v>0.19600000000000001</v>
      </c>
      <c r="G148" s="4">
        <v>25.549499999999998</v>
      </c>
      <c r="H148" s="4">
        <v>26.187899999999999</v>
      </c>
      <c r="I148" s="4">
        <v>24.752500000000001</v>
      </c>
      <c r="J148" s="4">
        <v>25.9175</v>
      </c>
      <c r="K148" s="4">
        <v>24.22</v>
      </c>
      <c r="L148" s="4">
        <v>25.21</v>
      </c>
      <c r="M148" s="7">
        <v>1.8499999999999999E-2</v>
      </c>
    </row>
    <row r="149" spans="1:13" x14ac:dyDescent="0.2">
      <c r="A149" s="6">
        <v>44138</v>
      </c>
      <c r="B149" s="2" t="s">
        <v>226</v>
      </c>
      <c r="C149" s="5">
        <v>44136</v>
      </c>
      <c r="D149" s="2" t="s">
        <v>178</v>
      </c>
      <c r="E149" s="3">
        <v>3132</v>
      </c>
      <c r="F149" s="8">
        <v>0.1787</v>
      </c>
      <c r="G149" s="4">
        <v>23.25</v>
      </c>
      <c r="H149" s="4">
        <v>26.542899999999999</v>
      </c>
      <c r="I149" s="4">
        <v>25.21</v>
      </c>
      <c r="J149" s="4">
        <v>25.3325</v>
      </c>
      <c r="K149" s="4">
        <v>22.9175</v>
      </c>
      <c r="L149" s="4">
        <v>24.24</v>
      </c>
      <c r="M149" s="7">
        <v>-3.85E-2</v>
      </c>
    </row>
    <row r="150" spans="1:13" x14ac:dyDescent="0.2">
      <c r="A150" s="6">
        <v>44139</v>
      </c>
      <c r="B150" s="2" t="s">
        <v>224</v>
      </c>
      <c r="C150" s="5">
        <v>44136</v>
      </c>
      <c r="D150" s="2" t="s">
        <v>178</v>
      </c>
      <c r="E150" s="3">
        <v>3072</v>
      </c>
      <c r="F150" s="8">
        <v>0.17180000000000001</v>
      </c>
      <c r="G150" s="4">
        <v>24.823599999999999</v>
      </c>
      <c r="H150" s="4">
        <v>41.358499999999999</v>
      </c>
      <c r="I150" s="4">
        <v>24.24</v>
      </c>
      <c r="J150" s="4">
        <v>24.24</v>
      </c>
      <c r="K150" s="4">
        <v>20.672499999999999</v>
      </c>
      <c r="L150" s="4">
        <v>23.2</v>
      </c>
      <c r="M150" s="7">
        <v>-4.2900000000000001E-2</v>
      </c>
    </row>
    <row r="151" spans="1:13" x14ac:dyDescent="0.2">
      <c r="A151" s="6">
        <v>44140</v>
      </c>
      <c r="B151" s="2" t="s">
        <v>227</v>
      </c>
      <c r="C151" s="5">
        <v>44136</v>
      </c>
      <c r="D151" s="2" t="s">
        <v>178</v>
      </c>
      <c r="E151" s="3">
        <v>3137</v>
      </c>
      <c r="F151" s="8">
        <v>0.18410000000000001</v>
      </c>
      <c r="G151" s="4">
        <v>25.238</v>
      </c>
      <c r="H151" s="4">
        <v>33.252099999999999</v>
      </c>
      <c r="I151" s="4">
        <v>23.2</v>
      </c>
      <c r="J151" s="4">
        <v>23.2</v>
      </c>
      <c r="K151" s="4">
        <v>19.989999999999998</v>
      </c>
      <c r="L151" s="4">
        <v>20.965</v>
      </c>
      <c r="M151" s="7">
        <v>-9.6299999999999997E-2</v>
      </c>
    </row>
    <row r="152" spans="1:13" x14ac:dyDescent="0.2">
      <c r="A152" s="6">
        <v>44141</v>
      </c>
      <c r="B152" s="2" t="s">
        <v>225</v>
      </c>
      <c r="C152" s="5">
        <v>44136</v>
      </c>
      <c r="D152" s="2" t="s">
        <v>178</v>
      </c>
      <c r="E152" s="3">
        <v>3085</v>
      </c>
      <c r="F152" s="8">
        <v>0.19170000000000001</v>
      </c>
      <c r="G152" s="4">
        <v>23.479099999999999</v>
      </c>
      <c r="H152" s="4">
        <v>30.863700000000001</v>
      </c>
      <c r="I152" s="4">
        <v>20.965</v>
      </c>
      <c r="J152" s="4">
        <v>20.965</v>
      </c>
      <c r="K152" s="4">
        <v>19.282499999999999</v>
      </c>
      <c r="L152" s="4">
        <v>20.497499999999999</v>
      </c>
      <c r="M152" s="7">
        <v>-2.23E-2</v>
      </c>
    </row>
    <row r="153" spans="1:13" x14ac:dyDescent="0.2">
      <c r="A153" s="6">
        <v>44144</v>
      </c>
      <c r="B153" s="2" t="s">
        <v>228</v>
      </c>
      <c r="C153" s="5">
        <v>44136</v>
      </c>
      <c r="D153" s="2" t="s">
        <v>178</v>
      </c>
      <c r="E153" s="3">
        <v>3205</v>
      </c>
      <c r="F153" s="8">
        <v>0.18290000000000001</v>
      </c>
      <c r="G153" s="4">
        <v>27.059100000000001</v>
      </c>
      <c r="H153" s="4">
        <v>33.241</v>
      </c>
      <c r="I153" s="4">
        <v>20.497499999999999</v>
      </c>
      <c r="J153" s="4">
        <v>21.047499999999999</v>
      </c>
      <c r="K153" s="4">
        <v>17.579999999999998</v>
      </c>
      <c r="L153" s="4">
        <v>20.112500000000001</v>
      </c>
      <c r="M153" s="7">
        <v>-1.8800000000000001E-2</v>
      </c>
    </row>
    <row r="154" spans="1:13" x14ac:dyDescent="0.2">
      <c r="A154" s="6">
        <v>44145</v>
      </c>
      <c r="B154" s="2" t="s">
        <v>226</v>
      </c>
      <c r="C154" s="5">
        <v>44136</v>
      </c>
      <c r="D154" s="2" t="s">
        <v>178</v>
      </c>
      <c r="E154" s="3">
        <v>3183</v>
      </c>
      <c r="F154" s="8">
        <v>0.2336</v>
      </c>
      <c r="G154" s="4">
        <v>34.153199999999998</v>
      </c>
      <c r="H154" s="4">
        <v>43.203299999999999</v>
      </c>
      <c r="I154" s="4">
        <v>20.112500000000001</v>
      </c>
      <c r="J154" s="4">
        <v>21.844999999999999</v>
      </c>
      <c r="K154" s="4">
        <v>19.895</v>
      </c>
      <c r="L154" s="4">
        <v>21.577500000000001</v>
      </c>
      <c r="M154" s="7">
        <v>7.2800000000000004E-2</v>
      </c>
    </row>
    <row r="155" spans="1:13" x14ac:dyDescent="0.2">
      <c r="A155" s="6">
        <v>44146</v>
      </c>
      <c r="B155" s="2" t="s">
        <v>224</v>
      </c>
      <c r="C155" s="5">
        <v>44136</v>
      </c>
      <c r="D155" s="2" t="s">
        <v>178</v>
      </c>
      <c r="E155" s="3">
        <v>3220</v>
      </c>
      <c r="F155" s="8">
        <v>0.23169999999999999</v>
      </c>
      <c r="G155" s="4">
        <v>34.283900000000003</v>
      </c>
      <c r="H155" s="4">
        <v>42.872</v>
      </c>
      <c r="I155" s="4">
        <v>21.577500000000001</v>
      </c>
      <c r="J155" s="4">
        <v>22.375</v>
      </c>
      <c r="K155" s="4">
        <v>18.995000000000001</v>
      </c>
      <c r="L155" s="4">
        <v>22.032499999999999</v>
      </c>
      <c r="M155" s="7">
        <v>2.1100000000000001E-2</v>
      </c>
    </row>
    <row r="156" spans="1:13" x14ac:dyDescent="0.2">
      <c r="A156" s="6">
        <v>44147</v>
      </c>
      <c r="B156" s="2" t="s">
        <v>227</v>
      </c>
      <c r="C156" s="5">
        <v>44136</v>
      </c>
      <c r="D156" s="2" t="s">
        <v>178</v>
      </c>
      <c r="E156" s="3">
        <v>3164</v>
      </c>
      <c r="F156" s="8">
        <v>0.19020000000000001</v>
      </c>
      <c r="G156" s="4">
        <v>34.426499999999997</v>
      </c>
      <c r="H156" s="4">
        <v>31.080200000000001</v>
      </c>
      <c r="I156" s="4">
        <v>22.032499999999999</v>
      </c>
      <c r="J156" s="4">
        <v>22.032499999999999</v>
      </c>
      <c r="K156" s="4">
        <v>19.787500000000001</v>
      </c>
      <c r="L156" s="4">
        <v>20.62</v>
      </c>
      <c r="M156" s="7">
        <v>-6.4100000000000004E-2</v>
      </c>
    </row>
    <row r="157" spans="1:13" x14ac:dyDescent="0.2">
      <c r="A157" s="6">
        <v>44148</v>
      </c>
      <c r="B157" s="2" t="s">
        <v>225</v>
      </c>
      <c r="C157" s="5">
        <v>44136</v>
      </c>
      <c r="D157" s="2" t="s">
        <v>178</v>
      </c>
      <c r="E157" s="3">
        <v>3141</v>
      </c>
      <c r="F157" s="8">
        <v>0.18559999999999999</v>
      </c>
      <c r="G157" s="4">
        <v>31.641500000000001</v>
      </c>
      <c r="H157" s="4">
        <v>41.161999999999999</v>
      </c>
      <c r="I157" s="4">
        <v>20.62</v>
      </c>
      <c r="J157" s="4">
        <v>29.524999999999999</v>
      </c>
      <c r="K157" s="4">
        <v>19.557500000000001</v>
      </c>
      <c r="L157" s="4">
        <v>19.702500000000001</v>
      </c>
      <c r="M157" s="7">
        <v>-4.4499999999999998E-2</v>
      </c>
    </row>
    <row r="158" spans="1:13" x14ac:dyDescent="0.2">
      <c r="A158" s="6">
        <v>44149</v>
      </c>
      <c r="B158" s="2" t="s">
        <v>229</v>
      </c>
      <c r="C158" s="5">
        <v>44136</v>
      </c>
      <c r="D158" s="2" t="s">
        <v>178</v>
      </c>
      <c r="E158" s="3">
        <v>2685</v>
      </c>
      <c r="F158" s="8">
        <v>7.1099999999999997E-2</v>
      </c>
      <c r="G158" s="4">
        <v>17.484100000000002</v>
      </c>
      <c r="H158" s="4">
        <v>7.8089000000000004</v>
      </c>
      <c r="I158" s="4">
        <v>19.702500000000001</v>
      </c>
      <c r="J158" s="4">
        <v>19.702500000000001</v>
      </c>
      <c r="K158" s="4">
        <v>16.175000000000001</v>
      </c>
      <c r="L158" s="4">
        <v>19.13</v>
      </c>
      <c r="M158" s="7">
        <v>-2.9100000000000001E-2</v>
      </c>
    </row>
    <row r="159" spans="1:13" x14ac:dyDescent="0.2">
      <c r="A159" s="6">
        <v>44152</v>
      </c>
      <c r="B159" s="2" t="s">
        <v>226</v>
      </c>
      <c r="C159" s="5">
        <v>44136</v>
      </c>
      <c r="D159" s="2" t="s">
        <v>178</v>
      </c>
      <c r="E159" s="3">
        <v>3290</v>
      </c>
      <c r="F159" s="8">
        <v>0.2296</v>
      </c>
      <c r="G159" s="4">
        <v>49.932600000000001</v>
      </c>
      <c r="H159" s="4">
        <v>41.779800000000002</v>
      </c>
      <c r="I159" s="4">
        <v>19.13</v>
      </c>
      <c r="J159" s="4">
        <v>20.405000000000001</v>
      </c>
      <c r="K159" s="4">
        <v>18.4025</v>
      </c>
      <c r="L159" s="4">
        <v>19.802499999999998</v>
      </c>
      <c r="M159" s="7">
        <v>3.5200000000000002E-2</v>
      </c>
    </row>
    <row r="160" spans="1:13" x14ac:dyDescent="0.2">
      <c r="A160" s="6">
        <v>44153</v>
      </c>
      <c r="B160" s="2" t="s">
        <v>224</v>
      </c>
      <c r="C160" s="5">
        <v>44136</v>
      </c>
      <c r="D160" s="2" t="s">
        <v>178</v>
      </c>
      <c r="E160" s="3">
        <v>3261</v>
      </c>
      <c r="F160" s="8">
        <v>0.23369999999999999</v>
      </c>
      <c r="G160" s="4">
        <v>38.3157</v>
      </c>
      <c r="H160" s="4">
        <v>36.045200000000001</v>
      </c>
      <c r="I160" s="4">
        <v>19.802499999999998</v>
      </c>
      <c r="J160" s="4">
        <v>19.802499999999998</v>
      </c>
      <c r="K160" s="4">
        <v>15.72</v>
      </c>
      <c r="L160" s="4">
        <v>19.12</v>
      </c>
      <c r="M160" s="7">
        <v>-3.4500000000000003E-2</v>
      </c>
    </row>
    <row r="161" spans="1:13" x14ac:dyDescent="0.2">
      <c r="A161" s="6">
        <v>44154</v>
      </c>
      <c r="B161" s="2" t="s">
        <v>227</v>
      </c>
      <c r="C161" s="5">
        <v>44136</v>
      </c>
      <c r="D161" s="2" t="s">
        <v>178</v>
      </c>
      <c r="E161" s="3">
        <v>3219</v>
      </c>
      <c r="F161" s="8">
        <v>0.2616</v>
      </c>
      <c r="G161" s="4">
        <v>45.508800000000001</v>
      </c>
      <c r="H161" s="4">
        <v>42.7333</v>
      </c>
      <c r="I161" s="4">
        <v>19.12</v>
      </c>
      <c r="J161" s="4">
        <v>19.982500000000002</v>
      </c>
      <c r="K161" s="4">
        <v>16.324999999999999</v>
      </c>
      <c r="L161" s="4">
        <v>19.57</v>
      </c>
      <c r="M161" s="7">
        <v>2.35E-2</v>
      </c>
    </row>
    <row r="162" spans="1:13" x14ac:dyDescent="0.2">
      <c r="A162" s="6">
        <v>44155</v>
      </c>
      <c r="B162" s="2" t="s">
        <v>225</v>
      </c>
      <c r="C162" s="5">
        <v>44136</v>
      </c>
      <c r="D162" s="2" t="s">
        <v>178</v>
      </c>
      <c r="E162" s="3">
        <v>3287</v>
      </c>
      <c r="F162" s="8">
        <v>0.25929999999999997</v>
      </c>
      <c r="G162" s="4">
        <v>46.301099999999998</v>
      </c>
      <c r="H162" s="4">
        <v>37.200400000000002</v>
      </c>
      <c r="I162" s="4">
        <v>19.57</v>
      </c>
      <c r="J162" s="4">
        <v>19.807500000000001</v>
      </c>
      <c r="K162" s="4">
        <v>16.997499999999999</v>
      </c>
      <c r="L162" s="4">
        <v>19.6175</v>
      </c>
      <c r="M162" s="7">
        <v>2.3999999999999998E-3</v>
      </c>
    </row>
    <row r="163" spans="1:13" x14ac:dyDescent="0.2">
      <c r="A163" s="6">
        <v>44158</v>
      </c>
      <c r="B163" s="2" t="s">
        <v>228</v>
      </c>
      <c r="C163" s="5">
        <v>44136</v>
      </c>
      <c r="D163" s="2" t="s">
        <v>178</v>
      </c>
      <c r="E163" s="3">
        <v>3335</v>
      </c>
      <c r="F163" s="8">
        <v>0.23039999999999999</v>
      </c>
      <c r="G163" s="4">
        <v>38.802300000000002</v>
      </c>
      <c r="H163" s="4">
        <v>44.194800000000001</v>
      </c>
      <c r="I163" s="4">
        <v>19.6175</v>
      </c>
      <c r="J163" s="4">
        <v>20.862500000000001</v>
      </c>
      <c r="K163" s="4">
        <v>16.91</v>
      </c>
      <c r="L163" s="4">
        <v>20.797499999999999</v>
      </c>
      <c r="M163" s="7">
        <v>6.0199999999999997E-2</v>
      </c>
    </row>
    <row r="164" spans="1:13" x14ac:dyDescent="0.2">
      <c r="A164" s="6">
        <v>44159</v>
      </c>
      <c r="B164" s="2" t="s">
        <v>226</v>
      </c>
      <c r="C164" s="5">
        <v>44136</v>
      </c>
      <c r="D164" s="2" t="s">
        <v>178</v>
      </c>
      <c r="E164" s="3">
        <v>3332</v>
      </c>
      <c r="F164" s="8">
        <v>0.21179999999999999</v>
      </c>
      <c r="G164" s="4">
        <v>40.682000000000002</v>
      </c>
      <c r="H164" s="4">
        <v>37.073500000000003</v>
      </c>
      <c r="I164" s="4">
        <v>20.797499999999999</v>
      </c>
      <c r="J164" s="4">
        <v>22</v>
      </c>
      <c r="K164" s="4">
        <v>20.024999999999999</v>
      </c>
      <c r="L164" s="4">
        <v>21.057500000000001</v>
      </c>
      <c r="M164" s="7">
        <v>1.2500000000000001E-2</v>
      </c>
    </row>
    <row r="165" spans="1:13" x14ac:dyDescent="0.2">
      <c r="A165" s="6">
        <v>44160</v>
      </c>
      <c r="B165" s="2" t="s">
        <v>224</v>
      </c>
      <c r="C165" s="5">
        <v>44136</v>
      </c>
      <c r="D165" s="2" t="s">
        <v>178</v>
      </c>
      <c r="E165" s="3">
        <v>3254</v>
      </c>
      <c r="F165" s="8">
        <v>0.23219999999999999</v>
      </c>
      <c r="G165" s="4">
        <v>47.579900000000002</v>
      </c>
      <c r="H165" s="4">
        <v>39.735399999999998</v>
      </c>
      <c r="I165" s="4">
        <v>21.057500000000001</v>
      </c>
      <c r="J165" s="4">
        <v>23.495000000000001</v>
      </c>
      <c r="K165" s="4">
        <v>20.68</v>
      </c>
      <c r="L165" s="4">
        <v>23.127500000000001</v>
      </c>
      <c r="M165" s="7">
        <v>9.8299999999999998E-2</v>
      </c>
    </row>
    <row r="166" spans="1:13" x14ac:dyDescent="0.2">
      <c r="A166" s="6">
        <v>44161</v>
      </c>
      <c r="B166" s="2" t="s">
        <v>227</v>
      </c>
      <c r="C166" s="5">
        <v>44136</v>
      </c>
      <c r="D166" s="2" t="s">
        <v>178</v>
      </c>
      <c r="E166" s="3">
        <v>3191</v>
      </c>
      <c r="F166" s="8">
        <v>0.1865</v>
      </c>
      <c r="G166" s="4">
        <v>34.091900000000003</v>
      </c>
      <c r="H166" s="4">
        <v>29.418299999999999</v>
      </c>
      <c r="I166" s="4">
        <v>23.127500000000001</v>
      </c>
      <c r="J166" s="4">
        <v>23.127500000000001</v>
      </c>
      <c r="K166" s="4">
        <v>19.4375</v>
      </c>
      <c r="L166" s="4">
        <v>20.022500000000001</v>
      </c>
      <c r="M166" s="7">
        <v>-0.1343</v>
      </c>
    </row>
    <row r="167" spans="1:13" x14ac:dyDescent="0.2">
      <c r="A167" s="6">
        <v>44162</v>
      </c>
      <c r="B167" s="2" t="s">
        <v>225</v>
      </c>
      <c r="C167" s="5">
        <v>44136</v>
      </c>
      <c r="D167" s="2" t="s">
        <v>178</v>
      </c>
      <c r="E167" s="3">
        <v>3271</v>
      </c>
      <c r="F167" s="8">
        <v>0.25919999999999999</v>
      </c>
      <c r="G167" s="4">
        <v>40.760599999999997</v>
      </c>
      <c r="H167" s="4">
        <v>41.005600000000001</v>
      </c>
      <c r="I167" s="4">
        <v>20.022500000000001</v>
      </c>
      <c r="J167" s="4">
        <v>21.28</v>
      </c>
      <c r="K167" s="4">
        <v>17.625</v>
      </c>
      <c r="L167" s="4">
        <v>19.817499999999999</v>
      </c>
      <c r="M167" s="7">
        <v>-1.0200000000000001E-2</v>
      </c>
    </row>
    <row r="168" spans="1:13" x14ac:dyDescent="0.2">
      <c r="A168" s="6">
        <v>44166</v>
      </c>
      <c r="B168" s="2" t="s">
        <v>226</v>
      </c>
      <c r="C168" s="5">
        <v>44166</v>
      </c>
      <c r="D168" s="2" t="s">
        <v>178</v>
      </c>
      <c r="E168" s="3">
        <v>3394</v>
      </c>
      <c r="F168" s="8">
        <v>0.22409999999999999</v>
      </c>
      <c r="G168" s="4">
        <v>42.622799999999998</v>
      </c>
      <c r="H168" s="4">
        <v>31.235099999999999</v>
      </c>
      <c r="I168" s="4">
        <v>19.817499999999999</v>
      </c>
      <c r="J168" s="4">
        <v>21.234999999999999</v>
      </c>
      <c r="K168" s="4">
        <v>19.245000000000001</v>
      </c>
      <c r="L168" s="4">
        <v>20.182500000000001</v>
      </c>
      <c r="M168" s="7">
        <v>1.84E-2</v>
      </c>
    </row>
    <row r="169" spans="1:13" x14ac:dyDescent="0.2">
      <c r="A169" s="6">
        <v>44167</v>
      </c>
      <c r="B169" s="2" t="s">
        <v>224</v>
      </c>
      <c r="C169" s="5">
        <v>44166</v>
      </c>
      <c r="D169" s="2" t="s">
        <v>178</v>
      </c>
      <c r="E169" s="3">
        <v>3399</v>
      </c>
      <c r="F169" s="8">
        <v>0.22520000000000001</v>
      </c>
      <c r="G169" s="4">
        <v>47.349400000000003</v>
      </c>
      <c r="H169" s="4">
        <v>53.820799999999998</v>
      </c>
      <c r="I169" s="4">
        <v>20.182500000000001</v>
      </c>
      <c r="J169" s="4">
        <v>20.552499999999998</v>
      </c>
      <c r="K169" s="4">
        <v>17.962499999999999</v>
      </c>
      <c r="L169" s="4">
        <v>19.907499999999999</v>
      </c>
      <c r="M169" s="7">
        <v>-1.3599999999999999E-2</v>
      </c>
    </row>
    <row r="170" spans="1:13" x14ac:dyDescent="0.2">
      <c r="A170" s="6">
        <v>44168</v>
      </c>
      <c r="B170" s="2" t="s">
        <v>227</v>
      </c>
      <c r="C170" s="5">
        <v>44166</v>
      </c>
      <c r="D170" s="2" t="s">
        <v>178</v>
      </c>
      <c r="E170" s="3">
        <v>3378</v>
      </c>
      <c r="F170" s="8">
        <v>0.26169999999999999</v>
      </c>
      <c r="G170" s="4">
        <v>53.502699999999997</v>
      </c>
      <c r="H170" s="4">
        <v>74.507300000000001</v>
      </c>
      <c r="I170" s="4">
        <v>19.907499999999999</v>
      </c>
      <c r="J170" s="4">
        <v>19.907499999999999</v>
      </c>
      <c r="K170" s="4">
        <v>17.7225</v>
      </c>
      <c r="L170" s="4">
        <v>19</v>
      </c>
      <c r="M170" s="7">
        <v>-4.5600000000000002E-2</v>
      </c>
    </row>
    <row r="171" spans="1:13" x14ac:dyDescent="0.2">
      <c r="A171" s="6">
        <v>44169</v>
      </c>
      <c r="B171" s="2" t="s">
        <v>225</v>
      </c>
      <c r="C171" s="5">
        <v>44166</v>
      </c>
      <c r="D171" s="2" t="s">
        <v>178</v>
      </c>
      <c r="E171" s="3">
        <v>3383</v>
      </c>
      <c r="F171" s="8">
        <v>0.2576</v>
      </c>
      <c r="G171" s="4">
        <v>51.525100000000002</v>
      </c>
      <c r="H171" s="4">
        <v>49.030900000000003</v>
      </c>
      <c r="I171" s="4">
        <v>19</v>
      </c>
      <c r="J171" s="4">
        <v>19.035</v>
      </c>
      <c r="K171" s="4">
        <v>16.53</v>
      </c>
      <c r="L171" s="4">
        <v>18.0275</v>
      </c>
      <c r="M171" s="7">
        <v>-5.1200000000000002E-2</v>
      </c>
    </row>
    <row r="172" spans="1:13" x14ac:dyDescent="0.2">
      <c r="A172" s="6">
        <v>44172</v>
      </c>
      <c r="B172" s="2" t="s">
        <v>228</v>
      </c>
      <c r="C172" s="5">
        <v>44166</v>
      </c>
      <c r="D172" s="2" t="s">
        <v>178</v>
      </c>
      <c r="E172" s="3">
        <v>3500</v>
      </c>
      <c r="F172" s="8">
        <v>0.26300000000000001</v>
      </c>
      <c r="G172" s="4">
        <v>53.080500000000001</v>
      </c>
      <c r="H172" s="4">
        <v>39.152200000000001</v>
      </c>
      <c r="I172" s="4">
        <v>18.0275</v>
      </c>
      <c r="J172" s="4">
        <v>18.315000000000001</v>
      </c>
      <c r="K172" s="4">
        <v>16.95</v>
      </c>
      <c r="L172" s="4">
        <v>18.024999999999999</v>
      </c>
      <c r="M172" s="7">
        <v>-1E-4</v>
      </c>
    </row>
    <row r="173" spans="1:13" x14ac:dyDescent="0.2">
      <c r="A173" s="6">
        <v>44173</v>
      </c>
      <c r="B173" s="2" t="s">
        <v>226</v>
      </c>
      <c r="C173" s="5">
        <v>44166</v>
      </c>
      <c r="D173" s="2" t="s">
        <v>178</v>
      </c>
      <c r="E173" s="3">
        <v>3443</v>
      </c>
      <c r="F173" s="8">
        <v>0.25209999999999999</v>
      </c>
      <c r="G173" s="4">
        <v>69.279399999999995</v>
      </c>
      <c r="H173" s="4">
        <v>40.4833</v>
      </c>
      <c r="I173" s="4">
        <v>18.024999999999999</v>
      </c>
      <c r="J173" s="4">
        <v>18.795000000000002</v>
      </c>
      <c r="K173" s="4">
        <v>16.267499999999998</v>
      </c>
      <c r="L173" s="4">
        <v>18.6175</v>
      </c>
      <c r="M173" s="7">
        <v>3.2899999999999999E-2</v>
      </c>
    </row>
    <row r="174" spans="1:13" x14ac:dyDescent="0.2">
      <c r="A174" s="6">
        <v>44174</v>
      </c>
      <c r="B174" s="2" t="s">
        <v>224</v>
      </c>
      <c r="C174" s="5">
        <v>44166</v>
      </c>
      <c r="D174" s="2" t="s">
        <v>178</v>
      </c>
      <c r="E174" s="3">
        <v>3454</v>
      </c>
      <c r="F174" s="8">
        <v>0.25359999999999999</v>
      </c>
      <c r="G174" s="4">
        <v>80.799499999999995</v>
      </c>
      <c r="H174" s="4">
        <v>50.681800000000003</v>
      </c>
      <c r="I174" s="4">
        <v>18.6175</v>
      </c>
      <c r="J174" s="4">
        <v>19.63</v>
      </c>
      <c r="K174" s="4">
        <v>16.22</v>
      </c>
      <c r="L174" s="4">
        <v>18.920000000000002</v>
      </c>
      <c r="M174" s="7">
        <v>1.6199999999999999E-2</v>
      </c>
    </row>
    <row r="175" spans="1:13" x14ac:dyDescent="0.2">
      <c r="A175" s="6">
        <v>44175</v>
      </c>
      <c r="B175" s="2" t="s">
        <v>227</v>
      </c>
      <c r="C175" s="5">
        <v>44166</v>
      </c>
      <c r="D175" s="2" t="s">
        <v>178</v>
      </c>
      <c r="E175" s="3">
        <v>3361</v>
      </c>
      <c r="F175" s="8">
        <v>0.2465</v>
      </c>
      <c r="G175" s="4">
        <v>71.916899999999998</v>
      </c>
      <c r="H175" s="4">
        <v>38.766100000000002</v>
      </c>
      <c r="I175" s="4">
        <v>18.920000000000002</v>
      </c>
      <c r="J175" s="4">
        <v>19.385000000000002</v>
      </c>
      <c r="K175" s="4">
        <v>17.422499999999999</v>
      </c>
      <c r="L175" s="4">
        <v>18.712499999999999</v>
      </c>
      <c r="M175" s="7">
        <v>-1.0999999999999999E-2</v>
      </c>
    </row>
    <row r="176" spans="1:13" x14ac:dyDescent="0.2">
      <c r="A176" s="6">
        <v>44176</v>
      </c>
      <c r="B176" s="2" t="s">
        <v>225</v>
      </c>
      <c r="C176" s="5">
        <v>44166</v>
      </c>
      <c r="D176" s="2" t="s">
        <v>178</v>
      </c>
      <c r="E176" s="3">
        <v>3416</v>
      </c>
      <c r="F176" s="8">
        <v>0.23849999999999999</v>
      </c>
      <c r="G176" s="4">
        <v>65.318700000000007</v>
      </c>
      <c r="H176" s="4">
        <v>43.060400000000001</v>
      </c>
      <c r="I176" s="4">
        <v>18.712499999999999</v>
      </c>
      <c r="J176" s="4">
        <v>19.285</v>
      </c>
      <c r="K176" s="4">
        <v>17.362500000000001</v>
      </c>
      <c r="L176" s="4">
        <v>18.79</v>
      </c>
      <c r="M176" s="7">
        <v>4.1000000000000003E-3</v>
      </c>
    </row>
    <row r="177" spans="1:13" x14ac:dyDescent="0.2">
      <c r="A177" s="6">
        <v>44179</v>
      </c>
      <c r="B177" s="2" t="s">
        <v>228</v>
      </c>
      <c r="C177" s="5">
        <v>44166</v>
      </c>
      <c r="D177" s="2" t="s">
        <v>178</v>
      </c>
      <c r="E177" s="3">
        <v>3527</v>
      </c>
      <c r="F177" s="8">
        <v>0.24060000000000001</v>
      </c>
      <c r="G177" s="4">
        <v>68.248199999999997</v>
      </c>
      <c r="H177" s="4">
        <v>41.820099999999996</v>
      </c>
      <c r="I177" s="4">
        <v>18.79</v>
      </c>
      <c r="J177" s="4">
        <v>19.642499999999998</v>
      </c>
      <c r="K177" s="4">
        <v>15.327500000000001</v>
      </c>
      <c r="L177" s="4">
        <v>19.4025</v>
      </c>
      <c r="M177" s="7">
        <v>3.2599999999999997E-2</v>
      </c>
    </row>
    <row r="178" spans="1:13" x14ac:dyDescent="0.2">
      <c r="A178" s="6">
        <v>44180</v>
      </c>
      <c r="B178" s="2" t="s">
        <v>226</v>
      </c>
      <c r="C178" s="5">
        <v>44166</v>
      </c>
      <c r="D178" s="2" t="s">
        <v>178</v>
      </c>
      <c r="E178" s="3">
        <v>3461</v>
      </c>
      <c r="F178" s="8">
        <v>0.23300000000000001</v>
      </c>
      <c r="G178" s="4">
        <v>66.237700000000004</v>
      </c>
      <c r="H178" s="4">
        <v>40.690399999999997</v>
      </c>
      <c r="I178" s="4">
        <v>19.4025</v>
      </c>
      <c r="J178" s="4">
        <v>19.827500000000001</v>
      </c>
      <c r="K178" s="4">
        <v>15.692500000000001</v>
      </c>
      <c r="L178" s="4">
        <v>19.344999999999999</v>
      </c>
      <c r="M178" s="7">
        <v>-3.0000000000000001E-3</v>
      </c>
    </row>
    <row r="179" spans="1:13" x14ac:dyDescent="0.2">
      <c r="A179" s="6">
        <v>44181</v>
      </c>
      <c r="B179" s="2" t="s">
        <v>224</v>
      </c>
      <c r="C179" s="5">
        <v>44166</v>
      </c>
      <c r="D179" s="2" t="s">
        <v>178</v>
      </c>
      <c r="E179" s="3">
        <v>3499</v>
      </c>
      <c r="F179" s="8">
        <v>0.2321</v>
      </c>
      <c r="G179" s="4">
        <v>57.841999999999999</v>
      </c>
      <c r="H179" s="4">
        <v>39.3414</v>
      </c>
      <c r="I179" s="4">
        <v>19.344999999999999</v>
      </c>
      <c r="J179" s="4">
        <v>19.397500000000001</v>
      </c>
      <c r="K179" s="4">
        <v>18.607500000000002</v>
      </c>
      <c r="L179" s="4">
        <v>19.2</v>
      </c>
      <c r="M179" s="7">
        <v>-7.4999999999999997E-3</v>
      </c>
    </row>
    <row r="180" spans="1:13" x14ac:dyDescent="0.2">
      <c r="A180" s="6">
        <v>44182</v>
      </c>
      <c r="B180" s="2" t="s">
        <v>227</v>
      </c>
      <c r="C180" s="5">
        <v>44166</v>
      </c>
      <c r="D180" s="2" t="s">
        <v>178</v>
      </c>
      <c r="E180" s="3">
        <v>3446</v>
      </c>
      <c r="F180" s="8">
        <v>0.219</v>
      </c>
      <c r="G180" s="4">
        <v>56.012700000000002</v>
      </c>
      <c r="H180" s="4">
        <v>38.657899999999998</v>
      </c>
      <c r="I180" s="4">
        <v>19.2</v>
      </c>
      <c r="J180" s="4">
        <v>21.622499999999999</v>
      </c>
      <c r="K180" s="4">
        <v>14.0525</v>
      </c>
      <c r="L180" s="4">
        <v>19.157499999999999</v>
      </c>
      <c r="M180" s="7">
        <v>-2.2000000000000001E-3</v>
      </c>
    </row>
    <row r="181" spans="1:13" x14ac:dyDescent="0.2">
      <c r="A181" s="6">
        <v>44183</v>
      </c>
      <c r="B181" s="2" t="s">
        <v>225</v>
      </c>
      <c r="C181" s="5">
        <v>44166</v>
      </c>
      <c r="D181" s="2" t="s">
        <v>178</v>
      </c>
      <c r="E181" s="3">
        <v>3452</v>
      </c>
      <c r="F181" s="8">
        <v>0.2127</v>
      </c>
      <c r="G181" s="4">
        <v>50.768599999999999</v>
      </c>
      <c r="H181" s="4">
        <v>53.848399999999998</v>
      </c>
      <c r="I181" s="4">
        <v>19.157499999999999</v>
      </c>
      <c r="J181" s="4">
        <v>19.4925</v>
      </c>
      <c r="K181" s="4">
        <v>14.555</v>
      </c>
      <c r="L181" s="4">
        <v>18.622499999999999</v>
      </c>
      <c r="M181" s="7">
        <v>-2.7900000000000001E-2</v>
      </c>
    </row>
    <row r="182" spans="1:13" x14ac:dyDescent="0.2">
      <c r="A182" s="6">
        <v>44186</v>
      </c>
      <c r="B182" s="2" t="s">
        <v>228</v>
      </c>
      <c r="C182" s="5">
        <v>44166</v>
      </c>
      <c r="D182" s="2" t="s">
        <v>178</v>
      </c>
      <c r="E182" s="3">
        <v>3501</v>
      </c>
      <c r="F182" s="8">
        <v>0.36049999999999999</v>
      </c>
      <c r="G182" s="4">
        <v>64.938900000000004</v>
      </c>
      <c r="H182" s="4">
        <v>59.549599999999998</v>
      </c>
      <c r="I182" s="4">
        <v>18.622499999999999</v>
      </c>
      <c r="J182" s="4">
        <v>23.68</v>
      </c>
      <c r="K182" s="4">
        <v>18.622499999999999</v>
      </c>
      <c r="L182" s="4">
        <v>23.19</v>
      </c>
      <c r="M182" s="7">
        <v>0.24529999999999999</v>
      </c>
    </row>
    <row r="183" spans="1:13" x14ac:dyDescent="0.2">
      <c r="A183" s="6">
        <v>44187</v>
      </c>
      <c r="B183" s="2" t="s">
        <v>226</v>
      </c>
      <c r="C183" s="5">
        <v>44166</v>
      </c>
      <c r="D183" s="2" t="s">
        <v>178</v>
      </c>
      <c r="E183" s="3">
        <v>3382</v>
      </c>
      <c r="F183" s="8">
        <v>0.2828</v>
      </c>
      <c r="G183" s="4">
        <v>54.721600000000002</v>
      </c>
      <c r="H183" s="4">
        <v>50.175199999999997</v>
      </c>
      <c r="I183" s="4">
        <v>23.19</v>
      </c>
      <c r="J183" s="4">
        <v>24.48</v>
      </c>
      <c r="K183" s="4">
        <v>16.592500000000001</v>
      </c>
      <c r="L183" s="4">
        <v>21.984999999999999</v>
      </c>
      <c r="M183" s="7">
        <v>-5.1999999999999998E-2</v>
      </c>
    </row>
    <row r="184" spans="1:13" x14ac:dyDescent="0.2">
      <c r="A184" s="6">
        <v>44188</v>
      </c>
      <c r="B184" s="2" t="s">
        <v>224</v>
      </c>
      <c r="C184" s="5">
        <v>44166</v>
      </c>
      <c r="D184" s="2" t="s">
        <v>178</v>
      </c>
      <c r="E184" s="3">
        <v>3369</v>
      </c>
      <c r="F184" s="8">
        <v>0.28189999999999998</v>
      </c>
      <c r="G184" s="4">
        <v>64.893799999999999</v>
      </c>
      <c r="H184" s="4">
        <v>37.843200000000003</v>
      </c>
      <c r="I184" s="4">
        <v>21.984999999999999</v>
      </c>
      <c r="J184" s="4">
        <v>22.0825</v>
      </c>
      <c r="K184" s="4">
        <v>19.395</v>
      </c>
      <c r="L184" s="4">
        <v>20.495000000000001</v>
      </c>
      <c r="M184" s="7">
        <v>-6.7799999999999999E-2</v>
      </c>
    </row>
    <row r="185" spans="1:13" x14ac:dyDescent="0.2">
      <c r="A185" s="6">
        <v>44189</v>
      </c>
      <c r="B185" s="2" t="s">
        <v>227</v>
      </c>
      <c r="C185" s="5">
        <v>44166</v>
      </c>
      <c r="D185" s="2" t="s">
        <v>178</v>
      </c>
      <c r="E185" s="3">
        <v>3423</v>
      </c>
      <c r="F185" s="8">
        <v>0.25609999999999999</v>
      </c>
      <c r="G185" s="4">
        <v>68.486599999999996</v>
      </c>
      <c r="H185" s="4">
        <v>59.452500000000001</v>
      </c>
      <c r="I185" s="4">
        <v>20.495000000000001</v>
      </c>
      <c r="J185" s="4">
        <v>20.952500000000001</v>
      </c>
      <c r="K185" s="4">
        <v>15.645</v>
      </c>
      <c r="L185" s="4">
        <v>19.967500000000001</v>
      </c>
      <c r="M185" s="7">
        <v>-2.5700000000000001E-2</v>
      </c>
    </row>
    <row r="186" spans="1:13" x14ac:dyDescent="0.2">
      <c r="A186" s="6">
        <v>44193</v>
      </c>
      <c r="B186" s="2" t="s">
        <v>228</v>
      </c>
      <c r="C186" s="5">
        <v>44166</v>
      </c>
      <c r="D186" s="2" t="s">
        <v>178</v>
      </c>
      <c r="E186" s="3">
        <v>3500</v>
      </c>
      <c r="F186" s="8">
        <v>0.21510000000000001</v>
      </c>
      <c r="G186" s="4">
        <v>54.535400000000003</v>
      </c>
      <c r="H186" s="4">
        <v>33.867400000000004</v>
      </c>
      <c r="I186" s="4">
        <v>19.967500000000001</v>
      </c>
      <c r="J186" s="4">
        <v>21.022500000000001</v>
      </c>
      <c r="K186" s="4">
        <v>18.5975</v>
      </c>
      <c r="L186" s="4">
        <v>20.427499999999998</v>
      </c>
      <c r="M186" s="7">
        <v>2.3E-2</v>
      </c>
    </row>
    <row r="187" spans="1:13" x14ac:dyDescent="0.2">
      <c r="A187" s="6">
        <v>44194</v>
      </c>
      <c r="B187" s="2" t="s">
        <v>226</v>
      </c>
      <c r="C187" s="5">
        <v>44166</v>
      </c>
      <c r="D187" s="2" t="s">
        <v>178</v>
      </c>
      <c r="E187" s="3">
        <v>3483</v>
      </c>
      <c r="F187" s="8">
        <v>0.21360000000000001</v>
      </c>
      <c r="G187" s="4">
        <v>47.883400000000002</v>
      </c>
      <c r="H187" s="4">
        <v>35.314700000000002</v>
      </c>
      <c r="I187" s="4">
        <v>20.427499999999998</v>
      </c>
      <c r="J187" s="4">
        <v>21.212499999999999</v>
      </c>
      <c r="K187" s="4">
        <v>17.627500000000001</v>
      </c>
      <c r="L187" s="4">
        <v>20.79</v>
      </c>
      <c r="M187" s="7">
        <v>1.77E-2</v>
      </c>
    </row>
    <row r="188" spans="1:13" x14ac:dyDescent="0.2">
      <c r="A188" s="6">
        <v>44195</v>
      </c>
      <c r="B188" s="2" t="s">
        <v>224</v>
      </c>
      <c r="C188" s="5">
        <v>44166</v>
      </c>
      <c r="D188" s="2" t="s">
        <v>178</v>
      </c>
      <c r="E188" s="3">
        <v>3420</v>
      </c>
      <c r="F188" s="8">
        <v>0.20630000000000001</v>
      </c>
      <c r="G188" s="4">
        <v>47.183799999999998</v>
      </c>
      <c r="H188" s="4">
        <v>43.297400000000003</v>
      </c>
      <c r="I188" s="4">
        <v>20.79</v>
      </c>
      <c r="J188" s="4">
        <v>21.587499999999999</v>
      </c>
      <c r="K188" s="4">
        <v>20.79</v>
      </c>
      <c r="L188" s="4">
        <v>21.11</v>
      </c>
      <c r="M188" s="7">
        <v>1.54E-2</v>
      </c>
    </row>
    <row r="189" spans="1:13" x14ac:dyDescent="0.2">
      <c r="A189" s="6">
        <v>44196</v>
      </c>
      <c r="B189" s="2" t="s">
        <v>227</v>
      </c>
      <c r="C189" s="5">
        <v>44166</v>
      </c>
      <c r="D189" s="2" t="s">
        <v>178</v>
      </c>
      <c r="E189" s="3">
        <v>3485</v>
      </c>
      <c r="F189" s="8">
        <v>0.21210000000000001</v>
      </c>
      <c r="G189" s="4">
        <v>65.4101</v>
      </c>
      <c r="H189" s="4">
        <v>39.551900000000003</v>
      </c>
      <c r="I189" s="4">
        <v>21.11</v>
      </c>
      <c r="J189" s="4">
        <v>21.504999999999999</v>
      </c>
      <c r="K189" s="4">
        <v>19.190000000000001</v>
      </c>
      <c r="L189" s="4">
        <v>21.094999999999999</v>
      </c>
      <c r="M189" s="7">
        <v>-6.9999999999999999E-4</v>
      </c>
    </row>
    <row r="190" spans="1:13" x14ac:dyDescent="0.2">
      <c r="A190" s="6">
        <v>44197</v>
      </c>
      <c r="B190" s="2" t="s">
        <v>225</v>
      </c>
      <c r="C190" s="5">
        <v>44197</v>
      </c>
      <c r="D190" s="2" t="s">
        <v>179</v>
      </c>
      <c r="E190" s="3">
        <v>3420</v>
      </c>
      <c r="F190" s="8">
        <v>0.19539999999999999</v>
      </c>
      <c r="G190" s="4">
        <v>48.239199999999997</v>
      </c>
      <c r="H190" s="4">
        <v>30.146799999999999</v>
      </c>
      <c r="I190" s="4">
        <v>21.094999999999999</v>
      </c>
      <c r="J190" s="4">
        <v>21.3325</v>
      </c>
      <c r="K190" s="4">
        <v>19.262499999999999</v>
      </c>
      <c r="L190" s="4">
        <v>19.559999999999999</v>
      </c>
      <c r="M190" s="7">
        <v>-7.2800000000000004E-2</v>
      </c>
    </row>
    <row r="191" spans="1:13" x14ac:dyDescent="0.2">
      <c r="A191" s="6">
        <v>44200</v>
      </c>
      <c r="B191" s="2" t="s">
        <v>228</v>
      </c>
      <c r="C191" s="5">
        <v>44197</v>
      </c>
      <c r="D191" s="2" t="s">
        <v>179</v>
      </c>
      <c r="E191" s="3">
        <v>3565</v>
      </c>
      <c r="F191" s="8">
        <v>0.26269999999999999</v>
      </c>
      <c r="G191" s="4">
        <v>80.312399999999997</v>
      </c>
      <c r="H191" s="4">
        <v>44.021099999999997</v>
      </c>
      <c r="I191" s="4">
        <v>19.559999999999999</v>
      </c>
      <c r="J191" s="4">
        <v>21.0275</v>
      </c>
      <c r="K191" s="4">
        <v>19.335000000000001</v>
      </c>
      <c r="L191" s="4">
        <v>20.03</v>
      </c>
      <c r="M191" s="7">
        <v>2.4E-2</v>
      </c>
    </row>
    <row r="192" spans="1:13" x14ac:dyDescent="0.2">
      <c r="A192" s="6">
        <v>44201</v>
      </c>
      <c r="B192" s="2" t="s">
        <v>226</v>
      </c>
      <c r="C192" s="5">
        <v>44197</v>
      </c>
      <c r="D192" s="2" t="s">
        <v>179</v>
      </c>
      <c r="E192" s="3">
        <v>3552</v>
      </c>
      <c r="F192" s="8">
        <v>0.2641</v>
      </c>
      <c r="G192" s="4">
        <v>67.605900000000005</v>
      </c>
      <c r="H192" s="4">
        <v>49.386200000000002</v>
      </c>
      <c r="I192" s="4">
        <v>20.03</v>
      </c>
      <c r="J192" s="4">
        <v>21.004999999999999</v>
      </c>
      <c r="K192" s="4">
        <v>20.03</v>
      </c>
      <c r="L192" s="4">
        <v>20.46</v>
      </c>
      <c r="M192" s="7">
        <v>2.1499999999999998E-2</v>
      </c>
    </row>
    <row r="193" spans="1:13" x14ac:dyDescent="0.2">
      <c r="A193" s="6">
        <v>44202</v>
      </c>
      <c r="B193" s="2" t="s">
        <v>224</v>
      </c>
      <c r="C193" s="5">
        <v>44197</v>
      </c>
      <c r="D193" s="2" t="s">
        <v>179</v>
      </c>
      <c r="E193" s="3">
        <v>3560</v>
      </c>
      <c r="F193" s="8">
        <v>0.29299999999999998</v>
      </c>
      <c r="G193" s="4">
        <v>84.280500000000004</v>
      </c>
      <c r="H193" s="4">
        <v>65.144000000000005</v>
      </c>
      <c r="I193" s="4">
        <v>20.46</v>
      </c>
      <c r="J193" s="4">
        <v>21.63</v>
      </c>
      <c r="K193" s="4">
        <v>20.425000000000001</v>
      </c>
      <c r="L193" s="4">
        <v>20.995000000000001</v>
      </c>
      <c r="M193" s="7">
        <v>2.6100000000000002E-2</v>
      </c>
    </row>
    <row r="194" spans="1:13" x14ac:dyDescent="0.2">
      <c r="A194" s="6">
        <v>44203</v>
      </c>
      <c r="B194" s="2" t="s">
        <v>227</v>
      </c>
      <c r="C194" s="5">
        <v>44197</v>
      </c>
      <c r="D194" s="2" t="s">
        <v>179</v>
      </c>
      <c r="E194" s="3">
        <v>3533</v>
      </c>
      <c r="F194" s="8">
        <v>0.2792</v>
      </c>
      <c r="G194" s="4">
        <v>83.703599999999994</v>
      </c>
      <c r="H194" s="4">
        <v>56.741300000000003</v>
      </c>
      <c r="I194" s="4">
        <v>20.995000000000001</v>
      </c>
      <c r="J194" s="4">
        <v>20.995000000000001</v>
      </c>
      <c r="K194" s="4">
        <v>20.137499999999999</v>
      </c>
      <c r="L194" s="4">
        <v>20.614999999999998</v>
      </c>
      <c r="M194" s="7">
        <v>-1.8100000000000002E-2</v>
      </c>
    </row>
    <row r="195" spans="1:13" x14ac:dyDescent="0.2">
      <c r="A195" s="6">
        <v>44204</v>
      </c>
      <c r="B195" s="2" t="s">
        <v>225</v>
      </c>
      <c r="C195" s="5">
        <v>44197</v>
      </c>
      <c r="D195" s="2" t="s">
        <v>179</v>
      </c>
      <c r="E195" s="3">
        <v>3604</v>
      </c>
      <c r="F195" s="8">
        <v>0.2823</v>
      </c>
      <c r="G195" s="4">
        <v>61.870699999999999</v>
      </c>
      <c r="H195" s="4">
        <v>55.216999999999999</v>
      </c>
      <c r="I195" s="4">
        <v>20.614999999999998</v>
      </c>
      <c r="J195" s="4">
        <v>20.85</v>
      </c>
      <c r="K195" s="4">
        <v>17.38</v>
      </c>
      <c r="L195" s="4">
        <v>20.64</v>
      </c>
      <c r="M195" s="7">
        <v>1.1999999999999999E-3</v>
      </c>
    </row>
    <row r="196" spans="1:13" x14ac:dyDescent="0.2">
      <c r="A196" s="6">
        <v>44207</v>
      </c>
      <c r="B196" s="2" t="s">
        <v>228</v>
      </c>
      <c r="C196" s="5">
        <v>44197</v>
      </c>
      <c r="D196" s="2" t="s">
        <v>179</v>
      </c>
      <c r="E196" s="3">
        <v>3609</v>
      </c>
      <c r="F196" s="8">
        <v>0.26650000000000001</v>
      </c>
      <c r="G196" s="4">
        <v>62.690399999999997</v>
      </c>
      <c r="H196" s="4">
        <v>50.439399999999999</v>
      </c>
      <c r="I196" s="4">
        <v>20.64</v>
      </c>
      <c r="J196" s="4">
        <v>22.745000000000001</v>
      </c>
      <c r="K196" s="4">
        <v>20.64</v>
      </c>
      <c r="L196" s="4">
        <v>22.3825</v>
      </c>
      <c r="M196" s="7">
        <v>8.4400000000000003E-2</v>
      </c>
    </row>
    <row r="197" spans="1:13" x14ac:dyDescent="0.2">
      <c r="A197" s="6">
        <v>44208</v>
      </c>
      <c r="B197" s="2" t="s">
        <v>226</v>
      </c>
      <c r="C197" s="5">
        <v>44197</v>
      </c>
      <c r="D197" s="2" t="s">
        <v>179</v>
      </c>
      <c r="E197" s="3">
        <v>3580</v>
      </c>
      <c r="F197" s="8">
        <v>0.26790000000000003</v>
      </c>
      <c r="G197" s="4">
        <v>59.427799999999998</v>
      </c>
      <c r="H197" s="4">
        <v>48.536700000000003</v>
      </c>
      <c r="I197" s="4">
        <v>22.3825</v>
      </c>
      <c r="J197" s="4">
        <v>23.26</v>
      </c>
      <c r="K197" s="4">
        <v>22.2925</v>
      </c>
      <c r="L197" s="4">
        <v>22.8475</v>
      </c>
      <c r="M197" s="7">
        <v>2.0799999999999999E-2</v>
      </c>
    </row>
    <row r="198" spans="1:13" x14ac:dyDescent="0.2">
      <c r="A198" s="6">
        <v>44209</v>
      </c>
      <c r="B198" s="2" t="s">
        <v>224</v>
      </c>
      <c r="C198" s="5">
        <v>44197</v>
      </c>
      <c r="D198" s="2" t="s">
        <v>179</v>
      </c>
      <c r="E198" s="3">
        <v>3530</v>
      </c>
      <c r="F198" s="8">
        <v>0.3009</v>
      </c>
      <c r="G198" s="4">
        <v>68.849299999999999</v>
      </c>
      <c r="H198" s="4">
        <v>82.368899999999996</v>
      </c>
      <c r="I198" s="4">
        <v>22.8475</v>
      </c>
      <c r="J198" s="4">
        <v>24.047499999999999</v>
      </c>
      <c r="K198" s="4">
        <v>22.37</v>
      </c>
      <c r="L198" s="4">
        <v>23.2925</v>
      </c>
      <c r="M198" s="7">
        <v>1.95E-2</v>
      </c>
    </row>
    <row r="199" spans="1:13" x14ac:dyDescent="0.2">
      <c r="A199" s="6">
        <v>44210</v>
      </c>
      <c r="B199" s="2" t="s">
        <v>227</v>
      </c>
      <c r="C199" s="5">
        <v>44197</v>
      </c>
      <c r="D199" s="2" t="s">
        <v>179</v>
      </c>
      <c r="E199" s="3">
        <v>3461</v>
      </c>
      <c r="F199" s="8">
        <v>0.2177</v>
      </c>
      <c r="G199" s="4">
        <v>41.188299999999998</v>
      </c>
      <c r="H199" s="4">
        <v>56.844099999999997</v>
      </c>
      <c r="I199" s="4">
        <v>23.2925</v>
      </c>
      <c r="J199" s="4">
        <v>23.702500000000001</v>
      </c>
      <c r="K199" s="4">
        <v>22.807500000000001</v>
      </c>
      <c r="L199" s="4">
        <v>23.0275</v>
      </c>
      <c r="M199" s="7">
        <v>-1.14E-2</v>
      </c>
    </row>
    <row r="200" spans="1:13" x14ac:dyDescent="0.2">
      <c r="A200" s="6">
        <v>44211</v>
      </c>
      <c r="B200" s="2" t="s">
        <v>225</v>
      </c>
      <c r="C200" s="5">
        <v>44197</v>
      </c>
      <c r="D200" s="2" t="s">
        <v>179</v>
      </c>
      <c r="E200" s="3">
        <v>3482</v>
      </c>
      <c r="F200" s="8">
        <v>0.26040000000000002</v>
      </c>
      <c r="G200" s="4">
        <v>77.257999999999996</v>
      </c>
      <c r="H200" s="4">
        <v>50.960299999999997</v>
      </c>
      <c r="I200" s="4">
        <v>23.0275</v>
      </c>
      <c r="J200" s="4">
        <v>24.677499999999998</v>
      </c>
      <c r="K200" s="4">
        <v>23.0275</v>
      </c>
      <c r="L200" s="4">
        <v>24.01</v>
      </c>
      <c r="M200" s="7">
        <v>4.2700000000000002E-2</v>
      </c>
    </row>
    <row r="201" spans="1:13" x14ac:dyDescent="0.2">
      <c r="A201" s="6">
        <v>44214</v>
      </c>
      <c r="B201" s="2" t="s">
        <v>228</v>
      </c>
      <c r="C201" s="5">
        <v>44197</v>
      </c>
      <c r="D201" s="2" t="s">
        <v>179</v>
      </c>
      <c r="E201" s="3">
        <v>3499</v>
      </c>
      <c r="F201" s="8">
        <v>0.27060000000000001</v>
      </c>
      <c r="G201" s="4">
        <v>57.468000000000004</v>
      </c>
      <c r="H201" s="4">
        <v>78.729299999999995</v>
      </c>
      <c r="I201" s="4">
        <v>24.01</v>
      </c>
      <c r="J201" s="4">
        <v>25.412500000000001</v>
      </c>
      <c r="K201" s="4">
        <v>23.567499999999999</v>
      </c>
      <c r="L201" s="4">
        <v>24.395</v>
      </c>
      <c r="M201" s="7">
        <v>1.6E-2</v>
      </c>
    </row>
    <row r="202" spans="1:13" x14ac:dyDescent="0.2">
      <c r="A202" s="6">
        <v>44215</v>
      </c>
      <c r="B202" s="2" t="s">
        <v>226</v>
      </c>
      <c r="C202" s="5">
        <v>44197</v>
      </c>
      <c r="D202" s="2" t="s">
        <v>179</v>
      </c>
      <c r="E202" s="3">
        <v>3464</v>
      </c>
      <c r="F202" s="8">
        <v>0.19339999999999999</v>
      </c>
      <c r="G202" s="4">
        <v>45.351999999999997</v>
      </c>
      <c r="H202" s="4">
        <v>35.767499999999998</v>
      </c>
      <c r="I202" s="4">
        <v>24.395</v>
      </c>
      <c r="J202" s="4">
        <v>24.395</v>
      </c>
      <c r="K202" s="4">
        <v>20.36</v>
      </c>
      <c r="L202" s="4">
        <v>22.897500000000001</v>
      </c>
      <c r="M202" s="7">
        <v>-6.1400000000000003E-2</v>
      </c>
    </row>
    <row r="203" spans="1:13" x14ac:dyDescent="0.2">
      <c r="A203" s="6">
        <v>44216</v>
      </c>
      <c r="B203" s="2" t="s">
        <v>224</v>
      </c>
      <c r="C203" s="5">
        <v>44197</v>
      </c>
      <c r="D203" s="2" t="s">
        <v>179</v>
      </c>
      <c r="E203" s="3">
        <v>3482</v>
      </c>
      <c r="F203" s="8">
        <v>0.2167</v>
      </c>
      <c r="G203" s="4">
        <v>43.081899999999997</v>
      </c>
      <c r="H203" s="4">
        <v>44.564399999999999</v>
      </c>
      <c r="I203" s="4">
        <v>22.897500000000001</v>
      </c>
      <c r="J203" s="4">
        <v>23.184999999999999</v>
      </c>
      <c r="K203" s="4">
        <v>19.329999999999998</v>
      </c>
      <c r="L203" s="4">
        <v>21.55</v>
      </c>
      <c r="M203" s="7">
        <v>-5.8799999999999998E-2</v>
      </c>
    </row>
    <row r="204" spans="1:13" x14ac:dyDescent="0.2">
      <c r="A204" s="6">
        <v>44217</v>
      </c>
      <c r="B204" s="2" t="s">
        <v>227</v>
      </c>
      <c r="C204" s="5">
        <v>44197</v>
      </c>
      <c r="D204" s="2" t="s">
        <v>179</v>
      </c>
      <c r="E204" s="3">
        <v>3500</v>
      </c>
      <c r="F204" s="8">
        <v>0.27100000000000002</v>
      </c>
      <c r="G204" s="4">
        <v>48.570700000000002</v>
      </c>
      <c r="H204" s="4">
        <v>54.79</v>
      </c>
      <c r="I204" s="4">
        <v>21.55</v>
      </c>
      <c r="J204" s="4">
        <v>22.7775</v>
      </c>
      <c r="K204" s="4">
        <v>18.6175</v>
      </c>
      <c r="L204" s="4">
        <v>22.18</v>
      </c>
      <c r="M204" s="7">
        <v>2.92E-2</v>
      </c>
    </row>
    <row r="205" spans="1:13" x14ac:dyDescent="0.2">
      <c r="A205" s="6">
        <v>44218</v>
      </c>
      <c r="B205" s="2" t="s">
        <v>225</v>
      </c>
      <c r="C205" s="5">
        <v>44197</v>
      </c>
      <c r="D205" s="2" t="s">
        <v>179</v>
      </c>
      <c r="E205" s="3">
        <v>3414</v>
      </c>
      <c r="F205" s="8">
        <v>0.27339999999999998</v>
      </c>
      <c r="G205" s="4">
        <v>51.2515</v>
      </c>
      <c r="H205" s="4">
        <v>52.511600000000001</v>
      </c>
      <c r="I205" s="4">
        <v>22.18</v>
      </c>
      <c r="J205" s="4">
        <v>23.04</v>
      </c>
      <c r="K205" s="4">
        <v>18.73</v>
      </c>
      <c r="L205" s="4">
        <v>22.422499999999999</v>
      </c>
      <c r="M205" s="7">
        <v>1.09E-2</v>
      </c>
    </row>
    <row r="206" spans="1:13" x14ac:dyDescent="0.2">
      <c r="A206" s="6">
        <v>44221</v>
      </c>
      <c r="B206" s="2" t="s">
        <v>228</v>
      </c>
      <c r="C206" s="5">
        <v>44197</v>
      </c>
      <c r="D206" s="2" t="s">
        <v>179</v>
      </c>
      <c r="E206" s="3">
        <v>3422</v>
      </c>
      <c r="F206" s="8">
        <v>0.25979999999999998</v>
      </c>
      <c r="G206" s="4">
        <v>45.454799999999999</v>
      </c>
      <c r="H206" s="4">
        <v>47.298499999999997</v>
      </c>
      <c r="I206" s="4">
        <v>22.422499999999999</v>
      </c>
      <c r="J206" s="4">
        <v>23.81</v>
      </c>
      <c r="K206" s="4">
        <v>20.337499999999999</v>
      </c>
      <c r="L206" s="4">
        <v>23.245000000000001</v>
      </c>
      <c r="M206" s="7">
        <v>3.6700000000000003E-2</v>
      </c>
    </row>
    <row r="207" spans="1:13" x14ac:dyDescent="0.2">
      <c r="A207" s="6">
        <v>44223</v>
      </c>
      <c r="B207" s="2" t="s">
        <v>224</v>
      </c>
      <c r="C207" s="5">
        <v>44197</v>
      </c>
      <c r="D207" s="2" t="s">
        <v>179</v>
      </c>
      <c r="E207" s="3">
        <v>3364</v>
      </c>
      <c r="F207" s="8">
        <v>0.22869999999999999</v>
      </c>
      <c r="G207" s="4">
        <v>38.994199999999999</v>
      </c>
      <c r="H207" s="4">
        <v>40.194899999999997</v>
      </c>
      <c r="I207" s="4">
        <v>23.245000000000001</v>
      </c>
      <c r="J207" s="4">
        <v>24.747499999999999</v>
      </c>
      <c r="K207" s="4">
        <v>20.83</v>
      </c>
      <c r="L207" s="4">
        <v>24.392499999999998</v>
      </c>
      <c r="M207" s="7">
        <v>4.9399999999999999E-2</v>
      </c>
    </row>
    <row r="208" spans="1:13" x14ac:dyDescent="0.2">
      <c r="A208" s="6">
        <v>44224</v>
      </c>
      <c r="B208" s="2" t="s">
        <v>227</v>
      </c>
      <c r="C208" s="5">
        <v>44197</v>
      </c>
      <c r="D208" s="2" t="s">
        <v>179</v>
      </c>
      <c r="E208" s="3">
        <v>3314</v>
      </c>
      <c r="F208" s="8">
        <v>0.22789999999999999</v>
      </c>
      <c r="G208" s="4">
        <v>42.332000000000001</v>
      </c>
      <c r="H208" s="4">
        <v>54.048900000000003</v>
      </c>
      <c r="I208" s="4">
        <v>24.392499999999998</v>
      </c>
      <c r="J208" s="4">
        <v>25.295000000000002</v>
      </c>
      <c r="K208" s="4">
        <v>23.434999999999999</v>
      </c>
      <c r="L208" s="4">
        <v>24.29</v>
      </c>
      <c r="M208" s="7">
        <v>-4.1999999999999997E-3</v>
      </c>
    </row>
    <row r="209" spans="1:13" x14ac:dyDescent="0.2">
      <c r="A209" s="6">
        <v>44225</v>
      </c>
      <c r="B209" s="2" t="s">
        <v>225</v>
      </c>
      <c r="C209" s="5">
        <v>44197</v>
      </c>
      <c r="D209" s="2" t="s">
        <v>179</v>
      </c>
      <c r="E209" s="3">
        <v>3360</v>
      </c>
      <c r="F209" s="8">
        <v>0.24</v>
      </c>
      <c r="G209" s="4">
        <v>42.621299999999998</v>
      </c>
      <c r="H209" s="4">
        <v>42.920900000000003</v>
      </c>
      <c r="I209" s="4">
        <v>24.29</v>
      </c>
      <c r="J209" s="4">
        <v>25.99</v>
      </c>
      <c r="K209" s="4">
        <v>22.08</v>
      </c>
      <c r="L209" s="4">
        <v>25.342500000000001</v>
      </c>
      <c r="M209" s="7">
        <v>4.3299999999999998E-2</v>
      </c>
    </row>
    <row r="210" spans="1:13" x14ac:dyDescent="0.2">
      <c r="A210" s="6">
        <v>44228</v>
      </c>
      <c r="B210" s="2" t="s">
        <v>228</v>
      </c>
      <c r="C210" s="5">
        <v>44228</v>
      </c>
      <c r="D210" s="2" t="s">
        <v>179</v>
      </c>
      <c r="E210" s="3">
        <v>3426</v>
      </c>
      <c r="F210" s="8">
        <v>0.28199999999999997</v>
      </c>
      <c r="G210" s="4">
        <v>46.476199999999999</v>
      </c>
      <c r="H210" s="4">
        <v>51.828000000000003</v>
      </c>
      <c r="I210" s="4">
        <v>25.342500000000001</v>
      </c>
      <c r="J210" s="4">
        <v>25.925000000000001</v>
      </c>
      <c r="K210" s="4">
        <v>22.6</v>
      </c>
      <c r="L210" s="4">
        <v>23.322500000000002</v>
      </c>
      <c r="M210" s="7">
        <v>-7.9699999999999993E-2</v>
      </c>
    </row>
    <row r="211" spans="1:13" x14ac:dyDescent="0.2">
      <c r="A211" s="6">
        <v>44229</v>
      </c>
      <c r="B211" s="2" t="s">
        <v>226</v>
      </c>
      <c r="C211" s="5">
        <v>44228</v>
      </c>
      <c r="D211" s="2" t="s">
        <v>179</v>
      </c>
      <c r="E211" s="3">
        <v>3430</v>
      </c>
      <c r="F211" s="8">
        <v>0.3352</v>
      </c>
      <c r="G211" s="4">
        <v>54.260300000000001</v>
      </c>
      <c r="H211" s="4">
        <v>68.678799999999995</v>
      </c>
      <c r="I211" s="4">
        <v>23.322500000000002</v>
      </c>
      <c r="J211" s="4">
        <v>23.61</v>
      </c>
      <c r="K211" s="4">
        <v>21.002500000000001</v>
      </c>
      <c r="L211" s="4">
        <v>23.344999999999999</v>
      </c>
      <c r="M211" s="7">
        <v>1E-3</v>
      </c>
    </row>
    <row r="212" spans="1:13" x14ac:dyDescent="0.2">
      <c r="A212" s="6">
        <v>44230</v>
      </c>
      <c r="B212" s="2" t="s">
        <v>224</v>
      </c>
      <c r="C212" s="5">
        <v>44228</v>
      </c>
      <c r="D212" s="2" t="s">
        <v>179</v>
      </c>
      <c r="E212" s="3">
        <v>3446</v>
      </c>
      <c r="F212" s="8">
        <v>0.29859999999999998</v>
      </c>
      <c r="G212" s="4">
        <v>52.868499999999997</v>
      </c>
      <c r="H212" s="4">
        <v>61.582599999999999</v>
      </c>
      <c r="I212" s="4">
        <v>23.344999999999999</v>
      </c>
      <c r="J212" s="4">
        <v>24.197500000000002</v>
      </c>
      <c r="K212" s="4">
        <v>20.947500000000002</v>
      </c>
      <c r="L212" s="4">
        <v>23.745000000000001</v>
      </c>
      <c r="M212" s="7">
        <v>1.7100000000000001E-2</v>
      </c>
    </row>
    <row r="213" spans="1:13" x14ac:dyDescent="0.2">
      <c r="A213" s="6">
        <v>44231</v>
      </c>
      <c r="B213" s="2" t="s">
        <v>227</v>
      </c>
      <c r="C213" s="5">
        <v>44228</v>
      </c>
      <c r="D213" s="2" t="s">
        <v>179</v>
      </c>
      <c r="E213" s="3">
        <v>3414</v>
      </c>
      <c r="F213" s="8">
        <v>0.25430000000000003</v>
      </c>
      <c r="G213" s="4">
        <v>48.438600000000001</v>
      </c>
      <c r="H213" s="4">
        <v>65.438000000000002</v>
      </c>
      <c r="I213" s="4">
        <v>23.745000000000001</v>
      </c>
      <c r="J213" s="4">
        <v>23.932500000000001</v>
      </c>
      <c r="K213" s="4">
        <v>22.09</v>
      </c>
      <c r="L213" s="4">
        <v>23.122499999999999</v>
      </c>
      <c r="M213" s="7">
        <v>-2.6200000000000001E-2</v>
      </c>
    </row>
    <row r="214" spans="1:13" x14ac:dyDescent="0.2">
      <c r="A214" s="6">
        <v>44232</v>
      </c>
      <c r="B214" s="2" t="s">
        <v>225</v>
      </c>
      <c r="C214" s="5">
        <v>44228</v>
      </c>
      <c r="D214" s="2" t="s">
        <v>179</v>
      </c>
      <c r="E214" s="3">
        <v>3446</v>
      </c>
      <c r="F214" s="8">
        <v>0.26500000000000001</v>
      </c>
      <c r="G214" s="4">
        <v>49.941499999999998</v>
      </c>
      <c r="H214" s="4">
        <v>55.756900000000002</v>
      </c>
      <c r="I214" s="4">
        <v>23.122499999999999</v>
      </c>
      <c r="J214" s="4">
        <v>23.934999999999999</v>
      </c>
      <c r="K214" s="4">
        <v>20.079999999999998</v>
      </c>
      <c r="L214" s="4">
        <v>23.414999999999999</v>
      </c>
      <c r="M214" s="7">
        <v>1.2699999999999999E-2</v>
      </c>
    </row>
    <row r="215" spans="1:13" x14ac:dyDescent="0.2">
      <c r="A215" s="6">
        <v>44235</v>
      </c>
      <c r="B215" s="2" t="s">
        <v>228</v>
      </c>
      <c r="C215" s="5">
        <v>44228</v>
      </c>
      <c r="D215" s="2" t="s">
        <v>179</v>
      </c>
      <c r="E215" s="3">
        <v>3532</v>
      </c>
      <c r="F215" s="8">
        <v>0.25490000000000002</v>
      </c>
      <c r="G215" s="4">
        <v>40.342799999999997</v>
      </c>
      <c r="H215" s="4">
        <v>54.047499999999999</v>
      </c>
      <c r="I215" s="4">
        <v>23.414999999999999</v>
      </c>
      <c r="J215" s="4">
        <v>24.344999999999999</v>
      </c>
      <c r="K215" s="4">
        <v>22.177499999999998</v>
      </c>
      <c r="L215" s="4">
        <v>23.9575</v>
      </c>
      <c r="M215" s="7">
        <v>2.3199999999999998E-2</v>
      </c>
    </row>
    <row r="216" spans="1:13" x14ac:dyDescent="0.2">
      <c r="A216" s="6">
        <v>44236</v>
      </c>
      <c r="B216" s="2" t="s">
        <v>226</v>
      </c>
      <c r="C216" s="5">
        <v>44228</v>
      </c>
      <c r="D216" s="2" t="s">
        <v>179</v>
      </c>
      <c r="E216" s="3">
        <v>3477</v>
      </c>
      <c r="F216" s="8">
        <v>0.23860000000000001</v>
      </c>
      <c r="G216" s="4">
        <v>49.095599999999997</v>
      </c>
      <c r="H216" s="4">
        <v>65.055099999999996</v>
      </c>
      <c r="I216" s="4">
        <v>23.9575</v>
      </c>
      <c r="J216" s="4">
        <v>24.467500000000001</v>
      </c>
      <c r="K216" s="4">
        <v>21.432500000000001</v>
      </c>
      <c r="L216" s="4">
        <v>24.27</v>
      </c>
      <c r="M216" s="7">
        <v>1.2999999999999999E-2</v>
      </c>
    </row>
    <row r="217" spans="1:13" x14ac:dyDescent="0.2">
      <c r="A217" s="6">
        <v>44237</v>
      </c>
      <c r="B217" s="2" t="s">
        <v>224</v>
      </c>
      <c r="C217" s="5">
        <v>44228</v>
      </c>
      <c r="D217" s="2" t="s">
        <v>179</v>
      </c>
      <c r="E217" s="3">
        <v>3442</v>
      </c>
      <c r="F217" s="8">
        <v>0.2253</v>
      </c>
      <c r="G217" s="4">
        <v>34.322800000000001</v>
      </c>
      <c r="H217" s="4">
        <v>48.258000000000003</v>
      </c>
      <c r="I217" s="4">
        <v>24.27</v>
      </c>
      <c r="J217" s="4">
        <v>24.954999999999998</v>
      </c>
      <c r="K217" s="4">
        <v>20.907499999999999</v>
      </c>
      <c r="L217" s="4">
        <v>23.952500000000001</v>
      </c>
      <c r="M217" s="7">
        <v>-1.3100000000000001E-2</v>
      </c>
    </row>
    <row r="218" spans="1:13" x14ac:dyDescent="0.2">
      <c r="A218" s="6">
        <v>44238</v>
      </c>
      <c r="B218" s="2" t="s">
        <v>227</v>
      </c>
      <c r="C218" s="5">
        <v>44228</v>
      </c>
      <c r="D218" s="2" t="s">
        <v>179</v>
      </c>
      <c r="E218" s="3">
        <v>3417</v>
      </c>
      <c r="F218" s="8">
        <v>0.23730000000000001</v>
      </c>
      <c r="G218" s="4">
        <v>48.876199999999997</v>
      </c>
      <c r="H218" s="4">
        <v>46.309899999999999</v>
      </c>
      <c r="I218" s="4">
        <v>23.952500000000001</v>
      </c>
      <c r="J218" s="4">
        <v>24.2225</v>
      </c>
      <c r="K218" s="4">
        <v>21.017499999999998</v>
      </c>
      <c r="L218" s="4">
        <v>23.045000000000002</v>
      </c>
      <c r="M218" s="7">
        <v>-3.7900000000000003E-2</v>
      </c>
    </row>
    <row r="219" spans="1:13" x14ac:dyDescent="0.2">
      <c r="A219" s="6">
        <v>44239</v>
      </c>
      <c r="B219" s="2" t="s">
        <v>225</v>
      </c>
      <c r="C219" s="5">
        <v>44228</v>
      </c>
      <c r="D219" s="2" t="s">
        <v>179</v>
      </c>
      <c r="E219" s="3">
        <v>3424</v>
      </c>
      <c r="F219" s="8">
        <v>0.22600000000000001</v>
      </c>
      <c r="G219" s="4">
        <v>44.107999999999997</v>
      </c>
      <c r="H219" s="4">
        <v>48.813800000000001</v>
      </c>
      <c r="I219" s="4">
        <v>0</v>
      </c>
      <c r="J219" s="4">
        <v>0</v>
      </c>
      <c r="K219" s="4">
        <v>0</v>
      </c>
      <c r="L219" s="4">
        <v>23.045000000000002</v>
      </c>
      <c r="M219" s="7"/>
    </row>
    <row r="220" spans="1:13" x14ac:dyDescent="0.2">
      <c r="A220" s="6">
        <v>44242</v>
      </c>
      <c r="B220" s="2" t="s">
        <v>228</v>
      </c>
      <c r="C220" s="5">
        <v>44228</v>
      </c>
      <c r="D220" s="2" t="s">
        <v>179</v>
      </c>
      <c r="E220" s="3">
        <v>3500</v>
      </c>
      <c r="F220" s="8">
        <v>0.22989999999999999</v>
      </c>
      <c r="G220" s="4">
        <v>39.130600000000001</v>
      </c>
      <c r="H220" s="4">
        <v>44.450600000000001</v>
      </c>
      <c r="I220" s="4">
        <v>22.0425</v>
      </c>
      <c r="J220" s="4">
        <v>22.39</v>
      </c>
      <c r="K220" s="4">
        <v>20.822500000000002</v>
      </c>
      <c r="L220" s="4">
        <v>21.475000000000001</v>
      </c>
      <c r="M220" s="7">
        <v>-2.5700000000000001E-2</v>
      </c>
    </row>
    <row r="221" spans="1:13" x14ac:dyDescent="0.2">
      <c r="A221" s="6">
        <v>44243</v>
      </c>
      <c r="B221" s="2" t="s">
        <v>226</v>
      </c>
      <c r="C221" s="5">
        <v>44228</v>
      </c>
      <c r="D221" s="2" t="s">
        <v>179</v>
      </c>
      <c r="E221" s="3">
        <v>3447</v>
      </c>
      <c r="F221" s="8">
        <v>0.22259999999999999</v>
      </c>
      <c r="G221" s="4">
        <v>43.3812</v>
      </c>
      <c r="H221" s="4">
        <v>49.327399999999997</v>
      </c>
      <c r="I221" s="4">
        <v>21.475000000000001</v>
      </c>
      <c r="J221" s="4">
        <v>22.114999999999998</v>
      </c>
      <c r="K221" s="4">
        <v>20.535</v>
      </c>
      <c r="L221" s="4">
        <v>21.78</v>
      </c>
      <c r="M221" s="7">
        <v>1.4200000000000001E-2</v>
      </c>
    </row>
    <row r="222" spans="1:13" x14ac:dyDescent="0.2">
      <c r="A222" s="6">
        <v>44244</v>
      </c>
      <c r="B222" s="2" t="s">
        <v>224</v>
      </c>
      <c r="C222" s="5">
        <v>44228</v>
      </c>
      <c r="D222" s="2" t="s">
        <v>179</v>
      </c>
      <c r="E222" s="3">
        <v>3409</v>
      </c>
      <c r="F222" s="8">
        <v>0.23130000000000001</v>
      </c>
      <c r="G222" s="4">
        <v>48.268599999999999</v>
      </c>
      <c r="H222" s="4">
        <v>47.747599999999998</v>
      </c>
      <c r="I222" s="4">
        <v>21.78</v>
      </c>
      <c r="J222" s="4">
        <v>21.88</v>
      </c>
      <c r="K222" s="4">
        <v>21.0975</v>
      </c>
      <c r="L222" s="4">
        <v>21.504999999999999</v>
      </c>
      <c r="M222" s="7">
        <v>-1.26E-2</v>
      </c>
    </row>
    <row r="223" spans="1:13" x14ac:dyDescent="0.2">
      <c r="A223" s="6">
        <v>44245</v>
      </c>
      <c r="B223" s="2" t="s">
        <v>227</v>
      </c>
      <c r="C223" s="5">
        <v>44228</v>
      </c>
      <c r="D223" s="2" t="s">
        <v>179</v>
      </c>
      <c r="E223" s="3">
        <v>3417</v>
      </c>
      <c r="F223" s="8">
        <v>0.24690000000000001</v>
      </c>
      <c r="G223" s="4">
        <v>57.012799999999999</v>
      </c>
      <c r="H223" s="4">
        <v>47.1736</v>
      </c>
      <c r="I223" s="4">
        <v>21.504999999999999</v>
      </c>
      <c r="J223" s="4">
        <v>22.085000000000001</v>
      </c>
      <c r="K223" s="4">
        <v>19.962499999999999</v>
      </c>
      <c r="L223" s="4">
        <v>21.5425</v>
      </c>
      <c r="M223" s="7">
        <v>1.6999999999999999E-3</v>
      </c>
    </row>
    <row r="224" spans="1:13" x14ac:dyDescent="0.2">
      <c r="A224" s="6">
        <v>44246</v>
      </c>
      <c r="B224" s="2" t="s">
        <v>225</v>
      </c>
      <c r="C224" s="5">
        <v>44228</v>
      </c>
      <c r="D224" s="2" t="s">
        <v>179</v>
      </c>
      <c r="E224" s="3">
        <v>3412</v>
      </c>
      <c r="F224" s="8">
        <v>0.27860000000000001</v>
      </c>
      <c r="G224" s="4">
        <v>63.980699999999999</v>
      </c>
      <c r="H224" s="4">
        <v>56.715600000000002</v>
      </c>
      <c r="I224" s="4">
        <v>21.5425</v>
      </c>
      <c r="J224" s="4">
        <v>22.8675</v>
      </c>
      <c r="K224" s="4">
        <v>19.344999999999999</v>
      </c>
      <c r="L224" s="4">
        <v>22.25</v>
      </c>
      <c r="M224" s="7">
        <v>3.2800000000000003E-2</v>
      </c>
    </row>
    <row r="225" spans="1:13" x14ac:dyDescent="0.2">
      <c r="A225" s="6">
        <v>44249</v>
      </c>
      <c r="B225" s="2" t="s">
        <v>228</v>
      </c>
      <c r="C225" s="5">
        <v>44228</v>
      </c>
      <c r="D225" s="2" t="s">
        <v>179</v>
      </c>
      <c r="E225" s="3">
        <v>3467</v>
      </c>
      <c r="F225" s="8">
        <v>0.25690000000000002</v>
      </c>
      <c r="G225" s="4">
        <v>53.4375</v>
      </c>
      <c r="H225" s="4">
        <v>47.290599999999998</v>
      </c>
      <c r="I225" s="4">
        <v>22.25</v>
      </c>
      <c r="J225" s="4">
        <v>25.82</v>
      </c>
      <c r="K225" s="4">
        <v>20.022500000000001</v>
      </c>
      <c r="L225" s="4">
        <v>25.47</v>
      </c>
      <c r="M225" s="7">
        <v>0.1447</v>
      </c>
    </row>
    <row r="226" spans="1:13" x14ac:dyDescent="0.2">
      <c r="A226" s="6">
        <v>44250</v>
      </c>
      <c r="B226" s="2" t="s">
        <v>226</v>
      </c>
      <c r="C226" s="5">
        <v>44228</v>
      </c>
      <c r="D226" s="2" t="s">
        <v>179</v>
      </c>
      <c r="E226" s="3">
        <v>3377</v>
      </c>
      <c r="F226" s="8">
        <v>0.2303</v>
      </c>
      <c r="G226" s="4">
        <v>49.627800000000001</v>
      </c>
      <c r="H226" s="4">
        <v>45.205800000000004</v>
      </c>
      <c r="I226" s="4">
        <v>25.47</v>
      </c>
      <c r="J226" s="4">
        <v>25.642499999999998</v>
      </c>
      <c r="K226" s="4">
        <v>23.857500000000002</v>
      </c>
      <c r="L226" s="4">
        <v>25.227499999999999</v>
      </c>
      <c r="M226" s="7">
        <v>-9.4999999999999998E-3</v>
      </c>
    </row>
    <row r="227" spans="1:13" x14ac:dyDescent="0.2">
      <c r="A227" s="6">
        <v>44251</v>
      </c>
      <c r="B227" s="2" t="s">
        <v>224</v>
      </c>
      <c r="C227" s="5">
        <v>44228</v>
      </c>
      <c r="D227" s="2" t="s">
        <v>179</v>
      </c>
      <c r="E227" s="3">
        <v>3400</v>
      </c>
      <c r="F227" s="8">
        <v>0.39279999999999998</v>
      </c>
      <c r="G227" s="4">
        <v>70.633499999999998</v>
      </c>
      <c r="H227" s="4">
        <v>406.98079999999999</v>
      </c>
      <c r="I227" s="4">
        <v>25.227499999999999</v>
      </c>
      <c r="J227" s="4">
        <v>25.227499999999999</v>
      </c>
      <c r="K227" s="4">
        <v>23.482500000000002</v>
      </c>
      <c r="L227" s="4">
        <v>24.1675</v>
      </c>
      <c r="M227" s="7">
        <v>-4.2000000000000003E-2</v>
      </c>
    </row>
    <row r="228" spans="1:13" x14ac:dyDescent="0.2">
      <c r="A228" s="6">
        <v>44252</v>
      </c>
      <c r="B228" s="2" t="s">
        <v>227</v>
      </c>
      <c r="C228" s="5">
        <v>44228</v>
      </c>
      <c r="D228" s="2" t="s">
        <v>179</v>
      </c>
      <c r="E228" s="3">
        <v>3409</v>
      </c>
      <c r="F228" s="8">
        <v>0.2903</v>
      </c>
      <c r="G228" s="4">
        <v>57.040700000000001</v>
      </c>
      <c r="H228" s="4">
        <v>74.795900000000003</v>
      </c>
      <c r="I228" s="4">
        <v>24.1675</v>
      </c>
      <c r="J228" s="4">
        <v>24.1675</v>
      </c>
      <c r="K228" s="4">
        <v>22.627500000000001</v>
      </c>
      <c r="L228" s="4">
        <v>22.892499999999998</v>
      </c>
      <c r="M228" s="7">
        <v>-5.28E-2</v>
      </c>
    </row>
    <row r="229" spans="1:13" x14ac:dyDescent="0.2">
      <c r="A229" s="6">
        <v>44253</v>
      </c>
      <c r="B229" s="2" t="s">
        <v>225</v>
      </c>
      <c r="C229" s="5">
        <v>44228</v>
      </c>
      <c r="D229" s="2" t="s">
        <v>179</v>
      </c>
      <c r="E229" s="3">
        <v>3389</v>
      </c>
      <c r="F229" s="8">
        <v>0.33179999999999998</v>
      </c>
      <c r="G229" s="4">
        <v>59.8596</v>
      </c>
      <c r="H229" s="4">
        <v>64.088499999999996</v>
      </c>
      <c r="I229" s="4">
        <v>22.892499999999998</v>
      </c>
      <c r="J229" s="4">
        <v>29.645</v>
      </c>
      <c r="K229" s="4">
        <v>22.892499999999998</v>
      </c>
      <c r="L229" s="4">
        <v>28.142499999999998</v>
      </c>
      <c r="M229" s="7">
        <v>0.2293</v>
      </c>
    </row>
    <row r="230" spans="1:13" x14ac:dyDescent="0.2">
      <c r="A230" s="6">
        <v>44256</v>
      </c>
      <c r="B230" s="2" t="s">
        <v>228</v>
      </c>
      <c r="C230" s="5">
        <v>44256</v>
      </c>
      <c r="D230" s="2" t="s">
        <v>179</v>
      </c>
      <c r="E230" s="3">
        <v>3555</v>
      </c>
      <c r="F230" s="8">
        <v>0.28160000000000002</v>
      </c>
      <c r="G230" s="4">
        <v>53.644399999999997</v>
      </c>
      <c r="H230" s="4">
        <v>51.082700000000003</v>
      </c>
      <c r="I230" s="4">
        <v>28.142499999999998</v>
      </c>
      <c r="J230" s="4">
        <v>28.142499999999998</v>
      </c>
      <c r="K230" s="4">
        <v>24.95</v>
      </c>
      <c r="L230" s="4">
        <v>25.625</v>
      </c>
      <c r="M230" s="7">
        <v>-8.9499999999999996E-2</v>
      </c>
    </row>
    <row r="231" spans="1:13" x14ac:dyDescent="0.2">
      <c r="A231" s="6">
        <v>44257</v>
      </c>
      <c r="B231" s="2" t="s">
        <v>226</v>
      </c>
      <c r="C231" s="5">
        <v>44256</v>
      </c>
      <c r="D231" s="2" t="s">
        <v>179</v>
      </c>
      <c r="E231" s="3">
        <v>3472</v>
      </c>
      <c r="F231" s="8">
        <v>0.28870000000000001</v>
      </c>
      <c r="G231" s="4">
        <v>60.336599999999997</v>
      </c>
      <c r="H231" s="4">
        <v>53.620100000000001</v>
      </c>
      <c r="I231" s="4">
        <v>25.625</v>
      </c>
      <c r="J231" s="4">
        <v>25.625</v>
      </c>
      <c r="K231" s="4">
        <v>23.21</v>
      </c>
      <c r="L231" s="4">
        <v>23.605</v>
      </c>
      <c r="M231" s="7">
        <v>-7.8799999999999995E-2</v>
      </c>
    </row>
    <row r="232" spans="1:13" x14ac:dyDescent="0.2">
      <c r="A232" s="6">
        <v>44258</v>
      </c>
      <c r="B232" s="2" t="s">
        <v>224</v>
      </c>
      <c r="C232" s="5">
        <v>44256</v>
      </c>
      <c r="D232" s="2" t="s">
        <v>179</v>
      </c>
      <c r="E232" s="3">
        <v>3476</v>
      </c>
      <c r="F232" s="8">
        <v>0.29959999999999998</v>
      </c>
      <c r="G232" s="4">
        <v>56.061599999999999</v>
      </c>
      <c r="H232" s="4">
        <v>57.510899999999999</v>
      </c>
      <c r="I232" s="4">
        <v>23.605</v>
      </c>
      <c r="J232" s="4">
        <v>23.605</v>
      </c>
      <c r="K232" s="4">
        <v>21.815000000000001</v>
      </c>
      <c r="L232" s="4">
        <v>22.09</v>
      </c>
      <c r="M232" s="7">
        <v>-6.4199999999999993E-2</v>
      </c>
    </row>
    <row r="233" spans="1:13" x14ac:dyDescent="0.2">
      <c r="A233" s="6">
        <v>44259</v>
      </c>
      <c r="B233" s="2" t="s">
        <v>227</v>
      </c>
      <c r="C233" s="5">
        <v>44256</v>
      </c>
      <c r="D233" s="2" t="s">
        <v>179</v>
      </c>
      <c r="E233" s="3">
        <v>3479</v>
      </c>
      <c r="F233" s="8">
        <v>0.27439999999999998</v>
      </c>
      <c r="G233" s="4">
        <v>59.867199999999997</v>
      </c>
      <c r="H233" s="4">
        <v>68.551400000000001</v>
      </c>
      <c r="I233" s="4">
        <v>22.09</v>
      </c>
      <c r="J233" s="4">
        <v>24.577500000000001</v>
      </c>
      <c r="K233" s="4">
        <v>22.09</v>
      </c>
      <c r="L233" s="4">
        <v>24.15</v>
      </c>
      <c r="M233" s="7">
        <v>9.3299999999999994E-2</v>
      </c>
    </row>
    <row r="234" spans="1:13" x14ac:dyDescent="0.2">
      <c r="A234" s="6">
        <v>44260</v>
      </c>
      <c r="B234" s="2" t="s">
        <v>225</v>
      </c>
      <c r="C234" s="5">
        <v>44256</v>
      </c>
      <c r="D234" s="2" t="s">
        <v>179</v>
      </c>
      <c r="E234" s="3">
        <v>3430</v>
      </c>
      <c r="F234" s="8">
        <v>0.30370000000000003</v>
      </c>
      <c r="G234" s="4">
        <v>56.756100000000004</v>
      </c>
      <c r="H234" s="4">
        <v>54.629600000000003</v>
      </c>
      <c r="I234" s="4">
        <v>24.15</v>
      </c>
      <c r="J234" s="4">
        <v>26.407499999999999</v>
      </c>
      <c r="K234" s="4">
        <v>22.862500000000001</v>
      </c>
      <c r="L234" s="4">
        <v>25.56</v>
      </c>
      <c r="M234" s="7">
        <v>5.8400000000000001E-2</v>
      </c>
    </row>
    <row r="235" spans="1:13" x14ac:dyDescent="0.2">
      <c r="A235" s="6">
        <v>44263</v>
      </c>
      <c r="B235" s="2" t="s">
        <v>228</v>
      </c>
      <c r="C235" s="5">
        <v>44256</v>
      </c>
      <c r="D235" s="2" t="s">
        <v>179</v>
      </c>
      <c r="E235" s="3">
        <v>3662</v>
      </c>
      <c r="F235" s="8">
        <v>0.23250000000000001</v>
      </c>
      <c r="G235" s="4">
        <v>44.658799999999999</v>
      </c>
      <c r="H235" s="4">
        <v>42.219200000000001</v>
      </c>
      <c r="I235" s="4">
        <v>25.56</v>
      </c>
      <c r="J235" s="4">
        <v>25.6525</v>
      </c>
      <c r="K235" s="4">
        <v>21.202500000000001</v>
      </c>
      <c r="L235" s="4">
        <v>24.675000000000001</v>
      </c>
      <c r="M235" s="7">
        <v>-3.4599999999999999E-2</v>
      </c>
    </row>
    <row r="236" spans="1:13" x14ac:dyDescent="0.2">
      <c r="A236" s="6">
        <v>44264</v>
      </c>
      <c r="B236" s="2" t="s">
        <v>226</v>
      </c>
      <c r="C236" s="5">
        <v>44256</v>
      </c>
      <c r="D236" s="2" t="s">
        <v>179</v>
      </c>
      <c r="E236" s="3">
        <v>3472</v>
      </c>
      <c r="F236" s="8">
        <v>0.27610000000000001</v>
      </c>
      <c r="G236" s="4">
        <v>58.9529</v>
      </c>
      <c r="H236" s="4">
        <v>49.7425</v>
      </c>
      <c r="I236" s="4">
        <v>24.675000000000001</v>
      </c>
      <c r="J236" s="4">
        <v>24.675000000000001</v>
      </c>
      <c r="K236" s="4">
        <v>21.4375</v>
      </c>
      <c r="L236" s="4">
        <v>22.495000000000001</v>
      </c>
      <c r="M236" s="7">
        <v>-8.8300000000000003E-2</v>
      </c>
    </row>
    <row r="237" spans="1:13" x14ac:dyDescent="0.2">
      <c r="A237" s="6">
        <v>44265</v>
      </c>
      <c r="B237" s="2" t="s">
        <v>224</v>
      </c>
      <c r="C237" s="5">
        <v>44256</v>
      </c>
      <c r="D237" s="2" t="s">
        <v>179</v>
      </c>
      <c r="E237" s="3">
        <v>3477</v>
      </c>
      <c r="F237" s="8">
        <v>0.20660000000000001</v>
      </c>
      <c r="G237" s="4">
        <v>45.537100000000002</v>
      </c>
      <c r="H237" s="4">
        <v>39.097700000000003</v>
      </c>
      <c r="I237" s="4">
        <v>22.495000000000001</v>
      </c>
      <c r="J237" s="4">
        <v>22.495000000000001</v>
      </c>
      <c r="K237" s="4">
        <v>19.315000000000001</v>
      </c>
      <c r="L237" s="4">
        <v>20.747499999999999</v>
      </c>
      <c r="M237" s="7">
        <v>-7.7700000000000005E-2</v>
      </c>
    </row>
    <row r="238" spans="1:13" x14ac:dyDescent="0.2">
      <c r="A238" s="6">
        <v>44267</v>
      </c>
      <c r="B238" s="2" t="s">
        <v>225</v>
      </c>
      <c r="C238" s="5">
        <v>44256</v>
      </c>
      <c r="D238" s="2" t="s">
        <v>179</v>
      </c>
      <c r="E238" s="3">
        <v>3495</v>
      </c>
      <c r="F238" s="8">
        <v>0.27260000000000001</v>
      </c>
      <c r="G238" s="4">
        <v>65.705500000000001</v>
      </c>
      <c r="H238" s="4">
        <v>97.834699999999998</v>
      </c>
      <c r="I238" s="4">
        <v>20.747499999999999</v>
      </c>
      <c r="J238" s="4">
        <v>22.67</v>
      </c>
      <c r="K238" s="4">
        <v>18.537500000000001</v>
      </c>
      <c r="L238" s="4">
        <v>21.7075</v>
      </c>
      <c r="M238" s="7">
        <v>4.6300000000000001E-2</v>
      </c>
    </row>
    <row r="239" spans="1:13" x14ac:dyDescent="0.2">
      <c r="A239" s="6">
        <v>44270</v>
      </c>
      <c r="B239" s="2" t="s">
        <v>228</v>
      </c>
      <c r="C239" s="5">
        <v>44256</v>
      </c>
      <c r="D239" s="2" t="s">
        <v>179</v>
      </c>
      <c r="E239" s="3">
        <v>3567</v>
      </c>
      <c r="F239" s="8">
        <v>0.26390000000000002</v>
      </c>
      <c r="G239" s="4">
        <v>43.482399999999998</v>
      </c>
      <c r="H239" s="4">
        <v>48.241500000000002</v>
      </c>
      <c r="I239" s="4">
        <v>21.7075</v>
      </c>
      <c r="J239" s="4">
        <v>22.932500000000001</v>
      </c>
      <c r="K239" s="4">
        <v>20.995000000000001</v>
      </c>
      <c r="L239" s="4">
        <v>21.227499999999999</v>
      </c>
      <c r="M239" s="7">
        <v>-2.2100000000000002E-2</v>
      </c>
    </row>
    <row r="240" spans="1:13" x14ac:dyDescent="0.2">
      <c r="A240" s="6">
        <v>44271</v>
      </c>
      <c r="B240" s="2" t="s">
        <v>226</v>
      </c>
      <c r="C240" s="5">
        <v>44256</v>
      </c>
      <c r="D240" s="2" t="s">
        <v>179</v>
      </c>
      <c r="E240" s="3">
        <v>3443</v>
      </c>
      <c r="F240" s="8">
        <v>0.21490000000000001</v>
      </c>
      <c r="G240" s="4">
        <v>37.604900000000001</v>
      </c>
      <c r="H240" s="4">
        <v>36.996400000000001</v>
      </c>
      <c r="I240" s="4">
        <v>21.227499999999999</v>
      </c>
      <c r="J240" s="4">
        <v>21.227499999999999</v>
      </c>
      <c r="K240" s="4">
        <v>18.0625</v>
      </c>
      <c r="L240" s="4">
        <v>20.190000000000001</v>
      </c>
      <c r="M240" s="7">
        <v>-4.8899999999999999E-2</v>
      </c>
    </row>
    <row r="241" spans="1:13" x14ac:dyDescent="0.2">
      <c r="A241" s="6">
        <v>44272</v>
      </c>
      <c r="B241" s="2" t="s">
        <v>224</v>
      </c>
      <c r="C241" s="5">
        <v>44256</v>
      </c>
      <c r="D241" s="2" t="s">
        <v>179</v>
      </c>
      <c r="E241" s="3">
        <v>3416</v>
      </c>
      <c r="F241" s="8">
        <v>0.23449999999999999</v>
      </c>
      <c r="G241" s="4">
        <v>43.1706</v>
      </c>
      <c r="H241" s="4">
        <v>84.597700000000003</v>
      </c>
      <c r="I241" s="4">
        <v>20.190000000000001</v>
      </c>
      <c r="J241" s="4">
        <v>20.420000000000002</v>
      </c>
      <c r="K241" s="4">
        <v>18.62</v>
      </c>
      <c r="L241" s="4">
        <v>20.157499999999999</v>
      </c>
      <c r="M241" s="7">
        <v>-1.6000000000000001E-3</v>
      </c>
    </row>
    <row r="242" spans="1:13" x14ac:dyDescent="0.2">
      <c r="A242" s="6">
        <v>44273</v>
      </c>
      <c r="B242" s="2" t="s">
        <v>227</v>
      </c>
      <c r="C242" s="5">
        <v>44256</v>
      </c>
      <c r="D242" s="2" t="s">
        <v>179</v>
      </c>
      <c r="E242" s="3">
        <v>3474</v>
      </c>
      <c r="F242" s="8">
        <v>0.25409999999999999</v>
      </c>
      <c r="G242" s="4">
        <v>41.049500000000002</v>
      </c>
      <c r="H242" s="4">
        <v>41.7913</v>
      </c>
      <c r="I242" s="4">
        <v>20.157499999999999</v>
      </c>
      <c r="J242" s="4">
        <v>20.947500000000002</v>
      </c>
      <c r="K242" s="4">
        <v>16.682500000000001</v>
      </c>
      <c r="L242" s="4">
        <v>20.079999999999998</v>
      </c>
      <c r="M242" s="7">
        <v>-3.8E-3</v>
      </c>
    </row>
    <row r="243" spans="1:13" x14ac:dyDescent="0.2">
      <c r="A243" s="6">
        <v>44274</v>
      </c>
      <c r="B243" s="2" t="s">
        <v>225</v>
      </c>
      <c r="C243" s="5">
        <v>44256</v>
      </c>
      <c r="D243" s="2" t="s">
        <v>179</v>
      </c>
      <c r="E243" s="3">
        <v>3438</v>
      </c>
      <c r="F243" s="8">
        <v>0.28560000000000002</v>
      </c>
      <c r="G243" s="4">
        <v>50.007899999999999</v>
      </c>
      <c r="H243" s="4">
        <v>48.707599999999999</v>
      </c>
      <c r="I243" s="4">
        <v>20.079999999999998</v>
      </c>
      <c r="J243" s="4">
        <v>21.864999999999998</v>
      </c>
      <c r="K243" s="4">
        <v>18.725000000000001</v>
      </c>
      <c r="L243" s="4">
        <v>19.987500000000001</v>
      </c>
      <c r="M243" s="7">
        <v>-4.5999999999999999E-3</v>
      </c>
    </row>
    <row r="244" spans="1:13" x14ac:dyDescent="0.2">
      <c r="A244" s="6">
        <v>44277</v>
      </c>
      <c r="B244" s="2" t="s">
        <v>228</v>
      </c>
      <c r="C244" s="5">
        <v>44256</v>
      </c>
      <c r="D244" s="2" t="s">
        <v>179</v>
      </c>
      <c r="E244" s="3">
        <v>3600</v>
      </c>
      <c r="F244" s="8">
        <v>0.23880000000000001</v>
      </c>
      <c r="G244" s="4">
        <v>38.366500000000002</v>
      </c>
      <c r="H244" s="4">
        <v>40.208599999999997</v>
      </c>
      <c r="I244" s="4">
        <v>19.987500000000001</v>
      </c>
      <c r="J244" s="4">
        <v>21.232500000000002</v>
      </c>
      <c r="K244" s="4">
        <v>18.97</v>
      </c>
      <c r="L244" s="4">
        <v>20.4925</v>
      </c>
      <c r="M244" s="7">
        <v>2.53E-2</v>
      </c>
    </row>
    <row r="245" spans="1:13" x14ac:dyDescent="0.2">
      <c r="A245" s="6">
        <v>44278</v>
      </c>
      <c r="B245" s="2" t="s">
        <v>226</v>
      </c>
      <c r="C245" s="5">
        <v>44256</v>
      </c>
      <c r="D245" s="2" t="s">
        <v>179</v>
      </c>
      <c r="E245" s="3">
        <v>3514</v>
      </c>
      <c r="F245" s="8">
        <v>0.19350000000000001</v>
      </c>
      <c r="G245" s="4">
        <v>35.337800000000001</v>
      </c>
      <c r="H245" s="4">
        <v>41.707799999999999</v>
      </c>
      <c r="I245" s="4">
        <v>20.4925</v>
      </c>
      <c r="J245" s="4">
        <v>22.135000000000002</v>
      </c>
      <c r="K245" s="4">
        <v>20.4925</v>
      </c>
      <c r="L245" s="4">
        <v>20.664999999999999</v>
      </c>
      <c r="M245" s="7">
        <v>8.3999999999999995E-3</v>
      </c>
    </row>
    <row r="246" spans="1:13" x14ac:dyDescent="0.2">
      <c r="A246" s="6">
        <v>44279</v>
      </c>
      <c r="B246" s="2" t="s">
        <v>224</v>
      </c>
      <c r="C246" s="5">
        <v>44256</v>
      </c>
      <c r="D246" s="2" t="s">
        <v>179</v>
      </c>
      <c r="E246" s="3">
        <v>3454</v>
      </c>
      <c r="F246" s="8">
        <v>0.21859999999999999</v>
      </c>
      <c r="G246" s="4">
        <v>39.209800000000001</v>
      </c>
      <c r="H246" s="4">
        <v>36.050400000000003</v>
      </c>
      <c r="I246" s="4">
        <v>20.664999999999999</v>
      </c>
      <c r="J246" s="4">
        <v>22.6875</v>
      </c>
      <c r="K246" s="4">
        <v>19.745000000000001</v>
      </c>
      <c r="L246" s="4">
        <v>22.454999999999998</v>
      </c>
      <c r="M246" s="7">
        <v>8.6599999999999996E-2</v>
      </c>
    </row>
    <row r="247" spans="1:13" x14ac:dyDescent="0.2">
      <c r="A247" s="6">
        <v>44280</v>
      </c>
      <c r="B247" s="2" t="s">
        <v>227</v>
      </c>
      <c r="C247" s="5">
        <v>44256</v>
      </c>
      <c r="D247" s="2" t="s">
        <v>179</v>
      </c>
      <c r="E247" s="3">
        <v>3435</v>
      </c>
      <c r="F247" s="8">
        <v>0.26179999999999998</v>
      </c>
      <c r="G247" s="4">
        <v>60.421199999999999</v>
      </c>
      <c r="H247" s="4">
        <v>45.526299999999999</v>
      </c>
      <c r="I247" s="4">
        <v>22.454999999999998</v>
      </c>
      <c r="J247" s="4">
        <v>23.3125</v>
      </c>
      <c r="K247" s="4">
        <v>21.12</v>
      </c>
      <c r="L247" s="4">
        <v>22.697500000000002</v>
      </c>
      <c r="M247" s="7">
        <v>1.0800000000000001E-2</v>
      </c>
    </row>
    <row r="248" spans="1:13" x14ac:dyDescent="0.2">
      <c r="A248" s="6">
        <v>44281</v>
      </c>
      <c r="B248" s="2" t="s">
        <v>225</v>
      </c>
      <c r="C248" s="5">
        <v>44256</v>
      </c>
      <c r="D248" s="2" t="s">
        <v>179</v>
      </c>
      <c r="E248" s="3">
        <v>3433</v>
      </c>
      <c r="F248" s="8">
        <v>0.2094</v>
      </c>
      <c r="G248" s="4">
        <v>52.610999999999997</v>
      </c>
      <c r="H248" s="4">
        <v>42.238100000000003</v>
      </c>
      <c r="I248" s="4">
        <v>22.697500000000002</v>
      </c>
      <c r="J248" s="4">
        <v>22.9175</v>
      </c>
      <c r="K248" s="4">
        <v>18.225000000000001</v>
      </c>
      <c r="L248" s="4">
        <v>20.65</v>
      </c>
      <c r="M248" s="7">
        <v>-9.0200000000000002E-2</v>
      </c>
    </row>
    <row r="249" spans="1:13" x14ac:dyDescent="0.2">
      <c r="A249" s="6">
        <v>44285</v>
      </c>
      <c r="B249" s="2" t="s">
        <v>226</v>
      </c>
      <c r="C249" s="5">
        <v>44256</v>
      </c>
      <c r="D249" s="2" t="s">
        <v>179</v>
      </c>
      <c r="E249" s="3">
        <v>3466</v>
      </c>
      <c r="F249" s="8">
        <v>0.23569999999999999</v>
      </c>
      <c r="G249" s="4">
        <v>33.006900000000002</v>
      </c>
      <c r="H249" s="4">
        <v>37.814300000000003</v>
      </c>
      <c r="I249" s="4">
        <v>0</v>
      </c>
      <c r="J249" s="4">
        <v>0</v>
      </c>
      <c r="K249" s="4">
        <v>0</v>
      </c>
      <c r="L249" s="4">
        <v>20.65</v>
      </c>
      <c r="M249" s="7"/>
    </row>
    <row r="250" spans="1:13" x14ac:dyDescent="0.2">
      <c r="A250" s="6">
        <v>44286</v>
      </c>
      <c r="B250" s="2" t="s">
        <v>224</v>
      </c>
      <c r="C250" s="5">
        <v>44256</v>
      </c>
      <c r="D250" s="2" t="s">
        <v>179</v>
      </c>
      <c r="E250" s="3">
        <v>3367</v>
      </c>
      <c r="F250" s="8">
        <v>0.2099</v>
      </c>
      <c r="G250" s="4">
        <v>38.073700000000002</v>
      </c>
      <c r="H250" s="4">
        <v>34.11</v>
      </c>
      <c r="I250" s="4">
        <v>20.484999999999999</v>
      </c>
      <c r="J250" s="4">
        <v>20.83</v>
      </c>
      <c r="K250" s="4">
        <v>19.995000000000001</v>
      </c>
      <c r="L250" s="4">
        <v>20.645</v>
      </c>
      <c r="M250" s="7">
        <v>7.7999999999999996E-3</v>
      </c>
    </row>
    <row r="251" spans="1:13" x14ac:dyDescent="0.2">
      <c r="A251" s="6">
        <v>44287</v>
      </c>
      <c r="B251" s="2" t="s">
        <v>227</v>
      </c>
      <c r="C251" s="5">
        <v>44287</v>
      </c>
      <c r="D251" s="2" t="s">
        <v>180</v>
      </c>
      <c r="E251" s="3">
        <v>3363</v>
      </c>
      <c r="F251" s="8">
        <v>0.19980000000000001</v>
      </c>
      <c r="G251" s="4">
        <v>36.5349</v>
      </c>
      <c r="H251" s="4">
        <v>36.414499999999997</v>
      </c>
      <c r="I251" s="4">
        <v>20.645</v>
      </c>
      <c r="J251" s="4">
        <v>20.675000000000001</v>
      </c>
      <c r="K251" s="4">
        <v>19.73</v>
      </c>
      <c r="L251" s="4">
        <v>19.987500000000001</v>
      </c>
      <c r="M251" s="7">
        <v>-3.1800000000000002E-2</v>
      </c>
    </row>
    <row r="252" spans="1:13" x14ac:dyDescent="0.2">
      <c r="A252" s="6">
        <v>44291</v>
      </c>
      <c r="B252" s="2" t="s">
        <v>228</v>
      </c>
      <c r="C252" s="5">
        <v>44287</v>
      </c>
      <c r="D252" s="2" t="s">
        <v>180</v>
      </c>
      <c r="E252" s="3">
        <v>3460</v>
      </c>
      <c r="F252" s="8">
        <v>0.22239999999999999</v>
      </c>
      <c r="G252" s="4">
        <v>36.126199999999997</v>
      </c>
      <c r="H252" s="4">
        <v>44.444000000000003</v>
      </c>
      <c r="I252" s="4">
        <v>19.987500000000001</v>
      </c>
      <c r="J252" s="4">
        <v>23.305</v>
      </c>
      <c r="K252" s="4">
        <v>19.987500000000001</v>
      </c>
      <c r="L252" s="4">
        <v>21.215</v>
      </c>
      <c r="M252" s="7">
        <v>6.1400000000000003E-2</v>
      </c>
    </row>
    <row r="253" spans="1:13" x14ac:dyDescent="0.2">
      <c r="A253" s="6">
        <v>44292</v>
      </c>
      <c r="B253" s="2" t="s">
        <v>226</v>
      </c>
      <c r="C253" s="5">
        <v>44287</v>
      </c>
      <c r="D253" s="2" t="s">
        <v>180</v>
      </c>
      <c r="E253" s="3">
        <v>3363</v>
      </c>
      <c r="F253" s="8">
        <v>0.20799999999999999</v>
      </c>
      <c r="G253" s="4">
        <v>40.326500000000003</v>
      </c>
      <c r="H253" s="4">
        <v>38.205800000000004</v>
      </c>
      <c r="I253" s="4">
        <v>21.215</v>
      </c>
      <c r="J253" s="4">
        <v>22.24</v>
      </c>
      <c r="K253" s="4">
        <v>19.805</v>
      </c>
      <c r="L253" s="4">
        <v>20.84</v>
      </c>
      <c r="M253" s="7">
        <v>-1.77E-2</v>
      </c>
    </row>
    <row r="254" spans="1:13" x14ac:dyDescent="0.2">
      <c r="A254" s="6">
        <v>44293</v>
      </c>
      <c r="B254" s="2" t="s">
        <v>224</v>
      </c>
      <c r="C254" s="5">
        <v>44287</v>
      </c>
      <c r="D254" s="2" t="s">
        <v>180</v>
      </c>
      <c r="E254" s="3">
        <v>3444</v>
      </c>
      <c r="F254" s="8">
        <v>0.217</v>
      </c>
      <c r="G254" s="4">
        <v>29.920300000000001</v>
      </c>
      <c r="H254" s="4">
        <v>42.606000000000002</v>
      </c>
      <c r="I254" s="4">
        <v>20.84</v>
      </c>
      <c r="J254" s="4">
        <v>21.297499999999999</v>
      </c>
      <c r="K254" s="4">
        <v>19.43</v>
      </c>
      <c r="L254" s="4">
        <v>20.247499999999999</v>
      </c>
      <c r="M254" s="7">
        <v>-2.8400000000000002E-2</v>
      </c>
    </row>
    <row r="255" spans="1:13" x14ac:dyDescent="0.2">
      <c r="A255" s="6">
        <v>44294</v>
      </c>
      <c r="B255" s="2" t="s">
        <v>227</v>
      </c>
      <c r="C255" s="5">
        <v>44287</v>
      </c>
      <c r="D255" s="2" t="s">
        <v>180</v>
      </c>
      <c r="E255" s="3">
        <v>3386</v>
      </c>
      <c r="F255" s="8">
        <v>0.22439999999999999</v>
      </c>
      <c r="G255" s="4">
        <v>39.345100000000002</v>
      </c>
      <c r="H255" s="4">
        <v>64.308000000000007</v>
      </c>
      <c r="I255" s="4">
        <v>20.247499999999999</v>
      </c>
      <c r="J255" s="4">
        <v>20.585000000000001</v>
      </c>
      <c r="K255" s="4">
        <v>19.170000000000002</v>
      </c>
      <c r="L255" s="4">
        <v>20.3125</v>
      </c>
      <c r="M255" s="7">
        <v>3.2000000000000002E-3</v>
      </c>
    </row>
    <row r="256" spans="1:13" x14ac:dyDescent="0.2">
      <c r="A256" s="6">
        <v>44295</v>
      </c>
      <c r="B256" s="2" t="s">
        <v>225</v>
      </c>
      <c r="C256" s="5">
        <v>44287</v>
      </c>
      <c r="D256" s="2" t="s">
        <v>180</v>
      </c>
      <c r="E256" s="3">
        <v>3389</v>
      </c>
      <c r="F256" s="8">
        <v>0.21329999999999999</v>
      </c>
      <c r="G256" s="4">
        <v>33.8127</v>
      </c>
      <c r="H256" s="4">
        <v>40.196199999999997</v>
      </c>
      <c r="I256" s="4">
        <v>20.3125</v>
      </c>
      <c r="J256" s="4">
        <v>20.967500000000001</v>
      </c>
      <c r="K256" s="4">
        <v>19.682500000000001</v>
      </c>
      <c r="L256" s="4">
        <v>19.785</v>
      </c>
      <c r="M256" s="7">
        <v>-2.5999999999999999E-2</v>
      </c>
    </row>
    <row r="257" spans="1:13" x14ac:dyDescent="0.2">
      <c r="A257" s="6">
        <v>44298</v>
      </c>
      <c r="B257" s="2" t="s">
        <v>228</v>
      </c>
      <c r="C257" s="5">
        <v>44287</v>
      </c>
      <c r="D257" s="2" t="s">
        <v>180</v>
      </c>
      <c r="E257" s="3">
        <v>3464</v>
      </c>
      <c r="F257" s="8">
        <v>0.34789999999999999</v>
      </c>
      <c r="G257" s="4">
        <v>51.683199999999999</v>
      </c>
      <c r="H257" s="4">
        <v>57.801499999999997</v>
      </c>
      <c r="I257" s="4">
        <v>19.785</v>
      </c>
      <c r="J257" s="4">
        <v>23.302499999999998</v>
      </c>
      <c r="K257" s="4">
        <v>19.785</v>
      </c>
      <c r="L257" s="4">
        <v>22.995000000000001</v>
      </c>
      <c r="M257" s="7">
        <v>0.16220000000000001</v>
      </c>
    </row>
    <row r="258" spans="1:13" x14ac:dyDescent="0.2">
      <c r="A258" s="6">
        <v>44299</v>
      </c>
      <c r="B258" s="2" t="s">
        <v>226</v>
      </c>
      <c r="C258" s="5">
        <v>44287</v>
      </c>
      <c r="D258" s="2" t="s">
        <v>180</v>
      </c>
      <c r="E258" s="3">
        <v>3330</v>
      </c>
      <c r="F258" s="8">
        <v>0.2001</v>
      </c>
      <c r="G258" s="4">
        <v>31.552399999999999</v>
      </c>
      <c r="H258" s="4">
        <v>39.930599999999998</v>
      </c>
      <c r="I258" s="4">
        <v>22.995000000000001</v>
      </c>
      <c r="J258" s="4">
        <v>22.995000000000001</v>
      </c>
      <c r="K258" s="4">
        <v>20.297499999999999</v>
      </c>
      <c r="L258" s="4">
        <v>20.46</v>
      </c>
      <c r="M258" s="7">
        <v>-0.11020000000000001</v>
      </c>
    </row>
    <row r="259" spans="1:13" x14ac:dyDescent="0.2">
      <c r="A259" s="6">
        <v>44301</v>
      </c>
      <c r="B259" s="2" t="s">
        <v>227</v>
      </c>
      <c r="C259" s="5">
        <v>44287</v>
      </c>
      <c r="D259" s="2" t="s">
        <v>180</v>
      </c>
      <c r="E259" s="3">
        <v>3340</v>
      </c>
      <c r="F259" s="8">
        <v>0.18870000000000001</v>
      </c>
      <c r="G259" s="4">
        <v>29.380600000000001</v>
      </c>
      <c r="H259" s="4">
        <v>43.533099999999997</v>
      </c>
      <c r="I259" s="4">
        <v>20.46</v>
      </c>
      <c r="J259" s="4">
        <v>21.545000000000002</v>
      </c>
      <c r="K259" s="4">
        <v>18.245000000000001</v>
      </c>
      <c r="L259" s="4">
        <v>20.89</v>
      </c>
      <c r="M259" s="7">
        <v>2.1000000000000001E-2</v>
      </c>
    </row>
    <row r="260" spans="1:13" x14ac:dyDescent="0.2">
      <c r="A260" s="6">
        <v>44302</v>
      </c>
      <c r="B260" s="2" t="s">
        <v>225</v>
      </c>
      <c r="C260" s="5">
        <v>44287</v>
      </c>
      <c r="D260" s="2" t="s">
        <v>180</v>
      </c>
      <c r="E260" s="3">
        <v>3338</v>
      </c>
      <c r="F260" s="8">
        <v>0.18479999999999999</v>
      </c>
      <c r="G260" s="4">
        <v>26.457999999999998</v>
      </c>
      <c r="H260" s="4">
        <v>38.834699999999998</v>
      </c>
      <c r="I260" s="4">
        <v>20.89</v>
      </c>
      <c r="J260" s="4">
        <v>21.09</v>
      </c>
      <c r="K260" s="4">
        <v>19.482500000000002</v>
      </c>
      <c r="L260" s="4">
        <v>20.4025</v>
      </c>
      <c r="M260" s="7">
        <v>-2.3300000000000001E-2</v>
      </c>
    </row>
    <row r="261" spans="1:13" x14ac:dyDescent="0.2">
      <c r="A261" s="6">
        <v>44305</v>
      </c>
      <c r="B261" s="2" t="s">
        <v>228</v>
      </c>
      <c r="C261" s="5">
        <v>44287</v>
      </c>
      <c r="D261" s="2" t="s">
        <v>180</v>
      </c>
      <c r="E261" s="3">
        <v>3453</v>
      </c>
      <c r="F261" s="8">
        <v>0.22550000000000001</v>
      </c>
      <c r="G261" s="4">
        <v>29.08</v>
      </c>
      <c r="H261" s="4">
        <v>39.094499999999996</v>
      </c>
      <c r="I261" s="4">
        <v>20.4025</v>
      </c>
      <c r="J261" s="4">
        <v>23.107500000000002</v>
      </c>
      <c r="K261" s="4">
        <v>19.807500000000001</v>
      </c>
      <c r="L261" s="4">
        <v>22.484999999999999</v>
      </c>
      <c r="M261" s="7">
        <v>0.1021</v>
      </c>
    </row>
    <row r="262" spans="1:13" x14ac:dyDescent="0.2">
      <c r="A262" s="6">
        <v>44306</v>
      </c>
      <c r="B262" s="2" t="s">
        <v>226</v>
      </c>
      <c r="C262" s="5">
        <v>44287</v>
      </c>
      <c r="D262" s="2" t="s">
        <v>180</v>
      </c>
      <c r="E262" s="3">
        <v>3322</v>
      </c>
      <c r="F262" s="8">
        <v>0.20100000000000001</v>
      </c>
      <c r="G262" s="4">
        <v>27.918700000000001</v>
      </c>
      <c r="H262" s="4">
        <v>39.3429</v>
      </c>
      <c r="I262" s="4">
        <v>22.484999999999999</v>
      </c>
      <c r="J262" s="4">
        <v>22.745000000000001</v>
      </c>
      <c r="K262" s="4">
        <v>21.237500000000001</v>
      </c>
      <c r="L262" s="4">
        <v>22.425000000000001</v>
      </c>
      <c r="M262" s="7">
        <v>-2.7000000000000001E-3</v>
      </c>
    </row>
    <row r="263" spans="1:13" x14ac:dyDescent="0.2">
      <c r="A263" s="6">
        <v>44308</v>
      </c>
      <c r="B263" s="2" t="s">
        <v>227</v>
      </c>
      <c r="C263" s="5">
        <v>44287</v>
      </c>
      <c r="D263" s="2" t="s">
        <v>180</v>
      </c>
      <c r="E263" s="3">
        <v>3354</v>
      </c>
      <c r="F263" s="8">
        <v>0.20810000000000001</v>
      </c>
      <c r="G263" s="4">
        <v>30.5261</v>
      </c>
      <c r="H263" s="4">
        <v>49.554900000000004</v>
      </c>
      <c r="I263" s="4">
        <v>22.425000000000001</v>
      </c>
      <c r="J263" s="4">
        <v>23.607500000000002</v>
      </c>
      <c r="K263" s="4">
        <v>22.425000000000001</v>
      </c>
      <c r="L263" s="4">
        <v>23.024999999999999</v>
      </c>
      <c r="M263" s="7">
        <v>2.6800000000000001E-2</v>
      </c>
    </row>
    <row r="264" spans="1:13" x14ac:dyDescent="0.2">
      <c r="A264" s="6">
        <v>44309</v>
      </c>
      <c r="B264" s="2" t="s">
        <v>225</v>
      </c>
      <c r="C264" s="5">
        <v>44287</v>
      </c>
      <c r="D264" s="2" t="s">
        <v>180</v>
      </c>
      <c r="E264" s="3">
        <v>3366</v>
      </c>
      <c r="F264" s="8">
        <v>0.21079999999999999</v>
      </c>
      <c r="G264" s="4">
        <v>31.878299999999999</v>
      </c>
      <c r="H264" s="4">
        <v>38.5212</v>
      </c>
      <c r="I264" s="4">
        <v>23.024999999999999</v>
      </c>
      <c r="J264" s="4">
        <v>23.052499999999998</v>
      </c>
      <c r="K264" s="4">
        <v>20.21</v>
      </c>
      <c r="L264" s="4">
        <v>22.69</v>
      </c>
      <c r="M264" s="7">
        <v>-1.4500000000000001E-2</v>
      </c>
    </row>
    <row r="265" spans="1:13" x14ac:dyDescent="0.2">
      <c r="A265" s="6">
        <v>44312</v>
      </c>
      <c r="B265" s="2" t="s">
        <v>228</v>
      </c>
      <c r="C265" s="5">
        <v>44287</v>
      </c>
      <c r="D265" s="2" t="s">
        <v>180</v>
      </c>
      <c r="E265" s="3">
        <v>3483</v>
      </c>
      <c r="F265" s="8">
        <v>0.19750000000000001</v>
      </c>
      <c r="G265" s="4">
        <v>31.005299999999998</v>
      </c>
      <c r="H265" s="4">
        <v>40.357799999999997</v>
      </c>
      <c r="I265" s="4">
        <v>22.69</v>
      </c>
      <c r="J265" s="4">
        <v>23.555</v>
      </c>
      <c r="K265" s="4">
        <v>22.6175</v>
      </c>
      <c r="L265" s="4">
        <v>23.495000000000001</v>
      </c>
      <c r="M265" s="7">
        <v>3.5499999999999997E-2</v>
      </c>
    </row>
    <row r="266" spans="1:13" x14ac:dyDescent="0.2">
      <c r="A266" s="6">
        <v>44313</v>
      </c>
      <c r="B266" s="2" t="s">
        <v>226</v>
      </c>
      <c r="C266" s="5">
        <v>44287</v>
      </c>
      <c r="D266" s="2" t="s">
        <v>180</v>
      </c>
      <c r="E266" s="3">
        <v>3368</v>
      </c>
      <c r="F266" s="8">
        <v>0.19969999999999999</v>
      </c>
      <c r="G266" s="4">
        <v>32.012999999999998</v>
      </c>
      <c r="H266" s="4">
        <v>37.392600000000002</v>
      </c>
      <c r="I266" s="4">
        <v>23.495000000000001</v>
      </c>
      <c r="J266" s="4">
        <v>23.625</v>
      </c>
      <c r="K266" s="4">
        <v>22.32</v>
      </c>
      <c r="L266" s="4">
        <v>23.0825</v>
      </c>
      <c r="M266" s="7">
        <v>-1.7600000000000001E-2</v>
      </c>
    </row>
    <row r="267" spans="1:13" x14ac:dyDescent="0.2">
      <c r="A267" s="6">
        <v>44314</v>
      </c>
      <c r="B267" s="2" t="s">
        <v>224</v>
      </c>
      <c r="C267" s="5">
        <v>44287</v>
      </c>
      <c r="D267" s="2" t="s">
        <v>180</v>
      </c>
      <c r="E267" s="3">
        <v>3394</v>
      </c>
      <c r="F267" s="8">
        <v>0.23599999999999999</v>
      </c>
      <c r="G267" s="4">
        <v>34.370100000000001</v>
      </c>
      <c r="H267" s="4">
        <v>45.416699999999999</v>
      </c>
      <c r="I267" s="4">
        <v>23.0825</v>
      </c>
      <c r="J267" s="4">
        <v>23.112500000000001</v>
      </c>
      <c r="K267" s="4">
        <v>20.967500000000001</v>
      </c>
      <c r="L267" s="4">
        <v>22.58</v>
      </c>
      <c r="M267" s="7">
        <v>-2.18E-2</v>
      </c>
    </row>
    <row r="268" spans="1:13" x14ac:dyDescent="0.2">
      <c r="A268" s="6">
        <v>44315</v>
      </c>
      <c r="B268" s="2" t="s">
        <v>227</v>
      </c>
      <c r="C268" s="5">
        <v>44287</v>
      </c>
      <c r="D268" s="2" t="s">
        <v>180</v>
      </c>
      <c r="E268" s="3">
        <v>3403</v>
      </c>
      <c r="F268" s="8">
        <v>0.22720000000000001</v>
      </c>
      <c r="G268" s="4">
        <v>38.380000000000003</v>
      </c>
      <c r="H268" s="4">
        <v>45.900700000000001</v>
      </c>
      <c r="I268" s="4">
        <v>22.58</v>
      </c>
      <c r="J268" s="4">
        <v>23.422499999999999</v>
      </c>
      <c r="K268" s="4">
        <v>22.107500000000002</v>
      </c>
      <c r="L268" s="4">
        <v>23.305</v>
      </c>
      <c r="M268" s="7">
        <v>3.2099999999999997E-2</v>
      </c>
    </row>
    <row r="269" spans="1:13" x14ac:dyDescent="0.2">
      <c r="A269" s="6">
        <v>44316</v>
      </c>
      <c r="B269" s="2" t="s">
        <v>225</v>
      </c>
      <c r="C269" s="5">
        <v>44287</v>
      </c>
      <c r="D269" s="2" t="s">
        <v>180</v>
      </c>
      <c r="E269" s="3">
        <v>3378</v>
      </c>
      <c r="F269" s="8">
        <v>0.23269999999999999</v>
      </c>
      <c r="G269" s="4">
        <v>48.278100000000002</v>
      </c>
      <c r="H269" s="4">
        <v>46.938800000000001</v>
      </c>
      <c r="I269" s="4">
        <v>23.305</v>
      </c>
      <c r="J269" s="4">
        <v>23.765000000000001</v>
      </c>
      <c r="K269" s="4">
        <v>22.5975</v>
      </c>
      <c r="L269" s="4">
        <v>23.0275</v>
      </c>
      <c r="M269" s="7">
        <v>-1.1900000000000001E-2</v>
      </c>
    </row>
    <row r="270" spans="1:13" x14ac:dyDescent="0.2">
      <c r="A270" s="6">
        <v>44319</v>
      </c>
      <c r="B270" s="2" t="s">
        <v>228</v>
      </c>
      <c r="C270" s="5">
        <v>44317</v>
      </c>
      <c r="D270" s="2" t="s">
        <v>180</v>
      </c>
      <c r="E270" s="3">
        <v>3462</v>
      </c>
      <c r="F270" s="8">
        <v>0.251</v>
      </c>
      <c r="G270" s="4">
        <v>43.8093</v>
      </c>
      <c r="H270" s="4">
        <v>46.911099999999998</v>
      </c>
      <c r="I270" s="4">
        <v>23.0275</v>
      </c>
      <c r="J270" s="4">
        <v>24.54</v>
      </c>
      <c r="K270" s="4">
        <v>21.84</v>
      </c>
      <c r="L270" s="4">
        <v>23.692499999999999</v>
      </c>
      <c r="M270" s="7">
        <v>2.8899999999999999E-2</v>
      </c>
    </row>
    <row r="271" spans="1:13" x14ac:dyDescent="0.2">
      <c r="A271" s="6">
        <v>44320</v>
      </c>
      <c r="B271" s="2" t="s">
        <v>226</v>
      </c>
      <c r="C271" s="5">
        <v>44317</v>
      </c>
      <c r="D271" s="2" t="s">
        <v>180</v>
      </c>
      <c r="E271" s="3">
        <v>3403</v>
      </c>
      <c r="F271" s="8">
        <v>0.2918</v>
      </c>
      <c r="G271" s="4">
        <v>60.758200000000002</v>
      </c>
      <c r="H271" s="4">
        <v>59.635100000000001</v>
      </c>
      <c r="I271" s="4">
        <v>23.692499999999999</v>
      </c>
      <c r="J271" s="4">
        <v>23.692499999999999</v>
      </c>
      <c r="K271" s="4">
        <v>22.177499999999998</v>
      </c>
      <c r="L271" s="4">
        <v>23.01</v>
      </c>
      <c r="M271" s="7">
        <v>-2.8799999999999999E-2</v>
      </c>
    </row>
    <row r="272" spans="1:13" x14ac:dyDescent="0.2">
      <c r="A272" s="6">
        <v>44321</v>
      </c>
      <c r="B272" s="2" t="s">
        <v>224</v>
      </c>
      <c r="C272" s="5">
        <v>44317</v>
      </c>
      <c r="D272" s="2" t="s">
        <v>180</v>
      </c>
      <c r="E272" s="3">
        <v>3363</v>
      </c>
      <c r="F272" s="8">
        <v>0.23139999999999999</v>
      </c>
      <c r="G272" s="4">
        <v>35.536299999999997</v>
      </c>
      <c r="H272" s="4">
        <v>44.435099999999998</v>
      </c>
      <c r="I272" s="4">
        <v>23.01</v>
      </c>
      <c r="J272" s="4">
        <v>23.19</v>
      </c>
      <c r="K272" s="4">
        <v>21.135000000000002</v>
      </c>
      <c r="L272" s="4">
        <v>21.962499999999999</v>
      </c>
      <c r="M272" s="7">
        <v>-4.5499999999999999E-2</v>
      </c>
    </row>
    <row r="273" spans="1:13" x14ac:dyDescent="0.2">
      <c r="A273" s="6">
        <v>44322</v>
      </c>
      <c r="B273" s="2" t="s">
        <v>227</v>
      </c>
      <c r="C273" s="5">
        <v>44317</v>
      </c>
      <c r="D273" s="2" t="s">
        <v>180</v>
      </c>
      <c r="E273" s="3">
        <v>3379</v>
      </c>
      <c r="F273" s="8">
        <v>0.2545</v>
      </c>
      <c r="G273" s="4">
        <v>40.874299999999998</v>
      </c>
      <c r="H273" s="4">
        <v>46.258200000000002</v>
      </c>
      <c r="I273" s="4">
        <v>21.962499999999999</v>
      </c>
      <c r="J273" s="4">
        <v>22.612500000000001</v>
      </c>
      <c r="K273" s="4">
        <v>20.122499999999999</v>
      </c>
      <c r="L273" s="4">
        <v>22.035</v>
      </c>
      <c r="M273" s="7">
        <v>3.3E-3</v>
      </c>
    </row>
    <row r="274" spans="1:13" x14ac:dyDescent="0.2">
      <c r="A274" s="6">
        <v>44323</v>
      </c>
      <c r="B274" s="2" t="s">
        <v>225</v>
      </c>
      <c r="C274" s="5">
        <v>44317</v>
      </c>
      <c r="D274" s="2" t="s">
        <v>180</v>
      </c>
      <c r="E274" s="3">
        <v>3438</v>
      </c>
      <c r="F274" s="8">
        <v>0.27010000000000001</v>
      </c>
      <c r="G274" s="4">
        <v>52.8842</v>
      </c>
      <c r="H274" s="4">
        <v>88.873199999999997</v>
      </c>
      <c r="I274" s="4">
        <v>22.035</v>
      </c>
      <c r="J274" s="4">
        <v>22.035</v>
      </c>
      <c r="K274" s="4">
        <v>20.309999999999999</v>
      </c>
      <c r="L274" s="4">
        <v>20.822500000000002</v>
      </c>
      <c r="M274" s="7">
        <v>-5.5E-2</v>
      </c>
    </row>
    <row r="275" spans="1:13" x14ac:dyDescent="0.2">
      <c r="A275" s="6">
        <v>44326</v>
      </c>
      <c r="B275" s="2" t="s">
        <v>228</v>
      </c>
      <c r="C275" s="5">
        <v>44317</v>
      </c>
      <c r="D275" s="2" t="s">
        <v>180</v>
      </c>
      <c r="E275" s="3">
        <v>3626</v>
      </c>
      <c r="F275" s="8">
        <v>0.32290000000000002</v>
      </c>
      <c r="G275" s="4">
        <v>58.106099999999998</v>
      </c>
      <c r="H275" s="4">
        <v>64.063199999999995</v>
      </c>
      <c r="I275" s="4">
        <v>20.822500000000002</v>
      </c>
      <c r="J275" s="4">
        <v>21.147500000000001</v>
      </c>
      <c r="K275" s="4">
        <v>20.135000000000002</v>
      </c>
      <c r="L275" s="4">
        <v>20.225000000000001</v>
      </c>
      <c r="M275" s="7">
        <v>-2.87E-2</v>
      </c>
    </row>
    <row r="276" spans="1:13" x14ac:dyDescent="0.2">
      <c r="A276" s="6">
        <v>44327</v>
      </c>
      <c r="B276" s="2" t="s">
        <v>226</v>
      </c>
      <c r="C276" s="5">
        <v>44317</v>
      </c>
      <c r="D276" s="2" t="s">
        <v>180</v>
      </c>
      <c r="E276" s="3">
        <v>3515</v>
      </c>
      <c r="F276" s="8">
        <v>0.34200000000000003</v>
      </c>
      <c r="G276" s="4">
        <v>70.209000000000003</v>
      </c>
      <c r="H276" s="4">
        <v>57.587499999999999</v>
      </c>
      <c r="I276" s="4">
        <v>20.225000000000001</v>
      </c>
      <c r="J276" s="4">
        <v>21.1175</v>
      </c>
      <c r="K276" s="4">
        <v>19.7225</v>
      </c>
      <c r="L276" s="4">
        <v>19.829999999999998</v>
      </c>
      <c r="M276" s="7">
        <v>-1.95E-2</v>
      </c>
    </row>
    <row r="277" spans="1:13" x14ac:dyDescent="0.2">
      <c r="A277" s="6">
        <v>44328</v>
      </c>
      <c r="B277" s="2" t="s">
        <v>224</v>
      </c>
      <c r="C277" s="5">
        <v>44317</v>
      </c>
      <c r="D277" s="2" t="s">
        <v>180</v>
      </c>
      <c r="E277" s="3">
        <v>3508</v>
      </c>
      <c r="F277" s="8">
        <v>0.35560000000000003</v>
      </c>
      <c r="G277" s="4">
        <v>94.745199999999997</v>
      </c>
      <c r="H277" s="4">
        <v>66.612499999999997</v>
      </c>
      <c r="I277" s="4">
        <v>19.829999999999998</v>
      </c>
      <c r="J277" s="4">
        <v>20.905000000000001</v>
      </c>
      <c r="K277" s="4">
        <v>18.36</v>
      </c>
      <c r="L277" s="4">
        <v>20.079999999999998</v>
      </c>
      <c r="M277" s="7">
        <v>1.26E-2</v>
      </c>
    </row>
    <row r="278" spans="1:13" x14ac:dyDescent="0.2">
      <c r="A278" s="6">
        <v>44330</v>
      </c>
      <c r="B278" s="2" t="s">
        <v>225</v>
      </c>
      <c r="C278" s="5">
        <v>44317</v>
      </c>
      <c r="D278" s="2" t="s">
        <v>180</v>
      </c>
      <c r="E278" s="3">
        <v>3545</v>
      </c>
      <c r="F278" s="8">
        <v>0.32790000000000002</v>
      </c>
      <c r="G278" s="4">
        <v>69.867400000000004</v>
      </c>
      <c r="H278" s="4">
        <v>60.2044</v>
      </c>
      <c r="I278" s="4">
        <v>20.079999999999998</v>
      </c>
      <c r="J278" s="4">
        <v>21.1525</v>
      </c>
      <c r="K278" s="4">
        <v>18.227499999999999</v>
      </c>
      <c r="L278" s="4">
        <v>20.267499999999998</v>
      </c>
      <c r="M278" s="7">
        <v>9.2999999999999992E-3</v>
      </c>
    </row>
    <row r="279" spans="1:13" x14ac:dyDescent="0.2">
      <c r="A279" s="6">
        <v>44333</v>
      </c>
      <c r="B279" s="2" t="s">
        <v>228</v>
      </c>
      <c r="C279" s="5">
        <v>44317</v>
      </c>
      <c r="D279" s="2" t="s">
        <v>180</v>
      </c>
      <c r="E279" s="3">
        <v>3651</v>
      </c>
      <c r="F279" s="8">
        <v>0.28410000000000002</v>
      </c>
      <c r="G279" s="4">
        <v>51.203499999999998</v>
      </c>
      <c r="H279" s="4">
        <v>56.400700000000001</v>
      </c>
      <c r="I279" s="4">
        <v>20.267499999999998</v>
      </c>
      <c r="J279" s="4">
        <v>20.425000000000001</v>
      </c>
      <c r="K279" s="4">
        <v>18.362500000000001</v>
      </c>
      <c r="L279" s="4">
        <v>19.607500000000002</v>
      </c>
      <c r="M279" s="7">
        <v>-3.2599999999999997E-2</v>
      </c>
    </row>
    <row r="280" spans="1:13" x14ac:dyDescent="0.2">
      <c r="A280" s="6">
        <v>44334</v>
      </c>
      <c r="B280" s="2" t="s">
        <v>226</v>
      </c>
      <c r="C280" s="5">
        <v>44317</v>
      </c>
      <c r="D280" s="2" t="s">
        <v>180</v>
      </c>
      <c r="E280" s="3">
        <v>3522</v>
      </c>
      <c r="F280" s="8">
        <v>0.27950000000000003</v>
      </c>
      <c r="G280" s="4">
        <v>48.042000000000002</v>
      </c>
      <c r="H280" s="4">
        <v>50.184899999999999</v>
      </c>
      <c r="I280" s="4">
        <v>19.607500000000002</v>
      </c>
      <c r="J280" s="4">
        <v>19.607500000000002</v>
      </c>
      <c r="K280" s="4">
        <v>18.305</v>
      </c>
      <c r="L280" s="4">
        <v>19.239999999999998</v>
      </c>
      <c r="M280" s="7">
        <v>-1.8700000000000001E-2</v>
      </c>
    </row>
    <row r="281" spans="1:13" x14ac:dyDescent="0.2">
      <c r="A281" s="6">
        <v>44335</v>
      </c>
      <c r="B281" s="2" t="s">
        <v>224</v>
      </c>
      <c r="C281" s="5">
        <v>44317</v>
      </c>
      <c r="D281" s="2" t="s">
        <v>180</v>
      </c>
      <c r="E281" s="3">
        <v>3515</v>
      </c>
      <c r="F281" s="8">
        <v>0.27439999999999998</v>
      </c>
      <c r="G281" s="4">
        <v>46.582099999999997</v>
      </c>
      <c r="H281" s="4">
        <v>59.060299999999998</v>
      </c>
      <c r="I281" s="4">
        <v>19.239999999999998</v>
      </c>
      <c r="J281" s="4">
        <v>19.567499999999999</v>
      </c>
      <c r="K281" s="4">
        <v>17.23</v>
      </c>
      <c r="L281" s="4">
        <v>19.317499999999999</v>
      </c>
      <c r="M281" s="7">
        <v>4.0000000000000001E-3</v>
      </c>
    </row>
    <row r="282" spans="1:13" x14ac:dyDescent="0.2">
      <c r="A282" s="6">
        <v>44336</v>
      </c>
      <c r="B282" s="2" t="s">
        <v>227</v>
      </c>
      <c r="C282" s="5">
        <v>44317</v>
      </c>
      <c r="D282" s="2" t="s">
        <v>180</v>
      </c>
      <c r="E282" s="3">
        <v>3523</v>
      </c>
      <c r="F282" s="8">
        <v>0.28460000000000002</v>
      </c>
      <c r="G282" s="4">
        <v>45.566499999999998</v>
      </c>
      <c r="H282" s="4">
        <v>54.614100000000001</v>
      </c>
      <c r="I282" s="4">
        <v>19.317499999999999</v>
      </c>
      <c r="J282" s="4">
        <v>19.837499999999999</v>
      </c>
      <c r="K282" s="4">
        <v>18.092500000000001</v>
      </c>
      <c r="L282" s="4">
        <v>19.6525</v>
      </c>
      <c r="M282" s="7">
        <v>1.7299999999999999E-2</v>
      </c>
    </row>
    <row r="283" spans="1:13" x14ac:dyDescent="0.2">
      <c r="A283" s="6">
        <v>44337</v>
      </c>
      <c r="B283" s="2" t="s">
        <v>225</v>
      </c>
      <c r="C283" s="5">
        <v>44317</v>
      </c>
      <c r="D283" s="2" t="s">
        <v>180</v>
      </c>
      <c r="E283" s="3">
        <v>3551</v>
      </c>
      <c r="F283" s="8">
        <v>0.29809999999999998</v>
      </c>
      <c r="G283" s="4">
        <v>47.302500000000002</v>
      </c>
      <c r="H283" s="4">
        <v>53.377099999999999</v>
      </c>
      <c r="I283" s="4">
        <v>19.6525</v>
      </c>
      <c r="J283" s="4">
        <v>19.6525</v>
      </c>
      <c r="K283" s="4">
        <v>17.13</v>
      </c>
      <c r="L283" s="4">
        <v>19.079999999999998</v>
      </c>
      <c r="M283" s="7">
        <v>-2.9100000000000001E-2</v>
      </c>
    </row>
    <row r="284" spans="1:13" x14ac:dyDescent="0.2">
      <c r="A284" s="6">
        <v>44340</v>
      </c>
      <c r="B284" s="2" t="s">
        <v>228</v>
      </c>
      <c r="C284" s="5">
        <v>44317</v>
      </c>
      <c r="D284" s="2" t="s">
        <v>180</v>
      </c>
      <c r="E284" s="3">
        <v>3685</v>
      </c>
      <c r="F284" s="8">
        <v>0.31619999999999998</v>
      </c>
      <c r="G284" s="4">
        <v>52.526499999999999</v>
      </c>
      <c r="H284" s="4">
        <v>55.026600000000002</v>
      </c>
      <c r="I284" s="4">
        <v>19.079999999999998</v>
      </c>
      <c r="J284" s="4">
        <v>19.885000000000002</v>
      </c>
      <c r="K284" s="4">
        <v>18.72</v>
      </c>
      <c r="L284" s="4">
        <v>19.13</v>
      </c>
      <c r="M284" s="7">
        <v>2.5999999999999999E-3</v>
      </c>
    </row>
    <row r="285" spans="1:13" x14ac:dyDescent="0.2">
      <c r="A285" s="6">
        <v>44341</v>
      </c>
      <c r="B285" s="2" t="s">
        <v>226</v>
      </c>
      <c r="C285" s="5">
        <v>44317</v>
      </c>
      <c r="D285" s="2" t="s">
        <v>180</v>
      </c>
      <c r="E285" s="3">
        <v>3537</v>
      </c>
      <c r="F285" s="8">
        <v>0.32500000000000001</v>
      </c>
      <c r="G285" s="4">
        <v>55.132399999999997</v>
      </c>
      <c r="H285" s="4">
        <v>52.366900000000001</v>
      </c>
      <c r="I285" s="4">
        <v>19.13</v>
      </c>
      <c r="J285" s="4">
        <v>21.05</v>
      </c>
      <c r="K285" s="4">
        <v>17.6875</v>
      </c>
      <c r="L285" s="4">
        <v>18.842500000000001</v>
      </c>
      <c r="M285" s="7">
        <v>-1.4999999999999999E-2</v>
      </c>
    </row>
    <row r="286" spans="1:13" x14ac:dyDescent="0.2">
      <c r="A286" s="6">
        <v>44342</v>
      </c>
      <c r="B286" s="2" t="s">
        <v>224</v>
      </c>
      <c r="C286" s="5">
        <v>44317</v>
      </c>
      <c r="D286" s="2" t="s">
        <v>180</v>
      </c>
      <c r="E286" s="3">
        <v>3536</v>
      </c>
      <c r="F286" s="8">
        <v>0.31119999999999998</v>
      </c>
      <c r="G286" s="4">
        <v>54.722900000000003</v>
      </c>
      <c r="H286" s="4">
        <v>49.9756</v>
      </c>
      <c r="I286" s="4">
        <v>18.842500000000001</v>
      </c>
      <c r="J286" s="4">
        <v>21.302499999999998</v>
      </c>
      <c r="K286" s="4">
        <v>17.23</v>
      </c>
      <c r="L286" s="4">
        <v>20.872499999999999</v>
      </c>
      <c r="M286" s="7">
        <v>0.1077</v>
      </c>
    </row>
    <row r="287" spans="1:13" x14ac:dyDescent="0.2">
      <c r="A287" s="6">
        <v>44343</v>
      </c>
      <c r="B287" s="2" t="s">
        <v>227</v>
      </c>
      <c r="C287" s="5">
        <v>44317</v>
      </c>
      <c r="D287" s="2" t="s">
        <v>180</v>
      </c>
      <c r="E287" s="3">
        <v>3529</v>
      </c>
      <c r="F287" s="8">
        <v>0.31369999999999998</v>
      </c>
      <c r="G287" s="4">
        <v>55.313600000000001</v>
      </c>
      <c r="H287" s="4">
        <v>52.389299999999999</v>
      </c>
      <c r="I287" s="4">
        <v>20.872499999999999</v>
      </c>
      <c r="J287" s="4">
        <v>21.322500000000002</v>
      </c>
      <c r="K287" s="4">
        <v>18.352499999999999</v>
      </c>
      <c r="L287" s="4">
        <v>19.91</v>
      </c>
      <c r="M287" s="7">
        <v>-4.6100000000000002E-2</v>
      </c>
    </row>
    <row r="288" spans="1:13" x14ac:dyDescent="0.2">
      <c r="A288" s="6">
        <v>44344</v>
      </c>
      <c r="B288" s="2" t="s">
        <v>225</v>
      </c>
      <c r="C288" s="5">
        <v>44317</v>
      </c>
      <c r="D288" s="2" t="s">
        <v>180</v>
      </c>
      <c r="E288" s="3">
        <v>3516</v>
      </c>
      <c r="F288" s="8">
        <v>0.32340000000000002</v>
      </c>
      <c r="G288" s="4">
        <v>71.956500000000005</v>
      </c>
      <c r="H288" s="4">
        <v>53.866199999999999</v>
      </c>
      <c r="I288" s="4">
        <v>19.91</v>
      </c>
      <c r="J288" s="4">
        <v>19.91</v>
      </c>
      <c r="K288" s="4">
        <v>17.355</v>
      </c>
      <c r="L288" s="4">
        <v>17.4025</v>
      </c>
      <c r="M288" s="7">
        <v>-0.12590000000000001</v>
      </c>
    </row>
    <row r="289" spans="1:13" x14ac:dyDescent="0.2">
      <c r="A289" s="6">
        <v>44347</v>
      </c>
      <c r="B289" s="2" t="s">
        <v>228</v>
      </c>
      <c r="C289" s="5">
        <v>44317</v>
      </c>
      <c r="D289" s="2" t="s">
        <v>180</v>
      </c>
      <c r="E289" s="3">
        <v>3697</v>
      </c>
      <c r="F289" s="8">
        <v>0.317</v>
      </c>
      <c r="G289" s="4">
        <v>54.839399999999998</v>
      </c>
      <c r="H289" s="4">
        <v>53.162100000000002</v>
      </c>
      <c r="I289" s="4">
        <v>17.4025</v>
      </c>
      <c r="J289" s="4">
        <v>17.989999999999998</v>
      </c>
      <c r="K289" s="4">
        <v>16.432500000000001</v>
      </c>
      <c r="L289" s="4">
        <v>16.885000000000002</v>
      </c>
      <c r="M289" s="7">
        <v>-2.9700000000000001E-2</v>
      </c>
    </row>
    <row r="290" spans="1:13" x14ac:dyDescent="0.2">
      <c r="A290" s="6">
        <v>44348</v>
      </c>
      <c r="B290" s="2" t="s">
        <v>226</v>
      </c>
      <c r="C290" s="5">
        <v>44348</v>
      </c>
      <c r="D290" s="2" t="s">
        <v>180</v>
      </c>
      <c r="E290" s="3">
        <v>3551</v>
      </c>
      <c r="F290" s="8">
        <v>0.2944</v>
      </c>
      <c r="G290" s="4">
        <v>51.532400000000003</v>
      </c>
      <c r="H290" s="4">
        <v>45.338000000000001</v>
      </c>
      <c r="I290" s="4">
        <v>16.885000000000002</v>
      </c>
      <c r="J290" s="4">
        <v>17.962499999999999</v>
      </c>
      <c r="K290" s="4">
        <v>15.31</v>
      </c>
      <c r="L290" s="4">
        <v>17.387499999999999</v>
      </c>
      <c r="M290" s="7">
        <v>2.98E-2</v>
      </c>
    </row>
    <row r="291" spans="1:13" x14ac:dyDescent="0.2">
      <c r="A291" s="6">
        <v>44349</v>
      </c>
      <c r="B291" s="2" t="s">
        <v>224</v>
      </c>
      <c r="C291" s="5">
        <v>44348</v>
      </c>
      <c r="D291" s="2" t="s">
        <v>180</v>
      </c>
      <c r="E291" s="3">
        <v>3562</v>
      </c>
      <c r="F291" s="8">
        <v>0.32429999999999998</v>
      </c>
      <c r="G291" s="4">
        <v>66.490300000000005</v>
      </c>
      <c r="H291" s="4">
        <v>54.521599999999999</v>
      </c>
      <c r="I291" s="4">
        <v>17.387499999999999</v>
      </c>
      <c r="J291" s="4">
        <v>17.647500000000001</v>
      </c>
      <c r="K291" s="4">
        <v>15.1675</v>
      </c>
      <c r="L291" s="4">
        <v>17.21</v>
      </c>
      <c r="M291" s="7">
        <v>-1.0200000000000001E-2</v>
      </c>
    </row>
    <row r="292" spans="1:13" x14ac:dyDescent="0.2">
      <c r="A292" s="6">
        <v>44350</v>
      </c>
      <c r="B292" s="2" t="s">
        <v>227</v>
      </c>
      <c r="C292" s="5">
        <v>44348</v>
      </c>
      <c r="D292" s="2" t="s">
        <v>180</v>
      </c>
      <c r="E292" s="3">
        <v>3615</v>
      </c>
      <c r="F292" s="8">
        <v>0.34160000000000001</v>
      </c>
      <c r="G292" s="4">
        <v>68.1524</v>
      </c>
      <c r="H292" s="4">
        <v>58.013399999999997</v>
      </c>
      <c r="I292" s="4">
        <v>17.21</v>
      </c>
      <c r="J292" s="4">
        <v>17.21</v>
      </c>
      <c r="K292" s="4">
        <v>14.147500000000001</v>
      </c>
      <c r="L292" s="4">
        <v>15.744999999999999</v>
      </c>
      <c r="M292" s="7">
        <v>-8.5099999999999995E-2</v>
      </c>
    </row>
    <row r="293" spans="1:13" x14ac:dyDescent="0.2">
      <c r="A293" s="6">
        <v>44351</v>
      </c>
      <c r="B293" s="2" t="s">
        <v>225</v>
      </c>
      <c r="C293" s="5">
        <v>44348</v>
      </c>
      <c r="D293" s="2" t="s">
        <v>180</v>
      </c>
      <c r="E293" s="3">
        <v>3587</v>
      </c>
      <c r="F293" s="8">
        <v>0.34610000000000002</v>
      </c>
      <c r="G293" s="4">
        <v>81.463300000000004</v>
      </c>
      <c r="H293" s="4">
        <v>61.305100000000003</v>
      </c>
      <c r="I293" s="4">
        <v>15.744999999999999</v>
      </c>
      <c r="J293" s="4">
        <v>16.3825</v>
      </c>
      <c r="K293" s="4">
        <v>14.942500000000001</v>
      </c>
      <c r="L293" s="4">
        <v>15.94</v>
      </c>
      <c r="M293" s="7">
        <v>1.24E-2</v>
      </c>
    </row>
    <row r="294" spans="1:13" x14ac:dyDescent="0.2">
      <c r="A294" s="6">
        <v>44354</v>
      </c>
      <c r="B294" s="2" t="s">
        <v>228</v>
      </c>
      <c r="C294" s="5">
        <v>44348</v>
      </c>
      <c r="D294" s="2" t="s">
        <v>180</v>
      </c>
      <c r="E294" s="3">
        <v>3776</v>
      </c>
      <c r="F294" s="8">
        <v>0.4042</v>
      </c>
      <c r="G294" s="4">
        <v>94.460700000000003</v>
      </c>
      <c r="H294" s="4">
        <v>74.705600000000004</v>
      </c>
      <c r="I294" s="4">
        <v>15.94</v>
      </c>
      <c r="J294" s="4">
        <v>15.94</v>
      </c>
      <c r="K294" s="4">
        <v>14.7425</v>
      </c>
      <c r="L294" s="4">
        <v>15.567500000000001</v>
      </c>
      <c r="M294" s="7">
        <v>-2.3400000000000001E-2</v>
      </c>
    </row>
    <row r="295" spans="1:13" x14ac:dyDescent="0.2">
      <c r="A295" s="6">
        <v>44355</v>
      </c>
      <c r="B295" s="2" t="s">
        <v>226</v>
      </c>
      <c r="C295" s="5">
        <v>44348</v>
      </c>
      <c r="D295" s="2" t="s">
        <v>180</v>
      </c>
      <c r="E295" s="3">
        <v>3637</v>
      </c>
      <c r="F295" s="8">
        <v>0.38550000000000001</v>
      </c>
      <c r="G295" s="4">
        <v>83.804400000000001</v>
      </c>
      <c r="H295" s="4">
        <v>62.631500000000003</v>
      </c>
      <c r="I295" s="4">
        <v>15.567500000000001</v>
      </c>
      <c r="J295" s="4">
        <v>15.6</v>
      </c>
      <c r="K295" s="4">
        <v>13.567500000000001</v>
      </c>
      <c r="L295" s="4">
        <v>15.225</v>
      </c>
      <c r="M295" s="7">
        <v>-2.1999999999999999E-2</v>
      </c>
    </row>
    <row r="296" spans="1:13" x14ac:dyDescent="0.2">
      <c r="A296" s="6">
        <v>44356</v>
      </c>
      <c r="B296" s="2" t="s">
        <v>224</v>
      </c>
      <c r="C296" s="5">
        <v>44348</v>
      </c>
      <c r="D296" s="2" t="s">
        <v>180</v>
      </c>
      <c r="E296" s="3">
        <v>3596</v>
      </c>
      <c r="F296" s="8">
        <v>0.47420000000000001</v>
      </c>
      <c r="G296" s="4">
        <v>112.3664</v>
      </c>
      <c r="H296" s="4">
        <v>92.194199999999995</v>
      </c>
      <c r="I296" s="4">
        <v>15.225</v>
      </c>
      <c r="J296" s="4">
        <v>15.7425</v>
      </c>
      <c r="K296" s="4">
        <v>11.945</v>
      </c>
      <c r="L296" s="4">
        <v>14.7525</v>
      </c>
      <c r="M296" s="7">
        <v>-3.1E-2</v>
      </c>
    </row>
    <row r="297" spans="1:13" x14ac:dyDescent="0.2">
      <c r="A297" s="6">
        <v>44357</v>
      </c>
      <c r="B297" s="2" t="s">
        <v>227</v>
      </c>
      <c r="C297" s="5">
        <v>44348</v>
      </c>
      <c r="D297" s="2" t="s">
        <v>180</v>
      </c>
      <c r="E297" s="3">
        <v>3627</v>
      </c>
      <c r="F297" s="8">
        <v>0.33329999999999999</v>
      </c>
      <c r="G297" s="4">
        <v>74.448999999999998</v>
      </c>
      <c r="H297" s="4">
        <v>55.434100000000001</v>
      </c>
      <c r="I297" s="4">
        <v>14.7525</v>
      </c>
      <c r="J297" s="4">
        <v>15.2</v>
      </c>
      <c r="K297" s="4">
        <v>14.1775</v>
      </c>
      <c r="L297" s="4">
        <v>15.0025</v>
      </c>
      <c r="M297" s="7">
        <v>1.6899999999999998E-2</v>
      </c>
    </row>
    <row r="298" spans="1:13" x14ac:dyDescent="0.2">
      <c r="A298" s="6">
        <v>44358</v>
      </c>
      <c r="B298" s="2" t="s">
        <v>225</v>
      </c>
      <c r="C298" s="5">
        <v>44348</v>
      </c>
      <c r="D298" s="2" t="s">
        <v>180</v>
      </c>
      <c r="E298" s="3">
        <v>3593</v>
      </c>
      <c r="F298" s="8">
        <v>0.39439999999999997</v>
      </c>
      <c r="G298" s="4">
        <v>120.3563</v>
      </c>
      <c r="H298" s="4">
        <v>59.638500000000001</v>
      </c>
      <c r="I298" s="4">
        <v>15.0025</v>
      </c>
      <c r="J298" s="4">
        <v>15.0025</v>
      </c>
      <c r="K298" s="4">
        <v>13.9375</v>
      </c>
      <c r="L298" s="4">
        <v>14.102499999999999</v>
      </c>
      <c r="M298" s="7">
        <v>-0.06</v>
      </c>
    </row>
    <row r="299" spans="1:13" x14ac:dyDescent="0.2">
      <c r="A299" s="6">
        <v>44361</v>
      </c>
      <c r="B299" s="2" t="s">
        <v>228</v>
      </c>
      <c r="C299" s="5">
        <v>44348</v>
      </c>
      <c r="D299" s="2" t="s">
        <v>180</v>
      </c>
      <c r="E299" s="3">
        <v>3782</v>
      </c>
      <c r="F299" s="8">
        <v>0.42099999999999999</v>
      </c>
      <c r="G299" s="4">
        <v>94.215800000000002</v>
      </c>
      <c r="H299" s="4">
        <v>64.105199999999996</v>
      </c>
      <c r="I299" s="4">
        <v>14.102499999999999</v>
      </c>
      <c r="J299" s="4">
        <v>15.307499999999999</v>
      </c>
      <c r="K299" s="4">
        <v>13.74</v>
      </c>
      <c r="L299" s="4">
        <v>14.715</v>
      </c>
      <c r="M299" s="7">
        <v>4.3400000000000001E-2</v>
      </c>
    </row>
    <row r="300" spans="1:13" x14ac:dyDescent="0.2">
      <c r="A300" s="6">
        <v>44362</v>
      </c>
      <c r="B300" s="2" t="s">
        <v>226</v>
      </c>
      <c r="C300" s="5">
        <v>44348</v>
      </c>
      <c r="D300" s="2" t="s">
        <v>180</v>
      </c>
      <c r="E300" s="3">
        <v>3665</v>
      </c>
      <c r="F300" s="8">
        <v>0.36070000000000002</v>
      </c>
      <c r="G300" s="4">
        <v>72.236599999999996</v>
      </c>
      <c r="H300" s="4">
        <v>78.5291</v>
      </c>
      <c r="I300" s="4">
        <v>14.715</v>
      </c>
      <c r="J300" s="4">
        <v>15.1625</v>
      </c>
      <c r="K300" s="4">
        <v>13.2775</v>
      </c>
      <c r="L300" s="4">
        <v>14.605</v>
      </c>
      <c r="M300" s="7">
        <v>-7.4999999999999997E-3</v>
      </c>
    </row>
    <row r="301" spans="1:13" x14ac:dyDescent="0.2">
      <c r="A301" s="6">
        <v>44363</v>
      </c>
      <c r="B301" s="2" t="s">
        <v>224</v>
      </c>
      <c r="C301" s="5">
        <v>44348</v>
      </c>
      <c r="D301" s="2" t="s">
        <v>180</v>
      </c>
      <c r="E301" s="3">
        <v>3681</v>
      </c>
      <c r="F301" s="8">
        <v>0.35699999999999998</v>
      </c>
      <c r="G301" s="4">
        <v>85.129900000000006</v>
      </c>
      <c r="H301" s="4">
        <v>63.598399999999998</v>
      </c>
      <c r="I301" s="4">
        <v>14.605</v>
      </c>
      <c r="J301" s="4">
        <v>15.3225</v>
      </c>
      <c r="K301" s="4">
        <v>13.6175</v>
      </c>
      <c r="L301" s="4">
        <v>14.865</v>
      </c>
      <c r="M301" s="7">
        <v>1.78E-2</v>
      </c>
    </row>
    <row r="302" spans="1:13" x14ac:dyDescent="0.2">
      <c r="A302" s="6">
        <v>44364</v>
      </c>
      <c r="B302" s="2" t="s">
        <v>227</v>
      </c>
      <c r="C302" s="5">
        <v>44348</v>
      </c>
      <c r="D302" s="2" t="s">
        <v>180</v>
      </c>
      <c r="E302" s="3">
        <v>3659</v>
      </c>
      <c r="F302" s="8">
        <v>0.36880000000000002</v>
      </c>
      <c r="G302" s="4">
        <v>74.452500000000001</v>
      </c>
      <c r="H302" s="4">
        <v>57.860300000000002</v>
      </c>
      <c r="I302" s="4">
        <v>14.865</v>
      </c>
      <c r="J302" s="4">
        <v>16.05</v>
      </c>
      <c r="K302" s="4">
        <v>14.5275</v>
      </c>
      <c r="L302" s="4">
        <v>15.2875</v>
      </c>
      <c r="M302" s="7">
        <v>2.8400000000000002E-2</v>
      </c>
    </row>
    <row r="303" spans="1:13" x14ac:dyDescent="0.2">
      <c r="A303" s="6">
        <v>44365</v>
      </c>
      <c r="B303" s="2" t="s">
        <v>225</v>
      </c>
      <c r="C303" s="5">
        <v>44348</v>
      </c>
      <c r="D303" s="2" t="s">
        <v>180</v>
      </c>
      <c r="E303" s="3">
        <v>3614</v>
      </c>
      <c r="F303" s="8">
        <v>0.46100000000000002</v>
      </c>
      <c r="G303" s="4">
        <v>130.6985</v>
      </c>
      <c r="H303" s="4">
        <v>88.187200000000004</v>
      </c>
      <c r="I303" s="4">
        <v>15.2875</v>
      </c>
      <c r="J303" s="4">
        <v>16.62</v>
      </c>
      <c r="K303" s="4">
        <v>10.6</v>
      </c>
      <c r="L303" s="4">
        <v>14.797499999999999</v>
      </c>
      <c r="M303" s="7">
        <v>-3.2099999999999997E-2</v>
      </c>
    </row>
    <row r="304" spans="1:13" x14ac:dyDescent="0.2">
      <c r="A304" s="6">
        <v>44368</v>
      </c>
      <c r="B304" s="2" t="s">
        <v>228</v>
      </c>
      <c r="C304" s="5">
        <v>44348</v>
      </c>
      <c r="D304" s="2" t="s">
        <v>180</v>
      </c>
      <c r="E304" s="3">
        <v>3748</v>
      </c>
      <c r="F304" s="8">
        <v>0.34860000000000002</v>
      </c>
      <c r="G304" s="4">
        <v>95.107200000000006</v>
      </c>
      <c r="H304" s="4">
        <v>62.540399999999998</v>
      </c>
      <c r="I304" s="4">
        <v>14.797499999999999</v>
      </c>
      <c r="J304" s="4">
        <v>16.46</v>
      </c>
      <c r="K304" s="4">
        <v>14.375</v>
      </c>
      <c r="L304" s="4">
        <v>15.06</v>
      </c>
      <c r="M304" s="7">
        <v>1.77E-2</v>
      </c>
    </row>
    <row r="305" spans="1:13" x14ac:dyDescent="0.2">
      <c r="A305" s="6">
        <v>44369</v>
      </c>
      <c r="B305" s="2" t="s">
        <v>226</v>
      </c>
      <c r="C305" s="5">
        <v>44348</v>
      </c>
      <c r="D305" s="2" t="s">
        <v>180</v>
      </c>
      <c r="E305" s="3">
        <v>3663</v>
      </c>
      <c r="F305" s="8">
        <v>0.3372</v>
      </c>
      <c r="G305" s="4">
        <v>88.411799999999999</v>
      </c>
      <c r="H305" s="4">
        <v>54.982799999999997</v>
      </c>
      <c r="I305" s="4">
        <v>15.06</v>
      </c>
      <c r="J305" s="4">
        <v>15.112500000000001</v>
      </c>
      <c r="K305" s="4">
        <v>14.425000000000001</v>
      </c>
      <c r="L305" s="4">
        <v>14.737500000000001</v>
      </c>
      <c r="M305" s="7">
        <v>-2.1399999999999999E-2</v>
      </c>
    </row>
    <row r="306" spans="1:13" x14ac:dyDescent="0.2">
      <c r="A306" s="6">
        <v>44370</v>
      </c>
      <c r="B306" s="2" t="s">
        <v>224</v>
      </c>
      <c r="C306" s="5">
        <v>44348</v>
      </c>
      <c r="D306" s="2" t="s">
        <v>180</v>
      </c>
      <c r="E306" s="3">
        <v>3657</v>
      </c>
      <c r="F306" s="8">
        <v>0.32490000000000002</v>
      </c>
      <c r="G306" s="4">
        <v>96.168899999999994</v>
      </c>
      <c r="H306" s="4">
        <v>129.27629999999999</v>
      </c>
      <c r="I306" s="4">
        <v>14.737500000000001</v>
      </c>
      <c r="J306" s="4">
        <v>15.535</v>
      </c>
      <c r="K306" s="4">
        <v>13.625</v>
      </c>
      <c r="L306" s="4">
        <v>15.365</v>
      </c>
      <c r="M306" s="7">
        <v>4.2599999999999999E-2</v>
      </c>
    </row>
    <row r="307" spans="1:13" x14ac:dyDescent="0.2">
      <c r="A307" s="6">
        <v>44371</v>
      </c>
      <c r="B307" s="2" t="s">
        <v>227</v>
      </c>
      <c r="C307" s="5">
        <v>44348</v>
      </c>
      <c r="D307" s="2" t="s">
        <v>180</v>
      </c>
      <c r="E307" s="3">
        <v>3599</v>
      </c>
      <c r="F307" s="8">
        <v>0.29799999999999999</v>
      </c>
      <c r="G307" s="4">
        <v>62.324599999999997</v>
      </c>
      <c r="H307" s="4">
        <v>44.2879</v>
      </c>
      <c r="I307" s="4">
        <v>15.365</v>
      </c>
      <c r="J307" s="4">
        <v>15.637499999999999</v>
      </c>
      <c r="K307" s="4">
        <v>14.925000000000001</v>
      </c>
      <c r="L307" s="4">
        <v>15.0975</v>
      </c>
      <c r="M307" s="7">
        <v>-1.7399999999999999E-2</v>
      </c>
    </row>
    <row r="308" spans="1:13" x14ac:dyDescent="0.2">
      <c r="A308" s="6">
        <v>44372</v>
      </c>
      <c r="B308" s="2" t="s">
        <v>225</v>
      </c>
      <c r="C308" s="5">
        <v>44348</v>
      </c>
      <c r="D308" s="2" t="s">
        <v>180</v>
      </c>
      <c r="E308" s="3">
        <v>3603</v>
      </c>
      <c r="F308" s="8">
        <v>0.28289999999999998</v>
      </c>
      <c r="G308" s="4">
        <v>74.486900000000006</v>
      </c>
      <c r="H308" s="4">
        <v>50.716999999999999</v>
      </c>
      <c r="I308" s="4">
        <v>15.0975</v>
      </c>
      <c r="J308" s="4">
        <v>15.2675</v>
      </c>
      <c r="K308" s="4">
        <v>13.275</v>
      </c>
      <c r="L308" s="4">
        <v>13.3675</v>
      </c>
      <c r="M308" s="7">
        <v>-0.11459999999999999</v>
      </c>
    </row>
    <row r="309" spans="1:13" x14ac:dyDescent="0.2">
      <c r="A309" s="6">
        <v>44375</v>
      </c>
      <c r="B309" s="2" t="s">
        <v>228</v>
      </c>
      <c r="C309" s="5">
        <v>44348</v>
      </c>
      <c r="D309" s="2" t="s">
        <v>180</v>
      </c>
      <c r="E309" s="3">
        <v>3750</v>
      </c>
      <c r="F309" s="8">
        <v>0.31519999999999998</v>
      </c>
      <c r="G309" s="4">
        <v>67.233000000000004</v>
      </c>
      <c r="H309" s="4">
        <v>50.2196</v>
      </c>
      <c r="I309" s="4">
        <v>13.3675</v>
      </c>
      <c r="J309" s="4">
        <v>13.77</v>
      </c>
      <c r="K309" s="4">
        <v>13.1175</v>
      </c>
      <c r="L309" s="4">
        <v>13.4025</v>
      </c>
      <c r="M309" s="7">
        <v>2.5999999999999999E-3</v>
      </c>
    </row>
    <row r="310" spans="1:13" x14ac:dyDescent="0.2">
      <c r="A310" s="6">
        <v>44376</v>
      </c>
      <c r="B310" s="2" t="s">
        <v>226</v>
      </c>
      <c r="C310" s="5">
        <v>44348</v>
      </c>
      <c r="D310" s="2" t="s">
        <v>180</v>
      </c>
      <c r="E310" s="3">
        <v>3625</v>
      </c>
      <c r="F310" s="8">
        <v>0.31359999999999999</v>
      </c>
      <c r="G310" s="4">
        <v>83.940700000000007</v>
      </c>
      <c r="H310" s="4">
        <v>135.08369999999999</v>
      </c>
      <c r="I310" s="4">
        <v>13.4025</v>
      </c>
      <c r="J310" s="4">
        <v>13.4025</v>
      </c>
      <c r="K310" s="4">
        <v>12.9025</v>
      </c>
      <c r="L310" s="4">
        <v>13.0025</v>
      </c>
      <c r="M310" s="7">
        <v>-2.98E-2</v>
      </c>
    </row>
    <row r="311" spans="1:13" x14ac:dyDescent="0.2">
      <c r="A311" s="6">
        <v>44377</v>
      </c>
      <c r="B311" s="2" t="s">
        <v>224</v>
      </c>
      <c r="C311" s="5">
        <v>44348</v>
      </c>
      <c r="D311" s="2" t="s">
        <v>180</v>
      </c>
      <c r="E311" s="3">
        <v>3633</v>
      </c>
      <c r="F311" s="8">
        <v>0.32600000000000001</v>
      </c>
      <c r="G311" s="4">
        <v>70.234099999999998</v>
      </c>
      <c r="H311" s="4">
        <v>56.287999999999997</v>
      </c>
      <c r="I311" s="4">
        <v>13.0025</v>
      </c>
      <c r="J311" s="4">
        <v>13.14</v>
      </c>
      <c r="K311" s="4">
        <v>12.6</v>
      </c>
      <c r="L311" s="4">
        <v>13.045</v>
      </c>
      <c r="M311" s="7">
        <v>3.3E-3</v>
      </c>
    </row>
    <row r="312" spans="1:13" x14ac:dyDescent="0.2">
      <c r="A312" s="6">
        <v>44378</v>
      </c>
      <c r="B312" s="2" t="s">
        <v>227</v>
      </c>
      <c r="C312" s="5">
        <v>44378</v>
      </c>
      <c r="D312" s="2" t="s">
        <v>181</v>
      </c>
      <c r="E312" s="3">
        <v>3608</v>
      </c>
      <c r="F312" s="8">
        <v>0.28660000000000002</v>
      </c>
      <c r="G312" s="4">
        <v>65.9435</v>
      </c>
      <c r="H312" s="4">
        <v>44.621499999999997</v>
      </c>
      <c r="I312" s="4">
        <v>13.045</v>
      </c>
      <c r="J312" s="4">
        <v>13.282500000000001</v>
      </c>
      <c r="K312" s="4">
        <v>12.33</v>
      </c>
      <c r="L312" s="4">
        <v>12.84</v>
      </c>
      <c r="M312" s="7">
        <v>-1.5699999999999999E-2</v>
      </c>
    </row>
    <row r="313" spans="1:13" x14ac:dyDescent="0.2">
      <c r="A313" s="6">
        <v>44379</v>
      </c>
      <c r="B313" s="2" t="s">
        <v>225</v>
      </c>
      <c r="C313" s="5">
        <v>44378</v>
      </c>
      <c r="D313" s="2" t="s">
        <v>181</v>
      </c>
      <c r="E313" s="3">
        <v>3637</v>
      </c>
      <c r="F313" s="8">
        <v>0.34079999999999999</v>
      </c>
      <c r="G313" s="4">
        <v>68.012600000000006</v>
      </c>
      <c r="H313" s="4">
        <v>50.929699999999997</v>
      </c>
      <c r="I313" s="4">
        <v>12.84</v>
      </c>
      <c r="J313" s="4">
        <v>13.02</v>
      </c>
      <c r="K313" s="4">
        <v>12.022500000000001</v>
      </c>
      <c r="L313" s="4">
        <v>12.09</v>
      </c>
      <c r="M313" s="7">
        <v>-5.8400000000000001E-2</v>
      </c>
    </row>
    <row r="314" spans="1:13" x14ac:dyDescent="0.2">
      <c r="A314" s="6">
        <v>44382</v>
      </c>
      <c r="B314" s="2" t="s">
        <v>228</v>
      </c>
      <c r="C314" s="5">
        <v>44378</v>
      </c>
      <c r="D314" s="2" t="s">
        <v>181</v>
      </c>
      <c r="E314" s="3">
        <v>3803</v>
      </c>
      <c r="F314" s="8">
        <v>0.37119999999999997</v>
      </c>
      <c r="G314" s="4">
        <v>75.874899999999997</v>
      </c>
      <c r="H314" s="4">
        <v>56.101999999999997</v>
      </c>
      <c r="I314" s="4">
        <v>12.09</v>
      </c>
      <c r="J314" s="4">
        <v>12.6225</v>
      </c>
      <c r="K314" s="4">
        <v>11.987500000000001</v>
      </c>
      <c r="L314" s="4">
        <v>12.067500000000001</v>
      </c>
      <c r="M314" s="7">
        <v>-1.9E-3</v>
      </c>
    </row>
    <row r="315" spans="1:13" x14ac:dyDescent="0.2">
      <c r="A315" s="6">
        <v>44383</v>
      </c>
      <c r="B315" s="2" t="s">
        <v>226</v>
      </c>
      <c r="C315" s="5">
        <v>44378</v>
      </c>
      <c r="D315" s="2" t="s">
        <v>181</v>
      </c>
      <c r="E315" s="3">
        <v>3676</v>
      </c>
      <c r="F315" s="8">
        <v>0.40029999999999999</v>
      </c>
      <c r="G315" s="4">
        <v>86.231300000000005</v>
      </c>
      <c r="H315" s="4">
        <v>59.753999999999998</v>
      </c>
      <c r="I315" s="4">
        <v>12.067500000000001</v>
      </c>
      <c r="J315" s="4">
        <v>12.36</v>
      </c>
      <c r="K315" s="4">
        <v>11.29</v>
      </c>
      <c r="L315" s="4">
        <v>12.275</v>
      </c>
      <c r="M315" s="7">
        <v>1.72E-2</v>
      </c>
    </row>
    <row r="316" spans="1:13" x14ac:dyDescent="0.2">
      <c r="A316" s="6">
        <v>44384</v>
      </c>
      <c r="B316" s="2" t="s">
        <v>224</v>
      </c>
      <c r="C316" s="5">
        <v>44378</v>
      </c>
      <c r="D316" s="2" t="s">
        <v>181</v>
      </c>
      <c r="E316" s="3">
        <v>3618</v>
      </c>
      <c r="F316" s="8">
        <v>0.33860000000000001</v>
      </c>
      <c r="G316" s="4">
        <v>61.928699999999999</v>
      </c>
      <c r="H316" s="4">
        <v>52.0276</v>
      </c>
      <c r="I316" s="4">
        <v>12.275</v>
      </c>
      <c r="J316" s="4">
        <v>12.585000000000001</v>
      </c>
      <c r="K316" s="4">
        <v>11.147500000000001</v>
      </c>
      <c r="L316" s="4">
        <v>12.2125</v>
      </c>
      <c r="M316" s="7">
        <v>-5.1000000000000004E-3</v>
      </c>
    </row>
    <row r="317" spans="1:13" x14ac:dyDescent="0.2">
      <c r="A317" s="6">
        <v>44385</v>
      </c>
      <c r="B317" s="2" t="s">
        <v>227</v>
      </c>
      <c r="C317" s="5">
        <v>44378</v>
      </c>
      <c r="D317" s="2" t="s">
        <v>181</v>
      </c>
      <c r="E317" s="3">
        <v>3597</v>
      </c>
      <c r="F317" s="8">
        <v>0.32269999999999999</v>
      </c>
      <c r="G317" s="4">
        <v>82.774100000000004</v>
      </c>
      <c r="H317" s="4">
        <v>47.394199999999998</v>
      </c>
      <c r="I317" s="4">
        <v>12.2125</v>
      </c>
      <c r="J317" s="4">
        <v>14.0075</v>
      </c>
      <c r="K317" s="4">
        <v>12.055</v>
      </c>
      <c r="L317" s="4">
        <v>13.56</v>
      </c>
      <c r="M317" s="7">
        <v>0.1103</v>
      </c>
    </row>
    <row r="318" spans="1:13" x14ac:dyDescent="0.2">
      <c r="A318" s="6">
        <v>44386</v>
      </c>
      <c r="B318" s="2" t="s">
        <v>225</v>
      </c>
      <c r="C318" s="5">
        <v>44378</v>
      </c>
      <c r="D318" s="2" t="s">
        <v>181</v>
      </c>
      <c r="E318" s="3">
        <v>3624</v>
      </c>
      <c r="F318" s="8">
        <v>0.29199999999999998</v>
      </c>
      <c r="G318" s="4">
        <v>73.293400000000005</v>
      </c>
      <c r="H318" s="4">
        <v>43.992100000000001</v>
      </c>
      <c r="I318" s="4">
        <v>13.56</v>
      </c>
      <c r="J318" s="4">
        <v>14.0025</v>
      </c>
      <c r="K318" s="4">
        <v>12.175000000000001</v>
      </c>
      <c r="L318" s="4">
        <v>12.942500000000001</v>
      </c>
      <c r="M318" s="7">
        <v>-4.5499999999999999E-2</v>
      </c>
    </row>
    <row r="319" spans="1:13" x14ac:dyDescent="0.2">
      <c r="A319" s="6">
        <v>44389</v>
      </c>
      <c r="B319" s="2" t="s">
        <v>228</v>
      </c>
      <c r="C319" s="5">
        <v>44378</v>
      </c>
      <c r="D319" s="2" t="s">
        <v>181</v>
      </c>
      <c r="E319" s="3">
        <v>3773</v>
      </c>
      <c r="F319" s="8">
        <v>0.3347</v>
      </c>
      <c r="G319" s="4">
        <v>71.233699999999999</v>
      </c>
      <c r="H319" s="4">
        <v>85.008600000000001</v>
      </c>
      <c r="I319" s="4">
        <v>12.942500000000001</v>
      </c>
      <c r="J319" s="4">
        <v>13.6075</v>
      </c>
      <c r="K319" s="4">
        <v>11.81</v>
      </c>
      <c r="L319" s="4">
        <v>12.9925</v>
      </c>
      <c r="M319" s="7">
        <v>3.8999999999999998E-3</v>
      </c>
    </row>
    <row r="320" spans="1:13" x14ac:dyDescent="0.2">
      <c r="A320" s="6">
        <v>44390</v>
      </c>
      <c r="B320" s="2" t="s">
        <v>226</v>
      </c>
      <c r="C320" s="5">
        <v>44378</v>
      </c>
      <c r="D320" s="2" t="s">
        <v>181</v>
      </c>
      <c r="E320" s="3">
        <v>3637</v>
      </c>
      <c r="F320" s="8">
        <v>0.32219999999999999</v>
      </c>
      <c r="G320" s="4">
        <v>56.521999999999998</v>
      </c>
      <c r="H320" s="4">
        <v>46.717399999999998</v>
      </c>
      <c r="I320" s="4">
        <v>12.9925</v>
      </c>
      <c r="J320" s="4">
        <v>12.9925</v>
      </c>
      <c r="K320" s="4">
        <v>10.672499999999999</v>
      </c>
      <c r="L320" s="4">
        <v>12.6225</v>
      </c>
      <c r="M320" s="7">
        <v>-2.8500000000000001E-2</v>
      </c>
    </row>
    <row r="321" spans="1:13" x14ac:dyDescent="0.2">
      <c r="A321" s="6">
        <v>44391</v>
      </c>
      <c r="B321" s="2" t="s">
        <v>224</v>
      </c>
      <c r="C321" s="5">
        <v>44378</v>
      </c>
      <c r="D321" s="2" t="s">
        <v>181</v>
      </c>
      <c r="E321" s="3">
        <v>3621</v>
      </c>
      <c r="F321" s="8">
        <v>0.3044</v>
      </c>
      <c r="G321" s="4">
        <v>51.349699999999999</v>
      </c>
      <c r="H321" s="4">
        <v>45.037599999999998</v>
      </c>
      <c r="I321" s="4">
        <v>12.6225</v>
      </c>
      <c r="J321" s="4">
        <v>12.96</v>
      </c>
      <c r="K321" s="4">
        <v>10.484999999999999</v>
      </c>
      <c r="L321" s="4">
        <v>12.59</v>
      </c>
      <c r="M321" s="7">
        <v>-2.5999999999999999E-3</v>
      </c>
    </row>
    <row r="322" spans="1:13" x14ac:dyDescent="0.2">
      <c r="A322" s="6">
        <v>44392</v>
      </c>
      <c r="B322" s="2" t="s">
        <v>227</v>
      </c>
      <c r="C322" s="5">
        <v>44378</v>
      </c>
      <c r="D322" s="2" t="s">
        <v>181</v>
      </c>
      <c r="E322" s="3">
        <v>3621</v>
      </c>
      <c r="F322" s="8">
        <v>0.33289999999999997</v>
      </c>
      <c r="G322" s="4">
        <v>54.325699999999998</v>
      </c>
      <c r="H322" s="4">
        <v>49.297199999999997</v>
      </c>
      <c r="I322" s="4">
        <v>12.59</v>
      </c>
      <c r="J322" s="4">
        <v>12.945</v>
      </c>
      <c r="K322" s="4">
        <v>11.0825</v>
      </c>
      <c r="L322" s="4">
        <v>12.27</v>
      </c>
      <c r="M322" s="7">
        <v>-2.5399999999999999E-2</v>
      </c>
    </row>
    <row r="323" spans="1:13" x14ac:dyDescent="0.2">
      <c r="A323" s="6">
        <v>44393</v>
      </c>
      <c r="B323" s="2" t="s">
        <v>225</v>
      </c>
      <c r="C323" s="5">
        <v>44378</v>
      </c>
      <c r="D323" s="2" t="s">
        <v>181</v>
      </c>
      <c r="E323" s="3">
        <v>3593</v>
      </c>
      <c r="F323" s="8">
        <v>0.33239999999999997</v>
      </c>
      <c r="G323" s="4">
        <v>63.332799999999999</v>
      </c>
      <c r="H323" s="4">
        <v>58.408200000000001</v>
      </c>
      <c r="I323" s="4">
        <v>12.27</v>
      </c>
      <c r="J323" s="4">
        <v>12.37</v>
      </c>
      <c r="K323" s="4">
        <v>11.625</v>
      </c>
      <c r="L323" s="4">
        <v>11.705</v>
      </c>
      <c r="M323" s="7">
        <v>-4.5999999999999999E-2</v>
      </c>
    </row>
    <row r="324" spans="1:13" x14ac:dyDescent="0.2">
      <c r="A324" s="6">
        <v>44396</v>
      </c>
      <c r="B324" s="2" t="s">
        <v>228</v>
      </c>
      <c r="C324" s="5">
        <v>44378</v>
      </c>
      <c r="D324" s="2" t="s">
        <v>181</v>
      </c>
      <c r="E324" s="3">
        <v>3775</v>
      </c>
      <c r="F324" s="8">
        <v>0.36599999999999999</v>
      </c>
      <c r="G324" s="4">
        <v>80.324100000000001</v>
      </c>
      <c r="H324" s="4">
        <v>81.935199999999995</v>
      </c>
      <c r="I324" s="4">
        <v>11.705</v>
      </c>
      <c r="J324" s="4">
        <v>13.1975</v>
      </c>
      <c r="K324" s="4">
        <v>11.705</v>
      </c>
      <c r="L324" s="4">
        <v>12.68</v>
      </c>
      <c r="M324" s="7">
        <v>8.3299999999999999E-2</v>
      </c>
    </row>
    <row r="325" spans="1:13" x14ac:dyDescent="0.2">
      <c r="A325" s="6">
        <v>44397</v>
      </c>
      <c r="B325" s="2" t="s">
        <v>226</v>
      </c>
      <c r="C325" s="5">
        <v>44378</v>
      </c>
      <c r="D325" s="2" t="s">
        <v>181</v>
      </c>
      <c r="E325" s="3">
        <v>3622</v>
      </c>
      <c r="F325" s="8">
        <v>0.35959999999999998</v>
      </c>
      <c r="G325" s="4">
        <v>65.179100000000005</v>
      </c>
      <c r="H325" s="4">
        <v>65.58</v>
      </c>
      <c r="I325" s="4">
        <v>12.68</v>
      </c>
      <c r="J325" s="4">
        <v>14.092499999999999</v>
      </c>
      <c r="K325" s="4">
        <v>11.7875</v>
      </c>
      <c r="L325" s="4">
        <v>13.205</v>
      </c>
      <c r="M325" s="7">
        <v>4.1399999999999999E-2</v>
      </c>
    </row>
    <row r="326" spans="1:13" x14ac:dyDescent="0.2">
      <c r="A326" s="6">
        <v>44399</v>
      </c>
      <c r="B326" s="2" t="s">
        <v>227</v>
      </c>
      <c r="C326" s="5">
        <v>44378</v>
      </c>
      <c r="D326" s="2" t="s">
        <v>181</v>
      </c>
      <c r="E326" s="3">
        <v>3689</v>
      </c>
      <c r="F326" s="8">
        <v>0.33689999999999998</v>
      </c>
      <c r="G326" s="4">
        <v>62.326900000000002</v>
      </c>
      <c r="H326" s="4">
        <v>49.997999999999998</v>
      </c>
      <c r="I326" s="4">
        <v>13.205</v>
      </c>
      <c r="J326" s="4">
        <v>13.205</v>
      </c>
      <c r="K326" s="4">
        <v>11.717499999999999</v>
      </c>
      <c r="L326" s="4">
        <v>11.885</v>
      </c>
      <c r="M326" s="7">
        <v>-0.1</v>
      </c>
    </row>
    <row r="327" spans="1:13" x14ac:dyDescent="0.2">
      <c r="A327" s="6">
        <v>44400</v>
      </c>
      <c r="B327" s="2" t="s">
        <v>225</v>
      </c>
      <c r="C327" s="5">
        <v>44378</v>
      </c>
      <c r="D327" s="2" t="s">
        <v>181</v>
      </c>
      <c r="E327" s="3">
        <v>3627</v>
      </c>
      <c r="F327" s="8">
        <v>0.35659999999999997</v>
      </c>
      <c r="G327" s="4">
        <v>77.291700000000006</v>
      </c>
      <c r="H327" s="4">
        <v>52.6404</v>
      </c>
      <c r="I327" s="4">
        <v>11.885</v>
      </c>
      <c r="J327" s="4">
        <v>12.115</v>
      </c>
      <c r="K327" s="4">
        <v>11.567500000000001</v>
      </c>
      <c r="L327" s="4">
        <v>11.762499999999999</v>
      </c>
      <c r="M327" s="7">
        <v>-1.03E-2</v>
      </c>
    </row>
    <row r="328" spans="1:13" x14ac:dyDescent="0.2">
      <c r="A328" s="6">
        <v>44403</v>
      </c>
      <c r="B328" s="2" t="s">
        <v>228</v>
      </c>
      <c r="C328" s="5">
        <v>44378</v>
      </c>
      <c r="D328" s="2" t="s">
        <v>181</v>
      </c>
      <c r="E328" s="3">
        <v>3803</v>
      </c>
      <c r="F328" s="8">
        <v>0.34399999999999997</v>
      </c>
      <c r="G328" s="4">
        <v>64.326800000000006</v>
      </c>
      <c r="H328" s="4">
        <v>52.645800000000001</v>
      </c>
      <c r="I328" s="4">
        <v>11.762499999999999</v>
      </c>
      <c r="J328" s="4">
        <v>12.54</v>
      </c>
      <c r="K328" s="4">
        <v>10.395</v>
      </c>
      <c r="L328" s="4">
        <v>12.45</v>
      </c>
      <c r="M328" s="7">
        <v>5.8400000000000001E-2</v>
      </c>
    </row>
    <row r="329" spans="1:13" x14ac:dyDescent="0.2">
      <c r="A329" s="6">
        <v>44404</v>
      </c>
      <c r="B329" s="2" t="s">
        <v>226</v>
      </c>
      <c r="C329" s="5">
        <v>44378</v>
      </c>
      <c r="D329" s="2" t="s">
        <v>181</v>
      </c>
      <c r="E329" s="3">
        <v>3662</v>
      </c>
      <c r="F329" s="8">
        <v>0.36559999999999998</v>
      </c>
      <c r="G329" s="4">
        <v>67.930400000000006</v>
      </c>
      <c r="H329" s="4">
        <v>54.379800000000003</v>
      </c>
      <c r="I329" s="4">
        <v>12.45</v>
      </c>
      <c r="J329" s="4">
        <v>13.525</v>
      </c>
      <c r="K329" s="4">
        <v>12.102499999999999</v>
      </c>
      <c r="L329" s="4">
        <v>13.2325</v>
      </c>
      <c r="M329" s="7">
        <v>6.2899999999999998E-2</v>
      </c>
    </row>
    <row r="330" spans="1:13" x14ac:dyDescent="0.2">
      <c r="A330" s="6">
        <v>44405</v>
      </c>
      <c r="B330" s="2" t="s">
        <v>224</v>
      </c>
      <c r="C330" s="5">
        <v>44378</v>
      </c>
      <c r="D330" s="2" t="s">
        <v>181</v>
      </c>
      <c r="E330" s="3">
        <v>3589</v>
      </c>
      <c r="F330" s="8">
        <v>0.34599999999999997</v>
      </c>
      <c r="G330" s="4">
        <v>64.978300000000004</v>
      </c>
      <c r="H330" s="4">
        <v>49.971699999999998</v>
      </c>
      <c r="I330" s="4">
        <v>13.2325</v>
      </c>
      <c r="J330" s="4">
        <v>15.98</v>
      </c>
      <c r="K330" s="4">
        <v>11.355</v>
      </c>
      <c r="L330" s="4">
        <v>13.692500000000001</v>
      </c>
      <c r="M330" s="7">
        <v>3.4799999999999998E-2</v>
      </c>
    </row>
    <row r="331" spans="1:13" x14ac:dyDescent="0.2">
      <c r="A331" s="6">
        <v>44406</v>
      </c>
      <c r="B331" s="2" t="s">
        <v>227</v>
      </c>
      <c r="C331" s="5">
        <v>44378</v>
      </c>
      <c r="D331" s="2" t="s">
        <v>181</v>
      </c>
      <c r="E331" s="3">
        <v>3581</v>
      </c>
      <c r="F331" s="8">
        <v>0.35020000000000001</v>
      </c>
      <c r="G331" s="4">
        <v>65.188000000000002</v>
      </c>
      <c r="H331" s="4">
        <v>54.105600000000003</v>
      </c>
      <c r="I331" s="4">
        <v>13.692500000000001</v>
      </c>
      <c r="J331" s="4">
        <v>13.692500000000001</v>
      </c>
      <c r="K331" s="4">
        <v>12.435</v>
      </c>
      <c r="L331" s="4">
        <v>12.945</v>
      </c>
      <c r="M331" s="7">
        <v>-5.4600000000000003E-2</v>
      </c>
    </row>
    <row r="332" spans="1:13" x14ac:dyDescent="0.2">
      <c r="A332" s="6">
        <v>44407</v>
      </c>
      <c r="B332" s="2" t="s">
        <v>225</v>
      </c>
      <c r="C332" s="5">
        <v>44378</v>
      </c>
      <c r="D332" s="2" t="s">
        <v>181</v>
      </c>
      <c r="E332" s="3">
        <v>3630</v>
      </c>
      <c r="F332" s="8">
        <v>0.3468</v>
      </c>
      <c r="G332" s="4">
        <v>59.960900000000002</v>
      </c>
      <c r="H332" s="4">
        <v>59.800600000000003</v>
      </c>
      <c r="I332" s="4">
        <v>12.945</v>
      </c>
      <c r="J332" s="4">
        <v>13.32</v>
      </c>
      <c r="K332" s="4">
        <v>12.175000000000001</v>
      </c>
      <c r="L332" s="4">
        <v>12.8025</v>
      </c>
      <c r="M332" s="7">
        <v>-1.0999999999999999E-2</v>
      </c>
    </row>
    <row r="333" spans="1:13" x14ac:dyDescent="0.2">
      <c r="A333" s="6">
        <v>44410</v>
      </c>
      <c r="B333" s="2" t="s">
        <v>228</v>
      </c>
      <c r="C333" s="5">
        <v>44409</v>
      </c>
      <c r="D333" s="2" t="s">
        <v>181</v>
      </c>
      <c r="E333" s="3">
        <v>3790</v>
      </c>
      <c r="F333" s="8">
        <v>0.34139999999999998</v>
      </c>
      <c r="G333" s="4">
        <v>55.999699999999997</v>
      </c>
      <c r="H333" s="4">
        <v>50.743200000000002</v>
      </c>
      <c r="I333" s="4">
        <v>12.8025</v>
      </c>
      <c r="J333" s="4">
        <v>13.09</v>
      </c>
      <c r="K333" s="4">
        <v>11.5175</v>
      </c>
      <c r="L333" s="4">
        <v>12.805</v>
      </c>
      <c r="M333" s="7">
        <v>2.0000000000000001E-4</v>
      </c>
    </row>
    <row r="334" spans="1:13" x14ac:dyDescent="0.2">
      <c r="A334" s="6">
        <v>44411</v>
      </c>
      <c r="B334" s="2" t="s">
        <v>226</v>
      </c>
      <c r="C334" s="5">
        <v>44409</v>
      </c>
      <c r="D334" s="2" t="s">
        <v>181</v>
      </c>
      <c r="E334" s="3">
        <v>3673</v>
      </c>
      <c r="F334" s="8">
        <v>0.32229999999999998</v>
      </c>
      <c r="G334" s="4">
        <v>69.056299999999993</v>
      </c>
      <c r="H334" s="4">
        <v>49.540999999999997</v>
      </c>
      <c r="I334" s="4">
        <v>12.805</v>
      </c>
      <c r="J334" s="4">
        <v>13.904999999999999</v>
      </c>
      <c r="K334" s="4">
        <v>11.9625</v>
      </c>
      <c r="L334" s="4">
        <v>13.7475</v>
      </c>
      <c r="M334" s="7">
        <v>7.3599999999999999E-2</v>
      </c>
    </row>
    <row r="335" spans="1:13" x14ac:dyDescent="0.2">
      <c r="A335" s="6">
        <v>44412</v>
      </c>
      <c r="B335" s="2" t="s">
        <v>224</v>
      </c>
      <c r="C335" s="5">
        <v>44409</v>
      </c>
      <c r="D335" s="2" t="s">
        <v>181</v>
      </c>
      <c r="E335" s="3">
        <v>3662</v>
      </c>
      <c r="F335" s="8">
        <v>0.39389999999999997</v>
      </c>
      <c r="G335" s="4">
        <v>103.1219</v>
      </c>
      <c r="H335" s="4">
        <v>63.108699999999999</v>
      </c>
      <c r="I335" s="4">
        <v>13.7475</v>
      </c>
      <c r="J335" s="4">
        <v>14.057499999999999</v>
      </c>
      <c r="K335" s="4">
        <v>12.65</v>
      </c>
      <c r="L335" s="4">
        <v>13.2125</v>
      </c>
      <c r="M335" s="7">
        <v>-3.8899999999999997E-2</v>
      </c>
    </row>
    <row r="336" spans="1:13" x14ac:dyDescent="0.2">
      <c r="A336" s="6">
        <v>44413</v>
      </c>
      <c r="B336" s="2" t="s">
        <v>227</v>
      </c>
      <c r="C336" s="5">
        <v>44409</v>
      </c>
      <c r="D336" s="2" t="s">
        <v>181</v>
      </c>
      <c r="E336" s="3">
        <v>3652</v>
      </c>
      <c r="F336" s="8">
        <v>0.34260000000000002</v>
      </c>
      <c r="G336" s="4">
        <v>97.768699999999995</v>
      </c>
      <c r="H336" s="4">
        <v>74.002700000000004</v>
      </c>
      <c r="I336" s="4">
        <v>13.2125</v>
      </c>
      <c r="J336" s="4">
        <v>13.4175</v>
      </c>
      <c r="K336" s="4">
        <v>11.202500000000001</v>
      </c>
      <c r="L336" s="4">
        <v>12.8725</v>
      </c>
      <c r="M336" s="7">
        <v>-2.5700000000000001E-2</v>
      </c>
    </row>
    <row r="337" spans="1:13" x14ac:dyDescent="0.2">
      <c r="A337" s="6">
        <v>44414</v>
      </c>
      <c r="B337" s="2" t="s">
        <v>225</v>
      </c>
      <c r="C337" s="5">
        <v>44409</v>
      </c>
      <c r="D337" s="2" t="s">
        <v>181</v>
      </c>
      <c r="E337" s="3">
        <v>3589</v>
      </c>
      <c r="F337" s="8">
        <v>0.30590000000000001</v>
      </c>
      <c r="G337" s="4">
        <v>94.996799999999993</v>
      </c>
      <c r="H337" s="4">
        <v>47.899799999999999</v>
      </c>
      <c r="I337" s="4">
        <v>12.8725</v>
      </c>
      <c r="J337" s="4">
        <v>13.1625</v>
      </c>
      <c r="K337" s="4">
        <v>11.64</v>
      </c>
      <c r="L337" s="4">
        <v>12.6075</v>
      </c>
      <c r="M337" s="7">
        <v>-2.06E-2</v>
      </c>
    </row>
    <row r="338" spans="1:13" x14ac:dyDescent="0.2">
      <c r="A338" s="6">
        <v>44417</v>
      </c>
      <c r="B338" s="2" t="s">
        <v>228</v>
      </c>
      <c r="C338" s="5">
        <v>44409</v>
      </c>
      <c r="D338" s="2" t="s">
        <v>181</v>
      </c>
      <c r="E338" s="3">
        <v>3780</v>
      </c>
      <c r="F338" s="8">
        <v>0.33229999999999998</v>
      </c>
      <c r="G338" s="4">
        <v>81.981399999999994</v>
      </c>
      <c r="H338" s="4">
        <v>59.916200000000003</v>
      </c>
      <c r="I338" s="4">
        <v>12.6075</v>
      </c>
      <c r="J338" s="4">
        <v>13.11</v>
      </c>
      <c r="K338" s="4">
        <v>12.03</v>
      </c>
      <c r="L338" s="4">
        <v>12.605</v>
      </c>
      <c r="M338" s="7">
        <v>-2.0000000000000001E-4</v>
      </c>
    </row>
    <row r="339" spans="1:13" x14ac:dyDescent="0.2">
      <c r="A339" s="6">
        <v>44418</v>
      </c>
      <c r="B339" s="2" t="s">
        <v>226</v>
      </c>
      <c r="C339" s="5">
        <v>44409</v>
      </c>
      <c r="D339" s="2" t="s">
        <v>181</v>
      </c>
      <c r="E339" s="3">
        <v>3656</v>
      </c>
      <c r="F339" s="8">
        <v>0.36909999999999998</v>
      </c>
      <c r="G339" s="4">
        <v>57.183900000000001</v>
      </c>
      <c r="H339" s="4">
        <v>50.277000000000001</v>
      </c>
      <c r="I339" s="4">
        <v>12.605</v>
      </c>
      <c r="J339" s="4">
        <v>13.067500000000001</v>
      </c>
      <c r="K339" s="4">
        <v>9.9824999999999999</v>
      </c>
      <c r="L339" s="4">
        <v>12.705</v>
      </c>
      <c r="M339" s="7">
        <v>7.9000000000000008E-3</v>
      </c>
    </row>
    <row r="340" spans="1:13" x14ac:dyDescent="0.2">
      <c r="A340" s="6">
        <v>44419</v>
      </c>
      <c r="B340" s="2" t="s">
        <v>224</v>
      </c>
      <c r="C340" s="5">
        <v>44409</v>
      </c>
      <c r="D340" s="2" t="s">
        <v>181</v>
      </c>
      <c r="E340" s="3">
        <v>3609</v>
      </c>
      <c r="F340" s="8">
        <v>0.37490000000000001</v>
      </c>
      <c r="G340" s="4">
        <v>55.188800000000001</v>
      </c>
      <c r="H340" s="4">
        <v>58.9176</v>
      </c>
      <c r="I340" s="4">
        <v>12.705</v>
      </c>
      <c r="J340" s="4">
        <v>13.327500000000001</v>
      </c>
      <c r="K340" s="4">
        <v>10.4725</v>
      </c>
      <c r="L340" s="4">
        <v>12.7125</v>
      </c>
      <c r="M340" s="7">
        <v>5.9999999999999995E-4</v>
      </c>
    </row>
    <row r="341" spans="1:13" x14ac:dyDescent="0.2">
      <c r="A341" s="6">
        <v>44420</v>
      </c>
      <c r="B341" s="2" t="s">
        <v>227</v>
      </c>
      <c r="C341" s="5">
        <v>44409</v>
      </c>
      <c r="D341" s="2" t="s">
        <v>181</v>
      </c>
      <c r="E341" s="3">
        <v>3597</v>
      </c>
      <c r="F341" s="8">
        <v>0.2757</v>
      </c>
      <c r="G341" s="4">
        <v>50.492800000000003</v>
      </c>
      <c r="H341" s="4">
        <v>43.371600000000001</v>
      </c>
      <c r="I341" s="4">
        <v>12.7125</v>
      </c>
      <c r="J341" s="4">
        <v>12.817500000000001</v>
      </c>
      <c r="K341" s="4">
        <v>11.362500000000001</v>
      </c>
      <c r="L341" s="4">
        <v>12.3725</v>
      </c>
      <c r="M341" s="7">
        <v>-2.6700000000000002E-2</v>
      </c>
    </row>
    <row r="342" spans="1:13" x14ac:dyDescent="0.2">
      <c r="A342" s="6">
        <v>44421</v>
      </c>
      <c r="B342" s="2" t="s">
        <v>225</v>
      </c>
      <c r="C342" s="5">
        <v>44409</v>
      </c>
      <c r="D342" s="2" t="s">
        <v>181</v>
      </c>
      <c r="E342" s="3">
        <v>3641</v>
      </c>
      <c r="F342" s="8">
        <v>0.2944</v>
      </c>
      <c r="G342" s="4">
        <v>52.638199999999998</v>
      </c>
      <c r="H342" s="4">
        <v>55.608199999999997</v>
      </c>
      <c r="I342" s="4">
        <v>12.3725</v>
      </c>
      <c r="J342" s="4">
        <v>13.1625</v>
      </c>
      <c r="K342" s="4">
        <v>11.395</v>
      </c>
      <c r="L342" s="4">
        <v>12.99</v>
      </c>
      <c r="M342" s="7">
        <v>4.99E-2</v>
      </c>
    </row>
    <row r="343" spans="1:13" x14ac:dyDescent="0.2">
      <c r="A343" s="6">
        <v>44424</v>
      </c>
      <c r="B343" s="2" t="s">
        <v>228</v>
      </c>
      <c r="C343" s="5">
        <v>44409</v>
      </c>
      <c r="D343" s="2" t="s">
        <v>181</v>
      </c>
      <c r="E343" s="3">
        <v>3711</v>
      </c>
      <c r="F343" s="8">
        <v>0.2802</v>
      </c>
      <c r="G343" s="4">
        <v>42.056600000000003</v>
      </c>
      <c r="H343" s="4">
        <v>38.443100000000001</v>
      </c>
      <c r="I343" s="4">
        <v>12.99</v>
      </c>
      <c r="J343" s="4">
        <v>13.657500000000001</v>
      </c>
      <c r="K343" s="4">
        <v>11.375</v>
      </c>
      <c r="L343" s="4">
        <v>13.4575</v>
      </c>
      <c r="M343" s="7">
        <v>3.5999999999999997E-2</v>
      </c>
    </row>
    <row r="344" spans="1:13" x14ac:dyDescent="0.2">
      <c r="A344" s="6">
        <v>44425</v>
      </c>
      <c r="B344" s="2" t="s">
        <v>226</v>
      </c>
      <c r="C344" s="5">
        <v>44409</v>
      </c>
      <c r="D344" s="2" t="s">
        <v>181</v>
      </c>
      <c r="E344" s="3">
        <v>3567</v>
      </c>
      <c r="F344" s="8">
        <v>0.28210000000000002</v>
      </c>
      <c r="G344" s="4">
        <v>41.941800000000001</v>
      </c>
      <c r="H344" s="4">
        <v>44.181399999999996</v>
      </c>
      <c r="I344" s="4">
        <v>13.4575</v>
      </c>
      <c r="J344" s="4">
        <v>13.61</v>
      </c>
      <c r="K344" s="4">
        <v>12.0275</v>
      </c>
      <c r="L344" s="4">
        <v>13.4125</v>
      </c>
      <c r="M344" s="7">
        <v>-3.3E-3</v>
      </c>
    </row>
    <row r="345" spans="1:13" x14ac:dyDescent="0.2">
      <c r="A345" s="6">
        <v>44426</v>
      </c>
      <c r="B345" s="2" t="s">
        <v>224</v>
      </c>
      <c r="C345" s="5">
        <v>44409</v>
      </c>
      <c r="D345" s="2" t="s">
        <v>181</v>
      </c>
      <c r="E345" s="3">
        <v>3577</v>
      </c>
      <c r="F345" s="8">
        <v>0.25800000000000001</v>
      </c>
      <c r="G345" s="4">
        <v>51.095100000000002</v>
      </c>
      <c r="H345" s="4">
        <v>61.606099999999998</v>
      </c>
      <c r="I345" s="4">
        <v>13.4125</v>
      </c>
      <c r="J345" s="4">
        <v>13.4125</v>
      </c>
      <c r="K345" s="4">
        <v>11.12</v>
      </c>
      <c r="L345" s="4">
        <v>12.904999999999999</v>
      </c>
      <c r="M345" s="7">
        <v>-3.78E-2</v>
      </c>
    </row>
    <row r="346" spans="1:13" x14ac:dyDescent="0.2">
      <c r="A346" s="6">
        <v>44428</v>
      </c>
      <c r="B346" s="2" t="s">
        <v>225</v>
      </c>
      <c r="C346" s="5">
        <v>44409</v>
      </c>
      <c r="D346" s="2" t="s">
        <v>181</v>
      </c>
      <c r="E346" s="3">
        <v>3609</v>
      </c>
      <c r="F346" s="8">
        <v>0.29670000000000002</v>
      </c>
      <c r="G346" s="4">
        <v>40.9176</v>
      </c>
      <c r="H346" s="4">
        <v>52.011899999999997</v>
      </c>
      <c r="I346" s="4">
        <v>12.904999999999999</v>
      </c>
      <c r="J346" s="4">
        <v>14.14</v>
      </c>
      <c r="K346" s="4">
        <v>12.3475</v>
      </c>
      <c r="L346" s="4">
        <v>14.015000000000001</v>
      </c>
      <c r="M346" s="7">
        <v>8.5999999999999993E-2</v>
      </c>
    </row>
    <row r="347" spans="1:13" x14ac:dyDescent="0.2">
      <c r="A347" s="6">
        <v>44431</v>
      </c>
      <c r="B347" s="2" t="s">
        <v>228</v>
      </c>
      <c r="C347" s="5">
        <v>44409</v>
      </c>
      <c r="D347" s="2" t="s">
        <v>181</v>
      </c>
      <c r="E347" s="3">
        <v>3673</v>
      </c>
      <c r="F347" s="8">
        <v>0.3322</v>
      </c>
      <c r="G347" s="4">
        <v>53.578600000000002</v>
      </c>
      <c r="H347" s="4">
        <v>57.461399999999998</v>
      </c>
      <c r="I347" s="4">
        <v>14.015000000000001</v>
      </c>
      <c r="J347" s="4">
        <v>14.44</v>
      </c>
      <c r="K347" s="4">
        <v>12.725</v>
      </c>
      <c r="L347" s="4">
        <v>13.685</v>
      </c>
      <c r="M347" s="7">
        <v>-2.35E-2</v>
      </c>
    </row>
    <row r="348" spans="1:13" x14ac:dyDescent="0.2">
      <c r="A348" s="6">
        <v>44432</v>
      </c>
      <c r="B348" s="2" t="s">
        <v>226</v>
      </c>
      <c r="C348" s="5">
        <v>44409</v>
      </c>
      <c r="D348" s="2" t="s">
        <v>181</v>
      </c>
      <c r="E348" s="3">
        <v>3599</v>
      </c>
      <c r="F348" s="8">
        <v>0.26550000000000001</v>
      </c>
      <c r="G348" s="4">
        <v>43.809899999999999</v>
      </c>
      <c r="H348" s="4">
        <v>42.566600000000001</v>
      </c>
      <c r="I348" s="4">
        <v>13.685</v>
      </c>
      <c r="J348" s="4">
        <v>14.5075</v>
      </c>
      <c r="K348" s="4">
        <v>13.0975</v>
      </c>
      <c r="L348" s="4">
        <v>13.1875</v>
      </c>
      <c r="M348" s="7">
        <v>-3.6400000000000002E-2</v>
      </c>
    </row>
    <row r="349" spans="1:13" x14ac:dyDescent="0.2">
      <c r="A349" s="6">
        <v>44433</v>
      </c>
      <c r="B349" s="2" t="s">
        <v>224</v>
      </c>
      <c r="C349" s="5">
        <v>44409</v>
      </c>
      <c r="D349" s="2" t="s">
        <v>181</v>
      </c>
      <c r="E349" s="3">
        <v>3575</v>
      </c>
      <c r="F349" s="8">
        <v>0.2394</v>
      </c>
      <c r="G349" s="4">
        <v>43.568800000000003</v>
      </c>
      <c r="H349" s="4">
        <v>48.664000000000001</v>
      </c>
      <c r="I349" s="4">
        <v>13.1875</v>
      </c>
      <c r="J349" s="4">
        <v>13.9725</v>
      </c>
      <c r="K349" s="4">
        <v>12.265000000000001</v>
      </c>
      <c r="L349" s="4">
        <v>13.4975</v>
      </c>
      <c r="M349" s="7">
        <v>2.35E-2</v>
      </c>
    </row>
    <row r="350" spans="1:13" x14ac:dyDescent="0.2">
      <c r="A350" s="6">
        <v>44434</v>
      </c>
      <c r="B350" s="2" t="s">
        <v>227</v>
      </c>
      <c r="C350" s="5">
        <v>44409</v>
      </c>
      <c r="D350" s="2" t="s">
        <v>181</v>
      </c>
      <c r="E350" s="3">
        <v>3591</v>
      </c>
      <c r="F350" s="8">
        <v>0.24429999999999999</v>
      </c>
      <c r="G350" s="4">
        <v>46.798999999999999</v>
      </c>
      <c r="H350" s="4">
        <v>40.458399999999997</v>
      </c>
      <c r="I350" s="4">
        <v>13.4975</v>
      </c>
      <c r="J350" s="4">
        <v>14.195</v>
      </c>
      <c r="K350" s="4">
        <v>12.112500000000001</v>
      </c>
      <c r="L350" s="4">
        <v>13.5375</v>
      </c>
      <c r="M350" s="7">
        <v>3.0000000000000001E-3</v>
      </c>
    </row>
    <row r="351" spans="1:13" x14ac:dyDescent="0.2">
      <c r="A351" s="6">
        <v>44435</v>
      </c>
      <c r="B351" s="2" t="s">
        <v>225</v>
      </c>
      <c r="C351" s="5">
        <v>44409</v>
      </c>
      <c r="D351" s="2" t="s">
        <v>181</v>
      </c>
      <c r="E351" s="3">
        <v>3604</v>
      </c>
      <c r="F351" s="8">
        <v>0.23849999999999999</v>
      </c>
      <c r="G351" s="4">
        <v>38.723999999999997</v>
      </c>
      <c r="H351" s="4">
        <v>46.2196</v>
      </c>
      <c r="I351" s="4">
        <v>13.5375</v>
      </c>
      <c r="J351" s="4">
        <v>13.76</v>
      </c>
      <c r="K351" s="4">
        <v>12.94</v>
      </c>
      <c r="L351" s="4">
        <v>13.404999999999999</v>
      </c>
      <c r="M351" s="7">
        <v>-9.7999999999999997E-3</v>
      </c>
    </row>
    <row r="352" spans="1:13" x14ac:dyDescent="0.2">
      <c r="A352" s="6">
        <v>44438</v>
      </c>
      <c r="B352" s="2" t="s">
        <v>228</v>
      </c>
      <c r="C352" s="5">
        <v>44409</v>
      </c>
      <c r="D352" s="2" t="s">
        <v>181</v>
      </c>
      <c r="E352" s="3">
        <v>3772</v>
      </c>
      <c r="F352" s="8">
        <v>0.26579999999999998</v>
      </c>
      <c r="G352" s="4">
        <v>43.520899999999997</v>
      </c>
      <c r="H352" s="4">
        <v>44.597200000000001</v>
      </c>
      <c r="I352" s="4">
        <v>13.404999999999999</v>
      </c>
      <c r="J352" s="4">
        <v>13.685</v>
      </c>
      <c r="K352" s="4">
        <v>12.4025</v>
      </c>
      <c r="L352" s="4">
        <v>13.317500000000001</v>
      </c>
      <c r="M352" s="7">
        <v>-6.4999999999999997E-3</v>
      </c>
    </row>
    <row r="353" spans="1:13" x14ac:dyDescent="0.2">
      <c r="A353" s="6">
        <v>44439</v>
      </c>
      <c r="B353" s="2" t="s">
        <v>226</v>
      </c>
      <c r="C353" s="5">
        <v>44409</v>
      </c>
      <c r="D353" s="2" t="s">
        <v>181</v>
      </c>
      <c r="E353" s="3">
        <v>3601</v>
      </c>
      <c r="F353" s="8">
        <v>0.26300000000000001</v>
      </c>
      <c r="G353" s="4">
        <v>42.747500000000002</v>
      </c>
      <c r="H353" s="4">
        <v>62.212400000000002</v>
      </c>
      <c r="I353" s="4">
        <v>13.317500000000001</v>
      </c>
      <c r="J353" s="4">
        <v>14.765000000000001</v>
      </c>
      <c r="K353" s="4">
        <v>12.635</v>
      </c>
      <c r="L353" s="4">
        <v>14.52</v>
      </c>
      <c r="M353" s="7">
        <v>9.0300000000000005E-2</v>
      </c>
    </row>
    <row r="354" spans="1:13" x14ac:dyDescent="0.2">
      <c r="A354" s="6">
        <v>44440</v>
      </c>
      <c r="B354" s="2" t="s">
        <v>224</v>
      </c>
      <c r="C354" s="5">
        <v>44440</v>
      </c>
      <c r="D354" s="2" t="s">
        <v>181</v>
      </c>
      <c r="E354" s="3">
        <v>3592</v>
      </c>
      <c r="F354" s="8">
        <v>0.248</v>
      </c>
      <c r="G354" s="4">
        <v>44.986600000000003</v>
      </c>
      <c r="H354" s="4">
        <v>43.403599999999997</v>
      </c>
      <c r="I354" s="4">
        <v>14.52</v>
      </c>
      <c r="J354" s="4">
        <v>15.63</v>
      </c>
      <c r="K354" s="4">
        <v>13.9</v>
      </c>
      <c r="L354" s="4">
        <v>14.185</v>
      </c>
      <c r="M354" s="7">
        <v>-2.3099999999999999E-2</v>
      </c>
    </row>
    <row r="355" spans="1:13" x14ac:dyDescent="0.2">
      <c r="A355" s="6">
        <v>44441</v>
      </c>
      <c r="B355" s="2" t="s">
        <v>227</v>
      </c>
      <c r="C355" s="5">
        <v>44440</v>
      </c>
      <c r="D355" s="2" t="s">
        <v>181</v>
      </c>
      <c r="E355" s="3">
        <v>3595</v>
      </c>
      <c r="F355" s="8">
        <v>0.25019999999999998</v>
      </c>
      <c r="G355" s="4">
        <v>56.876600000000003</v>
      </c>
      <c r="H355" s="4">
        <v>51.283299999999997</v>
      </c>
      <c r="I355" s="4">
        <v>14.185</v>
      </c>
      <c r="J355" s="4">
        <v>14.385</v>
      </c>
      <c r="K355" s="4">
        <v>13.61</v>
      </c>
      <c r="L355" s="4">
        <v>14.24</v>
      </c>
      <c r="M355" s="7">
        <v>3.8999999999999998E-3</v>
      </c>
    </row>
    <row r="356" spans="1:13" x14ac:dyDescent="0.2">
      <c r="A356" s="6">
        <v>44442</v>
      </c>
      <c r="B356" s="2" t="s">
        <v>225</v>
      </c>
      <c r="C356" s="5">
        <v>44440</v>
      </c>
      <c r="D356" s="2" t="s">
        <v>181</v>
      </c>
      <c r="E356" s="3">
        <v>3591</v>
      </c>
      <c r="F356" s="8">
        <v>0.28949999999999998</v>
      </c>
      <c r="G356" s="4">
        <v>54.218899999999998</v>
      </c>
      <c r="H356" s="4">
        <v>48.029499999999999</v>
      </c>
      <c r="I356" s="4">
        <v>14.24</v>
      </c>
      <c r="J356" s="4">
        <v>14.645</v>
      </c>
      <c r="K356" s="4">
        <v>13.58</v>
      </c>
      <c r="L356" s="4">
        <v>14.5425</v>
      </c>
      <c r="M356" s="7">
        <v>2.12E-2</v>
      </c>
    </row>
    <row r="357" spans="1:13" x14ac:dyDescent="0.2">
      <c r="A357" s="6">
        <v>44445</v>
      </c>
      <c r="B357" s="2" t="s">
        <v>228</v>
      </c>
      <c r="C357" s="5">
        <v>44440</v>
      </c>
      <c r="D357" s="2" t="s">
        <v>181</v>
      </c>
      <c r="E357" s="3">
        <v>3780</v>
      </c>
      <c r="F357" s="8">
        <v>0.26279999999999998</v>
      </c>
      <c r="G357" s="4">
        <v>41.873199999999997</v>
      </c>
      <c r="H357" s="4">
        <v>39.651600000000002</v>
      </c>
      <c r="I357" s="4">
        <v>14.5425</v>
      </c>
      <c r="J357" s="4">
        <v>15.28</v>
      </c>
      <c r="K357" s="4">
        <v>14.055</v>
      </c>
      <c r="L357" s="4">
        <v>15.105</v>
      </c>
      <c r="M357" s="7">
        <v>3.8699999999999998E-2</v>
      </c>
    </row>
    <row r="358" spans="1:13" x14ac:dyDescent="0.2">
      <c r="A358" s="6">
        <v>44446</v>
      </c>
      <c r="B358" s="2" t="s">
        <v>226</v>
      </c>
      <c r="C358" s="5">
        <v>44440</v>
      </c>
      <c r="D358" s="2" t="s">
        <v>181</v>
      </c>
      <c r="E358" s="3">
        <v>3611</v>
      </c>
      <c r="F358" s="8">
        <v>0.26700000000000002</v>
      </c>
      <c r="G358" s="4">
        <v>50.150799999999997</v>
      </c>
      <c r="H358" s="4">
        <v>49.576000000000001</v>
      </c>
      <c r="I358" s="4">
        <v>15.105</v>
      </c>
      <c r="J358" s="4">
        <v>15.23</v>
      </c>
      <c r="K358" s="4">
        <v>14.585000000000001</v>
      </c>
      <c r="L358" s="4">
        <v>14.895</v>
      </c>
      <c r="M358" s="7">
        <v>-1.3899999999999999E-2</v>
      </c>
    </row>
    <row r="359" spans="1:13" x14ac:dyDescent="0.2">
      <c r="A359" s="6">
        <v>44447</v>
      </c>
      <c r="B359" s="2" t="s">
        <v>224</v>
      </c>
      <c r="C359" s="5">
        <v>44440</v>
      </c>
      <c r="D359" s="2" t="s">
        <v>181</v>
      </c>
      <c r="E359" s="3">
        <v>3643</v>
      </c>
      <c r="F359" s="8">
        <v>0.25480000000000003</v>
      </c>
      <c r="G359" s="4">
        <v>67.433199999999999</v>
      </c>
      <c r="H359" s="4">
        <v>38.143999999999998</v>
      </c>
      <c r="I359" s="4">
        <v>14.895</v>
      </c>
      <c r="J359" s="4">
        <v>15.0625</v>
      </c>
      <c r="K359" s="4">
        <v>12.484999999999999</v>
      </c>
      <c r="L359" s="4">
        <v>14.41</v>
      </c>
      <c r="M359" s="7">
        <v>-3.2599999999999997E-2</v>
      </c>
    </row>
    <row r="360" spans="1:13" x14ac:dyDescent="0.2">
      <c r="A360" s="6">
        <v>44448</v>
      </c>
      <c r="B360" s="2" t="s">
        <v>227</v>
      </c>
      <c r="C360" s="5">
        <v>44440</v>
      </c>
      <c r="D360" s="2" t="s">
        <v>181</v>
      </c>
      <c r="E360" s="3">
        <v>3641</v>
      </c>
      <c r="F360" s="8">
        <v>0.2495</v>
      </c>
      <c r="G360" s="4">
        <v>58.969799999999999</v>
      </c>
      <c r="H360" s="4">
        <v>81.075800000000001</v>
      </c>
      <c r="I360" s="4">
        <v>14.41</v>
      </c>
      <c r="J360" s="4">
        <v>14.41</v>
      </c>
      <c r="K360" s="4">
        <v>13.637499999999999</v>
      </c>
      <c r="L360" s="4">
        <v>13.942500000000001</v>
      </c>
      <c r="M360" s="7">
        <v>-3.2399999999999998E-2</v>
      </c>
    </row>
    <row r="361" spans="1:13" x14ac:dyDescent="0.2">
      <c r="A361" s="6">
        <v>44452</v>
      </c>
      <c r="B361" s="2" t="s">
        <v>228</v>
      </c>
      <c r="C361" s="5">
        <v>44440</v>
      </c>
      <c r="D361" s="2" t="s">
        <v>181</v>
      </c>
      <c r="E361" s="3">
        <v>3724</v>
      </c>
      <c r="F361" s="8">
        <v>0.26600000000000001</v>
      </c>
      <c r="G361" s="4">
        <v>47.982799999999997</v>
      </c>
      <c r="H361" s="4">
        <v>38.986899999999999</v>
      </c>
      <c r="I361" s="4">
        <v>13.942500000000001</v>
      </c>
      <c r="J361" s="4">
        <v>14.7775</v>
      </c>
      <c r="K361" s="4">
        <v>11.9175</v>
      </c>
      <c r="L361" s="4">
        <v>14.025</v>
      </c>
      <c r="M361" s="7">
        <v>5.8999999999999999E-3</v>
      </c>
    </row>
    <row r="362" spans="1:13" x14ac:dyDescent="0.2">
      <c r="A362" s="6">
        <v>44453</v>
      </c>
      <c r="B362" s="2" t="s">
        <v>226</v>
      </c>
      <c r="C362" s="5">
        <v>44440</v>
      </c>
      <c r="D362" s="2" t="s">
        <v>181</v>
      </c>
      <c r="E362" s="3">
        <v>3686</v>
      </c>
      <c r="F362" s="8">
        <v>0.30359999999999998</v>
      </c>
      <c r="G362" s="4">
        <v>75.580399999999997</v>
      </c>
      <c r="H362" s="4">
        <v>60.735900000000001</v>
      </c>
      <c r="I362" s="4">
        <v>14.025</v>
      </c>
      <c r="J362" s="4">
        <v>14.025</v>
      </c>
      <c r="K362" s="4">
        <v>10.8725</v>
      </c>
      <c r="L362" s="4">
        <v>13.574999999999999</v>
      </c>
      <c r="M362" s="7">
        <v>-3.2099999999999997E-2</v>
      </c>
    </row>
    <row r="363" spans="1:13" x14ac:dyDescent="0.2">
      <c r="A363" s="6">
        <v>44454</v>
      </c>
      <c r="B363" s="2" t="s">
        <v>224</v>
      </c>
      <c r="C363" s="5">
        <v>44440</v>
      </c>
      <c r="D363" s="2" t="s">
        <v>181</v>
      </c>
      <c r="E363" s="3">
        <v>3728</v>
      </c>
      <c r="F363" s="8">
        <v>0.31769999999999998</v>
      </c>
      <c r="G363" s="4">
        <v>75.017700000000005</v>
      </c>
      <c r="H363" s="4">
        <v>74.460899999999995</v>
      </c>
      <c r="I363" s="4">
        <v>13.574999999999999</v>
      </c>
      <c r="J363" s="4">
        <v>13.875</v>
      </c>
      <c r="K363" s="4">
        <v>12.37</v>
      </c>
      <c r="L363" s="4">
        <v>13.73</v>
      </c>
      <c r="M363" s="7">
        <v>1.14E-2</v>
      </c>
    </row>
    <row r="364" spans="1:13" x14ac:dyDescent="0.2">
      <c r="A364" s="6">
        <v>44455</v>
      </c>
      <c r="B364" s="2" t="s">
        <v>227</v>
      </c>
      <c r="C364" s="5">
        <v>44440</v>
      </c>
      <c r="D364" s="2" t="s">
        <v>181</v>
      </c>
      <c r="E364" s="3">
        <v>3701</v>
      </c>
      <c r="F364" s="8">
        <v>0.34</v>
      </c>
      <c r="G364" s="4">
        <v>110.35720000000001</v>
      </c>
      <c r="H364" s="4">
        <v>76.046199999999999</v>
      </c>
      <c r="I364" s="4">
        <v>13.73</v>
      </c>
      <c r="J364" s="4">
        <v>14.525</v>
      </c>
      <c r="K364" s="4">
        <v>9.0250000000000004</v>
      </c>
      <c r="L364" s="4">
        <v>14.4125</v>
      </c>
      <c r="M364" s="7">
        <v>4.9700000000000001E-2</v>
      </c>
    </row>
    <row r="365" spans="1:13" x14ac:dyDescent="0.2">
      <c r="A365" s="6">
        <v>44456</v>
      </c>
      <c r="B365" s="2" t="s">
        <v>225</v>
      </c>
      <c r="C365" s="5">
        <v>44440</v>
      </c>
      <c r="D365" s="2" t="s">
        <v>181</v>
      </c>
      <c r="E365" s="3">
        <v>3688</v>
      </c>
      <c r="F365" s="8">
        <v>0.3654</v>
      </c>
      <c r="G365" s="4">
        <v>93.392600000000002</v>
      </c>
      <c r="H365" s="4">
        <v>61.164000000000001</v>
      </c>
      <c r="I365" s="4">
        <v>14.4125</v>
      </c>
      <c r="J365" s="4">
        <v>15.65</v>
      </c>
      <c r="K365" s="4">
        <v>12.137499999999999</v>
      </c>
      <c r="L365" s="4">
        <v>15.2325</v>
      </c>
      <c r="M365" s="7">
        <v>5.6899999999999999E-2</v>
      </c>
    </row>
    <row r="366" spans="1:13" x14ac:dyDescent="0.2">
      <c r="A366" s="6">
        <v>44459</v>
      </c>
      <c r="B366" s="2" t="s">
        <v>228</v>
      </c>
      <c r="C366" s="5">
        <v>44440</v>
      </c>
      <c r="D366" s="2" t="s">
        <v>181</v>
      </c>
      <c r="E366" s="3">
        <v>3803</v>
      </c>
      <c r="F366" s="8">
        <v>0.30990000000000001</v>
      </c>
      <c r="G366" s="4">
        <v>66.029499999999999</v>
      </c>
      <c r="H366" s="4">
        <v>64.953400000000002</v>
      </c>
      <c r="I366" s="4">
        <v>15.2325</v>
      </c>
      <c r="J366" s="4">
        <v>17.807500000000001</v>
      </c>
      <c r="K366" s="4">
        <v>10.227499999999999</v>
      </c>
      <c r="L366" s="4">
        <v>17.4925</v>
      </c>
      <c r="M366" s="7">
        <v>0.1484</v>
      </c>
    </row>
    <row r="367" spans="1:13" x14ac:dyDescent="0.2">
      <c r="A367" s="6">
        <v>44460</v>
      </c>
      <c r="B367" s="2" t="s">
        <v>226</v>
      </c>
      <c r="C367" s="5">
        <v>44440</v>
      </c>
      <c r="D367" s="2" t="s">
        <v>181</v>
      </c>
      <c r="E367" s="3">
        <v>3667</v>
      </c>
      <c r="F367" s="8">
        <v>0.2742</v>
      </c>
      <c r="G367" s="4">
        <v>53.906300000000002</v>
      </c>
      <c r="H367" s="4">
        <v>50.121600000000001</v>
      </c>
      <c r="I367" s="4">
        <v>17.4925</v>
      </c>
      <c r="J367" s="4">
        <v>17.997499999999999</v>
      </c>
      <c r="K367" s="4">
        <v>13.0025</v>
      </c>
      <c r="L367" s="4">
        <v>16.52</v>
      </c>
      <c r="M367" s="7">
        <v>-5.5599999999999997E-2</v>
      </c>
    </row>
    <row r="368" spans="1:13" x14ac:dyDescent="0.2">
      <c r="A368" s="6">
        <v>44461</v>
      </c>
      <c r="B368" s="2" t="s">
        <v>224</v>
      </c>
      <c r="C368" s="5">
        <v>44440</v>
      </c>
      <c r="D368" s="2" t="s">
        <v>181</v>
      </c>
      <c r="E368" s="3">
        <v>3682</v>
      </c>
      <c r="F368" s="8">
        <v>0.248</v>
      </c>
      <c r="G368" s="4">
        <v>55.986899999999999</v>
      </c>
      <c r="H368" s="4">
        <v>62.338700000000003</v>
      </c>
      <c r="I368" s="4">
        <v>16.52</v>
      </c>
      <c r="J368" s="4">
        <v>16.86</v>
      </c>
      <c r="K368" s="4">
        <v>13.2775</v>
      </c>
      <c r="L368" s="4">
        <v>16.4925</v>
      </c>
      <c r="M368" s="7">
        <v>-1.6999999999999999E-3</v>
      </c>
    </row>
    <row r="369" spans="1:13" x14ac:dyDescent="0.2">
      <c r="A369" s="6">
        <v>44462</v>
      </c>
      <c r="B369" s="2" t="s">
        <v>227</v>
      </c>
      <c r="C369" s="5">
        <v>44440</v>
      </c>
      <c r="D369" s="2" t="s">
        <v>181</v>
      </c>
      <c r="E369" s="3">
        <v>3703</v>
      </c>
      <c r="F369" s="8">
        <v>0.26629999999999998</v>
      </c>
      <c r="G369" s="4">
        <v>52.786200000000001</v>
      </c>
      <c r="H369" s="4">
        <v>118.226</v>
      </c>
      <c r="I369" s="4">
        <v>16.4925</v>
      </c>
      <c r="J369" s="4">
        <v>16.9375</v>
      </c>
      <c r="K369" s="4">
        <v>10.3125</v>
      </c>
      <c r="L369" s="4">
        <v>16.602499999999999</v>
      </c>
      <c r="M369" s="7">
        <v>6.7000000000000002E-3</v>
      </c>
    </row>
    <row r="370" spans="1:13" x14ac:dyDescent="0.2">
      <c r="A370" s="6">
        <v>44463</v>
      </c>
      <c r="B370" s="2" t="s">
        <v>225</v>
      </c>
      <c r="C370" s="5">
        <v>44440</v>
      </c>
      <c r="D370" s="2" t="s">
        <v>181</v>
      </c>
      <c r="E370" s="3">
        <v>3688</v>
      </c>
      <c r="F370" s="8">
        <v>0.28079999999999999</v>
      </c>
      <c r="G370" s="4">
        <v>74.172200000000004</v>
      </c>
      <c r="H370" s="4">
        <v>65.261700000000005</v>
      </c>
      <c r="I370" s="4">
        <v>16.602499999999999</v>
      </c>
      <c r="J370" s="4">
        <v>17.329999999999998</v>
      </c>
      <c r="K370" s="4">
        <v>12.772500000000001</v>
      </c>
      <c r="L370" s="4">
        <v>16.922499999999999</v>
      </c>
      <c r="M370" s="7">
        <v>1.9300000000000001E-2</v>
      </c>
    </row>
    <row r="371" spans="1:13" x14ac:dyDescent="0.2">
      <c r="A371" s="6">
        <v>44466</v>
      </c>
      <c r="B371" s="2" t="s">
        <v>228</v>
      </c>
      <c r="C371" s="5">
        <v>44440</v>
      </c>
      <c r="D371" s="2" t="s">
        <v>181</v>
      </c>
      <c r="E371" s="3">
        <v>3839</v>
      </c>
      <c r="F371" s="8">
        <v>0.32329999999999998</v>
      </c>
      <c r="G371" s="4">
        <v>49.431100000000001</v>
      </c>
      <c r="H371" s="4">
        <v>52.097299999999997</v>
      </c>
      <c r="I371" s="4">
        <v>16.922499999999999</v>
      </c>
      <c r="J371" s="4">
        <v>18.137499999999999</v>
      </c>
      <c r="K371" s="4">
        <v>13.515000000000001</v>
      </c>
      <c r="L371" s="4">
        <v>18.052499999999998</v>
      </c>
      <c r="M371" s="7">
        <v>6.6799999999999998E-2</v>
      </c>
    </row>
    <row r="372" spans="1:13" x14ac:dyDescent="0.2">
      <c r="A372" s="6">
        <v>44467</v>
      </c>
      <c r="B372" s="2" t="s">
        <v>226</v>
      </c>
      <c r="C372" s="5">
        <v>44440</v>
      </c>
      <c r="D372" s="2" t="s">
        <v>181</v>
      </c>
      <c r="E372" s="3">
        <v>3736</v>
      </c>
      <c r="F372" s="8">
        <v>0.32269999999999999</v>
      </c>
      <c r="G372" s="4">
        <v>50.945900000000002</v>
      </c>
      <c r="H372" s="4">
        <v>66.589799999999997</v>
      </c>
      <c r="I372" s="4">
        <v>18.052499999999998</v>
      </c>
      <c r="J372" s="4">
        <v>18.57</v>
      </c>
      <c r="K372" s="4">
        <v>15.3725</v>
      </c>
      <c r="L372" s="4">
        <v>18.535</v>
      </c>
      <c r="M372" s="7">
        <v>2.6700000000000002E-2</v>
      </c>
    </row>
    <row r="373" spans="1:13" x14ac:dyDescent="0.2">
      <c r="A373" s="6">
        <v>44468</v>
      </c>
      <c r="B373" s="2" t="s">
        <v>224</v>
      </c>
      <c r="C373" s="5">
        <v>44440</v>
      </c>
      <c r="D373" s="2" t="s">
        <v>181</v>
      </c>
      <c r="E373" s="3">
        <v>3706</v>
      </c>
      <c r="F373" s="8">
        <v>0.31430000000000002</v>
      </c>
      <c r="G373" s="4">
        <v>59.580300000000001</v>
      </c>
      <c r="H373" s="4">
        <v>97.174400000000006</v>
      </c>
      <c r="I373" s="4">
        <v>18.535</v>
      </c>
      <c r="J373" s="4">
        <v>19.434999999999999</v>
      </c>
      <c r="K373" s="4">
        <v>16.7575</v>
      </c>
      <c r="L373" s="4">
        <v>18.837499999999999</v>
      </c>
      <c r="M373" s="7">
        <v>1.6299999999999999E-2</v>
      </c>
    </row>
    <row r="374" spans="1:13" x14ac:dyDescent="0.2">
      <c r="A374" s="6">
        <v>44469</v>
      </c>
      <c r="B374" s="2" t="s">
        <v>227</v>
      </c>
      <c r="C374" s="5">
        <v>44440</v>
      </c>
      <c r="D374" s="2" t="s">
        <v>181</v>
      </c>
      <c r="E374" s="3">
        <v>3720</v>
      </c>
      <c r="F374" s="8">
        <v>0.29530000000000001</v>
      </c>
      <c r="G374" s="4">
        <v>72.865600000000001</v>
      </c>
      <c r="H374" s="4">
        <v>50.427300000000002</v>
      </c>
      <c r="I374" s="4">
        <v>18.837499999999999</v>
      </c>
      <c r="J374" s="4">
        <v>19.137499999999999</v>
      </c>
      <c r="K374" s="4">
        <v>17.149999999999999</v>
      </c>
      <c r="L374" s="4">
        <v>18.4025</v>
      </c>
      <c r="M374" s="7">
        <v>-2.3099999999999999E-2</v>
      </c>
    </row>
    <row r="375" spans="1:13" x14ac:dyDescent="0.2">
      <c r="A375" s="6">
        <v>44470</v>
      </c>
      <c r="B375" s="2" t="s">
        <v>225</v>
      </c>
      <c r="C375" s="5">
        <v>44470</v>
      </c>
      <c r="D375" s="2" t="s">
        <v>182</v>
      </c>
      <c r="E375" s="3">
        <v>3695</v>
      </c>
      <c r="F375" s="8">
        <v>0.30120000000000002</v>
      </c>
      <c r="G375" s="4">
        <v>53.635300000000001</v>
      </c>
      <c r="H375" s="4">
        <v>57.386899999999997</v>
      </c>
      <c r="I375" s="4">
        <v>18.4025</v>
      </c>
      <c r="J375" s="4">
        <v>19.074999999999999</v>
      </c>
      <c r="K375" s="4">
        <v>16.997499999999999</v>
      </c>
      <c r="L375" s="4">
        <v>17.21</v>
      </c>
      <c r="M375" s="7">
        <v>-6.4799999999999996E-2</v>
      </c>
    </row>
    <row r="376" spans="1:13" x14ac:dyDescent="0.2">
      <c r="A376" s="6">
        <v>44473</v>
      </c>
      <c r="B376" s="2" t="s">
        <v>228</v>
      </c>
      <c r="C376" s="5">
        <v>44470</v>
      </c>
      <c r="D376" s="2" t="s">
        <v>182</v>
      </c>
      <c r="E376" s="3">
        <v>3866</v>
      </c>
      <c r="F376" s="8">
        <v>0.30170000000000002</v>
      </c>
      <c r="G376" s="4">
        <v>50.479900000000001</v>
      </c>
      <c r="H376" s="4">
        <v>56.414400000000001</v>
      </c>
      <c r="I376" s="4">
        <v>17.21</v>
      </c>
      <c r="J376" s="4">
        <v>17.53</v>
      </c>
      <c r="K376" s="4">
        <v>15.317500000000001</v>
      </c>
      <c r="L376" s="4">
        <v>16.734999999999999</v>
      </c>
      <c r="M376" s="7">
        <v>-2.76E-2</v>
      </c>
    </row>
    <row r="377" spans="1:13" x14ac:dyDescent="0.2">
      <c r="A377" s="6">
        <v>44474</v>
      </c>
      <c r="B377" s="2" t="s">
        <v>226</v>
      </c>
      <c r="C377" s="5">
        <v>44470</v>
      </c>
      <c r="D377" s="2" t="s">
        <v>182</v>
      </c>
      <c r="E377" s="3">
        <v>3772</v>
      </c>
      <c r="F377" s="8">
        <v>0.32640000000000002</v>
      </c>
      <c r="G377" s="4">
        <v>70.039900000000003</v>
      </c>
      <c r="H377" s="4">
        <v>90.109899999999996</v>
      </c>
      <c r="I377" s="4">
        <v>16.734999999999999</v>
      </c>
      <c r="J377" s="4">
        <v>17.1325</v>
      </c>
      <c r="K377" s="4">
        <v>16.295000000000002</v>
      </c>
      <c r="L377" s="4">
        <v>16.397500000000001</v>
      </c>
      <c r="M377" s="7">
        <v>-2.0199999999999999E-2</v>
      </c>
    </row>
    <row r="378" spans="1:13" x14ac:dyDescent="0.2">
      <c r="A378" s="6">
        <v>44475</v>
      </c>
      <c r="B378" s="2" t="s">
        <v>224</v>
      </c>
      <c r="C378" s="5">
        <v>44470</v>
      </c>
      <c r="D378" s="2" t="s">
        <v>182</v>
      </c>
      <c r="E378" s="3">
        <v>3732</v>
      </c>
      <c r="F378" s="8">
        <v>0.3609</v>
      </c>
      <c r="G378" s="4">
        <v>64.306200000000004</v>
      </c>
      <c r="H378" s="4">
        <v>59.868000000000002</v>
      </c>
      <c r="I378" s="4">
        <v>16.397500000000001</v>
      </c>
      <c r="J378" s="4">
        <v>17.59</v>
      </c>
      <c r="K378" s="4">
        <v>16.107500000000002</v>
      </c>
      <c r="L378" s="4">
        <v>17.3325</v>
      </c>
      <c r="M378" s="7">
        <v>5.7000000000000002E-2</v>
      </c>
    </row>
    <row r="379" spans="1:13" x14ac:dyDescent="0.2">
      <c r="A379" s="6">
        <v>44476</v>
      </c>
      <c r="B379" s="2" t="s">
        <v>227</v>
      </c>
      <c r="C379" s="5">
        <v>44470</v>
      </c>
      <c r="D379" s="2" t="s">
        <v>182</v>
      </c>
      <c r="E379" s="3">
        <v>3768</v>
      </c>
      <c r="F379" s="8">
        <v>0.34210000000000002</v>
      </c>
      <c r="G379" s="4">
        <v>57.6858</v>
      </c>
      <c r="H379" s="4">
        <v>56.974200000000003</v>
      </c>
      <c r="I379" s="4">
        <v>17.3325</v>
      </c>
      <c r="J379" s="4">
        <v>17.3325</v>
      </c>
      <c r="K379" s="4">
        <v>14.452500000000001</v>
      </c>
      <c r="L379" s="4">
        <v>16.155000000000001</v>
      </c>
      <c r="M379" s="7">
        <v>-6.7900000000000002E-2</v>
      </c>
    </row>
    <row r="380" spans="1:13" x14ac:dyDescent="0.2">
      <c r="A380" s="6">
        <v>44477</v>
      </c>
      <c r="B380" s="2" t="s">
        <v>225</v>
      </c>
      <c r="C380" s="5">
        <v>44470</v>
      </c>
      <c r="D380" s="2" t="s">
        <v>182</v>
      </c>
      <c r="E380" s="3">
        <v>3762</v>
      </c>
      <c r="F380" s="8">
        <v>0.35859999999999997</v>
      </c>
      <c r="G380" s="4">
        <v>60.095100000000002</v>
      </c>
      <c r="H380" s="4">
        <v>60.303800000000003</v>
      </c>
      <c r="I380" s="4">
        <v>16.155000000000001</v>
      </c>
      <c r="J380" s="4">
        <v>16.4025</v>
      </c>
      <c r="K380" s="4">
        <v>15.532500000000001</v>
      </c>
      <c r="L380" s="4">
        <v>15.6525</v>
      </c>
      <c r="M380" s="7">
        <v>-3.1099999999999999E-2</v>
      </c>
    </row>
    <row r="381" spans="1:13" x14ac:dyDescent="0.2">
      <c r="A381" s="6">
        <v>44480</v>
      </c>
      <c r="B381" s="2" t="s">
        <v>228</v>
      </c>
      <c r="C381" s="5">
        <v>44470</v>
      </c>
      <c r="D381" s="2" t="s">
        <v>182</v>
      </c>
      <c r="E381" s="3">
        <v>3924</v>
      </c>
      <c r="F381" s="8">
        <v>0.37340000000000001</v>
      </c>
      <c r="G381" s="4">
        <v>77.058599999999998</v>
      </c>
      <c r="H381" s="4">
        <v>127.0545</v>
      </c>
      <c r="I381" s="4">
        <v>15.6525</v>
      </c>
      <c r="J381" s="4">
        <v>16.41</v>
      </c>
      <c r="K381" s="4">
        <v>12.23</v>
      </c>
      <c r="L381" s="4">
        <v>16.085000000000001</v>
      </c>
      <c r="M381" s="7">
        <v>2.76E-2</v>
      </c>
    </row>
    <row r="382" spans="1:13" x14ac:dyDescent="0.2">
      <c r="A382" s="6">
        <v>44481</v>
      </c>
      <c r="B382" s="2" t="s">
        <v>226</v>
      </c>
      <c r="C382" s="5">
        <v>44470</v>
      </c>
      <c r="D382" s="2" t="s">
        <v>182</v>
      </c>
      <c r="E382" s="3">
        <v>3790</v>
      </c>
      <c r="F382" s="8">
        <v>0.3322</v>
      </c>
      <c r="G382" s="4">
        <v>69.885800000000003</v>
      </c>
      <c r="H382" s="4">
        <v>54.734099999999998</v>
      </c>
      <c r="I382" s="4">
        <v>16.085000000000001</v>
      </c>
      <c r="J382" s="4">
        <v>16.397500000000001</v>
      </c>
      <c r="K382" s="4">
        <v>13.9375</v>
      </c>
      <c r="L382" s="4">
        <v>15.8475</v>
      </c>
      <c r="M382" s="7">
        <v>-1.4800000000000001E-2</v>
      </c>
    </row>
    <row r="383" spans="1:13" x14ac:dyDescent="0.2">
      <c r="A383" s="6">
        <v>44482</v>
      </c>
      <c r="B383" s="2" t="s">
        <v>224</v>
      </c>
      <c r="C383" s="5">
        <v>44470</v>
      </c>
      <c r="D383" s="2" t="s">
        <v>182</v>
      </c>
      <c r="E383" s="3">
        <v>3778</v>
      </c>
      <c r="F383" s="8">
        <v>0.3997</v>
      </c>
      <c r="G383" s="4">
        <v>67.783600000000007</v>
      </c>
      <c r="H383" s="4">
        <v>62.985399999999998</v>
      </c>
      <c r="I383" s="4">
        <v>15.8475</v>
      </c>
      <c r="J383" s="4">
        <v>16.22</v>
      </c>
      <c r="K383" s="4">
        <v>13.38</v>
      </c>
      <c r="L383" s="4">
        <v>16.100000000000001</v>
      </c>
      <c r="M383" s="7">
        <v>1.5900000000000001E-2</v>
      </c>
    </row>
    <row r="384" spans="1:13" x14ac:dyDescent="0.2">
      <c r="A384" s="6">
        <v>44483</v>
      </c>
      <c r="B384" s="2" t="s">
        <v>227</v>
      </c>
      <c r="C384" s="5">
        <v>44470</v>
      </c>
      <c r="D384" s="2" t="s">
        <v>182</v>
      </c>
      <c r="E384" s="3">
        <v>3803</v>
      </c>
      <c r="F384" s="8">
        <v>0.37909999999999999</v>
      </c>
      <c r="G384" s="4">
        <v>57.481999999999999</v>
      </c>
      <c r="H384" s="4">
        <v>62.955399999999997</v>
      </c>
      <c r="I384" s="4">
        <v>16.100000000000001</v>
      </c>
      <c r="J384" s="4">
        <v>16.285</v>
      </c>
      <c r="K384" s="4">
        <v>12.612500000000001</v>
      </c>
      <c r="L384" s="4">
        <v>15.7675</v>
      </c>
      <c r="M384" s="7">
        <v>-2.07E-2</v>
      </c>
    </row>
    <row r="385" spans="1:13" x14ac:dyDescent="0.2">
      <c r="A385" s="6">
        <v>44487</v>
      </c>
      <c r="B385" s="2" t="s">
        <v>228</v>
      </c>
      <c r="C385" s="5">
        <v>44470</v>
      </c>
      <c r="D385" s="2" t="s">
        <v>182</v>
      </c>
      <c r="E385" s="3">
        <v>3929</v>
      </c>
      <c r="F385" s="8">
        <v>0.4264</v>
      </c>
      <c r="G385" s="4">
        <v>75.349000000000004</v>
      </c>
      <c r="H385" s="4">
        <v>71.790999999999997</v>
      </c>
      <c r="I385" s="4">
        <v>15.7675</v>
      </c>
      <c r="J385" s="4">
        <v>17.315000000000001</v>
      </c>
      <c r="K385" s="4">
        <v>14.154999999999999</v>
      </c>
      <c r="L385" s="4">
        <v>17.184999999999999</v>
      </c>
      <c r="M385" s="7">
        <v>8.9899999999999994E-2</v>
      </c>
    </row>
    <row r="386" spans="1:13" x14ac:dyDescent="0.2">
      <c r="A386" s="6">
        <v>44488</v>
      </c>
      <c r="B386" s="2" t="s">
        <v>226</v>
      </c>
      <c r="C386" s="5">
        <v>44470</v>
      </c>
      <c r="D386" s="2" t="s">
        <v>182</v>
      </c>
      <c r="E386" s="3">
        <v>3797</v>
      </c>
      <c r="F386" s="8">
        <v>0.45219999999999999</v>
      </c>
      <c r="G386" s="4">
        <v>66.112200000000001</v>
      </c>
      <c r="H386" s="4">
        <v>75.150099999999995</v>
      </c>
      <c r="I386" s="4">
        <v>17.184999999999999</v>
      </c>
      <c r="J386" s="4">
        <v>17.5425</v>
      </c>
      <c r="K386" s="4">
        <v>14.234999999999999</v>
      </c>
      <c r="L386" s="4">
        <v>17.3825</v>
      </c>
      <c r="M386" s="7">
        <v>1.15E-2</v>
      </c>
    </row>
    <row r="387" spans="1:13" x14ac:dyDescent="0.2">
      <c r="A387" s="6">
        <v>44489</v>
      </c>
      <c r="B387" s="2" t="s">
        <v>224</v>
      </c>
      <c r="C387" s="5">
        <v>44470</v>
      </c>
      <c r="D387" s="2" t="s">
        <v>182</v>
      </c>
      <c r="E387" s="3">
        <v>3733</v>
      </c>
      <c r="F387" s="8">
        <v>0.45729999999999998</v>
      </c>
      <c r="G387" s="4">
        <v>63.4206</v>
      </c>
      <c r="H387" s="4">
        <v>140.81970000000001</v>
      </c>
      <c r="I387" s="4">
        <v>17.3825</v>
      </c>
      <c r="J387" s="4">
        <v>18.864999999999998</v>
      </c>
      <c r="K387" s="4">
        <v>15.2325</v>
      </c>
      <c r="L387" s="4">
        <v>18.3125</v>
      </c>
      <c r="M387" s="7">
        <v>5.3499999999999999E-2</v>
      </c>
    </row>
    <row r="388" spans="1:13" x14ac:dyDescent="0.2">
      <c r="A388" s="6">
        <v>44490</v>
      </c>
      <c r="B388" s="2" t="s">
        <v>227</v>
      </c>
      <c r="C388" s="5">
        <v>44470</v>
      </c>
      <c r="D388" s="2" t="s">
        <v>182</v>
      </c>
      <c r="E388" s="3">
        <v>3738</v>
      </c>
      <c r="F388" s="8">
        <v>0.37859999999999999</v>
      </c>
      <c r="G388" s="4">
        <v>48.590200000000003</v>
      </c>
      <c r="H388" s="4">
        <v>55.266300000000001</v>
      </c>
      <c r="I388" s="4">
        <v>18.3125</v>
      </c>
      <c r="J388" s="4">
        <v>18.795000000000002</v>
      </c>
      <c r="K388" s="4">
        <v>14.907500000000001</v>
      </c>
      <c r="L388" s="4">
        <v>18.035</v>
      </c>
      <c r="M388" s="7">
        <v>-1.52E-2</v>
      </c>
    </row>
    <row r="389" spans="1:13" x14ac:dyDescent="0.2">
      <c r="A389" s="6">
        <v>44491</v>
      </c>
      <c r="B389" s="2" t="s">
        <v>225</v>
      </c>
      <c r="C389" s="5">
        <v>44470</v>
      </c>
      <c r="D389" s="2" t="s">
        <v>182</v>
      </c>
      <c r="E389" s="3">
        <v>3759</v>
      </c>
      <c r="F389" s="8">
        <v>0.36959999999999998</v>
      </c>
      <c r="G389" s="4">
        <v>51.730699999999999</v>
      </c>
      <c r="H389" s="4">
        <v>54.1432</v>
      </c>
      <c r="I389" s="4">
        <v>18.035</v>
      </c>
      <c r="J389" s="4">
        <v>18.035</v>
      </c>
      <c r="K389" s="4">
        <v>14.355</v>
      </c>
      <c r="L389" s="4">
        <v>17.545000000000002</v>
      </c>
      <c r="M389" s="7">
        <v>-2.7199999999999998E-2</v>
      </c>
    </row>
    <row r="390" spans="1:13" x14ac:dyDescent="0.2">
      <c r="A390" s="6">
        <v>44494</v>
      </c>
      <c r="B390" s="2" t="s">
        <v>228</v>
      </c>
      <c r="C390" s="5">
        <v>44470</v>
      </c>
      <c r="D390" s="2" t="s">
        <v>182</v>
      </c>
      <c r="E390" s="3">
        <v>3845</v>
      </c>
      <c r="F390" s="8">
        <v>0.37990000000000002</v>
      </c>
      <c r="G390" s="4">
        <v>45.5717</v>
      </c>
      <c r="H390" s="4">
        <v>55.860300000000002</v>
      </c>
      <c r="I390" s="4">
        <v>17.545000000000002</v>
      </c>
      <c r="J390" s="4">
        <v>18.7575</v>
      </c>
      <c r="K390" s="4">
        <v>14.5075</v>
      </c>
      <c r="L390" s="4">
        <v>17.61</v>
      </c>
      <c r="M390" s="7">
        <v>3.7000000000000002E-3</v>
      </c>
    </row>
    <row r="391" spans="1:13" x14ac:dyDescent="0.2">
      <c r="A391" s="6">
        <v>44495</v>
      </c>
      <c r="B391" s="2" t="s">
        <v>226</v>
      </c>
      <c r="C391" s="5">
        <v>44470</v>
      </c>
      <c r="D391" s="2" t="s">
        <v>182</v>
      </c>
      <c r="E391" s="3">
        <v>3729</v>
      </c>
      <c r="F391" s="8">
        <v>0.3095</v>
      </c>
      <c r="G391" s="4">
        <v>45.845999999999997</v>
      </c>
      <c r="H391" s="4">
        <v>48.274299999999997</v>
      </c>
      <c r="I391" s="4">
        <v>17.61</v>
      </c>
      <c r="J391" s="4">
        <v>17.725000000000001</v>
      </c>
      <c r="K391" s="4">
        <v>16.645</v>
      </c>
      <c r="L391" s="4">
        <v>16.752500000000001</v>
      </c>
      <c r="M391" s="7">
        <v>-4.87E-2</v>
      </c>
    </row>
    <row r="392" spans="1:13" x14ac:dyDescent="0.2">
      <c r="A392" s="6">
        <v>44496</v>
      </c>
      <c r="B392" s="2" t="s">
        <v>224</v>
      </c>
      <c r="C392" s="5">
        <v>44470</v>
      </c>
      <c r="D392" s="2" t="s">
        <v>182</v>
      </c>
      <c r="E392" s="3">
        <v>3667</v>
      </c>
      <c r="F392" s="8">
        <v>0.28220000000000001</v>
      </c>
      <c r="G392" s="4">
        <v>42.140599999999999</v>
      </c>
      <c r="H392" s="4">
        <v>45.882800000000003</v>
      </c>
      <c r="I392" s="4">
        <v>16.752500000000001</v>
      </c>
      <c r="J392" s="4">
        <v>17.032499999999999</v>
      </c>
      <c r="K392" s="4">
        <v>15.4025</v>
      </c>
      <c r="L392" s="4">
        <v>16.827500000000001</v>
      </c>
      <c r="M392" s="7">
        <v>4.4999999999999997E-3</v>
      </c>
    </row>
    <row r="393" spans="1:13" x14ac:dyDescent="0.2">
      <c r="A393" s="6">
        <v>44497</v>
      </c>
      <c r="B393" s="2" t="s">
        <v>227</v>
      </c>
      <c r="C393" s="5">
        <v>44470</v>
      </c>
      <c r="D393" s="2" t="s">
        <v>182</v>
      </c>
      <c r="E393" s="3">
        <v>3686</v>
      </c>
      <c r="F393" s="8">
        <v>0.32729999999999998</v>
      </c>
      <c r="G393" s="4">
        <v>46.036700000000003</v>
      </c>
      <c r="H393" s="4">
        <v>47.055700000000002</v>
      </c>
      <c r="I393" s="4">
        <v>16.827500000000001</v>
      </c>
      <c r="J393" s="4">
        <v>18.432500000000001</v>
      </c>
      <c r="K393" s="4">
        <v>16.8125</v>
      </c>
      <c r="L393" s="4">
        <v>17.912500000000001</v>
      </c>
      <c r="M393" s="7">
        <v>6.4500000000000002E-2</v>
      </c>
    </row>
    <row r="394" spans="1:13" x14ac:dyDescent="0.2">
      <c r="A394" s="6">
        <v>44498</v>
      </c>
      <c r="B394" s="2" t="s">
        <v>225</v>
      </c>
      <c r="C394" s="5">
        <v>44470</v>
      </c>
      <c r="D394" s="2" t="s">
        <v>182</v>
      </c>
      <c r="E394" s="3">
        <v>3682</v>
      </c>
      <c r="F394" s="8">
        <v>0.38440000000000002</v>
      </c>
      <c r="G394" s="4">
        <v>45.71</v>
      </c>
      <c r="H394" s="4">
        <v>54.255299999999998</v>
      </c>
      <c r="I394" s="4">
        <v>17.912500000000001</v>
      </c>
      <c r="J394" s="4">
        <v>19.64</v>
      </c>
      <c r="K394" s="4">
        <v>16.282499999999999</v>
      </c>
      <c r="L394" s="4">
        <v>17.425000000000001</v>
      </c>
      <c r="M394" s="7">
        <v>-2.7199999999999998E-2</v>
      </c>
    </row>
    <row r="395" spans="1:13" x14ac:dyDescent="0.2">
      <c r="A395" s="6">
        <v>44501</v>
      </c>
      <c r="B395" s="2" t="s">
        <v>228</v>
      </c>
      <c r="C395" s="5">
        <v>44501</v>
      </c>
      <c r="D395" s="2" t="s">
        <v>182</v>
      </c>
      <c r="E395" s="3">
        <v>3785</v>
      </c>
      <c r="F395" s="8">
        <v>0.25669999999999998</v>
      </c>
      <c r="G395" s="4">
        <v>38.737900000000003</v>
      </c>
      <c r="H395" s="4">
        <v>40.951500000000003</v>
      </c>
      <c r="I395" s="4">
        <v>17.425000000000001</v>
      </c>
      <c r="J395" s="4">
        <v>18.094999999999999</v>
      </c>
      <c r="K395" s="4">
        <v>15.3825</v>
      </c>
      <c r="L395" s="4">
        <v>17.234999999999999</v>
      </c>
      <c r="M395" s="7">
        <v>-1.09E-2</v>
      </c>
    </row>
    <row r="396" spans="1:13" x14ac:dyDescent="0.2">
      <c r="A396" s="6">
        <v>44502</v>
      </c>
      <c r="B396" s="2" t="s">
        <v>226</v>
      </c>
      <c r="C396" s="5">
        <v>44501</v>
      </c>
      <c r="D396" s="2" t="s">
        <v>182</v>
      </c>
      <c r="E396" s="3">
        <v>3701</v>
      </c>
      <c r="F396" s="8">
        <v>0.25729999999999997</v>
      </c>
      <c r="G396" s="4">
        <v>35.481999999999999</v>
      </c>
      <c r="H396" s="4">
        <v>38.848700000000001</v>
      </c>
      <c r="I396" s="4">
        <v>17.234999999999999</v>
      </c>
      <c r="J396" s="4">
        <v>17.787500000000001</v>
      </c>
      <c r="K396" s="4">
        <v>16.36</v>
      </c>
      <c r="L396" s="4">
        <v>17.0625</v>
      </c>
      <c r="M396" s="7">
        <v>-0.01</v>
      </c>
    </row>
    <row r="397" spans="1:13" x14ac:dyDescent="0.2">
      <c r="A397" s="6">
        <v>44503</v>
      </c>
      <c r="B397" s="2" t="s">
        <v>224</v>
      </c>
      <c r="C397" s="5">
        <v>44501</v>
      </c>
      <c r="D397" s="2" t="s">
        <v>182</v>
      </c>
      <c r="E397" s="3">
        <v>3693</v>
      </c>
      <c r="F397" s="8">
        <v>0.2737</v>
      </c>
      <c r="G397" s="4">
        <v>35.4786</v>
      </c>
      <c r="H397" s="4">
        <v>39.468299999999999</v>
      </c>
      <c r="I397" s="4">
        <v>17.0625</v>
      </c>
      <c r="J397" s="4">
        <v>17.0625</v>
      </c>
      <c r="K397" s="4">
        <v>15.7</v>
      </c>
      <c r="L397" s="4">
        <v>16.125</v>
      </c>
      <c r="M397" s="7">
        <v>-5.4899999999999997E-2</v>
      </c>
    </row>
    <row r="398" spans="1:13" x14ac:dyDescent="0.2">
      <c r="A398" s="6">
        <v>44504</v>
      </c>
      <c r="B398" s="2" t="s">
        <v>227</v>
      </c>
      <c r="C398" s="5">
        <v>44501</v>
      </c>
      <c r="D398" s="2" t="s">
        <v>182</v>
      </c>
      <c r="E398" s="3">
        <v>3423</v>
      </c>
      <c r="F398" s="8">
        <v>0.12479999999999999</v>
      </c>
      <c r="G398" s="4">
        <v>14.3245</v>
      </c>
      <c r="H398" s="4">
        <v>10.852499999999999</v>
      </c>
      <c r="I398" s="4">
        <v>16.125</v>
      </c>
      <c r="J398" s="4">
        <v>16.412500000000001</v>
      </c>
      <c r="K398" s="4">
        <v>14.305</v>
      </c>
      <c r="L398" s="4">
        <v>15.7475</v>
      </c>
      <c r="M398" s="7">
        <v>-2.3400000000000001E-2</v>
      </c>
    </row>
    <row r="399" spans="1:13" x14ac:dyDescent="0.2">
      <c r="A399" s="6">
        <v>44508</v>
      </c>
      <c r="B399" s="2" t="s">
        <v>228</v>
      </c>
      <c r="C399" s="5">
        <v>44501</v>
      </c>
      <c r="D399" s="2" t="s">
        <v>182</v>
      </c>
      <c r="E399" s="3">
        <v>3864</v>
      </c>
      <c r="F399" s="8">
        <v>0.3115</v>
      </c>
      <c r="G399" s="4">
        <v>48.577300000000001</v>
      </c>
      <c r="H399" s="4">
        <v>50.253500000000003</v>
      </c>
      <c r="I399" s="4">
        <v>15.7475</v>
      </c>
      <c r="J399" s="4">
        <v>16.925000000000001</v>
      </c>
      <c r="K399" s="4">
        <v>13.99</v>
      </c>
      <c r="L399" s="4">
        <v>16.34</v>
      </c>
      <c r="M399" s="7">
        <v>3.7600000000000001E-2</v>
      </c>
    </row>
    <row r="400" spans="1:13" x14ac:dyDescent="0.2">
      <c r="A400" s="6">
        <v>44509</v>
      </c>
      <c r="B400" s="2" t="s">
        <v>226</v>
      </c>
      <c r="C400" s="5">
        <v>44501</v>
      </c>
      <c r="D400" s="2" t="s">
        <v>182</v>
      </c>
      <c r="E400" s="3">
        <v>3777</v>
      </c>
      <c r="F400" s="8">
        <v>0.30359999999999998</v>
      </c>
      <c r="G400" s="4">
        <v>51.3367</v>
      </c>
      <c r="H400" s="4">
        <v>54.957500000000003</v>
      </c>
      <c r="I400" s="4">
        <v>16.34</v>
      </c>
      <c r="J400" s="4">
        <v>16.614999999999998</v>
      </c>
      <c r="K400" s="4">
        <v>14.6425</v>
      </c>
      <c r="L400" s="4">
        <v>16.002500000000001</v>
      </c>
      <c r="M400" s="7">
        <v>-2.07E-2</v>
      </c>
    </row>
    <row r="401" spans="1:13" x14ac:dyDescent="0.2">
      <c r="A401" s="6">
        <v>44510</v>
      </c>
      <c r="B401" s="2" t="s">
        <v>224</v>
      </c>
      <c r="C401" s="5">
        <v>44501</v>
      </c>
      <c r="D401" s="2" t="s">
        <v>182</v>
      </c>
      <c r="E401" s="3">
        <v>3750</v>
      </c>
      <c r="F401" s="8">
        <v>0.3226</v>
      </c>
      <c r="G401" s="4">
        <v>49.874299999999998</v>
      </c>
      <c r="H401" s="4">
        <v>49.2881</v>
      </c>
      <c r="I401" s="4">
        <v>16.002500000000001</v>
      </c>
      <c r="J401" s="4">
        <v>16.684999999999999</v>
      </c>
      <c r="K401" s="4">
        <v>15.14</v>
      </c>
      <c r="L401" s="4">
        <v>16.305</v>
      </c>
      <c r="M401" s="7">
        <v>1.89E-2</v>
      </c>
    </row>
    <row r="402" spans="1:13" x14ac:dyDescent="0.2">
      <c r="A402" s="6">
        <v>44511</v>
      </c>
      <c r="B402" s="2" t="s">
        <v>227</v>
      </c>
      <c r="C402" s="5">
        <v>44501</v>
      </c>
      <c r="D402" s="2" t="s">
        <v>182</v>
      </c>
      <c r="E402" s="3">
        <v>3741</v>
      </c>
      <c r="F402" s="8">
        <v>0.29759999999999998</v>
      </c>
      <c r="G402" s="4">
        <v>43.786099999999998</v>
      </c>
      <c r="H402" s="4">
        <v>41.779200000000003</v>
      </c>
      <c r="I402" s="4">
        <v>16.305</v>
      </c>
      <c r="J402" s="4">
        <v>17.285</v>
      </c>
      <c r="K402" s="4">
        <v>14.645</v>
      </c>
      <c r="L402" s="4">
        <v>16.352499999999999</v>
      </c>
      <c r="M402" s="7">
        <v>2.8999999999999998E-3</v>
      </c>
    </row>
    <row r="403" spans="1:13" x14ac:dyDescent="0.2">
      <c r="A403" s="6">
        <v>44512</v>
      </c>
      <c r="B403" s="2" t="s">
        <v>225</v>
      </c>
      <c r="C403" s="5">
        <v>44501</v>
      </c>
      <c r="D403" s="2" t="s">
        <v>182</v>
      </c>
      <c r="E403" s="3">
        <v>3761</v>
      </c>
      <c r="F403" s="8">
        <v>0.2863</v>
      </c>
      <c r="G403" s="4">
        <v>48.717500000000001</v>
      </c>
      <c r="H403" s="4">
        <v>51.946100000000001</v>
      </c>
      <c r="I403" s="4">
        <v>16.352499999999999</v>
      </c>
      <c r="J403" s="4">
        <v>16.352499999999999</v>
      </c>
      <c r="K403" s="4">
        <v>14.645</v>
      </c>
      <c r="L403" s="4">
        <v>15.217499999999999</v>
      </c>
      <c r="M403" s="7">
        <v>-6.9400000000000003E-2</v>
      </c>
    </row>
    <row r="404" spans="1:13" x14ac:dyDescent="0.2">
      <c r="A404" s="6">
        <v>44515</v>
      </c>
      <c r="B404" s="2" t="s">
        <v>228</v>
      </c>
      <c r="C404" s="5">
        <v>44501</v>
      </c>
      <c r="D404" s="2" t="s">
        <v>182</v>
      </c>
      <c r="E404" s="3">
        <v>3849</v>
      </c>
      <c r="F404" s="8">
        <v>0.31619999999999998</v>
      </c>
      <c r="G404" s="4">
        <v>50.235900000000001</v>
      </c>
      <c r="H404" s="4">
        <v>44.0655</v>
      </c>
      <c r="I404" s="4">
        <v>15.217499999999999</v>
      </c>
      <c r="J404" s="4">
        <v>15.842499999999999</v>
      </c>
      <c r="K404" s="4">
        <v>13.4275</v>
      </c>
      <c r="L404" s="4">
        <v>15.465</v>
      </c>
      <c r="M404" s="7">
        <v>1.6299999999999999E-2</v>
      </c>
    </row>
    <row r="405" spans="1:13" x14ac:dyDescent="0.2">
      <c r="A405" s="6">
        <v>44516</v>
      </c>
      <c r="B405" s="2" t="s">
        <v>226</v>
      </c>
      <c r="C405" s="5">
        <v>44501</v>
      </c>
      <c r="D405" s="2" t="s">
        <v>182</v>
      </c>
      <c r="E405" s="3">
        <v>3753</v>
      </c>
      <c r="F405" s="8">
        <v>0.30719999999999997</v>
      </c>
      <c r="G405" s="4">
        <v>50.807400000000001</v>
      </c>
      <c r="H405" s="4">
        <v>46.764699999999998</v>
      </c>
      <c r="I405" s="4">
        <v>15.465</v>
      </c>
      <c r="J405" s="4">
        <v>15.682499999999999</v>
      </c>
      <c r="K405" s="4">
        <v>13.58</v>
      </c>
      <c r="L405" s="4">
        <v>15.195</v>
      </c>
      <c r="M405" s="7">
        <v>-1.7500000000000002E-2</v>
      </c>
    </row>
    <row r="406" spans="1:13" x14ac:dyDescent="0.2">
      <c r="A406" s="6">
        <v>44517</v>
      </c>
      <c r="B406" s="2" t="s">
        <v>224</v>
      </c>
      <c r="C406" s="5">
        <v>44501</v>
      </c>
      <c r="D406" s="2" t="s">
        <v>182</v>
      </c>
      <c r="E406" s="3">
        <v>3728</v>
      </c>
      <c r="F406" s="8">
        <v>0.29780000000000001</v>
      </c>
      <c r="G406" s="4">
        <v>46.447000000000003</v>
      </c>
      <c r="H406" s="4">
        <v>52.557499999999997</v>
      </c>
      <c r="I406" s="4">
        <v>15.195</v>
      </c>
      <c r="J406" s="4">
        <v>15.4125</v>
      </c>
      <c r="K406" s="4">
        <v>13.914999999999999</v>
      </c>
      <c r="L406" s="4">
        <v>14.98</v>
      </c>
      <c r="M406" s="7">
        <v>-1.41E-2</v>
      </c>
    </row>
    <row r="407" spans="1:13" x14ac:dyDescent="0.2">
      <c r="A407" s="6">
        <v>44518</v>
      </c>
      <c r="B407" s="2" t="s">
        <v>227</v>
      </c>
      <c r="C407" s="5">
        <v>44501</v>
      </c>
      <c r="D407" s="2" t="s">
        <v>182</v>
      </c>
      <c r="E407" s="3">
        <v>3713</v>
      </c>
      <c r="F407" s="8">
        <v>0.37969999999999998</v>
      </c>
      <c r="G407" s="4">
        <v>56.5214</v>
      </c>
      <c r="H407" s="4">
        <v>67.6541</v>
      </c>
      <c r="I407" s="4">
        <v>14.98</v>
      </c>
      <c r="J407" s="4">
        <v>16.147500000000001</v>
      </c>
      <c r="K407" s="4">
        <v>12.08</v>
      </c>
      <c r="L407" s="4">
        <v>14.8575</v>
      </c>
      <c r="M407" s="7">
        <v>-8.2000000000000007E-3</v>
      </c>
    </row>
    <row r="408" spans="1:13" x14ac:dyDescent="0.2">
      <c r="A408" s="6">
        <v>44522</v>
      </c>
      <c r="B408" s="2" t="s">
        <v>228</v>
      </c>
      <c r="C408" s="5">
        <v>44501</v>
      </c>
      <c r="D408" s="2" t="s">
        <v>182</v>
      </c>
      <c r="E408" s="3">
        <v>3874</v>
      </c>
      <c r="F408" s="8">
        <v>0.43519999999999998</v>
      </c>
      <c r="G408" s="4">
        <v>62.625799999999998</v>
      </c>
      <c r="H408" s="4">
        <v>55.6785</v>
      </c>
      <c r="I408" s="4">
        <v>14.8575</v>
      </c>
      <c r="J408" s="4">
        <v>18.0825</v>
      </c>
      <c r="K408" s="4">
        <v>13.5625</v>
      </c>
      <c r="L408" s="4">
        <v>17.52</v>
      </c>
      <c r="M408" s="7">
        <v>0.1792</v>
      </c>
    </row>
    <row r="409" spans="1:13" x14ac:dyDescent="0.2">
      <c r="A409" s="6">
        <v>44523</v>
      </c>
      <c r="B409" s="2" t="s">
        <v>226</v>
      </c>
      <c r="C409" s="5">
        <v>44501</v>
      </c>
      <c r="D409" s="2" t="s">
        <v>182</v>
      </c>
      <c r="E409" s="3">
        <v>3709</v>
      </c>
      <c r="F409" s="8">
        <v>0.34460000000000002</v>
      </c>
      <c r="G409" s="4">
        <v>55.2029</v>
      </c>
      <c r="H409" s="4">
        <v>62.923400000000001</v>
      </c>
      <c r="I409" s="4">
        <v>17.52</v>
      </c>
      <c r="J409" s="4">
        <v>20.024999999999999</v>
      </c>
      <c r="K409" s="4">
        <v>16.7925</v>
      </c>
      <c r="L409" s="4">
        <v>18.015000000000001</v>
      </c>
      <c r="M409" s="7">
        <v>2.8299999999999999E-2</v>
      </c>
    </row>
    <row r="410" spans="1:13" x14ac:dyDescent="0.2">
      <c r="A410" s="6">
        <v>44524</v>
      </c>
      <c r="B410" s="2" t="s">
        <v>224</v>
      </c>
      <c r="C410" s="5">
        <v>44501</v>
      </c>
      <c r="D410" s="2" t="s">
        <v>182</v>
      </c>
      <c r="E410" s="3">
        <v>3718</v>
      </c>
      <c r="F410" s="8">
        <v>0.31369999999999998</v>
      </c>
      <c r="G410" s="4">
        <v>62.801600000000001</v>
      </c>
      <c r="H410" s="4">
        <v>51.2988</v>
      </c>
      <c r="I410" s="4">
        <v>18.015000000000001</v>
      </c>
      <c r="J410" s="4">
        <v>18.015000000000001</v>
      </c>
      <c r="K410" s="4">
        <v>15.577500000000001</v>
      </c>
      <c r="L410" s="4">
        <v>17.094999999999999</v>
      </c>
      <c r="M410" s="7">
        <v>-5.11E-2</v>
      </c>
    </row>
    <row r="411" spans="1:13" x14ac:dyDescent="0.2">
      <c r="A411" s="6">
        <v>44525</v>
      </c>
      <c r="B411" s="2" t="s">
        <v>227</v>
      </c>
      <c r="C411" s="5">
        <v>44501</v>
      </c>
      <c r="D411" s="2" t="s">
        <v>182</v>
      </c>
      <c r="E411" s="3">
        <v>3716</v>
      </c>
      <c r="F411" s="8">
        <v>0.308</v>
      </c>
      <c r="G411" s="4">
        <v>53.635899999999999</v>
      </c>
      <c r="H411" s="4">
        <v>47.2973</v>
      </c>
      <c r="I411" s="4">
        <v>17.094999999999999</v>
      </c>
      <c r="J411" s="4">
        <v>18.072500000000002</v>
      </c>
      <c r="K411" s="4">
        <v>16.002500000000001</v>
      </c>
      <c r="L411" s="4">
        <v>16.662500000000001</v>
      </c>
      <c r="M411" s="7">
        <v>-2.53E-2</v>
      </c>
    </row>
    <row r="412" spans="1:13" x14ac:dyDescent="0.2">
      <c r="A412" s="6">
        <v>44526</v>
      </c>
      <c r="B412" s="2" t="s">
        <v>225</v>
      </c>
      <c r="C412" s="5">
        <v>44501</v>
      </c>
      <c r="D412" s="2" t="s">
        <v>182</v>
      </c>
      <c r="E412" s="3">
        <v>3688</v>
      </c>
      <c r="F412" s="8">
        <v>0.47420000000000001</v>
      </c>
      <c r="G412" s="4">
        <v>81.3142</v>
      </c>
      <c r="H412" s="4">
        <v>63.042000000000002</v>
      </c>
      <c r="I412" s="4">
        <v>16.662500000000001</v>
      </c>
      <c r="J412" s="4">
        <v>21.392499999999998</v>
      </c>
      <c r="K412" s="4">
        <v>16.05</v>
      </c>
      <c r="L412" s="4">
        <v>20.802499999999998</v>
      </c>
      <c r="M412" s="7">
        <v>0.2485</v>
      </c>
    </row>
    <row r="413" spans="1:13" x14ac:dyDescent="0.2">
      <c r="A413" s="6">
        <v>44529</v>
      </c>
      <c r="B413" s="2" t="s">
        <v>228</v>
      </c>
      <c r="C413" s="5">
        <v>44501</v>
      </c>
      <c r="D413" s="2" t="s">
        <v>182</v>
      </c>
      <c r="E413" s="3">
        <v>3868</v>
      </c>
      <c r="F413" s="8">
        <v>0.45390000000000003</v>
      </c>
      <c r="G413" s="4">
        <v>88.326499999999996</v>
      </c>
      <c r="H413" s="4">
        <v>56.045699999999997</v>
      </c>
      <c r="I413" s="4">
        <v>20.802499999999998</v>
      </c>
      <c r="J413" s="4">
        <v>23.82</v>
      </c>
      <c r="K413" s="4">
        <v>18.892499999999998</v>
      </c>
      <c r="L413" s="4">
        <v>20.83</v>
      </c>
      <c r="M413" s="7">
        <v>1.2999999999999999E-3</v>
      </c>
    </row>
    <row r="414" spans="1:13" x14ac:dyDescent="0.2">
      <c r="A414" s="6">
        <v>44530</v>
      </c>
      <c r="B414" s="2" t="s">
        <v>226</v>
      </c>
      <c r="C414" s="5">
        <v>44501</v>
      </c>
      <c r="D414" s="2" t="s">
        <v>182</v>
      </c>
      <c r="E414" s="3">
        <v>3704</v>
      </c>
      <c r="F414" s="8">
        <v>0.33629999999999999</v>
      </c>
      <c r="G414" s="4">
        <v>52.077599999999997</v>
      </c>
      <c r="H414" s="4">
        <v>44.983899999999998</v>
      </c>
      <c r="I414" s="4">
        <v>20.83</v>
      </c>
      <c r="J414" s="4">
        <v>21.965</v>
      </c>
      <c r="K414" s="4">
        <v>18.807500000000001</v>
      </c>
      <c r="L414" s="4">
        <v>21.1675</v>
      </c>
      <c r="M414" s="7">
        <v>1.6199999999999999E-2</v>
      </c>
    </row>
    <row r="415" spans="1:13" x14ac:dyDescent="0.2">
      <c r="A415" s="6">
        <v>44531</v>
      </c>
      <c r="B415" s="2" t="s">
        <v>224</v>
      </c>
      <c r="C415" s="5">
        <v>44531</v>
      </c>
      <c r="D415" s="2" t="s">
        <v>182</v>
      </c>
      <c r="E415" s="3">
        <v>3679</v>
      </c>
      <c r="F415" s="8">
        <v>0.27600000000000002</v>
      </c>
      <c r="G415" s="4">
        <v>62.9377</v>
      </c>
      <c r="H415" s="4">
        <v>53.940899999999999</v>
      </c>
      <c r="I415" s="4">
        <v>21.1675</v>
      </c>
      <c r="J415" s="4">
        <v>21.1675</v>
      </c>
      <c r="K415" s="4">
        <v>18.934999999999999</v>
      </c>
      <c r="L415" s="4">
        <v>19.447500000000002</v>
      </c>
      <c r="M415" s="7">
        <v>-8.1299999999999997E-2</v>
      </c>
    </row>
    <row r="416" spans="1:13" x14ac:dyDescent="0.2">
      <c r="A416" s="6">
        <v>44532</v>
      </c>
      <c r="B416" s="2" t="s">
        <v>227</v>
      </c>
      <c r="C416" s="5">
        <v>44531</v>
      </c>
      <c r="D416" s="2" t="s">
        <v>182</v>
      </c>
      <c r="E416" s="3">
        <v>3693</v>
      </c>
      <c r="F416" s="8">
        <v>0.25669999999999998</v>
      </c>
      <c r="G416" s="4">
        <v>51.603499999999997</v>
      </c>
      <c r="H416" s="4">
        <v>41.106200000000001</v>
      </c>
      <c r="I416" s="4">
        <v>19.447500000000002</v>
      </c>
      <c r="J416" s="4">
        <v>22.965</v>
      </c>
      <c r="K416" s="4">
        <v>18.002500000000001</v>
      </c>
      <c r="L416" s="4">
        <v>18.087499999999999</v>
      </c>
      <c r="M416" s="7">
        <v>-6.9900000000000004E-2</v>
      </c>
    </row>
    <row r="417" spans="1:13" x14ac:dyDescent="0.2">
      <c r="A417" s="6">
        <v>44533</v>
      </c>
      <c r="B417" s="2" t="s">
        <v>225</v>
      </c>
      <c r="C417" s="5">
        <v>44531</v>
      </c>
      <c r="D417" s="2" t="s">
        <v>182</v>
      </c>
      <c r="E417" s="3">
        <v>3675</v>
      </c>
      <c r="F417" s="8">
        <v>0.2853</v>
      </c>
      <c r="G417" s="4">
        <v>73.314499999999995</v>
      </c>
      <c r="H417" s="4">
        <v>42.1036</v>
      </c>
      <c r="I417" s="4">
        <v>18.087499999999999</v>
      </c>
      <c r="J417" s="4">
        <v>18.8325</v>
      </c>
      <c r="K417" s="4">
        <v>17.21</v>
      </c>
      <c r="L417" s="4">
        <v>18.454999999999998</v>
      </c>
      <c r="M417" s="7">
        <v>2.0299999999999999E-2</v>
      </c>
    </row>
    <row r="418" spans="1:13" x14ac:dyDescent="0.2">
      <c r="A418" s="6">
        <v>44536</v>
      </c>
      <c r="B418" s="2" t="s">
        <v>228</v>
      </c>
      <c r="C418" s="5">
        <v>44531</v>
      </c>
      <c r="D418" s="2" t="s">
        <v>182</v>
      </c>
      <c r="E418" s="3">
        <v>3888</v>
      </c>
      <c r="F418" s="8">
        <v>0.30199999999999999</v>
      </c>
      <c r="G418" s="4">
        <v>86.262900000000002</v>
      </c>
      <c r="H418" s="4">
        <v>41.402900000000002</v>
      </c>
      <c r="I418" s="4">
        <v>18.454999999999998</v>
      </c>
      <c r="J418" s="4">
        <v>20.477499999999999</v>
      </c>
      <c r="K418" s="4">
        <v>18.3</v>
      </c>
      <c r="L418" s="4">
        <v>20.077500000000001</v>
      </c>
      <c r="M418" s="7">
        <v>8.7900000000000006E-2</v>
      </c>
    </row>
    <row r="419" spans="1:13" x14ac:dyDescent="0.2">
      <c r="A419" s="6">
        <v>44537</v>
      </c>
      <c r="B419" s="2" t="s">
        <v>226</v>
      </c>
      <c r="C419" s="5">
        <v>44531</v>
      </c>
      <c r="D419" s="2" t="s">
        <v>182</v>
      </c>
      <c r="E419" s="3">
        <v>3685</v>
      </c>
      <c r="F419" s="8">
        <v>0.27800000000000002</v>
      </c>
      <c r="G419" s="4">
        <v>71.466399999999993</v>
      </c>
      <c r="H419" s="4">
        <v>39.898299999999999</v>
      </c>
      <c r="I419" s="4">
        <v>20.077500000000001</v>
      </c>
      <c r="J419" s="4">
        <v>20.077500000000001</v>
      </c>
      <c r="K419" s="4">
        <v>18.2425</v>
      </c>
      <c r="L419" s="4">
        <v>18.46</v>
      </c>
      <c r="M419" s="7">
        <v>-8.0600000000000005E-2</v>
      </c>
    </row>
    <row r="420" spans="1:13" x14ac:dyDescent="0.2">
      <c r="A420" s="6">
        <v>44538</v>
      </c>
      <c r="B420" s="2" t="s">
        <v>224</v>
      </c>
      <c r="C420" s="5">
        <v>44531</v>
      </c>
      <c r="D420" s="2" t="s">
        <v>182</v>
      </c>
      <c r="E420" s="3">
        <v>3690</v>
      </c>
      <c r="F420" s="8">
        <v>0.28589999999999999</v>
      </c>
      <c r="G420" s="4">
        <v>68.9529</v>
      </c>
      <c r="H420" s="4">
        <v>46.1006</v>
      </c>
      <c r="I420" s="4">
        <v>18.46</v>
      </c>
      <c r="J420" s="4">
        <v>18.46</v>
      </c>
      <c r="K420" s="4">
        <v>16.565000000000001</v>
      </c>
      <c r="L420" s="4">
        <v>17.265000000000001</v>
      </c>
      <c r="M420" s="7">
        <v>-6.4699999999999994E-2</v>
      </c>
    </row>
    <row r="421" spans="1:13" x14ac:dyDescent="0.2">
      <c r="A421" s="6">
        <v>44539</v>
      </c>
      <c r="B421" s="2" t="s">
        <v>227</v>
      </c>
      <c r="C421" s="5">
        <v>44531</v>
      </c>
      <c r="D421" s="2" t="s">
        <v>182</v>
      </c>
      <c r="E421" s="3">
        <v>3652</v>
      </c>
      <c r="F421" s="8">
        <v>0.30359999999999998</v>
      </c>
      <c r="G421" s="4">
        <v>102.4799</v>
      </c>
      <c r="H421" s="4">
        <v>50.883099999999999</v>
      </c>
      <c r="I421" s="4">
        <v>17.265000000000001</v>
      </c>
      <c r="J421" s="4">
        <v>17.434999999999999</v>
      </c>
      <c r="K421" s="4">
        <v>15.54</v>
      </c>
      <c r="L421" s="4">
        <v>16.602499999999999</v>
      </c>
      <c r="M421" s="7">
        <v>-3.8399999999999997E-2</v>
      </c>
    </row>
    <row r="422" spans="1:13" x14ac:dyDescent="0.2">
      <c r="A422" s="6">
        <v>44540</v>
      </c>
      <c r="B422" s="2" t="s">
        <v>225</v>
      </c>
      <c r="C422" s="5">
        <v>44531</v>
      </c>
      <c r="D422" s="2" t="s">
        <v>182</v>
      </c>
      <c r="E422" s="3">
        <v>3636</v>
      </c>
      <c r="F422" s="8">
        <v>0.3251</v>
      </c>
      <c r="G422" s="4">
        <v>102.4096</v>
      </c>
      <c r="H422" s="4">
        <v>42.670699999999997</v>
      </c>
      <c r="I422" s="4">
        <v>16.602499999999999</v>
      </c>
      <c r="J422" s="4">
        <v>16.932500000000001</v>
      </c>
      <c r="K422" s="4">
        <v>15.21</v>
      </c>
      <c r="L422" s="4">
        <v>16.059999999999999</v>
      </c>
      <c r="M422" s="7">
        <v>-3.27E-2</v>
      </c>
    </row>
    <row r="423" spans="1:13" x14ac:dyDescent="0.2">
      <c r="A423" s="6">
        <v>44543</v>
      </c>
      <c r="B423" s="2" t="s">
        <v>228</v>
      </c>
      <c r="C423" s="5">
        <v>44531</v>
      </c>
      <c r="D423" s="2" t="s">
        <v>182</v>
      </c>
      <c r="E423" s="3">
        <v>3911</v>
      </c>
      <c r="F423" s="8">
        <v>0.33539999999999998</v>
      </c>
      <c r="G423" s="4">
        <v>97.023300000000006</v>
      </c>
      <c r="H423" s="4">
        <v>51.752600000000001</v>
      </c>
      <c r="I423" s="4">
        <v>16.059999999999999</v>
      </c>
      <c r="J423" s="4">
        <v>16.86</v>
      </c>
      <c r="K423" s="4">
        <v>14.675000000000001</v>
      </c>
      <c r="L423" s="4">
        <v>16.57</v>
      </c>
      <c r="M423" s="7">
        <v>3.1800000000000002E-2</v>
      </c>
    </row>
    <row r="424" spans="1:13" x14ac:dyDescent="0.2">
      <c r="A424" s="6">
        <v>44544</v>
      </c>
      <c r="B424" s="2" t="s">
        <v>226</v>
      </c>
      <c r="C424" s="5">
        <v>44531</v>
      </c>
      <c r="D424" s="2" t="s">
        <v>182</v>
      </c>
      <c r="E424" s="3">
        <v>3705</v>
      </c>
      <c r="F424" s="8">
        <v>0.2969</v>
      </c>
      <c r="G424" s="4">
        <v>83.624499999999998</v>
      </c>
      <c r="H424" s="4">
        <v>43.903100000000002</v>
      </c>
      <c r="I424" s="4">
        <v>16.57</v>
      </c>
      <c r="J424" s="4">
        <v>17.329999999999998</v>
      </c>
      <c r="K424" s="4">
        <v>13.9375</v>
      </c>
      <c r="L424" s="4">
        <v>16.952500000000001</v>
      </c>
      <c r="M424" s="7">
        <v>2.3099999999999999E-2</v>
      </c>
    </row>
    <row r="425" spans="1:13" x14ac:dyDescent="0.2">
      <c r="A425" s="6">
        <v>44545</v>
      </c>
      <c r="B425" s="2" t="s">
        <v>224</v>
      </c>
      <c r="C425" s="5">
        <v>44531</v>
      </c>
      <c r="D425" s="2" t="s">
        <v>182</v>
      </c>
      <c r="E425" s="3">
        <v>3721</v>
      </c>
      <c r="F425" s="8">
        <v>0.29720000000000002</v>
      </c>
      <c r="G425" s="4">
        <v>74.829899999999995</v>
      </c>
      <c r="H425" s="4">
        <v>41.417400000000001</v>
      </c>
      <c r="I425" s="4">
        <v>16.952500000000001</v>
      </c>
      <c r="J425" s="4">
        <v>17.712499999999999</v>
      </c>
      <c r="K425" s="4">
        <v>15.7675</v>
      </c>
      <c r="L425" s="4">
        <v>17.217500000000001</v>
      </c>
      <c r="M425" s="7">
        <v>1.5599999999999999E-2</v>
      </c>
    </row>
    <row r="426" spans="1:13" x14ac:dyDescent="0.2">
      <c r="A426" s="6">
        <v>44546</v>
      </c>
      <c r="B426" s="2" t="s">
        <v>227</v>
      </c>
      <c r="C426" s="5">
        <v>44531</v>
      </c>
      <c r="D426" s="2" t="s">
        <v>182</v>
      </c>
      <c r="E426" s="3">
        <v>3700</v>
      </c>
      <c r="F426" s="8">
        <v>0.31169999999999998</v>
      </c>
      <c r="G426" s="4">
        <v>100.77760000000001</v>
      </c>
      <c r="H426" s="4">
        <v>44.549199999999999</v>
      </c>
      <c r="I426" s="4">
        <v>17.217500000000001</v>
      </c>
      <c r="J426" s="4">
        <v>17.217500000000001</v>
      </c>
      <c r="K426" s="4">
        <v>15.262499999999999</v>
      </c>
      <c r="L426" s="4">
        <v>15.895</v>
      </c>
      <c r="M426" s="7">
        <v>-7.6799999999999993E-2</v>
      </c>
    </row>
    <row r="427" spans="1:13" x14ac:dyDescent="0.2">
      <c r="A427" s="6">
        <v>44547</v>
      </c>
      <c r="B427" s="2" t="s">
        <v>225</v>
      </c>
      <c r="C427" s="5">
        <v>44531</v>
      </c>
      <c r="D427" s="2" t="s">
        <v>182</v>
      </c>
      <c r="E427" s="3">
        <v>3689</v>
      </c>
      <c r="F427" s="8">
        <v>0.38069999999999998</v>
      </c>
      <c r="G427" s="4">
        <v>83.548699999999997</v>
      </c>
      <c r="H427" s="4">
        <v>48.415999999999997</v>
      </c>
      <c r="I427" s="4">
        <v>15.895</v>
      </c>
      <c r="J427" s="4">
        <v>16.907499999999999</v>
      </c>
      <c r="K427" s="4">
        <v>13.76</v>
      </c>
      <c r="L427" s="4">
        <v>16.337499999999999</v>
      </c>
      <c r="M427" s="7">
        <v>2.7799999999999998E-2</v>
      </c>
    </row>
    <row r="428" spans="1:13" x14ac:dyDescent="0.2">
      <c r="A428" s="6">
        <v>44550</v>
      </c>
      <c r="B428" s="2" t="s">
        <v>228</v>
      </c>
      <c r="C428" s="5">
        <v>44531</v>
      </c>
      <c r="D428" s="2" t="s">
        <v>182</v>
      </c>
      <c r="E428" s="3">
        <v>3875</v>
      </c>
      <c r="F428" s="8">
        <v>0.45240000000000002</v>
      </c>
      <c r="G428" s="4">
        <v>78.872</v>
      </c>
      <c r="H428" s="4">
        <v>65.243899999999996</v>
      </c>
      <c r="I428" s="4">
        <v>16.337499999999999</v>
      </c>
      <c r="J428" s="4">
        <v>20.135000000000002</v>
      </c>
      <c r="K428" s="4">
        <v>16.337499999999999</v>
      </c>
      <c r="L428" s="4">
        <v>18.965</v>
      </c>
      <c r="M428" s="7">
        <v>0.1608</v>
      </c>
    </row>
    <row r="429" spans="1:13" x14ac:dyDescent="0.2">
      <c r="A429" s="6">
        <v>44551</v>
      </c>
      <c r="B429" s="2" t="s">
        <v>226</v>
      </c>
      <c r="C429" s="5">
        <v>44531</v>
      </c>
      <c r="D429" s="2" t="s">
        <v>182</v>
      </c>
      <c r="E429" s="3">
        <v>3701</v>
      </c>
      <c r="F429" s="8">
        <v>0.29830000000000001</v>
      </c>
      <c r="G429" s="4">
        <v>60.5167</v>
      </c>
      <c r="H429" s="4">
        <v>37.5852</v>
      </c>
      <c r="I429" s="4">
        <v>18.965</v>
      </c>
      <c r="J429" s="4">
        <v>18.965</v>
      </c>
      <c r="K429" s="4">
        <v>16.627500000000001</v>
      </c>
      <c r="L429" s="4">
        <v>17.537500000000001</v>
      </c>
      <c r="M429" s="7">
        <v>-7.5300000000000006E-2</v>
      </c>
    </row>
    <row r="430" spans="1:13" x14ac:dyDescent="0.2">
      <c r="A430" s="6">
        <v>44552</v>
      </c>
      <c r="B430" s="2" t="s">
        <v>224</v>
      </c>
      <c r="C430" s="5">
        <v>44531</v>
      </c>
      <c r="D430" s="2" t="s">
        <v>182</v>
      </c>
      <c r="E430" s="3">
        <v>3730</v>
      </c>
      <c r="F430" s="8">
        <v>0.2581</v>
      </c>
      <c r="G430" s="4">
        <v>67.092799999999997</v>
      </c>
      <c r="H430" s="4">
        <v>33.380899999999997</v>
      </c>
      <c r="I430" s="4">
        <v>17.537500000000001</v>
      </c>
      <c r="J430" s="4">
        <v>17.537500000000001</v>
      </c>
      <c r="K430" s="4">
        <v>15.69</v>
      </c>
      <c r="L430" s="4">
        <v>16.579999999999998</v>
      </c>
      <c r="M430" s="7">
        <v>-5.4600000000000003E-2</v>
      </c>
    </row>
    <row r="431" spans="1:13" x14ac:dyDescent="0.2">
      <c r="A431" s="6">
        <v>44553</v>
      </c>
      <c r="B431" s="2" t="s">
        <v>227</v>
      </c>
      <c r="C431" s="5">
        <v>44531</v>
      </c>
      <c r="D431" s="2" t="s">
        <v>182</v>
      </c>
      <c r="E431" s="3">
        <v>3741</v>
      </c>
      <c r="F431" s="8">
        <v>0.26679999999999998</v>
      </c>
      <c r="G431" s="4">
        <v>67.871600000000001</v>
      </c>
      <c r="H431" s="4">
        <v>33.2973</v>
      </c>
      <c r="I431" s="4">
        <v>16.579999999999998</v>
      </c>
      <c r="J431" s="4">
        <v>16.579999999999998</v>
      </c>
      <c r="K431" s="4">
        <v>15.68</v>
      </c>
      <c r="L431" s="4">
        <v>15.824999999999999</v>
      </c>
      <c r="M431" s="7">
        <v>-4.5499999999999999E-2</v>
      </c>
    </row>
    <row r="432" spans="1:13" x14ac:dyDescent="0.2">
      <c r="A432" s="6">
        <v>44554</v>
      </c>
      <c r="B432" s="2" t="s">
        <v>225</v>
      </c>
      <c r="C432" s="5">
        <v>44531</v>
      </c>
      <c r="D432" s="2" t="s">
        <v>182</v>
      </c>
      <c r="E432" s="3">
        <v>3704</v>
      </c>
      <c r="F432" s="8">
        <v>0.27060000000000001</v>
      </c>
      <c r="G432" s="4">
        <v>74.568899999999999</v>
      </c>
      <c r="H432" s="4">
        <v>32.590000000000003</v>
      </c>
      <c r="I432" s="4">
        <v>15.824999999999999</v>
      </c>
      <c r="J432" s="4">
        <v>16.6525</v>
      </c>
      <c r="K432" s="4">
        <v>15.3325</v>
      </c>
      <c r="L432" s="4">
        <v>16.147500000000001</v>
      </c>
      <c r="M432" s="7">
        <v>2.0400000000000001E-2</v>
      </c>
    </row>
    <row r="433" spans="1:13" x14ac:dyDescent="0.2">
      <c r="A433" s="6">
        <v>44557</v>
      </c>
      <c r="B433" s="2" t="s">
        <v>228</v>
      </c>
      <c r="C433" s="5">
        <v>44531</v>
      </c>
      <c r="D433" s="2" t="s">
        <v>182</v>
      </c>
      <c r="E433" s="3">
        <v>3891</v>
      </c>
      <c r="F433" s="8">
        <v>0.28549999999999998</v>
      </c>
      <c r="G433" s="4">
        <v>91.862899999999996</v>
      </c>
      <c r="H433" s="4">
        <v>34.591000000000001</v>
      </c>
      <c r="I433" s="4">
        <v>16.147500000000001</v>
      </c>
      <c r="J433" s="4">
        <v>17.2775</v>
      </c>
      <c r="K433" s="4">
        <v>15.262499999999999</v>
      </c>
      <c r="L433" s="4">
        <v>17.1175</v>
      </c>
      <c r="M433" s="7">
        <v>6.0100000000000001E-2</v>
      </c>
    </row>
    <row r="434" spans="1:13" x14ac:dyDescent="0.2">
      <c r="A434" s="6">
        <v>44558</v>
      </c>
      <c r="B434" s="2" t="s">
        <v>226</v>
      </c>
      <c r="C434" s="5">
        <v>44531</v>
      </c>
      <c r="D434" s="2" t="s">
        <v>182</v>
      </c>
      <c r="E434" s="3">
        <v>3716</v>
      </c>
      <c r="F434" s="8">
        <v>0.28439999999999999</v>
      </c>
      <c r="G434" s="4">
        <v>91.879199999999997</v>
      </c>
      <c r="H434" s="4">
        <v>35.074300000000001</v>
      </c>
      <c r="I434" s="4">
        <v>17.1175</v>
      </c>
      <c r="J434" s="4">
        <v>17.1175</v>
      </c>
      <c r="K434" s="4">
        <v>15.2075</v>
      </c>
      <c r="L434" s="4">
        <v>16.475000000000001</v>
      </c>
      <c r="M434" s="7">
        <v>-3.7499999999999999E-2</v>
      </c>
    </row>
    <row r="435" spans="1:13" x14ac:dyDescent="0.2">
      <c r="A435" s="6">
        <v>44559</v>
      </c>
      <c r="B435" s="2" t="s">
        <v>224</v>
      </c>
      <c r="C435" s="5">
        <v>44531</v>
      </c>
      <c r="D435" s="2" t="s">
        <v>182</v>
      </c>
      <c r="E435" s="3">
        <v>3738</v>
      </c>
      <c r="F435" s="8">
        <v>0.31130000000000002</v>
      </c>
      <c r="G435" s="4">
        <v>113.054</v>
      </c>
      <c r="H435" s="4">
        <v>40.573599999999999</v>
      </c>
      <c r="I435" s="4">
        <v>16.475000000000001</v>
      </c>
      <c r="J435" s="4">
        <v>16.862500000000001</v>
      </c>
      <c r="K435" s="4">
        <v>15.8</v>
      </c>
      <c r="L435" s="4">
        <v>16.2425</v>
      </c>
      <c r="M435" s="7">
        <v>-1.41E-2</v>
      </c>
    </row>
    <row r="436" spans="1:13" x14ac:dyDescent="0.2">
      <c r="A436" s="6">
        <v>44560</v>
      </c>
      <c r="B436" s="2" t="s">
        <v>227</v>
      </c>
      <c r="C436" s="5">
        <v>44531</v>
      </c>
      <c r="D436" s="2" t="s">
        <v>182</v>
      </c>
      <c r="E436" s="3">
        <v>3716</v>
      </c>
      <c r="F436" s="8">
        <v>0.31359999999999999</v>
      </c>
      <c r="G436" s="4">
        <v>97.427400000000006</v>
      </c>
      <c r="H436" s="4">
        <v>39.079599999999999</v>
      </c>
      <c r="I436" s="4">
        <v>16.2425</v>
      </c>
      <c r="J436" s="4">
        <v>16.787500000000001</v>
      </c>
      <c r="K436" s="4">
        <v>15.2925</v>
      </c>
      <c r="L436" s="4">
        <v>16.565000000000001</v>
      </c>
      <c r="M436" s="7">
        <v>1.9900000000000001E-2</v>
      </c>
    </row>
    <row r="437" spans="1:13" x14ac:dyDescent="0.2">
      <c r="A437" s="6">
        <v>44561</v>
      </c>
      <c r="B437" s="2" t="s">
        <v>225</v>
      </c>
      <c r="C437" s="5">
        <v>44531</v>
      </c>
      <c r="D437" s="2" t="s">
        <v>182</v>
      </c>
      <c r="E437" s="3">
        <v>3738</v>
      </c>
      <c r="F437" s="8">
        <v>0.30630000000000002</v>
      </c>
      <c r="G437" s="4">
        <v>98.050700000000006</v>
      </c>
      <c r="H437" s="4">
        <v>39.4086</v>
      </c>
      <c r="I437" s="4">
        <v>16.565000000000001</v>
      </c>
      <c r="J437" s="4">
        <v>16.767499999999998</v>
      </c>
      <c r="K437" s="4">
        <v>15.4</v>
      </c>
      <c r="L437" s="4">
        <v>16.2225</v>
      </c>
      <c r="M437" s="7">
        <v>-2.07E-2</v>
      </c>
    </row>
    <row r="438" spans="1:13" x14ac:dyDescent="0.2">
      <c r="A438" s="6">
        <v>44564</v>
      </c>
      <c r="B438" s="2" t="s">
        <v>228</v>
      </c>
      <c r="C438" s="5">
        <v>44562</v>
      </c>
      <c r="D438" s="2" t="s">
        <v>183</v>
      </c>
      <c r="E438" s="3">
        <v>3972</v>
      </c>
      <c r="F438" s="8">
        <v>0.34420000000000001</v>
      </c>
      <c r="G438" s="4">
        <v>103.5491</v>
      </c>
      <c r="H438" s="4">
        <v>47.392699999999998</v>
      </c>
      <c r="I438" s="4">
        <v>16.2225</v>
      </c>
      <c r="J438" s="4">
        <v>16.809999999999999</v>
      </c>
      <c r="K438" s="4">
        <v>15.452500000000001</v>
      </c>
      <c r="L438" s="4">
        <v>16.452500000000001</v>
      </c>
      <c r="M438" s="7">
        <v>1.4200000000000001E-2</v>
      </c>
    </row>
    <row r="439" spans="1:13" x14ac:dyDescent="0.2">
      <c r="A439" s="6">
        <v>44565</v>
      </c>
      <c r="B439" s="2" t="s">
        <v>226</v>
      </c>
      <c r="C439" s="5">
        <v>44562</v>
      </c>
      <c r="D439" s="2" t="s">
        <v>183</v>
      </c>
      <c r="E439" s="3">
        <v>3772</v>
      </c>
      <c r="F439" s="8">
        <v>0.40529999999999999</v>
      </c>
      <c r="G439" s="4">
        <v>151.25129999999999</v>
      </c>
      <c r="H439" s="4">
        <v>51.963999999999999</v>
      </c>
      <c r="I439" s="4">
        <v>16.452500000000001</v>
      </c>
      <c r="J439" s="4">
        <v>16.675000000000001</v>
      </c>
      <c r="K439" s="4">
        <v>15.71</v>
      </c>
      <c r="L439" s="4">
        <v>16.12</v>
      </c>
      <c r="M439" s="7">
        <v>-2.0199999999999999E-2</v>
      </c>
    </row>
    <row r="440" spans="1:13" x14ac:dyDescent="0.2">
      <c r="A440" s="6">
        <v>44566</v>
      </c>
      <c r="B440" s="2" t="s">
        <v>224</v>
      </c>
      <c r="C440" s="5">
        <v>44562</v>
      </c>
      <c r="D440" s="2" t="s">
        <v>183</v>
      </c>
      <c r="E440" s="3">
        <v>3774</v>
      </c>
      <c r="F440" s="8">
        <v>0.36720000000000003</v>
      </c>
      <c r="G440" s="4">
        <v>116.086</v>
      </c>
      <c r="H440" s="4">
        <v>46.732999999999997</v>
      </c>
      <c r="I440" s="4">
        <v>16.12</v>
      </c>
      <c r="J440" s="4">
        <v>17.38</v>
      </c>
      <c r="K440" s="4">
        <v>15.0875</v>
      </c>
      <c r="L440" s="4">
        <v>17.227499999999999</v>
      </c>
      <c r="M440" s="7">
        <v>6.8699999999999997E-2</v>
      </c>
    </row>
    <row r="441" spans="1:13" x14ac:dyDescent="0.2">
      <c r="A441" s="6">
        <v>44567</v>
      </c>
      <c r="B441" s="2" t="s">
        <v>227</v>
      </c>
      <c r="C441" s="5">
        <v>44562</v>
      </c>
      <c r="D441" s="2" t="s">
        <v>183</v>
      </c>
      <c r="E441" s="3">
        <v>3752</v>
      </c>
      <c r="F441" s="8">
        <v>0.36459999999999998</v>
      </c>
      <c r="G441" s="4">
        <v>102.6627</v>
      </c>
      <c r="H441" s="4">
        <v>46.816499999999998</v>
      </c>
      <c r="I441" s="4">
        <v>17.227499999999999</v>
      </c>
      <c r="J441" s="4">
        <v>18.4175</v>
      </c>
      <c r="K441" s="4">
        <v>16.399999999999999</v>
      </c>
      <c r="L441" s="4">
        <v>17.977499999999999</v>
      </c>
      <c r="M441" s="7">
        <v>4.3499999999999997E-2</v>
      </c>
    </row>
    <row r="442" spans="1:13" x14ac:dyDescent="0.2">
      <c r="A442" s="6">
        <v>44568</v>
      </c>
      <c r="B442" s="2" t="s">
        <v>225</v>
      </c>
      <c r="C442" s="5">
        <v>44562</v>
      </c>
      <c r="D442" s="2" t="s">
        <v>183</v>
      </c>
      <c r="E442" s="3">
        <v>3776</v>
      </c>
      <c r="F442" s="8">
        <v>0.40279999999999999</v>
      </c>
      <c r="G442" s="4">
        <v>104.4464</v>
      </c>
      <c r="H442" s="4">
        <v>54.898099999999999</v>
      </c>
      <c r="I442" s="4">
        <v>17.977499999999999</v>
      </c>
      <c r="J442" s="4">
        <v>18.09</v>
      </c>
      <c r="K442" s="4">
        <v>16.86</v>
      </c>
      <c r="L442" s="4">
        <v>17.602499999999999</v>
      </c>
      <c r="M442" s="7">
        <v>-2.0899999999999998E-2</v>
      </c>
    </row>
    <row r="443" spans="1:13" x14ac:dyDescent="0.2">
      <c r="A443" s="6">
        <v>44571</v>
      </c>
      <c r="B443" s="2" t="s">
        <v>228</v>
      </c>
      <c r="C443" s="5">
        <v>44562</v>
      </c>
      <c r="D443" s="2" t="s">
        <v>183</v>
      </c>
      <c r="E443" s="3">
        <v>4045</v>
      </c>
      <c r="F443" s="8">
        <v>0.42059999999999997</v>
      </c>
      <c r="G443" s="4">
        <v>101.1485</v>
      </c>
      <c r="H443" s="4">
        <v>70.358099999999993</v>
      </c>
      <c r="I443" s="4">
        <v>17.602499999999999</v>
      </c>
      <c r="J443" s="4">
        <v>18.39</v>
      </c>
      <c r="K443" s="4">
        <v>15.842499999999999</v>
      </c>
      <c r="L443" s="4">
        <v>17.677499999999998</v>
      </c>
      <c r="M443" s="7">
        <v>4.3E-3</v>
      </c>
    </row>
    <row r="444" spans="1:13" x14ac:dyDescent="0.2">
      <c r="A444" s="6">
        <v>44572</v>
      </c>
      <c r="B444" s="2" t="s">
        <v>226</v>
      </c>
      <c r="C444" s="5">
        <v>44562</v>
      </c>
      <c r="D444" s="2" t="s">
        <v>183</v>
      </c>
      <c r="E444" s="3">
        <v>3799</v>
      </c>
      <c r="F444" s="8">
        <v>0.45079999999999998</v>
      </c>
      <c r="G444" s="4">
        <v>130.22399999999999</v>
      </c>
      <c r="H444" s="4">
        <v>55.387700000000002</v>
      </c>
      <c r="I444" s="4">
        <v>17.677499999999998</v>
      </c>
      <c r="J444" s="4">
        <v>18.247499999999999</v>
      </c>
      <c r="K444" s="4">
        <v>16.4375</v>
      </c>
      <c r="L444" s="4">
        <v>17.7575</v>
      </c>
      <c r="M444" s="7">
        <v>4.4999999999999997E-3</v>
      </c>
    </row>
    <row r="445" spans="1:13" x14ac:dyDescent="0.2">
      <c r="A445" s="6">
        <v>44573</v>
      </c>
      <c r="B445" s="2" t="s">
        <v>224</v>
      </c>
      <c r="C445" s="5">
        <v>44562</v>
      </c>
      <c r="D445" s="2" t="s">
        <v>183</v>
      </c>
      <c r="E445" s="3">
        <v>3833</v>
      </c>
      <c r="F445" s="8">
        <v>0.4657</v>
      </c>
      <c r="G445" s="4">
        <v>156.70249999999999</v>
      </c>
      <c r="H445" s="4">
        <v>55.506599999999999</v>
      </c>
      <c r="I445" s="4">
        <v>17.7575</v>
      </c>
      <c r="J445" s="4">
        <v>17.925000000000001</v>
      </c>
      <c r="K445" s="4">
        <v>16.547499999999999</v>
      </c>
      <c r="L445" s="4">
        <v>17.182500000000001</v>
      </c>
      <c r="M445" s="7">
        <v>-3.2399999999999998E-2</v>
      </c>
    </row>
    <row r="446" spans="1:13" x14ac:dyDescent="0.2">
      <c r="A446" s="6">
        <v>44574</v>
      </c>
      <c r="B446" s="2" t="s">
        <v>227</v>
      </c>
      <c r="C446" s="5">
        <v>44562</v>
      </c>
      <c r="D446" s="2" t="s">
        <v>183</v>
      </c>
      <c r="E446" s="3">
        <v>3789</v>
      </c>
      <c r="F446" s="8">
        <v>0.41039999999999999</v>
      </c>
      <c r="G446" s="4">
        <v>115.6348</v>
      </c>
      <c r="H446" s="4">
        <v>51.980800000000002</v>
      </c>
      <c r="I446" s="4">
        <v>17.182500000000001</v>
      </c>
      <c r="J446" s="4">
        <v>17.524999999999999</v>
      </c>
      <c r="K446" s="4">
        <v>16.607500000000002</v>
      </c>
      <c r="L446" s="4">
        <v>16.704999999999998</v>
      </c>
      <c r="M446" s="7">
        <v>-2.7799999999999998E-2</v>
      </c>
    </row>
    <row r="447" spans="1:13" x14ac:dyDescent="0.2">
      <c r="A447" s="6">
        <v>44575</v>
      </c>
      <c r="B447" s="2" t="s">
        <v>225</v>
      </c>
      <c r="C447" s="5">
        <v>44562</v>
      </c>
      <c r="D447" s="2" t="s">
        <v>183</v>
      </c>
      <c r="E447" s="3">
        <v>3788</v>
      </c>
      <c r="F447" s="8">
        <v>0.39290000000000003</v>
      </c>
      <c r="G447" s="4">
        <v>103.44750000000001</v>
      </c>
      <c r="H447" s="4">
        <v>50.186100000000003</v>
      </c>
      <c r="I447" s="4">
        <v>16.704999999999998</v>
      </c>
      <c r="J447" s="4">
        <v>17.100000000000001</v>
      </c>
      <c r="K447" s="4">
        <v>15.342499999999999</v>
      </c>
      <c r="L447" s="4">
        <v>16.555</v>
      </c>
      <c r="M447" s="7">
        <v>-8.9999999999999993E-3</v>
      </c>
    </row>
    <row r="448" spans="1:13" x14ac:dyDescent="0.2">
      <c r="A448" s="6">
        <v>44578</v>
      </c>
      <c r="B448" s="2" t="s">
        <v>228</v>
      </c>
      <c r="C448" s="5">
        <v>44562</v>
      </c>
      <c r="D448" s="2" t="s">
        <v>183</v>
      </c>
      <c r="E448" s="3">
        <v>4022</v>
      </c>
      <c r="F448" s="8">
        <v>0.44140000000000001</v>
      </c>
      <c r="G448" s="4">
        <v>123.319</v>
      </c>
      <c r="H448" s="4">
        <v>54.881999999999998</v>
      </c>
      <c r="I448" s="4">
        <v>16.555</v>
      </c>
      <c r="J448" s="4">
        <v>17.547499999999999</v>
      </c>
      <c r="K448" s="4">
        <v>16.267499999999998</v>
      </c>
      <c r="L448" s="4">
        <v>16.765000000000001</v>
      </c>
      <c r="M448" s="7">
        <v>1.2699999999999999E-2</v>
      </c>
    </row>
    <row r="449" spans="1:13" x14ac:dyDescent="0.2">
      <c r="A449" s="6">
        <v>44579</v>
      </c>
      <c r="B449" s="2" t="s">
        <v>226</v>
      </c>
      <c r="C449" s="5">
        <v>44562</v>
      </c>
      <c r="D449" s="2" t="s">
        <v>183</v>
      </c>
      <c r="E449" s="3">
        <v>3814</v>
      </c>
      <c r="F449" s="8">
        <v>0.46899999999999997</v>
      </c>
      <c r="G449" s="4">
        <v>103.25530000000001</v>
      </c>
      <c r="H449" s="4">
        <v>53.863300000000002</v>
      </c>
      <c r="I449" s="4">
        <v>16.765000000000001</v>
      </c>
      <c r="J449" s="4">
        <v>17.875</v>
      </c>
      <c r="K449" s="4">
        <v>16.765000000000001</v>
      </c>
      <c r="L449" s="4">
        <v>17.78</v>
      </c>
      <c r="M449" s="7">
        <v>6.0499999999999998E-2</v>
      </c>
    </row>
    <row r="450" spans="1:13" x14ac:dyDescent="0.2">
      <c r="A450" s="6">
        <v>44580</v>
      </c>
      <c r="B450" s="2" t="s">
        <v>224</v>
      </c>
      <c r="C450" s="5">
        <v>44562</v>
      </c>
      <c r="D450" s="2" t="s">
        <v>183</v>
      </c>
      <c r="E450" s="3">
        <v>3778</v>
      </c>
      <c r="F450" s="8">
        <v>0.41860000000000003</v>
      </c>
      <c r="G450" s="4">
        <v>84.504499999999993</v>
      </c>
      <c r="H450" s="4">
        <v>63.902900000000002</v>
      </c>
      <c r="I450" s="4">
        <v>17.78</v>
      </c>
      <c r="J450" s="4">
        <v>18.447500000000002</v>
      </c>
      <c r="K450" s="4">
        <v>15.94</v>
      </c>
      <c r="L450" s="4">
        <v>17.817499999999999</v>
      </c>
      <c r="M450" s="7">
        <v>2.0999999999999999E-3</v>
      </c>
    </row>
    <row r="451" spans="1:13" x14ac:dyDescent="0.2">
      <c r="A451" s="6">
        <v>44581</v>
      </c>
      <c r="B451" s="2" t="s">
        <v>227</v>
      </c>
      <c r="C451" s="5">
        <v>44562</v>
      </c>
      <c r="D451" s="2" t="s">
        <v>183</v>
      </c>
      <c r="E451" s="3">
        <v>3750</v>
      </c>
      <c r="F451" s="8">
        <v>0.38159999999999999</v>
      </c>
      <c r="G451" s="4">
        <v>75.423299999999998</v>
      </c>
      <c r="H451" s="4">
        <v>46.776400000000002</v>
      </c>
      <c r="I451" s="4">
        <v>17.817499999999999</v>
      </c>
      <c r="J451" s="4">
        <v>18.45</v>
      </c>
      <c r="K451" s="4">
        <v>17.32</v>
      </c>
      <c r="L451" s="4">
        <v>17.79</v>
      </c>
      <c r="M451" s="7">
        <v>-1.5E-3</v>
      </c>
    </row>
    <row r="452" spans="1:13" x14ac:dyDescent="0.2">
      <c r="A452" s="6">
        <v>44582</v>
      </c>
      <c r="B452" s="2" t="s">
        <v>225</v>
      </c>
      <c r="C452" s="5">
        <v>44562</v>
      </c>
      <c r="D452" s="2" t="s">
        <v>183</v>
      </c>
      <c r="E452" s="3">
        <v>3719</v>
      </c>
      <c r="F452" s="8">
        <v>0.46350000000000002</v>
      </c>
      <c r="G452" s="4">
        <v>87.554000000000002</v>
      </c>
      <c r="H452" s="4">
        <v>54.109499999999997</v>
      </c>
      <c r="I452" s="4">
        <v>17.79</v>
      </c>
      <c r="J452" s="4">
        <v>19.605</v>
      </c>
      <c r="K452" s="4">
        <v>16.982500000000002</v>
      </c>
      <c r="L452" s="4">
        <v>18.887499999999999</v>
      </c>
      <c r="M452" s="7">
        <v>6.1699999999999998E-2</v>
      </c>
    </row>
    <row r="453" spans="1:13" x14ac:dyDescent="0.2">
      <c r="A453" s="6">
        <v>44585</v>
      </c>
      <c r="B453" s="2" t="s">
        <v>228</v>
      </c>
      <c r="C453" s="5">
        <v>44562</v>
      </c>
      <c r="D453" s="2" t="s">
        <v>183</v>
      </c>
      <c r="E453" s="3">
        <v>4020</v>
      </c>
      <c r="F453" s="8">
        <v>0.56469999999999998</v>
      </c>
      <c r="G453" s="4">
        <v>94.044899999999998</v>
      </c>
      <c r="H453" s="4">
        <v>62.147399999999998</v>
      </c>
      <c r="I453" s="4">
        <v>18.887499999999999</v>
      </c>
      <c r="J453" s="4">
        <v>23.9</v>
      </c>
      <c r="K453" s="4">
        <v>18.887499999999999</v>
      </c>
      <c r="L453" s="4">
        <v>22.824999999999999</v>
      </c>
      <c r="M453" s="7">
        <v>0.20849999999999999</v>
      </c>
    </row>
    <row r="454" spans="1:13" x14ac:dyDescent="0.2">
      <c r="A454" s="6">
        <v>44586</v>
      </c>
      <c r="B454" s="2" t="s">
        <v>226</v>
      </c>
      <c r="C454" s="5">
        <v>44562</v>
      </c>
      <c r="D454" s="2" t="s">
        <v>183</v>
      </c>
      <c r="E454" s="3">
        <v>3751</v>
      </c>
      <c r="F454" s="8">
        <v>0.46860000000000002</v>
      </c>
      <c r="G454" s="4">
        <v>62.752400000000002</v>
      </c>
      <c r="H454" s="4">
        <v>55.810499999999998</v>
      </c>
      <c r="I454" s="4">
        <v>22.824999999999999</v>
      </c>
      <c r="J454" s="4">
        <v>24.137499999999999</v>
      </c>
      <c r="K454" s="4">
        <v>21.18</v>
      </c>
      <c r="L454" s="4">
        <v>21.357500000000002</v>
      </c>
      <c r="M454" s="7">
        <v>-6.4299999999999996E-2</v>
      </c>
    </row>
    <row r="455" spans="1:13" x14ac:dyDescent="0.2">
      <c r="A455" s="6">
        <v>44588</v>
      </c>
      <c r="B455" s="2" t="s">
        <v>227</v>
      </c>
      <c r="C455" s="5">
        <v>44562</v>
      </c>
      <c r="D455" s="2" t="s">
        <v>183</v>
      </c>
      <c r="E455" s="3">
        <v>3756</v>
      </c>
      <c r="F455" s="8">
        <v>0.44990000000000002</v>
      </c>
      <c r="G455" s="4">
        <v>65.759299999999996</v>
      </c>
      <c r="H455" s="4">
        <v>53.244900000000001</v>
      </c>
      <c r="I455" s="4">
        <v>21.357500000000002</v>
      </c>
      <c r="J455" s="4">
        <v>23.8675</v>
      </c>
      <c r="K455" s="4">
        <v>20.442499999999999</v>
      </c>
      <c r="L455" s="4">
        <v>21.065000000000001</v>
      </c>
      <c r="M455" s="7">
        <v>-1.37E-2</v>
      </c>
    </row>
    <row r="456" spans="1:13" x14ac:dyDescent="0.2">
      <c r="A456" s="6">
        <v>44589</v>
      </c>
      <c r="B456" s="2" t="s">
        <v>225</v>
      </c>
      <c r="C456" s="5">
        <v>44562</v>
      </c>
      <c r="D456" s="2" t="s">
        <v>183</v>
      </c>
      <c r="E456" s="3">
        <v>3747</v>
      </c>
      <c r="F456" s="8">
        <v>0.39040000000000002</v>
      </c>
      <c r="G456" s="4">
        <v>62.761600000000001</v>
      </c>
      <c r="H456" s="4">
        <v>55.134500000000003</v>
      </c>
      <c r="I456" s="4">
        <v>21.065000000000001</v>
      </c>
      <c r="J456" s="4">
        <v>21.32</v>
      </c>
      <c r="K456" s="4">
        <v>20.282499999999999</v>
      </c>
      <c r="L456" s="4">
        <v>20.695</v>
      </c>
      <c r="M456" s="7">
        <v>-1.7600000000000001E-2</v>
      </c>
    </row>
    <row r="457" spans="1:13" x14ac:dyDescent="0.2">
      <c r="A457" s="6">
        <v>44592</v>
      </c>
      <c r="B457" s="2" t="s">
        <v>228</v>
      </c>
      <c r="C457" s="5">
        <v>44562</v>
      </c>
      <c r="D457" s="2" t="s">
        <v>183</v>
      </c>
      <c r="E457" s="3">
        <v>4003</v>
      </c>
      <c r="F457" s="8">
        <v>0.32379999999999998</v>
      </c>
      <c r="G457" s="4">
        <v>50.498199999999997</v>
      </c>
      <c r="H457" s="4">
        <v>41.828200000000002</v>
      </c>
      <c r="I457" s="4">
        <v>20.695</v>
      </c>
      <c r="J457" s="4">
        <v>22.11</v>
      </c>
      <c r="K457" s="4">
        <v>20.695</v>
      </c>
      <c r="L457" s="4">
        <v>21.952500000000001</v>
      </c>
      <c r="M457" s="7">
        <v>6.08E-2</v>
      </c>
    </row>
    <row r="458" spans="1:13" x14ac:dyDescent="0.2">
      <c r="A458" s="6">
        <v>44593</v>
      </c>
      <c r="B458" s="2" t="s">
        <v>226</v>
      </c>
      <c r="C458" s="5">
        <v>44593</v>
      </c>
      <c r="D458" s="2" t="s">
        <v>183</v>
      </c>
      <c r="E458" s="3">
        <v>3711</v>
      </c>
      <c r="F458" s="8">
        <v>0.37640000000000001</v>
      </c>
      <c r="G458" s="4">
        <v>81.614500000000007</v>
      </c>
      <c r="H458" s="4">
        <v>61.0426</v>
      </c>
      <c r="I458" s="4">
        <v>21.952500000000001</v>
      </c>
      <c r="J458" s="4">
        <v>22.07</v>
      </c>
      <c r="K458" s="4">
        <v>19.745000000000001</v>
      </c>
      <c r="L458" s="4">
        <v>19.977499999999999</v>
      </c>
      <c r="M458" s="7">
        <v>-0.09</v>
      </c>
    </row>
    <row r="459" spans="1:13" x14ac:dyDescent="0.2">
      <c r="A459" s="6">
        <v>44594</v>
      </c>
      <c r="B459" s="2" t="s">
        <v>224</v>
      </c>
      <c r="C459" s="5">
        <v>44593</v>
      </c>
      <c r="D459" s="2" t="s">
        <v>183</v>
      </c>
      <c r="E459" s="3">
        <v>3737</v>
      </c>
      <c r="F459" s="8">
        <v>0.29949999999999999</v>
      </c>
      <c r="G459" s="4">
        <v>68.890600000000006</v>
      </c>
      <c r="H459" s="4">
        <v>45.959299999999999</v>
      </c>
      <c r="I459" s="4">
        <v>19.977499999999999</v>
      </c>
      <c r="J459" s="4">
        <v>19.977499999999999</v>
      </c>
      <c r="K459" s="4">
        <v>18.547499999999999</v>
      </c>
      <c r="L459" s="4">
        <v>18.649999999999999</v>
      </c>
      <c r="M459" s="7">
        <v>-6.6400000000000001E-2</v>
      </c>
    </row>
    <row r="460" spans="1:13" x14ac:dyDescent="0.2">
      <c r="A460" s="6">
        <v>44595</v>
      </c>
      <c r="B460" s="2" t="s">
        <v>227</v>
      </c>
      <c r="C460" s="5">
        <v>44593</v>
      </c>
      <c r="D460" s="2" t="s">
        <v>183</v>
      </c>
      <c r="E460" s="3">
        <v>3731</v>
      </c>
      <c r="F460" s="8">
        <v>0.32050000000000001</v>
      </c>
      <c r="G460" s="4">
        <v>86.543199999999999</v>
      </c>
      <c r="H460" s="4">
        <v>44.415300000000002</v>
      </c>
      <c r="I460" s="4">
        <v>18.649999999999999</v>
      </c>
      <c r="J460" s="4">
        <v>19.594999999999999</v>
      </c>
      <c r="K460" s="4">
        <v>17.407499999999999</v>
      </c>
      <c r="L460" s="4">
        <v>19.16</v>
      </c>
      <c r="M460" s="7">
        <v>2.7300000000000001E-2</v>
      </c>
    </row>
    <row r="461" spans="1:13" x14ac:dyDescent="0.2">
      <c r="A461" s="6">
        <v>44596</v>
      </c>
      <c r="B461" s="2" t="s">
        <v>225</v>
      </c>
      <c r="C461" s="5">
        <v>44593</v>
      </c>
      <c r="D461" s="2" t="s">
        <v>183</v>
      </c>
      <c r="E461" s="3">
        <v>3708</v>
      </c>
      <c r="F461" s="8">
        <v>0.32040000000000002</v>
      </c>
      <c r="G461" s="4">
        <v>80.408900000000003</v>
      </c>
      <c r="H461" s="4">
        <v>44.469299999999997</v>
      </c>
      <c r="I461" s="4">
        <v>19.16</v>
      </c>
      <c r="J461" s="4">
        <v>19.7775</v>
      </c>
      <c r="K461" s="4">
        <v>18.594999999999999</v>
      </c>
      <c r="L461" s="4">
        <v>18.897500000000001</v>
      </c>
      <c r="M461" s="7">
        <v>-1.37E-2</v>
      </c>
    </row>
    <row r="462" spans="1:13" x14ac:dyDescent="0.2">
      <c r="A462" s="6">
        <v>44599</v>
      </c>
      <c r="B462" s="2" t="s">
        <v>228</v>
      </c>
      <c r="C462" s="5">
        <v>44593</v>
      </c>
      <c r="D462" s="2" t="s">
        <v>183</v>
      </c>
      <c r="E462" s="3">
        <v>3934</v>
      </c>
      <c r="F462" s="8">
        <v>0.34599999999999997</v>
      </c>
      <c r="G462" s="4">
        <v>70.973299999999995</v>
      </c>
      <c r="H462" s="4">
        <v>51.4557</v>
      </c>
      <c r="I462" s="4">
        <v>18.897500000000001</v>
      </c>
      <c r="J462" s="4">
        <v>21.0825</v>
      </c>
      <c r="K462" s="4">
        <v>18.182500000000001</v>
      </c>
      <c r="L462" s="4">
        <v>20.4375</v>
      </c>
      <c r="M462" s="7">
        <v>8.1500000000000003E-2</v>
      </c>
    </row>
    <row r="463" spans="1:13" x14ac:dyDescent="0.2">
      <c r="A463" s="6">
        <v>44600</v>
      </c>
      <c r="B463" s="2" t="s">
        <v>226</v>
      </c>
      <c r="C463" s="5">
        <v>44593</v>
      </c>
      <c r="D463" s="2" t="s">
        <v>183</v>
      </c>
      <c r="E463" s="3">
        <v>3690</v>
      </c>
      <c r="F463" s="8">
        <v>0.36720000000000003</v>
      </c>
      <c r="G463" s="4">
        <v>70.358500000000006</v>
      </c>
      <c r="H463" s="4">
        <v>49.910200000000003</v>
      </c>
      <c r="I463" s="4">
        <v>20.4375</v>
      </c>
      <c r="J463" s="4">
        <v>20.9375</v>
      </c>
      <c r="K463" s="4">
        <v>19.555</v>
      </c>
      <c r="L463" s="4">
        <v>19.684999999999999</v>
      </c>
      <c r="M463" s="7">
        <v>-3.6799999999999999E-2</v>
      </c>
    </row>
    <row r="464" spans="1:13" x14ac:dyDescent="0.2">
      <c r="A464" s="6">
        <v>44601</v>
      </c>
      <c r="B464" s="2" t="s">
        <v>224</v>
      </c>
      <c r="C464" s="5">
        <v>44593</v>
      </c>
      <c r="D464" s="2" t="s">
        <v>183</v>
      </c>
      <c r="E464" s="3">
        <v>3710</v>
      </c>
      <c r="F464" s="8">
        <v>0.27529999999999999</v>
      </c>
      <c r="G464" s="4">
        <v>49.800899999999999</v>
      </c>
      <c r="H464" s="4">
        <v>39.790599999999998</v>
      </c>
      <c r="I464" s="4">
        <v>19.684999999999999</v>
      </c>
      <c r="J464" s="4">
        <v>19.684999999999999</v>
      </c>
      <c r="K464" s="4">
        <v>17.885000000000002</v>
      </c>
      <c r="L464" s="4">
        <v>18.555</v>
      </c>
      <c r="M464" s="7">
        <v>-5.74E-2</v>
      </c>
    </row>
    <row r="465" spans="1:13" x14ac:dyDescent="0.2">
      <c r="A465" s="6">
        <v>44602</v>
      </c>
      <c r="B465" s="2" t="s">
        <v>227</v>
      </c>
      <c r="C465" s="5">
        <v>44593</v>
      </c>
      <c r="D465" s="2" t="s">
        <v>183</v>
      </c>
      <c r="E465" s="3">
        <v>3713</v>
      </c>
      <c r="F465" s="8">
        <v>0.29859999999999998</v>
      </c>
      <c r="G465" s="4">
        <v>57.054299999999998</v>
      </c>
      <c r="H465" s="4">
        <v>52.131999999999998</v>
      </c>
      <c r="I465" s="4">
        <v>18.555</v>
      </c>
      <c r="J465" s="4">
        <v>18.925000000000001</v>
      </c>
      <c r="K465" s="4">
        <v>16.8</v>
      </c>
      <c r="L465" s="4">
        <v>17.71</v>
      </c>
      <c r="M465" s="7">
        <v>-4.5499999999999999E-2</v>
      </c>
    </row>
    <row r="466" spans="1:13" x14ac:dyDescent="0.2">
      <c r="A466" s="6">
        <v>44603</v>
      </c>
      <c r="B466" s="2" t="s">
        <v>225</v>
      </c>
      <c r="C466" s="5">
        <v>44593</v>
      </c>
      <c r="D466" s="2" t="s">
        <v>183</v>
      </c>
      <c r="E466" s="3">
        <v>3684</v>
      </c>
      <c r="F466" s="8">
        <v>0.32379999999999998</v>
      </c>
      <c r="G466" s="4">
        <v>57.401200000000003</v>
      </c>
      <c r="H466" s="4">
        <v>48.926900000000003</v>
      </c>
      <c r="I466" s="4">
        <v>17.71</v>
      </c>
      <c r="J466" s="4">
        <v>19.532499999999999</v>
      </c>
      <c r="K466" s="4">
        <v>16.855</v>
      </c>
      <c r="L466" s="4">
        <v>18.68</v>
      </c>
      <c r="M466" s="7">
        <v>5.4800000000000001E-2</v>
      </c>
    </row>
    <row r="467" spans="1:13" x14ac:dyDescent="0.2">
      <c r="A467" s="6">
        <v>44606</v>
      </c>
      <c r="B467" s="2" t="s">
        <v>228</v>
      </c>
      <c r="C467" s="5">
        <v>44593</v>
      </c>
      <c r="D467" s="2" t="s">
        <v>183</v>
      </c>
      <c r="E467" s="3">
        <v>3947</v>
      </c>
      <c r="F467" s="8">
        <v>0.44409999999999999</v>
      </c>
      <c r="G467" s="4">
        <v>64.364800000000002</v>
      </c>
      <c r="H467" s="4">
        <v>52.308399999999999</v>
      </c>
      <c r="I467" s="4">
        <v>18.68</v>
      </c>
      <c r="J467" s="4">
        <v>23.535</v>
      </c>
      <c r="K467" s="4">
        <v>18.68</v>
      </c>
      <c r="L467" s="4">
        <v>22.977499999999999</v>
      </c>
      <c r="M467" s="7">
        <v>0.2301</v>
      </c>
    </row>
    <row r="468" spans="1:13" x14ac:dyDescent="0.2">
      <c r="A468" s="6">
        <v>44607</v>
      </c>
      <c r="B468" s="2" t="s">
        <v>226</v>
      </c>
      <c r="C468" s="5">
        <v>44593</v>
      </c>
      <c r="D468" s="2" t="s">
        <v>183</v>
      </c>
      <c r="E468" s="3">
        <v>3755</v>
      </c>
      <c r="F468" s="8">
        <v>0.38829999999999998</v>
      </c>
      <c r="G468" s="4">
        <v>75.406199999999998</v>
      </c>
      <c r="H468" s="4">
        <v>69.544300000000007</v>
      </c>
      <c r="I468" s="4">
        <v>22.977499999999999</v>
      </c>
      <c r="J468" s="4">
        <v>23.14</v>
      </c>
      <c r="K468" s="4">
        <v>20.434999999999999</v>
      </c>
      <c r="L468" s="4">
        <v>20.612500000000001</v>
      </c>
      <c r="M468" s="7">
        <v>-0.10290000000000001</v>
      </c>
    </row>
    <row r="469" spans="1:13" x14ac:dyDescent="0.2">
      <c r="A469" s="6">
        <v>44608</v>
      </c>
      <c r="B469" s="2" t="s">
        <v>224</v>
      </c>
      <c r="C469" s="5">
        <v>44593</v>
      </c>
      <c r="D469" s="2" t="s">
        <v>183</v>
      </c>
      <c r="E469" s="3">
        <v>3729</v>
      </c>
      <c r="F469" s="8">
        <v>0.31</v>
      </c>
      <c r="G469" s="4">
        <v>71.818799999999996</v>
      </c>
      <c r="H469" s="4">
        <v>40.723199999999999</v>
      </c>
      <c r="I469" s="4">
        <v>20.612500000000001</v>
      </c>
      <c r="J469" s="4">
        <v>21.02</v>
      </c>
      <c r="K469" s="4">
        <v>19.352499999999999</v>
      </c>
      <c r="L469" s="4">
        <v>20.592500000000001</v>
      </c>
      <c r="M469" s="7">
        <v>-1E-3</v>
      </c>
    </row>
    <row r="470" spans="1:13" x14ac:dyDescent="0.2">
      <c r="A470" s="6">
        <v>44609</v>
      </c>
      <c r="B470" s="2" t="s">
        <v>227</v>
      </c>
      <c r="C470" s="5">
        <v>44593</v>
      </c>
      <c r="D470" s="2" t="s">
        <v>183</v>
      </c>
      <c r="E470" s="3">
        <v>3734</v>
      </c>
      <c r="F470" s="8">
        <v>0.2472</v>
      </c>
      <c r="G470" s="4">
        <v>43.579000000000001</v>
      </c>
      <c r="H470" s="4">
        <v>33.837699999999998</v>
      </c>
      <c r="I470" s="4">
        <v>20.592500000000001</v>
      </c>
      <c r="J470" s="4">
        <v>22.37</v>
      </c>
      <c r="K470" s="4">
        <v>19.462499999999999</v>
      </c>
      <c r="L470" s="4">
        <v>22.004999999999999</v>
      </c>
      <c r="M470" s="7">
        <v>6.8599999999999994E-2</v>
      </c>
    </row>
    <row r="471" spans="1:13" x14ac:dyDescent="0.2">
      <c r="A471" s="6">
        <v>44610</v>
      </c>
      <c r="B471" s="2" t="s">
        <v>225</v>
      </c>
      <c r="C471" s="5">
        <v>44593</v>
      </c>
      <c r="D471" s="2" t="s">
        <v>183</v>
      </c>
      <c r="E471" s="3">
        <v>3717</v>
      </c>
      <c r="F471" s="8">
        <v>0.23719999999999999</v>
      </c>
      <c r="G471" s="4">
        <v>50.4253</v>
      </c>
      <c r="H471" s="4">
        <v>36.918900000000001</v>
      </c>
      <c r="I471" s="4">
        <v>22.004999999999999</v>
      </c>
      <c r="J471" s="4">
        <v>23.21</v>
      </c>
      <c r="K471" s="4">
        <v>21.635000000000002</v>
      </c>
      <c r="L471" s="4">
        <v>22.164999999999999</v>
      </c>
      <c r="M471" s="7">
        <v>7.3000000000000001E-3</v>
      </c>
    </row>
    <row r="472" spans="1:13" x14ac:dyDescent="0.2">
      <c r="A472" s="6">
        <v>44613</v>
      </c>
      <c r="B472" s="2" t="s">
        <v>228</v>
      </c>
      <c r="C472" s="5">
        <v>44593</v>
      </c>
      <c r="D472" s="2" t="s">
        <v>183</v>
      </c>
      <c r="E472" s="3">
        <v>3893</v>
      </c>
      <c r="F472" s="8">
        <v>0.29899999999999999</v>
      </c>
      <c r="G472" s="4">
        <v>70.912300000000002</v>
      </c>
      <c r="H472" s="4">
        <v>43.310600000000001</v>
      </c>
      <c r="I472" s="4">
        <v>22.164999999999999</v>
      </c>
      <c r="J472" s="4">
        <v>23.754999999999999</v>
      </c>
      <c r="K472" s="4">
        <v>20.57</v>
      </c>
      <c r="L472" s="4">
        <v>22.9025</v>
      </c>
      <c r="M472" s="7">
        <v>3.3300000000000003E-2</v>
      </c>
    </row>
    <row r="473" spans="1:13" x14ac:dyDescent="0.2">
      <c r="A473" s="6">
        <v>44614</v>
      </c>
      <c r="B473" s="2" t="s">
        <v>226</v>
      </c>
      <c r="C473" s="5">
        <v>44593</v>
      </c>
      <c r="D473" s="2" t="s">
        <v>183</v>
      </c>
      <c r="E473" s="3">
        <v>3732</v>
      </c>
      <c r="F473" s="8">
        <v>0.33429999999999999</v>
      </c>
      <c r="G473" s="4">
        <v>56.341700000000003</v>
      </c>
      <c r="H473" s="4">
        <v>58.981000000000002</v>
      </c>
      <c r="I473" s="4">
        <v>22.9025</v>
      </c>
      <c r="J473" s="4">
        <v>27.815000000000001</v>
      </c>
      <c r="K473" s="4">
        <v>22.9025</v>
      </c>
      <c r="L473" s="4">
        <v>26.662500000000001</v>
      </c>
      <c r="M473" s="7">
        <v>0.16420000000000001</v>
      </c>
    </row>
    <row r="474" spans="1:13" x14ac:dyDescent="0.2">
      <c r="A474" s="6">
        <v>44615</v>
      </c>
      <c r="B474" s="2" t="s">
        <v>224</v>
      </c>
      <c r="C474" s="5">
        <v>44593</v>
      </c>
      <c r="D474" s="2" t="s">
        <v>183</v>
      </c>
      <c r="E474" s="3">
        <v>3742</v>
      </c>
      <c r="F474" s="8">
        <v>0.23419999999999999</v>
      </c>
      <c r="G474" s="4">
        <v>70.938299999999998</v>
      </c>
      <c r="H474" s="4">
        <v>34.148400000000002</v>
      </c>
      <c r="I474" s="4">
        <v>26.662500000000001</v>
      </c>
      <c r="J474" s="4">
        <v>26.662500000000001</v>
      </c>
      <c r="K474" s="4">
        <v>23.907499999999999</v>
      </c>
      <c r="L474" s="4">
        <v>24.5425</v>
      </c>
      <c r="M474" s="7">
        <v>-7.9500000000000001E-2</v>
      </c>
    </row>
    <row r="475" spans="1:13" x14ac:dyDescent="0.2">
      <c r="A475" s="6">
        <v>44616</v>
      </c>
      <c r="B475" s="2" t="s">
        <v>227</v>
      </c>
      <c r="C475" s="5">
        <v>44593</v>
      </c>
      <c r="D475" s="2" t="s">
        <v>183</v>
      </c>
      <c r="E475" s="3">
        <v>3831</v>
      </c>
      <c r="F475" s="8">
        <v>0.57130000000000003</v>
      </c>
      <c r="G475" s="4">
        <v>87.089399999999998</v>
      </c>
      <c r="H475" s="4">
        <v>66.785200000000003</v>
      </c>
      <c r="I475" s="4">
        <v>24.5425</v>
      </c>
      <c r="J475" s="4">
        <v>33.972499999999997</v>
      </c>
      <c r="K475" s="4">
        <v>24.5425</v>
      </c>
      <c r="L475" s="4">
        <v>31.982500000000002</v>
      </c>
      <c r="M475" s="7">
        <v>0.30309999999999998</v>
      </c>
    </row>
    <row r="476" spans="1:13" x14ac:dyDescent="0.2">
      <c r="A476" s="6">
        <v>44617</v>
      </c>
      <c r="B476" s="2" t="s">
        <v>225</v>
      </c>
      <c r="C476" s="5">
        <v>44593</v>
      </c>
      <c r="D476" s="2" t="s">
        <v>183</v>
      </c>
      <c r="E476" s="3">
        <v>3734</v>
      </c>
      <c r="F476" s="8">
        <v>0.32569999999999999</v>
      </c>
      <c r="G476" s="4">
        <v>63.5608</v>
      </c>
      <c r="H476" s="4">
        <v>48.843800000000002</v>
      </c>
      <c r="I476" s="4">
        <v>31.982500000000002</v>
      </c>
      <c r="J476" s="4">
        <v>31.982500000000002</v>
      </c>
      <c r="K476" s="4">
        <v>26.15</v>
      </c>
      <c r="L476" s="4">
        <v>26.74</v>
      </c>
      <c r="M476" s="7">
        <v>-0.16389999999999999</v>
      </c>
    </row>
    <row r="477" spans="1:13" x14ac:dyDescent="0.2">
      <c r="A477" s="6">
        <v>44620</v>
      </c>
      <c r="B477" s="2" t="s">
        <v>228</v>
      </c>
      <c r="C477" s="5">
        <v>44593</v>
      </c>
      <c r="D477" s="2" t="s">
        <v>183</v>
      </c>
      <c r="E477" s="3">
        <v>3880</v>
      </c>
      <c r="F477" s="8">
        <v>0.3049</v>
      </c>
      <c r="G477" s="4">
        <v>60.054099999999998</v>
      </c>
      <c r="H477" s="4">
        <v>38.985300000000002</v>
      </c>
      <c r="I477" s="4">
        <v>26.74</v>
      </c>
      <c r="J477" s="4">
        <v>29.785</v>
      </c>
      <c r="K477" s="4">
        <v>26.74</v>
      </c>
      <c r="L477" s="4">
        <v>28.57</v>
      </c>
      <c r="M477" s="7">
        <v>6.8400000000000002E-2</v>
      </c>
    </row>
    <row r="478" spans="1:13" x14ac:dyDescent="0.2">
      <c r="A478" s="6">
        <v>44622</v>
      </c>
      <c r="B478" s="2" t="s">
        <v>224</v>
      </c>
      <c r="C478" s="5">
        <v>44621</v>
      </c>
      <c r="D478" s="2" t="s">
        <v>183</v>
      </c>
      <c r="E478" s="3">
        <v>3764</v>
      </c>
      <c r="F478" s="8">
        <v>0.29659999999999997</v>
      </c>
      <c r="G478" s="4">
        <v>61.272100000000002</v>
      </c>
      <c r="H478" s="4">
        <v>47.631700000000002</v>
      </c>
      <c r="I478" s="4">
        <v>28.57</v>
      </c>
      <c r="J478" s="4">
        <v>30.842500000000001</v>
      </c>
      <c r="K478" s="4">
        <v>28.57</v>
      </c>
      <c r="L478" s="4">
        <v>29.232500000000002</v>
      </c>
      <c r="M478" s="7">
        <v>2.3199999999999998E-2</v>
      </c>
    </row>
    <row r="479" spans="1:13" x14ac:dyDescent="0.2">
      <c r="A479" s="6">
        <v>44623</v>
      </c>
      <c r="B479" s="2" t="s">
        <v>227</v>
      </c>
      <c r="C479" s="5">
        <v>44621</v>
      </c>
      <c r="D479" s="2" t="s">
        <v>183</v>
      </c>
      <c r="E479" s="3">
        <v>3714</v>
      </c>
      <c r="F479" s="8">
        <v>0.24399999999999999</v>
      </c>
      <c r="G479" s="4">
        <v>52.1922</v>
      </c>
      <c r="H479" s="4">
        <v>44.810099999999998</v>
      </c>
      <c r="I479" s="4">
        <v>29.232500000000002</v>
      </c>
      <c r="J479" s="4">
        <v>29.232500000000002</v>
      </c>
      <c r="K479" s="4">
        <v>27.2225</v>
      </c>
      <c r="L479" s="4">
        <v>28.155000000000001</v>
      </c>
      <c r="M479" s="7">
        <v>-3.6900000000000002E-2</v>
      </c>
    </row>
    <row r="480" spans="1:13" x14ac:dyDescent="0.2">
      <c r="A480" s="6">
        <v>44624</v>
      </c>
      <c r="B480" s="2" t="s">
        <v>225</v>
      </c>
      <c r="C480" s="5">
        <v>44621</v>
      </c>
      <c r="D480" s="2" t="s">
        <v>183</v>
      </c>
      <c r="E480" s="3">
        <v>3749</v>
      </c>
      <c r="F480" s="8">
        <v>0.30449999999999999</v>
      </c>
      <c r="G480" s="4">
        <v>58.293199999999999</v>
      </c>
      <c r="H480" s="4">
        <v>44.5182</v>
      </c>
      <c r="I480" s="4">
        <v>28.155000000000001</v>
      </c>
      <c r="J480" s="4">
        <v>29.925000000000001</v>
      </c>
      <c r="K480" s="4">
        <v>27.2225</v>
      </c>
      <c r="L480" s="4">
        <v>27.9575</v>
      </c>
      <c r="M480" s="7">
        <v>-7.0000000000000001E-3</v>
      </c>
    </row>
    <row r="481" spans="1:13" x14ac:dyDescent="0.2">
      <c r="A481" s="6">
        <v>44627</v>
      </c>
      <c r="B481" s="2" t="s">
        <v>228</v>
      </c>
      <c r="C481" s="5">
        <v>44621</v>
      </c>
      <c r="D481" s="2" t="s">
        <v>183</v>
      </c>
      <c r="E481" s="3">
        <v>3921</v>
      </c>
      <c r="F481" s="8">
        <v>0.50049999999999994</v>
      </c>
      <c r="G481" s="4">
        <v>61.720799999999997</v>
      </c>
      <c r="H481" s="4">
        <v>70.017200000000003</v>
      </c>
      <c r="I481" s="4">
        <v>27.9575</v>
      </c>
      <c r="J481" s="4">
        <v>30.2775</v>
      </c>
      <c r="K481" s="4">
        <v>27.9575</v>
      </c>
      <c r="L481" s="4">
        <v>29.33</v>
      </c>
      <c r="M481" s="7">
        <v>4.9099999999999998E-2</v>
      </c>
    </row>
    <row r="482" spans="1:13" x14ac:dyDescent="0.2">
      <c r="A482" s="6">
        <v>44628</v>
      </c>
      <c r="B482" s="2" t="s">
        <v>226</v>
      </c>
      <c r="C482" s="5">
        <v>44621</v>
      </c>
      <c r="D482" s="2" t="s">
        <v>183</v>
      </c>
      <c r="E482" s="3">
        <v>3745</v>
      </c>
      <c r="F482" s="8">
        <v>0.35389999999999999</v>
      </c>
      <c r="G482" s="4">
        <v>51.621499999999997</v>
      </c>
      <c r="H482" s="4">
        <v>51.709299999999999</v>
      </c>
      <c r="I482" s="4">
        <v>29.33</v>
      </c>
      <c r="J482" s="4">
        <v>30.057500000000001</v>
      </c>
      <c r="K482" s="4">
        <v>27.112500000000001</v>
      </c>
      <c r="L482" s="4">
        <v>28.587499999999999</v>
      </c>
      <c r="M482" s="7">
        <v>-2.53E-2</v>
      </c>
    </row>
    <row r="483" spans="1:13" x14ac:dyDescent="0.2">
      <c r="A483" s="6">
        <v>44629</v>
      </c>
      <c r="B483" s="2" t="s">
        <v>224</v>
      </c>
      <c r="C483" s="5">
        <v>44621</v>
      </c>
      <c r="D483" s="2" t="s">
        <v>183</v>
      </c>
      <c r="E483" s="3">
        <v>3723</v>
      </c>
      <c r="F483" s="8">
        <v>0.31019999999999998</v>
      </c>
      <c r="G483" s="4">
        <v>56.208100000000002</v>
      </c>
      <c r="H483" s="4">
        <v>48.116300000000003</v>
      </c>
      <c r="I483" s="4">
        <v>28.587499999999999</v>
      </c>
      <c r="J483" s="4">
        <v>28.587499999999999</v>
      </c>
      <c r="K483" s="4">
        <v>27.305</v>
      </c>
      <c r="L483" s="4">
        <v>27.467500000000001</v>
      </c>
      <c r="M483" s="7">
        <v>-3.9199999999999999E-2</v>
      </c>
    </row>
    <row r="484" spans="1:13" x14ac:dyDescent="0.2">
      <c r="A484" s="6">
        <v>44630</v>
      </c>
      <c r="B484" s="2" t="s">
        <v>227</v>
      </c>
      <c r="C484" s="5">
        <v>44621</v>
      </c>
      <c r="D484" s="2" t="s">
        <v>183</v>
      </c>
      <c r="E484" s="3">
        <v>3757</v>
      </c>
      <c r="F484" s="8">
        <v>0.30080000000000001</v>
      </c>
      <c r="G484" s="4">
        <v>50.3217</v>
      </c>
      <c r="H484" s="4">
        <v>74.805000000000007</v>
      </c>
      <c r="I484" s="4">
        <v>27.467500000000001</v>
      </c>
      <c r="J484" s="4">
        <v>27.467500000000001</v>
      </c>
      <c r="K484" s="4">
        <v>22.962499999999999</v>
      </c>
      <c r="L484" s="4">
        <v>25.5825</v>
      </c>
      <c r="M484" s="7">
        <v>-6.8599999999999994E-2</v>
      </c>
    </row>
    <row r="485" spans="1:13" x14ac:dyDescent="0.2">
      <c r="A485" s="6">
        <v>44631</v>
      </c>
      <c r="B485" s="2" t="s">
        <v>225</v>
      </c>
      <c r="C485" s="5">
        <v>44621</v>
      </c>
      <c r="D485" s="2" t="s">
        <v>183</v>
      </c>
      <c r="E485" s="3">
        <v>3720</v>
      </c>
      <c r="F485" s="8">
        <v>0.253</v>
      </c>
      <c r="G485" s="4">
        <v>53.6449</v>
      </c>
      <c r="H485" s="4">
        <v>42.979399999999998</v>
      </c>
      <c r="I485" s="4">
        <v>25.5825</v>
      </c>
      <c r="J485" s="4">
        <v>25.872499999999999</v>
      </c>
      <c r="K485" s="4">
        <v>24.58</v>
      </c>
      <c r="L485" s="4">
        <v>25.344999999999999</v>
      </c>
      <c r="M485" s="7">
        <v>-9.2999999999999992E-3</v>
      </c>
    </row>
    <row r="486" spans="1:13" x14ac:dyDescent="0.2">
      <c r="A486" s="6">
        <v>44634</v>
      </c>
      <c r="B486" s="2" t="s">
        <v>228</v>
      </c>
      <c r="C486" s="5">
        <v>44621</v>
      </c>
      <c r="D486" s="2" t="s">
        <v>183</v>
      </c>
      <c r="E486" s="3">
        <v>3888</v>
      </c>
      <c r="F486" s="8">
        <v>0.27379999999999999</v>
      </c>
      <c r="G486" s="4">
        <v>56.533900000000003</v>
      </c>
      <c r="H486" s="4">
        <v>41.098399999999998</v>
      </c>
      <c r="I486" s="4">
        <v>25.344999999999999</v>
      </c>
      <c r="J486" s="4">
        <v>26.212499999999999</v>
      </c>
      <c r="K486" s="4">
        <v>25.09</v>
      </c>
      <c r="L486" s="4">
        <v>25.677499999999998</v>
      </c>
      <c r="M486" s="7">
        <v>1.3100000000000001E-2</v>
      </c>
    </row>
    <row r="487" spans="1:13" x14ac:dyDescent="0.2">
      <c r="A487" s="6">
        <v>44635</v>
      </c>
      <c r="B487" s="2" t="s">
        <v>226</v>
      </c>
      <c r="C487" s="5">
        <v>44621</v>
      </c>
      <c r="D487" s="2" t="s">
        <v>183</v>
      </c>
      <c r="E487" s="3">
        <v>3756</v>
      </c>
      <c r="F487" s="8">
        <v>0.3115</v>
      </c>
      <c r="G487" s="4">
        <v>60.408999999999999</v>
      </c>
      <c r="H487" s="4">
        <v>41.417400000000001</v>
      </c>
      <c r="I487" s="4">
        <v>25.677499999999998</v>
      </c>
      <c r="J487" s="4">
        <v>27.5425</v>
      </c>
      <c r="K487" s="4">
        <v>23.657499999999999</v>
      </c>
      <c r="L487" s="4">
        <v>26.73</v>
      </c>
      <c r="M487" s="7">
        <v>4.1000000000000002E-2</v>
      </c>
    </row>
    <row r="488" spans="1:13" x14ac:dyDescent="0.2">
      <c r="A488" s="6">
        <v>44636</v>
      </c>
      <c r="B488" s="2" t="s">
        <v>224</v>
      </c>
      <c r="C488" s="5">
        <v>44621</v>
      </c>
      <c r="D488" s="2" t="s">
        <v>183</v>
      </c>
      <c r="E488" s="3">
        <v>3809</v>
      </c>
      <c r="F488" s="8">
        <v>0.26519999999999999</v>
      </c>
      <c r="G488" s="4">
        <v>64.771100000000004</v>
      </c>
      <c r="H488" s="4">
        <v>36.701500000000003</v>
      </c>
      <c r="I488" s="4">
        <v>26.73</v>
      </c>
      <c r="J488" s="4">
        <v>26.73</v>
      </c>
      <c r="K488" s="4">
        <v>24.012499999999999</v>
      </c>
      <c r="L488" s="4">
        <v>24.1175</v>
      </c>
      <c r="M488" s="7">
        <v>-9.7699999999999995E-2</v>
      </c>
    </row>
    <row r="489" spans="1:13" x14ac:dyDescent="0.2">
      <c r="A489" s="6">
        <v>44637</v>
      </c>
      <c r="B489" s="2" t="s">
        <v>227</v>
      </c>
      <c r="C489" s="5">
        <v>44621</v>
      </c>
      <c r="D489" s="2" t="s">
        <v>183</v>
      </c>
      <c r="E489" s="3">
        <v>3794</v>
      </c>
      <c r="F489" s="8">
        <v>0.29899999999999999</v>
      </c>
      <c r="G489" s="4">
        <v>53.966500000000003</v>
      </c>
      <c r="H489" s="4">
        <v>41.599400000000003</v>
      </c>
      <c r="I489" s="4">
        <v>24.1175</v>
      </c>
      <c r="J489" s="4">
        <v>24.1175</v>
      </c>
      <c r="K489" s="4">
        <v>20.77</v>
      </c>
      <c r="L489" s="4">
        <v>22.61</v>
      </c>
      <c r="M489" s="7">
        <v>-6.25E-2</v>
      </c>
    </row>
    <row r="490" spans="1:13" x14ac:dyDescent="0.2">
      <c r="A490" s="6">
        <v>44641</v>
      </c>
      <c r="B490" s="2" t="s">
        <v>228</v>
      </c>
      <c r="C490" s="5">
        <v>44621</v>
      </c>
      <c r="D490" s="2" t="s">
        <v>183</v>
      </c>
      <c r="E490" s="3">
        <v>3942</v>
      </c>
      <c r="F490" s="8">
        <v>0.29239999999999999</v>
      </c>
      <c r="G490" s="4">
        <v>52.127400000000002</v>
      </c>
      <c r="H490" s="4">
        <v>39.918199999999999</v>
      </c>
      <c r="I490" s="4">
        <v>22.61</v>
      </c>
      <c r="J490" s="4">
        <v>24.712499999999999</v>
      </c>
      <c r="K490" s="4">
        <v>22.61</v>
      </c>
      <c r="L490" s="4">
        <v>24.622499999999999</v>
      </c>
      <c r="M490" s="7">
        <v>8.8999999999999996E-2</v>
      </c>
    </row>
    <row r="491" spans="1:13" x14ac:dyDescent="0.2">
      <c r="A491" s="6">
        <v>44642</v>
      </c>
      <c r="B491" s="2" t="s">
        <v>226</v>
      </c>
      <c r="C491" s="5">
        <v>44621</v>
      </c>
      <c r="D491" s="2" t="s">
        <v>183</v>
      </c>
      <c r="E491" s="3">
        <v>3774</v>
      </c>
      <c r="F491" s="8">
        <v>0.28360000000000002</v>
      </c>
      <c r="G491" s="4">
        <v>53.705300000000001</v>
      </c>
      <c r="H491" s="4">
        <v>40.159300000000002</v>
      </c>
      <c r="I491" s="4">
        <v>24.622499999999999</v>
      </c>
      <c r="J491" s="4">
        <v>25.157499999999999</v>
      </c>
      <c r="K491" s="4">
        <v>23.76</v>
      </c>
      <c r="L491" s="4">
        <v>24.07</v>
      </c>
      <c r="M491" s="7">
        <v>-2.24E-2</v>
      </c>
    </row>
    <row r="492" spans="1:13" x14ac:dyDescent="0.2">
      <c r="A492" s="6">
        <v>44643</v>
      </c>
      <c r="B492" s="2" t="s">
        <v>224</v>
      </c>
      <c r="C492" s="5">
        <v>44621</v>
      </c>
      <c r="D492" s="2" t="s">
        <v>183</v>
      </c>
      <c r="E492" s="3">
        <v>3806</v>
      </c>
      <c r="F492" s="8">
        <v>0.28270000000000001</v>
      </c>
      <c r="G492" s="4">
        <v>56.770600000000002</v>
      </c>
      <c r="H492" s="4">
        <v>45.387099999999997</v>
      </c>
      <c r="I492" s="4">
        <v>24.07</v>
      </c>
      <c r="J492" s="4">
        <v>24.975000000000001</v>
      </c>
      <c r="K492" s="4">
        <v>20.454999999999998</v>
      </c>
      <c r="L492" s="4">
        <v>24.747499999999999</v>
      </c>
      <c r="M492" s="7">
        <v>2.81E-2</v>
      </c>
    </row>
    <row r="493" spans="1:13" x14ac:dyDescent="0.2">
      <c r="A493" s="6">
        <v>44644</v>
      </c>
      <c r="B493" s="2" t="s">
        <v>227</v>
      </c>
      <c r="C493" s="5">
        <v>44621</v>
      </c>
      <c r="D493" s="2" t="s">
        <v>183</v>
      </c>
      <c r="E493" s="3">
        <v>3785</v>
      </c>
      <c r="F493" s="8">
        <v>0.27150000000000002</v>
      </c>
      <c r="G493" s="4">
        <v>57.921999999999997</v>
      </c>
      <c r="H493" s="4">
        <v>114.3193</v>
      </c>
      <c r="I493" s="4">
        <v>24.747499999999999</v>
      </c>
      <c r="J493" s="4">
        <v>25.53</v>
      </c>
      <c r="K493" s="4">
        <v>23.8125</v>
      </c>
      <c r="L493" s="4">
        <v>23.93</v>
      </c>
      <c r="M493" s="7">
        <v>-3.3000000000000002E-2</v>
      </c>
    </row>
    <row r="494" spans="1:13" x14ac:dyDescent="0.2">
      <c r="A494" s="6">
        <v>44645</v>
      </c>
      <c r="B494" s="2" t="s">
        <v>225</v>
      </c>
      <c r="C494" s="5">
        <v>44621</v>
      </c>
      <c r="D494" s="2" t="s">
        <v>183</v>
      </c>
      <c r="E494" s="3">
        <v>3805</v>
      </c>
      <c r="F494" s="8">
        <v>0.28820000000000001</v>
      </c>
      <c r="G494" s="4">
        <v>61.4114</v>
      </c>
      <c r="H494" s="4">
        <v>49.661200000000001</v>
      </c>
      <c r="I494" s="4">
        <v>23.93</v>
      </c>
      <c r="J494" s="4">
        <v>24.272500000000001</v>
      </c>
      <c r="K494" s="4">
        <v>22.91</v>
      </c>
      <c r="L494" s="4">
        <v>23.43</v>
      </c>
      <c r="M494" s="7">
        <v>-2.0899999999999998E-2</v>
      </c>
    </row>
    <row r="495" spans="1:13" x14ac:dyDescent="0.2">
      <c r="A495" s="6">
        <v>44648</v>
      </c>
      <c r="B495" s="2" t="s">
        <v>228</v>
      </c>
      <c r="C495" s="5">
        <v>44621</v>
      </c>
      <c r="D495" s="2" t="s">
        <v>183</v>
      </c>
      <c r="E495" s="3">
        <v>3942</v>
      </c>
      <c r="F495" s="8">
        <v>0.32650000000000001</v>
      </c>
      <c r="G495" s="4">
        <v>58.544600000000003</v>
      </c>
      <c r="H495" s="4">
        <v>48.7027</v>
      </c>
      <c r="I495" s="4">
        <v>23.43</v>
      </c>
      <c r="J495" s="4">
        <v>24.212499999999999</v>
      </c>
      <c r="K495" s="4">
        <v>19.59</v>
      </c>
      <c r="L495" s="4">
        <v>22.61</v>
      </c>
      <c r="M495" s="7">
        <v>-3.5000000000000003E-2</v>
      </c>
    </row>
    <row r="496" spans="1:13" x14ac:dyDescent="0.2">
      <c r="A496" s="6">
        <v>44649</v>
      </c>
      <c r="B496" s="2" t="s">
        <v>226</v>
      </c>
      <c r="C496" s="5">
        <v>44621</v>
      </c>
      <c r="D496" s="2" t="s">
        <v>183</v>
      </c>
      <c r="E496" s="3">
        <v>3787</v>
      </c>
      <c r="F496" s="8">
        <v>0.34379999999999999</v>
      </c>
      <c r="G496" s="4">
        <v>87.097899999999996</v>
      </c>
      <c r="H496" s="4">
        <v>53.8337</v>
      </c>
      <c r="I496" s="4">
        <v>22.61</v>
      </c>
      <c r="J496" s="4">
        <v>22.61</v>
      </c>
      <c r="K496" s="4">
        <v>21.102499999999999</v>
      </c>
      <c r="L496" s="4">
        <v>21.302499999999998</v>
      </c>
      <c r="M496" s="7">
        <v>-5.7799999999999997E-2</v>
      </c>
    </row>
    <row r="497" spans="1:13" x14ac:dyDescent="0.2">
      <c r="A497" s="6">
        <v>44650</v>
      </c>
      <c r="B497" s="2" t="s">
        <v>224</v>
      </c>
      <c r="C497" s="5">
        <v>44621</v>
      </c>
      <c r="D497" s="2" t="s">
        <v>183</v>
      </c>
      <c r="E497" s="3">
        <v>3758</v>
      </c>
      <c r="F497" s="8">
        <v>0.30020000000000002</v>
      </c>
      <c r="G497" s="4">
        <v>70.472499999999997</v>
      </c>
      <c r="H497" s="4">
        <v>46.228999999999999</v>
      </c>
      <c r="I497" s="4">
        <v>21.302499999999998</v>
      </c>
      <c r="J497" s="4">
        <v>21.302499999999998</v>
      </c>
      <c r="K497" s="4">
        <v>19.73</v>
      </c>
      <c r="L497" s="4">
        <v>20.61</v>
      </c>
      <c r="M497" s="7">
        <v>-3.2500000000000001E-2</v>
      </c>
    </row>
    <row r="498" spans="1:13" x14ac:dyDescent="0.2">
      <c r="A498" s="6">
        <v>44651</v>
      </c>
      <c r="B498" s="2" t="s">
        <v>227</v>
      </c>
      <c r="C498" s="5">
        <v>44621</v>
      </c>
      <c r="D498" s="2" t="s">
        <v>183</v>
      </c>
      <c r="E498" s="3">
        <v>3737</v>
      </c>
      <c r="F498" s="8">
        <v>0.28949999999999998</v>
      </c>
      <c r="G498" s="4">
        <v>70.268500000000003</v>
      </c>
      <c r="H498" s="4">
        <v>41.135800000000003</v>
      </c>
      <c r="I498" s="4">
        <v>20.61</v>
      </c>
      <c r="J498" s="4">
        <v>20.942499999999999</v>
      </c>
      <c r="K498" s="4">
        <v>20.212499999999999</v>
      </c>
      <c r="L498" s="4">
        <v>20.56</v>
      </c>
      <c r="M498" s="7">
        <v>-2.3999999999999998E-3</v>
      </c>
    </row>
    <row r="499" spans="1:13" x14ac:dyDescent="0.2">
      <c r="A499" s="6">
        <v>44652</v>
      </c>
      <c r="B499" s="2" t="s">
        <v>225</v>
      </c>
      <c r="C499" s="5">
        <v>44652</v>
      </c>
      <c r="D499" s="2" t="s">
        <v>184</v>
      </c>
      <c r="E499" s="3">
        <v>3733</v>
      </c>
      <c r="F499" s="8">
        <v>0.29980000000000001</v>
      </c>
      <c r="G499" s="4">
        <v>70.863699999999994</v>
      </c>
      <c r="H499" s="4">
        <v>42.788800000000002</v>
      </c>
      <c r="I499" s="4">
        <v>20.56</v>
      </c>
      <c r="J499" s="4">
        <v>20.855</v>
      </c>
      <c r="K499" s="4">
        <v>18.12</v>
      </c>
      <c r="L499" s="4">
        <v>18.434999999999999</v>
      </c>
      <c r="M499" s="7">
        <v>-0.10340000000000001</v>
      </c>
    </row>
    <row r="500" spans="1:13" x14ac:dyDescent="0.2">
      <c r="A500" s="6">
        <v>44655</v>
      </c>
      <c r="B500" s="2" t="s">
        <v>228</v>
      </c>
      <c r="C500" s="5">
        <v>44652</v>
      </c>
      <c r="D500" s="2" t="s">
        <v>184</v>
      </c>
      <c r="E500" s="3">
        <v>3958</v>
      </c>
      <c r="F500" s="8">
        <v>0.39</v>
      </c>
      <c r="G500" s="4">
        <v>80.078100000000006</v>
      </c>
      <c r="H500" s="4">
        <v>61.795499999999997</v>
      </c>
      <c r="I500" s="4">
        <v>18.434999999999999</v>
      </c>
      <c r="J500" s="4">
        <v>18.824999999999999</v>
      </c>
      <c r="K500" s="4">
        <v>17.592500000000001</v>
      </c>
      <c r="L500" s="4">
        <v>17.907499999999999</v>
      </c>
      <c r="M500" s="7">
        <v>-2.86E-2</v>
      </c>
    </row>
    <row r="501" spans="1:13" x14ac:dyDescent="0.2">
      <c r="A501" s="6">
        <v>44656</v>
      </c>
      <c r="B501" s="2" t="s">
        <v>226</v>
      </c>
      <c r="C501" s="5">
        <v>44652</v>
      </c>
      <c r="D501" s="2" t="s">
        <v>184</v>
      </c>
      <c r="E501" s="3">
        <v>3791</v>
      </c>
      <c r="F501" s="8">
        <v>0.37080000000000002</v>
      </c>
      <c r="G501" s="4">
        <v>83.634100000000004</v>
      </c>
      <c r="H501" s="4">
        <v>57.384900000000002</v>
      </c>
      <c r="I501" s="4">
        <v>17.907499999999999</v>
      </c>
      <c r="J501" s="4">
        <v>18.63</v>
      </c>
      <c r="K501" s="4">
        <v>16.79</v>
      </c>
      <c r="L501" s="4">
        <v>18.487500000000001</v>
      </c>
      <c r="M501" s="7">
        <v>3.2399999999999998E-2</v>
      </c>
    </row>
    <row r="502" spans="1:13" x14ac:dyDescent="0.2">
      <c r="A502" s="6">
        <v>44657</v>
      </c>
      <c r="B502" s="2" t="s">
        <v>224</v>
      </c>
      <c r="C502" s="5">
        <v>44652</v>
      </c>
      <c r="D502" s="2" t="s">
        <v>184</v>
      </c>
      <c r="E502" s="3">
        <v>3793</v>
      </c>
      <c r="F502" s="8">
        <v>0.39839999999999998</v>
      </c>
      <c r="G502" s="4">
        <v>108.2418</v>
      </c>
      <c r="H502" s="4">
        <v>59.605899999999998</v>
      </c>
      <c r="I502" s="4">
        <v>18.487500000000001</v>
      </c>
      <c r="J502" s="4">
        <v>19.282499999999999</v>
      </c>
      <c r="K502" s="4">
        <v>16.809999999999999</v>
      </c>
      <c r="L502" s="4">
        <v>19.022500000000001</v>
      </c>
      <c r="M502" s="7">
        <v>2.8899999999999999E-2</v>
      </c>
    </row>
    <row r="503" spans="1:13" x14ac:dyDescent="0.2">
      <c r="A503" s="6">
        <v>44658</v>
      </c>
      <c r="B503" s="2" t="s">
        <v>227</v>
      </c>
      <c r="C503" s="5">
        <v>44652</v>
      </c>
      <c r="D503" s="2" t="s">
        <v>184</v>
      </c>
      <c r="E503" s="3">
        <v>3781</v>
      </c>
      <c r="F503" s="8">
        <v>0.44159999999999999</v>
      </c>
      <c r="G503" s="4">
        <v>113.05500000000001</v>
      </c>
      <c r="H503" s="4">
        <v>88.913300000000007</v>
      </c>
      <c r="I503" s="4">
        <v>19.022500000000001</v>
      </c>
      <c r="J503" s="4">
        <v>19.489999999999998</v>
      </c>
      <c r="K503" s="4">
        <v>17.717500000000001</v>
      </c>
      <c r="L503" s="4">
        <v>18.997499999999999</v>
      </c>
      <c r="M503" s="7">
        <v>-1.2999999999999999E-3</v>
      </c>
    </row>
    <row r="504" spans="1:13" x14ac:dyDescent="0.2">
      <c r="A504" s="6">
        <v>44659</v>
      </c>
      <c r="B504" s="2" t="s">
        <v>225</v>
      </c>
      <c r="C504" s="5">
        <v>44652</v>
      </c>
      <c r="D504" s="2" t="s">
        <v>184</v>
      </c>
      <c r="E504" s="3">
        <v>3757</v>
      </c>
      <c r="F504" s="8">
        <v>0.35649999999999998</v>
      </c>
      <c r="G504" s="4">
        <v>78.846400000000003</v>
      </c>
      <c r="H504" s="4">
        <v>66.938900000000004</v>
      </c>
      <c r="I504" s="4">
        <v>18.997499999999999</v>
      </c>
      <c r="J504" s="4">
        <v>20.087499999999999</v>
      </c>
      <c r="K504" s="4">
        <v>17.53</v>
      </c>
      <c r="L504" s="4">
        <v>17.6875</v>
      </c>
      <c r="M504" s="7">
        <v>-6.9000000000000006E-2</v>
      </c>
    </row>
    <row r="505" spans="1:13" x14ac:dyDescent="0.2">
      <c r="A505" s="6">
        <v>44662</v>
      </c>
      <c r="B505" s="2" t="s">
        <v>228</v>
      </c>
      <c r="C505" s="5">
        <v>44652</v>
      </c>
      <c r="D505" s="2" t="s">
        <v>184</v>
      </c>
      <c r="E505" s="3">
        <v>3939</v>
      </c>
      <c r="F505" s="8">
        <v>0.38040000000000002</v>
      </c>
      <c r="G505" s="4">
        <v>66.803299999999993</v>
      </c>
      <c r="H505" s="4">
        <v>52.275500000000001</v>
      </c>
      <c r="I505" s="4">
        <v>17.6875</v>
      </c>
      <c r="J505" s="4">
        <v>19.145</v>
      </c>
      <c r="K505" s="4">
        <v>16.642499999999998</v>
      </c>
      <c r="L505" s="4">
        <v>18.27</v>
      </c>
      <c r="M505" s="7">
        <v>3.2899999999999999E-2</v>
      </c>
    </row>
    <row r="506" spans="1:13" x14ac:dyDescent="0.2">
      <c r="A506" s="6">
        <v>44663</v>
      </c>
      <c r="B506" s="2" t="s">
        <v>226</v>
      </c>
      <c r="C506" s="5">
        <v>44652</v>
      </c>
      <c r="D506" s="2" t="s">
        <v>184</v>
      </c>
      <c r="E506" s="3">
        <v>3762</v>
      </c>
      <c r="F506" s="8">
        <v>0.37359999999999999</v>
      </c>
      <c r="G506" s="4">
        <v>57.231299999999997</v>
      </c>
      <c r="H506" s="4">
        <v>52.099200000000003</v>
      </c>
      <c r="I506" s="4">
        <v>18.27</v>
      </c>
      <c r="J506" s="4">
        <v>18.672499999999999</v>
      </c>
      <c r="K506" s="4">
        <v>15.085000000000001</v>
      </c>
      <c r="L506" s="4">
        <v>18.157499999999999</v>
      </c>
      <c r="M506" s="7">
        <v>-6.1999999999999998E-3</v>
      </c>
    </row>
    <row r="507" spans="1:13" x14ac:dyDescent="0.2">
      <c r="A507" s="6">
        <v>44664</v>
      </c>
      <c r="B507" s="2" t="s">
        <v>224</v>
      </c>
      <c r="C507" s="5">
        <v>44652</v>
      </c>
      <c r="D507" s="2" t="s">
        <v>184</v>
      </c>
      <c r="E507" s="3">
        <v>3772</v>
      </c>
      <c r="F507" s="8">
        <v>0.31569999999999998</v>
      </c>
      <c r="G507" s="4">
        <v>58.274299999999997</v>
      </c>
      <c r="H507" s="4">
        <v>41.993600000000001</v>
      </c>
      <c r="I507" s="4">
        <v>18.157499999999999</v>
      </c>
      <c r="J507" s="4">
        <v>18.4025</v>
      </c>
      <c r="K507" s="4">
        <v>16.192499999999999</v>
      </c>
      <c r="L507" s="4">
        <v>17.785</v>
      </c>
      <c r="M507" s="7">
        <v>-2.0500000000000001E-2</v>
      </c>
    </row>
    <row r="508" spans="1:13" x14ac:dyDescent="0.2">
      <c r="A508" s="6">
        <v>44669</v>
      </c>
      <c r="B508" s="2" t="s">
        <v>228</v>
      </c>
      <c r="C508" s="5">
        <v>44652</v>
      </c>
      <c r="D508" s="2" t="s">
        <v>184</v>
      </c>
      <c r="E508" s="3">
        <v>3954</v>
      </c>
      <c r="F508" s="8">
        <v>0.38490000000000002</v>
      </c>
      <c r="G508" s="4">
        <v>57.783900000000003</v>
      </c>
      <c r="H508" s="4">
        <v>52.024900000000002</v>
      </c>
      <c r="I508" s="4">
        <v>17.785</v>
      </c>
      <c r="J508" s="4">
        <v>20.482500000000002</v>
      </c>
      <c r="K508" s="4">
        <v>17.785</v>
      </c>
      <c r="L508" s="4">
        <v>19.335000000000001</v>
      </c>
      <c r="M508" s="7">
        <v>8.72E-2</v>
      </c>
    </row>
    <row r="509" spans="1:13" x14ac:dyDescent="0.2">
      <c r="A509" s="6">
        <v>44670</v>
      </c>
      <c r="B509" s="2" t="s">
        <v>226</v>
      </c>
      <c r="C509" s="5">
        <v>44652</v>
      </c>
      <c r="D509" s="2" t="s">
        <v>184</v>
      </c>
      <c r="E509" s="3">
        <v>3821</v>
      </c>
      <c r="F509" s="8">
        <v>0.37280000000000002</v>
      </c>
      <c r="G509" s="4">
        <v>63.284999999999997</v>
      </c>
      <c r="H509" s="4">
        <v>54.784100000000002</v>
      </c>
      <c r="I509" s="4">
        <v>19.335000000000001</v>
      </c>
      <c r="J509" s="4">
        <v>20.807500000000001</v>
      </c>
      <c r="K509" s="4">
        <v>14.6275</v>
      </c>
      <c r="L509" s="4">
        <v>19.774999999999999</v>
      </c>
      <c r="M509" s="7">
        <v>2.2800000000000001E-2</v>
      </c>
    </row>
    <row r="510" spans="1:13" x14ac:dyDescent="0.2">
      <c r="A510" s="6">
        <v>44671</v>
      </c>
      <c r="B510" s="2" t="s">
        <v>224</v>
      </c>
      <c r="C510" s="5">
        <v>44652</v>
      </c>
      <c r="D510" s="2" t="s">
        <v>184</v>
      </c>
      <c r="E510" s="3">
        <v>3795</v>
      </c>
      <c r="F510" s="8">
        <v>0.32640000000000002</v>
      </c>
      <c r="G510" s="4">
        <v>49.827199999999998</v>
      </c>
      <c r="H510" s="4">
        <v>43.138100000000001</v>
      </c>
      <c r="I510" s="4">
        <v>19.774999999999999</v>
      </c>
      <c r="J510" s="4">
        <v>20.265000000000001</v>
      </c>
      <c r="K510" s="4">
        <v>17.835000000000001</v>
      </c>
      <c r="L510" s="4">
        <v>18.672499999999999</v>
      </c>
      <c r="M510" s="7">
        <v>-5.5800000000000002E-2</v>
      </c>
    </row>
    <row r="511" spans="1:13" x14ac:dyDescent="0.2">
      <c r="A511" s="6">
        <v>44672</v>
      </c>
      <c r="B511" s="2" t="s">
        <v>227</v>
      </c>
      <c r="C511" s="5">
        <v>44652</v>
      </c>
      <c r="D511" s="2" t="s">
        <v>184</v>
      </c>
      <c r="E511" s="3">
        <v>3777</v>
      </c>
      <c r="F511" s="8">
        <v>0.30559999999999998</v>
      </c>
      <c r="G511" s="4">
        <v>77.477400000000003</v>
      </c>
      <c r="H511" s="4">
        <v>61.560499999999998</v>
      </c>
      <c r="I511" s="4">
        <v>18.672499999999999</v>
      </c>
      <c r="J511" s="4">
        <v>18.672499999999999</v>
      </c>
      <c r="K511" s="4">
        <v>13.35</v>
      </c>
      <c r="L511" s="4">
        <v>17.852499999999999</v>
      </c>
      <c r="M511" s="7">
        <v>-4.3900000000000002E-2</v>
      </c>
    </row>
    <row r="512" spans="1:13" x14ac:dyDescent="0.2">
      <c r="A512" s="6">
        <v>44673</v>
      </c>
      <c r="B512" s="2" t="s">
        <v>225</v>
      </c>
      <c r="C512" s="5">
        <v>44652</v>
      </c>
      <c r="D512" s="2" t="s">
        <v>184</v>
      </c>
      <c r="E512" s="3">
        <v>3794</v>
      </c>
      <c r="F512" s="8">
        <v>0.29099999999999998</v>
      </c>
      <c r="G512" s="4">
        <v>68.800399999999996</v>
      </c>
      <c r="H512" s="4">
        <v>51.656599999999997</v>
      </c>
      <c r="I512" s="4">
        <v>17.852499999999999</v>
      </c>
      <c r="J512" s="4">
        <v>18.760000000000002</v>
      </c>
      <c r="K512" s="4">
        <v>17.8125</v>
      </c>
      <c r="L512" s="4">
        <v>18.352499999999999</v>
      </c>
      <c r="M512" s="7">
        <v>2.8000000000000001E-2</v>
      </c>
    </row>
    <row r="513" spans="1:13" x14ac:dyDescent="0.2">
      <c r="A513" s="6">
        <v>44676</v>
      </c>
      <c r="B513" s="2" t="s">
        <v>228</v>
      </c>
      <c r="C513" s="5">
        <v>44652</v>
      </c>
      <c r="D513" s="2" t="s">
        <v>184</v>
      </c>
      <c r="E513" s="3">
        <v>3931</v>
      </c>
      <c r="F513" s="8">
        <v>0.33550000000000002</v>
      </c>
      <c r="G513" s="4">
        <v>64.3476</v>
      </c>
      <c r="H513" s="4">
        <v>42.731900000000003</v>
      </c>
      <c r="I513" s="4">
        <v>18.352499999999999</v>
      </c>
      <c r="J513" s="4">
        <v>21.754999999999999</v>
      </c>
      <c r="K513" s="4">
        <v>18.352499999999999</v>
      </c>
      <c r="L513" s="4">
        <v>21.2575</v>
      </c>
      <c r="M513" s="7">
        <v>0.1583</v>
      </c>
    </row>
    <row r="514" spans="1:13" x14ac:dyDescent="0.2">
      <c r="A514" s="6">
        <v>44677</v>
      </c>
      <c r="B514" s="2" t="s">
        <v>226</v>
      </c>
      <c r="C514" s="5">
        <v>44652</v>
      </c>
      <c r="D514" s="2" t="s">
        <v>184</v>
      </c>
      <c r="E514" s="3">
        <v>3755</v>
      </c>
      <c r="F514" s="8">
        <v>0.27110000000000001</v>
      </c>
      <c r="G514" s="4">
        <v>54.878100000000003</v>
      </c>
      <c r="H514" s="4">
        <v>41.141300000000001</v>
      </c>
      <c r="I514" s="4">
        <v>21.2575</v>
      </c>
      <c r="J514" s="4">
        <v>21.2575</v>
      </c>
      <c r="K514" s="4">
        <v>19.004999999999999</v>
      </c>
      <c r="L514" s="4">
        <v>19.1875</v>
      </c>
      <c r="M514" s="7">
        <v>-9.74E-2</v>
      </c>
    </row>
    <row r="515" spans="1:13" x14ac:dyDescent="0.2">
      <c r="A515" s="6">
        <v>44678</v>
      </c>
      <c r="B515" s="2" t="s">
        <v>224</v>
      </c>
      <c r="C515" s="5">
        <v>44652</v>
      </c>
      <c r="D515" s="2" t="s">
        <v>184</v>
      </c>
      <c r="E515" s="3">
        <v>3742</v>
      </c>
      <c r="F515" s="8">
        <v>0.30430000000000001</v>
      </c>
      <c r="G515" s="4">
        <v>55.819299999999998</v>
      </c>
      <c r="H515" s="4">
        <v>49.467700000000001</v>
      </c>
      <c r="I515" s="4">
        <v>19.1875</v>
      </c>
      <c r="J515" s="4">
        <v>21.364999999999998</v>
      </c>
      <c r="K515" s="4">
        <v>19.1875</v>
      </c>
      <c r="L515" s="4">
        <v>20.605</v>
      </c>
      <c r="M515" s="7">
        <v>7.3899999999999993E-2</v>
      </c>
    </row>
    <row r="516" spans="1:13" x14ac:dyDescent="0.2">
      <c r="A516" s="6">
        <v>44679</v>
      </c>
      <c r="B516" s="2" t="s">
        <v>227</v>
      </c>
      <c r="C516" s="5">
        <v>44652</v>
      </c>
      <c r="D516" s="2" t="s">
        <v>184</v>
      </c>
      <c r="E516" s="3">
        <v>3746</v>
      </c>
      <c r="F516" s="8">
        <v>0.29980000000000001</v>
      </c>
      <c r="G516" s="4">
        <v>53.699800000000003</v>
      </c>
      <c r="H516" s="4">
        <v>42.1432</v>
      </c>
      <c r="I516" s="4">
        <v>20.605</v>
      </c>
      <c r="J516" s="4">
        <v>20.605</v>
      </c>
      <c r="K516" s="4">
        <v>19.022500000000001</v>
      </c>
      <c r="L516" s="4">
        <v>19.377500000000001</v>
      </c>
      <c r="M516" s="7">
        <v>-5.96E-2</v>
      </c>
    </row>
    <row r="517" spans="1:13" x14ac:dyDescent="0.2">
      <c r="A517" s="6">
        <v>44680</v>
      </c>
      <c r="B517" s="2" t="s">
        <v>225</v>
      </c>
      <c r="C517" s="5">
        <v>44652</v>
      </c>
      <c r="D517" s="2" t="s">
        <v>184</v>
      </c>
      <c r="E517" s="3">
        <v>3736</v>
      </c>
      <c r="F517" s="8">
        <v>0.311</v>
      </c>
      <c r="G517" s="4">
        <v>62.172899999999998</v>
      </c>
      <c r="H517" s="4">
        <v>45.854399999999998</v>
      </c>
      <c r="I517" s="4">
        <v>19.377500000000001</v>
      </c>
      <c r="J517" s="4">
        <v>19.647500000000001</v>
      </c>
      <c r="K517" s="4">
        <v>18.2075</v>
      </c>
      <c r="L517" s="4">
        <v>19.414999999999999</v>
      </c>
      <c r="M517" s="7">
        <v>1.9E-3</v>
      </c>
    </row>
    <row r="518" spans="1:13" x14ac:dyDescent="0.2">
      <c r="A518" s="6">
        <v>44683</v>
      </c>
      <c r="B518" s="2" t="s">
        <v>228</v>
      </c>
      <c r="C518" s="5">
        <v>44682</v>
      </c>
      <c r="D518" s="2" t="s">
        <v>184</v>
      </c>
      <c r="E518" s="3">
        <v>3916</v>
      </c>
      <c r="F518" s="8">
        <v>0.30109999999999998</v>
      </c>
      <c r="G518" s="4">
        <v>54.482999999999997</v>
      </c>
      <c r="H518" s="4">
        <v>38.865099999999998</v>
      </c>
      <c r="I518" s="4">
        <v>19.414999999999999</v>
      </c>
      <c r="J518" s="4">
        <v>21.0625</v>
      </c>
      <c r="K518" s="4">
        <v>19.414999999999999</v>
      </c>
      <c r="L518" s="4">
        <v>20.282499999999999</v>
      </c>
      <c r="M518" s="7">
        <v>4.4699999999999997E-2</v>
      </c>
    </row>
    <row r="519" spans="1:13" x14ac:dyDescent="0.2">
      <c r="A519" s="6">
        <v>44685</v>
      </c>
      <c r="B519" s="2" t="s">
        <v>224</v>
      </c>
      <c r="C519" s="5">
        <v>44682</v>
      </c>
      <c r="D519" s="2" t="s">
        <v>184</v>
      </c>
      <c r="E519" s="3">
        <v>3756</v>
      </c>
      <c r="F519" s="8">
        <v>0.3251</v>
      </c>
      <c r="G519" s="4">
        <v>62.8718</v>
      </c>
      <c r="H519" s="4">
        <v>137.02500000000001</v>
      </c>
      <c r="I519" s="4">
        <v>20.282499999999999</v>
      </c>
      <c r="J519" s="4">
        <v>22.387499999999999</v>
      </c>
      <c r="K519" s="4">
        <v>18.427499999999998</v>
      </c>
      <c r="L519" s="4">
        <v>21.877500000000001</v>
      </c>
      <c r="M519" s="7">
        <v>7.8600000000000003E-2</v>
      </c>
    </row>
    <row r="520" spans="1:13" x14ac:dyDescent="0.2">
      <c r="A520" s="6">
        <v>44686</v>
      </c>
      <c r="B520" s="2" t="s">
        <v>227</v>
      </c>
      <c r="C520" s="5">
        <v>44682</v>
      </c>
      <c r="D520" s="2" t="s">
        <v>184</v>
      </c>
      <c r="E520" s="3">
        <v>3712</v>
      </c>
      <c r="F520" s="8">
        <v>0.29909999999999998</v>
      </c>
      <c r="G520" s="4">
        <v>42.3521</v>
      </c>
      <c r="H520" s="4">
        <v>40.745600000000003</v>
      </c>
      <c r="I520" s="4">
        <v>21.877500000000001</v>
      </c>
      <c r="J520" s="4">
        <v>21.877500000000001</v>
      </c>
      <c r="K520" s="4">
        <v>19.614999999999998</v>
      </c>
      <c r="L520" s="4">
        <v>20.2925</v>
      </c>
      <c r="M520" s="7">
        <v>-7.2400000000000006E-2</v>
      </c>
    </row>
    <row r="521" spans="1:13" x14ac:dyDescent="0.2">
      <c r="A521" s="6">
        <v>44687</v>
      </c>
      <c r="B521" s="2" t="s">
        <v>225</v>
      </c>
      <c r="C521" s="5">
        <v>44682</v>
      </c>
      <c r="D521" s="2" t="s">
        <v>184</v>
      </c>
      <c r="E521" s="3">
        <v>3719</v>
      </c>
      <c r="F521" s="8">
        <v>0.36180000000000001</v>
      </c>
      <c r="G521" s="4">
        <v>55.389200000000002</v>
      </c>
      <c r="H521" s="4">
        <v>43.7378</v>
      </c>
      <c r="I521" s="4">
        <v>20.2925</v>
      </c>
      <c r="J521" s="4">
        <v>21.81</v>
      </c>
      <c r="K521" s="4">
        <v>19.3325</v>
      </c>
      <c r="L521" s="4">
        <v>21.25</v>
      </c>
      <c r="M521" s="7">
        <v>4.7199999999999999E-2</v>
      </c>
    </row>
    <row r="522" spans="1:13" x14ac:dyDescent="0.2">
      <c r="A522" s="6">
        <v>44690</v>
      </c>
      <c r="B522" s="2" t="s">
        <v>228</v>
      </c>
      <c r="C522" s="5">
        <v>44682</v>
      </c>
      <c r="D522" s="2" t="s">
        <v>184</v>
      </c>
      <c r="E522" s="3">
        <v>3880</v>
      </c>
      <c r="F522" s="8">
        <v>0.3584</v>
      </c>
      <c r="G522" s="4">
        <v>50.394799999999996</v>
      </c>
      <c r="H522" s="4">
        <v>41.8367</v>
      </c>
      <c r="I522" s="4">
        <v>21.25</v>
      </c>
      <c r="J522" s="4">
        <v>22.52</v>
      </c>
      <c r="K522" s="4">
        <v>18.96</v>
      </c>
      <c r="L522" s="4">
        <v>22.032499999999999</v>
      </c>
      <c r="M522" s="7">
        <v>3.6799999999999999E-2</v>
      </c>
    </row>
    <row r="523" spans="1:13" x14ac:dyDescent="0.2">
      <c r="A523" s="6">
        <v>44691</v>
      </c>
      <c r="B523" s="2" t="s">
        <v>226</v>
      </c>
      <c r="C523" s="5">
        <v>44682</v>
      </c>
      <c r="D523" s="2" t="s">
        <v>184</v>
      </c>
      <c r="E523" s="3">
        <v>3758</v>
      </c>
      <c r="F523" s="8">
        <v>0.30270000000000002</v>
      </c>
      <c r="G523" s="4">
        <v>36.941600000000001</v>
      </c>
      <c r="H523" s="4">
        <v>35.486199999999997</v>
      </c>
      <c r="I523" s="4">
        <v>22.032499999999999</v>
      </c>
      <c r="J523" s="4">
        <v>22.515000000000001</v>
      </c>
      <c r="K523" s="4">
        <v>21.217500000000001</v>
      </c>
      <c r="L523" s="4">
        <v>22.302499999999998</v>
      </c>
      <c r="M523" s="7">
        <v>1.23E-2</v>
      </c>
    </row>
    <row r="524" spans="1:13" x14ac:dyDescent="0.2">
      <c r="A524" s="6">
        <v>44692</v>
      </c>
      <c r="B524" s="2" t="s">
        <v>224</v>
      </c>
      <c r="C524" s="5">
        <v>44682</v>
      </c>
      <c r="D524" s="2" t="s">
        <v>184</v>
      </c>
      <c r="E524" s="3">
        <v>3800</v>
      </c>
      <c r="F524" s="8">
        <v>0.39689999999999998</v>
      </c>
      <c r="G524" s="4">
        <v>55.394300000000001</v>
      </c>
      <c r="H524" s="4">
        <v>45.215200000000003</v>
      </c>
      <c r="I524" s="4">
        <v>22.302499999999998</v>
      </c>
      <c r="J524" s="4">
        <v>24.1875</v>
      </c>
      <c r="K524" s="4">
        <v>20.482500000000002</v>
      </c>
      <c r="L524" s="4">
        <v>22.802499999999998</v>
      </c>
      <c r="M524" s="7">
        <v>2.24E-2</v>
      </c>
    </row>
    <row r="525" spans="1:13" x14ac:dyDescent="0.2">
      <c r="A525" s="6">
        <v>44693</v>
      </c>
      <c r="B525" s="2" t="s">
        <v>227</v>
      </c>
      <c r="C525" s="5">
        <v>44682</v>
      </c>
      <c r="D525" s="2" t="s">
        <v>184</v>
      </c>
      <c r="E525" s="3">
        <v>3731</v>
      </c>
      <c r="F525" s="8">
        <v>0.35730000000000001</v>
      </c>
      <c r="G525" s="4">
        <v>45.531999999999996</v>
      </c>
      <c r="H525" s="4">
        <v>39.728999999999999</v>
      </c>
      <c r="I525" s="4">
        <v>22.802499999999998</v>
      </c>
      <c r="J525" s="4">
        <v>25.315000000000001</v>
      </c>
      <c r="K525" s="4">
        <v>21.15</v>
      </c>
      <c r="L525" s="4">
        <v>24.265000000000001</v>
      </c>
      <c r="M525" s="7">
        <v>6.4100000000000004E-2</v>
      </c>
    </row>
    <row r="526" spans="1:13" x14ac:dyDescent="0.2">
      <c r="A526" s="6">
        <v>44694</v>
      </c>
      <c r="B526" s="2" t="s">
        <v>225</v>
      </c>
      <c r="C526" s="5">
        <v>44682</v>
      </c>
      <c r="D526" s="2" t="s">
        <v>184</v>
      </c>
      <c r="E526" s="3">
        <v>3738</v>
      </c>
      <c r="F526" s="8">
        <v>0.3397</v>
      </c>
      <c r="G526" s="4">
        <v>51.1633</v>
      </c>
      <c r="H526" s="4">
        <v>40.933599999999998</v>
      </c>
      <c r="I526" s="4">
        <v>24.265000000000001</v>
      </c>
      <c r="J526" s="4">
        <v>24.265000000000001</v>
      </c>
      <c r="K526" s="4">
        <v>20.967500000000001</v>
      </c>
      <c r="L526" s="4">
        <v>23.484999999999999</v>
      </c>
      <c r="M526" s="7">
        <v>-3.2099999999999997E-2</v>
      </c>
    </row>
    <row r="527" spans="1:13" x14ac:dyDescent="0.2">
      <c r="A527" s="6">
        <v>44697</v>
      </c>
      <c r="B527" s="2" t="s">
        <v>228</v>
      </c>
      <c r="C527" s="5">
        <v>44682</v>
      </c>
      <c r="D527" s="2" t="s">
        <v>184</v>
      </c>
      <c r="E527" s="3">
        <v>3847</v>
      </c>
      <c r="F527" s="8">
        <v>0.24329999999999999</v>
      </c>
      <c r="G527" s="4">
        <v>52.480400000000003</v>
      </c>
      <c r="H527" s="4">
        <v>31.299800000000001</v>
      </c>
      <c r="I527" s="4">
        <v>23.484999999999999</v>
      </c>
      <c r="J527" s="4">
        <v>24.712499999999999</v>
      </c>
      <c r="K527" s="4">
        <v>21.274999999999999</v>
      </c>
      <c r="L527" s="4">
        <v>24.5275</v>
      </c>
      <c r="M527" s="7">
        <v>4.4400000000000002E-2</v>
      </c>
    </row>
    <row r="528" spans="1:13" x14ac:dyDescent="0.2">
      <c r="A528" s="6">
        <v>44698</v>
      </c>
      <c r="B528" s="2" t="s">
        <v>226</v>
      </c>
      <c r="C528" s="5">
        <v>44682</v>
      </c>
      <c r="D528" s="2" t="s">
        <v>184</v>
      </c>
      <c r="E528" s="3">
        <v>3741</v>
      </c>
      <c r="F528" s="8">
        <v>0.28689999999999999</v>
      </c>
      <c r="G528" s="4">
        <v>49.805799999999998</v>
      </c>
      <c r="H528" s="4">
        <v>37.229399999999998</v>
      </c>
      <c r="I528" s="4">
        <v>24.5275</v>
      </c>
      <c r="J528" s="4">
        <v>24.84</v>
      </c>
      <c r="K528" s="4">
        <v>17.094999999999999</v>
      </c>
      <c r="L528" s="4">
        <v>22.7425</v>
      </c>
      <c r="M528" s="7">
        <v>-7.2800000000000004E-2</v>
      </c>
    </row>
    <row r="529" spans="1:13" x14ac:dyDescent="0.2">
      <c r="A529" s="6">
        <v>44699</v>
      </c>
      <c r="B529" s="2" t="s">
        <v>224</v>
      </c>
      <c r="C529" s="5">
        <v>44682</v>
      </c>
      <c r="D529" s="2" t="s">
        <v>184</v>
      </c>
      <c r="E529" s="3">
        <v>3762</v>
      </c>
      <c r="F529" s="8">
        <v>0.30790000000000001</v>
      </c>
      <c r="G529" s="4">
        <v>54.839399999999998</v>
      </c>
      <c r="H529" s="4">
        <v>37.4206</v>
      </c>
      <c r="I529" s="4">
        <v>22.7425</v>
      </c>
      <c r="J529" s="4">
        <v>23.06</v>
      </c>
      <c r="K529" s="4">
        <v>21.34</v>
      </c>
      <c r="L529" s="4">
        <v>22.295000000000002</v>
      </c>
      <c r="M529" s="7">
        <v>-1.9699999999999999E-2</v>
      </c>
    </row>
    <row r="530" spans="1:13" x14ac:dyDescent="0.2">
      <c r="A530" s="6">
        <v>44700</v>
      </c>
      <c r="B530" s="2" t="s">
        <v>227</v>
      </c>
      <c r="C530" s="5">
        <v>44682</v>
      </c>
      <c r="D530" s="2" t="s">
        <v>184</v>
      </c>
      <c r="E530" s="3">
        <v>3695</v>
      </c>
      <c r="F530" s="8">
        <v>0.31059999999999999</v>
      </c>
      <c r="G530" s="4">
        <v>42.954000000000001</v>
      </c>
      <c r="H530" s="4">
        <v>38.565899999999999</v>
      </c>
      <c r="I530" s="4">
        <v>22.295000000000002</v>
      </c>
      <c r="J530" s="4">
        <v>25.147500000000001</v>
      </c>
      <c r="K530" s="4">
        <v>22.295000000000002</v>
      </c>
      <c r="L530" s="4">
        <v>24.557500000000001</v>
      </c>
      <c r="M530" s="7">
        <v>0.10150000000000001</v>
      </c>
    </row>
    <row r="531" spans="1:13" x14ac:dyDescent="0.2">
      <c r="A531" s="6">
        <v>44701</v>
      </c>
      <c r="B531" s="2" t="s">
        <v>225</v>
      </c>
      <c r="C531" s="5">
        <v>44682</v>
      </c>
      <c r="D531" s="2" t="s">
        <v>184</v>
      </c>
      <c r="E531" s="3">
        <v>3707</v>
      </c>
      <c r="F531" s="8">
        <v>0.25840000000000002</v>
      </c>
      <c r="G531" s="4">
        <v>48.954999999999998</v>
      </c>
      <c r="H531" s="4">
        <v>34.255800000000001</v>
      </c>
      <c r="I531" s="4">
        <v>24.557500000000001</v>
      </c>
      <c r="J531" s="4">
        <v>24.557500000000001</v>
      </c>
      <c r="K531" s="4">
        <v>22.442499999999999</v>
      </c>
      <c r="L531" s="4">
        <v>23.1</v>
      </c>
      <c r="M531" s="7">
        <v>-5.9400000000000001E-2</v>
      </c>
    </row>
    <row r="532" spans="1:13" x14ac:dyDescent="0.2">
      <c r="A532" s="6">
        <v>44704</v>
      </c>
      <c r="B532" s="2" t="s">
        <v>228</v>
      </c>
      <c r="C532" s="5">
        <v>44682</v>
      </c>
      <c r="D532" s="2" t="s">
        <v>184</v>
      </c>
      <c r="E532" s="3">
        <v>3812</v>
      </c>
      <c r="F532" s="8">
        <v>0.2868</v>
      </c>
      <c r="G532" s="4">
        <v>43.124200000000002</v>
      </c>
      <c r="H532" s="4">
        <v>35.650799999999997</v>
      </c>
      <c r="I532" s="4">
        <v>23.1</v>
      </c>
      <c r="J532" s="4">
        <v>23.975000000000001</v>
      </c>
      <c r="K532" s="4">
        <v>20.5</v>
      </c>
      <c r="L532" s="4">
        <v>23.397500000000001</v>
      </c>
      <c r="M532" s="7">
        <v>1.29E-2</v>
      </c>
    </row>
    <row r="533" spans="1:13" x14ac:dyDescent="0.2">
      <c r="A533" s="6">
        <v>44705</v>
      </c>
      <c r="B533" s="2" t="s">
        <v>226</v>
      </c>
      <c r="C533" s="5">
        <v>44682</v>
      </c>
      <c r="D533" s="2" t="s">
        <v>184</v>
      </c>
      <c r="E533" s="3">
        <v>3673</v>
      </c>
      <c r="F533" s="8">
        <v>0.2651</v>
      </c>
      <c r="G533" s="4">
        <v>36.546100000000003</v>
      </c>
      <c r="H533" s="4">
        <v>29.8599</v>
      </c>
      <c r="I533" s="4">
        <v>23.397500000000001</v>
      </c>
      <c r="J533" s="4">
        <v>25.99</v>
      </c>
      <c r="K533" s="4">
        <v>23.155000000000001</v>
      </c>
      <c r="L533" s="4">
        <v>25.635000000000002</v>
      </c>
      <c r="M533" s="7">
        <v>9.5600000000000004E-2</v>
      </c>
    </row>
    <row r="534" spans="1:13" x14ac:dyDescent="0.2">
      <c r="A534" s="6">
        <v>44706</v>
      </c>
      <c r="B534" s="2" t="s">
        <v>224</v>
      </c>
      <c r="C534" s="5">
        <v>44682</v>
      </c>
      <c r="D534" s="2" t="s">
        <v>184</v>
      </c>
      <c r="E534" s="3">
        <v>3679</v>
      </c>
      <c r="F534" s="8">
        <v>0.28649999999999998</v>
      </c>
      <c r="G534" s="4">
        <v>37.850900000000003</v>
      </c>
      <c r="H534" s="4">
        <v>32.228700000000003</v>
      </c>
      <c r="I534" s="4">
        <v>25.635000000000002</v>
      </c>
      <c r="J534" s="4">
        <v>25.635000000000002</v>
      </c>
      <c r="K534" s="4">
        <v>24.362500000000001</v>
      </c>
      <c r="L534" s="4">
        <v>25.282499999999999</v>
      </c>
      <c r="M534" s="7">
        <v>-1.38E-2</v>
      </c>
    </row>
    <row r="535" spans="1:13" x14ac:dyDescent="0.2">
      <c r="A535" s="6">
        <v>44707</v>
      </c>
      <c r="B535" s="2" t="s">
        <v>227</v>
      </c>
      <c r="C535" s="5">
        <v>44682</v>
      </c>
      <c r="D535" s="2" t="s">
        <v>184</v>
      </c>
      <c r="E535" s="3">
        <v>3659</v>
      </c>
      <c r="F535" s="8">
        <v>0.32150000000000001</v>
      </c>
      <c r="G535" s="4">
        <v>43.473199999999999</v>
      </c>
      <c r="H535" s="4">
        <v>35.811</v>
      </c>
      <c r="I535" s="4">
        <v>25.282499999999999</v>
      </c>
      <c r="J535" s="4">
        <v>25.282499999999999</v>
      </c>
      <c r="K535" s="4">
        <v>22.535</v>
      </c>
      <c r="L535" s="4">
        <v>22.717500000000001</v>
      </c>
      <c r="M535" s="7">
        <v>-0.10150000000000001</v>
      </c>
    </row>
    <row r="536" spans="1:13" x14ac:dyDescent="0.2">
      <c r="A536" s="6">
        <v>44708</v>
      </c>
      <c r="B536" s="2" t="s">
        <v>225</v>
      </c>
      <c r="C536" s="5">
        <v>44682</v>
      </c>
      <c r="D536" s="2" t="s">
        <v>184</v>
      </c>
      <c r="E536" s="3">
        <v>3694</v>
      </c>
      <c r="F536" s="8">
        <v>0.25519999999999998</v>
      </c>
      <c r="G536" s="4">
        <v>38.1755</v>
      </c>
      <c r="H536" s="4">
        <v>32.1691</v>
      </c>
      <c r="I536" s="4">
        <v>22.717500000000001</v>
      </c>
      <c r="J536" s="4">
        <v>22.717500000000001</v>
      </c>
      <c r="K536" s="4">
        <v>21.2</v>
      </c>
      <c r="L536" s="4">
        <v>21.48</v>
      </c>
      <c r="M536" s="7">
        <v>-5.45E-2</v>
      </c>
    </row>
    <row r="537" spans="1:13" x14ac:dyDescent="0.2">
      <c r="A537" s="6">
        <v>44711</v>
      </c>
      <c r="B537" s="2" t="s">
        <v>228</v>
      </c>
      <c r="C537" s="5">
        <v>44682</v>
      </c>
      <c r="D537" s="2" t="s">
        <v>184</v>
      </c>
      <c r="E537" s="3">
        <v>3876</v>
      </c>
      <c r="F537" s="8">
        <v>0.25240000000000001</v>
      </c>
      <c r="G537" s="4">
        <v>41.593899999999998</v>
      </c>
      <c r="H537" s="4">
        <v>34.050400000000003</v>
      </c>
      <c r="I537" s="4">
        <v>21.48</v>
      </c>
      <c r="J537" s="4">
        <v>21.48</v>
      </c>
      <c r="K537" s="4">
        <v>19.72</v>
      </c>
      <c r="L537" s="4">
        <v>19.98</v>
      </c>
      <c r="M537" s="7">
        <v>-6.9800000000000001E-2</v>
      </c>
    </row>
    <row r="538" spans="1:13" x14ac:dyDescent="0.2">
      <c r="A538" s="6">
        <v>44712</v>
      </c>
      <c r="B538" s="2" t="s">
        <v>226</v>
      </c>
      <c r="C538" s="5">
        <v>44682</v>
      </c>
      <c r="D538" s="2" t="s">
        <v>184</v>
      </c>
      <c r="E538" s="3">
        <v>3715</v>
      </c>
      <c r="F538" s="8">
        <v>0.28170000000000001</v>
      </c>
      <c r="G538" s="4">
        <v>50.444699999999997</v>
      </c>
      <c r="H538" s="4">
        <v>38.229599999999998</v>
      </c>
      <c r="I538" s="4">
        <v>19.98</v>
      </c>
      <c r="J538" s="4">
        <v>20.75</v>
      </c>
      <c r="K538" s="4">
        <v>19.68</v>
      </c>
      <c r="L538" s="4">
        <v>20.477499999999999</v>
      </c>
      <c r="M538" s="7">
        <v>2.4899999999999999E-2</v>
      </c>
    </row>
    <row r="539" spans="1:13" x14ac:dyDescent="0.2">
      <c r="A539" s="6">
        <v>44713</v>
      </c>
      <c r="B539" s="2" t="s">
        <v>224</v>
      </c>
      <c r="C539" s="5">
        <v>44713</v>
      </c>
      <c r="D539" s="2" t="s">
        <v>184</v>
      </c>
      <c r="E539" s="3">
        <v>3692</v>
      </c>
      <c r="F539" s="8">
        <v>0.26040000000000002</v>
      </c>
      <c r="G539" s="4">
        <v>44.363</v>
      </c>
      <c r="H539" s="4">
        <v>40.474699999999999</v>
      </c>
      <c r="I539" s="4">
        <v>20.477499999999999</v>
      </c>
      <c r="J539" s="4">
        <v>21.337499999999999</v>
      </c>
      <c r="K539" s="4">
        <v>18.23</v>
      </c>
      <c r="L539" s="4">
        <v>20.844999999999999</v>
      </c>
      <c r="M539" s="7">
        <v>1.7899999999999999E-2</v>
      </c>
    </row>
    <row r="540" spans="1:13" x14ac:dyDescent="0.2">
      <c r="A540" s="6">
        <v>44714</v>
      </c>
      <c r="B540" s="2" t="s">
        <v>227</v>
      </c>
      <c r="C540" s="5">
        <v>44713</v>
      </c>
      <c r="D540" s="2" t="s">
        <v>184</v>
      </c>
      <c r="E540" s="3">
        <v>3660</v>
      </c>
      <c r="F540" s="8">
        <v>0.24079999999999999</v>
      </c>
      <c r="G540" s="4">
        <v>51.102400000000003</v>
      </c>
      <c r="H540" s="4">
        <v>30.4543</v>
      </c>
      <c r="I540" s="4">
        <v>20.844999999999999</v>
      </c>
      <c r="J540" s="4">
        <v>20.997499999999999</v>
      </c>
      <c r="K540" s="4">
        <v>18.3825</v>
      </c>
      <c r="L540" s="4">
        <v>20.32</v>
      </c>
      <c r="M540" s="7">
        <v>-2.52E-2</v>
      </c>
    </row>
    <row r="541" spans="1:13" x14ac:dyDescent="0.2">
      <c r="A541" s="6">
        <v>44715</v>
      </c>
      <c r="B541" s="2" t="s">
        <v>225</v>
      </c>
      <c r="C541" s="5">
        <v>44713</v>
      </c>
      <c r="D541" s="2" t="s">
        <v>184</v>
      </c>
      <c r="E541" s="3">
        <v>3684</v>
      </c>
      <c r="F541" s="8">
        <v>0.2525</v>
      </c>
      <c r="G541" s="4">
        <v>45.367800000000003</v>
      </c>
      <c r="H541" s="4">
        <v>32.112200000000001</v>
      </c>
      <c r="I541" s="4">
        <v>20.32</v>
      </c>
      <c r="J541" s="4">
        <v>20.32</v>
      </c>
      <c r="K541" s="4">
        <v>18.734999999999999</v>
      </c>
      <c r="L541" s="4">
        <v>19.975000000000001</v>
      </c>
      <c r="M541" s="7">
        <v>-1.7000000000000001E-2</v>
      </c>
    </row>
    <row r="542" spans="1:13" x14ac:dyDescent="0.2">
      <c r="A542" s="6">
        <v>44718</v>
      </c>
      <c r="B542" s="2" t="s">
        <v>228</v>
      </c>
      <c r="C542" s="5">
        <v>44713</v>
      </c>
      <c r="D542" s="2" t="s">
        <v>184</v>
      </c>
      <c r="E542" s="3">
        <v>3811</v>
      </c>
      <c r="F542" s="8">
        <v>0.23519999999999999</v>
      </c>
      <c r="G542" s="4">
        <v>46.293799999999997</v>
      </c>
      <c r="H542" s="4">
        <v>25.735299999999999</v>
      </c>
      <c r="I542" s="4">
        <v>19.975000000000001</v>
      </c>
      <c r="J542" s="4">
        <v>20.682500000000001</v>
      </c>
      <c r="K542" s="4">
        <v>18.649999999999999</v>
      </c>
      <c r="L542" s="4">
        <v>20.202500000000001</v>
      </c>
      <c r="M542" s="7">
        <v>1.14E-2</v>
      </c>
    </row>
    <row r="543" spans="1:13" x14ac:dyDescent="0.2">
      <c r="A543" s="6">
        <v>44719</v>
      </c>
      <c r="B543" s="2" t="s">
        <v>226</v>
      </c>
      <c r="C543" s="5">
        <v>44713</v>
      </c>
      <c r="D543" s="2" t="s">
        <v>184</v>
      </c>
      <c r="E543" s="3">
        <v>3659</v>
      </c>
      <c r="F543" s="8">
        <v>0.2288</v>
      </c>
      <c r="G543" s="4">
        <v>39.670099999999998</v>
      </c>
      <c r="H543" s="4">
        <v>25.933599999999998</v>
      </c>
      <c r="I543" s="4">
        <v>20.202500000000001</v>
      </c>
      <c r="J543" s="4">
        <v>21.07</v>
      </c>
      <c r="K543" s="4">
        <v>19.432500000000001</v>
      </c>
      <c r="L543" s="4">
        <v>20.425000000000001</v>
      </c>
      <c r="M543" s="7">
        <v>1.0999999999999999E-2</v>
      </c>
    </row>
    <row r="544" spans="1:13" x14ac:dyDescent="0.2">
      <c r="A544" s="6">
        <v>44720</v>
      </c>
      <c r="B544" s="2" t="s">
        <v>224</v>
      </c>
      <c r="C544" s="5">
        <v>44713</v>
      </c>
      <c r="D544" s="2" t="s">
        <v>184</v>
      </c>
      <c r="E544" s="3">
        <v>3662</v>
      </c>
      <c r="F544" s="8">
        <v>0.24160000000000001</v>
      </c>
      <c r="G544" s="4">
        <v>39.362000000000002</v>
      </c>
      <c r="H544" s="4">
        <v>29.5031</v>
      </c>
      <c r="I544" s="4">
        <v>20.425000000000001</v>
      </c>
      <c r="J544" s="4">
        <v>20.6875</v>
      </c>
      <c r="K544" s="4">
        <v>19.387499999999999</v>
      </c>
      <c r="L544" s="4">
        <v>19.837499999999999</v>
      </c>
      <c r="M544" s="7">
        <v>-2.8799999999999999E-2</v>
      </c>
    </row>
    <row r="545" spans="1:13" x14ac:dyDescent="0.2">
      <c r="A545" s="6">
        <v>44721</v>
      </c>
      <c r="B545" s="2" t="s">
        <v>227</v>
      </c>
      <c r="C545" s="5">
        <v>44713</v>
      </c>
      <c r="D545" s="2" t="s">
        <v>184</v>
      </c>
      <c r="E545" s="3">
        <v>3678</v>
      </c>
      <c r="F545" s="8">
        <v>0.21740000000000001</v>
      </c>
      <c r="G545" s="4">
        <v>59.005699999999997</v>
      </c>
      <c r="H545" s="4">
        <v>34.322000000000003</v>
      </c>
      <c r="I545" s="4">
        <v>19.837499999999999</v>
      </c>
      <c r="J545" s="4">
        <v>19.837499999999999</v>
      </c>
      <c r="K545" s="4">
        <v>18.155000000000001</v>
      </c>
      <c r="L545" s="4">
        <v>19.14</v>
      </c>
      <c r="M545" s="7">
        <v>-3.5200000000000002E-2</v>
      </c>
    </row>
    <row r="546" spans="1:13" x14ac:dyDescent="0.2">
      <c r="A546" s="6">
        <v>44722</v>
      </c>
      <c r="B546" s="2" t="s">
        <v>225</v>
      </c>
      <c r="C546" s="5">
        <v>44713</v>
      </c>
      <c r="D546" s="2" t="s">
        <v>184</v>
      </c>
      <c r="E546" s="3">
        <v>3671</v>
      </c>
      <c r="F546" s="8">
        <v>0.21590000000000001</v>
      </c>
      <c r="G546" s="4">
        <v>33.309899999999999</v>
      </c>
      <c r="H546" s="4">
        <v>26.0288</v>
      </c>
      <c r="I546" s="4">
        <v>19.14</v>
      </c>
      <c r="J546" s="4">
        <v>19.754999999999999</v>
      </c>
      <c r="K546" s="4">
        <v>18.254999999999999</v>
      </c>
      <c r="L546" s="4">
        <v>19.574999999999999</v>
      </c>
      <c r="M546" s="7">
        <v>2.2700000000000001E-2</v>
      </c>
    </row>
    <row r="547" spans="1:13" x14ac:dyDescent="0.2">
      <c r="A547" s="6">
        <v>44725</v>
      </c>
      <c r="B547" s="2" t="s">
        <v>228</v>
      </c>
      <c r="C547" s="5">
        <v>44713</v>
      </c>
      <c r="D547" s="2" t="s">
        <v>184</v>
      </c>
      <c r="E547" s="3">
        <v>3873</v>
      </c>
      <c r="F547" s="8">
        <v>0.28139999999999998</v>
      </c>
      <c r="G547" s="4">
        <v>42.552300000000002</v>
      </c>
      <c r="H547" s="4">
        <v>32.121299999999998</v>
      </c>
      <c r="I547" s="4">
        <v>19.574999999999999</v>
      </c>
      <c r="J547" s="4">
        <v>22.802499999999998</v>
      </c>
      <c r="K547" s="4">
        <v>19.574999999999999</v>
      </c>
      <c r="L547" s="4">
        <v>22.364999999999998</v>
      </c>
      <c r="M547" s="7">
        <v>0.14249999999999999</v>
      </c>
    </row>
    <row r="548" spans="1:13" x14ac:dyDescent="0.2">
      <c r="A548" s="6">
        <v>44726</v>
      </c>
      <c r="B548" s="2" t="s">
        <v>226</v>
      </c>
      <c r="C548" s="5">
        <v>44713</v>
      </c>
      <c r="D548" s="2" t="s">
        <v>184</v>
      </c>
      <c r="E548" s="3">
        <v>3703</v>
      </c>
      <c r="F548" s="8">
        <v>0.25609999999999999</v>
      </c>
      <c r="G548" s="4">
        <v>38.379399999999997</v>
      </c>
      <c r="H548" s="4">
        <v>27.698699999999999</v>
      </c>
      <c r="I548" s="4">
        <v>22.364999999999998</v>
      </c>
      <c r="J548" s="4">
        <v>22.635000000000002</v>
      </c>
      <c r="K548" s="4">
        <v>18.947500000000002</v>
      </c>
      <c r="L548" s="4">
        <v>21.887499999999999</v>
      </c>
      <c r="M548" s="7">
        <v>-2.1399999999999999E-2</v>
      </c>
    </row>
    <row r="549" spans="1:13" x14ac:dyDescent="0.2">
      <c r="A549" s="6">
        <v>44727</v>
      </c>
      <c r="B549" s="2" t="s">
        <v>224</v>
      </c>
      <c r="C549" s="5">
        <v>44713</v>
      </c>
      <c r="D549" s="2" t="s">
        <v>184</v>
      </c>
      <c r="E549" s="3">
        <v>3664</v>
      </c>
      <c r="F549" s="8">
        <v>0.19700000000000001</v>
      </c>
      <c r="G549" s="4">
        <v>34.110799999999998</v>
      </c>
      <c r="H549" s="4">
        <v>22.790500000000002</v>
      </c>
      <c r="I549" s="4">
        <v>21.887499999999999</v>
      </c>
      <c r="J549" s="4">
        <v>22.364999999999998</v>
      </c>
      <c r="K549" s="4">
        <v>20.95</v>
      </c>
      <c r="L549" s="4">
        <v>22.147500000000001</v>
      </c>
      <c r="M549" s="7">
        <v>1.1900000000000001E-2</v>
      </c>
    </row>
    <row r="550" spans="1:13" x14ac:dyDescent="0.2">
      <c r="A550" s="6">
        <v>44728</v>
      </c>
      <c r="B550" s="2" t="s">
        <v>227</v>
      </c>
      <c r="C550" s="5">
        <v>44713</v>
      </c>
      <c r="D550" s="2" t="s">
        <v>184</v>
      </c>
      <c r="E550" s="3">
        <v>3710</v>
      </c>
      <c r="F550" s="8">
        <v>0.30280000000000001</v>
      </c>
      <c r="G550" s="4">
        <v>45.473500000000001</v>
      </c>
      <c r="H550" s="4">
        <v>31.552600000000002</v>
      </c>
      <c r="I550" s="4">
        <v>22.147500000000001</v>
      </c>
      <c r="J550" s="4">
        <v>28.13</v>
      </c>
      <c r="K550" s="4">
        <v>19.747499999999999</v>
      </c>
      <c r="L550" s="4">
        <v>22.8675</v>
      </c>
      <c r="M550" s="7">
        <v>3.2500000000000001E-2</v>
      </c>
    </row>
    <row r="551" spans="1:13" x14ac:dyDescent="0.2">
      <c r="A551" s="6">
        <v>44729</v>
      </c>
      <c r="B551" s="2" t="s">
        <v>225</v>
      </c>
      <c r="C551" s="5">
        <v>44713</v>
      </c>
      <c r="D551" s="2" t="s">
        <v>184</v>
      </c>
      <c r="E551" s="3">
        <v>3673</v>
      </c>
      <c r="F551" s="8">
        <v>0.29959999999999998</v>
      </c>
      <c r="G551" s="4">
        <v>41.770299999999999</v>
      </c>
      <c r="H551" s="4">
        <v>35.3309</v>
      </c>
      <c r="I551" s="4">
        <v>22.8675</v>
      </c>
      <c r="J551" s="4">
        <v>23.69</v>
      </c>
      <c r="K551" s="4">
        <v>18.022500000000001</v>
      </c>
      <c r="L551" s="4">
        <v>22.7575</v>
      </c>
      <c r="M551" s="7">
        <v>-4.7999999999999996E-3</v>
      </c>
    </row>
    <row r="552" spans="1:13" x14ac:dyDescent="0.2">
      <c r="A552" s="6">
        <v>44732</v>
      </c>
      <c r="B552" s="2" t="s">
        <v>228</v>
      </c>
      <c r="C552" s="5">
        <v>44713</v>
      </c>
      <c r="D552" s="2" t="s">
        <v>184</v>
      </c>
      <c r="E552" s="3">
        <v>3839</v>
      </c>
      <c r="F552" s="8">
        <v>0.33179999999999998</v>
      </c>
      <c r="G552" s="4">
        <v>44.095500000000001</v>
      </c>
      <c r="H552" s="4">
        <v>32.925600000000003</v>
      </c>
      <c r="I552" s="4">
        <v>22.7575</v>
      </c>
      <c r="J552" s="4">
        <v>23.635000000000002</v>
      </c>
      <c r="K552" s="4">
        <v>16.002500000000001</v>
      </c>
      <c r="L552" s="4">
        <v>22.412500000000001</v>
      </c>
      <c r="M552" s="7">
        <v>-1.52E-2</v>
      </c>
    </row>
    <row r="553" spans="1:13" x14ac:dyDescent="0.2">
      <c r="A553" s="6">
        <v>44733</v>
      </c>
      <c r="B553" s="2" t="s">
        <v>226</v>
      </c>
      <c r="C553" s="5">
        <v>44713</v>
      </c>
      <c r="D553" s="2" t="s">
        <v>184</v>
      </c>
      <c r="E553" s="3">
        <v>3717</v>
      </c>
      <c r="F553" s="8">
        <v>0.24690000000000001</v>
      </c>
      <c r="G553" s="4">
        <v>44.227600000000002</v>
      </c>
      <c r="H553" s="4">
        <v>28.372699999999998</v>
      </c>
      <c r="I553" s="4">
        <v>22.412500000000001</v>
      </c>
      <c r="J553" s="4">
        <v>22.412500000000001</v>
      </c>
      <c r="K553" s="4">
        <v>20.48</v>
      </c>
      <c r="L553" s="4">
        <v>21.142499999999998</v>
      </c>
      <c r="M553" s="7">
        <v>-5.67E-2</v>
      </c>
    </row>
    <row r="554" spans="1:13" x14ac:dyDescent="0.2">
      <c r="A554" s="6">
        <v>44734</v>
      </c>
      <c r="B554" s="2" t="s">
        <v>224</v>
      </c>
      <c r="C554" s="5">
        <v>44713</v>
      </c>
      <c r="D554" s="2" t="s">
        <v>184</v>
      </c>
      <c r="E554" s="3">
        <v>3674</v>
      </c>
      <c r="F554" s="8">
        <v>0.20799999999999999</v>
      </c>
      <c r="G554" s="4">
        <v>33.817399999999999</v>
      </c>
      <c r="H554" s="4">
        <v>25.053999999999998</v>
      </c>
      <c r="I554" s="4">
        <v>21.142499999999998</v>
      </c>
      <c r="J554" s="4">
        <v>21.785</v>
      </c>
      <c r="K554" s="4">
        <v>19.32</v>
      </c>
      <c r="L554" s="4">
        <v>21.3</v>
      </c>
      <c r="M554" s="7">
        <v>7.4000000000000003E-3</v>
      </c>
    </row>
    <row r="555" spans="1:13" x14ac:dyDescent="0.2">
      <c r="A555" s="6">
        <v>44735</v>
      </c>
      <c r="B555" s="2" t="s">
        <v>227</v>
      </c>
      <c r="C555" s="5">
        <v>44713</v>
      </c>
      <c r="D555" s="2" t="s">
        <v>184</v>
      </c>
      <c r="E555" s="3">
        <v>3678</v>
      </c>
      <c r="F555" s="8">
        <v>0.2016</v>
      </c>
      <c r="G555" s="4">
        <v>33.075400000000002</v>
      </c>
      <c r="H555" s="4">
        <v>23.922799999999999</v>
      </c>
      <c r="I555" s="4">
        <v>21.3</v>
      </c>
      <c r="J555" s="4">
        <v>21.71</v>
      </c>
      <c r="K555" s="4">
        <v>18.355</v>
      </c>
      <c r="L555" s="4">
        <v>20.88</v>
      </c>
      <c r="M555" s="7">
        <v>-1.9699999999999999E-2</v>
      </c>
    </row>
    <row r="556" spans="1:13" x14ac:dyDescent="0.2">
      <c r="A556" s="6">
        <v>44736</v>
      </c>
      <c r="B556" s="2" t="s">
        <v>225</v>
      </c>
      <c r="C556" s="5">
        <v>44713</v>
      </c>
      <c r="D556" s="2" t="s">
        <v>184</v>
      </c>
      <c r="E556" s="3">
        <v>3712</v>
      </c>
      <c r="F556" s="8">
        <v>0.2094</v>
      </c>
      <c r="G556" s="4">
        <v>35.878500000000003</v>
      </c>
      <c r="H556" s="4">
        <v>23.4696</v>
      </c>
      <c r="I556" s="4">
        <v>20.88</v>
      </c>
      <c r="J556" s="4">
        <v>21.272500000000001</v>
      </c>
      <c r="K556" s="4">
        <v>18.682500000000001</v>
      </c>
      <c r="L556" s="4">
        <v>20.55</v>
      </c>
      <c r="M556" s="7">
        <v>-1.5800000000000002E-2</v>
      </c>
    </row>
    <row r="557" spans="1:13" x14ac:dyDescent="0.2">
      <c r="A557" s="6">
        <v>44739</v>
      </c>
      <c r="B557" s="2" t="s">
        <v>228</v>
      </c>
      <c r="C557" s="5">
        <v>44713</v>
      </c>
      <c r="D557" s="2" t="s">
        <v>184</v>
      </c>
      <c r="E557" s="3">
        <v>3829</v>
      </c>
      <c r="F557" s="8">
        <v>0.2402</v>
      </c>
      <c r="G557" s="4">
        <v>35.307899999999997</v>
      </c>
      <c r="H557" s="4">
        <v>25.595600000000001</v>
      </c>
      <c r="I557" s="4">
        <v>20.55</v>
      </c>
      <c r="J557" s="4">
        <v>21.12</v>
      </c>
      <c r="K557" s="4">
        <v>19.545000000000002</v>
      </c>
      <c r="L557" s="4">
        <v>21.004999999999999</v>
      </c>
      <c r="M557" s="7">
        <v>2.2100000000000002E-2</v>
      </c>
    </row>
    <row r="558" spans="1:13" x14ac:dyDescent="0.2">
      <c r="A558" s="6">
        <v>44740</v>
      </c>
      <c r="B558" s="2" t="s">
        <v>226</v>
      </c>
      <c r="C558" s="5">
        <v>44713</v>
      </c>
      <c r="D558" s="2" t="s">
        <v>184</v>
      </c>
      <c r="E558" s="3">
        <v>3666</v>
      </c>
      <c r="F558" s="8">
        <v>0.21229999999999999</v>
      </c>
      <c r="G558" s="4">
        <v>36.919899999999998</v>
      </c>
      <c r="H558" s="4">
        <v>24.398499999999999</v>
      </c>
      <c r="I558" s="4">
        <v>21.004999999999999</v>
      </c>
      <c r="J558" s="4">
        <v>21.68</v>
      </c>
      <c r="K558" s="4">
        <v>20.512499999999999</v>
      </c>
      <c r="L558" s="4">
        <v>21.45</v>
      </c>
      <c r="M558" s="7">
        <v>2.12E-2</v>
      </c>
    </row>
    <row r="559" spans="1:13" x14ac:dyDescent="0.2">
      <c r="A559" s="6">
        <v>44741</v>
      </c>
      <c r="B559" s="2" t="s">
        <v>224</v>
      </c>
      <c r="C559" s="5">
        <v>44713</v>
      </c>
      <c r="D559" s="2" t="s">
        <v>184</v>
      </c>
      <c r="E559" s="3">
        <v>3692</v>
      </c>
      <c r="F559" s="8">
        <v>0.21809999999999999</v>
      </c>
      <c r="G559" s="4">
        <v>33.447800000000001</v>
      </c>
      <c r="H559" s="4">
        <v>25.9207</v>
      </c>
      <c r="I559" s="4">
        <v>21.45</v>
      </c>
      <c r="J559" s="4">
        <v>22.085000000000001</v>
      </c>
      <c r="K559" s="4">
        <v>21.45</v>
      </c>
      <c r="L559" s="4">
        <v>21.9</v>
      </c>
      <c r="M559" s="7">
        <v>2.1000000000000001E-2</v>
      </c>
    </row>
    <row r="560" spans="1:13" x14ac:dyDescent="0.2">
      <c r="A560" s="6">
        <v>44742</v>
      </c>
      <c r="B560" s="2" t="s">
        <v>227</v>
      </c>
      <c r="C560" s="5">
        <v>44713</v>
      </c>
      <c r="D560" s="2" t="s">
        <v>184</v>
      </c>
      <c r="E560" s="3">
        <v>3654</v>
      </c>
      <c r="F560" s="8">
        <v>0.2155</v>
      </c>
      <c r="G560" s="4">
        <v>31.096</v>
      </c>
      <c r="H560" s="4">
        <v>22.8935</v>
      </c>
      <c r="I560" s="4">
        <v>21.9</v>
      </c>
      <c r="J560" s="4">
        <v>22.272500000000001</v>
      </c>
      <c r="K560" s="4">
        <v>21.537500000000001</v>
      </c>
      <c r="L560" s="4">
        <v>21.84</v>
      </c>
      <c r="M560" s="7">
        <v>-2.7000000000000001E-3</v>
      </c>
    </row>
    <row r="561" spans="1:13" x14ac:dyDescent="0.2">
      <c r="A561" s="6">
        <v>44743</v>
      </c>
      <c r="B561" s="2" t="s">
        <v>225</v>
      </c>
      <c r="C561" s="5">
        <v>44743</v>
      </c>
      <c r="D561" s="2" t="s">
        <v>185</v>
      </c>
      <c r="E561" s="3">
        <v>3661</v>
      </c>
      <c r="F561" s="8">
        <v>0.21560000000000001</v>
      </c>
      <c r="G561" s="4">
        <v>31.360800000000001</v>
      </c>
      <c r="H561" s="4">
        <v>24.824200000000001</v>
      </c>
      <c r="I561" s="4">
        <v>21.84</v>
      </c>
      <c r="J561" s="4">
        <v>22.43</v>
      </c>
      <c r="K561" s="4">
        <v>21.142499999999998</v>
      </c>
      <c r="L561" s="4">
        <v>21.25</v>
      </c>
      <c r="M561" s="7">
        <v>-2.7E-2</v>
      </c>
    </row>
    <row r="562" spans="1:13" x14ac:dyDescent="0.2">
      <c r="A562" s="6">
        <v>44746</v>
      </c>
      <c r="B562" s="2" t="s">
        <v>228</v>
      </c>
      <c r="C562" s="5">
        <v>44743</v>
      </c>
      <c r="D562" s="2" t="s">
        <v>185</v>
      </c>
      <c r="E562" s="3">
        <v>3823</v>
      </c>
      <c r="F562" s="8">
        <v>0.17960000000000001</v>
      </c>
      <c r="G562" s="4">
        <v>26.1785</v>
      </c>
      <c r="H562" s="4">
        <v>22.081</v>
      </c>
      <c r="I562" s="4">
        <v>21.25</v>
      </c>
      <c r="J562" s="4">
        <v>22.247499999999999</v>
      </c>
      <c r="K562" s="4">
        <v>20.922499999999999</v>
      </c>
      <c r="L562" s="4">
        <v>20.9725</v>
      </c>
      <c r="M562" s="7">
        <v>-1.3100000000000001E-2</v>
      </c>
    </row>
    <row r="563" spans="1:13" x14ac:dyDescent="0.2">
      <c r="A563" s="6">
        <v>44747</v>
      </c>
      <c r="B563" s="2" t="s">
        <v>226</v>
      </c>
      <c r="C563" s="5">
        <v>44743</v>
      </c>
      <c r="D563" s="2" t="s">
        <v>185</v>
      </c>
      <c r="E563" s="3">
        <v>3688</v>
      </c>
      <c r="F563" s="8">
        <v>0.22040000000000001</v>
      </c>
      <c r="G563" s="4">
        <v>36.314799999999998</v>
      </c>
      <c r="H563" s="4">
        <v>24.294699999999999</v>
      </c>
      <c r="I563" s="4">
        <v>20.9725</v>
      </c>
      <c r="J563" s="4">
        <v>20.9925</v>
      </c>
      <c r="K563" s="4">
        <v>20.234999999999999</v>
      </c>
      <c r="L563" s="4">
        <v>20.787500000000001</v>
      </c>
      <c r="M563" s="7">
        <v>-8.8000000000000005E-3</v>
      </c>
    </row>
    <row r="564" spans="1:13" x14ac:dyDescent="0.2">
      <c r="A564" s="6">
        <v>44748</v>
      </c>
      <c r="B564" s="2" t="s">
        <v>224</v>
      </c>
      <c r="C564" s="5">
        <v>44743</v>
      </c>
      <c r="D564" s="2" t="s">
        <v>185</v>
      </c>
      <c r="E564" s="3">
        <v>3676</v>
      </c>
      <c r="F564" s="8">
        <v>0.2145</v>
      </c>
      <c r="G564" s="4">
        <v>33.4861</v>
      </c>
      <c r="H564" s="4">
        <v>27.193100000000001</v>
      </c>
      <c r="I564" s="4">
        <v>20.787500000000001</v>
      </c>
      <c r="J564" s="4">
        <v>20.787500000000001</v>
      </c>
      <c r="K564" s="4">
        <v>19.822500000000002</v>
      </c>
      <c r="L564" s="4">
        <v>20.267499999999998</v>
      </c>
      <c r="M564" s="7">
        <v>-2.5000000000000001E-2</v>
      </c>
    </row>
    <row r="565" spans="1:13" x14ac:dyDescent="0.2">
      <c r="A565" s="6">
        <v>44749</v>
      </c>
      <c r="B565" s="2" t="s">
        <v>227</v>
      </c>
      <c r="C565" s="5">
        <v>44743</v>
      </c>
      <c r="D565" s="2" t="s">
        <v>185</v>
      </c>
      <c r="E565" s="3">
        <v>3722</v>
      </c>
      <c r="F565" s="8">
        <v>0.2414</v>
      </c>
      <c r="G565" s="4">
        <v>30.8108</v>
      </c>
      <c r="H565" s="4">
        <v>28.442299999999999</v>
      </c>
      <c r="I565" s="4">
        <v>20.267499999999998</v>
      </c>
      <c r="J565" s="4">
        <v>20.267499999999998</v>
      </c>
      <c r="K565" s="4">
        <v>19.012499999999999</v>
      </c>
      <c r="L565" s="4">
        <v>19.202500000000001</v>
      </c>
      <c r="M565" s="7">
        <v>-5.2499999999999998E-2</v>
      </c>
    </row>
    <row r="566" spans="1:13" x14ac:dyDescent="0.2">
      <c r="A566" s="6">
        <v>44750</v>
      </c>
      <c r="B566" s="2" t="s">
        <v>225</v>
      </c>
      <c r="C566" s="5">
        <v>44743</v>
      </c>
      <c r="D566" s="2" t="s">
        <v>185</v>
      </c>
      <c r="E566" s="3">
        <v>3691</v>
      </c>
      <c r="F566" s="8">
        <v>0.21959999999999999</v>
      </c>
      <c r="G566" s="4">
        <v>31.776199999999999</v>
      </c>
      <c r="H566" s="4">
        <v>25.426100000000002</v>
      </c>
      <c r="I566" s="4">
        <v>19.202500000000001</v>
      </c>
      <c r="J566" s="4">
        <v>19.202500000000001</v>
      </c>
      <c r="K566" s="4">
        <v>18.22</v>
      </c>
      <c r="L566" s="4">
        <v>18.395</v>
      </c>
      <c r="M566" s="7">
        <v>-4.2099999999999999E-2</v>
      </c>
    </row>
    <row r="567" spans="1:13" x14ac:dyDescent="0.2">
      <c r="A567" s="6">
        <v>44753</v>
      </c>
      <c r="B567" s="2" t="s">
        <v>228</v>
      </c>
      <c r="C567" s="5">
        <v>44743</v>
      </c>
      <c r="D567" s="2" t="s">
        <v>185</v>
      </c>
      <c r="E567" s="3">
        <v>3799</v>
      </c>
      <c r="F567" s="8">
        <v>0.23649999999999999</v>
      </c>
      <c r="G567" s="4">
        <v>37.895200000000003</v>
      </c>
      <c r="H567" s="4">
        <v>27.7546</v>
      </c>
      <c r="I567" s="4">
        <v>18.395</v>
      </c>
      <c r="J567" s="4">
        <v>19.215</v>
      </c>
      <c r="K567" s="4">
        <v>16.647500000000001</v>
      </c>
      <c r="L567" s="4">
        <v>18.3675</v>
      </c>
      <c r="M567" s="7">
        <v>-1.5E-3</v>
      </c>
    </row>
    <row r="568" spans="1:13" x14ac:dyDescent="0.2">
      <c r="A568" s="6">
        <v>44754</v>
      </c>
      <c r="B568" s="2" t="s">
        <v>226</v>
      </c>
      <c r="C568" s="5">
        <v>44743</v>
      </c>
      <c r="D568" s="2" t="s">
        <v>185</v>
      </c>
      <c r="E568" s="3">
        <v>3703</v>
      </c>
      <c r="F568" s="8">
        <v>0.23139999999999999</v>
      </c>
      <c r="G568" s="4">
        <v>36.971299999999999</v>
      </c>
      <c r="H568" s="4">
        <v>28.442299999999999</v>
      </c>
      <c r="I568" s="4">
        <v>18.3675</v>
      </c>
      <c r="J568" s="4">
        <v>18.637499999999999</v>
      </c>
      <c r="K568" s="4">
        <v>17.3</v>
      </c>
      <c r="L568" s="4">
        <v>18.547499999999999</v>
      </c>
      <c r="M568" s="7">
        <v>9.7999999999999997E-3</v>
      </c>
    </row>
    <row r="569" spans="1:13" x14ac:dyDescent="0.2">
      <c r="A569" s="6">
        <v>44755</v>
      </c>
      <c r="B569" s="2" t="s">
        <v>224</v>
      </c>
      <c r="C569" s="5">
        <v>44743</v>
      </c>
      <c r="D569" s="2" t="s">
        <v>185</v>
      </c>
      <c r="E569" s="3">
        <v>3697</v>
      </c>
      <c r="F569" s="8">
        <v>0.22170000000000001</v>
      </c>
      <c r="G569" s="4">
        <v>36.9221</v>
      </c>
      <c r="H569" s="4">
        <v>22.8797</v>
      </c>
      <c r="I569" s="4">
        <v>18.547499999999999</v>
      </c>
      <c r="J569" s="4">
        <v>18.762499999999999</v>
      </c>
      <c r="K569" s="4">
        <v>17.734999999999999</v>
      </c>
      <c r="L569" s="4">
        <v>18.52</v>
      </c>
      <c r="M569" s="7">
        <v>-1.5E-3</v>
      </c>
    </row>
    <row r="570" spans="1:13" x14ac:dyDescent="0.2">
      <c r="A570" s="6">
        <v>44756</v>
      </c>
      <c r="B570" s="2" t="s">
        <v>227</v>
      </c>
      <c r="C570" s="5">
        <v>44743</v>
      </c>
      <c r="D570" s="2" t="s">
        <v>185</v>
      </c>
      <c r="E570" s="3">
        <v>3703</v>
      </c>
      <c r="F570" s="8">
        <v>0.23150000000000001</v>
      </c>
      <c r="G570" s="4">
        <v>37.241500000000002</v>
      </c>
      <c r="H570" s="4">
        <v>23.810500000000001</v>
      </c>
      <c r="I570" s="4">
        <v>18.52</v>
      </c>
      <c r="J570" s="4">
        <v>18.690000000000001</v>
      </c>
      <c r="K570" s="4">
        <v>17.75</v>
      </c>
      <c r="L570" s="4">
        <v>18.34</v>
      </c>
      <c r="M570" s="7">
        <v>-9.7000000000000003E-3</v>
      </c>
    </row>
    <row r="571" spans="1:13" x14ac:dyDescent="0.2">
      <c r="A571" s="6">
        <v>44757</v>
      </c>
      <c r="B571" s="2" t="s">
        <v>225</v>
      </c>
      <c r="C571" s="5">
        <v>44743</v>
      </c>
      <c r="D571" s="2" t="s">
        <v>185</v>
      </c>
      <c r="E571" s="3">
        <v>3670</v>
      </c>
      <c r="F571" s="8">
        <v>0.21479999999999999</v>
      </c>
      <c r="G571" s="4">
        <v>32.552100000000003</v>
      </c>
      <c r="H571" s="4">
        <v>23.723800000000001</v>
      </c>
      <c r="I571" s="4">
        <v>18.34</v>
      </c>
      <c r="J571" s="4">
        <v>18.34</v>
      </c>
      <c r="K571" s="4">
        <v>17.53</v>
      </c>
      <c r="L571" s="4">
        <v>17.5975</v>
      </c>
      <c r="M571" s="7">
        <v>-4.0500000000000001E-2</v>
      </c>
    </row>
    <row r="572" spans="1:13" x14ac:dyDescent="0.2">
      <c r="A572" s="6">
        <v>44760</v>
      </c>
      <c r="B572" s="2" t="s">
        <v>228</v>
      </c>
      <c r="C572" s="5">
        <v>44743</v>
      </c>
      <c r="D572" s="2" t="s">
        <v>185</v>
      </c>
      <c r="E572" s="3">
        <v>3859</v>
      </c>
      <c r="F572" s="8">
        <v>0.23569999999999999</v>
      </c>
      <c r="G572" s="4">
        <v>47.284399999999998</v>
      </c>
      <c r="H572" s="4">
        <v>118.17959999999999</v>
      </c>
      <c r="I572" s="4">
        <v>17.5975</v>
      </c>
      <c r="J572" s="4">
        <v>18.182500000000001</v>
      </c>
      <c r="K572" s="4">
        <v>16.47</v>
      </c>
      <c r="L572" s="4">
        <v>17.16</v>
      </c>
      <c r="M572" s="7">
        <v>-2.4899999999999999E-2</v>
      </c>
    </row>
    <row r="573" spans="1:13" x14ac:dyDescent="0.2">
      <c r="A573" s="6">
        <v>44761</v>
      </c>
      <c r="B573" s="2" t="s">
        <v>226</v>
      </c>
      <c r="C573" s="5">
        <v>44743</v>
      </c>
      <c r="D573" s="2" t="s">
        <v>185</v>
      </c>
      <c r="E573" s="3">
        <v>3697</v>
      </c>
      <c r="F573" s="8">
        <v>0.23580000000000001</v>
      </c>
      <c r="G573" s="4">
        <v>46.826500000000003</v>
      </c>
      <c r="H573" s="4">
        <v>28.290199999999999</v>
      </c>
      <c r="I573" s="4">
        <v>17.16</v>
      </c>
      <c r="J573" s="4">
        <v>17.6675</v>
      </c>
      <c r="K573" s="4">
        <v>16.352499999999999</v>
      </c>
      <c r="L573" s="4">
        <v>17.202500000000001</v>
      </c>
      <c r="M573" s="7">
        <v>2.5000000000000001E-3</v>
      </c>
    </row>
    <row r="574" spans="1:13" x14ac:dyDescent="0.2">
      <c r="A574" s="6">
        <v>44762</v>
      </c>
      <c r="B574" s="2" t="s">
        <v>224</v>
      </c>
      <c r="C574" s="5">
        <v>44743</v>
      </c>
      <c r="D574" s="2" t="s">
        <v>185</v>
      </c>
      <c r="E574" s="3">
        <v>3740</v>
      </c>
      <c r="F574" s="8">
        <v>0.26179999999999998</v>
      </c>
      <c r="G574" s="4">
        <v>42.053699999999999</v>
      </c>
      <c r="H574" s="4">
        <v>31.393699999999999</v>
      </c>
      <c r="I574" s="4">
        <v>17.202500000000001</v>
      </c>
      <c r="J574" s="4">
        <v>17.272500000000001</v>
      </c>
      <c r="K574" s="4">
        <v>15.657500000000001</v>
      </c>
      <c r="L574" s="4">
        <v>16.822500000000002</v>
      </c>
      <c r="M574" s="7">
        <v>-2.2100000000000002E-2</v>
      </c>
    </row>
    <row r="575" spans="1:13" x14ac:dyDescent="0.2">
      <c r="A575" s="6">
        <v>44763</v>
      </c>
      <c r="B575" s="2" t="s">
        <v>227</v>
      </c>
      <c r="C575" s="5">
        <v>44743</v>
      </c>
      <c r="D575" s="2" t="s">
        <v>185</v>
      </c>
      <c r="E575" s="3">
        <v>3730</v>
      </c>
      <c r="F575" s="8">
        <v>0.24199999999999999</v>
      </c>
      <c r="G575" s="4">
        <v>46.9514</v>
      </c>
      <c r="H575" s="4">
        <v>28.8932</v>
      </c>
      <c r="I575" s="4">
        <v>16.822500000000002</v>
      </c>
      <c r="J575" s="4">
        <v>17.2075</v>
      </c>
      <c r="K575" s="4">
        <v>15.9725</v>
      </c>
      <c r="L575" s="4">
        <v>16.857500000000002</v>
      </c>
      <c r="M575" s="7">
        <v>2.0999999999999999E-3</v>
      </c>
    </row>
    <row r="576" spans="1:13" x14ac:dyDescent="0.2">
      <c r="A576" s="6">
        <v>44764</v>
      </c>
      <c r="B576" s="2" t="s">
        <v>225</v>
      </c>
      <c r="C576" s="5">
        <v>44743</v>
      </c>
      <c r="D576" s="2" t="s">
        <v>185</v>
      </c>
      <c r="E576" s="3">
        <v>3713</v>
      </c>
      <c r="F576" s="8">
        <v>0.2465</v>
      </c>
      <c r="G576" s="4">
        <v>44.1449</v>
      </c>
      <c r="H576" s="4">
        <v>29.857900000000001</v>
      </c>
      <c r="I576" s="4">
        <v>16.857500000000002</v>
      </c>
      <c r="J576" s="4">
        <v>16.962499999999999</v>
      </c>
      <c r="K576" s="4">
        <v>16.162500000000001</v>
      </c>
      <c r="L576" s="4">
        <v>16.649999999999999</v>
      </c>
      <c r="M576" s="7">
        <v>-1.23E-2</v>
      </c>
    </row>
    <row r="577" spans="1:13" x14ac:dyDescent="0.2">
      <c r="A577" s="6">
        <v>44767</v>
      </c>
      <c r="B577" s="2" t="s">
        <v>228</v>
      </c>
      <c r="C577" s="5">
        <v>44743</v>
      </c>
      <c r="D577" s="2" t="s">
        <v>185</v>
      </c>
      <c r="E577" s="3">
        <v>3853</v>
      </c>
      <c r="F577" s="8">
        <v>0.2482</v>
      </c>
      <c r="G577" s="4">
        <v>46.554099999999998</v>
      </c>
      <c r="H577" s="4">
        <v>30.3902</v>
      </c>
      <c r="I577" s="4">
        <v>16.649999999999999</v>
      </c>
      <c r="J577" s="4">
        <v>17.907499999999999</v>
      </c>
      <c r="K577" s="4">
        <v>16.177499999999998</v>
      </c>
      <c r="L577" s="4">
        <v>17.68</v>
      </c>
      <c r="M577" s="7">
        <v>6.1899999999999997E-2</v>
      </c>
    </row>
    <row r="578" spans="1:13" x14ac:dyDescent="0.2">
      <c r="A578" s="6">
        <v>44768</v>
      </c>
      <c r="B578" s="2" t="s">
        <v>226</v>
      </c>
      <c r="C578" s="5">
        <v>44743</v>
      </c>
      <c r="D578" s="2" t="s">
        <v>185</v>
      </c>
      <c r="E578" s="3">
        <v>3696</v>
      </c>
      <c r="F578" s="8">
        <v>0.23549999999999999</v>
      </c>
      <c r="G578" s="4">
        <v>43.230899999999998</v>
      </c>
      <c r="H578" s="4">
        <v>30.200199999999999</v>
      </c>
      <c r="I578" s="4">
        <v>17.68</v>
      </c>
      <c r="J578" s="4">
        <v>18.267499999999998</v>
      </c>
      <c r="K578" s="4">
        <v>17.355</v>
      </c>
      <c r="L578" s="4">
        <v>18.170000000000002</v>
      </c>
      <c r="M578" s="7">
        <v>2.7699999999999999E-2</v>
      </c>
    </row>
    <row r="579" spans="1:13" x14ac:dyDescent="0.2">
      <c r="A579" s="6">
        <v>44769</v>
      </c>
      <c r="B579" s="2" t="s">
        <v>224</v>
      </c>
      <c r="C579" s="5">
        <v>44743</v>
      </c>
      <c r="D579" s="2" t="s">
        <v>185</v>
      </c>
      <c r="E579" s="3">
        <v>3682</v>
      </c>
      <c r="F579" s="8">
        <v>0.2351</v>
      </c>
      <c r="G579" s="4">
        <v>45.063099999999999</v>
      </c>
      <c r="H579" s="4">
        <v>27.632400000000001</v>
      </c>
      <c r="I579" s="4">
        <v>18.170000000000002</v>
      </c>
      <c r="J579" s="4">
        <v>18.635000000000002</v>
      </c>
      <c r="K579" s="4">
        <v>17.752500000000001</v>
      </c>
      <c r="L579" s="4">
        <v>18.13</v>
      </c>
      <c r="M579" s="7">
        <v>-2.2000000000000001E-3</v>
      </c>
    </row>
    <row r="580" spans="1:13" x14ac:dyDescent="0.2">
      <c r="A580" s="6">
        <v>44770</v>
      </c>
      <c r="B580" s="2" t="s">
        <v>227</v>
      </c>
      <c r="C580" s="5">
        <v>44743</v>
      </c>
      <c r="D580" s="2" t="s">
        <v>185</v>
      </c>
      <c r="E580" s="3">
        <v>3705</v>
      </c>
      <c r="F580" s="8">
        <v>0.26919999999999999</v>
      </c>
      <c r="G580" s="4">
        <v>47.086599999999997</v>
      </c>
      <c r="H580" s="4">
        <v>33.5623</v>
      </c>
      <c r="I580" s="4">
        <v>18.13</v>
      </c>
      <c r="J580" s="4">
        <v>18.13</v>
      </c>
      <c r="K580" s="4">
        <v>16.837499999999999</v>
      </c>
      <c r="L580" s="4">
        <v>17.012499999999999</v>
      </c>
      <c r="M580" s="7">
        <v>-6.1600000000000002E-2</v>
      </c>
    </row>
    <row r="581" spans="1:13" x14ac:dyDescent="0.2">
      <c r="A581" s="6">
        <v>44771</v>
      </c>
      <c r="B581" s="2" t="s">
        <v>225</v>
      </c>
      <c r="C581" s="5">
        <v>44743</v>
      </c>
      <c r="D581" s="2" t="s">
        <v>185</v>
      </c>
      <c r="E581" s="3">
        <v>3718</v>
      </c>
      <c r="F581" s="8">
        <v>0.30180000000000001</v>
      </c>
      <c r="G581" s="4">
        <v>52.842500000000001</v>
      </c>
      <c r="H581" s="4">
        <v>39.523299999999999</v>
      </c>
      <c r="I581" s="4">
        <v>17.012499999999999</v>
      </c>
      <c r="J581" s="4">
        <v>18.645</v>
      </c>
      <c r="K581" s="4">
        <v>16.489999999999998</v>
      </c>
      <c r="L581" s="4">
        <v>16.55</v>
      </c>
      <c r="M581" s="7">
        <v>-2.7199999999999998E-2</v>
      </c>
    </row>
    <row r="582" spans="1:13" x14ac:dyDescent="0.2">
      <c r="A582" s="6">
        <v>44774</v>
      </c>
      <c r="B582" s="2" t="s">
        <v>228</v>
      </c>
      <c r="C582" s="5">
        <v>44774</v>
      </c>
      <c r="D582" s="2" t="s">
        <v>185</v>
      </c>
      <c r="E582" s="3">
        <v>3923</v>
      </c>
      <c r="F582" s="8">
        <v>0.32390000000000002</v>
      </c>
      <c r="G582" s="4">
        <v>70.8125</v>
      </c>
      <c r="H582" s="4">
        <v>135.91079999999999</v>
      </c>
      <c r="I582" s="4">
        <v>16.55</v>
      </c>
      <c r="J582" s="4">
        <v>17.625</v>
      </c>
      <c r="K582" s="4">
        <v>15.8925</v>
      </c>
      <c r="L582" s="4">
        <v>17.484999999999999</v>
      </c>
      <c r="M582" s="7">
        <v>5.6500000000000002E-2</v>
      </c>
    </row>
    <row r="583" spans="1:13" x14ac:dyDescent="0.2">
      <c r="A583" s="6">
        <v>44775</v>
      </c>
      <c r="B583" s="2" t="s">
        <v>226</v>
      </c>
      <c r="C583" s="5">
        <v>44774</v>
      </c>
      <c r="D583" s="2" t="s">
        <v>185</v>
      </c>
      <c r="E583" s="3">
        <v>3747</v>
      </c>
      <c r="F583" s="8">
        <v>0.2979</v>
      </c>
      <c r="G583" s="4">
        <v>73.474500000000006</v>
      </c>
      <c r="H583" s="4">
        <v>46.84</v>
      </c>
      <c r="I583" s="4">
        <v>17.484999999999999</v>
      </c>
      <c r="J583" s="4">
        <v>18.754999999999999</v>
      </c>
      <c r="K583" s="4">
        <v>17.484999999999999</v>
      </c>
      <c r="L583" s="4">
        <v>18.53</v>
      </c>
      <c r="M583" s="7">
        <v>5.9799999999999999E-2</v>
      </c>
    </row>
    <row r="584" spans="1:13" x14ac:dyDescent="0.2">
      <c r="A584" s="6">
        <v>44776</v>
      </c>
      <c r="B584" s="2" t="s">
        <v>224</v>
      </c>
      <c r="C584" s="5">
        <v>44774</v>
      </c>
      <c r="D584" s="2" t="s">
        <v>185</v>
      </c>
      <c r="E584" s="3">
        <v>3739</v>
      </c>
      <c r="F584" s="8">
        <v>0.28589999999999999</v>
      </c>
      <c r="G584" s="4">
        <v>124.1151</v>
      </c>
      <c r="H584" s="4">
        <v>69.319000000000003</v>
      </c>
      <c r="I584" s="4">
        <v>18.53</v>
      </c>
      <c r="J584" s="4">
        <v>19.172499999999999</v>
      </c>
      <c r="K584" s="4">
        <v>17.95</v>
      </c>
      <c r="L584" s="4">
        <v>18.45</v>
      </c>
      <c r="M584" s="7">
        <v>-4.3E-3</v>
      </c>
    </row>
    <row r="585" spans="1:13" x14ac:dyDescent="0.2">
      <c r="A585" s="6">
        <v>44777</v>
      </c>
      <c r="B585" s="2" t="s">
        <v>227</v>
      </c>
      <c r="C585" s="5">
        <v>44774</v>
      </c>
      <c r="D585" s="2" t="s">
        <v>185</v>
      </c>
      <c r="E585" s="3">
        <v>3711</v>
      </c>
      <c r="F585" s="8">
        <v>0.28560000000000002</v>
      </c>
      <c r="G585" s="4">
        <v>54.437100000000001</v>
      </c>
      <c r="H585" s="4">
        <v>41.6982</v>
      </c>
      <c r="I585" s="4">
        <v>18.45</v>
      </c>
      <c r="J585" s="4">
        <v>21.06</v>
      </c>
      <c r="K585" s="4">
        <v>17.625</v>
      </c>
      <c r="L585" s="4">
        <v>19.2575</v>
      </c>
      <c r="M585" s="7">
        <v>4.3799999999999999E-2</v>
      </c>
    </row>
    <row r="586" spans="1:13" x14ac:dyDescent="0.2">
      <c r="A586" s="6">
        <v>44778</v>
      </c>
      <c r="B586" s="2" t="s">
        <v>225</v>
      </c>
      <c r="C586" s="5">
        <v>44774</v>
      </c>
      <c r="D586" s="2" t="s">
        <v>185</v>
      </c>
      <c r="E586" s="3">
        <v>3760</v>
      </c>
      <c r="F586" s="8">
        <v>0.27450000000000002</v>
      </c>
      <c r="G586" s="4">
        <v>52.543599999999998</v>
      </c>
      <c r="H586" s="4">
        <v>36.471200000000003</v>
      </c>
      <c r="I586" s="4">
        <v>19.2575</v>
      </c>
      <c r="J586" s="4">
        <v>19.39</v>
      </c>
      <c r="K586" s="4">
        <v>18.0075</v>
      </c>
      <c r="L586" s="4">
        <v>18.914999999999999</v>
      </c>
      <c r="M586" s="7">
        <v>-1.78E-2</v>
      </c>
    </row>
    <row r="587" spans="1:13" x14ac:dyDescent="0.2">
      <c r="A587" s="6">
        <v>44781</v>
      </c>
      <c r="B587" s="2" t="s">
        <v>228</v>
      </c>
      <c r="C587" s="5">
        <v>44774</v>
      </c>
      <c r="D587" s="2" t="s">
        <v>185</v>
      </c>
      <c r="E587" s="3">
        <v>3950</v>
      </c>
      <c r="F587" s="8">
        <v>0.24679999999999999</v>
      </c>
      <c r="G587" s="4">
        <v>52.918100000000003</v>
      </c>
      <c r="H587" s="4">
        <v>34.065899999999999</v>
      </c>
      <c r="I587" s="4">
        <v>18.914999999999999</v>
      </c>
      <c r="J587" s="4">
        <v>20.18</v>
      </c>
      <c r="K587" s="4">
        <v>17.78</v>
      </c>
      <c r="L587" s="4">
        <v>19.302499999999998</v>
      </c>
      <c r="M587" s="7">
        <v>2.0500000000000001E-2</v>
      </c>
    </row>
    <row r="588" spans="1:13" x14ac:dyDescent="0.2">
      <c r="A588" s="6">
        <v>44783</v>
      </c>
      <c r="B588" s="2" t="s">
        <v>224</v>
      </c>
      <c r="C588" s="5">
        <v>44774</v>
      </c>
      <c r="D588" s="2" t="s">
        <v>185</v>
      </c>
      <c r="E588" s="3">
        <v>3803</v>
      </c>
      <c r="F588" s="8">
        <v>0.25480000000000003</v>
      </c>
      <c r="G588" s="4">
        <v>50.502299999999998</v>
      </c>
      <c r="H588" s="4">
        <v>42.836300000000001</v>
      </c>
      <c r="I588" s="4">
        <v>19.302499999999998</v>
      </c>
      <c r="J588" s="4">
        <v>20.77</v>
      </c>
      <c r="K588" s="4">
        <v>18.857500000000002</v>
      </c>
      <c r="L588" s="4">
        <v>19.587499999999999</v>
      </c>
      <c r="M588" s="7">
        <v>1.4800000000000001E-2</v>
      </c>
    </row>
    <row r="589" spans="1:13" x14ac:dyDescent="0.2">
      <c r="A589" s="6">
        <v>44784</v>
      </c>
      <c r="B589" s="2" t="s">
        <v>227</v>
      </c>
      <c r="C589" s="5">
        <v>44774</v>
      </c>
      <c r="D589" s="2" t="s">
        <v>185</v>
      </c>
      <c r="E589" s="3">
        <v>3782</v>
      </c>
      <c r="F589" s="8">
        <v>0.2475</v>
      </c>
      <c r="G589" s="4">
        <v>46.730600000000003</v>
      </c>
      <c r="H589" s="4">
        <v>35.424999999999997</v>
      </c>
      <c r="I589" s="4">
        <v>19.587499999999999</v>
      </c>
      <c r="J589" s="4">
        <v>19.587499999999999</v>
      </c>
      <c r="K589" s="4">
        <v>18.2</v>
      </c>
      <c r="L589" s="4">
        <v>18.355</v>
      </c>
      <c r="M589" s="7">
        <v>-6.2899999999999998E-2</v>
      </c>
    </row>
    <row r="590" spans="1:13" x14ac:dyDescent="0.2">
      <c r="A590" s="6">
        <v>44785</v>
      </c>
      <c r="B590" s="2" t="s">
        <v>225</v>
      </c>
      <c r="C590" s="5">
        <v>44774</v>
      </c>
      <c r="D590" s="2" t="s">
        <v>185</v>
      </c>
      <c r="E590" s="3">
        <v>3803</v>
      </c>
      <c r="F590" s="8">
        <v>0.24779999999999999</v>
      </c>
      <c r="G590" s="4">
        <v>53.529699999999998</v>
      </c>
      <c r="H590" s="4">
        <v>43.485500000000002</v>
      </c>
      <c r="I590" s="4">
        <v>18.355</v>
      </c>
      <c r="J590" s="4">
        <v>18.524999999999999</v>
      </c>
      <c r="K590" s="4">
        <v>17.41</v>
      </c>
      <c r="L590" s="4">
        <v>17.607500000000002</v>
      </c>
      <c r="M590" s="7">
        <v>-4.07E-2</v>
      </c>
    </row>
    <row r="591" spans="1:13" x14ac:dyDescent="0.2">
      <c r="A591" s="6">
        <v>44789</v>
      </c>
      <c r="B591" s="2" t="s">
        <v>226</v>
      </c>
      <c r="C591" s="5">
        <v>44774</v>
      </c>
      <c r="D591" s="2" t="s">
        <v>185</v>
      </c>
      <c r="E591" s="3">
        <v>3975</v>
      </c>
      <c r="F591" s="8">
        <v>0.30380000000000001</v>
      </c>
      <c r="G591" s="4">
        <v>82.006600000000006</v>
      </c>
      <c r="H591" s="4">
        <v>155.69839999999999</v>
      </c>
      <c r="I591" s="4">
        <v>17.607500000000002</v>
      </c>
      <c r="J591" s="4">
        <v>18.355</v>
      </c>
      <c r="K591" s="4">
        <v>17.004999999999999</v>
      </c>
      <c r="L591" s="4">
        <v>17.684999999999999</v>
      </c>
      <c r="M591" s="7">
        <v>4.4000000000000003E-3</v>
      </c>
    </row>
    <row r="592" spans="1:13" x14ac:dyDescent="0.2">
      <c r="A592" s="6">
        <v>44790</v>
      </c>
      <c r="B592" s="2" t="s">
        <v>224</v>
      </c>
      <c r="C592" s="5">
        <v>44774</v>
      </c>
      <c r="D592" s="2" t="s">
        <v>185</v>
      </c>
      <c r="E592" s="3">
        <v>3836</v>
      </c>
      <c r="F592" s="8">
        <v>0.30420000000000003</v>
      </c>
      <c r="G592" s="4">
        <v>56.955100000000002</v>
      </c>
      <c r="H592" s="4">
        <v>41.451099999999997</v>
      </c>
      <c r="I592" s="4">
        <v>17.684999999999999</v>
      </c>
      <c r="J592" s="4">
        <v>17.787500000000001</v>
      </c>
      <c r="K592" s="4">
        <v>16.547499999999999</v>
      </c>
      <c r="L592" s="4">
        <v>17.677499999999998</v>
      </c>
      <c r="M592" s="7">
        <v>-4.0000000000000002E-4</v>
      </c>
    </row>
    <row r="593" spans="1:13" x14ac:dyDescent="0.2">
      <c r="A593" s="6">
        <v>44791</v>
      </c>
      <c r="B593" s="2" t="s">
        <v>227</v>
      </c>
      <c r="C593" s="5">
        <v>44774</v>
      </c>
      <c r="D593" s="2" t="s">
        <v>185</v>
      </c>
      <c r="E593" s="3">
        <v>3791</v>
      </c>
      <c r="F593" s="8">
        <v>0.311</v>
      </c>
      <c r="G593" s="4">
        <v>70.895700000000005</v>
      </c>
      <c r="H593" s="4">
        <v>102.42610000000001</v>
      </c>
      <c r="I593" s="4">
        <v>17.677499999999998</v>
      </c>
      <c r="J593" s="4">
        <v>18.440000000000001</v>
      </c>
      <c r="K593" s="4">
        <v>16.715</v>
      </c>
      <c r="L593" s="4">
        <v>17.350000000000001</v>
      </c>
      <c r="M593" s="7">
        <v>-1.8499999999999999E-2</v>
      </c>
    </row>
    <row r="594" spans="1:13" x14ac:dyDescent="0.2">
      <c r="A594" s="6">
        <v>44792</v>
      </c>
      <c r="B594" s="2" t="s">
        <v>225</v>
      </c>
      <c r="C594" s="5">
        <v>44774</v>
      </c>
      <c r="D594" s="2" t="s">
        <v>185</v>
      </c>
      <c r="E594" s="3">
        <v>3772</v>
      </c>
      <c r="F594" s="8">
        <v>0.35210000000000002</v>
      </c>
      <c r="G594" s="4">
        <v>68.793099999999995</v>
      </c>
      <c r="H594" s="4">
        <v>53.006700000000002</v>
      </c>
      <c r="I594" s="4">
        <v>17.350000000000001</v>
      </c>
      <c r="J594" s="4">
        <v>18.567499999999999</v>
      </c>
      <c r="K594" s="4">
        <v>16.875</v>
      </c>
      <c r="L594" s="4">
        <v>18.285</v>
      </c>
      <c r="M594" s="7">
        <v>5.3900000000000003E-2</v>
      </c>
    </row>
    <row r="595" spans="1:13" x14ac:dyDescent="0.2">
      <c r="A595" s="6">
        <v>44795</v>
      </c>
      <c r="B595" s="2" t="s">
        <v>228</v>
      </c>
      <c r="C595" s="5">
        <v>44774</v>
      </c>
      <c r="D595" s="2" t="s">
        <v>185</v>
      </c>
      <c r="E595" s="3">
        <v>3985</v>
      </c>
      <c r="F595" s="8">
        <v>0.31740000000000002</v>
      </c>
      <c r="G595" s="4">
        <v>66.551900000000003</v>
      </c>
      <c r="H595" s="4">
        <v>42.318600000000004</v>
      </c>
      <c r="I595" s="4">
        <v>18.285</v>
      </c>
      <c r="J595" s="4">
        <v>19.295000000000002</v>
      </c>
      <c r="K595" s="4">
        <v>17.2</v>
      </c>
      <c r="L595" s="4">
        <v>19.037500000000001</v>
      </c>
      <c r="M595" s="7">
        <v>4.1200000000000001E-2</v>
      </c>
    </row>
    <row r="596" spans="1:13" x14ac:dyDescent="0.2">
      <c r="A596" s="6">
        <v>44796</v>
      </c>
      <c r="B596" s="2" t="s">
        <v>226</v>
      </c>
      <c r="C596" s="5">
        <v>44774</v>
      </c>
      <c r="D596" s="2" t="s">
        <v>185</v>
      </c>
      <c r="E596" s="3">
        <v>3803</v>
      </c>
      <c r="F596" s="8">
        <v>0.29139999999999999</v>
      </c>
      <c r="G596" s="4">
        <v>56.962499999999999</v>
      </c>
      <c r="H596" s="4">
        <v>45.658299999999997</v>
      </c>
      <c r="I596" s="4">
        <v>19.037500000000001</v>
      </c>
      <c r="J596" s="4">
        <v>19.59</v>
      </c>
      <c r="K596" s="4">
        <v>18.177499999999998</v>
      </c>
      <c r="L596" s="4">
        <v>19.05</v>
      </c>
      <c r="M596" s="7">
        <v>6.9999999999999999E-4</v>
      </c>
    </row>
    <row r="597" spans="1:13" x14ac:dyDescent="0.2">
      <c r="A597" s="6">
        <v>44797</v>
      </c>
      <c r="B597" s="2" t="s">
        <v>224</v>
      </c>
      <c r="C597" s="5">
        <v>44774</v>
      </c>
      <c r="D597" s="2" t="s">
        <v>185</v>
      </c>
      <c r="E597" s="3">
        <v>3848</v>
      </c>
      <c r="F597" s="8">
        <v>0.28510000000000002</v>
      </c>
      <c r="G597" s="4">
        <v>53.787700000000001</v>
      </c>
      <c r="H597" s="4">
        <v>37.020699999999998</v>
      </c>
      <c r="I597" s="4">
        <v>19.05</v>
      </c>
      <c r="J597" s="4">
        <v>19.342500000000001</v>
      </c>
      <c r="K597" s="4">
        <v>17.987500000000001</v>
      </c>
      <c r="L597" s="4">
        <v>18.43</v>
      </c>
      <c r="M597" s="7">
        <v>-3.2500000000000001E-2</v>
      </c>
    </row>
    <row r="598" spans="1:13" x14ac:dyDescent="0.2">
      <c r="A598" s="6">
        <v>44798</v>
      </c>
      <c r="B598" s="2" t="s">
        <v>227</v>
      </c>
      <c r="C598" s="5">
        <v>44774</v>
      </c>
      <c r="D598" s="2" t="s">
        <v>185</v>
      </c>
      <c r="E598" s="3">
        <v>3803</v>
      </c>
      <c r="F598" s="8">
        <v>0.30130000000000001</v>
      </c>
      <c r="G598" s="4">
        <v>59.287700000000001</v>
      </c>
      <c r="H598" s="4">
        <v>39.794899999999998</v>
      </c>
      <c r="I598" s="4">
        <v>18.43</v>
      </c>
      <c r="J598" s="4">
        <v>20.215</v>
      </c>
      <c r="K598" s="4">
        <v>17.274999999999999</v>
      </c>
      <c r="L598" s="4">
        <v>19.57</v>
      </c>
      <c r="M598" s="7">
        <v>6.1899999999999997E-2</v>
      </c>
    </row>
    <row r="599" spans="1:13" x14ac:dyDescent="0.2">
      <c r="A599" s="6">
        <v>44799</v>
      </c>
      <c r="B599" s="2" t="s">
        <v>225</v>
      </c>
      <c r="C599" s="5">
        <v>44774</v>
      </c>
      <c r="D599" s="2" t="s">
        <v>185</v>
      </c>
      <c r="E599" s="3">
        <v>3831</v>
      </c>
      <c r="F599" s="8">
        <v>0.28510000000000002</v>
      </c>
      <c r="G599" s="4">
        <v>50.483699999999999</v>
      </c>
      <c r="H599" s="4">
        <v>38.676600000000001</v>
      </c>
      <c r="I599" s="4">
        <v>19.57</v>
      </c>
      <c r="J599" s="4">
        <v>19.57</v>
      </c>
      <c r="K599" s="4">
        <v>15.824999999999999</v>
      </c>
      <c r="L599" s="4">
        <v>18.215</v>
      </c>
      <c r="M599" s="7">
        <v>-6.9199999999999998E-2</v>
      </c>
    </row>
    <row r="600" spans="1:13" x14ac:dyDescent="0.2">
      <c r="A600" s="6">
        <v>44802</v>
      </c>
      <c r="B600" s="2" t="s">
        <v>228</v>
      </c>
      <c r="C600" s="5">
        <v>44774</v>
      </c>
      <c r="D600" s="2" t="s">
        <v>185</v>
      </c>
      <c r="E600" s="3">
        <v>3976</v>
      </c>
      <c r="F600" s="8">
        <v>0.308</v>
      </c>
      <c r="G600" s="4">
        <v>48.785699999999999</v>
      </c>
      <c r="H600" s="4">
        <v>43.125599999999999</v>
      </c>
      <c r="I600" s="4">
        <v>18.215</v>
      </c>
      <c r="J600" s="4">
        <v>21.204999999999998</v>
      </c>
      <c r="K600" s="4">
        <v>18.215</v>
      </c>
      <c r="L600" s="4">
        <v>19.822500000000002</v>
      </c>
      <c r="M600" s="7">
        <v>8.8300000000000003E-2</v>
      </c>
    </row>
    <row r="601" spans="1:13" x14ac:dyDescent="0.2">
      <c r="A601" s="6">
        <v>44803</v>
      </c>
      <c r="B601" s="2" t="s">
        <v>226</v>
      </c>
      <c r="C601" s="5">
        <v>44774</v>
      </c>
      <c r="D601" s="2" t="s">
        <v>185</v>
      </c>
      <c r="E601" s="3">
        <v>3837</v>
      </c>
      <c r="F601" s="8">
        <v>0.29980000000000001</v>
      </c>
      <c r="G601" s="4">
        <v>56.153599999999997</v>
      </c>
      <c r="H601" s="4">
        <v>42.684199999999997</v>
      </c>
      <c r="I601" s="4">
        <v>19.822500000000002</v>
      </c>
      <c r="J601" s="4">
        <v>19.822500000000002</v>
      </c>
      <c r="K601" s="4">
        <v>17.2575</v>
      </c>
      <c r="L601" s="4">
        <v>18.7</v>
      </c>
      <c r="M601" s="7">
        <v>-5.6599999999999998E-2</v>
      </c>
    </row>
    <row r="602" spans="1:13" x14ac:dyDescent="0.2">
      <c r="A602" s="6">
        <v>44805</v>
      </c>
      <c r="B602" s="2" t="s">
        <v>227</v>
      </c>
      <c r="C602" s="5">
        <v>44805</v>
      </c>
      <c r="D602" s="2" t="s">
        <v>185</v>
      </c>
      <c r="E602" s="3">
        <v>3862</v>
      </c>
      <c r="F602" s="8">
        <v>0.32219999999999999</v>
      </c>
      <c r="G602" s="4">
        <v>75.3947</v>
      </c>
      <c r="H602" s="4">
        <v>62.1023</v>
      </c>
      <c r="I602" s="4">
        <v>18.7</v>
      </c>
      <c r="J602" s="4">
        <v>20.987500000000001</v>
      </c>
      <c r="K602" s="4">
        <v>18.105</v>
      </c>
      <c r="L602" s="4">
        <v>19.872499999999999</v>
      </c>
      <c r="M602" s="7">
        <v>6.2700000000000006E-2</v>
      </c>
    </row>
    <row r="603" spans="1:13" x14ac:dyDescent="0.2">
      <c r="A603" s="6">
        <v>44806</v>
      </c>
      <c r="B603" s="2" t="s">
        <v>225</v>
      </c>
      <c r="C603" s="5">
        <v>44805</v>
      </c>
      <c r="D603" s="2" t="s">
        <v>185</v>
      </c>
      <c r="E603" s="3">
        <v>3837</v>
      </c>
      <c r="F603" s="8">
        <v>0.31140000000000001</v>
      </c>
      <c r="G603" s="4">
        <v>66.604100000000003</v>
      </c>
      <c r="H603" s="4">
        <v>42.768500000000003</v>
      </c>
      <c r="I603" s="4">
        <v>19.872499999999999</v>
      </c>
      <c r="J603" s="4">
        <v>20.142499999999998</v>
      </c>
      <c r="K603" s="4">
        <v>17.4025</v>
      </c>
      <c r="L603" s="4">
        <v>19.55</v>
      </c>
      <c r="M603" s="7">
        <v>-1.6199999999999999E-2</v>
      </c>
    </row>
    <row r="604" spans="1:13" x14ac:dyDescent="0.2">
      <c r="A604" s="6">
        <v>44809</v>
      </c>
      <c r="B604" s="2" t="s">
        <v>228</v>
      </c>
      <c r="C604" s="5">
        <v>44805</v>
      </c>
      <c r="D604" s="2" t="s">
        <v>185</v>
      </c>
      <c r="E604" s="3">
        <v>3982</v>
      </c>
      <c r="F604" s="8">
        <v>0.3196</v>
      </c>
      <c r="G604" s="4">
        <v>90.653300000000002</v>
      </c>
      <c r="H604" s="4">
        <v>49.424199999999999</v>
      </c>
      <c r="I604" s="4">
        <v>19.55</v>
      </c>
      <c r="J604" s="4">
        <v>20.29</v>
      </c>
      <c r="K604" s="4">
        <v>19.45</v>
      </c>
      <c r="L604" s="4">
        <v>19.662500000000001</v>
      </c>
      <c r="M604" s="7">
        <v>5.7999999999999996E-3</v>
      </c>
    </row>
    <row r="605" spans="1:13" x14ac:dyDescent="0.2">
      <c r="A605" s="6">
        <v>44810</v>
      </c>
      <c r="B605" s="2" t="s">
        <v>226</v>
      </c>
      <c r="C605" s="5">
        <v>44805</v>
      </c>
      <c r="D605" s="2" t="s">
        <v>185</v>
      </c>
      <c r="E605" s="3">
        <v>3846</v>
      </c>
      <c r="F605" s="8">
        <v>0.33510000000000001</v>
      </c>
      <c r="G605" s="4">
        <v>83.334000000000003</v>
      </c>
      <c r="H605" s="4">
        <v>61.076000000000001</v>
      </c>
      <c r="I605" s="4">
        <v>19.662500000000001</v>
      </c>
      <c r="J605" s="4">
        <v>20</v>
      </c>
      <c r="K605" s="4">
        <v>18.645</v>
      </c>
      <c r="L605" s="4">
        <v>19.524999999999999</v>
      </c>
      <c r="M605" s="7">
        <v>-7.0000000000000001E-3</v>
      </c>
    </row>
    <row r="606" spans="1:13" x14ac:dyDescent="0.2">
      <c r="A606" s="6">
        <v>44811</v>
      </c>
      <c r="B606" s="2" t="s">
        <v>224</v>
      </c>
      <c r="C606" s="5">
        <v>44805</v>
      </c>
      <c r="D606" s="2" t="s">
        <v>185</v>
      </c>
      <c r="E606" s="3">
        <v>3816</v>
      </c>
      <c r="F606" s="8">
        <v>0.3115</v>
      </c>
      <c r="G606" s="4">
        <v>77.783799999999999</v>
      </c>
      <c r="H606" s="4">
        <v>50.731400000000001</v>
      </c>
      <c r="I606" s="4">
        <v>19.524999999999999</v>
      </c>
      <c r="J606" s="4">
        <v>20.175000000000001</v>
      </c>
      <c r="K606" s="4">
        <v>18.2775</v>
      </c>
      <c r="L606" s="4">
        <v>19.3675</v>
      </c>
      <c r="M606" s="7">
        <v>-8.0999999999999996E-3</v>
      </c>
    </row>
    <row r="607" spans="1:13" x14ac:dyDescent="0.2">
      <c r="A607" s="6">
        <v>44812</v>
      </c>
      <c r="B607" s="2" t="s">
        <v>227</v>
      </c>
      <c r="C607" s="5">
        <v>44805</v>
      </c>
      <c r="D607" s="2" t="s">
        <v>185</v>
      </c>
      <c r="E607" s="3">
        <v>3837</v>
      </c>
      <c r="F607" s="8">
        <v>0.33100000000000002</v>
      </c>
      <c r="G607" s="4">
        <v>77.298500000000004</v>
      </c>
      <c r="H607" s="4">
        <v>47.196300000000001</v>
      </c>
      <c r="I607" s="4">
        <v>19.3675</v>
      </c>
      <c r="J607" s="4">
        <v>19.3675</v>
      </c>
      <c r="K607" s="4">
        <v>17.302499999999998</v>
      </c>
      <c r="L607" s="4">
        <v>18.305</v>
      </c>
      <c r="M607" s="7">
        <v>-5.4899999999999997E-2</v>
      </c>
    </row>
    <row r="608" spans="1:13" x14ac:dyDescent="0.2">
      <c r="A608" s="6">
        <v>44813</v>
      </c>
      <c r="B608" s="2" t="s">
        <v>225</v>
      </c>
      <c r="C608" s="5">
        <v>44805</v>
      </c>
      <c r="D608" s="2" t="s">
        <v>185</v>
      </c>
      <c r="E608" s="3">
        <v>3843</v>
      </c>
      <c r="F608" s="8">
        <v>0.33029999999999998</v>
      </c>
      <c r="G608" s="4">
        <v>74.650099999999995</v>
      </c>
      <c r="H608" s="4">
        <v>46.926099999999998</v>
      </c>
      <c r="I608" s="4">
        <v>18.305</v>
      </c>
      <c r="J608" s="4">
        <v>18.510000000000002</v>
      </c>
      <c r="K608" s="4">
        <v>16.545000000000002</v>
      </c>
      <c r="L608" s="4">
        <v>17.717500000000001</v>
      </c>
      <c r="M608" s="7">
        <v>-3.2099999999999997E-2</v>
      </c>
    </row>
    <row r="609" spans="1:13" x14ac:dyDescent="0.2">
      <c r="A609" s="6">
        <v>44816</v>
      </c>
      <c r="B609" s="2" t="s">
        <v>228</v>
      </c>
      <c r="C609" s="5">
        <v>44805</v>
      </c>
      <c r="D609" s="2" t="s">
        <v>185</v>
      </c>
      <c r="E609" s="3">
        <v>4049</v>
      </c>
      <c r="F609" s="8">
        <v>0.34499999999999997</v>
      </c>
      <c r="G609" s="4">
        <v>68.078199999999995</v>
      </c>
      <c r="H609" s="4">
        <v>49.549799999999998</v>
      </c>
      <c r="I609" s="4">
        <v>17.717500000000001</v>
      </c>
      <c r="J609" s="4">
        <v>18.3825</v>
      </c>
      <c r="K609" s="4">
        <v>16.392499999999998</v>
      </c>
      <c r="L609" s="4">
        <v>17.9375</v>
      </c>
      <c r="M609" s="7">
        <v>1.24E-2</v>
      </c>
    </row>
    <row r="610" spans="1:13" x14ac:dyDescent="0.2">
      <c r="A610" s="6">
        <v>44817</v>
      </c>
      <c r="B610" s="2" t="s">
        <v>226</v>
      </c>
      <c r="C610" s="5">
        <v>44805</v>
      </c>
      <c r="D610" s="2" t="s">
        <v>185</v>
      </c>
      <c r="E610" s="3">
        <v>3886</v>
      </c>
      <c r="F610" s="8">
        <v>0.32590000000000002</v>
      </c>
      <c r="G610" s="4">
        <v>76.015900000000002</v>
      </c>
      <c r="H610" s="4">
        <v>74.317899999999995</v>
      </c>
      <c r="I610" s="4">
        <v>17.9375</v>
      </c>
      <c r="J610" s="4">
        <v>17.9375</v>
      </c>
      <c r="K610" s="4">
        <v>16.857500000000002</v>
      </c>
      <c r="L610" s="4">
        <v>17.47</v>
      </c>
      <c r="M610" s="7">
        <v>-2.6100000000000002E-2</v>
      </c>
    </row>
    <row r="611" spans="1:13" x14ac:dyDescent="0.2">
      <c r="A611" s="6">
        <v>44818</v>
      </c>
      <c r="B611" s="2" t="s">
        <v>224</v>
      </c>
      <c r="C611" s="5">
        <v>44805</v>
      </c>
      <c r="D611" s="2" t="s">
        <v>185</v>
      </c>
      <c r="E611" s="3">
        <v>3866</v>
      </c>
      <c r="F611" s="8">
        <v>0.36170000000000002</v>
      </c>
      <c r="G611" s="4">
        <v>67.978399999999993</v>
      </c>
      <c r="H611" s="4">
        <v>56.512799999999999</v>
      </c>
      <c r="I611" s="4">
        <v>17.47</v>
      </c>
      <c r="J611" s="4">
        <v>18.565000000000001</v>
      </c>
      <c r="K611" s="4">
        <v>17.260000000000002</v>
      </c>
      <c r="L611" s="4">
        <v>18.2775</v>
      </c>
      <c r="M611" s="7">
        <v>4.6199999999999998E-2</v>
      </c>
    </row>
    <row r="612" spans="1:13" x14ac:dyDescent="0.2">
      <c r="A612" s="6">
        <v>44819</v>
      </c>
      <c r="B612" s="2" t="s">
        <v>227</v>
      </c>
      <c r="C612" s="5">
        <v>44805</v>
      </c>
      <c r="D612" s="2" t="s">
        <v>185</v>
      </c>
      <c r="E612" s="3">
        <v>3871</v>
      </c>
      <c r="F612" s="8">
        <v>0.35470000000000002</v>
      </c>
      <c r="G612" s="4">
        <v>74.153400000000005</v>
      </c>
      <c r="H612" s="4">
        <v>59.496000000000002</v>
      </c>
      <c r="I612" s="4">
        <v>18.2775</v>
      </c>
      <c r="J612" s="4">
        <v>19.215</v>
      </c>
      <c r="K612" s="4">
        <v>16.78</v>
      </c>
      <c r="L612" s="4">
        <v>18.392499999999998</v>
      </c>
      <c r="M612" s="7">
        <v>6.3E-3</v>
      </c>
    </row>
    <row r="613" spans="1:13" x14ac:dyDescent="0.2">
      <c r="A613" s="6">
        <v>44820</v>
      </c>
      <c r="B613" s="2" t="s">
        <v>225</v>
      </c>
      <c r="C613" s="5">
        <v>44805</v>
      </c>
      <c r="D613" s="2" t="s">
        <v>185</v>
      </c>
      <c r="E613" s="3">
        <v>3854</v>
      </c>
      <c r="F613" s="8">
        <v>0.4299</v>
      </c>
      <c r="G613" s="4">
        <v>63.735700000000001</v>
      </c>
      <c r="H613" s="4">
        <v>56.194899999999997</v>
      </c>
      <c r="I613" s="4">
        <v>18.392499999999998</v>
      </c>
      <c r="J613" s="4">
        <v>20.2425</v>
      </c>
      <c r="K613" s="4">
        <v>18.3</v>
      </c>
      <c r="L613" s="4">
        <v>19.822500000000002</v>
      </c>
      <c r="M613" s="7">
        <v>7.7700000000000005E-2</v>
      </c>
    </row>
    <row r="614" spans="1:13" x14ac:dyDescent="0.2">
      <c r="A614" s="6">
        <v>44823</v>
      </c>
      <c r="B614" s="2" t="s">
        <v>228</v>
      </c>
      <c r="C614" s="5">
        <v>44805</v>
      </c>
      <c r="D614" s="2" t="s">
        <v>185</v>
      </c>
      <c r="E614" s="3">
        <v>4006</v>
      </c>
      <c r="F614" s="8">
        <v>0.3508</v>
      </c>
      <c r="G614" s="4">
        <v>83.073800000000006</v>
      </c>
      <c r="H614" s="4">
        <v>162.22579999999999</v>
      </c>
      <c r="I614" s="4">
        <v>19.822500000000002</v>
      </c>
      <c r="J614" s="4">
        <v>21.204999999999998</v>
      </c>
      <c r="K614" s="4">
        <v>16.4725</v>
      </c>
      <c r="L614" s="4">
        <v>19.940000000000001</v>
      </c>
      <c r="M614" s="7">
        <v>5.8999999999999999E-3</v>
      </c>
    </row>
    <row r="615" spans="1:13" x14ac:dyDescent="0.2">
      <c r="A615" s="6">
        <v>44824</v>
      </c>
      <c r="B615" s="2" t="s">
        <v>226</v>
      </c>
      <c r="C615" s="5">
        <v>44805</v>
      </c>
      <c r="D615" s="2" t="s">
        <v>185</v>
      </c>
      <c r="E615" s="3">
        <v>3866</v>
      </c>
      <c r="F615" s="8">
        <v>0.30359999999999998</v>
      </c>
      <c r="G615" s="4">
        <v>57.959299999999999</v>
      </c>
      <c r="H615" s="4">
        <v>42.448399999999999</v>
      </c>
      <c r="I615" s="4">
        <v>19.940000000000001</v>
      </c>
      <c r="J615" s="4">
        <v>19.940000000000001</v>
      </c>
      <c r="K615" s="4">
        <v>18.112500000000001</v>
      </c>
      <c r="L615" s="4">
        <v>18.797499999999999</v>
      </c>
      <c r="M615" s="7">
        <v>-5.7299999999999997E-2</v>
      </c>
    </row>
    <row r="616" spans="1:13" x14ac:dyDescent="0.2">
      <c r="A616" s="6">
        <v>44825</v>
      </c>
      <c r="B616" s="2" t="s">
        <v>224</v>
      </c>
      <c r="C616" s="5">
        <v>44805</v>
      </c>
      <c r="D616" s="2" t="s">
        <v>185</v>
      </c>
      <c r="E616" s="3">
        <v>3837</v>
      </c>
      <c r="F616" s="8">
        <v>0.313</v>
      </c>
      <c r="G616" s="4">
        <v>55.670200000000001</v>
      </c>
      <c r="H616" s="4">
        <v>40.9664</v>
      </c>
      <c r="I616" s="4">
        <v>18.797499999999999</v>
      </c>
      <c r="J616" s="4">
        <v>20.29</v>
      </c>
      <c r="K616" s="4">
        <v>18.305</v>
      </c>
      <c r="L616" s="4">
        <v>19.324999999999999</v>
      </c>
      <c r="M616" s="7">
        <v>2.81E-2</v>
      </c>
    </row>
    <row r="617" spans="1:13" x14ac:dyDescent="0.2">
      <c r="A617" s="6">
        <v>44826</v>
      </c>
      <c r="B617" s="2" t="s">
        <v>227</v>
      </c>
      <c r="C617" s="5">
        <v>44805</v>
      </c>
      <c r="D617" s="2" t="s">
        <v>185</v>
      </c>
      <c r="E617" s="3">
        <v>3843</v>
      </c>
      <c r="F617" s="8">
        <v>0.30199999999999999</v>
      </c>
      <c r="G617" s="4">
        <v>59.444299999999998</v>
      </c>
      <c r="H617" s="4">
        <v>39.9514</v>
      </c>
      <c r="I617" s="4">
        <v>19.324999999999999</v>
      </c>
      <c r="J617" s="4">
        <v>20.137499999999999</v>
      </c>
      <c r="K617" s="4">
        <v>17.407499999999999</v>
      </c>
      <c r="L617" s="4">
        <v>18.815000000000001</v>
      </c>
      <c r="M617" s="7">
        <v>-2.64E-2</v>
      </c>
    </row>
    <row r="618" spans="1:13" x14ac:dyDescent="0.2">
      <c r="A618" s="6">
        <v>44827</v>
      </c>
      <c r="B618" s="2" t="s">
        <v>225</v>
      </c>
      <c r="C618" s="5">
        <v>44805</v>
      </c>
      <c r="D618" s="2" t="s">
        <v>185</v>
      </c>
      <c r="E618" s="3">
        <v>3874</v>
      </c>
      <c r="F618" s="8">
        <v>0.32640000000000002</v>
      </c>
      <c r="G618" s="4">
        <v>49.619799999999998</v>
      </c>
      <c r="H618" s="4">
        <v>39.9056</v>
      </c>
      <c r="I618" s="4">
        <v>18.815000000000001</v>
      </c>
      <c r="J618" s="4">
        <v>20.8125</v>
      </c>
      <c r="K618" s="4">
        <v>17.344999999999999</v>
      </c>
      <c r="L618" s="4">
        <v>20.592500000000001</v>
      </c>
      <c r="M618" s="7">
        <v>9.4500000000000001E-2</v>
      </c>
    </row>
    <row r="619" spans="1:13" x14ac:dyDescent="0.2">
      <c r="A619" s="6">
        <v>44830</v>
      </c>
      <c r="B619" s="2" t="s">
        <v>228</v>
      </c>
      <c r="C619" s="5">
        <v>44805</v>
      </c>
      <c r="D619" s="2" t="s">
        <v>185</v>
      </c>
      <c r="E619" s="3">
        <v>3996</v>
      </c>
      <c r="F619" s="8">
        <v>0.41389999999999999</v>
      </c>
      <c r="G619" s="4">
        <v>54.552399999999999</v>
      </c>
      <c r="H619" s="4">
        <v>46.779600000000002</v>
      </c>
      <c r="I619" s="4">
        <v>20.592500000000001</v>
      </c>
      <c r="J619" s="4">
        <v>22.897500000000001</v>
      </c>
      <c r="K619" s="4">
        <v>18.805</v>
      </c>
      <c r="L619" s="4">
        <v>21.892499999999998</v>
      </c>
      <c r="M619" s="7">
        <v>6.3100000000000003E-2</v>
      </c>
    </row>
    <row r="620" spans="1:13" x14ac:dyDescent="0.2">
      <c r="A620" s="6">
        <v>44831</v>
      </c>
      <c r="B620" s="2" t="s">
        <v>226</v>
      </c>
      <c r="C620" s="5">
        <v>44805</v>
      </c>
      <c r="D620" s="2" t="s">
        <v>185</v>
      </c>
      <c r="E620" s="3">
        <v>3802</v>
      </c>
      <c r="F620" s="8">
        <v>0.29630000000000001</v>
      </c>
      <c r="G620" s="4">
        <v>49.754199999999997</v>
      </c>
      <c r="H620" s="4">
        <v>38.438400000000001</v>
      </c>
      <c r="I620" s="4">
        <v>21.892499999999998</v>
      </c>
      <c r="J620" s="4">
        <v>22.2925</v>
      </c>
      <c r="K620" s="4">
        <v>20.787500000000001</v>
      </c>
      <c r="L620" s="4">
        <v>21.567499999999999</v>
      </c>
      <c r="M620" s="7">
        <v>-1.4800000000000001E-2</v>
      </c>
    </row>
    <row r="621" spans="1:13" x14ac:dyDescent="0.2">
      <c r="A621" s="6">
        <v>44832</v>
      </c>
      <c r="B621" s="2" t="s">
        <v>224</v>
      </c>
      <c r="C621" s="5">
        <v>44805</v>
      </c>
      <c r="D621" s="2" t="s">
        <v>185</v>
      </c>
      <c r="E621" s="3">
        <v>3811</v>
      </c>
      <c r="F621" s="8">
        <v>0.26569999999999999</v>
      </c>
      <c r="G621" s="4">
        <v>44.330399999999997</v>
      </c>
      <c r="H621" s="4">
        <v>43.535699999999999</v>
      </c>
      <c r="I621" s="4">
        <v>21.567499999999999</v>
      </c>
      <c r="J621" s="4">
        <v>22.362500000000001</v>
      </c>
      <c r="K621" s="4">
        <v>21.49</v>
      </c>
      <c r="L621" s="4">
        <v>22.094999999999999</v>
      </c>
      <c r="M621" s="7">
        <v>2.4500000000000001E-2</v>
      </c>
    </row>
    <row r="622" spans="1:13" x14ac:dyDescent="0.2">
      <c r="A622" s="6">
        <v>44833</v>
      </c>
      <c r="B622" s="2" t="s">
        <v>227</v>
      </c>
      <c r="C622" s="5">
        <v>44805</v>
      </c>
      <c r="D622" s="2" t="s">
        <v>185</v>
      </c>
      <c r="E622" s="3">
        <v>3828</v>
      </c>
      <c r="F622" s="8">
        <v>0.26579999999999998</v>
      </c>
      <c r="G622" s="4">
        <v>49.822099999999999</v>
      </c>
      <c r="H622" s="4">
        <v>31.580100000000002</v>
      </c>
      <c r="I622" s="4">
        <v>22.094999999999999</v>
      </c>
      <c r="J622" s="4">
        <v>22.287500000000001</v>
      </c>
      <c r="K622" s="4">
        <v>21.065000000000001</v>
      </c>
      <c r="L622" s="4">
        <v>21.302499999999998</v>
      </c>
      <c r="M622" s="7">
        <v>-3.5900000000000001E-2</v>
      </c>
    </row>
    <row r="623" spans="1:13" x14ac:dyDescent="0.2">
      <c r="A623" s="6">
        <v>44834</v>
      </c>
      <c r="B623" s="2" t="s">
        <v>225</v>
      </c>
      <c r="C623" s="5">
        <v>44805</v>
      </c>
      <c r="D623" s="2" t="s">
        <v>185</v>
      </c>
      <c r="E623" s="3">
        <v>3795</v>
      </c>
      <c r="F623" s="8">
        <v>0.27710000000000001</v>
      </c>
      <c r="G623" s="4">
        <v>50.0077</v>
      </c>
      <c r="H623" s="4">
        <v>39.198500000000003</v>
      </c>
      <c r="I623" s="4">
        <v>21.302499999999998</v>
      </c>
      <c r="J623" s="4">
        <v>21.987500000000001</v>
      </c>
      <c r="K623" s="4">
        <v>19.697500000000002</v>
      </c>
      <c r="L623" s="4">
        <v>19.967500000000001</v>
      </c>
      <c r="M623" s="7">
        <v>-6.2700000000000006E-2</v>
      </c>
    </row>
    <row r="624" spans="1:13" x14ac:dyDescent="0.2">
      <c r="A624" s="6">
        <v>44837</v>
      </c>
      <c r="B624" s="2" t="s">
        <v>228</v>
      </c>
      <c r="C624" s="5">
        <v>44835</v>
      </c>
      <c r="D624" s="2" t="s">
        <v>186</v>
      </c>
      <c r="E624" s="3">
        <v>3962</v>
      </c>
      <c r="F624" s="8">
        <v>0.2949</v>
      </c>
      <c r="G624" s="4">
        <v>46.991100000000003</v>
      </c>
      <c r="H624" s="4">
        <v>37.768500000000003</v>
      </c>
      <c r="I624" s="4">
        <v>19.967500000000001</v>
      </c>
      <c r="J624" s="4">
        <v>21.68</v>
      </c>
      <c r="K624" s="4">
        <v>19.967500000000001</v>
      </c>
      <c r="L624" s="4">
        <v>21.364999999999998</v>
      </c>
      <c r="M624" s="7">
        <v>7.0000000000000007E-2</v>
      </c>
    </row>
    <row r="625" spans="1:13" x14ac:dyDescent="0.2">
      <c r="A625" s="6">
        <v>44838</v>
      </c>
      <c r="B625" s="2" t="s">
        <v>226</v>
      </c>
      <c r="C625" s="5">
        <v>44835</v>
      </c>
      <c r="D625" s="2" t="s">
        <v>186</v>
      </c>
      <c r="E625" s="3">
        <v>3812</v>
      </c>
      <c r="F625" s="8">
        <v>0.21640000000000001</v>
      </c>
      <c r="G625" s="4">
        <v>43.240699999999997</v>
      </c>
      <c r="H625" s="4">
        <v>28.248899999999999</v>
      </c>
      <c r="I625" s="4">
        <v>21.364999999999998</v>
      </c>
      <c r="J625" s="4">
        <v>21.364999999999998</v>
      </c>
      <c r="K625" s="4">
        <v>19.447500000000002</v>
      </c>
      <c r="L625" s="4">
        <v>19.57</v>
      </c>
      <c r="M625" s="7">
        <v>-8.4000000000000005E-2</v>
      </c>
    </row>
    <row r="626" spans="1:13" x14ac:dyDescent="0.2">
      <c r="A626" s="6">
        <v>44840</v>
      </c>
      <c r="B626" s="2" t="s">
        <v>227</v>
      </c>
      <c r="C626" s="5">
        <v>44835</v>
      </c>
      <c r="D626" s="2" t="s">
        <v>186</v>
      </c>
      <c r="E626" s="3">
        <v>3863</v>
      </c>
      <c r="F626" s="8">
        <v>0.26629999999999998</v>
      </c>
      <c r="G626" s="4">
        <v>47.992199999999997</v>
      </c>
      <c r="H626" s="4">
        <v>35.064500000000002</v>
      </c>
      <c r="I626" s="4">
        <v>19.57</v>
      </c>
      <c r="J626" s="4">
        <v>20.02</v>
      </c>
      <c r="K626" s="4">
        <v>18.585000000000001</v>
      </c>
      <c r="L626" s="4">
        <v>19.315000000000001</v>
      </c>
      <c r="M626" s="7">
        <v>-1.2999999999999999E-2</v>
      </c>
    </row>
    <row r="627" spans="1:13" x14ac:dyDescent="0.2">
      <c r="A627" s="6">
        <v>44841</v>
      </c>
      <c r="B627" s="2" t="s">
        <v>225</v>
      </c>
      <c r="C627" s="5">
        <v>44835</v>
      </c>
      <c r="D627" s="2" t="s">
        <v>186</v>
      </c>
      <c r="E627" s="3">
        <v>3825</v>
      </c>
      <c r="F627" s="8">
        <v>0.2442</v>
      </c>
      <c r="G627" s="4">
        <v>48.579900000000002</v>
      </c>
      <c r="H627" s="4">
        <v>32.171399999999998</v>
      </c>
      <c r="I627" s="4">
        <v>19.315000000000001</v>
      </c>
      <c r="J627" s="4">
        <v>19.725000000000001</v>
      </c>
      <c r="K627" s="4">
        <v>18.6875</v>
      </c>
      <c r="L627" s="4">
        <v>18.8125</v>
      </c>
      <c r="M627" s="7">
        <v>-2.5999999999999999E-2</v>
      </c>
    </row>
    <row r="628" spans="1:13" x14ac:dyDescent="0.2">
      <c r="A628" s="6">
        <v>44844</v>
      </c>
      <c r="B628" s="2" t="s">
        <v>228</v>
      </c>
      <c r="C628" s="5">
        <v>44835</v>
      </c>
      <c r="D628" s="2" t="s">
        <v>186</v>
      </c>
      <c r="E628" s="3">
        <v>3997</v>
      </c>
      <c r="F628" s="8">
        <v>0.26440000000000002</v>
      </c>
      <c r="G628" s="4">
        <v>49.865900000000003</v>
      </c>
      <c r="H628" s="4">
        <v>34.051000000000002</v>
      </c>
      <c r="I628" s="4">
        <v>18.8125</v>
      </c>
      <c r="J628" s="4">
        <v>20.34</v>
      </c>
      <c r="K628" s="4">
        <v>18.8125</v>
      </c>
      <c r="L628" s="4">
        <v>19.622499999999999</v>
      </c>
      <c r="M628" s="7">
        <v>4.3099999999999999E-2</v>
      </c>
    </row>
    <row r="629" spans="1:13" x14ac:dyDescent="0.2">
      <c r="A629" s="6">
        <v>44845</v>
      </c>
      <c r="B629" s="2" t="s">
        <v>226</v>
      </c>
      <c r="C629" s="5">
        <v>44835</v>
      </c>
      <c r="D629" s="2" t="s">
        <v>186</v>
      </c>
      <c r="E629" s="3">
        <v>3826</v>
      </c>
      <c r="F629" s="8">
        <v>0.27350000000000002</v>
      </c>
      <c r="G629" s="4">
        <v>73.935699999999997</v>
      </c>
      <c r="H629" s="4">
        <v>134.9222</v>
      </c>
      <c r="I629" s="4">
        <v>19.622499999999999</v>
      </c>
      <c r="J629" s="4">
        <v>20.817499999999999</v>
      </c>
      <c r="K629" s="4">
        <v>19.09</v>
      </c>
      <c r="L629" s="4">
        <v>20.49</v>
      </c>
      <c r="M629" s="7">
        <v>4.4200000000000003E-2</v>
      </c>
    </row>
    <row r="630" spans="1:13" x14ac:dyDescent="0.2">
      <c r="A630" s="6">
        <v>44846</v>
      </c>
      <c r="B630" s="2" t="s">
        <v>224</v>
      </c>
      <c r="C630" s="5">
        <v>44835</v>
      </c>
      <c r="D630" s="2" t="s">
        <v>186</v>
      </c>
      <c r="E630" s="3">
        <v>3857</v>
      </c>
      <c r="F630" s="8">
        <v>0.24510000000000001</v>
      </c>
      <c r="G630" s="4">
        <v>48.581699999999998</v>
      </c>
      <c r="H630" s="4">
        <v>29.3292</v>
      </c>
      <c r="I630" s="4">
        <v>20.49</v>
      </c>
      <c r="J630" s="4">
        <v>20.885000000000002</v>
      </c>
      <c r="K630" s="4">
        <v>19.885000000000002</v>
      </c>
      <c r="L630" s="4">
        <v>20.175000000000001</v>
      </c>
      <c r="M630" s="7">
        <v>-1.54E-2</v>
      </c>
    </row>
    <row r="631" spans="1:13" x14ac:dyDescent="0.2">
      <c r="A631" s="6">
        <v>44847</v>
      </c>
      <c r="B631" s="2" t="s">
        <v>227</v>
      </c>
      <c r="C631" s="5">
        <v>44835</v>
      </c>
      <c r="D631" s="2" t="s">
        <v>186</v>
      </c>
      <c r="E631" s="3">
        <v>3807</v>
      </c>
      <c r="F631" s="8">
        <v>0.23519999999999999</v>
      </c>
      <c r="G631" s="4">
        <v>43.187100000000001</v>
      </c>
      <c r="H631" s="4">
        <v>26.0654</v>
      </c>
      <c r="I631" s="4">
        <v>20.175000000000001</v>
      </c>
      <c r="J631" s="4">
        <v>20.942499999999999</v>
      </c>
      <c r="K631" s="4">
        <v>18.4025</v>
      </c>
      <c r="L631" s="4">
        <v>20.29</v>
      </c>
      <c r="M631" s="7">
        <v>5.7000000000000002E-3</v>
      </c>
    </row>
    <row r="632" spans="1:13" x14ac:dyDescent="0.2">
      <c r="A632" s="6">
        <v>44848</v>
      </c>
      <c r="B632" s="2" t="s">
        <v>225</v>
      </c>
      <c r="C632" s="5">
        <v>44835</v>
      </c>
      <c r="D632" s="2" t="s">
        <v>186</v>
      </c>
      <c r="E632" s="3">
        <v>3847</v>
      </c>
      <c r="F632" s="8">
        <v>0.23130000000000001</v>
      </c>
      <c r="G632" s="4">
        <v>40.090200000000003</v>
      </c>
      <c r="H632" s="4">
        <v>27.881599999999999</v>
      </c>
      <c r="I632" s="4">
        <v>20.29</v>
      </c>
      <c r="J632" s="4">
        <v>20.63</v>
      </c>
      <c r="K632" s="4">
        <v>18.074999999999999</v>
      </c>
      <c r="L632" s="4">
        <v>18.2575</v>
      </c>
      <c r="M632" s="7">
        <v>-0.1002</v>
      </c>
    </row>
    <row r="633" spans="1:13" x14ac:dyDescent="0.2">
      <c r="A633" s="6">
        <v>44851</v>
      </c>
      <c r="B633" s="2" t="s">
        <v>228</v>
      </c>
      <c r="C633" s="5">
        <v>44835</v>
      </c>
      <c r="D633" s="2" t="s">
        <v>186</v>
      </c>
      <c r="E633" s="3">
        <v>3967</v>
      </c>
      <c r="F633" s="8">
        <v>0.24460000000000001</v>
      </c>
      <c r="G633" s="4">
        <v>65.372</v>
      </c>
      <c r="H633" s="4">
        <v>127.49079999999999</v>
      </c>
      <c r="I633" s="4">
        <v>18.2575</v>
      </c>
      <c r="J633" s="4">
        <v>19.077500000000001</v>
      </c>
      <c r="K633" s="4">
        <v>18.2575</v>
      </c>
      <c r="L633" s="4">
        <v>18.4175</v>
      </c>
      <c r="M633" s="7">
        <v>8.8000000000000005E-3</v>
      </c>
    </row>
    <row r="634" spans="1:13" x14ac:dyDescent="0.2">
      <c r="A634" s="6">
        <v>44852</v>
      </c>
      <c r="B634" s="2" t="s">
        <v>226</v>
      </c>
      <c r="C634" s="5">
        <v>44835</v>
      </c>
      <c r="D634" s="2" t="s">
        <v>186</v>
      </c>
      <c r="E634" s="3">
        <v>3816</v>
      </c>
      <c r="F634" s="8">
        <v>0.24790000000000001</v>
      </c>
      <c r="G634" s="4">
        <v>59.163400000000003</v>
      </c>
      <c r="H634" s="4">
        <v>42.006</v>
      </c>
      <c r="I634" s="4">
        <v>18.4175</v>
      </c>
      <c r="J634" s="4">
        <v>18.4175</v>
      </c>
      <c r="K634" s="4">
        <v>16.574999999999999</v>
      </c>
      <c r="L634" s="4">
        <v>17.452500000000001</v>
      </c>
      <c r="M634" s="7">
        <v>-5.2400000000000002E-2</v>
      </c>
    </row>
    <row r="635" spans="1:13" x14ac:dyDescent="0.2">
      <c r="A635" s="6">
        <v>44853</v>
      </c>
      <c r="B635" s="2" t="s">
        <v>224</v>
      </c>
      <c r="C635" s="5">
        <v>44835</v>
      </c>
      <c r="D635" s="2" t="s">
        <v>186</v>
      </c>
      <c r="E635" s="3">
        <v>3816</v>
      </c>
      <c r="F635" s="8">
        <v>0.23760000000000001</v>
      </c>
      <c r="G635" s="4">
        <v>50.8232</v>
      </c>
      <c r="H635" s="4">
        <v>30.809200000000001</v>
      </c>
      <c r="I635" s="4">
        <v>17.452500000000001</v>
      </c>
      <c r="J635" s="4">
        <v>17.555</v>
      </c>
      <c r="K635" s="4">
        <v>16.227499999999999</v>
      </c>
      <c r="L635" s="4">
        <v>17.487500000000001</v>
      </c>
      <c r="M635" s="7">
        <v>2E-3</v>
      </c>
    </row>
    <row r="636" spans="1:13" x14ac:dyDescent="0.2">
      <c r="A636" s="6">
        <v>44854</v>
      </c>
      <c r="B636" s="2" t="s">
        <v>227</v>
      </c>
      <c r="C636" s="5">
        <v>44835</v>
      </c>
      <c r="D636" s="2" t="s">
        <v>186</v>
      </c>
      <c r="E636" s="3">
        <v>3797</v>
      </c>
      <c r="F636" s="8">
        <v>0.2349</v>
      </c>
      <c r="G636" s="4">
        <v>51.428400000000003</v>
      </c>
      <c r="H636" s="4">
        <v>29.0488</v>
      </c>
      <c r="I636" s="4">
        <v>17.487500000000001</v>
      </c>
      <c r="J636" s="4">
        <v>17.762499999999999</v>
      </c>
      <c r="K636" s="4">
        <v>15.567500000000001</v>
      </c>
      <c r="L636" s="4">
        <v>17.232500000000002</v>
      </c>
      <c r="M636" s="7">
        <v>-1.46E-2</v>
      </c>
    </row>
    <row r="637" spans="1:13" x14ac:dyDescent="0.2">
      <c r="A637" s="6">
        <v>44855</v>
      </c>
      <c r="B637" s="2" t="s">
        <v>225</v>
      </c>
      <c r="C637" s="5">
        <v>44835</v>
      </c>
      <c r="D637" s="2" t="s">
        <v>186</v>
      </c>
      <c r="E637" s="3">
        <v>3793</v>
      </c>
      <c r="F637" s="8">
        <v>0.24740000000000001</v>
      </c>
      <c r="G637" s="4">
        <v>44.461599999999997</v>
      </c>
      <c r="H637" s="4">
        <v>36.882599999999996</v>
      </c>
      <c r="I637" s="4">
        <v>17.232500000000002</v>
      </c>
      <c r="J637" s="4">
        <v>17.427499999999998</v>
      </c>
      <c r="K637" s="4">
        <v>16.585000000000001</v>
      </c>
      <c r="L637" s="4">
        <v>17.28</v>
      </c>
      <c r="M637" s="7">
        <v>2.8E-3</v>
      </c>
    </row>
    <row r="638" spans="1:13" x14ac:dyDescent="0.2">
      <c r="A638" s="6">
        <v>44858</v>
      </c>
      <c r="B638" s="2" t="s">
        <v>228</v>
      </c>
      <c r="C638" s="5">
        <v>44835</v>
      </c>
      <c r="D638" s="2" t="s">
        <v>186</v>
      </c>
      <c r="E638" s="3">
        <v>3721</v>
      </c>
      <c r="F638" s="8">
        <v>0.1183</v>
      </c>
      <c r="G638" s="4">
        <v>17.9498</v>
      </c>
      <c r="H638" s="4">
        <v>10.334</v>
      </c>
      <c r="I638" s="4">
        <v>17.28</v>
      </c>
      <c r="J638" s="4">
        <v>17.672499999999999</v>
      </c>
      <c r="K638" s="4">
        <v>17.07</v>
      </c>
      <c r="L638" s="4">
        <v>17.422499999999999</v>
      </c>
      <c r="M638" s="7">
        <v>8.2000000000000007E-3</v>
      </c>
    </row>
    <row r="639" spans="1:13" x14ac:dyDescent="0.2">
      <c r="A639" s="6">
        <v>44859</v>
      </c>
      <c r="B639" s="2" t="s">
        <v>226</v>
      </c>
      <c r="C639" s="5">
        <v>44835</v>
      </c>
      <c r="D639" s="2" t="s">
        <v>186</v>
      </c>
      <c r="E639" s="3">
        <v>3759</v>
      </c>
      <c r="F639" s="8">
        <v>0.2281</v>
      </c>
      <c r="G639" s="4">
        <v>58.499499999999998</v>
      </c>
      <c r="H639" s="4">
        <v>81.284300000000002</v>
      </c>
      <c r="I639" s="4">
        <v>17.422499999999999</v>
      </c>
      <c r="J639" s="4">
        <v>17.6175</v>
      </c>
      <c r="K639" s="4">
        <v>16.489999999999998</v>
      </c>
      <c r="L639" s="4">
        <v>16.88</v>
      </c>
      <c r="M639" s="7">
        <v>-3.1099999999999999E-2</v>
      </c>
    </row>
    <row r="640" spans="1:13" x14ac:dyDescent="0.2">
      <c r="A640" s="6">
        <v>44861</v>
      </c>
      <c r="B640" s="2" t="s">
        <v>227</v>
      </c>
      <c r="C640" s="5">
        <v>44835</v>
      </c>
      <c r="D640" s="2" t="s">
        <v>186</v>
      </c>
      <c r="E640" s="3">
        <v>3828</v>
      </c>
      <c r="F640" s="8">
        <v>0.25059999999999999</v>
      </c>
      <c r="G640" s="4">
        <v>44.396500000000003</v>
      </c>
      <c r="H640" s="4">
        <v>33.639000000000003</v>
      </c>
      <c r="I640" s="4">
        <v>16.88</v>
      </c>
      <c r="J640" s="4">
        <v>17.07</v>
      </c>
      <c r="K640" s="4">
        <v>14.79</v>
      </c>
      <c r="L640" s="4">
        <v>16.5975</v>
      </c>
      <c r="M640" s="7">
        <v>-1.67E-2</v>
      </c>
    </row>
    <row r="641" spans="1:13" x14ac:dyDescent="0.2">
      <c r="A641" s="6">
        <v>44862</v>
      </c>
      <c r="B641" s="2" t="s">
        <v>225</v>
      </c>
      <c r="C641" s="5">
        <v>44835</v>
      </c>
      <c r="D641" s="2" t="s">
        <v>186</v>
      </c>
      <c r="E641" s="3">
        <v>3827</v>
      </c>
      <c r="F641" s="8">
        <v>0.22209999999999999</v>
      </c>
      <c r="G641" s="4">
        <v>37.5593</v>
      </c>
      <c r="H641" s="4">
        <v>31.322800000000001</v>
      </c>
      <c r="I641" s="4">
        <v>16.5975</v>
      </c>
      <c r="J641" s="4">
        <v>17.037500000000001</v>
      </c>
      <c r="K641" s="4">
        <v>15.8475</v>
      </c>
      <c r="L641" s="4">
        <v>15.922499999999999</v>
      </c>
      <c r="M641" s="7">
        <v>-4.07E-2</v>
      </c>
    </row>
    <row r="642" spans="1:13" x14ac:dyDescent="0.2">
      <c r="A642" s="6">
        <v>44865</v>
      </c>
      <c r="B642" s="2" t="s">
        <v>228</v>
      </c>
      <c r="C642" s="5">
        <v>44835</v>
      </c>
      <c r="D642" s="2" t="s">
        <v>186</v>
      </c>
      <c r="E642" s="3">
        <v>3992</v>
      </c>
      <c r="F642" s="8">
        <v>0.24229999999999999</v>
      </c>
      <c r="G642" s="4">
        <v>41.534199999999998</v>
      </c>
      <c r="H642" s="4">
        <v>32.2896</v>
      </c>
      <c r="I642" s="4">
        <v>15.922499999999999</v>
      </c>
      <c r="J642" s="4">
        <v>16.63</v>
      </c>
      <c r="K642" s="4">
        <v>15.07</v>
      </c>
      <c r="L642" s="4">
        <v>15.8025</v>
      </c>
      <c r="M642" s="7">
        <v>-7.4999999999999997E-3</v>
      </c>
    </row>
    <row r="643" spans="1:13" x14ac:dyDescent="0.2">
      <c r="A643" s="6">
        <v>44866</v>
      </c>
      <c r="B643" s="2" t="s">
        <v>226</v>
      </c>
      <c r="C643" s="5">
        <v>44866</v>
      </c>
      <c r="D643" s="2" t="s">
        <v>186</v>
      </c>
      <c r="E643" s="3">
        <v>3847</v>
      </c>
      <c r="F643" s="8">
        <v>0.24490000000000001</v>
      </c>
      <c r="G643" s="4">
        <v>52.540100000000002</v>
      </c>
      <c r="H643" s="4">
        <v>73.596800000000002</v>
      </c>
      <c r="I643" s="4">
        <v>15.8025</v>
      </c>
      <c r="J643" s="4">
        <v>16.202500000000001</v>
      </c>
      <c r="K643" s="4">
        <v>15.1075</v>
      </c>
      <c r="L643" s="4">
        <v>16.13</v>
      </c>
      <c r="M643" s="7">
        <v>2.07E-2</v>
      </c>
    </row>
    <row r="644" spans="1:13" x14ac:dyDescent="0.2">
      <c r="A644" s="6">
        <v>44867</v>
      </c>
      <c r="B644" s="2" t="s">
        <v>224</v>
      </c>
      <c r="C644" s="5">
        <v>44866</v>
      </c>
      <c r="D644" s="2" t="s">
        <v>186</v>
      </c>
      <c r="E644" s="3">
        <v>3855</v>
      </c>
      <c r="F644" s="8">
        <v>0.2235</v>
      </c>
      <c r="G644" s="4">
        <v>49.531799999999997</v>
      </c>
      <c r="H644" s="4">
        <v>33.456000000000003</v>
      </c>
      <c r="I644" s="4">
        <v>16.13</v>
      </c>
      <c r="J644" s="4">
        <v>16.855</v>
      </c>
      <c r="K644" s="4">
        <v>14.68</v>
      </c>
      <c r="L644" s="4">
        <v>16.662500000000001</v>
      </c>
      <c r="M644" s="7">
        <v>3.3000000000000002E-2</v>
      </c>
    </row>
    <row r="645" spans="1:13" x14ac:dyDescent="0.2">
      <c r="A645" s="6">
        <v>44868</v>
      </c>
      <c r="B645" s="2" t="s">
        <v>227</v>
      </c>
      <c r="C645" s="5">
        <v>44866</v>
      </c>
      <c r="D645" s="2" t="s">
        <v>186</v>
      </c>
      <c r="E645" s="3">
        <v>3835</v>
      </c>
      <c r="F645" s="8">
        <v>0.2346</v>
      </c>
      <c r="G645" s="4">
        <v>48.499699999999997</v>
      </c>
      <c r="H645" s="4">
        <v>67.776700000000005</v>
      </c>
      <c r="I645" s="4">
        <v>16.662500000000001</v>
      </c>
      <c r="J645" s="4">
        <v>16.732500000000002</v>
      </c>
      <c r="K645" s="4">
        <v>14.984999999999999</v>
      </c>
      <c r="L645" s="4">
        <v>15.942500000000001</v>
      </c>
      <c r="M645" s="7">
        <v>-4.3200000000000002E-2</v>
      </c>
    </row>
    <row r="646" spans="1:13" x14ac:dyDescent="0.2">
      <c r="A646" s="6">
        <v>44869</v>
      </c>
      <c r="B646" s="2" t="s">
        <v>225</v>
      </c>
      <c r="C646" s="5">
        <v>44866</v>
      </c>
      <c r="D646" s="2" t="s">
        <v>186</v>
      </c>
      <c r="E646" s="3">
        <v>3841</v>
      </c>
      <c r="F646" s="8">
        <v>0.25269999999999998</v>
      </c>
      <c r="G646" s="4">
        <v>48.094499999999996</v>
      </c>
      <c r="H646" s="4">
        <v>37.419699999999999</v>
      </c>
      <c r="I646" s="4">
        <v>15.942500000000001</v>
      </c>
      <c r="J646" s="4">
        <v>16.2075</v>
      </c>
      <c r="K646" s="4">
        <v>15.4825</v>
      </c>
      <c r="L646" s="4">
        <v>15.654999999999999</v>
      </c>
      <c r="M646" s="7">
        <v>-1.7999999999999999E-2</v>
      </c>
    </row>
    <row r="647" spans="1:13" x14ac:dyDescent="0.2">
      <c r="A647" s="6">
        <v>44872</v>
      </c>
      <c r="B647" s="2" t="s">
        <v>228</v>
      </c>
      <c r="C647" s="5">
        <v>44866</v>
      </c>
      <c r="D647" s="2" t="s">
        <v>186</v>
      </c>
      <c r="E647" s="3">
        <v>4012</v>
      </c>
      <c r="F647" s="8">
        <v>0.28179999999999999</v>
      </c>
      <c r="G647" s="4">
        <v>59.935000000000002</v>
      </c>
      <c r="H647" s="4">
        <v>41.810200000000002</v>
      </c>
      <c r="I647" s="4">
        <v>15.654999999999999</v>
      </c>
      <c r="J647" s="4">
        <v>16.355</v>
      </c>
      <c r="K647" s="4">
        <v>15.2775</v>
      </c>
      <c r="L647" s="4">
        <v>15.585000000000001</v>
      </c>
      <c r="M647" s="7">
        <v>-4.4999999999999997E-3</v>
      </c>
    </row>
    <row r="648" spans="1:13" x14ac:dyDescent="0.2">
      <c r="A648" s="6">
        <v>44874</v>
      </c>
      <c r="B648" s="2" t="s">
        <v>224</v>
      </c>
      <c r="C648" s="5">
        <v>44866</v>
      </c>
      <c r="D648" s="2" t="s">
        <v>186</v>
      </c>
      <c r="E648" s="3">
        <v>3926</v>
      </c>
      <c r="F648" s="8">
        <v>0.3014</v>
      </c>
      <c r="G648" s="4">
        <v>58.410200000000003</v>
      </c>
      <c r="H648" s="4">
        <v>44.610100000000003</v>
      </c>
      <c r="I648" s="4">
        <v>15.585000000000001</v>
      </c>
      <c r="J648" s="4">
        <v>16.067499999999999</v>
      </c>
      <c r="K648" s="4">
        <v>15.0175</v>
      </c>
      <c r="L648" s="4">
        <v>15.914999999999999</v>
      </c>
      <c r="M648" s="7">
        <v>2.12E-2</v>
      </c>
    </row>
    <row r="649" spans="1:13" x14ac:dyDescent="0.2">
      <c r="A649" s="6">
        <v>44875</v>
      </c>
      <c r="B649" s="2" t="s">
        <v>227</v>
      </c>
      <c r="C649" s="5">
        <v>44866</v>
      </c>
      <c r="D649" s="2" t="s">
        <v>186</v>
      </c>
      <c r="E649" s="3">
        <v>3857</v>
      </c>
      <c r="F649" s="8">
        <v>0.27929999999999999</v>
      </c>
      <c r="G649" s="4">
        <v>50.497199999999999</v>
      </c>
      <c r="H649" s="4">
        <v>43.330199999999998</v>
      </c>
      <c r="I649" s="4">
        <v>15.914999999999999</v>
      </c>
      <c r="J649" s="4">
        <v>16.2925</v>
      </c>
      <c r="K649" s="4">
        <v>15.4925</v>
      </c>
      <c r="L649" s="4">
        <v>15.567500000000001</v>
      </c>
      <c r="M649" s="7">
        <v>-2.18E-2</v>
      </c>
    </row>
    <row r="650" spans="1:13" x14ac:dyDescent="0.2">
      <c r="A650" s="6">
        <v>44876</v>
      </c>
      <c r="B650" s="2" t="s">
        <v>225</v>
      </c>
      <c r="C650" s="5">
        <v>44866</v>
      </c>
      <c r="D650" s="2" t="s">
        <v>186</v>
      </c>
      <c r="E650" s="3">
        <v>3879</v>
      </c>
      <c r="F650" s="8">
        <v>0.32369999999999999</v>
      </c>
      <c r="G650" s="4">
        <v>53.728299999999997</v>
      </c>
      <c r="H650" s="4">
        <v>57.389299999999999</v>
      </c>
      <c r="I650" s="4">
        <v>15.567500000000001</v>
      </c>
      <c r="J650" s="4">
        <v>15.567500000000001</v>
      </c>
      <c r="K650" s="4">
        <v>14.2775</v>
      </c>
      <c r="L650" s="4">
        <v>14.404999999999999</v>
      </c>
      <c r="M650" s="7">
        <v>-7.4700000000000003E-2</v>
      </c>
    </row>
    <row r="651" spans="1:13" x14ac:dyDescent="0.2">
      <c r="A651" s="6">
        <v>44879</v>
      </c>
      <c r="B651" s="2" t="s">
        <v>228</v>
      </c>
      <c r="C651" s="5">
        <v>44866</v>
      </c>
      <c r="D651" s="2" t="s">
        <v>186</v>
      </c>
      <c r="E651" s="3">
        <v>4065</v>
      </c>
      <c r="F651" s="8">
        <v>0.28070000000000001</v>
      </c>
      <c r="G651" s="4">
        <v>53.931600000000003</v>
      </c>
      <c r="H651" s="4">
        <v>65.707099999999997</v>
      </c>
      <c r="I651" s="4">
        <v>14.404999999999999</v>
      </c>
      <c r="J651" s="4">
        <v>15.27</v>
      </c>
      <c r="K651" s="4">
        <v>12.555</v>
      </c>
      <c r="L651" s="4">
        <v>14.91</v>
      </c>
      <c r="M651" s="7">
        <v>3.5099999999999999E-2</v>
      </c>
    </row>
    <row r="652" spans="1:13" x14ac:dyDescent="0.2">
      <c r="A652" s="6">
        <v>44880</v>
      </c>
      <c r="B652" s="2" t="s">
        <v>226</v>
      </c>
      <c r="C652" s="5">
        <v>44866</v>
      </c>
      <c r="D652" s="2" t="s">
        <v>186</v>
      </c>
      <c r="E652" s="3">
        <v>3904</v>
      </c>
      <c r="F652" s="8">
        <v>0.24479999999999999</v>
      </c>
      <c r="G652" s="4">
        <v>44.087699999999998</v>
      </c>
      <c r="H652" s="4">
        <v>40.842799999999997</v>
      </c>
      <c r="I652" s="4">
        <v>14.91</v>
      </c>
      <c r="J652" s="4">
        <v>15.015000000000001</v>
      </c>
      <c r="K652" s="4">
        <v>13.827500000000001</v>
      </c>
      <c r="L652" s="4">
        <v>14.635</v>
      </c>
      <c r="M652" s="7">
        <v>-1.84E-2</v>
      </c>
    </row>
    <row r="653" spans="1:13" x14ac:dyDescent="0.2">
      <c r="A653" s="6">
        <v>44881</v>
      </c>
      <c r="B653" s="2" t="s">
        <v>224</v>
      </c>
      <c r="C653" s="5">
        <v>44866</v>
      </c>
      <c r="D653" s="2" t="s">
        <v>186</v>
      </c>
      <c r="E653" s="3">
        <v>3906</v>
      </c>
      <c r="F653" s="8">
        <v>0.2908</v>
      </c>
      <c r="G653" s="4">
        <v>55.419199999999996</v>
      </c>
      <c r="H653" s="4">
        <v>43.646599999999999</v>
      </c>
      <c r="I653" s="4">
        <v>14.635</v>
      </c>
      <c r="J653" s="4">
        <v>15.532500000000001</v>
      </c>
      <c r="K653" s="4">
        <v>13.9275</v>
      </c>
      <c r="L653" s="4">
        <v>15.1</v>
      </c>
      <c r="M653" s="7">
        <v>3.1800000000000002E-2</v>
      </c>
    </row>
    <row r="654" spans="1:13" x14ac:dyDescent="0.2">
      <c r="A654" s="6">
        <v>44882</v>
      </c>
      <c r="B654" s="2" t="s">
        <v>227</v>
      </c>
      <c r="C654" s="5">
        <v>44866</v>
      </c>
      <c r="D654" s="2" t="s">
        <v>186</v>
      </c>
      <c r="E654" s="3">
        <v>3868</v>
      </c>
      <c r="F654" s="8">
        <v>0.25380000000000003</v>
      </c>
      <c r="G654" s="4">
        <v>50.324800000000003</v>
      </c>
      <c r="H654" s="4">
        <v>44.540999999999997</v>
      </c>
      <c r="I654" s="4">
        <v>15.1</v>
      </c>
      <c r="J654" s="4">
        <v>16.262499999999999</v>
      </c>
      <c r="K654" s="4">
        <v>13.09</v>
      </c>
      <c r="L654" s="4">
        <v>14.8775</v>
      </c>
      <c r="M654" s="7">
        <v>-1.47E-2</v>
      </c>
    </row>
    <row r="655" spans="1:13" x14ac:dyDescent="0.2">
      <c r="A655" s="6">
        <v>44883</v>
      </c>
      <c r="B655" s="2" t="s">
        <v>225</v>
      </c>
      <c r="C655" s="5">
        <v>44866</v>
      </c>
      <c r="D655" s="2" t="s">
        <v>186</v>
      </c>
      <c r="E655" s="3">
        <v>3885</v>
      </c>
      <c r="F655" s="8">
        <v>0.2492</v>
      </c>
      <c r="G655" s="4">
        <v>44.636400000000002</v>
      </c>
      <c r="H655" s="4">
        <v>37.976399999999998</v>
      </c>
      <c r="I655" s="4">
        <v>14.8775</v>
      </c>
      <c r="J655" s="4">
        <v>15.692500000000001</v>
      </c>
      <c r="K655" s="4">
        <v>13.86</v>
      </c>
      <c r="L655" s="4">
        <v>14.39</v>
      </c>
      <c r="M655" s="7">
        <v>-3.2800000000000003E-2</v>
      </c>
    </row>
    <row r="656" spans="1:13" x14ac:dyDescent="0.2">
      <c r="A656" s="6">
        <v>44886</v>
      </c>
      <c r="B656" s="2" t="s">
        <v>228</v>
      </c>
      <c r="C656" s="5">
        <v>44866</v>
      </c>
      <c r="D656" s="2" t="s">
        <v>186</v>
      </c>
      <c r="E656" s="3">
        <v>4065</v>
      </c>
      <c r="F656" s="8">
        <v>0.2407</v>
      </c>
      <c r="G656" s="4">
        <v>47.670999999999999</v>
      </c>
      <c r="H656" s="4">
        <v>30.308</v>
      </c>
      <c r="I656" s="4">
        <v>14.39</v>
      </c>
      <c r="J656" s="4">
        <v>15.547499999999999</v>
      </c>
      <c r="K656" s="4">
        <v>13.362500000000001</v>
      </c>
      <c r="L656" s="4">
        <v>14.797499999999999</v>
      </c>
      <c r="M656" s="7">
        <v>2.8299999999999999E-2</v>
      </c>
    </row>
    <row r="657" spans="1:13" x14ac:dyDescent="0.2">
      <c r="A657" s="6">
        <v>44887</v>
      </c>
      <c r="B657" s="2" t="s">
        <v>226</v>
      </c>
      <c r="C657" s="5">
        <v>44866</v>
      </c>
      <c r="D657" s="2" t="s">
        <v>186</v>
      </c>
      <c r="E657" s="3">
        <v>3879</v>
      </c>
      <c r="F657" s="8">
        <v>0.22270000000000001</v>
      </c>
      <c r="G657" s="4">
        <v>50.2027</v>
      </c>
      <c r="H657" s="4">
        <v>35.7714</v>
      </c>
      <c r="I657" s="4">
        <v>14.797499999999999</v>
      </c>
      <c r="J657" s="4">
        <v>16.272500000000001</v>
      </c>
      <c r="K657" s="4">
        <v>13.32</v>
      </c>
      <c r="L657" s="4">
        <v>13.842499999999999</v>
      </c>
      <c r="M657" s="7">
        <v>-6.4500000000000002E-2</v>
      </c>
    </row>
    <row r="658" spans="1:13" x14ac:dyDescent="0.2">
      <c r="A658" s="6">
        <v>44888</v>
      </c>
      <c r="B658" s="2" t="s">
        <v>224</v>
      </c>
      <c r="C658" s="5">
        <v>44866</v>
      </c>
      <c r="D658" s="2" t="s">
        <v>186</v>
      </c>
      <c r="E658" s="3">
        <v>3887</v>
      </c>
      <c r="F658" s="8">
        <v>0.2414</v>
      </c>
      <c r="G658" s="4">
        <v>46.987499999999997</v>
      </c>
      <c r="H658" s="4">
        <v>36.074300000000001</v>
      </c>
      <c r="I658" s="4">
        <v>13.842499999999999</v>
      </c>
      <c r="J658" s="4">
        <v>14.327500000000001</v>
      </c>
      <c r="K658" s="4">
        <v>11.875</v>
      </c>
      <c r="L658" s="4">
        <v>14.0425</v>
      </c>
      <c r="M658" s="7">
        <v>1.44E-2</v>
      </c>
    </row>
    <row r="659" spans="1:13" x14ac:dyDescent="0.2">
      <c r="A659" s="6">
        <v>44889</v>
      </c>
      <c r="B659" s="2" t="s">
        <v>227</v>
      </c>
      <c r="C659" s="5">
        <v>44866</v>
      </c>
      <c r="D659" s="2" t="s">
        <v>186</v>
      </c>
      <c r="E659" s="3">
        <v>3922</v>
      </c>
      <c r="F659" s="8">
        <v>0.24709999999999999</v>
      </c>
      <c r="G659" s="4">
        <v>49.8812</v>
      </c>
      <c r="H659" s="4">
        <v>37.038800000000002</v>
      </c>
      <c r="I659" s="4">
        <v>14.0425</v>
      </c>
      <c r="J659" s="4">
        <v>14.0425</v>
      </c>
      <c r="K659" s="4">
        <v>12.9975</v>
      </c>
      <c r="L659" s="4">
        <v>13.477499999999999</v>
      </c>
      <c r="M659" s="7">
        <v>-4.02E-2</v>
      </c>
    </row>
    <row r="660" spans="1:13" x14ac:dyDescent="0.2">
      <c r="A660" s="6">
        <v>44890</v>
      </c>
      <c r="B660" s="2" t="s">
        <v>225</v>
      </c>
      <c r="C660" s="5">
        <v>44866</v>
      </c>
      <c r="D660" s="2" t="s">
        <v>186</v>
      </c>
      <c r="E660" s="3">
        <v>3903</v>
      </c>
      <c r="F660" s="8">
        <v>0.26600000000000001</v>
      </c>
      <c r="G660" s="4">
        <v>64.262600000000006</v>
      </c>
      <c r="H660" s="4">
        <v>36.498100000000001</v>
      </c>
      <c r="I660" s="4">
        <v>13.477499999999999</v>
      </c>
      <c r="J660" s="4">
        <v>15.772500000000001</v>
      </c>
      <c r="K660" s="4">
        <v>12.772500000000001</v>
      </c>
      <c r="L660" s="4">
        <v>13.3325</v>
      </c>
      <c r="M660" s="7">
        <v>-1.0800000000000001E-2</v>
      </c>
    </row>
    <row r="661" spans="1:13" x14ac:dyDescent="0.2">
      <c r="A661" s="6">
        <v>44893</v>
      </c>
      <c r="B661" s="2" t="s">
        <v>228</v>
      </c>
      <c r="C661" s="5">
        <v>44866</v>
      </c>
      <c r="D661" s="2" t="s">
        <v>186</v>
      </c>
      <c r="E661" s="3">
        <v>4110</v>
      </c>
      <c r="F661" s="8">
        <v>0.26590000000000003</v>
      </c>
      <c r="G661" s="4">
        <v>56.878900000000002</v>
      </c>
      <c r="H661" s="4">
        <v>36.367800000000003</v>
      </c>
      <c r="I661" s="4">
        <v>13.3325</v>
      </c>
      <c r="J661" s="4">
        <v>14.057499999999999</v>
      </c>
      <c r="K661" s="4">
        <v>12.41</v>
      </c>
      <c r="L661" s="4">
        <v>13.565</v>
      </c>
      <c r="M661" s="7">
        <v>1.7399999999999999E-2</v>
      </c>
    </row>
    <row r="662" spans="1:13" x14ac:dyDescent="0.2">
      <c r="A662" s="6">
        <v>44894</v>
      </c>
      <c r="B662" s="2" t="s">
        <v>226</v>
      </c>
      <c r="C662" s="5">
        <v>44866</v>
      </c>
      <c r="D662" s="2" t="s">
        <v>186</v>
      </c>
      <c r="E662" s="3">
        <v>3911</v>
      </c>
      <c r="F662" s="8">
        <v>0.26929999999999998</v>
      </c>
      <c r="G662" s="4">
        <v>63.474499999999999</v>
      </c>
      <c r="H662" s="4">
        <v>35.684100000000001</v>
      </c>
      <c r="I662" s="4">
        <v>13.565</v>
      </c>
      <c r="J662" s="4">
        <v>14.62</v>
      </c>
      <c r="K662" s="4">
        <v>12.407500000000001</v>
      </c>
      <c r="L662" s="4">
        <v>13.615</v>
      </c>
      <c r="M662" s="7">
        <v>3.7000000000000002E-3</v>
      </c>
    </row>
    <row r="663" spans="1:13" x14ac:dyDescent="0.2">
      <c r="A663" s="6">
        <v>44895</v>
      </c>
      <c r="B663" s="2" t="s">
        <v>224</v>
      </c>
      <c r="C663" s="5">
        <v>44866</v>
      </c>
      <c r="D663" s="2" t="s">
        <v>186</v>
      </c>
      <c r="E663" s="3">
        <v>3867</v>
      </c>
      <c r="F663" s="8">
        <v>0.25540000000000002</v>
      </c>
      <c r="G663" s="4">
        <v>58.281500000000001</v>
      </c>
      <c r="H663" s="4">
        <v>36.980400000000003</v>
      </c>
      <c r="I663" s="4">
        <v>13.615</v>
      </c>
      <c r="J663" s="4">
        <v>14.05</v>
      </c>
      <c r="K663" s="4">
        <v>12.7525</v>
      </c>
      <c r="L663" s="4">
        <v>13.807499999999999</v>
      </c>
      <c r="M663" s="7">
        <v>1.41E-2</v>
      </c>
    </row>
    <row r="664" spans="1:13" x14ac:dyDescent="0.2">
      <c r="A664" s="6">
        <v>44896</v>
      </c>
      <c r="B664" s="2" t="s">
        <v>227</v>
      </c>
      <c r="C664" s="5">
        <v>44896</v>
      </c>
      <c r="D664" s="2" t="s">
        <v>186</v>
      </c>
      <c r="E664" s="3">
        <v>3904</v>
      </c>
      <c r="F664" s="8">
        <v>0.25509999999999999</v>
      </c>
      <c r="G664" s="4">
        <v>52.353099999999998</v>
      </c>
      <c r="H664" s="4">
        <v>38.1676</v>
      </c>
      <c r="I664" s="4">
        <v>13.807499999999999</v>
      </c>
      <c r="J664" s="4">
        <v>14.23</v>
      </c>
      <c r="K664" s="4">
        <v>12.984999999999999</v>
      </c>
      <c r="L664" s="4">
        <v>13.36</v>
      </c>
      <c r="M664" s="7">
        <v>-3.2399999999999998E-2</v>
      </c>
    </row>
    <row r="665" spans="1:13" x14ac:dyDescent="0.2">
      <c r="A665" s="6">
        <v>44897</v>
      </c>
      <c r="B665" s="2" t="s">
        <v>225</v>
      </c>
      <c r="C665" s="5">
        <v>44896</v>
      </c>
      <c r="D665" s="2" t="s">
        <v>186</v>
      </c>
      <c r="E665" s="3">
        <v>3885</v>
      </c>
      <c r="F665" s="8">
        <v>0.24399999999999999</v>
      </c>
      <c r="G665" s="4">
        <v>58.168300000000002</v>
      </c>
      <c r="H665" s="4">
        <v>38.000399999999999</v>
      </c>
      <c r="I665" s="4">
        <v>13.36</v>
      </c>
      <c r="J665" s="4">
        <v>14.092499999999999</v>
      </c>
      <c r="K665" s="4">
        <v>12.96</v>
      </c>
      <c r="L665" s="4">
        <v>13.45</v>
      </c>
      <c r="M665" s="7">
        <v>6.7000000000000002E-3</v>
      </c>
    </row>
    <row r="666" spans="1:13" x14ac:dyDescent="0.2">
      <c r="A666" s="6">
        <v>44900</v>
      </c>
      <c r="B666" s="2" t="s">
        <v>228</v>
      </c>
      <c r="C666" s="5">
        <v>44896</v>
      </c>
      <c r="D666" s="2" t="s">
        <v>186</v>
      </c>
      <c r="E666" s="3">
        <v>4066</v>
      </c>
      <c r="F666" s="8">
        <v>0.28439999999999999</v>
      </c>
      <c r="G666" s="4">
        <v>75.304699999999997</v>
      </c>
      <c r="H666" s="4">
        <v>41.984000000000002</v>
      </c>
      <c r="I666" s="4">
        <v>13.45</v>
      </c>
      <c r="J666" s="4">
        <v>14.4175</v>
      </c>
      <c r="K666" s="4">
        <v>13.45</v>
      </c>
      <c r="L666" s="4">
        <v>13.7325</v>
      </c>
      <c r="M666" s="7">
        <v>2.1000000000000001E-2</v>
      </c>
    </row>
    <row r="667" spans="1:13" x14ac:dyDescent="0.2">
      <c r="A667" s="6">
        <v>44901</v>
      </c>
      <c r="B667" s="2" t="s">
        <v>226</v>
      </c>
      <c r="C667" s="5">
        <v>44896</v>
      </c>
      <c r="D667" s="2" t="s">
        <v>186</v>
      </c>
      <c r="E667" s="3">
        <v>3905</v>
      </c>
      <c r="F667" s="8">
        <v>0.25109999999999999</v>
      </c>
      <c r="G667" s="4">
        <v>62.945999999999998</v>
      </c>
      <c r="H667" s="4">
        <v>39.255400000000002</v>
      </c>
      <c r="I667" s="4">
        <v>13.7325</v>
      </c>
      <c r="J667" s="4">
        <v>14.2525</v>
      </c>
      <c r="K667" s="4">
        <v>12.18</v>
      </c>
      <c r="L667" s="4">
        <v>14.0425</v>
      </c>
      <c r="M667" s="7">
        <v>2.2599999999999999E-2</v>
      </c>
    </row>
    <row r="668" spans="1:13" x14ac:dyDescent="0.2">
      <c r="A668" s="6">
        <v>44902</v>
      </c>
      <c r="B668" s="2" t="s">
        <v>224</v>
      </c>
      <c r="C668" s="5">
        <v>44896</v>
      </c>
      <c r="D668" s="2" t="s">
        <v>186</v>
      </c>
      <c r="E668" s="3">
        <v>3931</v>
      </c>
      <c r="F668" s="8">
        <v>0.25269999999999998</v>
      </c>
      <c r="G668" s="4">
        <v>64.418599999999998</v>
      </c>
      <c r="H668" s="4">
        <v>33.1616</v>
      </c>
      <c r="I668" s="4">
        <v>14.0425</v>
      </c>
      <c r="J668" s="4">
        <v>14.4625</v>
      </c>
      <c r="K668" s="4">
        <v>13.795</v>
      </c>
      <c r="L668" s="4">
        <v>14.077500000000001</v>
      </c>
      <c r="M668" s="7">
        <v>2.5000000000000001E-3</v>
      </c>
    </row>
    <row r="669" spans="1:13" x14ac:dyDescent="0.2">
      <c r="A669" s="6">
        <v>44903</v>
      </c>
      <c r="B669" s="2" t="s">
        <v>227</v>
      </c>
      <c r="C669" s="5">
        <v>44896</v>
      </c>
      <c r="D669" s="2" t="s">
        <v>186</v>
      </c>
      <c r="E669" s="3">
        <v>3882</v>
      </c>
      <c r="F669" s="8">
        <v>0.2465</v>
      </c>
      <c r="G669" s="4">
        <v>60.642200000000003</v>
      </c>
      <c r="H669" s="4">
        <v>53.784599999999998</v>
      </c>
      <c r="I669" s="4">
        <v>14.077500000000001</v>
      </c>
      <c r="J669" s="4">
        <v>14.89</v>
      </c>
      <c r="K669" s="4">
        <v>13.26</v>
      </c>
      <c r="L669" s="4">
        <v>13.397500000000001</v>
      </c>
      <c r="M669" s="7">
        <v>-4.8300000000000003E-2</v>
      </c>
    </row>
    <row r="670" spans="1:13" x14ac:dyDescent="0.2">
      <c r="A670" s="6">
        <v>44904</v>
      </c>
      <c r="B670" s="2" t="s">
        <v>225</v>
      </c>
      <c r="C670" s="5">
        <v>44896</v>
      </c>
      <c r="D670" s="2" t="s">
        <v>186</v>
      </c>
      <c r="E670" s="3">
        <v>3927</v>
      </c>
      <c r="F670" s="8">
        <v>0.30570000000000003</v>
      </c>
      <c r="G670" s="4">
        <v>87.333200000000005</v>
      </c>
      <c r="H670" s="4">
        <v>41.671700000000001</v>
      </c>
      <c r="I670" s="4">
        <v>13.397500000000001</v>
      </c>
      <c r="J670" s="4">
        <v>13.9625</v>
      </c>
      <c r="K670" s="4">
        <v>11.9125</v>
      </c>
      <c r="L670" s="4">
        <v>13.477499999999999</v>
      </c>
      <c r="M670" s="7">
        <v>6.0000000000000001E-3</v>
      </c>
    </row>
    <row r="671" spans="1:13" x14ac:dyDescent="0.2">
      <c r="A671" s="6">
        <v>44907</v>
      </c>
      <c r="B671" s="2" t="s">
        <v>228</v>
      </c>
      <c r="C671" s="5">
        <v>44896</v>
      </c>
      <c r="D671" s="2" t="s">
        <v>186</v>
      </c>
      <c r="E671" s="3">
        <v>4048</v>
      </c>
      <c r="F671" s="8">
        <v>0.26779999999999998</v>
      </c>
      <c r="G671" s="4">
        <v>72.902799999999999</v>
      </c>
      <c r="H671" s="4">
        <v>34.128599999999999</v>
      </c>
      <c r="I671" s="4">
        <v>13.477499999999999</v>
      </c>
      <c r="J671" s="4">
        <v>14.15</v>
      </c>
      <c r="K671" s="4">
        <v>12.5275</v>
      </c>
      <c r="L671" s="4">
        <v>13.317500000000001</v>
      </c>
      <c r="M671" s="7">
        <v>-1.1900000000000001E-2</v>
      </c>
    </row>
    <row r="672" spans="1:13" x14ac:dyDescent="0.2">
      <c r="A672" s="6">
        <v>44908</v>
      </c>
      <c r="B672" s="2" t="s">
        <v>226</v>
      </c>
      <c r="C672" s="5">
        <v>44896</v>
      </c>
      <c r="D672" s="2" t="s">
        <v>186</v>
      </c>
      <c r="E672" s="3">
        <v>3913</v>
      </c>
      <c r="F672" s="8">
        <v>0.25369999999999998</v>
      </c>
      <c r="G672" s="4">
        <v>75.105599999999995</v>
      </c>
      <c r="H672" s="4">
        <v>47.500799999999998</v>
      </c>
      <c r="I672" s="4">
        <v>13.317500000000001</v>
      </c>
      <c r="J672" s="4">
        <v>13.577500000000001</v>
      </c>
      <c r="K672" s="4">
        <v>11.432499999999999</v>
      </c>
      <c r="L672" s="4">
        <v>12.8825</v>
      </c>
      <c r="M672" s="7">
        <v>-3.27E-2</v>
      </c>
    </row>
    <row r="673" spans="1:13" x14ac:dyDescent="0.2">
      <c r="A673" s="6">
        <v>44909</v>
      </c>
      <c r="B673" s="2" t="s">
        <v>224</v>
      </c>
      <c r="C673" s="5">
        <v>44896</v>
      </c>
      <c r="D673" s="2" t="s">
        <v>186</v>
      </c>
      <c r="E673" s="3">
        <v>3958</v>
      </c>
      <c r="F673" s="8">
        <v>0.29520000000000002</v>
      </c>
      <c r="G673" s="4">
        <v>113.8943</v>
      </c>
      <c r="H673" s="4">
        <v>42.913499999999999</v>
      </c>
      <c r="I673" s="4">
        <v>12.8825</v>
      </c>
      <c r="J673" s="4">
        <v>13.0825</v>
      </c>
      <c r="K673" s="4">
        <v>11.5275</v>
      </c>
      <c r="L673" s="4">
        <v>12.885</v>
      </c>
      <c r="M673" s="7">
        <v>2.0000000000000001E-4</v>
      </c>
    </row>
    <row r="674" spans="1:13" x14ac:dyDescent="0.2">
      <c r="A674" s="6">
        <v>44910</v>
      </c>
      <c r="B674" s="2" t="s">
        <v>227</v>
      </c>
      <c r="C674" s="5">
        <v>44896</v>
      </c>
      <c r="D674" s="2" t="s">
        <v>186</v>
      </c>
      <c r="E674" s="3">
        <v>3941</v>
      </c>
      <c r="F674" s="8">
        <v>0.27360000000000001</v>
      </c>
      <c r="G674" s="4">
        <v>90.071799999999996</v>
      </c>
      <c r="H674" s="4">
        <v>53.029200000000003</v>
      </c>
      <c r="I674" s="4">
        <v>12.885</v>
      </c>
      <c r="J674" s="4">
        <v>13.8825</v>
      </c>
      <c r="K674" s="4">
        <v>12.5875</v>
      </c>
      <c r="L674" s="4">
        <v>13.7325</v>
      </c>
      <c r="M674" s="7">
        <v>6.5799999999999997E-2</v>
      </c>
    </row>
    <row r="675" spans="1:13" x14ac:dyDescent="0.2">
      <c r="A675" s="6">
        <v>44911</v>
      </c>
      <c r="B675" s="2" t="s">
        <v>225</v>
      </c>
      <c r="C675" s="5">
        <v>44896</v>
      </c>
      <c r="D675" s="2" t="s">
        <v>186</v>
      </c>
      <c r="E675" s="3">
        <v>3915</v>
      </c>
      <c r="F675" s="8">
        <v>0.3125</v>
      </c>
      <c r="G675" s="4">
        <v>74.174599999999998</v>
      </c>
      <c r="H675" s="4">
        <v>41.307499999999997</v>
      </c>
      <c r="I675" s="4">
        <v>13.7325</v>
      </c>
      <c r="J675" s="4">
        <v>14.22</v>
      </c>
      <c r="K675" s="4">
        <v>12.4925</v>
      </c>
      <c r="L675" s="4">
        <v>14.07</v>
      </c>
      <c r="M675" s="7">
        <v>2.46E-2</v>
      </c>
    </row>
    <row r="676" spans="1:13" x14ac:dyDescent="0.2">
      <c r="A676" s="6">
        <v>44914</v>
      </c>
      <c r="B676" s="2" t="s">
        <v>228</v>
      </c>
      <c r="C676" s="5">
        <v>44896</v>
      </c>
      <c r="D676" s="2" t="s">
        <v>186</v>
      </c>
      <c r="E676" s="3">
        <v>4052</v>
      </c>
      <c r="F676" s="8">
        <v>0.27989999999999998</v>
      </c>
      <c r="G676" s="4">
        <v>77.864900000000006</v>
      </c>
      <c r="H676" s="4">
        <v>34.441899999999997</v>
      </c>
      <c r="I676" s="4">
        <v>14.07</v>
      </c>
      <c r="J676" s="4">
        <v>14.487500000000001</v>
      </c>
      <c r="K676" s="4">
        <v>13.5</v>
      </c>
      <c r="L676" s="4">
        <v>13.5525</v>
      </c>
      <c r="M676" s="7">
        <v>-3.6799999999999999E-2</v>
      </c>
    </row>
    <row r="677" spans="1:13" x14ac:dyDescent="0.2">
      <c r="A677" s="6">
        <v>44915</v>
      </c>
      <c r="B677" s="2" t="s">
        <v>226</v>
      </c>
      <c r="C677" s="5">
        <v>44896</v>
      </c>
      <c r="D677" s="2" t="s">
        <v>186</v>
      </c>
      <c r="E677" s="3">
        <v>3909</v>
      </c>
      <c r="F677" s="8">
        <v>0.27029999999999998</v>
      </c>
      <c r="G677" s="4">
        <v>69.201700000000002</v>
      </c>
      <c r="H677" s="4">
        <v>43.744500000000002</v>
      </c>
      <c r="I677" s="4">
        <v>13.5525</v>
      </c>
      <c r="J677" s="4">
        <v>14.922499999999999</v>
      </c>
      <c r="K677" s="4">
        <v>13.04</v>
      </c>
      <c r="L677" s="4">
        <v>13.78</v>
      </c>
      <c r="M677" s="7">
        <v>1.6799999999999999E-2</v>
      </c>
    </row>
    <row r="678" spans="1:13" x14ac:dyDescent="0.2">
      <c r="A678" s="6">
        <v>44916</v>
      </c>
      <c r="B678" s="2" t="s">
        <v>224</v>
      </c>
      <c r="C678" s="5">
        <v>44896</v>
      </c>
      <c r="D678" s="2" t="s">
        <v>186</v>
      </c>
      <c r="E678" s="3">
        <v>3921</v>
      </c>
      <c r="F678" s="8">
        <v>0.3574</v>
      </c>
      <c r="G678" s="4">
        <v>91.145700000000005</v>
      </c>
      <c r="H678" s="4">
        <v>43.5381</v>
      </c>
      <c r="I678" s="4">
        <v>13.78</v>
      </c>
      <c r="J678" s="4">
        <v>16.010000000000002</v>
      </c>
      <c r="K678" s="4">
        <v>12.4625</v>
      </c>
      <c r="L678" s="4">
        <v>15.5625</v>
      </c>
      <c r="M678" s="7">
        <v>0.12939999999999999</v>
      </c>
    </row>
    <row r="679" spans="1:13" x14ac:dyDescent="0.2">
      <c r="A679" s="6">
        <v>44917</v>
      </c>
      <c r="B679" s="2" t="s">
        <v>227</v>
      </c>
      <c r="C679" s="5">
        <v>44896</v>
      </c>
      <c r="D679" s="2" t="s">
        <v>186</v>
      </c>
      <c r="E679" s="3">
        <v>3918</v>
      </c>
      <c r="F679" s="8">
        <v>0.3745</v>
      </c>
      <c r="G679" s="4">
        <v>86.431899999999999</v>
      </c>
      <c r="H679" s="4">
        <v>43.4801</v>
      </c>
      <c r="I679" s="4">
        <v>15.5625</v>
      </c>
      <c r="J679" s="4">
        <v>16.3</v>
      </c>
      <c r="K679" s="4">
        <v>14.44</v>
      </c>
      <c r="L679" s="4">
        <v>15.1875</v>
      </c>
      <c r="M679" s="7">
        <v>-2.41E-2</v>
      </c>
    </row>
    <row r="680" spans="1:13" x14ac:dyDescent="0.2">
      <c r="A680" s="6">
        <v>44918</v>
      </c>
      <c r="B680" s="2" t="s">
        <v>225</v>
      </c>
      <c r="C680" s="5">
        <v>44896</v>
      </c>
      <c r="D680" s="2" t="s">
        <v>186</v>
      </c>
      <c r="E680" s="3">
        <v>3992</v>
      </c>
      <c r="F680" s="8">
        <v>0.40989999999999999</v>
      </c>
      <c r="G680" s="4">
        <v>79.199799999999996</v>
      </c>
      <c r="H680" s="4">
        <v>43.982999999999997</v>
      </c>
      <c r="I680" s="4">
        <v>15.1875</v>
      </c>
      <c r="J680" s="4">
        <v>16.48</v>
      </c>
      <c r="K680" s="4">
        <v>14.4825</v>
      </c>
      <c r="L680" s="4">
        <v>16.16</v>
      </c>
      <c r="M680" s="7">
        <v>6.4000000000000001E-2</v>
      </c>
    </row>
    <row r="681" spans="1:13" x14ac:dyDescent="0.2">
      <c r="A681" s="6">
        <v>44921</v>
      </c>
      <c r="B681" s="2" t="s">
        <v>228</v>
      </c>
      <c r="C681" s="5">
        <v>44896</v>
      </c>
      <c r="D681" s="2" t="s">
        <v>186</v>
      </c>
      <c r="E681" s="3">
        <v>4039</v>
      </c>
      <c r="F681" s="8">
        <v>0.29759999999999998</v>
      </c>
      <c r="G681" s="4">
        <v>70.9572</v>
      </c>
      <c r="H681" s="4">
        <v>35.117800000000003</v>
      </c>
      <c r="I681" s="4">
        <v>16.16</v>
      </c>
      <c r="J681" s="4">
        <v>17.23</v>
      </c>
      <c r="K681" s="4">
        <v>14.307499999999999</v>
      </c>
      <c r="L681" s="4">
        <v>15.932499999999999</v>
      </c>
      <c r="M681" s="7">
        <v>-1.41E-2</v>
      </c>
    </row>
    <row r="682" spans="1:13" x14ac:dyDescent="0.2">
      <c r="A682" s="6">
        <v>44922</v>
      </c>
      <c r="B682" s="2" t="s">
        <v>226</v>
      </c>
      <c r="C682" s="5">
        <v>44896</v>
      </c>
      <c r="D682" s="2" t="s">
        <v>186</v>
      </c>
      <c r="E682" s="3">
        <v>3890</v>
      </c>
      <c r="F682" s="8">
        <v>0.255</v>
      </c>
      <c r="G682" s="4">
        <v>57.476900000000001</v>
      </c>
      <c r="H682" s="4">
        <v>31.7623</v>
      </c>
      <c r="I682" s="4">
        <v>15.932499999999999</v>
      </c>
      <c r="J682" s="4">
        <v>16.1325</v>
      </c>
      <c r="K682" s="4">
        <v>14.925000000000001</v>
      </c>
      <c r="L682" s="4">
        <v>15.29</v>
      </c>
      <c r="M682" s="7">
        <v>-4.0300000000000002E-2</v>
      </c>
    </row>
    <row r="683" spans="1:13" x14ac:dyDescent="0.2">
      <c r="A683" s="6">
        <v>44923</v>
      </c>
      <c r="B683" s="2" t="s">
        <v>224</v>
      </c>
      <c r="C683" s="5">
        <v>44896</v>
      </c>
      <c r="D683" s="2" t="s">
        <v>186</v>
      </c>
      <c r="E683" s="3">
        <v>3877</v>
      </c>
      <c r="F683" s="8">
        <v>0.224</v>
      </c>
      <c r="G683" s="4">
        <v>53.165700000000001</v>
      </c>
      <c r="H683" s="4">
        <v>29.938800000000001</v>
      </c>
      <c r="I683" s="4">
        <v>15.29</v>
      </c>
      <c r="J683" s="4">
        <v>15.647500000000001</v>
      </c>
      <c r="K683" s="4">
        <v>15.272500000000001</v>
      </c>
      <c r="L683" s="4">
        <v>15.395</v>
      </c>
      <c r="M683" s="7">
        <v>6.8999999999999999E-3</v>
      </c>
    </row>
    <row r="684" spans="1:13" x14ac:dyDescent="0.2">
      <c r="A684" s="6">
        <v>44924</v>
      </c>
      <c r="B684" s="2" t="s">
        <v>227</v>
      </c>
      <c r="C684" s="5">
        <v>44896</v>
      </c>
      <c r="D684" s="2" t="s">
        <v>186</v>
      </c>
      <c r="E684" s="3">
        <v>3907</v>
      </c>
      <c r="F684" s="8">
        <v>0.22409999999999999</v>
      </c>
      <c r="G684" s="4">
        <v>47.229199999999999</v>
      </c>
      <c r="H684" s="4">
        <v>27.356400000000001</v>
      </c>
      <c r="I684" s="4">
        <v>15.395</v>
      </c>
      <c r="J684" s="4">
        <v>15.77</v>
      </c>
      <c r="K684" s="4">
        <v>14.71</v>
      </c>
      <c r="L684" s="4">
        <v>14.8125</v>
      </c>
      <c r="M684" s="7">
        <v>-3.78E-2</v>
      </c>
    </row>
    <row r="685" spans="1:13" x14ac:dyDescent="0.2">
      <c r="A685" s="6">
        <v>44925</v>
      </c>
      <c r="B685" s="2" t="s">
        <v>225</v>
      </c>
      <c r="C685" s="5">
        <v>44896</v>
      </c>
      <c r="D685" s="2" t="s">
        <v>186</v>
      </c>
      <c r="E685" s="3">
        <v>3871</v>
      </c>
      <c r="F685" s="8">
        <v>0.22969999999999999</v>
      </c>
      <c r="G685" s="4">
        <v>58.118400000000001</v>
      </c>
      <c r="H685" s="4">
        <v>29.625599999999999</v>
      </c>
      <c r="I685" s="4">
        <v>14.8125</v>
      </c>
      <c r="J685" s="4">
        <v>15.115</v>
      </c>
      <c r="K685" s="4">
        <v>14.282500000000001</v>
      </c>
      <c r="L685" s="4">
        <v>14.8675</v>
      </c>
      <c r="M685" s="7">
        <v>3.7000000000000002E-3</v>
      </c>
    </row>
    <row r="686" spans="1:13" x14ac:dyDescent="0.2">
      <c r="A686" s="6">
        <v>44928</v>
      </c>
      <c r="B686" s="2" t="s">
        <v>228</v>
      </c>
      <c r="C686" s="5">
        <v>44927</v>
      </c>
      <c r="D686" s="2" t="s">
        <v>187</v>
      </c>
      <c r="E686" s="3">
        <v>4068</v>
      </c>
      <c r="F686" s="8">
        <v>0.24640000000000001</v>
      </c>
      <c r="G686" s="4">
        <v>60.626100000000001</v>
      </c>
      <c r="H686" s="4">
        <v>33.9527</v>
      </c>
      <c r="I686" s="4">
        <v>14.8675</v>
      </c>
      <c r="J686" s="4">
        <v>15.452500000000001</v>
      </c>
      <c r="K686" s="4">
        <v>14.567500000000001</v>
      </c>
      <c r="L686" s="4">
        <v>14.685</v>
      </c>
      <c r="M686" s="7">
        <v>-1.23E-2</v>
      </c>
    </row>
    <row r="687" spans="1:13" x14ac:dyDescent="0.2">
      <c r="A687" s="6">
        <v>44929</v>
      </c>
      <c r="B687" s="2" t="s">
        <v>226</v>
      </c>
      <c r="C687" s="5">
        <v>44927</v>
      </c>
      <c r="D687" s="2" t="s">
        <v>187</v>
      </c>
      <c r="E687" s="3">
        <v>3954</v>
      </c>
      <c r="F687" s="8">
        <v>0.20810000000000001</v>
      </c>
      <c r="G687" s="4">
        <v>60.847299999999997</v>
      </c>
      <c r="H687" s="4">
        <v>28.726900000000001</v>
      </c>
      <c r="I687" s="4">
        <v>14.685</v>
      </c>
      <c r="J687" s="4">
        <v>14.99</v>
      </c>
      <c r="K687" s="4">
        <v>14.305</v>
      </c>
      <c r="L687" s="4">
        <v>14.385</v>
      </c>
      <c r="M687" s="7">
        <v>-2.0400000000000001E-2</v>
      </c>
    </row>
    <row r="688" spans="1:13" x14ac:dyDescent="0.2">
      <c r="A688" s="6">
        <v>44930</v>
      </c>
      <c r="B688" s="2" t="s">
        <v>224</v>
      </c>
      <c r="C688" s="5">
        <v>44927</v>
      </c>
      <c r="D688" s="2" t="s">
        <v>187</v>
      </c>
      <c r="E688" s="3">
        <v>3900</v>
      </c>
      <c r="F688" s="8">
        <v>0.2432</v>
      </c>
      <c r="G688" s="4">
        <v>59.869399999999999</v>
      </c>
      <c r="H688" s="4">
        <v>30.851400000000002</v>
      </c>
      <c r="I688" s="4">
        <v>14.385</v>
      </c>
      <c r="J688" s="4">
        <v>15.682499999999999</v>
      </c>
      <c r="K688" s="4">
        <v>14.33</v>
      </c>
      <c r="L688" s="4">
        <v>15.1975</v>
      </c>
      <c r="M688" s="7">
        <v>5.6500000000000002E-2</v>
      </c>
    </row>
    <row r="689" spans="1:13" x14ac:dyDescent="0.2">
      <c r="A689" s="6">
        <v>44931</v>
      </c>
      <c r="B689" s="2" t="s">
        <v>227</v>
      </c>
      <c r="C689" s="5">
        <v>44927</v>
      </c>
      <c r="D689" s="2" t="s">
        <v>187</v>
      </c>
      <c r="E689" s="3">
        <v>3916</v>
      </c>
      <c r="F689" s="8">
        <v>0.2374</v>
      </c>
      <c r="G689" s="4">
        <v>74.681600000000003</v>
      </c>
      <c r="H689" s="4">
        <v>33.777200000000001</v>
      </c>
      <c r="I689" s="4">
        <v>15.1975</v>
      </c>
      <c r="J689" s="4">
        <v>15.6</v>
      </c>
      <c r="K689" s="4">
        <v>14.8125</v>
      </c>
      <c r="L689" s="4">
        <v>14.9825</v>
      </c>
      <c r="M689" s="7">
        <v>-1.41E-2</v>
      </c>
    </row>
    <row r="690" spans="1:13" x14ac:dyDescent="0.2">
      <c r="A690" s="6">
        <v>44932</v>
      </c>
      <c r="B690" s="2" t="s">
        <v>225</v>
      </c>
      <c r="C690" s="5">
        <v>44927</v>
      </c>
      <c r="D690" s="2" t="s">
        <v>187</v>
      </c>
      <c r="E690" s="3">
        <v>3931</v>
      </c>
      <c r="F690" s="8">
        <v>0.2349</v>
      </c>
      <c r="G690" s="4">
        <v>52.8658</v>
      </c>
      <c r="H690" s="4">
        <v>31.447099999999999</v>
      </c>
      <c r="I690" s="4">
        <v>14.9825</v>
      </c>
      <c r="J690" s="4">
        <v>15.4375</v>
      </c>
      <c r="K690" s="4">
        <v>14.6225</v>
      </c>
      <c r="L690" s="4">
        <v>15.025</v>
      </c>
      <c r="M690" s="7">
        <v>2.8E-3</v>
      </c>
    </row>
    <row r="691" spans="1:13" x14ac:dyDescent="0.2">
      <c r="A691" s="6">
        <v>44935</v>
      </c>
      <c r="B691" s="2" t="s">
        <v>228</v>
      </c>
      <c r="C691" s="5">
        <v>44927</v>
      </c>
      <c r="D691" s="2" t="s">
        <v>187</v>
      </c>
      <c r="E691" s="3">
        <v>4072</v>
      </c>
      <c r="F691" s="8">
        <v>0.217</v>
      </c>
      <c r="G691" s="4">
        <v>60.367800000000003</v>
      </c>
      <c r="H691" s="4">
        <v>29.4863</v>
      </c>
      <c r="I691" s="4">
        <v>15.025</v>
      </c>
      <c r="J691" s="4">
        <v>15.3775</v>
      </c>
      <c r="K691" s="4">
        <v>14.53</v>
      </c>
      <c r="L691" s="4">
        <v>14.6525</v>
      </c>
      <c r="M691" s="7">
        <v>-2.4799999999999999E-2</v>
      </c>
    </row>
    <row r="692" spans="1:13" x14ac:dyDescent="0.2">
      <c r="A692" s="6">
        <v>44936</v>
      </c>
      <c r="B692" s="2" t="s">
        <v>226</v>
      </c>
      <c r="C692" s="5">
        <v>44927</v>
      </c>
      <c r="D692" s="2" t="s">
        <v>187</v>
      </c>
      <c r="E692" s="3">
        <v>3930</v>
      </c>
      <c r="F692" s="8">
        <v>0.20200000000000001</v>
      </c>
      <c r="G692" s="4">
        <v>42.055599999999998</v>
      </c>
      <c r="H692" s="4">
        <v>26.1953</v>
      </c>
      <c r="I692" s="4">
        <v>14.6525</v>
      </c>
      <c r="J692" s="4">
        <v>15.935</v>
      </c>
      <c r="K692" s="4">
        <v>14.5625</v>
      </c>
      <c r="L692" s="4">
        <v>15.51</v>
      </c>
      <c r="M692" s="7">
        <v>5.8500000000000003E-2</v>
      </c>
    </row>
    <row r="693" spans="1:13" x14ac:dyDescent="0.2">
      <c r="A693" s="6">
        <v>44937</v>
      </c>
      <c r="B693" s="2" t="s">
        <v>224</v>
      </c>
      <c r="C693" s="5">
        <v>44927</v>
      </c>
      <c r="D693" s="2" t="s">
        <v>187</v>
      </c>
      <c r="E693" s="3">
        <v>3894</v>
      </c>
      <c r="F693" s="8">
        <v>0.21149999999999999</v>
      </c>
      <c r="G693" s="4">
        <v>47.335900000000002</v>
      </c>
      <c r="H693" s="4">
        <v>29.4771</v>
      </c>
      <c r="I693" s="4">
        <v>15.51</v>
      </c>
      <c r="J693" s="4">
        <v>16.225000000000001</v>
      </c>
      <c r="K693" s="4">
        <v>15.115</v>
      </c>
      <c r="L693" s="4">
        <v>15.435</v>
      </c>
      <c r="M693" s="7">
        <v>-4.7999999999999996E-3</v>
      </c>
    </row>
    <row r="694" spans="1:13" x14ac:dyDescent="0.2">
      <c r="A694" s="6">
        <v>44938</v>
      </c>
      <c r="B694" s="2" t="s">
        <v>227</v>
      </c>
      <c r="C694" s="5">
        <v>44927</v>
      </c>
      <c r="D694" s="2" t="s">
        <v>187</v>
      </c>
      <c r="E694" s="3">
        <v>3913</v>
      </c>
      <c r="F694" s="8">
        <v>0.219</v>
      </c>
      <c r="G694" s="4">
        <v>46.1892</v>
      </c>
      <c r="H694" s="4">
        <v>26.497199999999999</v>
      </c>
      <c r="I694" s="4">
        <v>15.435</v>
      </c>
      <c r="J694" s="4">
        <v>16.0425</v>
      </c>
      <c r="K694" s="4">
        <v>14.4175</v>
      </c>
      <c r="L694" s="4">
        <v>15.275</v>
      </c>
      <c r="M694" s="7">
        <v>-1.04E-2</v>
      </c>
    </row>
    <row r="695" spans="1:13" x14ac:dyDescent="0.2">
      <c r="A695" s="6">
        <v>44939</v>
      </c>
      <c r="B695" s="2" t="s">
        <v>225</v>
      </c>
      <c r="C695" s="5">
        <v>44927</v>
      </c>
      <c r="D695" s="2" t="s">
        <v>187</v>
      </c>
      <c r="E695" s="3">
        <v>3901</v>
      </c>
      <c r="F695" s="8">
        <v>0.2155</v>
      </c>
      <c r="G695" s="4">
        <v>76.445599999999999</v>
      </c>
      <c r="H695" s="4">
        <v>38.911000000000001</v>
      </c>
      <c r="I695" s="4">
        <v>15.275</v>
      </c>
      <c r="J695" s="4">
        <v>15.602499999999999</v>
      </c>
      <c r="K695" s="4">
        <v>14.395</v>
      </c>
      <c r="L695" s="4">
        <v>14.46</v>
      </c>
      <c r="M695" s="7">
        <v>-5.3400000000000003E-2</v>
      </c>
    </row>
    <row r="696" spans="1:13" x14ac:dyDescent="0.2">
      <c r="A696" s="6">
        <v>44942</v>
      </c>
      <c r="B696" s="2" t="s">
        <v>228</v>
      </c>
      <c r="C696" s="5">
        <v>44927</v>
      </c>
      <c r="D696" s="2" t="s">
        <v>187</v>
      </c>
      <c r="E696" s="3">
        <v>4037</v>
      </c>
      <c r="F696" s="8">
        <v>0.21959999999999999</v>
      </c>
      <c r="G696" s="4">
        <v>67.463300000000004</v>
      </c>
      <c r="H696" s="4">
        <v>30.524999999999999</v>
      </c>
      <c r="I696" s="4">
        <v>14.46</v>
      </c>
      <c r="J696" s="4">
        <v>15.362500000000001</v>
      </c>
      <c r="K696" s="4">
        <v>14.46</v>
      </c>
      <c r="L696" s="4">
        <v>15.022500000000001</v>
      </c>
      <c r="M696" s="7">
        <v>3.8899999999999997E-2</v>
      </c>
    </row>
    <row r="697" spans="1:13" x14ac:dyDescent="0.2">
      <c r="A697" s="6">
        <v>44943</v>
      </c>
      <c r="B697" s="2" t="s">
        <v>226</v>
      </c>
      <c r="C697" s="5">
        <v>44927</v>
      </c>
      <c r="D697" s="2" t="s">
        <v>187</v>
      </c>
      <c r="E697" s="3">
        <v>3907</v>
      </c>
      <c r="F697" s="8">
        <v>0.20810000000000001</v>
      </c>
      <c r="G697" s="4">
        <v>130.53579999999999</v>
      </c>
      <c r="H697" s="4">
        <v>42.463799999999999</v>
      </c>
      <c r="I697" s="4">
        <v>15.022500000000001</v>
      </c>
      <c r="J697" s="4">
        <v>15.31</v>
      </c>
      <c r="K697" s="4">
        <v>13.84</v>
      </c>
      <c r="L697" s="4">
        <v>14.59</v>
      </c>
      <c r="M697" s="7">
        <v>-2.8799999999999999E-2</v>
      </c>
    </row>
    <row r="698" spans="1:13" x14ac:dyDescent="0.2">
      <c r="A698" s="6">
        <v>44944</v>
      </c>
      <c r="B698" s="2" t="s">
        <v>224</v>
      </c>
      <c r="C698" s="5">
        <v>44927</v>
      </c>
      <c r="D698" s="2" t="s">
        <v>187</v>
      </c>
      <c r="E698" s="3">
        <v>3901</v>
      </c>
      <c r="F698" s="8">
        <v>0.19719999999999999</v>
      </c>
      <c r="G698" s="4">
        <v>49.098199999999999</v>
      </c>
      <c r="H698" s="4">
        <v>27.200700000000001</v>
      </c>
      <c r="I698" s="4">
        <v>14.59</v>
      </c>
      <c r="J698" s="4">
        <v>14.75</v>
      </c>
      <c r="K698" s="4">
        <v>12.4725</v>
      </c>
      <c r="L698" s="4">
        <v>14.3725</v>
      </c>
      <c r="M698" s="7">
        <v>-1.49E-2</v>
      </c>
    </row>
    <row r="699" spans="1:13" x14ac:dyDescent="0.2">
      <c r="A699" s="6">
        <v>44945</v>
      </c>
      <c r="B699" s="2" t="s">
        <v>227</v>
      </c>
      <c r="C699" s="5">
        <v>44927</v>
      </c>
      <c r="D699" s="2" t="s">
        <v>187</v>
      </c>
      <c r="E699" s="3">
        <v>3881</v>
      </c>
      <c r="F699" s="8">
        <v>0.2024</v>
      </c>
      <c r="G699" s="4">
        <v>121.2114</v>
      </c>
      <c r="H699" s="4">
        <v>29.925000000000001</v>
      </c>
      <c r="I699" s="4">
        <v>14.3725</v>
      </c>
      <c r="J699" s="4">
        <v>14.8325</v>
      </c>
      <c r="K699" s="4">
        <v>13.8925</v>
      </c>
      <c r="L699" s="4">
        <v>13.96</v>
      </c>
      <c r="M699" s="7">
        <v>-2.87E-2</v>
      </c>
    </row>
    <row r="700" spans="1:13" x14ac:dyDescent="0.2">
      <c r="A700" s="6">
        <v>44946</v>
      </c>
      <c r="B700" s="2" t="s">
        <v>225</v>
      </c>
      <c r="C700" s="5">
        <v>44927</v>
      </c>
      <c r="D700" s="2" t="s">
        <v>187</v>
      </c>
      <c r="E700" s="3">
        <v>3904</v>
      </c>
      <c r="F700" s="8">
        <v>0.21190000000000001</v>
      </c>
      <c r="G700" s="4">
        <v>49.978099999999998</v>
      </c>
      <c r="H700" s="4">
        <v>26.9129</v>
      </c>
      <c r="I700" s="4">
        <v>13.96</v>
      </c>
      <c r="J700" s="4">
        <v>14.185</v>
      </c>
      <c r="K700" s="4">
        <v>11.6425</v>
      </c>
      <c r="L700" s="4">
        <v>13.7875</v>
      </c>
      <c r="M700" s="7">
        <v>-1.24E-2</v>
      </c>
    </row>
    <row r="701" spans="1:13" x14ac:dyDescent="0.2">
      <c r="A701" s="6">
        <v>44949</v>
      </c>
      <c r="B701" s="2" t="s">
        <v>228</v>
      </c>
      <c r="C701" s="5">
        <v>44927</v>
      </c>
      <c r="D701" s="2" t="s">
        <v>187</v>
      </c>
      <c r="E701" s="3">
        <v>4092</v>
      </c>
      <c r="F701" s="8">
        <v>0.2331</v>
      </c>
      <c r="G701" s="4">
        <v>55.573399999999999</v>
      </c>
      <c r="H701" s="4">
        <v>27.259499999999999</v>
      </c>
      <c r="I701" s="4">
        <v>13.7875</v>
      </c>
      <c r="J701" s="4">
        <v>14.26</v>
      </c>
      <c r="K701" s="4">
        <v>13.48</v>
      </c>
      <c r="L701" s="4">
        <v>13.6175</v>
      </c>
      <c r="M701" s="7">
        <v>-1.23E-2</v>
      </c>
    </row>
    <row r="702" spans="1:13" x14ac:dyDescent="0.2">
      <c r="A702" s="6">
        <v>44950</v>
      </c>
      <c r="B702" s="2" t="s">
        <v>226</v>
      </c>
      <c r="C702" s="5">
        <v>44927</v>
      </c>
      <c r="D702" s="2" t="s">
        <v>187</v>
      </c>
      <c r="E702" s="3">
        <v>3920</v>
      </c>
      <c r="F702" s="8">
        <v>0.2157</v>
      </c>
      <c r="G702" s="4">
        <v>41.24</v>
      </c>
      <c r="H702" s="4">
        <v>29.474900000000002</v>
      </c>
      <c r="I702" s="4">
        <v>13.6175</v>
      </c>
      <c r="J702" s="4">
        <v>13.81</v>
      </c>
      <c r="K702" s="4">
        <v>13.3</v>
      </c>
      <c r="L702" s="4">
        <v>13.657500000000001</v>
      </c>
      <c r="M702" s="7">
        <v>2.8999999999999998E-3</v>
      </c>
    </row>
    <row r="703" spans="1:13" x14ac:dyDescent="0.2">
      <c r="A703" s="6">
        <v>44951</v>
      </c>
      <c r="B703" s="2" t="s">
        <v>224</v>
      </c>
      <c r="C703" s="5">
        <v>44927</v>
      </c>
      <c r="D703" s="2" t="s">
        <v>187</v>
      </c>
      <c r="E703" s="3">
        <v>3890</v>
      </c>
      <c r="F703" s="8">
        <v>0.2321</v>
      </c>
      <c r="G703" s="4">
        <v>45.012300000000003</v>
      </c>
      <c r="H703" s="4">
        <v>28.984400000000001</v>
      </c>
      <c r="I703" s="4">
        <v>13.657500000000001</v>
      </c>
      <c r="J703" s="4">
        <v>15.422499999999999</v>
      </c>
      <c r="K703" s="4">
        <v>13.5175</v>
      </c>
      <c r="L703" s="4">
        <v>14.654999999999999</v>
      </c>
      <c r="M703" s="7">
        <v>7.2999999999999995E-2</v>
      </c>
    </row>
    <row r="704" spans="1:13" x14ac:dyDescent="0.2">
      <c r="A704" s="6">
        <v>44953</v>
      </c>
      <c r="B704" s="2" t="s">
        <v>225</v>
      </c>
      <c r="C704" s="5">
        <v>44927</v>
      </c>
      <c r="D704" s="2" t="s">
        <v>187</v>
      </c>
      <c r="E704" s="3">
        <v>3909</v>
      </c>
      <c r="F704" s="8">
        <v>0.375</v>
      </c>
      <c r="G704" s="4">
        <v>59.203299999999999</v>
      </c>
      <c r="H704" s="4">
        <v>46.999499999999998</v>
      </c>
      <c r="I704" s="4">
        <v>14.654999999999999</v>
      </c>
      <c r="J704" s="4">
        <v>18.012499999999999</v>
      </c>
      <c r="K704" s="4">
        <v>14.5825</v>
      </c>
      <c r="L704" s="4">
        <v>17.32</v>
      </c>
      <c r="M704" s="7">
        <v>0.18179999999999999</v>
      </c>
    </row>
    <row r="705" spans="1:13" x14ac:dyDescent="0.2">
      <c r="A705" s="6">
        <v>44956</v>
      </c>
      <c r="B705" s="2" t="s">
        <v>228</v>
      </c>
      <c r="C705" s="5">
        <v>44927</v>
      </c>
      <c r="D705" s="2" t="s">
        <v>187</v>
      </c>
      <c r="E705" s="3">
        <v>4051</v>
      </c>
      <c r="F705" s="8">
        <v>0.31430000000000002</v>
      </c>
      <c r="G705" s="4">
        <v>52.475000000000001</v>
      </c>
      <c r="H705" s="4">
        <v>48.343499999999999</v>
      </c>
      <c r="I705" s="4">
        <v>17.32</v>
      </c>
      <c r="J705" s="4">
        <v>19.39</v>
      </c>
      <c r="K705" s="4">
        <v>17.29</v>
      </c>
      <c r="L705" s="4">
        <v>17.71</v>
      </c>
      <c r="M705" s="7">
        <v>2.2499999999999999E-2</v>
      </c>
    </row>
    <row r="706" spans="1:13" x14ac:dyDescent="0.2">
      <c r="A706" s="6">
        <v>44957</v>
      </c>
      <c r="B706" s="2" t="s">
        <v>226</v>
      </c>
      <c r="C706" s="5">
        <v>44927</v>
      </c>
      <c r="D706" s="2" t="s">
        <v>187</v>
      </c>
      <c r="E706" s="3">
        <v>3897</v>
      </c>
      <c r="F706" s="8">
        <v>0.27039999999999997</v>
      </c>
      <c r="G706" s="4">
        <v>46.816899999999997</v>
      </c>
      <c r="H706" s="4">
        <v>33.622199999999999</v>
      </c>
      <c r="I706" s="4">
        <v>17.71</v>
      </c>
      <c r="J706" s="4">
        <v>18.3675</v>
      </c>
      <c r="K706" s="4">
        <v>16.565000000000001</v>
      </c>
      <c r="L706" s="4">
        <v>16.875</v>
      </c>
      <c r="M706" s="7">
        <v>-4.7100000000000003E-2</v>
      </c>
    </row>
    <row r="707" spans="1:13" x14ac:dyDescent="0.2">
      <c r="A707" s="6">
        <v>44958</v>
      </c>
      <c r="B707" s="2" t="s">
        <v>224</v>
      </c>
      <c r="C707" s="5">
        <v>44958</v>
      </c>
      <c r="D707" s="2" t="s">
        <v>187</v>
      </c>
      <c r="E707" s="3">
        <v>3891</v>
      </c>
      <c r="F707" s="8">
        <v>0.40289999999999998</v>
      </c>
      <c r="G707" s="4">
        <v>66.365600000000001</v>
      </c>
      <c r="H707" s="4">
        <v>82.568299999999994</v>
      </c>
      <c r="I707" s="4">
        <v>16.875</v>
      </c>
      <c r="J707" s="4">
        <v>18.54</v>
      </c>
      <c r="K707" s="4">
        <v>14.8475</v>
      </c>
      <c r="L707" s="4">
        <v>16.78</v>
      </c>
      <c r="M707" s="7">
        <v>-5.5999999999999999E-3</v>
      </c>
    </row>
    <row r="708" spans="1:13" x14ac:dyDescent="0.2">
      <c r="A708" s="6">
        <v>44959</v>
      </c>
      <c r="B708" s="2" t="s">
        <v>227</v>
      </c>
      <c r="C708" s="5">
        <v>44958</v>
      </c>
      <c r="D708" s="2" t="s">
        <v>187</v>
      </c>
      <c r="E708" s="3">
        <v>3878</v>
      </c>
      <c r="F708" s="8">
        <v>0.30180000000000001</v>
      </c>
      <c r="G708" s="4">
        <v>38.416499999999999</v>
      </c>
      <c r="H708" s="4">
        <v>36.521799999999999</v>
      </c>
      <c r="I708" s="4">
        <v>16.78</v>
      </c>
      <c r="J708" s="4">
        <v>17.767499999999998</v>
      </c>
      <c r="K708" s="4">
        <v>15.5075</v>
      </c>
      <c r="L708" s="4">
        <v>15.7325</v>
      </c>
      <c r="M708" s="7">
        <v>-6.2399999999999997E-2</v>
      </c>
    </row>
    <row r="709" spans="1:13" x14ac:dyDescent="0.2">
      <c r="A709" s="6">
        <v>44960</v>
      </c>
      <c r="B709" s="2" t="s">
        <v>225</v>
      </c>
      <c r="C709" s="5">
        <v>44958</v>
      </c>
      <c r="D709" s="2" t="s">
        <v>187</v>
      </c>
      <c r="E709" s="3">
        <v>3944</v>
      </c>
      <c r="F709" s="8">
        <v>0.32440000000000002</v>
      </c>
      <c r="G709" s="4">
        <v>57.035600000000002</v>
      </c>
      <c r="H709" s="4">
        <v>40.322600000000001</v>
      </c>
      <c r="I709" s="4">
        <v>15.7325</v>
      </c>
      <c r="J709" s="4">
        <v>15.7575</v>
      </c>
      <c r="K709" s="4">
        <v>14.27</v>
      </c>
      <c r="L709" s="4">
        <v>14.397500000000001</v>
      </c>
      <c r="M709" s="7">
        <v>-8.4900000000000003E-2</v>
      </c>
    </row>
    <row r="710" spans="1:13" x14ac:dyDescent="0.2">
      <c r="A710" s="6">
        <v>44963</v>
      </c>
      <c r="B710" s="2" t="s">
        <v>228</v>
      </c>
      <c r="C710" s="5">
        <v>44958</v>
      </c>
      <c r="D710" s="2" t="s">
        <v>187</v>
      </c>
      <c r="E710" s="3">
        <v>4036</v>
      </c>
      <c r="F710" s="8">
        <v>0.27860000000000001</v>
      </c>
      <c r="G710" s="4">
        <v>58.900700000000001</v>
      </c>
      <c r="H710" s="4">
        <v>30.777100000000001</v>
      </c>
      <c r="I710" s="4">
        <v>14.397500000000001</v>
      </c>
      <c r="J710" s="4">
        <v>15.205</v>
      </c>
      <c r="K710" s="4">
        <v>14.185</v>
      </c>
      <c r="L710" s="4">
        <v>14.6875</v>
      </c>
      <c r="M710" s="7">
        <v>2.01E-2</v>
      </c>
    </row>
    <row r="711" spans="1:13" x14ac:dyDescent="0.2">
      <c r="A711" s="6">
        <v>44964</v>
      </c>
      <c r="B711" s="2" t="s">
        <v>226</v>
      </c>
      <c r="C711" s="5">
        <v>44958</v>
      </c>
      <c r="D711" s="2" t="s">
        <v>187</v>
      </c>
      <c r="E711" s="3">
        <v>3924</v>
      </c>
      <c r="F711" s="8">
        <v>0.29089999999999999</v>
      </c>
      <c r="G711" s="4">
        <v>46.509099999999997</v>
      </c>
      <c r="H711" s="4">
        <v>37.209200000000003</v>
      </c>
      <c r="I711" s="4">
        <v>14.6875</v>
      </c>
      <c r="J711" s="4">
        <v>14.875</v>
      </c>
      <c r="K711" s="4">
        <v>13.664999999999999</v>
      </c>
      <c r="L711" s="4">
        <v>14.125</v>
      </c>
      <c r="M711" s="7">
        <v>-3.8300000000000001E-2</v>
      </c>
    </row>
    <row r="712" spans="1:13" x14ac:dyDescent="0.2">
      <c r="A712" s="6">
        <v>44965</v>
      </c>
      <c r="B712" s="2" t="s">
        <v>224</v>
      </c>
      <c r="C712" s="5">
        <v>44958</v>
      </c>
      <c r="D712" s="2" t="s">
        <v>187</v>
      </c>
      <c r="E712" s="3">
        <v>3926</v>
      </c>
      <c r="F712" s="8">
        <v>0.27179999999999999</v>
      </c>
      <c r="G712" s="4">
        <v>48.338799999999999</v>
      </c>
      <c r="H712" s="4">
        <v>34.201900000000002</v>
      </c>
      <c r="I712" s="4">
        <v>14.125</v>
      </c>
      <c r="J712" s="4">
        <v>14.2475</v>
      </c>
      <c r="K712" s="4">
        <v>13.535</v>
      </c>
      <c r="L712" s="4">
        <v>13.595000000000001</v>
      </c>
      <c r="M712" s="7">
        <v>-3.7499999999999999E-2</v>
      </c>
    </row>
    <row r="713" spans="1:13" x14ac:dyDescent="0.2">
      <c r="A713" s="6">
        <v>44966</v>
      </c>
      <c r="B713" s="2" t="s">
        <v>227</v>
      </c>
      <c r="C713" s="5">
        <v>44958</v>
      </c>
      <c r="D713" s="2" t="s">
        <v>187</v>
      </c>
      <c r="E713" s="3">
        <v>3889</v>
      </c>
      <c r="F713" s="8">
        <v>0.25080000000000002</v>
      </c>
      <c r="G713" s="4">
        <v>43.368200000000002</v>
      </c>
      <c r="H713" s="4">
        <v>30.922599999999999</v>
      </c>
      <c r="I713" s="4">
        <v>13.595000000000001</v>
      </c>
      <c r="J713" s="4">
        <v>13.815</v>
      </c>
      <c r="K713" s="4">
        <v>12.0625</v>
      </c>
      <c r="L713" s="4">
        <v>13.04</v>
      </c>
      <c r="M713" s="7">
        <v>-4.0800000000000003E-2</v>
      </c>
    </row>
    <row r="714" spans="1:13" x14ac:dyDescent="0.2">
      <c r="A714" s="6">
        <v>44967</v>
      </c>
      <c r="B714" s="2" t="s">
        <v>225</v>
      </c>
      <c r="C714" s="5">
        <v>44958</v>
      </c>
      <c r="D714" s="2" t="s">
        <v>187</v>
      </c>
      <c r="E714" s="3">
        <v>3844</v>
      </c>
      <c r="F714" s="8">
        <v>0.2334</v>
      </c>
      <c r="G714" s="4">
        <v>40.560600000000001</v>
      </c>
      <c r="H714" s="4">
        <v>29.182700000000001</v>
      </c>
      <c r="I714" s="4">
        <v>13.04</v>
      </c>
      <c r="J714" s="4">
        <v>13.2775</v>
      </c>
      <c r="K714" s="4">
        <v>12.2075</v>
      </c>
      <c r="L714" s="4">
        <v>12.744999999999999</v>
      </c>
      <c r="M714" s="7">
        <v>-2.2599999999999999E-2</v>
      </c>
    </row>
    <row r="715" spans="1:13" x14ac:dyDescent="0.2">
      <c r="A715" s="6">
        <v>44970</v>
      </c>
      <c r="B715" s="2" t="s">
        <v>228</v>
      </c>
      <c r="C715" s="5">
        <v>44958</v>
      </c>
      <c r="D715" s="2" t="s">
        <v>187</v>
      </c>
      <c r="E715" s="3">
        <v>4034</v>
      </c>
      <c r="F715" s="8">
        <v>0.2243</v>
      </c>
      <c r="G715" s="4">
        <v>44.070999999999998</v>
      </c>
      <c r="H715" s="4">
        <v>28.757899999999999</v>
      </c>
      <c r="I715" s="4">
        <v>12.744999999999999</v>
      </c>
      <c r="J715" s="4">
        <v>14.095000000000001</v>
      </c>
      <c r="K715" s="4">
        <v>11.83</v>
      </c>
      <c r="L715" s="4">
        <v>13.68</v>
      </c>
      <c r="M715" s="7">
        <v>7.3400000000000007E-2</v>
      </c>
    </row>
    <row r="716" spans="1:13" x14ac:dyDescent="0.2">
      <c r="A716" s="6">
        <v>44971</v>
      </c>
      <c r="B716" s="2" t="s">
        <v>226</v>
      </c>
      <c r="C716" s="5">
        <v>44958</v>
      </c>
      <c r="D716" s="2" t="s">
        <v>187</v>
      </c>
      <c r="E716" s="3">
        <v>3873</v>
      </c>
      <c r="F716" s="8">
        <v>0.2374</v>
      </c>
      <c r="G716" s="4">
        <v>46.677700000000002</v>
      </c>
      <c r="H716" s="4">
        <v>30.977399999999999</v>
      </c>
      <c r="I716" s="4">
        <v>13.68</v>
      </c>
      <c r="J716" s="4">
        <v>13.68</v>
      </c>
      <c r="K716" s="4">
        <v>12.452500000000001</v>
      </c>
      <c r="L716" s="4">
        <v>13.452500000000001</v>
      </c>
      <c r="M716" s="7">
        <v>-1.66E-2</v>
      </c>
    </row>
    <row r="717" spans="1:13" x14ac:dyDescent="0.2">
      <c r="A717" s="6">
        <v>44972</v>
      </c>
      <c r="B717" s="2" t="s">
        <v>224</v>
      </c>
      <c r="C717" s="5">
        <v>44958</v>
      </c>
      <c r="D717" s="2" t="s">
        <v>187</v>
      </c>
      <c r="E717" s="3">
        <v>3842</v>
      </c>
      <c r="F717" s="8">
        <v>0.21340000000000001</v>
      </c>
      <c r="G717" s="4">
        <v>37.081899999999997</v>
      </c>
      <c r="H717" s="4">
        <v>23.583300000000001</v>
      </c>
      <c r="I717" s="4">
        <v>13.452500000000001</v>
      </c>
      <c r="J717" s="4">
        <v>13.452500000000001</v>
      </c>
      <c r="K717" s="4">
        <v>11.28</v>
      </c>
      <c r="L717" s="4">
        <v>12.86</v>
      </c>
      <c r="M717" s="7">
        <v>-4.3999999999999997E-2</v>
      </c>
    </row>
    <row r="718" spans="1:13" x14ac:dyDescent="0.2">
      <c r="A718" s="6">
        <v>44973</v>
      </c>
      <c r="B718" s="2" t="s">
        <v>227</v>
      </c>
      <c r="C718" s="5">
        <v>44958</v>
      </c>
      <c r="D718" s="2" t="s">
        <v>187</v>
      </c>
      <c r="E718" s="3">
        <v>3864</v>
      </c>
      <c r="F718" s="8">
        <v>0.23949999999999999</v>
      </c>
      <c r="G718" s="4">
        <v>39.087299999999999</v>
      </c>
      <c r="H718" s="4">
        <v>60.293100000000003</v>
      </c>
      <c r="I718" s="4">
        <v>12.86</v>
      </c>
      <c r="J718" s="4">
        <v>13.1625</v>
      </c>
      <c r="K718" s="4">
        <v>10.172499999999999</v>
      </c>
      <c r="L718" s="4">
        <v>12.89</v>
      </c>
      <c r="M718" s="7">
        <v>2.3E-3</v>
      </c>
    </row>
    <row r="719" spans="1:13" x14ac:dyDescent="0.2">
      <c r="A719" s="6">
        <v>44974</v>
      </c>
      <c r="B719" s="2" t="s">
        <v>225</v>
      </c>
      <c r="C719" s="5">
        <v>44958</v>
      </c>
      <c r="D719" s="2" t="s">
        <v>187</v>
      </c>
      <c r="E719" s="3">
        <v>3829</v>
      </c>
      <c r="F719" s="8">
        <v>0.22370000000000001</v>
      </c>
      <c r="G719" s="4">
        <v>37.459600000000002</v>
      </c>
      <c r="H719" s="4">
        <v>28.895</v>
      </c>
      <c r="I719" s="4">
        <v>12.89</v>
      </c>
      <c r="J719" s="4">
        <v>13.52</v>
      </c>
      <c r="K719" s="4">
        <v>10.8025</v>
      </c>
      <c r="L719" s="4">
        <v>13.085000000000001</v>
      </c>
      <c r="M719" s="7">
        <v>1.5100000000000001E-2</v>
      </c>
    </row>
    <row r="720" spans="1:13" x14ac:dyDescent="0.2">
      <c r="A720" s="6">
        <v>44977</v>
      </c>
      <c r="B720" s="2" t="s">
        <v>228</v>
      </c>
      <c r="C720" s="5">
        <v>44958</v>
      </c>
      <c r="D720" s="2" t="s">
        <v>187</v>
      </c>
      <c r="E720" s="3">
        <v>4026</v>
      </c>
      <c r="F720" s="8">
        <v>0.2366</v>
      </c>
      <c r="G720" s="4">
        <v>42.226100000000002</v>
      </c>
      <c r="H720" s="4">
        <v>27.104299999999999</v>
      </c>
      <c r="I720" s="4">
        <v>13.085000000000001</v>
      </c>
      <c r="J720" s="4">
        <v>13.7075</v>
      </c>
      <c r="K720" s="4">
        <v>10.922499999999999</v>
      </c>
      <c r="L720" s="4">
        <v>13.3825</v>
      </c>
      <c r="M720" s="7">
        <v>2.2700000000000001E-2</v>
      </c>
    </row>
    <row r="721" spans="1:13" x14ac:dyDescent="0.2">
      <c r="A721" s="6">
        <v>44978</v>
      </c>
      <c r="B721" s="2" t="s">
        <v>226</v>
      </c>
      <c r="C721" s="5">
        <v>44958</v>
      </c>
      <c r="D721" s="2" t="s">
        <v>187</v>
      </c>
      <c r="E721" s="3">
        <v>3870</v>
      </c>
      <c r="F721" s="8">
        <v>0.21079999999999999</v>
      </c>
      <c r="G721" s="4">
        <v>36.71</v>
      </c>
      <c r="H721" s="4">
        <v>23.717099999999999</v>
      </c>
      <c r="I721" s="4">
        <v>13.3825</v>
      </c>
      <c r="J721" s="4">
        <v>14.295</v>
      </c>
      <c r="K721" s="4">
        <v>13.3825</v>
      </c>
      <c r="L721" s="4">
        <v>14.0075</v>
      </c>
      <c r="M721" s="7">
        <v>4.6699999999999998E-2</v>
      </c>
    </row>
    <row r="722" spans="1:13" x14ac:dyDescent="0.2">
      <c r="A722" s="6">
        <v>44979</v>
      </c>
      <c r="B722" s="2" t="s">
        <v>224</v>
      </c>
      <c r="C722" s="5">
        <v>44958</v>
      </c>
      <c r="D722" s="2" t="s">
        <v>187</v>
      </c>
      <c r="E722" s="3">
        <v>3868</v>
      </c>
      <c r="F722" s="8">
        <v>0.25019999999999998</v>
      </c>
      <c r="G722" s="4">
        <v>38.533900000000003</v>
      </c>
      <c r="H722" s="4">
        <v>26.904900000000001</v>
      </c>
      <c r="I722" s="4">
        <v>14.0075</v>
      </c>
      <c r="J722" s="4">
        <v>15.914999999999999</v>
      </c>
      <c r="K722" s="4">
        <v>12.3775</v>
      </c>
      <c r="L722" s="4">
        <v>15.5875</v>
      </c>
      <c r="M722" s="7">
        <v>0.1128</v>
      </c>
    </row>
    <row r="723" spans="1:13" x14ac:dyDescent="0.2">
      <c r="A723" s="6">
        <v>44980</v>
      </c>
      <c r="B723" s="2" t="s">
        <v>227</v>
      </c>
      <c r="C723" s="5">
        <v>44958</v>
      </c>
      <c r="D723" s="2" t="s">
        <v>187</v>
      </c>
      <c r="E723" s="3">
        <v>3832</v>
      </c>
      <c r="F723" s="8">
        <v>0.2467</v>
      </c>
      <c r="G723" s="4">
        <v>39.493600000000001</v>
      </c>
      <c r="H723" s="4">
        <v>26.92</v>
      </c>
      <c r="I723" s="4">
        <v>15.5875</v>
      </c>
      <c r="J723" s="4">
        <v>16.010000000000002</v>
      </c>
      <c r="K723" s="4">
        <v>14.5175</v>
      </c>
      <c r="L723" s="4">
        <v>15.074999999999999</v>
      </c>
      <c r="M723" s="7">
        <v>-3.2899999999999999E-2</v>
      </c>
    </row>
    <row r="724" spans="1:13" x14ac:dyDescent="0.2">
      <c r="A724" s="6">
        <v>44981</v>
      </c>
      <c r="B724" s="2" t="s">
        <v>225</v>
      </c>
      <c r="C724" s="5">
        <v>44958</v>
      </c>
      <c r="D724" s="2" t="s">
        <v>187</v>
      </c>
      <c r="E724" s="3">
        <v>3844</v>
      </c>
      <c r="F724" s="8">
        <v>0.24160000000000001</v>
      </c>
      <c r="G724" s="4">
        <v>57.768300000000004</v>
      </c>
      <c r="H724" s="4">
        <v>57.027000000000001</v>
      </c>
      <c r="I724" s="4">
        <v>15.074999999999999</v>
      </c>
      <c r="J724" s="4">
        <v>15.1425</v>
      </c>
      <c r="K724" s="4">
        <v>14.0075</v>
      </c>
      <c r="L724" s="4">
        <v>14.185</v>
      </c>
      <c r="M724" s="7">
        <v>-5.8999999999999997E-2</v>
      </c>
    </row>
    <row r="725" spans="1:13" x14ac:dyDescent="0.2">
      <c r="A725" s="6">
        <v>44984</v>
      </c>
      <c r="B725" s="2" t="s">
        <v>228</v>
      </c>
      <c r="C725" s="5">
        <v>44958</v>
      </c>
      <c r="D725" s="2" t="s">
        <v>187</v>
      </c>
      <c r="E725" s="3">
        <v>3991</v>
      </c>
      <c r="F725" s="8">
        <v>0.24879999999999999</v>
      </c>
      <c r="G725" s="4">
        <v>38.590499999999999</v>
      </c>
      <c r="H725" s="4">
        <v>25.789899999999999</v>
      </c>
      <c r="I725" s="4">
        <v>14.185</v>
      </c>
      <c r="J725" s="4">
        <v>15.0975</v>
      </c>
      <c r="K725" s="4">
        <v>13.75</v>
      </c>
      <c r="L725" s="4">
        <v>13.875</v>
      </c>
      <c r="M725" s="7">
        <v>-2.1899999999999999E-2</v>
      </c>
    </row>
    <row r="726" spans="1:13" x14ac:dyDescent="0.2">
      <c r="A726" s="6">
        <v>44985</v>
      </c>
      <c r="B726" s="2" t="s">
        <v>226</v>
      </c>
      <c r="C726" s="5">
        <v>44958</v>
      </c>
      <c r="D726" s="2" t="s">
        <v>187</v>
      </c>
      <c r="E726" s="3">
        <v>3861</v>
      </c>
      <c r="F726" s="8">
        <v>0.23369999999999999</v>
      </c>
      <c r="G726" s="4">
        <v>36.226199999999999</v>
      </c>
      <c r="H726" s="4">
        <v>28.9133</v>
      </c>
      <c r="I726" s="4">
        <v>13.875</v>
      </c>
      <c r="J726" s="4">
        <v>14.567500000000001</v>
      </c>
      <c r="K726" s="4">
        <v>13.5</v>
      </c>
      <c r="L726" s="4">
        <v>14.02</v>
      </c>
      <c r="M726" s="7">
        <v>1.0500000000000001E-2</v>
      </c>
    </row>
    <row r="727" spans="1:13" x14ac:dyDescent="0.2">
      <c r="A727" s="6">
        <v>44986</v>
      </c>
      <c r="B727" s="2" t="s">
        <v>224</v>
      </c>
      <c r="C727" s="5">
        <v>44986</v>
      </c>
      <c r="D727" s="2" t="s">
        <v>187</v>
      </c>
      <c r="E727" s="3">
        <v>3886</v>
      </c>
      <c r="F727" s="8">
        <v>0.2281</v>
      </c>
      <c r="G727" s="4">
        <v>51.626399999999997</v>
      </c>
      <c r="H727" s="4">
        <v>36.6282</v>
      </c>
      <c r="I727" s="4">
        <v>14.02</v>
      </c>
      <c r="J727" s="4">
        <v>14.02</v>
      </c>
      <c r="K727" s="4">
        <v>12.275</v>
      </c>
      <c r="L727" s="4">
        <v>12.994999999999999</v>
      </c>
      <c r="M727" s="7">
        <v>-7.3099999999999998E-2</v>
      </c>
    </row>
    <row r="728" spans="1:13" x14ac:dyDescent="0.2">
      <c r="A728" s="6">
        <v>44987</v>
      </c>
      <c r="B728" s="2" t="s">
        <v>227</v>
      </c>
      <c r="C728" s="5">
        <v>44986</v>
      </c>
      <c r="D728" s="2" t="s">
        <v>187</v>
      </c>
      <c r="E728" s="3">
        <v>3860</v>
      </c>
      <c r="F728" s="8">
        <v>0.21240000000000001</v>
      </c>
      <c r="G728" s="4">
        <v>45.460799999999999</v>
      </c>
      <c r="H728" s="4">
        <v>80.978800000000007</v>
      </c>
      <c r="I728" s="4">
        <v>12.994999999999999</v>
      </c>
      <c r="J728" s="4">
        <v>13.55</v>
      </c>
      <c r="K728" s="4">
        <v>11.1</v>
      </c>
      <c r="L728" s="4">
        <v>12.97</v>
      </c>
      <c r="M728" s="7">
        <v>-1.9E-3</v>
      </c>
    </row>
    <row r="729" spans="1:13" x14ac:dyDescent="0.2">
      <c r="A729" s="6">
        <v>44988</v>
      </c>
      <c r="B729" s="2" t="s">
        <v>225</v>
      </c>
      <c r="C729" s="5">
        <v>44986</v>
      </c>
      <c r="D729" s="2" t="s">
        <v>187</v>
      </c>
      <c r="E729" s="3">
        <v>3886</v>
      </c>
      <c r="F729" s="8">
        <v>0.24010000000000001</v>
      </c>
      <c r="G729" s="4">
        <v>53.786099999999998</v>
      </c>
      <c r="H729" s="4">
        <v>34.304699999999997</v>
      </c>
      <c r="I729" s="4">
        <v>12.97</v>
      </c>
      <c r="J729" s="4">
        <v>12.97</v>
      </c>
      <c r="K729" s="4">
        <v>11.98</v>
      </c>
      <c r="L729" s="4">
        <v>12.18</v>
      </c>
      <c r="M729" s="7">
        <v>-6.0900000000000003E-2</v>
      </c>
    </row>
    <row r="730" spans="1:13" x14ac:dyDescent="0.2">
      <c r="A730" s="6">
        <v>44991</v>
      </c>
      <c r="B730" s="2" t="s">
        <v>228</v>
      </c>
      <c r="C730" s="5">
        <v>44986</v>
      </c>
      <c r="D730" s="2" t="s">
        <v>187</v>
      </c>
      <c r="E730" s="3">
        <v>4049</v>
      </c>
      <c r="F730" s="8">
        <v>0.25940000000000002</v>
      </c>
      <c r="G730" s="4">
        <v>54.374499999999998</v>
      </c>
      <c r="H730" s="4">
        <v>32.838000000000001</v>
      </c>
      <c r="I730" s="4">
        <v>12.18</v>
      </c>
      <c r="J730" s="4">
        <v>12.4725</v>
      </c>
      <c r="K730" s="4">
        <v>11.8375</v>
      </c>
      <c r="L730" s="4">
        <v>12.2675</v>
      </c>
      <c r="M730" s="7">
        <v>7.1999999999999998E-3</v>
      </c>
    </row>
    <row r="731" spans="1:13" x14ac:dyDescent="0.2">
      <c r="A731" s="6">
        <v>44993</v>
      </c>
      <c r="B731" s="2" t="s">
        <v>224</v>
      </c>
      <c r="C731" s="5">
        <v>44986</v>
      </c>
      <c r="D731" s="2" t="s">
        <v>187</v>
      </c>
      <c r="E731" s="3">
        <v>3897</v>
      </c>
      <c r="F731" s="8">
        <v>0.20960000000000001</v>
      </c>
      <c r="G731" s="4">
        <v>42.909100000000002</v>
      </c>
      <c r="H731" s="4">
        <v>32.6447</v>
      </c>
      <c r="I731" s="4">
        <v>12.2675</v>
      </c>
      <c r="J731" s="4">
        <v>12.8475</v>
      </c>
      <c r="K731" s="4">
        <v>11.897500000000001</v>
      </c>
      <c r="L731" s="4">
        <v>12.45</v>
      </c>
      <c r="M731" s="7">
        <v>1.49E-2</v>
      </c>
    </row>
    <row r="732" spans="1:13" x14ac:dyDescent="0.2">
      <c r="A732" s="6">
        <v>44994</v>
      </c>
      <c r="B732" s="2" t="s">
        <v>227</v>
      </c>
      <c r="C732" s="5">
        <v>44986</v>
      </c>
      <c r="D732" s="2" t="s">
        <v>187</v>
      </c>
      <c r="E732" s="3">
        <v>3917</v>
      </c>
      <c r="F732" s="8">
        <v>0.23400000000000001</v>
      </c>
      <c r="G732" s="4">
        <v>44.0914</v>
      </c>
      <c r="H732" s="4">
        <v>32.092399999999998</v>
      </c>
      <c r="I732" s="4">
        <v>12.45</v>
      </c>
      <c r="J732" s="4">
        <v>12.842499999999999</v>
      </c>
      <c r="K732" s="4">
        <v>11.78</v>
      </c>
      <c r="L732" s="4">
        <v>12.725</v>
      </c>
      <c r="M732" s="7">
        <v>2.2100000000000002E-2</v>
      </c>
    </row>
    <row r="733" spans="1:13" x14ac:dyDescent="0.2">
      <c r="A733" s="6">
        <v>44995</v>
      </c>
      <c r="B733" s="2" t="s">
        <v>225</v>
      </c>
      <c r="C733" s="5">
        <v>44986</v>
      </c>
      <c r="D733" s="2" t="s">
        <v>187</v>
      </c>
      <c r="E733" s="3">
        <v>3884</v>
      </c>
      <c r="F733" s="8">
        <v>0.23619999999999999</v>
      </c>
      <c r="G733" s="4">
        <v>41.2864</v>
      </c>
      <c r="H733" s="4">
        <v>28.19</v>
      </c>
      <c r="I733" s="4">
        <v>12.725</v>
      </c>
      <c r="J733" s="4">
        <v>13.817500000000001</v>
      </c>
      <c r="K733" s="4">
        <v>12.725</v>
      </c>
      <c r="L733" s="4">
        <v>13.4125</v>
      </c>
      <c r="M733" s="7">
        <v>5.3999999999999999E-2</v>
      </c>
    </row>
    <row r="734" spans="1:13" x14ac:dyDescent="0.2">
      <c r="A734" s="6">
        <v>44998</v>
      </c>
      <c r="B734" s="2" t="s">
        <v>228</v>
      </c>
      <c r="C734" s="5">
        <v>44986</v>
      </c>
      <c r="D734" s="2" t="s">
        <v>187</v>
      </c>
      <c r="E734" s="3">
        <v>4028</v>
      </c>
      <c r="F734" s="8">
        <v>0.27339999999999998</v>
      </c>
      <c r="G734" s="4">
        <v>67.412599999999998</v>
      </c>
      <c r="H734" s="4">
        <v>94.187600000000003</v>
      </c>
      <c r="I734" s="4">
        <v>13.4125</v>
      </c>
      <c r="J734" s="4">
        <v>16.427499999999998</v>
      </c>
      <c r="K734" s="4">
        <v>13.4125</v>
      </c>
      <c r="L734" s="4">
        <v>16.215</v>
      </c>
      <c r="M734" s="7">
        <v>0.2089</v>
      </c>
    </row>
    <row r="735" spans="1:13" x14ac:dyDescent="0.2">
      <c r="A735" s="6">
        <v>44999</v>
      </c>
      <c r="B735" s="2" t="s">
        <v>226</v>
      </c>
      <c r="C735" s="5">
        <v>44986</v>
      </c>
      <c r="D735" s="2" t="s">
        <v>187</v>
      </c>
      <c r="E735" s="3">
        <v>3914</v>
      </c>
      <c r="F735" s="8">
        <v>0.25259999999999999</v>
      </c>
      <c r="G735" s="4">
        <v>47.497900000000001</v>
      </c>
      <c r="H735" s="4">
        <v>34.829500000000003</v>
      </c>
      <c r="I735" s="4">
        <v>16.215</v>
      </c>
      <c r="J735" s="4">
        <v>16.642499999999998</v>
      </c>
      <c r="K735" s="4">
        <v>15.0025</v>
      </c>
      <c r="L735" s="4">
        <v>16.217500000000001</v>
      </c>
      <c r="M735" s="7">
        <v>2.0000000000000001E-4</v>
      </c>
    </row>
    <row r="736" spans="1:13" x14ac:dyDescent="0.2">
      <c r="A736" s="6">
        <v>45000</v>
      </c>
      <c r="B736" s="2" t="s">
        <v>224</v>
      </c>
      <c r="C736" s="5">
        <v>44986</v>
      </c>
      <c r="D736" s="2" t="s">
        <v>187</v>
      </c>
      <c r="E736" s="3">
        <v>3928</v>
      </c>
      <c r="F736" s="8">
        <v>0.215</v>
      </c>
      <c r="G736" s="4">
        <v>42.424500000000002</v>
      </c>
      <c r="H736" s="4">
        <v>27.880199999999999</v>
      </c>
      <c r="I736" s="4">
        <v>16.217500000000001</v>
      </c>
      <c r="J736" s="4">
        <v>16.504999999999999</v>
      </c>
      <c r="K736" s="4">
        <v>14.5175</v>
      </c>
      <c r="L736" s="4">
        <v>16.295000000000002</v>
      </c>
      <c r="M736" s="7">
        <v>4.7999999999999996E-3</v>
      </c>
    </row>
    <row r="737" spans="1:13" x14ac:dyDescent="0.2">
      <c r="A737" s="6">
        <v>45001</v>
      </c>
      <c r="B737" s="2" t="s">
        <v>227</v>
      </c>
      <c r="C737" s="5">
        <v>44986</v>
      </c>
      <c r="D737" s="2" t="s">
        <v>187</v>
      </c>
      <c r="E737" s="3">
        <v>3926</v>
      </c>
      <c r="F737" s="8">
        <v>0.24030000000000001</v>
      </c>
      <c r="G737" s="4">
        <v>48.320700000000002</v>
      </c>
      <c r="H737" s="4">
        <v>30.4649</v>
      </c>
      <c r="I737" s="4">
        <v>16.295000000000002</v>
      </c>
      <c r="J737" s="4">
        <v>17.355</v>
      </c>
      <c r="K737" s="4">
        <v>13.95</v>
      </c>
      <c r="L737" s="4">
        <v>16.217500000000001</v>
      </c>
      <c r="M737" s="7">
        <v>-4.7999999999999996E-3</v>
      </c>
    </row>
    <row r="738" spans="1:13" x14ac:dyDescent="0.2">
      <c r="A738" s="6">
        <v>45002</v>
      </c>
      <c r="B738" s="2" t="s">
        <v>225</v>
      </c>
      <c r="C738" s="5">
        <v>44986</v>
      </c>
      <c r="D738" s="2" t="s">
        <v>187</v>
      </c>
      <c r="E738" s="3">
        <v>3892</v>
      </c>
      <c r="F738" s="8">
        <v>0.2109</v>
      </c>
      <c r="G738" s="4">
        <v>42.218800000000002</v>
      </c>
      <c r="H738" s="4">
        <v>28.548999999999999</v>
      </c>
      <c r="I738" s="4">
        <v>16.217500000000001</v>
      </c>
      <c r="J738" s="4">
        <v>16.217500000000001</v>
      </c>
      <c r="K738" s="4">
        <v>14.6</v>
      </c>
      <c r="L738" s="4">
        <v>14.7675</v>
      </c>
      <c r="M738" s="7">
        <v>-8.9399999999999993E-2</v>
      </c>
    </row>
    <row r="739" spans="1:13" x14ac:dyDescent="0.2">
      <c r="A739" s="6">
        <v>45005</v>
      </c>
      <c r="B739" s="2" t="s">
        <v>228</v>
      </c>
      <c r="C739" s="5">
        <v>44986</v>
      </c>
      <c r="D739" s="2" t="s">
        <v>187</v>
      </c>
      <c r="E739" s="3">
        <v>4067</v>
      </c>
      <c r="F739" s="8">
        <v>0.23380000000000001</v>
      </c>
      <c r="G739" s="4">
        <v>41.773000000000003</v>
      </c>
      <c r="H739" s="4">
        <v>33.0002</v>
      </c>
      <c r="I739" s="4">
        <v>14.7675</v>
      </c>
      <c r="J739" s="4">
        <v>17.22</v>
      </c>
      <c r="K739" s="4">
        <v>14.52</v>
      </c>
      <c r="L739" s="4">
        <v>16.0075</v>
      </c>
      <c r="M739" s="7">
        <v>8.4000000000000005E-2</v>
      </c>
    </row>
    <row r="740" spans="1:13" x14ac:dyDescent="0.2">
      <c r="A740" s="6">
        <v>45006</v>
      </c>
      <c r="B740" s="2" t="s">
        <v>226</v>
      </c>
      <c r="C740" s="5">
        <v>44986</v>
      </c>
      <c r="D740" s="2" t="s">
        <v>187</v>
      </c>
      <c r="E740" s="3">
        <v>3921</v>
      </c>
      <c r="F740" s="8">
        <v>0.19869999999999999</v>
      </c>
      <c r="G740" s="4">
        <v>41.1877</v>
      </c>
      <c r="H740" s="4">
        <v>25.816700000000001</v>
      </c>
      <c r="I740" s="4">
        <v>16.0075</v>
      </c>
      <c r="J740" s="4">
        <v>16.035</v>
      </c>
      <c r="K740" s="4">
        <v>14.0825</v>
      </c>
      <c r="L740" s="4">
        <v>15.0825</v>
      </c>
      <c r="M740" s="7">
        <v>-5.7799999999999997E-2</v>
      </c>
    </row>
    <row r="741" spans="1:13" x14ac:dyDescent="0.2">
      <c r="A741" s="6">
        <v>45007</v>
      </c>
      <c r="B741" s="2" t="s">
        <v>224</v>
      </c>
      <c r="C741" s="5">
        <v>44986</v>
      </c>
      <c r="D741" s="2" t="s">
        <v>187</v>
      </c>
      <c r="E741" s="3">
        <v>3917</v>
      </c>
      <c r="F741" s="8">
        <v>0.17979999999999999</v>
      </c>
      <c r="G741" s="4">
        <v>40.942799999999998</v>
      </c>
      <c r="H741" s="4">
        <v>22.988099999999999</v>
      </c>
      <c r="I741" s="4">
        <v>15.0825</v>
      </c>
      <c r="J741" s="4">
        <v>15.092499999999999</v>
      </c>
      <c r="K741" s="4">
        <v>14.2425</v>
      </c>
      <c r="L741" s="4">
        <v>14.807499999999999</v>
      </c>
      <c r="M741" s="7">
        <v>-1.8200000000000001E-2</v>
      </c>
    </row>
    <row r="742" spans="1:13" x14ac:dyDescent="0.2">
      <c r="A742" s="6">
        <v>45008</v>
      </c>
      <c r="B742" s="2" t="s">
        <v>227</v>
      </c>
      <c r="C742" s="5">
        <v>44986</v>
      </c>
      <c r="D742" s="2" t="s">
        <v>187</v>
      </c>
      <c r="E742" s="3">
        <v>3932</v>
      </c>
      <c r="F742" s="8">
        <v>0.18390000000000001</v>
      </c>
      <c r="G742" s="4">
        <v>44.895499999999998</v>
      </c>
      <c r="H742" s="4">
        <v>25.2166</v>
      </c>
      <c r="I742" s="4">
        <v>14.807499999999999</v>
      </c>
      <c r="J742" s="4">
        <v>15.057499999999999</v>
      </c>
      <c r="K742" s="4">
        <v>13.9025</v>
      </c>
      <c r="L742" s="4">
        <v>14.49</v>
      </c>
      <c r="M742" s="7">
        <v>-2.1399999999999999E-2</v>
      </c>
    </row>
    <row r="743" spans="1:13" x14ac:dyDescent="0.2">
      <c r="A743" s="6">
        <v>45009</v>
      </c>
      <c r="B743" s="2" t="s">
        <v>225</v>
      </c>
      <c r="C743" s="5">
        <v>44986</v>
      </c>
      <c r="D743" s="2" t="s">
        <v>187</v>
      </c>
      <c r="E743" s="3">
        <v>3934</v>
      </c>
      <c r="F743" s="8">
        <v>0.2238</v>
      </c>
      <c r="G743" s="4">
        <v>47.1267</v>
      </c>
      <c r="H743" s="4">
        <v>31.4682</v>
      </c>
      <c r="I743" s="4">
        <v>14.49</v>
      </c>
      <c r="J743" s="4">
        <v>15.43</v>
      </c>
      <c r="K743" s="4">
        <v>14.202500000000001</v>
      </c>
      <c r="L743" s="4">
        <v>15.24</v>
      </c>
      <c r="M743" s="7">
        <v>5.1799999999999999E-2</v>
      </c>
    </row>
    <row r="744" spans="1:13" x14ac:dyDescent="0.2">
      <c r="A744" s="6">
        <v>45012</v>
      </c>
      <c r="B744" s="2" t="s">
        <v>228</v>
      </c>
      <c r="C744" s="5">
        <v>44986</v>
      </c>
      <c r="D744" s="2" t="s">
        <v>187</v>
      </c>
      <c r="E744" s="3">
        <v>4105</v>
      </c>
      <c r="F744" s="8">
        <v>0.2424</v>
      </c>
      <c r="G744" s="4">
        <v>48.552300000000002</v>
      </c>
      <c r="H744" s="4">
        <v>28.914200000000001</v>
      </c>
      <c r="I744" s="4">
        <v>15.24</v>
      </c>
      <c r="J744" s="4">
        <v>16.092500000000001</v>
      </c>
      <c r="K744" s="4">
        <v>15.0975</v>
      </c>
      <c r="L744" s="4">
        <v>15.445</v>
      </c>
      <c r="M744" s="7">
        <v>1.35E-2</v>
      </c>
    </row>
    <row r="745" spans="1:13" x14ac:dyDescent="0.2">
      <c r="A745" s="6">
        <v>45013</v>
      </c>
      <c r="B745" s="2" t="s">
        <v>226</v>
      </c>
      <c r="C745" s="5">
        <v>44986</v>
      </c>
      <c r="D745" s="2" t="s">
        <v>187</v>
      </c>
      <c r="E745" s="3">
        <v>3976</v>
      </c>
      <c r="F745" s="8">
        <v>0.22689999999999999</v>
      </c>
      <c r="G745" s="4">
        <v>50.128399999999999</v>
      </c>
      <c r="H745" s="4">
        <v>30.175899999999999</v>
      </c>
      <c r="I745" s="4">
        <v>15.445</v>
      </c>
      <c r="J745" s="4">
        <v>15.6075</v>
      </c>
      <c r="K745" s="4">
        <v>14.865</v>
      </c>
      <c r="L745" s="4">
        <v>15.1</v>
      </c>
      <c r="M745" s="7">
        <v>-2.23E-2</v>
      </c>
    </row>
    <row r="746" spans="1:13" x14ac:dyDescent="0.2">
      <c r="A746" s="6">
        <v>45014</v>
      </c>
      <c r="B746" s="2" t="s">
        <v>224</v>
      </c>
      <c r="C746" s="5">
        <v>44986</v>
      </c>
      <c r="D746" s="2" t="s">
        <v>187</v>
      </c>
      <c r="E746" s="3">
        <v>3940</v>
      </c>
      <c r="F746" s="8">
        <v>0.23350000000000001</v>
      </c>
      <c r="G746" s="4">
        <v>58.384099999999997</v>
      </c>
      <c r="H746" s="4">
        <v>35.5901</v>
      </c>
      <c r="I746" s="4">
        <v>15.1</v>
      </c>
      <c r="J746" s="4">
        <v>15.1</v>
      </c>
      <c r="K746" s="4">
        <v>13.32</v>
      </c>
      <c r="L746" s="4">
        <v>13.6275</v>
      </c>
      <c r="M746" s="7">
        <v>-9.7500000000000003E-2</v>
      </c>
    </row>
    <row r="747" spans="1:13" x14ac:dyDescent="0.2">
      <c r="A747" s="6">
        <v>45016</v>
      </c>
      <c r="B747" s="2" t="s">
        <v>225</v>
      </c>
      <c r="C747" s="5">
        <v>44986</v>
      </c>
      <c r="D747" s="2" t="s">
        <v>187</v>
      </c>
      <c r="E747" s="3">
        <v>4016</v>
      </c>
      <c r="F747" s="8">
        <v>0.23830000000000001</v>
      </c>
      <c r="G747" s="4">
        <v>63.558999999999997</v>
      </c>
      <c r="H747" s="4">
        <v>43.631100000000004</v>
      </c>
      <c r="I747" s="4">
        <v>13.6275</v>
      </c>
      <c r="J747" s="4">
        <v>13.6275</v>
      </c>
      <c r="K747" s="4">
        <v>12.0725</v>
      </c>
      <c r="L747" s="4">
        <v>12.935</v>
      </c>
      <c r="M747" s="7">
        <v>-5.0799999999999998E-2</v>
      </c>
    </row>
    <row r="748" spans="1:13" x14ac:dyDescent="0.2">
      <c r="A748" s="6">
        <v>45019</v>
      </c>
      <c r="B748" s="2" t="s">
        <v>228</v>
      </c>
      <c r="C748" s="5">
        <v>45017</v>
      </c>
      <c r="D748" s="2" t="s">
        <v>188</v>
      </c>
      <c r="E748" s="3">
        <v>4036</v>
      </c>
      <c r="F748" s="8">
        <v>0.20399999999999999</v>
      </c>
      <c r="G748" s="4">
        <v>49.248100000000001</v>
      </c>
      <c r="H748" s="4">
        <v>24.8614</v>
      </c>
      <c r="I748" s="4">
        <v>12.935</v>
      </c>
      <c r="J748" s="4">
        <v>13.49</v>
      </c>
      <c r="K748" s="4">
        <v>12.465</v>
      </c>
      <c r="L748" s="4">
        <v>12.585000000000001</v>
      </c>
      <c r="M748" s="7">
        <v>-2.7099999999999999E-2</v>
      </c>
    </row>
    <row r="749" spans="1:13" x14ac:dyDescent="0.2">
      <c r="A749" s="6">
        <v>45021</v>
      </c>
      <c r="B749" s="2" t="s">
        <v>224</v>
      </c>
      <c r="C749" s="5">
        <v>45017</v>
      </c>
      <c r="D749" s="2" t="s">
        <v>188</v>
      </c>
      <c r="E749" s="3">
        <v>3970</v>
      </c>
      <c r="F749" s="8">
        <v>0.2021</v>
      </c>
      <c r="G749" s="4">
        <v>48.354300000000002</v>
      </c>
      <c r="H749" s="4">
        <v>25.945699999999999</v>
      </c>
      <c r="I749" s="4">
        <v>12.585000000000001</v>
      </c>
      <c r="J749" s="4">
        <v>12.805</v>
      </c>
      <c r="K749" s="4">
        <v>12.0525</v>
      </c>
      <c r="L749" s="4">
        <v>12.4125</v>
      </c>
      <c r="M749" s="7">
        <v>-1.37E-2</v>
      </c>
    </row>
    <row r="750" spans="1:13" x14ac:dyDescent="0.2">
      <c r="A750" s="6">
        <v>45022</v>
      </c>
      <c r="B750" s="2" t="s">
        <v>227</v>
      </c>
      <c r="C750" s="5">
        <v>45017</v>
      </c>
      <c r="D750" s="2" t="s">
        <v>188</v>
      </c>
      <c r="E750" s="3">
        <v>3926</v>
      </c>
      <c r="F750" s="8">
        <v>0.19570000000000001</v>
      </c>
      <c r="G750" s="4">
        <v>46.943100000000001</v>
      </c>
      <c r="H750" s="4">
        <v>25.691800000000001</v>
      </c>
      <c r="I750" s="4">
        <v>12.4125</v>
      </c>
      <c r="J750" s="4">
        <v>12.57</v>
      </c>
      <c r="K750" s="4">
        <v>11.65</v>
      </c>
      <c r="L750" s="4">
        <v>11.797499999999999</v>
      </c>
      <c r="M750" s="7">
        <v>-4.9500000000000002E-2</v>
      </c>
    </row>
    <row r="751" spans="1:13" x14ac:dyDescent="0.2">
      <c r="A751" s="6">
        <v>45026</v>
      </c>
      <c r="B751" s="2" t="s">
        <v>228</v>
      </c>
      <c r="C751" s="5">
        <v>45017</v>
      </c>
      <c r="D751" s="2" t="s">
        <v>188</v>
      </c>
      <c r="E751" s="3">
        <v>4066</v>
      </c>
      <c r="F751" s="8">
        <v>0.19059999999999999</v>
      </c>
      <c r="G751" s="4">
        <v>40.357399999999998</v>
      </c>
      <c r="H751" s="4">
        <v>29.013200000000001</v>
      </c>
      <c r="I751" s="4">
        <v>11.797499999999999</v>
      </c>
      <c r="J751" s="4">
        <v>12.5625</v>
      </c>
      <c r="K751" s="4">
        <v>11.797499999999999</v>
      </c>
      <c r="L751" s="4">
        <v>12.272500000000001</v>
      </c>
      <c r="M751" s="7">
        <v>4.0300000000000002E-2</v>
      </c>
    </row>
    <row r="752" spans="1:13" x14ac:dyDescent="0.2">
      <c r="A752" s="6">
        <v>45027</v>
      </c>
      <c r="B752" s="2" t="s">
        <v>226</v>
      </c>
      <c r="C752" s="5">
        <v>45017</v>
      </c>
      <c r="D752" s="2" t="s">
        <v>188</v>
      </c>
      <c r="E752" s="3">
        <v>3931</v>
      </c>
      <c r="F752" s="8">
        <v>0.19700000000000001</v>
      </c>
      <c r="G752" s="4">
        <v>44.375500000000002</v>
      </c>
      <c r="H752" s="4">
        <v>31.058599999999998</v>
      </c>
      <c r="I752" s="4">
        <v>12.272500000000001</v>
      </c>
      <c r="J752" s="4">
        <v>12.272500000000001</v>
      </c>
      <c r="K752" s="4">
        <v>11.664999999999999</v>
      </c>
      <c r="L752" s="4">
        <v>11.975</v>
      </c>
      <c r="M752" s="7">
        <v>-2.4199999999999999E-2</v>
      </c>
    </row>
    <row r="753" spans="1:13" x14ac:dyDescent="0.2">
      <c r="A753" s="6">
        <v>45028</v>
      </c>
      <c r="B753" s="2" t="s">
        <v>224</v>
      </c>
      <c r="C753" s="5">
        <v>45017</v>
      </c>
      <c r="D753" s="2" t="s">
        <v>188</v>
      </c>
      <c r="E753" s="3">
        <v>3878</v>
      </c>
      <c r="F753" s="8">
        <v>0.21079999999999999</v>
      </c>
      <c r="G753" s="4">
        <v>43.909199999999998</v>
      </c>
      <c r="H753" s="4">
        <v>32.262700000000002</v>
      </c>
      <c r="I753" s="4">
        <v>11.975</v>
      </c>
      <c r="J753" s="4">
        <v>12.395</v>
      </c>
      <c r="K753" s="4">
        <v>11.975</v>
      </c>
      <c r="L753" s="4">
        <v>12.272500000000001</v>
      </c>
      <c r="M753" s="7">
        <v>2.4799999999999999E-2</v>
      </c>
    </row>
    <row r="754" spans="1:13" x14ac:dyDescent="0.2">
      <c r="A754" s="6">
        <v>45029</v>
      </c>
      <c r="B754" s="2" t="s">
        <v>227</v>
      </c>
      <c r="C754" s="5">
        <v>45017</v>
      </c>
      <c r="D754" s="2" t="s">
        <v>188</v>
      </c>
      <c r="E754" s="3">
        <v>3900</v>
      </c>
      <c r="F754" s="8">
        <v>0.19220000000000001</v>
      </c>
      <c r="G754" s="4">
        <v>44.299900000000001</v>
      </c>
      <c r="H754" s="4">
        <v>29.2486</v>
      </c>
      <c r="I754" s="4">
        <v>12.272500000000001</v>
      </c>
      <c r="J754" s="4">
        <v>12.51</v>
      </c>
      <c r="K754" s="4">
        <v>11.84</v>
      </c>
      <c r="L754" s="4">
        <v>11.907500000000001</v>
      </c>
      <c r="M754" s="7">
        <v>-2.9700000000000001E-2</v>
      </c>
    </row>
    <row r="755" spans="1:13" x14ac:dyDescent="0.2">
      <c r="A755" s="6">
        <v>45033</v>
      </c>
      <c r="B755" s="2" t="s">
        <v>228</v>
      </c>
      <c r="C755" s="5">
        <v>45017</v>
      </c>
      <c r="D755" s="2" t="s">
        <v>188</v>
      </c>
      <c r="E755" s="3">
        <v>4057</v>
      </c>
      <c r="F755" s="8">
        <v>0.2268</v>
      </c>
      <c r="G755" s="4">
        <v>47.182200000000002</v>
      </c>
      <c r="H755" s="4">
        <v>45.317100000000003</v>
      </c>
      <c r="I755" s="4">
        <v>11.907500000000001</v>
      </c>
      <c r="J755" s="4">
        <v>13.272500000000001</v>
      </c>
      <c r="K755" s="4">
        <v>11.907500000000001</v>
      </c>
      <c r="L755" s="4">
        <v>12.265000000000001</v>
      </c>
      <c r="M755" s="7">
        <v>0.03</v>
      </c>
    </row>
    <row r="756" spans="1:13" x14ac:dyDescent="0.2">
      <c r="A756" s="6">
        <v>45034</v>
      </c>
      <c r="B756" s="2" t="s">
        <v>226</v>
      </c>
      <c r="C756" s="5">
        <v>45017</v>
      </c>
      <c r="D756" s="2" t="s">
        <v>188</v>
      </c>
      <c r="E756" s="3">
        <v>3922</v>
      </c>
      <c r="F756" s="8">
        <v>0.19869999999999999</v>
      </c>
      <c r="G756" s="4">
        <v>43.408499999999997</v>
      </c>
      <c r="H756" s="4">
        <v>32.371699999999997</v>
      </c>
      <c r="I756" s="4">
        <v>12.265000000000001</v>
      </c>
      <c r="J756" s="4">
        <v>12.525</v>
      </c>
      <c r="K756" s="4">
        <v>11.862500000000001</v>
      </c>
      <c r="L756" s="4">
        <v>12.074999999999999</v>
      </c>
      <c r="M756" s="7">
        <v>-1.55E-2</v>
      </c>
    </row>
    <row r="757" spans="1:13" x14ac:dyDescent="0.2">
      <c r="A757" s="6">
        <v>45035</v>
      </c>
      <c r="B757" s="2" t="s">
        <v>224</v>
      </c>
      <c r="C757" s="5">
        <v>45017</v>
      </c>
      <c r="D757" s="2" t="s">
        <v>188</v>
      </c>
      <c r="E757" s="3">
        <v>3905</v>
      </c>
      <c r="F757" s="8">
        <v>0.20549999999999999</v>
      </c>
      <c r="G757" s="4">
        <v>47.397599999999997</v>
      </c>
      <c r="H757" s="4">
        <v>30.581600000000002</v>
      </c>
      <c r="I757" s="4">
        <v>12.074999999999999</v>
      </c>
      <c r="J757" s="4">
        <v>12.47</v>
      </c>
      <c r="K757" s="4">
        <v>11.1075</v>
      </c>
      <c r="L757" s="4">
        <v>12.1525</v>
      </c>
      <c r="M757" s="7">
        <v>6.4000000000000003E-3</v>
      </c>
    </row>
    <row r="758" spans="1:13" x14ac:dyDescent="0.2">
      <c r="A758" s="6">
        <v>45036</v>
      </c>
      <c r="B758" s="2" t="s">
        <v>227</v>
      </c>
      <c r="C758" s="5">
        <v>45017</v>
      </c>
      <c r="D758" s="2" t="s">
        <v>188</v>
      </c>
      <c r="E758" s="3">
        <v>3907</v>
      </c>
      <c r="F758" s="8">
        <v>0.1981</v>
      </c>
      <c r="G758" s="4">
        <v>35.469099999999997</v>
      </c>
      <c r="H758" s="4">
        <v>26.772500000000001</v>
      </c>
      <c r="I758" s="4">
        <v>12.1525</v>
      </c>
      <c r="J758" s="4">
        <v>12.397500000000001</v>
      </c>
      <c r="K758" s="4">
        <v>11.58</v>
      </c>
      <c r="L758" s="4">
        <v>11.94</v>
      </c>
      <c r="M758" s="7">
        <v>-1.7500000000000002E-2</v>
      </c>
    </row>
    <row r="759" spans="1:13" x14ac:dyDescent="0.2">
      <c r="A759" s="6">
        <v>45037</v>
      </c>
      <c r="B759" s="2" t="s">
        <v>225</v>
      </c>
      <c r="C759" s="5">
        <v>45017</v>
      </c>
      <c r="D759" s="2" t="s">
        <v>188</v>
      </c>
      <c r="E759" s="3">
        <v>3864</v>
      </c>
      <c r="F759" s="8">
        <v>0.18940000000000001</v>
      </c>
      <c r="G759" s="4">
        <v>52.780700000000003</v>
      </c>
      <c r="H759" s="4">
        <v>25.203299999999999</v>
      </c>
      <c r="I759" s="4">
        <v>11.94</v>
      </c>
      <c r="J759" s="4">
        <v>12.04</v>
      </c>
      <c r="K759" s="4">
        <v>11.52</v>
      </c>
      <c r="L759" s="4">
        <v>11.63</v>
      </c>
      <c r="M759" s="7">
        <v>-2.5999999999999999E-2</v>
      </c>
    </row>
    <row r="760" spans="1:13" x14ac:dyDescent="0.2">
      <c r="A760" s="6">
        <v>45040</v>
      </c>
      <c r="B760" s="2" t="s">
        <v>228</v>
      </c>
      <c r="C760" s="5">
        <v>45017</v>
      </c>
      <c r="D760" s="2" t="s">
        <v>188</v>
      </c>
      <c r="E760" s="3">
        <v>4022</v>
      </c>
      <c r="F760" s="8">
        <v>0.2006</v>
      </c>
      <c r="G760" s="4">
        <v>44.908299999999997</v>
      </c>
      <c r="H760" s="4">
        <v>27.4069</v>
      </c>
      <c r="I760" s="4">
        <v>11.63</v>
      </c>
      <c r="J760" s="4">
        <v>12.205</v>
      </c>
      <c r="K760" s="4">
        <v>11.58</v>
      </c>
      <c r="L760" s="4">
        <v>11.6675</v>
      </c>
      <c r="M760" s="7">
        <v>3.2000000000000002E-3</v>
      </c>
    </row>
    <row r="761" spans="1:13" x14ac:dyDescent="0.2">
      <c r="A761" s="6">
        <v>45041</v>
      </c>
      <c r="B761" s="2" t="s">
        <v>226</v>
      </c>
      <c r="C761" s="5">
        <v>45017</v>
      </c>
      <c r="D761" s="2" t="s">
        <v>188</v>
      </c>
      <c r="E761" s="3">
        <v>3919</v>
      </c>
      <c r="F761" s="8">
        <v>0.2117</v>
      </c>
      <c r="G761" s="4">
        <v>50.777000000000001</v>
      </c>
      <c r="H761" s="4">
        <v>33.386499999999998</v>
      </c>
      <c r="I761" s="4">
        <v>11.6675</v>
      </c>
      <c r="J761" s="4">
        <v>11.8125</v>
      </c>
      <c r="K761" s="4">
        <v>11.425000000000001</v>
      </c>
      <c r="L761" s="4">
        <v>11.52</v>
      </c>
      <c r="M761" s="7">
        <v>-1.26E-2</v>
      </c>
    </row>
    <row r="762" spans="1:13" x14ac:dyDescent="0.2">
      <c r="A762" s="6">
        <v>45042</v>
      </c>
      <c r="B762" s="2" t="s">
        <v>224</v>
      </c>
      <c r="C762" s="5">
        <v>45017</v>
      </c>
      <c r="D762" s="2" t="s">
        <v>188</v>
      </c>
      <c r="E762" s="3">
        <v>3861</v>
      </c>
      <c r="F762" s="8">
        <v>0.2092</v>
      </c>
      <c r="G762" s="4">
        <v>47.102499999999999</v>
      </c>
      <c r="H762" s="4">
        <v>29.134699999999999</v>
      </c>
      <c r="I762" s="4">
        <v>11.52</v>
      </c>
      <c r="J762" s="4">
        <v>11.897500000000001</v>
      </c>
      <c r="K762" s="4">
        <v>11.297499999999999</v>
      </c>
      <c r="L762" s="4">
        <v>11.6525</v>
      </c>
      <c r="M762" s="7">
        <v>1.15E-2</v>
      </c>
    </row>
    <row r="763" spans="1:13" x14ac:dyDescent="0.2">
      <c r="A763" s="6">
        <v>45043</v>
      </c>
      <c r="B763" s="2" t="s">
        <v>227</v>
      </c>
      <c r="C763" s="5">
        <v>45017</v>
      </c>
      <c r="D763" s="2" t="s">
        <v>188</v>
      </c>
      <c r="E763" s="3">
        <v>3896</v>
      </c>
      <c r="F763" s="8">
        <v>0.20760000000000001</v>
      </c>
      <c r="G763" s="4">
        <v>52.130499999999998</v>
      </c>
      <c r="H763" s="4">
        <v>30.999199999999998</v>
      </c>
      <c r="I763" s="4">
        <v>11.6525</v>
      </c>
      <c r="J763" s="4">
        <v>12.02</v>
      </c>
      <c r="K763" s="4">
        <v>10.96</v>
      </c>
      <c r="L763" s="4">
        <v>11.425000000000001</v>
      </c>
      <c r="M763" s="7">
        <v>-1.95E-2</v>
      </c>
    </row>
    <row r="764" spans="1:13" x14ac:dyDescent="0.2">
      <c r="A764" s="6">
        <v>45044</v>
      </c>
      <c r="B764" s="2" t="s">
        <v>225</v>
      </c>
      <c r="C764" s="5">
        <v>45017</v>
      </c>
      <c r="D764" s="2" t="s">
        <v>188</v>
      </c>
      <c r="E764" s="3">
        <v>3904</v>
      </c>
      <c r="F764" s="8">
        <v>0.23169999999999999</v>
      </c>
      <c r="G764" s="4">
        <v>51.282299999999999</v>
      </c>
      <c r="H764" s="4">
        <v>36.695500000000003</v>
      </c>
      <c r="I764" s="4">
        <v>11.425000000000001</v>
      </c>
      <c r="J764" s="4">
        <v>11.5425</v>
      </c>
      <c r="K764" s="4">
        <v>10.7875</v>
      </c>
      <c r="L764" s="4">
        <v>10.9475</v>
      </c>
      <c r="M764" s="7">
        <v>-4.1799999999999997E-2</v>
      </c>
    </row>
    <row r="765" spans="1:13" x14ac:dyDescent="0.2">
      <c r="A765" s="6">
        <v>45048</v>
      </c>
      <c r="B765" s="2" t="s">
        <v>226</v>
      </c>
      <c r="C765" s="5">
        <v>45047</v>
      </c>
      <c r="D765" s="2" t="s">
        <v>188</v>
      </c>
      <c r="E765" s="3">
        <v>4105</v>
      </c>
      <c r="F765" s="8">
        <v>0.2195</v>
      </c>
      <c r="G765" s="4">
        <v>50.984999999999999</v>
      </c>
      <c r="H765" s="4">
        <v>42.892699999999998</v>
      </c>
      <c r="I765" s="4">
        <v>10.9475</v>
      </c>
      <c r="J765" s="4">
        <v>12.0625</v>
      </c>
      <c r="K765" s="4">
        <v>10.9475</v>
      </c>
      <c r="L765" s="4">
        <v>11.897500000000001</v>
      </c>
      <c r="M765" s="7">
        <v>8.6800000000000002E-2</v>
      </c>
    </row>
    <row r="766" spans="1:13" x14ac:dyDescent="0.2">
      <c r="A766" s="6">
        <v>45049</v>
      </c>
      <c r="B766" s="2" t="s">
        <v>224</v>
      </c>
      <c r="C766" s="5">
        <v>45047</v>
      </c>
      <c r="D766" s="2" t="s">
        <v>188</v>
      </c>
      <c r="E766" s="3">
        <v>3921</v>
      </c>
      <c r="F766" s="8">
        <v>0.2006</v>
      </c>
      <c r="G766" s="4">
        <v>46.024299999999997</v>
      </c>
      <c r="H766" s="4">
        <v>33.551600000000001</v>
      </c>
      <c r="I766" s="4">
        <v>11.897500000000001</v>
      </c>
      <c r="J766" s="4">
        <v>12.25</v>
      </c>
      <c r="K766" s="4">
        <v>11.13</v>
      </c>
      <c r="L766" s="4">
        <v>11.84</v>
      </c>
      <c r="M766" s="7">
        <v>-4.7999999999999996E-3</v>
      </c>
    </row>
    <row r="767" spans="1:13" x14ac:dyDescent="0.2">
      <c r="A767" s="6">
        <v>45050</v>
      </c>
      <c r="B767" s="2" t="s">
        <v>227</v>
      </c>
      <c r="C767" s="5">
        <v>45047</v>
      </c>
      <c r="D767" s="2" t="s">
        <v>188</v>
      </c>
      <c r="E767" s="3">
        <v>3934</v>
      </c>
      <c r="F767" s="8">
        <v>0.21049999999999999</v>
      </c>
      <c r="G767" s="4">
        <v>63.9833</v>
      </c>
      <c r="H767" s="4">
        <v>33.945799999999998</v>
      </c>
      <c r="I767" s="4">
        <v>11.84</v>
      </c>
      <c r="J767" s="4">
        <v>12.03</v>
      </c>
      <c r="K767" s="4">
        <v>11.185</v>
      </c>
      <c r="L767" s="4">
        <v>11.7325</v>
      </c>
      <c r="M767" s="7">
        <v>-9.1000000000000004E-3</v>
      </c>
    </row>
    <row r="768" spans="1:13" x14ac:dyDescent="0.2">
      <c r="A768" s="6">
        <v>45051</v>
      </c>
      <c r="B768" s="2" t="s">
        <v>225</v>
      </c>
      <c r="C768" s="5">
        <v>45047</v>
      </c>
      <c r="D768" s="2" t="s">
        <v>188</v>
      </c>
      <c r="E768" s="3">
        <v>3918</v>
      </c>
      <c r="F768" s="8">
        <v>0.20949999999999999</v>
      </c>
      <c r="G768" s="4">
        <v>48.265300000000003</v>
      </c>
      <c r="H768" s="4">
        <v>31.1006</v>
      </c>
      <c r="I768" s="4">
        <v>11.7325</v>
      </c>
      <c r="J768" s="4">
        <v>12.375</v>
      </c>
      <c r="K768" s="4">
        <v>11.53</v>
      </c>
      <c r="L768" s="4">
        <v>12.295</v>
      </c>
      <c r="M768" s="7">
        <v>4.7899999999999998E-2</v>
      </c>
    </row>
    <row r="769" spans="1:13" x14ac:dyDescent="0.2">
      <c r="A769" s="6">
        <v>45054</v>
      </c>
      <c r="B769" s="2" t="s">
        <v>228</v>
      </c>
      <c r="C769" s="5">
        <v>45047</v>
      </c>
      <c r="D769" s="2" t="s">
        <v>188</v>
      </c>
      <c r="E769" s="3">
        <v>4082</v>
      </c>
      <c r="F769" s="8">
        <v>0.2366</v>
      </c>
      <c r="G769" s="4">
        <v>50.944600000000001</v>
      </c>
      <c r="H769" s="4">
        <v>34.684699999999999</v>
      </c>
      <c r="I769" s="4">
        <v>12.295</v>
      </c>
      <c r="J769" s="4">
        <v>12.91</v>
      </c>
      <c r="K769" s="4">
        <v>11.7225</v>
      </c>
      <c r="L769" s="4">
        <v>12.635</v>
      </c>
      <c r="M769" s="7">
        <v>2.7699999999999999E-2</v>
      </c>
    </row>
    <row r="770" spans="1:13" x14ac:dyDescent="0.2">
      <c r="A770" s="6">
        <v>45055</v>
      </c>
      <c r="B770" s="2" t="s">
        <v>226</v>
      </c>
      <c r="C770" s="5">
        <v>45047</v>
      </c>
      <c r="D770" s="2" t="s">
        <v>188</v>
      </c>
      <c r="E770" s="3">
        <v>3935</v>
      </c>
      <c r="F770" s="8">
        <v>0.24399999999999999</v>
      </c>
      <c r="G770" s="4">
        <v>48.145299999999999</v>
      </c>
      <c r="H770" s="4">
        <v>36.117899999999999</v>
      </c>
      <c r="I770" s="4">
        <v>12.635</v>
      </c>
      <c r="J770" s="4">
        <v>12.815</v>
      </c>
      <c r="K770" s="4">
        <v>11.657500000000001</v>
      </c>
      <c r="L770" s="4">
        <v>12.6775</v>
      </c>
      <c r="M770" s="7">
        <v>3.3999999999999998E-3</v>
      </c>
    </row>
    <row r="771" spans="1:13" x14ac:dyDescent="0.2">
      <c r="A771" s="6">
        <v>45056</v>
      </c>
      <c r="B771" s="2" t="s">
        <v>224</v>
      </c>
      <c r="C771" s="5">
        <v>45047</v>
      </c>
      <c r="D771" s="2" t="s">
        <v>188</v>
      </c>
      <c r="E771" s="3">
        <v>3904</v>
      </c>
      <c r="F771" s="8">
        <v>0.21279999999999999</v>
      </c>
      <c r="G771" s="4">
        <v>42.460999999999999</v>
      </c>
      <c r="H771" s="4">
        <v>28.0425</v>
      </c>
      <c r="I771" s="4">
        <v>12.6775</v>
      </c>
      <c r="J771" s="4">
        <v>13.297499999999999</v>
      </c>
      <c r="K771" s="4">
        <v>11.5425</v>
      </c>
      <c r="L771" s="4">
        <v>13.0825</v>
      </c>
      <c r="M771" s="7">
        <v>3.1899999999999998E-2</v>
      </c>
    </row>
    <row r="772" spans="1:13" x14ac:dyDescent="0.2">
      <c r="A772" s="6">
        <v>45057</v>
      </c>
      <c r="B772" s="2" t="s">
        <v>227</v>
      </c>
      <c r="C772" s="5">
        <v>45047</v>
      </c>
      <c r="D772" s="2" t="s">
        <v>188</v>
      </c>
      <c r="E772" s="3">
        <v>3891</v>
      </c>
      <c r="F772" s="8">
        <v>0.21210000000000001</v>
      </c>
      <c r="G772" s="4">
        <v>54.152200000000001</v>
      </c>
      <c r="H772" s="4">
        <v>32.618499999999997</v>
      </c>
      <c r="I772" s="4">
        <v>13.0825</v>
      </c>
      <c r="J772" s="4">
        <v>13.74</v>
      </c>
      <c r="K772" s="4">
        <v>12.815</v>
      </c>
      <c r="L772" s="4">
        <v>13.215</v>
      </c>
      <c r="M772" s="7">
        <v>1.01E-2</v>
      </c>
    </row>
    <row r="773" spans="1:13" x14ac:dyDescent="0.2">
      <c r="A773" s="6">
        <v>45058</v>
      </c>
      <c r="B773" s="2" t="s">
        <v>225</v>
      </c>
      <c r="C773" s="5">
        <v>45047</v>
      </c>
      <c r="D773" s="2" t="s">
        <v>188</v>
      </c>
      <c r="E773" s="3">
        <v>3886</v>
      </c>
      <c r="F773" s="8">
        <v>0.22189999999999999</v>
      </c>
      <c r="G773" s="4">
        <v>47.242899999999999</v>
      </c>
      <c r="H773" s="4">
        <v>32.453499999999998</v>
      </c>
      <c r="I773" s="4">
        <v>13.215</v>
      </c>
      <c r="J773" s="4">
        <v>13.51</v>
      </c>
      <c r="K773" s="4">
        <v>12.737500000000001</v>
      </c>
      <c r="L773" s="4">
        <v>12.852499999999999</v>
      </c>
      <c r="M773" s="7">
        <v>-2.7400000000000001E-2</v>
      </c>
    </row>
    <row r="774" spans="1:13" x14ac:dyDescent="0.2">
      <c r="A774" s="6">
        <v>45061</v>
      </c>
      <c r="B774" s="2" t="s">
        <v>228</v>
      </c>
      <c r="C774" s="5">
        <v>45047</v>
      </c>
      <c r="D774" s="2" t="s">
        <v>188</v>
      </c>
      <c r="E774" s="3">
        <v>4096</v>
      </c>
      <c r="F774" s="8">
        <v>0.23330000000000001</v>
      </c>
      <c r="G774" s="4">
        <v>42.3568</v>
      </c>
      <c r="H774" s="4">
        <v>34.118299999999998</v>
      </c>
      <c r="I774" s="4">
        <v>12.852499999999999</v>
      </c>
      <c r="J774" s="4">
        <v>13.615</v>
      </c>
      <c r="K774" s="4">
        <v>12.5375</v>
      </c>
      <c r="L774" s="4">
        <v>13.172499999999999</v>
      </c>
      <c r="M774" s="7">
        <v>2.4899999999999999E-2</v>
      </c>
    </row>
    <row r="775" spans="1:13" x14ac:dyDescent="0.2">
      <c r="A775" s="6">
        <v>45062</v>
      </c>
      <c r="B775" s="2" t="s">
        <v>226</v>
      </c>
      <c r="C775" s="5">
        <v>45047</v>
      </c>
      <c r="D775" s="2" t="s">
        <v>188</v>
      </c>
      <c r="E775" s="3">
        <v>3927</v>
      </c>
      <c r="F775" s="8">
        <v>0.22489999999999999</v>
      </c>
      <c r="G775" s="4">
        <v>48.224899999999998</v>
      </c>
      <c r="H775" s="4">
        <v>31.882899999999999</v>
      </c>
      <c r="I775" s="4">
        <v>13.172499999999999</v>
      </c>
      <c r="J775" s="4">
        <v>13.484999999999999</v>
      </c>
      <c r="K775" s="4">
        <v>11.71</v>
      </c>
      <c r="L775" s="4">
        <v>13.2925</v>
      </c>
      <c r="M775" s="7">
        <v>9.1000000000000004E-3</v>
      </c>
    </row>
    <row r="776" spans="1:13" x14ac:dyDescent="0.2">
      <c r="A776" s="6">
        <v>45063</v>
      </c>
      <c r="B776" s="2" t="s">
        <v>224</v>
      </c>
      <c r="C776" s="5">
        <v>45047</v>
      </c>
      <c r="D776" s="2" t="s">
        <v>188</v>
      </c>
      <c r="E776" s="3">
        <v>3877</v>
      </c>
      <c r="F776" s="8">
        <v>0.23119999999999999</v>
      </c>
      <c r="G776" s="4">
        <v>44.113100000000003</v>
      </c>
      <c r="H776" s="4">
        <v>32.807499999999997</v>
      </c>
      <c r="I776" s="4">
        <v>13.2925</v>
      </c>
      <c r="J776" s="4">
        <v>13.58</v>
      </c>
      <c r="K776" s="4">
        <v>11.895</v>
      </c>
      <c r="L776" s="4">
        <v>13.105</v>
      </c>
      <c r="M776" s="7">
        <v>-1.41E-2</v>
      </c>
    </row>
    <row r="777" spans="1:13" x14ac:dyDescent="0.2">
      <c r="A777" s="6">
        <v>45064</v>
      </c>
      <c r="B777" s="2" t="s">
        <v>227</v>
      </c>
      <c r="C777" s="5">
        <v>45047</v>
      </c>
      <c r="D777" s="2" t="s">
        <v>188</v>
      </c>
      <c r="E777" s="3">
        <v>3834</v>
      </c>
      <c r="F777" s="8">
        <v>0.22639999999999999</v>
      </c>
      <c r="G777" s="4">
        <v>41.546199999999999</v>
      </c>
      <c r="H777" s="4">
        <v>32.468600000000002</v>
      </c>
      <c r="I777" s="4">
        <v>13.105</v>
      </c>
      <c r="J777" s="4">
        <v>13.105</v>
      </c>
      <c r="K777" s="4">
        <v>11.137499999999999</v>
      </c>
      <c r="L777" s="4">
        <v>12.795</v>
      </c>
      <c r="M777" s="7">
        <v>-2.3699999999999999E-2</v>
      </c>
    </row>
    <row r="778" spans="1:13" x14ac:dyDescent="0.2">
      <c r="A778" s="6">
        <v>45065</v>
      </c>
      <c r="B778" s="2" t="s">
        <v>225</v>
      </c>
      <c r="C778" s="5">
        <v>45047</v>
      </c>
      <c r="D778" s="2" t="s">
        <v>188</v>
      </c>
      <c r="E778" s="3">
        <v>3835</v>
      </c>
      <c r="F778" s="8">
        <v>0.2223</v>
      </c>
      <c r="G778" s="4">
        <v>38.542299999999997</v>
      </c>
      <c r="H778" s="4">
        <v>32.794899999999998</v>
      </c>
      <c r="I778" s="4">
        <v>12.795</v>
      </c>
      <c r="J778" s="4">
        <v>12.82</v>
      </c>
      <c r="K778" s="4">
        <v>11.6875</v>
      </c>
      <c r="L778" s="4">
        <v>12.3025</v>
      </c>
      <c r="M778" s="7">
        <v>-3.85E-2</v>
      </c>
    </row>
    <row r="779" spans="1:13" x14ac:dyDescent="0.2">
      <c r="A779" s="6">
        <v>45068</v>
      </c>
      <c r="B779" s="2" t="s">
        <v>228</v>
      </c>
      <c r="C779" s="5">
        <v>45047</v>
      </c>
      <c r="D779" s="2" t="s">
        <v>188</v>
      </c>
      <c r="E779" s="3">
        <v>4054</v>
      </c>
      <c r="F779" s="8">
        <v>0.2432</v>
      </c>
      <c r="G779" s="4">
        <v>51.176499999999997</v>
      </c>
      <c r="H779" s="4">
        <v>40.065199999999997</v>
      </c>
      <c r="I779" s="4">
        <v>12.3025</v>
      </c>
      <c r="J779" s="4">
        <v>12.82</v>
      </c>
      <c r="K779" s="4">
        <v>11.555</v>
      </c>
      <c r="L779" s="4">
        <v>12.57</v>
      </c>
      <c r="M779" s="7">
        <v>2.1700000000000001E-2</v>
      </c>
    </row>
    <row r="780" spans="1:13" x14ac:dyDescent="0.2">
      <c r="A780" s="6">
        <v>45069</v>
      </c>
      <c r="B780" s="2" t="s">
        <v>226</v>
      </c>
      <c r="C780" s="5">
        <v>45047</v>
      </c>
      <c r="D780" s="2" t="s">
        <v>188</v>
      </c>
      <c r="E780" s="3">
        <v>3897</v>
      </c>
      <c r="F780" s="8">
        <v>0.23569999999999999</v>
      </c>
      <c r="G780" s="4">
        <v>49.183700000000002</v>
      </c>
      <c r="H780" s="4">
        <v>42.7318</v>
      </c>
      <c r="I780" s="4">
        <v>12.57</v>
      </c>
      <c r="J780" s="4">
        <v>13.074999999999999</v>
      </c>
      <c r="K780" s="4">
        <v>12.317500000000001</v>
      </c>
      <c r="L780" s="4">
        <v>12.605</v>
      </c>
      <c r="M780" s="7">
        <v>2.8E-3</v>
      </c>
    </row>
    <row r="781" spans="1:13" x14ac:dyDescent="0.2">
      <c r="A781" s="6">
        <v>45070</v>
      </c>
      <c r="B781" s="2" t="s">
        <v>224</v>
      </c>
      <c r="C781" s="5">
        <v>45047</v>
      </c>
      <c r="D781" s="2" t="s">
        <v>188</v>
      </c>
      <c r="E781" s="3">
        <v>3864</v>
      </c>
      <c r="F781" s="8">
        <v>0.24629999999999999</v>
      </c>
      <c r="G781" s="4">
        <v>51.388100000000001</v>
      </c>
      <c r="H781" s="4">
        <v>40.955199999999998</v>
      </c>
      <c r="I781" s="4">
        <v>12.605</v>
      </c>
      <c r="J781" s="4">
        <v>13.4375</v>
      </c>
      <c r="K781" s="4">
        <v>12.41</v>
      </c>
      <c r="L781" s="4">
        <v>13.112500000000001</v>
      </c>
      <c r="M781" s="7">
        <v>4.0300000000000002E-2</v>
      </c>
    </row>
    <row r="782" spans="1:13" x14ac:dyDescent="0.2">
      <c r="A782" s="6">
        <v>45071</v>
      </c>
      <c r="B782" s="2" t="s">
        <v>227</v>
      </c>
      <c r="C782" s="5">
        <v>45047</v>
      </c>
      <c r="D782" s="2" t="s">
        <v>188</v>
      </c>
      <c r="E782" s="3">
        <v>3860</v>
      </c>
      <c r="F782" s="8">
        <v>0.22370000000000001</v>
      </c>
      <c r="G782" s="4">
        <v>48.597900000000003</v>
      </c>
      <c r="H782" s="4">
        <v>35.448300000000003</v>
      </c>
      <c r="I782" s="4">
        <v>13.112500000000001</v>
      </c>
      <c r="J782" s="4">
        <v>13.1325</v>
      </c>
      <c r="K782" s="4">
        <v>8.1824999999999992</v>
      </c>
      <c r="L782" s="4">
        <v>12.52</v>
      </c>
      <c r="M782" s="7">
        <v>-4.5199999999999997E-2</v>
      </c>
    </row>
    <row r="783" spans="1:13" x14ac:dyDescent="0.2">
      <c r="A783" s="6">
        <v>45072</v>
      </c>
      <c r="B783" s="2" t="s">
        <v>225</v>
      </c>
      <c r="C783" s="5">
        <v>45047</v>
      </c>
      <c r="D783" s="2" t="s">
        <v>188</v>
      </c>
      <c r="E783" s="3">
        <v>3893</v>
      </c>
      <c r="F783" s="8">
        <v>0.22900000000000001</v>
      </c>
      <c r="G783" s="4">
        <v>49.385300000000001</v>
      </c>
      <c r="H783" s="4">
        <v>49.867600000000003</v>
      </c>
      <c r="I783" s="4">
        <v>12.52</v>
      </c>
      <c r="J783" s="4">
        <v>12.8575</v>
      </c>
      <c r="K783" s="4">
        <v>11.7</v>
      </c>
      <c r="L783" s="4">
        <v>11.9</v>
      </c>
      <c r="M783" s="7">
        <v>-4.9500000000000002E-2</v>
      </c>
    </row>
    <row r="784" spans="1:13" x14ac:dyDescent="0.2">
      <c r="A784" s="6">
        <v>45075</v>
      </c>
      <c r="B784" s="2" t="s">
        <v>228</v>
      </c>
      <c r="C784" s="5">
        <v>45047</v>
      </c>
      <c r="D784" s="2" t="s">
        <v>188</v>
      </c>
      <c r="E784" s="3">
        <v>4076</v>
      </c>
      <c r="F784" s="8">
        <v>0.23769999999999999</v>
      </c>
      <c r="G784" s="4">
        <v>56.079900000000002</v>
      </c>
      <c r="H784" s="4">
        <v>36.4895</v>
      </c>
      <c r="I784" s="4">
        <v>11.9</v>
      </c>
      <c r="J784" s="4">
        <v>12.4925</v>
      </c>
      <c r="K784" s="4">
        <v>8.8074999999999992</v>
      </c>
      <c r="L784" s="4">
        <v>12.297499999999999</v>
      </c>
      <c r="M784" s="7">
        <v>3.3399999999999999E-2</v>
      </c>
    </row>
    <row r="785" spans="1:13" x14ac:dyDescent="0.2">
      <c r="A785" s="6">
        <v>45076</v>
      </c>
      <c r="B785" s="2" t="s">
        <v>226</v>
      </c>
      <c r="C785" s="5">
        <v>45047</v>
      </c>
      <c r="D785" s="2" t="s">
        <v>188</v>
      </c>
      <c r="E785" s="3">
        <v>3877</v>
      </c>
      <c r="F785" s="8">
        <v>0.2218</v>
      </c>
      <c r="G785" s="4">
        <v>51.440899999999999</v>
      </c>
      <c r="H785" s="4">
        <v>40.352699999999999</v>
      </c>
      <c r="I785" s="4">
        <v>12.297499999999999</v>
      </c>
      <c r="J785" s="4">
        <v>12.38</v>
      </c>
      <c r="K785" s="4">
        <v>11.7675</v>
      </c>
      <c r="L785" s="4">
        <v>12.01</v>
      </c>
      <c r="M785" s="7">
        <v>-2.3400000000000001E-2</v>
      </c>
    </row>
    <row r="786" spans="1:13" x14ac:dyDescent="0.2">
      <c r="A786" s="6">
        <v>45077</v>
      </c>
      <c r="B786" s="2" t="s">
        <v>224</v>
      </c>
      <c r="C786" s="5">
        <v>45047</v>
      </c>
      <c r="D786" s="2" t="s">
        <v>188</v>
      </c>
      <c r="E786" s="3">
        <v>3892</v>
      </c>
      <c r="F786" s="8">
        <v>0.25700000000000001</v>
      </c>
      <c r="G786" s="4">
        <v>65.072999999999993</v>
      </c>
      <c r="H786" s="4">
        <v>60.480200000000004</v>
      </c>
      <c r="I786" s="4">
        <v>12.01</v>
      </c>
      <c r="J786" s="4">
        <v>12.467499999999999</v>
      </c>
      <c r="K786" s="4">
        <v>11.58</v>
      </c>
      <c r="L786" s="4">
        <v>11.9725</v>
      </c>
      <c r="M786" s="7">
        <v>-3.0999999999999999E-3</v>
      </c>
    </row>
    <row r="787" spans="1:13" x14ac:dyDescent="0.2">
      <c r="A787" s="6">
        <v>45078</v>
      </c>
      <c r="B787" s="2" t="s">
        <v>227</v>
      </c>
      <c r="C787" s="5">
        <v>45078</v>
      </c>
      <c r="D787" s="2" t="s">
        <v>188</v>
      </c>
      <c r="E787" s="3">
        <v>3940</v>
      </c>
      <c r="F787" s="8">
        <v>0.24199999999999999</v>
      </c>
      <c r="G787" s="4">
        <v>52.644599999999997</v>
      </c>
      <c r="H787" s="4">
        <v>38.784100000000002</v>
      </c>
      <c r="I787" s="4">
        <v>11.9725</v>
      </c>
      <c r="J787" s="4">
        <v>11.9725</v>
      </c>
      <c r="K787" s="4">
        <v>11.22</v>
      </c>
      <c r="L787" s="4">
        <v>11.5975</v>
      </c>
      <c r="M787" s="7">
        <v>-3.1300000000000001E-2</v>
      </c>
    </row>
    <row r="788" spans="1:13" x14ac:dyDescent="0.2">
      <c r="A788" s="6">
        <v>45079</v>
      </c>
      <c r="B788" s="2" t="s">
        <v>225</v>
      </c>
      <c r="C788" s="5">
        <v>45078</v>
      </c>
      <c r="D788" s="2" t="s">
        <v>188</v>
      </c>
      <c r="E788" s="3">
        <v>3973</v>
      </c>
      <c r="F788" s="8">
        <v>0.23860000000000001</v>
      </c>
      <c r="G788" s="4">
        <v>50.299700000000001</v>
      </c>
      <c r="H788" s="4">
        <v>35.7881</v>
      </c>
      <c r="I788" s="4">
        <v>11.5975</v>
      </c>
      <c r="J788" s="4">
        <v>11.734999999999999</v>
      </c>
      <c r="K788" s="4">
        <v>10.86</v>
      </c>
      <c r="L788" s="4">
        <v>11.125</v>
      </c>
      <c r="M788" s="7">
        <v>-4.07E-2</v>
      </c>
    </row>
    <row r="789" spans="1:13" x14ac:dyDescent="0.2">
      <c r="A789" s="6">
        <v>45082</v>
      </c>
      <c r="B789" s="2" t="s">
        <v>228</v>
      </c>
      <c r="C789" s="5">
        <v>45078</v>
      </c>
      <c r="D789" s="2" t="s">
        <v>188</v>
      </c>
      <c r="E789" s="3">
        <v>4128</v>
      </c>
      <c r="F789" s="8">
        <v>0.26050000000000001</v>
      </c>
      <c r="G789" s="4">
        <v>59.633800000000001</v>
      </c>
      <c r="H789" s="4">
        <v>42.414299999999997</v>
      </c>
      <c r="I789" s="4">
        <v>11.125</v>
      </c>
      <c r="J789" s="4">
        <v>11.335000000000001</v>
      </c>
      <c r="K789" s="4">
        <v>10.3225</v>
      </c>
      <c r="L789" s="4">
        <v>11.137499999999999</v>
      </c>
      <c r="M789" s="7">
        <v>1.1000000000000001E-3</v>
      </c>
    </row>
    <row r="790" spans="1:13" x14ac:dyDescent="0.2">
      <c r="A790" s="6">
        <v>45083</v>
      </c>
      <c r="B790" s="2" t="s">
        <v>226</v>
      </c>
      <c r="C790" s="5">
        <v>45078</v>
      </c>
      <c r="D790" s="2" t="s">
        <v>188</v>
      </c>
      <c r="E790" s="3">
        <v>3939</v>
      </c>
      <c r="F790" s="8">
        <v>0.2535</v>
      </c>
      <c r="G790" s="4">
        <v>57.453000000000003</v>
      </c>
      <c r="H790" s="4">
        <v>40.752499999999998</v>
      </c>
      <c r="I790" s="4">
        <v>11.137499999999999</v>
      </c>
      <c r="J790" s="4">
        <v>11.6175</v>
      </c>
      <c r="K790" s="4">
        <v>10.465</v>
      </c>
      <c r="L790" s="4">
        <v>11.38</v>
      </c>
      <c r="M790" s="7">
        <v>2.18E-2</v>
      </c>
    </row>
    <row r="791" spans="1:13" x14ac:dyDescent="0.2">
      <c r="A791" s="6">
        <v>45084</v>
      </c>
      <c r="B791" s="2" t="s">
        <v>224</v>
      </c>
      <c r="C791" s="5">
        <v>45078</v>
      </c>
      <c r="D791" s="2" t="s">
        <v>188</v>
      </c>
      <c r="E791" s="3">
        <v>4006</v>
      </c>
      <c r="F791" s="8">
        <v>0.28120000000000001</v>
      </c>
      <c r="G791" s="4">
        <v>98.291499999999999</v>
      </c>
      <c r="H791" s="4">
        <v>44.688400000000001</v>
      </c>
      <c r="I791" s="4">
        <v>11.38</v>
      </c>
      <c r="J791" s="4">
        <v>11.5375</v>
      </c>
      <c r="K791" s="4">
        <v>9.6374999999999993</v>
      </c>
      <c r="L791" s="4">
        <v>11.442500000000001</v>
      </c>
      <c r="M791" s="7">
        <v>5.4999999999999997E-3</v>
      </c>
    </row>
    <row r="792" spans="1:13" x14ac:dyDescent="0.2">
      <c r="A792" s="6">
        <v>45085</v>
      </c>
      <c r="B792" s="2" t="s">
        <v>227</v>
      </c>
      <c r="C792" s="5">
        <v>45078</v>
      </c>
      <c r="D792" s="2" t="s">
        <v>188</v>
      </c>
      <c r="E792" s="3">
        <v>3963</v>
      </c>
      <c r="F792" s="8">
        <v>0.26300000000000001</v>
      </c>
      <c r="G792" s="4">
        <v>70.331500000000005</v>
      </c>
      <c r="H792" s="4">
        <v>42.3566</v>
      </c>
      <c r="I792" s="4">
        <v>11.442500000000001</v>
      </c>
      <c r="J792" s="4">
        <v>11.567500000000001</v>
      </c>
      <c r="K792" s="4">
        <v>10.130000000000001</v>
      </c>
      <c r="L792" s="4">
        <v>11.2575</v>
      </c>
      <c r="M792" s="7">
        <v>-1.6199999999999999E-2</v>
      </c>
    </row>
    <row r="793" spans="1:13" x14ac:dyDescent="0.2">
      <c r="A793" s="6">
        <v>45086</v>
      </c>
      <c r="B793" s="2" t="s">
        <v>225</v>
      </c>
      <c r="C793" s="5">
        <v>45078</v>
      </c>
      <c r="D793" s="2" t="s">
        <v>188</v>
      </c>
      <c r="E793" s="3">
        <v>3942</v>
      </c>
      <c r="F793" s="8">
        <v>0.26900000000000002</v>
      </c>
      <c r="G793" s="4">
        <v>69.342200000000005</v>
      </c>
      <c r="H793" s="4">
        <v>107.95</v>
      </c>
      <c r="I793" s="4">
        <v>11.2575</v>
      </c>
      <c r="J793" s="4">
        <v>11.297499999999999</v>
      </c>
      <c r="K793" s="4">
        <v>10.307499999999999</v>
      </c>
      <c r="L793" s="4">
        <v>11.12</v>
      </c>
      <c r="M793" s="7">
        <v>-1.2200000000000001E-2</v>
      </c>
    </row>
    <row r="794" spans="1:13" x14ac:dyDescent="0.2">
      <c r="A794" s="6">
        <v>45089</v>
      </c>
      <c r="B794" s="2" t="s">
        <v>228</v>
      </c>
      <c r="C794" s="5">
        <v>45078</v>
      </c>
      <c r="D794" s="2" t="s">
        <v>188</v>
      </c>
      <c r="E794" s="3">
        <v>4160</v>
      </c>
      <c r="F794" s="8">
        <v>0.24829999999999999</v>
      </c>
      <c r="G794" s="4">
        <v>70.012</v>
      </c>
      <c r="H794" s="4">
        <v>37.742899999999999</v>
      </c>
      <c r="I794" s="4">
        <v>11.12</v>
      </c>
      <c r="J794" s="4">
        <v>11.8025</v>
      </c>
      <c r="K794" s="4">
        <v>10.5825</v>
      </c>
      <c r="L794" s="4">
        <v>11.244999999999999</v>
      </c>
      <c r="M794" s="7">
        <v>1.12E-2</v>
      </c>
    </row>
    <row r="795" spans="1:13" x14ac:dyDescent="0.2">
      <c r="A795" s="6">
        <v>45090</v>
      </c>
      <c r="B795" s="2" t="s">
        <v>226</v>
      </c>
      <c r="C795" s="5">
        <v>45078</v>
      </c>
      <c r="D795" s="2" t="s">
        <v>188</v>
      </c>
      <c r="E795" s="3">
        <v>3994</v>
      </c>
      <c r="F795" s="8">
        <v>0.25819999999999999</v>
      </c>
      <c r="G795" s="4">
        <v>69.902900000000002</v>
      </c>
      <c r="H795" s="4">
        <v>45.201900000000002</v>
      </c>
      <c r="I795" s="4">
        <v>11.244999999999999</v>
      </c>
      <c r="J795" s="4">
        <v>11.25</v>
      </c>
      <c r="K795" s="4">
        <v>9.99</v>
      </c>
      <c r="L795" s="4">
        <v>11.11</v>
      </c>
      <c r="M795" s="7">
        <v>-1.2E-2</v>
      </c>
    </row>
    <row r="796" spans="1:13" x14ac:dyDescent="0.2">
      <c r="A796" s="6">
        <v>45091</v>
      </c>
      <c r="B796" s="2" t="s">
        <v>224</v>
      </c>
      <c r="C796" s="5">
        <v>45078</v>
      </c>
      <c r="D796" s="2" t="s">
        <v>188</v>
      </c>
      <c r="E796" s="3">
        <v>3979</v>
      </c>
      <c r="F796" s="8">
        <v>0.2586</v>
      </c>
      <c r="G796" s="4">
        <v>69.142600000000002</v>
      </c>
      <c r="H796" s="4">
        <v>45.268700000000003</v>
      </c>
      <c r="I796" s="4">
        <v>11.11</v>
      </c>
      <c r="J796" s="4">
        <v>11.3675</v>
      </c>
      <c r="K796" s="4">
        <v>10.6325</v>
      </c>
      <c r="L796" s="4">
        <v>11.1625</v>
      </c>
      <c r="M796" s="7">
        <v>4.7000000000000002E-3</v>
      </c>
    </row>
    <row r="797" spans="1:13" x14ac:dyDescent="0.2">
      <c r="A797" s="6">
        <v>45092</v>
      </c>
      <c r="B797" s="2" t="s">
        <v>227</v>
      </c>
      <c r="C797" s="5">
        <v>45078</v>
      </c>
      <c r="D797" s="2" t="s">
        <v>188</v>
      </c>
      <c r="E797" s="3">
        <v>3952</v>
      </c>
      <c r="F797" s="8">
        <v>0.26590000000000003</v>
      </c>
      <c r="G797" s="4">
        <v>62.6434</v>
      </c>
      <c r="H797" s="4">
        <v>43.474899999999998</v>
      </c>
      <c r="I797" s="4">
        <v>11.1625</v>
      </c>
      <c r="J797" s="4">
        <v>11.37</v>
      </c>
      <c r="K797" s="4">
        <v>9.6925000000000008</v>
      </c>
      <c r="L797" s="4">
        <v>11.08</v>
      </c>
      <c r="M797" s="7">
        <v>-7.4000000000000003E-3</v>
      </c>
    </row>
    <row r="798" spans="1:13" x14ac:dyDescent="0.2">
      <c r="A798" s="6">
        <v>45093</v>
      </c>
      <c r="B798" s="2" t="s">
        <v>225</v>
      </c>
      <c r="C798" s="5">
        <v>45078</v>
      </c>
      <c r="D798" s="2" t="s">
        <v>188</v>
      </c>
      <c r="E798" s="3">
        <v>3948</v>
      </c>
      <c r="F798" s="8">
        <v>0.27850000000000003</v>
      </c>
      <c r="G798" s="4">
        <v>67.215299999999999</v>
      </c>
      <c r="H798" s="4">
        <v>44.456899999999997</v>
      </c>
      <c r="I798" s="4">
        <v>11.08</v>
      </c>
      <c r="J798" s="4">
        <v>11.08</v>
      </c>
      <c r="K798" s="4">
        <v>10.557499999999999</v>
      </c>
      <c r="L798" s="4">
        <v>10.84</v>
      </c>
      <c r="M798" s="7">
        <v>-2.1700000000000001E-2</v>
      </c>
    </row>
    <row r="799" spans="1:13" x14ac:dyDescent="0.2">
      <c r="A799" s="6">
        <v>45096</v>
      </c>
      <c r="B799" s="2" t="s">
        <v>228</v>
      </c>
      <c r="C799" s="5">
        <v>45078</v>
      </c>
      <c r="D799" s="2" t="s">
        <v>188</v>
      </c>
      <c r="E799" s="3">
        <v>4120</v>
      </c>
      <c r="F799" s="8">
        <v>0.27360000000000001</v>
      </c>
      <c r="G799" s="4">
        <v>65.537899999999993</v>
      </c>
      <c r="H799" s="4">
        <v>60.622900000000001</v>
      </c>
      <c r="I799" s="4">
        <v>10.84</v>
      </c>
      <c r="J799" s="4">
        <v>11.4975</v>
      </c>
      <c r="K799" s="4">
        <v>10.33</v>
      </c>
      <c r="L799" s="4">
        <v>11.225</v>
      </c>
      <c r="M799" s="7">
        <v>3.5499999999999997E-2</v>
      </c>
    </row>
    <row r="800" spans="1:13" x14ac:dyDescent="0.2">
      <c r="A800" s="6">
        <v>45097</v>
      </c>
      <c r="B800" s="2" t="s">
        <v>226</v>
      </c>
      <c r="C800" s="5">
        <v>45078</v>
      </c>
      <c r="D800" s="2" t="s">
        <v>188</v>
      </c>
      <c r="E800" s="3">
        <v>3890</v>
      </c>
      <c r="F800" s="8">
        <v>0.25540000000000002</v>
      </c>
      <c r="G800" s="4">
        <v>57.977200000000003</v>
      </c>
      <c r="H800" s="4">
        <v>116.69750000000001</v>
      </c>
      <c r="I800" s="4">
        <v>11.225</v>
      </c>
      <c r="J800" s="4">
        <v>11.4375</v>
      </c>
      <c r="K800" s="4">
        <v>10.567500000000001</v>
      </c>
      <c r="L800" s="4">
        <v>11.1325</v>
      </c>
      <c r="M800" s="7">
        <v>-8.2000000000000007E-3</v>
      </c>
    </row>
    <row r="801" spans="1:13" x14ac:dyDescent="0.2">
      <c r="A801" s="6">
        <v>45098</v>
      </c>
      <c r="B801" s="2" t="s">
        <v>224</v>
      </c>
      <c r="C801" s="5">
        <v>45078</v>
      </c>
      <c r="D801" s="2" t="s">
        <v>188</v>
      </c>
      <c r="E801" s="3">
        <v>3926</v>
      </c>
      <c r="F801" s="8">
        <v>0.27460000000000001</v>
      </c>
      <c r="G801" s="4">
        <v>60.8491</v>
      </c>
      <c r="H801" s="4">
        <v>52.402799999999999</v>
      </c>
      <c r="I801" s="4">
        <v>11.1325</v>
      </c>
      <c r="J801" s="4">
        <v>11.432499999999999</v>
      </c>
      <c r="K801" s="4">
        <v>10.77</v>
      </c>
      <c r="L801" s="4">
        <v>11.2925</v>
      </c>
      <c r="M801" s="7">
        <v>1.44E-2</v>
      </c>
    </row>
    <row r="802" spans="1:13" x14ac:dyDescent="0.2">
      <c r="A802" s="6">
        <v>45099</v>
      </c>
      <c r="B802" s="2" t="s">
        <v>227</v>
      </c>
      <c r="C802" s="5">
        <v>45078</v>
      </c>
      <c r="D802" s="2" t="s">
        <v>188</v>
      </c>
      <c r="E802" s="3">
        <v>3938</v>
      </c>
      <c r="F802" s="8">
        <v>0.26319999999999999</v>
      </c>
      <c r="G802" s="4">
        <v>63.214100000000002</v>
      </c>
      <c r="H802" s="4">
        <v>48.860999999999997</v>
      </c>
      <c r="I802" s="4">
        <v>11.2925</v>
      </c>
      <c r="J802" s="4">
        <v>11.7125</v>
      </c>
      <c r="K802" s="4">
        <v>10.692500000000001</v>
      </c>
      <c r="L802" s="4">
        <v>11.547499999999999</v>
      </c>
      <c r="M802" s="7">
        <v>2.2599999999999999E-2</v>
      </c>
    </row>
    <row r="803" spans="1:13" x14ac:dyDescent="0.2">
      <c r="A803" s="6">
        <v>45100</v>
      </c>
      <c r="B803" s="2" t="s">
        <v>225</v>
      </c>
      <c r="C803" s="5">
        <v>45078</v>
      </c>
      <c r="D803" s="2" t="s">
        <v>188</v>
      </c>
      <c r="E803" s="3">
        <v>3877</v>
      </c>
      <c r="F803" s="8">
        <v>0.2742</v>
      </c>
      <c r="G803" s="4">
        <v>61.329300000000003</v>
      </c>
      <c r="H803" s="4">
        <v>46.817300000000003</v>
      </c>
      <c r="I803" s="4">
        <v>11.547499999999999</v>
      </c>
      <c r="J803" s="4">
        <v>11.8375</v>
      </c>
      <c r="K803" s="4">
        <v>11.1425</v>
      </c>
      <c r="L803" s="4">
        <v>11.234999999999999</v>
      </c>
      <c r="M803" s="7">
        <v>-2.7099999999999999E-2</v>
      </c>
    </row>
    <row r="804" spans="1:13" x14ac:dyDescent="0.2">
      <c r="A804" s="6">
        <v>45103</v>
      </c>
      <c r="B804" s="2" t="s">
        <v>228</v>
      </c>
      <c r="C804" s="5">
        <v>45078</v>
      </c>
      <c r="D804" s="2" t="s">
        <v>188</v>
      </c>
      <c r="E804" s="3">
        <v>4091</v>
      </c>
      <c r="F804" s="8">
        <v>0.2223</v>
      </c>
      <c r="G804" s="4">
        <v>52.909700000000001</v>
      </c>
      <c r="H804" s="4">
        <v>34.991</v>
      </c>
      <c r="I804" s="4">
        <v>11.234999999999999</v>
      </c>
      <c r="J804" s="4">
        <v>11.925000000000001</v>
      </c>
      <c r="K804" s="4">
        <v>11.234999999999999</v>
      </c>
      <c r="L804" s="4">
        <v>11.395</v>
      </c>
      <c r="M804" s="7">
        <v>1.4200000000000001E-2</v>
      </c>
    </row>
    <row r="805" spans="1:13" x14ac:dyDescent="0.2">
      <c r="A805" s="6">
        <v>45104</v>
      </c>
      <c r="B805" s="2" t="s">
        <v>226</v>
      </c>
      <c r="C805" s="5">
        <v>45078</v>
      </c>
      <c r="D805" s="2" t="s">
        <v>188</v>
      </c>
      <c r="E805" s="3">
        <v>3930</v>
      </c>
      <c r="F805" s="8">
        <v>0.2104</v>
      </c>
      <c r="G805" s="4">
        <v>49.9621</v>
      </c>
      <c r="H805" s="4">
        <v>31.390699999999999</v>
      </c>
      <c r="I805" s="4">
        <v>11.395</v>
      </c>
      <c r="J805" s="4">
        <v>11.422499999999999</v>
      </c>
      <c r="K805" s="4">
        <v>10.692500000000001</v>
      </c>
      <c r="L805" s="4">
        <v>10.7775</v>
      </c>
      <c r="M805" s="7">
        <v>-5.4199999999999998E-2</v>
      </c>
    </row>
    <row r="806" spans="1:13" x14ac:dyDescent="0.2">
      <c r="A806" s="6">
        <v>45105</v>
      </c>
      <c r="B806" s="2" t="s">
        <v>224</v>
      </c>
      <c r="C806" s="5">
        <v>45078</v>
      </c>
      <c r="D806" s="2" t="s">
        <v>188</v>
      </c>
      <c r="E806" s="3">
        <v>3914</v>
      </c>
      <c r="F806" s="8">
        <v>0.2349</v>
      </c>
      <c r="G806" s="4">
        <v>51.089199999999998</v>
      </c>
      <c r="H806" s="4">
        <v>48.896500000000003</v>
      </c>
      <c r="I806" s="4">
        <v>10.7775</v>
      </c>
      <c r="J806" s="4">
        <v>11.535</v>
      </c>
      <c r="K806" s="4">
        <v>10.6525</v>
      </c>
      <c r="L806" s="4">
        <v>10.887499999999999</v>
      </c>
      <c r="M806" s="7">
        <v>1.0200000000000001E-2</v>
      </c>
    </row>
    <row r="807" spans="1:13" x14ac:dyDescent="0.2">
      <c r="A807" s="6">
        <v>45107</v>
      </c>
      <c r="B807" s="2" t="s">
        <v>225</v>
      </c>
      <c r="C807" s="5">
        <v>45078</v>
      </c>
      <c r="D807" s="2" t="s">
        <v>188</v>
      </c>
      <c r="E807" s="3">
        <v>3939</v>
      </c>
      <c r="F807" s="8">
        <v>0.28899999999999998</v>
      </c>
      <c r="G807" s="4">
        <v>63.9876</v>
      </c>
      <c r="H807" s="4">
        <v>73.341700000000003</v>
      </c>
      <c r="I807" s="4">
        <v>10.887499999999999</v>
      </c>
      <c r="J807" s="4">
        <v>11.215</v>
      </c>
      <c r="K807" s="4">
        <v>10.07</v>
      </c>
      <c r="L807" s="4">
        <v>10.8</v>
      </c>
      <c r="M807" s="7">
        <v>-8.0000000000000002E-3</v>
      </c>
    </row>
    <row r="808" spans="1:13" x14ac:dyDescent="0.2">
      <c r="A808" s="6">
        <v>45110</v>
      </c>
      <c r="B808" s="2" t="s">
        <v>228</v>
      </c>
      <c r="C808" s="5">
        <v>45108</v>
      </c>
      <c r="D808" s="2" t="s">
        <v>189</v>
      </c>
      <c r="E808" s="3">
        <v>4164</v>
      </c>
      <c r="F808" s="8">
        <v>0.27239999999999998</v>
      </c>
      <c r="G808" s="4">
        <v>66.966999999999999</v>
      </c>
      <c r="H808" s="4">
        <v>41.623600000000003</v>
      </c>
      <c r="I808" s="4">
        <v>10.8</v>
      </c>
      <c r="J808" s="4">
        <v>12.03</v>
      </c>
      <c r="K808" s="4">
        <v>10.8</v>
      </c>
      <c r="L808" s="4">
        <v>11.54</v>
      </c>
      <c r="M808" s="7">
        <v>6.8500000000000005E-2</v>
      </c>
    </row>
    <row r="809" spans="1:13" x14ac:dyDescent="0.2">
      <c r="A809" s="6">
        <v>45111</v>
      </c>
      <c r="B809" s="2" t="s">
        <v>226</v>
      </c>
      <c r="C809" s="5">
        <v>45108</v>
      </c>
      <c r="D809" s="2" t="s">
        <v>189</v>
      </c>
      <c r="E809" s="3">
        <v>3923</v>
      </c>
      <c r="F809" s="8">
        <v>0.2455</v>
      </c>
      <c r="G809" s="4">
        <v>72.954400000000007</v>
      </c>
      <c r="H809" s="4">
        <v>43.106900000000003</v>
      </c>
      <c r="I809" s="4">
        <v>11.54</v>
      </c>
      <c r="J809" s="4">
        <v>11.99</v>
      </c>
      <c r="K809" s="4">
        <v>11.522500000000001</v>
      </c>
      <c r="L809" s="4">
        <v>11.7</v>
      </c>
      <c r="M809" s="7">
        <v>1.3899999999999999E-2</v>
      </c>
    </row>
    <row r="810" spans="1:13" x14ac:dyDescent="0.2">
      <c r="A810" s="6">
        <v>45112</v>
      </c>
      <c r="B810" s="2" t="s">
        <v>224</v>
      </c>
      <c r="C810" s="5">
        <v>45108</v>
      </c>
      <c r="D810" s="2" t="s">
        <v>189</v>
      </c>
      <c r="E810" s="3">
        <v>3902</v>
      </c>
      <c r="F810" s="8">
        <v>0.26400000000000001</v>
      </c>
      <c r="G810" s="4">
        <v>53.930100000000003</v>
      </c>
      <c r="H810" s="4">
        <v>40.312800000000003</v>
      </c>
      <c r="I810" s="4">
        <v>11.7</v>
      </c>
      <c r="J810" s="4">
        <v>12.21</v>
      </c>
      <c r="K810" s="4">
        <v>11.567500000000001</v>
      </c>
      <c r="L810" s="4">
        <v>11.8825</v>
      </c>
      <c r="M810" s="7">
        <v>1.5599999999999999E-2</v>
      </c>
    </row>
    <row r="811" spans="1:13" x14ac:dyDescent="0.2">
      <c r="A811" s="6">
        <v>45113</v>
      </c>
      <c r="B811" s="2" t="s">
        <v>227</v>
      </c>
      <c r="C811" s="5">
        <v>45108</v>
      </c>
      <c r="D811" s="2" t="s">
        <v>189</v>
      </c>
      <c r="E811" s="3">
        <v>3887</v>
      </c>
      <c r="F811" s="8">
        <v>0.26900000000000002</v>
      </c>
      <c r="G811" s="4">
        <v>64.912599999999998</v>
      </c>
      <c r="H811" s="4">
        <v>50.831400000000002</v>
      </c>
      <c r="I811" s="4">
        <v>11.8825</v>
      </c>
      <c r="J811" s="4">
        <v>12.205</v>
      </c>
      <c r="K811" s="4">
        <v>11.7775</v>
      </c>
      <c r="L811" s="4">
        <v>11.84</v>
      </c>
      <c r="M811" s="7">
        <v>-3.5999999999999999E-3</v>
      </c>
    </row>
    <row r="812" spans="1:13" x14ac:dyDescent="0.2">
      <c r="A812" s="6">
        <v>45114</v>
      </c>
      <c r="B812" s="2" t="s">
        <v>225</v>
      </c>
      <c r="C812" s="5">
        <v>45108</v>
      </c>
      <c r="D812" s="2" t="s">
        <v>189</v>
      </c>
      <c r="E812" s="3">
        <v>3866</v>
      </c>
      <c r="F812" s="8">
        <v>0.28789999999999999</v>
      </c>
      <c r="G812" s="4">
        <v>57.680900000000001</v>
      </c>
      <c r="H812" s="4">
        <v>49.449300000000001</v>
      </c>
      <c r="I812" s="4">
        <v>11.84</v>
      </c>
      <c r="J812" s="4">
        <v>12.0725</v>
      </c>
      <c r="K812" s="4">
        <v>11.08</v>
      </c>
      <c r="L812" s="4">
        <v>11.532500000000001</v>
      </c>
      <c r="M812" s="7">
        <v>-2.5999999999999999E-2</v>
      </c>
    </row>
    <row r="813" spans="1:13" x14ac:dyDescent="0.2">
      <c r="A813" s="6">
        <v>45117</v>
      </c>
      <c r="B813" s="2" t="s">
        <v>228</v>
      </c>
      <c r="C813" s="5">
        <v>45108</v>
      </c>
      <c r="D813" s="2" t="s">
        <v>189</v>
      </c>
      <c r="E813" s="3">
        <v>4118</v>
      </c>
      <c r="F813" s="8">
        <v>0.27010000000000001</v>
      </c>
      <c r="G813" s="4">
        <v>48.831299999999999</v>
      </c>
      <c r="H813" s="4">
        <v>42.298900000000003</v>
      </c>
      <c r="I813" s="4">
        <v>11.532500000000001</v>
      </c>
      <c r="J813" s="4">
        <v>12.01</v>
      </c>
      <c r="K813" s="4">
        <v>11.36</v>
      </c>
      <c r="L813" s="4">
        <v>11.4625</v>
      </c>
      <c r="M813" s="7">
        <v>-6.1000000000000004E-3</v>
      </c>
    </row>
    <row r="814" spans="1:13" x14ac:dyDescent="0.2">
      <c r="A814" s="6">
        <v>45118</v>
      </c>
      <c r="B814" s="2" t="s">
        <v>226</v>
      </c>
      <c r="C814" s="5">
        <v>45108</v>
      </c>
      <c r="D814" s="2" t="s">
        <v>189</v>
      </c>
      <c r="E814" s="3">
        <v>3903</v>
      </c>
      <c r="F814" s="8">
        <v>0.25850000000000001</v>
      </c>
      <c r="G814" s="4">
        <v>51.807499999999997</v>
      </c>
      <c r="H814" s="4">
        <v>44.352800000000002</v>
      </c>
      <c r="I814" s="4">
        <v>11.4625</v>
      </c>
      <c r="J814" s="4">
        <v>11.4625</v>
      </c>
      <c r="K814" s="4">
        <v>10.945</v>
      </c>
      <c r="L814" s="4">
        <v>11.012499999999999</v>
      </c>
      <c r="M814" s="7">
        <v>-3.9300000000000002E-2</v>
      </c>
    </row>
    <row r="815" spans="1:13" x14ac:dyDescent="0.2">
      <c r="A815" s="6">
        <v>45119</v>
      </c>
      <c r="B815" s="2" t="s">
        <v>224</v>
      </c>
      <c r="C815" s="5">
        <v>45108</v>
      </c>
      <c r="D815" s="2" t="s">
        <v>189</v>
      </c>
      <c r="E815" s="3">
        <v>3868</v>
      </c>
      <c r="F815" s="8">
        <v>0.27</v>
      </c>
      <c r="G815" s="4">
        <v>53.202100000000002</v>
      </c>
      <c r="H815" s="4">
        <v>51.763800000000003</v>
      </c>
      <c r="I815" s="4">
        <v>11.012499999999999</v>
      </c>
      <c r="J815" s="4">
        <v>11.2</v>
      </c>
      <c r="K815" s="4">
        <v>10.72</v>
      </c>
      <c r="L815" s="4">
        <v>10.935</v>
      </c>
      <c r="M815" s="7">
        <v>-7.0000000000000001E-3</v>
      </c>
    </row>
    <row r="816" spans="1:13" x14ac:dyDescent="0.2">
      <c r="A816" s="6">
        <v>45120</v>
      </c>
      <c r="B816" s="2" t="s">
        <v>227</v>
      </c>
      <c r="C816" s="5">
        <v>45108</v>
      </c>
      <c r="D816" s="2" t="s">
        <v>189</v>
      </c>
      <c r="E816" s="3">
        <v>3860</v>
      </c>
      <c r="F816" s="8">
        <v>0.29670000000000002</v>
      </c>
      <c r="G816" s="4">
        <v>56.386400000000002</v>
      </c>
      <c r="H816" s="4">
        <v>51.096699999999998</v>
      </c>
      <c r="I816" s="4">
        <v>10.935</v>
      </c>
      <c r="J816" s="4">
        <v>11.172499999999999</v>
      </c>
      <c r="K816" s="4">
        <v>10.695</v>
      </c>
      <c r="L816" s="4">
        <v>10.9375</v>
      </c>
      <c r="M816" s="7">
        <v>2.0000000000000001E-4</v>
      </c>
    </row>
    <row r="817" spans="1:13" x14ac:dyDescent="0.2">
      <c r="A817" s="6">
        <v>45121</v>
      </c>
      <c r="B817" s="2" t="s">
        <v>225</v>
      </c>
      <c r="C817" s="5">
        <v>45108</v>
      </c>
      <c r="D817" s="2" t="s">
        <v>189</v>
      </c>
      <c r="E817" s="3">
        <v>3838</v>
      </c>
      <c r="F817" s="8">
        <v>0.28389999999999999</v>
      </c>
      <c r="G817" s="4">
        <v>49.551000000000002</v>
      </c>
      <c r="H817" s="4">
        <v>45.157499999999999</v>
      </c>
      <c r="I817" s="4">
        <v>10.9375</v>
      </c>
      <c r="J817" s="4">
        <v>10.9375</v>
      </c>
      <c r="K817" s="4">
        <v>10.612500000000001</v>
      </c>
      <c r="L817" s="4">
        <v>10.682499999999999</v>
      </c>
      <c r="M817" s="7">
        <v>-2.3300000000000001E-2</v>
      </c>
    </row>
    <row r="818" spans="1:13" x14ac:dyDescent="0.2">
      <c r="A818" s="6">
        <v>45124</v>
      </c>
      <c r="B818" s="2" t="s">
        <v>228</v>
      </c>
      <c r="C818" s="5">
        <v>45108</v>
      </c>
      <c r="D818" s="2" t="s">
        <v>189</v>
      </c>
      <c r="E818" s="3">
        <v>4148</v>
      </c>
      <c r="F818" s="8">
        <v>0.29089999999999999</v>
      </c>
      <c r="G818" s="4">
        <v>56.327800000000003</v>
      </c>
      <c r="H818" s="4">
        <v>44.397599999999997</v>
      </c>
      <c r="I818" s="4">
        <v>10.682499999999999</v>
      </c>
      <c r="J818" s="4">
        <v>11.397500000000001</v>
      </c>
      <c r="K818" s="4">
        <v>9.8574999999999999</v>
      </c>
      <c r="L818" s="4">
        <v>11.315</v>
      </c>
      <c r="M818" s="7">
        <v>5.9200000000000003E-2</v>
      </c>
    </row>
    <row r="819" spans="1:13" x14ac:dyDescent="0.2">
      <c r="A819" s="6">
        <v>45125</v>
      </c>
      <c r="B819" s="2" t="s">
        <v>226</v>
      </c>
      <c r="C819" s="5">
        <v>45108</v>
      </c>
      <c r="D819" s="2" t="s">
        <v>189</v>
      </c>
      <c r="E819" s="3">
        <v>3857</v>
      </c>
      <c r="F819" s="8">
        <v>0.2802</v>
      </c>
      <c r="G819" s="4">
        <v>63.159100000000002</v>
      </c>
      <c r="H819" s="4">
        <v>47.501300000000001</v>
      </c>
      <c r="I819" s="4">
        <v>11.315</v>
      </c>
      <c r="J819" s="4">
        <v>12.02</v>
      </c>
      <c r="K819" s="4">
        <v>11.067500000000001</v>
      </c>
      <c r="L819" s="4">
        <v>11.71</v>
      </c>
      <c r="M819" s="7">
        <v>3.49E-2</v>
      </c>
    </row>
    <row r="820" spans="1:13" x14ac:dyDescent="0.2">
      <c r="A820" s="6">
        <v>45126</v>
      </c>
      <c r="B820" s="2" t="s">
        <v>224</v>
      </c>
      <c r="C820" s="5">
        <v>45108</v>
      </c>
      <c r="D820" s="2" t="s">
        <v>189</v>
      </c>
      <c r="E820" s="3">
        <v>3826</v>
      </c>
      <c r="F820" s="8">
        <v>0.253</v>
      </c>
      <c r="G820" s="4">
        <v>55.700699999999998</v>
      </c>
      <c r="H820" s="4">
        <v>39.985700000000001</v>
      </c>
      <c r="I820" s="4">
        <v>11.71</v>
      </c>
      <c r="J820" s="4">
        <v>11.9375</v>
      </c>
      <c r="K820" s="4">
        <v>11.54</v>
      </c>
      <c r="L820" s="4">
        <v>11.6</v>
      </c>
      <c r="M820" s="7">
        <v>-9.4000000000000004E-3</v>
      </c>
    </row>
    <row r="821" spans="1:13" x14ac:dyDescent="0.2">
      <c r="A821" s="6">
        <v>45127</v>
      </c>
      <c r="B821" s="2" t="s">
        <v>227</v>
      </c>
      <c r="C821" s="5">
        <v>45108</v>
      </c>
      <c r="D821" s="2" t="s">
        <v>189</v>
      </c>
      <c r="E821" s="3">
        <v>3775</v>
      </c>
      <c r="F821" s="8">
        <v>0.26190000000000002</v>
      </c>
      <c r="G821" s="4">
        <v>59.347799999999999</v>
      </c>
      <c r="H821" s="4">
        <v>41.954799999999999</v>
      </c>
      <c r="I821" s="4">
        <v>11.6</v>
      </c>
      <c r="J821" s="4">
        <v>12.255000000000001</v>
      </c>
      <c r="K821" s="4">
        <v>11.37</v>
      </c>
      <c r="L821" s="4">
        <v>11.785</v>
      </c>
      <c r="M821" s="7">
        <v>1.5900000000000001E-2</v>
      </c>
    </row>
    <row r="822" spans="1:13" x14ac:dyDescent="0.2">
      <c r="A822" s="6">
        <v>45128</v>
      </c>
      <c r="B822" s="2" t="s">
        <v>225</v>
      </c>
      <c r="C822" s="5">
        <v>45108</v>
      </c>
      <c r="D822" s="2" t="s">
        <v>189</v>
      </c>
      <c r="E822" s="3">
        <v>3799</v>
      </c>
      <c r="F822" s="8">
        <v>0.29930000000000001</v>
      </c>
      <c r="G822" s="4">
        <v>63.172600000000003</v>
      </c>
      <c r="H822" s="4">
        <v>53.196100000000001</v>
      </c>
      <c r="I822" s="4">
        <v>11.785</v>
      </c>
      <c r="J822" s="4">
        <v>12.032500000000001</v>
      </c>
      <c r="K822" s="4">
        <v>11.06</v>
      </c>
      <c r="L822" s="4">
        <v>11.484999999999999</v>
      </c>
      <c r="M822" s="7">
        <v>-2.5499999999999998E-2</v>
      </c>
    </row>
    <row r="823" spans="1:13" x14ac:dyDescent="0.2">
      <c r="A823" s="6">
        <v>45131</v>
      </c>
      <c r="B823" s="2" t="s">
        <v>228</v>
      </c>
      <c r="C823" s="5">
        <v>45108</v>
      </c>
      <c r="D823" s="2" t="s">
        <v>189</v>
      </c>
      <c r="E823" s="3">
        <v>4141</v>
      </c>
      <c r="F823" s="8">
        <v>0.31069999999999998</v>
      </c>
      <c r="G823" s="4">
        <v>78.272099999999995</v>
      </c>
      <c r="H823" s="4">
        <v>49.025599999999997</v>
      </c>
      <c r="I823" s="4">
        <v>11.484999999999999</v>
      </c>
      <c r="J823" s="4">
        <v>11.994999999999999</v>
      </c>
      <c r="K823" s="4">
        <v>10.5375</v>
      </c>
      <c r="L823" s="4">
        <v>11.6525</v>
      </c>
      <c r="M823" s="7">
        <v>1.46E-2</v>
      </c>
    </row>
    <row r="824" spans="1:13" x14ac:dyDescent="0.2">
      <c r="A824" s="6">
        <v>45132</v>
      </c>
      <c r="B824" s="2" t="s">
        <v>226</v>
      </c>
      <c r="C824" s="5">
        <v>45108</v>
      </c>
      <c r="D824" s="2" t="s">
        <v>189</v>
      </c>
      <c r="E824" s="3">
        <v>3978</v>
      </c>
      <c r="F824" s="8">
        <v>0.29659999999999997</v>
      </c>
      <c r="G824" s="4">
        <v>62.966900000000003</v>
      </c>
      <c r="H824" s="4">
        <v>48.267499999999998</v>
      </c>
      <c r="I824" s="4">
        <v>11.6525</v>
      </c>
      <c r="J824" s="4">
        <v>11.6525</v>
      </c>
      <c r="K824" s="4">
        <v>10.112500000000001</v>
      </c>
      <c r="L824" s="4">
        <v>10.2425</v>
      </c>
      <c r="M824" s="7">
        <v>-0.121</v>
      </c>
    </row>
    <row r="825" spans="1:13" x14ac:dyDescent="0.2">
      <c r="A825" s="6">
        <v>45133</v>
      </c>
      <c r="B825" s="2" t="s">
        <v>224</v>
      </c>
      <c r="C825" s="5">
        <v>45108</v>
      </c>
      <c r="D825" s="2" t="s">
        <v>189</v>
      </c>
      <c r="E825" s="3">
        <v>4025</v>
      </c>
      <c r="F825" s="8">
        <v>0.28399999999999997</v>
      </c>
      <c r="G825" s="4">
        <v>68.2761</v>
      </c>
      <c r="H825" s="4">
        <v>45.3461</v>
      </c>
      <c r="I825" s="4">
        <v>10.2425</v>
      </c>
      <c r="J825" s="4">
        <v>10.862500000000001</v>
      </c>
      <c r="K825" s="4">
        <v>10.217499999999999</v>
      </c>
      <c r="L825" s="4">
        <v>10.4575</v>
      </c>
      <c r="M825" s="7">
        <v>2.1000000000000001E-2</v>
      </c>
    </row>
    <row r="826" spans="1:13" x14ac:dyDescent="0.2">
      <c r="A826" s="6">
        <v>45134</v>
      </c>
      <c r="B826" s="2" t="s">
        <v>227</v>
      </c>
      <c r="C826" s="5">
        <v>45108</v>
      </c>
      <c r="D826" s="2" t="s">
        <v>189</v>
      </c>
      <c r="E826" s="3">
        <v>3969</v>
      </c>
      <c r="F826" s="8">
        <v>0.28510000000000002</v>
      </c>
      <c r="G826" s="4">
        <v>63.1708</v>
      </c>
      <c r="H826" s="4">
        <v>44.357599999999998</v>
      </c>
      <c r="I826" s="4">
        <v>10.4575</v>
      </c>
      <c r="J826" s="4">
        <v>10.9825</v>
      </c>
      <c r="K826" s="4">
        <v>9.8874999999999993</v>
      </c>
      <c r="L826" s="4">
        <v>10.512499999999999</v>
      </c>
      <c r="M826" s="7">
        <v>5.3E-3</v>
      </c>
    </row>
    <row r="827" spans="1:13" x14ac:dyDescent="0.2">
      <c r="A827" s="6">
        <v>45135</v>
      </c>
      <c r="B827" s="2" t="s">
        <v>225</v>
      </c>
      <c r="C827" s="5">
        <v>45108</v>
      </c>
      <c r="D827" s="2" t="s">
        <v>189</v>
      </c>
      <c r="E827" s="3">
        <v>3969</v>
      </c>
      <c r="F827" s="8">
        <v>0.29330000000000001</v>
      </c>
      <c r="G827" s="4">
        <v>50.406999999999996</v>
      </c>
      <c r="H827" s="4">
        <v>49.950699999999998</v>
      </c>
      <c r="I827" s="4">
        <v>10.512499999999999</v>
      </c>
      <c r="J827" s="4">
        <v>10.81</v>
      </c>
      <c r="K827" s="4">
        <v>10.035</v>
      </c>
      <c r="L827" s="4">
        <v>10.135</v>
      </c>
      <c r="M827" s="7">
        <v>-3.5900000000000001E-2</v>
      </c>
    </row>
    <row r="828" spans="1:13" x14ac:dyDescent="0.2">
      <c r="A828" s="6">
        <v>45138</v>
      </c>
      <c r="B828" s="2" t="s">
        <v>228</v>
      </c>
      <c r="C828" s="5">
        <v>45108</v>
      </c>
      <c r="D828" s="2" t="s">
        <v>189</v>
      </c>
      <c r="E828" s="3">
        <v>4207</v>
      </c>
      <c r="F828" s="8">
        <v>0.31</v>
      </c>
      <c r="G828" s="4">
        <v>63.920299999999997</v>
      </c>
      <c r="H828" s="4">
        <v>52.459099999999999</v>
      </c>
      <c r="I828" s="4">
        <v>10.135</v>
      </c>
      <c r="J828" s="4">
        <v>11.1875</v>
      </c>
      <c r="K828" s="4">
        <v>10.135</v>
      </c>
      <c r="L828" s="4">
        <v>10.4125</v>
      </c>
      <c r="M828" s="7">
        <v>2.7400000000000001E-2</v>
      </c>
    </row>
    <row r="829" spans="1:13" x14ac:dyDescent="0.2">
      <c r="A829" s="6">
        <v>45139</v>
      </c>
      <c r="B829" s="2" t="s">
        <v>226</v>
      </c>
      <c r="C829" s="5">
        <v>45139</v>
      </c>
      <c r="D829" s="2" t="s">
        <v>189</v>
      </c>
      <c r="E829" s="3">
        <v>4044</v>
      </c>
      <c r="F829" s="8">
        <v>0.3201</v>
      </c>
      <c r="G829" s="4">
        <v>81.832599999999999</v>
      </c>
      <c r="H829" s="4">
        <v>64.444699999999997</v>
      </c>
      <c r="I829" s="4">
        <v>10.4125</v>
      </c>
      <c r="J829" s="4">
        <v>10.702500000000001</v>
      </c>
      <c r="K829" s="4">
        <v>10.195</v>
      </c>
      <c r="L829" s="4">
        <v>10.282500000000001</v>
      </c>
      <c r="M829" s="7">
        <v>-1.2500000000000001E-2</v>
      </c>
    </row>
    <row r="830" spans="1:13" x14ac:dyDescent="0.2">
      <c r="A830" s="6">
        <v>45140</v>
      </c>
      <c r="B830" s="2" t="s">
        <v>224</v>
      </c>
      <c r="C830" s="5">
        <v>45139</v>
      </c>
      <c r="D830" s="2" t="s">
        <v>189</v>
      </c>
      <c r="E830" s="3">
        <v>4042</v>
      </c>
      <c r="F830" s="8">
        <v>0.33660000000000001</v>
      </c>
      <c r="G830" s="4">
        <v>77.794899999999998</v>
      </c>
      <c r="H830" s="4">
        <v>50.968000000000004</v>
      </c>
      <c r="I830" s="4">
        <v>10.282500000000001</v>
      </c>
      <c r="J830" s="4">
        <v>11.805</v>
      </c>
      <c r="K830" s="4">
        <v>9.9499999999999993</v>
      </c>
      <c r="L830" s="4">
        <v>11.2775</v>
      </c>
      <c r="M830" s="7">
        <v>9.6799999999999997E-2</v>
      </c>
    </row>
    <row r="831" spans="1:13" x14ac:dyDescent="0.2">
      <c r="A831" s="6">
        <v>45141</v>
      </c>
      <c r="B831" s="2" t="s">
        <v>227</v>
      </c>
      <c r="C831" s="5">
        <v>45139</v>
      </c>
      <c r="D831" s="2" t="s">
        <v>189</v>
      </c>
      <c r="E831" s="3">
        <v>4031</v>
      </c>
      <c r="F831" s="8">
        <v>0.32919999999999999</v>
      </c>
      <c r="G831" s="4">
        <v>62.153399999999998</v>
      </c>
      <c r="H831" s="4">
        <v>55.244</v>
      </c>
      <c r="I831" s="4">
        <v>11.2775</v>
      </c>
      <c r="J831" s="4">
        <v>11.96</v>
      </c>
      <c r="K831" s="4">
        <v>10.9825</v>
      </c>
      <c r="L831" s="4">
        <v>11.185</v>
      </c>
      <c r="M831" s="7">
        <v>-8.2000000000000007E-3</v>
      </c>
    </row>
    <row r="832" spans="1:13" x14ac:dyDescent="0.2">
      <c r="A832" s="6">
        <v>45142</v>
      </c>
      <c r="B832" s="2" t="s">
        <v>225</v>
      </c>
      <c r="C832" s="5">
        <v>45139</v>
      </c>
      <c r="D832" s="2" t="s">
        <v>189</v>
      </c>
      <c r="E832" s="3">
        <v>4007</v>
      </c>
      <c r="F832" s="8">
        <v>0.31430000000000002</v>
      </c>
      <c r="G832" s="4">
        <v>79.929100000000005</v>
      </c>
      <c r="H832" s="4">
        <v>54.770800000000001</v>
      </c>
      <c r="I832" s="4">
        <v>11.185</v>
      </c>
      <c r="J832" s="4">
        <v>11.185</v>
      </c>
      <c r="K832" s="4">
        <v>10.4825</v>
      </c>
      <c r="L832" s="4">
        <v>10.5725</v>
      </c>
      <c r="M832" s="7">
        <v>-5.4800000000000001E-2</v>
      </c>
    </row>
    <row r="833" spans="1:13" x14ac:dyDescent="0.2">
      <c r="A833" s="6">
        <v>45145</v>
      </c>
      <c r="B833" s="2" t="s">
        <v>228</v>
      </c>
      <c r="C833" s="5">
        <v>45139</v>
      </c>
      <c r="D833" s="2" t="s">
        <v>189</v>
      </c>
      <c r="E833" s="3">
        <v>4239</v>
      </c>
      <c r="F833" s="8">
        <v>0.34849999999999998</v>
      </c>
      <c r="G833" s="4">
        <v>85.31</v>
      </c>
      <c r="H833" s="4">
        <v>98.068299999999994</v>
      </c>
      <c r="I833" s="4">
        <v>10.5725</v>
      </c>
      <c r="J833" s="4">
        <v>11.4175</v>
      </c>
      <c r="K833" s="4">
        <v>10.4025</v>
      </c>
      <c r="L833" s="4">
        <v>11.102499999999999</v>
      </c>
      <c r="M833" s="7">
        <v>5.0099999999999999E-2</v>
      </c>
    </row>
    <row r="834" spans="1:13" x14ac:dyDescent="0.2">
      <c r="A834" s="6">
        <v>45146</v>
      </c>
      <c r="B834" s="2" t="s">
        <v>226</v>
      </c>
      <c r="C834" s="5">
        <v>45139</v>
      </c>
      <c r="D834" s="2" t="s">
        <v>189</v>
      </c>
      <c r="E834" s="3">
        <v>4083</v>
      </c>
      <c r="F834" s="8">
        <v>0.31630000000000003</v>
      </c>
      <c r="G834" s="4">
        <v>85.701700000000002</v>
      </c>
      <c r="H834" s="4">
        <v>62.539099999999998</v>
      </c>
      <c r="I834" s="4">
        <v>11.102499999999999</v>
      </c>
      <c r="J834" s="4">
        <v>11.53</v>
      </c>
      <c r="K834" s="4">
        <v>11.102499999999999</v>
      </c>
      <c r="L834" s="4">
        <v>11.324999999999999</v>
      </c>
      <c r="M834" s="7">
        <v>0.02</v>
      </c>
    </row>
    <row r="835" spans="1:13" x14ac:dyDescent="0.2">
      <c r="A835" s="6">
        <v>45147</v>
      </c>
      <c r="B835" s="2" t="s">
        <v>224</v>
      </c>
      <c r="C835" s="5">
        <v>45139</v>
      </c>
      <c r="D835" s="2" t="s">
        <v>189</v>
      </c>
      <c r="E835" s="3">
        <v>4026</v>
      </c>
      <c r="F835" s="8">
        <v>0.30509999999999998</v>
      </c>
      <c r="G835" s="4">
        <v>107.55500000000001</v>
      </c>
      <c r="H835" s="4">
        <v>54.320599999999999</v>
      </c>
      <c r="I835" s="4">
        <v>11.324999999999999</v>
      </c>
      <c r="J835" s="4">
        <v>11.765000000000001</v>
      </c>
      <c r="K835" s="4">
        <v>10.484999999999999</v>
      </c>
      <c r="L835" s="4">
        <v>11.14</v>
      </c>
      <c r="M835" s="7">
        <v>-1.6299999999999999E-2</v>
      </c>
    </row>
    <row r="836" spans="1:13" x14ac:dyDescent="0.2">
      <c r="A836" s="6">
        <v>45148</v>
      </c>
      <c r="B836" s="2" t="s">
        <v>227</v>
      </c>
      <c r="C836" s="5">
        <v>45139</v>
      </c>
      <c r="D836" s="2" t="s">
        <v>189</v>
      </c>
      <c r="E836" s="3">
        <v>4055</v>
      </c>
      <c r="F836" s="8">
        <v>0.32019999999999998</v>
      </c>
      <c r="G836" s="4">
        <v>101.93470000000001</v>
      </c>
      <c r="H836" s="4">
        <v>63.259799999999998</v>
      </c>
      <c r="I836" s="4">
        <v>11.14</v>
      </c>
      <c r="J836" s="4">
        <v>11.91</v>
      </c>
      <c r="K836" s="4">
        <v>10.6275</v>
      </c>
      <c r="L836" s="4">
        <v>11.4</v>
      </c>
      <c r="M836" s="7">
        <v>2.3300000000000001E-2</v>
      </c>
    </row>
    <row r="837" spans="1:13" x14ac:dyDescent="0.2">
      <c r="A837" s="6">
        <v>45149</v>
      </c>
      <c r="B837" s="2" t="s">
        <v>225</v>
      </c>
      <c r="C837" s="5">
        <v>45139</v>
      </c>
      <c r="D837" s="2" t="s">
        <v>189</v>
      </c>
      <c r="E837" s="3">
        <v>4038</v>
      </c>
      <c r="F837" s="8">
        <v>0.32019999999999998</v>
      </c>
      <c r="G837" s="4">
        <v>90.179599999999994</v>
      </c>
      <c r="H837" s="4">
        <v>48.947899999999997</v>
      </c>
      <c r="I837" s="4">
        <v>11.4</v>
      </c>
      <c r="J837" s="4">
        <v>11.865</v>
      </c>
      <c r="K837" s="4">
        <v>11.355</v>
      </c>
      <c r="L837" s="4">
        <v>11.522500000000001</v>
      </c>
      <c r="M837" s="7">
        <v>1.0699999999999999E-2</v>
      </c>
    </row>
    <row r="838" spans="1:13" x14ac:dyDescent="0.2">
      <c r="A838" s="6">
        <v>45152</v>
      </c>
      <c r="B838" s="2" t="s">
        <v>228</v>
      </c>
      <c r="C838" s="5">
        <v>45139</v>
      </c>
      <c r="D838" s="2" t="s">
        <v>189</v>
      </c>
      <c r="E838" s="3">
        <v>4208</v>
      </c>
      <c r="F838" s="8">
        <v>0.33239999999999997</v>
      </c>
      <c r="G838" s="4">
        <v>99.413600000000002</v>
      </c>
      <c r="H838" s="4">
        <v>57.198099999999997</v>
      </c>
      <c r="I838" s="4">
        <v>11.522500000000001</v>
      </c>
      <c r="J838" s="4">
        <v>12.755000000000001</v>
      </c>
      <c r="K838" s="4">
        <v>10.477499999999999</v>
      </c>
      <c r="L838" s="4">
        <v>11.994999999999999</v>
      </c>
      <c r="M838" s="7">
        <v>4.1000000000000002E-2</v>
      </c>
    </row>
    <row r="839" spans="1:13" x14ac:dyDescent="0.2">
      <c r="A839" s="6">
        <v>45154</v>
      </c>
      <c r="B839" s="2" t="s">
        <v>224</v>
      </c>
      <c r="C839" s="5">
        <v>45139</v>
      </c>
      <c r="D839" s="2" t="s">
        <v>189</v>
      </c>
      <c r="E839" s="3">
        <v>4053</v>
      </c>
      <c r="F839" s="8">
        <v>0.30680000000000002</v>
      </c>
      <c r="G839" s="4">
        <v>145.19730000000001</v>
      </c>
      <c r="H839" s="4">
        <v>193.3561</v>
      </c>
      <c r="I839" s="4">
        <v>11.994999999999999</v>
      </c>
      <c r="J839" s="4">
        <v>12.682499999999999</v>
      </c>
      <c r="K839" s="4">
        <v>11.994999999999999</v>
      </c>
      <c r="L839" s="4">
        <v>12.125</v>
      </c>
      <c r="M839" s="7">
        <v>1.0800000000000001E-2</v>
      </c>
    </row>
    <row r="840" spans="1:13" x14ac:dyDescent="0.2">
      <c r="A840" s="6">
        <v>45155</v>
      </c>
      <c r="B840" s="2" t="s">
        <v>227</v>
      </c>
      <c r="C840" s="5">
        <v>45139</v>
      </c>
      <c r="D840" s="2" t="s">
        <v>189</v>
      </c>
      <c r="E840" s="3">
        <v>4026</v>
      </c>
      <c r="F840" s="8">
        <v>0.29160000000000003</v>
      </c>
      <c r="G840" s="4">
        <v>65.995400000000004</v>
      </c>
      <c r="H840" s="4">
        <v>42.980200000000004</v>
      </c>
      <c r="I840" s="4">
        <v>12.125</v>
      </c>
      <c r="J840" s="4">
        <v>12.664999999999999</v>
      </c>
      <c r="K840" s="4">
        <v>12.112500000000001</v>
      </c>
      <c r="L840" s="4">
        <v>12.24</v>
      </c>
      <c r="M840" s="7">
        <v>9.4999999999999998E-3</v>
      </c>
    </row>
    <row r="841" spans="1:13" x14ac:dyDescent="0.2">
      <c r="A841" s="6">
        <v>45156</v>
      </c>
      <c r="B841" s="2" t="s">
        <v>225</v>
      </c>
      <c r="C841" s="5">
        <v>45139</v>
      </c>
      <c r="D841" s="2" t="s">
        <v>189</v>
      </c>
      <c r="E841" s="3">
        <v>4019</v>
      </c>
      <c r="F841" s="8">
        <v>0.33090000000000003</v>
      </c>
      <c r="G841" s="4">
        <v>86.477400000000003</v>
      </c>
      <c r="H841" s="4">
        <v>74.868899999999996</v>
      </c>
      <c r="I841" s="4">
        <v>12.24</v>
      </c>
      <c r="J841" s="4">
        <v>12.4925</v>
      </c>
      <c r="K841" s="4">
        <v>10.7875</v>
      </c>
      <c r="L841" s="4">
        <v>12.1425</v>
      </c>
      <c r="M841" s="7">
        <v>-8.0000000000000002E-3</v>
      </c>
    </row>
    <row r="842" spans="1:13" x14ac:dyDescent="0.2">
      <c r="A842" s="6">
        <v>45159</v>
      </c>
      <c r="B842" s="2" t="s">
        <v>228</v>
      </c>
      <c r="C842" s="5">
        <v>45139</v>
      </c>
      <c r="D842" s="2" t="s">
        <v>189</v>
      </c>
      <c r="E842" s="3">
        <v>4223</v>
      </c>
      <c r="F842" s="8">
        <v>0.29880000000000001</v>
      </c>
      <c r="G842" s="4">
        <v>66.694400000000002</v>
      </c>
      <c r="H842" s="4">
        <v>42.932699999999997</v>
      </c>
      <c r="I842" s="4">
        <v>12.1425</v>
      </c>
      <c r="J842" s="4">
        <v>12.59</v>
      </c>
      <c r="K842" s="4">
        <v>11.172499999999999</v>
      </c>
      <c r="L842" s="4">
        <v>11.96</v>
      </c>
      <c r="M842" s="7">
        <v>-1.4999999999999999E-2</v>
      </c>
    </row>
    <row r="843" spans="1:13" x14ac:dyDescent="0.2">
      <c r="A843" s="6">
        <v>45160</v>
      </c>
      <c r="B843" s="2" t="s">
        <v>226</v>
      </c>
      <c r="C843" s="5">
        <v>45139</v>
      </c>
      <c r="D843" s="2" t="s">
        <v>189</v>
      </c>
      <c r="E843" s="3">
        <v>4103</v>
      </c>
      <c r="F843" s="8">
        <v>0.29120000000000001</v>
      </c>
      <c r="G843" s="4">
        <v>85.581100000000006</v>
      </c>
      <c r="H843" s="4">
        <v>46.470799999999997</v>
      </c>
      <c r="I843" s="4">
        <v>11.96</v>
      </c>
      <c r="J843" s="4">
        <v>12.085000000000001</v>
      </c>
      <c r="K843" s="4">
        <v>11.59</v>
      </c>
      <c r="L843" s="4">
        <v>11.7475</v>
      </c>
      <c r="M843" s="7">
        <v>-1.78E-2</v>
      </c>
    </row>
    <row r="844" spans="1:13" x14ac:dyDescent="0.2">
      <c r="A844" s="6">
        <v>45161</v>
      </c>
      <c r="B844" s="2" t="s">
        <v>224</v>
      </c>
      <c r="C844" s="5">
        <v>45139</v>
      </c>
      <c r="D844" s="2" t="s">
        <v>189</v>
      </c>
      <c r="E844" s="3">
        <v>4060</v>
      </c>
      <c r="F844" s="8">
        <v>0.30819999999999997</v>
      </c>
      <c r="G844" s="4">
        <v>93.589799999999997</v>
      </c>
      <c r="H844" s="4">
        <v>52.587699999999998</v>
      </c>
      <c r="I844" s="4">
        <v>11.7475</v>
      </c>
      <c r="J844" s="4">
        <v>11.885</v>
      </c>
      <c r="K844" s="4">
        <v>10.307499999999999</v>
      </c>
      <c r="L844" s="4">
        <v>11.727499999999999</v>
      </c>
      <c r="M844" s="7">
        <v>-1.6999999999999999E-3</v>
      </c>
    </row>
    <row r="845" spans="1:13" x14ac:dyDescent="0.2">
      <c r="A845" s="6">
        <v>45162</v>
      </c>
      <c r="B845" s="2" t="s">
        <v>227</v>
      </c>
      <c r="C845" s="5">
        <v>45139</v>
      </c>
      <c r="D845" s="2" t="s">
        <v>189</v>
      </c>
      <c r="E845" s="3">
        <v>4083</v>
      </c>
      <c r="F845" s="8">
        <v>0.31080000000000002</v>
      </c>
      <c r="G845" s="4">
        <v>92.765799999999999</v>
      </c>
      <c r="H845" s="4">
        <v>80.902600000000007</v>
      </c>
      <c r="I845" s="4">
        <v>11.727499999999999</v>
      </c>
      <c r="J845" s="4">
        <v>12.234999999999999</v>
      </c>
      <c r="K845" s="4">
        <v>10.1975</v>
      </c>
      <c r="L845" s="4">
        <v>11.7</v>
      </c>
      <c r="M845" s="7">
        <v>-2.3E-3</v>
      </c>
    </row>
    <row r="846" spans="1:13" x14ac:dyDescent="0.2">
      <c r="A846" s="6">
        <v>45163</v>
      </c>
      <c r="B846" s="2" t="s">
        <v>225</v>
      </c>
      <c r="C846" s="5">
        <v>45139</v>
      </c>
      <c r="D846" s="2" t="s">
        <v>189</v>
      </c>
      <c r="E846" s="3">
        <v>4054</v>
      </c>
      <c r="F846" s="8">
        <v>0.31969999999999998</v>
      </c>
      <c r="G846" s="4">
        <v>81.683800000000005</v>
      </c>
      <c r="H846" s="4">
        <v>82.578400000000002</v>
      </c>
      <c r="I846" s="4">
        <v>11.7</v>
      </c>
      <c r="J846" s="4">
        <v>12.2425</v>
      </c>
      <c r="K846" s="4">
        <v>9.98</v>
      </c>
      <c r="L846" s="4">
        <v>12.0825</v>
      </c>
      <c r="M846" s="7">
        <v>3.27E-2</v>
      </c>
    </row>
    <row r="847" spans="1:13" x14ac:dyDescent="0.2">
      <c r="A847" s="6">
        <v>45166</v>
      </c>
      <c r="B847" s="2" t="s">
        <v>228</v>
      </c>
      <c r="C847" s="5">
        <v>45139</v>
      </c>
      <c r="D847" s="2" t="s">
        <v>189</v>
      </c>
      <c r="E847" s="3">
        <v>4204</v>
      </c>
      <c r="F847" s="8">
        <v>0.29580000000000001</v>
      </c>
      <c r="G847" s="4">
        <v>106.1288</v>
      </c>
      <c r="H847" s="4">
        <v>81.903999999999996</v>
      </c>
      <c r="I847" s="4">
        <v>12.0825</v>
      </c>
      <c r="J847" s="4">
        <v>12.72</v>
      </c>
      <c r="K847" s="4">
        <v>9.5</v>
      </c>
      <c r="L847" s="4">
        <v>12.397500000000001</v>
      </c>
      <c r="M847" s="7">
        <v>2.6100000000000002E-2</v>
      </c>
    </row>
    <row r="848" spans="1:13" x14ac:dyDescent="0.2">
      <c r="A848" s="6">
        <v>45167</v>
      </c>
      <c r="B848" s="2" t="s">
        <v>226</v>
      </c>
      <c r="C848" s="5">
        <v>45139</v>
      </c>
      <c r="D848" s="2" t="s">
        <v>189</v>
      </c>
      <c r="E848" s="3">
        <v>4045</v>
      </c>
      <c r="F848" s="8">
        <v>0.29559999999999997</v>
      </c>
      <c r="G848" s="4">
        <v>83.707099999999997</v>
      </c>
      <c r="H848" s="4">
        <v>70.016000000000005</v>
      </c>
      <c r="I848" s="4">
        <v>12.397500000000001</v>
      </c>
      <c r="J848" s="4">
        <v>12.4625</v>
      </c>
      <c r="K848" s="4">
        <v>10.647500000000001</v>
      </c>
      <c r="L848" s="4">
        <v>12.225</v>
      </c>
      <c r="M848" s="7">
        <v>-1.3899999999999999E-2</v>
      </c>
    </row>
    <row r="849" spans="1:13" x14ac:dyDescent="0.2">
      <c r="A849" s="6">
        <v>45168</v>
      </c>
      <c r="B849" s="2" t="s">
        <v>224</v>
      </c>
      <c r="C849" s="5">
        <v>45139</v>
      </c>
      <c r="D849" s="2" t="s">
        <v>189</v>
      </c>
      <c r="E849" s="3">
        <v>4073</v>
      </c>
      <c r="F849" s="8">
        <v>0.31159999999999999</v>
      </c>
      <c r="G849" s="4">
        <v>99.1143</v>
      </c>
      <c r="H849" s="4">
        <v>57.637</v>
      </c>
      <c r="I849" s="4">
        <v>12.225</v>
      </c>
      <c r="J849" s="4">
        <v>12.2425</v>
      </c>
      <c r="K849" s="4">
        <v>11.4625</v>
      </c>
      <c r="L849" s="4">
        <v>11.8</v>
      </c>
      <c r="M849" s="7">
        <v>-3.4799999999999998E-2</v>
      </c>
    </row>
    <row r="850" spans="1:13" x14ac:dyDescent="0.2">
      <c r="A850" s="6">
        <v>45169</v>
      </c>
      <c r="B850" s="2" t="s">
        <v>227</v>
      </c>
      <c r="C850" s="5">
        <v>45139</v>
      </c>
      <c r="D850" s="2" t="s">
        <v>189</v>
      </c>
      <c r="E850" s="3">
        <v>4039</v>
      </c>
      <c r="F850" s="8">
        <v>0.34989999999999999</v>
      </c>
      <c r="G850" s="4">
        <v>100.5831</v>
      </c>
      <c r="H850" s="4">
        <v>77.183499999999995</v>
      </c>
      <c r="I850" s="4">
        <v>11.8</v>
      </c>
      <c r="J850" s="4">
        <v>12.28</v>
      </c>
      <c r="K850" s="4">
        <v>11.76</v>
      </c>
      <c r="L850" s="4">
        <v>12.0625</v>
      </c>
      <c r="M850" s="7">
        <v>2.2200000000000001E-2</v>
      </c>
    </row>
    <row r="851" spans="1:13" x14ac:dyDescent="0.2">
      <c r="A851" s="6">
        <v>45170</v>
      </c>
      <c r="B851" s="2" t="s">
        <v>225</v>
      </c>
      <c r="C851" s="5">
        <v>45170</v>
      </c>
      <c r="D851" s="2" t="s">
        <v>189</v>
      </c>
      <c r="E851" s="3">
        <v>4075</v>
      </c>
      <c r="F851" s="8">
        <v>0.38990000000000002</v>
      </c>
      <c r="G851" s="4">
        <v>151.1164</v>
      </c>
      <c r="H851" s="4">
        <v>133.2764</v>
      </c>
      <c r="I851" s="4">
        <v>12.0625</v>
      </c>
      <c r="J851" s="4">
        <v>12.18</v>
      </c>
      <c r="K851" s="4">
        <v>10.407500000000001</v>
      </c>
      <c r="L851" s="4">
        <v>11.365</v>
      </c>
      <c r="M851" s="7">
        <v>-5.7799999999999997E-2</v>
      </c>
    </row>
    <row r="852" spans="1:13" x14ac:dyDescent="0.2">
      <c r="A852" s="6">
        <v>45173</v>
      </c>
      <c r="B852" s="2" t="s">
        <v>228</v>
      </c>
      <c r="C852" s="5">
        <v>45170</v>
      </c>
      <c r="D852" s="2" t="s">
        <v>189</v>
      </c>
      <c r="E852" s="3">
        <v>4290</v>
      </c>
      <c r="F852" s="8">
        <v>0.38879999999999998</v>
      </c>
      <c r="G852" s="4">
        <v>113.7687</v>
      </c>
      <c r="H852" s="4">
        <v>68.244699999999995</v>
      </c>
      <c r="I852" s="4">
        <v>11.365</v>
      </c>
      <c r="J852" s="4">
        <v>11.5425</v>
      </c>
      <c r="K852" s="4">
        <v>10.86</v>
      </c>
      <c r="L852" s="4">
        <v>10.9625</v>
      </c>
      <c r="M852" s="7">
        <v>-3.5400000000000001E-2</v>
      </c>
    </row>
    <row r="853" spans="1:13" x14ac:dyDescent="0.2">
      <c r="A853" s="6">
        <v>45174</v>
      </c>
      <c r="B853" s="2" t="s">
        <v>226</v>
      </c>
      <c r="C853" s="5">
        <v>45170</v>
      </c>
      <c r="D853" s="2" t="s">
        <v>189</v>
      </c>
      <c r="E853" s="3">
        <v>4125</v>
      </c>
      <c r="F853" s="8">
        <v>0.37680000000000002</v>
      </c>
      <c r="G853" s="4">
        <v>107.7351</v>
      </c>
      <c r="H853" s="4">
        <v>62.886499999999998</v>
      </c>
      <c r="I853" s="4">
        <v>10.9625</v>
      </c>
      <c r="J853" s="4">
        <v>11.085000000000001</v>
      </c>
      <c r="K853" s="4">
        <v>9.3650000000000002</v>
      </c>
      <c r="L853" s="4">
        <v>10.815</v>
      </c>
      <c r="M853" s="7">
        <v>-1.35E-2</v>
      </c>
    </row>
    <row r="854" spans="1:13" x14ac:dyDescent="0.2">
      <c r="A854" s="6">
        <v>45175</v>
      </c>
      <c r="B854" s="2" t="s">
        <v>224</v>
      </c>
      <c r="C854" s="5">
        <v>45170</v>
      </c>
      <c r="D854" s="2" t="s">
        <v>189</v>
      </c>
      <c r="E854" s="3">
        <v>4084</v>
      </c>
      <c r="F854" s="8">
        <v>0.35770000000000002</v>
      </c>
      <c r="G854" s="4">
        <v>110.045</v>
      </c>
      <c r="H854" s="4">
        <v>69.255200000000002</v>
      </c>
      <c r="I854" s="4">
        <v>10.815</v>
      </c>
      <c r="J854" s="4">
        <v>10.975</v>
      </c>
      <c r="K854" s="4">
        <v>9.8049999999999997</v>
      </c>
      <c r="L854" s="4">
        <v>10.6775</v>
      </c>
      <c r="M854" s="7">
        <v>-1.2699999999999999E-2</v>
      </c>
    </row>
    <row r="855" spans="1:13" x14ac:dyDescent="0.2">
      <c r="A855" s="6">
        <v>45176</v>
      </c>
      <c r="B855" s="2" t="s">
        <v>227</v>
      </c>
      <c r="C855" s="5">
        <v>45170</v>
      </c>
      <c r="D855" s="2" t="s">
        <v>189</v>
      </c>
      <c r="E855" s="3">
        <v>4113</v>
      </c>
      <c r="F855" s="8">
        <v>0.34449999999999997</v>
      </c>
      <c r="G855" s="4">
        <v>125.8421</v>
      </c>
      <c r="H855" s="4">
        <v>59.185099999999998</v>
      </c>
      <c r="I855" s="4">
        <v>10.6775</v>
      </c>
      <c r="J855" s="4">
        <v>11.025</v>
      </c>
      <c r="K855" s="4">
        <v>9.8000000000000007</v>
      </c>
      <c r="L855" s="4">
        <v>10.8725</v>
      </c>
      <c r="M855" s="7">
        <v>1.83E-2</v>
      </c>
    </row>
    <row r="856" spans="1:13" x14ac:dyDescent="0.2">
      <c r="A856" s="6">
        <v>45177</v>
      </c>
      <c r="B856" s="2" t="s">
        <v>225</v>
      </c>
      <c r="C856" s="5">
        <v>45170</v>
      </c>
      <c r="D856" s="2" t="s">
        <v>189</v>
      </c>
      <c r="E856" s="3">
        <v>4165</v>
      </c>
      <c r="F856" s="8">
        <v>0.35510000000000003</v>
      </c>
      <c r="G856" s="4">
        <v>124.8438</v>
      </c>
      <c r="H856" s="4">
        <v>68.841499999999996</v>
      </c>
      <c r="I856" s="4">
        <v>10.8725</v>
      </c>
      <c r="J856" s="4">
        <v>10.97</v>
      </c>
      <c r="K856" s="4">
        <v>10.077500000000001</v>
      </c>
      <c r="L856" s="4">
        <v>10.78</v>
      </c>
      <c r="M856" s="7">
        <v>-8.5000000000000006E-3</v>
      </c>
    </row>
    <row r="857" spans="1:13" x14ac:dyDescent="0.2">
      <c r="A857" s="6">
        <v>45180</v>
      </c>
      <c r="B857" s="2" t="s">
        <v>228</v>
      </c>
      <c r="C857" s="5">
        <v>45170</v>
      </c>
      <c r="D857" s="2" t="s">
        <v>189</v>
      </c>
      <c r="E857" s="3">
        <v>4269</v>
      </c>
      <c r="F857" s="8">
        <v>0.3866</v>
      </c>
      <c r="G857" s="4">
        <v>123.67619999999999</v>
      </c>
      <c r="H857" s="4">
        <v>70.661000000000001</v>
      </c>
      <c r="I857" s="4">
        <v>10.78</v>
      </c>
      <c r="J857" s="4">
        <v>11.5</v>
      </c>
      <c r="K857" s="4">
        <v>10.3375</v>
      </c>
      <c r="L857" s="4">
        <v>11.3475</v>
      </c>
      <c r="M857" s="7">
        <v>5.2600000000000001E-2</v>
      </c>
    </row>
    <row r="858" spans="1:13" x14ac:dyDescent="0.2">
      <c r="A858" s="6">
        <v>45181</v>
      </c>
      <c r="B858" s="2" t="s">
        <v>226</v>
      </c>
      <c r="C858" s="5">
        <v>45170</v>
      </c>
      <c r="D858" s="2" t="s">
        <v>189</v>
      </c>
      <c r="E858" s="3">
        <v>4089</v>
      </c>
      <c r="F858" s="8">
        <v>0.49780000000000002</v>
      </c>
      <c r="G858" s="4">
        <v>158.7979</v>
      </c>
      <c r="H858" s="4">
        <v>93.193700000000007</v>
      </c>
      <c r="I858" s="4">
        <v>11.3475</v>
      </c>
      <c r="J858" s="4">
        <v>12.022500000000001</v>
      </c>
      <c r="K858" s="4">
        <v>10.7125</v>
      </c>
      <c r="L858" s="4">
        <v>11.69</v>
      </c>
      <c r="M858" s="7">
        <v>3.0200000000000001E-2</v>
      </c>
    </row>
    <row r="859" spans="1:13" x14ac:dyDescent="0.2">
      <c r="A859" s="6">
        <v>45182</v>
      </c>
      <c r="B859" s="2" t="s">
        <v>224</v>
      </c>
      <c r="C859" s="5">
        <v>45170</v>
      </c>
      <c r="D859" s="2" t="s">
        <v>189</v>
      </c>
      <c r="E859" s="3">
        <v>4097</v>
      </c>
      <c r="F859" s="8">
        <v>0.35220000000000001</v>
      </c>
      <c r="G859" s="4">
        <v>123.5874</v>
      </c>
      <c r="H859" s="4">
        <v>61.4664</v>
      </c>
      <c r="I859" s="4">
        <v>11.69</v>
      </c>
      <c r="J859" s="4">
        <v>12.047499999999999</v>
      </c>
      <c r="K859" s="4">
        <v>11.535</v>
      </c>
      <c r="L859" s="4">
        <v>11.827500000000001</v>
      </c>
      <c r="M859" s="7">
        <v>1.18E-2</v>
      </c>
    </row>
    <row r="860" spans="1:13" x14ac:dyDescent="0.2">
      <c r="A860" s="6">
        <v>45183</v>
      </c>
      <c r="B860" s="2" t="s">
        <v>227</v>
      </c>
      <c r="C860" s="5">
        <v>45170</v>
      </c>
      <c r="D860" s="2" t="s">
        <v>189</v>
      </c>
      <c r="E860" s="3">
        <v>4125</v>
      </c>
      <c r="F860" s="8">
        <v>0.28699999999999998</v>
      </c>
      <c r="G860" s="4">
        <v>98.279799999999994</v>
      </c>
      <c r="H860" s="4">
        <v>52.283900000000003</v>
      </c>
      <c r="I860" s="4">
        <v>11.827500000000001</v>
      </c>
      <c r="J860" s="4">
        <v>12.0425</v>
      </c>
      <c r="K860" s="4">
        <v>11.21</v>
      </c>
      <c r="L860" s="4">
        <v>11.317500000000001</v>
      </c>
      <c r="M860" s="7">
        <v>-4.3099999999999999E-2</v>
      </c>
    </row>
    <row r="861" spans="1:13" x14ac:dyDescent="0.2">
      <c r="A861" s="6">
        <v>45184</v>
      </c>
      <c r="B861" s="2" t="s">
        <v>225</v>
      </c>
      <c r="C861" s="5">
        <v>45170</v>
      </c>
      <c r="D861" s="2" t="s">
        <v>189</v>
      </c>
      <c r="E861" s="3">
        <v>4095</v>
      </c>
      <c r="F861" s="8">
        <v>0.3135</v>
      </c>
      <c r="G861" s="4">
        <v>128.5599</v>
      </c>
      <c r="H861" s="4">
        <v>55.521099999999997</v>
      </c>
      <c r="I861" s="4">
        <v>11.317500000000001</v>
      </c>
      <c r="J861" s="4">
        <v>11.32</v>
      </c>
      <c r="K861" s="4">
        <v>10.0725</v>
      </c>
      <c r="L861" s="4">
        <v>10.9025</v>
      </c>
      <c r="M861" s="7">
        <v>-3.6700000000000003E-2</v>
      </c>
    </row>
    <row r="862" spans="1:13" x14ac:dyDescent="0.2">
      <c r="A862" s="6">
        <v>45187</v>
      </c>
      <c r="B862" s="2" t="s">
        <v>228</v>
      </c>
      <c r="C862" s="5">
        <v>45170</v>
      </c>
      <c r="D862" s="2" t="s">
        <v>189</v>
      </c>
      <c r="E862" s="3">
        <v>4272</v>
      </c>
      <c r="F862" s="8">
        <v>0.32069999999999999</v>
      </c>
      <c r="G862" s="4">
        <v>110.4851</v>
      </c>
      <c r="H862" s="4">
        <v>54.0045</v>
      </c>
      <c r="I862" s="4">
        <v>10.9025</v>
      </c>
      <c r="J862" s="4">
        <v>11.407500000000001</v>
      </c>
      <c r="K862" s="4">
        <v>10.45</v>
      </c>
      <c r="L862" s="4">
        <v>10.835000000000001</v>
      </c>
      <c r="M862" s="7">
        <v>-6.1999999999999998E-3</v>
      </c>
    </row>
    <row r="863" spans="1:13" x14ac:dyDescent="0.2">
      <c r="A863" s="6">
        <v>45189</v>
      </c>
      <c r="B863" s="2" t="s">
        <v>224</v>
      </c>
      <c r="C863" s="5">
        <v>45170</v>
      </c>
      <c r="D863" s="2" t="s">
        <v>189</v>
      </c>
      <c r="E863" s="3">
        <v>4105</v>
      </c>
      <c r="F863" s="8">
        <v>0.30759999999999998</v>
      </c>
      <c r="G863" s="4">
        <v>79.719700000000003</v>
      </c>
      <c r="H863" s="4">
        <v>54.254100000000001</v>
      </c>
      <c r="I863" s="4">
        <v>10.835000000000001</v>
      </c>
      <c r="J863" s="4">
        <v>11.47</v>
      </c>
      <c r="K863" s="4">
        <v>10.835000000000001</v>
      </c>
      <c r="L863" s="4">
        <v>11.1275</v>
      </c>
      <c r="M863" s="7">
        <v>2.7E-2</v>
      </c>
    </row>
    <row r="864" spans="1:13" x14ac:dyDescent="0.2">
      <c r="A864" s="6">
        <v>45190</v>
      </c>
      <c r="B864" s="2" t="s">
        <v>227</v>
      </c>
      <c r="C864" s="5">
        <v>45170</v>
      </c>
      <c r="D864" s="2" t="s">
        <v>189</v>
      </c>
      <c r="E864" s="3">
        <v>4075</v>
      </c>
      <c r="F864" s="8">
        <v>0.30690000000000001</v>
      </c>
      <c r="G864" s="4">
        <v>78.405299999999997</v>
      </c>
      <c r="H864" s="4">
        <v>51.083500000000001</v>
      </c>
      <c r="I864" s="4">
        <v>11.1275</v>
      </c>
      <c r="J864" s="4">
        <v>11.39</v>
      </c>
      <c r="K864" s="4">
        <v>10.62</v>
      </c>
      <c r="L864" s="4">
        <v>10.817500000000001</v>
      </c>
      <c r="M864" s="7">
        <v>-2.7900000000000001E-2</v>
      </c>
    </row>
    <row r="865" spans="1:13" x14ac:dyDescent="0.2">
      <c r="A865" s="6">
        <v>45191</v>
      </c>
      <c r="B865" s="2" t="s">
        <v>225</v>
      </c>
      <c r="C865" s="5">
        <v>45170</v>
      </c>
      <c r="D865" s="2" t="s">
        <v>189</v>
      </c>
      <c r="E865" s="3">
        <v>4086</v>
      </c>
      <c r="F865" s="8">
        <v>0.2888</v>
      </c>
      <c r="G865" s="4">
        <v>85.450100000000006</v>
      </c>
      <c r="H865" s="4">
        <v>48.815399999999997</v>
      </c>
      <c r="I865" s="4">
        <v>10.817500000000001</v>
      </c>
      <c r="J865" s="4">
        <v>11.0725</v>
      </c>
      <c r="K865" s="4">
        <v>10.3925</v>
      </c>
      <c r="L865" s="4">
        <v>10.66</v>
      </c>
      <c r="M865" s="7">
        <v>-1.46E-2</v>
      </c>
    </row>
    <row r="866" spans="1:13" x14ac:dyDescent="0.2">
      <c r="A866" s="6">
        <v>45194</v>
      </c>
      <c r="B866" s="2" t="s">
        <v>228</v>
      </c>
      <c r="C866" s="5">
        <v>45170</v>
      </c>
      <c r="D866" s="2" t="s">
        <v>189</v>
      </c>
      <c r="E866" s="3">
        <v>4258</v>
      </c>
      <c r="F866" s="8">
        <v>0.27810000000000001</v>
      </c>
      <c r="G866" s="4">
        <v>68.100099999999998</v>
      </c>
      <c r="H866" s="4">
        <v>43.666899999999998</v>
      </c>
      <c r="I866" s="4">
        <v>10.66</v>
      </c>
      <c r="J866" s="4">
        <v>11.305</v>
      </c>
      <c r="K866" s="4">
        <v>10.272500000000001</v>
      </c>
      <c r="L866" s="4">
        <v>10.9</v>
      </c>
      <c r="M866" s="7">
        <v>2.2499999999999999E-2</v>
      </c>
    </row>
    <row r="867" spans="1:13" x14ac:dyDescent="0.2">
      <c r="A867" s="6">
        <v>45195</v>
      </c>
      <c r="B867" s="2" t="s">
        <v>226</v>
      </c>
      <c r="C867" s="5">
        <v>45170</v>
      </c>
      <c r="D867" s="2" t="s">
        <v>189</v>
      </c>
      <c r="E867" s="3">
        <v>4091</v>
      </c>
      <c r="F867" s="8">
        <v>0.249</v>
      </c>
      <c r="G867" s="4">
        <v>70.846800000000002</v>
      </c>
      <c r="H867" s="4">
        <v>47.124499999999998</v>
      </c>
      <c r="I867" s="4">
        <v>10.9</v>
      </c>
      <c r="J867" s="4">
        <v>11.29</v>
      </c>
      <c r="K867" s="4">
        <v>9.2475000000000005</v>
      </c>
      <c r="L867" s="4">
        <v>11.185</v>
      </c>
      <c r="M867" s="7">
        <v>2.6100000000000002E-2</v>
      </c>
    </row>
    <row r="868" spans="1:13" x14ac:dyDescent="0.2">
      <c r="A868" s="6">
        <v>45196</v>
      </c>
      <c r="B868" s="2" t="s">
        <v>224</v>
      </c>
      <c r="C868" s="5">
        <v>45170</v>
      </c>
      <c r="D868" s="2" t="s">
        <v>189</v>
      </c>
      <c r="E868" s="3">
        <v>4090</v>
      </c>
      <c r="F868" s="8">
        <v>0.2676</v>
      </c>
      <c r="G868" s="4">
        <v>68.858500000000006</v>
      </c>
      <c r="H868" s="4">
        <v>42.926400000000001</v>
      </c>
      <c r="I868" s="4">
        <v>11.185</v>
      </c>
      <c r="J868" s="4">
        <v>11.8225</v>
      </c>
      <c r="K868" s="4">
        <v>9.39</v>
      </c>
      <c r="L868" s="4">
        <v>11.585000000000001</v>
      </c>
      <c r="M868" s="7">
        <v>3.5799999999999998E-2</v>
      </c>
    </row>
    <row r="869" spans="1:13" x14ac:dyDescent="0.2">
      <c r="A869" s="6">
        <v>45197</v>
      </c>
      <c r="B869" s="2" t="s">
        <v>227</v>
      </c>
      <c r="C869" s="5">
        <v>45170</v>
      </c>
      <c r="D869" s="2" t="s">
        <v>189</v>
      </c>
      <c r="E869" s="3">
        <v>4102</v>
      </c>
      <c r="F869" s="8">
        <v>0.29239999999999999</v>
      </c>
      <c r="G869" s="4">
        <v>73.277000000000001</v>
      </c>
      <c r="H869" s="4">
        <v>55.005699999999997</v>
      </c>
      <c r="I869" s="4">
        <v>11.585000000000001</v>
      </c>
      <c r="J869" s="4">
        <v>13.022500000000001</v>
      </c>
      <c r="K869" s="4">
        <v>9.3975000000000009</v>
      </c>
      <c r="L869" s="4">
        <v>12.8225</v>
      </c>
      <c r="M869" s="7">
        <v>0.10680000000000001</v>
      </c>
    </row>
    <row r="870" spans="1:13" x14ac:dyDescent="0.2">
      <c r="A870" s="6">
        <v>45198</v>
      </c>
      <c r="B870" s="2" t="s">
        <v>225</v>
      </c>
      <c r="C870" s="5">
        <v>45170</v>
      </c>
      <c r="D870" s="2" t="s">
        <v>189</v>
      </c>
      <c r="E870" s="3">
        <v>4077</v>
      </c>
      <c r="F870" s="8">
        <v>0.27589999999999998</v>
      </c>
      <c r="G870" s="4">
        <v>59.229599999999998</v>
      </c>
      <c r="H870" s="4">
        <v>49.691000000000003</v>
      </c>
      <c r="I870" s="4">
        <v>12.8225</v>
      </c>
      <c r="J870" s="4">
        <v>12.8225</v>
      </c>
      <c r="K870" s="4">
        <v>11.307499999999999</v>
      </c>
      <c r="L870" s="4">
        <v>11.452500000000001</v>
      </c>
      <c r="M870" s="7">
        <v>-0.10680000000000001</v>
      </c>
    </row>
    <row r="871" spans="1:13" x14ac:dyDescent="0.2">
      <c r="A871" s="6">
        <v>45202</v>
      </c>
      <c r="B871" s="2" t="s">
        <v>226</v>
      </c>
      <c r="C871" s="5">
        <v>45200</v>
      </c>
      <c r="D871" s="2" t="s">
        <v>190</v>
      </c>
      <c r="E871" s="3">
        <v>4312</v>
      </c>
      <c r="F871" s="8">
        <v>0.313</v>
      </c>
      <c r="G871" s="4">
        <v>68.245900000000006</v>
      </c>
      <c r="H871" s="4">
        <v>46.522100000000002</v>
      </c>
      <c r="I871" s="4">
        <v>11.452500000000001</v>
      </c>
      <c r="J871" s="4">
        <v>12.407500000000001</v>
      </c>
      <c r="K871" s="4">
        <v>10.775</v>
      </c>
      <c r="L871" s="4">
        <v>11.7875</v>
      </c>
      <c r="M871" s="7">
        <v>2.93E-2</v>
      </c>
    </row>
    <row r="872" spans="1:13" x14ac:dyDescent="0.2">
      <c r="A872" s="6">
        <v>45203</v>
      </c>
      <c r="B872" s="2" t="s">
        <v>224</v>
      </c>
      <c r="C872" s="5">
        <v>45200</v>
      </c>
      <c r="D872" s="2" t="s">
        <v>190</v>
      </c>
      <c r="E872" s="3">
        <v>4124</v>
      </c>
      <c r="F872" s="8">
        <v>0.30309999999999998</v>
      </c>
      <c r="G872" s="4">
        <v>81.946899999999999</v>
      </c>
      <c r="H872" s="4">
        <v>49.567100000000003</v>
      </c>
      <c r="I872" s="4">
        <v>11.7875</v>
      </c>
      <c r="J872" s="4">
        <v>12.22</v>
      </c>
      <c r="K872" s="4">
        <v>11.115</v>
      </c>
      <c r="L872" s="4">
        <v>11.654999999999999</v>
      </c>
      <c r="M872" s="7">
        <v>-1.12E-2</v>
      </c>
    </row>
    <row r="873" spans="1:13" x14ac:dyDescent="0.2">
      <c r="A873" s="6">
        <v>45204</v>
      </c>
      <c r="B873" s="2" t="s">
        <v>227</v>
      </c>
      <c r="C873" s="5">
        <v>45200</v>
      </c>
      <c r="D873" s="2" t="s">
        <v>190</v>
      </c>
      <c r="E873" s="3">
        <v>4080</v>
      </c>
      <c r="F873" s="8">
        <v>0.27589999999999998</v>
      </c>
      <c r="G873" s="4">
        <v>78.587400000000002</v>
      </c>
      <c r="H873" s="4">
        <v>43.809800000000003</v>
      </c>
      <c r="I873" s="4">
        <v>11.654999999999999</v>
      </c>
      <c r="J873" s="4">
        <v>11.654999999999999</v>
      </c>
      <c r="K873" s="4">
        <v>10.842499999999999</v>
      </c>
      <c r="L873" s="4">
        <v>10.94</v>
      </c>
      <c r="M873" s="7">
        <v>-6.13E-2</v>
      </c>
    </row>
    <row r="874" spans="1:13" x14ac:dyDescent="0.2">
      <c r="A874" s="6">
        <v>45205</v>
      </c>
      <c r="B874" s="2" t="s">
        <v>225</v>
      </c>
      <c r="C874" s="5">
        <v>45200</v>
      </c>
      <c r="D874" s="2" t="s">
        <v>190</v>
      </c>
      <c r="E874" s="3">
        <v>4108</v>
      </c>
      <c r="F874" s="8">
        <v>0.29630000000000001</v>
      </c>
      <c r="G874" s="4">
        <v>68.555000000000007</v>
      </c>
      <c r="H874" s="4">
        <v>48.632100000000001</v>
      </c>
      <c r="I874" s="4">
        <v>10.94</v>
      </c>
      <c r="J874" s="4">
        <v>10.94</v>
      </c>
      <c r="K874" s="4">
        <v>9.73</v>
      </c>
      <c r="L874" s="4">
        <v>10.3</v>
      </c>
      <c r="M874" s="7">
        <v>-5.8500000000000003E-2</v>
      </c>
    </row>
    <row r="875" spans="1:13" x14ac:dyDescent="0.2">
      <c r="A875" s="6">
        <v>45208</v>
      </c>
      <c r="B875" s="2" t="s">
        <v>228</v>
      </c>
      <c r="C875" s="5">
        <v>45200</v>
      </c>
      <c r="D875" s="2" t="s">
        <v>190</v>
      </c>
      <c r="E875" s="3">
        <v>4266</v>
      </c>
      <c r="F875" s="8">
        <v>0.32290000000000002</v>
      </c>
      <c r="G875" s="4">
        <v>73.917000000000002</v>
      </c>
      <c r="H875" s="4">
        <v>44.784599999999998</v>
      </c>
      <c r="I875" s="4">
        <v>10.3</v>
      </c>
      <c r="J875" s="4">
        <v>11.6325</v>
      </c>
      <c r="K875" s="4">
        <v>10.119999999999999</v>
      </c>
      <c r="L875" s="4">
        <v>11.4</v>
      </c>
      <c r="M875" s="7">
        <v>0.10680000000000001</v>
      </c>
    </row>
    <row r="876" spans="1:13" x14ac:dyDescent="0.2">
      <c r="A876" s="6">
        <v>45209</v>
      </c>
      <c r="B876" s="2" t="s">
        <v>226</v>
      </c>
      <c r="C876" s="5">
        <v>45200</v>
      </c>
      <c r="D876" s="2" t="s">
        <v>190</v>
      </c>
      <c r="E876" s="3">
        <v>4113</v>
      </c>
      <c r="F876" s="8">
        <v>0.25740000000000002</v>
      </c>
      <c r="G876" s="4">
        <v>60.919800000000002</v>
      </c>
      <c r="H876" s="4">
        <v>41.096800000000002</v>
      </c>
      <c r="I876" s="4">
        <v>11.4</v>
      </c>
      <c r="J876" s="4">
        <v>11.4</v>
      </c>
      <c r="K876" s="4">
        <v>10.855</v>
      </c>
      <c r="L876" s="4">
        <v>11.27</v>
      </c>
      <c r="M876" s="7">
        <v>-1.14E-2</v>
      </c>
    </row>
    <row r="877" spans="1:13" x14ac:dyDescent="0.2">
      <c r="A877" s="6">
        <v>45210</v>
      </c>
      <c r="B877" s="2" t="s">
        <v>224</v>
      </c>
      <c r="C877" s="5">
        <v>45200</v>
      </c>
      <c r="D877" s="2" t="s">
        <v>190</v>
      </c>
      <c r="E877" s="3">
        <v>4148</v>
      </c>
      <c r="F877" s="8">
        <v>0.27479999999999999</v>
      </c>
      <c r="G877" s="4">
        <v>75.717600000000004</v>
      </c>
      <c r="H877" s="4">
        <v>67.967299999999994</v>
      </c>
      <c r="I877" s="4">
        <v>11.27</v>
      </c>
      <c r="J877" s="4">
        <v>11.3225</v>
      </c>
      <c r="K877" s="4">
        <v>10.39</v>
      </c>
      <c r="L877" s="4">
        <v>10.984999999999999</v>
      </c>
      <c r="M877" s="7">
        <v>-2.53E-2</v>
      </c>
    </row>
    <row r="878" spans="1:13" x14ac:dyDescent="0.2">
      <c r="A878" s="6">
        <v>45211</v>
      </c>
      <c r="B878" s="2" t="s">
        <v>227</v>
      </c>
      <c r="C878" s="5">
        <v>45200</v>
      </c>
      <c r="D878" s="2" t="s">
        <v>190</v>
      </c>
      <c r="E878" s="3">
        <v>4106</v>
      </c>
      <c r="F878" s="8">
        <v>0.26290000000000002</v>
      </c>
      <c r="G878" s="4">
        <v>61.692</v>
      </c>
      <c r="H878" s="4">
        <v>43.701999999999998</v>
      </c>
      <c r="I878" s="4">
        <v>10.984999999999999</v>
      </c>
      <c r="J878" s="4">
        <v>11.1175</v>
      </c>
      <c r="K878" s="4">
        <v>10.565</v>
      </c>
      <c r="L878" s="4">
        <v>10.6175</v>
      </c>
      <c r="M878" s="7">
        <v>-3.3500000000000002E-2</v>
      </c>
    </row>
    <row r="879" spans="1:13" x14ac:dyDescent="0.2">
      <c r="A879" s="6">
        <v>45212</v>
      </c>
      <c r="B879" s="2" t="s">
        <v>225</v>
      </c>
      <c r="C879" s="5">
        <v>45200</v>
      </c>
      <c r="D879" s="2" t="s">
        <v>190</v>
      </c>
      <c r="E879" s="3">
        <v>4127</v>
      </c>
      <c r="F879" s="8">
        <v>0.31480000000000002</v>
      </c>
      <c r="G879" s="4">
        <v>64.062600000000003</v>
      </c>
      <c r="H879" s="4">
        <v>57.345799999999997</v>
      </c>
      <c r="I879" s="4">
        <v>10.6175</v>
      </c>
      <c r="J879" s="4">
        <v>11.025</v>
      </c>
      <c r="K879" s="4">
        <v>10.4025</v>
      </c>
      <c r="L879" s="4">
        <v>10.6175</v>
      </c>
      <c r="M879" s="7">
        <v>0</v>
      </c>
    </row>
    <row r="880" spans="1:13" x14ac:dyDescent="0.2">
      <c r="A880" s="6">
        <v>45215</v>
      </c>
      <c r="B880" s="2" t="s">
        <v>228</v>
      </c>
      <c r="C880" s="5">
        <v>45200</v>
      </c>
      <c r="D880" s="2" t="s">
        <v>190</v>
      </c>
      <c r="E880" s="3">
        <v>4297</v>
      </c>
      <c r="F880" s="8">
        <v>0.30570000000000003</v>
      </c>
      <c r="G880" s="4">
        <v>67.514499999999998</v>
      </c>
      <c r="H880" s="4">
        <v>47.237400000000001</v>
      </c>
      <c r="I880" s="4">
        <v>10.6175</v>
      </c>
      <c r="J880" s="4">
        <v>11.1525</v>
      </c>
      <c r="K880" s="4">
        <v>9.1524999999999999</v>
      </c>
      <c r="L880" s="4">
        <v>11.07</v>
      </c>
      <c r="M880" s="7">
        <v>4.2599999999999999E-2</v>
      </c>
    </row>
    <row r="881" spans="1:13" x14ac:dyDescent="0.2">
      <c r="A881" s="6">
        <v>45216</v>
      </c>
      <c r="B881" s="2" t="s">
        <v>226</v>
      </c>
      <c r="C881" s="5">
        <v>45200</v>
      </c>
      <c r="D881" s="2" t="s">
        <v>190</v>
      </c>
      <c r="E881" s="3">
        <v>4123</v>
      </c>
      <c r="F881" s="8">
        <v>0.2969</v>
      </c>
      <c r="G881" s="4">
        <v>68.975099999999998</v>
      </c>
      <c r="H881" s="4">
        <v>49.347700000000003</v>
      </c>
      <c r="I881" s="4">
        <v>11.07</v>
      </c>
      <c r="J881" s="4">
        <v>11.07</v>
      </c>
      <c r="K881" s="4">
        <v>10.4275</v>
      </c>
      <c r="L881" s="4">
        <v>10.695</v>
      </c>
      <c r="M881" s="7">
        <v>-3.39E-2</v>
      </c>
    </row>
    <row r="882" spans="1:13" x14ac:dyDescent="0.2">
      <c r="A882" s="6">
        <v>45217</v>
      </c>
      <c r="B882" s="2" t="s">
        <v>224</v>
      </c>
      <c r="C882" s="5">
        <v>45200</v>
      </c>
      <c r="D882" s="2" t="s">
        <v>190</v>
      </c>
      <c r="E882" s="3">
        <v>4153</v>
      </c>
      <c r="F882" s="8">
        <v>0.31569999999999998</v>
      </c>
      <c r="G882" s="4">
        <v>73.441299999999998</v>
      </c>
      <c r="H882" s="4">
        <v>48.328099999999999</v>
      </c>
      <c r="I882" s="4">
        <v>10.695</v>
      </c>
      <c r="J882" s="4">
        <v>11.17</v>
      </c>
      <c r="K882" s="4">
        <v>10.484999999999999</v>
      </c>
      <c r="L882" s="4">
        <v>10.965</v>
      </c>
      <c r="M882" s="7">
        <v>2.52E-2</v>
      </c>
    </row>
    <row r="883" spans="1:13" x14ac:dyDescent="0.2">
      <c r="A883" s="6">
        <v>45218</v>
      </c>
      <c r="B883" s="2" t="s">
        <v>227</v>
      </c>
      <c r="C883" s="5">
        <v>45200</v>
      </c>
      <c r="D883" s="2" t="s">
        <v>190</v>
      </c>
      <c r="E883" s="3">
        <v>4135</v>
      </c>
      <c r="F883" s="8">
        <v>0.2722</v>
      </c>
      <c r="G883" s="4">
        <v>71.610799999999998</v>
      </c>
      <c r="H883" s="4">
        <v>53.601999999999997</v>
      </c>
      <c r="I883" s="4">
        <v>10.965</v>
      </c>
      <c r="J883" s="4">
        <v>11.2125</v>
      </c>
      <c r="K883" s="4">
        <v>10.047499999999999</v>
      </c>
      <c r="L883" s="4">
        <v>10.897500000000001</v>
      </c>
      <c r="M883" s="7">
        <v>-6.1999999999999998E-3</v>
      </c>
    </row>
    <row r="884" spans="1:13" x14ac:dyDescent="0.2">
      <c r="A884" s="6">
        <v>45219</v>
      </c>
      <c r="B884" s="2" t="s">
        <v>225</v>
      </c>
      <c r="C884" s="5">
        <v>45200</v>
      </c>
      <c r="D884" s="2" t="s">
        <v>190</v>
      </c>
      <c r="E884" s="3">
        <v>4123</v>
      </c>
      <c r="F884" s="8">
        <v>0.31090000000000001</v>
      </c>
      <c r="G884" s="4">
        <v>82.236699999999999</v>
      </c>
      <c r="H884" s="4">
        <v>70.303399999999996</v>
      </c>
      <c r="I884" s="4">
        <v>10.897500000000001</v>
      </c>
      <c r="J884" s="4">
        <v>11.09</v>
      </c>
      <c r="K884" s="4">
        <v>10.074999999999999</v>
      </c>
      <c r="L884" s="4">
        <v>10.817500000000001</v>
      </c>
      <c r="M884" s="7">
        <v>-7.3000000000000001E-3</v>
      </c>
    </row>
    <row r="885" spans="1:13" x14ac:dyDescent="0.2">
      <c r="A885" s="6">
        <v>45222</v>
      </c>
      <c r="B885" s="2" t="s">
        <v>228</v>
      </c>
      <c r="C885" s="5">
        <v>45200</v>
      </c>
      <c r="D885" s="2" t="s">
        <v>190</v>
      </c>
      <c r="E885" s="3">
        <v>4290</v>
      </c>
      <c r="F885" s="8">
        <v>0.3775</v>
      </c>
      <c r="G885" s="4">
        <v>71.026499999999999</v>
      </c>
      <c r="H885" s="4">
        <v>49.350299999999997</v>
      </c>
      <c r="I885" s="4">
        <v>10.817500000000001</v>
      </c>
      <c r="J885" s="4">
        <v>11.3575</v>
      </c>
      <c r="K885" s="4">
        <v>8.8249999999999993</v>
      </c>
      <c r="L885" s="4">
        <v>10.904999999999999</v>
      </c>
      <c r="M885" s="7">
        <v>8.0999999999999996E-3</v>
      </c>
    </row>
    <row r="886" spans="1:13" x14ac:dyDescent="0.2">
      <c r="A886" s="6">
        <v>45224</v>
      </c>
      <c r="B886" s="2" t="s">
        <v>224</v>
      </c>
      <c r="C886" s="5">
        <v>45200</v>
      </c>
      <c r="D886" s="2" t="s">
        <v>190</v>
      </c>
      <c r="E886" s="3">
        <v>4090</v>
      </c>
      <c r="F886" s="8">
        <v>0.31809999999999999</v>
      </c>
      <c r="G886" s="4">
        <v>61.895699999999998</v>
      </c>
      <c r="H886" s="4">
        <v>43.313499999999998</v>
      </c>
      <c r="I886" s="4">
        <v>10.904999999999999</v>
      </c>
      <c r="J886" s="4">
        <v>12.1775</v>
      </c>
      <c r="K886" s="4">
        <v>9.9649999999999999</v>
      </c>
      <c r="L886" s="4">
        <v>11.3125</v>
      </c>
      <c r="M886" s="7">
        <v>3.7400000000000003E-2</v>
      </c>
    </row>
    <row r="887" spans="1:13" x14ac:dyDescent="0.2">
      <c r="A887" s="6">
        <v>45225</v>
      </c>
      <c r="B887" s="2" t="s">
        <v>227</v>
      </c>
      <c r="C887" s="5">
        <v>45200</v>
      </c>
      <c r="D887" s="2" t="s">
        <v>190</v>
      </c>
      <c r="E887" s="3">
        <v>4110</v>
      </c>
      <c r="F887" s="8">
        <v>0.38250000000000001</v>
      </c>
      <c r="G887" s="4">
        <v>63.183999999999997</v>
      </c>
      <c r="H887" s="4">
        <v>55.489899999999999</v>
      </c>
      <c r="I887" s="4">
        <v>11.3125</v>
      </c>
      <c r="J887" s="4">
        <v>12.7</v>
      </c>
      <c r="K887" s="4">
        <v>11.3125</v>
      </c>
      <c r="L887" s="4">
        <v>11.73</v>
      </c>
      <c r="M887" s="7">
        <v>3.6900000000000002E-2</v>
      </c>
    </row>
    <row r="888" spans="1:13" x14ac:dyDescent="0.2">
      <c r="A888" s="6">
        <v>45226</v>
      </c>
      <c r="B888" s="2" t="s">
        <v>225</v>
      </c>
      <c r="C888" s="5">
        <v>45200</v>
      </c>
      <c r="D888" s="2" t="s">
        <v>190</v>
      </c>
      <c r="E888" s="3">
        <v>4106</v>
      </c>
      <c r="F888" s="8">
        <v>0.2954</v>
      </c>
      <c r="G888" s="4">
        <v>55.9983</v>
      </c>
      <c r="H888" s="4">
        <v>51.064799999999998</v>
      </c>
      <c r="I888" s="4">
        <v>11.73</v>
      </c>
      <c r="J888" s="4">
        <v>12.305</v>
      </c>
      <c r="K888" s="4">
        <v>10.672499999999999</v>
      </c>
      <c r="L888" s="4">
        <v>10.904999999999999</v>
      </c>
      <c r="M888" s="7">
        <v>-7.0300000000000001E-2</v>
      </c>
    </row>
    <row r="889" spans="1:13" x14ac:dyDescent="0.2">
      <c r="A889" s="6">
        <v>45229</v>
      </c>
      <c r="B889" s="2" t="s">
        <v>228</v>
      </c>
      <c r="C889" s="5">
        <v>45200</v>
      </c>
      <c r="D889" s="2" t="s">
        <v>190</v>
      </c>
      <c r="E889" s="3">
        <v>4231</v>
      </c>
      <c r="F889" s="8">
        <v>0.25390000000000001</v>
      </c>
      <c r="G889" s="4">
        <v>57.465400000000002</v>
      </c>
      <c r="H889" s="4">
        <v>38.384099999999997</v>
      </c>
      <c r="I889" s="4">
        <v>10.904999999999999</v>
      </c>
      <c r="J889" s="4">
        <v>12.192500000000001</v>
      </c>
      <c r="K889" s="4">
        <v>10.904999999999999</v>
      </c>
      <c r="L889" s="4">
        <v>11.49</v>
      </c>
      <c r="M889" s="7">
        <v>5.3600000000000002E-2</v>
      </c>
    </row>
    <row r="890" spans="1:13" x14ac:dyDescent="0.2">
      <c r="A890" s="6">
        <v>45230</v>
      </c>
      <c r="B890" s="2" t="s">
        <v>226</v>
      </c>
      <c r="C890" s="5">
        <v>45200</v>
      </c>
      <c r="D890" s="2" t="s">
        <v>190</v>
      </c>
      <c r="E890" s="3">
        <v>4030</v>
      </c>
      <c r="F890" s="8">
        <v>0.23780000000000001</v>
      </c>
      <c r="G890" s="4">
        <v>62.4649</v>
      </c>
      <c r="H890" s="4">
        <v>50.495899999999999</v>
      </c>
      <c r="I890" s="4">
        <v>11.49</v>
      </c>
      <c r="J890" s="4">
        <v>12.285</v>
      </c>
      <c r="K890" s="4">
        <v>11.262499999999999</v>
      </c>
      <c r="L890" s="4">
        <v>11.824999999999999</v>
      </c>
      <c r="M890" s="7">
        <v>2.92E-2</v>
      </c>
    </row>
    <row r="891" spans="1:13" x14ac:dyDescent="0.2">
      <c r="A891" s="6">
        <v>45231</v>
      </c>
      <c r="B891" s="2" t="s">
        <v>224</v>
      </c>
      <c r="C891" s="5">
        <v>45231</v>
      </c>
      <c r="D891" s="2" t="s">
        <v>190</v>
      </c>
      <c r="E891" s="3">
        <v>4097</v>
      </c>
      <c r="F891" s="8">
        <v>0.26079999999999998</v>
      </c>
      <c r="G891" s="4">
        <v>76.438100000000006</v>
      </c>
      <c r="H891" s="4">
        <v>39.776800000000001</v>
      </c>
      <c r="I891" s="4">
        <v>11.824999999999999</v>
      </c>
      <c r="J891" s="4">
        <v>12.195</v>
      </c>
      <c r="K891" s="4">
        <v>11.824999999999999</v>
      </c>
      <c r="L891" s="4">
        <v>12.047499999999999</v>
      </c>
      <c r="M891" s="7">
        <v>1.8800000000000001E-2</v>
      </c>
    </row>
    <row r="892" spans="1:13" x14ac:dyDescent="0.2">
      <c r="A892" s="6">
        <v>45232</v>
      </c>
      <c r="B892" s="2" t="s">
        <v>227</v>
      </c>
      <c r="C892" s="5">
        <v>45231</v>
      </c>
      <c r="D892" s="2" t="s">
        <v>190</v>
      </c>
      <c r="E892" s="3">
        <v>4090</v>
      </c>
      <c r="F892" s="8">
        <v>0.2291</v>
      </c>
      <c r="G892" s="4">
        <v>64.472300000000004</v>
      </c>
      <c r="H892" s="4">
        <v>36.528399999999998</v>
      </c>
      <c r="I892" s="4">
        <v>12.047499999999999</v>
      </c>
      <c r="J892" s="4">
        <v>12.047499999999999</v>
      </c>
      <c r="K892" s="4">
        <v>10.9475</v>
      </c>
      <c r="L892" s="4">
        <v>11.074999999999999</v>
      </c>
      <c r="M892" s="7">
        <v>-8.0699999999999994E-2</v>
      </c>
    </row>
    <row r="893" spans="1:13" x14ac:dyDescent="0.2">
      <c r="A893" s="6">
        <v>45233</v>
      </c>
      <c r="B893" s="2" t="s">
        <v>225</v>
      </c>
      <c r="C893" s="5">
        <v>45231</v>
      </c>
      <c r="D893" s="2" t="s">
        <v>190</v>
      </c>
      <c r="E893" s="3">
        <v>4161</v>
      </c>
      <c r="F893" s="8">
        <v>0.28620000000000001</v>
      </c>
      <c r="G893" s="4">
        <v>87.672899999999998</v>
      </c>
      <c r="H893" s="4">
        <v>55.464100000000002</v>
      </c>
      <c r="I893" s="4">
        <v>11.074999999999999</v>
      </c>
      <c r="J893" s="4">
        <v>11.074999999999999</v>
      </c>
      <c r="K893" s="4">
        <v>10.635</v>
      </c>
      <c r="L893" s="4">
        <v>10.8825</v>
      </c>
      <c r="M893" s="7">
        <v>-1.7399999999999999E-2</v>
      </c>
    </row>
    <row r="894" spans="1:13" x14ac:dyDescent="0.2">
      <c r="A894" s="6">
        <v>45236</v>
      </c>
      <c r="B894" s="2" t="s">
        <v>228</v>
      </c>
      <c r="C894" s="5">
        <v>45231</v>
      </c>
      <c r="D894" s="2" t="s">
        <v>190</v>
      </c>
      <c r="E894" s="3">
        <v>4304</v>
      </c>
      <c r="F894" s="8">
        <v>0.28339999999999999</v>
      </c>
      <c r="G894" s="4">
        <v>90.150999999999996</v>
      </c>
      <c r="H894" s="4">
        <v>50.616999999999997</v>
      </c>
      <c r="I894" s="4">
        <v>10.8825</v>
      </c>
      <c r="J894" s="4">
        <v>11.28</v>
      </c>
      <c r="K894" s="4">
        <v>10.38</v>
      </c>
      <c r="L894" s="4">
        <v>11.105</v>
      </c>
      <c r="M894" s="7">
        <v>2.0400000000000001E-2</v>
      </c>
    </row>
    <row r="895" spans="1:13" x14ac:dyDescent="0.2">
      <c r="A895" s="6">
        <v>45237</v>
      </c>
      <c r="B895" s="2" t="s">
        <v>226</v>
      </c>
      <c r="C895" s="5">
        <v>45231</v>
      </c>
      <c r="D895" s="2" t="s">
        <v>190</v>
      </c>
      <c r="E895" s="3">
        <v>4120</v>
      </c>
      <c r="F895" s="8">
        <v>0.29780000000000001</v>
      </c>
      <c r="G895" s="4">
        <v>88.448400000000007</v>
      </c>
      <c r="H895" s="4">
        <v>51.977600000000002</v>
      </c>
      <c r="I895" s="4">
        <v>11.105</v>
      </c>
      <c r="J895" s="4">
        <v>12.1775</v>
      </c>
      <c r="K895" s="4">
        <v>11</v>
      </c>
      <c r="L895" s="4">
        <v>11.192500000000001</v>
      </c>
      <c r="M895" s="7">
        <v>7.9000000000000008E-3</v>
      </c>
    </row>
    <row r="896" spans="1:13" x14ac:dyDescent="0.2">
      <c r="A896" s="6">
        <v>45238</v>
      </c>
      <c r="B896" s="2" t="s">
        <v>224</v>
      </c>
      <c r="C896" s="5">
        <v>45231</v>
      </c>
      <c r="D896" s="2" t="s">
        <v>190</v>
      </c>
      <c r="E896" s="3">
        <v>4132</v>
      </c>
      <c r="F896" s="8">
        <v>0.28789999999999999</v>
      </c>
      <c r="G896" s="4">
        <v>73.772199999999998</v>
      </c>
      <c r="H896" s="4">
        <v>49.125700000000002</v>
      </c>
      <c r="I896" s="4">
        <v>11.192500000000001</v>
      </c>
      <c r="J896" s="4">
        <v>11.3325</v>
      </c>
      <c r="K896" s="4">
        <v>10.63</v>
      </c>
      <c r="L896" s="4">
        <v>11.0375</v>
      </c>
      <c r="M896" s="7">
        <v>-1.38E-2</v>
      </c>
    </row>
    <row r="897" spans="1:13" x14ac:dyDescent="0.2">
      <c r="A897" s="6">
        <v>45239</v>
      </c>
      <c r="B897" s="2" t="s">
        <v>227</v>
      </c>
      <c r="C897" s="5">
        <v>45231</v>
      </c>
      <c r="D897" s="2" t="s">
        <v>190</v>
      </c>
      <c r="E897" s="3">
        <v>4113</v>
      </c>
      <c r="F897" s="8">
        <v>0.2772</v>
      </c>
      <c r="G897" s="4">
        <v>76.437200000000004</v>
      </c>
      <c r="H897" s="4">
        <v>47.392200000000003</v>
      </c>
      <c r="I897" s="4">
        <v>11.0375</v>
      </c>
      <c r="J897" s="4">
        <v>11.2525</v>
      </c>
      <c r="K897" s="4">
        <v>10.37</v>
      </c>
      <c r="L897" s="4">
        <v>10.9825</v>
      </c>
      <c r="M897" s="7">
        <v>-5.0000000000000001E-3</v>
      </c>
    </row>
    <row r="898" spans="1:13" x14ac:dyDescent="0.2">
      <c r="A898" s="6">
        <v>45240</v>
      </c>
      <c r="B898" s="2" t="s">
        <v>225</v>
      </c>
      <c r="C898" s="5">
        <v>45231</v>
      </c>
      <c r="D898" s="2" t="s">
        <v>190</v>
      </c>
      <c r="E898" s="3">
        <v>4124</v>
      </c>
      <c r="F898" s="8">
        <v>0.29870000000000002</v>
      </c>
      <c r="G898" s="4">
        <v>73.728399999999993</v>
      </c>
      <c r="H898" s="4">
        <v>48.920400000000001</v>
      </c>
      <c r="I898" s="4">
        <v>10.9825</v>
      </c>
      <c r="J898" s="4">
        <v>11.3575</v>
      </c>
      <c r="K898" s="4">
        <v>9.86</v>
      </c>
      <c r="L898" s="4">
        <v>11.1075</v>
      </c>
      <c r="M898" s="7">
        <v>1.14E-2</v>
      </c>
    </row>
    <row r="899" spans="1:13" x14ac:dyDescent="0.2">
      <c r="A899" s="6">
        <v>45242</v>
      </c>
      <c r="B899" s="2" t="s">
        <v>230</v>
      </c>
      <c r="C899" s="5">
        <v>45231</v>
      </c>
      <c r="D899" s="2" t="s">
        <v>190</v>
      </c>
      <c r="E899" s="3">
        <v>3903</v>
      </c>
      <c r="F899" s="8">
        <v>0.1588</v>
      </c>
      <c r="G899" s="4">
        <v>26.8125</v>
      </c>
      <c r="H899" s="4">
        <v>16.630299999999998</v>
      </c>
      <c r="I899" s="4">
        <v>11.1075</v>
      </c>
      <c r="J899" s="4">
        <v>11.54</v>
      </c>
      <c r="K899" s="4">
        <v>9.7524999999999995</v>
      </c>
      <c r="L899" s="4">
        <v>11.3475</v>
      </c>
      <c r="M899" s="7">
        <v>2.1600000000000001E-2</v>
      </c>
    </row>
    <row r="900" spans="1:13" x14ac:dyDescent="0.2">
      <c r="A900" s="6">
        <v>45243</v>
      </c>
      <c r="B900" s="2" t="s">
        <v>228</v>
      </c>
      <c r="C900" s="5">
        <v>45231</v>
      </c>
      <c r="D900" s="2" t="s">
        <v>190</v>
      </c>
      <c r="E900" s="3">
        <v>4281</v>
      </c>
      <c r="F900" s="8">
        <v>0.29310000000000003</v>
      </c>
      <c r="G900" s="4">
        <v>77.625799999999998</v>
      </c>
      <c r="H900" s="4">
        <v>50.371499999999997</v>
      </c>
      <c r="I900" s="4">
        <v>11.3475</v>
      </c>
      <c r="J900" s="4">
        <v>11.6325</v>
      </c>
      <c r="K900" s="4">
        <v>10.5025</v>
      </c>
      <c r="L900" s="4">
        <v>11.1875</v>
      </c>
      <c r="M900" s="7">
        <v>-1.41E-2</v>
      </c>
    </row>
    <row r="901" spans="1:13" x14ac:dyDescent="0.2">
      <c r="A901" s="6">
        <v>45245</v>
      </c>
      <c r="B901" s="2" t="s">
        <v>224</v>
      </c>
      <c r="C901" s="5">
        <v>45231</v>
      </c>
      <c r="D901" s="2" t="s">
        <v>190</v>
      </c>
      <c r="E901" s="3">
        <v>4206</v>
      </c>
      <c r="F901" s="8">
        <v>0.33090000000000003</v>
      </c>
      <c r="G901" s="4">
        <v>86.536799999999999</v>
      </c>
      <c r="H901" s="4">
        <v>57.040500000000002</v>
      </c>
      <c r="I901" s="4">
        <v>11.1875</v>
      </c>
      <c r="J901" s="4">
        <v>11.4175</v>
      </c>
      <c r="K901" s="4">
        <v>8.3949999999999996</v>
      </c>
      <c r="L901" s="4">
        <v>11.135</v>
      </c>
      <c r="M901" s="7">
        <v>-4.7000000000000002E-3</v>
      </c>
    </row>
    <row r="902" spans="1:13" x14ac:dyDescent="0.2">
      <c r="A902" s="6">
        <v>45246</v>
      </c>
      <c r="B902" s="2" t="s">
        <v>227</v>
      </c>
      <c r="C902" s="5">
        <v>45231</v>
      </c>
      <c r="D902" s="2" t="s">
        <v>190</v>
      </c>
      <c r="E902" s="3">
        <v>4198</v>
      </c>
      <c r="F902" s="8">
        <v>0.30940000000000001</v>
      </c>
      <c r="G902" s="4">
        <v>92.495800000000003</v>
      </c>
      <c r="H902" s="4">
        <v>57.279499999999999</v>
      </c>
      <c r="I902" s="4">
        <v>11.135</v>
      </c>
      <c r="J902" s="4">
        <v>11.807499999999999</v>
      </c>
      <c r="K902" s="4">
        <v>10.6175</v>
      </c>
      <c r="L902" s="4">
        <v>11.647500000000001</v>
      </c>
      <c r="M902" s="7">
        <v>4.5999999999999999E-2</v>
      </c>
    </row>
    <row r="903" spans="1:13" x14ac:dyDescent="0.2">
      <c r="A903" s="6">
        <v>45247</v>
      </c>
      <c r="B903" s="2" t="s">
        <v>225</v>
      </c>
      <c r="C903" s="5">
        <v>45231</v>
      </c>
      <c r="D903" s="2" t="s">
        <v>190</v>
      </c>
      <c r="E903" s="3">
        <v>4178</v>
      </c>
      <c r="F903" s="8">
        <v>0.35339999999999999</v>
      </c>
      <c r="G903" s="4">
        <v>95.117800000000003</v>
      </c>
      <c r="H903" s="4">
        <v>63.5929</v>
      </c>
      <c r="I903" s="4">
        <v>11.647500000000001</v>
      </c>
      <c r="J903" s="4">
        <v>12.09</v>
      </c>
      <c r="K903" s="4">
        <v>10.19</v>
      </c>
      <c r="L903" s="4">
        <v>11.827500000000001</v>
      </c>
      <c r="M903" s="7">
        <v>1.55E-2</v>
      </c>
    </row>
    <row r="904" spans="1:13" x14ac:dyDescent="0.2">
      <c r="A904" s="6">
        <v>45250</v>
      </c>
      <c r="B904" s="2" t="s">
        <v>228</v>
      </c>
      <c r="C904" s="5">
        <v>45231</v>
      </c>
      <c r="D904" s="2" t="s">
        <v>190</v>
      </c>
      <c r="E904" s="3">
        <v>4301</v>
      </c>
      <c r="F904" s="8">
        <v>0.32679999999999998</v>
      </c>
      <c r="G904" s="4">
        <v>91.163799999999995</v>
      </c>
      <c r="H904" s="4">
        <v>52.255299999999998</v>
      </c>
      <c r="I904" s="4">
        <v>11.827500000000001</v>
      </c>
      <c r="J904" s="4">
        <v>12.67</v>
      </c>
      <c r="K904" s="4">
        <v>11.2</v>
      </c>
      <c r="L904" s="4">
        <v>12.147500000000001</v>
      </c>
      <c r="M904" s="7">
        <v>2.7099999999999999E-2</v>
      </c>
    </row>
    <row r="905" spans="1:13" x14ac:dyDescent="0.2">
      <c r="A905" s="6">
        <v>45251</v>
      </c>
      <c r="B905" s="2" t="s">
        <v>226</v>
      </c>
      <c r="C905" s="5">
        <v>45231</v>
      </c>
      <c r="D905" s="2" t="s">
        <v>190</v>
      </c>
      <c r="E905" s="3">
        <v>4180</v>
      </c>
      <c r="F905" s="8">
        <v>0.31140000000000001</v>
      </c>
      <c r="G905" s="4">
        <v>84.828100000000006</v>
      </c>
      <c r="H905" s="4">
        <v>48.616599999999998</v>
      </c>
      <c r="I905" s="4">
        <v>12.147500000000001</v>
      </c>
      <c r="J905" s="4">
        <v>12.435</v>
      </c>
      <c r="K905" s="4">
        <v>10.755000000000001</v>
      </c>
      <c r="L905" s="4">
        <v>12.2325</v>
      </c>
      <c r="M905" s="7">
        <v>7.0000000000000001E-3</v>
      </c>
    </row>
    <row r="906" spans="1:13" x14ac:dyDescent="0.2">
      <c r="A906" s="6">
        <v>45252</v>
      </c>
      <c r="B906" s="2" t="s">
        <v>224</v>
      </c>
      <c r="C906" s="5">
        <v>45231</v>
      </c>
      <c r="D906" s="2" t="s">
        <v>190</v>
      </c>
      <c r="E906" s="3">
        <v>4164</v>
      </c>
      <c r="F906" s="8">
        <v>0.2994</v>
      </c>
      <c r="G906" s="4">
        <v>80.003</v>
      </c>
      <c r="H906" s="4">
        <v>45.638399999999997</v>
      </c>
      <c r="I906" s="4">
        <v>12.2325</v>
      </c>
      <c r="J906" s="4">
        <v>12.7075</v>
      </c>
      <c r="K906" s="4">
        <v>11.022500000000001</v>
      </c>
      <c r="L906" s="4">
        <v>11.865</v>
      </c>
      <c r="M906" s="7">
        <v>-0.03</v>
      </c>
    </row>
    <row r="907" spans="1:13" x14ac:dyDescent="0.2">
      <c r="A907" s="6">
        <v>45253</v>
      </c>
      <c r="B907" s="2" t="s">
        <v>227</v>
      </c>
      <c r="C907" s="5">
        <v>45231</v>
      </c>
      <c r="D907" s="2" t="s">
        <v>190</v>
      </c>
      <c r="E907" s="3">
        <v>4097</v>
      </c>
      <c r="F907" s="8">
        <v>0.27850000000000003</v>
      </c>
      <c r="G907" s="4">
        <v>86.106499999999997</v>
      </c>
      <c r="H907" s="4">
        <v>51.845599999999997</v>
      </c>
      <c r="I907" s="4">
        <v>11.865</v>
      </c>
      <c r="J907" s="4">
        <v>12.14</v>
      </c>
      <c r="K907" s="4">
        <v>10.975</v>
      </c>
      <c r="L907" s="4">
        <v>11.315</v>
      </c>
      <c r="M907" s="7">
        <v>-4.6399999999999997E-2</v>
      </c>
    </row>
    <row r="908" spans="1:13" x14ac:dyDescent="0.2">
      <c r="A908" s="6">
        <v>45254</v>
      </c>
      <c r="B908" s="2" t="s">
        <v>225</v>
      </c>
      <c r="C908" s="5">
        <v>45231</v>
      </c>
      <c r="D908" s="2" t="s">
        <v>190</v>
      </c>
      <c r="E908" s="3">
        <v>4091</v>
      </c>
      <c r="F908" s="8">
        <v>0.3125</v>
      </c>
      <c r="G908" s="4">
        <v>79.641900000000007</v>
      </c>
      <c r="H908" s="4">
        <v>55.366199999999999</v>
      </c>
      <c r="I908" s="4">
        <v>11.315</v>
      </c>
      <c r="J908" s="4">
        <v>11.465</v>
      </c>
      <c r="K908" s="4">
        <v>8.6775000000000002</v>
      </c>
      <c r="L908" s="4">
        <v>11.33</v>
      </c>
      <c r="M908" s="7">
        <v>1.2999999999999999E-3</v>
      </c>
    </row>
    <row r="909" spans="1:13" x14ac:dyDescent="0.2">
      <c r="A909" s="6">
        <v>45258</v>
      </c>
      <c r="B909" s="2" t="s">
        <v>226</v>
      </c>
      <c r="C909" s="5">
        <v>45231</v>
      </c>
      <c r="D909" s="2" t="s">
        <v>190</v>
      </c>
      <c r="E909" s="3">
        <v>4293</v>
      </c>
      <c r="F909" s="8">
        <v>0.34179999999999999</v>
      </c>
      <c r="G909" s="4">
        <v>77.112700000000004</v>
      </c>
      <c r="H909" s="4">
        <v>58.491399999999999</v>
      </c>
      <c r="I909" s="4">
        <v>11.33</v>
      </c>
      <c r="J909" s="4">
        <v>12.4925</v>
      </c>
      <c r="K909" s="4">
        <v>11.065</v>
      </c>
      <c r="L909" s="4">
        <v>12.175000000000001</v>
      </c>
      <c r="M909" s="7">
        <v>7.46E-2</v>
      </c>
    </row>
    <row r="910" spans="1:13" x14ac:dyDescent="0.2">
      <c r="A910" s="6">
        <v>45259</v>
      </c>
      <c r="B910" s="2" t="s">
        <v>224</v>
      </c>
      <c r="C910" s="5">
        <v>45231</v>
      </c>
      <c r="D910" s="2" t="s">
        <v>190</v>
      </c>
      <c r="E910" s="3">
        <v>4168</v>
      </c>
      <c r="F910" s="8">
        <v>0.34160000000000001</v>
      </c>
      <c r="G910" s="4">
        <v>132.58619999999999</v>
      </c>
      <c r="H910" s="4">
        <v>93.928299999999993</v>
      </c>
      <c r="I910" s="4">
        <v>12.175000000000001</v>
      </c>
      <c r="J910" s="4">
        <v>14.46</v>
      </c>
      <c r="K910" s="4">
        <v>11.3325</v>
      </c>
      <c r="L910" s="4">
        <v>12.7075</v>
      </c>
      <c r="M910" s="7">
        <v>4.3700000000000003E-2</v>
      </c>
    </row>
    <row r="911" spans="1:13" x14ac:dyDescent="0.2">
      <c r="A911" s="6">
        <v>45260</v>
      </c>
      <c r="B911" s="2" t="s">
        <v>227</v>
      </c>
      <c r="C911" s="5">
        <v>45231</v>
      </c>
      <c r="D911" s="2" t="s">
        <v>190</v>
      </c>
      <c r="E911" s="3">
        <v>4204</v>
      </c>
      <c r="F911" s="8">
        <v>0.3695</v>
      </c>
      <c r="G911" s="4">
        <v>95.417699999999996</v>
      </c>
      <c r="H911" s="4">
        <v>81.873199999999997</v>
      </c>
      <c r="I911" s="4">
        <v>12.7075</v>
      </c>
      <c r="J911" s="4">
        <v>13.352499999999999</v>
      </c>
      <c r="K911" s="4">
        <v>11.762499999999999</v>
      </c>
      <c r="L911" s="4">
        <v>12.69</v>
      </c>
      <c r="M911" s="7">
        <v>-1.4E-3</v>
      </c>
    </row>
    <row r="912" spans="1:13" x14ac:dyDescent="0.2">
      <c r="A912" s="6">
        <v>45261</v>
      </c>
      <c r="B912" s="2" t="s">
        <v>225</v>
      </c>
      <c r="C912" s="5">
        <v>45261</v>
      </c>
      <c r="D912" s="2" t="s">
        <v>190</v>
      </c>
      <c r="E912" s="3">
        <v>4209</v>
      </c>
      <c r="F912" s="8">
        <v>0.39479999999999998</v>
      </c>
      <c r="G912" s="4">
        <v>72.340800000000002</v>
      </c>
      <c r="H912" s="4">
        <v>81.482600000000005</v>
      </c>
      <c r="I912" s="4">
        <v>12.69</v>
      </c>
      <c r="J912" s="4">
        <v>12.755000000000001</v>
      </c>
      <c r="K912" s="4">
        <v>11.7775</v>
      </c>
      <c r="L912" s="4">
        <v>12.3825</v>
      </c>
      <c r="M912" s="7">
        <v>-2.4199999999999999E-2</v>
      </c>
    </row>
    <row r="913" spans="1:13" x14ac:dyDescent="0.2">
      <c r="A913" s="6">
        <v>45264</v>
      </c>
      <c r="B913" s="2" t="s">
        <v>228</v>
      </c>
      <c r="C913" s="5">
        <v>45261</v>
      </c>
      <c r="D913" s="2" t="s">
        <v>190</v>
      </c>
      <c r="E913" s="3">
        <v>4373</v>
      </c>
      <c r="F913" s="8">
        <v>0.40450000000000003</v>
      </c>
      <c r="G913" s="4">
        <v>106.4482</v>
      </c>
      <c r="H913" s="4">
        <v>122.4169</v>
      </c>
      <c r="I913" s="4">
        <v>12.3825</v>
      </c>
      <c r="J913" s="4">
        <v>13.16</v>
      </c>
      <c r="K913" s="4">
        <v>11.34</v>
      </c>
      <c r="L913" s="4">
        <v>12.9925</v>
      </c>
      <c r="M913" s="7">
        <v>4.9299999999999997E-2</v>
      </c>
    </row>
    <row r="914" spans="1:13" x14ac:dyDescent="0.2">
      <c r="A914" s="6">
        <v>45265</v>
      </c>
      <c r="B914" s="2" t="s">
        <v>226</v>
      </c>
      <c r="C914" s="5">
        <v>45261</v>
      </c>
      <c r="D914" s="2" t="s">
        <v>190</v>
      </c>
      <c r="E914" s="3">
        <v>4192</v>
      </c>
      <c r="F914" s="8">
        <v>0.42259999999999998</v>
      </c>
      <c r="G914" s="4">
        <v>104.8798</v>
      </c>
      <c r="H914" s="4">
        <v>93.476299999999995</v>
      </c>
      <c r="I914" s="4">
        <v>12.9925</v>
      </c>
      <c r="J914" s="4">
        <v>13.8825</v>
      </c>
      <c r="K914" s="4">
        <v>11.475</v>
      </c>
      <c r="L914" s="4">
        <v>13.4575</v>
      </c>
      <c r="M914" s="7">
        <v>3.5799999999999998E-2</v>
      </c>
    </row>
    <row r="915" spans="1:13" x14ac:dyDescent="0.2">
      <c r="A915" s="6">
        <v>45266</v>
      </c>
      <c r="B915" s="2" t="s">
        <v>224</v>
      </c>
      <c r="C915" s="5">
        <v>45261</v>
      </c>
      <c r="D915" s="2" t="s">
        <v>190</v>
      </c>
      <c r="E915" s="3">
        <v>4245</v>
      </c>
      <c r="F915" s="8">
        <v>0.43309999999999998</v>
      </c>
      <c r="G915" s="4">
        <v>101.8237</v>
      </c>
      <c r="H915" s="4">
        <v>87.884399999999999</v>
      </c>
      <c r="I915" s="4">
        <v>13.4575</v>
      </c>
      <c r="J915" s="4">
        <v>14.0875</v>
      </c>
      <c r="K915" s="4">
        <v>12.6875</v>
      </c>
      <c r="L915" s="4">
        <v>13.74</v>
      </c>
      <c r="M915" s="7">
        <v>2.1000000000000001E-2</v>
      </c>
    </row>
    <row r="916" spans="1:13" x14ac:dyDescent="0.2">
      <c r="A916" s="6">
        <v>45267</v>
      </c>
      <c r="B916" s="2" t="s">
        <v>227</v>
      </c>
      <c r="C916" s="5">
        <v>45261</v>
      </c>
      <c r="D916" s="2" t="s">
        <v>190</v>
      </c>
      <c r="E916" s="3">
        <v>4201</v>
      </c>
      <c r="F916" s="8">
        <v>0.41799999999999998</v>
      </c>
      <c r="G916" s="4">
        <v>123.2919</v>
      </c>
      <c r="H916" s="4">
        <v>118.4432</v>
      </c>
      <c r="I916" s="4">
        <v>13.74</v>
      </c>
      <c r="J916" s="4">
        <v>13.74</v>
      </c>
      <c r="K916" s="4">
        <v>12.545</v>
      </c>
      <c r="L916" s="4">
        <v>12.672499999999999</v>
      </c>
      <c r="M916" s="7">
        <v>-7.7700000000000005E-2</v>
      </c>
    </row>
    <row r="917" spans="1:13" x14ac:dyDescent="0.2">
      <c r="A917" s="6">
        <v>45268</v>
      </c>
      <c r="B917" s="2" t="s">
        <v>225</v>
      </c>
      <c r="C917" s="5">
        <v>45261</v>
      </c>
      <c r="D917" s="2" t="s">
        <v>190</v>
      </c>
      <c r="E917" s="3">
        <v>4199</v>
      </c>
      <c r="F917" s="8">
        <v>0.46850000000000003</v>
      </c>
      <c r="G917" s="4">
        <v>198.64869999999999</v>
      </c>
      <c r="H917" s="4">
        <v>146.27170000000001</v>
      </c>
      <c r="I917" s="4">
        <v>12.672499999999999</v>
      </c>
      <c r="J917" s="4">
        <v>12.875</v>
      </c>
      <c r="K917" s="4">
        <v>12.135</v>
      </c>
      <c r="L917" s="4">
        <v>12.47</v>
      </c>
      <c r="M917" s="7">
        <v>-1.6E-2</v>
      </c>
    </row>
    <row r="918" spans="1:13" x14ac:dyDescent="0.2">
      <c r="A918" s="6">
        <v>45271</v>
      </c>
      <c r="B918" s="2" t="s">
        <v>228</v>
      </c>
      <c r="C918" s="5">
        <v>45261</v>
      </c>
      <c r="D918" s="2" t="s">
        <v>190</v>
      </c>
      <c r="E918" s="3">
        <v>4400</v>
      </c>
      <c r="F918" s="8">
        <v>0.41970000000000002</v>
      </c>
      <c r="G918" s="4">
        <v>147.14109999999999</v>
      </c>
      <c r="H918" s="4">
        <v>79.458600000000004</v>
      </c>
      <c r="I918" s="4">
        <v>12.47</v>
      </c>
      <c r="J918" s="4">
        <v>13.1225</v>
      </c>
      <c r="K918" s="4">
        <v>12.227499999999999</v>
      </c>
      <c r="L918" s="4">
        <v>12.7575</v>
      </c>
      <c r="M918" s="7">
        <v>2.3099999999999999E-2</v>
      </c>
    </row>
    <row r="919" spans="1:13" x14ac:dyDescent="0.2">
      <c r="A919" s="6">
        <v>45272</v>
      </c>
      <c r="B919" s="2" t="s">
        <v>226</v>
      </c>
      <c r="C919" s="5">
        <v>45261</v>
      </c>
      <c r="D919" s="2" t="s">
        <v>190</v>
      </c>
      <c r="E919" s="3">
        <v>4228</v>
      </c>
      <c r="F919" s="8">
        <v>0.43840000000000001</v>
      </c>
      <c r="G919" s="4">
        <v>168.48490000000001</v>
      </c>
      <c r="H919" s="4">
        <v>110.2277</v>
      </c>
      <c r="I919" s="4">
        <v>12.7575</v>
      </c>
      <c r="J919" s="4">
        <v>12.8675</v>
      </c>
      <c r="K919" s="4">
        <v>11.692500000000001</v>
      </c>
      <c r="L919" s="4">
        <v>12.7125</v>
      </c>
      <c r="M919" s="7">
        <v>-3.5000000000000001E-3</v>
      </c>
    </row>
    <row r="920" spans="1:13" x14ac:dyDescent="0.2">
      <c r="A920" s="6">
        <v>45273</v>
      </c>
      <c r="B920" s="2" t="s">
        <v>224</v>
      </c>
      <c r="C920" s="5">
        <v>45261</v>
      </c>
      <c r="D920" s="2" t="s">
        <v>190</v>
      </c>
      <c r="E920" s="3">
        <v>4176</v>
      </c>
      <c r="F920" s="8">
        <v>0.41610000000000003</v>
      </c>
      <c r="G920" s="4">
        <v>137.16679999999999</v>
      </c>
      <c r="H920" s="4">
        <v>75.833799999999997</v>
      </c>
      <c r="I920" s="4">
        <v>12.7125</v>
      </c>
      <c r="J920" s="4">
        <v>12.817500000000001</v>
      </c>
      <c r="K920" s="4">
        <v>11.54</v>
      </c>
      <c r="L920" s="4">
        <v>12.065</v>
      </c>
      <c r="M920" s="7">
        <v>-5.0900000000000001E-2</v>
      </c>
    </row>
    <row r="921" spans="1:13" x14ac:dyDescent="0.2">
      <c r="A921" s="6">
        <v>45274</v>
      </c>
      <c r="B921" s="2" t="s">
        <v>227</v>
      </c>
      <c r="C921" s="5">
        <v>45261</v>
      </c>
      <c r="D921" s="2" t="s">
        <v>190</v>
      </c>
      <c r="E921" s="3">
        <v>4227</v>
      </c>
      <c r="F921" s="8">
        <v>0.42930000000000001</v>
      </c>
      <c r="G921" s="4">
        <v>134.64009999999999</v>
      </c>
      <c r="H921" s="4">
        <v>100.6956</v>
      </c>
      <c r="I921" s="4">
        <v>12.065</v>
      </c>
      <c r="J921" s="4">
        <v>12.512499999999999</v>
      </c>
      <c r="K921" s="4">
        <v>11</v>
      </c>
      <c r="L921" s="4">
        <v>12.32</v>
      </c>
      <c r="M921" s="7">
        <v>2.1100000000000001E-2</v>
      </c>
    </row>
    <row r="922" spans="1:13" x14ac:dyDescent="0.2">
      <c r="A922" s="6">
        <v>45275</v>
      </c>
      <c r="B922" s="2" t="s">
        <v>225</v>
      </c>
      <c r="C922" s="5">
        <v>45261</v>
      </c>
      <c r="D922" s="2" t="s">
        <v>190</v>
      </c>
      <c r="E922" s="3">
        <v>4231</v>
      </c>
      <c r="F922" s="8">
        <v>0.439</v>
      </c>
      <c r="G922" s="4">
        <v>118.625</v>
      </c>
      <c r="H922" s="4">
        <v>104.7278</v>
      </c>
      <c r="I922" s="4">
        <v>12.32</v>
      </c>
      <c r="J922" s="4">
        <v>13.342499999999999</v>
      </c>
      <c r="K922" s="4">
        <v>10.8</v>
      </c>
      <c r="L922" s="4">
        <v>13.1275</v>
      </c>
      <c r="M922" s="7">
        <v>6.5500000000000003E-2</v>
      </c>
    </row>
    <row r="923" spans="1:13" x14ac:dyDescent="0.2">
      <c r="A923" s="6">
        <v>45278</v>
      </c>
      <c r="B923" s="2" t="s">
        <v>228</v>
      </c>
      <c r="C923" s="5">
        <v>45261</v>
      </c>
      <c r="D923" s="2" t="s">
        <v>190</v>
      </c>
      <c r="E923" s="3">
        <v>4392</v>
      </c>
      <c r="F923" s="8">
        <v>0.42580000000000001</v>
      </c>
      <c r="G923" s="4">
        <v>120.2032</v>
      </c>
      <c r="H923" s="4">
        <v>85.778800000000004</v>
      </c>
      <c r="I923" s="4">
        <v>13.1275</v>
      </c>
      <c r="J923" s="4">
        <v>14.1175</v>
      </c>
      <c r="K923" s="4">
        <v>13.125</v>
      </c>
      <c r="L923" s="4">
        <v>13.9</v>
      </c>
      <c r="M923" s="7">
        <v>5.8799999999999998E-2</v>
      </c>
    </row>
    <row r="924" spans="1:13" x14ac:dyDescent="0.2">
      <c r="A924" s="6">
        <v>45279</v>
      </c>
      <c r="B924" s="2" t="s">
        <v>226</v>
      </c>
      <c r="C924" s="5">
        <v>45261</v>
      </c>
      <c r="D924" s="2" t="s">
        <v>190</v>
      </c>
      <c r="E924" s="3">
        <v>4227</v>
      </c>
      <c r="F924" s="8">
        <v>0.37690000000000001</v>
      </c>
      <c r="G924" s="4">
        <v>121.7704</v>
      </c>
      <c r="H924" s="4">
        <v>84.921000000000006</v>
      </c>
      <c r="I924" s="4">
        <v>13.9</v>
      </c>
      <c r="J924" s="4">
        <v>14.12</v>
      </c>
      <c r="K924" s="4">
        <v>13.5525</v>
      </c>
      <c r="L924" s="4">
        <v>13.8675</v>
      </c>
      <c r="M924" s="7">
        <v>-2.3E-3</v>
      </c>
    </row>
    <row r="925" spans="1:13" x14ac:dyDescent="0.2">
      <c r="A925" s="6">
        <v>45280</v>
      </c>
      <c r="B925" s="2" t="s">
        <v>224</v>
      </c>
      <c r="C925" s="5">
        <v>45261</v>
      </c>
      <c r="D925" s="2" t="s">
        <v>190</v>
      </c>
      <c r="E925" s="3">
        <v>4250</v>
      </c>
      <c r="F925" s="8">
        <v>0.6028</v>
      </c>
      <c r="G925" s="4">
        <v>191.84899999999999</v>
      </c>
      <c r="H925" s="4">
        <v>189.18709999999999</v>
      </c>
      <c r="I925" s="4">
        <v>13.8675</v>
      </c>
      <c r="J925" s="4">
        <v>14.87</v>
      </c>
      <c r="K925" s="4">
        <v>12.7775</v>
      </c>
      <c r="L925" s="4">
        <v>14.45</v>
      </c>
      <c r="M925" s="7">
        <v>4.2000000000000003E-2</v>
      </c>
    </row>
    <row r="926" spans="1:13" x14ac:dyDescent="0.2">
      <c r="A926" s="6">
        <v>45281</v>
      </c>
      <c r="B926" s="2" t="s">
        <v>227</v>
      </c>
      <c r="C926" s="5">
        <v>45261</v>
      </c>
      <c r="D926" s="2" t="s">
        <v>190</v>
      </c>
      <c r="E926" s="3">
        <v>4199</v>
      </c>
      <c r="F926" s="8">
        <v>0.42499999999999999</v>
      </c>
      <c r="G926" s="4">
        <v>124.8082</v>
      </c>
      <c r="H926" s="4">
        <v>78.891400000000004</v>
      </c>
      <c r="I926" s="4">
        <v>14.45</v>
      </c>
      <c r="J926" s="4">
        <v>15.01</v>
      </c>
      <c r="K926" s="4">
        <v>12.282500000000001</v>
      </c>
      <c r="L926" s="4">
        <v>13.7575</v>
      </c>
      <c r="M926" s="7">
        <v>-4.7899999999999998E-2</v>
      </c>
    </row>
    <row r="927" spans="1:13" x14ac:dyDescent="0.2">
      <c r="A927" s="6">
        <v>45282</v>
      </c>
      <c r="B927" s="2" t="s">
        <v>225</v>
      </c>
      <c r="C927" s="5">
        <v>45261</v>
      </c>
      <c r="D927" s="2" t="s">
        <v>190</v>
      </c>
      <c r="E927" s="3">
        <v>4197</v>
      </c>
      <c r="F927" s="8">
        <v>0.37640000000000001</v>
      </c>
      <c r="G927" s="4">
        <v>90.905900000000003</v>
      </c>
      <c r="H927" s="4">
        <v>86.105400000000003</v>
      </c>
      <c r="I927" s="4">
        <v>13.7575</v>
      </c>
      <c r="J927" s="4">
        <v>13.987500000000001</v>
      </c>
      <c r="K927" s="4">
        <v>12.225</v>
      </c>
      <c r="L927" s="4">
        <v>13.7075</v>
      </c>
      <c r="M927" s="7">
        <v>-3.5999999999999999E-3</v>
      </c>
    </row>
    <row r="928" spans="1:13" x14ac:dyDescent="0.2">
      <c r="A928" s="6">
        <v>45286</v>
      </c>
      <c r="B928" s="2" t="s">
        <v>226</v>
      </c>
      <c r="C928" s="5">
        <v>45261</v>
      </c>
      <c r="D928" s="2" t="s">
        <v>190</v>
      </c>
      <c r="E928" s="3">
        <v>4389</v>
      </c>
      <c r="F928" s="8">
        <v>0.38819999999999999</v>
      </c>
      <c r="G928" s="4">
        <v>93.419700000000006</v>
      </c>
      <c r="H928" s="4">
        <v>64.794700000000006</v>
      </c>
      <c r="I928" s="4">
        <v>13.7075</v>
      </c>
      <c r="J928" s="4">
        <v>14.95</v>
      </c>
      <c r="K928" s="4">
        <v>13.7075</v>
      </c>
      <c r="L928" s="4">
        <v>14.6775</v>
      </c>
      <c r="M928" s="7">
        <v>7.0800000000000002E-2</v>
      </c>
    </row>
    <row r="929" spans="1:13" x14ac:dyDescent="0.2">
      <c r="A929" s="6">
        <v>45287</v>
      </c>
      <c r="B929" s="2" t="s">
        <v>224</v>
      </c>
      <c r="C929" s="5">
        <v>45261</v>
      </c>
      <c r="D929" s="2" t="s">
        <v>190</v>
      </c>
      <c r="E929" s="3">
        <v>4275</v>
      </c>
      <c r="F929" s="8">
        <v>0.374</v>
      </c>
      <c r="G929" s="4">
        <v>85.582499999999996</v>
      </c>
      <c r="H929" s="4">
        <v>68.860399999999998</v>
      </c>
      <c r="I929" s="4">
        <v>14.6775</v>
      </c>
      <c r="J929" s="4">
        <v>15.7325</v>
      </c>
      <c r="K929" s="4">
        <v>14.47</v>
      </c>
      <c r="L929" s="4">
        <v>15.557499999999999</v>
      </c>
      <c r="M929" s="7">
        <v>0.06</v>
      </c>
    </row>
    <row r="930" spans="1:13" x14ac:dyDescent="0.2">
      <c r="A930" s="6">
        <v>45288</v>
      </c>
      <c r="B930" s="2" t="s">
        <v>227</v>
      </c>
      <c r="C930" s="5">
        <v>45261</v>
      </c>
      <c r="D930" s="2" t="s">
        <v>190</v>
      </c>
      <c r="E930" s="3">
        <v>4264</v>
      </c>
      <c r="F930" s="8">
        <v>0.39229999999999998</v>
      </c>
      <c r="G930" s="4">
        <v>95.653499999999994</v>
      </c>
      <c r="H930" s="4">
        <v>69.430499999999995</v>
      </c>
      <c r="I930" s="4">
        <v>15.557499999999999</v>
      </c>
      <c r="J930" s="4">
        <v>16.47</v>
      </c>
      <c r="K930" s="4">
        <v>14.9625</v>
      </c>
      <c r="L930" s="4">
        <v>15.14</v>
      </c>
      <c r="M930" s="7">
        <v>-2.6800000000000001E-2</v>
      </c>
    </row>
    <row r="931" spans="1:13" x14ac:dyDescent="0.2">
      <c r="A931" s="6">
        <v>45289</v>
      </c>
      <c r="B931" s="2" t="s">
        <v>225</v>
      </c>
      <c r="C931" s="5">
        <v>45261</v>
      </c>
      <c r="D931" s="2" t="s">
        <v>190</v>
      </c>
      <c r="E931" s="3">
        <v>4253</v>
      </c>
      <c r="F931" s="8">
        <v>0.43769999999999998</v>
      </c>
      <c r="G931" s="4">
        <v>127.8539</v>
      </c>
      <c r="H931" s="4">
        <v>89.965500000000006</v>
      </c>
      <c r="I931" s="4">
        <v>15.14</v>
      </c>
      <c r="J931" s="4">
        <v>15.4275</v>
      </c>
      <c r="K931" s="4">
        <v>14.3725</v>
      </c>
      <c r="L931" s="4">
        <v>14.5025</v>
      </c>
      <c r="M931" s="7">
        <v>-4.2099999999999999E-2</v>
      </c>
    </row>
    <row r="932" spans="1:13" x14ac:dyDescent="0.2">
      <c r="A932" s="6">
        <v>45292</v>
      </c>
      <c r="B932" s="2" t="s">
        <v>228</v>
      </c>
      <c r="C932" s="5">
        <v>45292</v>
      </c>
      <c r="D932" s="2" t="s">
        <v>191</v>
      </c>
      <c r="E932" s="3">
        <v>4394</v>
      </c>
      <c r="F932" s="8">
        <v>0.39319999999999999</v>
      </c>
      <c r="G932" s="4">
        <v>124.6611</v>
      </c>
      <c r="H932" s="4">
        <v>69.782600000000002</v>
      </c>
      <c r="I932" s="4">
        <v>14.5025</v>
      </c>
      <c r="J932" s="4">
        <v>14.8675</v>
      </c>
      <c r="K932" s="4">
        <v>14.327500000000001</v>
      </c>
      <c r="L932" s="4">
        <v>14.68</v>
      </c>
      <c r="M932" s="7">
        <v>1.2200000000000001E-2</v>
      </c>
    </row>
    <row r="933" spans="1:13" x14ac:dyDescent="0.2">
      <c r="A933" s="6">
        <v>45293</v>
      </c>
      <c r="B933" s="2" t="s">
        <v>226</v>
      </c>
      <c r="C933" s="5">
        <v>45292</v>
      </c>
      <c r="D933" s="2" t="s">
        <v>191</v>
      </c>
      <c r="E933" s="3">
        <v>4273</v>
      </c>
      <c r="F933" s="8">
        <v>0.41070000000000001</v>
      </c>
      <c r="G933" s="4">
        <v>140.16040000000001</v>
      </c>
      <c r="H933" s="4">
        <v>79.439400000000006</v>
      </c>
      <c r="I933" s="4">
        <v>14.68</v>
      </c>
      <c r="J933" s="4">
        <v>15.08</v>
      </c>
      <c r="K933" s="4">
        <v>14.2425</v>
      </c>
      <c r="L933" s="4">
        <v>14.58</v>
      </c>
      <c r="M933" s="7">
        <v>-6.7999999999999996E-3</v>
      </c>
    </row>
    <row r="934" spans="1:13" x14ac:dyDescent="0.2">
      <c r="A934" s="6">
        <v>45294</v>
      </c>
      <c r="B934" s="2" t="s">
        <v>224</v>
      </c>
      <c r="C934" s="5">
        <v>45292</v>
      </c>
      <c r="D934" s="2" t="s">
        <v>191</v>
      </c>
      <c r="E934" s="3">
        <v>4275</v>
      </c>
      <c r="F934" s="8">
        <v>0.42770000000000002</v>
      </c>
      <c r="G934" s="4">
        <v>135.06630000000001</v>
      </c>
      <c r="H934" s="4">
        <v>82.901799999999994</v>
      </c>
      <c r="I934" s="4">
        <v>14.58</v>
      </c>
      <c r="J934" s="4">
        <v>14.78</v>
      </c>
      <c r="K934" s="4">
        <v>14.022500000000001</v>
      </c>
      <c r="L934" s="4">
        <v>14.0975</v>
      </c>
      <c r="M934" s="7">
        <v>-3.3099999999999997E-2</v>
      </c>
    </row>
    <row r="935" spans="1:13" x14ac:dyDescent="0.2">
      <c r="A935" s="6">
        <v>45295</v>
      </c>
      <c r="B935" s="2" t="s">
        <v>227</v>
      </c>
      <c r="C935" s="5">
        <v>45292</v>
      </c>
      <c r="D935" s="2" t="s">
        <v>191</v>
      </c>
      <c r="E935" s="3">
        <v>4276</v>
      </c>
      <c r="F935" s="8">
        <v>0.44769999999999999</v>
      </c>
      <c r="G935" s="4">
        <v>153.06319999999999</v>
      </c>
      <c r="H935" s="4">
        <v>80.829400000000007</v>
      </c>
      <c r="I935" s="4">
        <v>14.0975</v>
      </c>
      <c r="J935" s="4">
        <v>14.2075</v>
      </c>
      <c r="K935" s="4">
        <v>13.2125</v>
      </c>
      <c r="L935" s="4">
        <v>13.33</v>
      </c>
      <c r="M935" s="7">
        <v>-5.4399999999999997E-2</v>
      </c>
    </row>
    <row r="936" spans="1:13" x14ac:dyDescent="0.2">
      <c r="A936" s="6">
        <v>45296</v>
      </c>
      <c r="B936" s="2" t="s">
        <v>225</v>
      </c>
      <c r="C936" s="5">
        <v>45292</v>
      </c>
      <c r="D936" s="2" t="s">
        <v>191</v>
      </c>
      <c r="E936" s="3">
        <v>4326</v>
      </c>
      <c r="F936" s="8">
        <v>0.50680000000000003</v>
      </c>
      <c r="G936" s="4">
        <v>204.07939999999999</v>
      </c>
      <c r="H936" s="4">
        <v>98.309299999999993</v>
      </c>
      <c r="I936" s="4">
        <v>13.33</v>
      </c>
      <c r="J936" s="4">
        <v>13.467499999999999</v>
      </c>
      <c r="K936" s="4">
        <v>12.487500000000001</v>
      </c>
      <c r="L936" s="4">
        <v>12.63</v>
      </c>
      <c r="M936" s="7">
        <v>-5.2499999999999998E-2</v>
      </c>
    </row>
    <row r="937" spans="1:13" x14ac:dyDescent="0.2">
      <c r="A937" s="6">
        <v>45299</v>
      </c>
      <c r="B937" s="2" t="s">
        <v>228</v>
      </c>
      <c r="C937" s="5">
        <v>45292</v>
      </c>
      <c r="D937" s="2" t="s">
        <v>191</v>
      </c>
      <c r="E937" s="3">
        <v>4436</v>
      </c>
      <c r="F937" s="8">
        <v>0.48849999999999999</v>
      </c>
      <c r="G937" s="4">
        <v>163.7551</v>
      </c>
      <c r="H937" s="4">
        <v>90.223699999999994</v>
      </c>
      <c r="I937" s="4">
        <v>12.63</v>
      </c>
      <c r="J937" s="4">
        <v>13.595000000000001</v>
      </c>
      <c r="K937" s="4">
        <v>12.63</v>
      </c>
      <c r="L937" s="4">
        <v>13.4625</v>
      </c>
      <c r="M937" s="7">
        <v>6.59E-2</v>
      </c>
    </row>
    <row r="938" spans="1:13" x14ac:dyDescent="0.2">
      <c r="A938" s="6">
        <v>45300</v>
      </c>
      <c r="B938" s="2" t="s">
        <v>226</v>
      </c>
      <c r="C938" s="5">
        <v>45292</v>
      </c>
      <c r="D938" s="2" t="s">
        <v>191</v>
      </c>
      <c r="E938" s="3">
        <v>4287</v>
      </c>
      <c r="F938" s="8">
        <v>0.4672</v>
      </c>
      <c r="G938" s="4">
        <v>165.87219999999999</v>
      </c>
      <c r="H938" s="4">
        <v>87.794399999999996</v>
      </c>
      <c r="I938" s="4">
        <v>13.4625</v>
      </c>
      <c r="J938" s="4">
        <v>13.505000000000001</v>
      </c>
      <c r="K938" s="4">
        <v>12.775</v>
      </c>
      <c r="L938" s="4">
        <v>13.262499999999999</v>
      </c>
      <c r="M938" s="7">
        <v>-1.49E-2</v>
      </c>
    </row>
    <row r="939" spans="1:13" x14ac:dyDescent="0.2">
      <c r="A939" s="6">
        <v>45301</v>
      </c>
      <c r="B939" s="2" t="s">
        <v>224</v>
      </c>
      <c r="C939" s="5">
        <v>45292</v>
      </c>
      <c r="D939" s="2" t="s">
        <v>191</v>
      </c>
      <c r="E939" s="3">
        <v>4275</v>
      </c>
      <c r="F939" s="8">
        <v>0.45300000000000001</v>
      </c>
      <c r="G939" s="4">
        <v>159.2312</v>
      </c>
      <c r="H939" s="4">
        <v>82.102000000000004</v>
      </c>
      <c r="I939" s="4">
        <v>13.262499999999999</v>
      </c>
      <c r="J939" s="4">
        <v>14.557499999999999</v>
      </c>
      <c r="K939" s="4">
        <v>12.81</v>
      </c>
      <c r="L939" s="4">
        <v>12.97</v>
      </c>
      <c r="M939" s="7">
        <v>-2.2100000000000002E-2</v>
      </c>
    </row>
    <row r="940" spans="1:13" x14ac:dyDescent="0.2">
      <c r="A940" s="6">
        <v>45302</v>
      </c>
      <c r="B940" s="2" t="s">
        <v>227</v>
      </c>
      <c r="C940" s="5">
        <v>45292</v>
      </c>
      <c r="D940" s="2" t="s">
        <v>191</v>
      </c>
      <c r="E940" s="3">
        <v>4260</v>
      </c>
      <c r="F940" s="8">
        <v>0.50149999999999995</v>
      </c>
      <c r="G940" s="4">
        <v>118.36620000000001</v>
      </c>
      <c r="H940" s="4">
        <v>86.78</v>
      </c>
      <c r="I940" s="4">
        <v>12.97</v>
      </c>
      <c r="J940" s="4">
        <v>13.19</v>
      </c>
      <c r="K940" s="4">
        <v>12.63</v>
      </c>
      <c r="L940" s="4">
        <v>12.7675</v>
      </c>
      <c r="M940" s="7">
        <v>-1.5599999999999999E-2</v>
      </c>
    </row>
    <row r="941" spans="1:13" x14ac:dyDescent="0.2">
      <c r="A941" s="6">
        <v>45303</v>
      </c>
      <c r="B941" s="2" t="s">
        <v>225</v>
      </c>
      <c r="C941" s="5">
        <v>45292</v>
      </c>
      <c r="D941" s="2" t="s">
        <v>191</v>
      </c>
      <c r="E941" s="3">
        <v>4272</v>
      </c>
      <c r="F941" s="8">
        <v>0.48330000000000001</v>
      </c>
      <c r="G941" s="4">
        <v>129.2346</v>
      </c>
      <c r="H941" s="4">
        <v>108.9543</v>
      </c>
      <c r="I941" s="4">
        <v>12.7675</v>
      </c>
      <c r="J941" s="4">
        <v>13.285</v>
      </c>
      <c r="K941" s="4">
        <v>12.42</v>
      </c>
      <c r="L941" s="4">
        <v>13.1</v>
      </c>
      <c r="M941" s="7">
        <v>2.5999999999999999E-2</v>
      </c>
    </row>
    <row r="942" spans="1:13" x14ac:dyDescent="0.2">
      <c r="A942" s="6">
        <v>45306</v>
      </c>
      <c r="B942" s="2" t="s">
        <v>228</v>
      </c>
      <c r="C942" s="5">
        <v>45292</v>
      </c>
      <c r="D942" s="2" t="s">
        <v>191</v>
      </c>
      <c r="E942" s="3">
        <v>4398</v>
      </c>
      <c r="F942" s="8">
        <v>0.53</v>
      </c>
      <c r="G942" s="4">
        <v>140.97120000000001</v>
      </c>
      <c r="H942" s="4">
        <v>96.6952</v>
      </c>
      <c r="I942" s="4">
        <v>13.1</v>
      </c>
      <c r="J942" s="4">
        <v>13.885</v>
      </c>
      <c r="K942" s="4">
        <v>11.7875</v>
      </c>
      <c r="L942" s="4">
        <v>13.785</v>
      </c>
      <c r="M942" s="7">
        <v>5.2299999999999999E-2</v>
      </c>
    </row>
    <row r="943" spans="1:13" x14ac:dyDescent="0.2">
      <c r="A943" s="6">
        <v>45307</v>
      </c>
      <c r="B943" s="2" t="s">
        <v>226</v>
      </c>
      <c r="C943" s="5">
        <v>45292</v>
      </c>
      <c r="D943" s="2" t="s">
        <v>191</v>
      </c>
      <c r="E943" s="3">
        <v>4246</v>
      </c>
      <c r="F943" s="8">
        <v>0.51839999999999997</v>
      </c>
      <c r="G943" s="4">
        <v>132.78280000000001</v>
      </c>
      <c r="H943" s="4">
        <v>98.695899999999995</v>
      </c>
      <c r="I943" s="4">
        <v>13.785</v>
      </c>
      <c r="J943" s="4">
        <v>14.0425</v>
      </c>
      <c r="K943" s="4">
        <v>12.484999999999999</v>
      </c>
      <c r="L943" s="4">
        <v>13.5725</v>
      </c>
      <c r="M943" s="7">
        <v>-1.54E-2</v>
      </c>
    </row>
    <row r="944" spans="1:13" x14ac:dyDescent="0.2">
      <c r="A944" s="6">
        <v>45308</v>
      </c>
      <c r="B944" s="2" t="s">
        <v>224</v>
      </c>
      <c r="C944" s="5">
        <v>45292</v>
      </c>
      <c r="D944" s="2" t="s">
        <v>191</v>
      </c>
      <c r="E944" s="3">
        <v>4199</v>
      </c>
      <c r="F944" s="8">
        <v>0.47720000000000001</v>
      </c>
      <c r="G944" s="4">
        <v>101.9714</v>
      </c>
      <c r="H944" s="4">
        <v>85.145700000000005</v>
      </c>
      <c r="I944" s="4">
        <v>13.5725</v>
      </c>
      <c r="J944" s="4">
        <v>15.23</v>
      </c>
      <c r="K944" s="4">
        <v>12.715</v>
      </c>
      <c r="L944" s="4">
        <v>15.08</v>
      </c>
      <c r="M944" s="7">
        <v>0.1111</v>
      </c>
    </row>
    <row r="945" spans="1:13" x14ac:dyDescent="0.2">
      <c r="A945" s="6">
        <v>45309</v>
      </c>
      <c r="B945" s="2" t="s">
        <v>227</v>
      </c>
      <c r="C945" s="5">
        <v>45292</v>
      </c>
      <c r="D945" s="2" t="s">
        <v>191</v>
      </c>
      <c r="E945" s="3">
        <v>4189</v>
      </c>
      <c r="F945" s="8">
        <v>0.52949999999999997</v>
      </c>
      <c r="G945" s="4">
        <v>117.83240000000001</v>
      </c>
      <c r="H945" s="4">
        <v>100.0367</v>
      </c>
      <c r="I945" s="4">
        <v>15.08</v>
      </c>
      <c r="J945" s="4">
        <v>15.705</v>
      </c>
      <c r="K945" s="4">
        <v>12.98</v>
      </c>
      <c r="L945" s="4">
        <v>14.07</v>
      </c>
      <c r="M945" s="7">
        <v>-6.7000000000000004E-2</v>
      </c>
    </row>
    <row r="946" spans="1:13" x14ac:dyDescent="0.2">
      <c r="A946" s="6">
        <v>45310</v>
      </c>
      <c r="B946" s="2" t="s">
        <v>225</v>
      </c>
      <c r="C946" s="5">
        <v>45292</v>
      </c>
      <c r="D946" s="2" t="s">
        <v>191</v>
      </c>
      <c r="E946" s="3">
        <v>4232</v>
      </c>
      <c r="F946" s="8">
        <v>0.50339999999999996</v>
      </c>
      <c r="G946" s="4">
        <v>110.42449999999999</v>
      </c>
      <c r="H946" s="4">
        <v>113.2754</v>
      </c>
      <c r="I946" s="4">
        <v>14.07</v>
      </c>
      <c r="J946" s="4">
        <v>14.112500000000001</v>
      </c>
      <c r="K946" s="4">
        <v>13.6775</v>
      </c>
      <c r="L946" s="4">
        <v>13.8775</v>
      </c>
      <c r="M946" s="7">
        <v>-1.37E-2</v>
      </c>
    </row>
    <row r="947" spans="1:13" x14ac:dyDescent="0.2">
      <c r="A947" s="6">
        <v>45311</v>
      </c>
      <c r="B947" s="2" t="s">
        <v>229</v>
      </c>
      <c r="C947" s="5">
        <v>45292</v>
      </c>
      <c r="D947" s="2" t="s">
        <v>191</v>
      </c>
      <c r="E947" s="3">
        <v>4172</v>
      </c>
      <c r="F947" s="8">
        <v>0.41489999999999999</v>
      </c>
      <c r="G947" s="4">
        <v>94.732399999999998</v>
      </c>
      <c r="H947" s="4">
        <v>73.019000000000005</v>
      </c>
      <c r="I947" s="4">
        <v>13.8775</v>
      </c>
      <c r="J947" s="4">
        <v>14.2475</v>
      </c>
      <c r="K947" s="4">
        <v>13.0975</v>
      </c>
      <c r="L947" s="4">
        <v>13.8025</v>
      </c>
      <c r="M947" s="7">
        <v>-5.4000000000000003E-3</v>
      </c>
    </row>
    <row r="948" spans="1:13" x14ac:dyDescent="0.2">
      <c r="A948" s="6">
        <v>45314</v>
      </c>
      <c r="B948" s="2" t="s">
        <v>226</v>
      </c>
      <c r="C948" s="5">
        <v>45292</v>
      </c>
      <c r="D948" s="2" t="s">
        <v>191</v>
      </c>
      <c r="E948" s="3">
        <v>4400</v>
      </c>
      <c r="F948" s="8">
        <v>0.68279999999999996</v>
      </c>
      <c r="G948" s="4">
        <v>139.43</v>
      </c>
      <c r="H948" s="4">
        <v>113.4791</v>
      </c>
      <c r="I948" s="4">
        <v>13.8025</v>
      </c>
      <c r="J948" s="4">
        <v>15.404999999999999</v>
      </c>
      <c r="K948" s="4">
        <v>12.195</v>
      </c>
      <c r="L948" s="4">
        <v>14.852499999999999</v>
      </c>
      <c r="M948" s="7">
        <v>7.6100000000000001E-2</v>
      </c>
    </row>
    <row r="949" spans="1:13" x14ac:dyDescent="0.2">
      <c r="A949" s="6">
        <v>45315</v>
      </c>
      <c r="B949" s="2" t="s">
        <v>224</v>
      </c>
      <c r="C949" s="5">
        <v>45292</v>
      </c>
      <c r="D949" s="2" t="s">
        <v>191</v>
      </c>
      <c r="E949" s="3">
        <v>4229</v>
      </c>
      <c r="F949" s="8">
        <v>0.53259999999999996</v>
      </c>
      <c r="G949" s="4">
        <v>121.69450000000001</v>
      </c>
      <c r="H949" s="4">
        <v>109.5783</v>
      </c>
      <c r="I949" s="4">
        <v>14.852499999999999</v>
      </c>
      <c r="J949" s="4">
        <v>15.647500000000001</v>
      </c>
      <c r="K949" s="4">
        <v>14.03</v>
      </c>
      <c r="L949" s="4">
        <v>14.375</v>
      </c>
      <c r="M949" s="7">
        <v>-3.2099999999999997E-2</v>
      </c>
    </row>
    <row r="950" spans="1:13" x14ac:dyDescent="0.2">
      <c r="A950" s="6">
        <v>45316</v>
      </c>
      <c r="B950" s="2" t="s">
        <v>227</v>
      </c>
      <c r="C950" s="5">
        <v>45292</v>
      </c>
      <c r="D950" s="2" t="s">
        <v>191</v>
      </c>
      <c r="E950" s="3">
        <v>4223</v>
      </c>
      <c r="F950" s="8">
        <v>0.47910000000000003</v>
      </c>
      <c r="G950" s="4">
        <v>123.7246</v>
      </c>
      <c r="H950" s="4">
        <v>197.03450000000001</v>
      </c>
      <c r="I950" s="4">
        <v>14.375</v>
      </c>
      <c r="J950" s="4">
        <v>15.3375</v>
      </c>
      <c r="K950" s="4">
        <v>13.36</v>
      </c>
      <c r="L950" s="4">
        <v>13.865</v>
      </c>
      <c r="M950" s="7">
        <v>-3.5499999999999997E-2</v>
      </c>
    </row>
    <row r="951" spans="1:13" x14ac:dyDescent="0.2">
      <c r="A951" s="6">
        <v>45320</v>
      </c>
      <c r="B951" s="2" t="s">
        <v>228</v>
      </c>
      <c r="C951" s="5">
        <v>45292</v>
      </c>
      <c r="D951" s="2" t="s">
        <v>191</v>
      </c>
      <c r="E951" s="3">
        <v>4436</v>
      </c>
      <c r="F951" s="8">
        <v>0.54139999999999999</v>
      </c>
      <c r="G951" s="4">
        <v>130.72370000000001</v>
      </c>
      <c r="H951" s="4">
        <v>106.2675</v>
      </c>
      <c r="I951" s="4">
        <v>13.865</v>
      </c>
      <c r="J951" s="4">
        <v>15.8475</v>
      </c>
      <c r="K951" s="4">
        <v>13.795</v>
      </c>
      <c r="L951" s="4">
        <v>15.68</v>
      </c>
      <c r="M951" s="7">
        <v>0.13089999999999999</v>
      </c>
    </row>
    <row r="952" spans="1:13" x14ac:dyDescent="0.2">
      <c r="A952" s="6">
        <v>45321</v>
      </c>
      <c r="B952" s="2" t="s">
        <v>226</v>
      </c>
      <c r="C952" s="5">
        <v>45292</v>
      </c>
      <c r="D952" s="2" t="s">
        <v>191</v>
      </c>
      <c r="E952" s="3">
        <v>4243</v>
      </c>
      <c r="F952" s="8">
        <v>0.5716</v>
      </c>
      <c r="G952" s="4">
        <v>138.10300000000001</v>
      </c>
      <c r="H952" s="4">
        <v>101.6469</v>
      </c>
      <c r="I952" s="4">
        <v>15.68</v>
      </c>
      <c r="J952" s="4">
        <v>16.574999999999999</v>
      </c>
      <c r="K952" s="4">
        <v>14.987500000000001</v>
      </c>
      <c r="L952" s="4">
        <v>16.102499999999999</v>
      </c>
      <c r="M952" s="7">
        <v>2.69E-2</v>
      </c>
    </row>
    <row r="953" spans="1:13" x14ac:dyDescent="0.2">
      <c r="A953" s="6">
        <v>45322</v>
      </c>
      <c r="B953" s="2" t="s">
        <v>224</v>
      </c>
      <c r="C953" s="5">
        <v>45292</v>
      </c>
      <c r="D953" s="2" t="s">
        <v>191</v>
      </c>
      <c r="E953" s="3">
        <v>4247</v>
      </c>
      <c r="F953" s="8">
        <v>0.51629999999999998</v>
      </c>
      <c r="G953" s="4">
        <v>143.39689999999999</v>
      </c>
      <c r="H953" s="4">
        <v>96.503799999999998</v>
      </c>
      <c r="I953" s="4">
        <v>16.102499999999999</v>
      </c>
      <c r="J953" s="4">
        <v>16.532499999999999</v>
      </c>
      <c r="K953" s="4">
        <v>15.8</v>
      </c>
      <c r="L953" s="4">
        <v>16.047499999999999</v>
      </c>
      <c r="M953" s="7">
        <v>-3.3999999999999998E-3</v>
      </c>
    </row>
    <row r="954" spans="1:13" x14ac:dyDescent="0.2">
      <c r="A954" s="6">
        <v>45323</v>
      </c>
      <c r="B954" s="2" t="s">
        <v>227</v>
      </c>
      <c r="C954" s="5">
        <v>45323</v>
      </c>
      <c r="D954" s="2" t="s">
        <v>191</v>
      </c>
      <c r="E954" s="3">
        <v>4281</v>
      </c>
      <c r="F954" s="8">
        <v>0.59219999999999995</v>
      </c>
      <c r="G954" s="4">
        <v>163.50530000000001</v>
      </c>
      <c r="H954" s="4">
        <v>177.36699999999999</v>
      </c>
      <c r="I954" s="4">
        <v>16.047499999999999</v>
      </c>
      <c r="J954" s="4">
        <v>16.107500000000002</v>
      </c>
      <c r="K954" s="4">
        <v>14.36</v>
      </c>
      <c r="L954" s="4">
        <v>14.455</v>
      </c>
      <c r="M954" s="7">
        <v>-9.9199999999999997E-2</v>
      </c>
    </row>
    <row r="955" spans="1:13" x14ac:dyDescent="0.2">
      <c r="A955" s="6">
        <v>45324</v>
      </c>
      <c r="B955" s="2" t="s">
        <v>225</v>
      </c>
      <c r="C955" s="5">
        <v>45323</v>
      </c>
      <c r="D955" s="2" t="s">
        <v>191</v>
      </c>
      <c r="E955" s="3">
        <v>4337</v>
      </c>
      <c r="F955" s="8">
        <v>0.59050000000000002</v>
      </c>
      <c r="G955" s="4">
        <v>141.86699999999999</v>
      </c>
      <c r="H955" s="4">
        <v>118.15049999999999</v>
      </c>
      <c r="I955" s="4">
        <v>14.455</v>
      </c>
      <c r="J955" s="4">
        <v>15.1325</v>
      </c>
      <c r="K955" s="4">
        <v>14.025</v>
      </c>
      <c r="L955" s="4">
        <v>14.6975</v>
      </c>
      <c r="M955" s="7">
        <v>1.6799999999999999E-2</v>
      </c>
    </row>
    <row r="956" spans="1:13" x14ac:dyDescent="0.2">
      <c r="A956" s="6">
        <v>45327</v>
      </c>
      <c r="B956" s="2" t="s">
        <v>228</v>
      </c>
      <c r="C956" s="5">
        <v>45323</v>
      </c>
      <c r="D956" s="2" t="s">
        <v>191</v>
      </c>
      <c r="E956" s="3">
        <v>4516</v>
      </c>
      <c r="F956" s="8">
        <v>0.72540000000000004</v>
      </c>
      <c r="G956" s="4">
        <v>154.19540000000001</v>
      </c>
      <c r="H956" s="4">
        <v>128.90700000000001</v>
      </c>
      <c r="I956" s="4">
        <v>14.6975</v>
      </c>
      <c r="J956" s="4">
        <v>16.05</v>
      </c>
      <c r="K956" s="4">
        <v>14.6975</v>
      </c>
      <c r="L956" s="4">
        <v>15.6175</v>
      </c>
      <c r="M956" s="7">
        <v>6.2600000000000003E-2</v>
      </c>
    </row>
    <row r="957" spans="1:13" x14ac:dyDescent="0.2">
      <c r="A957" s="6">
        <v>45328</v>
      </c>
      <c r="B957" s="2" t="s">
        <v>226</v>
      </c>
      <c r="C957" s="5">
        <v>45323</v>
      </c>
      <c r="D957" s="2" t="s">
        <v>191</v>
      </c>
      <c r="E957" s="3">
        <v>4321</v>
      </c>
      <c r="F957" s="8">
        <v>0.56679999999999997</v>
      </c>
      <c r="G957" s="4">
        <v>148.2184</v>
      </c>
      <c r="H957" s="4">
        <v>114.5193</v>
      </c>
      <c r="I957" s="4">
        <v>15.6175</v>
      </c>
      <c r="J957" s="4">
        <v>15.9825</v>
      </c>
      <c r="K957" s="4">
        <v>15.0875</v>
      </c>
      <c r="L957" s="4">
        <v>15.785</v>
      </c>
      <c r="M957" s="7">
        <v>1.0699999999999999E-2</v>
      </c>
    </row>
    <row r="958" spans="1:13" x14ac:dyDescent="0.2">
      <c r="A958" s="6">
        <v>45329</v>
      </c>
      <c r="B958" s="2" t="s">
        <v>224</v>
      </c>
      <c r="C958" s="5">
        <v>45323</v>
      </c>
      <c r="D958" s="2" t="s">
        <v>191</v>
      </c>
      <c r="E958" s="3">
        <v>4335</v>
      </c>
      <c r="F958" s="8">
        <v>0.57199999999999995</v>
      </c>
      <c r="G958" s="4">
        <v>153.6404</v>
      </c>
      <c r="H958" s="4">
        <v>117.0634</v>
      </c>
      <c r="I958" s="4">
        <v>15.785</v>
      </c>
      <c r="J958" s="4">
        <v>16.017499999999998</v>
      </c>
      <c r="K958" s="4">
        <v>14.74</v>
      </c>
      <c r="L958" s="4">
        <v>15.505000000000001</v>
      </c>
      <c r="M958" s="7">
        <v>-1.77E-2</v>
      </c>
    </row>
    <row r="959" spans="1:13" x14ac:dyDescent="0.2">
      <c r="A959" s="6">
        <v>45330</v>
      </c>
      <c r="B959" s="2" t="s">
        <v>227</v>
      </c>
      <c r="C959" s="5">
        <v>45323</v>
      </c>
      <c r="D959" s="2" t="s">
        <v>191</v>
      </c>
      <c r="E959" s="3">
        <v>4329</v>
      </c>
      <c r="F959" s="8">
        <v>0.57399999999999995</v>
      </c>
      <c r="G959" s="4">
        <v>177.9555</v>
      </c>
      <c r="H959" s="4">
        <v>115.5051</v>
      </c>
      <c r="I959" s="4">
        <v>15.505000000000001</v>
      </c>
      <c r="J959" s="4">
        <v>16.0275</v>
      </c>
      <c r="K959" s="4">
        <v>15.2425</v>
      </c>
      <c r="L959" s="4">
        <v>15.827500000000001</v>
      </c>
      <c r="M959" s="7">
        <v>2.0799999999999999E-2</v>
      </c>
    </row>
    <row r="960" spans="1:13" x14ac:dyDescent="0.2">
      <c r="A960" s="6">
        <v>45331</v>
      </c>
      <c r="B960" s="2" t="s">
        <v>225</v>
      </c>
      <c r="C960" s="5">
        <v>45323</v>
      </c>
      <c r="D960" s="2" t="s">
        <v>191</v>
      </c>
      <c r="E960" s="3">
        <v>4300</v>
      </c>
      <c r="F960" s="8">
        <v>0.66839999999999999</v>
      </c>
      <c r="G960" s="4">
        <v>154.0034</v>
      </c>
      <c r="H960" s="4">
        <v>116.6764</v>
      </c>
      <c r="I960" s="4">
        <v>15.827500000000001</v>
      </c>
      <c r="J960" s="4">
        <v>16.3325</v>
      </c>
      <c r="K960" s="4">
        <v>15.265000000000001</v>
      </c>
      <c r="L960" s="4">
        <v>15.4475</v>
      </c>
      <c r="M960" s="7">
        <v>-2.4E-2</v>
      </c>
    </row>
    <row r="961" spans="1:13" x14ac:dyDescent="0.2">
      <c r="A961" s="6">
        <v>45334</v>
      </c>
      <c r="B961" s="2" t="s">
        <v>228</v>
      </c>
      <c r="C961" s="5">
        <v>45323</v>
      </c>
      <c r="D961" s="2" t="s">
        <v>191</v>
      </c>
      <c r="E961" s="3">
        <v>4434</v>
      </c>
      <c r="F961" s="8">
        <v>0.64149999999999996</v>
      </c>
      <c r="G961" s="4">
        <v>124.31489999999999</v>
      </c>
      <c r="H961" s="4">
        <v>96.008600000000001</v>
      </c>
      <c r="I961" s="4">
        <v>15.4475</v>
      </c>
      <c r="J961" s="4">
        <v>16.535</v>
      </c>
      <c r="K961" s="4">
        <v>15.4475</v>
      </c>
      <c r="L961" s="4">
        <v>16.0625</v>
      </c>
      <c r="M961" s="7">
        <v>3.9800000000000002E-2</v>
      </c>
    </row>
    <row r="962" spans="1:13" x14ac:dyDescent="0.2">
      <c r="A962" s="6">
        <v>45335</v>
      </c>
      <c r="B962" s="2" t="s">
        <v>226</v>
      </c>
      <c r="C962" s="5">
        <v>45323</v>
      </c>
      <c r="D962" s="2" t="s">
        <v>191</v>
      </c>
      <c r="E962" s="3">
        <v>4296</v>
      </c>
      <c r="F962" s="8">
        <v>0.53210000000000002</v>
      </c>
      <c r="G962" s="4">
        <v>100.21040000000001</v>
      </c>
      <c r="H962" s="4">
        <v>83.657200000000003</v>
      </c>
      <c r="I962" s="4">
        <v>16.0625</v>
      </c>
      <c r="J962" s="4">
        <v>16.57</v>
      </c>
      <c r="K962" s="4">
        <v>15.7525</v>
      </c>
      <c r="L962" s="4">
        <v>15.807499999999999</v>
      </c>
      <c r="M962" s="7">
        <v>-1.5900000000000001E-2</v>
      </c>
    </row>
    <row r="963" spans="1:13" x14ac:dyDescent="0.2">
      <c r="A963" s="6">
        <v>45336</v>
      </c>
      <c r="B963" s="2" t="s">
        <v>224</v>
      </c>
      <c r="C963" s="5">
        <v>45323</v>
      </c>
      <c r="D963" s="2" t="s">
        <v>191</v>
      </c>
      <c r="E963" s="3">
        <v>4254</v>
      </c>
      <c r="F963" s="8">
        <v>0.42059999999999997</v>
      </c>
      <c r="G963" s="4">
        <v>125.6557</v>
      </c>
      <c r="H963" s="4">
        <v>150.38419999999999</v>
      </c>
      <c r="I963" s="4">
        <v>15.807499999999999</v>
      </c>
      <c r="J963" s="4">
        <v>16.197500000000002</v>
      </c>
      <c r="K963" s="4">
        <v>15.34</v>
      </c>
      <c r="L963" s="4">
        <v>15.435</v>
      </c>
      <c r="M963" s="7">
        <v>-2.3599999999999999E-2</v>
      </c>
    </row>
    <row r="964" spans="1:13" x14ac:dyDescent="0.2">
      <c r="A964" s="6">
        <v>45337</v>
      </c>
      <c r="B964" s="2" t="s">
        <v>227</v>
      </c>
      <c r="C964" s="5">
        <v>45323</v>
      </c>
      <c r="D964" s="2" t="s">
        <v>191</v>
      </c>
      <c r="E964" s="3">
        <v>4265</v>
      </c>
      <c r="F964" s="8">
        <v>0.4637</v>
      </c>
      <c r="G964" s="4">
        <v>152.29150000000001</v>
      </c>
      <c r="H964" s="4">
        <v>118.04900000000001</v>
      </c>
      <c r="I964" s="4">
        <v>15.435</v>
      </c>
      <c r="J964" s="4">
        <v>15.6625</v>
      </c>
      <c r="K964" s="4">
        <v>15.112500000000001</v>
      </c>
      <c r="L964" s="4">
        <v>15.225</v>
      </c>
      <c r="M964" s="7">
        <v>-1.3599999999999999E-2</v>
      </c>
    </row>
    <row r="965" spans="1:13" x14ac:dyDescent="0.2">
      <c r="A965" s="6">
        <v>45338</v>
      </c>
      <c r="B965" s="2" t="s">
        <v>225</v>
      </c>
      <c r="C965" s="5">
        <v>45323</v>
      </c>
      <c r="D965" s="2" t="s">
        <v>191</v>
      </c>
      <c r="E965" s="3">
        <v>4255</v>
      </c>
      <c r="F965" s="8">
        <v>0.46360000000000001</v>
      </c>
      <c r="G965" s="4">
        <v>121.8177</v>
      </c>
      <c r="H965" s="4">
        <v>96.935400000000001</v>
      </c>
      <c r="I965" s="4">
        <v>15.225</v>
      </c>
      <c r="J965" s="4">
        <v>15.5525</v>
      </c>
      <c r="K965" s="4">
        <v>14.9025</v>
      </c>
      <c r="L965" s="4">
        <v>15.2225</v>
      </c>
      <c r="M965" s="7">
        <v>-2.0000000000000001E-4</v>
      </c>
    </row>
    <row r="966" spans="1:13" x14ac:dyDescent="0.2">
      <c r="A966" s="6">
        <v>45341</v>
      </c>
      <c r="B966" s="2" t="s">
        <v>228</v>
      </c>
      <c r="C966" s="5">
        <v>45323</v>
      </c>
      <c r="D966" s="2" t="s">
        <v>191</v>
      </c>
      <c r="E966" s="3">
        <v>4471</v>
      </c>
      <c r="F966" s="8">
        <v>0.43259999999999998</v>
      </c>
      <c r="G966" s="4">
        <v>117.3078</v>
      </c>
      <c r="H966" s="4">
        <v>83.962999999999994</v>
      </c>
      <c r="I966" s="4">
        <v>15.2225</v>
      </c>
      <c r="J966" s="4">
        <v>16.1175</v>
      </c>
      <c r="K966" s="4">
        <v>13.7</v>
      </c>
      <c r="L966" s="4">
        <v>16.017499999999998</v>
      </c>
      <c r="M966" s="7">
        <v>5.2200000000000003E-2</v>
      </c>
    </row>
    <row r="967" spans="1:13" x14ac:dyDescent="0.2">
      <c r="A967" s="6">
        <v>45342</v>
      </c>
      <c r="B967" s="2" t="s">
        <v>226</v>
      </c>
      <c r="C967" s="5">
        <v>45323</v>
      </c>
      <c r="D967" s="2" t="s">
        <v>191</v>
      </c>
      <c r="E967" s="3">
        <v>4285</v>
      </c>
      <c r="F967" s="8">
        <v>0.41210000000000002</v>
      </c>
      <c r="G967" s="4">
        <v>84.988600000000005</v>
      </c>
      <c r="H967" s="4">
        <v>108.3751</v>
      </c>
      <c r="I967" s="4">
        <v>16.017499999999998</v>
      </c>
      <c r="J967" s="4">
        <v>16.36</v>
      </c>
      <c r="K967" s="4">
        <v>14.2125</v>
      </c>
      <c r="L967" s="4">
        <v>16.072500000000002</v>
      </c>
      <c r="M967" s="7">
        <v>3.3999999999999998E-3</v>
      </c>
    </row>
    <row r="968" spans="1:13" x14ac:dyDescent="0.2">
      <c r="A968" s="6">
        <v>45343</v>
      </c>
      <c r="B968" s="2" t="s">
        <v>224</v>
      </c>
      <c r="C968" s="5">
        <v>45323</v>
      </c>
      <c r="D968" s="2" t="s">
        <v>191</v>
      </c>
      <c r="E968" s="3">
        <v>4283</v>
      </c>
      <c r="F968" s="8">
        <v>0.43609999999999999</v>
      </c>
      <c r="G968" s="4">
        <v>115.8618</v>
      </c>
      <c r="H968" s="4">
        <v>82.240600000000001</v>
      </c>
      <c r="I968" s="4">
        <v>16.072500000000002</v>
      </c>
      <c r="J968" s="4">
        <v>16.309999999999999</v>
      </c>
      <c r="K968" s="4">
        <v>15.68</v>
      </c>
      <c r="L968" s="4">
        <v>15.9275</v>
      </c>
      <c r="M968" s="7">
        <v>-8.9999999999999993E-3</v>
      </c>
    </row>
    <row r="969" spans="1:13" x14ac:dyDescent="0.2">
      <c r="A969" s="6">
        <v>45344</v>
      </c>
      <c r="B969" s="2" t="s">
        <v>227</v>
      </c>
      <c r="C969" s="5">
        <v>45323</v>
      </c>
      <c r="D969" s="2" t="s">
        <v>191</v>
      </c>
      <c r="E969" s="3">
        <v>4235</v>
      </c>
      <c r="F969" s="8">
        <v>0.3967</v>
      </c>
      <c r="G969" s="4">
        <v>97.2727</v>
      </c>
      <c r="H969" s="4">
        <v>81.425600000000003</v>
      </c>
      <c r="I969" s="4">
        <v>15.9275</v>
      </c>
      <c r="J969" s="4">
        <v>16.149999999999999</v>
      </c>
      <c r="K969" s="4">
        <v>15.1325</v>
      </c>
      <c r="L969" s="4">
        <v>15.1975</v>
      </c>
      <c r="M969" s="7">
        <v>-4.58E-2</v>
      </c>
    </row>
    <row r="970" spans="1:13" x14ac:dyDescent="0.2">
      <c r="A970" s="6">
        <v>45345</v>
      </c>
      <c r="B970" s="2" t="s">
        <v>225</v>
      </c>
      <c r="C970" s="5">
        <v>45323</v>
      </c>
      <c r="D970" s="2" t="s">
        <v>191</v>
      </c>
      <c r="E970" s="3">
        <v>4276</v>
      </c>
      <c r="F970" s="8">
        <v>0.42749999999999999</v>
      </c>
      <c r="G970" s="4">
        <v>130.92760000000001</v>
      </c>
      <c r="H970" s="4">
        <v>88.150899999999993</v>
      </c>
      <c r="I970" s="4">
        <v>15.1975</v>
      </c>
      <c r="J970" s="4">
        <v>15.442500000000001</v>
      </c>
      <c r="K970" s="4">
        <v>14.84</v>
      </c>
      <c r="L970" s="4">
        <v>14.9725</v>
      </c>
      <c r="M970" s="7">
        <v>-1.4800000000000001E-2</v>
      </c>
    </row>
    <row r="971" spans="1:13" x14ac:dyDescent="0.2">
      <c r="A971" s="6">
        <v>45348</v>
      </c>
      <c r="B971" s="2" t="s">
        <v>228</v>
      </c>
      <c r="C971" s="5">
        <v>45323</v>
      </c>
      <c r="D971" s="2" t="s">
        <v>191</v>
      </c>
      <c r="E971" s="3">
        <v>4435</v>
      </c>
      <c r="F971" s="8">
        <v>0.41959999999999997</v>
      </c>
      <c r="G971" s="4">
        <v>99.915800000000004</v>
      </c>
      <c r="H971" s="4">
        <v>71.733400000000003</v>
      </c>
      <c r="I971" s="4">
        <v>14.9725</v>
      </c>
      <c r="J971" s="4">
        <v>15.96</v>
      </c>
      <c r="K971" s="4">
        <v>13.7575</v>
      </c>
      <c r="L971" s="4">
        <v>15.6</v>
      </c>
      <c r="M971" s="7">
        <v>4.19E-2</v>
      </c>
    </row>
    <row r="972" spans="1:13" x14ac:dyDescent="0.2">
      <c r="A972" s="6">
        <v>45349</v>
      </c>
      <c r="B972" s="2" t="s">
        <v>226</v>
      </c>
      <c r="C972" s="5">
        <v>45323</v>
      </c>
      <c r="D972" s="2" t="s">
        <v>191</v>
      </c>
      <c r="E972" s="3">
        <v>4231</v>
      </c>
      <c r="F972" s="8">
        <v>0.39179999999999998</v>
      </c>
      <c r="G972" s="4">
        <v>95.111099999999993</v>
      </c>
      <c r="H972" s="4">
        <v>96.987099999999998</v>
      </c>
      <c r="I972" s="4">
        <v>15.6</v>
      </c>
      <c r="J972" s="4">
        <v>15.9975</v>
      </c>
      <c r="K972" s="4">
        <v>15.53</v>
      </c>
      <c r="L972" s="4">
        <v>15.727499999999999</v>
      </c>
      <c r="M972" s="7">
        <v>8.2000000000000007E-3</v>
      </c>
    </row>
    <row r="973" spans="1:13" x14ac:dyDescent="0.2">
      <c r="A973" s="6">
        <v>45350</v>
      </c>
      <c r="B973" s="2" t="s">
        <v>224</v>
      </c>
      <c r="C973" s="5">
        <v>45323</v>
      </c>
      <c r="D973" s="2" t="s">
        <v>191</v>
      </c>
      <c r="E973" s="3">
        <v>4255</v>
      </c>
      <c r="F973" s="8">
        <v>0.46010000000000001</v>
      </c>
      <c r="G973" s="4">
        <v>104.2028</v>
      </c>
      <c r="H973" s="4">
        <v>71.026899999999998</v>
      </c>
      <c r="I973" s="4">
        <v>15.727499999999999</v>
      </c>
      <c r="J973" s="4">
        <v>16.739999999999998</v>
      </c>
      <c r="K973" s="4">
        <v>15.31</v>
      </c>
      <c r="L973" s="4">
        <v>16.329999999999998</v>
      </c>
      <c r="M973" s="7">
        <v>3.8300000000000001E-2</v>
      </c>
    </row>
    <row r="974" spans="1:13" x14ac:dyDescent="0.2">
      <c r="A974" s="6">
        <v>45351</v>
      </c>
      <c r="B974" s="2" t="s">
        <v>227</v>
      </c>
      <c r="C974" s="5">
        <v>45323</v>
      </c>
      <c r="D974" s="2" t="s">
        <v>191</v>
      </c>
      <c r="E974" s="3">
        <v>4185</v>
      </c>
      <c r="F974" s="8">
        <v>0.39979999999999999</v>
      </c>
      <c r="G974" s="4">
        <v>97.109800000000007</v>
      </c>
      <c r="H974" s="4">
        <v>93.514200000000002</v>
      </c>
      <c r="I974" s="4">
        <v>16.329999999999998</v>
      </c>
      <c r="J974" s="4">
        <v>16.552499999999998</v>
      </c>
      <c r="K974" s="4">
        <v>15.37</v>
      </c>
      <c r="L974" s="4">
        <v>15.5725</v>
      </c>
      <c r="M974" s="7">
        <v>-4.6399999999999997E-2</v>
      </c>
    </row>
    <row r="975" spans="1:13" x14ac:dyDescent="0.2">
      <c r="A975" s="6">
        <v>45352</v>
      </c>
      <c r="B975" s="2" t="s">
        <v>225</v>
      </c>
      <c r="C975" s="5">
        <v>45352</v>
      </c>
      <c r="D975" s="2" t="s">
        <v>191</v>
      </c>
      <c r="E975" s="3">
        <v>4283</v>
      </c>
      <c r="F975" s="8">
        <v>0.38840000000000002</v>
      </c>
      <c r="G975" s="4">
        <v>83.536600000000007</v>
      </c>
      <c r="H975" s="4">
        <v>81.207300000000004</v>
      </c>
      <c r="I975" s="4">
        <v>15.5725</v>
      </c>
      <c r="J975" s="4">
        <v>15.6425</v>
      </c>
      <c r="K975" s="4">
        <v>15</v>
      </c>
      <c r="L975" s="4">
        <v>15.234999999999999</v>
      </c>
      <c r="M975" s="7">
        <v>-2.1700000000000001E-2</v>
      </c>
    </row>
    <row r="976" spans="1:13" x14ac:dyDescent="0.2">
      <c r="A976" s="6">
        <v>45353</v>
      </c>
      <c r="B976" s="2" t="s">
        <v>229</v>
      </c>
      <c r="C976" s="5">
        <v>45352</v>
      </c>
      <c r="D976" s="2" t="s">
        <v>191</v>
      </c>
      <c r="E976" s="3">
        <v>3689</v>
      </c>
      <c r="F976" s="8">
        <v>9.8299999999999998E-2</v>
      </c>
      <c r="G976" s="4">
        <v>19.809000000000001</v>
      </c>
      <c r="H976" s="4">
        <v>10.788399999999999</v>
      </c>
      <c r="I976" s="4"/>
      <c r="J976" s="4"/>
      <c r="K976" s="4"/>
      <c r="L976" s="4"/>
      <c r="M976" s="7"/>
    </row>
    <row r="977" spans="1:13" x14ac:dyDescent="0.2">
      <c r="A977" s="6">
        <v>45355</v>
      </c>
      <c r="B977" s="2" t="s">
        <v>228</v>
      </c>
      <c r="C977" s="5">
        <v>45352</v>
      </c>
      <c r="D977" s="2" t="s">
        <v>191</v>
      </c>
      <c r="E977" s="3">
        <v>4398</v>
      </c>
      <c r="F977" s="8">
        <v>0.3604</v>
      </c>
      <c r="G977" s="4">
        <v>67.673599999999993</v>
      </c>
      <c r="H977" s="4">
        <v>72.473100000000002</v>
      </c>
      <c r="I977" s="4">
        <v>14.9925</v>
      </c>
      <c r="J977" s="4">
        <v>15.3025</v>
      </c>
      <c r="K977" s="4">
        <v>14.8225</v>
      </c>
      <c r="L977" s="4">
        <v>14.922499999999999</v>
      </c>
      <c r="M977" s="7">
        <v>-4.7000000000000002E-3</v>
      </c>
    </row>
    <row r="978" spans="1:13" x14ac:dyDescent="0.2">
      <c r="A978" s="6">
        <v>45356</v>
      </c>
      <c r="B978" s="2" t="s">
        <v>226</v>
      </c>
      <c r="C978" s="5">
        <v>45352</v>
      </c>
      <c r="D978" s="2" t="s">
        <v>191</v>
      </c>
      <c r="E978" s="3">
        <v>4259</v>
      </c>
      <c r="F978" s="8">
        <v>0.38769999999999999</v>
      </c>
      <c r="G978" s="4">
        <v>72.239599999999996</v>
      </c>
      <c r="H978" s="4">
        <v>85.524900000000002</v>
      </c>
      <c r="I978" s="4">
        <v>14.922499999999999</v>
      </c>
      <c r="J978" s="4">
        <v>15.164999999999999</v>
      </c>
      <c r="K978" s="4">
        <v>14.1775</v>
      </c>
      <c r="L978" s="4">
        <v>14.38</v>
      </c>
      <c r="M978" s="7">
        <v>-3.6400000000000002E-2</v>
      </c>
    </row>
    <row r="979" spans="1:13" x14ac:dyDescent="0.2">
      <c r="A979" s="6">
        <v>45357</v>
      </c>
      <c r="B979" s="2" t="s">
        <v>224</v>
      </c>
      <c r="C979" s="5">
        <v>45352</v>
      </c>
      <c r="D979" s="2" t="s">
        <v>191</v>
      </c>
      <c r="E979" s="3">
        <v>4283</v>
      </c>
      <c r="F979" s="8">
        <v>0.45240000000000002</v>
      </c>
      <c r="G979" s="4">
        <v>98.188500000000005</v>
      </c>
      <c r="H979" s="4">
        <v>110.6763</v>
      </c>
      <c r="I979" s="4">
        <v>14.38</v>
      </c>
      <c r="J979" s="4">
        <v>14.71</v>
      </c>
      <c r="K979" s="4">
        <v>13.904999999999999</v>
      </c>
      <c r="L979" s="4">
        <v>14.295</v>
      </c>
      <c r="M979" s="7">
        <v>-5.8999999999999999E-3</v>
      </c>
    </row>
    <row r="980" spans="1:13" x14ac:dyDescent="0.2">
      <c r="A980" s="6">
        <v>45358</v>
      </c>
      <c r="B980" s="2" t="s">
        <v>227</v>
      </c>
      <c r="C980" s="5">
        <v>45352</v>
      </c>
      <c r="D980" s="2" t="s">
        <v>191</v>
      </c>
      <c r="E980" s="3">
        <v>4279</v>
      </c>
      <c r="F980" s="8">
        <v>0.36759999999999998</v>
      </c>
      <c r="G980" s="4">
        <v>80.125900000000001</v>
      </c>
      <c r="H980" s="4">
        <v>70.531999999999996</v>
      </c>
      <c r="I980" s="4">
        <v>14.295</v>
      </c>
      <c r="J980" s="4">
        <v>14.432499999999999</v>
      </c>
      <c r="K980" s="4">
        <v>13.56</v>
      </c>
      <c r="L980" s="4">
        <v>13.612500000000001</v>
      </c>
      <c r="M980" s="7">
        <v>-4.7699999999999999E-2</v>
      </c>
    </row>
    <row r="981" spans="1:13" x14ac:dyDescent="0.2">
      <c r="A981" s="6">
        <v>45362</v>
      </c>
      <c r="B981" s="2" t="s">
        <v>228</v>
      </c>
      <c r="C981" s="5">
        <v>45352</v>
      </c>
      <c r="D981" s="2" t="s">
        <v>191</v>
      </c>
      <c r="E981" s="3">
        <v>4470</v>
      </c>
      <c r="F981" s="8">
        <v>0.40389999999999998</v>
      </c>
      <c r="G981" s="4">
        <v>88.457499999999996</v>
      </c>
      <c r="H981" s="4">
        <v>134.51429999999999</v>
      </c>
      <c r="I981" s="4">
        <v>13.612500000000001</v>
      </c>
      <c r="J981" s="4">
        <v>14.5525</v>
      </c>
      <c r="K981" s="4">
        <v>13.612500000000001</v>
      </c>
      <c r="L981" s="4">
        <v>13.994999999999999</v>
      </c>
      <c r="M981" s="7">
        <v>2.81E-2</v>
      </c>
    </row>
    <row r="982" spans="1:13" x14ac:dyDescent="0.2">
      <c r="A982" s="6">
        <v>45363</v>
      </c>
      <c r="B982" s="2" t="s">
        <v>226</v>
      </c>
      <c r="C982" s="5">
        <v>45352</v>
      </c>
      <c r="D982" s="2" t="s">
        <v>191</v>
      </c>
      <c r="E982" s="3">
        <v>4367</v>
      </c>
      <c r="F982" s="8">
        <v>0.4521</v>
      </c>
      <c r="G982" s="4">
        <v>78.801699999999997</v>
      </c>
      <c r="H982" s="4">
        <v>69.946299999999994</v>
      </c>
      <c r="I982" s="4">
        <v>13.994999999999999</v>
      </c>
      <c r="J982" s="4">
        <v>14.195</v>
      </c>
      <c r="K982" s="4">
        <v>13.577500000000001</v>
      </c>
      <c r="L982" s="4">
        <v>13.637499999999999</v>
      </c>
      <c r="M982" s="7">
        <v>-2.5499999999999998E-2</v>
      </c>
    </row>
    <row r="983" spans="1:13" x14ac:dyDescent="0.2">
      <c r="A983" s="6">
        <v>45364</v>
      </c>
      <c r="B983" s="2" t="s">
        <v>224</v>
      </c>
      <c r="C983" s="5">
        <v>45352</v>
      </c>
      <c r="D983" s="2" t="s">
        <v>191</v>
      </c>
      <c r="E983" s="3">
        <v>4319</v>
      </c>
      <c r="F983" s="8">
        <v>0.62290000000000001</v>
      </c>
      <c r="G983" s="4">
        <v>137.3492</v>
      </c>
      <c r="H983" s="4">
        <v>265.90109999999999</v>
      </c>
      <c r="I983" s="4">
        <v>13.637499999999999</v>
      </c>
      <c r="J983" s="4">
        <v>15.005000000000001</v>
      </c>
      <c r="K983" s="4">
        <v>13.532500000000001</v>
      </c>
      <c r="L983" s="4">
        <v>14.432499999999999</v>
      </c>
      <c r="M983" s="7">
        <v>5.8299999999999998E-2</v>
      </c>
    </row>
    <row r="984" spans="1:13" x14ac:dyDescent="0.2">
      <c r="A984" s="6">
        <v>45365</v>
      </c>
      <c r="B984" s="2" t="s">
        <v>227</v>
      </c>
      <c r="C984" s="5">
        <v>45352</v>
      </c>
      <c r="D984" s="2" t="s">
        <v>191</v>
      </c>
      <c r="E984" s="3">
        <v>4312</v>
      </c>
      <c r="F984" s="8">
        <v>0.48580000000000001</v>
      </c>
      <c r="G984" s="4">
        <v>105.2907</v>
      </c>
      <c r="H984" s="4">
        <v>78.320899999999995</v>
      </c>
      <c r="I984" s="4">
        <v>14.432499999999999</v>
      </c>
      <c r="J984" s="4">
        <v>14.682499999999999</v>
      </c>
      <c r="K984" s="4">
        <v>13.522500000000001</v>
      </c>
      <c r="L984" s="4">
        <v>13.6225</v>
      </c>
      <c r="M984" s="7">
        <v>-5.6099999999999997E-2</v>
      </c>
    </row>
    <row r="985" spans="1:13" x14ac:dyDescent="0.2">
      <c r="A985" s="6">
        <v>45366</v>
      </c>
      <c r="B985" s="2" t="s">
        <v>225</v>
      </c>
      <c r="C985" s="5">
        <v>45352</v>
      </c>
      <c r="D985" s="2" t="s">
        <v>191</v>
      </c>
      <c r="E985" s="3">
        <v>4269</v>
      </c>
      <c r="F985" s="8">
        <v>0.43690000000000001</v>
      </c>
      <c r="G985" s="4">
        <v>80.483599999999996</v>
      </c>
      <c r="H985" s="4">
        <v>77.559700000000007</v>
      </c>
      <c r="I985" s="4">
        <v>13.6225</v>
      </c>
      <c r="J985" s="4">
        <v>14.3325</v>
      </c>
      <c r="K985" s="4">
        <v>13.59</v>
      </c>
      <c r="L985" s="4">
        <v>13.69</v>
      </c>
      <c r="M985" s="7">
        <v>5.0000000000000001E-3</v>
      </c>
    </row>
    <row r="986" spans="1:13" x14ac:dyDescent="0.2">
      <c r="A986" s="6">
        <v>45369</v>
      </c>
      <c r="B986" s="2" t="s">
        <v>228</v>
      </c>
      <c r="C986" s="5">
        <v>45352</v>
      </c>
      <c r="D986" s="2" t="s">
        <v>191</v>
      </c>
      <c r="E986" s="3">
        <v>4386</v>
      </c>
      <c r="F986" s="8">
        <v>0.32950000000000002</v>
      </c>
      <c r="G986" s="4">
        <v>58.926900000000003</v>
      </c>
      <c r="H986" s="4">
        <v>51.326700000000002</v>
      </c>
      <c r="I986" s="4">
        <v>13.69</v>
      </c>
      <c r="J986" s="4">
        <v>14.615</v>
      </c>
      <c r="K986" s="4">
        <v>13.69</v>
      </c>
      <c r="L986" s="4">
        <v>13.895</v>
      </c>
      <c r="M986" s="7">
        <v>1.4999999999999999E-2</v>
      </c>
    </row>
    <row r="987" spans="1:13" x14ac:dyDescent="0.2">
      <c r="A987" s="6">
        <v>45370</v>
      </c>
      <c r="B987" s="2" t="s">
        <v>226</v>
      </c>
      <c r="C987" s="5">
        <v>45352</v>
      </c>
      <c r="D987" s="2" t="s">
        <v>191</v>
      </c>
      <c r="E987" s="3">
        <v>4251</v>
      </c>
      <c r="F987" s="8">
        <v>0.309</v>
      </c>
      <c r="G987" s="4">
        <v>61.509</v>
      </c>
      <c r="H987" s="4">
        <v>159.0941</v>
      </c>
      <c r="I987" s="4">
        <v>13.895</v>
      </c>
      <c r="J987" s="4">
        <v>14.445</v>
      </c>
      <c r="K987" s="4">
        <v>13.875</v>
      </c>
      <c r="L987" s="4">
        <v>14.112500000000001</v>
      </c>
      <c r="M987" s="7">
        <v>1.5699999999999999E-2</v>
      </c>
    </row>
    <row r="988" spans="1:13" x14ac:dyDescent="0.2">
      <c r="A988" s="6">
        <v>45371</v>
      </c>
      <c r="B988" s="2" t="s">
        <v>224</v>
      </c>
      <c r="C988" s="5">
        <v>45352</v>
      </c>
      <c r="D988" s="2" t="s">
        <v>191</v>
      </c>
      <c r="E988" s="3">
        <v>4206</v>
      </c>
      <c r="F988" s="8">
        <v>0.31769999999999998</v>
      </c>
      <c r="G988" s="4">
        <v>75.708600000000004</v>
      </c>
      <c r="H988" s="4">
        <v>54.4938</v>
      </c>
      <c r="I988" s="4">
        <v>14.112500000000001</v>
      </c>
      <c r="J988" s="4">
        <v>14.282500000000001</v>
      </c>
      <c r="K988" s="4">
        <v>13.085000000000001</v>
      </c>
      <c r="L988" s="4">
        <v>13.4725</v>
      </c>
      <c r="M988" s="7">
        <v>-4.53E-2</v>
      </c>
    </row>
    <row r="989" spans="1:13" x14ac:dyDescent="0.2">
      <c r="A989" s="6">
        <v>45372</v>
      </c>
      <c r="B989" s="2" t="s">
        <v>227</v>
      </c>
      <c r="C989" s="5">
        <v>45352</v>
      </c>
      <c r="D989" s="2" t="s">
        <v>191</v>
      </c>
      <c r="E989" s="3">
        <v>4259</v>
      </c>
      <c r="F989" s="8">
        <v>0.28799999999999998</v>
      </c>
      <c r="G989" s="4">
        <v>58.406999999999996</v>
      </c>
      <c r="H989" s="4">
        <v>51.06</v>
      </c>
      <c r="I989" s="4">
        <v>13.4725</v>
      </c>
      <c r="J989" s="4">
        <v>13.4725</v>
      </c>
      <c r="K989" s="4">
        <v>12.342499999999999</v>
      </c>
      <c r="L989" s="4">
        <v>12.512499999999999</v>
      </c>
      <c r="M989" s="7">
        <v>-7.1300000000000002E-2</v>
      </c>
    </row>
    <row r="990" spans="1:13" x14ac:dyDescent="0.2">
      <c r="A990" s="6">
        <v>45373</v>
      </c>
      <c r="B990" s="2" t="s">
        <v>225</v>
      </c>
      <c r="C990" s="5">
        <v>45352</v>
      </c>
      <c r="D990" s="2" t="s">
        <v>191</v>
      </c>
      <c r="E990" s="3">
        <v>4235</v>
      </c>
      <c r="F990" s="8">
        <v>0.31730000000000003</v>
      </c>
      <c r="G990" s="4">
        <v>68.286299999999997</v>
      </c>
      <c r="H990" s="4">
        <v>79.109700000000004</v>
      </c>
      <c r="I990" s="4">
        <v>12.512499999999999</v>
      </c>
      <c r="J990" s="4">
        <v>13.047499999999999</v>
      </c>
      <c r="K990" s="4">
        <v>11.81</v>
      </c>
      <c r="L990" s="4">
        <v>12.22</v>
      </c>
      <c r="M990" s="7">
        <v>-2.3400000000000001E-2</v>
      </c>
    </row>
    <row r="991" spans="1:13" x14ac:dyDescent="0.2">
      <c r="A991" s="6">
        <v>45377</v>
      </c>
      <c r="B991" s="2" t="s">
        <v>226</v>
      </c>
      <c r="C991" s="5">
        <v>45352</v>
      </c>
      <c r="D991" s="2" t="s">
        <v>191</v>
      </c>
      <c r="E991" s="3">
        <v>4444</v>
      </c>
      <c r="F991" s="8">
        <v>0.33329999999999999</v>
      </c>
      <c r="G991" s="4">
        <v>71.581900000000005</v>
      </c>
      <c r="H991" s="4">
        <v>84.891400000000004</v>
      </c>
      <c r="I991" s="4">
        <v>12.22</v>
      </c>
      <c r="J991" s="4">
        <v>13.102499999999999</v>
      </c>
      <c r="K991" s="4">
        <v>12.085000000000001</v>
      </c>
      <c r="L991" s="4">
        <v>12.82</v>
      </c>
      <c r="M991" s="7">
        <v>4.9099999999999998E-2</v>
      </c>
    </row>
    <row r="992" spans="1:13" x14ac:dyDescent="0.2">
      <c r="A992" s="6">
        <v>45378</v>
      </c>
      <c r="B992" s="2" t="s">
        <v>224</v>
      </c>
      <c r="C992" s="5">
        <v>45352</v>
      </c>
      <c r="D992" s="2" t="s">
        <v>191</v>
      </c>
      <c r="E992" s="3">
        <v>4294</v>
      </c>
      <c r="F992" s="8">
        <v>0.37090000000000001</v>
      </c>
      <c r="G992" s="4">
        <v>82.153000000000006</v>
      </c>
      <c r="H992" s="4">
        <v>96.467500000000001</v>
      </c>
      <c r="I992" s="4">
        <v>12.82</v>
      </c>
      <c r="J992" s="4">
        <v>13.01</v>
      </c>
      <c r="K992" s="4">
        <v>12.532500000000001</v>
      </c>
      <c r="L992" s="4">
        <v>12.702500000000001</v>
      </c>
      <c r="M992" s="7">
        <v>-9.1999999999999998E-3</v>
      </c>
    </row>
    <row r="993" spans="1:13" x14ac:dyDescent="0.2">
      <c r="A993" s="6">
        <v>45379</v>
      </c>
      <c r="B993" s="2" t="s">
        <v>227</v>
      </c>
      <c r="C993" s="5">
        <v>45352</v>
      </c>
      <c r="D993" s="2" t="s">
        <v>191</v>
      </c>
      <c r="E993" s="3">
        <v>4271</v>
      </c>
      <c r="F993" s="8">
        <v>0.36919999999999997</v>
      </c>
      <c r="G993" s="4">
        <v>93.4803</v>
      </c>
      <c r="H993" s="4">
        <v>89.704499999999996</v>
      </c>
      <c r="I993" s="4">
        <v>12.702500000000001</v>
      </c>
      <c r="J993" s="4">
        <v>13.18</v>
      </c>
      <c r="K993" s="4">
        <v>12.26</v>
      </c>
      <c r="L993" s="4">
        <v>12.8325</v>
      </c>
      <c r="M993" s="7">
        <v>1.0200000000000001E-2</v>
      </c>
    </row>
    <row r="994" spans="1:13" x14ac:dyDescent="0.2">
      <c r="A994" s="6">
        <v>45383</v>
      </c>
      <c r="B994" s="2" t="s">
        <v>228</v>
      </c>
      <c r="C994" s="5">
        <v>45383</v>
      </c>
      <c r="D994" s="2" t="s">
        <v>192</v>
      </c>
      <c r="E994" s="3">
        <v>4382</v>
      </c>
      <c r="F994" s="8">
        <v>0.33939999999999998</v>
      </c>
      <c r="G994" s="4">
        <v>63.808999999999997</v>
      </c>
      <c r="H994" s="4">
        <v>56.028399999999998</v>
      </c>
      <c r="I994" s="4">
        <v>12.8325</v>
      </c>
      <c r="J994" s="4">
        <v>13.3575</v>
      </c>
      <c r="K994" s="4">
        <v>12.005000000000001</v>
      </c>
      <c r="L994" s="4">
        <v>12.0825</v>
      </c>
      <c r="M994" s="7">
        <v>-5.8400000000000001E-2</v>
      </c>
    </row>
    <row r="995" spans="1:13" x14ac:dyDescent="0.2">
      <c r="A995" s="6">
        <v>45384</v>
      </c>
      <c r="B995" s="2" t="s">
        <v>226</v>
      </c>
      <c r="C995" s="5">
        <v>45383</v>
      </c>
      <c r="D995" s="2" t="s">
        <v>192</v>
      </c>
      <c r="E995" s="3">
        <v>4293</v>
      </c>
      <c r="F995" s="8">
        <v>0.3422</v>
      </c>
      <c r="G995" s="4">
        <v>78.376499999999993</v>
      </c>
      <c r="H995" s="4">
        <v>60.325699999999998</v>
      </c>
      <c r="I995" s="4">
        <v>12.0825</v>
      </c>
      <c r="J995" s="4">
        <v>12.305</v>
      </c>
      <c r="K995" s="4">
        <v>11.5975</v>
      </c>
      <c r="L995" s="4">
        <v>11.6525</v>
      </c>
      <c r="M995" s="7">
        <v>-3.56E-2</v>
      </c>
    </row>
    <row r="996" spans="1:13" x14ac:dyDescent="0.2">
      <c r="A996" s="6">
        <v>45385</v>
      </c>
      <c r="B996" s="2" t="s">
        <v>224</v>
      </c>
      <c r="C996" s="5">
        <v>45383</v>
      </c>
      <c r="D996" s="2" t="s">
        <v>192</v>
      </c>
      <c r="E996" s="3">
        <v>4294</v>
      </c>
      <c r="F996" s="8">
        <v>0.36570000000000003</v>
      </c>
      <c r="G996" s="4">
        <v>95.807000000000002</v>
      </c>
      <c r="H996" s="4">
        <v>69.335400000000007</v>
      </c>
      <c r="I996" s="4">
        <v>11.6525</v>
      </c>
      <c r="J996" s="4">
        <v>11.827500000000001</v>
      </c>
      <c r="K996" s="4">
        <v>11.3125</v>
      </c>
      <c r="L996" s="4">
        <v>11.3725</v>
      </c>
      <c r="M996" s="7">
        <v>-2.4E-2</v>
      </c>
    </row>
    <row r="997" spans="1:13" x14ac:dyDescent="0.2">
      <c r="A997" s="6">
        <v>45386</v>
      </c>
      <c r="B997" s="2" t="s">
        <v>227</v>
      </c>
      <c r="C997" s="5">
        <v>45383</v>
      </c>
      <c r="D997" s="2" t="s">
        <v>192</v>
      </c>
      <c r="E997" s="3">
        <v>4258</v>
      </c>
      <c r="F997" s="8">
        <v>0.3861</v>
      </c>
      <c r="G997" s="4">
        <v>96.006500000000003</v>
      </c>
      <c r="H997" s="4">
        <v>69.419700000000006</v>
      </c>
      <c r="I997" s="4">
        <v>11.3725</v>
      </c>
      <c r="J997" s="4">
        <v>11.8375</v>
      </c>
      <c r="K997" s="4">
        <v>10.86</v>
      </c>
      <c r="L997" s="4">
        <v>11.22</v>
      </c>
      <c r="M997" s="7">
        <v>-1.34E-2</v>
      </c>
    </row>
    <row r="998" spans="1:13" x14ac:dyDescent="0.2">
      <c r="A998" s="6">
        <v>45387</v>
      </c>
      <c r="B998" s="2" t="s">
        <v>225</v>
      </c>
      <c r="C998" s="5">
        <v>45383</v>
      </c>
      <c r="D998" s="2" t="s">
        <v>192</v>
      </c>
      <c r="E998" s="3">
        <v>4267</v>
      </c>
      <c r="F998" s="8">
        <v>0.39079999999999998</v>
      </c>
      <c r="G998" s="4">
        <v>98.979299999999995</v>
      </c>
      <c r="H998" s="4">
        <v>76.1828</v>
      </c>
      <c r="I998" s="4">
        <v>11.22</v>
      </c>
      <c r="J998" s="4">
        <v>11.682499999999999</v>
      </c>
      <c r="K998" s="4">
        <v>11.035</v>
      </c>
      <c r="L998" s="4">
        <v>11.3375</v>
      </c>
      <c r="M998" s="7">
        <v>1.0500000000000001E-2</v>
      </c>
    </row>
    <row r="999" spans="1:13" x14ac:dyDescent="0.2">
      <c r="A999" s="6">
        <v>45390</v>
      </c>
      <c r="B999" s="2" t="s">
        <v>228</v>
      </c>
      <c r="C999" s="5">
        <v>45383</v>
      </c>
      <c r="D999" s="2" t="s">
        <v>192</v>
      </c>
      <c r="E999" s="3">
        <v>4335</v>
      </c>
      <c r="F999" s="8">
        <v>0.37009999999999998</v>
      </c>
      <c r="G999" s="4">
        <v>90.242099999999994</v>
      </c>
      <c r="H999" s="4">
        <v>69.844899999999996</v>
      </c>
      <c r="I999" s="4">
        <v>11.3375</v>
      </c>
      <c r="J999" s="4">
        <v>11.7425</v>
      </c>
      <c r="K999" s="4">
        <v>11.1325</v>
      </c>
      <c r="L999" s="4">
        <v>11.61</v>
      </c>
      <c r="M999" s="7">
        <v>2.4E-2</v>
      </c>
    </row>
    <row r="1000" spans="1:13" x14ac:dyDescent="0.2">
      <c r="A1000" s="6">
        <v>45391</v>
      </c>
      <c r="B1000" s="2" t="s">
        <v>226</v>
      </c>
      <c r="C1000" s="5">
        <v>45383</v>
      </c>
      <c r="D1000" s="2" t="s">
        <v>192</v>
      </c>
      <c r="E1000" s="3">
        <v>4275</v>
      </c>
      <c r="F1000" s="8">
        <v>0.35360000000000003</v>
      </c>
      <c r="G1000" s="4">
        <v>69.616399999999999</v>
      </c>
      <c r="H1000" s="4">
        <v>102.9727</v>
      </c>
      <c r="I1000" s="4">
        <v>11.61</v>
      </c>
      <c r="J1000" s="4">
        <v>11.612500000000001</v>
      </c>
      <c r="K1000" s="4">
        <v>10.6175</v>
      </c>
      <c r="L1000" s="4">
        <v>11.355</v>
      </c>
      <c r="M1000" s="7">
        <v>-2.1999999999999999E-2</v>
      </c>
    </row>
    <row r="1001" spans="1:13" x14ac:dyDescent="0.2">
      <c r="A1001" s="6">
        <v>45392</v>
      </c>
      <c r="B1001" s="2" t="s">
        <v>224</v>
      </c>
      <c r="C1001" s="5">
        <v>45383</v>
      </c>
      <c r="D1001" s="2" t="s">
        <v>192</v>
      </c>
      <c r="E1001" s="3">
        <v>4272</v>
      </c>
      <c r="F1001" s="8">
        <v>0.34129999999999999</v>
      </c>
      <c r="G1001" s="4">
        <v>66.754400000000004</v>
      </c>
      <c r="H1001" s="4">
        <v>68.080500000000001</v>
      </c>
      <c r="I1001" s="4">
        <v>11.355</v>
      </c>
      <c r="J1001" s="4">
        <v>11.355</v>
      </c>
      <c r="K1001" s="4">
        <v>10.984999999999999</v>
      </c>
      <c r="L1001" s="4">
        <v>11.1075</v>
      </c>
      <c r="M1001" s="7">
        <v>-2.18E-2</v>
      </c>
    </row>
    <row r="1002" spans="1:13" x14ac:dyDescent="0.2">
      <c r="A1002" s="6">
        <v>45394</v>
      </c>
      <c r="B1002" s="2" t="s">
        <v>225</v>
      </c>
      <c r="C1002" s="5">
        <v>45383</v>
      </c>
      <c r="D1002" s="2" t="s">
        <v>192</v>
      </c>
      <c r="E1002" s="3">
        <v>4310</v>
      </c>
      <c r="F1002" s="8">
        <v>0.3846</v>
      </c>
      <c r="G1002" s="4">
        <v>70.672899999999998</v>
      </c>
      <c r="H1002" s="4">
        <v>78.8065</v>
      </c>
      <c r="I1002" s="4">
        <v>11.1075</v>
      </c>
      <c r="J1002" s="4">
        <v>11.605</v>
      </c>
      <c r="K1002" s="4">
        <v>11.1075</v>
      </c>
      <c r="L1002" s="4">
        <v>11.532500000000001</v>
      </c>
      <c r="M1002" s="7">
        <v>3.8300000000000001E-2</v>
      </c>
    </row>
    <row r="1003" spans="1:13" x14ac:dyDescent="0.2">
      <c r="A1003" s="6">
        <v>45397</v>
      </c>
      <c r="B1003" s="2" t="s">
        <v>228</v>
      </c>
      <c r="C1003" s="5">
        <v>45383</v>
      </c>
      <c r="D1003" s="2" t="s">
        <v>192</v>
      </c>
      <c r="E1003" s="3">
        <v>4409</v>
      </c>
      <c r="F1003" s="8">
        <v>0.4859</v>
      </c>
      <c r="G1003" s="4">
        <v>84.597700000000003</v>
      </c>
      <c r="H1003" s="4">
        <v>88.339600000000004</v>
      </c>
      <c r="I1003" s="4">
        <v>11.532500000000001</v>
      </c>
      <c r="J1003" s="4">
        <v>12.737500000000001</v>
      </c>
      <c r="K1003" s="4">
        <v>11.307499999999999</v>
      </c>
      <c r="L1003" s="4">
        <v>12.467499999999999</v>
      </c>
      <c r="M1003" s="7">
        <v>8.1100000000000005E-2</v>
      </c>
    </row>
    <row r="1004" spans="1:13" x14ac:dyDescent="0.2">
      <c r="A1004" s="6">
        <v>45398</v>
      </c>
      <c r="B1004" s="2" t="s">
        <v>226</v>
      </c>
      <c r="C1004" s="5">
        <v>45383</v>
      </c>
      <c r="D1004" s="2" t="s">
        <v>192</v>
      </c>
      <c r="E1004" s="3">
        <v>4255</v>
      </c>
      <c r="F1004" s="8">
        <v>0.33789999999999998</v>
      </c>
      <c r="G1004" s="4">
        <v>70.659599999999998</v>
      </c>
      <c r="H1004" s="4">
        <v>62.8842</v>
      </c>
      <c r="I1004" s="4">
        <v>12.467499999999999</v>
      </c>
      <c r="J1004" s="4">
        <v>12.925000000000001</v>
      </c>
      <c r="K1004" s="4">
        <v>12.34</v>
      </c>
      <c r="L1004" s="4">
        <v>12.615</v>
      </c>
      <c r="M1004" s="7">
        <v>1.18E-2</v>
      </c>
    </row>
    <row r="1005" spans="1:13" x14ac:dyDescent="0.2">
      <c r="A1005" s="6">
        <v>45400</v>
      </c>
      <c r="B1005" s="2" t="s">
        <v>227</v>
      </c>
      <c r="C1005" s="5">
        <v>45383</v>
      </c>
      <c r="D1005" s="2" t="s">
        <v>192</v>
      </c>
      <c r="E1005" s="3">
        <v>4256</v>
      </c>
      <c r="F1005" s="8">
        <v>0.40289999999999998</v>
      </c>
      <c r="G1005" s="4">
        <v>74.280100000000004</v>
      </c>
      <c r="H1005" s="4">
        <v>73.9465</v>
      </c>
      <c r="I1005" s="4">
        <v>12.615</v>
      </c>
      <c r="J1005" s="4">
        <v>13.387499999999999</v>
      </c>
      <c r="K1005" s="4">
        <v>12.0275</v>
      </c>
      <c r="L1005" s="4">
        <v>13.04</v>
      </c>
      <c r="M1005" s="7">
        <v>3.3700000000000001E-2</v>
      </c>
    </row>
    <row r="1006" spans="1:13" x14ac:dyDescent="0.2">
      <c r="A1006" s="6">
        <v>45401</v>
      </c>
      <c r="B1006" s="2" t="s">
        <v>225</v>
      </c>
      <c r="C1006" s="5">
        <v>45383</v>
      </c>
      <c r="D1006" s="2" t="s">
        <v>192</v>
      </c>
      <c r="E1006" s="3">
        <v>4242</v>
      </c>
      <c r="F1006" s="8">
        <v>0.41060000000000002</v>
      </c>
      <c r="G1006" s="4">
        <v>65.399500000000003</v>
      </c>
      <c r="H1006" s="4">
        <v>81.241799999999998</v>
      </c>
      <c r="I1006" s="4">
        <v>13.04</v>
      </c>
      <c r="J1006" s="4">
        <v>14.4125</v>
      </c>
      <c r="K1006" s="4">
        <v>11.914999999999999</v>
      </c>
      <c r="L1006" s="4">
        <v>13.4575</v>
      </c>
      <c r="M1006" s="7">
        <v>3.2000000000000001E-2</v>
      </c>
    </row>
    <row r="1007" spans="1:13" x14ac:dyDescent="0.2">
      <c r="A1007" s="6">
        <v>45404</v>
      </c>
      <c r="B1007" s="2" t="s">
        <v>228</v>
      </c>
      <c r="C1007" s="5">
        <v>45383</v>
      </c>
      <c r="D1007" s="2" t="s">
        <v>192</v>
      </c>
      <c r="E1007" s="3">
        <v>4369</v>
      </c>
      <c r="F1007" s="8">
        <v>0.37780000000000002</v>
      </c>
      <c r="G1007" s="4">
        <v>85.726100000000002</v>
      </c>
      <c r="H1007" s="4">
        <v>69.802800000000005</v>
      </c>
      <c r="I1007" s="4">
        <v>13.4575</v>
      </c>
      <c r="J1007" s="4">
        <v>13.4575</v>
      </c>
      <c r="K1007" s="4">
        <v>12.612500000000001</v>
      </c>
      <c r="L1007" s="4">
        <v>12.7</v>
      </c>
      <c r="M1007" s="7">
        <v>-5.6300000000000003E-2</v>
      </c>
    </row>
    <row r="1008" spans="1:13" x14ac:dyDescent="0.2">
      <c r="A1008" s="6">
        <v>45405</v>
      </c>
      <c r="B1008" s="2" t="s">
        <v>226</v>
      </c>
      <c r="C1008" s="5">
        <v>45383</v>
      </c>
      <c r="D1008" s="2" t="s">
        <v>192</v>
      </c>
      <c r="E1008" s="3">
        <v>4253</v>
      </c>
      <c r="F1008" s="8">
        <v>0.37580000000000002</v>
      </c>
      <c r="G1008" s="4">
        <v>99.043300000000002</v>
      </c>
      <c r="H1008" s="4">
        <v>71.103899999999996</v>
      </c>
      <c r="I1008" s="4">
        <v>12.7</v>
      </c>
      <c r="J1008" s="4">
        <v>12.7</v>
      </c>
      <c r="K1008" s="4">
        <v>9.8574999999999999</v>
      </c>
      <c r="L1008" s="4">
        <v>10.195</v>
      </c>
      <c r="M1008" s="7">
        <v>-0.19719999999999999</v>
      </c>
    </row>
    <row r="1009" spans="1:13" x14ac:dyDescent="0.2">
      <c r="A1009" s="6">
        <v>45406</v>
      </c>
      <c r="B1009" s="2" t="s">
        <v>224</v>
      </c>
      <c r="C1009" s="5">
        <v>45383</v>
      </c>
      <c r="D1009" s="2" t="s">
        <v>192</v>
      </c>
      <c r="E1009" s="3">
        <v>4225</v>
      </c>
      <c r="F1009" s="8">
        <v>0.36</v>
      </c>
      <c r="G1009" s="4">
        <v>95.057900000000004</v>
      </c>
      <c r="H1009" s="4">
        <v>70.212400000000002</v>
      </c>
      <c r="I1009" s="4">
        <v>10.195</v>
      </c>
      <c r="J1009" s="4">
        <v>11.1325</v>
      </c>
      <c r="K1009" s="4">
        <v>9.9450000000000003</v>
      </c>
      <c r="L1009" s="4">
        <v>10.275</v>
      </c>
      <c r="M1009" s="7">
        <v>7.7999999999999996E-3</v>
      </c>
    </row>
    <row r="1010" spans="1:13" x14ac:dyDescent="0.2">
      <c r="A1010" s="6">
        <v>45407</v>
      </c>
      <c r="B1010" s="2" t="s">
        <v>227</v>
      </c>
      <c r="C1010" s="5">
        <v>45383</v>
      </c>
      <c r="D1010" s="2" t="s">
        <v>192</v>
      </c>
      <c r="E1010" s="3">
        <v>4241</v>
      </c>
      <c r="F1010" s="8">
        <v>0.40089999999999998</v>
      </c>
      <c r="G1010" s="4">
        <v>265.16950000000003</v>
      </c>
      <c r="H1010" s="4">
        <v>99.073700000000002</v>
      </c>
      <c r="I1010" s="4">
        <v>10.275</v>
      </c>
      <c r="J1010" s="4">
        <v>11.4575</v>
      </c>
      <c r="K1010" s="4">
        <v>10.26</v>
      </c>
      <c r="L1010" s="4">
        <v>10.73</v>
      </c>
      <c r="M1010" s="7">
        <v>4.4299999999999999E-2</v>
      </c>
    </row>
    <row r="1011" spans="1:13" x14ac:dyDescent="0.2">
      <c r="A1011" s="6">
        <v>45408</v>
      </c>
      <c r="B1011" s="2" t="s">
        <v>225</v>
      </c>
      <c r="C1011" s="5">
        <v>45383</v>
      </c>
      <c r="D1011" s="2" t="s">
        <v>192</v>
      </c>
      <c r="E1011" s="3">
        <v>4211</v>
      </c>
      <c r="F1011" s="8">
        <v>0.42549999999999999</v>
      </c>
      <c r="G1011" s="4">
        <v>117.223</v>
      </c>
      <c r="H1011" s="4">
        <v>100.1311</v>
      </c>
      <c r="I1011" s="4">
        <v>10.73</v>
      </c>
      <c r="J1011" s="4">
        <v>11.315</v>
      </c>
      <c r="K1011" s="4">
        <v>10.5875</v>
      </c>
      <c r="L1011" s="4">
        <v>10.925000000000001</v>
      </c>
      <c r="M1011" s="7">
        <v>1.8200000000000001E-2</v>
      </c>
    </row>
    <row r="1012" spans="1:13" x14ac:dyDescent="0.2">
      <c r="A1012" s="6">
        <v>45411</v>
      </c>
      <c r="B1012" s="2" t="s">
        <v>228</v>
      </c>
      <c r="C1012" s="5">
        <v>45383</v>
      </c>
      <c r="D1012" s="2" t="s">
        <v>192</v>
      </c>
      <c r="E1012" s="3">
        <v>4386</v>
      </c>
      <c r="F1012" s="8">
        <v>0.4148</v>
      </c>
      <c r="G1012" s="4">
        <v>105.5082</v>
      </c>
      <c r="H1012" s="4">
        <v>80.587400000000002</v>
      </c>
      <c r="I1012" s="4">
        <v>10.925000000000001</v>
      </c>
      <c r="J1012" s="4">
        <v>12.487500000000001</v>
      </c>
      <c r="K1012" s="4">
        <v>10.925000000000001</v>
      </c>
      <c r="L1012" s="4">
        <v>12.234999999999999</v>
      </c>
      <c r="M1012" s="7">
        <v>0.11990000000000001</v>
      </c>
    </row>
    <row r="1013" spans="1:13" x14ac:dyDescent="0.2">
      <c r="A1013" s="6">
        <v>45412</v>
      </c>
      <c r="B1013" s="2" t="s">
        <v>226</v>
      </c>
      <c r="C1013" s="5">
        <v>45383</v>
      </c>
      <c r="D1013" s="2" t="s">
        <v>192</v>
      </c>
      <c r="E1013" s="3">
        <v>4286</v>
      </c>
      <c r="F1013" s="8">
        <v>0.39900000000000002</v>
      </c>
      <c r="G1013" s="4">
        <v>91.046599999999998</v>
      </c>
      <c r="H1013" s="4">
        <v>79.354100000000003</v>
      </c>
      <c r="I1013" s="4">
        <v>12.234999999999999</v>
      </c>
      <c r="J1013" s="4">
        <v>13.2125</v>
      </c>
      <c r="K1013" s="4">
        <v>12.234999999999999</v>
      </c>
      <c r="L1013" s="4">
        <v>12.87</v>
      </c>
      <c r="M1013" s="7">
        <v>5.1900000000000002E-2</v>
      </c>
    </row>
    <row r="1014" spans="1:13" x14ac:dyDescent="0.2">
      <c r="A1014" s="6">
        <v>45414</v>
      </c>
      <c r="B1014" s="2" t="s">
        <v>227</v>
      </c>
      <c r="C1014" s="5">
        <v>45413</v>
      </c>
      <c r="D1014" s="2" t="s">
        <v>192</v>
      </c>
      <c r="E1014" s="3">
        <v>4321</v>
      </c>
      <c r="F1014" s="8">
        <v>0.41789999999999999</v>
      </c>
      <c r="G1014" s="4">
        <v>86.373900000000006</v>
      </c>
      <c r="H1014" s="4">
        <v>91.911299999999997</v>
      </c>
      <c r="I1014" s="4">
        <v>12.87</v>
      </c>
      <c r="J1014" s="4">
        <v>13.9475</v>
      </c>
      <c r="K1014" s="4">
        <v>12.87</v>
      </c>
      <c r="L1014" s="4">
        <v>13.445</v>
      </c>
      <c r="M1014" s="7">
        <v>4.4699999999999997E-2</v>
      </c>
    </row>
    <row r="1015" spans="1:13" x14ac:dyDescent="0.2">
      <c r="A1015" s="6">
        <v>45415</v>
      </c>
      <c r="B1015" s="2" t="s">
        <v>225</v>
      </c>
      <c r="C1015" s="5">
        <v>45413</v>
      </c>
      <c r="D1015" s="2" t="s">
        <v>192</v>
      </c>
      <c r="E1015" s="3">
        <v>4287</v>
      </c>
      <c r="F1015" s="8">
        <v>0.42720000000000002</v>
      </c>
      <c r="G1015" s="4">
        <v>93.448899999999995</v>
      </c>
      <c r="H1015" s="4">
        <v>81.377899999999997</v>
      </c>
      <c r="I1015" s="4">
        <v>13.445</v>
      </c>
      <c r="J1015" s="4">
        <v>15.3125</v>
      </c>
      <c r="K1015" s="4">
        <v>13.445</v>
      </c>
      <c r="L1015" s="4">
        <v>14.6175</v>
      </c>
      <c r="M1015" s="7">
        <v>8.72E-2</v>
      </c>
    </row>
    <row r="1016" spans="1:13" x14ac:dyDescent="0.2">
      <c r="A1016" s="6">
        <v>45418</v>
      </c>
      <c r="B1016" s="2" t="s">
        <v>228</v>
      </c>
      <c r="C1016" s="5">
        <v>45413</v>
      </c>
      <c r="D1016" s="2" t="s">
        <v>192</v>
      </c>
      <c r="E1016" s="3">
        <v>4417</v>
      </c>
      <c r="F1016" s="8">
        <v>0.43209999999999998</v>
      </c>
      <c r="G1016" s="4">
        <v>77.262200000000007</v>
      </c>
      <c r="H1016" s="4">
        <v>85.3596</v>
      </c>
      <c r="I1016" s="4">
        <v>14.6175</v>
      </c>
      <c r="J1016" s="4">
        <v>16.962499999999999</v>
      </c>
      <c r="K1016" s="4">
        <v>14.6175</v>
      </c>
      <c r="L1016" s="4">
        <v>16.600000000000001</v>
      </c>
      <c r="M1016" s="7">
        <v>0.1356</v>
      </c>
    </row>
    <row r="1017" spans="1:13" x14ac:dyDescent="0.2">
      <c r="A1017" s="6">
        <v>45419</v>
      </c>
      <c r="B1017" s="2" t="s">
        <v>226</v>
      </c>
      <c r="C1017" s="5">
        <v>45413</v>
      </c>
      <c r="D1017" s="2" t="s">
        <v>192</v>
      </c>
      <c r="E1017" s="3">
        <v>4226</v>
      </c>
      <c r="F1017" s="8">
        <v>0.44180000000000003</v>
      </c>
      <c r="G1017" s="4">
        <v>93.838200000000001</v>
      </c>
      <c r="H1017" s="4">
        <v>77.474199999999996</v>
      </c>
      <c r="I1017" s="4">
        <v>16.600000000000001</v>
      </c>
      <c r="J1017" s="4">
        <v>17.642499999999998</v>
      </c>
      <c r="K1017" s="4">
        <v>16.600000000000001</v>
      </c>
      <c r="L1017" s="4">
        <v>17.0075</v>
      </c>
      <c r="M1017" s="7">
        <v>2.4500000000000001E-2</v>
      </c>
    </row>
    <row r="1018" spans="1:13" x14ac:dyDescent="0.2">
      <c r="A1018" s="6">
        <v>45420</v>
      </c>
      <c r="B1018" s="2" t="s">
        <v>224</v>
      </c>
      <c r="C1018" s="5">
        <v>45413</v>
      </c>
      <c r="D1018" s="2" t="s">
        <v>192</v>
      </c>
      <c r="E1018" s="3">
        <v>4227</v>
      </c>
      <c r="F1018" s="8">
        <v>0.35510000000000003</v>
      </c>
      <c r="G1018" s="4">
        <v>83.236999999999995</v>
      </c>
      <c r="H1018" s="4">
        <v>63.158000000000001</v>
      </c>
      <c r="I1018" s="4">
        <v>17.0075</v>
      </c>
      <c r="J1018" s="4">
        <v>18.317499999999999</v>
      </c>
      <c r="K1018" s="4">
        <v>16.462499999999999</v>
      </c>
      <c r="L1018" s="4">
        <v>17.079999999999998</v>
      </c>
      <c r="M1018" s="7">
        <v>4.3E-3</v>
      </c>
    </row>
    <row r="1019" spans="1:13" x14ac:dyDescent="0.2">
      <c r="A1019" s="6">
        <v>45421</v>
      </c>
      <c r="B1019" s="2" t="s">
        <v>227</v>
      </c>
      <c r="C1019" s="5">
        <v>45413</v>
      </c>
      <c r="D1019" s="2" t="s">
        <v>192</v>
      </c>
      <c r="E1019" s="3">
        <v>4246</v>
      </c>
      <c r="F1019" s="8">
        <v>0.41589999999999999</v>
      </c>
      <c r="G1019" s="4">
        <v>60.062899999999999</v>
      </c>
      <c r="H1019" s="4">
        <v>72.323400000000007</v>
      </c>
      <c r="I1019" s="4">
        <v>17.079999999999998</v>
      </c>
      <c r="J1019" s="4">
        <v>19.172499999999999</v>
      </c>
      <c r="K1019" s="4">
        <v>17.079999999999998</v>
      </c>
      <c r="L1019" s="4">
        <v>18.2</v>
      </c>
      <c r="M1019" s="7">
        <v>6.5600000000000006E-2</v>
      </c>
    </row>
    <row r="1020" spans="1:13" x14ac:dyDescent="0.2">
      <c r="A1020" s="6">
        <v>45422</v>
      </c>
      <c r="B1020" s="2" t="s">
        <v>225</v>
      </c>
      <c r="C1020" s="5">
        <v>45413</v>
      </c>
      <c r="D1020" s="2" t="s">
        <v>192</v>
      </c>
      <c r="E1020" s="3">
        <v>4221</v>
      </c>
      <c r="F1020" s="8">
        <v>0.38159999999999999</v>
      </c>
      <c r="G1020" s="4">
        <v>59.656599999999997</v>
      </c>
      <c r="H1020" s="4">
        <v>67.327299999999994</v>
      </c>
      <c r="I1020" s="4">
        <v>18.2</v>
      </c>
      <c r="J1020" s="4">
        <v>19.0075</v>
      </c>
      <c r="K1020" s="4">
        <v>17.995000000000001</v>
      </c>
      <c r="L1020" s="4">
        <v>18.4725</v>
      </c>
      <c r="M1020" s="7">
        <v>1.4999999999999999E-2</v>
      </c>
    </row>
    <row r="1021" spans="1:13" x14ac:dyDescent="0.2">
      <c r="A1021" s="6">
        <v>45425</v>
      </c>
      <c r="B1021" s="2" t="s">
        <v>228</v>
      </c>
      <c r="C1021" s="5">
        <v>45413</v>
      </c>
      <c r="D1021" s="2" t="s">
        <v>192</v>
      </c>
      <c r="E1021" s="3">
        <v>4398</v>
      </c>
      <c r="F1021" s="8">
        <v>0.41460000000000002</v>
      </c>
      <c r="G1021" s="4">
        <v>54.797600000000003</v>
      </c>
      <c r="H1021" s="4">
        <v>69.340900000000005</v>
      </c>
      <c r="I1021" s="4">
        <v>18.4725</v>
      </c>
      <c r="J1021" s="4">
        <v>21.484999999999999</v>
      </c>
      <c r="K1021" s="4">
        <v>18.4725</v>
      </c>
      <c r="L1021" s="4">
        <v>20.6</v>
      </c>
      <c r="M1021" s="7">
        <v>0.1152</v>
      </c>
    </row>
    <row r="1022" spans="1:13" x14ac:dyDescent="0.2">
      <c r="A1022" s="6">
        <v>45426</v>
      </c>
      <c r="B1022" s="2" t="s">
        <v>226</v>
      </c>
      <c r="C1022" s="5">
        <v>45413</v>
      </c>
      <c r="D1022" s="2" t="s">
        <v>192</v>
      </c>
      <c r="E1022" s="3">
        <v>4197</v>
      </c>
      <c r="F1022" s="8">
        <v>0.34360000000000002</v>
      </c>
      <c r="G1022" s="4">
        <v>63.836199999999998</v>
      </c>
      <c r="H1022" s="4">
        <v>60.205300000000001</v>
      </c>
      <c r="I1022" s="4">
        <v>20.6</v>
      </c>
      <c r="J1022" s="4">
        <v>21.875</v>
      </c>
      <c r="K1022" s="4">
        <v>20.112500000000001</v>
      </c>
      <c r="L1022" s="4">
        <v>20.195</v>
      </c>
      <c r="M1022" s="7">
        <v>-1.9699999999999999E-2</v>
      </c>
    </row>
    <row r="1023" spans="1:13" x14ac:dyDescent="0.2">
      <c r="A1023" s="6">
        <v>45427</v>
      </c>
      <c r="B1023" s="2" t="s">
        <v>224</v>
      </c>
      <c r="C1023" s="5">
        <v>45413</v>
      </c>
      <c r="D1023" s="2" t="s">
        <v>192</v>
      </c>
      <c r="E1023" s="3">
        <v>4244</v>
      </c>
      <c r="F1023" s="8">
        <v>0.35649999999999998</v>
      </c>
      <c r="G1023" s="4">
        <v>70.1126</v>
      </c>
      <c r="H1023" s="4">
        <v>63.1751</v>
      </c>
      <c r="I1023" s="4">
        <v>20.195</v>
      </c>
      <c r="J1023" s="4">
        <v>20.657499999999999</v>
      </c>
      <c r="K1023" s="4">
        <v>19.87</v>
      </c>
      <c r="L1023" s="4">
        <v>20.272500000000001</v>
      </c>
      <c r="M1023" s="7">
        <v>3.8E-3</v>
      </c>
    </row>
    <row r="1024" spans="1:13" x14ac:dyDescent="0.2">
      <c r="A1024" s="6">
        <v>45428</v>
      </c>
      <c r="B1024" s="2" t="s">
        <v>227</v>
      </c>
      <c r="C1024" s="5">
        <v>45413</v>
      </c>
      <c r="D1024" s="2" t="s">
        <v>192</v>
      </c>
      <c r="E1024" s="3">
        <v>4262</v>
      </c>
      <c r="F1024" s="8">
        <v>0.3695</v>
      </c>
      <c r="G1024" s="4">
        <v>70.940799999999996</v>
      </c>
      <c r="H1024" s="4">
        <v>72.132499999999993</v>
      </c>
      <c r="I1024" s="4">
        <v>20.272500000000001</v>
      </c>
      <c r="J1024" s="4">
        <v>21.112500000000001</v>
      </c>
      <c r="K1024" s="4">
        <v>18.965</v>
      </c>
      <c r="L1024" s="4">
        <v>19.995000000000001</v>
      </c>
      <c r="M1024" s="7">
        <v>-1.37E-2</v>
      </c>
    </row>
    <row r="1025" spans="1:13" x14ac:dyDescent="0.2">
      <c r="A1025" s="6">
        <v>45429</v>
      </c>
      <c r="B1025" s="2" t="s">
        <v>225</v>
      </c>
      <c r="C1025" s="5">
        <v>45413</v>
      </c>
      <c r="D1025" s="2" t="s">
        <v>192</v>
      </c>
      <c r="E1025" s="3">
        <v>4221</v>
      </c>
      <c r="F1025" s="8">
        <v>0.3871</v>
      </c>
      <c r="G1025" s="4">
        <v>74.212100000000007</v>
      </c>
      <c r="H1025" s="4">
        <v>75.567300000000003</v>
      </c>
      <c r="I1025" s="4">
        <v>19.995000000000001</v>
      </c>
      <c r="J1025" s="4">
        <v>20.3675</v>
      </c>
      <c r="K1025" s="4">
        <v>18.98</v>
      </c>
      <c r="L1025" s="4">
        <v>19.797499999999999</v>
      </c>
      <c r="M1025" s="7">
        <v>-9.9000000000000008E-3</v>
      </c>
    </row>
    <row r="1026" spans="1:13" x14ac:dyDescent="0.2">
      <c r="A1026" s="6">
        <v>45430</v>
      </c>
      <c r="B1026" s="2" t="s">
        <v>229</v>
      </c>
      <c r="C1026" s="5">
        <v>45413</v>
      </c>
      <c r="D1026" s="2" t="s">
        <v>192</v>
      </c>
      <c r="E1026" s="3">
        <v>3714</v>
      </c>
      <c r="F1026" s="8">
        <v>0.1169</v>
      </c>
      <c r="G1026" s="4">
        <v>19.7944</v>
      </c>
      <c r="H1026" s="4">
        <v>15.458</v>
      </c>
      <c r="I1026" s="4">
        <v>19.797499999999999</v>
      </c>
      <c r="J1026" s="4">
        <v>20.945</v>
      </c>
      <c r="K1026" s="4">
        <v>17.337499999999999</v>
      </c>
      <c r="L1026" s="4">
        <v>20.524999999999999</v>
      </c>
      <c r="M1026" s="7">
        <v>3.6700000000000003E-2</v>
      </c>
    </row>
    <row r="1027" spans="1:13" x14ac:dyDescent="0.2">
      <c r="A1027" s="6">
        <v>45433</v>
      </c>
      <c r="B1027" s="2" t="s">
        <v>226</v>
      </c>
      <c r="C1027" s="5">
        <v>45413</v>
      </c>
      <c r="D1027" s="2" t="s">
        <v>192</v>
      </c>
      <c r="E1027" s="3">
        <v>4424</v>
      </c>
      <c r="F1027" s="8">
        <v>0.46660000000000001</v>
      </c>
      <c r="G1027" s="4">
        <v>80.324700000000007</v>
      </c>
      <c r="H1027" s="4">
        <v>81.587699999999998</v>
      </c>
      <c r="I1027" s="4">
        <v>20.524999999999999</v>
      </c>
      <c r="J1027" s="4">
        <v>22.302499999999998</v>
      </c>
      <c r="K1027" s="4">
        <v>20.524999999999999</v>
      </c>
      <c r="L1027" s="4">
        <v>21.81</v>
      </c>
      <c r="M1027" s="7">
        <v>6.2600000000000003E-2</v>
      </c>
    </row>
    <row r="1028" spans="1:13" x14ac:dyDescent="0.2">
      <c r="A1028" s="6">
        <v>45434</v>
      </c>
      <c r="B1028" s="2" t="s">
        <v>224</v>
      </c>
      <c r="C1028" s="5">
        <v>45413</v>
      </c>
      <c r="D1028" s="2" t="s">
        <v>192</v>
      </c>
      <c r="E1028" s="3">
        <v>4260</v>
      </c>
      <c r="F1028" s="8">
        <v>0.41460000000000002</v>
      </c>
      <c r="G1028" s="4">
        <v>82.756900000000002</v>
      </c>
      <c r="H1028" s="4">
        <v>84.641199999999998</v>
      </c>
      <c r="I1028" s="4">
        <v>21.81</v>
      </c>
      <c r="J1028" s="4">
        <v>22.2925</v>
      </c>
      <c r="K1028" s="4">
        <v>18.184999999999999</v>
      </c>
      <c r="L1028" s="4">
        <v>21.467500000000001</v>
      </c>
      <c r="M1028" s="7">
        <v>-1.5699999999999999E-2</v>
      </c>
    </row>
    <row r="1029" spans="1:13" x14ac:dyDescent="0.2">
      <c r="A1029" s="6">
        <v>45435</v>
      </c>
      <c r="B1029" s="2" t="s">
        <v>227</v>
      </c>
      <c r="C1029" s="5">
        <v>45413</v>
      </c>
      <c r="D1029" s="2" t="s">
        <v>192</v>
      </c>
      <c r="E1029" s="3">
        <v>4252</v>
      </c>
      <c r="F1029" s="8">
        <v>0.44379999999999997</v>
      </c>
      <c r="G1029" s="4">
        <v>89.462000000000003</v>
      </c>
      <c r="H1029" s="4">
        <v>86.589100000000002</v>
      </c>
      <c r="I1029" s="4">
        <v>21.467500000000001</v>
      </c>
      <c r="J1029" s="4">
        <v>24.215</v>
      </c>
      <c r="K1029" s="4">
        <v>18.84</v>
      </c>
      <c r="L1029" s="4">
        <v>21.38</v>
      </c>
      <c r="M1029" s="7">
        <v>-4.1000000000000003E-3</v>
      </c>
    </row>
    <row r="1030" spans="1:13" x14ac:dyDescent="0.2">
      <c r="A1030" s="6">
        <v>45436</v>
      </c>
      <c r="B1030" s="2" t="s">
        <v>225</v>
      </c>
      <c r="C1030" s="5">
        <v>45413</v>
      </c>
      <c r="D1030" s="2" t="s">
        <v>192</v>
      </c>
      <c r="E1030" s="3">
        <v>4290</v>
      </c>
      <c r="F1030" s="8">
        <v>0.45119999999999999</v>
      </c>
      <c r="G1030" s="4">
        <v>128.13310000000001</v>
      </c>
      <c r="H1030" s="4">
        <v>91.870800000000003</v>
      </c>
      <c r="I1030" s="4">
        <v>21.38</v>
      </c>
      <c r="J1030" s="4">
        <v>21.897500000000001</v>
      </c>
      <c r="K1030" s="4">
        <v>20.59</v>
      </c>
      <c r="L1030" s="4">
        <v>21.71</v>
      </c>
      <c r="M1030" s="7">
        <v>1.54E-2</v>
      </c>
    </row>
    <row r="1031" spans="1:13" x14ac:dyDescent="0.2">
      <c r="A1031" s="6">
        <v>45439</v>
      </c>
      <c r="B1031" s="2" t="s">
        <v>228</v>
      </c>
      <c r="C1031" s="5">
        <v>45413</v>
      </c>
      <c r="D1031" s="2" t="s">
        <v>192</v>
      </c>
      <c r="E1031" s="3">
        <v>4424</v>
      </c>
      <c r="F1031" s="8">
        <v>0.45119999999999999</v>
      </c>
      <c r="G1031" s="4">
        <v>102.2679</v>
      </c>
      <c r="H1031" s="4">
        <v>88.076999999999998</v>
      </c>
      <c r="I1031" s="4">
        <v>21.71</v>
      </c>
      <c r="J1031" s="4">
        <v>26.195</v>
      </c>
      <c r="K1031" s="4">
        <v>18.434999999999999</v>
      </c>
      <c r="L1031" s="4">
        <v>23.192499999999999</v>
      </c>
      <c r="M1031" s="7">
        <v>6.83E-2</v>
      </c>
    </row>
    <row r="1032" spans="1:13" x14ac:dyDescent="0.2">
      <c r="A1032" s="6">
        <v>45440</v>
      </c>
      <c r="B1032" s="2" t="s">
        <v>226</v>
      </c>
      <c r="C1032" s="5">
        <v>45413</v>
      </c>
      <c r="D1032" s="2" t="s">
        <v>192</v>
      </c>
      <c r="E1032" s="3">
        <v>4254</v>
      </c>
      <c r="F1032" s="8">
        <v>0.38700000000000001</v>
      </c>
      <c r="G1032" s="4">
        <v>81.282600000000002</v>
      </c>
      <c r="H1032" s="4">
        <v>90.362300000000005</v>
      </c>
      <c r="I1032" s="4">
        <v>23.192499999999999</v>
      </c>
      <c r="J1032" s="4">
        <v>24.475000000000001</v>
      </c>
      <c r="K1032" s="4">
        <v>22.024999999999999</v>
      </c>
      <c r="L1032" s="4">
        <v>24.195</v>
      </c>
      <c r="M1032" s="7">
        <v>4.3200000000000002E-2</v>
      </c>
    </row>
    <row r="1033" spans="1:13" x14ac:dyDescent="0.2">
      <c r="A1033" s="6">
        <v>45441</v>
      </c>
      <c r="B1033" s="2" t="s">
        <v>224</v>
      </c>
      <c r="C1033" s="5">
        <v>45413</v>
      </c>
      <c r="D1033" s="2" t="s">
        <v>192</v>
      </c>
      <c r="E1033" s="3">
        <v>4227</v>
      </c>
      <c r="F1033" s="8">
        <v>0.3624</v>
      </c>
      <c r="G1033" s="4">
        <v>77.366900000000001</v>
      </c>
      <c r="H1033" s="4">
        <v>80.016999999999996</v>
      </c>
      <c r="I1033" s="4">
        <v>24.195</v>
      </c>
      <c r="J1033" s="4">
        <v>24.772500000000001</v>
      </c>
      <c r="K1033" s="4">
        <v>23.545000000000002</v>
      </c>
      <c r="L1033" s="4">
        <v>24.175000000000001</v>
      </c>
      <c r="M1033" s="7">
        <v>-8.0000000000000004E-4</v>
      </c>
    </row>
    <row r="1034" spans="1:13" x14ac:dyDescent="0.2">
      <c r="A1034" s="6">
        <v>45442</v>
      </c>
      <c r="B1034" s="2" t="s">
        <v>227</v>
      </c>
      <c r="C1034" s="5">
        <v>45413</v>
      </c>
      <c r="D1034" s="2" t="s">
        <v>192</v>
      </c>
      <c r="E1034" s="3">
        <v>4211</v>
      </c>
      <c r="F1034" s="8">
        <v>0.3972</v>
      </c>
      <c r="G1034" s="4">
        <v>115.027</v>
      </c>
      <c r="H1034" s="4">
        <v>100.6931</v>
      </c>
      <c r="I1034" s="4">
        <v>24.175000000000001</v>
      </c>
      <c r="J1034" s="4">
        <v>24.52</v>
      </c>
      <c r="K1034" s="4">
        <v>22.752500000000001</v>
      </c>
      <c r="L1034" s="4">
        <v>24.175000000000001</v>
      </c>
      <c r="M1034" s="7">
        <v>0</v>
      </c>
    </row>
    <row r="1035" spans="1:13" x14ac:dyDescent="0.2">
      <c r="A1035" s="6">
        <v>45443</v>
      </c>
      <c r="B1035" s="2" t="s">
        <v>225</v>
      </c>
      <c r="C1035" s="5">
        <v>45413</v>
      </c>
      <c r="D1035" s="2" t="s">
        <v>192</v>
      </c>
      <c r="E1035" s="3">
        <v>4215</v>
      </c>
      <c r="F1035" s="8">
        <v>0.47760000000000002</v>
      </c>
      <c r="G1035" s="4">
        <v>98.388400000000004</v>
      </c>
      <c r="H1035" s="4">
        <v>97.273300000000006</v>
      </c>
      <c r="I1035" s="4">
        <v>24.175000000000001</v>
      </c>
      <c r="J1035" s="4">
        <v>24.81</v>
      </c>
      <c r="K1035" s="4">
        <v>22.5975</v>
      </c>
      <c r="L1035" s="4">
        <v>24.602499999999999</v>
      </c>
      <c r="M1035" s="7">
        <v>1.77E-2</v>
      </c>
    </row>
    <row r="1036" spans="1:13" x14ac:dyDescent="0.2">
      <c r="A1036" s="6">
        <v>45446</v>
      </c>
      <c r="B1036" s="2" t="s">
        <v>228</v>
      </c>
      <c r="C1036" s="5">
        <v>45444</v>
      </c>
      <c r="D1036" s="2" t="s">
        <v>192</v>
      </c>
      <c r="E1036" s="3">
        <v>4453</v>
      </c>
      <c r="F1036" s="8">
        <v>0.63629999999999998</v>
      </c>
      <c r="G1036" s="4">
        <v>134.14779999999999</v>
      </c>
      <c r="H1036" s="4">
        <v>136.2483</v>
      </c>
      <c r="I1036" s="4">
        <v>24.602499999999999</v>
      </c>
      <c r="J1036" s="4">
        <v>24.602499999999999</v>
      </c>
      <c r="K1036" s="4">
        <v>19.114999999999998</v>
      </c>
      <c r="L1036" s="4">
        <v>20.9375</v>
      </c>
      <c r="M1036" s="7">
        <v>-0.14899999999999999</v>
      </c>
    </row>
    <row r="1037" spans="1:13" x14ac:dyDescent="0.2">
      <c r="A1037" s="6">
        <v>45447</v>
      </c>
      <c r="B1037" s="2" t="s">
        <v>226</v>
      </c>
      <c r="C1037" s="5">
        <v>45444</v>
      </c>
      <c r="D1037" s="2" t="s">
        <v>192</v>
      </c>
      <c r="E1037" s="3">
        <v>4271</v>
      </c>
      <c r="F1037" s="8">
        <v>1.2216</v>
      </c>
      <c r="G1037" s="4">
        <v>159.6491</v>
      </c>
      <c r="H1037" s="4">
        <v>217.2218</v>
      </c>
      <c r="I1037" s="4">
        <v>20.9375</v>
      </c>
      <c r="J1037" s="4">
        <v>31.71</v>
      </c>
      <c r="K1037" s="4">
        <v>18.802499999999998</v>
      </c>
      <c r="L1037" s="4">
        <v>26.747499999999999</v>
      </c>
      <c r="M1037" s="7">
        <v>0.27750000000000002</v>
      </c>
    </row>
    <row r="1038" spans="1:13" x14ac:dyDescent="0.2">
      <c r="A1038" s="6">
        <v>45448</v>
      </c>
      <c r="B1038" s="2" t="s">
        <v>224</v>
      </c>
      <c r="C1038" s="5">
        <v>45444</v>
      </c>
      <c r="D1038" s="2" t="s">
        <v>192</v>
      </c>
      <c r="E1038" s="3">
        <v>4237</v>
      </c>
      <c r="F1038" s="8">
        <v>0.72719999999999996</v>
      </c>
      <c r="G1038" s="4">
        <v>102.8514</v>
      </c>
      <c r="H1038" s="4">
        <v>124.7573</v>
      </c>
      <c r="I1038" s="4">
        <v>26.747499999999999</v>
      </c>
      <c r="J1038" s="4">
        <v>26.925000000000001</v>
      </c>
      <c r="K1038" s="4">
        <v>18.657499999999999</v>
      </c>
      <c r="L1038" s="4">
        <v>18.885000000000002</v>
      </c>
      <c r="M1038" s="7">
        <v>-0.29399999999999998</v>
      </c>
    </row>
    <row r="1039" spans="1:13" x14ac:dyDescent="0.2">
      <c r="A1039" s="6">
        <v>45449</v>
      </c>
      <c r="B1039" s="2" t="s">
        <v>227</v>
      </c>
      <c r="C1039" s="5">
        <v>45444</v>
      </c>
      <c r="D1039" s="2" t="s">
        <v>192</v>
      </c>
      <c r="E1039" s="3">
        <v>4269</v>
      </c>
      <c r="F1039" s="8">
        <v>0.50109999999999999</v>
      </c>
      <c r="G1039" s="4">
        <v>85.479799999999997</v>
      </c>
      <c r="H1039" s="4">
        <v>96.188800000000001</v>
      </c>
      <c r="I1039" s="4">
        <v>18.885000000000002</v>
      </c>
      <c r="J1039" s="4">
        <v>18.885000000000002</v>
      </c>
      <c r="K1039" s="4">
        <v>16.557500000000001</v>
      </c>
      <c r="L1039" s="4">
        <v>16.8</v>
      </c>
      <c r="M1039" s="7">
        <v>-0.1104</v>
      </c>
    </row>
    <row r="1040" spans="1:13" x14ac:dyDescent="0.2">
      <c r="A1040" s="6">
        <v>45450</v>
      </c>
      <c r="B1040" s="2" t="s">
        <v>225</v>
      </c>
      <c r="C1040" s="5">
        <v>45444</v>
      </c>
      <c r="D1040" s="2" t="s">
        <v>192</v>
      </c>
      <c r="E1040" s="3">
        <v>4263</v>
      </c>
      <c r="F1040" s="8">
        <v>0.51270000000000004</v>
      </c>
      <c r="G1040" s="4">
        <v>95.546400000000006</v>
      </c>
      <c r="H1040" s="4">
        <v>115.3883</v>
      </c>
      <c r="I1040" s="4">
        <v>16.8</v>
      </c>
      <c r="J1040" s="4">
        <v>17.145</v>
      </c>
      <c r="K1040" s="4">
        <v>16.372499999999999</v>
      </c>
      <c r="L1040" s="4">
        <v>16.8825</v>
      </c>
      <c r="M1040" s="7">
        <v>4.8999999999999998E-3</v>
      </c>
    </row>
    <row r="1041" spans="1:13" x14ac:dyDescent="0.2">
      <c r="A1041" s="6">
        <v>45453</v>
      </c>
      <c r="B1041" s="2" t="s">
        <v>228</v>
      </c>
      <c r="C1041" s="5">
        <v>45444</v>
      </c>
      <c r="D1041" s="2" t="s">
        <v>192</v>
      </c>
      <c r="E1041" s="3">
        <v>4475</v>
      </c>
      <c r="F1041" s="8">
        <v>0.51370000000000005</v>
      </c>
      <c r="G1041" s="4">
        <v>90.5762</v>
      </c>
      <c r="H1041" s="4">
        <v>95.523899999999998</v>
      </c>
      <c r="I1041" s="4">
        <v>16.8825</v>
      </c>
      <c r="J1041" s="4">
        <v>17.25</v>
      </c>
      <c r="K1041" s="4">
        <v>16.170000000000002</v>
      </c>
      <c r="L1041" s="4">
        <v>16.397500000000001</v>
      </c>
      <c r="M1041" s="7">
        <v>-2.87E-2</v>
      </c>
    </row>
    <row r="1042" spans="1:13" x14ac:dyDescent="0.2">
      <c r="A1042" s="6">
        <v>45454</v>
      </c>
      <c r="B1042" s="2" t="s">
        <v>226</v>
      </c>
      <c r="C1042" s="5">
        <v>45444</v>
      </c>
      <c r="D1042" s="2" t="s">
        <v>192</v>
      </c>
      <c r="E1042" s="3">
        <v>4308</v>
      </c>
      <c r="F1042" s="8">
        <v>0.45319999999999999</v>
      </c>
      <c r="G1042" s="4">
        <v>95.111500000000007</v>
      </c>
      <c r="H1042" s="4">
        <v>123.5377</v>
      </c>
      <c r="I1042" s="4">
        <v>16.397500000000001</v>
      </c>
      <c r="J1042" s="4">
        <v>16.397500000000001</v>
      </c>
      <c r="K1042" s="4">
        <v>14.675000000000001</v>
      </c>
      <c r="L1042" s="4">
        <v>14.765000000000001</v>
      </c>
      <c r="M1042" s="7">
        <v>-9.9599999999999994E-2</v>
      </c>
    </row>
    <row r="1043" spans="1:13" x14ac:dyDescent="0.2">
      <c r="A1043" s="6">
        <v>45455</v>
      </c>
      <c r="B1043" s="2" t="s">
        <v>224</v>
      </c>
      <c r="C1043" s="5">
        <v>45444</v>
      </c>
      <c r="D1043" s="2" t="s">
        <v>192</v>
      </c>
      <c r="E1043" s="3">
        <v>4319</v>
      </c>
      <c r="F1043" s="8">
        <v>0.46429999999999999</v>
      </c>
      <c r="G1043" s="4">
        <v>101.6875</v>
      </c>
      <c r="H1043" s="4">
        <v>81.956800000000001</v>
      </c>
      <c r="I1043" s="4">
        <v>14.765000000000001</v>
      </c>
      <c r="J1043" s="4">
        <v>14.765000000000001</v>
      </c>
      <c r="K1043" s="4">
        <v>13.164999999999999</v>
      </c>
      <c r="L1043" s="4">
        <v>14.387499999999999</v>
      </c>
      <c r="M1043" s="7">
        <v>-2.5600000000000001E-2</v>
      </c>
    </row>
    <row r="1044" spans="1:13" x14ac:dyDescent="0.2">
      <c r="A1044" s="6">
        <v>45456</v>
      </c>
      <c r="B1044" s="2" t="s">
        <v>227</v>
      </c>
      <c r="C1044" s="5">
        <v>45444</v>
      </c>
      <c r="D1044" s="2" t="s">
        <v>192</v>
      </c>
      <c r="E1044" s="3">
        <v>4313</v>
      </c>
      <c r="F1044" s="8">
        <v>0.47920000000000001</v>
      </c>
      <c r="G1044" s="4">
        <v>107.1407</v>
      </c>
      <c r="H1044" s="4">
        <v>99.069000000000003</v>
      </c>
      <c r="I1044" s="4">
        <v>14.387499999999999</v>
      </c>
      <c r="J1044" s="4">
        <v>14.387499999999999</v>
      </c>
      <c r="K1044" s="4">
        <v>13.3125</v>
      </c>
      <c r="L1044" s="4">
        <v>13.487500000000001</v>
      </c>
      <c r="M1044" s="7">
        <v>-6.2600000000000003E-2</v>
      </c>
    </row>
    <row r="1045" spans="1:13" x14ac:dyDescent="0.2">
      <c r="A1045" s="6">
        <v>45457</v>
      </c>
      <c r="B1045" s="2" t="s">
        <v>225</v>
      </c>
      <c r="C1045" s="5">
        <v>45444</v>
      </c>
      <c r="D1045" s="2" t="s">
        <v>192</v>
      </c>
      <c r="E1045" s="3">
        <v>4328</v>
      </c>
      <c r="F1045" s="8">
        <v>0.54169999999999996</v>
      </c>
      <c r="G1045" s="4">
        <v>101.8815</v>
      </c>
      <c r="H1045" s="4">
        <v>103.1947</v>
      </c>
      <c r="I1045" s="4">
        <v>13.487500000000001</v>
      </c>
      <c r="J1045" s="4">
        <v>13.487500000000001</v>
      </c>
      <c r="K1045" s="4">
        <v>12.654999999999999</v>
      </c>
      <c r="L1045" s="4">
        <v>12.8225</v>
      </c>
      <c r="M1045" s="7">
        <v>-4.9299999999999997E-2</v>
      </c>
    </row>
    <row r="1046" spans="1:13" x14ac:dyDescent="0.2">
      <c r="A1046" s="6">
        <v>45461</v>
      </c>
      <c r="B1046" s="2" t="s">
        <v>226</v>
      </c>
      <c r="C1046" s="5">
        <v>45444</v>
      </c>
      <c r="D1046" s="2" t="s">
        <v>192</v>
      </c>
      <c r="E1046" s="3">
        <v>4550</v>
      </c>
      <c r="F1046" s="8">
        <v>0.47070000000000001</v>
      </c>
      <c r="G1046" s="4">
        <v>101.1036</v>
      </c>
      <c r="H1046" s="4">
        <v>113.8043</v>
      </c>
      <c r="I1046" s="4">
        <v>12.8225</v>
      </c>
      <c r="J1046" s="4">
        <v>13.42</v>
      </c>
      <c r="K1046" s="4">
        <v>12.625</v>
      </c>
      <c r="L1046" s="4">
        <v>12.965</v>
      </c>
      <c r="M1046" s="7">
        <v>1.11E-2</v>
      </c>
    </row>
    <row r="1047" spans="1:13" x14ac:dyDescent="0.2">
      <c r="A1047" s="6">
        <v>45462</v>
      </c>
      <c r="B1047" s="2" t="s">
        <v>224</v>
      </c>
      <c r="C1047" s="5">
        <v>45444</v>
      </c>
      <c r="D1047" s="2" t="s">
        <v>192</v>
      </c>
      <c r="E1047" s="3">
        <v>4290</v>
      </c>
      <c r="F1047" s="8">
        <v>0.56030000000000002</v>
      </c>
      <c r="G1047" s="4">
        <v>116.9945</v>
      </c>
      <c r="H1047" s="4">
        <v>131.29589999999999</v>
      </c>
      <c r="I1047" s="4">
        <v>12.965</v>
      </c>
      <c r="J1047" s="4">
        <v>13.815</v>
      </c>
      <c r="K1047" s="4">
        <v>11.63</v>
      </c>
      <c r="L1047" s="4">
        <v>13.7125</v>
      </c>
      <c r="M1047" s="7">
        <v>5.7700000000000001E-2</v>
      </c>
    </row>
    <row r="1048" spans="1:13" x14ac:dyDescent="0.2">
      <c r="A1048" s="6">
        <v>45463</v>
      </c>
      <c r="B1048" s="2" t="s">
        <v>227</v>
      </c>
      <c r="C1048" s="5">
        <v>45444</v>
      </c>
      <c r="D1048" s="2" t="s">
        <v>192</v>
      </c>
      <c r="E1048" s="3">
        <v>4321</v>
      </c>
      <c r="F1048" s="8">
        <v>0.51359999999999995</v>
      </c>
      <c r="G1048" s="4">
        <v>98.591800000000006</v>
      </c>
      <c r="H1048" s="4">
        <v>95.799499999999995</v>
      </c>
      <c r="I1048" s="4">
        <v>13.7125</v>
      </c>
      <c r="J1048" s="4">
        <v>14.06</v>
      </c>
      <c r="K1048" s="4">
        <v>13.102499999999999</v>
      </c>
      <c r="L1048" s="4">
        <v>13.345000000000001</v>
      </c>
      <c r="M1048" s="7">
        <v>-2.6800000000000001E-2</v>
      </c>
    </row>
    <row r="1049" spans="1:13" x14ac:dyDescent="0.2">
      <c r="A1049" s="6">
        <v>45464</v>
      </c>
      <c r="B1049" s="2" t="s">
        <v>225</v>
      </c>
      <c r="C1049" s="5">
        <v>45444</v>
      </c>
      <c r="D1049" s="2" t="s">
        <v>192</v>
      </c>
      <c r="E1049" s="3">
        <v>4338</v>
      </c>
      <c r="F1049" s="8">
        <v>0.60499999999999998</v>
      </c>
      <c r="G1049" s="4">
        <v>113.17870000000001</v>
      </c>
      <c r="H1049" s="4">
        <v>135.3186</v>
      </c>
      <c r="I1049" s="4">
        <v>13.345000000000001</v>
      </c>
      <c r="J1049" s="4">
        <v>13.59</v>
      </c>
      <c r="K1049" s="4">
        <v>12.475</v>
      </c>
      <c r="L1049" s="4">
        <v>13.18</v>
      </c>
      <c r="M1049" s="7">
        <v>-1.24E-2</v>
      </c>
    </row>
    <row r="1050" spans="1:13" x14ac:dyDescent="0.2">
      <c r="A1050" s="6">
        <v>45467</v>
      </c>
      <c r="B1050" s="2" t="s">
        <v>228</v>
      </c>
      <c r="C1050" s="5">
        <v>45444</v>
      </c>
      <c r="D1050" s="2" t="s">
        <v>192</v>
      </c>
      <c r="E1050" s="3">
        <v>4505</v>
      </c>
      <c r="F1050" s="8">
        <v>0.52569999999999995</v>
      </c>
      <c r="G1050" s="4">
        <v>112.9072</v>
      </c>
      <c r="H1050" s="4">
        <v>101.8702</v>
      </c>
      <c r="I1050" s="4">
        <v>13.18</v>
      </c>
      <c r="J1050" s="4">
        <v>14.2675</v>
      </c>
      <c r="K1050" s="4">
        <v>13.15</v>
      </c>
      <c r="L1050" s="4">
        <v>14.057499999999999</v>
      </c>
      <c r="M1050" s="7">
        <v>6.6600000000000006E-2</v>
      </c>
    </row>
    <row r="1051" spans="1:13" x14ac:dyDescent="0.2">
      <c r="A1051" s="6">
        <v>45468</v>
      </c>
      <c r="B1051" s="2" t="s">
        <v>226</v>
      </c>
      <c r="C1051" s="5">
        <v>45444</v>
      </c>
      <c r="D1051" s="2" t="s">
        <v>192</v>
      </c>
      <c r="E1051" s="3">
        <v>4328</v>
      </c>
      <c r="F1051" s="8">
        <v>0.48199999999999998</v>
      </c>
      <c r="G1051" s="4">
        <v>86.002300000000005</v>
      </c>
      <c r="H1051" s="4">
        <v>104.7775</v>
      </c>
      <c r="I1051" s="4">
        <v>14.057499999999999</v>
      </c>
      <c r="J1051" s="4">
        <v>14.455</v>
      </c>
      <c r="K1051" s="4">
        <v>13.842499999999999</v>
      </c>
      <c r="L1051" s="4">
        <v>14.3125</v>
      </c>
      <c r="M1051" s="7">
        <v>1.8100000000000002E-2</v>
      </c>
    </row>
    <row r="1052" spans="1:13" x14ac:dyDescent="0.2">
      <c r="A1052" s="6">
        <v>45469</v>
      </c>
      <c r="B1052" s="2" t="s">
        <v>224</v>
      </c>
      <c r="C1052" s="5">
        <v>45444</v>
      </c>
      <c r="D1052" s="2" t="s">
        <v>192</v>
      </c>
      <c r="E1052" s="3">
        <v>4344</v>
      </c>
      <c r="F1052" s="8">
        <v>0.49130000000000001</v>
      </c>
      <c r="G1052" s="4">
        <v>99.6845</v>
      </c>
      <c r="H1052" s="4">
        <v>150.9632</v>
      </c>
      <c r="I1052" s="4">
        <v>14.3125</v>
      </c>
      <c r="J1052" s="4">
        <v>14.547499999999999</v>
      </c>
      <c r="K1052" s="4">
        <v>13.984999999999999</v>
      </c>
      <c r="L1052" s="4">
        <v>14.045</v>
      </c>
      <c r="M1052" s="7">
        <v>-1.8700000000000001E-2</v>
      </c>
    </row>
    <row r="1053" spans="1:13" x14ac:dyDescent="0.2">
      <c r="A1053" s="6">
        <v>45470</v>
      </c>
      <c r="B1053" s="2" t="s">
        <v>227</v>
      </c>
      <c r="C1053" s="5">
        <v>45444</v>
      </c>
      <c r="D1053" s="2" t="s">
        <v>192</v>
      </c>
      <c r="E1053" s="3">
        <v>4328</v>
      </c>
      <c r="F1053" s="8">
        <v>0.56589999999999996</v>
      </c>
      <c r="G1053" s="4">
        <v>114.6358</v>
      </c>
      <c r="H1053" s="4">
        <v>137.6934</v>
      </c>
      <c r="I1053" s="4">
        <v>14.045</v>
      </c>
      <c r="J1053" s="4">
        <v>14.61</v>
      </c>
      <c r="K1053" s="4">
        <v>13.914999999999999</v>
      </c>
      <c r="L1053" s="4">
        <v>14.1525</v>
      </c>
      <c r="M1053" s="7">
        <v>7.7000000000000002E-3</v>
      </c>
    </row>
    <row r="1054" spans="1:13" x14ac:dyDescent="0.2">
      <c r="A1054" s="6">
        <v>45471</v>
      </c>
      <c r="B1054" s="2" t="s">
        <v>225</v>
      </c>
      <c r="C1054" s="5">
        <v>45444</v>
      </c>
      <c r="D1054" s="2" t="s">
        <v>192</v>
      </c>
      <c r="E1054" s="3">
        <v>4349</v>
      </c>
      <c r="F1054" s="8">
        <v>0.53720000000000001</v>
      </c>
      <c r="G1054" s="4">
        <v>97.439700000000002</v>
      </c>
      <c r="H1054" s="4">
        <v>105.4064</v>
      </c>
      <c r="I1054" s="4">
        <v>14.1525</v>
      </c>
      <c r="J1054" s="4">
        <v>14.29</v>
      </c>
      <c r="K1054" s="4">
        <v>13.6875</v>
      </c>
      <c r="L1054" s="4">
        <v>13.8025</v>
      </c>
      <c r="M1054" s="7">
        <v>-2.47E-2</v>
      </c>
    </row>
    <row r="1055" spans="1:13" x14ac:dyDescent="0.2">
      <c r="A1055" s="6">
        <v>45474</v>
      </c>
      <c r="B1055" s="2" t="s">
        <v>228</v>
      </c>
      <c r="C1055" s="5">
        <v>45474</v>
      </c>
      <c r="D1055" s="2" t="s">
        <v>193</v>
      </c>
      <c r="E1055" s="3">
        <v>4499</v>
      </c>
      <c r="F1055" s="8">
        <v>0.57479999999999998</v>
      </c>
      <c r="G1055" s="4">
        <v>102.1307</v>
      </c>
      <c r="H1055" s="4">
        <v>102.8449</v>
      </c>
      <c r="I1055" s="4">
        <v>13.8025</v>
      </c>
      <c r="J1055" s="4">
        <v>14.227499999999999</v>
      </c>
      <c r="K1055" s="4">
        <v>13.7925</v>
      </c>
      <c r="L1055" s="4">
        <v>13.83</v>
      </c>
      <c r="M1055" s="7">
        <v>2E-3</v>
      </c>
    </row>
    <row r="1056" spans="1:13" x14ac:dyDescent="0.2">
      <c r="A1056" s="6">
        <v>45475</v>
      </c>
      <c r="B1056" s="2" t="s">
        <v>226</v>
      </c>
      <c r="C1056" s="5">
        <v>45474</v>
      </c>
      <c r="D1056" s="2" t="s">
        <v>193</v>
      </c>
      <c r="E1056" s="3">
        <v>4330</v>
      </c>
      <c r="F1056" s="8">
        <v>0.52429999999999999</v>
      </c>
      <c r="G1056" s="4">
        <v>95.792500000000004</v>
      </c>
      <c r="H1056" s="4">
        <v>86.796400000000006</v>
      </c>
      <c r="I1056" s="4">
        <v>13.83</v>
      </c>
      <c r="J1056" s="4">
        <v>14.012499999999999</v>
      </c>
      <c r="K1056" s="4">
        <v>13.3225</v>
      </c>
      <c r="L1056" s="4">
        <v>13.64</v>
      </c>
      <c r="M1056" s="7">
        <v>-1.37E-2</v>
      </c>
    </row>
    <row r="1057" spans="1:13" x14ac:dyDescent="0.2">
      <c r="A1057" s="6">
        <v>45476</v>
      </c>
      <c r="B1057" s="2" t="s">
        <v>224</v>
      </c>
      <c r="C1057" s="5">
        <v>45474</v>
      </c>
      <c r="D1057" s="2" t="s">
        <v>193</v>
      </c>
      <c r="E1057" s="3">
        <v>4398</v>
      </c>
      <c r="F1057" s="8">
        <v>0.48930000000000001</v>
      </c>
      <c r="G1057" s="4">
        <v>112.5025</v>
      </c>
      <c r="H1057" s="4">
        <v>89.798699999999997</v>
      </c>
      <c r="I1057" s="4">
        <v>13.64</v>
      </c>
      <c r="J1057" s="4">
        <v>13.715</v>
      </c>
      <c r="K1057" s="4">
        <v>12.87</v>
      </c>
      <c r="L1057" s="4">
        <v>13.205</v>
      </c>
      <c r="M1057" s="7">
        <v>-3.1899999999999998E-2</v>
      </c>
    </row>
    <row r="1058" spans="1:13" x14ac:dyDescent="0.2">
      <c r="A1058" s="6">
        <v>45477</v>
      </c>
      <c r="B1058" s="2" t="s">
        <v>227</v>
      </c>
      <c r="C1058" s="5">
        <v>45474</v>
      </c>
      <c r="D1058" s="2" t="s">
        <v>193</v>
      </c>
      <c r="E1058" s="3">
        <v>4391</v>
      </c>
      <c r="F1058" s="8">
        <v>0.50629999999999997</v>
      </c>
      <c r="G1058" s="4">
        <v>133.18029999999999</v>
      </c>
      <c r="H1058" s="4">
        <v>105.6913</v>
      </c>
      <c r="I1058" s="4">
        <v>13.205</v>
      </c>
      <c r="J1058" s="4">
        <v>13.205</v>
      </c>
      <c r="K1058" s="4">
        <v>12.2575</v>
      </c>
      <c r="L1058" s="4">
        <v>12.855</v>
      </c>
      <c r="M1058" s="7">
        <v>-2.6499999999999999E-2</v>
      </c>
    </row>
    <row r="1059" spans="1:13" x14ac:dyDescent="0.2">
      <c r="A1059" s="6">
        <v>45478</v>
      </c>
      <c r="B1059" s="2" t="s">
        <v>225</v>
      </c>
      <c r="C1059" s="5">
        <v>45474</v>
      </c>
      <c r="D1059" s="2" t="s">
        <v>193</v>
      </c>
      <c r="E1059" s="3">
        <v>4373</v>
      </c>
      <c r="F1059" s="8">
        <v>0.63419999999999999</v>
      </c>
      <c r="G1059" s="4">
        <v>154.48339999999999</v>
      </c>
      <c r="H1059" s="4">
        <v>134.6463</v>
      </c>
      <c r="I1059" s="4">
        <v>12.855</v>
      </c>
      <c r="J1059" s="4">
        <v>12.99</v>
      </c>
      <c r="K1059" s="4">
        <v>12.08</v>
      </c>
      <c r="L1059" s="4">
        <v>12.695</v>
      </c>
      <c r="M1059" s="7">
        <v>-1.24E-2</v>
      </c>
    </row>
    <row r="1060" spans="1:13" x14ac:dyDescent="0.2">
      <c r="A1060" s="6">
        <v>45481</v>
      </c>
      <c r="B1060" s="2" t="s">
        <v>228</v>
      </c>
      <c r="C1060" s="5">
        <v>45474</v>
      </c>
      <c r="D1060" s="2" t="s">
        <v>193</v>
      </c>
      <c r="E1060" s="3">
        <v>4517</v>
      </c>
      <c r="F1060" s="8">
        <v>0.59209999999999996</v>
      </c>
      <c r="G1060" s="4">
        <v>124.9855</v>
      </c>
      <c r="H1060" s="4">
        <v>153.43289999999999</v>
      </c>
      <c r="I1060" s="4">
        <v>12.695</v>
      </c>
      <c r="J1060" s="4">
        <v>13.7575</v>
      </c>
      <c r="K1060" s="4">
        <v>12.695</v>
      </c>
      <c r="L1060" s="4">
        <v>13.6</v>
      </c>
      <c r="M1060" s="7">
        <v>7.1300000000000002E-2</v>
      </c>
    </row>
    <row r="1061" spans="1:13" x14ac:dyDescent="0.2">
      <c r="A1061" s="6">
        <v>45482</v>
      </c>
      <c r="B1061" s="2" t="s">
        <v>226</v>
      </c>
      <c r="C1061" s="5">
        <v>45474</v>
      </c>
      <c r="D1061" s="2" t="s">
        <v>193</v>
      </c>
      <c r="E1061" s="3">
        <v>4377</v>
      </c>
      <c r="F1061" s="8">
        <v>0.53390000000000004</v>
      </c>
      <c r="G1061" s="4">
        <v>97.595600000000005</v>
      </c>
      <c r="H1061" s="4">
        <v>101.21980000000001</v>
      </c>
      <c r="I1061" s="4">
        <v>13.6</v>
      </c>
      <c r="J1061" s="4">
        <v>14.4025</v>
      </c>
      <c r="K1061" s="4">
        <v>12.79</v>
      </c>
      <c r="L1061" s="4">
        <v>14.28</v>
      </c>
      <c r="M1061" s="7">
        <v>0.05</v>
      </c>
    </row>
    <row r="1062" spans="1:13" x14ac:dyDescent="0.2">
      <c r="A1062" s="6">
        <v>45483</v>
      </c>
      <c r="B1062" s="2" t="s">
        <v>224</v>
      </c>
      <c r="C1062" s="5">
        <v>45474</v>
      </c>
      <c r="D1062" s="2" t="s">
        <v>193</v>
      </c>
      <c r="E1062" s="3">
        <v>4335</v>
      </c>
      <c r="F1062" s="8">
        <v>0.60229999999999995</v>
      </c>
      <c r="G1062" s="4">
        <v>90.505099999999999</v>
      </c>
      <c r="H1062" s="4">
        <v>117.6596</v>
      </c>
      <c r="I1062" s="4">
        <v>14.28</v>
      </c>
      <c r="J1062" s="4">
        <v>14.914999999999999</v>
      </c>
      <c r="K1062" s="4">
        <v>13.407500000000001</v>
      </c>
      <c r="L1062" s="4">
        <v>14.432499999999999</v>
      </c>
      <c r="M1062" s="7">
        <v>1.0699999999999999E-2</v>
      </c>
    </row>
    <row r="1063" spans="1:13" x14ac:dyDescent="0.2">
      <c r="A1063" s="6">
        <v>45484</v>
      </c>
      <c r="B1063" s="2" t="s">
        <v>227</v>
      </c>
      <c r="C1063" s="5">
        <v>45474</v>
      </c>
      <c r="D1063" s="2" t="s">
        <v>193</v>
      </c>
      <c r="E1063" s="3">
        <v>4330</v>
      </c>
      <c r="F1063" s="8">
        <v>0.47260000000000002</v>
      </c>
      <c r="G1063" s="4">
        <v>104.5485</v>
      </c>
      <c r="H1063" s="4">
        <v>97.488500000000002</v>
      </c>
      <c r="I1063" s="4">
        <v>14.432499999999999</v>
      </c>
      <c r="J1063" s="4">
        <v>14.432499999999999</v>
      </c>
      <c r="K1063" s="4">
        <v>12.68</v>
      </c>
      <c r="L1063" s="4">
        <v>13.994999999999999</v>
      </c>
      <c r="M1063" s="7">
        <v>-3.0300000000000001E-2</v>
      </c>
    </row>
    <row r="1064" spans="1:13" x14ac:dyDescent="0.2">
      <c r="A1064" s="6">
        <v>45485</v>
      </c>
      <c r="B1064" s="2" t="s">
        <v>225</v>
      </c>
      <c r="C1064" s="5">
        <v>45474</v>
      </c>
      <c r="D1064" s="2" t="s">
        <v>193</v>
      </c>
      <c r="E1064" s="3">
        <v>4360</v>
      </c>
      <c r="F1064" s="8">
        <v>0.5726</v>
      </c>
      <c r="G1064" s="4">
        <v>98.733800000000002</v>
      </c>
      <c r="H1064" s="4">
        <v>119.5672</v>
      </c>
      <c r="I1064" s="4">
        <v>13.994999999999999</v>
      </c>
      <c r="J1064" s="4">
        <v>14.0525</v>
      </c>
      <c r="K1064" s="4">
        <v>13.2225</v>
      </c>
      <c r="L1064" s="4">
        <v>13.725</v>
      </c>
      <c r="M1064" s="7">
        <v>-1.9300000000000001E-2</v>
      </c>
    </row>
    <row r="1065" spans="1:13" x14ac:dyDescent="0.2">
      <c r="A1065" s="6">
        <v>45488</v>
      </c>
      <c r="B1065" s="2" t="s">
        <v>228</v>
      </c>
      <c r="C1065" s="5">
        <v>45474</v>
      </c>
      <c r="D1065" s="2" t="s">
        <v>193</v>
      </c>
      <c r="E1065" s="3">
        <v>4541</v>
      </c>
      <c r="F1065" s="8">
        <v>0.5413</v>
      </c>
      <c r="G1065" s="4">
        <v>93.698400000000007</v>
      </c>
      <c r="H1065" s="4">
        <v>97.332499999999996</v>
      </c>
      <c r="I1065" s="4">
        <v>13.725</v>
      </c>
      <c r="J1065" s="4">
        <v>14.34</v>
      </c>
      <c r="K1065" s="4">
        <v>13.567500000000001</v>
      </c>
      <c r="L1065" s="4">
        <v>14.1875</v>
      </c>
      <c r="M1065" s="7">
        <v>3.3700000000000001E-2</v>
      </c>
    </row>
    <row r="1066" spans="1:13" x14ac:dyDescent="0.2">
      <c r="A1066" s="6">
        <v>45489</v>
      </c>
      <c r="B1066" s="2" t="s">
        <v>226</v>
      </c>
      <c r="C1066" s="5">
        <v>45474</v>
      </c>
      <c r="D1066" s="2" t="s">
        <v>193</v>
      </c>
      <c r="E1066" s="3">
        <v>4351</v>
      </c>
      <c r="F1066" s="8">
        <v>0.51170000000000004</v>
      </c>
      <c r="G1066" s="4">
        <v>116.10209999999999</v>
      </c>
      <c r="H1066" s="4">
        <v>89.013199999999998</v>
      </c>
      <c r="I1066" s="4">
        <v>14.1875</v>
      </c>
      <c r="J1066" s="4">
        <v>14.5875</v>
      </c>
      <c r="K1066" s="4">
        <v>13.8025</v>
      </c>
      <c r="L1066" s="4">
        <v>14.2225</v>
      </c>
      <c r="M1066" s="7">
        <v>2.5000000000000001E-3</v>
      </c>
    </row>
    <row r="1067" spans="1:13" x14ac:dyDescent="0.2">
      <c r="A1067" s="6">
        <v>45491</v>
      </c>
      <c r="B1067" s="2" t="s">
        <v>227</v>
      </c>
      <c r="C1067" s="5">
        <v>45474</v>
      </c>
      <c r="D1067" s="2" t="s">
        <v>193</v>
      </c>
      <c r="E1067" s="3">
        <v>4388</v>
      </c>
      <c r="F1067" s="8">
        <v>0.59079999999999999</v>
      </c>
      <c r="G1067" s="4">
        <v>101.5943</v>
      </c>
      <c r="H1067" s="4">
        <v>101.0381</v>
      </c>
      <c r="I1067" s="4">
        <v>14.2225</v>
      </c>
      <c r="J1067" s="4">
        <v>14.71</v>
      </c>
      <c r="K1067" s="4">
        <v>13.75</v>
      </c>
      <c r="L1067" s="4">
        <v>14.51</v>
      </c>
      <c r="M1067" s="7">
        <v>2.0199999999999999E-2</v>
      </c>
    </row>
    <row r="1068" spans="1:13" x14ac:dyDescent="0.2">
      <c r="A1068" s="6">
        <v>45492</v>
      </c>
      <c r="B1068" s="2" t="s">
        <v>225</v>
      </c>
      <c r="C1068" s="5">
        <v>45474</v>
      </c>
      <c r="D1068" s="2" t="s">
        <v>193</v>
      </c>
      <c r="E1068" s="3">
        <v>4312</v>
      </c>
      <c r="F1068" s="8">
        <v>0.61560000000000004</v>
      </c>
      <c r="G1068" s="4">
        <v>103.32680000000001</v>
      </c>
      <c r="H1068" s="4">
        <v>106.9923</v>
      </c>
      <c r="I1068" s="4">
        <v>14.51</v>
      </c>
      <c r="J1068" s="4">
        <v>14.965</v>
      </c>
      <c r="K1068" s="4">
        <v>12.737500000000001</v>
      </c>
      <c r="L1068" s="4">
        <v>14.824999999999999</v>
      </c>
      <c r="M1068" s="7">
        <v>2.1700000000000001E-2</v>
      </c>
    </row>
    <row r="1069" spans="1:13" x14ac:dyDescent="0.2">
      <c r="A1069" s="6">
        <v>45495</v>
      </c>
      <c r="B1069" s="2" t="s">
        <v>228</v>
      </c>
      <c r="C1069" s="5">
        <v>45474</v>
      </c>
      <c r="D1069" s="2" t="s">
        <v>193</v>
      </c>
      <c r="E1069" s="3">
        <v>4484</v>
      </c>
      <c r="F1069" s="8">
        <v>0.4965</v>
      </c>
      <c r="G1069" s="4">
        <v>118.7303</v>
      </c>
      <c r="H1069" s="4">
        <v>90.741799999999998</v>
      </c>
      <c r="I1069" s="4">
        <v>14.824999999999999</v>
      </c>
      <c r="J1069" s="4">
        <v>15.625</v>
      </c>
      <c r="K1069" s="4">
        <v>13.115</v>
      </c>
      <c r="L1069" s="4">
        <v>15.4375</v>
      </c>
      <c r="M1069" s="7">
        <v>4.1300000000000003E-2</v>
      </c>
    </row>
    <row r="1070" spans="1:13" x14ac:dyDescent="0.2">
      <c r="A1070" s="6">
        <v>45496</v>
      </c>
      <c r="B1070" s="2" t="s">
        <v>226</v>
      </c>
      <c r="C1070" s="5">
        <v>45474</v>
      </c>
      <c r="D1070" s="2" t="s">
        <v>193</v>
      </c>
      <c r="E1070" s="3">
        <v>4336</v>
      </c>
      <c r="F1070" s="8">
        <v>0.70830000000000004</v>
      </c>
      <c r="G1070" s="4">
        <v>125.892</v>
      </c>
      <c r="H1070" s="4">
        <v>124.5634</v>
      </c>
      <c r="I1070" s="4">
        <v>15.4375</v>
      </c>
      <c r="J1070" s="4">
        <v>16.065000000000001</v>
      </c>
      <c r="K1070" s="4">
        <v>12.592499999999999</v>
      </c>
      <c r="L1070" s="4">
        <v>12.7475</v>
      </c>
      <c r="M1070" s="7">
        <v>-0.17430000000000001</v>
      </c>
    </row>
    <row r="1071" spans="1:13" x14ac:dyDescent="0.2">
      <c r="A1071" s="6">
        <v>45497</v>
      </c>
      <c r="B1071" s="2" t="s">
        <v>224</v>
      </c>
      <c r="C1071" s="5">
        <v>45474</v>
      </c>
      <c r="D1071" s="2" t="s">
        <v>193</v>
      </c>
      <c r="E1071" s="3">
        <v>4340</v>
      </c>
      <c r="F1071" s="8">
        <v>0.496</v>
      </c>
      <c r="G1071" s="4">
        <v>95.314800000000005</v>
      </c>
      <c r="H1071" s="4">
        <v>89.099500000000006</v>
      </c>
      <c r="I1071" s="4">
        <v>12.7475</v>
      </c>
      <c r="J1071" s="4">
        <v>14.0375</v>
      </c>
      <c r="K1071" s="4">
        <v>11.6175</v>
      </c>
      <c r="L1071" s="4">
        <v>11.762499999999999</v>
      </c>
      <c r="M1071" s="7">
        <v>-7.7299999999999994E-2</v>
      </c>
    </row>
    <row r="1072" spans="1:13" x14ac:dyDescent="0.2">
      <c r="A1072" s="6">
        <v>45498</v>
      </c>
      <c r="B1072" s="2" t="s">
        <v>227</v>
      </c>
      <c r="C1072" s="5">
        <v>45474</v>
      </c>
      <c r="D1072" s="2" t="s">
        <v>193</v>
      </c>
      <c r="E1072" s="3">
        <v>4372</v>
      </c>
      <c r="F1072" s="8">
        <v>0.50949999999999995</v>
      </c>
      <c r="G1072" s="4">
        <v>117.5257</v>
      </c>
      <c r="H1072" s="4">
        <v>97.470399999999998</v>
      </c>
      <c r="I1072" s="4">
        <v>11.762499999999999</v>
      </c>
      <c r="J1072" s="4">
        <v>13.217499999999999</v>
      </c>
      <c r="K1072" s="4">
        <v>11.275</v>
      </c>
      <c r="L1072" s="4">
        <v>12.6175</v>
      </c>
      <c r="M1072" s="7">
        <v>7.2700000000000001E-2</v>
      </c>
    </row>
    <row r="1073" spans="1:13" x14ac:dyDescent="0.2">
      <c r="A1073" s="6">
        <v>45499</v>
      </c>
      <c r="B1073" s="2" t="s">
        <v>225</v>
      </c>
      <c r="C1073" s="5">
        <v>45474</v>
      </c>
      <c r="D1073" s="2" t="s">
        <v>193</v>
      </c>
      <c r="E1073" s="3">
        <v>4375</v>
      </c>
      <c r="F1073" s="8">
        <v>0.56259999999999999</v>
      </c>
      <c r="G1073" s="4">
        <v>128.24850000000001</v>
      </c>
      <c r="H1073" s="4">
        <v>122.2058</v>
      </c>
      <c r="I1073" s="4">
        <v>12.6175</v>
      </c>
      <c r="J1073" s="4">
        <v>13.135</v>
      </c>
      <c r="K1073" s="4">
        <v>11.977499999999999</v>
      </c>
      <c r="L1073" s="4">
        <v>12.2475</v>
      </c>
      <c r="M1073" s="7">
        <v>-2.93E-2</v>
      </c>
    </row>
    <row r="1074" spans="1:13" x14ac:dyDescent="0.2">
      <c r="A1074" s="6">
        <v>45502</v>
      </c>
      <c r="B1074" s="2" t="s">
        <v>228</v>
      </c>
      <c r="C1074" s="5">
        <v>45474</v>
      </c>
      <c r="D1074" s="2" t="s">
        <v>193</v>
      </c>
      <c r="E1074" s="3">
        <v>4575</v>
      </c>
      <c r="F1074" s="8">
        <v>0.57169999999999999</v>
      </c>
      <c r="G1074" s="4">
        <v>126.7816</v>
      </c>
      <c r="H1074" s="4">
        <v>112.7346</v>
      </c>
      <c r="I1074" s="4">
        <v>12.2475</v>
      </c>
      <c r="J1074" s="4">
        <v>13.255000000000001</v>
      </c>
      <c r="K1074" s="4">
        <v>12.0275</v>
      </c>
      <c r="L1074" s="4">
        <v>12.945</v>
      </c>
      <c r="M1074" s="7">
        <v>5.7000000000000002E-2</v>
      </c>
    </row>
    <row r="1075" spans="1:13" x14ac:dyDescent="0.2">
      <c r="A1075" s="6">
        <v>45503</v>
      </c>
      <c r="B1075" s="2" t="s">
        <v>226</v>
      </c>
      <c r="C1075" s="5">
        <v>45474</v>
      </c>
      <c r="D1075" s="2" t="s">
        <v>193</v>
      </c>
      <c r="E1075" s="3">
        <v>4387</v>
      </c>
      <c r="F1075" s="8">
        <v>0.5091</v>
      </c>
      <c r="G1075" s="4">
        <v>96.869799999999998</v>
      </c>
      <c r="H1075" s="4">
        <v>123.76909999999999</v>
      </c>
      <c r="I1075" s="4">
        <v>12.945</v>
      </c>
      <c r="J1075" s="4">
        <v>13.26</v>
      </c>
      <c r="K1075" s="4">
        <v>11.715</v>
      </c>
      <c r="L1075" s="4">
        <v>12.88</v>
      </c>
      <c r="M1075" s="7">
        <v>-5.0000000000000001E-3</v>
      </c>
    </row>
    <row r="1076" spans="1:13" x14ac:dyDescent="0.2">
      <c r="A1076" s="6">
        <v>45504</v>
      </c>
      <c r="B1076" s="2" t="s">
        <v>224</v>
      </c>
      <c r="C1076" s="5">
        <v>45474</v>
      </c>
      <c r="D1076" s="2" t="s">
        <v>193</v>
      </c>
      <c r="E1076" s="3">
        <v>4423</v>
      </c>
      <c r="F1076" s="8">
        <v>0.4874</v>
      </c>
      <c r="G1076" s="4">
        <v>86.830100000000002</v>
      </c>
      <c r="H1076" s="4">
        <v>87.374700000000004</v>
      </c>
      <c r="I1076" s="4">
        <v>12.88</v>
      </c>
      <c r="J1076" s="4">
        <v>13.387499999999999</v>
      </c>
      <c r="K1076" s="4">
        <v>11.6225</v>
      </c>
      <c r="L1076" s="4">
        <v>13.25</v>
      </c>
      <c r="M1076" s="7">
        <v>2.87E-2</v>
      </c>
    </row>
    <row r="1077" spans="1:13" x14ac:dyDescent="0.2">
      <c r="A1077" s="6">
        <v>45505</v>
      </c>
      <c r="B1077" s="2" t="s">
        <v>227</v>
      </c>
      <c r="C1077" s="5">
        <v>45505</v>
      </c>
      <c r="D1077" s="2" t="s">
        <v>193</v>
      </c>
      <c r="E1077" s="3">
        <v>4417</v>
      </c>
      <c r="F1077" s="8">
        <v>0.50860000000000005</v>
      </c>
      <c r="G1077" s="4">
        <v>98.090699999999998</v>
      </c>
      <c r="H1077" s="4">
        <v>94.299300000000002</v>
      </c>
      <c r="I1077" s="4">
        <v>13.25</v>
      </c>
      <c r="J1077" s="4">
        <v>13.305</v>
      </c>
      <c r="K1077" s="4">
        <v>11.9825</v>
      </c>
      <c r="L1077" s="4">
        <v>12.93</v>
      </c>
      <c r="M1077" s="7">
        <v>-2.4199999999999999E-2</v>
      </c>
    </row>
    <row r="1078" spans="1:13" x14ac:dyDescent="0.2">
      <c r="A1078" s="6">
        <v>45506</v>
      </c>
      <c r="B1078" s="2" t="s">
        <v>225</v>
      </c>
      <c r="C1078" s="5">
        <v>45505</v>
      </c>
      <c r="D1078" s="2" t="s">
        <v>193</v>
      </c>
      <c r="E1078" s="3">
        <v>4393</v>
      </c>
      <c r="F1078" s="8">
        <v>0.53990000000000005</v>
      </c>
      <c r="G1078" s="4">
        <v>105.5188</v>
      </c>
      <c r="H1078" s="4">
        <v>108.6317</v>
      </c>
      <c r="I1078" s="4">
        <v>12.93</v>
      </c>
      <c r="J1078" s="4">
        <v>14.51</v>
      </c>
      <c r="K1078" s="4">
        <v>11.692500000000001</v>
      </c>
      <c r="L1078" s="4">
        <v>14.32</v>
      </c>
      <c r="M1078" s="7">
        <v>0.1075</v>
      </c>
    </row>
    <row r="1079" spans="1:13" x14ac:dyDescent="0.2">
      <c r="A1079" s="6">
        <v>45509</v>
      </c>
      <c r="B1079" s="2" t="s">
        <v>228</v>
      </c>
      <c r="C1079" s="5">
        <v>45505</v>
      </c>
      <c r="D1079" s="2" t="s">
        <v>193</v>
      </c>
      <c r="E1079" s="3">
        <v>4556</v>
      </c>
      <c r="F1079" s="8">
        <v>0.88300000000000001</v>
      </c>
      <c r="G1079" s="4">
        <v>117.6648</v>
      </c>
      <c r="H1079" s="4">
        <v>136.7747</v>
      </c>
      <c r="I1079" s="4">
        <v>14.32</v>
      </c>
      <c r="J1079" s="4">
        <v>23.1525</v>
      </c>
      <c r="K1079" s="4">
        <v>13.907500000000001</v>
      </c>
      <c r="L1079" s="4">
        <v>20.3675</v>
      </c>
      <c r="M1079" s="7">
        <v>0.42230000000000001</v>
      </c>
    </row>
    <row r="1080" spans="1:13" x14ac:dyDescent="0.2">
      <c r="A1080" s="6">
        <v>45510</v>
      </c>
      <c r="B1080" s="2" t="s">
        <v>226</v>
      </c>
      <c r="C1080" s="5">
        <v>45505</v>
      </c>
      <c r="D1080" s="2" t="s">
        <v>193</v>
      </c>
      <c r="E1080" s="3">
        <v>4376</v>
      </c>
      <c r="F1080" s="8">
        <v>0.54610000000000003</v>
      </c>
      <c r="G1080" s="4">
        <v>87.152299999999997</v>
      </c>
      <c r="H1080" s="4">
        <v>88.183899999999994</v>
      </c>
      <c r="I1080" s="4">
        <v>20.3675</v>
      </c>
      <c r="J1080" s="4">
        <v>20.3675</v>
      </c>
      <c r="K1080" s="4">
        <v>14.8675</v>
      </c>
      <c r="L1080" s="4">
        <v>18.7425</v>
      </c>
      <c r="M1080" s="7">
        <v>-7.9799999999999996E-2</v>
      </c>
    </row>
    <row r="1081" spans="1:13" x14ac:dyDescent="0.2">
      <c r="A1081" s="6">
        <v>45511</v>
      </c>
      <c r="B1081" s="2" t="s">
        <v>224</v>
      </c>
      <c r="C1081" s="5">
        <v>45505</v>
      </c>
      <c r="D1081" s="2" t="s">
        <v>193</v>
      </c>
      <c r="E1081" s="3">
        <v>4392</v>
      </c>
      <c r="F1081" s="8">
        <v>0.4723</v>
      </c>
      <c r="G1081" s="4">
        <v>70.359099999999998</v>
      </c>
      <c r="H1081" s="4">
        <v>74.115099999999998</v>
      </c>
      <c r="I1081" s="4">
        <v>18.7425</v>
      </c>
      <c r="J1081" s="4">
        <v>18.7425</v>
      </c>
      <c r="K1081" s="4">
        <v>13.7225</v>
      </c>
      <c r="L1081" s="4">
        <v>16.170000000000002</v>
      </c>
      <c r="M1081" s="7">
        <v>-0.13730000000000001</v>
      </c>
    </row>
    <row r="1082" spans="1:13" x14ac:dyDescent="0.2">
      <c r="A1082" s="6">
        <v>45512</v>
      </c>
      <c r="B1082" s="2" t="s">
        <v>227</v>
      </c>
      <c r="C1082" s="5">
        <v>45505</v>
      </c>
      <c r="D1082" s="2" t="s">
        <v>193</v>
      </c>
      <c r="E1082" s="3">
        <v>4379</v>
      </c>
      <c r="F1082" s="8">
        <v>0.46850000000000003</v>
      </c>
      <c r="G1082" s="4">
        <v>74.921199999999999</v>
      </c>
      <c r="H1082" s="4">
        <v>81.171199999999999</v>
      </c>
      <c r="I1082" s="4">
        <v>16.170000000000002</v>
      </c>
      <c r="J1082" s="4">
        <v>17.23</v>
      </c>
      <c r="K1082" s="4">
        <v>14.38</v>
      </c>
      <c r="L1082" s="4">
        <v>16.602499999999999</v>
      </c>
      <c r="M1082" s="7">
        <v>2.6700000000000002E-2</v>
      </c>
    </row>
    <row r="1083" spans="1:13" x14ac:dyDescent="0.2">
      <c r="A1083" s="6">
        <v>45513</v>
      </c>
      <c r="B1083" s="2" t="s">
        <v>225</v>
      </c>
      <c r="C1083" s="5">
        <v>45505</v>
      </c>
      <c r="D1083" s="2" t="s">
        <v>193</v>
      </c>
      <c r="E1083" s="3">
        <v>4336</v>
      </c>
      <c r="F1083" s="8">
        <v>0.48609999999999998</v>
      </c>
      <c r="G1083" s="4">
        <v>78.309399999999997</v>
      </c>
      <c r="H1083" s="4">
        <v>83.834699999999998</v>
      </c>
      <c r="I1083" s="4">
        <v>16.602499999999999</v>
      </c>
      <c r="J1083" s="4">
        <v>16.602499999999999</v>
      </c>
      <c r="K1083" s="4">
        <v>13.432499999999999</v>
      </c>
      <c r="L1083" s="4">
        <v>15.335000000000001</v>
      </c>
      <c r="M1083" s="7">
        <v>-7.6300000000000007E-2</v>
      </c>
    </row>
    <row r="1084" spans="1:13" x14ac:dyDescent="0.2">
      <c r="A1084" s="6">
        <v>45516</v>
      </c>
      <c r="B1084" s="2" t="s">
        <v>228</v>
      </c>
      <c r="C1084" s="5">
        <v>45505</v>
      </c>
      <c r="D1084" s="2" t="s">
        <v>193</v>
      </c>
      <c r="E1084" s="3">
        <v>4551</v>
      </c>
      <c r="F1084" s="8">
        <v>0.53459999999999996</v>
      </c>
      <c r="G1084" s="4">
        <v>93.463899999999995</v>
      </c>
      <c r="H1084" s="4">
        <v>99.152799999999999</v>
      </c>
      <c r="I1084" s="4">
        <v>15.335000000000001</v>
      </c>
      <c r="J1084" s="4">
        <v>16.557500000000001</v>
      </c>
      <c r="K1084" s="4">
        <v>13.395</v>
      </c>
      <c r="L1084" s="4">
        <v>15.8675</v>
      </c>
      <c r="M1084" s="7">
        <v>3.4700000000000002E-2</v>
      </c>
    </row>
    <row r="1085" spans="1:13" x14ac:dyDescent="0.2">
      <c r="A1085" s="6">
        <v>45517</v>
      </c>
      <c r="B1085" s="2" t="s">
        <v>226</v>
      </c>
      <c r="C1085" s="5">
        <v>45505</v>
      </c>
      <c r="D1085" s="2" t="s">
        <v>193</v>
      </c>
      <c r="E1085" s="3">
        <v>4378</v>
      </c>
      <c r="F1085" s="8">
        <v>0.57779999999999998</v>
      </c>
      <c r="G1085" s="4">
        <v>86.3536</v>
      </c>
      <c r="H1085" s="4">
        <v>91.538600000000002</v>
      </c>
      <c r="I1085" s="4">
        <v>15.8675</v>
      </c>
      <c r="J1085" s="4">
        <v>16.375</v>
      </c>
      <c r="K1085" s="4">
        <v>14.2225</v>
      </c>
      <c r="L1085" s="4">
        <v>16.1675</v>
      </c>
      <c r="M1085" s="7">
        <v>1.89E-2</v>
      </c>
    </row>
    <row r="1086" spans="1:13" x14ac:dyDescent="0.2">
      <c r="A1086" s="6">
        <v>45518</v>
      </c>
      <c r="B1086" s="2" t="s">
        <v>224</v>
      </c>
      <c r="C1086" s="5">
        <v>45505</v>
      </c>
      <c r="D1086" s="2" t="s">
        <v>193</v>
      </c>
      <c r="E1086" s="3">
        <v>4395</v>
      </c>
      <c r="F1086" s="8">
        <v>0.46329999999999999</v>
      </c>
      <c r="G1086" s="4">
        <v>74.079899999999995</v>
      </c>
      <c r="H1086" s="4">
        <v>71.106999999999999</v>
      </c>
      <c r="I1086" s="4">
        <v>16.1675</v>
      </c>
      <c r="J1086" s="4">
        <v>16.22</v>
      </c>
      <c r="K1086" s="4">
        <v>13.8225</v>
      </c>
      <c r="L1086" s="4">
        <v>15.435</v>
      </c>
      <c r="M1086" s="7">
        <v>-4.53E-2</v>
      </c>
    </row>
    <row r="1087" spans="1:13" x14ac:dyDescent="0.2">
      <c r="A1087" s="6">
        <v>45520</v>
      </c>
      <c r="B1087" s="2" t="s">
        <v>225</v>
      </c>
      <c r="C1087" s="5">
        <v>45505</v>
      </c>
      <c r="D1087" s="2" t="s">
        <v>193</v>
      </c>
      <c r="E1087" s="3">
        <v>4387</v>
      </c>
      <c r="F1087" s="8">
        <v>0.44269999999999998</v>
      </c>
      <c r="G1087" s="4">
        <v>80.616900000000001</v>
      </c>
      <c r="H1087" s="4">
        <v>84.072599999999994</v>
      </c>
      <c r="I1087" s="4">
        <v>15.435</v>
      </c>
      <c r="J1087" s="4">
        <v>15.435</v>
      </c>
      <c r="K1087" s="4">
        <v>12.95</v>
      </c>
      <c r="L1087" s="4">
        <v>14.4025</v>
      </c>
      <c r="M1087" s="7">
        <v>-6.6900000000000001E-2</v>
      </c>
    </row>
    <row r="1088" spans="1:13" x14ac:dyDescent="0.2">
      <c r="A1088" s="6">
        <v>45523</v>
      </c>
      <c r="B1088" s="2" t="s">
        <v>228</v>
      </c>
      <c r="C1088" s="5">
        <v>45505</v>
      </c>
      <c r="D1088" s="2" t="s">
        <v>193</v>
      </c>
      <c r="E1088" s="3">
        <v>4511</v>
      </c>
      <c r="F1088" s="8">
        <v>0.43230000000000002</v>
      </c>
      <c r="G1088" s="4">
        <v>83.344700000000003</v>
      </c>
      <c r="H1088" s="4">
        <v>82.442700000000002</v>
      </c>
      <c r="I1088" s="4">
        <v>14.4025</v>
      </c>
      <c r="J1088" s="4">
        <v>14.83</v>
      </c>
      <c r="K1088" s="4">
        <v>13.1975</v>
      </c>
      <c r="L1088" s="4">
        <v>14.315</v>
      </c>
      <c r="M1088" s="7">
        <v>-6.1000000000000004E-3</v>
      </c>
    </row>
    <row r="1089" spans="1:13" x14ac:dyDescent="0.2">
      <c r="A1089" s="6">
        <v>45524</v>
      </c>
      <c r="B1089" s="2" t="s">
        <v>226</v>
      </c>
      <c r="C1089" s="5">
        <v>45505</v>
      </c>
      <c r="D1089" s="2" t="s">
        <v>193</v>
      </c>
      <c r="E1089" s="3">
        <v>4425</v>
      </c>
      <c r="F1089" s="8">
        <v>0.45219999999999999</v>
      </c>
      <c r="G1089" s="4">
        <v>93.602900000000005</v>
      </c>
      <c r="H1089" s="4">
        <v>137.001</v>
      </c>
      <c r="I1089" s="4">
        <v>14.315</v>
      </c>
      <c r="J1089" s="4">
        <v>14.315</v>
      </c>
      <c r="K1089" s="4">
        <v>11.425000000000001</v>
      </c>
      <c r="L1089" s="4">
        <v>13.82</v>
      </c>
      <c r="M1089" s="7">
        <v>-3.4599999999999999E-2</v>
      </c>
    </row>
    <row r="1090" spans="1:13" x14ac:dyDescent="0.2">
      <c r="A1090" s="6">
        <v>45525</v>
      </c>
      <c r="B1090" s="2" t="s">
        <v>224</v>
      </c>
      <c r="C1090" s="5">
        <v>45505</v>
      </c>
      <c r="D1090" s="2" t="s">
        <v>193</v>
      </c>
      <c r="E1090" s="3">
        <v>4391</v>
      </c>
      <c r="F1090" s="8">
        <v>0.42659999999999998</v>
      </c>
      <c r="G1090" s="4">
        <v>80.992099999999994</v>
      </c>
      <c r="H1090" s="4">
        <v>95.154700000000005</v>
      </c>
      <c r="I1090" s="4">
        <v>13.82</v>
      </c>
      <c r="J1090" s="4">
        <v>14.045</v>
      </c>
      <c r="K1090" s="4">
        <v>11.8225</v>
      </c>
      <c r="L1090" s="4">
        <v>13.3325</v>
      </c>
      <c r="M1090" s="7">
        <v>-3.5299999999999998E-2</v>
      </c>
    </row>
    <row r="1091" spans="1:13" x14ac:dyDescent="0.2">
      <c r="A1091" s="6">
        <v>45526</v>
      </c>
      <c r="B1091" s="2" t="s">
        <v>227</v>
      </c>
      <c r="C1091" s="5">
        <v>45505</v>
      </c>
      <c r="D1091" s="2" t="s">
        <v>193</v>
      </c>
      <c r="E1091" s="3">
        <v>4392</v>
      </c>
      <c r="F1091" s="8">
        <v>0.45219999999999999</v>
      </c>
      <c r="G1091" s="4">
        <v>104.0715</v>
      </c>
      <c r="H1091" s="4">
        <v>93.470799999999997</v>
      </c>
      <c r="I1091" s="4">
        <v>13.3325</v>
      </c>
      <c r="J1091" s="4">
        <v>13.782500000000001</v>
      </c>
      <c r="K1091" s="4">
        <v>10.9575</v>
      </c>
      <c r="L1091" s="4">
        <v>13</v>
      </c>
      <c r="M1091" s="7">
        <v>-2.4899999999999999E-2</v>
      </c>
    </row>
    <row r="1092" spans="1:13" x14ac:dyDescent="0.2">
      <c r="A1092" s="6">
        <v>45527</v>
      </c>
      <c r="B1092" s="2" t="s">
        <v>225</v>
      </c>
      <c r="C1092" s="5">
        <v>45505</v>
      </c>
      <c r="D1092" s="2" t="s">
        <v>193</v>
      </c>
      <c r="E1092" s="3">
        <v>4391</v>
      </c>
      <c r="F1092" s="8">
        <v>0.4395</v>
      </c>
      <c r="G1092" s="4">
        <v>104.01819999999999</v>
      </c>
      <c r="H1092" s="4">
        <v>107.3626</v>
      </c>
      <c r="I1092" s="4">
        <v>13</v>
      </c>
      <c r="J1092" s="4">
        <v>13.62</v>
      </c>
      <c r="K1092" s="4">
        <v>10.84</v>
      </c>
      <c r="L1092" s="4">
        <v>13.5525</v>
      </c>
      <c r="M1092" s="7">
        <v>4.2500000000000003E-2</v>
      </c>
    </row>
    <row r="1093" spans="1:13" x14ac:dyDescent="0.2">
      <c r="A1093" s="6">
        <v>45530</v>
      </c>
      <c r="B1093" s="2" t="s">
        <v>228</v>
      </c>
      <c r="C1093" s="5">
        <v>45505</v>
      </c>
      <c r="D1093" s="2" t="s">
        <v>193</v>
      </c>
      <c r="E1093" s="3">
        <v>4574</v>
      </c>
      <c r="F1093" s="8">
        <v>0.48060000000000003</v>
      </c>
      <c r="G1093" s="4">
        <v>93.526799999999994</v>
      </c>
      <c r="H1093" s="4">
        <v>91.719800000000006</v>
      </c>
      <c r="I1093" s="4">
        <v>13.5525</v>
      </c>
      <c r="J1093" s="4">
        <v>13.9925</v>
      </c>
      <c r="K1093" s="4">
        <v>12.01</v>
      </c>
      <c r="L1093" s="4">
        <v>13.795</v>
      </c>
      <c r="M1093" s="7">
        <v>1.7899999999999999E-2</v>
      </c>
    </row>
    <row r="1094" spans="1:13" x14ac:dyDescent="0.2">
      <c r="A1094" s="6">
        <v>45531</v>
      </c>
      <c r="B1094" s="2" t="s">
        <v>226</v>
      </c>
      <c r="C1094" s="5">
        <v>45505</v>
      </c>
      <c r="D1094" s="2" t="s">
        <v>193</v>
      </c>
      <c r="E1094" s="3">
        <v>4420</v>
      </c>
      <c r="F1094" s="8">
        <v>0.44879999999999998</v>
      </c>
      <c r="G1094" s="4">
        <v>81.855400000000003</v>
      </c>
      <c r="H1094" s="4">
        <v>98.833500000000001</v>
      </c>
      <c r="I1094" s="4">
        <v>13.795</v>
      </c>
      <c r="J1094" s="4">
        <v>14.01</v>
      </c>
      <c r="K1094" s="4">
        <v>12.71</v>
      </c>
      <c r="L1094" s="4">
        <v>13.6325</v>
      </c>
      <c r="M1094" s="7">
        <v>-1.18E-2</v>
      </c>
    </row>
    <row r="1095" spans="1:13" x14ac:dyDescent="0.2">
      <c r="A1095" s="6">
        <v>45532</v>
      </c>
      <c r="B1095" s="2" t="s">
        <v>224</v>
      </c>
      <c r="C1095" s="5">
        <v>45505</v>
      </c>
      <c r="D1095" s="2" t="s">
        <v>193</v>
      </c>
      <c r="E1095" s="3">
        <v>4405</v>
      </c>
      <c r="F1095" s="8">
        <v>0.4723</v>
      </c>
      <c r="G1095" s="4">
        <v>90.922200000000004</v>
      </c>
      <c r="H1095" s="4">
        <v>78.497200000000007</v>
      </c>
      <c r="I1095" s="4">
        <v>13.6325</v>
      </c>
      <c r="J1095" s="4">
        <v>14.085000000000001</v>
      </c>
      <c r="K1095" s="4">
        <v>12.035</v>
      </c>
      <c r="L1095" s="4">
        <v>13.95</v>
      </c>
      <c r="M1095" s="7">
        <v>2.3300000000000001E-2</v>
      </c>
    </row>
    <row r="1096" spans="1:13" x14ac:dyDescent="0.2">
      <c r="A1096" s="6">
        <v>45533</v>
      </c>
      <c r="B1096" s="2" t="s">
        <v>227</v>
      </c>
      <c r="C1096" s="5">
        <v>45505</v>
      </c>
      <c r="D1096" s="2" t="s">
        <v>193</v>
      </c>
      <c r="E1096" s="3">
        <v>4379</v>
      </c>
      <c r="F1096" s="8">
        <v>0.44650000000000001</v>
      </c>
      <c r="G1096" s="4">
        <v>77.7012</v>
      </c>
      <c r="H1096" s="4">
        <v>206.67609999999999</v>
      </c>
      <c r="I1096" s="4">
        <v>13.95</v>
      </c>
      <c r="J1096" s="4">
        <v>14.135</v>
      </c>
      <c r="K1096" s="4">
        <v>12.4825</v>
      </c>
      <c r="L1096" s="4">
        <v>13.7875</v>
      </c>
      <c r="M1096" s="7">
        <v>-1.1599999999999999E-2</v>
      </c>
    </row>
    <row r="1097" spans="1:13" x14ac:dyDescent="0.2">
      <c r="A1097" s="6">
        <v>45534</v>
      </c>
      <c r="B1097" s="2" t="s">
        <v>225</v>
      </c>
      <c r="C1097" s="5">
        <v>45505</v>
      </c>
      <c r="D1097" s="2" t="s">
        <v>193</v>
      </c>
      <c r="E1097" s="3">
        <v>4395</v>
      </c>
      <c r="F1097" s="8">
        <v>0.4582</v>
      </c>
      <c r="G1097" s="4">
        <v>77.597499999999997</v>
      </c>
      <c r="H1097" s="4">
        <v>89.44</v>
      </c>
      <c r="I1097" s="4">
        <v>13.7875</v>
      </c>
      <c r="J1097" s="4">
        <v>13.904999999999999</v>
      </c>
      <c r="K1097" s="4">
        <v>12.54</v>
      </c>
      <c r="L1097" s="4">
        <v>13.3925</v>
      </c>
      <c r="M1097" s="7">
        <v>-2.86E-2</v>
      </c>
    </row>
    <row r="1098" spans="1:13" x14ac:dyDescent="0.2">
      <c r="A1098" s="6">
        <v>45537</v>
      </c>
      <c r="B1098" s="2" t="s">
        <v>228</v>
      </c>
      <c r="C1098" s="5">
        <v>45536</v>
      </c>
      <c r="D1098" s="2" t="s">
        <v>193</v>
      </c>
      <c r="E1098" s="3">
        <v>4551</v>
      </c>
      <c r="F1098" s="8">
        <v>0.47570000000000001</v>
      </c>
      <c r="G1098" s="4">
        <v>77.689700000000002</v>
      </c>
      <c r="H1098" s="4">
        <v>82.741600000000005</v>
      </c>
      <c r="I1098" s="4">
        <v>13.3925</v>
      </c>
      <c r="J1098" s="4">
        <v>14.25</v>
      </c>
      <c r="K1098" s="4">
        <v>12.6275</v>
      </c>
      <c r="L1098" s="4">
        <v>14.06</v>
      </c>
      <c r="M1098" s="7">
        <v>4.9799999999999997E-2</v>
      </c>
    </row>
    <row r="1099" spans="1:13" x14ac:dyDescent="0.2">
      <c r="A1099" s="6">
        <v>45538</v>
      </c>
      <c r="B1099" s="2" t="s">
        <v>226</v>
      </c>
      <c r="C1099" s="5">
        <v>45536</v>
      </c>
      <c r="D1099" s="2" t="s">
        <v>193</v>
      </c>
      <c r="E1099" s="3">
        <v>4410</v>
      </c>
      <c r="F1099" s="8">
        <v>0.3821</v>
      </c>
      <c r="G1099" s="4">
        <v>63.090499999999999</v>
      </c>
      <c r="H1099" s="4">
        <v>83.143199999999993</v>
      </c>
      <c r="I1099" s="4">
        <v>14.06</v>
      </c>
      <c r="J1099" s="4">
        <v>14.15</v>
      </c>
      <c r="K1099" s="4">
        <v>12.69</v>
      </c>
      <c r="L1099" s="4">
        <v>13.842499999999999</v>
      </c>
      <c r="M1099" s="7">
        <v>-1.55E-2</v>
      </c>
    </row>
    <row r="1100" spans="1:13" x14ac:dyDescent="0.2">
      <c r="A1100" s="6">
        <v>45539</v>
      </c>
      <c r="B1100" s="2" t="s">
        <v>224</v>
      </c>
      <c r="C1100" s="5">
        <v>45536</v>
      </c>
      <c r="D1100" s="2" t="s">
        <v>193</v>
      </c>
      <c r="E1100" s="3">
        <v>4376</v>
      </c>
      <c r="F1100" s="8">
        <v>0.40279999999999999</v>
      </c>
      <c r="G1100" s="4">
        <v>74.950299999999999</v>
      </c>
      <c r="H1100" s="4">
        <v>81.210899999999995</v>
      </c>
      <c r="I1100" s="4">
        <v>13.842499999999999</v>
      </c>
      <c r="J1100" s="4">
        <v>14.555</v>
      </c>
      <c r="K1100" s="4">
        <v>12.805</v>
      </c>
      <c r="L1100" s="4">
        <v>14.3775</v>
      </c>
      <c r="M1100" s="7">
        <v>3.8600000000000002E-2</v>
      </c>
    </row>
    <row r="1101" spans="1:13" x14ac:dyDescent="0.2">
      <c r="A1101" s="6">
        <v>45540</v>
      </c>
      <c r="B1101" s="2" t="s">
        <v>227</v>
      </c>
      <c r="C1101" s="5">
        <v>45536</v>
      </c>
      <c r="D1101" s="2" t="s">
        <v>193</v>
      </c>
      <c r="E1101" s="3">
        <v>4363</v>
      </c>
      <c r="F1101" s="8">
        <v>0.41889999999999999</v>
      </c>
      <c r="G1101" s="4">
        <v>77.436800000000005</v>
      </c>
      <c r="H1101" s="4">
        <v>79.093299999999999</v>
      </c>
      <c r="I1101" s="4">
        <v>14.3775</v>
      </c>
      <c r="J1101" s="4">
        <v>14.3775</v>
      </c>
      <c r="K1101" s="4">
        <v>13.335000000000001</v>
      </c>
      <c r="L1101" s="4">
        <v>14.2075</v>
      </c>
      <c r="M1101" s="7">
        <v>-1.18E-2</v>
      </c>
    </row>
    <row r="1102" spans="1:13" x14ac:dyDescent="0.2">
      <c r="A1102" s="6">
        <v>45541</v>
      </c>
      <c r="B1102" s="2" t="s">
        <v>225</v>
      </c>
      <c r="C1102" s="5">
        <v>45536</v>
      </c>
      <c r="D1102" s="2" t="s">
        <v>193</v>
      </c>
      <c r="E1102" s="3">
        <v>4378</v>
      </c>
      <c r="F1102" s="8">
        <v>0.54890000000000005</v>
      </c>
      <c r="G1102" s="4">
        <v>102.3036</v>
      </c>
      <c r="H1102" s="4">
        <v>98.514899999999997</v>
      </c>
      <c r="I1102" s="4">
        <v>14.2075</v>
      </c>
      <c r="J1102" s="4">
        <v>15.672499999999999</v>
      </c>
      <c r="K1102" s="4">
        <v>12.352499999999999</v>
      </c>
      <c r="L1102" s="4">
        <v>15.217499999999999</v>
      </c>
      <c r="M1102" s="7">
        <v>7.1099999999999997E-2</v>
      </c>
    </row>
    <row r="1103" spans="1:13" x14ac:dyDescent="0.2">
      <c r="A1103" s="6">
        <v>45544</v>
      </c>
      <c r="B1103" s="2" t="s">
        <v>228</v>
      </c>
      <c r="C1103" s="5">
        <v>45536</v>
      </c>
      <c r="D1103" s="2" t="s">
        <v>193</v>
      </c>
      <c r="E1103" s="3">
        <v>4550</v>
      </c>
      <c r="F1103" s="8">
        <v>0.48859999999999998</v>
      </c>
      <c r="G1103" s="4">
        <v>85.429900000000004</v>
      </c>
      <c r="H1103" s="4">
        <v>75.405900000000003</v>
      </c>
      <c r="I1103" s="4">
        <v>15.217499999999999</v>
      </c>
      <c r="J1103" s="4">
        <v>15.5625</v>
      </c>
      <c r="K1103" s="4">
        <v>14.11</v>
      </c>
      <c r="L1103" s="4">
        <v>14.237500000000001</v>
      </c>
      <c r="M1103" s="7">
        <v>-6.4399999999999999E-2</v>
      </c>
    </row>
    <row r="1104" spans="1:13" x14ac:dyDescent="0.2">
      <c r="A1104" s="6">
        <v>45545</v>
      </c>
      <c r="B1104" s="2" t="s">
        <v>226</v>
      </c>
      <c r="C1104" s="5">
        <v>45536</v>
      </c>
      <c r="D1104" s="2" t="s">
        <v>193</v>
      </c>
      <c r="E1104" s="3">
        <v>4379</v>
      </c>
      <c r="F1104" s="8">
        <v>0.40479999999999999</v>
      </c>
      <c r="G1104" s="4">
        <v>75.692499999999995</v>
      </c>
      <c r="H1104" s="4">
        <v>68.963700000000003</v>
      </c>
      <c r="I1104" s="4">
        <v>14.237500000000001</v>
      </c>
      <c r="J1104" s="4">
        <v>14.237500000000001</v>
      </c>
      <c r="K1104" s="4">
        <v>12.1675</v>
      </c>
      <c r="L1104" s="4">
        <v>13.36</v>
      </c>
      <c r="M1104" s="7">
        <v>-6.1600000000000002E-2</v>
      </c>
    </row>
    <row r="1105" spans="1:13" x14ac:dyDescent="0.2">
      <c r="A1105" s="6">
        <v>45546</v>
      </c>
      <c r="B1105" s="2" t="s">
        <v>224</v>
      </c>
      <c r="C1105" s="5">
        <v>45536</v>
      </c>
      <c r="D1105" s="2" t="s">
        <v>193</v>
      </c>
      <c r="E1105" s="3">
        <v>4417</v>
      </c>
      <c r="F1105" s="8">
        <v>0.41860000000000003</v>
      </c>
      <c r="G1105" s="4">
        <v>76.042599999999993</v>
      </c>
      <c r="H1105" s="4">
        <v>76.428299999999993</v>
      </c>
      <c r="I1105" s="4">
        <v>13.36</v>
      </c>
      <c r="J1105" s="4">
        <v>13.765000000000001</v>
      </c>
      <c r="K1105" s="4">
        <v>11.324999999999999</v>
      </c>
      <c r="L1105" s="4">
        <v>13.6275</v>
      </c>
      <c r="M1105" s="7">
        <v>0.02</v>
      </c>
    </row>
    <row r="1106" spans="1:13" x14ac:dyDescent="0.2">
      <c r="A1106" s="6">
        <v>45547</v>
      </c>
      <c r="B1106" s="2" t="s">
        <v>227</v>
      </c>
      <c r="C1106" s="5">
        <v>45536</v>
      </c>
      <c r="D1106" s="2" t="s">
        <v>193</v>
      </c>
      <c r="E1106" s="3">
        <v>4397</v>
      </c>
      <c r="F1106" s="8">
        <v>0.40720000000000001</v>
      </c>
      <c r="G1106" s="4">
        <v>70.436400000000006</v>
      </c>
      <c r="H1106" s="4">
        <v>70.729699999999994</v>
      </c>
      <c r="I1106" s="4">
        <v>13.6275</v>
      </c>
      <c r="J1106" s="4">
        <v>13.6275</v>
      </c>
      <c r="K1106" s="4">
        <v>11.14</v>
      </c>
      <c r="L1106" s="4">
        <v>13.182499999999999</v>
      </c>
      <c r="M1106" s="7">
        <v>-3.27E-2</v>
      </c>
    </row>
    <row r="1107" spans="1:13" x14ac:dyDescent="0.2">
      <c r="A1107" s="6">
        <v>45548</v>
      </c>
      <c r="B1107" s="2" t="s">
        <v>225</v>
      </c>
      <c r="C1107" s="5">
        <v>45536</v>
      </c>
      <c r="D1107" s="2" t="s">
        <v>193</v>
      </c>
      <c r="E1107" s="3">
        <v>4432</v>
      </c>
      <c r="F1107" s="8">
        <v>0.4153</v>
      </c>
      <c r="G1107" s="4">
        <v>76.793599999999998</v>
      </c>
      <c r="H1107" s="4">
        <v>80.427499999999995</v>
      </c>
      <c r="I1107" s="4">
        <v>13.182499999999999</v>
      </c>
      <c r="J1107" s="4">
        <v>13.182499999999999</v>
      </c>
      <c r="K1107" s="4">
        <v>12.467499999999999</v>
      </c>
      <c r="L1107" s="4">
        <v>12.55</v>
      </c>
      <c r="M1107" s="7">
        <v>-4.8000000000000001E-2</v>
      </c>
    </row>
    <row r="1108" spans="1:13" x14ac:dyDescent="0.2">
      <c r="A1108" s="6">
        <v>45551</v>
      </c>
      <c r="B1108" s="2" t="s">
        <v>228</v>
      </c>
      <c r="C1108" s="5">
        <v>45536</v>
      </c>
      <c r="D1108" s="2" t="s">
        <v>193</v>
      </c>
      <c r="E1108" s="3">
        <v>4594</v>
      </c>
      <c r="F1108" s="8">
        <v>0.4904</v>
      </c>
      <c r="G1108" s="4">
        <v>85.580799999999996</v>
      </c>
      <c r="H1108" s="4">
        <v>88.923599999999993</v>
      </c>
      <c r="I1108" s="4">
        <v>12.55</v>
      </c>
      <c r="J1108" s="4">
        <v>12.955</v>
      </c>
      <c r="K1108" s="4">
        <v>12.31</v>
      </c>
      <c r="L1108" s="4">
        <v>12.46</v>
      </c>
      <c r="M1108" s="7">
        <v>-7.1999999999999998E-3</v>
      </c>
    </row>
    <row r="1109" spans="1:13" x14ac:dyDescent="0.2">
      <c r="A1109" s="6">
        <v>45552</v>
      </c>
      <c r="B1109" s="2" t="s">
        <v>226</v>
      </c>
      <c r="C1109" s="5">
        <v>45536</v>
      </c>
      <c r="D1109" s="2" t="s">
        <v>193</v>
      </c>
      <c r="E1109" s="3">
        <v>4419</v>
      </c>
      <c r="F1109" s="8">
        <v>0.42470000000000002</v>
      </c>
      <c r="G1109" s="4">
        <v>72.240300000000005</v>
      </c>
      <c r="H1109" s="4">
        <v>74.200400000000002</v>
      </c>
      <c r="I1109" s="4">
        <v>12.46</v>
      </c>
      <c r="J1109" s="4">
        <v>12.75</v>
      </c>
      <c r="K1109" s="4">
        <v>11.8825</v>
      </c>
      <c r="L1109" s="4">
        <v>12.59</v>
      </c>
      <c r="M1109" s="7">
        <v>1.04E-2</v>
      </c>
    </row>
    <row r="1110" spans="1:13" x14ac:dyDescent="0.2">
      <c r="A1110" s="6">
        <v>45553</v>
      </c>
      <c r="B1110" s="2" t="s">
        <v>224</v>
      </c>
      <c r="C1110" s="5">
        <v>45536</v>
      </c>
      <c r="D1110" s="2" t="s">
        <v>193</v>
      </c>
      <c r="E1110" s="3">
        <v>4397</v>
      </c>
      <c r="F1110" s="8">
        <v>0.4491</v>
      </c>
      <c r="G1110" s="4">
        <v>75.6511</v>
      </c>
      <c r="H1110" s="4">
        <v>70.168999999999997</v>
      </c>
      <c r="I1110" s="4">
        <v>12.59</v>
      </c>
      <c r="J1110" s="4">
        <v>13.8475</v>
      </c>
      <c r="K1110" s="4">
        <v>12.26</v>
      </c>
      <c r="L1110" s="4">
        <v>13.3725</v>
      </c>
      <c r="M1110" s="7">
        <v>6.2199999999999998E-2</v>
      </c>
    </row>
    <row r="1111" spans="1:13" x14ac:dyDescent="0.2">
      <c r="A1111" s="6">
        <v>45554</v>
      </c>
      <c r="B1111" s="2" t="s">
        <v>227</v>
      </c>
      <c r="C1111" s="5">
        <v>45536</v>
      </c>
      <c r="D1111" s="2" t="s">
        <v>193</v>
      </c>
      <c r="E1111" s="3">
        <v>4406</v>
      </c>
      <c r="F1111" s="8">
        <v>0.53949999999999998</v>
      </c>
      <c r="G1111" s="4">
        <v>123.5856</v>
      </c>
      <c r="H1111" s="4">
        <v>107.9191</v>
      </c>
      <c r="I1111" s="4">
        <v>13.3725</v>
      </c>
      <c r="J1111" s="4">
        <v>13.3725</v>
      </c>
      <c r="K1111" s="4">
        <v>12.1</v>
      </c>
      <c r="L1111" s="4">
        <v>12.47</v>
      </c>
      <c r="M1111" s="7">
        <v>-6.7500000000000004E-2</v>
      </c>
    </row>
    <row r="1112" spans="1:13" x14ac:dyDescent="0.2">
      <c r="A1112" s="6">
        <v>45555</v>
      </c>
      <c r="B1112" s="2" t="s">
        <v>225</v>
      </c>
      <c r="C1112" s="5">
        <v>45536</v>
      </c>
      <c r="D1112" s="2" t="s">
        <v>193</v>
      </c>
      <c r="E1112" s="3">
        <v>4413</v>
      </c>
      <c r="F1112" s="8">
        <v>0.55169999999999997</v>
      </c>
      <c r="G1112" s="4">
        <v>87.654899999999998</v>
      </c>
      <c r="H1112" s="4">
        <v>114.0064</v>
      </c>
      <c r="I1112" s="4">
        <v>12.47</v>
      </c>
      <c r="J1112" s="4">
        <v>13.11</v>
      </c>
      <c r="K1112" s="4">
        <v>10.9025</v>
      </c>
      <c r="L1112" s="4">
        <v>12.79</v>
      </c>
      <c r="M1112" s="7">
        <v>2.5700000000000001E-2</v>
      </c>
    </row>
    <row r="1113" spans="1:13" x14ac:dyDescent="0.2">
      <c r="A1113" s="6">
        <v>45558</v>
      </c>
      <c r="B1113" s="2" t="s">
        <v>228</v>
      </c>
      <c r="C1113" s="5">
        <v>45536</v>
      </c>
      <c r="D1113" s="2" t="s">
        <v>193</v>
      </c>
      <c r="E1113" s="3">
        <v>4657</v>
      </c>
      <c r="F1113" s="8">
        <v>0.46899999999999997</v>
      </c>
      <c r="G1113" s="4">
        <v>90.988900000000001</v>
      </c>
      <c r="H1113" s="4">
        <v>82.86</v>
      </c>
      <c r="I1113" s="4">
        <v>12.79</v>
      </c>
      <c r="J1113" s="4">
        <v>14.03</v>
      </c>
      <c r="K1113" s="4">
        <v>12.4275</v>
      </c>
      <c r="L1113" s="4">
        <v>13.785</v>
      </c>
      <c r="M1113" s="7">
        <v>7.7799999999999994E-2</v>
      </c>
    </row>
    <row r="1114" spans="1:13" x14ac:dyDescent="0.2">
      <c r="A1114" s="6">
        <v>45559</v>
      </c>
      <c r="B1114" s="2" t="s">
        <v>226</v>
      </c>
      <c r="C1114" s="5">
        <v>45536</v>
      </c>
      <c r="D1114" s="2" t="s">
        <v>193</v>
      </c>
      <c r="E1114" s="3">
        <v>4480</v>
      </c>
      <c r="F1114" s="8">
        <v>0.42420000000000002</v>
      </c>
      <c r="G1114" s="4">
        <v>68.406099999999995</v>
      </c>
      <c r="H1114" s="4">
        <v>72.849199999999996</v>
      </c>
      <c r="I1114" s="4">
        <v>13.785</v>
      </c>
      <c r="J1114" s="4">
        <v>14.105</v>
      </c>
      <c r="K1114" s="4">
        <v>12.7425</v>
      </c>
      <c r="L1114" s="4">
        <v>13.3925</v>
      </c>
      <c r="M1114" s="7">
        <v>-2.8500000000000001E-2</v>
      </c>
    </row>
    <row r="1115" spans="1:13" x14ac:dyDescent="0.2">
      <c r="A1115" s="6">
        <v>45560</v>
      </c>
      <c r="B1115" s="2" t="s">
        <v>224</v>
      </c>
      <c r="C1115" s="5">
        <v>45536</v>
      </c>
      <c r="D1115" s="2" t="s">
        <v>193</v>
      </c>
      <c r="E1115" s="3">
        <v>4405</v>
      </c>
      <c r="F1115" s="8">
        <v>0.42249999999999999</v>
      </c>
      <c r="G1115" s="4">
        <v>93.340199999999996</v>
      </c>
      <c r="H1115" s="4">
        <v>99.790400000000005</v>
      </c>
      <c r="I1115" s="4">
        <v>13.3925</v>
      </c>
      <c r="J1115" s="4">
        <v>13.61</v>
      </c>
      <c r="K1115" s="4">
        <v>8.98</v>
      </c>
      <c r="L1115" s="4">
        <v>12.7425</v>
      </c>
      <c r="M1115" s="7">
        <v>-4.8500000000000001E-2</v>
      </c>
    </row>
    <row r="1116" spans="1:13" x14ac:dyDescent="0.2">
      <c r="A1116" s="6">
        <v>45561</v>
      </c>
      <c r="B1116" s="2" t="s">
        <v>227</v>
      </c>
      <c r="C1116" s="5">
        <v>45536</v>
      </c>
      <c r="D1116" s="2" t="s">
        <v>193</v>
      </c>
      <c r="E1116" s="3">
        <v>4424</v>
      </c>
      <c r="F1116" s="8">
        <v>0.38650000000000001</v>
      </c>
      <c r="G1116" s="4">
        <v>85.052000000000007</v>
      </c>
      <c r="H1116" s="4">
        <v>115.1499</v>
      </c>
      <c r="I1116" s="4">
        <v>12.7425</v>
      </c>
      <c r="J1116" s="4">
        <v>12.7425</v>
      </c>
      <c r="K1116" s="4">
        <v>11.352499999999999</v>
      </c>
      <c r="L1116" s="4">
        <v>12.0025</v>
      </c>
      <c r="M1116" s="7">
        <v>-5.8099999999999999E-2</v>
      </c>
    </row>
    <row r="1117" spans="1:13" x14ac:dyDescent="0.2">
      <c r="A1117" s="6">
        <v>45562</v>
      </c>
      <c r="B1117" s="2" t="s">
        <v>225</v>
      </c>
      <c r="C1117" s="5">
        <v>45536</v>
      </c>
      <c r="D1117" s="2" t="s">
        <v>193</v>
      </c>
      <c r="E1117" s="3">
        <v>4422</v>
      </c>
      <c r="F1117" s="8">
        <v>0.42199999999999999</v>
      </c>
      <c r="G1117" s="4">
        <v>88.880200000000002</v>
      </c>
      <c r="H1117" s="4">
        <v>103.5158</v>
      </c>
      <c r="I1117" s="4">
        <v>12.0025</v>
      </c>
      <c r="J1117" s="4">
        <v>12.08</v>
      </c>
      <c r="K1117" s="4">
        <v>10.5025</v>
      </c>
      <c r="L1117" s="4">
        <v>11.9625</v>
      </c>
      <c r="M1117" s="7">
        <v>-3.3E-3</v>
      </c>
    </row>
    <row r="1118" spans="1:13" x14ac:dyDescent="0.2">
      <c r="A1118" s="6">
        <v>45565</v>
      </c>
      <c r="B1118" s="2" t="s">
        <v>228</v>
      </c>
      <c r="C1118" s="5">
        <v>45536</v>
      </c>
      <c r="D1118" s="2" t="s">
        <v>193</v>
      </c>
      <c r="E1118" s="3">
        <v>4573</v>
      </c>
      <c r="F1118" s="8">
        <v>0.45950000000000002</v>
      </c>
      <c r="G1118" s="4">
        <v>102.38500000000001</v>
      </c>
      <c r="H1118" s="4">
        <v>80.774600000000007</v>
      </c>
      <c r="I1118" s="4">
        <v>11.9625</v>
      </c>
      <c r="J1118" s="4">
        <v>13.237500000000001</v>
      </c>
      <c r="K1118" s="4">
        <v>11.6</v>
      </c>
      <c r="L1118" s="4">
        <v>12.7875</v>
      </c>
      <c r="M1118" s="7">
        <v>6.9000000000000006E-2</v>
      </c>
    </row>
    <row r="1119" spans="1:13" x14ac:dyDescent="0.2">
      <c r="A1119" s="6">
        <v>45566</v>
      </c>
      <c r="B1119" s="2" t="s">
        <v>226</v>
      </c>
      <c r="C1119" s="5">
        <v>45566</v>
      </c>
      <c r="D1119" s="2" t="s">
        <v>194</v>
      </c>
      <c r="E1119" s="3">
        <v>4430</v>
      </c>
      <c r="F1119" s="8">
        <v>0.42620000000000002</v>
      </c>
      <c r="G1119" s="4">
        <v>88.639700000000005</v>
      </c>
      <c r="H1119" s="4">
        <v>79.136499999999998</v>
      </c>
      <c r="I1119" s="4">
        <v>12.7875</v>
      </c>
      <c r="J1119" s="4">
        <v>12.7875</v>
      </c>
      <c r="K1119" s="4">
        <v>11.7125</v>
      </c>
      <c r="L1119" s="4">
        <v>11.987500000000001</v>
      </c>
      <c r="M1119" s="7">
        <v>-6.2600000000000003E-2</v>
      </c>
    </row>
    <row r="1120" spans="1:13" x14ac:dyDescent="0.2">
      <c r="A1120" s="6">
        <v>45568</v>
      </c>
      <c r="B1120" s="2" t="s">
        <v>227</v>
      </c>
      <c r="C1120" s="5">
        <v>45566</v>
      </c>
      <c r="D1120" s="2" t="s">
        <v>194</v>
      </c>
      <c r="E1120" s="3">
        <v>4460</v>
      </c>
      <c r="F1120" s="8">
        <v>0.52729999999999999</v>
      </c>
      <c r="G1120" s="4">
        <v>95.420900000000003</v>
      </c>
      <c r="H1120" s="4">
        <v>102.5962</v>
      </c>
      <c r="I1120" s="4">
        <v>11.987500000000001</v>
      </c>
      <c r="J1120" s="4">
        <v>13.9275</v>
      </c>
      <c r="K1120" s="4">
        <v>11.685</v>
      </c>
      <c r="L1120" s="4">
        <v>13.17</v>
      </c>
      <c r="M1120" s="7">
        <v>9.8599999999999993E-2</v>
      </c>
    </row>
    <row r="1121" spans="1:13" x14ac:dyDescent="0.2">
      <c r="A1121" s="6">
        <v>45569</v>
      </c>
      <c r="B1121" s="2" t="s">
        <v>225</v>
      </c>
      <c r="C1121" s="5">
        <v>45566</v>
      </c>
      <c r="D1121" s="2" t="s">
        <v>194</v>
      </c>
      <c r="E1121" s="3">
        <v>4421</v>
      </c>
      <c r="F1121" s="8">
        <v>0.50280000000000002</v>
      </c>
      <c r="G1121" s="4">
        <v>86.019800000000004</v>
      </c>
      <c r="H1121" s="4">
        <v>97.218299999999999</v>
      </c>
      <c r="I1121" s="4">
        <v>13.17</v>
      </c>
      <c r="J1121" s="4">
        <v>14.48</v>
      </c>
      <c r="K1121" s="4">
        <v>12.285</v>
      </c>
      <c r="L1121" s="4">
        <v>14.1275</v>
      </c>
      <c r="M1121" s="7">
        <v>7.2700000000000001E-2</v>
      </c>
    </row>
    <row r="1122" spans="1:13" x14ac:dyDescent="0.2">
      <c r="A1122" s="6">
        <v>45572</v>
      </c>
      <c r="B1122" s="2" t="s">
        <v>228</v>
      </c>
      <c r="C1122" s="5">
        <v>45566</v>
      </c>
      <c r="D1122" s="2" t="s">
        <v>194</v>
      </c>
      <c r="E1122" s="3">
        <v>4562</v>
      </c>
      <c r="F1122" s="8">
        <v>0.58030000000000004</v>
      </c>
      <c r="G1122" s="4">
        <v>109.8275</v>
      </c>
      <c r="H1122" s="4">
        <v>95.113500000000002</v>
      </c>
      <c r="I1122" s="4">
        <v>14.1275</v>
      </c>
      <c r="J1122" s="4">
        <v>15.5</v>
      </c>
      <c r="K1122" s="4">
        <v>13.6175</v>
      </c>
      <c r="L1122" s="4">
        <v>15.08</v>
      </c>
      <c r="M1122" s="7">
        <v>6.7400000000000002E-2</v>
      </c>
    </row>
    <row r="1123" spans="1:13" x14ac:dyDescent="0.2">
      <c r="A1123" s="6">
        <v>45573</v>
      </c>
      <c r="B1123" s="2" t="s">
        <v>226</v>
      </c>
      <c r="C1123" s="5">
        <v>45566</v>
      </c>
      <c r="D1123" s="2" t="s">
        <v>194</v>
      </c>
      <c r="E1123" s="3">
        <v>4392</v>
      </c>
      <c r="F1123" s="8">
        <v>0.38790000000000002</v>
      </c>
      <c r="G1123" s="4">
        <v>91.665499999999994</v>
      </c>
      <c r="H1123" s="4">
        <v>65.293999999999997</v>
      </c>
      <c r="I1123" s="4">
        <v>15.08</v>
      </c>
      <c r="J1123" s="4">
        <v>15.555</v>
      </c>
      <c r="K1123" s="4">
        <v>13.8775</v>
      </c>
      <c r="L1123" s="4">
        <v>14.5875</v>
      </c>
      <c r="M1123" s="7">
        <v>-3.27E-2</v>
      </c>
    </row>
    <row r="1124" spans="1:13" x14ac:dyDescent="0.2">
      <c r="A1124" s="6">
        <v>45574</v>
      </c>
      <c r="B1124" s="2" t="s">
        <v>224</v>
      </c>
      <c r="C1124" s="5">
        <v>45566</v>
      </c>
      <c r="D1124" s="2" t="s">
        <v>194</v>
      </c>
      <c r="E1124" s="3">
        <v>4402</v>
      </c>
      <c r="F1124" s="8">
        <v>0.36599999999999999</v>
      </c>
      <c r="G1124" s="4">
        <v>80.851699999999994</v>
      </c>
      <c r="H1124" s="4">
        <v>69.08</v>
      </c>
      <c r="I1124" s="4">
        <v>14.5875</v>
      </c>
      <c r="J1124" s="4">
        <v>14.5875</v>
      </c>
      <c r="K1124" s="4">
        <v>12.7</v>
      </c>
      <c r="L1124" s="4">
        <v>14.1225</v>
      </c>
      <c r="M1124" s="7">
        <v>-3.1899999999999998E-2</v>
      </c>
    </row>
    <row r="1125" spans="1:13" x14ac:dyDescent="0.2">
      <c r="A1125" s="6">
        <v>45575</v>
      </c>
      <c r="B1125" s="2" t="s">
        <v>227</v>
      </c>
      <c r="C1125" s="5">
        <v>45566</v>
      </c>
      <c r="D1125" s="2" t="s">
        <v>194</v>
      </c>
      <c r="E1125" s="3">
        <v>4415</v>
      </c>
      <c r="F1125" s="8">
        <v>0.32450000000000001</v>
      </c>
      <c r="G1125" s="4">
        <v>77.586799999999997</v>
      </c>
      <c r="H1125" s="4">
        <v>127.2368</v>
      </c>
      <c r="I1125" s="4">
        <v>14.1225</v>
      </c>
      <c r="J1125" s="4">
        <v>14.1225</v>
      </c>
      <c r="K1125" s="4">
        <v>11.727499999999999</v>
      </c>
      <c r="L1125" s="4">
        <v>13.494999999999999</v>
      </c>
      <c r="M1125" s="7">
        <v>-4.4400000000000002E-2</v>
      </c>
    </row>
    <row r="1126" spans="1:13" x14ac:dyDescent="0.2">
      <c r="A1126" s="6">
        <v>45576</v>
      </c>
      <c r="B1126" s="2" t="s">
        <v>225</v>
      </c>
      <c r="C1126" s="5">
        <v>45566</v>
      </c>
      <c r="D1126" s="2" t="s">
        <v>194</v>
      </c>
      <c r="E1126" s="3">
        <v>4331</v>
      </c>
      <c r="F1126" s="8">
        <v>0.3145</v>
      </c>
      <c r="G1126" s="4">
        <v>75.901499999999999</v>
      </c>
      <c r="H1126" s="4">
        <v>56.8155</v>
      </c>
      <c r="I1126" s="4">
        <v>13.494999999999999</v>
      </c>
      <c r="J1126" s="4">
        <v>13.702500000000001</v>
      </c>
      <c r="K1126" s="4">
        <v>11.535</v>
      </c>
      <c r="L1126" s="4">
        <v>13.22</v>
      </c>
      <c r="M1126" s="7">
        <v>-2.0400000000000001E-2</v>
      </c>
    </row>
    <row r="1127" spans="1:13" x14ac:dyDescent="0.2">
      <c r="A1127" s="6">
        <v>45579</v>
      </c>
      <c r="B1127" s="2" t="s">
        <v>228</v>
      </c>
      <c r="C1127" s="5">
        <v>45566</v>
      </c>
      <c r="D1127" s="2" t="s">
        <v>194</v>
      </c>
      <c r="E1127" s="3">
        <v>4561</v>
      </c>
      <c r="F1127" s="8">
        <v>0.33339999999999997</v>
      </c>
      <c r="G1127" s="4">
        <v>76.814400000000006</v>
      </c>
      <c r="H1127" s="4">
        <v>58.103099999999998</v>
      </c>
      <c r="I1127" s="4">
        <v>13.22</v>
      </c>
      <c r="J1127" s="4">
        <v>13.734999999999999</v>
      </c>
      <c r="K1127" s="4">
        <v>12.914999999999999</v>
      </c>
      <c r="L1127" s="4">
        <v>12.994999999999999</v>
      </c>
      <c r="M1127" s="7">
        <v>-1.7000000000000001E-2</v>
      </c>
    </row>
    <row r="1128" spans="1:13" x14ac:dyDescent="0.2">
      <c r="A1128" s="6">
        <v>45580</v>
      </c>
      <c r="B1128" s="2" t="s">
        <v>226</v>
      </c>
      <c r="C1128" s="5">
        <v>45566</v>
      </c>
      <c r="D1128" s="2" t="s">
        <v>194</v>
      </c>
      <c r="E1128" s="3">
        <v>4408</v>
      </c>
      <c r="F1128" s="8">
        <v>0.32929999999999998</v>
      </c>
      <c r="G1128" s="4">
        <v>62.906999999999996</v>
      </c>
      <c r="H1128" s="4">
        <v>59.938000000000002</v>
      </c>
      <c r="I1128" s="4">
        <v>12.994999999999999</v>
      </c>
      <c r="J1128" s="4">
        <v>13.362500000000001</v>
      </c>
      <c r="K1128" s="4">
        <v>10.922499999999999</v>
      </c>
      <c r="L1128" s="4">
        <v>13.0025</v>
      </c>
      <c r="M1128" s="7">
        <v>5.9999999999999995E-4</v>
      </c>
    </row>
    <row r="1129" spans="1:13" x14ac:dyDescent="0.2">
      <c r="A1129" s="6">
        <v>45581</v>
      </c>
      <c r="B1129" s="2" t="s">
        <v>224</v>
      </c>
      <c r="C1129" s="5">
        <v>45566</v>
      </c>
      <c r="D1129" s="2" t="s">
        <v>194</v>
      </c>
      <c r="E1129" s="3">
        <v>4399</v>
      </c>
      <c r="F1129" s="8">
        <v>0.34129999999999999</v>
      </c>
      <c r="G1129" s="4">
        <v>71.584800000000001</v>
      </c>
      <c r="H1129" s="4">
        <v>64.743200000000002</v>
      </c>
      <c r="I1129" s="4">
        <v>13.0025</v>
      </c>
      <c r="J1129" s="4">
        <v>13.56</v>
      </c>
      <c r="K1129" s="4">
        <v>11.435</v>
      </c>
      <c r="L1129" s="4">
        <v>13.0525</v>
      </c>
      <c r="M1129" s="7">
        <v>3.8E-3</v>
      </c>
    </row>
    <row r="1130" spans="1:13" x14ac:dyDescent="0.2">
      <c r="A1130" s="6">
        <v>45582</v>
      </c>
      <c r="B1130" s="2" t="s">
        <v>227</v>
      </c>
      <c r="C1130" s="5">
        <v>45566</v>
      </c>
      <c r="D1130" s="2" t="s">
        <v>194</v>
      </c>
      <c r="E1130" s="3">
        <v>4390</v>
      </c>
      <c r="F1130" s="8">
        <v>0.3498</v>
      </c>
      <c r="G1130" s="4">
        <v>75.058800000000005</v>
      </c>
      <c r="H1130" s="4">
        <v>60.453000000000003</v>
      </c>
      <c r="I1130" s="4">
        <v>13.0525</v>
      </c>
      <c r="J1130" s="4">
        <v>13.465</v>
      </c>
      <c r="K1130" s="4">
        <v>11.0625</v>
      </c>
      <c r="L1130" s="4">
        <v>13.387499999999999</v>
      </c>
      <c r="M1130" s="7">
        <v>2.5700000000000001E-2</v>
      </c>
    </row>
    <row r="1131" spans="1:13" x14ac:dyDescent="0.2">
      <c r="A1131" s="6">
        <v>45583</v>
      </c>
      <c r="B1131" s="2" t="s">
        <v>225</v>
      </c>
      <c r="C1131" s="5">
        <v>45566</v>
      </c>
      <c r="D1131" s="2" t="s">
        <v>194</v>
      </c>
      <c r="E1131" s="3">
        <v>4396</v>
      </c>
      <c r="F1131" s="8">
        <v>0.3629</v>
      </c>
      <c r="G1131" s="4">
        <v>68.996200000000002</v>
      </c>
      <c r="H1131" s="4">
        <v>69.204800000000006</v>
      </c>
      <c r="I1131" s="4">
        <v>13.387499999999999</v>
      </c>
      <c r="J1131" s="4">
        <v>14.06</v>
      </c>
      <c r="K1131" s="4">
        <v>12.8675</v>
      </c>
      <c r="L1131" s="4">
        <v>13.0375</v>
      </c>
      <c r="M1131" s="7">
        <v>-2.6100000000000002E-2</v>
      </c>
    </row>
    <row r="1132" spans="1:13" x14ac:dyDescent="0.2">
      <c r="A1132" s="6">
        <v>45586</v>
      </c>
      <c r="B1132" s="2" t="s">
        <v>228</v>
      </c>
      <c r="C1132" s="5">
        <v>45566</v>
      </c>
      <c r="D1132" s="2" t="s">
        <v>194</v>
      </c>
      <c r="E1132" s="3">
        <v>4538</v>
      </c>
      <c r="F1132" s="8">
        <v>0.37209999999999999</v>
      </c>
      <c r="G1132" s="4">
        <v>68.767700000000005</v>
      </c>
      <c r="H1132" s="4">
        <v>64.411900000000003</v>
      </c>
      <c r="I1132" s="4">
        <v>13.0375</v>
      </c>
      <c r="J1132" s="4">
        <v>14.195</v>
      </c>
      <c r="K1132" s="4">
        <v>12.5525</v>
      </c>
      <c r="L1132" s="4">
        <v>13.762499999999999</v>
      </c>
      <c r="M1132" s="7">
        <v>5.5599999999999997E-2</v>
      </c>
    </row>
    <row r="1133" spans="1:13" x14ac:dyDescent="0.2">
      <c r="A1133" s="6">
        <v>45587</v>
      </c>
      <c r="B1133" s="2" t="s">
        <v>226</v>
      </c>
      <c r="C1133" s="5">
        <v>45566</v>
      </c>
      <c r="D1133" s="2" t="s">
        <v>194</v>
      </c>
      <c r="E1133" s="3">
        <v>4445</v>
      </c>
      <c r="F1133" s="8">
        <v>0.46829999999999999</v>
      </c>
      <c r="G1133" s="4">
        <v>71.890900000000002</v>
      </c>
      <c r="H1133" s="4">
        <v>67.823599999999999</v>
      </c>
      <c r="I1133" s="4">
        <v>13.762499999999999</v>
      </c>
      <c r="J1133" s="4">
        <v>14.515000000000001</v>
      </c>
      <c r="K1133" s="4">
        <v>9.4700000000000006</v>
      </c>
      <c r="L1133" s="4">
        <v>14.395</v>
      </c>
      <c r="M1133" s="7">
        <v>4.5999999999999999E-2</v>
      </c>
    </row>
    <row r="1134" spans="1:13" x14ac:dyDescent="0.2">
      <c r="A1134" s="6">
        <v>45588</v>
      </c>
      <c r="B1134" s="2" t="s">
        <v>224</v>
      </c>
      <c r="C1134" s="5">
        <v>45566</v>
      </c>
      <c r="D1134" s="2" t="s">
        <v>194</v>
      </c>
      <c r="E1134" s="3">
        <v>4376</v>
      </c>
      <c r="F1134" s="8">
        <v>0.41539999999999999</v>
      </c>
      <c r="G1134" s="4">
        <v>76.974999999999994</v>
      </c>
      <c r="H1134" s="4">
        <v>69.754300000000001</v>
      </c>
      <c r="I1134" s="4">
        <v>14.395</v>
      </c>
      <c r="J1134" s="4">
        <v>15.032500000000001</v>
      </c>
      <c r="K1134" s="4">
        <v>11.74</v>
      </c>
      <c r="L1134" s="4">
        <v>14.6225</v>
      </c>
      <c r="M1134" s="7">
        <v>1.5800000000000002E-2</v>
      </c>
    </row>
    <row r="1135" spans="1:13" x14ac:dyDescent="0.2">
      <c r="A1135" s="6">
        <v>45589</v>
      </c>
      <c r="B1135" s="2" t="s">
        <v>227</v>
      </c>
      <c r="C1135" s="5">
        <v>45566</v>
      </c>
      <c r="D1135" s="2" t="s">
        <v>194</v>
      </c>
      <c r="E1135" s="3">
        <v>4346</v>
      </c>
      <c r="F1135" s="8">
        <v>0.31240000000000001</v>
      </c>
      <c r="G1135" s="4">
        <v>53.487400000000001</v>
      </c>
      <c r="H1135" s="4">
        <v>49.531100000000002</v>
      </c>
      <c r="I1135" s="4">
        <v>14.6225</v>
      </c>
      <c r="J1135" s="4">
        <v>14.897500000000001</v>
      </c>
      <c r="K1135" s="4">
        <v>12.695</v>
      </c>
      <c r="L1135" s="4">
        <v>13.97</v>
      </c>
      <c r="M1135" s="7">
        <v>-4.4600000000000001E-2</v>
      </c>
    </row>
    <row r="1136" spans="1:13" x14ac:dyDescent="0.2">
      <c r="A1136" s="6">
        <v>45590</v>
      </c>
      <c r="B1136" s="2" t="s">
        <v>225</v>
      </c>
      <c r="C1136" s="5">
        <v>45566</v>
      </c>
      <c r="D1136" s="2" t="s">
        <v>194</v>
      </c>
      <c r="E1136" s="3">
        <v>4374</v>
      </c>
      <c r="F1136" s="8">
        <v>0.47610000000000002</v>
      </c>
      <c r="G1136" s="4">
        <v>78.822500000000005</v>
      </c>
      <c r="H1136" s="4">
        <v>75.126199999999997</v>
      </c>
      <c r="I1136" s="4">
        <v>13.97</v>
      </c>
      <c r="J1136" s="4">
        <v>15.08</v>
      </c>
      <c r="K1136" s="4">
        <v>13.35</v>
      </c>
      <c r="L1136" s="4">
        <v>14.6325</v>
      </c>
      <c r="M1136" s="7">
        <v>4.7399999999999998E-2</v>
      </c>
    </row>
    <row r="1137" spans="1:13" x14ac:dyDescent="0.2">
      <c r="A1137" s="6">
        <v>45593</v>
      </c>
      <c r="B1137" s="2" t="s">
        <v>228</v>
      </c>
      <c r="C1137" s="5">
        <v>45566</v>
      </c>
      <c r="D1137" s="2" t="s">
        <v>194</v>
      </c>
      <c r="E1137" s="3">
        <v>4522</v>
      </c>
      <c r="F1137" s="8">
        <v>0.42830000000000001</v>
      </c>
      <c r="G1137" s="4">
        <v>77.431600000000003</v>
      </c>
      <c r="H1137" s="4">
        <v>74.444800000000001</v>
      </c>
      <c r="I1137" s="4">
        <v>14.6325</v>
      </c>
      <c r="J1137" s="4">
        <v>15.477499999999999</v>
      </c>
      <c r="K1137" s="4">
        <v>13.535</v>
      </c>
      <c r="L1137" s="4">
        <v>14.29</v>
      </c>
      <c r="M1137" s="7">
        <v>-2.3400000000000001E-2</v>
      </c>
    </row>
    <row r="1138" spans="1:13" x14ac:dyDescent="0.2">
      <c r="A1138" s="6">
        <v>45594</v>
      </c>
      <c r="B1138" s="2" t="s">
        <v>226</v>
      </c>
      <c r="C1138" s="5">
        <v>45566</v>
      </c>
      <c r="D1138" s="2" t="s">
        <v>194</v>
      </c>
      <c r="E1138" s="3">
        <v>4342</v>
      </c>
      <c r="F1138" s="8">
        <v>0.35439999999999999</v>
      </c>
      <c r="G1138" s="4">
        <v>56.859299999999998</v>
      </c>
      <c r="H1138" s="4">
        <v>60.615499999999997</v>
      </c>
      <c r="I1138" s="4">
        <v>14.29</v>
      </c>
      <c r="J1138" s="4">
        <v>15.0275</v>
      </c>
      <c r="K1138" s="4">
        <v>13.557499999999999</v>
      </c>
      <c r="L1138" s="4">
        <v>14.515000000000001</v>
      </c>
      <c r="M1138" s="7">
        <v>1.5699999999999999E-2</v>
      </c>
    </row>
    <row r="1139" spans="1:13" x14ac:dyDescent="0.2">
      <c r="A1139" s="6">
        <v>45595</v>
      </c>
      <c r="B1139" s="2" t="s">
        <v>224</v>
      </c>
      <c r="C1139" s="5">
        <v>45566</v>
      </c>
      <c r="D1139" s="2" t="s">
        <v>194</v>
      </c>
      <c r="E1139" s="3">
        <v>4377</v>
      </c>
      <c r="F1139" s="8">
        <v>0.33700000000000002</v>
      </c>
      <c r="G1139" s="4">
        <v>64.820800000000006</v>
      </c>
      <c r="H1139" s="4">
        <v>87.597800000000007</v>
      </c>
      <c r="I1139" s="4">
        <v>14.515000000000001</v>
      </c>
      <c r="J1139" s="4">
        <v>15.7</v>
      </c>
      <c r="K1139" s="4">
        <v>14.28</v>
      </c>
      <c r="L1139" s="4">
        <v>15.51</v>
      </c>
      <c r="M1139" s="7">
        <v>6.8500000000000005E-2</v>
      </c>
    </row>
    <row r="1140" spans="1:13" x14ac:dyDescent="0.2">
      <c r="A1140" s="6">
        <v>45596</v>
      </c>
      <c r="B1140" s="2" t="s">
        <v>227</v>
      </c>
      <c r="C1140" s="5">
        <v>45566</v>
      </c>
      <c r="D1140" s="2" t="s">
        <v>194</v>
      </c>
      <c r="E1140" s="3">
        <v>4356</v>
      </c>
      <c r="F1140" s="8">
        <v>0.33639999999999998</v>
      </c>
      <c r="G1140" s="4">
        <v>60.639200000000002</v>
      </c>
      <c r="H1140" s="4">
        <v>60.390999999999998</v>
      </c>
      <c r="I1140" s="4">
        <v>15.51</v>
      </c>
      <c r="J1140" s="4">
        <v>16.239999999999998</v>
      </c>
      <c r="K1140" s="4">
        <v>14.6525</v>
      </c>
      <c r="L1140" s="4">
        <v>15.55</v>
      </c>
      <c r="M1140" s="7">
        <v>2.5999999999999999E-3</v>
      </c>
    </row>
    <row r="1141" spans="1:13" x14ac:dyDescent="0.2">
      <c r="A1141" s="6">
        <v>45597</v>
      </c>
      <c r="B1141" s="2" t="s">
        <v>225</v>
      </c>
      <c r="C1141" s="5">
        <v>45597</v>
      </c>
      <c r="D1141" s="2" t="s">
        <v>194</v>
      </c>
      <c r="E1141" s="3">
        <v>3846</v>
      </c>
      <c r="F1141" s="8">
        <v>0.21809999999999999</v>
      </c>
      <c r="G1141" s="4">
        <v>35.209200000000003</v>
      </c>
      <c r="H1141" s="4">
        <v>20.730499999999999</v>
      </c>
      <c r="I1141" s="4">
        <v>15.55</v>
      </c>
      <c r="J1141" s="4">
        <v>16.125</v>
      </c>
      <c r="K1141" s="4">
        <v>13.6325</v>
      </c>
      <c r="L1141" s="4">
        <v>15.9025</v>
      </c>
      <c r="M1141" s="7">
        <v>2.2700000000000001E-2</v>
      </c>
    </row>
    <row r="1142" spans="1:13" x14ac:dyDescent="0.2">
      <c r="A1142" s="6">
        <v>45600</v>
      </c>
      <c r="B1142" s="2" t="s">
        <v>228</v>
      </c>
      <c r="C1142" s="5">
        <v>45597</v>
      </c>
      <c r="D1142" s="2" t="s">
        <v>194</v>
      </c>
      <c r="E1142" s="3">
        <v>4622</v>
      </c>
      <c r="F1142" s="8">
        <v>0.41820000000000002</v>
      </c>
      <c r="G1142" s="4">
        <v>76.650899999999993</v>
      </c>
      <c r="H1142" s="4">
        <v>61.443899999999999</v>
      </c>
      <c r="I1142" s="4">
        <v>15.9025</v>
      </c>
      <c r="J1142" s="4">
        <v>17.600000000000001</v>
      </c>
      <c r="K1142" s="4">
        <v>14.7775</v>
      </c>
      <c r="L1142" s="4">
        <v>16.6875</v>
      </c>
      <c r="M1142" s="7">
        <v>4.9399999999999999E-2</v>
      </c>
    </row>
    <row r="1143" spans="1:13" x14ac:dyDescent="0.2">
      <c r="A1143" s="6">
        <v>45601</v>
      </c>
      <c r="B1143" s="2" t="s">
        <v>226</v>
      </c>
      <c r="C1143" s="5">
        <v>45597</v>
      </c>
      <c r="D1143" s="2" t="s">
        <v>194</v>
      </c>
      <c r="E1143" s="3">
        <v>4441</v>
      </c>
      <c r="F1143" s="8">
        <v>0.34439999999999998</v>
      </c>
      <c r="G1143" s="4">
        <v>68.831500000000005</v>
      </c>
      <c r="H1143" s="4">
        <v>59.478999999999999</v>
      </c>
      <c r="I1143" s="4">
        <v>16.6875</v>
      </c>
      <c r="J1143" s="4">
        <v>19.02</v>
      </c>
      <c r="K1143" s="4">
        <v>15.795</v>
      </c>
      <c r="L1143" s="4">
        <v>16.122499999999999</v>
      </c>
      <c r="M1143" s="7">
        <v>-3.39E-2</v>
      </c>
    </row>
    <row r="1144" spans="1:13" x14ac:dyDescent="0.2">
      <c r="A1144" s="6">
        <v>45602</v>
      </c>
      <c r="B1144" s="2" t="s">
        <v>224</v>
      </c>
      <c r="C1144" s="5">
        <v>45597</v>
      </c>
      <c r="D1144" s="2" t="s">
        <v>194</v>
      </c>
      <c r="E1144" s="3">
        <v>4479</v>
      </c>
      <c r="F1144" s="8">
        <v>0.38090000000000002</v>
      </c>
      <c r="G1144" s="4">
        <v>75.688800000000001</v>
      </c>
      <c r="H1144" s="4">
        <v>87.9739</v>
      </c>
      <c r="I1144" s="4">
        <v>16.122499999999999</v>
      </c>
      <c r="J1144" s="4">
        <v>20.75</v>
      </c>
      <c r="K1144" s="4">
        <v>14.7125</v>
      </c>
      <c r="L1144" s="4">
        <v>14.8675</v>
      </c>
      <c r="M1144" s="7">
        <v>-7.7799999999999994E-2</v>
      </c>
    </row>
    <row r="1145" spans="1:13" x14ac:dyDescent="0.2">
      <c r="A1145" s="6">
        <v>45603</v>
      </c>
      <c r="B1145" s="2" t="s">
        <v>227</v>
      </c>
      <c r="C1145" s="5">
        <v>45597</v>
      </c>
      <c r="D1145" s="2" t="s">
        <v>194</v>
      </c>
      <c r="E1145" s="3">
        <v>4415</v>
      </c>
      <c r="F1145" s="8">
        <v>0.37169999999999997</v>
      </c>
      <c r="G1145" s="4">
        <v>72.342100000000002</v>
      </c>
      <c r="H1145" s="4">
        <v>64.745699999999999</v>
      </c>
      <c r="I1145" s="4">
        <v>14.8675</v>
      </c>
      <c r="J1145" s="4">
        <v>15.522500000000001</v>
      </c>
      <c r="K1145" s="4">
        <v>14.2675</v>
      </c>
      <c r="L1145" s="4">
        <v>14.94</v>
      </c>
      <c r="M1145" s="7">
        <v>4.8999999999999998E-3</v>
      </c>
    </row>
    <row r="1146" spans="1:13" x14ac:dyDescent="0.2">
      <c r="A1146" s="6">
        <v>45604</v>
      </c>
      <c r="B1146" s="2" t="s">
        <v>225</v>
      </c>
      <c r="C1146" s="5">
        <v>45597</v>
      </c>
      <c r="D1146" s="2" t="s">
        <v>194</v>
      </c>
      <c r="E1146" s="3">
        <v>4440</v>
      </c>
      <c r="F1146" s="8">
        <v>0.37730000000000002</v>
      </c>
      <c r="G1146" s="4">
        <v>62.415100000000002</v>
      </c>
      <c r="H1146" s="4">
        <v>60.694800000000001</v>
      </c>
      <c r="I1146" s="4">
        <v>14.94</v>
      </c>
      <c r="J1146" s="4">
        <v>15.725</v>
      </c>
      <c r="K1146" s="4">
        <v>14.3925</v>
      </c>
      <c r="L1146" s="4">
        <v>14.47</v>
      </c>
      <c r="M1146" s="7">
        <v>-3.15E-2</v>
      </c>
    </row>
    <row r="1147" spans="1:13" x14ac:dyDescent="0.2">
      <c r="A1147" s="6">
        <v>45607</v>
      </c>
      <c r="B1147" s="2" t="s">
        <v>228</v>
      </c>
      <c r="C1147" s="5">
        <v>45597</v>
      </c>
      <c r="D1147" s="2" t="s">
        <v>194</v>
      </c>
      <c r="E1147" s="3">
        <v>4624</v>
      </c>
      <c r="F1147" s="8">
        <v>0.40949999999999998</v>
      </c>
      <c r="G1147" s="4">
        <v>74.911500000000004</v>
      </c>
      <c r="H1147" s="4">
        <v>68.386200000000002</v>
      </c>
      <c r="I1147" s="4">
        <v>14.47</v>
      </c>
      <c r="J1147" s="4">
        <v>15.47</v>
      </c>
      <c r="K1147" s="4">
        <v>13.1175</v>
      </c>
      <c r="L1147" s="4">
        <v>14.27</v>
      </c>
      <c r="M1147" s="7">
        <v>-1.38E-2</v>
      </c>
    </row>
    <row r="1148" spans="1:13" x14ac:dyDescent="0.2">
      <c r="A1148" s="6">
        <v>45608</v>
      </c>
      <c r="B1148" s="2" t="s">
        <v>226</v>
      </c>
      <c r="C1148" s="5">
        <v>45597</v>
      </c>
      <c r="D1148" s="2" t="s">
        <v>194</v>
      </c>
      <c r="E1148" s="3">
        <v>4418</v>
      </c>
      <c r="F1148" s="8">
        <v>0.3649</v>
      </c>
      <c r="G1148" s="4">
        <v>66.710999999999999</v>
      </c>
      <c r="H1148" s="4">
        <v>55.351700000000001</v>
      </c>
      <c r="I1148" s="4">
        <v>14.27</v>
      </c>
      <c r="J1148" s="4">
        <v>14.8375</v>
      </c>
      <c r="K1148" s="4">
        <v>12.74</v>
      </c>
      <c r="L1148" s="4">
        <v>14.59</v>
      </c>
      <c r="M1148" s="7">
        <v>2.24E-2</v>
      </c>
    </row>
    <row r="1149" spans="1:13" x14ac:dyDescent="0.2">
      <c r="A1149" s="6">
        <v>45609</v>
      </c>
      <c r="B1149" s="2" t="s">
        <v>224</v>
      </c>
      <c r="C1149" s="5">
        <v>45597</v>
      </c>
      <c r="D1149" s="2" t="s">
        <v>194</v>
      </c>
      <c r="E1149" s="3">
        <v>4436</v>
      </c>
      <c r="F1149" s="8">
        <v>0.48230000000000001</v>
      </c>
      <c r="G1149" s="4">
        <v>67.049400000000006</v>
      </c>
      <c r="H1149" s="4">
        <v>68.893699999999995</v>
      </c>
      <c r="I1149" s="4">
        <v>14.59</v>
      </c>
      <c r="J1149" s="4">
        <v>15.865</v>
      </c>
      <c r="K1149" s="4">
        <v>13.932499999999999</v>
      </c>
      <c r="L1149" s="4">
        <v>15.435</v>
      </c>
      <c r="M1149" s="7">
        <v>5.79E-2</v>
      </c>
    </row>
    <row r="1150" spans="1:13" x14ac:dyDescent="0.2">
      <c r="A1150" s="6">
        <v>45610</v>
      </c>
      <c r="B1150" s="2" t="s">
        <v>227</v>
      </c>
      <c r="C1150" s="5">
        <v>45597</v>
      </c>
      <c r="D1150" s="2" t="s">
        <v>194</v>
      </c>
      <c r="E1150" s="3">
        <v>4437</v>
      </c>
      <c r="F1150" s="8">
        <v>0.3795</v>
      </c>
      <c r="G1150" s="4">
        <v>60.334800000000001</v>
      </c>
      <c r="H1150" s="4">
        <v>59.9343</v>
      </c>
      <c r="I1150" s="4">
        <v>15.435</v>
      </c>
      <c r="J1150" s="4">
        <v>15.685</v>
      </c>
      <c r="K1150" s="4">
        <v>13.407500000000001</v>
      </c>
      <c r="L1150" s="4">
        <v>14.775</v>
      </c>
      <c r="M1150" s="7">
        <v>-4.2799999999999998E-2</v>
      </c>
    </row>
    <row r="1151" spans="1:13" x14ac:dyDescent="0.2">
      <c r="A1151" s="6">
        <v>45614</v>
      </c>
      <c r="B1151" s="2" t="s">
        <v>228</v>
      </c>
      <c r="C1151" s="5">
        <v>45597</v>
      </c>
      <c r="D1151" s="2" t="s">
        <v>194</v>
      </c>
      <c r="E1151" s="3">
        <v>4625</v>
      </c>
      <c r="F1151" s="8">
        <v>0.38069999999999998</v>
      </c>
      <c r="G1151" s="4">
        <v>68.876099999999994</v>
      </c>
      <c r="H1151" s="4">
        <v>56.195700000000002</v>
      </c>
      <c r="I1151" s="4">
        <v>14.775</v>
      </c>
      <c r="J1151" s="4">
        <v>16.579999999999998</v>
      </c>
      <c r="K1151" s="4">
        <v>13.755000000000001</v>
      </c>
      <c r="L1151" s="4">
        <v>15.1675</v>
      </c>
      <c r="M1151" s="7">
        <v>2.6599999999999999E-2</v>
      </c>
    </row>
    <row r="1152" spans="1:13" x14ac:dyDescent="0.2">
      <c r="A1152" s="6">
        <v>45615</v>
      </c>
      <c r="B1152" s="2" t="s">
        <v>226</v>
      </c>
      <c r="C1152" s="5">
        <v>45597</v>
      </c>
      <c r="D1152" s="2" t="s">
        <v>194</v>
      </c>
      <c r="E1152" s="3">
        <v>4429</v>
      </c>
      <c r="F1152" s="8">
        <v>0.33200000000000002</v>
      </c>
      <c r="G1152" s="4">
        <v>62.82</v>
      </c>
      <c r="H1152" s="4">
        <v>59.506399999999999</v>
      </c>
      <c r="I1152" s="4">
        <v>15.1675</v>
      </c>
      <c r="J1152" s="4">
        <v>16.184999999999999</v>
      </c>
      <c r="K1152" s="4">
        <v>12.7325</v>
      </c>
      <c r="L1152" s="4">
        <v>15.6625</v>
      </c>
      <c r="M1152" s="7">
        <v>3.2599999999999997E-2</v>
      </c>
    </row>
    <row r="1153" spans="1:13" x14ac:dyDescent="0.2">
      <c r="A1153" s="6">
        <v>45617</v>
      </c>
      <c r="B1153" s="2" t="s">
        <v>227</v>
      </c>
      <c r="C1153" s="5">
        <v>45597</v>
      </c>
      <c r="D1153" s="2" t="s">
        <v>194</v>
      </c>
      <c r="E1153" s="3">
        <v>4463</v>
      </c>
      <c r="F1153" s="8">
        <v>0.36870000000000003</v>
      </c>
      <c r="G1153" s="4">
        <v>61.752699999999997</v>
      </c>
      <c r="H1153" s="4">
        <v>60.610999999999997</v>
      </c>
      <c r="I1153" s="4">
        <v>15.6625</v>
      </c>
      <c r="J1153" s="4">
        <v>16.78</v>
      </c>
      <c r="K1153" s="4">
        <v>14.8375</v>
      </c>
      <c r="L1153" s="4">
        <v>15.99</v>
      </c>
      <c r="M1153" s="7">
        <v>2.0899999999999998E-2</v>
      </c>
    </row>
    <row r="1154" spans="1:13" x14ac:dyDescent="0.2">
      <c r="A1154" s="6">
        <v>45618</v>
      </c>
      <c r="B1154" s="2" t="s">
        <v>225</v>
      </c>
      <c r="C1154" s="5">
        <v>45597</v>
      </c>
      <c r="D1154" s="2" t="s">
        <v>194</v>
      </c>
      <c r="E1154" s="3">
        <v>4422</v>
      </c>
      <c r="F1154" s="8">
        <v>0.36459999999999998</v>
      </c>
      <c r="G1154" s="4">
        <v>57.795000000000002</v>
      </c>
      <c r="H1154" s="4">
        <v>70.299700000000001</v>
      </c>
      <c r="I1154" s="4">
        <v>15.99</v>
      </c>
      <c r="J1154" s="4">
        <v>18.670000000000002</v>
      </c>
      <c r="K1154" s="4">
        <v>12.7525</v>
      </c>
      <c r="L1154" s="4">
        <v>16.0975</v>
      </c>
      <c r="M1154" s="7">
        <v>6.7000000000000002E-3</v>
      </c>
    </row>
    <row r="1155" spans="1:13" x14ac:dyDescent="0.2">
      <c r="A1155" s="6">
        <v>45621</v>
      </c>
      <c r="B1155" s="2" t="s">
        <v>228</v>
      </c>
      <c r="C1155" s="5">
        <v>45597</v>
      </c>
      <c r="D1155" s="2" t="s">
        <v>194</v>
      </c>
      <c r="E1155" s="3">
        <v>4589</v>
      </c>
      <c r="F1155" s="8">
        <v>0.38529999999999998</v>
      </c>
      <c r="G1155" s="4">
        <v>60.715200000000003</v>
      </c>
      <c r="H1155" s="4">
        <v>75.040499999999994</v>
      </c>
      <c r="I1155" s="4">
        <v>16.0975</v>
      </c>
      <c r="J1155" s="4">
        <v>16.864999999999998</v>
      </c>
      <c r="K1155" s="4">
        <v>13.63</v>
      </c>
      <c r="L1155" s="4">
        <v>15.3025</v>
      </c>
      <c r="M1155" s="7">
        <v>-4.9399999999999999E-2</v>
      </c>
    </row>
    <row r="1156" spans="1:13" x14ac:dyDescent="0.2">
      <c r="A1156" s="6">
        <v>45622</v>
      </c>
      <c r="B1156" s="2" t="s">
        <v>226</v>
      </c>
      <c r="C1156" s="5">
        <v>45597</v>
      </c>
      <c r="D1156" s="2" t="s">
        <v>194</v>
      </c>
      <c r="E1156" s="3">
        <v>4423</v>
      </c>
      <c r="F1156" s="8">
        <v>0.32690000000000002</v>
      </c>
      <c r="G1156" s="4">
        <v>74.653599999999997</v>
      </c>
      <c r="H1156" s="4">
        <v>59.174100000000003</v>
      </c>
      <c r="I1156" s="4">
        <v>15.3025</v>
      </c>
      <c r="J1156" s="4">
        <v>16.260000000000002</v>
      </c>
      <c r="K1156" s="4">
        <v>13.8725</v>
      </c>
      <c r="L1156" s="4">
        <v>15.305</v>
      </c>
      <c r="M1156" s="7">
        <v>2.0000000000000001E-4</v>
      </c>
    </row>
    <row r="1157" spans="1:13" x14ac:dyDescent="0.2">
      <c r="A1157" s="6">
        <v>45623</v>
      </c>
      <c r="B1157" s="2" t="s">
        <v>224</v>
      </c>
      <c r="C1157" s="5">
        <v>45597</v>
      </c>
      <c r="D1157" s="2" t="s">
        <v>194</v>
      </c>
      <c r="E1157" s="3">
        <v>4392</v>
      </c>
      <c r="F1157" s="8">
        <v>0.37390000000000001</v>
      </c>
      <c r="G1157" s="4">
        <v>78.246700000000004</v>
      </c>
      <c r="H1157" s="4">
        <v>74.676400000000001</v>
      </c>
      <c r="I1157" s="4">
        <v>15.305</v>
      </c>
      <c r="J1157" s="4">
        <v>15.305</v>
      </c>
      <c r="K1157" s="4">
        <v>13.244999999999999</v>
      </c>
      <c r="L1157" s="4">
        <v>14.625</v>
      </c>
      <c r="M1157" s="7">
        <v>-4.4400000000000002E-2</v>
      </c>
    </row>
    <row r="1158" spans="1:13" x14ac:dyDescent="0.2">
      <c r="A1158" s="6">
        <v>45624</v>
      </c>
      <c r="B1158" s="2" t="s">
        <v>227</v>
      </c>
      <c r="C1158" s="5">
        <v>45597</v>
      </c>
      <c r="D1158" s="2" t="s">
        <v>194</v>
      </c>
      <c r="E1158" s="3">
        <v>4413</v>
      </c>
      <c r="F1158" s="8">
        <v>0.38769999999999999</v>
      </c>
      <c r="G1158" s="4">
        <v>75.300700000000006</v>
      </c>
      <c r="H1158" s="4">
        <v>72.100999999999999</v>
      </c>
      <c r="I1158" s="4">
        <v>14.625</v>
      </c>
      <c r="J1158" s="4">
        <v>15.5625</v>
      </c>
      <c r="K1158" s="4">
        <v>14.27</v>
      </c>
      <c r="L1158" s="4">
        <v>15.205</v>
      </c>
      <c r="M1158" s="7">
        <v>3.9699999999999999E-2</v>
      </c>
    </row>
    <row r="1159" spans="1:13" x14ac:dyDescent="0.2">
      <c r="A1159" s="6">
        <v>45625</v>
      </c>
      <c r="B1159" s="2" t="s">
        <v>225</v>
      </c>
      <c r="C1159" s="5">
        <v>45597</v>
      </c>
      <c r="D1159" s="2" t="s">
        <v>194</v>
      </c>
      <c r="E1159" s="3">
        <v>4408</v>
      </c>
      <c r="F1159" s="8">
        <v>0.36370000000000002</v>
      </c>
      <c r="G1159" s="4">
        <v>62.981999999999999</v>
      </c>
      <c r="H1159" s="4">
        <v>67.411000000000001</v>
      </c>
      <c r="I1159" s="4">
        <v>15.205</v>
      </c>
      <c r="J1159" s="4">
        <v>15.4575</v>
      </c>
      <c r="K1159" s="4">
        <v>14.3325</v>
      </c>
      <c r="L1159" s="4">
        <v>14.425000000000001</v>
      </c>
      <c r="M1159" s="7">
        <v>-5.1299999999999998E-2</v>
      </c>
    </row>
    <row r="1160" spans="1:13" x14ac:dyDescent="0.2">
      <c r="A1160" s="6">
        <v>45628</v>
      </c>
      <c r="B1160" s="2" t="s">
        <v>228</v>
      </c>
      <c r="C1160" s="5">
        <v>45627</v>
      </c>
      <c r="D1160" s="2" t="s">
        <v>194</v>
      </c>
      <c r="E1160" s="3">
        <v>4623</v>
      </c>
      <c r="F1160" s="8">
        <v>0.3629</v>
      </c>
      <c r="G1160" s="4">
        <v>69.252899999999997</v>
      </c>
      <c r="H1160" s="4">
        <v>83.293300000000002</v>
      </c>
      <c r="I1160" s="4">
        <v>14.425000000000001</v>
      </c>
      <c r="J1160" s="4">
        <v>15.08</v>
      </c>
      <c r="K1160" s="4">
        <v>13.3125</v>
      </c>
      <c r="L1160" s="4">
        <v>14.7</v>
      </c>
      <c r="M1160" s="7">
        <v>1.9099999999999999E-2</v>
      </c>
    </row>
    <row r="1161" spans="1:13" x14ac:dyDescent="0.2">
      <c r="A1161" s="6">
        <v>45629</v>
      </c>
      <c r="B1161" s="2" t="s">
        <v>226</v>
      </c>
      <c r="C1161" s="5">
        <v>45627</v>
      </c>
      <c r="D1161" s="2" t="s">
        <v>194</v>
      </c>
      <c r="E1161" s="3">
        <v>4466</v>
      </c>
      <c r="F1161" s="8">
        <v>0.36649999999999999</v>
      </c>
      <c r="G1161" s="4">
        <v>68.053100000000001</v>
      </c>
      <c r="H1161" s="4">
        <v>81.735299999999995</v>
      </c>
      <c r="I1161" s="4">
        <v>14.7</v>
      </c>
      <c r="J1161" s="4">
        <v>14.89</v>
      </c>
      <c r="K1161" s="4">
        <v>14.234999999999999</v>
      </c>
      <c r="L1161" s="4">
        <v>14.3725</v>
      </c>
      <c r="M1161" s="7">
        <v>-2.23E-2</v>
      </c>
    </row>
    <row r="1162" spans="1:13" x14ac:dyDescent="0.2">
      <c r="A1162" s="6">
        <v>45630</v>
      </c>
      <c r="B1162" s="2" t="s">
        <v>224</v>
      </c>
      <c r="C1162" s="5">
        <v>45627</v>
      </c>
      <c r="D1162" s="2" t="s">
        <v>194</v>
      </c>
      <c r="E1162" s="3">
        <v>4442</v>
      </c>
      <c r="F1162" s="8">
        <v>0.37180000000000002</v>
      </c>
      <c r="G1162" s="4">
        <v>77.152500000000003</v>
      </c>
      <c r="H1162" s="4">
        <v>65.212100000000007</v>
      </c>
      <c r="I1162" s="4">
        <v>14.3725</v>
      </c>
      <c r="J1162" s="4">
        <v>14.797499999999999</v>
      </c>
      <c r="K1162" s="4">
        <v>14.11</v>
      </c>
      <c r="L1162" s="4">
        <v>14.45</v>
      </c>
      <c r="M1162" s="7">
        <v>5.4000000000000003E-3</v>
      </c>
    </row>
    <row r="1163" spans="1:13" x14ac:dyDescent="0.2">
      <c r="A1163" s="6">
        <v>45631</v>
      </c>
      <c r="B1163" s="2" t="s">
        <v>227</v>
      </c>
      <c r="C1163" s="5">
        <v>45627</v>
      </c>
      <c r="D1163" s="2" t="s">
        <v>194</v>
      </c>
      <c r="E1163" s="3">
        <v>4471</v>
      </c>
      <c r="F1163" s="8">
        <v>0.3695</v>
      </c>
      <c r="G1163" s="4">
        <v>78.3215</v>
      </c>
      <c r="H1163" s="4">
        <v>69.097499999999997</v>
      </c>
      <c r="I1163" s="4">
        <v>14.45</v>
      </c>
      <c r="J1163" s="4">
        <v>15.705</v>
      </c>
      <c r="K1163" s="4">
        <v>14.055</v>
      </c>
      <c r="L1163" s="4">
        <v>14.5275</v>
      </c>
      <c r="M1163" s="7">
        <v>5.4000000000000003E-3</v>
      </c>
    </row>
    <row r="1164" spans="1:13" x14ac:dyDescent="0.2">
      <c r="A1164" s="6">
        <v>45632</v>
      </c>
      <c r="B1164" s="2" t="s">
        <v>225</v>
      </c>
      <c r="C1164" s="5">
        <v>45627</v>
      </c>
      <c r="D1164" s="2" t="s">
        <v>194</v>
      </c>
      <c r="E1164" s="3">
        <v>4462</v>
      </c>
      <c r="F1164" s="8">
        <v>0.37809999999999999</v>
      </c>
      <c r="G1164" s="4">
        <v>93.795199999999994</v>
      </c>
      <c r="H1164" s="4">
        <v>67.450299999999999</v>
      </c>
      <c r="I1164" s="4">
        <v>14.5275</v>
      </c>
      <c r="J1164" s="4">
        <v>15.022500000000001</v>
      </c>
      <c r="K1164" s="4">
        <v>14.045</v>
      </c>
      <c r="L1164" s="4">
        <v>14.14</v>
      </c>
      <c r="M1164" s="7">
        <v>-2.6700000000000002E-2</v>
      </c>
    </row>
    <row r="1165" spans="1:13" x14ac:dyDescent="0.2">
      <c r="A1165" s="6">
        <v>45635</v>
      </c>
      <c r="B1165" s="2" t="s">
        <v>228</v>
      </c>
      <c r="C1165" s="5">
        <v>45627</v>
      </c>
      <c r="D1165" s="2" t="s">
        <v>194</v>
      </c>
      <c r="E1165" s="3">
        <v>4655</v>
      </c>
      <c r="F1165" s="8">
        <v>0.39200000000000002</v>
      </c>
      <c r="G1165" s="4">
        <v>94.449100000000001</v>
      </c>
      <c r="H1165" s="4">
        <v>69.458699999999993</v>
      </c>
      <c r="I1165" s="4">
        <v>14.14</v>
      </c>
      <c r="J1165" s="4">
        <v>14.635</v>
      </c>
      <c r="K1165" s="4">
        <v>13.45</v>
      </c>
      <c r="L1165" s="4">
        <v>14.1075</v>
      </c>
      <c r="M1165" s="7">
        <v>-2.3E-3</v>
      </c>
    </row>
    <row r="1166" spans="1:13" x14ac:dyDescent="0.2">
      <c r="A1166" s="6">
        <v>45636</v>
      </c>
      <c r="B1166" s="2" t="s">
        <v>226</v>
      </c>
      <c r="C1166" s="5">
        <v>45627</v>
      </c>
      <c r="D1166" s="2" t="s">
        <v>194</v>
      </c>
      <c r="E1166" s="3">
        <v>4459</v>
      </c>
      <c r="F1166" s="8">
        <v>0.36170000000000002</v>
      </c>
      <c r="G1166" s="4">
        <v>103.48099999999999</v>
      </c>
      <c r="H1166" s="4">
        <v>71.499399999999994</v>
      </c>
      <c r="I1166" s="4">
        <v>14.1075</v>
      </c>
      <c r="J1166" s="4">
        <v>14.672499999999999</v>
      </c>
      <c r="K1166" s="4">
        <v>13.6975</v>
      </c>
      <c r="L1166" s="4">
        <v>13.7775</v>
      </c>
      <c r="M1166" s="7">
        <v>-2.3400000000000001E-2</v>
      </c>
    </row>
    <row r="1167" spans="1:13" x14ac:dyDescent="0.2">
      <c r="A1167" s="6">
        <v>45637</v>
      </c>
      <c r="B1167" s="2" t="s">
        <v>224</v>
      </c>
      <c r="C1167" s="5">
        <v>45627</v>
      </c>
      <c r="D1167" s="2" t="s">
        <v>194</v>
      </c>
      <c r="E1167" s="3">
        <v>4464</v>
      </c>
      <c r="F1167" s="8">
        <v>0.36599999999999999</v>
      </c>
      <c r="G1167" s="4">
        <v>106.9992</v>
      </c>
      <c r="H1167" s="4">
        <v>65.762500000000003</v>
      </c>
      <c r="I1167" s="4">
        <v>13.7775</v>
      </c>
      <c r="J1167" s="4">
        <v>14.11</v>
      </c>
      <c r="K1167" s="4">
        <v>13.175000000000001</v>
      </c>
      <c r="L1167" s="4">
        <v>13.2675</v>
      </c>
      <c r="M1167" s="7">
        <v>-3.6999999999999998E-2</v>
      </c>
    </row>
    <row r="1168" spans="1:13" x14ac:dyDescent="0.2">
      <c r="A1168" s="6">
        <v>45638</v>
      </c>
      <c r="B1168" s="2" t="s">
        <v>227</v>
      </c>
      <c r="C1168" s="5">
        <v>45627</v>
      </c>
      <c r="D1168" s="2" t="s">
        <v>194</v>
      </c>
      <c r="E1168" s="3">
        <v>4449</v>
      </c>
      <c r="F1168" s="8">
        <v>0.36680000000000001</v>
      </c>
      <c r="G1168" s="4">
        <v>85.722399999999993</v>
      </c>
      <c r="H1168" s="4">
        <v>81.243799999999993</v>
      </c>
      <c r="I1168" s="4">
        <v>13.2675</v>
      </c>
      <c r="J1168" s="4">
        <v>13.4</v>
      </c>
      <c r="K1168" s="4">
        <v>12.9475</v>
      </c>
      <c r="L1168" s="4">
        <v>13.19</v>
      </c>
      <c r="M1168" s="7">
        <v>-5.7999999999999996E-3</v>
      </c>
    </row>
    <row r="1169" spans="1:13" x14ac:dyDescent="0.2">
      <c r="A1169" s="6">
        <v>45639</v>
      </c>
      <c r="B1169" s="2" t="s">
        <v>225</v>
      </c>
      <c r="C1169" s="5">
        <v>45627</v>
      </c>
      <c r="D1169" s="2" t="s">
        <v>194</v>
      </c>
      <c r="E1169" s="3">
        <v>4428</v>
      </c>
      <c r="F1169" s="8">
        <v>0.36120000000000002</v>
      </c>
      <c r="G1169" s="4">
        <v>75.092200000000005</v>
      </c>
      <c r="H1169" s="4">
        <v>70.367800000000003</v>
      </c>
      <c r="I1169" s="4">
        <v>13.19</v>
      </c>
      <c r="J1169" s="4">
        <v>14.72</v>
      </c>
      <c r="K1169" s="4">
        <v>12.47</v>
      </c>
      <c r="L1169" s="4">
        <v>13.0525</v>
      </c>
      <c r="M1169" s="7">
        <v>-1.04E-2</v>
      </c>
    </row>
    <row r="1170" spans="1:13" x14ac:dyDescent="0.2">
      <c r="A1170" s="6">
        <v>45642</v>
      </c>
      <c r="B1170" s="2" t="s">
        <v>228</v>
      </c>
      <c r="C1170" s="5">
        <v>45627</v>
      </c>
      <c r="D1170" s="2" t="s">
        <v>194</v>
      </c>
      <c r="E1170" s="3">
        <v>4634</v>
      </c>
      <c r="F1170" s="8">
        <v>0.3478</v>
      </c>
      <c r="G1170" s="4">
        <v>71.689800000000005</v>
      </c>
      <c r="H1170" s="4">
        <v>60.695799999999998</v>
      </c>
      <c r="I1170" s="4">
        <v>13.0525</v>
      </c>
      <c r="J1170" s="4">
        <v>14.505000000000001</v>
      </c>
      <c r="K1170" s="4">
        <v>13.0525</v>
      </c>
      <c r="L1170" s="4">
        <v>14.02</v>
      </c>
      <c r="M1170" s="7">
        <v>7.4099999999999999E-2</v>
      </c>
    </row>
    <row r="1171" spans="1:13" x14ac:dyDescent="0.2">
      <c r="A1171" s="6">
        <v>45643</v>
      </c>
      <c r="B1171" s="2" t="s">
        <v>226</v>
      </c>
      <c r="C1171" s="5">
        <v>45627</v>
      </c>
      <c r="D1171" s="2" t="s">
        <v>194</v>
      </c>
      <c r="E1171" s="3">
        <v>4465</v>
      </c>
      <c r="F1171" s="8">
        <v>0.36249999999999999</v>
      </c>
      <c r="G1171" s="4">
        <v>77.476299999999995</v>
      </c>
      <c r="H1171" s="4">
        <v>65.212500000000006</v>
      </c>
      <c r="I1171" s="4">
        <v>14.02</v>
      </c>
      <c r="J1171" s="4">
        <v>14.975</v>
      </c>
      <c r="K1171" s="4">
        <v>13.18</v>
      </c>
      <c r="L1171" s="4">
        <v>14.484999999999999</v>
      </c>
      <c r="M1171" s="7">
        <v>3.32E-2</v>
      </c>
    </row>
    <row r="1172" spans="1:13" x14ac:dyDescent="0.2">
      <c r="A1172" s="6">
        <v>45644</v>
      </c>
      <c r="B1172" s="2" t="s">
        <v>224</v>
      </c>
      <c r="C1172" s="5">
        <v>45627</v>
      </c>
      <c r="D1172" s="2" t="s">
        <v>194</v>
      </c>
      <c r="E1172" s="3">
        <v>4449</v>
      </c>
      <c r="F1172" s="8">
        <v>0.40649999999999997</v>
      </c>
      <c r="G1172" s="4">
        <v>82.505499999999998</v>
      </c>
      <c r="H1172" s="4">
        <v>75.074100000000001</v>
      </c>
      <c r="I1172" s="4">
        <v>14.484999999999999</v>
      </c>
      <c r="J1172" s="4">
        <v>15.2425</v>
      </c>
      <c r="K1172" s="4">
        <v>14.27</v>
      </c>
      <c r="L1172" s="4">
        <v>14.3725</v>
      </c>
      <c r="M1172" s="7">
        <v>-7.7999999999999996E-3</v>
      </c>
    </row>
    <row r="1173" spans="1:13" x14ac:dyDescent="0.2">
      <c r="A1173" s="6">
        <v>45645</v>
      </c>
      <c r="B1173" s="2" t="s">
        <v>227</v>
      </c>
      <c r="C1173" s="5">
        <v>45627</v>
      </c>
      <c r="D1173" s="2" t="s">
        <v>194</v>
      </c>
      <c r="E1173" s="3">
        <v>4474</v>
      </c>
      <c r="F1173" s="8">
        <v>0.37640000000000001</v>
      </c>
      <c r="G1173" s="4">
        <v>75.262600000000006</v>
      </c>
      <c r="H1173" s="4">
        <v>64.769199999999998</v>
      </c>
      <c r="I1173" s="4">
        <v>14.3725</v>
      </c>
      <c r="J1173" s="4">
        <v>15.435</v>
      </c>
      <c r="K1173" s="4">
        <v>13.87</v>
      </c>
      <c r="L1173" s="4">
        <v>14.51</v>
      </c>
      <c r="M1173" s="7">
        <v>9.5999999999999992E-3</v>
      </c>
    </row>
    <row r="1174" spans="1:13" x14ac:dyDescent="0.2">
      <c r="A1174" s="6">
        <v>45646</v>
      </c>
      <c r="B1174" s="2" t="s">
        <v>225</v>
      </c>
      <c r="C1174" s="5">
        <v>45627</v>
      </c>
      <c r="D1174" s="2" t="s">
        <v>194</v>
      </c>
      <c r="E1174" s="3">
        <v>4452</v>
      </c>
      <c r="F1174" s="8">
        <v>0.43790000000000001</v>
      </c>
      <c r="G1174" s="4">
        <v>69.134900000000002</v>
      </c>
      <c r="H1174" s="4">
        <v>72.631</v>
      </c>
      <c r="I1174" s="4">
        <v>14.51</v>
      </c>
      <c r="J1174" s="4">
        <v>15.5525</v>
      </c>
      <c r="K1174" s="4">
        <v>14.397500000000001</v>
      </c>
      <c r="L1174" s="4">
        <v>15.0725</v>
      </c>
      <c r="M1174" s="7">
        <v>3.8800000000000001E-2</v>
      </c>
    </row>
    <row r="1175" spans="1:13" x14ac:dyDescent="0.2">
      <c r="A1175" s="6">
        <v>45649</v>
      </c>
      <c r="B1175" s="2" t="s">
        <v>228</v>
      </c>
      <c r="C1175" s="5">
        <v>45627</v>
      </c>
      <c r="D1175" s="2" t="s">
        <v>194</v>
      </c>
      <c r="E1175" s="3">
        <v>4627</v>
      </c>
      <c r="F1175" s="8">
        <v>0.34289999999999998</v>
      </c>
      <c r="G1175" s="4">
        <v>62.832500000000003</v>
      </c>
      <c r="H1175" s="4">
        <v>57.060099999999998</v>
      </c>
      <c r="I1175" s="4">
        <v>15.0725</v>
      </c>
      <c r="J1175" s="4">
        <v>16.8825</v>
      </c>
      <c r="K1175" s="4">
        <v>13.4175</v>
      </c>
      <c r="L1175" s="4">
        <v>13.52</v>
      </c>
      <c r="M1175" s="7">
        <v>-0.10299999999999999</v>
      </c>
    </row>
    <row r="1176" spans="1:13" x14ac:dyDescent="0.2">
      <c r="A1176" s="6">
        <v>45650</v>
      </c>
      <c r="B1176" s="2" t="s">
        <v>226</v>
      </c>
      <c r="C1176" s="5">
        <v>45627</v>
      </c>
      <c r="D1176" s="2" t="s">
        <v>194</v>
      </c>
      <c r="E1176" s="3">
        <v>4476</v>
      </c>
      <c r="F1176" s="8">
        <v>0.30030000000000001</v>
      </c>
      <c r="G1176" s="4">
        <v>52.414299999999997</v>
      </c>
      <c r="H1176" s="4">
        <v>52.491700000000002</v>
      </c>
      <c r="I1176" s="4">
        <v>13.52</v>
      </c>
      <c r="J1176" s="4">
        <v>15.03</v>
      </c>
      <c r="K1176" s="4">
        <v>12.975</v>
      </c>
      <c r="L1176" s="4">
        <v>13.1775</v>
      </c>
      <c r="M1176" s="7">
        <v>-2.53E-2</v>
      </c>
    </row>
    <row r="1177" spans="1:13" x14ac:dyDescent="0.2">
      <c r="A1177" s="6">
        <v>45652</v>
      </c>
      <c r="B1177" s="2" t="s">
        <v>227</v>
      </c>
      <c r="C1177" s="5">
        <v>45627</v>
      </c>
      <c r="D1177" s="2" t="s">
        <v>194</v>
      </c>
      <c r="E1177" s="3">
        <v>4484</v>
      </c>
      <c r="F1177" s="8">
        <v>0.31830000000000003</v>
      </c>
      <c r="G1177" s="4">
        <v>61.92</v>
      </c>
      <c r="H1177" s="4">
        <v>56.282400000000003</v>
      </c>
      <c r="I1177" s="4">
        <v>13.1775</v>
      </c>
      <c r="J1177" s="4">
        <v>14.387499999999999</v>
      </c>
      <c r="K1177" s="4">
        <v>13.0825</v>
      </c>
      <c r="L1177" s="4">
        <v>14.035</v>
      </c>
      <c r="M1177" s="7">
        <v>6.5100000000000005E-2</v>
      </c>
    </row>
    <row r="1178" spans="1:13" x14ac:dyDescent="0.2">
      <c r="A1178" s="6">
        <v>45653</v>
      </c>
      <c r="B1178" s="2" t="s">
        <v>225</v>
      </c>
      <c r="C1178" s="5">
        <v>45627</v>
      </c>
      <c r="D1178" s="2" t="s">
        <v>194</v>
      </c>
      <c r="E1178" s="3">
        <v>4482</v>
      </c>
      <c r="F1178" s="8">
        <v>0.32100000000000001</v>
      </c>
      <c r="G1178" s="4">
        <v>61.6661</v>
      </c>
      <c r="H1178" s="4">
        <v>54.708599999999997</v>
      </c>
      <c r="I1178" s="4">
        <v>14.035</v>
      </c>
      <c r="J1178" s="4">
        <v>14.237500000000001</v>
      </c>
      <c r="K1178" s="4">
        <v>13.035</v>
      </c>
      <c r="L1178" s="4">
        <v>13.237500000000001</v>
      </c>
      <c r="M1178" s="7">
        <v>-5.6800000000000003E-2</v>
      </c>
    </row>
    <row r="1179" spans="1:13" x14ac:dyDescent="0.2">
      <c r="A1179" s="6">
        <v>45656</v>
      </c>
      <c r="B1179" s="2" t="s">
        <v>228</v>
      </c>
      <c r="C1179" s="5">
        <v>45627</v>
      </c>
      <c r="D1179" s="2" t="s">
        <v>194</v>
      </c>
      <c r="E1179" s="3">
        <v>4642</v>
      </c>
      <c r="F1179" s="8">
        <v>0.38840000000000002</v>
      </c>
      <c r="G1179" s="4">
        <v>82.069699999999997</v>
      </c>
      <c r="H1179" s="4">
        <v>62.098799999999997</v>
      </c>
      <c r="I1179" s="4">
        <v>13.237500000000001</v>
      </c>
      <c r="J1179" s="4">
        <v>14.37</v>
      </c>
      <c r="K1179" s="4">
        <v>13.237500000000001</v>
      </c>
      <c r="L1179" s="4">
        <v>13.9725</v>
      </c>
      <c r="M1179" s="7">
        <v>5.5500000000000001E-2</v>
      </c>
    </row>
    <row r="1180" spans="1:13" x14ac:dyDescent="0.2">
      <c r="A1180" s="6">
        <v>45657</v>
      </c>
      <c r="B1180" s="2" t="s">
        <v>226</v>
      </c>
      <c r="C1180" s="5">
        <v>45627</v>
      </c>
      <c r="D1180" s="2" t="s">
        <v>194</v>
      </c>
      <c r="E1180" s="3">
        <v>4481</v>
      </c>
      <c r="F1180" s="8">
        <v>0.3276</v>
      </c>
      <c r="G1180" s="4">
        <v>70.571399999999997</v>
      </c>
      <c r="H1180" s="4">
        <v>52.631799999999998</v>
      </c>
      <c r="I1180" s="4">
        <v>13.9725</v>
      </c>
      <c r="J1180" s="4">
        <v>14.637499999999999</v>
      </c>
      <c r="K1180" s="4">
        <v>13.9725</v>
      </c>
      <c r="L1180" s="4">
        <v>14.4475</v>
      </c>
      <c r="M1180" s="7">
        <v>3.4000000000000002E-2</v>
      </c>
    </row>
    <row r="1181" spans="1:13" x14ac:dyDescent="0.2">
      <c r="A1181" s="6">
        <v>45658</v>
      </c>
      <c r="B1181" s="2" t="s">
        <v>224</v>
      </c>
      <c r="C1181" s="5">
        <v>45658</v>
      </c>
      <c r="D1181" s="2" t="s">
        <v>195</v>
      </c>
      <c r="E1181" s="3">
        <v>4411</v>
      </c>
      <c r="F1181" s="8">
        <v>0.26690000000000003</v>
      </c>
      <c r="G1181" s="4">
        <v>57.622199999999999</v>
      </c>
      <c r="H1181" s="4">
        <v>45.194899999999997</v>
      </c>
      <c r="I1181" s="4">
        <v>14.4475</v>
      </c>
      <c r="J1181" s="4">
        <v>14.835000000000001</v>
      </c>
      <c r="K1181" s="4">
        <v>14.305</v>
      </c>
      <c r="L1181" s="4">
        <v>14.5075</v>
      </c>
      <c r="M1181" s="7">
        <v>4.1999999999999997E-3</v>
      </c>
    </row>
    <row r="1182" spans="1:13" x14ac:dyDescent="0.2">
      <c r="A1182" s="6">
        <v>45659</v>
      </c>
      <c r="B1182" s="2" t="s">
        <v>227</v>
      </c>
      <c r="C1182" s="5">
        <v>45658</v>
      </c>
      <c r="D1182" s="2" t="s">
        <v>195</v>
      </c>
      <c r="E1182" s="3">
        <v>4459</v>
      </c>
      <c r="F1182" s="8">
        <v>0.3382</v>
      </c>
      <c r="G1182" s="4">
        <v>66.217399999999998</v>
      </c>
      <c r="H1182" s="4">
        <v>57.143900000000002</v>
      </c>
      <c r="I1182" s="4">
        <v>14.5075</v>
      </c>
      <c r="J1182" s="4">
        <v>14.8025</v>
      </c>
      <c r="K1182" s="4">
        <v>13.63</v>
      </c>
      <c r="L1182" s="4">
        <v>13.737500000000001</v>
      </c>
      <c r="M1182" s="7">
        <v>-5.3100000000000001E-2</v>
      </c>
    </row>
    <row r="1183" spans="1:13" x14ac:dyDescent="0.2">
      <c r="A1183" s="6">
        <v>45660</v>
      </c>
      <c r="B1183" s="2" t="s">
        <v>225</v>
      </c>
      <c r="C1183" s="5">
        <v>45658</v>
      </c>
      <c r="D1183" s="2" t="s">
        <v>195</v>
      </c>
      <c r="E1183" s="3">
        <v>4439</v>
      </c>
      <c r="F1183" s="8">
        <v>0.34439999999999998</v>
      </c>
      <c r="G1183" s="4">
        <v>73.947000000000003</v>
      </c>
      <c r="H1183" s="4">
        <v>63.987699999999997</v>
      </c>
      <c r="I1183" s="4">
        <v>13.737500000000001</v>
      </c>
      <c r="J1183" s="4">
        <v>13.977499999999999</v>
      </c>
      <c r="K1183" s="4">
        <v>13.225</v>
      </c>
      <c r="L1183" s="4">
        <v>13.54</v>
      </c>
      <c r="M1183" s="7">
        <v>-1.44E-2</v>
      </c>
    </row>
    <row r="1184" spans="1:13" x14ac:dyDescent="0.2">
      <c r="A1184" s="6">
        <v>45663</v>
      </c>
      <c r="B1184" s="2" t="s">
        <v>228</v>
      </c>
      <c r="C1184" s="5">
        <v>45658</v>
      </c>
      <c r="D1184" s="2" t="s">
        <v>195</v>
      </c>
      <c r="E1184" s="3">
        <v>4631</v>
      </c>
      <c r="F1184" s="8">
        <v>0.48309999999999997</v>
      </c>
      <c r="G1184" s="4">
        <v>93.172700000000006</v>
      </c>
      <c r="H1184" s="4">
        <v>73.980699999999999</v>
      </c>
      <c r="I1184" s="4">
        <v>13.54</v>
      </c>
      <c r="J1184" s="4">
        <v>15.92</v>
      </c>
      <c r="K1184" s="4">
        <v>13.54</v>
      </c>
      <c r="L1184" s="4">
        <v>15.65</v>
      </c>
      <c r="M1184" s="7">
        <v>0.15579999999999999</v>
      </c>
    </row>
    <row r="1185" spans="1:13" x14ac:dyDescent="0.2">
      <c r="A1185" s="6">
        <v>45664</v>
      </c>
      <c r="B1185" s="2" t="s">
        <v>226</v>
      </c>
      <c r="C1185" s="5">
        <v>45658</v>
      </c>
      <c r="D1185" s="2" t="s">
        <v>195</v>
      </c>
      <c r="E1185" s="3">
        <v>4445</v>
      </c>
      <c r="F1185" s="8">
        <v>0.3362</v>
      </c>
      <c r="G1185" s="4">
        <v>60.552100000000003</v>
      </c>
      <c r="H1185" s="4">
        <v>56.279000000000003</v>
      </c>
      <c r="I1185" s="4">
        <v>15.65</v>
      </c>
      <c r="J1185" s="4">
        <v>15.65</v>
      </c>
      <c r="K1185" s="4">
        <v>14.345000000000001</v>
      </c>
      <c r="L1185" s="4">
        <v>14.66</v>
      </c>
      <c r="M1185" s="7">
        <v>-6.3299999999999995E-2</v>
      </c>
    </row>
    <row r="1186" spans="1:13" x14ac:dyDescent="0.2">
      <c r="A1186" s="6">
        <v>45665</v>
      </c>
      <c r="B1186" s="2" t="s">
        <v>224</v>
      </c>
      <c r="C1186" s="5">
        <v>45658</v>
      </c>
      <c r="D1186" s="2" t="s">
        <v>195</v>
      </c>
      <c r="E1186" s="3">
        <v>4431</v>
      </c>
      <c r="F1186" s="8">
        <v>0.34210000000000002</v>
      </c>
      <c r="G1186" s="4">
        <v>57.855400000000003</v>
      </c>
      <c r="H1186" s="4">
        <v>54.594000000000001</v>
      </c>
      <c r="I1186" s="4">
        <v>14.66</v>
      </c>
      <c r="J1186" s="4">
        <v>14.88</v>
      </c>
      <c r="K1186" s="4">
        <v>14.095000000000001</v>
      </c>
      <c r="L1186" s="4">
        <v>14.465</v>
      </c>
      <c r="M1186" s="7">
        <v>-1.3299999999999999E-2</v>
      </c>
    </row>
    <row r="1187" spans="1:13" x14ac:dyDescent="0.2">
      <c r="A1187" s="6">
        <v>45666</v>
      </c>
      <c r="B1187" s="2" t="s">
        <v>227</v>
      </c>
      <c r="C1187" s="5">
        <v>45658</v>
      </c>
      <c r="D1187" s="2" t="s">
        <v>195</v>
      </c>
      <c r="E1187" s="3">
        <v>4412</v>
      </c>
      <c r="F1187" s="8">
        <v>0.31130000000000002</v>
      </c>
      <c r="G1187" s="4">
        <v>53.171500000000002</v>
      </c>
      <c r="H1187" s="4">
        <v>45.7958</v>
      </c>
      <c r="I1187" s="4">
        <v>14.465</v>
      </c>
      <c r="J1187" s="4">
        <v>14.885</v>
      </c>
      <c r="K1187" s="4">
        <v>13.7475</v>
      </c>
      <c r="L1187" s="4">
        <v>14.657500000000001</v>
      </c>
      <c r="M1187" s="7">
        <v>1.3299999999999999E-2</v>
      </c>
    </row>
    <row r="1188" spans="1:13" x14ac:dyDescent="0.2">
      <c r="A1188" s="6">
        <v>45667</v>
      </c>
      <c r="B1188" s="2" t="s">
        <v>225</v>
      </c>
      <c r="C1188" s="5">
        <v>45658</v>
      </c>
      <c r="D1188" s="2" t="s">
        <v>195</v>
      </c>
      <c r="E1188" s="3">
        <v>4448</v>
      </c>
      <c r="F1188" s="8">
        <v>0.3851</v>
      </c>
      <c r="G1188" s="4">
        <v>62.368600000000001</v>
      </c>
      <c r="H1188" s="4">
        <v>59.1614</v>
      </c>
      <c r="I1188" s="4">
        <v>14.657500000000001</v>
      </c>
      <c r="J1188" s="4">
        <v>15.515000000000001</v>
      </c>
      <c r="K1188" s="4">
        <v>14.657500000000001</v>
      </c>
      <c r="L1188" s="4">
        <v>14.914999999999999</v>
      </c>
      <c r="M1188" s="7">
        <v>1.7600000000000001E-2</v>
      </c>
    </row>
    <row r="1189" spans="1:13" x14ac:dyDescent="0.2">
      <c r="A1189" s="6">
        <v>45670</v>
      </c>
      <c r="B1189" s="2" t="s">
        <v>228</v>
      </c>
      <c r="C1189" s="5">
        <v>45658</v>
      </c>
      <c r="D1189" s="2" t="s">
        <v>195</v>
      </c>
      <c r="E1189" s="3">
        <v>4670</v>
      </c>
      <c r="F1189" s="8">
        <v>0.48970000000000002</v>
      </c>
      <c r="G1189" s="4">
        <v>75.475399999999993</v>
      </c>
      <c r="H1189" s="4">
        <v>70.535499999999999</v>
      </c>
      <c r="I1189" s="4">
        <v>14.914999999999999</v>
      </c>
      <c r="J1189" s="4">
        <v>16.184999999999999</v>
      </c>
      <c r="K1189" s="4">
        <v>14.45</v>
      </c>
      <c r="L1189" s="4">
        <v>15.9975</v>
      </c>
      <c r="M1189" s="7">
        <v>7.2599999999999998E-2</v>
      </c>
    </row>
    <row r="1190" spans="1:13" x14ac:dyDescent="0.2">
      <c r="A1190" s="6">
        <v>45671</v>
      </c>
      <c r="B1190" s="2" t="s">
        <v>226</v>
      </c>
      <c r="C1190" s="5">
        <v>45658</v>
      </c>
      <c r="D1190" s="2" t="s">
        <v>195</v>
      </c>
      <c r="E1190" s="3">
        <v>4444</v>
      </c>
      <c r="F1190" s="8">
        <v>0.3513</v>
      </c>
      <c r="G1190" s="4">
        <v>66.664599999999993</v>
      </c>
      <c r="H1190" s="4">
        <v>65.512600000000006</v>
      </c>
      <c r="I1190" s="4">
        <v>15.9975</v>
      </c>
      <c r="J1190" s="4">
        <v>15.9975</v>
      </c>
      <c r="K1190" s="4">
        <v>15.115</v>
      </c>
      <c r="L1190" s="4">
        <v>15.47</v>
      </c>
      <c r="M1190" s="7">
        <v>-3.3000000000000002E-2</v>
      </c>
    </row>
    <row r="1191" spans="1:13" x14ac:dyDescent="0.2">
      <c r="A1191" s="6">
        <v>45672</v>
      </c>
      <c r="B1191" s="2" t="s">
        <v>224</v>
      </c>
      <c r="C1191" s="5">
        <v>45658</v>
      </c>
      <c r="D1191" s="2" t="s">
        <v>195</v>
      </c>
      <c r="E1191" s="3">
        <v>4422</v>
      </c>
      <c r="F1191" s="8">
        <v>0.3201</v>
      </c>
      <c r="G1191" s="4">
        <v>63.217700000000001</v>
      </c>
      <c r="H1191" s="4">
        <v>57.217100000000002</v>
      </c>
      <c r="I1191" s="4">
        <v>15.47</v>
      </c>
      <c r="J1191" s="4">
        <v>15.6625</v>
      </c>
      <c r="K1191" s="4">
        <v>15.1975</v>
      </c>
      <c r="L1191" s="4">
        <v>15.2575</v>
      </c>
      <c r="M1191" s="7">
        <v>-1.37E-2</v>
      </c>
    </row>
    <row r="1192" spans="1:13" x14ac:dyDescent="0.2">
      <c r="A1192" s="6">
        <v>45673</v>
      </c>
      <c r="B1192" s="2" t="s">
        <v>227</v>
      </c>
      <c r="C1192" s="5">
        <v>45658</v>
      </c>
      <c r="D1192" s="2" t="s">
        <v>195</v>
      </c>
      <c r="E1192" s="3">
        <v>4408</v>
      </c>
      <c r="F1192" s="8">
        <v>0.29380000000000001</v>
      </c>
      <c r="G1192" s="4">
        <v>58.934199999999997</v>
      </c>
      <c r="H1192" s="4">
        <v>51.076000000000001</v>
      </c>
      <c r="I1192" s="4">
        <v>15.2575</v>
      </c>
      <c r="J1192" s="4">
        <v>15.5725</v>
      </c>
      <c r="K1192" s="4">
        <v>13.9575</v>
      </c>
      <c r="L1192" s="4">
        <v>15.465</v>
      </c>
      <c r="M1192" s="7">
        <v>1.3599999999999999E-2</v>
      </c>
    </row>
    <row r="1193" spans="1:13" x14ac:dyDescent="0.2">
      <c r="A1193" s="6">
        <v>45674</v>
      </c>
      <c r="B1193" s="2" t="s">
        <v>225</v>
      </c>
      <c r="C1193" s="5">
        <v>45658</v>
      </c>
      <c r="D1193" s="2" t="s">
        <v>195</v>
      </c>
      <c r="E1193" s="3">
        <v>4477</v>
      </c>
      <c r="F1193" s="8">
        <v>0.28949999999999998</v>
      </c>
      <c r="G1193" s="4">
        <v>54.5657</v>
      </c>
      <c r="H1193" s="4">
        <v>47.6404</v>
      </c>
      <c r="I1193" s="4">
        <v>15.465</v>
      </c>
      <c r="J1193" s="4">
        <v>16.3825</v>
      </c>
      <c r="K1193" s="4">
        <v>14.0525</v>
      </c>
      <c r="L1193" s="4">
        <v>15.7475</v>
      </c>
      <c r="M1193" s="7">
        <v>1.83E-2</v>
      </c>
    </row>
    <row r="1194" spans="1:13" x14ac:dyDescent="0.2">
      <c r="A1194" s="6">
        <v>45677</v>
      </c>
      <c r="B1194" s="2" t="s">
        <v>228</v>
      </c>
      <c r="C1194" s="5">
        <v>45658</v>
      </c>
      <c r="D1194" s="2" t="s">
        <v>195</v>
      </c>
      <c r="E1194" s="3">
        <v>4600</v>
      </c>
      <c r="F1194" s="8">
        <v>0.34860000000000002</v>
      </c>
      <c r="G1194" s="4">
        <v>75.6173</v>
      </c>
      <c r="H1194" s="4">
        <v>56.749000000000002</v>
      </c>
      <c r="I1194" s="4">
        <v>15.7475</v>
      </c>
      <c r="J1194" s="4">
        <v>17.02</v>
      </c>
      <c r="K1194" s="4">
        <v>15.182499999999999</v>
      </c>
      <c r="L1194" s="4">
        <v>16.414999999999999</v>
      </c>
      <c r="M1194" s="7">
        <v>4.24E-2</v>
      </c>
    </row>
    <row r="1195" spans="1:13" x14ac:dyDescent="0.2">
      <c r="A1195" s="6">
        <v>45678</v>
      </c>
      <c r="B1195" s="2" t="s">
        <v>226</v>
      </c>
      <c r="C1195" s="5">
        <v>45658</v>
      </c>
      <c r="D1195" s="2" t="s">
        <v>195</v>
      </c>
      <c r="E1195" s="3">
        <v>4439</v>
      </c>
      <c r="F1195" s="8">
        <v>0.3695</v>
      </c>
      <c r="G1195" s="4">
        <v>68.828900000000004</v>
      </c>
      <c r="H1195" s="4">
        <v>63.874699999999997</v>
      </c>
      <c r="I1195" s="4">
        <v>16.414999999999999</v>
      </c>
      <c r="J1195" s="4">
        <v>17.445</v>
      </c>
      <c r="K1195" s="4">
        <v>15.202500000000001</v>
      </c>
      <c r="L1195" s="4">
        <v>17.055</v>
      </c>
      <c r="M1195" s="7">
        <v>3.9E-2</v>
      </c>
    </row>
    <row r="1196" spans="1:13" x14ac:dyDescent="0.2">
      <c r="A1196" s="6">
        <v>45679</v>
      </c>
      <c r="B1196" s="2" t="s">
        <v>224</v>
      </c>
      <c r="C1196" s="5">
        <v>45658</v>
      </c>
      <c r="D1196" s="2" t="s">
        <v>195</v>
      </c>
      <c r="E1196" s="3">
        <v>4403</v>
      </c>
      <c r="F1196" s="8">
        <v>0.33839999999999998</v>
      </c>
      <c r="G1196" s="4">
        <v>57.728299999999997</v>
      </c>
      <c r="H1196" s="4">
        <v>55.027999999999999</v>
      </c>
      <c r="I1196" s="4">
        <v>17.055</v>
      </c>
      <c r="J1196" s="4">
        <v>17.295000000000002</v>
      </c>
      <c r="K1196" s="4">
        <v>15.904999999999999</v>
      </c>
      <c r="L1196" s="4">
        <v>16.772500000000001</v>
      </c>
      <c r="M1196" s="7">
        <v>-1.66E-2</v>
      </c>
    </row>
    <row r="1197" spans="1:13" x14ac:dyDescent="0.2">
      <c r="A1197" s="6">
        <v>45680</v>
      </c>
      <c r="B1197" s="2" t="s">
        <v>227</v>
      </c>
      <c r="C1197" s="5">
        <v>45658</v>
      </c>
      <c r="D1197" s="2" t="s">
        <v>195</v>
      </c>
      <c r="E1197" s="3">
        <v>4395</v>
      </c>
      <c r="F1197" s="8">
        <v>0.28289999999999998</v>
      </c>
      <c r="G1197" s="4">
        <v>46.0792</v>
      </c>
      <c r="H1197" s="4">
        <v>49.393700000000003</v>
      </c>
      <c r="I1197" s="4">
        <v>16.772500000000001</v>
      </c>
      <c r="J1197" s="4">
        <v>17.0825</v>
      </c>
      <c r="K1197" s="4">
        <v>15.6675</v>
      </c>
      <c r="L1197" s="4">
        <v>16.695</v>
      </c>
      <c r="M1197" s="7">
        <v>-4.5999999999999999E-3</v>
      </c>
    </row>
    <row r="1198" spans="1:13" x14ac:dyDescent="0.2">
      <c r="A1198" s="6">
        <v>45681</v>
      </c>
      <c r="B1198" s="2" t="s">
        <v>225</v>
      </c>
      <c r="C1198" s="5">
        <v>45658</v>
      </c>
      <c r="D1198" s="2" t="s">
        <v>195</v>
      </c>
      <c r="E1198" s="3">
        <v>4416</v>
      </c>
      <c r="F1198" s="8">
        <v>0.2999</v>
      </c>
      <c r="G1198" s="4">
        <v>40.2712</v>
      </c>
      <c r="H1198" s="4">
        <v>49.069499999999998</v>
      </c>
      <c r="I1198" s="4">
        <v>16.695</v>
      </c>
      <c r="J1198" s="4">
        <v>17.309999999999999</v>
      </c>
      <c r="K1198" s="4">
        <v>16.1175</v>
      </c>
      <c r="L1198" s="4">
        <v>16.745000000000001</v>
      </c>
      <c r="M1198" s="7">
        <v>3.0000000000000001E-3</v>
      </c>
    </row>
    <row r="1199" spans="1:13" x14ac:dyDescent="0.2">
      <c r="A1199" s="6">
        <v>45684</v>
      </c>
      <c r="B1199" s="2" t="s">
        <v>228</v>
      </c>
      <c r="C1199" s="5">
        <v>45658</v>
      </c>
      <c r="D1199" s="2" t="s">
        <v>195</v>
      </c>
      <c r="E1199" s="3">
        <v>4605</v>
      </c>
      <c r="F1199" s="8">
        <v>0.4073</v>
      </c>
      <c r="G1199" s="4">
        <v>58.348999999999997</v>
      </c>
      <c r="H1199" s="4">
        <v>56.367899999999999</v>
      </c>
      <c r="I1199" s="4">
        <v>16.745000000000001</v>
      </c>
      <c r="J1199" s="4">
        <v>18.522500000000001</v>
      </c>
      <c r="K1199" s="4">
        <v>16.745000000000001</v>
      </c>
      <c r="L1199" s="4">
        <v>18.1325</v>
      </c>
      <c r="M1199" s="7">
        <v>8.2900000000000001E-2</v>
      </c>
    </row>
    <row r="1200" spans="1:13" x14ac:dyDescent="0.2">
      <c r="A1200" s="6">
        <v>45685</v>
      </c>
      <c r="B1200" s="2" t="s">
        <v>226</v>
      </c>
      <c r="C1200" s="5">
        <v>45658</v>
      </c>
      <c r="D1200" s="2" t="s">
        <v>195</v>
      </c>
      <c r="E1200" s="3">
        <v>4447</v>
      </c>
      <c r="F1200" s="8">
        <v>0.3926</v>
      </c>
      <c r="G1200" s="4">
        <v>59.216799999999999</v>
      </c>
      <c r="H1200" s="4">
        <v>64.014600000000002</v>
      </c>
      <c r="I1200" s="4">
        <v>18.1325</v>
      </c>
      <c r="J1200" s="4">
        <v>18.502500000000001</v>
      </c>
      <c r="K1200" s="4">
        <v>16.827500000000001</v>
      </c>
      <c r="L1200" s="4">
        <v>18.195</v>
      </c>
      <c r="M1200" s="7">
        <v>3.3999999999999998E-3</v>
      </c>
    </row>
    <row r="1201" spans="1:13" x14ac:dyDescent="0.2">
      <c r="A1201" s="6">
        <v>45686</v>
      </c>
      <c r="B1201" s="2" t="s">
        <v>224</v>
      </c>
      <c r="C1201" s="5">
        <v>45658</v>
      </c>
      <c r="D1201" s="2" t="s">
        <v>195</v>
      </c>
      <c r="E1201" s="3">
        <v>4424</v>
      </c>
      <c r="F1201" s="8">
        <v>0.31440000000000001</v>
      </c>
      <c r="G1201" s="4">
        <v>54.552599999999998</v>
      </c>
      <c r="H1201" s="4">
        <v>51.750399999999999</v>
      </c>
      <c r="I1201" s="4">
        <v>18.195</v>
      </c>
      <c r="J1201" s="4">
        <v>19.010000000000002</v>
      </c>
      <c r="K1201" s="4">
        <v>17.287500000000001</v>
      </c>
      <c r="L1201" s="4">
        <v>18.64</v>
      </c>
      <c r="M1201" s="7">
        <v>2.4500000000000001E-2</v>
      </c>
    </row>
    <row r="1202" spans="1:13" x14ac:dyDescent="0.2">
      <c r="A1202" s="6">
        <v>45687</v>
      </c>
      <c r="B1202" s="2" t="s">
        <v>227</v>
      </c>
      <c r="C1202" s="5">
        <v>45658</v>
      </c>
      <c r="D1202" s="2" t="s">
        <v>195</v>
      </c>
      <c r="E1202" s="3">
        <v>4424</v>
      </c>
      <c r="F1202" s="8">
        <v>0.32179999999999997</v>
      </c>
      <c r="G1202" s="4">
        <v>49.441800000000001</v>
      </c>
      <c r="H1202" s="4">
        <v>56.881799999999998</v>
      </c>
      <c r="I1202" s="4">
        <v>18.64</v>
      </c>
      <c r="J1202" s="4">
        <v>18.984999999999999</v>
      </c>
      <c r="K1202" s="4">
        <v>17.217500000000001</v>
      </c>
      <c r="L1202" s="4">
        <v>17.39</v>
      </c>
      <c r="M1202" s="7">
        <v>-6.7100000000000007E-2</v>
      </c>
    </row>
    <row r="1203" spans="1:13" x14ac:dyDescent="0.2">
      <c r="A1203" s="6">
        <v>45688</v>
      </c>
      <c r="B1203" s="2" t="s">
        <v>225</v>
      </c>
      <c r="C1203" s="5">
        <v>45658</v>
      </c>
      <c r="D1203" s="2" t="s">
        <v>195</v>
      </c>
      <c r="E1203" s="3">
        <v>4396</v>
      </c>
      <c r="F1203" s="8">
        <v>0.33860000000000001</v>
      </c>
      <c r="G1203" s="4">
        <v>52.467100000000002</v>
      </c>
      <c r="H1203" s="4">
        <v>61.128700000000002</v>
      </c>
      <c r="I1203" s="4">
        <v>17.39</v>
      </c>
      <c r="J1203" s="4">
        <v>17.942499999999999</v>
      </c>
      <c r="K1203" s="4">
        <v>16.107500000000002</v>
      </c>
      <c r="L1203" s="4">
        <v>16.247499999999999</v>
      </c>
      <c r="M1203" s="7">
        <v>-6.5699999999999995E-2</v>
      </c>
    </row>
    <row r="1204" spans="1:13" x14ac:dyDescent="0.2">
      <c r="A1204" s="6">
        <v>45689</v>
      </c>
      <c r="B1204" s="2" t="s">
        <v>229</v>
      </c>
      <c r="C1204" s="5">
        <v>45689</v>
      </c>
      <c r="D1204" s="2" t="s">
        <v>195</v>
      </c>
      <c r="E1204" s="3">
        <v>4303</v>
      </c>
      <c r="F1204" s="8">
        <v>0.39369999999999999</v>
      </c>
      <c r="G1204" s="4">
        <v>54.313200000000002</v>
      </c>
      <c r="H1204" s="4">
        <v>71.826599999999999</v>
      </c>
      <c r="I1204" s="4">
        <v>16.247499999999999</v>
      </c>
      <c r="J1204" s="4">
        <v>16.579999999999998</v>
      </c>
      <c r="K1204" s="4">
        <v>14.012499999999999</v>
      </c>
      <c r="L1204" s="4">
        <v>14.095000000000001</v>
      </c>
      <c r="M1204" s="7">
        <v>-0.13250000000000001</v>
      </c>
    </row>
    <row r="1205" spans="1:13" x14ac:dyDescent="0.2">
      <c r="A1205" s="6">
        <v>45691</v>
      </c>
      <c r="B1205" s="2" t="s">
        <v>228</v>
      </c>
      <c r="C1205" s="5">
        <v>45689</v>
      </c>
      <c r="D1205" s="2" t="s">
        <v>195</v>
      </c>
      <c r="E1205" s="3">
        <v>4562</v>
      </c>
      <c r="F1205" s="8">
        <v>0.35499999999999998</v>
      </c>
      <c r="G1205" s="4">
        <v>46.756599999999999</v>
      </c>
      <c r="H1205" s="4">
        <v>53.841900000000003</v>
      </c>
      <c r="I1205" s="4">
        <v>14.095000000000001</v>
      </c>
      <c r="J1205" s="4">
        <v>15.112500000000001</v>
      </c>
      <c r="K1205" s="4">
        <v>14.095000000000001</v>
      </c>
      <c r="L1205" s="4">
        <v>14.352499999999999</v>
      </c>
      <c r="M1205" s="7">
        <v>1.83E-2</v>
      </c>
    </row>
    <row r="1206" spans="1:13" x14ac:dyDescent="0.2">
      <c r="A1206" s="6">
        <v>45692</v>
      </c>
      <c r="B1206" s="2" t="s">
        <v>226</v>
      </c>
      <c r="C1206" s="5">
        <v>45689</v>
      </c>
      <c r="D1206" s="2" t="s">
        <v>195</v>
      </c>
      <c r="E1206" s="3">
        <v>4409</v>
      </c>
      <c r="F1206" s="8">
        <v>0.32579999999999998</v>
      </c>
      <c r="G1206" s="4">
        <v>49.383200000000002</v>
      </c>
      <c r="H1206" s="4">
        <v>54.2864</v>
      </c>
      <c r="I1206" s="4">
        <v>14.352499999999999</v>
      </c>
      <c r="J1206" s="4">
        <v>15.1325</v>
      </c>
      <c r="K1206" s="4">
        <v>13.664999999999999</v>
      </c>
      <c r="L1206" s="4">
        <v>14.0175</v>
      </c>
      <c r="M1206" s="7">
        <v>-2.3300000000000001E-2</v>
      </c>
    </row>
    <row r="1207" spans="1:13" x14ac:dyDescent="0.2">
      <c r="A1207" s="6">
        <v>45693</v>
      </c>
      <c r="B1207" s="2" t="s">
        <v>224</v>
      </c>
      <c r="C1207" s="5">
        <v>45689</v>
      </c>
      <c r="D1207" s="2" t="s">
        <v>195</v>
      </c>
      <c r="E1207" s="3">
        <v>4474</v>
      </c>
      <c r="F1207" s="8">
        <v>0.31509999999999999</v>
      </c>
      <c r="G1207" s="4">
        <v>53.058599999999998</v>
      </c>
      <c r="H1207" s="4">
        <v>53.194499999999998</v>
      </c>
      <c r="I1207" s="4">
        <v>14.0175</v>
      </c>
      <c r="J1207" s="4">
        <v>14.297499999999999</v>
      </c>
      <c r="K1207" s="4">
        <v>13.4975</v>
      </c>
      <c r="L1207" s="4">
        <v>14.0825</v>
      </c>
      <c r="M1207" s="7">
        <v>4.5999999999999999E-3</v>
      </c>
    </row>
    <row r="1208" spans="1:13" x14ac:dyDescent="0.2">
      <c r="A1208" s="6">
        <v>45694</v>
      </c>
      <c r="B1208" s="2" t="s">
        <v>227</v>
      </c>
      <c r="C1208" s="5">
        <v>45689</v>
      </c>
      <c r="D1208" s="2" t="s">
        <v>195</v>
      </c>
      <c r="E1208" s="3">
        <v>4416</v>
      </c>
      <c r="F1208" s="8">
        <v>0.29859999999999998</v>
      </c>
      <c r="G1208" s="4">
        <v>48.0687</v>
      </c>
      <c r="H1208" s="4">
        <v>48.246000000000002</v>
      </c>
      <c r="I1208" s="4">
        <v>14.0825</v>
      </c>
      <c r="J1208" s="4">
        <v>14.64</v>
      </c>
      <c r="K1208" s="4">
        <v>13.15</v>
      </c>
      <c r="L1208" s="4">
        <v>14.175000000000001</v>
      </c>
      <c r="M1208" s="7">
        <v>6.6E-3</v>
      </c>
    </row>
    <row r="1209" spans="1:13" x14ac:dyDescent="0.2">
      <c r="A1209" s="6">
        <v>45695</v>
      </c>
      <c r="B1209" s="2" t="s">
        <v>225</v>
      </c>
      <c r="C1209" s="5">
        <v>45689</v>
      </c>
      <c r="D1209" s="2" t="s">
        <v>195</v>
      </c>
      <c r="E1209" s="3">
        <v>4412</v>
      </c>
      <c r="F1209" s="8">
        <v>0.31009999999999999</v>
      </c>
      <c r="G1209" s="4">
        <v>55.410699999999999</v>
      </c>
      <c r="H1209" s="4">
        <v>45.476900000000001</v>
      </c>
      <c r="I1209" s="4">
        <v>14.175000000000001</v>
      </c>
      <c r="J1209" s="4">
        <v>14.505000000000001</v>
      </c>
      <c r="K1209" s="4">
        <v>13.55</v>
      </c>
      <c r="L1209" s="4">
        <v>13.685</v>
      </c>
      <c r="M1209" s="7">
        <v>-3.4599999999999999E-2</v>
      </c>
    </row>
    <row r="1210" spans="1:13" x14ac:dyDescent="0.2">
      <c r="A1210" s="6">
        <v>45698</v>
      </c>
      <c r="B1210" s="2" t="s">
        <v>228</v>
      </c>
      <c r="C1210" s="5">
        <v>45689</v>
      </c>
      <c r="D1210" s="2" t="s">
        <v>195</v>
      </c>
      <c r="E1210" s="3">
        <v>4595</v>
      </c>
      <c r="F1210" s="8">
        <v>0.31659999999999999</v>
      </c>
      <c r="G1210" s="4">
        <v>49.304200000000002</v>
      </c>
      <c r="H1210" s="4">
        <v>43.231699999999996</v>
      </c>
      <c r="I1210" s="4">
        <v>13.685</v>
      </c>
      <c r="J1210" s="4">
        <v>14.717499999999999</v>
      </c>
      <c r="K1210" s="4">
        <v>13.685</v>
      </c>
      <c r="L1210" s="4">
        <v>14.445</v>
      </c>
      <c r="M1210" s="7">
        <v>5.5500000000000001E-2</v>
      </c>
    </row>
    <row r="1211" spans="1:13" x14ac:dyDescent="0.2">
      <c r="A1211" s="6">
        <v>45699</v>
      </c>
      <c r="B1211" s="2" t="s">
        <v>226</v>
      </c>
      <c r="C1211" s="5">
        <v>45689</v>
      </c>
      <c r="D1211" s="2" t="s">
        <v>195</v>
      </c>
      <c r="E1211" s="3">
        <v>4432</v>
      </c>
      <c r="F1211" s="8">
        <v>0.37359999999999999</v>
      </c>
      <c r="G1211" s="4">
        <v>52.6081</v>
      </c>
      <c r="H1211" s="4">
        <v>51.001800000000003</v>
      </c>
      <c r="I1211" s="4">
        <v>14.445</v>
      </c>
      <c r="J1211" s="4">
        <v>15.432499999999999</v>
      </c>
      <c r="K1211" s="4">
        <v>13.845000000000001</v>
      </c>
      <c r="L1211" s="4">
        <v>14.87</v>
      </c>
      <c r="M1211" s="7">
        <v>2.9399999999999999E-2</v>
      </c>
    </row>
    <row r="1212" spans="1:13" x14ac:dyDescent="0.2">
      <c r="A1212" s="6">
        <v>45700</v>
      </c>
      <c r="B1212" s="2" t="s">
        <v>224</v>
      </c>
      <c r="C1212" s="5">
        <v>45689</v>
      </c>
      <c r="D1212" s="2" t="s">
        <v>195</v>
      </c>
      <c r="E1212" s="3">
        <v>4429</v>
      </c>
      <c r="F1212" s="8">
        <v>0.41870000000000002</v>
      </c>
      <c r="G1212" s="4">
        <v>65.627399999999994</v>
      </c>
      <c r="H1212" s="4">
        <v>60.671199999999999</v>
      </c>
      <c r="I1212" s="4">
        <v>14.87</v>
      </c>
      <c r="J1212" s="4">
        <v>15.6225</v>
      </c>
      <c r="K1212" s="4">
        <v>14.6075</v>
      </c>
      <c r="L1212" s="4">
        <v>14.895</v>
      </c>
      <c r="M1212" s="7">
        <v>1.6999999999999999E-3</v>
      </c>
    </row>
    <row r="1213" spans="1:13" x14ac:dyDescent="0.2">
      <c r="A1213" s="6">
        <v>45701</v>
      </c>
      <c r="B1213" s="2" t="s">
        <v>227</v>
      </c>
      <c r="C1213" s="5">
        <v>45689</v>
      </c>
      <c r="D1213" s="2" t="s">
        <v>195</v>
      </c>
      <c r="E1213" s="3">
        <v>4401</v>
      </c>
      <c r="F1213" s="8">
        <v>0.31890000000000002</v>
      </c>
      <c r="G1213" s="4">
        <v>52.805700000000002</v>
      </c>
      <c r="H1213" s="4">
        <v>46.758499999999998</v>
      </c>
      <c r="I1213" s="4">
        <v>14.895</v>
      </c>
      <c r="J1213" s="4">
        <v>15.465</v>
      </c>
      <c r="K1213" s="4">
        <v>12.195</v>
      </c>
      <c r="L1213" s="4">
        <v>14.955</v>
      </c>
      <c r="M1213" s="7">
        <v>4.0000000000000001E-3</v>
      </c>
    </row>
    <row r="1214" spans="1:13" x14ac:dyDescent="0.2">
      <c r="A1214" s="6">
        <v>45702</v>
      </c>
      <c r="B1214" s="2" t="s">
        <v>225</v>
      </c>
      <c r="C1214" s="5">
        <v>45689</v>
      </c>
      <c r="D1214" s="2" t="s">
        <v>195</v>
      </c>
      <c r="E1214" s="3">
        <v>4463</v>
      </c>
      <c r="F1214" s="8">
        <v>0.42870000000000003</v>
      </c>
      <c r="G1214" s="4">
        <v>57.114899999999999</v>
      </c>
      <c r="H1214" s="4">
        <v>54.9054</v>
      </c>
      <c r="I1214" s="4">
        <v>14.955</v>
      </c>
      <c r="J1214" s="4">
        <v>15.6775</v>
      </c>
      <c r="K1214" s="4">
        <v>14.3575</v>
      </c>
      <c r="L1214" s="4">
        <v>15.015000000000001</v>
      </c>
      <c r="M1214" s="7">
        <v>4.0000000000000001E-3</v>
      </c>
    </row>
    <row r="1215" spans="1:13" x14ac:dyDescent="0.2">
      <c r="A1215" s="6">
        <v>45705</v>
      </c>
      <c r="B1215" s="2" t="s">
        <v>228</v>
      </c>
      <c r="C1215" s="5">
        <v>45689</v>
      </c>
      <c r="D1215" s="2" t="s">
        <v>195</v>
      </c>
      <c r="E1215" s="3">
        <v>4603</v>
      </c>
      <c r="F1215" s="8">
        <v>0.37709999999999999</v>
      </c>
      <c r="G1215" s="4">
        <v>56.309899999999999</v>
      </c>
      <c r="H1215" s="4">
        <v>47.272799999999997</v>
      </c>
      <c r="I1215" s="4">
        <v>15.015000000000001</v>
      </c>
      <c r="J1215" s="4">
        <v>16.309999999999999</v>
      </c>
      <c r="K1215" s="4">
        <v>14.4975</v>
      </c>
      <c r="L1215" s="4">
        <v>15.7225</v>
      </c>
      <c r="M1215" s="7">
        <v>4.7100000000000003E-2</v>
      </c>
    </row>
    <row r="1216" spans="1:13" x14ac:dyDescent="0.2">
      <c r="A1216" s="6">
        <v>45706</v>
      </c>
      <c r="B1216" s="2" t="s">
        <v>226</v>
      </c>
      <c r="C1216" s="5">
        <v>45689</v>
      </c>
      <c r="D1216" s="2" t="s">
        <v>195</v>
      </c>
      <c r="E1216" s="3">
        <v>4427</v>
      </c>
      <c r="F1216" s="8">
        <v>0.34870000000000001</v>
      </c>
      <c r="G1216" s="4">
        <v>50.943199999999997</v>
      </c>
      <c r="H1216" s="4">
        <v>49.0989</v>
      </c>
      <c r="I1216" s="4">
        <v>15.7225</v>
      </c>
      <c r="J1216" s="4">
        <v>16.322500000000002</v>
      </c>
      <c r="K1216" s="4">
        <v>14.78</v>
      </c>
      <c r="L1216" s="4">
        <v>15.664999999999999</v>
      </c>
      <c r="M1216" s="7">
        <v>-3.7000000000000002E-3</v>
      </c>
    </row>
    <row r="1217" spans="1:13" x14ac:dyDescent="0.2">
      <c r="A1217" s="6">
        <v>45707</v>
      </c>
      <c r="B1217" s="2" t="s">
        <v>224</v>
      </c>
      <c r="C1217" s="5">
        <v>45689</v>
      </c>
      <c r="D1217" s="2" t="s">
        <v>195</v>
      </c>
      <c r="E1217" s="3">
        <v>4437</v>
      </c>
      <c r="F1217" s="8">
        <v>0.31309999999999999</v>
      </c>
      <c r="G1217" s="4">
        <v>51.089199999999998</v>
      </c>
      <c r="H1217" s="4">
        <v>49.164999999999999</v>
      </c>
      <c r="I1217" s="4">
        <v>15.664999999999999</v>
      </c>
      <c r="J1217" s="4">
        <v>16.022500000000001</v>
      </c>
      <c r="K1217" s="4">
        <v>14.7525</v>
      </c>
      <c r="L1217" s="4">
        <v>15.42</v>
      </c>
      <c r="M1217" s="7">
        <v>-1.5599999999999999E-2</v>
      </c>
    </row>
    <row r="1218" spans="1:13" x14ac:dyDescent="0.2">
      <c r="A1218" s="6">
        <v>45708</v>
      </c>
      <c r="B1218" s="2" t="s">
        <v>227</v>
      </c>
      <c r="C1218" s="5">
        <v>45689</v>
      </c>
      <c r="D1218" s="2" t="s">
        <v>195</v>
      </c>
      <c r="E1218" s="3">
        <v>4405</v>
      </c>
      <c r="F1218" s="8">
        <v>0.28000000000000003</v>
      </c>
      <c r="G1218" s="4">
        <v>44.828899999999997</v>
      </c>
      <c r="H1218" s="4">
        <v>40.507399999999997</v>
      </c>
      <c r="I1218" s="4">
        <v>15.42</v>
      </c>
      <c r="J1218" s="4">
        <v>15.9025</v>
      </c>
      <c r="K1218" s="4">
        <v>14.637499999999999</v>
      </c>
      <c r="L1218" s="4">
        <v>14.682499999999999</v>
      </c>
      <c r="M1218" s="7">
        <v>-4.7800000000000002E-2</v>
      </c>
    </row>
    <row r="1219" spans="1:13" x14ac:dyDescent="0.2">
      <c r="A1219" s="6">
        <v>45709</v>
      </c>
      <c r="B1219" s="2" t="s">
        <v>225</v>
      </c>
      <c r="C1219" s="5">
        <v>45689</v>
      </c>
      <c r="D1219" s="2" t="s">
        <v>195</v>
      </c>
      <c r="E1219" s="3">
        <v>4432</v>
      </c>
      <c r="F1219" s="8">
        <v>0.30790000000000001</v>
      </c>
      <c r="G1219" s="4">
        <v>46.902299999999997</v>
      </c>
      <c r="H1219" s="4">
        <v>51.258400000000002</v>
      </c>
      <c r="I1219" s="4">
        <v>14.682499999999999</v>
      </c>
      <c r="J1219" s="4">
        <v>15.2425</v>
      </c>
      <c r="K1219" s="4">
        <v>12.0825</v>
      </c>
      <c r="L1219" s="4">
        <v>14.53</v>
      </c>
      <c r="M1219" s="7">
        <v>-1.04E-2</v>
      </c>
    </row>
    <row r="1220" spans="1:13" x14ac:dyDescent="0.2">
      <c r="A1220" s="6">
        <v>45712</v>
      </c>
      <c r="B1220" s="2" t="s">
        <v>228</v>
      </c>
      <c r="C1220" s="5">
        <v>45689</v>
      </c>
      <c r="D1220" s="2" t="s">
        <v>195</v>
      </c>
      <c r="E1220" s="3">
        <v>4563</v>
      </c>
      <c r="F1220" s="8">
        <v>0.26840000000000003</v>
      </c>
      <c r="G1220" s="4">
        <v>42.5137</v>
      </c>
      <c r="H1220" s="4">
        <v>35.302799999999998</v>
      </c>
      <c r="I1220" s="4">
        <v>14.53</v>
      </c>
      <c r="J1220" s="4">
        <v>15.58</v>
      </c>
      <c r="K1220" s="4">
        <v>14.365</v>
      </c>
      <c r="L1220" s="4">
        <v>14.44</v>
      </c>
      <c r="M1220" s="7">
        <v>-6.1999999999999998E-3</v>
      </c>
    </row>
    <row r="1221" spans="1:13" x14ac:dyDescent="0.2">
      <c r="A1221" s="6">
        <v>45713</v>
      </c>
      <c r="B1221" s="2" t="s">
        <v>226</v>
      </c>
      <c r="C1221" s="5">
        <v>45689</v>
      </c>
      <c r="D1221" s="2" t="s">
        <v>195</v>
      </c>
      <c r="E1221" s="3">
        <v>4412</v>
      </c>
      <c r="F1221" s="8">
        <v>0.26900000000000002</v>
      </c>
      <c r="G1221" s="4">
        <v>42.944699999999997</v>
      </c>
      <c r="H1221" s="4">
        <v>42.187800000000003</v>
      </c>
      <c r="I1221" s="4">
        <v>14.442500000000001</v>
      </c>
      <c r="J1221" s="4">
        <v>15.077500000000001</v>
      </c>
      <c r="K1221" s="4">
        <v>13.605</v>
      </c>
      <c r="L1221" s="4">
        <v>13.72</v>
      </c>
      <c r="M1221" s="7">
        <v>-0.05</v>
      </c>
    </row>
    <row r="1222" spans="1:13" x14ac:dyDescent="0.2">
      <c r="A1222" s="6">
        <v>45715</v>
      </c>
      <c r="B1222" s="2" t="s">
        <v>227</v>
      </c>
      <c r="C1222" s="5">
        <v>45689</v>
      </c>
      <c r="D1222" s="2" t="s">
        <v>195</v>
      </c>
      <c r="E1222" s="3">
        <v>4471</v>
      </c>
      <c r="F1222" s="8">
        <v>0.2802</v>
      </c>
      <c r="G1222" s="4">
        <v>43.8673</v>
      </c>
      <c r="H1222" s="4">
        <v>41.79</v>
      </c>
      <c r="I1222" s="4">
        <v>13.715</v>
      </c>
      <c r="J1222" s="4">
        <v>14.0075</v>
      </c>
      <c r="K1222" s="4">
        <v>12.91</v>
      </c>
      <c r="L1222" s="4">
        <v>13.31</v>
      </c>
      <c r="M1222" s="7">
        <v>-2.9499999999999998E-2</v>
      </c>
    </row>
    <row r="1223" spans="1:13" x14ac:dyDescent="0.2">
      <c r="A1223" s="6">
        <v>45716</v>
      </c>
      <c r="B1223" s="2" t="s">
        <v>225</v>
      </c>
      <c r="C1223" s="5">
        <v>45689</v>
      </c>
      <c r="D1223" s="2" t="s">
        <v>195</v>
      </c>
      <c r="E1223" s="3">
        <v>4481</v>
      </c>
      <c r="F1223" s="8">
        <v>0.38729999999999998</v>
      </c>
      <c r="G1223" s="4">
        <v>59.758899999999997</v>
      </c>
      <c r="H1223" s="4">
        <v>54.847299999999997</v>
      </c>
      <c r="I1223" s="4">
        <v>13.307499999999999</v>
      </c>
      <c r="J1223" s="4">
        <v>14.1225</v>
      </c>
      <c r="K1223" s="4">
        <v>13.2325</v>
      </c>
      <c r="L1223" s="4">
        <v>13.91</v>
      </c>
      <c r="M1223" s="7">
        <v>4.53E-2</v>
      </c>
    </row>
    <row r="1224" spans="1:13" x14ac:dyDescent="0.2">
      <c r="A1224" s="6">
        <v>45719</v>
      </c>
      <c r="B1224" s="2" t="s">
        <v>228</v>
      </c>
      <c r="C1224" s="5">
        <v>45717</v>
      </c>
      <c r="D1224" s="2" t="s">
        <v>195</v>
      </c>
      <c r="E1224" s="3">
        <v>4659</v>
      </c>
      <c r="F1224" s="8">
        <v>0.43830000000000002</v>
      </c>
      <c r="G1224" s="4">
        <v>69.979900000000001</v>
      </c>
      <c r="H1224" s="4">
        <v>60.073099999999997</v>
      </c>
      <c r="I1224" s="4">
        <v>13.91</v>
      </c>
      <c r="J1224" s="4">
        <v>14.36</v>
      </c>
      <c r="K1224" s="4">
        <v>13.567500000000001</v>
      </c>
      <c r="L1224" s="4">
        <v>13.76</v>
      </c>
      <c r="M1224" s="7">
        <v>-1.0800000000000001E-2</v>
      </c>
    </row>
    <row r="1225" spans="1:13" x14ac:dyDescent="0.2">
      <c r="A1225" s="6">
        <v>45720</v>
      </c>
      <c r="B1225" s="2" t="s">
        <v>226</v>
      </c>
      <c r="C1225" s="5">
        <v>45717</v>
      </c>
      <c r="D1225" s="2" t="s">
        <v>195</v>
      </c>
      <c r="E1225" s="3">
        <v>4456</v>
      </c>
      <c r="F1225" s="8">
        <v>0.3135</v>
      </c>
      <c r="G1225" s="4">
        <v>56.845799999999997</v>
      </c>
      <c r="H1225" s="4">
        <v>42.206600000000002</v>
      </c>
      <c r="I1225" s="4">
        <v>13.762499999999999</v>
      </c>
      <c r="J1225" s="4">
        <v>14.1975</v>
      </c>
      <c r="K1225" s="4">
        <v>13.3725</v>
      </c>
      <c r="L1225" s="4">
        <v>13.83</v>
      </c>
      <c r="M1225" s="7">
        <v>4.8999999999999998E-3</v>
      </c>
    </row>
    <row r="1226" spans="1:13" x14ac:dyDescent="0.2">
      <c r="A1226" s="6">
        <v>45721</v>
      </c>
      <c r="B1226" s="2" t="s">
        <v>224</v>
      </c>
      <c r="C1226" s="5">
        <v>45717</v>
      </c>
      <c r="D1226" s="2" t="s">
        <v>195</v>
      </c>
      <c r="E1226" s="3">
        <v>4457</v>
      </c>
      <c r="F1226" s="8">
        <v>0.31169999999999998</v>
      </c>
      <c r="G1226" s="4">
        <v>69.410799999999995</v>
      </c>
      <c r="H1226" s="4">
        <v>72.107799999999997</v>
      </c>
      <c r="I1226" s="4">
        <v>13.83</v>
      </c>
      <c r="J1226" s="4">
        <v>14.13</v>
      </c>
      <c r="K1226" s="4">
        <v>13.095000000000001</v>
      </c>
      <c r="L1226" s="4">
        <v>13.67</v>
      </c>
      <c r="M1226" s="7">
        <v>-1.1599999999999999E-2</v>
      </c>
    </row>
    <row r="1227" spans="1:13" x14ac:dyDescent="0.2">
      <c r="A1227" s="6">
        <v>45722</v>
      </c>
      <c r="B1227" s="2" t="s">
        <v>227</v>
      </c>
      <c r="C1227" s="5">
        <v>45717</v>
      </c>
      <c r="D1227" s="2" t="s">
        <v>195</v>
      </c>
      <c r="E1227" s="3">
        <v>4451</v>
      </c>
      <c r="F1227" s="8">
        <v>0.31950000000000001</v>
      </c>
      <c r="G1227" s="4">
        <v>61.745399999999997</v>
      </c>
      <c r="H1227" s="4">
        <v>50.048999999999999</v>
      </c>
      <c r="I1227" s="4">
        <v>13.67</v>
      </c>
      <c r="J1227" s="4">
        <v>14.1775</v>
      </c>
      <c r="K1227" s="4">
        <v>13.28</v>
      </c>
      <c r="L1227" s="4">
        <v>13.73</v>
      </c>
      <c r="M1227" s="7">
        <v>4.4000000000000003E-3</v>
      </c>
    </row>
    <row r="1228" spans="1:13" x14ac:dyDescent="0.2">
      <c r="A1228" s="6">
        <v>45723</v>
      </c>
      <c r="B1228" s="2" t="s">
        <v>225</v>
      </c>
      <c r="C1228" s="5">
        <v>45717</v>
      </c>
      <c r="D1228" s="2" t="s">
        <v>195</v>
      </c>
      <c r="E1228" s="3">
        <v>4473</v>
      </c>
      <c r="F1228" s="8">
        <v>0.28339999999999999</v>
      </c>
      <c r="G1228" s="4">
        <v>54.692999999999998</v>
      </c>
      <c r="H1228" s="4">
        <v>44.229300000000002</v>
      </c>
      <c r="I1228" s="4">
        <v>13.725</v>
      </c>
      <c r="J1228" s="4">
        <v>13.86</v>
      </c>
      <c r="K1228" s="4">
        <v>13.3325</v>
      </c>
      <c r="L1228" s="4">
        <v>13.47</v>
      </c>
      <c r="M1228" s="7">
        <v>-1.8599999999999998E-2</v>
      </c>
    </row>
    <row r="1229" spans="1:13" x14ac:dyDescent="0.2">
      <c r="A1229" s="6">
        <v>45726</v>
      </c>
      <c r="B1229" s="2" t="s">
        <v>228</v>
      </c>
      <c r="C1229" s="5">
        <v>45717</v>
      </c>
      <c r="D1229" s="2" t="s">
        <v>195</v>
      </c>
      <c r="E1229" s="3">
        <v>4602</v>
      </c>
      <c r="F1229" s="8">
        <v>0.31330000000000002</v>
      </c>
      <c r="G1229" s="4">
        <v>69.728700000000003</v>
      </c>
      <c r="H1229" s="4">
        <v>43.856099999999998</v>
      </c>
      <c r="I1229" s="4">
        <v>13.47</v>
      </c>
      <c r="J1229" s="4">
        <v>14.2075</v>
      </c>
      <c r="K1229" s="4">
        <v>13.47</v>
      </c>
      <c r="L1229" s="4">
        <v>13.99</v>
      </c>
      <c r="M1229" s="7">
        <v>3.8600000000000002E-2</v>
      </c>
    </row>
    <row r="1230" spans="1:13" x14ac:dyDescent="0.2">
      <c r="A1230" s="6">
        <v>45727</v>
      </c>
      <c r="B1230" s="2" t="s">
        <v>226</v>
      </c>
      <c r="C1230" s="5">
        <v>45717</v>
      </c>
      <c r="D1230" s="2" t="s">
        <v>195</v>
      </c>
      <c r="E1230" s="3">
        <v>4482</v>
      </c>
      <c r="F1230" s="8">
        <v>0.30380000000000001</v>
      </c>
      <c r="G1230" s="4">
        <v>53.5002</v>
      </c>
      <c r="H1230" s="4">
        <v>44.231999999999999</v>
      </c>
      <c r="I1230" s="4">
        <v>13.984999999999999</v>
      </c>
      <c r="J1230" s="4">
        <v>14.5025</v>
      </c>
      <c r="K1230" s="4">
        <v>13.675000000000001</v>
      </c>
      <c r="L1230" s="4">
        <v>14.07</v>
      </c>
      <c r="M1230" s="7">
        <v>6.1000000000000004E-3</v>
      </c>
    </row>
    <row r="1231" spans="1:13" x14ac:dyDescent="0.2">
      <c r="A1231" s="6">
        <v>45728</v>
      </c>
      <c r="B1231" s="2" t="s">
        <v>224</v>
      </c>
      <c r="C1231" s="5">
        <v>45717</v>
      </c>
      <c r="D1231" s="2" t="s">
        <v>195</v>
      </c>
      <c r="E1231" s="3">
        <v>4508</v>
      </c>
      <c r="F1231" s="8">
        <v>0.29899999999999999</v>
      </c>
      <c r="G1231" s="4">
        <v>51.7226</v>
      </c>
      <c r="H1231" s="4">
        <v>48.833599999999997</v>
      </c>
      <c r="I1231" s="4">
        <v>14.0725</v>
      </c>
      <c r="J1231" s="4">
        <v>14.3725</v>
      </c>
      <c r="K1231" s="4">
        <v>13.635</v>
      </c>
      <c r="L1231" s="4">
        <v>13.69</v>
      </c>
      <c r="M1231" s="7">
        <v>-2.7199999999999998E-2</v>
      </c>
    </row>
    <row r="1232" spans="1:13" x14ac:dyDescent="0.2">
      <c r="A1232" s="6">
        <v>45729</v>
      </c>
      <c r="B1232" s="2" t="s">
        <v>227</v>
      </c>
      <c r="C1232" s="5">
        <v>45717</v>
      </c>
      <c r="D1232" s="2" t="s">
        <v>195</v>
      </c>
      <c r="E1232" s="3">
        <v>4458</v>
      </c>
      <c r="F1232" s="8">
        <v>0.26150000000000001</v>
      </c>
      <c r="G1232" s="4">
        <v>48.699300000000001</v>
      </c>
      <c r="H1232" s="4">
        <v>43.876199999999997</v>
      </c>
      <c r="I1232" s="4">
        <v>13.692500000000001</v>
      </c>
      <c r="J1232" s="4">
        <v>13.9275</v>
      </c>
      <c r="K1232" s="4">
        <v>13.2225</v>
      </c>
      <c r="L1232" s="4">
        <v>13.28</v>
      </c>
      <c r="M1232" s="7">
        <v>-3.0099999999999998E-2</v>
      </c>
    </row>
    <row r="1233" spans="1:13" x14ac:dyDescent="0.2">
      <c r="A1233" s="6">
        <v>45733</v>
      </c>
      <c r="B1233" s="2" t="s">
        <v>228</v>
      </c>
      <c r="C1233" s="5">
        <v>45717</v>
      </c>
      <c r="D1233" s="2" t="s">
        <v>195</v>
      </c>
      <c r="E1233" s="3">
        <v>4657</v>
      </c>
      <c r="F1233" s="8">
        <v>0.2787</v>
      </c>
      <c r="G1233" s="4">
        <v>60.930599999999998</v>
      </c>
      <c r="H1233" s="4">
        <v>44.233800000000002</v>
      </c>
      <c r="I1233" s="4">
        <v>13.28</v>
      </c>
      <c r="J1233" s="4">
        <v>14.0975</v>
      </c>
      <c r="K1233" s="4">
        <v>13.28</v>
      </c>
      <c r="L1233" s="4">
        <v>13.42</v>
      </c>
      <c r="M1233" s="7">
        <v>1.0500000000000001E-2</v>
      </c>
    </row>
    <row r="1234" spans="1:13" x14ac:dyDescent="0.2">
      <c r="A1234" s="6">
        <v>45734</v>
      </c>
      <c r="B1234" s="2" t="s">
        <v>226</v>
      </c>
      <c r="C1234" s="5">
        <v>45717</v>
      </c>
      <c r="D1234" s="2" t="s">
        <v>195</v>
      </c>
      <c r="E1234" s="3">
        <v>4559</v>
      </c>
      <c r="F1234" s="8">
        <v>0.29139999999999999</v>
      </c>
      <c r="G1234" s="4">
        <v>65.4071</v>
      </c>
      <c r="H1234" s="4">
        <v>62.274099999999997</v>
      </c>
      <c r="I1234" s="4">
        <v>13.414999999999999</v>
      </c>
      <c r="J1234" s="4">
        <v>13.6525</v>
      </c>
      <c r="K1234" s="4">
        <v>11.342499999999999</v>
      </c>
      <c r="L1234" s="4">
        <v>13.21</v>
      </c>
      <c r="M1234" s="7">
        <v>-1.5299999999999999E-2</v>
      </c>
    </row>
    <row r="1235" spans="1:13" x14ac:dyDescent="0.2">
      <c r="A1235" s="6">
        <v>45735</v>
      </c>
      <c r="B1235" s="2" t="s">
        <v>224</v>
      </c>
      <c r="C1235" s="5">
        <v>45717</v>
      </c>
      <c r="D1235" s="2" t="s">
        <v>195</v>
      </c>
      <c r="E1235" s="3">
        <v>4540</v>
      </c>
      <c r="F1235" s="8">
        <v>0.36580000000000001</v>
      </c>
      <c r="G1235" s="4">
        <v>78.203100000000006</v>
      </c>
      <c r="H1235" s="4">
        <v>64.248900000000006</v>
      </c>
      <c r="I1235" s="4">
        <v>13.21</v>
      </c>
      <c r="J1235" s="4">
        <v>13.5725</v>
      </c>
      <c r="K1235" s="4">
        <v>12.585000000000001</v>
      </c>
      <c r="L1235" s="4">
        <v>13.3</v>
      </c>
      <c r="M1235" s="7">
        <v>6.7999999999999996E-3</v>
      </c>
    </row>
    <row r="1236" spans="1:13" x14ac:dyDescent="0.2">
      <c r="A1236" s="6">
        <v>45736</v>
      </c>
      <c r="B1236" s="2" t="s">
        <v>227</v>
      </c>
      <c r="C1236" s="5">
        <v>45717</v>
      </c>
      <c r="D1236" s="2" t="s">
        <v>195</v>
      </c>
      <c r="E1236" s="3">
        <v>4531</v>
      </c>
      <c r="F1236" s="8">
        <v>0.31559999999999999</v>
      </c>
      <c r="G1236" s="4">
        <v>62.783200000000001</v>
      </c>
      <c r="H1236" s="4">
        <v>56.289499999999997</v>
      </c>
      <c r="I1236" s="4">
        <v>13.297499999999999</v>
      </c>
      <c r="J1236" s="4">
        <v>13.297499999999999</v>
      </c>
      <c r="K1236" s="4">
        <v>12.512499999999999</v>
      </c>
      <c r="L1236" s="4">
        <v>12.6</v>
      </c>
      <c r="M1236" s="7">
        <v>-5.2499999999999998E-2</v>
      </c>
    </row>
    <row r="1237" spans="1:13" x14ac:dyDescent="0.2">
      <c r="A1237" s="6">
        <v>45737</v>
      </c>
      <c r="B1237" s="2" t="s">
        <v>225</v>
      </c>
      <c r="C1237" s="5">
        <v>45717</v>
      </c>
      <c r="D1237" s="2" t="s">
        <v>195</v>
      </c>
      <c r="E1237" s="3">
        <v>4550</v>
      </c>
      <c r="F1237" s="8">
        <v>0.32850000000000001</v>
      </c>
      <c r="G1237" s="4">
        <v>74.691900000000004</v>
      </c>
      <c r="H1237" s="4">
        <v>70.064499999999995</v>
      </c>
      <c r="I1237" s="4">
        <v>12.602499999999999</v>
      </c>
      <c r="J1237" s="4">
        <v>12.835000000000001</v>
      </c>
      <c r="K1237" s="4">
        <v>10.695</v>
      </c>
      <c r="L1237" s="4">
        <v>12.58</v>
      </c>
      <c r="M1237" s="7">
        <v>-1.8E-3</v>
      </c>
    </row>
    <row r="1238" spans="1:13" x14ac:dyDescent="0.2">
      <c r="A1238" s="6">
        <v>45740</v>
      </c>
      <c r="B1238" s="2" t="s">
        <v>228</v>
      </c>
      <c r="C1238" s="5">
        <v>45717</v>
      </c>
      <c r="D1238" s="2" t="s">
        <v>195</v>
      </c>
      <c r="E1238" s="3">
        <v>4705</v>
      </c>
      <c r="F1238" s="8">
        <v>0.3745</v>
      </c>
      <c r="G1238" s="4">
        <v>74.470799999999997</v>
      </c>
      <c r="H1238" s="4">
        <v>67.025300000000001</v>
      </c>
      <c r="I1238" s="4">
        <v>12.574999999999999</v>
      </c>
      <c r="J1238" s="4">
        <v>13.952500000000001</v>
      </c>
      <c r="K1238" s="4">
        <v>12.574999999999999</v>
      </c>
      <c r="L1238" s="4">
        <v>13.7</v>
      </c>
      <c r="M1238" s="7">
        <v>8.9499999999999996E-2</v>
      </c>
    </row>
    <row r="1239" spans="1:13" x14ac:dyDescent="0.2">
      <c r="A1239" s="6">
        <v>45741</v>
      </c>
      <c r="B1239" s="2" t="s">
        <v>226</v>
      </c>
      <c r="C1239" s="5">
        <v>45717</v>
      </c>
      <c r="D1239" s="2" t="s">
        <v>195</v>
      </c>
      <c r="E1239" s="3">
        <v>4547</v>
      </c>
      <c r="F1239" s="8">
        <v>0.37659999999999999</v>
      </c>
      <c r="G1239" s="4">
        <v>75.302199999999999</v>
      </c>
      <c r="H1239" s="4">
        <v>66.818100000000001</v>
      </c>
      <c r="I1239" s="4">
        <v>13.7</v>
      </c>
      <c r="J1239" s="4">
        <v>14.475</v>
      </c>
      <c r="K1239" s="4">
        <v>13.49</v>
      </c>
      <c r="L1239" s="4">
        <v>13.64</v>
      </c>
      <c r="M1239" s="7">
        <v>-4.4000000000000003E-3</v>
      </c>
    </row>
    <row r="1240" spans="1:13" x14ac:dyDescent="0.2">
      <c r="A1240" s="6">
        <v>45742</v>
      </c>
      <c r="B1240" s="2" t="s">
        <v>224</v>
      </c>
      <c r="C1240" s="5">
        <v>45717</v>
      </c>
      <c r="D1240" s="2" t="s">
        <v>195</v>
      </c>
      <c r="E1240" s="3">
        <v>4519</v>
      </c>
      <c r="F1240" s="8">
        <v>0.32940000000000003</v>
      </c>
      <c r="G1240" s="4">
        <v>76.390299999999996</v>
      </c>
      <c r="H1240" s="4">
        <v>58.880800000000001</v>
      </c>
      <c r="I1240" s="4">
        <v>13.635</v>
      </c>
      <c r="J1240" s="4">
        <v>13.914999999999999</v>
      </c>
      <c r="K1240" s="4">
        <v>13.305</v>
      </c>
      <c r="L1240" s="4">
        <v>13.47</v>
      </c>
      <c r="M1240" s="7">
        <v>-1.21E-2</v>
      </c>
    </row>
    <row r="1241" spans="1:13" x14ac:dyDescent="0.2">
      <c r="A1241" s="6">
        <v>45743</v>
      </c>
      <c r="B1241" s="2" t="s">
        <v>227</v>
      </c>
      <c r="C1241" s="5">
        <v>45717</v>
      </c>
      <c r="D1241" s="2" t="s">
        <v>195</v>
      </c>
      <c r="E1241" s="3">
        <v>4487</v>
      </c>
      <c r="F1241" s="8">
        <v>0.37280000000000002</v>
      </c>
      <c r="G1241" s="4">
        <v>87.520600000000002</v>
      </c>
      <c r="H1241" s="4">
        <v>66.088999999999999</v>
      </c>
      <c r="I1241" s="4">
        <v>13.47</v>
      </c>
      <c r="J1241" s="4">
        <v>13.85</v>
      </c>
      <c r="K1241" s="4">
        <v>12.977499999999999</v>
      </c>
      <c r="L1241" s="4">
        <v>13.3</v>
      </c>
      <c r="M1241" s="7">
        <v>-1.26E-2</v>
      </c>
    </row>
    <row r="1242" spans="1:13" x14ac:dyDescent="0.2">
      <c r="A1242" s="6">
        <v>45744</v>
      </c>
      <c r="B1242" s="2" t="s">
        <v>225</v>
      </c>
      <c r="C1242" s="5">
        <v>45717</v>
      </c>
      <c r="D1242" s="2" t="s">
        <v>195</v>
      </c>
      <c r="E1242" s="3">
        <v>4493</v>
      </c>
      <c r="F1242" s="8">
        <v>0.36049999999999999</v>
      </c>
      <c r="G1242" s="4">
        <v>81.801100000000005</v>
      </c>
      <c r="H1242" s="4">
        <v>64.985100000000003</v>
      </c>
      <c r="I1242" s="4">
        <v>13.3</v>
      </c>
      <c r="J1242" s="4">
        <v>13.61</v>
      </c>
      <c r="K1242" s="4">
        <v>12.5725</v>
      </c>
      <c r="L1242" s="4">
        <v>12.72</v>
      </c>
      <c r="M1242" s="7">
        <v>-4.36E-2</v>
      </c>
    </row>
    <row r="1243" spans="1:13" x14ac:dyDescent="0.2">
      <c r="A1243" s="6">
        <v>45748</v>
      </c>
      <c r="B1243" s="2" t="s">
        <v>226</v>
      </c>
      <c r="C1243" s="5">
        <v>45748</v>
      </c>
      <c r="D1243" s="2" t="s">
        <v>196</v>
      </c>
      <c r="E1243" s="3">
        <v>4569</v>
      </c>
      <c r="F1243" s="8">
        <v>0.2863</v>
      </c>
      <c r="G1243" s="4">
        <v>80.203900000000004</v>
      </c>
      <c r="H1243" s="4">
        <v>46.121400000000001</v>
      </c>
      <c r="I1243" s="4">
        <v>12.717499999999999</v>
      </c>
      <c r="J1243" s="4">
        <v>14.0525</v>
      </c>
      <c r="K1243" s="4">
        <v>12.717499999999999</v>
      </c>
      <c r="L1243" s="4">
        <v>13.78</v>
      </c>
      <c r="M1243" s="7">
        <v>8.3500000000000005E-2</v>
      </c>
    </row>
    <row r="1244" spans="1:13" x14ac:dyDescent="0.2">
      <c r="A1244" s="6">
        <v>45749</v>
      </c>
      <c r="B1244" s="2" t="s">
        <v>224</v>
      </c>
      <c r="C1244" s="5">
        <v>45748</v>
      </c>
      <c r="D1244" s="2" t="s">
        <v>196</v>
      </c>
      <c r="E1244" s="3">
        <v>4461</v>
      </c>
      <c r="F1244" s="8">
        <v>0.26629999999999998</v>
      </c>
      <c r="G1244" s="4">
        <v>55.2211</v>
      </c>
      <c r="H1244" s="4">
        <v>47.119</v>
      </c>
      <c r="I1244" s="4">
        <v>13.782500000000001</v>
      </c>
      <c r="J1244" s="4">
        <v>14.1425</v>
      </c>
      <c r="K1244" s="4">
        <v>13.512499999999999</v>
      </c>
      <c r="L1244" s="4">
        <v>13.72</v>
      </c>
      <c r="M1244" s="7">
        <v>-4.4999999999999997E-3</v>
      </c>
    </row>
    <row r="1245" spans="1:13" x14ac:dyDescent="0.2">
      <c r="A1245" s="6">
        <v>45750</v>
      </c>
      <c r="B1245" s="2" t="s">
        <v>227</v>
      </c>
      <c r="C1245" s="5">
        <v>45748</v>
      </c>
      <c r="D1245" s="2" t="s">
        <v>196</v>
      </c>
      <c r="E1245" s="3">
        <v>4485</v>
      </c>
      <c r="F1245" s="8">
        <v>0.307</v>
      </c>
      <c r="G1245" s="4">
        <v>60.263500000000001</v>
      </c>
      <c r="H1245" s="4">
        <v>52.378300000000003</v>
      </c>
      <c r="I1245" s="4">
        <v>13.7225</v>
      </c>
      <c r="J1245" s="4">
        <v>14.1075</v>
      </c>
      <c r="K1245" s="4">
        <v>13.41</v>
      </c>
      <c r="L1245" s="4">
        <v>13.6</v>
      </c>
      <c r="M1245" s="7">
        <v>-8.8999999999999999E-3</v>
      </c>
    </row>
    <row r="1246" spans="1:13" x14ac:dyDescent="0.2">
      <c r="A1246" s="6">
        <v>45751</v>
      </c>
      <c r="B1246" s="2" t="s">
        <v>225</v>
      </c>
      <c r="C1246" s="5">
        <v>45748</v>
      </c>
      <c r="D1246" s="2" t="s">
        <v>196</v>
      </c>
      <c r="E1246" s="3">
        <v>4447</v>
      </c>
      <c r="F1246" s="8">
        <v>0.39779999999999999</v>
      </c>
      <c r="G1246" s="4">
        <v>58.993000000000002</v>
      </c>
      <c r="H1246" s="4">
        <v>56.701900000000002</v>
      </c>
      <c r="I1246" s="4">
        <v>13.6</v>
      </c>
      <c r="J1246" s="4">
        <v>14.2475</v>
      </c>
      <c r="K1246" s="4">
        <v>13.395</v>
      </c>
      <c r="L1246" s="4">
        <v>13.76</v>
      </c>
      <c r="M1246" s="7">
        <v>1.18E-2</v>
      </c>
    </row>
    <row r="1247" spans="1:13" x14ac:dyDescent="0.2">
      <c r="A1247" s="6">
        <v>45754</v>
      </c>
      <c r="B1247" s="2" t="s">
        <v>228</v>
      </c>
      <c r="C1247" s="5">
        <v>45748</v>
      </c>
      <c r="D1247" s="2" t="s">
        <v>196</v>
      </c>
      <c r="E1247" s="3">
        <v>4670</v>
      </c>
      <c r="F1247" s="8">
        <v>0.55569999999999997</v>
      </c>
      <c r="G1247" s="4">
        <v>72.628900000000002</v>
      </c>
      <c r="H1247" s="4">
        <v>84.622500000000002</v>
      </c>
      <c r="I1247" s="4">
        <v>13.755000000000001</v>
      </c>
      <c r="J1247" s="4">
        <v>23.1875</v>
      </c>
      <c r="K1247" s="4">
        <v>13.755000000000001</v>
      </c>
      <c r="L1247" s="4">
        <v>22.79</v>
      </c>
      <c r="M1247" s="7">
        <v>0.65690000000000004</v>
      </c>
    </row>
    <row r="1248" spans="1:13" x14ac:dyDescent="0.2">
      <c r="A1248" s="6">
        <v>45755</v>
      </c>
      <c r="B1248" s="2" t="s">
        <v>226</v>
      </c>
      <c r="C1248" s="5">
        <v>45748</v>
      </c>
      <c r="D1248" s="2" t="s">
        <v>196</v>
      </c>
      <c r="E1248" s="3">
        <v>4457</v>
      </c>
      <c r="F1248" s="8">
        <v>0.31490000000000001</v>
      </c>
      <c r="G1248" s="4">
        <v>48.127299999999998</v>
      </c>
      <c r="H1248" s="4">
        <v>51.270699999999998</v>
      </c>
      <c r="I1248" s="4">
        <v>22.7925</v>
      </c>
      <c r="J1248" s="4">
        <v>22.7925</v>
      </c>
      <c r="K1248" s="4">
        <v>19.3825</v>
      </c>
      <c r="L1248" s="4">
        <v>20.440000000000001</v>
      </c>
      <c r="M1248" s="7">
        <v>-0.1032</v>
      </c>
    </row>
    <row r="1249" spans="1:13" x14ac:dyDescent="0.2">
      <c r="A1249" s="6">
        <v>45756</v>
      </c>
      <c r="B1249" s="2" t="s">
        <v>224</v>
      </c>
      <c r="C1249" s="5">
        <v>45748</v>
      </c>
      <c r="D1249" s="2" t="s">
        <v>196</v>
      </c>
      <c r="E1249" s="3">
        <v>4415</v>
      </c>
      <c r="F1249" s="8">
        <v>0.26200000000000001</v>
      </c>
      <c r="G1249" s="4">
        <v>36.1</v>
      </c>
      <c r="H1249" s="4">
        <v>36.048900000000003</v>
      </c>
      <c r="I1249" s="4">
        <v>20.442499999999999</v>
      </c>
      <c r="J1249" s="4">
        <v>21.747499999999999</v>
      </c>
      <c r="K1249" s="4">
        <v>19.697500000000002</v>
      </c>
      <c r="L1249" s="4">
        <v>21.43</v>
      </c>
      <c r="M1249" s="7">
        <v>4.8300000000000003E-2</v>
      </c>
    </row>
    <row r="1250" spans="1:13" x14ac:dyDescent="0.2">
      <c r="A1250" s="6">
        <v>45758</v>
      </c>
      <c r="B1250" s="2" t="s">
        <v>225</v>
      </c>
      <c r="C1250" s="5">
        <v>45748</v>
      </c>
      <c r="D1250" s="2" t="s">
        <v>196</v>
      </c>
      <c r="E1250" s="3">
        <v>4488</v>
      </c>
      <c r="F1250" s="8">
        <v>0.2964</v>
      </c>
      <c r="G1250" s="4">
        <v>53.417200000000001</v>
      </c>
      <c r="H1250" s="4">
        <v>53.085500000000003</v>
      </c>
      <c r="I1250" s="4">
        <v>21.43</v>
      </c>
      <c r="J1250" s="4">
        <v>21.43</v>
      </c>
      <c r="K1250" s="4">
        <v>18.855</v>
      </c>
      <c r="L1250" s="4">
        <v>20.11</v>
      </c>
      <c r="M1250" s="7">
        <v>-6.1600000000000002E-2</v>
      </c>
    </row>
    <row r="1251" spans="1:13" x14ac:dyDescent="0.2">
      <c r="A1251" s="6">
        <v>45762</v>
      </c>
      <c r="B1251" s="2" t="s">
        <v>226</v>
      </c>
      <c r="C1251" s="5">
        <v>45748</v>
      </c>
      <c r="D1251" s="2" t="s">
        <v>196</v>
      </c>
      <c r="E1251" s="3">
        <v>4689</v>
      </c>
      <c r="F1251" s="8">
        <v>0.29289999999999999</v>
      </c>
      <c r="G1251" s="4">
        <v>52.869300000000003</v>
      </c>
      <c r="H1251" s="4">
        <v>56.170900000000003</v>
      </c>
      <c r="I1251" s="4">
        <v>20.107500000000002</v>
      </c>
      <c r="J1251" s="4">
        <v>20.107500000000002</v>
      </c>
      <c r="K1251" s="4">
        <v>15.9725</v>
      </c>
      <c r="L1251" s="4">
        <v>16.13</v>
      </c>
      <c r="M1251" s="7">
        <v>-0.1978</v>
      </c>
    </row>
    <row r="1252" spans="1:13" x14ac:dyDescent="0.2">
      <c r="A1252" s="6">
        <v>45763</v>
      </c>
      <c r="B1252" s="2" t="s">
        <v>224</v>
      </c>
      <c r="C1252" s="5">
        <v>45748</v>
      </c>
      <c r="D1252" s="2" t="s">
        <v>196</v>
      </c>
      <c r="E1252" s="3">
        <v>4457</v>
      </c>
      <c r="F1252" s="8">
        <v>0.29339999999999999</v>
      </c>
      <c r="G1252" s="4">
        <v>51.774900000000002</v>
      </c>
      <c r="H1252" s="4">
        <v>53.598599999999998</v>
      </c>
      <c r="I1252" s="4">
        <v>16.125</v>
      </c>
      <c r="J1252" s="4">
        <v>16.125</v>
      </c>
      <c r="K1252" s="4">
        <v>15.115</v>
      </c>
      <c r="L1252" s="4">
        <v>15.87</v>
      </c>
      <c r="M1252" s="7">
        <v>-1.5800000000000002E-2</v>
      </c>
    </row>
    <row r="1253" spans="1:13" x14ac:dyDescent="0.2">
      <c r="A1253" s="6">
        <v>45764</v>
      </c>
      <c r="B1253" s="2" t="s">
        <v>227</v>
      </c>
      <c r="C1253" s="5">
        <v>45748</v>
      </c>
      <c r="D1253" s="2" t="s">
        <v>196</v>
      </c>
      <c r="E1253" s="3">
        <v>4502</v>
      </c>
      <c r="F1253" s="8">
        <v>0.30780000000000002</v>
      </c>
      <c r="G1253" s="4">
        <v>54.661200000000001</v>
      </c>
      <c r="H1253" s="4">
        <v>59.537999999999997</v>
      </c>
      <c r="I1253" s="4">
        <v>15.865</v>
      </c>
      <c r="J1253" s="4">
        <v>16.462499999999999</v>
      </c>
      <c r="K1253" s="4">
        <v>15.09</v>
      </c>
      <c r="L1253" s="4">
        <v>15.47</v>
      </c>
      <c r="M1253" s="7">
        <v>-2.4899999999999999E-2</v>
      </c>
    </row>
    <row r="1254" spans="1:13" x14ac:dyDescent="0.2">
      <c r="A1254" s="6">
        <v>45768</v>
      </c>
      <c r="B1254" s="2" t="s">
        <v>228</v>
      </c>
      <c r="C1254" s="5">
        <v>45748</v>
      </c>
      <c r="D1254" s="2" t="s">
        <v>196</v>
      </c>
      <c r="E1254" s="3">
        <v>4659</v>
      </c>
      <c r="F1254" s="8">
        <v>0.33589999999999998</v>
      </c>
      <c r="G1254" s="4">
        <v>76.236900000000006</v>
      </c>
      <c r="H1254" s="4">
        <v>65.557699999999997</v>
      </c>
      <c r="I1254" s="4">
        <v>15.467499999999999</v>
      </c>
      <c r="J1254" s="4">
        <v>16.3325</v>
      </c>
      <c r="K1254" s="4">
        <v>14.217499999999999</v>
      </c>
      <c r="L1254" s="4">
        <v>15.52</v>
      </c>
      <c r="M1254" s="7">
        <v>3.3999999999999998E-3</v>
      </c>
    </row>
    <row r="1255" spans="1:13" x14ac:dyDescent="0.2">
      <c r="A1255" s="6">
        <v>45769</v>
      </c>
      <c r="B1255" s="2" t="s">
        <v>226</v>
      </c>
      <c r="C1255" s="5">
        <v>45748</v>
      </c>
      <c r="D1255" s="2" t="s">
        <v>196</v>
      </c>
      <c r="E1255" s="3">
        <v>4534</v>
      </c>
      <c r="F1255" s="8">
        <v>0.33210000000000001</v>
      </c>
      <c r="G1255" s="4">
        <v>70.983400000000003</v>
      </c>
      <c r="H1255" s="4">
        <v>70.279300000000006</v>
      </c>
      <c r="I1255" s="4">
        <v>15.515000000000001</v>
      </c>
      <c r="J1255" s="4">
        <v>16.0075</v>
      </c>
      <c r="K1255" s="4">
        <v>14.54</v>
      </c>
      <c r="L1255" s="4">
        <v>15.23</v>
      </c>
      <c r="M1255" s="7">
        <v>-1.84E-2</v>
      </c>
    </row>
    <row r="1256" spans="1:13" x14ac:dyDescent="0.2">
      <c r="A1256" s="6">
        <v>45770</v>
      </c>
      <c r="B1256" s="2" t="s">
        <v>224</v>
      </c>
      <c r="C1256" s="5">
        <v>45748</v>
      </c>
      <c r="D1256" s="2" t="s">
        <v>196</v>
      </c>
      <c r="E1256" s="3">
        <v>4502</v>
      </c>
      <c r="F1256" s="8">
        <v>0.32929999999999998</v>
      </c>
      <c r="G1256" s="4">
        <v>61.934800000000003</v>
      </c>
      <c r="H1256" s="4">
        <v>67.836399999999998</v>
      </c>
      <c r="I1256" s="4">
        <v>15.23</v>
      </c>
      <c r="J1256" s="4">
        <v>16.517499999999998</v>
      </c>
      <c r="K1256" s="4">
        <v>12.842499999999999</v>
      </c>
      <c r="L1256" s="4">
        <v>15.96</v>
      </c>
      <c r="M1256" s="7">
        <v>4.7899999999999998E-2</v>
      </c>
    </row>
    <row r="1257" spans="1:13" x14ac:dyDescent="0.2">
      <c r="A1257" s="6">
        <v>45771</v>
      </c>
      <c r="B1257" s="2" t="s">
        <v>227</v>
      </c>
      <c r="C1257" s="5">
        <v>45748</v>
      </c>
      <c r="D1257" s="2" t="s">
        <v>196</v>
      </c>
      <c r="E1257" s="3">
        <v>4434</v>
      </c>
      <c r="F1257" s="8">
        <v>0.30220000000000002</v>
      </c>
      <c r="G1257" s="4">
        <v>58.095700000000001</v>
      </c>
      <c r="H1257" s="4">
        <v>59.296799999999998</v>
      </c>
      <c r="I1257" s="4">
        <v>15.96</v>
      </c>
      <c r="J1257" s="4">
        <v>16.762499999999999</v>
      </c>
      <c r="K1257" s="4">
        <v>15.5525</v>
      </c>
      <c r="L1257" s="4">
        <v>16.25</v>
      </c>
      <c r="M1257" s="7">
        <v>1.8200000000000001E-2</v>
      </c>
    </row>
    <row r="1258" spans="1:13" x14ac:dyDescent="0.2">
      <c r="A1258" s="6">
        <v>45772</v>
      </c>
      <c r="B1258" s="2" t="s">
        <v>225</v>
      </c>
      <c r="C1258" s="5">
        <v>45748</v>
      </c>
      <c r="D1258" s="2" t="s">
        <v>196</v>
      </c>
      <c r="E1258" s="3">
        <v>4418</v>
      </c>
      <c r="F1258" s="8">
        <v>0.4194</v>
      </c>
      <c r="G1258" s="4">
        <v>79.462900000000005</v>
      </c>
      <c r="H1258" s="4">
        <v>77.567099999999996</v>
      </c>
      <c r="I1258" s="4">
        <v>16.25</v>
      </c>
      <c r="J1258" s="4">
        <v>17.574999999999999</v>
      </c>
      <c r="K1258" s="4">
        <v>15.914999999999999</v>
      </c>
      <c r="L1258" s="4">
        <v>17.16</v>
      </c>
      <c r="M1258" s="7">
        <v>5.6000000000000001E-2</v>
      </c>
    </row>
    <row r="1259" spans="1:13" x14ac:dyDescent="0.2">
      <c r="A1259" s="6">
        <v>45775</v>
      </c>
      <c r="B1259" s="2" t="s">
        <v>228</v>
      </c>
      <c r="C1259" s="5">
        <v>45748</v>
      </c>
      <c r="D1259" s="2" t="s">
        <v>196</v>
      </c>
      <c r="E1259" s="3">
        <v>4586</v>
      </c>
      <c r="F1259" s="8">
        <v>0.30520000000000003</v>
      </c>
      <c r="G1259" s="4">
        <v>57.616500000000002</v>
      </c>
      <c r="H1259" s="4">
        <v>56.427</v>
      </c>
      <c r="I1259" s="4">
        <v>17.157499999999999</v>
      </c>
      <c r="J1259" s="4">
        <v>18.072500000000002</v>
      </c>
      <c r="K1259" s="4">
        <v>16.622499999999999</v>
      </c>
      <c r="L1259" s="4">
        <v>16.940000000000001</v>
      </c>
      <c r="M1259" s="7">
        <v>-1.2699999999999999E-2</v>
      </c>
    </row>
    <row r="1260" spans="1:13" x14ac:dyDescent="0.2">
      <c r="A1260" s="6">
        <v>45776</v>
      </c>
      <c r="B1260" s="2" t="s">
        <v>226</v>
      </c>
      <c r="C1260" s="5">
        <v>45748</v>
      </c>
      <c r="D1260" s="2" t="s">
        <v>196</v>
      </c>
      <c r="E1260" s="3">
        <v>4423</v>
      </c>
      <c r="F1260" s="8">
        <v>0.31280000000000002</v>
      </c>
      <c r="G1260" s="4">
        <v>69.401200000000003</v>
      </c>
      <c r="H1260" s="4">
        <v>75.622699999999995</v>
      </c>
      <c r="I1260" s="4">
        <v>16.940000000000001</v>
      </c>
      <c r="J1260" s="4">
        <v>17.585000000000001</v>
      </c>
      <c r="K1260" s="4">
        <v>16.065000000000001</v>
      </c>
      <c r="L1260" s="4">
        <v>17.37</v>
      </c>
      <c r="M1260" s="7">
        <v>2.5399999999999999E-2</v>
      </c>
    </row>
    <row r="1261" spans="1:13" x14ac:dyDescent="0.2">
      <c r="A1261" s="6">
        <v>45777</v>
      </c>
      <c r="B1261" s="2" t="s">
        <v>224</v>
      </c>
      <c r="C1261" s="5">
        <v>45748</v>
      </c>
      <c r="D1261" s="2" t="s">
        <v>196</v>
      </c>
      <c r="E1261" s="3">
        <v>4418</v>
      </c>
      <c r="F1261" s="8">
        <v>0.31040000000000001</v>
      </c>
      <c r="G1261" s="4">
        <v>63.815600000000003</v>
      </c>
      <c r="H1261" s="4">
        <v>59.862099999999998</v>
      </c>
      <c r="I1261" s="4">
        <v>17.37</v>
      </c>
      <c r="J1261" s="4">
        <v>18.559999999999999</v>
      </c>
      <c r="K1261" s="4">
        <v>15.984999999999999</v>
      </c>
      <c r="L1261" s="4">
        <v>18.22</v>
      </c>
      <c r="M1261" s="7">
        <v>4.8899999999999999E-2</v>
      </c>
    </row>
    <row r="1262" spans="1:13" x14ac:dyDescent="0.2">
      <c r="A1262" s="6">
        <v>45779</v>
      </c>
      <c r="B1262" s="2" t="s">
        <v>225</v>
      </c>
      <c r="C1262" s="5">
        <v>45778</v>
      </c>
      <c r="D1262" s="2" t="s">
        <v>196</v>
      </c>
      <c r="E1262" s="3">
        <v>4465</v>
      </c>
      <c r="F1262" s="8">
        <v>0.28349999999999997</v>
      </c>
      <c r="G1262" s="4">
        <v>62.659500000000001</v>
      </c>
      <c r="H1262" s="4">
        <v>67.696399999999997</v>
      </c>
      <c r="I1262" s="4">
        <v>18.2225</v>
      </c>
      <c r="J1262" s="4">
        <v>18.862500000000001</v>
      </c>
      <c r="K1262" s="4">
        <v>17.350000000000001</v>
      </c>
      <c r="L1262" s="4">
        <v>18.260000000000002</v>
      </c>
      <c r="M1262" s="7">
        <v>2.0999999999999999E-3</v>
      </c>
    </row>
    <row r="1263" spans="1:13" x14ac:dyDescent="0.2">
      <c r="A1263" s="6">
        <v>45782</v>
      </c>
      <c r="B1263" s="2" t="s">
        <v>228</v>
      </c>
      <c r="C1263" s="5">
        <v>45778</v>
      </c>
      <c r="D1263" s="2" t="s">
        <v>196</v>
      </c>
      <c r="E1263" s="3">
        <v>4628</v>
      </c>
      <c r="F1263" s="8">
        <v>0.29520000000000002</v>
      </c>
      <c r="G1263" s="4">
        <v>59.703099999999999</v>
      </c>
      <c r="H1263" s="4">
        <v>61.320700000000002</v>
      </c>
      <c r="I1263" s="4">
        <v>18.2575</v>
      </c>
      <c r="J1263" s="4">
        <v>18.795000000000002</v>
      </c>
      <c r="K1263" s="4">
        <v>18.067499999999999</v>
      </c>
      <c r="L1263" s="4">
        <v>18.34</v>
      </c>
      <c r="M1263" s="7">
        <v>4.4999999999999997E-3</v>
      </c>
    </row>
    <row r="1264" spans="1:13" x14ac:dyDescent="0.2">
      <c r="A1264" s="6">
        <v>45783</v>
      </c>
      <c r="B1264" s="2" t="s">
        <v>226</v>
      </c>
      <c r="C1264" s="5">
        <v>45778</v>
      </c>
      <c r="D1264" s="2" t="s">
        <v>196</v>
      </c>
      <c r="E1264" s="3">
        <v>4422</v>
      </c>
      <c r="F1264" s="8">
        <v>0.34310000000000002</v>
      </c>
      <c r="G1264" s="4">
        <v>64.985200000000006</v>
      </c>
      <c r="H1264" s="4">
        <v>58.3123</v>
      </c>
      <c r="I1264" s="4">
        <v>18.337499999999999</v>
      </c>
      <c r="J1264" s="4">
        <v>19.302499999999998</v>
      </c>
      <c r="K1264" s="4">
        <v>17.987500000000001</v>
      </c>
      <c r="L1264" s="4">
        <v>19</v>
      </c>
      <c r="M1264" s="7">
        <v>3.61E-2</v>
      </c>
    </row>
    <row r="1265" spans="1:13" x14ac:dyDescent="0.2">
      <c r="A1265" s="6">
        <v>45784</v>
      </c>
      <c r="B1265" s="2" t="s">
        <v>224</v>
      </c>
      <c r="C1265" s="5">
        <v>45778</v>
      </c>
      <c r="D1265" s="2" t="s">
        <v>196</v>
      </c>
      <c r="E1265" s="3">
        <v>4400</v>
      </c>
      <c r="F1265" s="8">
        <v>0.29049999999999998</v>
      </c>
      <c r="G1265" s="4">
        <v>66.8917</v>
      </c>
      <c r="H1265" s="4">
        <v>53.147399999999998</v>
      </c>
      <c r="I1265" s="4">
        <v>18.995000000000001</v>
      </c>
      <c r="J1265" s="4">
        <v>19.73</v>
      </c>
      <c r="K1265" s="4">
        <v>18.364999999999998</v>
      </c>
      <c r="L1265" s="4">
        <v>19.059999999999999</v>
      </c>
      <c r="M1265" s="7">
        <v>3.3999999999999998E-3</v>
      </c>
    </row>
    <row r="1266" spans="1:13" x14ac:dyDescent="0.2">
      <c r="A1266" s="6">
        <v>45785</v>
      </c>
      <c r="B1266" s="2" t="s">
        <v>227</v>
      </c>
      <c r="C1266" s="5">
        <v>45778</v>
      </c>
      <c r="D1266" s="2" t="s">
        <v>196</v>
      </c>
      <c r="E1266" s="3">
        <v>4374</v>
      </c>
      <c r="F1266" s="8">
        <v>0.317</v>
      </c>
      <c r="G1266" s="4">
        <v>63.580100000000002</v>
      </c>
      <c r="H1266" s="4">
        <v>53.631300000000003</v>
      </c>
      <c r="I1266" s="4">
        <v>19.059999999999999</v>
      </c>
      <c r="J1266" s="4">
        <v>21.892499999999998</v>
      </c>
      <c r="K1266" s="4">
        <v>18.1525</v>
      </c>
      <c r="L1266" s="4">
        <v>21.01</v>
      </c>
      <c r="M1266" s="7">
        <v>0.1023</v>
      </c>
    </row>
    <row r="1267" spans="1:13" x14ac:dyDescent="0.2">
      <c r="A1267" s="6">
        <v>45786</v>
      </c>
      <c r="B1267" s="2" t="s">
        <v>225</v>
      </c>
      <c r="C1267" s="5">
        <v>45778</v>
      </c>
      <c r="D1267" s="2" t="s">
        <v>196</v>
      </c>
      <c r="E1267" s="3">
        <v>4339</v>
      </c>
      <c r="F1267" s="8">
        <v>0.29959999999999998</v>
      </c>
      <c r="G1267" s="4">
        <v>74.628600000000006</v>
      </c>
      <c r="H1267" s="4">
        <v>63.364100000000001</v>
      </c>
      <c r="I1267" s="4">
        <v>21.0075</v>
      </c>
      <c r="J1267" s="4">
        <v>22.747499999999999</v>
      </c>
      <c r="K1267" s="4">
        <v>21.002500000000001</v>
      </c>
      <c r="L1267" s="4">
        <v>21.63</v>
      </c>
      <c r="M1267" s="7">
        <v>2.9600000000000001E-2</v>
      </c>
    </row>
    <row r="1268" spans="1:13" x14ac:dyDescent="0.2">
      <c r="A1268" s="6">
        <v>45789</v>
      </c>
      <c r="B1268" s="2" t="s">
        <v>228</v>
      </c>
      <c r="C1268" s="5">
        <v>45778</v>
      </c>
      <c r="D1268" s="2" t="s">
        <v>196</v>
      </c>
      <c r="E1268" s="3">
        <v>4602</v>
      </c>
      <c r="F1268" s="8">
        <v>0.36459999999999998</v>
      </c>
      <c r="G1268" s="4">
        <v>79.025000000000006</v>
      </c>
      <c r="H1268" s="4">
        <v>68.585800000000006</v>
      </c>
      <c r="I1268" s="4">
        <v>21.6325</v>
      </c>
      <c r="J1268" s="4">
        <v>21.6325</v>
      </c>
      <c r="K1268" s="4">
        <v>17.2075</v>
      </c>
      <c r="L1268" s="4">
        <v>18.39</v>
      </c>
      <c r="M1268" s="7">
        <v>-0.14990000000000001</v>
      </c>
    </row>
    <row r="1269" spans="1:13" x14ac:dyDescent="0.2">
      <c r="A1269" s="6">
        <v>45790</v>
      </c>
      <c r="B1269" s="2" t="s">
        <v>226</v>
      </c>
      <c r="C1269" s="5">
        <v>45778</v>
      </c>
      <c r="D1269" s="2" t="s">
        <v>196</v>
      </c>
      <c r="E1269" s="3">
        <v>4478</v>
      </c>
      <c r="F1269" s="8">
        <v>0.35339999999999999</v>
      </c>
      <c r="G1269" s="4">
        <v>78.7684</v>
      </c>
      <c r="H1269" s="4">
        <v>105.5146</v>
      </c>
      <c r="I1269" s="4">
        <v>18.392499999999998</v>
      </c>
      <c r="J1269" s="4">
        <v>18.9025</v>
      </c>
      <c r="K1269" s="4">
        <v>17.892499999999998</v>
      </c>
      <c r="L1269" s="4">
        <v>18.2</v>
      </c>
      <c r="M1269" s="7">
        <v>-1.0500000000000001E-2</v>
      </c>
    </row>
    <row r="1270" spans="1:13" x14ac:dyDescent="0.2">
      <c r="A1270" s="6">
        <v>45791</v>
      </c>
      <c r="B1270" s="2" t="s">
        <v>224</v>
      </c>
      <c r="C1270" s="5">
        <v>45778</v>
      </c>
      <c r="D1270" s="2" t="s">
        <v>196</v>
      </c>
      <c r="E1270" s="3">
        <v>4461</v>
      </c>
      <c r="F1270" s="8">
        <v>0.36430000000000001</v>
      </c>
      <c r="G1270" s="4">
        <v>80.412199999999999</v>
      </c>
      <c r="H1270" s="4">
        <v>83.948800000000006</v>
      </c>
      <c r="I1270" s="4">
        <v>18.2</v>
      </c>
      <c r="J1270" s="4">
        <v>19.2425</v>
      </c>
      <c r="K1270" s="4">
        <v>17.0825</v>
      </c>
      <c r="L1270" s="4">
        <v>17.23</v>
      </c>
      <c r="M1270" s="7">
        <v>-5.33E-2</v>
      </c>
    </row>
    <row r="1271" spans="1:13" x14ac:dyDescent="0.2">
      <c r="A1271" s="6">
        <v>45792</v>
      </c>
      <c r="B1271" s="2" t="s">
        <v>227</v>
      </c>
      <c r="C1271" s="5">
        <v>45778</v>
      </c>
      <c r="D1271" s="2" t="s">
        <v>196</v>
      </c>
      <c r="E1271" s="3">
        <v>4456</v>
      </c>
      <c r="F1271" s="8">
        <v>0.36659999999999998</v>
      </c>
      <c r="G1271" s="4">
        <v>84.901600000000002</v>
      </c>
      <c r="H1271" s="4">
        <v>79.695499999999996</v>
      </c>
      <c r="I1271" s="4">
        <v>17.225000000000001</v>
      </c>
      <c r="J1271" s="4">
        <v>17.672499999999999</v>
      </c>
      <c r="K1271" s="4">
        <v>16.72</v>
      </c>
      <c r="L1271" s="4">
        <v>16.89</v>
      </c>
      <c r="M1271" s="7">
        <v>-1.9400000000000001E-2</v>
      </c>
    </row>
    <row r="1272" spans="1:13" x14ac:dyDescent="0.2">
      <c r="A1272" s="6">
        <v>45793</v>
      </c>
      <c r="B1272" s="2" t="s">
        <v>225</v>
      </c>
      <c r="C1272" s="5">
        <v>45778</v>
      </c>
      <c r="D1272" s="2" t="s">
        <v>196</v>
      </c>
      <c r="E1272" s="3">
        <v>4483</v>
      </c>
      <c r="F1272" s="8">
        <v>0.4007</v>
      </c>
      <c r="G1272" s="4">
        <v>84.300799999999995</v>
      </c>
      <c r="H1272" s="4">
        <v>106.9918</v>
      </c>
      <c r="I1272" s="4">
        <v>16.892499999999998</v>
      </c>
      <c r="J1272" s="4">
        <v>17.055</v>
      </c>
      <c r="K1272" s="4">
        <v>16.215</v>
      </c>
      <c r="L1272" s="4">
        <v>16.55</v>
      </c>
      <c r="M1272" s="7">
        <v>-2.0299999999999999E-2</v>
      </c>
    </row>
    <row r="1273" spans="1:13" x14ac:dyDescent="0.2">
      <c r="A1273" s="6">
        <v>45796</v>
      </c>
      <c r="B1273" s="2" t="s">
        <v>228</v>
      </c>
      <c r="C1273" s="5">
        <v>45778</v>
      </c>
      <c r="D1273" s="2" t="s">
        <v>196</v>
      </c>
      <c r="E1273" s="3">
        <v>4626</v>
      </c>
      <c r="F1273" s="8">
        <v>0.4118</v>
      </c>
      <c r="G1273" s="4">
        <v>101.0248</v>
      </c>
      <c r="H1273" s="4">
        <v>86.304699999999997</v>
      </c>
      <c r="I1273" s="4">
        <v>16.55</v>
      </c>
      <c r="J1273" s="4">
        <v>17.447500000000002</v>
      </c>
      <c r="K1273" s="4">
        <v>15.827500000000001</v>
      </c>
      <c r="L1273" s="4">
        <v>17.36</v>
      </c>
      <c r="M1273" s="7">
        <v>4.8899999999999999E-2</v>
      </c>
    </row>
    <row r="1274" spans="1:13" x14ac:dyDescent="0.2">
      <c r="A1274" s="6">
        <v>45797</v>
      </c>
      <c r="B1274" s="2" t="s">
        <v>226</v>
      </c>
      <c r="C1274" s="5">
        <v>45778</v>
      </c>
      <c r="D1274" s="2" t="s">
        <v>196</v>
      </c>
      <c r="E1274" s="3">
        <v>4486</v>
      </c>
      <c r="F1274" s="8">
        <v>0.3881</v>
      </c>
      <c r="G1274" s="4">
        <v>81.6828</v>
      </c>
      <c r="H1274" s="4">
        <v>78.754400000000004</v>
      </c>
      <c r="I1274" s="4">
        <v>17.355</v>
      </c>
      <c r="J1274" s="4">
        <v>17.66</v>
      </c>
      <c r="K1274" s="4">
        <v>15.967499999999999</v>
      </c>
      <c r="L1274" s="4">
        <v>17.39</v>
      </c>
      <c r="M1274" s="7">
        <v>2E-3</v>
      </c>
    </row>
    <row r="1275" spans="1:13" x14ac:dyDescent="0.2">
      <c r="A1275" s="6">
        <v>45798</v>
      </c>
      <c r="B1275" s="2" t="s">
        <v>224</v>
      </c>
      <c r="C1275" s="5">
        <v>45778</v>
      </c>
      <c r="D1275" s="2" t="s">
        <v>196</v>
      </c>
      <c r="E1275" s="3">
        <v>4482</v>
      </c>
      <c r="F1275" s="8">
        <v>0.3342</v>
      </c>
      <c r="G1275" s="4">
        <v>72.643299999999996</v>
      </c>
      <c r="H1275" s="4">
        <v>78.440799999999996</v>
      </c>
      <c r="I1275" s="4">
        <v>17.385000000000002</v>
      </c>
      <c r="J1275" s="4">
        <v>17.997499999999999</v>
      </c>
      <c r="K1275" s="4">
        <v>17.0425</v>
      </c>
      <c r="L1275" s="4">
        <v>17.55</v>
      </c>
      <c r="M1275" s="7">
        <v>9.4999999999999998E-3</v>
      </c>
    </row>
    <row r="1276" spans="1:13" x14ac:dyDescent="0.2">
      <c r="A1276" s="6">
        <v>45799</v>
      </c>
      <c r="B1276" s="2" t="s">
        <v>227</v>
      </c>
      <c r="C1276" s="5">
        <v>45778</v>
      </c>
      <c r="D1276" s="2" t="s">
        <v>196</v>
      </c>
      <c r="E1276" s="3">
        <v>4438</v>
      </c>
      <c r="F1276" s="8">
        <v>0.34060000000000001</v>
      </c>
      <c r="G1276" s="4">
        <v>61.604900000000001</v>
      </c>
      <c r="H1276" s="4">
        <v>72.064099999999996</v>
      </c>
      <c r="I1276" s="4">
        <v>17.547499999999999</v>
      </c>
      <c r="J1276" s="4">
        <v>18.202500000000001</v>
      </c>
      <c r="K1276" s="4">
        <v>16.704999999999998</v>
      </c>
      <c r="L1276" s="4">
        <v>17.260000000000002</v>
      </c>
      <c r="M1276" s="7">
        <v>-1.6400000000000001E-2</v>
      </c>
    </row>
    <row r="1277" spans="1:13" x14ac:dyDescent="0.2">
      <c r="A1277" s="6">
        <v>45800</v>
      </c>
      <c r="B1277" s="2" t="s">
        <v>225</v>
      </c>
      <c r="C1277" s="5">
        <v>45778</v>
      </c>
      <c r="D1277" s="2" t="s">
        <v>196</v>
      </c>
      <c r="E1277" s="3">
        <v>4441</v>
      </c>
      <c r="F1277" s="8">
        <v>0.34229999999999999</v>
      </c>
      <c r="G1277" s="4">
        <v>68.687399999999997</v>
      </c>
      <c r="H1277" s="4">
        <v>75.5214</v>
      </c>
      <c r="I1277" s="4">
        <v>17.2575</v>
      </c>
      <c r="J1277" s="4">
        <v>17.522500000000001</v>
      </c>
      <c r="K1277" s="4">
        <v>15.484999999999999</v>
      </c>
      <c r="L1277" s="4">
        <v>17.28</v>
      </c>
      <c r="M1277" s="7">
        <v>1.2999999999999999E-3</v>
      </c>
    </row>
    <row r="1278" spans="1:13" x14ac:dyDescent="0.2">
      <c r="A1278" s="6">
        <v>45803</v>
      </c>
      <c r="B1278" s="2" t="s">
        <v>228</v>
      </c>
      <c r="C1278" s="5">
        <v>45778</v>
      </c>
      <c r="D1278" s="2" t="s">
        <v>196</v>
      </c>
      <c r="E1278" s="3">
        <v>4601</v>
      </c>
      <c r="F1278" s="8">
        <v>0.34060000000000001</v>
      </c>
      <c r="G1278" s="4">
        <v>72.562600000000003</v>
      </c>
      <c r="H1278" s="4">
        <v>67.745999999999995</v>
      </c>
      <c r="I1278" s="4">
        <v>17.2775</v>
      </c>
      <c r="J1278" s="4">
        <v>18.412500000000001</v>
      </c>
      <c r="K1278" s="4">
        <v>16.057500000000001</v>
      </c>
      <c r="L1278" s="4">
        <v>18.02</v>
      </c>
      <c r="M1278" s="7">
        <v>4.2999999999999997E-2</v>
      </c>
    </row>
    <row r="1279" spans="1:13" x14ac:dyDescent="0.2">
      <c r="A1279" s="6">
        <v>45804</v>
      </c>
      <c r="B1279" s="2" t="s">
        <v>226</v>
      </c>
      <c r="C1279" s="5">
        <v>45778</v>
      </c>
      <c r="D1279" s="2" t="s">
        <v>196</v>
      </c>
      <c r="E1279" s="3">
        <v>4467</v>
      </c>
      <c r="F1279" s="8">
        <v>0.33800000000000002</v>
      </c>
      <c r="G1279" s="4">
        <v>67.662099999999995</v>
      </c>
      <c r="H1279" s="4">
        <v>94.161600000000007</v>
      </c>
      <c r="I1279" s="4">
        <v>18.02</v>
      </c>
      <c r="J1279" s="4">
        <v>19.184999999999999</v>
      </c>
      <c r="K1279" s="4">
        <v>17.420000000000002</v>
      </c>
      <c r="L1279" s="4">
        <v>18.54</v>
      </c>
      <c r="M1279" s="7">
        <v>2.8899999999999999E-2</v>
      </c>
    </row>
    <row r="1280" spans="1:13" x14ac:dyDescent="0.2">
      <c r="A1280" s="6">
        <v>45805</v>
      </c>
      <c r="B1280" s="2" t="s">
        <v>224</v>
      </c>
      <c r="C1280" s="5">
        <v>45778</v>
      </c>
      <c r="D1280" s="2" t="s">
        <v>196</v>
      </c>
      <c r="E1280" s="3">
        <v>4440</v>
      </c>
      <c r="F1280" s="8">
        <v>0.3664</v>
      </c>
      <c r="G1280" s="4">
        <v>89.665800000000004</v>
      </c>
      <c r="H1280" s="4">
        <v>74.038200000000003</v>
      </c>
      <c r="I1280" s="4">
        <v>18.535</v>
      </c>
      <c r="J1280" s="4">
        <v>19.035</v>
      </c>
      <c r="K1280" s="4">
        <v>17.875</v>
      </c>
      <c r="L1280" s="4">
        <v>18.02</v>
      </c>
      <c r="M1280" s="7">
        <v>-2.7799999999999998E-2</v>
      </c>
    </row>
    <row r="1281" spans="1:13" x14ac:dyDescent="0.2">
      <c r="A1281" s="6">
        <v>45806</v>
      </c>
      <c r="B1281" s="2" t="s">
        <v>227</v>
      </c>
      <c r="C1281" s="5">
        <v>45778</v>
      </c>
      <c r="D1281" s="2" t="s">
        <v>196</v>
      </c>
      <c r="E1281" s="3">
        <v>4444</v>
      </c>
      <c r="F1281" s="8">
        <v>0.33310000000000001</v>
      </c>
      <c r="G1281" s="4">
        <v>83.251499999999993</v>
      </c>
      <c r="H1281" s="4">
        <v>67.230800000000002</v>
      </c>
      <c r="I1281" s="4">
        <v>18.017499999999998</v>
      </c>
      <c r="J1281" s="4">
        <v>18.017499999999998</v>
      </c>
      <c r="K1281" s="4">
        <v>16.2075</v>
      </c>
      <c r="L1281" s="4">
        <v>16.420000000000002</v>
      </c>
      <c r="M1281" s="7">
        <v>-8.8700000000000001E-2</v>
      </c>
    </row>
    <row r="1282" spans="1:13" x14ac:dyDescent="0.2">
      <c r="A1282" s="6">
        <v>45807</v>
      </c>
      <c r="B1282" s="2" t="s">
        <v>225</v>
      </c>
      <c r="C1282" s="5">
        <v>45778</v>
      </c>
      <c r="D1282" s="2" t="s">
        <v>196</v>
      </c>
      <c r="E1282" s="3">
        <v>4482</v>
      </c>
      <c r="F1282" s="8">
        <v>0.4042</v>
      </c>
      <c r="G1282" s="4">
        <v>110.0697</v>
      </c>
      <c r="H1282" s="4">
        <v>86.104200000000006</v>
      </c>
      <c r="I1282" s="4">
        <v>16.420000000000002</v>
      </c>
      <c r="J1282" s="4">
        <v>16.545000000000002</v>
      </c>
      <c r="K1282" s="4">
        <v>15.2875</v>
      </c>
      <c r="L1282" s="4">
        <v>16.079999999999998</v>
      </c>
      <c r="M1282" s="7">
        <v>-2.07E-2</v>
      </c>
    </row>
    <row r="1283" spans="1:13" x14ac:dyDescent="0.2">
      <c r="A1283" s="6">
        <v>45810</v>
      </c>
      <c r="B1283" s="2" t="s">
        <v>228</v>
      </c>
      <c r="C1283" s="5">
        <v>45809</v>
      </c>
      <c r="D1283" s="2" t="s">
        <v>196</v>
      </c>
      <c r="E1283" s="3">
        <v>4662</v>
      </c>
      <c r="F1283" s="8">
        <v>0.40179999999999999</v>
      </c>
      <c r="G1283" s="4">
        <v>133.1764</v>
      </c>
      <c r="H1283" s="4">
        <v>92.935599999999994</v>
      </c>
      <c r="I1283" s="4">
        <v>16.077500000000001</v>
      </c>
      <c r="J1283" s="4">
        <v>17.727499999999999</v>
      </c>
      <c r="K1283" s="4">
        <v>16.077500000000001</v>
      </c>
      <c r="L1283" s="4">
        <v>17.16</v>
      </c>
      <c r="M1283" s="7">
        <v>6.7299999999999999E-2</v>
      </c>
    </row>
    <row r="1284" spans="1:13" x14ac:dyDescent="0.2">
      <c r="A1284" s="6">
        <v>45811</v>
      </c>
      <c r="B1284" s="2" t="s">
        <v>226</v>
      </c>
      <c r="C1284" s="5">
        <v>45809</v>
      </c>
      <c r="D1284" s="2" t="s">
        <v>196</v>
      </c>
      <c r="E1284" s="3">
        <v>4556</v>
      </c>
      <c r="F1284" s="8">
        <v>0.39729999999999999</v>
      </c>
      <c r="G1284" s="4">
        <v>218.55690000000001</v>
      </c>
      <c r="H1284" s="4">
        <v>117.22580000000001</v>
      </c>
      <c r="I1284" s="4">
        <v>17.157499999999999</v>
      </c>
      <c r="J1284" s="4">
        <v>17.727499999999999</v>
      </c>
      <c r="K1284" s="4">
        <v>16.2575</v>
      </c>
      <c r="L1284" s="4">
        <v>16.559999999999999</v>
      </c>
      <c r="M1284" s="7">
        <v>-3.4799999999999998E-2</v>
      </c>
    </row>
    <row r="1285" spans="1:13" x14ac:dyDescent="0.2">
      <c r="A1285" s="6">
        <v>45812</v>
      </c>
      <c r="B1285" s="2" t="s">
        <v>224</v>
      </c>
      <c r="C1285" s="5">
        <v>45809</v>
      </c>
      <c r="D1285" s="2" t="s">
        <v>196</v>
      </c>
      <c r="E1285" s="3">
        <v>4524</v>
      </c>
      <c r="F1285" s="8">
        <v>0.3301</v>
      </c>
      <c r="G1285" s="4">
        <v>97.757400000000004</v>
      </c>
      <c r="H1285" s="4">
        <v>94.132800000000003</v>
      </c>
      <c r="I1285" s="4">
        <v>16.555</v>
      </c>
      <c r="J1285" s="4">
        <v>17.059999999999999</v>
      </c>
      <c r="K1285" s="4">
        <v>15.63</v>
      </c>
      <c r="L1285" s="4">
        <v>15.75</v>
      </c>
      <c r="M1285" s="7">
        <v>-4.8599999999999997E-2</v>
      </c>
    </row>
    <row r="1286" spans="1:13" x14ac:dyDescent="0.2">
      <c r="A1286" s="6">
        <v>45813</v>
      </c>
      <c r="B1286" s="2" t="s">
        <v>227</v>
      </c>
      <c r="C1286" s="5">
        <v>45809</v>
      </c>
      <c r="D1286" s="2" t="s">
        <v>196</v>
      </c>
      <c r="E1286" s="3">
        <v>4515</v>
      </c>
      <c r="F1286" s="8">
        <v>0.35799999999999998</v>
      </c>
      <c r="G1286" s="4">
        <v>91.267200000000003</v>
      </c>
      <c r="H1286" s="4">
        <v>77.952200000000005</v>
      </c>
      <c r="I1286" s="4">
        <v>15.744999999999999</v>
      </c>
      <c r="J1286" s="4">
        <v>15.932499999999999</v>
      </c>
      <c r="K1286" s="4">
        <v>14.9825</v>
      </c>
      <c r="L1286" s="4">
        <v>15.08</v>
      </c>
      <c r="M1286" s="7">
        <v>-4.2200000000000001E-2</v>
      </c>
    </row>
    <row r="1287" spans="1:13" x14ac:dyDescent="0.2">
      <c r="A1287" s="6">
        <v>45814</v>
      </c>
      <c r="B1287" s="2" t="s">
        <v>225</v>
      </c>
      <c r="C1287" s="5">
        <v>45809</v>
      </c>
      <c r="D1287" s="2" t="s">
        <v>196</v>
      </c>
      <c r="E1287" s="3">
        <v>4573</v>
      </c>
      <c r="F1287" s="8">
        <v>0.38869999999999999</v>
      </c>
      <c r="G1287" s="4">
        <v>102.0702</v>
      </c>
      <c r="H1287" s="4">
        <v>88.801699999999997</v>
      </c>
      <c r="I1287" s="4">
        <v>15.0825</v>
      </c>
      <c r="J1287" s="4">
        <v>15.61</v>
      </c>
      <c r="K1287" s="4">
        <v>14.3675</v>
      </c>
      <c r="L1287" s="4">
        <v>14.63</v>
      </c>
      <c r="M1287" s="7">
        <v>-0.03</v>
      </c>
    </row>
    <row r="1288" spans="1:13" x14ac:dyDescent="0.2">
      <c r="A1288" s="6">
        <v>45817</v>
      </c>
      <c r="B1288" s="2" t="s">
        <v>228</v>
      </c>
      <c r="C1288" s="5">
        <v>45809</v>
      </c>
      <c r="D1288" s="2" t="s">
        <v>196</v>
      </c>
      <c r="E1288" s="3">
        <v>4786</v>
      </c>
      <c r="F1288" s="8">
        <v>0.41010000000000002</v>
      </c>
      <c r="G1288" s="4">
        <v>114.9932</v>
      </c>
      <c r="H1288" s="4">
        <v>81.777199999999993</v>
      </c>
      <c r="I1288" s="4">
        <v>14.63</v>
      </c>
      <c r="J1288" s="4">
        <v>15.52</v>
      </c>
      <c r="K1288" s="4">
        <v>14.63</v>
      </c>
      <c r="L1288" s="4">
        <v>14.69</v>
      </c>
      <c r="M1288" s="7">
        <v>4.1000000000000003E-3</v>
      </c>
    </row>
    <row r="1289" spans="1:13" x14ac:dyDescent="0.2">
      <c r="A1289" s="6">
        <v>45818</v>
      </c>
      <c r="B1289" s="2" t="s">
        <v>226</v>
      </c>
      <c r="C1289" s="5">
        <v>45809</v>
      </c>
      <c r="D1289" s="2" t="s">
        <v>196</v>
      </c>
      <c r="E1289" s="3">
        <v>4568</v>
      </c>
      <c r="F1289" s="8">
        <v>0.38929999999999998</v>
      </c>
      <c r="G1289" s="4">
        <v>101.9727</v>
      </c>
      <c r="H1289" s="4">
        <v>94.363299999999995</v>
      </c>
      <c r="I1289" s="4">
        <v>14.692500000000001</v>
      </c>
      <c r="J1289" s="4">
        <v>14.74</v>
      </c>
      <c r="K1289" s="4">
        <v>13.932499999999999</v>
      </c>
      <c r="L1289" s="4">
        <v>14.02</v>
      </c>
      <c r="M1289" s="7">
        <v>-4.58E-2</v>
      </c>
    </row>
    <row r="1290" spans="1:13" x14ac:dyDescent="0.2">
      <c r="A1290" s="6">
        <v>45819</v>
      </c>
      <c r="B1290" s="2" t="s">
        <v>224</v>
      </c>
      <c r="C1290" s="5">
        <v>45809</v>
      </c>
      <c r="D1290" s="2" t="s">
        <v>196</v>
      </c>
      <c r="E1290" s="3">
        <v>4581</v>
      </c>
      <c r="F1290" s="8">
        <v>0.40039999999999998</v>
      </c>
      <c r="G1290" s="4">
        <v>126.837</v>
      </c>
      <c r="H1290" s="4">
        <v>87.145899999999997</v>
      </c>
      <c r="I1290" s="4">
        <v>14.015000000000001</v>
      </c>
      <c r="J1290" s="4">
        <v>14.154999999999999</v>
      </c>
      <c r="K1290" s="4">
        <v>13.557499999999999</v>
      </c>
      <c r="L1290" s="4">
        <v>13.67</v>
      </c>
      <c r="M1290" s="7">
        <v>-2.46E-2</v>
      </c>
    </row>
    <row r="1291" spans="1:13" x14ac:dyDescent="0.2">
      <c r="A1291" s="6">
        <v>45820</v>
      </c>
      <c r="B1291" s="2" t="s">
        <v>227</v>
      </c>
      <c r="C1291" s="5">
        <v>45809</v>
      </c>
      <c r="D1291" s="2" t="s">
        <v>196</v>
      </c>
      <c r="E1291" s="3">
        <v>4488</v>
      </c>
      <c r="F1291" s="8">
        <v>0.34549999999999997</v>
      </c>
      <c r="G1291" s="4">
        <v>100.6387</v>
      </c>
      <c r="H1291" s="4">
        <v>70.067700000000002</v>
      </c>
      <c r="I1291" s="4">
        <v>13.6675</v>
      </c>
      <c r="J1291" s="4">
        <v>14.272500000000001</v>
      </c>
      <c r="K1291" s="4">
        <v>13.13</v>
      </c>
      <c r="L1291" s="4">
        <v>14.02</v>
      </c>
      <c r="M1291" s="7">
        <v>2.58E-2</v>
      </c>
    </row>
    <row r="1292" spans="1:13" x14ac:dyDescent="0.2">
      <c r="A1292" s="6">
        <v>45821</v>
      </c>
      <c r="B1292" s="2" t="s">
        <v>225</v>
      </c>
      <c r="C1292" s="5">
        <v>45809</v>
      </c>
      <c r="D1292" s="2" t="s">
        <v>196</v>
      </c>
      <c r="E1292" s="3">
        <v>4503</v>
      </c>
      <c r="F1292" s="8">
        <v>0.35820000000000002</v>
      </c>
      <c r="G1292" s="4">
        <v>93.090400000000002</v>
      </c>
      <c r="H1292" s="4">
        <v>69.746099999999998</v>
      </c>
      <c r="I1292" s="4">
        <v>14.015000000000001</v>
      </c>
      <c r="J1292" s="4">
        <v>15.975</v>
      </c>
      <c r="K1292" s="4">
        <v>14.015000000000001</v>
      </c>
      <c r="L1292" s="4">
        <v>15.08</v>
      </c>
      <c r="M1292" s="7">
        <v>7.5999999999999998E-2</v>
      </c>
    </row>
    <row r="1293" spans="1:13" x14ac:dyDescent="0.2">
      <c r="A1293" s="6">
        <v>45824</v>
      </c>
      <c r="B1293" s="2" t="s">
        <v>228</v>
      </c>
      <c r="C1293" s="5">
        <v>45809</v>
      </c>
      <c r="D1293" s="2" t="s">
        <v>196</v>
      </c>
      <c r="E1293" s="3">
        <v>4639</v>
      </c>
      <c r="F1293" s="8">
        <v>0.34339999999999998</v>
      </c>
      <c r="G1293" s="4">
        <v>88.733699999999999</v>
      </c>
      <c r="H1293" s="4">
        <v>67.436199999999999</v>
      </c>
      <c r="I1293" s="4">
        <v>15.08</v>
      </c>
      <c r="J1293" s="4">
        <v>15.4725</v>
      </c>
      <c r="K1293" s="4">
        <v>14.5525</v>
      </c>
      <c r="L1293" s="4">
        <v>14.84</v>
      </c>
      <c r="M1293" s="7">
        <v>-1.5900000000000001E-2</v>
      </c>
    </row>
    <row r="1294" spans="1:13" x14ac:dyDescent="0.2">
      <c r="A1294" s="6">
        <v>45825</v>
      </c>
      <c r="B1294" s="2" t="s">
        <v>226</v>
      </c>
      <c r="C1294" s="5">
        <v>45809</v>
      </c>
      <c r="D1294" s="2" t="s">
        <v>196</v>
      </c>
      <c r="E1294" s="3">
        <v>4478</v>
      </c>
      <c r="F1294" s="8">
        <v>0.33939999999999998</v>
      </c>
      <c r="G1294" s="4">
        <v>105.0419</v>
      </c>
      <c r="H1294" s="4">
        <v>82.363600000000005</v>
      </c>
      <c r="I1294" s="4">
        <v>14.8375</v>
      </c>
      <c r="J1294" s="4">
        <v>15.022500000000001</v>
      </c>
      <c r="K1294" s="4">
        <v>14.3</v>
      </c>
      <c r="L1294" s="4">
        <v>14.4</v>
      </c>
      <c r="M1294" s="7">
        <v>-2.9499999999999998E-2</v>
      </c>
    </row>
    <row r="1295" spans="1:13" x14ac:dyDescent="0.2">
      <c r="A1295" s="6">
        <v>45826</v>
      </c>
      <c r="B1295" s="2" t="s">
        <v>224</v>
      </c>
      <c r="C1295" s="5">
        <v>45809</v>
      </c>
      <c r="D1295" s="2" t="s">
        <v>196</v>
      </c>
      <c r="E1295" s="3">
        <v>4457</v>
      </c>
      <c r="F1295" s="8">
        <v>0.30020000000000002</v>
      </c>
      <c r="G1295" s="4">
        <v>76.353499999999997</v>
      </c>
      <c r="H1295" s="4">
        <v>55.069600000000001</v>
      </c>
      <c r="I1295" s="4">
        <v>14.4025</v>
      </c>
      <c r="J1295" s="4">
        <v>14.817500000000001</v>
      </c>
      <c r="K1295" s="4">
        <v>14.105</v>
      </c>
      <c r="L1295" s="4">
        <v>14.28</v>
      </c>
      <c r="M1295" s="7">
        <v>-8.5000000000000006E-3</v>
      </c>
    </row>
    <row r="1296" spans="1:13" x14ac:dyDescent="0.2">
      <c r="A1296" s="6">
        <v>45827</v>
      </c>
      <c r="B1296" s="2" t="s">
        <v>227</v>
      </c>
      <c r="C1296" s="5">
        <v>45809</v>
      </c>
      <c r="D1296" s="2" t="s">
        <v>196</v>
      </c>
      <c r="E1296" s="3">
        <v>4464</v>
      </c>
      <c r="F1296" s="8">
        <v>0.31780000000000003</v>
      </c>
      <c r="G1296" s="4">
        <v>73.3108</v>
      </c>
      <c r="H1296" s="4">
        <v>58.231299999999997</v>
      </c>
      <c r="I1296" s="4">
        <v>14.275</v>
      </c>
      <c r="J1296" s="4">
        <v>14.37</v>
      </c>
      <c r="K1296" s="4">
        <v>13.74</v>
      </c>
      <c r="L1296" s="4">
        <v>14.26</v>
      </c>
      <c r="M1296" s="7">
        <v>-1.1000000000000001E-3</v>
      </c>
    </row>
    <row r="1297" spans="1:13" x14ac:dyDescent="0.2">
      <c r="A1297" s="6">
        <v>45828</v>
      </c>
      <c r="B1297" s="2" t="s">
        <v>225</v>
      </c>
      <c r="C1297" s="5">
        <v>45809</v>
      </c>
      <c r="D1297" s="2" t="s">
        <v>196</v>
      </c>
      <c r="E1297" s="3">
        <v>4471</v>
      </c>
      <c r="F1297" s="8">
        <v>0.2954</v>
      </c>
      <c r="G1297" s="4">
        <v>82.095500000000001</v>
      </c>
      <c r="H1297" s="4">
        <v>73.664500000000004</v>
      </c>
      <c r="I1297" s="4">
        <v>14.255000000000001</v>
      </c>
      <c r="J1297" s="4">
        <v>14.255000000000001</v>
      </c>
      <c r="K1297" s="4">
        <v>13.3225</v>
      </c>
      <c r="L1297" s="4">
        <v>13.67</v>
      </c>
      <c r="M1297" s="7">
        <v>-4.1000000000000002E-2</v>
      </c>
    </row>
    <row r="1298" spans="1:13" x14ac:dyDescent="0.2">
      <c r="A1298" s="6">
        <v>45831</v>
      </c>
      <c r="B1298" s="2" t="s">
        <v>228</v>
      </c>
      <c r="C1298" s="5">
        <v>45809</v>
      </c>
      <c r="D1298" s="2" t="s">
        <v>196</v>
      </c>
      <c r="E1298" s="3">
        <v>4591</v>
      </c>
      <c r="F1298" s="8">
        <v>0.28770000000000001</v>
      </c>
      <c r="G1298" s="4">
        <v>76.402299999999997</v>
      </c>
      <c r="H1298" s="4">
        <v>82.280699999999996</v>
      </c>
      <c r="I1298" s="4">
        <v>13.672499999999999</v>
      </c>
      <c r="J1298" s="4">
        <v>14.522500000000001</v>
      </c>
      <c r="K1298" s="4">
        <v>13.6625</v>
      </c>
      <c r="L1298" s="4">
        <v>14.05</v>
      </c>
      <c r="M1298" s="7">
        <v>2.76E-2</v>
      </c>
    </row>
    <row r="1299" spans="1:13" x14ac:dyDescent="0.2">
      <c r="A1299" s="6">
        <v>45832</v>
      </c>
      <c r="B1299" s="2" t="s">
        <v>226</v>
      </c>
      <c r="C1299" s="5">
        <v>45809</v>
      </c>
      <c r="D1299" s="2" t="s">
        <v>196</v>
      </c>
      <c r="E1299" s="3">
        <v>4542</v>
      </c>
      <c r="F1299" s="8">
        <v>0.3589</v>
      </c>
      <c r="G1299" s="4">
        <v>82.804400000000001</v>
      </c>
      <c r="H1299" s="4">
        <v>113.64060000000001</v>
      </c>
      <c r="I1299" s="4">
        <v>14.047499999999999</v>
      </c>
      <c r="J1299" s="4">
        <v>14.342499999999999</v>
      </c>
      <c r="K1299" s="4">
        <v>13.307499999999999</v>
      </c>
      <c r="L1299" s="4">
        <v>13.64</v>
      </c>
      <c r="M1299" s="7">
        <v>-2.9000000000000001E-2</v>
      </c>
    </row>
    <row r="1300" spans="1:13" x14ac:dyDescent="0.2">
      <c r="A1300" s="6">
        <v>45833</v>
      </c>
      <c r="B1300" s="2" t="s">
        <v>224</v>
      </c>
      <c r="C1300" s="5">
        <v>45809</v>
      </c>
      <c r="D1300" s="2" t="s">
        <v>196</v>
      </c>
      <c r="E1300" s="3">
        <v>4500</v>
      </c>
      <c r="F1300" s="8">
        <v>0.3105</v>
      </c>
      <c r="G1300" s="4">
        <v>85.802199999999999</v>
      </c>
      <c r="H1300" s="4">
        <v>64.013400000000004</v>
      </c>
      <c r="I1300" s="4">
        <v>13.6425</v>
      </c>
      <c r="J1300" s="4">
        <v>13.6425</v>
      </c>
      <c r="K1300" s="4">
        <v>12.9</v>
      </c>
      <c r="L1300" s="4">
        <v>12.96</v>
      </c>
      <c r="M1300" s="7">
        <v>-0.05</v>
      </c>
    </row>
    <row r="1301" spans="1:13" x14ac:dyDescent="0.2">
      <c r="A1301" s="6">
        <v>45834</v>
      </c>
      <c r="B1301" s="2" t="s">
        <v>227</v>
      </c>
      <c r="C1301" s="5">
        <v>45809</v>
      </c>
      <c r="D1301" s="2" t="s">
        <v>196</v>
      </c>
      <c r="E1301" s="3">
        <v>4501</v>
      </c>
      <c r="F1301" s="8">
        <v>0.3014</v>
      </c>
      <c r="G1301" s="4">
        <v>75.581900000000005</v>
      </c>
      <c r="H1301" s="4">
        <v>68.221699999999998</v>
      </c>
      <c r="I1301" s="4">
        <v>12.9625</v>
      </c>
      <c r="J1301" s="4">
        <v>13.33</v>
      </c>
      <c r="K1301" s="4">
        <v>12.515000000000001</v>
      </c>
      <c r="L1301" s="4">
        <v>12.59</v>
      </c>
      <c r="M1301" s="7">
        <v>-2.87E-2</v>
      </c>
    </row>
    <row r="1302" spans="1:13" x14ac:dyDescent="0.2">
      <c r="A1302" s="6">
        <v>45835</v>
      </c>
      <c r="B1302" s="2" t="s">
        <v>225</v>
      </c>
      <c r="C1302" s="5">
        <v>45809</v>
      </c>
      <c r="D1302" s="2" t="s">
        <v>196</v>
      </c>
      <c r="E1302" s="3">
        <v>4508</v>
      </c>
      <c r="F1302" s="8">
        <v>0.32579999999999998</v>
      </c>
      <c r="G1302" s="4">
        <v>80.132300000000001</v>
      </c>
      <c r="H1302" s="4">
        <v>72.483400000000003</v>
      </c>
      <c r="I1302" s="4">
        <v>12.59</v>
      </c>
      <c r="J1302" s="4">
        <v>12.922499999999999</v>
      </c>
      <c r="K1302" s="4">
        <v>12.3225</v>
      </c>
      <c r="L1302" s="4">
        <v>12.39</v>
      </c>
      <c r="M1302" s="7">
        <v>-1.5900000000000001E-2</v>
      </c>
    </row>
    <row r="1303" spans="1:13" x14ac:dyDescent="0.2">
      <c r="A1303" s="6">
        <v>45838</v>
      </c>
      <c r="B1303" s="2" t="s">
        <v>228</v>
      </c>
      <c r="C1303" s="5">
        <v>45809</v>
      </c>
      <c r="D1303" s="2" t="s">
        <v>196</v>
      </c>
      <c r="E1303" s="3">
        <v>4690</v>
      </c>
      <c r="F1303" s="8">
        <v>0.28599999999999998</v>
      </c>
      <c r="G1303" s="4">
        <v>83.770300000000006</v>
      </c>
      <c r="H1303" s="4">
        <v>56.656799999999997</v>
      </c>
      <c r="I1303" s="4">
        <v>12.387499999999999</v>
      </c>
      <c r="J1303" s="4">
        <v>13.0275</v>
      </c>
      <c r="K1303" s="4">
        <v>12.387499999999999</v>
      </c>
      <c r="L1303" s="4">
        <v>12.79</v>
      </c>
      <c r="M1303" s="7">
        <v>3.2500000000000001E-2</v>
      </c>
    </row>
    <row r="1304" spans="1:13" x14ac:dyDescent="0.2">
      <c r="A1304" s="6">
        <v>45839</v>
      </c>
      <c r="B1304" s="2" t="s">
        <v>226</v>
      </c>
      <c r="C1304" s="5">
        <v>45839</v>
      </c>
      <c r="D1304" s="2" t="s">
        <v>197</v>
      </c>
      <c r="E1304" s="3">
        <v>4546</v>
      </c>
      <c r="F1304" s="8">
        <v>0.3372</v>
      </c>
      <c r="G1304" s="4">
        <v>91.208100000000002</v>
      </c>
      <c r="H1304" s="4">
        <v>85.043300000000002</v>
      </c>
      <c r="I1304" s="4">
        <v>12.785</v>
      </c>
      <c r="J1304" s="4">
        <v>12.9925</v>
      </c>
      <c r="K1304" s="4">
        <v>12.4375</v>
      </c>
      <c r="L1304" s="4">
        <v>12.53</v>
      </c>
      <c r="M1304" s="7">
        <v>-1.9900000000000001E-2</v>
      </c>
    </row>
    <row r="1305" spans="1:13" x14ac:dyDescent="0.2">
      <c r="A1305" s="6">
        <v>45840</v>
      </c>
      <c r="B1305" s="2" t="s">
        <v>224</v>
      </c>
      <c r="C1305" s="5">
        <v>45839</v>
      </c>
      <c r="D1305" s="2" t="s">
        <v>197</v>
      </c>
      <c r="E1305" s="3">
        <v>4566</v>
      </c>
      <c r="F1305" s="8">
        <v>0.35070000000000001</v>
      </c>
      <c r="G1305" s="4">
        <v>84.642399999999995</v>
      </c>
      <c r="H1305" s="4">
        <v>69.959000000000003</v>
      </c>
      <c r="I1305" s="4">
        <v>12.5275</v>
      </c>
      <c r="J1305" s="4">
        <v>12.6625</v>
      </c>
      <c r="K1305" s="4">
        <v>12.34</v>
      </c>
      <c r="L1305" s="4">
        <v>12.45</v>
      </c>
      <c r="M1305" s="7">
        <v>-6.1999999999999998E-3</v>
      </c>
    </row>
    <row r="1306" spans="1:13" x14ac:dyDescent="0.2">
      <c r="A1306" s="6">
        <v>45841</v>
      </c>
      <c r="B1306" s="2" t="s">
        <v>227</v>
      </c>
      <c r="C1306" s="5">
        <v>45839</v>
      </c>
      <c r="D1306" s="2" t="s">
        <v>197</v>
      </c>
      <c r="E1306" s="3">
        <v>4590</v>
      </c>
      <c r="F1306" s="8">
        <v>0.30590000000000001</v>
      </c>
      <c r="G1306" s="4">
        <v>89.532899999999998</v>
      </c>
      <c r="H1306" s="4">
        <v>73.352400000000003</v>
      </c>
      <c r="I1306" s="4">
        <v>12.445</v>
      </c>
      <c r="J1306" s="4">
        <v>12.66</v>
      </c>
      <c r="K1306" s="4">
        <v>12.19</v>
      </c>
      <c r="L1306" s="4">
        <v>12.39</v>
      </c>
      <c r="M1306" s="7">
        <v>-4.4000000000000003E-3</v>
      </c>
    </row>
    <row r="1307" spans="1:13" x14ac:dyDescent="0.2">
      <c r="A1307" s="6">
        <v>45842</v>
      </c>
      <c r="B1307" s="2" t="s">
        <v>225</v>
      </c>
      <c r="C1307" s="5">
        <v>45839</v>
      </c>
      <c r="D1307" s="2" t="s">
        <v>197</v>
      </c>
      <c r="E1307" s="3">
        <v>4567</v>
      </c>
      <c r="F1307" s="8">
        <v>0.33529999999999999</v>
      </c>
      <c r="G1307" s="4">
        <v>78.8155</v>
      </c>
      <c r="H1307" s="4">
        <v>62.241999999999997</v>
      </c>
      <c r="I1307" s="4">
        <v>12.385</v>
      </c>
      <c r="J1307" s="4">
        <v>12.6975</v>
      </c>
      <c r="K1307" s="4">
        <v>12.24</v>
      </c>
      <c r="L1307" s="4">
        <v>12.32</v>
      </c>
      <c r="M1307" s="7">
        <v>-5.1999999999999998E-3</v>
      </c>
    </row>
    <row r="1308" spans="1:13" x14ac:dyDescent="0.2">
      <c r="A1308" s="6">
        <v>45845</v>
      </c>
      <c r="B1308" s="2" t="s">
        <v>228</v>
      </c>
      <c r="C1308" s="5">
        <v>45839</v>
      </c>
      <c r="D1308" s="2" t="s">
        <v>197</v>
      </c>
      <c r="E1308" s="3">
        <v>4658</v>
      </c>
      <c r="F1308" s="8">
        <v>0.30030000000000001</v>
      </c>
      <c r="G1308" s="4">
        <v>83.537999999999997</v>
      </c>
      <c r="H1308" s="4">
        <v>50.421900000000001</v>
      </c>
      <c r="I1308" s="4">
        <v>12.315</v>
      </c>
      <c r="J1308" s="4">
        <v>12.79</v>
      </c>
      <c r="K1308" s="4">
        <v>11.94</v>
      </c>
      <c r="L1308" s="4">
        <v>12.56</v>
      </c>
      <c r="M1308" s="7">
        <v>1.9900000000000001E-2</v>
      </c>
    </row>
    <row r="1309" spans="1:13" x14ac:dyDescent="0.2">
      <c r="A1309" s="6">
        <v>45846</v>
      </c>
      <c r="B1309" s="2" t="s">
        <v>226</v>
      </c>
      <c r="C1309" s="5">
        <v>45839</v>
      </c>
      <c r="D1309" s="2" t="s">
        <v>197</v>
      </c>
      <c r="E1309" s="3">
        <v>4574</v>
      </c>
      <c r="F1309" s="8">
        <v>0.29520000000000002</v>
      </c>
      <c r="G1309" s="4">
        <v>75.163600000000002</v>
      </c>
      <c r="H1309" s="4">
        <v>64.420599999999993</v>
      </c>
      <c r="I1309" s="4">
        <v>12.56</v>
      </c>
      <c r="J1309" s="4">
        <v>12.71</v>
      </c>
      <c r="K1309" s="4">
        <v>12.055</v>
      </c>
      <c r="L1309" s="4">
        <v>12.2</v>
      </c>
      <c r="M1309" s="7">
        <v>-2.87E-2</v>
      </c>
    </row>
    <row r="1310" spans="1:13" x14ac:dyDescent="0.2">
      <c r="A1310" s="6">
        <v>45847</v>
      </c>
      <c r="B1310" s="2" t="s">
        <v>224</v>
      </c>
      <c r="C1310" s="5">
        <v>45839</v>
      </c>
      <c r="D1310" s="2" t="s">
        <v>197</v>
      </c>
      <c r="E1310" s="3">
        <v>4532</v>
      </c>
      <c r="F1310" s="8">
        <v>0.32129999999999997</v>
      </c>
      <c r="G1310" s="4">
        <v>81.246799999999993</v>
      </c>
      <c r="H1310" s="4">
        <v>63.545299999999997</v>
      </c>
      <c r="I1310" s="4">
        <v>12.195</v>
      </c>
      <c r="J1310" s="4">
        <v>12.355</v>
      </c>
      <c r="K1310" s="4">
        <v>11.75</v>
      </c>
      <c r="L1310" s="4">
        <v>11.94</v>
      </c>
      <c r="M1310" s="7">
        <v>-2.0899999999999998E-2</v>
      </c>
    </row>
    <row r="1311" spans="1:13" x14ac:dyDescent="0.2">
      <c r="A1311" s="6">
        <v>45848</v>
      </c>
      <c r="B1311" s="2" t="s">
        <v>227</v>
      </c>
      <c r="C1311" s="5">
        <v>45839</v>
      </c>
      <c r="D1311" s="2" t="s">
        <v>197</v>
      </c>
      <c r="E1311" s="3">
        <v>4504</v>
      </c>
      <c r="F1311" s="8">
        <v>0.28060000000000002</v>
      </c>
      <c r="G1311" s="4">
        <v>78.549000000000007</v>
      </c>
      <c r="H1311" s="4">
        <v>64.535200000000003</v>
      </c>
      <c r="I1311" s="4">
        <v>11.94</v>
      </c>
      <c r="J1311" s="4">
        <v>12.1875</v>
      </c>
      <c r="K1311" s="4">
        <v>11.612500000000001</v>
      </c>
      <c r="L1311" s="4">
        <v>11.67</v>
      </c>
      <c r="M1311" s="7">
        <v>-2.2599999999999999E-2</v>
      </c>
    </row>
    <row r="1312" spans="1:13" x14ac:dyDescent="0.2">
      <c r="A1312" s="6">
        <v>45849</v>
      </c>
      <c r="B1312" s="2" t="s">
        <v>225</v>
      </c>
      <c r="C1312" s="5">
        <v>45839</v>
      </c>
      <c r="D1312" s="2" t="s">
        <v>197</v>
      </c>
      <c r="E1312" s="3">
        <v>4556</v>
      </c>
      <c r="F1312" s="8">
        <v>0.32029999999999997</v>
      </c>
      <c r="G1312" s="4">
        <v>81.131900000000002</v>
      </c>
      <c r="H1312" s="4">
        <v>62.316099999999999</v>
      </c>
      <c r="I1312" s="4">
        <v>11.672499999999999</v>
      </c>
      <c r="J1312" s="4">
        <v>12.1225</v>
      </c>
      <c r="K1312" s="4">
        <v>11.535</v>
      </c>
      <c r="L1312" s="4">
        <v>11.82</v>
      </c>
      <c r="M1312" s="7">
        <v>1.26E-2</v>
      </c>
    </row>
    <row r="1313" spans="1:13" x14ac:dyDescent="0.2">
      <c r="A1313" s="6">
        <v>45852</v>
      </c>
      <c r="B1313" s="2" t="s">
        <v>228</v>
      </c>
      <c r="C1313" s="5">
        <v>45839</v>
      </c>
      <c r="D1313" s="2" t="s">
        <v>197</v>
      </c>
      <c r="E1313" s="3">
        <v>4722</v>
      </c>
      <c r="F1313" s="8">
        <v>0.34310000000000002</v>
      </c>
      <c r="G1313" s="4">
        <v>97.808199999999999</v>
      </c>
      <c r="H1313" s="4">
        <v>81.617000000000004</v>
      </c>
      <c r="I1313" s="4">
        <v>11.817500000000001</v>
      </c>
      <c r="J1313" s="4">
        <v>12.42</v>
      </c>
      <c r="K1313" s="4">
        <v>11.817500000000001</v>
      </c>
      <c r="L1313" s="4">
        <v>11.98</v>
      </c>
      <c r="M1313" s="7">
        <v>1.38E-2</v>
      </c>
    </row>
    <row r="1314" spans="1:13" x14ac:dyDescent="0.2">
      <c r="A1314" s="6">
        <v>45853</v>
      </c>
      <c r="B1314" s="2" t="s">
        <v>226</v>
      </c>
      <c r="C1314" s="5">
        <v>45839</v>
      </c>
      <c r="D1314" s="2" t="s">
        <v>197</v>
      </c>
      <c r="E1314" s="3">
        <v>4568</v>
      </c>
      <c r="F1314" s="8">
        <v>0.3251</v>
      </c>
      <c r="G1314" s="4">
        <v>80.418599999999998</v>
      </c>
      <c r="H1314" s="4">
        <v>70.122600000000006</v>
      </c>
      <c r="I1314" s="4">
        <v>11.98</v>
      </c>
      <c r="J1314" s="4">
        <v>12.025</v>
      </c>
      <c r="K1314" s="4">
        <v>11.404999999999999</v>
      </c>
      <c r="L1314" s="4">
        <v>11.48</v>
      </c>
      <c r="M1314" s="7">
        <v>-4.1700000000000001E-2</v>
      </c>
    </row>
    <row r="1315" spans="1:13" x14ac:dyDescent="0.2">
      <c r="A1315" s="6">
        <v>45854</v>
      </c>
      <c r="B1315" s="2" t="s">
        <v>224</v>
      </c>
      <c r="C1315" s="5">
        <v>45839</v>
      </c>
      <c r="D1315" s="2" t="s">
        <v>197</v>
      </c>
      <c r="E1315" s="3">
        <v>4572</v>
      </c>
      <c r="F1315" s="8">
        <v>0.32640000000000002</v>
      </c>
      <c r="G1315" s="4">
        <v>80.088200000000001</v>
      </c>
      <c r="H1315" s="4">
        <v>66.625799999999998</v>
      </c>
      <c r="I1315" s="4">
        <v>11.48</v>
      </c>
      <c r="J1315" s="4">
        <v>11.6675</v>
      </c>
      <c r="K1315" s="4">
        <v>11.1975</v>
      </c>
      <c r="L1315" s="4">
        <v>11.24</v>
      </c>
      <c r="M1315" s="7">
        <v>-2.0899999999999998E-2</v>
      </c>
    </row>
    <row r="1316" spans="1:13" x14ac:dyDescent="0.2">
      <c r="A1316" s="6">
        <v>45855</v>
      </c>
      <c r="B1316" s="2" t="s">
        <v>227</v>
      </c>
      <c r="C1316" s="5">
        <v>45839</v>
      </c>
      <c r="D1316" s="2" t="s">
        <v>197</v>
      </c>
      <c r="E1316" s="3">
        <v>4531</v>
      </c>
      <c r="F1316" s="8">
        <v>0.34949999999999998</v>
      </c>
      <c r="G1316" s="4">
        <v>79.689700000000002</v>
      </c>
      <c r="H1316" s="4">
        <v>70.404899999999998</v>
      </c>
      <c r="I1316" s="4">
        <v>11.24</v>
      </c>
      <c r="J1316" s="4">
        <v>11.5425</v>
      </c>
      <c r="K1316" s="4">
        <v>10.727499999999999</v>
      </c>
      <c r="L1316" s="4">
        <v>11.24</v>
      </c>
      <c r="M1316" s="7">
        <v>0</v>
      </c>
    </row>
    <row r="1317" spans="1:13" x14ac:dyDescent="0.2">
      <c r="A1317" s="6">
        <v>45856</v>
      </c>
      <c r="B1317" s="2" t="s">
        <v>225</v>
      </c>
      <c r="C1317" s="5">
        <v>45839</v>
      </c>
      <c r="D1317" s="2" t="s">
        <v>197</v>
      </c>
      <c r="E1317" s="3">
        <v>4558</v>
      </c>
      <c r="F1317" s="8">
        <v>0.33539999999999998</v>
      </c>
      <c r="G1317" s="4">
        <v>85.700100000000006</v>
      </c>
      <c r="H1317" s="4">
        <v>99.951999999999998</v>
      </c>
      <c r="I1317" s="4">
        <v>11.2425</v>
      </c>
      <c r="J1317" s="4">
        <v>11.86</v>
      </c>
      <c r="K1317" s="4">
        <v>9.9</v>
      </c>
      <c r="L1317" s="4">
        <v>11.39</v>
      </c>
      <c r="M1317" s="7">
        <v>1.3100000000000001E-2</v>
      </c>
    </row>
    <row r="1318" spans="1:13" x14ac:dyDescent="0.2">
      <c r="A1318" s="6">
        <v>45859</v>
      </c>
      <c r="B1318" s="2" t="s">
        <v>228</v>
      </c>
      <c r="C1318" s="5">
        <v>45839</v>
      </c>
      <c r="D1318" s="2" t="s">
        <v>197</v>
      </c>
      <c r="E1318" s="3">
        <v>4727</v>
      </c>
      <c r="F1318" s="8">
        <v>0.35189999999999999</v>
      </c>
      <c r="G1318" s="4">
        <v>73.673299999999998</v>
      </c>
      <c r="H1318" s="4">
        <v>65.938900000000004</v>
      </c>
      <c r="I1318" s="4">
        <v>11.3925</v>
      </c>
      <c r="J1318" s="4">
        <v>11.942500000000001</v>
      </c>
      <c r="K1318" s="4">
        <v>11.0875</v>
      </c>
      <c r="L1318" s="4">
        <v>11.2</v>
      </c>
      <c r="M1318" s="7">
        <v>-1.6899999999999998E-2</v>
      </c>
    </row>
    <row r="1319" spans="1:13" x14ac:dyDescent="0.2">
      <c r="A1319" s="6">
        <v>45860</v>
      </c>
      <c r="B1319" s="2" t="s">
        <v>226</v>
      </c>
      <c r="C1319" s="5">
        <v>45839</v>
      </c>
      <c r="D1319" s="2" t="s">
        <v>197</v>
      </c>
      <c r="E1319" s="3">
        <v>4587</v>
      </c>
      <c r="F1319" s="8">
        <v>0.34339999999999998</v>
      </c>
      <c r="G1319" s="4">
        <v>76.087900000000005</v>
      </c>
      <c r="H1319" s="4">
        <v>75.959999999999994</v>
      </c>
      <c r="I1319" s="4">
        <v>11.202500000000001</v>
      </c>
      <c r="J1319" s="4">
        <v>11.227499999999999</v>
      </c>
      <c r="K1319" s="4">
        <v>10.6875</v>
      </c>
      <c r="L1319" s="4">
        <v>10.75</v>
      </c>
      <c r="M1319" s="7">
        <v>-4.0399999999999998E-2</v>
      </c>
    </row>
    <row r="1320" spans="1:13" x14ac:dyDescent="0.2">
      <c r="A1320" s="6">
        <v>45861</v>
      </c>
      <c r="B1320" s="2" t="s">
        <v>224</v>
      </c>
      <c r="C1320" s="5">
        <v>45839</v>
      </c>
      <c r="D1320" s="2" t="s">
        <v>197</v>
      </c>
      <c r="E1320" s="3">
        <v>4625</v>
      </c>
      <c r="F1320" s="8">
        <v>0.32150000000000001</v>
      </c>
      <c r="G1320" s="4">
        <v>91.920900000000003</v>
      </c>
      <c r="H1320" s="4">
        <v>96.017300000000006</v>
      </c>
      <c r="I1320" s="4">
        <v>10.7525</v>
      </c>
      <c r="J1320" s="4">
        <v>10.7525</v>
      </c>
      <c r="K1320" s="4">
        <v>10.220000000000001</v>
      </c>
      <c r="L1320" s="4">
        <v>10.52</v>
      </c>
      <c r="M1320" s="7">
        <v>-2.1600000000000001E-2</v>
      </c>
    </row>
    <row r="1321" spans="1:13" x14ac:dyDescent="0.2">
      <c r="A1321" s="6">
        <v>45862</v>
      </c>
      <c r="B1321" s="2" t="s">
        <v>227</v>
      </c>
      <c r="C1321" s="5">
        <v>45839</v>
      </c>
      <c r="D1321" s="2" t="s">
        <v>197</v>
      </c>
      <c r="E1321" s="3">
        <v>4634</v>
      </c>
      <c r="F1321" s="8">
        <v>0.33500000000000002</v>
      </c>
      <c r="G1321" s="4">
        <v>78.159400000000005</v>
      </c>
      <c r="H1321" s="4">
        <v>70.972399999999993</v>
      </c>
      <c r="I1321" s="4">
        <v>10.515000000000001</v>
      </c>
      <c r="J1321" s="4">
        <v>11.105</v>
      </c>
      <c r="K1321" s="4">
        <v>9.8674999999999997</v>
      </c>
      <c r="L1321" s="4">
        <v>10.72</v>
      </c>
      <c r="M1321" s="7">
        <v>1.95E-2</v>
      </c>
    </row>
    <row r="1322" spans="1:13" x14ac:dyDescent="0.2">
      <c r="A1322" s="6">
        <v>45863</v>
      </c>
      <c r="B1322" s="2" t="s">
        <v>225</v>
      </c>
      <c r="C1322" s="5">
        <v>45839</v>
      </c>
      <c r="D1322" s="2" t="s">
        <v>197</v>
      </c>
      <c r="E1322" s="3">
        <v>4545</v>
      </c>
      <c r="F1322" s="8">
        <v>0.36499999999999999</v>
      </c>
      <c r="G1322" s="4">
        <v>71.028199999999998</v>
      </c>
      <c r="H1322" s="4">
        <v>79.966999999999999</v>
      </c>
      <c r="I1322" s="4">
        <v>10.7225</v>
      </c>
      <c r="J1322" s="4">
        <v>11.5825</v>
      </c>
      <c r="K1322" s="4">
        <v>10.612500000000001</v>
      </c>
      <c r="L1322" s="4">
        <v>11.28</v>
      </c>
      <c r="M1322" s="7">
        <v>5.1999999999999998E-2</v>
      </c>
    </row>
    <row r="1323" spans="1:13" x14ac:dyDescent="0.2">
      <c r="A1323" s="6">
        <v>45866</v>
      </c>
      <c r="B1323" s="2" t="s">
        <v>228</v>
      </c>
      <c r="C1323" s="5">
        <v>45839</v>
      </c>
      <c r="D1323" s="2" t="s">
        <v>197</v>
      </c>
      <c r="E1323" s="3">
        <v>4747</v>
      </c>
      <c r="F1323" s="8">
        <v>0.378</v>
      </c>
      <c r="G1323" s="4">
        <v>82.910799999999995</v>
      </c>
      <c r="H1323" s="4">
        <v>75.610500000000002</v>
      </c>
      <c r="I1323" s="4">
        <v>11.275</v>
      </c>
      <c r="J1323" s="4">
        <v>12.23</v>
      </c>
      <c r="K1323" s="4">
        <v>10.324999999999999</v>
      </c>
      <c r="L1323" s="4">
        <v>12.06</v>
      </c>
      <c r="M1323" s="7">
        <v>6.9599999999999995E-2</v>
      </c>
    </row>
    <row r="1324" spans="1:13" x14ac:dyDescent="0.2">
      <c r="A1324" s="6">
        <v>45867</v>
      </c>
      <c r="B1324" s="2" t="s">
        <v>226</v>
      </c>
      <c r="C1324" s="5">
        <v>45839</v>
      </c>
      <c r="D1324" s="2" t="s">
        <v>197</v>
      </c>
      <c r="E1324" s="3">
        <v>4583</v>
      </c>
      <c r="F1324" s="8">
        <v>0.32769999999999999</v>
      </c>
      <c r="G1324" s="4">
        <v>64.787300000000002</v>
      </c>
      <c r="H1324" s="4">
        <v>70.156300000000002</v>
      </c>
      <c r="I1324" s="4">
        <v>12.0625</v>
      </c>
      <c r="J1324" s="4">
        <v>12.3</v>
      </c>
      <c r="K1324" s="4">
        <v>11.4</v>
      </c>
      <c r="L1324" s="4">
        <v>11.53</v>
      </c>
      <c r="M1324" s="7">
        <v>-4.41E-2</v>
      </c>
    </row>
    <row r="1325" spans="1:13" x14ac:dyDescent="0.2">
      <c r="A1325" s="6">
        <v>45868</v>
      </c>
      <c r="B1325" s="2" t="s">
        <v>224</v>
      </c>
      <c r="C1325" s="5">
        <v>45839</v>
      </c>
      <c r="D1325" s="2" t="s">
        <v>197</v>
      </c>
      <c r="E1325" s="3">
        <v>4541</v>
      </c>
      <c r="F1325" s="8">
        <v>0.32479999999999998</v>
      </c>
      <c r="G1325" s="4">
        <v>64.835300000000004</v>
      </c>
      <c r="H1325" s="4">
        <v>61.3324</v>
      </c>
      <c r="I1325" s="4">
        <v>11.525</v>
      </c>
      <c r="J1325" s="4">
        <v>11.775</v>
      </c>
      <c r="K1325" s="4">
        <v>10.612500000000001</v>
      </c>
      <c r="L1325" s="4">
        <v>11.21</v>
      </c>
      <c r="M1325" s="7">
        <v>-2.7300000000000001E-2</v>
      </c>
    </row>
    <row r="1326" spans="1:13" x14ac:dyDescent="0.2">
      <c r="A1326" s="6">
        <v>45869</v>
      </c>
      <c r="B1326" s="2" t="s">
        <v>227</v>
      </c>
      <c r="C1326" s="5">
        <v>45839</v>
      </c>
      <c r="D1326" s="2" t="s">
        <v>197</v>
      </c>
      <c r="E1326" s="3">
        <v>4538</v>
      </c>
      <c r="F1326" s="8">
        <v>0.34860000000000002</v>
      </c>
      <c r="G1326" s="4">
        <v>74.280799999999999</v>
      </c>
      <c r="H1326" s="4">
        <v>73.022000000000006</v>
      </c>
      <c r="I1326" s="4">
        <v>11.205</v>
      </c>
      <c r="J1326" s="4">
        <v>12.12</v>
      </c>
      <c r="K1326" s="4">
        <v>11.205</v>
      </c>
      <c r="L1326" s="4">
        <v>11.54</v>
      </c>
      <c r="M1326" s="7">
        <v>2.9899999999999999E-2</v>
      </c>
    </row>
    <row r="1327" spans="1:13" x14ac:dyDescent="0.2">
      <c r="A1327" s="6">
        <v>45870</v>
      </c>
      <c r="B1327" s="2" t="s">
        <v>225</v>
      </c>
      <c r="C1327" s="5">
        <v>45870</v>
      </c>
      <c r="D1327" s="2" t="s">
        <v>197</v>
      </c>
      <c r="E1327" s="3">
        <v>4569</v>
      </c>
      <c r="F1327" s="8">
        <v>0.36209999999999998</v>
      </c>
      <c r="G1327" s="4">
        <v>79.578000000000003</v>
      </c>
      <c r="H1327" s="4">
        <v>78.128299999999996</v>
      </c>
      <c r="I1327" s="4">
        <v>11.5425</v>
      </c>
      <c r="J1327" s="4">
        <v>12.11</v>
      </c>
      <c r="K1327" s="4">
        <v>11.4025</v>
      </c>
      <c r="L1327" s="4">
        <v>11.98</v>
      </c>
      <c r="M1327" s="7">
        <v>3.7900000000000003E-2</v>
      </c>
    </row>
    <row r="1328" spans="1:13" x14ac:dyDescent="0.2">
      <c r="A1328" s="6">
        <v>45873</v>
      </c>
      <c r="B1328" s="2" t="s">
        <v>228</v>
      </c>
      <c r="C1328" s="5">
        <v>45870</v>
      </c>
      <c r="D1328" s="2" t="s">
        <v>197</v>
      </c>
      <c r="E1328" s="3">
        <v>4716</v>
      </c>
      <c r="F1328" s="8">
        <v>0.31019999999999998</v>
      </c>
      <c r="G1328" s="4">
        <v>73.257999999999996</v>
      </c>
      <c r="H1328" s="4">
        <v>64.007000000000005</v>
      </c>
      <c r="I1328" s="4">
        <v>11.975</v>
      </c>
      <c r="J1328" s="4">
        <v>12.63</v>
      </c>
      <c r="K1328" s="4">
        <v>11.8025</v>
      </c>
      <c r="L1328" s="4">
        <v>11.97</v>
      </c>
      <c r="M1328" s="7">
        <v>-4.0000000000000002E-4</v>
      </c>
    </row>
    <row r="1329" spans="1:13" x14ac:dyDescent="0.2">
      <c r="A1329" s="6">
        <v>45874</v>
      </c>
      <c r="B1329" s="2" t="s">
        <v>226</v>
      </c>
      <c r="C1329" s="5">
        <v>45870</v>
      </c>
      <c r="D1329" s="2" t="s">
        <v>197</v>
      </c>
      <c r="E1329" s="3">
        <v>4606</v>
      </c>
      <c r="F1329" s="8">
        <v>0.2994</v>
      </c>
      <c r="G1329" s="4">
        <v>73.506200000000007</v>
      </c>
      <c r="H1329" s="4">
        <v>104.63590000000001</v>
      </c>
      <c r="I1329" s="4">
        <v>11.967499999999999</v>
      </c>
      <c r="J1329" s="4">
        <v>12.1775</v>
      </c>
      <c r="K1329" s="4">
        <v>11.64</v>
      </c>
      <c r="L1329" s="4">
        <v>11.71</v>
      </c>
      <c r="M1329" s="7">
        <v>-2.1499999999999998E-2</v>
      </c>
    </row>
    <row r="1330" spans="1:13" x14ac:dyDescent="0.2">
      <c r="A1330" s="6">
        <v>45875</v>
      </c>
      <c r="B1330" s="2" t="s">
        <v>224</v>
      </c>
      <c r="C1330" s="5">
        <v>45870</v>
      </c>
      <c r="D1330" s="2" t="s">
        <v>197</v>
      </c>
      <c r="E1330" s="3">
        <v>4630</v>
      </c>
      <c r="F1330" s="8">
        <v>0.4113</v>
      </c>
      <c r="G1330" s="4">
        <v>87.066400000000002</v>
      </c>
      <c r="H1330" s="4">
        <v>103.75279999999999</v>
      </c>
      <c r="I1330" s="4">
        <v>11.7125</v>
      </c>
      <c r="J1330" s="4">
        <v>12.047499999999999</v>
      </c>
      <c r="K1330" s="4">
        <v>10.657500000000001</v>
      </c>
      <c r="L1330" s="4">
        <v>11.96</v>
      </c>
      <c r="M1330" s="7">
        <v>2.1100000000000001E-2</v>
      </c>
    </row>
    <row r="1331" spans="1:13" x14ac:dyDescent="0.2">
      <c r="A1331" s="6">
        <v>45876</v>
      </c>
      <c r="B1331" s="2" t="s">
        <v>227</v>
      </c>
      <c r="C1331" s="5">
        <v>45870</v>
      </c>
      <c r="D1331" s="2" t="s">
        <v>197</v>
      </c>
      <c r="E1331" s="3">
        <v>4628</v>
      </c>
      <c r="F1331" s="8">
        <v>0.42770000000000002</v>
      </c>
      <c r="G1331" s="4">
        <v>76.1952</v>
      </c>
      <c r="H1331" s="4">
        <v>119.1833</v>
      </c>
      <c r="I1331" s="4">
        <v>11.96</v>
      </c>
      <c r="J1331" s="4">
        <v>12.307499999999999</v>
      </c>
      <c r="K1331" s="4">
        <v>11.555</v>
      </c>
      <c r="L1331" s="4">
        <v>11.69</v>
      </c>
      <c r="M1331" s="7">
        <v>-2.2599999999999999E-2</v>
      </c>
    </row>
    <row r="1332" spans="1:13" x14ac:dyDescent="0.2">
      <c r="A1332" s="6">
        <v>45877</v>
      </c>
      <c r="B1332" s="2" t="s">
        <v>225</v>
      </c>
      <c r="C1332" s="5">
        <v>45870</v>
      </c>
      <c r="D1332" s="2" t="s">
        <v>197</v>
      </c>
      <c r="E1332" s="3">
        <v>4564</v>
      </c>
      <c r="F1332" s="8">
        <v>0.42909999999999998</v>
      </c>
      <c r="G1332" s="4">
        <v>78.818200000000004</v>
      </c>
      <c r="H1332" s="4">
        <v>155.24029999999999</v>
      </c>
      <c r="I1332" s="4">
        <v>11.6875</v>
      </c>
      <c r="J1332" s="4">
        <v>12.1975</v>
      </c>
      <c r="K1332" s="4">
        <v>10.897500000000001</v>
      </c>
      <c r="L1332" s="4">
        <v>12.03</v>
      </c>
      <c r="M1332" s="7">
        <v>2.93E-2</v>
      </c>
    </row>
    <row r="1333" spans="1:13" x14ac:dyDescent="0.2">
      <c r="A1333" s="6">
        <v>45880</v>
      </c>
      <c r="B1333" s="2" t="s">
        <v>228</v>
      </c>
      <c r="C1333" s="5">
        <v>45870</v>
      </c>
      <c r="D1333" s="2" t="s">
        <v>197</v>
      </c>
      <c r="E1333" s="3">
        <v>4771</v>
      </c>
      <c r="F1333" s="8">
        <v>0.41399999999999998</v>
      </c>
      <c r="G1333" s="4">
        <v>81.623500000000007</v>
      </c>
      <c r="H1333" s="4">
        <v>116.786</v>
      </c>
      <c r="I1333" s="4">
        <v>12.032500000000001</v>
      </c>
      <c r="J1333" s="4">
        <v>12.73</v>
      </c>
      <c r="K1333" s="4">
        <v>12.032500000000001</v>
      </c>
      <c r="L1333" s="4">
        <v>12.22</v>
      </c>
      <c r="M1333" s="7">
        <v>1.5599999999999999E-2</v>
      </c>
    </row>
    <row r="1334" spans="1:13" x14ac:dyDescent="0.2">
      <c r="A1334" s="6">
        <v>45881</v>
      </c>
      <c r="B1334" s="2" t="s">
        <v>226</v>
      </c>
      <c r="C1334" s="5">
        <v>45870</v>
      </c>
      <c r="D1334" s="2" t="s">
        <v>197</v>
      </c>
      <c r="E1334" s="3">
        <v>4595</v>
      </c>
      <c r="F1334" s="8">
        <v>0.34710000000000002</v>
      </c>
      <c r="G1334" s="4">
        <v>79.9465</v>
      </c>
      <c r="H1334" s="4">
        <v>80.350700000000003</v>
      </c>
      <c r="I1334" s="4">
        <v>12.217499999999999</v>
      </c>
      <c r="J1334" s="4">
        <v>12.422499999999999</v>
      </c>
      <c r="K1334" s="4">
        <v>11.595000000000001</v>
      </c>
      <c r="L1334" s="4">
        <v>12.23</v>
      </c>
      <c r="M1334" s="7">
        <v>1E-3</v>
      </c>
    </row>
    <row r="1335" spans="1:13" x14ac:dyDescent="0.2">
      <c r="A1335" s="6">
        <v>45882</v>
      </c>
      <c r="B1335" s="2" t="s">
        <v>224</v>
      </c>
      <c r="C1335" s="5">
        <v>45870</v>
      </c>
      <c r="D1335" s="2" t="s">
        <v>197</v>
      </c>
      <c r="E1335" s="3">
        <v>4578</v>
      </c>
      <c r="F1335" s="8">
        <v>0.35020000000000001</v>
      </c>
      <c r="G1335" s="4">
        <v>87.916499999999999</v>
      </c>
      <c r="H1335" s="4">
        <v>83.947900000000004</v>
      </c>
      <c r="I1335" s="4">
        <v>12.2325</v>
      </c>
      <c r="J1335" s="4">
        <v>12.352499999999999</v>
      </c>
      <c r="K1335" s="4">
        <v>10.7775</v>
      </c>
      <c r="L1335" s="4">
        <v>12.14</v>
      </c>
      <c r="M1335" s="7">
        <v>-7.6E-3</v>
      </c>
    </row>
    <row r="1336" spans="1:13" x14ac:dyDescent="0.2">
      <c r="A1336" s="6">
        <v>45883</v>
      </c>
      <c r="B1336" s="2" t="s">
        <v>227</v>
      </c>
      <c r="C1336" s="5">
        <v>45870</v>
      </c>
      <c r="D1336" s="2" t="s">
        <v>197</v>
      </c>
      <c r="E1336" s="3">
        <v>4580</v>
      </c>
      <c r="F1336" s="8">
        <v>0.32550000000000001</v>
      </c>
      <c r="G1336" s="4">
        <v>87.309600000000003</v>
      </c>
      <c r="H1336" s="4">
        <v>78.127499999999998</v>
      </c>
      <c r="I1336" s="4">
        <v>12.14</v>
      </c>
      <c r="J1336" s="4">
        <v>12.47</v>
      </c>
      <c r="K1336" s="4">
        <v>11.4725</v>
      </c>
      <c r="L1336" s="4">
        <v>12.36</v>
      </c>
      <c r="M1336" s="7">
        <v>1.8100000000000002E-2</v>
      </c>
    </row>
    <row r="1337" spans="1:13" x14ac:dyDescent="0.2">
      <c r="A1337" s="6">
        <v>45887</v>
      </c>
      <c r="B1337" s="2" t="s">
        <v>228</v>
      </c>
      <c r="C1337" s="5">
        <v>45870</v>
      </c>
      <c r="D1337" s="2" t="s">
        <v>197</v>
      </c>
      <c r="E1337" s="3">
        <v>4777</v>
      </c>
      <c r="F1337" s="8">
        <v>0.3644</v>
      </c>
      <c r="G1337" s="4">
        <v>91.740099999999998</v>
      </c>
      <c r="H1337" s="4">
        <v>89.034899999999993</v>
      </c>
      <c r="I1337" s="4">
        <v>12.355</v>
      </c>
      <c r="J1337" s="4">
        <v>13.465</v>
      </c>
      <c r="K1337" s="4">
        <v>11.75</v>
      </c>
      <c r="L1337" s="4">
        <v>12.34</v>
      </c>
      <c r="M1337" s="7">
        <v>-1.1999999999999999E-3</v>
      </c>
    </row>
    <row r="1338" spans="1:13" x14ac:dyDescent="0.2">
      <c r="A1338" s="6">
        <v>45888</v>
      </c>
      <c r="B1338" s="2" t="s">
        <v>226</v>
      </c>
      <c r="C1338" s="5">
        <v>45870</v>
      </c>
      <c r="D1338" s="2" t="s">
        <v>197</v>
      </c>
      <c r="E1338" s="3">
        <v>4606</v>
      </c>
      <c r="F1338" s="8">
        <v>0.33389999999999997</v>
      </c>
      <c r="G1338" s="4">
        <v>96.864999999999995</v>
      </c>
      <c r="H1338" s="4">
        <v>72.079599999999999</v>
      </c>
      <c r="I1338" s="4">
        <v>12.34</v>
      </c>
      <c r="J1338" s="4">
        <v>12.34</v>
      </c>
      <c r="K1338" s="4">
        <v>11.76</v>
      </c>
      <c r="L1338" s="4">
        <v>11.79</v>
      </c>
      <c r="M1338" s="7">
        <v>-4.4600000000000001E-2</v>
      </c>
    </row>
    <row r="1339" spans="1:13" x14ac:dyDescent="0.2">
      <c r="A1339" s="6">
        <v>45889</v>
      </c>
      <c r="B1339" s="2" t="s">
        <v>224</v>
      </c>
      <c r="C1339" s="5">
        <v>45870</v>
      </c>
      <c r="D1339" s="2" t="s">
        <v>197</v>
      </c>
      <c r="E1339" s="3">
        <v>4652</v>
      </c>
      <c r="F1339" s="8">
        <v>0.33550000000000002</v>
      </c>
      <c r="G1339" s="4">
        <v>92.707999999999998</v>
      </c>
      <c r="H1339" s="4">
        <v>69.018299999999996</v>
      </c>
      <c r="I1339" s="4">
        <v>11.79</v>
      </c>
      <c r="J1339" s="4">
        <v>11.99</v>
      </c>
      <c r="K1339" s="4">
        <v>10.185</v>
      </c>
      <c r="L1339" s="4">
        <v>11.79</v>
      </c>
      <c r="M1339" s="7">
        <v>0</v>
      </c>
    </row>
    <row r="1340" spans="1:13" x14ac:dyDescent="0.2">
      <c r="A1340" s="6">
        <v>45890</v>
      </c>
      <c r="B1340" s="2" t="s">
        <v>227</v>
      </c>
      <c r="C1340" s="5">
        <v>45870</v>
      </c>
      <c r="D1340" s="2" t="s">
        <v>197</v>
      </c>
      <c r="E1340" s="3">
        <v>4612</v>
      </c>
      <c r="F1340" s="8">
        <v>0.38229999999999997</v>
      </c>
      <c r="G1340" s="4">
        <v>97.242500000000007</v>
      </c>
      <c r="H1340" s="4">
        <v>166.71299999999999</v>
      </c>
      <c r="I1340" s="4">
        <v>11.785</v>
      </c>
      <c r="J1340" s="4">
        <v>11.8925</v>
      </c>
      <c r="K1340" s="4">
        <v>10.0875</v>
      </c>
      <c r="L1340" s="4">
        <v>11.37</v>
      </c>
      <c r="M1340" s="7">
        <v>-3.5200000000000002E-2</v>
      </c>
    </row>
    <row r="1341" spans="1:13" x14ac:dyDescent="0.2">
      <c r="A1341" s="6">
        <v>45891</v>
      </c>
      <c r="B1341" s="2" t="s">
        <v>225</v>
      </c>
      <c r="C1341" s="5">
        <v>45870</v>
      </c>
      <c r="D1341" s="2" t="s">
        <v>197</v>
      </c>
      <c r="E1341" s="3">
        <v>4600</v>
      </c>
      <c r="F1341" s="8">
        <v>0.31740000000000002</v>
      </c>
      <c r="G1341" s="4">
        <v>115.8129</v>
      </c>
      <c r="H1341" s="4">
        <v>67.239599999999996</v>
      </c>
      <c r="I1341" s="4">
        <v>11.3725</v>
      </c>
      <c r="J1341" s="4">
        <v>11.785</v>
      </c>
      <c r="K1341" s="4">
        <v>10.695</v>
      </c>
      <c r="L1341" s="4">
        <v>11.73</v>
      </c>
      <c r="M1341" s="7">
        <v>3.1399999999999997E-2</v>
      </c>
    </row>
    <row r="1342" spans="1:13" x14ac:dyDescent="0.2">
      <c r="A1342" s="6">
        <v>45894</v>
      </c>
      <c r="B1342" s="2" t="s">
        <v>228</v>
      </c>
      <c r="C1342" s="5">
        <v>45870</v>
      </c>
      <c r="D1342" s="2" t="s">
        <v>197</v>
      </c>
      <c r="E1342" s="3">
        <v>4784</v>
      </c>
      <c r="F1342" s="8">
        <v>0.34489999999999998</v>
      </c>
      <c r="G1342" s="4">
        <v>107.09650000000001</v>
      </c>
      <c r="H1342" s="4">
        <v>71.328000000000003</v>
      </c>
      <c r="I1342" s="4">
        <v>11.727499999999999</v>
      </c>
      <c r="J1342" s="4">
        <v>12.3475</v>
      </c>
      <c r="K1342" s="4">
        <v>11.545</v>
      </c>
      <c r="L1342" s="4">
        <v>11.76</v>
      </c>
      <c r="M1342" s="7">
        <v>2.8E-3</v>
      </c>
    </row>
    <row r="1343" spans="1:13" x14ac:dyDescent="0.2">
      <c r="A1343" s="6">
        <v>45895</v>
      </c>
      <c r="B1343" s="2" t="s">
        <v>226</v>
      </c>
      <c r="C1343" s="5">
        <v>45870</v>
      </c>
      <c r="D1343" s="2" t="s">
        <v>197</v>
      </c>
      <c r="E1343" s="3">
        <v>4606</v>
      </c>
      <c r="F1343" s="8">
        <v>0.39340000000000003</v>
      </c>
      <c r="G1343" s="4">
        <v>107.8254</v>
      </c>
      <c r="H1343" s="4">
        <v>82.415000000000006</v>
      </c>
      <c r="I1343" s="4">
        <v>11.7575</v>
      </c>
      <c r="J1343" s="4">
        <v>12.547499999999999</v>
      </c>
      <c r="K1343" s="4">
        <v>10.9275</v>
      </c>
      <c r="L1343" s="4">
        <v>12.19</v>
      </c>
      <c r="M1343" s="7">
        <v>3.6799999999999999E-2</v>
      </c>
    </row>
    <row r="1344" spans="1:13" x14ac:dyDescent="0.2">
      <c r="A1344" s="6">
        <v>45897</v>
      </c>
      <c r="B1344" s="2" t="s">
        <v>227</v>
      </c>
      <c r="C1344" s="5">
        <v>45870</v>
      </c>
      <c r="D1344" s="2" t="s">
        <v>197</v>
      </c>
      <c r="E1344" s="3">
        <v>4623</v>
      </c>
      <c r="F1344" s="8">
        <v>0.33200000000000002</v>
      </c>
      <c r="G1344" s="4">
        <v>88.871300000000005</v>
      </c>
      <c r="H1344" s="4">
        <v>75.162599999999998</v>
      </c>
      <c r="I1344" s="4">
        <v>12.192500000000001</v>
      </c>
      <c r="J1344" s="4">
        <v>13.145</v>
      </c>
      <c r="K1344" s="4">
        <v>11.574999999999999</v>
      </c>
      <c r="L1344" s="4">
        <v>12.18</v>
      </c>
      <c r="M1344" s="7">
        <v>-1E-3</v>
      </c>
    </row>
    <row r="1345" spans="1:13" x14ac:dyDescent="0.2">
      <c r="A1345" s="6">
        <v>45898</v>
      </c>
      <c r="B1345" s="2" t="s">
        <v>225</v>
      </c>
      <c r="C1345" s="5">
        <v>45870</v>
      </c>
      <c r="D1345" s="2" t="s">
        <v>197</v>
      </c>
      <c r="E1345" s="3">
        <v>4582</v>
      </c>
      <c r="F1345" s="8">
        <v>0.3246</v>
      </c>
      <c r="G1345" s="4">
        <v>94.806200000000004</v>
      </c>
      <c r="H1345" s="4">
        <v>65.509600000000006</v>
      </c>
      <c r="I1345" s="4">
        <v>12.1775</v>
      </c>
      <c r="J1345" s="4">
        <v>12.202500000000001</v>
      </c>
      <c r="K1345" s="4">
        <v>11.592499999999999</v>
      </c>
      <c r="L1345" s="4">
        <v>11.75</v>
      </c>
      <c r="M1345" s="7">
        <v>-3.5099999999999999E-2</v>
      </c>
    </row>
    <row r="1346" spans="1:13" x14ac:dyDescent="0.2">
      <c r="A1346" s="6">
        <v>45901</v>
      </c>
      <c r="B1346" s="2" t="s">
        <v>228</v>
      </c>
      <c r="C1346" s="5">
        <v>45901</v>
      </c>
      <c r="D1346" s="2" t="s">
        <v>197</v>
      </c>
      <c r="E1346" s="3">
        <v>4783</v>
      </c>
      <c r="F1346" s="8">
        <v>0.31769999999999998</v>
      </c>
      <c r="G1346" s="4">
        <v>110.65470000000001</v>
      </c>
      <c r="H1346" s="4">
        <v>62.301499999999997</v>
      </c>
      <c r="I1346" s="4">
        <v>11.7525</v>
      </c>
      <c r="J1346" s="4">
        <v>12.195</v>
      </c>
      <c r="K1346" s="4">
        <v>11.234999999999999</v>
      </c>
      <c r="L1346" s="4">
        <v>11.29</v>
      </c>
      <c r="M1346" s="7">
        <v>-3.9399999999999998E-2</v>
      </c>
    </row>
    <row r="1347" spans="1:13" x14ac:dyDescent="0.2">
      <c r="A1347" s="6">
        <v>45902</v>
      </c>
      <c r="B1347" s="2" t="s">
        <v>226</v>
      </c>
      <c r="C1347" s="5">
        <v>45901</v>
      </c>
      <c r="D1347" s="2" t="s">
        <v>197</v>
      </c>
      <c r="E1347" s="3">
        <v>4685</v>
      </c>
      <c r="F1347" s="8">
        <v>0.39350000000000002</v>
      </c>
      <c r="G1347" s="4">
        <v>139.0104</v>
      </c>
      <c r="H1347" s="4">
        <v>68.951099999999997</v>
      </c>
      <c r="I1347" s="4">
        <v>11.2925</v>
      </c>
      <c r="J1347" s="4">
        <v>11.782500000000001</v>
      </c>
      <c r="K1347" s="4">
        <v>10.78</v>
      </c>
      <c r="L1347" s="4">
        <v>11.4</v>
      </c>
      <c r="M1347" s="7">
        <v>9.4999999999999998E-3</v>
      </c>
    </row>
    <row r="1348" spans="1:13" x14ac:dyDescent="0.2">
      <c r="A1348" s="6">
        <v>45903</v>
      </c>
      <c r="B1348" s="2" t="s">
        <v>224</v>
      </c>
      <c r="C1348" s="5">
        <v>45901</v>
      </c>
      <c r="D1348" s="2" t="s">
        <v>197</v>
      </c>
      <c r="E1348" s="3">
        <v>4667</v>
      </c>
      <c r="F1348" s="8">
        <v>0.36630000000000001</v>
      </c>
      <c r="G1348" s="4">
        <v>125.32940000000001</v>
      </c>
      <c r="H1348" s="4">
        <v>78.044899999999998</v>
      </c>
      <c r="I1348" s="4">
        <v>11.4</v>
      </c>
      <c r="J1348" s="4">
        <v>11.577500000000001</v>
      </c>
      <c r="K1348" s="4">
        <v>10.85</v>
      </c>
      <c r="L1348" s="4">
        <v>10.93</v>
      </c>
      <c r="M1348" s="7">
        <v>-4.1200000000000001E-2</v>
      </c>
    </row>
    <row r="1349" spans="1:13" x14ac:dyDescent="0.2">
      <c r="A1349" s="6">
        <v>45904</v>
      </c>
      <c r="B1349" s="2" t="s">
        <v>227</v>
      </c>
      <c r="C1349" s="5">
        <v>45901</v>
      </c>
      <c r="D1349" s="2" t="s">
        <v>197</v>
      </c>
      <c r="E1349" s="3">
        <v>4651</v>
      </c>
      <c r="F1349" s="8">
        <v>0.4</v>
      </c>
      <c r="G1349" s="4">
        <v>145.9066</v>
      </c>
      <c r="H1349" s="4">
        <v>85.072000000000003</v>
      </c>
      <c r="I1349" s="4">
        <v>10.93</v>
      </c>
      <c r="J1349" s="4">
        <v>11.237500000000001</v>
      </c>
      <c r="K1349" s="4">
        <v>10.4925</v>
      </c>
      <c r="L1349" s="4">
        <v>10.85</v>
      </c>
      <c r="M1349" s="7">
        <v>-7.3000000000000001E-3</v>
      </c>
    </row>
    <row r="1350" spans="1:13" x14ac:dyDescent="0.2">
      <c r="A1350" s="6">
        <v>45905</v>
      </c>
      <c r="B1350" s="2" t="s">
        <v>225</v>
      </c>
      <c r="C1350" s="5">
        <v>45901</v>
      </c>
      <c r="D1350" s="2" t="s">
        <v>197</v>
      </c>
      <c r="E1350" s="3">
        <v>4606</v>
      </c>
      <c r="F1350" s="8">
        <v>0.3649</v>
      </c>
      <c r="G1350" s="4">
        <v>131.1567</v>
      </c>
      <c r="H1350" s="4">
        <v>73.173299999999998</v>
      </c>
      <c r="I1350" s="4">
        <v>10.852499999999999</v>
      </c>
      <c r="J1350" s="4">
        <v>11.435</v>
      </c>
      <c r="K1350" s="4">
        <v>9.9525000000000006</v>
      </c>
      <c r="L1350" s="4">
        <v>10.78</v>
      </c>
      <c r="M1350" s="7">
        <v>-6.7000000000000002E-3</v>
      </c>
    </row>
    <row r="1351" spans="1:13" x14ac:dyDescent="0.2">
      <c r="A1351" s="6">
        <v>45908</v>
      </c>
      <c r="B1351" s="2" t="s">
        <v>228</v>
      </c>
      <c r="C1351" s="5">
        <v>45901</v>
      </c>
      <c r="D1351" s="2" t="s">
        <v>197</v>
      </c>
      <c r="E1351" s="3">
        <v>4789</v>
      </c>
      <c r="F1351" s="8">
        <v>0.37669999999999998</v>
      </c>
      <c r="G1351" s="4">
        <v>107.27330000000001</v>
      </c>
      <c r="H1351" s="4">
        <v>73.883300000000006</v>
      </c>
      <c r="I1351" s="4">
        <v>10.78</v>
      </c>
      <c r="J1351" s="4">
        <v>11.0825</v>
      </c>
      <c r="K1351" s="4">
        <v>10.42</v>
      </c>
      <c r="L1351" s="4">
        <v>10.84</v>
      </c>
      <c r="M1351" s="7">
        <v>5.5999999999999999E-3</v>
      </c>
    </row>
    <row r="1352" spans="1:13" x14ac:dyDescent="0.2">
      <c r="A1352" s="6">
        <v>45909</v>
      </c>
      <c r="B1352" s="2" t="s">
        <v>226</v>
      </c>
      <c r="C1352" s="5">
        <v>45901</v>
      </c>
      <c r="D1352" s="2" t="s">
        <v>197</v>
      </c>
      <c r="E1352" s="3">
        <v>4656</v>
      </c>
      <c r="F1352" s="8">
        <v>0.34970000000000001</v>
      </c>
      <c r="G1352" s="4">
        <v>84.826800000000006</v>
      </c>
      <c r="H1352" s="4">
        <v>70.685900000000004</v>
      </c>
      <c r="I1352" s="4">
        <v>10.8375</v>
      </c>
      <c r="J1352" s="4">
        <v>11.45</v>
      </c>
      <c r="K1352" s="4">
        <v>9.8524999999999991</v>
      </c>
      <c r="L1352" s="4">
        <v>10.69</v>
      </c>
      <c r="M1352" s="7">
        <v>-1.3599999999999999E-2</v>
      </c>
    </row>
    <row r="1353" spans="1:13" x14ac:dyDescent="0.2">
      <c r="A1353" s="6">
        <v>45910</v>
      </c>
      <c r="B1353" s="2" t="s">
        <v>224</v>
      </c>
      <c r="C1353" s="5">
        <v>45901</v>
      </c>
      <c r="D1353" s="2" t="s">
        <v>197</v>
      </c>
      <c r="E1353" s="3">
        <v>4654</v>
      </c>
      <c r="F1353" s="8">
        <v>0.40489999999999998</v>
      </c>
      <c r="G1353" s="4">
        <v>128.5556</v>
      </c>
      <c r="H1353" s="4">
        <v>80.977800000000002</v>
      </c>
      <c r="I1353" s="4">
        <v>10.685</v>
      </c>
      <c r="J1353" s="4">
        <v>10.84</v>
      </c>
      <c r="K1353" s="4">
        <v>10.2475</v>
      </c>
      <c r="L1353" s="4">
        <v>10.54</v>
      </c>
      <c r="M1353" s="7">
        <v>-1.3599999999999999E-2</v>
      </c>
    </row>
    <row r="1354" spans="1:13" x14ac:dyDescent="0.2">
      <c r="A1354" s="6">
        <v>45911</v>
      </c>
      <c r="B1354" s="2" t="s">
        <v>227</v>
      </c>
      <c r="C1354" s="5">
        <v>45901</v>
      </c>
      <c r="D1354" s="2" t="s">
        <v>197</v>
      </c>
      <c r="E1354" s="3">
        <v>4672</v>
      </c>
      <c r="F1354" s="8">
        <v>0.42480000000000001</v>
      </c>
      <c r="G1354" s="4">
        <v>103.34139999999999</v>
      </c>
      <c r="H1354" s="4">
        <v>102.2055</v>
      </c>
      <c r="I1354" s="4">
        <v>10.5375</v>
      </c>
      <c r="J1354" s="4">
        <v>10.7775</v>
      </c>
      <c r="K1354" s="4">
        <v>10.182499999999999</v>
      </c>
      <c r="L1354" s="4">
        <v>10.36</v>
      </c>
      <c r="M1354" s="7">
        <v>-1.6799999999999999E-2</v>
      </c>
    </row>
    <row r="1355" spans="1:13" x14ac:dyDescent="0.2">
      <c r="A1355" s="6">
        <v>45912</v>
      </c>
      <c r="B1355" s="2" t="s">
        <v>225</v>
      </c>
      <c r="C1355" s="5">
        <v>45901</v>
      </c>
      <c r="D1355" s="2" t="s">
        <v>197</v>
      </c>
      <c r="E1355" s="3">
        <v>4671</v>
      </c>
      <c r="F1355" s="8">
        <v>0.37190000000000001</v>
      </c>
      <c r="G1355" s="4">
        <v>114.3818</v>
      </c>
      <c r="H1355" s="4">
        <v>73.2911</v>
      </c>
      <c r="I1355" s="4">
        <v>10.36</v>
      </c>
      <c r="J1355" s="4">
        <v>10.36</v>
      </c>
      <c r="K1355" s="4">
        <v>9.85</v>
      </c>
      <c r="L1355" s="4">
        <v>10.119999999999999</v>
      </c>
      <c r="M1355" s="7">
        <v>-2.3199999999999998E-2</v>
      </c>
    </row>
    <row r="1356" spans="1:13" x14ac:dyDescent="0.2">
      <c r="A1356" s="6">
        <v>45915</v>
      </c>
      <c r="B1356" s="2" t="s">
        <v>228</v>
      </c>
      <c r="C1356" s="5">
        <v>45901</v>
      </c>
      <c r="D1356" s="2" t="s">
        <v>197</v>
      </c>
      <c r="E1356" s="3">
        <v>4789</v>
      </c>
      <c r="F1356" s="8">
        <v>0.38519999999999999</v>
      </c>
      <c r="G1356" s="4">
        <v>109.3723</v>
      </c>
      <c r="H1356" s="4">
        <v>74.364900000000006</v>
      </c>
      <c r="I1356" s="4">
        <v>10.1225</v>
      </c>
      <c r="J1356" s="4">
        <v>10.682499999999999</v>
      </c>
      <c r="K1356" s="4">
        <v>9.9024999999999999</v>
      </c>
      <c r="L1356" s="4">
        <v>10.4</v>
      </c>
      <c r="M1356" s="7">
        <v>2.7400000000000001E-2</v>
      </c>
    </row>
    <row r="1357" spans="1:13" x14ac:dyDescent="0.2">
      <c r="A1357" s="6">
        <v>45916</v>
      </c>
      <c r="B1357" s="2" t="s">
        <v>226</v>
      </c>
      <c r="C1357" s="5">
        <v>45901</v>
      </c>
      <c r="D1357" s="2" t="s">
        <v>197</v>
      </c>
      <c r="E1357" s="3">
        <v>4705</v>
      </c>
      <c r="F1357" s="8">
        <v>0.38090000000000002</v>
      </c>
      <c r="G1357" s="4">
        <v>140.1806</v>
      </c>
      <c r="H1357" s="4">
        <v>76.7971</v>
      </c>
      <c r="I1357" s="4">
        <v>10.397500000000001</v>
      </c>
      <c r="J1357" s="4">
        <v>10.5</v>
      </c>
      <c r="K1357" s="4">
        <v>9.7550000000000008</v>
      </c>
      <c r="L1357" s="4">
        <v>10.27</v>
      </c>
      <c r="M1357" s="7">
        <v>-1.23E-2</v>
      </c>
    </row>
    <row r="1358" spans="1:13" x14ac:dyDescent="0.2">
      <c r="A1358" s="6">
        <v>45917</v>
      </c>
      <c r="B1358" s="2" t="s">
        <v>224</v>
      </c>
      <c r="C1358" s="5">
        <v>45901</v>
      </c>
      <c r="D1358" s="2" t="s">
        <v>197</v>
      </c>
      <c r="E1358" s="3">
        <v>4721</v>
      </c>
      <c r="F1358" s="8">
        <v>0.41149999999999998</v>
      </c>
      <c r="G1358" s="4">
        <v>144.4682</v>
      </c>
      <c r="H1358" s="4">
        <v>84.638800000000003</v>
      </c>
      <c r="I1358" s="4">
        <v>10.272500000000001</v>
      </c>
      <c r="J1358" s="4">
        <v>10.3575</v>
      </c>
      <c r="K1358" s="4">
        <v>9.6150000000000002</v>
      </c>
      <c r="L1358" s="4">
        <v>10.25</v>
      </c>
      <c r="M1358" s="7">
        <v>-2.2000000000000001E-3</v>
      </c>
    </row>
    <row r="1359" spans="1:13" x14ac:dyDescent="0.2">
      <c r="A1359" s="6">
        <v>45918</v>
      </c>
      <c r="B1359" s="2" t="s">
        <v>227</v>
      </c>
      <c r="C1359" s="5">
        <v>45901</v>
      </c>
      <c r="D1359" s="2" t="s">
        <v>197</v>
      </c>
      <c r="E1359" s="3">
        <v>4752</v>
      </c>
      <c r="F1359" s="8">
        <v>0.41749999999999998</v>
      </c>
      <c r="G1359" s="4">
        <v>125.2119</v>
      </c>
      <c r="H1359" s="4">
        <v>84.612099999999998</v>
      </c>
      <c r="I1359" s="4">
        <v>10.2475</v>
      </c>
      <c r="J1359" s="4">
        <v>10.2475</v>
      </c>
      <c r="K1359" s="4">
        <v>9.4924999999999997</v>
      </c>
      <c r="L1359" s="4">
        <v>9.89</v>
      </c>
      <c r="M1359" s="7">
        <v>-3.49E-2</v>
      </c>
    </row>
    <row r="1360" spans="1:13" x14ac:dyDescent="0.2">
      <c r="A1360" s="6">
        <v>45919</v>
      </c>
      <c r="B1360" s="2" t="s">
        <v>225</v>
      </c>
      <c r="C1360" s="5">
        <v>45901</v>
      </c>
      <c r="D1360" s="2" t="s">
        <v>197</v>
      </c>
      <c r="E1360" s="3">
        <v>4671</v>
      </c>
      <c r="F1360" s="8">
        <v>0.4506</v>
      </c>
      <c r="G1360" s="4">
        <v>135.95609999999999</v>
      </c>
      <c r="H1360" s="4">
        <v>96.231399999999994</v>
      </c>
      <c r="I1360" s="4">
        <v>9.8849999999999998</v>
      </c>
      <c r="J1360" s="4">
        <v>10.255000000000001</v>
      </c>
      <c r="K1360" s="4">
        <v>9.3975000000000009</v>
      </c>
      <c r="L1360" s="4">
        <v>9.9700000000000006</v>
      </c>
      <c r="M1360" s="7">
        <v>8.6E-3</v>
      </c>
    </row>
    <row r="1361" spans="1:13" x14ac:dyDescent="0.2">
      <c r="A1361" s="6">
        <v>45922</v>
      </c>
      <c r="B1361" s="2" t="s">
        <v>228</v>
      </c>
      <c r="C1361" s="5">
        <v>45901</v>
      </c>
      <c r="D1361" s="2" t="s">
        <v>197</v>
      </c>
      <c r="E1361" s="3">
        <v>4841</v>
      </c>
      <c r="F1361" s="8">
        <v>0.41499999999999998</v>
      </c>
      <c r="G1361" s="4">
        <v>110.68510000000001</v>
      </c>
      <c r="H1361" s="4">
        <v>85.558199999999999</v>
      </c>
      <c r="I1361" s="4">
        <v>9.9674999999999994</v>
      </c>
      <c r="J1361" s="4">
        <v>10.7325</v>
      </c>
      <c r="K1361" s="4">
        <v>9.9674999999999994</v>
      </c>
      <c r="L1361" s="4">
        <v>10.56</v>
      </c>
      <c r="M1361" s="7">
        <v>5.9400000000000001E-2</v>
      </c>
    </row>
    <row r="1362" spans="1:13" x14ac:dyDescent="0.2">
      <c r="A1362" s="6">
        <v>45923</v>
      </c>
      <c r="B1362" s="2" t="s">
        <v>226</v>
      </c>
      <c r="C1362" s="5">
        <v>45901</v>
      </c>
      <c r="D1362" s="2" t="s">
        <v>197</v>
      </c>
      <c r="E1362" s="3">
        <v>4652</v>
      </c>
      <c r="F1362" s="8">
        <v>0.37290000000000001</v>
      </c>
      <c r="G1362" s="4">
        <v>121.6418</v>
      </c>
      <c r="H1362" s="4">
        <v>76.635300000000001</v>
      </c>
      <c r="I1362" s="4">
        <v>10.557499999999999</v>
      </c>
      <c r="J1362" s="4">
        <v>10.9025</v>
      </c>
      <c r="K1362" s="4">
        <v>9.9625000000000004</v>
      </c>
      <c r="L1362" s="4">
        <v>10.63</v>
      </c>
      <c r="M1362" s="7">
        <v>6.8999999999999999E-3</v>
      </c>
    </row>
    <row r="1363" spans="1:13" x14ac:dyDescent="0.2">
      <c r="A1363" s="6">
        <v>45924</v>
      </c>
      <c r="B1363" s="2" t="s">
        <v>224</v>
      </c>
      <c r="C1363" s="5">
        <v>45901</v>
      </c>
      <c r="D1363" s="2" t="s">
        <v>197</v>
      </c>
      <c r="E1363" s="3">
        <v>4692</v>
      </c>
      <c r="F1363" s="8">
        <v>0.3836</v>
      </c>
      <c r="G1363" s="4">
        <v>101.9085</v>
      </c>
      <c r="H1363" s="4">
        <v>78.0441</v>
      </c>
      <c r="I1363" s="4">
        <v>10.625</v>
      </c>
      <c r="J1363" s="4">
        <v>10.8925</v>
      </c>
      <c r="K1363" s="4">
        <v>10.112500000000001</v>
      </c>
      <c r="L1363" s="4">
        <v>10.52</v>
      </c>
      <c r="M1363" s="7">
        <v>-9.9000000000000008E-3</v>
      </c>
    </row>
    <row r="1364" spans="1:13" x14ac:dyDescent="0.2">
      <c r="A1364" s="6">
        <v>45925</v>
      </c>
      <c r="B1364" s="2" t="s">
        <v>227</v>
      </c>
      <c r="C1364" s="5">
        <v>45901</v>
      </c>
      <c r="D1364" s="2" t="s">
        <v>197</v>
      </c>
      <c r="E1364" s="3">
        <v>4689</v>
      </c>
      <c r="F1364" s="8">
        <v>0.38779999999999998</v>
      </c>
      <c r="G1364" s="4">
        <v>94.742400000000004</v>
      </c>
      <c r="H1364" s="4">
        <v>71.8857</v>
      </c>
      <c r="I1364" s="4">
        <v>10.522500000000001</v>
      </c>
      <c r="J1364" s="4">
        <v>10.897500000000001</v>
      </c>
      <c r="K1364" s="4">
        <v>10.285</v>
      </c>
      <c r="L1364" s="4">
        <v>10.78</v>
      </c>
      <c r="M1364" s="7">
        <v>2.4500000000000001E-2</v>
      </c>
    </row>
    <row r="1365" spans="1:13" x14ac:dyDescent="0.2">
      <c r="A1365" s="6">
        <v>45926</v>
      </c>
      <c r="B1365" s="2" t="s">
        <v>225</v>
      </c>
      <c r="C1365" s="5">
        <v>45901</v>
      </c>
      <c r="D1365" s="2" t="s">
        <v>197</v>
      </c>
      <c r="E1365" s="3">
        <v>4623</v>
      </c>
      <c r="F1365" s="8">
        <v>0.38169999999999998</v>
      </c>
      <c r="G1365" s="4">
        <v>124.417</v>
      </c>
      <c r="H1365" s="4">
        <v>74.412300000000002</v>
      </c>
      <c r="I1365" s="4">
        <v>10.782500000000001</v>
      </c>
      <c r="J1365" s="4">
        <v>11.6775</v>
      </c>
      <c r="K1365" s="4">
        <v>10.17</v>
      </c>
      <c r="L1365" s="4">
        <v>11.43</v>
      </c>
      <c r="M1365" s="7">
        <v>6.0100000000000001E-2</v>
      </c>
    </row>
    <row r="1366" spans="1:13" x14ac:dyDescent="0.2">
      <c r="A1366" s="6">
        <v>45929</v>
      </c>
      <c r="B1366" s="2" t="s">
        <v>228</v>
      </c>
      <c r="C1366" s="5">
        <v>45901</v>
      </c>
      <c r="D1366" s="2" t="s">
        <v>197</v>
      </c>
      <c r="E1366" s="3">
        <v>4753</v>
      </c>
      <c r="F1366" s="8">
        <v>0.3412</v>
      </c>
      <c r="G1366" s="4">
        <v>95.655500000000004</v>
      </c>
      <c r="H1366" s="4">
        <v>64.858699999999999</v>
      </c>
      <c r="I1366" s="4">
        <v>11.425000000000001</v>
      </c>
      <c r="J1366" s="4">
        <v>11.725</v>
      </c>
      <c r="K1366" s="4">
        <v>10.615</v>
      </c>
      <c r="L1366" s="4">
        <v>11.37</v>
      </c>
      <c r="M1366" s="7">
        <v>-4.7999999999999996E-3</v>
      </c>
    </row>
    <row r="1367" spans="1:13" x14ac:dyDescent="0.2">
      <c r="A1367" s="6">
        <v>45930</v>
      </c>
      <c r="B1367" s="2" t="s">
        <v>226</v>
      </c>
      <c r="C1367" s="5">
        <v>45901</v>
      </c>
      <c r="D1367" s="2" t="s">
        <v>197</v>
      </c>
      <c r="E1367" s="3">
        <v>4634</v>
      </c>
      <c r="F1367" s="8">
        <v>0.31369999999999998</v>
      </c>
      <c r="G1367" s="4">
        <v>72.628</v>
      </c>
      <c r="H1367" s="4">
        <v>66.901700000000005</v>
      </c>
      <c r="I1367" s="4">
        <v>11.365</v>
      </c>
      <c r="J1367" s="4">
        <v>11.7875</v>
      </c>
      <c r="K1367" s="4">
        <v>10.93</v>
      </c>
      <c r="L1367" s="4">
        <v>11.07</v>
      </c>
      <c r="M1367" s="7">
        <v>-2.5999999999999999E-2</v>
      </c>
    </row>
    <row r="1368" spans="1:13" x14ac:dyDescent="0.2">
      <c r="A1368" s="6">
        <v>45931</v>
      </c>
      <c r="B1368" s="2" t="s">
        <v>224</v>
      </c>
      <c r="C1368" s="5">
        <v>45931</v>
      </c>
      <c r="D1368" s="2" t="s">
        <v>198</v>
      </c>
      <c r="E1368" s="3">
        <v>4674</v>
      </c>
      <c r="F1368" s="8">
        <v>0.33169999999999999</v>
      </c>
      <c r="G1368" s="4">
        <v>88.646699999999996</v>
      </c>
      <c r="H1368" s="4">
        <v>84.991600000000005</v>
      </c>
      <c r="I1368" s="4">
        <v>11.065</v>
      </c>
      <c r="J1368" s="4">
        <v>11.255000000000001</v>
      </c>
      <c r="K1368" s="4">
        <v>10.1525</v>
      </c>
      <c r="L1368" s="4">
        <v>10.29</v>
      </c>
      <c r="M1368" s="7">
        <v>-7.0000000000000007E-2</v>
      </c>
    </row>
    <row r="1369" spans="1:13" x14ac:dyDescent="0.2">
      <c r="A1369" s="6">
        <v>45933</v>
      </c>
      <c r="B1369" s="2" t="s">
        <v>225</v>
      </c>
      <c r="C1369" s="5">
        <v>45931</v>
      </c>
      <c r="D1369" s="2" t="s">
        <v>198</v>
      </c>
      <c r="E1369" s="3">
        <v>4710</v>
      </c>
      <c r="F1369" s="8">
        <v>0.3755</v>
      </c>
      <c r="G1369" s="4">
        <v>91.145099999999999</v>
      </c>
      <c r="H1369" s="4">
        <v>77.678700000000006</v>
      </c>
      <c r="I1369" s="4">
        <v>10.2875</v>
      </c>
      <c r="J1369" s="4">
        <v>10.6225</v>
      </c>
      <c r="K1369" s="4">
        <v>9.9450000000000003</v>
      </c>
      <c r="L1369" s="4">
        <v>10.06</v>
      </c>
      <c r="M1369" s="7">
        <v>-2.2100000000000002E-2</v>
      </c>
    </row>
    <row r="1370" spans="1:13" x14ac:dyDescent="0.2">
      <c r="A1370" s="6">
        <v>45936</v>
      </c>
      <c r="B1370" s="2" t="s">
        <v>228</v>
      </c>
      <c r="C1370" s="5">
        <v>45931</v>
      </c>
      <c r="D1370" s="2" t="s">
        <v>198</v>
      </c>
      <c r="E1370" s="3">
        <v>4857</v>
      </c>
      <c r="F1370" s="8">
        <v>0.36359999999999998</v>
      </c>
      <c r="G1370" s="4">
        <v>87.3369</v>
      </c>
      <c r="H1370" s="4">
        <v>71.896299999999997</v>
      </c>
      <c r="I1370" s="4">
        <v>10.06</v>
      </c>
      <c r="J1370" s="4">
        <v>10.5375</v>
      </c>
      <c r="K1370" s="4">
        <v>9.6575000000000006</v>
      </c>
      <c r="L1370" s="4">
        <v>10.19</v>
      </c>
      <c r="M1370" s="7">
        <v>1.29E-2</v>
      </c>
    </row>
    <row r="1371" spans="1:13" x14ac:dyDescent="0.2">
      <c r="A1371" s="6">
        <v>45937</v>
      </c>
      <c r="B1371" s="2" t="s">
        <v>226</v>
      </c>
      <c r="C1371" s="5">
        <v>45931</v>
      </c>
      <c r="D1371" s="2" t="s">
        <v>198</v>
      </c>
      <c r="E1371" s="3">
        <v>4713</v>
      </c>
      <c r="F1371" s="8">
        <v>0.33439999999999998</v>
      </c>
      <c r="G1371" s="4">
        <v>111.46210000000001</v>
      </c>
      <c r="H1371" s="4">
        <v>81.147499999999994</v>
      </c>
      <c r="I1371" s="4">
        <v>10.192500000000001</v>
      </c>
      <c r="J1371" s="4">
        <v>10.45</v>
      </c>
      <c r="K1371" s="4">
        <v>10</v>
      </c>
      <c r="L1371" s="4">
        <v>10.050000000000001</v>
      </c>
      <c r="M1371" s="7">
        <v>-1.4E-2</v>
      </c>
    </row>
    <row r="1372" spans="1:13" x14ac:dyDescent="0.2">
      <c r="A1372" s="6">
        <v>45938</v>
      </c>
      <c r="B1372" s="2" t="s">
        <v>224</v>
      </c>
      <c r="C1372" s="5">
        <v>45931</v>
      </c>
      <c r="D1372" s="2" t="s">
        <v>198</v>
      </c>
      <c r="E1372" s="3">
        <v>4758</v>
      </c>
      <c r="F1372" s="8">
        <v>0.36840000000000001</v>
      </c>
      <c r="G1372" s="4">
        <v>126.3091</v>
      </c>
      <c r="H1372" s="4">
        <v>76.440399999999997</v>
      </c>
      <c r="I1372" s="4">
        <v>10.050000000000001</v>
      </c>
      <c r="J1372" s="4">
        <v>10.522500000000001</v>
      </c>
      <c r="K1372" s="4">
        <v>9.6875</v>
      </c>
      <c r="L1372" s="4">
        <v>10.31</v>
      </c>
      <c r="M1372" s="7">
        <v>2.5899999999999999E-2</v>
      </c>
    </row>
    <row r="1373" spans="1:13" x14ac:dyDescent="0.2">
      <c r="A1373" s="6">
        <v>45939</v>
      </c>
      <c r="B1373" s="2" t="s">
        <v>227</v>
      </c>
      <c r="C1373" s="5">
        <v>45931</v>
      </c>
      <c r="D1373" s="2" t="s">
        <v>198</v>
      </c>
      <c r="E1373" s="3">
        <v>4730</v>
      </c>
      <c r="F1373" s="8">
        <v>0.35410000000000003</v>
      </c>
      <c r="G1373" s="4">
        <v>115.20780000000001</v>
      </c>
      <c r="H1373" s="4">
        <v>81.406499999999994</v>
      </c>
      <c r="I1373" s="4">
        <v>10.3125</v>
      </c>
      <c r="J1373" s="4">
        <v>10.565</v>
      </c>
      <c r="K1373" s="4">
        <v>9.9975000000000005</v>
      </c>
      <c r="L1373" s="4">
        <v>10.119999999999999</v>
      </c>
      <c r="M1373" s="7">
        <v>-1.8700000000000001E-2</v>
      </c>
    </row>
    <row r="1374" spans="1:13" x14ac:dyDescent="0.2">
      <c r="A1374" s="6">
        <v>45940</v>
      </c>
      <c r="B1374" s="2" t="s">
        <v>225</v>
      </c>
      <c r="C1374" s="5">
        <v>45931</v>
      </c>
      <c r="D1374" s="2" t="s">
        <v>198</v>
      </c>
      <c r="E1374" s="3">
        <v>4735</v>
      </c>
      <c r="F1374" s="8">
        <v>0.37130000000000002</v>
      </c>
      <c r="G1374" s="4">
        <v>127.2675</v>
      </c>
      <c r="H1374" s="4">
        <v>72.1083</v>
      </c>
      <c r="I1374" s="4">
        <v>10.119999999999999</v>
      </c>
      <c r="J1374" s="4">
        <v>10.342499999999999</v>
      </c>
      <c r="K1374" s="4">
        <v>9.7100000000000009</v>
      </c>
      <c r="L1374" s="4">
        <v>10.1</v>
      </c>
      <c r="M1374" s="7">
        <v>-2E-3</v>
      </c>
    </row>
    <row r="1375" spans="1:13" x14ac:dyDescent="0.2">
      <c r="A1375" s="6">
        <v>45943</v>
      </c>
      <c r="B1375" s="2" t="s">
        <v>228</v>
      </c>
      <c r="C1375" s="5">
        <v>45931</v>
      </c>
      <c r="D1375" s="2" t="s">
        <v>198</v>
      </c>
      <c r="E1375" s="3">
        <v>4851</v>
      </c>
      <c r="F1375" s="8">
        <v>0.34229999999999999</v>
      </c>
      <c r="G1375" s="4">
        <v>87.786299999999997</v>
      </c>
      <c r="H1375" s="4">
        <v>71.010599999999997</v>
      </c>
      <c r="I1375" s="4">
        <v>10.102499999999999</v>
      </c>
      <c r="J1375" s="4">
        <v>11.2575</v>
      </c>
      <c r="K1375" s="4">
        <v>9.7774999999999999</v>
      </c>
      <c r="L1375" s="4">
        <v>11.01</v>
      </c>
      <c r="M1375" s="7">
        <v>8.9800000000000005E-2</v>
      </c>
    </row>
    <row r="1376" spans="1:13" x14ac:dyDescent="0.2">
      <c r="A1376" s="6">
        <v>45944</v>
      </c>
      <c r="B1376" s="2" t="s">
        <v>226</v>
      </c>
      <c r="C1376" s="5">
        <v>45931</v>
      </c>
      <c r="D1376" s="2" t="s">
        <v>198</v>
      </c>
      <c r="E1376" s="3">
        <v>4745</v>
      </c>
      <c r="F1376" s="8">
        <v>0.41959999999999997</v>
      </c>
      <c r="G1376" s="4">
        <v>104.0196</v>
      </c>
      <c r="H1376" s="4">
        <v>88.261700000000005</v>
      </c>
      <c r="I1376" s="4">
        <v>11.0075</v>
      </c>
      <c r="J1376" s="4">
        <v>11.6675</v>
      </c>
      <c r="K1376" s="4">
        <v>10.012499999999999</v>
      </c>
      <c r="L1376" s="4">
        <v>11.16</v>
      </c>
      <c r="M1376" s="7">
        <v>1.3899999999999999E-2</v>
      </c>
    </row>
    <row r="1377" spans="1:13" x14ac:dyDescent="0.2">
      <c r="A1377" s="6">
        <v>45945</v>
      </c>
      <c r="B1377" s="2" t="s">
        <v>224</v>
      </c>
      <c r="C1377" s="5">
        <v>45931</v>
      </c>
      <c r="D1377" s="2" t="s">
        <v>198</v>
      </c>
      <c r="E1377" s="3">
        <v>4706</v>
      </c>
      <c r="F1377" s="8">
        <v>0.31690000000000002</v>
      </c>
      <c r="G1377" s="4">
        <v>91.382599999999996</v>
      </c>
      <c r="H1377" s="4">
        <v>66.990600000000001</v>
      </c>
      <c r="I1377" s="4">
        <v>11.154999999999999</v>
      </c>
      <c r="J1377" s="4">
        <v>11.154999999999999</v>
      </c>
      <c r="K1377" s="4">
        <v>10.432499999999999</v>
      </c>
      <c r="L1377" s="4">
        <v>10.53</v>
      </c>
      <c r="M1377" s="7">
        <v>-5.6000000000000001E-2</v>
      </c>
    </row>
    <row r="1378" spans="1:13" x14ac:dyDescent="0.2">
      <c r="A1378" s="6">
        <v>45946</v>
      </c>
      <c r="B1378" s="2" t="s">
        <v>227</v>
      </c>
      <c r="C1378" s="5">
        <v>45931</v>
      </c>
      <c r="D1378" s="2" t="s">
        <v>198</v>
      </c>
      <c r="E1378" s="3">
        <v>4712</v>
      </c>
      <c r="F1378" s="8">
        <v>0.36549999999999999</v>
      </c>
      <c r="G1378" s="4">
        <v>109.1728</v>
      </c>
      <c r="H1378" s="4">
        <v>107.91289999999999</v>
      </c>
      <c r="I1378" s="4">
        <v>10.53</v>
      </c>
      <c r="J1378" s="4">
        <v>11.057499999999999</v>
      </c>
      <c r="K1378" s="4">
        <v>10.3825</v>
      </c>
      <c r="L1378" s="4">
        <v>10.87</v>
      </c>
      <c r="M1378" s="7">
        <v>3.2300000000000002E-2</v>
      </c>
    </row>
    <row r="1379" spans="1:13" x14ac:dyDescent="0.2">
      <c r="A1379" s="6">
        <v>45947</v>
      </c>
      <c r="B1379" s="2" t="s">
        <v>225</v>
      </c>
      <c r="C1379" s="5">
        <v>45931</v>
      </c>
      <c r="D1379" s="2" t="s">
        <v>198</v>
      </c>
      <c r="E1379" s="3">
        <v>4672</v>
      </c>
      <c r="F1379" s="8">
        <v>0.36830000000000002</v>
      </c>
      <c r="G1379" s="4">
        <v>83.214500000000001</v>
      </c>
      <c r="H1379" s="4">
        <v>74.260900000000007</v>
      </c>
      <c r="I1379" s="4">
        <v>10.865</v>
      </c>
      <c r="J1379" s="4">
        <v>11.81</v>
      </c>
      <c r="K1379" s="4">
        <v>9.7750000000000004</v>
      </c>
      <c r="L1379" s="4">
        <v>11.63</v>
      </c>
      <c r="M1379" s="7">
        <v>7.0400000000000004E-2</v>
      </c>
    </row>
    <row r="1380" spans="1:13" x14ac:dyDescent="0.2">
      <c r="A1380" s="6">
        <v>45950</v>
      </c>
      <c r="B1380" s="2" t="s">
        <v>228</v>
      </c>
      <c r="C1380" s="5">
        <v>45931</v>
      </c>
      <c r="D1380" s="2" t="s">
        <v>198</v>
      </c>
      <c r="E1380" s="3">
        <v>4833</v>
      </c>
      <c r="F1380" s="8">
        <v>0.33700000000000002</v>
      </c>
      <c r="G1380" s="4">
        <v>92.558400000000006</v>
      </c>
      <c r="H1380" s="4">
        <v>69.3155</v>
      </c>
      <c r="I1380" s="4">
        <v>11.625</v>
      </c>
      <c r="J1380" s="4">
        <v>11.8775</v>
      </c>
      <c r="K1380" s="4">
        <v>10.6675</v>
      </c>
      <c r="L1380" s="4">
        <v>11.36</v>
      </c>
      <c r="M1380" s="7">
        <v>-2.2800000000000001E-2</v>
      </c>
    </row>
    <row r="1381" spans="1:13" x14ac:dyDescent="0.2">
      <c r="A1381" s="6">
        <v>45951</v>
      </c>
      <c r="B1381" s="2" t="s">
        <v>226</v>
      </c>
      <c r="C1381" s="5">
        <v>45931</v>
      </c>
      <c r="D1381" s="2" t="s">
        <v>198</v>
      </c>
      <c r="E1381" s="3">
        <v>4387</v>
      </c>
      <c r="F1381" s="8">
        <v>0.1719</v>
      </c>
      <c r="G1381" s="4">
        <v>41.823900000000002</v>
      </c>
      <c r="H1381" s="4">
        <v>25.383199999999999</v>
      </c>
      <c r="I1381" s="4">
        <v>11.355</v>
      </c>
      <c r="J1381" s="4">
        <v>11.595000000000001</v>
      </c>
      <c r="K1381" s="4">
        <v>10.7</v>
      </c>
      <c r="L1381" s="4">
        <v>11.3</v>
      </c>
      <c r="M1381" s="7">
        <v>-4.7999999999999996E-3</v>
      </c>
    </row>
    <row r="1382" spans="1:13" x14ac:dyDescent="0.2">
      <c r="A1382" s="6">
        <v>45953</v>
      </c>
      <c r="B1382" s="2" t="s">
        <v>227</v>
      </c>
      <c r="C1382" s="5">
        <v>45931</v>
      </c>
      <c r="D1382" s="2" t="s">
        <v>198</v>
      </c>
      <c r="E1382" s="3">
        <v>4840</v>
      </c>
      <c r="F1382" s="8">
        <v>0.42109999999999997</v>
      </c>
      <c r="G1382" s="4">
        <v>97.724999999999994</v>
      </c>
      <c r="H1382" s="4">
        <v>91.943600000000004</v>
      </c>
      <c r="I1382" s="4">
        <v>11.297499999999999</v>
      </c>
      <c r="J1382" s="4">
        <v>12.05</v>
      </c>
      <c r="K1382" s="4">
        <v>10.737500000000001</v>
      </c>
      <c r="L1382" s="4">
        <v>11.73</v>
      </c>
      <c r="M1382" s="7">
        <v>3.8300000000000001E-2</v>
      </c>
    </row>
    <row r="1383" spans="1:13" x14ac:dyDescent="0.2">
      <c r="A1383" s="6">
        <v>45954</v>
      </c>
      <c r="B1383" s="2" t="s">
        <v>225</v>
      </c>
      <c r="C1383" s="5">
        <v>45931</v>
      </c>
      <c r="D1383" s="2" t="s">
        <v>198</v>
      </c>
      <c r="E1383" s="3">
        <v>4770</v>
      </c>
      <c r="F1383" s="8">
        <v>0.31169999999999998</v>
      </c>
      <c r="G1383" s="4">
        <v>81.909000000000006</v>
      </c>
      <c r="H1383" s="4">
        <v>68.341200000000001</v>
      </c>
      <c r="I1383" s="4">
        <v>11.7325</v>
      </c>
      <c r="J1383" s="4">
        <v>11.94</v>
      </c>
      <c r="K1383" s="4">
        <v>11.4375</v>
      </c>
      <c r="L1383" s="4">
        <v>11.59</v>
      </c>
      <c r="M1383" s="7">
        <v>-1.21E-2</v>
      </c>
    </row>
    <row r="1384" spans="1:13" x14ac:dyDescent="0.2">
      <c r="A1384" s="6">
        <v>45957</v>
      </c>
      <c r="B1384" s="2" t="s">
        <v>228</v>
      </c>
      <c r="C1384" s="5">
        <v>45931</v>
      </c>
      <c r="D1384" s="2" t="s">
        <v>198</v>
      </c>
      <c r="E1384" s="3">
        <v>4907</v>
      </c>
      <c r="F1384" s="8">
        <v>0.36420000000000002</v>
      </c>
      <c r="G1384" s="4">
        <v>98.881900000000002</v>
      </c>
      <c r="H1384" s="4">
        <v>73.898899999999998</v>
      </c>
      <c r="I1384" s="4">
        <v>11.59</v>
      </c>
      <c r="J1384" s="4">
        <v>12.727499999999999</v>
      </c>
      <c r="K1384" s="4">
        <v>11.2775</v>
      </c>
      <c r="L1384" s="4">
        <v>11.86</v>
      </c>
      <c r="M1384" s="7">
        <v>2.3300000000000001E-2</v>
      </c>
    </row>
    <row r="1385" spans="1:13" x14ac:dyDescent="0.2">
      <c r="A1385" s="6">
        <v>45958</v>
      </c>
      <c r="B1385" s="2" t="s">
        <v>226</v>
      </c>
      <c r="C1385" s="5">
        <v>45931</v>
      </c>
      <c r="D1385" s="2" t="s">
        <v>198</v>
      </c>
      <c r="E1385" s="3">
        <v>4737</v>
      </c>
      <c r="F1385" s="8">
        <v>0.35310000000000002</v>
      </c>
      <c r="G1385" s="4">
        <v>97.808000000000007</v>
      </c>
      <c r="H1385" s="4">
        <v>82.122500000000002</v>
      </c>
      <c r="I1385" s="4">
        <v>11.8575</v>
      </c>
      <c r="J1385" s="4">
        <v>12.635</v>
      </c>
      <c r="K1385" s="4">
        <v>10.705</v>
      </c>
      <c r="L1385" s="4">
        <v>11.95</v>
      </c>
      <c r="M1385" s="7">
        <v>7.7999999999999996E-3</v>
      </c>
    </row>
    <row r="1386" spans="1:13" x14ac:dyDescent="0.2">
      <c r="A1386" s="6">
        <v>45959</v>
      </c>
      <c r="B1386" s="2" t="s">
        <v>224</v>
      </c>
      <c r="C1386" s="5">
        <v>45931</v>
      </c>
      <c r="D1386" s="2" t="s">
        <v>198</v>
      </c>
      <c r="E1386" s="3">
        <v>4726</v>
      </c>
      <c r="F1386" s="8">
        <v>0.36530000000000001</v>
      </c>
      <c r="G1386" s="4">
        <v>109.74769999999999</v>
      </c>
      <c r="H1386" s="4">
        <v>85.210300000000004</v>
      </c>
      <c r="I1386" s="4">
        <v>11.952500000000001</v>
      </c>
      <c r="J1386" s="4">
        <v>12.102499999999999</v>
      </c>
      <c r="K1386" s="4">
        <v>11.227499999999999</v>
      </c>
      <c r="L1386" s="4">
        <v>11.97</v>
      </c>
      <c r="M1386" s="7">
        <v>1.5E-3</v>
      </c>
    </row>
    <row r="1387" spans="1:13" x14ac:dyDescent="0.2">
      <c r="A1387" s="6">
        <v>45960</v>
      </c>
      <c r="B1387" s="2" t="s">
        <v>227</v>
      </c>
      <c r="C1387" s="5">
        <v>45931</v>
      </c>
      <c r="D1387" s="2" t="s">
        <v>198</v>
      </c>
      <c r="E1387" s="3">
        <v>4706</v>
      </c>
      <c r="F1387" s="8">
        <v>0.35039999999999999</v>
      </c>
      <c r="G1387" s="4">
        <v>91.875</v>
      </c>
      <c r="H1387" s="4">
        <v>83.382999999999996</v>
      </c>
      <c r="I1387" s="4">
        <v>11.9725</v>
      </c>
      <c r="J1387" s="4">
        <v>12.272500000000001</v>
      </c>
      <c r="K1387" s="4">
        <v>11.705</v>
      </c>
      <c r="L1387" s="4">
        <v>12.07</v>
      </c>
      <c r="M1387" s="7">
        <v>8.0999999999999996E-3</v>
      </c>
    </row>
    <row r="1388" spans="1:13" x14ac:dyDescent="0.2">
      <c r="A1388" s="6">
        <v>45961</v>
      </c>
      <c r="B1388" s="2" t="s">
        <v>225</v>
      </c>
      <c r="C1388" s="5">
        <v>45931</v>
      </c>
      <c r="D1388" s="2" t="s">
        <v>198</v>
      </c>
      <c r="E1388" s="3">
        <v>4711</v>
      </c>
      <c r="F1388" s="8">
        <v>0.3569</v>
      </c>
      <c r="G1388" s="4">
        <v>86.995500000000007</v>
      </c>
      <c r="H1388" s="4">
        <v>75.398499999999999</v>
      </c>
      <c r="I1388" s="4">
        <v>12.067500000000001</v>
      </c>
      <c r="J1388" s="4">
        <v>12.2875</v>
      </c>
      <c r="K1388" s="4">
        <v>11.77</v>
      </c>
      <c r="L1388" s="4">
        <v>12.15</v>
      </c>
      <c r="M1388" s="7">
        <v>6.7999999999999996E-3</v>
      </c>
    </row>
    <row r="1389" spans="1:13" x14ac:dyDescent="0.2">
      <c r="A1389" s="6">
        <v>45964</v>
      </c>
      <c r="B1389" s="2" t="s">
        <v>228</v>
      </c>
      <c r="C1389" s="5">
        <v>45962</v>
      </c>
      <c r="D1389" s="2" t="s">
        <v>198</v>
      </c>
      <c r="E1389" s="3">
        <v>4858</v>
      </c>
      <c r="F1389" s="8">
        <v>0.35899999999999999</v>
      </c>
      <c r="G1389" s="4">
        <v>90.668099999999995</v>
      </c>
      <c r="H1389" s="4">
        <v>75.1751</v>
      </c>
      <c r="I1389" s="4">
        <v>12.1525</v>
      </c>
      <c r="J1389" s="4">
        <v>12.94</v>
      </c>
      <c r="K1389" s="4">
        <v>11.7875</v>
      </c>
      <c r="L1389" s="4">
        <v>12.67</v>
      </c>
      <c r="M1389" s="7">
        <v>4.2599999999999999E-2</v>
      </c>
    </row>
    <row r="1390" spans="1:13" x14ac:dyDescent="0.2">
      <c r="A1390" s="6">
        <v>45965</v>
      </c>
      <c r="B1390" s="2" t="s">
        <v>226</v>
      </c>
      <c r="C1390" s="5">
        <v>45962</v>
      </c>
      <c r="D1390" s="2" t="s">
        <v>198</v>
      </c>
      <c r="E1390" s="3">
        <v>4757</v>
      </c>
      <c r="F1390" s="8">
        <v>0.32079999999999997</v>
      </c>
      <c r="G1390" s="4">
        <v>92.687799999999996</v>
      </c>
      <c r="H1390" s="4">
        <v>68.809700000000007</v>
      </c>
      <c r="I1390" s="4">
        <v>12.664999999999999</v>
      </c>
      <c r="J1390" s="4">
        <v>12.935</v>
      </c>
      <c r="K1390" s="4">
        <v>10.98</v>
      </c>
      <c r="L1390" s="4">
        <v>12.65</v>
      </c>
      <c r="M1390" s="7">
        <v>-1.1999999999999999E-3</v>
      </c>
    </row>
    <row r="1391" spans="1:13" x14ac:dyDescent="0.2">
      <c r="A1391" s="6">
        <v>45967</v>
      </c>
      <c r="B1391" s="2" t="s">
        <v>227</v>
      </c>
      <c r="C1391" s="5">
        <v>45962</v>
      </c>
      <c r="D1391" s="2" t="s">
        <v>198</v>
      </c>
      <c r="E1391" s="3">
        <v>4766</v>
      </c>
      <c r="F1391" s="8">
        <v>0.4078</v>
      </c>
      <c r="G1391" s="4">
        <v>87.314099999999996</v>
      </c>
      <c r="H1391" s="4">
        <v>95.788399999999996</v>
      </c>
      <c r="I1391" s="4">
        <v>12.6525</v>
      </c>
      <c r="J1391" s="4">
        <v>12.865</v>
      </c>
      <c r="K1391" s="4">
        <v>12.057499999999999</v>
      </c>
      <c r="L1391" s="4">
        <v>12.41</v>
      </c>
      <c r="M1391" s="7">
        <v>-1.9199999999999998E-2</v>
      </c>
    </row>
    <row r="1392" spans="1:13" x14ac:dyDescent="0.2">
      <c r="A1392" s="6">
        <v>45968</v>
      </c>
      <c r="B1392" s="2" t="s">
        <v>225</v>
      </c>
      <c r="C1392" s="5">
        <v>45962</v>
      </c>
      <c r="D1392" s="2" t="s">
        <v>198</v>
      </c>
      <c r="E1392" s="3">
        <v>4696</v>
      </c>
      <c r="F1392" s="8">
        <v>0.36120000000000002</v>
      </c>
      <c r="G1392" s="4">
        <v>86.486099999999993</v>
      </c>
      <c r="H1392" s="4">
        <v>80.913200000000003</v>
      </c>
      <c r="I1392" s="4">
        <v>12.41</v>
      </c>
      <c r="J1392" s="4">
        <v>12.6675</v>
      </c>
      <c r="K1392" s="4">
        <v>11.9575</v>
      </c>
      <c r="L1392" s="4">
        <v>12.56</v>
      </c>
      <c r="M1392" s="7">
        <v>1.21E-2</v>
      </c>
    </row>
    <row r="1393" spans="1:13" x14ac:dyDescent="0.2">
      <c r="A1393" s="6">
        <v>45971</v>
      </c>
      <c r="B1393" s="2" t="s">
        <v>228</v>
      </c>
      <c r="C1393" s="5">
        <v>45962</v>
      </c>
      <c r="D1393" s="2" t="s">
        <v>198</v>
      </c>
      <c r="E1393" s="3">
        <v>4911</v>
      </c>
      <c r="F1393" s="8">
        <v>0.35549999999999998</v>
      </c>
      <c r="G1393" s="4">
        <v>80.121099999999998</v>
      </c>
      <c r="H1393" s="4">
        <v>81.444500000000005</v>
      </c>
      <c r="I1393" s="4">
        <v>12.557499999999999</v>
      </c>
      <c r="J1393" s="4">
        <v>12.9275</v>
      </c>
      <c r="K1393" s="4">
        <v>11.404999999999999</v>
      </c>
      <c r="L1393" s="4">
        <v>12.3</v>
      </c>
      <c r="M1393" s="7">
        <v>-2.0500000000000001E-2</v>
      </c>
    </row>
    <row r="1394" spans="1:13" x14ac:dyDescent="0.2">
      <c r="A1394" s="6">
        <v>45972</v>
      </c>
      <c r="B1394" s="2" t="s">
        <v>226</v>
      </c>
      <c r="C1394" s="5">
        <v>45962</v>
      </c>
      <c r="D1394" s="2" t="s">
        <v>198</v>
      </c>
      <c r="E1394" s="3">
        <v>4745</v>
      </c>
      <c r="F1394" s="8">
        <v>0.31950000000000001</v>
      </c>
      <c r="G1394" s="4">
        <v>83.399699999999996</v>
      </c>
      <c r="H1394" s="4">
        <v>71.9071</v>
      </c>
      <c r="I1394" s="4">
        <v>12.3</v>
      </c>
      <c r="J1394" s="4">
        <v>13.005000000000001</v>
      </c>
      <c r="K1394" s="4">
        <v>11.9925</v>
      </c>
      <c r="L1394" s="4">
        <v>12.49</v>
      </c>
      <c r="M1394" s="7">
        <v>1.54E-2</v>
      </c>
    </row>
    <row r="1395" spans="1:13" x14ac:dyDescent="0.2">
      <c r="A1395" s="6">
        <v>45973</v>
      </c>
      <c r="B1395" s="2" t="s">
        <v>224</v>
      </c>
      <c r="C1395" s="5">
        <v>45962</v>
      </c>
      <c r="D1395" s="2" t="s">
        <v>198</v>
      </c>
      <c r="E1395" s="3">
        <v>4766</v>
      </c>
      <c r="F1395" s="8">
        <v>0.35599999999999998</v>
      </c>
      <c r="G1395" s="4">
        <v>87.9619</v>
      </c>
      <c r="H1395" s="4">
        <v>79.348600000000005</v>
      </c>
      <c r="I1395" s="4">
        <v>12.49</v>
      </c>
      <c r="J1395" s="4">
        <v>12.7125</v>
      </c>
      <c r="K1395" s="4">
        <v>11.442500000000001</v>
      </c>
      <c r="L1395" s="4">
        <v>12.11</v>
      </c>
      <c r="M1395" s="7">
        <v>-3.04E-2</v>
      </c>
    </row>
    <row r="1396" spans="1:13" x14ac:dyDescent="0.2">
      <c r="A1396" s="6">
        <v>45974</v>
      </c>
      <c r="B1396" s="2" t="s">
        <v>227</v>
      </c>
      <c r="C1396" s="5">
        <v>45962</v>
      </c>
      <c r="D1396" s="2" t="s">
        <v>198</v>
      </c>
      <c r="E1396" s="3">
        <v>4773</v>
      </c>
      <c r="F1396" s="8">
        <v>0.3644</v>
      </c>
      <c r="G1396" s="4">
        <v>94.535499999999999</v>
      </c>
      <c r="H1396" s="4">
        <v>99.165700000000001</v>
      </c>
      <c r="I1396" s="4">
        <v>12.11</v>
      </c>
      <c r="J1396" s="4">
        <v>12.272500000000001</v>
      </c>
      <c r="K1396" s="4">
        <v>11.23</v>
      </c>
      <c r="L1396" s="4">
        <v>12.16</v>
      </c>
      <c r="M1396" s="7">
        <v>4.1000000000000003E-3</v>
      </c>
    </row>
    <row r="1397" spans="1:13" x14ac:dyDescent="0.2">
      <c r="A1397" s="6">
        <v>45975</v>
      </c>
      <c r="B1397" s="2" t="s">
        <v>225</v>
      </c>
      <c r="C1397" s="5">
        <v>45962</v>
      </c>
      <c r="D1397" s="2" t="s">
        <v>198</v>
      </c>
      <c r="E1397" s="3">
        <v>4694</v>
      </c>
      <c r="F1397" s="8">
        <v>0.33950000000000002</v>
      </c>
      <c r="G1397" s="4">
        <v>91.584800000000001</v>
      </c>
      <c r="H1397" s="4">
        <v>88.433999999999997</v>
      </c>
      <c r="I1397" s="4">
        <v>12.1625</v>
      </c>
      <c r="J1397" s="4">
        <v>12.445</v>
      </c>
      <c r="K1397" s="4">
        <v>11.8025</v>
      </c>
      <c r="L1397" s="4">
        <v>11.94</v>
      </c>
      <c r="M1397" s="7">
        <v>-1.83E-2</v>
      </c>
    </row>
    <row r="1398" spans="1:13" x14ac:dyDescent="0.2">
      <c r="A1398" s="6">
        <v>45978</v>
      </c>
      <c r="B1398" s="2" t="s">
        <v>228</v>
      </c>
      <c r="C1398" s="5">
        <v>45962</v>
      </c>
      <c r="D1398" s="2" t="s">
        <v>198</v>
      </c>
      <c r="E1398" s="3">
        <v>4930</v>
      </c>
      <c r="F1398" s="8">
        <v>0.3407</v>
      </c>
      <c r="G1398" s="4">
        <v>86.093900000000005</v>
      </c>
      <c r="H1398" s="4">
        <v>79.816100000000006</v>
      </c>
      <c r="I1398" s="4">
        <v>11.9375</v>
      </c>
      <c r="J1398" s="4">
        <v>12.28</v>
      </c>
      <c r="K1398" s="4">
        <v>10.895</v>
      </c>
      <c r="L1398" s="4">
        <v>11.79</v>
      </c>
      <c r="M1398" s="7">
        <v>-1.24E-2</v>
      </c>
    </row>
    <row r="1399" spans="1:13" x14ac:dyDescent="0.2">
      <c r="A1399" s="6">
        <v>45979</v>
      </c>
      <c r="B1399" s="2" t="s">
        <v>226</v>
      </c>
      <c r="C1399" s="5">
        <v>45962</v>
      </c>
      <c r="D1399" s="2" t="s">
        <v>198</v>
      </c>
      <c r="E1399" s="3">
        <v>4769</v>
      </c>
      <c r="F1399" s="8">
        <v>0.35539999999999999</v>
      </c>
      <c r="G1399" s="4">
        <v>81.957099999999997</v>
      </c>
      <c r="H1399" s="4">
        <v>141.93170000000001</v>
      </c>
      <c r="I1399" s="4">
        <v>11.7875</v>
      </c>
      <c r="J1399" s="4">
        <v>12.29</v>
      </c>
      <c r="K1399" s="4">
        <v>10.94</v>
      </c>
      <c r="L1399" s="4">
        <v>12.1</v>
      </c>
      <c r="M1399" s="7">
        <v>2.6499999999999999E-2</v>
      </c>
    </row>
    <row r="1400" spans="1:13" x14ac:dyDescent="0.2">
      <c r="A1400" s="6">
        <v>45980</v>
      </c>
      <c r="B1400" s="2" t="s">
        <v>224</v>
      </c>
      <c r="C1400" s="5">
        <v>45962</v>
      </c>
      <c r="D1400" s="2" t="s">
        <v>198</v>
      </c>
      <c r="E1400" s="3">
        <v>4743</v>
      </c>
      <c r="F1400" s="8">
        <v>0.3337</v>
      </c>
      <c r="G1400" s="4">
        <v>96.663799999999995</v>
      </c>
      <c r="H1400" s="4">
        <v>71.503699999999995</v>
      </c>
      <c r="I1400" s="4">
        <v>12.095000000000001</v>
      </c>
      <c r="J1400" s="4">
        <v>12.375</v>
      </c>
      <c r="K1400" s="4">
        <v>10.765000000000001</v>
      </c>
      <c r="L1400" s="4">
        <v>11.97</v>
      </c>
      <c r="M1400" s="7">
        <v>-1.03E-2</v>
      </c>
    </row>
    <row r="1401" spans="1:13" x14ac:dyDescent="0.2">
      <c r="A1401" s="6">
        <v>45981</v>
      </c>
      <c r="B1401" s="2" t="s">
        <v>227</v>
      </c>
      <c r="C1401" s="5">
        <v>45962</v>
      </c>
      <c r="D1401" s="2" t="s">
        <v>198</v>
      </c>
      <c r="E1401" s="3">
        <v>4757</v>
      </c>
      <c r="F1401" s="8">
        <v>0.33100000000000002</v>
      </c>
      <c r="G1401" s="4">
        <v>96.845799999999997</v>
      </c>
      <c r="H1401" s="4">
        <v>88.973699999999994</v>
      </c>
      <c r="I1401" s="4">
        <v>11.9725</v>
      </c>
      <c r="J1401" s="4">
        <v>12.3775</v>
      </c>
      <c r="K1401" s="4">
        <v>11.055</v>
      </c>
      <c r="L1401" s="4">
        <v>12.14</v>
      </c>
      <c r="M1401" s="7">
        <v>1.4E-2</v>
      </c>
    </row>
    <row r="1402" spans="1:13" x14ac:dyDescent="0.2">
      <c r="A1402" s="6">
        <v>45982</v>
      </c>
      <c r="B1402" s="2" t="s">
        <v>225</v>
      </c>
      <c r="C1402" s="5">
        <v>45962</v>
      </c>
      <c r="D1402" s="2" t="s">
        <v>198</v>
      </c>
      <c r="E1402" s="3">
        <v>4701</v>
      </c>
      <c r="F1402" s="8">
        <v>0.29070000000000001</v>
      </c>
      <c r="G1402" s="4">
        <v>88.8155</v>
      </c>
      <c r="H1402" s="4">
        <v>89.917100000000005</v>
      </c>
      <c r="I1402" s="4">
        <v>12.135</v>
      </c>
      <c r="J1402" s="4">
        <v>13.85</v>
      </c>
      <c r="K1402" s="4">
        <v>12.135</v>
      </c>
      <c r="L1402" s="4">
        <v>13.63</v>
      </c>
      <c r="M1402" s="7">
        <v>0.1232</v>
      </c>
    </row>
    <row r="1403" spans="1:13" x14ac:dyDescent="0.2">
      <c r="A1403" s="6">
        <v>45985</v>
      </c>
      <c r="B1403" s="2" t="s">
        <v>228</v>
      </c>
      <c r="C1403" s="5">
        <v>45962</v>
      </c>
      <c r="D1403" s="2" t="s">
        <v>198</v>
      </c>
      <c r="E1403" s="3">
        <v>4872</v>
      </c>
      <c r="F1403" s="8">
        <v>0.32679999999999998</v>
      </c>
      <c r="G1403" s="4">
        <v>82.905199999999994</v>
      </c>
      <c r="H1403" s="4">
        <v>68.067099999999996</v>
      </c>
      <c r="I1403" s="4">
        <v>13.63</v>
      </c>
      <c r="J1403" s="4">
        <v>13.63</v>
      </c>
      <c r="K1403" s="4">
        <v>11.9375</v>
      </c>
      <c r="L1403" s="4">
        <v>13.24</v>
      </c>
      <c r="M1403" s="7">
        <v>-2.86E-2</v>
      </c>
    </row>
    <row r="1404" spans="1:13" x14ac:dyDescent="0.2">
      <c r="A1404" s="6">
        <v>45986</v>
      </c>
      <c r="B1404" s="2" t="s">
        <v>226</v>
      </c>
      <c r="C1404" s="5">
        <v>45962</v>
      </c>
      <c r="D1404" s="2" t="s">
        <v>198</v>
      </c>
      <c r="E1404" s="3">
        <v>4736</v>
      </c>
      <c r="F1404" s="8">
        <v>0.26140000000000002</v>
      </c>
      <c r="G1404" s="4">
        <v>66.468800000000002</v>
      </c>
      <c r="H1404" s="4">
        <v>65.705100000000002</v>
      </c>
      <c r="I1404" s="4">
        <v>13.234999999999999</v>
      </c>
      <c r="J1404" s="4">
        <v>13.234999999999999</v>
      </c>
      <c r="K1404" s="4">
        <v>10.855</v>
      </c>
      <c r="L1404" s="4">
        <v>12.24</v>
      </c>
      <c r="M1404" s="7">
        <v>-7.5200000000000003E-2</v>
      </c>
    </row>
    <row r="1405" spans="1:13" x14ac:dyDescent="0.2">
      <c r="A1405" s="6">
        <v>45987</v>
      </c>
      <c r="B1405" s="2" t="s">
        <v>224</v>
      </c>
      <c r="C1405" s="5">
        <v>45962</v>
      </c>
      <c r="D1405" s="2" t="s">
        <v>198</v>
      </c>
      <c r="E1405" s="3">
        <v>4689</v>
      </c>
      <c r="F1405" s="8">
        <v>0.2949</v>
      </c>
      <c r="G1405" s="4">
        <v>70.906300000000002</v>
      </c>
      <c r="H1405" s="4">
        <v>68.066199999999995</v>
      </c>
      <c r="I1405" s="4">
        <v>12.2425</v>
      </c>
      <c r="J1405" s="4">
        <v>12.5725</v>
      </c>
      <c r="K1405" s="4">
        <v>11.585000000000001</v>
      </c>
      <c r="L1405" s="4">
        <v>11.97</v>
      </c>
      <c r="M1405" s="7">
        <v>-2.23E-2</v>
      </c>
    </row>
    <row r="1406" spans="1:13" x14ac:dyDescent="0.2">
      <c r="A1406" s="6">
        <v>45988</v>
      </c>
      <c r="B1406" s="2" t="s">
        <v>227</v>
      </c>
      <c r="C1406" s="5">
        <v>45962</v>
      </c>
      <c r="D1406" s="2" t="s">
        <v>198</v>
      </c>
      <c r="E1406" s="3">
        <v>4726</v>
      </c>
      <c r="F1406" s="8">
        <v>0.29959999999999998</v>
      </c>
      <c r="G1406" s="4">
        <v>81.406400000000005</v>
      </c>
      <c r="H1406" s="4">
        <v>99.446200000000005</v>
      </c>
      <c r="I1406" s="4">
        <v>11.967499999999999</v>
      </c>
      <c r="J1406" s="4">
        <v>12.2425</v>
      </c>
      <c r="K1406" s="4">
        <v>11.5075</v>
      </c>
      <c r="L1406" s="4">
        <v>11.79</v>
      </c>
      <c r="M1406" s="7">
        <v>-1.4800000000000001E-2</v>
      </c>
    </row>
    <row r="1407" spans="1:13" x14ac:dyDescent="0.2">
      <c r="A1407" s="6">
        <v>45989</v>
      </c>
      <c r="B1407" s="2" t="s">
        <v>225</v>
      </c>
      <c r="C1407" s="5">
        <v>45962</v>
      </c>
      <c r="D1407" s="2" t="s">
        <v>198</v>
      </c>
      <c r="E1407" s="3">
        <v>4694</v>
      </c>
      <c r="F1407" s="8">
        <v>0.29210000000000003</v>
      </c>
      <c r="G1407" s="4">
        <v>68.087299999999999</v>
      </c>
      <c r="H1407" s="4">
        <v>61.813400000000001</v>
      </c>
      <c r="I1407" s="4">
        <v>11.785</v>
      </c>
      <c r="J1407" s="4">
        <v>11.785</v>
      </c>
      <c r="K1407" s="4">
        <v>10.817500000000001</v>
      </c>
      <c r="L1407" s="4">
        <v>11.62</v>
      </c>
      <c r="M1407" s="7">
        <v>-1.4E-2</v>
      </c>
    </row>
    <row r="1408" spans="1:13" x14ac:dyDescent="0.2">
      <c r="A1408" s="6">
        <v>45992</v>
      </c>
      <c r="B1408" s="2" t="s">
        <v>228</v>
      </c>
      <c r="C1408" s="5">
        <v>45992</v>
      </c>
      <c r="D1408" s="2" t="s">
        <v>198</v>
      </c>
      <c r="E1408" s="3">
        <v>4855</v>
      </c>
      <c r="F1408" s="8">
        <v>0.31909999999999999</v>
      </c>
      <c r="G1408" s="4">
        <v>76.125100000000003</v>
      </c>
      <c r="H1408" s="4">
        <v>62.421500000000002</v>
      </c>
      <c r="I1408" s="4">
        <v>11.6175</v>
      </c>
      <c r="J1408" s="4">
        <v>12.01</v>
      </c>
      <c r="K1408" s="4">
        <v>10.9</v>
      </c>
      <c r="L1408" s="4">
        <v>11.63</v>
      </c>
      <c r="M1408" s="7">
        <v>1.1000000000000001E-3</v>
      </c>
    </row>
    <row r="1409" spans="1:13" x14ac:dyDescent="0.2">
      <c r="A1409" s="6">
        <v>45993</v>
      </c>
      <c r="B1409" s="2" t="s">
        <v>226</v>
      </c>
      <c r="C1409" s="5">
        <v>45992</v>
      </c>
      <c r="D1409" s="2" t="s">
        <v>198</v>
      </c>
      <c r="E1409" s="3">
        <v>4757</v>
      </c>
      <c r="F1409" s="8">
        <v>0.2727</v>
      </c>
      <c r="G1409" s="4">
        <v>81.511600000000001</v>
      </c>
      <c r="H1409" s="4">
        <v>58.942999999999998</v>
      </c>
      <c r="I1409" s="4">
        <v>11.625</v>
      </c>
      <c r="J1409" s="4">
        <v>11.94</v>
      </c>
      <c r="K1409" s="4">
        <v>11.03</v>
      </c>
      <c r="L1409" s="4">
        <v>11.23</v>
      </c>
      <c r="M1409" s="7">
        <v>-3.4000000000000002E-2</v>
      </c>
    </row>
    <row r="1410" spans="1:13" x14ac:dyDescent="0.2">
      <c r="A1410" s="6">
        <v>45994</v>
      </c>
      <c r="B1410" s="2" t="s">
        <v>224</v>
      </c>
      <c r="C1410" s="5">
        <v>45992</v>
      </c>
      <c r="D1410" s="2" t="s">
        <v>198</v>
      </c>
      <c r="E1410" s="3">
        <v>4738</v>
      </c>
      <c r="F1410" s="8">
        <v>0.308</v>
      </c>
      <c r="G1410" s="4">
        <v>92.9529</v>
      </c>
      <c r="H1410" s="4">
        <v>68.212000000000003</v>
      </c>
      <c r="I1410" s="4">
        <v>11.227499999999999</v>
      </c>
      <c r="J1410" s="4">
        <v>11.3725</v>
      </c>
      <c r="K1410" s="4">
        <v>10.914999999999999</v>
      </c>
      <c r="L1410" s="4">
        <v>11.21</v>
      </c>
      <c r="M1410" s="7">
        <v>-1.6000000000000001E-3</v>
      </c>
    </row>
    <row r="1411" spans="1:13" x14ac:dyDescent="0.2">
      <c r="A1411" s="6">
        <v>45995</v>
      </c>
      <c r="B1411" s="2" t="s">
        <v>227</v>
      </c>
      <c r="C1411" s="5">
        <v>45992</v>
      </c>
      <c r="D1411" s="2" t="s">
        <v>198</v>
      </c>
      <c r="E1411" s="3">
        <v>4706</v>
      </c>
      <c r="F1411" s="8">
        <v>0.30840000000000001</v>
      </c>
      <c r="G1411" s="4">
        <v>84.867500000000007</v>
      </c>
      <c r="H1411" s="4">
        <v>77.138400000000004</v>
      </c>
      <c r="I1411" s="4">
        <v>11.2125</v>
      </c>
      <c r="J1411" s="4">
        <v>11.27</v>
      </c>
      <c r="K1411" s="4">
        <v>10.58</v>
      </c>
      <c r="L1411" s="4">
        <v>10.82</v>
      </c>
      <c r="M1411" s="7">
        <v>-3.5000000000000003E-2</v>
      </c>
    </row>
    <row r="1412" spans="1:13" x14ac:dyDescent="0.2">
      <c r="A1412" s="6">
        <v>45996</v>
      </c>
      <c r="B1412" s="2" t="s">
        <v>225</v>
      </c>
      <c r="C1412" s="5">
        <v>45992</v>
      </c>
      <c r="D1412" s="2" t="s">
        <v>198</v>
      </c>
      <c r="E1412" s="3">
        <v>4709</v>
      </c>
      <c r="F1412" s="8">
        <v>0.27279999999999999</v>
      </c>
      <c r="G1412" s="4">
        <v>78.040599999999998</v>
      </c>
      <c r="H1412" s="4">
        <v>59.255600000000001</v>
      </c>
      <c r="I1412" s="4">
        <v>10.817500000000001</v>
      </c>
      <c r="J1412" s="4">
        <v>10.8675</v>
      </c>
      <c r="K1412" s="4">
        <v>10.157500000000001</v>
      </c>
      <c r="L1412" s="4">
        <v>10.32</v>
      </c>
      <c r="M1412" s="7">
        <v>-4.5999999999999999E-2</v>
      </c>
    </row>
    <row r="1413" spans="1:13" x14ac:dyDescent="0.2">
      <c r="A1413" s="6">
        <v>45999</v>
      </c>
      <c r="B1413" s="2" t="s">
        <v>228</v>
      </c>
      <c r="C1413" s="5">
        <v>45992</v>
      </c>
      <c r="D1413" s="2" t="s">
        <v>198</v>
      </c>
      <c r="E1413" s="3">
        <v>4914</v>
      </c>
      <c r="F1413" s="8">
        <v>0.3327</v>
      </c>
      <c r="G1413" s="4">
        <v>79.580799999999996</v>
      </c>
      <c r="H1413" s="4">
        <v>69.891400000000004</v>
      </c>
      <c r="I1413" s="4">
        <v>10.315</v>
      </c>
      <c r="J1413" s="4">
        <v>11.61</v>
      </c>
      <c r="K1413" s="4">
        <v>10.135</v>
      </c>
      <c r="L1413" s="4">
        <v>11.13</v>
      </c>
      <c r="M1413" s="7">
        <v>7.9000000000000001E-2</v>
      </c>
    </row>
    <row r="1414" spans="1:13" x14ac:dyDescent="0.2">
      <c r="A1414" s="6">
        <v>46000</v>
      </c>
      <c r="B1414" s="2" t="s">
        <v>226</v>
      </c>
      <c r="C1414" s="5">
        <v>45992</v>
      </c>
      <c r="D1414" s="2" t="s">
        <v>198</v>
      </c>
      <c r="E1414" s="3">
        <v>4721</v>
      </c>
      <c r="F1414" s="8">
        <v>0.3347</v>
      </c>
      <c r="G1414" s="4">
        <v>93.883200000000002</v>
      </c>
      <c r="H1414" s="4">
        <v>78.649600000000007</v>
      </c>
      <c r="I1414" s="4">
        <v>11.125</v>
      </c>
      <c r="J1414" s="4">
        <v>11.8825</v>
      </c>
      <c r="K1414" s="4">
        <v>10.455</v>
      </c>
      <c r="L1414" s="4">
        <v>10.95</v>
      </c>
      <c r="M1414" s="7">
        <v>-1.5699999999999999E-2</v>
      </c>
    </row>
    <row r="1415" spans="1:13" x14ac:dyDescent="0.2">
      <c r="A1415" s="6">
        <v>46001</v>
      </c>
      <c r="B1415" s="2" t="s">
        <v>224</v>
      </c>
      <c r="C1415" s="5">
        <v>45992</v>
      </c>
      <c r="D1415" s="2" t="s">
        <v>198</v>
      </c>
      <c r="E1415" s="3">
        <v>4721</v>
      </c>
      <c r="F1415" s="8">
        <v>0.33460000000000001</v>
      </c>
      <c r="G1415" s="4">
        <v>72.515299999999996</v>
      </c>
      <c r="H1415" s="4">
        <v>65.965800000000002</v>
      </c>
      <c r="I1415" s="4">
        <v>10.952500000000001</v>
      </c>
      <c r="J1415" s="4">
        <v>11.422499999999999</v>
      </c>
      <c r="K1415" s="4">
        <v>10.49</v>
      </c>
      <c r="L1415" s="4">
        <v>10.91</v>
      </c>
      <c r="M1415" s="7">
        <v>-3.8999999999999998E-3</v>
      </c>
    </row>
    <row r="1416" spans="1:13" x14ac:dyDescent="0.2">
      <c r="A1416" s="6">
        <v>46002</v>
      </c>
      <c r="B1416" s="2" t="s">
        <v>227</v>
      </c>
      <c r="C1416" s="5">
        <v>45992</v>
      </c>
      <c r="D1416" s="2" t="s">
        <v>198</v>
      </c>
      <c r="E1416" s="3">
        <v>4728</v>
      </c>
      <c r="F1416" s="8">
        <v>0.2903</v>
      </c>
      <c r="G1416" s="4">
        <v>81.483099999999993</v>
      </c>
      <c r="H1416" s="4">
        <v>72.538499999999999</v>
      </c>
      <c r="I1416" s="4">
        <v>10.9125</v>
      </c>
      <c r="J1416" s="4">
        <v>11.192500000000001</v>
      </c>
      <c r="K1416" s="4">
        <v>10.317500000000001</v>
      </c>
      <c r="L1416" s="4">
        <v>10.4</v>
      </c>
      <c r="M1416" s="7">
        <v>-4.7E-2</v>
      </c>
    </row>
    <row r="1417" spans="1:13" x14ac:dyDescent="0.2">
      <c r="A1417" s="6">
        <v>46003</v>
      </c>
      <c r="B1417" s="2" t="s">
        <v>225</v>
      </c>
      <c r="C1417" s="5">
        <v>45992</v>
      </c>
      <c r="D1417" s="2" t="s">
        <v>198</v>
      </c>
      <c r="E1417" s="3">
        <v>4726</v>
      </c>
      <c r="F1417" s="8">
        <v>0.26469999999999999</v>
      </c>
      <c r="G1417" s="4">
        <v>84.192999999999998</v>
      </c>
      <c r="H1417" s="4">
        <v>76.205699999999993</v>
      </c>
      <c r="I1417" s="4">
        <v>10.4</v>
      </c>
      <c r="J1417" s="4">
        <v>10.4</v>
      </c>
      <c r="K1417" s="4">
        <v>9.9625000000000004</v>
      </c>
      <c r="L1417" s="4">
        <v>10.11</v>
      </c>
      <c r="M1417" s="7">
        <v>-2.7900000000000001E-2</v>
      </c>
    </row>
    <row r="1418" spans="1:13" x14ac:dyDescent="0.2">
      <c r="A1418" s="6">
        <v>46006</v>
      </c>
      <c r="B1418" s="2" t="s">
        <v>228</v>
      </c>
      <c r="C1418" s="5">
        <v>45992</v>
      </c>
      <c r="D1418" s="2" t="s">
        <v>198</v>
      </c>
      <c r="E1418" s="3">
        <v>4858</v>
      </c>
      <c r="F1418" s="8">
        <v>0.27889999999999998</v>
      </c>
      <c r="G1418" s="4">
        <v>76.627399999999994</v>
      </c>
      <c r="H1418" s="4">
        <v>61.6648</v>
      </c>
      <c r="I1418" s="4">
        <v>10.1075</v>
      </c>
      <c r="J1418" s="4">
        <v>10.842499999999999</v>
      </c>
      <c r="K1418" s="4">
        <v>10.047499999999999</v>
      </c>
      <c r="L1418" s="4">
        <v>10.25</v>
      </c>
      <c r="M1418" s="7">
        <v>1.41E-2</v>
      </c>
    </row>
    <row r="1419" spans="1:13" x14ac:dyDescent="0.2">
      <c r="A1419" s="6">
        <v>46007</v>
      </c>
      <c r="B1419" s="2" t="s">
        <v>226</v>
      </c>
      <c r="C1419" s="5">
        <v>45992</v>
      </c>
      <c r="D1419" s="2" t="s">
        <v>198</v>
      </c>
      <c r="E1419" s="3">
        <v>4709</v>
      </c>
      <c r="F1419" s="8">
        <v>0.2455</v>
      </c>
      <c r="G1419" s="4">
        <v>70.904499999999999</v>
      </c>
      <c r="H1419" s="4">
        <v>56.851999999999997</v>
      </c>
      <c r="I1419" s="4">
        <v>10.25</v>
      </c>
      <c r="J1419" s="4">
        <v>10.4275</v>
      </c>
      <c r="K1419" s="4">
        <v>9.6624999999999996</v>
      </c>
      <c r="L1419" s="4">
        <v>10.06</v>
      </c>
      <c r="M1419" s="7">
        <v>-1.8499999999999999E-2</v>
      </c>
    </row>
    <row r="1420" spans="1:13" x14ac:dyDescent="0.2">
      <c r="A1420" s="6">
        <v>46008</v>
      </c>
      <c r="B1420" s="2" t="s">
        <v>224</v>
      </c>
      <c r="C1420" s="5">
        <v>45992</v>
      </c>
      <c r="D1420" s="2" t="s">
        <v>198</v>
      </c>
      <c r="E1420" s="3">
        <v>4721</v>
      </c>
      <c r="F1420" s="8">
        <v>0.26290000000000002</v>
      </c>
      <c r="G1420" s="4">
        <v>69.018100000000004</v>
      </c>
      <c r="H1420" s="4">
        <v>68.400599999999997</v>
      </c>
      <c r="I1420" s="4">
        <v>10.0625</v>
      </c>
      <c r="J1420" s="4">
        <v>10.1775</v>
      </c>
      <c r="K1420" s="4">
        <v>9.4824999999999999</v>
      </c>
      <c r="L1420" s="4">
        <v>9.84</v>
      </c>
      <c r="M1420" s="7">
        <v>-2.2100000000000002E-2</v>
      </c>
    </row>
    <row r="1421" spans="1:13" x14ac:dyDescent="0.2">
      <c r="A1421" s="6">
        <v>46009</v>
      </c>
      <c r="B1421" s="2" t="s">
        <v>227</v>
      </c>
      <c r="C1421" s="5">
        <v>45992</v>
      </c>
      <c r="D1421" s="2" t="s">
        <v>198</v>
      </c>
      <c r="E1421" s="3">
        <v>4749</v>
      </c>
      <c r="F1421" s="8">
        <v>0.31819999999999998</v>
      </c>
      <c r="G1421" s="4">
        <v>82.468699999999998</v>
      </c>
      <c r="H1421" s="4">
        <v>77.236500000000007</v>
      </c>
      <c r="I1421" s="4">
        <v>9.8375000000000004</v>
      </c>
      <c r="J1421" s="4">
        <v>9.9474999999999998</v>
      </c>
      <c r="K1421" s="4">
        <v>9.6125000000000007</v>
      </c>
      <c r="L1421" s="4">
        <v>9.7100000000000009</v>
      </c>
      <c r="M1421" s="7">
        <v>-1.2999999999999999E-2</v>
      </c>
    </row>
    <row r="1422" spans="1:13" x14ac:dyDescent="0.2">
      <c r="A1422" s="6">
        <v>46010</v>
      </c>
      <c r="B1422" s="2" t="s">
        <v>225</v>
      </c>
      <c r="C1422" s="5">
        <v>45992</v>
      </c>
      <c r="D1422" s="2" t="s">
        <v>198</v>
      </c>
      <c r="E1422" s="3">
        <v>4745</v>
      </c>
      <c r="F1422" s="8">
        <v>0.31690000000000002</v>
      </c>
      <c r="G1422" s="4">
        <v>98.659700000000001</v>
      </c>
      <c r="H1422" s="4">
        <v>78.433499999999995</v>
      </c>
      <c r="I1422" s="4">
        <v>9.7074999999999996</v>
      </c>
      <c r="J1422" s="4">
        <v>10.307499999999999</v>
      </c>
      <c r="K1422" s="4">
        <v>9.4350000000000005</v>
      </c>
      <c r="L1422" s="4">
        <v>9.52</v>
      </c>
      <c r="M1422" s="7">
        <v>-1.9300000000000001E-2</v>
      </c>
    </row>
    <row r="1423" spans="1:13" x14ac:dyDescent="0.2">
      <c r="A1423" s="6">
        <v>46013</v>
      </c>
      <c r="B1423" s="2" t="s">
        <v>228</v>
      </c>
      <c r="C1423" s="5">
        <v>45992</v>
      </c>
      <c r="D1423" s="2" t="s">
        <v>198</v>
      </c>
      <c r="E1423" s="3">
        <v>4970</v>
      </c>
      <c r="F1423" s="8">
        <v>0.29759999999999998</v>
      </c>
      <c r="G1423" s="4">
        <v>95.614900000000006</v>
      </c>
      <c r="H1423" s="4">
        <v>64.8767</v>
      </c>
      <c r="I1423" s="4">
        <v>9.5225000000000009</v>
      </c>
      <c r="J1423" s="4">
        <v>9.8975000000000009</v>
      </c>
      <c r="K1423" s="4">
        <v>8.8625000000000007</v>
      </c>
      <c r="L1423" s="4">
        <v>9.68</v>
      </c>
      <c r="M1423" s="7">
        <v>1.6500000000000001E-2</v>
      </c>
    </row>
    <row r="1424" spans="1:13" x14ac:dyDescent="0.2">
      <c r="A1424" s="6">
        <v>46014</v>
      </c>
      <c r="B1424" s="2" t="s">
        <v>226</v>
      </c>
      <c r="C1424" s="5">
        <v>45992</v>
      </c>
      <c r="D1424" s="2" t="s">
        <v>198</v>
      </c>
      <c r="E1424" s="3">
        <v>4785</v>
      </c>
      <c r="F1424" s="8">
        <v>0.31519999999999998</v>
      </c>
      <c r="G1424" s="4">
        <v>92.752399999999994</v>
      </c>
      <c r="H1424" s="4">
        <v>64.274699999999996</v>
      </c>
      <c r="I1424" s="4">
        <v>9.6750000000000007</v>
      </c>
      <c r="J1424" s="4">
        <v>9.7850000000000001</v>
      </c>
      <c r="K1424" s="4">
        <v>9.3224999999999998</v>
      </c>
      <c r="L1424" s="4">
        <v>9.3800000000000008</v>
      </c>
      <c r="M1424" s="7">
        <v>-3.0499999999999999E-2</v>
      </c>
    </row>
    <row r="1425" spans="1:13" x14ac:dyDescent="0.2">
      <c r="A1425" s="6">
        <v>46015</v>
      </c>
      <c r="B1425" s="2" t="s">
        <v>224</v>
      </c>
      <c r="C1425" s="5">
        <v>45992</v>
      </c>
      <c r="D1425" s="2" t="s">
        <v>198</v>
      </c>
      <c r="E1425" s="3">
        <v>4778</v>
      </c>
      <c r="F1425" s="8">
        <v>0.30759999999999998</v>
      </c>
      <c r="G1425" s="4">
        <v>95.289500000000004</v>
      </c>
      <c r="H1425" s="4">
        <v>83.283500000000004</v>
      </c>
      <c r="I1425" s="4">
        <v>9.3774999999999995</v>
      </c>
      <c r="J1425" s="4">
        <v>9.68</v>
      </c>
      <c r="K1425" s="4">
        <v>8.8825000000000003</v>
      </c>
      <c r="L1425" s="4">
        <v>9.19</v>
      </c>
      <c r="M1425" s="7">
        <v>-0.02</v>
      </c>
    </row>
    <row r="1426" spans="1:13" x14ac:dyDescent="0.2">
      <c r="A1426" s="6">
        <v>46017</v>
      </c>
      <c r="B1426" s="2" t="s">
        <v>225</v>
      </c>
      <c r="C1426" s="5">
        <v>45992</v>
      </c>
      <c r="D1426" s="2" t="s">
        <v>198</v>
      </c>
      <c r="E1426" s="3">
        <v>4788</v>
      </c>
      <c r="F1426" s="8">
        <v>0.29320000000000002</v>
      </c>
      <c r="G1426" s="4">
        <v>84.662700000000001</v>
      </c>
      <c r="H1426" s="4">
        <v>61.72</v>
      </c>
      <c r="I1426" s="4">
        <v>9.19</v>
      </c>
      <c r="J1426" s="4">
        <v>9.3949999999999996</v>
      </c>
      <c r="K1426" s="4">
        <v>9.02</v>
      </c>
      <c r="L1426" s="4">
        <v>9.15</v>
      </c>
      <c r="M1426" s="7">
        <v>-4.4000000000000003E-3</v>
      </c>
    </row>
    <row r="1427" spans="1:13" x14ac:dyDescent="0.2">
      <c r="A1427" s="6">
        <v>46020</v>
      </c>
      <c r="B1427" s="2" t="s">
        <v>228</v>
      </c>
      <c r="C1427" s="5">
        <v>45992</v>
      </c>
      <c r="D1427" s="2" t="s">
        <v>198</v>
      </c>
      <c r="E1427" s="3">
        <v>4968</v>
      </c>
      <c r="F1427" s="8">
        <v>0.34179999999999999</v>
      </c>
      <c r="G1427" s="4">
        <v>104.1799</v>
      </c>
      <c r="H1427" s="4">
        <v>97.125299999999996</v>
      </c>
      <c r="I1427" s="4">
        <v>9.15</v>
      </c>
      <c r="J1427" s="4">
        <v>9.77</v>
      </c>
      <c r="K1427" s="4">
        <v>9.0474999999999994</v>
      </c>
      <c r="L1427" s="4">
        <v>9.7200000000000006</v>
      </c>
      <c r="M1427" s="7">
        <v>6.2300000000000001E-2</v>
      </c>
    </row>
    <row r="1428" spans="1:13" x14ac:dyDescent="0.2">
      <c r="A1428" s="6">
        <v>46021</v>
      </c>
      <c r="B1428" s="2" t="s">
        <v>226</v>
      </c>
      <c r="C1428" s="5">
        <v>45992</v>
      </c>
      <c r="D1428" s="2" t="s">
        <v>198</v>
      </c>
      <c r="E1428" s="3">
        <v>4768</v>
      </c>
      <c r="F1428" s="8">
        <v>0.33150000000000002</v>
      </c>
      <c r="G1428" s="4">
        <v>93.631</v>
      </c>
      <c r="H1428" s="4">
        <v>68.266499999999994</v>
      </c>
      <c r="I1428" s="4">
        <v>9.7200000000000006</v>
      </c>
      <c r="J1428" s="4">
        <v>9.9875000000000007</v>
      </c>
      <c r="K1428" s="4">
        <v>9.5875000000000004</v>
      </c>
      <c r="L1428" s="4">
        <v>9.68</v>
      </c>
      <c r="M1428" s="7">
        <v>-4.1000000000000003E-3</v>
      </c>
    </row>
    <row r="1429" spans="1:13" x14ac:dyDescent="0.2">
      <c r="A1429" s="6">
        <v>46022</v>
      </c>
      <c r="B1429" s="2" t="s">
        <v>224</v>
      </c>
      <c r="C1429" s="5">
        <v>45992</v>
      </c>
      <c r="D1429" s="2" t="s">
        <v>198</v>
      </c>
      <c r="E1429" s="3">
        <v>4788</v>
      </c>
      <c r="F1429" s="8">
        <v>0.34470000000000001</v>
      </c>
      <c r="G1429" s="4">
        <v>142.70169999999999</v>
      </c>
      <c r="H1429" s="4">
        <v>82.916399999999996</v>
      </c>
      <c r="I1429" s="4">
        <v>9.6775000000000002</v>
      </c>
      <c r="J1429" s="4">
        <v>9.73</v>
      </c>
      <c r="K1429" s="4">
        <v>9.3125</v>
      </c>
      <c r="L1429" s="4">
        <v>9.48</v>
      </c>
      <c r="M1429" s="7">
        <v>-2.0400000000000001E-2</v>
      </c>
    </row>
    <row r="1430" spans="1:13" x14ac:dyDescent="0.2">
      <c r="A1430" s="6">
        <v>46023</v>
      </c>
      <c r="B1430" s="2" t="s">
        <v>227</v>
      </c>
      <c r="C1430" s="5">
        <v>46023</v>
      </c>
      <c r="D1430" s="2" t="s">
        <v>199</v>
      </c>
      <c r="E1430" s="3">
        <v>4696</v>
      </c>
      <c r="F1430" s="8">
        <v>0.28949999999999998</v>
      </c>
      <c r="G1430" s="4">
        <v>95.548100000000005</v>
      </c>
      <c r="H1430" s="4">
        <v>62.372300000000003</v>
      </c>
      <c r="I1430" s="4">
        <v>9.4749999999999996</v>
      </c>
      <c r="J1430" s="4">
        <v>9.4749999999999996</v>
      </c>
      <c r="K1430" s="4">
        <v>8.7200000000000006</v>
      </c>
      <c r="L1430" s="4">
        <v>9.19</v>
      </c>
      <c r="M1430" s="7">
        <v>-3.0099999999999998E-2</v>
      </c>
    </row>
    <row r="1431" spans="1:13" x14ac:dyDescent="0.2">
      <c r="A1431" s="6">
        <v>46024</v>
      </c>
      <c r="B1431" s="2" t="s">
        <v>225</v>
      </c>
      <c r="C1431" s="5">
        <v>46023</v>
      </c>
      <c r="D1431" s="2" t="s">
        <v>199</v>
      </c>
      <c r="E1431" s="3">
        <v>4818</v>
      </c>
      <c r="F1431" s="8">
        <v>0.33579999999999999</v>
      </c>
      <c r="G1431" s="4">
        <v>117.5377</v>
      </c>
      <c r="H1431" s="4">
        <v>81.261899999999997</v>
      </c>
      <c r="I1431" s="4">
        <v>9.1850000000000005</v>
      </c>
      <c r="J1431" s="4">
        <v>9.5549999999999997</v>
      </c>
      <c r="K1431" s="4">
        <v>8.9674999999999994</v>
      </c>
      <c r="L1431" s="4">
        <v>9.4499999999999993</v>
      </c>
      <c r="M1431" s="7">
        <v>2.8899999999999999E-2</v>
      </c>
    </row>
    <row r="1432" spans="1:13" x14ac:dyDescent="0.2">
      <c r="A1432" s="6">
        <v>46027</v>
      </c>
      <c r="B1432" s="2" t="s">
        <v>228</v>
      </c>
      <c r="C1432" s="5">
        <v>46023</v>
      </c>
      <c r="D1432" s="2" t="s">
        <v>199</v>
      </c>
      <c r="E1432" s="3">
        <v>4907</v>
      </c>
      <c r="F1432" s="8">
        <v>0.35110000000000002</v>
      </c>
      <c r="G1432" s="4">
        <v>118.1729</v>
      </c>
      <c r="H1432" s="4">
        <v>81.502700000000004</v>
      </c>
      <c r="I1432" s="4">
        <v>9.4499999999999993</v>
      </c>
      <c r="J1432" s="4">
        <v>10.215</v>
      </c>
      <c r="K1432" s="4">
        <v>9.2925000000000004</v>
      </c>
      <c r="L1432" s="4">
        <v>10.02</v>
      </c>
      <c r="M1432" s="7">
        <v>6.0299999999999999E-2</v>
      </c>
    </row>
    <row r="1433" spans="1:13" x14ac:dyDescent="0.2">
      <c r="A1433" s="6">
        <v>46028</v>
      </c>
      <c r="B1433" s="2" t="s">
        <v>226</v>
      </c>
      <c r="C1433" s="5">
        <v>46023</v>
      </c>
      <c r="D1433" s="2" t="s">
        <v>199</v>
      </c>
      <c r="E1433" s="3">
        <v>4808</v>
      </c>
      <c r="F1433" s="8">
        <v>0.31490000000000001</v>
      </c>
      <c r="G1433" s="4">
        <v>89.813400000000001</v>
      </c>
      <c r="H1433" s="4">
        <v>78.270300000000006</v>
      </c>
      <c r="I1433" s="4">
        <v>10.022500000000001</v>
      </c>
      <c r="J1433" s="4">
        <v>10.285</v>
      </c>
      <c r="K1433" s="4">
        <v>9.6475000000000009</v>
      </c>
      <c r="L1433" s="4">
        <v>10.02</v>
      </c>
      <c r="M1433" s="7">
        <v>-2.0000000000000001E-4</v>
      </c>
    </row>
    <row r="1434" spans="1:13" x14ac:dyDescent="0.2">
      <c r="A1434" s="6">
        <v>46029</v>
      </c>
      <c r="B1434" s="2" t="s">
        <v>224</v>
      </c>
      <c r="C1434" s="5">
        <v>46023</v>
      </c>
      <c r="D1434" s="2" t="s">
        <v>199</v>
      </c>
      <c r="E1434" s="3">
        <v>4761</v>
      </c>
      <c r="F1434" s="8">
        <v>0.33210000000000001</v>
      </c>
      <c r="G1434" s="4">
        <v>80.310199999999995</v>
      </c>
      <c r="H1434" s="4">
        <v>91.662499999999994</v>
      </c>
      <c r="I1434" s="4">
        <v>10.0175</v>
      </c>
      <c r="J1434" s="4">
        <v>10.24</v>
      </c>
      <c r="K1434" s="4">
        <v>9.7449999999999992</v>
      </c>
      <c r="L1434" s="4">
        <v>9.9499999999999993</v>
      </c>
      <c r="M1434" s="7">
        <v>-6.7000000000000002E-3</v>
      </c>
    </row>
    <row r="1435" spans="1:13" x14ac:dyDescent="0.2">
      <c r="A1435" s="6">
        <v>46030</v>
      </c>
      <c r="B1435" s="2" t="s">
        <v>227</v>
      </c>
      <c r="C1435" s="5">
        <v>46023</v>
      </c>
      <c r="D1435" s="2" t="s">
        <v>199</v>
      </c>
      <c r="E1435" s="3">
        <v>4776</v>
      </c>
      <c r="F1435" s="8">
        <v>0.39589999999999997</v>
      </c>
      <c r="G1435" s="4">
        <v>86.727500000000006</v>
      </c>
      <c r="H1435" s="4">
        <v>101.62090000000001</v>
      </c>
      <c r="I1435" s="4">
        <v>9.9499999999999993</v>
      </c>
      <c r="J1435" s="4">
        <v>10.99</v>
      </c>
      <c r="K1435" s="4">
        <v>9.4749999999999996</v>
      </c>
      <c r="L1435" s="4">
        <v>10.6</v>
      </c>
      <c r="M1435" s="7">
        <v>6.5299999999999997E-2</v>
      </c>
    </row>
    <row r="1436" spans="1:13" x14ac:dyDescent="0.2">
      <c r="A1436" s="6">
        <v>46031</v>
      </c>
      <c r="B1436" s="2" t="s">
        <v>225</v>
      </c>
      <c r="C1436" s="5">
        <v>46023</v>
      </c>
      <c r="D1436" s="2" t="s">
        <v>199</v>
      </c>
      <c r="E1436" s="3">
        <v>4756</v>
      </c>
      <c r="F1436" s="8">
        <v>0.35210000000000002</v>
      </c>
      <c r="G1436" s="4">
        <v>86.669399999999996</v>
      </c>
      <c r="H1436" s="4">
        <v>79.536600000000007</v>
      </c>
      <c r="I1436" s="4">
        <v>10.6</v>
      </c>
      <c r="J1436" s="4">
        <v>11.035</v>
      </c>
      <c r="K1436" s="4">
        <v>10.217499999999999</v>
      </c>
      <c r="L1436" s="4">
        <v>10.93</v>
      </c>
      <c r="M1436" s="7">
        <v>3.1099999999999999E-2</v>
      </c>
    </row>
    <row r="1437" spans="1:13" x14ac:dyDescent="0.2">
      <c r="A1437" s="6">
        <v>46034</v>
      </c>
      <c r="B1437" s="2" t="s">
        <v>228</v>
      </c>
      <c r="C1437" s="5">
        <v>46023</v>
      </c>
      <c r="D1437" s="2" t="s">
        <v>199</v>
      </c>
      <c r="E1437" s="3">
        <v>4914</v>
      </c>
      <c r="F1437" s="8">
        <v>0.38119999999999998</v>
      </c>
      <c r="G1437" s="4">
        <v>88.793999999999997</v>
      </c>
      <c r="H1437" s="4">
        <v>80.128799999999998</v>
      </c>
      <c r="I1437" s="4">
        <v>10.925000000000001</v>
      </c>
      <c r="J1437" s="4">
        <v>11.945</v>
      </c>
      <c r="K1437" s="4">
        <v>10.5175</v>
      </c>
      <c r="L1437" s="4">
        <v>11.37</v>
      </c>
      <c r="M1437" s="7">
        <v>4.07E-2</v>
      </c>
    </row>
    <row r="1438" spans="1:13" x14ac:dyDescent="0.2">
      <c r="A1438" s="6">
        <v>46035</v>
      </c>
      <c r="B1438" s="2" t="s">
        <v>226</v>
      </c>
      <c r="C1438" s="5">
        <v>46023</v>
      </c>
      <c r="D1438" s="2" t="s">
        <v>199</v>
      </c>
      <c r="E1438" s="3">
        <v>4730</v>
      </c>
      <c r="F1438" s="8">
        <v>0.318</v>
      </c>
      <c r="G1438" s="4">
        <v>75.577699999999993</v>
      </c>
      <c r="H1438" s="4">
        <v>75.316299999999998</v>
      </c>
      <c r="I1438" s="4">
        <v>11.3675</v>
      </c>
      <c r="J1438" s="4">
        <v>11.68</v>
      </c>
      <c r="K1438" s="4">
        <v>10.637499999999999</v>
      </c>
      <c r="L1438" s="4">
        <v>11.2</v>
      </c>
      <c r="M1438" s="7">
        <v>-1.47E-2</v>
      </c>
    </row>
    <row r="1439" spans="1:13" x14ac:dyDescent="0.2">
      <c r="A1439" s="6">
        <v>46036</v>
      </c>
      <c r="B1439" s="2" t="s">
        <v>224</v>
      </c>
      <c r="C1439" s="5">
        <v>46023</v>
      </c>
      <c r="D1439" s="2" t="s">
        <v>199</v>
      </c>
      <c r="E1439" s="3">
        <v>4742</v>
      </c>
      <c r="F1439" s="8">
        <v>0.31330000000000002</v>
      </c>
      <c r="G1439" s="4">
        <v>77.844099999999997</v>
      </c>
      <c r="H1439" s="4">
        <v>89.137299999999996</v>
      </c>
      <c r="I1439" s="4">
        <v>11.1975</v>
      </c>
      <c r="J1439" s="4">
        <v>11.4725</v>
      </c>
      <c r="K1439" s="4">
        <v>11.012499999999999</v>
      </c>
      <c r="L1439" s="4">
        <v>11.32</v>
      </c>
      <c r="M1439" s="7">
        <v>1.09E-2</v>
      </c>
    </row>
    <row r="1440" spans="1:13" x14ac:dyDescent="0.2">
      <c r="A1440" s="6">
        <v>46038</v>
      </c>
      <c r="B1440" s="2" t="s">
        <v>225</v>
      </c>
      <c r="C1440" s="5">
        <v>46023</v>
      </c>
      <c r="D1440" s="2" t="s">
        <v>199</v>
      </c>
      <c r="E1440" s="3">
        <v>4800</v>
      </c>
      <c r="F1440" s="8">
        <v>0.33860000000000001</v>
      </c>
      <c r="G1440" s="4">
        <v>98.686899999999994</v>
      </c>
      <c r="H1440" s="4">
        <v>91.773300000000006</v>
      </c>
      <c r="I1440" s="4">
        <v>11.32</v>
      </c>
      <c r="J1440" s="4">
        <v>11.574999999999999</v>
      </c>
      <c r="K1440" s="4">
        <v>10.875</v>
      </c>
      <c r="L1440" s="4">
        <v>11.37</v>
      </c>
      <c r="M1440" s="7">
        <v>4.4000000000000003E-3</v>
      </c>
    </row>
    <row r="1441" spans="1:13" x14ac:dyDescent="0.2">
      <c r="A1441" s="6">
        <v>46041</v>
      </c>
      <c r="B1441" s="2" t="s">
        <v>228</v>
      </c>
      <c r="C1441" s="5">
        <v>46023</v>
      </c>
      <c r="D1441" s="2" t="s">
        <v>199</v>
      </c>
      <c r="E1441" s="3">
        <v>4906</v>
      </c>
      <c r="F1441" s="8">
        <v>0.3604</v>
      </c>
      <c r="G1441" s="4">
        <v>87.238600000000005</v>
      </c>
      <c r="H1441" s="4">
        <v>78.982399999999998</v>
      </c>
      <c r="I1441" s="4">
        <v>11.3725</v>
      </c>
      <c r="J1441" s="4">
        <v>12.125</v>
      </c>
      <c r="K1441" s="4">
        <v>10.3925</v>
      </c>
      <c r="L1441" s="4">
        <v>11.83</v>
      </c>
      <c r="M1441" s="7">
        <v>4.02E-2</v>
      </c>
    </row>
    <row r="1442" spans="1:13" x14ac:dyDescent="0.2">
      <c r="A1442" s="6">
        <v>46042</v>
      </c>
      <c r="B1442" s="2" t="s">
        <v>226</v>
      </c>
      <c r="C1442" s="5">
        <v>46023</v>
      </c>
      <c r="D1442" s="2" t="s">
        <v>199</v>
      </c>
      <c r="E1442" s="3">
        <v>4855</v>
      </c>
      <c r="F1442" s="8">
        <v>0.40400000000000003</v>
      </c>
      <c r="G1442" s="4">
        <v>99.399100000000004</v>
      </c>
      <c r="H1442" s="4">
        <v>94.4328</v>
      </c>
      <c r="I1442" s="4">
        <v>11.827500000000001</v>
      </c>
      <c r="J1442" s="4">
        <v>12.9025</v>
      </c>
      <c r="K1442" s="4">
        <v>10.994999999999999</v>
      </c>
      <c r="L1442" s="4">
        <v>12.73</v>
      </c>
      <c r="M1442" s="7">
        <v>7.6300000000000007E-2</v>
      </c>
    </row>
    <row r="1443" spans="1:13" x14ac:dyDescent="0.2">
      <c r="A1443" s="6">
        <v>46043</v>
      </c>
      <c r="B1443" s="2" t="s">
        <v>224</v>
      </c>
      <c r="C1443" s="5">
        <v>46023</v>
      </c>
      <c r="D1443" s="2" t="s">
        <v>199</v>
      </c>
      <c r="E1443" s="3">
        <v>4887</v>
      </c>
      <c r="F1443" s="8">
        <v>0.45479999999999998</v>
      </c>
      <c r="G1443" s="4">
        <v>108.21429999999999</v>
      </c>
      <c r="H1443" s="4">
        <v>94.891999999999996</v>
      </c>
      <c r="I1443" s="4">
        <v>12.73</v>
      </c>
      <c r="J1443" s="4">
        <v>14.43</v>
      </c>
      <c r="K1443" s="4">
        <v>12.432499999999999</v>
      </c>
      <c r="L1443" s="4">
        <v>13.78</v>
      </c>
      <c r="M1443" s="7">
        <v>8.2500000000000004E-2</v>
      </c>
    </row>
    <row r="1444" spans="1:13" x14ac:dyDescent="0.2">
      <c r="A1444" s="6">
        <v>46044</v>
      </c>
      <c r="B1444" s="2" t="s">
        <v>227</v>
      </c>
      <c r="C1444" s="5">
        <v>46023</v>
      </c>
      <c r="D1444" s="2" t="s">
        <v>199</v>
      </c>
      <c r="E1444" s="3">
        <v>4787</v>
      </c>
      <c r="F1444" s="8">
        <v>0.41789999999999999</v>
      </c>
      <c r="G1444" s="4">
        <v>97.078299999999999</v>
      </c>
      <c r="H1444" s="4">
        <v>94.855800000000002</v>
      </c>
      <c r="I1444" s="4">
        <v>13.78</v>
      </c>
      <c r="J1444" s="4">
        <v>14.327500000000001</v>
      </c>
      <c r="K1444" s="4">
        <v>12.907500000000001</v>
      </c>
      <c r="L1444" s="4">
        <v>13.35</v>
      </c>
      <c r="M1444" s="7">
        <v>-3.1199999999999999E-2</v>
      </c>
    </row>
    <row r="1445" spans="1:13" x14ac:dyDescent="0.2">
      <c r="A1445" s="6">
        <v>46045</v>
      </c>
      <c r="B1445" s="2" t="s">
        <v>225</v>
      </c>
      <c r="C1445" s="5">
        <v>46023</v>
      </c>
      <c r="D1445" s="2" t="s">
        <v>199</v>
      </c>
      <c r="E1445" s="3">
        <v>4759</v>
      </c>
      <c r="F1445" s="8">
        <v>0.37459999999999999</v>
      </c>
      <c r="G1445" s="4">
        <v>75.656599999999997</v>
      </c>
      <c r="H1445" s="4">
        <v>86.526200000000003</v>
      </c>
      <c r="I1445" s="4">
        <v>13.35</v>
      </c>
      <c r="J1445" s="4">
        <v>14.432499999999999</v>
      </c>
      <c r="K1445" s="4">
        <v>12.282500000000001</v>
      </c>
      <c r="L1445" s="4">
        <v>14.19</v>
      </c>
      <c r="M1445" s="7">
        <v>6.2899999999999998E-2</v>
      </c>
    </row>
    <row r="1446" spans="1:13" x14ac:dyDescent="0.2">
      <c r="A1446" s="6">
        <v>46049</v>
      </c>
      <c r="B1446" s="2" t="s">
        <v>226</v>
      </c>
      <c r="C1446" s="5">
        <v>46023</v>
      </c>
      <c r="D1446" s="2" t="s">
        <v>199</v>
      </c>
      <c r="E1446" s="3">
        <v>4949</v>
      </c>
      <c r="F1446" s="8">
        <v>0.42880000000000001</v>
      </c>
      <c r="G1446" s="4">
        <v>81.979299999999995</v>
      </c>
      <c r="H1446" s="4">
        <v>111.282</v>
      </c>
      <c r="I1446" s="4">
        <v>14.192500000000001</v>
      </c>
      <c r="J1446" s="4">
        <v>16.057500000000001</v>
      </c>
      <c r="K1446" s="4">
        <v>13.922499999999999</v>
      </c>
      <c r="L1446" s="4">
        <v>14.45</v>
      </c>
      <c r="M1446" s="7">
        <v>1.8100000000000002E-2</v>
      </c>
    </row>
    <row r="1447" spans="1:13" x14ac:dyDescent="0.2">
      <c r="A1447" s="6">
        <v>46050</v>
      </c>
      <c r="B1447" s="2" t="s">
        <v>224</v>
      </c>
      <c r="C1447" s="5">
        <v>46023</v>
      </c>
      <c r="D1447" s="2" t="s">
        <v>199</v>
      </c>
      <c r="E1447" s="3">
        <v>4818</v>
      </c>
      <c r="F1447" s="8">
        <v>0.4108</v>
      </c>
      <c r="G1447" s="4">
        <v>81.414199999999994</v>
      </c>
      <c r="H1447" s="4">
        <v>105.0954</v>
      </c>
      <c r="I1447" s="4">
        <v>14.452500000000001</v>
      </c>
      <c r="J1447" s="4">
        <v>14.51</v>
      </c>
      <c r="K1447" s="4">
        <v>13.44</v>
      </c>
      <c r="L1447" s="4">
        <v>13.53</v>
      </c>
      <c r="M1447" s="7">
        <v>-6.3799999999999996E-2</v>
      </c>
    </row>
    <row r="1448" spans="1:13" x14ac:dyDescent="0.2">
      <c r="A1448" s="6">
        <v>46051</v>
      </c>
      <c r="B1448" s="2" t="s">
        <v>227</v>
      </c>
      <c r="C1448" s="5">
        <v>46023</v>
      </c>
      <c r="D1448" s="2" t="s">
        <v>199</v>
      </c>
      <c r="E1448" s="3">
        <v>4833</v>
      </c>
      <c r="F1448" s="8">
        <v>0.4461</v>
      </c>
      <c r="G1448" s="4">
        <v>86.837100000000007</v>
      </c>
      <c r="H1448" s="4">
        <v>116.6968</v>
      </c>
      <c r="I1448" s="4">
        <v>13.525</v>
      </c>
      <c r="J1448" s="4">
        <v>14.192500000000001</v>
      </c>
      <c r="K1448" s="4">
        <v>13.0725</v>
      </c>
      <c r="L1448" s="4">
        <v>13.37</v>
      </c>
      <c r="M1448" s="7">
        <v>-1.15E-2</v>
      </c>
    </row>
    <row r="1449" spans="1:13" x14ac:dyDescent="0.2">
      <c r="A1449" s="6">
        <v>46052</v>
      </c>
      <c r="B1449" s="2" t="s">
        <v>225</v>
      </c>
      <c r="C1449" s="5">
        <v>46023</v>
      </c>
      <c r="D1449" s="2" t="s">
        <v>199</v>
      </c>
      <c r="E1449" s="3">
        <v>4828</v>
      </c>
      <c r="F1449" s="8">
        <v>0.47020000000000001</v>
      </c>
      <c r="G1449" s="4">
        <v>100.22709999999999</v>
      </c>
      <c r="H1449" s="4">
        <v>115.23779999999999</v>
      </c>
      <c r="I1449" s="4">
        <v>13.37</v>
      </c>
      <c r="J1449" s="4">
        <v>14.23</v>
      </c>
      <c r="K1449" s="4">
        <v>12.8825</v>
      </c>
      <c r="L1449" s="4">
        <v>13.63</v>
      </c>
      <c r="M1449" s="7">
        <v>1.9400000000000001E-2</v>
      </c>
    </row>
    <row r="1450" spans="1:13" x14ac:dyDescent="0.2">
      <c r="A1450" s="6">
        <v>46054</v>
      </c>
      <c r="B1450" s="2" t="s">
        <v>230</v>
      </c>
      <c r="C1450" s="5">
        <v>46054</v>
      </c>
      <c r="D1450" s="2" t="s">
        <v>199</v>
      </c>
      <c r="E1450" s="3">
        <v>4661</v>
      </c>
      <c r="F1450" s="8">
        <v>0.47589999999999999</v>
      </c>
      <c r="G1450" s="4">
        <v>89.7971</v>
      </c>
      <c r="H1450" s="4">
        <v>93.847300000000004</v>
      </c>
      <c r="I1450" s="4">
        <v>13.6325</v>
      </c>
      <c r="J1450" s="4">
        <v>16.112500000000001</v>
      </c>
      <c r="K1450" s="4">
        <v>13.3475</v>
      </c>
      <c r="L1450" s="4">
        <v>15.1</v>
      </c>
      <c r="M1450" s="7">
        <v>0.1076</v>
      </c>
    </row>
    <row r="1451" spans="1:13" x14ac:dyDescent="0.2">
      <c r="A1451" s="6">
        <v>46055</v>
      </c>
      <c r="B1451" s="2" t="s">
        <v>228</v>
      </c>
      <c r="C1451" s="5">
        <v>46054</v>
      </c>
      <c r="D1451" s="2" t="s">
        <v>199</v>
      </c>
      <c r="E1451" s="3">
        <v>4901</v>
      </c>
      <c r="F1451" s="8">
        <v>0.40710000000000002</v>
      </c>
      <c r="G1451" s="4">
        <v>86.438299999999998</v>
      </c>
      <c r="H1451" s="4">
        <v>81.688900000000004</v>
      </c>
      <c r="I1451" s="4">
        <v>15.095000000000001</v>
      </c>
      <c r="J1451" s="4">
        <v>15.5525</v>
      </c>
      <c r="K1451" s="4">
        <v>13.58</v>
      </c>
      <c r="L1451" s="4">
        <v>13.87</v>
      </c>
      <c r="M1451" s="7">
        <v>-8.1199999999999994E-2</v>
      </c>
    </row>
    <row r="1452" spans="1:13" x14ac:dyDescent="0.2">
      <c r="A1452" s="6">
        <v>46056</v>
      </c>
      <c r="B1452" s="2" t="s">
        <v>226</v>
      </c>
      <c r="C1452" s="5">
        <v>46054</v>
      </c>
      <c r="D1452" s="2" t="s">
        <v>199</v>
      </c>
      <c r="E1452" s="3">
        <v>4881</v>
      </c>
      <c r="F1452" s="8">
        <v>0.46500000000000002</v>
      </c>
      <c r="G1452" s="4">
        <v>102.84180000000001</v>
      </c>
      <c r="H1452" s="4">
        <v>118.4118</v>
      </c>
      <c r="I1452" s="4">
        <v>13.865</v>
      </c>
      <c r="J1452" s="4">
        <v>15.465</v>
      </c>
      <c r="K1452" s="4">
        <v>11.85</v>
      </c>
      <c r="L1452" s="4">
        <v>12.9</v>
      </c>
      <c r="M1452" s="7">
        <v>-6.9599999999999995E-2</v>
      </c>
    </row>
    <row r="1453" spans="1:13" x14ac:dyDescent="0.2">
      <c r="A1453" s="6">
        <v>46057</v>
      </c>
      <c r="B1453" s="2" t="s">
        <v>224</v>
      </c>
      <c r="C1453" s="5">
        <v>46054</v>
      </c>
      <c r="D1453" s="2" t="s">
        <v>199</v>
      </c>
      <c r="E1453" s="3">
        <v>4784</v>
      </c>
      <c r="F1453" s="8">
        <v>0.39900000000000002</v>
      </c>
      <c r="G1453" s="4">
        <v>98.478899999999996</v>
      </c>
      <c r="H1453" s="4">
        <v>104.35039999999999</v>
      </c>
      <c r="I1453" s="4">
        <v>12.895</v>
      </c>
      <c r="J1453" s="4">
        <v>13.145</v>
      </c>
      <c r="K1453" s="4">
        <v>12.06</v>
      </c>
      <c r="L1453" s="4">
        <v>12.25</v>
      </c>
      <c r="M1453" s="7">
        <v>-0.05</v>
      </c>
    </row>
    <row r="1454" spans="1:13" x14ac:dyDescent="0.2">
      <c r="A1454" s="6">
        <v>46058</v>
      </c>
      <c r="B1454" s="2" t="s">
        <v>227</v>
      </c>
      <c r="C1454" s="5">
        <v>46054</v>
      </c>
      <c r="D1454" s="2" t="s">
        <v>199</v>
      </c>
      <c r="E1454" s="3">
        <v>4750</v>
      </c>
      <c r="F1454" s="8">
        <v>0.3579</v>
      </c>
      <c r="G1454" s="4">
        <v>77.999600000000001</v>
      </c>
      <c r="H1454" s="4">
        <v>85.818200000000004</v>
      </c>
      <c r="I1454" s="4">
        <v>12.2525</v>
      </c>
      <c r="J1454" s="4">
        <v>12.545</v>
      </c>
      <c r="K1454" s="4">
        <v>10.935</v>
      </c>
      <c r="L1454" s="4">
        <v>12.17</v>
      </c>
      <c r="M1454" s="7">
        <v>-6.7000000000000002E-3</v>
      </c>
    </row>
    <row r="1455" spans="1:13" x14ac:dyDescent="0.2">
      <c r="A1455" s="6">
        <v>46059</v>
      </c>
      <c r="B1455" s="2" t="s">
        <v>225</v>
      </c>
      <c r="C1455" s="5">
        <v>46054</v>
      </c>
      <c r="D1455" s="2" t="s">
        <v>199</v>
      </c>
      <c r="E1455" s="3">
        <v>4803</v>
      </c>
      <c r="F1455" s="8">
        <v>0.28899999999999998</v>
      </c>
      <c r="G1455" s="4">
        <v>66.643500000000003</v>
      </c>
      <c r="H1455" s="4">
        <v>75.14</v>
      </c>
      <c r="I1455" s="4">
        <v>12.1675</v>
      </c>
      <c r="J1455" s="4">
        <v>12.345000000000001</v>
      </c>
      <c r="K1455" s="4">
        <v>11.16</v>
      </c>
      <c r="L1455" s="4">
        <v>11.94</v>
      </c>
      <c r="M1455" s="7">
        <v>-1.8700000000000001E-2</v>
      </c>
    </row>
    <row r="1456" spans="1:13" x14ac:dyDescent="0.2">
      <c r="A1456" s="6">
        <v>46062</v>
      </c>
      <c r="B1456" s="2" t="s">
        <v>228</v>
      </c>
      <c r="C1456" s="5">
        <v>46054</v>
      </c>
      <c r="D1456" s="2" t="s">
        <v>199</v>
      </c>
      <c r="E1456" s="3">
        <v>4999</v>
      </c>
      <c r="F1456" s="8">
        <v>0.35070000000000001</v>
      </c>
      <c r="G1456" s="4">
        <v>93.902500000000003</v>
      </c>
      <c r="H1456" s="4">
        <v>83.828699999999998</v>
      </c>
      <c r="I1456" s="4">
        <v>11.94</v>
      </c>
      <c r="J1456" s="4">
        <v>12.28</v>
      </c>
      <c r="K1456" s="4">
        <v>10.67</v>
      </c>
      <c r="L1456" s="4">
        <v>12.19</v>
      </c>
      <c r="M1456" s="7">
        <v>2.0899999999999998E-2</v>
      </c>
    </row>
    <row r="1457" spans="1:13" x14ac:dyDescent="0.2">
      <c r="A1457" s="6">
        <v>46063</v>
      </c>
      <c r="B1457" s="2" t="s">
        <v>226</v>
      </c>
      <c r="C1457" s="5">
        <v>46054</v>
      </c>
      <c r="D1457" s="2" t="s">
        <v>199</v>
      </c>
      <c r="E1457" s="3">
        <v>4851</v>
      </c>
      <c r="F1457" s="8">
        <v>0.34420000000000001</v>
      </c>
      <c r="G1457" s="4">
        <v>95.292699999999996</v>
      </c>
      <c r="H1457" s="4">
        <v>91.873900000000006</v>
      </c>
      <c r="I1457" s="4">
        <v>12.19</v>
      </c>
      <c r="J1457" s="4">
        <v>12.19</v>
      </c>
      <c r="K1457" s="4">
        <v>10.355</v>
      </c>
      <c r="L1457" s="4">
        <v>11.67</v>
      </c>
      <c r="M1457" s="7">
        <v>-4.2700000000000002E-2</v>
      </c>
    </row>
    <row r="1458" spans="1:13" x14ac:dyDescent="0.2">
      <c r="A1458" s="6">
        <v>46064</v>
      </c>
      <c r="B1458" s="2" t="s">
        <v>224</v>
      </c>
      <c r="C1458" s="5">
        <v>46054</v>
      </c>
      <c r="D1458" s="2" t="s">
        <v>199</v>
      </c>
      <c r="E1458" s="3">
        <v>4786</v>
      </c>
      <c r="F1458" s="8">
        <v>0.33729999999999999</v>
      </c>
      <c r="G1458" s="4">
        <v>91.331500000000005</v>
      </c>
      <c r="H1458" s="4">
        <v>93.585300000000004</v>
      </c>
      <c r="I1458" s="4">
        <v>11.664999999999999</v>
      </c>
      <c r="J1458" s="4">
        <v>11.7125</v>
      </c>
      <c r="K1458" s="4">
        <v>10.557499999999999</v>
      </c>
      <c r="L1458" s="4">
        <v>11.55</v>
      </c>
      <c r="M1458" s="7">
        <v>-9.9000000000000008E-3</v>
      </c>
    </row>
    <row r="1459" spans="1:13" x14ac:dyDescent="0.2">
      <c r="A1459" s="6">
        <v>46065</v>
      </c>
      <c r="B1459" s="2" t="s">
        <v>227</v>
      </c>
      <c r="C1459" s="5">
        <v>46054</v>
      </c>
      <c r="D1459" s="2" t="s">
        <v>199</v>
      </c>
      <c r="E1459" s="3">
        <v>4772</v>
      </c>
      <c r="F1459" s="8">
        <v>0.35</v>
      </c>
      <c r="G1459" s="4">
        <v>73.019400000000005</v>
      </c>
      <c r="H1459" s="4">
        <v>104.6866</v>
      </c>
      <c r="I1459" s="4">
        <v>11.547499999999999</v>
      </c>
      <c r="J1459" s="4">
        <v>12.1075</v>
      </c>
      <c r="K1459" s="4">
        <v>10.8475</v>
      </c>
      <c r="L1459" s="4">
        <v>11.73</v>
      </c>
      <c r="M1459" s="7">
        <v>1.5800000000000002E-2</v>
      </c>
    </row>
    <row r="1460" spans="1:13" x14ac:dyDescent="0.2">
      <c r="A1460" s="6">
        <v>46066</v>
      </c>
      <c r="B1460" s="2" t="s">
        <v>225</v>
      </c>
      <c r="C1460" s="5">
        <v>46054</v>
      </c>
      <c r="D1460" s="2" t="s">
        <v>199</v>
      </c>
      <c r="E1460" s="3">
        <v>4767</v>
      </c>
      <c r="F1460" s="8">
        <v>0.35820000000000002</v>
      </c>
      <c r="G1460" s="4">
        <v>75.897300000000001</v>
      </c>
      <c r="H1460" s="4">
        <v>94.244799999999998</v>
      </c>
      <c r="I1460" s="4">
        <v>11.725</v>
      </c>
      <c r="J1460" s="4">
        <v>13.5825</v>
      </c>
      <c r="K1460" s="4">
        <v>10.9625</v>
      </c>
      <c r="L1460" s="4">
        <v>13.29</v>
      </c>
      <c r="M1460" s="7">
        <v>0.13350000000000001</v>
      </c>
    </row>
    <row r="1461" spans="1:13" x14ac:dyDescent="0.2">
      <c r="A1461" s="6">
        <v>46069</v>
      </c>
      <c r="B1461" s="2" t="s">
        <v>228</v>
      </c>
      <c r="C1461" s="5">
        <v>46054</v>
      </c>
      <c r="D1461" s="2" t="s">
        <v>199</v>
      </c>
      <c r="E1461" s="3">
        <v>4919</v>
      </c>
      <c r="F1461" s="8">
        <v>0.29409999999999997</v>
      </c>
      <c r="G1461" s="4">
        <v>82.177199999999999</v>
      </c>
      <c r="H1461" s="4">
        <v>75.058700000000002</v>
      </c>
      <c r="I1461" s="4">
        <v>13.2925</v>
      </c>
      <c r="J1461" s="4">
        <v>13.8325</v>
      </c>
      <c r="K1461" s="4">
        <v>13.234999999999999</v>
      </c>
      <c r="L1461" s="4">
        <v>13.33</v>
      </c>
      <c r="M1461" s="7">
        <v>2.8E-3</v>
      </c>
    </row>
    <row r="1462" spans="1:13" x14ac:dyDescent="0.2">
      <c r="A1462" s="6">
        <v>46070</v>
      </c>
      <c r="B1462" s="2" t="s">
        <v>226</v>
      </c>
      <c r="C1462" s="5">
        <v>46054</v>
      </c>
      <c r="D1462" s="2" t="s">
        <v>199</v>
      </c>
      <c r="E1462" s="3">
        <v>4756</v>
      </c>
      <c r="F1462" s="8">
        <v>0.2646</v>
      </c>
      <c r="G1462" s="4">
        <v>84.762900000000002</v>
      </c>
      <c r="H1462" s="4">
        <v>68.668899999999994</v>
      </c>
      <c r="I1462" s="4">
        <v>13.33</v>
      </c>
      <c r="J1462" s="4">
        <v>13.477499999999999</v>
      </c>
      <c r="K1462" s="4">
        <v>11.625</v>
      </c>
      <c r="L1462" s="4">
        <v>12.67</v>
      </c>
      <c r="M1462" s="7">
        <v>-4.9500000000000002E-2</v>
      </c>
    </row>
    <row r="1463" spans="1:13" x14ac:dyDescent="0.2">
      <c r="A1463" s="6">
        <v>46071</v>
      </c>
      <c r="B1463" s="2" t="s">
        <v>224</v>
      </c>
      <c r="C1463" s="5">
        <v>46054</v>
      </c>
      <c r="D1463" s="2" t="s">
        <v>199</v>
      </c>
      <c r="E1463" s="3">
        <v>4787</v>
      </c>
      <c r="F1463" s="8">
        <v>0.27960000000000002</v>
      </c>
      <c r="G1463" s="4">
        <v>78.717600000000004</v>
      </c>
      <c r="H1463" s="4">
        <v>70.2273</v>
      </c>
      <c r="I1463" s="4">
        <v>12.672499999999999</v>
      </c>
      <c r="J1463" s="4">
        <v>12.7675</v>
      </c>
      <c r="K1463" s="4">
        <v>11.352499999999999</v>
      </c>
      <c r="L1463" s="4">
        <v>12.22</v>
      </c>
      <c r="M1463" s="7">
        <v>-3.5700000000000003E-2</v>
      </c>
    </row>
    <row r="1464" spans="1:13" x14ac:dyDescent="0.2">
      <c r="A1464" s="6">
        <v>46072</v>
      </c>
      <c r="B1464" s="2" t="s">
        <v>227</v>
      </c>
      <c r="C1464" s="5">
        <v>46054</v>
      </c>
      <c r="D1464" s="2" t="s">
        <v>199</v>
      </c>
      <c r="E1464" s="3">
        <v>4726</v>
      </c>
      <c r="F1464" s="8">
        <v>0.29099999999999998</v>
      </c>
      <c r="G1464" s="4">
        <v>67.289299999999997</v>
      </c>
      <c r="H1464" s="4">
        <v>76.452600000000004</v>
      </c>
      <c r="I1464" s="4">
        <v>12.2225</v>
      </c>
      <c r="J1464" s="4">
        <v>13.68</v>
      </c>
      <c r="K1464" s="4">
        <v>9.73</v>
      </c>
      <c r="L1464" s="4">
        <v>13.46</v>
      </c>
      <c r="M1464" s="7">
        <v>0.1012</v>
      </c>
    </row>
    <row r="1465" spans="1:13" x14ac:dyDescent="0.2">
      <c r="A1465" s="6">
        <v>46073</v>
      </c>
      <c r="B1465" s="2" t="s">
        <v>225</v>
      </c>
      <c r="C1465" s="5">
        <v>46054</v>
      </c>
      <c r="D1465" s="2" t="s">
        <v>199</v>
      </c>
      <c r="E1465" s="3">
        <v>4715</v>
      </c>
      <c r="F1465" s="8">
        <v>0.26290000000000002</v>
      </c>
      <c r="G1465" s="4">
        <v>71.910499999999999</v>
      </c>
      <c r="H1465" s="4">
        <v>75.622100000000003</v>
      </c>
      <c r="I1465" s="4">
        <v>13.46</v>
      </c>
      <c r="J1465" s="4">
        <v>14.782500000000001</v>
      </c>
      <c r="K1465" s="4">
        <v>13.095000000000001</v>
      </c>
      <c r="L1465" s="4">
        <v>14.36</v>
      </c>
      <c r="M1465" s="7">
        <v>6.6900000000000001E-2</v>
      </c>
    </row>
    <row r="1466" spans="1:13" x14ac:dyDescent="0.2">
      <c r="A1466" s="6">
        <v>46076</v>
      </c>
      <c r="B1466" s="2" t="s">
        <v>228</v>
      </c>
      <c r="C1466" s="5">
        <v>46054</v>
      </c>
      <c r="D1466" s="2" t="s">
        <v>199</v>
      </c>
      <c r="E1466" s="3">
        <v>4917</v>
      </c>
      <c r="F1466" s="8">
        <v>0.30709999999999998</v>
      </c>
      <c r="G1466" s="4">
        <v>81.537099999999995</v>
      </c>
      <c r="H1466" s="4">
        <v>73.794600000000003</v>
      </c>
      <c r="I1466" s="4">
        <v>14.362500000000001</v>
      </c>
      <c r="J1466" s="4">
        <v>14.477499999999999</v>
      </c>
      <c r="K1466" s="4">
        <v>12.772500000000001</v>
      </c>
      <c r="L1466" s="4">
        <v>14.17</v>
      </c>
      <c r="M1466" s="7">
        <v>-1.34E-2</v>
      </c>
    </row>
    <row r="1467" spans="1:13" x14ac:dyDescent="0.2">
      <c r="A1467" s="6">
        <v>46077</v>
      </c>
      <c r="B1467" s="2" t="s">
        <v>226</v>
      </c>
      <c r="C1467" s="5">
        <v>46054</v>
      </c>
      <c r="D1467" s="2" t="s">
        <v>199</v>
      </c>
      <c r="E1467" s="3">
        <v>4766</v>
      </c>
      <c r="F1467" s="8">
        <v>0.30080000000000001</v>
      </c>
      <c r="G1467" s="4">
        <v>76.147099999999995</v>
      </c>
      <c r="H1467" s="4">
        <v>73.0702</v>
      </c>
      <c r="I1467" s="4">
        <v>14.1675</v>
      </c>
      <c r="J1467" s="4">
        <v>14.9475</v>
      </c>
      <c r="K1467" s="4">
        <v>12.3475</v>
      </c>
      <c r="L1467" s="4">
        <v>14.15</v>
      </c>
      <c r="M1467" s="7">
        <v>-1.1999999999999999E-3</v>
      </c>
    </row>
    <row r="1468" spans="1:13" x14ac:dyDescent="0.2">
      <c r="A1468" s="6">
        <v>46078</v>
      </c>
      <c r="B1468" s="2" t="s">
        <v>224</v>
      </c>
      <c r="C1468" s="5">
        <v>46054</v>
      </c>
      <c r="D1468" s="2" t="s">
        <v>199</v>
      </c>
      <c r="E1468" s="3">
        <v>4789</v>
      </c>
      <c r="F1468" s="8">
        <v>0.313</v>
      </c>
      <c r="G1468" s="4">
        <v>109.3096</v>
      </c>
      <c r="H1468" s="4">
        <v>104.6447</v>
      </c>
      <c r="I1468" s="4">
        <v>14.15</v>
      </c>
      <c r="J1468" s="4">
        <v>14.15</v>
      </c>
      <c r="K1468" s="4">
        <v>12.8375</v>
      </c>
      <c r="L1468" s="4">
        <v>13.49</v>
      </c>
      <c r="M1468" s="7">
        <v>-4.6600000000000003E-2</v>
      </c>
    </row>
    <row r="1469" spans="1:13" x14ac:dyDescent="0.2">
      <c r="A1469" s="6">
        <v>46079</v>
      </c>
      <c r="B1469" s="2" t="s">
        <v>227</v>
      </c>
      <c r="C1469" s="5">
        <v>46054</v>
      </c>
      <c r="D1469" s="2" t="s">
        <v>199</v>
      </c>
      <c r="E1469" s="3">
        <v>4744</v>
      </c>
      <c r="F1469" s="8">
        <v>0.29880000000000001</v>
      </c>
      <c r="G1469" s="4">
        <v>93.515000000000001</v>
      </c>
      <c r="H1469" s="4">
        <v>100.2974</v>
      </c>
      <c r="I1469" s="4">
        <v>13.487500000000001</v>
      </c>
      <c r="J1469" s="4">
        <v>13.605</v>
      </c>
      <c r="K1469" s="4">
        <v>11.8125</v>
      </c>
      <c r="L1469" s="4">
        <v>13.06</v>
      </c>
      <c r="M1469" s="7">
        <v>-3.1699999999999999E-2</v>
      </c>
    </row>
    <row r="1470" spans="1:13" x14ac:dyDescent="0.2">
      <c r="A1470" s="6">
        <v>46080</v>
      </c>
      <c r="B1470" s="2" t="s">
        <v>225</v>
      </c>
      <c r="C1470" s="5">
        <v>46054</v>
      </c>
      <c r="D1470" s="2" t="s">
        <v>199</v>
      </c>
      <c r="E1470" s="3">
        <v>4770</v>
      </c>
      <c r="F1470" s="8">
        <v>0.33400000000000002</v>
      </c>
      <c r="G1470" s="4">
        <v>82.641400000000004</v>
      </c>
      <c r="H1470" s="4">
        <v>80.0244</v>
      </c>
      <c r="I1470" s="4">
        <v>13.0625</v>
      </c>
      <c r="J1470" s="4">
        <v>14.035</v>
      </c>
      <c r="K1470" s="4">
        <v>11.2</v>
      </c>
      <c r="L1470" s="4">
        <v>13.7</v>
      </c>
      <c r="M1470" s="7">
        <v>4.8800000000000003E-2</v>
      </c>
    </row>
    <row r="1471" spans="1:13" x14ac:dyDescent="0.2">
      <c r="A1471" s="6">
        <v>46083</v>
      </c>
      <c r="B1471" s="2" t="s">
        <v>228</v>
      </c>
      <c r="C1471" s="5">
        <v>46082</v>
      </c>
      <c r="D1471" s="2" t="s">
        <v>199</v>
      </c>
      <c r="E1471" s="3">
        <v>4987</v>
      </c>
      <c r="F1471" s="8">
        <v>0.503</v>
      </c>
      <c r="G1471" s="4">
        <v>108.7837</v>
      </c>
      <c r="H1471" s="4">
        <v>115.0569</v>
      </c>
      <c r="I1471" s="4">
        <v>13.702500000000001</v>
      </c>
      <c r="J1471" s="4">
        <v>17.8125</v>
      </c>
      <c r="K1471" s="4">
        <v>12.824999999999999</v>
      </c>
      <c r="L1471" s="4">
        <v>17.13</v>
      </c>
      <c r="M1471" s="7">
        <v>0.25009999999999999</v>
      </c>
    </row>
    <row r="1472" spans="1:13" x14ac:dyDescent="0.2">
      <c r="A1472" s="6">
        <v>46085</v>
      </c>
      <c r="B1472" s="2" t="s">
        <v>224</v>
      </c>
      <c r="C1472" s="5">
        <v>46082</v>
      </c>
      <c r="D1472" s="2" t="s">
        <v>199</v>
      </c>
      <c r="E1472" s="3">
        <v>4927</v>
      </c>
      <c r="F1472" s="8">
        <v>0.4662</v>
      </c>
      <c r="G1472" s="4">
        <v>98.929299999999998</v>
      </c>
      <c r="H1472" s="4">
        <v>104.18940000000001</v>
      </c>
      <c r="I1472" s="4">
        <v>17.13</v>
      </c>
      <c r="J1472" s="4">
        <v>21.3675</v>
      </c>
      <c r="K1472" s="4">
        <v>16.967500000000001</v>
      </c>
      <c r="L1472" s="4">
        <v>21.14</v>
      </c>
      <c r="M1472" s="7">
        <v>0.2341</v>
      </c>
    </row>
    <row r="1473" spans="1:13" x14ac:dyDescent="0.2">
      <c r="A1473" s="6">
        <v>46086</v>
      </c>
      <c r="B1473" s="2" t="s">
        <v>227</v>
      </c>
      <c r="C1473" s="5">
        <v>46082</v>
      </c>
      <c r="D1473" s="2" t="s">
        <v>199</v>
      </c>
      <c r="E1473" s="3">
        <v>4852</v>
      </c>
      <c r="F1473" s="8">
        <v>0.37469999999999998</v>
      </c>
      <c r="G1473" s="4">
        <v>80.136099999999999</v>
      </c>
      <c r="H1473" s="4">
        <v>92.581000000000003</v>
      </c>
      <c r="I1473" s="4">
        <v>21.14</v>
      </c>
      <c r="J1473" s="4">
        <v>21.14</v>
      </c>
      <c r="K1473" s="4">
        <v>17.302499999999998</v>
      </c>
      <c r="L1473" s="4">
        <v>17.86</v>
      </c>
      <c r="M1473" s="7">
        <v>-0.1552</v>
      </c>
    </row>
    <row r="1474" spans="1:13" x14ac:dyDescent="0.2">
      <c r="A1474" s="6">
        <v>46087</v>
      </c>
      <c r="B1474" s="2" t="s">
        <v>225</v>
      </c>
      <c r="C1474" s="5">
        <v>46082</v>
      </c>
      <c r="D1474" s="2" t="s">
        <v>199</v>
      </c>
      <c r="E1474" s="3">
        <v>4797</v>
      </c>
      <c r="F1474" s="8">
        <v>0.31180000000000002</v>
      </c>
      <c r="G1474" s="4">
        <v>72.4054</v>
      </c>
      <c r="H1474" s="4">
        <v>80.284000000000006</v>
      </c>
      <c r="I1474" s="4">
        <v>17.857500000000002</v>
      </c>
      <c r="J1474" s="4">
        <v>20.142499999999998</v>
      </c>
      <c r="K1474" s="4">
        <v>17.197500000000002</v>
      </c>
      <c r="L1474" s="4">
        <v>19.88</v>
      </c>
      <c r="M1474" s="7">
        <v>0.1133</v>
      </c>
    </row>
    <row r="1475" spans="1:13" x14ac:dyDescent="0.2">
      <c r="A1475" s="6">
        <v>46090</v>
      </c>
      <c r="B1475" s="2" t="s">
        <v>228</v>
      </c>
      <c r="C1475" s="5">
        <v>46082</v>
      </c>
      <c r="D1475" s="2" t="s">
        <v>199</v>
      </c>
      <c r="E1475" s="3">
        <v>5050</v>
      </c>
      <c r="F1475" s="8">
        <v>0.41349999999999998</v>
      </c>
      <c r="G1475" s="4">
        <v>76.033500000000004</v>
      </c>
      <c r="H1475" s="4">
        <v>96.585400000000007</v>
      </c>
      <c r="I1475" s="4">
        <v>19.88</v>
      </c>
      <c r="J1475" s="4">
        <v>24.4925</v>
      </c>
      <c r="K1475" s="4">
        <v>19.217500000000001</v>
      </c>
      <c r="L1475" s="4">
        <v>23.36</v>
      </c>
      <c r="M1475" s="7">
        <v>0.17510000000000001</v>
      </c>
    </row>
    <row r="1476" spans="1:13" x14ac:dyDescent="0.2">
      <c r="A1476" s="6">
        <v>46091</v>
      </c>
      <c r="B1476" s="2" t="s">
        <v>226</v>
      </c>
      <c r="C1476" s="5">
        <v>46082</v>
      </c>
      <c r="D1476" s="2" t="s">
        <v>199</v>
      </c>
      <c r="E1476" s="3">
        <v>4901</v>
      </c>
      <c r="F1476" s="8">
        <v>0.29709999999999998</v>
      </c>
      <c r="G1476" s="4">
        <v>79.061300000000003</v>
      </c>
      <c r="H1476" s="4">
        <v>76.312600000000003</v>
      </c>
      <c r="I1476" s="4">
        <v>23.362500000000001</v>
      </c>
      <c r="J1476" s="4">
        <v>23.362500000000001</v>
      </c>
      <c r="K1476" s="4">
        <v>18.7775</v>
      </c>
      <c r="L1476" s="4">
        <v>18.91</v>
      </c>
      <c r="M1476" s="7">
        <v>-0.19059999999999999</v>
      </c>
    </row>
    <row r="1477" spans="1:13" x14ac:dyDescent="0.2">
      <c r="A1477" s="6">
        <v>46092</v>
      </c>
      <c r="B1477" s="2" t="s">
        <v>224</v>
      </c>
      <c r="C1477" s="5">
        <v>46082</v>
      </c>
      <c r="D1477" s="2" t="s">
        <v>199</v>
      </c>
      <c r="E1477" s="3">
        <v>4854</v>
      </c>
      <c r="F1477" s="8">
        <v>0.32829999999999998</v>
      </c>
      <c r="G1477" s="4">
        <v>81.599999999999994</v>
      </c>
      <c r="H1477" s="4">
        <v>75.447800000000001</v>
      </c>
      <c r="I1477" s="4">
        <v>18.905000000000001</v>
      </c>
      <c r="J1477" s="4">
        <v>21.385000000000002</v>
      </c>
      <c r="K1477" s="4">
        <v>17.239999999999998</v>
      </c>
      <c r="L1477" s="4">
        <v>21.06</v>
      </c>
      <c r="M1477" s="7">
        <v>0.114</v>
      </c>
    </row>
    <row r="1478" spans="1:13" x14ac:dyDescent="0.2">
      <c r="A1478" s="6">
        <v>46093</v>
      </c>
      <c r="B1478" s="2" t="s">
        <v>227</v>
      </c>
      <c r="C1478" s="5">
        <v>46082</v>
      </c>
      <c r="D1478" s="2" t="s">
        <v>199</v>
      </c>
      <c r="E1478" s="3">
        <v>4823</v>
      </c>
      <c r="F1478" s="8">
        <v>0.38419999999999999</v>
      </c>
      <c r="G1478" s="4">
        <v>87.948599999999999</v>
      </c>
      <c r="H1478" s="4">
        <v>89.061700000000002</v>
      </c>
      <c r="I1478" s="4">
        <v>21.0625</v>
      </c>
      <c r="J1478" s="4">
        <v>22.355</v>
      </c>
      <c r="K1478" s="4">
        <v>20.822500000000002</v>
      </c>
      <c r="L1478" s="4">
        <v>21.52</v>
      </c>
      <c r="M1478" s="7">
        <v>2.1700000000000001E-2</v>
      </c>
    </row>
    <row r="1479" spans="1:13" x14ac:dyDescent="0.2">
      <c r="A1479" s="6">
        <v>46094</v>
      </c>
      <c r="B1479" s="2" t="s">
        <v>225</v>
      </c>
      <c r="C1479" s="5">
        <v>46082</v>
      </c>
      <c r="D1479" s="2" t="s">
        <v>199</v>
      </c>
      <c r="E1479" s="3">
        <v>4929</v>
      </c>
      <c r="F1479" s="8">
        <v>0.38150000000000001</v>
      </c>
      <c r="G1479" s="4">
        <v>85.881600000000006</v>
      </c>
      <c r="H1479" s="4">
        <v>88.024600000000007</v>
      </c>
      <c r="I1479" s="4">
        <v>21.517499999999998</v>
      </c>
      <c r="J1479" s="4">
        <v>22.8825</v>
      </c>
      <c r="K1479" s="4">
        <v>21.247499999999999</v>
      </c>
      <c r="L1479" s="4">
        <v>22.65</v>
      </c>
      <c r="M1479" s="7">
        <v>5.2600000000000001E-2</v>
      </c>
    </row>
    <row r="1480" spans="1:13" x14ac:dyDescent="0.2">
      <c r="A1480" s="6">
        <v>46097</v>
      </c>
      <c r="B1480" s="2" t="s">
        <v>228</v>
      </c>
      <c r="C1480" s="5">
        <v>46082</v>
      </c>
      <c r="D1480" s="2" t="s">
        <v>199</v>
      </c>
      <c r="E1480" s="3">
        <v>5072</v>
      </c>
      <c r="F1480" s="8">
        <v>0.36990000000000001</v>
      </c>
      <c r="G1480" s="4">
        <v>81.442999999999998</v>
      </c>
      <c r="H1480" s="4">
        <v>78.191000000000003</v>
      </c>
      <c r="I1480" s="4">
        <v>22.645</v>
      </c>
      <c r="J1480" s="4">
        <v>22.875</v>
      </c>
      <c r="K1480" s="4">
        <v>19.82</v>
      </c>
      <c r="L1480" s="4">
        <v>21.6</v>
      </c>
      <c r="M1480" s="7">
        <v>-4.6100000000000002E-2</v>
      </c>
    </row>
    <row r="1481" spans="1:13" x14ac:dyDescent="0.2">
      <c r="A1481" s="6">
        <v>46098</v>
      </c>
      <c r="B1481" s="2" t="s">
        <v>226</v>
      </c>
      <c r="C1481" s="5">
        <v>46082</v>
      </c>
      <c r="D1481" s="2" t="s">
        <v>199</v>
      </c>
      <c r="E1481" s="3">
        <v>4848</v>
      </c>
      <c r="F1481" s="8">
        <v>0.29470000000000002</v>
      </c>
      <c r="G1481" s="4">
        <v>81.543000000000006</v>
      </c>
      <c r="H1481" s="4">
        <v>84.237799999999993</v>
      </c>
      <c r="I1481" s="4">
        <v>21.602499999999999</v>
      </c>
      <c r="J1481" s="4">
        <v>21.602499999999999</v>
      </c>
      <c r="K1481" s="4">
        <v>19.627500000000001</v>
      </c>
      <c r="L1481" s="4">
        <v>19.79</v>
      </c>
      <c r="M1481" s="7">
        <v>-8.3900000000000002E-2</v>
      </c>
    </row>
    <row r="1482" spans="1:13" x14ac:dyDescent="0.2">
      <c r="A1482" s="6">
        <v>46099</v>
      </c>
      <c r="B1482" s="2" t="s">
        <v>224</v>
      </c>
      <c r="C1482" s="5">
        <v>46082</v>
      </c>
      <c r="D1482" s="2" t="s">
        <v>199</v>
      </c>
      <c r="E1482" s="3">
        <v>4879</v>
      </c>
      <c r="F1482" s="8">
        <v>0.32940000000000003</v>
      </c>
      <c r="G1482" s="4">
        <v>77.3172</v>
      </c>
      <c r="H1482" s="4">
        <v>80.205799999999996</v>
      </c>
      <c r="I1482" s="4">
        <v>19.79</v>
      </c>
      <c r="J1482" s="4">
        <v>19.79</v>
      </c>
      <c r="K1482" s="4">
        <v>18.592500000000001</v>
      </c>
      <c r="L1482" s="4">
        <v>18.72</v>
      </c>
      <c r="M1482" s="7">
        <v>-5.4100000000000002E-2</v>
      </c>
    </row>
    <row r="1483" spans="1:13" x14ac:dyDescent="0.2">
      <c r="A1483" s="6">
        <v>46100</v>
      </c>
      <c r="B1483" s="2" t="s">
        <v>227</v>
      </c>
      <c r="C1483" s="5">
        <v>46082</v>
      </c>
      <c r="D1483" s="2" t="s">
        <v>199</v>
      </c>
      <c r="E1483" s="3">
        <v>4871</v>
      </c>
      <c r="F1483" s="8">
        <v>0.36859999999999998</v>
      </c>
      <c r="G1483" s="4">
        <v>71.071600000000004</v>
      </c>
      <c r="H1483" s="4">
        <v>81.982799999999997</v>
      </c>
      <c r="I1483" s="4">
        <v>18.7225</v>
      </c>
      <c r="J1483" s="4">
        <v>23.195</v>
      </c>
      <c r="K1483" s="4">
        <v>18.7225</v>
      </c>
      <c r="L1483" s="4">
        <v>22.8</v>
      </c>
      <c r="M1483" s="7">
        <v>0.21779999999999999</v>
      </c>
    </row>
    <row r="1484" spans="1:13" x14ac:dyDescent="0.2">
      <c r="A1484" s="6">
        <v>46101</v>
      </c>
      <c r="B1484" s="2" t="s">
        <v>225</v>
      </c>
      <c r="C1484" s="5">
        <v>46082</v>
      </c>
      <c r="D1484" s="2" t="s">
        <v>199</v>
      </c>
      <c r="E1484" s="3">
        <v>4864</v>
      </c>
      <c r="F1484" s="8">
        <v>0.31859999999999999</v>
      </c>
      <c r="G1484" s="4">
        <v>74.303600000000003</v>
      </c>
      <c r="H1484" s="4">
        <v>80.483900000000006</v>
      </c>
      <c r="I1484" s="4">
        <v>22.802499999999998</v>
      </c>
      <c r="J1484" s="4">
        <v>23.137499999999999</v>
      </c>
      <c r="K1484" s="4">
        <v>21.684999999999999</v>
      </c>
      <c r="L1484" s="4">
        <v>22.81</v>
      </c>
      <c r="M1484" s="7">
        <v>2.9999999999999997E-4</v>
      </c>
    </row>
    <row r="1485" spans="1:13" x14ac:dyDescent="0.2">
      <c r="A1485" s="6">
        <v>46104</v>
      </c>
      <c r="B1485" s="2" t="s">
        <v>228</v>
      </c>
      <c r="C1485" s="5">
        <v>46082</v>
      </c>
      <c r="D1485" s="2" t="s">
        <v>199</v>
      </c>
      <c r="E1485" s="3">
        <v>5118</v>
      </c>
      <c r="F1485" s="8">
        <v>0.5101</v>
      </c>
      <c r="G1485" s="4">
        <v>93.715999999999994</v>
      </c>
      <c r="H1485" s="4">
        <v>100.4838</v>
      </c>
      <c r="I1485" s="4">
        <v>22.8125</v>
      </c>
      <c r="J1485" s="4">
        <v>27.172499999999999</v>
      </c>
      <c r="K1485" s="4">
        <v>22.8125</v>
      </c>
      <c r="L1485" s="4">
        <v>26.73</v>
      </c>
      <c r="M1485" s="7">
        <v>0.17169999999999999</v>
      </c>
    </row>
    <row r="1486" spans="1:13" x14ac:dyDescent="0.2">
      <c r="A1486" s="6">
        <v>46105</v>
      </c>
      <c r="B1486" s="2" t="s">
        <v>226</v>
      </c>
      <c r="C1486" s="5">
        <v>46082</v>
      </c>
      <c r="D1486" s="2" t="s">
        <v>199</v>
      </c>
      <c r="E1486" s="3">
        <v>4901</v>
      </c>
      <c r="F1486" s="8">
        <v>0.42649999999999999</v>
      </c>
      <c r="G1486" s="4">
        <v>100.59010000000001</v>
      </c>
      <c r="H1486" s="4">
        <v>106.4032</v>
      </c>
      <c r="I1486" s="4">
        <v>26.73</v>
      </c>
      <c r="J1486" s="4">
        <v>26.73</v>
      </c>
      <c r="K1486" s="4">
        <v>24.63</v>
      </c>
      <c r="L1486" s="4">
        <v>24.74</v>
      </c>
      <c r="M1486" s="7">
        <v>-7.4399999999999994E-2</v>
      </c>
    </row>
    <row r="1487" spans="1:13" x14ac:dyDescent="0.2">
      <c r="A1487" s="6">
        <v>46106</v>
      </c>
      <c r="B1487" s="2" t="s">
        <v>224</v>
      </c>
      <c r="C1487" s="5">
        <v>46082</v>
      </c>
      <c r="D1487" s="2" t="s">
        <v>199</v>
      </c>
      <c r="E1487" s="3">
        <v>4931</v>
      </c>
      <c r="F1487" s="8">
        <v>0.44769999999999999</v>
      </c>
      <c r="G1487" s="4">
        <v>117.9118</v>
      </c>
      <c r="H1487" s="4">
        <v>121.81019999999999</v>
      </c>
      <c r="I1487" s="4">
        <v>24.74</v>
      </c>
      <c r="J1487" s="4">
        <v>25.23</v>
      </c>
      <c r="K1487" s="4">
        <v>24.135000000000002</v>
      </c>
      <c r="L1487" s="4">
        <v>24.64</v>
      </c>
      <c r="M1487" s="7">
        <v>-4.0000000000000001E-3</v>
      </c>
    </row>
    <row r="1488" spans="1:13" x14ac:dyDescent="0.2">
      <c r="A1488" s="6">
        <v>46108</v>
      </c>
      <c r="B1488" s="2" t="s">
        <v>225</v>
      </c>
      <c r="C1488" s="5">
        <v>46082</v>
      </c>
      <c r="D1488" s="2" t="s">
        <v>199</v>
      </c>
      <c r="E1488" s="3">
        <v>5037</v>
      </c>
      <c r="F1488" s="8">
        <v>0.49099999999999999</v>
      </c>
      <c r="G1488" s="4">
        <v>149.3176</v>
      </c>
      <c r="H1488" s="4">
        <v>124.96510000000001</v>
      </c>
      <c r="I1488" s="4">
        <v>24.64</v>
      </c>
      <c r="J1488" s="4">
        <v>27.087499999999999</v>
      </c>
      <c r="K1488" s="4">
        <v>23.385000000000002</v>
      </c>
      <c r="L1488" s="4">
        <v>26.8</v>
      </c>
      <c r="M1488" s="7">
        <v>8.77E-2</v>
      </c>
    </row>
    <row r="1489" spans="1:13" x14ac:dyDescent="0.2">
      <c r="A1489" s="6">
        <v>46111</v>
      </c>
      <c r="B1489" s="2" t="s">
        <v>228</v>
      </c>
      <c r="C1489" s="5">
        <v>46082</v>
      </c>
      <c r="D1489" s="2" t="s">
        <v>199</v>
      </c>
      <c r="E1489" s="3">
        <v>5102</v>
      </c>
      <c r="F1489" s="8">
        <v>0.51890000000000003</v>
      </c>
      <c r="G1489" s="4">
        <v>125.8077</v>
      </c>
      <c r="H1489" s="4">
        <v>105.03060000000001</v>
      </c>
      <c r="I1489" s="4">
        <v>26.802499999999998</v>
      </c>
      <c r="J1489" s="4">
        <v>28.907499999999999</v>
      </c>
      <c r="K1489" s="4">
        <v>26.802499999999998</v>
      </c>
      <c r="L1489" s="4">
        <v>27.89</v>
      </c>
      <c r="M1489" s="7">
        <v>4.0599999999999997E-2</v>
      </c>
    </row>
    <row r="1490" spans="1:13" x14ac:dyDescent="0.2">
      <c r="A1490" s="6">
        <v>46113</v>
      </c>
      <c r="B1490" s="2" t="s">
        <v>224</v>
      </c>
      <c r="C1490" s="5">
        <v>46113</v>
      </c>
      <c r="D1490" s="2" t="s">
        <v>200</v>
      </c>
      <c r="E1490" s="3">
        <v>4920</v>
      </c>
      <c r="F1490" s="8">
        <v>0.40239999999999998</v>
      </c>
      <c r="G1490" s="4">
        <v>103.7088</v>
      </c>
      <c r="H1490" s="4">
        <v>89.395300000000006</v>
      </c>
      <c r="I1490" s="4">
        <v>27.887499999999999</v>
      </c>
      <c r="J1490" s="4">
        <v>27.887499999999999</v>
      </c>
      <c r="K1490" s="4">
        <v>23.647500000000001</v>
      </c>
      <c r="L1490" s="4">
        <v>25.01</v>
      </c>
      <c r="M1490" s="7">
        <v>-0.1032</v>
      </c>
    </row>
    <row r="1491" spans="1:13" x14ac:dyDescent="0.2">
      <c r="A1491" s="6">
        <v>46114</v>
      </c>
      <c r="B1491" s="2" t="s">
        <v>227</v>
      </c>
      <c r="C1491" s="5">
        <v>46113</v>
      </c>
      <c r="D1491" s="2" t="s">
        <v>200</v>
      </c>
      <c r="E1491" s="3">
        <v>4836</v>
      </c>
      <c r="F1491" s="8">
        <v>0.40089999999999998</v>
      </c>
      <c r="G1491" s="4">
        <v>90.767899999999997</v>
      </c>
      <c r="H1491" s="4">
        <v>85.412700000000001</v>
      </c>
      <c r="I1491" s="4">
        <v>25.01</v>
      </c>
      <c r="J1491" s="4">
        <v>26.594999999999999</v>
      </c>
      <c r="K1491" s="4">
        <v>25.01</v>
      </c>
      <c r="L1491" s="4">
        <v>25.52</v>
      </c>
      <c r="M1491" s="7">
        <v>2.0400000000000001E-2</v>
      </c>
    </row>
    <row r="1492" spans="1:13" x14ac:dyDescent="0.2">
      <c r="A1492" s="6">
        <v>46118</v>
      </c>
      <c r="B1492" s="2" t="s">
        <v>228</v>
      </c>
      <c r="C1492" s="5">
        <v>46113</v>
      </c>
      <c r="D1492" s="2" t="s">
        <v>200</v>
      </c>
      <c r="E1492" s="3">
        <v>5038</v>
      </c>
      <c r="F1492" s="8">
        <v>0.40479999999999999</v>
      </c>
      <c r="G1492" s="4">
        <v>96.4191</v>
      </c>
      <c r="H1492" s="4">
        <v>85.073899999999995</v>
      </c>
      <c r="I1492" s="4">
        <v>25.52</v>
      </c>
      <c r="J1492" s="4">
        <v>26.56</v>
      </c>
      <c r="K1492" s="4">
        <v>25.0825</v>
      </c>
      <c r="L1492" s="4">
        <v>25.47</v>
      </c>
      <c r="M1492" s="7">
        <v>-2E-3</v>
      </c>
    </row>
    <row r="1493" spans="1:13" x14ac:dyDescent="0.2">
      <c r="A1493" s="6">
        <v>46119</v>
      </c>
      <c r="B1493" s="2" t="s">
        <v>226</v>
      </c>
      <c r="C1493" s="5">
        <v>46113</v>
      </c>
      <c r="D1493" s="2" t="s">
        <v>200</v>
      </c>
      <c r="E1493" s="3">
        <v>4835</v>
      </c>
      <c r="F1493" s="8">
        <v>0.31859999999999999</v>
      </c>
      <c r="G1493" s="4">
        <v>67.881600000000006</v>
      </c>
      <c r="H1493" s="4">
        <v>64.745099999999994</v>
      </c>
      <c r="I1493" s="4">
        <v>25.467500000000001</v>
      </c>
      <c r="J1493" s="4">
        <v>26.254999999999999</v>
      </c>
      <c r="K1493" s="4">
        <v>24.545000000000002</v>
      </c>
      <c r="L1493" s="4">
        <v>24.7</v>
      </c>
      <c r="M1493" s="7">
        <v>-3.0099999999999998E-2</v>
      </c>
    </row>
    <row r="1494" spans="1:13" x14ac:dyDescent="0.2">
      <c r="A1494" s="6">
        <v>46120</v>
      </c>
      <c r="B1494" s="2" t="s">
        <v>224</v>
      </c>
      <c r="C1494" s="5">
        <v>46113</v>
      </c>
      <c r="D1494" s="2" t="s">
        <v>200</v>
      </c>
      <c r="E1494" s="3">
        <v>4951</v>
      </c>
      <c r="F1494" s="8">
        <v>0.46479999999999999</v>
      </c>
      <c r="G1494" s="4">
        <v>164.84530000000001</v>
      </c>
      <c r="H1494" s="4">
        <v>122.2282</v>
      </c>
      <c r="I1494" s="4">
        <v>24.695</v>
      </c>
      <c r="J1494" s="4">
        <v>24.695</v>
      </c>
      <c r="K1494" s="4">
        <v>19.305</v>
      </c>
      <c r="L1494" s="4">
        <v>19.7</v>
      </c>
      <c r="M1494" s="7">
        <v>-0.20230000000000001</v>
      </c>
    </row>
    <row r="1495" spans="1:13" x14ac:dyDescent="0.2">
      <c r="A1495" s="6">
        <v>46121</v>
      </c>
      <c r="B1495" s="2" t="s">
        <v>227</v>
      </c>
      <c r="C1495" s="5">
        <v>46113</v>
      </c>
      <c r="D1495" s="2" t="s">
        <v>200</v>
      </c>
      <c r="E1495" s="3">
        <v>4841</v>
      </c>
      <c r="F1495" s="8">
        <v>0.40439999999999998</v>
      </c>
      <c r="G1495" s="4">
        <v>111.7821</v>
      </c>
      <c r="H1495" s="4">
        <v>103.33620000000001</v>
      </c>
      <c r="I1495" s="4">
        <v>19.697500000000002</v>
      </c>
      <c r="J1495" s="4">
        <v>20.942499999999999</v>
      </c>
      <c r="K1495" s="4">
        <v>19.172499999999999</v>
      </c>
      <c r="L1495" s="4">
        <v>20.43</v>
      </c>
      <c r="M1495" s="7">
        <v>3.7199999999999997E-2</v>
      </c>
    </row>
    <row r="1496" spans="1:13" x14ac:dyDescent="0.2">
      <c r="A1496" s="6">
        <v>46122</v>
      </c>
      <c r="B1496" s="2" t="s">
        <v>225</v>
      </c>
      <c r="C1496" s="5">
        <v>46113</v>
      </c>
      <c r="D1496" s="2" t="s">
        <v>200</v>
      </c>
      <c r="E1496" s="3">
        <v>4894</v>
      </c>
      <c r="F1496" s="8">
        <v>0.3745</v>
      </c>
      <c r="G1496" s="4">
        <v>91.467100000000002</v>
      </c>
      <c r="H1496" s="4">
        <v>88.125799999999998</v>
      </c>
      <c r="I1496" s="4">
        <v>20.427499999999998</v>
      </c>
      <c r="J1496" s="4">
        <v>20.427499999999998</v>
      </c>
      <c r="K1496" s="4">
        <v>18.37</v>
      </c>
      <c r="L1496" s="4">
        <v>18.850000000000001</v>
      </c>
      <c r="M1496" s="7">
        <v>-7.7200000000000005E-2</v>
      </c>
    </row>
    <row r="1497" spans="1:13" x14ac:dyDescent="0.2">
      <c r="A1497" s="6">
        <v>46125</v>
      </c>
      <c r="B1497" s="2" t="s">
        <v>228</v>
      </c>
      <c r="C1497" s="5">
        <v>46113</v>
      </c>
      <c r="D1497" s="2" t="s">
        <v>200</v>
      </c>
      <c r="E1497" s="3">
        <v>5003</v>
      </c>
      <c r="F1497" s="8">
        <v>0.37519999999999998</v>
      </c>
      <c r="G1497" s="4">
        <v>86.3035</v>
      </c>
      <c r="H1497" s="4">
        <v>91.783699999999996</v>
      </c>
      <c r="I1497" s="4">
        <v>18.850000000000001</v>
      </c>
      <c r="J1497" s="4">
        <v>21.5075</v>
      </c>
      <c r="K1497" s="4">
        <v>18.182500000000001</v>
      </c>
      <c r="L1497" s="4">
        <v>20.5</v>
      </c>
      <c r="M1497" s="7">
        <v>8.7499999999999994E-2</v>
      </c>
    </row>
    <row r="1498" spans="1:13" x14ac:dyDescent="0.2">
      <c r="A1498" s="6">
        <v>46127</v>
      </c>
      <c r="B1498" s="2" t="s">
        <v>224</v>
      </c>
      <c r="C1498" s="5">
        <v>46113</v>
      </c>
      <c r="D1498" s="2" t="s">
        <v>200</v>
      </c>
      <c r="E1498" s="3">
        <v>5015</v>
      </c>
      <c r="F1498" s="8">
        <v>0.3982</v>
      </c>
      <c r="G1498" s="4">
        <v>112.64870000000001</v>
      </c>
      <c r="H1498" s="4">
        <v>95.366100000000003</v>
      </c>
      <c r="I1498" s="4">
        <v>20.5</v>
      </c>
      <c r="J1498" s="4">
        <v>20.5</v>
      </c>
      <c r="K1498" s="4">
        <v>17.337499999999999</v>
      </c>
      <c r="L1498" s="4">
        <v>18.670000000000002</v>
      </c>
      <c r="M1498" s="7">
        <v>-8.9300000000000004E-2</v>
      </c>
    </row>
    <row r="1499" spans="1:13" x14ac:dyDescent="0.2">
      <c r="A1499" s="6">
        <v>46128</v>
      </c>
      <c r="B1499" s="2" t="s">
        <v>227</v>
      </c>
      <c r="C1499" s="5">
        <v>46113</v>
      </c>
      <c r="D1499" s="2" t="s">
        <v>200</v>
      </c>
      <c r="E1499" s="3">
        <v>4970</v>
      </c>
      <c r="F1499" s="8">
        <v>0.4274</v>
      </c>
      <c r="G1499" s="4">
        <v>97.609200000000001</v>
      </c>
      <c r="H1499" s="4">
        <v>114.3373</v>
      </c>
      <c r="I1499" s="4">
        <v>18.6675</v>
      </c>
      <c r="J1499" s="4">
        <v>18.6675</v>
      </c>
      <c r="K1499" s="4">
        <v>16.8325</v>
      </c>
      <c r="L1499" s="4">
        <v>18.09</v>
      </c>
      <c r="M1499" s="7">
        <v>-3.09E-2</v>
      </c>
    </row>
    <row r="1500" spans="1:13" x14ac:dyDescent="0.2">
      <c r="A1500" s="6">
        <v>46129</v>
      </c>
      <c r="B1500" s="2" t="s">
        <v>225</v>
      </c>
      <c r="C1500" s="5">
        <v>46113</v>
      </c>
      <c r="D1500" s="2" t="s">
        <v>200</v>
      </c>
      <c r="E1500" s="3">
        <v>4941</v>
      </c>
      <c r="F1500" s="8">
        <v>0.40589999999999998</v>
      </c>
      <c r="G1500" s="4">
        <v>96.366100000000003</v>
      </c>
      <c r="H1500" s="4">
        <v>101.01130000000001</v>
      </c>
      <c r="I1500" s="4">
        <v>18.085000000000001</v>
      </c>
      <c r="J1500" s="4">
        <v>18.47</v>
      </c>
      <c r="K1500" s="4">
        <v>16.592500000000001</v>
      </c>
      <c r="L1500" s="4">
        <v>17.21</v>
      </c>
      <c r="M1500" s="7">
        <v>-4.8399999999999999E-2</v>
      </c>
    </row>
    <row r="1501" spans="1:13" x14ac:dyDescent="0.2">
      <c r="A1501" s="6">
        <v>46132</v>
      </c>
      <c r="B1501" s="2" t="s">
        <v>228</v>
      </c>
      <c r="C1501" s="5">
        <v>46113</v>
      </c>
      <c r="D1501" s="2" t="s">
        <v>200</v>
      </c>
      <c r="E1501" s="3">
        <v>5026</v>
      </c>
      <c r="F1501" s="8">
        <v>0.37469999999999998</v>
      </c>
      <c r="G1501" s="4">
        <v>75.814899999999994</v>
      </c>
      <c r="H1501" s="4">
        <v>79.700500000000005</v>
      </c>
      <c r="I1501" s="4">
        <v>17.204999999999998</v>
      </c>
      <c r="J1501" s="4">
        <v>19.010000000000002</v>
      </c>
      <c r="K1501" s="4">
        <v>16.48</v>
      </c>
      <c r="L1501" s="4">
        <v>18.79</v>
      </c>
      <c r="M1501" s="7">
        <v>9.2100000000000001E-2</v>
      </c>
    </row>
    <row r="1502" spans="1:13" x14ac:dyDescent="0.2">
      <c r="A1502" s="6">
        <v>46133</v>
      </c>
      <c r="B1502" s="2" t="s">
        <v>226</v>
      </c>
      <c r="C1502" s="5">
        <v>46113</v>
      </c>
      <c r="D1502" s="2" t="s">
        <v>200</v>
      </c>
      <c r="E1502" s="3">
        <v>4873</v>
      </c>
      <c r="F1502" s="8">
        <v>0.31769999999999998</v>
      </c>
      <c r="G1502" s="4">
        <v>66.836299999999994</v>
      </c>
      <c r="H1502" s="4">
        <v>78.132199999999997</v>
      </c>
      <c r="I1502" s="4">
        <v>18.79</v>
      </c>
      <c r="J1502" s="4">
        <v>18.79</v>
      </c>
      <c r="K1502" s="4">
        <v>17.452500000000001</v>
      </c>
      <c r="L1502" s="4">
        <v>17.53</v>
      </c>
      <c r="M1502" s="7">
        <v>-6.7100000000000007E-2</v>
      </c>
    </row>
    <row r="1503" spans="1:13" x14ac:dyDescent="0.2">
      <c r="A1503" s="6">
        <v>46134</v>
      </c>
      <c r="B1503" s="2" t="s">
        <v>224</v>
      </c>
      <c r="C1503" s="5">
        <v>46113</v>
      </c>
      <c r="D1503" s="2" t="s">
        <v>200</v>
      </c>
      <c r="E1503" s="3">
        <v>4866</v>
      </c>
      <c r="F1503" s="8">
        <v>0.37280000000000002</v>
      </c>
      <c r="G1503" s="4">
        <v>90.631299999999996</v>
      </c>
      <c r="H1503" s="4">
        <v>98.516900000000007</v>
      </c>
      <c r="I1503" s="4">
        <v>17.532499999999999</v>
      </c>
      <c r="J1503" s="4">
        <v>18.73</v>
      </c>
      <c r="K1503" s="4">
        <v>17.245000000000001</v>
      </c>
      <c r="L1503" s="4">
        <v>18.3</v>
      </c>
      <c r="M1503" s="7">
        <v>4.3799999999999999E-2</v>
      </c>
    </row>
    <row r="1504" spans="1:13" x14ac:dyDescent="0.2">
      <c r="A1504" s="6">
        <v>46135</v>
      </c>
      <c r="B1504" s="2" t="s">
        <v>227</v>
      </c>
      <c r="C1504" s="5">
        <v>46113</v>
      </c>
      <c r="D1504" s="2" t="s">
        <v>200</v>
      </c>
      <c r="E1504" s="3">
        <v>4888</v>
      </c>
      <c r="F1504" s="8">
        <v>0.37419999999999998</v>
      </c>
      <c r="G1504" s="4">
        <v>74.956900000000005</v>
      </c>
      <c r="H1504" s="4">
        <v>108.6786</v>
      </c>
      <c r="I1504" s="4">
        <v>18.3</v>
      </c>
      <c r="J1504" s="4">
        <v>19.12</v>
      </c>
      <c r="K1504" s="4">
        <v>17.489999999999998</v>
      </c>
      <c r="L1504" s="4">
        <v>18.59</v>
      </c>
      <c r="M1504" s="7">
        <v>1.5800000000000002E-2</v>
      </c>
    </row>
    <row r="1505" spans="1:13" x14ac:dyDescent="0.2">
      <c r="A1505" s="6">
        <v>46136</v>
      </c>
      <c r="B1505" s="2" t="s">
        <v>225</v>
      </c>
      <c r="C1505" s="5">
        <v>46113</v>
      </c>
      <c r="D1505" s="2" t="s">
        <v>200</v>
      </c>
      <c r="E1505" s="3">
        <v>4857</v>
      </c>
      <c r="F1505" s="8">
        <v>0.37690000000000001</v>
      </c>
      <c r="G1505" s="4">
        <v>60.715899999999998</v>
      </c>
      <c r="H1505" s="4">
        <v>92.357699999999994</v>
      </c>
      <c r="I1505" s="4">
        <v>18.59</v>
      </c>
      <c r="J1505" s="4">
        <v>19.895</v>
      </c>
      <c r="K1505" s="4">
        <v>18.0625</v>
      </c>
      <c r="L1505" s="4">
        <v>19.71</v>
      </c>
      <c r="M1505" s="7">
        <v>6.0199999999999997E-2</v>
      </c>
    </row>
    <row r="1506" spans="1:13" x14ac:dyDescent="0.2">
      <c r="A1506" s="6">
        <v>46139</v>
      </c>
      <c r="B1506" s="2" t="s">
        <v>228</v>
      </c>
      <c r="C1506" s="5">
        <v>46113</v>
      </c>
      <c r="D1506" s="2" t="s">
        <v>200</v>
      </c>
      <c r="E1506" s="3">
        <v>4997</v>
      </c>
      <c r="F1506" s="8">
        <v>0.38529999999999998</v>
      </c>
      <c r="G1506" s="4">
        <v>75.149600000000007</v>
      </c>
      <c r="H1506" s="4">
        <v>89.930899999999994</v>
      </c>
      <c r="I1506" s="4">
        <v>19.712499999999999</v>
      </c>
      <c r="J1506" s="4">
        <v>19.712499999999999</v>
      </c>
      <c r="K1506" s="4">
        <v>18.27</v>
      </c>
      <c r="L1506" s="4">
        <v>18.38</v>
      </c>
      <c r="M1506" s="7">
        <v>-6.7599999999999993E-2</v>
      </c>
    </row>
    <row r="1507" spans="1:13" x14ac:dyDescent="0.2">
      <c r="A1507" s="6">
        <v>46140</v>
      </c>
      <c r="B1507" s="2" t="s">
        <v>226</v>
      </c>
      <c r="C1507" s="5">
        <v>46113</v>
      </c>
      <c r="D1507" s="2" t="s">
        <v>200</v>
      </c>
      <c r="E1507" s="3">
        <v>4861</v>
      </c>
      <c r="F1507" s="8">
        <v>0.3427</v>
      </c>
      <c r="G1507" s="4">
        <v>93.356499999999997</v>
      </c>
      <c r="H1507" s="4">
        <v>80.539199999999994</v>
      </c>
      <c r="I1507" s="4">
        <v>18.377500000000001</v>
      </c>
      <c r="J1507" s="4">
        <v>18.407499999999999</v>
      </c>
      <c r="K1507" s="4">
        <v>17.267499999999998</v>
      </c>
      <c r="L1507" s="4">
        <v>18.05</v>
      </c>
      <c r="M1507" s="7">
        <v>-1.78E-2</v>
      </c>
    </row>
    <row r="1508" spans="1:13" x14ac:dyDescent="0.2">
      <c r="A1508" s="6">
        <v>46141</v>
      </c>
      <c r="B1508" s="2" t="s">
        <v>224</v>
      </c>
      <c r="C1508" s="5">
        <v>46113</v>
      </c>
      <c r="D1508" s="2" t="s">
        <v>200</v>
      </c>
      <c r="E1508" s="3">
        <v>4849</v>
      </c>
      <c r="F1508" s="8">
        <v>0.39029999999999998</v>
      </c>
      <c r="G1508" s="4">
        <v>85.835700000000003</v>
      </c>
      <c r="H1508" s="4">
        <v>91.486099999999993</v>
      </c>
      <c r="I1508" s="4">
        <v>18.047499999999999</v>
      </c>
      <c r="J1508" s="4">
        <v>18.047499999999999</v>
      </c>
      <c r="K1508" s="4">
        <v>16.75</v>
      </c>
      <c r="L1508" s="4">
        <v>17.440000000000001</v>
      </c>
      <c r="M1508" s="7">
        <v>-3.3700000000000001E-2</v>
      </c>
    </row>
    <row r="1509" spans="1:13" x14ac:dyDescent="0.2">
      <c r="A1509" s="6">
        <v>46142</v>
      </c>
      <c r="B1509" s="2" t="s">
        <v>227</v>
      </c>
      <c r="C1509" s="5">
        <v>46113</v>
      </c>
      <c r="D1509" s="2" t="s">
        <v>200</v>
      </c>
      <c r="E1509" s="3">
        <v>4759</v>
      </c>
      <c r="F1509" s="8">
        <v>0.42009999999999997</v>
      </c>
      <c r="G1509" s="4">
        <v>67.392200000000003</v>
      </c>
      <c r="H1509" s="4">
        <v>104.4589</v>
      </c>
      <c r="I1509" s="4">
        <v>17.4375</v>
      </c>
      <c r="J1509" s="4">
        <v>19.48</v>
      </c>
      <c r="K1509" s="4">
        <v>17.184999999999999</v>
      </c>
      <c r="L1509" s="4">
        <v>18.46</v>
      </c>
      <c r="M1509" s="7">
        <v>5.8599999999999999E-2</v>
      </c>
    </row>
    <row r="1510" spans="1:13" x14ac:dyDescent="0.2">
      <c r="A1510" s="6">
        <v>46146</v>
      </c>
      <c r="B1510" s="2" t="s">
        <v>228</v>
      </c>
      <c r="C1510" s="5">
        <v>46143</v>
      </c>
      <c r="D1510" s="2" t="s">
        <v>200</v>
      </c>
      <c r="E1510" s="3">
        <v>5026</v>
      </c>
      <c r="F1510" s="8">
        <v>0.4128</v>
      </c>
      <c r="G1510" s="4">
        <v>81.759799999999998</v>
      </c>
      <c r="H1510" s="4">
        <v>170.7773</v>
      </c>
      <c r="I1510" s="4">
        <v>18.46</v>
      </c>
      <c r="J1510" s="4">
        <v>18.875</v>
      </c>
      <c r="K1510" s="4">
        <v>16.747499999999999</v>
      </c>
      <c r="L1510" s="4">
        <v>18.3</v>
      </c>
      <c r="M1510" s="7">
        <v>-8.6999999999999994E-3</v>
      </c>
    </row>
    <row r="1511" spans="1:13" x14ac:dyDescent="0.2">
      <c r="A1511" s="6">
        <v>46147</v>
      </c>
      <c r="B1511" s="2" t="s">
        <v>226</v>
      </c>
      <c r="C1511" s="5">
        <v>46143</v>
      </c>
      <c r="D1511" s="2" t="s">
        <v>200</v>
      </c>
      <c r="E1511" s="3">
        <v>4790</v>
      </c>
      <c r="F1511" s="8">
        <v>0.37419999999999998</v>
      </c>
      <c r="G1511" s="4">
        <v>65.289500000000004</v>
      </c>
      <c r="H1511" s="4">
        <v>82.552800000000005</v>
      </c>
      <c r="I1511" s="4">
        <v>18.3</v>
      </c>
      <c r="J1511" s="4">
        <v>18.842500000000001</v>
      </c>
      <c r="K1511" s="4">
        <v>17.712499999999999</v>
      </c>
      <c r="L1511" s="4">
        <v>17.91</v>
      </c>
      <c r="M1511" s="7">
        <v>-2.1299999999999999E-2</v>
      </c>
    </row>
    <row r="1512" spans="1:13" x14ac:dyDescent="0.2">
      <c r="A1512" s="6">
        <v>46148</v>
      </c>
      <c r="B1512" s="2" t="s">
        <v>224</v>
      </c>
      <c r="C1512" s="5">
        <v>46143</v>
      </c>
      <c r="D1512" s="2" t="s">
        <v>200</v>
      </c>
      <c r="E1512" s="3">
        <v>4847</v>
      </c>
      <c r="F1512" s="8">
        <v>0.4254</v>
      </c>
      <c r="G1512" s="4">
        <v>79.128100000000003</v>
      </c>
      <c r="H1512" s="4">
        <v>112.8353</v>
      </c>
      <c r="I1512" s="4">
        <v>17.907499999999999</v>
      </c>
      <c r="J1512" s="4">
        <v>18.077500000000001</v>
      </c>
      <c r="K1512" s="4">
        <v>16.577500000000001</v>
      </c>
      <c r="L1512" s="4">
        <v>16.68</v>
      </c>
      <c r="M1512" s="7">
        <v>-6.8500000000000005E-2</v>
      </c>
    </row>
    <row r="1513" spans="1:13" x14ac:dyDescent="0.2">
      <c r="A1513" s="6">
        <v>46149</v>
      </c>
      <c r="B1513" s="2" t="s">
        <v>227</v>
      </c>
      <c r="C1513" s="5">
        <v>46143</v>
      </c>
      <c r="D1513" s="2" t="s">
        <v>200</v>
      </c>
      <c r="E1513" s="3">
        <v>4845</v>
      </c>
      <c r="F1513" s="8">
        <v>0.4703</v>
      </c>
      <c r="G1513" s="4">
        <v>75.728200000000001</v>
      </c>
      <c r="H1513" s="4">
        <v>117.7529</v>
      </c>
      <c r="I1513" s="4">
        <v>16.677499999999998</v>
      </c>
      <c r="J1513" s="4">
        <v>17.195</v>
      </c>
      <c r="K1513" s="4">
        <v>15.1675</v>
      </c>
      <c r="L1513" s="4">
        <v>16.62</v>
      </c>
      <c r="M1513" s="7">
        <v>-3.3999999999999998E-3</v>
      </c>
    </row>
    <row r="1514" spans="1:13" x14ac:dyDescent="0.2">
      <c r="A1514" s="6">
        <v>46150</v>
      </c>
      <c r="B1514" s="2" t="s">
        <v>225</v>
      </c>
      <c r="C1514" s="5">
        <v>46143</v>
      </c>
      <c r="D1514" s="2" t="s">
        <v>200</v>
      </c>
      <c r="E1514" s="3">
        <v>4830</v>
      </c>
      <c r="F1514" s="8">
        <v>0.41049999999999998</v>
      </c>
      <c r="G1514" s="4">
        <v>81.226200000000006</v>
      </c>
      <c r="H1514" s="4">
        <v>99.627799999999993</v>
      </c>
      <c r="I1514" s="4">
        <v>16.62</v>
      </c>
      <c r="J1514" s="4">
        <v>17.425000000000001</v>
      </c>
      <c r="K1514" s="4">
        <v>16.162500000000001</v>
      </c>
      <c r="L1514" s="4">
        <v>16.84</v>
      </c>
      <c r="M1514" s="7">
        <v>1.32E-2</v>
      </c>
    </row>
    <row r="1515" spans="1:13" x14ac:dyDescent="0.2">
      <c r="A1515" s="6">
        <v>46153</v>
      </c>
      <c r="B1515" s="2" t="s">
        <v>228</v>
      </c>
      <c r="C1515" s="5">
        <v>46143</v>
      </c>
      <c r="D1515" s="2" t="s">
        <v>200</v>
      </c>
      <c r="E1515" s="3">
        <v>4967</v>
      </c>
      <c r="F1515" s="8">
        <v>0.4743</v>
      </c>
      <c r="G1515" s="4">
        <v>80.563699999999997</v>
      </c>
      <c r="H1515" s="4">
        <v>112.7282</v>
      </c>
      <c r="I1515" s="4">
        <v>16.84</v>
      </c>
      <c r="J1515" s="4">
        <v>18.967500000000001</v>
      </c>
      <c r="K1515" s="4">
        <v>16.84</v>
      </c>
      <c r="L1515" s="4">
        <v>18.55</v>
      </c>
      <c r="M1515" s="7">
        <v>0.10150000000000001</v>
      </c>
    </row>
    <row r="1516" spans="1:13" x14ac:dyDescent="0.2">
      <c r="A1516" s="6">
        <v>46154</v>
      </c>
      <c r="B1516" s="2" t="s">
        <v>226</v>
      </c>
      <c r="C1516" s="5">
        <v>46143</v>
      </c>
      <c r="D1516" s="2" t="s">
        <v>200</v>
      </c>
      <c r="E1516" s="3">
        <v>4853</v>
      </c>
      <c r="F1516" s="8">
        <v>0.4713</v>
      </c>
      <c r="G1516" s="4">
        <v>73.130099999999999</v>
      </c>
      <c r="H1516" s="4">
        <v>102.5915</v>
      </c>
      <c r="I1516" s="4">
        <v>18.552499999999998</v>
      </c>
      <c r="J1516" s="4">
        <v>19.46</v>
      </c>
      <c r="K1516" s="4">
        <v>17.63</v>
      </c>
      <c r="L1516" s="4">
        <v>19.28</v>
      </c>
      <c r="M1516" s="7">
        <v>3.9199999999999999E-2</v>
      </c>
    </row>
    <row r="1517" spans="1:13" x14ac:dyDescent="0.2">
      <c r="A1517" s="6">
        <v>46155</v>
      </c>
      <c r="B1517" s="2" t="s">
        <v>224</v>
      </c>
      <c r="C1517" s="5">
        <v>46143</v>
      </c>
      <c r="D1517" s="2" t="s">
        <v>200</v>
      </c>
      <c r="E1517" s="3">
        <v>4805</v>
      </c>
      <c r="F1517" s="8">
        <v>0.43769999999999998</v>
      </c>
      <c r="G1517" s="4">
        <v>70.951599999999999</v>
      </c>
      <c r="H1517" s="4">
        <v>98.854900000000001</v>
      </c>
      <c r="I1517" s="4">
        <v>19.28</v>
      </c>
      <c r="J1517" s="4">
        <v>20.125</v>
      </c>
      <c r="K1517" s="4">
        <v>18.357500000000002</v>
      </c>
      <c r="L1517" s="4">
        <v>19.43</v>
      </c>
      <c r="M1517" s="7">
        <v>7.7999999999999996E-3</v>
      </c>
    </row>
    <row r="1518" spans="1:13" x14ac:dyDescent="0.2">
      <c r="A1518" s="6">
        <v>46156</v>
      </c>
      <c r="B1518" s="2" t="s">
        <v>227</v>
      </c>
      <c r="C1518" s="5">
        <v>46143</v>
      </c>
      <c r="D1518" s="2" t="s">
        <v>200</v>
      </c>
      <c r="E1518" s="3">
        <v>4804</v>
      </c>
      <c r="F1518" s="8">
        <v>0.44230000000000003</v>
      </c>
      <c r="G1518" s="4">
        <v>62.1419</v>
      </c>
      <c r="H1518" s="4">
        <v>123.62139999999999</v>
      </c>
      <c r="I1518" s="4">
        <v>19.425000000000001</v>
      </c>
      <c r="J1518" s="4">
        <v>19.425000000000001</v>
      </c>
      <c r="K1518" s="4">
        <v>18.387499999999999</v>
      </c>
      <c r="L1518" s="4">
        <v>18.61</v>
      </c>
      <c r="M1518" s="7">
        <v>-4.2000000000000003E-2</v>
      </c>
    </row>
    <row r="1519" spans="1:13" x14ac:dyDescent="0.2">
      <c r="A1519" s="6">
        <v>46157</v>
      </c>
      <c r="B1519" s="2" t="s">
        <v>225</v>
      </c>
      <c r="C1519" s="5">
        <v>46143</v>
      </c>
      <c r="D1519" s="2" t="s">
        <v>200</v>
      </c>
      <c r="E1519" s="3">
        <v>4765</v>
      </c>
      <c r="F1519" s="8">
        <v>0.39860000000000001</v>
      </c>
      <c r="G1519" s="4">
        <v>66.145399999999995</v>
      </c>
      <c r="H1519" s="4">
        <v>98.233500000000006</v>
      </c>
      <c r="I1519" s="4">
        <v>18.612500000000001</v>
      </c>
      <c r="J1519" s="4">
        <v>19.012499999999999</v>
      </c>
      <c r="K1519" s="4">
        <v>17.422499999999999</v>
      </c>
      <c r="L1519" s="4">
        <v>18.79</v>
      </c>
      <c r="M1519" s="7">
        <v>9.4999999999999998E-3</v>
      </c>
    </row>
    <row r="1520" spans="1:13" x14ac:dyDescent="0.2">
      <c r="A1520" s="6">
        <v>46160</v>
      </c>
      <c r="B1520" s="2" t="s">
        <v>228</v>
      </c>
      <c r="C1520" s="5">
        <v>46143</v>
      </c>
      <c r="D1520" s="2" t="s">
        <v>200</v>
      </c>
      <c r="E1520" s="3">
        <v>4924</v>
      </c>
      <c r="F1520" s="8">
        <v>0.4037</v>
      </c>
      <c r="G1520" s="4">
        <v>56.569400000000002</v>
      </c>
      <c r="H1520" s="4">
        <v>87.348500000000001</v>
      </c>
      <c r="I1520" s="4">
        <v>18.79</v>
      </c>
      <c r="J1520" s="4">
        <v>20.057500000000001</v>
      </c>
      <c r="K1520" s="4">
        <v>17.72</v>
      </c>
      <c r="L1520" s="4">
        <v>19.63</v>
      </c>
      <c r="M1520" s="7">
        <v>4.4699999999999997E-2</v>
      </c>
    </row>
    <row r="1521" spans="1:13" x14ac:dyDescent="0.2">
      <c r="A1521" s="6">
        <v>46161</v>
      </c>
      <c r="B1521" s="2" t="s">
        <v>226</v>
      </c>
      <c r="C1521" s="5">
        <v>46143</v>
      </c>
      <c r="D1521" s="2" t="s">
        <v>200</v>
      </c>
      <c r="E1521" s="3">
        <v>4804</v>
      </c>
      <c r="F1521" s="8">
        <v>0.35920000000000002</v>
      </c>
      <c r="G1521" s="4">
        <v>60.822299999999998</v>
      </c>
      <c r="H1521" s="4">
        <v>83.247600000000006</v>
      </c>
      <c r="I1521" s="4">
        <v>19.63</v>
      </c>
      <c r="J1521" s="4">
        <v>19.63</v>
      </c>
      <c r="K1521" s="4">
        <v>18.267499999999998</v>
      </c>
      <c r="L1521" s="4">
        <v>18.68</v>
      </c>
      <c r="M1521" s="7">
        <v>-4.8399999999999999E-2</v>
      </c>
    </row>
    <row r="1522" spans="1:13" x14ac:dyDescent="0.2">
      <c r="A1522" s="6">
        <v>46162</v>
      </c>
      <c r="B1522" s="2" t="s">
        <v>224</v>
      </c>
      <c r="C1522" s="5">
        <v>46143</v>
      </c>
      <c r="D1522" s="2" t="s">
        <v>200</v>
      </c>
      <c r="E1522" s="3">
        <v>4745</v>
      </c>
      <c r="F1522" s="8">
        <v>0.33379999999999999</v>
      </c>
      <c r="G1522" s="4">
        <v>60.633499999999998</v>
      </c>
      <c r="H1522" s="4">
        <v>91.124099999999999</v>
      </c>
      <c r="I1522" s="4">
        <v>18.675000000000001</v>
      </c>
      <c r="J1522" s="4">
        <v>19.454999999999998</v>
      </c>
      <c r="K1522" s="4">
        <v>18.057500000000001</v>
      </c>
      <c r="L1522" s="4">
        <v>18.440000000000001</v>
      </c>
      <c r="M1522" s="7">
        <v>-1.26E-2</v>
      </c>
    </row>
    <row r="1523" spans="1:13" x14ac:dyDescent="0.2">
      <c r="A1523" s="6">
        <v>46163</v>
      </c>
      <c r="B1523" s="2" t="s">
        <v>227</v>
      </c>
      <c r="C1523" s="5">
        <v>46143</v>
      </c>
      <c r="D1523" s="2" t="s">
        <v>200</v>
      </c>
      <c r="E1523" s="3">
        <v>4794</v>
      </c>
      <c r="F1523" s="8">
        <v>0.36059999999999998</v>
      </c>
      <c r="G1523" s="4">
        <v>61.482500000000002</v>
      </c>
      <c r="H1523" s="4">
        <v>101.02589999999999</v>
      </c>
      <c r="I1523" s="4">
        <v>18.440000000000001</v>
      </c>
      <c r="J1523" s="4">
        <v>18.440000000000001</v>
      </c>
      <c r="K1523" s="4">
        <v>17.425000000000001</v>
      </c>
      <c r="L1523" s="4">
        <v>17.82</v>
      </c>
      <c r="M1523" s="7">
        <v>-3.3599999999999998E-2</v>
      </c>
    </row>
    <row r="1524" spans="1:13" x14ac:dyDescent="0.2">
      <c r="A1524" s="6">
        <v>46164</v>
      </c>
      <c r="B1524" s="2" t="s">
        <v>225</v>
      </c>
      <c r="C1524" s="5">
        <v>46143</v>
      </c>
      <c r="D1524" s="2" t="s">
        <v>200</v>
      </c>
      <c r="E1524" s="3">
        <v>4787</v>
      </c>
      <c r="F1524" s="8">
        <v>0.33629999999999999</v>
      </c>
      <c r="G1524" s="4">
        <v>53.360199999999999</v>
      </c>
      <c r="H1524" s="4">
        <v>101.3933</v>
      </c>
      <c r="I1524" s="4">
        <v>17.822500000000002</v>
      </c>
      <c r="J1524" s="4">
        <v>19.024999999999999</v>
      </c>
      <c r="K1524" s="4">
        <v>16.465</v>
      </c>
      <c r="L1524" s="4">
        <v>17.91</v>
      </c>
      <c r="M1524" s="7">
        <v>4.8999999999999998E-3</v>
      </c>
    </row>
    <row r="1525" spans="1:13" x14ac:dyDescent="0.2">
      <c r="A1525" s="6">
        <v>46167</v>
      </c>
      <c r="B1525" s="2" t="s">
        <v>228</v>
      </c>
      <c r="C1525" s="5">
        <v>46143</v>
      </c>
      <c r="D1525" s="2" t="s">
        <v>200</v>
      </c>
      <c r="E1525" s="3">
        <v>4997</v>
      </c>
      <c r="F1525" s="8">
        <v>0.3599</v>
      </c>
      <c r="G1525" s="4">
        <v>69.019900000000007</v>
      </c>
      <c r="H1525" s="4">
        <v>87.615899999999996</v>
      </c>
      <c r="I1525" s="4">
        <v>17.91</v>
      </c>
      <c r="J1525" s="4">
        <v>17.91</v>
      </c>
      <c r="K1525" s="4">
        <v>16.392499999999998</v>
      </c>
      <c r="L1525" s="4">
        <v>16.7</v>
      </c>
      <c r="M1525" s="7">
        <v>-6.7599999999999993E-2</v>
      </c>
    </row>
    <row r="1526" spans="1:13" x14ac:dyDescent="0.2">
      <c r="A1526" s="6">
        <v>46168</v>
      </c>
      <c r="B1526" s="2" t="s">
        <v>226</v>
      </c>
      <c r="C1526" s="5">
        <v>46143</v>
      </c>
      <c r="D1526" s="2" t="s">
        <v>200</v>
      </c>
      <c r="E1526" s="3">
        <v>4795</v>
      </c>
      <c r="F1526" s="8">
        <v>0.32990000000000003</v>
      </c>
      <c r="G1526" s="4">
        <v>62.579000000000001</v>
      </c>
      <c r="H1526" s="4">
        <v>94.747200000000007</v>
      </c>
      <c r="I1526" s="4">
        <v>16.702500000000001</v>
      </c>
      <c r="J1526" s="4">
        <v>16.96</v>
      </c>
      <c r="K1526" s="4">
        <v>15.362500000000001</v>
      </c>
      <c r="L1526" s="4">
        <v>16.13</v>
      </c>
      <c r="M1526" s="7">
        <v>-3.4299999999999997E-2</v>
      </c>
    </row>
    <row r="1527" spans="1:13" x14ac:dyDescent="0.2">
      <c r="A1527" s="6">
        <v>46169</v>
      </c>
      <c r="B1527" s="2" t="s">
        <v>224</v>
      </c>
      <c r="C1527" s="5">
        <v>46143</v>
      </c>
      <c r="D1527" s="2" t="s">
        <v>200</v>
      </c>
      <c r="E1527" s="3">
        <v>4846</v>
      </c>
      <c r="F1527" s="8">
        <v>0.40670000000000001</v>
      </c>
      <c r="G1527" s="4">
        <v>85.0107</v>
      </c>
      <c r="H1527" s="4">
        <v>119.47969999999999</v>
      </c>
      <c r="I1527" s="4">
        <v>16.1325</v>
      </c>
      <c r="J1527" s="4">
        <v>16.327500000000001</v>
      </c>
      <c r="K1527" s="4">
        <v>14.6975</v>
      </c>
      <c r="L1527" s="4">
        <v>14.98</v>
      </c>
      <c r="M1527" s="7">
        <v>-7.1400000000000005E-2</v>
      </c>
    </row>
    <row r="1528" spans="1:13" x14ac:dyDescent="0.2">
      <c r="A1528" s="6">
        <v>46171</v>
      </c>
      <c r="B1528" s="2" t="s">
        <v>225</v>
      </c>
      <c r="C1528" s="5">
        <v>46143</v>
      </c>
      <c r="D1528" s="2" t="s">
        <v>200</v>
      </c>
      <c r="E1528" s="3">
        <v>4937</v>
      </c>
      <c r="F1528" s="8">
        <v>0.49280000000000002</v>
      </c>
      <c r="G1528" s="4">
        <v>88.135099999999994</v>
      </c>
      <c r="H1528" s="4">
        <v>127.708</v>
      </c>
      <c r="I1528" s="4">
        <v>14.9825</v>
      </c>
      <c r="J1528" s="4">
        <v>16.552499999999998</v>
      </c>
      <c r="K1528" s="4">
        <v>14.592499999999999</v>
      </c>
      <c r="L1528" s="4">
        <v>16.190000000000001</v>
      </c>
      <c r="M1528" s="7">
        <v>8.0600000000000005E-2</v>
      </c>
    </row>
    <row r="1529" spans="1:13" x14ac:dyDescent="0.2">
      <c r="A1529" s="6">
        <v>46174</v>
      </c>
      <c r="B1529" s="2" t="s">
        <v>228</v>
      </c>
      <c r="C1529" s="5">
        <v>46174</v>
      </c>
      <c r="D1529" s="2" t="s">
        <v>200</v>
      </c>
      <c r="E1529" s="3">
        <v>5030</v>
      </c>
      <c r="F1529" s="8">
        <v>0.41909999999999997</v>
      </c>
      <c r="G1529" s="4">
        <v>73.3489</v>
      </c>
      <c r="H1529" s="4">
        <v>88.739500000000007</v>
      </c>
      <c r="I1529" s="4">
        <v>16.184999999999999</v>
      </c>
      <c r="J1529" s="4">
        <v>16.9175</v>
      </c>
      <c r="K1529" s="4">
        <v>13.9125</v>
      </c>
      <c r="L1529" s="4">
        <v>16.54</v>
      </c>
      <c r="M1529" s="7">
        <v>2.1899999999999999E-2</v>
      </c>
    </row>
    <row r="1530" spans="1:13" x14ac:dyDescent="0.2">
      <c r="A1530" s="6">
        <v>46175</v>
      </c>
      <c r="B1530" s="2" t="s">
        <v>226</v>
      </c>
      <c r="C1530" s="5">
        <v>46174</v>
      </c>
      <c r="D1530" s="2" t="s">
        <v>200</v>
      </c>
      <c r="E1530" s="3">
        <v>4868</v>
      </c>
      <c r="F1530" s="8">
        <v>0.3644</v>
      </c>
      <c r="G1530" s="4">
        <v>61.654800000000002</v>
      </c>
      <c r="H1530" s="4">
        <v>88.2727</v>
      </c>
      <c r="I1530" s="4">
        <v>16.5425</v>
      </c>
      <c r="J1530" s="4">
        <v>16.5425</v>
      </c>
      <c r="K1530" s="4">
        <v>15.115</v>
      </c>
      <c r="L1530" s="4">
        <v>15.36</v>
      </c>
      <c r="M1530" s="7">
        <v>-7.1499999999999994E-2</v>
      </c>
    </row>
    <row r="1531" spans="1:13" x14ac:dyDescent="0.2">
      <c r="A1531" s="6">
        <v>46176</v>
      </c>
      <c r="B1531" s="2" t="s">
        <v>224</v>
      </c>
      <c r="C1531" s="5">
        <v>46174</v>
      </c>
      <c r="D1531" s="2" t="s">
        <v>200</v>
      </c>
      <c r="E1531" s="3">
        <v>4857</v>
      </c>
      <c r="F1531" s="8">
        <v>0.35310000000000002</v>
      </c>
      <c r="G1531" s="4">
        <v>65.282700000000006</v>
      </c>
      <c r="H1531" s="4">
        <v>85.587299999999999</v>
      </c>
      <c r="I1531" s="4">
        <v>15.355</v>
      </c>
      <c r="J1531" s="4">
        <v>16.98</v>
      </c>
      <c r="K1531" s="4">
        <v>14.85</v>
      </c>
      <c r="L1531" s="4">
        <v>16.28</v>
      </c>
      <c r="M1531" s="7">
        <v>6.0199999999999997E-2</v>
      </c>
    </row>
    <row r="1532" spans="1:13" x14ac:dyDescent="0.2">
      <c r="A1532" s="6">
        <v>46177</v>
      </c>
      <c r="B1532" s="2" t="s">
        <v>227</v>
      </c>
      <c r="C1532" s="5">
        <v>46174</v>
      </c>
      <c r="D1532" s="2" t="s">
        <v>200</v>
      </c>
      <c r="E1532" s="3">
        <v>4794</v>
      </c>
      <c r="F1532" s="8">
        <v>0.37209999999999999</v>
      </c>
      <c r="G1532" s="4">
        <v>67.641800000000003</v>
      </c>
      <c r="H1532" s="4">
        <v>94.597200000000001</v>
      </c>
      <c r="I1532" s="4">
        <v>16.2775</v>
      </c>
      <c r="J1532" s="4">
        <v>16.405000000000001</v>
      </c>
      <c r="K1532" s="4">
        <v>15.53</v>
      </c>
      <c r="L1532" s="4">
        <v>15.89</v>
      </c>
      <c r="M1532" s="7">
        <v>-2.3800000000000002E-2</v>
      </c>
    </row>
    <row r="1533" spans="1:13" x14ac:dyDescent="0.2">
      <c r="A1533" s="6">
        <v>46178</v>
      </c>
      <c r="B1533" s="2" t="s">
        <v>225</v>
      </c>
      <c r="C1533" s="5">
        <v>46174</v>
      </c>
      <c r="D1533" s="2" t="s">
        <v>200</v>
      </c>
      <c r="E1533" s="3">
        <v>4823</v>
      </c>
      <c r="F1533" s="8">
        <v>0.37969999999999998</v>
      </c>
      <c r="G1533" s="4">
        <v>67.008899999999997</v>
      </c>
      <c r="H1533" s="4">
        <v>99.141599999999997</v>
      </c>
      <c r="I1533" s="4">
        <v>15.885</v>
      </c>
      <c r="J1533" s="4">
        <v>16.37</v>
      </c>
      <c r="K1533" s="4">
        <v>13.46</v>
      </c>
      <c r="L1533" s="4">
        <v>15.79</v>
      </c>
      <c r="M1533" s="7">
        <v>-6.0000000000000001E-3</v>
      </c>
    </row>
    <row r="1534" spans="1:13" x14ac:dyDescent="0.2">
      <c r="A1534" s="6">
        <v>46181</v>
      </c>
      <c r="B1534" s="2" t="s">
        <v>228</v>
      </c>
      <c r="C1534" s="5">
        <v>46174</v>
      </c>
      <c r="D1534" s="2" t="s">
        <v>200</v>
      </c>
      <c r="E1534" s="3">
        <v>5048</v>
      </c>
      <c r="F1534" s="8">
        <v>0.3705</v>
      </c>
      <c r="G1534" s="4">
        <v>64.506100000000004</v>
      </c>
      <c r="H1534" s="4">
        <v>90.545400000000001</v>
      </c>
      <c r="I1534" s="4">
        <v>15.7875</v>
      </c>
      <c r="J1534" s="4">
        <v>18.440000000000001</v>
      </c>
      <c r="K1534" s="4">
        <v>15.7875</v>
      </c>
      <c r="L1534" s="4">
        <v>17.03</v>
      </c>
      <c r="M1534" s="7">
        <v>7.8700000000000006E-2</v>
      </c>
    </row>
    <row r="1535" spans="1:13" x14ac:dyDescent="0.2">
      <c r="A1535" s="6">
        <v>46182</v>
      </c>
      <c r="B1535" s="2" t="s">
        <v>226</v>
      </c>
      <c r="C1535" s="5">
        <v>46174</v>
      </c>
      <c r="D1535" s="2" t="s">
        <v>200</v>
      </c>
      <c r="E1535" s="3">
        <v>4856</v>
      </c>
      <c r="F1535" s="8">
        <v>0.35560000000000003</v>
      </c>
      <c r="G1535" s="4">
        <v>59.5623</v>
      </c>
      <c r="H1535" s="4">
        <v>81.838800000000006</v>
      </c>
      <c r="I1535" s="4">
        <v>17.0275</v>
      </c>
      <c r="J1535" s="4">
        <v>17.0275</v>
      </c>
      <c r="K1535" s="4">
        <v>15.522500000000001</v>
      </c>
      <c r="L1535" s="4">
        <v>15.58</v>
      </c>
      <c r="M1535" s="7">
        <v>-8.5000000000000006E-2</v>
      </c>
    </row>
    <row r="1536" spans="1:13" x14ac:dyDescent="0.2">
      <c r="A1536" s="6">
        <v>46183</v>
      </c>
      <c r="B1536" s="2" t="s">
        <v>224</v>
      </c>
      <c r="C1536" s="5">
        <v>46174</v>
      </c>
      <c r="D1536" s="2" t="s">
        <v>200</v>
      </c>
      <c r="E1536" s="3">
        <v>4840</v>
      </c>
      <c r="F1536" s="8">
        <v>0.41399999999999998</v>
      </c>
      <c r="G1536" s="4">
        <v>62.122999999999998</v>
      </c>
      <c r="H1536" s="4">
        <v>84.131</v>
      </c>
      <c r="I1536" s="4">
        <v>15.574999999999999</v>
      </c>
      <c r="J1536" s="4">
        <v>15.845000000000001</v>
      </c>
      <c r="K1536" s="4">
        <v>14.9025</v>
      </c>
      <c r="L1536" s="4">
        <v>15.63</v>
      </c>
      <c r="M1536" s="7">
        <v>3.5000000000000001E-3</v>
      </c>
    </row>
    <row r="1537" spans="1:13" x14ac:dyDescent="0.2">
      <c r="A1537" s="6">
        <v>46184</v>
      </c>
      <c r="B1537" s="2" t="s">
        <v>227</v>
      </c>
      <c r="C1537" s="5">
        <v>46174</v>
      </c>
      <c r="D1537" s="2" t="s">
        <v>200</v>
      </c>
      <c r="E1537" s="3">
        <v>4865</v>
      </c>
      <c r="F1537" s="8">
        <v>0.3528</v>
      </c>
      <c r="G1537" s="4">
        <v>56.2303</v>
      </c>
      <c r="H1537" s="4">
        <v>90.676000000000002</v>
      </c>
      <c r="I1537" s="4">
        <v>15.6325</v>
      </c>
      <c r="J1537" s="4">
        <v>15.945</v>
      </c>
      <c r="K1537" s="4">
        <v>15.1225</v>
      </c>
      <c r="L1537" s="4">
        <v>15.61</v>
      </c>
      <c r="M1537" s="7">
        <v>-1.4E-3</v>
      </c>
    </row>
    <row r="1538" spans="1:13" x14ac:dyDescent="0.2">
      <c r="A1538" s="6">
        <v>46185</v>
      </c>
      <c r="B1538" s="2" t="s">
        <v>225</v>
      </c>
      <c r="C1538" s="5">
        <v>46174</v>
      </c>
      <c r="D1538" s="2" t="s">
        <v>200</v>
      </c>
      <c r="E1538" s="3">
        <v>4876</v>
      </c>
      <c r="F1538" s="8">
        <v>0.34560000000000002</v>
      </c>
      <c r="G1538" s="4">
        <v>69.179299999999998</v>
      </c>
      <c r="H1538" s="4">
        <v>90.464600000000004</v>
      </c>
      <c r="I1538" s="4">
        <v>15.612500000000001</v>
      </c>
      <c r="J1538" s="4">
        <v>15.612500000000001</v>
      </c>
      <c r="K1538" s="4">
        <v>14.395</v>
      </c>
      <c r="L1538" s="4">
        <v>14.72</v>
      </c>
      <c r="M1538" s="7">
        <v>-5.7200000000000001E-2</v>
      </c>
    </row>
    <row r="1539" spans="1:13" x14ac:dyDescent="0.2">
      <c r="A1539" s="6">
        <v>46188</v>
      </c>
      <c r="B1539" s="2" t="s">
        <v>228</v>
      </c>
      <c r="C1539" s="5">
        <v>46174</v>
      </c>
      <c r="D1539" s="2" t="s">
        <v>200</v>
      </c>
      <c r="E1539" s="3">
        <v>5082</v>
      </c>
      <c r="F1539" s="8">
        <v>0.40839999999999999</v>
      </c>
      <c r="G1539" s="4">
        <v>77.0227</v>
      </c>
      <c r="H1539" s="4">
        <v>105.8706</v>
      </c>
      <c r="I1539" s="4">
        <v>14.717499999999999</v>
      </c>
      <c r="J1539" s="4">
        <v>14.717499999999999</v>
      </c>
      <c r="K1539" s="4">
        <v>13.557499999999999</v>
      </c>
      <c r="L1539" s="4">
        <v>14.35</v>
      </c>
      <c r="M1539" s="7">
        <v>-2.5000000000000001E-2</v>
      </c>
    </row>
    <row r="1540" spans="1:13" x14ac:dyDescent="0.2">
      <c r="A1540" s="6">
        <v>46189</v>
      </c>
      <c r="B1540" s="2" t="s">
        <v>226</v>
      </c>
      <c r="C1540" s="5">
        <v>46174</v>
      </c>
      <c r="D1540" s="2" t="s">
        <v>200</v>
      </c>
      <c r="E1540" s="3">
        <v>4900</v>
      </c>
      <c r="F1540" s="8">
        <v>0.38279999999999997</v>
      </c>
      <c r="G1540" s="4">
        <v>92.908199999999994</v>
      </c>
      <c r="H1540" s="4">
        <v>127.62090000000001</v>
      </c>
      <c r="I1540" s="4">
        <v>14.352499999999999</v>
      </c>
      <c r="J1540" s="4">
        <v>14.352499999999999</v>
      </c>
      <c r="K1540" s="4">
        <v>13.01</v>
      </c>
      <c r="L1540" s="4">
        <v>13.36</v>
      </c>
      <c r="M1540" s="7">
        <v>-6.9199999999999998E-2</v>
      </c>
    </row>
    <row r="1541" spans="1:13" x14ac:dyDescent="0.2">
      <c r="A1541" s="6">
        <v>46190</v>
      </c>
      <c r="B1541" s="2" t="s">
        <v>224</v>
      </c>
      <c r="C1541" s="5">
        <v>46174</v>
      </c>
      <c r="D1541" s="2" t="s">
        <v>200</v>
      </c>
      <c r="E1541" s="3">
        <v>4878</v>
      </c>
      <c r="F1541" s="8">
        <v>0.3634</v>
      </c>
      <c r="G1541" s="4">
        <v>69.667100000000005</v>
      </c>
      <c r="H1541" s="4">
        <v>101.2988</v>
      </c>
      <c r="I1541" s="4">
        <v>13.362500000000001</v>
      </c>
      <c r="J1541" s="4">
        <v>13.532500000000001</v>
      </c>
      <c r="K1541" s="4">
        <v>12.35</v>
      </c>
      <c r="L1541" s="4">
        <v>13.19</v>
      </c>
      <c r="M1541" s="7">
        <v>-1.29E-2</v>
      </c>
    </row>
    <row r="1542" spans="1:13" x14ac:dyDescent="0.2">
      <c r="A1542" s="6">
        <v>46191</v>
      </c>
      <c r="B1542" s="2" t="s">
        <v>227</v>
      </c>
      <c r="C1542" s="5">
        <v>46174</v>
      </c>
      <c r="D1542" s="2" t="s">
        <v>200</v>
      </c>
      <c r="E1542" s="3">
        <v>4843</v>
      </c>
      <c r="F1542" s="8">
        <v>0.3649</v>
      </c>
      <c r="G1542" s="4">
        <v>62.7866</v>
      </c>
      <c r="H1542" s="4">
        <v>114.60169999999999</v>
      </c>
      <c r="I1542" s="4">
        <v>13.1875</v>
      </c>
      <c r="J1542" s="4">
        <v>13.225</v>
      </c>
      <c r="K1542" s="4">
        <v>11.9925</v>
      </c>
      <c r="L1542" s="4">
        <v>12.67</v>
      </c>
      <c r="M1542" s="7">
        <v>-3.9199999999999999E-2</v>
      </c>
    </row>
    <row r="1543" spans="1:13" x14ac:dyDescent="0.2">
      <c r="A1543" s="6">
        <v>46192</v>
      </c>
      <c r="B1543" s="2" t="s">
        <v>225</v>
      </c>
      <c r="C1543" s="5">
        <v>46174</v>
      </c>
      <c r="D1543" s="2" t="s">
        <v>200</v>
      </c>
      <c r="E1543" s="3">
        <v>4875</v>
      </c>
      <c r="F1543" s="8">
        <v>0.40129999999999999</v>
      </c>
      <c r="G1543" s="4">
        <v>69.8369</v>
      </c>
      <c r="H1543" s="4">
        <v>108.7902</v>
      </c>
      <c r="I1543" s="4">
        <v>12.672499999999999</v>
      </c>
      <c r="J1543" s="4">
        <v>13.6425</v>
      </c>
      <c r="K1543" s="4">
        <v>12.07</v>
      </c>
      <c r="L1543" s="4">
        <v>12.97</v>
      </c>
      <c r="M1543" s="7">
        <v>2.35E-2</v>
      </c>
    </row>
    <row r="1544" spans="1:13" x14ac:dyDescent="0.2">
      <c r="A1544" s="6">
        <v>46195</v>
      </c>
      <c r="B1544" s="2" t="s">
        <v>228</v>
      </c>
      <c r="C1544" s="5">
        <v>46174</v>
      </c>
      <c r="D1544" s="2" t="s">
        <v>200</v>
      </c>
      <c r="E1544" s="3">
        <v>5084</v>
      </c>
      <c r="F1544" s="8">
        <v>0.36480000000000001</v>
      </c>
      <c r="G1544" s="4">
        <v>68.142899999999997</v>
      </c>
      <c r="H1544" s="4">
        <v>95.610600000000005</v>
      </c>
      <c r="I1544" s="4">
        <v>12.97</v>
      </c>
      <c r="J1544" s="4">
        <v>13.51</v>
      </c>
      <c r="K1544" s="4">
        <v>12.647500000000001</v>
      </c>
      <c r="L1544" s="4">
        <v>12.84</v>
      </c>
      <c r="M1544" s="7">
        <v>-0.01</v>
      </c>
    </row>
    <row r="1545" spans="1:13" x14ac:dyDescent="0.2">
      <c r="A1545" s="6">
        <v>46196</v>
      </c>
      <c r="B1545" s="2" t="s">
        <v>226</v>
      </c>
      <c r="C1545" s="5">
        <v>46174</v>
      </c>
      <c r="D1545" s="2" t="s">
        <v>200</v>
      </c>
      <c r="E1545" s="3">
        <v>4896</v>
      </c>
      <c r="F1545" s="8">
        <v>0.3669</v>
      </c>
      <c r="G1545" s="4">
        <v>70.536299999999997</v>
      </c>
      <c r="H1545" s="4">
        <v>99.836200000000005</v>
      </c>
      <c r="I1545" s="4">
        <v>12.842499999999999</v>
      </c>
      <c r="J1545" s="4">
        <v>14.24</v>
      </c>
      <c r="K1545" s="4">
        <v>12.43</v>
      </c>
      <c r="L1545" s="4">
        <v>13.94</v>
      </c>
      <c r="M1545" s="7">
        <v>8.5500000000000007E-2</v>
      </c>
    </row>
    <row r="1546" spans="1:13" x14ac:dyDescent="0.2">
      <c r="A1546" s="6">
        <v>46197</v>
      </c>
      <c r="B1546" s="2" t="s">
        <v>224</v>
      </c>
      <c r="C1546" s="5">
        <v>46174</v>
      </c>
      <c r="D1546" s="2" t="s">
        <v>200</v>
      </c>
      <c r="E1546" s="3">
        <v>4873</v>
      </c>
      <c r="F1546" s="8">
        <v>0.3725</v>
      </c>
      <c r="G1546" s="4">
        <v>81.487799999999993</v>
      </c>
      <c r="H1546" s="4">
        <v>118.021</v>
      </c>
      <c r="I1546" s="4">
        <v>13.942500000000001</v>
      </c>
      <c r="J1546" s="4">
        <v>14.3025</v>
      </c>
      <c r="K1546" s="4">
        <v>13.295</v>
      </c>
      <c r="L1546" s="4">
        <v>13.39</v>
      </c>
      <c r="M1546" s="7">
        <v>-3.9600000000000003E-2</v>
      </c>
    </row>
    <row r="1547" spans="1:13" x14ac:dyDescent="0.2">
      <c r="A1547" s="6">
        <v>46198</v>
      </c>
      <c r="B1547" s="2" t="s">
        <v>227</v>
      </c>
      <c r="C1547" s="5">
        <v>46174</v>
      </c>
      <c r="D1547" s="2" t="s">
        <v>200</v>
      </c>
      <c r="E1547" s="3">
        <v>4871</v>
      </c>
      <c r="F1547" s="8">
        <v>0.41339999999999999</v>
      </c>
      <c r="G1547" s="4">
        <v>70.052499999999995</v>
      </c>
      <c r="H1547" s="4">
        <v>119.4276</v>
      </c>
      <c r="I1547" s="4">
        <v>13.385</v>
      </c>
      <c r="J1547" s="4">
        <v>13.385</v>
      </c>
      <c r="K1547" s="4">
        <v>12.432499999999999</v>
      </c>
      <c r="L1547" s="4">
        <v>13.05</v>
      </c>
      <c r="M1547" s="7">
        <v>-2.5000000000000001E-2</v>
      </c>
    </row>
    <row r="1548" spans="1:13" x14ac:dyDescent="0.2">
      <c r="A1548" s="6">
        <v>46202</v>
      </c>
      <c r="B1548" s="2" t="s">
        <v>228</v>
      </c>
      <c r="C1548" s="5">
        <v>46174</v>
      </c>
      <c r="D1548" s="2" t="s">
        <v>200</v>
      </c>
      <c r="E1548" s="3">
        <v>5058</v>
      </c>
      <c r="F1548" s="8">
        <v>0.3957</v>
      </c>
      <c r="G1548" s="4">
        <v>61.2027</v>
      </c>
      <c r="H1548" s="4">
        <v>100.4971</v>
      </c>
      <c r="I1548" s="4">
        <v>13.05</v>
      </c>
      <c r="J1548" s="4">
        <v>14.07</v>
      </c>
      <c r="K1548" s="4">
        <v>12.9175</v>
      </c>
      <c r="L1548" s="4">
        <v>13.61</v>
      </c>
      <c r="M1548" s="7">
        <v>4.2900000000000001E-2</v>
      </c>
    </row>
    <row r="1549" spans="1:13" x14ac:dyDescent="0.2">
      <c r="A1549" s="6">
        <v>46203</v>
      </c>
      <c r="B1549" s="2" t="s">
        <v>226</v>
      </c>
      <c r="C1549" s="5">
        <v>46174</v>
      </c>
      <c r="D1549" s="2" t="s">
        <v>200</v>
      </c>
      <c r="E1549" s="3">
        <v>4914</v>
      </c>
      <c r="F1549" s="8">
        <v>0.39839999999999998</v>
      </c>
      <c r="G1549" s="4">
        <v>71.867000000000004</v>
      </c>
      <c r="H1549" s="4">
        <v>109.7332</v>
      </c>
      <c r="I1549" s="4">
        <v>13.61</v>
      </c>
      <c r="J1549" s="4">
        <v>13.967499999999999</v>
      </c>
      <c r="K1549" s="4">
        <v>13.1525</v>
      </c>
      <c r="L1549" s="4">
        <v>13.6</v>
      </c>
      <c r="M1549" s="7">
        <v>-6.9999999999999999E-4</v>
      </c>
    </row>
    <row r="1550" spans="1:13" x14ac:dyDescent="0.2">
      <c r="A1550" s="6">
        <v>46204</v>
      </c>
      <c r="B1550" s="2" t="s">
        <v>224</v>
      </c>
      <c r="C1550" s="5">
        <v>46204</v>
      </c>
      <c r="D1550" s="2" t="s">
        <v>201</v>
      </c>
      <c r="E1550" s="3">
        <v>4942</v>
      </c>
      <c r="F1550" s="8">
        <v>0.4264</v>
      </c>
      <c r="G1550" s="4">
        <v>71.543499999999995</v>
      </c>
      <c r="H1550" s="4">
        <v>99.4131</v>
      </c>
      <c r="I1550" s="4">
        <v>13.6</v>
      </c>
      <c r="J1550" s="4">
        <v>14.0725</v>
      </c>
      <c r="K1550" s="4">
        <v>13.15</v>
      </c>
      <c r="L1550" s="4">
        <v>13.24</v>
      </c>
      <c r="M1550" s="7">
        <v>-2.6499999999999999E-2</v>
      </c>
    </row>
    <row r="1551" spans="1:13" x14ac:dyDescent="0.2">
      <c r="A1551" s="6">
        <v>46205</v>
      </c>
      <c r="B1551" s="2" t="s">
        <v>227</v>
      </c>
      <c r="C1551" s="5">
        <v>46204</v>
      </c>
      <c r="D1551" s="2" t="s">
        <v>201</v>
      </c>
      <c r="E1551" s="3">
        <v>4949</v>
      </c>
      <c r="F1551" s="8">
        <v>0.39219999999999999</v>
      </c>
      <c r="G1551" s="4">
        <v>71.712100000000007</v>
      </c>
      <c r="H1551" s="4">
        <v>112.03189999999999</v>
      </c>
      <c r="I1551" s="4">
        <v>13.2425</v>
      </c>
      <c r="J1551" s="4">
        <v>13.2925</v>
      </c>
      <c r="K1551" s="4">
        <v>12.192500000000001</v>
      </c>
      <c r="L1551" s="4">
        <v>12.29</v>
      </c>
      <c r="M1551" s="7">
        <v>-7.1900000000000006E-2</v>
      </c>
    </row>
    <row r="1552" spans="1:13" x14ac:dyDescent="0.2">
      <c r="A1552" s="6">
        <v>46206</v>
      </c>
      <c r="B1552" s="2" t="s">
        <v>225</v>
      </c>
      <c r="C1552" s="5">
        <v>46204</v>
      </c>
      <c r="D1552" s="2" t="s">
        <v>201</v>
      </c>
      <c r="E1552" s="3">
        <v>4934</v>
      </c>
      <c r="F1552" s="8">
        <v>0.36499999999999999</v>
      </c>
      <c r="G1552" s="4">
        <v>76.587699999999998</v>
      </c>
      <c r="H1552" s="4">
        <v>105.9177</v>
      </c>
      <c r="I1552" s="4">
        <v>12.2875</v>
      </c>
      <c r="J1552" s="4">
        <v>12.2875</v>
      </c>
      <c r="K1552" s="4">
        <v>11.65</v>
      </c>
      <c r="L1552" s="4">
        <v>11.8</v>
      </c>
      <c r="M1552" s="7">
        <v>-3.9699999999999999E-2</v>
      </c>
    </row>
    <row r="1553" spans="1:13" x14ac:dyDescent="0.2">
      <c r="A1553" s="6">
        <v>46209</v>
      </c>
      <c r="B1553" s="2" t="s">
        <v>228</v>
      </c>
      <c r="C1553" s="5">
        <v>46204</v>
      </c>
      <c r="D1553" s="2" t="s">
        <v>201</v>
      </c>
      <c r="E1553" s="3">
        <v>5005</v>
      </c>
      <c r="F1553" s="8">
        <v>0.33600000000000002</v>
      </c>
      <c r="G1553" s="4">
        <v>62.243099999999998</v>
      </c>
      <c r="H1553" s="4">
        <v>88.008399999999995</v>
      </c>
      <c r="I1553" s="4">
        <v>11.797499999999999</v>
      </c>
      <c r="J1553" s="4">
        <v>12.3575</v>
      </c>
      <c r="K1553" s="4">
        <v>11.702500000000001</v>
      </c>
      <c r="L1553" s="4">
        <v>11.82</v>
      </c>
      <c r="M1553" s="7">
        <v>1.9E-3</v>
      </c>
    </row>
    <row r="1554" spans="1:13" x14ac:dyDescent="0.2">
      <c r="A1554" s="6">
        <v>46210</v>
      </c>
      <c r="B1554" s="2" t="s">
        <v>226</v>
      </c>
      <c r="C1554" s="5">
        <v>46204</v>
      </c>
      <c r="D1554" s="2" t="s">
        <v>201</v>
      </c>
      <c r="E1554" s="3">
        <v>4840</v>
      </c>
      <c r="F1554" s="8">
        <v>0.33360000000000001</v>
      </c>
      <c r="G1554" s="4">
        <v>60.303800000000003</v>
      </c>
      <c r="H1554" s="4">
        <v>95.672600000000003</v>
      </c>
      <c r="I1554" s="4">
        <v>11.817500000000001</v>
      </c>
      <c r="J1554" s="4">
        <v>11.935</v>
      </c>
      <c r="K1554" s="4">
        <v>11.055</v>
      </c>
      <c r="L1554" s="4">
        <v>11.65</v>
      </c>
      <c r="M1554" s="7">
        <v>-1.4200000000000001E-2</v>
      </c>
    </row>
    <row r="1555" spans="1:13" x14ac:dyDescent="0.2">
      <c r="A1555" s="6">
        <v>46211</v>
      </c>
      <c r="B1555" s="2" t="s">
        <v>224</v>
      </c>
      <c r="C1555" s="5">
        <v>46204</v>
      </c>
      <c r="D1555" s="2" t="s">
        <v>201</v>
      </c>
      <c r="E1555" s="3">
        <v>4948</v>
      </c>
      <c r="F1555" s="8">
        <v>0.4501</v>
      </c>
      <c r="G1555" s="4">
        <v>65.481399999999994</v>
      </c>
      <c r="H1555" s="4">
        <v>108.5476</v>
      </c>
      <c r="I1555" s="4">
        <v>11.647500000000001</v>
      </c>
      <c r="J1555" s="4">
        <v>15.16</v>
      </c>
      <c r="K1555" s="4">
        <v>11.335000000000001</v>
      </c>
      <c r="L1555" s="4">
        <v>14.68</v>
      </c>
      <c r="M1555" s="7">
        <v>0.26040000000000002</v>
      </c>
    </row>
    <row r="1556" spans="1:13" x14ac:dyDescent="0.2">
      <c r="A1556" s="6">
        <v>46212</v>
      </c>
      <c r="B1556" s="2" t="s">
        <v>227</v>
      </c>
      <c r="C1556" s="5">
        <v>46204</v>
      </c>
      <c r="D1556" s="2" t="s">
        <v>201</v>
      </c>
      <c r="E1556" s="3">
        <v>4876</v>
      </c>
      <c r="F1556" s="8">
        <v>0.40679999999999999</v>
      </c>
      <c r="G1556" s="4">
        <v>62.605400000000003</v>
      </c>
      <c r="H1556" s="4">
        <v>116.38500000000001</v>
      </c>
      <c r="I1556" s="4">
        <v>14.68</v>
      </c>
      <c r="J1556" s="4">
        <v>14.68</v>
      </c>
      <c r="K1556" s="4">
        <v>13.067500000000001</v>
      </c>
      <c r="L1556" s="4">
        <v>13.36</v>
      </c>
      <c r="M1556" s="7">
        <v>-8.9899999999999994E-2</v>
      </c>
    </row>
    <row r="1557" spans="1:13" x14ac:dyDescent="0.2">
      <c r="A1557" s="6">
        <v>46213</v>
      </c>
      <c r="B1557" s="2" t="s">
        <v>225</v>
      </c>
      <c r="C1557" s="5">
        <v>46204</v>
      </c>
      <c r="D1557" s="2" t="s">
        <v>201</v>
      </c>
      <c r="E1557" s="3">
        <v>4866</v>
      </c>
      <c r="F1557" s="8">
        <v>0.3846</v>
      </c>
      <c r="G1557" s="4">
        <v>57.253</v>
      </c>
      <c r="H1557" s="4">
        <v>97.408900000000003</v>
      </c>
      <c r="I1557" s="4">
        <v>13.362500000000001</v>
      </c>
      <c r="J1557" s="4">
        <v>13.362500000000001</v>
      </c>
      <c r="K1557" s="4">
        <v>12.1275</v>
      </c>
      <c r="L1557" s="4">
        <v>12.25</v>
      </c>
      <c r="M1557" s="7">
        <v>-8.3299999999999999E-2</v>
      </c>
    </row>
    <row r="1558" spans="1:13" x14ac:dyDescent="0.2">
      <c r="A1558" s="6">
        <v>46216</v>
      </c>
      <c r="B1558" s="2" t="s">
        <v>228</v>
      </c>
      <c r="C1558" s="5">
        <v>46204</v>
      </c>
      <c r="D1558" s="2" t="s">
        <v>201</v>
      </c>
      <c r="E1558" s="3">
        <v>5046</v>
      </c>
      <c r="F1558" s="8">
        <v>0.37059999999999998</v>
      </c>
      <c r="G1558" s="4">
        <v>60.149299999999997</v>
      </c>
      <c r="H1558" s="4">
        <v>96.915000000000006</v>
      </c>
      <c r="I1558" s="4">
        <v>12.2525</v>
      </c>
      <c r="J1558" s="4">
        <v>13.522500000000001</v>
      </c>
      <c r="K1558" s="4">
        <v>9.4749999999999996</v>
      </c>
      <c r="L1558" s="4">
        <v>13.28</v>
      </c>
      <c r="M1558" s="7">
        <v>8.3900000000000002E-2</v>
      </c>
    </row>
    <row r="1559" spans="1:13" x14ac:dyDescent="0.2">
      <c r="A1559" s="6">
        <v>46217</v>
      </c>
      <c r="B1559" s="2" t="s">
        <v>226</v>
      </c>
      <c r="C1559" s="5">
        <v>46204</v>
      </c>
      <c r="D1559" s="2" t="s">
        <v>201</v>
      </c>
      <c r="E1559" s="3">
        <v>4873</v>
      </c>
      <c r="F1559" s="8">
        <v>0.36630000000000001</v>
      </c>
      <c r="G1559" s="4">
        <v>61.190300000000001</v>
      </c>
      <c r="H1559" s="4">
        <v>116.63339999999999</v>
      </c>
      <c r="I1559" s="4">
        <v>13.28</v>
      </c>
      <c r="J1559" s="4">
        <v>13.865</v>
      </c>
      <c r="K1559" s="4">
        <v>11.657500000000001</v>
      </c>
      <c r="L1559" s="4">
        <v>13.75</v>
      </c>
      <c r="M1559" s="7">
        <v>3.5400000000000001E-2</v>
      </c>
    </row>
    <row r="1560" spans="1:13" x14ac:dyDescent="0.2">
      <c r="A1560" s="6">
        <v>46218</v>
      </c>
      <c r="B1560" s="2" t="s">
        <v>224</v>
      </c>
      <c r="C1560" s="5">
        <v>46204</v>
      </c>
      <c r="D1560" s="2" t="s">
        <v>201</v>
      </c>
      <c r="E1560" s="3">
        <v>4857</v>
      </c>
      <c r="F1560" s="8">
        <v>0.39610000000000001</v>
      </c>
      <c r="G1560" s="4">
        <v>61.419800000000002</v>
      </c>
      <c r="H1560" s="4">
        <v>94.343199999999996</v>
      </c>
      <c r="I1560" s="4">
        <v>13.75</v>
      </c>
      <c r="J1560" s="4">
        <v>13.8725</v>
      </c>
      <c r="K1560" s="4">
        <v>13.04</v>
      </c>
      <c r="L1560" s="4">
        <v>13.27</v>
      </c>
      <c r="M1560" s="7">
        <v>-3.49E-2</v>
      </c>
    </row>
    <row r="1561" spans="1:13" x14ac:dyDescent="0.2">
      <c r="A1561" s="6">
        <v>46219</v>
      </c>
      <c r="B1561" s="2" t="s">
        <v>227</v>
      </c>
      <c r="C1561" s="5">
        <v>46204</v>
      </c>
      <c r="D1561" s="2" t="s">
        <v>201</v>
      </c>
      <c r="E1561" s="3">
        <v>4850</v>
      </c>
      <c r="F1561" s="8">
        <v>0.4088</v>
      </c>
      <c r="G1561" s="4">
        <v>63.6265</v>
      </c>
      <c r="H1561" s="4">
        <v>105.3634</v>
      </c>
      <c r="I1561" s="4">
        <v>13.27</v>
      </c>
      <c r="J1561" s="4">
        <v>13.27</v>
      </c>
      <c r="K1561" s="4">
        <v>12.775</v>
      </c>
      <c r="L1561" s="4">
        <v>12.88</v>
      </c>
      <c r="M1561" s="7">
        <v>-2.9399999999999999E-2</v>
      </c>
    </row>
    <row r="1562" spans="1:13" x14ac:dyDescent="0.2">
      <c r="A1562" s="6">
        <v>46220</v>
      </c>
      <c r="B1562" s="2" t="s">
        <v>225</v>
      </c>
      <c r="C1562" s="5">
        <v>46204</v>
      </c>
      <c r="D1562" s="2" t="s">
        <v>201</v>
      </c>
      <c r="E1562" s="3">
        <v>4815</v>
      </c>
      <c r="F1562" s="8">
        <v>0.3342</v>
      </c>
      <c r="G1562" s="4">
        <v>59.270200000000003</v>
      </c>
      <c r="H1562" s="4">
        <v>93.912999999999997</v>
      </c>
      <c r="I1562" s="4">
        <v>12.8825</v>
      </c>
      <c r="J1562" s="4">
        <v>13.35</v>
      </c>
      <c r="K1562" s="4">
        <v>12.81</v>
      </c>
      <c r="L1562" s="4">
        <v>13.15</v>
      </c>
      <c r="M1562" s="7">
        <v>2.0799999999999999E-2</v>
      </c>
    </row>
    <row r="1563" spans="1:13" x14ac:dyDescent="0.2">
      <c r="A1563" s="6">
        <v>46223</v>
      </c>
      <c r="B1563" s="2" t="s">
        <v>228</v>
      </c>
      <c r="C1563" s="5">
        <v>46204</v>
      </c>
      <c r="D1563" s="2" t="s">
        <v>201</v>
      </c>
      <c r="E1563" s="3">
        <v>4992</v>
      </c>
      <c r="F1563" s="8">
        <v>0.37209999999999999</v>
      </c>
      <c r="G1563" s="4">
        <v>56.948300000000003</v>
      </c>
      <c r="H1563" s="4">
        <v>83.910899999999998</v>
      </c>
      <c r="I1563" s="4">
        <v>13.15</v>
      </c>
      <c r="J1563" s="4">
        <v>13.842499999999999</v>
      </c>
      <c r="K1563" s="4">
        <v>12.8925</v>
      </c>
      <c r="L1563" s="4">
        <v>12.98</v>
      </c>
      <c r="M1563" s="7">
        <v>-1.29E-2</v>
      </c>
    </row>
    <row r="1564" spans="1:13" x14ac:dyDescent="0.2">
      <c r="A1564" s="6">
        <v>46224</v>
      </c>
      <c r="B1564" s="2" t="s">
        <v>226</v>
      </c>
      <c r="C1564" s="5">
        <v>46204</v>
      </c>
      <c r="D1564" s="2" t="s">
        <v>201</v>
      </c>
      <c r="E1564" s="3">
        <v>4849</v>
      </c>
      <c r="F1564" s="8">
        <v>0.36349999999999999</v>
      </c>
      <c r="G1564" s="4">
        <v>61.916800000000002</v>
      </c>
      <c r="H1564" s="4">
        <v>92.302599999999998</v>
      </c>
      <c r="I1564" s="4">
        <v>12.98</v>
      </c>
      <c r="J1564" s="4">
        <v>13.08</v>
      </c>
      <c r="K1564" s="4">
        <v>12.0975</v>
      </c>
      <c r="L1564" s="4">
        <v>12.6</v>
      </c>
      <c r="M1564" s="7">
        <v>-2.93E-2</v>
      </c>
    </row>
    <row r="1565" spans="1:13" x14ac:dyDescent="0.2">
      <c r="A1565" s="6">
        <v>46225</v>
      </c>
      <c r="B1565" s="2" t="s">
        <v>224</v>
      </c>
      <c r="C1565" s="5">
        <v>46204</v>
      </c>
      <c r="D1565" s="2" t="s">
        <v>201</v>
      </c>
      <c r="E1565" s="3">
        <v>4844</v>
      </c>
      <c r="F1565" s="8">
        <v>0.3725</v>
      </c>
      <c r="G1565" s="4">
        <v>60.061</v>
      </c>
      <c r="H1565" s="4">
        <v>89.992699999999999</v>
      </c>
      <c r="I1565" s="4">
        <v>12.6</v>
      </c>
      <c r="J1565" s="4">
        <v>13.425000000000001</v>
      </c>
      <c r="K1565" s="4">
        <v>11.725</v>
      </c>
      <c r="L1565" s="4">
        <v>13.29</v>
      </c>
      <c r="M1565" s="7">
        <v>5.4800000000000001E-2</v>
      </c>
    </row>
    <row r="1566" spans="1:13" x14ac:dyDescent="0.2">
      <c r="A1566" s="6">
        <v>46226</v>
      </c>
      <c r="B1566" s="2" t="s">
        <v>227</v>
      </c>
      <c r="C1566" s="5">
        <v>46204</v>
      </c>
      <c r="D1566" s="2" t="s">
        <v>201</v>
      </c>
      <c r="E1566" s="3">
        <v>4816</v>
      </c>
      <c r="F1566" s="8">
        <v>0.38140000000000002</v>
      </c>
      <c r="G1566" s="4">
        <v>51.278700000000001</v>
      </c>
      <c r="H1566" s="4">
        <v>96.198400000000007</v>
      </c>
      <c r="I1566" s="4">
        <v>13.2925</v>
      </c>
      <c r="J1566" s="4">
        <v>13.74</v>
      </c>
      <c r="K1566" s="4">
        <v>12.914999999999999</v>
      </c>
      <c r="L1566" s="4">
        <v>13.48</v>
      </c>
      <c r="M1566" s="7">
        <v>1.41E-2</v>
      </c>
    </row>
    <row r="1567" spans="1:13" x14ac:dyDescent="0.2">
      <c r="A1567" s="6">
        <v>46227</v>
      </c>
      <c r="B1567" s="2" t="s">
        <v>225</v>
      </c>
      <c r="C1567" s="5">
        <v>46204</v>
      </c>
      <c r="D1567" s="2" t="s">
        <v>201</v>
      </c>
      <c r="E1567" s="3">
        <v>4853</v>
      </c>
      <c r="F1567" s="8">
        <v>0.42559999999999998</v>
      </c>
      <c r="G1567" s="4">
        <v>55.746200000000002</v>
      </c>
      <c r="H1567" s="4">
        <v>89.331800000000001</v>
      </c>
      <c r="I1567" s="4">
        <v>13.475</v>
      </c>
      <c r="J1567" s="4">
        <v>14.7675</v>
      </c>
      <c r="K1567" s="4">
        <v>13.18</v>
      </c>
      <c r="L1567" s="4">
        <v>14.03</v>
      </c>
      <c r="M1567" s="7">
        <v>4.1200000000000001E-2</v>
      </c>
    </row>
    <row r="1568" spans="1:13" x14ac:dyDescent="0.2">
      <c r="A1568" s="6">
        <v>46230</v>
      </c>
      <c r="B1568" s="2" t="s">
        <v>228</v>
      </c>
      <c r="C1568" s="5">
        <v>46204</v>
      </c>
      <c r="D1568" s="2" t="s">
        <v>201</v>
      </c>
      <c r="E1568" s="3">
        <v>5045</v>
      </c>
      <c r="F1568" s="8">
        <v>0.33889999999999998</v>
      </c>
      <c r="G1568" s="4">
        <v>53.9773</v>
      </c>
      <c r="H1568" s="4">
        <v>79.916399999999996</v>
      </c>
      <c r="I1568" s="4">
        <v>14.03</v>
      </c>
      <c r="J1568" s="4">
        <v>14.3325</v>
      </c>
      <c r="K1568" s="4">
        <v>12.602499999999999</v>
      </c>
      <c r="L1568" s="4">
        <v>12.66</v>
      </c>
      <c r="M1568" s="7">
        <v>-9.7600000000000006E-2</v>
      </c>
    </row>
    <row r="1569" spans="1:13" x14ac:dyDescent="0.2">
      <c r="A1569" s="6">
        <v>46231</v>
      </c>
      <c r="B1569" s="2" t="s">
        <v>226</v>
      </c>
      <c r="C1569" s="5">
        <v>46204</v>
      </c>
      <c r="D1569" s="2" t="s">
        <v>201</v>
      </c>
      <c r="E1569" s="3">
        <v>4873</v>
      </c>
      <c r="F1569" s="8">
        <v>0.42449999999999999</v>
      </c>
      <c r="G1569" s="4">
        <v>50.9694</v>
      </c>
      <c r="H1569" s="4">
        <v>84.340100000000007</v>
      </c>
      <c r="I1569" s="4">
        <v>12.66</v>
      </c>
      <c r="J1569" s="4">
        <v>12.82</v>
      </c>
      <c r="K1569" s="4">
        <v>11.7225</v>
      </c>
      <c r="L1569" s="4">
        <v>12.56</v>
      </c>
      <c r="M1569" s="7">
        <v>-7.9000000000000008E-3</v>
      </c>
    </row>
    <row r="1570" spans="1:13" x14ac:dyDescent="0.2">
      <c r="A1570" s="6">
        <v>46232</v>
      </c>
      <c r="B1570" s="2" t="s">
        <v>224</v>
      </c>
      <c r="C1570" s="5">
        <v>46204</v>
      </c>
      <c r="D1570" s="2" t="s">
        <v>201</v>
      </c>
      <c r="E1570" s="3">
        <v>4845</v>
      </c>
      <c r="F1570" s="8">
        <v>0.39169999999999999</v>
      </c>
      <c r="G1570" s="4">
        <v>54.735300000000002</v>
      </c>
      <c r="H1570" s="4">
        <v>107.6652</v>
      </c>
      <c r="I1570" s="4">
        <v>12.5625</v>
      </c>
      <c r="J1570" s="4">
        <v>12.5625</v>
      </c>
      <c r="K1570" s="4">
        <v>11.5625</v>
      </c>
      <c r="L1570" s="4">
        <v>12.01</v>
      </c>
      <c r="M1570" s="7">
        <v>-4.3999999999999997E-2</v>
      </c>
    </row>
    <row r="1571" spans="1:13" x14ac:dyDescent="0.2">
      <c r="A1571" s="6">
        <v>46233</v>
      </c>
      <c r="B1571" s="2" t="s">
        <v>227</v>
      </c>
      <c r="C1571" s="5">
        <v>46204</v>
      </c>
      <c r="D1571" s="2" t="s">
        <v>201</v>
      </c>
      <c r="E1571" s="3">
        <v>4872</v>
      </c>
      <c r="F1571" s="8">
        <v>0.42120000000000002</v>
      </c>
      <c r="G1571" s="4">
        <v>52.137799999999999</v>
      </c>
      <c r="H1571" s="4">
        <v>113.4828</v>
      </c>
      <c r="I1571" s="4">
        <v>12.0075</v>
      </c>
      <c r="J1571" s="4">
        <v>12.317500000000001</v>
      </c>
      <c r="K1571" s="4">
        <v>11.3025</v>
      </c>
      <c r="L1571" s="4">
        <v>12.16</v>
      </c>
      <c r="M1571" s="7">
        <v>1.2699999999999999E-2</v>
      </c>
    </row>
    <row r="1572" spans="1:13" x14ac:dyDescent="0.2">
      <c r="A1572" s="6">
        <v>46234</v>
      </c>
      <c r="B1572" s="2" t="s">
        <v>225</v>
      </c>
      <c r="C1572" s="5">
        <v>46204</v>
      </c>
      <c r="D1572" s="2" t="s">
        <v>201</v>
      </c>
      <c r="E1572" s="3">
        <v>4887</v>
      </c>
      <c r="F1572" s="8">
        <v>0.36759999999999998</v>
      </c>
      <c r="G1572" s="4">
        <v>58.643900000000002</v>
      </c>
      <c r="H1572" s="4">
        <v>102.4871</v>
      </c>
      <c r="I1572" s="4">
        <v>12.154999999999999</v>
      </c>
      <c r="J1572" s="4">
        <v>12.21</v>
      </c>
      <c r="K1572" s="4">
        <v>11.645</v>
      </c>
      <c r="L1572" s="4">
        <v>11.76</v>
      </c>
      <c r="M1572" s="7">
        <v>-3.2500000000000001E-2</v>
      </c>
    </row>
    <row r="1573" spans="1:13" x14ac:dyDescent="0.2">
      <c r="A1573" s="6">
        <v>46237</v>
      </c>
      <c r="B1573" s="2" t="s">
        <v>228</v>
      </c>
      <c r="C1573" s="5">
        <v>46235</v>
      </c>
      <c r="D1573" s="2" t="s">
        <v>201</v>
      </c>
      <c r="E1573" s="3">
        <v>5081</v>
      </c>
      <c r="F1573" s="8">
        <v>0.3599</v>
      </c>
      <c r="G1573" s="4">
        <v>59.556399999999996</v>
      </c>
      <c r="H1573" s="4">
        <v>102.6422</v>
      </c>
      <c r="I1573" s="4">
        <v>11.755000000000001</v>
      </c>
      <c r="J1573" s="4">
        <v>12.06</v>
      </c>
      <c r="K1573" s="4">
        <v>11.695</v>
      </c>
      <c r="L1573" s="4">
        <v>11.93</v>
      </c>
      <c r="M1573" s="7">
        <v>1.49E-2</v>
      </c>
    </row>
    <row r="1574" spans="1:13" x14ac:dyDescent="0.2">
      <c r="A1574" s="6">
        <v>46238</v>
      </c>
      <c r="B1574" s="2" t="s">
        <v>226</v>
      </c>
      <c r="C1574" s="5">
        <v>46235</v>
      </c>
      <c r="D1574" s="2" t="s">
        <v>201</v>
      </c>
      <c r="E1574" s="3">
        <v>4928</v>
      </c>
      <c r="F1574" s="8">
        <v>0.32740000000000002</v>
      </c>
      <c r="G1574" s="4">
        <v>53.4315</v>
      </c>
      <c r="H1574" s="4">
        <v>95.080600000000004</v>
      </c>
      <c r="I1574" s="4">
        <v>11.925000000000001</v>
      </c>
      <c r="J1574" s="4">
        <v>12.545</v>
      </c>
      <c r="K1574" s="4">
        <v>11.4275</v>
      </c>
      <c r="L1574" s="4">
        <v>12.19</v>
      </c>
      <c r="M1574" s="7">
        <v>2.2200000000000001E-2</v>
      </c>
    </row>
    <row r="1575" spans="1:13" x14ac:dyDescent="0.2">
      <c r="A1575" s="6">
        <v>46239</v>
      </c>
      <c r="B1575" s="2" t="s">
        <v>224</v>
      </c>
      <c r="C1575" s="5">
        <v>46235</v>
      </c>
      <c r="D1575" s="2" t="s">
        <v>201</v>
      </c>
      <c r="E1575" s="3">
        <v>4933</v>
      </c>
      <c r="F1575" s="8">
        <v>0.37190000000000001</v>
      </c>
      <c r="G1575" s="4">
        <v>57.5535</v>
      </c>
      <c r="H1575" s="4">
        <v>111.92019999999999</v>
      </c>
      <c r="I1575" s="4">
        <v>12.19</v>
      </c>
      <c r="J1575" s="4">
        <v>12.672499999999999</v>
      </c>
      <c r="K1575" s="4">
        <v>10.805</v>
      </c>
      <c r="L1575" s="4">
        <v>12.06</v>
      </c>
      <c r="M1575" s="7">
        <v>-1.0699999999999999E-2</v>
      </c>
    </row>
    <row r="1576" spans="1:13" x14ac:dyDescent="0.2">
      <c r="A1576" s="6">
        <v>46240</v>
      </c>
      <c r="B1576" s="2" t="s">
        <v>227</v>
      </c>
      <c r="C1576" s="5">
        <v>46235</v>
      </c>
      <c r="D1576" s="2" t="s">
        <v>201</v>
      </c>
      <c r="E1576" s="3">
        <v>4962</v>
      </c>
      <c r="F1576" s="8">
        <v>0.38369999999999999</v>
      </c>
      <c r="G1576" s="4">
        <v>63.065399999999997</v>
      </c>
      <c r="H1576" s="4">
        <v>122.26479999999999</v>
      </c>
      <c r="I1576" s="4">
        <v>12.06</v>
      </c>
      <c r="J1576" s="4">
        <v>12.432499999999999</v>
      </c>
      <c r="K1576" s="4">
        <v>10.095000000000001</v>
      </c>
      <c r="L1576" s="4">
        <v>12.16</v>
      </c>
      <c r="M1576" s="7">
        <v>8.3000000000000001E-3</v>
      </c>
    </row>
    <row r="1577" spans="1:13" x14ac:dyDescent="0.2">
      <c r="A1577" s="6">
        <v>46241</v>
      </c>
      <c r="B1577" s="2" t="s">
        <v>225</v>
      </c>
      <c r="C1577" s="5">
        <v>46235</v>
      </c>
      <c r="D1577" s="2" t="s">
        <v>201</v>
      </c>
      <c r="E1577" s="3">
        <v>4939</v>
      </c>
      <c r="F1577" s="8">
        <v>0.36230000000000001</v>
      </c>
      <c r="G1577" s="4">
        <v>57.633099999999999</v>
      </c>
      <c r="H1577" s="4">
        <v>108.343</v>
      </c>
      <c r="I1577" s="4">
        <v>12.157500000000001</v>
      </c>
      <c r="J1577" s="4">
        <v>12.547499999999999</v>
      </c>
      <c r="K1577" s="4">
        <v>11.3</v>
      </c>
      <c r="L1577" s="4">
        <v>12.16</v>
      </c>
      <c r="M1577" s="7">
        <v>2.0000000000000001E-4</v>
      </c>
    </row>
    <row r="1578" spans="1:13" x14ac:dyDescent="0.2">
      <c r="A1578" s="6">
        <v>46244</v>
      </c>
      <c r="B1578" s="2" t="s">
        <v>228</v>
      </c>
      <c r="C1578" s="5">
        <v>46235</v>
      </c>
      <c r="D1578" s="2" t="s">
        <v>201</v>
      </c>
      <c r="E1578" s="3">
        <v>5137</v>
      </c>
      <c r="F1578" s="8">
        <v>0.46310000000000001</v>
      </c>
      <c r="G1578" s="4">
        <v>63.854199999999999</v>
      </c>
      <c r="H1578" s="4">
        <v>102.2217</v>
      </c>
      <c r="I1578" s="4">
        <v>12.154999999999999</v>
      </c>
      <c r="J1578" s="4">
        <v>12.914999999999999</v>
      </c>
      <c r="K1578" s="4">
        <v>10.815</v>
      </c>
      <c r="L1578" s="4">
        <v>12.25</v>
      </c>
      <c r="M1578" s="7">
        <v>7.7999999999999996E-3</v>
      </c>
    </row>
    <row r="1579" spans="1:13" x14ac:dyDescent="0.2">
      <c r="A1579" s="6">
        <v>46245</v>
      </c>
      <c r="B1579" s="2" t="s">
        <v>226</v>
      </c>
      <c r="C1579" s="5">
        <v>46235</v>
      </c>
      <c r="D1579" s="2" t="s">
        <v>201</v>
      </c>
      <c r="E1579" s="3">
        <v>4987</v>
      </c>
      <c r="F1579" s="8">
        <v>0.3422</v>
      </c>
      <c r="G1579" s="4">
        <v>63.673299999999998</v>
      </c>
      <c r="H1579" s="4">
        <v>101.10129999999999</v>
      </c>
      <c r="I1579" s="4">
        <v>12.244999999999999</v>
      </c>
      <c r="J1579" s="4">
        <v>12.455</v>
      </c>
      <c r="K1579" s="4">
        <v>11.192500000000001</v>
      </c>
      <c r="L1579" s="4">
        <v>11.86</v>
      </c>
      <c r="M1579" s="7">
        <v>-3.1399999999999997E-2</v>
      </c>
    </row>
    <row r="1580" spans="1:13" x14ac:dyDescent="0.2">
      <c r="A1580" s="6">
        <v>46246</v>
      </c>
      <c r="B1580" s="2" t="s">
        <v>224</v>
      </c>
      <c r="C1580" s="5">
        <v>46235</v>
      </c>
      <c r="D1580" s="2" t="s">
        <v>201</v>
      </c>
      <c r="E1580" s="3">
        <v>4948</v>
      </c>
      <c r="F1580" s="8">
        <v>0.3624</v>
      </c>
      <c r="G1580" s="4">
        <v>68.667199999999994</v>
      </c>
      <c r="H1580" s="4">
        <v>113.691</v>
      </c>
      <c r="I1580" s="4">
        <v>11.855</v>
      </c>
      <c r="J1580" s="4">
        <v>12.09</v>
      </c>
      <c r="K1580" s="4">
        <v>11.2575</v>
      </c>
      <c r="L1580" s="4">
        <v>11.69</v>
      </c>
      <c r="M1580" s="7">
        <v>-1.3899999999999999E-2</v>
      </c>
    </row>
    <row r="1581" spans="1:13" x14ac:dyDescent="0.2">
      <c r="A1581" s="6">
        <v>46247</v>
      </c>
      <c r="B1581" s="2" t="s">
        <v>227</v>
      </c>
      <c r="C1581" s="5">
        <v>46235</v>
      </c>
      <c r="D1581" s="2" t="s">
        <v>201</v>
      </c>
      <c r="E1581" s="3">
        <v>4972</v>
      </c>
      <c r="F1581" s="8">
        <v>0.4204</v>
      </c>
      <c r="G1581" s="4">
        <v>66.9465</v>
      </c>
      <c r="H1581" s="4">
        <v>134.18690000000001</v>
      </c>
      <c r="I1581" s="4">
        <v>11.69</v>
      </c>
      <c r="J1581" s="4">
        <v>12.1975</v>
      </c>
      <c r="K1581" s="4">
        <v>10.6525</v>
      </c>
      <c r="L1581" s="4">
        <v>11.42</v>
      </c>
      <c r="M1581" s="7">
        <v>-2.3099999999999999E-2</v>
      </c>
    </row>
    <row r="1582" spans="1:13" x14ac:dyDescent="0.2">
      <c r="A1582" s="6">
        <v>46248</v>
      </c>
      <c r="B1582" s="2" t="s">
        <v>225</v>
      </c>
      <c r="C1582" s="5">
        <v>46235</v>
      </c>
      <c r="D1582" s="2" t="s">
        <v>201</v>
      </c>
      <c r="E1582" s="3">
        <v>4912</v>
      </c>
      <c r="F1582" s="8">
        <v>0.39150000000000001</v>
      </c>
      <c r="G1582" s="4">
        <v>63.999000000000002</v>
      </c>
      <c r="H1582" s="4">
        <v>92.381500000000003</v>
      </c>
      <c r="I1582" s="4">
        <v>11.4175</v>
      </c>
      <c r="J1582" s="4">
        <v>11.56</v>
      </c>
      <c r="K1582" s="4">
        <v>10.824999999999999</v>
      </c>
      <c r="L1582" s="4">
        <v>11.31</v>
      </c>
      <c r="M1582" s="7">
        <v>-9.4000000000000004E-3</v>
      </c>
    </row>
    <row r="1583" spans="1:13" x14ac:dyDescent="0.2">
      <c r="A1583" s="6">
        <v>46251</v>
      </c>
      <c r="B1583" s="2" t="s">
        <v>228</v>
      </c>
      <c r="C1583" s="5">
        <v>46235</v>
      </c>
      <c r="D1583" s="2" t="s">
        <v>201</v>
      </c>
      <c r="E1583" s="3">
        <v>5142</v>
      </c>
      <c r="F1583" s="8">
        <v>0.35120000000000001</v>
      </c>
      <c r="G1583" s="4">
        <v>65.947500000000005</v>
      </c>
      <c r="H1583" s="4">
        <v>91.276300000000006</v>
      </c>
      <c r="I1583" s="4">
        <v>11.305</v>
      </c>
      <c r="J1583" s="4">
        <v>11.775</v>
      </c>
      <c r="K1583" s="4">
        <v>11.092499999999999</v>
      </c>
      <c r="L1583" s="4">
        <v>11.33</v>
      </c>
      <c r="M1583" s="7">
        <v>2.2000000000000001E-3</v>
      </c>
    </row>
    <row r="1584" spans="1:13" x14ac:dyDescent="0.2">
      <c r="A1584" s="6">
        <v>46252</v>
      </c>
      <c r="B1584" s="2" t="s">
        <v>226</v>
      </c>
      <c r="C1584" s="5">
        <v>46235</v>
      </c>
      <c r="D1584" s="2" t="s">
        <v>201</v>
      </c>
      <c r="E1584" s="3">
        <v>4929</v>
      </c>
      <c r="F1584" s="8">
        <v>0.37840000000000001</v>
      </c>
      <c r="G1584" s="4">
        <v>67.272999999999996</v>
      </c>
      <c r="H1584" s="4">
        <v>109.4199</v>
      </c>
      <c r="I1584" s="4">
        <v>11.324999999999999</v>
      </c>
      <c r="J1584" s="4">
        <v>11.785</v>
      </c>
      <c r="K1584" s="4">
        <v>10.14</v>
      </c>
      <c r="L1584" s="4">
        <v>11.39</v>
      </c>
      <c r="M1584" s="7">
        <v>5.7000000000000002E-3</v>
      </c>
    </row>
    <row r="1585" spans="1:13" x14ac:dyDescent="0.2">
      <c r="A1585" s="6">
        <v>46253</v>
      </c>
      <c r="B1585" s="2" t="s">
        <v>224</v>
      </c>
      <c r="C1585" s="5">
        <v>46235</v>
      </c>
      <c r="D1585" s="2" t="s">
        <v>201</v>
      </c>
      <c r="E1585" s="3">
        <v>4924</v>
      </c>
      <c r="F1585" s="8">
        <v>0.37669999999999998</v>
      </c>
      <c r="G1585" s="4">
        <v>55.313699999999997</v>
      </c>
      <c r="H1585" s="4">
        <v>93.281300000000002</v>
      </c>
      <c r="I1585" s="4">
        <v>11.387499999999999</v>
      </c>
      <c r="J1585" s="4">
        <v>11.725</v>
      </c>
      <c r="K1585" s="4">
        <v>10.06</v>
      </c>
      <c r="L1585" s="4">
        <v>11.32</v>
      </c>
      <c r="M1585" s="7">
        <v>-5.8999999999999999E-3</v>
      </c>
    </row>
    <row r="1586" spans="1:13" x14ac:dyDescent="0.2">
      <c r="A1586" s="6">
        <v>46254</v>
      </c>
      <c r="B1586" s="2" t="s">
        <v>227</v>
      </c>
      <c r="C1586" s="5">
        <v>46235</v>
      </c>
      <c r="D1586" s="2" t="s">
        <v>201</v>
      </c>
      <c r="E1586" s="3">
        <v>5000</v>
      </c>
      <c r="F1586" s="8">
        <v>0.33310000000000001</v>
      </c>
      <c r="G1586" s="4">
        <v>58.959000000000003</v>
      </c>
      <c r="H1586" s="4">
        <v>93.667000000000002</v>
      </c>
      <c r="I1586" s="4">
        <v>11.3225</v>
      </c>
      <c r="J1586" s="4">
        <v>11.3225</v>
      </c>
      <c r="K1586" s="4">
        <v>9.3324999999999996</v>
      </c>
      <c r="L1586" s="4">
        <v>10.76</v>
      </c>
      <c r="M1586" s="7">
        <v>-4.9700000000000001E-2</v>
      </c>
    </row>
    <row r="1587" spans="1:13" x14ac:dyDescent="0.2">
      <c r="A1587" s="6">
        <v>46255</v>
      </c>
      <c r="B1587" s="2" t="s">
        <v>225</v>
      </c>
      <c r="C1587" s="5">
        <v>46235</v>
      </c>
      <c r="D1587" s="2" t="s">
        <v>201</v>
      </c>
      <c r="E1587" s="3">
        <v>4998</v>
      </c>
      <c r="F1587" s="8">
        <v>0.33789999999999998</v>
      </c>
      <c r="G1587" s="4">
        <v>64.435699999999997</v>
      </c>
      <c r="H1587" s="4">
        <v>100.2103</v>
      </c>
      <c r="I1587" s="4">
        <v>10.755000000000001</v>
      </c>
      <c r="J1587" s="4">
        <v>11.35</v>
      </c>
      <c r="K1587" s="4">
        <v>9.57</v>
      </c>
      <c r="L1587" s="4">
        <v>11.2</v>
      </c>
      <c r="M1587" s="7">
        <v>4.1399999999999999E-2</v>
      </c>
    </row>
    <row r="1588" spans="1:13" x14ac:dyDescent="0.2">
      <c r="A1588" s="6">
        <v>46258</v>
      </c>
      <c r="B1588" s="2" t="s">
        <v>228</v>
      </c>
      <c r="C1588" s="5">
        <v>46235</v>
      </c>
      <c r="D1588" s="2" t="s">
        <v>201</v>
      </c>
      <c r="E1588" s="3">
        <v>5133</v>
      </c>
      <c r="F1588" s="8">
        <v>0.3876</v>
      </c>
      <c r="G1588" s="4">
        <v>77.671700000000001</v>
      </c>
      <c r="H1588" s="4">
        <v>115.05249999999999</v>
      </c>
      <c r="I1588" s="4">
        <v>11.195</v>
      </c>
      <c r="J1588" s="4">
        <v>11.76</v>
      </c>
      <c r="K1588" s="4">
        <v>10.3225</v>
      </c>
      <c r="L1588" s="4">
        <v>11.53</v>
      </c>
      <c r="M1588" s="7">
        <v>2.9899999999999999E-2</v>
      </c>
    </row>
    <row r="1589" spans="1:13" x14ac:dyDescent="0.2">
      <c r="A1589" s="6">
        <v>46259</v>
      </c>
      <c r="B1589" s="2" t="s">
        <v>226</v>
      </c>
      <c r="C1589" s="5">
        <v>46235</v>
      </c>
      <c r="D1589" s="2" t="s">
        <v>201</v>
      </c>
      <c r="E1589" s="3">
        <v>4958</v>
      </c>
      <c r="F1589" s="8">
        <v>0.36409999999999998</v>
      </c>
      <c r="G1589" s="4">
        <v>63.5364</v>
      </c>
      <c r="H1589" s="4">
        <v>79.787099999999995</v>
      </c>
      <c r="I1589" s="4">
        <v>11.525</v>
      </c>
      <c r="J1589" s="4">
        <v>11.615</v>
      </c>
      <c r="K1589" s="4">
        <v>9.4499999999999993</v>
      </c>
      <c r="L1589" s="4">
        <v>11.08</v>
      </c>
      <c r="M1589" s="7">
        <v>-3.8600000000000002E-2</v>
      </c>
    </row>
    <row r="1590" spans="1:13" x14ac:dyDescent="0.2">
      <c r="A1590" s="6">
        <v>46260</v>
      </c>
      <c r="B1590" s="2" t="s">
        <v>224</v>
      </c>
      <c r="C1590" s="5">
        <v>46235</v>
      </c>
      <c r="D1590" s="2" t="s">
        <v>201</v>
      </c>
      <c r="E1590" s="3">
        <v>4942</v>
      </c>
      <c r="F1590" s="8">
        <v>0.31900000000000001</v>
      </c>
      <c r="G1590" s="4">
        <v>69.117900000000006</v>
      </c>
      <c r="H1590" s="4">
        <v>131.62629999999999</v>
      </c>
      <c r="I1590" s="4">
        <v>11.074999999999999</v>
      </c>
      <c r="J1590" s="4">
        <v>11.074999999999999</v>
      </c>
      <c r="K1590" s="4">
        <v>10.130000000000001</v>
      </c>
      <c r="L1590" s="4">
        <v>10.57</v>
      </c>
      <c r="M1590" s="7">
        <v>-4.5600000000000002E-2</v>
      </c>
    </row>
    <row r="1591" spans="1:13" x14ac:dyDescent="0.2">
      <c r="A1591" s="6">
        <v>46261</v>
      </c>
      <c r="B1591" s="2" t="s">
        <v>227</v>
      </c>
      <c r="C1591" s="5">
        <v>46235</v>
      </c>
      <c r="D1591" s="2" t="s">
        <v>201</v>
      </c>
      <c r="E1591" s="3">
        <v>4923</v>
      </c>
      <c r="F1591" s="8">
        <v>0.37340000000000001</v>
      </c>
      <c r="G1591" s="4">
        <v>65.247500000000002</v>
      </c>
      <c r="H1591" s="4">
        <v>133.53489999999999</v>
      </c>
      <c r="I1591" s="4">
        <v>10.565</v>
      </c>
      <c r="J1591" s="4">
        <v>11.28</v>
      </c>
      <c r="K1591" s="4">
        <v>10.355</v>
      </c>
      <c r="L1591" s="4">
        <v>11.07</v>
      </c>
      <c r="M1591" s="7">
        <v>4.7800000000000002E-2</v>
      </c>
    </row>
    <row r="1592" spans="1:13" x14ac:dyDescent="0.2">
      <c r="A1592" s="6">
        <v>46262</v>
      </c>
      <c r="B1592" s="2" t="s">
        <v>225</v>
      </c>
      <c r="C1592" s="5">
        <v>46235</v>
      </c>
      <c r="D1592" s="2" t="s">
        <v>201</v>
      </c>
      <c r="E1592" s="3">
        <v>4931</v>
      </c>
      <c r="F1592" s="8">
        <v>0.38700000000000001</v>
      </c>
      <c r="G1592" s="4">
        <v>62.317999999999998</v>
      </c>
      <c r="H1592" s="4">
        <v>94.670199999999994</v>
      </c>
      <c r="I1592" s="4">
        <v>11.067500000000001</v>
      </c>
      <c r="J1592" s="4">
        <v>11.1425</v>
      </c>
      <c r="K1592" s="4">
        <v>10.532500000000001</v>
      </c>
      <c r="L1592" s="4">
        <v>10.68</v>
      </c>
      <c r="M1592" s="7">
        <v>-3.5000000000000003E-2</v>
      </c>
    </row>
    <row r="1593" spans="1:13" x14ac:dyDescent="0.2">
      <c r="A1593" s="6">
        <v>46265</v>
      </c>
      <c r="B1593" s="2" t="s">
        <v>228</v>
      </c>
      <c r="C1593" s="5">
        <v>46235</v>
      </c>
      <c r="D1593" s="2" t="s">
        <v>201</v>
      </c>
      <c r="E1593" s="3">
        <v>5121</v>
      </c>
      <c r="F1593" s="8">
        <v>0.41349999999999998</v>
      </c>
      <c r="G1593" s="4">
        <v>66.926599999999993</v>
      </c>
      <c r="H1593" s="4">
        <v>97.675700000000006</v>
      </c>
      <c r="I1593" s="4">
        <v>10.68</v>
      </c>
      <c r="J1593" s="4">
        <v>11.44</v>
      </c>
      <c r="K1593" s="4">
        <v>10.68</v>
      </c>
      <c r="L1593" s="4">
        <v>11.19</v>
      </c>
      <c r="M1593" s="7">
        <v>4.7800000000000002E-2</v>
      </c>
    </row>
    <row r="1594" spans="1:13" x14ac:dyDescent="0.2">
      <c r="A1594" s="6">
        <v>46266</v>
      </c>
      <c r="B1594" s="2" t="s">
        <v>226</v>
      </c>
      <c r="C1594" s="5">
        <v>46266</v>
      </c>
      <c r="D1594" s="2" t="s">
        <v>201</v>
      </c>
      <c r="E1594" s="3">
        <v>5005</v>
      </c>
      <c r="F1594" s="8">
        <v>0.37159999999999999</v>
      </c>
      <c r="G1594" s="4">
        <v>69.470799999999997</v>
      </c>
      <c r="H1594" s="4">
        <v>90.278700000000001</v>
      </c>
      <c r="I1594" s="4">
        <v>11.19</v>
      </c>
      <c r="J1594" s="4">
        <v>12.1225</v>
      </c>
      <c r="K1594" s="4">
        <v>9.2475000000000005</v>
      </c>
      <c r="L1594" s="4">
        <v>11.49</v>
      </c>
      <c r="M1594" s="7">
        <v>2.6800000000000001E-2</v>
      </c>
    </row>
    <row r="1595" spans="1:13" x14ac:dyDescent="0.2">
      <c r="A1595" s="6">
        <v>46267</v>
      </c>
      <c r="B1595" s="2" t="s">
        <v>224</v>
      </c>
      <c r="C1595" s="5">
        <v>46266</v>
      </c>
      <c r="D1595" s="2" t="s">
        <v>201</v>
      </c>
      <c r="E1595" s="3">
        <v>5002</v>
      </c>
      <c r="F1595" s="8">
        <v>0.43459999999999999</v>
      </c>
      <c r="G1595" s="4">
        <v>140.5515</v>
      </c>
      <c r="H1595" s="4">
        <v>212.02719999999999</v>
      </c>
      <c r="I1595" s="4">
        <v>11.4925</v>
      </c>
      <c r="J1595" s="4">
        <v>12.112500000000001</v>
      </c>
      <c r="K1595" s="4">
        <v>10.547499999999999</v>
      </c>
      <c r="L1595" s="4">
        <v>11.59</v>
      </c>
      <c r="M1595" s="7">
        <v>8.5000000000000006E-3</v>
      </c>
    </row>
    <row r="1596" spans="1:13" x14ac:dyDescent="0.2">
      <c r="A1596" s="6">
        <v>46268</v>
      </c>
      <c r="B1596" s="2" t="s">
        <v>227</v>
      </c>
      <c r="C1596" s="5">
        <v>46266</v>
      </c>
      <c r="D1596" s="2" t="s">
        <v>201</v>
      </c>
      <c r="E1596" s="3">
        <v>4977</v>
      </c>
      <c r="F1596" s="8">
        <v>0.38009999999999999</v>
      </c>
      <c r="G1596" s="4">
        <v>66.044200000000004</v>
      </c>
      <c r="H1596" s="4">
        <v>106.39700000000001</v>
      </c>
      <c r="I1596" s="4">
        <v>11.592499999999999</v>
      </c>
      <c r="J1596" s="4">
        <v>11.592499999999999</v>
      </c>
      <c r="K1596" s="4">
        <v>10.75</v>
      </c>
      <c r="L1596" s="4">
        <v>11.34</v>
      </c>
      <c r="M1596" s="7">
        <v>-2.18E-2</v>
      </c>
    </row>
    <row r="1597" spans="1:13" x14ac:dyDescent="0.2">
      <c r="A1597" s="6">
        <v>46269</v>
      </c>
      <c r="B1597" s="2" t="s">
        <v>225</v>
      </c>
      <c r="C1597" s="5">
        <v>46266</v>
      </c>
      <c r="D1597" s="2" t="s">
        <v>201</v>
      </c>
      <c r="E1597" s="3">
        <v>5042</v>
      </c>
      <c r="F1597" s="8">
        <v>0.43340000000000001</v>
      </c>
      <c r="G1597" s="4">
        <v>86.172499999999999</v>
      </c>
      <c r="H1597" s="4">
        <v>131.64709999999999</v>
      </c>
      <c r="I1597" s="4">
        <v>11.3375</v>
      </c>
      <c r="J1597" s="4">
        <v>11.3375</v>
      </c>
      <c r="K1597" s="4">
        <v>10.565</v>
      </c>
      <c r="L1597" s="4">
        <v>10.68</v>
      </c>
      <c r="M1597" s="7">
        <v>-5.8000000000000003E-2</v>
      </c>
    </row>
    <row r="1598" spans="1:13" x14ac:dyDescent="0.2">
      <c r="A1598" s="6">
        <v>46272</v>
      </c>
      <c r="B1598" s="2" t="s">
        <v>228</v>
      </c>
      <c r="C1598" s="5">
        <v>46266</v>
      </c>
      <c r="D1598" s="2" t="s">
        <v>201</v>
      </c>
      <c r="E1598" s="3">
        <v>5183</v>
      </c>
      <c r="F1598" s="8">
        <v>0.43</v>
      </c>
      <c r="G1598" s="4">
        <v>80.066199999999995</v>
      </c>
      <c r="H1598" s="4">
        <v>86.967100000000002</v>
      </c>
      <c r="I1598" s="4">
        <v>10.68</v>
      </c>
      <c r="J1598" s="4">
        <v>11.3475</v>
      </c>
      <c r="K1598" s="4">
        <v>10.275</v>
      </c>
      <c r="L1598" s="4">
        <v>11.16</v>
      </c>
      <c r="M1598" s="7">
        <v>4.4900000000000002E-2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 Cash Turnover Mkt Share</vt:lpstr>
      <vt:lpstr>Qrtr Eq Cash Turnover Mkt Share</vt:lpstr>
      <vt:lpstr>Mth Eq Cash Turnover Mkt Share</vt:lpstr>
      <vt:lpstr>Day Eq Cash Turnover Mkt Share</vt:lpstr>
      <vt:lpstr>Year NSE Equity Cash</vt:lpstr>
      <vt:lpstr>Monthly NSE Equity Cash</vt:lpstr>
      <vt:lpstr>Daily NSE Equity Cash</vt:lpstr>
      <vt:lpstr>Year BSE Equity Cash</vt:lpstr>
      <vt:lpstr>Monthly BSE Equity Cash</vt:lpstr>
      <vt:lpstr>Daily BSE Equity 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2026-09-08T05:11:34Z</dcterms:created>
  <dcterms:modified xsi:type="dcterms:W3CDTF">2026-09-08T05:14:49Z</dcterms:modified>
</cp:coreProperties>
</file>