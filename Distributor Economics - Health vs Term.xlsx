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Y26A Segment P&amp;L (Verified)" sheetId="1" state="visible" r:id="rId3"/>
    <sheet name="Health - Unit Economics" sheetId="2" state="visible" r:id="rId4"/>
    <sheet name="Term - Unit Economics" sheetId="3" state="visible" r:id="rId5"/>
    <sheet name="Health vs Term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<sst xmlns="http://schemas.openxmlformats.org/spreadsheetml/2006/main" count="296" uniqueCount="200">
  <si>
    <t xml:space="preserve">PB FINTECH — FY26A SEGMENT P&amp;L (VERIFIED)</t>
  </si>
  <si>
    <t xml:space="preserve">Source: Management Presentation / Verified Image</t>
  </si>
  <si>
    <t xml:space="preserve">Segment</t>
  </si>
  <si>
    <t xml:space="preserve">GWP (₹ Cr)</t>
  </si>
  <si>
    <t xml:space="preserve">Take Rate</t>
  </si>
  <si>
    <t xml:space="preserve">Revenue (₹ Cr)</t>
  </si>
  <si>
    <t xml:space="preserve">Direct Cost (₹ Cr)</t>
  </si>
  <si>
    <t xml:space="preserve">Contri Margin</t>
  </si>
  <si>
    <t xml:space="preserve">Contri Profit (₹ Cr)</t>
  </si>
  <si>
    <t xml:space="preserve">Indirect Cost (₹ Cr)</t>
  </si>
  <si>
    <t xml:space="preserve">EBITDA Margin</t>
  </si>
  <si>
    <t xml:space="preserve">EBITDA (₹ Cr)</t>
  </si>
  <si>
    <t xml:space="preserve">Term - New</t>
  </si>
  <si>
    <t xml:space="preserve">Term - Renewal</t>
  </si>
  <si>
    <t xml:space="preserve">Health - New</t>
  </si>
  <si>
    <t xml:space="preserve">Health - Renewal</t>
  </si>
  <si>
    <t xml:space="preserve">ULIP - New</t>
  </si>
  <si>
    <t xml:space="preserve">ULIP - Renewal</t>
  </si>
  <si>
    <t xml:space="preserve">Motor - New</t>
  </si>
  <si>
    <t xml:space="preserve">Motor - Renewal</t>
  </si>
  <si>
    <t xml:space="preserve">PoSP / Others</t>
  </si>
  <si>
    <t xml:space="preserve">PaisaBazaar</t>
  </si>
  <si>
    <t xml:space="preserve">CONSOLIDATED</t>
  </si>
  <si>
    <t xml:space="preserve">Below EBITDA:</t>
  </si>
  <si>
    <t xml:space="preserve">ESOPs</t>
  </si>
  <si>
    <t xml:space="preserve">Other Income</t>
  </si>
  <si>
    <t xml:space="preserve">Dep / Amortization</t>
  </si>
  <si>
    <t xml:space="preserve">PBT</t>
  </si>
  <si>
    <t xml:space="preserve">Tax Factor</t>
  </si>
  <si>
    <t xml:space="preserve">0.95x</t>
  </si>
  <si>
    <t xml:space="preserve">PAT</t>
  </si>
  <si>
    <t xml:space="preserve">HEALTH INSURANCE — Customer LTV Model (Fully Linked)</t>
  </si>
  <si>
    <t xml:space="preserve">Source: PB Fintech FY26A Segment P&amp;L | IRDAI Proposed Commission Caps (Sep 2026)</t>
  </si>
  <si>
    <t xml:space="preserve">Assumption</t>
  </si>
  <si>
    <t xml:space="preserve">Pre-Reg</t>
  </si>
  <si>
    <t xml:space="preserve">Post-Reg</t>
  </si>
  <si>
    <t xml:space="preserve">Note</t>
  </si>
  <si>
    <t xml:space="preserve">Annual Premium — Year 1 (₹)</t>
  </si>
  <si>
    <t xml:space="preserve">Avg retail health policy</t>
  </si>
  <si>
    <t xml:space="preserve">Annual Premium Growth</t>
  </si>
  <si>
    <t xml:space="preserve">Age + inflation + SI increase</t>
  </si>
  <si>
    <t xml:space="preserve">FY Take Rate (Commission)</t>
  </si>
  <si>
    <t xml:space="preserve">Actual PB: 40% | Proposed IDE cap: 15%</t>
  </si>
  <si>
    <t xml:space="preserve">Renewal Take Rate</t>
  </si>
  <si>
    <t xml:space="preserve">Actual PB: 20% | Proposed IDE cap: 5%</t>
  </si>
  <si>
    <t xml:space="preserve">Acquisition Cost — Direct (₹)</t>
  </si>
  <si>
    <t xml:space="preserve">FIXED: call center, marketing, verification</t>
  </si>
  <si>
    <t xml:space="preserve">Acquisition Cost — Indirect (₹)</t>
  </si>
  <si>
    <t xml:space="preserve">FIXED: allocated overhead per customer</t>
  </si>
  <si>
    <t xml:space="preserve">Renewal Direct Cost (% of Rev)</t>
  </si>
  <si>
    <t xml:space="preserve">From FY26A P&amp;L: ₹108Cr / ₹538Cr</t>
  </si>
  <si>
    <t xml:space="preserve">Renewal Indirect Cost (% of Rev)</t>
  </si>
  <si>
    <t xml:space="preserve">From FY26A P&amp;L: ₹54Cr / ₹538Cr</t>
  </si>
  <si>
    <t xml:space="preserve">Customer Retention Rate</t>
  </si>
  <si>
    <t xml:space="preserve">Lower commission → less servicing → lower retention</t>
  </si>
  <si>
    <t xml:space="preserve">Direct Cost as % of FY Revenue (Derived)</t>
  </si>
  <si>
    <t xml:space="preserve">Pre: ~105% | Post: ~280% — same ₹ cost, less revenue</t>
  </si>
  <si>
    <t xml:space="preserve">PRE-REGULATION — Year-by-Year Economics (Per Customer)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</si>
  <si>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</si>
  <si>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</si>
  <si>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</si>
  <si>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</si>
  <si>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</si>
  <si>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</si>
  <si>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</si>
  <si>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</si>
  <si>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</si>
  <si>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</si>
  <si>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</si>
  <si>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</si>
  <si>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Year 12</t>
  </si>
  <si>
    <t xml:space="preserve">Year 13</t>
  </si>
  <si>
    <t xml:space="preserve">Year 14</t>
  </si>
  <si>
    <t xml:space="preserve">Year 15</t>
  </si>
  <si>
    <t xml:space="preserve">Annual Premium (₹)</t>
  </si>
  <si>
    <t xml:space="preserve">Revenue (₹)</t>
  </si>
  <si>
    <t xml:space="preserve">Direct Cost (₹)</t>
  </si>
  <si>
    <t xml:space="preserve">Contribution Profit (₹)</t>
  </si>
  <si>
    <t xml:space="preserve">Indirect Cost (₹)</t>
  </si>
  <si>
    <t xml:space="preserve">EBITDA (₹)</t>
  </si>
  <si>
    <t xml:space="preserve">Surviving Customers (of 100)</t>
  </si>
  <si>
    <t xml:space="preserve">Weighted EBITDA (₹)</t>
  </si>
  <si>
    <t xml:space="preserve">Cumulative Profit (₹)</t>
  </si>
  <si>
    <t xml:space="preserve">POST-REGULATION — Year-by-Year Economics (Per Customer)</t>
  </si>
  <si>
    <t xml:space="preserve">IMPACT SUMMARY</t>
  </si>
  <si>
    <t xml:space="preserve">Change</t>
  </si>
  <si>
    <t xml:space="preserve">FY Take Rate</t>
  </si>
  <si>
    <t xml:space="preserve">Y1 Revenue (₹)</t>
  </si>
  <si>
    <t xml:space="preserve">Y1 Acquisition Cost (₹)</t>
  </si>
  <si>
    <t xml:space="preserve">Y1 EBITDA (₹)</t>
  </si>
  <si>
    <t xml:space="preserve">Payback Year</t>
  </si>
  <si>
    <t xml:space="preserve">Year 17</t>
  </si>
  <si>
    <t xml:space="preserve">+15 years</t>
  </si>
  <si>
    <t xml:space="preserve">Y10 Cum. Profit (₹)</t>
  </si>
  <si>
    <t xml:space="preserve">Y15 Cum. Profit (₹)</t>
  </si>
  <si>
    <t xml:space="preserve">Retention Rate</t>
  </si>
  <si>
    <t xml:space="preserve">THE BROKEN FLYWHEEL</t>
  </si>
  <si>
    <t xml:space="preserve">The call center agent's hour costs the same whether PB earns 40% or 15%. Cost is FIXED. Only revenue shrinks.</t>
  </si>
  <si>
    <t xml:space="preserve">Manas's bull thesis: renewal book compounds → margin expansion → 60-80x multiple. Post-reg: the compounding mechanism is destroyed.</t>
  </si>
  <si>
    <t xml:space="preserve">COST COMPONENT BREAKDOWN</t>
  </si>
  <si>
    <t xml:space="preserve">Decomposing the per-customer acquisition cost into compressible vs non-compressible</t>
  </si>
  <si>
    <t xml:space="preserve">Source: Bernstein 'Key debate is commission regulation' (Feb 2026) + Manas-Nikhil call</t>
  </si>
  <si>
    <t xml:space="preserve">Direct Cost Component</t>
  </si>
  <si>
    <t xml:space="preserve">Amount (₹)</t>
  </si>
  <si>
    <t xml:space="preserve">% of Total</t>
  </si>
  <si>
    <t xml:space="preserve">Compressible?</t>
  </si>
  <si>
    <t xml:space="preserve">Call Centre Salary</t>
  </si>
  <si>
    <t xml:space="preserve">Yes</t>
  </si>
  <si>
    <t xml:space="preserve">~40% of core revenue (Bernstein Feb 2026)</t>
  </si>
  <si>
    <t xml:space="preserve">Performance Marketing</t>
  </si>
  <si>
    <t xml:space="preserve">Partially</t>
  </si>
  <si>
    <t xml:space="preserve">SEO declining, paid CAC increasing</t>
  </si>
  <si>
    <t xml:space="preserve">Other Direct (verification, ops)</t>
  </si>
  <si>
    <t xml:space="preserve">Some</t>
  </si>
  <si>
    <t xml:space="preserve">Automation potential but limited</t>
  </si>
  <si>
    <t xml:space="preserve">Failed Lead Cost (wasted calls)</t>
  </si>
  <si>
    <t xml:space="preserve">Hard</t>
  </si>
  <si>
    <t xml:space="preserve">1-in-4 conversion; structural</t>
  </si>
  <si>
    <t xml:space="preserve">TOTAL Direct Cost</t>
  </si>
  <si>
    <t xml:space="preserve">Must equal Row 9 assumption (₹10,500)</t>
  </si>
  <si>
    <t xml:space="preserve">→ Compressible (salary + marketing)</t>
  </si>
  <si>
    <t xml:space="preserve">What AI/automation can realistically target</t>
  </si>
  <si>
    <t xml:space="preserve">Indirect Cost Component</t>
  </si>
  <si>
    <t xml:space="preserve">Management / Corporate</t>
  </si>
  <si>
    <t xml:space="preserve">AI-driven process optimization</t>
  </si>
  <si>
    <t xml:space="preserve">Office / IT Infrastructure</t>
  </si>
  <si>
    <t xml:space="preserve">Limited</t>
  </si>
  <si>
    <t xml:space="preserve">Fixed overhead</t>
  </si>
  <si>
    <t xml:space="preserve">TOTAL Indirect Cost</t>
  </si>
  <si>
    <t xml:space="preserve">Must equal Row 10 assumption (₹500)</t>
  </si>
  <si>
    <t xml:space="preserve">→ Compressible (management)</t>
  </si>
  <si>
    <t xml:space="preserve">SENSITIVITY ANALYSIS — Can Cost Cuts Save Post-Reg Health?</t>
  </si>
  <si>
    <t xml:space="preserve">How much must PB cut compressible costs to offset the commission cap impact?</t>
  </si>
  <si>
    <t xml:space="preserve">Fixed: FY Take Rate = 15% (cap) | Retention = 85% | Premium = ₹25,000 | Growth = 8%</t>
  </si>
  <si>
    <t xml:space="preserve">Variables: Compressible Cost Reduction % (rows) × Renewal Take Rate (columns)</t>
  </si>
  <si>
    <t xml:space="preserve">Table 1: Y15 Cumulative Profit per Customer (₹)</t>
  </si>
  <si>
    <t xml:space="preserve">Cost Reduction ↓ / Renewal Rate →</t>
  </si>
  <si>
    <t xml:space="preserve">Table 2: Approximate Payback Year</t>
  </si>
  <si>
    <t xml:space="preserve">← Base case: no cost cuts</t>
  </si>
  <si>
    <t xml:space="preserve">← Moderate AI adoption (BCG: 15-20% productivity uplift)</t>
  </si>
  <si>
    <t xml:space="preserve">← Aggressive: replaces most call centre (Nat'l Insurance case)</t>
  </si>
  <si>
    <t xml:space="preserve">← Maximum theoretical (50% of compressible = 28% total reduction)</t>
  </si>
  <si>
    <t xml:space="preserve">KEY INSIGHTS</t>
  </si>
  <si>
    <t xml:space="preserve">1. Only 55% of direct cost is compressible (call centre + marketing). Failed lead costs (35%) are structural.</t>
  </si>
  <si>
    <t xml:space="preserve">2. Even at 50% compressible cost reduction, Y1 loss is still ~₹4,200/customer at 15%/5% caps.</t>
  </si>
  <si>
    <t xml:space="preserve">3. At 85% retention, only 7/100 customers survive to Year 15. Payback beyond ~8 years is theoretical.</t>
  </si>
  <si>
    <t xml:space="preserve">4. For ≤5-year payback: needs ~30% compressible cost cut AND 15% renewal rate (3× proposed 5% cap).</t>
  </si>
  <si>
    <t xml:space="preserve">5. Management has NOT committed to AI savings (Manas: 'they don't feel the urgent need to do it today').</t>
  </si>
  <si>
    <t xml:space="preserve">6. Cost cuts help at the margin but cannot fix the fundamental economics. Revenue hole &gt; cost lever.</t>
  </si>
  <si>
    <t xml:space="preserve">TERM INSURANCE — Distributor Unit Economics (Per Customer)</t>
  </si>
  <si>
    <t xml:space="preserve">Aligned to PB Fintech FY26A Verified Segment P&amp;L</t>
  </si>
  <si>
    <t xml:space="preserve">KEY ASSUMPTIONS</t>
  </si>
  <si>
    <t xml:space="preserve">Pre-Reg (Actual)</t>
  </si>
  <si>
    <t xml:space="preserve">Post-Reg (Proposed)</t>
  </si>
  <si>
    <t xml:space="preserve">Annual Premium</t>
  </si>
  <si>
    <t xml:space="preserve">INR — avg term plan, 30yo, ₹1Cr cover</t>
  </si>
  <si>
    <t xml:space="preserve">Premium Growth</t>
  </si>
  <si>
    <t xml:space="preserve">Term premium is FIXED at purchase</t>
  </si>
  <si>
    <t xml:space="preserve">Actual PB: 40% | Proposed IDE cap: 25%</t>
  </si>
  <si>
    <t xml:space="preserve">Actual PB: 3% | Proposed IDE cap: 7.5% (INCREASE)</t>
  </si>
  <si>
    <t xml:space="preserve">FY Contribution Margin</t>
  </si>
  <si>
    <t xml:space="preserve">Derived</t>
  </si>
  <si>
    <t xml:space="preserve">From verified P&amp;L</t>
  </si>
  <si>
    <t xml:space="preserve">Renewal Contribution Margin</t>
  </si>
  <si>
    <t xml:space="preserve">FY EBITDA Margin</t>
  </si>
  <si>
    <t xml:space="preserve">Renewal EBITDA Margin</t>
  </si>
  <si>
    <t xml:space="preserve">CAC (Fully Loaded per Customer)</t>
  </si>
  <si>
    <t xml:space="preserve">Lower than health — simpler comparison</t>
  </si>
  <si>
    <t xml:space="preserve">Direct Cost as % of Revenue (New)</t>
  </si>
  <si>
    <t xml:space="preserve">Actual: ₹430 / ₹1,075 = 40%</t>
  </si>
  <si>
    <t xml:space="preserve">Direct Cost as % of Revenue (Renewal)</t>
  </si>
  <si>
    <t xml:space="preserve">Actual: ₹7 / ₹67 ≈ 10%</t>
  </si>
  <si>
    <t xml:space="preserve">Indirect Cost as % of Revenue (New)</t>
  </si>
  <si>
    <t xml:space="preserve">Actual: ₹484 / ₹1,075 = 45%</t>
  </si>
  <si>
    <t xml:space="preserve">Indirect Cost as % of Revenue (Renewal)</t>
  </si>
  <si>
    <t xml:space="preserve">Actual: ₹13 / ₹67 ≈ 19%</t>
  </si>
  <si>
    <t xml:space="preserve">High — switching = re-underwriting at older age</t>
  </si>
  <si>
    <t xml:space="preserve">Projection Period (Years)</t>
  </si>
  <si>
    <t xml:space="preserve">YEAR-BY-YEAR ECONOMICS — PRE-REGULATION (ACTUAL PB RATES)</t>
  </si>
  <si>
    <t xml:space="preserve">Revenue — Take Rate × Premium (₹)</t>
  </si>
  <si>
    <t xml:space="preserve">Contribution Margin (%)</t>
  </si>
  <si>
    <t xml:space="preserve">EBITDA Margin (%)</t>
  </si>
  <si>
    <t xml:space="preserve">Cumulative Revenue (₹)</t>
  </si>
  <si>
    <t xml:space="preserve">Cumulative Cost (₹)</t>
  </si>
  <si>
    <t xml:space="preserve">YEAR-BY-YEAR ECONOMICS — POST-REGULATION (PROPOSED CAPS)</t>
  </si>
  <si>
    <t xml:space="preserve">HEALTH vs TERM — Distributor Economics Comparison</t>
  </si>
  <si>
    <t xml:space="preserve">Based on PB Fintech FY26A Verified Segment P&amp;L</t>
  </si>
  <si>
    <t xml:space="preserve">Health Pre-Reg</t>
  </si>
  <si>
    <t xml:space="preserve">Health Post-Reg</t>
  </si>
  <si>
    <t xml:space="preserve">Term Pre-Reg</t>
  </si>
  <si>
    <t xml:space="preserve">Term Post-Reg</t>
  </si>
  <si>
    <t xml:space="preserve">Direct Cost % (New)</t>
  </si>
  <si>
    <t xml:space="preserve">Direct Cost % (Renewal)</t>
  </si>
  <si>
    <t xml:space="preserve">Health Pre-Reg: -5% contri margin on new (loss leader), +80% on renewal (profit engine). Subsidy model works.</t>
  </si>
  <si>
    <t xml:space="preserve">Health Post-Reg: FY revenue drops 63%, renewal drops 75%. Loss leader becomes permanent loss. Subsidy breaks.</t>
  </si>
  <si>
    <t xml:space="preserve">Term Pre-Reg: +60% contri margin on new (profitable from day 1), +90% on renewal. Front-loaded value capture.</t>
  </si>
  <si>
    <t xml:space="preserve">Term Post-Reg: FY revenue drops 37%, but renewal INCREASES (3% → 7.5%). Timing shift, not destruction.</t>
  </si>
  <si>
    <t xml:space="preserve">The asymmetry: Health = VALUE DESTRUCTION (both FY AND renewal gutted). Term = TIMING SHIFT (less FY, more trail).</t>
  </si>
  <si>
    <t xml:space="preserve">EBITDA margins tell the same story: Health-new -10% → catastrophic post-caps. Term-new 15% → compressed but survivable.</t>
  </si>
  <si>
    <t xml:space="preserve">PoSP business (5% contri margin, -4% EBITDA margin) becomes unviable. Eliminated in FY28 per Bernstein model.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</si>
</sst>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%;\(0.0%\);\-"/>
    <numFmt numFmtId="168" formatCode="#,##0;\(#,##0\);\-"/>
    <numFmt numFmtId="169" formatCode="0.0"/>
    <numFmt numFmtId="170" formatCode="\+0.0%;\-0.0%"/>
    <numFmt numFmtId="171" formatCode="0%"/>
    <numFmt numFmtId="172" formatCode="0"/>
    <numFmt numFmtId="173" formatCode="\₹#,##0;&quot;(₹&quot;#,##0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9"/>
      <color rgb="FFFF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1"/>
      <color rgb="FFFF000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9"/>
      <color rgb="FF999999"/>
      <name val="Arial"/>
      <family val="0"/>
      <charset val="1"/>
    </font>
    <font>
      <sz val="10"/>
      <color rgb="FF008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666666"/>
      </patternFill>
    </fill>
    <fill>
      <patternFill patternType="solid">
        <fgColor rgb="FFE2EFDA"/>
        <bgColor rgb="FFE8F5E9"/>
      </patternFill>
    </fill>
    <fill>
      <patternFill patternType="solid">
        <fgColor rgb="FFFCE4EC"/>
        <bgColor rgb="FFFFEBEE"/>
      </patternFill>
    </fill>
    <fill>
      <patternFill patternType="solid">
        <fgColor rgb="FFD9E2F3"/>
        <bgColor rgb="FFDCE6F1"/>
      </patternFill>
    </fill>
    <fill>
      <patternFill patternType="solid">
        <fgColor rgb="FFFFF9C4"/>
        <bgColor rgb="FFFFF2CC"/>
      </patternFill>
    </fill>
    <fill>
      <patternFill patternType="solid">
        <fgColor rgb="FFE8F5E9"/>
        <bgColor rgb="FFF2F2F2"/>
      </patternFill>
    </fill>
    <fill>
      <patternFill patternType="solid">
        <fgColor rgb="FFFFEBEE"/>
        <bgColor rgb="FFFCE4EC"/>
      </patternFill>
    </fill>
    <fill>
      <patternFill patternType="solid">
        <fgColor rgb="FFFFF2CC"/>
        <bgColor rgb="FFFFF9C4"/>
      </patternFill>
    </fill>
    <fill>
      <patternFill patternType="solid">
        <fgColor rgb="FFF2F2F2"/>
        <bgColor rgb="FFE8F5E9"/>
      </patternFill>
    </fill>
    <fill>
      <patternFill patternType="solid">
        <fgColor rgb="FFDCE6F1"/>
        <bgColor rgb="FFD9E2F3"/>
      </patternFill>
    </fill>
    <fill>
      <patternFill patternType="solid">
        <fgColor rgb="FFFFFF00"/>
        <bgColor rgb="FFFFC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double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2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B050"/>
      <rgbColor rgb="FFD9E2F3"/>
      <rgbColor rgb="FF808080"/>
      <rgbColor rgb="FF878787"/>
      <rgbColor rgb="FF993366"/>
      <rgbColor rgb="FFFFF9C4"/>
      <rgbColor rgb="FFE8F5E9"/>
      <rgbColor rgb="FF660066"/>
      <rgbColor rgb="FFF2F2F2"/>
      <rgbColor rgb="FF0066CC"/>
      <rgbColor rgb="FFD9D9D9"/>
      <rgbColor rgb="FF000080"/>
      <rgbColor rgb="FFFF00FF"/>
      <rgbColor rgb="FFFFEBEE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2CC"/>
      <rgbColor rgb="FFDCE6F1"/>
      <rgbColor rgb="FFFCE4D6"/>
      <rgbColor rgb="FFFCE4EC"/>
      <rgbColor rgb="FFFFC7CE"/>
      <rgbColor rgb="FF4472C4"/>
      <rgbColor rgb="FF33CCCC"/>
      <rgbColor rgb="FF99CC00"/>
      <rgbColor rgb="FFFFC000"/>
      <rgbColor rgb="FFFF9900"/>
      <rgbColor rgb="FFFF6600"/>
      <rgbColor rgb="FF666666"/>
      <rgbColor rgb="FF999999"/>
      <rgbColor rgb="FF003366"/>
      <rgbColor rgb="FF2E7D32"/>
      <rgbColor rgb="FF003300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Health Customer LTV — The Broken Flywheel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"Pre-Regulation (40% FY / 20% Renewal)"</c:f>
              <c:strCache>
                <c:ptCount val="1"/>
                <c:pt idx="0">
                  <c:v>Pre-Regulation (40% FY / 20% Renewal)</c:v>
                </c:pt>
              </c:strCache>
            </c:strRef>
          </c:tx>
          <c:spPr>
            <a:solidFill>
              <a:srgbClr val="2E7D32"/>
            </a:solidFill>
            <a:ln w="2484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'Health - Unit Economics'!$B$17:$P$17</c:f>
              <c:multiLvlStrCache>
                <c:ptCount val="1"/>
                <c:lvl>
                  <c:pt idx="0">
                    <c:v>Year 15</c:v>
                  </c:pt>
                </c:lvl>
                <c:lvl>
                  <c:pt idx="0">
                    <c:v>Year 14</c:v>
                  </c:pt>
                </c:lvl>
                <c:lvl>
                  <c:pt idx="0">
                    <c:v>Year 13</c:v>
                  </c:pt>
                </c:lvl>
                <c:lvl>
                  <c:pt idx="0">
                    <c:v>Year 12</c:v>
                  </c:pt>
                </c:lvl>
                <c:lvl>
                  <c:pt idx="0">
                    <c:v>Year 11</c:v>
                  </c:pt>
                </c:lvl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'Health - Unit Economics'!$B$26:$P$26</c:f>
              <c:numCache>
                <c:formatCode>#,##0;\(#,##0\);\-</c:formatCode>
                <c:ptCount val="15"/>
                <c:pt idx="0">
                  <c:v>-1000</c:v>
                </c:pt>
                <c:pt idx="1">
                  <c:v>2402</c:v>
                </c:pt>
                <c:pt idx="2">
                  <c:v>5708.744</c:v>
                </c:pt>
                <c:pt idx="3">
                  <c:v>8922.899168</c:v>
                </c:pt>
                <c:pt idx="4">
                  <c:v>12047.057991296</c:v>
                </c:pt>
                <c:pt idx="5">
                  <c:v>15083.7403675397</c:v>
                </c:pt>
                <c:pt idx="6">
                  <c:v>18035.3956372486</c:v>
                </c:pt>
                <c:pt idx="7">
                  <c:v>20904.4045594056</c:v>
                </c:pt>
                <c:pt idx="8">
                  <c:v>23693.0812317423</c:v>
                </c:pt>
                <c:pt idx="9">
                  <c:v>26403.6749572535</c:v>
                </c:pt>
                <c:pt idx="10">
                  <c:v>29038.3720584504</c:v>
                </c:pt>
                <c:pt idx="11">
                  <c:v>31599.2976408138</c:v>
                </c:pt>
                <c:pt idx="12">
                  <c:v>34088.517306871</c:v>
                </c:pt>
                <c:pt idx="13">
                  <c:v>36508.0388222786</c:v>
                </c:pt>
                <c:pt idx="14">
                  <c:v>38859.8137352548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"Post-Regulation (15% FY / 5% Renewal)"</c:f>
              <c:strCache>
                <c:ptCount val="1"/>
                <c:pt idx="0">
                  <c:v>Post-Regulation (15% FY / 5% Renewal)</c:v>
                </c:pt>
              </c:strCache>
            </c:strRef>
          </c:tx>
          <c:spPr>
            <a:solidFill>
              <a:srgbClr val="C62828"/>
            </a:solidFill>
            <a:ln w="24840">
              <a:solidFill>
                <a:srgbClr val="C62828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248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'Health - Unit Economics'!$B$17:$P$17</c:f>
              <c:multiLvlStrCache>
                <c:ptCount val="1"/>
                <c:lvl>
                  <c:pt idx="0">
                    <c:v>Year 15</c:v>
                  </c:pt>
                </c:lvl>
                <c:lvl>
                  <c:pt idx="0">
                    <c:v>Year 14</c:v>
                  </c:pt>
                </c:lvl>
                <c:lvl>
                  <c:pt idx="0">
                    <c:v>Year 13</c:v>
                  </c:pt>
                </c:lvl>
                <c:lvl>
                  <c:pt idx="0">
                    <c:v>Year 12</c:v>
                  </c:pt>
                </c:lvl>
                <c:lvl>
                  <c:pt idx="0">
                    <c:v>Year 11</c:v>
                  </c:pt>
                </c:lvl>
                <c:lvl>
                  <c:pt idx="0">
                    <c:v>Year 10</c:v>
                  </c:pt>
                </c:lvl>
                <c:lvl>
                  <c:pt idx="0">
                    <c:v>Year 9</c:v>
                  </c:pt>
                </c:lvl>
                <c:lvl>
                  <c:pt idx="0">
                    <c:v>Year 8</c:v>
                  </c:pt>
                </c:lvl>
                <c:lvl>
                  <c:pt idx="0">
                    <c:v>Year 7</c:v>
                  </c:pt>
                </c:lvl>
                <c:lvl>
                  <c:pt idx="0">
                    <c:v>Year 6</c:v>
                  </c:pt>
                </c:lvl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'Health - Unit Economics'!$B$38:$P$38</c:f>
              <c:numCache>
                <c:formatCode>#,##0;\(#,##0\);\-</c:formatCode>
                <c:ptCount val="15"/>
                <c:pt idx="0">
                  <c:v>-7250</c:v>
                </c:pt>
                <c:pt idx="1">
                  <c:v>-6446.75</c:v>
                </c:pt>
                <c:pt idx="2">
                  <c:v>-5709.3665</c:v>
                </c:pt>
                <c:pt idx="3">
                  <c:v>-5032.448447</c:v>
                </c:pt>
                <c:pt idx="4">
                  <c:v>-4411.037674346</c:v>
                </c:pt>
                <c:pt idx="5">
                  <c:v>-3840.58258504963</c:v>
                </c:pt>
                <c:pt idx="6">
                  <c:v>-3316.90481307556</c:v>
                </c:pt>
                <c:pt idx="7">
                  <c:v>-2836.16861840336</c:v>
                </c:pt>
                <c:pt idx="8">
                  <c:v>-2394.85279169429</c:v>
                </c:pt>
                <c:pt idx="9">
                  <c:v>-1989.72486277536</c:v>
                </c:pt>
                <c:pt idx="10">
                  <c:v>-1617.81742402778</c:v>
                </c:pt>
                <c:pt idx="11">
                  <c:v>-1276.4063952575</c:v>
                </c:pt>
                <c:pt idx="12">
                  <c:v>-962.991070846383</c:v>
                </c:pt>
                <c:pt idx="13">
                  <c:v>-675.27580303698</c:v>
                </c:pt>
                <c:pt idx="14">
                  <c:v>-411.153187187947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4055124"/>
        <c:axId val="82829711"/>
      </c:lineChart>
      <c:catAx>
        <c:axId val="340551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829711"/>
        <c:crosses val="autoZero"/>
        <c:auto val="1"/>
        <c:lblAlgn val="ctr"/>
        <c:lblOffset val="100"/>
        <c:noMultiLvlLbl val="0"/>
      </c:catAx>
      <c:valAx>
        <c:axId val="828297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Cumulative Profit per Customer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551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55</xdr:row>
      <xdr:rowOff>0</xdr:rowOff>
    </xdr:from>
    <xdr:to>
      <xdr:col>10</xdr:col>
      <xdr:colOff>140760</xdr:colOff>
      <xdr:row>85</xdr:row>
      <xdr:rowOff>44280</xdr:rowOff>
    </xdr:to>
    <xdr:graphicFrame>
      <xdr:nvGraphicFramePr>
        <xdr:cNvPr id="1" name="Chart 1"/>
        <xdr:cNvGraphicFramePr/>
      </xdr:nvGraphicFramePr>
      <xdr:xfrm>
        <a:off x="2819520" y="10477440"/>
        <a:ext cx="23612040" cy="575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9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6" t="n">
        <v>2688</v>
      </c>
      <c r="C5" s="7" t="n">
        <v>0.4</v>
      </c>
      <c r="D5" s="6" t="n">
        <v>1075</v>
      </c>
      <c r="E5" s="6" t="n">
        <v>430</v>
      </c>
      <c r="F5" s="8" t="n">
        <v>0.6</v>
      </c>
      <c r="G5" s="9" t="n">
        <v>645</v>
      </c>
      <c r="H5" s="6" t="n">
        <v>484</v>
      </c>
      <c r="I5" s="8" t="n">
        <v>0.15</v>
      </c>
      <c r="J5" s="9" t="n">
        <v>161</v>
      </c>
    </row>
    <row r="6" customFormat="false" ht="15" hidden="false" customHeight="true" outlineLevel="0" collapsed="false">
      <c r="A6" s="5" t="s">
        <v>13</v>
      </c>
      <c r="B6" s="6" t="n">
        <v>2688</v>
      </c>
      <c r="C6" s="7" t="n">
        <v>0.03</v>
      </c>
      <c r="D6" s="6" t="n">
        <v>67</v>
      </c>
      <c r="E6" s="6" t="n">
        <v>7</v>
      </c>
      <c r="F6" s="8" t="n">
        <v>0.9</v>
      </c>
      <c r="G6" s="9" t="n">
        <v>60</v>
      </c>
      <c r="H6" s="6" t="n">
        <v>13</v>
      </c>
      <c r="I6" s="8" t="n">
        <v>0.7</v>
      </c>
      <c r="J6" s="9" t="n">
        <v>47</v>
      </c>
    </row>
    <row r="7" customFormat="false" ht="15" hidden="false" customHeight="true" outlineLevel="0" collapsed="false">
      <c r="A7" s="10" t="s">
        <v>14</v>
      </c>
      <c r="B7" s="11" t="n">
        <v>2688</v>
      </c>
      <c r="C7" s="12" t="n">
        <v>0.4</v>
      </c>
      <c r="D7" s="11" t="n">
        <v>1075</v>
      </c>
      <c r="E7" s="11" t="n">
        <v>1129</v>
      </c>
      <c r="F7" s="13" t="n">
        <v>-0.05</v>
      </c>
      <c r="G7" s="14" t="n">
        <v>-54</v>
      </c>
      <c r="H7" s="11" t="n">
        <v>54</v>
      </c>
      <c r="I7" s="13" t="n">
        <v>-0.1</v>
      </c>
      <c r="J7" s="14" t="n">
        <v>-108</v>
      </c>
    </row>
    <row r="8" customFormat="false" ht="15" hidden="false" customHeight="true" outlineLevel="0" collapsed="false">
      <c r="A8" s="10" t="s">
        <v>15</v>
      </c>
      <c r="B8" s="11" t="n">
        <v>2688</v>
      </c>
      <c r="C8" s="12" t="n">
        <v>0.2</v>
      </c>
      <c r="D8" s="11" t="n">
        <v>538</v>
      </c>
      <c r="E8" s="11" t="n">
        <v>108</v>
      </c>
      <c r="F8" s="13" t="n">
        <v>0.8</v>
      </c>
      <c r="G8" s="14" t="n">
        <v>430</v>
      </c>
      <c r="H8" s="11" t="n">
        <v>54</v>
      </c>
      <c r="I8" s="13" t="n">
        <v>0.7</v>
      </c>
      <c r="J8" s="14" t="n">
        <v>376</v>
      </c>
    </row>
    <row r="9" customFormat="false" ht="15" hidden="false" customHeight="true" outlineLevel="0" collapsed="false">
      <c r="A9" s="15" t="s">
        <v>16</v>
      </c>
      <c r="B9" s="16" t="n">
        <v>3010</v>
      </c>
      <c r="C9" s="17" t="n">
        <v>0.12</v>
      </c>
      <c r="D9" s="16" t="n">
        <v>361</v>
      </c>
      <c r="E9" s="16" t="n">
        <v>217</v>
      </c>
      <c r="F9" s="18" t="n">
        <v>0.4</v>
      </c>
      <c r="G9" s="19" t="n">
        <v>144</v>
      </c>
      <c r="H9" s="16" t="n">
        <v>116</v>
      </c>
      <c r="I9" s="18" t="n">
        <v>0.08</v>
      </c>
      <c r="J9" s="19" t="n">
        <v>29</v>
      </c>
    </row>
    <row r="10" customFormat="false" ht="15" hidden="false" customHeight="true" outlineLevel="0" collapsed="false">
      <c r="A10" s="15" t="s">
        <v>17</v>
      </c>
      <c r="B10" s="16" t="n">
        <v>4515</v>
      </c>
      <c r="C10" s="17" t="n">
        <v>0.01</v>
      </c>
      <c r="D10" s="16" t="n">
        <v>45</v>
      </c>
      <c r="E10" s="16" t="n">
        <v>5</v>
      </c>
      <c r="F10" s="18" t="n">
        <v>0.9</v>
      </c>
      <c r="G10" s="19" t="n">
        <v>41</v>
      </c>
      <c r="H10" s="16" t="n">
        <v>9</v>
      </c>
      <c r="I10" s="18" t="n">
        <v>0.7</v>
      </c>
      <c r="J10" s="19" t="n">
        <v>32</v>
      </c>
    </row>
    <row r="11" customFormat="false" ht="15" hidden="false" customHeight="true" outlineLevel="0" collapsed="false">
      <c r="A11" s="15" t="s">
        <v>18</v>
      </c>
      <c r="B11" s="16" t="n">
        <v>1613</v>
      </c>
      <c r="C11" s="17" t="n">
        <v>0.2</v>
      </c>
      <c r="D11" s="16" t="n">
        <v>323</v>
      </c>
      <c r="E11" s="16" t="n">
        <v>194</v>
      </c>
      <c r="F11" s="18" t="n">
        <v>0.4</v>
      </c>
      <c r="G11" s="19" t="n">
        <v>129</v>
      </c>
      <c r="H11" s="16" t="n">
        <v>103</v>
      </c>
      <c r="I11" s="18" t="n">
        <v>0.08</v>
      </c>
      <c r="J11" s="19" t="n">
        <v>26</v>
      </c>
    </row>
    <row r="12" customFormat="false" ht="15" hidden="false" customHeight="true" outlineLevel="0" collapsed="false">
      <c r="A12" s="15" t="s">
        <v>19</v>
      </c>
      <c r="B12" s="16" t="n">
        <v>1613</v>
      </c>
      <c r="C12" s="17" t="n">
        <v>0.16</v>
      </c>
      <c r="D12" s="16" t="n">
        <v>258</v>
      </c>
      <c r="E12" s="16" t="n">
        <v>52</v>
      </c>
      <c r="F12" s="18" t="n">
        <v>0.8</v>
      </c>
      <c r="G12" s="19" t="n">
        <v>206</v>
      </c>
      <c r="H12" s="16" t="n">
        <v>26</v>
      </c>
      <c r="I12" s="18" t="n">
        <v>0.7</v>
      </c>
      <c r="J12" s="19" t="n">
        <v>181</v>
      </c>
    </row>
    <row r="13" customFormat="false" ht="15" hidden="false" customHeight="true" outlineLevel="0" collapsed="false">
      <c r="A13" s="15" t="s">
        <v>20</v>
      </c>
      <c r="B13" s="16" t="n">
        <v>9500</v>
      </c>
      <c r="C13" s="17" t="n">
        <v>0.25</v>
      </c>
      <c r="D13" s="16" t="n">
        <v>2375</v>
      </c>
      <c r="E13" s="16" t="n">
        <v>2256</v>
      </c>
      <c r="F13" s="18" t="n">
        <v>0.05</v>
      </c>
      <c r="G13" s="19" t="n">
        <v>119</v>
      </c>
      <c r="H13" s="16" t="n">
        <v>214</v>
      </c>
      <c r="I13" s="18" t="n">
        <v>-0.04</v>
      </c>
      <c r="J13" s="19" t="n">
        <v>-95</v>
      </c>
    </row>
    <row r="14" customFormat="false" ht="15" hidden="false" customHeight="true" outlineLevel="0" collapsed="false">
      <c r="A14" s="15" t="s">
        <v>21</v>
      </c>
      <c r="B14" s="16" t="n">
        <v>30000</v>
      </c>
      <c r="C14" s="17" t="n">
        <v>0.021</v>
      </c>
      <c r="D14" s="16" t="n">
        <v>630</v>
      </c>
      <c r="E14" s="16" t="n">
        <v>410</v>
      </c>
      <c r="F14" s="18" t="n">
        <v>0.35</v>
      </c>
      <c r="G14" s="19" t="n">
        <v>221</v>
      </c>
      <c r="H14" s="16" t="n">
        <v>221</v>
      </c>
      <c r="I14" s="18" t="n">
        <v>0</v>
      </c>
      <c r="J14" s="19" t="n">
        <v>0</v>
      </c>
    </row>
    <row r="15" customFormat="false" ht="15" hidden="false" customHeight="true" outlineLevel="0" collapsed="false">
      <c r="A15" s="20" t="s">
        <v>22</v>
      </c>
      <c r="B15" s="21" t="n">
        <v>31003</v>
      </c>
      <c r="C15" s="22" t="n">
        <v>0.197</v>
      </c>
      <c r="D15" s="21" t="n">
        <v>6747</v>
      </c>
      <c r="E15" s="21" t="n">
        <v>4805</v>
      </c>
      <c r="F15" s="23" t="n">
        <v>0.288</v>
      </c>
      <c r="G15" s="24" t="n">
        <v>1942</v>
      </c>
      <c r="H15" s="21" t="n">
        <v>1293</v>
      </c>
      <c r="I15" s="23" t="n">
        <v>0.096</v>
      </c>
      <c r="J15" s="24" t="n">
        <v>649</v>
      </c>
    </row>
    <row r="17" customFormat="false" ht="15" hidden="false" customHeight="true" outlineLevel="0" collapsed="false">
      <c r="A17" s="25" t="s">
        <v>23</v>
      </c>
    </row>
    <row r="18" customFormat="false" ht="15" hidden="false" customHeight="true" outlineLevel="0" collapsed="false">
      <c r="A18" s="25" t="s">
        <v>24</v>
      </c>
      <c r="D18" s="26" t="n">
        <v>649</v>
      </c>
    </row>
    <row r="19" customFormat="false" ht="15" hidden="false" customHeight="true" outlineLevel="0" collapsed="false">
      <c r="A19" s="25" t="s">
        <v>25</v>
      </c>
      <c r="D19" s="26" t="n">
        <v>215</v>
      </c>
    </row>
    <row r="20" customFormat="false" ht="15" hidden="false" customHeight="true" outlineLevel="0" collapsed="false">
      <c r="A20" s="25" t="s">
        <v>26</v>
      </c>
      <c r="D20" s="26" t="n">
        <v>372</v>
      </c>
    </row>
    <row r="21" customFormat="false" ht="15" hidden="false" customHeight="true" outlineLevel="0" collapsed="false">
      <c r="A21" s="25" t="s">
        <v>27</v>
      </c>
      <c r="D21" s="26" t="n">
        <v>175</v>
      </c>
    </row>
    <row r="22" customFormat="false" ht="15" hidden="false" customHeight="true" outlineLevel="0" collapsed="false">
      <c r="A22" s="25" t="s">
        <v>28</v>
      </c>
      <c r="D22" s="26" t="n">
        <v>631</v>
      </c>
      <c r="G22" s="25" t="s">
        <v>29</v>
      </c>
    </row>
    <row r="23" customFormat="false" ht="15" hidden="false" customHeight="true" outlineLevel="0" collapsed="false">
      <c r="A23" s="25" t="s">
        <v>30</v>
      </c>
      <c r="D23" s="26" t="n"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7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2"/>
    <col collapsed="false" customWidth="true" hidden="false" outlineLevel="0" max="4" min="4" style="1" width="45"/>
    <col collapsed="false" customWidth="true" hidden="false" outlineLevel="0" max="16" min="5" style="1" width="44"/>
  </cols>
  <sheetData>
    <row r="1" customFormat="false" ht="15" hidden="false" customHeight="true" outlineLevel="0" collapsed="false">
      <c r="A1" s="27" t="s">
        <v>31</v>
      </c>
    </row>
    <row r="2" customFormat="false" ht="15" hidden="false" customHeight="true" outlineLevel="0" collapsed="false">
      <c r="A2" s="28" t="s">
        <v>32</v>
      </c>
    </row>
    <row r="4" customFormat="false" ht="15" hidden="false" customHeight="true" outlineLevel="0" collapsed="false">
      <c r="A4" s="29" t="s">
        <v>33</v>
      </c>
      <c r="B4" s="29" t="s">
        <v>34</v>
      </c>
      <c r="C4" s="29" t="s">
        <v>35</v>
      </c>
      <c r="D4" s="29" t="s">
        <v>36</v>
      </c>
    </row>
    <row r="5" customFormat="false" ht="15" hidden="false" customHeight="true" outlineLevel="0" collapsed="false">
      <c r="A5" s="30" t="s">
        <v>37</v>
      </c>
      <c r="B5" s="31" t="n">
        <v>25000</v>
      </c>
      <c r="C5" s="31" t="n">
        <v>25000</v>
      </c>
      <c r="D5" s="28" t="s">
        <v>38</v>
      </c>
    </row>
    <row r="6" customFormat="false" ht="15" hidden="false" customHeight="true" outlineLevel="0" collapsed="false">
      <c r="A6" s="30" t="s">
        <v>39</v>
      </c>
      <c r="B6" s="32" t="n">
        <v>0.08</v>
      </c>
      <c r="C6" s="32" t="n">
        <v>0.08</v>
      </c>
      <c r="D6" s="28" t="s">
        <v>40</v>
      </c>
    </row>
    <row r="7" customFormat="false" ht="15" hidden="false" customHeight="true" outlineLevel="0" collapsed="false">
      <c r="A7" s="30" t="s">
        <v>41</v>
      </c>
      <c r="B7" s="32" t="n">
        <v>0.4</v>
      </c>
      <c r="C7" s="32" t="n">
        <v>0.15</v>
      </c>
      <c r="D7" s="28" t="s">
        <v>42</v>
      </c>
    </row>
    <row r="8" customFormat="false" ht="15" hidden="false" customHeight="true" outlineLevel="0" collapsed="false">
      <c r="A8" s="30" t="s">
        <v>43</v>
      </c>
      <c r="B8" s="32" t="n">
        <v>0.2</v>
      </c>
      <c r="C8" s="32" t="n">
        <v>0.05</v>
      </c>
      <c r="D8" s="28" t="s">
        <v>44</v>
      </c>
    </row>
    <row r="9" customFormat="false" ht="15" hidden="false" customHeight="true" outlineLevel="0" collapsed="false">
      <c r="A9" s="30" t="s">
        <v>45</v>
      </c>
      <c r="B9" s="31" t="n">
        <v>10500</v>
      </c>
      <c r="C9" s="31" t="n">
        <v>10500</v>
      </c>
      <c r="D9" s="28" t="s">
        <v>46</v>
      </c>
    </row>
    <row r="10" customFormat="false" ht="15" hidden="false" customHeight="true" outlineLevel="0" collapsed="false">
      <c r="A10" s="30" t="s">
        <v>47</v>
      </c>
      <c r="B10" s="31" t="n">
        <v>500</v>
      </c>
      <c r="C10" s="31" t="n">
        <v>500</v>
      </c>
      <c r="D10" s="28" t="s">
        <v>48</v>
      </c>
    </row>
    <row r="11" customFormat="false" ht="15" hidden="false" customHeight="true" outlineLevel="0" collapsed="false">
      <c r="A11" s="30" t="s">
        <v>49</v>
      </c>
      <c r="B11" s="32" t="n">
        <v>0.2</v>
      </c>
      <c r="C11" s="32" t="n">
        <v>0.2</v>
      </c>
      <c r="D11" s="28" t="s">
        <v>50</v>
      </c>
    </row>
    <row r="12" customFormat="false" ht="15" hidden="false" customHeight="true" outlineLevel="0" collapsed="false">
      <c r="A12" s="30" t="s">
        <v>51</v>
      </c>
      <c r="B12" s="32" t="n">
        <v>0.1</v>
      </c>
      <c r="C12" s="32" t="n">
        <v>0.1</v>
      </c>
      <c r="D12" s="28" t="s">
        <v>52</v>
      </c>
    </row>
    <row r="13" customFormat="false" ht="15" hidden="false" customHeight="true" outlineLevel="0" collapsed="false">
      <c r="A13" s="30" t="s">
        <v>53</v>
      </c>
      <c r="B13" s="32" t="n">
        <v>0.9</v>
      </c>
      <c r="C13" s="32" t="n">
        <v>0.85</v>
      </c>
      <c r="D13" s="28" t="s">
        <v>54</v>
      </c>
    </row>
    <row r="14" customFormat="false" ht="15" hidden="false" customHeight="true" outlineLevel="0" collapsed="false">
      <c r="A14" s="30" t="s">
        <v>55</v>
      </c>
      <c r="B14" s="33" t="n">
        <f aca="false">B9/($B$5*B7)</f>
        <v>1.05</v>
      </c>
      <c r="C14" s="33" t="n">
        <f aca="false">C9/($C$5*C7)</f>
        <v>2.8</v>
      </c>
      <c r="D14" s="34" t="s">
        <v>56</v>
      </c>
    </row>
    <row r="16" customFormat="false" ht="15" hidden="false" customHeight="true" outlineLevel="0" collapsed="false">
      <c r="A16" s="35" t="s">
        <v>57</v>
      </c>
    </row>
    <row r="17" customFormat="false" ht="15" hidden="false" customHeight="true" outlineLevel="0" collapsed="false">
      <c r="A17" s="29" t="s">
        <v>58</v>
      </c>
      <c r="B17" s="36" t="s">
        <v>59</v>
      </c>
      <c r="C17" s="36" t="s">
        <v>60</v>
      </c>
      <c r="D17" s="36" t="s">
        <v>61</v>
      </c>
      <c r="E17" s="36" t="s">
        <v>62</v>
      </c>
      <c r="F17" s="36" t="s">
        <v>63</v>
      </c>
      <c r="G17" s="36" t="s">
        <v>64</v>
      </c>
      <c r="H17" s="36" t="s">
        <v>65</v>
      </c>
      <c r="I17" s="36" t="s">
        <v>66</v>
      </c>
      <c r="J17" s="36" t="s">
        <v>67</v>
      </c>
      <c r="K17" s="36" t="s">
        <v>68</v>
      </c>
      <c r="L17" s="36" t="s">
        <v>69</v>
      </c>
      <c r="M17" s="36" t="s">
        <v>70</v>
      </c>
      <c r="N17" s="36" t="s">
        <v>71</v>
      </c>
      <c r="O17" s="36" t="s">
        <v>72</v>
      </c>
      <c r="P17" s="36" t="s">
        <v>73</v>
      </c>
    </row>
    <row r="18" customFormat="false" ht="15" hidden="false" customHeight="true" outlineLevel="0" collapsed="false">
      <c r="A18" s="30" t="s">
        <v>74</v>
      </c>
      <c r="B18" s="37" t="n">
        <f aca="false">$B$5</f>
        <v>25000</v>
      </c>
      <c r="C18" s="37" t="n">
        <f aca="false">B18*(1+$B$6)</f>
        <v>27000</v>
      </c>
      <c r="D18" s="37" t="n">
        <f aca="false">C18*(1+$B$6)</f>
        <v>29160</v>
      </c>
      <c r="E18" s="37" t="n">
        <f aca="false">D18*(1+$B$6)</f>
        <v>31492.8</v>
      </c>
      <c r="F18" s="37" t="n">
        <f aca="false">E18*(1+$B$6)</f>
        <v>34012.224</v>
      </c>
      <c r="G18" s="37" t="n">
        <f aca="false">F18*(1+$B$6)</f>
        <v>36733.20192</v>
      </c>
      <c r="H18" s="37" t="n">
        <f aca="false">G18*(1+$B$6)</f>
        <v>39671.8580736</v>
      </c>
      <c r="I18" s="37" t="n">
        <f aca="false">H18*(1+$B$6)</f>
        <v>42845.606719488</v>
      </c>
      <c r="J18" s="37" t="n">
        <f aca="false">I18*(1+$B$6)</f>
        <v>46273.2552570471</v>
      </c>
      <c r="K18" s="37" t="n">
        <f aca="false">J18*(1+$B$6)</f>
        <v>49975.1156776108</v>
      </c>
      <c r="L18" s="37" t="n">
        <f aca="false">K18*(1+$B$6)</f>
        <v>53973.1249318197</v>
      </c>
      <c r="M18" s="37" t="n">
        <f aca="false">L18*(1+$B$6)</f>
        <v>58290.9749263653</v>
      </c>
      <c r="N18" s="37" t="n">
        <f aca="false">M18*(1+$B$6)</f>
        <v>62954.2529204745</v>
      </c>
      <c r="O18" s="37" t="n">
        <f aca="false">N18*(1+$B$6)</f>
        <v>67990.5931541125</v>
      </c>
      <c r="P18" s="37" t="n">
        <f aca="false">O18*(1+$B$6)</f>
        <v>73429.8406064415</v>
      </c>
    </row>
    <row r="19" customFormat="false" ht="15" hidden="false" customHeight="true" outlineLevel="0" collapsed="false">
      <c r="A19" s="30" t="s">
        <v>75</v>
      </c>
      <c r="B19" s="37" t="n">
        <f aca="false">B18*$B$7</f>
        <v>10000</v>
      </c>
      <c r="C19" s="37" t="n">
        <f aca="false">C18*$B$8</f>
        <v>5400</v>
      </c>
      <c r="D19" s="37" t="n">
        <f aca="false">D18*$B$8</f>
        <v>5832</v>
      </c>
      <c r="E19" s="37" t="n">
        <f aca="false">E18*$B$8</f>
        <v>6298.56</v>
      </c>
      <c r="F19" s="37" t="n">
        <f aca="false">F18*$B$8</f>
        <v>6802.4448</v>
      </c>
      <c r="G19" s="37" t="n">
        <f aca="false">G18*$B$8</f>
        <v>7346.640384</v>
      </c>
      <c r="H19" s="37" t="n">
        <f aca="false">H18*$B$8</f>
        <v>7934.37161472</v>
      </c>
      <c r="I19" s="37" t="n">
        <f aca="false">I18*$B$8</f>
        <v>8569.1213438976</v>
      </c>
      <c r="J19" s="37" t="n">
        <f aca="false">J18*$B$8</f>
        <v>9254.65105140941</v>
      </c>
      <c r="K19" s="37" t="n">
        <f aca="false">K18*$B$8</f>
        <v>9995.02313552217</v>
      </c>
      <c r="L19" s="37" t="n">
        <f aca="false">L18*$B$8</f>
        <v>10794.6249863639</v>
      </c>
      <c r="M19" s="37" t="n">
        <f aca="false">M18*$B$8</f>
        <v>11658.1949852731</v>
      </c>
      <c r="N19" s="37" t="n">
        <f aca="false">N18*$B$8</f>
        <v>12590.8505840949</v>
      </c>
      <c r="O19" s="37" t="n">
        <f aca="false">O18*$B$8</f>
        <v>13598.1186308225</v>
      </c>
      <c r="P19" s="37" t="n">
        <f aca="false">P18*$B$8</f>
        <v>14685.9681212883</v>
      </c>
    </row>
    <row r="20" customFormat="false" ht="15" hidden="false" customHeight="true" outlineLevel="0" collapsed="false">
      <c r="A20" s="30" t="s">
        <v>76</v>
      </c>
      <c r="B20" s="37" t="n">
        <f aca="false">$B$9</f>
        <v>10500</v>
      </c>
      <c r="C20" s="37" t="n">
        <f aca="false">C19*$B$11</f>
        <v>1080</v>
      </c>
      <c r="D20" s="37" t="n">
        <f aca="false">D19*$B$11</f>
        <v>1166.4</v>
      </c>
      <c r="E20" s="37" t="n">
        <f aca="false">E19*$B$11</f>
        <v>1259.712</v>
      </c>
      <c r="F20" s="37" t="n">
        <f aca="false">F19*$B$11</f>
        <v>1360.48896</v>
      </c>
      <c r="G20" s="37" t="n">
        <f aca="false">G19*$B$11</f>
        <v>1469.3280768</v>
      </c>
      <c r="H20" s="37" t="n">
        <f aca="false">H19*$B$11</f>
        <v>1586.874322944</v>
      </c>
      <c r="I20" s="37" t="n">
        <f aca="false">I19*$B$11</f>
        <v>1713.82426877952</v>
      </c>
      <c r="J20" s="37" t="n">
        <f aca="false">J19*$B$11</f>
        <v>1850.93021028188</v>
      </c>
      <c r="K20" s="37" t="n">
        <f aca="false">K19*$B$11</f>
        <v>1999.00462710443</v>
      </c>
      <c r="L20" s="37" t="n">
        <f aca="false">L19*$B$11</f>
        <v>2158.92499727279</v>
      </c>
      <c r="M20" s="37" t="n">
        <f aca="false">M19*$B$11</f>
        <v>2331.63899705461</v>
      </c>
      <c r="N20" s="37" t="n">
        <f aca="false">N19*$B$11</f>
        <v>2518.17011681898</v>
      </c>
      <c r="O20" s="37" t="n">
        <f aca="false">O19*$B$11</f>
        <v>2719.6237261645</v>
      </c>
      <c r="P20" s="37" t="n">
        <f aca="false">P19*$B$11</f>
        <v>2937.19362425766</v>
      </c>
    </row>
    <row r="21" customFormat="false" ht="15" hidden="false" customHeight="true" outlineLevel="0" collapsed="false">
      <c r="A21" s="30" t="s">
        <v>77</v>
      </c>
      <c r="B21" s="38" t="n">
        <f aca="false">B19-B20</f>
        <v>-500</v>
      </c>
      <c r="C21" s="38" t="n">
        <f aca="false">C19-C20</f>
        <v>4320</v>
      </c>
      <c r="D21" s="38" t="n">
        <f aca="false">D19-D20</f>
        <v>4665.6</v>
      </c>
      <c r="E21" s="38" t="n">
        <f aca="false">E19-E20</f>
        <v>5038.848</v>
      </c>
      <c r="F21" s="38" t="n">
        <f aca="false">F19-F20</f>
        <v>5441.95584</v>
      </c>
      <c r="G21" s="38" t="n">
        <f aca="false">G19-G20</f>
        <v>5877.3123072</v>
      </c>
      <c r="H21" s="38" t="n">
        <f aca="false">H19-H20</f>
        <v>6347.497291776</v>
      </c>
      <c r="I21" s="38" t="n">
        <f aca="false">I19-I20</f>
        <v>6855.29707511808</v>
      </c>
      <c r="J21" s="38" t="n">
        <f aca="false">J19-J20</f>
        <v>7403.72084112753</v>
      </c>
      <c r="K21" s="38" t="n">
        <f aca="false">K19-K20</f>
        <v>7996.01850841773</v>
      </c>
      <c r="L21" s="38" t="n">
        <f aca="false">L19-L20</f>
        <v>8635.69998909115</v>
      </c>
      <c r="M21" s="38" t="n">
        <f aca="false">M19-M20</f>
        <v>9326.55598821844</v>
      </c>
      <c r="N21" s="38" t="n">
        <f aca="false">N19-N20</f>
        <v>10072.6804672759</v>
      </c>
      <c r="O21" s="38" t="n">
        <f aca="false">O19-O20</f>
        <v>10878.494904658</v>
      </c>
      <c r="P21" s="38" t="n">
        <f aca="false">P19-P20</f>
        <v>11748.7744970306</v>
      </c>
    </row>
    <row r="22" customFormat="false" ht="15" hidden="false" customHeight="true" outlineLevel="0" collapsed="false">
      <c r="A22" s="30" t="s">
        <v>78</v>
      </c>
      <c r="B22" s="37" t="n">
        <f aca="false">$B$10</f>
        <v>500</v>
      </c>
      <c r="C22" s="37" t="n">
        <f aca="false">C19*$B$12</f>
        <v>540</v>
      </c>
      <c r="D22" s="37" t="n">
        <f aca="false">D19*$B$12</f>
        <v>583.2</v>
      </c>
      <c r="E22" s="37" t="n">
        <f aca="false">E19*$B$12</f>
        <v>629.856</v>
      </c>
      <c r="F22" s="37" t="n">
        <f aca="false">F19*$B$12</f>
        <v>680.24448</v>
      </c>
      <c r="G22" s="37" t="n">
        <f aca="false">G19*$B$12</f>
        <v>734.6640384</v>
      </c>
      <c r="H22" s="37" t="n">
        <f aca="false">H19*$B$12</f>
        <v>793.437161472</v>
      </c>
      <c r="I22" s="37" t="n">
        <f aca="false">I19*$B$12</f>
        <v>856.91213438976</v>
      </c>
      <c r="J22" s="37" t="n">
        <f aca="false">J19*$B$12</f>
        <v>925.465105140941</v>
      </c>
      <c r="K22" s="37" t="n">
        <f aca="false">K19*$B$12</f>
        <v>999.502313552217</v>
      </c>
      <c r="L22" s="37" t="n">
        <f aca="false">L19*$B$12</f>
        <v>1079.46249863639</v>
      </c>
      <c r="M22" s="37" t="n">
        <f aca="false">M19*$B$12</f>
        <v>1165.81949852731</v>
      </c>
      <c r="N22" s="37" t="n">
        <f aca="false">N19*$B$12</f>
        <v>1259.08505840949</v>
      </c>
      <c r="O22" s="37" t="n">
        <f aca="false">O19*$B$12</f>
        <v>1359.81186308225</v>
      </c>
      <c r="P22" s="37" t="n">
        <f aca="false">P19*$B$12</f>
        <v>1468.59681212883</v>
      </c>
    </row>
    <row r="23" customFormat="false" ht="15" hidden="false" customHeight="true" outlineLevel="0" collapsed="false">
      <c r="A23" s="30" t="s">
        <v>79</v>
      </c>
      <c r="B23" s="38" t="n">
        <f aca="false">B21-B22</f>
        <v>-1000</v>
      </c>
      <c r="C23" s="38" t="n">
        <f aca="false">C21-C22</f>
        <v>3780</v>
      </c>
      <c r="D23" s="38" t="n">
        <f aca="false">D21-D22</f>
        <v>4082.4</v>
      </c>
      <c r="E23" s="38" t="n">
        <f aca="false">E21-E22</f>
        <v>4408.992</v>
      </c>
      <c r="F23" s="38" t="n">
        <f aca="false">F21-F22</f>
        <v>4761.71136</v>
      </c>
      <c r="G23" s="38" t="n">
        <f aca="false">G21-G22</f>
        <v>5142.6482688</v>
      </c>
      <c r="H23" s="38" t="n">
        <f aca="false">H21-H22</f>
        <v>5554.060130304</v>
      </c>
      <c r="I23" s="38" t="n">
        <f aca="false">I21-I22</f>
        <v>5998.38494072832</v>
      </c>
      <c r="J23" s="38" t="n">
        <f aca="false">J21-J22</f>
        <v>6478.25573598659</v>
      </c>
      <c r="K23" s="38" t="n">
        <f aca="false">K21-K22</f>
        <v>6996.51619486552</v>
      </c>
      <c r="L23" s="38" t="n">
        <f aca="false">L21-L22</f>
        <v>7556.23749045476</v>
      </c>
      <c r="M23" s="38" t="n">
        <f aca="false">M21-M22</f>
        <v>8160.73648969114</v>
      </c>
      <c r="N23" s="38" t="n">
        <f aca="false">N21-N22</f>
        <v>8813.59540886643</v>
      </c>
      <c r="O23" s="38" t="n">
        <f aca="false">O21-O22</f>
        <v>9518.68304157575</v>
      </c>
      <c r="P23" s="38" t="n">
        <f aca="false">P21-P22</f>
        <v>10280.1776849018</v>
      </c>
    </row>
    <row r="24" customFormat="false" ht="15" hidden="false" customHeight="true" outlineLevel="0" collapsed="false">
      <c r="A24" s="30" t="s">
        <v>80</v>
      </c>
      <c r="B24" s="39" t="n">
        <f aca="false">100</f>
        <v>100</v>
      </c>
      <c r="C24" s="39" t="n">
        <f aca="false">100*$B$13^1</f>
        <v>90</v>
      </c>
      <c r="D24" s="39" t="n">
        <f aca="false">100*$B$13^2</f>
        <v>81</v>
      </c>
      <c r="E24" s="39" t="n">
        <f aca="false">100*$B$13^3</f>
        <v>72.9</v>
      </c>
      <c r="F24" s="39" t="n">
        <f aca="false">100*$B$13^4</f>
        <v>65.61</v>
      </c>
      <c r="G24" s="39" t="n">
        <f aca="false">100*$B$13^5</f>
        <v>59.049</v>
      </c>
      <c r="H24" s="39" t="n">
        <f aca="false">100*$B$13^6</f>
        <v>53.1441</v>
      </c>
      <c r="I24" s="39" t="n">
        <f aca="false">100*$B$13^7</f>
        <v>47.82969</v>
      </c>
      <c r="J24" s="39" t="n">
        <f aca="false">100*$B$13^8</f>
        <v>43.046721</v>
      </c>
      <c r="K24" s="39" t="n">
        <f aca="false">100*$B$13^9</f>
        <v>38.7420489</v>
      </c>
      <c r="L24" s="39" t="n">
        <f aca="false">100*$B$13^10</f>
        <v>34.86784401</v>
      </c>
      <c r="M24" s="39" t="n">
        <f aca="false">100*$B$13^11</f>
        <v>31.381059609</v>
      </c>
      <c r="N24" s="39" t="n">
        <f aca="false">100*$B$13^12</f>
        <v>28.2429536481</v>
      </c>
      <c r="O24" s="39" t="n">
        <f aca="false">100*$B$13^13</f>
        <v>25.41865828329</v>
      </c>
      <c r="P24" s="39" t="n">
        <f aca="false">100*$B$13^14</f>
        <v>22.876792454961</v>
      </c>
    </row>
    <row r="25" customFormat="false" ht="15" hidden="false" customHeight="true" outlineLevel="0" collapsed="false">
      <c r="A25" s="30" t="s">
        <v>81</v>
      </c>
      <c r="B25" s="38" t="n">
        <f aca="false">B23*B24/100</f>
        <v>-1000</v>
      </c>
      <c r="C25" s="38" t="n">
        <f aca="false">C23*C24/100</f>
        <v>3402</v>
      </c>
      <c r="D25" s="38" t="n">
        <f aca="false">D23*D24/100</f>
        <v>3306.744</v>
      </c>
      <c r="E25" s="38" t="n">
        <f aca="false">E23*E24/100</f>
        <v>3214.155168</v>
      </c>
      <c r="F25" s="38" t="n">
        <f aca="false">F23*F24/100</f>
        <v>3124.158823296</v>
      </c>
      <c r="G25" s="38" t="n">
        <f aca="false">G23*G24/100</f>
        <v>3036.68237624371</v>
      </c>
      <c r="H25" s="38" t="n">
        <f aca="false">H23*H24/100</f>
        <v>2951.65526970889</v>
      </c>
      <c r="I25" s="38" t="n">
        <f aca="false">I23*I24/100</f>
        <v>2869.00892215704</v>
      </c>
      <c r="J25" s="38" t="n">
        <f aca="false">J23*J24/100</f>
        <v>2788.67667233664</v>
      </c>
      <c r="K25" s="38" t="n">
        <f aca="false">K23*K24/100</f>
        <v>2710.59372551122</v>
      </c>
      <c r="L25" s="38" t="n">
        <f aca="false">L23*L24/100</f>
        <v>2634.6971011969</v>
      </c>
      <c r="M25" s="38" t="n">
        <f aca="false">M23*M24/100</f>
        <v>2560.92558236339</v>
      </c>
      <c r="N25" s="38" t="n">
        <f aca="false">N23*N24/100</f>
        <v>2489.21966605722</v>
      </c>
      <c r="O25" s="38" t="n">
        <f aca="false">O23*O24/100</f>
        <v>2419.52151540761</v>
      </c>
      <c r="P25" s="38" t="n">
        <f aca="false">P23*P24/100</f>
        <v>2351.7749129762</v>
      </c>
    </row>
    <row r="26" customFormat="false" ht="15" hidden="false" customHeight="true" outlineLevel="0" collapsed="false">
      <c r="A26" s="30" t="s">
        <v>82</v>
      </c>
      <c r="B26" s="38" t="n">
        <f aca="false">SUM($B$25:B25)</f>
        <v>-1000</v>
      </c>
      <c r="C26" s="38" t="n">
        <f aca="false">SUM($B$25:C25)</f>
        <v>2402</v>
      </c>
      <c r="D26" s="38" t="n">
        <f aca="false">SUM($B$25:D25)</f>
        <v>5708.744</v>
      </c>
      <c r="E26" s="38" t="n">
        <f aca="false">SUM($B$25:E25)</f>
        <v>8922.899168</v>
      </c>
      <c r="F26" s="38" t="n">
        <f aca="false">SUM($B$25:F25)</f>
        <v>12047.057991296</v>
      </c>
      <c r="G26" s="38" t="n">
        <f aca="false">SUM($B$25:G25)</f>
        <v>15083.7403675397</v>
      </c>
      <c r="H26" s="38" t="n">
        <f aca="false">SUM($B$25:H25)</f>
        <v>18035.3956372486</v>
      </c>
      <c r="I26" s="38" t="n">
        <f aca="false">SUM($B$25:I25)</f>
        <v>20904.4045594056</v>
      </c>
      <c r="J26" s="38" t="n">
        <f aca="false">SUM($B$25:J25)</f>
        <v>23693.0812317423</v>
      </c>
      <c r="K26" s="38" t="n">
        <f aca="false">SUM($B$25:K25)</f>
        <v>26403.6749572535</v>
      </c>
      <c r="L26" s="38" t="n">
        <f aca="false">SUM($B$25:L25)</f>
        <v>29038.3720584504</v>
      </c>
      <c r="M26" s="38" t="n">
        <f aca="false">SUM($B$25:M25)</f>
        <v>31599.2976408138</v>
      </c>
      <c r="N26" s="38" t="n">
        <f aca="false">SUM($B$25:N25)</f>
        <v>34088.517306871</v>
      </c>
      <c r="O26" s="38" t="n">
        <f aca="false">SUM($B$25:O25)</f>
        <v>36508.0388222786</v>
      </c>
      <c r="P26" s="38" t="n">
        <f aca="false">SUM($B$25:P25)</f>
        <v>38859.8137352548</v>
      </c>
    </row>
    <row r="28" customFormat="false" ht="15" hidden="false" customHeight="true" outlineLevel="0" collapsed="false">
      <c r="A28" s="40" t="s">
        <v>83</v>
      </c>
    </row>
    <row r="29" customFormat="false" ht="15" hidden="false" customHeight="true" outlineLevel="0" collapsed="false">
      <c r="A29" s="29" t="s">
        <v>58</v>
      </c>
      <c r="B29" s="36" t="s">
        <v>59</v>
      </c>
      <c r="C29" s="36" t="s">
        <v>60</v>
      </c>
      <c r="D29" s="36" t="s">
        <v>61</v>
      </c>
      <c r="E29" s="36" t="s">
        <v>62</v>
      </c>
      <c r="F29" s="36" t="s">
        <v>63</v>
      </c>
      <c r="G29" s="36" t="s">
        <v>64</v>
      </c>
      <c r="H29" s="36" t="s">
        <v>65</v>
      </c>
      <c r="I29" s="36" t="s">
        <v>66</v>
      </c>
      <c r="J29" s="36" t="s">
        <v>67</v>
      </c>
      <c r="K29" s="36" t="s">
        <v>68</v>
      </c>
      <c r="L29" s="36" t="s">
        <v>69</v>
      </c>
      <c r="M29" s="36" t="s">
        <v>70</v>
      </c>
      <c r="N29" s="36" t="s">
        <v>71</v>
      </c>
      <c r="O29" s="36" t="s">
        <v>72</v>
      </c>
      <c r="P29" s="36" t="s">
        <v>73</v>
      </c>
    </row>
    <row r="30" customFormat="false" ht="15" hidden="false" customHeight="true" outlineLevel="0" collapsed="false">
      <c r="A30" s="30" t="s">
        <v>74</v>
      </c>
      <c r="B30" s="37" t="n">
        <f aca="false">$C$5</f>
        <v>25000</v>
      </c>
      <c r="C30" s="37" t="n">
        <f aca="false">B30*(1+$C$6)</f>
        <v>27000</v>
      </c>
      <c r="D30" s="37" t="n">
        <f aca="false">C30*(1+$C$6)</f>
        <v>29160</v>
      </c>
      <c r="E30" s="37" t="n">
        <f aca="false">D30*(1+$C$6)</f>
        <v>31492.8</v>
      </c>
      <c r="F30" s="37" t="n">
        <f aca="false">E30*(1+$C$6)</f>
        <v>34012.224</v>
      </c>
      <c r="G30" s="37" t="n">
        <f aca="false">F30*(1+$C$6)</f>
        <v>36733.20192</v>
      </c>
      <c r="H30" s="37" t="n">
        <f aca="false">G30*(1+$C$6)</f>
        <v>39671.8580736</v>
      </c>
      <c r="I30" s="37" t="n">
        <f aca="false">H30*(1+$C$6)</f>
        <v>42845.606719488</v>
      </c>
      <c r="J30" s="37" t="n">
        <f aca="false">I30*(1+$C$6)</f>
        <v>46273.2552570471</v>
      </c>
      <c r="K30" s="37" t="n">
        <f aca="false">J30*(1+$C$6)</f>
        <v>49975.1156776108</v>
      </c>
      <c r="L30" s="37" t="n">
        <f aca="false">K30*(1+$C$6)</f>
        <v>53973.1249318197</v>
      </c>
      <c r="M30" s="37" t="n">
        <f aca="false">L30*(1+$C$6)</f>
        <v>58290.9749263653</v>
      </c>
      <c r="N30" s="37" t="n">
        <f aca="false">M30*(1+$C$6)</f>
        <v>62954.2529204745</v>
      </c>
      <c r="O30" s="37" t="n">
        <f aca="false">N30*(1+$C$6)</f>
        <v>67990.5931541125</v>
      </c>
      <c r="P30" s="37" t="n">
        <f aca="false">O30*(1+$C$6)</f>
        <v>73429.8406064415</v>
      </c>
    </row>
    <row r="31" customFormat="false" ht="15" hidden="false" customHeight="true" outlineLevel="0" collapsed="false">
      <c r="A31" s="30" t="s">
        <v>75</v>
      </c>
      <c r="B31" s="37" t="n">
        <f aca="false">B30*$C$7</f>
        <v>3750</v>
      </c>
      <c r="C31" s="37" t="n">
        <f aca="false">C30*$C$8</f>
        <v>1350</v>
      </c>
      <c r="D31" s="37" t="n">
        <f aca="false">D30*$C$8</f>
        <v>1458</v>
      </c>
      <c r="E31" s="37" t="n">
        <f aca="false">E30*$C$8</f>
        <v>1574.64</v>
      </c>
      <c r="F31" s="37" t="n">
        <f aca="false">F30*$C$8</f>
        <v>1700.6112</v>
      </c>
      <c r="G31" s="37" t="n">
        <f aca="false">G30*$C$8</f>
        <v>1836.660096</v>
      </c>
      <c r="H31" s="37" t="n">
        <f aca="false">H30*$C$8</f>
        <v>1983.59290368</v>
      </c>
      <c r="I31" s="37" t="n">
        <f aca="false">I30*$C$8</f>
        <v>2142.2803359744</v>
      </c>
      <c r="J31" s="37" t="n">
        <f aca="false">J30*$C$8</f>
        <v>2313.66276285235</v>
      </c>
      <c r="K31" s="37" t="n">
        <f aca="false">K30*$C$8</f>
        <v>2498.75578388054</v>
      </c>
      <c r="L31" s="37" t="n">
        <f aca="false">L30*$C$8</f>
        <v>2698.65624659098</v>
      </c>
      <c r="M31" s="37" t="n">
        <f aca="false">M30*$C$8</f>
        <v>2914.54874631826</v>
      </c>
      <c r="N31" s="37" t="n">
        <f aca="false">N30*$C$8</f>
        <v>3147.71264602373</v>
      </c>
      <c r="O31" s="37" t="n">
        <f aca="false">O30*$C$8</f>
        <v>3399.52965770562</v>
      </c>
      <c r="P31" s="37" t="n">
        <f aca="false">P30*$C$8</f>
        <v>3671.49203032207</v>
      </c>
    </row>
    <row r="32" customFormat="false" ht="15" hidden="false" customHeight="true" outlineLevel="0" collapsed="false">
      <c r="A32" s="30" t="s">
        <v>76</v>
      </c>
      <c r="B32" s="37" t="n">
        <f aca="false">$C$9</f>
        <v>10500</v>
      </c>
      <c r="C32" s="37" t="n">
        <f aca="false">C31*$C$11</f>
        <v>270</v>
      </c>
      <c r="D32" s="37" t="n">
        <f aca="false">D31*$C$11</f>
        <v>291.6</v>
      </c>
      <c r="E32" s="37" t="n">
        <f aca="false">E31*$C$11</f>
        <v>314.928</v>
      </c>
      <c r="F32" s="37" t="n">
        <f aca="false">F31*$C$11</f>
        <v>340.12224</v>
      </c>
      <c r="G32" s="37" t="n">
        <f aca="false">G31*$C$11</f>
        <v>367.3320192</v>
      </c>
      <c r="H32" s="37" t="n">
        <f aca="false">H31*$C$11</f>
        <v>396.718580736</v>
      </c>
      <c r="I32" s="37" t="n">
        <f aca="false">I31*$C$11</f>
        <v>428.45606719488</v>
      </c>
      <c r="J32" s="37" t="n">
        <f aca="false">J31*$C$11</f>
        <v>462.732552570471</v>
      </c>
      <c r="K32" s="37" t="n">
        <f aca="false">K31*$C$11</f>
        <v>499.751156776108</v>
      </c>
      <c r="L32" s="37" t="n">
        <f aca="false">L31*$C$11</f>
        <v>539.731249318197</v>
      </c>
      <c r="M32" s="37" t="n">
        <f aca="false">M31*$C$11</f>
        <v>582.909749263653</v>
      </c>
      <c r="N32" s="37" t="n">
        <f aca="false">N31*$C$11</f>
        <v>629.542529204745</v>
      </c>
      <c r="O32" s="37" t="n">
        <f aca="false">O31*$C$11</f>
        <v>679.905931541125</v>
      </c>
      <c r="P32" s="37" t="n">
        <f aca="false">P31*$C$11</f>
        <v>734.298406064415</v>
      </c>
    </row>
    <row r="33" customFormat="false" ht="15" hidden="false" customHeight="true" outlineLevel="0" collapsed="false">
      <c r="A33" s="30" t="s">
        <v>77</v>
      </c>
      <c r="B33" s="38" t="n">
        <f aca="false">B31-B32</f>
        <v>-6750</v>
      </c>
      <c r="C33" s="38" t="n">
        <f aca="false">C31-C32</f>
        <v>1080</v>
      </c>
      <c r="D33" s="38" t="n">
        <f aca="false">D31-D32</f>
        <v>1166.4</v>
      </c>
      <c r="E33" s="38" t="n">
        <f aca="false">E31-E32</f>
        <v>1259.712</v>
      </c>
      <c r="F33" s="38" t="n">
        <f aca="false">F31-F32</f>
        <v>1360.48896</v>
      </c>
      <c r="G33" s="38" t="n">
        <f aca="false">G31-G32</f>
        <v>1469.3280768</v>
      </c>
      <c r="H33" s="38" t="n">
        <f aca="false">H31-H32</f>
        <v>1586.874322944</v>
      </c>
      <c r="I33" s="38" t="n">
        <f aca="false">I31-I32</f>
        <v>1713.82426877952</v>
      </c>
      <c r="J33" s="38" t="n">
        <f aca="false">J31-J32</f>
        <v>1850.93021028188</v>
      </c>
      <c r="K33" s="38" t="n">
        <f aca="false">K31-K32</f>
        <v>1999.00462710443</v>
      </c>
      <c r="L33" s="38" t="n">
        <f aca="false">L31-L32</f>
        <v>2158.92499727279</v>
      </c>
      <c r="M33" s="38" t="n">
        <f aca="false">M31-M32</f>
        <v>2331.63899705461</v>
      </c>
      <c r="N33" s="38" t="n">
        <f aca="false">N31-N32</f>
        <v>2518.17011681898</v>
      </c>
      <c r="O33" s="38" t="n">
        <f aca="false">O31-O32</f>
        <v>2719.6237261645</v>
      </c>
      <c r="P33" s="38" t="n">
        <f aca="false">P31-P32</f>
        <v>2937.19362425766</v>
      </c>
    </row>
    <row r="34" customFormat="false" ht="15" hidden="false" customHeight="true" outlineLevel="0" collapsed="false">
      <c r="A34" s="30" t="s">
        <v>78</v>
      </c>
      <c r="B34" s="37" t="n">
        <f aca="false">$C$10</f>
        <v>500</v>
      </c>
      <c r="C34" s="37" t="n">
        <f aca="false">C31*$C$12</f>
        <v>135</v>
      </c>
      <c r="D34" s="37" t="n">
        <f aca="false">D31*$C$12</f>
        <v>145.8</v>
      </c>
      <c r="E34" s="37" t="n">
        <f aca="false">E31*$C$12</f>
        <v>157.464</v>
      </c>
      <c r="F34" s="37" t="n">
        <f aca="false">F31*$C$12</f>
        <v>170.06112</v>
      </c>
      <c r="G34" s="37" t="n">
        <f aca="false">G31*$C$12</f>
        <v>183.6660096</v>
      </c>
      <c r="H34" s="37" t="n">
        <f aca="false">H31*$C$12</f>
        <v>198.359290368</v>
      </c>
      <c r="I34" s="37" t="n">
        <f aca="false">I31*$C$12</f>
        <v>214.22803359744</v>
      </c>
      <c r="J34" s="37" t="n">
        <f aca="false">J31*$C$12</f>
        <v>231.366276285235</v>
      </c>
      <c r="K34" s="37" t="n">
        <f aca="false">K31*$C$12</f>
        <v>249.875578388054</v>
      </c>
      <c r="L34" s="37" t="n">
        <f aca="false">L31*$C$12</f>
        <v>269.865624659099</v>
      </c>
      <c r="M34" s="37" t="n">
        <f aca="false">M31*$C$12</f>
        <v>291.454874631826</v>
      </c>
      <c r="N34" s="37" t="n">
        <f aca="false">N31*$C$12</f>
        <v>314.771264602373</v>
      </c>
      <c r="O34" s="37" t="n">
        <f aca="false">O31*$C$12</f>
        <v>339.952965770562</v>
      </c>
      <c r="P34" s="37" t="n">
        <f aca="false">P31*$C$12</f>
        <v>367.149203032207</v>
      </c>
    </row>
    <row r="35" customFormat="false" ht="15" hidden="false" customHeight="true" outlineLevel="0" collapsed="false">
      <c r="A35" s="30" t="s">
        <v>79</v>
      </c>
      <c r="B35" s="38" t="n">
        <f aca="false">B33-B34</f>
        <v>-7250</v>
      </c>
      <c r="C35" s="38" t="n">
        <f aca="false">C33-C34</f>
        <v>945</v>
      </c>
      <c r="D35" s="38" t="n">
        <f aca="false">D33-D34</f>
        <v>1020.6</v>
      </c>
      <c r="E35" s="38" t="n">
        <f aca="false">E33-E34</f>
        <v>1102.248</v>
      </c>
      <c r="F35" s="38" t="n">
        <f aca="false">F33-F34</f>
        <v>1190.42784</v>
      </c>
      <c r="G35" s="38" t="n">
        <f aca="false">G33-G34</f>
        <v>1285.6620672</v>
      </c>
      <c r="H35" s="38" t="n">
        <f aca="false">H33-H34</f>
        <v>1388.515032576</v>
      </c>
      <c r="I35" s="38" t="n">
        <f aca="false">I33-I34</f>
        <v>1499.59623518208</v>
      </c>
      <c r="J35" s="38" t="n">
        <f aca="false">J33-J34</f>
        <v>1619.56393399665</v>
      </c>
      <c r="K35" s="38" t="n">
        <f aca="false">K33-K34</f>
        <v>1749.12904871638</v>
      </c>
      <c r="L35" s="38" t="n">
        <f aca="false">L33-L34</f>
        <v>1889.05937261369</v>
      </c>
      <c r="M35" s="38" t="n">
        <f aca="false">M33-M34</f>
        <v>2040.18412242278</v>
      </c>
      <c r="N35" s="38" t="n">
        <f aca="false">N33-N34</f>
        <v>2203.39885221661</v>
      </c>
      <c r="O35" s="38" t="n">
        <f aca="false">O33-O34</f>
        <v>2379.67076039394</v>
      </c>
      <c r="P35" s="38" t="n">
        <f aca="false">P33-P34</f>
        <v>2570.04442122545</v>
      </c>
    </row>
    <row r="36" customFormat="false" ht="15" hidden="false" customHeight="true" outlineLevel="0" collapsed="false">
      <c r="A36" s="30" t="s">
        <v>80</v>
      </c>
      <c r="B36" s="39" t="n">
        <f aca="false">100</f>
        <v>100</v>
      </c>
      <c r="C36" s="39" t="n">
        <f aca="false">100*$C$13^1</f>
        <v>85</v>
      </c>
      <c r="D36" s="39" t="n">
        <f aca="false">100*$C$13^2</f>
        <v>72.25</v>
      </c>
      <c r="E36" s="39" t="n">
        <f aca="false">100*$C$13^3</f>
        <v>61.4125</v>
      </c>
      <c r="F36" s="39" t="n">
        <f aca="false">100*$C$13^4</f>
        <v>52.200625</v>
      </c>
      <c r="G36" s="39" t="n">
        <f aca="false">100*$C$13^5</f>
        <v>44.37053125</v>
      </c>
      <c r="H36" s="39" t="n">
        <f aca="false">100*$C$13^6</f>
        <v>37.7149515625</v>
      </c>
      <c r="I36" s="39" t="n">
        <f aca="false">100*$C$13^7</f>
        <v>32.057708828125</v>
      </c>
      <c r="J36" s="39" t="n">
        <f aca="false">100*$C$13^8</f>
        <v>27.2490525039062</v>
      </c>
      <c r="K36" s="39" t="n">
        <f aca="false">100*$C$13^9</f>
        <v>23.1616946283203</v>
      </c>
      <c r="L36" s="39" t="n">
        <f aca="false">100*$C$13^10</f>
        <v>19.6874404340723</v>
      </c>
      <c r="M36" s="39" t="n">
        <f aca="false">100*$C$13^11</f>
        <v>16.7343243689614</v>
      </c>
      <c r="N36" s="39" t="n">
        <f aca="false">100*$C$13^12</f>
        <v>14.2241757136172</v>
      </c>
      <c r="O36" s="39" t="n">
        <f aca="false">100*$C$13^13</f>
        <v>12.0905493565746</v>
      </c>
      <c r="P36" s="39" t="n">
        <f aca="false">100*$C$13^14</f>
        <v>10.2769669530884</v>
      </c>
    </row>
    <row r="37" customFormat="false" ht="15" hidden="false" customHeight="true" outlineLevel="0" collapsed="false">
      <c r="A37" s="30" t="s">
        <v>81</v>
      </c>
      <c r="B37" s="38" t="n">
        <f aca="false">B35*B36/100</f>
        <v>-7250</v>
      </c>
      <c r="C37" s="38" t="n">
        <f aca="false">C35*C36/100</f>
        <v>803.25</v>
      </c>
      <c r="D37" s="38" t="n">
        <f aca="false">D35*D36/100</f>
        <v>737.3835</v>
      </c>
      <c r="E37" s="38" t="n">
        <f aca="false">E35*E36/100</f>
        <v>676.918053</v>
      </c>
      <c r="F37" s="38" t="n">
        <f aca="false">F35*F36/100</f>
        <v>621.410772654</v>
      </c>
      <c r="G37" s="38" t="n">
        <f aca="false">G35*G36/100</f>
        <v>570.455089296372</v>
      </c>
      <c r="H37" s="38" t="n">
        <f aca="false">H35*H36/100</f>
        <v>523.67777197407</v>
      </c>
      <c r="I37" s="38" t="n">
        <f aca="false">I35*I36/100</f>
        <v>480.736194672196</v>
      </c>
      <c r="J37" s="38" t="n">
        <f aca="false">J35*J36/100</f>
        <v>441.315826709076</v>
      </c>
      <c r="K37" s="38" t="n">
        <f aca="false">K35*K36/100</f>
        <v>405.127928918932</v>
      </c>
      <c r="L37" s="38" t="n">
        <f aca="false">L35*L36/100</f>
        <v>371.907438747579</v>
      </c>
      <c r="M37" s="38" t="n">
        <f aca="false">M35*M36/100</f>
        <v>341.411028770278</v>
      </c>
      <c r="N37" s="38" t="n">
        <f aca="false">N35*N36/100</f>
        <v>313.415324411115</v>
      </c>
      <c r="O37" s="38" t="n">
        <f aca="false">O35*O36/100</f>
        <v>287.715267809404</v>
      </c>
      <c r="P37" s="38" t="n">
        <f aca="false">P35*P36/100</f>
        <v>264.122615849032</v>
      </c>
    </row>
    <row r="38" customFormat="false" ht="15" hidden="false" customHeight="true" outlineLevel="0" collapsed="false">
      <c r="A38" s="30" t="s">
        <v>82</v>
      </c>
      <c r="B38" s="38" t="n">
        <f aca="false">SUM($B$37:B37)</f>
        <v>-7250</v>
      </c>
      <c r="C38" s="38" t="n">
        <f aca="false">SUM($B$37:C37)</f>
        <v>-6446.75</v>
      </c>
      <c r="D38" s="38" t="n">
        <f aca="false">SUM($B$37:D37)</f>
        <v>-5709.3665</v>
      </c>
      <c r="E38" s="38" t="n">
        <f aca="false">SUM($B$37:E37)</f>
        <v>-5032.448447</v>
      </c>
      <c r="F38" s="38" t="n">
        <f aca="false">SUM($B$37:F37)</f>
        <v>-4411.037674346</v>
      </c>
      <c r="G38" s="38" t="n">
        <f aca="false">SUM($B$37:G37)</f>
        <v>-3840.58258504963</v>
      </c>
      <c r="H38" s="38" t="n">
        <f aca="false">SUM($B$37:H37)</f>
        <v>-3316.90481307556</v>
      </c>
      <c r="I38" s="38" t="n">
        <f aca="false">SUM($B$37:I37)</f>
        <v>-2836.16861840336</v>
      </c>
      <c r="J38" s="38" t="n">
        <f aca="false">SUM($B$37:J37)</f>
        <v>-2394.85279169429</v>
      </c>
      <c r="K38" s="38" t="n">
        <f aca="false">SUM($B$37:K37)</f>
        <v>-1989.72486277536</v>
      </c>
      <c r="L38" s="38" t="n">
        <f aca="false">SUM($B$37:L37)</f>
        <v>-1617.81742402778</v>
      </c>
      <c r="M38" s="38" t="n">
        <f aca="false">SUM($B$37:M37)</f>
        <v>-1276.4063952575</v>
      </c>
      <c r="N38" s="38" t="n">
        <f aca="false">SUM($B$37:N37)</f>
        <v>-962.991070846383</v>
      </c>
      <c r="O38" s="38" t="n">
        <f aca="false">SUM($B$37:O37)</f>
        <v>-675.27580303698</v>
      </c>
      <c r="P38" s="38" t="n">
        <f aca="false">SUM($B$37:P37)</f>
        <v>-411.153187187947</v>
      </c>
    </row>
    <row r="40" customFormat="false" ht="15" hidden="false" customHeight="true" outlineLevel="0" collapsed="false">
      <c r="A40" s="41" t="s">
        <v>84</v>
      </c>
    </row>
    <row r="41" customFormat="false" ht="15" hidden="false" customHeight="true" outlineLevel="0" collapsed="false">
      <c r="A41" s="29" t="s">
        <v>58</v>
      </c>
      <c r="B41" s="29" t="s">
        <v>34</v>
      </c>
      <c r="C41" s="29" t="s">
        <v>35</v>
      </c>
      <c r="D41" s="29" t="s">
        <v>85</v>
      </c>
    </row>
    <row r="42" customFormat="false" ht="15" hidden="false" customHeight="true" outlineLevel="0" collapsed="false">
      <c r="A42" s="42" t="s">
        <v>86</v>
      </c>
      <c r="B42" s="43" t="n">
        <f aca="false">$B$7</f>
        <v>0.4</v>
      </c>
      <c r="C42" s="44" t="n">
        <f aca="false">$C$7</f>
        <v>0.15</v>
      </c>
      <c r="D42" s="45" t="n">
        <f aca="false">C42-B42</f>
        <v>-0.25</v>
      </c>
    </row>
    <row r="43" customFormat="false" ht="15" hidden="false" customHeight="true" outlineLevel="0" collapsed="false">
      <c r="A43" s="42" t="s">
        <v>43</v>
      </c>
      <c r="B43" s="43" t="n">
        <f aca="false">$B$8</f>
        <v>0.2</v>
      </c>
      <c r="C43" s="44" t="n">
        <f aca="false">$C$8</f>
        <v>0.05</v>
      </c>
      <c r="D43" s="45" t="n">
        <f aca="false">C43-B43</f>
        <v>-0.15</v>
      </c>
    </row>
    <row r="44" customFormat="false" ht="15" hidden="false" customHeight="true" outlineLevel="0" collapsed="false">
      <c r="A44" s="42" t="s">
        <v>87</v>
      </c>
      <c r="B44" s="46" t="n">
        <f aca="false">B19</f>
        <v>10000</v>
      </c>
      <c r="C44" s="47" t="n">
        <f aca="false">B31</f>
        <v>3750</v>
      </c>
      <c r="D44" s="48" t="n">
        <f aca="false">C44-B44</f>
        <v>-6250</v>
      </c>
    </row>
    <row r="45" customFormat="false" ht="15" hidden="false" customHeight="true" outlineLevel="0" collapsed="false">
      <c r="A45" s="42" t="s">
        <v>88</v>
      </c>
      <c r="B45" s="46" t="n">
        <f aca="false">B20+B22</f>
        <v>11000</v>
      </c>
      <c r="C45" s="47" t="n">
        <f aca="false">B32+B34</f>
        <v>11000</v>
      </c>
      <c r="D45" s="48" t="n">
        <f aca="false">C45-B45</f>
        <v>0</v>
      </c>
    </row>
    <row r="46" customFormat="false" ht="15" hidden="false" customHeight="true" outlineLevel="0" collapsed="false">
      <c r="A46" s="42" t="s">
        <v>89</v>
      </c>
      <c r="B46" s="49" t="n">
        <f aca="false">B23</f>
        <v>-1000</v>
      </c>
      <c r="C46" s="50" t="n">
        <f aca="false">B35</f>
        <v>-7250</v>
      </c>
      <c r="D46" s="48" t="n">
        <f aca="false">C46-B46</f>
        <v>-6250</v>
      </c>
    </row>
    <row r="47" customFormat="false" ht="15" hidden="false" customHeight="true" outlineLevel="0" collapsed="false">
      <c r="A47" s="42" t="s">
        <v>90</v>
      </c>
      <c r="B47" s="51" t="s">
        <v>60</v>
      </c>
      <c r="C47" s="52" t="s">
        <v>91</v>
      </c>
      <c r="D47" s="53" t="s">
        <v>92</v>
      </c>
    </row>
    <row r="48" customFormat="false" ht="15" hidden="false" customHeight="true" outlineLevel="0" collapsed="false">
      <c r="A48" s="42" t="s">
        <v>93</v>
      </c>
      <c r="B48" s="49" t="n">
        <f aca="false">K26</f>
        <v>26403.6749572535</v>
      </c>
      <c r="C48" s="50" t="n">
        <f aca="false">K38</f>
        <v>-1989.72486277536</v>
      </c>
      <c r="D48" s="48" t="n">
        <f aca="false">C48-B48</f>
        <v>-28393.3998200289</v>
      </c>
    </row>
    <row r="49" customFormat="false" ht="15" hidden="false" customHeight="true" outlineLevel="0" collapsed="false">
      <c r="A49" s="42" t="s">
        <v>94</v>
      </c>
      <c r="B49" s="49" t="n">
        <f aca="false">P26</f>
        <v>38859.8137352548</v>
      </c>
      <c r="C49" s="50" t="n">
        <f aca="false">P38</f>
        <v>-411.153187187947</v>
      </c>
      <c r="D49" s="48" t="n">
        <f aca="false">C49-B49</f>
        <v>-39270.9669224428</v>
      </c>
    </row>
    <row r="50" customFormat="false" ht="15" hidden="false" customHeight="true" outlineLevel="0" collapsed="false">
      <c r="A50" s="42" t="s">
        <v>95</v>
      </c>
      <c r="B50" s="43" t="n">
        <f aca="false">$B$13</f>
        <v>0.9</v>
      </c>
      <c r="C50" s="44" t="n">
        <f aca="false">$C$13</f>
        <v>0.85</v>
      </c>
      <c r="D50" s="45" t="n">
        <f aca="false">C50-B50</f>
        <v>-0.05</v>
      </c>
    </row>
    <row r="52" customFormat="false" ht="15" hidden="false" customHeight="true" outlineLevel="0" collapsed="false">
      <c r="A52" s="54" t="s">
        <v>96</v>
      </c>
    </row>
    <row r="53" customFormat="false" ht="15" hidden="false" customHeight="true" outlineLevel="0" collapsed="false">
      <c r="A53" s="53" t="s">
        <v>97</v>
      </c>
    </row>
    <row r="54" customFormat="false" ht="15" hidden="false" customHeight="true" outlineLevel="0" collapsed="false">
      <c r="A54" s="55" t="s">
        <v>98</v>
      </c>
    </row>
    <row r="88" customFormat="false" ht="16.15" hidden="false" customHeight="false" outlineLevel="0" collapsed="false">
      <c r="A88" s="56" t="s">
        <v>99</v>
      </c>
    </row>
    <row r="89" customFormat="false" ht="15" hidden="false" customHeight="false" outlineLevel="0" collapsed="false">
      <c r="A89" s="57" t="s">
        <v>100</v>
      </c>
    </row>
    <row r="90" customFormat="false" ht="15" hidden="false" customHeight="false" outlineLevel="0" collapsed="false">
      <c r="A90" s="58" t="s">
        <v>101</v>
      </c>
    </row>
    <row r="92" customFormat="false" ht="15" hidden="false" customHeight="false" outlineLevel="0" collapsed="false">
      <c r="A92" s="59" t="s">
        <v>102</v>
      </c>
      <c r="B92" s="59" t="s">
        <v>103</v>
      </c>
      <c r="C92" s="59" t="s">
        <v>104</v>
      </c>
      <c r="D92" s="59" t="s">
        <v>105</v>
      </c>
      <c r="E92" s="59" t="s">
        <v>36</v>
      </c>
    </row>
    <row r="93" customFormat="false" ht="15" hidden="false" customHeight="false" outlineLevel="0" collapsed="false">
      <c r="A93" s="60" t="s">
        <v>106</v>
      </c>
      <c r="B93" s="61" t="n">
        <v>4200</v>
      </c>
      <c r="C93" s="62" t="n">
        <f aca="false">B93/B97</f>
        <v>0.4</v>
      </c>
      <c r="D93" s="60" t="s">
        <v>107</v>
      </c>
      <c r="E93" s="60" t="s">
        <v>108</v>
      </c>
    </row>
    <row r="94" customFormat="false" ht="15" hidden="false" customHeight="false" outlineLevel="0" collapsed="false">
      <c r="A94" s="60" t="s">
        <v>109</v>
      </c>
      <c r="B94" s="61" t="n">
        <v>1575</v>
      </c>
      <c r="C94" s="62" t="n">
        <f aca="false">B94/B97</f>
        <v>0.15</v>
      </c>
      <c r="D94" s="60" t="s">
        <v>110</v>
      </c>
      <c r="E94" s="60" t="s">
        <v>111</v>
      </c>
    </row>
    <row r="95" customFormat="false" ht="15" hidden="false" customHeight="false" outlineLevel="0" collapsed="false">
      <c r="A95" s="60" t="s">
        <v>112</v>
      </c>
      <c r="B95" s="61" t="n">
        <v>1050</v>
      </c>
      <c r="C95" s="62" t="n">
        <f aca="false">B95/B97</f>
        <v>0.1</v>
      </c>
      <c r="D95" s="60" t="s">
        <v>113</v>
      </c>
      <c r="E95" s="60" t="s">
        <v>114</v>
      </c>
    </row>
    <row r="96" customFormat="false" ht="15" hidden="false" customHeight="false" outlineLevel="0" collapsed="false">
      <c r="A96" s="60" t="s">
        <v>115</v>
      </c>
      <c r="B96" s="61" t="n">
        <v>3675</v>
      </c>
      <c r="C96" s="62" t="n">
        <f aca="false">B96/B97</f>
        <v>0.35</v>
      </c>
      <c r="D96" s="60" t="s">
        <v>116</v>
      </c>
      <c r="E96" s="60" t="s">
        <v>117</v>
      </c>
    </row>
    <row r="97" customFormat="false" ht="15" hidden="false" customHeight="false" outlineLevel="0" collapsed="false">
      <c r="A97" s="63" t="s">
        <v>118</v>
      </c>
      <c r="B97" s="64" t="n">
        <f aca="false">SUM(B93:B96)</f>
        <v>10500</v>
      </c>
      <c r="C97" s="65" t="n">
        <f aca="false">SUM(C93:C96)</f>
        <v>1</v>
      </c>
      <c r="D97" s="66"/>
      <c r="E97" s="66" t="s">
        <v>119</v>
      </c>
    </row>
    <row r="98" customFormat="false" ht="15" hidden="false" customHeight="false" outlineLevel="0" collapsed="false">
      <c r="A98" s="67" t="s">
        <v>120</v>
      </c>
      <c r="B98" s="68" t="n">
        <f aca="false">B93+B94</f>
        <v>5775</v>
      </c>
      <c r="C98" s="69" t="n">
        <f aca="false">B98/B97</f>
        <v>0.55</v>
      </c>
      <c r="D98" s="67"/>
      <c r="E98" s="67" t="s">
        <v>121</v>
      </c>
    </row>
    <row r="100" customFormat="false" ht="15" hidden="false" customHeight="false" outlineLevel="0" collapsed="false">
      <c r="A100" s="59" t="s">
        <v>122</v>
      </c>
      <c r="B100" s="59" t="s">
        <v>103</v>
      </c>
      <c r="C100" s="59" t="s">
        <v>104</v>
      </c>
      <c r="D100" s="59" t="s">
        <v>105</v>
      </c>
      <c r="E100" s="59" t="s">
        <v>36</v>
      </c>
    </row>
    <row r="101" customFormat="false" ht="15" hidden="false" customHeight="false" outlineLevel="0" collapsed="false">
      <c r="A101" s="60" t="s">
        <v>123</v>
      </c>
      <c r="B101" s="61" t="n">
        <v>300</v>
      </c>
      <c r="C101" s="62" t="n">
        <f aca="false">B101/B103</f>
        <v>0.6</v>
      </c>
      <c r="D101" s="60" t="s">
        <v>107</v>
      </c>
      <c r="E101" s="60" t="s">
        <v>124</v>
      </c>
    </row>
    <row r="102" customFormat="false" ht="15" hidden="false" customHeight="false" outlineLevel="0" collapsed="false">
      <c r="A102" s="60" t="s">
        <v>125</v>
      </c>
      <c r="B102" s="61" t="n">
        <v>200</v>
      </c>
      <c r="C102" s="62" t="n">
        <f aca="false">B102/B103</f>
        <v>0.4</v>
      </c>
      <c r="D102" s="60" t="s">
        <v>126</v>
      </c>
      <c r="E102" s="60" t="s">
        <v>127</v>
      </c>
    </row>
    <row r="103" customFormat="false" ht="15" hidden="false" customHeight="false" outlineLevel="0" collapsed="false">
      <c r="A103" s="63" t="s">
        <v>128</v>
      </c>
      <c r="B103" s="64" t="n">
        <f aca="false">SUM(B101:B102)</f>
        <v>500</v>
      </c>
      <c r="C103" s="65" t="n">
        <f aca="false">SUM(C101:C102)</f>
        <v>1</v>
      </c>
      <c r="D103" s="63"/>
      <c r="E103" s="63" t="s">
        <v>129</v>
      </c>
    </row>
    <row r="104" customFormat="false" ht="15" hidden="false" customHeight="false" outlineLevel="0" collapsed="false">
      <c r="A104" s="67" t="s">
        <v>130</v>
      </c>
      <c r="B104" s="68" t="n">
        <f aca="false">B101</f>
        <v>300</v>
      </c>
      <c r="C104" s="69" t="n">
        <f aca="false">B104/B103</f>
        <v>0.6</v>
      </c>
      <c r="D104" s="67"/>
      <c r="E104" s="67"/>
    </row>
    <row r="107" customFormat="false" ht="16.15" hidden="false" customHeight="false" outlineLevel="0" collapsed="false">
      <c r="A107" s="56" t="s">
        <v>131</v>
      </c>
    </row>
    <row r="108" customFormat="false" ht="15" hidden="false" customHeight="false" outlineLevel="0" collapsed="false">
      <c r="A108" s="57" t="s">
        <v>132</v>
      </c>
    </row>
    <row r="109" customFormat="false" ht="15" hidden="false" customHeight="false" outlineLevel="0" collapsed="false">
      <c r="A109" s="58" t="s">
        <v>133</v>
      </c>
    </row>
    <row r="110" customFormat="false" ht="15" hidden="false" customHeight="false" outlineLevel="0" collapsed="false">
      <c r="A110" s="58" t="s">
        <v>134</v>
      </c>
    </row>
    <row r="112" customFormat="false" ht="15" hidden="false" customHeight="false" outlineLevel="0" collapsed="false">
      <c r="A112" s="70" t="s">
        <v>135</v>
      </c>
    </row>
    <row r="113" customFormat="false" ht="15" hidden="false" customHeight="false" outlineLevel="0" collapsed="false">
      <c r="A113" s="59" t="s">
        <v>136</v>
      </c>
      <c r="B113" s="71" t="n">
        <v>0.05</v>
      </c>
      <c r="C113" s="71" t="n">
        <v>0.08</v>
      </c>
      <c r="D113" s="71" t="n">
        <v>0.1</v>
      </c>
      <c r="E113" s="71" t="n">
        <v>0.15</v>
      </c>
      <c r="F113" s="71" t="n">
        <v>0.2</v>
      </c>
    </row>
    <row r="114" customFormat="false" ht="15" hidden="false" customHeight="false" outlineLevel="0" collapsed="false">
      <c r="A114" s="72" t="n">
        <v>0</v>
      </c>
      <c r="B114" s="73" t="n">
        <f aca="false">($C$5*$C$7-$C$9-$C$10+($B$98+$B$104)*$A114)+$C$5*B$113*(1-$C$11-$C$12)*(1+$C$6)*$C$13*(1-((1+$C$6)*$C$13)^14)/(1-(1+$C$6)*$C$13)</f>
        <v>-411.153187187944</v>
      </c>
      <c r="C114" s="73" t="n">
        <f aca="false">($C$5*$C$7-$C$9-$C$10+($B$98+$B$104)*$A114)+$C$5*C$113*(1-$C$11-$C$12)*(1+$C$6)*$C$13*(1-((1+$C$6)*$C$13)^14)/(1-(1+$C$6)*$C$13)</f>
        <v>3692.15490049929</v>
      </c>
      <c r="D114" s="73" t="n">
        <f aca="false">($C$5*$C$7-$C$9-$C$10+($B$98+$B$104)*$A114)+$C$5*D$113*(1-$C$11-$C$12)*(1+$C$6)*$C$13*(1-((1+$C$6)*$C$13)^14)/(1-(1+$C$6)*$C$13)</f>
        <v>6427.69362562411</v>
      </c>
      <c r="E114" s="73" t="n">
        <f aca="false">($C$5*$C$7-$C$9-$C$10+($B$98+$B$104)*$A114)+$C$5*E$113*(1-$C$11-$C$12)*(1+$C$6)*$C$13*(1-((1+$C$6)*$C$13)^14)/(1-(1+$C$6)*$C$13)</f>
        <v>13266.5404384362</v>
      </c>
      <c r="F114" s="73" t="n">
        <f aca="false">($C$5*$C$7-$C$9-$C$10+($B$98+$B$104)*$A114)+$C$5*F$113*(1-$C$11-$C$12)*(1+$C$6)*$C$13*(1-((1+$C$6)*$C$13)^14)/(1-(1+$C$6)*$C$13)</f>
        <v>20105.3872512482</v>
      </c>
    </row>
    <row r="115" customFormat="false" ht="15" hidden="false" customHeight="false" outlineLevel="0" collapsed="false">
      <c r="A115" s="72" t="n">
        <v>0.1</v>
      </c>
      <c r="B115" s="73" t="n">
        <f aca="false">($C$5*$C$7-$C$9-$C$10+($B$98+$B$104)*$A115)+$C$5*B$113*(1-$C$11-$C$12)*(1+$C$6)*$C$13*(1-((1+$C$6)*$C$13)^14)/(1-(1+$C$6)*$C$13)</f>
        <v>196.346812812056</v>
      </c>
      <c r="C115" s="73" t="n">
        <f aca="false">($C$5*$C$7-$C$9-$C$10+($B$98+$B$104)*$A115)+$C$5*C$113*(1-$C$11-$C$12)*(1+$C$6)*$C$13*(1-((1+$C$6)*$C$13)^14)/(1-(1+$C$6)*$C$13)</f>
        <v>4299.65490049929</v>
      </c>
      <c r="D115" s="73" t="n">
        <f aca="false">($C$5*$C$7-$C$9-$C$10+($B$98+$B$104)*$A115)+$C$5*D$113*(1-$C$11-$C$12)*(1+$C$6)*$C$13*(1-((1+$C$6)*$C$13)^14)/(1-(1+$C$6)*$C$13)</f>
        <v>7035.19362562411</v>
      </c>
      <c r="E115" s="73" t="n">
        <f aca="false">($C$5*$C$7-$C$9-$C$10+($B$98+$B$104)*$A115)+$C$5*E$113*(1-$C$11-$C$12)*(1+$C$6)*$C$13*(1-((1+$C$6)*$C$13)^14)/(1-(1+$C$6)*$C$13)</f>
        <v>13874.0404384362</v>
      </c>
      <c r="F115" s="73" t="n">
        <f aca="false">($C$5*$C$7-$C$9-$C$10+($B$98+$B$104)*$A115)+$C$5*F$113*(1-$C$11-$C$12)*(1+$C$6)*$C$13*(1-((1+$C$6)*$C$13)^14)/(1-(1+$C$6)*$C$13)</f>
        <v>20712.8872512482</v>
      </c>
    </row>
    <row r="116" customFormat="false" ht="15" hidden="false" customHeight="false" outlineLevel="0" collapsed="false">
      <c r="A116" s="72" t="n">
        <v>0.2</v>
      </c>
      <c r="B116" s="73" t="n">
        <f aca="false">($C$5*$C$7-$C$9-$C$10+($B$98+$B$104)*$A116)+$C$5*B$113*(1-$C$11-$C$12)*(1+$C$6)*$C$13*(1-((1+$C$6)*$C$13)^14)/(1-(1+$C$6)*$C$13)</f>
        <v>803.846812812056</v>
      </c>
      <c r="C116" s="73" t="n">
        <f aca="false">($C$5*$C$7-$C$9-$C$10+($B$98+$B$104)*$A116)+$C$5*C$113*(1-$C$11-$C$12)*(1+$C$6)*$C$13*(1-((1+$C$6)*$C$13)^14)/(1-(1+$C$6)*$C$13)</f>
        <v>4907.15490049929</v>
      </c>
      <c r="D116" s="73" t="n">
        <f aca="false">($C$5*$C$7-$C$9-$C$10+($B$98+$B$104)*$A116)+$C$5*D$113*(1-$C$11-$C$12)*(1+$C$6)*$C$13*(1-((1+$C$6)*$C$13)^14)/(1-(1+$C$6)*$C$13)</f>
        <v>7642.69362562411</v>
      </c>
      <c r="E116" s="73" t="n">
        <f aca="false">($C$5*$C$7-$C$9-$C$10+($B$98+$B$104)*$A116)+$C$5*E$113*(1-$C$11-$C$12)*(1+$C$6)*$C$13*(1-((1+$C$6)*$C$13)^14)/(1-(1+$C$6)*$C$13)</f>
        <v>14481.5404384362</v>
      </c>
      <c r="F116" s="73" t="n">
        <f aca="false">($C$5*$C$7-$C$9-$C$10+($B$98+$B$104)*$A116)+$C$5*F$113*(1-$C$11-$C$12)*(1+$C$6)*$C$13*(1-((1+$C$6)*$C$13)^14)/(1-(1+$C$6)*$C$13)</f>
        <v>21320.3872512482</v>
      </c>
    </row>
    <row r="117" customFormat="false" ht="15" hidden="false" customHeight="false" outlineLevel="0" collapsed="false">
      <c r="A117" s="72" t="n">
        <v>0.3</v>
      </c>
      <c r="B117" s="73" t="n">
        <f aca="false">($C$5*$C$7-$C$9-$C$10+($B$98+$B$104)*$A117)+$C$5*B$113*(1-$C$11-$C$12)*(1+$C$6)*$C$13*(1-((1+$C$6)*$C$13)^14)/(1-(1+$C$6)*$C$13)</f>
        <v>1411.34681281206</v>
      </c>
      <c r="C117" s="73" t="n">
        <f aca="false">($C$5*$C$7-$C$9-$C$10+($B$98+$B$104)*$A117)+$C$5*C$113*(1-$C$11-$C$12)*(1+$C$6)*$C$13*(1-((1+$C$6)*$C$13)^14)/(1-(1+$C$6)*$C$13)</f>
        <v>5514.65490049929</v>
      </c>
      <c r="D117" s="73" t="n">
        <f aca="false">($C$5*$C$7-$C$9-$C$10+($B$98+$B$104)*$A117)+$C$5*D$113*(1-$C$11-$C$12)*(1+$C$6)*$C$13*(1-((1+$C$6)*$C$13)^14)/(1-(1+$C$6)*$C$13)</f>
        <v>8250.19362562411</v>
      </c>
      <c r="E117" s="73" t="n">
        <f aca="false">($C$5*$C$7-$C$9-$C$10+($B$98+$B$104)*$A117)+$C$5*E$113*(1-$C$11-$C$12)*(1+$C$6)*$C$13*(1-((1+$C$6)*$C$13)^14)/(1-(1+$C$6)*$C$13)</f>
        <v>15089.0404384362</v>
      </c>
      <c r="F117" s="73" t="n">
        <f aca="false">($C$5*$C$7-$C$9-$C$10+($B$98+$B$104)*$A117)+$C$5*F$113*(1-$C$11-$C$12)*(1+$C$6)*$C$13*(1-((1+$C$6)*$C$13)^14)/(1-(1+$C$6)*$C$13)</f>
        <v>21927.8872512482</v>
      </c>
    </row>
    <row r="118" customFormat="false" ht="15" hidden="false" customHeight="false" outlineLevel="0" collapsed="false">
      <c r="A118" s="72" t="n">
        <v>0.4</v>
      </c>
      <c r="B118" s="73" t="n">
        <f aca="false">($C$5*$C$7-$C$9-$C$10+($B$98+$B$104)*$A118)+$C$5*B$113*(1-$C$11-$C$12)*(1+$C$6)*$C$13*(1-((1+$C$6)*$C$13)^14)/(1-(1+$C$6)*$C$13)</f>
        <v>2018.84681281206</v>
      </c>
      <c r="C118" s="73" t="n">
        <f aca="false">($C$5*$C$7-$C$9-$C$10+($B$98+$B$104)*$A118)+$C$5*C$113*(1-$C$11-$C$12)*(1+$C$6)*$C$13*(1-((1+$C$6)*$C$13)^14)/(1-(1+$C$6)*$C$13)</f>
        <v>6122.15490049929</v>
      </c>
      <c r="D118" s="73" t="n">
        <f aca="false">($C$5*$C$7-$C$9-$C$10+($B$98+$B$104)*$A118)+$C$5*D$113*(1-$C$11-$C$12)*(1+$C$6)*$C$13*(1-((1+$C$6)*$C$13)^14)/(1-(1+$C$6)*$C$13)</f>
        <v>8857.69362562411</v>
      </c>
      <c r="E118" s="73" t="n">
        <f aca="false">($C$5*$C$7-$C$9-$C$10+($B$98+$B$104)*$A118)+$C$5*E$113*(1-$C$11-$C$12)*(1+$C$6)*$C$13*(1-((1+$C$6)*$C$13)^14)/(1-(1+$C$6)*$C$13)</f>
        <v>15696.5404384362</v>
      </c>
      <c r="F118" s="73" t="n">
        <f aca="false">($C$5*$C$7-$C$9-$C$10+($B$98+$B$104)*$A118)+$C$5*F$113*(1-$C$11-$C$12)*(1+$C$6)*$C$13*(1-((1+$C$6)*$C$13)^14)/(1-(1+$C$6)*$C$13)</f>
        <v>22535.3872512482</v>
      </c>
    </row>
    <row r="119" customFormat="false" ht="15" hidden="false" customHeight="false" outlineLevel="0" collapsed="false">
      <c r="A119" s="72" t="n">
        <v>0.5</v>
      </c>
      <c r="B119" s="73" t="n">
        <f aca="false">($C$5*$C$7-$C$9-$C$10+($B$98+$B$104)*$A119)+$C$5*B$113*(1-$C$11-$C$12)*(1+$C$6)*$C$13*(1-((1+$C$6)*$C$13)^14)/(1-(1+$C$6)*$C$13)</f>
        <v>2626.34681281206</v>
      </c>
      <c r="C119" s="73" t="n">
        <f aca="false">($C$5*$C$7-$C$9-$C$10+($B$98+$B$104)*$A119)+$C$5*C$113*(1-$C$11-$C$12)*(1+$C$6)*$C$13*(1-((1+$C$6)*$C$13)^14)/(1-(1+$C$6)*$C$13)</f>
        <v>6729.65490049929</v>
      </c>
      <c r="D119" s="73" t="n">
        <f aca="false">($C$5*$C$7-$C$9-$C$10+($B$98+$B$104)*$A119)+$C$5*D$113*(1-$C$11-$C$12)*(1+$C$6)*$C$13*(1-((1+$C$6)*$C$13)^14)/(1-(1+$C$6)*$C$13)</f>
        <v>9465.19362562411</v>
      </c>
      <c r="E119" s="73" t="n">
        <f aca="false">($C$5*$C$7-$C$9-$C$10+($B$98+$B$104)*$A119)+$C$5*E$113*(1-$C$11-$C$12)*(1+$C$6)*$C$13*(1-((1+$C$6)*$C$13)^14)/(1-(1+$C$6)*$C$13)</f>
        <v>16304.0404384362</v>
      </c>
      <c r="F119" s="73" t="n">
        <f aca="false">($C$5*$C$7-$C$9-$C$10+($B$98+$B$104)*$A119)+$C$5*F$113*(1-$C$11-$C$12)*(1+$C$6)*$C$13*(1-((1+$C$6)*$C$13)^14)/(1-(1+$C$6)*$C$13)</f>
        <v>23142.8872512482</v>
      </c>
    </row>
    <row r="121" customFormat="false" ht="15" hidden="false" customHeight="false" outlineLevel="0" collapsed="false">
      <c r="A121" s="70" t="s">
        <v>137</v>
      </c>
    </row>
    <row r="122" customFormat="false" ht="15" hidden="false" customHeight="false" outlineLevel="0" collapsed="false">
      <c r="A122" s="59" t="s">
        <v>136</v>
      </c>
      <c r="B122" s="71" t="n">
        <f aca="false">B113</f>
        <v>0.05</v>
      </c>
      <c r="C122" s="71" t="n">
        <f aca="false">C113</f>
        <v>0.08</v>
      </c>
      <c r="D122" s="71" t="n">
        <f aca="false">D113</f>
        <v>0.1</v>
      </c>
      <c r="E122" s="71" t="n">
        <f aca="false">E113</f>
        <v>0.15</v>
      </c>
      <c r="F122" s="71" t="n">
        <f aca="false">F113</f>
        <v>0.2</v>
      </c>
    </row>
    <row r="123" customFormat="false" ht="15" hidden="false" customHeight="false" outlineLevel="0" collapsed="false">
      <c r="A123" s="72" t="n">
        <f aca="false">A114</f>
        <v>0</v>
      </c>
      <c r="B123" s="74" t="n">
        <f aca="false">IF($C$5*$C$7-$C$9-$C$10+($B$98+$B$104)*$A123&gt;=0,1,IF(1+($C$5*$C$7-$C$9-$C$10+($B$98+$B$104)*$A123)/($C$5*B$122*(1-$C$11-$C$12)*(1+$C$6)*$C$13/(1-(1+$C$6)*$C$13))&lt;=0,"Never",CEILING(1+LN(1+($C$5*$C$7-$C$9-$C$10+($B$98+$B$104)*$A123)/($C$5*B$122*(1-$C$11-$C$12)*(1+$C$6)*$C$13/(1-(1+$C$6)*$C$13)))/LN((1+$C$6)*$C$13),1)))</f>
        <v>17</v>
      </c>
      <c r="C123" s="74" t="n">
        <f aca="false">IF($C$5*$C$7-$C$9-$C$10+($B$98+$B$104)*$A123&gt;=0,1,IF(1+($C$5*$C$7-$C$9-$C$10+($B$98+$B$104)*$A123)/($C$5*C$122*(1-$C$11-$C$12)*(1+$C$6)*$C$13/(1-(1+$C$6)*$C$13))&lt;=0,"Never",CEILING(1+LN(1+($C$5*$C$7-$C$9-$C$10+($B$98+$B$104)*$A123)/($C$5*C$122*(1-$C$11-$C$12)*(1+$C$6)*$C$13/(1-(1+$C$6)*$C$13)))/LN((1+$C$6)*$C$13),1)))</f>
        <v>9</v>
      </c>
      <c r="D123" s="74" t="n">
        <f aca="false">IF($C$5*$C$7-$C$9-$C$10+($B$98+$B$104)*$A123&gt;=0,1,IF(1+($C$5*$C$7-$C$9-$C$10+($B$98+$B$104)*$A123)/($C$5*D$122*(1-$C$11-$C$12)*(1+$C$6)*$C$13/(1-(1+$C$6)*$C$13))&lt;=0,"Never",CEILING(1+LN(1+($C$5*$C$7-$C$9-$C$10+($B$98+$B$104)*$A123)/($C$5*D$122*(1-$C$11-$C$12)*(1+$C$6)*$C$13/(1-(1+$C$6)*$C$13)))/LN((1+$C$6)*$C$13),1)))</f>
        <v>7</v>
      </c>
      <c r="E123" s="74" t="n">
        <f aca="false">IF($C$5*$C$7-$C$9-$C$10+($B$98+$B$104)*$A123&gt;=0,1,IF(1+($C$5*$C$7-$C$9-$C$10+($B$98+$B$104)*$A123)/($C$5*E$122*(1-$C$11-$C$12)*(1+$C$6)*$C$13/(1-(1+$C$6)*$C$13))&lt;=0,"Never",CEILING(1+LN(1+($C$5*$C$7-$C$9-$C$10+($B$98+$B$104)*$A123)/($C$5*E$122*(1-$C$11-$C$12)*(1+$C$6)*$C$13/(1-(1+$C$6)*$C$13)))/LN((1+$C$6)*$C$13),1)))</f>
        <v>5</v>
      </c>
      <c r="F123" s="74" t="n">
        <f aca="false">IF($C$5*$C$7-$C$9-$C$10+($B$98+$B$104)*$A123&gt;=0,1,IF(1+($C$5*$C$7-$C$9-$C$10+($B$98+$B$104)*$A123)/($C$5*F$122*(1-$C$11-$C$12)*(1+$C$6)*$C$13/(1-(1+$C$6)*$C$13))&lt;=0,"Never",CEILING(1+LN(1+($C$5*$C$7-$C$9-$C$10+($B$98+$B$104)*$A123)/($C$5*F$122*(1-$C$11-$C$12)*(1+$C$6)*$C$13/(1-(1+$C$6)*$C$13)))/LN((1+$C$6)*$C$13),1)))</f>
        <v>4</v>
      </c>
      <c r="G123" s="58" t="s">
        <v>138</v>
      </c>
    </row>
    <row r="124" customFormat="false" ht="15" hidden="false" customHeight="false" outlineLevel="0" collapsed="false">
      <c r="A124" s="72" t="n">
        <f aca="false">A115</f>
        <v>0.1</v>
      </c>
      <c r="B124" s="74" t="n">
        <f aca="false">IF($C$5*$C$7-$C$9-$C$10+($B$98+$B$104)*$A124&gt;=0,1,IF(1+($C$5*$C$7-$C$9-$C$10+($B$98+$B$104)*$A124)/($C$5*B$122*(1-$C$11-$C$12)*(1+$C$6)*$C$13/(1-(1+$C$6)*$C$13))&lt;=0,"Never",CEILING(1+LN(1+($C$5*$C$7-$C$9-$C$10+($B$98+$B$104)*$A124)/($C$5*B$122*(1-$C$11-$C$12)*(1+$C$6)*$C$13/(1-(1+$C$6)*$C$13)))/LN((1+$C$6)*$C$13),1)))</f>
        <v>15</v>
      </c>
      <c r="C124" s="74" t="n">
        <f aca="false">IF($C$5*$C$7-$C$9-$C$10+($B$98+$B$104)*$A124&gt;=0,1,IF(1+($C$5*$C$7-$C$9-$C$10+($B$98+$B$104)*$A124)/($C$5*C$122*(1-$C$11-$C$12)*(1+$C$6)*$C$13/(1-(1+$C$6)*$C$13))&lt;=0,"Never",CEILING(1+LN(1+($C$5*$C$7-$C$9-$C$10+($B$98+$B$104)*$A124)/($C$5*C$122*(1-$C$11-$C$12)*(1+$C$6)*$C$13/(1-(1+$C$6)*$C$13)))/LN((1+$C$6)*$C$13),1)))</f>
        <v>8</v>
      </c>
      <c r="D124" s="74" t="n">
        <f aca="false">IF($C$5*$C$7-$C$9-$C$10+($B$98+$B$104)*$A124&gt;=0,1,IF(1+($C$5*$C$7-$C$9-$C$10+($B$98+$B$104)*$A124)/($C$5*D$122*(1-$C$11-$C$12)*(1+$C$6)*$C$13/(1-(1+$C$6)*$C$13))&lt;=0,"Never",CEILING(1+LN(1+($C$5*$C$7-$C$9-$C$10+($B$98+$B$104)*$A124)/($C$5*D$122*(1-$C$11-$C$12)*(1+$C$6)*$C$13/(1-(1+$C$6)*$C$13)))/LN((1+$C$6)*$C$13),1)))</f>
        <v>6</v>
      </c>
      <c r="E124" s="74" t="n">
        <f aca="false">IF($C$5*$C$7-$C$9-$C$10+($B$98+$B$104)*$A124&gt;=0,1,IF(1+($C$5*$C$7-$C$9-$C$10+($B$98+$B$104)*$A124)/($C$5*E$122*(1-$C$11-$C$12)*(1+$C$6)*$C$13/(1-(1+$C$6)*$C$13))&lt;=0,"Never",CEILING(1+LN(1+($C$5*$C$7-$C$9-$C$10+($B$98+$B$104)*$A124)/($C$5*E$122*(1-$C$11-$C$12)*(1+$C$6)*$C$13/(1-(1+$C$6)*$C$13)))/LN((1+$C$6)*$C$13),1)))</f>
        <v>4</v>
      </c>
      <c r="F124" s="74" t="n">
        <f aca="false">IF($C$5*$C$7-$C$9-$C$10+($B$98+$B$104)*$A124&gt;=0,1,IF(1+($C$5*$C$7-$C$9-$C$10+($B$98+$B$104)*$A124)/($C$5*F$122*(1-$C$11-$C$12)*(1+$C$6)*$C$13/(1-(1+$C$6)*$C$13))&lt;=0,"Never",CEILING(1+LN(1+($C$5*$C$7-$C$9-$C$10+($B$98+$B$104)*$A124)/($C$5*F$122*(1-$C$11-$C$12)*(1+$C$6)*$C$13/(1-(1+$C$6)*$C$13)))/LN((1+$C$6)*$C$13),1)))</f>
        <v>4</v>
      </c>
    </row>
    <row r="125" customFormat="false" ht="15" hidden="false" customHeight="false" outlineLevel="0" collapsed="false">
      <c r="A125" s="72" t="n">
        <f aca="false">A116</f>
        <v>0.2</v>
      </c>
      <c r="B125" s="74" t="n">
        <f aca="false">IF($C$5*$C$7-$C$9-$C$10+($B$98+$B$104)*$A125&gt;=0,1,IF(1+($C$5*$C$7-$C$9-$C$10+($B$98+$B$104)*$A125)/($C$5*B$122*(1-$C$11-$C$12)*(1+$C$6)*$C$13/(1-(1+$C$6)*$C$13))&lt;=0,"Never",CEILING(1+LN(1+($C$5*$C$7-$C$9-$C$10+($B$98+$B$104)*$A125)/($C$5*B$122*(1-$C$11-$C$12)*(1+$C$6)*$C$13/(1-(1+$C$6)*$C$13)))/LN((1+$C$6)*$C$13),1)))</f>
        <v>13</v>
      </c>
      <c r="C125" s="74" t="n">
        <f aca="false">IF($C$5*$C$7-$C$9-$C$10+($B$98+$B$104)*$A125&gt;=0,1,IF(1+($C$5*$C$7-$C$9-$C$10+($B$98+$B$104)*$A125)/($C$5*C$122*(1-$C$11-$C$12)*(1+$C$6)*$C$13/(1-(1+$C$6)*$C$13))&lt;=0,"Never",CEILING(1+LN(1+($C$5*$C$7-$C$9-$C$10+($B$98+$B$104)*$A125)/($C$5*C$122*(1-$C$11-$C$12)*(1+$C$6)*$C$13/(1-(1+$C$6)*$C$13)))/LN((1+$C$6)*$C$13),1)))</f>
        <v>7</v>
      </c>
      <c r="D125" s="74" t="n">
        <f aca="false">IF($C$5*$C$7-$C$9-$C$10+($B$98+$B$104)*$A125&gt;=0,1,IF(1+($C$5*$C$7-$C$9-$C$10+($B$98+$B$104)*$A125)/($C$5*D$122*(1-$C$11-$C$12)*(1+$C$6)*$C$13/(1-(1+$C$6)*$C$13))&lt;=0,"Never",CEILING(1+LN(1+($C$5*$C$7-$C$9-$C$10+($B$98+$B$104)*$A125)/($C$5*D$122*(1-$C$11-$C$12)*(1+$C$6)*$C$13/(1-(1+$C$6)*$C$13)))/LN((1+$C$6)*$C$13),1)))</f>
        <v>6</v>
      </c>
      <c r="E125" s="74" t="n">
        <f aca="false">IF($C$5*$C$7-$C$9-$C$10+($B$98+$B$104)*$A125&gt;=0,1,IF(1+($C$5*$C$7-$C$9-$C$10+($B$98+$B$104)*$A125)/($C$5*E$122*(1-$C$11-$C$12)*(1+$C$6)*$C$13/(1-(1+$C$6)*$C$13))&lt;=0,"Never",CEILING(1+LN(1+($C$5*$C$7-$C$9-$C$10+($B$98+$B$104)*$A125)/($C$5*E$122*(1-$C$11-$C$12)*(1+$C$6)*$C$13/(1-(1+$C$6)*$C$13)))/LN((1+$C$6)*$C$13),1)))</f>
        <v>4</v>
      </c>
      <c r="F125" s="74" t="n">
        <f aca="false">IF($C$5*$C$7-$C$9-$C$10+($B$98+$B$104)*$A125&gt;=0,1,IF(1+($C$5*$C$7-$C$9-$C$10+($B$98+$B$104)*$A125)/($C$5*F$122*(1-$C$11-$C$12)*(1+$C$6)*$C$13/(1-(1+$C$6)*$C$13))&lt;=0,"Never",CEILING(1+LN(1+($C$5*$C$7-$C$9-$C$10+($B$98+$B$104)*$A125)/($C$5*F$122*(1-$C$11-$C$12)*(1+$C$6)*$C$13/(1-(1+$C$6)*$C$13)))/LN((1+$C$6)*$C$13),1)))</f>
        <v>3</v>
      </c>
      <c r="G125" s="58" t="s">
        <v>139</v>
      </c>
    </row>
    <row r="126" customFormat="false" ht="15" hidden="false" customHeight="false" outlineLevel="0" collapsed="false">
      <c r="A126" s="72" t="n">
        <f aca="false">A117</f>
        <v>0.3</v>
      </c>
      <c r="B126" s="74" t="n">
        <f aca="false">IF($C$5*$C$7-$C$9-$C$10+($B$98+$B$104)*$A126&gt;=0,1,IF(1+($C$5*$C$7-$C$9-$C$10+($B$98+$B$104)*$A126)/($C$5*B$122*(1-$C$11-$C$12)*(1+$C$6)*$C$13/(1-(1+$C$6)*$C$13))&lt;=0,"Never",CEILING(1+LN(1+($C$5*$C$7-$C$9-$C$10+($B$98+$B$104)*$A126)/($C$5*B$122*(1-$C$11-$C$12)*(1+$C$6)*$C$13/(1-(1+$C$6)*$C$13)))/LN((1+$C$6)*$C$13),1)))</f>
        <v>11</v>
      </c>
      <c r="C126" s="74" t="n">
        <f aca="false">IF($C$5*$C$7-$C$9-$C$10+($B$98+$B$104)*$A126&gt;=0,1,IF(1+($C$5*$C$7-$C$9-$C$10+($B$98+$B$104)*$A126)/($C$5*C$122*(1-$C$11-$C$12)*(1+$C$6)*$C$13/(1-(1+$C$6)*$C$13))&lt;=0,"Never",CEILING(1+LN(1+($C$5*$C$7-$C$9-$C$10+($B$98+$B$104)*$A126)/($C$5*C$122*(1-$C$11-$C$12)*(1+$C$6)*$C$13/(1-(1+$C$6)*$C$13)))/LN((1+$C$6)*$C$13),1)))</f>
        <v>6</v>
      </c>
      <c r="D126" s="74" t="n">
        <f aca="false">IF($C$5*$C$7-$C$9-$C$10+($B$98+$B$104)*$A126&gt;=0,1,IF(1+($C$5*$C$7-$C$9-$C$10+($B$98+$B$104)*$A126)/($C$5*D$122*(1-$C$11-$C$12)*(1+$C$6)*$C$13/(1-(1+$C$6)*$C$13))&lt;=0,"Never",CEILING(1+LN(1+($C$5*$C$7-$C$9-$C$10+($B$98+$B$104)*$A126)/($C$5*D$122*(1-$C$11-$C$12)*(1+$C$6)*$C$13/(1-(1+$C$6)*$C$13)))/LN((1+$C$6)*$C$13),1)))</f>
        <v>5</v>
      </c>
      <c r="E126" s="74" t="n">
        <f aca="false">IF($C$5*$C$7-$C$9-$C$10+($B$98+$B$104)*$A126&gt;=0,1,IF(1+($C$5*$C$7-$C$9-$C$10+($B$98+$B$104)*$A126)/($C$5*E$122*(1-$C$11-$C$12)*(1+$C$6)*$C$13/(1-(1+$C$6)*$C$13))&lt;=0,"Never",CEILING(1+LN(1+($C$5*$C$7-$C$9-$C$10+($B$98+$B$104)*$A126)/($C$5*E$122*(1-$C$11-$C$12)*(1+$C$6)*$C$13/(1-(1+$C$6)*$C$13)))/LN((1+$C$6)*$C$13),1)))</f>
        <v>4</v>
      </c>
      <c r="F126" s="74" t="n">
        <f aca="false">IF($C$5*$C$7-$C$9-$C$10+($B$98+$B$104)*$A126&gt;=0,1,IF(1+($C$5*$C$7-$C$9-$C$10+($B$98+$B$104)*$A126)/($C$5*F$122*(1-$C$11-$C$12)*(1+$C$6)*$C$13/(1-(1+$C$6)*$C$13))&lt;=0,"Never",CEILING(1+LN(1+($C$5*$C$7-$C$9-$C$10+($B$98+$B$104)*$A126)/($C$5*F$122*(1-$C$11-$C$12)*(1+$C$6)*$C$13/(1-(1+$C$6)*$C$13)))/LN((1+$C$6)*$C$13),1)))</f>
        <v>3</v>
      </c>
    </row>
    <row r="127" customFormat="false" ht="15" hidden="false" customHeight="false" outlineLevel="0" collapsed="false">
      <c r="A127" s="72" t="n">
        <f aca="false">A118</f>
        <v>0.4</v>
      </c>
      <c r="B127" s="74" t="n">
        <f aca="false">IF($C$5*$C$7-$C$9-$C$10+($B$98+$B$104)*$A127&gt;=0,1,IF(1+($C$5*$C$7-$C$9-$C$10+($B$98+$B$104)*$A127)/($C$5*B$122*(1-$C$11-$C$12)*(1+$C$6)*$C$13/(1-(1+$C$6)*$C$13))&lt;=0,"Never",CEILING(1+LN(1+($C$5*$C$7-$C$9-$C$10+($B$98+$B$104)*$A127)/($C$5*B$122*(1-$C$11-$C$12)*(1+$C$6)*$C$13/(1-(1+$C$6)*$C$13)))/LN((1+$C$6)*$C$13),1)))</f>
        <v>9</v>
      </c>
      <c r="C127" s="74" t="n">
        <f aca="false">IF($C$5*$C$7-$C$9-$C$10+($B$98+$B$104)*$A127&gt;=0,1,IF(1+($C$5*$C$7-$C$9-$C$10+($B$98+$B$104)*$A127)/($C$5*C$122*(1-$C$11-$C$12)*(1+$C$6)*$C$13/(1-(1+$C$6)*$C$13))&lt;=0,"Never",CEILING(1+LN(1+($C$5*$C$7-$C$9-$C$10+($B$98+$B$104)*$A127)/($C$5*C$122*(1-$C$11-$C$12)*(1+$C$6)*$C$13/(1-(1+$C$6)*$C$13)))/LN((1+$C$6)*$C$13),1)))</f>
        <v>6</v>
      </c>
      <c r="D127" s="74" t="n">
        <f aca="false">IF($C$5*$C$7-$C$9-$C$10+($B$98+$B$104)*$A127&gt;=0,1,IF(1+($C$5*$C$7-$C$9-$C$10+($B$98+$B$104)*$A127)/($C$5*D$122*(1-$C$11-$C$12)*(1+$C$6)*$C$13/(1-(1+$C$6)*$C$13))&lt;=0,"Never",CEILING(1+LN(1+($C$5*$C$7-$C$9-$C$10+($B$98+$B$104)*$A127)/($C$5*D$122*(1-$C$11-$C$12)*(1+$C$6)*$C$13/(1-(1+$C$6)*$C$13)))/LN((1+$C$6)*$C$13),1)))</f>
        <v>5</v>
      </c>
      <c r="E127" s="74" t="n">
        <f aca="false">IF($C$5*$C$7-$C$9-$C$10+($B$98+$B$104)*$A127&gt;=0,1,IF(1+($C$5*$C$7-$C$9-$C$10+($B$98+$B$104)*$A127)/($C$5*E$122*(1-$C$11-$C$12)*(1+$C$6)*$C$13/(1-(1+$C$6)*$C$13))&lt;=0,"Never",CEILING(1+LN(1+($C$5*$C$7-$C$9-$C$10+($B$98+$B$104)*$A127)/($C$5*E$122*(1-$C$11-$C$12)*(1+$C$6)*$C$13/(1-(1+$C$6)*$C$13)))/LN((1+$C$6)*$C$13),1)))</f>
        <v>4</v>
      </c>
      <c r="F127" s="74" t="n">
        <f aca="false">IF($C$5*$C$7-$C$9-$C$10+($B$98+$B$104)*$A127&gt;=0,1,IF(1+($C$5*$C$7-$C$9-$C$10+($B$98+$B$104)*$A127)/($C$5*F$122*(1-$C$11-$C$12)*(1+$C$6)*$C$13/(1-(1+$C$6)*$C$13))&lt;=0,"Never",CEILING(1+LN(1+($C$5*$C$7-$C$9-$C$10+($B$98+$B$104)*$A127)/($C$5*F$122*(1-$C$11-$C$12)*(1+$C$6)*$C$13/(1-(1+$C$6)*$C$13)))/LN((1+$C$6)*$C$13),1)))</f>
        <v>3</v>
      </c>
      <c r="G127" s="58" t="s">
        <v>140</v>
      </c>
    </row>
    <row r="128" customFormat="false" ht="15" hidden="false" customHeight="false" outlineLevel="0" collapsed="false">
      <c r="A128" s="72" t="n">
        <f aca="false">A119</f>
        <v>0.5</v>
      </c>
      <c r="B128" s="74" t="n">
        <f aca="false">IF($C$5*$C$7-$C$9-$C$10+($B$98+$B$104)*$A128&gt;=0,1,IF(1+($C$5*$C$7-$C$9-$C$10+($B$98+$B$104)*$A128)/($C$5*B$122*(1-$C$11-$C$12)*(1+$C$6)*$C$13/(1-(1+$C$6)*$C$13))&lt;=0,"Never",CEILING(1+LN(1+($C$5*$C$7-$C$9-$C$10+($B$98+$B$104)*$A128)/($C$5*B$122*(1-$C$11-$C$12)*(1+$C$6)*$C$13/(1-(1+$C$6)*$C$13)))/LN((1+$C$6)*$C$13),1)))</f>
        <v>8</v>
      </c>
      <c r="C128" s="74" t="n">
        <f aca="false">IF($C$5*$C$7-$C$9-$C$10+($B$98+$B$104)*$A128&gt;=0,1,IF(1+($C$5*$C$7-$C$9-$C$10+($B$98+$B$104)*$A128)/($C$5*C$122*(1-$C$11-$C$12)*(1+$C$6)*$C$13/(1-(1+$C$6)*$C$13))&lt;=0,"Never",CEILING(1+LN(1+($C$5*$C$7-$C$9-$C$10+($B$98+$B$104)*$A128)/($C$5*C$122*(1-$C$11-$C$12)*(1+$C$6)*$C$13/(1-(1+$C$6)*$C$13)))/LN((1+$C$6)*$C$13),1)))</f>
        <v>5</v>
      </c>
      <c r="D128" s="74" t="n">
        <f aca="false">IF($C$5*$C$7-$C$9-$C$10+($B$98+$B$104)*$A128&gt;=0,1,IF(1+($C$5*$C$7-$C$9-$C$10+($B$98+$B$104)*$A128)/($C$5*D$122*(1-$C$11-$C$12)*(1+$C$6)*$C$13/(1-(1+$C$6)*$C$13))&lt;=0,"Never",CEILING(1+LN(1+($C$5*$C$7-$C$9-$C$10+($B$98+$B$104)*$A128)/($C$5*D$122*(1-$C$11-$C$12)*(1+$C$6)*$C$13/(1-(1+$C$6)*$C$13)))/LN((1+$C$6)*$C$13),1)))</f>
        <v>4</v>
      </c>
      <c r="E128" s="74" t="n">
        <f aca="false">IF($C$5*$C$7-$C$9-$C$10+($B$98+$B$104)*$A128&gt;=0,1,IF(1+($C$5*$C$7-$C$9-$C$10+($B$98+$B$104)*$A128)/($C$5*E$122*(1-$C$11-$C$12)*(1+$C$6)*$C$13/(1-(1+$C$6)*$C$13))&lt;=0,"Never",CEILING(1+LN(1+($C$5*$C$7-$C$9-$C$10+($B$98+$B$104)*$A128)/($C$5*E$122*(1-$C$11-$C$12)*(1+$C$6)*$C$13/(1-(1+$C$6)*$C$13)))/LN((1+$C$6)*$C$13),1)))</f>
        <v>3</v>
      </c>
      <c r="F128" s="74" t="n">
        <f aca="false">IF($C$5*$C$7-$C$9-$C$10+($B$98+$B$104)*$A128&gt;=0,1,IF(1+($C$5*$C$7-$C$9-$C$10+($B$98+$B$104)*$A128)/($C$5*F$122*(1-$C$11-$C$12)*(1+$C$6)*$C$13/(1-(1+$C$6)*$C$13))&lt;=0,"Never",CEILING(1+LN(1+($C$5*$C$7-$C$9-$C$10+($B$98+$B$104)*$A128)/($C$5*F$122*(1-$C$11-$C$12)*(1+$C$6)*$C$13/(1-(1+$C$6)*$C$13)))/LN((1+$C$6)*$C$13),1)))</f>
        <v>3</v>
      </c>
      <c r="G128" s="58" t="s">
        <v>141</v>
      </c>
    </row>
    <row r="130" customFormat="false" ht="15" hidden="false" customHeight="false" outlineLevel="0" collapsed="false">
      <c r="A130" s="70" t="s">
        <v>142</v>
      </c>
    </row>
    <row r="131" customFormat="false" ht="15" hidden="false" customHeight="false" outlineLevel="0" collapsed="false">
      <c r="A131" s="57" t="s">
        <v>143</v>
      </c>
    </row>
    <row r="132" customFormat="false" ht="15" hidden="false" customHeight="false" outlineLevel="0" collapsed="false">
      <c r="A132" s="57" t="s">
        <v>144</v>
      </c>
    </row>
    <row r="133" customFormat="false" ht="15" hidden="false" customHeight="false" outlineLevel="0" collapsed="false">
      <c r="A133" s="57" t="s">
        <v>145</v>
      </c>
    </row>
    <row r="134" customFormat="false" ht="15" hidden="false" customHeight="false" outlineLevel="0" collapsed="false">
      <c r="A134" s="57" t="s">
        <v>146</v>
      </c>
    </row>
    <row r="135" customFormat="false" ht="15" hidden="false" customHeight="false" outlineLevel="0" collapsed="false">
      <c r="A135" s="57" t="s">
        <v>147</v>
      </c>
    </row>
    <row r="136" customFormat="false" ht="15" hidden="false" customHeight="false" outlineLevel="0" collapsed="false">
      <c r="A136" s="57" t="s">
        <v>148</v>
      </c>
    </row>
  </sheetData>
  <conditionalFormatting sqref="B114:F119">
    <cfRule type="cellIs" priority="2" operator="greaterThan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0</formula>
    </cfRule>
  </conditionalFormatting>
  <conditionalFormatting sqref="B123:F128">
    <cfRule type="cellIs" priority="4" operator="lessThanOrEqual" aboveAverage="0" equalAverage="0" bottom="0" percent="0" rank="0" text="" dxfId="0">
      <formula>5</formula>
    </cfRule>
    <cfRule type="cellIs" priority="5" operator="between" aboveAverage="0" equalAverage="0" bottom="0" percent="0" rank="0" text="" dxfId="2">
      <formula>6</formula>
      <formula>10</formula>
    </cfRule>
    <cfRule type="cellIs" priority="6" operator="greaterThan" aboveAverage="0" equalAverage="0" bottom="0" percent="0" rank="0" text="" dxfId="1">
      <formula>10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8" min="2" style="1" width="16"/>
  </cols>
  <sheetData>
    <row r="1" customFormat="false" ht="17.25" hidden="false" customHeight="true" outlineLevel="0" collapsed="false">
      <c r="A1" s="2" t="s">
        <v>149</v>
      </c>
    </row>
    <row r="2" customFormat="false" ht="15" hidden="false" customHeight="true" outlineLevel="0" collapsed="false">
      <c r="A2" s="3" t="s">
        <v>150</v>
      </c>
    </row>
    <row r="4" customFormat="false" ht="15" hidden="false" customHeight="true" outlineLevel="0" collapsed="false">
      <c r="A4" s="75" t="s">
        <v>151</v>
      </c>
      <c r="B4" s="76"/>
      <c r="C4" s="76"/>
      <c r="D4" s="76"/>
    </row>
    <row r="5" customFormat="false" ht="15" hidden="false" customHeight="true" outlineLevel="0" collapsed="false">
      <c r="A5" s="77" t="s">
        <v>33</v>
      </c>
      <c r="B5" s="77" t="s">
        <v>152</v>
      </c>
      <c r="C5" s="77" t="s">
        <v>153</v>
      </c>
      <c r="D5" s="77" t="s">
        <v>36</v>
      </c>
    </row>
    <row r="6" customFormat="false" ht="15" hidden="false" customHeight="true" outlineLevel="0" collapsed="false">
      <c r="A6" s="78" t="s">
        <v>154</v>
      </c>
      <c r="B6" s="79" t="n">
        <v>15000</v>
      </c>
      <c r="C6" s="79" t="n">
        <v>15000</v>
      </c>
      <c r="D6" s="80" t="s">
        <v>155</v>
      </c>
    </row>
    <row r="7" customFormat="false" ht="15" hidden="false" customHeight="true" outlineLevel="0" collapsed="false">
      <c r="A7" s="78" t="s">
        <v>156</v>
      </c>
      <c r="B7" s="81" t="n">
        <v>0</v>
      </c>
      <c r="C7" s="81" t="n">
        <v>0</v>
      </c>
      <c r="D7" s="80" t="s">
        <v>157</v>
      </c>
    </row>
    <row r="8" customFormat="false" ht="15" hidden="false" customHeight="true" outlineLevel="0" collapsed="false">
      <c r="A8" s="78" t="s">
        <v>41</v>
      </c>
      <c r="B8" s="82" t="n">
        <v>0.4</v>
      </c>
      <c r="C8" s="82" t="n">
        <v>0.25</v>
      </c>
      <c r="D8" s="80" t="s">
        <v>158</v>
      </c>
    </row>
    <row r="9" customFormat="false" ht="15" hidden="false" customHeight="true" outlineLevel="0" collapsed="false">
      <c r="A9" s="78" t="s">
        <v>43</v>
      </c>
      <c r="B9" s="82" t="n">
        <v>0.03</v>
      </c>
      <c r="C9" s="82" t="n">
        <v>0.075</v>
      </c>
      <c r="D9" s="80" t="s">
        <v>159</v>
      </c>
    </row>
    <row r="10" customFormat="false" ht="15" hidden="false" customHeight="true" outlineLevel="0" collapsed="false">
      <c r="A10" s="78" t="s">
        <v>160</v>
      </c>
      <c r="B10" s="82" t="n">
        <v>0.6</v>
      </c>
      <c r="C10" s="83" t="s">
        <v>161</v>
      </c>
      <c r="D10" s="80" t="s">
        <v>162</v>
      </c>
    </row>
    <row r="11" customFormat="false" ht="15" hidden="false" customHeight="true" outlineLevel="0" collapsed="false">
      <c r="A11" s="78" t="s">
        <v>163</v>
      </c>
      <c r="B11" s="82" t="n">
        <v>0.9</v>
      </c>
      <c r="C11" s="83" t="s">
        <v>161</v>
      </c>
      <c r="D11" s="80" t="s">
        <v>162</v>
      </c>
    </row>
    <row r="12" customFormat="false" ht="15" hidden="false" customHeight="true" outlineLevel="0" collapsed="false">
      <c r="A12" s="78" t="s">
        <v>164</v>
      </c>
      <c r="B12" s="82" t="n">
        <v>0.15</v>
      </c>
      <c r="C12" s="83" t="s">
        <v>161</v>
      </c>
      <c r="D12" s="80" t="s">
        <v>162</v>
      </c>
    </row>
    <row r="13" customFormat="false" ht="15" hidden="false" customHeight="true" outlineLevel="0" collapsed="false">
      <c r="A13" s="78" t="s">
        <v>165</v>
      </c>
      <c r="B13" s="82" t="n">
        <v>0.7</v>
      </c>
      <c r="C13" s="83" t="s">
        <v>161</v>
      </c>
      <c r="D13" s="80" t="s">
        <v>162</v>
      </c>
    </row>
    <row r="14" customFormat="false" ht="15" hidden="false" customHeight="true" outlineLevel="0" collapsed="false">
      <c r="A14" s="78" t="s">
        <v>166</v>
      </c>
      <c r="B14" s="79" t="n">
        <v>8000</v>
      </c>
      <c r="C14" s="79" t="n">
        <v>8000</v>
      </c>
      <c r="D14" s="80" t="s">
        <v>167</v>
      </c>
    </row>
    <row r="15" customFormat="false" ht="15" hidden="false" customHeight="true" outlineLevel="0" collapsed="false">
      <c r="A15" s="78" t="s">
        <v>168</v>
      </c>
      <c r="B15" s="82" t="n">
        <v>0.4</v>
      </c>
      <c r="C15" s="83" t="s">
        <v>161</v>
      </c>
      <c r="D15" s="80" t="s">
        <v>169</v>
      </c>
    </row>
    <row r="16" customFormat="false" ht="15" hidden="false" customHeight="true" outlineLevel="0" collapsed="false">
      <c r="A16" s="78" t="s">
        <v>170</v>
      </c>
      <c r="B16" s="82" t="n">
        <v>0.1</v>
      </c>
      <c r="C16" s="83" t="s">
        <v>161</v>
      </c>
      <c r="D16" s="80" t="s">
        <v>171</v>
      </c>
    </row>
    <row r="17" customFormat="false" ht="15" hidden="false" customHeight="true" outlineLevel="0" collapsed="false">
      <c r="A17" s="78" t="s">
        <v>172</v>
      </c>
      <c r="B17" s="82" t="n">
        <v>0.45</v>
      </c>
      <c r="C17" s="83" t="s">
        <v>161</v>
      </c>
      <c r="D17" s="80" t="s">
        <v>173</v>
      </c>
    </row>
    <row r="18" customFormat="false" ht="15" hidden="false" customHeight="true" outlineLevel="0" collapsed="false">
      <c r="A18" s="78" t="s">
        <v>174</v>
      </c>
      <c r="B18" s="82" t="n">
        <v>0.19</v>
      </c>
      <c r="C18" s="83" t="s">
        <v>161</v>
      </c>
      <c r="D18" s="80" t="s">
        <v>175</v>
      </c>
    </row>
    <row r="19" customFormat="false" ht="15" hidden="false" customHeight="true" outlineLevel="0" collapsed="false">
      <c r="A19" s="78" t="s">
        <v>53</v>
      </c>
      <c r="B19" s="82" t="n">
        <v>0.95</v>
      </c>
      <c r="C19" s="82" t="n">
        <v>0.95</v>
      </c>
      <c r="D19" s="80" t="s">
        <v>176</v>
      </c>
    </row>
    <row r="20" customFormat="false" ht="15" hidden="false" customHeight="true" outlineLevel="0" collapsed="false">
      <c r="A20" s="78" t="s">
        <v>177</v>
      </c>
      <c r="B20" s="81" t="n">
        <v>15</v>
      </c>
      <c r="C20" s="81" t="n">
        <v>15</v>
      </c>
      <c r="D20" s="80"/>
    </row>
    <row r="23" customFormat="false" ht="15" hidden="false" customHeight="true" outlineLevel="0" collapsed="false">
      <c r="A23" s="84" t="s">
        <v>178</v>
      </c>
      <c r="B23" s="85"/>
      <c r="C23" s="85"/>
      <c r="D23" s="85"/>
      <c r="E23" s="85"/>
      <c r="F23" s="85"/>
      <c r="G23" s="85"/>
      <c r="H23" s="85"/>
    </row>
    <row r="24" customFormat="false" ht="15" hidden="false" customHeight="true" outlineLevel="0" collapsed="false">
      <c r="A24" s="86" t="s">
        <v>58</v>
      </c>
      <c r="B24" s="87" t="s">
        <v>59</v>
      </c>
      <c r="C24" s="87" t="s">
        <v>60</v>
      </c>
      <c r="D24" s="87" t="s">
        <v>61</v>
      </c>
      <c r="E24" s="87" t="s">
        <v>63</v>
      </c>
      <c r="F24" s="87" t="s">
        <v>65</v>
      </c>
      <c r="G24" s="87" t="s">
        <v>68</v>
      </c>
      <c r="H24" s="87" t="s">
        <v>73</v>
      </c>
    </row>
    <row r="25" customFormat="false" ht="15" hidden="false" customHeight="true" outlineLevel="0" collapsed="false">
      <c r="A25" s="88" t="s">
        <v>74</v>
      </c>
      <c r="B25" s="89" t="n">
        <f aca="false">$B$6</f>
        <v>15000</v>
      </c>
      <c r="C25" s="89" t="n">
        <f aca="false">$B$6</f>
        <v>15000</v>
      </c>
      <c r="D25" s="89" t="n">
        <f aca="false">$B$6</f>
        <v>15000</v>
      </c>
      <c r="E25" s="89" t="n">
        <f aca="false">$B$6</f>
        <v>15000</v>
      </c>
      <c r="F25" s="89" t="n">
        <f aca="false">$B$6</f>
        <v>15000</v>
      </c>
      <c r="G25" s="89" t="n">
        <f aca="false">$B$6</f>
        <v>15000</v>
      </c>
      <c r="H25" s="89" t="n">
        <f aca="false">$B$6</f>
        <v>15000</v>
      </c>
    </row>
    <row r="26" customFormat="false" ht="15" hidden="false" customHeight="true" outlineLevel="0" collapsed="false">
      <c r="A26" s="88" t="s">
        <v>179</v>
      </c>
      <c r="B26" s="89" t="n">
        <f aca="false">B25*$B$8</f>
        <v>6000</v>
      </c>
      <c r="C26" s="89" t="n">
        <f aca="false">C25*$B$9</f>
        <v>450</v>
      </c>
      <c r="D26" s="89" t="n">
        <f aca="false">D25*$B$9</f>
        <v>450</v>
      </c>
      <c r="E26" s="89" t="n">
        <f aca="false">E25*$B$9</f>
        <v>450</v>
      </c>
      <c r="F26" s="89" t="n">
        <f aca="false">F25*$B$9</f>
        <v>450</v>
      </c>
      <c r="G26" s="89" t="n">
        <f aca="false">G25*$B$9</f>
        <v>450</v>
      </c>
      <c r="H26" s="89" t="n">
        <f aca="false">H25*$B$9</f>
        <v>450</v>
      </c>
    </row>
    <row r="27" customFormat="false" ht="15" hidden="false" customHeight="true" outlineLevel="0" collapsed="false">
      <c r="A27" s="88" t="s">
        <v>76</v>
      </c>
      <c r="B27" s="89" t="n">
        <f aca="false">B26*$B$15</f>
        <v>2400</v>
      </c>
      <c r="C27" s="89" t="n">
        <f aca="false">C26*$B$16</f>
        <v>45</v>
      </c>
      <c r="D27" s="89" t="n">
        <f aca="false">D26*$B$16</f>
        <v>45</v>
      </c>
      <c r="E27" s="89" t="n">
        <f aca="false">E26*$B$16</f>
        <v>45</v>
      </c>
      <c r="F27" s="89" t="n">
        <f aca="false">F26*$B$16</f>
        <v>45</v>
      </c>
      <c r="G27" s="89" t="n">
        <f aca="false">G26*$B$16</f>
        <v>45</v>
      </c>
      <c r="H27" s="89" t="n">
        <f aca="false">H26*$B$16</f>
        <v>45</v>
      </c>
    </row>
    <row r="28" customFormat="false" ht="15" hidden="false" customHeight="true" outlineLevel="0" collapsed="false">
      <c r="A28" s="90" t="s">
        <v>180</v>
      </c>
      <c r="B28" s="91" t="n">
        <f aca="false">IF(B26=0,0,(B26-B27)/B26)</f>
        <v>0.6</v>
      </c>
      <c r="C28" s="91" t="n">
        <f aca="false">IF(C26=0,0,(C26-C27)/C26)</f>
        <v>0.9</v>
      </c>
      <c r="D28" s="91" t="n">
        <f aca="false">IF(D26=0,0,(D26-D27)/D26)</f>
        <v>0.9</v>
      </c>
      <c r="E28" s="91" t="n">
        <f aca="false">IF(E26=0,0,(E26-E27)/E26)</f>
        <v>0.9</v>
      </c>
      <c r="F28" s="91" t="n">
        <f aca="false">IF(F26=0,0,(F26-F27)/F26)</f>
        <v>0.9</v>
      </c>
      <c r="G28" s="91" t="n">
        <f aca="false">IF(G26=0,0,(G26-G27)/G26)</f>
        <v>0.9</v>
      </c>
      <c r="H28" s="91" t="n">
        <f aca="false">IF(H26=0,0,(H26-H27)/H26)</f>
        <v>0.9</v>
      </c>
    </row>
    <row r="29" customFormat="false" ht="15" hidden="false" customHeight="true" outlineLevel="0" collapsed="false">
      <c r="A29" s="88" t="s">
        <v>77</v>
      </c>
      <c r="B29" s="89" t="n">
        <f aca="false">B26-B27</f>
        <v>3600</v>
      </c>
      <c r="C29" s="89" t="n">
        <f aca="false">C26-C27</f>
        <v>405</v>
      </c>
      <c r="D29" s="89" t="n">
        <f aca="false">D26-D27</f>
        <v>405</v>
      </c>
      <c r="E29" s="89" t="n">
        <f aca="false">E26-E27</f>
        <v>405</v>
      </c>
      <c r="F29" s="89" t="n">
        <f aca="false">F26-F27</f>
        <v>405</v>
      </c>
      <c r="G29" s="89" t="n">
        <f aca="false">G26-G27</f>
        <v>405</v>
      </c>
      <c r="H29" s="89" t="n">
        <f aca="false">H26-H27</f>
        <v>405</v>
      </c>
    </row>
    <row r="30" customFormat="false" ht="15" hidden="false" customHeight="true" outlineLevel="0" collapsed="false">
      <c r="A30" s="88" t="s">
        <v>78</v>
      </c>
      <c r="B30" s="89" t="n">
        <f aca="false">B26*$B$17</f>
        <v>2700</v>
      </c>
      <c r="C30" s="89" t="n">
        <f aca="false">C26*$B$18</f>
        <v>85.5</v>
      </c>
      <c r="D30" s="89" t="n">
        <f aca="false">D26*$B$18</f>
        <v>85.5</v>
      </c>
      <c r="E30" s="89" t="n">
        <f aca="false">E26*$B$18</f>
        <v>85.5</v>
      </c>
      <c r="F30" s="89" t="n">
        <f aca="false">F26*$B$18</f>
        <v>85.5</v>
      </c>
      <c r="G30" s="89" t="n">
        <f aca="false">G26*$B$18</f>
        <v>85.5</v>
      </c>
      <c r="H30" s="89" t="n">
        <f aca="false">H26*$B$18</f>
        <v>85.5</v>
      </c>
    </row>
    <row r="31" customFormat="false" ht="15" hidden="false" customHeight="true" outlineLevel="0" collapsed="false">
      <c r="A31" s="88" t="s">
        <v>79</v>
      </c>
      <c r="B31" s="89" t="n">
        <f aca="false">B29-B30</f>
        <v>900</v>
      </c>
      <c r="C31" s="89" t="n">
        <f aca="false">C29-C30</f>
        <v>319.5</v>
      </c>
      <c r="D31" s="89" t="n">
        <f aca="false">D29-D30</f>
        <v>319.5</v>
      </c>
      <c r="E31" s="89" t="n">
        <f aca="false">E29-E30</f>
        <v>319.5</v>
      </c>
      <c r="F31" s="89" t="n">
        <f aca="false">F29-F30</f>
        <v>319.5</v>
      </c>
      <c r="G31" s="89" t="n">
        <f aca="false">G29-G30</f>
        <v>319.5</v>
      </c>
      <c r="H31" s="89" t="n">
        <f aca="false">H29-H30</f>
        <v>319.5</v>
      </c>
    </row>
    <row r="32" customFormat="false" ht="15" hidden="false" customHeight="true" outlineLevel="0" collapsed="false">
      <c r="A32" s="90" t="s">
        <v>181</v>
      </c>
      <c r="B32" s="91" t="n">
        <f aca="false">IF(B26=0,0,B31/B26)</f>
        <v>0.15</v>
      </c>
      <c r="C32" s="91" t="n">
        <f aca="false">IF(C26=0,0,C31/C26)</f>
        <v>0.71</v>
      </c>
      <c r="D32" s="91" t="n">
        <f aca="false">IF(D26=0,0,D31/D26)</f>
        <v>0.71</v>
      </c>
      <c r="E32" s="91" t="n">
        <f aca="false">IF(E26=0,0,E31/E26)</f>
        <v>0.71</v>
      </c>
      <c r="F32" s="91" t="n">
        <f aca="false">IF(F26=0,0,F31/F26)</f>
        <v>0.71</v>
      </c>
      <c r="G32" s="91" t="n">
        <f aca="false">IF(G26=0,0,G31/G26)</f>
        <v>0.71</v>
      </c>
      <c r="H32" s="91" t="n">
        <f aca="false">IF(H26=0,0,H31/H26)</f>
        <v>0.71</v>
      </c>
    </row>
    <row r="33" customFormat="false" ht="15" hidden="false" customHeight="true" outlineLevel="0" collapsed="false">
      <c r="A33" s="88" t="s">
        <v>182</v>
      </c>
      <c r="B33" s="89" t="n">
        <f aca="false">B26</f>
        <v>6000</v>
      </c>
      <c r="C33" s="89" t="n">
        <f aca="false">B33+C26*1</f>
        <v>6450</v>
      </c>
      <c r="D33" s="89" t="n">
        <f aca="false">C33+D26*1</f>
        <v>6900</v>
      </c>
      <c r="E33" s="89" t="n">
        <f aca="false">D33+E26*2</f>
        <v>7800</v>
      </c>
      <c r="F33" s="89" t="n">
        <f aca="false">E33+F26*2</f>
        <v>8700</v>
      </c>
      <c r="G33" s="89" t="n">
        <f aca="false">F33+G26*3</f>
        <v>10050</v>
      </c>
      <c r="H33" s="89" t="n">
        <f aca="false">G33+H26*5</f>
        <v>12300</v>
      </c>
    </row>
    <row r="34" customFormat="false" ht="15" hidden="false" customHeight="true" outlineLevel="0" collapsed="false">
      <c r="A34" s="88" t="s">
        <v>183</v>
      </c>
      <c r="B34" s="89" t="n">
        <f aca="false">B27+B30</f>
        <v>5100</v>
      </c>
      <c r="C34" s="89" t="n">
        <f aca="false">B34+(C27+C30)*1</f>
        <v>5230.5</v>
      </c>
      <c r="D34" s="89" t="n">
        <f aca="false">C34+(D27+D30)*1</f>
        <v>5361</v>
      </c>
      <c r="E34" s="89" t="n">
        <f aca="false">D34+(E27+E30)*2</f>
        <v>5622</v>
      </c>
      <c r="F34" s="89" t="n">
        <f aca="false">E34+(F27+F30)*2</f>
        <v>5883</v>
      </c>
      <c r="G34" s="89" t="n">
        <f aca="false">F34+(G27+G30)*3</f>
        <v>6274.5</v>
      </c>
      <c r="H34" s="89" t="n">
        <f aca="false">G34+(H27+H30)*5</f>
        <v>6927</v>
      </c>
    </row>
    <row r="35" customFormat="false" ht="15" hidden="false" customHeight="true" outlineLevel="0" collapsed="false">
      <c r="A35" s="92" t="s">
        <v>82</v>
      </c>
      <c r="B35" s="93" t="n">
        <f aca="false">B33-B34</f>
        <v>900</v>
      </c>
      <c r="C35" s="93" t="n">
        <f aca="false">C33-C34</f>
        <v>1219.5</v>
      </c>
      <c r="D35" s="93" t="n">
        <f aca="false">D33-D34</f>
        <v>1539</v>
      </c>
      <c r="E35" s="93" t="n">
        <f aca="false">E33-E34</f>
        <v>2178</v>
      </c>
      <c r="F35" s="93" t="n">
        <f aca="false">F33-F34</f>
        <v>2817</v>
      </c>
      <c r="G35" s="93" t="n">
        <f aca="false">G33-G34</f>
        <v>3775.5</v>
      </c>
      <c r="H35" s="93" t="n">
        <f aca="false">H33-H34</f>
        <v>5373</v>
      </c>
    </row>
    <row r="36" customFormat="false" ht="15" hidden="false" customHeight="true" outlineLevel="0" collapsed="false">
      <c r="A36" s="88" t="s">
        <v>80</v>
      </c>
      <c r="B36" s="94" t="n">
        <v>100</v>
      </c>
      <c r="C36" s="95" t="n">
        <f aca="false">100*$B$19^1</f>
        <v>95</v>
      </c>
      <c r="D36" s="95" t="n">
        <f aca="false">100*$B$19^2</f>
        <v>90.25</v>
      </c>
      <c r="E36" s="95" t="n">
        <f aca="false">100*$B$19^4</f>
        <v>81.450625</v>
      </c>
      <c r="F36" s="95" t="n">
        <f aca="false">100*$B$19^6</f>
        <v>73.5091890625</v>
      </c>
      <c r="G36" s="95" t="n">
        <f aca="false">100*$B$19^9</f>
        <v>63.0249409724609</v>
      </c>
      <c r="H36" s="95" t="n">
        <f aca="false">100*$B$19^14</f>
        <v>48.767497911553</v>
      </c>
    </row>
    <row r="39" customFormat="false" ht="15" hidden="false" customHeight="true" outlineLevel="0" collapsed="false">
      <c r="A39" s="96" t="s">
        <v>184</v>
      </c>
      <c r="B39" s="97"/>
      <c r="C39" s="97"/>
      <c r="D39" s="97"/>
      <c r="E39" s="97"/>
      <c r="F39" s="97"/>
      <c r="G39" s="97"/>
      <c r="H39" s="97"/>
    </row>
    <row r="40" customFormat="false" ht="15" hidden="false" customHeight="true" outlineLevel="0" collapsed="false">
      <c r="A40" s="86" t="s">
        <v>58</v>
      </c>
      <c r="B40" s="87" t="s">
        <v>59</v>
      </c>
      <c r="C40" s="87" t="s">
        <v>60</v>
      </c>
      <c r="D40" s="87" t="s">
        <v>61</v>
      </c>
      <c r="E40" s="87" t="s">
        <v>63</v>
      </c>
      <c r="F40" s="87" t="s">
        <v>65</v>
      </c>
      <c r="G40" s="87" t="s">
        <v>68</v>
      </c>
      <c r="H40" s="87" t="s">
        <v>73</v>
      </c>
    </row>
    <row r="41" customFormat="false" ht="15" hidden="false" customHeight="true" outlineLevel="0" collapsed="false">
      <c r="A41" s="88" t="s">
        <v>74</v>
      </c>
      <c r="B41" s="89" t="n">
        <f aca="false">$C$6</f>
        <v>15000</v>
      </c>
      <c r="C41" s="89" t="n">
        <f aca="false">$C$6</f>
        <v>15000</v>
      </c>
      <c r="D41" s="89" t="n">
        <f aca="false">$C$6</f>
        <v>15000</v>
      </c>
      <c r="E41" s="89" t="n">
        <f aca="false">$C$6</f>
        <v>15000</v>
      </c>
      <c r="F41" s="89" t="n">
        <f aca="false">$C$6</f>
        <v>15000</v>
      </c>
      <c r="G41" s="89" t="n">
        <f aca="false">$C$6</f>
        <v>15000</v>
      </c>
      <c r="H41" s="89" t="n">
        <f aca="false">$C$6</f>
        <v>15000</v>
      </c>
    </row>
    <row r="42" customFormat="false" ht="15" hidden="false" customHeight="true" outlineLevel="0" collapsed="false">
      <c r="A42" s="88" t="s">
        <v>179</v>
      </c>
      <c r="B42" s="89" t="n">
        <f aca="false">B41*$C$8</f>
        <v>3750</v>
      </c>
      <c r="C42" s="89" t="n">
        <f aca="false">C41*$C$9</f>
        <v>1125</v>
      </c>
      <c r="D42" s="89" t="n">
        <f aca="false">D41*$C$9</f>
        <v>1125</v>
      </c>
      <c r="E42" s="89" t="n">
        <f aca="false">E41*$C$9</f>
        <v>1125</v>
      </c>
      <c r="F42" s="89" t="n">
        <f aca="false">F41*$C$9</f>
        <v>1125</v>
      </c>
      <c r="G42" s="89" t="n">
        <f aca="false">G41*$C$9</f>
        <v>1125</v>
      </c>
      <c r="H42" s="89" t="n">
        <f aca="false">H41*$C$9</f>
        <v>1125</v>
      </c>
    </row>
    <row r="43" customFormat="false" ht="15" hidden="false" customHeight="true" outlineLevel="0" collapsed="false">
      <c r="A43" s="88" t="s">
        <v>76</v>
      </c>
      <c r="B43" s="89" t="n">
        <f aca="false">B41*$B$8*$B$15</f>
        <v>2400</v>
      </c>
      <c r="C43" s="89" t="n">
        <f aca="false">C42*$B$16</f>
        <v>112.5</v>
      </c>
      <c r="D43" s="89" t="n">
        <f aca="false">D42*$B$16</f>
        <v>112.5</v>
      </c>
      <c r="E43" s="89" t="n">
        <f aca="false">E42*$B$16</f>
        <v>112.5</v>
      </c>
      <c r="F43" s="89" t="n">
        <f aca="false">F42*$B$16</f>
        <v>112.5</v>
      </c>
      <c r="G43" s="89" t="n">
        <f aca="false">G42*$B$16</f>
        <v>112.5</v>
      </c>
      <c r="H43" s="89" t="n">
        <f aca="false">H42*$B$16</f>
        <v>112.5</v>
      </c>
    </row>
    <row r="44" customFormat="false" ht="15" hidden="false" customHeight="true" outlineLevel="0" collapsed="false">
      <c r="A44" s="98" t="s">
        <v>180</v>
      </c>
      <c r="B44" s="99" t="n">
        <f aca="false">IF(B42=0,0,(B42-B43)/B42)</f>
        <v>0.36</v>
      </c>
      <c r="C44" s="99" t="n">
        <f aca="false">IF(C42=0,0,(C42-C43)/C42)</f>
        <v>0.9</v>
      </c>
      <c r="D44" s="99" t="n">
        <f aca="false">IF(D42=0,0,(D42-D43)/D42)</f>
        <v>0.9</v>
      </c>
      <c r="E44" s="99" t="n">
        <f aca="false">IF(E42=0,0,(E42-E43)/E42)</f>
        <v>0.9</v>
      </c>
      <c r="F44" s="99" t="n">
        <f aca="false">IF(F42=0,0,(F42-F43)/F42)</f>
        <v>0.9</v>
      </c>
      <c r="G44" s="99" t="n">
        <f aca="false">IF(G42=0,0,(G42-G43)/G42)</f>
        <v>0.9</v>
      </c>
      <c r="H44" s="99" t="n">
        <f aca="false">IF(H42=0,0,(H42-H43)/H42)</f>
        <v>0.9</v>
      </c>
    </row>
    <row r="45" customFormat="false" ht="15" hidden="false" customHeight="true" outlineLevel="0" collapsed="false">
      <c r="A45" s="88" t="s">
        <v>77</v>
      </c>
      <c r="B45" s="89" t="n">
        <f aca="false">B42-B43</f>
        <v>1350</v>
      </c>
      <c r="C45" s="89" t="n">
        <f aca="false">C42-C43</f>
        <v>1012.5</v>
      </c>
      <c r="D45" s="89" t="n">
        <f aca="false">D42-D43</f>
        <v>1012.5</v>
      </c>
      <c r="E45" s="89" t="n">
        <f aca="false">E42-E43</f>
        <v>1012.5</v>
      </c>
      <c r="F45" s="89" t="n">
        <f aca="false">F42-F43</f>
        <v>1012.5</v>
      </c>
      <c r="G45" s="89" t="n">
        <f aca="false">G42-G43</f>
        <v>1012.5</v>
      </c>
      <c r="H45" s="89" t="n">
        <f aca="false">H42-H43</f>
        <v>1012.5</v>
      </c>
    </row>
    <row r="46" customFormat="false" ht="15" hidden="false" customHeight="true" outlineLevel="0" collapsed="false">
      <c r="A46" s="88" t="s">
        <v>78</v>
      </c>
      <c r="B46" s="89" t="n">
        <f aca="false">B41*$B$8*$B$17</f>
        <v>2700</v>
      </c>
      <c r="C46" s="89" t="n">
        <f aca="false">C42*$B$18</f>
        <v>213.75</v>
      </c>
      <c r="D46" s="89" t="n">
        <f aca="false">D42*$B$18</f>
        <v>213.75</v>
      </c>
      <c r="E46" s="89" t="n">
        <f aca="false">E42*$B$18</f>
        <v>213.75</v>
      </c>
      <c r="F46" s="89" t="n">
        <f aca="false">F42*$B$18</f>
        <v>213.75</v>
      </c>
      <c r="G46" s="89" t="n">
        <f aca="false">G42*$B$18</f>
        <v>213.75</v>
      </c>
      <c r="H46" s="89" t="n">
        <f aca="false">H42*$B$18</f>
        <v>213.75</v>
      </c>
    </row>
    <row r="47" customFormat="false" ht="15" hidden="false" customHeight="true" outlineLevel="0" collapsed="false">
      <c r="A47" s="88" t="s">
        <v>79</v>
      </c>
      <c r="B47" s="89" t="n">
        <f aca="false">B45-B46</f>
        <v>-1350</v>
      </c>
      <c r="C47" s="89" t="n">
        <f aca="false">C45-C46</f>
        <v>798.75</v>
      </c>
      <c r="D47" s="89" t="n">
        <f aca="false">D45-D46</f>
        <v>798.75</v>
      </c>
      <c r="E47" s="89" t="n">
        <f aca="false">E45-E46</f>
        <v>798.75</v>
      </c>
      <c r="F47" s="89" t="n">
        <f aca="false">F45-F46</f>
        <v>798.75</v>
      </c>
      <c r="G47" s="89" t="n">
        <f aca="false">G45-G46</f>
        <v>798.75</v>
      </c>
      <c r="H47" s="89" t="n">
        <f aca="false">H45-H46</f>
        <v>798.75</v>
      </c>
    </row>
    <row r="48" customFormat="false" ht="15" hidden="false" customHeight="true" outlineLevel="0" collapsed="false">
      <c r="A48" s="98" t="s">
        <v>181</v>
      </c>
      <c r="B48" s="99" t="n">
        <f aca="false">IF(B42=0,0,B47/B42)</f>
        <v>-0.36</v>
      </c>
      <c r="C48" s="99" t="n">
        <f aca="false">IF(C42=0,0,C47/C42)</f>
        <v>0.71</v>
      </c>
      <c r="D48" s="99" t="n">
        <f aca="false">IF(D42=0,0,D47/D42)</f>
        <v>0.71</v>
      </c>
      <c r="E48" s="99" t="n">
        <f aca="false">IF(E42=0,0,E47/E42)</f>
        <v>0.71</v>
      </c>
      <c r="F48" s="99" t="n">
        <f aca="false">IF(F42=0,0,F47/F42)</f>
        <v>0.71</v>
      </c>
      <c r="G48" s="99" t="n">
        <f aca="false">IF(G42=0,0,G47/G42)</f>
        <v>0.71</v>
      </c>
      <c r="H48" s="99" t="n">
        <f aca="false">IF(H42=0,0,H47/H42)</f>
        <v>0.71</v>
      </c>
    </row>
    <row r="49" customFormat="false" ht="15" hidden="false" customHeight="true" outlineLevel="0" collapsed="false">
      <c r="A49" s="88" t="s">
        <v>182</v>
      </c>
      <c r="B49" s="89" t="n">
        <f aca="false">B42</f>
        <v>3750</v>
      </c>
      <c r="C49" s="89" t="n">
        <f aca="false">B49+C42*1</f>
        <v>4875</v>
      </c>
      <c r="D49" s="89" t="n">
        <f aca="false">C49+D42*1</f>
        <v>6000</v>
      </c>
      <c r="E49" s="89" t="n">
        <f aca="false">D49+E42*2</f>
        <v>8250</v>
      </c>
      <c r="F49" s="89" t="n">
        <f aca="false">E49+F42*2</f>
        <v>10500</v>
      </c>
      <c r="G49" s="89" t="n">
        <f aca="false">F49+G42*3</f>
        <v>13875</v>
      </c>
      <c r="H49" s="89" t="n">
        <f aca="false">G49+H42*5</f>
        <v>19500</v>
      </c>
    </row>
    <row r="50" customFormat="false" ht="15" hidden="false" customHeight="true" outlineLevel="0" collapsed="false">
      <c r="A50" s="88" t="s">
        <v>183</v>
      </c>
      <c r="B50" s="89" t="n">
        <f aca="false">B43+B46</f>
        <v>5100</v>
      </c>
      <c r="C50" s="89" t="n">
        <f aca="false">B50+(C43+C46)*1</f>
        <v>5426.25</v>
      </c>
      <c r="D50" s="89" t="n">
        <f aca="false">C50+(D43+D46)*1</f>
        <v>5752.5</v>
      </c>
      <c r="E50" s="89" t="n">
        <f aca="false">D50+(E43+E46)*2</f>
        <v>6405</v>
      </c>
      <c r="F50" s="89" t="n">
        <f aca="false">E50+(F43+F46)*2</f>
        <v>7057.5</v>
      </c>
      <c r="G50" s="89" t="n">
        <f aca="false">F50+(G43+G46)*3</f>
        <v>8036.25</v>
      </c>
      <c r="H50" s="89" t="n">
        <f aca="false">G50+(H43+H46)*5</f>
        <v>9667.5</v>
      </c>
    </row>
    <row r="51" customFormat="false" ht="15" hidden="false" customHeight="true" outlineLevel="0" collapsed="false">
      <c r="A51" s="98" t="s">
        <v>82</v>
      </c>
      <c r="B51" s="100" t="n">
        <f aca="false">B49-B50</f>
        <v>-1350</v>
      </c>
      <c r="C51" s="100" t="n">
        <f aca="false">C49-C50</f>
        <v>-551.25</v>
      </c>
      <c r="D51" s="100" t="n">
        <f aca="false">D49-D50</f>
        <v>247.5</v>
      </c>
      <c r="E51" s="100" t="n">
        <f aca="false">E49-E50</f>
        <v>1845</v>
      </c>
      <c r="F51" s="100" t="n">
        <f aca="false">F49-F50</f>
        <v>3442.5</v>
      </c>
      <c r="G51" s="100" t="n">
        <f aca="false">G49-G50</f>
        <v>5838.75</v>
      </c>
      <c r="H51" s="100" t="n">
        <f aca="false">H49-H50</f>
        <v>9832.5</v>
      </c>
    </row>
    <row r="52" customFormat="false" ht="15" hidden="false" customHeight="true" outlineLevel="0" collapsed="false">
      <c r="A52" s="88" t="s">
        <v>80</v>
      </c>
      <c r="B52" s="94" t="n">
        <v>100</v>
      </c>
      <c r="C52" s="95" t="n">
        <f aca="false">100*$C$19^1</f>
        <v>95</v>
      </c>
      <c r="D52" s="95" t="n">
        <f aca="false">100*$C$19^2</f>
        <v>90.25</v>
      </c>
      <c r="E52" s="95" t="n">
        <f aca="false">100*$C$19^4</f>
        <v>81.450625</v>
      </c>
      <c r="F52" s="95" t="n">
        <f aca="false">100*$C$19^6</f>
        <v>73.5091890625</v>
      </c>
      <c r="G52" s="95" t="n">
        <f aca="false">100*$C$19^9</f>
        <v>63.0249409724609</v>
      </c>
      <c r="H52" s="95" t="n">
        <f aca="false">100*$C$19^14</f>
        <v>48.767497911553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5" min="2" style="1" width="18"/>
  </cols>
  <sheetData>
    <row r="1" customFormat="false" ht="17.25" hidden="false" customHeight="true" outlineLevel="0" collapsed="false">
      <c r="A1" s="2" t="s">
        <v>185</v>
      </c>
    </row>
    <row r="2" customFormat="false" ht="15" hidden="false" customHeight="true" outlineLevel="0" collapsed="false">
      <c r="A2" s="3" t="s">
        <v>186</v>
      </c>
    </row>
    <row r="4" customFormat="false" ht="15" hidden="false" customHeight="true" outlineLevel="0" collapsed="false">
      <c r="A4" s="101" t="s">
        <v>58</v>
      </c>
      <c r="B4" s="102" t="s">
        <v>187</v>
      </c>
      <c r="C4" s="102" t="s">
        <v>188</v>
      </c>
      <c r="D4" s="102" t="s">
        <v>189</v>
      </c>
      <c r="E4" s="102" t="s">
        <v>190</v>
      </c>
    </row>
    <row r="5" customFormat="false" ht="15" hidden="false" customHeight="true" outlineLevel="0" collapsed="false">
      <c r="A5" s="88" t="s">
        <v>86</v>
      </c>
      <c r="B5" s="103" t="n">
        <f aca="false">'Health - Unit Economics'!B8</f>
        <v>0.2</v>
      </c>
      <c r="C5" s="103" t="n">
        <f aca="false">'Health - Unit Economics'!C8</f>
        <v>0.05</v>
      </c>
      <c r="D5" s="103" t="n">
        <f aca="false">'Term - Unit Economics'!B8</f>
        <v>0.4</v>
      </c>
      <c r="E5" s="103" t="n">
        <f aca="false">'Term - Unit Economics'!C8</f>
        <v>0.25</v>
      </c>
    </row>
    <row r="6" customFormat="false" ht="15" hidden="false" customHeight="true" outlineLevel="0" collapsed="false">
      <c r="A6" s="88" t="s">
        <v>43</v>
      </c>
      <c r="B6" s="103" t="n">
        <f aca="false">'Health - Unit Economics'!B9</f>
        <v>10500</v>
      </c>
      <c r="C6" s="103" t="n">
        <f aca="false">'Health - Unit Economics'!C9</f>
        <v>10500</v>
      </c>
      <c r="D6" s="103" t="n">
        <f aca="false">'Term - Unit Economics'!B9</f>
        <v>0.03</v>
      </c>
      <c r="E6" s="103" t="n">
        <f aca="false">'Term - Unit Economics'!C9</f>
        <v>0.075</v>
      </c>
    </row>
    <row r="7" customFormat="false" ht="15" hidden="false" customHeight="true" outlineLevel="0" collapsed="false">
      <c r="A7" s="88" t="s">
        <v>160</v>
      </c>
      <c r="B7" s="103" t="n">
        <f aca="false">'Health - Unit Economics'!B10</f>
        <v>500</v>
      </c>
      <c r="C7" s="103" t="n">
        <f aca="false">'Health - Unit Economics'!C10</f>
        <v>500</v>
      </c>
      <c r="D7" s="103" t="n">
        <f aca="false">'Term - Unit Economics'!B10</f>
        <v>0.6</v>
      </c>
      <c r="E7" s="103" t="str">
        <f aca="false">'Term - Unit Economics'!C10</f>
        <v>Derived</v>
      </c>
    </row>
    <row r="8" customFormat="false" ht="15" hidden="false" customHeight="true" outlineLevel="0" collapsed="false">
      <c r="A8" s="88" t="s">
        <v>163</v>
      </c>
      <c r="B8" s="103" t="n">
        <f aca="false">'Health - Unit Economics'!B11</f>
        <v>0.2</v>
      </c>
      <c r="C8" s="103" t="n">
        <f aca="false">'Health - Unit Economics'!C11</f>
        <v>0.2</v>
      </c>
      <c r="D8" s="103" t="n">
        <f aca="false">'Term - Unit Economics'!B11</f>
        <v>0.9</v>
      </c>
      <c r="E8" s="103" t="str">
        <f aca="false">'Term - Unit Economics'!C11</f>
        <v>Derived</v>
      </c>
    </row>
    <row r="9" customFormat="false" ht="15" hidden="false" customHeight="true" outlineLevel="0" collapsed="false">
      <c r="A9" s="88" t="s">
        <v>164</v>
      </c>
      <c r="B9" s="103" t="n">
        <f aca="false">'Health - Unit Economics'!B12</f>
        <v>0.1</v>
      </c>
      <c r="C9" s="103" t="n">
        <f aca="false">'Health - Unit Economics'!C12</f>
        <v>0.1</v>
      </c>
      <c r="D9" s="103" t="n">
        <f aca="false">'Term - Unit Economics'!B12</f>
        <v>0.15</v>
      </c>
      <c r="E9" s="103" t="str">
        <f aca="false">'Term - Unit Economics'!C12</f>
        <v>Derived</v>
      </c>
    </row>
    <row r="10" customFormat="false" ht="15" hidden="false" customHeight="true" outlineLevel="0" collapsed="false">
      <c r="A10" s="88" t="s">
        <v>165</v>
      </c>
      <c r="B10" s="103" t="n">
        <f aca="false">'Health - Unit Economics'!B13</f>
        <v>0.9</v>
      </c>
      <c r="C10" s="103" t="n">
        <f aca="false">'Health - Unit Economics'!C13</f>
        <v>0.85</v>
      </c>
      <c r="D10" s="103" t="n">
        <f aca="false">'Term - Unit Economics'!B13</f>
        <v>0.7</v>
      </c>
      <c r="E10" s="103" t="str">
        <f aca="false">'Term - Unit Economics'!C13</f>
        <v>Derived</v>
      </c>
    </row>
    <row r="11" customFormat="false" ht="15" hidden="false" customHeight="true" outlineLevel="0" collapsed="false">
      <c r="A11" s="88" t="s">
        <v>191</v>
      </c>
      <c r="B11" s="103" t="n">
        <f aca="false">'Health - Unit Economics'!B15</f>
        <v>0</v>
      </c>
      <c r="C11" s="103"/>
      <c r="D11" s="103" t="n">
        <f aca="false">'Term - Unit Economics'!B15</f>
        <v>0.4</v>
      </c>
      <c r="E11" s="103"/>
    </row>
    <row r="12" customFormat="false" ht="15" hidden="false" customHeight="true" outlineLevel="0" collapsed="false">
      <c r="A12" s="88" t="s">
        <v>192</v>
      </c>
      <c r="B12" s="103" t="n">
        <f aca="false">'Health - Unit Economics'!B16</f>
        <v>0</v>
      </c>
      <c r="C12" s="103"/>
      <c r="D12" s="103" t="n">
        <f aca="false">'Term - Unit Economics'!B16</f>
        <v>0.1</v>
      </c>
      <c r="E12" s="103"/>
    </row>
    <row r="13" customFormat="false" ht="15" hidden="false" customHeight="true" outlineLevel="0" collapsed="false">
      <c r="A13" s="88" t="s">
        <v>95</v>
      </c>
      <c r="B13" s="103" t="n">
        <f aca="false">'Health - Unit Economics'!B19</f>
        <v>10000</v>
      </c>
      <c r="C13" s="103" t="n">
        <f aca="false">'Health - Unit Economics'!C19</f>
        <v>5400</v>
      </c>
      <c r="D13" s="103" t="n">
        <f aca="false">'Term - Unit Economics'!B19</f>
        <v>0.95</v>
      </c>
      <c r="E13" s="103" t="n">
        <f aca="false">'Term - Unit Economics'!C19</f>
        <v>0.95</v>
      </c>
    </row>
    <row r="16" customFormat="false" ht="15" hidden="false" customHeight="true" outlineLevel="0" collapsed="false">
      <c r="A16" s="104" t="s">
        <v>142</v>
      </c>
      <c r="B16" s="105"/>
      <c r="C16" s="105"/>
      <c r="D16" s="105"/>
      <c r="E16" s="105"/>
    </row>
    <row r="17" customFormat="false" ht="15" hidden="false" customHeight="true" outlineLevel="0" collapsed="false">
      <c r="A17" s="106" t="s">
        <v>193</v>
      </c>
      <c r="B17" s="106"/>
      <c r="C17" s="106"/>
      <c r="D17" s="106"/>
      <c r="E17" s="106"/>
    </row>
    <row r="18" customFormat="false" ht="15" hidden="false" customHeight="true" outlineLevel="0" collapsed="false">
      <c r="A18" s="106" t="s">
        <v>194</v>
      </c>
      <c r="B18" s="106"/>
      <c r="C18" s="106"/>
      <c r="D18" s="106"/>
      <c r="E18" s="106"/>
    </row>
    <row r="19" customFormat="false" ht="15" hidden="false" customHeight="true" outlineLevel="0" collapsed="false">
      <c r="A19" s="106" t="s">
        <v>195</v>
      </c>
      <c r="B19" s="106"/>
      <c r="C19" s="106"/>
      <c r="D19" s="106"/>
      <c r="E19" s="106"/>
    </row>
    <row r="20" customFormat="false" ht="15" hidden="false" customHeight="true" outlineLevel="0" collapsed="false">
      <c r="A20" s="106" t="s">
        <v>196</v>
      </c>
      <c r="B20" s="106"/>
      <c r="C20" s="106"/>
      <c r="D20" s="106"/>
      <c r="E20" s="106"/>
    </row>
    <row r="21" customFormat="false" ht="15" hidden="false" customHeight="true" outlineLevel="0" collapsed="false">
      <c r="A21" s="106" t="s">
        <v>197</v>
      </c>
      <c r="B21" s="106"/>
      <c r="C21" s="106"/>
      <c r="D21" s="106"/>
      <c r="E21" s="106"/>
    </row>
    <row r="22" customFormat="false" ht="15" hidden="false" customHeight="true" outlineLevel="0" collapsed="false">
      <c r="A22" s="106" t="s">
        <v>198</v>
      </c>
      <c r="B22" s="106"/>
      <c r="C22" s="106"/>
      <c r="D22" s="106"/>
      <c r="E22" s="106"/>
    </row>
    <row r="23" customFormat="false" ht="15" hidden="false" customHeight="true" outlineLevel="0" collapsed="false">
      <c r="A23" s="106" t="s">
        <v>199</v>
      </c>
      <c r="B23" s="106"/>
      <c r="C23" s="106"/>
      <c r="D23" s="106"/>
      <c r="E23" s="106"/>
    </row>
  </sheetData>
  <mergeCells count="7">
    <mergeCell ref="A17:E17"/>
    <mergeCell ref="A18:E18"/>
    <mergeCell ref="A19:E19"/>
    <mergeCell ref="A20:E20"/>
    <mergeCell ref="A21:E21"/>
    <mergeCell ref="A22:E2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2026-10-14T11:51:20Z</dcterms:created>
  <dc:creator>openpyxl</dc:creator>
  <dc:description/>
  <dc:language>en-US</dc:language>
  <cp:lastModifiedBy/>
  <dcterms:modified xsi:type="dcterms:W3CDTF">2026-10-18T15:07:07Z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