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Y26A Segment P&amp;L (Verified)" sheetId="1" state="visible" r:id="rId1"/>
    <sheet xmlns:r="http://schemas.openxmlformats.org/officeDocument/2006/relationships" name="Health - Unit Economics" sheetId="2" state="visible" r:id="rId2"/>
    <sheet xmlns:r="http://schemas.openxmlformats.org/officeDocument/2006/relationships" name="Term - Unit Economics" sheetId="3" state="visible" r:id="rId3"/>
    <sheet xmlns:r="http://schemas.openxmlformats.org/officeDocument/2006/relationships" name="Health vs Term Comparis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"/>
    <numFmt numFmtId="165" formatCode="0.0%"/>
    <numFmt numFmtId="166" formatCode="0.0%;(0.0%);&quot;-&quot;"/>
    <numFmt numFmtId="167" formatCode="#,##0;(#,##0);&quot;-&quot;"/>
    <numFmt numFmtId="168" formatCode="₹#,##0;(₹#,##0);&quot;-&quot;"/>
    <numFmt numFmtId="169" formatCode="0.0"/>
  </numFmts>
  <fonts count="1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0000FF"/>
      <sz val="10"/>
    </font>
    <font>
      <name val="Arial"/>
      <b val="1"/>
      <sz val="11"/>
    </font>
    <font>
      <name val="Arial"/>
      <b val="1"/>
      <sz val="12"/>
    </font>
    <font>
      <name val="Arial"/>
      <b val="1"/>
      <sz val="10"/>
    </font>
    <font>
      <name val="Arial"/>
      <color rgb="00000000"/>
      <sz val="10"/>
    </font>
    <font>
      <name val="Arial"/>
      <color rgb="00666666"/>
      <sz val="9"/>
    </font>
    <font>
      <name val="Arial"/>
      <i val="1"/>
      <color rgb="00999999"/>
      <sz val="9"/>
    </font>
    <font>
      <name val="Arial"/>
      <color rgb="00008000"/>
      <sz val="10"/>
    </font>
    <font>
      <name val="Arial"/>
      <color rgb="00FF0000"/>
      <sz val="10"/>
    </font>
    <font>
      <name val="Arial"/>
      <i val="1"/>
      <sz val="10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  <fill>
      <patternFill patternType="solid">
        <fgColor rgb="00D9E2F3"/>
        <bgColor rgb="00D9E2F3"/>
      </patternFill>
    </fill>
    <fill>
      <patternFill patternType="solid">
        <fgColor rgb="00DCE6F1"/>
        <bgColor rgb="00DCE6F1"/>
      </patternFill>
    </fill>
    <fill>
      <patternFill patternType="solid">
        <fgColor rgb="00FFFF00"/>
        <bgColor rgb="00FFFF00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medium"/>
      <bottom style="double"/>
    </border>
    <border>
      <bottom style="medium"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164" fontId="4" fillId="3" borderId="1" applyAlignment="1" pivotButton="0" quotePrefix="0" xfId="0">
      <alignment horizontal="left"/>
    </xf>
    <xf numFmtId="3" fontId="4" fillId="3" borderId="1" applyAlignment="1" pivotButton="0" quotePrefix="0" xfId="0">
      <alignment horizontal="center"/>
    </xf>
    <xf numFmtId="165" fontId="4" fillId="3" borderId="1" applyAlignment="1" pivotButton="0" quotePrefix="0" xfId="0">
      <alignment horizontal="center"/>
    </xf>
    <xf numFmtId="166" fontId="4" fillId="3" borderId="1" applyAlignment="1" pivotButton="0" quotePrefix="0" xfId="0">
      <alignment horizontal="center"/>
    </xf>
    <xf numFmtId="167" fontId="4" fillId="3" borderId="1" applyAlignment="1" pivotButton="0" quotePrefix="0" xfId="0">
      <alignment horizontal="center"/>
    </xf>
    <xf numFmtId="164" fontId="4" fillId="4" borderId="1" applyAlignment="1" pivotButton="0" quotePrefix="0" xfId="0">
      <alignment horizontal="left"/>
    </xf>
    <xf numFmtId="3" fontId="4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6" fontId="4" fillId="4" borderId="1" applyAlignment="1" pivotButton="0" quotePrefix="0" xfId="0">
      <alignment horizontal="center"/>
    </xf>
    <xf numFmtId="167" fontId="4" fillId="4" borderId="1" applyAlignment="1" pivotButton="0" quotePrefix="0" xfId="0">
      <alignment horizontal="center"/>
    </xf>
    <xf numFmtId="164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4" fontId="5" fillId="5" borderId="2" applyAlignment="1" pivotButton="0" quotePrefix="0" xfId="0">
      <alignment horizontal="left"/>
    </xf>
    <xf numFmtId="3" fontId="5" fillId="5" borderId="2" applyAlignment="1" pivotButton="0" quotePrefix="0" xfId="0">
      <alignment horizontal="center"/>
    </xf>
    <xf numFmtId="165" fontId="5" fillId="5" borderId="2" applyAlignment="1" pivotButton="0" quotePrefix="0" xfId="0">
      <alignment horizontal="center"/>
    </xf>
    <xf numFmtId="166" fontId="5" fillId="5" borderId="2" applyAlignment="1" pivotButton="0" quotePrefix="0" xfId="0">
      <alignment horizontal="center"/>
    </xf>
    <xf numFmtId="167" fontId="5" fillId="5" borderId="2" applyAlignment="1" pivotButton="0" quotePrefix="0" xfId="0">
      <alignment horizontal="center"/>
    </xf>
    <xf numFmtId="0" fontId="6" fillId="0" borderId="0" pivotButton="0" quotePrefix="0" xfId="0"/>
    <xf numFmtId="3" fontId="4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0" fontId="8" fillId="0" borderId="3" pivotButton="0" quotePrefix="0" xfId="0"/>
    <xf numFmtId="0" fontId="9" fillId="0" borderId="0" pivotButton="0" quotePrefix="0" xfId="0"/>
    <xf numFmtId="168" fontId="4" fillId="7" borderId="0" pivotButton="0" quotePrefix="0" xfId="0"/>
    <xf numFmtId="0" fontId="10" fillId="0" borderId="0" pivotButton="0" quotePrefix="0" xfId="0"/>
    <xf numFmtId="166" fontId="4" fillId="7" borderId="0" pivotButton="0" quotePrefix="0" xfId="0"/>
    <xf numFmtId="0" fontId="11" fillId="0" borderId="0" pivotButton="0" quotePrefix="0" xfId="0"/>
    <xf numFmtId="0" fontId="4" fillId="7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8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center"/>
    </xf>
    <xf numFmtId="0" fontId="9" fillId="0" borderId="1" pivotButton="0" quotePrefix="0" xfId="0"/>
    <xf numFmtId="168" fontId="9" fillId="0" borderId="0" pivotButton="0" quotePrefix="0" xfId="0"/>
    <xf numFmtId="0" fontId="9" fillId="6" borderId="1" pivotButton="0" quotePrefix="0" xfId="0"/>
    <xf numFmtId="166" fontId="9" fillId="6" borderId="1" pivotButton="0" quotePrefix="0" xfId="0"/>
    <xf numFmtId="0" fontId="9" fillId="3" borderId="1" pivotButton="0" quotePrefix="0" xfId="0"/>
    <xf numFmtId="168" fontId="9" fillId="3" borderId="1" pivotButton="0" quotePrefix="0" xfId="0"/>
    <xf numFmtId="169" fontId="4" fillId="0" borderId="0" pivotButton="0" quotePrefix="0" xfId="0"/>
    <xf numFmtId="169" fontId="9" fillId="0" borderId="0" pivotButton="0" quotePrefix="0" xfId="0"/>
    <xf numFmtId="0" fontId="7" fillId="4" borderId="0" pivotButton="0" quotePrefix="0" xfId="0"/>
    <xf numFmtId="0" fontId="0" fillId="4" borderId="0" pivotButton="0" quotePrefix="0" xfId="0"/>
    <xf numFmtId="0" fontId="9" fillId="4" borderId="1" pivotButton="0" quotePrefix="0" xfId="0"/>
    <xf numFmtId="166" fontId="9" fillId="4" borderId="1" pivotButton="0" quotePrefix="0" xfId="0"/>
    <xf numFmtId="168" fontId="9" fillId="4" borderId="1" pivotButton="0" quotePrefix="0" xfId="0"/>
    <xf numFmtId="0" fontId="7" fillId="7" borderId="0" pivotButton="0" quotePrefix="0" xfId="0"/>
    <xf numFmtId="0" fontId="0" fillId="7" borderId="0" pivotButton="0" quotePrefix="0" xfId="0"/>
    <xf numFmtId="166" fontId="12" fillId="0" borderId="1" pivotButton="0" quotePrefix="0" xfId="0"/>
    <xf numFmtId="166" fontId="13" fillId="0" borderId="1" pivotButton="0" quotePrefix="0" xfId="0"/>
    <xf numFmtId="164" fontId="9" fillId="0" borderId="1" pivotButton="0" quotePrefix="0" xfId="0"/>
    <xf numFmtId="168" fontId="12" fillId="0" borderId="1" pivotButton="0" quotePrefix="0" xfId="0"/>
    <xf numFmtId="165" fontId="13" fillId="0" borderId="1" pivotButton="0" quotePrefix="0" xfId="0"/>
    <xf numFmtId="168" fontId="13" fillId="0" borderId="1" pivotButton="0" quotePrefix="0" xfId="0"/>
    <xf numFmtId="166" fontId="9" fillId="6" borderId="0" pivotButton="0" quotePrefix="0" xfId="0"/>
    <xf numFmtId="168" fontId="9" fillId="3" borderId="0" pivotButton="0" quotePrefix="0" xfId="0"/>
    <xf numFmtId="166" fontId="9" fillId="4" borderId="0" pivotButton="0" quotePrefix="0" xfId="0"/>
    <xf numFmtId="168" fontId="9" fillId="4" borderId="0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166" fontId="12" fillId="0" borderId="1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PB FINTECH — FY26A SEGMENT P&amp;L (VERIFIED)</t>
        </is>
      </c>
    </row>
    <row r="2">
      <c r="A2" s="2" t="inlineStr">
        <is>
          <t>Source: Management Presentation / Verified Image</t>
        </is>
      </c>
    </row>
    <row r="4">
      <c r="A4" s="3" t="inlineStr">
        <is>
          <t>Segment</t>
        </is>
      </c>
      <c r="B4" s="3" t="inlineStr">
        <is>
          <t>GWP (₹ Cr)</t>
        </is>
      </c>
      <c r="C4" s="3" t="inlineStr">
        <is>
          <t>Take Rate</t>
        </is>
      </c>
      <c r="D4" s="3" t="inlineStr">
        <is>
          <t>Revenue (₹ Cr)</t>
        </is>
      </c>
      <c r="E4" s="3" t="inlineStr">
        <is>
          <t>Direct Cost (₹ Cr)</t>
        </is>
      </c>
      <c r="F4" s="3" t="inlineStr">
        <is>
          <t>Contri Margin</t>
        </is>
      </c>
      <c r="G4" s="3" t="inlineStr">
        <is>
          <t>Contri Profit (₹ Cr)</t>
        </is>
      </c>
      <c r="H4" s="3" t="inlineStr">
        <is>
          <t>Indirect Cost (₹ Cr)</t>
        </is>
      </c>
      <c r="I4" s="3" t="inlineStr">
        <is>
          <t>EBITDA Margin</t>
        </is>
      </c>
      <c r="J4" s="3" t="inlineStr">
        <is>
          <t>EBITDA (₹ Cr)</t>
        </is>
      </c>
    </row>
    <row r="5">
      <c r="A5" s="4" t="inlineStr">
        <is>
          <t>Term - New</t>
        </is>
      </c>
      <c r="B5" s="5" t="n">
        <v>2688</v>
      </c>
      <c r="C5" s="6" t="n">
        <v>0.4</v>
      </c>
      <c r="D5" s="5" t="n">
        <v>1075</v>
      </c>
      <c r="E5" s="5" t="n">
        <v>430</v>
      </c>
      <c r="F5" s="7" t="n">
        <v>0.6</v>
      </c>
      <c r="G5" s="8" t="n">
        <v>645</v>
      </c>
      <c r="H5" s="5" t="n">
        <v>484</v>
      </c>
      <c r="I5" s="7" t="n">
        <v>0.15</v>
      </c>
      <c r="J5" s="8" t="n">
        <v>161</v>
      </c>
    </row>
    <row r="6">
      <c r="A6" s="4" t="inlineStr">
        <is>
          <t>Term - Renewal</t>
        </is>
      </c>
      <c r="B6" s="5" t="n">
        <v>2688</v>
      </c>
      <c r="C6" s="6" t="n">
        <v>0.03</v>
      </c>
      <c r="D6" s="5" t="n">
        <v>67</v>
      </c>
      <c r="E6" s="5" t="n">
        <v>7</v>
      </c>
      <c r="F6" s="7" t="n">
        <v>0.9</v>
      </c>
      <c r="G6" s="8" t="n">
        <v>60</v>
      </c>
      <c r="H6" s="5" t="n">
        <v>13</v>
      </c>
      <c r="I6" s="7" t="n">
        <v>0.7</v>
      </c>
      <c r="J6" s="8" t="n">
        <v>47</v>
      </c>
    </row>
    <row r="7">
      <c r="A7" s="9" t="inlineStr">
        <is>
          <t>Health - New</t>
        </is>
      </c>
      <c r="B7" s="10" t="n">
        <v>2688</v>
      </c>
      <c r="C7" s="11" t="n">
        <v>0.4</v>
      </c>
      <c r="D7" s="10" t="n">
        <v>1075</v>
      </c>
      <c r="E7" s="10" t="n">
        <v>1129</v>
      </c>
      <c r="F7" s="12" t="n">
        <v>-0.05</v>
      </c>
      <c r="G7" s="13" t="n">
        <v>-54</v>
      </c>
      <c r="H7" s="10" t="n">
        <v>54</v>
      </c>
      <c r="I7" s="12" t="n">
        <v>-0.1</v>
      </c>
      <c r="J7" s="13" t="n">
        <v>-108</v>
      </c>
    </row>
    <row r="8">
      <c r="A8" s="9" t="inlineStr">
        <is>
          <t>Health - Renewal</t>
        </is>
      </c>
      <c r="B8" s="10" t="n">
        <v>2688</v>
      </c>
      <c r="C8" s="11" t="n">
        <v>0.2</v>
      </c>
      <c r="D8" s="10" t="n">
        <v>538</v>
      </c>
      <c r="E8" s="10" t="n">
        <v>108</v>
      </c>
      <c r="F8" s="12" t="n">
        <v>0.8</v>
      </c>
      <c r="G8" s="13" t="n">
        <v>430</v>
      </c>
      <c r="H8" s="10" t="n">
        <v>54</v>
      </c>
      <c r="I8" s="12" t="n">
        <v>0.7</v>
      </c>
      <c r="J8" s="13" t="n">
        <v>376</v>
      </c>
    </row>
    <row r="9">
      <c r="A9" s="14" t="inlineStr">
        <is>
          <t>ULIP - New</t>
        </is>
      </c>
      <c r="B9" s="15" t="n">
        <v>3010</v>
      </c>
      <c r="C9" s="16" t="n">
        <v>0.12</v>
      </c>
      <c r="D9" s="15" t="n">
        <v>361</v>
      </c>
      <c r="E9" s="15" t="n">
        <v>217</v>
      </c>
      <c r="F9" s="17" t="n">
        <v>0.4</v>
      </c>
      <c r="G9" s="18" t="n">
        <v>144</v>
      </c>
      <c r="H9" s="15" t="n">
        <v>116</v>
      </c>
      <c r="I9" s="17" t="n">
        <v>0.08</v>
      </c>
      <c r="J9" s="18" t="n">
        <v>29</v>
      </c>
    </row>
    <row r="10">
      <c r="A10" s="14" t="inlineStr">
        <is>
          <t>ULIP - Renewal</t>
        </is>
      </c>
      <c r="B10" s="15" t="n">
        <v>4515</v>
      </c>
      <c r="C10" s="16" t="n">
        <v>0.01</v>
      </c>
      <c r="D10" s="15" t="n">
        <v>45</v>
      </c>
      <c r="E10" s="15" t="n">
        <v>5</v>
      </c>
      <c r="F10" s="17" t="n">
        <v>0.9</v>
      </c>
      <c r="G10" s="18" t="n">
        <v>41</v>
      </c>
      <c r="H10" s="15" t="n">
        <v>9</v>
      </c>
      <c r="I10" s="17" t="n">
        <v>0.7</v>
      </c>
      <c r="J10" s="18" t="n">
        <v>32</v>
      </c>
    </row>
    <row r="11">
      <c r="A11" s="14" t="inlineStr">
        <is>
          <t>Motor - New</t>
        </is>
      </c>
      <c r="B11" s="15" t="n">
        <v>1613</v>
      </c>
      <c r="C11" s="16" t="n">
        <v>0.2</v>
      </c>
      <c r="D11" s="15" t="n">
        <v>323</v>
      </c>
      <c r="E11" s="15" t="n">
        <v>194</v>
      </c>
      <c r="F11" s="17" t="n">
        <v>0.4</v>
      </c>
      <c r="G11" s="18" t="n">
        <v>129</v>
      </c>
      <c r="H11" s="15" t="n">
        <v>103</v>
      </c>
      <c r="I11" s="17" t="n">
        <v>0.08</v>
      </c>
      <c r="J11" s="18" t="n">
        <v>26</v>
      </c>
    </row>
    <row r="12">
      <c r="A12" s="14" t="inlineStr">
        <is>
          <t>Motor - Renewal</t>
        </is>
      </c>
      <c r="B12" s="15" t="n">
        <v>1613</v>
      </c>
      <c r="C12" s="16" t="n">
        <v>0.16</v>
      </c>
      <c r="D12" s="15" t="n">
        <v>258</v>
      </c>
      <c r="E12" s="15" t="n">
        <v>52</v>
      </c>
      <c r="F12" s="17" t="n">
        <v>0.8</v>
      </c>
      <c r="G12" s="18" t="n">
        <v>206</v>
      </c>
      <c r="H12" s="15" t="n">
        <v>26</v>
      </c>
      <c r="I12" s="17" t="n">
        <v>0.7</v>
      </c>
      <c r="J12" s="18" t="n">
        <v>181</v>
      </c>
    </row>
    <row r="13">
      <c r="A13" s="14" t="inlineStr">
        <is>
          <t>PoSP / Others</t>
        </is>
      </c>
      <c r="B13" s="15" t="n">
        <v>9500</v>
      </c>
      <c r="C13" s="16" t="n">
        <v>0.25</v>
      </c>
      <c r="D13" s="15" t="n">
        <v>2375</v>
      </c>
      <c r="E13" s="15" t="n">
        <v>2256</v>
      </c>
      <c r="F13" s="17" t="n">
        <v>0.05</v>
      </c>
      <c r="G13" s="18" t="n">
        <v>119</v>
      </c>
      <c r="H13" s="15" t="n">
        <v>214</v>
      </c>
      <c r="I13" s="17" t="n">
        <v>-0.04</v>
      </c>
      <c r="J13" s="18" t="n">
        <v>-95</v>
      </c>
    </row>
    <row r="14">
      <c r="A14" s="14" t="inlineStr">
        <is>
          <t>PaisaBazaar</t>
        </is>
      </c>
      <c r="B14" s="15" t="n">
        <v>30000</v>
      </c>
      <c r="C14" s="16" t="n">
        <v>0.021</v>
      </c>
      <c r="D14" s="15" t="n">
        <v>630</v>
      </c>
      <c r="E14" s="15" t="n">
        <v>410</v>
      </c>
      <c r="F14" s="17" t="n">
        <v>0.35</v>
      </c>
      <c r="G14" s="18" t="n">
        <v>221</v>
      </c>
      <c r="H14" s="15" t="n">
        <v>221</v>
      </c>
      <c r="I14" s="17" t="n">
        <v>0</v>
      </c>
      <c r="J14" s="18" t="n">
        <v>0</v>
      </c>
    </row>
    <row r="15">
      <c r="A15" s="19" t="inlineStr">
        <is>
          <t>CONSOLIDATED</t>
        </is>
      </c>
      <c r="B15" s="20" t="n">
        <v>31003</v>
      </c>
      <c r="C15" s="21" t="n">
        <v>0.197</v>
      </c>
      <c r="D15" s="20" t="n">
        <v>6747</v>
      </c>
      <c r="E15" s="20" t="n">
        <v>4805</v>
      </c>
      <c r="F15" s="22" t="n">
        <v>0.288</v>
      </c>
      <c r="G15" s="23" t="n">
        <v>1942</v>
      </c>
      <c r="H15" s="20" t="n">
        <v>1293</v>
      </c>
      <c r="I15" s="22" t="n">
        <v>0.096</v>
      </c>
      <c r="J15" s="23" t="n">
        <v>649</v>
      </c>
    </row>
    <row r="17">
      <c r="A17" s="24" t="inlineStr">
        <is>
          <t>Below EBITDA:</t>
        </is>
      </c>
    </row>
    <row r="18">
      <c r="A18" s="24" t="inlineStr">
        <is>
          <t>ESOPs</t>
        </is>
      </c>
      <c r="D18" s="25" t="n">
        <v>649</v>
      </c>
    </row>
    <row r="19">
      <c r="A19" s="24" t="inlineStr">
        <is>
          <t>Other Income</t>
        </is>
      </c>
      <c r="D19" s="25" t="n">
        <v>215</v>
      </c>
    </row>
    <row r="20">
      <c r="A20" s="24" t="inlineStr">
        <is>
          <t>Dep / Amortization</t>
        </is>
      </c>
      <c r="D20" s="25" t="n">
        <v>372</v>
      </c>
    </row>
    <row r="21">
      <c r="A21" s="24" t="inlineStr">
        <is>
          <t>PBT</t>
        </is>
      </c>
      <c r="D21" s="25" t="n">
        <v>175</v>
      </c>
    </row>
    <row r="22">
      <c r="A22" s="24" t="inlineStr">
        <is>
          <t>Tax Factor</t>
        </is>
      </c>
      <c r="D22" s="25" t="n">
        <v>631</v>
      </c>
      <c r="G22" s="24" t="inlineStr">
        <is>
          <t>0.95x</t>
        </is>
      </c>
    </row>
    <row r="23">
      <c r="A23" s="24" t="inlineStr">
        <is>
          <t>PAT</t>
        </is>
      </c>
      <c r="D23" s="25" t="n">
        <v>600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0000"/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HEALTH INSURANCE — Distributor Unit Economics (Per Customer)</t>
        </is>
      </c>
    </row>
    <row r="2">
      <c r="A2" s="2" t="inlineStr">
        <is>
          <t>Aligned to PB Fintech FY26A Verified Segment P&amp;L</t>
        </is>
      </c>
    </row>
    <row r="4">
      <c r="A4" s="26" t="inlineStr">
        <is>
          <t>KEY ASSUMPTIONS</t>
        </is>
      </c>
      <c r="B4" s="27" t="n"/>
      <c r="C4" s="27" t="n"/>
      <c r="D4" s="27" t="n"/>
    </row>
    <row r="5">
      <c r="A5" s="28" t="inlineStr">
        <is>
          <t>Assumption</t>
        </is>
      </c>
      <c r="B5" s="28" t="inlineStr">
        <is>
          <t>Pre-Reg (Actual)</t>
        </is>
      </c>
      <c r="C5" s="28" t="inlineStr">
        <is>
          <t>Post-Reg (Proposed)</t>
        </is>
      </c>
      <c r="D5" s="28" t="inlineStr">
        <is>
          <t>Note</t>
        </is>
      </c>
    </row>
    <row r="6">
      <c r="A6" s="29" t="inlineStr">
        <is>
          <t>Annual Premium (Year 1)</t>
        </is>
      </c>
      <c r="B6" s="30" t="n">
        <v>25000</v>
      </c>
      <c r="C6" s="30" t="n">
        <v>25000</v>
      </c>
      <c r="D6" s="31" t="inlineStr">
        <is>
          <t>INR — avg retail health policy</t>
        </is>
      </c>
    </row>
    <row r="7">
      <c r="A7" s="29" t="inlineStr">
        <is>
          <t>Annual Premium Growth</t>
        </is>
      </c>
      <c r="B7" s="32" t="n">
        <v>0.08</v>
      </c>
      <c r="C7" s="32" t="n">
        <v>0.08</v>
      </c>
      <c r="D7" s="31" t="inlineStr">
        <is>
          <t>Age + inflation + SI increase</t>
        </is>
      </c>
    </row>
    <row r="8">
      <c r="A8" s="29" t="inlineStr">
        <is>
          <t>FY Take Rate (Commission)</t>
        </is>
      </c>
      <c r="B8" s="32" t="n">
        <v>0.4</v>
      </c>
      <c r="C8" s="32" t="n">
        <v>0.15</v>
      </c>
      <c r="D8" s="31" t="inlineStr">
        <is>
          <t>Actual PB: 40% | Proposed IDE cap: 15%</t>
        </is>
      </c>
    </row>
    <row r="9">
      <c r="A9" s="29" t="inlineStr">
        <is>
          <t>Renewal Take Rate</t>
        </is>
      </c>
      <c r="B9" s="32" t="n">
        <v>0.2</v>
      </c>
      <c r="C9" s="32" t="n">
        <v>0.05</v>
      </c>
      <c r="D9" s="31" t="inlineStr">
        <is>
          <t>Actual PB: 20% | Proposed IDE cap: 5%</t>
        </is>
      </c>
    </row>
    <row r="10">
      <c r="A10" s="29" t="inlineStr">
        <is>
          <t>FY Contribution Margin</t>
        </is>
      </c>
      <c r="B10" s="32" t="n">
        <v>-0.05</v>
      </c>
      <c r="C10" s="33" t="inlineStr">
        <is>
          <t>Derived</t>
        </is>
      </c>
      <c r="D10" s="31" t="inlineStr">
        <is>
          <t>From verified P&amp;L: Direct cost &gt; Revenue</t>
        </is>
      </c>
    </row>
    <row r="11">
      <c r="A11" s="29" t="inlineStr">
        <is>
          <t>Renewal Contribution Margin</t>
        </is>
      </c>
      <c r="B11" s="32" t="n">
        <v>0.8</v>
      </c>
      <c r="C11" s="33" t="inlineStr">
        <is>
          <t>Derived</t>
        </is>
      </c>
      <c r="D11" s="31" t="inlineStr">
        <is>
          <t>From verified P&amp;L</t>
        </is>
      </c>
    </row>
    <row r="12">
      <c r="A12" s="29" t="inlineStr">
        <is>
          <t>FY EBITDA Margin</t>
        </is>
      </c>
      <c r="B12" s="32" t="n">
        <v>-0.1</v>
      </c>
      <c r="C12" s="33" t="inlineStr">
        <is>
          <t>Derived</t>
        </is>
      </c>
      <c r="D12" s="31" t="inlineStr">
        <is>
          <t>From verified P&amp;L: incl. indirect costs</t>
        </is>
      </c>
    </row>
    <row r="13">
      <c r="A13" s="29" t="inlineStr">
        <is>
          <t>Renewal EBITDA Margin</t>
        </is>
      </c>
      <c r="B13" s="32" t="n">
        <v>0.7</v>
      </c>
      <c r="C13" s="33" t="inlineStr">
        <is>
          <t>Derived</t>
        </is>
      </c>
      <c r="D13" s="31" t="inlineStr">
        <is>
          <t>From verified P&amp;L</t>
        </is>
      </c>
    </row>
    <row r="14">
      <c r="A14" s="29" t="inlineStr">
        <is>
          <t>CAC (Fully Loaded per Customer)</t>
        </is>
      </c>
      <c r="B14" s="30" t="n">
        <v>10000</v>
      </c>
      <c r="C14" s="30" t="n">
        <v>10000</v>
      </c>
      <c r="D14" s="31" t="inlineStr">
        <is>
          <t>Incl. failed leads, advisor time, verification</t>
        </is>
      </c>
    </row>
    <row r="15">
      <c r="A15" s="29" t="inlineStr">
        <is>
          <t>Direct Cost as % of Revenue (New)</t>
        </is>
      </c>
      <c r="B15" s="32" t="n">
        <v>1.05</v>
      </c>
      <c r="C15" s="33" t="inlineStr">
        <is>
          <t>Derived</t>
        </is>
      </c>
      <c r="D15" s="31" t="inlineStr">
        <is>
          <t>Actual: ₹1,129 / ₹1,075 = 105%</t>
        </is>
      </c>
    </row>
    <row r="16">
      <c r="A16" s="29" t="inlineStr">
        <is>
          <t>Direct Cost as % of Revenue (Renewal)</t>
        </is>
      </c>
      <c r="B16" s="32" t="n">
        <v>0.2</v>
      </c>
      <c r="C16" s="33" t="inlineStr">
        <is>
          <t>Derived</t>
        </is>
      </c>
      <c r="D16" s="31" t="inlineStr">
        <is>
          <t>Actual: ₹108 / ₹538 = 20%</t>
        </is>
      </c>
    </row>
    <row r="17">
      <c r="A17" s="29" t="inlineStr">
        <is>
          <t>Indirect Cost as % of Revenue (New)</t>
        </is>
      </c>
      <c r="B17" s="32" t="n">
        <v>0.05</v>
      </c>
      <c r="C17" s="33" t="inlineStr">
        <is>
          <t>Derived</t>
        </is>
      </c>
      <c r="D17" s="31" t="inlineStr">
        <is>
          <t>Actual: ₹54 / ₹1,075 = 5%</t>
        </is>
      </c>
    </row>
    <row r="18">
      <c r="A18" s="29" t="inlineStr">
        <is>
          <t>Indirect Cost as % of Revenue (Renewal)</t>
        </is>
      </c>
      <c r="B18" s="32" t="n">
        <v>0.1</v>
      </c>
      <c r="C18" s="33" t="inlineStr">
        <is>
          <t>Derived</t>
        </is>
      </c>
      <c r="D18" s="31" t="inlineStr">
        <is>
          <t>Actual: ₹54 / ₹538 = 10%</t>
        </is>
      </c>
    </row>
    <row r="19">
      <c r="A19" s="29" t="inlineStr">
        <is>
          <t>Customer Retention Rate</t>
        </is>
      </c>
      <c r="B19" s="32" t="n">
        <v>0.9</v>
      </c>
      <c r="C19" s="32" t="n">
        <v>0.85</v>
      </c>
      <c r="D19" s="31" t="inlineStr">
        <is>
          <t>Lower commission → less servicing → lower retention</t>
        </is>
      </c>
    </row>
    <row r="20">
      <c r="A20" s="29" t="inlineStr">
        <is>
          <t>Projection Period (Years)</t>
        </is>
      </c>
      <c r="B20" s="34" t="n">
        <v>15</v>
      </c>
      <c r="C20" s="34" t="n">
        <v>15</v>
      </c>
      <c r="D20" s="31" t="inlineStr"/>
    </row>
    <row r="23">
      <c r="A23" s="35" t="inlineStr">
        <is>
          <t>YEAR-BY-YEAR ECONOMICS — PRE-REGULATION (ACTUAL PB RATES)</t>
        </is>
      </c>
      <c r="B23" s="36" t="n"/>
      <c r="C23" s="36" t="n"/>
      <c r="D23" s="36" t="n"/>
      <c r="E23" s="36" t="n"/>
      <c r="F23" s="36" t="n"/>
      <c r="G23" s="36" t="n"/>
      <c r="H23" s="36" t="n"/>
    </row>
    <row r="24">
      <c r="A24" s="37" t="inlineStr">
        <is>
          <t>Metric</t>
        </is>
      </c>
      <c r="B24" s="38" t="inlineStr">
        <is>
          <t>Year 1</t>
        </is>
      </c>
      <c r="C24" s="38" t="inlineStr">
        <is>
          <t>Year 2</t>
        </is>
      </c>
      <c r="D24" s="38" t="inlineStr">
        <is>
          <t>Year 3</t>
        </is>
      </c>
      <c r="E24" s="38" t="inlineStr">
        <is>
          <t>Year 5</t>
        </is>
      </c>
      <c r="F24" s="38" t="inlineStr">
        <is>
          <t>Year 7</t>
        </is>
      </c>
      <c r="G24" s="38" t="inlineStr">
        <is>
          <t>Year 10</t>
        </is>
      </c>
      <c r="H24" s="38" t="inlineStr">
        <is>
          <t>Year 15</t>
        </is>
      </c>
    </row>
    <row r="25">
      <c r="A25" s="39" t="inlineStr">
        <is>
          <t>Annual Premium (₹)</t>
        </is>
      </c>
      <c r="B25" s="40">
        <f>$B$6</f>
        <v/>
      </c>
      <c r="C25" s="40">
        <f>$B$6*(1+$B$7)^1</f>
        <v/>
      </c>
      <c r="D25" s="40">
        <f>$B$6*(1+$B$7)^2</f>
        <v/>
      </c>
      <c r="E25" s="40">
        <f>$B$6*(1+$B$7)^4</f>
        <v/>
      </c>
      <c r="F25" s="40">
        <f>$B$6*(1+$B$7)^6</f>
        <v/>
      </c>
      <c r="G25" s="40">
        <f>$B$6*(1+$B$7)^9</f>
        <v/>
      </c>
      <c r="H25" s="40">
        <f>$B$6*(1+$B$7)^14</f>
        <v/>
      </c>
    </row>
    <row r="26">
      <c r="A26" s="39" t="inlineStr">
        <is>
          <t>Revenue — Take Rate × Premium (₹)</t>
        </is>
      </c>
      <c r="B26" s="40">
        <f>B25*$B$8</f>
        <v/>
      </c>
      <c r="C26" s="40">
        <f>C25*$B$9</f>
        <v/>
      </c>
      <c r="D26" s="40">
        <f>D25*$B$9</f>
        <v/>
      </c>
      <c r="E26" s="40">
        <f>E25*$B$9</f>
        <v/>
      </c>
      <c r="F26" s="40">
        <f>F25*$B$9</f>
        <v/>
      </c>
      <c r="G26" s="40">
        <f>G25*$B$9</f>
        <v/>
      </c>
      <c r="H26" s="40">
        <f>H25*$B$9</f>
        <v/>
      </c>
    </row>
    <row r="27">
      <c r="A27" s="39" t="inlineStr">
        <is>
          <t>Direct Cost (₹)</t>
        </is>
      </c>
      <c r="B27" s="40">
        <f>B26*$B$15</f>
        <v/>
      </c>
      <c r="C27" s="40">
        <f>C26*$B$16</f>
        <v/>
      </c>
      <c r="D27" s="40">
        <f>D26*$B$16</f>
        <v/>
      </c>
      <c r="E27" s="40">
        <f>E26*$B$16</f>
        <v/>
      </c>
      <c r="F27" s="40">
        <f>F26*$B$16</f>
        <v/>
      </c>
      <c r="G27" s="40">
        <f>G26*$B$16</f>
        <v/>
      </c>
      <c r="H27" s="40">
        <f>H26*$B$16</f>
        <v/>
      </c>
    </row>
    <row r="28">
      <c r="A28" s="41" t="inlineStr">
        <is>
          <t>Contribution Margin (%)</t>
        </is>
      </c>
      <c r="B28" s="42">
        <f>IF(B26=0,0,(B26-B27)/B26)</f>
        <v/>
      </c>
      <c r="C28" s="42">
        <f>IF(C26=0,0,(C26-C27)/C26)</f>
        <v/>
      </c>
      <c r="D28" s="42">
        <f>IF(D26=0,0,(D26-D27)/D26)</f>
        <v/>
      </c>
      <c r="E28" s="42">
        <f>IF(E26=0,0,(E26-E27)/E26)</f>
        <v/>
      </c>
      <c r="F28" s="42">
        <f>IF(F26=0,0,(F26-F27)/F26)</f>
        <v/>
      </c>
      <c r="G28" s="42">
        <f>IF(G26=0,0,(G26-G27)/G26)</f>
        <v/>
      </c>
      <c r="H28" s="42">
        <f>IF(H26=0,0,(H26-H27)/H26)</f>
        <v/>
      </c>
    </row>
    <row r="29">
      <c r="A29" s="39" t="inlineStr">
        <is>
          <t>Contribution Profit (₹)</t>
        </is>
      </c>
      <c r="B29" s="40">
        <f>B26-B27</f>
        <v/>
      </c>
      <c r="C29" s="40">
        <f>C26-C27</f>
        <v/>
      </c>
      <c r="D29" s="40">
        <f>D26-D27</f>
        <v/>
      </c>
      <c r="E29" s="40">
        <f>E26-E27</f>
        <v/>
      </c>
      <c r="F29" s="40">
        <f>F26-F27</f>
        <v/>
      </c>
      <c r="G29" s="40">
        <f>G26-G27</f>
        <v/>
      </c>
      <c r="H29" s="40">
        <f>H26-H27</f>
        <v/>
      </c>
    </row>
    <row r="30">
      <c r="A30" s="39" t="inlineStr">
        <is>
          <t>Indirect Cost (₹)</t>
        </is>
      </c>
      <c r="B30" s="40">
        <f>B26*$B$17</f>
        <v/>
      </c>
      <c r="C30" s="40">
        <f>C26*$B$18</f>
        <v/>
      </c>
      <c r="D30" s="40">
        <f>D26*$B$18</f>
        <v/>
      </c>
      <c r="E30" s="40">
        <f>E26*$B$18</f>
        <v/>
      </c>
      <c r="F30" s="40">
        <f>F26*$B$18</f>
        <v/>
      </c>
      <c r="G30" s="40">
        <f>G26*$B$18</f>
        <v/>
      </c>
      <c r="H30" s="40">
        <f>H26*$B$18</f>
        <v/>
      </c>
    </row>
    <row r="31">
      <c r="A31" s="39" t="inlineStr">
        <is>
          <t>EBITDA (₹)</t>
        </is>
      </c>
      <c r="B31" s="40">
        <f>B29-B30</f>
        <v/>
      </c>
      <c r="C31" s="40">
        <f>C29-C30</f>
        <v/>
      </c>
      <c r="D31" s="40">
        <f>D29-D30</f>
        <v/>
      </c>
      <c r="E31" s="40">
        <f>E29-E30</f>
        <v/>
      </c>
      <c r="F31" s="40">
        <f>F29-F30</f>
        <v/>
      </c>
      <c r="G31" s="40">
        <f>G29-G30</f>
        <v/>
      </c>
      <c r="H31" s="40">
        <f>H29-H30</f>
        <v/>
      </c>
    </row>
    <row r="32">
      <c r="A32" s="41" t="inlineStr">
        <is>
          <t>EBITDA Margin (%)</t>
        </is>
      </c>
      <c r="B32" s="42">
        <f>IF(B26=0,0,B31/B26)</f>
        <v/>
      </c>
      <c r="C32" s="42">
        <f>IF(C26=0,0,C31/C26)</f>
        <v/>
      </c>
      <c r="D32" s="42">
        <f>IF(D26=0,0,D31/D26)</f>
        <v/>
      </c>
      <c r="E32" s="42">
        <f>IF(E26=0,0,E31/E26)</f>
        <v/>
      </c>
      <c r="F32" s="42">
        <f>IF(F26=0,0,F31/F26)</f>
        <v/>
      </c>
      <c r="G32" s="42">
        <f>IF(G26=0,0,G31/G26)</f>
        <v/>
      </c>
      <c r="H32" s="42">
        <f>IF(H26=0,0,H31/H26)</f>
        <v/>
      </c>
    </row>
    <row r="33">
      <c r="A33" s="39" t="inlineStr">
        <is>
          <t>Cumulative Revenue (₹)</t>
        </is>
      </c>
      <c r="B33" s="40">
        <f>B26</f>
        <v/>
      </c>
      <c r="C33" s="40">
        <f>B33+C26*1</f>
        <v/>
      </c>
      <c r="D33" s="40">
        <f>C33+D26*1</f>
        <v/>
      </c>
      <c r="E33" s="40">
        <f>D33+E26*2</f>
        <v/>
      </c>
      <c r="F33" s="40">
        <f>E33+F26*2</f>
        <v/>
      </c>
      <c r="G33" s="40">
        <f>F33+G26*3</f>
        <v/>
      </c>
      <c r="H33" s="40">
        <f>G33+H26*5</f>
        <v/>
      </c>
    </row>
    <row r="34">
      <c r="A34" s="39" t="inlineStr">
        <is>
          <t>Cumulative Cost (₹)</t>
        </is>
      </c>
      <c r="B34" s="40">
        <f>B27+B30</f>
        <v/>
      </c>
      <c r="C34" s="40">
        <f>B34+(C27+C30)*1</f>
        <v/>
      </c>
      <c r="D34" s="40">
        <f>C34+(D27+D30)*1</f>
        <v/>
      </c>
      <c r="E34" s="40">
        <f>D34+(E27+E30)*2</f>
        <v/>
      </c>
      <c r="F34" s="40">
        <f>E34+(F27+F30)*2</f>
        <v/>
      </c>
      <c r="G34" s="40">
        <f>F34+(G27+G30)*3</f>
        <v/>
      </c>
      <c r="H34" s="40">
        <f>G34+(H27+H30)*5</f>
        <v/>
      </c>
    </row>
    <row r="35">
      <c r="A35" s="43" t="inlineStr">
        <is>
          <t>Cumulative Profit (₹)</t>
        </is>
      </c>
      <c r="B35" s="44">
        <f>B33-B34</f>
        <v/>
      </c>
      <c r="C35" s="44">
        <f>C33-C34</f>
        <v/>
      </c>
      <c r="D35" s="44">
        <f>D33-D34</f>
        <v/>
      </c>
      <c r="E35" s="44">
        <f>E33-E34</f>
        <v/>
      </c>
      <c r="F35" s="44">
        <f>F33-F34</f>
        <v/>
      </c>
      <c r="G35" s="44">
        <f>G33-G34</f>
        <v/>
      </c>
      <c r="H35" s="44">
        <f>H33-H34</f>
        <v/>
      </c>
    </row>
    <row r="36">
      <c r="A36" s="39" t="inlineStr">
        <is>
          <t>Surviving Customers (of 100)</t>
        </is>
      </c>
      <c r="B36" s="45" t="n">
        <v>100</v>
      </c>
      <c r="C36" s="46">
        <f>100*$B$19^1</f>
        <v/>
      </c>
      <c r="D36" s="46">
        <f>100*$B$19^2</f>
        <v/>
      </c>
      <c r="E36" s="46">
        <f>100*$B$19^4</f>
        <v/>
      </c>
      <c r="F36" s="46">
        <f>100*$B$19^6</f>
        <v/>
      </c>
      <c r="G36" s="46">
        <f>100*$B$19^9</f>
        <v/>
      </c>
      <c r="H36" s="46">
        <f>100*$B$19^14</f>
        <v/>
      </c>
    </row>
    <row r="39">
      <c r="A39" s="47" t="inlineStr">
        <is>
          <t>YEAR-BY-YEAR ECONOMICS — POST-REGULATION (PROPOSED CAPS)</t>
        </is>
      </c>
      <c r="B39" s="48" t="n"/>
      <c r="C39" s="48" t="n"/>
      <c r="D39" s="48" t="n"/>
      <c r="E39" s="48" t="n"/>
      <c r="F39" s="48" t="n"/>
      <c r="G39" s="48" t="n"/>
      <c r="H39" s="48" t="n"/>
    </row>
    <row r="40">
      <c r="A40" s="37" t="inlineStr">
        <is>
          <t>Metric</t>
        </is>
      </c>
      <c r="B40" s="38" t="inlineStr">
        <is>
          <t>Year 1</t>
        </is>
      </c>
      <c r="C40" s="38" t="inlineStr">
        <is>
          <t>Year 2</t>
        </is>
      </c>
      <c r="D40" s="38" t="inlineStr">
        <is>
          <t>Year 3</t>
        </is>
      </c>
      <c r="E40" s="38" t="inlineStr">
        <is>
          <t>Year 5</t>
        </is>
      </c>
      <c r="F40" s="38" t="inlineStr">
        <is>
          <t>Year 7</t>
        </is>
      </c>
      <c r="G40" s="38" t="inlineStr">
        <is>
          <t>Year 10</t>
        </is>
      </c>
      <c r="H40" s="38" t="inlineStr">
        <is>
          <t>Year 15</t>
        </is>
      </c>
    </row>
    <row r="41">
      <c r="A41" s="39" t="inlineStr">
        <is>
          <t>Annual Premium (₹)</t>
        </is>
      </c>
      <c r="B41" s="40">
        <f>$C$6</f>
        <v/>
      </c>
      <c r="C41" s="40">
        <f>$C$6*(1+$C$7)^1</f>
        <v/>
      </c>
      <c r="D41" s="40">
        <f>$C$6*(1+$C$7)^2</f>
        <v/>
      </c>
      <c r="E41" s="40">
        <f>$C$6*(1+$C$7)^4</f>
        <v/>
      </c>
      <c r="F41" s="40">
        <f>$C$6*(1+$C$7)^6</f>
        <v/>
      </c>
      <c r="G41" s="40">
        <f>$C$6*(1+$C$7)^9</f>
        <v/>
      </c>
      <c r="H41" s="40">
        <f>$C$6*(1+$C$7)^14</f>
        <v/>
      </c>
    </row>
    <row r="42">
      <c r="A42" s="39" t="inlineStr">
        <is>
          <t>Revenue — Take Rate × Premium (₹)</t>
        </is>
      </c>
      <c r="B42" s="40">
        <f>B41*$C$8</f>
        <v/>
      </c>
      <c r="C42" s="40">
        <f>C41*$C$9</f>
        <v/>
      </c>
      <c r="D42" s="40">
        <f>D41*$C$9</f>
        <v/>
      </c>
      <c r="E42" s="40">
        <f>E41*$C$9</f>
        <v/>
      </c>
      <c r="F42" s="40">
        <f>F41*$C$9</f>
        <v/>
      </c>
      <c r="G42" s="40">
        <f>G41*$C$9</f>
        <v/>
      </c>
      <c r="H42" s="40">
        <f>H41*$C$9</f>
        <v/>
      </c>
    </row>
    <row r="43">
      <c r="A43" s="39" t="inlineStr">
        <is>
          <t>Direct Cost (₹)</t>
        </is>
      </c>
      <c r="B43" s="40">
        <f>B41*$B$8*$B$15</f>
        <v/>
      </c>
      <c r="C43" s="40">
        <f>C42*$B$16</f>
        <v/>
      </c>
      <c r="D43" s="40">
        <f>D42*$B$16</f>
        <v/>
      </c>
      <c r="E43" s="40">
        <f>E42*$B$16</f>
        <v/>
      </c>
      <c r="F43" s="40">
        <f>F42*$B$16</f>
        <v/>
      </c>
      <c r="G43" s="40">
        <f>G42*$B$16</f>
        <v/>
      </c>
      <c r="H43" s="40">
        <f>H42*$B$16</f>
        <v/>
      </c>
    </row>
    <row r="44">
      <c r="A44" s="49" t="inlineStr">
        <is>
          <t>Contribution Margin (%)</t>
        </is>
      </c>
      <c r="B44" s="50">
        <f>IF(B42=0,0,(B42-B43)/B42)</f>
        <v/>
      </c>
      <c r="C44" s="50">
        <f>IF(C42=0,0,(C42-C43)/C42)</f>
        <v/>
      </c>
      <c r="D44" s="50">
        <f>IF(D42=0,0,(D42-D43)/D42)</f>
        <v/>
      </c>
      <c r="E44" s="50">
        <f>IF(E42=0,0,(E42-E43)/E42)</f>
        <v/>
      </c>
      <c r="F44" s="50">
        <f>IF(F42=0,0,(F42-F43)/F42)</f>
        <v/>
      </c>
      <c r="G44" s="50">
        <f>IF(G42=0,0,(G42-G43)/G42)</f>
        <v/>
      </c>
      <c r="H44" s="50">
        <f>IF(H42=0,0,(H42-H43)/H42)</f>
        <v/>
      </c>
    </row>
    <row r="45">
      <c r="A45" s="39" t="inlineStr">
        <is>
          <t>Contribution Profit (₹)</t>
        </is>
      </c>
      <c r="B45" s="40">
        <f>B42-B43</f>
        <v/>
      </c>
      <c r="C45" s="40">
        <f>C42-C43</f>
        <v/>
      </c>
      <c r="D45" s="40">
        <f>D42-D43</f>
        <v/>
      </c>
      <c r="E45" s="40">
        <f>E42-E43</f>
        <v/>
      </c>
      <c r="F45" s="40">
        <f>F42-F43</f>
        <v/>
      </c>
      <c r="G45" s="40">
        <f>G42-G43</f>
        <v/>
      </c>
      <c r="H45" s="40">
        <f>H42-H43</f>
        <v/>
      </c>
    </row>
    <row r="46">
      <c r="A46" s="39" t="inlineStr">
        <is>
          <t>Indirect Cost (₹)</t>
        </is>
      </c>
      <c r="B46" s="40">
        <f>B41*$B$8*$B$17</f>
        <v/>
      </c>
      <c r="C46" s="40">
        <f>C42*$B$18</f>
        <v/>
      </c>
      <c r="D46" s="40">
        <f>D42*$B$18</f>
        <v/>
      </c>
      <c r="E46" s="40">
        <f>E42*$B$18</f>
        <v/>
      </c>
      <c r="F46" s="40">
        <f>F42*$B$18</f>
        <v/>
      </c>
      <c r="G46" s="40">
        <f>G42*$B$18</f>
        <v/>
      </c>
      <c r="H46" s="40">
        <f>H42*$B$18</f>
        <v/>
      </c>
    </row>
    <row r="47">
      <c r="A47" s="39" t="inlineStr">
        <is>
          <t>EBITDA (₹)</t>
        </is>
      </c>
      <c r="B47" s="40">
        <f>B45-B46</f>
        <v/>
      </c>
      <c r="C47" s="40">
        <f>C45-C46</f>
        <v/>
      </c>
      <c r="D47" s="40">
        <f>D45-D46</f>
        <v/>
      </c>
      <c r="E47" s="40">
        <f>E45-E46</f>
        <v/>
      </c>
      <c r="F47" s="40">
        <f>F45-F46</f>
        <v/>
      </c>
      <c r="G47" s="40">
        <f>G45-G46</f>
        <v/>
      </c>
      <c r="H47" s="40">
        <f>H45-H46</f>
        <v/>
      </c>
    </row>
    <row r="48">
      <c r="A48" s="49" t="inlineStr">
        <is>
          <t>EBITDA Margin (%)</t>
        </is>
      </c>
      <c r="B48" s="50">
        <f>IF(B42=0,0,B47/B42)</f>
        <v/>
      </c>
      <c r="C48" s="50">
        <f>IF(C42=0,0,C47/C42)</f>
        <v/>
      </c>
      <c r="D48" s="50">
        <f>IF(D42=0,0,D47/D42)</f>
        <v/>
      </c>
      <c r="E48" s="50">
        <f>IF(E42=0,0,E47/E42)</f>
        <v/>
      </c>
      <c r="F48" s="50">
        <f>IF(F42=0,0,F47/F42)</f>
        <v/>
      </c>
      <c r="G48" s="50">
        <f>IF(G42=0,0,G47/G42)</f>
        <v/>
      </c>
      <c r="H48" s="50">
        <f>IF(H42=0,0,H47/H42)</f>
        <v/>
      </c>
    </row>
    <row r="49">
      <c r="A49" s="39" t="inlineStr">
        <is>
          <t>Cumulative Revenue (₹)</t>
        </is>
      </c>
      <c r="B49" s="40">
        <f>B42</f>
        <v/>
      </c>
      <c r="C49" s="40">
        <f>B49+C42*1</f>
        <v/>
      </c>
      <c r="D49" s="40">
        <f>C49+D42*1</f>
        <v/>
      </c>
      <c r="E49" s="40">
        <f>D49+E42*2</f>
        <v/>
      </c>
      <c r="F49" s="40">
        <f>E49+F42*2</f>
        <v/>
      </c>
      <c r="G49" s="40">
        <f>F49+G42*3</f>
        <v/>
      </c>
      <c r="H49" s="40">
        <f>G49+H42*5</f>
        <v/>
      </c>
    </row>
    <row r="50">
      <c r="A50" s="39" t="inlineStr">
        <is>
          <t>Cumulative Cost (₹)</t>
        </is>
      </c>
      <c r="B50" s="40">
        <f>B43+B46</f>
        <v/>
      </c>
      <c r="C50" s="40">
        <f>B50+(C43+C46)*1</f>
        <v/>
      </c>
      <c r="D50" s="40">
        <f>C50+(D43+D46)*1</f>
        <v/>
      </c>
      <c r="E50" s="40">
        <f>D50+(E43+E46)*2</f>
        <v/>
      </c>
      <c r="F50" s="40">
        <f>E50+(F43+F46)*2</f>
        <v/>
      </c>
      <c r="G50" s="40">
        <f>F50+(G43+G46)*3</f>
        <v/>
      </c>
      <c r="H50" s="40">
        <f>G50+(H43+H46)*5</f>
        <v/>
      </c>
    </row>
    <row r="51">
      <c r="A51" s="49" t="inlineStr">
        <is>
          <t>Cumulative Profit (₹)</t>
        </is>
      </c>
      <c r="B51" s="51">
        <f>B49-B50</f>
        <v/>
      </c>
      <c r="C51" s="51">
        <f>C49-C50</f>
        <v/>
      </c>
      <c r="D51" s="51">
        <f>D49-D50</f>
        <v/>
      </c>
      <c r="E51" s="51">
        <f>E49-E50</f>
        <v/>
      </c>
      <c r="F51" s="51">
        <f>F49-F50</f>
        <v/>
      </c>
      <c r="G51" s="51">
        <f>G49-G50</f>
        <v/>
      </c>
      <c r="H51" s="51">
        <f>H49-H50</f>
        <v/>
      </c>
    </row>
    <row r="52">
      <c r="A52" s="39" t="inlineStr">
        <is>
          <t>Surviving Customers (of 100)</t>
        </is>
      </c>
      <c r="B52" s="45" t="n">
        <v>100</v>
      </c>
      <c r="C52" s="46">
        <f>100*$C$19^1</f>
        <v/>
      </c>
      <c r="D52" s="46">
        <f>100*$C$19^2</f>
        <v/>
      </c>
      <c r="E52" s="46">
        <f>100*$C$19^4</f>
        <v/>
      </c>
      <c r="F52" s="46">
        <f>100*$C$19^6</f>
        <v/>
      </c>
      <c r="G52" s="46">
        <f>100*$C$19^9</f>
        <v/>
      </c>
      <c r="H52" s="46">
        <f>100*$C$19^14</f>
        <v/>
      </c>
    </row>
    <row r="55">
      <c r="A55" s="52" t="inlineStr">
        <is>
          <t>IMPACT SUMMARY — PRE vs POST REGULATION</t>
        </is>
      </c>
      <c r="B55" s="53" t="n"/>
      <c r="C55" s="53" t="n"/>
      <c r="D55" s="53" t="n"/>
    </row>
    <row r="56">
      <c r="A56" s="28" t="inlineStr">
        <is>
          <t>Metric</t>
        </is>
      </c>
      <c r="B56" s="28" t="inlineStr">
        <is>
          <t>Pre-Reg</t>
        </is>
      </c>
      <c r="C56" s="28" t="inlineStr">
        <is>
          <t>Post-Reg</t>
        </is>
      </c>
      <c r="D56" s="28" t="inlineStr">
        <is>
          <t>Change</t>
        </is>
      </c>
    </row>
    <row r="57">
      <c r="A57" s="39" t="inlineStr">
        <is>
          <t>FY Take Rate</t>
        </is>
      </c>
      <c r="B57" s="54">
        <f>$B$8</f>
        <v/>
      </c>
      <c r="C57" s="54">
        <f>$C$8</f>
        <v/>
      </c>
      <c r="D57" s="55">
        <f>$C$8-$B$8</f>
        <v/>
      </c>
    </row>
    <row r="58">
      <c r="A58" s="39" t="inlineStr">
        <is>
          <t>Renewal Take Rate</t>
        </is>
      </c>
      <c r="B58" s="54">
        <f>$B$9</f>
        <v/>
      </c>
      <c r="C58" s="54">
        <f>$C$9</f>
        <v/>
      </c>
      <c r="D58" s="55">
        <f>$C$9-$B$9</f>
        <v/>
      </c>
    </row>
    <row r="59">
      <c r="A59" s="56" t="inlineStr">
        <is>
          <t>FY Revenue per Customer (₹)</t>
        </is>
      </c>
      <c r="B59" s="57">
        <f>B26</f>
        <v/>
      </c>
      <c r="C59" s="57">
        <f>B42</f>
        <v/>
      </c>
      <c r="D59" s="58">
        <f>B42/B26-1</f>
        <v/>
      </c>
    </row>
    <row r="60">
      <c r="A60" s="39" t="inlineStr">
        <is>
          <t>Y1 Contri Margin</t>
        </is>
      </c>
      <c r="B60" s="54">
        <f>B28</f>
        <v/>
      </c>
      <c r="C60" s="54">
        <f>B44</f>
        <v/>
      </c>
      <c r="D60" s="55">
        <f>B44-B28</f>
        <v/>
      </c>
    </row>
    <row r="61">
      <c r="A61" s="39" t="inlineStr">
        <is>
          <t>Y1 EBITDA Margin</t>
        </is>
      </c>
      <c r="B61" s="54">
        <f>B32</f>
        <v/>
      </c>
      <c r="C61" s="54">
        <f>B48</f>
        <v/>
      </c>
      <c r="D61" s="55">
        <f>B48-B32</f>
        <v/>
      </c>
    </row>
    <row r="62">
      <c r="A62" s="39" t="inlineStr">
        <is>
          <t>Y5 Cumulative Profit (₹)</t>
        </is>
      </c>
      <c r="B62" s="57">
        <f>E35</f>
        <v/>
      </c>
      <c r="C62" s="57">
        <f>E51</f>
        <v/>
      </c>
      <c r="D62" s="59">
        <f>E51-E35</f>
        <v/>
      </c>
    </row>
    <row r="63">
      <c r="A63" s="39" t="inlineStr">
        <is>
          <t>Y10 Cumulative Profit (₹)</t>
        </is>
      </c>
      <c r="B63" s="57">
        <f>G35</f>
        <v/>
      </c>
      <c r="C63" s="57">
        <f>G51</f>
        <v/>
      </c>
      <c r="D63" s="59">
        <f>G51-G35</f>
        <v/>
      </c>
    </row>
    <row r="64">
      <c r="A64" s="39" t="inlineStr">
        <is>
          <t>Retention Rate</t>
        </is>
      </c>
      <c r="B64" s="54">
        <f>$B$19</f>
        <v/>
      </c>
      <c r="C64" s="54">
        <f>$C$19</f>
        <v/>
      </c>
      <c r="D64" s="55">
        <f>$C$19-$B$19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B050"/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TERM INSURANCE — Distributor Unit Economics (Per Customer)</t>
        </is>
      </c>
    </row>
    <row r="2">
      <c r="A2" s="2" t="inlineStr">
        <is>
          <t>Aligned to PB Fintech FY26A Verified Segment P&amp;L</t>
        </is>
      </c>
    </row>
    <row r="4">
      <c r="A4" s="26" t="inlineStr">
        <is>
          <t>KEY ASSUMPTIONS</t>
        </is>
      </c>
      <c r="B4" s="27" t="n"/>
      <c r="C4" s="27" t="n"/>
      <c r="D4" s="27" t="n"/>
    </row>
    <row r="5">
      <c r="A5" s="28" t="inlineStr">
        <is>
          <t>Assumption</t>
        </is>
      </c>
      <c r="B5" s="28" t="inlineStr">
        <is>
          <t>Pre-Reg (Actual)</t>
        </is>
      </c>
      <c r="C5" s="28" t="inlineStr">
        <is>
          <t>Post-Reg (Proposed)</t>
        </is>
      </c>
      <c r="D5" s="28" t="inlineStr">
        <is>
          <t>Note</t>
        </is>
      </c>
    </row>
    <row r="6">
      <c r="A6" s="29" t="inlineStr">
        <is>
          <t>Annual Premium</t>
        </is>
      </c>
      <c r="B6" s="30" t="n">
        <v>15000</v>
      </c>
      <c r="C6" s="30" t="n">
        <v>15000</v>
      </c>
      <c r="D6" s="31" t="inlineStr">
        <is>
          <t>INR — avg term plan, 30yo, ₹1Cr cover</t>
        </is>
      </c>
    </row>
    <row r="7">
      <c r="A7" s="29" t="inlineStr">
        <is>
          <t>Premium Growth</t>
        </is>
      </c>
      <c r="B7" s="34" t="n">
        <v>0</v>
      </c>
      <c r="C7" s="34" t="n">
        <v>0</v>
      </c>
      <c r="D7" s="31" t="inlineStr">
        <is>
          <t>Term premium is FIXED at purchase</t>
        </is>
      </c>
    </row>
    <row r="8">
      <c r="A8" s="29" t="inlineStr">
        <is>
          <t>FY Take Rate (Commission)</t>
        </is>
      </c>
      <c r="B8" s="32" t="n">
        <v>0.4</v>
      </c>
      <c r="C8" s="32" t="n">
        <v>0.25</v>
      </c>
      <c r="D8" s="31" t="inlineStr">
        <is>
          <t>Actual PB: 40% | Proposed IDE cap: 25%</t>
        </is>
      </c>
    </row>
    <row r="9">
      <c r="A9" s="29" t="inlineStr">
        <is>
          <t>Renewal Take Rate</t>
        </is>
      </c>
      <c r="B9" s="32" t="n">
        <v>0.03</v>
      </c>
      <c r="C9" s="32" t="n">
        <v>0.075</v>
      </c>
      <c r="D9" s="31" t="inlineStr">
        <is>
          <t>Actual PB: 3% | Proposed IDE cap: 7.5% (INCREASE)</t>
        </is>
      </c>
    </row>
    <row r="10">
      <c r="A10" s="29" t="inlineStr">
        <is>
          <t>FY Contribution Margin</t>
        </is>
      </c>
      <c r="B10" s="32" t="n">
        <v>0.6</v>
      </c>
      <c r="C10" s="33" t="inlineStr">
        <is>
          <t>Derived</t>
        </is>
      </c>
      <c r="D10" s="31" t="inlineStr">
        <is>
          <t>From verified P&amp;L</t>
        </is>
      </c>
    </row>
    <row r="11">
      <c r="A11" s="29" t="inlineStr">
        <is>
          <t>Renewal Contribution Margin</t>
        </is>
      </c>
      <c r="B11" s="32" t="n">
        <v>0.9</v>
      </c>
      <c r="C11" s="33" t="inlineStr">
        <is>
          <t>Derived</t>
        </is>
      </c>
      <c r="D11" s="31" t="inlineStr">
        <is>
          <t>From verified P&amp;L</t>
        </is>
      </c>
    </row>
    <row r="12">
      <c r="A12" s="29" t="inlineStr">
        <is>
          <t>FY EBITDA Margin</t>
        </is>
      </c>
      <c r="B12" s="32" t="n">
        <v>0.15</v>
      </c>
      <c r="C12" s="33" t="inlineStr">
        <is>
          <t>Derived</t>
        </is>
      </c>
      <c r="D12" s="31" t="inlineStr">
        <is>
          <t>From verified P&amp;L</t>
        </is>
      </c>
    </row>
    <row r="13">
      <c r="A13" s="29" t="inlineStr">
        <is>
          <t>Renewal EBITDA Margin</t>
        </is>
      </c>
      <c r="B13" s="32" t="n">
        <v>0.7</v>
      </c>
      <c r="C13" s="33" t="inlineStr">
        <is>
          <t>Derived</t>
        </is>
      </c>
      <c r="D13" s="31" t="inlineStr">
        <is>
          <t>From verified P&amp;L</t>
        </is>
      </c>
    </row>
    <row r="14">
      <c r="A14" s="29" t="inlineStr">
        <is>
          <t>CAC (Fully Loaded per Customer)</t>
        </is>
      </c>
      <c r="B14" s="30" t="n">
        <v>8000</v>
      </c>
      <c r="C14" s="30" t="n">
        <v>8000</v>
      </c>
      <c r="D14" s="31" t="inlineStr">
        <is>
          <t>Lower than health — simpler comparison</t>
        </is>
      </c>
    </row>
    <row r="15">
      <c r="A15" s="29" t="inlineStr">
        <is>
          <t>Direct Cost as % of Revenue (New)</t>
        </is>
      </c>
      <c r="B15" s="32" t="n">
        <v>0.4</v>
      </c>
      <c r="C15" s="33" t="inlineStr">
        <is>
          <t>Derived</t>
        </is>
      </c>
      <c r="D15" s="31" t="inlineStr">
        <is>
          <t>Actual: ₹430 / ₹1,075 = 40%</t>
        </is>
      </c>
    </row>
    <row r="16">
      <c r="A16" s="29" t="inlineStr">
        <is>
          <t>Direct Cost as % of Revenue (Renewal)</t>
        </is>
      </c>
      <c r="B16" s="32" t="n">
        <v>0.1</v>
      </c>
      <c r="C16" s="33" t="inlineStr">
        <is>
          <t>Derived</t>
        </is>
      </c>
      <c r="D16" s="31" t="inlineStr">
        <is>
          <t>Actual: ₹7 / ₹67 ≈ 10%</t>
        </is>
      </c>
    </row>
    <row r="17">
      <c r="A17" s="29" t="inlineStr">
        <is>
          <t>Indirect Cost as % of Revenue (New)</t>
        </is>
      </c>
      <c r="B17" s="32" t="n">
        <v>0.45</v>
      </c>
      <c r="C17" s="33" t="inlineStr">
        <is>
          <t>Derived</t>
        </is>
      </c>
      <c r="D17" s="31" t="inlineStr">
        <is>
          <t>Actual: ₹484 / ₹1,075 = 45%</t>
        </is>
      </c>
    </row>
    <row r="18">
      <c r="A18" s="29" t="inlineStr">
        <is>
          <t>Indirect Cost as % of Revenue (Renewal)</t>
        </is>
      </c>
      <c r="B18" s="32" t="n">
        <v>0.19</v>
      </c>
      <c r="C18" s="33" t="inlineStr">
        <is>
          <t>Derived</t>
        </is>
      </c>
      <c r="D18" s="31" t="inlineStr">
        <is>
          <t>Actual: ₹13 / ₹67 ≈ 19%</t>
        </is>
      </c>
    </row>
    <row r="19">
      <c r="A19" s="29" t="inlineStr">
        <is>
          <t>Customer Retention Rate</t>
        </is>
      </c>
      <c r="B19" s="32" t="n">
        <v>0.95</v>
      </c>
      <c r="C19" s="32" t="n">
        <v>0.95</v>
      </c>
      <c r="D19" s="31" t="inlineStr">
        <is>
          <t>High — switching = re-underwriting at older age</t>
        </is>
      </c>
    </row>
    <row r="20">
      <c r="A20" s="29" t="inlineStr">
        <is>
          <t>Projection Period (Years)</t>
        </is>
      </c>
      <c r="B20" s="34" t="n">
        <v>15</v>
      </c>
      <c r="C20" s="34" t="n">
        <v>15</v>
      </c>
      <c r="D20" s="31" t="inlineStr"/>
    </row>
    <row r="23">
      <c r="A23" s="35" t="inlineStr">
        <is>
          <t>YEAR-BY-YEAR ECONOMICS — PRE-REGULATION (ACTUAL PB RATES)</t>
        </is>
      </c>
      <c r="B23" s="36" t="n"/>
      <c r="C23" s="36" t="n"/>
      <c r="D23" s="36" t="n"/>
      <c r="E23" s="36" t="n"/>
      <c r="F23" s="36" t="n"/>
      <c r="G23" s="36" t="n"/>
      <c r="H23" s="36" t="n"/>
    </row>
    <row r="24">
      <c r="A24" s="37" t="inlineStr">
        <is>
          <t>Metric</t>
        </is>
      </c>
      <c r="B24" s="38" t="inlineStr">
        <is>
          <t>Year 1</t>
        </is>
      </c>
      <c r="C24" s="38" t="inlineStr">
        <is>
          <t>Year 2</t>
        </is>
      </c>
      <c r="D24" s="38" t="inlineStr">
        <is>
          <t>Year 3</t>
        </is>
      </c>
      <c r="E24" s="38" t="inlineStr">
        <is>
          <t>Year 5</t>
        </is>
      </c>
      <c r="F24" s="38" t="inlineStr">
        <is>
          <t>Year 7</t>
        </is>
      </c>
      <c r="G24" s="38" t="inlineStr">
        <is>
          <t>Year 10</t>
        </is>
      </c>
      <c r="H24" s="38" t="inlineStr">
        <is>
          <t>Year 15</t>
        </is>
      </c>
    </row>
    <row r="25">
      <c r="A25" s="39" t="inlineStr">
        <is>
          <t>Annual Premium (₹)</t>
        </is>
      </c>
      <c r="B25" s="40">
        <f>$B$6</f>
        <v/>
      </c>
      <c r="C25" s="40">
        <f>$B$6</f>
        <v/>
      </c>
      <c r="D25" s="40">
        <f>$B$6</f>
        <v/>
      </c>
      <c r="E25" s="40">
        <f>$B$6</f>
        <v/>
      </c>
      <c r="F25" s="40">
        <f>$B$6</f>
        <v/>
      </c>
      <c r="G25" s="40">
        <f>$B$6</f>
        <v/>
      </c>
      <c r="H25" s="40">
        <f>$B$6</f>
        <v/>
      </c>
    </row>
    <row r="26">
      <c r="A26" s="39" t="inlineStr">
        <is>
          <t>Revenue — Take Rate × Premium (₹)</t>
        </is>
      </c>
      <c r="B26" s="40">
        <f>B25*$B$8</f>
        <v/>
      </c>
      <c r="C26" s="40">
        <f>C25*$B$9</f>
        <v/>
      </c>
      <c r="D26" s="40">
        <f>D25*$B$9</f>
        <v/>
      </c>
      <c r="E26" s="40">
        <f>E25*$B$9</f>
        <v/>
      </c>
      <c r="F26" s="40">
        <f>F25*$B$9</f>
        <v/>
      </c>
      <c r="G26" s="40">
        <f>G25*$B$9</f>
        <v/>
      </c>
      <c r="H26" s="40">
        <f>H25*$B$9</f>
        <v/>
      </c>
    </row>
    <row r="27">
      <c r="A27" s="39" t="inlineStr">
        <is>
          <t>Direct Cost (₹)</t>
        </is>
      </c>
      <c r="B27" s="40">
        <f>B26*$B$15</f>
        <v/>
      </c>
      <c r="C27" s="40">
        <f>C26*$B$16</f>
        <v/>
      </c>
      <c r="D27" s="40">
        <f>D26*$B$16</f>
        <v/>
      </c>
      <c r="E27" s="40">
        <f>E26*$B$16</f>
        <v/>
      </c>
      <c r="F27" s="40">
        <f>F26*$B$16</f>
        <v/>
      </c>
      <c r="G27" s="40">
        <f>G26*$B$16</f>
        <v/>
      </c>
      <c r="H27" s="40">
        <f>H26*$B$16</f>
        <v/>
      </c>
    </row>
    <row r="28">
      <c r="A28" s="41" t="inlineStr">
        <is>
          <t>Contribution Margin (%)</t>
        </is>
      </c>
      <c r="B28" s="60">
        <f>IF(B26=0,0,(B26-B27)/B26)</f>
        <v/>
      </c>
      <c r="C28" s="60">
        <f>IF(C26=0,0,(C26-C27)/C26)</f>
        <v/>
      </c>
      <c r="D28" s="60">
        <f>IF(D26=0,0,(D26-D27)/D26)</f>
        <v/>
      </c>
      <c r="E28" s="60">
        <f>IF(E26=0,0,(E26-E27)/E26)</f>
        <v/>
      </c>
      <c r="F28" s="60">
        <f>IF(F26=0,0,(F26-F27)/F26)</f>
        <v/>
      </c>
      <c r="G28" s="60">
        <f>IF(G26=0,0,(G26-G27)/G26)</f>
        <v/>
      </c>
      <c r="H28" s="60">
        <f>IF(H26=0,0,(H26-H27)/H26)</f>
        <v/>
      </c>
    </row>
    <row r="29">
      <c r="A29" s="39" t="inlineStr">
        <is>
          <t>Contribution Profit (₹)</t>
        </is>
      </c>
      <c r="B29" s="40">
        <f>B26-B27</f>
        <v/>
      </c>
      <c r="C29" s="40">
        <f>C26-C27</f>
        <v/>
      </c>
      <c r="D29" s="40">
        <f>D26-D27</f>
        <v/>
      </c>
      <c r="E29" s="40">
        <f>E26-E27</f>
        <v/>
      </c>
      <c r="F29" s="40">
        <f>F26-F27</f>
        <v/>
      </c>
      <c r="G29" s="40">
        <f>G26-G27</f>
        <v/>
      </c>
      <c r="H29" s="40">
        <f>H26-H27</f>
        <v/>
      </c>
    </row>
    <row r="30">
      <c r="A30" s="39" t="inlineStr">
        <is>
          <t>Indirect Cost (₹)</t>
        </is>
      </c>
      <c r="B30" s="40">
        <f>B26*$B$17</f>
        <v/>
      </c>
      <c r="C30" s="40">
        <f>C26*$B$18</f>
        <v/>
      </c>
      <c r="D30" s="40">
        <f>D26*$B$18</f>
        <v/>
      </c>
      <c r="E30" s="40">
        <f>E26*$B$18</f>
        <v/>
      </c>
      <c r="F30" s="40">
        <f>F26*$B$18</f>
        <v/>
      </c>
      <c r="G30" s="40">
        <f>G26*$B$18</f>
        <v/>
      </c>
      <c r="H30" s="40">
        <f>H26*$B$18</f>
        <v/>
      </c>
    </row>
    <row r="31">
      <c r="A31" s="39" t="inlineStr">
        <is>
          <t>EBITDA (₹)</t>
        </is>
      </c>
      <c r="B31" s="40">
        <f>B29-B30</f>
        <v/>
      </c>
      <c r="C31" s="40">
        <f>C29-C30</f>
        <v/>
      </c>
      <c r="D31" s="40">
        <f>D29-D30</f>
        <v/>
      </c>
      <c r="E31" s="40">
        <f>E29-E30</f>
        <v/>
      </c>
      <c r="F31" s="40">
        <f>F29-F30</f>
        <v/>
      </c>
      <c r="G31" s="40">
        <f>G29-G30</f>
        <v/>
      </c>
      <c r="H31" s="40">
        <f>H29-H30</f>
        <v/>
      </c>
    </row>
    <row r="32">
      <c r="A32" s="41" t="inlineStr">
        <is>
          <t>EBITDA Margin (%)</t>
        </is>
      </c>
      <c r="B32" s="60">
        <f>IF(B26=0,0,B31/B26)</f>
        <v/>
      </c>
      <c r="C32" s="60">
        <f>IF(C26=0,0,C31/C26)</f>
        <v/>
      </c>
      <c r="D32" s="60">
        <f>IF(D26=0,0,D31/D26)</f>
        <v/>
      </c>
      <c r="E32" s="60">
        <f>IF(E26=0,0,E31/E26)</f>
        <v/>
      </c>
      <c r="F32" s="60">
        <f>IF(F26=0,0,F31/F26)</f>
        <v/>
      </c>
      <c r="G32" s="60">
        <f>IF(G26=0,0,G31/G26)</f>
        <v/>
      </c>
      <c r="H32" s="60">
        <f>IF(H26=0,0,H31/H26)</f>
        <v/>
      </c>
    </row>
    <row r="33">
      <c r="A33" s="39" t="inlineStr">
        <is>
          <t>Cumulative Revenue (₹)</t>
        </is>
      </c>
      <c r="B33" s="40">
        <f>B26</f>
        <v/>
      </c>
      <c r="C33" s="40">
        <f>B33+C26*1</f>
        <v/>
      </c>
      <c r="D33" s="40">
        <f>C33+D26*1</f>
        <v/>
      </c>
      <c r="E33" s="40">
        <f>D33+E26*2</f>
        <v/>
      </c>
      <c r="F33" s="40">
        <f>E33+F26*2</f>
        <v/>
      </c>
      <c r="G33" s="40">
        <f>F33+G26*3</f>
        <v/>
      </c>
      <c r="H33" s="40">
        <f>G33+H26*5</f>
        <v/>
      </c>
    </row>
    <row r="34">
      <c r="A34" s="39" t="inlineStr">
        <is>
          <t>Cumulative Cost (₹)</t>
        </is>
      </c>
      <c r="B34" s="40">
        <f>B27+B30</f>
        <v/>
      </c>
      <c r="C34" s="40">
        <f>B34+(C27+C30)*1</f>
        <v/>
      </c>
      <c r="D34" s="40">
        <f>C34+(D27+D30)*1</f>
        <v/>
      </c>
      <c r="E34" s="40">
        <f>D34+(E27+E30)*2</f>
        <v/>
      </c>
      <c r="F34" s="40">
        <f>E34+(F27+F30)*2</f>
        <v/>
      </c>
      <c r="G34" s="40">
        <f>F34+(G27+G30)*3</f>
        <v/>
      </c>
      <c r="H34" s="40">
        <f>G34+(H27+H30)*5</f>
        <v/>
      </c>
    </row>
    <row r="35">
      <c r="A35" s="43" t="inlineStr">
        <is>
          <t>Cumulative Profit (₹)</t>
        </is>
      </c>
      <c r="B35" s="61">
        <f>B33-B34</f>
        <v/>
      </c>
      <c r="C35" s="61">
        <f>C33-C34</f>
        <v/>
      </c>
      <c r="D35" s="61">
        <f>D33-D34</f>
        <v/>
      </c>
      <c r="E35" s="61">
        <f>E33-E34</f>
        <v/>
      </c>
      <c r="F35" s="61">
        <f>F33-F34</f>
        <v/>
      </c>
      <c r="G35" s="61">
        <f>G33-G34</f>
        <v/>
      </c>
      <c r="H35" s="61">
        <f>H33-H34</f>
        <v/>
      </c>
    </row>
    <row r="36">
      <c r="A36" s="39" t="inlineStr">
        <is>
          <t>Surviving Customers (of 100)</t>
        </is>
      </c>
      <c r="B36" s="45" t="n">
        <v>100</v>
      </c>
      <c r="C36" s="46">
        <f>100*$B$19^1</f>
        <v/>
      </c>
      <c r="D36" s="46">
        <f>100*$B$19^2</f>
        <v/>
      </c>
      <c r="E36" s="46">
        <f>100*$B$19^4</f>
        <v/>
      </c>
      <c r="F36" s="46">
        <f>100*$B$19^6</f>
        <v/>
      </c>
      <c r="G36" s="46">
        <f>100*$B$19^9</f>
        <v/>
      </c>
      <c r="H36" s="46">
        <f>100*$B$19^14</f>
        <v/>
      </c>
    </row>
    <row r="39">
      <c r="A39" s="47" t="inlineStr">
        <is>
          <t>YEAR-BY-YEAR ECONOMICS — POST-REGULATION (PROPOSED CAPS)</t>
        </is>
      </c>
      <c r="B39" s="48" t="n"/>
      <c r="C39" s="48" t="n"/>
      <c r="D39" s="48" t="n"/>
      <c r="E39" s="48" t="n"/>
      <c r="F39" s="48" t="n"/>
      <c r="G39" s="48" t="n"/>
      <c r="H39" s="48" t="n"/>
    </row>
    <row r="40">
      <c r="A40" s="37" t="inlineStr">
        <is>
          <t>Metric</t>
        </is>
      </c>
      <c r="B40" s="38" t="inlineStr">
        <is>
          <t>Year 1</t>
        </is>
      </c>
      <c r="C40" s="38" t="inlineStr">
        <is>
          <t>Year 2</t>
        </is>
      </c>
      <c r="D40" s="38" t="inlineStr">
        <is>
          <t>Year 3</t>
        </is>
      </c>
      <c r="E40" s="38" t="inlineStr">
        <is>
          <t>Year 5</t>
        </is>
      </c>
      <c r="F40" s="38" t="inlineStr">
        <is>
          <t>Year 7</t>
        </is>
      </c>
      <c r="G40" s="38" t="inlineStr">
        <is>
          <t>Year 10</t>
        </is>
      </c>
      <c r="H40" s="38" t="inlineStr">
        <is>
          <t>Year 15</t>
        </is>
      </c>
    </row>
    <row r="41">
      <c r="A41" s="39" t="inlineStr">
        <is>
          <t>Annual Premium (₹)</t>
        </is>
      </c>
      <c r="B41" s="40">
        <f>$C$6</f>
        <v/>
      </c>
      <c r="C41" s="40">
        <f>$C$6</f>
        <v/>
      </c>
      <c r="D41" s="40">
        <f>$C$6</f>
        <v/>
      </c>
      <c r="E41" s="40">
        <f>$C$6</f>
        <v/>
      </c>
      <c r="F41" s="40">
        <f>$C$6</f>
        <v/>
      </c>
      <c r="G41" s="40">
        <f>$C$6</f>
        <v/>
      </c>
      <c r="H41" s="40">
        <f>$C$6</f>
        <v/>
      </c>
    </row>
    <row r="42">
      <c r="A42" s="39" t="inlineStr">
        <is>
          <t>Revenue — Take Rate × Premium (₹)</t>
        </is>
      </c>
      <c r="B42" s="40">
        <f>B41*$C$8</f>
        <v/>
      </c>
      <c r="C42" s="40">
        <f>C41*$C$9</f>
        <v/>
      </c>
      <c r="D42" s="40">
        <f>D41*$C$9</f>
        <v/>
      </c>
      <c r="E42" s="40">
        <f>E41*$C$9</f>
        <v/>
      </c>
      <c r="F42" s="40">
        <f>F41*$C$9</f>
        <v/>
      </c>
      <c r="G42" s="40">
        <f>G41*$C$9</f>
        <v/>
      </c>
      <c r="H42" s="40">
        <f>H41*$C$9</f>
        <v/>
      </c>
    </row>
    <row r="43">
      <c r="A43" s="39" t="inlineStr">
        <is>
          <t>Direct Cost (₹)</t>
        </is>
      </c>
      <c r="B43" s="40">
        <f>B41*$B$8*$B$15</f>
        <v/>
      </c>
      <c r="C43" s="40">
        <f>C42*$B$16</f>
        <v/>
      </c>
      <c r="D43" s="40">
        <f>D42*$B$16</f>
        <v/>
      </c>
      <c r="E43" s="40">
        <f>E42*$B$16</f>
        <v/>
      </c>
      <c r="F43" s="40">
        <f>F42*$B$16</f>
        <v/>
      </c>
      <c r="G43" s="40">
        <f>G42*$B$16</f>
        <v/>
      </c>
      <c r="H43" s="40">
        <f>H42*$B$16</f>
        <v/>
      </c>
    </row>
    <row r="44">
      <c r="A44" s="49" t="inlineStr">
        <is>
          <t>Contribution Margin (%)</t>
        </is>
      </c>
      <c r="B44" s="62">
        <f>IF(B42=0,0,(B42-B43)/B42)</f>
        <v/>
      </c>
      <c r="C44" s="62">
        <f>IF(C42=0,0,(C42-C43)/C42)</f>
        <v/>
      </c>
      <c r="D44" s="62">
        <f>IF(D42=0,0,(D42-D43)/D42)</f>
        <v/>
      </c>
      <c r="E44" s="62">
        <f>IF(E42=0,0,(E42-E43)/E42)</f>
        <v/>
      </c>
      <c r="F44" s="62">
        <f>IF(F42=0,0,(F42-F43)/F42)</f>
        <v/>
      </c>
      <c r="G44" s="62">
        <f>IF(G42=0,0,(G42-G43)/G42)</f>
        <v/>
      </c>
      <c r="H44" s="62">
        <f>IF(H42=0,0,(H42-H43)/H42)</f>
        <v/>
      </c>
    </row>
    <row r="45">
      <c r="A45" s="39" t="inlineStr">
        <is>
          <t>Contribution Profit (₹)</t>
        </is>
      </c>
      <c r="B45" s="40">
        <f>B42-B43</f>
        <v/>
      </c>
      <c r="C45" s="40">
        <f>C42-C43</f>
        <v/>
      </c>
      <c r="D45" s="40">
        <f>D42-D43</f>
        <v/>
      </c>
      <c r="E45" s="40">
        <f>E42-E43</f>
        <v/>
      </c>
      <c r="F45" s="40">
        <f>F42-F43</f>
        <v/>
      </c>
      <c r="G45" s="40">
        <f>G42-G43</f>
        <v/>
      </c>
      <c r="H45" s="40">
        <f>H42-H43</f>
        <v/>
      </c>
    </row>
    <row r="46">
      <c r="A46" s="39" t="inlineStr">
        <is>
          <t>Indirect Cost (₹)</t>
        </is>
      </c>
      <c r="B46" s="40">
        <f>B41*$B$8*$B$17</f>
        <v/>
      </c>
      <c r="C46" s="40">
        <f>C42*$B$18</f>
        <v/>
      </c>
      <c r="D46" s="40">
        <f>D42*$B$18</f>
        <v/>
      </c>
      <c r="E46" s="40">
        <f>E42*$B$18</f>
        <v/>
      </c>
      <c r="F46" s="40">
        <f>F42*$B$18</f>
        <v/>
      </c>
      <c r="G46" s="40">
        <f>G42*$B$18</f>
        <v/>
      </c>
      <c r="H46" s="40">
        <f>H42*$B$18</f>
        <v/>
      </c>
    </row>
    <row r="47">
      <c r="A47" s="39" t="inlineStr">
        <is>
          <t>EBITDA (₹)</t>
        </is>
      </c>
      <c r="B47" s="40">
        <f>B45-B46</f>
        <v/>
      </c>
      <c r="C47" s="40">
        <f>C45-C46</f>
        <v/>
      </c>
      <c r="D47" s="40">
        <f>D45-D46</f>
        <v/>
      </c>
      <c r="E47" s="40">
        <f>E45-E46</f>
        <v/>
      </c>
      <c r="F47" s="40">
        <f>F45-F46</f>
        <v/>
      </c>
      <c r="G47" s="40">
        <f>G45-G46</f>
        <v/>
      </c>
      <c r="H47" s="40">
        <f>H45-H46</f>
        <v/>
      </c>
    </row>
    <row r="48">
      <c r="A48" s="49" t="inlineStr">
        <is>
          <t>EBITDA Margin (%)</t>
        </is>
      </c>
      <c r="B48" s="62">
        <f>IF(B42=0,0,B47/B42)</f>
        <v/>
      </c>
      <c r="C48" s="62">
        <f>IF(C42=0,0,C47/C42)</f>
        <v/>
      </c>
      <c r="D48" s="62">
        <f>IF(D42=0,0,D47/D42)</f>
        <v/>
      </c>
      <c r="E48" s="62">
        <f>IF(E42=0,0,E47/E42)</f>
        <v/>
      </c>
      <c r="F48" s="62">
        <f>IF(F42=0,0,F47/F42)</f>
        <v/>
      </c>
      <c r="G48" s="62">
        <f>IF(G42=0,0,G47/G42)</f>
        <v/>
      </c>
      <c r="H48" s="62">
        <f>IF(H42=0,0,H47/H42)</f>
        <v/>
      </c>
    </row>
    <row r="49">
      <c r="A49" s="39" t="inlineStr">
        <is>
          <t>Cumulative Revenue (₹)</t>
        </is>
      </c>
      <c r="B49" s="40">
        <f>B42</f>
        <v/>
      </c>
      <c r="C49" s="40">
        <f>B49+C42*1</f>
        <v/>
      </c>
      <c r="D49" s="40">
        <f>C49+D42*1</f>
        <v/>
      </c>
      <c r="E49" s="40">
        <f>D49+E42*2</f>
        <v/>
      </c>
      <c r="F49" s="40">
        <f>E49+F42*2</f>
        <v/>
      </c>
      <c r="G49" s="40">
        <f>F49+G42*3</f>
        <v/>
      </c>
      <c r="H49" s="40">
        <f>G49+H42*5</f>
        <v/>
      </c>
    </row>
    <row r="50">
      <c r="A50" s="39" t="inlineStr">
        <is>
          <t>Cumulative Cost (₹)</t>
        </is>
      </c>
      <c r="B50" s="40">
        <f>B43+B46</f>
        <v/>
      </c>
      <c r="C50" s="40">
        <f>B50+(C43+C46)*1</f>
        <v/>
      </c>
      <c r="D50" s="40">
        <f>C50+(D43+D46)*1</f>
        <v/>
      </c>
      <c r="E50" s="40">
        <f>D50+(E43+E46)*2</f>
        <v/>
      </c>
      <c r="F50" s="40">
        <f>E50+(F43+F46)*2</f>
        <v/>
      </c>
      <c r="G50" s="40">
        <f>F50+(G43+G46)*3</f>
        <v/>
      </c>
      <c r="H50" s="40">
        <f>G50+(H43+H46)*5</f>
        <v/>
      </c>
    </row>
    <row r="51">
      <c r="A51" s="49" t="inlineStr">
        <is>
          <t>Cumulative Profit (₹)</t>
        </is>
      </c>
      <c r="B51" s="63">
        <f>B49-B50</f>
        <v/>
      </c>
      <c r="C51" s="63">
        <f>C49-C50</f>
        <v/>
      </c>
      <c r="D51" s="63">
        <f>D49-D50</f>
        <v/>
      </c>
      <c r="E51" s="63">
        <f>E49-E50</f>
        <v/>
      </c>
      <c r="F51" s="63">
        <f>F49-F50</f>
        <v/>
      </c>
      <c r="G51" s="63">
        <f>G49-G50</f>
        <v/>
      </c>
      <c r="H51" s="63">
        <f>H49-H50</f>
        <v/>
      </c>
    </row>
    <row r="52">
      <c r="A52" s="39" t="inlineStr">
        <is>
          <t>Surviving Customers (of 100)</t>
        </is>
      </c>
      <c r="B52" s="45" t="n">
        <v>100</v>
      </c>
      <c r="C52" s="46">
        <f>100*$C$19^1</f>
        <v/>
      </c>
      <c r="D52" s="46">
        <f>100*$C$19^2</f>
        <v/>
      </c>
      <c r="E52" s="46">
        <f>100*$C$19^4</f>
        <v/>
      </c>
      <c r="F52" s="46">
        <f>100*$C$19^6</f>
        <v/>
      </c>
      <c r="G52" s="46">
        <f>100*$C$19^9</f>
        <v/>
      </c>
      <c r="H52" s="46">
        <f>100*$C$19^14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HEALTH vs TERM — Distributor Economics Comparison</t>
        </is>
      </c>
    </row>
    <row r="2">
      <c r="A2" s="2" t="inlineStr">
        <is>
          <t>Based on PB Fintech FY26A Verified Segment P&amp;L</t>
        </is>
      </c>
    </row>
    <row r="4">
      <c r="A4" s="64" t="inlineStr">
        <is>
          <t>Metric</t>
        </is>
      </c>
      <c r="B4" s="65" t="inlineStr">
        <is>
          <t>Health Pre-Reg</t>
        </is>
      </c>
      <c r="C4" s="65" t="inlineStr">
        <is>
          <t>Health Post-Reg</t>
        </is>
      </c>
      <c r="D4" s="65" t="inlineStr">
        <is>
          <t>Term Pre-Reg</t>
        </is>
      </c>
      <c r="E4" s="65" t="inlineStr">
        <is>
          <t>Term Post-Reg</t>
        </is>
      </c>
    </row>
    <row r="5">
      <c r="A5" s="39" t="inlineStr">
        <is>
          <t>FY Take Rate</t>
        </is>
      </c>
      <c r="B5" s="66">
        <f>'Health - Unit Economics'!B8</f>
        <v/>
      </c>
      <c r="C5" s="66">
        <f>'Health - Unit Economics'!C8</f>
        <v/>
      </c>
      <c r="D5" s="66">
        <f>'Term - Unit Economics'!B8</f>
        <v/>
      </c>
      <c r="E5" s="66">
        <f>'Term - Unit Economics'!C8</f>
        <v/>
      </c>
    </row>
    <row r="6">
      <c r="A6" s="39" t="inlineStr">
        <is>
          <t>Renewal Take Rate</t>
        </is>
      </c>
      <c r="B6" s="66">
        <f>'Health - Unit Economics'!B9</f>
        <v/>
      </c>
      <c r="C6" s="66">
        <f>'Health - Unit Economics'!C9</f>
        <v/>
      </c>
      <c r="D6" s="66">
        <f>'Term - Unit Economics'!B9</f>
        <v/>
      </c>
      <c r="E6" s="66">
        <f>'Term - Unit Economics'!C9</f>
        <v/>
      </c>
    </row>
    <row r="7">
      <c r="A7" s="39" t="inlineStr">
        <is>
          <t>FY Contribution Margin</t>
        </is>
      </c>
      <c r="B7" s="66">
        <f>'Health - Unit Economics'!B10</f>
        <v/>
      </c>
      <c r="C7" s="66">
        <f>'Health - Unit Economics'!C10</f>
        <v/>
      </c>
      <c r="D7" s="66">
        <f>'Term - Unit Economics'!B10</f>
        <v/>
      </c>
      <c r="E7" s="66">
        <f>'Term - Unit Economics'!C10</f>
        <v/>
      </c>
    </row>
    <row r="8">
      <c r="A8" s="39" t="inlineStr">
        <is>
          <t>Renewal Contribution Margin</t>
        </is>
      </c>
      <c r="B8" s="66">
        <f>'Health - Unit Economics'!B11</f>
        <v/>
      </c>
      <c r="C8" s="66">
        <f>'Health - Unit Economics'!C11</f>
        <v/>
      </c>
      <c r="D8" s="66">
        <f>'Term - Unit Economics'!B11</f>
        <v/>
      </c>
      <c r="E8" s="66">
        <f>'Term - Unit Economics'!C11</f>
        <v/>
      </c>
    </row>
    <row r="9">
      <c r="A9" s="39" t="inlineStr">
        <is>
          <t>FY EBITDA Margin</t>
        </is>
      </c>
      <c r="B9" s="66">
        <f>'Health - Unit Economics'!B12</f>
        <v/>
      </c>
      <c r="C9" s="66">
        <f>'Health - Unit Economics'!C12</f>
        <v/>
      </c>
      <c r="D9" s="66">
        <f>'Term - Unit Economics'!B12</f>
        <v/>
      </c>
      <c r="E9" s="66">
        <f>'Term - Unit Economics'!C12</f>
        <v/>
      </c>
    </row>
    <row r="10">
      <c r="A10" s="39" t="inlineStr">
        <is>
          <t>Renewal EBITDA Margin</t>
        </is>
      </c>
      <c r="B10" s="66">
        <f>'Health - Unit Economics'!B13</f>
        <v/>
      </c>
      <c r="C10" s="66">
        <f>'Health - Unit Economics'!C13</f>
        <v/>
      </c>
      <c r="D10" s="66">
        <f>'Term - Unit Economics'!B13</f>
        <v/>
      </c>
      <c r="E10" s="66">
        <f>'Term - Unit Economics'!C13</f>
        <v/>
      </c>
    </row>
    <row r="11">
      <c r="A11" s="39" t="inlineStr">
        <is>
          <t>Direct Cost % (New)</t>
        </is>
      </c>
      <c r="B11" s="66">
        <f>'Health - Unit Economics'!B15</f>
        <v/>
      </c>
      <c r="C11" s="66" t="inlineStr"/>
      <c r="D11" s="66">
        <f>'Term - Unit Economics'!B15</f>
        <v/>
      </c>
      <c r="E11" s="66" t="inlineStr"/>
    </row>
    <row r="12">
      <c r="A12" s="39" t="inlineStr">
        <is>
          <t>Direct Cost % (Renewal)</t>
        </is>
      </c>
      <c r="B12" s="66">
        <f>'Health - Unit Economics'!B16</f>
        <v/>
      </c>
      <c r="C12" s="66" t="inlineStr"/>
      <c r="D12" s="66">
        <f>'Term - Unit Economics'!B16</f>
        <v/>
      </c>
      <c r="E12" s="66" t="inlineStr"/>
    </row>
    <row r="13">
      <c r="A13" s="39" t="inlineStr">
        <is>
          <t>Retention Rate</t>
        </is>
      </c>
      <c r="B13" s="66">
        <f>'Health - Unit Economics'!B19</f>
        <v/>
      </c>
      <c r="C13" s="66">
        <f>'Health - Unit Economics'!C19</f>
        <v/>
      </c>
      <c r="D13" s="66">
        <f>'Term - Unit Economics'!B19</f>
        <v/>
      </c>
      <c r="E13" s="66">
        <f>'Term - Unit Economics'!C19</f>
        <v/>
      </c>
    </row>
    <row r="16">
      <c r="A16" s="52" t="inlineStr">
        <is>
          <t>KEY INSIGHTS</t>
        </is>
      </c>
      <c r="B16" s="53" t="n"/>
      <c r="C16" s="53" t="n"/>
      <c r="D16" s="53" t="n"/>
      <c r="E16" s="53" t="n"/>
    </row>
    <row r="17">
      <c r="A17" s="67" t="inlineStr">
        <is>
          <t>Health Pre-Reg: -5% contri margin on new (loss leader), +80% on renewal (profit engine). Subsidy model works.</t>
        </is>
      </c>
    </row>
    <row r="18">
      <c r="A18" s="67" t="inlineStr">
        <is>
          <t>Health Post-Reg: FY revenue drops 63%, renewal drops 75%. Loss leader becomes permanent loss. Subsidy breaks.</t>
        </is>
      </c>
    </row>
    <row r="19">
      <c r="A19" s="67" t="inlineStr">
        <is>
          <t>Term Pre-Reg: +60% contri margin on new (profitable from day 1), +90% on renewal. Front-loaded value capture.</t>
        </is>
      </c>
    </row>
    <row r="20">
      <c r="A20" s="67" t="inlineStr">
        <is>
          <t>Term Post-Reg: FY revenue drops 37%, but renewal INCREASES (3% → 7.5%). Timing shift, not destruction.</t>
        </is>
      </c>
    </row>
    <row r="21">
      <c r="A21" s="67" t="inlineStr">
        <is>
          <t>The asymmetry: Health = VALUE DESTRUCTION (both FY AND renewal gutted). Term = TIMING SHIFT (less FY, more trail).</t>
        </is>
      </c>
    </row>
    <row r="22">
      <c r="A22" s="67" t="inlineStr">
        <is>
          <t>EBITDA margins tell the same story: Health-new -10% → catastrophic post-caps. Term-new 15% → compressed but survivable.</t>
        </is>
      </c>
    </row>
    <row r="23">
      <c r="A23" s="67" t="inlineStr">
        <is>
          <t>PoSP business (5% contri margin, -4% EBITDA margin) becomes unviable. Eliminated in FY28 per Bernstein model.</t>
        </is>
      </c>
    </row>
  </sheetData>
  <mergeCells count="7">
    <mergeCell ref="A21:E21"/>
    <mergeCell ref="A20:E20"/>
    <mergeCell ref="A19:E19"/>
    <mergeCell ref="A23:E23"/>
    <mergeCell ref="A22:E22"/>
    <mergeCell ref="A17:E17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2026-10-14T11:51:20Z</dcterms:created>
  <dcterms:modified xmlns:dcterms="http://purl.org/dc/terms/" xmlns:xsi="http://www.w3.org/2001/XMLSchema-instance" xsi:type="dcterms:W3CDTF">2026-10-14T11:51:20Z</dcterms:modified>
</cp:coreProperties>
</file>