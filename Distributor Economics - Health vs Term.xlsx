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ealth - Unit Economics" sheetId="1" state="visible" r:id="rId3"/>
    <sheet name="Term - Unit Economics" sheetId="2" state="visible" r:id="rId4"/>
    <sheet name="Health vs Term Comparis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<sst xmlns="http://schemas.openxmlformats.org/spreadsheetml/2006/main" count="196" uniqueCount="91">
  <si>
    <t xml:space="preserve">HEALTH INSURANCE — Distributor Unit Economics (Per Customer)</t>
  </si>
  <si>
    <t xml:space="preserve">Pre-Regulation</t>
  </si>
  <si>
    <t xml:space="preserve">Post-Regulation (Proposed)</t>
  </si>
  <si>
    <t xml:space="preserve">Change</t>
  </si>
  <si>
    <t xml:space="preserve">KEY ASSUMPTIONS</t>
  </si>
  <si>
    <t xml:space="preserve">Assumption</t>
  </si>
  <si>
    <t xml:space="preserve">Pre-Reg</t>
  </si>
  <si>
    <t xml:space="preserve">Post-Reg</t>
  </si>
  <si>
    <t xml:space="preserve">Note</t>
  </si>
  <si>
    <t xml:space="preserve">Annual Premium (Year 1)</t>
  </si>
  <si>
    <t xml:space="preserve">INR — avg retail health policy</t>
  </si>
  <si>
    <t xml:space="preserve">Annual Premium Growth</t>
  </si>
  <si>
    <t xml:space="preserve">Age + inflation + SI increase</t>
  </si>
  <si>
    <t xml:space="preserve">FY Commission Rate</t>
  </si>
  <si>
    <t xml:space="preserve">IDE cap under proposed regs</t>
  </si>
  <si>
    <t xml:space="preserve">Renewal Commission Rate</t>
  </si>
  <si>
    <t xml:space="preserve">CAC (Fully Loaded)</t>
  </si>
  <si>
    <t xml:space="preserve">Incl. failed leads, advisor time, verification</t>
  </si>
  <si>
    <t xml:space="preserve">Leads per Conversion</t>
  </si>
  <si>
    <t xml:space="preserve">~14% conversion rate</t>
  </si>
  <si>
    <t xml:space="preserve">Cost per Lead</t>
  </si>
  <si>
    <t xml:space="preserve">Digital + call center</t>
  </si>
  <si>
    <t xml:space="preserve">Annual Servicing Cost per Customer</t>
  </si>
  <si>
    <t xml:space="preserve">Renewal calls, claims support</t>
  </si>
  <si>
    <t xml:space="preserve">Servicing Cost Growth</t>
  </si>
  <si>
    <t xml:space="preserve">Wage inflation</t>
  </si>
  <si>
    <t xml:space="preserve">Customer Retention Rate</t>
  </si>
  <si>
    <t xml:space="preserve">Lower commission → less servicing → lower retention</t>
  </si>
  <si>
    <t xml:space="preserve">Projection Period (Years)</t>
  </si>
  <si>
    <t xml:space="preserve">YEAR-BY-YEAR ECONOMICS — PRE-REGULATION</t>
  </si>
  <si>
    <t xml:space="preserve">Metric</t>
  </si>
  <si>
    <t xml:space="preserve">Year 1</t>
  </si>
  <si>
    <t xml:space="preserve">Year 2</t>
  </si>
  <si>
    <t xml:space="preserve">Year 3</t>
  </si>
  <si>
    <t xml:space="preserve">Year 5</t>
  </si>
  <si>
    <t xml:space="preserve">Year 7</t>
  </si>
  <si>
    <t xml:space="preserve">Year 10</t>
  </si>
  <si>
    <t xml:space="preserve">Year 15</t>
  </si>
  <si>
    <t xml:space="preserve">Annual Premium (₹)</t>
  </si>
  <si>
    <t xml:space="preserve">Commission Earned (₹)</t>
  </si>
  <si>
    <t xml:space="preserve">Acquisition Cost (₹)</t>
  </si>
  <si>
    <t xml:space="preserve">Servicing Cost (₹)</t>
  </si>
  <si>
    <t xml:space="preserve">Total Cost (₹)</t>
  </si>
  <si>
    <t xml:space="preserve">Contribution Margin (₹)</t>
  </si>
  <si>
    <t xml:space="preserve">Cumulative Revenue (₹)</t>
  </si>
  <si>
    <t xml:space="preserve">Cumulative Cost (₹)</t>
  </si>
  <si>
    <t xml:space="preserve">Cumulative Profit (₹)</t>
  </si>
  <si>
    <t xml:space="preserve">Surviving Customers (of 100)</t>
  </si>
  <si>
    <t xml:space="preserve">Revenue per 100 Customers (₹)</t>
  </si>
  <si>
    <t xml:space="preserve">Profit per 100 Customers (₹)</t>
  </si>
  <si>
    <t xml:space="preserve">YEAR-BY-YEAR ECONOMICS — POST-REGULATION (PROPOSED)</t>
  </si>
  <si>
    <t xml:space="preserve">IMPACT SUMMARY</t>
  </si>
  <si>
    <t xml:space="preserve">Year 1 Commission (₹)</t>
  </si>
  <si>
    <t xml:space="preserve">Year 1 Contribution Margin (₹)</t>
  </si>
  <si>
    <t xml:space="preserve">Cumulative Profit Year 3 (₹)</t>
  </si>
  <si>
    <t xml:space="preserve">Cumulative Profit Year 5 (₹)</t>
  </si>
  <si>
    <t xml:space="preserve">Cumulative Profit Year 10 (₹)</t>
  </si>
  <si>
    <t xml:space="preserve">Cumulative Profit Year 15 (₹)</t>
  </si>
  <si>
    <t xml:space="preserve">Surviving Customers Year 10 (of 100)</t>
  </si>
  <si>
    <t xml:space="preserve">10-Year LTV per 100 Customers (₹)</t>
  </si>
  <si>
    <t xml:space="preserve">TERM INSURANCE — Distributor Unit Economics (Per Customer)</t>
  </si>
  <si>
    <t xml:space="preserve">Annual Premium</t>
  </si>
  <si>
    <t xml:space="preserve">INR — avg term plan, 30yo, ₹1Cr cover</t>
  </si>
  <si>
    <t xml:space="preserve">Premium Growth</t>
  </si>
  <si>
    <t xml:space="preserve">Term premium is FIXED at purchase</t>
  </si>
  <si>
    <t xml:space="preserve">INCREASED under proposed regs</t>
  </si>
  <si>
    <t xml:space="preserve">Higher than health — term is harder to sell</t>
  </si>
  <si>
    <t xml:space="preserve">~10% conversion rate</t>
  </si>
  <si>
    <t xml:space="preserve">Minimal — autopilot after sale</t>
  </si>
  <si>
    <t xml:space="preserve">High — switching means re-underwriting at older age</t>
  </si>
  <si>
    <t xml:space="preserve">HEALTH vs TERM — Distributor Economics Comparison</t>
  </si>
  <si>
    <t xml:space="preserve">Health Pre-Reg</t>
  </si>
  <si>
    <t xml:space="preserve">Health Post-Reg</t>
  </si>
  <si>
    <t xml:space="preserve">Term Pre-Reg</t>
  </si>
  <si>
    <t xml:space="preserve">Term Post-Reg</t>
  </si>
  <si>
    <t xml:space="preserve">Premium Growth Rate</t>
  </si>
  <si>
    <t xml:space="preserve">FY Commission Amount (₹)</t>
  </si>
  <si>
    <t xml:space="preserve">CAC (₹)</t>
  </si>
  <si>
    <t xml:space="preserve">Annual Servicing Cost (₹)</t>
  </si>
  <si>
    <t xml:space="preserve">Retention Rate</t>
  </si>
  <si>
    <t xml:space="preserve">Year 5 Cumulative Profit (₹)</t>
  </si>
  <si>
    <t xml:space="preserve">Year 10 Cumulative Profit (₹)</t>
  </si>
  <si>
    <t xml:space="preserve">Year 15 Cumulative Profit (₹)</t>
  </si>
  <si>
    <t xml:space="preserve">Surviving of 100 at Year 10</t>
  </si>
  <si>
    <t xml:space="preserve">KEY INSIGHT</t>
  </si>
  <si>
    <t xml:space="preserve">Health: Negative Year 1 margin → compounds positively over years via renewals on growing premium base</t>
  </si>
  <si>
    <t xml:space="preserve">Term: Positive Year 1 margin → flatlines because premium is fixed and renewal trail is minimal</t>
  </si>
  <si>
    <t xml:space="preserve">Health post-reg: Both FY AND renewal cuts → LTV destruction (the tail gets thinner AND shorter)</t>
  </si>
  <si>
    <t xml:space="preserve">Term post-reg: FY cut but renewal INCREASE → LTV deferral (same total, shifted rightward in time)</t>
  </si>
  <si>
    <t xml:space="preserve">The asymmetry: Health is VALUE DESTRUCTION, Term is TIMING SHIFT</t>
  </si>
  <si>
    <t xml:space="preserve">All yellow cells are editable inputs — change assumptions to test scenarios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</si>
</sst>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₹#,##0"/>
    <numFmt numFmtId="166" formatCode="0.0%"/>
    <numFmt numFmtId="167" formatCode="\₹#,##0;&quot;(₹&quot;#,##0\);\-"/>
    <numFmt numFmtId="168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2F5496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6E4F0"/>
        <bgColor rgb="FFF2F2F2"/>
      </patternFill>
    </fill>
    <fill>
      <patternFill patternType="solid">
        <fgColor rgb="FFFDE9D9"/>
        <bgColor rgb="FFFFF2CC"/>
      </patternFill>
    </fill>
    <fill>
      <patternFill patternType="solid">
        <fgColor rgb="FFF2F2F2"/>
        <bgColor rgb="FFFDE9D9"/>
      </patternFill>
    </fill>
    <fill>
      <patternFill patternType="solid">
        <fgColor rgb="FFFFF2CC"/>
        <bgColor rgb="FFFDE9D9"/>
      </patternFill>
    </fill>
    <fill>
      <patternFill patternType="solid">
        <fgColor rgb="FF2F5496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H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/>
      <c r="B3" s="3" t="s">
        <v>1</v>
      </c>
      <c r="C3" s="3"/>
      <c r="D3" s="3"/>
      <c r="E3" s="4" t="s">
        <v>2</v>
      </c>
      <c r="F3" s="4"/>
      <c r="G3" s="4"/>
      <c r="H3" s="2" t="s">
        <v>3</v>
      </c>
    </row>
    <row r="5" customFormat="false" ht="15" hidden="false" customHeight="false" outlineLevel="0" collapsed="false">
      <c r="A5" s="5" t="s">
        <v>4</v>
      </c>
      <c r="B5" s="6"/>
      <c r="C5" s="6"/>
      <c r="D5" s="6"/>
      <c r="E5" s="6"/>
      <c r="F5" s="6"/>
      <c r="G5" s="6"/>
      <c r="H5" s="6"/>
    </row>
    <row r="6" customFormat="false" ht="15" hidden="false" customHeight="false" outlineLevel="0" collapsed="false">
      <c r="A6" s="7" t="s">
        <v>5</v>
      </c>
      <c r="B6" s="8" t="s">
        <v>6</v>
      </c>
      <c r="C6" s="9" t="s">
        <v>7</v>
      </c>
      <c r="D6" s="7" t="s">
        <v>8</v>
      </c>
    </row>
    <row r="7" customFormat="false" ht="15" hidden="false" customHeight="false" outlineLevel="0" collapsed="false">
      <c r="A7" s="10" t="s">
        <v>9</v>
      </c>
      <c r="B7" s="11" t="n">
        <v>25000</v>
      </c>
      <c r="C7" s="11" t="n">
        <v>25000</v>
      </c>
      <c r="D7" s="12" t="s">
        <v>10</v>
      </c>
    </row>
    <row r="8" customFormat="false" ht="15" hidden="false" customHeight="false" outlineLevel="0" collapsed="false">
      <c r="A8" s="10" t="s">
        <v>11</v>
      </c>
      <c r="B8" s="13" t="n">
        <v>0.08</v>
      </c>
      <c r="C8" s="13" t="n">
        <v>0.08</v>
      </c>
      <c r="D8" s="12" t="s">
        <v>12</v>
      </c>
    </row>
    <row r="9" customFormat="false" ht="15" hidden="false" customHeight="false" outlineLevel="0" collapsed="false">
      <c r="A9" s="10" t="s">
        <v>13</v>
      </c>
      <c r="B9" s="13" t="n">
        <v>0.22</v>
      </c>
      <c r="C9" s="13" t="n">
        <v>0.15</v>
      </c>
      <c r="D9" s="12" t="s">
        <v>14</v>
      </c>
    </row>
    <row r="10" customFormat="false" ht="15" hidden="false" customHeight="false" outlineLevel="0" collapsed="false">
      <c r="A10" s="10" t="s">
        <v>15</v>
      </c>
      <c r="B10" s="13" t="n">
        <v>0.12</v>
      </c>
      <c r="C10" s="13" t="n">
        <v>0.05</v>
      </c>
      <c r="D10" s="12" t="s">
        <v>14</v>
      </c>
    </row>
    <row r="11" customFormat="false" ht="15" hidden="false" customHeight="false" outlineLevel="0" collapsed="false">
      <c r="A11" s="10" t="s">
        <v>16</v>
      </c>
      <c r="B11" s="11" t="n">
        <v>10000</v>
      </c>
      <c r="C11" s="11" t="n">
        <v>10000</v>
      </c>
      <c r="D11" s="12" t="s">
        <v>17</v>
      </c>
    </row>
    <row r="12" customFormat="false" ht="15" hidden="false" customHeight="false" outlineLevel="0" collapsed="false">
      <c r="A12" s="10" t="s">
        <v>18</v>
      </c>
      <c r="B12" s="14" t="n">
        <v>7</v>
      </c>
      <c r="C12" s="14" t="n">
        <v>7</v>
      </c>
      <c r="D12" s="12" t="s">
        <v>19</v>
      </c>
    </row>
    <row r="13" customFormat="false" ht="15" hidden="false" customHeight="false" outlineLevel="0" collapsed="false">
      <c r="A13" s="10" t="s">
        <v>20</v>
      </c>
      <c r="B13" s="11" t="n">
        <v>800</v>
      </c>
      <c r="C13" s="11" t="n">
        <v>800</v>
      </c>
      <c r="D13" s="12" t="s">
        <v>21</v>
      </c>
    </row>
    <row r="14" customFormat="false" ht="15" hidden="false" customHeight="false" outlineLevel="0" collapsed="false">
      <c r="A14" s="10" t="s">
        <v>22</v>
      </c>
      <c r="B14" s="11" t="n">
        <v>1500</v>
      </c>
      <c r="C14" s="11" t="n">
        <v>1500</v>
      </c>
      <c r="D14" s="12" t="s">
        <v>23</v>
      </c>
    </row>
    <row r="15" customFormat="false" ht="15" hidden="false" customHeight="false" outlineLevel="0" collapsed="false">
      <c r="A15" s="10" t="s">
        <v>24</v>
      </c>
      <c r="B15" s="13" t="n">
        <v>0.05</v>
      </c>
      <c r="C15" s="13" t="n">
        <v>0.05</v>
      </c>
      <c r="D15" s="12" t="s">
        <v>25</v>
      </c>
    </row>
    <row r="16" customFormat="false" ht="15" hidden="false" customHeight="false" outlineLevel="0" collapsed="false">
      <c r="A16" s="10" t="s">
        <v>26</v>
      </c>
      <c r="B16" s="13" t="n">
        <v>0.9</v>
      </c>
      <c r="C16" s="13" t="n">
        <v>0.85</v>
      </c>
      <c r="D16" s="12" t="s">
        <v>27</v>
      </c>
    </row>
    <row r="17" customFormat="false" ht="15" hidden="false" customHeight="false" outlineLevel="0" collapsed="false">
      <c r="A17" s="10" t="s">
        <v>28</v>
      </c>
      <c r="B17" s="14" t="n">
        <v>15</v>
      </c>
      <c r="C17" s="14" t="n">
        <v>15</v>
      </c>
      <c r="D17" s="12"/>
    </row>
    <row r="19" customFormat="false" ht="15" hidden="false" customHeight="false" outlineLevel="0" collapsed="false">
      <c r="A19" s="15" t="s">
        <v>29</v>
      </c>
      <c r="B19" s="16"/>
      <c r="C19" s="16"/>
      <c r="D19" s="16"/>
      <c r="E19" s="16"/>
      <c r="F19" s="16"/>
      <c r="G19" s="16"/>
      <c r="H19" s="16"/>
    </row>
    <row r="20" customFormat="false" ht="15" hidden="false" customHeight="false" outlineLevel="0" collapsed="false">
      <c r="A20" s="17" t="s">
        <v>30</v>
      </c>
      <c r="B20" s="17" t="s">
        <v>31</v>
      </c>
      <c r="C20" s="17" t="s">
        <v>32</v>
      </c>
      <c r="D20" s="17" t="s">
        <v>33</v>
      </c>
      <c r="E20" s="17" t="s">
        <v>34</v>
      </c>
      <c r="F20" s="17" t="s">
        <v>35</v>
      </c>
      <c r="G20" s="17" t="s">
        <v>36</v>
      </c>
      <c r="H20" s="17" t="s">
        <v>37</v>
      </c>
    </row>
    <row r="21" customFormat="false" ht="15" hidden="false" customHeight="false" outlineLevel="0" collapsed="false">
      <c r="A21" s="10" t="s">
        <v>38</v>
      </c>
      <c r="B21" s="18" t="n">
        <f aca="false">$B$7</f>
        <v>25000</v>
      </c>
      <c r="C21" s="18" t="n">
        <f aca="false">$B$7*(1+$B$8)^1</f>
        <v>27000</v>
      </c>
      <c r="D21" s="18" t="n">
        <f aca="false">$B$7*(1+$B$8)^2</f>
        <v>29160</v>
      </c>
      <c r="E21" s="18" t="n">
        <f aca="false">$B$7*(1+$B$8)^4</f>
        <v>34012.224</v>
      </c>
      <c r="F21" s="18" t="n">
        <f aca="false">$B$7*(1+$B$8)^6</f>
        <v>39671.8580736</v>
      </c>
      <c r="G21" s="18" t="n">
        <f aca="false">$B$7*(1+$B$8)^9</f>
        <v>49975.1156776108</v>
      </c>
      <c r="H21" s="18" t="n">
        <f aca="false">$B$7*(1+$B$8)^14</f>
        <v>73429.8406064415</v>
      </c>
    </row>
    <row r="22" customFormat="false" ht="15" hidden="false" customHeight="false" outlineLevel="0" collapsed="false">
      <c r="A22" s="10" t="s">
        <v>39</v>
      </c>
      <c r="B22" s="18" t="n">
        <f aca="false">B21*$B$9</f>
        <v>5500</v>
      </c>
      <c r="C22" s="18" t="n">
        <f aca="false">C21*$B$10</f>
        <v>3240</v>
      </c>
      <c r="D22" s="18" t="n">
        <f aca="false">D21*$B$10</f>
        <v>3499.2</v>
      </c>
      <c r="E22" s="18" t="n">
        <f aca="false">E21*$B$10</f>
        <v>4081.46688</v>
      </c>
      <c r="F22" s="18" t="n">
        <f aca="false">F21*$B$10</f>
        <v>4760.622968832</v>
      </c>
      <c r="G22" s="18" t="n">
        <f aca="false">G21*$B$10</f>
        <v>5997.0138813133</v>
      </c>
      <c r="H22" s="18" t="n">
        <f aca="false">H21*$B$10</f>
        <v>8811.58087277298</v>
      </c>
    </row>
    <row r="23" customFormat="false" ht="15" hidden="false" customHeight="false" outlineLevel="0" collapsed="false">
      <c r="A23" s="10" t="s">
        <v>40</v>
      </c>
      <c r="B23" s="18" t="n">
        <f aca="false">$B$11</f>
        <v>10000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</row>
    <row r="24" customFormat="false" ht="15" hidden="false" customHeight="false" outlineLevel="0" collapsed="false">
      <c r="A24" s="10" t="s">
        <v>41</v>
      </c>
      <c r="B24" s="18" t="n">
        <f aca="false">$B$14</f>
        <v>1500</v>
      </c>
      <c r="C24" s="18" t="n">
        <f aca="false">$B$14*(1+$B$15)^1</f>
        <v>1575</v>
      </c>
      <c r="D24" s="18" t="n">
        <f aca="false">$B$14*(1+$B$15)^2</f>
        <v>1653.75</v>
      </c>
      <c r="E24" s="18" t="n">
        <f aca="false">$B$14*(1+$B$15)^4</f>
        <v>1823.259375</v>
      </c>
      <c r="F24" s="18" t="n">
        <f aca="false">$B$14*(1+$B$15)^6</f>
        <v>2010.1434609375</v>
      </c>
      <c r="G24" s="18" t="n">
        <f aca="false">$B$14*(1+$B$15)^9</f>
        <v>2326.99232396777</v>
      </c>
      <c r="H24" s="18" t="n">
        <f aca="false">$B$14*(1+$B$15)^14</f>
        <v>2969.8973991591</v>
      </c>
    </row>
    <row r="25" customFormat="false" ht="15" hidden="false" customHeight="false" outlineLevel="0" collapsed="false">
      <c r="A25" s="10" t="s">
        <v>42</v>
      </c>
      <c r="B25" s="18" t="n">
        <f aca="false">B23+B24</f>
        <v>11500</v>
      </c>
      <c r="C25" s="18" t="n">
        <f aca="false">C23+C24</f>
        <v>1575</v>
      </c>
      <c r="D25" s="18" t="n">
        <f aca="false">D23+D24</f>
        <v>1653.75</v>
      </c>
      <c r="E25" s="18" t="n">
        <f aca="false">E23+E24</f>
        <v>1823.259375</v>
      </c>
      <c r="F25" s="18" t="n">
        <f aca="false">F23+F24</f>
        <v>2010.1434609375</v>
      </c>
      <c r="G25" s="18" t="n">
        <f aca="false">G23+G24</f>
        <v>2326.99232396777</v>
      </c>
      <c r="H25" s="18" t="n">
        <f aca="false">H23+H24</f>
        <v>2969.8973991591</v>
      </c>
    </row>
    <row r="26" customFormat="false" ht="15" hidden="false" customHeight="false" outlineLevel="0" collapsed="false">
      <c r="A26" s="10" t="s">
        <v>43</v>
      </c>
      <c r="B26" s="19" t="n">
        <f aca="false">B22-B25</f>
        <v>-6000</v>
      </c>
      <c r="C26" s="19" t="n">
        <f aca="false">C22-C25</f>
        <v>1665</v>
      </c>
      <c r="D26" s="19" t="n">
        <f aca="false">D22-D25</f>
        <v>1845.45</v>
      </c>
      <c r="E26" s="19" t="n">
        <f aca="false">E22-E25</f>
        <v>2258.207505</v>
      </c>
      <c r="F26" s="19" t="n">
        <f aca="false">F22-F25</f>
        <v>2750.4795078945</v>
      </c>
      <c r="G26" s="19" t="n">
        <f aca="false">G22-G25</f>
        <v>3670.02155734553</v>
      </c>
      <c r="H26" s="19" t="n">
        <f aca="false">H22-H25</f>
        <v>5841.68347361388</v>
      </c>
    </row>
    <row r="27" customFormat="false" ht="15" hidden="false" customHeight="false" outlineLevel="0" collapsed="false">
      <c r="A27" s="10" t="s">
        <v>44</v>
      </c>
      <c r="B27" s="18" t="n">
        <f aca="false">B22</f>
        <v>5500</v>
      </c>
      <c r="C27" s="18" t="n">
        <f aca="false">$B$7*$B$9+$B$10*$B$7*((1+$B$8)^2-(1+$B$8))/$B$8</f>
        <v>8740</v>
      </c>
      <c r="D27" s="18" t="n">
        <f aca="false">$B$7*$B$9+$B$10*$B$7*((1+$B$8)^3-(1+$B$8))/$B$8</f>
        <v>12239.2</v>
      </c>
      <c r="E27" s="18" t="n">
        <f aca="false">$B$7*$B$9+$B$10*$B$7*((1+$B$8)^5-(1+$B$8))/$B$8</f>
        <v>20099.80288</v>
      </c>
      <c r="F27" s="18" t="n">
        <f aca="false">$B$7*$B$9+$B$10*$B$7*((1+$B$8)^7-(1+$B$8))/$B$8</f>
        <v>29268.410079232</v>
      </c>
      <c r="G27" s="18" t="n">
        <f aca="false">$B$7*$B$9+$B$10*$B$7*((1+$B$8)^10-(1+$B$8))/$B$8</f>
        <v>45959.6873977296</v>
      </c>
      <c r="H27" s="18" t="n">
        <f aca="false">$B$7*$B$9+$B$10*$B$7*((1+$B$8)^15-(1+$B$8))/$B$8</f>
        <v>83956.3417824352</v>
      </c>
    </row>
    <row r="28" customFormat="false" ht="15" hidden="false" customHeight="false" outlineLevel="0" collapsed="false">
      <c r="A28" s="10" t="s">
        <v>45</v>
      </c>
      <c r="B28" s="18" t="n">
        <f aca="false">$B$11+$B$14*((1+$B$15)^1-1)/$B$15</f>
        <v>11500</v>
      </c>
      <c r="C28" s="18" t="n">
        <f aca="false">$B$11+$B$14*((1+$B$15)^2-1)/$B$15</f>
        <v>13075</v>
      </c>
      <c r="D28" s="18" t="n">
        <f aca="false">$B$11+$B$14*((1+$B$15)^3-1)/$B$15</f>
        <v>14728.75</v>
      </c>
      <c r="E28" s="18" t="n">
        <f aca="false">$B$11+$B$14*((1+$B$15)^5-1)/$B$15</f>
        <v>18288.446875</v>
      </c>
      <c r="F28" s="18" t="n">
        <f aca="false">$B$11+$B$14*((1+$B$15)^7-1)/$B$15</f>
        <v>22213.0126796875</v>
      </c>
      <c r="G28" s="18" t="n">
        <f aca="false">$B$11+$B$14*((1+$B$15)^10-1)/$B$15</f>
        <v>28866.8388033233</v>
      </c>
      <c r="H28" s="18" t="n">
        <f aca="false">$B$11+$B$14*((1+$B$15)^15-1)/$B$15</f>
        <v>42367.8453823411</v>
      </c>
    </row>
    <row r="29" customFormat="false" ht="15" hidden="false" customHeight="false" outlineLevel="0" collapsed="false">
      <c r="A29" s="10" t="s">
        <v>46</v>
      </c>
      <c r="B29" s="19" t="n">
        <f aca="false">B27-B28</f>
        <v>-6000</v>
      </c>
      <c r="C29" s="19" t="n">
        <f aca="false">C27-C28</f>
        <v>-4335</v>
      </c>
      <c r="D29" s="19" t="n">
        <f aca="false">D27-D28</f>
        <v>-2489.55</v>
      </c>
      <c r="E29" s="19" t="n">
        <f aca="false">E27-E28</f>
        <v>1811.35600500001</v>
      </c>
      <c r="F29" s="19" t="n">
        <f aca="false">F27-F28</f>
        <v>7055.39739954452</v>
      </c>
      <c r="G29" s="19" t="n">
        <f aca="false">G27-G28</f>
        <v>17092.8485944063</v>
      </c>
      <c r="H29" s="19" t="n">
        <f aca="false">H27-H28</f>
        <v>41588.4964000941</v>
      </c>
    </row>
    <row r="30" customFormat="false" ht="15" hidden="false" customHeight="false" outlineLevel="0" collapsed="false">
      <c r="A30" s="10" t="s">
        <v>47</v>
      </c>
      <c r="B30" s="20" t="n">
        <v>100</v>
      </c>
      <c r="C30" s="20" t="n">
        <f aca="false">100*$B$16^1</f>
        <v>90</v>
      </c>
      <c r="D30" s="20" t="n">
        <f aca="false">100*$B$16^2</f>
        <v>81</v>
      </c>
      <c r="E30" s="20" t="n">
        <f aca="false">100*$B$16^4</f>
        <v>65.61</v>
      </c>
      <c r="F30" s="20" t="n">
        <f aca="false">100*$B$16^6</f>
        <v>53.1441</v>
      </c>
      <c r="G30" s="20" t="n">
        <f aca="false">100*$B$16^9</f>
        <v>38.7420489</v>
      </c>
      <c r="H30" s="20" t="n">
        <f aca="false">100*$B$16^14</f>
        <v>22.876792454961</v>
      </c>
    </row>
    <row r="31" customFormat="false" ht="15" hidden="false" customHeight="false" outlineLevel="0" collapsed="false">
      <c r="A31" s="10" t="s">
        <v>48</v>
      </c>
      <c r="B31" s="18" t="n">
        <f aca="false">B27*B30/100</f>
        <v>5500</v>
      </c>
      <c r="C31" s="18" t="n">
        <f aca="false">C27*C30/100</f>
        <v>7866</v>
      </c>
      <c r="D31" s="18" t="n">
        <f aca="false">D27*D30/100</f>
        <v>9913.752</v>
      </c>
      <c r="E31" s="18" t="n">
        <f aca="false">E27*E30/100</f>
        <v>13187.480669568</v>
      </c>
      <c r="F31" s="18" t="n">
        <f aca="false">F27*F30/100</f>
        <v>15554.4331209172</v>
      </c>
      <c r="G31" s="18" t="n">
        <f aca="false">G27*G30/100</f>
        <v>17805.7245659155</v>
      </c>
      <c r="H31" s="18" t="n">
        <f aca="false">H27*H30/100</f>
        <v>19206.5180623454</v>
      </c>
    </row>
    <row r="32" customFormat="false" ht="15" hidden="false" customHeight="false" outlineLevel="0" collapsed="false">
      <c r="A32" s="10" t="s">
        <v>49</v>
      </c>
      <c r="B32" s="19" t="n">
        <f aca="false">B29*B30/100</f>
        <v>-6000</v>
      </c>
      <c r="C32" s="19" t="n">
        <f aca="false">C29*C30/100</f>
        <v>-3901.5</v>
      </c>
      <c r="D32" s="19" t="n">
        <f aca="false">D29*D30/100</f>
        <v>-2016.5355</v>
      </c>
      <c r="E32" s="19" t="n">
        <f aca="false">E29*E30/100</f>
        <v>1188.43067488051</v>
      </c>
      <c r="F32" s="19" t="n">
        <f aca="false">F29*F30/100</f>
        <v>3749.52744941134</v>
      </c>
      <c r="G32" s="19" t="n">
        <f aca="false">G29*G30/100</f>
        <v>6622.11976084785</v>
      </c>
      <c r="H32" s="19" t="n">
        <f aca="false">H29*H30/100</f>
        <v>9514.11400658847</v>
      </c>
    </row>
    <row r="34" customFormat="false" ht="15" hidden="false" customHeight="false" outlineLevel="0" collapsed="false">
      <c r="A34" s="21" t="s">
        <v>50</v>
      </c>
      <c r="B34" s="22"/>
      <c r="C34" s="22"/>
      <c r="D34" s="22"/>
      <c r="E34" s="22"/>
      <c r="F34" s="22"/>
      <c r="G34" s="22"/>
      <c r="H34" s="22"/>
    </row>
    <row r="35" customFormat="false" ht="15" hidden="false" customHeight="false" outlineLevel="0" collapsed="false">
      <c r="A35" s="17" t="s">
        <v>30</v>
      </c>
      <c r="B35" s="17" t="s">
        <v>31</v>
      </c>
      <c r="C35" s="17" t="s">
        <v>32</v>
      </c>
      <c r="D35" s="17" t="s">
        <v>33</v>
      </c>
      <c r="E35" s="17" t="s">
        <v>34</v>
      </c>
      <c r="F35" s="17" t="s">
        <v>35</v>
      </c>
      <c r="G35" s="17" t="s">
        <v>36</v>
      </c>
      <c r="H35" s="17" t="s">
        <v>37</v>
      </c>
    </row>
    <row r="36" customFormat="false" ht="15" hidden="false" customHeight="false" outlineLevel="0" collapsed="false">
      <c r="A36" s="10" t="s">
        <v>38</v>
      </c>
      <c r="B36" s="18" t="n">
        <f aca="false">$C$7</f>
        <v>25000</v>
      </c>
      <c r="C36" s="18" t="n">
        <f aca="false">$C$7*(1+$C$8)^1</f>
        <v>27000</v>
      </c>
      <c r="D36" s="18" t="n">
        <f aca="false">$C$7*(1+$C$8)^2</f>
        <v>29160</v>
      </c>
      <c r="E36" s="18" t="n">
        <f aca="false">$C$7*(1+$C$8)^4</f>
        <v>34012.224</v>
      </c>
      <c r="F36" s="18" t="n">
        <f aca="false">$C$7*(1+$C$8)^6</f>
        <v>39671.8580736</v>
      </c>
      <c r="G36" s="18" t="n">
        <f aca="false">$C$7*(1+$C$8)^9</f>
        <v>49975.1156776108</v>
      </c>
      <c r="H36" s="18" t="n">
        <f aca="false">$C$7*(1+$C$8)^14</f>
        <v>73429.8406064415</v>
      </c>
    </row>
    <row r="37" customFormat="false" ht="15" hidden="false" customHeight="false" outlineLevel="0" collapsed="false">
      <c r="A37" s="10" t="s">
        <v>39</v>
      </c>
      <c r="B37" s="18" t="n">
        <f aca="false">B36*$C$9</f>
        <v>3750</v>
      </c>
      <c r="C37" s="18" t="n">
        <f aca="false">C36*$C$10</f>
        <v>1350</v>
      </c>
      <c r="D37" s="18" t="n">
        <f aca="false">D36*$C$10</f>
        <v>1458</v>
      </c>
      <c r="E37" s="18" t="n">
        <f aca="false">E36*$C$10</f>
        <v>1700.6112</v>
      </c>
      <c r="F37" s="18" t="n">
        <f aca="false">F36*$C$10</f>
        <v>1983.59290368</v>
      </c>
      <c r="G37" s="18" t="n">
        <f aca="false">G36*$C$10</f>
        <v>2498.75578388054</v>
      </c>
      <c r="H37" s="18" t="n">
        <f aca="false">H36*$C$10</f>
        <v>3671.49203032207</v>
      </c>
    </row>
    <row r="38" customFormat="false" ht="15" hidden="false" customHeight="false" outlineLevel="0" collapsed="false">
      <c r="A38" s="10" t="s">
        <v>40</v>
      </c>
      <c r="B38" s="18" t="n">
        <f aca="false">$C$11</f>
        <v>10000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</row>
    <row r="39" customFormat="false" ht="15" hidden="false" customHeight="false" outlineLevel="0" collapsed="false">
      <c r="A39" s="10" t="s">
        <v>41</v>
      </c>
      <c r="B39" s="18" t="n">
        <f aca="false">$C$14</f>
        <v>1500</v>
      </c>
      <c r="C39" s="18" t="n">
        <f aca="false">$C$14*(1+$C$15)^1</f>
        <v>1575</v>
      </c>
      <c r="D39" s="18" t="n">
        <f aca="false">$C$14*(1+$C$15)^2</f>
        <v>1653.75</v>
      </c>
      <c r="E39" s="18" t="n">
        <f aca="false">$C$14*(1+$C$15)^4</f>
        <v>1823.259375</v>
      </c>
      <c r="F39" s="18" t="n">
        <f aca="false">$C$14*(1+$C$15)^6</f>
        <v>2010.1434609375</v>
      </c>
      <c r="G39" s="18" t="n">
        <f aca="false">$C$14*(1+$C$15)^9</f>
        <v>2326.99232396777</v>
      </c>
      <c r="H39" s="18" t="n">
        <f aca="false">$C$14*(1+$C$15)^14</f>
        <v>2969.8973991591</v>
      </c>
    </row>
    <row r="40" customFormat="false" ht="15" hidden="false" customHeight="false" outlineLevel="0" collapsed="false">
      <c r="A40" s="10" t="s">
        <v>42</v>
      </c>
      <c r="B40" s="18" t="n">
        <f aca="false">B38+B39</f>
        <v>11500</v>
      </c>
      <c r="C40" s="18" t="n">
        <f aca="false">C38+C39</f>
        <v>1575</v>
      </c>
      <c r="D40" s="18" t="n">
        <f aca="false">D38+D39</f>
        <v>1653.75</v>
      </c>
      <c r="E40" s="18" t="n">
        <f aca="false">E38+E39</f>
        <v>1823.259375</v>
      </c>
      <c r="F40" s="18" t="n">
        <f aca="false">F38+F39</f>
        <v>2010.1434609375</v>
      </c>
      <c r="G40" s="18" t="n">
        <f aca="false">G38+G39</f>
        <v>2326.99232396777</v>
      </c>
      <c r="H40" s="18" t="n">
        <f aca="false">H38+H39</f>
        <v>2969.8973991591</v>
      </c>
    </row>
    <row r="41" customFormat="false" ht="15" hidden="false" customHeight="false" outlineLevel="0" collapsed="false">
      <c r="A41" s="10" t="s">
        <v>43</v>
      </c>
      <c r="B41" s="19" t="n">
        <f aca="false">B37-B40</f>
        <v>-7750</v>
      </c>
      <c r="C41" s="19" t="n">
        <f aca="false">C37-C40</f>
        <v>-225</v>
      </c>
      <c r="D41" s="19" t="n">
        <f aca="false">D37-D40</f>
        <v>-195.75</v>
      </c>
      <c r="E41" s="19" t="n">
        <f aca="false">E37-E40</f>
        <v>-122.648175</v>
      </c>
      <c r="F41" s="19" t="n">
        <f aca="false">F37-F40</f>
        <v>-26.5505572574998</v>
      </c>
      <c r="G41" s="19" t="n">
        <f aca="false">G37-G40</f>
        <v>171.763459912768</v>
      </c>
      <c r="H41" s="19" t="n">
        <f aca="false">H37-H40</f>
        <v>701.594631162976</v>
      </c>
    </row>
    <row r="42" customFormat="false" ht="15" hidden="false" customHeight="false" outlineLevel="0" collapsed="false">
      <c r="A42" s="10" t="s">
        <v>44</v>
      </c>
      <c r="B42" s="18" t="n">
        <f aca="false">B37</f>
        <v>3750</v>
      </c>
      <c r="C42" s="18" t="n">
        <f aca="false">$C$7*$C$9+$C$10*$C$7*((1+$C$8)^2-(1+$C$8))/$C$8</f>
        <v>5100</v>
      </c>
      <c r="D42" s="18" t="n">
        <f aca="false">$C$7*$C$9+$C$10*$C$7*((1+$C$8)^3-(1+$C$8))/$C$8</f>
        <v>6558</v>
      </c>
      <c r="E42" s="18" t="n">
        <f aca="false">$C$7*$C$9+$C$10*$C$7*((1+$C$8)^5-(1+$C$8))/$C$8</f>
        <v>9833.25120000001</v>
      </c>
      <c r="F42" s="18" t="n">
        <f aca="false">$C$7*$C$9+$C$10*$C$7*((1+$C$8)^7-(1+$C$8))/$C$8</f>
        <v>13653.50419968</v>
      </c>
      <c r="G42" s="18" t="n">
        <f aca="false">$C$7*$C$9+$C$10*$C$7*((1+$C$8)^10-(1+$C$8))/$C$8</f>
        <v>20608.2030823873</v>
      </c>
      <c r="H42" s="18" t="n">
        <f aca="false">$C$7*$C$9+$C$10*$C$7*((1+$C$8)^15-(1+$C$8))/$C$8</f>
        <v>36440.142409348</v>
      </c>
    </row>
    <row r="43" customFormat="false" ht="15" hidden="false" customHeight="false" outlineLevel="0" collapsed="false">
      <c r="A43" s="10" t="s">
        <v>45</v>
      </c>
      <c r="B43" s="18" t="n">
        <f aca="false">$C$11+$C$14*((1+$C$15)^1-1)/$C$15</f>
        <v>11500</v>
      </c>
      <c r="C43" s="18" t="n">
        <f aca="false">$C$11+$C$14*((1+$C$15)^2-1)/$C$15</f>
        <v>13075</v>
      </c>
      <c r="D43" s="18" t="n">
        <f aca="false">$C$11+$C$14*((1+$C$15)^3-1)/$C$15</f>
        <v>14728.75</v>
      </c>
      <c r="E43" s="18" t="n">
        <f aca="false">$C$11+$C$14*((1+$C$15)^5-1)/$C$15</f>
        <v>18288.446875</v>
      </c>
      <c r="F43" s="18" t="n">
        <f aca="false">$C$11+$C$14*((1+$C$15)^7-1)/$C$15</f>
        <v>22213.0126796875</v>
      </c>
      <c r="G43" s="18" t="n">
        <f aca="false">$C$11+$C$14*((1+$C$15)^10-1)/$C$15</f>
        <v>28866.8388033233</v>
      </c>
      <c r="H43" s="18" t="n">
        <f aca="false">$C$11+$C$14*((1+$C$15)^15-1)/$C$15</f>
        <v>42367.8453823411</v>
      </c>
    </row>
    <row r="44" customFormat="false" ht="15" hidden="false" customHeight="false" outlineLevel="0" collapsed="false">
      <c r="A44" s="10" t="s">
        <v>46</v>
      </c>
      <c r="B44" s="19" t="n">
        <f aca="false">B42-B43</f>
        <v>-7750</v>
      </c>
      <c r="C44" s="19" t="n">
        <f aca="false">C42-C43</f>
        <v>-7975</v>
      </c>
      <c r="D44" s="19" t="n">
        <f aca="false">D42-D43</f>
        <v>-8170.75</v>
      </c>
      <c r="E44" s="19" t="n">
        <f aca="false">E42-E43</f>
        <v>-8455.195675</v>
      </c>
      <c r="F44" s="19" t="n">
        <f aca="false">F42-F43</f>
        <v>-8559.5084800075</v>
      </c>
      <c r="G44" s="19" t="n">
        <f aca="false">G42-G43</f>
        <v>-8258.63572093595</v>
      </c>
      <c r="H44" s="19" t="n">
        <f aca="false">H42-H43</f>
        <v>-5927.70297299306</v>
      </c>
    </row>
    <row r="45" customFormat="false" ht="15" hidden="false" customHeight="false" outlineLevel="0" collapsed="false">
      <c r="A45" s="10" t="s">
        <v>47</v>
      </c>
      <c r="B45" s="20" t="n">
        <v>100</v>
      </c>
      <c r="C45" s="20" t="n">
        <f aca="false">100*$C$16^1</f>
        <v>85</v>
      </c>
      <c r="D45" s="20" t="n">
        <f aca="false">100*$C$16^2</f>
        <v>72.25</v>
      </c>
      <c r="E45" s="20" t="n">
        <f aca="false">100*$C$16^4</f>
        <v>52.200625</v>
      </c>
      <c r="F45" s="20" t="n">
        <f aca="false">100*$C$16^6</f>
        <v>37.7149515625</v>
      </c>
      <c r="G45" s="20" t="n">
        <f aca="false">100*$C$16^9</f>
        <v>23.1616946283203</v>
      </c>
      <c r="H45" s="20" t="n">
        <f aca="false">100*$C$16^14</f>
        <v>10.2769669530884</v>
      </c>
    </row>
    <row r="46" customFormat="false" ht="15" hidden="false" customHeight="false" outlineLevel="0" collapsed="false">
      <c r="A46" s="10" t="s">
        <v>48</v>
      </c>
      <c r="B46" s="18" t="n">
        <f aca="false">B42*B45/100</f>
        <v>3750</v>
      </c>
      <c r="C46" s="18" t="n">
        <f aca="false">C42*C45/100</f>
        <v>4335</v>
      </c>
      <c r="D46" s="18" t="n">
        <f aca="false">D42*D45/100</f>
        <v>4738.155</v>
      </c>
      <c r="E46" s="18" t="n">
        <f aca="false">E42*E45/100</f>
        <v>5133.01858422</v>
      </c>
      <c r="F46" s="18" t="n">
        <f aca="false">F42*F45/100</f>
        <v>5149.41249549322</v>
      </c>
      <c r="G46" s="18" t="n">
        <f aca="false">G42*G45/100</f>
        <v>4773.20906632664</v>
      </c>
      <c r="H46" s="18" t="n">
        <f aca="false">H42*H45/100</f>
        <v>3744.94139306706</v>
      </c>
    </row>
    <row r="47" customFormat="false" ht="15" hidden="false" customHeight="false" outlineLevel="0" collapsed="false">
      <c r="A47" s="10" t="s">
        <v>49</v>
      </c>
      <c r="B47" s="19" t="n">
        <f aca="false">B44*B45/100</f>
        <v>-7750</v>
      </c>
      <c r="C47" s="19" t="n">
        <f aca="false">C44*C45/100</f>
        <v>-6778.75</v>
      </c>
      <c r="D47" s="19" t="n">
        <f aca="false">D44*D45/100</f>
        <v>-5903.366875</v>
      </c>
      <c r="E47" s="19" t="n">
        <f aca="false">E44*E45/100</f>
        <v>-4413.66498732297</v>
      </c>
      <c r="F47" s="19" t="n">
        <f aca="false">F44*F45/100</f>
        <v>-3228.21447722291</v>
      </c>
      <c r="G47" s="19" t="n">
        <f aca="false">G44*G45/100</f>
        <v>-1912.83998614856</v>
      </c>
      <c r="H47" s="19" t="n">
        <f aca="false">H44*H45/100</f>
        <v>-609.188075611737</v>
      </c>
    </row>
    <row r="50" customFormat="false" ht="15" hidden="false" customHeight="false" outlineLevel="0" collapsed="false">
      <c r="A50" s="5" t="s">
        <v>51</v>
      </c>
      <c r="B50" s="6"/>
      <c r="C50" s="6"/>
      <c r="D50" s="6"/>
    </row>
    <row r="51" customFormat="false" ht="15" hidden="false" customHeight="false" outlineLevel="0" collapsed="false">
      <c r="A51" s="7" t="s">
        <v>30</v>
      </c>
      <c r="B51" s="7" t="s">
        <v>6</v>
      </c>
      <c r="C51" s="7" t="s">
        <v>7</v>
      </c>
      <c r="D51" s="7" t="s">
        <v>3</v>
      </c>
    </row>
    <row r="52" customFormat="false" ht="15" hidden="false" customHeight="false" outlineLevel="0" collapsed="false">
      <c r="A52" s="10" t="s">
        <v>52</v>
      </c>
      <c r="B52" s="19" t="n">
        <f aca="false">B22</f>
        <v>5500</v>
      </c>
      <c r="C52" s="19" t="n">
        <f aca="false">B37</f>
        <v>3750</v>
      </c>
      <c r="D52" s="23" t="n">
        <f aca="false">IF(B52=0,"N/A",(C52-B52)/ABS(B52))</f>
        <v>-0.318181818181818</v>
      </c>
    </row>
    <row r="53" customFormat="false" ht="15" hidden="false" customHeight="false" outlineLevel="0" collapsed="false">
      <c r="A53" s="10" t="s">
        <v>53</v>
      </c>
      <c r="B53" s="19" t="n">
        <f aca="false">B26</f>
        <v>-6000</v>
      </c>
      <c r="C53" s="19" t="n">
        <f aca="false">B41</f>
        <v>-7750</v>
      </c>
      <c r="D53" s="23" t="n">
        <f aca="false">IF(B53=0,"N/A",(C53-B53)/ABS(B53))</f>
        <v>-0.291666666666667</v>
      </c>
    </row>
    <row r="54" customFormat="false" ht="15" hidden="false" customHeight="false" outlineLevel="0" collapsed="false">
      <c r="A54" s="10" t="s">
        <v>54</v>
      </c>
      <c r="B54" s="19" t="n">
        <f aca="false">D29</f>
        <v>-2489.55</v>
      </c>
      <c r="C54" s="19" t="n">
        <f aca="false">D44</f>
        <v>-8170.75</v>
      </c>
      <c r="D54" s="23" t="n">
        <f aca="false">IF(B54=0,"N/A",(C54-B54)/ABS(B54))</f>
        <v>-2.28201883874596</v>
      </c>
    </row>
    <row r="55" customFormat="false" ht="15" hidden="false" customHeight="false" outlineLevel="0" collapsed="false">
      <c r="A55" s="10" t="s">
        <v>55</v>
      </c>
      <c r="B55" s="19" t="n">
        <f aca="false">E29</f>
        <v>1811.35600500001</v>
      </c>
      <c r="C55" s="19" t="n">
        <f aca="false">E44</f>
        <v>-8455.195675</v>
      </c>
      <c r="D55" s="23" t="n">
        <f aca="false">IF(B55=0,"N/A",(C55-B55)/ABS(B55))</f>
        <v>-5.66788177015482</v>
      </c>
    </row>
    <row r="56" customFormat="false" ht="15" hidden="false" customHeight="false" outlineLevel="0" collapsed="false">
      <c r="A56" s="10" t="s">
        <v>56</v>
      </c>
      <c r="B56" s="19" t="n">
        <f aca="false">G29</f>
        <v>17092.8485944063</v>
      </c>
      <c r="C56" s="19" t="n">
        <f aca="false">G44</f>
        <v>-8258.63572093595</v>
      </c>
      <c r="D56" s="23" t="n">
        <f aca="false">IF(B56=0,"N/A",(C56-B56)/ABS(B56))</f>
        <v>-1.48316321737259</v>
      </c>
    </row>
    <row r="57" customFormat="false" ht="15" hidden="false" customHeight="false" outlineLevel="0" collapsed="false">
      <c r="A57" s="10" t="s">
        <v>57</v>
      </c>
      <c r="B57" s="19" t="n">
        <f aca="false">H29</f>
        <v>41588.4964000941</v>
      </c>
      <c r="C57" s="19" t="n">
        <f aca="false">H44</f>
        <v>-5927.70297299306</v>
      </c>
      <c r="D57" s="23" t="n">
        <f aca="false">IF(B57=0,"N/A",(C57-B57)/ABS(B57))</f>
        <v>-1.14253227421272</v>
      </c>
    </row>
    <row r="58" customFormat="false" ht="15" hidden="false" customHeight="false" outlineLevel="0" collapsed="false">
      <c r="A58" s="10" t="s">
        <v>58</v>
      </c>
      <c r="B58" s="19" t="n">
        <f aca="false">G30</f>
        <v>38.7420489</v>
      </c>
      <c r="C58" s="19" t="n">
        <f aca="false">G45</f>
        <v>23.1616946283203</v>
      </c>
      <c r="D58" s="23" t="n">
        <f aca="false">IF(B58=0,"N/A",(C58-B58)/ABS(B58))</f>
        <v>-0.402156176920207</v>
      </c>
    </row>
    <row r="59" customFormat="false" ht="15" hidden="false" customHeight="false" outlineLevel="0" collapsed="false">
      <c r="A59" s="10" t="s">
        <v>59</v>
      </c>
      <c r="B59" s="19" t="n">
        <f aca="false">G32</f>
        <v>6622.11976084785</v>
      </c>
      <c r="C59" s="19" t="n">
        <f aca="false">G47</f>
        <v>-1912.83998614856</v>
      </c>
      <c r="D59" s="23" t="n">
        <f aca="false">IF(B59=0,"N/A",(C59-B59)/ABS(B59))</f>
        <v>-1.28885614504556</v>
      </c>
    </row>
  </sheetData>
  <mergeCells count="3">
    <mergeCell ref="A1:H1"/>
    <mergeCell ref="B3:D3"/>
    <mergeCell ref="E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60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B3" s="3" t="s">
        <v>1</v>
      </c>
      <c r="C3" s="3"/>
      <c r="D3" s="3"/>
      <c r="E3" s="4" t="s">
        <v>2</v>
      </c>
      <c r="F3" s="4"/>
      <c r="G3" s="4"/>
    </row>
    <row r="5" customFormat="false" ht="15" hidden="false" customHeight="false" outlineLevel="0" collapsed="false">
      <c r="A5" s="5" t="s">
        <v>4</v>
      </c>
      <c r="B5" s="6"/>
      <c r="C5" s="6"/>
      <c r="D5" s="6"/>
    </row>
    <row r="6" customFormat="false" ht="15" hidden="false" customHeight="false" outlineLevel="0" collapsed="false">
      <c r="A6" s="7" t="s">
        <v>5</v>
      </c>
      <c r="B6" s="8" t="s">
        <v>6</v>
      </c>
      <c r="C6" s="9" t="s">
        <v>7</v>
      </c>
      <c r="D6" s="7" t="s">
        <v>8</v>
      </c>
    </row>
    <row r="7" customFormat="false" ht="15" hidden="false" customHeight="false" outlineLevel="0" collapsed="false">
      <c r="A7" s="10" t="s">
        <v>61</v>
      </c>
      <c r="B7" s="11" t="n">
        <v>15000</v>
      </c>
      <c r="C7" s="11" t="n">
        <v>15000</v>
      </c>
      <c r="D7" s="12" t="s">
        <v>62</v>
      </c>
    </row>
    <row r="8" customFormat="false" ht="15" hidden="false" customHeight="false" outlineLevel="0" collapsed="false">
      <c r="A8" s="10" t="s">
        <v>63</v>
      </c>
      <c r="B8" s="13" t="n">
        <v>0</v>
      </c>
      <c r="C8" s="13" t="n">
        <v>0</v>
      </c>
      <c r="D8" s="12" t="s">
        <v>64</v>
      </c>
    </row>
    <row r="9" customFormat="false" ht="15" hidden="false" customHeight="false" outlineLevel="0" collapsed="false">
      <c r="A9" s="10" t="s">
        <v>13</v>
      </c>
      <c r="B9" s="13" t="n">
        <v>0.4</v>
      </c>
      <c r="C9" s="13" t="n">
        <v>0.25</v>
      </c>
      <c r="D9" s="12" t="s">
        <v>14</v>
      </c>
    </row>
    <row r="10" customFormat="false" ht="15" hidden="false" customHeight="false" outlineLevel="0" collapsed="false">
      <c r="A10" s="10" t="s">
        <v>15</v>
      </c>
      <c r="B10" s="13" t="n">
        <v>0.04</v>
      </c>
      <c r="C10" s="13" t="n">
        <v>0.075</v>
      </c>
      <c r="D10" s="12" t="s">
        <v>65</v>
      </c>
    </row>
    <row r="11" customFormat="false" ht="15" hidden="false" customHeight="false" outlineLevel="0" collapsed="false">
      <c r="A11" s="10" t="s">
        <v>16</v>
      </c>
      <c r="B11" s="11" t="n">
        <v>12000</v>
      </c>
      <c r="C11" s="11" t="n">
        <v>12000</v>
      </c>
      <c r="D11" s="12" t="s">
        <v>66</v>
      </c>
    </row>
    <row r="12" customFormat="false" ht="15" hidden="false" customHeight="false" outlineLevel="0" collapsed="false">
      <c r="A12" s="10" t="s">
        <v>18</v>
      </c>
      <c r="B12" s="14" t="n">
        <v>10</v>
      </c>
      <c r="C12" s="14" t="n">
        <v>10</v>
      </c>
      <c r="D12" s="12" t="s">
        <v>67</v>
      </c>
    </row>
    <row r="13" customFormat="false" ht="15" hidden="false" customHeight="false" outlineLevel="0" collapsed="false">
      <c r="A13" s="10" t="s">
        <v>20</v>
      </c>
      <c r="B13" s="11" t="n">
        <v>700</v>
      </c>
      <c r="C13" s="11" t="n">
        <v>700</v>
      </c>
      <c r="D13" s="12" t="s">
        <v>21</v>
      </c>
    </row>
    <row r="14" customFormat="false" ht="15" hidden="false" customHeight="false" outlineLevel="0" collapsed="false">
      <c r="A14" s="10" t="s">
        <v>22</v>
      </c>
      <c r="B14" s="11" t="n">
        <v>500</v>
      </c>
      <c r="C14" s="11" t="n">
        <v>500</v>
      </c>
      <c r="D14" s="12" t="s">
        <v>68</v>
      </c>
    </row>
    <row r="15" customFormat="false" ht="15" hidden="false" customHeight="false" outlineLevel="0" collapsed="false">
      <c r="A15" s="10" t="s">
        <v>24</v>
      </c>
      <c r="B15" s="13" t="n">
        <v>0.05</v>
      </c>
      <c r="C15" s="13" t="n">
        <v>0.05</v>
      </c>
      <c r="D15" s="12" t="s">
        <v>25</v>
      </c>
    </row>
    <row r="16" customFormat="false" ht="15" hidden="false" customHeight="false" outlineLevel="0" collapsed="false">
      <c r="A16" s="10" t="s">
        <v>26</v>
      </c>
      <c r="B16" s="13" t="n">
        <v>0.95</v>
      </c>
      <c r="C16" s="13" t="n">
        <v>0.95</v>
      </c>
      <c r="D16" s="12" t="s">
        <v>69</v>
      </c>
    </row>
    <row r="17" customFormat="false" ht="15" hidden="false" customHeight="false" outlineLevel="0" collapsed="false">
      <c r="A17" s="10" t="s">
        <v>28</v>
      </c>
      <c r="B17" s="14" t="n">
        <v>15</v>
      </c>
      <c r="C17" s="14" t="n">
        <v>15</v>
      </c>
      <c r="D17" s="12"/>
    </row>
    <row r="19" customFormat="false" ht="15" hidden="false" customHeight="false" outlineLevel="0" collapsed="false">
      <c r="A19" s="15" t="s">
        <v>29</v>
      </c>
      <c r="B19" s="16"/>
      <c r="C19" s="16"/>
      <c r="D19" s="16"/>
      <c r="E19" s="16"/>
      <c r="F19" s="16"/>
      <c r="G19" s="16"/>
      <c r="H19" s="16"/>
    </row>
    <row r="20" customFormat="false" ht="15" hidden="false" customHeight="false" outlineLevel="0" collapsed="false">
      <c r="A20" s="17" t="s">
        <v>30</v>
      </c>
      <c r="B20" s="17" t="s">
        <v>31</v>
      </c>
      <c r="C20" s="17" t="s">
        <v>32</v>
      </c>
      <c r="D20" s="17" t="s">
        <v>33</v>
      </c>
      <c r="E20" s="17" t="s">
        <v>34</v>
      </c>
      <c r="F20" s="17" t="s">
        <v>35</v>
      </c>
      <c r="G20" s="17" t="s">
        <v>36</v>
      </c>
      <c r="H20" s="17" t="s">
        <v>37</v>
      </c>
    </row>
    <row r="21" customFormat="false" ht="15" hidden="false" customHeight="false" outlineLevel="0" collapsed="false">
      <c r="A21" s="10" t="s">
        <v>38</v>
      </c>
      <c r="B21" s="18" t="n">
        <f aca="false">$B$7</f>
        <v>15000</v>
      </c>
      <c r="C21" s="18" t="n">
        <f aca="false">$B$7*(1+$B$8)^1</f>
        <v>15000</v>
      </c>
      <c r="D21" s="18" t="n">
        <f aca="false">$B$7*(1+$B$8)^2</f>
        <v>15000</v>
      </c>
      <c r="E21" s="18" t="n">
        <f aca="false">$B$7*(1+$B$8)^4</f>
        <v>15000</v>
      </c>
      <c r="F21" s="18" t="n">
        <f aca="false">$B$7*(1+$B$8)^6</f>
        <v>15000</v>
      </c>
      <c r="G21" s="18" t="n">
        <f aca="false">$B$7*(1+$B$8)^9</f>
        <v>15000</v>
      </c>
      <c r="H21" s="18" t="n">
        <f aca="false">$B$7*(1+$B$8)^14</f>
        <v>15000</v>
      </c>
    </row>
    <row r="22" customFormat="false" ht="15" hidden="false" customHeight="false" outlineLevel="0" collapsed="false">
      <c r="A22" s="10" t="s">
        <v>39</v>
      </c>
      <c r="B22" s="18" t="n">
        <f aca="false">B21*$B$9</f>
        <v>6000</v>
      </c>
      <c r="C22" s="18" t="n">
        <f aca="false">C21*$B$10</f>
        <v>600</v>
      </c>
      <c r="D22" s="18" t="n">
        <f aca="false">D21*$B$10</f>
        <v>600</v>
      </c>
      <c r="E22" s="18" t="n">
        <f aca="false">E21*$B$10</f>
        <v>600</v>
      </c>
      <c r="F22" s="18" t="n">
        <f aca="false">F21*$B$10</f>
        <v>600</v>
      </c>
      <c r="G22" s="18" t="n">
        <f aca="false">G21*$B$10</f>
        <v>600</v>
      </c>
      <c r="H22" s="18" t="n">
        <f aca="false">H21*$B$10</f>
        <v>600</v>
      </c>
    </row>
    <row r="23" customFormat="false" ht="15" hidden="false" customHeight="false" outlineLevel="0" collapsed="false">
      <c r="A23" s="10" t="s">
        <v>40</v>
      </c>
      <c r="B23" s="18" t="n">
        <f aca="false">$B$11</f>
        <v>12000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</row>
    <row r="24" customFormat="false" ht="15" hidden="false" customHeight="false" outlineLevel="0" collapsed="false">
      <c r="A24" s="10" t="s">
        <v>41</v>
      </c>
      <c r="B24" s="18" t="n">
        <f aca="false">$B$14</f>
        <v>500</v>
      </c>
      <c r="C24" s="18" t="n">
        <f aca="false">$B$14*(1+$B$15)^1</f>
        <v>525</v>
      </c>
      <c r="D24" s="18" t="n">
        <f aca="false">$B$14*(1+$B$15)^2</f>
        <v>551.25</v>
      </c>
      <c r="E24" s="18" t="n">
        <f aca="false">$B$14*(1+$B$15)^4</f>
        <v>607.753125</v>
      </c>
      <c r="F24" s="18" t="n">
        <f aca="false">$B$14*(1+$B$15)^6</f>
        <v>670.0478203125</v>
      </c>
      <c r="G24" s="18" t="n">
        <f aca="false">$B$14*(1+$B$15)^9</f>
        <v>775.664107989258</v>
      </c>
      <c r="H24" s="18" t="n">
        <f aca="false">$B$14*(1+$B$15)^14</f>
        <v>989.965799719699</v>
      </c>
    </row>
    <row r="25" customFormat="false" ht="15" hidden="false" customHeight="false" outlineLevel="0" collapsed="false">
      <c r="A25" s="10" t="s">
        <v>42</v>
      </c>
      <c r="B25" s="18" t="n">
        <f aca="false">B23+B24</f>
        <v>12500</v>
      </c>
      <c r="C25" s="18" t="n">
        <f aca="false">C23+C24</f>
        <v>525</v>
      </c>
      <c r="D25" s="18" t="n">
        <f aca="false">D23+D24</f>
        <v>551.25</v>
      </c>
      <c r="E25" s="18" t="n">
        <f aca="false">E23+E24</f>
        <v>607.753125</v>
      </c>
      <c r="F25" s="18" t="n">
        <f aca="false">F23+F24</f>
        <v>670.0478203125</v>
      </c>
      <c r="G25" s="18" t="n">
        <f aca="false">G23+G24</f>
        <v>775.664107989258</v>
      </c>
      <c r="H25" s="18" t="n">
        <f aca="false">H23+H24</f>
        <v>989.965799719699</v>
      </c>
    </row>
    <row r="26" customFormat="false" ht="15" hidden="false" customHeight="false" outlineLevel="0" collapsed="false">
      <c r="A26" s="10" t="s">
        <v>43</v>
      </c>
      <c r="B26" s="19" t="n">
        <f aca="false">B22-B25</f>
        <v>-6500</v>
      </c>
      <c r="C26" s="19" t="n">
        <f aca="false">C22-C25</f>
        <v>75</v>
      </c>
      <c r="D26" s="19" t="n">
        <f aca="false">D22-D25</f>
        <v>48.75</v>
      </c>
      <c r="E26" s="19" t="n">
        <f aca="false">E22-E25</f>
        <v>-7.75312500000007</v>
      </c>
      <c r="F26" s="19" t="n">
        <f aca="false">F22-F25</f>
        <v>-70.0478203125002</v>
      </c>
      <c r="G26" s="19" t="n">
        <f aca="false">G22-G25</f>
        <v>-175.664107989258</v>
      </c>
      <c r="H26" s="19" t="n">
        <f aca="false">H22-H25</f>
        <v>-389.965799719699</v>
      </c>
    </row>
    <row r="27" customFormat="false" ht="15" hidden="false" customHeight="false" outlineLevel="0" collapsed="false">
      <c r="A27" s="10" t="s">
        <v>44</v>
      </c>
      <c r="B27" s="18" t="n">
        <f aca="false">B22</f>
        <v>6000</v>
      </c>
      <c r="C27" s="18" t="n">
        <f aca="false">$B$7*$B$9+$B$10*$B$7*1</f>
        <v>6600</v>
      </c>
      <c r="D27" s="18" t="n">
        <f aca="false">$B$7*$B$9+$B$10*$B$7*2</f>
        <v>7200</v>
      </c>
      <c r="E27" s="18" t="n">
        <f aca="false">$B$7*$B$9+$B$10*$B$7*4</f>
        <v>8400</v>
      </c>
      <c r="F27" s="18" t="n">
        <f aca="false">$B$7*$B$9+$B$10*$B$7*6</f>
        <v>9600</v>
      </c>
      <c r="G27" s="18" t="n">
        <f aca="false">$B$7*$B$9+$B$10*$B$7*9</f>
        <v>11400</v>
      </c>
      <c r="H27" s="18" t="n">
        <f aca="false">$B$7*$B$9+$B$10*$B$7*14</f>
        <v>14400</v>
      </c>
    </row>
    <row r="28" customFormat="false" ht="15" hidden="false" customHeight="false" outlineLevel="0" collapsed="false">
      <c r="A28" s="10" t="s">
        <v>45</v>
      </c>
      <c r="B28" s="18" t="n">
        <f aca="false">$B$11+$B$14*((1+$B$15)^1-1)/$B$15</f>
        <v>12500</v>
      </c>
      <c r="C28" s="18" t="n">
        <f aca="false">$B$11+$B$14*((1+$B$15)^2-1)/$B$15</f>
        <v>13025</v>
      </c>
      <c r="D28" s="18" t="n">
        <f aca="false">$B$11+$B$14*((1+$B$15)^3-1)/$B$15</f>
        <v>13576.25</v>
      </c>
      <c r="E28" s="18" t="n">
        <f aca="false">$B$11+$B$14*((1+$B$15)^5-1)/$B$15</f>
        <v>14762.815625</v>
      </c>
      <c r="F28" s="18" t="n">
        <f aca="false">$B$11+$B$14*((1+$B$15)^7-1)/$B$15</f>
        <v>16071.0042265625</v>
      </c>
      <c r="G28" s="18" t="n">
        <f aca="false">$B$11+$B$14*((1+$B$15)^10-1)/$B$15</f>
        <v>18288.9462677744</v>
      </c>
      <c r="H28" s="18" t="n">
        <f aca="false">$B$11+$B$14*((1+$B$15)^15-1)/$B$15</f>
        <v>22789.2817941137</v>
      </c>
    </row>
    <row r="29" customFormat="false" ht="15" hidden="false" customHeight="false" outlineLevel="0" collapsed="false">
      <c r="A29" s="10" t="s">
        <v>46</v>
      </c>
      <c r="B29" s="19" t="n">
        <f aca="false">B27-B28</f>
        <v>-6500</v>
      </c>
      <c r="C29" s="19" t="n">
        <f aca="false">C27-C28</f>
        <v>-6425</v>
      </c>
      <c r="D29" s="19" t="n">
        <f aca="false">D27-D28</f>
        <v>-6376.25</v>
      </c>
      <c r="E29" s="19" t="n">
        <f aca="false">E27-E28</f>
        <v>-6362.815625</v>
      </c>
      <c r="F29" s="19" t="n">
        <f aca="false">F27-F28</f>
        <v>-6471.00422656251</v>
      </c>
      <c r="G29" s="19" t="n">
        <f aca="false">G27-G28</f>
        <v>-6888.94626777442</v>
      </c>
      <c r="H29" s="19" t="n">
        <f aca="false">H27-H28</f>
        <v>-8389.28179411369</v>
      </c>
    </row>
    <row r="30" customFormat="false" ht="15" hidden="false" customHeight="false" outlineLevel="0" collapsed="false">
      <c r="A30" s="10" t="s">
        <v>47</v>
      </c>
      <c r="B30" s="20" t="n">
        <v>100</v>
      </c>
      <c r="C30" s="20" t="n">
        <f aca="false">100*$B$16^1</f>
        <v>95</v>
      </c>
      <c r="D30" s="20" t="n">
        <f aca="false">100*$B$16^2</f>
        <v>90.25</v>
      </c>
      <c r="E30" s="20" t="n">
        <f aca="false">100*$B$16^4</f>
        <v>81.450625</v>
      </c>
      <c r="F30" s="20" t="n">
        <f aca="false">100*$B$16^6</f>
        <v>73.5091890625</v>
      </c>
      <c r="G30" s="20" t="n">
        <f aca="false">100*$B$16^9</f>
        <v>63.0249409724609</v>
      </c>
      <c r="H30" s="20" t="n">
        <f aca="false">100*$B$16^14</f>
        <v>48.767497911553</v>
      </c>
    </row>
    <row r="31" customFormat="false" ht="15" hidden="false" customHeight="false" outlineLevel="0" collapsed="false">
      <c r="A31" s="10" t="s">
        <v>48</v>
      </c>
      <c r="B31" s="18" t="n">
        <f aca="false">B27*B30/100</f>
        <v>6000</v>
      </c>
      <c r="C31" s="18" t="n">
        <f aca="false">C27*C30/100</f>
        <v>6270</v>
      </c>
      <c r="D31" s="18" t="n">
        <f aca="false">D27*D30/100</f>
        <v>6498</v>
      </c>
      <c r="E31" s="18" t="n">
        <f aca="false">E27*E30/100</f>
        <v>6841.8525</v>
      </c>
      <c r="F31" s="18" t="n">
        <f aca="false">F27*F30/100</f>
        <v>7056.88215</v>
      </c>
      <c r="G31" s="18" t="n">
        <f aca="false">G27*G30/100</f>
        <v>7184.84327086054</v>
      </c>
      <c r="H31" s="18" t="n">
        <f aca="false">H27*H30/100</f>
        <v>7022.51969926363</v>
      </c>
    </row>
    <row r="32" customFormat="false" ht="15" hidden="false" customHeight="false" outlineLevel="0" collapsed="false">
      <c r="A32" s="10" t="s">
        <v>49</v>
      </c>
      <c r="B32" s="19" t="n">
        <f aca="false">B29*B30/100</f>
        <v>-6500</v>
      </c>
      <c r="C32" s="19" t="n">
        <f aca="false">C29*C30/100</f>
        <v>-6103.75</v>
      </c>
      <c r="D32" s="19" t="n">
        <f aca="false">D29*D30/100</f>
        <v>-5754.565625</v>
      </c>
      <c r="E32" s="19" t="n">
        <f aca="false">E29*E30/100</f>
        <v>-5182.55309416016</v>
      </c>
      <c r="F32" s="19" t="n">
        <f aca="false">F29*F30/100</f>
        <v>-4756.7827311462</v>
      </c>
      <c r="G32" s="19" t="n">
        <f aca="false">G29*G30/100</f>
        <v>-4341.75431888938</v>
      </c>
      <c r="H32" s="19" t="n">
        <f aca="false">H29*H30/100</f>
        <v>-4091.24282373869</v>
      </c>
    </row>
    <row r="34" customFormat="false" ht="15" hidden="false" customHeight="false" outlineLevel="0" collapsed="false">
      <c r="A34" s="21" t="s">
        <v>50</v>
      </c>
      <c r="B34" s="22"/>
      <c r="C34" s="22"/>
      <c r="D34" s="22"/>
      <c r="E34" s="22"/>
      <c r="F34" s="22"/>
      <c r="G34" s="22"/>
      <c r="H34" s="22"/>
    </row>
    <row r="35" customFormat="false" ht="15" hidden="false" customHeight="false" outlineLevel="0" collapsed="false">
      <c r="A35" s="17" t="s">
        <v>30</v>
      </c>
      <c r="B35" s="17" t="s">
        <v>31</v>
      </c>
      <c r="C35" s="17" t="s">
        <v>32</v>
      </c>
      <c r="D35" s="17" t="s">
        <v>33</v>
      </c>
      <c r="E35" s="17" t="s">
        <v>34</v>
      </c>
      <c r="F35" s="17" t="s">
        <v>35</v>
      </c>
      <c r="G35" s="17" t="s">
        <v>36</v>
      </c>
      <c r="H35" s="17" t="s">
        <v>37</v>
      </c>
    </row>
    <row r="36" customFormat="false" ht="15" hidden="false" customHeight="false" outlineLevel="0" collapsed="false">
      <c r="A36" s="10" t="s">
        <v>38</v>
      </c>
      <c r="B36" s="18" t="n">
        <f aca="false">$C$7</f>
        <v>15000</v>
      </c>
      <c r="C36" s="18" t="n">
        <f aca="false">$C$7*(1+$C$8)^1</f>
        <v>15000</v>
      </c>
      <c r="D36" s="18" t="n">
        <f aca="false">$C$7*(1+$C$8)^2</f>
        <v>15000</v>
      </c>
      <c r="E36" s="18" t="n">
        <f aca="false">$C$7*(1+$C$8)^4</f>
        <v>15000</v>
      </c>
      <c r="F36" s="18" t="n">
        <f aca="false">$C$7*(1+$C$8)^6</f>
        <v>15000</v>
      </c>
      <c r="G36" s="18" t="n">
        <f aca="false">$C$7*(1+$C$8)^9</f>
        <v>15000</v>
      </c>
      <c r="H36" s="18" t="n">
        <f aca="false">$C$7*(1+$C$8)^14</f>
        <v>15000</v>
      </c>
    </row>
    <row r="37" customFormat="false" ht="15" hidden="false" customHeight="false" outlineLevel="0" collapsed="false">
      <c r="A37" s="10" t="s">
        <v>39</v>
      </c>
      <c r="B37" s="18" t="n">
        <f aca="false">B36*$C$9</f>
        <v>3750</v>
      </c>
      <c r="C37" s="18" t="n">
        <f aca="false">C36*$C$10</f>
        <v>1125</v>
      </c>
      <c r="D37" s="18" t="n">
        <f aca="false">D36*$C$10</f>
        <v>1125</v>
      </c>
      <c r="E37" s="18" t="n">
        <f aca="false">E36*$C$10</f>
        <v>1125</v>
      </c>
      <c r="F37" s="18" t="n">
        <f aca="false">F36*$C$10</f>
        <v>1125</v>
      </c>
      <c r="G37" s="18" t="n">
        <f aca="false">G36*$C$10</f>
        <v>1125</v>
      </c>
      <c r="H37" s="18" t="n">
        <f aca="false">H36*$C$10</f>
        <v>1125</v>
      </c>
    </row>
    <row r="38" customFormat="false" ht="15" hidden="false" customHeight="false" outlineLevel="0" collapsed="false">
      <c r="A38" s="10" t="s">
        <v>40</v>
      </c>
      <c r="B38" s="18" t="n">
        <f aca="false">$C$11</f>
        <v>12000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</row>
    <row r="39" customFormat="false" ht="15" hidden="false" customHeight="false" outlineLevel="0" collapsed="false">
      <c r="A39" s="10" t="s">
        <v>41</v>
      </c>
      <c r="B39" s="18" t="n">
        <f aca="false">$C$14</f>
        <v>500</v>
      </c>
      <c r="C39" s="18" t="n">
        <f aca="false">$C$14*(1+$C$15)^1</f>
        <v>525</v>
      </c>
      <c r="D39" s="18" t="n">
        <f aca="false">$C$14*(1+$C$15)^2</f>
        <v>551.25</v>
      </c>
      <c r="E39" s="18" t="n">
        <f aca="false">$C$14*(1+$C$15)^4</f>
        <v>607.753125</v>
      </c>
      <c r="F39" s="18" t="n">
        <f aca="false">$C$14*(1+$C$15)^6</f>
        <v>670.0478203125</v>
      </c>
      <c r="G39" s="18" t="n">
        <f aca="false">$C$14*(1+$C$15)^9</f>
        <v>775.664107989258</v>
      </c>
      <c r="H39" s="18" t="n">
        <f aca="false">$C$14*(1+$C$15)^14</f>
        <v>989.965799719699</v>
      </c>
    </row>
    <row r="40" customFormat="false" ht="15" hidden="false" customHeight="false" outlineLevel="0" collapsed="false">
      <c r="A40" s="10" t="s">
        <v>42</v>
      </c>
      <c r="B40" s="18" t="n">
        <f aca="false">B38+B39</f>
        <v>12500</v>
      </c>
      <c r="C40" s="18" t="n">
        <f aca="false">C38+C39</f>
        <v>525</v>
      </c>
      <c r="D40" s="18" t="n">
        <f aca="false">D38+D39</f>
        <v>551.25</v>
      </c>
      <c r="E40" s="18" t="n">
        <f aca="false">E38+E39</f>
        <v>607.753125</v>
      </c>
      <c r="F40" s="18" t="n">
        <f aca="false">F38+F39</f>
        <v>670.0478203125</v>
      </c>
      <c r="G40" s="18" t="n">
        <f aca="false">G38+G39</f>
        <v>775.664107989258</v>
      </c>
      <c r="H40" s="18" t="n">
        <f aca="false">H38+H39</f>
        <v>989.965799719699</v>
      </c>
    </row>
    <row r="41" customFormat="false" ht="15" hidden="false" customHeight="false" outlineLevel="0" collapsed="false">
      <c r="A41" s="10" t="s">
        <v>43</v>
      </c>
      <c r="B41" s="19" t="n">
        <f aca="false">B37-B40</f>
        <v>-8750</v>
      </c>
      <c r="C41" s="19" t="n">
        <f aca="false">C37-C40</f>
        <v>600</v>
      </c>
      <c r="D41" s="19" t="n">
        <f aca="false">D37-D40</f>
        <v>573.75</v>
      </c>
      <c r="E41" s="19" t="n">
        <f aca="false">E37-E40</f>
        <v>517.246875</v>
      </c>
      <c r="F41" s="19" t="n">
        <f aca="false">F37-F40</f>
        <v>454.9521796875</v>
      </c>
      <c r="G41" s="19" t="n">
        <f aca="false">G37-G40</f>
        <v>349.335892010742</v>
      </c>
      <c r="H41" s="19" t="n">
        <f aca="false">H37-H40</f>
        <v>135.034200280301</v>
      </c>
    </row>
    <row r="42" customFormat="false" ht="15" hidden="false" customHeight="false" outlineLevel="0" collapsed="false">
      <c r="A42" s="10" t="s">
        <v>44</v>
      </c>
      <c r="B42" s="18" t="n">
        <f aca="false">B37</f>
        <v>3750</v>
      </c>
      <c r="C42" s="18" t="n">
        <f aca="false">$C$7*$C$9+$C$10*$C$7*1</f>
        <v>4875</v>
      </c>
      <c r="D42" s="18" t="n">
        <f aca="false">$C$7*$C$9+$C$10*$C$7*2</f>
        <v>6000</v>
      </c>
      <c r="E42" s="18" t="n">
        <f aca="false">$C$7*$C$9+$C$10*$C$7*4</f>
        <v>8250</v>
      </c>
      <c r="F42" s="18" t="n">
        <f aca="false">$C$7*$C$9+$C$10*$C$7*6</f>
        <v>10500</v>
      </c>
      <c r="G42" s="18" t="n">
        <f aca="false">$C$7*$C$9+$C$10*$C$7*9</f>
        <v>13875</v>
      </c>
      <c r="H42" s="18" t="n">
        <f aca="false">$C$7*$C$9+$C$10*$C$7*14</f>
        <v>19500</v>
      </c>
    </row>
    <row r="43" customFormat="false" ht="15" hidden="false" customHeight="false" outlineLevel="0" collapsed="false">
      <c r="A43" s="10" t="s">
        <v>45</v>
      </c>
      <c r="B43" s="18" t="n">
        <f aca="false">$C$11+$C$14*((1+$C$15)^1-1)/$C$15</f>
        <v>12500</v>
      </c>
      <c r="C43" s="18" t="n">
        <f aca="false">$C$11+$C$14*((1+$C$15)^2-1)/$C$15</f>
        <v>13025</v>
      </c>
      <c r="D43" s="18" t="n">
        <f aca="false">$C$11+$C$14*((1+$C$15)^3-1)/$C$15</f>
        <v>13576.25</v>
      </c>
      <c r="E43" s="18" t="n">
        <f aca="false">$C$11+$C$14*((1+$C$15)^5-1)/$C$15</f>
        <v>14762.815625</v>
      </c>
      <c r="F43" s="18" t="n">
        <f aca="false">$C$11+$C$14*((1+$C$15)^7-1)/$C$15</f>
        <v>16071.0042265625</v>
      </c>
      <c r="G43" s="18" t="n">
        <f aca="false">$C$11+$C$14*((1+$C$15)^10-1)/$C$15</f>
        <v>18288.9462677744</v>
      </c>
      <c r="H43" s="18" t="n">
        <f aca="false">$C$11+$C$14*((1+$C$15)^15-1)/$C$15</f>
        <v>22789.2817941137</v>
      </c>
    </row>
    <row r="44" customFormat="false" ht="15" hidden="false" customHeight="false" outlineLevel="0" collapsed="false">
      <c r="A44" s="10" t="s">
        <v>46</v>
      </c>
      <c r="B44" s="19" t="n">
        <f aca="false">B42-B43</f>
        <v>-8750</v>
      </c>
      <c r="C44" s="19" t="n">
        <f aca="false">C42-C43</f>
        <v>-8150</v>
      </c>
      <c r="D44" s="19" t="n">
        <f aca="false">D42-D43</f>
        <v>-7576.25</v>
      </c>
      <c r="E44" s="19" t="n">
        <f aca="false">E42-E43</f>
        <v>-6512.815625</v>
      </c>
      <c r="F44" s="19" t="n">
        <f aca="false">F42-F43</f>
        <v>-5571.00422656251</v>
      </c>
      <c r="G44" s="19" t="n">
        <f aca="false">G42-G43</f>
        <v>-4413.94626777442</v>
      </c>
      <c r="H44" s="19" t="n">
        <f aca="false">H42-H43</f>
        <v>-3289.28179411369</v>
      </c>
    </row>
    <row r="45" customFormat="false" ht="15" hidden="false" customHeight="false" outlineLevel="0" collapsed="false">
      <c r="A45" s="10" t="s">
        <v>47</v>
      </c>
      <c r="B45" s="20" t="n">
        <v>100</v>
      </c>
      <c r="C45" s="20" t="n">
        <f aca="false">100*$C$16^1</f>
        <v>95</v>
      </c>
      <c r="D45" s="20" t="n">
        <f aca="false">100*$C$16^2</f>
        <v>90.25</v>
      </c>
      <c r="E45" s="20" t="n">
        <f aca="false">100*$C$16^4</f>
        <v>81.450625</v>
      </c>
      <c r="F45" s="20" t="n">
        <f aca="false">100*$C$16^6</f>
        <v>73.5091890625</v>
      </c>
      <c r="G45" s="20" t="n">
        <f aca="false">100*$C$16^9</f>
        <v>63.0249409724609</v>
      </c>
      <c r="H45" s="20" t="n">
        <f aca="false">100*$C$16^14</f>
        <v>48.767497911553</v>
      </c>
    </row>
    <row r="46" customFormat="false" ht="15" hidden="false" customHeight="false" outlineLevel="0" collapsed="false">
      <c r="A46" s="10" t="s">
        <v>48</v>
      </c>
      <c r="B46" s="18" t="n">
        <f aca="false">B42*B45/100</f>
        <v>3750</v>
      </c>
      <c r="C46" s="18" t="n">
        <f aca="false">C42*C45/100</f>
        <v>4631.25</v>
      </c>
      <c r="D46" s="18" t="n">
        <f aca="false">D42*D45/100</f>
        <v>5415</v>
      </c>
      <c r="E46" s="18" t="n">
        <f aca="false">E42*E45/100</f>
        <v>6719.6765625</v>
      </c>
      <c r="F46" s="18" t="n">
        <f aca="false">F42*F45/100</f>
        <v>7718.4648515625</v>
      </c>
      <c r="G46" s="18" t="n">
        <f aca="false">G42*G45/100</f>
        <v>8744.71055992895</v>
      </c>
      <c r="H46" s="18" t="n">
        <f aca="false">H42*H45/100</f>
        <v>9509.66209275283</v>
      </c>
    </row>
    <row r="47" customFormat="false" ht="15" hidden="false" customHeight="false" outlineLevel="0" collapsed="false">
      <c r="A47" s="10" t="s">
        <v>49</v>
      </c>
      <c r="B47" s="19" t="n">
        <f aca="false">B44*B45/100</f>
        <v>-8750</v>
      </c>
      <c r="C47" s="19" t="n">
        <f aca="false">C44*C45/100</f>
        <v>-7742.5</v>
      </c>
      <c r="D47" s="19" t="n">
        <f aca="false">D44*D45/100</f>
        <v>-6837.565625</v>
      </c>
      <c r="E47" s="19" t="n">
        <f aca="false">E44*E45/100</f>
        <v>-5304.72903166016</v>
      </c>
      <c r="F47" s="19" t="n">
        <f aca="false">F44*F45/100</f>
        <v>-4095.2000295837</v>
      </c>
      <c r="G47" s="19" t="n">
        <f aca="false">G44*G45/100</f>
        <v>-2781.88702982097</v>
      </c>
      <c r="H47" s="19" t="n">
        <f aca="false">H44*H45/100</f>
        <v>-1604.10043024948</v>
      </c>
    </row>
    <row r="50" customFormat="false" ht="15" hidden="false" customHeight="false" outlineLevel="0" collapsed="false">
      <c r="A50" s="5" t="s">
        <v>51</v>
      </c>
      <c r="B50" s="6"/>
      <c r="C50" s="6"/>
      <c r="D50" s="6"/>
    </row>
    <row r="51" customFormat="false" ht="15" hidden="false" customHeight="false" outlineLevel="0" collapsed="false">
      <c r="A51" s="7" t="s">
        <v>30</v>
      </c>
      <c r="B51" s="7" t="s">
        <v>6</v>
      </c>
      <c r="C51" s="7" t="s">
        <v>7</v>
      </c>
      <c r="D51" s="7" t="s">
        <v>3</v>
      </c>
    </row>
    <row r="52" customFormat="false" ht="15" hidden="false" customHeight="false" outlineLevel="0" collapsed="false">
      <c r="A52" s="10" t="s">
        <v>52</v>
      </c>
      <c r="B52" s="19" t="n">
        <f aca="false">B22</f>
        <v>6000</v>
      </c>
      <c r="C52" s="19" t="n">
        <f aca="false">B37</f>
        <v>3750</v>
      </c>
      <c r="D52" s="23" t="n">
        <f aca="false">IF(B52=0,"N/A",(C52-B52)/ABS(B52))</f>
        <v>-0.375</v>
      </c>
    </row>
    <row r="53" customFormat="false" ht="15" hidden="false" customHeight="false" outlineLevel="0" collapsed="false">
      <c r="A53" s="10" t="s">
        <v>53</v>
      </c>
      <c r="B53" s="19" t="n">
        <f aca="false">B26</f>
        <v>-6500</v>
      </c>
      <c r="C53" s="19" t="n">
        <f aca="false">B41</f>
        <v>-8750</v>
      </c>
      <c r="D53" s="23" t="n">
        <f aca="false">IF(B53=0,"N/A",(C53-B53)/ABS(B53))</f>
        <v>-0.346153846153846</v>
      </c>
    </row>
    <row r="54" customFormat="false" ht="15" hidden="false" customHeight="false" outlineLevel="0" collapsed="false">
      <c r="A54" s="10" t="s">
        <v>54</v>
      </c>
      <c r="B54" s="19" t="n">
        <f aca="false">D29</f>
        <v>-6376.25</v>
      </c>
      <c r="C54" s="19" t="n">
        <f aca="false">D44</f>
        <v>-7576.25</v>
      </c>
      <c r="D54" s="23" t="n">
        <f aca="false">IF(B54=0,"N/A",(C54-B54)/ABS(B54))</f>
        <v>-0.188198392472064</v>
      </c>
    </row>
    <row r="55" customFormat="false" ht="15" hidden="false" customHeight="false" outlineLevel="0" collapsed="false">
      <c r="A55" s="10" t="s">
        <v>55</v>
      </c>
      <c r="B55" s="19" t="n">
        <f aca="false">E29</f>
        <v>-6362.815625</v>
      </c>
      <c r="C55" s="19" t="n">
        <f aca="false">E44</f>
        <v>-6512.815625</v>
      </c>
      <c r="D55" s="23" t="n">
        <f aca="false">IF(B55=0,"N/A",(C55-B55)/ABS(B55))</f>
        <v>-0.0235744690464766</v>
      </c>
    </row>
    <row r="56" customFormat="false" ht="15" hidden="false" customHeight="false" outlineLevel="0" collapsed="false">
      <c r="A56" s="10" t="s">
        <v>56</v>
      </c>
      <c r="B56" s="19" t="n">
        <f aca="false">G29</f>
        <v>-6888.94626777442</v>
      </c>
      <c r="C56" s="19" t="n">
        <f aca="false">G44</f>
        <v>-4413.94626777442</v>
      </c>
      <c r="D56" s="23" t="n">
        <f aca="false">IF(B56=0,"N/A",(C56-B56)/ABS(B56))</f>
        <v>0.359271201109192</v>
      </c>
    </row>
    <row r="57" customFormat="false" ht="15" hidden="false" customHeight="false" outlineLevel="0" collapsed="false">
      <c r="A57" s="10" t="s">
        <v>57</v>
      </c>
      <c r="B57" s="19" t="n">
        <f aca="false">H29</f>
        <v>-8389.28179411369</v>
      </c>
      <c r="C57" s="19" t="n">
        <f aca="false">H44</f>
        <v>-3289.28179411369</v>
      </c>
      <c r="D57" s="23" t="n">
        <f aca="false">IF(B57=0,"N/A",(C57-B57)/ABS(B57))</f>
        <v>0.607918547160783</v>
      </c>
    </row>
    <row r="58" customFormat="false" ht="15" hidden="false" customHeight="false" outlineLevel="0" collapsed="false">
      <c r="A58" s="10" t="s">
        <v>58</v>
      </c>
      <c r="B58" s="19" t="n">
        <f aca="false">G30</f>
        <v>63.0249409724609</v>
      </c>
      <c r="C58" s="19" t="n">
        <f aca="false">G45</f>
        <v>63.0249409724609</v>
      </c>
      <c r="D58" s="23" t="n">
        <f aca="false">IF(B58=0,"N/A",(C58-B58)/ABS(B58))</f>
        <v>0</v>
      </c>
    </row>
    <row r="59" customFormat="false" ht="15" hidden="false" customHeight="false" outlineLevel="0" collapsed="false">
      <c r="A59" s="10" t="s">
        <v>59</v>
      </c>
      <c r="B59" s="19" t="n">
        <f aca="false">G32</f>
        <v>-4341.75431888938</v>
      </c>
      <c r="C59" s="19" t="n">
        <f aca="false">G47</f>
        <v>-2781.88702982097</v>
      </c>
      <c r="D59" s="23" t="n">
        <f aca="false">IF(B59=0,"N/A",(C59-B59)/ABS(B59))</f>
        <v>0.359271201109192</v>
      </c>
    </row>
  </sheetData>
  <mergeCells count="3">
    <mergeCell ref="A1:H1"/>
    <mergeCell ref="B3:D3"/>
    <mergeCell ref="E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5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70</v>
      </c>
      <c r="B1" s="1"/>
      <c r="C1" s="1"/>
      <c r="D1" s="1"/>
      <c r="E1" s="1"/>
    </row>
    <row r="3" customFormat="false" ht="15" hidden="false" customHeight="false" outlineLevel="0" collapsed="false">
      <c r="A3" s="17" t="s">
        <v>30</v>
      </c>
      <c r="B3" s="17" t="s">
        <v>71</v>
      </c>
      <c r="C3" s="17" t="s">
        <v>72</v>
      </c>
      <c r="D3" s="17" t="s">
        <v>73</v>
      </c>
      <c r="E3" s="17" t="s">
        <v>74</v>
      </c>
    </row>
    <row r="4" customFormat="false" ht="15" hidden="false" customHeight="false" outlineLevel="0" collapsed="false">
      <c r="A4" s="10" t="s">
        <v>38</v>
      </c>
      <c r="B4" s="24" t="n">
        <v>25000</v>
      </c>
      <c r="C4" s="24" t="n">
        <v>25000</v>
      </c>
      <c r="D4" s="24" t="n">
        <v>15000</v>
      </c>
      <c r="E4" s="24" t="n">
        <v>15000</v>
      </c>
    </row>
    <row r="5" customFormat="false" ht="15" hidden="false" customHeight="false" outlineLevel="0" collapsed="false">
      <c r="A5" s="10" t="s">
        <v>75</v>
      </c>
      <c r="B5" s="25" t="n">
        <v>0.08</v>
      </c>
      <c r="C5" s="25" t="n">
        <v>0.08</v>
      </c>
      <c r="D5" s="25" t="n">
        <v>0</v>
      </c>
      <c r="E5" s="25" t="n">
        <v>0</v>
      </c>
    </row>
    <row r="6" customFormat="false" ht="15" hidden="false" customHeight="false" outlineLevel="0" collapsed="false">
      <c r="A6" s="10" t="s">
        <v>13</v>
      </c>
      <c r="B6" s="25" t="n">
        <v>0.22</v>
      </c>
      <c r="C6" s="25" t="n">
        <v>0.15</v>
      </c>
      <c r="D6" s="25" t="n">
        <v>0.4</v>
      </c>
      <c r="E6" s="25" t="n">
        <v>0.25</v>
      </c>
    </row>
    <row r="7" customFormat="false" ht="15" hidden="false" customHeight="false" outlineLevel="0" collapsed="false">
      <c r="A7" s="10" t="s">
        <v>15</v>
      </c>
      <c r="B7" s="25" t="n">
        <v>0.12</v>
      </c>
      <c r="C7" s="25" t="n">
        <v>0.05</v>
      </c>
      <c r="D7" s="25" t="n">
        <v>0.04</v>
      </c>
      <c r="E7" s="25" t="n">
        <v>0.075</v>
      </c>
    </row>
    <row r="8" customFormat="false" ht="15" hidden="false" customHeight="false" outlineLevel="0" collapsed="false">
      <c r="A8" s="10" t="s">
        <v>76</v>
      </c>
      <c r="B8" s="18" t="n">
        <f aca="false">'Health - Unit Economics'!B7*'Health - Unit Economics'!B9</f>
        <v>5500</v>
      </c>
      <c r="C8" s="18" t="n">
        <f aca="false">'Health - Unit Economics'!C7*'Health - Unit Economics'!C9</f>
        <v>3750</v>
      </c>
      <c r="D8" s="18" t="n">
        <f aca="false">'Term - Unit Economics'!B7*'Term - Unit Economics'!B9</f>
        <v>6000</v>
      </c>
      <c r="E8" s="18" t="n">
        <f aca="false">'Term - Unit Economics'!C7*'Term - Unit Economics'!C9</f>
        <v>3750</v>
      </c>
    </row>
    <row r="9" customFormat="false" ht="15" hidden="false" customHeight="false" outlineLevel="0" collapsed="false">
      <c r="A9" s="10" t="s">
        <v>53</v>
      </c>
      <c r="B9" s="19" t="n">
        <f aca="false">'Health - Unit Economics'!B26</f>
        <v>-6000</v>
      </c>
      <c r="C9" s="19" t="n">
        <f aca="false">'Health - Unit Economics'!B41</f>
        <v>-7750</v>
      </c>
      <c r="D9" s="19" t="n">
        <f aca="false">'Term - Unit Economics'!B26</f>
        <v>-6500</v>
      </c>
      <c r="E9" s="19" t="n">
        <f aca="false">'Term - Unit Economics'!B41</f>
        <v>-8750</v>
      </c>
    </row>
    <row r="10" customFormat="false" ht="15" hidden="false" customHeight="false" outlineLevel="0" collapsed="false">
      <c r="A10" s="10" t="s">
        <v>77</v>
      </c>
      <c r="B10" s="24" t="n">
        <v>10000</v>
      </c>
      <c r="C10" s="24" t="n">
        <v>10000</v>
      </c>
      <c r="D10" s="24" t="n">
        <v>12000</v>
      </c>
      <c r="E10" s="24" t="n">
        <v>12000</v>
      </c>
    </row>
    <row r="11" customFormat="false" ht="15" hidden="false" customHeight="false" outlineLevel="0" collapsed="false">
      <c r="A11" s="10" t="s">
        <v>78</v>
      </c>
      <c r="B11" s="24" t="n">
        <v>1500</v>
      </c>
      <c r="C11" s="24" t="n">
        <v>1500</v>
      </c>
      <c r="D11" s="24" t="n">
        <v>500</v>
      </c>
      <c r="E11" s="24" t="n">
        <v>500</v>
      </c>
    </row>
    <row r="12" customFormat="false" ht="15" hidden="false" customHeight="false" outlineLevel="0" collapsed="false">
      <c r="A12" s="10" t="s">
        <v>79</v>
      </c>
      <c r="B12" s="25" t="n">
        <v>0.9</v>
      </c>
      <c r="C12" s="25" t="n">
        <v>0.85</v>
      </c>
      <c r="D12" s="25" t="n">
        <v>0.95</v>
      </c>
      <c r="E12" s="25" t="n">
        <v>0.95</v>
      </c>
    </row>
    <row r="13" customFormat="false" ht="15" hidden="false" customHeight="false" outlineLevel="0" collapsed="false">
      <c r="A13" s="10" t="s">
        <v>80</v>
      </c>
      <c r="B13" s="19" t="n">
        <f aca="false">'Health - Unit Economics'!E29</f>
        <v>1811.35600500001</v>
      </c>
      <c r="C13" s="19" t="n">
        <f aca="false">'Health - Unit Economics'!E44</f>
        <v>-8455.195675</v>
      </c>
      <c r="D13" s="19" t="n">
        <f aca="false">'Term - Unit Economics'!E29</f>
        <v>-6362.815625</v>
      </c>
      <c r="E13" s="19" t="n">
        <f aca="false">'Term - Unit Economics'!E44</f>
        <v>-6512.815625</v>
      </c>
    </row>
    <row r="14" customFormat="false" ht="15" hidden="false" customHeight="false" outlineLevel="0" collapsed="false">
      <c r="A14" s="10" t="s">
        <v>81</v>
      </c>
      <c r="B14" s="19" t="n">
        <f aca="false">'Health - Unit Economics'!G29</f>
        <v>17092.8485944063</v>
      </c>
      <c r="C14" s="19" t="n">
        <f aca="false">'Health - Unit Economics'!G44</f>
        <v>-8258.63572093595</v>
      </c>
      <c r="D14" s="19" t="n">
        <f aca="false">'Term - Unit Economics'!G29</f>
        <v>-6888.94626777442</v>
      </c>
      <c r="E14" s="19" t="n">
        <f aca="false">'Term - Unit Economics'!G44</f>
        <v>-4413.94626777442</v>
      </c>
    </row>
    <row r="15" customFormat="false" ht="15" hidden="false" customHeight="false" outlineLevel="0" collapsed="false">
      <c r="A15" s="10" t="s">
        <v>82</v>
      </c>
      <c r="B15" s="19" t="n">
        <f aca="false">'Health - Unit Economics'!H29</f>
        <v>41588.4964000941</v>
      </c>
      <c r="C15" s="19" t="n">
        <f aca="false">'Health - Unit Economics'!H44</f>
        <v>-5927.70297299306</v>
      </c>
      <c r="D15" s="19" t="n">
        <f aca="false">'Term - Unit Economics'!H29</f>
        <v>-8389.28179411369</v>
      </c>
      <c r="E15" s="19" t="n">
        <f aca="false">'Term - Unit Economics'!H44</f>
        <v>-3289.28179411369</v>
      </c>
    </row>
    <row r="16" customFormat="false" ht="15" hidden="false" customHeight="false" outlineLevel="0" collapsed="false">
      <c r="A16" s="10" t="s">
        <v>59</v>
      </c>
      <c r="B16" s="19" t="n">
        <f aca="false">'Health - Unit Economics'!G32</f>
        <v>6622.11976084785</v>
      </c>
      <c r="C16" s="19" t="n">
        <f aca="false">'Health - Unit Economics'!G47</f>
        <v>-1912.83998614856</v>
      </c>
      <c r="D16" s="19" t="n">
        <f aca="false">'Term - Unit Economics'!G32</f>
        <v>-4341.75431888938</v>
      </c>
      <c r="E16" s="19" t="n">
        <f aca="false">'Term - Unit Economics'!G47</f>
        <v>-2781.88702982097</v>
      </c>
    </row>
    <row r="17" customFormat="false" ht="15" hidden="false" customHeight="false" outlineLevel="0" collapsed="false">
      <c r="A17" s="10" t="s">
        <v>83</v>
      </c>
      <c r="B17" s="20" t="n">
        <f aca="false">'Health - Unit Economics'!G30</f>
        <v>38.7420489</v>
      </c>
      <c r="C17" s="20" t="n">
        <f aca="false">'Health - Unit Economics'!G45</f>
        <v>23.1616946283203</v>
      </c>
      <c r="D17" s="20" t="n">
        <f aca="false">'Term - Unit Economics'!G30</f>
        <v>63.0249409724609</v>
      </c>
      <c r="E17" s="20" t="n">
        <f aca="false">'Term - Unit Economics'!G45</f>
        <v>63.0249409724609</v>
      </c>
    </row>
    <row r="20" customFormat="false" ht="15" hidden="false" customHeight="false" outlineLevel="0" collapsed="false">
      <c r="A20" s="5" t="s">
        <v>84</v>
      </c>
      <c r="B20" s="6"/>
      <c r="C20" s="6"/>
      <c r="D20" s="6"/>
      <c r="E20" s="6"/>
    </row>
    <row r="21" customFormat="false" ht="15" hidden="false" customHeight="false" outlineLevel="0" collapsed="false">
      <c r="A21" s="26" t="s">
        <v>85</v>
      </c>
      <c r="B21" s="26"/>
      <c r="C21" s="26"/>
      <c r="D21" s="26"/>
      <c r="E21" s="26"/>
    </row>
    <row r="22" customFormat="false" ht="15" hidden="false" customHeight="false" outlineLevel="0" collapsed="false">
      <c r="A22" s="26" t="s">
        <v>86</v>
      </c>
      <c r="B22" s="26"/>
      <c r="C22" s="26"/>
      <c r="D22" s="26"/>
      <c r="E22" s="26"/>
    </row>
    <row r="23" customFormat="false" ht="15" hidden="false" customHeight="false" outlineLevel="0" collapsed="false">
      <c r="A23" s="26" t="s">
        <v>87</v>
      </c>
      <c r="B23" s="26"/>
      <c r="C23" s="26"/>
      <c r="D23" s="26"/>
      <c r="E23" s="26"/>
    </row>
    <row r="24" customFormat="false" ht="15" hidden="false" customHeight="false" outlineLevel="0" collapsed="false">
      <c r="A24" s="26" t="s">
        <v>88</v>
      </c>
      <c r="B24" s="26"/>
      <c r="C24" s="26"/>
      <c r="D24" s="26"/>
      <c r="E24" s="26"/>
    </row>
    <row r="25" customFormat="false" ht="15" hidden="false" customHeight="false" outlineLevel="0" collapsed="false">
      <c r="A25" s="26" t="s">
        <v>89</v>
      </c>
      <c r="B25" s="26"/>
      <c r="C25" s="26"/>
      <c r="D25" s="26"/>
      <c r="E25" s="26"/>
    </row>
    <row r="26" customFormat="false" ht="15" hidden="false" customHeight="false" outlineLevel="0" collapsed="false">
      <c r="A26" s="26" t="s">
        <v>90</v>
      </c>
      <c r="B26" s="26"/>
      <c r="C26" s="26"/>
      <c r="D26" s="26"/>
      <c r="E26" s="26"/>
    </row>
  </sheetData>
  <mergeCells count="7">
    <mergeCell ref="A1:E1"/>
    <mergeCell ref="A21:E21"/>
    <mergeCell ref="A22:E22"/>
    <mergeCell ref="A23:E23"/>
    <mergeCell ref="A24:E24"/>
    <mergeCell ref="A25:E25"/>
    <mergeCell ref="A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2026-10-12T11:08:15Z</dcterms:created>
  <dc:creator>openpyxl</dc:creator>
  <dc:description/>
  <dc:language>en-US</dc:language>
  <cp:lastModifiedBy/>
  <dcterms:modified xsi:type="dcterms:W3CDTF">2026-10-12T11:08:15Z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