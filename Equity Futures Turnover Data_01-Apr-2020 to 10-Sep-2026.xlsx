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4">
      <c r="A94" s="1" t="inlineStr">
        <is>
          <t>QTD Comparison - Q2FY27 QTD vs Q2FY26 QTD (same number of trading days)</t>
        </is>
      </c>
    </row>
    <row r="95">
      <c r="A95" s="4" t="inlineStr">
        <is>
          <t>Trading days elapsed in Q2FY27 (per NSE daily)</t>
        </is>
      </c>
      <c r="B95" s="5">
        <f>COUNTIF('Daily NSE Equity Futures'!$A:$A,"&gt;="&amp;DATE(2026,7,1))</f>
        <v/>
      </c>
    </row>
    <row r="96">
      <c r="A96" s="4" t="inlineStr">
        <is>
          <t>Matched Q2FY26 window</t>
        </is>
      </c>
      <c r="B96" s="9">
        <f>DATE(2025,7,1)</f>
        <v/>
      </c>
      <c r="C96" s="9">
        <f>INDEX('Daily NSE Equity Futures'!$A:$A,COUNTIF('Daily NSE Equity Futures'!$A:$A,"&lt;"&amp;DATE(2025,7,1))+1+$B95)</f>
        <v/>
      </c>
    </row>
    <row r="97">
      <c r="B97" s="2" t="inlineStr">
        <is>
          <t>NSE Turnover (INR Bn)</t>
        </is>
      </c>
      <c r="C97" s="2" t="inlineStr">
        <is>
          <t>BSE Turnover (INR Bn)</t>
        </is>
      </c>
      <c r="D97" s="2" t="inlineStr">
        <is>
          <t>Total Turnover (INR Bn)</t>
        </is>
      </c>
      <c r="E97" s="2" t="inlineStr">
        <is>
          <t>NSE Turnover Market Share</t>
        </is>
      </c>
      <c r="F97" s="2" t="inlineStr">
        <is>
          <t>BSE Turnover Market Share</t>
        </is>
      </c>
      <c r="M97" s="3" t="inlineStr">
        <is>
          <t>NSE No. of Contracts</t>
        </is>
      </c>
      <c r="N97" s="3" t="inlineStr">
        <is>
          <t>BSE No. of Contracts</t>
        </is>
      </c>
      <c r="O97" s="3" t="inlineStr">
        <is>
          <t>Total No. of Contracts</t>
        </is>
      </c>
      <c r="P97" s="3" t="inlineStr">
        <is>
          <t>NSE Contracts Market Share</t>
        </is>
      </c>
      <c r="Q97" s="3" t="inlineStr">
        <is>
          <t>BSE Contracts Market Share</t>
        </is>
      </c>
    </row>
    <row r="98">
      <c r="A98" s="4" t="inlineStr">
        <is>
          <t>Q2FY26 QTD (first N trading days)</t>
        </is>
      </c>
      <c r="B98" s="6">
        <f>SUMIFS('Daily NSE Equity Futures'!$I:$I,'Daily NSE Equity Futures'!$A:$A,"&gt;="&amp;$B$96,'Daily NSE Equity Futures'!$A:$A,"&lt;="&amp;$C$96)</f>
        <v/>
      </c>
      <c r="C98" s="6">
        <f>SUMIFS('Daily BSE Equity Futures'!$I:$I,'Daily BSE Equity Futures'!$A:$A,"&gt;="&amp;$B$96,'Daily BSE Equity Futures'!$A:$A,"&lt;="&amp;$C$96)</f>
        <v/>
      </c>
      <c r="D98" s="6">
        <f>B98+C98</f>
        <v/>
      </c>
      <c r="E98" s="15">
        <f>IF(D98=0,"",B98/D98)</f>
        <v/>
      </c>
      <c r="F98" s="15">
        <f>IF(D98=0,"",C98/D98)</f>
        <v/>
      </c>
      <c r="M98" s="7">
        <f>SUMIFS('Daily NSE Equity Futures'!$J:$J,'Daily NSE Equity Futures'!$A:$A,"&gt;="&amp;$B$96,'Daily NSE Equity Futures'!$A:$A,"&lt;="&amp;$C$96)</f>
        <v/>
      </c>
      <c r="N98" s="7">
        <f>SUMIFS('Daily BSE Equity Futures'!$J:$J,'Daily BSE Equity Futures'!$A:$A,"&gt;="&amp;$B$96,'Daily BSE Equity Futures'!$A:$A,"&lt;="&amp;$C$96)</f>
        <v/>
      </c>
      <c r="O98" s="7">
        <f>M98+N98</f>
        <v/>
      </c>
      <c r="P98" s="19">
        <f>IF(O98=0,"",M98/O98)</f>
        <v/>
      </c>
      <c r="Q98" s="19">
        <f>IF(O98=0,"",N98/O98)</f>
        <v/>
      </c>
    </row>
    <row r="99">
      <c r="A99" s="4" t="inlineStr">
        <is>
          <t>Q2FY27 QTD</t>
        </is>
      </c>
      <c r="B99" s="6">
        <f>SUMIFS('Daily NSE Equity Futures'!$I:$I,'Daily NSE Equity Futures'!$A:$A,"&gt;="&amp;DATE(2026,7,1))</f>
        <v/>
      </c>
      <c r="C99" s="6">
        <f>SUMIFS('Daily BSE Equity Futures'!$I:$I,'Daily BSE Equity Futures'!$A:$A,"&gt;="&amp;DATE(2026,7,1))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Futures'!$A:$A,"&gt;="&amp;DATE(2026,7,1))</f>
        <v/>
      </c>
      <c r="N99" s="7">
        <f>SUMIFS('Daily BSE Equity Futures'!$J:$J,'Daily BSE Equity Futures'!$A:$A,"&gt;="&amp;DATE(2026,7,1))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1" t="inlineStr">
        <is>
          <t>QTD Growth (Q2FY27 vs Q2FY26)</t>
        </is>
      </c>
      <c r="B100" s="15">
        <f>IF(OR(B98=0,B98=""),"",B99/B98-1)</f>
        <v/>
      </c>
      <c r="C100" s="15">
        <f>IF(OR(C98=0,C98=""),"",C99/C98-1)</f>
        <v/>
      </c>
      <c r="D100" s="15">
        <f>IF(OR(D98=0,D98=""),"",D99/D98-1)</f>
        <v/>
      </c>
      <c r="M100" s="19">
        <f>IF(OR(M98=0,M98=""),"",M99/M98-1)</f>
        <v/>
      </c>
      <c r="N100" s="19">
        <f>IF(OR(N98=0,N98=""),"",N99/N98-1)</f>
        <v/>
      </c>
      <c r="O100" s="19">
        <f>IF(OR(O98=0,O98=""),"",O99/O98-1)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>
        <f>IF(SUMIFS('Monthly NSE Equity Futures'!$H:$H,'Monthly NSE Equity Futures'!$A:$A,$A273)=0,"",SUMIFS('Monthly NSE Equity Futures'!$H:$H,'Monthly NSE Equity Futures'!$A:$A,$A273))</f>
        <v/>
      </c>
      <c r="E273" s="6">
        <f>IF(SUMIFS('Monthly BSE Equity Futures'!$H:$H,'Monthly BSE Equity Futures'!$A:$A,$A273)=0,"",SUMIFS('Monthly BSE Equity Futures'!$H:$H,'Monthly BSE Equity Futures'!$A:$A,$A273))</f>
        <v/>
      </c>
      <c r="F273" s="6">
        <f>IF(OR(D273="",E273=""),"",D273+E273)</f>
        <v/>
      </c>
      <c r="G273" s="15">
        <f>IF(F273="","",D273/F273)</f>
        <v/>
      </c>
      <c r="H273" s="15">
        <f>IF(F273="","",E273/F273)</f>
        <v/>
      </c>
      <c r="I273" s="20">
        <f>IF(OR(D273="",D261=""),"",D273/D261-1)</f>
        <v/>
      </c>
      <c r="J273" s="15">
        <f>IF(OR(E273="",E261=""),"",E273/E261-1)</f>
        <v/>
      </c>
      <c r="K273" s="15">
        <f>IF(OR(F273="",F261=""),"",F273/F261-1)</f>
        <v/>
      </c>
      <c r="L273" s="15">
        <f>IF(OR(D273="",D272=""),"",D273/D272-1)</f>
        <v/>
      </c>
      <c r="M273" s="15">
        <f>IF(OR(E273="",E272=""),"",E273/E272-1)</f>
        <v/>
      </c>
      <c r="N273" s="15">
        <f>IF(OR(F273="",F272=""),"",F273/F272-1)</f>
        <v/>
      </c>
      <c r="O273" s="18">
        <f>IF(SUMIFS('Monthly NSE Equity Futures'!$I:$I,'Monthly NSE Equity Futures'!$A:$A,$A273)=0,"",SUMIFS('Monthly NSE Equity Futures'!$I:$I,'Monthly NSE Equity Futures'!$A:$A,$A273))</f>
        <v/>
      </c>
      <c r="P273" s="7">
        <f>IF(SUMIFS('Monthly BSE Equity Futures'!$I:$I,'Monthly BSE Equity Futures'!$A:$A,$A273)=0,"",SUMIFS('Monthly BSE Equity Futures'!$I:$I,'Monthly BSE Equity Futures'!$A:$A,$A273))</f>
        <v/>
      </c>
      <c r="Q273" s="7">
        <f>IF(OR(O273="",P273=""),"",O273+P273)</f>
        <v/>
      </c>
      <c r="R273" s="19">
        <f>IF(Q273="","",O273/Q273)</f>
        <v/>
      </c>
      <c r="S273" s="19">
        <f>IF(Q273="","",P273/Q273)</f>
        <v/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>
        <f>IF(SUMIFS('Monthly NSE Equity Futures'!$H:$H,'Monthly NSE Equity Futures'!$A:$A,$A274)=0,"",SUMIFS('Monthly NSE Equity Futures'!$H:$H,'Monthly NSE Equity Futures'!$A:$A,$A274))</f>
        <v/>
      </c>
      <c r="E274" s="6">
        <f>IF(SUMIFS('Monthly BSE Equity Futures'!$H:$H,'Monthly BSE Equity Futures'!$A:$A,$A274)=0,"",SUMIFS('Monthly BSE Equity Futures'!$H:$H,'Monthly BSE Equity Futures'!$A:$A,$A274))</f>
        <v/>
      </c>
      <c r="F274" s="6">
        <f>IF(OR(D274="",E274=""),"",D274+E274)</f>
        <v/>
      </c>
      <c r="G274" s="15">
        <f>IF(F274="","",D274/F274)</f>
        <v/>
      </c>
      <c r="H274" s="15">
        <f>IF(F274="","",E274/F274)</f>
        <v/>
      </c>
      <c r="I274" s="20">
        <f>IF(OR(D274="",D262=""),"",D274/D262-1)</f>
        <v/>
      </c>
      <c r="J274" s="15">
        <f>IF(OR(E274="",E262=""),"",E274/E262-1)</f>
        <v/>
      </c>
      <c r="K274" s="15">
        <f>IF(OR(F274="",F262=""),"",F274/F262-1)</f>
        <v/>
      </c>
      <c r="L274" s="15">
        <f>IF(OR(D274="",D273=""),"",D274/D273-1)</f>
        <v/>
      </c>
      <c r="M274" s="15">
        <f>IF(OR(E274="",E273=""),"",E274/E273-1)</f>
        <v/>
      </c>
      <c r="N274" s="15">
        <f>IF(OR(F274="",F273=""),"",F274/F273-1)</f>
        <v/>
      </c>
      <c r="O274" s="18">
        <f>IF(SUMIFS('Monthly NSE Equity Futures'!$I:$I,'Monthly NSE Equity Futures'!$A:$A,$A274)=0,"",SUMIFS('Monthly NSE Equity Futures'!$I:$I,'Monthly NSE Equity Futures'!$A:$A,$A274))</f>
        <v/>
      </c>
      <c r="P274" s="7">
        <f>IF(SUMIFS('Monthly BSE Equity Futures'!$I:$I,'Monthly BSE Equity Futures'!$A:$A,$A274)=0,"",SUMIFS('Monthly BSE Equity Futures'!$I:$I,'Monthly BSE Equity Futures'!$A:$A,$A274))</f>
        <v/>
      </c>
      <c r="Q274" s="7">
        <f>IF(OR(O274="",P274=""),"",O274+P274)</f>
        <v/>
      </c>
      <c r="R274" s="19">
        <f>IF(Q274="","",O274/Q274)</f>
        <v/>
      </c>
      <c r="S274" s="19">
        <f>IF(Q274="","",P274/Q274)</f>
        <v/>
      </c>
    </row>
    <row r="276">
      <c r="A276" s="1" t="inlineStr">
        <is>
          <t>MTD Comparison - Sep-2026 MTD vs Sep-2025 MTD (same number of trading days)</t>
        </is>
      </c>
    </row>
    <row r="277">
      <c r="A277" s="4" t="inlineStr">
        <is>
          <t>Trading days elapsed in Sep-2026 (per NSE daily)</t>
        </is>
      </c>
      <c r="B277" s="5">
        <f>COUNTIF('Daily NSE Equity Futures'!$A:$A,"&gt;="&amp;DATE(2026,9,1))</f>
        <v/>
      </c>
    </row>
    <row r="278">
      <c r="A278" s="4" t="inlineStr">
        <is>
          <t>Matched Sep-2025 window</t>
        </is>
      </c>
      <c r="B278" s="9">
        <f>DATE(2025,9,1)</f>
        <v/>
      </c>
      <c r="C278" s="9">
        <f>INDEX('Daily NSE Equity Futures'!$A:$A,COUNTIF('Daily NSE Equity Futures'!$A:$A,"&lt;"&amp;DATE(2025,9,1))+1+$B277)</f>
        <v/>
      </c>
    </row>
    <row r="279">
      <c r="D279" s="2" t="inlineStr">
        <is>
          <t>NSE Turnover (INR Bn)</t>
        </is>
      </c>
      <c r="E279" s="2" t="inlineStr">
        <is>
          <t>BSE Turnover (INR Bn)</t>
        </is>
      </c>
      <c r="F279" s="2" t="inlineStr">
        <is>
          <t>Total Turnover (INR Bn)</t>
        </is>
      </c>
      <c r="G279" s="2" t="inlineStr">
        <is>
          <t>NSE Turnover Market Share</t>
        </is>
      </c>
      <c r="H279" s="2" t="inlineStr">
        <is>
          <t>BSE Turnover Market Share</t>
        </is>
      </c>
      <c r="O279" s="3" t="inlineStr">
        <is>
          <t>NSE No. of Contracts</t>
        </is>
      </c>
      <c r="P279" s="3" t="inlineStr">
        <is>
          <t>BSE No. of Contracts</t>
        </is>
      </c>
      <c r="Q279" s="3" t="inlineStr">
        <is>
          <t>Total No. of Contracts</t>
        </is>
      </c>
      <c r="R279" s="3" t="inlineStr">
        <is>
          <t>NSE Contracts Market Share</t>
        </is>
      </c>
      <c r="S279" s="3" t="inlineStr">
        <is>
          <t>BSE Contracts Market Share</t>
        </is>
      </c>
    </row>
    <row r="280">
      <c r="A280" s="4" t="inlineStr">
        <is>
          <t>Sep-2025 MTD (first N trading days)</t>
        </is>
      </c>
      <c r="D280" s="6">
        <f>SUMIFS('Daily NSE Equity Futures'!$I:$I,'Daily NSE Equity Futures'!$A:$A,"&gt;="&amp;$B$278,'Daily NSE Equity Futures'!$A:$A,"&lt;="&amp;$C$278)</f>
        <v/>
      </c>
      <c r="E280" s="6">
        <f>SUMIFS('Daily BSE Equity Futures'!$I:$I,'Daily BSE Equity Futures'!$A:$A,"&gt;="&amp;$B$278,'Daily BSE Equity Futures'!$A:$A,"&lt;="&amp;$C$278)</f>
        <v/>
      </c>
      <c r="F280" s="6">
        <f>D280+E280</f>
        <v/>
      </c>
      <c r="G280" s="15">
        <f>IF(F280=0,"",D280/F280)</f>
        <v/>
      </c>
      <c r="H280" s="15">
        <f>IF(F280=0,"",E280/F280)</f>
        <v/>
      </c>
      <c r="O280" s="7">
        <f>SUMIFS('Daily NSE Equity Futures'!$J:$J,'Daily NSE Equity Futures'!$A:$A,"&gt;="&amp;$B$278,'Daily NSE Equity Futures'!$A:$A,"&lt;="&amp;$C$278)</f>
        <v/>
      </c>
      <c r="P280" s="7">
        <f>SUMIFS('Daily BSE Equity Futures'!$J:$J,'Daily BSE Equity Futures'!$A:$A,"&gt;="&amp;$B$278,'Daily BSE Equity Futures'!$A:$A,"&lt;="&amp;$C$278)</f>
        <v/>
      </c>
      <c r="Q280" s="7">
        <f>O280+P280</f>
        <v/>
      </c>
      <c r="R280" s="19">
        <f>IF(Q280=0,"",O280/Q280)</f>
        <v/>
      </c>
      <c r="S280" s="19">
        <f>IF(Q280=0,"",P280/Q280)</f>
        <v/>
      </c>
    </row>
    <row r="281">
      <c r="A281" s="4" t="inlineStr">
        <is>
          <t>Sep-2026 MTD</t>
        </is>
      </c>
      <c r="D281" s="6">
        <f>SUMIFS('Daily NSE Equity Futures'!$I:$I,'Daily NSE Equity Futures'!$A:$A,"&gt;="&amp;DATE(2026,9,1))</f>
        <v/>
      </c>
      <c r="E281" s="6">
        <f>SUMIFS('Daily BSE Equity Futures'!$I:$I,'Daily BSE Equity Futures'!$A:$A,"&gt;="&amp;DATE(2026,9,1))</f>
        <v/>
      </c>
      <c r="F281" s="6">
        <f>D281+E281</f>
        <v/>
      </c>
      <c r="G281" s="15">
        <f>IF(F281=0,"",D281/F281)</f>
        <v/>
      </c>
      <c r="H281" s="15">
        <f>IF(F281=0,"",E281/F281)</f>
        <v/>
      </c>
      <c r="O281" s="7">
        <f>SUMIFS('Daily NSE Equity Futures'!$J:$J,'Daily NSE Equity Futures'!$A:$A,"&gt;="&amp;DATE(2026,9,1))</f>
        <v/>
      </c>
      <c r="P281" s="7">
        <f>SUMIFS('Daily BSE Equity Futures'!$J:$J,'Daily BSE Equity Futures'!$A:$A,"&gt;="&amp;DATE(2026,9,1))</f>
        <v/>
      </c>
      <c r="Q281" s="7">
        <f>O281+P281</f>
        <v/>
      </c>
      <c r="R281" s="19">
        <f>IF(Q281=0,"",O281/Q281)</f>
        <v/>
      </c>
      <c r="S281" s="19">
        <f>IF(Q281=0,"",P281/Q281)</f>
        <v/>
      </c>
    </row>
    <row r="282">
      <c r="A282" s="1" t="inlineStr">
        <is>
          <t>MTD Growth (Sep-2026 vs Sep-2025)</t>
        </is>
      </c>
      <c r="D282" s="15">
        <f>IF(OR(D280=0,D280=""),"",D281/D280-1)</f>
        <v/>
      </c>
      <c r="E282" s="15">
        <f>IF(OR(E280=0,E280=""),"",E281/E280-1)</f>
        <v/>
      </c>
      <c r="F282" s="15">
        <f>IF(OR(F280=0,F280=""),"",F281/F280-1)</f>
        <v/>
      </c>
      <c r="O282" s="19">
        <f>IF(OR(O280=0,O280=""),"",O281/O280-1)</f>
        <v/>
      </c>
      <c r="P282" s="19">
        <f>IF(OR(P280=0,P280=""),"",P281/P280-1)</f>
        <v/>
      </c>
      <c r="Q282" s="19">
        <f>IF(OR(Q280=0,Q280=""),"",Q281/Q280-1)</f>
        <v/>
      </c>
    </row>
  </sheetData>
  <conditionalFormatting sqref="G2:G27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>
        <f>IF(SUMIFS('Daily NSE Equity Futures'!$I:$I,'Daily NSE Equity Futures'!$A:$A,$A1563)=0,"",SUMIFS('Daily NSE Equity Futures'!$I:$I,'Daily NSE Equity Futures'!$A:$A,$A1563))</f>
        <v/>
      </c>
      <c r="F1563" s="6">
        <f>IF(SUMIFS('Daily BSE Equity Futures'!$I:$I,'Daily BSE Equity Futures'!$A:$A,$A1563)=0,"",SUMIFS('Daily BSE Equity Futures'!$I:$I,'Daily BSE Equity Futures'!$A:$A,$A1563))</f>
        <v/>
      </c>
      <c r="G1563" s="6">
        <f>IF(OR(E1563="",F1563=""),"",E1563+F1563)</f>
        <v/>
      </c>
      <c r="H1563" s="15">
        <f>IF(G1563="","",E1563/G1563)</f>
        <v/>
      </c>
      <c r="I1563" s="15">
        <f>IF(G1563="","",F1563/G1563)</f>
        <v/>
      </c>
      <c r="J1563" s="20">
        <f>IFERROR(IF(OR(E1563="",INDEX(E:E,MATCH(DATE(YEAR($A1563)-1,MONTH($A1563),DAY($A1563)),$A:$A,0))=""),"",E1563/INDEX(E:E,MATCH(DATE(YEAR($A1563)-1,MONTH($A1563),DAY($A1563)),$A:$A,0))-1),"")</f>
        <v/>
      </c>
      <c r="K1563" s="15">
        <f>IFERROR(IF(OR(F1563="",INDEX(F:F,MATCH(DATE(YEAR($A1563)-1,MONTH($A1563),DAY($A1563)),$A:$A,0))=""),"",F1563/INDEX(F:F,MATCH(DATE(YEAR($A1563)-1,MONTH($A1563),DAY($A1563)),$A:$A,0))-1),"")</f>
        <v/>
      </c>
      <c r="L1563" s="15">
        <f>IFERROR(IF(OR(G1563="",INDEX(G:G,MATCH(DATE(YEAR($A1563)-1,MONTH($A1563),DAY($A1563)),$A:$A,0))=""),"",G1563/INDEX(G:G,MATCH(DATE(YEAR($A1563)-1,MONTH($A1563),DAY($A1563)),$A:$A,0))-1),"")</f>
        <v/>
      </c>
      <c r="M1563" s="15">
        <f>IF(OR(E1563="",E1562=""),"",E1563/E1562-1)</f>
        <v/>
      </c>
      <c r="N1563" s="15">
        <f>IF(OR(F1563="",F1562=""),"",F1563/F1562-1)</f>
        <v/>
      </c>
      <c r="O1563" s="15">
        <f>IF(OR(G1563="",G1562=""),"",G1563/G1562-1)</f>
        <v/>
      </c>
      <c r="P1563" s="18">
        <f>IF(SUMIFS('Daily NSE Equity Futures'!$J:$J,'Daily NSE Equity Futures'!$A:$A,$A1563)=0,"",SUMIFS('Daily NSE Equity Futures'!$J:$J,'Daily NSE Equity Futures'!$A:$A,$A1563))</f>
        <v/>
      </c>
      <c r="Q1563" s="7">
        <f>IF(SUMIFS('Daily BSE Equity Futures'!$J:$J,'Daily BSE Equity Futures'!$A:$A,$A1563)=0,"",SUMIFS('Daily BSE Equity Futures'!$J:$J,'Daily BSE Equity Futures'!$A:$A,$A1563))</f>
        <v/>
      </c>
      <c r="R1563" s="7">
        <f>IF(OR(P1563="",Q1563=""),"",P1563+Q1563)</f>
        <v/>
      </c>
      <c r="S1563" s="19">
        <f>IF(R1563="","",P1563/R1563)</f>
        <v/>
      </c>
      <c r="T1563" s="19">
        <f>IF(R1563="","",Q1563/R1563)</f>
        <v/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>
        <f>IF(SUMIFS('Daily NSE Equity Futures'!$I:$I,'Daily NSE Equity Futures'!$A:$A,$A1564)=0,"",SUMIFS('Daily NSE Equity Futures'!$I:$I,'Daily NSE Equity Futures'!$A:$A,$A1564))</f>
        <v/>
      </c>
      <c r="F1564" s="6">
        <f>IF(SUMIFS('Daily BSE Equity Futures'!$I:$I,'Daily BSE Equity Futures'!$A:$A,$A1564)=0,"",SUMIFS('Daily BSE Equity Futures'!$I:$I,'Daily BSE Equity Futures'!$A:$A,$A1564))</f>
        <v/>
      </c>
      <c r="G1564" s="6">
        <f>IF(OR(E1564="",F1564=""),"",E1564+F1564)</f>
        <v/>
      </c>
      <c r="H1564" s="15">
        <f>IF(G1564="","",E1564/G1564)</f>
        <v/>
      </c>
      <c r="I1564" s="15">
        <f>IF(G1564="","",F1564/G1564)</f>
        <v/>
      </c>
      <c r="J1564" s="20">
        <f>IFERROR(IF(OR(E1564="",INDEX(E:E,MATCH(DATE(YEAR($A1564)-1,MONTH($A1564),DAY($A1564)),$A:$A,0))=""),"",E1564/INDEX(E:E,MATCH(DATE(YEAR($A1564)-1,MONTH($A1564),DAY($A1564)),$A:$A,0))-1),"")</f>
        <v/>
      </c>
      <c r="K1564" s="15">
        <f>IFERROR(IF(OR(F1564="",INDEX(F:F,MATCH(DATE(YEAR($A1564)-1,MONTH($A1564),DAY($A1564)),$A:$A,0))=""),"",F1564/INDEX(F:F,MATCH(DATE(YEAR($A1564)-1,MONTH($A1564),DAY($A1564)),$A:$A,0))-1),"")</f>
        <v/>
      </c>
      <c r="L1564" s="15">
        <f>IFERROR(IF(OR(G1564="",INDEX(G:G,MATCH(DATE(YEAR($A1564)-1,MONTH($A1564),DAY($A1564)),$A:$A,0))=""),"",G1564/INDEX(G:G,MATCH(DATE(YEAR($A1564)-1,MONTH($A1564),DAY($A1564)),$A:$A,0))-1),"")</f>
        <v/>
      </c>
      <c r="M1564" s="15">
        <f>IF(OR(E1564="",E1563=""),"",E1564/E1563-1)</f>
        <v/>
      </c>
      <c r="N1564" s="15">
        <f>IF(OR(F1564="",F1563=""),"",F1564/F1563-1)</f>
        <v/>
      </c>
      <c r="O1564" s="15">
        <f>IF(OR(G1564="",G1563=""),"",G1564/G1563-1)</f>
        <v/>
      </c>
      <c r="P1564" s="18">
        <f>IF(SUMIFS('Daily NSE Equity Futures'!$J:$J,'Daily NSE Equity Futures'!$A:$A,$A1564)=0,"",SUMIFS('Daily NSE Equity Futures'!$J:$J,'Daily NSE Equity Futures'!$A:$A,$A1564))</f>
        <v/>
      </c>
      <c r="Q1564" s="7">
        <f>IF(SUMIFS('Daily BSE Equity Futures'!$J:$J,'Daily BSE Equity Futures'!$A:$A,$A1564)=0,"",SUMIFS('Daily BSE Equity Futures'!$J:$J,'Daily BSE Equity Futures'!$A:$A,$A1564))</f>
        <v/>
      </c>
      <c r="R1564" s="7">
        <f>IF(OR(P1564="",Q1564=""),"",P1564+Q1564)</f>
        <v/>
      </c>
      <c r="S1564" s="19">
        <f>IF(R1564="","",P1564/R1564)</f>
        <v/>
      </c>
      <c r="T1564" s="19">
        <f>IF(R1564="","",Q1564/R1564)</f>
        <v/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>
        <f>IF(SUMIFS('Daily NSE Equity Futures'!$I:$I,'Daily NSE Equity Futures'!$A:$A,$A1565)=0,"",SUMIFS('Daily NSE Equity Futures'!$I:$I,'Daily NSE Equity Futures'!$A:$A,$A1565))</f>
        <v/>
      </c>
      <c r="F1565" s="6">
        <f>IF(SUMIFS('Daily BSE Equity Futures'!$I:$I,'Daily BSE Equity Futures'!$A:$A,$A1565)=0,"",SUMIFS('Daily BSE Equity Futures'!$I:$I,'Daily BSE Equity Futures'!$A:$A,$A1565))</f>
        <v/>
      </c>
      <c r="G1565" s="6">
        <f>IF(OR(E1565="",F1565=""),"",E1565+F1565)</f>
        <v/>
      </c>
      <c r="H1565" s="15">
        <f>IF(G1565="","",E1565/G1565)</f>
        <v/>
      </c>
      <c r="I1565" s="15">
        <f>IF(G1565="","",F1565/G1565)</f>
        <v/>
      </c>
      <c r="J1565" s="20">
        <f>IFERROR(IF(OR(E1565="",INDEX(E:E,MATCH(DATE(YEAR($A1565)-1,MONTH($A1565),DAY($A1565)),$A:$A,0))=""),"",E1565/INDEX(E:E,MATCH(DATE(YEAR($A1565)-1,MONTH($A1565),DAY($A1565)),$A:$A,0))-1),"")</f>
        <v/>
      </c>
      <c r="K1565" s="15">
        <f>IFERROR(IF(OR(F1565="",INDEX(F:F,MATCH(DATE(YEAR($A1565)-1,MONTH($A1565),DAY($A1565)),$A:$A,0))=""),"",F1565/INDEX(F:F,MATCH(DATE(YEAR($A1565)-1,MONTH($A1565),DAY($A1565)),$A:$A,0))-1),"")</f>
        <v/>
      </c>
      <c r="L1565" s="15">
        <f>IFERROR(IF(OR(G1565="",INDEX(G:G,MATCH(DATE(YEAR($A1565)-1,MONTH($A1565),DAY($A1565)),$A:$A,0))=""),"",G1565/INDEX(G:G,MATCH(DATE(YEAR($A1565)-1,MONTH($A1565),DAY($A1565)),$A:$A,0))-1),"")</f>
        <v/>
      </c>
      <c r="M1565" s="15">
        <f>IF(OR(E1565="",E1564=""),"",E1565/E1564-1)</f>
        <v/>
      </c>
      <c r="N1565" s="15">
        <f>IF(OR(F1565="",F1564=""),"",F1565/F1564-1)</f>
        <v/>
      </c>
      <c r="O1565" s="15">
        <f>IF(OR(G1565="",G1564=""),"",G1565/G1564-1)</f>
        <v/>
      </c>
      <c r="P1565" s="18">
        <f>IF(SUMIFS('Daily NSE Equity Futures'!$J:$J,'Daily NSE Equity Futures'!$A:$A,$A1565)=0,"",SUMIFS('Daily NSE Equity Futures'!$J:$J,'Daily NSE Equity Futures'!$A:$A,$A1565))</f>
        <v/>
      </c>
      <c r="Q1565" s="7">
        <f>IF(SUMIFS('Daily BSE Equity Futures'!$J:$J,'Daily BSE Equity Futures'!$A:$A,$A1565)=0,"",SUMIFS('Daily BSE Equity Futures'!$J:$J,'Daily BSE Equity Futures'!$A:$A,$A1565))</f>
        <v/>
      </c>
      <c r="R1565" s="7">
        <f>IF(OR(P1565="",Q1565=""),"",P1565+Q1565)</f>
        <v/>
      </c>
      <c r="S1565" s="19">
        <f>IF(R1565="","",P1565/R1565)</f>
        <v/>
      </c>
      <c r="T1565" s="19">
        <f>IF(R1565="","",Q1565/R1565)</f>
        <v/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>
        <f>IF(SUMIFS('Daily NSE Equity Futures'!$I:$I,'Daily NSE Equity Futures'!$A:$A,$A1566)=0,"",SUMIFS('Daily NSE Equity Futures'!$I:$I,'Daily NSE Equity Futures'!$A:$A,$A1566))</f>
        <v/>
      </c>
      <c r="F1566" s="6">
        <f>IF(SUMIFS('Daily BSE Equity Futures'!$I:$I,'Daily BSE Equity Futures'!$A:$A,$A1566)=0,"",SUMIFS('Daily BSE Equity Futures'!$I:$I,'Daily BSE Equity Futures'!$A:$A,$A1566))</f>
        <v/>
      </c>
      <c r="G1566" s="6">
        <f>IF(OR(E1566="",F1566=""),"",E1566+F1566)</f>
        <v/>
      </c>
      <c r="H1566" s="15">
        <f>IF(G1566="","",E1566/G1566)</f>
        <v/>
      </c>
      <c r="I1566" s="15">
        <f>IF(G1566="","",F1566/G1566)</f>
        <v/>
      </c>
      <c r="J1566" s="20">
        <f>IFERROR(IF(OR(E1566="",INDEX(E:E,MATCH(DATE(YEAR($A1566)-1,MONTH($A1566),DAY($A1566)),$A:$A,0))=""),"",E1566/INDEX(E:E,MATCH(DATE(YEAR($A1566)-1,MONTH($A1566),DAY($A1566)),$A:$A,0))-1),"")</f>
        <v/>
      </c>
      <c r="K1566" s="15">
        <f>IFERROR(IF(OR(F1566="",INDEX(F:F,MATCH(DATE(YEAR($A1566)-1,MONTH($A1566),DAY($A1566)),$A:$A,0))=""),"",F1566/INDEX(F:F,MATCH(DATE(YEAR($A1566)-1,MONTH($A1566),DAY($A1566)),$A:$A,0))-1),"")</f>
        <v/>
      </c>
      <c r="L1566" s="15">
        <f>IFERROR(IF(OR(G1566="",INDEX(G:G,MATCH(DATE(YEAR($A1566)-1,MONTH($A1566),DAY($A1566)),$A:$A,0))=""),"",G1566/INDEX(G:G,MATCH(DATE(YEAR($A1566)-1,MONTH($A1566),DAY($A1566)),$A:$A,0))-1),"")</f>
        <v/>
      </c>
      <c r="M1566" s="15">
        <f>IF(OR(E1566="",E1565=""),"",E1566/E1565-1)</f>
        <v/>
      </c>
      <c r="N1566" s="15">
        <f>IF(OR(F1566="",F1565=""),"",F1566/F1565-1)</f>
        <v/>
      </c>
      <c r="O1566" s="15">
        <f>IF(OR(G1566="",G1565=""),"",G1566/G1565-1)</f>
        <v/>
      </c>
      <c r="P1566" s="18">
        <f>IF(SUMIFS('Daily NSE Equity Futures'!$J:$J,'Daily NSE Equity Futures'!$A:$A,$A1566)=0,"",SUMIFS('Daily NSE Equity Futures'!$J:$J,'Daily NSE Equity Futures'!$A:$A,$A1566))</f>
        <v/>
      </c>
      <c r="Q1566" s="7">
        <f>IF(SUMIFS('Daily BSE Equity Futures'!$J:$J,'Daily BSE Equity Futures'!$A:$A,$A1566)=0,"",SUMIFS('Daily BSE Equity Futures'!$J:$J,'Daily BSE Equity Futures'!$A:$A,$A1566))</f>
        <v/>
      </c>
      <c r="R1566" s="7">
        <f>IF(OR(P1566="",Q1566=""),"",P1566+Q1566)</f>
        <v/>
      </c>
      <c r="S1566" s="19">
        <f>IF(R1566="","",P1566/R1566)</f>
        <v/>
      </c>
      <c r="T1566" s="19">
        <f>IF(R1566="","",Q1566/R1566)</f>
        <v/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>
        <f>IF(SUMIFS('Daily NSE Equity Futures'!$I:$I,'Daily NSE Equity Futures'!$A:$A,$A1567)=0,"",SUMIFS('Daily NSE Equity Futures'!$I:$I,'Daily NSE Equity Futures'!$A:$A,$A1567))</f>
        <v/>
      </c>
      <c r="F1567" s="6">
        <f>IF(SUMIFS('Daily BSE Equity Futures'!$I:$I,'Daily BSE Equity Futures'!$A:$A,$A1567)=0,"",SUMIFS('Daily BSE Equity Futures'!$I:$I,'Daily BSE Equity Futures'!$A:$A,$A1567))</f>
        <v/>
      </c>
      <c r="G1567" s="6">
        <f>IF(OR(E1567="",F1567=""),"",E1567+F1567)</f>
        <v/>
      </c>
      <c r="H1567" s="15">
        <f>IF(G1567="","",E1567/G1567)</f>
        <v/>
      </c>
      <c r="I1567" s="15">
        <f>IF(G1567="","",F1567/G1567)</f>
        <v/>
      </c>
      <c r="J1567" s="20">
        <f>IFERROR(IF(OR(E1567="",INDEX(E:E,MATCH(DATE(YEAR($A1567)-1,MONTH($A1567),DAY($A1567)),$A:$A,0))=""),"",E1567/INDEX(E:E,MATCH(DATE(YEAR($A1567)-1,MONTH($A1567),DAY($A1567)),$A:$A,0))-1),"")</f>
        <v/>
      </c>
      <c r="K1567" s="15">
        <f>IFERROR(IF(OR(F1567="",INDEX(F:F,MATCH(DATE(YEAR($A1567)-1,MONTH($A1567),DAY($A1567)),$A:$A,0))=""),"",F1567/INDEX(F:F,MATCH(DATE(YEAR($A1567)-1,MONTH($A1567),DAY($A1567)),$A:$A,0))-1),"")</f>
        <v/>
      </c>
      <c r="L1567" s="15">
        <f>IFERROR(IF(OR(G1567="",INDEX(G:G,MATCH(DATE(YEAR($A1567)-1,MONTH($A1567),DAY($A1567)),$A:$A,0))=""),"",G1567/INDEX(G:G,MATCH(DATE(YEAR($A1567)-1,MONTH($A1567),DAY($A1567)),$A:$A,0))-1),"")</f>
        <v/>
      </c>
      <c r="M1567" s="15">
        <f>IF(OR(E1567="",E1566=""),"",E1567/E1566-1)</f>
        <v/>
      </c>
      <c r="N1567" s="15">
        <f>IF(OR(F1567="",F1566=""),"",F1567/F1566-1)</f>
        <v/>
      </c>
      <c r="O1567" s="15">
        <f>IF(OR(G1567="",G1566=""),"",G1567/G1566-1)</f>
        <v/>
      </c>
      <c r="P1567" s="18">
        <f>IF(SUMIFS('Daily NSE Equity Futures'!$J:$J,'Daily NSE Equity Futures'!$A:$A,$A1567)=0,"",SUMIFS('Daily NSE Equity Futures'!$J:$J,'Daily NSE Equity Futures'!$A:$A,$A1567))</f>
        <v/>
      </c>
      <c r="Q1567" s="7">
        <f>IF(SUMIFS('Daily BSE Equity Futures'!$J:$J,'Daily BSE Equity Futures'!$A:$A,$A1567)=0,"",SUMIFS('Daily BSE Equity Futures'!$J:$J,'Daily BSE Equity Futures'!$A:$A,$A1567))</f>
        <v/>
      </c>
      <c r="R1567" s="7">
        <f>IF(OR(P1567="",Q1567=""),"",P1567+Q1567)</f>
        <v/>
      </c>
      <c r="S1567" s="19">
        <f>IF(R1567="","",P1567/R1567)</f>
        <v/>
      </c>
      <c r="T1567" s="19">
        <f>IF(R1567="","",Q1567/R1567)</f>
        <v/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>
        <f>IF(SUMIFS('Daily NSE Equity Futures'!$I:$I,'Daily NSE Equity Futures'!$A:$A,$A1568)=0,"",SUMIFS('Daily NSE Equity Futures'!$I:$I,'Daily NSE Equity Futures'!$A:$A,$A1568))</f>
        <v/>
      </c>
      <c r="F1568" s="6">
        <f>IF(SUMIFS('Daily BSE Equity Futures'!$I:$I,'Daily BSE Equity Futures'!$A:$A,$A1568)=0,"",SUMIFS('Daily BSE Equity Futures'!$I:$I,'Daily BSE Equity Futures'!$A:$A,$A1568))</f>
        <v/>
      </c>
      <c r="G1568" s="6">
        <f>IF(OR(E1568="",F1568=""),"",E1568+F1568)</f>
        <v/>
      </c>
      <c r="H1568" s="15">
        <f>IF(G1568="","",E1568/G1568)</f>
        <v/>
      </c>
      <c r="I1568" s="15">
        <f>IF(G1568="","",F1568/G1568)</f>
        <v/>
      </c>
      <c r="J1568" s="20">
        <f>IFERROR(IF(OR(E1568="",INDEX(E:E,MATCH(DATE(YEAR($A1568)-1,MONTH($A1568),DAY($A1568)),$A:$A,0))=""),"",E1568/INDEX(E:E,MATCH(DATE(YEAR($A1568)-1,MONTH($A1568),DAY($A1568)),$A:$A,0))-1),"")</f>
        <v/>
      </c>
      <c r="K1568" s="15">
        <f>IFERROR(IF(OR(F1568="",INDEX(F:F,MATCH(DATE(YEAR($A1568)-1,MONTH($A1568),DAY($A1568)),$A:$A,0))=""),"",F1568/INDEX(F:F,MATCH(DATE(YEAR($A1568)-1,MONTH($A1568),DAY($A1568)),$A:$A,0))-1),"")</f>
        <v/>
      </c>
      <c r="L1568" s="15">
        <f>IFERROR(IF(OR(G1568="",INDEX(G:G,MATCH(DATE(YEAR($A1568)-1,MONTH($A1568),DAY($A1568)),$A:$A,0))=""),"",G1568/INDEX(G:G,MATCH(DATE(YEAR($A1568)-1,MONTH($A1568),DAY($A1568)),$A:$A,0))-1),"")</f>
        <v/>
      </c>
      <c r="M1568" s="15">
        <f>IF(OR(E1568="",E1567=""),"",E1568/E1567-1)</f>
        <v/>
      </c>
      <c r="N1568" s="15">
        <f>IF(OR(F1568="",F1567=""),"",F1568/F1567-1)</f>
        <v/>
      </c>
      <c r="O1568" s="15">
        <f>IF(OR(G1568="",G1567=""),"",G1568/G1567-1)</f>
        <v/>
      </c>
      <c r="P1568" s="18">
        <f>IF(SUMIFS('Daily NSE Equity Futures'!$J:$J,'Daily NSE Equity Futures'!$A:$A,$A1568)=0,"",SUMIFS('Daily NSE Equity Futures'!$J:$J,'Daily NSE Equity Futures'!$A:$A,$A1568))</f>
        <v/>
      </c>
      <c r="Q1568" s="7">
        <f>IF(SUMIFS('Daily BSE Equity Futures'!$J:$J,'Daily BSE Equity Futures'!$A:$A,$A1568)=0,"",SUMIFS('Daily BSE Equity Futures'!$J:$J,'Daily BSE Equity Futures'!$A:$A,$A1568))</f>
        <v/>
      </c>
      <c r="R1568" s="7">
        <f>IF(OR(P1568="",Q1568=""),"",P1568+Q1568)</f>
        <v/>
      </c>
      <c r="S1568" s="19">
        <f>IF(R1568="","",P1568/R1568)</f>
        <v/>
      </c>
      <c r="T1568" s="19">
        <f>IF(R1568="","",Q1568/R1568)</f>
        <v/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>
        <f>IF(SUMIFS('Daily NSE Equity Futures'!$I:$I,'Daily NSE Equity Futures'!$A:$A,$A1569)=0,"",SUMIFS('Daily NSE Equity Futures'!$I:$I,'Daily NSE Equity Futures'!$A:$A,$A1569))</f>
        <v/>
      </c>
      <c r="F1569" s="6">
        <f>IF(SUMIFS('Daily BSE Equity Futures'!$I:$I,'Daily BSE Equity Futures'!$A:$A,$A1569)=0,"",SUMIFS('Daily BSE Equity Futures'!$I:$I,'Daily BSE Equity Futures'!$A:$A,$A1569))</f>
        <v/>
      </c>
      <c r="G1569" s="6">
        <f>IF(OR(E1569="",F1569=""),"",E1569+F1569)</f>
        <v/>
      </c>
      <c r="H1569" s="15">
        <f>IF(G1569="","",E1569/G1569)</f>
        <v/>
      </c>
      <c r="I1569" s="15">
        <f>IF(G1569="","",F1569/G1569)</f>
        <v/>
      </c>
      <c r="J1569" s="20">
        <f>IFERROR(IF(OR(E1569="",INDEX(E:E,MATCH(DATE(YEAR($A1569)-1,MONTH($A1569),DAY($A1569)),$A:$A,0))=""),"",E1569/INDEX(E:E,MATCH(DATE(YEAR($A1569)-1,MONTH($A1569),DAY($A1569)),$A:$A,0))-1),"")</f>
        <v/>
      </c>
      <c r="K1569" s="15">
        <f>IFERROR(IF(OR(F1569="",INDEX(F:F,MATCH(DATE(YEAR($A1569)-1,MONTH($A1569),DAY($A1569)),$A:$A,0))=""),"",F1569/INDEX(F:F,MATCH(DATE(YEAR($A1569)-1,MONTH($A1569),DAY($A1569)),$A:$A,0))-1),"")</f>
        <v/>
      </c>
      <c r="L1569" s="15">
        <f>IFERROR(IF(OR(G1569="",INDEX(G:G,MATCH(DATE(YEAR($A1569)-1,MONTH($A1569),DAY($A1569)),$A:$A,0))=""),"",G1569/INDEX(G:G,MATCH(DATE(YEAR($A1569)-1,MONTH($A1569),DAY($A1569)),$A:$A,0))-1),"")</f>
        <v/>
      </c>
      <c r="M1569" s="15">
        <f>IF(OR(E1569="",E1568=""),"",E1569/E1568-1)</f>
        <v/>
      </c>
      <c r="N1569" s="15">
        <f>IF(OR(F1569="",F1568=""),"",F1569/F1568-1)</f>
        <v/>
      </c>
      <c r="O1569" s="15">
        <f>IF(OR(G1569="",G1568=""),"",G1569/G1568-1)</f>
        <v/>
      </c>
      <c r="P1569" s="18">
        <f>IF(SUMIFS('Daily NSE Equity Futures'!$J:$J,'Daily NSE Equity Futures'!$A:$A,$A1569)=0,"",SUMIFS('Daily NSE Equity Futures'!$J:$J,'Daily NSE Equity Futures'!$A:$A,$A1569))</f>
        <v/>
      </c>
      <c r="Q1569" s="7">
        <f>IF(SUMIFS('Daily BSE Equity Futures'!$J:$J,'Daily BSE Equity Futures'!$A:$A,$A1569)=0,"",SUMIFS('Daily BSE Equity Futures'!$J:$J,'Daily BSE Equity Futures'!$A:$A,$A1569))</f>
        <v/>
      </c>
      <c r="R1569" s="7">
        <f>IF(OR(P1569="",Q1569=""),"",P1569+Q1569)</f>
        <v/>
      </c>
      <c r="S1569" s="19">
        <f>IF(R1569="","",P1569/R1569)</f>
        <v/>
      </c>
      <c r="T1569" s="19">
        <f>IF(R1569="","",Q1569/R1569)</f>
        <v/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>
        <f>IF(SUMIFS('Daily NSE Equity Futures'!$I:$I,'Daily NSE Equity Futures'!$A:$A,$A1570)=0,"",SUMIFS('Daily NSE Equity Futures'!$I:$I,'Daily NSE Equity Futures'!$A:$A,$A1570))</f>
        <v/>
      </c>
      <c r="F1570" s="6">
        <f>IF(SUMIFS('Daily BSE Equity Futures'!$I:$I,'Daily BSE Equity Futures'!$A:$A,$A1570)=0,"",SUMIFS('Daily BSE Equity Futures'!$I:$I,'Daily BSE Equity Futures'!$A:$A,$A1570))</f>
        <v/>
      </c>
      <c r="G1570" s="6">
        <f>IF(OR(E1570="",F1570=""),"",E1570+F1570)</f>
        <v/>
      </c>
      <c r="H1570" s="15">
        <f>IF(G1570="","",E1570/G1570)</f>
        <v/>
      </c>
      <c r="I1570" s="15">
        <f>IF(G1570="","",F1570/G1570)</f>
        <v/>
      </c>
      <c r="J1570" s="20">
        <f>IFERROR(IF(OR(E1570="",INDEX(E:E,MATCH(DATE(YEAR($A1570)-1,MONTH($A1570),DAY($A1570)),$A:$A,0))=""),"",E1570/INDEX(E:E,MATCH(DATE(YEAR($A1570)-1,MONTH($A1570),DAY($A1570)),$A:$A,0))-1),"")</f>
        <v/>
      </c>
      <c r="K1570" s="15">
        <f>IFERROR(IF(OR(F1570="",INDEX(F:F,MATCH(DATE(YEAR($A1570)-1,MONTH($A1570),DAY($A1570)),$A:$A,0))=""),"",F1570/INDEX(F:F,MATCH(DATE(YEAR($A1570)-1,MONTH($A1570),DAY($A1570)),$A:$A,0))-1),"")</f>
        <v/>
      </c>
      <c r="L1570" s="15">
        <f>IFERROR(IF(OR(G1570="",INDEX(G:G,MATCH(DATE(YEAR($A1570)-1,MONTH($A1570),DAY($A1570)),$A:$A,0))=""),"",G1570/INDEX(G:G,MATCH(DATE(YEAR($A1570)-1,MONTH($A1570),DAY($A1570)),$A:$A,0))-1),"")</f>
        <v/>
      </c>
      <c r="M1570" s="15">
        <f>IF(OR(E1570="",E1569=""),"",E1570/E1569-1)</f>
        <v/>
      </c>
      <c r="N1570" s="15">
        <f>IF(OR(F1570="",F1569=""),"",F1570/F1569-1)</f>
        <v/>
      </c>
      <c r="O1570" s="15">
        <f>IF(OR(G1570="",G1569=""),"",G1570/G1569-1)</f>
        <v/>
      </c>
      <c r="P1570" s="18">
        <f>IF(SUMIFS('Daily NSE Equity Futures'!$J:$J,'Daily NSE Equity Futures'!$A:$A,$A1570)=0,"",SUMIFS('Daily NSE Equity Futures'!$J:$J,'Daily NSE Equity Futures'!$A:$A,$A1570))</f>
        <v/>
      </c>
      <c r="Q1570" s="7">
        <f>IF(SUMIFS('Daily BSE Equity Futures'!$J:$J,'Daily BSE Equity Futures'!$A:$A,$A1570)=0,"",SUMIFS('Daily BSE Equity Futures'!$J:$J,'Daily BSE Equity Futures'!$A:$A,$A1570))</f>
        <v/>
      </c>
      <c r="R1570" s="7">
        <f>IF(OR(P1570="",Q1570=""),"",P1570+Q1570)</f>
        <v/>
      </c>
      <c r="S1570" s="19">
        <f>IF(R1570="","",P1570/R1570)</f>
        <v/>
      </c>
      <c r="T1570" s="19">
        <f>IF(R1570="","",Q1570/R1570)</f>
        <v/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>
        <f>IF(SUMIFS('Daily NSE Equity Futures'!$I:$I,'Daily NSE Equity Futures'!$A:$A,$A1571)=0,"",SUMIFS('Daily NSE Equity Futures'!$I:$I,'Daily NSE Equity Futures'!$A:$A,$A1571))</f>
        <v/>
      </c>
      <c r="F1571" s="6">
        <f>IF(SUMIFS('Daily BSE Equity Futures'!$I:$I,'Daily BSE Equity Futures'!$A:$A,$A1571)=0,"",SUMIFS('Daily BSE Equity Futures'!$I:$I,'Daily BSE Equity Futures'!$A:$A,$A1571))</f>
        <v/>
      </c>
      <c r="G1571" s="6">
        <f>IF(OR(E1571="",F1571=""),"",E1571+F1571)</f>
        <v/>
      </c>
      <c r="H1571" s="15">
        <f>IF(G1571="","",E1571/G1571)</f>
        <v/>
      </c>
      <c r="I1571" s="15">
        <f>IF(G1571="","",F1571/G1571)</f>
        <v/>
      </c>
      <c r="J1571" s="20">
        <f>IFERROR(IF(OR(E1571="",INDEX(E:E,MATCH(DATE(YEAR($A1571)-1,MONTH($A1571),DAY($A1571)),$A:$A,0))=""),"",E1571/INDEX(E:E,MATCH(DATE(YEAR($A1571)-1,MONTH($A1571),DAY($A1571)),$A:$A,0))-1),"")</f>
        <v/>
      </c>
      <c r="K1571" s="15">
        <f>IFERROR(IF(OR(F1571="",INDEX(F:F,MATCH(DATE(YEAR($A1571)-1,MONTH($A1571),DAY($A1571)),$A:$A,0))=""),"",F1571/INDEX(F:F,MATCH(DATE(YEAR($A1571)-1,MONTH($A1571),DAY($A1571)),$A:$A,0))-1),"")</f>
        <v/>
      </c>
      <c r="L1571" s="15">
        <f>IFERROR(IF(OR(G1571="",INDEX(G:G,MATCH(DATE(YEAR($A1571)-1,MONTH($A1571),DAY($A1571)),$A:$A,0))=""),"",G1571/INDEX(G:G,MATCH(DATE(YEAR($A1571)-1,MONTH($A1571),DAY($A1571)),$A:$A,0))-1),"")</f>
        <v/>
      </c>
      <c r="M1571" s="15">
        <f>IF(OR(E1571="",E1570=""),"",E1571/E1570-1)</f>
        <v/>
      </c>
      <c r="N1571" s="15">
        <f>IF(OR(F1571="",F1570=""),"",F1571/F1570-1)</f>
        <v/>
      </c>
      <c r="O1571" s="15">
        <f>IF(OR(G1571="",G1570=""),"",G1571/G1570-1)</f>
        <v/>
      </c>
      <c r="P1571" s="18">
        <f>IF(SUMIFS('Daily NSE Equity Futures'!$J:$J,'Daily NSE Equity Futures'!$A:$A,$A1571)=0,"",SUMIFS('Daily NSE Equity Futures'!$J:$J,'Daily NSE Equity Futures'!$A:$A,$A1571))</f>
        <v/>
      </c>
      <c r="Q1571" s="7">
        <f>IF(SUMIFS('Daily BSE Equity Futures'!$J:$J,'Daily BSE Equity Futures'!$A:$A,$A1571)=0,"",SUMIFS('Daily BSE Equity Futures'!$J:$J,'Daily BSE Equity Futures'!$A:$A,$A1571))</f>
        <v/>
      </c>
      <c r="R1571" s="7">
        <f>IF(OR(P1571="",Q1571=""),"",P1571+Q1571)</f>
        <v/>
      </c>
      <c r="S1571" s="19">
        <f>IF(R1571="","",P1571/R1571)</f>
        <v/>
      </c>
      <c r="T1571" s="19">
        <f>IF(R1571="","",Q1571/R1571)</f>
        <v/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>
        <f>IF(SUMIFS('Daily NSE Equity Futures'!$I:$I,'Daily NSE Equity Futures'!$A:$A,$A1572)=0,"",SUMIFS('Daily NSE Equity Futures'!$I:$I,'Daily NSE Equity Futures'!$A:$A,$A1572))</f>
        <v/>
      </c>
      <c r="F1572" s="6">
        <f>IF(SUMIFS('Daily BSE Equity Futures'!$I:$I,'Daily BSE Equity Futures'!$A:$A,$A1572)=0,"",SUMIFS('Daily BSE Equity Futures'!$I:$I,'Daily BSE Equity Futures'!$A:$A,$A1572))</f>
        <v/>
      </c>
      <c r="G1572" s="6">
        <f>IF(OR(E1572="",F1572=""),"",E1572+F1572)</f>
        <v/>
      </c>
      <c r="H1572" s="15">
        <f>IF(G1572="","",E1572/G1572)</f>
        <v/>
      </c>
      <c r="I1572" s="15">
        <f>IF(G1572="","",F1572/G1572)</f>
        <v/>
      </c>
      <c r="J1572" s="20">
        <f>IFERROR(IF(OR(E1572="",INDEX(E:E,MATCH(DATE(YEAR($A1572)-1,MONTH($A1572),DAY($A1572)),$A:$A,0))=""),"",E1572/INDEX(E:E,MATCH(DATE(YEAR($A1572)-1,MONTH($A1572),DAY($A1572)),$A:$A,0))-1),"")</f>
        <v/>
      </c>
      <c r="K1572" s="15">
        <f>IFERROR(IF(OR(F1572="",INDEX(F:F,MATCH(DATE(YEAR($A1572)-1,MONTH($A1572),DAY($A1572)),$A:$A,0))=""),"",F1572/INDEX(F:F,MATCH(DATE(YEAR($A1572)-1,MONTH($A1572),DAY($A1572)),$A:$A,0))-1),"")</f>
        <v/>
      </c>
      <c r="L1572" s="15">
        <f>IFERROR(IF(OR(G1572="",INDEX(G:G,MATCH(DATE(YEAR($A1572)-1,MONTH($A1572),DAY($A1572)),$A:$A,0))=""),"",G1572/INDEX(G:G,MATCH(DATE(YEAR($A1572)-1,MONTH($A1572),DAY($A1572)),$A:$A,0))-1),"")</f>
        <v/>
      </c>
      <c r="M1572" s="15">
        <f>IF(OR(E1572="",E1571=""),"",E1572/E1571-1)</f>
        <v/>
      </c>
      <c r="N1572" s="15">
        <f>IF(OR(F1572="",F1571=""),"",F1572/F1571-1)</f>
        <v/>
      </c>
      <c r="O1572" s="15">
        <f>IF(OR(G1572="",G1571=""),"",G1572/G1571-1)</f>
        <v/>
      </c>
      <c r="P1572" s="18">
        <f>IF(SUMIFS('Daily NSE Equity Futures'!$J:$J,'Daily NSE Equity Futures'!$A:$A,$A1572)=0,"",SUMIFS('Daily NSE Equity Futures'!$J:$J,'Daily NSE Equity Futures'!$A:$A,$A1572))</f>
        <v/>
      </c>
      <c r="Q1572" s="7">
        <f>IF(SUMIFS('Daily BSE Equity Futures'!$J:$J,'Daily BSE Equity Futures'!$A:$A,$A1572)=0,"",SUMIFS('Daily BSE Equity Futures'!$J:$J,'Daily BSE Equity Futures'!$A:$A,$A1572))</f>
        <v/>
      </c>
      <c r="R1572" s="7">
        <f>IF(OR(P1572="",Q1572=""),"",P1572+Q1572)</f>
        <v/>
      </c>
      <c r="S1572" s="19">
        <f>IF(R1572="","",P1572/R1572)</f>
        <v/>
      </c>
      <c r="T1572" s="19">
        <f>IF(R1572="","",Q1572/R1572)</f>
        <v/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>
        <f>IF(SUMIFS('Daily NSE Equity Futures'!$I:$I,'Daily NSE Equity Futures'!$A:$A,$A1573)=0,"",SUMIFS('Daily NSE Equity Futures'!$I:$I,'Daily NSE Equity Futures'!$A:$A,$A1573))</f>
        <v/>
      </c>
      <c r="F1573" s="6">
        <f>IF(SUMIFS('Daily BSE Equity Futures'!$I:$I,'Daily BSE Equity Futures'!$A:$A,$A1573)=0,"",SUMIFS('Daily BSE Equity Futures'!$I:$I,'Daily BSE Equity Futures'!$A:$A,$A1573))</f>
        <v/>
      </c>
      <c r="G1573" s="6">
        <f>IF(OR(E1573="",F1573=""),"",E1573+F1573)</f>
        <v/>
      </c>
      <c r="H1573" s="15">
        <f>IF(G1573="","",E1573/G1573)</f>
        <v/>
      </c>
      <c r="I1573" s="15">
        <f>IF(G1573="","",F1573/G1573)</f>
        <v/>
      </c>
      <c r="J1573" s="20">
        <f>IFERROR(IF(OR(E1573="",INDEX(E:E,MATCH(DATE(YEAR($A1573)-1,MONTH($A1573),DAY($A1573)),$A:$A,0))=""),"",E1573/INDEX(E:E,MATCH(DATE(YEAR($A1573)-1,MONTH($A1573),DAY($A1573)),$A:$A,0))-1),"")</f>
        <v/>
      </c>
      <c r="K1573" s="15">
        <f>IFERROR(IF(OR(F1573="",INDEX(F:F,MATCH(DATE(YEAR($A1573)-1,MONTH($A1573),DAY($A1573)),$A:$A,0))=""),"",F1573/INDEX(F:F,MATCH(DATE(YEAR($A1573)-1,MONTH($A1573),DAY($A1573)),$A:$A,0))-1),"")</f>
        <v/>
      </c>
      <c r="L1573" s="15">
        <f>IFERROR(IF(OR(G1573="",INDEX(G:G,MATCH(DATE(YEAR($A1573)-1,MONTH($A1573),DAY($A1573)),$A:$A,0))=""),"",G1573/INDEX(G:G,MATCH(DATE(YEAR($A1573)-1,MONTH($A1573),DAY($A1573)),$A:$A,0))-1),"")</f>
        <v/>
      </c>
      <c r="M1573" s="15">
        <f>IF(OR(E1573="",E1572=""),"",E1573/E1572-1)</f>
        <v/>
      </c>
      <c r="N1573" s="15">
        <f>IF(OR(F1573="",F1572=""),"",F1573/F1572-1)</f>
        <v/>
      </c>
      <c r="O1573" s="15">
        <f>IF(OR(G1573="",G1572=""),"",G1573/G1572-1)</f>
        <v/>
      </c>
      <c r="P1573" s="18">
        <f>IF(SUMIFS('Daily NSE Equity Futures'!$J:$J,'Daily NSE Equity Futures'!$A:$A,$A1573)=0,"",SUMIFS('Daily NSE Equity Futures'!$J:$J,'Daily NSE Equity Futures'!$A:$A,$A1573))</f>
        <v/>
      </c>
      <c r="Q1573" s="7">
        <f>IF(SUMIFS('Daily BSE Equity Futures'!$J:$J,'Daily BSE Equity Futures'!$A:$A,$A1573)=0,"",SUMIFS('Daily BSE Equity Futures'!$J:$J,'Daily BSE Equity Futures'!$A:$A,$A1573))</f>
        <v/>
      </c>
      <c r="R1573" s="7">
        <f>IF(OR(P1573="",Q1573=""),"",P1573+Q1573)</f>
        <v/>
      </c>
      <c r="S1573" s="19">
        <f>IF(R1573="","",P1573/R1573)</f>
        <v/>
      </c>
      <c r="T1573" s="19">
        <f>IF(R1573="","",Q1573/R1573)</f>
        <v/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>
        <f>IF(SUMIFS('Daily NSE Equity Futures'!$I:$I,'Daily NSE Equity Futures'!$A:$A,$A1574)=0,"",SUMIFS('Daily NSE Equity Futures'!$I:$I,'Daily NSE Equity Futures'!$A:$A,$A1574))</f>
        <v/>
      </c>
      <c r="F1574" s="6">
        <f>IF(SUMIFS('Daily BSE Equity Futures'!$I:$I,'Daily BSE Equity Futures'!$A:$A,$A1574)=0,"",SUMIFS('Daily BSE Equity Futures'!$I:$I,'Daily BSE Equity Futures'!$A:$A,$A1574))</f>
        <v/>
      </c>
      <c r="G1574" s="6">
        <f>IF(OR(E1574="",F1574=""),"",E1574+F1574)</f>
        <v/>
      </c>
      <c r="H1574" s="15">
        <f>IF(G1574="","",E1574/G1574)</f>
        <v/>
      </c>
      <c r="I1574" s="15">
        <f>IF(G1574="","",F1574/G1574)</f>
        <v/>
      </c>
      <c r="J1574" s="20">
        <f>IFERROR(IF(OR(E1574="",INDEX(E:E,MATCH(DATE(YEAR($A1574)-1,MONTH($A1574),DAY($A1574)),$A:$A,0))=""),"",E1574/INDEX(E:E,MATCH(DATE(YEAR($A1574)-1,MONTH($A1574),DAY($A1574)),$A:$A,0))-1),"")</f>
        <v/>
      </c>
      <c r="K1574" s="15">
        <f>IFERROR(IF(OR(F1574="",INDEX(F:F,MATCH(DATE(YEAR($A1574)-1,MONTH($A1574),DAY($A1574)),$A:$A,0))=""),"",F1574/INDEX(F:F,MATCH(DATE(YEAR($A1574)-1,MONTH($A1574),DAY($A1574)),$A:$A,0))-1),"")</f>
        <v/>
      </c>
      <c r="L1574" s="15">
        <f>IFERROR(IF(OR(G1574="",INDEX(G:G,MATCH(DATE(YEAR($A1574)-1,MONTH($A1574),DAY($A1574)),$A:$A,0))=""),"",G1574/INDEX(G:G,MATCH(DATE(YEAR($A1574)-1,MONTH($A1574),DAY($A1574)),$A:$A,0))-1),"")</f>
        <v/>
      </c>
      <c r="M1574" s="15">
        <f>IF(OR(E1574="",E1573=""),"",E1574/E1573-1)</f>
        <v/>
      </c>
      <c r="N1574" s="15">
        <f>IF(OR(F1574="",F1573=""),"",F1574/F1573-1)</f>
        <v/>
      </c>
      <c r="O1574" s="15">
        <f>IF(OR(G1574="",G1573=""),"",G1574/G1573-1)</f>
        <v/>
      </c>
      <c r="P1574" s="18">
        <f>IF(SUMIFS('Daily NSE Equity Futures'!$J:$J,'Daily NSE Equity Futures'!$A:$A,$A1574)=0,"",SUMIFS('Daily NSE Equity Futures'!$J:$J,'Daily NSE Equity Futures'!$A:$A,$A1574))</f>
        <v/>
      </c>
      <c r="Q1574" s="7">
        <f>IF(SUMIFS('Daily BSE Equity Futures'!$J:$J,'Daily BSE Equity Futures'!$A:$A,$A1574)=0,"",SUMIFS('Daily BSE Equity Futures'!$J:$J,'Daily BSE Equity Futures'!$A:$A,$A1574))</f>
        <v/>
      </c>
      <c r="R1574" s="7">
        <f>IF(OR(P1574="",Q1574=""),"",P1574+Q1574)</f>
        <v/>
      </c>
      <c r="S1574" s="19">
        <f>IF(R1574="","",P1574/R1574)</f>
        <v/>
      </c>
      <c r="T1574" s="19">
        <f>IF(R1574="","",Q1574/R1574)</f>
        <v/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>
        <f>IF(SUMIFS('Daily NSE Equity Futures'!$I:$I,'Daily NSE Equity Futures'!$A:$A,$A1575)=0,"",SUMIFS('Daily NSE Equity Futures'!$I:$I,'Daily NSE Equity Futures'!$A:$A,$A1575))</f>
        <v/>
      </c>
      <c r="F1575" s="6">
        <f>IF(SUMIFS('Daily BSE Equity Futures'!$I:$I,'Daily BSE Equity Futures'!$A:$A,$A1575)=0,"",SUMIFS('Daily BSE Equity Futures'!$I:$I,'Daily BSE Equity Futures'!$A:$A,$A1575))</f>
        <v/>
      </c>
      <c r="G1575" s="6">
        <f>IF(OR(E1575="",F1575=""),"",E1575+F1575)</f>
        <v/>
      </c>
      <c r="H1575" s="15">
        <f>IF(G1575="","",E1575/G1575)</f>
        <v/>
      </c>
      <c r="I1575" s="15">
        <f>IF(G1575="","",F1575/G1575)</f>
        <v/>
      </c>
      <c r="J1575" s="20">
        <f>IFERROR(IF(OR(E1575="",INDEX(E:E,MATCH(DATE(YEAR($A1575)-1,MONTH($A1575),DAY($A1575)),$A:$A,0))=""),"",E1575/INDEX(E:E,MATCH(DATE(YEAR($A1575)-1,MONTH($A1575),DAY($A1575)),$A:$A,0))-1),"")</f>
        <v/>
      </c>
      <c r="K1575" s="15">
        <f>IFERROR(IF(OR(F1575="",INDEX(F:F,MATCH(DATE(YEAR($A1575)-1,MONTH($A1575),DAY($A1575)),$A:$A,0))=""),"",F1575/INDEX(F:F,MATCH(DATE(YEAR($A1575)-1,MONTH($A1575),DAY($A1575)),$A:$A,0))-1),"")</f>
        <v/>
      </c>
      <c r="L1575" s="15">
        <f>IFERROR(IF(OR(G1575="",INDEX(G:G,MATCH(DATE(YEAR($A1575)-1,MONTH($A1575),DAY($A1575)),$A:$A,0))=""),"",G1575/INDEX(G:G,MATCH(DATE(YEAR($A1575)-1,MONTH($A1575),DAY($A1575)),$A:$A,0))-1),"")</f>
        <v/>
      </c>
      <c r="M1575" s="15">
        <f>IF(OR(E1575="",E1574=""),"",E1575/E1574-1)</f>
        <v/>
      </c>
      <c r="N1575" s="15">
        <f>IF(OR(F1575="",F1574=""),"",F1575/F1574-1)</f>
        <v/>
      </c>
      <c r="O1575" s="15">
        <f>IF(OR(G1575="",G1574=""),"",G1575/G1574-1)</f>
        <v/>
      </c>
      <c r="P1575" s="18">
        <f>IF(SUMIFS('Daily NSE Equity Futures'!$J:$J,'Daily NSE Equity Futures'!$A:$A,$A1575)=0,"",SUMIFS('Daily NSE Equity Futures'!$J:$J,'Daily NSE Equity Futures'!$A:$A,$A1575))</f>
        <v/>
      </c>
      <c r="Q1575" s="7">
        <f>IF(SUMIFS('Daily BSE Equity Futures'!$J:$J,'Daily BSE Equity Futures'!$A:$A,$A1575)=0,"",SUMIFS('Daily BSE Equity Futures'!$J:$J,'Daily BSE Equity Futures'!$A:$A,$A1575))</f>
        <v/>
      </c>
      <c r="R1575" s="7">
        <f>IF(OR(P1575="",Q1575=""),"",P1575+Q1575)</f>
        <v/>
      </c>
      <c r="S1575" s="19">
        <f>IF(R1575="","",P1575/R1575)</f>
        <v/>
      </c>
      <c r="T1575" s="19">
        <f>IF(R1575="","",Q1575/R1575)</f>
        <v/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>
        <f>IF(SUMIFS('Daily NSE Equity Futures'!$I:$I,'Daily NSE Equity Futures'!$A:$A,$A1576)=0,"",SUMIFS('Daily NSE Equity Futures'!$I:$I,'Daily NSE Equity Futures'!$A:$A,$A1576))</f>
        <v/>
      </c>
      <c r="F1576" s="6">
        <f>IF(SUMIFS('Daily BSE Equity Futures'!$I:$I,'Daily BSE Equity Futures'!$A:$A,$A1576)=0,"",SUMIFS('Daily BSE Equity Futures'!$I:$I,'Daily BSE Equity Futures'!$A:$A,$A1576))</f>
        <v/>
      </c>
      <c r="G1576" s="6">
        <f>IF(OR(E1576="",F1576=""),"",E1576+F1576)</f>
        <v/>
      </c>
      <c r="H1576" s="15">
        <f>IF(G1576="","",E1576/G1576)</f>
        <v/>
      </c>
      <c r="I1576" s="15">
        <f>IF(G1576="","",F1576/G1576)</f>
        <v/>
      </c>
      <c r="J1576" s="20">
        <f>IFERROR(IF(OR(E1576="",INDEX(E:E,MATCH(DATE(YEAR($A1576)-1,MONTH($A1576),DAY($A1576)),$A:$A,0))=""),"",E1576/INDEX(E:E,MATCH(DATE(YEAR($A1576)-1,MONTH($A1576),DAY($A1576)),$A:$A,0))-1),"")</f>
        <v/>
      </c>
      <c r="K1576" s="15">
        <f>IFERROR(IF(OR(F1576="",INDEX(F:F,MATCH(DATE(YEAR($A1576)-1,MONTH($A1576),DAY($A1576)),$A:$A,0))=""),"",F1576/INDEX(F:F,MATCH(DATE(YEAR($A1576)-1,MONTH($A1576),DAY($A1576)),$A:$A,0))-1),"")</f>
        <v/>
      </c>
      <c r="L1576" s="15">
        <f>IFERROR(IF(OR(G1576="",INDEX(G:G,MATCH(DATE(YEAR($A1576)-1,MONTH($A1576),DAY($A1576)),$A:$A,0))=""),"",G1576/INDEX(G:G,MATCH(DATE(YEAR($A1576)-1,MONTH($A1576),DAY($A1576)),$A:$A,0))-1),"")</f>
        <v/>
      </c>
      <c r="M1576" s="15">
        <f>IF(OR(E1576="",E1575=""),"",E1576/E1575-1)</f>
        <v/>
      </c>
      <c r="N1576" s="15">
        <f>IF(OR(F1576="",F1575=""),"",F1576/F1575-1)</f>
        <v/>
      </c>
      <c r="O1576" s="15">
        <f>IF(OR(G1576="",G1575=""),"",G1576/G1575-1)</f>
        <v/>
      </c>
      <c r="P1576" s="18">
        <f>IF(SUMIFS('Daily NSE Equity Futures'!$J:$J,'Daily NSE Equity Futures'!$A:$A,$A1576)=0,"",SUMIFS('Daily NSE Equity Futures'!$J:$J,'Daily NSE Equity Futures'!$A:$A,$A1576))</f>
        <v/>
      </c>
      <c r="Q1576" s="7">
        <f>IF(SUMIFS('Daily BSE Equity Futures'!$J:$J,'Daily BSE Equity Futures'!$A:$A,$A1576)=0,"",SUMIFS('Daily BSE Equity Futures'!$J:$J,'Daily BSE Equity Futures'!$A:$A,$A1576))</f>
        <v/>
      </c>
      <c r="R1576" s="7">
        <f>IF(OR(P1576="",Q1576=""),"",P1576+Q1576)</f>
        <v/>
      </c>
      <c r="S1576" s="19">
        <f>IF(R1576="","",P1576/R1576)</f>
        <v/>
      </c>
      <c r="T1576" s="19">
        <f>IF(R1576="","",Q1576/R1576)</f>
        <v/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>
        <f>IF(SUMIFS('Daily NSE Equity Futures'!$I:$I,'Daily NSE Equity Futures'!$A:$A,$A1577)=0,"",SUMIFS('Daily NSE Equity Futures'!$I:$I,'Daily NSE Equity Futures'!$A:$A,$A1577))</f>
        <v/>
      </c>
      <c r="F1577" s="6">
        <f>IF(SUMIFS('Daily BSE Equity Futures'!$I:$I,'Daily BSE Equity Futures'!$A:$A,$A1577)=0,"",SUMIFS('Daily BSE Equity Futures'!$I:$I,'Daily BSE Equity Futures'!$A:$A,$A1577))</f>
        <v/>
      </c>
      <c r="G1577" s="6">
        <f>IF(OR(E1577="",F1577=""),"",E1577+F1577)</f>
        <v/>
      </c>
      <c r="H1577" s="15">
        <f>IF(G1577="","",E1577/G1577)</f>
        <v/>
      </c>
      <c r="I1577" s="15">
        <f>IF(G1577="","",F1577/G1577)</f>
        <v/>
      </c>
      <c r="J1577" s="20">
        <f>IFERROR(IF(OR(E1577="",INDEX(E:E,MATCH(DATE(YEAR($A1577)-1,MONTH($A1577),DAY($A1577)),$A:$A,0))=""),"",E1577/INDEX(E:E,MATCH(DATE(YEAR($A1577)-1,MONTH($A1577),DAY($A1577)),$A:$A,0))-1),"")</f>
        <v/>
      </c>
      <c r="K1577" s="15">
        <f>IFERROR(IF(OR(F1577="",INDEX(F:F,MATCH(DATE(YEAR($A1577)-1,MONTH($A1577),DAY($A1577)),$A:$A,0))=""),"",F1577/INDEX(F:F,MATCH(DATE(YEAR($A1577)-1,MONTH($A1577),DAY($A1577)),$A:$A,0))-1),"")</f>
        <v/>
      </c>
      <c r="L1577" s="15">
        <f>IFERROR(IF(OR(G1577="",INDEX(G:G,MATCH(DATE(YEAR($A1577)-1,MONTH($A1577),DAY($A1577)),$A:$A,0))=""),"",G1577/INDEX(G:G,MATCH(DATE(YEAR($A1577)-1,MONTH($A1577),DAY($A1577)),$A:$A,0))-1),"")</f>
        <v/>
      </c>
      <c r="M1577" s="15">
        <f>IF(OR(E1577="",E1576=""),"",E1577/E1576-1)</f>
        <v/>
      </c>
      <c r="N1577" s="15">
        <f>IF(OR(F1577="",F1576=""),"",F1577/F1576-1)</f>
        <v/>
      </c>
      <c r="O1577" s="15">
        <f>IF(OR(G1577="",G1576=""),"",G1577/G1576-1)</f>
        <v/>
      </c>
      <c r="P1577" s="18">
        <f>IF(SUMIFS('Daily NSE Equity Futures'!$J:$J,'Daily NSE Equity Futures'!$A:$A,$A1577)=0,"",SUMIFS('Daily NSE Equity Futures'!$J:$J,'Daily NSE Equity Futures'!$A:$A,$A1577))</f>
        <v/>
      </c>
      <c r="Q1577" s="7">
        <f>IF(SUMIFS('Daily BSE Equity Futures'!$J:$J,'Daily BSE Equity Futures'!$A:$A,$A1577)=0,"",SUMIFS('Daily BSE Equity Futures'!$J:$J,'Daily BSE Equity Futures'!$A:$A,$A1577))</f>
        <v/>
      </c>
      <c r="R1577" s="7">
        <f>IF(OR(P1577="",Q1577=""),"",P1577+Q1577)</f>
        <v/>
      </c>
      <c r="S1577" s="19">
        <f>IF(R1577="","",P1577/R1577)</f>
        <v/>
      </c>
      <c r="T1577" s="19">
        <f>IF(R1577="","",Q1577/R1577)</f>
        <v/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>
        <f>IF(SUMIFS('Daily NSE Equity Futures'!$I:$I,'Daily NSE Equity Futures'!$A:$A,$A1578)=0,"",SUMIFS('Daily NSE Equity Futures'!$I:$I,'Daily NSE Equity Futures'!$A:$A,$A1578))</f>
        <v/>
      </c>
      <c r="F1578" s="6">
        <f>IF(SUMIFS('Daily BSE Equity Futures'!$I:$I,'Daily BSE Equity Futures'!$A:$A,$A1578)=0,"",SUMIFS('Daily BSE Equity Futures'!$I:$I,'Daily BSE Equity Futures'!$A:$A,$A1578))</f>
        <v/>
      </c>
      <c r="G1578" s="6">
        <f>IF(OR(E1578="",F1578=""),"",E1578+F1578)</f>
        <v/>
      </c>
      <c r="H1578" s="15">
        <f>IF(G1578="","",E1578/G1578)</f>
        <v/>
      </c>
      <c r="I1578" s="15">
        <f>IF(G1578="","",F1578/G1578)</f>
        <v/>
      </c>
      <c r="J1578" s="20">
        <f>IFERROR(IF(OR(E1578="",INDEX(E:E,MATCH(DATE(YEAR($A1578)-1,MONTH($A1578),DAY($A1578)),$A:$A,0))=""),"",E1578/INDEX(E:E,MATCH(DATE(YEAR($A1578)-1,MONTH($A1578),DAY($A1578)),$A:$A,0))-1),"")</f>
        <v/>
      </c>
      <c r="K1578" s="15">
        <f>IFERROR(IF(OR(F1578="",INDEX(F:F,MATCH(DATE(YEAR($A1578)-1,MONTH($A1578),DAY($A1578)),$A:$A,0))=""),"",F1578/INDEX(F:F,MATCH(DATE(YEAR($A1578)-1,MONTH($A1578),DAY($A1578)),$A:$A,0))-1),"")</f>
        <v/>
      </c>
      <c r="L1578" s="15">
        <f>IFERROR(IF(OR(G1578="",INDEX(G:G,MATCH(DATE(YEAR($A1578)-1,MONTH($A1578),DAY($A1578)),$A:$A,0))=""),"",G1578/INDEX(G:G,MATCH(DATE(YEAR($A1578)-1,MONTH($A1578),DAY($A1578)),$A:$A,0))-1),"")</f>
        <v/>
      </c>
      <c r="M1578" s="15">
        <f>IF(OR(E1578="",E1577=""),"",E1578/E1577-1)</f>
        <v/>
      </c>
      <c r="N1578" s="15">
        <f>IF(OR(F1578="",F1577=""),"",F1578/F1577-1)</f>
        <v/>
      </c>
      <c r="O1578" s="15">
        <f>IF(OR(G1578="",G1577=""),"",G1578/G1577-1)</f>
        <v/>
      </c>
      <c r="P1578" s="18">
        <f>IF(SUMIFS('Daily NSE Equity Futures'!$J:$J,'Daily NSE Equity Futures'!$A:$A,$A1578)=0,"",SUMIFS('Daily NSE Equity Futures'!$J:$J,'Daily NSE Equity Futures'!$A:$A,$A1578))</f>
        <v/>
      </c>
      <c r="Q1578" s="7">
        <f>IF(SUMIFS('Daily BSE Equity Futures'!$J:$J,'Daily BSE Equity Futures'!$A:$A,$A1578)=0,"",SUMIFS('Daily BSE Equity Futures'!$J:$J,'Daily BSE Equity Futures'!$A:$A,$A1578))</f>
        <v/>
      </c>
      <c r="R1578" s="7">
        <f>IF(OR(P1578="",Q1578=""),"",P1578+Q1578)</f>
        <v/>
      </c>
      <c r="S1578" s="19">
        <f>IF(R1578="","",P1578/R1578)</f>
        <v/>
      </c>
      <c r="T1578" s="19">
        <f>IF(R1578="","",Q1578/R1578)</f>
        <v/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>
        <f>IF(SUMIFS('Daily NSE Equity Futures'!$I:$I,'Daily NSE Equity Futures'!$A:$A,$A1579)=0,"",SUMIFS('Daily NSE Equity Futures'!$I:$I,'Daily NSE Equity Futures'!$A:$A,$A1579))</f>
        <v/>
      </c>
      <c r="F1579" s="6">
        <f>IF(SUMIFS('Daily BSE Equity Futures'!$I:$I,'Daily BSE Equity Futures'!$A:$A,$A1579)=0,"",SUMIFS('Daily BSE Equity Futures'!$I:$I,'Daily BSE Equity Futures'!$A:$A,$A1579))</f>
        <v/>
      </c>
      <c r="G1579" s="6">
        <f>IF(OR(E1579="",F1579=""),"",E1579+F1579)</f>
        <v/>
      </c>
      <c r="H1579" s="15">
        <f>IF(G1579="","",E1579/G1579)</f>
        <v/>
      </c>
      <c r="I1579" s="15">
        <f>IF(G1579="","",F1579/G1579)</f>
        <v/>
      </c>
      <c r="J1579" s="20">
        <f>IFERROR(IF(OR(E1579="",INDEX(E:E,MATCH(DATE(YEAR($A1579)-1,MONTH($A1579),DAY($A1579)),$A:$A,0))=""),"",E1579/INDEX(E:E,MATCH(DATE(YEAR($A1579)-1,MONTH($A1579),DAY($A1579)),$A:$A,0))-1),"")</f>
        <v/>
      </c>
      <c r="K1579" s="15">
        <f>IFERROR(IF(OR(F1579="",INDEX(F:F,MATCH(DATE(YEAR($A1579)-1,MONTH($A1579),DAY($A1579)),$A:$A,0))=""),"",F1579/INDEX(F:F,MATCH(DATE(YEAR($A1579)-1,MONTH($A1579),DAY($A1579)),$A:$A,0))-1),"")</f>
        <v/>
      </c>
      <c r="L1579" s="15">
        <f>IFERROR(IF(OR(G1579="",INDEX(G:G,MATCH(DATE(YEAR($A1579)-1,MONTH($A1579),DAY($A1579)),$A:$A,0))=""),"",G1579/INDEX(G:G,MATCH(DATE(YEAR($A1579)-1,MONTH($A1579),DAY($A1579)),$A:$A,0))-1),"")</f>
        <v/>
      </c>
      <c r="M1579" s="15">
        <f>IF(OR(E1579="",E1578=""),"",E1579/E1578-1)</f>
        <v/>
      </c>
      <c r="N1579" s="15">
        <f>IF(OR(F1579="",F1578=""),"",F1579/F1578-1)</f>
        <v/>
      </c>
      <c r="O1579" s="15">
        <f>IF(OR(G1579="",G1578=""),"",G1579/G1578-1)</f>
        <v/>
      </c>
      <c r="P1579" s="18">
        <f>IF(SUMIFS('Daily NSE Equity Futures'!$J:$J,'Daily NSE Equity Futures'!$A:$A,$A1579)=0,"",SUMIFS('Daily NSE Equity Futures'!$J:$J,'Daily NSE Equity Futures'!$A:$A,$A1579))</f>
        <v/>
      </c>
      <c r="Q1579" s="7">
        <f>IF(SUMIFS('Daily BSE Equity Futures'!$J:$J,'Daily BSE Equity Futures'!$A:$A,$A1579)=0,"",SUMIFS('Daily BSE Equity Futures'!$J:$J,'Daily BSE Equity Futures'!$A:$A,$A1579))</f>
        <v/>
      </c>
      <c r="R1579" s="7">
        <f>IF(OR(P1579="",Q1579=""),"",P1579+Q1579)</f>
        <v/>
      </c>
      <c r="S1579" s="19">
        <f>IF(R1579="","",P1579/R1579)</f>
        <v/>
      </c>
      <c r="T1579" s="19">
        <f>IF(R1579="","",Q1579/R1579)</f>
        <v/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>
        <f>IF(SUMIFS('Daily NSE Equity Futures'!$I:$I,'Daily NSE Equity Futures'!$A:$A,$A1580)=0,"",SUMIFS('Daily NSE Equity Futures'!$I:$I,'Daily NSE Equity Futures'!$A:$A,$A1580))</f>
        <v/>
      </c>
      <c r="F1580" s="6">
        <f>IF(SUMIFS('Daily BSE Equity Futures'!$I:$I,'Daily BSE Equity Futures'!$A:$A,$A1580)=0,"",SUMIFS('Daily BSE Equity Futures'!$I:$I,'Daily BSE Equity Futures'!$A:$A,$A1580))</f>
        <v/>
      </c>
      <c r="G1580" s="6">
        <f>IF(OR(E1580="",F1580=""),"",E1580+F1580)</f>
        <v/>
      </c>
      <c r="H1580" s="15">
        <f>IF(G1580="","",E1580/G1580)</f>
        <v/>
      </c>
      <c r="I1580" s="15">
        <f>IF(G1580="","",F1580/G1580)</f>
        <v/>
      </c>
      <c r="J1580" s="20">
        <f>IFERROR(IF(OR(E1580="",INDEX(E:E,MATCH(DATE(YEAR($A1580)-1,MONTH($A1580),DAY($A1580)),$A:$A,0))=""),"",E1580/INDEX(E:E,MATCH(DATE(YEAR($A1580)-1,MONTH($A1580),DAY($A1580)),$A:$A,0))-1),"")</f>
        <v/>
      </c>
      <c r="K1580" s="15">
        <f>IFERROR(IF(OR(F1580="",INDEX(F:F,MATCH(DATE(YEAR($A1580)-1,MONTH($A1580),DAY($A1580)),$A:$A,0))=""),"",F1580/INDEX(F:F,MATCH(DATE(YEAR($A1580)-1,MONTH($A1580),DAY($A1580)),$A:$A,0))-1),"")</f>
        <v/>
      </c>
      <c r="L1580" s="15">
        <f>IFERROR(IF(OR(G1580="",INDEX(G:G,MATCH(DATE(YEAR($A1580)-1,MONTH($A1580),DAY($A1580)),$A:$A,0))=""),"",G1580/INDEX(G:G,MATCH(DATE(YEAR($A1580)-1,MONTH($A1580),DAY($A1580)),$A:$A,0))-1),"")</f>
        <v/>
      </c>
      <c r="M1580" s="15">
        <f>IF(OR(E1580="",E1579=""),"",E1580/E1579-1)</f>
        <v/>
      </c>
      <c r="N1580" s="15">
        <f>IF(OR(F1580="",F1579=""),"",F1580/F1579-1)</f>
        <v/>
      </c>
      <c r="O1580" s="15">
        <f>IF(OR(G1580="",G1579=""),"",G1580/G1579-1)</f>
        <v/>
      </c>
      <c r="P1580" s="18">
        <f>IF(SUMIFS('Daily NSE Equity Futures'!$J:$J,'Daily NSE Equity Futures'!$A:$A,$A1580)=0,"",SUMIFS('Daily NSE Equity Futures'!$J:$J,'Daily NSE Equity Futures'!$A:$A,$A1580))</f>
        <v/>
      </c>
      <c r="Q1580" s="7">
        <f>IF(SUMIFS('Daily BSE Equity Futures'!$J:$J,'Daily BSE Equity Futures'!$A:$A,$A1580)=0,"",SUMIFS('Daily BSE Equity Futures'!$J:$J,'Daily BSE Equity Futures'!$A:$A,$A1580))</f>
        <v/>
      </c>
      <c r="R1580" s="7">
        <f>IF(OR(P1580="",Q1580=""),"",P1580+Q1580)</f>
        <v/>
      </c>
      <c r="S1580" s="19">
        <f>IF(R1580="","",P1580/R1580)</f>
        <v/>
      </c>
      <c r="T1580" s="19">
        <f>IF(R1580="","",Q1580/R1580)</f>
        <v/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>
        <f>IF(SUMIFS('Daily NSE Equity Futures'!$I:$I,'Daily NSE Equity Futures'!$A:$A,$A1581)=0,"",SUMIFS('Daily NSE Equity Futures'!$I:$I,'Daily NSE Equity Futures'!$A:$A,$A1581))</f>
        <v/>
      </c>
      <c r="F1581" s="6">
        <f>IF(SUMIFS('Daily BSE Equity Futures'!$I:$I,'Daily BSE Equity Futures'!$A:$A,$A1581)=0,"",SUMIFS('Daily BSE Equity Futures'!$I:$I,'Daily BSE Equity Futures'!$A:$A,$A1581))</f>
        <v/>
      </c>
      <c r="G1581" s="6">
        <f>IF(OR(E1581="",F1581=""),"",E1581+F1581)</f>
        <v/>
      </c>
      <c r="H1581" s="15">
        <f>IF(G1581="","",E1581/G1581)</f>
        <v/>
      </c>
      <c r="I1581" s="15">
        <f>IF(G1581="","",F1581/G1581)</f>
        <v/>
      </c>
      <c r="J1581" s="20">
        <f>IFERROR(IF(OR(E1581="",INDEX(E:E,MATCH(DATE(YEAR($A1581)-1,MONTH($A1581),DAY($A1581)),$A:$A,0))=""),"",E1581/INDEX(E:E,MATCH(DATE(YEAR($A1581)-1,MONTH($A1581),DAY($A1581)),$A:$A,0))-1),"")</f>
        <v/>
      </c>
      <c r="K1581" s="15">
        <f>IFERROR(IF(OR(F1581="",INDEX(F:F,MATCH(DATE(YEAR($A1581)-1,MONTH($A1581),DAY($A1581)),$A:$A,0))=""),"",F1581/INDEX(F:F,MATCH(DATE(YEAR($A1581)-1,MONTH($A1581),DAY($A1581)),$A:$A,0))-1),"")</f>
        <v/>
      </c>
      <c r="L1581" s="15">
        <f>IFERROR(IF(OR(G1581="",INDEX(G:G,MATCH(DATE(YEAR($A1581)-1,MONTH($A1581),DAY($A1581)),$A:$A,0))=""),"",G1581/INDEX(G:G,MATCH(DATE(YEAR($A1581)-1,MONTH($A1581),DAY($A1581)),$A:$A,0))-1),"")</f>
        <v/>
      </c>
      <c r="M1581" s="15">
        <f>IF(OR(E1581="",E1580=""),"",E1581/E1580-1)</f>
        <v/>
      </c>
      <c r="N1581" s="15">
        <f>IF(OR(F1581="",F1580=""),"",F1581/F1580-1)</f>
        <v/>
      </c>
      <c r="O1581" s="15">
        <f>IF(OR(G1581="",G1580=""),"",G1581/G1580-1)</f>
        <v/>
      </c>
      <c r="P1581" s="18">
        <f>IF(SUMIFS('Daily NSE Equity Futures'!$J:$J,'Daily NSE Equity Futures'!$A:$A,$A1581)=0,"",SUMIFS('Daily NSE Equity Futures'!$J:$J,'Daily NSE Equity Futures'!$A:$A,$A1581))</f>
        <v/>
      </c>
      <c r="Q1581" s="7">
        <f>IF(SUMIFS('Daily BSE Equity Futures'!$J:$J,'Daily BSE Equity Futures'!$A:$A,$A1581)=0,"",SUMIFS('Daily BSE Equity Futures'!$J:$J,'Daily BSE Equity Futures'!$A:$A,$A1581))</f>
        <v/>
      </c>
      <c r="R1581" s="7">
        <f>IF(OR(P1581="",Q1581=""),"",P1581+Q1581)</f>
        <v/>
      </c>
      <c r="S1581" s="19">
        <f>IF(R1581="","",P1581/R1581)</f>
        <v/>
      </c>
      <c r="T1581" s="19">
        <f>IF(R1581="","",Q1581/R1581)</f>
        <v/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>
        <f>IF(SUMIFS('Daily NSE Equity Futures'!$I:$I,'Daily NSE Equity Futures'!$A:$A,$A1582)=0,"",SUMIFS('Daily NSE Equity Futures'!$I:$I,'Daily NSE Equity Futures'!$A:$A,$A1582))</f>
        <v/>
      </c>
      <c r="F1582" s="6">
        <f>IF(SUMIFS('Daily BSE Equity Futures'!$I:$I,'Daily BSE Equity Futures'!$A:$A,$A1582)=0,"",SUMIFS('Daily BSE Equity Futures'!$I:$I,'Daily BSE Equity Futures'!$A:$A,$A1582))</f>
        <v/>
      </c>
      <c r="G1582" s="6">
        <f>IF(OR(E1582="",F1582=""),"",E1582+F1582)</f>
        <v/>
      </c>
      <c r="H1582" s="15">
        <f>IF(G1582="","",E1582/G1582)</f>
        <v/>
      </c>
      <c r="I1582" s="15">
        <f>IF(G1582="","",F1582/G1582)</f>
        <v/>
      </c>
      <c r="J1582" s="20">
        <f>IFERROR(IF(OR(E1582="",INDEX(E:E,MATCH(DATE(YEAR($A1582)-1,MONTH($A1582),DAY($A1582)),$A:$A,0))=""),"",E1582/INDEX(E:E,MATCH(DATE(YEAR($A1582)-1,MONTH($A1582),DAY($A1582)),$A:$A,0))-1),"")</f>
        <v/>
      </c>
      <c r="K1582" s="15">
        <f>IFERROR(IF(OR(F1582="",INDEX(F:F,MATCH(DATE(YEAR($A1582)-1,MONTH($A1582),DAY($A1582)),$A:$A,0))=""),"",F1582/INDEX(F:F,MATCH(DATE(YEAR($A1582)-1,MONTH($A1582),DAY($A1582)),$A:$A,0))-1),"")</f>
        <v/>
      </c>
      <c r="L1582" s="15">
        <f>IFERROR(IF(OR(G1582="",INDEX(G:G,MATCH(DATE(YEAR($A1582)-1,MONTH($A1582),DAY($A1582)),$A:$A,0))=""),"",G1582/INDEX(G:G,MATCH(DATE(YEAR($A1582)-1,MONTH($A1582),DAY($A1582)),$A:$A,0))-1),"")</f>
        <v/>
      </c>
      <c r="M1582" s="15">
        <f>IF(OR(E1582="",E1581=""),"",E1582/E1581-1)</f>
        <v/>
      </c>
      <c r="N1582" s="15">
        <f>IF(OR(F1582="",F1581=""),"",F1582/F1581-1)</f>
        <v/>
      </c>
      <c r="O1582" s="15">
        <f>IF(OR(G1582="",G1581=""),"",G1582/G1581-1)</f>
        <v/>
      </c>
      <c r="P1582" s="18">
        <f>IF(SUMIFS('Daily NSE Equity Futures'!$J:$J,'Daily NSE Equity Futures'!$A:$A,$A1582)=0,"",SUMIFS('Daily NSE Equity Futures'!$J:$J,'Daily NSE Equity Futures'!$A:$A,$A1582))</f>
        <v/>
      </c>
      <c r="Q1582" s="7">
        <f>IF(SUMIFS('Daily BSE Equity Futures'!$J:$J,'Daily BSE Equity Futures'!$A:$A,$A1582)=0,"",SUMIFS('Daily BSE Equity Futures'!$J:$J,'Daily BSE Equity Futures'!$A:$A,$A1582))</f>
        <v/>
      </c>
      <c r="R1582" s="7">
        <f>IF(OR(P1582="",Q1582=""),"",P1582+Q1582)</f>
        <v/>
      </c>
      <c r="S1582" s="19">
        <f>IF(R1582="","",P1582/R1582)</f>
        <v/>
      </c>
      <c r="T1582" s="19">
        <f>IF(R1582="","",Q1582/R1582)</f>
        <v/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>
        <f>IF(SUMIFS('Daily NSE Equity Futures'!$I:$I,'Daily NSE Equity Futures'!$A:$A,$A1583)=0,"",SUMIFS('Daily NSE Equity Futures'!$I:$I,'Daily NSE Equity Futures'!$A:$A,$A1583))</f>
        <v/>
      </c>
      <c r="F1583" s="6">
        <f>IF(SUMIFS('Daily BSE Equity Futures'!$I:$I,'Daily BSE Equity Futures'!$A:$A,$A1583)=0,"",SUMIFS('Daily BSE Equity Futures'!$I:$I,'Daily BSE Equity Futures'!$A:$A,$A1583))</f>
        <v/>
      </c>
      <c r="G1583" s="6">
        <f>IF(OR(E1583="",F1583=""),"",E1583+F1583)</f>
        <v/>
      </c>
      <c r="H1583" s="15">
        <f>IF(G1583="","",E1583/G1583)</f>
        <v/>
      </c>
      <c r="I1583" s="15">
        <f>IF(G1583="","",F1583/G1583)</f>
        <v/>
      </c>
      <c r="J1583" s="20">
        <f>IFERROR(IF(OR(E1583="",INDEX(E:E,MATCH(DATE(YEAR($A1583)-1,MONTH($A1583),DAY($A1583)),$A:$A,0))=""),"",E1583/INDEX(E:E,MATCH(DATE(YEAR($A1583)-1,MONTH($A1583),DAY($A1583)),$A:$A,0))-1),"")</f>
        <v/>
      </c>
      <c r="K1583" s="15">
        <f>IFERROR(IF(OR(F1583="",INDEX(F:F,MATCH(DATE(YEAR($A1583)-1,MONTH($A1583),DAY($A1583)),$A:$A,0))=""),"",F1583/INDEX(F:F,MATCH(DATE(YEAR($A1583)-1,MONTH($A1583),DAY($A1583)),$A:$A,0))-1),"")</f>
        <v/>
      </c>
      <c r="L1583" s="15">
        <f>IFERROR(IF(OR(G1583="",INDEX(G:G,MATCH(DATE(YEAR($A1583)-1,MONTH($A1583),DAY($A1583)),$A:$A,0))=""),"",G1583/INDEX(G:G,MATCH(DATE(YEAR($A1583)-1,MONTH($A1583),DAY($A1583)),$A:$A,0))-1),"")</f>
        <v/>
      </c>
      <c r="M1583" s="15">
        <f>IF(OR(E1583="",E1582=""),"",E1583/E1582-1)</f>
        <v/>
      </c>
      <c r="N1583" s="15">
        <f>IF(OR(F1583="",F1582=""),"",F1583/F1582-1)</f>
        <v/>
      </c>
      <c r="O1583" s="15">
        <f>IF(OR(G1583="",G1582=""),"",G1583/G1582-1)</f>
        <v/>
      </c>
      <c r="P1583" s="18">
        <f>IF(SUMIFS('Daily NSE Equity Futures'!$J:$J,'Daily NSE Equity Futures'!$A:$A,$A1583)=0,"",SUMIFS('Daily NSE Equity Futures'!$J:$J,'Daily NSE Equity Futures'!$A:$A,$A1583))</f>
        <v/>
      </c>
      <c r="Q1583" s="7">
        <f>IF(SUMIFS('Daily BSE Equity Futures'!$J:$J,'Daily BSE Equity Futures'!$A:$A,$A1583)=0,"",SUMIFS('Daily BSE Equity Futures'!$J:$J,'Daily BSE Equity Futures'!$A:$A,$A1583))</f>
        <v/>
      </c>
      <c r="R1583" s="7">
        <f>IF(OR(P1583="",Q1583=""),"",P1583+Q1583)</f>
        <v/>
      </c>
      <c r="S1583" s="19">
        <f>IF(R1583="","",P1583/R1583)</f>
        <v/>
      </c>
      <c r="T1583" s="19">
        <f>IF(R1583="","",Q1583/R1583)</f>
        <v/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>
        <f>IF(SUMIFS('Daily NSE Equity Futures'!$I:$I,'Daily NSE Equity Futures'!$A:$A,$A1584)=0,"",SUMIFS('Daily NSE Equity Futures'!$I:$I,'Daily NSE Equity Futures'!$A:$A,$A1584))</f>
        <v/>
      </c>
      <c r="F1584" s="6">
        <f>IF(SUMIFS('Daily BSE Equity Futures'!$I:$I,'Daily BSE Equity Futures'!$A:$A,$A1584)=0,"",SUMIFS('Daily BSE Equity Futures'!$I:$I,'Daily BSE Equity Futures'!$A:$A,$A1584))</f>
        <v/>
      </c>
      <c r="G1584" s="6">
        <f>IF(OR(E1584="",F1584=""),"",E1584+F1584)</f>
        <v/>
      </c>
      <c r="H1584" s="15">
        <f>IF(G1584="","",E1584/G1584)</f>
        <v/>
      </c>
      <c r="I1584" s="15">
        <f>IF(G1584="","",F1584/G1584)</f>
        <v/>
      </c>
      <c r="J1584" s="20">
        <f>IFERROR(IF(OR(E1584="",INDEX(E:E,MATCH(DATE(YEAR($A1584)-1,MONTH($A1584),DAY($A1584)),$A:$A,0))=""),"",E1584/INDEX(E:E,MATCH(DATE(YEAR($A1584)-1,MONTH($A1584),DAY($A1584)),$A:$A,0))-1),"")</f>
        <v/>
      </c>
      <c r="K1584" s="15">
        <f>IFERROR(IF(OR(F1584="",INDEX(F:F,MATCH(DATE(YEAR($A1584)-1,MONTH($A1584),DAY($A1584)),$A:$A,0))=""),"",F1584/INDEX(F:F,MATCH(DATE(YEAR($A1584)-1,MONTH($A1584),DAY($A1584)),$A:$A,0))-1),"")</f>
        <v/>
      </c>
      <c r="L1584" s="15">
        <f>IFERROR(IF(OR(G1584="",INDEX(G:G,MATCH(DATE(YEAR($A1584)-1,MONTH($A1584),DAY($A1584)),$A:$A,0))=""),"",G1584/INDEX(G:G,MATCH(DATE(YEAR($A1584)-1,MONTH($A1584),DAY($A1584)),$A:$A,0))-1),"")</f>
        <v/>
      </c>
      <c r="M1584" s="15">
        <f>IF(OR(E1584="",E1583=""),"",E1584/E1583-1)</f>
        <v/>
      </c>
      <c r="N1584" s="15">
        <f>IF(OR(F1584="",F1583=""),"",F1584/F1583-1)</f>
        <v/>
      </c>
      <c r="O1584" s="15">
        <f>IF(OR(G1584="",G1583=""),"",G1584/G1583-1)</f>
        <v/>
      </c>
      <c r="P1584" s="18">
        <f>IF(SUMIFS('Daily NSE Equity Futures'!$J:$J,'Daily NSE Equity Futures'!$A:$A,$A1584)=0,"",SUMIFS('Daily NSE Equity Futures'!$J:$J,'Daily NSE Equity Futures'!$A:$A,$A1584))</f>
        <v/>
      </c>
      <c r="Q1584" s="7">
        <f>IF(SUMIFS('Daily BSE Equity Futures'!$J:$J,'Daily BSE Equity Futures'!$A:$A,$A1584)=0,"",SUMIFS('Daily BSE Equity Futures'!$J:$J,'Daily BSE Equity Futures'!$A:$A,$A1584))</f>
        <v/>
      </c>
      <c r="R1584" s="7">
        <f>IF(OR(P1584="",Q1584=""),"",P1584+Q1584)</f>
        <v/>
      </c>
      <c r="S1584" s="19">
        <f>IF(R1584="","",P1584/R1584)</f>
        <v/>
      </c>
      <c r="T1584" s="19">
        <f>IF(R1584="","",Q1584/R1584)</f>
        <v/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>
        <f>IF(SUMIFS('Daily NSE Equity Futures'!$I:$I,'Daily NSE Equity Futures'!$A:$A,$A1585)=0,"",SUMIFS('Daily NSE Equity Futures'!$I:$I,'Daily NSE Equity Futures'!$A:$A,$A1585))</f>
        <v/>
      </c>
      <c r="F1585" s="6">
        <f>IF(SUMIFS('Daily BSE Equity Futures'!$I:$I,'Daily BSE Equity Futures'!$A:$A,$A1585)=0,"",SUMIFS('Daily BSE Equity Futures'!$I:$I,'Daily BSE Equity Futures'!$A:$A,$A1585))</f>
        <v/>
      </c>
      <c r="G1585" s="6">
        <f>IF(OR(E1585="",F1585=""),"",E1585+F1585)</f>
        <v/>
      </c>
      <c r="H1585" s="15">
        <f>IF(G1585="","",E1585/G1585)</f>
        <v/>
      </c>
      <c r="I1585" s="15">
        <f>IF(G1585="","",F1585/G1585)</f>
        <v/>
      </c>
      <c r="J1585" s="20">
        <f>IFERROR(IF(OR(E1585="",INDEX(E:E,MATCH(DATE(YEAR($A1585)-1,MONTH($A1585),DAY($A1585)),$A:$A,0))=""),"",E1585/INDEX(E:E,MATCH(DATE(YEAR($A1585)-1,MONTH($A1585),DAY($A1585)),$A:$A,0))-1),"")</f>
        <v/>
      </c>
      <c r="K1585" s="15">
        <f>IFERROR(IF(OR(F1585="",INDEX(F:F,MATCH(DATE(YEAR($A1585)-1,MONTH($A1585),DAY($A1585)),$A:$A,0))=""),"",F1585/INDEX(F:F,MATCH(DATE(YEAR($A1585)-1,MONTH($A1585),DAY($A1585)),$A:$A,0))-1),"")</f>
        <v/>
      </c>
      <c r="L1585" s="15">
        <f>IFERROR(IF(OR(G1585="",INDEX(G:G,MATCH(DATE(YEAR($A1585)-1,MONTH($A1585),DAY($A1585)),$A:$A,0))=""),"",G1585/INDEX(G:G,MATCH(DATE(YEAR($A1585)-1,MONTH($A1585),DAY($A1585)),$A:$A,0))-1),"")</f>
        <v/>
      </c>
      <c r="M1585" s="15">
        <f>IF(OR(E1585="",E1584=""),"",E1585/E1584-1)</f>
        <v/>
      </c>
      <c r="N1585" s="15">
        <f>IF(OR(F1585="",F1584=""),"",F1585/F1584-1)</f>
        <v/>
      </c>
      <c r="O1585" s="15">
        <f>IF(OR(G1585="",G1584=""),"",G1585/G1584-1)</f>
        <v/>
      </c>
      <c r="P1585" s="18">
        <f>IF(SUMIFS('Daily NSE Equity Futures'!$J:$J,'Daily NSE Equity Futures'!$A:$A,$A1585)=0,"",SUMIFS('Daily NSE Equity Futures'!$J:$J,'Daily NSE Equity Futures'!$A:$A,$A1585))</f>
        <v/>
      </c>
      <c r="Q1585" s="7">
        <f>IF(SUMIFS('Daily BSE Equity Futures'!$J:$J,'Daily BSE Equity Futures'!$A:$A,$A1585)=0,"",SUMIFS('Daily BSE Equity Futures'!$J:$J,'Daily BSE Equity Futures'!$A:$A,$A1585))</f>
        <v/>
      </c>
      <c r="R1585" s="7">
        <f>IF(OR(P1585="",Q1585=""),"",P1585+Q1585)</f>
        <v/>
      </c>
      <c r="S1585" s="19">
        <f>IF(R1585="","",P1585/R1585)</f>
        <v/>
      </c>
      <c r="T1585" s="19">
        <f>IF(R1585="","",Q1585/R1585)</f>
        <v/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>
        <f>IF(SUMIFS('Daily NSE Equity Futures'!$I:$I,'Daily NSE Equity Futures'!$A:$A,$A1586)=0,"",SUMIFS('Daily NSE Equity Futures'!$I:$I,'Daily NSE Equity Futures'!$A:$A,$A1586))</f>
        <v/>
      </c>
      <c r="F1586" s="6">
        <f>IF(SUMIFS('Daily BSE Equity Futures'!$I:$I,'Daily BSE Equity Futures'!$A:$A,$A1586)=0,"",SUMIFS('Daily BSE Equity Futures'!$I:$I,'Daily BSE Equity Futures'!$A:$A,$A1586))</f>
        <v/>
      </c>
      <c r="G1586" s="6">
        <f>IF(OR(E1586="",F1586=""),"",E1586+F1586)</f>
        <v/>
      </c>
      <c r="H1586" s="15">
        <f>IF(G1586="","",E1586/G1586)</f>
        <v/>
      </c>
      <c r="I1586" s="15">
        <f>IF(G1586="","",F1586/G1586)</f>
        <v/>
      </c>
      <c r="J1586" s="20">
        <f>IFERROR(IF(OR(E1586="",INDEX(E:E,MATCH(DATE(YEAR($A1586)-1,MONTH($A1586),DAY($A1586)),$A:$A,0))=""),"",E1586/INDEX(E:E,MATCH(DATE(YEAR($A1586)-1,MONTH($A1586),DAY($A1586)),$A:$A,0))-1),"")</f>
        <v/>
      </c>
      <c r="K1586" s="15">
        <f>IFERROR(IF(OR(F1586="",INDEX(F:F,MATCH(DATE(YEAR($A1586)-1,MONTH($A1586),DAY($A1586)),$A:$A,0))=""),"",F1586/INDEX(F:F,MATCH(DATE(YEAR($A1586)-1,MONTH($A1586),DAY($A1586)),$A:$A,0))-1),"")</f>
        <v/>
      </c>
      <c r="L1586" s="15">
        <f>IFERROR(IF(OR(G1586="",INDEX(G:G,MATCH(DATE(YEAR($A1586)-1,MONTH($A1586),DAY($A1586)),$A:$A,0))=""),"",G1586/INDEX(G:G,MATCH(DATE(YEAR($A1586)-1,MONTH($A1586),DAY($A1586)),$A:$A,0))-1),"")</f>
        <v/>
      </c>
      <c r="M1586" s="15">
        <f>IF(OR(E1586="",E1585=""),"",E1586/E1585-1)</f>
        <v/>
      </c>
      <c r="N1586" s="15">
        <f>IF(OR(F1586="",F1585=""),"",F1586/F1585-1)</f>
        <v/>
      </c>
      <c r="O1586" s="15">
        <f>IF(OR(G1586="",G1585=""),"",G1586/G1585-1)</f>
        <v/>
      </c>
      <c r="P1586" s="18">
        <f>IF(SUMIFS('Daily NSE Equity Futures'!$J:$J,'Daily NSE Equity Futures'!$A:$A,$A1586)=0,"",SUMIFS('Daily NSE Equity Futures'!$J:$J,'Daily NSE Equity Futures'!$A:$A,$A1586))</f>
        <v/>
      </c>
      <c r="Q1586" s="7">
        <f>IF(SUMIFS('Daily BSE Equity Futures'!$J:$J,'Daily BSE Equity Futures'!$A:$A,$A1586)=0,"",SUMIFS('Daily BSE Equity Futures'!$J:$J,'Daily BSE Equity Futures'!$A:$A,$A1586))</f>
        <v/>
      </c>
      <c r="R1586" s="7">
        <f>IF(OR(P1586="",Q1586=""),"",P1586+Q1586)</f>
        <v/>
      </c>
      <c r="S1586" s="19">
        <f>IF(R1586="","",P1586/R1586)</f>
        <v/>
      </c>
      <c r="T1586" s="19">
        <f>IF(R1586="","",Q1586/R1586)</f>
        <v/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>
        <f>IF(SUMIFS('Daily NSE Equity Futures'!$I:$I,'Daily NSE Equity Futures'!$A:$A,$A1587)=0,"",SUMIFS('Daily NSE Equity Futures'!$I:$I,'Daily NSE Equity Futures'!$A:$A,$A1587))</f>
        <v/>
      </c>
      <c r="F1587" s="6">
        <f>IF(SUMIFS('Daily BSE Equity Futures'!$I:$I,'Daily BSE Equity Futures'!$A:$A,$A1587)=0,"",SUMIFS('Daily BSE Equity Futures'!$I:$I,'Daily BSE Equity Futures'!$A:$A,$A1587))</f>
        <v/>
      </c>
      <c r="G1587" s="6">
        <f>IF(OR(E1587="",F1587=""),"",E1587+F1587)</f>
        <v/>
      </c>
      <c r="H1587" s="15">
        <f>IF(G1587="","",E1587/G1587)</f>
        <v/>
      </c>
      <c r="I1587" s="15">
        <f>IF(G1587="","",F1587/G1587)</f>
        <v/>
      </c>
      <c r="J1587" s="20">
        <f>IFERROR(IF(OR(E1587="",INDEX(E:E,MATCH(DATE(YEAR($A1587)-1,MONTH($A1587),DAY($A1587)),$A:$A,0))=""),"",E1587/INDEX(E:E,MATCH(DATE(YEAR($A1587)-1,MONTH($A1587),DAY($A1587)),$A:$A,0))-1),"")</f>
        <v/>
      </c>
      <c r="K1587" s="15">
        <f>IFERROR(IF(OR(F1587="",INDEX(F:F,MATCH(DATE(YEAR($A1587)-1,MONTH($A1587),DAY($A1587)),$A:$A,0))=""),"",F1587/INDEX(F:F,MATCH(DATE(YEAR($A1587)-1,MONTH($A1587),DAY($A1587)),$A:$A,0))-1),"")</f>
        <v/>
      </c>
      <c r="L1587" s="15">
        <f>IFERROR(IF(OR(G1587="",INDEX(G:G,MATCH(DATE(YEAR($A1587)-1,MONTH($A1587),DAY($A1587)),$A:$A,0))=""),"",G1587/INDEX(G:G,MATCH(DATE(YEAR($A1587)-1,MONTH($A1587),DAY($A1587)),$A:$A,0))-1),"")</f>
        <v/>
      </c>
      <c r="M1587" s="15">
        <f>IF(OR(E1587="",E1586=""),"",E1587/E1586-1)</f>
        <v/>
      </c>
      <c r="N1587" s="15">
        <f>IF(OR(F1587="",F1586=""),"",F1587/F1586-1)</f>
        <v/>
      </c>
      <c r="O1587" s="15">
        <f>IF(OR(G1587="",G1586=""),"",G1587/G1586-1)</f>
        <v/>
      </c>
      <c r="P1587" s="18">
        <f>IF(SUMIFS('Daily NSE Equity Futures'!$J:$J,'Daily NSE Equity Futures'!$A:$A,$A1587)=0,"",SUMIFS('Daily NSE Equity Futures'!$J:$J,'Daily NSE Equity Futures'!$A:$A,$A1587))</f>
        <v/>
      </c>
      <c r="Q1587" s="7">
        <f>IF(SUMIFS('Daily BSE Equity Futures'!$J:$J,'Daily BSE Equity Futures'!$A:$A,$A1587)=0,"",SUMIFS('Daily BSE Equity Futures'!$J:$J,'Daily BSE Equity Futures'!$A:$A,$A1587))</f>
        <v/>
      </c>
      <c r="R1587" s="7">
        <f>IF(OR(P1587="",Q1587=""),"",P1587+Q1587)</f>
        <v/>
      </c>
      <c r="S1587" s="19">
        <f>IF(R1587="","",P1587/R1587)</f>
        <v/>
      </c>
      <c r="T1587" s="19">
        <f>IF(R1587="","",Q1587/R1587)</f>
        <v/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>
        <f>IF(SUMIFS('Daily NSE Equity Futures'!$I:$I,'Daily NSE Equity Futures'!$A:$A,$A1588)=0,"",SUMIFS('Daily NSE Equity Futures'!$I:$I,'Daily NSE Equity Futures'!$A:$A,$A1588))</f>
        <v/>
      </c>
      <c r="F1588" s="6">
        <f>IF(SUMIFS('Daily BSE Equity Futures'!$I:$I,'Daily BSE Equity Futures'!$A:$A,$A1588)=0,"",SUMIFS('Daily BSE Equity Futures'!$I:$I,'Daily BSE Equity Futures'!$A:$A,$A1588))</f>
        <v/>
      </c>
      <c r="G1588" s="6">
        <f>IF(OR(E1588="",F1588=""),"",E1588+F1588)</f>
        <v/>
      </c>
      <c r="H1588" s="15">
        <f>IF(G1588="","",E1588/G1588)</f>
        <v/>
      </c>
      <c r="I1588" s="15">
        <f>IF(G1588="","",F1588/G1588)</f>
        <v/>
      </c>
      <c r="J1588" s="20">
        <f>IFERROR(IF(OR(E1588="",INDEX(E:E,MATCH(DATE(YEAR($A1588)-1,MONTH($A1588),DAY($A1588)),$A:$A,0))=""),"",E1588/INDEX(E:E,MATCH(DATE(YEAR($A1588)-1,MONTH($A1588),DAY($A1588)),$A:$A,0))-1),"")</f>
        <v/>
      </c>
      <c r="K1588" s="15">
        <f>IFERROR(IF(OR(F1588="",INDEX(F:F,MATCH(DATE(YEAR($A1588)-1,MONTH($A1588),DAY($A1588)),$A:$A,0))=""),"",F1588/INDEX(F:F,MATCH(DATE(YEAR($A1588)-1,MONTH($A1588),DAY($A1588)),$A:$A,0))-1),"")</f>
        <v/>
      </c>
      <c r="L1588" s="15">
        <f>IFERROR(IF(OR(G1588="",INDEX(G:G,MATCH(DATE(YEAR($A1588)-1,MONTH($A1588),DAY($A1588)),$A:$A,0))=""),"",G1588/INDEX(G:G,MATCH(DATE(YEAR($A1588)-1,MONTH($A1588),DAY($A1588)),$A:$A,0))-1),"")</f>
        <v/>
      </c>
      <c r="M1588" s="15">
        <f>IF(OR(E1588="",E1587=""),"",E1588/E1587-1)</f>
        <v/>
      </c>
      <c r="N1588" s="15">
        <f>IF(OR(F1588="",F1587=""),"",F1588/F1587-1)</f>
        <v/>
      </c>
      <c r="O1588" s="15">
        <f>IF(OR(G1588="",G1587=""),"",G1588/G1587-1)</f>
        <v/>
      </c>
      <c r="P1588" s="18">
        <f>IF(SUMIFS('Daily NSE Equity Futures'!$J:$J,'Daily NSE Equity Futures'!$A:$A,$A1588)=0,"",SUMIFS('Daily NSE Equity Futures'!$J:$J,'Daily NSE Equity Futures'!$A:$A,$A1588))</f>
        <v/>
      </c>
      <c r="Q1588" s="7">
        <f>IF(SUMIFS('Daily BSE Equity Futures'!$J:$J,'Daily BSE Equity Futures'!$A:$A,$A1588)=0,"",SUMIFS('Daily BSE Equity Futures'!$J:$J,'Daily BSE Equity Futures'!$A:$A,$A1588))</f>
        <v/>
      </c>
      <c r="R1588" s="7">
        <f>IF(OR(P1588="",Q1588=""),"",P1588+Q1588)</f>
        <v/>
      </c>
      <c r="S1588" s="19">
        <f>IF(R1588="","",P1588/R1588)</f>
        <v/>
      </c>
      <c r="T1588" s="19">
        <f>IF(R1588="","",Q1588/R1588)</f>
        <v/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>
        <f>IF(SUMIFS('Daily NSE Equity Futures'!$I:$I,'Daily NSE Equity Futures'!$A:$A,$A1589)=0,"",SUMIFS('Daily NSE Equity Futures'!$I:$I,'Daily NSE Equity Futures'!$A:$A,$A1589))</f>
        <v/>
      </c>
      <c r="F1589" s="6">
        <f>IF(SUMIFS('Daily BSE Equity Futures'!$I:$I,'Daily BSE Equity Futures'!$A:$A,$A1589)=0,"",SUMIFS('Daily BSE Equity Futures'!$I:$I,'Daily BSE Equity Futures'!$A:$A,$A1589))</f>
        <v/>
      </c>
      <c r="G1589" s="6">
        <f>IF(OR(E1589="",F1589=""),"",E1589+F1589)</f>
        <v/>
      </c>
      <c r="H1589" s="15">
        <f>IF(G1589="","",E1589/G1589)</f>
        <v/>
      </c>
      <c r="I1589" s="15">
        <f>IF(G1589="","",F1589/G1589)</f>
        <v/>
      </c>
      <c r="J1589" s="20">
        <f>IFERROR(IF(OR(E1589="",INDEX(E:E,MATCH(DATE(YEAR($A1589)-1,MONTH($A1589),DAY($A1589)),$A:$A,0))=""),"",E1589/INDEX(E:E,MATCH(DATE(YEAR($A1589)-1,MONTH($A1589),DAY($A1589)),$A:$A,0))-1),"")</f>
        <v/>
      </c>
      <c r="K1589" s="15">
        <f>IFERROR(IF(OR(F1589="",INDEX(F:F,MATCH(DATE(YEAR($A1589)-1,MONTH($A1589),DAY($A1589)),$A:$A,0))=""),"",F1589/INDEX(F:F,MATCH(DATE(YEAR($A1589)-1,MONTH($A1589),DAY($A1589)),$A:$A,0))-1),"")</f>
        <v/>
      </c>
      <c r="L1589" s="15">
        <f>IFERROR(IF(OR(G1589="",INDEX(G:G,MATCH(DATE(YEAR($A1589)-1,MONTH($A1589),DAY($A1589)),$A:$A,0))=""),"",G1589/INDEX(G:G,MATCH(DATE(YEAR($A1589)-1,MONTH($A1589),DAY($A1589)),$A:$A,0))-1),"")</f>
        <v/>
      </c>
      <c r="M1589" s="15">
        <f>IF(OR(E1589="",E1588=""),"",E1589/E1588-1)</f>
        <v/>
      </c>
      <c r="N1589" s="15">
        <f>IF(OR(F1589="",F1588=""),"",F1589/F1588-1)</f>
        <v/>
      </c>
      <c r="O1589" s="15">
        <f>IF(OR(G1589="",G1588=""),"",G1589/G1588-1)</f>
        <v/>
      </c>
      <c r="P1589" s="18">
        <f>IF(SUMIFS('Daily NSE Equity Futures'!$J:$J,'Daily NSE Equity Futures'!$A:$A,$A1589)=0,"",SUMIFS('Daily NSE Equity Futures'!$J:$J,'Daily NSE Equity Futures'!$A:$A,$A1589))</f>
        <v/>
      </c>
      <c r="Q1589" s="7">
        <f>IF(SUMIFS('Daily BSE Equity Futures'!$J:$J,'Daily BSE Equity Futures'!$A:$A,$A1589)=0,"",SUMIFS('Daily BSE Equity Futures'!$J:$J,'Daily BSE Equity Futures'!$A:$A,$A1589))</f>
        <v/>
      </c>
      <c r="R1589" s="7">
        <f>IF(OR(P1589="",Q1589=""),"",P1589+Q1589)</f>
        <v/>
      </c>
      <c r="S1589" s="19">
        <f>IF(R1589="","",P1589/R1589)</f>
        <v/>
      </c>
      <c r="T1589" s="19">
        <f>IF(R1589="","",Q1589/R1589)</f>
        <v/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>
        <f>IF(SUMIFS('Daily NSE Equity Futures'!$I:$I,'Daily NSE Equity Futures'!$A:$A,$A1590)=0,"",SUMIFS('Daily NSE Equity Futures'!$I:$I,'Daily NSE Equity Futures'!$A:$A,$A1590))</f>
        <v/>
      </c>
      <c r="F1590" s="6">
        <f>IF(SUMIFS('Daily BSE Equity Futures'!$I:$I,'Daily BSE Equity Futures'!$A:$A,$A1590)=0,"",SUMIFS('Daily BSE Equity Futures'!$I:$I,'Daily BSE Equity Futures'!$A:$A,$A1590))</f>
        <v/>
      </c>
      <c r="G1590" s="6">
        <f>IF(OR(E1590="",F1590=""),"",E1590+F1590)</f>
        <v/>
      </c>
      <c r="H1590" s="15">
        <f>IF(G1590="","",E1590/G1590)</f>
        <v/>
      </c>
      <c r="I1590" s="15">
        <f>IF(G1590="","",F1590/G1590)</f>
        <v/>
      </c>
      <c r="J1590" s="20">
        <f>IFERROR(IF(OR(E1590="",INDEX(E:E,MATCH(DATE(YEAR($A1590)-1,MONTH($A1590),DAY($A1590)),$A:$A,0))=""),"",E1590/INDEX(E:E,MATCH(DATE(YEAR($A1590)-1,MONTH($A1590),DAY($A1590)),$A:$A,0))-1),"")</f>
        <v/>
      </c>
      <c r="K1590" s="15">
        <f>IFERROR(IF(OR(F1590="",INDEX(F:F,MATCH(DATE(YEAR($A1590)-1,MONTH($A1590),DAY($A1590)),$A:$A,0))=""),"",F1590/INDEX(F:F,MATCH(DATE(YEAR($A1590)-1,MONTH($A1590),DAY($A1590)),$A:$A,0))-1),"")</f>
        <v/>
      </c>
      <c r="L1590" s="15">
        <f>IFERROR(IF(OR(G1590="",INDEX(G:G,MATCH(DATE(YEAR($A1590)-1,MONTH($A1590),DAY($A1590)),$A:$A,0))=""),"",G1590/INDEX(G:G,MATCH(DATE(YEAR($A1590)-1,MONTH($A1590),DAY($A1590)),$A:$A,0))-1),"")</f>
        <v/>
      </c>
      <c r="M1590" s="15">
        <f>IF(OR(E1590="",E1589=""),"",E1590/E1589-1)</f>
        <v/>
      </c>
      <c r="N1590" s="15">
        <f>IF(OR(F1590="",F1589=""),"",F1590/F1589-1)</f>
        <v/>
      </c>
      <c r="O1590" s="15">
        <f>IF(OR(G1590="",G1589=""),"",G1590/G1589-1)</f>
        <v/>
      </c>
      <c r="P1590" s="18">
        <f>IF(SUMIFS('Daily NSE Equity Futures'!$J:$J,'Daily NSE Equity Futures'!$A:$A,$A1590)=0,"",SUMIFS('Daily NSE Equity Futures'!$J:$J,'Daily NSE Equity Futures'!$A:$A,$A1590))</f>
        <v/>
      </c>
      <c r="Q1590" s="7">
        <f>IF(SUMIFS('Daily BSE Equity Futures'!$J:$J,'Daily BSE Equity Futures'!$A:$A,$A1590)=0,"",SUMIFS('Daily BSE Equity Futures'!$J:$J,'Daily BSE Equity Futures'!$A:$A,$A1590))</f>
        <v/>
      </c>
      <c r="R1590" s="7">
        <f>IF(OR(P1590="",Q1590=""),"",P1590+Q1590)</f>
        <v/>
      </c>
      <c r="S1590" s="19">
        <f>IF(R1590="","",P1590/R1590)</f>
        <v/>
      </c>
      <c r="T1590" s="19">
        <f>IF(R1590="","",Q1590/R1590)</f>
        <v/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>
        <f>IF(SUMIFS('Daily NSE Equity Futures'!$I:$I,'Daily NSE Equity Futures'!$A:$A,$A1591)=0,"",SUMIFS('Daily NSE Equity Futures'!$I:$I,'Daily NSE Equity Futures'!$A:$A,$A1591))</f>
        <v/>
      </c>
      <c r="F1591" s="6">
        <f>IF(SUMIFS('Daily BSE Equity Futures'!$I:$I,'Daily BSE Equity Futures'!$A:$A,$A1591)=0,"",SUMIFS('Daily BSE Equity Futures'!$I:$I,'Daily BSE Equity Futures'!$A:$A,$A1591))</f>
        <v/>
      </c>
      <c r="G1591" s="6">
        <f>IF(OR(E1591="",F1591=""),"",E1591+F1591)</f>
        <v/>
      </c>
      <c r="H1591" s="15">
        <f>IF(G1591="","",E1591/G1591)</f>
        <v/>
      </c>
      <c r="I1591" s="15">
        <f>IF(G1591="","",F1591/G1591)</f>
        <v/>
      </c>
      <c r="J1591" s="20">
        <f>IFERROR(IF(OR(E1591="",INDEX(E:E,MATCH(DATE(YEAR($A1591)-1,MONTH($A1591),DAY($A1591)),$A:$A,0))=""),"",E1591/INDEX(E:E,MATCH(DATE(YEAR($A1591)-1,MONTH($A1591),DAY($A1591)),$A:$A,0))-1),"")</f>
        <v/>
      </c>
      <c r="K1591" s="15">
        <f>IFERROR(IF(OR(F1591="",INDEX(F:F,MATCH(DATE(YEAR($A1591)-1,MONTH($A1591),DAY($A1591)),$A:$A,0))=""),"",F1591/INDEX(F:F,MATCH(DATE(YEAR($A1591)-1,MONTH($A1591),DAY($A1591)),$A:$A,0))-1),"")</f>
        <v/>
      </c>
      <c r="L1591" s="15">
        <f>IFERROR(IF(OR(G1591="",INDEX(G:G,MATCH(DATE(YEAR($A1591)-1,MONTH($A1591),DAY($A1591)),$A:$A,0))=""),"",G1591/INDEX(G:G,MATCH(DATE(YEAR($A1591)-1,MONTH($A1591),DAY($A1591)),$A:$A,0))-1),"")</f>
        <v/>
      </c>
      <c r="M1591" s="15">
        <f>IF(OR(E1591="",E1590=""),"",E1591/E1590-1)</f>
        <v/>
      </c>
      <c r="N1591" s="15">
        <f>IF(OR(F1591="",F1590=""),"",F1591/F1590-1)</f>
        <v/>
      </c>
      <c r="O1591" s="15">
        <f>IF(OR(G1591="",G1590=""),"",G1591/G1590-1)</f>
        <v/>
      </c>
      <c r="P1591" s="18">
        <f>IF(SUMIFS('Daily NSE Equity Futures'!$J:$J,'Daily NSE Equity Futures'!$A:$A,$A1591)=0,"",SUMIFS('Daily NSE Equity Futures'!$J:$J,'Daily NSE Equity Futures'!$A:$A,$A1591))</f>
        <v/>
      </c>
      <c r="Q1591" s="7">
        <f>IF(SUMIFS('Daily BSE Equity Futures'!$J:$J,'Daily BSE Equity Futures'!$A:$A,$A1591)=0,"",SUMIFS('Daily BSE Equity Futures'!$J:$J,'Daily BSE Equity Futures'!$A:$A,$A1591))</f>
        <v/>
      </c>
      <c r="R1591" s="7">
        <f>IF(OR(P1591="",Q1591=""),"",P1591+Q1591)</f>
        <v/>
      </c>
      <c r="S1591" s="19">
        <f>IF(R1591="","",P1591/R1591)</f>
        <v/>
      </c>
      <c r="T1591" s="19">
        <f>IF(R1591="","",Q1591/R1591)</f>
        <v/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>
        <f>IF(SUMIFS('Daily NSE Equity Futures'!$I:$I,'Daily NSE Equity Futures'!$A:$A,$A1592)=0,"",SUMIFS('Daily NSE Equity Futures'!$I:$I,'Daily NSE Equity Futures'!$A:$A,$A1592))</f>
        <v/>
      </c>
      <c r="F1592" s="6">
        <f>IF(SUMIFS('Daily BSE Equity Futures'!$I:$I,'Daily BSE Equity Futures'!$A:$A,$A1592)=0,"",SUMIFS('Daily BSE Equity Futures'!$I:$I,'Daily BSE Equity Futures'!$A:$A,$A1592))</f>
        <v/>
      </c>
      <c r="G1592" s="6">
        <f>IF(OR(E1592="",F1592=""),"",E1592+F1592)</f>
        <v/>
      </c>
      <c r="H1592" s="15">
        <f>IF(G1592="","",E1592/G1592)</f>
        <v/>
      </c>
      <c r="I1592" s="15">
        <f>IF(G1592="","",F1592/G1592)</f>
        <v/>
      </c>
      <c r="J1592" s="20">
        <f>IFERROR(IF(OR(E1592="",INDEX(E:E,MATCH(DATE(YEAR($A1592)-1,MONTH($A1592),DAY($A1592)),$A:$A,0))=""),"",E1592/INDEX(E:E,MATCH(DATE(YEAR($A1592)-1,MONTH($A1592),DAY($A1592)),$A:$A,0))-1),"")</f>
        <v/>
      </c>
      <c r="K1592" s="15">
        <f>IFERROR(IF(OR(F1592="",INDEX(F:F,MATCH(DATE(YEAR($A1592)-1,MONTH($A1592),DAY($A1592)),$A:$A,0))=""),"",F1592/INDEX(F:F,MATCH(DATE(YEAR($A1592)-1,MONTH($A1592),DAY($A1592)),$A:$A,0))-1),"")</f>
        <v/>
      </c>
      <c r="L1592" s="15">
        <f>IFERROR(IF(OR(G1592="",INDEX(G:G,MATCH(DATE(YEAR($A1592)-1,MONTH($A1592),DAY($A1592)),$A:$A,0))=""),"",G1592/INDEX(G:G,MATCH(DATE(YEAR($A1592)-1,MONTH($A1592),DAY($A1592)),$A:$A,0))-1),"")</f>
        <v/>
      </c>
      <c r="M1592" s="15">
        <f>IF(OR(E1592="",E1591=""),"",E1592/E1591-1)</f>
        <v/>
      </c>
      <c r="N1592" s="15">
        <f>IF(OR(F1592="",F1591=""),"",F1592/F1591-1)</f>
        <v/>
      </c>
      <c r="O1592" s="15">
        <f>IF(OR(G1592="",G1591=""),"",G1592/G1591-1)</f>
        <v/>
      </c>
      <c r="P1592" s="18">
        <f>IF(SUMIFS('Daily NSE Equity Futures'!$J:$J,'Daily NSE Equity Futures'!$A:$A,$A1592)=0,"",SUMIFS('Daily NSE Equity Futures'!$J:$J,'Daily NSE Equity Futures'!$A:$A,$A1592))</f>
        <v/>
      </c>
      <c r="Q1592" s="7">
        <f>IF(SUMIFS('Daily BSE Equity Futures'!$J:$J,'Daily BSE Equity Futures'!$A:$A,$A1592)=0,"",SUMIFS('Daily BSE Equity Futures'!$J:$J,'Daily BSE Equity Futures'!$A:$A,$A1592))</f>
        <v/>
      </c>
      <c r="R1592" s="7">
        <f>IF(OR(P1592="",Q1592=""),"",P1592+Q1592)</f>
        <v/>
      </c>
      <c r="S1592" s="19">
        <f>IF(R1592="","",P1592/R1592)</f>
        <v/>
      </c>
      <c r="T1592" s="19">
        <f>IF(R1592="","",Q1592/R1592)</f>
        <v/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>
        <f>IF(SUMIFS('Daily NSE Equity Futures'!$I:$I,'Daily NSE Equity Futures'!$A:$A,$A1593)=0,"",SUMIFS('Daily NSE Equity Futures'!$I:$I,'Daily NSE Equity Futures'!$A:$A,$A1593))</f>
        <v/>
      </c>
      <c r="F1593" s="6">
        <f>IF(SUMIFS('Daily BSE Equity Futures'!$I:$I,'Daily BSE Equity Futures'!$A:$A,$A1593)=0,"",SUMIFS('Daily BSE Equity Futures'!$I:$I,'Daily BSE Equity Futures'!$A:$A,$A1593))</f>
        <v/>
      </c>
      <c r="G1593" s="6">
        <f>IF(OR(E1593="",F1593=""),"",E1593+F1593)</f>
        <v/>
      </c>
      <c r="H1593" s="15">
        <f>IF(G1593="","",E1593/G1593)</f>
        <v/>
      </c>
      <c r="I1593" s="15">
        <f>IF(G1593="","",F1593/G1593)</f>
        <v/>
      </c>
      <c r="J1593" s="20">
        <f>IFERROR(IF(OR(E1593="",INDEX(E:E,MATCH(DATE(YEAR($A1593)-1,MONTH($A1593),DAY($A1593)),$A:$A,0))=""),"",E1593/INDEX(E:E,MATCH(DATE(YEAR($A1593)-1,MONTH($A1593),DAY($A1593)),$A:$A,0))-1),"")</f>
        <v/>
      </c>
      <c r="K1593" s="15">
        <f>IFERROR(IF(OR(F1593="",INDEX(F:F,MATCH(DATE(YEAR($A1593)-1,MONTH($A1593),DAY($A1593)),$A:$A,0))=""),"",F1593/INDEX(F:F,MATCH(DATE(YEAR($A1593)-1,MONTH($A1593),DAY($A1593)),$A:$A,0))-1),"")</f>
        <v/>
      </c>
      <c r="L1593" s="15">
        <f>IFERROR(IF(OR(G1593="",INDEX(G:G,MATCH(DATE(YEAR($A1593)-1,MONTH($A1593),DAY($A1593)),$A:$A,0))=""),"",G1593/INDEX(G:G,MATCH(DATE(YEAR($A1593)-1,MONTH($A1593),DAY($A1593)),$A:$A,0))-1),"")</f>
        <v/>
      </c>
      <c r="M1593" s="15">
        <f>IF(OR(E1593="",E1592=""),"",E1593/E1592-1)</f>
        <v/>
      </c>
      <c r="N1593" s="15">
        <f>IF(OR(F1593="",F1592=""),"",F1593/F1592-1)</f>
        <v/>
      </c>
      <c r="O1593" s="15">
        <f>IF(OR(G1593="",G1592=""),"",G1593/G1592-1)</f>
        <v/>
      </c>
      <c r="P1593" s="18">
        <f>IF(SUMIFS('Daily NSE Equity Futures'!$J:$J,'Daily NSE Equity Futures'!$A:$A,$A1593)=0,"",SUMIFS('Daily NSE Equity Futures'!$J:$J,'Daily NSE Equity Futures'!$A:$A,$A1593))</f>
        <v/>
      </c>
      <c r="Q1593" s="7">
        <f>IF(SUMIFS('Daily BSE Equity Futures'!$J:$J,'Daily BSE Equity Futures'!$A:$A,$A1593)=0,"",SUMIFS('Daily BSE Equity Futures'!$J:$J,'Daily BSE Equity Futures'!$A:$A,$A1593))</f>
        <v/>
      </c>
      <c r="R1593" s="7">
        <f>IF(OR(P1593="",Q1593=""),"",P1593+Q1593)</f>
        <v/>
      </c>
      <c r="S1593" s="19">
        <f>IF(R1593="","",P1593/R1593)</f>
        <v/>
      </c>
      <c r="T1593" s="19">
        <f>IF(R1593="","",Q1593/R1593)</f>
        <v/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>
        <f>IF(SUMIFS('Daily NSE Equity Futures'!$I:$I,'Daily NSE Equity Futures'!$A:$A,$A1594)=0,"",SUMIFS('Daily NSE Equity Futures'!$I:$I,'Daily NSE Equity Futures'!$A:$A,$A1594))</f>
        <v/>
      </c>
      <c r="F1594" s="6">
        <f>IF(SUMIFS('Daily BSE Equity Futures'!$I:$I,'Daily BSE Equity Futures'!$A:$A,$A1594)=0,"",SUMIFS('Daily BSE Equity Futures'!$I:$I,'Daily BSE Equity Futures'!$A:$A,$A1594))</f>
        <v/>
      </c>
      <c r="G1594" s="6">
        <f>IF(OR(E1594="",F1594=""),"",E1594+F1594)</f>
        <v/>
      </c>
      <c r="H1594" s="15">
        <f>IF(G1594="","",E1594/G1594)</f>
        <v/>
      </c>
      <c r="I1594" s="15">
        <f>IF(G1594="","",F1594/G1594)</f>
        <v/>
      </c>
      <c r="J1594" s="20">
        <f>IFERROR(IF(OR(E1594="",INDEX(E:E,MATCH(DATE(YEAR($A1594)-1,MONTH($A1594),DAY($A1594)),$A:$A,0))=""),"",E1594/INDEX(E:E,MATCH(DATE(YEAR($A1594)-1,MONTH($A1594),DAY($A1594)),$A:$A,0))-1),"")</f>
        <v/>
      </c>
      <c r="K1594" s="15">
        <f>IFERROR(IF(OR(F1594="",INDEX(F:F,MATCH(DATE(YEAR($A1594)-1,MONTH($A1594),DAY($A1594)),$A:$A,0))=""),"",F1594/INDEX(F:F,MATCH(DATE(YEAR($A1594)-1,MONTH($A1594),DAY($A1594)),$A:$A,0))-1),"")</f>
        <v/>
      </c>
      <c r="L1594" s="15">
        <f>IFERROR(IF(OR(G1594="",INDEX(G:G,MATCH(DATE(YEAR($A1594)-1,MONTH($A1594),DAY($A1594)),$A:$A,0))=""),"",G1594/INDEX(G:G,MATCH(DATE(YEAR($A1594)-1,MONTH($A1594),DAY($A1594)),$A:$A,0))-1),"")</f>
        <v/>
      </c>
      <c r="M1594" s="15">
        <f>IF(OR(E1594="",E1593=""),"",E1594/E1593-1)</f>
        <v/>
      </c>
      <c r="N1594" s="15">
        <f>IF(OR(F1594="",F1593=""),"",F1594/F1593-1)</f>
        <v/>
      </c>
      <c r="O1594" s="15">
        <f>IF(OR(G1594="",G1593=""),"",G1594/G1593-1)</f>
        <v/>
      </c>
      <c r="P1594" s="18">
        <f>IF(SUMIFS('Daily NSE Equity Futures'!$J:$J,'Daily NSE Equity Futures'!$A:$A,$A1594)=0,"",SUMIFS('Daily NSE Equity Futures'!$J:$J,'Daily NSE Equity Futures'!$A:$A,$A1594))</f>
        <v/>
      </c>
      <c r="Q1594" s="7">
        <f>IF(SUMIFS('Daily BSE Equity Futures'!$J:$J,'Daily BSE Equity Futures'!$A:$A,$A1594)=0,"",SUMIFS('Daily BSE Equity Futures'!$J:$J,'Daily BSE Equity Futures'!$A:$A,$A1594))</f>
        <v/>
      </c>
      <c r="R1594" s="7">
        <f>IF(OR(P1594="",Q1594=""),"",P1594+Q1594)</f>
        <v/>
      </c>
      <c r="S1594" s="19">
        <f>IF(R1594="","",P1594/R1594)</f>
        <v/>
      </c>
      <c r="T1594" s="19">
        <f>IF(R1594="","",Q1594/R1594)</f>
        <v/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>
        <f>IF(SUMIFS('Daily NSE Equity Futures'!$I:$I,'Daily NSE Equity Futures'!$A:$A,$A1595)=0,"",SUMIFS('Daily NSE Equity Futures'!$I:$I,'Daily NSE Equity Futures'!$A:$A,$A1595))</f>
        <v/>
      </c>
      <c r="F1595" s="6">
        <f>IF(SUMIFS('Daily BSE Equity Futures'!$I:$I,'Daily BSE Equity Futures'!$A:$A,$A1595)=0,"",SUMIFS('Daily BSE Equity Futures'!$I:$I,'Daily BSE Equity Futures'!$A:$A,$A1595))</f>
        <v/>
      </c>
      <c r="G1595" s="6">
        <f>IF(OR(E1595="",F1595=""),"",E1595+F1595)</f>
        <v/>
      </c>
      <c r="H1595" s="15">
        <f>IF(G1595="","",E1595/G1595)</f>
        <v/>
      </c>
      <c r="I1595" s="15">
        <f>IF(G1595="","",F1595/G1595)</f>
        <v/>
      </c>
      <c r="J1595" s="20">
        <f>IFERROR(IF(OR(E1595="",INDEX(E:E,MATCH(DATE(YEAR($A1595)-1,MONTH($A1595),DAY($A1595)),$A:$A,0))=""),"",E1595/INDEX(E:E,MATCH(DATE(YEAR($A1595)-1,MONTH($A1595),DAY($A1595)),$A:$A,0))-1),"")</f>
        <v/>
      </c>
      <c r="K1595" s="15">
        <f>IFERROR(IF(OR(F1595="",INDEX(F:F,MATCH(DATE(YEAR($A1595)-1,MONTH($A1595),DAY($A1595)),$A:$A,0))=""),"",F1595/INDEX(F:F,MATCH(DATE(YEAR($A1595)-1,MONTH($A1595),DAY($A1595)),$A:$A,0))-1),"")</f>
        <v/>
      </c>
      <c r="L1595" s="15">
        <f>IFERROR(IF(OR(G1595="",INDEX(G:G,MATCH(DATE(YEAR($A1595)-1,MONTH($A1595),DAY($A1595)),$A:$A,0))=""),"",G1595/INDEX(G:G,MATCH(DATE(YEAR($A1595)-1,MONTH($A1595),DAY($A1595)),$A:$A,0))-1),"")</f>
        <v/>
      </c>
      <c r="M1595" s="15">
        <f>IF(OR(E1595="",E1594=""),"",E1595/E1594-1)</f>
        <v/>
      </c>
      <c r="N1595" s="15">
        <f>IF(OR(F1595="",F1594=""),"",F1595/F1594-1)</f>
        <v/>
      </c>
      <c r="O1595" s="15">
        <f>IF(OR(G1595="",G1594=""),"",G1595/G1594-1)</f>
        <v/>
      </c>
      <c r="P1595" s="18">
        <f>IF(SUMIFS('Daily NSE Equity Futures'!$J:$J,'Daily NSE Equity Futures'!$A:$A,$A1595)=0,"",SUMIFS('Daily NSE Equity Futures'!$J:$J,'Daily NSE Equity Futures'!$A:$A,$A1595))</f>
        <v/>
      </c>
      <c r="Q1595" s="7">
        <f>IF(SUMIFS('Daily BSE Equity Futures'!$J:$J,'Daily BSE Equity Futures'!$A:$A,$A1595)=0,"",SUMIFS('Daily BSE Equity Futures'!$J:$J,'Daily BSE Equity Futures'!$A:$A,$A1595))</f>
        <v/>
      </c>
      <c r="R1595" s="7">
        <f>IF(OR(P1595="",Q1595=""),"",P1595+Q1595)</f>
        <v/>
      </c>
      <c r="S1595" s="19">
        <f>IF(R1595="","",P1595/R1595)</f>
        <v/>
      </c>
      <c r="T1595" s="19">
        <f>IF(R1595="","",Q1595/R1595)</f>
        <v/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>
        <f>IF(SUMIFS('Daily NSE Equity Futures'!$I:$I,'Daily NSE Equity Futures'!$A:$A,$A1596)=0,"",SUMIFS('Daily NSE Equity Futures'!$I:$I,'Daily NSE Equity Futures'!$A:$A,$A1596))</f>
        <v/>
      </c>
      <c r="F1596" s="6">
        <f>IF(SUMIFS('Daily BSE Equity Futures'!$I:$I,'Daily BSE Equity Futures'!$A:$A,$A1596)=0,"",SUMIFS('Daily BSE Equity Futures'!$I:$I,'Daily BSE Equity Futures'!$A:$A,$A1596))</f>
        <v/>
      </c>
      <c r="G1596" s="6">
        <f>IF(OR(E1596="",F1596=""),"",E1596+F1596)</f>
        <v/>
      </c>
      <c r="H1596" s="15">
        <f>IF(G1596="","",E1596/G1596)</f>
        <v/>
      </c>
      <c r="I1596" s="15">
        <f>IF(G1596="","",F1596/G1596)</f>
        <v/>
      </c>
      <c r="J1596" s="20">
        <f>IFERROR(IF(OR(E1596="",INDEX(E:E,MATCH(DATE(YEAR($A1596)-1,MONTH($A1596),DAY($A1596)),$A:$A,0))=""),"",E1596/INDEX(E:E,MATCH(DATE(YEAR($A1596)-1,MONTH($A1596),DAY($A1596)),$A:$A,0))-1),"")</f>
        <v/>
      </c>
      <c r="K1596" s="15">
        <f>IFERROR(IF(OR(F1596="",INDEX(F:F,MATCH(DATE(YEAR($A1596)-1,MONTH($A1596),DAY($A1596)),$A:$A,0))=""),"",F1596/INDEX(F:F,MATCH(DATE(YEAR($A1596)-1,MONTH($A1596),DAY($A1596)),$A:$A,0))-1),"")</f>
        <v/>
      </c>
      <c r="L1596" s="15">
        <f>IFERROR(IF(OR(G1596="",INDEX(G:G,MATCH(DATE(YEAR($A1596)-1,MONTH($A1596),DAY($A1596)),$A:$A,0))=""),"",G1596/INDEX(G:G,MATCH(DATE(YEAR($A1596)-1,MONTH($A1596),DAY($A1596)),$A:$A,0))-1),"")</f>
        <v/>
      </c>
      <c r="M1596" s="15">
        <f>IF(OR(E1596="",E1595=""),"",E1596/E1595-1)</f>
        <v/>
      </c>
      <c r="N1596" s="15">
        <f>IF(OR(F1596="",F1595=""),"",F1596/F1595-1)</f>
        <v/>
      </c>
      <c r="O1596" s="15">
        <f>IF(OR(G1596="",G1595=""),"",G1596/G1595-1)</f>
        <v/>
      </c>
      <c r="P1596" s="18">
        <f>IF(SUMIFS('Daily NSE Equity Futures'!$J:$J,'Daily NSE Equity Futures'!$A:$A,$A1596)=0,"",SUMIFS('Daily NSE Equity Futures'!$J:$J,'Daily NSE Equity Futures'!$A:$A,$A1596))</f>
        <v/>
      </c>
      <c r="Q1596" s="7">
        <f>IF(SUMIFS('Daily BSE Equity Futures'!$J:$J,'Daily BSE Equity Futures'!$A:$A,$A1596)=0,"",SUMIFS('Daily BSE Equity Futures'!$J:$J,'Daily BSE Equity Futures'!$A:$A,$A1596))</f>
        <v/>
      </c>
      <c r="R1596" s="7">
        <f>IF(OR(P1596="",Q1596=""),"",P1596+Q1596)</f>
        <v/>
      </c>
      <c r="S1596" s="19">
        <f>IF(R1596="","",P1596/R1596)</f>
        <v/>
      </c>
      <c r="T1596" s="19">
        <f>IF(R1596="","",Q1596/R1596)</f>
        <v/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>
        <f>IF(SUMIFS('Daily NSE Equity Futures'!$I:$I,'Daily NSE Equity Futures'!$A:$A,$A1597)=0,"",SUMIFS('Daily NSE Equity Futures'!$I:$I,'Daily NSE Equity Futures'!$A:$A,$A1597))</f>
        <v/>
      </c>
      <c r="F1597" s="6">
        <f>IF(SUMIFS('Daily BSE Equity Futures'!$I:$I,'Daily BSE Equity Futures'!$A:$A,$A1597)=0,"",SUMIFS('Daily BSE Equity Futures'!$I:$I,'Daily BSE Equity Futures'!$A:$A,$A1597))</f>
        <v/>
      </c>
      <c r="G1597" s="6">
        <f>IF(OR(E1597="",F1597=""),"",E1597+F1597)</f>
        <v/>
      </c>
      <c r="H1597" s="15">
        <f>IF(G1597="","",E1597/G1597)</f>
        <v/>
      </c>
      <c r="I1597" s="15">
        <f>IF(G1597="","",F1597/G1597)</f>
        <v/>
      </c>
      <c r="J1597" s="20">
        <f>IFERROR(IF(OR(E1597="",INDEX(E:E,MATCH(DATE(YEAR($A1597)-1,MONTH($A1597),DAY($A1597)),$A:$A,0))=""),"",E1597/INDEX(E:E,MATCH(DATE(YEAR($A1597)-1,MONTH($A1597),DAY($A1597)),$A:$A,0))-1),"")</f>
        <v/>
      </c>
      <c r="K1597" s="15">
        <f>IFERROR(IF(OR(F1597="",INDEX(F:F,MATCH(DATE(YEAR($A1597)-1,MONTH($A1597),DAY($A1597)),$A:$A,0))=""),"",F1597/INDEX(F:F,MATCH(DATE(YEAR($A1597)-1,MONTH($A1597),DAY($A1597)),$A:$A,0))-1),"")</f>
        <v/>
      </c>
      <c r="L1597" s="15">
        <f>IFERROR(IF(OR(G1597="",INDEX(G:G,MATCH(DATE(YEAR($A1597)-1,MONTH($A1597),DAY($A1597)),$A:$A,0))=""),"",G1597/INDEX(G:G,MATCH(DATE(YEAR($A1597)-1,MONTH($A1597),DAY($A1597)),$A:$A,0))-1),"")</f>
        <v/>
      </c>
      <c r="M1597" s="15">
        <f>IF(OR(E1597="",E1596=""),"",E1597/E1596-1)</f>
        <v/>
      </c>
      <c r="N1597" s="15">
        <f>IF(OR(F1597="",F1596=""),"",F1597/F1596-1)</f>
        <v/>
      </c>
      <c r="O1597" s="15">
        <f>IF(OR(G1597="",G1596=""),"",G1597/G1596-1)</f>
        <v/>
      </c>
      <c r="P1597" s="18">
        <f>IF(SUMIFS('Daily NSE Equity Futures'!$J:$J,'Daily NSE Equity Futures'!$A:$A,$A1597)=0,"",SUMIFS('Daily NSE Equity Futures'!$J:$J,'Daily NSE Equity Futures'!$A:$A,$A1597))</f>
        <v/>
      </c>
      <c r="Q1597" s="7">
        <f>IF(SUMIFS('Daily BSE Equity Futures'!$J:$J,'Daily BSE Equity Futures'!$A:$A,$A1597)=0,"",SUMIFS('Daily BSE Equity Futures'!$J:$J,'Daily BSE Equity Futures'!$A:$A,$A1597))</f>
        <v/>
      </c>
      <c r="R1597" s="7">
        <f>IF(OR(P1597="",Q1597=""),"",P1597+Q1597)</f>
        <v/>
      </c>
      <c r="S1597" s="19">
        <f>IF(R1597="","",P1597/R1597)</f>
        <v/>
      </c>
      <c r="T1597" s="19">
        <f>IF(R1597="","",Q1597/R1597)</f>
        <v/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>
        <f>IF(SUMIFS('Daily NSE Equity Futures'!$I:$I,'Daily NSE Equity Futures'!$A:$A,$A1598)=0,"",SUMIFS('Daily NSE Equity Futures'!$I:$I,'Daily NSE Equity Futures'!$A:$A,$A1598))</f>
        <v/>
      </c>
      <c r="F1598" s="6">
        <f>IF(SUMIFS('Daily BSE Equity Futures'!$I:$I,'Daily BSE Equity Futures'!$A:$A,$A1598)=0,"",SUMIFS('Daily BSE Equity Futures'!$I:$I,'Daily BSE Equity Futures'!$A:$A,$A1598))</f>
        <v/>
      </c>
      <c r="G1598" s="6">
        <f>IF(OR(E1598="",F1598=""),"",E1598+F1598)</f>
        <v/>
      </c>
      <c r="H1598" s="15">
        <f>IF(G1598="","",E1598/G1598)</f>
        <v/>
      </c>
      <c r="I1598" s="15">
        <f>IF(G1598="","",F1598/G1598)</f>
        <v/>
      </c>
      <c r="J1598" s="20">
        <f>IFERROR(IF(OR(E1598="",INDEX(E:E,MATCH(DATE(YEAR($A1598)-1,MONTH($A1598),DAY($A1598)),$A:$A,0))=""),"",E1598/INDEX(E:E,MATCH(DATE(YEAR($A1598)-1,MONTH($A1598),DAY($A1598)),$A:$A,0))-1),"")</f>
        <v/>
      </c>
      <c r="K1598" s="15">
        <f>IFERROR(IF(OR(F1598="",INDEX(F:F,MATCH(DATE(YEAR($A1598)-1,MONTH($A1598),DAY($A1598)),$A:$A,0))=""),"",F1598/INDEX(F:F,MATCH(DATE(YEAR($A1598)-1,MONTH($A1598),DAY($A1598)),$A:$A,0))-1),"")</f>
        <v/>
      </c>
      <c r="L1598" s="15">
        <f>IFERROR(IF(OR(G1598="",INDEX(G:G,MATCH(DATE(YEAR($A1598)-1,MONTH($A1598),DAY($A1598)),$A:$A,0))=""),"",G1598/INDEX(G:G,MATCH(DATE(YEAR($A1598)-1,MONTH($A1598),DAY($A1598)),$A:$A,0))-1),"")</f>
        <v/>
      </c>
      <c r="M1598" s="15">
        <f>IF(OR(E1598="",E1597=""),"",E1598/E1597-1)</f>
        <v/>
      </c>
      <c r="N1598" s="15">
        <f>IF(OR(F1598="",F1597=""),"",F1598/F1597-1)</f>
        <v/>
      </c>
      <c r="O1598" s="15">
        <f>IF(OR(G1598="",G1597=""),"",G1598/G1597-1)</f>
        <v/>
      </c>
      <c r="P1598" s="18">
        <f>IF(SUMIFS('Daily NSE Equity Futures'!$J:$J,'Daily NSE Equity Futures'!$A:$A,$A1598)=0,"",SUMIFS('Daily NSE Equity Futures'!$J:$J,'Daily NSE Equity Futures'!$A:$A,$A1598))</f>
        <v/>
      </c>
      <c r="Q1598" s="7">
        <f>IF(SUMIFS('Daily BSE Equity Futures'!$J:$J,'Daily BSE Equity Futures'!$A:$A,$A1598)=0,"",SUMIFS('Daily BSE Equity Futures'!$J:$J,'Daily BSE Equity Futures'!$A:$A,$A1598))</f>
        <v/>
      </c>
      <c r="R1598" s="7">
        <f>IF(OR(P1598="",Q1598=""),"",P1598+Q1598)</f>
        <v/>
      </c>
      <c r="S1598" s="19">
        <f>IF(R1598="","",P1598/R1598)</f>
        <v/>
      </c>
      <c r="T1598" s="19">
        <f>IF(R1598="","",Q1598/R1598)</f>
        <v/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>
        <f>IF(SUMIFS('Daily NSE Equity Futures'!$I:$I,'Daily NSE Equity Futures'!$A:$A,$A1599)=0,"",SUMIFS('Daily NSE Equity Futures'!$I:$I,'Daily NSE Equity Futures'!$A:$A,$A1599))</f>
        <v/>
      </c>
      <c r="F1599" s="6">
        <f>IF(SUMIFS('Daily BSE Equity Futures'!$I:$I,'Daily BSE Equity Futures'!$A:$A,$A1599)=0,"",SUMIFS('Daily BSE Equity Futures'!$I:$I,'Daily BSE Equity Futures'!$A:$A,$A1599))</f>
        <v/>
      </c>
      <c r="G1599" s="6">
        <f>IF(OR(E1599="",F1599=""),"",E1599+F1599)</f>
        <v/>
      </c>
      <c r="H1599" s="15">
        <f>IF(G1599="","",E1599/G1599)</f>
        <v/>
      </c>
      <c r="I1599" s="15">
        <f>IF(G1599="","",F1599/G1599)</f>
        <v/>
      </c>
      <c r="J1599" s="20">
        <f>IFERROR(IF(OR(E1599="",INDEX(E:E,MATCH(DATE(YEAR($A1599)-1,MONTH($A1599),DAY($A1599)),$A:$A,0))=""),"",E1599/INDEX(E:E,MATCH(DATE(YEAR($A1599)-1,MONTH($A1599),DAY($A1599)),$A:$A,0))-1),"")</f>
        <v/>
      </c>
      <c r="K1599" s="15">
        <f>IFERROR(IF(OR(F1599="",INDEX(F:F,MATCH(DATE(YEAR($A1599)-1,MONTH($A1599),DAY($A1599)),$A:$A,0))=""),"",F1599/INDEX(F:F,MATCH(DATE(YEAR($A1599)-1,MONTH($A1599),DAY($A1599)),$A:$A,0))-1),"")</f>
        <v/>
      </c>
      <c r="L1599" s="15">
        <f>IFERROR(IF(OR(G1599="",INDEX(G:G,MATCH(DATE(YEAR($A1599)-1,MONTH($A1599),DAY($A1599)),$A:$A,0))=""),"",G1599/INDEX(G:G,MATCH(DATE(YEAR($A1599)-1,MONTH($A1599),DAY($A1599)),$A:$A,0))-1),"")</f>
        <v/>
      </c>
      <c r="M1599" s="15">
        <f>IF(OR(E1599="",E1598=""),"",E1599/E1598-1)</f>
        <v/>
      </c>
      <c r="N1599" s="15">
        <f>IF(OR(F1599="",F1598=""),"",F1599/F1598-1)</f>
        <v/>
      </c>
      <c r="O1599" s="15">
        <f>IF(OR(G1599="",G1598=""),"",G1599/G1598-1)</f>
        <v/>
      </c>
      <c r="P1599" s="18">
        <f>IF(SUMIFS('Daily NSE Equity Futures'!$J:$J,'Daily NSE Equity Futures'!$A:$A,$A1599)=0,"",SUMIFS('Daily NSE Equity Futures'!$J:$J,'Daily NSE Equity Futures'!$A:$A,$A1599))</f>
        <v/>
      </c>
      <c r="Q1599" s="7">
        <f>IF(SUMIFS('Daily BSE Equity Futures'!$J:$J,'Daily BSE Equity Futures'!$A:$A,$A1599)=0,"",SUMIFS('Daily BSE Equity Futures'!$J:$J,'Daily BSE Equity Futures'!$A:$A,$A1599))</f>
        <v/>
      </c>
      <c r="R1599" s="7">
        <f>IF(OR(P1599="",Q1599=""),"",P1599+Q1599)</f>
        <v/>
      </c>
      <c r="S1599" s="19">
        <f>IF(R1599="","",P1599/R1599)</f>
        <v/>
      </c>
      <c r="T1599" s="19">
        <f>IF(R1599="","",Q1599/R1599)</f>
        <v/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>
        <f>IF(SUMIFS('Daily NSE Equity Futures'!$I:$I,'Daily NSE Equity Futures'!$A:$A,$A1600)=0,"",SUMIFS('Daily NSE Equity Futures'!$I:$I,'Daily NSE Equity Futures'!$A:$A,$A1600))</f>
        <v/>
      </c>
      <c r="F1600" s="6">
        <f>IF(SUMIFS('Daily BSE Equity Futures'!$I:$I,'Daily BSE Equity Futures'!$A:$A,$A1600)=0,"",SUMIFS('Daily BSE Equity Futures'!$I:$I,'Daily BSE Equity Futures'!$A:$A,$A1600))</f>
        <v/>
      </c>
      <c r="G1600" s="6">
        <f>IF(OR(E1600="",F1600=""),"",E1600+F1600)</f>
        <v/>
      </c>
      <c r="H1600" s="15">
        <f>IF(G1600="","",E1600/G1600)</f>
        <v/>
      </c>
      <c r="I1600" s="15">
        <f>IF(G1600="","",F1600/G1600)</f>
        <v/>
      </c>
      <c r="J1600" s="20">
        <f>IFERROR(IF(OR(E1600="",INDEX(E:E,MATCH(DATE(YEAR($A1600)-1,MONTH($A1600),DAY($A1600)),$A:$A,0))=""),"",E1600/INDEX(E:E,MATCH(DATE(YEAR($A1600)-1,MONTH($A1600),DAY($A1600)),$A:$A,0))-1),"")</f>
        <v/>
      </c>
      <c r="K1600" s="15">
        <f>IFERROR(IF(OR(F1600="",INDEX(F:F,MATCH(DATE(YEAR($A1600)-1,MONTH($A1600),DAY($A1600)),$A:$A,0))=""),"",F1600/INDEX(F:F,MATCH(DATE(YEAR($A1600)-1,MONTH($A1600),DAY($A1600)),$A:$A,0))-1),"")</f>
        <v/>
      </c>
      <c r="L1600" s="15">
        <f>IFERROR(IF(OR(G1600="",INDEX(G:G,MATCH(DATE(YEAR($A1600)-1,MONTH($A1600),DAY($A1600)),$A:$A,0))=""),"",G1600/INDEX(G:G,MATCH(DATE(YEAR($A1600)-1,MONTH($A1600),DAY($A1600)),$A:$A,0))-1),"")</f>
        <v/>
      </c>
      <c r="M1600" s="15">
        <f>IF(OR(E1600="",E1599=""),"",E1600/E1599-1)</f>
        <v/>
      </c>
      <c r="N1600" s="15">
        <f>IF(OR(F1600="",F1599=""),"",F1600/F1599-1)</f>
        <v/>
      </c>
      <c r="O1600" s="15">
        <f>IF(OR(G1600="",G1599=""),"",G1600/G1599-1)</f>
        <v/>
      </c>
      <c r="P1600" s="18">
        <f>IF(SUMIFS('Daily NSE Equity Futures'!$J:$J,'Daily NSE Equity Futures'!$A:$A,$A1600)=0,"",SUMIFS('Daily NSE Equity Futures'!$J:$J,'Daily NSE Equity Futures'!$A:$A,$A1600))</f>
        <v/>
      </c>
      <c r="Q1600" s="7">
        <f>IF(SUMIFS('Daily BSE Equity Futures'!$J:$J,'Daily BSE Equity Futures'!$A:$A,$A1600)=0,"",SUMIFS('Daily BSE Equity Futures'!$J:$J,'Daily BSE Equity Futures'!$A:$A,$A1600))</f>
        <v/>
      </c>
      <c r="R1600" s="7">
        <f>IF(OR(P1600="",Q1600=""),"",P1600+Q1600)</f>
        <v/>
      </c>
      <c r="S1600" s="19">
        <f>IF(R1600="","",P1600/R1600)</f>
        <v/>
      </c>
      <c r="T1600" s="19">
        <f>IF(R1600="","",Q1600/R1600)</f>
        <v/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>
        <f>IF(SUMIFS('Daily NSE Equity Futures'!$I:$I,'Daily NSE Equity Futures'!$A:$A,$A1601)=0,"",SUMIFS('Daily NSE Equity Futures'!$I:$I,'Daily NSE Equity Futures'!$A:$A,$A1601))</f>
        <v/>
      </c>
      <c r="F1601" s="6">
        <f>IF(SUMIFS('Daily BSE Equity Futures'!$I:$I,'Daily BSE Equity Futures'!$A:$A,$A1601)=0,"",SUMIFS('Daily BSE Equity Futures'!$I:$I,'Daily BSE Equity Futures'!$A:$A,$A1601))</f>
        <v/>
      </c>
      <c r="G1601" s="6">
        <f>IF(OR(E1601="",F1601=""),"",E1601+F1601)</f>
        <v/>
      </c>
      <c r="H1601" s="15">
        <f>IF(G1601="","",E1601/G1601)</f>
        <v/>
      </c>
      <c r="I1601" s="15">
        <f>IF(G1601="","",F1601/G1601)</f>
        <v/>
      </c>
      <c r="J1601" s="20">
        <f>IFERROR(IF(OR(E1601="",INDEX(E:E,MATCH(DATE(YEAR($A1601)-1,MONTH($A1601),DAY($A1601)),$A:$A,0))=""),"",E1601/INDEX(E:E,MATCH(DATE(YEAR($A1601)-1,MONTH($A1601),DAY($A1601)),$A:$A,0))-1),"")</f>
        <v/>
      </c>
      <c r="K1601" s="15">
        <f>IFERROR(IF(OR(F1601="",INDEX(F:F,MATCH(DATE(YEAR($A1601)-1,MONTH($A1601),DAY($A1601)),$A:$A,0))=""),"",F1601/INDEX(F:F,MATCH(DATE(YEAR($A1601)-1,MONTH($A1601),DAY($A1601)),$A:$A,0))-1),"")</f>
        <v/>
      </c>
      <c r="L1601" s="15">
        <f>IFERROR(IF(OR(G1601="",INDEX(G:G,MATCH(DATE(YEAR($A1601)-1,MONTH($A1601),DAY($A1601)),$A:$A,0))=""),"",G1601/INDEX(G:G,MATCH(DATE(YEAR($A1601)-1,MONTH($A1601),DAY($A1601)),$A:$A,0))-1),"")</f>
        <v/>
      </c>
      <c r="M1601" s="15">
        <f>IF(OR(E1601="",E1600=""),"",E1601/E1600-1)</f>
        <v/>
      </c>
      <c r="N1601" s="15">
        <f>IF(OR(F1601="",F1600=""),"",F1601/F1600-1)</f>
        <v/>
      </c>
      <c r="O1601" s="15">
        <f>IF(OR(G1601="",G1600=""),"",G1601/G1600-1)</f>
        <v/>
      </c>
      <c r="P1601" s="18">
        <f>IF(SUMIFS('Daily NSE Equity Futures'!$J:$J,'Daily NSE Equity Futures'!$A:$A,$A1601)=0,"",SUMIFS('Daily NSE Equity Futures'!$J:$J,'Daily NSE Equity Futures'!$A:$A,$A1601))</f>
        <v/>
      </c>
      <c r="Q1601" s="7">
        <f>IF(SUMIFS('Daily BSE Equity Futures'!$J:$J,'Daily BSE Equity Futures'!$A:$A,$A1601)=0,"",SUMIFS('Daily BSE Equity Futures'!$J:$J,'Daily BSE Equity Futures'!$A:$A,$A1601))</f>
        <v/>
      </c>
      <c r="R1601" s="7">
        <f>IF(OR(P1601="",Q1601=""),"",P1601+Q1601)</f>
        <v/>
      </c>
      <c r="S1601" s="19">
        <f>IF(R1601="","",P1601/R1601)</f>
        <v/>
      </c>
      <c r="T1601" s="19">
        <f>IF(R1601="","",Q1601/R1601)</f>
        <v/>
      </c>
    </row>
    <row r="1603">
      <c r="A1603" s="1" t="inlineStr">
        <is>
          <t>YTD Comparison - FY2026-2027 YTD vs FY2025-2026 YTD (same number of trading days)</t>
        </is>
      </c>
    </row>
    <row r="1604">
      <c r="A1604" s="4" t="inlineStr">
        <is>
          <t>Trading days elapsed in FY2026-2027 (per NSE daily)</t>
        </is>
      </c>
      <c r="B1604" s="5">
        <f>COUNTIF('Daily NSE Equity Futures'!$A:$A,"&gt;="&amp;DATE(2026,4,1))</f>
        <v/>
      </c>
    </row>
    <row r="1605">
      <c r="A1605" s="4" t="inlineStr">
        <is>
          <t>Matched FY2025-2026 window</t>
        </is>
      </c>
      <c r="B1605" s="9">
        <f>DATE(2025,4,1)</f>
        <v/>
      </c>
      <c r="C1605" s="9">
        <f>INDEX('Daily NSE Equity Futures'!$A:$A,COUNTIF('Daily NSE Equity Futures'!$A:$A,"&lt;"&amp;DATE(2025,4,1))+1+$B1604)</f>
        <v/>
      </c>
    </row>
    <row r="1606">
      <c r="E1606" s="2" t="inlineStr">
        <is>
          <t>NSE Turnover (INR Bn)</t>
        </is>
      </c>
      <c r="F1606" s="2" t="inlineStr">
        <is>
          <t>BSE Turnover (INR Bn)</t>
        </is>
      </c>
      <c r="G1606" s="2" t="inlineStr">
        <is>
          <t>Total Turnover (INR Bn)</t>
        </is>
      </c>
      <c r="H1606" s="2" t="inlineStr">
        <is>
          <t>NSE Turnover Market Share</t>
        </is>
      </c>
      <c r="I1606" s="2" t="inlineStr">
        <is>
          <t>BSE Turnover Market Share</t>
        </is>
      </c>
      <c r="P1606" s="3" t="inlineStr">
        <is>
          <t>NSE No. of Contracts</t>
        </is>
      </c>
      <c r="Q1606" s="3" t="inlineStr">
        <is>
          <t>BSE No. of Contracts</t>
        </is>
      </c>
      <c r="R1606" s="3" t="inlineStr">
        <is>
          <t>Total No. of Contracts</t>
        </is>
      </c>
      <c r="S1606" s="3" t="inlineStr">
        <is>
          <t>NSE Contracts Market Share</t>
        </is>
      </c>
      <c r="T1606" s="3" t="inlineStr">
        <is>
          <t>BSE Contracts Market Share</t>
        </is>
      </c>
    </row>
    <row r="1607">
      <c r="A1607" s="4" t="inlineStr">
        <is>
          <t>FY2025-2026 YTD (first N trading days)</t>
        </is>
      </c>
      <c r="E1607" s="6">
        <f>SUMIFS('Daily NSE Equity Futures'!$I:$I,'Daily NSE Equity Futures'!$A:$A,"&gt;="&amp;$B$1605,'Daily NSE Equity Futures'!$A:$A,"&lt;="&amp;$C$1605)</f>
        <v/>
      </c>
      <c r="F1607" s="6">
        <f>SUMIFS('Daily BSE Equity Futures'!$I:$I,'Daily BSE Equity Futures'!$A:$A,"&gt;="&amp;$B$1605,'Daily BSE Equity Futures'!$A:$A,"&lt;="&amp;$C$1605)</f>
        <v/>
      </c>
      <c r="G1607" s="6">
        <f>E1607+F1607</f>
        <v/>
      </c>
      <c r="H1607" s="15">
        <f>IF(G1607=0,"",E1607/G1607)</f>
        <v/>
      </c>
      <c r="I1607" s="15">
        <f>IF(G1607=0,"",F1607/G1607)</f>
        <v/>
      </c>
      <c r="P1607" s="7">
        <f>SUMIFS('Daily NSE Equity Futures'!$J:$J,'Daily NSE Equity Futures'!$A:$A,"&gt;="&amp;$B$1605,'Daily NSE Equity Futures'!$A:$A,"&lt;="&amp;$C$1605)</f>
        <v/>
      </c>
      <c r="Q1607" s="7">
        <f>SUMIFS('Daily BSE Equity Futures'!$J:$J,'Daily BSE Equity Futures'!$A:$A,"&gt;="&amp;$B$1605,'Daily BSE Equity Futures'!$A:$A,"&lt;="&amp;$C$1605)</f>
        <v/>
      </c>
      <c r="R1607" s="7">
        <f>P1607+Q1607</f>
        <v/>
      </c>
      <c r="S1607" s="19">
        <f>IF(R1607=0,"",P1607/R1607)</f>
        <v/>
      </c>
      <c r="T1607" s="19">
        <f>IF(R1607=0,"",Q1607/R1607)</f>
        <v/>
      </c>
    </row>
    <row r="1608">
      <c r="A1608" s="4" t="inlineStr">
        <is>
          <t>FY2026-2027 YTD</t>
        </is>
      </c>
      <c r="E1608" s="6">
        <f>SUMIFS('Daily NSE Equity Futures'!$I:$I,'Daily NSE Equity Futures'!$A:$A,"&gt;="&amp;DATE(2026,4,1))</f>
        <v/>
      </c>
      <c r="F1608" s="6">
        <f>SUMIFS('Daily BSE Equity Futures'!$I:$I,'Daily BSE Equity Futures'!$A:$A,"&gt;="&amp;DATE(2026,4,1))</f>
        <v/>
      </c>
      <c r="G1608" s="6">
        <f>E1608+F1608</f>
        <v/>
      </c>
      <c r="H1608" s="15">
        <f>IF(G1608=0,"",E1608/G1608)</f>
        <v/>
      </c>
      <c r="I1608" s="15">
        <f>IF(G1608=0,"",F1608/G1608)</f>
        <v/>
      </c>
      <c r="P1608" s="7">
        <f>SUMIFS('Daily NSE Equity Futures'!$J:$J,'Daily NSE Equity Futures'!$A:$A,"&gt;="&amp;DATE(2026,4,1))</f>
        <v/>
      </c>
      <c r="Q1608" s="7">
        <f>SUMIFS('Daily BSE Equity Futures'!$J:$J,'Daily BSE Equity Futures'!$A:$A,"&gt;="&amp;DATE(2026,4,1))</f>
        <v/>
      </c>
      <c r="R1608" s="7">
        <f>P1608+Q1608</f>
        <v/>
      </c>
      <c r="S1608" s="19">
        <f>IF(R1608=0,"",P1608/R1608)</f>
        <v/>
      </c>
      <c r="T1608" s="19">
        <f>IF(R1608=0,"",Q1608/R1608)</f>
        <v/>
      </c>
    </row>
    <row r="1609">
      <c r="A1609" s="1" t="inlineStr">
        <is>
          <t>YTD Growth (FY2026-2027 vs FY2025-2026)</t>
        </is>
      </c>
      <c r="E1609" s="15">
        <f>IF(OR(E1607=0,E1607=""),"",E1608/E1607-1)</f>
        <v/>
      </c>
      <c r="F1609" s="15">
        <f>IF(OR(F1607=0,F1607=""),"",F1608/F1607-1)</f>
        <v/>
      </c>
      <c r="G1609" s="15">
        <f>IF(OR(G1607=0,G1607=""),"",G1608/G1607-1)</f>
        <v/>
      </c>
      <c r="P1609" s="19">
        <f>IF(OR(P1607=0,P1607=""),"",P1608/P1607-1)</f>
        <v/>
      </c>
      <c r="Q1609" s="19">
        <f>IF(OR(Q1607=0,Q1607=""),"",Q1608/Q1607-1)</f>
        <v/>
      </c>
      <c r="R1609" s="19">
        <f>IF(OR(R1607=0,R1607=""),"",R1608/R1607-1)</f>
        <v/>
      </c>
    </row>
  </sheetData>
  <conditionalFormatting sqref="H2:H160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601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601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601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22070.4353</v>
      </c>
      <c r="C13" s="7" t="n">
        <v>13800229</v>
      </c>
      <c r="D13" s="14" t="n">
        <v>131480.4423</v>
      </c>
      <c r="E13" s="7" t="n">
        <v>198858444</v>
      </c>
      <c r="F13" s="14" t="n">
        <v>153550.8776</v>
      </c>
      <c r="G13" s="7" t="n">
        <v>212658673</v>
      </c>
      <c r="H13" s="22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3961.7933</v>
      </c>
      <c r="E209" s="7" t="n">
        <v>2442494</v>
      </c>
      <c r="F209" s="14" t="n">
        <v>27154.4874</v>
      </c>
      <c r="G209" s="7" t="n">
        <v>40346976</v>
      </c>
      <c r="H209" s="14" t="n">
        <v>31116.2807</v>
      </c>
      <c r="I209" s="7" t="n">
        <v>42789470</v>
      </c>
      <c r="J209" s="22" t="n">
        <v>23</v>
      </c>
    </row>
    <row r="210">
      <c r="A210" s="8" t="n">
        <v>46235</v>
      </c>
      <c r="B210" s="4" t="inlineStr">
        <is>
          <t>2026-2027</t>
        </is>
      </c>
      <c r="C210" s="4" t="inlineStr">
        <is>
          <t>Q2FY27</t>
        </is>
      </c>
      <c r="D210" s="14" t="n">
        <v>2875.2748</v>
      </c>
      <c r="E210" s="7" t="n">
        <v>1757801</v>
      </c>
      <c r="F210" s="14" t="n">
        <v>22715.2482</v>
      </c>
      <c r="G210" s="7" t="n">
        <v>32797331</v>
      </c>
      <c r="H210" s="14" t="n">
        <v>25590.523</v>
      </c>
      <c r="I210" s="7" t="n">
        <v>34555132</v>
      </c>
      <c r="J210" s="22" t="n">
        <v>21</v>
      </c>
    </row>
    <row r="211">
      <c r="A211" s="8" t="n">
        <v>46266</v>
      </c>
      <c r="B211" s="4" t="inlineStr">
        <is>
          <t>2026-2027</t>
        </is>
      </c>
      <c r="C211" s="4" t="inlineStr">
        <is>
          <t>Q2FY27</t>
        </is>
      </c>
      <c r="D211" s="14" t="n">
        <v>858.879</v>
      </c>
      <c r="E211" s="7" t="n">
        <v>536266</v>
      </c>
      <c r="F211" s="14" t="n">
        <v>4137.8569</v>
      </c>
      <c r="G211" s="7" t="n">
        <v>5987102</v>
      </c>
      <c r="H211" s="14" t="n">
        <v>4996.7359</v>
      </c>
      <c r="I211" s="7" t="n">
        <v>6523368</v>
      </c>
      <c r="J211" s="2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 t="n">
        <v>172.4631</v>
      </c>
      <c r="F1563" s="7" t="n">
        <v>104478</v>
      </c>
      <c r="G1563" s="14" t="n">
        <v>900.9266</v>
      </c>
      <c r="H1563" s="7" t="n">
        <v>1305675</v>
      </c>
      <c r="I1563" s="14" t="n">
        <v>1073.3897</v>
      </c>
      <c r="J1563" s="7" t="n">
        <v>1410153</v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 t="n">
        <v>114.2692</v>
      </c>
      <c r="F1564" s="7" t="n">
        <v>70432</v>
      </c>
      <c r="G1564" s="14" t="n">
        <v>919.3849</v>
      </c>
      <c r="H1564" s="7" t="n">
        <v>1353758</v>
      </c>
      <c r="I1564" s="14" t="n">
        <v>1033.6541</v>
      </c>
      <c r="J1564" s="7" t="n">
        <v>1424190</v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 t="n">
        <v>169.4289</v>
      </c>
      <c r="F1565" s="7" t="n">
        <v>104320</v>
      </c>
      <c r="G1565" s="14" t="n">
        <v>1192.9262</v>
      </c>
      <c r="H1565" s="7" t="n">
        <v>1760872</v>
      </c>
      <c r="I1565" s="14" t="n">
        <v>1362.3551</v>
      </c>
      <c r="J1565" s="7" t="n">
        <v>1865192</v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 t="n">
        <v>312.1962</v>
      </c>
      <c r="F1566" s="7" t="n">
        <v>195366</v>
      </c>
      <c r="G1566" s="14" t="n">
        <v>3030.2438</v>
      </c>
      <c r="H1566" s="7" t="n">
        <v>4494107</v>
      </c>
      <c r="I1566" s="14" t="n">
        <v>3342.44</v>
      </c>
      <c r="J1566" s="7" t="n">
        <v>4689473</v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 t="n">
        <v>318.6359</v>
      </c>
      <c r="F1567" s="7" t="n">
        <v>199178</v>
      </c>
      <c r="G1567" s="14" t="n">
        <v>3430.249</v>
      </c>
      <c r="H1567" s="7" t="n">
        <v>5215709</v>
      </c>
      <c r="I1567" s="14" t="n">
        <v>3748.8849</v>
      </c>
      <c r="J1567" s="7" t="n">
        <v>5414887</v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 t="n">
        <v>272.8198</v>
      </c>
      <c r="F1568" s="7" t="n">
        <v>169185</v>
      </c>
      <c r="G1568" s="14" t="n">
        <v>3235.0846</v>
      </c>
      <c r="H1568" s="7" t="n">
        <v>4807306</v>
      </c>
      <c r="I1568" s="14" t="n">
        <v>3507.9044</v>
      </c>
      <c r="J1568" s="7" t="n">
        <v>4976491</v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 t="n">
        <v>340.6172</v>
      </c>
      <c r="F1569" s="7" t="n">
        <v>211532</v>
      </c>
      <c r="G1569" s="14" t="n">
        <v>2191.0985</v>
      </c>
      <c r="H1569" s="7" t="n">
        <v>3317302</v>
      </c>
      <c r="I1569" s="14" t="n">
        <v>2531.7157</v>
      </c>
      <c r="J1569" s="7" t="n">
        <v>3528834</v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 t="n">
        <v>127.2436</v>
      </c>
      <c r="F1570" s="7" t="n">
        <v>78579</v>
      </c>
      <c r="G1570" s="14" t="n">
        <v>793.9307</v>
      </c>
      <c r="H1570" s="7" t="n">
        <v>1196471</v>
      </c>
      <c r="I1570" s="14" t="n">
        <v>921.1743</v>
      </c>
      <c r="J1570" s="7" t="n">
        <v>1275050</v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 t="n">
        <v>106.5103</v>
      </c>
      <c r="F1571" s="7" t="n">
        <v>65379</v>
      </c>
      <c r="G1571" s="14" t="n">
        <v>677.693</v>
      </c>
      <c r="H1571" s="7" t="n">
        <v>1016689</v>
      </c>
      <c r="I1571" s="14" t="n">
        <v>784.2033</v>
      </c>
      <c r="J1571" s="7" t="n">
        <v>1082068</v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 t="n">
        <v>93.49420000000001</v>
      </c>
      <c r="F1572" s="7" t="n">
        <v>57273</v>
      </c>
      <c r="G1572" s="14" t="n">
        <v>803.3305</v>
      </c>
      <c r="H1572" s="7" t="n">
        <v>1164138</v>
      </c>
      <c r="I1572" s="14" t="n">
        <v>896.8247</v>
      </c>
      <c r="J1572" s="7" t="n">
        <v>1221411</v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 t="n">
        <v>136.1783</v>
      </c>
      <c r="F1573" s="7" t="n">
        <v>82600</v>
      </c>
      <c r="G1573" s="14" t="n">
        <v>754.4225</v>
      </c>
      <c r="H1573" s="7" t="n">
        <v>1066133</v>
      </c>
      <c r="I1573" s="14" t="n">
        <v>890.6008</v>
      </c>
      <c r="J1573" s="7" t="n">
        <v>1148733</v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 t="n">
        <v>143.432</v>
      </c>
      <c r="F1574" s="7" t="n">
        <v>88014</v>
      </c>
      <c r="G1574" s="14" t="n">
        <v>640.847</v>
      </c>
      <c r="H1574" s="7" t="n">
        <v>923441</v>
      </c>
      <c r="I1574" s="14" t="n">
        <v>784.279</v>
      </c>
      <c r="J1574" s="7" t="n">
        <v>1011455</v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 t="n">
        <v>126.1688</v>
      </c>
      <c r="F1575" s="7" t="n">
        <v>76496</v>
      </c>
      <c r="G1575" s="14" t="n">
        <v>697.7409</v>
      </c>
      <c r="H1575" s="7" t="n">
        <v>993442</v>
      </c>
      <c r="I1575" s="14" t="n">
        <v>823.9097</v>
      </c>
      <c r="J1575" s="7" t="n">
        <v>1069938</v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 t="n">
        <v>97.51900000000001</v>
      </c>
      <c r="F1576" s="7" t="n">
        <v>58611</v>
      </c>
      <c r="G1576" s="14" t="n">
        <v>717.9961</v>
      </c>
      <c r="H1576" s="7" t="n">
        <v>1022745</v>
      </c>
      <c r="I1576" s="14" t="n">
        <v>815.5151</v>
      </c>
      <c r="J1576" s="7" t="n">
        <v>1081356</v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 t="n">
        <v>73.03879999999999</v>
      </c>
      <c r="F1577" s="7" t="n">
        <v>44191</v>
      </c>
      <c r="G1577" s="14" t="n">
        <v>727.6466</v>
      </c>
      <c r="H1577" s="7" t="n">
        <v>1004512</v>
      </c>
      <c r="I1577" s="14" t="n">
        <v>800.6854</v>
      </c>
      <c r="J1577" s="7" t="n">
        <v>1048703</v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 t="n">
        <v>54.8672</v>
      </c>
      <c r="F1578" s="7" t="n">
        <v>33127</v>
      </c>
      <c r="G1578" s="14" t="n">
        <v>661.1331</v>
      </c>
      <c r="H1578" s="7" t="n">
        <v>914079</v>
      </c>
      <c r="I1578" s="14" t="n">
        <v>716.0003</v>
      </c>
      <c r="J1578" s="7" t="n">
        <v>947206</v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 t="n">
        <v>83.2154</v>
      </c>
      <c r="F1579" s="7" t="n">
        <v>50264</v>
      </c>
      <c r="G1579" s="14" t="n">
        <v>587.6338</v>
      </c>
      <c r="H1579" s="7" t="n">
        <v>824725</v>
      </c>
      <c r="I1579" s="14" t="n">
        <v>670.8492</v>
      </c>
      <c r="J1579" s="7" t="n">
        <v>874989</v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 t="n">
        <v>134.2898</v>
      </c>
      <c r="F1580" s="7" t="n">
        <v>81928</v>
      </c>
      <c r="G1580" s="14" t="n">
        <v>744.0913</v>
      </c>
      <c r="H1580" s="7" t="n">
        <v>1074023</v>
      </c>
      <c r="I1580" s="14" t="n">
        <v>878.3810999999999</v>
      </c>
      <c r="J1580" s="7" t="n">
        <v>1155951</v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 t="n">
        <v>59.4844</v>
      </c>
      <c r="F1581" s="7" t="n">
        <v>36394</v>
      </c>
      <c r="G1581" s="14" t="n">
        <v>583.7767</v>
      </c>
      <c r="H1581" s="7" t="n">
        <v>825905</v>
      </c>
      <c r="I1581" s="14" t="n">
        <v>643.2611000000001</v>
      </c>
      <c r="J1581" s="7" t="n">
        <v>862299</v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 t="n">
        <v>76.83410000000001</v>
      </c>
      <c r="F1582" s="7" t="n">
        <v>46932</v>
      </c>
      <c r="G1582" s="14" t="n">
        <v>585.4605</v>
      </c>
      <c r="H1582" s="7" t="n">
        <v>824114</v>
      </c>
      <c r="I1582" s="14" t="n">
        <v>662.2945999999999</v>
      </c>
      <c r="J1582" s="7" t="n">
        <v>871046</v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 t="n">
        <v>111.242</v>
      </c>
      <c r="F1583" s="7" t="n">
        <v>67841</v>
      </c>
      <c r="G1583" s="14" t="n">
        <v>564.3219</v>
      </c>
      <c r="H1583" s="7" t="n">
        <v>819705</v>
      </c>
      <c r="I1583" s="14" t="n">
        <v>675.5639</v>
      </c>
      <c r="J1583" s="7" t="n">
        <v>887546</v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 t="n">
        <v>102.8756</v>
      </c>
      <c r="F1584" s="7" t="n">
        <v>63402</v>
      </c>
      <c r="G1584" s="14" t="n">
        <v>731.6516</v>
      </c>
      <c r="H1584" s="7" t="n">
        <v>1055193</v>
      </c>
      <c r="I1584" s="14" t="n">
        <v>834.5272</v>
      </c>
      <c r="J1584" s="7" t="n">
        <v>1118595</v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 t="n">
        <v>128.2015</v>
      </c>
      <c r="F1585" s="7" t="n">
        <v>79325</v>
      </c>
      <c r="G1585" s="14" t="n">
        <v>1039.6798</v>
      </c>
      <c r="H1585" s="7" t="n">
        <v>1544348</v>
      </c>
      <c r="I1585" s="14" t="n">
        <v>1167.8813</v>
      </c>
      <c r="J1585" s="7" t="n">
        <v>1623673</v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 t="n">
        <v>224.8885</v>
      </c>
      <c r="F1586" s="7" t="n">
        <v>138452</v>
      </c>
      <c r="G1586" s="14" t="n">
        <v>3013.0764</v>
      </c>
      <c r="H1586" s="7" t="n">
        <v>4447711</v>
      </c>
      <c r="I1586" s="14" t="n">
        <v>3237.9649</v>
      </c>
      <c r="J1586" s="7" t="n">
        <v>4586163</v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 t="n">
        <v>207.4146</v>
      </c>
      <c r="F1587" s="7" t="n">
        <v>125236</v>
      </c>
      <c r="G1587" s="14" t="n">
        <v>3044.0812</v>
      </c>
      <c r="H1587" s="7" t="n">
        <v>4430191</v>
      </c>
      <c r="I1587" s="14" t="n">
        <v>3251.4958</v>
      </c>
      <c r="J1587" s="7" t="n">
        <v>4555427</v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 t="n">
        <v>329.7772</v>
      </c>
      <c r="F1588" s="7" t="n">
        <v>201954</v>
      </c>
      <c r="G1588" s="14" t="n">
        <v>3019.8932</v>
      </c>
      <c r="H1588" s="7" t="n">
        <v>4408908</v>
      </c>
      <c r="I1588" s="14" t="n">
        <v>3349.6704</v>
      </c>
      <c r="J1588" s="7" t="n">
        <v>4610862</v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 t="n">
        <v>377.0971</v>
      </c>
      <c r="F1589" s="7" t="n">
        <v>232087</v>
      </c>
      <c r="G1589" s="14" t="n">
        <v>2206.4774</v>
      </c>
      <c r="H1589" s="7" t="n">
        <v>3208791</v>
      </c>
      <c r="I1589" s="14" t="n">
        <v>2583.5745</v>
      </c>
      <c r="J1589" s="7" t="n">
        <v>3440878</v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 t="n">
        <v>114.9346</v>
      </c>
      <c r="F1590" s="7" t="n">
        <v>69810</v>
      </c>
      <c r="G1590" s="14" t="n">
        <v>617.3923</v>
      </c>
      <c r="H1590" s="7" t="n">
        <v>877659</v>
      </c>
      <c r="I1590" s="14" t="n">
        <v>732.3269</v>
      </c>
      <c r="J1590" s="7" t="n">
        <v>947469</v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 t="n">
        <v>98.60850000000001</v>
      </c>
      <c r="F1591" s="7" t="n">
        <v>60643</v>
      </c>
      <c r="G1591" s="14" t="n">
        <v>568.2734</v>
      </c>
      <c r="H1591" s="7" t="n">
        <v>795691</v>
      </c>
      <c r="I1591" s="14" t="n">
        <v>666.8819</v>
      </c>
      <c r="J1591" s="7" t="n">
        <v>856334</v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 t="n">
        <v>84.0851</v>
      </c>
      <c r="F1592" s="7" t="n">
        <v>51858</v>
      </c>
      <c r="G1592" s="14" t="n">
        <v>480.6924</v>
      </c>
      <c r="H1592" s="7" t="n">
        <v>694644</v>
      </c>
      <c r="I1592" s="14" t="n">
        <v>564.7775</v>
      </c>
      <c r="J1592" s="7" t="n">
        <v>746502</v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 t="n">
        <v>111.1223</v>
      </c>
      <c r="F1593" s="7" t="n">
        <v>68636</v>
      </c>
      <c r="G1593" s="14" t="n">
        <v>728.9601</v>
      </c>
      <c r="H1593" s="7" t="n">
        <v>1041371</v>
      </c>
      <c r="I1593" s="14" t="n">
        <v>840.0824</v>
      </c>
      <c r="J1593" s="7" t="n">
        <v>1110007</v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 t="n">
        <v>146.0266</v>
      </c>
      <c r="F1594" s="7" t="n">
        <v>90274</v>
      </c>
      <c r="G1594" s="14" t="n">
        <v>575.5148</v>
      </c>
      <c r="H1594" s="7" t="n">
        <v>819536</v>
      </c>
      <c r="I1594" s="14" t="n">
        <v>721.5414</v>
      </c>
      <c r="J1594" s="7" t="n">
        <v>909810</v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 t="n">
        <v>127.2102</v>
      </c>
      <c r="F1595" s="7" t="n">
        <v>79588</v>
      </c>
      <c r="G1595" s="14" t="n">
        <v>592.1809</v>
      </c>
      <c r="H1595" s="7" t="n">
        <v>863332</v>
      </c>
      <c r="I1595" s="14" t="n">
        <v>719.3911000000001</v>
      </c>
      <c r="J1595" s="7" t="n">
        <v>942920</v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 t="n">
        <v>102.3203</v>
      </c>
      <c r="F1596" s="7" t="n">
        <v>63081</v>
      </c>
      <c r="G1596" s="14" t="n">
        <v>512.0144</v>
      </c>
      <c r="H1596" s="7" t="n">
        <v>748023</v>
      </c>
      <c r="I1596" s="14" t="n">
        <v>614.3347</v>
      </c>
      <c r="J1596" s="7" t="n">
        <v>811104</v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 t="n">
        <v>70.49160000000001</v>
      </c>
      <c r="F1597" s="7" t="n">
        <v>43674</v>
      </c>
      <c r="G1597" s="14" t="n">
        <v>522.299</v>
      </c>
      <c r="H1597" s="7" t="n">
        <v>759058</v>
      </c>
      <c r="I1597" s="14" t="n">
        <v>592.7906</v>
      </c>
      <c r="J1597" s="7" t="n">
        <v>802732</v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 t="n">
        <v>96.8527</v>
      </c>
      <c r="F1598" s="7" t="n">
        <v>60354</v>
      </c>
      <c r="G1598" s="14" t="n">
        <v>442.2978</v>
      </c>
      <c r="H1598" s="7" t="n">
        <v>634472</v>
      </c>
      <c r="I1598" s="14" t="n">
        <v>539.1505</v>
      </c>
      <c r="J1598" s="7" t="n">
        <v>694826</v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 t="n">
        <v>97.1662</v>
      </c>
      <c r="F1599" s="7" t="n">
        <v>60857</v>
      </c>
      <c r="G1599" s="14" t="n">
        <v>454.7798</v>
      </c>
      <c r="H1599" s="7" t="n">
        <v>649913</v>
      </c>
      <c r="I1599" s="14" t="n">
        <v>551.946</v>
      </c>
      <c r="J1599" s="7" t="n">
        <v>710770</v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 t="n">
        <v>141.5457</v>
      </c>
      <c r="F1600" s="7" t="n">
        <v>89472</v>
      </c>
      <c r="G1600" s="14" t="n">
        <v>614.3029</v>
      </c>
      <c r="H1600" s="7" t="n">
        <v>894737</v>
      </c>
      <c r="I1600" s="14" t="n">
        <v>755.8486</v>
      </c>
      <c r="J1600" s="7" t="n">
        <v>984209</v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 t="n">
        <v>77.2657</v>
      </c>
      <c r="F1601" s="7" t="n">
        <v>48966</v>
      </c>
      <c r="G1601" s="14" t="n">
        <v>424.4673</v>
      </c>
      <c r="H1601" s="7" t="n">
        <v>618031</v>
      </c>
      <c r="I1601" s="14" t="n">
        <v>501.733</v>
      </c>
      <c r="J1601" s="7" t="n">
        <v>666997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372.6139</v>
      </c>
      <c r="C25" s="7" t="n">
        <v>242627</v>
      </c>
      <c r="D25" s="14" t="n">
        <v>0.4888</v>
      </c>
      <c r="E25" s="7" t="n">
        <v>751</v>
      </c>
      <c r="F25" s="14" t="n">
        <v>373.1027</v>
      </c>
      <c r="G25" s="7" t="n">
        <v>243378</v>
      </c>
      <c r="H25" s="22" t="n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58.1403</v>
      </c>
      <c r="E272" s="7" t="n">
        <v>37446</v>
      </c>
      <c r="F272" s="14" t="n">
        <v>0.0547</v>
      </c>
      <c r="G272" s="7" t="n">
        <v>84</v>
      </c>
      <c r="H272" s="14" t="n">
        <v>58.195</v>
      </c>
      <c r="I272" s="7" t="n">
        <v>37530</v>
      </c>
      <c r="J272" s="22" t="n">
        <v>23</v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 t="n">
        <v>44.287</v>
      </c>
      <c r="E273" s="7" t="n">
        <v>28298</v>
      </c>
      <c r="F273" s="14" t="n">
        <v>0.09619999999999999</v>
      </c>
      <c r="G273" s="7" t="n">
        <v>152</v>
      </c>
      <c r="H273" s="14" t="n">
        <v>44.3832</v>
      </c>
      <c r="I273" s="7" t="n">
        <v>28450</v>
      </c>
      <c r="J273" s="22" t="n">
        <v>21</v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 t="n">
        <v>16.4852</v>
      </c>
      <c r="E274" s="7" t="n">
        <v>10766</v>
      </c>
      <c r="F274" s="14" t="n">
        <v>0.0248</v>
      </c>
      <c r="G274" s="7" t="n">
        <v>33</v>
      </c>
      <c r="H274" s="14" t="n">
        <v>16.51</v>
      </c>
      <c r="I274" s="7" t="n">
        <v>10799</v>
      </c>
      <c r="J274" s="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  <row r="1519">
      <c r="A1519" s="9" t="n">
        <v>46223</v>
      </c>
      <c r="B1519" s="4" t="inlineStr">
        <is>
          <t>Monday</t>
        </is>
      </c>
      <c r="C1519" s="8" t="n">
        <v>46204</v>
      </c>
      <c r="D1519" s="4" t="inlineStr">
        <is>
          <t>Q2FY27</t>
        </is>
      </c>
      <c r="E1519" s="14" t="n">
        <v>2.3507</v>
      </c>
      <c r="F1519" s="7" t="n">
        <v>1511</v>
      </c>
      <c r="G1519" s="14" t="n">
        <v>0.0061</v>
      </c>
      <c r="H1519" s="7" t="n">
        <v>6</v>
      </c>
      <c r="I1519" s="14" t="n">
        <v>2.3568</v>
      </c>
      <c r="J1519" s="7" t="n">
        <v>1517</v>
      </c>
    </row>
    <row r="1520">
      <c r="A1520" s="9" t="n">
        <v>46224</v>
      </c>
      <c r="B1520" s="4" t="inlineStr">
        <is>
          <t>Tuesday</t>
        </is>
      </c>
      <c r="C1520" s="8" t="n">
        <v>46204</v>
      </c>
      <c r="D1520" s="4" t="inlineStr">
        <is>
          <t>Q2FY27</t>
        </is>
      </c>
      <c r="E1520" s="14" t="n">
        <v>1.2179</v>
      </c>
      <c r="F1520" s="7" t="n">
        <v>784</v>
      </c>
      <c r="G1520" s="14" t="n">
        <v>0.0005</v>
      </c>
      <c r="H1520" s="7" t="n">
        <v>1</v>
      </c>
      <c r="I1520" s="14" t="n">
        <v>1.2184</v>
      </c>
      <c r="J1520" s="7" t="n">
        <v>785</v>
      </c>
    </row>
    <row r="1521">
      <c r="A1521" s="9" t="n">
        <v>46225</v>
      </c>
      <c r="B1521" s="4" t="inlineStr">
        <is>
          <t>Wednesday</t>
        </is>
      </c>
      <c r="C1521" s="8" t="n">
        <v>46204</v>
      </c>
      <c r="D1521" s="4" t="inlineStr">
        <is>
          <t>Q2FY27</t>
        </is>
      </c>
      <c r="E1521" s="14" t="n">
        <v>2.5621</v>
      </c>
      <c r="F1521" s="7" t="n">
        <v>1661</v>
      </c>
      <c r="G1521" s="14" t="n">
        <v>0.0016</v>
      </c>
      <c r="H1521" s="7" t="n">
        <v>2</v>
      </c>
      <c r="I1521" s="14" t="n">
        <v>2.5637</v>
      </c>
      <c r="J1521" s="7" t="n">
        <v>1663</v>
      </c>
    </row>
    <row r="1522">
      <c r="A1522" s="9" t="n">
        <v>46226</v>
      </c>
      <c r="B1522" s="4" t="inlineStr">
        <is>
          <t>Thursday</t>
        </is>
      </c>
      <c r="C1522" s="8" t="n">
        <v>46204</v>
      </c>
      <c r="D1522" s="4" t="inlineStr">
        <is>
          <t>Q2FY27</t>
        </is>
      </c>
      <c r="E1522" s="14" t="n">
        <v>2.6444</v>
      </c>
      <c r="F1522" s="7" t="n">
        <v>1720</v>
      </c>
      <c r="G1522" s="14" t="n">
        <v>0.0014</v>
      </c>
      <c r="H1522" s="7" t="n">
        <v>3</v>
      </c>
      <c r="I1522" s="14" t="n">
        <v>2.6458</v>
      </c>
      <c r="J1522" s="7" t="n">
        <v>1723</v>
      </c>
    </row>
    <row r="1523">
      <c r="A1523" s="9" t="n">
        <v>46227</v>
      </c>
      <c r="B1523" s="4" t="inlineStr">
        <is>
          <t>Friday</t>
        </is>
      </c>
      <c r="C1523" s="8" t="n">
        <v>46204</v>
      </c>
      <c r="D1523" s="4" t="inlineStr">
        <is>
          <t>Q2FY27</t>
        </is>
      </c>
      <c r="E1523" s="14" t="n">
        <v>2.9428</v>
      </c>
      <c r="F1523" s="7" t="n">
        <v>1916</v>
      </c>
      <c r="G1523" s="14" t="n">
        <v>0.0008</v>
      </c>
      <c r="H1523" s="7" t="n">
        <v>1</v>
      </c>
      <c r="I1523" s="14" t="n">
        <v>2.9436</v>
      </c>
      <c r="J1523" s="7" t="n">
        <v>1917</v>
      </c>
    </row>
    <row r="1524">
      <c r="A1524" s="9" t="n">
        <v>46230</v>
      </c>
      <c r="B1524" s="4" t="inlineStr">
        <is>
          <t>Monday</t>
        </is>
      </c>
      <c r="C1524" s="8" t="n">
        <v>46204</v>
      </c>
      <c r="D1524" s="4" t="inlineStr">
        <is>
          <t>Q2FY27</t>
        </is>
      </c>
      <c r="E1524" s="14" t="n">
        <v>1.8664</v>
      </c>
      <c r="F1524" s="7" t="n">
        <v>1203</v>
      </c>
      <c r="G1524" s="14" t="n">
        <v>0.0004</v>
      </c>
      <c r="H1524" s="7" t="n">
        <v>1</v>
      </c>
      <c r="I1524" s="14" t="n">
        <v>1.8668</v>
      </c>
      <c r="J1524" s="7" t="n">
        <v>1204</v>
      </c>
    </row>
    <row r="1525">
      <c r="A1525" s="9" t="n">
        <v>46231</v>
      </c>
      <c r="B1525" s="4" t="inlineStr">
        <is>
          <t>Tuesday</t>
        </is>
      </c>
      <c r="C1525" s="8" t="n">
        <v>46204</v>
      </c>
      <c r="D1525" s="4" t="inlineStr">
        <is>
          <t>Q2FY27</t>
        </is>
      </c>
      <c r="E1525" s="14" t="n">
        <v>1.5057</v>
      </c>
      <c r="F1525" s="7" t="n">
        <v>973</v>
      </c>
      <c r="G1525" s="14" t="n">
        <v>0.0056</v>
      </c>
      <c r="H1525" s="7" t="n">
        <v>8</v>
      </c>
      <c r="I1525" s="14" t="n">
        <v>1.5113</v>
      </c>
      <c r="J1525" s="7" t="n">
        <v>981</v>
      </c>
    </row>
    <row r="1526">
      <c r="A1526" s="9" t="n">
        <v>46232</v>
      </c>
      <c r="B1526" s="4" t="inlineStr">
        <is>
          <t>Wednesday</t>
        </is>
      </c>
      <c r="C1526" s="8" t="n">
        <v>46204</v>
      </c>
      <c r="D1526" s="4" t="inlineStr">
        <is>
          <t>Q2FY27</t>
        </is>
      </c>
      <c r="E1526" s="14" t="n">
        <v>3.9673</v>
      </c>
      <c r="F1526" s="7" t="n">
        <v>2544</v>
      </c>
      <c r="G1526" s="14" t="n">
        <v>0.0022</v>
      </c>
      <c r="H1526" s="7" t="n">
        <v>4</v>
      </c>
      <c r="I1526" s="14" t="n">
        <v>3.9695</v>
      </c>
      <c r="J1526" s="7" t="n">
        <v>2548</v>
      </c>
    </row>
    <row r="1527">
      <c r="A1527" s="9" t="n">
        <v>46233</v>
      </c>
      <c r="B1527" s="4" t="inlineStr">
        <is>
          <t>Thursday</t>
        </is>
      </c>
      <c r="C1527" s="8" t="n">
        <v>46204</v>
      </c>
      <c r="D1527" s="4" t="inlineStr">
        <is>
          <t>Q2FY27</t>
        </is>
      </c>
      <c r="E1527" s="14" t="n">
        <v>3.5183</v>
      </c>
      <c r="F1527" s="7" t="n">
        <v>2242</v>
      </c>
      <c r="G1527" s="14" t="n">
        <v>0</v>
      </c>
      <c r="H1527" s="7" t="n">
        <v>0</v>
      </c>
      <c r="I1527" s="14" t="n">
        <v>3.5183</v>
      </c>
      <c r="J1527" s="7" t="n">
        <v>2242</v>
      </c>
    </row>
    <row r="1528">
      <c r="A1528" s="9" t="n">
        <v>46234</v>
      </c>
      <c r="B1528" s="4" t="inlineStr">
        <is>
          <t>Friday</t>
        </is>
      </c>
      <c r="C1528" s="8" t="n">
        <v>46204</v>
      </c>
      <c r="D1528" s="4" t="inlineStr">
        <is>
          <t>Q2FY27</t>
        </is>
      </c>
      <c r="E1528" s="14" t="n">
        <v>1.4756</v>
      </c>
      <c r="F1528" s="7" t="n">
        <v>940</v>
      </c>
      <c r="G1528" s="14" t="n">
        <v>0</v>
      </c>
      <c r="H1528" s="7" t="n">
        <v>0</v>
      </c>
      <c r="I1528" s="14" t="n">
        <v>1.4756</v>
      </c>
      <c r="J1528" s="7" t="n">
        <v>940</v>
      </c>
    </row>
    <row r="1529">
      <c r="A1529" s="9" t="n">
        <v>46237</v>
      </c>
      <c r="B1529" s="4" t="inlineStr">
        <is>
          <t>Monday</t>
        </is>
      </c>
      <c r="C1529" s="8" t="n">
        <v>46235</v>
      </c>
      <c r="D1529" s="4" t="inlineStr">
        <is>
          <t>Q2FY27</t>
        </is>
      </c>
      <c r="E1529" s="14" t="n">
        <v>1.4436</v>
      </c>
      <c r="F1529" s="7" t="n">
        <v>913</v>
      </c>
      <c r="G1529" s="14" t="n">
        <v>0.0017</v>
      </c>
      <c r="H1529" s="7" t="n">
        <v>3</v>
      </c>
      <c r="I1529" s="14" t="n">
        <v>1.4453</v>
      </c>
      <c r="J1529" s="7" t="n">
        <v>916</v>
      </c>
    </row>
    <row r="1530">
      <c r="A1530" s="9" t="n">
        <v>46238</v>
      </c>
      <c r="B1530" s="4" t="inlineStr">
        <is>
          <t>Tuesday</t>
        </is>
      </c>
      <c r="C1530" s="8" t="n">
        <v>46235</v>
      </c>
      <c r="D1530" s="4" t="inlineStr">
        <is>
          <t>Q2FY27</t>
        </is>
      </c>
      <c r="E1530" s="14" t="n">
        <v>1.598</v>
      </c>
      <c r="F1530" s="7" t="n">
        <v>1013</v>
      </c>
      <c r="G1530" s="14" t="n">
        <v>0</v>
      </c>
      <c r="H1530" s="7" t="n">
        <v>0</v>
      </c>
      <c r="I1530" s="14" t="n">
        <v>1.598</v>
      </c>
      <c r="J1530" s="7" t="n">
        <v>1013</v>
      </c>
    </row>
    <row r="1531">
      <c r="A1531" s="9" t="n">
        <v>46239</v>
      </c>
      <c r="B1531" s="4" t="inlineStr">
        <is>
          <t>Wednesday</t>
        </is>
      </c>
      <c r="C1531" s="8" t="n">
        <v>46235</v>
      </c>
      <c r="D1531" s="4" t="inlineStr">
        <is>
          <t>Q2FY27</t>
        </is>
      </c>
      <c r="E1531" s="14" t="n">
        <v>2.1584</v>
      </c>
      <c r="F1531" s="7" t="n">
        <v>1366</v>
      </c>
      <c r="G1531" s="14" t="n">
        <v>0.0005</v>
      </c>
      <c r="H1531" s="7" t="n">
        <v>1</v>
      </c>
      <c r="I1531" s="14" t="n">
        <v>2.1589</v>
      </c>
      <c r="J1531" s="7" t="n">
        <v>1367</v>
      </c>
    </row>
    <row r="1532">
      <c r="A1532" s="9" t="n">
        <v>46240</v>
      </c>
      <c r="B1532" s="4" t="inlineStr">
        <is>
          <t>Thursday</t>
        </is>
      </c>
      <c r="C1532" s="8" t="n">
        <v>46235</v>
      </c>
      <c r="D1532" s="4" t="inlineStr">
        <is>
          <t>Q2FY27</t>
        </is>
      </c>
      <c r="E1532" s="14" t="n">
        <v>2.3458</v>
      </c>
      <c r="F1532" s="7" t="n">
        <v>1481</v>
      </c>
      <c r="G1532" s="14" t="n">
        <v>0</v>
      </c>
      <c r="H1532" s="7" t="n">
        <v>0</v>
      </c>
      <c r="I1532" s="14" t="n">
        <v>2.3458</v>
      </c>
      <c r="J1532" s="7" t="n">
        <v>1481</v>
      </c>
    </row>
    <row r="1533">
      <c r="A1533" s="9" t="n">
        <v>46241</v>
      </c>
      <c r="B1533" s="4" t="inlineStr">
        <is>
          <t>Friday</t>
        </is>
      </c>
      <c r="C1533" s="8" t="n">
        <v>46235</v>
      </c>
      <c r="D1533" s="4" t="inlineStr">
        <is>
          <t>Q2FY27</t>
        </is>
      </c>
      <c r="E1533" s="14" t="n">
        <v>1.9115</v>
      </c>
      <c r="F1533" s="7" t="n">
        <v>1210</v>
      </c>
      <c r="G1533" s="14" t="n">
        <v>0.0036</v>
      </c>
      <c r="H1533" s="7" t="n">
        <v>7</v>
      </c>
      <c r="I1533" s="14" t="n">
        <v>1.9151</v>
      </c>
      <c r="J1533" s="7" t="n">
        <v>1217</v>
      </c>
    </row>
    <row r="1534">
      <c r="A1534" s="9" t="n">
        <v>46244</v>
      </c>
      <c r="B1534" s="4" t="inlineStr">
        <is>
          <t>Monday</t>
        </is>
      </c>
      <c r="C1534" s="8" t="n">
        <v>46235</v>
      </c>
      <c r="D1534" s="4" t="inlineStr">
        <is>
          <t>Q2FY27</t>
        </is>
      </c>
      <c r="E1534" s="14" t="n">
        <v>0.9204</v>
      </c>
      <c r="F1534" s="7" t="n">
        <v>583</v>
      </c>
      <c r="G1534" s="14" t="n">
        <v>0</v>
      </c>
      <c r="H1534" s="7" t="n">
        <v>0</v>
      </c>
      <c r="I1534" s="14" t="n">
        <v>0.9204</v>
      </c>
      <c r="J1534" s="7" t="n">
        <v>583</v>
      </c>
    </row>
    <row r="1535">
      <c r="A1535" s="9" t="n">
        <v>46245</v>
      </c>
      <c r="B1535" s="4" t="inlineStr">
        <is>
          <t>Tuesday</t>
        </is>
      </c>
      <c r="C1535" s="8" t="n">
        <v>46235</v>
      </c>
      <c r="D1535" s="4" t="inlineStr">
        <is>
          <t>Q2FY27</t>
        </is>
      </c>
      <c r="E1535" s="14" t="n">
        <v>1.5186</v>
      </c>
      <c r="F1535" s="7" t="n">
        <v>965</v>
      </c>
      <c r="G1535" s="14" t="n">
        <v>0.0018</v>
      </c>
      <c r="H1535" s="7" t="n">
        <v>3</v>
      </c>
      <c r="I1535" s="14" t="n">
        <v>1.5204</v>
      </c>
      <c r="J1535" s="7" t="n">
        <v>968</v>
      </c>
    </row>
    <row r="1536">
      <c r="A1536" s="9" t="n">
        <v>46246</v>
      </c>
      <c r="B1536" s="4" t="inlineStr">
        <is>
          <t>Wednesday</t>
        </is>
      </c>
      <c r="C1536" s="8" t="n">
        <v>46235</v>
      </c>
      <c r="D1536" s="4" t="inlineStr">
        <is>
          <t>Q2FY27</t>
        </is>
      </c>
      <c r="E1536" s="14" t="n">
        <v>2.8217</v>
      </c>
      <c r="F1536" s="7" t="n">
        <v>1803</v>
      </c>
      <c r="G1536" s="14" t="n">
        <v>0.0011</v>
      </c>
      <c r="H1536" s="7" t="n">
        <v>2</v>
      </c>
      <c r="I1536" s="14" t="n">
        <v>2.8228</v>
      </c>
      <c r="J1536" s="7" t="n">
        <v>1805</v>
      </c>
    </row>
    <row r="1537">
      <c r="A1537" s="9" t="n">
        <v>46247</v>
      </c>
      <c r="B1537" s="4" t="inlineStr">
        <is>
          <t>Thursday</t>
        </is>
      </c>
      <c r="C1537" s="8" t="n">
        <v>46235</v>
      </c>
      <c r="D1537" s="4" t="inlineStr">
        <is>
          <t>Q2FY27</t>
        </is>
      </c>
      <c r="E1537" s="14" t="n">
        <v>4.9925</v>
      </c>
      <c r="F1537" s="7" t="n">
        <v>3189</v>
      </c>
      <c r="G1537" s="14" t="n">
        <v>0.0005</v>
      </c>
      <c r="H1537" s="7" t="n">
        <v>1</v>
      </c>
      <c r="I1537" s="14" t="n">
        <v>4.993</v>
      </c>
      <c r="J1537" s="7" t="n">
        <v>3190</v>
      </c>
    </row>
    <row r="1538">
      <c r="A1538" s="9" t="n">
        <v>46248</v>
      </c>
      <c r="B1538" s="4" t="inlineStr">
        <is>
          <t>Friday</t>
        </is>
      </c>
      <c r="C1538" s="8" t="n">
        <v>46235</v>
      </c>
      <c r="D1538" s="4" t="inlineStr">
        <is>
          <t>Q2FY27</t>
        </is>
      </c>
      <c r="E1538" s="14" t="n">
        <v>0.7938</v>
      </c>
      <c r="F1538" s="7" t="n">
        <v>507</v>
      </c>
      <c r="G1538" s="14" t="n">
        <v>0.0057</v>
      </c>
      <c r="H1538" s="7" t="n">
        <v>7</v>
      </c>
      <c r="I1538" s="14" t="n">
        <v>0.7995</v>
      </c>
      <c r="J1538" s="7" t="n">
        <v>514</v>
      </c>
    </row>
    <row r="1539">
      <c r="A1539" s="9" t="n">
        <v>46251</v>
      </c>
      <c r="B1539" s="4" t="inlineStr">
        <is>
          <t>Monday</t>
        </is>
      </c>
      <c r="C1539" s="8" t="n">
        <v>46235</v>
      </c>
      <c r="D1539" s="4" t="inlineStr">
        <is>
          <t>Q2FY27</t>
        </is>
      </c>
      <c r="E1539" s="14" t="n">
        <v>1.3797</v>
      </c>
      <c r="F1539" s="7" t="n">
        <v>883</v>
      </c>
      <c r="G1539" s="14" t="n">
        <v>0.0034</v>
      </c>
      <c r="H1539" s="7" t="n">
        <v>5</v>
      </c>
      <c r="I1539" s="14" t="n">
        <v>1.3831</v>
      </c>
      <c r="J1539" s="7" t="n">
        <v>888</v>
      </c>
    </row>
    <row r="1540">
      <c r="A1540" s="9" t="n">
        <v>46252</v>
      </c>
      <c r="B1540" s="4" t="inlineStr">
        <is>
          <t>Tuesday</t>
        </is>
      </c>
      <c r="C1540" s="8" t="n">
        <v>46235</v>
      </c>
      <c r="D1540" s="4" t="inlineStr">
        <is>
          <t>Q2FY27</t>
        </is>
      </c>
      <c r="E1540" s="14" t="n">
        <v>1.2589</v>
      </c>
      <c r="F1540" s="7" t="n">
        <v>809</v>
      </c>
      <c r="G1540" s="14" t="n">
        <v>0.0017</v>
      </c>
      <c r="H1540" s="7" t="n">
        <v>3</v>
      </c>
      <c r="I1540" s="14" t="n">
        <v>1.2606</v>
      </c>
      <c r="J1540" s="7" t="n">
        <v>812</v>
      </c>
    </row>
    <row r="1541">
      <c r="A1541" s="9" t="n">
        <v>46253</v>
      </c>
      <c r="B1541" s="4" t="inlineStr">
        <is>
          <t>Wednesday</t>
        </is>
      </c>
      <c r="C1541" s="8" t="n">
        <v>46235</v>
      </c>
      <c r="D1541" s="4" t="inlineStr">
        <is>
          <t>Q2FY27</t>
        </is>
      </c>
      <c r="E1541" s="14" t="n">
        <v>2.0298</v>
      </c>
      <c r="F1541" s="7" t="n">
        <v>1310</v>
      </c>
      <c r="G1541" s="14" t="n">
        <v>0.0029</v>
      </c>
      <c r="H1541" s="7" t="n">
        <v>4</v>
      </c>
      <c r="I1541" s="14" t="n">
        <v>2.0327</v>
      </c>
      <c r="J1541" s="7" t="n">
        <v>1314</v>
      </c>
    </row>
    <row r="1542">
      <c r="A1542" s="9" t="n">
        <v>46254</v>
      </c>
      <c r="B1542" s="4" t="inlineStr">
        <is>
          <t>Thursday</t>
        </is>
      </c>
      <c r="C1542" s="8" t="n">
        <v>46235</v>
      </c>
      <c r="D1542" s="4" t="inlineStr">
        <is>
          <t>Q2FY27</t>
        </is>
      </c>
      <c r="E1542" s="14" t="n">
        <v>2.1215</v>
      </c>
      <c r="F1542" s="7" t="n">
        <v>1362</v>
      </c>
      <c r="G1542" s="14" t="n">
        <v>0.0047</v>
      </c>
      <c r="H1542" s="7" t="n">
        <v>8</v>
      </c>
      <c r="I1542" s="14" t="n">
        <v>2.1262</v>
      </c>
      <c r="J1542" s="7" t="n">
        <v>1370</v>
      </c>
    </row>
    <row r="1543">
      <c r="A1543" s="9" t="n">
        <v>46255</v>
      </c>
      <c r="B1543" s="4" t="inlineStr">
        <is>
          <t>Friday</t>
        </is>
      </c>
      <c r="C1543" s="8" t="n">
        <v>46235</v>
      </c>
      <c r="D1543" s="4" t="inlineStr">
        <is>
          <t>Q2FY27</t>
        </is>
      </c>
      <c r="E1543" s="14" t="n">
        <v>0.973</v>
      </c>
      <c r="F1543" s="7" t="n">
        <v>624</v>
      </c>
      <c r="G1543" s="14" t="n">
        <v>0.0081</v>
      </c>
      <c r="H1543" s="7" t="n">
        <v>12</v>
      </c>
      <c r="I1543" s="14" t="n">
        <v>0.9811</v>
      </c>
      <c r="J1543" s="7" t="n">
        <v>636</v>
      </c>
    </row>
    <row r="1544">
      <c r="A1544" s="9" t="n">
        <v>46258</v>
      </c>
      <c r="B1544" s="4" t="inlineStr">
        <is>
          <t>Monday</t>
        </is>
      </c>
      <c r="C1544" s="8" t="n">
        <v>46235</v>
      </c>
      <c r="D1544" s="4" t="inlineStr">
        <is>
          <t>Q2FY27</t>
        </is>
      </c>
      <c r="E1544" s="14" t="n">
        <v>1.3806</v>
      </c>
      <c r="F1544" s="7" t="n">
        <v>886</v>
      </c>
      <c r="G1544" s="14" t="n">
        <v>0.006</v>
      </c>
      <c r="H1544" s="7" t="n">
        <v>10</v>
      </c>
      <c r="I1544" s="14" t="n">
        <v>1.3866</v>
      </c>
      <c r="J1544" s="7" t="n">
        <v>896</v>
      </c>
    </row>
    <row r="1545">
      <c r="A1545" s="9" t="n">
        <v>46259</v>
      </c>
      <c r="B1545" s="4" t="inlineStr">
        <is>
          <t>Tuesday</t>
        </is>
      </c>
      <c r="C1545" s="8" t="n">
        <v>46235</v>
      </c>
      <c r="D1545" s="4" t="inlineStr">
        <is>
          <t>Q2FY27</t>
        </is>
      </c>
      <c r="E1545" s="14" t="n">
        <v>2.2876</v>
      </c>
      <c r="F1545" s="7" t="n">
        <v>1467</v>
      </c>
      <c r="G1545" s="14" t="n">
        <v>0.0075</v>
      </c>
      <c r="H1545" s="7" t="n">
        <v>11</v>
      </c>
      <c r="I1545" s="14" t="n">
        <v>2.2951</v>
      </c>
      <c r="J1545" s="7" t="n">
        <v>1478</v>
      </c>
    </row>
    <row r="1546">
      <c r="A1546" s="9" t="n">
        <v>46260</v>
      </c>
      <c r="B1546" s="4" t="inlineStr">
        <is>
          <t>Wednesday</t>
        </is>
      </c>
      <c r="C1546" s="8" t="n">
        <v>46235</v>
      </c>
      <c r="D1546" s="4" t="inlineStr">
        <is>
          <t>Q2FY27</t>
        </is>
      </c>
      <c r="E1546" s="14" t="n">
        <v>2.9388</v>
      </c>
      <c r="F1546" s="7" t="n">
        <v>1878</v>
      </c>
      <c r="G1546" s="14" t="n">
        <v>0.0108</v>
      </c>
      <c r="H1546" s="7" t="n">
        <v>15</v>
      </c>
      <c r="I1546" s="14" t="n">
        <v>2.9496</v>
      </c>
      <c r="J1546" s="7" t="n">
        <v>1893</v>
      </c>
    </row>
    <row r="1547">
      <c r="A1547" s="9" t="n">
        <v>46261</v>
      </c>
      <c r="B1547" s="4" t="inlineStr">
        <is>
          <t>Thursday</t>
        </is>
      </c>
      <c r="C1547" s="8" t="n">
        <v>46235</v>
      </c>
      <c r="D1547" s="4" t="inlineStr">
        <is>
          <t>Q2FY27</t>
        </is>
      </c>
      <c r="E1547" s="14" t="n">
        <v>6.7573</v>
      </c>
      <c r="F1547" s="7" t="n">
        <v>4350</v>
      </c>
      <c r="G1547" s="14" t="n">
        <v>0.0106</v>
      </c>
      <c r="H1547" s="7" t="n">
        <v>15</v>
      </c>
      <c r="I1547" s="14" t="n">
        <v>6.7679</v>
      </c>
      <c r="J1547" s="7" t="n">
        <v>4365</v>
      </c>
    </row>
    <row r="1548">
      <c r="A1548" s="9" t="n">
        <v>46262</v>
      </c>
      <c r="B1548" s="4" t="inlineStr">
        <is>
          <t>Friday</t>
        </is>
      </c>
      <c r="C1548" s="8" t="n">
        <v>46235</v>
      </c>
      <c r="D1548" s="4" t="inlineStr">
        <is>
          <t>Q2FY27</t>
        </is>
      </c>
      <c r="E1548" s="14" t="n">
        <v>1.3645</v>
      </c>
      <c r="F1548" s="7" t="n">
        <v>871</v>
      </c>
      <c r="G1548" s="14" t="n">
        <v>0.0146</v>
      </c>
      <c r="H1548" s="7" t="n">
        <v>26</v>
      </c>
      <c r="I1548" s="14" t="n">
        <v>1.3791</v>
      </c>
      <c r="J1548" s="7" t="n">
        <v>897</v>
      </c>
    </row>
    <row r="1549">
      <c r="A1549" s="9" t="n">
        <v>46265</v>
      </c>
      <c r="B1549" s="4" t="inlineStr">
        <is>
          <t>Monday</t>
        </is>
      </c>
      <c r="C1549" s="8" t="n">
        <v>46235</v>
      </c>
      <c r="D1549" s="4" t="inlineStr">
        <is>
          <t>Q2FY27</t>
        </is>
      </c>
      <c r="E1549" s="14" t="n">
        <v>1.291</v>
      </c>
      <c r="F1549" s="7" t="n">
        <v>828</v>
      </c>
      <c r="G1549" s="14" t="n">
        <v>0.011</v>
      </c>
      <c r="H1549" s="7" t="n">
        <v>19</v>
      </c>
      <c r="I1549" s="14" t="n">
        <v>1.302</v>
      </c>
      <c r="J1549" s="7" t="n">
        <v>847</v>
      </c>
    </row>
    <row r="1550">
      <c r="A1550" s="9" t="n">
        <v>46266</v>
      </c>
      <c r="B1550" s="4" t="inlineStr">
        <is>
          <t>Tuesday</t>
        </is>
      </c>
      <c r="C1550" s="8" t="n">
        <v>46266</v>
      </c>
      <c r="D1550" s="4" t="inlineStr">
        <is>
          <t>Q2FY27</t>
        </is>
      </c>
      <c r="E1550" s="14" t="n">
        <v>1.4348</v>
      </c>
      <c r="F1550" s="7" t="n">
        <v>923</v>
      </c>
      <c r="G1550" s="14" t="n">
        <v>0.0023</v>
      </c>
      <c r="H1550" s="7" t="n">
        <v>3</v>
      </c>
      <c r="I1550" s="14" t="n">
        <v>1.4371</v>
      </c>
      <c r="J1550" s="7" t="n">
        <v>926</v>
      </c>
    </row>
    <row r="1551">
      <c r="A1551" s="9" t="n">
        <v>46267</v>
      </c>
      <c r="B1551" s="4" t="inlineStr">
        <is>
          <t>Wednesday</t>
        </is>
      </c>
      <c r="C1551" s="8" t="n">
        <v>46266</v>
      </c>
      <c r="D1551" s="4" t="inlineStr">
        <is>
          <t>Q2FY27</t>
        </is>
      </c>
      <c r="E1551" s="14" t="n">
        <v>1.5567</v>
      </c>
      <c r="F1551" s="7" t="n">
        <v>1011</v>
      </c>
      <c r="G1551" s="14" t="n">
        <v>0.0111</v>
      </c>
      <c r="H1551" s="7" t="n">
        <v>12</v>
      </c>
      <c r="I1551" s="14" t="n">
        <v>1.5678</v>
      </c>
      <c r="J1551" s="7" t="n">
        <v>1023</v>
      </c>
    </row>
    <row r="1552">
      <c r="A1552" s="9" t="n">
        <v>46268</v>
      </c>
      <c r="B1552" s="4" t="inlineStr">
        <is>
          <t>Thursday</t>
        </is>
      </c>
      <c r="C1552" s="8" t="n">
        <v>46266</v>
      </c>
      <c r="D1552" s="4" t="inlineStr">
        <is>
          <t>Q2FY27</t>
        </is>
      </c>
      <c r="E1552" s="14" t="n">
        <v>2.7849</v>
      </c>
      <c r="F1552" s="7" t="n">
        <v>1805</v>
      </c>
      <c r="G1552" s="14" t="n">
        <v>0.0014</v>
      </c>
      <c r="H1552" s="7" t="n">
        <v>2</v>
      </c>
      <c r="I1552" s="14" t="n">
        <v>2.7863</v>
      </c>
      <c r="J1552" s="7" t="n">
        <v>1807</v>
      </c>
    </row>
    <row r="1553">
      <c r="A1553" s="9" t="n">
        <v>46269</v>
      </c>
      <c r="B1553" s="4" t="inlineStr">
        <is>
          <t>Friday</t>
        </is>
      </c>
      <c r="C1553" s="8" t="n">
        <v>46266</v>
      </c>
      <c r="D1553" s="4" t="inlineStr">
        <is>
          <t>Q2FY27</t>
        </is>
      </c>
      <c r="E1553" s="14" t="n">
        <v>1.3465</v>
      </c>
      <c r="F1553" s="7" t="n">
        <v>872</v>
      </c>
      <c r="G1553" s="14" t="n">
        <v>0.002</v>
      </c>
      <c r="H1553" s="7" t="n">
        <v>3</v>
      </c>
      <c r="I1553" s="14" t="n">
        <v>1.3485</v>
      </c>
      <c r="J1553" s="7" t="n">
        <v>875</v>
      </c>
    </row>
    <row r="1554">
      <c r="A1554" s="9" t="n">
        <v>46272</v>
      </c>
      <c r="B1554" s="4" t="inlineStr">
        <is>
          <t>Monday</t>
        </is>
      </c>
      <c r="C1554" s="8" t="n">
        <v>46266</v>
      </c>
      <c r="D1554" s="4" t="inlineStr">
        <is>
          <t>Q2FY27</t>
        </is>
      </c>
      <c r="E1554" s="14" t="n">
        <v>1.3968</v>
      </c>
      <c r="F1554" s="7" t="n">
        <v>906</v>
      </c>
      <c r="G1554" s="14" t="n">
        <v>0.0026</v>
      </c>
      <c r="H1554" s="7" t="n">
        <v>4</v>
      </c>
      <c r="I1554" s="14" t="n">
        <v>1.3994</v>
      </c>
      <c r="J1554" s="7" t="n">
        <v>910</v>
      </c>
    </row>
    <row r="1555">
      <c r="A1555" s="9" t="n">
        <v>46273</v>
      </c>
      <c r="B1555" s="4" t="inlineStr">
        <is>
          <t>Tuesday</t>
        </is>
      </c>
      <c r="C1555" s="8" t="n">
        <v>46266</v>
      </c>
      <c r="D1555" s="4" t="inlineStr">
        <is>
          <t>Q2FY27</t>
        </is>
      </c>
      <c r="E1555" s="14" t="n">
        <v>1.8286</v>
      </c>
      <c r="F1555" s="7" t="n">
        <v>1194</v>
      </c>
      <c r="G1555" s="14" t="n">
        <v>0.0011</v>
      </c>
      <c r="H1555" s="7" t="n">
        <v>2</v>
      </c>
      <c r="I1555" s="14" t="n">
        <v>1.8297</v>
      </c>
      <c r="J1555" s="7" t="n">
        <v>1196</v>
      </c>
    </row>
    <row r="1556">
      <c r="A1556" s="9" t="n">
        <v>46274</v>
      </c>
      <c r="B1556" s="4" t="inlineStr">
        <is>
          <t>Wednesday</t>
        </is>
      </c>
      <c r="C1556" s="8" t="n">
        <v>46266</v>
      </c>
      <c r="D1556" s="4" t="inlineStr">
        <is>
          <t>Q2FY27</t>
        </is>
      </c>
      <c r="E1556" s="14" t="n">
        <v>3.297</v>
      </c>
      <c r="F1556" s="7" t="n">
        <v>2174</v>
      </c>
      <c r="G1556" s="14" t="n">
        <v>0.0023</v>
      </c>
      <c r="H1556" s="7" t="n">
        <v>4</v>
      </c>
      <c r="I1556" s="14" t="n">
        <v>3.2993</v>
      </c>
      <c r="J1556" s="7" t="n">
        <v>2178</v>
      </c>
    </row>
    <row r="1557">
      <c r="A1557" s="9" t="n">
        <v>46275</v>
      </c>
      <c r="B1557" s="4" t="inlineStr">
        <is>
          <t>Thursday</t>
        </is>
      </c>
      <c r="C1557" s="8" t="n">
        <v>46266</v>
      </c>
      <c r="D1557" s="4" t="inlineStr">
        <is>
          <t>Q2FY27</t>
        </is>
      </c>
      <c r="E1557" s="14" t="n">
        <v>2.8399</v>
      </c>
      <c r="F1557" s="7" t="n">
        <v>1881</v>
      </c>
      <c r="G1557" s="14" t="n">
        <v>0.002</v>
      </c>
      <c r="H1557" s="7" t="n">
        <v>3</v>
      </c>
      <c r="I1557" s="14" t="n">
        <v>2.8419</v>
      </c>
      <c r="J1557" s="7" t="n">
        <v>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2026-09-11T05:12:10Z</dcterms:created>
  <dcterms:modified xsi:type="dcterms:W3CDTF">2026-09-11T05:12:12Z</dcterms:modified>
</cp:coreProperties>
</file>