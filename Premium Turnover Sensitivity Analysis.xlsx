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heck" sheetId="1" state="visible" r:id="rId1"/>
    <sheet name="Key Findings" sheetId="2" state="visible" r:id="rId2"/>
    <sheet name="Terminology" sheetId="3" state="visible" r:id="rId3"/>
    <sheet name="Assumptions" sheetId="4" state="visible" r:id="rId4"/>
    <sheet name="BS Engine" sheetId="5" state="visible" r:id="rId5"/>
    <sheet name="Premium Grid" sheetId="6" state="visible" r:id="rId6"/>
    <sheet name="Change vs Base" sheetId="7" state="visible" r:id="rId7"/>
    <sheet name="VIX Sensitivity" sheetId="8" state="visible" r:id="rId8"/>
    <sheet name="VIX x DTE Gri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0000000"/>
    <numFmt numFmtId="165" formatCode="+0.00%;-0.00%;&quot;ATM&quot;"/>
    <numFmt numFmtId="166" formatCode="0.0000"/>
    <numFmt numFmtId="167" formatCode="0.0%"/>
    <numFmt numFmtId="168" formatCode="#,##0.0000"/>
    <numFmt numFmtId="169" formatCode="0.0"/>
    <numFmt numFmtId="170" formatCode="+0.0%;-0.0%;0.0%"/>
    <numFmt numFmtId="171" formatCode="#,##0.0"/>
    <numFmt numFmtId="172" formatCode="+#,##0.0%;-#,##0.0%"/>
    <numFmt numFmtId="173" formatCode="+0.0%;-0.0%"/>
    <numFmt numFmtId="174" formatCode="#,##0.000000"/>
    <numFmt numFmtId="175" formatCode="#,##0.00000000"/>
  </numFmts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b val="1"/>
      <sz val="13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BDD7EE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medium">
        <color rgb="00808080"/>
      </left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6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  <xf numFmtId="0" fontId="1" fillId="8" borderId="0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2" fillId="0" borderId="0" pivotButton="0" quotePrefix="0" xfId="0"/>
    <xf numFmtId="3" fontId="2" fillId="3" borderId="0" pivotButton="0" quotePrefix="0" xfId="0"/>
    <xf numFmtId="3" fontId="2" fillId="4" borderId="0" pivotButton="0" quotePrefix="0" xfId="0"/>
    <xf numFmtId="3" fontId="2" fillId="0" borderId="0" pivotButton="0" quotePrefix="0" xfId="0"/>
    <xf numFmtId="0" fontId="1" fillId="7" borderId="0" applyAlignment="1" pivotButton="0" quotePrefix="0" xfId="0">
      <alignment horizontal="center" wrapText="1"/>
    </xf>
    <xf numFmtId="174" fontId="2" fillId="3" borderId="0" pivotButton="0" quotePrefix="0" xfId="0"/>
    <xf numFmtId="174" fontId="2" fillId="4" borderId="0" pivotButton="0" quotePrefix="0" xfId="0"/>
    <xf numFmtId="174" fontId="2" fillId="0" borderId="0" pivotButton="0" quotePrefix="0" xfId="0"/>
    <xf numFmtId="175" fontId="2" fillId="3" borderId="0" pivotButton="0" quotePrefix="0" xfId="0"/>
    <xf numFmtId="175" fontId="2" fillId="4" borderId="0" pivotButton="0" quotePrefix="0" xfId="0"/>
    <xf numFmtId="175" fontId="2" fillId="0" borderId="0" pivotButton="0" quotePrefix="0" xfId="0"/>
    <xf numFmtId="168" fontId="2" fillId="3" borderId="0" pivotButton="0" quotePrefix="0" xfId="0"/>
    <xf numFmtId="168" fontId="2" fillId="4" borderId="0" pivotButton="0" quotePrefix="0" xfId="0"/>
    <xf numFmtId="168" fontId="2" fillId="0" borderId="0" pivotButton="0" quotePrefix="0" xfId="0"/>
    <xf numFmtId="0" fontId="1" fillId="0" borderId="0" pivotButton="0" quotePrefix="0" xfId="0"/>
    <xf numFmtId="0" fontId="1" fillId="7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6" borderId="0" pivotButton="0" quotePrefix="0" xfId="0"/>
    <xf numFmtId="0" fontId="2" fillId="3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4" fontId="2" fillId="3" borderId="0" pivotButton="0" quotePrefix="0" xfId="0"/>
    <xf numFmtId="172" fontId="2" fillId="3" borderId="0" pivotButton="0" quotePrefix="0" xfId="0"/>
    <xf numFmtId="167" fontId="2" fillId="4" borderId="0" pivotButton="0" quotePrefix="0" xfId="0"/>
    <xf numFmtId="4" fontId="2" fillId="4" borderId="0" pivotButton="0" quotePrefix="0" xfId="0"/>
    <xf numFmtId="173" fontId="2" fillId="4" borderId="0" pivotButton="0" quotePrefix="0" xfId="0"/>
    <xf numFmtId="0" fontId="1" fillId="4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0" borderId="0" applyAlignment="1" pivotButton="0" quotePrefix="0" xfId="0">
      <alignment vertical="top" wrapText="1"/>
    </xf>
    <xf numFmtId="0" fontId="5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10" fontId="2" fillId="3" borderId="0" pivotButton="0" quotePrefix="0" xfId="0"/>
    <xf numFmtId="164" fontId="2" fillId="4" borderId="0" pivotButton="0" quotePrefix="0" xfId="0"/>
    <xf numFmtId="0" fontId="1" fillId="3" borderId="0" pivotButton="0" quotePrefix="0" xfId="0"/>
    <xf numFmtId="165" fontId="1" fillId="0" borderId="0" applyAlignment="1" pivotButton="0" quotePrefix="0" xfId="0">
      <alignment horizontal="center" wrapText="1"/>
    </xf>
    <xf numFmtId="4" fontId="2" fillId="7" borderId="0" pivotButton="0" quotePrefix="0" xfId="0"/>
    <xf numFmtId="166" fontId="2" fillId="4" borderId="0" pivotButton="0" quotePrefix="0" xfId="0"/>
    <xf numFmtId="4" fontId="2" fillId="3" borderId="1" pivotButton="0" quotePrefix="0" xfId="0"/>
    <xf numFmtId="166" fontId="2" fillId="4" borderId="1" pivotButton="0" quotePrefix="0" xfId="0"/>
    <xf numFmtId="169" fontId="1" fillId="6" borderId="0" applyAlignment="1" pivotButton="0" quotePrefix="0" xfId="0">
      <alignment horizontal="center" wrapText="1"/>
    </xf>
    <xf numFmtId="170" fontId="2" fillId="4" borderId="1" pivotButton="0" quotePrefix="0" xfId="0"/>
    <xf numFmtId="170" fontId="2" fillId="4" borderId="0" pivotButton="0" quotePrefix="0" xfId="0"/>
    <xf numFmtId="4" fontId="2" fillId="4" borderId="1" pivotButton="0" quotePrefix="0" xfId="0"/>
    <xf numFmtId="170" fontId="2" fillId="3" borderId="1" pivotButton="0" quotePrefix="0" xfId="0"/>
    <xf numFmtId="170" fontId="2" fillId="3" borderId="0" pivotButton="0" quotePrefix="0" xfId="0"/>
    <xf numFmtId="171" fontId="1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Elasticity to IV by moneyness (calls)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'BS Engine'!P1</f>
            </strRef>
          </tx>
          <spPr>
            <a:ln>
              <a:prstDash val="solid"/>
            </a:ln>
          </spPr>
          <cat>
            <numRef>
              <f>'Premium Grid'!$A$4:$A$20</f>
            </numRef>
          </cat>
          <val>
            <numRef>
              <f>'BS Engine'!$P$2:$P$18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Moneyness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% premium change per 1% relative IV change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Premium per contract vs VIX - log scale</a:t>
            </a:r>
          </a:p>
        </rich>
      </tx>
    </title>
    <plotArea>
      <lineChart>
        <grouping val="standard"/>
        <ser>
          <idx val="0"/>
          <order val="0"/>
          <tx>
            <v>-2.00%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'Premium Grid'!$D$3:$AV$3</f>
            </numRef>
          </cat>
          <val>
            <numRef>
              <f>'Premium Grid'!$D$4:$AV$4</f>
            </numRef>
          </val>
        </ser>
        <ser>
          <idx val="1"/>
          <order val="1"/>
          <tx>
            <v>-1.00%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'Premium Grid'!$D$3:$AV$3</f>
            </numRef>
          </cat>
          <val>
            <numRef>
              <f>'Premium Grid'!$D$8:$AV$8</f>
            </numRef>
          </val>
        </ser>
        <ser>
          <idx val="2"/>
          <order val="2"/>
          <tx>
            <v>ATM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'Premium Grid'!$D$3:$AV$3</f>
            </numRef>
          </cat>
          <val>
            <numRef>
              <f>'Premium Grid'!$D$12:$AV$12</f>
            </numRef>
          </val>
        </ser>
        <ser>
          <idx val="3"/>
          <order val="3"/>
          <tx>
            <v>+1.00%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'Premium Grid'!$D$3:$AV$3</f>
            </numRef>
          </cat>
          <val>
            <numRef>
              <f>'Premium Grid'!$D$16:$AV$16</f>
            </numRef>
          </val>
        </ser>
        <ser>
          <idx val="4"/>
          <order val="4"/>
          <tx>
            <v>+2.00%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'Premium Grid'!$D$3:$AV$3</f>
            </numRef>
          </cat>
          <val>
            <numRef>
              <f>'Premium Grid'!$D$20:$AV$20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/>
              <a:p>
                <a:pPr>
                  <a:defRPr/>
                </a:pPr>
                <a:r>
                  <a:t>VIX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logBase val="10"/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INR per contract (log)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75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22</row>
      <rowOff>0</rowOff>
    </from>
    <ext cx="756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4" customWidth="1" min="2" max="2"/>
    <col width="22" customWidth="1" min="3" max="3"/>
    <col width="24" customWidth="1" min="4" max="4"/>
    <col width="18" customWidth="1" min="5" max="5"/>
    <col width="16" customWidth="1" min="6" max="6"/>
    <col width="12" customWidth="1" min="7" max="7"/>
  </cols>
  <sheetData>
    <row r="1">
      <c r="A1" s="1" t="inlineStr">
        <is>
          <t>#</t>
        </is>
      </c>
      <c r="B1" s="1" t="inlineStr">
        <is>
          <t>Check</t>
        </is>
      </c>
      <c r="C1" s="2" t="inlineStr">
        <is>
          <t>Live Result</t>
        </is>
      </c>
      <c r="D1" s="3" t="inlineStr">
        <is>
          <t>Expected / Python</t>
        </is>
      </c>
      <c r="E1" s="1" t="inlineStr">
        <is>
          <t>Difference</t>
        </is>
      </c>
      <c r="F1" s="1" t="inlineStr">
        <is>
          <t>Tolerance</t>
        </is>
      </c>
      <c r="G1" s="4" t="inlineStr">
        <is>
          <t>Status</t>
        </is>
      </c>
    </row>
    <row r="2">
      <c r="A2" s="5" t="n">
        <v>1</v>
      </c>
      <c r="B2" s="6" t="inlineStr">
        <is>
          <t>Strike ladder spans -2.00% to +2.00% in 0.25% steps (17 strikes)</t>
        </is>
      </c>
      <c r="C2" s="7">
        <f>COUNT('BS Engine'!$A$2:$A$18)</f>
        <v/>
      </c>
      <c r="D2" s="8" t="n">
        <v>17</v>
      </c>
      <c r="E2" s="9">
        <f>C2-D2</f>
        <v/>
      </c>
      <c r="F2" s="9" t="n">
        <v>0</v>
      </c>
      <c r="G2" s="10">
        <f>IF(ABS(E2)&lt;=F2,"OK","CHECK")</f>
        <v/>
      </c>
    </row>
    <row r="3">
      <c r="A3" s="5" t="n">
        <v>2</v>
      </c>
      <c r="B3" s="6" t="inlineStr">
        <is>
          <t>ATM strike equals spot exactly</t>
        </is>
      </c>
      <c r="C3" s="11">
        <f>'BS Engine'!$B$10</f>
        <v/>
      </c>
      <c r="D3" s="12">
        <f>Assumptions!$B$2</f>
        <v/>
      </c>
      <c r="E3" s="13">
        <f>C3-D3</f>
        <v/>
      </c>
      <c r="F3" s="13" t="n">
        <v>1e-09</v>
      </c>
      <c r="G3" s="10">
        <f>IF(ABS(E3)&lt;=F3,"OK","CHECK")</f>
        <v/>
      </c>
    </row>
    <row r="4">
      <c r="A4" s="5" t="n">
        <v>3</v>
      </c>
      <c r="B4" s="6" t="inlineStr">
        <is>
          <t>+2.00% strike = spot x 1.0200</t>
        </is>
      </c>
      <c r="C4" s="11">
        <f>'BS Engine'!$B$18</f>
        <v/>
      </c>
      <c r="D4" s="12">
        <f>Assumptions!$B$2*1.02</f>
        <v/>
      </c>
      <c r="E4" s="13">
        <f>C4-D4</f>
        <v/>
      </c>
      <c r="F4" s="13" t="n">
        <v>1e-09</v>
      </c>
      <c r="G4" s="10">
        <f>IF(ABS(E4)&lt;=F4,"OK","CHECK")</f>
        <v/>
      </c>
    </row>
    <row r="5">
      <c r="A5" s="5" t="n">
        <v>4</v>
      </c>
      <c r="B5" s="6" t="inlineStr">
        <is>
          <t>Strike step is a constant 0.25% of spot across the ladder</t>
        </is>
      </c>
      <c r="C5" s="7">
        <f>SUMPRODUCT(--(ABS('BS Engine'!$B$3:$B$18-'BS Engine'!$B$2:$B$17-Assumptions!$B$2*0.0025)&lt;=0.000001))</f>
        <v/>
      </c>
      <c r="D5" s="8" t="n">
        <v>16</v>
      </c>
      <c r="E5" s="9">
        <f>C5-D5</f>
        <v/>
      </c>
      <c r="F5" s="9" t="n">
        <v>0</v>
      </c>
      <c r="G5" s="10">
        <f>IF(ABS(E5)&lt;=F5,"OK","CHECK")</f>
        <v/>
      </c>
    </row>
    <row r="6">
      <c r="A6" s="5" t="n">
        <v>5</v>
      </c>
      <c r="B6" s="6" t="inlineStr">
        <is>
          <t>ATM call per contract at base VIX (INR) vs Python</t>
        </is>
      </c>
      <c r="C6" s="14">
        <f>'BS Engine'!$G$10</f>
        <v/>
      </c>
      <c r="D6" s="15" t="n">
        <v>5876.377468775427</v>
      </c>
      <c r="E6" s="16">
        <f>C6-D6</f>
        <v/>
      </c>
      <c r="F6" s="16" t="n">
        <v>1e-08</v>
      </c>
      <c r="G6" s="10">
        <f>IF(ABS(E6)&lt;=F6,"OK","CHECK")</f>
        <v/>
      </c>
    </row>
    <row r="7">
      <c r="A7" s="5" t="n">
        <v>6</v>
      </c>
      <c r="B7" s="6" t="inlineStr">
        <is>
          <t>+2.00% OTM call per contract at base VIX (INR) vs Python</t>
        </is>
      </c>
      <c r="C7" s="14">
        <f>'BS Engine'!$G$18</f>
        <v/>
      </c>
      <c r="D7" s="15" t="n">
        <v>70.47577670385834</v>
      </c>
      <c r="E7" s="16">
        <f>C7-D7</f>
        <v/>
      </c>
      <c r="F7" s="16" t="n">
        <v>1e-08</v>
      </c>
      <c r="G7" s="10">
        <f>IF(ABS(E7)&lt;=F7,"OK","CHECK")</f>
        <v/>
      </c>
    </row>
    <row r="8">
      <c r="A8" s="5" t="n">
        <v>7</v>
      </c>
      <c r="B8" s="6" t="inlineStr">
        <is>
          <t>-2.00% ITM call per contract at base VIX (INR) vs Python</t>
        </is>
      </c>
      <c r="C8" s="14">
        <f>'BS Engine'!$G$2</f>
        <v/>
      </c>
      <c r="D8" s="15" t="n">
        <v>32351.25485430784</v>
      </c>
      <c r="E8" s="16">
        <f>C8-D8</f>
        <v/>
      </c>
      <c r="F8" s="16" t="n">
        <v>1e-08</v>
      </c>
      <c r="G8" s="10">
        <f>IF(ABS(E8)&lt;=F8,"OK","CHECK")</f>
        <v/>
      </c>
    </row>
    <row r="9">
      <c r="A9" s="5" t="n">
        <v>8</v>
      </c>
      <c r="B9" s="6" t="inlineStr">
        <is>
          <t>ATM vega per contract per VIX point (INR) vs Python</t>
        </is>
      </c>
      <c r="C9" s="14">
        <f>'BS Engine'!$N$10</f>
        <v/>
      </c>
      <c r="D9" s="15" t="n">
        <v>469.9266421416166</v>
      </c>
      <c r="E9" s="16">
        <f>C9-D9</f>
        <v/>
      </c>
      <c r="F9" s="16" t="n">
        <v>1e-08</v>
      </c>
      <c r="G9" s="10">
        <f>IF(ABS(E9)&lt;=F9,"OK","CHECK")</f>
        <v/>
      </c>
    </row>
    <row r="10">
      <c r="A10" s="5" t="n">
        <v>9</v>
      </c>
      <c r="B10" s="6" t="inlineStr">
        <is>
          <t>Premium = intrinsic + time value, all 21 strikes</t>
        </is>
      </c>
      <c r="C10" s="14">
        <f>SUMPRODUCT(ABS('BS Engine'!$F$2:$F$18-'BS Engine'!$H$2:$H$18-'BS Engine'!$I$2:$I$18))</f>
        <v/>
      </c>
      <c r="D10" s="15" t="n">
        <v>0</v>
      </c>
      <c r="E10" s="16">
        <f>C10-D10</f>
        <v/>
      </c>
      <c r="F10" s="16" t="n">
        <v>1e-09</v>
      </c>
      <c r="G10" s="10">
        <f>IF(ABS(E10)&lt;=F10,"OK","CHECK")</f>
        <v/>
      </c>
    </row>
    <row r="11">
      <c r="A11" s="5" t="n">
        <v>10</v>
      </c>
      <c r="B11" s="6" t="inlineStr">
        <is>
          <t>Deepest ITM (-2.00%) intrinsic = spot - strike</t>
        </is>
      </c>
      <c r="C11" s="11">
        <f>'BS Engine'!$H$2</f>
        <v/>
      </c>
      <c r="D11" s="12">
        <f>Assumptions!$B$2-'BS Engine'!$B$2</f>
        <v/>
      </c>
      <c r="E11" s="13">
        <f>C11-D11</f>
        <v/>
      </c>
      <c r="F11" s="13" t="n">
        <v>1e-09</v>
      </c>
      <c r="G11" s="10">
        <f>IF(ABS(E11)&lt;=F11,"OK","CHECK")</f>
        <v/>
      </c>
    </row>
    <row r="12">
      <c r="A12" s="5" t="n">
        <v>11</v>
      </c>
      <c r="B12" s="6" t="inlineStr">
        <is>
          <t>Every OTM strike has zero intrinsic value</t>
        </is>
      </c>
      <c r="C12" s="14">
        <f>SUMPRODUCT(ABS('BS Engine'!$H$10:$H$18))</f>
        <v/>
      </c>
      <c r="D12" s="15" t="n">
        <v>0</v>
      </c>
      <c r="E12" s="16">
        <f>C12-D12</f>
        <v/>
      </c>
      <c r="F12" s="16" t="n">
        <v>1e-09</v>
      </c>
      <c r="G12" s="10">
        <f>IF(ABS(E12)&lt;=F12,"OK","CHECK")</f>
        <v/>
      </c>
    </row>
    <row r="13">
      <c r="A13" s="5" t="n">
        <v>12</v>
      </c>
      <c r="B13" s="6" t="inlineStr">
        <is>
          <t>Call price never below its lower bound MAX(0, S.e^-qT - K.e^-rT)</t>
        </is>
      </c>
      <c r="C13" s="7">
        <f>SUMPRODUCT(--('BS Engine'!$F$2:$F$18&gt;=MAX(0,Assumptions!$B$2*EXP(-Assumptions!$B$4*Assumptions!$B$9)-'BS Engine'!$B$2:$B$18*EXP(-Assumptions!$B$3*Assumptions!$B$9))-0.000001))</f>
        <v/>
      </c>
      <c r="D13" s="8" t="n">
        <v>17</v>
      </c>
      <c r="E13" s="9">
        <f>C13-D13</f>
        <v/>
      </c>
      <c r="F13" s="9" t="n">
        <v>0</v>
      </c>
      <c r="G13" s="10">
        <f>IF(ABS(E13)&lt;=F13,"OK","CHECK")</f>
        <v/>
      </c>
    </row>
    <row r="14">
      <c r="A14" s="5" t="n">
        <v>13</v>
      </c>
      <c r="B14" s="6" t="inlineStr">
        <is>
          <t>Call price never above its upper bound S.e^-qT</t>
        </is>
      </c>
      <c r="C14" s="7">
        <f>SUMPRODUCT(--('BS Engine'!$F$2:$F$18&lt;=Assumptions!$B$2*EXP(-Assumptions!$B$4*Assumptions!$B$9)))</f>
        <v/>
      </c>
      <c r="D14" s="8" t="n">
        <v>17</v>
      </c>
      <c r="E14" s="9">
        <f>C14-D14</f>
        <v/>
      </c>
      <c r="F14" s="9" t="n">
        <v>0</v>
      </c>
      <c r="G14" s="10">
        <f>IF(ABS(E14)&lt;=F14,"OK","CHECK")</f>
        <v/>
      </c>
    </row>
    <row r="15">
      <c r="A15" s="5" t="n">
        <v>14</v>
      </c>
      <c r="B15" s="6" t="inlineStr">
        <is>
          <t>Delta stays within 0 and 1 at all 21 strikes</t>
        </is>
      </c>
      <c r="C15" s="7">
        <f>SUMPRODUCT(--('BS Engine'!$L$2:$L$18&gt;=0),--('BS Engine'!$L$2:$L$18&lt;=1))</f>
        <v/>
      </c>
      <c r="D15" s="8" t="n">
        <v>17</v>
      </c>
      <c r="E15" s="9">
        <f>C15-D15</f>
        <v/>
      </c>
      <c r="F15" s="9" t="n">
        <v>0</v>
      </c>
      <c r="G15" s="10">
        <f>IF(ABS(E15)&lt;=F15,"OK","CHECK")</f>
        <v/>
      </c>
    </row>
    <row r="16">
      <c r="A16" s="5" t="n">
        <v>15</v>
      </c>
      <c r="B16" s="6" t="inlineStr">
        <is>
          <t>Premium Grid base-VIX column = BS Engine call premium, all 21 rows</t>
        </is>
      </c>
      <c r="C16" s="14">
        <f>SUMPRODUCT(ABS('Premium Grid'!$L$4:$L$20-'BS Engine'!$G$2:$G$18))</f>
        <v/>
      </c>
      <c r="D16" s="15" t="n">
        <v>0</v>
      </c>
      <c r="E16" s="16">
        <f>C16-D16</f>
        <v/>
      </c>
      <c r="F16" s="16" t="n">
        <v>1e-08</v>
      </c>
      <c r="G16" s="10">
        <f>IF(ABS(E16)&lt;=F16,"OK","CHECK")</f>
        <v/>
      </c>
    </row>
    <row r="17">
      <c r="A17" s="5" t="n">
        <v>16</v>
      </c>
      <c r="B17" s="6" t="inlineStr">
        <is>
          <t>Premium Grid at VIX 8.0, ATM (INR) vs Python</t>
        </is>
      </c>
      <c r="C17" s="14">
        <f>'Premium Grid'!$D$12</f>
        <v/>
      </c>
      <c r="D17" s="15" t="n">
        <v>3997.167600573484</v>
      </c>
      <c r="E17" s="16">
        <f>C17-D17</f>
        <v/>
      </c>
      <c r="F17" s="16" t="n">
        <v>1e-08</v>
      </c>
      <c r="G17" s="10">
        <f>IF(ABS(E17)&lt;=F17,"OK","CHECK")</f>
        <v/>
      </c>
    </row>
    <row r="18">
      <c r="A18" s="5" t="n">
        <v>17</v>
      </c>
      <c r="B18" s="6" t="inlineStr">
        <is>
          <t>Premium Grid at VIX 30.0, ATM (INR) vs Python</t>
        </is>
      </c>
      <c r="C18" s="14">
        <f>'Premium Grid'!$AV$12</f>
        <v/>
      </c>
      <c r="D18" s="15" t="n">
        <v>14337.58211449831</v>
      </c>
      <c r="E18" s="16">
        <f>C18-D18</f>
        <v/>
      </c>
      <c r="F18" s="16" t="n">
        <v>1e-08</v>
      </c>
      <c r="G18" s="10">
        <f>IF(ABS(E18)&lt;=F18,"OK","CHECK")</f>
        <v/>
      </c>
    </row>
    <row r="19">
      <c r="A19" s="5" t="n">
        <v>18</v>
      </c>
      <c r="B19" s="6" t="inlineStr">
        <is>
          <t>Premium Grid at VIX 30.0, +2.00% call (INR) vs Python</t>
        </is>
      </c>
      <c r="C19" s="14">
        <f>'Premium Grid'!$AV$20</f>
        <v/>
      </c>
      <c r="D19" s="15" t="n">
        <v>3728.648542566057</v>
      </c>
      <c r="E19" s="16">
        <f>C19-D19</f>
        <v/>
      </c>
      <c r="F19" s="16" t="n">
        <v>1e-08</v>
      </c>
      <c r="G19" s="10">
        <f>IF(ABS(E19)&lt;=F19,"OK","CHECK")</f>
        <v/>
      </c>
    </row>
    <row r="20">
      <c r="A20" s="5" t="n">
        <v>19</v>
      </c>
      <c r="B20" s="6" t="inlineStr">
        <is>
          <t>Premium Grid at VIX 8.0, -2.00% ITM call (INR) vs Python</t>
        </is>
      </c>
      <c r="C20" s="14">
        <f>'Premium Grid'!$D$4</f>
        <v/>
      </c>
      <c r="D20" s="15" t="n">
        <v>32301.67814253271</v>
      </c>
      <c r="E20" s="16">
        <f>C20-D20</f>
        <v/>
      </c>
      <c r="F20" s="16" t="n">
        <v>1e-08</v>
      </c>
      <c r="G20" s="10">
        <f>IF(ABS(E20)&lt;=F20,"OK","CHECK")</f>
        <v/>
      </c>
    </row>
    <row r="21">
      <c r="A21" s="5" t="n">
        <v>20</v>
      </c>
      <c r="B21" s="6" t="inlineStr">
        <is>
          <t>Change vs Base is zero down the base-VIX column</t>
        </is>
      </c>
      <c r="C21" s="14">
        <f>SUMPRODUCT(ABS('Change vs Base'!$L$4:$L$20))</f>
        <v/>
      </c>
      <c r="D21" s="15" t="n">
        <v>0</v>
      </c>
      <c r="E21" s="16">
        <f>C21-D21</f>
        <v/>
      </c>
      <c r="F21" s="16" t="n">
        <v>1e-09</v>
      </c>
      <c r="G21" s="10">
        <f>IF(ABS(E21)&lt;=F21,"OK","CHECK")</f>
        <v/>
      </c>
    </row>
    <row r="22">
      <c r="A22" s="5" t="n">
        <v>21</v>
      </c>
      <c r="B22" s="6" t="inlineStr">
        <is>
          <t>VIX x DTE grid at base VIX / 2 DTE, ATM = BS Engine ATM premium</t>
        </is>
      </c>
      <c r="C22" s="14">
        <f>'VIX x DTE Grid'!$D$7</f>
        <v/>
      </c>
      <c r="D22" s="15">
        <f>'BS Engine'!$G$10</f>
        <v/>
      </c>
      <c r="E22" s="16">
        <f>C22-D22</f>
        <v/>
      </c>
      <c r="F22" s="16" t="n">
        <v>1e-08</v>
      </c>
      <c r="G22" s="10">
        <f>IF(ABS(E22)&lt;=F22,"OK","CHECK")</f>
        <v/>
      </c>
    </row>
    <row r="23">
      <c r="A23" s="5" t="n">
        <v>22</v>
      </c>
      <c r="B23" s="6" t="inlineStr">
        <is>
          <t>Premium never falls as VIX rises (748 comparisons)</t>
        </is>
      </c>
      <c r="C23" s="7">
        <f>SUMPRODUCT(--('Premium Grid'!$E$4:$AV$20&gt;='Premium Grid'!$D$4:$AU$20-1e-06))</f>
        <v/>
      </c>
      <c r="D23" s="8" t="n">
        <v>748</v>
      </c>
      <c r="E23" s="9">
        <f>C23-D23</f>
        <v/>
      </c>
      <c r="F23" s="9" t="n">
        <v>0</v>
      </c>
      <c r="G23" s="10">
        <f>IF(ABS(E23)&lt;=F23,"OK","CHECK")</f>
        <v/>
      </c>
    </row>
    <row r="24">
      <c r="A24" s="5" t="n">
        <v>23</v>
      </c>
      <c r="B24" s="6" t="inlineStr">
        <is>
          <t>Premium never rises as strike rises (720 comparisons)</t>
        </is>
      </c>
      <c r="C24" s="7">
        <f>SUMPRODUCT(--('Premium Grid'!$D$5:$AV$20&lt;='Premium Grid'!$D$4:$AV$19+1e-06))</f>
        <v/>
      </c>
      <c r="D24" s="8" t="n">
        <v>720</v>
      </c>
      <c r="E24" s="9">
        <f>C24-D24</f>
        <v/>
      </c>
      <c r="F24" s="9" t="n">
        <v>0</v>
      </c>
      <c r="G24" s="10">
        <f>IF(ABS(E24)&lt;=F24,"OK","CHECK")</f>
        <v/>
      </c>
    </row>
    <row r="25">
      <c r="A25" s="5" t="n">
        <v>24</v>
      </c>
      <c r="B25" s="6" t="inlineStr">
        <is>
          <t>ATM elasticity to IV is close to 1.0 (Black-Scholes property)</t>
        </is>
      </c>
      <c r="C25" s="17">
        <f>'BS Engine'!$P$10</f>
        <v/>
      </c>
      <c r="D25" s="18" t="n">
        <v>1</v>
      </c>
      <c r="E25" s="19">
        <f>C25-D25</f>
        <v/>
      </c>
      <c r="F25" s="19" t="n">
        <v>0.05</v>
      </c>
      <c r="G25" s="10">
        <f>IF(ABS(E25)&lt;=F25,"OK","CHECK")</f>
        <v/>
      </c>
    </row>
    <row r="26">
      <c r="A26" s="5" t="n">
        <v>25</v>
      </c>
      <c r="B26" s="6" t="inlineStr">
        <is>
          <t>Elasticity rises monotonically from deep ITM to deep OTM</t>
        </is>
      </c>
      <c r="C26" s="7">
        <f>SUMPRODUCT(--('BS Engine'!$P$3:$P$18&gt;'BS Engine'!$P$2:$P$17))</f>
        <v/>
      </c>
      <c r="D26" s="8" t="n">
        <v>16</v>
      </c>
      <c r="E26" s="9">
        <f>C26-D26</f>
        <v/>
      </c>
      <c r="F26" s="9" t="n">
        <v>0</v>
      </c>
      <c r="G26" s="10">
        <f>IF(ABS(E26)&lt;=F26,"OK","CHECK")</f>
        <v/>
      </c>
    </row>
    <row r="27">
      <c r="A27" s="5" t="n">
        <v>26</v>
      </c>
      <c r="B27" s="6" t="inlineStr">
        <is>
          <t>Time value share never falls as strike rises (ITM -&gt; OTM)</t>
        </is>
      </c>
      <c r="C27" s="7">
        <f>SUMPRODUCT(--('BS Engine'!$K$3:$K$18&gt;='BS Engine'!$K$2:$K$17-1e-06))</f>
        <v/>
      </c>
      <c r="D27" s="8" t="n">
        <v>16</v>
      </c>
      <c r="E27" s="9">
        <f>C27-D27</f>
        <v/>
      </c>
      <c r="F27" s="9" t="n">
        <v>0</v>
      </c>
      <c r="G27" s="10">
        <f>IF(ABS(E27)&lt;=F27,"OK","CHECK")</f>
        <v/>
      </c>
    </row>
    <row r="28">
      <c r="A28" s="5" t="n">
        <v>27</v>
      </c>
      <c r="B28" s="6" t="inlineStr">
        <is>
          <t>Deepest ITM (-2.00%) has the lowest time-value share</t>
        </is>
      </c>
      <c r="C28" s="7">
        <f>IF('BS Engine'!$K$2=MIN('BS Engine'!$K$2:$K$18),1,0)</f>
        <v/>
      </c>
      <c r="D28" s="8" t="n">
        <v>1</v>
      </c>
      <c r="E28" s="9">
        <f>C28-D28</f>
        <v/>
      </c>
      <c r="F28" s="9" t="n">
        <v>0</v>
      </c>
      <c r="G28" s="10">
        <f>IF(ABS(E28)&lt;=F28,"OK","CHECK")</f>
        <v/>
      </c>
    </row>
    <row r="29">
      <c r="A29" s="5" t="n">
        <v>28</v>
      </c>
      <c r="B29" s="6" t="inlineStr">
        <is>
          <t>Every OTM strike is 100% time value (zero intrinsic)</t>
        </is>
      </c>
      <c r="C29" s="7">
        <f>SUMPRODUCT(--(ABS('BS Engine'!$K$10:$K$18-1)&lt;=1e-06))</f>
        <v/>
      </c>
      <c r="D29" s="8" t="n">
        <v>9</v>
      </c>
      <c r="E29" s="9">
        <f>C29-D29</f>
        <v/>
      </c>
      <c r="F29" s="9" t="n">
        <v>0</v>
      </c>
      <c r="G29" s="10">
        <f>IF(ABS(E29)&lt;=F29,"OK","CHECK")</f>
        <v/>
      </c>
    </row>
    <row r="31">
      <c r="A31" s="20" t="inlineStr">
        <is>
          <t>OVERALL</t>
        </is>
      </c>
      <c r="B31" s="21">
        <f>IF(COUNTIF($G$2:$G$29,"CHECK")=0,"ALL CHECKS OK",COUNTIF($G$2:$G$29,"CHECK")&amp;" CHECK(S) FAILED")</f>
        <v/>
      </c>
    </row>
    <row r="33">
      <c r="A33" s="22" t="inlineStr">
        <is>
          <t>Column D holds either a second live formula (cross-sheet reconciliation) or a value recomputed independently in Python by premium_turnover_sensitivity.py.</t>
        </is>
      </c>
    </row>
    <row r="34">
      <c r="A34" s="22" t="inlineStr">
        <is>
          <t>The 'vs Python' rows are pinned to the assumptions AS GENERATED - if you edit the Assumptions sheet they will show CHECK until the script is re-run. Every other row is live on both sides and stays valid whatever you change.</t>
        </is>
      </c>
    </row>
    <row r="35">
      <c r="A35" s="22" t="inlineStr">
        <is>
          <t>The arbitrage-bound, monotonicity and intrinsic/time-value rows are real property tests of the pricing, not restatements of it: each would break if a formula were wrong, rather than cancelling out.</t>
        </is>
      </c>
    </row>
    <row r="36">
      <c r="A36" s="22" t="inlineStr">
        <is>
          <t>Monotonicity is tested non-strictly because far-OTM strikes at low VIX are floored at zero and legitimately tie with their neighbours.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E699"/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21" customWidth="1" min="3" max="3"/>
    <col width="21" customWidth="1" min="4" max="4"/>
    <col width="15" customWidth="1" min="5" max="5"/>
    <col width="13" customWidth="1" min="6" max="6"/>
    <col width="14" customWidth="1" min="7" max="7"/>
    <col width="16" customWidth="1" min="8" max="8"/>
    <col width="15" customWidth="1" min="9" max="9"/>
  </cols>
  <sheetData>
    <row r="1">
      <c r="A1" s="23" t="inlineStr">
        <is>
          <t>Key Findings</t>
        </is>
      </c>
    </row>
    <row r="2" ht="33" customHeight="1">
      <c r="A2" s="24" t="inlineStr">
        <is>
          <t>NIFTY calls, one contract of 65, 2 days to expiry, spot fixed at 24,500, dividend yield 1.20%. Every number below is a live formula off the grids - edit the Assumptions sheet and this text updates with it.</t>
        </is>
      </c>
    </row>
    <row r="4">
      <c r="A4" s="25" t="inlineStr">
        <is>
          <t>THE SHORT VERSION</t>
        </is>
      </c>
    </row>
    <row r="5" ht="46.5" customHeight="1">
      <c r="A5" s="26">
        <f>"Only the TIME VALUE of an option responds to volatility, so how much a call reacts to VIX is set almost entirely by WHERE ITS STRIKE SITS - not by how big the VIX move is. Across this ladder a -2.00% call is "&amp;TEXT('BS Engine'!$K$2,"0.0%")&amp;" time value and barely moves, while a +2.00% call is 100% time value and moves violently. Same VIX change, responses "&amp;TEXT('BS Engine'!$P$18/'BS Engine'!$P$2,"#,##0")&amp;" times apart."</f>
        <v/>
      </c>
    </row>
    <row r="7">
      <c r="A7" s="20" t="inlineStr">
        <is>
          <t>AT A GLANCE</t>
        </is>
      </c>
    </row>
    <row r="8">
      <c r="A8" s="1" t="inlineStr">
        <is>
          <t>Strike</t>
        </is>
      </c>
      <c r="B8" s="1" t="inlineStr"/>
      <c r="C8" s="2" t="inlineStr">
        <is>
          <t>Premium @ VIX 12</t>
        </is>
      </c>
      <c r="D8" s="2" t="inlineStr">
        <is>
          <t>Premium @ VIX 30</t>
        </is>
      </c>
      <c r="E8" s="2" t="inlineStr">
        <is>
          <t>Change (INR)</t>
        </is>
      </c>
      <c r="F8" s="2" t="inlineStr">
        <is>
          <t>Change (%)</t>
        </is>
      </c>
      <c r="G8" s="3" t="inlineStr">
        <is>
          <t>Time Value %</t>
        </is>
      </c>
      <c r="H8" s="3" t="inlineStr">
        <is>
          <t>Elasticity to IV</t>
        </is>
      </c>
      <c r="I8" s="3" t="inlineStr">
        <is>
          <t>% per +0.5 VIX</t>
        </is>
      </c>
    </row>
    <row r="9">
      <c r="A9" s="27" t="inlineStr">
        <is>
          <t>-2.00%</t>
        </is>
      </c>
      <c r="B9" s="28">
        <f>'BS Engine'!$C$2</f>
        <v/>
      </c>
      <c r="C9" s="29">
        <f>'Premium Grid'!$L$4</f>
        <v/>
      </c>
      <c r="D9" s="29">
        <f>'Premium Grid'!$AV$4</f>
        <v/>
      </c>
      <c r="E9" s="29">
        <f>D9-C9</f>
        <v/>
      </c>
      <c r="F9" s="30">
        <f>IF(C9=0,"",D9/C9-1)</f>
        <v/>
      </c>
      <c r="G9" s="31">
        <f>'BS Engine'!$K$2</f>
        <v/>
      </c>
      <c r="H9" s="32">
        <f>'BS Engine'!$P$2</f>
        <v/>
      </c>
      <c r="I9" s="33">
        <f>'BS Engine'!$O$2/'BS Engine'!$G$2</f>
        <v/>
      </c>
    </row>
    <row r="10">
      <c r="A10" s="27" t="inlineStr">
        <is>
          <t>-1.00%</t>
        </is>
      </c>
      <c r="B10" s="28">
        <f>'BS Engine'!$C$6</f>
        <v/>
      </c>
      <c r="C10" s="29">
        <f>'Premium Grid'!$L$8</f>
        <v/>
      </c>
      <c r="D10" s="29">
        <f>'Premium Grid'!$AV$8</f>
        <v/>
      </c>
      <c r="E10" s="29">
        <f>D10-C10</f>
        <v/>
      </c>
      <c r="F10" s="30">
        <f>IF(C10=0,"",D10/C10-1)</f>
        <v/>
      </c>
      <c r="G10" s="31">
        <f>'BS Engine'!$K$6</f>
        <v/>
      </c>
      <c r="H10" s="32">
        <f>'BS Engine'!$P$6</f>
        <v/>
      </c>
      <c r="I10" s="33">
        <f>'BS Engine'!$O$6/'BS Engine'!$G$6</f>
        <v/>
      </c>
    </row>
    <row r="11">
      <c r="A11" s="27" t="inlineStr">
        <is>
          <t>ATM</t>
        </is>
      </c>
      <c r="B11" s="28">
        <f>'BS Engine'!$C$10</f>
        <v/>
      </c>
      <c r="C11" s="29">
        <f>'Premium Grid'!$L$12</f>
        <v/>
      </c>
      <c r="D11" s="29">
        <f>'Premium Grid'!$AV$12</f>
        <v/>
      </c>
      <c r="E11" s="29">
        <f>D11-C11</f>
        <v/>
      </c>
      <c r="F11" s="30">
        <f>IF(C11=0,"",D11/C11-1)</f>
        <v/>
      </c>
      <c r="G11" s="31">
        <f>'BS Engine'!$K$10</f>
        <v/>
      </c>
      <c r="H11" s="32">
        <f>'BS Engine'!$P$10</f>
        <v/>
      </c>
      <c r="I11" s="33">
        <f>'BS Engine'!$O$10/'BS Engine'!$G$10</f>
        <v/>
      </c>
    </row>
    <row r="12">
      <c r="A12" s="27" t="inlineStr">
        <is>
          <t>+1.00%</t>
        </is>
      </c>
      <c r="B12" s="28">
        <f>'BS Engine'!$C$14</f>
        <v/>
      </c>
      <c r="C12" s="29">
        <f>'Premium Grid'!$L$16</f>
        <v/>
      </c>
      <c r="D12" s="29">
        <f>'Premium Grid'!$AV$16</f>
        <v/>
      </c>
      <c r="E12" s="29">
        <f>D12-C12</f>
        <v/>
      </c>
      <c r="F12" s="30">
        <f>IF(C12=0,"",D12/C12-1)</f>
        <v/>
      </c>
      <c r="G12" s="31">
        <f>'BS Engine'!$K$14</f>
        <v/>
      </c>
      <c r="H12" s="32">
        <f>'BS Engine'!$P$14</f>
        <v/>
      </c>
      <c r="I12" s="33">
        <f>'BS Engine'!$O$14/'BS Engine'!$G$14</f>
        <v/>
      </c>
    </row>
    <row r="13">
      <c r="A13" s="27" t="inlineStr">
        <is>
          <t>+2.00%</t>
        </is>
      </c>
      <c r="B13" s="28">
        <f>'BS Engine'!$C$18</f>
        <v/>
      </c>
      <c r="C13" s="29">
        <f>'Premium Grid'!$L$20</f>
        <v/>
      </c>
      <c r="D13" s="29">
        <f>'Premium Grid'!$AV$20</f>
        <v/>
      </c>
      <c r="E13" s="29">
        <f>D13-C13</f>
        <v/>
      </c>
      <c r="F13" s="30">
        <f>IF(C13=0,"",D13/C13-1)</f>
        <v/>
      </c>
      <c r="G13" s="31">
        <f>'BS Engine'!$K$18</f>
        <v/>
      </c>
      <c r="H13" s="32">
        <f>'BS Engine'!$P$18</f>
        <v/>
      </c>
      <c r="I13" s="33">
        <f>'BS Engine'!$O$18/'BS Engine'!$G$18</f>
        <v/>
      </c>
    </row>
    <row r="15">
      <c r="A15" s="20" t="inlineStr">
        <is>
          <t>WHAT THE ANALYSIS SHOWS</t>
        </is>
      </c>
    </row>
    <row r="16">
      <c r="A16" s="34" t="inlineStr">
        <is>
          <t>1. Only time value reacts to volatility.</t>
        </is>
      </c>
    </row>
    <row r="17" ht="46.5" customHeight="1">
      <c r="A17" s="35">
        <f>"Premium splits into intrinsic value, fixed by spot and strike, and time value. Volatility touches ONLY the second part. At VIX 12 the -2.00% call is just "&amp;TEXT('BS Engine'!$K$2,"0.0%")&amp;" time value, so there is almost nothing for vol to act on; every strike at or above the money is 100% time value."</f>
        <v/>
      </c>
    </row>
    <row r="19">
      <c r="A19" s="34" t="inlineStr">
        <is>
          <t>2. Elasticity rises monotonically from ITM to OTM, tracking that share.</t>
        </is>
      </c>
    </row>
    <row r="20" ht="46.5" customHeight="1">
      <c r="A20" s="35">
        <f>"Elasticity to IV runs from "&amp;TEXT('BS Engine'!$P$2,"#,##0.00")&amp;" at -2.00% through "&amp;TEXT('BS Engine'!$P$10,"#,##0.00")&amp;" at the money to "&amp;TEXT('BS Engine'!$P$18,"#,##0.00")&amp;" at +2.00%. The at-the-money figure sitting near 1.0 is a known Black-Scholes property: an ATM option moves roughly one-for-one with vol in percentage terms."</f>
        <v/>
      </c>
    </row>
    <row r="22">
      <c r="A22" s="34" t="inlineStr">
        <is>
          <t>3. Moneyness matters far more than the size of the VIX move.</t>
        </is>
      </c>
    </row>
    <row r="23" ht="46.5" customHeight="1">
      <c r="A23" s="35">
        <f>"Taking VIX from 12 to 30 - a "&amp;TEXT(0.3/0.12-1,"0%")&amp;" move - lifts the -2.00% call "&amp;TEXT('Premium Grid'!$AV$4/'Premium Grid'!$L$4-1,"0.0%")&amp;" but the +2.00% call "&amp;TEXT('Premium Grid'!$AV$20/'Premium Grid'!$L$20-1,"#,##0%")&amp;". One input, one move, responses orders of magnitude apart across the ladder."</f>
        <v/>
      </c>
    </row>
    <row r="25">
      <c r="A25" s="34" t="inlineStr">
        <is>
          <t>4. Rupees and percentages point in opposite directions.</t>
        </is>
      </c>
    </row>
    <row r="26" ht="46.5" customHeight="1">
      <c r="A26" s="35">
        <f>"The at-the-money strike gains the most RUPEES ("&amp;TEXT('Premium Grid'!$AV$12-'Premium Grid'!$L$12,"#,##0")&amp;" per contract from VIX 12 to 30), while the +2.00% strike gains the most PERCENT off a far smaller base. Which one matters depends on whether you are sizing rupee exposure or percentage returns - do not read one and quote the other."</f>
        <v/>
      </c>
    </row>
    <row r="28">
      <c r="A28" s="34" t="inlineStr">
        <is>
          <t>5. At low VIX the out-of-the-money strikes are nearly worthless.</t>
        </is>
      </c>
    </row>
    <row r="29" ht="46.5" customHeight="1">
      <c r="A29" s="35">
        <f>"At VIX 8 the +2.00% call is worth "&amp;TEXT('Premium Grid'!$D$20,"#,##0.00")&amp;" per contract against "&amp;TEXT('Premium Grid'!$D$12,"#,##0")&amp;" for the ATM. Those strikes only start carrying real premium once vol lifts, which is why a rise in VIX widens the traded strike range as well as repricing it."</f>
        <v/>
      </c>
    </row>
    <row r="31">
      <c r="A31" s="34" t="inlineStr">
        <is>
          <t>6. Dividend yield is a level effect, not a sensitivity effect.</t>
        </is>
      </c>
    </row>
    <row r="32" ht="46.5" customHeight="1">
      <c r="A32" s="35">
        <f>"This workbook prices with q = "&amp;TEXT(Assumptions!$B$4,"0.00%")&amp;". The companion ZERO-DIVIDEND workbook is identical in every other respect and prices every call slightly HIGHER - a little in rupees at the ITM strikes, a little in percent at the OTM ones - while the elasticities are effectively unchanged. Dividend yield moves the LEVEL of premium, not its sensitivity to volatility."</f>
        <v/>
      </c>
    </row>
    <row r="34">
      <c r="A34" s="36" t="inlineStr">
        <is>
          <t>WHAT THIS DOES NOT SAY</t>
        </is>
      </c>
    </row>
    <row r="35" ht="33" customHeight="1">
      <c r="A35" s="24" t="inlineStr">
        <is>
          <t>-  Volatility is FLAT across strikes - no smile or skew. The real market charges more for OTM strikes than a flat vol implies, so the OTM premiums here are a LOWER BOUND and their true elasticities are somewhat lower than shown.</t>
        </is>
      </c>
    </row>
    <row r="36" ht="33" customHeight="1">
      <c r="A36" s="24" t="inlineStr">
        <is>
          <t>-  Contract volume is not modelled at all. This is one contract; it says nothing about how many contracts would trade at any VIX level, which is a behavioural question Black-Scholes cannot answer.</t>
        </is>
      </c>
    </row>
    <row r="37" ht="33" customHeight="1">
      <c r="A37" s="24" t="inlineStr">
        <is>
          <t>-  Spot is frozen. In practice VIX rises when spot falls, and that correlation would move call premiums the other way - so these are not forecasts, they are clean one-factor sensitivities.</t>
        </is>
      </c>
    </row>
    <row r="38" ht="19.5" customHeight="1">
      <c r="A38" s="24" t="inlineStr">
        <is>
          <t>-  Strikes are exact percentages of spot, not the tradeable 50-point NSE grid.</t>
        </is>
      </c>
    </row>
    <row r="39" ht="19.5" customHeight="1">
      <c r="A39" s="24" t="inlineStr">
        <is>
          <t>-  Everything is at 2 days to expiry. The VIX x DTE Grid sheet is the only place tenor is varied.</t>
        </is>
      </c>
    </row>
  </sheetData>
  <mergeCells count="20">
    <mergeCell ref="A25:I25"/>
    <mergeCell ref="A37:I37"/>
    <mergeCell ref="A26:I26"/>
    <mergeCell ref="A2:I2"/>
    <mergeCell ref="A5:I5"/>
    <mergeCell ref="A32:I32"/>
    <mergeCell ref="A17:I17"/>
    <mergeCell ref="A23:I23"/>
    <mergeCell ref="A22:I22"/>
    <mergeCell ref="A35:I35"/>
    <mergeCell ref="A20:I20"/>
    <mergeCell ref="A38:I38"/>
    <mergeCell ref="A29:I29"/>
    <mergeCell ref="A19:I19"/>
    <mergeCell ref="A28:I28"/>
    <mergeCell ref="A31:I31"/>
    <mergeCell ref="A39:I39"/>
    <mergeCell ref="A34:I34"/>
    <mergeCell ref="A36:I36"/>
    <mergeCell ref="A16:I16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6E0B4"/>
    <outlinePr summaryBelow="1" summaryRight="1"/>
    <pageSetUpPr/>
  </sheetPr>
  <dimension ref="A1:E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56" customWidth="1" min="3" max="3"/>
    <col width="56" customWidth="1" min="4" max="4"/>
    <col width="30" customWidth="1" min="5" max="5"/>
  </cols>
  <sheetData>
    <row r="1">
      <c r="A1" s="23" t="inlineStr">
        <is>
          <t>Terminology - what every term in this workbook means</t>
        </is>
      </c>
    </row>
    <row r="2">
      <c r="A2" s="22" t="inlineStr">
        <is>
          <t>Grouped by role. The formula column ties each term to the actual arithmetic used on the BS Engine sheet.</t>
        </is>
      </c>
    </row>
    <row r="4">
      <c r="A4" s="1" t="inlineStr">
        <is>
          <t>Term</t>
        </is>
      </c>
      <c r="B4" s="3" t="inlineStr">
        <is>
          <t>Formula / notation</t>
        </is>
      </c>
      <c r="C4" s="3" t="inlineStr">
        <is>
          <t>Technical definition</t>
        </is>
      </c>
      <c r="D4" s="4" t="inlineStr">
        <is>
          <t>In plain English (as if explaining to a 10-year-old)</t>
        </is>
      </c>
      <c r="E4" s="2" t="inlineStr">
        <is>
          <t>Where you see it here</t>
        </is>
      </c>
    </row>
    <row r="5" ht="20" customHeight="1">
      <c r="A5" s="37" t="inlineStr">
        <is>
          <t>THE CONTRACT</t>
        </is>
      </c>
    </row>
    <row r="6" ht="58" customHeight="1">
      <c r="A6" s="38" t="inlineStr">
        <is>
          <t>Call option</t>
        </is>
      </c>
      <c r="B6" s="39" t="inlineStr">
        <is>
          <t>C = S.e^(-qT).N(d1) - K.e^(-rT).N(d2)</t>
        </is>
      </c>
      <c r="C6" s="40" t="inlineStr">
        <is>
          <t>A contract giving the holder the right, but not the obligation, to BUY the underlying at a fixed strike price on or before expiry. This workbook prices calls only - there is no put leg anywhere.</t>
        </is>
      </c>
      <c r="D6" s="41" t="inlineStr">
        <is>
          <t>A ticket that lets you buy something later at a price you lock in today. If the thing gets more expensive, your ticket becomes more valuable. If it gets cheaper, you just don't use the ticket.</t>
        </is>
      </c>
      <c r="E6" s="42" t="inlineStr">
        <is>
          <t>Every sheet - the whole workbook is calls</t>
        </is>
      </c>
    </row>
    <row r="7" ht="44.5" customHeight="1">
      <c r="A7" s="38" t="inlineStr">
        <is>
          <t>Underlying / Spot (S)</t>
        </is>
      </c>
      <c r="B7" s="39" t="inlineStr">
        <is>
          <t>S</t>
        </is>
      </c>
      <c r="C7" s="40" t="inlineStr">
        <is>
          <t>The current market level of the asset the option is written on. Here the NIFTY index at 24,500, held fixed across every scenario.</t>
        </is>
      </c>
      <c r="D7" s="41" t="inlineStr">
        <is>
          <t>What the thing costs in the shop right now.</t>
        </is>
      </c>
      <c r="E7" s="42" t="inlineStr">
        <is>
          <t>Assumptions B2</t>
        </is>
      </c>
    </row>
    <row r="8" ht="44.5" customHeight="1">
      <c r="A8" s="38" t="inlineStr">
        <is>
          <t>Strike price (K)</t>
        </is>
      </c>
      <c r="B8" s="39" t="inlineStr">
        <is>
          <t>K</t>
        </is>
      </c>
      <c r="C8" s="40" t="inlineStr">
        <is>
          <t>The fixed price at which the holder may buy. Here strikes are set as exact percentages of spot, not rounded to NSE's tradeable 50-point grid.</t>
        </is>
      </c>
      <c r="D8" s="41" t="inlineStr">
        <is>
          <t>The price printed on your ticket - the price you're allowed to buy at.</t>
        </is>
      </c>
      <c r="E8" s="42" t="inlineStr">
        <is>
          <t>BS Engine column B</t>
        </is>
      </c>
    </row>
    <row r="9" ht="44.5" customHeight="1">
      <c r="A9" s="38" t="inlineStr">
        <is>
          <t>Moneyness</t>
        </is>
      </c>
      <c r="B9" s="39" t="inlineStr">
        <is>
          <t>(K - S) / S</t>
        </is>
      </c>
      <c r="C9" s="40" t="inlineStr">
        <is>
          <t>The strike expressed relative to spot, (K - S) / S. Negative means the strike sits below spot, positive above.</t>
        </is>
      </c>
      <c r="D9" s="41" t="inlineStr">
        <is>
          <t>How far the price on your ticket is from today's shop price.</t>
        </is>
      </c>
      <c r="E9" s="42" t="inlineStr">
        <is>
          <t>BS Engine column A; row labels on every grid</t>
        </is>
      </c>
    </row>
    <row r="10" ht="44.5" customHeight="1">
      <c r="A10" s="38" t="inlineStr">
        <is>
          <t>ITM / ATM / OTM</t>
        </is>
      </c>
      <c r="B10" s="39" t="inlineStr">
        <is>
          <t>K &lt; S  /  K = S  /  K &gt; S   (calls)</t>
        </is>
      </c>
      <c r="C10" s="40" t="inlineStr">
        <is>
          <t>In / at / out of the money. For a CALL: strike below spot is ITM, equal is ATM, above is OTM. Note this reverses for puts.</t>
        </is>
      </c>
      <c r="D10" s="41" t="inlineStr">
        <is>
          <t>ITM: your ticket already beats the shop price. ATM: exactly the same. OTM: your ticket is worse than the shop price today, so it only pays off if prices jump.</t>
        </is>
      </c>
      <c r="E10" s="42" t="inlineStr">
        <is>
          <t>BS Engine column C</t>
        </is>
      </c>
    </row>
    <row r="11" ht="20" customHeight="1">
      <c r="A11" s="37" t="inlineStr">
        <is>
          <t>WHAT YOU PAY</t>
        </is>
      </c>
    </row>
    <row r="12" ht="44.5" customHeight="1">
      <c r="A12" s="38" t="inlineStr">
        <is>
          <t>Premium</t>
        </is>
      </c>
      <c r="B12" s="39" t="inlineStr">
        <is>
          <t>C in points;  C x lot = INR/contract</t>
        </is>
      </c>
      <c r="C12" s="40" t="inlineStr">
        <is>
          <t>The price of the option. Quoted here in index points and, multiplied by the lot size, in rupees per contract.</t>
        </is>
      </c>
      <c r="D12" s="41" t="inlineStr">
        <is>
          <t>What you pay to get the ticket.</t>
        </is>
      </c>
      <c r="E12" s="42" t="inlineStr">
        <is>
          <t>BS Engine F and G; the whole Premium Grid</t>
        </is>
      </c>
    </row>
    <row r="13" ht="44.5" customHeight="1">
      <c r="A13" s="38" t="inlineStr">
        <is>
          <t>Intrinsic value</t>
        </is>
      </c>
      <c r="B13" s="39" t="inlineStr">
        <is>
          <t>MAX(0, S - K)</t>
        </is>
      </c>
      <c r="C13" s="40" t="inlineStr">
        <is>
          <t>MAX(0, S - K) for a call: what the option would be worth if exercised right now. Fixed by spot and strike - completely independent of volatility.</t>
        </is>
      </c>
      <c r="D13" s="41" t="inlineStr">
        <is>
          <t>The part of the ticket's worth you'd get just by using it this second.</t>
        </is>
      </c>
      <c r="E13" s="42" t="inlineStr">
        <is>
          <t>BS Engine column H</t>
        </is>
      </c>
    </row>
    <row r="14" ht="58" customHeight="1">
      <c r="A14" s="38" t="inlineStr">
        <is>
          <t>Time value</t>
        </is>
      </c>
      <c r="B14" s="39" t="inlineStr">
        <is>
          <t>C - MAX(0, S - K)</t>
        </is>
      </c>
      <c r="C14" s="40" t="inlineStr">
        <is>
          <t>Premium minus intrinsic value: the amount paid for the possibility that the option ends up further in the money before expiry. This is the ONLY part that responds to volatility.</t>
        </is>
      </c>
      <c r="D14" s="41" t="inlineStr">
        <is>
          <t>The extra you pay for the chance that things get better before the ticket runs out. It shrinks to nothing on the last day.</t>
        </is>
      </c>
      <c r="E14" s="42" t="inlineStr">
        <is>
          <t>BS Engine I, J and K</t>
        </is>
      </c>
    </row>
    <row r="15" ht="20" customHeight="1">
      <c r="A15" s="37" t="inlineStr">
        <is>
          <t>THE CONTRACT</t>
        </is>
      </c>
    </row>
    <row r="16" ht="31" customHeight="1">
      <c r="A16" s="38" t="inlineStr">
        <is>
          <t>Lot size</t>
        </is>
      </c>
      <c r="B16" s="39" t="inlineStr">
        <is>
          <t>65 units per contract</t>
        </is>
      </c>
      <c r="C16" s="40" t="inlineStr">
        <is>
          <t>The number of index units in one contract. NIFTY trades in lots; here 65.</t>
        </is>
      </c>
      <c r="D16" s="41" t="inlineStr">
        <is>
          <t>Tickets are only sold in packs. One pack holds 65.</t>
        </is>
      </c>
      <c r="E16" s="42" t="inlineStr">
        <is>
          <t>Assumptions B5</t>
        </is>
      </c>
    </row>
    <row r="17" ht="44.5" customHeight="1">
      <c r="A17" s="38" t="inlineStr">
        <is>
          <t>Contract</t>
        </is>
      </c>
      <c r="B17" s="39" t="inlineStr">
        <is>
          <t>1 lot; this workbook prices exactly 1</t>
        </is>
      </c>
      <c r="C17" s="40" t="inlineStr">
        <is>
          <t>One lot. This workbook prices exactly ONE contract - there is no volume, no open interest and no market-wide turnover anywhere in it.</t>
        </is>
      </c>
      <c r="D17" s="41" t="inlineStr">
        <is>
          <t>One pack of tickets. We're only ever looking at a single pack.</t>
        </is>
      </c>
      <c r="E17" s="42" t="inlineStr">
        <is>
          <t>Assumptions B8</t>
        </is>
      </c>
    </row>
    <row r="18" ht="44.5" customHeight="1">
      <c r="A18" s="38" t="inlineStr">
        <is>
          <t>Days to expiry (DTE)</t>
        </is>
      </c>
      <c r="B18" s="39" t="inlineStr">
        <is>
          <t>T = DTE / 365</t>
        </is>
      </c>
      <c r="C18" s="40" t="inlineStr">
        <is>
          <t>Calendar days remaining until the option expires, converted to years as T = DTE / 365 for the pricing formula.</t>
        </is>
      </c>
      <c r="D18" s="41" t="inlineStr">
        <is>
          <t>How many days before the ticket stops working.</t>
        </is>
      </c>
      <c r="E18" s="42" t="inlineStr">
        <is>
          <t>Assumptions B7; the VIX x DTE Grid</t>
        </is>
      </c>
    </row>
    <row r="19" ht="20" customHeight="1">
      <c r="A19" s="37" t="inlineStr">
        <is>
          <t>MODEL INPUTS</t>
        </is>
      </c>
    </row>
    <row r="20" ht="44.5" customHeight="1">
      <c r="A20" s="38" t="inlineStr">
        <is>
          <t>Implied volatility / VIX</t>
        </is>
      </c>
      <c r="B20" s="39" t="inlineStr">
        <is>
          <t>sigma  (VIX 12 = sigma 12% p.a.)</t>
        </is>
      </c>
      <c r="C20" s="40" t="inlineStr">
        <is>
          <t>The annualised standard deviation of returns implied by option prices. VIX 12 means 12% per year. Modelled here as FLAT across strikes.</t>
        </is>
      </c>
      <c r="D20" s="41" t="inlineStr">
        <is>
          <t>How jumpy everyone expects prices to be. Jumpier means tickets cost more, because a big move is more likely.</t>
        </is>
      </c>
      <c r="E20" s="42" t="inlineStr">
        <is>
          <t>Assumptions B6; column headers on every grid</t>
        </is>
      </c>
    </row>
    <row r="21" ht="44.5" customHeight="1">
      <c r="A21" s="38" t="inlineStr">
        <is>
          <t>Black-Scholes model</t>
        </is>
      </c>
      <c r="B21" s="39" t="inlineStr">
        <is>
          <t>see the Call option row above</t>
        </is>
      </c>
      <c r="C21" s="40" t="inlineStr">
        <is>
          <t>The standard closed-form option pricing formula. This workbook uses the generalised form with a continuous dividend yield q.</t>
        </is>
      </c>
      <c r="D21" s="41" t="inlineStr">
        <is>
          <t>A famous recipe for working out a fair price for the ticket, using today's price, the ticket price, how long is left, and how jumpy things are.</t>
        </is>
      </c>
      <c r="E21" s="42" t="inlineStr">
        <is>
          <t>BS Engine; every priced cell</t>
        </is>
      </c>
    </row>
    <row r="22" ht="44.5" customHeight="1">
      <c r="A22" s="38" t="inlineStr">
        <is>
          <t>d1 and d2</t>
        </is>
      </c>
      <c r="B22" s="39" t="inlineStr">
        <is>
          <t>d1 = [ln(S/K) + (r - q + sigma^2/2).T] / (sigma.sqrt(T));   d2 = d1 - sigma.sqrt(T)</t>
        </is>
      </c>
      <c r="C22" s="40" t="inlineStr">
        <is>
          <t>The two standardised distance terms inside Black-Scholes. Roughly, how many standard deviations the strike sits from the forward price.</t>
        </is>
      </c>
      <c r="D22" s="41" t="inlineStr">
        <is>
          <t>Bookkeeping numbers the recipe needs. They measure how far away the ticket price is, counted in 'typical wobbles'.</t>
        </is>
      </c>
      <c r="E22" s="42" t="inlineStr">
        <is>
          <t>BS Engine D and E</t>
        </is>
      </c>
    </row>
    <row r="23" ht="20" customHeight="1">
      <c r="A23" s="37" t="inlineStr">
        <is>
          <t>SENSITIVITIES (THE GREEKS)</t>
        </is>
      </c>
    </row>
    <row r="24" ht="44.5" customHeight="1">
      <c r="A24" s="38" t="inlineStr">
        <is>
          <t>Delta</t>
        </is>
      </c>
      <c r="B24" s="39" t="inlineStr">
        <is>
          <t>e^(-qT).N(d1)</t>
        </is>
      </c>
      <c r="C24" s="40" t="inlineStr">
        <is>
          <t>The rate of change of premium with respect to spot: e^(-qT) x N(d1) for a call. Bounded between 0 and 1.</t>
        </is>
      </c>
      <c r="D24" s="41" t="inlineStr">
        <is>
          <t>If the shop price goes up by 1 rupee, how much does your ticket go up? Near 1 for a ticket that's already winning, near 0 for one that isn't.</t>
        </is>
      </c>
      <c r="E24" s="42" t="inlineStr">
        <is>
          <t>BS Engine column L</t>
        </is>
      </c>
    </row>
    <row r="25" ht="44.5" customHeight="1">
      <c r="A25" s="38" t="inlineStr">
        <is>
          <t>Vega</t>
        </is>
      </c>
      <c r="B25" s="39" t="inlineStr">
        <is>
          <t>S.e^(-qT).n(d1).sqrt(T)   x 0.01 per VIX point</t>
        </is>
      </c>
      <c r="C25" s="40" t="inlineStr">
        <is>
          <t>The rate of change of premium with respect to volatility. Expressed here per 1.00 VIX point, and also in rupees per contract.</t>
        </is>
      </c>
      <c r="D25" s="41" t="inlineStr">
        <is>
          <t>How much the ticket price moves when people get more or less jumpy.</t>
        </is>
      </c>
      <c r="E25" s="42" t="inlineStr">
        <is>
          <t>BS Engine M, N and O</t>
        </is>
      </c>
    </row>
    <row r="26" ht="44.5" customHeight="1">
      <c r="A26" s="38" t="inlineStr">
        <is>
          <t>Elasticity to IV</t>
        </is>
      </c>
      <c r="B26" s="39" t="inlineStr">
        <is>
          <t>vega x sigma / C</t>
        </is>
      </c>
      <c r="C26" s="40" t="inlineStr">
        <is>
          <t>vega x sigma / premium: the PERCENTAGE change in premium for a 1% RELATIVE change in implied vol. Dimensionless, so it compares strikes fairly.</t>
        </is>
      </c>
      <c r="D26" s="41" t="inlineStr">
        <is>
          <t>If jumpiness goes up by 1%, how many % does the ticket price go up? Above 1 means the ticket reacts harder than the jumpiness itself moved.</t>
        </is>
      </c>
      <c r="E26" s="42" t="inlineStr">
        <is>
          <t>BS Engine P; the VIX Sensitivity sheet</t>
        </is>
      </c>
    </row>
    <row r="27" ht="44.5" customHeight="1">
      <c r="A27" s="38" t="inlineStr">
        <is>
          <t>Convexity</t>
        </is>
      </c>
      <c r="B27" s="39" t="inlineStr">
        <is>
          <t>d2C/dsigma2 &gt; 0 away from the money</t>
        </is>
      </c>
      <c r="C27" s="40" t="inlineStr">
        <is>
          <t>The premium is a convex function of volatility away from the money, so percentage responses accelerate as strikes move out of the money.</t>
        </is>
      </c>
      <c r="D27" s="41" t="inlineStr">
        <is>
          <t>The ticket doesn't react in a straight line. The more useless the ticket looks today, the more dramatically its price jumps when things get jumpy.</t>
        </is>
      </c>
      <c r="E27" s="42" t="inlineStr">
        <is>
          <t>Visible as the rising elasticity down the VIX Sensitivity sheet</t>
        </is>
      </c>
    </row>
    <row r="28" ht="20" customHeight="1">
      <c r="A28" s="37" t="inlineStr">
        <is>
          <t>MODEL INPUTS</t>
        </is>
      </c>
    </row>
    <row r="29" ht="31" customHeight="1">
      <c r="A29" s="38" t="inlineStr">
        <is>
          <t>Risk-free rate (r)</t>
        </is>
      </c>
      <c r="B29" s="39" t="inlineStr">
        <is>
          <t>r</t>
        </is>
      </c>
      <c r="C29" s="40" t="inlineStr">
        <is>
          <t>The continuously compounded rate used to discount the strike to present value.</t>
        </is>
      </c>
      <c r="D29" s="41" t="inlineStr">
        <is>
          <t>What money earns just sitting safely in the bank.</t>
        </is>
      </c>
      <c r="E29" s="42" t="inlineStr">
        <is>
          <t>Assumptions B3</t>
        </is>
      </c>
    </row>
    <row r="30" ht="44.5" customHeight="1">
      <c r="A30" s="38" t="inlineStr">
        <is>
          <t>Dividend yield (q)</t>
        </is>
      </c>
      <c r="B30" s="39" t="inlineStr">
        <is>
          <t>q</t>
        </is>
      </c>
      <c r="C30" s="40" t="inlineStr">
        <is>
          <t>The continuous payout rate of the index. It lowers the forward price and so slightly lowers call premiums. One workbook uses 1.2%, the other 0.</t>
        </is>
      </c>
      <c r="D30" s="41" t="inlineStr">
        <is>
          <t>Cash the shares pay out to their owners. Ticket holders don't get that cash, so it makes the ticket worth a tiny bit less.</t>
        </is>
      </c>
      <c r="E30" s="42" t="inlineStr">
        <is>
          <t>Assumptions B4</t>
        </is>
      </c>
    </row>
    <row r="31" ht="44.5" customHeight="1">
      <c r="A31" s="38" t="inlineStr">
        <is>
          <t>Forward price</t>
        </is>
      </c>
      <c r="B31" s="39" t="inlineStr">
        <is>
          <t>F = S.e^((r - q).T)</t>
        </is>
      </c>
      <c r="C31" s="40" t="inlineStr">
        <is>
          <t>S x e^((r - q) x T): the price for delivery at expiry rather than today. What the option is really struck against.</t>
        </is>
      </c>
      <c r="D31" s="41" t="inlineStr">
        <is>
          <t>What the thing is expected to cost on the day the ticket runs out, rather than today.</t>
        </is>
      </c>
      <c r="E31" s="42" t="inlineStr">
        <is>
          <t>Implied inside d1 and d2</t>
        </is>
      </c>
    </row>
    <row r="32" ht="20" customHeight="1">
      <c r="A32" s="37" t="inlineStr">
        <is>
          <t>WHAT YOU PAY</t>
        </is>
      </c>
    </row>
    <row r="33" ht="58" customHeight="1">
      <c r="A33" s="38" t="inlineStr">
        <is>
          <t>Premium turnover</t>
        </is>
      </c>
      <c r="B33" s="39" t="inlineStr">
        <is>
          <t>contracts x lot x premium  (here: 1 x 65 x C)</t>
        </is>
      </c>
      <c r="C33" s="40" t="inlineStr">
        <is>
          <t>Market-wide, the total rupee value of option premium traded. With ONE contract and no volume in this workbook, premium turnover collapses to simply the premium of that single contract.</t>
        </is>
      </c>
      <c r="D33" s="41" t="inlineStr">
        <is>
          <t>Normally: all the money everyone spends on tickets added up. Here we only have one pack of tickets, so it's just what that pack costs.</t>
        </is>
      </c>
      <c r="E33" s="42" t="inlineStr">
        <is>
          <t>Premium Grid (in rupees per contract)</t>
        </is>
      </c>
    </row>
    <row r="34" ht="20" customHeight="1">
      <c r="A34" s="37" t="inlineStr">
        <is>
          <t>WHAT IS NOT MODELLED</t>
        </is>
      </c>
    </row>
    <row r="35" ht="44.5" customHeight="1">
      <c r="A35" s="38" t="inlineStr">
        <is>
          <t>Volatility smile / skew</t>
        </is>
      </c>
      <c r="B35" s="39" t="inlineStr">
        <is>
          <t>NOT modelled - sigma is constant in K</t>
        </is>
      </c>
      <c r="C35" s="40" t="inlineStr">
        <is>
          <t>The real market charges different implied vols at different strikes. This workbook deliberately does NOT model that - vol is flat across the ladder.</t>
        </is>
      </c>
      <c r="D35" s="41" t="inlineStr">
        <is>
          <t>In real life, tickets that look useless are charged extra because people are scared of big drops. We've ignored that here to keep things simple.</t>
        </is>
      </c>
      <c r="E35" s="42" t="inlineStr">
        <is>
          <t>NOT modelled - see the caveat on Key Findings</t>
        </is>
      </c>
    </row>
  </sheetData>
  <mergeCells count="8">
    <mergeCell ref="A34:E34"/>
    <mergeCell ref="A15:E15"/>
    <mergeCell ref="A28:E28"/>
    <mergeCell ref="A19:E19"/>
    <mergeCell ref="A11:E11"/>
    <mergeCell ref="A5:E5"/>
    <mergeCell ref="A23:E23"/>
    <mergeCell ref="A32:E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82" customWidth="1" min="4" max="4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s="20" t="inlineStr">
        <is>
          <t>NIFTY Spot (S)</t>
        </is>
      </c>
      <c r="B2" s="29" t="n">
        <v>24500</v>
      </c>
      <c r="C2" s="6" t="inlineStr">
        <is>
          <t>index points</t>
        </is>
      </c>
      <c r="D2" s="22" t="inlineStr">
        <is>
          <t>Hypothetical, fixed per brief</t>
        </is>
      </c>
    </row>
    <row r="3">
      <c r="A3" s="20" t="inlineStr">
        <is>
          <t>Risk-free rate (r)</t>
        </is>
      </c>
      <c r="B3" s="43" t="n">
        <v>0.065</v>
      </c>
      <c r="C3" s="6" t="inlineStr">
        <is>
          <t>% p.a.</t>
        </is>
      </c>
      <c r="D3" s="22" t="inlineStr">
        <is>
          <t>Continuously compounded</t>
        </is>
      </c>
    </row>
    <row r="4">
      <c r="A4" s="20" t="inlineStr">
        <is>
          <t>Dividend yield (q)</t>
        </is>
      </c>
      <c r="B4" s="43" t="n">
        <v>0.012</v>
      </c>
      <c r="C4" s="6" t="inlineStr">
        <is>
          <t>% p.a.</t>
        </is>
      </c>
      <c r="D4" s="22" t="inlineStr">
        <is>
          <t>NIFTY index yield</t>
        </is>
      </c>
    </row>
    <row r="5">
      <c r="A5" s="20" t="inlineStr">
        <is>
          <t>Lot size</t>
        </is>
      </c>
      <c r="B5" s="7" t="n">
        <v>65</v>
      </c>
      <c r="C5" s="6" t="inlineStr">
        <is>
          <t>units/contract</t>
        </is>
      </c>
      <c r="D5" s="22" t="inlineStr">
        <is>
          <t>Per brief</t>
        </is>
      </c>
    </row>
    <row r="6">
      <c r="A6" s="20" t="inlineStr">
        <is>
          <t>Base VIX / implied volatility</t>
        </is>
      </c>
      <c r="B6" s="43" t="n">
        <v>0.12</v>
      </c>
      <c r="C6" s="6" t="inlineStr">
        <is>
          <t>% p.a.</t>
        </is>
      </c>
      <c r="D6" s="22" t="inlineStr">
        <is>
          <t>Flat across strikes - no smile is modelled</t>
        </is>
      </c>
    </row>
    <row r="7">
      <c r="A7" s="20" t="inlineStr">
        <is>
          <t>Days to expiry</t>
        </is>
      </c>
      <c r="B7" s="29" t="n">
        <v>2</v>
      </c>
      <c r="C7" s="6" t="inlineStr">
        <is>
          <t>calendar days</t>
        </is>
      </c>
      <c r="D7" s="22" t="inlineStr">
        <is>
          <t>Per brief</t>
        </is>
      </c>
    </row>
    <row r="8">
      <c r="A8" s="20" t="inlineStr">
        <is>
          <t>Number of contracts</t>
        </is>
      </c>
      <c r="B8" s="7" t="n">
        <v>1</v>
      </c>
      <c r="C8" s="6" t="inlineStr">
        <is>
          <t>contracts</t>
        </is>
      </c>
      <c r="D8" s="22" t="inlineStr">
        <is>
          <t>ONE contract throughout - no volume weighting anywhere in this workbook</t>
        </is>
      </c>
    </row>
    <row r="9">
      <c r="A9" s="20" t="inlineStr">
        <is>
          <t>Time to expiry (T)</t>
        </is>
      </c>
      <c r="B9" s="44">
        <f>Assumptions!$B$7/365</f>
        <v/>
      </c>
      <c r="C9" s="6" t="inlineStr">
        <is>
          <t>years</t>
        </is>
      </c>
      <c r="D9" s="22" t="inlineStr">
        <is>
          <t>Derived</t>
        </is>
      </c>
    </row>
    <row r="10">
      <c r="A10" s="20" t="inlineStr">
        <is>
          <t>SQRT(T)</t>
        </is>
      </c>
      <c r="B10" s="44">
        <f>SQRT(Assumptions!$B$9)</f>
        <v/>
      </c>
      <c r="D10" s="22" t="inlineStr">
        <is>
          <t>Derived</t>
        </is>
      </c>
    </row>
    <row r="12">
      <c r="A12" s="20" t="inlineStr">
        <is>
          <t>Option type</t>
        </is>
      </c>
      <c r="B12" s="45" t="inlineStr">
        <is>
          <t>CALL only</t>
        </is>
      </c>
      <c r="D12" s="22" t="inlineStr">
        <is>
          <t>Per brief. No put leg anywhere in this workbook.</t>
        </is>
      </c>
    </row>
    <row r="13">
      <c r="A13" s="20" t="inlineStr">
        <is>
          <t>Strike ladder</t>
        </is>
      </c>
      <c r="B13" s="6" t="inlineStr">
        <is>
          <t>-2.00% to +2.00%</t>
        </is>
      </c>
      <c r="D13" s="22" t="inlineStr">
        <is>
          <t>0.25% steps, ATM on the ladder - 17 strikes. Strike = Spot x (1 + moneyness), exact, not rounded to the 50-point tradeable grid. Strikes BELOW spot are ITM calls.</t>
        </is>
      </c>
    </row>
    <row r="14">
      <c r="A14" s="20" t="inlineStr">
        <is>
          <t>VIX ladder</t>
        </is>
      </c>
      <c r="B14" s="6" t="inlineStr">
        <is>
          <t>8.0% to 30.0%</t>
        </is>
      </c>
      <c r="D14" s="22" t="inlineStr">
        <is>
          <t>0.5-point steps, base 12 on the ladder (-4 / +18) - 45 levels.</t>
        </is>
      </c>
    </row>
    <row r="17">
      <c r="A17" s="20" t="inlineStr">
        <is>
          <t>Model</t>
        </is>
      </c>
    </row>
    <row r="18">
      <c r="A18" s="22" t="inlineStr">
        <is>
          <t>Generalised Black-Scholes call with continuous dividend yield q.</t>
        </is>
      </c>
    </row>
    <row r="19">
      <c r="A19" s="22" t="inlineStr">
        <is>
          <t>Volatility is FLAT across strikes: no smile or skew, so far-OTM premium here is understated relative to the market, most visibly at the +4% to +5% strikes.</t>
        </is>
      </c>
    </row>
    <row r="20">
      <c r="A20" s="22" t="inlineStr">
        <is>
          <t>Premium per contract (INR) = lot size x call premium in index points. With one contract, premium turnover IS the premium of that contract.</t>
        </is>
      </c>
    </row>
    <row r="21">
      <c r="A21" s="22" t="inlineStr">
        <is>
          <t>Only TIME VALUE responds to volatility. Intrinsic value is fixed by spot and strike, which is why the ITM strikes on the left are barely vol-sensitive.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9" customWidth="1" min="4" max="4"/>
    <col width="9" customWidth="1" min="5" max="5"/>
    <col width="18" customWidth="1" min="6" max="6"/>
    <col width="24" customWidth="1" min="7" max="7"/>
    <col width="14" customWidth="1" min="8" max="8"/>
    <col width="15" customWidth="1" min="9" max="9"/>
    <col width="22" customWidth="1" min="10" max="10"/>
    <col width="20" customWidth="1" min="11" max="11"/>
    <col width="9" customWidth="1" min="12" max="12"/>
    <col width="20" customWidth="1" min="13" max="13"/>
    <col width="27" customWidth="1" min="14" max="14"/>
    <col width="22" customWidth="1" min="15" max="15"/>
    <col width="16" customWidth="1" min="16" max="16"/>
  </cols>
  <sheetData>
    <row r="1">
      <c r="A1" s="1" t="inlineStr">
        <is>
          <t>Moneyness</t>
        </is>
      </c>
      <c r="B1" s="1" t="inlineStr">
        <is>
          <t>Strike</t>
        </is>
      </c>
      <c r="C1" s="1" t="inlineStr">
        <is>
          <t>Call</t>
        </is>
      </c>
      <c r="D1" s="3" t="inlineStr">
        <is>
          <t>d1</t>
        </is>
      </c>
      <c r="E1" s="3" t="inlineStr">
        <is>
          <t>d2</t>
        </is>
      </c>
      <c r="F1" s="2" t="inlineStr">
        <is>
          <t>Call Premium (pts)</t>
        </is>
      </c>
      <c r="G1" s="2" t="inlineStr">
        <is>
          <t>Call Premium (INR/contract)</t>
        </is>
      </c>
      <c r="H1" s="2" t="inlineStr">
        <is>
          <t>Intrinsic (pts)</t>
        </is>
      </c>
      <c r="I1" s="2" t="inlineStr">
        <is>
          <t>Time Value (pts)</t>
        </is>
      </c>
      <c r="J1" s="2" t="inlineStr">
        <is>
          <t>Time Value (INR/contract)</t>
        </is>
      </c>
      <c r="K1" s="3" t="inlineStr">
        <is>
          <t>Time Value % of Premium</t>
        </is>
      </c>
      <c r="L1" s="3" t="inlineStr">
        <is>
          <t>Delta</t>
        </is>
      </c>
      <c r="M1" s="3" t="inlineStr">
        <is>
          <t>Vega (pts per 1 VIX pt)</t>
        </is>
      </c>
      <c r="N1" s="3" t="inlineStr">
        <is>
          <t>Vega (INR/contract per 1 VIX pt)</t>
        </is>
      </c>
      <c r="O1" s="3" t="inlineStr">
        <is>
          <t>INR change per +0.5 VIX pt</t>
        </is>
      </c>
      <c r="P1" s="3" t="inlineStr">
        <is>
          <t>Elasticity to IV</t>
        </is>
      </c>
    </row>
    <row r="2">
      <c r="A2" s="46" t="n">
        <v>-0.02</v>
      </c>
      <c r="B2" s="47">
        <f>Assumptions!$B$2*(1+A2)</f>
        <v/>
      </c>
      <c r="C2" s="28">
        <f>IF(A2&lt;0,"ITM",IF(A2&gt;0,"OTM","ATM"))</f>
        <v/>
      </c>
      <c r="D2" s="48">
        <f>((LN(Assumptions!$B$2/$B2)+(Assumptions!$B$3-Assumptions!$B$4+Assumptions!$B$6^2/2)*Assumptions!$B$9)/(Assumptions!$B$6*Assumptions!$B$10))</f>
        <v/>
      </c>
      <c r="E2" s="48">
        <f>D2-Assumptions!$B$6*Assumptions!$B$10</f>
        <v/>
      </c>
      <c r="F2" s="49">
        <f>MAX(0,Assumptions!$B$2*EXP(-Assumptions!$B$4*Assumptions!$B$9)*NORMSDIST(((LN(Assumptions!$B$2/$B2)+(Assumptions!$B$3-Assumptions!$B$4+Assumptions!$B$6^2/2)*Assumptions!$B$9)/(Assumptions!$B$6*Assumptions!$B$10)))-$B2*EXP(-Assumptions!$B$3*Assumptions!$B$9)*NORMSDIST((((LN(Assumptions!$B$2/$B2)+(Assumptions!$B$3-Assumptions!$B$4+Assumptions!$B$6^2/2)*Assumptions!$B$9)/(Assumptions!$B$6*Assumptions!$B$10))-Assumptions!$B$6*Assumptions!$B$10)))</f>
        <v/>
      </c>
      <c r="G2" s="29">
        <f>F2*Assumptions!$B$5</f>
        <v/>
      </c>
      <c r="H2" s="29">
        <f>MAX(0,Assumptions!$B$2-B2)</f>
        <v/>
      </c>
      <c r="I2" s="29">
        <f>F2-H2</f>
        <v/>
      </c>
      <c r="J2" s="29">
        <f>I2*Assumptions!$B$5</f>
        <v/>
      </c>
      <c r="K2" s="31">
        <f>IF(F2&lt;=0,"",I2/F2)</f>
        <v/>
      </c>
      <c r="L2" s="50">
        <f>EXP(-Assumptions!$B$4*Assumptions!$B$9)*NORMSDIST(D2)</f>
        <v/>
      </c>
      <c r="M2" s="18">
        <f>Assumptions!$B$2*EXP(-Assumptions!$B$4*Assumptions!$B$9)*NORMDIST(((LN(Assumptions!$B$2/$B2)+(Assumptions!$B$3-Assumptions!$B$4+Assumptions!$B$6^2/2)*Assumptions!$B$9)/(Assumptions!$B$6*Assumptions!$B$10)),0,1,FALSE)*Assumptions!$B$10*0.01</f>
        <v/>
      </c>
      <c r="N2" s="32">
        <f>M2*Assumptions!$B$5</f>
        <v/>
      </c>
      <c r="O2" s="32">
        <f>N2*0.5</f>
        <v/>
      </c>
      <c r="P2" s="32">
        <f>IF(F2&lt;=0,"",M2*(Assumptions!$B$6/0.01)/F2)</f>
        <v/>
      </c>
    </row>
    <row r="3">
      <c r="A3" s="46" t="n">
        <v>-0.0175</v>
      </c>
      <c r="B3" s="47">
        <f>Assumptions!$B$2*(1+A3)</f>
        <v/>
      </c>
      <c r="C3" s="28">
        <f>IF(A3&lt;0,"ITM",IF(A3&gt;0,"OTM","ATM"))</f>
        <v/>
      </c>
      <c r="D3" s="48">
        <f>((LN(Assumptions!$B$2/$B3)+(Assumptions!$B$3-Assumptions!$B$4+Assumptions!$B$6^2/2)*Assumptions!$B$9)/(Assumptions!$B$6*Assumptions!$B$10))</f>
        <v/>
      </c>
      <c r="E3" s="48">
        <f>D3-Assumptions!$B$6*Assumptions!$B$10</f>
        <v/>
      </c>
      <c r="F3" s="49">
        <f>MAX(0,Assumptions!$B$2*EXP(-Assumptions!$B$4*Assumptions!$B$9)*NORMSDIST(((LN(Assumptions!$B$2/$B3)+(Assumptions!$B$3-Assumptions!$B$4+Assumptions!$B$6^2/2)*Assumptions!$B$9)/(Assumptions!$B$6*Assumptions!$B$10)))-$B3*EXP(-Assumptions!$B$3*Assumptions!$B$9)*NORMSDIST((((LN(Assumptions!$B$2/$B3)+(Assumptions!$B$3-Assumptions!$B$4+Assumptions!$B$6^2/2)*Assumptions!$B$9)/(Assumptions!$B$6*Assumptions!$B$10))-Assumptions!$B$6*Assumptions!$B$10)))</f>
        <v/>
      </c>
      <c r="G3" s="29">
        <f>F3*Assumptions!$B$5</f>
        <v/>
      </c>
      <c r="H3" s="29">
        <f>MAX(0,Assumptions!$B$2-B3)</f>
        <v/>
      </c>
      <c r="I3" s="29">
        <f>F3-H3</f>
        <v/>
      </c>
      <c r="J3" s="29">
        <f>I3*Assumptions!$B$5</f>
        <v/>
      </c>
      <c r="K3" s="31">
        <f>IF(F3&lt;=0,"",I3/F3)</f>
        <v/>
      </c>
      <c r="L3" s="50">
        <f>EXP(-Assumptions!$B$4*Assumptions!$B$9)*NORMSDIST(D3)</f>
        <v/>
      </c>
      <c r="M3" s="18">
        <f>Assumptions!$B$2*EXP(-Assumptions!$B$4*Assumptions!$B$9)*NORMDIST(((LN(Assumptions!$B$2/$B3)+(Assumptions!$B$3-Assumptions!$B$4+Assumptions!$B$6^2/2)*Assumptions!$B$9)/(Assumptions!$B$6*Assumptions!$B$10)),0,1,FALSE)*Assumptions!$B$10*0.01</f>
        <v/>
      </c>
      <c r="N3" s="32">
        <f>M3*Assumptions!$B$5</f>
        <v/>
      </c>
      <c r="O3" s="32">
        <f>N3*0.5</f>
        <v/>
      </c>
      <c r="P3" s="32">
        <f>IF(F3&lt;=0,"",M3*(Assumptions!$B$6/0.01)/F3)</f>
        <v/>
      </c>
    </row>
    <row r="4">
      <c r="A4" s="46" t="n">
        <v>-0.015</v>
      </c>
      <c r="B4" s="47">
        <f>Assumptions!$B$2*(1+A4)</f>
        <v/>
      </c>
      <c r="C4" s="28">
        <f>IF(A4&lt;0,"ITM",IF(A4&gt;0,"OTM","ATM"))</f>
        <v/>
      </c>
      <c r="D4" s="48">
        <f>((LN(Assumptions!$B$2/$B4)+(Assumptions!$B$3-Assumptions!$B$4+Assumptions!$B$6^2/2)*Assumptions!$B$9)/(Assumptions!$B$6*Assumptions!$B$10))</f>
        <v/>
      </c>
      <c r="E4" s="48">
        <f>D4-Assumptions!$B$6*Assumptions!$B$10</f>
        <v/>
      </c>
      <c r="F4" s="49">
        <f>MAX(0,Assumptions!$B$2*EXP(-Assumptions!$B$4*Assumptions!$B$9)*NORMSDIST(((LN(Assumptions!$B$2/$B4)+(Assumptions!$B$3-Assumptions!$B$4+Assumptions!$B$6^2/2)*Assumptions!$B$9)/(Assumptions!$B$6*Assumptions!$B$10)))-$B4*EXP(-Assumptions!$B$3*Assumptions!$B$9)*NORMSDIST((((LN(Assumptions!$B$2/$B4)+(Assumptions!$B$3-Assumptions!$B$4+Assumptions!$B$6^2/2)*Assumptions!$B$9)/(Assumptions!$B$6*Assumptions!$B$10))-Assumptions!$B$6*Assumptions!$B$10)))</f>
        <v/>
      </c>
      <c r="G4" s="29">
        <f>F4*Assumptions!$B$5</f>
        <v/>
      </c>
      <c r="H4" s="29">
        <f>MAX(0,Assumptions!$B$2-B4)</f>
        <v/>
      </c>
      <c r="I4" s="29">
        <f>F4-H4</f>
        <v/>
      </c>
      <c r="J4" s="29">
        <f>I4*Assumptions!$B$5</f>
        <v/>
      </c>
      <c r="K4" s="31">
        <f>IF(F4&lt;=0,"",I4/F4)</f>
        <v/>
      </c>
      <c r="L4" s="50">
        <f>EXP(-Assumptions!$B$4*Assumptions!$B$9)*NORMSDIST(D4)</f>
        <v/>
      </c>
      <c r="M4" s="18">
        <f>Assumptions!$B$2*EXP(-Assumptions!$B$4*Assumptions!$B$9)*NORMDIST(((LN(Assumptions!$B$2/$B4)+(Assumptions!$B$3-Assumptions!$B$4+Assumptions!$B$6^2/2)*Assumptions!$B$9)/(Assumptions!$B$6*Assumptions!$B$10)),0,1,FALSE)*Assumptions!$B$10*0.01</f>
        <v/>
      </c>
      <c r="N4" s="32">
        <f>M4*Assumptions!$B$5</f>
        <v/>
      </c>
      <c r="O4" s="32">
        <f>N4*0.5</f>
        <v/>
      </c>
      <c r="P4" s="32">
        <f>IF(F4&lt;=0,"",M4*(Assumptions!$B$6/0.01)/F4)</f>
        <v/>
      </c>
    </row>
    <row r="5">
      <c r="A5" s="46" t="n">
        <v>-0.0125</v>
      </c>
      <c r="B5" s="47">
        <f>Assumptions!$B$2*(1+A5)</f>
        <v/>
      </c>
      <c r="C5" s="28">
        <f>IF(A5&lt;0,"ITM",IF(A5&gt;0,"OTM","ATM"))</f>
        <v/>
      </c>
      <c r="D5" s="48">
        <f>((LN(Assumptions!$B$2/$B5)+(Assumptions!$B$3-Assumptions!$B$4+Assumptions!$B$6^2/2)*Assumptions!$B$9)/(Assumptions!$B$6*Assumptions!$B$10))</f>
        <v/>
      </c>
      <c r="E5" s="48">
        <f>D5-Assumptions!$B$6*Assumptions!$B$10</f>
        <v/>
      </c>
      <c r="F5" s="49">
        <f>MAX(0,Assumptions!$B$2*EXP(-Assumptions!$B$4*Assumptions!$B$9)*NORMSDIST(((LN(Assumptions!$B$2/$B5)+(Assumptions!$B$3-Assumptions!$B$4+Assumptions!$B$6^2/2)*Assumptions!$B$9)/(Assumptions!$B$6*Assumptions!$B$10)))-$B5*EXP(-Assumptions!$B$3*Assumptions!$B$9)*NORMSDIST((((LN(Assumptions!$B$2/$B5)+(Assumptions!$B$3-Assumptions!$B$4+Assumptions!$B$6^2/2)*Assumptions!$B$9)/(Assumptions!$B$6*Assumptions!$B$10))-Assumptions!$B$6*Assumptions!$B$10)))</f>
        <v/>
      </c>
      <c r="G5" s="29">
        <f>F5*Assumptions!$B$5</f>
        <v/>
      </c>
      <c r="H5" s="29">
        <f>MAX(0,Assumptions!$B$2-B5)</f>
        <v/>
      </c>
      <c r="I5" s="29">
        <f>F5-H5</f>
        <v/>
      </c>
      <c r="J5" s="29">
        <f>I5*Assumptions!$B$5</f>
        <v/>
      </c>
      <c r="K5" s="31">
        <f>IF(F5&lt;=0,"",I5/F5)</f>
        <v/>
      </c>
      <c r="L5" s="50">
        <f>EXP(-Assumptions!$B$4*Assumptions!$B$9)*NORMSDIST(D5)</f>
        <v/>
      </c>
      <c r="M5" s="18">
        <f>Assumptions!$B$2*EXP(-Assumptions!$B$4*Assumptions!$B$9)*NORMDIST(((LN(Assumptions!$B$2/$B5)+(Assumptions!$B$3-Assumptions!$B$4+Assumptions!$B$6^2/2)*Assumptions!$B$9)/(Assumptions!$B$6*Assumptions!$B$10)),0,1,FALSE)*Assumptions!$B$10*0.01</f>
        <v/>
      </c>
      <c r="N5" s="32">
        <f>M5*Assumptions!$B$5</f>
        <v/>
      </c>
      <c r="O5" s="32">
        <f>N5*0.5</f>
        <v/>
      </c>
      <c r="P5" s="32">
        <f>IF(F5&lt;=0,"",M5*(Assumptions!$B$6/0.01)/F5)</f>
        <v/>
      </c>
    </row>
    <row r="6">
      <c r="A6" s="46" t="n">
        <v>-0.01</v>
      </c>
      <c r="B6" s="47">
        <f>Assumptions!$B$2*(1+A6)</f>
        <v/>
      </c>
      <c r="C6" s="28">
        <f>IF(A6&lt;0,"ITM",IF(A6&gt;0,"OTM","ATM"))</f>
        <v/>
      </c>
      <c r="D6" s="48">
        <f>((LN(Assumptions!$B$2/$B6)+(Assumptions!$B$3-Assumptions!$B$4+Assumptions!$B$6^2/2)*Assumptions!$B$9)/(Assumptions!$B$6*Assumptions!$B$10))</f>
        <v/>
      </c>
      <c r="E6" s="48">
        <f>D6-Assumptions!$B$6*Assumptions!$B$10</f>
        <v/>
      </c>
      <c r="F6" s="49">
        <f>MAX(0,Assumptions!$B$2*EXP(-Assumptions!$B$4*Assumptions!$B$9)*NORMSDIST(((LN(Assumptions!$B$2/$B6)+(Assumptions!$B$3-Assumptions!$B$4+Assumptions!$B$6^2/2)*Assumptions!$B$9)/(Assumptions!$B$6*Assumptions!$B$10)))-$B6*EXP(-Assumptions!$B$3*Assumptions!$B$9)*NORMSDIST((((LN(Assumptions!$B$2/$B6)+(Assumptions!$B$3-Assumptions!$B$4+Assumptions!$B$6^2/2)*Assumptions!$B$9)/(Assumptions!$B$6*Assumptions!$B$10))-Assumptions!$B$6*Assumptions!$B$10)))</f>
        <v/>
      </c>
      <c r="G6" s="29">
        <f>F6*Assumptions!$B$5</f>
        <v/>
      </c>
      <c r="H6" s="29">
        <f>MAX(0,Assumptions!$B$2-B6)</f>
        <v/>
      </c>
      <c r="I6" s="29">
        <f>F6-H6</f>
        <v/>
      </c>
      <c r="J6" s="29">
        <f>I6*Assumptions!$B$5</f>
        <v/>
      </c>
      <c r="K6" s="31">
        <f>IF(F6&lt;=0,"",I6/F6)</f>
        <v/>
      </c>
      <c r="L6" s="50">
        <f>EXP(-Assumptions!$B$4*Assumptions!$B$9)*NORMSDIST(D6)</f>
        <v/>
      </c>
      <c r="M6" s="18">
        <f>Assumptions!$B$2*EXP(-Assumptions!$B$4*Assumptions!$B$9)*NORMDIST(((LN(Assumptions!$B$2/$B6)+(Assumptions!$B$3-Assumptions!$B$4+Assumptions!$B$6^2/2)*Assumptions!$B$9)/(Assumptions!$B$6*Assumptions!$B$10)),0,1,FALSE)*Assumptions!$B$10*0.01</f>
        <v/>
      </c>
      <c r="N6" s="32">
        <f>M6*Assumptions!$B$5</f>
        <v/>
      </c>
      <c r="O6" s="32">
        <f>N6*0.5</f>
        <v/>
      </c>
      <c r="P6" s="32">
        <f>IF(F6&lt;=0,"",M6*(Assumptions!$B$6/0.01)/F6)</f>
        <v/>
      </c>
    </row>
    <row r="7">
      <c r="A7" s="46" t="n">
        <v>-0.0075</v>
      </c>
      <c r="B7" s="47">
        <f>Assumptions!$B$2*(1+A7)</f>
        <v/>
      </c>
      <c r="C7" s="28">
        <f>IF(A7&lt;0,"ITM",IF(A7&gt;0,"OTM","ATM"))</f>
        <v/>
      </c>
      <c r="D7" s="48">
        <f>((LN(Assumptions!$B$2/$B7)+(Assumptions!$B$3-Assumptions!$B$4+Assumptions!$B$6^2/2)*Assumptions!$B$9)/(Assumptions!$B$6*Assumptions!$B$10))</f>
        <v/>
      </c>
      <c r="E7" s="48">
        <f>D7-Assumptions!$B$6*Assumptions!$B$10</f>
        <v/>
      </c>
      <c r="F7" s="49">
        <f>MAX(0,Assumptions!$B$2*EXP(-Assumptions!$B$4*Assumptions!$B$9)*NORMSDIST(((LN(Assumptions!$B$2/$B7)+(Assumptions!$B$3-Assumptions!$B$4+Assumptions!$B$6^2/2)*Assumptions!$B$9)/(Assumptions!$B$6*Assumptions!$B$10)))-$B7*EXP(-Assumptions!$B$3*Assumptions!$B$9)*NORMSDIST((((LN(Assumptions!$B$2/$B7)+(Assumptions!$B$3-Assumptions!$B$4+Assumptions!$B$6^2/2)*Assumptions!$B$9)/(Assumptions!$B$6*Assumptions!$B$10))-Assumptions!$B$6*Assumptions!$B$10)))</f>
        <v/>
      </c>
      <c r="G7" s="29">
        <f>F7*Assumptions!$B$5</f>
        <v/>
      </c>
      <c r="H7" s="29">
        <f>MAX(0,Assumptions!$B$2-B7)</f>
        <v/>
      </c>
      <c r="I7" s="29">
        <f>F7-H7</f>
        <v/>
      </c>
      <c r="J7" s="29">
        <f>I7*Assumptions!$B$5</f>
        <v/>
      </c>
      <c r="K7" s="31">
        <f>IF(F7&lt;=0,"",I7/F7)</f>
        <v/>
      </c>
      <c r="L7" s="50">
        <f>EXP(-Assumptions!$B$4*Assumptions!$B$9)*NORMSDIST(D7)</f>
        <v/>
      </c>
      <c r="M7" s="18">
        <f>Assumptions!$B$2*EXP(-Assumptions!$B$4*Assumptions!$B$9)*NORMDIST(((LN(Assumptions!$B$2/$B7)+(Assumptions!$B$3-Assumptions!$B$4+Assumptions!$B$6^2/2)*Assumptions!$B$9)/(Assumptions!$B$6*Assumptions!$B$10)),0,1,FALSE)*Assumptions!$B$10*0.01</f>
        <v/>
      </c>
      <c r="N7" s="32">
        <f>M7*Assumptions!$B$5</f>
        <v/>
      </c>
      <c r="O7" s="32">
        <f>N7*0.5</f>
        <v/>
      </c>
      <c r="P7" s="32">
        <f>IF(F7&lt;=0,"",M7*(Assumptions!$B$6/0.01)/F7)</f>
        <v/>
      </c>
    </row>
    <row r="8">
      <c r="A8" s="46" t="n">
        <v>-0.005</v>
      </c>
      <c r="B8" s="47">
        <f>Assumptions!$B$2*(1+A8)</f>
        <v/>
      </c>
      <c r="C8" s="28">
        <f>IF(A8&lt;0,"ITM",IF(A8&gt;0,"OTM","ATM"))</f>
        <v/>
      </c>
      <c r="D8" s="48">
        <f>((LN(Assumptions!$B$2/$B8)+(Assumptions!$B$3-Assumptions!$B$4+Assumptions!$B$6^2/2)*Assumptions!$B$9)/(Assumptions!$B$6*Assumptions!$B$10))</f>
        <v/>
      </c>
      <c r="E8" s="48">
        <f>D8-Assumptions!$B$6*Assumptions!$B$10</f>
        <v/>
      </c>
      <c r="F8" s="49">
        <f>MAX(0,Assumptions!$B$2*EXP(-Assumptions!$B$4*Assumptions!$B$9)*NORMSDIST(((LN(Assumptions!$B$2/$B8)+(Assumptions!$B$3-Assumptions!$B$4+Assumptions!$B$6^2/2)*Assumptions!$B$9)/(Assumptions!$B$6*Assumptions!$B$10)))-$B8*EXP(-Assumptions!$B$3*Assumptions!$B$9)*NORMSDIST((((LN(Assumptions!$B$2/$B8)+(Assumptions!$B$3-Assumptions!$B$4+Assumptions!$B$6^2/2)*Assumptions!$B$9)/(Assumptions!$B$6*Assumptions!$B$10))-Assumptions!$B$6*Assumptions!$B$10)))</f>
        <v/>
      </c>
      <c r="G8" s="29">
        <f>F8*Assumptions!$B$5</f>
        <v/>
      </c>
      <c r="H8" s="29">
        <f>MAX(0,Assumptions!$B$2-B8)</f>
        <v/>
      </c>
      <c r="I8" s="29">
        <f>F8-H8</f>
        <v/>
      </c>
      <c r="J8" s="29">
        <f>I8*Assumptions!$B$5</f>
        <v/>
      </c>
      <c r="K8" s="31">
        <f>IF(F8&lt;=0,"",I8/F8)</f>
        <v/>
      </c>
      <c r="L8" s="50">
        <f>EXP(-Assumptions!$B$4*Assumptions!$B$9)*NORMSDIST(D8)</f>
        <v/>
      </c>
      <c r="M8" s="18">
        <f>Assumptions!$B$2*EXP(-Assumptions!$B$4*Assumptions!$B$9)*NORMDIST(((LN(Assumptions!$B$2/$B8)+(Assumptions!$B$3-Assumptions!$B$4+Assumptions!$B$6^2/2)*Assumptions!$B$9)/(Assumptions!$B$6*Assumptions!$B$10)),0,1,FALSE)*Assumptions!$B$10*0.01</f>
        <v/>
      </c>
      <c r="N8" s="32">
        <f>M8*Assumptions!$B$5</f>
        <v/>
      </c>
      <c r="O8" s="32">
        <f>N8*0.5</f>
        <v/>
      </c>
      <c r="P8" s="32">
        <f>IF(F8&lt;=0,"",M8*(Assumptions!$B$6/0.01)/F8)</f>
        <v/>
      </c>
    </row>
    <row r="9">
      <c r="A9" s="46" t="n">
        <v>-0.0025</v>
      </c>
      <c r="B9" s="47">
        <f>Assumptions!$B$2*(1+A9)</f>
        <v/>
      </c>
      <c r="C9" s="28">
        <f>IF(A9&lt;0,"ITM",IF(A9&gt;0,"OTM","ATM"))</f>
        <v/>
      </c>
      <c r="D9" s="48">
        <f>((LN(Assumptions!$B$2/$B9)+(Assumptions!$B$3-Assumptions!$B$4+Assumptions!$B$6^2/2)*Assumptions!$B$9)/(Assumptions!$B$6*Assumptions!$B$10))</f>
        <v/>
      </c>
      <c r="E9" s="48">
        <f>D9-Assumptions!$B$6*Assumptions!$B$10</f>
        <v/>
      </c>
      <c r="F9" s="49">
        <f>MAX(0,Assumptions!$B$2*EXP(-Assumptions!$B$4*Assumptions!$B$9)*NORMSDIST(((LN(Assumptions!$B$2/$B9)+(Assumptions!$B$3-Assumptions!$B$4+Assumptions!$B$6^2/2)*Assumptions!$B$9)/(Assumptions!$B$6*Assumptions!$B$10)))-$B9*EXP(-Assumptions!$B$3*Assumptions!$B$9)*NORMSDIST((((LN(Assumptions!$B$2/$B9)+(Assumptions!$B$3-Assumptions!$B$4+Assumptions!$B$6^2/2)*Assumptions!$B$9)/(Assumptions!$B$6*Assumptions!$B$10))-Assumptions!$B$6*Assumptions!$B$10)))</f>
        <v/>
      </c>
      <c r="G9" s="29">
        <f>F9*Assumptions!$B$5</f>
        <v/>
      </c>
      <c r="H9" s="29">
        <f>MAX(0,Assumptions!$B$2-B9)</f>
        <v/>
      </c>
      <c r="I9" s="29">
        <f>F9-H9</f>
        <v/>
      </c>
      <c r="J9" s="29">
        <f>I9*Assumptions!$B$5</f>
        <v/>
      </c>
      <c r="K9" s="31">
        <f>IF(F9&lt;=0,"",I9/F9)</f>
        <v/>
      </c>
      <c r="L9" s="50">
        <f>EXP(-Assumptions!$B$4*Assumptions!$B$9)*NORMSDIST(D9)</f>
        <v/>
      </c>
      <c r="M9" s="18">
        <f>Assumptions!$B$2*EXP(-Assumptions!$B$4*Assumptions!$B$9)*NORMDIST(((LN(Assumptions!$B$2/$B9)+(Assumptions!$B$3-Assumptions!$B$4+Assumptions!$B$6^2/2)*Assumptions!$B$9)/(Assumptions!$B$6*Assumptions!$B$10)),0,1,FALSE)*Assumptions!$B$10*0.01</f>
        <v/>
      </c>
      <c r="N9" s="32">
        <f>M9*Assumptions!$B$5</f>
        <v/>
      </c>
      <c r="O9" s="32">
        <f>N9*0.5</f>
        <v/>
      </c>
      <c r="P9" s="32">
        <f>IF(F9&lt;=0,"",M9*(Assumptions!$B$6/0.01)/F9)</f>
        <v/>
      </c>
    </row>
    <row r="10">
      <c r="A10" s="46" t="n">
        <v>0</v>
      </c>
      <c r="B10" s="47">
        <f>Assumptions!$B$2*(1+A10)</f>
        <v/>
      </c>
      <c r="C10" s="28">
        <f>IF(A10&lt;0,"ITM",IF(A10&gt;0,"OTM","ATM"))</f>
        <v/>
      </c>
      <c r="D10" s="48">
        <f>((LN(Assumptions!$B$2/$B10)+(Assumptions!$B$3-Assumptions!$B$4+Assumptions!$B$6^2/2)*Assumptions!$B$9)/(Assumptions!$B$6*Assumptions!$B$10))</f>
        <v/>
      </c>
      <c r="E10" s="48">
        <f>D10-Assumptions!$B$6*Assumptions!$B$10</f>
        <v/>
      </c>
      <c r="F10" s="49">
        <f>MAX(0,Assumptions!$B$2*EXP(-Assumptions!$B$4*Assumptions!$B$9)*NORMSDIST(((LN(Assumptions!$B$2/$B10)+(Assumptions!$B$3-Assumptions!$B$4+Assumptions!$B$6^2/2)*Assumptions!$B$9)/(Assumptions!$B$6*Assumptions!$B$10)))-$B10*EXP(-Assumptions!$B$3*Assumptions!$B$9)*NORMSDIST((((LN(Assumptions!$B$2/$B10)+(Assumptions!$B$3-Assumptions!$B$4+Assumptions!$B$6^2/2)*Assumptions!$B$9)/(Assumptions!$B$6*Assumptions!$B$10))-Assumptions!$B$6*Assumptions!$B$10)))</f>
        <v/>
      </c>
      <c r="G10" s="29">
        <f>F10*Assumptions!$B$5</f>
        <v/>
      </c>
      <c r="H10" s="29">
        <f>MAX(0,Assumptions!$B$2-B10)</f>
        <v/>
      </c>
      <c r="I10" s="29">
        <f>F10-H10</f>
        <v/>
      </c>
      <c r="J10" s="29">
        <f>I10*Assumptions!$B$5</f>
        <v/>
      </c>
      <c r="K10" s="31">
        <f>IF(F10&lt;=0,"",I10/F10)</f>
        <v/>
      </c>
      <c r="L10" s="50">
        <f>EXP(-Assumptions!$B$4*Assumptions!$B$9)*NORMSDIST(D10)</f>
        <v/>
      </c>
      <c r="M10" s="18">
        <f>Assumptions!$B$2*EXP(-Assumptions!$B$4*Assumptions!$B$9)*NORMDIST(((LN(Assumptions!$B$2/$B10)+(Assumptions!$B$3-Assumptions!$B$4+Assumptions!$B$6^2/2)*Assumptions!$B$9)/(Assumptions!$B$6*Assumptions!$B$10)),0,1,FALSE)*Assumptions!$B$10*0.01</f>
        <v/>
      </c>
      <c r="N10" s="32">
        <f>M10*Assumptions!$B$5</f>
        <v/>
      </c>
      <c r="O10" s="32">
        <f>N10*0.5</f>
        <v/>
      </c>
      <c r="P10" s="32">
        <f>IF(F10&lt;=0,"",M10*(Assumptions!$B$6/0.01)/F10)</f>
        <v/>
      </c>
    </row>
    <row r="11">
      <c r="A11" s="46" t="n">
        <v>0.0025</v>
      </c>
      <c r="B11" s="47">
        <f>Assumptions!$B$2*(1+A11)</f>
        <v/>
      </c>
      <c r="C11" s="28">
        <f>IF(A11&lt;0,"ITM",IF(A11&gt;0,"OTM","ATM"))</f>
        <v/>
      </c>
      <c r="D11" s="48">
        <f>((LN(Assumptions!$B$2/$B11)+(Assumptions!$B$3-Assumptions!$B$4+Assumptions!$B$6^2/2)*Assumptions!$B$9)/(Assumptions!$B$6*Assumptions!$B$10))</f>
        <v/>
      </c>
      <c r="E11" s="48">
        <f>D11-Assumptions!$B$6*Assumptions!$B$10</f>
        <v/>
      </c>
      <c r="F11" s="49">
        <f>MAX(0,Assumptions!$B$2*EXP(-Assumptions!$B$4*Assumptions!$B$9)*NORMSDIST(((LN(Assumptions!$B$2/$B11)+(Assumptions!$B$3-Assumptions!$B$4+Assumptions!$B$6^2/2)*Assumptions!$B$9)/(Assumptions!$B$6*Assumptions!$B$10)))-$B11*EXP(-Assumptions!$B$3*Assumptions!$B$9)*NORMSDIST((((LN(Assumptions!$B$2/$B11)+(Assumptions!$B$3-Assumptions!$B$4+Assumptions!$B$6^2/2)*Assumptions!$B$9)/(Assumptions!$B$6*Assumptions!$B$10))-Assumptions!$B$6*Assumptions!$B$10)))</f>
        <v/>
      </c>
      <c r="G11" s="29">
        <f>F11*Assumptions!$B$5</f>
        <v/>
      </c>
      <c r="H11" s="29">
        <f>MAX(0,Assumptions!$B$2-B11)</f>
        <v/>
      </c>
      <c r="I11" s="29">
        <f>F11-H11</f>
        <v/>
      </c>
      <c r="J11" s="29">
        <f>I11*Assumptions!$B$5</f>
        <v/>
      </c>
      <c r="K11" s="31">
        <f>IF(F11&lt;=0,"",I11/F11)</f>
        <v/>
      </c>
      <c r="L11" s="50">
        <f>EXP(-Assumptions!$B$4*Assumptions!$B$9)*NORMSDIST(D11)</f>
        <v/>
      </c>
      <c r="M11" s="18">
        <f>Assumptions!$B$2*EXP(-Assumptions!$B$4*Assumptions!$B$9)*NORMDIST(((LN(Assumptions!$B$2/$B11)+(Assumptions!$B$3-Assumptions!$B$4+Assumptions!$B$6^2/2)*Assumptions!$B$9)/(Assumptions!$B$6*Assumptions!$B$10)),0,1,FALSE)*Assumptions!$B$10*0.01</f>
        <v/>
      </c>
      <c r="N11" s="32">
        <f>M11*Assumptions!$B$5</f>
        <v/>
      </c>
      <c r="O11" s="32">
        <f>N11*0.5</f>
        <v/>
      </c>
      <c r="P11" s="32">
        <f>IF(F11&lt;=0,"",M11*(Assumptions!$B$6/0.01)/F11)</f>
        <v/>
      </c>
    </row>
    <row r="12">
      <c r="A12" s="46" t="n">
        <v>0.005</v>
      </c>
      <c r="B12" s="47">
        <f>Assumptions!$B$2*(1+A12)</f>
        <v/>
      </c>
      <c r="C12" s="28">
        <f>IF(A12&lt;0,"ITM",IF(A12&gt;0,"OTM","ATM"))</f>
        <v/>
      </c>
      <c r="D12" s="48">
        <f>((LN(Assumptions!$B$2/$B12)+(Assumptions!$B$3-Assumptions!$B$4+Assumptions!$B$6^2/2)*Assumptions!$B$9)/(Assumptions!$B$6*Assumptions!$B$10))</f>
        <v/>
      </c>
      <c r="E12" s="48">
        <f>D12-Assumptions!$B$6*Assumptions!$B$10</f>
        <v/>
      </c>
      <c r="F12" s="49">
        <f>MAX(0,Assumptions!$B$2*EXP(-Assumptions!$B$4*Assumptions!$B$9)*NORMSDIST(((LN(Assumptions!$B$2/$B12)+(Assumptions!$B$3-Assumptions!$B$4+Assumptions!$B$6^2/2)*Assumptions!$B$9)/(Assumptions!$B$6*Assumptions!$B$10)))-$B12*EXP(-Assumptions!$B$3*Assumptions!$B$9)*NORMSDIST((((LN(Assumptions!$B$2/$B12)+(Assumptions!$B$3-Assumptions!$B$4+Assumptions!$B$6^2/2)*Assumptions!$B$9)/(Assumptions!$B$6*Assumptions!$B$10))-Assumptions!$B$6*Assumptions!$B$10)))</f>
        <v/>
      </c>
      <c r="G12" s="29">
        <f>F12*Assumptions!$B$5</f>
        <v/>
      </c>
      <c r="H12" s="29">
        <f>MAX(0,Assumptions!$B$2-B12)</f>
        <v/>
      </c>
      <c r="I12" s="29">
        <f>F12-H12</f>
        <v/>
      </c>
      <c r="J12" s="29">
        <f>I12*Assumptions!$B$5</f>
        <v/>
      </c>
      <c r="K12" s="31">
        <f>IF(F12&lt;=0,"",I12/F12)</f>
        <v/>
      </c>
      <c r="L12" s="50">
        <f>EXP(-Assumptions!$B$4*Assumptions!$B$9)*NORMSDIST(D12)</f>
        <v/>
      </c>
      <c r="M12" s="18">
        <f>Assumptions!$B$2*EXP(-Assumptions!$B$4*Assumptions!$B$9)*NORMDIST(((LN(Assumptions!$B$2/$B12)+(Assumptions!$B$3-Assumptions!$B$4+Assumptions!$B$6^2/2)*Assumptions!$B$9)/(Assumptions!$B$6*Assumptions!$B$10)),0,1,FALSE)*Assumptions!$B$10*0.01</f>
        <v/>
      </c>
      <c r="N12" s="32">
        <f>M12*Assumptions!$B$5</f>
        <v/>
      </c>
      <c r="O12" s="32">
        <f>N12*0.5</f>
        <v/>
      </c>
      <c r="P12" s="32">
        <f>IF(F12&lt;=0,"",M12*(Assumptions!$B$6/0.01)/F12)</f>
        <v/>
      </c>
    </row>
    <row r="13">
      <c r="A13" s="46" t="n">
        <v>0.0075</v>
      </c>
      <c r="B13" s="47">
        <f>Assumptions!$B$2*(1+A13)</f>
        <v/>
      </c>
      <c r="C13" s="28">
        <f>IF(A13&lt;0,"ITM",IF(A13&gt;0,"OTM","ATM"))</f>
        <v/>
      </c>
      <c r="D13" s="48">
        <f>((LN(Assumptions!$B$2/$B13)+(Assumptions!$B$3-Assumptions!$B$4+Assumptions!$B$6^2/2)*Assumptions!$B$9)/(Assumptions!$B$6*Assumptions!$B$10))</f>
        <v/>
      </c>
      <c r="E13" s="48">
        <f>D13-Assumptions!$B$6*Assumptions!$B$10</f>
        <v/>
      </c>
      <c r="F13" s="49">
        <f>MAX(0,Assumptions!$B$2*EXP(-Assumptions!$B$4*Assumptions!$B$9)*NORMSDIST(((LN(Assumptions!$B$2/$B13)+(Assumptions!$B$3-Assumptions!$B$4+Assumptions!$B$6^2/2)*Assumptions!$B$9)/(Assumptions!$B$6*Assumptions!$B$10)))-$B13*EXP(-Assumptions!$B$3*Assumptions!$B$9)*NORMSDIST((((LN(Assumptions!$B$2/$B13)+(Assumptions!$B$3-Assumptions!$B$4+Assumptions!$B$6^2/2)*Assumptions!$B$9)/(Assumptions!$B$6*Assumptions!$B$10))-Assumptions!$B$6*Assumptions!$B$10)))</f>
        <v/>
      </c>
      <c r="G13" s="29">
        <f>F13*Assumptions!$B$5</f>
        <v/>
      </c>
      <c r="H13" s="29">
        <f>MAX(0,Assumptions!$B$2-B13)</f>
        <v/>
      </c>
      <c r="I13" s="29">
        <f>F13-H13</f>
        <v/>
      </c>
      <c r="J13" s="29">
        <f>I13*Assumptions!$B$5</f>
        <v/>
      </c>
      <c r="K13" s="31">
        <f>IF(F13&lt;=0,"",I13/F13)</f>
        <v/>
      </c>
      <c r="L13" s="50">
        <f>EXP(-Assumptions!$B$4*Assumptions!$B$9)*NORMSDIST(D13)</f>
        <v/>
      </c>
      <c r="M13" s="18">
        <f>Assumptions!$B$2*EXP(-Assumptions!$B$4*Assumptions!$B$9)*NORMDIST(((LN(Assumptions!$B$2/$B13)+(Assumptions!$B$3-Assumptions!$B$4+Assumptions!$B$6^2/2)*Assumptions!$B$9)/(Assumptions!$B$6*Assumptions!$B$10)),0,1,FALSE)*Assumptions!$B$10*0.01</f>
        <v/>
      </c>
      <c r="N13" s="32">
        <f>M13*Assumptions!$B$5</f>
        <v/>
      </c>
      <c r="O13" s="32">
        <f>N13*0.5</f>
        <v/>
      </c>
      <c r="P13" s="32">
        <f>IF(F13&lt;=0,"",M13*(Assumptions!$B$6/0.01)/F13)</f>
        <v/>
      </c>
    </row>
    <row r="14">
      <c r="A14" s="46" t="n">
        <v>0.01</v>
      </c>
      <c r="B14" s="47">
        <f>Assumptions!$B$2*(1+A14)</f>
        <v/>
      </c>
      <c r="C14" s="28">
        <f>IF(A14&lt;0,"ITM",IF(A14&gt;0,"OTM","ATM"))</f>
        <v/>
      </c>
      <c r="D14" s="48">
        <f>((LN(Assumptions!$B$2/$B14)+(Assumptions!$B$3-Assumptions!$B$4+Assumptions!$B$6^2/2)*Assumptions!$B$9)/(Assumptions!$B$6*Assumptions!$B$10))</f>
        <v/>
      </c>
      <c r="E14" s="48">
        <f>D14-Assumptions!$B$6*Assumptions!$B$10</f>
        <v/>
      </c>
      <c r="F14" s="49">
        <f>MAX(0,Assumptions!$B$2*EXP(-Assumptions!$B$4*Assumptions!$B$9)*NORMSDIST(((LN(Assumptions!$B$2/$B14)+(Assumptions!$B$3-Assumptions!$B$4+Assumptions!$B$6^2/2)*Assumptions!$B$9)/(Assumptions!$B$6*Assumptions!$B$10)))-$B14*EXP(-Assumptions!$B$3*Assumptions!$B$9)*NORMSDIST((((LN(Assumptions!$B$2/$B14)+(Assumptions!$B$3-Assumptions!$B$4+Assumptions!$B$6^2/2)*Assumptions!$B$9)/(Assumptions!$B$6*Assumptions!$B$10))-Assumptions!$B$6*Assumptions!$B$10)))</f>
        <v/>
      </c>
      <c r="G14" s="29">
        <f>F14*Assumptions!$B$5</f>
        <v/>
      </c>
      <c r="H14" s="29">
        <f>MAX(0,Assumptions!$B$2-B14)</f>
        <v/>
      </c>
      <c r="I14" s="29">
        <f>F14-H14</f>
        <v/>
      </c>
      <c r="J14" s="29">
        <f>I14*Assumptions!$B$5</f>
        <v/>
      </c>
      <c r="K14" s="31">
        <f>IF(F14&lt;=0,"",I14/F14)</f>
        <v/>
      </c>
      <c r="L14" s="50">
        <f>EXP(-Assumptions!$B$4*Assumptions!$B$9)*NORMSDIST(D14)</f>
        <v/>
      </c>
      <c r="M14" s="18">
        <f>Assumptions!$B$2*EXP(-Assumptions!$B$4*Assumptions!$B$9)*NORMDIST(((LN(Assumptions!$B$2/$B14)+(Assumptions!$B$3-Assumptions!$B$4+Assumptions!$B$6^2/2)*Assumptions!$B$9)/(Assumptions!$B$6*Assumptions!$B$10)),0,1,FALSE)*Assumptions!$B$10*0.01</f>
        <v/>
      </c>
      <c r="N14" s="32">
        <f>M14*Assumptions!$B$5</f>
        <v/>
      </c>
      <c r="O14" s="32">
        <f>N14*0.5</f>
        <v/>
      </c>
      <c r="P14" s="32">
        <f>IF(F14&lt;=0,"",M14*(Assumptions!$B$6/0.01)/F14)</f>
        <v/>
      </c>
    </row>
    <row r="15">
      <c r="A15" s="46" t="n">
        <v>0.0125</v>
      </c>
      <c r="B15" s="47">
        <f>Assumptions!$B$2*(1+A15)</f>
        <v/>
      </c>
      <c r="C15" s="28">
        <f>IF(A15&lt;0,"ITM",IF(A15&gt;0,"OTM","ATM"))</f>
        <v/>
      </c>
      <c r="D15" s="48">
        <f>((LN(Assumptions!$B$2/$B15)+(Assumptions!$B$3-Assumptions!$B$4+Assumptions!$B$6^2/2)*Assumptions!$B$9)/(Assumptions!$B$6*Assumptions!$B$10))</f>
        <v/>
      </c>
      <c r="E15" s="48">
        <f>D15-Assumptions!$B$6*Assumptions!$B$10</f>
        <v/>
      </c>
      <c r="F15" s="49">
        <f>MAX(0,Assumptions!$B$2*EXP(-Assumptions!$B$4*Assumptions!$B$9)*NORMSDIST(((LN(Assumptions!$B$2/$B15)+(Assumptions!$B$3-Assumptions!$B$4+Assumptions!$B$6^2/2)*Assumptions!$B$9)/(Assumptions!$B$6*Assumptions!$B$10)))-$B15*EXP(-Assumptions!$B$3*Assumptions!$B$9)*NORMSDIST((((LN(Assumptions!$B$2/$B15)+(Assumptions!$B$3-Assumptions!$B$4+Assumptions!$B$6^2/2)*Assumptions!$B$9)/(Assumptions!$B$6*Assumptions!$B$10))-Assumptions!$B$6*Assumptions!$B$10)))</f>
        <v/>
      </c>
      <c r="G15" s="29">
        <f>F15*Assumptions!$B$5</f>
        <v/>
      </c>
      <c r="H15" s="29">
        <f>MAX(0,Assumptions!$B$2-B15)</f>
        <v/>
      </c>
      <c r="I15" s="29">
        <f>F15-H15</f>
        <v/>
      </c>
      <c r="J15" s="29">
        <f>I15*Assumptions!$B$5</f>
        <v/>
      </c>
      <c r="K15" s="31">
        <f>IF(F15&lt;=0,"",I15/F15)</f>
        <v/>
      </c>
      <c r="L15" s="50">
        <f>EXP(-Assumptions!$B$4*Assumptions!$B$9)*NORMSDIST(D15)</f>
        <v/>
      </c>
      <c r="M15" s="18">
        <f>Assumptions!$B$2*EXP(-Assumptions!$B$4*Assumptions!$B$9)*NORMDIST(((LN(Assumptions!$B$2/$B15)+(Assumptions!$B$3-Assumptions!$B$4+Assumptions!$B$6^2/2)*Assumptions!$B$9)/(Assumptions!$B$6*Assumptions!$B$10)),0,1,FALSE)*Assumptions!$B$10*0.01</f>
        <v/>
      </c>
      <c r="N15" s="32">
        <f>M15*Assumptions!$B$5</f>
        <v/>
      </c>
      <c r="O15" s="32">
        <f>N15*0.5</f>
        <v/>
      </c>
      <c r="P15" s="32">
        <f>IF(F15&lt;=0,"",M15*(Assumptions!$B$6/0.01)/F15)</f>
        <v/>
      </c>
    </row>
    <row r="16">
      <c r="A16" s="46" t="n">
        <v>0.015</v>
      </c>
      <c r="B16" s="47">
        <f>Assumptions!$B$2*(1+A16)</f>
        <v/>
      </c>
      <c r="C16" s="28">
        <f>IF(A16&lt;0,"ITM",IF(A16&gt;0,"OTM","ATM"))</f>
        <v/>
      </c>
      <c r="D16" s="48">
        <f>((LN(Assumptions!$B$2/$B16)+(Assumptions!$B$3-Assumptions!$B$4+Assumptions!$B$6^2/2)*Assumptions!$B$9)/(Assumptions!$B$6*Assumptions!$B$10))</f>
        <v/>
      </c>
      <c r="E16" s="48">
        <f>D16-Assumptions!$B$6*Assumptions!$B$10</f>
        <v/>
      </c>
      <c r="F16" s="49">
        <f>MAX(0,Assumptions!$B$2*EXP(-Assumptions!$B$4*Assumptions!$B$9)*NORMSDIST(((LN(Assumptions!$B$2/$B16)+(Assumptions!$B$3-Assumptions!$B$4+Assumptions!$B$6^2/2)*Assumptions!$B$9)/(Assumptions!$B$6*Assumptions!$B$10)))-$B16*EXP(-Assumptions!$B$3*Assumptions!$B$9)*NORMSDIST((((LN(Assumptions!$B$2/$B16)+(Assumptions!$B$3-Assumptions!$B$4+Assumptions!$B$6^2/2)*Assumptions!$B$9)/(Assumptions!$B$6*Assumptions!$B$10))-Assumptions!$B$6*Assumptions!$B$10)))</f>
        <v/>
      </c>
      <c r="G16" s="29">
        <f>F16*Assumptions!$B$5</f>
        <v/>
      </c>
      <c r="H16" s="29">
        <f>MAX(0,Assumptions!$B$2-B16)</f>
        <v/>
      </c>
      <c r="I16" s="29">
        <f>F16-H16</f>
        <v/>
      </c>
      <c r="J16" s="29">
        <f>I16*Assumptions!$B$5</f>
        <v/>
      </c>
      <c r="K16" s="31">
        <f>IF(F16&lt;=0,"",I16/F16)</f>
        <v/>
      </c>
      <c r="L16" s="50">
        <f>EXP(-Assumptions!$B$4*Assumptions!$B$9)*NORMSDIST(D16)</f>
        <v/>
      </c>
      <c r="M16" s="18">
        <f>Assumptions!$B$2*EXP(-Assumptions!$B$4*Assumptions!$B$9)*NORMDIST(((LN(Assumptions!$B$2/$B16)+(Assumptions!$B$3-Assumptions!$B$4+Assumptions!$B$6^2/2)*Assumptions!$B$9)/(Assumptions!$B$6*Assumptions!$B$10)),0,1,FALSE)*Assumptions!$B$10*0.01</f>
        <v/>
      </c>
      <c r="N16" s="32">
        <f>M16*Assumptions!$B$5</f>
        <v/>
      </c>
      <c r="O16" s="32">
        <f>N16*0.5</f>
        <v/>
      </c>
      <c r="P16" s="32">
        <f>IF(F16&lt;=0,"",M16*(Assumptions!$B$6/0.01)/F16)</f>
        <v/>
      </c>
    </row>
    <row r="17">
      <c r="A17" s="46" t="n">
        <v>0.0175</v>
      </c>
      <c r="B17" s="47">
        <f>Assumptions!$B$2*(1+A17)</f>
        <v/>
      </c>
      <c r="C17" s="28">
        <f>IF(A17&lt;0,"ITM",IF(A17&gt;0,"OTM","ATM"))</f>
        <v/>
      </c>
      <c r="D17" s="48">
        <f>((LN(Assumptions!$B$2/$B17)+(Assumptions!$B$3-Assumptions!$B$4+Assumptions!$B$6^2/2)*Assumptions!$B$9)/(Assumptions!$B$6*Assumptions!$B$10))</f>
        <v/>
      </c>
      <c r="E17" s="48">
        <f>D17-Assumptions!$B$6*Assumptions!$B$10</f>
        <v/>
      </c>
      <c r="F17" s="49">
        <f>MAX(0,Assumptions!$B$2*EXP(-Assumptions!$B$4*Assumptions!$B$9)*NORMSDIST(((LN(Assumptions!$B$2/$B17)+(Assumptions!$B$3-Assumptions!$B$4+Assumptions!$B$6^2/2)*Assumptions!$B$9)/(Assumptions!$B$6*Assumptions!$B$10)))-$B17*EXP(-Assumptions!$B$3*Assumptions!$B$9)*NORMSDIST((((LN(Assumptions!$B$2/$B17)+(Assumptions!$B$3-Assumptions!$B$4+Assumptions!$B$6^2/2)*Assumptions!$B$9)/(Assumptions!$B$6*Assumptions!$B$10))-Assumptions!$B$6*Assumptions!$B$10)))</f>
        <v/>
      </c>
      <c r="G17" s="29">
        <f>F17*Assumptions!$B$5</f>
        <v/>
      </c>
      <c r="H17" s="29">
        <f>MAX(0,Assumptions!$B$2-B17)</f>
        <v/>
      </c>
      <c r="I17" s="29">
        <f>F17-H17</f>
        <v/>
      </c>
      <c r="J17" s="29">
        <f>I17*Assumptions!$B$5</f>
        <v/>
      </c>
      <c r="K17" s="31">
        <f>IF(F17&lt;=0,"",I17/F17)</f>
        <v/>
      </c>
      <c r="L17" s="50">
        <f>EXP(-Assumptions!$B$4*Assumptions!$B$9)*NORMSDIST(D17)</f>
        <v/>
      </c>
      <c r="M17" s="18">
        <f>Assumptions!$B$2*EXP(-Assumptions!$B$4*Assumptions!$B$9)*NORMDIST(((LN(Assumptions!$B$2/$B17)+(Assumptions!$B$3-Assumptions!$B$4+Assumptions!$B$6^2/2)*Assumptions!$B$9)/(Assumptions!$B$6*Assumptions!$B$10)),0,1,FALSE)*Assumptions!$B$10*0.01</f>
        <v/>
      </c>
      <c r="N17" s="32">
        <f>M17*Assumptions!$B$5</f>
        <v/>
      </c>
      <c r="O17" s="32">
        <f>N17*0.5</f>
        <v/>
      </c>
      <c r="P17" s="32">
        <f>IF(F17&lt;=0,"",M17*(Assumptions!$B$6/0.01)/F17)</f>
        <v/>
      </c>
    </row>
    <row r="18">
      <c r="A18" s="46" t="n">
        <v>0.02</v>
      </c>
      <c r="B18" s="47">
        <f>Assumptions!$B$2*(1+A18)</f>
        <v/>
      </c>
      <c r="C18" s="28">
        <f>IF(A18&lt;0,"ITM",IF(A18&gt;0,"OTM","ATM"))</f>
        <v/>
      </c>
      <c r="D18" s="48">
        <f>((LN(Assumptions!$B$2/$B18)+(Assumptions!$B$3-Assumptions!$B$4+Assumptions!$B$6^2/2)*Assumptions!$B$9)/(Assumptions!$B$6*Assumptions!$B$10))</f>
        <v/>
      </c>
      <c r="E18" s="48">
        <f>D18-Assumptions!$B$6*Assumptions!$B$10</f>
        <v/>
      </c>
      <c r="F18" s="49">
        <f>MAX(0,Assumptions!$B$2*EXP(-Assumptions!$B$4*Assumptions!$B$9)*NORMSDIST(((LN(Assumptions!$B$2/$B18)+(Assumptions!$B$3-Assumptions!$B$4+Assumptions!$B$6^2/2)*Assumptions!$B$9)/(Assumptions!$B$6*Assumptions!$B$10)))-$B18*EXP(-Assumptions!$B$3*Assumptions!$B$9)*NORMSDIST((((LN(Assumptions!$B$2/$B18)+(Assumptions!$B$3-Assumptions!$B$4+Assumptions!$B$6^2/2)*Assumptions!$B$9)/(Assumptions!$B$6*Assumptions!$B$10))-Assumptions!$B$6*Assumptions!$B$10)))</f>
        <v/>
      </c>
      <c r="G18" s="29">
        <f>F18*Assumptions!$B$5</f>
        <v/>
      </c>
      <c r="H18" s="29">
        <f>MAX(0,Assumptions!$B$2-B18)</f>
        <v/>
      </c>
      <c r="I18" s="29">
        <f>F18-H18</f>
        <v/>
      </c>
      <c r="J18" s="29">
        <f>I18*Assumptions!$B$5</f>
        <v/>
      </c>
      <c r="K18" s="31">
        <f>IF(F18&lt;=0,"",I18/F18)</f>
        <v/>
      </c>
      <c r="L18" s="50">
        <f>EXP(-Assumptions!$B$4*Assumptions!$B$9)*NORMSDIST(D18)</f>
        <v/>
      </c>
      <c r="M18" s="18">
        <f>Assumptions!$B$2*EXP(-Assumptions!$B$4*Assumptions!$B$9)*NORMDIST(((LN(Assumptions!$B$2/$B18)+(Assumptions!$B$3-Assumptions!$B$4+Assumptions!$B$6^2/2)*Assumptions!$B$9)/(Assumptions!$B$6*Assumptions!$B$10)),0,1,FALSE)*Assumptions!$B$10*0.01</f>
        <v/>
      </c>
      <c r="N18" s="32">
        <f>M18*Assumptions!$B$5</f>
        <v/>
      </c>
      <c r="O18" s="32">
        <f>N18*0.5</f>
        <v/>
      </c>
      <c r="P18" s="32">
        <f>IF(F18&lt;=0,"",M18*(Assumptions!$B$6/0.01)/F18)</f>
        <v/>
      </c>
    </row>
    <row r="20">
      <c r="A20" s="22" t="inlineStr">
        <is>
          <t>Elasticity to IV = vega x sigma / premium: the % change in premium for a 1% RELATIVE change in implied vol (e.g. VIX 12.00 -&gt; 12.12).</t>
        </is>
      </c>
    </row>
    <row r="21">
      <c r="A21" s="22" t="inlineStr">
        <is>
          <t>Read it against the Time Value % column - the two move together. An ITM call is mostly intrinsic, and intrinsic does not care about volatility at all.</t>
        </is>
      </c>
    </row>
    <row r="22">
      <c r="A22" s="22" t="inlineStr">
        <is>
          <t>So elasticity climbs monotonically from its lowest value at -2.00% (deepest ITM) through about 1.0 at the money to its highest at +2.00% (deepest OTM).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2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20" t="inlineStr">
        <is>
          <t>CALL premium per contract (INR) - Moneyness x VIX</t>
        </is>
      </c>
    </row>
    <row r="2">
      <c r="A2" s="22" t="inlineStr">
        <is>
          <t>One call contract, lot 65, 2 days to expiry. Column headers are VIX points. Strikes below spot are ITM.</t>
        </is>
      </c>
    </row>
    <row r="3">
      <c r="A3" s="1" t="inlineStr">
        <is>
          <t>Moneyness</t>
        </is>
      </c>
      <c r="B3" s="1" t="inlineStr">
        <is>
          <t>Strike</t>
        </is>
      </c>
      <c r="C3" s="1" t="inlineStr">
        <is>
          <t>Call</t>
        </is>
      </c>
      <c r="D3" s="51" t="n">
        <v>8</v>
      </c>
      <c r="E3" s="51" t="n">
        <v>8.5</v>
      </c>
      <c r="F3" s="51" t="n">
        <v>9</v>
      </c>
      <c r="G3" s="51" t="n">
        <v>9.5</v>
      </c>
      <c r="H3" s="51" t="n">
        <v>10</v>
      </c>
      <c r="I3" s="51" t="n">
        <v>10.5</v>
      </c>
      <c r="J3" s="51" t="n">
        <v>11</v>
      </c>
      <c r="K3" s="51" t="n">
        <v>11.5</v>
      </c>
      <c r="L3" s="51" t="n">
        <v>12</v>
      </c>
      <c r="M3" s="51" t="n">
        <v>12.5</v>
      </c>
      <c r="N3" s="51" t="n">
        <v>13</v>
      </c>
      <c r="O3" s="51" t="n">
        <v>13.5</v>
      </c>
      <c r="P3" s="51" t="n">
        <v>14</v>
      </c>
      <c r="Q3" s="51" t="n">
        <v>14.5</v>
      </c>
      <c r="R3" s="51" t="n">
        <v>15</v>
      </c>
      <c r="S3" s="51" t="n">
        <v>15.5</v>
      </c>
      <c r="T3" s="51" t="n">
        <v>16</v>
      </c>
      <c r="U3" s="51" t="n">
        <v>16.5</v>
      </c>
      <c r="V3" s="51" t="n">
        <v>17</v>
      </c>
      <c r="W3" s="51" t="n">
        <v>17.5</v>
      </c>
      <c r="X3" s="51" t="n">
        <v>18</v>
      </c>
      <c r="Y3" s="51" t="n">
        <v>18.5</v>
      </c>
      <c r="Z3" s="51" t="n">
        <v>19</v>
      </c>
      <c r="AA3" s="51" t="n">
        <v>19.5</v>
      </c>
      <c r="AB3" s="51" t="n">
        <v>20</v>
      </c>
      <c r="AC3" s="51" t="n">
        <v>20.5</v>
      </c>
      <c r="AD3" s="51" t="n">
        <v>21</v>
      </c>
      <c r="AE3" s="51" t="n">
        <v>21.5</v>
      </c>
      <c r="AF3" s="51" t="n">
        <v>22</v>
      </c>
      <c r="AG3" s="51" t="n">
        <v>22.5</v>
      </c>
      <c r="AH3" s="51" t="n">
        <v>23</v>
      </c>
      <c r="AI3" s="51" t="n">
        <v>23.5</v>
      </c>
      <c r="AJ3" s="51" t="n">
        <v>24</v>
      </c>
      <c r="AK3" s="51" t="n">
        <v>24.5</v>
      </c>
      <c r="AL3" s="51" t="n">
        <v>25</v>
      </c>
      <c r="AM3" s="51" t="n">
        <v>25.5</v>
      </c>
      <c r="AN3" s="51" t="n">
        <v>26</v>
      </c>
      <c r="AO3" s="51" t="n">
        <v>26.5</v>
      </c>
      <c r="AP3" s="51" t="n">
        <v>27</v>
      </c>
      <c r="AQ3" s="51" t="n">
        <v>27.5</v>
      </c>
      <c r="AR3" s="51" t="n">
        <v>28</v>
      </c>
      <c r="AS3" s="51" t="n">
        <v>28.5</v>
      </c>
      <c r="AT3" s="51" t="n">
        <v>29</v>
      </c>
      <c r="AU3" s="51" t="n">
        <v>29.5</v>
      </c>
      <c r="AV3" s="51" t="n">
        <v>30</v>
      </c>
    </row>
    <row r="4">
      <c r="A4" s="27" t="inlineStr">
        <is>
          <t>-2.00%</t>
        </is>
      </c>
      <c r="B4" s="47">
        <f>'BS Engine'!$B$2</f>
        <v/>
      </c>
      <c r="C4" s="28">
        <f>'BS Engine'!$C$2</f>
        <v/>
      </c>
      <c r="D4" s="49">
        <f>Assumptions!$B$5*(MAX(0,Assumptions!$B$2*EXP(-Assumptions!$B$4*Assumptions!$B$9)*NORMSDIST(((LN(Assumptions!$B$2/$B4)+(Assumptions!$B$3-Assumptions!$B$4+(D$3/100)^2/2)*Assumptions!$B$9)/((D$3/100)*Assumptions!$B$10)))-$B4*EXP(-Assumptions!$B$3*Assumptions!$B$9)*NORMSDIST((((LN(Assumptions!$B$2/$B4)+(Assumptions!$B$3-Assumptions!$B$4+(D$3/100)^2/2)*Assumptions!$B$9)/((D$3/100)*Assumptions!$B$10))-(D$3/100)*Assumptions!$B$10))))</f>
        <v/>
      </c>
      <c r="E4" s="29">
        <f>Assumptions!$B$5*(MAX(0,Assumptions!$B$2*EXP(-Assumptions!$B$4*Assumptions!$B$9)*NORMSDIST(((LN(Assumptions!$B$2/$B4)+(Assumptions!$B$3-Assumptions!$B$4+(E$3/100)^2/2)*Assumptions!$B$9)/((E$3/100)*Assumptions!$B$10)))-$B4*EXP(-Assumptions!$B$3*Assumptions!$B$9)*NORMSDIST((((LN(Assumptions!$B$2/$B4)+(Assumptions!$B$3-Assumptions!$B$4+(E$3/100)^2/2)*Assumptions!$B$9)/((E$3/100)*Assumptions!$B$10))-(E$3/100)*Assumptions!$B$10))))</f>
        <v/>
      </c>
      <c r="F4" s="29">
        <f>Assumptions!$B$5*(MAX(0,Assumptions!$B$2*EXP(-Assumptions!$B$4*Assumptions!$B$9)*NORMSDIST(((LN(Assumptions!$B$2/$B4)+(Assumptions!$B$3-Assumptions!$B$4+(F$3/100)^2/2)*Assumptions!$B$9)/((F$3/100)*Assumptions!$B$10)))-$B4*EXP(-Assumptions!$B$3*Assumptions!$B$9)*NORMSDIST((((LN(Assumptions!$B$2/$B4)+(Assumptions!$B$3-Assumptions!$B$4+(F$3/100)^2/2)*Assumptions!$B$9)/((F$3/100)*Assumptions!$B$10))-(F$3/100)*Assumptions!$B$10))))</f>
        <v/>
      </c>
      <c r="G4" s="29">
        <f>Assumptions!$B$5*(MAX(0,Assumptions!$B$2*EXP(-Assumptions!$B$4*Assumptions!$B$9)*NORMSDIST(((LN(Assumptions!$B$2/$B4)+(Assumptions!$B$3-Assumptions!$B$4+(G$3/100)^2/2)*Assumptions!$B$9)/((G$3/100)*Assumptions!$B$10)))-$B4*EXP(-Assumptions!$B$3*Assumptions!$B$9)*NORMSDIST((((LN(Assumptions!$B$2/$B4)+(Assumptions!$B$3-Assumptions!$B$4+(G$3/100)^2/2)*Assumptions!$B$9)/((G$3/100)*Assumptions!$B$10))-(G$3/100)*Assumptions!$B$10))))</f>
        <v/>
      </c>
      <c r="H4" s="29">
        <f>Assumptions!$B$5*(MAX(0,Assumptions!$B$2*EXP(-Assumptions!$B$4*Assumptions!$B$9)*NORMSDIST(((LN(Assumptions!$B$2/$B4)+(Assumptions!$B$3-Assumptions!$B$4+(H$3/100)^2/2)*Assumptions!$B$9)/((H$3/100)*Assumptions!$B$10)))-$B4*EXP(-Assumptions!$B$3*Assumptions!$B$9)*NORMSDIST((((LN(Assumptions!$B$2/$B4)+(Assumptions!$B$3-Assumptions!$B$4+(H$3/100)^2/2)*Assumptions!$B$9)/((H$3/100)*Assumptions!$B$10))-(H$3/100)*Assumptions!$B$10))))</f>
        <v/>
      </c>
      <c r="I4" s="29">
        <f>Assumptions!$B$5*(MAX(0,Assumptions!$B$2*EXP(-Assumptions!$B$4*Assumptions!$B$9)*NORMSDIST(((LN(Assumptions!$B$2/$B4)+(Assumptions!$B$3-Assumptions!$B$4+(I$3/100)^2/2)*Assumptions!$B$9)/((I$3/100)*Assumptions!$B$10)))-$B4*EXP(-Assumptions!$B$3*Assumptions!$B$9)*NORMSDIST((((LN(Assumptions!$B$2/$B4)+(Assumptions!$B$3-Assumptions!$B$4+(I$3/100)^2/2)*Assumptions!$B$9)/((I$3/100)*Assumptions!$B$10))-(I$3/100)*Assumptions!$B$10))))</f>
        <v/>
      </c>
      <c r="J4" s="29">
        <f>Assumptions!$B$5*(MAX(0,Assumptions!$B$2*EXP(-Assumptions!$B$4*Assumptions!$B$9)*NORMSDIST(((LN(Assumptions!$B$2/$B4)+(Assumptions!$B$3-Assumptions!$B$4+(J$3/100)^2/2)*Assumptions!$B$9)/((J$3/100)*Assumptions!$B$10)))-$B4*EXP(-Assumptions!$B$3*Assumptions!$B$9)*NORMSDIST((((LN(Assumptions!$B$2/$B4)+(Assumptions!$B$3-Assumptions!$B$4+(J$3/100)^2/2)*Assumptions!$B$9)/((J$3/100)*Assumptions!$B$10))-(J$3/100)*Assumptions!$B$10))))</f>
        <v/>
      </c>
      <c r="K4" s="29">
        <f>Assumptions!$B$5*(MAX(0,Assumptions!$B$2*EXP(-Assumptions!$B$4*Assumptions!$B$9)*NORMSDIST(((LN(Assumptions!$B$2/$B4)+(Assumptions!$B$3-Assumptions!$B$4+(K$3/100)^2/2)*Assumptions!$B$9)/((K$3/100)*Assumptions!$B$10)))-$B4*EXP(-Assumptions!$B$3*Assumptions!$B$9)*NORMSDIST((((LN(Assumptions!$B$2/$B4)+(Assumptions!$B$3-Assumptions!$B$4+(K$3/100)^2/2)*Assumptions!$B$9)/((K$3/100)*Assumptions!$B$10))-(K$3/100)*Assumptions!$B$10))))</f>
        <v/>
      </c>
      <c r="L4" s="29">
        <f>Assumptions!$B$5*(MAX(0,Assumptions!$B$2*EXP(-Assumptions!$B$4*Assumptions!$B$9)*NORMSDIST(((LN(Assumptions!$B$2/$B4)+(Assumptions!$B$3-Assumptions!$B$4+(L$3/100)^2/2)*Assumptions!$B$9)/((L$3/100)*Assumptions!$B$10)))-$B4*EXP(-Assumptions!$B$3*Assumptions!$B$9)*NORMSDIST((((LN(Assumptions!$B$2/$B4)+(Assumptions!$B$3-Assumptions!$B$4+(L$3/100)^2/2)*Assumptions!$B$9)/((L$3/100)*Assumptions!$B$10))-(L$3/100)*Assumptions!$B$10))))</f>
        <v/>
      </c>
      <c r="M4" s="29">
        <f>Assumptions!$B$5*(MAX(0,Assumptions!$B$2*EXP(-Assumptions!$B$4*Assumptions!$B$9)*NORMSDIST(((LN(Assumptions!$B$2/$B4)+(Assumptions!$B$3-Assumptions!$B$4+(M$3/100)^2/2)*Assumptions!$B$9)/((M$3/100)*Assumptions!$B$10)))-$B4*EXP(-Assumptions!$B$3*Assumptions!$B$9)*NORMSDIST((((LN(Assumptions!$B$2/$B4)+(Assumptions!$B$3-Assumptions!$B$4+(M$3/100)^2/2)*Assumptions!$B$9)/((M$3/100)*Assumptions!$B$10))-(M$3/100)*Assumptions!$B$10))))</f>
        <v/>
      </c>
      <c r="N4" s="29">
        <f>Assumptions!$B$5*(MAX(0,Assumptions!$B$2*EXP(-Assumptions!$B$4*Assumptions!$B$9)*NORMSDIST(((LN(Assumptions!$B$2/$B4)+(Assumptions!$B$3-Assumptions!$B$4+(N$3/100)^2/2)*Assumptions!$B$9)/((N$3/100)*Assumptions!$B$10)))-$B4*EXP(-Assumptions!$B$3*Assumptions!$B$9)*NORMSDIST((((LN(Assumptions!$B$2/$B4)+(Assumptions!$B$3-Assumptions!$B$4+(N$3/100)^2/2)*Assumptions!$B$9)/((N$3/100)*Assumptions!$B$10))-(N$3/100)*Assumptions!$B$10))))</f>
        <v/>
      </c>
      <c r="O4" s="29">
        <f>Assumptions!$B$5*(MAX(0,Assumptions!$B$2*EXP(-Assumptions!$B$4*Assumptions!$B$9)*NORMSDIST(((LN(Assumptions!$B$2/$B4)+(Assumptions!$B$3-Assumptions!$B$4+(O$3/100)^2/2)*Assumptions!$B$9)/((O$3/100)*Assumptions!$B$10)))-$B4*EXP(-Assumptions!$B$3*Assumptions!$B$9)*NORMSDIST((((LN(Assumptions!$B$2/$B4)+(Assumptions!$B$3-Assumptions!$B$4+(O$3/100)^2/2)*Assumptions!$B$9)/((O$3/100)*Assumptions!$B$10))-(O$3/100)*Assumptions!$B$10))))</f>
        <v/>
      </c>
      <c r="P4" s="29">
        <f>Assumptions!$B$5*(MAX(0,Assumptions!$B$2*EXP(-Assumptions!$B$4*Assumptions!$B$9)*NORMSDIST(((LN(Assumptions!$B$2/$B4)+(Assumptions!$B$3-Assumptions!$B$4+(P$3/100)^2/2)*Assumptions!$B$9)/((P$3/100)*Assumptions!$B$10)))-$B4*EXP(-Assumptions!$B$3*Assumptions!$B$9)*NORMSDIST((((LN(Assumptions!$B$2/$B4)+(Assumptions!$B$3-Assumptions!$B$4+(P$3/100)^2/2)*Assumptions!$B$9)/((P$3/100)*Assumptions!$B$10))-(P$3/100)*Assumptions!$B$10))))</f>
        <v/>
      </c>
      <c r="Q4" s="29">
        <f>Assumptions!$B$5*(MAX(0,Assumptions!$B$2*EXP(-Assumptions!$B$4*Assumptions!$B$9)*NORMSDIST(((LN(Assumptions!$B$2/$B4)+(Assumptions!$B$3-Assumptions!$B$4+(Q$3/100)^2/2)*Assumptions!$B$9)/((Q$3/100)*Assumptions!$B$10)))-$B4*EXP(-Assumptions!$B$3*Assumptions!$B$9)*NORMSDIST((((LN(Assumptions!$B$2/$B4)+(Assumptions!$B$3-Assumptions!$B$4+(Q$3/100)^2/2)*Assumptions!$B$9)/((Q$3/100)*Assumptions!$B$10))-(Q$3/100)*Assumptions!$B$10))))</f>
        <v/>
      </c>
      <c r="R4" s="29">
        <f>Assumptions!$B$5*(MAX(0,Assumptions!$B$2*EXP(-Assumptions!$B$4*Assumptions!$B$9)*NORMSDIST(((LN(Assumptions!$B$2/$B4)+(Assumptions!$B$3-Assumptions!$B$4+(R$3/100)^2/2)*Assumptions!$B$9)/((R$3/100)*Assumptions!$B$10)))-$B4*EXP(-Assumptions!$B$3*Assumptions!$B$9)*NORMSDIST((((LN(Assumptions!$B$2/$B4)+(Assumptions!$B$3-Assumptions!$B$4+(R$3/100)^2/2)*Assumptions!$B$9)/((R$3/100)*Assumptions!$B$10))-(R$3/100)*Assumptions!$B$10))))</f>
        <v/>
      </c>
      <c r="S4" s="29">
        <f>Assumptions!$B$5*(MAX(0,Assumptions!$B$2*EXP(-Assumptions!$B$4*Assumptions!$B$9)*NORMSDIST(((LN(Assumptions!$B$2/$B4)+(Assumptions!$B$3-Assumptions!$B$4+(S$3/100)^2/2)*Assumptions!$B$9)/((S$3/100)*Assumptions!$B$10)))-$B4*EXP(-Assumptions!$B$3*Assumptions!$B$9)*NORMSDIST((((LN(Assumptions!$B$2/$B4)+(Assumptions!$B$3-Assumptions!$B$4+(S$3/100)^2/2)*Assumptions!$B$9)/((S$3/100)*Assumptions!$B$10))-(S$3/100)*Assumptions!$B$10))))</f>
        <v/>
      </c>
      <c r="T4" s="29">
        <f>Assumptions!$B$5*(MAX(0,Assumptions!$B$2*EXP(-Assumptions!$B$4*Assumptions!$B$9)*NORMSDIST(((LN(Assumptions!$B$2/$B4)+(Assumptions!$B$3-Assumptions!$B$4+(T$3/100)^2/2)*Assumptions!$B$9)/((T$3/100)*Assumptions!$B$10)))-$B4*EXP(-Assumptions!$B$3*Assumptions!$B$9)*NORMSDIST((((LN(Assumptions!$B$2/$B4)+(Assumptions!$B$3-Assumptions!$B$4+(T$3/100)^2/2)*Assumptions!$B$9)/((T$3/100)*Assumptions!$B$10))-(T$3/100)*Assumptions!$B$10))))</f>
        <v/>
      </c>
      <c r="U4" s="29">
        <f>Assumptions!$B$5*(MAX(0,Assumptions!$B$2*EXP(-Assumptions!$B$4*Assumptions!$B$9)*NORMSDIST(((LN(Assumptions!$B$2/$B4)+(Assumptions!$B$3-Assumptions!$B$4+(U$3/100)^2/2)*Assumptions!$B$9)/((U$3/100)*Assumptions!$B$10)))-$B4*EXP(-Assumptions!$B$3*Assumptions!$B$9)*NORMSDIST((((LN(Assumptions!$B$2/$B4)+(Assumptions!$B$3-Assumptions!$B$4+(U$3/100)^2/2)*Assumptions!$B$9)/((U$3/100)*Assumptions!$B$10))-(U$3/100)*Assumptions!$B$10))))</f>
        <v/>
      </c>
      <c r="V4" s="29">
        <f>Assumptions!$B$5*(MAX(0,Assumptions!$B$2*EXP(-Assumptions!$B$4*Assumptions!$B$9)*NORMSDIST(((LN(Assumptions!$B$2/$B4)+(Assumptions!$B$3-Assumptions!$B$4+(V$3/100)^2/2)*Assumptions!$B$9)/((V$3/100)*Assumptions!$B$10)))-$B4*EXP(-Assumptions!$B$3*Assumptions!$B$9)*NORMSDIST((((LN(Assumptions!$B$2/$B4)+(Assumptions!$B$3-Assumptions!$B$4+(V$3/100)^2/2)*Assumptions!$B$9)/((V$3/100)*Assumptions!$B$10))-(V$3/100)*Assumptions!$B$10))))</f>
        <v/>
      </c>
      <c r="W4" s="29">
        <f>Assumptions!$B$5*(MAX(0,Assumptions!$B$2*EXP(-Assumptions!$B$4*Assumptions!$B$9)*NORMSDIST(((LN(Assumptions!$B$2/$B4)+(Assumptions!$B$3-Assumptions!$B$4+(W$3/100)^2/2)*Assumptions!$B$9)/((W$3/100)*Assumptions!$B$10)))-$B4*EXP(-Assumptions!$B$3*Assumptions!$B$9)*NORMSDIST((((LN(Assumptions!$B$2/$B4)+(Assumptions!$B$3-Assumptions!$B$4+(W$3/100)^2/2)*Assumptions!$B$9)/((W$3/100)*Assumptions!$B$10))-(W$3/100)*Assumptions!$B$10))))</f>
        <v/>
      </c>
      <c r="X4" s="29">
        <f>Assumptions!$B$5*(MAX(0,Assumptions!$B$2*EXP(-Assumptions!$B$4*Assumptions!$B$9)*NORMSDIST(((LN(Assumptions!$B$2/$B4)+(Assumptions!$B$3-Assumptions!$B$4+(X$3/100)^2/2)*Assumptions!$B$9)/((X$3/100)*Assumptions!$B$10)))-$B4*EXP(-Assumptions!$B$3*Assumptions!$B$9)*NORMSDIST((((LN(Assumptions!$B$2/$B4)+(Assumptions!$B$3-Assumptions!$B$4+(X$3/100)^2/2)*Assumptions!$B$9)/((X$3/100)*Assumptions!$B$10))-(X$3/100)*Assumptions!$B$10))))</f>
        <v/>
      </c>
      <c r="Y4" s="29">
        <f>Assumptions!$B$5*(MAX(0,Assumptions!$B$2*EXP(-Assumptions!$B$4*Assumptions!$B$9)*NORMSDIST(((LN(Assumptions!$B$2/$B4)+(Assumptions!$B$3-Assumptions!$B$4+(Y$3/100)^2/2)*Assumptions!$B$9)/((Y$3/100)*Assumptions!$B$10)))-$B4*EXP(-Assumptions!$B$3*Assumptions!$B$9)*NORMSDIST((((LN(Assumptions!$B$2/$B4)+(Assumptions!$B$3-Assumptions!$B$4+(Y$3/100)^2/2)*Assumptions!$B$9)/((Y$3/100)*Assumptions!$B$10))-(Y$3/100)*Assumptions!$B$10))))</f>
        <v/>
      </c>
      <c r="Z4" s="29">
        <f>Assumptions!$B$5*(MAX(0,Assumptions!$B$2*EXP(-Assumptions!$B$4*Assumptions!$B$9)*NORMSDIST(((LN(Assumptions!$B$2/$B4)+(Assumptions!$B$3-Assumptions!$B$4+(Z$3/100)^2/2)*Assumptions!$B$9)/((Z$3/100)*Assumptions!$B$10)))-$B4*EXP(-Assumptions!$B$3*Assumptions!$B$9)*NORMSDIST((((LN(Assumptions!$B$2/$B4)+(Assumptions!$B$3-Assumptions!$B$4+(Z$3/100)^2/2)*Assumptions!$B$9)/((Z$3/100)*Assumptions!$B$10))-(Z$3/100)*Assumptions!$B$10))))</f>
        <v/>
      </c>
      <c r="AA4" s="29">
        <f>Assumptions!$B$5*(MAX(0,Assumptions!$B$2*EXP(-Assumptions!$B$4*Assumptions!$B$9)*NORMSDIST(((LN(Assumptions!$B$2/$B4)+(Assumptions!$B$3-Assumptions!$B$4+(AA$3/100)^2/2)*Assumptions!$B$9)/((AA$3/100)*Assumptions!$B$10)))-$B4*EXP(-Assumptions!$B$3*Assumptions!$B$9)*NORMSDIST((((LN(Assumptions!$B$2/$B4)+(Assumptions!$B$3-Assumptions!$B$4+(AA$3/100)^2/2)*Assumptions!$B$9)/((AA$3/100)*Assumptions!$B$10))-(AA$3/100)*Assumptions!$B$10))))</f>
        <v/>
      </c>
      <c r="AB4" s="29">
        <f>Assumptions!$B$5*(MAX(0,Assumptions!$B$2*EXP(-Assumptions!$B$4*Assumptions!$B$9)*NORMSDIST(((LN(Assumptions!$B$2/$B4)+(Assumptions!$B$3-Assumptions!$B$4+(AB$3/100)^2/2)*Assumptions!$B$9)/((AB$3/100)*Assumptions!$B$10)))-$B4*EXP(-Assumptions!$B$3*Assumptions!$B$9)*NORMSDIST((((LN(Assumptions!$B$2/$B4)+(Assumptions!$B$3-Assumptions!$B$4+(AB$3/100)^2/2)*Assumptions!$B$9)/((AB$3/100)*Assumptions!$B$10))-(AB$3/100)*Assumptions!$B$10))))</f>
        <v/>
      </c>
      <c r="AC4" s="29">
        <f>Assumptions!$B$5*(MAX(0,Assumptions!$B$2*EXP(-Assumptions!$B$4*Assumptions!$B$9)*NORMSDIST(((LN(Assumptions!$B$2/$B4)+(Assumptions!$B$3-Assumptions!$B$4+(AC$3/100)^2/2)*Assumptions!$B$9)/((AC$3/100)*Assumptions!$B$10)))-$B4*EXP(-Assumptions!$B$3*Assumptions!$B$9)*NORMSDIST((((LN(Assumptions!$B$2/$B4)+(Assumptions!$B$3-Assumptions!$B$4+(AC$3/100)^2/2)*Assumptions!$B$9)/((AC$3/100)*Assumptions!$B$10))-(AC$3/100)*Assumptions!$B$10))))</f>
        <v/>
      </c>
      <c r="AD4" s="29">
        <f>Assumptions!$B$5*(MAX(0,Assumptions!$B$2*EXP(-Assumptions!$B$4*Assumptions!$B$9)*NORMSDIST(((LN(Assumptions!$B$2/$B4)+(Assumptions!$B$3-Assumptions!$B$4+(AD$3/100)^2/2)*Assumptions!$B$9)/((AD$3/100)*Assumptions!$B$10)))-$B4*EXP(-Assumptions!$B$3*Assumptions!$B$9)*NORMSDIST((((LN(Assumptions!$B$2/$B4)+(Assumptions!$B$3-Assumptions!$B$4+(AD$3/100)^2/2)*Assumptions!$B$9)/((AD$3/100)*Assumptions!$B$10))-(AD$3/100)*Assumptions!$B$10))))</f>
        <v/>
      </c>
      <c r="AE4" s="29">
        <f>Assumptions!$B$5*(MAX(0,Assumptions!$B$2*EXP(-Assumptions!$B$4*Assumptions!$B$9)*NORMSDIST(((LN(Assumptions!$B$2/$B4)+(Assumptions!$B$3-Assumptions!$B$4+(AE$3/100)^2/2)*Assumptions!$B$9)/((AE$3/100)*Assumptions!$B$10)))-$B4*EXP(-Assumptions!$B$3*Assumptions!$B$9)*NORMSDIST((((LN(Assumptions!$B$2/$B4)+(Assumptions!$B$3-Assumptions!$B$4+(AE$3/100)^2/2)*Assumptions!$B$9)/((AE$3/100)*Assumptions!$B$10))-(AE$3/100)*Assumptions!$B$10))))</f>
        <v/>
      </c>
      <c r="AF4" s="29">
        <f>Assumptions!$B$5*(MAX(0,Assumptions!$B$2*EXP(-Assumptions!$B$4*Assumptions!$B$9)*NORMSDIST(((LN(Assumptions!$B$2/$B4)+(Assumptions!$B$3-Assumptions!$B$4+(AF$3/100)^2/2)*Assumptions!$B$9)/((AF$3/100)*Assumptions!$B$10)))-$B4*EXP(-Assumptions!$B$3*Assumptions!$B$9)*NORMSDIST((((LN(Assumptions!$B$2/$B4)+(Assumptions!$B$3-Assumptions!$B$4+(AF$3/100)^2/2)*Assumptions!$B$9)/((AF$3/100)*Assumptions!$B$10))-(AF$3/100)*Assumptions!$B$10))))</f>
        <v/>
      </c>
      <c r="AG4" s="29">
        <f>Assumptions!$B$5*(MAX(0,Assumptions!$B$2*EXP(-Assumptions!$B$4*Assumptions!$B$9)*NORMSDIST(((LN(Assumptions!$B$2/$B4)+(Assumptions!$B$3-Assumptions!$B$4+(AG$3/100)^2/2)*Assumptions!$B$9)/((AG$3/100)*Assumptions!$B$10)))-$B4*EXP(-Assumptions!$B$3*Assumptions!$B$9)*NORMSDIST((((LN(Assumptions!$B$2/$B4)+(Assumptions!$B$3-Assumptions!$B$4+(AG$3/100)^2/2)*Assumptions!$B$9)/((AG$3/100)*Assumptions!$B$10))-(AG$3/100)*Assumptions!$B$10))))</f>
        <v/>
      </c>
      <c r="AH4" s="29">
        <f>Assumptions!$B$5*(MAX(0,Assumptions!$B$2*EXP(-Assumptions!$B$4*Assumptions!$B$9)*NORMSDIST(((LN(Assumptions!$B$2/$B4)+(Assumptions!$B$3-Assumptions!$B$4+(AH$3/100)^2/2)*Assumptions!$B$9)/((AH$3/100)*Assumptions!$B$10)))-$B4*EXP(-Assumptions!$B$3*Assumptions!$B$9)*NORMSDIST((((LN(Assumptions!$B$2/$B4)+(Assumptions!$B$3-Assumptions!$B$4+(AH$3/100)^2/2)*Assumptions!$B$9)/((AH$3/100)*Assumptions!$B$10))-(AH$3/100)*Assumptions!$B$10))))</f>
        <v/>
      </c>
      <c r="AI4" s="29">
        <f>Assumptions!$B$5*(MAX(0,Assumptions!$B$2*EXP(-Assumptions!$B$4*Assumptions!$B$9)*NORMSDIST(((LN(Assumptions!$B$2/$B4)+(Assumptions!$B$3-Assumptions!$B$4+(AI$3/100)^2/2)*Assumptions!$B$9)/((AI$3/100)*Assumptions!$B$10)))-$B4*EXP(-Assumptions!$B$3*Assumptions!$B$9)*NORMSDIST((((LN(Assumptions!$B$2/$B4)+(Assumptions!$B$3-Assumptions!$B$4+(AI$3/100)^2/2)*Assumptions!$B$9)/((AI$3/100)*Assumptions!$B$10))-(AI$3/100)*Assumptions!$B$10))))</f>
        <v/>
      </c>
      <c r="AJ4" s="29">
        <f>Assumptions!$B$5*(MAX(0,Assumptions!$B$2*EXP(-Assumptions!$B$4*Assumptions!$B$9)*NORMSDIST(((LN(Assumptions!$B$2/$B4)+(Assumptions!$B$3-Assumptions!$B$4+(AJ$3/100)^2/2)*Assumptions!$B$9)/((AJ$3/100)*Assumptions!$B$10)))-$B4*EXP(-Assumptions!$B$3*Assumptions!$B$9)*NORMSDIST((((LN(Assumptions!$B$2/$B4)+(Assumptions!$B$3-Assumptions!$B$4+(AJ$3/100)^2/2)*Assumptions!$B$9)/((AJ$3/100)*Assumptions!$B$10))-(AJ$3/100)*Assumptions!$B$10))))</f>
        <v/>
      </c>
      <c r="AK4" s="29">
        <f>Assumptions!$B$5*(MAX(0,Assumptions!$B$2*EXP(-Assumptions!$B$4*Assumptions!$B$9)*NORMSDIST(((LN(Assumptions!$B$2/$B4)+(Assumptions!$B$3-Assumptions!$B$4+(AK$3/100)^2/2)*Assumptions!$B$9)/((AK$3/100)*Assumptions!$B$10)))-$B4*EXP(-Assumptions!$B$3*Assumptions!$B$9)*NORMSDIST((((LN(Assumptions!$B$2/$B4)+(Assumptions!$B$3-Assumptions!$B$4+(AK$3/100)^2/2)*Assumptions!$B$9)/((AK$3/100)*Assumptions!$B$10))-(AK$3/100)*Assumptions!$B$10))))</f>
        <v/>
      </c>
      <c r="AL4" s="29">
        <f>Assumptions!$B$5*(MAX(0,Assumptions!$B$2*EXP(-Assumptions!$B$4*Assumptions!$B$9)*NORMSDIST(((LN(Assumptions!$B$2/$B4)+(Assumptions!$B$3-Assumptions!$B$4+(AL$3/100)^2/2)*Assumptions!$B$9)/((AL$3/100)*Assumptions!$B$10)))-$B4*EXP(-Assumptions!$B$3*Assumptions!$B$9)*NORMSDIST((((LN(Assumptions!$B$2/$B4)+(Assumptions!$B$3-Assumptions!$B$4+(AL$3/100)^2/2)*Assumptions!$B$9)/((AL$3/100)*Assumptions!$B$10))-(AL$3/100)*Assumptions!$B$10))))</f>
        <v/>
      </c>
      <c r="AM4" s="29">
        <f>Assumptions!$B$5*(MAX(0,Assumptions!$B$2*EXP(-Assumptions!$B$4*Assumptions!$B$9)*NORMSDIST(((LN(Assumptions!$B$2/$B4)+(Assumptions!$B$3-Assumptions!$B$4+(AM$3/100)^2/2)*Assumptions!$B$9)/((AM$3/100)*Assumptions!$B$10)))-$B4*EXP(-Assumptions!$B$3*Assumptions!$B$9)*NORMSDIST((((LN(Assumptions!$B$2/$B4)+(Assumptions!$B$3-Assumptions!$B$4+(AM$3/100)^2/2)*Assumptions!$B$9)/((AM$3/100)*Assumptions!$B$10))-(AM$3/100)*Assumptions!$B$10))))</f>
        <v/>
      </c>
      <c r="AN4" s="29">
        <f>Assumptions!$B$5*(MAX(0,Assumptions!$B$2*EXP(-Assumptions!$B$4*Assumptions!$B$9)*NORMSDIST(((LN(Assumptions!$B$2/$B4)+(Assumptions!$B$3-Assumptions!$B$4+(AN$3/100)^2/2)*Assumptions!$B$9)/((AN$3/100)*Assumptions!$B$10)))-$B4*EXP(-Assumptions!$B$3*Assumptions!$B$9)*NORMSDIST((((LN(Assumptions!$B$2/$B4)+(Assumptions!$B$3-Assumptions!$B$4+(AN$3/100)^2/2)*Assumptions!$B$9)/((AN$3/100)*Assumptions!$B$10))-(AN$3/100)*Assumptions!$B$10))))</f>
        <v/>
      </c>
      <c r="AO4" s="29">
        <f>Assumptions!$B$5*(MAX(0,Assumptions!$B$2*EXP(-Assumptions!$B$4*Assumptions!$B$9)*NORMSDIST(((LN(Assumptions!$B$2/$B4)+(Assumptions!$B$3-Assumptions!$B$4+(AO$3/100)^2/2)*Assumptions!$B$9)/((AO$3/100)*Assumptions!$B$10)))-$B4*EXP(-Assumptions!$B$3*Assumptions!$B$9)*NORMSDIST((((LN(Assumptions!$B$2/$B4)+(Assumptions!$B$3-Assumptions!$B$4+(AO$3/100)^2/2)*Assumptions!$B$9)/((AO$3/100)*Assumptions!$B$10))-(AO$3/100)*Assumptions!$B$10))))</f>
        <v/>
      </c>
      <c r="AP4" s="29">
        <f>Assumptions!$B$5*(MAX(0,Assumptions!$B$2*EXP(-Assumptions!$B$4*Assumptions!$B$9)*NORMSDIST(((LN(Assumptions!$B$2/$B4)+(Assumptions!$B$3-Assumptions!$B$4+(AP$3/100)^2/2)*Assumptions!$B$9)/((AP$3/100)*Assumptions!$B$10)))-$B4*EXP(-Assumptions!$B$3*Assumptions!$B$9)*NORMSDIST((((LN(Assumptions!$B$2/$B4)+(Assumptions!$B$3-Assumptions!$B$4+(AP$3/100)^2/2)*Assumptions!$B$9)/((AP$3/100)*Assumptions!$B$10))-(AP$3/100)*Assumptions!$B$10))))</f>
        <v/>
      </c>
      <c r="AQ4" s="29">
        <f>Assumptions!$B$5*(MAX(0,Assumptions!$B$2*EXP(-Assumptions!$B$4*Assumptions!$B$9)*NORMSDIST(((LN(Assumptions!$B$2/$B4)+(Assumptions!$B$3-Assumptions!$B$4+(AQ$3/100)^2/2)*Assumptions!$B$9)/((AQ$3/100)*Assumptions!$B$10)))-$B4*EXP(-Assumptions!$B$3*Assumptions!$B$9)*NORMSDIST((((LN(Assumptions!$B$2/$B4)+(Assumptions!$B$3-Assumptions!$B$4+(AQ$3/100)^2/2)*Assumptions!$B$9)/((AQ$3/100)*Assumptions!$B$10))-(AQ$3/100)*Assumptions!$B$10))))</f>
        <v/>
      </c>
      <c r="AR4" s="29">
        <f>Assumptions!$B$5*(MAX(0,Assumptions!$B$2*EXP(-Assumptions!$B$4*Assumptions!$B$9)*NORMSDIST(((LN(Assumptions!$B$2/$B4)+(Assumptions!$B$3-Assumptions!$B$4+(AR$3/100)^2/2)*Assumptions!$B$9)/((AR$3/100)*Assumptions!$B$10)))-$B4*EXP(-Assumptions!$B$3*Assumptions!$B$9)*NORMSDIST((((LN(Assumptions!$B$2/$B4)+(Assumptions!$B$3-Assumptions!$B$4+(AR$3/100)^2/2)*Assumptions!$B$9)/((AR$3/100)*Assumptions!$B$10))-(AR$3/100)*Assumptions!$B$10))))</f>
        <v/>
      </c>
      <c r="AS4" s="29">
        <f>Assumptions!$B$5*(MAX(0,Assumptions!$B$2*EXP(-Assumptions!$B$4*Assumptions!$B$9)*NORMSDIST(((LN(Assumptions!$B$2/$B4)+(Assumptions!$B$3-Assumptions!$B$4+(AS$3/100)^2/2)*Assumptions!$B$9)/((AS$3/100)*Assumptions!$B$10)))-$B4*EXP(-Assumptions!$B$3*Assumptions!$B$9)*NORMSDIST((((LN(Assumptions!$B$2/$B4)+(Assumptions!$B$3-Assumptions!$B$4+(AS$3/100)^2/2)*Assumptions!$B$9)/((AS$3/100)*Assumptions!$B$10))-(AS$3/100)*Assumptions!$B$10))))</f>
        <v/>
      </c>
      <c r="AT4" s="29">
        <f>Assumptions!$B$5*(MAX(0,Assumptions!$B$2*EXP(-Assumptions!$B$4*Assumptions!$B$9)*NORMSDIST(((LN(Assumptions!$B$2/$B4)+(Assumptions!$B$3-Assumptions!$B$4+(AT$3/100)^2/2)*Assumptions!$B$9)/((AT$3/100)*Assumptions!$B$10)))-$B4*EXP(-Assumptions!$B$3*Assumptions!$B$9)*NORMSDIST((((LN(Assumptions!$B$2/$B4)+(Assumptions!$B$3-Assumptions!$B$4+(AT$3/100)^2/2)*Assumptions!$B$9)/((AT$3/100)*Assumptions!$B$10))-(AT$3/100)*Assumptions!$B$10))))</f>
        <v/>
      </c>
      <c r="AU4" s="29">
        <f>Assumptions!$B$5*(MAX(0,Assumptions!$B$2*EXP(-Assumptions!$B$4*Assumptions!$B$9)*NORMSDIST(((LN(Assumptions!$B$2/$B4)+(Assumptions!$B$3-Assumptions!$B$4+(AU$3/100)^2/2)*Assumptions!$B$9)/((AU$3/100)*Assumptions!$B$10)))-$B4*EXP(-Assumptions!$B$3*Assumptions!$B$9)*NORMSDIST((((LN(Assumptions!$B$2/$B4)+(Assumptions!$B$3-Assumptions!$B$4+(AU$3/100)^2/2)*Assumptions!$B$9)/((AU$3/100)*Assumptions!$B$10))-(AU$3/100)*Assumptions!$B$10))))</f>
        <v/>
      </c>
      <c r="AV4" s="29">
        <f>Assumptions!$B$5*(MAX(0,Assumptions!$B$2*EXP(-Assumptions!$B$4*Assumptions!$B$9)*NORMSDIST(((LN(Assumptions!$B$2/$B4)+(Assumptions!$B$3-Assumptions!$B$4+(AV$3/100)^2/2)*Assumptions!$B$9)/((AV$3/100)*Assumptions!$B$10)))-$B4*EXP(-Assumptions!$B$3*Assumptions!$B$9)*NORMSDIST((((LN(Assumptions!$B$2/$B4)+(Assumptions!$B$3-Assumptions!$B$4+(AV$3/100)^2/2)*Assumptions!$B$9)/((AV$3/100)*Assumptions!$B$10))-(AV$3/100)*Assumptions!$B$10))))</f>
        <v/>
      </c>
    </row>
    <row r="5">
      <c r="A5" s="27" t="inlineStr">
        <is>
          <t>-1.75%</t>
        </is>
      </c>
      <c r="B5" s="47">
        <f>'BS Engine'!$B$3</f>
        <v/>
      </c>
      <c r="C5" s="28">
        <f>'BS Engine'!$C$3</f>
        <v/>
      </c>
      <c r="D5" s="49">
        <f>Assumptions!$B$5*(MAX(0,Assumptions!$B$2*EXP(-Assumptions!$B$4*Assumptions!$B$9)*NORMSDIST(((LN(Assumptions!$B$2/$B5)+(Assumptions!$B$3-Assumptions!$B$4+(D$3/100)^2/2)*Assumptions!$B$9)/((D$3/100)*Assumptions!$B$10)))-$B5*EXP(-Assumptions!$B$3*Assumptions!$B$9)*NORMSDIST((((LN(Assumptions!$B$2/$B5)+(Assumptions!$B$3-Assumptions!$B$4+(D$3/100)^2/2)*Assumptions!$B$9)/((D$3/100)*Assumptions!$B$10))-(D$3/100)*Assumptions!$B$10))))</f>
        <v/>
      </c>
      <c r="E5" s="29">
        <f>Assumptions!$B$5*(MAX(0,Assumptions!$B$2*EXP(-Assumptions!$B$4*Assumptions!$B$9)*NORMSDIST(((LN(Assumptions!$B$2/$B5)+(Assumptions!$B$3-Assumptions!$B$4+(E$3/100)^2/2)*Assumptions!$B$9)/((E$3/100)*Assumptions!$B$10)))-$B5*EXP(-Assumptions!$B$3*Assumptions!$B$9)*NORMSDIST((((LN(Assumptions!$B$2/$B5)+(Assumptions!$B$3-Assumptions!$B$4+(E$3/100)^2/2)*Assumptions!$B$9)/((E$3/100)*Assumptions!$B$10))-(E$3/100)*Assumptions!$B$10))))</f>
        <v/>
      </c>
      <c r="F5" s="29">
        <f>Assumptions!$B$5*(MAX(0,Assumptions!$B$2*EXP(-Assumptions!$B$4*Assumptions!$B$9)*NORMSDIST(((LN(Assumptions!$B$2/$B5)+(Assumptions!$B$3-Assumptions!$B$4+(F$3/100)^2/2)*Assumptions!$B$9)/((F$3/100)*Assumptions!$B$10)))-$B5*EXP(-Assumptions!$B$3*Assumptions!$B$9)*NORMSDIST((((LN(Assumptions!$B$2/$B5)+(Assumptions!$B$3-Assumptions!$B$4+(F$3/100)^2/2)*Assumptions!$B$9)/((F$3/100)*Assumptions!$B$10))-(F$3/100)*Assumptions!$B$10))))</f>
        <v/>
      </c>
      <c r="G5" s="29">
        <f>Assumptions!$B$5*(MAX(0,Assumptions!$B$2*EXP(-Assumptions!$B$4*Assumptions!$B$9)*NORMSDIST(((LN(Assumptions!$B$2/$B5)+(Assumptions!$B$3-Assumptions!$B$4+(G$3/100)^2/2)*Assumptions!$B$9)/((G$3/100)*Assumptions!$B$10)))-$B5*EXP(-Assumptions!$B$3*Assumptions!$B$9)*NORMSDIST((((LN(Assumptions!$B$2/$B5)+(Assumptions!$B$3-Assumptions!$B$4+(G$3/100)^2/2)*Assumptions!$B$9)/((G$3/100)*Assumptions!$B$10))-(G$3/100)*Assumptions!$B$10))))</f>
        <v/>
      </c>
      <c r="H5" s="29">
        <f>Assumptions!$B$5*(MAX(0,Assumptions!$B$2*EXP(-Assumptions!$B$4*Assumptions!$B$9)*NORMSDIST(((LN(Assumptions!$B$2/$B5)+(Assumptions!$B$3-Assumptions!$B$4+(H$3/100)^2/2)*Assumptions!$B$9)/((H$3/100)*Assumptions!$B$10)))-$B5*EXP(-Assumptions!$B$3*Assumptions!$B$9)*NORMSDIST((((LN(Assumptions!$B$2/$B5)+(Assumptions!$B$3-Assumptions!$B$4+(H$3/100)^2/2)*Assumptions!$B$9)/((H$3/100)*Assumptions!$B$10))-(H$3/100)*Assumptions!$B$10))))</f>
        <v/>
      </c>
      <c r="I5" s="29">
        <f>Assumptions!$B$5*(MAX(0,Assumptions!$B$2*EXP(-Assumptions!$B$4*Assumptions!$B$9)*NORMSDIST(((LN(Assumptions!$B$2/$B5)+(Assumptions!$B$3-Assumptions!$B$4+(I$3/100)^2/2)*Assumptions!$B$9)/((I$3/100)*Assumptions!$B$10)))-$B5*EXP(-Assumptions!$B$3*Assumptions!$B$9)*NORMSDIST((((LN(Assumptions!$B$2/$B5)+(Assumptions!$B$3-Assumptions!$B$4+(I$3/100)^2/2)*Assumptions!$B$9)/((I$3/100)*Assumptions!$B$10))-(I$3/100)*Assumptions!$B$10))))</f>
        <v/>
      </c>
      <c r="J5" s="29">
        <f>Assumptions!$B$5*(MAX(0,Assumptions!$B$2*EXP(-Assumptions!$B$4*Assumptions!$B$9)*NORMSDIST(((LN(Assumptions!$B$2/$B5)+(Assumptions!$B$3-Assumptions!$B$4+(J$3/100)^2/2)*Assumptions!$B$9)/((J$3/100)*Assumptions!$B$10)))-$B5*EXP(-Assumptions!$B$3*Assumptions!$B$9)*NORMSDIST((((LN(Assumptions!$B$2/$B5)+(Assumptions!$B$3-Assumptions!$B$4+(J$3/100)^2/2)*Assumptions!$B$9)/((J$3/100)*Assumptions!$B$10))-(J$3/100)*Assumptions!$B$10))))</f>
        <v/>
      </c>
      <c r="K5" s="29">
        <f>Assumptions!$B$5*(MAX(0,Assumptions!$B$2*EXP(-Assumptions!$B$4*Assumptions!$B$9)*NORMSDIST(((LN(Assumptions!$B$2/$B5)+(Assumptions!$B$3-Assumptions!$B$4+(K$3/100)^2/2)*Assumptions!$B$9)/((K$3/100)*Assumptions!$B$10)))-$B5*EXP(-Assumptions!$B$3*Assumptions!$B$9)*NORMSDIST((((LN(Assumptions!$B$2/$B5)+(Assumptions!$B$3-Assumptions!$B$4+(K$3/100)^2/2)*Assumptions!$B$9)/((K$3/100)*Assumptions!$B$10))-(K$3/100)*Assumptions!$B$10))))</f>
        <v/>
      </c>
      <c r="L5" s="29">
        <f>Assumptions!$B$5*(MAX(0,Assumptions!$B$2*EXP(-Assumptions!$B$4*Assumptions!$B$9)*NORMSDIST(((LN(Assumptions!$B$2/$B5)+(Assumptions!$B$3-Assumptions!$B$4+(L$3/100)^2/2)*Assumptions!$B$9)/((L$3/100)*Assumptions!$B$10)))-$B5*EXP(-Assumptions!$B$3*Assumptions!$B$9)*NORMSDIST((((LN(Assumptions!$B$2/$B5)+(Assumptions!$B$3-Assumptions!$B$4+(L$3/100)^2/2)*Assumptions!$B$9)/((L$3/100)*Assumptions!$B$10))-(L$3/100)*Assumptions!$B$10))))</f>
        <v/>
      </c>
      <c r="M5" s="29">
        <f>Assumptions!$B$5*(MAX(0,Assumptions!$B$2*EXP(-Assumptions!$B$4*Assumptions!$B$9)*NORMSDIST(((LN(Assumptions!$B$2/$B5)+(Assumptions!$B$3-Assumptions!$B$4+(M$3/100)^2/2)*Assumptions!$B$9)/((M$3/100)*Assumptions!$B$10)))-$B5*EXP(-Assumptions!$B$3*Assumptions!$B$9)*NORMSDIST((((LN(Assumptions!$B$2/$B5)+(Assumptions!$B$3-Assumptions!$B$4+(M$3/100)^2/2)*Assumptions!$B$9)/((M$3/100)*Assumptions!$B$10))-(M$3/100)*Assumptions!$B$10))))</f>
        <v/>
      </c>
      <c r="N5" s="29">
        <f>Assumptions!$B$5*(MAX(0,Assumptions!$B$2*EXP(-Assumptions!$B$4*Assumptions!$B$9)*NORMSDIST(((LN(Assumptions!$B$2/$B5)+(Assumptions!$B$3-Assumptions!$B$4+(N$3/100)^2/2)*Assumptions!$B$9)/((N$3/100)*Assumptions!$B$10)))-$B5*EXP(-Assumptions!$B$3*Assumptions!$B$9)*NORMSDIST((((LN(Assumptions!$B$2/$B5)+(Assumptions!$B$3-Assumptions!$B$4+(N$3/100)^2/2)*Assumptions!$B$9)/((N$3/100)*Assumptions!$B$10))-(N$3/100)*Assumptions!$B$10))))</f>
        <v/>
      </c>
      <c r="O5" s="29">
        <f>Assumptions!$B$5*(MAX(0,Assumptions!$B$2*EXP(-Assumptions!$B$4*Assumptions!$B$9)*NORMSDIST(((LN(Assumptions!$B$2/$B5)+(Assumptions!$B$3-Assumptions!$B$4+(O$3/100)^2/2)*Assumptions!$B$9)/((O$3/100)*Assumptions!$B$10)))-$B5*EXP(-Assumptions!$B$3*Assumptions!$B$9)*NORMSDIST((((LN(Assumptions!$B$2/$B5)+(Assumptions!$B$3-Assumptions!$B$4+(O$3/100)^2/2)*Assumptions!$B$9)/((O$3/100)*Assumptions!$B$10))-(O$3/100)*Assumptions!$B$10))))</f>
        <v/>
      </c>
      <c r="P5" s="29">
        <f>Assumptions!$B$5*(MAX(0,Assumptions!$B$2*EXP(-Assumptions!$B$4*Assumptions!$B$9)*NORMSDIST(((LN(Assumptions!$B$2/$B5)+(Assumptions!$B$3-Assumptions!$B$4+(P$3/100)^2/2)*Assumptions!$B$9)/((P$3/100)*Assumptions!$B$10)))-$B5*EXP(-Assumptions!$B$3*Assumptions!$B$9)*NORMSDIST((((LN(Assumptions!$B$2/$B5)+(Assumptions!$B$3-Assumptions!$B$4+(P$3/100)^2/2)*Assumptions!$B$9)/((P$3/100)*Assumptions!$B$10))-(P$3/100)*Assumptions!$B$10))))</f>
        <v/>
      </c>
      <c r="Q5" s="29">
        <f>Assumptions!$B$5*(MAX(0,Assumptions!$B$2*EXP(-Assumptions!$B$4*Assumptions!$B$9)*NORMSDIST(((LN(Assumptions!$B$2/$B5)+(Assumptions!$B$3-Assumptions!$B$4+(Q$3/100)^2/2)*Assumptions!$B$9)/((Q$3/100)*Assumptions!$B$10)))-$B5*EXP(-Assumptions!$B$3*Assumptions!$B$9)*NORMSDIST((((LN(Assumptions!$B$2/$B5)+(Assumptions!$B$3-Assumptions!$B$4+(Q$3/100)^2/2)*Assumptions!$B$9)/((Q$3/100)*Assumptions!$B$10))-(Q$3/100)*Assumptions!$B$10))))</f>
        <v/>
      </c>
      <c r="R5" s="29">
        <f>Assumptions!$B$5*(MAX(0,Assumptions!$B$2*EXP(-Assumptions!$B$4*Assumptions!$B$9)*NORMSDIST(((LN(Assumptions!$B$2/$B5)+(Assumptions!$B$3-Assumptions!$B$4+(R$3/100)^2/2)*Assumptions!$B$9)/((R$3/100)*Assumptions!$B$10)))-$B5*EXP(-Assumptions!$B$3*Assumptions!$B$9)*NORMSDIST((((LN(Assumptions!$B$2/$B5)+(Assumptions!$B$3-Assumptions!$B$4+(R$3/100)^2/2)*Assumptions!$B$9)/((R$3/100)*Assumptions!$B$10))-(R$3/100)*Assumptions!$B$10))))</f>
        <v/>
      </c>
      <c r="S5" s="29">
        <f>Assumptions!$B$5*(MAX(0,Assumptions!$B$2*EXP(-Assumptions!$B$4*Assumptions!$B$9)*NORMSDIST(((LN(Assumptions!$B$2/$B5)+(Assumptions!$B$3-Assumptions!$B$4+(S$3/100)^2/2)*Assumptions!$B$9)/((S$3/100)*Assumptions!$B$10)))-$B5*EXP(-Assumptions!$B$3*Assumptions!$B$9)*NORMSDIST((((LN(Assumptions!$B$2/$B5)+(Assumptions!$B$3-Assumptions!$B$4+(S$3/100)^2/2)*Assumptions!$B$9)/((S$3/100)*Assumptions!$B$10))-(S$3/100)*Assumptions!$B$10))))</f>
        <v/>
      </c>
      <c r="T5" s="29">
        <f>Assumptions!$B$5*(MAX(0,Assumptions!$B$2*EXP(-Assumptions!$B$4*Assumptions!$B$9)*NORMSDIST(((LN(Assumptions!$B$2/$B5)+(Assumptions!$B$3-Assumptions!$B$4+(T$3/100)^2/2)*Assumptions!$B$9)/((T$3/100)*Assumptions!$B$10)))-$B5*EXP(-Assumptions!$B$3*Assumptions!$B$9)*NORMSDIST((((LN(Assumptions!$B$2/$B5)+(Assumptions!$B$3-Assumptions!$B$4+(T$3/100)^2/2)*Assumptions!$B$9)/((T$3/100)*Assumptions!$B$10))-(T$3/100)*Assumptions!$B$10))))</f>
        <v/>
      </c>
      <c r="U5" s="29">
        <f>Assumptions!$B$5*(MAX(0,Assumptions!$B$2*EXP(-Assumptions!$B$4*Assumptions!$B$9)*NORMSDIST(((LN(Assumptions!$B$2/$B5)+(Assumptions!$B$3-Assumptions!$B$4+(U$3/100)^2/2)*Assumptions!$B$9)/((U$3/100)*Assumptions!$B$10)))-$B5*EXP(-Assumptions!$B$3*Assumptions!$B$9)*NORMSDIST((((LN(Assumptions!$B$2/$B5)+(Assumptions!$B$3-Assumptions!$B$4+(U$3/100)^2/2)*Assumptions!$B$9)/((U$3/100)*Assumptions!$B$10))-(U$3/100)*Assumptions!$B$10))))</f>
        <v/>
      </c>
      <c r="V5" s="29">
        <f>Assumptions!$B$5*(MAX(0,Assumptions!$B$2*EXP(-Assumptions!$B$4*Assumptions!$B$9)*NORMSDIST(((LN(Assumptions!$B$2/$B5)+(Assumptions!$B$3-Assumptions!$B$4+(V$3/100)^2/2)*Assumptions!$B$9)/((V$3/100)*Assumptions!$B$10)))-$B5*EXP(-Assumptions!$B$3*Assumptions!$B$9)*NORMSDIST((((LN(Assumptions!$B$2/$B5)+(Assumptions!$B$3-Assumptions!$B$4+(V$3/100)^2/2)*Assumptions!$B$9)/((V$3/100)*Assumptions!$B$10))-(V$3/100)*Assumptions!$B$10))))</f>
        <v/>
      </c>
      <c r="W5" s="29">
        <f>Assumptions!$B$5*(MAX(0,Assumptions!$B$2*EXP(-Assumptions!$B$4*Assumptions!$B$9)*NORMSDIST(((LN(Assumptions!$B$2/$B5)+(Assumptions!$B$3-Assumptions!$B$4+(W$3/100)^2/2)*Assumptions!$B$9)/((W$3/100)*Assumptions!$B$10)))-$B5*EXP(-Assumptions!$B$3*Assumptions!$B$9)*NORMSDIST((((LN(Assumptions!$B$2/$B5)+(Assumptions!$B$3-Assumptions!$B$4+(W$3/100)^2/2)*Assumptions!$B$9)/((W$3/100)*Assumptions!$B$10))-(W$3/100)*Assumptions!$B$10))))</f>
        <v/>
      </c>
      <c r="X5" s="29">
        <f>Assumptions!$B$5*(MAX(0,Assumptions!$B$2*EXP(-Assumptions!$B$4*Assumptions!$B$9)*NORMSDIST(((LN(Assumptions!$B$2/$B5)+(Assumptions!$B$3-Assumptions!$B$4+(X$3/100)^2/2)*Assumptions!$B$9)/((X$3/100)*Assumptions!$B$10)))-$B5*EXP(-Assumptions!$B$3*Assumptions!$B$9)*NORMSDIST((((LN(Assumptions!$B$2/$B5)+(Assumptions!$B$3-Assumptions!$B$4+(X$3/100)^2/2)*Assumptions!$B$9)/((X$3/100)*Assumptions!$B$10))-(X$3/100)*Assumptions!$B$10))))</f>
        <v/>
      </c>
      <c r="Y5" s="29">
        <f>Assumptions!$B$5*(MAX(0,Assumptions!$B$2*EXP(-Assumptions!$B$4*Assumptions!$B$9)*NORMSDIST(((LN(Assumptions!$B$2/$B5)+(Assumptions!$B$3-Assumptions!$B$4+(Y$3/100)^2/2)*Assumptions!$B$9)/((Y$3/100)*Assumptions!$B$10)))-$B5*EXP(-Assumptions!$B$3*Assumptions!$B$9)*NORMSDIST((((LN(Assumptions!$B$2/$B5)+(Assumptions!$B$3-Assumptions!$B$4+(Y$3/100)^2/2)*Assumptions!$B$9)/((Y$3/100)*Assumptions!$B$10))-(Y$3/100)*Assumptions!$B$10))))</f>
        <v/>
      </c>
      <c r="Z5" s="29">
        <f>Assumptions!$B$5*(MAX(0,Assumptions!$B$2*EXP(-Assumptions!$B$4*Assumptions!$B$9)*NORMSDIST(((LN(Assumptions!$B$2/$B5)+(Assumptions!$B$3-Assumptions!$B$4+(Z$3/100)^2/2)*Assumptions!$B$9)/((Z$3/100)*Assumptions!$B$10)))-$B5*EXP(-Assumptions!$B$3*Assumptions!$B$9)*NORMSDIST((((LN(Assumptions!$B$2/$B5)+(Assumptions!$B$3-Assumptions!$B$4+(Z$3/100)^2/2)*Assumptions!$B$9)/((Z$3/100)*Assumptions!$B$10))-(Z$3/100)*Assumptions!$B$10))))</f>
        <v/>
      </c>
      <c r="AA5" s="29">
        <f>Assumptions!$B$5*(MAX(0,Assumptions!$B$2*EXP(-Assumptions!$B$4*Assumptions!$B$9)*NORMSDIST(((LN(Assumptions!$B$2/$B5)+(Assumptions!$B$3-Assumptions!$B$4+(AA$3/100)^2/2)*Assumptions!$B$9)/((AA$3/100)*Assumptions!$B$10)))-$B5*EXP(-Assumptions!$B$3*Assumptions!$B$9)*NORMSDIST((((LN(Assumptions!$B$2/$B5)+(Assumptions!$B$3-Assumptions!$B$4+(AA$3/100)^2/2)*Assumptions!$B$9)/((AA$3/100)*Assumptions!$B$10))-(AA$3/100)*Assumptions!$B$10))))</f>
        <v/>
      </c>
      <c r="AB5" s="29">
        <f>Assumptions!$B$5*(MAX(0,Assumptions!$B$2*EXP(-Assumptions!$B$4*Assumptions!$B$9)*NORMSDIST(((LN(Assumptions!$B$2/$B5)+(Assumptions!$B$3-Assumptions!$B$4+(AB$3/100)^2/2)*Assumptions!$B$9)/((AB$3/100)*Assumptions!$B$10)))-$B5*EXP(-Assumptions!$B$3*Assumptions!$B$9)*NORMSDIST((((LN(Assumptions!$B$2/$B5)+(Assumptions!$B$3-Assumptions!$B$4+(AB$3/100)^2/2)*Assumptions!$B$9)/((AB$3/100)*Assumptions!$B$10))-(AB$3/100)*Assumptions!$B$10))))</f>
        <v/>
      </c>
      <c r="AC5" s="29">
        <f>Assumptions!$B$5*(MAX(0,Assumptions!$B$2*EXP(-Assumptions!$B$4*Assumptions!$B$9)*NORMSDIST(((LN(Assumptions!$B$2/$B5)+(Assumptions!$B$3-Assumptions!$B$4+(AC$3/100)^2/2)*Assumptions!$B$9)/((AC$3/100)*Assumptions!$B$10)))-$B5*EXP(-Assumptions!$B$3*Assumptions!$B$9)*NORMSDIST((((LN(Assumptions!$B$2/$B5)+(Assumptions!$B$3-Assumptions!$B$4+(AC$3/100)^2/2)*Assumptions!$B$9)/((AC$3/100)*Assumptions!$B$10))-(AC$3/100)*Assumptions!$B$10))))</f>
        <v/>
      </c>
      <c r="AD5" s="29">
        <f>Assumptions!$B$5*(MAX(0,Assumptions!$B$2*EXP(-Assumptions!$B$4*Assumptions!$B$9)*NORMSDIST(((LN(Assumptions!$B$2/$B5)+(Assumptions!$B$3-Assumptions!$B$4+(AD$3/100)^2/2)*Assumptions!$B$9)/((AD$3/100)*Assumptions!$B$10)))-$B5*EXP(-Assumptions!$B$3*Assumptions!$B$9)*NORMSDIST((((LN(Assumptions!$B$2/$B5)+(Assumptions!$B$3-Assumptions!$B$4+(AD$3/100)^2/2)*Assumptions!$B$9)/((AD$3/100)*Assumptions!$B$10))-(AD$3/100)*Assumptions!$B$10))))</f>
        <v/>
      </c>
      <c r="AE5" s="29">
        <f>Assumptions!$B$5*(MAX(0,Assumptions!$B$2*EXP(-Assumptions!$B$4*Assumptions!$B$9)*NORMSDIST(((LN(Assumptions!$B$2/$B5)+(Assumptions!$B$3-Assumptions!$B$4+(AE$3/100)^2/2)*Assumptions!$B$9)/((AE$3/100)*Assumptions!$B$10)))-$B5*EXP(-Assumptions!$B$3*Assumptions!$B$9)*NORMSDIST((((LN(Assumptions!$B$2/$B5)+(Assumptions!$B$3-Assumptions!$B$4+(AE$3/100)^2/2)*Assumptions!$B$9)/((AE$3/100)*Assumptions!$B$10))-(AE$3/100)*Assumptions!$B$10))))</f>
        <v/>
      </c>
      <c r="AF5" s="29">
        <f>Assumptions!$B$5*(MAX(0,Assumptions!$B$2*EXP(-Assumptions!$B$4*Assumptions!$B$9)*NORMSDIST(((LN(Assumptions!$B$2/$B5)+(Assumptions!$B$3-Assumptions!$B$4+(AF$3/100)^2/2)*Assumptions!$B$9)/((AF$3/100)*Assumptions!$B$10)))-$B5*EXP(-Assumptions!$B$3*Assumptions!$B$9)*NORMSDIST((((LN(Assumptions!$B$2/$B5)+(Assumptions!$B$3-Assumptions!$B$4+(AF$3/100)^2/2)*Assumptions!$B$9)/((AF$3/100)*Assumptions!$B$10))-(AF$3/100)*Assumptions!$B$10))))</f>
        <v/>
      </c>
      <c r="AG5" s="29">
        <f>Assumptions!$B$5*(MAX(0,Assumptions!$B$2*EXP(-Assumptions!$B$4*Assumptions!$B$9)*NORMSDIST(((LN(Assumptions!$B$2/$B5)+(Assumptions!$B$3-Assumptions!$B$4+(AG$3/100)^2/2)*Assumptions!$B$9)/((AG$3/100)*Assumptions!$B$10)))-$B5*EXP(-Assumptions!$B$3*Assumptions!$B$9)*NORMSDIST((((LN(Assumptions!$B$2/$B5)+(Assumptions!$B$3-Assumptions!$B$4+(AG$3/100)^2/2)*Assumptions!$B$9)/((AG$3/100)*Assumptions!$B$10))-(AG$3/100)*Assumptions!$B$10))))</f>
        <v/>
      </c>
      <c r="AH5" s="29">
        <f>Assumptions!$B$5*(MAX(0,Assumptions!$B$2*EXP(-Assumptions!$B$4*Assumptions!$B$9)*NORMSDIST(((LN(Assumptions!$B$2/$B5)+(Assumptions!$B$3-Assumptions!$B$4+(AH$3/100)^2/2)*Assumptions!$B$9)/((AH$3/100)*Assumptions!$B$10)))-$B5*EXP(-Assumptions!$B$3*Assumptions!$B$9)*NORMSDIST((((LN(Assumptions!$B$2/$B5)+(Assumptions!$B$3-Assumptions!$B$4+(AH$3/100)^2/2)*Assumptions!$B$9)/((AH$3/100)*Assumptions!$B$10))-(AH$3/100)*Assumptions!$B$10))))</f>
        <v/>
      </c>
      <c r="AI5" s="29">
        <f>Assumptions!$B$5*(MAX(0,Assumptions!$B$2*EXP(-Assumptions!$B$4*Assumptions!$B$9)*NORMSDIST(((LN(Assumptions!$B$2/$B5)+(Assumptions!$B$3-Assumptions!$B$4+(AI$3/100)^2/2)*Assumptions!$B$9)/((AI$3/100)*Assumptions!$B$10)))-$B5*EXP(-Assumptions!$B$3*Assumptions!$B$9)*NORMSDIST((((LN(Assumptions!$B$2/$B5)+(Assumptions!$B$3-Assumptions!$B$4+(AI$3/100)^2/2)*Assumptions!$B$9)/((AI$3/100)*Assumptions!$B$10))-(AI$3/100)*Assumptions!$B$10))))</f>
        <v/>
      </c>
      <c r="AJ5" s="29">
        <f>Assumptions!$B$5*(MAX(0,Assumptions!$B$2*EXP(-Assumptions!$B$4*Assumptions!$B$9)*NORMSDIST(((LN(Assumptions!$B$2/$B5)+(Assumptions!$B$3-Assumptions!$B$4+(AJ$3/100)^2/2)*Assumptions!$B$9)/((AJ$3/100)*Assumptions!$B$10)))-$B5*EXP(-Assumptions!$B$3*Assumptions!$B$9)*NORMSDIST((((LN(Assumptions!$B$2/$B5)+(Assumptions!$B$3-Assumptions!$B$4+(AJ$3/100)^2/2)*Assumptions!$B$9)/((AJ$3/100)*Assumptions!$B$10))-(AJ$3/100)*Assumptions!$B$10))))</f>
        <v/>
      </c>
      <c r="AK5" s="29">
        <f>Assumptions!$B$5*(MAX(0,Assumptions!$B$2*EXP(-Assumptions!$B$4*Assumptions!$B$9)*NORMSDIST(((LN(Assumptions!$B$2/$B5)+(Assumptions!$B$3-Assumptions!$B$4+(AK$3/100)^2/2)*Assumptions!$B$9)/((AK$3/100)*Assumptions!$B$10)))-$B5*EXP(-Assumptions!$B$3*Assumptions!$B$9)*NORMSDIST((((LN(Assumptions!$B$2/$B5)+(Assumptions!$B$3-Assumptions!$B$4+(AK$3/100)^2/2)*Assumptions!$B$9)/((AK$3/100)*Assumptions!$B$10))-(AK$3/100)*Assumptions!$B$10))))</f>
        <v/>
      </c>
      <c r="AL5" s="29">
        <f>Assumptions!$B$5*(MAX(0,Assumptions!$B$2*EXP(-Assumptions!$B$4*Assumptions!$B$9)*NORMSDIST(((LN(Assumptions!$B$2/$B5)+(Assumptions!$B$3-Assumptions!$B$4+(AL$3/100)^2/2)*Assumptions!$B$9)/((AL$3/100)*Assumptions!$B$10)))-$B5*EXP(-Assumptions!$B$3*Assumptions!$B$9)*NORMSDIST((((LN(Assumptions!$B$2/$B5)+(Assumptions!$B$3-Assumptions!$B$4+(AL$3/100)^2/2)*Assumptions!$B$9)/((AL$3/100)*Assumptions!$B$10))-(AL$3/100)*Assumptions!$B$10))))</f>
        <v/>
      </c>
      <c r="AM5" s="29">
        <f>Assumptions!$B$5*(MAX(0,Assumptions!$B$2*EXP(-Assumptions!$B$4*Assumptions!$B$9)*NORMSDIST(((LN(Assumptions!$B$2/$B5)+(Assumptions!$B$3-Assumptions!$B$4+(AM$3/100)^2/2)*Assumptions!$B$9)/((AM$3/100)*Assumptions!$B$10)))-$B5*EXP(-Assumptions!$B$3*Assumptions!$B$9)*NORMSDIST((((LN(Assumptions!$B$2/$B5)+(Assumptions!$B$3-Assumptions!$B$4+(AM$3/100)^2/2)*Assumptions!$B$9)/((AM$3/100)*Assumptions!$B$10))-(AM$3/100)*Assumptions!$B$10))))</f>
        <v/>
      </c>
      <c r="AN5" s="29">
        <f>Assumptions!$B$5*(MAX(0,Assumptions!$B$2*EXP(-Assumptions!$B$4*Assumptions!$B$9)*NORMSDIST(((LN(Assumptions!$B$2/$B5)+(Assumptions!$B$3-Assumptions!$B$4+(AN$3/100)^2/2)*Assumptions!$B$9)/((AN$3/100)*Assumptions!$B$10)))-$B5*EXP(-Assumptions!$B$3*Assumptions!$B$9)*NORMSDIST((((LN(Assumptions!$B$2/$B5)+(Assumptions!$B$3-Assumptions!$B$4+(AN$3/100)^2/2)*Assumptions!$B$9)/((AN$3/100)*Assumptions!$B$10))-(AN$3/100)*Assumptions!$B$10))))</f>
        <v/>
      </c>
      <c r="AO5" s="29">
        <f>Assumptions!$B$5*(MAX(0,Assumptions!$B$2*EXP(-Assumptions!$B$4*Assumptions!$B$9)*NORMSDIST(((LN(Assumptions!$B$2/$B5)+(Assumptions!$B$3-Assumptions!$B$4+(AO$3/100)^2/2)*Assumptions!$B$9)/((AO$3/100)*Assumptions!$B$10)))-$B5*EXP(-Assumptions!$B$3*Assumptions!$B$9)*NORMSDIST((((LN(Assumptions!$B$2/$B5)+(Assumptions!$B$3-Assumptions!$B$4+(AO$3/100)^2/2)*Assumptions!$B$9)/((AO$3/100)*Assumptions!$B$10))-(AO$3/100)*Assumptions!$B$10))))</f>
        <v/>
      </c>
      <c r="AP5" s="29">
        <f>Assumptions!$B$5*(MAX(0,Assumptions!$B$2*EXP(-Assumptions!$B$4*Assumptions!$B$9)*NORMSDIST(((LN(Assumptions!$B$2/$B5)+(Assumptions!$B$3-Assumptions!$B$4+(AP$3/100)^2/2)*Assumptions!$B$9)/((AP$3/100)*Assumptions!$B$10)))-$B5*EXP(-Assumptions!$B$3*Assumptions!$B$9)*NORMSDIST((((LN(Assumptions!$B$2/$B5)+(Assumptions!$B$3-Assumptions!$B$4+(AP$3/100)^2/2)*Assumptions!$B$9)/((AP$3/100)*Assumptions!$B$10))-(AP$3/100)*Assumptions!$B$10))))</f>
        <v/>
      </c>
      <c r="AQ5" s="29">
        <f>Assumptions!$B$5*(MAX(0,Assumptions!$B$2*EXP(-Assumptions!$B$4*Assumptions!$B$9)*NORMSDIST(((LN(Assumptions!$B$2/$B5)+(Assumptions!$B$3-Assumptions!$B$4+(AQ$3/100)^2/2)*Assumptions!$B$9)/((AQ$3/100)*Assumptions!$B$10)))-$B5*EXP(-Assumptions!$B$3*Assumptions!$B$9)*NORMSDIST((((LN(Assumptions!$B$2/$B5)+(Assumptions!$B$3-Assumptions!$B$4+(AQ$3/100)^2/2)*Assumptions!$B$9)/((AQ$3/100)*Assumptions!$B$10))-(AQ$3/100)*Assumptions!$B$10))))</f>
        <v/>
      </c>
      <c r="AR5" s="29">
        <f>Assumptions!$B$5*(MAX(0,Assumptions!$B$2*EXP(-Assumptions!$B$4*Assumptions!$B$9)*NORMSDIST(((LN(Assumptions!$B$2/$B5)+(Assumptions!$B$3-Assumptions!$B$4+(AR$3/100)^2/2)*Assumptions!$B$9)/((AR$3/100)*Assumptions!$B$10)))-$B5*EXP(-Assumptions!$B$3*Assumptions!$B$9)*NORMSDIST((((LN(Assumptions!$B$2/$B5)+(Assumptions!$B$3-Assumptions!$B$4+(AR$3/100)^2/2)*Assumptions!$B$9)/((AR$3/100)*Assumptions!$B$10))-(AR$3/100)*Assumptions!$B$10))))</f>
        <v/>
      </c>
      <c r="AS5" s="29">
        <f>Assumptions!$B$5*(MAX(0,Assumptions!$B$2*EXP(-Assumptions!$B$4*Assumptions!$B$9)*NORMSDIST(((LN(Assumptions!$B$2/$B5)+(Assumptions!$B$3-Assumptions!$B$4+(AS$3/100)^2/2)*Assumptions!$B$9)/((AS$3/100)*Assumptions!$B$10)))-$B5*EXP(-Assumptions!$B$3*Assumptions!$B$9)*NORMSDIST((((LN(Assumptions!$B$2/$B5)+(Assumptions!$B$3-Assumptions!$B$4+(AS$3/100)^2/2)*Assumptions!$B$9)/((AS$3/100)*Assumptions!$B$10))-(AS$3/100)*Assumptions!$B$10))))</f>
        <v/>
      </c>
      <c r="AT5" s="29">
        <f>Assumptions!$B$5*(MAX(0,Assumptions!$B$2*EXP(-Assumptions!$B$4*Assumptions!$B$9)*NORMSDIST(((LN(Assumptions!$B$2/$B5)+(Assumptions!$B$3-Assumptions!$B$4+(AT$3/100)^2/2)*Assumptions!$B$9)/((AT$3/100)*Assumptions!$B$10)))-$B5*EXP(-Assumptions!$B$3*Assumptions!$B$9)*NORMSDIST((((LN(Assumptions!$B$2/$B5)+(Assumptions!$B$3-Assumptions!$B$4+(AT$3/100)^2/2)*Assumptions!$B$9)/((AT$3/100)*Assumptions!$B$10))-(AT$3/100)*Assumptions!$B$10))))</f>
        <v/>
      </c>
      <c r="AU5" s="29">
        <f>Assumptions!$B$5*(MAX(0,Assumptions!$B$2*EXP(-Assumptions!$B$4*Assumptions!$B$9)*NORMSDIST(((LN(Assumptions!$B$2/$B5)+(Assumptions!$B$3-Assumptions!$B$4+(AU$3/100)^2/2)*Assumptions!$B$9)/((AU$3/100)*Assumptions!$B$10)))-$B5*EXP(-Assumptions!$B$3*Assumptions!$B$9)*NORMSDIST((((LN(Assumptions!$B$2/$B5)+(Assumptions!$B$3-Assumptions!$B$4+(AU$3/100)^2/2)*Assumptions!$B$9)/((AU$3/100)*Assumptions!$B$10))-(AU$3/100)*Assumptions!$B$10))))</f>
        <v/>
      </c>
      <c r="AV5" s="29">
        <f>Assumptions!$B$5*(MAX(0,Assumptions!$B$2*EXP(-Assumptions!$B$4*Assumptions!$B$9)*NORMSDIST(((LN(Assumptions!$B$2/$B5)+(Assumptions!$B$3-Assumptions!$B$4+(AV$3/100)^2/2)*Assumptions!$B$9)/((AV$3/100)*Assumptions!$B$10)))-$B5*EXP(-Assumptions!$B$3*Assumptions!$B$9)*NORMSDIST((((LN(Assumptions!$B$2/$B5)+(Assumptions!$B$3-Assumptions!$B$4+(AV$3/100)^2/2)*Assumptions!$B$9)/((AV$3/100)*Assumptions!$B$10))-(AV$3/100)*Assumptions!$B$10))))</f>
        <v/>
      </c>
    </row>
    <row r="6">
      <c r="A6" s="27" t="inlineStr">
        <is>
          <t>-1.50%</t>
        </is>
      </c>
      <c r="B6" s="47">
        <f>'BS Engine'!$B$4</f>
        <v/>
      </c>
      <c r="C6" s="28">
        <f>'BS Engine'!$C$4</f>
        <v/>
      </c>
      <c r="D6" s="49">
        <f>Assumptions!$B$5*(MAX(0,Assumptions!$B$2*EXP(-Assumptions!$B$4*Assumptions!$B$9)*NORMSDIST(((LN(Assumptions!$B$2/$B6)+(Assumptions!$B$3-Assumptions!$B$4+(D$3/100)^2/2)*Assumptions!$B$9)/((D$3/100)*Assumptions!$B$10)))-$B6*EXP(-Assumptions!$B$3*Assumptions!$B$9)*NORMSDIST((((LN(Assumptions!$B$2/$B6)+(Assumptions!$B$3-Assumptions!$B$4+(D$3/100)^2/2)*Assumptions!$B$9)/((D$3/100)*Assumptions!$B$10))-(D$3/100)*Assumptions!$B$10))))</f>
        <v/>
      </c>
      <c r="E6" s="29">
        <f>Assumptions!$B$5*(MAX(0,Assumptions!$B$2*EXP(-Assumptions!$B$4*Assumptions!$B$9)*NORMSDIST(((LN(Assumptions!$B$2/$B6)+(Assumptions!$B$3-Assumptions!$B$4+(E$3/100)^2/2)*Assumptions!$B$9)/((E$3/100)*Assumptions!$B$10)))-$B6*EXP(-Assumptions!$B$3*Assumptions!$B$9)*NORMSDIST((((LN(Assumptions!$B$2/$B6)+(Assumptions!$B$3-Assumptions!$B$4+(E$3/100)^2/2)*Assumptions!$B$9)/((E$3/100)*Assumptions!$B$10))-(E$3/100)*Assumptions!$B$10))))</f>
        <v/>
      </c>
      <c r="F6" s="29">
        <f>Assumptions!$B$5*(MAX(0,Assumptions!$B$2*EXP(-Assumptions!$B$4*Assumptions!$B$9)*NORMSDIST(((LN(Assumptions!$B$2/$B6)+(Assumptions!$B$3-Assumptions!$B$4+(F$3/100)^2/2)*Assumptions!$B$9)/((F$3/100)*Assumptions!$B$10)))-$B6*EXP(-Assumptions!$B$3*Assumptions!$B$9)*NORMSDIST((((LN(Assumptions!$B$2/$B6)+(Assumptions!$B$3-Assumptions!$B$4+(F$3/100)^2/2)*Assumptions!$B$9)/((F$3/100)*Assumptions!$B$10))-(F$3/100)*Assumptions!$B$10))))</f>
        <v/>
      </c>
      <c r="G6" s="29">
        <f>Assumptions!$B$5*(MAX(0,Assumptions!$B$2*EXP(-Assumptions!$B$4*Assumptions!$B$9)*NORMSDIST(((LN(Assumptions!$B$2/$B6)+(Assumptions!$B$3-Assumptions!$B$4+(G$3/100)^2/2)*Assumptions!$B$9)/((G$3/100)*Assumptions!$B$10)))-$B6*EXP(-Assumptions!$B$3*Assumptions!$B$9)*NORMSDIST((((LN(Assumptions!$B$2/$B6)+(Assumptions!$B$3-Assumptions!$B$4+(G$3/100)^2/2)*Assumptions!$B$9)/((G$3/100)*Assumptions!$B$10))-(G$3/100)*Assumptions!$B$10))))</f>
        <v/>
      </c>
      <c r="H6" s="29">
        <f>Assumptions!$B$5*(MAX(0,Assumptions!$B$2*EXP(-Assumptions!$B$4*Assumptions!$B$9)*NORMSDIST(((LN(Assumptions!$B$2/$B6)+(Assumptions!$B$3-Assumptions!$B$4+(H$3/100)^2/2)*Assumptions!$B$9)/((H$3/100)*Assumptions!$B$10)))-$B6*EXP(-Assumptions!$B$3*Assumptions!$B$9)*NORMSDIST((((LN(Assumptions!$B$2/$B6)+(Assumptions!$B$3-Assumptions!$B$4+(H$3/100)^2/2)*Assumptions!$B$9)/((H$3/100)*Assumptions!$B$10))-(H$3/100)*Assumptions!$B$10))))</f>
        <v/>
      </c>
      <c r="I6" s="29">
        <f>Assumptions!$B$5*(MAX(0,Assumptions!$B$2*EXP(-Assumptions!$B$4*Assumptions!$B$9)*NORMSDIST(((LN(Assumptions!$B$2/$B6)+(Assumptions!$B$3-Assumptions!$B$4+(I$3/100)^2/2)*Assumptions!$B$9)/((I$3/100)*Assumptions!$B$10)))-$B6*EXP(-Assumptions!$B$3*Assumptions!$B$9)*NORMSDIST((((LN(Assumptions!$B$2/$B6)+(Assumptions!$B$3-Assumptions!$B$4+(I$3/100)^2/2)*Assumptions!$B$9)/((I$3/100)*Assumptions!$B$10))-(I$3/100)*Assumptions!$B$10))))</f>
        <v/>
      </c>
      <c r="J6" s="29">
        <f>Assumptions!$B$5*(MAX(0,Assumptions!$B$2*EXP(-Assumptions!$B$4*Assumptions!$B$9)*NORMSDIST(((LN(Assumptions!$B$2/$B6)+(Assumptions!$B$3-Assumptions!$B$4+(J$3/100)^2/2)*Assumptions!$B$9)/((J$3/100)*Assumptions!$B$10)))-$B6*EXP(-Assumptions!$B$3*Assumptions!$B$9)*NORMSDIST((((LN(Assumptions!$B$2/$B6)+(Assumptions!$B$3-Assumptions!$B$4+(J$3/100)^2/2)*Assumptions!$B$9)/((J$3/100)*Assumptions!$B$10))-(J$3/100)*Assumptions!$B$10))))</f>
        <v/>
      </c>
      <c r="K6" s="29">
        <f>Assumptions!$B$5*(MAX(0,Assumptions!$B$2*EXP(-Assumptions!$B$4*Assumptions!$B$9)*NORMSDIST(((LN(Assumptions!$B$2/$B6)+(Assumptions!$B$3-Assumptions!$B$4+(K$3/100)^2/2)*Assumptions!$B$9)/((K$3/100)*Assumptions!$B$10)))-$B6*EXP(-Assumptions!$B$3*Assumptions!$B$9)*NORMSDIST((((LN(Assumptions!$B$2/$B6)+(Assumptions!$B$3-Assumptions!$B$4+(K$3/100)^2/2)*Assumptions!$B$9)/((K$3/100)*Assumptions!$B$10))-(K$3/100)*Assumptions!$B$10))))</f>
        <v/>
      </c>
      <c r="L6" s="29">
        <f>Assumptions!$B$5*(MAX(0,Assumptions!$B$2*EXP(-Assumptions!$B$4*Assumptions!$B$9)*NORMSDIST(((LN(Assumptions!$B$2/$B6)+(Assumptions!$B$3-Assumptions!$B$4+(L$3/100)^2/2)*Assumptions!$B$9)/((L$3/100)*Assumptions!$B$10)))-$B6*EXP(-Assumptions!$B$3*Assumptions!$B$9)*NORMSDIST((((LN(Assumptions!$B$2/$B6)+(Assumptions!$B$3-Assumptions!$B$4+(L$3/100)^2/2)*Assumptions!$B$9)/((L$3/100)*Assumptions!$B$10))-(L$3/100)*Assumptions!$B$10))))</f>
        <v/>
      </c>
      <c r="M6" s="29">
        <f>Assumptions!$B$5*(MAX(0,Assumptions!$B$2*EXP(-Assumptions!$B$4*Assumptions!$B$9)*NORMSDIST(((LN(Assumptions!$B$2/$B6)+(Assumptions!$B$3-Assumptions!$B$4+(M$3/100)^2/2)*Assumptions!$B$9)/((M$3/100)*Assumptions!$B$10)))-$B6*EXP(-Assumptions!$B$3*Assumptions!$B$9)*NORMSDIST((((LN(Assumptions!$B$2/$B6)+(Assumptions!$B$3-Assumptions!$B$4+(M$3/100)^2/2)*Assumptions!$B$9)/((M$3/100)*Assumptions!$B$10))-(M$3/100)*Assumptions!$B$10))))</f>
        <v/>
      </c>
      <c r="N6" s="29">
        <f>Assumptions!$B$5*(MAX(0,Assumptions!$B$2*EXP(-Assumptions!$B$4*Assumptions!$B$9)*NORMSDIST(((LN(Assumptions!$B$2/$B6)+(Assumptions!$B$3-Assumptions!$B$4+(N$3/100)^2/2)*Assumptions!$B$9)/((N$3/100)*Assumptions!$B$10)))-$B6*EXP(-Assumptions!$B$3*Assumptions!$B$9)*NORMSDIST((((LN(Assumptions!$B$2/$B6)+(Assumptions!$B$3-Assumptions!$B$4+(N$3/100)^2/2)*Assumptions!$B$9)/((N$3/100)*Assumptions!$B$10))-(N$3/100)*Assumptions!$B$10))))</f>
        <v/>
      </c>
      <c r="O6" s="29">
        <f>Assumptions!$B$5*(MAX(0,Assumptions!$B$2*EXP(-Assumptions!$B$4*Assumptions!$B$9)*NORMSDIST(((LN(Assumptions!$B$2/$B6)+(Assumptions!$B$3-Assumptions!$B$4+(O$3/100)^2/2)*Assumptions!$B$9)/((O$3/100)*Assumptions!$B$10)))-$B6*EXP(-Assumptions!$B$3*Assumptions!$B$9)*NORMSDIST((((LN(Assumptions!$B$2/$B6)+(Assumptions!$B$3-Assumptions!$B$4+(O$3/100)^2/2)*Assumptions!$B$9)/((O$3/100)*Assumptions!$B$10))-(O$3/100)*Assumptions!$B$10))))</f>
        <v/>
      </c>
      <c r="P6" s="29">
        <f>Assumptions!$B$5*(MAX(0,Assumptions!$B$2*EXP(-Assumptions!$B$4*Assumptions!$B$9)*NORMSDIST(((LN(Assumptions!$B$2/$B6)+(Assumptions!$B$3-Assumptions!$B$4+(P$3/100)^2/2)*Assumptions!$B$9)/((P$3/100)*Assumptions!$B$10)))-$B6*EXP(-Assumptions!$B$3*Assumptions!$B$9)*NORMSDIST((((LN(Assumptions!$B$2/$B6)+(Assumptions!$B$3-Assumptions!$B$4+(P$3/100)^2/2)*Assumptions!$B$9)/((P$3/100)*Assumptions!$B$10))-(P$3/100)*Assumptions!$B$10))))</f>
        <v/>
      </c>
      <c r="Q6" s="29">
        <f>Assumptions!$B$5*(MAX(0,Assumptions!$B$2*EXP(-Assumptions!$B$4*Assumptions!$B$9)*NORMSDIST(((LN(Assumptions!$B$2/$B6)+(Assumptions!$B$3-Assumptions!$B$4+(Q$3/100)^2/2)*Assumptions!$B$9)/((Q$3/100)*Assumptions!$B$10)))-$B6*EXP(-Assumptions!$B$3*Assumptions!$B$9)*NORMSDIST((((LN(Assumptions!$B$2/$B6)+(Assumptions!$B$3-Assumptions!$B$4+(Q$3/100)^2/2)*Assumptions!$B$9)/((Q$3/100)*Assumptions!$B$10))-(Q$3/100)*Assumptions!$B$10))))</f>
        <v/>
      </c>
      <c r="R6" s="29">
        <f>Assumptions!$B$5*(MAX(0,Assumptions!$B$2*EXP(-Assumptions!$B$4*Assumptions!$B$9)*NORMSDIST(((LN(Assumptions!$B$2/$B6)+(Assumptions!$B$3-Assumptions!$B$4+(R$3/100)^2/2)*Assumptions!$B$9)/((R$3/100)*Assumptions!$B$10)))-$B6*EXP(-Assumptions!$B$3*Assumptions!$B$9)*NORMSDIST((((LN(Assumptions!$B$2/$B6)+(Assumptions!$B$3-Assumptions!$B$4+(R$3/100)^2/2)*Assumptions!$B$9)/((R$3/100)*Assumptions!$B$10))-(R$3/100)*Assumptions!$B$10))))</f>
        <v/>
      </c>
      <c r="S6" s="29">
        <f>Assumptions!$B$5*(MAX(0,Assumptions!$B$2*EXP(-Assumptions!$B$4*Assumptions!$B$9)*NORMSDIST(((LN(Assumptions!$B$2/$B6)+(Assumptions!$B$3-Assumptions!$B$4+(S$3/100)^2/2)*Assumptions!$B$9)/((S$3/100)*Assumptions!$B$10)))-$B6*EXP(-Assumptions!$B$3*Assumptions!$B$9)*NORMSDIST((((LN(Assumptions!$B$2/$B6)+(Assumptions!$B$3-Assumptions!$B$4+(S$3/100)^2/2)*Assumptions!$B$9)/((S$3/100)*Assumptions!$B$10))-(S$3/100)*Assumptions!$B$10))))</f>
        <v/>
      </c>
      <c r="T6" s="29">
        <f>Assumptions!$B$5*(MAX(0,Assumptions!$B$2*EXP(-Assumptions!$B$4*Assumptions!$B$9)*NORMSDIST(((LN(Assumptions!$B$2/$B6)+(Assumptions!$B$3-Assumptions!$B$4+(T$3/100)^2/2)*Assumptions!$B$9)/((T$3/100)*Assumptions!$B$10)))-$B6*EXP(-Assumptions!$B$3*Assumptions!$B$9)*NORMSDIST((((LN(Assumptions!$B$2/$B6)+(Assumptions!$B$3-Assumptions!$B$4+(T$3/100)^2/2)*Assumptions!$B$9)/((T$3/100)*Assumptions!$B$10))-(T$3/100)*Assumptions!$B$10))))</f>
        <v/>
      </c>
      <c r="U6" s="29">
        <f>Assumptions!$B$5*(MAX(0,Assumptions!$B$2*EXP(-Assumptions!$B$4*Assumptions!$B$9)*NORMSDIST(((LN(Assumptions!$B$2/$B6)+(Assumptions!$B$3-Assumptions!$B$4+(U$3/100)^2/2)*Assumptions!$B$9)/((U$3/100)*Assumptions!$B$10)))-$B6*EXP(-Assumptions!$B$3*Assumptions!$B$9)*NORMSDIST((((LN(Assumptions!$B$2/$B6)+(Assumptions!$B$3-Assumptions!$B$4+(U$3/100)^2/2)*Assumptions!$B$9)/((U$3/100)*Assumptions!$B$10))-(U$3/100)*Assumptions!$B$10))))</f>
        <v/>
      </c>
      <c r="V6" s="29">
        <f>Assumptions!$B$5*(MAX(0,Assumptions!$B$2*EXP(-Assumptions!$B$4*Assumptions!$B$9)*NORMSDIST(((LN(Assumptions!$B$2/$B6)+(Assumptions!$B$3-Assumptions!$B$4+(V$3/100)^2/2)*Assumptions!$B$9)/((V$3/100)*Assumptions!$B$10)))-$B6*EXP(-Assumptions!$B$3*Assumptions!$B$9)*NORMSDIST((((LN(Assumptions!$B$2/$B6)+(Assumptions!$B$3-Assumptions!$B$4+(V$3/100)^2/2)*Assumptions!$B$9)/((V$3/100)*Assumptions!$B$10))-(V$3/100)*Assumptions!$B$10))))</f>
        <v/>
      </c>
      <c r="W6" s="29">
        <f>Assumptions!$B$5*(MAX(0,Assumptions!$B$2*EXP(-Assumptions!$B$4*Assumptions!$B$9)*NORMSDIST(((LN(Assumptions!$B$2/$B6)+(Assumptions!$B$3-Assumptions!$B$4+(W$3/100)^2/2)*Assumptions!$B$9)/((W$3/100)*Assumptions!$B$10)))-$B6*EXP(-Assumptions!$B$3*Assumptions!$B$9)*NORMSDIST((((LN(Assumptions!$B$2/$B6)+(Assumptions!$B$3-Assumptions!$B$4+(W$3/100)^2/2)*Assumptions!$B$9)/((W$3/100)*Assumptions!$B$10))-(W$3/100)*Assumptions!$B$10))))</f>
        <v/>
      </c>
      <c r="X6" s="29">
        <f>Assumptions!$B$5*(MAX(0,Assumptions!$B$2*EXP(-Assumptions!$B$4*Assumptions!$B$9)*NORMSDIST(((LN(Assumptions!$B$2/$B6)+(Assumptions!$B$3-Assumptions!$B$4+(X$3/100)^2/2)*Assumptions!$B$9)/((X$3/100)*Assumptions!$B$10)))-$B6*EXP(-Assumptions!$B$3*Assumptions!$B$9)*NORMSDIST((((LN(Assumptions!$B$2/$B6)+(Assumptions!$B$3-Assumptions!$B$4+(X$3/100)^2/2)*Assumptions!$B$9)/((X$3/100)*Assumptions!$B$10))-(X$3/100)*Assumptions!$B$10))))</f>
        <v/>
      </c>
      <c r="Y6" s="29">
        <f>Assumptions!$B$5*(MAX(0,Assumptions!$B$2*EXP(-Assumptions!$B$4*Assumptions!$B$9)*NORMSDIST(((LN(Assumptions!$B$2/$B6)+(Assumptions!$B$3-Assumptions!$B$4+(Y$3/100)^2/2)*Assumptions!$B$9)/((Y$3/100)*Assumptions!$B$10)))-$B6*EXP(-Assumptions!$B$3*Assumptions!$B$9)*NORMSDIST((((LN(Assumptions!$B$2/$B6)+(Assumptions!$B$3-Assumptions!$B$4+(Y$3/100)^2/2)*Assumptions!$B$9)/((Y$3/100)*Assumptions!$B$10))-(Y$3/100)*Assumptions!$B$10))))</f>
        <v/>
      </c>
      <c r="Z6" s="29">
        <f>Assumptions!$B$5*(MAX(0,Assumptions!$B$2*EXP(-Assumptions!$B$4*Assumptions!$B$9)*NORMSDIST(((LN(Assumptions!$B$2/$B6)+(Assumptions!$B$3-Assumptions!$B$4+(Z$3/100)^2/2)*Assumptions!$B$9)/((Z$3/100)*Assumptions!$B$10)))-$B6*EXP(-Assumptions!$B$3*Assumptions!$B$9)*NORMSDIST((((LN(Assumptions!$B$2/$B6)+(Assumptions!$B$3-Assumptions!$B$4+(Z$3/100)^2/2)*Assumptions!$B$9)/((Z$3/100)*Assumptions!$B$10))-(Z$3/100)*Assumptions!$B$10))))</f>
        <v/>
      </c>
      <c r="AA6" s="29">
        <f>Assumptions!$B$5*(MAX(0,Assumptions!$B$2*EXP(-Assumptions!$B$4*Assumptions!$B$9)*NORMSDIST(((LN(Assumptions!$B$2/$B6)+(Assumptions!$B$3-Assumptions!$B$4+(AA$3/100)^2/2)*Assumptions!$B$9)/((AA$3/100)*Assumptions!$B$10)))-$B6*EXP(-Assumptions!$B$3*Assumptions!$B$9)*NORMSDIST((((LN(Assumptions!$B$2/$B6)+(Assumptions!$B$3-Assumptions!$B$4+(AA$3/100)^2/2)*Assumptions!$B$9)/((AA$3/100)*Assumptions!$B$10))-(AA$3/100)*Assumptions!$B$10))))</f>
        <v/>
      </c>
      <c r="AB6" s="29">
        <f>Assumptions!$B$5*(MAX(0,Assumptions!$B$2*EXP(-Assumptions!$B$4*Assumptions!$B$9)*NORMSDIST(((LN(Assumptions!$B$2/$B6)+(Assumptions!$B$3-Assumptions!$B$4+(AB$3/100)^2/2)*Assumptions!$B$9)/((AB$3/100)*Assumptions!$B$10)))-$B6*EXP(-Assumptions!$B$3*Assumptions!$B$9)*NORMSDIST((((LN(Assumptions!$B$2/$B6)+(Assumptions!$B$3-Assumptions!$B$4+(AB$3/100)^2/2)*Assumptions!$B$9)/((AB$3/100)*Assumptions!$B$10))-(AB$3/100)*Assumptions!$B$10))))</f>
        <v/>
      </c>
      <c r="AC6" s="29">
        <f>Assumptions!$B$5*(MAX(0,Assumptions!$B$2*EXP(-Assumptions!$B$4*Assumptions!$B$9)*NORMSDIST(((LN(Assumptions!$B$2/$B6)+(Assumptions!$B$3-Assumptions!$B$4+(AC$3/100)^2/2)*Assumptions!$B$9)/((AC$3/100)*Assumptions!$B$10)))-$B6*EXP(-Assumptions!$B$3*Assumptions!$B$9)*NORMSDIST((((LN(Assumptions!$B$2/$B6)+(Assumptions!$B$3-Assumptions!$B$4+(AC$3/100)^2/2)*Assumptions!$B$9)/((AC$3/100)*Assumptions!$B$10))-(AC$3/100)*Assumptions!$B$10))))</f>
        <v/>
      </c>
      <c r="AD6" s="29">
        <f>Assumptions!$B$5*(MAX(0,Assumptions!$B$2*EXP(-Assumptions!$B$4*Assumptions!$B$9)*NORMSDIST(((LN(Assumptions!$B$2/$B6)+(Assumptions!$B$3-Assumptions!$B$4+(AD$3/100)^2/2)*Assumptions!$B$9)/((AD$3/100)*Assumptions!$B$10)))-$B6*EXP(-Assumptions!$B$3*Assumptions!$B$9)*NORMSDIST((((LN(Assumptions!$B$2/$B6)+(Assumptions!$B$3-Assumptions!$B$4+(AD$3/100)^2/2)*Assumptions!$B$9)/((AD$3/100)*Assumptions!$B$10))-(AD$3/100)*Assumptions!$B$10))))</f>
        <v/>
      </c>
      <c r="AE6" s="29">
        <f>Assumptions!$B$5*(MAX(0,Assumptions!$B$2*EXP(-Assumptions!$B$4*Assumptions!$B$9)*NORMSDIST(((LN(Assumptions!$B$2/$B6)+(Assumptions!$B$3-Assumptions!$B$4+(AE$3/100)^2/2)*Assumptions!$B$9)/((AE$3/100)*Assumptions!$B$10)))-$B6*EXP(-Assumptions!$B$3*Assumptions!$B$9)*NORMSDIST((((LN(Assumptions!$B$2/$B6)+(Assumptions!$B$3-Assumptions!$B$4+(AE$3/100)^2/2)*Assumptions!$B$9)/((AE$3/100)*Assumptions!$B$10))-(AE$3/100)*Assumptions!$B$10))))</f>
        <v/>
      </c>
      <c r="AF6" s="29">
        <f>Assumptions!$B$5*(MAX(0,Assumptions!$B$2*EXP(-Assumptions!$B$4*Assumptions!$B$9)*NORMSDIST(((LN(Assumptions!$B$2/$B6)+(Assumptions!$B$3-Assumptions!$B$4+(AF$3/100)^2/2)*Assumptions!$B$9)/((AF$3/100)*Assumptions!$B$10)))-$B6*EXP(-Assumptions!$B$3*Assumptions!$B$9)*NORMSDIST((((LN(Assumptions!$B$2/$B6)+(Assumptions!$B$3-Assumptions!$B$4+(AF$3/100)^2/2)*Assumptions!$B$9)/((AF$3/100)*Assumptions!$B$10))-(AF$3/100)*Assumptions!$B$10))))</f>
        <v/>
      </c>
      <c r="AG6" s="29">
        <f>Assumptions!$B$5*(MAX(0,Assumptions!$B$2*EXP(-Assumptions!$B$4*Assumptions!$B$9)*NORMSDIST(((LN(Assumptions!$B$2/$B6)+(Assumptions!$B$3-Assumptions!$B$4+(AG$3/100)^2/2)*Assumptions!$B$9)/((AG$3/100)*Assumptions!$B$10)))-$B6*EXP(-Assumptions!$B$3*Assumptions!$B$9)*NORMSDIST((((LN(Assumptions!$B$2/$B6)+(Assumptions!$B$3-Assumptions!$B$4+(AG$3/100)^2/2)*Assumptions!$B$9)/((AG$3/100)*Assumptions!$B$10))-(AG$3/100)*Assumptions!$B$10))))</f>
        <v/>
      </c>
      <c r="AH6" s="29">
        <f>Assumptions!$B$5*(MAX(0,Assumptions!$B$2*EXP(-Assumptions!$B$4*Assumptions!$B$9)*NORMSDIST(((LN(Assumptions!$B$2/$B6)+(Assumptions!$B$3-Assumptions!$B$4+(AH$3/100)^2/2)*Assumptions!$B$9)/((AH$3/100)*Assumptions!$B$10)))-$B6*EXP(-Assumptions!$B$3*Assumptions!$B$9)*NORMSDIST((((LN(Assumptions!$B$2/$B6)+(Assumptions!$B$3-Assumptions!$B$4+(AH$3/100)^2/2)*Assumptions!$B$9)/((AH$3/100)*Assumptions!$B$10))-(AH$3/100)*Assumptions!$B$10))))</f>
        <v/>
      </c>
      <c r="AI6" s="29">
        <f>Assumptions!$B$5*(MAX(0,Assumptions!$B$2*EXP(-Assumptions!$B$4*Assumptions!$B$9)*NORMSDIST(((LN(Assumptions!$B$2/$B6)+(Assumptions!$B$3-Assumptions!$B$4+(AI$3/100)^2/2)*Assumptions!$B$9)/((AI$3/100)*Assumptions!$B$10)))-$B6*EXP(-Assumptions!$B$3*Assumptions!$B$9)*NORMSDIST((((LN(Assumptions!$B$2/$B6)+(Assumptions!$B$3-Assumptions!$B$4+(AI$3/100)^2/2)*Assumptions!$B$9)/((AI$3/100)*Assumptions!$B$10))-(AI$3/100)*Assumptions!$B$10))))</f>
        <v/>
      </c>
      <c r="AJ6" s="29">
        <f>Assumptions!$B$5*(MAX(0,Assumptions!$B$2*EXP(-Assumptions!$B$4*Assumptions!$B$9)*NORMSDIST(((LN(Assumptions!$B$2/$B6)+(Assumptions!$B$3-Assumptions!$B$4+(AJ$3/100)^2/2)*Assumptions!$B$9)/((AJ$3/100)*Assumptions!$B$10)))-$B6*EXP(-Assumptions!$B$3*Assumptions!$B$9)*NORMSDIST((((LN(Assumptions!$B$2/$B6)+(Assumptions!$B$3-Assumptions!$B$4+(AJ$3/100)^2/2)*Assumptions!$B$9)/((AJ$3/100)*Assumptions!$B$10))-(AJ$3/100)*Assumptions!$B$10))))</f>
        <v/>
      </c>
      <c r="AK6" s="29">
        <f>Assumptions!$B$5*(MAX(0,Assumptions!$B$2*EXP(-Assumptions!$B$4*Assumptions!$B$9)*NORMSDIST(((LN(Assumptions!$B$2/$B6)+(Assumptions!$B$3-Assumptions!$B$4+(AK$3/100)^2/2)*Assumptions!$B$9)/((AK$3/100)*Assumptions!$B$10)))-$B6*EXP(-Assumptions!$B$3*Assumptions!$B$9)*NORMSDIST((((LN(Assumptions!$B$2/$B6)+(Assumptions!$B$3-Assumptions!$B$4+(AK$3/100)^2/2)*Assumptions!$B$9)/((AK$3/100)*Assumptions!$B$10))-(AK$3/100)*Assumptions!$B$10))))</f>
        <v/>
      </c>
      <c r="AL6" s="29">
        <f>Assumptions!$B$5*(MAX(0,Assumptions!$B$2*EXP(-Assumptions!$B$4*Assumptions!$B$9)*NORMSDIST(((LN(Assumptions!$B$2/$B6)+(Assumptions!$B$3-Assumptions!$B$4+(AL$3/100)^2/2)*Assumptions!$B$9)/((AL$3/100)*Assumptions!$B$10)))-$B6*EXP(-Assumptions!$B$3*Assumptions!$B$9)*NORMSDIST((((LN(Assumptions!$B$2/$B6)+(Assumptions!$B$3-Assumptions!$B$4+(AL$3/100)^2/2)*Assumptions!$B$9)/((AL$3/100)*Assumptions!$B$10))-(AL$3/100)*Assumptions!$B$10))))</f>
        <v/>
      </c>
      <c r="AM6" s="29">
        <f>Assumptions!$B$5*(MAX(0,Assumptions!$B$2*EXP(-Assumptions!$B$4*Assumptions!$B$9)*NORMSDIST(((LN(Assumptions!$B$2/$B6)+(Assumptions!$B$3-Assumptions!$B$4+(AM$3/100)^2/2)*Assumptions!$B$9)/((AM$3/100)*Assumptions!$B$10)))-$B6*EXP(-Assumptions!$B$3*Assumptions!$B$9)*NORMSDIST((((LN(Assumptions!$B$2/$B6)+(Assumptions!$B$3-Assumptions!$B$4+(AM$3/100)^2/2)*Assumptions!$B$9)/((AM$3/100)*Assumptions!$B$10))-(AM$3/100)*Assumptions!$B$10))))</f>
        <v/>
      </c>
      <c r="AN6" s="29">
        <f>Assumptions!$B$5*(MAX(0,Assumptions!$B$2*EXP(-Assumptions!$B$4*Assumptions!$B$9)*NORMSDIST(((LN(Assumptions!$B$2/$B6)+(Assumptions!$B$3-Assumptions!$B$4+(AN$3/100)^2/2)*Assumptions!$B$9)/((AN$3/100)*Assumptions!$B$10)))-$B6*EXP(-Assumptions!$B$3*Assumptions!$B$9)*NORMSDIST((((LN(Assumptions!$B$2/$B6)+(Assumptions!$B$3-Assumptions!$B$4+(AN$3/100)^2/2)*Assumptions!$B$9)/((AN$3/100)*Assumptions!$B$10))-(AN$3/100)*Assumptions!$B$10))))</f>
        <v/>
      </c>
      <c r="AO6" s="29">
        <f>Assumptions!$B$5*(MAX(0,Assumptions!$B$2*EXP(-Assumptions!$B$4*Assumptions!$B$9)*NORMSDIST(((LN(Assumptions!$B$2/$B6)+(Assumptions!$B$3-Assumptions!$B$4+(AO$3/100)^2/2)*Assumptions!$B$9)/((AO$3/100)*Assumptions!$B$10)))-$B6*EXP(-Assumptions!$B$3*Assumptions!$B$9)*NORMSDIST((((LN(Assumptions!$B$2/$B6)+(Assumptions!$B$3-Assumptions!$B$4+(AO$3/100)^2/2)*Assumptions!$B$9)/((AO$3/100)*Assumptions!$B$10))-(AO$3/100)*Assumptions!$B$10))))</f>
        <v/>
      </c>
      <c r="AP6" s="29">
        <f>Assumptions!$B$5*(MAX(0,Assumptions!$B$2*EXP(-Assumptions!$B$4*Assumptions!$B$9)*NORMSDIST(((LN(Assumptions!$B$2/$B6)+(Assumptions!$B$3-Assumptions!$B$4+(AP$3/100)^2/2)*Assumptions!$B$9)/((AP$3/100)*Assumptions!$B$10)))-$B6*EXP(-Assumptions!$B$3*Assumptions!$B$9)*NORMSDIST((((LN(Assumptions!$B$2/$B6)+(Assumptions!$B$3-Assumptions!$B$4+(AP$3/100)^2/2)*Assumptions!$B$9)/((AP$3/100)*Assumptions!$B$10))-(AP$3/100)*Assumptions!$B$10))))</f>
        <v/>
      </c>
      <c r="AQ6" s="29">
        <f>Assumptions!$B$5*(MAX(0,Assumptions!$B$2*EXP(-Assumptions!$B$4*Assumptions!$B$9)*NORMSDIST(((LN(Assumptions!$B$2/$B6)+(Assumptions!$B$3-Assumptions!$B$4+(AQ$3/100)^2/2)*Assumptions!$B$9)/((AQ$3/100)*Assumptions!$B$10)))-$B6*EXP(-Assumptions!$B$3*Assumptions!$B$9)*NORMSDIST((((LN(Assumptions!$B$2/$B6)+(Assumptions!$B$3-Assumptions!$B$4+(AQ$3/100)^2/2)*Assumptions!$B$9)/((AQ$3/100)*Assumptions!$B$10))-(AQ$3/100)*Assumptions!$B$10))))</f>
        <v/>
      </c>
      <c r="AR6" s="29">
        <f>Assumptions!$B$5*(MAX(0,Assumptions!$B$2*EXP(-Assumptions!$B$4*Assumptions!$B$9)*NORMSDIST(((LN(Assumptions!$B$2/$B6)+(Assumptions!$B$3-Assumptions!$B$4+(AR$3/100)^2/2)*Assumptions!$B$9)/((AR$3/100)*Assumptions!$B$10)))-$B6*EXP(-Assumptions!$B$3*Assumptions!$B$9)*NORMSDIST((((LN(Assumptions!$B$2/$B6)+(Assumptions!$B$3-Assumptions!$B$4+(AR$3/100)^2/2)*Assumptions!$B$9)/((AR$3/100)*Assumptions!$B$10))-(AR$3/100)*Assumptions!$B$10))))</f>
        <v/>
      </c>
      <c r="AS6" s="29">
        <f>Assumptions!$B$5*(MAX(0,Assumptions!$B$2*EXP(-Assumptions!$B$4*Assumptions!$B$9)*NORMSDIST(((LN(Assumptions!$B$2/$B6)+(Assumptions!$B$3-Assumptions!$B$4+(AS$3/100)^2/2)*Assumptions!$B$9)/((AS$3/100)*Assumptions!$B$10)))-$B6*EXP(-Assumptions!$B$3*Assumptions!$B$9)*NORMSDIST((((LN(Assumptions!$B$2/$B6)+(Assumptions!$B$3-Assumptions!$B$4+(AS$3/100)^2/2)*Assumptions!$B$9)/((AS$3/100)*Assumptions!$B$10))-(AS$3/100)*Assumptions!$B$10))))</f>
        <v/>
      </c>
      <c r="AT6" s="29">
        <f>Assumptions!$B$5*(MAX(0,Assumptions!$B$2*EXP(-Assumptions!$B$4*Assumptions!$B$9)*NORMSDIST(((LN(Assumptions!$B$2/$B6)+(Assumptions!$B$3-Assumptions!$B$4+(AT$3/100)^2/2)*Assumptions!$B$9)/((AT$3/100)*Assumptions!$B$10)))-$B6*EXP(-Assumptions!$B$3*Assumptions!$B$9)*NORMSDIST((((LN(Assumptions!$B$2/$B6)+(Assumptions!$B$3-Assumptions!$B$4+(AT$3/100)^2/2)*Assumptions!$B$9)/((AT$3/100)*Assumptions!$B$10))-(AT$3/100)*Assumptions!$B$10))))</f>
        <v/>
      </c>
      <c r="AU6" s="29">
        <f>Assumptions!$B$5*(MAX(0,Assumptions!$B$2*EXP(-Assumptions!$B$4*Assumptions!$B$9)*NORMSDIST(((LN(Assumptions!$B$2/$B6)+(Assumptions!$B$3-Assumptions!$B$4+(AU$3/100)^2/2)*Assumptions!$B$9)/((AU$3/100)*Assumptions!$B$10)))-$B6*EXP(-Assumptions!$B$3*Assumptions!$B$9)*NORMSDIST((((LN(Assumptions!$B$2/$B6)+(Assumptions!$B$3-Assumptions!$B$4+(AU$3/100)^2/2)*Assumptions!$B$9)/((AU$3/100)*Assumptions!$B$10))-(AU$3/100)*Assumptions!$B$10))))</f>
        <v/>
      </c>
      <c r="AV6" s="29">
        <f>Assumptions!$B$5*(MAX(0,Assumptions!$B$2*EXP(-Assumptions!$B$4*Assumptions!$B$9)*NORMSDIST(((LN(Assumptions!$B$2/$B6)+(Assumptions!$B$3-Assumptions!$B$4+(AV$3/100)^2/2)*Assumptions!$B$9)/((AV$3/100)*Assumptions!$B$10)))-$B6*EXP(-Assumptions!$B$3*Assumptions!$B$9)*NORMSDIST((((LN(Assumptions!$B$2/$B6)+(Assumptions!$B$3-Assumptions!$B$4+(AV$3/100)^2/2)*Assumptions!$B$9)/((AV$3/100)*Assumptions!$B$10))-(AV$3/100)*Assumptions!$B$10))))</f>
        <v/>
      </c>
    </row>
    <row r="7">
      <c r="A7" s="27" t="inlineStr">
        <is>
          <t>-1.25%</t>
        </is>
      </c>
      <c r="B7" s="47">
        <f>'BS Engine'!$B$5</f>
        <v/>
      </c>
      <c r="C7" s="28">
        <f>'BS Engine'!$C$5</f>
        <v/>
      </c>
      <c r="D7" s="49">
        <f>Assumptions!$B$5*(MAX(0,Assumptions!$B$2*EXP(-Assumptions!$B$4*Assumptions!$B$9)*NORMSDIST(((LN(Assumptions!$B$2/$B7)+(Assumptions!$B$3-Assumptions!$B$4+(D$3/100)^2/2)*Assumptions!$B$9)/((D$3/100)*Assumptions!$B$10)))-$B7*EXP(-Assumptions!$B$3*Assumptions!$B$9)*NORMSDIST((((LN(Assumptions!$B$2/$B7)+(Assumptions!$B$3-Assumptions!$B$4+(D$3/100)^2/2)*Assumptions!$B$9)/((D$3/100)*Assumptions!$B$10))-(D$3/100)*Assumptions!$B$10))))</f>
        <v/>
      </c>
      <c r="E7" s="29">
        <f>Assumptions!$B$5*(MAX(0,Assumptions!$B$2*EXP(-Assumptions!$B$4*Assumptions!$B$9)*NORMSDIST(((LN(Assumptions!$B$2/$B7)+(Assumptions!$B$3-Assumptions!$B$4+(E$3/100)^2/2)*Assumptions!$B$9)/((E$3/100)*Assumptions!$B$10)))-$B7*EXP(-Assumptions!$B$3*Assumptions!$B$9)*NORMSDIST((((LN(Assumptions!$B$2/$B7)+(Assumptions!$B$3-Assumptions!$B$4+(E$3/100)^2/2)*Assumptions!$B$9)/((E$3/100)*Assumptions!$B$10))-(E$3/100)*Assumptions!$B$10))))</f>
        <v/>
      </c>
      <c r="F7" s="29">
        <f>Assumptions!$B$5*(MAX(0,Assumptions!$B$2*EXP(-Assumptions!$B$4*Assumptions!$B$9)*NORMSDIST(((LN(Assumptions!$B$2/$B7)+(Assumptions!$B$3-Assumptions!$B$4+(F$3/100)^2/2)*Assumptions!$B$9)/((F$3/100)*Assumptions!$B$10)))-$B7*EXP(-Assumptions!$B$3*Assumptions!$B$9)*NORMSDIST((((LN(Assumptions!$B$2/$B7)+(Assumptions!$B$3-Assumptions!$B$4+(F$3/100)^2/2)*Assumptions!$B$9)/((F$3/100)*Assumptions!$B$10))-(F$3/100)*Assumptions!$B$10))))</f>
        <v/>
      </c>
      <c r="G7" s="29">
        <f>Assumptions!$B$5*(MAX(0,Assumptions!$B$2*EXP(-Assumptions!$B$4*Assumptions!$B$9)*NORMSDIST(((LN(Assumptions!$B$2/$B7)+(Assumptions!$B$3-Assumptions!$B$4+(G$3/100)^2/2)*Assumptions!$B$9)/((G$3/100)*Assumptions!$B$10)))-$B7*EXP(-Assumptions!$B$3*Assumptions!$B$9)*NORMSDIST((((LN(Assumptions!$B$2/$B7)+(Assumptions!$B$3-Assumptions!$B$4+(G$3/100)^2/2)*Assumptions!$B$9)/((G$3/100)*Assumptions!$B$10))-(G$3/100)*Assumptions!$B$10))))</f>
        <v/>
      </c>
      <c r="H7" s="29">
        <f>Assumptions!$B$5*(MAX(0,Assumptions!$B$2*EXP(-Assumptions!$B$4*Assumptions!$B$9)*NORMSDIST(((LN(Assumptions!$B$2/$B7)+(Assumptions!$B$3-Assumptions!$B$4+(H$3/100)^2/2)*Assumptions!$B$9)/((H$3/100)*Assumptions!$B$10)))-$B7*EXP(-Assumptions!$B$3*Assumptions!$B$9)*NORMSDIST((((LN(Assumptions!$B$2/$B7)+(Assumptions!$B$3-Assumptions!$B$4+(H$3/100)^2/2)*Assumptions!$B$9)/((H$3/100)*Assumptions!$B$10))-(H$3/100)*Assumptions!$B$10))))</f>
        <v/>
      </c>
      <c r="I7" s="29">
        <f>Assumptions!$B$5*(MAX(0,Assumptions!$B$2*EXP(-Assumptions!$B$4*Assumptions!$B$9)*NORMSDIST(((LN(Assumptions!$B$2/$B7)+(Assumptions!$B$3-Assumptions!$B$4+(I$3/100)^2/2)*Assumptions!$B$9)/((I$3/100)*Assumptions!$B$10)))-$B7*EXP(-Assumptions!$B$3*Assumptions!$B$9)*NORMSDIST((((LN(Assumptions!$B$2/$B7)+(Assumptions!$B$3-Assumptions!$B$4+(I$3/100)^2/2)*Assumptions!$B$9)/((I$3/100)*Assumptions!$B$10))-(I$3/100)*Assumptions!$B$10))))</f>
        <v/>
      </c>
      <c r="J7" s="29">
        <f>Assumptions!$B$5*(MAX(0,Assumptions!$B$2*EXP(-Assumptions!$B$4*Assumptions!$B$9)*NORMSDIST(((LN(Assumptions!$B$2/$B7)+(Assumptions!$B$3-Assumptions!$B$4+(J$3/100)^2/2)*Assumptions!$B$9)/((J$3/100)*Assumptions!$B$10)))-$B7*EXP(-Assumptions!$B$3*Assumptions!$B$9)*NORMSDIST((((LN(Assumptions!$B$2/$B7)+(Assumptions!$B$3-Assumptions!$B$4+(J$3/100)^2/2)*Assumptions!$B$9)/((J$3/100)*Assumptions!$B$10))-(J$3/100)*Assumptions!$B$10))))</f>
        <v/>
      </c>
      <c r="K7" s="29">
        <f>Assumptions!$B$5*(MAX(0,Assumptions!$B$2*EXP(-Assumptions!$B$4*Assumptions!$B$9)*NORMSDIST(((LN(Assumptions!$B$2/$B7)+(Assumptions!$B$3-Assumptions!$B$4+(K$3/100)^2/2)*Assumptions!$B$9)/((K$3/100)*Assumptions!$B$10)))-$B7*EXP(-Assumptions!$B$3*Assumptions!$B$9)*NORMSDIST((((LN(Assumptions!$B$2/$B7)+(Assumptions!$B$3-Assumptions!$B$4+(K$3/100)^2/2)*Assumptions!$B$9)/((K$3/100)*Assumptions!$B$10))-(K$3/100)*Assumptions!$B$10))))</f>
        <v/>
      </c>
      <c r="L7" s="29">
        <f>Assumptions!$B$5*(MAX(0,Assumptions!$B$2*EXP(-Assumptions!$B$4*Assumptions!$B$9)*NORMSDIST(((LN(Assumptions!$B$2/$B7)+(Assumptions!$B$3-Assumptions!$B$4+(L$3/100)^2/2)*Assumptions!$B$9)/((L$3/100)*Assumptions!$B$10)))-$B7*EXP(-Assumptions!$B$3*Assumptions!$B$9)*NORMSDIST((((LN(Assumptions!$B$2/$B7)+(Assumptions!$B$3-Assumptions!$B$4+(L$3/100)^2/2)*Assumptions!$B$9)/((L$3/100)*Assumptions!$B$10))-(L$3/100)*Assumptions!$B$10))))</f>
        <v/>
      </c>
      <c r="M7" s="29">
        <f>Assumptions!$B$5*(MAX(0,Assumptions!$B$2*EXP(-Assumptions!$B$4*Assumptions!$B$9)*NORMSDIST(((LN(Assumptions!$B$2/$B7)+(Assumptions!$B$3-Assumptions!$B$4+(M$3/100)^2/2)*Assumptions!$B$9)/((M$3/100)*Assumptions!$B$10)))-$B7*EXP(-Assumptions!$B$3*Assumptions!$B$9)*NORMSDIST((((LN(Assumptions!$B$2/$B7)+(Assumptions!$B$3-Assumptions!$B$4+(M$3/100)^2/2)*Assumptions!$B$9)/((M$3/100)*Assumptions!$B$10))-(M$3/100)*Assumptions!$B$10))))</f>
        <v/>
      </c>
      <c r="N7" s="29">
        <f>Assumptions!$B$5*(MAX(0,Assumptions!$B$2*EXP(-Assumptions!$B$4*Assumptions!$B$9)*NORMSDIST(((LN(Assumptions!$B$2/$B7)+(Assumptions!$B$3-Assumptions!$B$4+(N$3/100)^2/2)*Assumptions!$B$9)/((N$3/100)*Assumptions!$B$10)))-$B7*EXP(-Assumptions!$B$3*Assumptions!$B$9)*NORMSDIST((((LN(Assumptions!$B$2/$B7)+(Assumptions!$B$3-Assumptions!$B$4+(N$3/100)^2/2)*Assumptions!$B$9)/((N$3/100)*Assumptions!$B$10))-(N$3/100)*Assumptions!$B$10))))</f>
        <v/>
      </c>
      <c r="O7" s="29">
        <f>Assumptions!$B$5*(MAX(0,Assumptions!$B$2*EXP(-Assumptions!$B$4*Assumptions!$B$9)*NORMSDIST(((LN(Assumptions!$B$2/$B7)+(Assumptions!$B$3-Assumptions!$B$4+(O$3/100)^2/2)*Assumptions!$B$9)/((O$3/100)*Assumptions!$B$10)))-$B7*EXP(-Assumptions!$B$3*Assumptions!$B$9)*NORMSDIST((((LN(Assumptions!$B$2/$B7)+(Assumptions!$B$3-Assumptions!$B$4+(O$3/100)^2/2)*Assumptions!$B$9)/((O$3/100)*Assumptions!$B$10))-(O$3/100)*Assumptions!$B$10))))</f>
        <v/>
      </c>
      <c r="P7" s="29">
        <f>Assumptions!$B$5*(MAX(0,Assumptions!$B$2*EXP(-Assumptions!$B$4*Assumptions!$B$9)*NORMSDIST(((LN(Assumptions!$B$2/$B7)+(Assumptions!$B$3-Assumptions!$B$4+(P$3/100)^2/2)*Assumptions!$B$9)/((P$3/100)*Assumptions!$B$10)))-$B7*EXP(-Assumptions!$B$3*Assumptions!$B$9)*NORMSDIST((((LN(Assumptions!$B$2/$B7)+(Assumptions!$B$3-Assumptions!$B$4+(P$3/100)^2/2)*Assumptions!$B$9)/((P$3/100)*Assumptions!$B$10))-(P$3/100)*Assumptions!$B$10))))</f>
        <v/>
      </c>
      <c r="Q7" s="29">
        <f>Assumptions!$B$5*(MAX(0,Assumptions!$B$2*EXP(-Assumptions!$B$4*Assumptions!$B$9)*NORMSDIST(((LN(Assumptions!$B$2/$B7)+(Assumptions!$B$3-Assumptions!$B$4+(Q$3/100)^2/2)*Assumptions!$B$9)/((Q$3/100)*Assumptions!$B$10)))-$B7*EXP(-Assumptions!$B$3*Assumptions!$B$9)*NORMSDIST((((LN(Assumptions!$B$2/$B7)+(Assumptions!$B$3-Assumptions!$B$4+(Q$3/100)^2/2)*Assumptions!$B$9)/((Q$3/100)*Assumptions!$B$10))-(Q$3/100)*Assumptions!$B$10))))</f>
        <v/>
      </c>
      <c r="R7" s="29">
        <f>Assumptions!$B$5*(MAX(0,Assumptions!$B$2*EXP(-Assumptions!$B$4*Assumptions!$B$9)*NORMSDIST(((LN(Assumptions!$B$2/$B7)+(Assumptions!$B$3-Assumptions!$B$4+(R$3/100)^2/2)*Assumptions!$B$9)/((R$3/100)*Assumptions!$B$10)))-$B7*EXP(-Assumptions!$B$3*Assumptions!$B$9)*NORMSDIST((((LN(Assumptions!$B$2/$B7)+(Assumptions!$B$3-Assumptions!$B$4+(R$3/100)^2/2)*Assumptions!$B$9)/((R$3/100)*Assumptions!$B$10))-(R$3/100)*Assumptions!$B$10))))</f>
        <v/>
      </c>
      <c r="S7" s="29">
        <f>Assumptions!$B$5*(MAX(0,Assumptions!$B$2*EXP(-Assumptions!$B$4*Assumptions!$B$9)*NORMSDIST(((LN(Assumptions!$B$2/$B7)+(Assumptions!$B$3-Assumptions!$B$4+(S$3/100)^2/2)*Assumptions!$B$9)/((S$3/100)*Assumptions!$B$10)))-$B7*EXP(-Assumptions!$B$3*Assumptions!$B$9)*NORMSDIST((((LN(Assumptions!$B$2/$B7)+(Assumptions!$B$3-Assumptions!$B$4+(S$3/100)^2/2)*Assumptions!$B$9)/((S$3/100)*Assumptions!$B$10))-(S$3/100)*Assumptions!$B$10))))</f>
        <v/>
      </c>
      <c r="T7" s="29">
        <f>Assumptions!$B$5*(MAX(0,Assumptions!$B$2*EXP(-Assumptions!$B$4*Assumptions!$B$9)*NORMSDIST(((LN(Assumptions!$B$2/$B7)+(Assumptions!$B$3-Assumptions!$B$4+(T$3/100)^2/2)*Assumptions!$B$9)/((T$3/100)*Assumptions!$B$10)))-$B7*EXP(-Assumptions!$B$3*Assumptions!$B$9)*NORMSDIST((((LN(Assumptions!$B$2/$B7)+(Assumptions!$B$3-Assumptions!$B$4+(T$3/100)^2/2)*Assumptions!$B$9)/((T$3/100)*Assumptions!$B$10))-(T$3/100)*Assumptions!$B$10))))</f>
        <v/>
      </c>
      <c r="U7" s="29">
        <f>Assumptions!$B$5*(MAX(0,Assumptions!$B$2*EXP(-Assumptions!$B$4*Assumptions!$B$9)*NORMSDIST(((LN(Assumptions!$B$2/$B7)+(Assumptions!$B$3-Assumptions!$B$4+(U$3/100)^2/2)*Assumptions!$B$9)/((U$3/100)*Assumptions!$B$10)))-$B7*EXP(-Assumptions!$B$3*Assumptions!$B$9)*NORMSDIST((((LN(Assumptions!$B$2/$B7)+(Assumptions!$B$3-Assumptions!$B$4+(U$3/100)^2/2)*Assumptions!$B$9)/((U$3/100)*Assumptions!$B$10))-(U$3/100)*Assumptions!$B$10))))</f>
        <v/>
      </c>
      <c r="V7" s="29">
        <f>Assumptions!$B$5*(MAX(0,Assumptions!$B$2*EXP(-Assumptions!$B$4*Assumptions!$B$9)*NORMSDIST(((LN(Assumptions!$B$2/$B7)+(Assumptions!$B$3-Assumptions!$B$4+(V$3/100)^2/2)*Assumptions!$B$9)/((V$3/100)*Assumptions!$B$10)))-$B7*EXP(-Assumptions!$B$3*Assumptions!$B$9)*NORMSDIST((((LN(Assumptions!$B$2/$B7)+(Assumptions!$B$3-Assumptions!$B$4+(V$3/100)^2/2)*Assumptions!$B$9)/((V$3/100)*Assumptions!$B$10))-(V$3/100)*Assumptions!$B$10))))</f>
        <v/>
      </c>
      <c r="W7" s="29">
        <f>Assumptions!$B$5*(MAX(0,Assumptions!$B$2*EXP(-Assumptions!$B$4*Assumptions!$B$9)*NORMSDIST(((LN(Assumptions!$B$2/$B7)+(Assumptions!$B$3-Assumptions!$B$4+(W$3/100)^2/2)*Assumptions!$B$9)/((W$3/100)*Assumptions!$B$10)))-$B7*EXP(-Assumptions!$B$3*Assumptions!$B$9)*NORMSDIST((((LN(Assumptions!$B$2/$B7)+(Assumptions!$B$3-Assumptions!$B$4+(W$3/100)^2/2)*Assumptions!$B$9)/((W$3/100)*Assumptions!$B$10))-(W$3/100)*Assumptions!$B$10))))</f>
        <v/>
      </c>
      <c r="X7" s="29">
        <f>Assumptions!$B$5*(MAX(0,Assumptions!$B$2*EXP(-Assumptions!$B$4*Assumptions!$B$9)*NORMSDIST(((LN(Assumptions!$B$2/$B7)+(Assumptions!$B$3-Assumptions!$B$4+(X$3/100)^2/2)*Assumptions!$B$9)/((X$3/100)*Assumptions!$B$10)))-$B7*EXP(-Assumptions!$B$3*Assumptions!$B$9)*NORMSDIST((((LN(Assumptions!$B$2/$B7)+(Assumptions!$B$3-Assumptions!$B$4+(X$3/100)^2/2)*Assumptions!$B$9)/((X$3/100)*Assumptions!$B$10))-(X$3/100)*Assumptions!$B$10))))</f>
        <v/>
      </c>
      <c r="Y7" s="29">
        <f>Assumptions!$B$5*(MAX(0,Assumptions!$B$2*EXP(-Assumptions!$B$4*Assumptions!$B$9)*NORMSDIST(((LN(Assumptions!$B$2/$B7)+(Assumptions!$B$3-Assumptions!$B$4+(Y$3/100)^2/2)*Assumptions!$B$9)/((Y$3/100)*Assumptions!$B$10)))-$B7*EXP(-Assumptions!$B$3*Assumptions!$B$9)*NORMSDIST((((LN(Assumptions!$B$2/$B7)+(Assumptions!$B$3-Assumptions!$B$4+(Y$3/100)^2/2)*Assumptions!$B$9)/((Y$3/100)*Assumptions!$B$10))-(Y$3/100)*Assumptions!$B$10))))</f>
        <v/>
      </c>
      <c r="Z7" s="29">
        <f>Assumptions!$B$5*(MAX(0,Assumptions!$B$2*EXP(-Assumptions!$B$4*Assumptions!$B$9)*NORMSDIST(((LN(Assumptions!$B$2/$B7)+(Assumptions!$B$3-Assumptions!$B$4+(Z$3/100)^2/2)*Assumptions!$B$9)/((Z$3/100)*Assumptions!$B$10)))-$B7*EXP(-Assumptions!$B$3*Assumptions!$B$9)*NORMSDIST((((LN(Assumptions!$B$2/$B7)+(Assumptions!$B$3-Assumptions!$B$4+(Z$3/100)^2/2)*Assumptions!$B$9)/((Z$3/100)*Assumptions!$B$10))-(Z$3/100)*Assumptions!$B$10))))</f>
        <v/>
      </c>
      <c r="AA7" s="29">
        <f>Assumptions!$B$5*(MAX(0,Assumptions!$B$2*EXP(-Assumptions!$B$4*Assumptions!$B$9)*NORMSDIST(((LN(Assumptions!$B$2/$B7)+(Assumptions!$B$3-Assumptions!$B$4+(AA$3/100)^2/2)*Assumptions!$B$9)/((AA$3/100)*Assumptions!$B$10)))-$B7*EXP(-Assumptions!$B$3*Assumptions!$B$9)*NORMSDIST((((LN(Assumptions!$B$2/$B7)+(Assumptions!$B$3-Assumptions!$B$4+(AA$3/100)^2/2)*Assumptions!$B$9)/((AA$3/100)*Assumptions!$B$10))-(AA$3/100)*Assumptions!$B$10))))</f>
        <v/>
      </c>
      <c r="AB7" s="29">
        <f>Assumptions!$B$5*(MAX(0,Assumptions!$B$2*EXP(-Assumptions!$B$4*Assumptions!$B$9)*NORMSDIST(((LN(Assumptions!$B$2/$B7)+(Assumptions!$B$3-Assumptions!$B$4+(AB$3/100)^2/2)*Assumptions!$B$9)/((AB$3/100)*Assumptions!$B$10)))-$B7*EXP(-Assumptions!$B$3*Assumptions!$B$9)*NORMSDIST((((LN(Assumptions!$B$2/$B7)+(Assumptions!$B$3-Assumptions!$B$4+(AB$3/100)^2/2)*Assumptions!$B$9)/((AB$3/100)*Assumptions!$B$10))-(AB$3/100)*Assumptions!$B$10))))</f>
        <v/>
      </c>
      <c r="AC7" s="29">
        <f>Assumptions!$B$5*(MAX(0,Assumptions!$B$2*EXP(-Assumptions!$B$4*Assumptions!$B$9)*NORMSDIST(((LN(Assumptions!$B$2/$B7)+(Assumptions!$B$3-Assumptions!$B$4+(AC$3/100)^2/2)*Assumptions!$B$9)/((AC$3/100)*Assumptions!$B$10)))-$B7*EXP(-Assumptions!$B$3*Assumptions!$B$9)*NORMSDIST((((LN(Assumptions!$B$2/$B7)+(Assumptions!$B$3-Assumptions!$B$4+(AC$3/100)^2/2)*Assumptions!$B$9)/((AC$3/100)*Assumptions!$B$10))-(AC$3/100)*Assumptions!$B$10))))</f>
        <v/>
      </c>
      <c r="AD7" s="29">
        <f>Assumptions!$B$5*(MAX(0,Assumptions!$B$2*EXP(-Assumptions!$B$4*Assumptions!$B$9)*NORMSDIST(((LN(Assumptions!$B$2/$B7)+(Assumptions!$B$3-Assumptions!$B$4+(AD$3/100)^2/2)*Assumptions!$B$9)/((AD$3/100)*Assumptions!$B$10)))-$B7*EXP(-Assumptions!$B$3*Assumptions!$B$9)*NORMSDIST((((LN(Assumptions!$B$2/$B7)+(Assumptions!$B$3-Assumptions!$B$4+(AD$3/100)^2/2)*Assumptions!$B$9)/((AD$3/100)*Assumptions!$B$10))-(AD$3/100)*Assumptions!$B$10))))</f>
        <v/>
      </c>
      <c r="AE7" s="29">
        <f>Assumptions!$B$5*(MAX(0,Assumptions!$B$2*EXP(-Assumptions!$B$4*Assumptions!$B$9)*NORMSDIST(((LN(Assumptions!$B$2/$B7)+(Assumptions!$B$3-Assumptions!$B$4+(AE$3/100)^2/2)*Assumptions!$B$9)/((AE$3/100)*Assumptions!$B$10)))-$B7*EXP(-Assumptions!$B$3*Assumptions!$B$9)*NORMSDIST((((LN(Assumptions!$B$2/$B7)+(Assumptions!$B$3-Assumptions!$B$4+(AE$3/100)^2/2)*Assumptions!$B$9)/((AE$3/100)*Assumptions!$B$10))-(AE$3/100)*Assumptions!$B$10))))</f>
        <v/>
      </c>
      <c r="AF7" s="29">
        <f>Assumptions!$B$5*(MAX(0,Assumptions!$B$2*EXP(-Assumptions!$B$4*Assumptions!$B$9)*NORMSDIST(((LN(Assumptions!$B$2/$B7)+(Assumptions!$B$3-Assumptions!$B$4+(AF$3/100)^2/2)*Assumptions!$B$9)/((AF$3/100)*Assumptions!$B$10)))-$B7*EXP(-Assumptions!$B$3*Assumptions!$B$9)*NORMSDIST((((LN(Assumptions!$B$2/$B7)+(Assumptions!$B$3-Assumptions!$B$4+(AF$3/100)^2/2)*Assumptions!$B$9)/((AF$3/100)*Assumptions!$B$10))-(AF$3/100)*Assumptions!$B$10))))</f>
        <v/>
      </c>
      <c r="AG7" s="29">
        <f>Assumptions!$B$5*(MAX(0,Assumptions!$B$2*EXP(-Assumptions!$B$4*Assumptions!$B$9)*NORMSDIST(((LN(Assumptions!$B$2/$B7)+(Assumptions!$B$3-Assumptions!$B$4+(AG$3/100)^2/2)*Assumptions!$B$9)/((AG$3/100)*Assumptions!$B$10)))-$B7*EXP(-Assumptions!$B$3*Assumptions!$B$9)*NORMSDIST((((LN(Assumptions!$B$2/$B7)+(Assumptions!$B$3-Assumptions!$B$4+(AG$3/100)^2/2)*Assumptions!$B$9)/((AG$3/100)*Assumptions!$B$10))-(AG$3/100)*Assumptions!$B$10))))</f>
        <v/>
      </c>
      <c r="AH7" s="29">
        <f>Assumptions!$B$5*(MAX(0,Assumptions!$B$2*EXP(-Assumptions!$B$4*Assumptions!$B$9)*NORMSDIST(((LN(Assumptions!$B$2/$B7)+(Assumptions!$B$3-Assumptions!$B$4+(AH$3/100)^2/2)*Assumptions!$B$9)/((AH$3/100)*Assumptions!$B$10)))-$B7*EXP(-Assumptions!$B$3*Assumptions!$B$9)*NORMSDIST((((LN(Assumptions!$B$2/$B7)+(Assumptions!$B$3-Assumptions!$B$4+(AH$3/100)^2/2)*Assumptions!$B$9)/((AH$3/100)*Assumptions!$B$10))-(AH$3/100)*Assumptions!$B$10))))</f>
        <v/>
      </c>
      <c r="AI7" s="29">
        <f>Assumptions!$B$5*(MAX(0,Assumptions!$B$2*EXP(-Assumptions!$B$4*Assumptions!$B$9)*NORMSDIST(((LN(Assumptions!$B$2/$B7)+(Assumptions!$B$3-Assumptions!$B$4+(AI$3/100)^2/2)*Assumptions!$B$9)/((AI$3/100)*Assumptions!$B$10)))-$B7*EXP(-Assumptions!$B$3*Assumptions!$B$9)*NORMSDIST((((LN(Assumptions!$B$2/$B7)+(Assumptions!$B$3-Assumptions!$B$4+(AI$3/100)^2/2)*Assumptions!$B$9)/((AI$3/100)*Assumptions!$B$10))-(AI$3/100)*Assumptions!$B$10))))</f>
        <v/>
      </c>
      <c r="AJ7" s="29">
        <f>Assumptions!$B$5*(MAX(0,Assumptions!$B$2*EXP(-Assumptions!$B$4*Assumptions!$B$9)*NORMSDIST(((LN(Assumptions!$B$2/$B7)+(Assumptions!$B$3-Assumptions!$B$4+(AJ$3/100)^2/2)*Assumptions!$B$9)/((AJ$3/100)*Assumptions!$B$10)))-$B7*EXP(-Assumptions!$B$3*Assumptions!$B$9)*NORMSDIST((((LN(Assumptions!$B$2/$B7)+(Assumptions!$B$3-Assumptions!$B$4+(AJ$3/100)^2/2)*Assumptions!$B$9)/((AJ$3/100)*Assumptions!$B$10))-(AJ$3/100)*Assumptions!$B$10))))</f>
        <v/>
      </c>
      <c r="AK7" s="29">
        <f>Assumptions!$B$5*(MAX(0,Assumptions!$B$2*EXP(-Assumptions!$B$4*Assumptions!$B$9)*NORMSDIST(((LN(Assumptions!$B$2/$B7)+(Assumptions!$B$3-Assumptions!$B$4+(AK$3/100)^2/2)*Assumptions!$B$9)/((AK$3/100)*Assumptions!$B$10)))-$B7*EXP(-Assumptions!$B$3*Assumptions!$B$9)*NORMSDIST((((LN(Assumptions!$B$2/$B7)+(Assumptions!$B$3-Assumptions!$B$4+(AK$3/100)^2/2)*Assumptions!$B$9)/((AK$3/100)*Assumptions!$B$10))-(AK$3/100)*Assumptions!$B$10))))</f>
        <v/>
      </c>
      <c r="AL7" s="29">
        <f>Assumptions!$B$5*(MAX(0,Assumptions!$B$2*EXP(-Assumptions!$B$4*Assumptions!$B$9)*NORMSDIST(((LN(Assumptions!$B$2/$B7)+(Assumptions!$B$3-Assumptions!$B$4+(AL$3/100)^2/2)*Assumptions!$B$9)/((AL$3/100)*Assumptions!$B$10)))-$B7*EXP(-Assumptions!$B$3*Assumptions!$B$9)*NORMSDIST((((LN(Assumptions!$B$2/$B7)+(Assumptions!$B$3-Assumptions!$B$4+(AL$3/100)^2/2)*Assumptions!$B$9)/((AL$3/100)*Assumptions!$B$10))-(AL$3/100)*Assumptions!$B$10))))</f>
        <v/>
      </c>
      <c r="AM7" s="29">
        <f>Assumptions!$B$5*(MAX(0,Assumptions!$B$2*EXP(-Assumptions!$B$4*Assumptions!$B$9)*NORMSDIST(((LN(Assumptions!$B$2/$B7)+(Assumptions!$B$3-Assumptions!$B$4+(AM$3/100)^2/2)*Assumptions!$B$9)/((AM$3/100)*Assumptions!$B$10)))-$B7*EXP(-Assumptions!$B$3*Assumptions!$B$9)*NORMSDIST((((LN(Assumptions!$B$2/$B7)+(Assumptions!$B$3-Assumptions!$B$4+(AM$3/100)^2/2)*Assumptions!$B$9)/((AM$3/100)*Assumptions!$B$10))-(AM$3/100)*Assumptions!$B$10))))</f>
        <v/>
      </c>
      <c r="AN7" s="29">
        <f>Assumptions!$B$5*(MAX(0,Assumptions!$B$2*EXP(-Assumptions!$B$4*Assumptions!$B$9)*NORMSDIST(((LN(Assumptions!$B$2/$B7)+(Assumptions!$B$3-Assumptions!$B$4+(AN$3/100)^2/2)*Assumptions!$B$9)/((AN$3/100)*Assumptions!$B$10)))-$B7*EXP(-Assumptions!$B$3*Assumptions!$B$9)*NORMSDIST((((LN(Assumptions!$B$2/$B7)+(Assumptions!$B$3-Assumptions!$B$4+(AN$3/100)^2/2)*Assumptions!$B$9)/((AN$3/100)*Assumptions!$B$10))-(AN$3/100)*Assumptions!$B$10))))</f>
        <v/>
      </c>
      <c r="AO7" s="29">
        <f>Assumptions!$B$5*(MAX(0,Assumptions!$B$2*EXP(-Assumptions!$B$4*Assumptions!$B$9)*NORMSDIST(((LN(Assumptions!$B$2/$B7)+(Assumptions!$B$3-Assumptions!$B$4+(AO$3/100)^2/2)*Assumptions!$B$9)/((AO$3/100)*Assumptions!$B$10)))-$B7*EXP(-Assumptions!$B$3*Assumptions!$B$9)*NORMSDIST((((LN(Assumptions!$B$2/$B7)+(Assumptions!$B$3-Assumptions!$B$4+(AO$3/100)^2/2)*Assumptions!$B$9)/((AO$3/100)*Assumptions!$B$10))-(AO$3/100)*Assumptions!$B$10))))</f>
        <v/>
      </c>
      <c r="AP7" s="29">
        <f>Assumptions!$B$5*(MAX(0,Assumptions!$B$2*EXP(-Assumptions!$B$4*Assumptions!$B$9)*NORMSDIST(((LN(Assumptions!$B$2/$B7)+(Assumptions!$B$3-Assumptions!$B$4+(AP$3/100)^2/2)*Assumptions!$B$9)/((AP$3/100)*Assumptions!$B$10)))-$B7*EXP(-Assumptions!$B$3*Assumptions!$B$9)*NORMSDIST((((LN(Assumptions!$B$2/$B7)+(Assumptions!$B$3-Assumptions!$B$4+(AP$3/100)^2/2)*Assumptions!$B$9)/((AP$3/100)*Assumptions!$B$10))-(AP$3/100)*Assumptions!$B$10))))</f>
        <v/>
      </c>
      <c r="AQ7" s="29">
        <f>Assumptions!$B$5*(MAX(0,Assumptions!$B$2*EXP(-Assumptions!$B$4*Assumptions!$B$9)*NORMSDIST(((LN(Assumptions!$B$2/$B7)+(Assumptions!$B$3-Assumptions!$B$4+(AQ$3/100)^2/2)*Assumptions!$B$9)/((AQ$3/100)*Assumptions!$B$10)))-$B7*EXP(-Assumptions!$B$3*Assumptions!$B$9)*NORMSDIST((((LN(Assumptions!$B$2/$B7)+(Assumptions!$B$3-Assumptions!$B$4+(AQ$3/100)^2/2)*Assumptions!$B$9)/((AQ$3/100)*Assumptions!$B$10))-(AQ$3/100)*Assumptions!$B$10))))</f>
        <v/>
      </c>
      <c r="AR7" s="29">
        <f>Assumptions!$B$5*(MAX(0,Assumptions!$B$2*EXP(-Assumptions!$B$4*Assumptions!$B$9)*NORMSDIST(((LN(Assumptions!$B$2/$B7)+(Assumptions!$B$3-Assumptions!$B$4+(AR$3/100)^2/2)*Assumptions!$B$9)/((AR$3/100)*Assumptions!$B$10)))-$B7*EXP(-Assumptions!$B$3*Assumptions!$B$9)*NORMSDIST((((LN(Assumptions!$B$2/$B7)+(Assumptions!$B$3-Assumptions!$B$4+(AR$3/100)^2/2)*Assumptions!$B$9)/((AR$3/100)*Assumptions!$B$10))-(AR$3/100)*Assumptions!$B$10))))</f>
        <v/>
      </c>
      <c r="AS7" s="29">
        <f>Assumptions!$B$5*(MAX(0,Assumptions!$B$2*EXP(-Assumptions!$B$4*Assumptions!$B$9)*NORMSDIST(((LN(Assumptions!$B$2/$B7)+(Assumptions!$B$3-Assumptions!$B$4+(AS$3/100)^2/2)*Assumptions!$B$9)/((AS$3/100)*Assumptions!$B$10)))-$B7*EXP(-Assumptions!$B$3*Assumptions!$B$9)*NORMSDIST((((LN(Assumptions!$B$2/$B7)+(Assumptions!$B$3-Assumptions!$B$4+(AS$3/100)^2/2)*Assumptions!$B$9)/((AS$3/100)*Assumptions!$B$10))-(AS$3/100)*Assumptions!$B$10))))</f>
        <v/>
      </c>
      <c r="AT7" s="29">
        <f>Assumptions!$B$5*(MAX(0,Assumptions!$B$2*EXP(-Assumptions!$B$4*Assumptions!$B$9)*NORMSDIST(((LN(Assumptions!$B$2/$B7)+(Assumptions!$B$3-Assumptions!$B$4+(AT$3/100)^2/2)*Assumptions!$B$9)/((AT$3/100)*Assumptions!$B$10)))-$B7*EXP(-Assumptions!$B$3*Assumptions!$B$9)*NORMSDIST((((LN(Assumptions!$B$2/$B7)+(Assumptions!$B$3-Assumptions!$B$4+(AT$3/100)^2/2)*Assumptions!$B$9)/((AT$3/100)*Assumptions!$B$10))-(AT$3/100)*Assumptions!$B$10))))</f>
        <v/>
      </c>
      <c r="AU7" s="29">
        <f>Assumptions!$B$5*(MAX(0,Assumptions!$B$2*EXP(-Assumptions!$B$4*Assumptions!$B$9)*NORMSDIST(((LN(Assumptions!$B$2/$B7)+(Assumptions!$B$3-Assumptions!$B$4+(AU$3/100)^2/2)*Assumptions!$B$9)/((AU$3/100)*Assumptions!$B$10)))-$B7*EXP(-Assumptions!$B$3*Assumptions!$B$9)*NORMSDIST((((LN(Assumptions!$B$2/$B7)+(Assumptions!$B$3-Assumptions!$B$4+(AU$3/100)^2/2)*Assumptions!$B$9)/((AU$3/100)*Assumptions!$B$10))-(AU$3/100)*Assumptions!$B$10))))</f>
        <v/>
      </c>
      <c r="AV7" s="29">
        <f>Assumptions!$B$5*(MAX(0,Assumptions!$B$2*EXP(-Assumptions!$B$4*Assumptions!$B$9)*NORMSDIST(((LN(Assumptions!$B$2/$B7)+(Assumptions!$B$3-Assumptions!$B$4+(AV$3/100)^2/2)*Assumptions!$B$9)/((AV$3/100)*Assumptions!$B$10)))-$B7*EXP(-Assumptions!$B$3*Assumptions!$B$9)*NORMSDIST((((LN(Assumptions!$B$2/$B7)+(Assumptions!$B$3-Assumptions!$B$4+(AV$3/100)^2/2)*Assumptions!$B$9)/((AV$3/100)*Assumptions!$B$10))-(AV$3/100)*Assumptions!$B$10))))</f>
        <v/>
      </c>
    </row>
    <row r="8">
      <c r="A8" s="27" t="inlineStr">
        <is>
          <t>-1.00%</t>
        </is>
      </c>
      <c r="B8" s="47">
        <f>'BS Engine'!$B$6</f>
        <v/>
      </c>
      <c r="C8" s="28">
        <f>'BS Engine'!$C$6</f>
        <v/>
      </c>
      <c r="D8" s="49">
        <f>Assumptions!$B$5*(MAX(0,Assumptions!$B$2*EXP(-Assumptions!$B$4*Assumptions!$B$9)*NORMSDIST(((LN(Assumptions!$B$2/$B8)+(Assumptions!$B$3-Assumptions!$B$4+(D$3/100)^2/2)*Assumptions!$B$9)/((D$3/100)*Assumptions!$B$10)))-$B8*EXP(-Assumptions!$B$3*Assumptions!$B$9)*NORMSDIST((((LN(Assumptions!$B$2/$B8)+(Assumptions!$B$3-Assumptions!$B$4+(D$3/100)^2/2)*Assumptions!$B$9)/((D$3/100)*Assumptions!$B$10))-(D$3/100)*Assumptions!$B$10))))</f>
        <v/>
      </c>
      <c r="E8" s="29">
        <f>Assumptions!$B$5*(MAX(0,Assumptions!$B$2*EXP(-Assumptions!$B$4*Assumptions!$B$9)*NORMSDIST(((LN(Assumptions!$B$2/$B8)+(Assumptions!$B$3-Assumptions!$B$4+(E$3/100)^2/2)*Assumptions!$B$9)/((E$3/100)*Assumptions!$B$10)))-$B8*EXP(-Assumptions!$B$3*Assumptions!$B$9)*NORMSDIST((((LN(Assumptions!$B$2/$B8)+(Assumptions!$B$3-Assumptions!$B$4+(E$3/100)^2/2)*Assumptions!$B$9)/((E$3/100)*Assumptions!$B$10))-(E$3/100)*Assumptions!$B$10))))</f>
        <v/>
      </c>
      <c r="F8" s="29">
        <f>Assumptions!$B$5*(MAX(0,Assumptions!$B$2*EXP(-Assumptions!$B$4*Assumptions!$B$9)*NORMSDIST(((LN(Assumptions!$B$2/$B8)+(Assumptions!$B$3-Assumptions!$B$4+(F$3/100)^2/2)*Assumptions!$B$9)/((F$3/100)*Assumptions!$B$10)))-$B8*EXP(-Assumptions!$B$3*Assumptions!$B$9)*NORMSDIST((((LN(Assumptions!$B$2/$B8)+(Assumptions!$B$3-Assumptions!$B$4+(F$3/100)^2/2)*Assumptions!$B$9)/((F$3/100)*Assumptions!$B$10))-(F$3/100)*Assumptions!$B$10))))</f>
        <v/>
      </c>
      <c r="G8" s="29">
        <f>Assumptions!$B$5*(MAX(0,Assumptions!$B$2*EXP(-Assumptions!$B$4*Assumptions!$B$9)*NORMSDIST(((LN(Assumptions!$B$2/$B8)+(Assumptions!$B$3-Assumptions!$B$4+(G$3/100)^2/2)*Assumptions!$B$9)/((G$3/100)*Assumptions!$B$10)))-$B8*EXP(-Assumptions!$B$3*Assumptions!$B$9)*NORMSDIST((((LN(Assumptions!$B$2/$B8)+(Assumptions!$B$3-Assumptions!$B$4+(G$3/100)^2/2)*Assumptions!$B$9)/((G$3/100)*Assumptions!$B$10))-(G$3/100)*Assumptions!$B$10))))</f>
        <v/>
      </c>
      <c r="H8" s="29">
        <f>Assumptions!$B$5*(MAX(0,Assumptions!$B$2*EXP(-Assumptions!$B$4*Assumptions!$B$9)*NORMSDIST(((LN(Assumptions!$B$2/$B8)+(Assumptions!$B$3-Assumptions!$B$4+(H$3/100)^2/2)*Assumptions!$B$9)/((H$3/100)*Assumptions!$B$10)))-$B8*EXP(-Assumptions!$B$3*Assumptions!$B$9)*NORMSDIST((((LN(Assumptions!$B$2/$B8)+(Assumptions!$B$3-Assumptions!$B$4+(H$3/100)^2/2)*Assumptions!$B$9)/((H$3/100)*Assumptions!$B$10))-(H$3/100)*Assumptions!$B$10))))</f>
        <v/>
      </c>
      <c r="I8" s="29">
        <f>Assumptions!$B$5*(MAX(0,Assumptions!$B$2*EXP(-Assumptions!$B$4*Assumptions!$B$9)*NORMSDIST(((LN(Assumptions!$B$2/$B8)+(Assumptions!$B$3-Assumptions!$B$4+(I$3/100)^2/2)*Assumptions!$B$9)/((I$3/100)*Assumptions!$B$10)))-$B8*EXP(-Assumptions!$B$3*Assumptions!$B$9)*NORMSDIST((((LN(Assumptions!$B$2/$B8)+(Assumptions!$B$3-Assumptions!$B$4+(I$3/100)^2/2)*Assumptions!$B$9)/((I$3/100)*Assumptions!$B$10))-(I$3/100)*Assumptions!$B$10))))</f>
        <v/>
      </c>
      <c r="J8" s="29">
        <f>Assumptions!$B$5*(MAX(0,Assumptions!$B$2*EXP(-Assumptions!$B$4*Assumptions!$B$9)*NORMSDIST(((LN(Assumptions!$B$2/$B8)+(Assumptions!$B$3-Assumptions!$B$4+(J$3/100)^2/2)*Assumptions!$B$9)/((J$3/100)*Assumptions!$B$10)))-$B8*EXP(-Assumptions!$B$3*Assumptions!$B$9)*NORMSDIST((((LN(Assumptions!$B$2/$B8)+(Assumptions!$B$3-Assumptions!$B$4+(J$3/100)^2/2)*Assumptions!$B$9)/((J$3/100)*Assumptions!$B$10))-(J$3/100)*Assumptions!$B$10))))</f>
        <v/>
      </c>
      <c r="K8" s="29">
        <f>Assumptions!$B$5*(MAX(0,Assumptions!$B$2*EXP(-Assumptions!$B$4*Assumptions!$B$9)*NORMSDIST(((LN(Assumptions!$B$2/$B8)+(Assumptions!$B$3-Assumptions!$B$4+(K$3/100)^2/2)*Assumptions!$B$9)/((K$3/100)*Assumptions!$B$10)))-$B8*EXP(-Assumptions!$B$3*Assumptions!$B$9)*NORMSDIST((((LN(Assumptions!$B$2/$B8)+(Assumptions!$B$3-Assumptions!$B$4+(K$3/100)^2/2)*Assumptions!$B$9)/((K$3/100)*Assumptions!$B$10))-(K$3/100)*Assumptions!$B$10))))</f>
        <v/>
      </c>
      <c r="L8" s="29">
        <f>Assumptions!$B$5*(MAX(0,Assumptions!$B$2*EXP(-Assumptions!$B$4*Assumptions!$B$9)*NORMSDIST(((LN(Assumptions!$B$2/$B8)+(Assumptions!$B$3-Assumptions!$B$4+(L$3/100)^2/2)*Assumptions!$B$9)/((L$3/100)*Assumptions!$B$10)))-$B8*EXP(-Assumptions!$B$3*Assumptions!$B$9)*NORMSDIST((((LN(Assumptions!$B$2/$B8)+(Assumptions!$B$3-Assumptions!$B$4+(L$3/100)^2/2)*Assumptions!$B$9)/((L$3/100)*Assumptions!$B$10))-(L$3/100)*Assumptions!$B$10))))</f>
        <v/>
      </c>
      <c r="M8" s="29">
        <f>Assumptions!$B$5*(MAX(0,Assumptions!$B$2*EXP(-Assumptions!$B$4*Assumptions!$B$9)*NORMSDIST(((LN(Assumptions!$B$2/$B8)+(Assumptions!$B$3-Assumptions!$B$4+(M$3/100)^2/2)*Assumptions!$B$9)/((M$3/100)*Assumptions!$B$10)))-$B8*EXP(-Assumptions!$B$3*Assumptions!$B$9)*NORMSDIST((((LN(Assumptions!$B$2/$B8)+(Assumptions!$B$3-Assumptions!$B$4+(M$3/100)^2/2)*Assumptions!$B$9)/((M$3/100)*Assumptions!$B$10))-(M$3/100)*Assumptions!$B$10))))</f>
        <v/>
      </c>
      <c r="N8" s="29">
        <f>Assumptions!$B$5*(MAX(0,Assumptions!$B$2*EXP(-Assumptions!$B$4*Assumptions!$B$9)*NORMSDIST(((LN(Assumptions!$B$2/$B8)+(Assumptions!$B$3-Assumptions!$B$4+(N$3/100)^2/2)*Assumptions!$B$9)/((N$3/100)*Assumptions!$B$10)))-$B8*EXP(-Assumptions!$B$3*Assumptions!$B$9)*NORMSDIST((((LN(Assumptions!$B$2/$B8)+(Assumptions!$B$3-Assumptions!$B$4+(N$3/100)^2/2)*Assumptions!$B$9)/((N$3/100)*Assumptions!$B$10))-(N$3/100)*Assumptions!$B$10))))</f>
        <v/>
      </c>
      <c r="O8" s="29">
        <f>Assumptions!$B$5*(MAX(0,Assumptions!$B$2*EXP(-Assumptions!$B$4*Assumptions!$B$9)*NORMSDIST(((LN(Assumptions!$B$2/$B8)+(Assumptions!$B$3-Assumptions!$B$4+(O$3/100)^2/2)*Assumptions!$B$9)/((O$3/100)*Assumptions!$B$10)))-$B8*EXP(-Assumptions!$B$3*Assumptions!$B$9)*NORMSDIST((((LN(Assumptions!$B$2/$B8)+(Assumptions!$B$3-Assumptions!$B$4+(O$3/100)^2/2)*Assumptions!$B$9)/((O$3/100)*Assumptions!$B$10))-(O$3/100)*Assumptions!$B$10))))</f>
        <v/>
      </c>
      <c r="P8" s="29">
        <f>Assumptions!$B$5*(MAX(0,Assumptions!$B$2*EXP(-Assumptions!$B$4*Assumptions!$B$9)*NORMSDIST(((LN(Assumptions!$B$2/$B8)+(Assumptions!$B$3-Assumptions!$B$4+(P$3/100)^2/2)*Assumptions!$B$9)/((P$3/100)*Assumptions!$B$10)))-$B8*EXP(-Assumptions!$B$3*Assumptions!$B$9)*NORMSDIST((((LN(Assumptions!$B$2/$B8)+(Assumptions!$B$3-Assumptions!$B$4+(P$3/100)^2/2)*Assumptions!$B$9)/((P$3/100)*Assumptions!$B$10))-(P$3/100)*Assumptions!$B$10))))</f>
        <v/>
      </c>
      <c r="Q8" s="29">
        <f>Assumptions!$B$5*(MAX(0,Assumptions!$B$2*EXP(-Assumptions!$B$4*Assumptions!$B$9)*NORMSDIST(((LN(Assumptions!$B$2/$B8)+(Assumptions!$B$3-Assumptions!$B$4+(Q$3/100)^2/2)*Assumptions!$B$9)/((Q$3/100)*Assumptions!$B$10)))-$B8*EXP(-Assumptions!$B$3*Assumptions!$B$9)*NORMSDIST((((LN(Assumptions!$B$2/$B8)+(Assumptions!$B$3-Assumptions!$B$4+(Q$3/100)^2/2)*Assumptions!$B$9)/((Q$3/100)*Assumptions!$B$10))-(Q$3/100)*Assumptions!$B$10))))</f>
        <v/>
      </c>
      <c r="R8" s="29">
        <f>Assumptions!$B$5*(MAX(0,Assumptions!$B$2*EXP(-Assumptions!$B$4*Assumptions!$B$9)*NORMSDIST(((LN(Assumptions!$B$2/$B8)+(Assumptions!$B$3-Assumptions!$B$4+(R$3/100)^2/2)*Assumptions!$B$9)/((R$3/100)*Assumptions!$B$10)))-$B8*EXP(-Assumptions!$B$3*Assumptions!$B$9)*NORMSDIST((((LN(Assumptions!$B$2/$B8)+(Assumptions!$B$3-Assumptions!$B$4+(R$3/100)^2/2)*Assumptions!$B$9)/((R$3/100)*Assumptions!$B$10))-(R$3/100)*Assumptions!$B$10))))</f>
        <v/>
      </c>
      <c r="S8" s="29">
        <f>Assumptions!$B$5*(MAX(0,Assumptions!$B$2*EXP(-Assumptions!$B$4*Assumptions!$B$9)*NORMSDIST(((LN(Assumptions!$B$2/$B8)+(Assumptions!$B$3-Assumptions!$B$4+(S$3/100)^2/2)*Assumptions!$B$9)/((S$3/100)*Assumptions!$B$10)))-$B8*EXP(-Assumptions!$B$3*Assumptions!$B$9)*NORMSDIST((((LN(Assumptions!$B$2/$B8)+(Assumptions!$B$3-Assumptions!$B$4+(S$3/100)^2/2)*Assumptions!$B$9)/((S$3/100)*Assumptions!$B$10))-(S$3/100)*Assumptions!$B$10))))</f>
        <v/>
      </c>
      <c r="T8" s="29">
        <f>Assumptions!$B$5*(MAX(0,Assumptions!$B$2*EXP(-Assumptions!$B$4*Assumptions!$B$9)*NORMSDIST(((LN(Assumptions!$B$2/$B8)+(Assumptions!$B$3-Assumptions!$B$4+(T$3/100)^2/2)*Assumptions!$B$9)/((T$3/100)*Assumptions!$B$10)))-$B8*EXP(-Assumptions!$B$3*Assumptions!$B$9)*NORMSDIST((((LN(Assumptions!$B$2/$B8)+(Assumptions!$B$3-Assumptions!$B$4+(T$3/100)^2/2)*Assumptions!$B$9)/((T$3/100)*Assumptions!$B$10))-(T$3/100)*Assumptions!$B$10))))</f>
        <v/>
      </c>
      <c r="U8" s="29">
        <f>Assumptions!$B$5*(MAX(0,Assumptions!$B$2*EXP(-Assumptions!$B$4*Assumptions!$B$9)*NORMSDIST(((LN(Assumptions!$B$2/$B8)+(Assumptions!$B$3-Assumptions!$B$4+(U$3/100)^2/2)*Assumptions!$B$9)/((U$3/100)*Assumptions!$B$10)))-$B8*EXP(-Assumptions!$B$3*Assumptions!$B$9)*NORMSDIST((((LN(Assumptions!$B$2/$B8)+(Assumptions!$B$3-Assumptions!$B$4+(U$3/100)^2/2)*Assumptions!$B$9)/((U$3/100)*Assumptions!$B$10))-(U$3/100)*Assumptions!$B$10))))</f>
        <v/>
      </c>
      <c r="V8" s="29">
        <f>Assumptions!$B$5*(MAX(0,Assumptions!$B$2*EXP(-Assumptions!$B$4*Assumptions!$B$9)*NORMSDIST(((LN(Assumptions!$B$2/$B8)+(Assumptions!$B$3-Assumptions!$B$4+(V$3/100)^2/2)*Assumptions!$B$9)/((V$3/100)*Assumptions!$B$10)))-$B8*EXP(-Assumptions!$B$3*Assumptions!$B$9)*NORMSDIST((((LN(Assumptions!$B$2/$B8)+(Assumptions!$B$3-Assumptions!$B$4+(V$3/100)^2/2)*Assumptions!$B$9)/((V$3/100)*Assumptions!$B$10))-(V$3/100)*Assumptions!$B$10))))</f>
        <v/>
      </c>
      <c r="W8" s="29">
        <f>Assumptions!$B$5*(MAX(0,Assumptions!$B$2*EXP(-Assumptions!$B$4*Assumptions!$B$9)*NORMSDIST(((LN(Assumptions!$B$2/$B8)+(Assumptions!$B$3-Assumptions!$B$4+(W$3/100)^2/2)*Assumptions!$B$9)/((W$3/100)*Assumptions!$B$10)))-$B8*EXP(-Assumptions!$B$3*Assumptions!$B$9)*NORMSDIST((((LN(Assumptions!$B$2/$B8)+(Assumptions!$B$3-Assumptions!$B$4+(W$3/100)^2/2)*Assumptions!$B$9)/((W$3/100)*Assumptions!$B$10))-(W$3/100)*Assumptions!$B$10))))</f>
        <v/>
      </c>
      <c r="X8" s="29">
        <f>Assumptions!$B$5*(MAX(0,Assumptions!$B$2*EXP(-Assumptions!$B$4*Assumptions!$B$9)*NORMSDIST(((LN(Assumptions!$B$2/$B8)+(Assumptions!$B$3-Assumptions!$B$4+(X$3/100)^2/2)*Assumptions!$B$9)/((X$3/100)*Assumptions!$B$10)))-$B8*EXP(-Assumptions!$B$3*Assumptions!$B$9)*NORMSDIST((((LN(Assumptions!$B$2/$B8)+(Assumptions!$B$3-Assumptions!$B$4+(X$3/100)^2/2)*Assumptions!$B$9)/((X$3/100)*Assumptions!$B$10))-(X$3/100)*Assumptions!$B$10))))</f>
        <v/>
      </c>
      <c r="Y8" s="29">
        <f>Assumptions!$B$5*(MAX(0,Assumptions!$B$2*EXP(-Assumptions!$B$4*Assumptions!$B$9)*NORMSDIST(((LN(Assumptions!$B$2/$B8)+(Assumptions!$B$3-Assumptions!$B$4+(Y$3/100)^2/2)*Assumptions!$B$9)/((Y$3/100)*Assumptions!$B$10)))-$B8*EXP(-Assumptions!$B$3*Assumptions!$B$9)*NORMSDIST((((LN(Assumptions!$B$2/$B8)+(Assumptions!$B$3-Assumptions!$B$4+(Y$3/100)^2/2)*Assumptions!$B$9)/((Y$3/100)*Assumptions!$B$10))-(Y$3/100)*Assumptions!$B$10))))</f>
        <v/>
      </c>
      <c r="Z8" s="29">
        <f>Assumptions!$B$5*(MAX(0,Assumptions!$B$2*EXP(-Assumptions!$B$4*Assumptions!$B$9)*NORMSDIST(((LN(Assumptions!$B$2/$B8)+(Assumptions!$B$3-Assumptions!$B$4+(Z$3/100)^2/2)*Assumptions!$B$9)/((Z$3/100)*Assumptions!$B$10)))-$B8*EXP(-Assumptions!$B$3*Assumptions!$B$9)*NORMSDIST((((LN(Assumptions!$B$2/$B8)+(Assumptions!$B$3-Assumptions!$B$4+(Z$3/100)^2/2)*Assumptions!$B$9)/((Z$3/100)*Assumptions!$B$10))-(Z$3/100)*Assumptions!$B$10))))</f>
        <v/>
      </c>
      <c r="AA8" s="29">
        <f>Assumptions!$B$5*(MAX(0,Assumptions!$B$2*EXP(-Assumptions!$B$4*Assumptions!$B$9)*NORMSDIST(((LN(Assumptions!$B$2/$B8)+(Assumptions!$B$3-Assumptions!$B$4+(AA$3/100)^2/2)*Assumptions!$B$9)/((AA$3/100)*Assumptions!$B$10)))-$B8*EXP(-Assumptions!$B$3*Assumptions!$B$9)*NORMSDIST((((LN(Assumptions!$B$2/$B8)+(Assumptions!$B$3-Assumptions!$B$4+(AA$3/100)^2/2)*Assumptions!$B$9)/((AA$3/100)*Assumptions!$B$10))-(AA$3/100)*Assumptions!$B$10))))</f>
        <v/>
      </c>
      <c r="AB8" s="29">
        <f>Assumptions!$B$5*(MAX(0,Assumptions!$B$2*EXP(-Assumptions!$B$4*Assumptions!$B$9)*NORMSDIST(((LN(Assumptions!$B$2/$B8)+(Assumptions!$B$3-Assumptions!$B$4+(AB$3/100)^2/2)*Assumptions!$B$9)/((AB$3/100)*Assumptions!$B$10)))-$B8*EXP(-Assumptions!$B$3*Assumptions!$B$9)*NORMSDIST((((LN(Assumptions!$B$2/$B8)+(Assumptions!$B$3-Assumptions!$B$4+(AB$3/100)^2/2)*Assumptions!$B$9)/((AB$3/100)*Assumptions!$B$10))-(AB$3/100)*Assumptions!$B$10))))</f>
        <v/>
      </c>
      <c r="AC8" s="29">
        <f>Assumptions!$B$5*(MAX(0,Assumptions!$B$2*EXP(-Assumptions!$B$4*Assumptions!$B$9)*NORMSDIST(((LN(Assumptions!$B$2/$B8)+(Assumptions!$B$3-Assumptions!$B$4+(AC$3/100)^2/2)*Assumptions!$B$9)/((AC$3/100)*Assumptions!$B$10)))-$B8*EXP(-Assumptions!$B$3*Assumptions!$B$9)*NORMSDIST((((LN(Assumptions!$B$2/$B8)+(Assumptions!$B$3-Assumptions!$B$4+(AC$3/100)^2/2)*Assumptions!$B$9)/((AC$3/100)*Assumptions!$B$10))-(AC$3/100)*Assumptions!$B$10))))</f>
        <v/>
      </c>
      <c r="AD8" s="29">
        <f>Assumptions!$B$5*(MAX(0,Assumptions!$B$2*EXP(-Assumptions!$B$4*Assumptions!$B$9)*NORMSDIST(((LN(Assumptions!$B$2/$B8)+(Assumptions!$B$3-Assumptions!$B$4+(AD$3/100)^2/2)*Assumptions!$B$9)/((AD$3/100)*Assumptions!$B$10)))-$B8*EXP(-Assumptions!$B$3*Assumptions!$B$9)*NORMSDIST((((LN(Assumptions!$B$2/$B8)+(Assumptions!$B$3-Assumptions!$B$4+(AD$3/100)^2/2)*Assumptions!$B$9)/((AD$3/100)*Assumptions!$B$10))-(AD$3/100)*Assumptions!$B$10))))</f>
        <v/>
      </c>
      <c r="AE8" s="29">
        <f>Assumptions!$B$5*(MAX(0,Assumptions!$B$2*EXP(-Assumptions!$B$4*Assumptions!$B$9)*NORMSDIST(((LN(Assumptions!$B$2/$B8)+(Assumptions!$B$3-Assumptions!$B$4+(AE$3/100)^2/2)*Assumptions!$B$9)/((AE$3/100)*Assumptions!$B$10)))-$B8*EXP(-Assumptions!$B$3*Assumptions!$B$9)*NORMSDIST((((LN(Assumptions!$B$2/$B8)+(Assumptions!$B$3-Assumptions!$B$4+(AE$3/100)^2/2)*Assumptions!$B$9)/((AE$3/100)*Assumptions!$B$10))-(AE$3/100)*Assumptions!$B$10))))</f>
        <v/>
      </c>
      <c r="AF8" s="29">
        <f>Assumptions!$B$5*(MAX(0,Assumptions!$B$2*EXP(-Assumptions!$B$4*Assumptions!$B$9)*NORMSDIST(((LN(Assumptions!$B$2/$B8)+(Assumptions!$B$3-Assumptions!$B$4+(AF$3/100)^2/2)*Assumptions!$B$9)/((AF$3/100)*Assumptions!$B$10)))-$B8*EXP(-Assumptions!$B$3*Assumptions!$B$9)*NORMSDIST((((LN(Assumptions!$B$2/$B8)+(Assumptions!$B$3-Assumptions!$B$4+(AF$3/100)^2/2)*Assumptions!$B$9)/((AF$3/100)*Assumptions!$B$10))-(AF$3/100)*Assumptions!$B$10))))</f>
        <v/>
      </c>
      <c r="AG8" s="29">
        <f>Assumptions!$B$5*(MAX(0,Assumptions!$B$2*EXP(-Assumptions!$B$4*Assumptions!$B$9)*NORMSDIST(((LN(Assumptions!$B$2/$B8)+(Assumptions!$B$3-Assumptions!$B$4+(AG$3/100)^2/2)*Assumptions!$B$9)/((AG$3/100)*Assumptions!$B$10)))-$B8*EXP(-Assumptions!$B$3*Assumptions!$B$9)*NORMSDIST((((LN(Assumptions!$B$2/$B8)+(Assumptions!$B$3-Assumptions!$B$4+(AG$3/100)^2/2)*Assumptions!$B$9)/((AG$3/100)*Assumptions!$B$10))-(AG$3/100)*Assumptions!$B$10))))</f>
        <v/>
      </c>
      <c r="AH8" s="29">
        <f>Assumptions!$B$5*(MAX(0,Assumptions!$B$2*EXP(-Assumptions!$B$4*Assumptions!$B$9)*NORMSDIST(((LN(Assumptions!$B$2/$B8)+(Assumptions!$B$3-Assumptions!$B$4+(AH$3/100)^2/2)*Assumptions!$B$9)/((AH$3/100)*Assumptions!$B$10)))-$B8*EXP(-Assumptions!$B$3*Assumptions!$B$9)*NORMSDIST((((LN(Assumptions!$B$2/$B8)+(Assumptions!$B$3-Assumptions!$B$4+(AH$3/100)^2/2)*Assumptions!$B$9)/((AH$3/100)*Assumptions!$B$10))-(AH$3/100)*Assumptions!$B$10))))</f>
        <v/>
      </c>
      <c r="AI8" s="29">
        <f>Assumptions!$B$5*(MAX(0,Assumptions!$B$2*EXP(-Assumptions!$B$4*Assumptions!$B$9)*NORMSDIST(((LN(Assumptions!$B$2/$B8)+(Assumptions!$B$3-Assumptions!$B$4+(AI$3/100)^2/2)*Assumptions!$B$9)/((AI$3/100)*Assumptions!$B$10)))-$B8*EXP(-Assumptions!$B$3*Assumptions!$B$9)*NORMSDIST((((LN(Assumptions!$B$2/$B8)+(Assumptions!$B$3-Assumptions!$B$4+(AI$3/100)^2/2)*Assumptions!$B$9)/((AI$3/100)*Assumptions!$B$10))-(AI$3/100)*Assumptions!$B$10))))</f>
        <v/>
      </c>
      <c r="AJ8" s="29">
        <f>Assumptions!$B$5*(MAX(0,Assumptions!$B$2*EXP(-Assumptions!$B$4*Assumptions!$B$9)*NORMSDIST(((LN(Assumptions!$B$2/$B8)+(Assumptions!$B$3-Assumptions!$B$4+(AJ$3/100)^2/2)*Assumptions!$B$9)/((AJ$3/100)*Assumptions!$B$10)))-$B8*EXP(-Assumptions!$B$3*Assumptions!$B$9)*NORMSDIST((((LN(Assumptions!$B$2/$B8)+(Assumptions!$B$3-Assumptions!$B$4+(AJ$3/100)^2/2)*Assumptions!$B$9)/((AJ$3/100)*Assumptions!$B$10))-(AJ$3/100)*Assumptions!$B$10))))</f>
        <v/>
      </c>
      <c r="AK8" s="29">
        <f>Assumptions!$B$5*(MAX(0,Assumptions!$B$2*EXP(-Assumptions!$B$4*Assumptions!$B$9)*NORMSDIST(((LN(Assumptions!$B$2/$B8)+(Assumptions!$B$3-Assumptions!$B$4+(AK$3/100)^2/2)*Assumptions!$B$9)/((AK$3/100)*Assumptions!$B$10)))-$B8*EXP(-Assumptions!$B$3*Assumptions!$B$9)*NORMSDIST((((LN(Assumptions!$B$2/$B8)+(Assumptions!$B$3-Assumptions!$B$4+(AK$3/100)^2/2)*Assumptions!$B$9)/((AK$3/100)*Assumptions!$B$10))-(AK$3/100)*Assumptions!$B$10))))</f>
        <v/>
      </c>
      <c r="AL8" s="29">
        <f>Assumptions!$B$5*(MAX(0,Assumptions!$B$2*EXP(-Assumptions!$B$4*Assumptions!$B$9)*NORMSDIST(((LN(Assumptions!$B$2/$B8)+(Assumptions!$B$3-Assumptions!$B$4+(AL$3/100)^2/2)*Assumptions!$B$9)/((AL$3/100)*Assumptions!$B$10)))-$B8*EXP(-Assumptions!$B$3*Assumptions!$B$9)*NORMSDIST((((LN(Assumptions!$B$2/$B8)+(Assumptions!$B$3-Assumptions!$B$4+(AL$3/100)^2/2)*Assumptions!$B$9)/((AL$3/100)*Assumptions!$B$10))-(AL$3/100)*Assumptions!$B$10))))</f>
        <v/>
      </c>
      <c r="AM8" s="29">
        <f>Assumptions!$B$5*(MAX(0,Assumptions!$B$2*EXP(-Assumptions!$B$4*Assumptions!$B$9)*NORMSDIST(((LN(Assumptions!$B$2/$B8)+(Assumptions!$B$3-Assumptions!$B$4+(AM$3/100)^2/2)*Assumptions!$B$9)/((AM$3/100)*Assumptions!$B$10)))-$B8*EXP(-Assumptions!$B$3*Assumptions!$B$9)*NORMSDIST((((LN(Assumptions!$B$2/$B8)+(Assumptions!$B$3-Assumptions!$B$4+(AM$3/100)^2/2)*Assumptions!$B$9)/((AM$3/100)*Assumptions!$B$10))-(AM$3/100)*Assumptions!$B$10))))</f>
        <v/>
      </c>
      <c r="AN8" s="29">
        <f>Assumptions!$B$5*(MAX(0,Assumptions!$B$2*EXP(-Assumptions!$B$4*Assumptions!$B$9)*NORMSDIST(((LN(Assumptions!$B$2/$B8)+(Assumptions!$B$3-Assumptions!$B$4+(AN$3/100)^2/2)*Assumptions!$B$9)/((AN$3/100)*Assumptions!$B$10)))-$B8*EXP(-Assumptions!$B$3*Assumptions!$B$9)*NORMSDIST((((LN(Assumptions!$B$2/$B8)+(Assumptions!$B$3-Assumptions!$B$4+(AN$3/100)^2/2)*Assumptions!$B$9)/((AN$3/100)*Assumptions!$B$10))-(AN$3/100)*Assumptions!$B$10))))</f>
        <v/>
      </c>
      <c r="AO8" s="29">
        <f>Assumptions!$B$5*(MAX(0,Assumptions!$B$2*EXP(-Assumptions!$B$4*Assumptions!$B$9)*NORMSDIST(((LN(Assumptions!$B$2/$B8)+(Assumptions!$B$3-Assumptions!$B$4+(AO$3/100)^2/2)*Assumptions!$B$9)/((AO$3/100)*Assumptions!$B$10)))-$B8*EXP(-Assumptions!$B$3*Assumptions!$B$9)*NORMSDIST((((LN(Assumptions!$B$2/$B8)+(Assumptions!$B$3-Assumptions!$B$4+(AO$3/100)^2/2)*Assumptions!$B$9)/((AO$3/100)*Assumptions!$B$10))-(AO$3/100)*Assumptions!$B$10))))</f>
        <v/>
      </c>
      <c r="AP8" s="29">
        <f>Assumptions!$B$5*(MAX(0,Assumptions!$B$2*EXP(-Assumptions!$B$4*Assumptions!$B$9)*NORMSDIST(((LN(Assumptions!$B$2/$B8)+(Assumptions!$B$3-Assumptions!$B$4+(AP$3/100)^2/2)*Assumptions!$B$9)/((AP$3/100)*Assumptions!$B$10)))-$B8*EXP(-Assumptions!$B$3*Assumptions!$B$9)*NORMSDIST((((LN(Assumptions!$B$2/$B8)+(Assumptions!$B$3-Assumptions!$B$4+(AP$3/100)^2/2)*Assumptions!$B$9)/((AP$3/100)*Assumptions!$B$10))-(AP$3/100)*Assumptions!$B$10))))</f>
        <v/>
      </c>
      <c r="AQ8" s="29">
        <f>Assumptions!$B$5*(MAX(0,Assumptions!$B$2*EXP(-Assumptions!$B$4*Assumptions!$B$9)*NORMSDIST(((LN(Assumptions!$B$2/$B8)+(Assumptions!$B$3-Assumptions!$B$4+(AQ$3/100)^2/2)*Assumptions!$B$9)/((AQ$3/100)*Assumptions!$B$10)))-$B8*EXP(-Assumptions!$B$3*Assumptions!$B$9)*NORMSDIST((((LN(Assumptions!$B$2/$B8)+(Assumptions!$B$3-Assumptions!$B$4+(AQ$3/100)^2/2)*Assumptions!$B$9)/((AQ$3/100)*Assumptions!$B$10))-(AQ$3/100)*Assumptions!$B$10))))</f>
        <v/>
      </c>
      <c r="AR8" s="29">
        <f>Assumptions!$B$5*(MAX(0,Assumptions!$B$2*EXP(-Assumptions!$B$4*Assumptions!$B$9)*NORMSDIST(((LN(Assumptions!$B$2/$B8)+(Assumptions!$B$3-Assumptions!$B$4+(AR$3/100)^2/2)*Assumptions!$B$9)/((AR$3/100)*Assumptions!$B$10)))-$B8*EXP(-Assumptions!$B$3*Assumptions!$B$9)*NORMSDIST((((LN(Assumptions!$B$2/$B8)+(Assumptions!$B$3-Assumptions!$B$4+(AR$3/100)^2/2)*Assumptions!$B$9)/((AR$3/100)*Assumptions!$B$10))-(AR$3/100)*Assumptions!$B$10))))</f>
        <v/>
      </c>
      <c r="AS8" s="29">
        <f>Assumptions!$B$5*(MAX(0,Assumptions!$B$2*EXP(-Assumptions!$B$4*Assumptions!$B$9)*NORMSDIST(((LN(Assumptions!$B$2/$B8)+(Assumptions!$B$3-Assumptions!$B$4+(AS$3/100)^2/2)*Assumptions!$B$9)/((AS$3/100)*Assumptions!$B$10)))-$B8*EXP(-Assumptions!$B$3*Assumptions!$B$9)*NORMSDIST((((LN(Assumptions!$B$2/$B8)+(Assumptions!$B$3-Assumptions!$B$4+(AS$3/100)^2/2)*Assumptions!$B$9)/((AS$3/100)*Assumptions!$B$10))-(AS$3/100)*Assumptions!$B$10))))</f>
        <v/>
      </c>
      <c r="AT8" s="29">
        <f>Assumptions!$B$5*(MAX(0,Assumptions!$B$2*EXP(-Assumptions!$B$4*Assumptions!$B$9)*NORMSDIST(((LN(Assumptions!$B$2/$B8)+(Assumptions!$B$3-Assumptions!$B$4+(AT$3/100)^2/2)*Assumptions!$B$9)/((AT$3/100)*Assumptions!$B$10)))-$B8*EXP(-Assumptions!$B$3*Assumptions!$B$9)*NORMSDIST((((LN(Assumptions!$B$2/$B8)+(Assumptions!$B$3-Assumptions!$B$4+(AT$3/100)^2/2)*Assumptions!$B$9)/((AT$3/100)*Assumptions!$B$10))-(AT$3/100)*Assumptions!$B$10))))</f>
        <v/>
      </c>
      <c r="AU8" s="29">
        <f>Assumptions!$B$5*(MAX(0,Assumptions!$B$2*EXP(-Assumptions!$B$4*Assumptions!$B$9)*NORMSDIST(((LN(Assumptions!$B$2/$B8)+(Assumptions!$B$3-Assumptions!$B$4+(AU$3/100)^2/2)*Assumptions!$B$9)/((AU$3/100)*Assumptions!$B$10)))-$B8*EXP(-Assumptions!$B$3*Assumptions!$B$9)*NORMSDIST((((LN(Assumptions!$B$2/$B8)+(Assumptions!$B$3-Assumptions!$B$4+(AU$3/100)^2/2)*Assumptions!$B$9)/((AU$3/100)*Assumptions!$B$10))-(AU$3/100)*Assumptions!$B$10))))</f>
        <v/>
      </c>
      <c r="AV8" s="29">
        <f>Assumptions!$B$5*(MAX(0,Assumptions!$B$2*EXP(-Assumptions!$B$4*Assumptions!$B$9)*NORMSDIST(((LN(Assumptions!$B$2/$B8)+(Assumptions!$B$3-Assumptions!$B$4+(AV$3/100)^2/2)*Assumptions!$B$9)/((AV$3/100)*Assumptions!$B$10)))-$B8*EXP(-Assumptions!$B$3*Assumptions!$B$9)*NORMSDIST((((LN(Assumptions!$B$2/$B8)+(Assumptions!$B$3-Assumptions!$B$4+(AV$3/100)^2/2)*Assumptions!$B$9)/((AV$3/100)*Assumptions!$B$10))-(AV$3/100)*Assumptions!$B$10))))</f>
        <v/>
      </c>
    </row>
    <row r="9">
      <c r="A9" s="27" t="inlineStr">
        <is>
          <t>-0.75%</t>
        </is>
      </c>
      <c r="B9" s="47">
        <f>'BS Engine'!$B$7</f>
        <v/>
      </c>
      <c r="C9" s="28">
        <f>'BS Engine'!$C$7</f>
        <v/>
      </c>
      <c r="D9" s="49">
        <f>Assumptions!$B$5*(MAX(0,Assumptions!$B$2*EXP(-Assumptions!$B$4*Assumptions!$B$9)*NORMSDIST(((LN(Assumptions!$B$2/$B9)+(Assumptions!$B$3-Assumptions!$B$4+(D$3/100)^2/2)*Assumptions!$B$9)/((D$3/100)*Assumptions!$B$10)))-$B9*EXP(-Assumptions!$B$3*Assumptions!$B$9)*NORMSDIST((((LN(Assumptions!$B$2/$B9)+(Assumptions!$B$3-Assumptions!$B$4+(D$3/100)^2/2)*Assumptions!$B$9)/((D$3/100)*Assumptions!$B$10))-(D$3/100)*Assumptions!$B$10))))</f>
        <v/>
      </c>
      <c r="E9" s="29">
        <f>Assumptions!$B$5*(MAX(0,Assumptions!$B$2*EXP(-Assumptions!$B$4*Assumptions!$B$9)*NORMSDIST(((LN(Assumptions!$B$2/$B9)+(Assumptions!$B$3-Assumptions!$B$4+(E$3/100)^2/2)*Assumptions!$B$9)/((E$3/100)*Assumptions!$B$10)))-$B9*EXP(-Assumptions!$B$3*Assumptions!$B$9)*NORMSDIST((((LN(Assumptions!$B$2/$B9)+(Assumptions!$B$3-Assumptions!$B$4+(E$3/100)^2/2)*Assumptions!$B$9)/((E$3/100)*Assumptions!$B$10))-(E$3/100)*Assumptions!$B$10))))</f>
        <v/>
      </c>
      <c r="F9" s="29">
        <f>Assumptions!$B$5*(MAX(0,Assumptions!$B$2*EXP(-Assumptions!$B$4*Assumptions!$B$9)*NORMSDIST(((LN(Assumptions!$B$2/$B9)+(Assumptions!$B$3-Assumptions!$B$4+(F$3/100)^2/2)*Assumptions!$B$9)/((F$3/100)*Assumptions!$B$10)))-$B9*EXP(-Assumptions!$B$3*Assumptions!$B$9)*NORMSDIST((((LN(Assumptions!$B$2/$B9)+(Assumptions!$B$3-Assumptions!$B$4+(F$3/100)^2/2)*Assumptions!$B$9)/((F$3/100)*Assumptions!$B$10))-(F$3/100)*Assumptions!$B$10))))</f>
        <v/>
      </c>
      <c r="G9" s="29">
        <f>Assumptions!$B$5*(MAX(0,Assumptions!$B$2*EXP(-Assumptions!$B$4*Assumptions!$B$9)*NORMSDIST(((LN(Assumptions!$B$2/$B9)+(Assumptions!$B$3-Assumptions!$B$4+(G$3/100)^2/2)*Assumptions!$B$9)/((G$3/100)*Assumptions!$B$10)))-$B9*EXP(-Assumptions!$B$3*Assumptions!$B$9)*NORMSDIST((((LN(Assumptions!$B$2/$B9)+(Assumptions!$B$3-Assumptions!$B$4+(G$3/100)^2/2)*Assumptions!$B$9)/((G$3/100)*Assumptions!$B$10))-(G$3/100)*Assumptions!$B$10))))</f>
        <v/>
      </c>
      <c r="H9" s="29">
        <f>Assumptions!$B$5*(MAX(0,Assumptions!$B$2*EXP(-Assumptions!$B$4*Assumptions!$B$9)*NORMSDIST(((LN(Assumptions!$B$2/$B9)+(Assumptions!$B$3-Assumptions!$B$4+(H$3/100)^2/2)*Assumptions!$B$9)/((H$3/100)*Assumptions!$B$10)))-$B9*EXP(-Assumptions!$B$3*Assumptions!$B$9)*NORMSDIST((((LN(Assumptions!$B$2/$B9)+(Assumptions!$B$3-Assumptions!$B$4+(H$3/100)^2/2)*Assumptions!$B$9)/((H$3/100)*Assumptions!$B$10))-(H$3/100)*Assumptions!$B$10))))</f>
        <v/>
      </c>
      <c r="I9" s="29">
        <f>Assumptions!$B$5*(MAX(0,Assumptions!$B$2*EXP(-Assumptions!$B$4*Assumptions!$B$9)*NORMSDIST(((LN(Assumptions!$B$2/$B9)+(Assumptions!$B$3-Assumptions!$B$4+(I$3/100)^2/2)*Assumptions!$B$9)/((I$3/100)*Assumptions!$B$10)))-$B9*EXP(-Assumptions!$B$3*Assumptions!$B$9)*NORMSDIST((((LN(Assumptions!$B$2/$B9)+(Assumptions!$B$3-Assumptions!$B$4+(I$3/100)^2/2)*Assumptions!$B$9)/((I$3/100)*Assumptions!$B$10))-(I$3/100)*Assumptions!$B$10))))</f>
        <v/>
      </c>
      <c r="J9" s="29">
        <f>Assumptions!$B$5*(MAX(0,Assumptions!$B$2*EXP(-Assumptions!$B$4*Assumptions!$B$9)*NORMSDIST(((LN(Assumptions!$B$2/$B9)+(Assumptions!$B$3-Assumptions!$B$4+(J$3/100)^2/2)*Assumptions!$B$9)/((J$3/100)*Assumptions!$B$10)))-$B9*EXP(-Assumptions!$B$3*Assumptions!$B$9)*NORMSDIST((((LN(Assumptions!$B$2/$B9)+(Assumptions!$B$3-Assumptions!$B$4+(J$3/100)^2/2)*Assumptions!$B$9)/((J$3/100)*Assumptions!$B$10))-(J$3/100)*Assumptions!$B$10))))</f>
        <v/>
      </c>
      <c r="K9" s="29">
        <f>Assumptions!$B$5*(MAX(0,Assumptions!$B$2*EXP(-Assumptions!$B$4*Assumptions!$B$9)*NORMSDIST(((LN(Assumptions!$B$2/$B9)+(Assumptions!$B$3-Assumptions!$B$4+(K$3/100)^2/2)*Assumptions!$B$9)/((K$3/100)*Assumptions!$B$10)))-$B9*EXP(-Assumptions!$B$3*Assumptions!$B$9)*NORMSDIST((((LN(Assumptions!$B$2/$B9)+(Assumptions!$B$3-Assumptions!$B$4+(K$3/100)^2/2)*Assumptions!$B$9)/((K$3/100)*Assumptions!$B$10))-(K$3/100)*Assumptions!$B$10))))</f>
        <v/>
      </c>
      <c r="L9" s="29">
        <f>Assumptions!$B$5*(MAX(0,Assumptions!$B$2*EXP(-Assumptions!$B$4*Assumptions!$B$9)*NORMSDIST(((LN(Assumptions!$B$2/$B9)+(Assumptions!$B$3-Assumptions!$B$4+(L$3/100)^2/2)*Assumptions!$B$9)/((L$3/100)*Assumptions!$B$10)))-$B9*EXP(-Assumptions!$B$3*Assumptions!$B$9)*NORMSDIST((((LN(Assumptions!$B$2/$B9)+(Assumptions!$B$3-Assumptions!$B$4+(L$3/100)^2/2)*Assumptions!$B$9)/((L$3/100)*Assumptions!$B$10))-(L$3/100)*Assumptions!$B$10))))</f>
        <v/>
      </c>
      <c r="M9" s="29">
        <f>Assumptions!$B$5*(MAX(0,Assumptions!$B$2*EXP(-Assumptions!$B$4*Assumptions!$B$9)*NORMSDIST(((LN(Assumptions!$B$2/$B9)+(Assumptions!$B$3-Assumptions!$B$4+(M$3/100)^2/2)*Assumptions!$B$9)/((M$3/100)*Assumptions!$B$10)))-$B9*EXP(-Assumptions!$B$3*Assumptions!$B$9)*NORMSDIST((((LN(Assumptions!$B$2/$B9)+(Assumptions!$B$3-Assumptions!$B$4+(M$3/100)^2/2)*Assumptions!$B$9)/((M$3/100)*Assumptions!$B$10))-(M$3/100)*Assumptions!$B$10))))</f>
        <v/>
      </c>
      <c r="N9" s="29">
        <f>Assumptions!$B$5*(MAX(0,Assumptions!$B$2*EXP(-Assumptions!$B$4*Assumptions!$B$9)*NORMSDIST(((LN(Assumptions!$B$2/$B9)+(Assumptions!$B$3-Assumptions!$B$4+(N$3/100)^2/2)*Assumptions!$B$9)/((N$3/100)*Assumptions!$B$10)))-$B9*EXP(-Assumptions!$B$3*Assumptions!$B$9)*NORMSDIST((((LN(Assumptions!$B$2/$B9)+(Assumptions!$B$3-Assumptions!$B$4+(N$3/100)^2/2)*Assumptions!$B$9)/((N$3/100)*Assumptions!$B$10))-(N$3/100)*Assumptions!$B$10))))</f>
        <v/>
      </c>
      <c r="O9" s="29">
        <f>Assumptions!$B$5*(MAX(0,Assumptions!$B$2*EXP(-Assumptions!$B$4*Assumptions!$B$9)*NORMSDIST(((LN(Assumptions!$B$2/$B9)+(Assumptions!$B$3-Assumptions!$B$4+(O$3/100)^2/2)*Assumptions!$B$9)/((O$3/100)*Assumptions!$B$10)))-$B9*EXP(-Assumptions!$B$3*Assumptions!$B$9)*NORMSDIST((((LN(Assumptions!$B$2/$B9)+(Assumptions!$B$3-Assumptions!$B$4+(O$3/100)^2/2)*Assumptions!$B$9)/((O$3/100)*Assumptions!$B$10))-(O$3/100)*Assumptions!$B$10))))</f>
        <v/>
      </c>
      <c r="P9" s="29">
        <f>Assumptions!$B$5*(MAX(0,Assumptions!$B$2*EXP(-Assumptions!$B$4*Assumptions!$B$9)*NORMSDIST(((LN(Assumptions!$B$2/$B9)+(Assumptions!$B$3-Assumptions!$B$4+(P$3/100)^2/2)*Assumptions!$B$9)/((P$3/100)*Assumptions!$B$10)))-$B9*EXP(-Assumptions!$B$3*Assumptions!$B$9)*NORMSDIST((((LN(Assumptions!$B$2/$B9)+(Assumptions!$B$3-Assumptions!$B$4+(P$3/100)^2/2)*Assumptions!$B$9)/((P$3/100)*Assumptions!$B$10))-(P$3/100)*Assumptions!$B$10))))</f>
        <v/>
      </c>
      <c r="Q9" s="29">
        <f>Assumptions!$B$5*(MAX(0,Assumptions!$B$2*EXP(-Assumptions!$B$4*Assumptions!$B$9)*NORMSDIST(((LN(Assumptions!$B$2/$B9)+(Assumptions!$B$3-Assumptions!$B$4+(Q$3/100)^2/2)*Assumptions!$B$9)/((Q$3/100)*Assumptions!$B$10)))-$B9*EXP(-Assumptions!$B$3*Assumptions!$B$9)*NORMSDIST((((LN(Assumptions!$B$2/$B9)+(Assumptions!$B$3-Assumptions!$B$4+(Q$3/100)^2/2)*Assumptions!$B$9)/((Q$3/100)*Assumptions!$B$10))-(Q$3/100)*Assumptions!$B$10))))</f>
        <v/>
      </c>
      <c r="R9" s="29">
        <f>Assumptions!$B$5*(MAX(0,Assumptions!$B$2*EXP(-Assumptions!$B$4*Assumptions!$B$9)*NORMSDIST(((LN(Assumptions!$B$2/$B9)+(Assumptions!$B$3-Assumptions!$B$4+(R$3/100)^2/2)*Assumptions!$B$9)/((R$3/100)*Assumptions!$B$10)))-$B9*EXP(-Assumptions!$B$3*Assumptions!$B$9)*NORMSDIST((((LN(Assumptions!$B$2/$B9)+(Assumptions!$B$3-Assumptions!$B$4+(R$3/100)^2/2)*Assumptions!$B$9)/((R$3/100)*Assumptions!$B$10))-(R$3/100)*Assumptions!$B$10))))</f>
        <v/>
      </c>
      <c r="S9" s="29">
        <f>Assumptions!$B$5*(MAX(0,Assumptions!$B$2*EXP(-Assumptions!$B$4*Assumptions!$B$9)*NORMSDIST(((LN(Assumptions!$B$2/$B9)+(Assumptions!$B$3-Assumptions!$B$4+(S$3/100)^2/2)*Assumptions!$B$9)/((S$3/100)*Assumptions!$B$10)))-$B9*EXP(-Assumptions!$B$3*Assumptions!$B$9)*NORMSDIST((((LN(Assumptions!$B$2/$B9)+(Assumptions!$B$3-Assumptions!$B$4+(S$3/100)^2/2)*Assumptions!$B$9)/((S$3/100)*Assumptions!$B$10))-(S$3/100)*Assumptions!$B$10))))</f>
        <v/>
      </c>
      <c r="T9" s="29">
        <f>Assumptions!$B$5*(MAX(0,Assumptions!$B$2*EXP(-Assumptions!$B$4*Assumptions!$B$9)*NORMSDIST(((LN(Assumptions!$B$2/$B9)+(Assumptions!$B$3-Assumptions!$B$4+(T$3/100)^2/2)*Assumptions!$B$9)/((T$3/100)*Assumptions!$B$10)))-$B9*EXP(-Assumptions!$B$3*Assumptions!$B$9)*NORMSDIST((((LN(Assumptions!$B$2/$B9)+(Assumptions!$B$3-Assumptions!$B$4+(T$3/100)^2/2)*Assumptions!$B$9)/((T$3/100)*Assumptions!$B$10))-(T$3/100)*Assumptions!$B$10))))</f>
        <v/>
      </c>
      <c r="U9" s="29">
        <f>Assumptions!$B$5*(MAX(0,Assumptions!$B$2*EXP(-Assumptions!$B$4*Assumptions!$B$9)*NORMSDIST(((LN(Assumptions!$B$2/$B9)+(Assumptions!$B$3-Assumptions!$B$4+(U$3/100)^2/2)*Assumptions!$B$9)/((U$3/100)*Assumptions!$B$10)))-$B9*EXP(-Assumptions!$B$3*Assumptions!$B$9)*NORMSDIST((((LN(Assumptions!$B$2/$B9)+(Assumptions!$B$3-Assumptions!$B$4+(U$3/100)^2/2)*Assumptions!$B$9)/((U$3/100)*Assumptions!$B$10))-(U$3/100)*Assumptions!$B$10))))</f>
        <v/>
      </c>
      <c r="V9" s="29">
        <f>Assumptions!$B$5*(MAX(0,Assumptions!$B$2*EXP(-Assumptions!$B$4*Assumptions!$B$9)*NORMSDIST(((LN(Assumptions!$B$2/$B9)+(Assumptions!$B$3-Assumptions!$B$4+(V$3/100)^2/2)*Assumptions!$B$9)/((V$3/100)*Assumptions!$B$10)))-$B9*EXP(-Assumptions!$B$3*Assumptions!$B$9)*NORMSDIST((((LN(Assumptions!$B$2/$B9)+(Assumptions!$B$3-Assumptions!$B$4+(V$3/100)^2/2)*Assumptions!$B$9)/((V$3/100)*Assumptions!$B$10))-(V$3/100)*Assumptions!$B$10))))</f>
        <v/>
      </c>
      <c r="W9" s="29">
        <f>Assumptions!$B$5*(MAX(0,Assumptions!$B$2*EXP(-Assumptions!$B$4*Assumptions!$B$9)*NORMSDIST(((LN(Assumptions!$B$2/$B9)+(Assumptions!$B$3-Assumptions!$B$4+(W$3/100)^2/2)*Assumptions!$B$9)/((W$3/100)*Assumptions!$B$10)))-$B9*EXP(-Assumptions!$B$3*Assumptions!$B$9)*NORMSDIST((((LN(Assumptions!$B$2/$B9)+(Assumptions!$B$3-Assumptions!$B$4+(W$3/100)^2/2)*Assumptions!$B$9)/((W$3/100)*Assumptions!$B$10))-(W$3/100)*Assumptions!$B$10))))</f>
        <v/>
      </c>
      <c r="X9" s="29">
        <f>Assumptions!$B$5*(MAX(0,Assumptions!$B$2*EXP(-Assumptions!$B$4*Assumptions!$B$9)*NORMSDIST(((LN(Assumptions!$B$2/$B9)+(Assumptions!$B$3-Assumptions!$B$4+(X$3/100)^2/2)*Assumptions!$B$9)/((X$3/100)*Assumptions!$B$10)))-$B9*EXP(-Assumptions!$B$3*Assumptions!$B$9)*NORMSDIST((((LN(Assumptions!$B$2/$B9)+(Assumptions!$B$3-Assumptions!$B$4+(X$3/100)^2/2)*Assumptions!$B$9)/((X$3/100)*Assumptions!$B$10))-(X$3/100)*Assumptions!$B$10))))</f>
        <v/>
      </c>
      <c r="Y9" s="29">
        <f>Assumptions!$B$5*(MAX(0,Assumptions!$B$2*EXP(-Assumptions!$B$4*Assumptions!$B$9)*NORMSDIST(((LN(Assumptions!$B$2/$B9)+(Assumptions!$B$3-Assumptions!$B$4+(Y$3/100)^2/2)*Assumptions!$B$9)/((Y$3/100)*Assumptions!$B$10)))-$B9*EXP(-Assumptions!$B$3*Assumptions!$B$9)*NORMSDIST((((LN(Assumptions!$B$2/$B9)+(Assumptions!$B$3-Assumptions!$B$4+(Y$3/100)^2/2)*Assumptions!$B$9)/((Y$3/100)*Assumptions!$B$10))-(Y$3/100)*Assumptions!$B$10))))</f>
        <v/>
      </c>
      <c r="Z9" s="29">
        <f>Assumptions!$B$5*(MAX(0,Assumptions!$B$2*EXP(-Assumptions!$B$4*Assumptions!$B$9)*NORMSDIST(((LN(Assumptions!$B$2/$B9)+(Assumptions!$B$3-Assumptions!$B$4+(Z$3/100)^2/2)*Assumptions!$B$9)/((Z$3/100)*Assumptions!$B$10)))-$B9*EXP(-Assumptions!$B$3*Assumptions!$B$9)*NORMSDIST((((LN(Assumptions!$B$2/$B9)+(Assumptions!$B$3-Assumptions!$B$4+(Z$3/100)^2/2)*Assumptions!$B$9)/((Z$3/100)*Assumptions!$B$10))-(Z$3/100)*Assumptions!$B$10))))</f>
        <v/>
      </c>
      <c r="AA9" s="29">
        <f>Assumptions!$B$5*(MAX(0,Assumptions!$B$2*EXP(-Assumptions!$B$4*Assumptions!$B$9)*NORMSDIST(((LN(Assumptions!$B$2/$B9)+(Assumptions!$B$3-Assumptions!$B$4+(AA$3/100)^2/2)*Assumptions!$B$9)/((AA$3/100)*Assumptions!$B$10)))-$B9*EXP(-Assumptions!$B$3*Assumptions!$B$9)*NORMSDIST((((LN(Assumptions!$B$2/$B9)+(Assumptions!$B$3-Assumptions!$B$4+(AA$3/100)^2/2)*Assumptions!$B$9)/((AA$3/100)*Assumptions!$B$10))-(AA$3/100)*Assumptions!$B$10))))</f>
        <v/>
      </c>
      <c r="AB9" s="29">
        <f>Assumptions!$B$5*(MAX(0,Assumptions!$B$2*EXP(-Assumptions!$B$4*Assumptions!$B$9)*NORMSDIST(((LN(Assumptions!$B$2/$B9)+(Assumptions!$B$3-Assumptions!$B$4+(AB$3/100)^2/2)*Assumptions!$B$9)/((AB$3/100)*Assumptions!$B$10)))-$B9*EXP(-Assumptions!$B$3*Assumptions!$B$9)*NORMSDIST((((LN(Assumptions!$B$2/$B9)+(Assumptions!$B$3-Assumptions!$B$4+(AB$3/100)^2/2)*Assumptions!$B$9)/((AB$3/100)*Assumptions!$B$10))-(AB$3/100)*Assumptions!$B$10))))</f>
        <v/>
      </c>
      <c r="AC9" s="29">
        <f>Assumptions!$B$5*(MAX(0,Assumptions!$B$2*EXP(-Assumptions!$B$4*Assumptions!$B$9)*NORMSDIST(((LN(Assumptions!$B$2/$B9)+(Assumptions!$B$3-Assumptions!$B$4+(AC$3/100)^2/2)*Assumptions!$B$9)/((AC$3/100)*Assumptions!$B$10)))-$B9*EXP(-Assumptions!$B$3*Assumptions!$B$9)*NORMSDIST((((LN(Assumptions!$B$2/$B9)+(Assumptions!$B$3-Assumptions!$B$4+(AC$3/100)^2/2)*Assumptions!$B$9)/((AC$3/100)*Assumptions!$B$10))-(AC$3/100)*Assumptions!$B$10))))</f>
        <v/>
      </c>
      <c r="AD9" s="29">
        <f>Assumptions!$B$5*(MAX(0,Assumptions!$B$2*EXP(-Assumptions!$B$4*Assumptions!$B$9)*NORMSDIST(((LN(Assumptions!$B$2/$B9)+(Assumptions!$B$3-Assumptions!$B$4+(AD$3/100)^2/2)*Assumptions!$B$9)/((AD$3/100)*Assumptions!$B$10)))-$B9*EXP(-Assumptions!$B$3*Assumptions!$B$9)*NORMSDIST((((LN(Assumptions!$B$2/$B9)+(Assumptions!$B$3-Assumptions!$B$4+(AD$3/100)^2/2)*Assumptions!$B$9)/((AD$3/100)*Assumptions!$B$10))-(AD$3/100)*Assumptions!$B$10))))</f>
        <v/>
      </c>
      <c r="AE9" s="29">
        <f>Assumptions!$B$5*(MAX(0,Assumptions!$B$2*EXP(-Assumptions!$B$4*Assumptions!$B$9)*NORMSDIST(((LN(Assumptions!$B$2/$B9)+(Assumptions!$B$3-Assumptions!$B$4+(AE$3/100)^2/2)*Assumptions!$B$9)/((AE$3/100)*Assumptions!$B$10)))-$B9*EXP(-Assumptions!$B$3*Assumptions!$B$9)*NORMSDIST((((LN(Assumptions!$B$2/$B9)+(Assumptions!$B$3-Assumptions!$B$4+(AE$3/100)^2/2)*Assumptions!$B$9)/((AE$3/100)*Assumptions!$B$10))-(AE$3/100)*Assumptions!$B$10))))</f>
        <v/>
      </c>
      <c r="AF9" s="29">
        <f>Assumptions!$B$5*(MAX(0,Assumptions!$B$2*EXP(-Assumptions!$B$4*Assumptions!$B$9)*NORMSDIST(((LN(Assumptions!$B$2/$B9)+(Assumptions!$B$3-Assumptions!$B$4+(AF$3/100)^2/2)*Assumptions!$B$9)/((AF$3/100)*Assumptions!$B$10)))-$B9*EXP(-Assumptions!$B$3*Assumptions!$B$9)*NORMSDIST((((LN(Assumptions!$B$2/$B9)+(Assumptions!$B$3-Assumptions!$B$4+(AF$3/100)^2/2)*Assumptions!$B$9)/((AF$3/100)*Assumptions!$B$10))-(AF$3/100)*Assumptions!$B$10))))</f>
        <v/>
      </c>
      <c r="AG9" s="29">
        <f>Assumptions!$B$5*(MAX(0,Assumptions!$B$2*EXP(-Assumptions!$B$4*Assumptions!$B$9)*NORMSDIST(((LN(Assumptions!$B$2/$B9)+(Assumptions!$B$3-Assumptions!$B$4+(AG$3/100)^2/2)*Assumptions!$B$9)/((AG$3/100)*Assumptions!$B$10)))-$B9*EXP(-Assumptions!$B$3*Assumptions!$B$9)*NORMSDIST((((LN(Assumptions!$B$2/$B9)+(Assumptions!$B$3-Assumptions!$B$4+(AG$3/100)^2/2)*Assumptions!$B$9)/((AG$3/100)*Assumptions!$B$10))-(AG$3/100)*Assumptions!$B$10))))</f>
        <v/>
      </c>
      <c r="AH9" s="29">
        <f>Assumptions!$B$5*(MAX(0,Assumptions!$B$2*EXP(-Assumptions!$B$4*Assumptions!$B$9)*NORMSDIST(((LN(Assumptions!$B$2/$B9)+(Assumptions!$B$3-Assumptions!$B$4+(AH$3/100)^2/2)*Assumptions!$B$9)/((AH$3/100)*Assumptions!$B$10)))-$B9*EXP(-Assumptions!$B$3*Assumptions!$B$9)*NORMSDIST((((LN(Assumptions!$B$2/$B9)+(Assumptions!$B$3-Assumptions!$B$4+(AH$3/100)^2/2)*Assumptions!$B$9)/((AH$3/100)*Assumptions!$B$10))-(AH$3/100)*Assumptions!$B$10))))</f>
        <v/>
      </c>
      <c r="AI9" s="29">
        <f>Assumptions!$B$5*(MAX(0,Assumptions!$B$2*EXP(-Assumptions!$B$4*Assumptions!$B$9)*NORMSDIST(((LN(Assumptions!$B$2/$B9)+(Assumptions!$B$3-Assumptions!$B$4+(AI$3/100)^2/2)*Assumptions!$B$9)/((AI$3/100)*Assumptions!$B$10)))-$B9*EXP(-Assumptions!$B$3*Assumptions!$B$9)*NORMSDIST((((LN(Assumptions!$B$2/$B9)+(Assumptions!$B$3-Assumptions!$B$4+(AI$3/100)^2/2)*Assumptions!$B$9)/((AI$3/100)*Assumptions!$B$10))-(AI$3/100)*Assumptions!$B$10))))</f>
        <v/>
      </c>
      <c r="AJ9" s="29">
        <f>Assumptions!$B$5*(MAX(0,Assumptions!$B$2*EXP(-Assumptions!$B$4*Assumptions!$B$9)*NORMSDIST(((LN(Assumptions!$B$2/$B9)+(Assumptions!$B$3-Assumptions!$B$4+(AJ$3/100)^2/2)*Assumptions!$B$9)/((AJ$3/100)*Assumptions!$B$10)))-$B9*EXP(-Assumptions!$B$3*Assumptions!$B$9)*NORMSDIST((((LN(Assumptions!$B$2/$B9)+(Assumptions!$B$3-Assumptions!$B$4+(AJ$3/100)^2/2)*Assumptions!$B$9)/((AJ$3/100)*Assumptions!$B$10))-(AJ$3/100)*Assumptions!$B$10))))</f>
        <v/>
      </c>
      <c r="AK9" s="29">
        <f>Assumptions!$B$5*(MAX(0,Assumptions!$B$2*EXP(-Assumptions!$B$4*Assumptions!$B$9)*NORMSDIST(((LN(Assumptions!$B$2/$B9)+(Assumptions!$B$3-Assumptions!$B$4+(AK$3/100)^2/2)*Assumptions!$B$9)/((AK$3/100)*Assumptions!$B$10)))-$B9*EXP(-Assumptions!$B$3*Assumptions!$B$9)*NORMSDIST((((LN(Assumptions!$B$2/$B9)+(Assumptions!$B$3-Assumptions!$B$4+(AK$3/100)^2/2)*Assumptions!$B$9)/((AK$3/100)*Assumptions!$B$10))-(AK$3/100)*Assumptions!$B$10))))</f>
        <v/>
      </c>
      <c r="AL9" s="29">
        <f>Assumptions!$B$5*(MAX(0,Assumptions!$B$2*EXP(-Assumptions!$B$4*Assumptions!$B$9)*NORMSDIST(((LN(Assumptions!$B$2/$B9)+(Assumptions!$B$3-Assumptions!$B$4+(AL$3/100)^2/2)*Assumptions!$B$9)/((AL$3/100)*Assumptions!$B$10)))-$B9*EXP(-Assumptions!$B$3*Assumptions!$B$9)*NORMSDIST((((LN(Assumptions!$B$2/$B9)+(Assumptions!$B$3-Assumptions!$B$4+(AL$3/100)^2/2)*Assumptions!$B$9)/((AL$3/100)*Assumptions!$B$10))-(AL$3/100)*Assumptions!$B$10))))</f>
        <v/>
      </c>
      <c r="AM9" s="29">
        <f>Assumptions!$B$5*(MAX(0,Assumptions!$B$2*EXP(-Assumptions!$B$4*Assumptions!$B$9)*NORMSDIST(((LN(Assumptions!$B$2/$B9)+(Assumptions!$B$3-Assumptions!$B$4+(AM$3/100)^2/2)*Assumptions!$B$9)/((AM$3/100)*Assumptions!$B$10)))-$B9*EXP(-Assumptions!$B$3*Assumptions!$B$9)*NORMSDIST((((LN(Assumptions!$B$2/$B9)+(Assumptions!$B$3-Assumptions!$B$4+(AM$3/100)^2/2)*Assumptions!$B$9)/((AM$3/100)*Assumptions!$B$10))-(AM$3/100)*Assumptions!$B$10))))</f>
        <v/>
      </c>
      <c r="AN9" s="29">
        <f>Assumptions!$B$5*(MAX(0,Assumptions!$B$2*EXP(-Assumptions!$B$4*Assumptions!$B$9)*NORMSDIST(((LN(Assumptions!$B$2/$B9)+(Assumptions!$B$3-Assumptions!$B$4+(AN$3/100)^2/2)*Assumptions!$B$9)/((AN$3/100)*Assumptions!$B$10)))-$B9*EXP(-Assumptions!$B$3*Assumptions!$B$9)*NORMSDIST((((LN(Assumptions!$B$2/$B9)+(Assumptions!$B$3-Assumptions!$B$4+(AN$3/100)^2/2)*Assumptions!$B$9)/((AN$3/100)*Assumptions!$B$10))-(AN$3/100)*Assumptions!$B$10))))</f>
        <v/>
      </c>
      <c r="AO9" s="29">
        <f>Assumptions!$B$5*(MAX(0,Assumptions!$B$2*EXP(-Assumptions!$B$4*Assumptions!$B$9)*NORMSDIST(((LN(Assumptions!$B$2/$B9)+(Assumptions!$B$3-Assumptions!$B$4+(AO$3/100)^2/2)*Assumptions!$B$9)/((AO$3/100)*Assumptions!$B$10)))-$B9*EXP(-Assumptions!$B$3*Assumptions!$B$9)*NORMSDIST((((LN(Assumptions!$B$2/$B9)+(Assumptions!$B$3-Assumptions!$B$4+(AO$3/100)^2/2)*Assumptions!$B$9)/((AO$3/100)*Assumptions!$B$10))-(AO$3/100)*Assumptions!$B$10))))</f>
        <v/>
      </c>
      <c r="AP9" s="29">
        <f>Assumptions!$B$5*(MAX(0,Assumptions!$B$2*EXP(-Assumptions!$B$4*Assumptions!$B$9)*NORMSDIST(((LN(Assumptions!$B$2/$B9)+(Assumptions!$B$3-Assumptions!$B$4+(AP$3/100)^2/2)*Assumptions!$B$9)/((AP$3/100)*Assumptions!$B$10)))-$B9*EXP(-Assumptions!$B$3*Assumptions!$B$9)*NORMSDIST((((LN(Assumptions!$B$2/$B9)+(Assumptions!$B$3-Assumptions!$B$4+(AP$3/100)^2/2)*Assumptions!$B$9)/((AP$3/100)*Assumptions!$B$10))-(AP$3/100)*Assumptions!$B$10))))</f>
        <v/>
      </c>
      <c r="AQ9" s="29">
        <f>Assumptions!$B$5*(MAX(0,Assumptions!$B$2*EXP(-Assumptions!$B$4*Assumptions!$B$9)*NORMSDIST(((LN(Assumptions!$B$2/$B9)+(Assumptions!$B$3-Assumptions!$B$4+(AQ$3/100)^2/2)*Assumptions!$B$9)/((AQ$3/100)*Assumptions!$B$10)))-$B9*EXP(-Assumptions!$B$3*Assumptions!$B$9)*NORMSDIST((((LN(Assumptions!$B$2/$B9)+(Assumptions!$B$3-Assumptions!$B$4+(AQ$3/100)^2/2)*Assumptions!$B$9)/((AQ$3/100)*Assumptions!$B$10))-(AQ$3/100)*Assumptions!$B$10))))</f>
        <v/>
      </c>
      <c r="AR9" s="29">
        <f>Assumptions!$B$5*(MAX(0,Assumptions!$B$2*EXP(-Assumptions!$B$4*Assumptions!$B$9)*NORMSDIST(((LN(Assumptions!$B$2/$B9)+(Assumptions!$B$3-Assumptions!$B$4+(AR$3/100)^2/2)*Assumptions!$B$9)/((AR$3/100)*Assumptions!$B$10)))-$B9*EXP(-Assumptions!$B$3*Assumptions!$B$9)*NORMSDIST((((LN(Assumptions!$B$2/$B9)+(Assumptions!$B$3-Assumptions!$B$4+(AR$3/100)^2/2)*Assumptions!$B$9)/((AR$3/100)*Assumptions!$B$10))-(AR$3/100)*Assumptions!$B$10))))</f>
        <v/>
      </c>
      <c r="AS9" s="29">
        <f>Assumptions!$B$5*(MAX(0,Assumptions!$B$2*EXP(-Assumptions!$B$4*Assumptions!$B$9)*NORMSDIST(((LN(Assumptions!$B$2/$B9)+(Assumptions!$B$3-Assumptions!$B$4+(AS$3/100)^2/2)*Assumptions!$B$9)/((AS$3/100)*Assumptions!$B$10)))-$B9*EXP(-Assumptions!$B$3*Assumptions!$B$9)*NORMSDIST((((LN(Assumptions!$B$2/$B9)+(Assumptions!$B$3-Assumptions!$B$4+(AS$3/100)^2/2)*Assumptions!$B$9)/((AS$3/100)*Assumptions!$B$10))-(AS$3/100)*Assumptions!$B$10))))</f>
        <v/>
      </c>
      <c r="AT9" s="29">
        <f>Assumptions!$B$5*(MAX(0,Assumptions!$B$2*EXP(-Assumptions!$B$4*Assumptions!$B$9)*NORMSDIST(((LN(Assumptions!$B$2/$B9)+(Assumptions!$B$3-Assumptions!$B$4+(AT$3/100)^2/2)*Assumptions!$B$9)/((AT$3/100)*Assumptions!$B$10)))-$B9*EXP(-Assumptions!$B$3*Assumptions!$B$9)*NORMSDIST((((LN(Assumptions!$B$2/$B9)+(Assumptions!$B$3-Assumptions!$B$4+(AT$3/100)^2/2)*Assumptions!$B$9)/((AT$3/100)*Assumptions!$B$10))-(AT$3/100)*Assumptions!$B$10))))</f>
        <v/>
      </c>
      <c r="AU9" s="29">
        <f>Assumptions!$B$5*(MAX(0,Assumptions!$B$2*EXP(-Assumptions!$B$4*Assumptions!$B$9)*NORMSDIST(((LN(Assumptions!$B$2/$B9)+(Assumptions!$B$3-Assumptions!$B$4+(AU$3/100)^2/2)*Assumptions!$B$9)/((AU$3/100)*Assumptions!$B$10)))-$B9*EXP(-Assumptions!$B$3*Assumptions!$B$9)*NORMSDIST((((LN(Assumptions!$B$2/$B9)+(Assumptions!$B$3-Assumptions!$B$4+(AU$3/100)^2/2)*Assumptions!$B$9)/((AU$3/100)*Assumptions!$B$10))-(AU$3/100)*Assumptions!$B$10))))</f>
        <v/>
      </c>
      <c r="AV9" s="29">
        <f>Assumptions!$B$5*(MAX(0,Assumptions!$B$2*EXP(-Assumptions!$B$4*Assumptions!$B$9)*NORMSDIST(((LN(Assumptions!$B$2/$B9)+(Assumptions!$B$3-Assumptions!$B$4+(AV$3/100)^2/2)*Assumptions!$B$9)/((AV$3/100)*Assumptions!$B$10)))-$B9*EXP(-Assumptions!$B$3*Assumptions!$B$9)*NORMSDIST((((LN(Assumptions!$B$2/$B9)+(Assumptions!$B$3-Assumptions!$B$4+(AV$3/100)^2/2)*Assumptions!$B$9)/((AV$3/100)*Assumptions!$B$10))-(AV$3/100)*Assumptions!$B$10))))</f>
        <v/>
      </c>
    </row>
    <row r="10">
      <c r="A10" s="27" t="inlineStr">
        <is>
          <t>-0.50%</t>
        </is>
      </c>
      <c r="B10" s="47">
        <f>'BS Engine'!$B$8</f>
        <v/>
      </c>
      <c r="C10" s="28">
        <f>'BS Engine'!$C$8</f>
        <v/>
      </c>
      <c r="D10" s="49">
        <f>Assumptions!$B$5*(MAX(0,Assumptions!$B$2*EXP(-Assumptions!$B$4*Assumptions!$B$9)*NORMSDIST(((LN(Assumptions!$B$2/$B10)+(Assumptions!$B$3-Assumptions!$B$4+(D$3/100)^2/2)*Assumptions!$B$9)/((D$3/100)*Assumptions!$B$10)))-$B10*EXP(-Assumptions!$B$3*Assumptions!$B$9)*NORMSDIST((((LN(Assumptions!$B$2/$B10)+(Assumptions!$B$3-Assumptions!$B$4+(D$3/100)^2/2)*Assumptions!$B$9)/((D$3/100)*Assumptions!$B$10))-(D$3/100)*Assumptions!$B$10))))</f>
        <v/>
      </c>
      <c r="E10" s="29">
        <f>Assumptions!$B$5*(MAX(0,Assumptions!$B$2*EXP(-Assumptions!$B$4*Assumptions!$B$9)*NORMSDIST(((LN(Assumptions!$B$2/$B10)+(Assumptions!$B$3-Assumptions!$B$4+(E$3/100)^2/2)*Assumptions!$B$9)/((E$3/100)*Assumptions!$B$10)))-$B10*EXP(-Assumptions!$B$3*Assumptions!$B$9)*NORMSDIST((((LN(Assumptions!$B$2/$B10)+(Assumptions!$B$3-Assumptions!$B$4+(E$3/100)^2/2)*Assumptions!$B$9)/((E$3/100)*Assumptions!$B$10))-(E$3/100)*Assumptions!$B$10))))</f>
        <v/>
      </c>
      <c r="F10" s="29">
        <f>Assumptions!$B$5*(MAX(0,Assumptions!$B$2*EXP(-Assumptions!$B$4*Assumptions!$B$9)*NORMSDIST(((LN(Assumptions!$B$2/$B10)+(Assumptions!$B$3-Assumptions!$B$4+(F$3/100)^2/2)*Assumptions!$B$9)/((F$3/100)*Assumptions!$B$10)))-$B10*EXP(-Assumptions!$B$3*Assumptions!$B$9)*NORMSDIST((((LN(Assumptions!$B$2/$B10)+(Assumptions!$B$3-Assumptions!$B$4+(F$3/100)^2/2)*Assumptions!$B$9)/((F$3/100)*Assumptions!$B$10))-(F$3/100)*Assumptions!$B$10))))</f>
        <v/>
      </c>
      <c r="G10" s="29">
        <f>Assumptions!$B$5*(MAX(0,Assumptions!$B$2*EXP(-Assumptions!$B$4*Assumptions!$B$9)*NORMSDIST(((LN(Assumptions!$B$2/$B10)+(Assumptions!$B$3-Assumptions!$B$4+(G$3/100)^2/2)*Assumptions!$B$9)/((G$3/100)*Assumptions!$B$10)))-$B10*EXP(-Assumptions!$B$3*Assumptions!$B$9)*NORMSDIST((((LN(Assumptions!$B$2/$B10)+(Assumptions!$B$3-Assumptions!$B$4+(G$3/100)^2/2)*Assumptions!$B$9)/((G$3/100)*Assumptions!$B$10))-(G$3/100)*Assumptions!$B$10))))</f>
        <v/>
      </c>
      <c r="H10" s="29">
        <f>Assumptions!$B$5*(MAX(0,Assumptions!$B$2*EXP(-Assumptions!$B$4*Assumptions!$B$9)*NORMSDIST(((LN(Assumptions!$B$2/$B10)+(Assumptions!$B$3-Assumptions!$B$4+(H$3/100)^2/2)*Assumptions!$B$9)/((H$3/100)*Assumptions!$B$10)))-$B10*EXP(-Assumptions!$B$3*Assumptions!$B$9)*NORMSDIST((((LN(Assumptions!$B$2/$B10)+(Assumptions!$B$3-Assumptions!$B$4+(H$3/100)^2/2)*Assumptions!$B$9)/((H$3/100)*Assumptions!$B$10))-(H$3/100)*Assumptions!$B$10))))</f>
        <v/>
      </c>
      <c r="I10" s="29">
        <f>Assumptions!$B$5*(MAX(0,Assumptions!$B$2*EXP(-Assumptions!$B$4*Assumptions!$B$9)*NORMSDIST(((LN(Assumptions!$B$2/$B10)+(Assumptions!$B$3-Assumptions!$B$4+(I$3/100)^2/2)*Assumptions!$B$9)/((I$3/100)*Assumptions!$B$10)))-$B10*EXP(-Assumptions!$B$3*Assumptions!$B$9)*NORMSDIST((((LN(Assumptions!$B$2/$B10)+(Assumptions!$B$3-Assumptions!$B$4+(I$3/100)^2/2)*Assumptions!$B$9)/((I$3/100)*Assumptions!$B$10))-(I$3/100)*Assumptions!$B$10))))</f>
        <v/>
      </c>
      <c r="J10" s="29">
        <f>Assumptions!$B$5*(MAX(0,Assumptions!$B$2*EXP(-Assumptions!$B$4*Assumptions!$B$9)*NORMSDIST(((LN(Assumptions!$B$2/$B10)+(Assumptions!$B$3-Assumptions!$B$4+(J$3/100)^2/2)*Assumptions!$B$9)/((J$3/100)*Assumptions!$B$10)))-$B10*EXP(-Assumptions!$B$3*Assumptions!$B$9)*NORMSDIST((((LN(Assumptions!$B$2/$B10)+(Assumptions!$B$3-Assumptions!$B$4+(J$3/100)^2/2)*Assumptions!$B$9)/((J$3/100)*Assumptions!$B$10))-(J$3/100)*Assumptions!$B$10))))</f>
        <v/>
      </c>
      <c r="K10" s="29">
        <f>Assumptions!$B$5*(MAX(0,Assumptions!$B$2*EXP(-Assumptions!$B$4*Assumptions!$B$9)*NORMSDIST(((LN(Assumptions!$B$2/$B10)+(Assumptions!$B$3-Assumptions!$B$4+(K$3/100)^2/2)*Assumptions!$B$9)/((K$3/100)*Assumptions!$B$10)))-$B10*EXP(-Assumptions!$B$3*Assumptions!$B$9)*NORMSDIST((((LN(Assumptions!$B$2/$B10)+(Assumptions!$B$3-Assumptions!$B$4+(K$3/100)^2/2)*Assumptions!$B$9)/((K$3/100)*Assumptions!$B$10))-(K$3/100)*Assumptions!$B$10))))</f>
        <v/>
      </c>
      <c r="L10" s="29">
        <f>Assumptions!$B$5*(MAX(0,Assumptions!$B$2*EXP(-Assumptions!$B$4*Assumptions!$B$9)*NORMSDIST(((LN(Assumptions!$B$2/$B10)+(Assumptions!$B$3-Assumptions!$B$4+(L$3/100)^2/2)*Assumptions!$B$9)/((L$3/100)*Assumptions!$B$10)))-$B10*EXP(-Assumptions!$B$3*Assumptions!$B$9)*NORMSDIST((((LN(Assumptions!$B$2/$B10)+(Assumptions!$B$3-Assumptions!$B$4+(L$3/100)^2/2)*Assumptions!$B$9)/((L$3/100)*Assumptions!$B$10))-(L$3/100)*Assumptions!$B$10))))</f>
        <v/>
      </c>
      <c r="M10" s="29">
        <f>Assumptions!$B$5*(MAX(0,Assumptions!$B$2*EXP(-Assumptions!$B$4*Assumptions!$B$9)*NORMSDIST(((LN(Assumptions!$B$2/$B10)+(Assumptions!$B$3-Assumptions!$B$4+(M$3/100)^2/2)*Assumptions!$B$9)/((M$3/100)*Assumptions!$B$10)))-$B10*EXP(-Assumptions!$B$3*Assumptions!$B$9)*NORMSDIST((((LN(Assumptions!$B$2/$B10)+(Assumptions!$B$3-Assumptions!$B$4+(M$3/100)^2/2)*Assumptions!$B$9)/((M$3/100)*Assumptions!$B$10))-(M$3/100)*Assumptions!$B$10))))</f>
        <v/>
      </c>
      <c r="N10" s="29">
        <f>Assumptions!$B$5*(MAX(0,Assumptions!$B$2*EXP(-Assumptions!$B$4*Assumptions!$B$9)*NORMSDIST(((LN(Assumptions!$B$2/$B10)+(Assumptions!$B$3-Assumptions!$B$4+(N$3/100)^2/2)*Assumptions!$B$9)/((N$3/100)*Assumptions!$B$10)))-$B10*EXP(-Assumptions!$B$3*Assumptions!$B$9)*NORMSDIST((((LN(Assumptions!$B$2/$B10)+(Assumptions!$B$3-Assumptions!$B$4+(N$3/100)^2/2)*Assumptions!$B$9)/((N$3/100)*Assumptions!$B$10))-(N$3/100)*Assumptions!$B$10))))</f>
        <v/>
      </c>
      <c r="O10" s="29">
        <f>Assumptions!$B$5*(MAX(0,Assumptions!$B$2*EXP(-Assumptions!$B$4*Assumptions!$B$9)*NORMSDIST(((LN(Assumptions!$B$2/$B10)+(Assumptions!$B$3-Assumptions!$B$4+(O$3/100)^2/2)*Assumptions!$B$9)/((O$3/100)*Assumptions!$B$10)))-$B10*EXP(-Assumptions!$B$3*Assumptions!$B$9)*NORMSDIST((((LN(Assumptions!$B$2/$B10)+(Assumptions!$B$3-Assumptions!$B$4+(O$3/100)^2/2)*Assumptions!$B$9)/((O$3/100)*Assumptions!$B$10))-(O$3/100)*Assumptions!$B$10))))</f>
        <v/>
      </c>
      <c r="P10" s="29">
        <f>Assumptions!$B$5*(MAX(0,Assumptions!$B$2*EXP(-Assumptions!$B$4*Assumptions!$B$9)*NORMSDIST(((LN(Assumptions!$B$2/$B10)+(Assumptions!$B$3-Assumptions!$B$4+(P$3/100)^2/2)*Assumptions!$B$9)/((P$3/100)*Assumptions!$B$10)))-$B10*EXP(-Assumptions!$B$3*Assumptions!$B$9)*NORMSDIST((((LN(Assumptions!$B$2/$B10)+(Assumptions!$B$3-Assumptions!$B$4+(P$3/100)^2/2)*Assumptions!$B$9)/((P$3/100)*Assumptions!$B$10))-(P$3/100)*Assumptions!$B$10))))</f>
        <v/>
      </c>
      <c r="Q10" s="29">
        <f>Assumptions!$B$5*(MAX(0,Assumptions!$B$2*EXP(-Assumptions!$B$4*Assumptions!$B$9)*NORMSDIST(((LN(Assumptions!$B$2/$B10)+(Assumptions!$B$3-Assumptions!$B$4+(Q$3/100)^2/2)*Assumptions!$B$9)/((Q$3/100)*Assumptions!$B$10)))-$B10*EXP(-Assumptions!$B$3*Assumptions!$B$9)*NORMSDIST((((LN(Assumptions!$B$2/$B10)+(Assumptions!$B$3-Assumptions!$B$4+(Q$3/100)^2/2)*Assumptions!$B$9)/((Q$3/100)*Assumptions!$B$10))-(Q$3/100)*Assumptions!$B$10))))</f>
        <v/>
      </c>
      <c r="R10" s="29">
        <f>Assumptions!$B$5*(MAX(0,Assumptions!$B$2*EXP(-Assumptions!$B$4*Assumptions!$B$9)*NORMSDIST(((LN(Assumptions!$B$2/$B10)+(Assumptions!$B$3-Assumptions!$B$4+(R$3/100)^2/2)*Assumptions!$B$9)/((R$3/100)*Assumptions!$B$10)))-$B10*EXP(-Assumptions!$B$3*Assumptions!$B$9)*NORMSDIST((((LN(Assumptions!$B$2/$B10)+(Assumptions!$B$3-Assumptions!$B$4+(R$3/100)^2/2)*Assumptions!$B$9)/((R$3/100)*Assumptions!$B$10))-(R$3/100)*Assumptions!$B$10))))</f>
        <v/>
      </c>
      <c r="S10" s="29">
        <f>Assumptions!$B$5*(MAX(0,Assumptions!$B$2*EXP(-Assumptions!$B$4*Assumptions!$B$9)*NORMSDIST(((LN(Assumptions!$B$2/$B10)+(Assumptions!$B$3-Assumptions!$B$4+(S$3/100)^2/2)*Assumptions!$B$9)/((S$3/100)*Assumptions!$B$10)))-$B10*EXP(-Assumptions!$B$3*Assumptions!$B$9)*NORMSDIST((((LN(Assumptions!$B$2/$B10)+(Assumptions!$B$3-Assumptions!$B$4+(S$3/100)^2/2)*Assumptions!$B$9)/((S$3/100)*Assumptions!$B$10))-(S$3/100)*Assumptions!$B$10))))</f>
        <v/>
      </c>
      <c r="T10" s="29">
        <f>Assumptions!$B$5*(MAX(0,Assumptions!$B$2*EXP(-Assumptions!$B$4*Assumptions!$B$9)*NORMSDIST(((LN(Assumptions!$B$2/$B10)+(Assumptions!$B$3-Assumptions!$B$4+(T$3/100)^2/2)*Assumptions!$B$9)/((T$3/100)*Assumptions!$B$10)))-$B10*EXP(-Assumptions!$B$3*Assumptions!$B$9)*NORMSDIST((((LN(Assumptions!$B$2/$B10)+(Assumptions!$B$3-Assumptions!$B$4+(T$3/100)^2/2)*Assumptions!$B$9)/((T$3/100)*Assumptions!$B$10))-(T$3/100)*Assumptions!$B$10))))</f>
        <v/>
      </c>
      <c r="U10" s="29">
        <f>Assumptions!$B$5*(MAX(0,Assumptions!$B$2*EXP(-Assumptions!$B$4*Assumptions!$B$9)*NORMSDIST(((LN(Assumptions!$B$2/$B10)+(Assumptions!$B$3-Assumptions!$B$4+(U$3/100)^2/2)*Assumptions!$B$9)/((U$3/100)*Assumptions!$B$10)))-$B10*EXP(-Assumptions!$B$3*Assumptions!$B$9)*NORMSDIST((((LN(Assumptions!$B$2/$B10)+(Assumptions!$B$3-Assumptions!$B$4+(U$3/100)^2/2)*Assumptions!$B$9)/((U$3/100)*Assumptions!$B$10))-(U$3/100)*Assumptions!$B$10))))</f>
        <v/>
      </c>
      <c r="V10" s="29">
        <f>Assumptions!$B$5*(MAX(0,Assumptions!$B$2*EXP(-Assumptions!$B$4*Assumptions!$B$9)*NORMSDIST(((LN(Assumptions!$B$2/$B10)+(Assumptions!$B$3-Assumptions!$B$4+(V$3/100)^2/2)*Assumptions!$B$9)/((V$3/100)*Assumptions!$B$10)))-$B10*EXP(-Assumptions!$B$3*Assumptions!$B$9)*NORMSDIST((((LN(Assumptions!$B$2/$B10)+(Assumptions!$B$3-Assumptions!$B$4+(V$3/100)^2/2)*Assumptions!$B$9)/((V$3/100)*Assumptions!$B$10))-(V$3/100)*Assumptions!$B$10))))</f>
        <v/>
      </c>
      <c r="W10" s="29">
        <f>Assumptions!$B$5*(MAX(0,Assumptions!$B$2*EXP(-Assumptions!$B$4*Assumptions!$B$9)*NORMSDIST(((LN(Assumptions!$B$2/$B10)+(Assumptions!$B$3-Assumptions!$B$4+(W$3/100)^2/2)*Assumptions!$B$9)/((W$3/100)*Assumptions!$B$10)))-$B10*EXP(-Assumptions!$B$3*Assumptions!$B$9)*NORMSDIST((((LN(Assumptions!$B$2/$B10)+(Assumptions!$B$3-Assumptions!$B$4+(W$3/100)^2/2)*Assumptions!$B$9)/((W$3/100)*Assumptions!$B$10))-(W$3/100)*Assumptions!$B$10))))</f>
        <v/>
      </c>
      <c r="X10" s="29">
        <f>Assumptions!$B$5*(MAX(0,Assumptions!$B$2*EXP(-Assumptions!$B$4*Assumptions!$B$9)*NORMSDIST(((LN(Assumptions!$B$2/$B10)+(Assumptions!$B$3-Assumptions!$B$4+(X$3/100)^2/2)*Assumptions!$B$9)/((X$3/100)*Assumptions!$B$10)))-$B10*EXP(-Assumptions!$B$3*Assumptions!$B$9)*NORMSDIST((((LN(Assumptions!$B$2/$B10)+(Assumptions!$B$3-Assumptions!$B$4+(X$3/100)^2/2)*Assumptions!$B$9)/((X$3/100)*Assumptions!$B$10))-(X$3/100)*Assumptions!$B$10))))</f>
        <v/>
      </c>
      <c r="Y10" s="29">
        <f>Assumptions!$B$5*(MAX(0,Assumptions!$B$2*EXP(-Assumptions!$B$4*Assumptions!$B$9)*NORMSDIST(((LN(Assumptions!$B$2/$B10)+(Assumptions!$B$3-Assumptions!$B$4+(Y$3/100)^2/2)*Assumptions!$B$9)/((Y$3/100)*Assumptions!$B$10)))-$B10*EXP(-Assumptions!$B$3*Assumptions!$B$9)*NORMSDIST((((LN(Assumptions!$B$2/$B10)+(Assumptions!$B$3-Assumptions!$B$4+(Y$3/100)^2/2)*Assumptions!$B$9)/((Y$3/100)*Assumptions!$B$10))-(Y$3/100)*Assumptions!$B$10))))</f>
        <v/>
      </c>
      <c r="Z10" s="29">
        <f>Assumptions!$B$5*(MAX(0,Assumptions!$B$2*EXP(-Assumptions!$B$4*Assumptions!$B$9)*NORMSDIST(((LN(Assumptions!$B$2/$B10)+(Assumptions!$B$3-Assumptions!$B$4+(Z$3/100)^2/2)*Assumptions!$B$9)/((Z$3/100)*Assumptions!$B$10)))-$B10*EXP(-Assumptions!$B$3*Assumptions!$B$9)*NORMSDIST((((LN(Assumptions!$B$2/$B10)+(Assumptions!$B$3-Assumptions!$B$4+(Z$3/100)^2/2)*Assumptions!$B$9)/((Z$3/100)*Assumptions!$B$10))-(Z$3/100)*Assumptions!$B$10))))</f>
        <v/>
      </c>
      <c r="AA10" s="29">
        <f>Assumptions!$B$5*(MAX(0,Assumptions!$B$2*EXP(-Assumptions!$B$4*Assumptions!$B$9)*NORMSDIST(((LN(Assumptions!$B$2/$B10)+(Assumptions!$B$3-Assumptions!$B$4+(AA$3/100)^2/2)*Assumptions!$B$9)/((AA$3/100)*Assumptions!$B$10)))-$B10*EXP(-Assumptions!$B$3*Assumptions!$B$9)*NORMSDIST((((LN(Assumptions!$B$2/$B10)+(Assumptions!$B$3-Assumptions!$B$4+(AA$3/100)^2/2)*Assumptions!$B$9)/((AA$3/100)*Assumptions!$B$10))-(AA$3/100)*Assumptions!$B$10))))</f>
        <v/>
      </c>
      <c r="AB10" s="29">
        <f>Assumptions!$B$5*(MAX(0,Assumptions!$B$2*EXP(-Assumptions!$B$4*Assumptions!$B$9)*NORMSDIST(((LN(Assumptions!$B$2/$B10)+(Assumptions!$B$3-Assumptions!$B$4+(AB$3/100)^2/2)*Assumptions!$B$9)/((AB$3/100)*Assumptions!$B$10)))-$B10*EXP(-Assumptions!$B$3*Assumptions!$B$9)*NORMSDIST((((LN(Assumptions!$B$2/$B10)+(Assumptions!$B$3-Assumptions!$B$4+(AB$3/100)^2/2)*Assumptions!$B$9)/((AB$3/100)*Assumptions!$B$10))-(AB$3/100)*Assumptions!$B$10))))</f>
        <v/>
      </c>
      <c r="AC10" s="29">
        <f>Assumptions!$B$5*(MAX(0,Assumptions!$B$2*EXP(-Assumptions!$B$4*Assumptions!$B$9)*NORMSDIST(((LN(Assumptions!$B$2/$B10)+(Assumptions!$B$3-Assumptions!$B$4+(AC$3/100)^2/2)*Assumptions!$B$9)/((AC$3/100)*Assumptions!$B$10)))-$B10*EXP(-Assumptions!$B$3*Assumptions!$B$9)*NORMSDIST((((LN(Assumptions!$B$2/$B10)+(Assumptions!$B$3-Assumptions!$B$4+(AC$3/100)^2/2)*Assumptions!$B$9)/((AC$3/100)*Assumptions!$B$10))-(AC$3/100)*Assumptions!$B$10))))</f>
        <v/>
      </c>
      <c r="AD10" s="29">
        <f>Assumptions!$B$5*(MAX(0,Assumptions!$B$2*EXP(-Assumptions!$B$4*Assumptions!$B$9)*NORMSDIST(((LN(Assumptions!$B$2/$B10)+(Assumptions!$B$3-Assumptions!$B$4+(AD$3/100)^2/2)*Assumptions!$B$9)/((AD$3/100)*Assumptions!$B$10)))-$B10*EXP(-Assumptions!$B$3*Assumptions!$B$9)*NORMSDIST((((LN(Assumptions!$B$2/$B10)+(Assumptions!$B$3-Assumptions!$B$4+(AD$3/100)^2/2)*Assumptions!$B$9)/((AD$3/100)*Assumptions!$B$10))-(AD$3/100)*Assumptions!$B$10))))</f>
        <v/>
      </c>
      <c r="AE10" s="29">
        <f>Assumptions!$B$5*(MAX(0,Assumptions!$B$2*EXP(-Assumptions!$B$4*Assumptions!$B$9)*NORMSDIST(((LN(Assumptions!$B$2/$B10)+(Assumptions!$B$3-Assumptions!$B$4+(AE$3/100)^2/2)*Assumptions!$B$9)/((AE$3/100)*Assumptions!$B$10)))-$B10*EXP(-Assumptions!$B$3*Assumptions!$B$9)*NORMSDIST((((LN(Assumptions!$B$2/$B10)+(Assumptions!$B$3-Assumptions!$B$4+(AE$3/100)^2/2)*Assumptions!$B$9)/((AE$3/100)*Assumptions!$B$10))-(AE$3/100)*Assumptions!$B$10))))</f>
        <v/>
      </c>
      <c r="AF10" s="29">
        <f>Assumptions!$B$5*(MAX(0,Assumptions!$B$2*EXP(-Assumptions!$B$4*Assumptions!$B$9)*NORMSDIST(((LN(Assumptions!$B$2/$B10)+(Assumptions!$B$3-Assumptions!$B$4+(AF$3/100)^2/2)*Assumptions!$B$9)/((AF$3/100)*Assumptions!$B$10)))-$B10*EXP(-Assumptions!$B$3*Assumptions!$B$9)*NORMSDIST((((LN(Assumptions!$B$2/$B10)+(Assumptions!$B$3-Assumptions!$B$4+(AF$3/100)^2/2)*Assumptions!$B$9)/((AF$3/100)*Assumptions!$B$10))-(AF$3/100)*Assumptions!$B$10))))</f>
        <v/>
      </c>
      <c r="AG10" s="29">
        <f>Assumptions!$B$5*(MAX(0,Assumptions!$B$2*EXP(-Assumptions!$B$4*Assumptions!$B$9)*NORMSDIST(((LN(Assumptions!$B$2/$B10)+(Assumptions!$B$3-Assumptions!$B$4+(AG$3/100)^2/2)*Assumptions!$B$9)/((AG$3/100)*Assumptions!$B$10)))-$B10*EXP(-Assumptions!$B$3*Assumptions!$B$9)*NORMSDIST((((LN(Assumptions!$B$2/$B10)+(Assumptions!$B$3-Assumptions!$B$4+(AG$3/100)^2/2)*Assumptions!$B$9)/((AG$3/100)*Assumptions!$B$10))-(AG$3/100)*Assumptions!$B$10))))</f>
        <v/>
      </c>
      <c r="AH10" s="29">
        <f>Assumptions!$B$5*(MAX(0,Assumptions!$B$2*EXP(-Assumptions!$B$4*Assumptions!$B$9)*NORMSDIST(((LN(Assumptions!$B$2/$B10)+(Assumptions!$B$3-Assumptions!$B$4+(AH$3/100)^2/2)*Assumptions!$B$9)/((AH$3/100)*Assumptions!$B$10)))-$B10*EXP(-Assumptions!$B$3*Assumptions!$B$9)*NORMSDIST((((LN(Assumptions!$B$2/$B10)+(Assumptions!$B$3-Assumptions!$B$4+(AH$3/100)^2/2)*Assumptions!$B$9)/((AH$3/100)*Assumptions!$B$10))-(AH$3/100)*Assumptions!$B$10))))</f>
        <v/>
      </c>
      <c r="AI10" s="29">
        <f>Assumptions!$B$5*(MAX(0,Assumptions!$B$2*EXP(-Assumptions!$B$4*Assumptions!$B$9)*NORMSDIST(((LN(Assumptions!$B$2/$B10)+(Assumptions!$B$3-Assumptions!$B$4+(AI$3/100)^2/2)*Assumptions!$B$9)/((AI$3/100)*Assumptions!$B$10)))-$B10*EXP(-Assumptions!$B$3*Assumptions!$B$9)*NORMSDIST((((LN(Assumptions!$B$2/$B10)+(Assumptions!$B$3-Assumptions!$B$4+(AI$3/100)^2/2)*Assumptions!$B$9)/((AI$3/100)*Assumptions!$B$10))-(AI$3/100)*Assumptions!$B$10))))</f>
        <v/>
      </c>
      <c r="AJ10" s="29">
        <f>Assumptions!$B$5*(MAX(0,Assumptions!$B$2*EXP(-Assumptions!$B$4*Assumptions!$B$9)*NORMSDIST(((LN(Assumptions!$B$2/$B10)+(Assumptions!$B$3-Assumptions!$B$4+(AJ$3/100)^2/2)*Assumptions!$B$9)/((AJ$3/100)*Assumptions!$B$10)))-$B10*EXP(-Assumptions!$B$3*Assumptions!$B$9)*NORMSDIST((((LN(Assumptions!$B$2/$B10)+(Assumptions!$B$3-Assumptions!$B$4+(AJ$3/100)^2/2)*Assumptions!$B$9)/((AJ$3/100)*Assumptions!$B$10))-(AJ$3/100)*Assumptions!$B$10))))</f>
        <v/>
      </c>
      <c r="AK10" s="29">
        <f>Assumptions!$B$5*(MAX(0,Assumptions!$B$2*EXP(-Assumptions!$B$4*Assumptions!$B$9)*NORMSDIST(((LN(Assumptions!$B$2/$B10)+(Assumptions!$B$3-Assumptions!$B$4+(AK$3/100)^2/2)*Assumptions!$B$9)/((AK$3/100)*Assumptions!$B$10)))-$B10*EXP(-Assumptions!$B$3*Assumptions!$B$9)*NORMSDIST((((LN(Assumptions!$B$2/$B10)+(Assumptions!$B$3-Assumptions!$B$4+(AK$3/100)^2/2)*Assumptions!$B$9)/((AK$3/100)*Assumptions!$B$10))-(AK$3/100)*Assumptions!$B$10))))</f>
        <v/>
      </c>
      <c r="AL10" s="29">
        <f>Assumptions!$B$5*(MAX(0,Assumptions!$B$2*EXP(-Assumptions!$B$4*Assumptions!$B$9)*NORMSDIST(((LN(Assumptions!$B$2/$B10)+(Assumptions!$B$3-Assumptions!$B$4+(AL$3/100)^2/2)*Assumptions!$B$9)/((AL$3/100)*Assumptions!$B$10)))-$B10*EXP(-Assumptions!$B$3*Assumptions!$B$9)*NORMSDIST((((LN(Assumptions!$B$2/$B10)+(Assumptions!$B$3-Assumptions!$B$4+(AL$3/100)^2/2)*Assumptions!$B$9)/((AL$3/100)*Assumptions!$B$10))-(AL$3/100)*Assumptions!$B$10))))</f>
        <v/>
      </c>
      <c r="AM10" s="29">
        <f>Assumptions!$B$5*(MAX(0,Assumptions!$B$2*EXP(-Assumptions!$B$4*Assumptions!$B$9)*NORMSDIST(((LN(Assumptions!$B$2/$B10)+(Assumptions!$B$3-Assumptions!$B$4+(AM$3/100)^2/2)*Assumptions!$B$9)/((AM$3/100)*Assumptions!$B$10)))-$B10*EXP(-Assumptions!$B$3*Assumptions!$B$9)*NORMSDIST((((LN(Assumptions!$B$2/$B10)+(Assumptions!$B$3-Assumptions!$B$4+(AM$3/100)^2/2)*Assumptions!$B$9)/((AM$3/100)*Assumptions!$B$10))-(AM$3/100)*Assumptions!$B$10))))</f>
        <v/>
      </c>
      <c r="AN10" s="29">
        <f>Assumptions!$B$5*(MAX(0,Assumptions!$B$2*EXP(-Assumptions!$B$4*Assumptions!$B$9)*NORMSDIST(((LN(Assumptions!$B$2/$B10)+(Assumptions!$B$3-Assumptions!$B$4+(AN$3/100)^2/2)*Assumptions!$B$9)/((AN$3/100)*Assumptions!$B$10)))-$B10*EXP(-Assumptions!$B$3*Assumptions!$B$9)*NORMSDIST((((LN(Assumptions!$B$2/$B10)+(Assumptions!$B$3-Assumptions!$B$4+(AN$3/100)^2/2)*Assumptions!$B$9)/((AN$3/100)*Assumptions!$B$10))-(AN$3/100)*Assumptions!$B$10))))</f>
        <v/>
      </c>
      <c r="AO10" s="29">
        <f>Assumptions!$B$5*(MAX(0,Assumptions!$B$2*EXP(-Assumptions!$B$4*Assumptions!$B$9)*NORMSDIST(((LN(Assumptions!$B$2/$B10)+(Assumptions!$B$3-Assumptions!$B$4+(AO$3/100)^2/2)*Assumptions!$B$9)/((AO$3/100)*Assumptions!$B$10)))-$B10*EXP(-Assumptions!$B$3*Assumptions!$B$9)*NORMSDIST((((LN(Assumptions!$B$2/$B10)+(Assumptions!$B$3-Assumptions!$B$4+(AO$3/100)^2/2)*Assumptions!$B$9)/((AO$3/100)*Assumptions!$B$10))-(AO$3/100)*Assumptions!$B$10))))</f>
        <v/>
      </c>
      <c r="AP10" s="29">
        <f>Assumptions!$B$5*(MAX(0,Assumptions!$B$2*EXP(-Assumptions!$B$4*Assumptions!$B$9)*NORMSDIST(((LN(Assumptions!$B$2/$B10)+(Assumptions!$B$3-Assumptions!$B$4+(AP$3/100)^2/2)*Assumptions!$B$9)/((AP$3/100)*Assumptions!$B$10)))-$B10*EXP(-Assumptions!$B$3*Assumptions!$B$9)*NORMSDIST((((LN(Assumptions!$B$2/$B10)+(Assumptions!$B$3-Assumptions!$B$4+(AP$3/100)^2/2)*Assumptions!$B$9)/((AP$3/100)*Assumptions!$B$10))-(AP$3/100)*Assumptions!$B$10))))</f>
        <v/>
      </c>
      <c r="AQ10" s="29">
        <f>Assumptions!$B$5*(MAX(0,Assumptions!$B$2*EXP(-Assumptions!$B$4*Assumptions!$B$9)*NORMSDIST(((LN(Assumptions!$B$2/$B10)+(Assumptions!$B$3-Assumptions!$B$4+(AQ$3/100)^2/2)*Assumptions!$B$9)/((AQ$3/100)*Assumptions!$B$10)))-$B10*EXP(-Assumptions!$B$3*Assumptions!$B$9)*NORMSDIST((((LN(Assumptions!$B$2/$B10)+(Assumptions!$B$3-Assumptions!$B$4+(AQ$3/100)^2/2)*Assumptions!$B$9)/((AQ$3/100)*Assumptions!$B$10))-(AQ$3/100)*Assumptions!$B$10))))</f>
        <v/>
      </c>
      <c r="AR10" s="29">
        <f>Assumptions!$B$5*(MAX(0,Assumptions!$B$2*EXP(-Assumptions!$B$4*Assumptions!$B$9)*NORMSDIST(((LN(Assumptions!$B$2/$B10)+(Assumptions!$B$3-Assumptions!$B$4+(AR$3/100)^2/2)*Assumptions!$B$9)/((AR$3/100)*Assumptions!$B$10)))-$B10*EXP(-Assumptions!$B$3*Assumptions!$B$9)*NORMSDIST((((LN(Assumptions!$B$2/$B10)+(Assumptions!$B$3-Assumptions!$B$4+(AR$3/100)^2/2)*Assumptions!$B$9)/((AR$3/100)*Assumptions!$B$10))-(AR$3/100)*Assumptions!$B$10))))</f>
        <v/>
      </c>
      <c r="AS10" s="29">
        <f>Assumptions!$B$5*(MAX(0,Assumptions!$B$2*EXP(-Assumptions!$B$4*Assumptions!$B$9)*NORMSDIST(((LN(Assumptions!$B$2/$B10)+(Assumptions!$B$3-Assumptions!$B$4+(AS$3/100)^2/2)*Assumptions!$B$9)/((AS$3/100)*Assumptions!$B$10)))-$B10*EXP(-Assumptions!$B$3*Assumptions!$B$9)*NORMSDIST((((LN(Assumptions!$B$2/$B10)+(Assumptions!$B$3-Assumptions!$B$4+(AS$3/100)^2/2)*Assumptions!$B$9)/((AS$3/100)*Assumptions!$B$10))-(AS$3/100)*Assumptions!$B$10))))</f>
        <v/>
      </c>
      <c r="AT10" s="29">
        <f>Assumptions!$B$5*(MAX(0,Assumptions!$B$2*EXP(-Assumptions!$B$4*Assumptions!$B$9)*NORMSDIST(((LN(Assumptions!$B$2/$B10)+(Assumptions!$B$3-Assumptions!$B$4+(AT$3/100)^2/2)*Assumptions!$B$9)/((AT$3/100)*Assumptions!$B$10)))-$B10*EXP(-Assumptions!$B$3*Assumptions!$B$9)*NORMSDIST((((LN(Assumptions!$B$2/$B10)+(Assumptions!$B$3-Assumptions!$B$4+(AT$3/100)^2/2)*Assumptions!$B$9)/((AT$3/100)*Assumptions!$B$10))-(AT$3/100)*Assumptions!$B$10))))</f>
        <v/>
      </c>
      <c r="AU10" s="29">
        <f>Assumptions!$B$5*(MAX(0,Assumptions!$B$2*EXP(-Assumptions!$B$4*Assumptions!$B$9)*NORMSDIST(((LN(Assumptions!$B$2/$B10)+(Assumptions!$B$3-Assumptions!$B$4+(AU$3/100)^2/2)*Assumptions!$B$9)/((AU$3/100)*Assumptions!$B$10)))-$B10*EXP(-Assumptions!$B$3*Assumptions!$B$9)*NORMSDIST((((LN(Assumptions!$B$2/$B10)+(Assumptions!$B$3-Assumptions!$B$4+(AU$3/100)^2/2)*Assumptions!$B$9)/((AU$3/100)*Assumptions!$B$10))-(AU$3/100)*Assumptions!$B$10))))</f>
        <v/>
      </c>
      <c r="AV10" s="29">
        <f>Assumptions!$B$5*(MAX(0,Assumptions!$B$2*EXP(-Assumptions!$B$4*Assumptions!$B$9)*NORMSDIST(((LN(Assumptions!$B$2/$B10)+(Assumptions!$B$3-Assumptions!$B$4+(AV$3/100)^2/2)*Assumptions!$B$9)/((AV$3/100)*Assumptions!$B$10)))-$B10*EXP(-Assumptions!$B$3*Assumptions!$B$9)*NORMSDIST((((LN(Assumptions!$B$2/$B10)+(Assumptions!$B$3-Assumptions!$B$4+(AV$3/100)^2/2)*Assumptions!$B$9)/((AV$3/100)*Assumptions!$B$10))-(AV$3/100)*Assumptions!$B$10))))</f>
        <v/>
      </c>
    </row>
    <row r="11">
      <c r="A11" s="27" t="inlineStr">
        <is>
          <t>-0.25%</t>
        </is>
      </c>
      <c r="B11" s="47">
        <f>'BS Engine'!$B$9</f>
        <v/>
      </c>
      <c r="C11" s="28">
        <f>'BS Engine'!$C$9</f>
        <v/>
      </c>
      <c r="D11" s="49">
        <f>Assumptions!$B$5*(MAX(0,Assumptions!$B$2*EXP(-Assumptions!$B$4*Assumptions!$B$9)*NORMSDIST(((LN(Assumptions!$B$2/$B11)+(Assumptions!$B$3-Assumptions!$B$4+(D$3/100)^2/2)*Assumptions!$B$9)/((D$3/100)*Assumptions!$B$10)))-$B11*EXP(-Assumptions!$B$3*Assumptions!$B$9)*NORMSDIST((((LN(Assumptions!$B$2/$B11)+(Assumptions!$B$3-Assumptions!$B$4+(D$3/100)^2/2)*Assumptions!$B$9)/((D$3/100)*Assumptions!$B$10))-(D$3/100)*Assumptions!$B$10))))</f>
        <v/>
      </c>
      <c r="E11" s="29">
        <f>Assumptions!$B$5*(MAX(0,Assumptions!$B$2*EXP(-Assumptions!$B$4*Assumptions!$B$9)*NORMSDIST(((LN(Assumptions!$B$2/$B11)+(Assumptions!$B$3-Assumptions!$B$4+(E$3/100)^2/2)*Assumptions!$B$9)/((E$3/100)*Assumptions!$B$10)))-$B11*EXP(-Assumptions!$B$3*Assumptions!$B$9)*NORMSDIST((((LN(Assumptions!$B$2/$B11)+(Assumptions!$B$3-Assumptions!$B$4+(E$3/100)^2/2)*Assumptions!$B$9)/((E$3/100)*Assumptions!$B$10))-(E$3/100)*Assumptions!$B$10))))</f>
        <v/>
      </c>
      <c r="F11" s="29">
        <f>Assumptions!$B$5*(MAX(0,Assumptions!$B$2*EXP(-Assumptions!$B$4*Assumptions!$B$9)*NORMSDIST(((LN(Assumptions!$B$2/$B11)+(Assumptions!$B$3-Assumptions!$B$4+(F$3/100)^2/2)*Assumptions!$B$9)/((F$3/100)*Assumptions!$B$10)))-$B11*EXP(-Assumptions!$B$3*Assumptions!$B$9)*NORMSDIST((((LN(Assumptions!$B$2/$B11)+(Assumptions!$B$3-Assumptions!$B$4+(F$3/100)^2/2)*Assumptions!$B$9)/((F$3/100)*Assumptions!$B$10))-(F$3/100)*Assumptions!$B$10))))</f>
        <v/>
      </c>
      <c r="G11" s="29">
        <f>Assumptions!$B$5*(MAX(0,Assumptions!$B$2*EXP(-Assumptions!$B$4*Assumptions!$B$9)*NORMSDIST(((LN(Assumptions!$B$2/$B11)+(Assumptions!$B$3-Assumptions!$B$4+(G$3/100)^2/2)*Assumptions!$B$9)/((G$3/100)*Assumptions!$B$10)))-$B11*EXP(-Assumptions!$B$3*Assumptions!$B$9)*NORMSDIST((((LN(Assumptions!$B$2/$B11)+(Assumptions!$B$3-Assumptions!$B$4+(G$3/100)^2/2)*Assumptions!$B$9)/((G$3/100)*Assumptions!$B$10))-(G$3/100)*Assumptions!$B$10))))</f>
        <v/>
      </c>
      <c r="H11" s="29">
        <f>Assumptions!$B$5*(MAX(0,Assumptions!$B$2*EXP(-Assumptions!$B$4*Assumptions!$B$9)*NORMSDIST(((LN(Assumptions!$B$2/$B11)+(Assumptions!$B$3-Assumptions!$B$4+(H$3/100)^2/2)*Assumptions!$B$9)/((H$3/100)*Assumptions!$B$10)))-$B11*EXP(-Assumptions!$B$3*Assumptions!$B$9)*NORMSDIST((((LN(Assumptions!$B$2/$B11)+(Assumptions!$B$3-Assumptions!$B$4+(H$3/100)^2/2)*Assumptions!$B$9)/((H$3/100)*Assumptions!$B$10))-(H$3/100)*Assumptions!$B$10))))</f>
        <v/>
      </c>
      <c r="I11" s="29">
        <f>Assumptions!$B$5*(MAX(0,Assumptions!$B$2*EXP(-Assumptions!$B$4*Assumptions!$B$9)*NORMSDIST(((LN(Assumptions!$B$2/$B11)+(Assumptions!$B$3-Assumptions!$B$4+(I$3/100)^2/2)*Assumptions!$B$9)/((I$3/100)*Assumptions!$B$10)))-$B11*EXP(-Assumptions!$B$3*Assumptions!$B$9)*NORMSDIST((((LN(Assumptions!$B$2/$B11)+(Assumptions!$B$3-Assumptions!$B$4+(I$3/100)^2/2)*Assumptions!$B$9)/((I$3/100)*Assumptions!$B$10))-(I$3/100)*Assumptions!$B$10))))</f>
        <v/>
      </c>
      <c r="J11" s="29">
        <f>Assumptions!$B$5*(MAX(0,Assumptions!$B$2*EXP(-Assumptions!$B$4*Assumptions!$B$9)*NORMSDIST(((LN(Assumptions!$B$2/$B11)+(Assumptions!$B$3-Assumptions!$B$4+(J$3/100)^2/2)*Assumptions!$B$9)/((J$3/100)*Assumptions!$B$10)))-$B11*EXP(-Assumptions!$B$3*Assumptions!$B$9)*NORMSDIST((((LN(Assumptions!$B$2/$B11)+(Assumptions!$B$3-Assumptions!$B$4+(J$3/100)^2/2)*Assumptions!$B$9)/((J$3/100)*Assumptions!$B$10))-(J$3/100)*Assumptions!$B$10))))</f>
        <v/>
      </c>
      <c r="K11" s="29">
        <f>Assumptions!$B$5*(MAX(0,Assumptions!$B$2*EXP(-Assumptions!$B$4*Assumptions!$B$9)*NORMSDIST(((LN(Assumptions!$B$2/$B11)+(Assumptions!$B$3-Assumptions!$B$4+(K$3/100)^2/2)*Assumptions!$B$9)/((K$3/100)*Assumptions!$B$10)))-$B11*EXP(-Assumptions!$B$3*Assumptions!$B$9)*NORMSDIST((((LN(Assumptions!$B$2/$B11)+(Assumptions!$B$3-Assumptions!$B$4+(K$3/100)^2/2)*Assumptions!$B$9)/((K$3/100)*Assumptions!$B$10))-(K$3/100)*Assumptions!$B$10))))</f>
        <v/>
      </c>
      <c r="L11" s="29">
        <f>Assumptions!$B$5*(MAX(0,Assumptions!$B$2*EXP(-Assumptions!$B$4*Assumptions!$B$9)*NORMSDIST(((LN(Assumptions!$B$2/$B11)+(Assumptions!$B$3-Assumptions!$B$4+(L$3/100)^2/2)*Assumptions!$B$9)/((L$3/100)*Assumptions!$B$10)))-$B11*EXP(-Assumptions!$B$3*Assumptions!$B$9)*NORMSDIST((((LN(Assumptions!$B$2/$B11)+(Assumptions!$B$3-Assumptions!$B$4+(L$3/100)^2/2)*Assumptions!$B$9)/((L$3/100)*Assumptions!$B$10))-(L$3/100)*Assumptions!$B$10))))</f>
        <v/>
      </c>
      <c r="M11" s="29">
        <f>Assumptions!$B$5*(MAX(0,Assumptions!$B$2*EXP(-Assumptions!$B$4*Assumptions!$B$9)*NORMSDIST(((LN(Assumptions!$B$2/$B11)+(Assumptions!$B$3-Assumptions!$B$4+(M$3/100)^2/2)*Assumptions!$B$9)/((M$3/100)*Assumptions!$B$10)))-$B11*EXP(-Assumptions!$B$3*Assumptions!$B$9)*NORMSDIST((((LN(Assumptions!$B$2/$B11)+(Assumptions!$B$3-Assumptions!$B$4+(M$3/100)^2/2)*Assumptions!$B$9)/((M$3/100)*Assumptions!$B$10))-(M$3/100)*Assumptions!$B$10))))</f>
        <v/>
      </c>
      <c r="N11" s="29">
        <f>Assumptions!$B$5*(MAX(0,Assumptions!$B$2*EXP(-Assumptions!$B$4*Assumptions!$B$9)*NORMSDIST(((LN(Assumptions!$B$2/$B11)+(Assumptions!$B$3-Assumptions!$B$4+(N$3/100)^2/2)*Assumptions!$B$9)/((N$3/100)*Assumptions!$B$10)))-$B11*EXP(-Assumptions!$B$3*Assumptions!$B$9)*NORMSDIST((((LN(Assumptions!$B$2/$B11)+(Assumptions!$B$3-Assumptions!$B$4+(N$3/100)^2/2)*Assumptions!$B$9)/((N$3/100)*Assumptions!$B$10))-(N$3/100)*Assumptions!$B$10))))</f>
        <v/>
      </c>
      <c r="O11" s="29">
        <f>Assumptions!$B$5*(MAX(0,Assumptions!$B$2*EXP(-Assumptions!$B$4*Assumptions!$B$9)*NORMSDIST(((LN(Assumptions!$B$2/$B11)+(Assumptions!$B$3-Assumptions!$B$4+(O$3/100)^2/2)*Assumptions!$B$9)/((O$3/100)*Assumptions!$B$10)))-$B11*EXP(-Assumptions!$B$3*Assumptions!$B$9)*NORMSDIST((((LN(Assumptions!$B$2/$B11)+(Assumptions!$B$3-Assumptions!$B$4+(O$3/100)^2/2)*Assumptions!$B$9)/((O$3/100)*Assumptions!$B$10))-(O$3/100)*Assumptions!$B$10))))</f>
        <v/>
      </c>
      <c r="P11" s="29">
        <f>Assumptions!$B$5*(MAX(0,Assumptions!$B$2*EXP(-Assumptions!$B$4*Assumptions!$B$9)*NORMSDIST(((LN(Assumptions!$B$2/$B11)+(Assumptions!$B$3-Assumptions!$B$4+(P$3/100)^2/2)*Assumptions!$B$9)/((P$3/100)*Assumptions!$B$10)))-$B11*EXP(-Assumptions!$B$3*Assumptions!$B$9)*NORMSDIST((((LN(Assumptions!$B$2/$B11)+(Assumptions!$B$3-Assumptions!$B$4+(P$3/100)^2/2)*Assumptions!$B$9)/((P$3/100)*Assumptions!$B$10))-(P$3/100)*Assumptions!$B$10))))</f>
        <v/>
      </c>
      <c r="Q11" s="29">
        <f>Assumptions!$B$5*(MAX(0,Assumptions!$B$2*EXP(-Assumptions!$B$4*Assumptions!$B$9)*NORMSDIST(((LN(Assumptions!$B$2/$B11)+(Assumptions!$B$3-Assumptions!$B$4+(Q$3/100)^2/2)*Assumptions!$B$9)/((Q$3/100)*Assumptions!$B$10)))-$B11*EXP(-Assumptions!$B$3*Assumptions!$B$9)*NORMSDIST((((LN(Assumptions!$B$2/$B11)+(Assumptions!$B$3-Assumptions!$B$4+(Q$3/100)^2/2)*Assumptions!$B$9)/((Q$3/100)*Assumptions!$B$10))-(Q$3/100)*Assumptions!$B$10))))</f>
        <v/>
      </c>
      <c r="R11" s="29">
        <f>Assumptions!$B$5*(MAX(0,Assumptions!$B$2*EXP(-Assumptions!$B$4*Assumptions!$B$9)*NORMSDIST(((LN(Assumptions!$B$2/$B11)+(Assumptions!$B$3-Assumptions!$B$4+(R$3/100)^2/2)*Assumptions!$B$9)/((R$3/100)*Assumptions!$B$10)))-$B11*EXP(-Assumptions!$B$3*Assumptions!$B$9)*NORMSDIST((((LN(Assumptions!$B$2/$B11)+(Assumptions!$B$3-Assumptions!$B$4+(R$3/100)^2/2)*Assumptions!$B$9)/((R$3/100)*Assumptions!$B$10))-(R$3/100)*Assumptions!$B$10))))</f>
        <v/>
      </c>
      <c r="S11" s="29">
        <f>Assumptions!$B$5*(MAX(0,Assumptions!$B$2*EXP(-Assumptions!$B$4*Assumptions!$B$9)*NORMSDIST(((LN(Assumptions!$B$2/$B11)+(Assumptions!$B$3-Assumptions!$B$4+(S$3/100)^2/2)*Assumptions!$B$9)/((S$3/100)*Assumptions!$B$10)))-$B11*EXP(-Assumptions!$B$3*Assumptions!$B$9)*NORMSDIST((((LN(Assumptions!$B$2/$B11)+(Assumptions!$B$3-Assumptions!$B$4+(S$3/100)^2/2)*Assumptions!$B$9)/((S$3/100)*Assumptions!$B$10))-(S$3/100)*Assumptions!$B$10))))</f>
        <v/>
      </c>
      <c r="T11" s="29">
        <f>Assumptions!$B$5*(MAX(0,Assumptions!$B$2*EXP(-Assumptions!$B$4*Assumptions!$B$9)*NORMSDIST(((LN(Assumptions!$B$2/$B11)+(Assumptions!$B$3-Assumptions!$B$4+(T$3/100)^2/2)*Assumptions!$B$9)/((T$3/100)*Assumptions!$B$10)))-$B11*EXP(-Assumptions!$B$3*Assumptions!$B$9)*NORMSDIST((((LN(Assumptions!$B$2/$B11)+(Assumptions!$B$3-Assumptions!$B$4+(T$3/100)^2/2)*Assumptions!$B$9)/((T$3/100)*Assumptions!$B$10))-(T$3/100)*Assumptions!$B$10))))</f>
        <v/>
      </c>
      <c r="U11" s="29">
        <f>Assumptions!$B$5*(MAX(0,Assumptions!$B$2*EXP(-Assumptions!$B$4*Assumptions!$B$9)*NORMSDIST(((LN(Assumptions!$B$2/$B11)+(Assumptions!$B$3-Assumptions!$B$4+(U$3/100)^2/2)*Assumptions!$B$9)/((U$3/100)*Assumptions!$B$10)))-$B11*EXP(-Assumptions!$B$3*Assumptions!$B$9)*NORMSDIST((((LN(Assumptions!$B$2/$B11)+(Assumptions!$B$3-Assumptions!$B$4+(U$3/100)^2/2)*Assumptions!$B$9)/((U$3/100)*Assumptions!$B$10))-(U$3/100)*Assumptions!$B$10))))</f>
        <v/>
      </c>
      <c r="V11" s="29">
        <f>Assumptions!$B$5*(MAX(0,Assumptions!$B$2*EXP(-Assumptions!$B$4*Assumptions!$B$9)*NORMSDIST(((LN(Assumptions!$B$2/$B11)+(Assumptions!$B$3-Assumptions!$B$4+(V$3/100)^2/2)*Assumptions!$B$9)/((V$3/100)*Assumptions!$B$10)))-$B11*EXP(-Assumptions!$B$3*Assumptions!$B$9)*NORMSDIST((((LN(Assumptions!$B$2/$B11)+(Assumptions!$B$3-Assumptions!$B$4+(V$3/100)^2/2)*Assumptions!$B$9)/((V$3/100)*Assumptions!$B$10))-(V$3/100)*Assumptions!$B$10))))</f>
        <v/>
      </c>
      <c r="W11" s="29">
        <f>Assumptions!$B$5*(MAX(0,Assumptions!$B$2*EXP(-Assumptions!$B$4*Assumptions!$B$9)*NORMSDIST(((LN(Assumptions!$B$2/$B11)+(Assumptions!$B$3-Assumptions!$B$4+(W$3/100)^2/2)*Assumptions!$B$9)/((W$3/100)*Assumptions!$B$10)))-$B11*EXP(-Assumptions!$B$3*Assumptions!$B$9)*NORMSDIST((((LN(Assumptions!$B$2/$B11)+(Assumptions!$B$3-Assumptions!$B$4+(W$3/100)^2/2)*Assumptions!$B$9)/((W$3/100)*Assumptions!$B$10))-(W$3/100)*Assumptions!$B$10))))</f>
        <v/>
      </c>
      <c r="X11" s="29">
        <f>Assumptions!$B$5*(MAX(0,Assumptions!$B$2*EXP(-Assumptions!$B$4*Assumptions!$B$9)*NORMSDIST(((LN(Assumptions!$B$2/$B11)+(Assumptions!$B$3-Assumptions!$B$4+(X$3/100)^2/2)*Assumptions!$B$9)/((X$3/100)*Assumptions!$B$10)))-$B11*EXP(-Assumptions!$B$3*Assumptions!$B$9)*NORMSDIST((((LN(Assumptions!$B$2/$B11)+(Assumptions!$B$3-Assumptions!$B$4+(X$3/100)^2/2)*Assumptions!$B$9)/((X$3/100)*Assumptions!$B$10))-(X$3/100)*Assumptions!$B$10))))</f>
        <v/>
      </c>
      <c r="Y11" s="29">
        <f>Assumptions!$B$5*(MAX(0,Assumptions!$B$2*EXP(-Assumptions!$B$4*Assumptions!$B$9)*NORMSDIST(((LN(Assumptions!$B$2/$B11)+(Assumptions!$B$3-Assumptions!$B$4+(Y$3/100)^2/2)*Assumptions!$B$9)/((Y$3/100)*Assumptions!$B$10)))-$B11*EXP(-Assumptions!$B$3*Assumptions!$B$9)*NORMSDIST((((LN(Assumptions!$B$2/$B11)+(Assumptions!$B$3-Assumptions!$B$4+(Y$3/100)^2/2)*Assumptions!$B$9)/((Y$3/100)*Assumptions!$B$10))-(Y$3/100)*Assumptions!$B$10))))</f>
        <v/>
      </c>
      <c r="Z11" s="29">
        <f>Assumptions!$B$5*(MAX(0,Assumptions!$B$2*EXP(-Assumptions!$B$4*Assumptions!$B$9)*NORMSDIST(((LN(Assumptions!$B$2/$B11)+(Assumptions!$B$3-Assumptions!$B$4+(Z$3/100)^2/2)*Assumptions!$B$9)/((Z$3/100)*Assumptions!$B$10)))-$B11*EXP(-Assumptions!$B$3*Assumptions!$B$9)*NORMSDIST((((LN(Assumptions!$B$2/$B11)+(Assumptions!$B$3-Assumptions!$B$4+(Z$3/100)^2/2)*Assumptions!$B$9)/((Z$3/100)*Assumptions!$B$10))-(Z$3/100)*Assumptions!$B$10))))</f>
        <v/>
      </c>
      <c r="AA11" s="29">
        <f>Assumptions!$B$5*(MAX(0,Assumptions!$B$2*EXP(-Assumptions!$B$4*Assumptions!$B$9)*NORMSDIST(((LN(Assumptions!$B$2/$B11)+(Assumptions!$B$3-Assumptions!$B$4+(AA$3/100)^2/2)*Assumptions!$B$9)/((AA$3/100)*Assumptions!$B$10)))-$B11*EXP(-Assumptions!$B$3*Assumptions!$B$9)*NORMSDIST((((LN(Assumptions!$B$2/$B11)+(Assumptions!$B$3-Assumptions!$B$4+(AA$3/100)^2/2)*Assumptions!$B$9)/((AA$3/100)*Assumptions!$B$10))-(AA$3/100)*Assumptions!$B$10))))</f>
        <v/>
      </c>
      <c r="AB11" s="29">
        <f>Assumptions!$B$5*(MAX(0,Assumptions!$B$2*EXP(-Assumptions!$B$4*Assumptions!$B$9)*NORMSDIST(((LN(Assumptions!$B$2/$B11)+(Assumptions!$B$3-Assumptions!$B$4+(AB$3/100)^2/2)*Assumptions!$B$9)/((AB$3/100)*Assumptions!$B$10)))-$B11*EXP(-Assumptions!$B$3*Assumptions!$B$9)*NORMSDIST((((LN(Assumptions!$B$2/$B11)+(Assumptions!$B$3-Assumptions!$B$4+(AB$3/100)^2/2)*Assumptions!$B$9)/((AB$3/100)*Assumptions!$B$10))-(AB$3/100)*Assumptions!$B$10))))</f>
        <v/>
      </c>
      <c r="AC11" s="29">
        <f>Assumptions!$B$5*(MAX(0,Assumptions!$B$2*EXP(-Assumptions!$B$4*Assumptions!$B$9)*NORMSDIST(((LN(Assumptions!$B$2/$B11)+(Assumptions!$B$3-Assumptions!$B$4+(AC$3/100)^2/2)*Assumptions!$B$9)/((AC$3/100)*Assumptions!$B$10)))-$B11*EXP(-Assumptions!$B$3*Assumptions!$B$9)*NORMSDIST((((LN(Assumptions!$B$2/$B11)+(Assumptions!$B$3-Assumptions!$B$4+(AC$3/100)^2/2)*Assumptions!$B$9)/((AC$3/100)*Assumptions!$B$10))-(AC$3/100)*Assumptions!$B$10))))</f>
        <v/>
      </c>
      <c r="AD11" s="29">
        <f>Assumptions!$B$5*(MAX(0,Assumptions!$B$2*EXP(-Assumptions!$B$4*Assumptions!$B$9)*NORMSDIST(((LN(Assumptions!$B$2/$B11)+(Assumptions!$B$3-Assumptions!$B$4+(AD$3/100)^2/2)*Assumptions!$B$9)/((AD$3/100)*Assumptions!$B$10)))-$B11*EXP(-Assumptions!$B$3*Assumptions!$B$9)*NORMSDIST((((LN(Assumptions!$B$2/$B11)+(Assumptions!$B$3-Assumptions!$B$4+(AD$3/100)^2/2)*Assumptions!$B$9)/((AD$3/100)*Assumptions!$B$10))-(AD$3/100)*Assumptions!$B$10))))</f>
        <v/>
      </c>
      <c r="AE11" s="29">
        <f>Assumptions!$B$5*(MAX(0,Assumptions!$B$2*EXP(-Assumptions!$B$4*Assumptions!$B$9)*NORMSDIST(((LN(Assumptions!$B$2/$B11)+(Assumptions!$B$3-Assumptions!$B$4+(AE$3/100)^2/2)*Assumptions!$B$9)/((AE$3/100)*Assumptions!$B$10)))-$B11*EXP(-Assumptions!$B$3*Assumptions!$B$9)*NORMSDIST((((LN(Assumptions!$B$2/$B11)+(Assumptions!$B$3-Assumptions!$B$4+(AE$3/100)^2/2)*Assumptions!$B$9)/((AE$3/100)*Assumptions!$B$10))-(AE$3/100)*Assumptions!$B$10))))</f>
        <v/>
      </c>
      <c r="AF11" s="29">
        <f>Assumptions!$B$5*(MAX(0,Assumptions!$B$2*EXP(-Assumptions!$B$4*Assumptions!$B$9)*NORMSDIST(((LN(Assumptions!$B$2/$B11)+(Assumptions!$B$3-Assumptions!$B$4+(AF$3/100)^2/2)*Assumptions!$B$9)/((AF$3/100)*Assumptions!$B$10)))-$B11*EXP(-Assumptions!$B$3*Assumptions!$B$9)*NORMSDIST((((LN(Assumptions!$B$2/$B11)+(Assumptions!$B$3-Assumptions!$B$4+(AF$3/100)^2/2)*Assumptions!$B$9)/((AF$3/100)*Assumptions!$B$10))-(AF$3/100)*Assumptions!$B$10))))</f>
        <v/>
      </c>
      <c r="AG11" s="29">
        <f>Assumptions!$B$5*(MAX(0,Assumptions!$B$2*EXP(-Assumptions!$B$4*Assumptions!$B$9)*NORMSDIST(((LN(Assumptions!$B$2/$B11)+(Assumptions!$B$3-Assumptions!$B$4+(AG$3/100)^2/2)*Assumptions!$B$9)/((AG$3/100)*Assumptions!$B$10)))-$B11*EXP(-Assumptions!$B$3*Assumptions!$B$9)*NORMSDIST((((LN(Assumptions!$B$2/$B11)+(Assumptions!$B$3-Assumptions!$B$4+(AG$3/100)^2/2)*Assumptions!$B$9)/((AG$3/100)*Assumptions!$B$10))-(AG$3/100)*Assumptions!$B$10))))</f>
        <v/>
      </c>
      <c r="AH11" s="29">
        <f>Assumptions!$B$5*(MAX(0,Assumptions!$B$2*EXP(-Assumptions!$B$4*Assumptions!$B$9)*NORMSDIST(((LN(Assumptions!$B$2/$B11)+(Assumptions!$B$3-Assumptions!$B$4+(AH$3/100)^2/2)*Assumptions!$B$9)/((AH$3/100)*Assumptions!$B$10)))-$B11*EXP(-Assumptions!$B$3*Assumptions!$B$9)*NORMSDIST((((LN(Assumptions!$B$2/$B11)+(Assumptions!$B$3-Assumptions!$B$4+(AH$3/100)^2/2)*Assumptions!$B$9)/((AH$3/100)*Assumptions!$B$10))-(AH$3/100)*Assumptions!$B$10))))</f>
        <v/>
      </c>
      <c r="AI11" s="29">
        <f>Assumptions!$B$5*(MAX(0,Assumptions!$B$2*EXP(-Assumptions!$B$4*Assumptions!$B$9)*NORMSDIST(((LN(Assumptions!$B$2/$B11)+(Assumptions!$B$3-Assumptions!$B$4+(AI$3/100)^2/2)*Assumptions!$B$9)/((AI$3/100)*Assumptions!$B$10)))-$B11*EXP(-Assumptions!$B$3*Assumptions!$B$9)*NORMSDIST((((LN(Assumptions!$B$2/$B11)+(Assumptions!$B$3-Assumptions!$B$4+(AI$3/100)^2/2)*Assumptions!$B$9)/((AI$3/100)*Assumptions!$B$10))-(AI$3/100)*Assumptions!$B$10))))</f>
        <v/>
      </c>
      <c r="AJ11" s="29">
        <f>Assumptions!$B$5*(MAX(0,Assumptions!$B$2*EXP(-Assumptions!$B$4*Assumptions!$B$9)*NORMSDIST(((LN(Assumptions!$B$2/$B11)+(Assumptions!$B$3-Assumptions!$B$4+(AJ$3/100)^2/2)*Assumptions!$B$9)/((AJ$3/100)*Assumptions!$B$10)))-$B11*EXP(-Assumptions!$B$3*Assumptions!$B$9)*NORMSDIST((((LN(Assumptions!$B$2/$B11)+(Assumptions!$B$3-Assumptions!$B$4+(AJ$3/100)^2/2)*Assumptions!$B$9)/((AJ$3/100)*Assumptions!$B$10))-(AJ$3/100)*Assumptions!$B$10))))</f>
        <v/>
      </c>
      <c r="AK11" s="29">
        <f>Assumptions!$B$5*(MAX(0,Assumptions!$B$2*EXP(-Assumptions!$B$4*Assumptions!$B$9)*NORMSDIST(((LN(Assumptions!$B$2/$B11)+(Assumptions!$B$3-Assumptions!$B$4+(AK$3/100)^2/2)*Assumptions!$B$9)/((AK$3/100)*Assumptions!$B$10)))-$B11*EXP(-Assumptions!$B$3*Assumptions!$B$9)*NORMSDIST((((LN(Assumptions!$B$2/$B11)+(Assumptions!$B$3-Assumptions!$B$4+(AK$3/100)^2/2)*Assumptions!$B$9)/((AK$3/100)*Assumptions!$B$10))-(AK$3/100)*Assumptions!$B$10))))</f>
        <v/>
      </c>
      <c r="AL11" s="29">
        <f>Assumptions!$B$5*(MAX(0,Assumptions!$B$2*EXP(-Assumptions!$B$4*Assumptions!$B$9)*NORMSDIST(((LN(Assumptions!$B$2/$B11)+(Assumptions!$B$3-Assumptions!$B$4+(AL$3/100)^2/2)*Assumptions!$B$9)/((AL$3/100)*Assumptions!$B$10)))-$B11*EXP(-Assumptions!$B$3*Assumptions!$B$9)*NORMSDIST((((LN(Assumptions!$B$2/$B11)+(Assumptions!$B$3-Assumptions!$B$4+(AL$3/100)^2/2)*Assumptions!$B$9)/((AL$3/100)*Assumptions!$B$10))-(AL$3/100)*Assumptions!$B$10))))</f>
        <v/>
      </c>
      <c r="AM11" s="29">
        <f>Assumptions!$B$5*(MAX(0,Assumptions!$B$2*EXP(-Assumptions!$B$4*Assumptions!$B$9)*NORMSDIST(((LN(Assumptions!$B$2/$B11)+(Assumptions!$B$3-Assumptions!$B$4+(AM$3/100)^2/2)*Assumptions!$B$9)/((AM$3/100)*Assumptions!$B$10)))-$B11*EXP(-Assumptions!$B$3*Assumptions!$B$9)*NORMSDIST((((LN(Assumptions!$B$2/$B11)+(Assumptions!$B$3-Assumptions!$B$4+(AM$3/100)^2/2)*Assumptions!$B$9)/((AM$3/100)*Assumptions!$B$10))-(AM$3/100)*Assumptions!$B$10))))</f>
        <v/>
      </c>
      <c r="AN11" s="29">
        <f>Assumptions!$B$5*(MAX(0,Assumptions!$B$2*EXP(-Assumptions!$B$4*Assumptions!$B$9)*NORMSDIST(((LN(Assumptions!$B$2/$B11)+(Assumptions!$B$3-Assumptions!$B$4+(AN$3/100)^2/2)*Assumptions!$B$9)/((AN$3/100)*Assumptions!$B$10)))-$B11*EXP(-Assumptions!$B$3*Assumptions!$B$9)*NORMSDIST((((LN(Assumptions!$B$2/$B11)+(Assumptions!$B$3-Assumptions!$B$4+(AN$3/100)^2/2)*Assumptions!$B$9)/((AN$3/100)*Assumptions!$B$10))-(AN$3/100)*Assumptions!$B$10))))</f>
        <v/>
      </c>
      <c r="AO11" s="29">
        <f>Assumptions!$B$5*(MAX(0,Assumptions!$B$2*EXP(-Assumptions!$B$4*Assumptions!$B$9)*NORMSDIST(((LN(Assumptions!$B$2/$B11)+(Assumptions!$B$3-Assumptions!$B$4+(AO$3/100)^2/2)*Assumptions!$B$9)/((AO$3/100)*Assumptions!$B$10)))-$B11*EXP(-Assumptions!$B$3*Assumptions!$B$9)*NORMSDIST((((LN(Assumptions!$B$2/$B11)+(Assumptions!$B$3-Assumptions!$B$4+(AO$3/100)^2/2)*Assumptions!$B$9)/((AO$3/100)*Assumptions!$B$10))-(AO$3/100)*Assumptions!$B$10))))</f>
        <v/>
      </c>
      <c r="AP11" s="29">
        <f>Assumptions!$B$5*(MAX(0,Assumptions!$B$2*EXP(-Assumptions!$B$4*Assumptions!$B$9)*NORMSDIST(((LN(Assumptions!$B$2/$B11)+(Assumptions!$B$3-Assumptions!$B$4+(AP$3/100)^2/2)*Assumptions!$B$9)/((AP$3/100)*Assumptions!$B$10)))-$B11*EXP(-Assumptions!$B$3*Assumptions!$B$9)*NORMSDIST((((LN(Assumptions!$B$2/$B11)+(Assumptions!$B$3-Assumptions!$B$4+(AP$3/100)^2/2)*Assumptions!$B$9)/((AP$3/100)*Assumptions!$B$10))-(AP$3/100)*Assumptions!$B$10))))</f>
        <v/>
      </c>
      <c r="AQ11" s="29">
        <f>Assumptions!$B$5*(MAX(0,Assumptions!$B$2*EXP(-Assumptions!$B$4*Assumptions!$B$9)*NORMSDIST(((LN(Assumptions!$B$2/$B11)+(Assumptions!$B$3-Assumptions!$B$4+(AQ$3/100)^2/2)*Assumptions!$B$9)/((AQ$3/100)*Assumptions!$B$10)))-$B11*EXP(-Assumptions!$B$3*Assumptions!$B$9)*NORMSDIST((((LN(Assumptions!$B$2/$B11)+(Assumptions!$B$3-Assumptions!$B$4+(AQ$3/100)^2/2)*Assumptions!$B$9)/((AQ$3/100)*Assumptions!$B$10))-(AQ$3/100)*Assumptions!$B$10))))</f>
        <v/>
      </c>
      <c r="AR11" s="29">
        <f>Assumptions!$B$5*(MAX(0,Assumptions!$B$2*EXP(-Assumptions!$B$4*Assumptions!$B$9)*NORMSDIST(((LN(Assumptions!$B$2/$B11)+(Assumptions!$B$3-Assumptions!$B$4+(AR$3/100)^2/2)*Assumptions!$B$9)/((AR$3/100)*Assumptions!$B$10)))-$B11*EXP(-Assumptions!$B$3*Assumptions!$B$9)*NORMSDIST((((LN(Assumptions!$B$2/$B11)+(Assumptions!$B$3-Assumptions!$B$4+(AR$3/100)^2/2)*Assumptions!$B$9)/((AR$3/100)*Assumptions!$B$10))-(AR$3/100)*Assumptions!$B$10))))</f>
        <v/>
      </c>
      <c r="AS11" s="29">
        <f>Assumptions!$B$5*(MAX(0,Assumptions!$B$2*EXP(-Assumptions!$B$4*Assumptions!$B$9)*NORMSDIST(((LN(Assumptions!$B$2/$B11)+(Assumptions!$B$3-Assumptions!$B$4+(AS$3/100)^2/2)*Assumptions!$B$9)/((AS$3/100)*Assumptions!$B$10)))-$B11*EXP(-Assumptions!$B$3*Assumptions!$B$9)*NORMSDIST((((LN(Assumptions!$B$2/$B11)+(Assumptions!$B$3-Assumptions!$B$4+(AS$3/100)^2/2)*Assumptions!$B$9)/((AS$3/100)*Assumptions!$B$10))-(AS$3/100)*Assumptions!$B$10))))</f>
        <v/>
      </c>
      <c r="AT11" s="29">
        <f>Assumptions!$B$5*(MAX(0,Assumptions!$B$2*EXP(-Assumptions!$B$4*Assumptions!$B$9)*NORMSDIST(((LN(Assumptions!$B$2/$B11)+(Assumptions!$B$3-Assumptions!$B$4+(AT$3/100)^2/2)*Assumptions!$B$9)/((AT$3/100)*Assumptions!$B$10)))-$B11*EXP(-Assumptions!$B$3*Assumptions!$B$9)*NORMSDIST((((LN(Assumptions!$B$2/$B11)+(Assumptions!$B$3-Assumptions!$B$4+(AT$3/100)^2/2)*Assumptions!$B$9)/((AT$3/100)*Assumptions!$B$10))-(AT$3/100)*Assumptions!$B$10))))</f>
        <v/>
      </c>
      <c r="AU11" s="29">
        <f>Assumptions!$B$5*(MAX(0,Assumptions!$B$2*EXP(-Assumptions!$B$4*Assumptions!$B$9)*NORMSDIST(((LN(Assumptions!$B$2/$B11)+(Assumptions!$B$3-Assumptions!$B$4+(AU$3/100)^2/2)*Assumptions!$B$9)/((AU$3/100)*Assumptions!$B$10)))-$B11*EXP(-Assumptions!$B$3*Assumptions!$B$9)*NORMSDIST((((LN(Assumptions!$B$2/$B11)+(Assumptions!$B$3-Assumptions!$B$4+(AU$3/100)^2/2)*Assumptions!$B$9)/((AU$3/100)*Assumptions!$B$10))-(AU$3/100)*Assumptions!$B$10))))</f>
        <v/>
      </c>
      <c r="AV11" s="29">
        <f>Assumptions!$B$5*(MAX(0,Assumptions!$B$2*EXP(-Assumptions!$B$4*Assumptions!$B$9)*NORMSDIST(((LN(Assumptions!$B$2/$B11)+(Assumptions!$B$3-Assumptions!$B$4+(AV$3/100)^2/2)*Assumptions!$B$9)/((AV$3/100)*Assumptions!$B$10)))-$B11*EXP(-Assumptions!$B$3*Assumptions!$B$9)*NORMSDIST((((LN(Assumptions!$B$2/$B11)+(Assumptions!$B$3-Assumptions!$B$4+(AV$3/100)^2/2)*Assumptions!$B$9)/((AV$3/100)*Assumptions!$B$10))-(AV$3/100)*Assumptions!$B$10))))</f>
        <v/>
      </c>
    </row>
    <row r="12">
      <c r="A12" s="27" t="inlineStr">
        <is>
          <t>ATM</t>
        </is>
      </c>
      <c r="B12" s="47">
        <f>'BS Engine'!$B$10</f>
        <v/>
      </c>
      <c r="C12" s="28">
        <f>'BS Engine'!$C$10</f>
        <v/>
      </c>
      <c r="D12" s="49">
        <f>Assumptions!$B$5*(MAX(0,Assumptions!$B$2*EXP(-Assumptions!$B$4*Assumptions!$B$9)*NORMSDIST(((LN(Assumptions!$B$2/$B12)+(Assumptions!$B$3-Assumptions!$B$4+(D$3/100)^2/2)*Assumptions!$B$9)/((D$3/100)*Assumptions!$B$10)))-$B12*EXP(-Assumptions!$B$3*Assumptions!$B$9)*NORMSDIST((((LN(Assumptions!$B$2/$B12)+(Assumptions!$B$3-Assumptions!$B$4+(D$3/100)^2/2)*Assumptions!$B$9)/((D$3/100)*Assumptions!$B$10))-(D$3/100)*Assumptions!$B$10))))</f>
        <v/>
      </c>
      <c r="E12" s="29">
        <f>Assumptions!$B$5*(MAX(0,Assumptions!$B$2*EXP(-Assumptions!$B$4*Assumptions!$B$9)*NORMSDIST(((LN(Assumptions!$B$2/$B12)+(Assumptions!$B$3-Assumptions!$B$4+(E$3/100)^2/2)*Assumptions!$B$9)/((E$3/100)*Assumptions!$B$10)))-$B12*EXP(-Assumptions!$B$3*Assumptions!$B$9)*NORMSDIST((((LN(Assumptions!$B$2/$B12)+(Assumptions!$B$3-Assumptions!$B$4+(E$3/100)^2/2)*Assumptions!$B$9)/((E$3/100)*Assumptions!$B$10))-(E$3/100)*Assumptions!$B$10))))</f>
        <v/>
      </c>
      <c r="F12" s="29">
        <f>Assumptions!$B$5*(MAX(0,Assumptions!$B$2*EXP(-Assumptions!$B$4*Assumptions!$B$9)*NORMSDIST(((LN(Assumptions!$B$2/$B12)+(Assumptions!$B$3-Assumptions!$B$4+(F$3/100)^2/2)*Assumptions!$B$9)/((F$3/100)*Assumptions!$B$10)))-$B12*EXP(-Assumptions!$B$3*Assumptions!$B$9)*NORMSDIST((((LN(Assumptions!$B$2/$B12)+(Assumptions!$B$3-Assumptions!$B$4+(F$3/100)^2/2)*Assumptions!$B$9)/((F$3/100)*Assumptions!$B$10))-(F$3/100)*Assumptions!$B$10))))</f>
        <v/>
      </c>
      <c r="G12" s="29">
        <f>Assumptions!$B$5*(MAX(0,Assumptions!$B$2*EXP(-Assumptions!$B$4*Assumptions!$B$9)*NORMSDIST(((LN(Assumptions!$B$2/$B12)+(Assumptions!$B$3-Assumptions!$B$4+(G$3/100)^2/2)*Assumptions!$B$9)/((G$3/100)*Assumptions!$B$10)))-$B12*EXP(-Assumptions!$B$3*Assumptions!$B$9)*NORMSDIST((((LN(Assumptions!$B$2/$B12)+(Assumptions!$B$3-Assumptions!$B$4+(G$3/100)^2/2)*Assumptions!$B$9)/((G$3/100)*Assumptions!$B$10))-(G$3/100)*Assumptions!$B$10))))</f>
        <v/>
      </c>
      <c r="H12" s="29">
        <f>Assumptions!$B$5*(MAX(0,Assumptions!$B$2*EXP(-Assumptions!$B$4*Assumptions!$B$9)*NORMSDIST(((LN(Assumptions!$B$2/$B12)+(Assumptions!$B$3-Assumptions!$B$4+(H$3/100)^2/2)*Assumptions!$B$9)/((H$3/100)*Assumptions!$B$10)))-$B12*EXP(-Assumptions!$B$3*Assumptions!$B$9)*NORMSDIST((((LN(Assumptions!$B$2/$B12)+(Assumptions!$B$3-Assumptions!$B$4+(H$3/100)^2/2)*Assumptions!$B$9)/((H$3/100)*Assumptions!$B$10))-(H$3/100)*Assumptions!$B$10))))</f>
        <v/>
      </c>
      <c r="I12" s="29">
        <f>Assumptions!$B$5*(MAX(0,Assumptions!$B$2*EXP(-Assumptions!$B$4*Assumptions!$B$9)*NORMSDIST(((LN(Assumptions!$B$2/$B12)+(Assumptions!$B$3-Assumptions!$B$4+(I$3/100)^2/2)*Assumptions!$B$9)/((I$3/100)*Assumptions!$B$10)))-$B12*EXP(-Assumptions!$B$3*Assumptions!$B$9)*NORMSDIST((((LN(Assumptions!$B$2/$B12)+(Assumptions!$B$3-Assumptions!$B$4+(I$3/100)^2/2)*Assumptions!$B$9)/((I$3/100)*Assumptions!$B$10))-(I$3/100)*Assumptions!$B$10))))</f>
        <v/>
      </c>
      <c r="J12" s="29">
        <f>Assumptions!$B$5*(MAX(0,Assumptions!$B$2*EXP(-Assumptions!$B$4*Assumptions!$B$9)*NORMSDIST(((LN(Assumptions!$B$2/$B12)+(Assumptions!$B$3-Assumptions!$B$4+(J$3/100)^2/2)*Assumptions!$B$9)/((J$3/100)*Assumptions!$B$10)))-$B12*EXP(-Assumptions!$B$3*Assumptions!$B$9)*NORMSDIST((((LN(Assumptions!$B$2/$B12)+(Assumptions!$B$3-Assumptions!$B$4+(J$3/100)^2/2)*Assumptions!$B$9)/((J$3/100)*Assumptions!$B$10))-(J$3/100)*Assumptions!$B$10))))</f>
        <v/>
      </c>
      <c r="K12" s="29">
        <f>Assumptions!$B$5*(MAX(0,Assumptions!$B$2*EXP(-Assumptions!$B$4*Assumptions!$B$9)*NORMSDIST(((LN(Assumptions!$B$2/$B12)+(Assumptions!$B$3-Assumptions!$B$4+(K$3/100)^2/2)*Assumptions!$B$9)/((K$3/100)*Assumptions!$B$10)))-$B12*EXP(-Assumptions!$B$3*Assumptions!$B$9)*NORMSDIST((((LN(Assumptions!$B$2/$B12)+(Assumptions!$B$3-Assumptions!$B$4+(K$3/100)^2/2)*Assumptions!$B$9)/((K$3/100)*Assumptions!$B$10))-(K$3/100)*Assumptions!$B$10))))</f>
        <v/>
      </c>
      <c r="L12" s="29">
        <f>Assumptions!$B$5*(MAX(0,Assumptions!$B$2*EXP(-Assumptions!$B$4*Assumptions!$B$9)*NORMSDIST(((LN(Assumptions!$B$2/$B12)+(Assumptions!$B$3-Assumptions!$B$4+(L$3/100)^2/2)*Assumptions!$B$9)/((L$3/100)*Assumptions!$B$10)))-$B12*EXP(-Assumptions!$B$3*Assumptions!$B$9)*NORMSDIST((((LN(Assumptions!$B$2/$B12)+(Assumptions!$B$3-Assumptions!$B$4+(L$3/100)^2/2)*Assumptions!$B$9)/((L$3/100)*Assumptions!$B$10))-(L$3/100)*Assumptions!$B$10))))</f>
        <v/>
      </c>
      <c r="M12" s="29">
        <f>Assumptions!$B$5*(MAX(0,Assumptions!$B$2*EXP(-Assumptions!$B$4*Assumptions!$B$9)*NORMSDIST(((LN(Assumptions!$B$2/$B12)+(Assumptions!$B$3-Assumptions!$B$4+(M$3/100)^2/2)*Assumptions!$B$9)/((M$3/100)*Assumptions!$B$10)))-$B12*EXP(-Assumptions!$B$3*Assumptions!$B$9)*NORMSDIST((((LN(Assumptions!$B$2/$B12)+(Assumptions!$B$3-Assumptions!$B$4+(M$3/100)^2/2)*Assumptions!$B$9)/((M$3/100)*Assumptions!$B$10))-(M$3/100)*Assumptions!$B$10))))</f>
        <v/>
      </c>
      <c r="N12" s="29">
        <f>Assumptions!$B$5*(MAX(0,Assumptions!$B$2*EXP(-Assumptions!$B$4*Assumptions!$B$9)*NORMSDIST(((LN(Assumptions!$B$2/$B12)+(Assumptions!$B$3-Assumptions!$B$4+(N$3/100)^2/2)*Assumptions!$B$9)/((N$3/100)*Assumptions!$B$10)))-$B12*EXP(-Assumptions!$B$3*Assumptions!$B$9)*NORMSDIST((((LN(Assumptions!$B$2/$B12)+(Assumptions!$B$3-Assumptions!$B$4+(N$3/100)^2/2)*Assumptions!$B$9)/((N$3/100)*Assumptions!$B$10))-(N$3/100)*Assumptions!$B$10))))</f>
        <v/>
      </c>
      <c r="O12" s="29">
        <f>Assumptions!$B$5*(MAX(0,Assumptions!$B$2*EXP(-Assumptions!$B$4*Assumptions!$B$9)*NORMSDIST(((LN(Assumptions!$B$2/$B12)+(Assumptions!$B$3-Assumptions!$B$4+(O$3/100)^2/2)*Assumptions!$B$9)/((O$3/100)*Assumptions!$B$10)))-$B12*EXP(-Assumptions!$B$3*Assumptions!$B$9)*NORMSDIST((((LN(Assumptions!$B$2/$B12)+(Assumptions!$B$3-Assumptions!$B$4+(O$3/100)^2/2)*Assumptions!$B$9)/((O$3/100)*Assumptions!$B$10))-(O$3/100)*Assumptions!$B$10))))</f>
        <v/>
      </c>
      <c r="P12" s="29">
        <f>Assumptions!$B$5*(MAX(0,Assumptions!$B$2*EXP(-Assumptions!$B$4*Assumptions!$B$9)*NORMSDIST(((LN(Assumptions!$B$2/$B12)+(Assumptions!$B$3-Assumptions!$B$4+(P$3/100)^2/2)*Assumptions!$B$9)/((P$3/100)*Assumptions!$B$10)))-$B12*EXP(-Assumptions!$B$3*Assumptions!$B$9)*NORMSDIST((((LN(Assumptions!$B$2/$B12)+(Assumptions!$B$3-Assumptions!$B$4+(P$3/100)^2/2)*Assumptions!$B$9)/((P$3/100)*Assumptions!$B$10))-(P$3/100)*Assumptions!$B$10))))</f>
        <v/>
      </c>
      <c r="Q12" s="29">
        <f>Assumptions!$B$5*(MAX(0,Assumptions!$B$2*EXP(-Assumptions!$B$4*Assumptions!$B$9)*NORMSDIST(((LN(Assumptions!$B$2/$B12)+(Assumptions!$B$3-Assumptions!$B$4+(Q$3/100)^2/2)*Assumptions!$B$9)/((Q$3/100)*Assumptions!$B$10)))-$B12*EXP(-Assumptions!$B$3*Assumptions!$B$9)*NORMSDIST((((LN(Assumptions!$B$2/$B12)+(Assumptions!$B$3-Assumptions!$B$4+(Q$3/100)^2/2)*Assumptions!$B$9)/((Q$3/100)*Assumptions!$B$10))-(Q$3/100)*Assumptions!$B$10))))</f>
        <v/>
      </c>
      <c r="R12" s="29">
        <f>Assumptions!$B$5*(MAX(0,Assumptions!$B$2*EXP(-Assumptions!$B$4*Assumptions!$B$9)*NORMSDIST(((LN(Assumptions!$B$2/$B12)+(Assumptions!$B$3-Assumptions!$B$4+(R$3/100)^2/2)*Assumptions!$B$9)/((R$3/100)*Assumptions!$B$10)))-$B12*EXP(-Assumptions!$B$3*Assumptions!$B$9)*NORMSDIST((((LN(Assumptions!$B$2/$B12)+(Assumptions!$B$3-Assumptions!$B$4+(R$3/100)^2/2)*Assumptions!$B$9)/((R$3/100)*Assumptions!$B$10))-(R$3/100)*Assumptions!$B$10))))</f>
        <v/>
      </c>
      <c r="S12" s="29">
        <f>Assumptions!$B$5*(MAX(0,Assumptions!$B$2*EXP(-Assumptions!$B$4*Assumptions!$B$9)*NORMSDIST(((LN(Assumptions!$B$2/$B12)+(Assumptions!$B$3-Assumptions!$B$4+(S$3/100)^2/2)*Assumptions!$B$9)/((S$3/100)*Assumptions!$B$10)))-$B12*EXP(-Assumptions!$B$3*Assumptions!$B$9)*NORMSDIST((((LN(Assumptions!$B$2/$B12)+(Assumptions!$B$3-Assumptions!$B$4+(S$3/100)^2/2)*Assumptions!$B$9)/((S$3/100)*Assumptions!$B$10))-(S$3/100)*Assumptions!$B$10))))</f>
        <v/>
      </c>
      <c r="T12" s="29">
        <f>Assumptions!$B$5*(MAX(0,Assumptions!$B$2*EXP(-Assumptions!$B$4*Assumptions!$B$9)*NORMSDIST(((LN(Assumptions!$B$2/$B12)+(Assumptions!$B$3-Assumptions!$B$4+(T$3/100)^2/2)*Assumptions!$B$9)/((T$3/100)*Assumptions!$B$10)))-$B12*EXP(-Assumptions!$B$3*Assumptions!$B$9)*NORMSDIST((((LN(Assumptions!$B$2/$B12)+(Assumptions!$B$3-Assumptions!$B$4+(T$3/100)^2/2)*Assumptions!$B$9)/((T$3/100)*Assumptions!$B$10))-(T$3/100)*Assumptions!$B$10))))</f>
        <v/>
      </c>
      <c r="U12" s="29">
        <f>Assumptions!$B$5*(MAX(0,Assumptions!$B$2*EXP(-Assumptions!$B$4*Assumptions!$B$9)*NORMSDIST(((LN(Assumptions!$B$2/$B12)+(Assumptions!$B$3-Assumptions!$B$4+(U$3/100)^2/2)*Assumptions!$B$9)/((U$3/100)*Assumptions!$B$10)))-$B12*EXP(-Assumptions!$B$3*Assumptions!$B$9)*NORMSDIST((((LN(Assumptions!$B$2/$B12)+(Assumptions!$B$3-Assumptions!$B$4+(U$3/100)^2/2)*Assumptions!$B$9)/((U$3/100)*Assumptions!$B$10))-(U$3/100)*Assumptions!$B$10))))</f>
        <v/>
      </c>
      <c r="V12" s="29">
        <f>Assumptions!$B$5*(MAX(0,Assumptions!$B$2*EXP(-Assumptions!$B$4*Assumptions!$B$9)*NORMSDIST(((LN(Assumptions!$B$2/$B12)+(Assumptions!$B$3-Assumptions!$B$4+(V$3/100)^2/2)*Assumptions!$B$9)/((V$3/100)*Assumptions!$B$10)))-$B12*EXP(-Assumptions!$B$3*Assumptions!$B$9)*NORMSDIST((((LN(Assumptions!$B$2/$B12)+(Assumptions!$B$3-Assumptions!$B$4+(V$3/100)^2/2)*Assumptions!$B$9)/((V$3/100)*Assumptions!$B$10))-(V$3/100)*Assumptions!$B$10))))</f>
        <v/>
      </c>
      <c r="W12" s="29">
        <f>Assumptions!$B$5*(MAX(0,Assumptions!$B$2*EXP(-Assumptions!$B$4*Assumptions!$B$9)*NORMSDIST(((LN(Assumptions!$B$2/$B12)+(Assumptions!$B$3-Assumptions!$B$4+(W$3/100)^2/2)*Assumptions!$B$9)/((W$3/100)*Assumptions!$B$10)))-$B12*EXP(-Assumptions!$B$3*Assumptions!$B$9)*NORMSDIST((((LN(Assumptions!$B$2/$B12)+(Assumptions!$B$3-Assumptions!$B$4+(W$3/100)^2/2)*Assumptions!$B$9)/((W$3/100)*Assumptions!$B$10))-(W$3/100)*Assumptions!$B$10))))</f>
        <v/>
      </c>
      <c r="X12" s="29">
        <f>Assumptions!$B$5*(MAX(0,Assumptions!$B$2*EXP(-Assumptions!$B$4*Assumptions!$B$9)*NORMSDIST(((LN(Assumptions!$B$2/$B12)+(Assumptions!$B$3-Assumptions!$B$4+(X$3/100)^2/2)*Assumptions!$B$9)/((X$3/100)*Assumptions!$B$10)))-$B12*EXP(-Assumptions!$B$3*Assumptions!$B$9)*NORMSDIST((((LN(Assumptions!$B$2/$B12)+(Assumptions!$B$3-Assumptions!$B$4+(X$3/100)^2/2)*Assumptions!$B$9)/((X$3/100)*Assumptions!$B$10))-(X$3/100)*Assumptions!$B$10))))</f>
        <v/>
      </c>
      <c r="Y12" s="29">
        <f>Assumptions!$B$5*(MAX(0,Assumptions!$B$2*EXP(-Assumptions!$B$4*Assumptions!$B$9)*NORMSDIST(((LN(Assumptions!$B$2/$B12)+(Assumptions!$B$3-Assumptions!$B$4+(Y$3/100)^2/2)*Assumptions!$B$9)/((Y$3/100)*Assumptions!$B$10)))-$B12*EXP(-Assumptions!$B$3*Assumptions!$B$9)*NORMSDIST((((LN(Assumptions!$B$2/$B12)+(Assumptions!$B$3-Assumptions!$B$4+(Y$3/100)^2/2)*Assumptions!$B$9)/((Y$3/100)*Assumptions!$B$10))-(Y$3/100)*Assumptions!$B$10))))</f>
        <v/>
      </c>
      <c r="Z12" s="29">
        <f>Assumptions!$B$5*(MAX(0,Assumptions!$B$2*EXP(-Assumptions!$B$4*Assumptions!$B$9)*NORMSDIST(((LN(Assumptions!$B$2/$B12)+(Assumptions!$B$3-Assumptions!$B$4+(Z$3/100)^2/2)*Assumptions!$B$9)/((Z$3/100)*Assumptions!$B$10)))-$B12*EXP(-Assumptions!$B$3*Assumptions!$B$9)*NORMSDIST((((LN(Assumptions!$B$2/$B12)+(Assumptions!$B$3-Assumptions!$B$4+(Z$3/100)^2/2)*Assumptions!$B$9)/((Z$3/100)*Assumptions!$B$10))-(Z$3/100)*Assumptions!$B$10))))</f>
        <v/>
      </c>
      <c r="AA12" s="29">
        <f>Assumptions!$B$5*(MAX(0,Assumptions!$B$2*EXP(-Assumptions!$B$4*Assumptions!$B$9)*NORMSDIST(((LN(Assumptions!$B$2/$B12)+(Assumptions!$B$3-Assumptions!$B$4+(AA$3/100)^2/2)*Assumptions!$B$9)/((AA$3/100)*Assumptions!$B$10)))-$B12*EXP(-Assumptions!$B$3*Assumptions!$B$9)*NORMSDIST((((LN(Assumptions!$B$2/$B12)+(Assumptions!$B$3-Assumptions!$B$4+(AA$3/100)^2/2)*Assumptions!$B$9)/((AA$3/100)*Assumptions!$B$10))-(AA$3/100)*Assumptions!$B$10))))</f>
        <v/>
      </c>
      <c r="AB12" s="29">
        <f>Assumptions!$B$5*(MAX(0,Assumptions!$B$2*EXP(-Assumptions!$B$4*Assumptions!$B$9)*NORMSDIST(((LN(Assumptions!$B$2/$B12)+(Assumptions!$B$3-Assumptions!$B$4+(AB$3/100)^2/2)*Assumptions!$B$9)/((AB$3/100)*Assumptions!$B$10)))-$B12*EXP(-Assumptions!$B$3*Assumptions!$B$9)*NORMSDIST((((LN(Assumptions!$B$2/$B12)+(Assumptions!$B$3-Assumptions!$B$4+(AB$3/100)^2/2)*Assumptions!$B$9)/((AB$3/100)*Assumptions!$B$10))-(AB$3/100)*Assumptions!$B$10))))</f>
        <v/>
      </c>
      <c r="AC12" s="29">
        <f>Assumptions!$B$5*(MAX(0,Assumptions!$B$2*EXP(-Assumptions!$B$4*Assumptions!$B$9)*NORMSDIST(((LN(Assumptions!$B$2/$B12)+(Assumptions!$B$3-Assumptions!$B$4+(AC$3/100)^2/2)*Assumptions!$B$9)/((AC$3/100)*Assumptions!$B$10)))-$B12*EXP(-Assumptions!$B$3*Assumptions!$B$9)*NORMSDIST((((LN(Assumptions!$B$2/$B12)+(Assumptions!$B$3-Assumptions!$B$4+(AC$3/100)^2/2)*Assumptions!$B$9)/((AC$3/100)*Assumptions!$B$10))-(AC$3/100)*Assumptions!$B$10))))</f>
        <v/>
      </c>
      <c r="AD12" s="29">
        <f>Assumptions!$B$5*(MAX(0,Assumptions!$B$2*EXP(-Assumptions!$B$4*Assumptions!$B$9)*NORMSDIST(((LN(Assumptions!$B$2/$B12)+(Assumptions!$B$3-Assumptions!$B$4+(AD$3/100)^2/2)*Assumptions!$B$9)/((AD$3/100)*Assumptions!$B$10)))-$B12*EXP(-Assumptions!$B$3*Assumptions!$B$9)*NORMSDIST((((LN(Assumptions!$B$2/$B12)+(Assumptions!$B$3-Assumptions!$B$4+(AD$3/100)^2/2)*Assumptions!$B$9)/((AD$3/100)*Assumptions!$B$10))-(AD$3/100)*Assumptions!$B$10))))</f>
        <v/>
      </c>
      <c r="AE12" s="29">
        <f>Assumptions!$B$5*(MAX(0,Assumptions!$B$2*EXP(-Assumptions!$B$4*Assumptions!$B$9)*NORMSDIST(((LN(Assumptions!$B$2/$B12)+(Assumptions!$B$3-Assumptions!$B$4+(AE$3/100)^2/2)*Assumptions!$B$9)/((AE$3/100)*Assumptions!$B$10)))-$B12*EXP(-Assumptions!$B$3*Assumptions!$B$9)*NORMSDIST((((LN(Assumptions!$B$2/$B12)+(Assumptions!$B$3-Assumptions!$B$4+(AE$3/100)^2/2)*Assumptions!$B$9)/((AE$3/100)*Assumptions!$B$10))-(AE$3/100)*Assumptions!$B$10))))</f>
        <v/>
      </c>
      <c r="AF12" s="29">
        <f>Assumptions!$B$5*(MAX(0,Assumptions!$B$2*EXP(-Assumptions!$B$4*Assumptions!$B$9)*NORMSDIST(((LN(Assumptions!$B$2/$B12)+(Assumptions!$B$3-Assumptions!$B$4+(AF$3/100)^2/2)*Assumptions!$B$9)/((AF$3/100)*Assumptions!$B$10)))-$B12*EXP(-Assumptions!$B$3*Assumptions!$B$9)*NORMSDIST((((LN(Assumptions!$B$2/$B12)+(Assumptions!$B$3-Assumptions!$B$4+(AF$3/100)^2/2)*Assumptions!$B$9)/((AF$3/100)*Assumptions!$B$10))-(AF$3/100)*Assumptions!$B$10))))</f>
        <v/>
      </c>
      <c r="AG12" s="29">
        <f>Assumptions!$B$5*(MAX(0,Assumptions!$B$2*EXP(-Assumptions!$B$4*Assumptions!$B$9)*NORMSDIST(((LN(Assumptions!$B$2/$B12)+(Assumptions!$B$3-Assumptions!$B$4+(AG$3/100)^2/2)*Assumptions!$B$9)/((AG$3/100)*Assumptions!$B$10)))-$B12*EXP(-Assumptions!$B$3*Assumptions!$B$9)*NORMSDIST((((LN(Assumptions!$B$2/$B12)+(Assumptions!$B$3-Assumptions!$B$4+(AG$3/100)^2/2)*Assumptions!$B$9)/((AG$3/100)*Assumptions!$B$10))-(AG$3/100)*Assumptions!$B$10))))</f>
        <v/>
      </c>
      <c r="AH12" s="29">
        <f>Assumptions!$B$5*(MAX(0,Assumptions!$B$2*EXP(-Assumptions!$B$4*Assumptions!$B$9)*NORMSDIST(((LN(Assumptions!$B$2/$B12)+(Assumptions!$B$3-Assumptions!$B$4+(AH$3/100)^2/2)*Assumptions!$B$9)/((AH$3/100)*Assumptions!$B$10)))-$B12*EXP(-Assumptions!$B$3*Assumptions!$B$9)*NORMSDIST((((LN(Assumptions!$B$2/$B12)+(Assumptions!$B$3-Assumptions!$B$4+(AH$3/100)^2/2)*Assumptions!$B$9)/((AH$3/100)*Assumptions!$B$10))-(AH$3/100)*Assumptions!$B$10))))</f>
        <v/>
      </c>
      <c r="AI12" s="29">
        <f>Assumptions!$B$5*(MAX(0,Assumptions!$B$2*EXP(-Assumptions!$B$4*Assumptions!$B$9)*NORMSDIST(((LN(Assumptions!$B$2/$B12)+(Assumptions!$B$3-Assumptions!$B$4+(AI$3/100)^2/2)*Assumptions!$B$9)/((AI$3/100)*Assumptions!$B$10)))-$B12*EXP(-Assumptions!$B$3*Assumptions!$B$9)*NORMSDIST((((LN(Assumptions!$B$2/$B12)+(Assumptions!$B$3-Assumptions!$B$4+(AI$3/100)^2/2)*Assumptions!$B$9)/((AI$3/100)*Assumptions!$B$10))-(AI$3/100)*Assumptions!$B$10))))</f>
        <v/>
      </c>
      <c r="AJ12" s="29">
        <f>Assumptions!$B$5*(MAX(0,Assumptions!$B$2*EXP(-Assumptions!$B$4*Assumptions!$B$9)*NORMSDIST(((LN(Assumptions!$B$2/$B12)+(Assumptions!$B$3-Assumptions!$B$4+(AJ$3/100)^2/2)*Assumptions!$B$9)/((AJ$3/100)*Assumptions!$B$10)))-$B12*EXP(-Assumptions!$B$3*Assumptions!$B$9)*NORMSDIST((((LN(Assumptions!$B$2/$B12)+(Assumptions!$B$3-Assumptions!$B$4+(AJ$3/100)^2/2)*Assumptions!$B$9)/((AJ$3/100)*Assumptions!$B$10))-(AJ$3/100)*Assumptions!$B$10))))</f>
        <v/>
      </c>
      <c r="AK12" s="29">
        <f>Assumptions!$B$5*(MAX(0,Assumptions!$B$2*EXP(-Assumptions!$B$4*Assumptions!$B$9)*NORMSDIST(((LN(Assumptions!$B$2/$B12)+(Assumptions!$B$3-Assumptions!$B$4+(AK$3/100)^2/2)*Assumptions!$B$9)/((AK$3/100)*Assumptions!$B$10)))-$B12*EXP(-Assumptions!$B$3*Assumptions!$B$9)*NORMSDIST((((LN(Assumptions!$B$2/$B12)+(Assumptions!$B$3-Assumptions!$B$4+(AK$3/100)^2/2)*Assumptions!$B$9)/((AK$3/100)*Assumptions!$B$10))-(AK$3/100)*Assumptions!$B$10))))</f>
        <v/>
      </c>
      <c r="AL12" s="29">
        <f>Assumptions!$B$5*(MAX(0,Assumptions!$B$2*EXP(-Assumptions!$B$4*Assumptions!$B$9)*NORMSDIST(((LN(Assumptions!$B$2/$B12)+(Assumptions!$B$3-Assumptions!$B$4+(AL$3/100)^2/2)*Assumptions!$B$9)/((AL$3/100)*Assumptions!$B$10)))-$B12*EXP(-Assumptions!$B$3*Assumptions!$B$9)*NORMSDIST((((LN(Assumptions!$B$2/$B12)+(Assumptions!$B$3-Assumptions!$B$4+(AL$3/100)^2/2)*Assumptions!$B$9)/((AL$3/100)*Assumptions!$B$10))-(AL$3/100)*Assumptions!$B$10))))</f>
        <v/>
      </c>
      <c r="AM12" s="29">
        <f>Assumptions!$B$5*(MAX(0,Assumptions!$B$2*EXP(-Assumptions!$B$4*Assumptions!$B$9)*NORMSDIST(((LN(Assumptions!$B$2/$B12)+(Assumptions!$B$3-Assumptions!$B$4+(AM$3/100)^2/2)*Assumptions!$B$9)/((AM$3/100)*Assumptions!$B$10)))-$B12*EXP(-Assumptions!$B$3*Assumptions!$B$9)*NORMSDIST((((LN(Assumptions!$B$2/$B12)+(Assumptions!$B$3-Assumptions!$B$4+(AM$3/100)^2/2)*Assumptions!$B$9)/((AM$3/100)*Assumptions!$B$10))-(AM$3/100)*Assumptions!$B$10))))</f>
        <v/>
      </c>
      <c r="AN12" s="29">
        <f>Assumptions!$B$5*(MAX(0,Assumptions!$B$2*EXP(-Assumptions!$B$4*Assumptions!$B$9)*NORMSDIST(((LN(Assumptions!$B$2/$B12)+(Assumptions!$B$3-Assumptions!$B$4+(AN$3/100)^2/2)*Assumptions!$B$9)/((AN$3/100)*Assumptions!$B$10)))-$B12*EXP(-Assumptions!$B$3*Assumptions!$B$9)*NORMSDIST((((LN(Assumptions!$B$2/$B12)+(Assumptions!$B$3-Assumptions!$B$4+(AN$3/100)^2/2)*Assumptions!$B$9)/((AN$3/100)*Assumptions!$B$10))-(AN$3/100)*Assumptions!$B$10))))</f>
        <v/>
      </c>
      <c r="AO12" s="29">
        <f>Assumptions!$B$5*(MAX(0,Assumptions!$B$2*EXP(-Assumptions!$B$4*Assumptions!$B$9)*NORMSDIST(((LN(Assumptions!$B$2/$B12)+(Assumptions!$B$3-Assumptions!$B$4+(AO$3/100)^2/2)*Assumptions!$B$9)/((AO$3/100)*Assumptions!$B$10)))-$B12*EXP(-Assumptions!$B$3*Assumptions!$B$9)*NORMSDIST((((LN(Assumptions!$B$2/$B12)+(Assumptions!$B$3-Assumptions!$B$4+(AO$3/100)^2/2)*Assumptions!$B$9)/((AO$3/100)*Assumptions!$B$10))-(AO$3/100)*Assumptions!$B$10))))</f>
        <v/>
      </c>
      <c r="AP12" s="29">
        <f>Assumptions!$B$5*(MAX(0,Assumptions!$B$2*EXP(-Assumptions!$B$4*Assumptions!$B$9)*NORMSDIST(((LN(Assumptions!$B$2/$B12)+(Assumptions!$B$3-Assumptions!$B$4+(AP$3/100)^2/2)*Assumptions!$B$9)/((AP$3/100)*Assumptions!$B$10)))-$B12*EXP(-Assumptions!$B$3*Assumptions!$B$9)*NORMSDIST((((LN(Assumptions!$B$2/$B12)+(Assumptions!$B$3-Assumptions!$B$4+(AP$3/100)^2/2)*Assumptions!$B$9)/((AP$3/100)*Assumptions!$B$10))-(AP$3/100)*Assumptions!$B$10))))</f>
        <v/>
      </c>
      <c r="AQ12" s="29">
        <f>Assumptions!$B$5*(MAX(0,Assumptions!$B$2*EXP(-Assumptions!$B$4*Assumptions!$B$9)*NORMSDIST(((LN(Assumptions!$B$2/$B12)+(Assumptions!$B$3-Assumptions!$B$4+(AQ$3/100)^2/2)*Assumptions!$B$9)/((AQ$3/100)*Assumptions!$B$10)))-$B12*EXP(-Assumptions!$B$3*Assumptions!$B$9)*NORMSDIST((((LN(Assumptions!$B$2/$B12)+(Assumptions!$B$3-Assumptions!$B$4+(AQ$3/100)^2/2)*Assumptions!$B$9)/((AQ$3/100)*Assumptions!$B$10))-(AQ$3/100)*Assumptions!$B$10))))</f>
        <v/>
      </c>
      <c r="AR12" s="29">
        <f>Assumptions!$B$5*(MAX(0,Assumptions!$B$2*EXP(-Assumptions!$B$4*Assumptions!$B$9)*NORMSDIST(((LN(Assumptions!$B$2/$B12)+(Assumptions!$B$3-Assumptions!$B$4+(AR$3/100)^2/2)*Assumptions!$B$9)/((AR$3/100)*Assumptions!$B$10)))-$B12*EXP(-Assumptions!$B$3*Assumptions!$B$9)*NORMSDIST((((LN(Assumptions!$B$2/$B12)+(Assumptions!$B$3-Assumptions!$B$4+(AR$3/100)^2/2)*Assumptions!$B$9)/((AR$3/100)*Assumptions!$B$10))-(AR$3/100)*Assumptions!$B$10))))</f>
        <v/>
      </c>
      <c r="AS12" s="29">
        <f>Assumptions!$B$5*(MAX(0,Assumptions!$B$2*EXP(-Assumptions!$B$4*Assumptions!$B$9)*NORMSDIST(((LN(Assumptions!$B$2/$B12)+(Assumptions!$B$3-Assumptions!$B$4+(AS$3/100)^2/2)*Assumptions!$B$9)/((AS$3/100)*Assumptions!$B$10)))-$B12*EXP(-Assumptions!$B$3*Assumptions!$B$9)*NORMSDIST((((LN(Assumptions!$B$2/$B12)+(Assumptions!$B$3-Assumptions!$B$4+(AS$3/100)^2/2)*Assumptions!$B$9)/((AS$3/100)*Assumptions!$B$10))-(AS$3/100)*Assumptions!$B$10))))</f>
        <v/>
      </c>
      <c r="AT12" s="29">
        <f>Assumptions!$B$5*(MAX(0,Assumptions!$B$2*EXP(-Assumptions!$B$4*Assumptions!$B$9)*NORMSDIST(((LN(Assumptions!$B$2/$B12)+(Assumptions!$B$3-Assumptions!$B$4+(AT$3/100)^2/2)*Assumptions!$B$9)/((AT$3/100)*Assumptions!$B$10)))-$B12*EXP(-Assumptions!$B$3*Assumptions!$B$9)*NORMSDIST((((LN(Assumptions!$B$2/$B12)+(Assumptions!$B$3-Assumptions!$B$4+(AT$3/100)^2/2)*Assumptions!$B$9)/((AT$3/100)*Assumptions!$B$10))-(AT$3/100)*Assumptions!$B$10))))</f>
        <v/>
      </c>
      <c r="AU12" s="29">
        <f>Assumptions!$B$5*(MAX(0,Assumptions!$B$2*EXP(-Assumptions!$B$4*Assumptions!$B$9)*NORMSDIST(((LN(Assumptions!$B$2/$B12)+(Assumptions!$B$3-Assumptions!$B$4+(AU$3/100)^2/2)*Assumptions!$B$9)/((AU$3/100)*Assumptions!$B$10)))-$B12*EXP(-Assumptions!$B$3*Assumptions!$B$9)*NORMSDIST((((LN(Assumptions!$B$2/$B12)+(Assumptions!$B$3-Assumptions!$B$4+(AU$3/100)^2/2)*Assumptions!$B$9)/((AU$3/100)*Assumptions!$B$10))-(AU$3/100)*Assumptions!$B$10))))</f>
        <v/>
      </c>
      <c r="AV12" s="29">
        <f>Assumptions!$B$5*(MAX(0,Assumptions!$B$2*EXP(-Assumptions!$B$4*Assumptions!$B$9)*NORMSDIST(((LN(Assumptions!$B$2/$B12)+(Assumptions!$B$3-Assumptions!$B$4+(AV$3/100)^2/2)*Assumptions!$B$9)/((AV$3/100)*Assumptions!$B$10)))-$B12*EXP(-Assumptions!$B$3*Assumptions!$B$9)*NORMSDIST((((LN(Assumptions!$B$2/$B12)+(Assumptions!$B$3-Assumptions!$B$4+(AV$3/100)^2/2)*Assumptions!$B$9)/((AV$3/100)*Assumptions!$B$10))-(AV$3/100)*Assumptions!$B$10))))</f>
        <v/>
      </c>
    </row>
    <row r="13">
      <c r="A13" s="27" t="inlineStr">
        <is>
          <t>+0.25%</t>
        </is>
      </c>
      <c r="B13" s="47">
        <f>'BS Engine'!$B$11</f>
        <v/>
      </c>
      <c r="C13" s="28">
        <f>'BS Engine'!$C$11</f>
        <v/>
      </c>
      <c r="D13" s="49">
        <f>Assumptions!$B$5*(MAX(0,Assumptions!$B$2*EXP(-Assumptions!$B$4*Assumptions!$B$9)*NORMSDIST(((LN(Assumptions!$B$2/$B13)+(Assumptions!$B$3-Assumptions!$B$4+(D$3/100)^2/2)*Assumptions!$B$9)/((D$3/100)*Assumptions!$B$10)))-$B13*EXP(-Assumptions!$B$3*Assumptions!$B$9)*NORMSDIST((((LN(Assumptions!$B$2/$B13)+(Assumptions!$B$3-Assumptions!$B$4+(D$3/100)^2/2)*Assumptions!$B$9)/((D$3/100)*Assumptions!$B$10))-(D$3/100)*Assumptions!$B$10))))</f>
        <v/>
      </c>
      <c r="E13" s="29">
        <f>Assumptions!$B$5*(MAX(0,Assumptions!$B$2*EXP(-Assumptions!$B$4*Assumptions!$B$9)*NORMSDIST(((LN(Assumptions!$B$2/$B13)+(Assumptions!$B$3-Assumptions!$B$4+(E$3/100)^2/2)*Assumptions!$B$9)/((E$3/100)*Assumptions!$B$10)))-$B13*EXP(-Assumptions!$B$3*Assumptions!$B$9)*NORMSDIST((((LN(Assumptions!$B$2/$B13)+(Assumptions!$B$3-Assumptions!$B$4+(E$3/100)^2/2)*Assumptions!$B$9)/((E$3/100)*Assumptions!$B$10))-(E$3/100)*Assumptions!$B$10))))</f>
        <v/>
      </c>
      <c r="F13" s="29">
        <f>Assumptions!$B$5*(MAX(0,Assumptions!$B$2*EXP(-Assumptions!$B$4*Assumptions!$B$9)*NORMSDIST(((LN(Assumptions!$B$2/$B13)+(Assumptions!$B$3-Assumptions!$B$4+(F$3/100)^2/2)*Assumptions!$B$9)/((F$3/100)*Assumptions!$B$10)))-$B13*EXP(-Assumptions!$B$3*Assumptions!$B$9)*NORMSDIST((((LN(Assumptions!$B$2/$B13)+(Assumptions!$B$3-Assumptions!$B$4+(F$3/100)^2/2)*Assumptions!$B$9)/((F$3/100)*Assumptions!$B$10))-(F$3/100)*Assumptions!$B$10))))</f>
        <v/>
      </c>
      <c r="G13" s="29">
        <f>Assumptions!$B$5*(MAX(0,Assumptions!$B$2*EXP(-Assumptions!$B$4*Assumptions!$B$9)*NORMSDIST(((LN(Assumptions!$B$2/$B13)+(Assumptions!$B$3-Assumptions!$B$4+(G$3/100)^2/2)*Assumptions!$B$9)/((G$3/100)*Assumptions!$B$10)))-$B13*EXP(-Assumptions!$B$3*Assumptions!$B$9)*NORMSDIST((((LN(Assumptions!$B$2/$B13)+(Assumptions!$B$3-Assumptions!$B$4+(G$3/100)^2/2)*Assumptions!$B$9)/((G$3/100)*Assumptions!$B$10))-(G$3/100)*Assumptions!$B$10))))</f>
        <v/>
      </c>
      <c r="H13" s="29">
        <f>Assumptions!$B$5*(MAX(0,Assumptions!$B$2*EXP(-Assumptions!$B$4*Assumptions!$B$9)*NORMSDIST(((LN(Assumptions!$B$2/$B13)+(Assumptions!$B$3-Assumptions!$B$4+(H$3/100)^2/2)*Assumptions!$B$9)/((H$3/100)*Assumptions!$B$10)))-$B13*EXP(-Assumptions!$B$3*Assumptions!$B$9)*NORMSDIST((((LN(Assumptions!$B$2/$B13)+(Assumptions!$B$3-Assumptions!$B$4+(H$3/100)^2/2)*Assumptions!$B$9)/((H$3/100)*Assumptions!$B$10))-(H$3/100)*Assumptions!$B$10))))</f>
        <v/>
      </c>
      <c r="I13" s="29">
        <f>Assumptions!$B$5*(MAX(0,Assumptions!$B$2*EXP(-Assumptions!$B$4*Assumptions!$B$9)*NORMSDIST(((LN(Assumptions!$B$2/$B13)+(Assumptions!$B$3-Assumptions!$B$4+(I$3/100)^2/2)*Assumptions!$B$9)/((I$3/100)*Assumptions!$B$10)))-$B13*EXP(-Assumptions!$B$3*Assumptions!$B$9)*NORMSDIST((((LN(Assumptions!$B$2/$B13)+(Assumptions!$B$3-Assumptions!$B$4+(I$3/100)^2/2)*Assumptions!$B$9)/((I$3/100)*Assumptions!$B$10))-(I$3/100)*Assumptions!$B$10))))</f>
        <v/>
      </c>
      <c r="J13" s="29">
        <f>Assumptions!$B$5*(MAX(0,Assumptions!$B$2*EXP(-Assumptions!$B$4*Assumptions!$B$9)*NORMSDIST(((LN(Assumptions!$B$2/$B13)+(Assumptions!$B$3-Assumptions!$B$4+(J$3/100)^2/2)*Assumptions!$B$9)/((J$3/100)*Assumptions!$B$10)))-$B13*EXP(-Assumptions!$B$3*Assumptions!$B$9)*NORMSDIST((((LN(Assumptions!$B$2/$B13)+(Assumptions!$B$3-Assumptions!$B$4+(J$3/100)^2/2)*Assumptions!$B$9)/((J$3/100)*Assumptions!$B$10))-(J$3/100)*Assumptions!$B$10))))</f>
        <v/>
      </c>
      <c r="K13" s="29">
        <f>Assumptions!$B$5*(MAX(0,Assumptions!$B$2*EXP(-Assumptions!$B$4*Assumptions!$B$9)*NORMSDIST(((LN(Assumptions!$B$2/$B13)+(Assumptions!$B$3-Assumptions!$B$4+(K$3/100)^2/2)*Assumptions!$B$9)/((K$3/100)*Assumptions!$B$10)))-$B13*EXP(-Assumptions!$B$3*Assumptions!$B$9)*NORMSDIST((((LN(Assumptions!$B$2/$B13)+(Assumptions!$B$3-Assumptions!$B$4+(K$3/100)^2/2)*Assumptions!$B$9)/((K$3/100)*Assumptions!$B$10))-(K$3/100)*Assumptions!$B$10))))</f>
        <v/>
      </c>
      <c r="L13" s="29">
        <f>Assumptions!$B$5*(MAX(0,Assumptions!$B$2*EXP(-Assumptions!$B$4*Assumptions!$B$9)*NORMSDIST(((LN(Assumptions!$B$2/$B13)+(Assumptions!$B$3-Assumptions!$B$4+(L$3/100)^2/2)*Assumptions!$B$9)/((L$3/100)*Assumptions!$B$10)))-$B13*EXP(-Assumptions!$B$3*Assumptions!$B$9)*NORMSDIST((((LN(Assumptions!$B$2/$B13)+(Assumptions!$B$3-Assumptions!$B$4+(L$3/100)^2/2)*Assumptions!$B$9)/((L$3/100)*Assumptions!$B$10))-(L$3/100)*Assumptions!$B$10))))</f>
        <v/>
      </c>
      <c r="M13" s="29">
        <f>Assumptions!$B$5*(MAX(0,Assumptions!$B$2*EXP(-Assumptions!$B$4*Assumptions!$B$9)*NORMSDIST(((LN(Assumptions!$B$2/$B13)+(Assumptions!$B$3-Assumptions!$B$4+(M$3/100)^2/2)*Assumptions!$B$9)/((M$3/100)*Assumptions!$B$10)))-$B13*EXP(-Assumptions!$B$3*Assumptions!$B$9)*NORMSDIST((((LN(Assumptions!$B$2/$B13)+(Assumptions!$B$3-Assumptions!$B$4+(M$3/100)^2/2)*Assumptions!$B$9)/((M$3/100)*Assumptions!$B$10))-(M$3/100)*Assumptions!$B$10))))</f>
        <v/>
      </c>
      <c r="N13" s="29">
        <f>Assumptions!$B$5*(MAX(0,Assumptions!$B$2*EXP(-Assumptions!$B$4*Assumptions!$B$9)*NORMSDIST(((LN(Assumptions!$B$2/$B13)+(Assumptions!$B$3-Assumptions!$B$4+(N$3/100)^2/2)*Assumptions!$B$9)/((N$3/100)*Assumptions!$B$10)))-$B13*EXP(-Assumptions!$B$3*Assumptions!$B$9)*NORMSDIST((((LN(Assumptions!$B$2/$B13)+(Assumptions!$B$3-Assumptions!$B$4+(N$3/100)^2/2)*Assumptions!$B$9)/((N$3/100)*Assumptions!$B$10))-(N$3/100)*Assumptions!$B$10))))</f>
        <v/>
      </c>
      <c r="O13" s="29">
        <f>Assumptions!$B$5*(MAX(0,Assumptions!$B$2*EXP(-Assumptions!$B$4*Assumptions!$B$9)*NORMSDIST(((LN(Assumptions!$B$2/$B13)+(Assumptions!$B$3-Assumptions!$B$4+(O$3/100)^2/2)*Assumptions!$B$9)/((O$3/100)*Assumptions!$B$10)))-$B13*EXP(-Assumptions!$B$3*Assumptions!$B$9)*NORMSDIST((((LN(Assumptions!$B$2/$B13)+(Assumptions!$B$3-Assumptions!$B$4+(O$3/100)^2/2)*Assumptions!$B$9)/((O$3/100)*Assumptions!$B$10))-(O$3/100)*Assumptions!$B$10))))</f>
        <v/>
      </c>
      <c r="P13" s="29">
        <f>Assumptions!$B$5*(MAX(0,Assumptions!$B$2*EXP(-Assumptions!$B$4*Assumptions!$B$9)*NORMSDIST(((LN(Assumptions!$B$2/$B13)+(Assumptions!$B$3-Assumptions!$B$4+(P$3/100)^2/2)*Assumptions!$B$9)/((P$3/100)*Assumptions!$B$10)))-$B13*EXP(-Assumptions!$B$3*Assumptions!$B$9)*NORMSDIST((((LN(Assumptions!$B$2/$B13)+(Assumptions!$B$3-Assumptions!$B$4+(P$3/100)^2/2)*Assumptions!$B$9)/((P$3/100)*Assumptions!$B$10))-(P$3/100)*Assumptions!$B$10))))</f>
        <v/>
      </c>
      <c r="Q13" s="29">
        <f>Assumptions!$B$5*(MAX(0,Assumptions!$B$2*EXP(-Assumptions!$B$4*Assumptions!$B$9)*NORMSDIST(((LN(Assumptions!$B$2/$B13)+(Assumptions!$B$3-Assumptions!$B$4+(Q$3/100)^2/2)*Assumptions!$B$9)/((Q$3/100)*Assumptions!$B$10)))-$B13*EXP(-Assumptions!$B$3*Assumptions!$B$9)*NORMSDIST((((LN(Assumptions!$B$2/$B13)+(Assumptions!$B$3-Assumptions!$B$4+(Q$3/100)^2/2)*Assumptions!$B$9)/((Q$3/100)*Assumptions!$B$10))-(Q$3/100)*Assumptions!$B$10))))</f>
        <v/>
      </c>
      <c r="R13" s="29">
        <f>Assumptions!$B$5*(MAX(0,Assumptions!$B$2*EXP(-Assumptions!$B$4*Assumptions!$B$9)*NORMSDIST(((LN(Assumptions!$B$2/$B13)+(Assumptions!$B$3-Assumptions!$B$4+(R$3/100)^2/2)*Assumptions!$B$9)/((R$3/100)*Assumptions!$B$10)))-$B13*EXP(-Assumptions!$B$3*Assumptions!$B$9)*NORMSDIST((((LN(Assumptions!$B$2/$B13)+(Assumptions!$B$3-Assumptions!$B$4+(R$3/100)^2/2)*Assumptions!$B$9)/((R$3/100)*Assumptions!$B$10))-(R$3/100)*Assumptions!$B$10))))</f>
        <v/>
      </c>
      <c r="S13" s="29">
        <f>Assumptions!$B$5*(MAX(0,Assumptions!$B$2*EXP(-Assumptions!$B$4*Assumptions!$B$9)*NORMSDIST(((LN(Assumptions!$B$2/$B13)+(Assumptions!$B$3-Assumptions!$B$4+(S$3/100)^2/2)*Assumptions!$B$9)/((S$3/100)*Assumptions!$B$10)))-$B13*EXP(-Assumptions!$B$3*Assumptions!$B$9)*NORMSDIST((((LN(Assumptions!$B$2/$B13)+(Assumptions!$B$3-Assumptions!$B$4+(S$3/100)^2/2)*Assumptions!$B$9)/((S$3/100)*Assumptions!$B$10))-(S$3/100)*Assumptions!$B$10))))</f>
        <v/>
      </c>
      <c r="T13" s="29">
        <f>Assumptions!$B$5*(MAX(0,Assumptions!$B$2*EXP(-Assumptions!$B$4*Assumptions!$B$9)*NORMSDIST(((LN(Assumptions!$B$2/$B13)+(Assumptions!$B$3-Assumptions!$B$4+(T$3/100)^2/2)*Assumptions!$B$9)/((T$3/100)*Assumptions!$B$10)))-$B13*EXP(-Assumptions!$B$3*Assumptions!$B$9)*NORMSDIST((((LN(Assumptions!$B$2/$B13)+(Assumptions!$B$3-Assumptions!$B$4+(T$3/100)^2/2)*Assumptions!$B$9)/((T$3/100)*Assumptions!$B$10))-(T$3/100)*Assumptions!$B$10))))</f>
        <v/>
      </c>
      <c r="U13" s="29">
        <f>Assumptions!$B$5*(MAX(0,Assumptions!$B$2*EXP(-Assumptions!$B$4*Assumptions!$B$9)*NORMSDIST(((LN(Assumptions!$B$2/$B13)+(Assumptions!$B$3-Assumptions!$B$4+(U$3/100)^2/2)*Assumptions!$B$9)/((U$3/100)*Assumptions!$B$10)))-$B13*EXP(-Assumptions!$B$3*Assumptions!$B$9)*NORMSDIST((((LN(Assumptions!$B$2/$B13)+(Assumptions!$B$3-Assumptions!$B$4+(U$3/100)^2/2)*Assumptions!$B$9)/((U$3/100)*Assumptions!$B$10))-(U$3/100)*Assumptions!$B$10))))</f>
        <v/>
      </c>
      <c r="V13" s="29">
        <f>Assumptions!$B$5*(MAX(0,Assumptions!$B$2*EXP(-Assumptions!$B$4*Assumptions!$B$9)*NORMSDIST(((LN(Assumptions!$B$2/$B13)+(Assumptions!$B$3-Assumptions!$B$4+(V$3/100)^2/2)*Assumptions!$B$9)/((V$3/100)*Assumptions!$B$10)))-$B13*EXP(-Assumptions!$B$3*Assumptions!$B$9)*NORMSDIST((((LN(Assumptions!$B$2/$B13)+(Assumptions!$B$3-Assumptions!$B$4+(V$3/100)^2/2)*Assumptions!$B$9)/((V$3/100)*Assumptions!$B$10))-(V$3/100)*Assumptions!$B$10))))</f>
        <v/>
      </c>
      <c r="W13" s="29">
        <f>Assumptions!$B$5*(MAX(0,Assumptions!$B$2*EXP(-Assumptions!$B$4*Assumptions!$B$9)*NORMSDIST(((LN(Assumptions!$B$2/$B13)+(Assumptions!$B$3-Assumptions!$B$4+(W$3/100)^2/2)*Assumptions!$B$9)/((W$3/100)*Assumptions!$B$10)))-$B13*EXP(-Assumptions!$B$3*Assumptions!$B$9)*NORMSDIST((((LN(Assumptions!$B$2/$B13)+(Assumptions!$B$3-Assumptions!$B$4+(W$3/100)^2/2)*Assumptions!$B$9)/((W$3/100)*Assumptions!$B$10))-(W$3/100)*Assumptions!$B$10))))</f>
        <v/>
      </c>
      <c r="X13" s="29">
        <f>Assumptions!$B$5*(MAX(0,Assumptions!$B$2*EXP(-Assumptions!$B$4*Assumptions!$B$9)*NORMSDIST(((LN(Assumptions!$B$2/$B13)+(Assumptions!$B$3-Assumptions!$B$4+(X$3/100)^2/2)*Assumptions!$B$9)/((X$3/100)*Assumptions!$B$10)))-$B13*EXP(-Assumptions!$B$3*Assumptions!$B$9)*NORMSDIST((((LN(Assumptions!$B$2/$B13)+(Assumptions!$B$3-Assumptions!$B$4+(X$3/100)^2/2)*Assumptions!$B$9)/((X$3/100)*Assumptions!$B$10))-(X$3/100)*Assumptions!$B$10))))</f>
        <v/>
      </c>
      <c r="Y13" s="29">
        <f>Assumptions!$B$5*(MAX(0,Assumptions!$B$2*EXP(-Assumptions!$B$4*Assumptions!$B$9)*NORMSDIST(((LN(Assumptions!$B$2/$B13)+(Assumptions!$B$3-Assumptions!$B$4+(Y$3/100)^2/2)*Assumptions!$B$9)/((Y$3/100)*Assumptions!$B$10)))-$B13*EXP(-Assumptions!$B$3*Assumptions!$B$9)*NORMSDIST((((LN(Assumptions!$B$2/$B13)+(Assumptions!$B$3-Assumptions!$B$4+(Y$3/100)^2/2)*Assumptions!$B$9)/((Y$3/100)*Assumptions!$B$10))-(Y$3/100)*Assumptions!$B$10))))</f>
        <v/>
      </c>
      <c r="Z13" s="29">
        <f>Assumptions!$B$5*(MAX(0,Assumptions!$B$2*EXP(-Assumptions!$B$4*Assumptions!$B$9)*NORMSDIST(((LN(Assumptions!$B$2/$B13)+(Assumptions!$B$3-Assumptions!$B$4+(Z$3/100)^2/2)*Assumptions!$B$9)/((Z$3/100)*Assumptions!$B$10)))-$B13*EXP(-Assumptions!$B$3*Assumptions!$B$9)*NORMSDIST((((LN(Assumptions!$B$2/$B13)+(Assumptions!$B$3-Assumptions!$B$4+(Z$3/100)^2/2)*Assumptions!$B$9)/((Z$3/100)*Assumptions!$B$10))-(Z$3/100)*Assumptions!$B$10))))</f>
        <v/>
      </c>
      <c r="AA13" s="29">
        <f>Assumptions!$B$5*(MAX(0,Assumptions!$B$2*EXP(-Assumptions!$B$4*Assumptions!$B$9)*NORMSDIST(((LN(Assumptions!$B$2/$B13)+(Assumptions!$B$3-Assumptions!$B$4+(AA$3/100)^2/2)*Assumptions!$B$9)/((AA$3/100)*Assumptions!$B$10)))-$B13*EXP(-Assumptions!$B$3*Assumptions!$B$9)*NORMSDIST((((LN(Assumptions!$B$2/$B13)+(Assumptions!$B$3-Assumptions!$B$4+(AA$3/100)^2/2)*Assumptions!$B$9)/((AA$3/100)*Assumptions!$B$10))-(AA$3/100)*Assumptions!$B$10))))</f>
        <v/>
      </c>
      <c r="AB13" s="29">
        <f>Assumptions!$B$5*(MAX(0,Assumptions!$B$2*EXP(-Assumptions!$B$4*Assumptions!$B$9)*NORMSDIST(((LN(Assumptions!$B$2/$B13)+(Assumptions!$B$3-Assumptions!$B$4+(AB$3/100)^2/2)*Assumptions!$B$9)/((AB$3/100)*Assumptions!$B$10)))-$B13*EXP(-Assumptions!$B$3*Assumptions!$B$9)*NORMSDIST((((LN(Assumptions!$B$2/$B13)+(Assumptions!$B$3-Assumptions!$B$4+(AB$3/100)^2/2)*Assumptions!$B$9)/((AB$3/100)*Assumptions!$B$10))-(AB$3/100)*Assumptions!$B$10))))</f>
        <v/>
      </c>
      <c r="AC13" s="29">
        <f>Assumptions!$B$5*(MAX(0,Assumptions!$B$2*EXP(-Assumptions!$B$4*Assumptions!$B$9)*NORMSDIST(((LN(Assumptions!$B$2/$B13)+(Assumptions!$B$3-Assumptions!$B$4+(AC$3/100)^2/2)*Assumptions!$B$9)/((AC$3/100)*Assumptions!$B$10)))-$B13*EXP(-Assumptions!$B$3*Assumptions!$B$9)*NORMSDIST((((LN(Assumptions!$B$2/$B13)+(Assumptions!$B$3-Assumptions!$B$4+(AC$3/100)^2/2)*Assumptions!$B$9)/((AC$3/100)*Assumptions!$B$10))-(AC$3/100)*Assumptions!$B$10))))</f>
        <v/>
      </c>
      <c r="AD13" s="29">
        <f>Assumptions!$B$5*(MAX(0,Assumptions!$B$2*EXP(-Assumptions!$B$4*Assumptions!$B$9)*NORMSDIST(((LN(Assumptions!$B$2/$B13)+(Assumptions!$B$3-Assumptions!$B$4+(AD$3/100)^2/2)*Assumptions!$B$9)/((AD$3/100)*Assumptions!$B$10)))-$B13*EXP(-Assumptions!$B$3*Assumptions!$B$9)*NORMSDIST((((LN(Assumptions!$B$2/$B13)+(Assumptions!$B$3-Assumptions!$B$4+(AD$3/100)^2/2)*Assumptions!$B$9)/((AD$3/100)*Assumptions!$B$10))-(AD$3/100)*Assumptions!$B$10))))</f>
        <v/>
      </c>
      <c r="AE13" s="29">
        <f>Assumptions!$B$5*(MAX(0,Assumptions!$B$2*EXP(-Assumptions!$B$4*Assumptions!$B$9)*NORMSDIST(((LN(Assumptions!$B$2/$B13)+(Assumptions!$B$3-Assumptions!$B$4+(AE$3/100)^2/2)*Assumptions!$B$9)/((AE$3/100)*Assumptions!$B$10)))-$B13*EXP(-Assumptions!$B$3*Assumptions!$B$9)*NORMSDIST((((LN(Assumptions!$B$2/$B13)+(Assumptions!$B$3-Assumptions!$B$4+(AE$3/100)^2/2)*Assumptions!$B$9)/((AE$3/100)*Assumptions!$B$10))-(AE$3/100)*Assumptions!$B$10))))</f>
        <v/>
      </c>
      <c r="AF13" s="29">
        <f>Assumptions!$B$5*(MAX(0,Assumptions!$B$2*EXP(-Assumptions!$B$4*Assumptions!$B$9)*NORMSDIST(((LN(Assumptions!$B$2/$B13)+(Assumptions!$B$3-Assumptions!$B$4+(AF$3/100)^2/2)*Assumptions!$B$9)/((AF$3/100)*Assumptions!$B$10)))-$B13*EXP(-Assumptions!$B$3*Assumptions!$B$9)*NORMSDIST((((LN(Assumptions!$B$2/$B13)+(Assumptions!$B$3-Assumptions!$B$4+(AF$3/100)^2/2)*Assumptions!$B$9)/((AF$3/100)*Assumptions!$B$10))-(AF$3/100)*Assumptions!$B$10))))</f>
        <v/>
      </c>
      <c r="AG13" s="29">
        <f>Assumptions!$B$5*(MAX(0,Assumptions!$B$2*EXP(-Assumptions!$B$4*Assumptions!$B$9)*NORMSDIST(((LN(Assumptions!$B$2/$B13)+(Assumptions!$B$3-Assumptions!$B$4+(AG$3/100)^2/2)*Assumptions!$B$9)/((AG$3/100)*Assumptions!$B$10)))-$B13*EXP(-Assumptions!$B$3*Assumptions!$B$9)*NORMSDIST((((LN(Assumptions!$B$2/$B13)+(Assumptions!$B$3-Assumptions!$B$4+(AG$3/100)^2/2)*Assumptions!$B$9)/((AG$3/100)*Assumptions!$B$10))-(AG$3/100)*Assumptions!$B$10))))</f>
        <v/>
      </c>
      <c r="AH13" s="29">
        <f>Assumptions!$B$5*(MAX(0,Assumptions!$B$2*EXP(-Assumptions!$B$4*Assumptions!$B$9)*NORMSDIST(((LN(Assumptions!$B$2/$B13)+(Assumptions!$B$3-Assumptions!$B$4+(AH$3/100)^2/2)*Assumptions!$B$9)/((AH$3/100)*Assumptions!$B$10)))-$B13*EXP(-Assumptions!$B$3*Assumptions!$B$9)*NORMSDIST((((LN(Assumptions!$B$2/$B13)+(Assumptions!$B$3-Assumptions!$B$4+(AH$3/100)^2/2)*Assumptions!$B$9)/((AH$3/100)*Assumptions!$B$10))-(AH$3/100)*Assumptions!$B$10))))</f>
        <v/>
      </c>
      <c r="AI13" s="29">
        <f>Assumptions!$B$5*(MAX(0,Assumptions!$B$2*EXP(-Assumptions!$B$4*Assumptions!$B$9)*NORMSDIST(((LN(Assumptions!$B$2/$B13)+(Assumptions!$B$3-Assumptions!$B$4+(AI$3/100)^2/2)*Assumptions!$B$9)/((AI$3/100)*Assumptions!$B$10)))-$B13*EXP(-Assumptions!$B$3*Assumptions!$B$9)*NORMSDIST((((LN(Assumptions!$B$2/$B13)+(Assumptions!$B$3-Assumptions!$B$4+(AI$3/100)^2/2)*Assumptions!$B$9)/((AI$3/100)*Assumptions!$B$10))-(AI$3/100)*Assumptions!$B$10))))</f>
        <v/>
      </c>
      <c r="AJ13" s="29">
        <f>Assumptions!$B$5*(MAX(0,Assumptions!$B$2*EXP(-Assumptions!$B$4*Assumptions!$B$9)*NORMSDIST(((LN(Assumptions!$B$2/$B13)+(Assumptions!$B$3-Assumptions!$B$4+(AJ$3/100)^2/2)*Assumptions!$B$9)/((AJ$3/100)*Assumptions!$B$10)))-$B13*EXP(-Assumptions!$B$3*Assumptions!$B$9)*NORMSDIST((((LN(Assumptions!$B$2/$B13)+(Assumptions!$B$3-Assumptions!$B$4+(AJ$3/100)^2/2)*Assumptions!$B$9)/((AJ$3/100)*Assumptions!$B$10))-(AJ$3/100)*Assumptions!$B$10))))</f>
        <v/>
      </c>
      <c r="AK13" s="29">
        <f>Assumptions!$B$5*(MAX(0,Assumptions!$B$2*EXP(-Assumptions!$B$4*Assumptions!$B$9)*NORMSDIST(((LN(Assumptions!$B$2/$B13)+(Assumptions!$B$3-Assumptions!$B$4+(AK$3/100)^2/2)*Assumptions!$B$9)/((AK$3/100)*Assumptions!$B$10)))-$B13*EXP(-Assumptions!$B$3*Assumptions!$B$9)*NORMSDIST((((LN(Assumptions!$B$2/$B13)+(Assumptions!$B$3-Assumptions!$B$4+(AK$3/100)^2/2)*Assumptions!$B$9)/((AK$3/100)*Assumptions!$B$10))-(AK$3/100)*Assumptions!$B$10))))</f>
        <v/>
      </c>
      <c r="AL13" s="29">
        <f>Assumptions!$B$5*(MAX(0,Assumptions!$B$2*EXP(-Assumptions!$B$4*Assumptions!$B$9)*NORMSDIST(((LN(Assumptions!$B$2/$B13)+(Assumptions!$B$3-Assumptions!$B$4+(AL$3/100)^2/2)*Assumptions!$B$9)/((AL$3/100)*Assumptions!$B$10)))-$B13*EXP(-Assumptions!$B$3*Assumptions!$B$9)*NORMSDIST((((LN(Assumptions!$B$2/$B13)+(Assumptions!$B$3-Assumptions!$B$4+(AL$3/100)^2/2)*Assumptions!$B$9)/((AL$3/100)*Assumptions!$B$10))-(AL$3/100)*Assumptions!$B$10))))</f>
        <v/>
      </c>
      <c r="AM13" s="29">
        <f>Assumptions!$B$5*(MAX(0,Assumptions!$B$2*EXP(-Assumptions!$B$4*Assumptions!$B$9)*NORMSDIST(((LN(Assumptions!$B$2/$B13)+(Assumptions!$B$3-Assumptions!$B$4+(AM$3/100)^2/2)*Assumptions!$B$9)/((AM$3/100)*Assumptions!$B$10)))-$B13*EXP(-Assumptions!$B$3*Assumptions!$B$9)*NORMSDIST((((LN(Assumptions!$B$2/$B13)+(Assumptions!$B$3-Assumptions!$B$4+(AM$3/100)^2/2)*Assumptions!$B$9)/((AM$3/100)*Assumptions!$B$10))-(AM$3/100)*Assumptions!$B$10))))</f>
        <v/>
      </c>
      <c r="AN13" s="29">
        <f>Assumptions!$B$5*(MAX(0,Assumptions!$B$2*EXP(-Assumptions!$B$4*Assumptions!$B$9)*NORMSDIST(((LN(Assumptions!$B$2/$B13)+(Assumptions!$B$3-Assumptions!$B$4+(AN$3/100)^2/2)*Assumptions!$B$9)/((AN$3/100)*Assumptions!$B$10)))-$B13*EXP(-Assumptions!$B$3*Assumptions!$B$9)*NORMSDIST((((LN(Assumptions!$B$2/$B13)+(Assumptions!$B$3-Assumptions!$B$4+(AN$3/100)^2/2)*Assumptions!$B$9)/((AN$3/100)*Assumptions!$B$10))-(AN$3/100)*Assumptions!$B$10))))</f>
        <v/>
      </c>
      <c r="AO13" s="29">
        <f>Assumptions!$B$5*(MAX(0,Assumptions!$B$2*EXP(-Assumptions!$B$4*Assumptions!$B$9)*NORMSDIST(((LN(Assumptions!$B$2/$B13)+(Assumptions!$B$3-Assumptions!$B$4+(AO$3/100)^2/2)*Assumptions!$B$9)/((AO$3/100)*Assumptions!$B$10)))-$B13*EXP(-Assumptions!$B$3*Assumptions!$B$9)*NORMSDIST((((LN(Assumptions!$B$2/$B13)+(Assumptions!$B$3-Assumptions!$B$4+(AO$3/100)^2/2)*Assumptions!$B$9)/((AO$3/100)*Assumptions!$B$10))-(AO$3/100)*Assumptions!$B$10))))</f>
        <v/>
      </c>
      <c r="AP13" s="29">
        <f>Assumptions!$B$5*(MAX(0,Assumptions!$B$2*EXP(-Assumptions!$B$4*Assumptions!$B$9)*NORMSDIST(((LN(Assumptions!$B$2/$B13)+(Assumptions!$B$3-Assumptions!$B$4+(AP$3/100)^2/2)*Assumptions!$B$9)/((AP$3/100)*Assumptions!$B$10)))-$B13*EXP(-Assumptions!$B$3*Assumptions!$B$9)*NORMSDIST((((LN(Assumptions!$B$2/$B13)+(Assumptions!$B$3-Assumptions!$B$4+(AP$3/100)^2/2)*Assumptions!$B$9)/((AP$3/100)*Assumptions!$B$10))-(AP$3/100)*Assumptions!$B$10))))</f>
        <v/>
      </c>
      <c r="AQ13" s="29">
        <f>Assumptions!$B$5*(MAX(0,Assumptions!$B$2*EXP(-Assumptions!$B$4*Assumptions!$B$9)*NORMSDIST(((LN(Assumptions!$B$2/$B13)+(Assumptions!$B$3-Assumptions!$B$4+(AQ$3/100)^2/2)*Assumptions!$B$9)/((AQ$3/100)*Assumptions!$B$10)))-$B13*EXP(-Assumptions!$B$3*Assumptions!$B$9)*NORMSDIST((((LN(Assumptions!$B$2/$B13)+(Assumptions!$B$3-Assumptions!$B$4+(AQ$3/100)^2/2)*Assumptions!$B$9)/((AQ$3/100)*Assumptions!$B$10))-(AQ$3/100)*Assumptions!$B$10))))</f>
        <v/>
      </c>
      <c r="AR13" s="29">
        <f>Assumptions!$B$5*(MAX(0,Assumptions!$B$2*EXP(-Assumptions!$B$4*Assumptions!$B$9)*NORMSDIST(((LN(Assumptions!$B$2/$B13)+(Assumptions!$B$3-Assumptions!$B$4+(AR$3/100)^2/2)*Assumptions!$B$9)/((AR$3/100)*Assumptions!$B$10)))-$B13*EXP(-Assumptions!$B$3*Assumptions!$B$9)*NORMSDIST((((LN(Assumptions!$B$2/$B13)+(Assumptions!$B$3-Assumptions!$B$4+(AR$3/100)^2/2)*Assumptions!$B$9)/((AR$3/100)*Assumptions!$B$10))-(AR$3/100)*Assumptions!$B$10))))</f>
        <v/>
      </c>
      <c r="AS13" s="29">
        <f>Assumptions!$B$5*(MAX(0,Assumptions!$B$2*EXP(-Assumptions!$B$4*Assumptions!$B$9)*NORMSDIST(((LN(Assumptions!$B$2/$B13)+(Assumptions!$B$3-Assumptions!$B$4+(AS$3/100)^2/2)*Assumptions!$B$9)/((AS$3/100)*Assumptions!$B$10)))-$B13*EXP(-Assumptions!$B$3*Assumptions!$B$9)*NORMSDIST((((LN(Assumptions!$B$2/$B13)+(Assumptions!$B$3-Assumptions!$B$4+(AS$3/100)^2/2)*Assumptions!$B$9)/((AS$3/100)*Assumptions!$B$10))-(AS$3/100)*Assumptions!$B$10))))</f>
        <v/>
      </c>
      <c r="AT13" s="29">
        <f>Assumptions!$B$5*(MAX(0,Assumptions!$B$2*EXP(-Assumptions!$B$4*Assumptions!$B$9)*NORMSDIST(((LN(Assumptions!$B$2/$B13)+(Assumptions!$B$3-Assumptions!$B$4+(AT$3/100)^2/2)*Assumptions!$B$9)/((AT$3/100)*Assumptions!$B$10)))-$B13*EXP(-Assumptions!$B$3*Assumptions!$B$9)*NORMSDIST((((LN(Assumptions!$B$2/$B13)+(Assumptions!$B$3-Assumptions!$B$4+(AT$3/100)^2/2)*Assumptions!$B$9)/((AT$3/100)*Assumptions!$B$10))-(AT$3/100)*Assumptions!$B$10))))</f>
        <v/>
      </c>
      <c r="AU13" s="29">
        <f>Assumptions!$B$5*(MAX(0,Assumptions!$B$2*EXP(-Assumptions!$B$4*Assumptions!$B$9)*NORMSDIST(((LN(Assumptions!$B$2/$B13)+(Assumptions!$B$3-Assumptions!$B$4+(AU$3/100)^2/2)*Assumptions!$B$9)/((AU$3/100)*Assumptions!$B$10)))-$B13*EXP(-Assumptions!$B$3*Assumptions!$B$9)*NORMSDIST((((LN(Assumptions!$B$2/$B13)+(Assumptions!$B$3-Assumptions!$B$4+(AU$3/100)^2/2)*Assumptions!$B$9)/((AU$3/100)*Assumptions!$B$10))-(AU$3/100)*Assumptions!$B$10))))</f>
        <v/>
      </c>
      <c r="AV13" s="29">
        <f>Assumptions!$B$5*(MAX(0,Assumptions!$B$2*EXP(-Assumptions!$B$4*Assumptions!$B$9)*NORMSDIST(((LN(Assumptions!$B$2/$B13)+(Assumptions!$B$3-Assumptions!$B$4+(AV$3/100)^2/2)*Assumptions!$B$9)/((AV$3/100)*Assumptions!$B$10)))-$B13*EXP(-Assumptions!$B$3*Assumptions!$B$9)*NORMSDIST((((LN(Assumptions!$B$2/$B13)+(Assumptions!$B$3-Assumptions!$B$4+(AV$3/100)^2/2)*Assumptions!$B$9)/((AV$3/100)*Assumptions!$B$10))-(AV$3/100)*Assumptions!$B$10))))</f>
        <v/>
      </c>
    </row>
    <row r="14">
      <c r="A14" s="27" t="inlineStr">
        <is>
          <t>+0.50%</t>
        </is>
      </c>
      <c r="B14" s="47">
        <f>'BS Engine'!$B$12</f>
        <v/>
      </c>
      <c r="C14" s="28">
        <f>'BS Engine'!$C$12</f>
        <v/>
      </c>
      <c r="D14" s="49">
        <f>Assumptions!$B$5*(MAX(0,Assumptions!$B$2*EXP(-Assumptions!$B$4*Assumptions!$B$9)*NORMSDIST(((LN(Assumptions!$B$2/$B14)+(Assumptions!$B$3-Assumptions!$B$4+(D$3/100)^2/2)*Assumptions!$B$9)/((D$3/100)*Assumptions!$B$10)))-$B14*EXP(-Assumptions!$B$3*Assumptions!$B$9)*NORMSDIST((((LN(Assumptions!$B$2/$B14)+(Assumptions!$B$3-Assumptions!$B$4+(D$3/100)^2/2)*Assumptions!$B$9)/((D$3/100)*Assumptions!$B$10))-(D$3/100)*Assumptions!$B$10))))</f>
        <v/>
      </c>
      <c r="E14" s="29">
        <f>Assumptions!$B$5*(MAX(0,Assumptions!$B$2*EXP(-Assumptions!$B$4*Assumptions!$B$9)*NORMSDIST(((LN(Assumptions!$B$2/$B14)+(Assumptions!$B$3-Assumptions!$B$4+(E$3/100)^2/2)*Assumptions!$B$9)/((E$3/100)*Assumptions!$B$10)))-$B14*EXP(-Assumptions!$B$3*Assumptions!$B$9)*NORMSDIST((((LN(Assumptions!$B$2/$B14)+(Assumptions!$B$3-Assumptions!$B$4+(E$3/100)^2/2)*Assumptions!$B$9)/((E$3/100)*Assumptions!$B$10))-(E$3/100)*Assumptions!$B$10))))</f>
        <v/>
      </c>
      <c r="F14" s="29">
        <f>Assumptions!$B$5*(MAX(0,Assumptions!$B$2*EXP(-Assumptions!$B$4*Assumptions!$B$9)*NORMSDIST(((LN(Assumptions!$B$2/$B14)+(Assumptions!$B$3-Assumptions!$B$4+(F$3/100)^2/2)*Assumptions!$B$9)/((F$3/100)*Assumptions!$B$10)))-$B14*EXP(-Assumptions!$B$3*Assumptions!$B$9)*NORMSDIST((((LN(Assumptions!$B$2/$B14)+(Assumptions!$B$3-Assumptions!$B$4+(F$3/100)^2/2)*Assumptions!$B$9)/((F$3/100)*Assumptions!$B$10))-(F$3/100)*Assumptions!$B$10))))</f>
        <v/>
      </c>
      <c r="G14" s="29">
        <f>Assumptions!$B$5*(MAX(0,Assumptions!$B$2*EXP(-Assumptions!$B$4*Assumptions!$B$9)*NORMSDIST(((LN(Assumptions!$B$2/$B14)+(Assumptions!$B$3-Assumptions!$B$4+(G$3/100)^2/2)*Assumptions!$B$9)/((G$3/100)*Assumptions!$B$10)))-$B14*EXP(-Assumptions!$B$3*Assumptions!$B$9)*NORMSDIST((((LN(Assumptions!$B$2/$B14)+(Assumptions!$B$3-Assumptions!$B$4+(G$3/100)^2/2)*Assumptions!$B$9)/((G$3/100)*Assumptions!$B$10))-(G$3/100)*Assumptions!$B$10))))</f>
        <v/>
      </c>
      <c r="H14" s="29">
        <f>Assumptions!$B$5*(MAX(0,Assumptions!$B$2*EXP(-Assumptions!$B$4*Assumptions!$B$9)*NORMSDIST(((LN(Assumptions!$B$2/$B14)+(Assumptions!$B$3-Assumptions!$B$4+(H$3/100)^2/2)*Assumptions!$B$9)/((H$3/100)*Assumptions!$B$10)))-$B14*EXP(-Assumptions!$B$3*Assumptions!$B$9)*NORMSDIST((((LN(Assumptions!$B$2/$B14)+(Assumptions!$B$3-Assumptions!$B$4+(H$3/100)^2/2)*Assumptions!$B$9)/((H$3/100)*Assumptions!$B$10))-(H$3/100)*Assumptions!$B$10))))</f>
        <v/>
      </c>
      <c r="I14" s="29">
        <f>Assumptions!$B$5*(MAX(0,Assumptions!$B$2*EXP(-Assumptions!$B$4*Assumptions!$B$9)*NORMSDIST(((LN(Assumptions!$B$2/$B14)+(Assumptions!$B$3-Assumptions!$B$4+(I$3/100)^2/2)*Assumptions!$B$9)/((I$3/100)*Assumptions!$B$10)))-$B14*EXP(-Assumptions!$B$3*Assumptions!$B$9)*NORMSDIST((((LN(Assumptions!$B$2/$B14)+(Assumptions!$B$3-Assumptions!$B$4+(I$3/100)^2/2)*Assumptions!$B$9)/((I$3/100)*Assumptions!$B$10))-(I$3/100)*Assumptions!$B$10))))</f>
        <v/>
      </c>
      <c r="J14" s="29">
        <f>Assumptions!$B$5*(MAX(0,Assumptions!$B$2*EXP(-Assumptions!$B$4*Assumptions!$B$9)*NORMSDIST(((LN(Assumptions!$B$2/$B14)+(Assumptions!$B$3-Assumptions!$B$4+(J$3/100)^2/2)*Assumptions!$B$9)/((J$3/100)*Assumptions!$B$10)))-$B14*EXP(-Assumptions!$B$3*Assumptions!$B$9)*NORMSDIST((((LN(Assumptions!$B$2/$B14)+(Assumptions!$B$3-Assumptions!$B$4+(J$3/100)^2/2)*Assumptions!$B$9)/((J$3/100)*Assumptions!$B$10))-(J$3/100)*Assumptions!$B$10))))</f>
        <v/>
      </c>
      <c r="K14" s="29">
        <f>Assumptions!$B$5*(MAX(0,Assumptions!$B$2*EXP(-Assumptions!$B$4*Assumptions!$B$9)*NORMSDIST(((LN(Assumptions!$B$2/$B14)+(Assumptions!$B$3-Assumptions!$B$4+(K$3/100)^2/2)*Assumptions!$B$9)/((K$3/100)*Assumptions!$B$10)))-$B14*EXP(-Assumptions!$B$3*Assumptions!$B$9)*NORMSDIST((((LN(Assumptions!$B$2/$B14)+(Assumptions!$B$3-Assumptions!$B$4+(K$3/100)^2/2)*Assumptions!$B$9)/((K$3/100)*Assumptions!$B$10))-(K$3/100)*Assumptions!$B$10))))</f>
        <v/>
      </c>
      <c r="L14" s="29">
        <f>Assumptions!$B$5*(MAX(0,Assumptions!$B$2*EXP(-Assumptions!$B$4*Assumptions!$B$9)*NORMSDIST(((LN(Assumptions!$B$2/$B14)+(Assumptions!$B$3-Assumptions!$B$4+(L$3/100)^2/2)*Assumptions!$B$9)/((L$3/100)*Assumptions!$B$10)))-$B14*EXP(-Assumptions!$B$3*Assumptions!$B$9)*NORMSDIST((((LN(Assumptions!$B$2/$B14)+(Assumptions!$B$3-Assumptions!$B$4+(L$3/100)^2/2)*Assumptions!$B$9)/((L$3/100)*Assumptions!$B$10))-(L$3/100)*Assumptions!$B$10))))</f>
        <v/>
      </c>
      <c r="M14" s="29">
        <f>Assumptions!$B$5*(MAX(0,Assumptions!$B$2*EXP(-Assumptions!$B$4*Assumptions!$B$9)*NORMSDIST(((LN(Assumptions!$B$2/$B14)+(Assumptions!$B$3-Assumptions!$B$4+(M$3/100)^2/2)*Assumptions!$B$9)/((M$3/100)*Assumptions!$B$10)))-$B14*EXP(-Assumptions!$B$3*Assumptions!$B$9)*NORMSDIST((((LN(Assumptions!$B$2/$B14)+(Assumptions!$B$3-Assumptions!$B$4+(M$3/100)^2/2)*Assumptions!$B$9)/((M$3/100)*Assumptions!$B$10))-(M$3/100)*Assumptions!$B$10))))</f>
        <v/>
      </c>
      <c r="N14" s="29">
        <f>Assumptions!$B$5*(MAX(0,Assumptions!$B$2*EXP(-Assumptions!$B$4*Assumptions!$B$9)*NORMSDIST(((LN(Assumptions!$B$2/$B14)+(Assumptions!$B$3-Assumptions!$B$4+(N$3/100)^2/2)*Assumptions!$B$9)/((N$3/100)*Assumptions!$B$10)))-$B14*EXP(-Assumptions!$B$3*Assumptions!$B$9)*NORMSDIST((((LN(Assumptions!$B$2/$B14)+(Assumptions!$B$3-Assumptions!$B$4+(N$3/100)^2/2)*Assumptions!$B$9)/((N$3/100)*Assumptions!$B$10))-(N$3/100)*Assumptions!$B$10))))</f>
        <v/>
      </c>
      <c r="O14" s="29">
        <f>Assumptions!$B$5*(MAX(0,Assumptions!$B$2*EXP(-Assumptions!$B$4*Assumptions!$B$9)*NORMSDIST(((LN(Assumptions!$B$2/$B14)+(Assumptions!$B$3-Assumptions!$B$4+(O$3/100)^2/2)*Assumptions!$B$9)/((O$3/100)*Assumptions!$B$10)))-$B14*EXP(-Assumptions!$B$3*Assumptions!$B$9)*NORMSDIST((((LN(Assumptions!$B$2/$B14)+(Assumptions!$B$3-Assumptions!$B$4+(O$3/100)^2/2)*Assumptions!$B$9)/((O$3/100)*Assumptions!$B$10))-(O$3/100)*Assumptions!$B$10))))</f>
        <v/>
      </c>
      <c r="P14" s="29">
        <f>Assumptions!$B$5*(MAX(0,Assumptions!$B$2*EXP(-Assumptions!$B$4*Assumptions!$B$9)*NORMSDIST(((LN(Assumptions!$B$2/$B14)+(Assumptions!$B$3-Assumptions!$B$4+(P$3/100)^2/2)*Assumptions!$B$9)/((P$3/100)*Assumptions!$B$10)))-$B14*EXP(-Assumptions!$B$3*Assumptions!$B$9)*NORMSDIST((((LN(Assumptions!$B$2/$B14)+(Assumptions!$B$3-Assumptions!$B$4+(P$3/100)^2/2)*Assumptions!$B$9)/((P$3/100)*Assumptions!$B$10))-(P$3/100)*Assumptions!$B$10))))</f>
        <v/>
      </c>
      <c r="Q14" s="29">
        <f>Assumptions!$B$5*(MAX(0,Assumptions!$B$2*EXP(-Assumptions!$B$4*Assumptions!$B$9)*NORMSDIST(((LN(Assumptions!$B$2/$B14)+(Assumptions!$B$3-Assumptions!$B$4+(Q$3/100)^2/2)*Assumptions!$B$9)/((Q$3/100)*Assumptions!$B$10)))-$B14*EXP(-Assumptions!$B$3*Assumptions!$B$9)*NORMSDIST((((LN(Assumptions!$B$2/$B14)+(Assumptions!$B$3-Assumptions!$B$4+(Q$3/100)^2/2)*Assumptions!$B$9)/((Q$3/100)*Assumptions!$B$10))-(Q$3/100)*Assumptions!$B$10))))</f>
        <v/>
      </c>
      <c r="R14" s="29">
        <f>Assumptions!$B$5*(MAX(0,Assumptions!$B$2*EXP(-Assumptions!$B$4*Assumptions!$B$9)*NORMSDIST(((LN(Assumptions!$B$2/$B14)+(Assumptions!$B$3-Assumptions!$B$4+(R$3/100)^2/2)*Assumptions!$B$9)/((R$3/100)*Assumptions!$B$10)))-$B14*EXP(-Assumptions!$B$3*Assumptions!$B$9)*NORMSDIST((((LN(Assumptions!$B$2/$B14)+(Assumptions!$B$3-Assumptions!$B$4+(R$3/100)^2/2)*Assumptions!$B$9)/((R$3/100)*Assumptions!$B$10))-(R$3/100)*Assumptions!$B$10))))</f>
        <v/>
      </c>
      <c r="S14" s="29">
        <f>Assumptions!$B$5*(MAX(0,Assumptions!$B$2*EXP(-Assumptions!$B$4*Assumptions!$B$9)*NORMSDIST(((LN(Assumptions!$B$2/$B14)+(Assumptions!$B$3-Assumptions!$B$4+(S$3/100)^2/2)*Assumptions!$B$9)/((S$3/100)*Assumptions!$B$10)))-$B14*EXP(-Assumptions!$B$3*Assumptions!$B$9)*NORMSDIST((((LN(Assumptions!$B$2/$B14)+(Assumptions!$B$3-Assumptions!$B$4+(S$3/100)^2/2)*Assumptions!$B$9)/((S$3/100)*Assumptions!$B$10))-(S$3/100)*Assumptions!$B$10))))</f>
        <v/>
      </c>
      <c r="T14" s="29">
        <f>Assumptions!$B$5*(MAX(0,Assumptions!$B$2*EXP(-Assumptions!$B$4*Assumptions!$B$9)*NORMSDIST(((LN(Assumptions!$B$2/$B14)+(Assumptions!$B$3-Assumptions!$B$4+(T$3/100)^2/2)*Assumptions!$B$9)/((T$3/100)*Assumptions!$B$10)))-$B14*EXP(-Assumptions!$B$3*Assumptions!$B$9)*NORMSDIST((((LN(Assumptions!$B$2/$B14)+(Assumptions!$B$3-Assumptions!$B$4+(T$3/100)^2/2)*Assumptions!$B$9)/((T$3/100)*Assumptions!$B$10))-(T$3/100)*Assumptions!$B$10))))</f>
        <v/>
      </c>
      <c r="U14" s="29">
        <f>Assumptions!$B$5*(MAX(0,Assumptions!$B$2*EXP(-Assumptions!$B$4*Assumptions!$B$9)*NORMSDIST(((LN(Assumptions!$B$2/$B14)+(Assumptions!$B$3-Assumptions!$B$4+(U$3/100)^2/2)*Assumptions!$B$9)/((U$3/100)*Assumptions!$B$10)))-$B14*EXP(-Assumptions!$B$3*Assumptions!$B$9)*NORMSDIST((((LN(Assumptions!$B$2/$B14)+(Assumptions!$B$3-Assumptions!$B$4+(U$3/100)^2/2)*Assumptions!$B$9)/((U$3/100)*Assumptions!$B$10))-(U$3/100)*Assumptions!$B$10))))</f>
        <v/>
      </c>
      <c r="V14" s="29">
        <f>Assumptions!$B$5*(MAX(0,Assumptions!$B$2*EXP(-Assumptions!$B$4*Assumptions!$B$9)*NORMSDIST(((LN(Assumptions!$B$2/$B14)+(Assumptions!$B$3-Assumptions!$B$4+(V$3/100)^2/2)*Assumptions!$B$9)/((V$3/100)*Assumptions!$B$10)))-$B14*EXP(-Assumptions!$B$3*Assumptions!$B$9)*NORMSDIST((((LN(Assumptions!$B$2/$B14)+(Assumptions!$B$3-Assumptions!$B$4+(V$3/100)^2/2)*Assumptions!$B$9)/((V$3/100)*Assumptions!$B$10))-(V$3/100)*Assumptions!$B$10))))</f>
        <v/>
      </c>
      <c r="W14" s="29">
        <f>Assumptions!$B$5*(MAX(0,Assumptions!$B$2*EXP(-Assumptions!$B$4*Assumptions!$B$9)*NORMSDIST(((LN(Assumptions!$B$2/$B14)+(Assumptions!$B$3-Assumptions!$B$4+(W$3/100)^2/2)*Assumptions!$B$9)/((W$3/100)*Assumptions!$B$10)))-$B14*EXP(-Assumptions!$B$3*Assumptions!$B$9)*NORMSDIST((((LN(Assumptions!$B$2/$B14)+(Assumptions!$B$3-Assumptions!$B$4+(W$3/100)^2/2)*Assumptions!$B$9)/((W$3/100)*Assumptions!$B$10))-(W$3/100)*Assumptions!$B$10))))</f>
        <v/>
      </c>
      <c r="X14" s="29">
        <f>Assumptions!$B$5*(MAX(0,Assumptions!$B$2*EXP(-Assumptions!$B$4*Assumptions!$B$9)*NORMSDIST(((LN(Assumptions!$B$2/$B14)+(Assumptions!$B$3-Assumptions!$B$4+(X$3/100)^2/2)*Assumptions!$B$9)/((X$3/100)*Assumptions!$B$10)))-$B14*EXP(-Assumptions!$B$3*Assumptions!$B$9)*NORMSDIST((((LN(Assumptions!$B$2/$B14)+(Assumptions!$B$3-Assumptions!$B$4+(X$3/100)^2/2)*Assumptions!$B$9)/((X$3/100)*Assumptions!$B$10))-(X$3/100)*Assumptions!$B$10))))</f>
        <v/>
      </c>
      <c r="Y14" s="29">
        <f>Assumptions!$B$5*(MAX(0,Assumptions!$B$2*EXP(-Assumptions!$B$4*Assumptions!$B$9)*NORMSDIST(((LN(Assumptions!$B$2/$B14)+(Assumptions!$B$3-Assumptions!$B$4+(Y$3/100)^2/2)*Assumptions!$B$9)/((Y$3/100)*Assumptions!$B$10)))-$B14*EXP(-Assumptions!$B$3*Assumptions!$B$9)*NORMSDIST((((LN(Assumptions!$B$2/$B14)+(Assumptions!$B$3-Assumptions!$B$4+(Y$3/100)^2/2)*Assumptions!$B$9)/((Y$3/100)*Assumptions!$B$10))-(Y$3/100)*Assumptions!$B$10))))</f>
        <v/>
      </c>
      <c r="Z14" s="29">
        <f>Assumptions!$B$5*(MAX(0,Assumptions!$B$2*EXP(-Assumptions!$B$4*Assumptions!$B$9)*NORMSDIST(((LN(Assumptions!$B$2/$B14)+(Assumptions!$B$3-Assumptions!$B$4+(Z$3/100)^2/2)*Assumptions!$B$9)/((Z$3/100)*Assumptions!$B$10)))-$B14*EXP(-Assumptions!$B$3*Assumptions!$B$9)*NORMSDIST((((LN(Assumptions!$B$2/$B14)+(Assumptions!$B$3-Assumptions!$B$4+(Z$3/100)^2/2)*Assumptions!$B$9)/((Z$3/100)*Assumptions!$B$10))-(Z$3/100)*Assumptions!$B$10))))</f>
        <v/>
      </c>
      <c r="AA14" s="29">
        <f>Assumptions!$B$5*(MAX(0,Assumptions!$B$2*EXP(-Assumptions!$B$4*Assumptions!$B$9)*NORMSDIST(((LN(Assumptions!$B$2/$B14)+(Assumptions!$B$3-Assumptions!$B$4+(AA$3/100)^2/2)*Assumptions!$B$9)/((AA$3/100)*Assumptions!$B$10)))-$B14*EXP(-Assumptions!$B$3*Assumptions!$B$9)*NORMSDIST((((LN(Assumptions!$B$2/$B14)+(Assumptions!$B$3-Assumptions!$B$4+(AA$3/100)^2/2)*Assumptions!$B$9)/((AA$3/100)*Assumptions!$B$10))-(AA$3/100)*Assumptions!$B$10))))</f>
        <v/>
      </c>
      <c r="AB14" s="29">
        <f>Assumptions!$B$5*(MAX(0,Assumptions!$B$2*EXP(-Assumptions!$B$4*Assumptions!$B$9)*NORMSDIST(((LN(Assumptions!$B$2/$B14)+(Assumptions!$B$3-Assumptions!$B$4+(AB$3/100)^2/2)*Assumptions!$B$9)/((AB$3/100)*Assumptions!$B$10)))-$B14*EXP(-Assumptions!$B$3*Assumptions!$B$9)*NORMSDIST((((LN(Assumptions!$B$2/$B14)+(Assumptions!$B$3-Assumptions!$B$4+(AB$3/100)^2/2)*Assumptions!$B$9)/((AB$3/100)*Assumptions!$B$10))-(AB$3/100)*Assumptions!$B$10))))</f>
        <v/>
      </c>
      <c r="AC14" s="29">
        <f>Assumptions!$B$5*(MAX(0,Assumptions!$B$2*EXP(-Assumptions!$B$4*Assumptions!$B$9)*NORMSDIST(((LN(Assumptions!$B$2/$B14)+(Assumptions!$B$3-Assumptions!$B$4+(AC$3/100)^2/2)*Assumptions!$B$9)/((AC$3/100)*Assumptions!$B$10)))-$B14*EXP(-Assumptions!$B$3*Assumptions!$B$9)*NORMSDIST((((LN(Assumptions!$B$2/$B14)+(Assumptions!$B$3-Assumptions!$B$4+(AC$3/100)^2/2)*Assumptions!$B$9)/((AC$3/100)*Assumptions!$B$10))-(AC$3/100)*Assumptions!$B$10))))</f>
        <v/>
      </c>
      <c r="AD14" s="29">
        <f>Assumptions!$B$5*(MAX(0,Assumptions!$B$2*EXP(-Assumptions!$B$4*Assumptions!$B$9)*NORMSDIST(((LN(Assumptions!$B$2/$B14)+(Assumptions!$B$3-Assumptions!$B$4+(AD$3/100)^2/2)*Assumptions!$B$9)/((AD$3/100)*Assumptions!$B$10)))-$B14*EXP(-Assumptions!$B$3*Assumptions!$B$9)*NORMSDIST((((LN(Assumptions!$B$2/$B14)+(Assumptions!$B$3-Assumptions!$B$4+(AD$3/100)^2/2)*Assumptions!$B$9)/((AD$3/100)*Assumptions!$B$10))-(AD$3/100)*Assumptions!$B$10))))</f>
        <v/>
      </c>
      <c r="AE14" s="29">
        <f>Assumptions!$B$5*(MAX(0,Assumptions!$B$2*EXP(-Assumptions!$B$4*Assumptions!$B$9)*NORMSDIST(((LN(Assumptions!$B$2/$B14)+(Assumptions!$B$3-Assumptions!$B$4+(AE$3/100)^2/2)*Assumptions!$B$9)/((AE$3/100)*Assumptions!$B$10)))-$B14*EXP(-Assumptions!$B$3*Assumptions!$B$9)*NORMSDIST((((LN(Assumptions!$B$2/$B14)+(Assumptions!$B$3-Assumptions!$B$4+(AE$3/100)^2/2)*Assumptions!$B$9)/((AE$3/100)*Assumptions!$B$10))-(AE$3/100)*Assumptions!$B$10))))</f>
        <v/>
      </c>
      <c r="AF14" s="29">
        <f>Assumptions!$B$5*(MAX(0,Assumptions!$B$2*EXP(-Assumptions!$B$4*Assumptions!$B$9)*NORMSDIST(((LN(Assumptions!$B$2/$B14)+(Assumptions!$B$3-Assumptions!$B$4+(AF$3/100)^2/2)*Assumptions!$B$9)/((AF$3/100)*Assumptions!$B$10)))-$B14*EXP(-Assumptions!$B$3*Assumptions!$B$9)*NORMSDIST((((LN(Assumptions!$B$2/$B14)+(Assumptions!$B$3-Assumptions!$B$4+(AF$3/100)^2/2)*Assumptions!$B$9)/((AF$3/100)*Assumptions!$B$10))-(AF$3/100)*Assumptions!$B$10))))</f>
        <v/>
      </c>
      <c r="AG14" s="29">
        <f>Assumptions!$B$5*(MAX(0,Assumptions!$B$2*EXP(-Assumptions!$B$4*Assumptions!$B$9)*NORMSDIST(((LN(Assumptions!$B$2/$B14)+(Assumptions!$B$3-Assumptions!$B$4+(AG$3/100)^2/2)*Assumptions!$B$9)/((AG$3/100)*Assumptions!$B$10)))-$B14*EXP(-Assumptions!$B$3*Assumptions!$B$9)*NORMSDIST((((LN(Assumptions!$B$2/$B14)+(Assumptions!$B$3-Assumptions!$B$4+(AG$3/100)^2/2)*Assumptions!$B$9)/((AG$3/100)*Assumptions!$B$10))-(AG$3/100)*Assumptions!$B$10))))</f>
        <v/>
      </c>
      <c r="AH14" s="29">
        <f>Assumptions!$B$5*(MAX(0,Assumptions!$B$2*EXP(-Assumptions!$B$4*Assumptions!$B$9)*NORMSDIST(((LN(Assumptions!$B$2/$B14)+(Assumptions!$B$3-Assumptions!$B$4+(AH$3/100)^2/2)*Assumptions!$B$9)/((AH$3/100)*Assumptions!$B$10)))-$B14*EXP(-Assumptions!$B$3*Assumptions!$B$9)*NORMSDIST((((LN(Assumptions!$B$2/$B14)+(Assumptions!$B$3-Assumptions!$B$4+(AH$3/100)^2/2)*Assumptions!$B$9)/((AH$3/100)*Assumptions!$B$10))-(AH$3/100)*Assumptions!$B$10))))</f>
        <v/>
      </c>
      <c r="AI14" s="29">
        <f>Assumptions!$B$5*(MAX(0,Assumptions!$B$2*EXP(-Assumptions!$B$4*Assumptions!$B$9)*NORMSDIST(((LN(Assumptions!$B$2/$B14)+(Assumptions!$B$3-Assumptions!$B$4+(AI$3/100)^2/2)*Assumptions!$B$9)/((AI$3/100)*Assumptions!$B$10)))-$B14*EXP(-Assumptions!$B$3*Assumptions!$B$9)*NORMSDIST((((LN(Assumptions!$B$2/$B14)+(Assumptions!$B$3-Assumptions!$B$4+(AI$3/100)^2/2)*Assumptions!$B$9)/((AI$3/100)*Assumptions!$B$10))-(AI$3/100)*Assumptions!$B$10))))</f>
        <v/>
      </c>
      <c r="AJ14" s="29">
        <f>Assumptions!$B$5*(MAX(0,Assumptions!$B$2*EXP(-Assumptions!$B$4*Assumptions!$B$9)*NORMSDIST(((LN(Assumptions!$B$2/$B14)+(Assumptions!$B$3-Assumptions!$B$4+(AJ$3/100)^2/2)*Assumptions!$B$9)/((AJ$3/100)*Assumptions!$B$10)))-$B14*EXP(-Assumptions!$B$3*Assumptions!$B$9)*NORMSDIST((((LN(Assumptions!$B$2/$B14)+(Assumptions!$B$3-Assumptions!$B$4+(AJ$3/100)^2/2)*Assumptions!$B$9)/((AJ$3/100)*Assumptions!$B$10))-(AJ$3/100)*Assumptions!$B$10))))</f>
        <v/>
      </c>
      <c r="AK14" s="29">
        <f>Assumptions!$B$5*(MAX(0,Assumptions!$B$2*EXP(-Assumptions!$B$4*Assumptions!$B$9)*NORMSDIST(((LN(Assumptions!$B$2/$B14)+(Assumptions!$B$3-Assumptions!$B$4+(AK$3/100)^2/2)*Assumptions!$B$9)/((AK$3/100)*Assumptions!$B$10)))-$B14*EXP(-Assumptions!$B$3*Assumptions!$B$9)*NORMSDIST((((LN(Assumptions!$B$2/$B14)+(Assumptions!$B$3-Assumptions!$B$4+(AK$3/100)^2/2)*Assumptions!$B$9)/((AK$3/100)*Assumptions!$B$10))-(AK$3/100)*Assumptions!$B$10))))</f>
        <v/>
      </c>
      <c r="AL14" s="29">
        <f>Assumptions!$B$5*(MAX(0,Assumptions!$B$2*EXP(-Assumptions!$B$4*Assumptions!$B$9)*NORMSDIST(((LN(Assumptions!$B$2/$B14)+(Assumptions!$B$3-Assumptions!$B$4+(AL$3/100)^2/2)*Assumptions!$B$9)/((AL$3/100)*Assumptions!$B$10)))-$B14*EXP(-Assumptions!$B$3*Assumptions!$B$9)*NORMSDIST((((LN(Assumptions!$B$2/$B14)+(Assumptions!$B$3-Assumptions!$B$4+(AL$3/100)^2/2)*Assumptions!$B$9)/((AL$3/100)*Assumptions!$B$10))-(AL$3/100)*Assumptions!$B$10))))</f>
        <v/>
      </c>
      <c r="AM14" s="29">
        <f>Assumptions!$B$5*(MAX(0,Assumptions!$B$2*EXP(-Assumptions!$B$4*Assumptions!$B$9)*NORMSDIST(((LN(Assumptions!$B$2/$B14)+(Assumptions!$B$3-Assumptions!$B$4+(AM$3/100)^2/2)*Assumptions!$B$9)/((AM$3/100)*Assumptions!$B$10)))-$B14*EXP(-Assumptions!$B$3*Assumptions!$B$9)*NORMSDIST((((LN(Assumptions!$B$2/$B14)+(Assumptions!$B$3-Assumptions!$B$4+(AM$3/100)^2/2)*Assumptions!$B$9)/((AM$3/100)*Assumptions!$B$10))-(AM$3/100)*Assumptions!$B$10))))</f>
        <v/>
      </c>
      <c r="AN14" s="29">
        <f>Assumptions!$B$5*(MAX(0,Assumptions!$B$2*EXP(-Assumptions!$B$4*Assumptions!$B$9)*NORMSDIST(((LN(Assumptions!$B$2/$B14)+(Assumptions!$B$3-Assumptions!$B$4+(AN$3/100)^2/2)*Assumptions!$B$9)/((AN$3/100)*Assumptions!$B$10)))-$B14*EXP(-Assumptions!$B$3*Assumptions!$B$9)*NORMSDIST((((LN(Assumptions!$B$2/$B14)+(Assumptions!$B$3-Assumptions!$B$4+(AN$3/100)^2/2)*Assumptions!$B$9)/((AN$3/100)*Assumptions!$B$10))-(AN$3/100)*Assumptions!$B$10))))</f>
        <v/>
      </c>
      <c r="AO14" s="29">
        <f>Assumptions!$B$5*(MAX(0,Assumptions!$B$2*EXP(-Assumptions!$B$4*Assumptions!$B$9)*NORMSDIST(((LN(Assumptions!$B$2/$B14)+(Assumptions!$B$3-Assumptions!$B$4+(AO$3/100)^2/2)*Assumptions!$B$9)/((AO$3/100)*Assumptions!$B$10)))-$B14*EXP(-Assumptions!$B$3*Assumptions!$B$9)*NORMSDIST((((LN(Assumptions!$B$2/$B14)+(Assumptions!$B$3-Assumptions!$B$4+(AO$3/100)^2/2)*Assumptions!$B$9)/((AO$3/100)*Assumptions!$B$10))-(AO$3/100)*Assumptions!$B$10))))</f>
        <v/>
      </c>
      <c r="AP14" s="29">
        <f>Assumptions!$B$5*(MAX(0,Assumptions!$B$2*EXP(-Assumptions!$B$4*Assumptions!$B$9)*NORMSDIST(((LN(Assumptions!$B$2/$B14)+(Assumptions!$B$3-Assumptions!$B$4+(AP$3/100)^2/2)*Assumptions!$B$9)/((AP$3/100)*Assumptions!$B$10)))-$B14*EXP(-Assumptions!$B$3*Assumptions!$B$9)*NORMSDIST((((LN(Assumptions!$B$2/$B14)+(Assumptions!$B$3-Assumptions!$B$4+(AP$3/100)^2/2)*Assumptions!$B$9)/((AP$3/100)*Assumptions!$B$10))-(AP$3/100)*Assumptions!$B$10))))</f>
        <v/>
      </c>
      <c r="AQ14" s="29">
        <f>Assumptions!$B$5*(MAX(0,Assumptions!$B$2*EXP(-Assumptions!$B$4*Assumptions!$B$9)*NORMSDIST(((LN(Assumptions!$B$2/$B14)+(Assumptions!$B$3-Assumptions!$B$4+(AQ$3/100)^2/2)*Assumptions!$B$9)/((AQ$3/100)*Assumptions!$B$10)))-$B14*EXP(-Assumptions!$B$3*Assumptions!$B$9)*NORMSDIST((((LN(Assumptions!$B$2/$B14)+(Assumptions!$B$3-Assumptions!$B$4+(AQ$3/100)^2/2)*Assumptions!$B$9)/((AQ$3/100)*Assumptions!$B$10))-(AQ$3/100)*Assumptions!$B$10))))</f>
        <v/>
      </c>
      <c r="AR14" s="29">
        <f>Assumptions!$B$5*(MAX(0,Assumptions!$B$2*EXP(-Assumptions!$B$4*Assumptions!$B$9)*NORMSDIST(((LN(Assumptions!$B$2/$B14)+(Assumptions!$B$3-Assumptions!$B$4+(AR$3/100)^2/2)*Assumptions!$B$9)/((AR$3/100)*Assumptions!$B$10)))-$B14*EXP(-Assumptions!$B$3*Assumptions!$B$9)*NORMSDIST((((LN(Assumptions!$B$2/$B14)+(Assumptions!$B$3-Assumptions!$B$4+(AR$3/100)^2/2)*Assumptions!$B$9)/((AR$3/100)*Assumptions!$B$10))-(AR$3/100)*Assumptions!$B$10))))</f>
        <v/>
      </c>
      <c r="AS14" s="29">
        <f>Assumptions!$B$5*(MAX(0,Assumptions!$B$2*EXP(-Assumptions!$B$4*Assumptions!$B$9)*NORMSDIST(((LN(Assumptions!$B$2/$B14)+(Assumptions!$B$3-Assumptions!$B$4+(AS$3/100)^2/2)*Assumptions!$B$9)/((AS$3/100)*Assumptions!$B$10)))-$B14*EXP(-Assumptions!$B$3*Assumptions!$B$9)*NORMSDIST((((LN(Assumptions!$B$2/$B14)+(Assumptions!$B$3-Assumptions!$B$4+(AS$3/100)^2/2)*Assumptions!$B$9)/((AS$3/100)*Assumptions!$B$10))-(AS$3/100)*Assumptions!$B$10))))</f>
        <v/>
      </c>
      <c r="AT14" s="29">
        <f>Assumptions!$B$5*(MAX(0,Assumptions!$B$2*EXP(-Assumptions!$B$4*Assumptions!$B$9)*NORMSDIST(((LN(Assumptions!$B$2/$B14)+(Assumptions!$B$3-Assumptions!$B$4+(AT$3/100)^2/2)*Assumptions!$B$9)/((AT$3/100)*Assumptions!$B$10)))-$B14*EXP(-Assumptions!$B$3*Assumptions!$B$9)*NORMSDIST((((LN(Assumptions!$B$2/$B14)+(Assumptions!$B$3-Assumptions!$B$4+(AT$3/100)^2/2)*Assumptions!$B$9)/((AT$3/100)*Assumptions!$B$10))-(AT$3/100)*Assumptions!$B$10))))</f>
        <v/>
      </c>
      <c r="AU14" s="29">
        <f>Assumptions!$B$5*(MAX(0,Assumptions!$B$2*EXP(-Assumptions!$B$4*Assumptions!$B$9)*NORMSDIST(((LN(Assumptions!$B$2/$B14)+(Assumptions!$B$3-Assumptions!$B$4+(AU$3/100)^2/2)*Assumptions!$B$9)/((AU$3/100)*Assumptions!$B$10)))-$B14*EXP(-Assumptions!$B$3*Assumptions!$B$9)*NORMSDIST((((LN(Assumptions!$B$2/$B14)+(Assumptions!$B$3-Assumptions!$B$4+(AU$3/100)^2/2)*Assumptions!$B$9)/((AU$3/100)*Assumptions!$B$10))-(AU$3/100)*Assumptions!$B$10))))</f>
        <v/>
      </c>
      <c r="AV14" s="29">
        <f>Assumptions!$B$5*(MAX(0,Assumptions!$B$2*EXP(-Assumptions!$B$4*Assumptions!$B$9)*NORMSDIST(((LN(Assumptions!$B$2/$B14)+(Assumptions!$B$3-Assumptions!$B$4+(AV$3/100)^2/2)*Assumptions!$B$9)/((AV$3/100)*Assumptions!$B$10)))-$B14*EXP(-Assumptions!$B$3*Assumptions!$B$9)*NORMSDIST((((LN(Assumptions!$B$2/$B14)+(Assumptions!$B$3-Assumptions!$B$4+(AV$3/100)^2/2)*Assumptions!$B$9)/((AV$3/100)*Assumptions!$B$10))-(AV$3/100)*Assumptions!$B$10))))</f>
        <v/>
      </c>
    </row>
    <row r="15">
      <c r="A15" s="27" t="inlineStr">
        <is>
          <t>+0.75%</t>
        </is>
      </c>
      <c r="B15" s="47">
        <f>'BS Engine'!$B$13</f>
        <v/>
      </c>
      <c r="C15" s="28">
        <f>'BS Engine'!$C$13</f>
        <v/>
      </c>
      <c r="D15" s="49">
        <f>Assumptions!$B$5*(MAX(0,Assumptions!$B$2*EXP(-Assumptions!$B$4*Assumptions!$B$9)*NORMSDIST(((LN(Assumptions!$B$2/$B15)+(Assumptions!$B$3-Assumptions!$B$4+(D$3/100)^2/2)*Assumptions!$B$9)/((D$3/100)*Assumptions!$B$10)))-$B15*EXP(-Assumptions!$B$3*Assumptions!$B$9)*NORMSDIST((((LN(Assumptions!$B$2/$B15)+(Assumptions!$B$3-Assumptions!$B$4+(D$3/100)^2/2)*Assumptions!$B$9)/((D$3/100)*Assumptions!$B$10))-(D$3/100)*Assumptions!$B$10))))</f>
        <v/>
      </c>
      <c r="E15" s="29">
        <f>Assumptions!$B$5*(MAX(0,Assumptions!$B$2*EXP(-Assumptions!$B$4*Assumptions!$B$9)*NORMSDIST(((LN(Assumptions!$B$2/$B15)+(Assumptions!$B$3-Assumptions!$B$4+(E$3/100)^2/2)*Assumptions!$B$9)/((E$3/100)*Assumptions!$B$10)))-$B15*EXP(-Assumptions!$B$3*Assumptions!$B$9)*NORMSDIST((((LN(Assumptions!$B$2/$B15)+(Assumptions!$B$3-Assumptions!$B$4+(E$3/100)^2/2)*Assumptions!$B$9)/((E$3/100)*Assumptions!$B$10))-(E$3/100)*Assumptions!$B$10))))</f>
        <v/>
      </c>
      <c r="F15" s="29">
        <f>Assumptions!$B$5*(MAX(0,Assumptions!$B$2*EXP(-Assumptions!$B$4*Assumptions!$B$9)*NORMSDIST(((LN(Assumptions!$B$2/$B15)+(Assumptions!$B$3-Assumptions!$B$4+(F$3/100)^2/2)*Assumptions!$B$9)/((F$3/100)*Assumptions!$B$10)))-$B15*EXP(-Assumptions!$B$3*Assumptions!$B$9)*NORMSDIST((((LN(Assumptions!$B$2/$B15)+(Assumptions!$B$3-Assumptions!$B$4+(F$3/100)^2/2)*Assumptions!$B$9)/((F$3/100)*Assumptions!$B$10))-(F$3/100)*Assumptions!$B$10))))</f>
        <v/>
      </c>
      <c r="G15" s="29">
        <f>Assumptions!$B$5*(MAX(0,Assumptions!$B$2*EXP(-Assumptions!$B$4*Assumptions!$B$9)*NORMSDIST(((LN(Assumptions!$B$2/$B15)+(Assumptions!$B$3-Assumptions!$B$4+(G$3/100)^2/2)*Assumptions!$B$9)/((G$3/100)*Assumptions!$B$10)))-$B15*EXP(-Assumptions!$B$3*Assumptions!$B$9)*NORMSDIST((((LN(Assumptions!$B$2/$B15)+(Assumptions!$B$3-Assumptions!$B$4+(G$3/100)^2/2)*Assumptions!$B$9)/((G$3/100)*Assumptions!$B$10))-(G$3/100)*Assumptions!$B$10))))</f>
        <v/>
      </c>
      <c r="H15" s="29">
        <f>Assumptions!$B$5*(MAX(0,Assumptions!$B$2*EXP(-Assumptions!$B$4*Assumptions!$B$9)*NORMSDIST(((LN(Assumptions!$B$2/$B15)+(Assumptions!$B$3-Assumptions!$B$4+(H$3/100)^2/2)*Assumptions!$B$9)/((H$3/100)*Assumptions!$B$10)))-$B15*EXP(-Assumptions!$B$3*Assumptions!$B$9)*NORMSDIST((((LN(Assumptions!$B$2/$B15)+(Assumptions!$B$3-Assumptions!$B$4+(H$3/100)^2/2)*Assumptions!$B$9)/((H$3/100)*Assumptions!$B$10))-(H$3/100)*Assumptions!$B$10))))</f>
        <v/>
      </c>
      <c r="I15" s="29">
        <f>Assumptions!$B$5*(MAX(0,Assumptions!$B$2*EXP(-Assumptions!$B$4*Assumptions!$B$9)*NORMSDIST(((LN(Assumptions!$B$2/$B15)+(Assumptions!$B$3-Assumptions!$B$4+(I$3/100)^2/2)*Assumptions!$B$9)/((I$3/100)*Assumptions!$B$10)))-$B15*EXP(-Assumptions!$B$3*Assumptions!$B$9)*NORMSDIST((((LN(Assumptions!$B$2/$B15)+(Assumptions!$B$3-Assumptions!$B$4+(I$3/100)^2/2)*Assumptions!$B$9)/((I$3/100)*Assumptions!$B$10))-(I$3/100)*Assumptions!$B$10))))</f>
        <v/>
      </c>
      <c r="J15" s="29">
        <f>Assumptions!$B$5*(MAX(0,Assumptions!$B$2*EXP(-Assumptions!$B$4*Assumptions!$B$9)*NORMSDIST(((LN(Assumptions!$B$2/$B15)+(Assumptions!$B$3-Assumptions!$B$4+(J$3/100)^2/2)*Assumptions!$B$9)/((J$3/100)*Assumptions!$B$10)))-$B15*EXP(-Assumptions!$B$3*Assumptions!$B$9)*NORMSDIST((((LN(Assumptions!$B$2/$B15)+(Assumptions!$B$3-Assumptions!$B$4+(J$3/100)^2/2)*Assumptions!$B$9)/((J$3/100)*Assumptions!$B$10))-(J$3/100)*Assumptions!$B$10))))</f>
        <v/>
      </c>
      <c r="K15" s="29">
        <f>Assumptions!$B$5*(MAX(0,Assumptions!$B$2*EXP(-Assumptions!$B$4*Assumptions!$B$9)*NORMSDIST(((LN(Assumptions!$B$2/$B15)+(Assumptions!$B$3-Assumptions!$B$4+(K$3/100)^2/2)*Assumptions!$B$9)/((K$3/100)*Assumptions!$B$10)))-$B15*EXP(-Assumptions!$B$3*Assumptions!$B$9)*NORMSDIST((((LN(Assumptions!$B$2/$B15)+(Assumptions!$B$3-Assumptions!$B$4+(K$3/100)^2/2)*Assumptions!$B$9)/((K$3/100)*Assumptions!$B$10))-(K$3/100)*Assumptions!$B$10))))</f>
        <v/>
      </c>
      <c r="L15" s="29">
        <f>Assumptions!$B$5*(MAX(0,Assumptions!$B$2*EXP(-Assumptions!$B$4*Assumptions!$B$9)*NORMSDIST(((LN(Assumptions!$B$2/$B15)+(Assumptions!$B$3-Assumptions!$B$4+(L$3/100)^2/2)*Assumptions!$B$9)/((L$3/100)*Assumptions!$B$10)))-$B15*EXP(-Assumptions!$B$3*Assumptions!$B$9)*NORMSDIST((((LN(Assumptions!$B$2/$B15)+(Assumptions!$B$3-Assumptions!$B$4+(L$3/100)^2/2)*Assumptions!$B$9)/((L$3/100)*Assumptions!$B$10))-(L$3/100)*Assumptions!$B$10))))</f>
        <v/>
      </c>
      <c r="M15" s="29">
        <f>Assumptions!$B$5*(MAX(0,Assumptions!$B$2*EXP(-Assumptions!$B$4*Assumptions!$B$9)*NORMSDIST(((LN(Assumptions!$B$2/$B15)+(Assumptions!$B$3-Assumptions!$B$4+(M$3/100)^2/2)*Assumptions!$B$9)/((M$3/100)*Assumptions!$B$10)))-$B15*EXP(-Assumptions!$B$3*Assumptions!$B$9)*NORMSDIST((((LN(Assumptions!$B$2/$B15)+(Assumptions!$B$3-Assumptions!$B$4+(M$3/100)^2/2)*Assumptions!$B$9)/((M$3/100)*Assumptions!$B$10))-(M$3/100)*Assumptions!$B$10))))</f>
        <v/>
      </c>
      <c r="N15" s="29">
        <f>Assumptions!$B$5*(MAX(0,Assumptions!$B$2*EXP(-Assumptions!$B$4*Assumptions!$B$9)*NORMSDIST(((LN(Assumptions!$B$2/$B15)+(Assumptions!$B$3-Assumptions!$B$4+(N$3/100)^2/2)*Assumptions!$B$9)/((N$3/100)*Assumptions!$B$10)))-$B15*EXP(-Assumptions!$B$3*Assumptions!$B$9)*NORMSDIST((((LN(Assumptions!$B$2/$B15)+(Assumptions!$B$3-Assumptions!$B$4+(N$3/100)^2/2)*Assumptions!$B$9)/((N$3/100)*Assumptions!$B$10))-(N$3/100)*Assumptions!$B$10))))</f>
        <v/>
      </c>
      <c r="O15" s="29">
        <f>Assumptions!$B$5*(MAX(0,Assumptions!$B$2*EXP(-Assumptions!$B$4*Assumptions!$B$9)*NORMSDIST(((LN(Assumptions!$B$2/$B15)+(Assumptions!$B$3-Assumptions!$B$4+(O$3/100)^2/2)*Assumptions!$B$9)/((O$3/100)*Assumptions!$B$10)))-$B15*EXP(-Assumptions!$B$3*Assumptions!$B$9)*NORMSDIST((((LN(Assumptions!$B$2/$B15)+(Assumptions!$B$3-Assumptions!$B$4+(O$3/100)^2/2)*Assumptions!$B$9)/((O$3/100)*Assumptions!$B$10))-(O$3/100)*Assumptions!$B$10))))</f>
        <v/>
      </c>
      <c r="P15" s="29">
        <f>Assumptions!$B$5*(MAX(0,Assumptions!$B$2*EXP(-Assumptions!$B$4*Assumptions!$B$9)*NORMSDIST(((LN(Assumptions!$B$2/$B15)+(Assumptions!$B$3-Assumptions!$B$4+(P$3/100)^2/2)*Assumptions!$B$9)/((P$3/100)*Assumptions!$B$10)))-$B15*EXP(-Assumptions!$B$3*Assumptions!$B$9)*NORMSDIST((((LN(Assumptions!$B$2/$B15)+(Assumptions!$B$3-Assumptions!$B$4+(P$3/100)^2/2)*Assumptions!$B$9)/((P$3/100)*Assumptions!$B$10))-(P$3/100)*Assumptions!$B$10))))</f>
        <v/>
      </c>
      <c r="Q15" s="29">
        <f>Assumptions!$B$5*(MAX(0,Assumptions!$B$2*EXP(-Assumptions!$B$4*Assumptions!$B$9)*NORMSDIST(((LN(Assumptions!$B$2/$B15)+(Assumptions!$B$3-Assumptions!$B$4+(Q$3/100)^2/2)*Assumptions!$B$9)/((Q$3/100)*Assumptions!$B$10)))-$B15*EXP(-Assumptions!$B$3*Assumptions!$B$9)*NORMSDIST((((LN(Assumptions!$B$2/$B15)+(Assumptions!$B$3-Assumptions!$B$4+(Q$3/100)^2/2)*Assumptions!$B$9)/((Q$3/100)*Assumptions!$B$10))-(Q$3/100)*Assumptions!$B$10))))</f>
        <v/>
      </c>
      <c r="R15" s="29">
        <f>Assumptions!$B$5*(MAX(0,Assumptions!$B$2*EXP(-Assumptions!$B$4*Assumptions!$B$9)*NORMSDIST(((LN(Assumptions!$B$2/$B15)+(Assumptions!$B$3-Assumptions!$B$4+(R$3/100)^2/2)*Assumptions!$B$9)/((R$3/100)*Assumptions!$B$10)))-$B15*EXP(-Assumptions!$B$3*Assumptions!$B$9)*NORMSDIST((((LN(Assumptions!$B$2/$B15)+(Assumptions!$B$3-Assumptions!$B$4+(R$3/100)^2/2)*Assumptions!$B$9)/((R$3/100)*Assumptions!$B$10))-(R$3/100)*Assumptions!$B$10))))</f>
        <v/>
      </c>
      <c r="S15" s="29">
        <f>Assumptions!$B$5*(MAX(0,Assumptions!$B$2*EXP(-Assumptions!$B$4*Assumptions!$B$9)*NORMSDIST(((LN(Assumptions!$B$2/$B15)+(Assumptions!$B$3-Assumptions!$B$4+(S$3/100)^2/2)*Assumptions!$B$9)/((S$3/100)*Assumptions!$B$10)))-$B15*EXP(-Assumptions!$B$3*Assumptions!$B$9)*NORMSDIST((((LN(Assumptions!$B$2/$B15)+(Assumptions!$B$3-Assumptions!$B$4+(S$3/100)^2/2)*Assumptions!$B$9)/((S$3/100)*Assumptions!$B$10))-(S$3/100)*Assumptions!$B$10))))</f>
        <v/>
      </c>
      <c r="T15" s="29">
        <f>Assumptions!$B$5*(MAX(0,Assumptions!$B$2*EXP(-Assumptions!$B$4*Assumptions!$B$9)*NORMSDIST(((LN(Assumptions!$B$2/$B15)+(Assumptions!$B$3-Assumptions!$B$4+(T$3/100)^2/2)*Assumptions!$B$9)/((T$3/100)*Assumptions!$B$10)))-$B15*EXP(-Assumptions!$B$3*Assumptions!$B$9)*NORMSDIST((((LN(Assumptions!$B$2/$B15)+(Assumptions!$B$3-Assumptions!$B$4+(T$3/100)^2/2)*Assumptions!$B$9)/((T$3/100)*Assumptions!$B$10))-(T$3/100)*Assumptions!$B$10))))</f>
        <v/>
      </c>
      <c r="U15" s="29">
        <f>Assumptions!$B$5*(MAX(0,Assumptions!$B$2*EXP(-Assumptions!$B$4*Assumptions!$B$9)*NORMSDIST(((LN(Assumptions!$B$2/$B15)+(Assumptions!$B$3-Assumptions!$B$4+(U$3/100)^2/2)*Assumptions!$B$9)/((U$3/100)*Assumptions!$B$10)))-$B15*EXP(-Assumptions!$B$3*Assumptions!$B$9)*NORMSDIST((((LN(Assumptions!$B$2/$B15)+(Assumptions!$B$3-Assumptions!$B$4+(U$3/100)^2/2)*Assumptions!$B$9)/((U$3/100)*Assumptions!$B$10))-(U$3/100)*Assumptions!$B$10))))</f>
        <v/>
      </c>
      <c r="V15" s="29">
        <f>Assumptions!$B$5*(MAX(0,Assumptions!$B$2*EXP(-Assumptions!$B$4*Assumptions!$B$9)*NORMSDIST(((LN(Assumptions!$B$2/$B15)+(Assumptions!$B$3-Assumptions!$B$4+(V$3/100)^2/2)*Assumptions!$B$9)/((V$3/100)*Assumptions!$B$10)))-$B15*EXP(-Assumptions!$B$3*Assumptions!$B$9)*NORMSDIST((((LN(Assumptions!$B$2/$B15)+(Assumptions!$B$3-Assumptions!$B$4+(V$3/100)^2/2)*Assumptions!$B$9)/((V$3/100)*Assumptions!$B$10))-(V$3/100)*Assumptions!$B$10))))</f>
        <v/>
      </c>
      <c r="W15" s="29">
        <f>Assumptions!$B$5*(MAX(0,Assumptions!$B$2*EXP(-Assumptions!$B$4*Assumptions!$B$9)*NORMSDIST(((LN(Assumptions!$B$2/$B15)+(Assumptions!$B$3-Assumptions!$B$4+(W$3/100)^2/2)*Assumptions!$B$9)/((W$3/100)*Assumptions!$B$10)))-$B15*EXP(-Assumptions!$B$3*Assumptions!$B$9)*NORMSDIST((((LN(Assumptions!$B$2/$B15)+(Assumptions!$B$3-Assumptions!$B$4+(W$3/100)^2/2)*Assumptions!$B$9)/((W$3/100)*Assumptions!$B$10))-(W$3/100)*Assumptions!$B$10))))</f>
        <v/>
      </c>
      <c r="X15" s="29">
        <f>Assumptions!$B$5*(MAX(0,Assumptions!$B$2*EXP(-Assumptions!$B$4*Assumptions!$B$9)*NORMSDIST(((LN(Assumptions!$B$2/$B15)+(Assumptions!$B$3-Assumptions!$B$4+(X$3/100)^2/2)*Assumptions!$B$9)/((X$3/100)*Assumptions!$B$10)))-$B15*EXP(-Assumptions!$B$3*Assumptions!$B$9)*NORMSDIST((((LN(Assumptions!$B$2/$B15)+(Assumptions!$B$3-Assumptions!$B$4+(X$3/100)^2/2)*Assumptions!$B$9)/((X$3/100)*Assumptions!$B$10))-(X$3/100)*Assumptions!$B$10))))</f>
        <v/>
      </c>
      <c r="Y15" s="29">
        <f>Assumptions!$B$5*(MAX(0,Assumptions!$B$2*EXP(-Assumptions!$B$4*Assumptions!$B$9)*NORMSDIST(((LN(Assumptions!$B$2/$B15)+(Assumptions!$B$3-Assumptions!$B$4+(Y$3/100)^2/2)*Assumptions!$B$9)/((Y$3/100)*Assumptions!$B$10)))-$B15*EXP(-Assumptions!$B$3*Assumptions!$B$9)*NORMSDIST((((LN(Assumptions!$B$2/$B15)+(Assumptions!$B$3-Assumptions!$B$4+(Y$3/100)^2/2)*Assumptions!$B$9)/((Y$3/100)*Assumptions!$B$10))-(Y$3/100)*Assumptions!$B$10))))</f>
        <v/>
      </c>
      <c r="Z15" s="29">
        <f>Assumptions!$B$5*(MAX(0,Assumptions!$B$2*EXP(-Assumptions!$B$4*Assumptions!$B$9)*NORMSDIST(((LN(Assumptions!$B$2/$B15)+(Assumptions!$B$3-Assumptions!$B$4+(Z$3/100)^2/2)*Assumptions!$B$9)/((Z$3/100)*Assumptions!$B$10)))-$B15*EXP(-Assumptions!$B$3*Assumptions!$B$9)*NORMSDIST((((LN(Assumptions!$B$2/$B15)+(Assumptions!$B$3-Assumptions!$B$4+(Z$3/100)^2/2)*Assumptions!$B$9)/((Z$3/100)*Assumptions!$B$10))-(Z$3/100)*Assumptions!$B$10))))</f>
        <v/>
      </c>
      <c r="AA15" s="29">
        <f>Assumptions!$B$5*(MAX(0,Assumptions!$B$2*EXP(-Assumptions!$B$4*Assumptions!$B$9)*NORMSDIST(((LN(Assumptions!$B$2/$B15)+(Assumptions!$B$3-Assumptions!$B$4+(AA$3/100)^2/2)*Assumptions!$B$9)/((AA$3/100)*Assumptions!$B$10)))-$B15*EXP(-Assumptions!$B$3*Assumptions!$B$9)*NORMSDIST((((LN(Assumptions!$B$2/$B15)+(Assumptions!$B$3-Assumptions!$B$4+(AA$3/100)^2/2)*Assumptions!$B$9)/((AA$3/100)*Assumptions!$B$10))-(AA$3/100)*Assumptions!$B$10))))</f>
        <v/>
      </c>
      <c r="AB15" s="29">
        <f>Assumptions!$B$5*(MAX(0,Assumptions!$B$2*EXP(-Assumptions!$B$4*Assumptions!$B$9)*NORMSDIST(((LN(Assumptions!$B$2/$B15)+(Assumptions!$B$3-Assumptions!$B$4+(AB$3/100)^2/2)*Assumptions!$B$9)/((AB$3/100)*Assumptions!$B$10)))-$B15*EXP(-Assumptions!$B$3*Assumptions!$B$9)*NORMSDIST((((LN(Assumptions!$B$2/$B15)+(Assumptions!$B$3-Assumptions!$B$4+(AB$3/100)^2/2)*Assumptions!$B$9)/((AB$3/100)*Assumptions!$B$10))-(AB$3/100)*Assumptions!$B$10))))</f>
        <v/>
      </c>
      <c r="AC15" s="29">
        <f>Assumptions!$B$5*(MAX(0,Assumptions!$B$2*EXP(-Assumptions!$B$4*Assumptions!$B$9)*NORMSDIST(((LN(Assumptions!$B$2/$B15)+(Assumptions!$B$3-Assumptions!$B$4+(AC$3/100)^2/2)*Assumptions!$B$9)/((AC$3/100)*Assumptions!$B$10)))-$B15*EXP(-Assumptions!$B$3*Assumptions!$B$9)*NORMSDIST((((LN(Assumptions!$B$2/$B15)+(Assumptions!$B$3-Assumptions!$B$4+(AC$3/100)^2/2)*Assumptions!$B$9)/((AC$3/100)*Assumptions!$B$10))-(AC$3/100)*Assumptions!$B$10))))</f>
        <v/>
      </c>
      <c r="AD15" s="29">
        <f>Assumptions!$B$5*(MAX(0,Assumptions!$B$2*EXP(-Assumptions!$B$4*Assumptions!$B$9)*NORMSDIST(((LN(Assumptions!$B$2/$B15)+(Assumptions!$B$3-Assumptions!$B$4+(AD$3/100)^2/2)*Assumptions!$B$9)/((AD$3/100)*Assumptions!$B$10)))-$B15*EXP(-Assumptions!$B$3*Assumptions!$B$9)*NORMSDIST((((LN(Assumptions!$B$2/$B15)+(Assumptions!$B$3-Assumptions!$B$4+(AD$3/100)^2/2)*Assumptions!$B$9)/((AD$3/100)*Assumptions!$B$10))-(AD$3/100)*Assumptions!$B$10))))</f>
        <v/>
      </c>
      <c r="AE15" s="29">
        <f>Assumptions!$B$5*(MAX(0,Assumptions!$B$2*EXP(-Assumptions!$B$4*Assumptions!$B$9)*NORMSDIST(((LN(Assumptions!$B$2/$B15)+(Assumptions!$B$3-Assumptions!$B$4+(AE$3/100)^2/2)*Assumptions!$B$9)/((AE$3/100)*Assumptions!$B$10)))-$B15*EXP(-Assumptions!$B$3*Assumptions!$B$9)*NORMSDIST((((LN(Assumptions!$B$2/$B15)+(Assumptions!$B$3-Assumptions!$B$4+(AE$3/100)^2/2)*Assumptions!$B$9)/((AE$3/100)*Assumptions!$B$10))-(AE$3/100)*Assumptions!$B$10))))</f>
        <v/>
      </c>
      <c r="AF15" s="29">
        <f>Assumptions!$B$5*(MAX(0,Assumptions!$B$2*EXP(-Assumptions!$B$4*Assumptions!$B$9)*NORMSDIST(((LN(Assumptions!$B$2/$B15)+(Assumptions!$B$3-Assumptions!$B$4+(AF$3/100)^2/2)*Assumptions!$B$9)/((AF$3/100)*Assumptions!$B$10)))-$B15*EXP(-Assumptions!$B$3*Assumptions!$B$9)*NORMSDIST((((LN(Assumptions!$B$2/$B15)+(Assumptions!$B$3-Assumptions!$B$4+(AF$3/100)^2/2)*Assumptions!$B$9)/((AF$3/100)*Assumptions!$B$10))-(AF$3/100)*Assumptions!$B$10))))</f>
        <v/>
      </c>
      <c r="AG15" s="29">
        <f>Assumptions!$B$5*(MAX(0,Assumptions!$B$2*EXP(-Assumptions!$B$4*Assumptions!$B$9)*NORMSDIST(((LN(Assumptions!$B$2/$B15)+(Assumptions!$B$3-Assumptions!$B$4+(AG$3/100)^2/2)*Assumptions!$B$9)/((AG$3/100)*Assumptions!$B$10)))-$B15*EXP(-Assumptions!$B$3*Assumptions!$B$9)*NORMSDIST((((LN(Assumptions!$B$2/$B15)+(Assumptions!$B$3-Assumptions!$B$4+(AG$3/100)^2/2)*Assumptions!$B$9)/((AG$3/100)*Assumptions!$B$10))-(AG$3/100)*Assumptions!$B$10))))</f>
        <v/>
      </c>
      <c r="AH15" s="29">
        <f>Assumptions!$B$5*(MAX(0,Assumptions!$B$2*EXP(-Assumptions!$B$4*Assumptions!$B$9)*NORMSDIST(((LN(Assumptions!$B$2/$B15)+(Assumptions!$B$3-Assumptions!$B$4+(AH$3/100)^2/2)*Assumptions!$B$9)/((AH$3/100)*Assumptions!$B$10)))-$B15*EXP(-Assumptions!$B$3*Assumptions!$B$9)*NORMSDIST((((LN(Assumptions!$B$2/$B15)+(Assumptions!$B$3-Assumptions!$B$4+(AH$3/100)^2/2)*Assumptions!$B$9)/((AH$3/100)*Assumptions!$B$10))-(AH$3/100)*Assumptions!$B$10))))</f>
        <v/>
      </c>
      <c r="AI15" s="29">
        <f>Assumptions!$B$5*(MAX(0,Assumptions!$B$2*EXP(-Assumptions!$B$4*Assumptions!$B$9)*NORMSDIST(((LN(Assumptions!$B$2/$B15)+(Assumptions!$B$3-Assumptions!$B$4+(AI$3/100)^2/2)*Assumptions!$B$9)/((AI$3/100)*Assumptions!$B$10)))-$B15*EXP(-Assumptions!$B$3*Assumptions!$B$9)*NORMSDIST((((LN(Assumptions!$B$2/$B15)+(Assumptions!$B$3-Assumptions!$B$4+(AI$3/100)^2/2)*Assumptions!$B$9)/((AI$3/100)*Assumptions!$B$10))-(AI$3/100)*Assumptions!$B$10))))</f>
        <v/>
      </c>
      <c r="AJ15" s="29">
        <f>Assumptions!$B$5*(MAX(0,Assumptions!$B$2*EXP(-Assumptions!$B$4*Assumptions!$B$9)*NORMSDIST(((LN(Assumptions!$B$2/$B15)+(Assumptions!$B$3-Assumptions!$B$4+(AJ$3/100)^2/2)*Assumptions!$B$9)/((AJ$3/100)*Assumptions!$B$10)))-$B15*EXP(-Assumptions!$B$3*Assumptions!$B$9)*NORMSDIST((((LN(Assumptions!$B$2/$B15)+(Assumptions!$B$3-Assumptions!$B$4+(AJ$3/100)^2/2)*Assumptions!$B$9)/((AJ$3/100)*Assumptions!$B$10))-(AJ$3/100)*Assumptions!$B$10))))</f>
        <v/>
      </c>
      <c r="AK15" s="29">
        <f>Assumptions!$B$5*(MAX(0,Assumptions!$B$2*EXP(-Assumptions!$B$4*Assumptions!$B$9)*NORMSDIST(((LN(Assumptions!$B$2/$B15)+(Assumptions!$B$3-Assumptions!$B$4+(AK$3/100)^2/2)*Assumptions!$B$9)/((AK$3/100)*Assumptions!$B$10)))-$B15*EXP(-Assumptions!$B$3*Assumptions!$B$9)*NORMSDIST((((LN(Assumptions!$B$2/$B15)+(Assumptions!$B$3-Assumptions!$B$4+(AK$3/100)^2/2)*Assumptions!$B$9)/((AK$3/100)*Assumptions!$B$10))-(AK$3/100)*Assumptions!$B$10))))</f>
        <v/>
      </c>
      <c r="AL15" s="29">
        <f>Assumptions!$B$5*(MAX(0,Assumptions!$B$2*EXP(-Assumptions!$B$4*Assumptions!$B$9)*NORMSDIST(((LN(Assumptions!$B$2/$B15)+(Assumptions!$B$3-Assumptions!$B$4+(AL$3/100)^2/2)*Assumptions!$B$9)/((AL$3/100)*Assumptions!$B$10)))-$B15*EXP(-Assumptions!$B$3*Assumptions!$B$9)*NORMSDIST((((LN(Assumptions!$B$2/$B15)+(Assumptions!$B$3-Assumptions!$B$4+(AL$3/100)^2/2)*Assumptions!$B$9)/((AL$3/100)*Assumptions!$B$10))-(AL$3/100)*Assumptions!$B$10))))</f>
        <v/>
      </c>
      <c r="AM15" s="29">
        <f>Assumptions!$B$5*(MAX(0,Assumptions!$B$2*EXP(-Assumptions!$B$4*Assumptions!$B$9)*NORMSDIST(((LN(Assumptions!$B$2/$B15)+(Assumptions!$B$3-Assumptions!$B$4+(AM$3/100)^2/2)*Assumptions!$B$9)/((AM$3/100)*Assumptions!$B$10)))-$B15*EXP(-Assumptions!$B$3*Assumptions!$B$9)*NORMSDIST((((LN(Assumptions!$B$2/$B15)+(Assumptions!$B$3-Assumptions!$B$4+(AM$3/100)^2/2)*Assumptions!$B$9)/((AM$3/100)*Assumptions!$B$10))-(AM$3/100)*Assumptions!$B$10))))</f>
        <v/>
      </c>
      <c r="AN15" s="29">
        <f>Assumptions!$B$5*(MAX(0,Assumptions!$B$2*EXP(-Assumptions!$B$4*Assumptions!$B$9)*NORMSDIST(((LN(Assumptions!$B$2/$B15)+(Assumptions!$B$3-Assumptions!$B$4+(AN$3/100)^2/2)*Assumptions!$B$9)/((AN$3/100)*Assumptions!$B$10)))-$B15*EXP(-Assumptions!$B$3*Assumptions!$B$9)*NORMSDIST((((LN(Assumptions!$B$2/$B15)+(Assumptions!$B$3-Assumptions!$B$4+(AN$3/100)^2/2)*Assumptions!$B$9)/((AN$3/100)*Assumptions!$B$10))-(AN$3/100)*Assumptions!$B$10))))</f>
        <v/>
      </c>
      <c r="AO15" s="29">
        <f>Assumptions!$B$5*(MAX(0,Assumptions!$B$2*EXP(-Assumptions!$B$4*Assumptions!$B$9)*NORMSDIST(((LN(Assumptions!$B$2/$B15)+(Assumptions!$B$3-Assumptions!$B$4+(AO$3/100)^2/2)*Assumptions!$B$9)/((AO$3/100)*Assumptions!$B$10)))-$B15*EXP(-Assumptions!$B$3*Assumptions!$B$9)*NORMSDIST((((LN(Assumptions!$B$2/$B15)+(Assumptions!$B$3-Assumptions!$B$4+(AO$3/100)^2/2)*Assumptions!$B$9)/((AO$3/100)*Assumptions!$B$10))-(AO$3/100)*Assumptions!$B$10))))</f>
        <v/>
      </c>
      <c r="AP15" s="29">
        <f>Assumptions!$B$5*(MAX(0,Assumptions!$B$2*EXP(-Assumptions!$B$4*Assumptions!$B$9)*NORMSDIST(((LN(Assumptions!$B$2/$B15)+(Assumptions!$B$3-Assumptions!$B$4+(AP$3/100)^2/2)*Assumptions!$B$9)/((AP$3/100)*Assumptions!$B$10)))-$B15*EXP(-Assumptions!$B$3*Assumptions!$B$9)*NORMSDIST((((LN(Assumptions!$B$2/$B15)+(Assumptions!$B$3-Assumptions!$B$4+(AP$3/100)^2/2)*Assumptions!$B$9)/((AP$3/100)*Assumptions!$B$10))-(AP$3/100)*Assumptions!$B$10))))</f>
        <v/>
      </c>
      <c r="AQ15" s="29">
        <f>Assumptions!$B$5*(MAX(0,Assumptions!$B$2*EXP(-Assumptions!$B$4*Assumptions!$B$9)*NORMSDIST(((LN(Assumptions!$B$2/$B15)+(Assumptions!$B$3-Assumptions!$B$4+(AQ$3/100)^2/2)*Assumptions!$B$9)/((AQ$3/100)*Assumptions!$B$10)))-$B15*EXP(-Assumptions!$B$3*Assumptions!$B$9)*NORMSDIST((((LN(Assumptions!$B$2/$B15)+(Assumptions!$B$3-Assumptions!$B$4+(AQ$3/100)^2/2)*Assumptions!$B$9)/((AQ$3/100)*Assumptions!$B$10))-(AQ$3/100)*Assumptions!$B$10))))</f>
        <v/>
      </c>
      <c r="AR15" s="29">
        <f>Assumptions!$B$5*(MAX(0,Assumptions!$B$2*EXP(-Assumptions!$B$4*Assumptions!$B$9)*NORMSDIST(((LN(Assumptions!$B$2/$B15)+(Assumptions!$B$3-Assumptions!$B$4+(AR$3/100)^2/2)*Assumptions!$B$9)/((AR$3/100)*Assumptions!$B$10)))-$B15*EXP(-Assumptions!$B$3*Assumptions!$B$9)*NORMSDIST((((LN(Assumptions!$B$2/$B15)+(Assumptions!$B$3-Assumptions!$B$4+(AR$3/100)^2/2)*Assumptions!$B$9)/((AR$3/100)*Assumptions!$B$10))-(AR$3/100)*Assumptions!$B$10))))</f>
        <v/>
      </c>
      <c r="AS15" s="29">
        <f>Assumptions!$B$5*(MAX(0,Assumptions!$B$2*EXP(-Assumptions!$B$4*Assumptions!$B$9)*NORMSDIST(((LN(Assumptions!$B$2/$B15)+(Assumptions!$B$3-Assumptions!$B$4+(AS$3/100)^2/2)*Assumptions!$B$9)/((AS$3/100)*Assumptions!$B$10)))-$B15*EXP(-Assumptions!$B$3*Assumptions!$B$9)*NORMSDIST((((LN(Assumptions!$B$2/$B15)+(Assumptions!$B$3-Assumptions!$B$4+(AS$3/100)^2/2)*Assumptions!$B$9)/((AS$3/100)*Assumptions!$B$10))-(AS$3/100)*Assumptions!$B$10))))</f>
        <v/>
      </c>
      <c r="AT15" s="29">
        <f>Assumptions!$B$5*(MAX(0,Assumptions!$B$2*EXP(-Assumptions!$B$4*Assumptions!$B$9)*NORMSDIST(((LN(Assumptions!$B$2/$B15)+(Assumptions!$B$3-Assumptions!$B$4+(AT$3/100)^2/2)*Assumptions!$B$9)/((AT$3/100)*Assumptions!$B$10)))-$B15*EXP(-Assumptions!$B$3*Assumptions!$B$9)*NORMSDIST((((LN(Assumptions!$B$2/$B15)+(Assumptions!$B$3-Assumptions!$B$4+(AT$3/100)^2/2)*Assumptions!$B$9)/((AT$3/100)*Assumptions!$B$10))-(AT$3/100)*Assumptions!$B$10))))</f>
        <v/>
      </c>
      <c r="AU15" s="29">
        <f>Assumptions!$B$5*(MAX(0,Assumptions!$B$2*EXP(-Assumptions!$B$4*Assumptions!$B$9)*NORMSDIST(((LN(Assumptions!$B$2/$B15)+(Assumptions!$B$3-Assumptions!$B$4+(AU$3/100)^2/2)*Assumptions!$B$9)/((AU$3/100)*Assumptions!$B$10)))-$B15*EXP(-Assumptions!$B$3*Assumptions!$B$9)*NORMSDIST((((LN(Assumptions!$B$2/$B15)+(Assumptions!$B$3-Assumptions!$B$4+(AU$3/100)^2/2)*Assumptions!$B$9)/((AU$3/100)*Assumptions!$B$10))-(AU$3/100)*Assumptions!$B$10))))</f>
        <v/>
      </c>
      <c r="AV15" s="29">
        <f>Assumptions!$B$5*(MAX(0,Assumptions!$B$2*EXP(-Assumptions!$B$4*Assumptions!$B$9)*NORMSDIST(((LN(Assumptions!$B$2/$B15)+(Assumptions!$B$3-Assumptions!$B$4+(AV$3/100)^2/2)*Assumptions!$B$9)/((AV$3/100)*Assumptions!$B$10)))-$B15*EXP(-Assumptions!$B$3*Assumptions!$B$9)*NORMSDIST((((LN(Assumptions!$B$2/$B15)+(Assumptions!$B$3-Assumptions!$B$4+(AV$3/100)^2/2)*Assumptions!$B$9)/((AV$3/100)*Assumptions!$B$10))-(AV$3/100)*Assumptions!$B$10))))</f>
        <v/>
      </c>
    </row>
    <row r="16">
      <c r="A16" s="27" t="inlineStr">
        <is>
          <t>+1.00%</t>
        </is>
      </c>
      <c r="B16" s="47">
        <f>'BS Engine'!$B$14</f>
        <v/>
      </c>
      <c r="C16" s="28">
        <f>'BS Engine'!$C$14</f>
        <v/>
      </c>
      <c r="D16" s="49">
        <f>Assumptions!$B$5*(MAX(0,Assumptions!$B$2*EXP(-Assumptions!$B$4*Assumptions!$B$9)*NORMSDIST(((LN(Assumptions!$B$2/$B16)+(Assumptions!$B$3-Assumptions!$B$4+(D$3/100)^2/2)*Assumptions!$B$9)/((D$3/100)*Assumptions!$B$10)))-$B16*EXP(-Assumptions!$B$3*Assumptions!$B$9)*NORMSDIST((((LN(Assumptions!$B$2/$B16)+(Assumptions!$B$3-Assumptions!$B$4+(D$3/100)^2/2)*Assumptions!$B$9)/((D$3/100)*Assumptions!$B$10))-(D$3/100)*Assumptions!$B$10))))</f>
        <v/>
      </c>
      <c r="E16" s="29">
        <f>Assumptions!$B$5*(MAX(0,Assumptions!$B$2*EXP(-Assumptions!$B$4*Assumptions!$B$9)*NORMSDIST(((LN(Assumptions!$B$2/$B16)+(Assumptions!$B$3-Assumptions!$B$4+(E$3/100)^2/2)*Assumptions!$B$9)/((E$3/100)*Assumptions!$B$10)))-$B16*EXP(-Assumptions!$B$3*Assumptions!$B$9)*NORMSDIST((((LN(Assumptions!$B$2/$B16)+(Assumptions!$B$3-Assumptions!$B$4+(E$3/100)^2/2)*Assumptions!$B$9)/((E$3/100)*Assumptions!$B$10))-(E$3/100)*Assumptions!$B$10))))</f>
        <v/>
      </c>
      <c r="F16" s="29">
        <f>Assumptions!$B$5*(MAX(0,Assumptions!$B$2*EXP(-Assumptions!$B$4*Assumptions!$B$9)*NORMSDIST(((LN(Assumptions!$B$2/$B16)+(Assumptions!$B$3-Assumptions!$B$4+(F$3/100)^2/2)*Assumptions!$B$9)/((F$3/100)*Assumptions!$B$10)))-$B16*EXP(-Assumptions!$B$3*Assumptions!$B$9)*NORMSDIST((((LN(Assumptions!$B$2/$B16)+(Assumptions!$B$3-Assumptions!$B$4+(F$3/100)^2/2)*Assumptions!$B$9)/((F$3/100)*Assumptions!$B$10))-(F$3/100)*Assumptions!$B$10))))</f>
        <v/>
      </c>
      <c r="G16" s="29">
        <f>Assumptions!$B$5*(MAX(0,Assumptions!$B$2*EXP(-Assumptions!$B$4*Assumptions!$B$9)*NORMSDIST(((LN(Assumptions!$B$2/$B16)+(Assumptions!$B$3-Assumptions!$B$4+(G$3/100)^2/2)*Assumptions!$B$9)/((G$3/100)*Assumptions!$B$10)))-$B16*EXP(-Assumptions!$B$3*Assumptions!$B$9)*NORMSDIST((((LN(Assumptions!$B$2/$B16)+(Assumptions!$B$3-Assumptions!$B$4+(G$3/100)^2/2)*Assumptions!$B$9)/((G$3/100)*Assumptions!$B$10))-(G$3/100)*Assumptions!$B$10))))</f>
        <v/>
      </c>
      <c r="H16" s="29">
        <f>Assumptions!$B$5*(MAX(0,Assumptions!$B$2*EXP(-Assumptions!$B$4*Assumptions!$B$9)*NORMSDIST(((LN(Assumptions!$B$2/$B16)+(Assumptions!$B$3-Assumptions!$B$4+(H$3/100)^2/2)*Assumptions!$B$9)/((H$3/100)*Assumptions!$B$10)))-$B16*EXP(-Assumptions!$B$3*Assumptions!$B$9)*NORMSDIST((((LN(Assumptions!$B$2/$B16)+(Assumptions!$B$3-Assumptions!$B$4+(H$3/100)^2/2)*Assumptions!$B$9)/((H$3/100)*Assumptions!$B$10))-(H$3/100)*Assumptions!$B$10))))</f>
        <v/>
      </c>
      <c r="I16" s="29">
        <f>Assumptions!$B$5*(MAX(0,Assumptions!$B$2*EXP(-Assumptions!$B$4*Assumptions!$B$9)*NORMSDIST(((LN(Assumptions!$B$2/$B16)+(Assumptions!$B$3-Assumptions!$B$4+(I$3/100)^2/2)*Assumptions!$B$9)/((I$3/100)*Assumptions!$B$10)))-$B16*EXP(-Assumptions!$B$3*Assumptions!$B$9)*NORMSDIST((((LN(Assumptions!$B$2/$B16)+(Assumptions!$B$3-Assumptions!$B$4+(I$3/100)^2/2)*Assumptions!$B$9)/((I$3/100)*Assumptions!$B$10))-(I$3/100)*Assumptions!$B$10))))</f>
        <v/>
      </c>
      <c r="J16" s="29">
        <f>Assumptions!$B$5*(MAX(0,Assumptions!$B$2*EXP(-Assumptions!$B$4*Assumptions!$B$9)*NORMSDIST(((LN(Assumptions!$B$2/$B16)+(Assumptions!$B$3-Assumptions!$B$4+(J$3/100)^2/2)*Assumptions!$B$9)/((J$3/100)*Assumptions!$B$10)))-$B16*EXP(-Assumptions!$B$3*Assumptions!$B$9)*NORMSDIST((((LN(Assumptions!$B$2/$B16)+(Assumptions!$B$3-Assumptions!$B$4+(J$3/100)^2/2)*Assumptions!$B$9)/((J$3/100)*Assumptions!$B$10))-(J$3/100)*Assumptions!$B$10))))</f>
        <v/>
      </c>
      <c r="K16" s="29">
        <f>Assumptions!$B$5*(MAX(0,Assumptions!$B$2*EXP(-Assumptions!$B$4*Assumptions!$B$9)*NORMSDIST(((LN(Assumptions!$B$2/$B16)+(Assumptions!$B$3-Assumptions!$B$4+(K$3/100)^2/2)*Assumptions!$B$9)/((K$3/100)*Assumptions!$B$10)))-$B16*EXP(-Assumptions!$B$3*Assumptions!$B$9)*NORMSDIST((((LN(Assumptions!$B$2/$B16)+(Assumptions!$B$3-Assumptions!$B$4+(K$3/100)^2/2)*Assumptions!$B$9)/((K$3/100)*Assumptions!$B$10))-(K$3/100)*Assumptions!$B$10))))</f>
        <v/>
      </c>
      <c r="L16" s="29">
        <f>Assumptions!$B$5*(MAX(0,Assumptions!$B$2*EXP(-Assumptions!$B$4*Assumptions!$B$9)*NORMSDIST(((LN(Assumptions!$B$2/$B16)+(Assumptions!$B$3-Assumptions!$B$4+(L$3/100)^2/2)*Assumptions!$B$9)/((L$3/100)*Assumptions!$B$10)))-$B16*EXP(-Assumptions!$B$3*Assumptions!$B$9)*NORMSDIST((((LN(Assumptions!$B$2/$B16)+(Assumptions!$B$3-Assumptions!$B$4+(L$3/100)^2/2)*Assumptions!$B$9)/((L$3/100)*Assumptions!$B$10))-(L$3/100)*Assumptions!$B$10))))</f>
        <v/>
      </c>
      <c r="M16" s="29">
        <f>Assumptions!$B$5*(MAX(0,Assumptions!$B$2*EXP(-Assumptions!$B$4*Assumptions!$B$9)*NORMSDIST(((LN(Assumptions!$B$2/$B16)+(Assumptions!$B$3-Assumptions!$B$4+(M$3/100)^2/2)*Assumptions!$B$9)/((M$3/100)*Assumptions!$B$10)))-$B16*EXP(-Assumptions!$B$3*Assumptions!$B$9)*NORMSDIST((((LN(Assumptions!$B$2/$B16)+(Assumptions!$B$3-Assumptions!$B$4+(M$3/100)^2/2)*Assumptions!$B$9)/((M$3/100)*Assumptions!$B$10))-(M$3/100)*Assumptions!$B$10))))</f>
        <v/>
      </c>
      <c r="N16" s="29">
        <f>Assumptions!$B$5*(MAX(0,Assumptions!$B$2*EXP(-Assumptions!$B$4*Assumptions!$B$9)*NORMSDIST(((LN(Assumptions!$B$2/$B16)+(Assumptions!$B$3-Assumptions!$B$4+(N$3/100)^2/2)*Assumptions!$B$9)/((N$3/100)*Assumptions!$B$10)))-$B16*EXP(-Assumptions!$B$3*Assumptions!$B$9)*NORMSDIST((((LN(Assumptions!$B$2/$B16)+(Assumptions!$B$3-Assumptions!$B$4+(N$3/100)^2/2)*Assumptions!$B$9)/((N$3/100)*Assumptions!$B$10))-(N$3/100)*Assumptions!$B$10))))</f>
        <v/>
      </c>
      <c r="O16" s="29">
        <f>Assumptions!$B$5*(MAX(0,Assumptions!$B$2*EXP(-Assumptions!$B$4*Assumptions!$B$9)*NORMSDIST(((LN(Assumptions!$B$2/$B16)+(Assumptions!$B$3-Assumptions!$B$4+(O$3/100)^2/2)*Assumptions!$B$9)/((O$3/100)*Assumptions!$B$10)))-$B16*EXP(-Assumptions!$B$3*Assumptions!$B$9)*NORMSDIST((((LN(Assumptions!$B$2/$B16)+(Assumptions!$B$3-Assumptions!$B$4+(O$3/100)^2/2)*Assumptions!$B$9)/((O$3/100)*Assumptions!$B$10))-(O$3/100)*Assumptions!$B$10))))</f>
        <v/>
      </c>
      <c r="P16" s="29">
        <f>Assumptions!$B$5*(MAX(0,Assumptions!$B$2*EXP(-Assumptions!$B$4*Assumptions!$B$9)*NORMSDIST(((LN(Assumptions!$B$2/$B16)+(Assumptions!$B$3-Assumptions!$B$4+(P$3/100)^2/2)*Assumptions!$B$9)/((P$3/100)*Assumptions!$B$10)))-$B16*EXP(-Assumptions!$B$3*Assumptions!$B$9)*NORMSDIST((((LN(Assumptions!$B$2/$B16)+(Assumptions!$B$3-Assumptions!$B$4+(P$3/100)^2/2)*Assumptions!$B$9)/((P$3/100)*Assumptions!$B$10))-(P$3/100)*Assumptions!$B$10))))</f>
        <v/>
      </c>
      <c r="Q16" s="29">
        <f>Assumptions!$B$5*(MAX(0,Assumptions!$B$2*EXP(-Assumptions!$B$4*Assumptions!$B$9)*NORMSDIST(((LN(Assumptions!$B$2/$B16)+(Assumptions!$B$3-Assumptions!$B$4+(Q$3/100)^2/2)*Assumptions!$B$9)/((Q$3/100)*Assumptions!$B$10)))-$B16*EXP(-Assumptions!$B$3*Assumptions!$B$9)*NORMSDIST((((LN(Assumptions!$B$2/$B16)+(Assumptions!$B$3-Assumptions!$B$4+(Q$3/100)^2/2)*Assumptions!$B$9)/((Q$3/100)*Assumptions!$B$10))-(Q$3/100)*Assumptions!$B$10))))</f>
        <v/>
      </c>
      <c r="R16" s="29">
        <f>Assumptions!$B$5*(MAX(0,Assumptions!$B$2*EXP(-Assumptions!$B$4*Assumptions!$B$9)*NORMSDIST(((LN(Assumptions!$B$2/$B16)+(Assumptions!$B$3-Assumptions!$B$4+(R$3/100)^2/2)*Assumptions!$B$9)/((R$3/100)*Assumptions!$B$10)))-$B16*EXP(-Assumptions!$B$3*Assumptions!$B$9)*NORMSDIST((((LN(Assumptions!$B$2/$B16)+(Assumptions!$B$3-Assumptions!$B$4+(R$3/100)^2/2)*Assumptions!$B$9)/((R$3/100)*Assumptions!$B$10))-(R$3/100)*Assumptions!$B$10))))</f>
        <v/>
      </c>
      <c r="S16" s="29">
        <f>Assumptions!$B$5*(MAX(0,Assumptions!$B$2*EXP(-Assumptions!$B$4*Assumptions!$B$9)*NORMSDIST(((LN(Assumptions!$B$2/$B16)+(Assumptions!$B$3-Assumptions!$B$4+(S$3/100)^2/2)*Assumptions!$B$9)/((S$3/100)*Assumptions!$B$10)))-$B16*EXP(-Assumptions!$B$3*Assumptions!$B$9)*NORMSDIST((((LN(Assumptions!$B$2/$B16)+(Assumptions!$B$3-Assumptions!$B$4+(S$3/100)^2/2)*Assumptions!$B$9)/((S$3/100)*Assumptions!$B$10))-(S$3/100)*Assumptions!$B$10))))</f>
        <v/>
      </c>
      <c r="T16" s="29">
        <f>Assumptions!$B$5*(MAX(0,Assumptions!$B$2*EXP(-Assumptions!$B$4*Assumptions!$B$9)*NORMSDIST(((LN(Assumptions!$B$2/$B16)+(Assumptions!$B$3-Assumptions!$B$4+(T$3/100)^2/2)*Assumptions!$B$9)/((T$3/100)*Assumptions!$B$10)))-$B16*EXP(-Assumptions!$B$3*Assumptions!$B$9)*NORMSDIST((((LN(Assumptions!$B$2/$B16)+(Assumptions!$B$3-Assumptions!$B$4+(T$3/100)^2/2)*Assumptions!$B$9)/((T$3/100)*Assumptions!$B$10))-(T$3/100)*Assumptions!$B$10))))</f>
        <v/>
      </c>
      <c r="U16" s="29">
        <f>Assumptions!$B$5*(MAX(0,Assumptions!$B$2*EXP(-Assumptions!$B$4*Assumptions!$B$9)*NORMSDIST(((LN(Assumptions!$B$2/$B16)+(Assumptions!$B$3-Assumptions!$B$4+(U$3/100)^2/2)*Assumptions!$B$9)/((U$3/100)*Assumptions!$B$10)))-$B16*EXP(-Assumptions!$B$3*Assumptions!$B$9)*NORMSDIST((((LN(Assumptions!$B$2/$B16)+(Assumptions!$B$3-Assumptions!$B$4+(U$3/100)^2/2)*Assumptions!$B$9)/((U$3/100)*Assumptions!$B$10))-(U$3/100)*Assumptions!$B$10))))</f>
        <v/>
      </c>
      <c r="V16" s="29">
        <f>Assumptions!$B$5*(MAX(0,Assumptions!$B$2*EXP(-Assumptions!$B$4*Assumptions!$B$9)*NORMSDIST(((LN(Assumptions!$B$2/$B16)+(Assumptions!$B$3-Assumptions!$B$4+(V$3/100)^2/2)*Assumptions!$B$9)/((V$3/100)*Assumptions!$B$10)))-$B16*EXP(-Assumptions!$B$3*Assumptions!$B$9)*NORMSDIST((((LN(Assumptions!$B$2/$B16)+(Assumptions!$B$3-Assumptions!$B$4+(V$3/100)^2/2)*Assumptions!$B$9)/((V$3/100)*Assumptions!$B$10))-(V$3/100)*Assumptions!$B$10))))</f>
        <v/>
      </c>
      <c r="W16" s="29">
        <f>Assumptions!$B$5*(MAX(0,Assumptions!$B$2*EXP(-Assumptions!$B$4*Assumptions!$B$9)*NORMSDIST(((LN(Assumptions!$B$2/$B16)+(Assumptions!$B$3-Assumptions!$B$4+(W$3/100)^2/2)*Assumptions!$B$9)/((W$3/100)*Assumptions!$B$10)))-$B16*EXP(-Assumptions!$B$3*Assumptions!$B$9)*NORMSDIST((((LN(Assumptions!$B$2/$B16)+(Assumptions!$B$3-Assumptions!$B$4+(W$3/100)^2/2)*Assumptions!$B$9)/((W$3/100)*Assumptions!$B$10))-(W$3/100)*Assumptions!$B$10))))</f>
        <v/>
      </c>
      <c r="X16" s="29">
        <f>Assumptions!$B$5*(MAX(0,Assumptions!$B$2*EXP(-Assumptions!$B$4*Assumptions!$B$9)*NORMSDIST(((LN(Assumptions!$B$2/$B16)+(Assumptions!$B$3-Assumptions!$B$4+(X$3/100)^2/2)*Assumptions!$B$9)/((X$3/100)*Assumptions!$B$10)))-$B16*EXP(-Assumptions!$B$3*Assumptions!$B$9)*NORMSDIST((((LN(Assumptions!$B$2/$B16)+(Assumptions!$B$3-Assumptions!$B$4+(X$3/100)^2/2)*Assumptions!$B$9)/((X$3/100)*Assumptions!$B$10))-(X$3/100)*Assumptions!$B$10))))</f>
        <v/>
      </c>
      <c r="Y16" s="29">
        <f>Assumptions!$B$5*(MAX(0,Assumptions!$B$2*EXP(-Assumptions!$B$4*Assumptions!$B$9)*NORMSDIST(((LN(Assumptions!$B$2/$B16)+(Assumptions!$B$3-Assumptions!$B$4+(Y$3/100)^2/2)*Assumptions!$B$9)/((Y$3/100)*Assumptions!$B$10)))-$B16*EXP(-Assumptions!$B$3*Assumptions!$B$9)*NORMSDIST((((LN(Assumptions!$B$2/$B16)+(Assumptions!$B$3-Assumptions!$B$4+(Y$3/100)^2/2)*Assumptions!$B$9)/((Y$3/100)*Assumptions!$B$10))-(Y$3/100)*Assumptions!$B$10))))</f>
        <v/>
      </c>
      <c r="Z16" s="29">
        <f>Assumptions!$B$5*(MAX(0,Assumptions!$B$2*EXP(-Assumptions!$B$4*Assumptions!$B$9)*NORMSDIST(((LN(Assumptions!$B$2/$B16)+(Assumptions!$B$3-Assumptions!$B$4+(Z$3/100)^2/2)*Assumptions!$B$9)/((Z$3/100)*Assumptions!$B$10)))-$B16*EXP(-Assumptions!$B$3*Assumptions!$B$9)*NORMSDIST((((LN(Assumptions!$B$2/$B16)+(Assumptions!$B$3-Assumptions!$B$4+(Z$3/100)^2/2)*Assumptions!$B$9)/((Z$3/100)*Assumptions!$B$10))-(Z$3/100)*Assumptions!$B$10))))</f>
        <v/>
      </c>
      <c r="AA16" s="29">
        <f>Assumptions!$B$5*(MAX(0,Assumptions!$B$2*EXP(-Assumptions!$B$4*Assumptions!$B$9)*NORMSDIST(((LN(Assumptions!$B$2/$B16)+(Assumptions!$B$3-Assumptions!$B$4+(AA$3/100)^2/2)*Assumptions!$B$9)/((AA$3/100)*Assumptions!$B$10)))-$B16*EXP(-Assumptions!$B$3*Assumptions!$B$9)*NORMSDIST((((LN(Assumptions!$B$2/$B16)+(Assumptions!$B$3-Assumptions!$B$4+(AA$3/100)^2/2)*Assumptions!$B$9)/((AA$3/100)*Assumptions!$B$10))-(AA$3/100)*Assumptions!$B$10))))</f>
        <v/>
      </c>
      <c r="AB16" s="29">
        <f>Assumptions!$B$5*(MAX(0,Assumptions!$B$2*EXP(-Assumptions!$B$4*Assumptions!$B$9)*NORMSDIST(((LN(Assumptions!$B$2/$B16)+(Assumptions!$B$3-Assumptions!$B$4+(AB$3/100)^2/2)*Assumptions!$B$9)/((AB$3/100)*Assumptions!$B$10)))-$B16*EXP(-Assumptions!$B$3*Assumptions!$B$9)*NORMSDIST((((LN(Assumptions!$B$2/$B16)+(Assumptions!$B$3-Assumptions!$B$4+(AB$3/100)^2/2)*Assumptions!$B$9)/((AB$3/100)*Assumptions!$B$10))-(AB$3/100)*Assumptions!$B$10))))</f>
        <v/>
      </c>
      <c r="AC16" s="29">
        <f>Assumptions!$B$5*(MAX(0,Assumptions!$B$2*EXP(-Assumptions!$B$4*Assumptions!$B$9)*NORMSDIST(((LN(Assumptions!$B$2/$B16)+(Assumptions!$B$3-Assumptions!$B$4+(AC$3/100)^2/2)*Assumptions!$B$9)/((AC$3/100)*Assumptions!$B$10)))-$B16*EXP(-Assumptions!$B$3*Assumptions!$B$9)*NORMSDIST((((LN(Assumptions!$B$2/$B16)+(Assumptions!$B$3-Assumptions!$B$4+(AC$3/100)^2/2)*Assumptions!$B$9)/((AC$3/100)*Assumptions!$B$10))-(AC$3/100)*Assumptions!$B$10))))</f>
        <v/>
      </c>
      <c r="AD16" s="29">
        <f>Assumptions!$B$5*(MAX(0,Assumptions!$B$2*EXP(-Assumptions!$B$4*Assumptions!$B$9)*NORMSDIST(((LN(Assumptions!$B$2/$B16)+(Assumptions!$B$3-Assumptions!$B$4+(AD$3/100)^2/2)*Assumptions!$B$9)/((AD$3/100)*Assumptions!$B$10)))-$B16*EXP(-Assumptions!$B$3*Assumptions!$B$9)*NORMSDIST((((LN(Assumptions!$B$2/$B16)+(Assumptions!$B$3-Assumptions!$B$4+(AD$3/100)^2/2)*Assumptions!$B$9)/((AD$3/100)*Assumptions!$B$10))-(AD$3/100)*Assumptions!$B$10))))</f>
        <v/>
      </c>
      <c r="AE16" s="29">
        <f>Assumptions!$B$5*(MAX(0,Assumptions!$B$2*EXP(-Assumptions!$B$4*Assumptions!$B$9)*NORMSDIST(((LN(Assumptions!$B$2/$B16)+(Assumptions!$B$3-Assumptions!$B$4+(AE$3/100)^2/2)*Assumptions!$B$9)/((AE$3/100)*Assumptions!$B$10)))-$B16*EXP(-Assumptions!$B$3*Assumptions!$B$9)*NORMSDIST((((LN(Assumptions!$B$2/$B16)+(Assumptions!$B$3-Assumptions!$B$4+(AE$3/100)^2/2)*Assumptions!$B$9)/((AE$3/100)*Assumptions!$B$10))-(AE$3/100)*Assumptions!$B$10))))</f>
        <v/>
      </c>
      <c r="AF16" s="29">
        <f>Assumptions!$B$5*(MAX(0,Assumptions!$B$2*EXP(-Assumptions!$B$4*Assumptions!$B$9)*NORMSDIST(((LN(Assumptions!$B$2/$B16)+(Assumptions!$B$3-Assumptions!$B$4+(AF$3/100)^2/2)*Assumptions!$B$9)/((AF$3/100)*Assumptions!$B$10)))-$B16*EXP(-Assumptions!$B$3*Assumptions!$B$9)*NORMSDIST((((LN(Assumptions!$B$2/$B16)+(Assumptions!$B$3-Assumptions!$B$4+(AF$3/100)^2/2)*Assumptions!$B$9)/((AF$3/100)*Assumptions!$B$10))-(AF$3/100)*Assumptions!$B$10))))</f>
        <v/>
      </c>
      <c r="AG16" s="29">
        <f>Assumptions!$B$5*(MAX(0,Assumptions!$B$2*EXP(-Assumptions!$B$4*Assumptions!$B$9)*NORMSDIST(((LN(Assumptions!$B$2/$B16)+(Assumptions!$B$3-Assumptions!$B$4+(AG$3/100)^2/2)*Assumptions!$B$9)/((AG$3/100)*Assumptions!$B$10)))-$B16*EXP(-Assumptions!$B$3*Assumptions!$B$9)*NORMSDIST((((LN(Assumptions!$B$2/$B16)+(Assumptions!$B$3-Assumptions!$B$4+(AG$3/100)^2/2)*Assumptions!$B$9)/((AG$3/100)*Assumptions!$B$10))-(AG$3/100)*Assumptions!$B$10))))</f>
        <v/>
      </c>
      <c r="AH16" s="29">
        <f>Assumptions!$B$5*(MAX(0,Assumptions!$B$2*EXP(-Assumptions!$B$4*Assumptions!$B$9)*NORMSDIST(((LN(Assumptions!$B$2/$B16)+(Assumptions!$B$3-Assumptions!$B$4+(AH$3/100)^2/2)*Assumptions!$B$9)/((AH$3/100)*Assumptions!$B$10)))-$B16*EXP(-Assumptions!$B$3*Assumptions!$B$9)*NORMSDIST((((LN(Assumptions!$B$2/$B16)+(Assumptions!$B$3-Assumptions!$B$4+(AH$3/100)^2/2)*Assumptions!$B$9)/((AH$3/100)*Assumptions!$B$10))-(AH$3/100)*Assumptions!$B$10))))</f>
        <v/>
      </c>
      <c r="AI16" s="29">
        <f>Assumptions!$B$5*(MAX(0,Assumptions!$B$2*EXP(-Assumptions!$B$4*Assumptions!$B$9)*NORMSDIST(((LN(Assumptions!$B$2/$B16)+(Assumptions!$B$3-Assumptions!$B$4+(AI$3/100)^2/2)*Assumptions!$B$9)/((AI$3/100)*Assumptions!$B$10)))-$B16*EXP(-Assumptions!$B$3*Assumptions!$B$9)*NORMSDIST((((LN(Assumptions!$B$2/$B16)+(Assumptions!$B$3-Assumptions!$B$4+(AI$3/100)^2/2)*Assumptions!$B$9)/((AI$3/100)*Assumptions!$B$10))-(AI$3/100)*Assumptions!$B$10))))</f>
        <v/>
      </c>
      <c r="AJ16" s="29">
        <f>Assumptions!$B$5*(MAX(0,Assumptions!$B$2*EXP(-Assumptions!$B$4*Assumptions!$B$9)*NORMSDIST(((LN(Assumptions!$B$2/$B16)+(Assumptions!$B$3-Assumptions!$B$4+(AJ$3/100)^2/2)*Assumptions!$B$9)/((AJ$3/100)*Assumptions!$B$10)))-$B16*EXP(-Assumptions!$B$3*Assumptions!$B$9)*NORMSDIST((((LN(Assumptions!$B$2/$B16)+(Assumptions!$B$3-Assumptions!$B$4+(AJ$3/100)^2/2)*Assumptions!$B$9)/((AJ$3/100)*Assumptions!$B$10))-(AJ$3/100)*Assumptions!$B$10))))</f>
        <v/>
      </c>
      <c r="AK16" s="29">
        <f>Assumptions!$B$5*(MAX(0,Assumptions!$B$2*EXP(-Assumptions!$B$4*Assumptions!$B$9)*NORMSDIST(((LN(Assumptions!$B$2/$B16)+(Assumptions!$B$3-Assumptions!$B$4+(AK$3/100)^2/2)*Assumptions!$B$9)/((AK$3/100)*Assumptions!$B$10)))-$B16*EXP(-Assumptions!$B$3*Assumptions!$B$9)*NORMSDIST((((LN(Assumptions!$B$2/$B16)+(Assumptions!$B$3-Assumptions!$B$4+(AK$3/100)^2/2)*Assumptions!$B$9)/((AK$3/100)*Assumptions!$B$10))-(AK$3/100)*Assumptions!$B$10))))</f>
        <v/>
      </c>
      <c r="AL16" s="29">
        <f>Assumptions!$B$5*(MAX(0,Assumptions!$B$2*EXP(-Assumptions!$B$4*Assumptions!$B$9)*NORMSDIST(((LN(Assumptions!$B$2/$B16)+(Assumptions!$B$3-Assumptions!$B$4+(AL$3/100)^2/2)*Assumptions!$B$9)/((AL$3/100)*Assumptions!$B$10)))-$B16*EXP(-Assumptions!$B$3*Assumptions!$B$9)*NORMSDIST((((LN(Assumptions!$B$2/$B16)+(Assumptions!$B$3-Assumptions!$B$4+(AL$3/100)^2/2)*Assumptions!$B$9)/((AL$3/100)*Assumptions!$B$10))-(AL$3/100)*Assumptions!$B$10))))</f>
        <v/>
      </c>
      <c r="AM16" s="29">
        <f>Assumptions!$B$5*(MAX(0,Assumptions!$B$2*EXP(-Assumptions!$B$4*Assumptions!$B$9)*NORMSDIST(((LN(Assumptions!$B$2/$B16)+(Assumptions!$B$3-Assumptions!$B$4+(AM$3/100)^2/2)*Assumptions!$B$9)/((AM$3/100)*Assumptions!$B$10)))-$B16*EXP(-Assumptions!$B$3*Assumptions!$B$9)*NORMSDIST((((LN(Assumptions!$B$2/$B16)+(Assumptions!$B$3-Assumptions!$B$4+(AM$3/100)^2/2)*Assumptions!$B$9)/((AM$3/100)*Assumptions!$B$10))-(AM$3/100)*Assumptions!$B$10))))</f>
        <v/>
      </c>
      <c r="AN16" s="29">
        <f>Assumptions!$B$5*(MAX(0,Assumptions!$B$2*EXP(-Assumptions!$B$4*Assumptions!$B$9)*NORMSDIST(((LN(Assumptions!$B$2/$B16)+(Assumptions!$B$3-Assumptions!$B$4+(AN$3/100)^2/2)*Assumptions!$B$9)/((AN$3/100)*Assumptions!$B$10)))-$B16*EXP(-Assumptions!$B$3*Assumptions!$B$9)*NORMSDIST((((LN(Assumptions!$B$2/$B16)+(Assumptions!$B$3-Assumptions!$B$4+(AN$3/100)^2/2)*Assumptions!$B$9)/((AN$3/100)*Assumptions!$B$10))-(AN$3/100)*Assumptions!$B$10))))</f>
        <v/>
      </c>
      <c r="AO16" s="29">
        <f>Assumptions!$B$5*(MAX(0,Assumptions!$B$2*EXP(-Assumptions!$B$4*Assumptions!$B$9)*NORMSDIST(((LN(Assumptions!$B$2/$B16)+(Assumptions!$B$3-Assumptions!$B$4+(AO$3/100)^2/2)*Assumptions!$B$9)/((AO$3/100)*Assumptions!$B$10)))-$B16*EXP(-Assumptions!$B$3*Assumptions!$B$9)*NORMSDIST((((LN(Assumptions!$B$2/$B16)+(Assumptions!$B$3-Assumptions!$B$4+(AO$3/100)^2/2)*Assumptions!$B$9)/((AO$3/100)*Assumptions!$B$10))-(AO$3/100)*Assumptions!$B$10))))</f>
        <v/>
      </c>
      <c r="AP16" s="29">
        <f>Assumptions!$B$5*(MAX(0,Assumptions!$B$2*EXP(-Assumptions!$B$4*Assumptions!$B$9)*NORMSDIST(((LN(Assumptions!$B$2/$B16)+(Assumptions!$B$3-Assumptions!$B$4+(AP$3/100)^2/2)*Assumptions!$B$9)/((AP$3/100)*Assumptions!$B$10)))-$B16*EXP(-Assumptions!$B$3*Assumptions!$B$9)*NORMSDIST((((LN(Assumptions!$B$2/$B16)+(Assumptions!$B$3-Assumptions!$B$4+(AP$3/100)^2/2)*Assumptions!$B$9)/((AP$3/100)*Assumptions!$B$10))-(AP$3/100)*Assumptions!$B$10))))</f>
        <v/>
      </c>
      <c r="AQ16" s="29">
        <f>Assumptions!$B$5*(MAX(0,Assumptions!$B$2*EXP(-Assumptions!$B$4*Assumptions!$B$9)*NORMSDIST(((LN(Assumptions!$B$2/$B16)+(Assumptions!$B$3-Assumptions!$B$4+(AQ$3/100)^2/2)*Assumptions!$B$9)/((AQ$3/100)*Assumptions!$B$10)))-$B16*EXP(-Assumptions!$B$3*Assumptions!$B$9)*NORMSDIST((((LN(Assumptions!$B$2/$B16)+(Assumptions!$B$3-Assumptions!$B$4+(AQ$3/100)^2/2)*Assumptions!$B$9)/((AQ$3/100)*Assumptions!$B$10))-(AQ$3/100)*Assumptions!$B$10))))</f>
        <v/>
      </c>
      <c r="AR16" s="29">
        <f>Assumptions!$B$5*(MAX(0,Assumptions!$B$2*EXP(-Assumptions!$B$4*Assumptions!$B$9)*NORMSDIST(((LN(Assumptions!$B$2/$B16)+(Assumptions!$B$3-Assumptions!$B$4+(AR$3/100)^2/2)*Assumptions!$B$9)/((AR$3/100)*Assumptions!$B$10)))-$B16*EXP(-Assumptions!$B$3*Assumptions!$B$9)*NORMSDIST((((LN(Assumptions!$B$2/$B16)+(Assumptions!$B$3-Assumptions!$B$4+(AR$3/100)^2/2)*Assumptions!$B$9)/((AR$3/100)*Assumptions!$B$10))-(AR$3/100)*Assumptions!$B$10))))</f>
        <v/>
      </c>
      <c r="AS16" s="29">
        <f>Assumptions!$B$5*(MAX(0,Assumptions!$B$2*EXP(-Assumptions!$B$4*Assumptions!$B$9)*NORMSDIST(((LN(Assumptions!$B$2/$B16)+(Assumptions!$B$3-Assumptions!$B$4+(AS$3/100)^2/2)*Assumptions!$B$9)/((AS$3/100)*Assumptions!$B$10)))-$B16*EXP(-Assumptions!$B$3*Assumptions!$B$9)*NORMSDIST((((LN(Assumptions!$B$2/$B16)+(Assumptions!$B$3-Assumptions!$B$4+(AS$3/100)^2/2)*Assumptions!$B$9)/((AS$3/100)*Assumptions!$B$10))-(AS$3/100)*Assumptions!$B$10))))</f>
        <v/>
      </c>
      <c r="AT16" s="29">
        <f>Assumptions!$B$5*(MAX(0,Assumptions!$B$2*EXP(-Assumptions!$B$4*Assumptions!$B$9)*NORMSDIST(((LN(Assumptions!$B$2/$B16)+(Assumptions!$B$3-Assumptions!$B$4+(AT$3/100)^2/2)*Assumptions!$B$9)/((AT$3/100)*Assumptions!$B$10)))-$B16*EXP(-Assumptions!$B$3*Assumptions!$B$9)*NORMSDIST((((LN(Assumptions!$B$2/$B16)+(Assumptions!$B$3-Assumptions!$B$4+(AT$3/100)^2/2)*Assumptions!$B$9)/((AT$3/100)*Assumptions!$B$10))-(AT$3/100)*Assumptions!$B$10))))</f>
        <v/>
      </c>
      <c r="AU16" s="29">
        <f>Assumptions!$B$5*(MAX(0,Assumptions!$B$2*EXP(-Assumptions!$B$4*Assumptions!$B$9)*NORMSDIST(((LN(Assumptions!$B$2/$B16)+(Assumptions!$B$3-Assumptions!$B$4+(AU$3/100)^2/2)*Assumptions!$B$9)/((AU$3/100)*Assumptions!$B$10)))-$B16*EXP(-Assumptions!$B$3*Assumptions!$B$9)*NORMSDIST((((LN(Assumptions!$B$2/$B16)+(Assumptions!$B$3-Assumptions!$B$4+(AU$3/100)^2/2)*Assumptions!$B$9)/((AU$3/100)*Assumptions!$B$10))-(AU$3/100)*Assumptions!$B$10))))</f>
        <v/>
      </c>
      <c r="AV16" s="29">
        <f>Assumptions!$B$5*(MAX(0,Assumptions!$B$2*EXP(-Assumptions!$B$4*Assumptions!$B$9)*NORMSDIST(((LN(Assumptions!$B$2/$B16)+(Assumptions!$B$3-Assumptions!$B$4+(AV$3/100)^2/2)*Assumptions!$B$9)/((AV$3/100)*Assumptions!$B$10)))-$B16*EXP(-Assumptions!$B$3*Assumptions!$B$9)*NORMSDIST((((LN(Assumptions!$B$2/$B16)+(Assumptions!$B$3-Assumptions!$B$4+(AV$3/100)^2/2)*Assumptions!$B$9)/((AV$3/100)*Assumptions!$B$10))-(AV$3/100)*Assumptions!$B$10))))</f>
        <v/>
      </c>
    </row>
    <row r="17">
      <c r="A17" s="27" t="inlineStr">
        <is>
          <t>+1.25%</t>
        </is>
      </c>
      <c r="B17" s="47">
        <f>'BS Engine'!$B$15</f>
        <v/>
      </c>
      <c r="C17" s="28">
        <f>'BS Engine'!$C$15</f>
        <v/>
      </c>
      <c r="D17" s="49">
        <f>Assumptions!$B$5*(MAX(0,Assumptions!$B$2*EXP(-Assumptions!$B$4*Assumptions!$B$9)*NORMSDIST(((LN(Assumptions!$B$2/$B17)+(Assumptions!$B$3-Assumptions!$B$4+(D$3/100)^2/2)*Assumptions!$B$9)/((D$3/100)*Assumptions!$B$10)))-$B17*EXP(-Assumptions!$B$3*Assumptions!$B$9)*NORMSDIST((((LN(Assumptions!$B$2/$B17)+(Assumptions!$B$3-Assumptions!$B$4+(D$3/100)^2/2)*Assumptions!$B$9)/((D$3/100)*Assumptions!$B$10))-(D$3/100)*Assumptions!$B$10))))</f>
        <v/>
      </c>
      <c r="E17" s="29">
        <f>Assumptions!$B$5*(MAX(0,Assumptions!$B$2*EXP(-Assumptions!$B$4*Assumptions!$B$9)*NORMSDIST(((LN(Assumptions!$B$2/$B17)+(Assumptions!$B$3-Assumptions!$B$4+(E$3/100)^2/2)*Assumptions!$B$9)/((E$3/100)*Assumptions!$B$10)))-$B17*EXP(-Assumptions!$B$3*Assumptions!$B$9)*NORMSDIST((((LN(Assumptions!$B$2/$B17)+(Assumptions!$B$3-Assumptions!$B$4+(E$3/100)^2/2)*Assumptions!$B$9)/((E$3/100)*Assumptions!$B$10))-(E$3/100)*Assumptions!$B$10))))</f>
        <v/>
      </c>
      <c r="F17" s="29">
        <f>Assumptions!$B$5*(MAX(0,Assumptions!$B$2*EXP(-Assumptions!$B$4*Assumptions!$B$9)*NORMSDIST(((LN(Assumptions!$B$2/$B17)+(Assumptions!$B$3-Assumptions!$B$4+(F$3/100)^2/2)*Assumptions!$B$9)/((F$3/100)*Assumptions!$B$10)))-$B17*EXP(-Assumptions!$B$3*Assumptions!$B$9)*NORMSDIST((((LN(Assumptions!$B$2/$B17)+(Assumptions!$B$3-Assumptions!$B$4+(F$3/100)^2/2)*Assumptions!$B$9)/((F$3/100)*Assumptions!$B$10))-(F$3/100)*Assumptions!$B$10))))</f>
        <v/>
      </c>
      <c r="G17" s="29">
        <f>Assumptions!$B$5*(MAX(0,Assumptions!$B$2*EXP(-Assumptions!$B$4*Assumptions!$B$9)*NORMSDIST(((LN(Assumptions!$B$2/$B17)+(Assumptions!$B$3-Assumptions!$B$4+(G$3/100)^2/2)*Assumptions!$B$9)/((G$3/100)*Assumptions!$B$10)))-$B17*EXP(-Assumptions!$B$3*Assumptions!$B$9)*NORMSDIST((((LN(Assumptions!$B$2/$B17)+(Assumptions!$B$3-Assumptions!$B$4+(G$3/100)^2/2)*Assumptions!$B$9)/((G$3/100)*Assumptions!$B$10))-(G$3/100)*Assumptions!$B$10))))</f>
        <v/>
      </c>
      <c r="H17" s="29">
        <f>Assumptions!$B$5*(MAX(0,Assumptions!$B$2*EXP(-Assumptions!$B$4*Assumptions!$B$9)*NORMSDIST(((LN(Assumptions!$B$2/$B17)+(Assumptions!$B$3-Assumptions!$B$4+(H$3/100)^2/2)*Assumptions!$B$9)/((H$3/100)*Assumptions!$B$10)))-$B17*EXP(-Assumptions!$B$3*Assumptions!$B$9)*NORMSDIST((((LN(Assumptions!$B$2/$B17)+(Assumptions!$B$3-Assumptions!$B$4+(H$3/100)^2/2)*Assumptions!$B$9)/((H$3/100)*Assumptions!$B$10))-(H$3/100)*Assumptions!$B$10))))</f>
        <v/>
      </c>
      <c r="I17" s="29">
        <f>Assumptions!$B$5*(MAX(0,Assumptions!$B$2*EXP(-Assumptions!$B$4*Assumptions!$B$9)*NORMSDIST(((LN(Assumptions!$B$2/$B17)+(Assumptions!$B$3-Assumptions!$B$4+(I$3/100)^2/2)*Assumptions!$B$9)/((I$3/100)*Assumptions!$B$10)))-$B17*EXP(-Assumptions!$B$3*Assumptions!$B$9)*NORMSDIST((((LN(Assumptions!$B$2/$B17)+(Assumptions!$B$3-Assumptions!$B$4+(I$3/100)^2/2)*Assumptions!$B$9)/((I$3/100)*Assumptions!$B$10))-(I$3/100)*Assumptions!$B$10))))</f>
        <v/>
      </c>
      <c r="J17" s="29">
        <f>Assumptions!$B$5*(MAX(0,Assumptions!$B$2*EXP(-Assumptions!$B$4*Assumptions!$B$9)*NORMSDIST(((LN(Assumptions!$B$2/$B17)+(Assumptions!$B$3-Assumptions!$B$4+(J$3/100)^2/2)*Assumptions!$B$9)/((J$3/100)*Assumptions!$B$10)))-$B17*EXP(-Assumptions!$B$3*Assumptions!$B$9)*NORMSDIST((((LN(Assumptions!$B$2/$B17)+(Assumptions!$B$3-Assumptions!$B$4+(J$3/100)^2/2)*Assumptions!$B$9)/((J$3/100)*Assumptions!$B$10))-(J$3/100)*Assumptions!$B$10))))</f>
        <v/>
      </c>
      <c r="K17" s="29">
        <f>Assumptions!$B$5*(MAX(0,Assumptions!$B$2*EXP(-Assumptions!$B$4*Assumptions!$B$9)*NORMSDIST(((LN(Assumptions!$B$2/$B17)+(Assumptions!$B$3-Assumptions!$B$4+(K$3/100)^2/2)*Assumptions!$B$9)/((K$3/100)*Assumptions!$B$10)))-$B17*EXP(-Assumptions!$B$3*Assumptions!$B$9)*NORMSDIST((((LN(Assumptions!$B$2/$B17)+(Assumptions!$B$3-Assumptions!$B$4+(K$3/100)^2/2)*Assumptions!$B$9)/((K$3/100)*Assumptions!$B$10))-(K$3/100)*Assumptions!$B$10))))</f>
        <v/>
      </c>
      <c r="L17" s="29">
        <f>Assumptions!$B$5*(MAX(0,Assumptions!$B$2*EXP(-Assumptions!$B$4*Assumptions!$B$9)*NORMSDIST(((LN(Assumptions!$B$2/$B17)+(Assumptions!$B$3-Assumptions!$B$4+(L$3/100)^2/2)*Assumptions!$B$9)/((L$3/100)*Assumptions!$B$10)))-$B17*EXP(-Assumptions!$B$3*Assumptions!$B$9)*NORMSDIST((((LN(Assumptions!$B$2/$B17)+(Assumptions!$B$3-Assumptions!$B$4+(L$3/100)^2/2)*Assumptions!$B$9)/((L$3/100)*Assumptions!$B$10))-(L$3/100)*Assumptions!$B$10))))</f>
        <v/>
      </c>
      <c r="M17" s="29">
        <f>Assumptions!$B$5*(MAX(0,Assumptions!$B$2*EXP(-Assumptions!$B$4*Assumptions!$B$9)*NORMSDIST(((LN(Assumptions!$B$2/$B17)+(Assumptions!$B$3-Assumptions!$B$4+(M$3/100)^2/2)*Assumptions!$B$9)/((M$3/100)*Assumptions!$B$10)))-$B17*EXP(-Assumptions!$B$3*Assumptions!$B$9)*NORMSDIST((((LN(Assumptions!$B$2/$B17)+(Assumptions!$B$3-Assumptions!$B$4+(M$3/100)^2/2)*Assumptions!$B$9)/((M$3/100)*Assumptions!$B$10))-(M$3/100)*Assumptions!$B$10))))</f>
        <v/>
      </c>
      <c r="N17" s="29">
        <f>Assumptions!$B$5*(MAX(0,Assumptions!$B$2*EXP(-Assumptions!$B$4*Assumptions!$B$9)*NORMSDIST(((LN(Assumptions!$B$2/$B17)+(Assumptions!$B$3-Assumptions!$B$4+(N$3/100)^2/2)*Assumptions!$B$9)/((N$3/100)*Assumptions!$B$10)))-$B17*EXP(-Assumptions!$B$3*Assumptions!$B$9)*NORMSDIST((((LN(Assumptions!$B$2/$B17)+(Assumptions!$B$3-Assumptions!$B$4+(N$3/100)^2/2)*Assumptions!$B$9)/((N$3/100)*Assumptions!$B$10))-(N$3/100)*Assumptions!$B$10))))</f>
        <v/>
      </c>
      <c r="O17" s="29">
        <f>Assumptions!$B$5*(MAX(0,Assumptions!$B$2*EXP(-Assumptions!$B$4*Assumptions!$B$9)*NORMSDIST(((LN(Assumptions!$B$2/$B17)+(Assumptions!$B$3-Assumptions!$B$4+(O$3/100)^2/2)*Assumptions!$B$9)/((O$3/100)*Assumptions!$B$10)))-$B17*EXP(-Assumptions!$B$3*Assumptions!$B$9)*NORMSDIST((((LN(Assumptions!$B$2/$B17)+(Assumptions!$B$3-Assumptions!$B$4+(O$3/100)^2/2)*Assumptions!$B$9)/((O$3/100)*Assumptions!$B$10))-(O$3/100)*Assumptions!$B$10))))</f>
        <v/>
      </c>
      <c r="P17" s="29">
        <f>Assumptions!$B$5*(MAX(0,Assumptions!$B$2*EXP(-Assumptions!$B$4*Assumptions!$B$9)*NORMSDIST(((LN(Assumptions!$B$2/$B17)+(Assumptions!$B$3-Assumptions!$B$4+(P$3/100)^2/2)*Assumptions!$B$9)/((P$3/100)*Assumptions!$B$10)))-$B17*EXP(-Assumptions!$B$3*Assumptions!$B$9)*NORMSDIST((((LN(Assumptions!$B$2/$B17)+(Assumptions!$B$3-Assumptions!$B$4+(P$3/100)^2/2)*Assumptions!$B$9)/((P$3/100)*Assumptions!$B$10))-(P$3/100)*Assumptions!$B$10))))</f>
        <v/>
      </c>
      <c r="Q17" s="29">
        <f>Assumptions!$B$5*(MAX(0,Assumptions!$B$2*EXP(-Assumptions!$B$4*Assumptions!$B$9)*NORMSDIST(((LN(Assumptions!$B$2/$B17)+(Assumptions!$B$3-Assumptions!$B$4+(Q$3/100)^2/2)*Assumptions!$B$9)/((Q$3/100)*Assumptions!$B$10)))-$B17*EXP(-Assumptions!$B$3*Assumptions!$B$9)*NORMSDIST((((LN(Assumptions!$B$2/$B17)+(Assumptions!$B$3-Assumptions!$B$4+(Q$3/100)^2/2)*Assumptions!$B$9)/((Q$3/100)*Assumptions!$B$10))-(Q$3/100)*Assumptions!$B$10))))</f>
        <v/>
      </c>
      <c r="R17" s="29">
        <f>Assumptions!$B$5*(MAX(0,Assumptions!$B$2*EXP(-Assumptions!$B$4*Assumptions!$B$9)*NORMSDIST(((LN(Assumptions!$B$2/$B17)+(Assumptions!$B$3-Assumptions!$B$4+(R$3/100)^2/2)*Assumptions!$B$9)/((R$3/100)*Assumptions!$B$10)))-$B17*EXP(-Assumptions!$B$3*Assumptions!$B$9)*NORMSDIST((((LN(Assumptions!$B$2/$B17)+(Assumptions!$B$3-Assumptions!$B$4+(R$3/100)^2/2)*Assumptions!$B$9)/((R$3/100)*Assumptions!$B$10))-(R$3/100)*Assumptions!$B$10))))</f>
        <v/>
      </c>
      <c r="S17" s="29">
        <f>Assumptions!$B$5*(MAX(0,Assumptions!$B$2*EXP(-Assumptions!$B$4*Assumptions!$B$9)*NORMSDIST(((LN(Assumptions!$B$2/$B17)+(Assumptions!$B$3-Assumptions!$B$4+(S$3/100)^2/2)*Assumptions!$B$9)/((S$3/100)*Assumptions!$B$10)))-$B17*EXP(-Assumptions!$B$3*Assumptions!$B$9)*NORMSDIST((((LN(Assumptions!$B$2/$B17)+(Assumptions!$B$3-Assumptions!$B$4+(S$3/100)^2/2)*Assumptions!$B$9)/((S$3/100)*Assumptions!$B$10))-(S$3/100)*Assumptions!$B$10))))</f>
        <v/>
      </c>
      <c r="T17" s="29">
        <f>Assumptions!$B$5*(MAX(0,Assumptions!$B$2*EXP(-Assumptions!$B$4*Assumptions!$B$9)*NORMSDIST(((LN(Assumptions!$B$2/$B17)+(Assumptions!$B$3-Assumptions!$B$4+(T$3/100)^2/2)*Assumptions!$B$9)/((T$3/100)*Assumptions!$B$10)))-$B17*EXP(-Assumptions!$B$3*Assumptions!$B$9)*NORMSDIST((((LN(Assumptions!$B$2/$B17)+(Assumptions!$B$3-Assumptions!$B$4+(T$3/100)^2/2)*Assumptions!$B$9)/((T$3/100)*Assumptions!$B$10))-(T$3/100)*Assumptions!$B$10))))</f>
        <v/>
      </c>
      <c r="U17" s="29">
        <f>Assumptions!$B$5*(MAX(0,Assumptions!$B$2*EXP(-Assumptions!$B$4*Assumptions!$B$9)*NORMSDIST(((LN(Assumptions!$B$2/$B17)+(Assumptions!$B$3-Assumptions!$B$4+(U$3/100)^2/2)*Assumptions!$B$9)/((U$3/100)*Assumptions!$B$10)))-$B17*EXP(-Assumptions!$B$3*Assumptions!$B$9)*NORMSDIST((((LN(Assumptions!$B$2/$B17)+(Assumptions!$B$3-Assumptions!$B$4+(U$3/100)^2/2)*Assumptions!$B$9)/((U$3/100)*Assumptions!$B$10))-(U$3/100)*Assumptions!$B$10))))</f>
        <v/>
      </c>
      <c r="V17" s="29">
        <f>Assumptions!$B$5*(MAX(0,Assumptions!$B$2*EXP(-Assumptions!$B$4*Assumptions!$B$9)*NORMSDIST(((LN(Assumptions!$B$2/$B17)+(Assumptions!$B$3-Assumptions!$B$4+(V$3/100)^2/2)*Assumptions!$B$9)/((V$3/100)*Assumptions!$B$10)))-$B17*EXP(-Assumptions!$B$3*Assumptions!$B$9)*NORMSDIST((((LN(Assumptions!$B$2/$B17)+(Assumptions!$B$3-Assumptions!$B$4+(V$3/100)^2/2)*Assumptions!$B$9)/((V$3/100)*Assumptions!$B$10))-(V$3/100)*Assumptions!$B$10))))</f>
        <v/>
      </c>
      <c r="W17" s="29">
        <f>Assumptions!$B$5*(MAX(0,Assumptions!$B$2*EXP(-Assumptions!$B$4*Assumptions!$B$9)*NORMSDIST(((LN(Assumptions!$B$2/$B17)+(Assumptions!$B$3-Assumptions!$B$4+(W$3/100)^2/2)*Assumptions!$B$9)/((W$3/100)*Assumptions!$B$10)))-$B17*EXP(-Assumptions!$B$3*Assumptions!$B$9)*NORMSDIST((((LN(Assumptions!$B$2/$B17)+(Assumptions!$B$3-Assumptions!$B$4+(W$3/100)^2/2)*Assumptions!$B$9)/((W$3/100)*Assumptions!$B$10))-(W$3/100)*Assumptions!$B$10))))</f>
        <v/>
      </c>
      <c r="X17" s="29">
        <f>Assumptions!$B$5*(MAX(0,Assumptions!$B$2*EXP(-Assumptions!$B$4*Assumptions!$B$9)*NORMSDIST(((LN(Assumptions!$B$2/$B17)+(Assumptions!$B$3-Assumptions!$B$4+(X$3/100)^2/2)*Assumptions!$B$9)/((X$3/100)*Assumptions!$B$10)))-$B17*EXP(-Assumptions!$B$3*Assumptions!$B$9)*NORMSDIST((((LN(Assumptions!$B$2/$B17)+(Assumptions!$B$3-Assumptions!$B$4+(X$3/100)^2/2)*Assumptions!$B$9)/((X$3/100)*Assumptions!$B$10))-(X$3/100)*Assumptions!$B$10))))</f>
        <v/>
      </c>
      <c r="Y17" s="29">
        <f>Assumptions!$B$5*(MAX(0,Assumptions!$B$2*EXP(-Assumptions!$B$4*Assumptions!$B$9)*NORMSDIST(((LN(Assumptions!$B$2/$B17)+(Assumptions!$B$3-Assumptions!$B$4+(Y$3/100)^2/2)*Assumptions!$B$9)/((Y$3/100)*Assumptions!$B$10)))-$B17*EXP(-Assumptions!$B$3*Assumptions!$B$9)*NORMSDIST((((LN(Assumptions!$B$2/$B17)+(Assumptions!$B$3-Assumptions!$B$4+(Y$3/100)^2/2)*Assumptions!$B$9)/((Y$3/100)*Assumptions!$B$10))-(Y$3/100)*Assumptions!$B$10))))</f>
        <v/>
      </c>
      <c r="Z17" s="29">
        <f>Assumptions!$B$5*(MAX(0,Assumptions!$B$2*EXP(-Assumptions!$B$4*Assumptions!$B$9)*NORMSDIST(((LN(Assumptions!$B$2/$B17)+(Assumptions!$B$3-Assumptions!$B$4+(Z$3/100)^2/2)*Assumptions!$B$9)/((Z$3/100)*Assumptions!$B$10)))-$B17*EXP(-Assumptions!$B$3*Assumptions!$B$9)*NORMSDIST((((LN(Assumptions!$B$2/$B17)+(Assumptions!$B$3-Assumptions!$B$4+(Z$3/100)^2/2)*Assumptions!$B$9)/((Z$3/100)*Assumptions!$B$10))-(Z$3/100)*Assumptions!$B$10))))</f>
        <v/>
      </c>
      <c r="AA17" s="29">
        <f>Assumptions!$B$5*(MAX(0,Assumptions!$B$2*EXP(-Assumptions!$B$4*Assumptions!$B$9)*NORMSDIST(((LN(Assumptions!$B$2/$B17)+(Assumptions!$B$3-Assumptions!$B$4+(AA$3/100)^2/2)*Assumptions!$B$9)/((AA$3/100)*Assumptions!$B$10)))-$B17*EXP(-Assumptions!$B$3*Assumptions!$B$9)*NORMSDIST((((LN(Assumptions!$B$2/$B17)+(Assumptions!$B$3-Assumptions!$B$4+(AA$3/100)^2/2)*Assumptions!$B$9)/((AA$3/100)*Assumptions!$B$10))-(AA$3/100)*Assumptions!$B$10))))</f>
        <v/>
      </c>
      <c r="AB17" s="29">
        <f>Assumptions!$B$5*(MAX(0,Assumptions!$B$2*EXP(-Assumptions!$B$4*Assumptions!$B$9)*NORMSDIST(((LN(Assumptions!$B$2/$B17)+(Assumptions!$B$3-Assumptions!$B$4+(AB$3/100)^2/2)*Assumptions!$B$9)/((AB$3/100)*Assumptions!$B$10)))-$B17*EXP(-Assumptions!$B$3*Assumptions!$B$9)*NORMSDIST((((LN(Assumptions!$B$2/$B17)+(Assumptions!$B$3-Assumptions!$B$4+(AB$3/100)^2/2)*Assumptions!$B$9)/((AB$3/100)*Assumptions!$B$10))-(AB$3/100)*Assumptions!$B$10))))</f>
        <v/>
      </c>
      <c r="AC17" s="29">
        <f>Assumptions!$B$5*(MAX(0,Assumptions!$B$2*EXP(-Assumptions!$B$4*Assumptions!$B$9)*NORMSDIST(((LN(Assumptions!$B$2/$B17)+(Assumptions!$B$3-Assumptions!$B$4+(AC$3/100)^2/2)*Assumptions!$B$9)/((AC$3/100)*Assumptions!$B$10)))-$B17*EXP(-Assumptions!$B$3*Assumptions!$B$9)*NORMSDIST((((LN(Assumptions!$B$2/$B17)+(Assumptions!$B$3-Assumptions!$B$4+(AC$3/100)^2/2)*Assumptions!$B$9)/((AC$3/100)*Assumptions!$B$10))-(AC$3/100)*Assumptions!$B$10))))</f>
        <v/>
      </c>
      <c r="AD17" s="29">
        <f>Assumptions!$B$5*(MAX(0,Assumptions!$B$2*EXP(-Assumptions!$B$4*Assumptions!$B$9)*NORMSDIST(((LN(Assumptions!$B$2/$B17)+(Assumptions!$B$3-Assumptions!$B$4+(AD$3/100)^2/2)*Assumptions!$B$9)/((AD$3/100)*Assumptions!$B$10)))-$B17*EXP(-Assumptions!$B$3*Assumptions!$B$9)*NORMSDIST((((LN(Assumptions!$B$2/$B17)+(Assumptions!$B$3-Assumptions!$B$4+(AD$3/100)^2/2)*Assumptions!$B$9)/((AD$3/100)*Assumptions!$B$10))-(AD$3/100)*Assumptions!$B$10))))</f>
        <v/>
      </c>
      <c r="AE17" s="29">
        <f>Assumptions!$B$5*(MAX(0,Assumptions!$B$2*EXP(-Assumptions!$B$4*Assumptions!$B$9)*NORMSDIST(((LN(Assumptions!$B$2/$B17)+(Assumptions!$B$3-Assumptions!$B$4+(AE$3/100)^2/2)*Assumptions!$B$9)/((AE$3/100)*Assumptions!$B$10)))-$B17*EXP(-Assumptions!$B$3*Assumptions!$B$9)*NORMSDIST((((LN(Assumptions!$B$2/$B17)+(Assumptions!$B$3-Assumptions!$B$4+(AE$3/100)^2/2)*Assumptions!$B$9)/((AE$3/100)*Assumptions!$B$10))-(AE$3/100)*Assumptions!$B$10))))</f>
        <v/>
      </c>
      <c r="AF17" s="29">
        <f>Assumptions!$B$5*(MAX(0,Assumptions!$B$2*EXP(-Assumptions!$B$4*Assumptions!$B$9)*NORMSDIST(((LN(Assumptions!$B$2/$B17)+(Assumptions!$B$3-Assumptions!$B$4+(AF$3/100)^2/2)*Assumptions!$B$9)/((AF$3/100)*Assumptions!$B$10)))-$B17*EXP(-Assumptions!$B$3*Assumptions!$B$9)*NORMSDIST((((LN(Assumptions!$B$2/$B17)+(Assumptions!$B$3-Assumptions!$B$4+(AF$3/100)^2/2)*Assumptions!$B$9)/((AF$3/100)*Assumptions!$B$10))-(AF$3/100)*Assumptions!$B$10))))</f>
        <v/>
      </c>
      <c r="AG17" s="29">
        <f>Assumptions!$B$5*(MAX(0,Assumptions!$B$2*EXP(-Assumptions!$B$4*Assumptions!$B$9)*NORMSDIST(((LN(Assumptions!$B$2/$B17)+(Assumptions!$B$3-Assumptions!$B$4+(AG$3/100)^2/2)*Assumptions!$B$9)/((AG$3/100)*Assumptions!$B$10)))-$B17*EXP(-Assumptions!$B$3*Assumptions!$B$9)*NORMSDIST((((LN(Assumptions!$B$2/$B17)+(Assumptions!$B$3-Assumptions!$B$4+(AG$3/100)^2/2)*Assumptions!$B$9)/((AG$3/100)*Assumptions!$B$10))-(AG$3/100)*Assumptions!$B$10))))</f>
        <v/>
      </c>
      <c r="AH17" s="29">
        <f>Assumptions!$B$5*(MAX(0,Assumptions!$B$2*EXP(-Assumptions!$B$4*Assumptions!$B$9)*NORMSDIST(((LN(Assumptions!$B$2/$B17)+(Assumptions!$B$3-Assumptions!$B$4+(AH$3/100)^2/2)*Assumptions!$B$9)/((AH$3/100)*Assumptions!$B$10)))-$B17*EXP(-Assumptions!$B$3*Assumptions!$B$9)*NORMSDIST((((LN(Assumptions!$B$2/$B17)+(Assumptions!$B$3-Assumptions!$B$4+(AH$3/100)^2/2)*Assumptions!$B$9)/((AH$3/100)*Assumptions!$B$10))-(AH$3/100)*Assumptions!$B$10))))</f>
        <v/>
      </c>
      <c r="AI17" s="29">
        <f>Assumptions!$B$5*(MAX(0,Assumptions!$B$2*EXP(-Assumptions!$B$4*Assumptions!$B$9)*NORMSDIST(((LN(Assumptions!$B$2/$B17)+(Assumptions!$B$3-Assumptions!$B$4+(AI$3/100)^2/2)*Assumptions!$B$9)/((AI$3/100)*Assumptions!$B$10)))-$B17*EXP(-Assumptions!$B$3*Assumptions!$B$9)*NORMSDIST((((LN(Assumptions!$B$2/$B17)+(Assumptions!$B$3-Assumptions!$B$4+(AI$3/100)^2/2)*Assumptions!$B$9)/((AI$3/100)*Assumptions!$B$10))-(AI$3/100)*Assumptions!$B$10))))</f>
        <v/>
      </c>
      <c r="AJ17" s="29">
        <f>Assumptions!$B$5*(MAX(0,Assumptions!$B$2*EXP(-Assumptions!$B$4*Assumptions!$B$9)*NORMSDIST(((LN(Assumptions!$B$2/$B17)+(Assumptions!$B$3-Assumptions!$B$4+(AJ$3/100)^2/2)*Assumptions!$B$9)/((AJ$3/100)*Assumptions!$B$10)))-$B17*EXP(-Assumptions!$B$3*Assumptions!$B$9)*NORMSDIST((((LN(Assumptions!$B$2/$B17)+(Assumptions!$B$3-Assumptions!$B$4+(AJ$3/100)^2/2)*Assumptions!$B$9)/((AJ$3/100)*Assumptions!$B$10))-(AJ$3/100)*Assumptions!$B$10))))</f>
        <v/>
      </c>
      <c r="AK17" s="29">
        <f>Assumptions!$B$5*(MAX(0,Assumptions!$B$2*EXP(-Assumptions!$B$4*Assumptions!$B$9)*NORMSDIST(((LN(Assumptions!$B$2/$B17)+(Assumptions!$B$3-Assumptions!$B$4+(AK$3/100)^2/2)*Assumptions!$B$9)/((AK$3/100)*Assumptions!$B$10)))-$B17*EXP(-Assumptions!$B$3*Assumptions!$B$9)*NORMSDIST((((LN(Assumptions!$B$2/$B17)+(Assumptions!$B$3-Assumptions!$B$4+(AK$3/100)^2/2)*Assumptions!$B$9)/((AK$3/100)*Assumptions!$B$10))-(AK$3/100)*Assumptions!$B$10))))</f>
        <v/>
      </c>
      <c r="AL17" s="29">
        <f>Assumptions!$B$5*(MAX(0,Assumptions!$B$2*EXP(-Assumptions!$B$4*Assumptions!$B$9)*NORMSDIST(((LN(Assumptions!$B$2/$B17)+(Assumptions!$B$3-Assumptions!$B$4+(AL$3/100)^2/2)*Assumptions!$B$9)/((AL$3/100)*Assumptions!$B$10)))-$B17*EXP(-Assumptions!$B$3*Assumptions!$B$9)*NORMSDIST((((LN(Assumptions!$B$2/$B17)+(Assumptions!$B$3-Assumptions!$B$4+(AL$3/100)^2/2)*Assumptions!$B$9)/((AL$3/100)*Assumptions!$B$10))-(AL$3/100)*Assumptions!$B$10))))</f>
        <v/>
      </c>
      <c r="AM17" s="29">
        <f>Assumptions!$B$5*(MAX(0,Assumptions!$B$2*EXP(-Assumptions!$B$4*Assumptions!$B$9)*NORMSDIST(((LN(Assumptions!$B$2/$B17)+(Assumptions!$B$3-Assumptions!$B$4+(AM$3/100)^2/2)*Assumptions!$B$9)/((AM$3/100)*Assumptions!$B$10)))-$B17*EXP(-Assumptions!$B$3*Assumptions!$B$9)*NORMSDIST((((LN(Assumptions!$B$2/$B17)+(Assumptions!$B$3-Assumptions!$B$4+(AM$3/100)^2/2)*Assumptions!$B$9)/((AM$3/100)*Assumptions!$B$10))-(AM$3/100)*Assumptions!$B$10))))</f>
        <v/>
      </c>
      <c r="AN17" s="29">
        <f>Assumptions!$B$5*(MAX(0,Assumptions!$B$2*EXP(-Assumptions!$B$4*Assumptions!$B$9)*NORMSDIST(((LN(Assumptions!$B$2/$B17)+(Assumptions!$B$3-Assumptions!$B$4+(AN$3/100)^2/2)*Assumptions!$B$9)/((AN$3/100)*Assumptions!$B$10)))-$B17*EXP(-Assumptions!$B$3*Assumptions!$B$9)*NORMSDIST((((LN(Assumptions!$B$2/$B17)+(Assumptions!$B$3-Assumptions!$B$4+(AN$3/100)^2/2)*Assumptions!$B$9)/((AN$3/100)*Assumptions!$B$10))-(AN$3/100)*Assumptions!$B$10))))</f>
        <v/>
      </c>
      <c r="AO17" s="29">
        <f>Assumptions!$B$5*(MAX(0,Assumptions!$B$2*EXP(-Assumptions!$B$4*Assumptions!$B$9)*NORMSDIST(((LN(Assumptions!$B$2/$B17)+(Assumptions!$B$3-Assumptions!$B$4+(AO$3/100)^2/2)*Assumptions!$B$9)/((AO$3/100)*Assumptions!$B$10)))-$B17*EXP(-Assumptions!$B$3*Assumptions!$B$9)*NORMSDIST((((LN(Assumptions!$B$2/$B17)+(Assumptions!$B$3-Assumptions!$B$4+(AO$3/100)^2/2)*Assumptions!$B$9)/((AO$3/100)*Assumptions!$B$10))-(AO$3/100)*Assumptions!$B$10))))</f>
        <v/>
      </c>
      <c r="AP17" s="29">
        <f>Assumptions!$B$5*(MAX(0,Assumptions!$B$2*EXP(-Assumptions!$B$4*Assumptions!$B$9)*NORMSDIST(((LN(Assumptions!$B$2/$B17)+(Assumptions!$B$3-Assumptions!$B$4+(AP$3/100)^2/2)*Assumptions!$B$9)/((AP$3/100)*Assumptions!$B$10)))-$B17*EXP(-Assumptions!$B$3*Assumptions!$B$9)*NORMSDIST((((LN(Assumptions!$B$2/$B17)+(Assumptions!$B$3-Assumptions!$B$4+(AP$3/100)^2/2)*Assumptions!$B$9)/((AP$3/100)*Assumptions!$B$10))-(AP$3/100)*Assumptions!$B$10))))</f>
        <v/>
      </c>
      <c r="AQ17" s="29">
        <f>Assumptions!$B$5*(MAX(0,Assumptions!$B$2*EXP(-Assumptions!$B$4*Assumptions!$B$9)*NORMSDIST(((LN(Assumptions!$B$2/$B17)+(Assumptions!$B$3-Assumptions!$B$4+(AQ$3/100)^2/2)*Assumptions!$B$9)/((AQ$3/100)*Assumptions!$B$10)))-$B17*EXP(-Assumptions!$B$3*Assumptions!$B$9)*NORMSDIST((((LN(Assumptions!$B$2/$B17)+(Assumptions!$B$3-Assumptions!$B$4+(AQ$3/100)^2/2)*Assumptions!$B$9)/((AQ$3/100)*Assumptions!$B$10))-(AQ$3/100)*Assumptions!$B$10))))</f>
        <v/>
      </c>
      <c r="AR17" s="29">
        <f>Assumptions!$B$5*(MAX(0,Assumptions!$B$2*EXP(-Assumptions!$B$4*Assumptions!$B$9)*NORMSDIST(((LN(Assumptions!$B$2/$B17)+(Assumptions!$B$3-Assumptions!$B$4+(AR$3/100)^2/2)*Assumptions!$B$9)/((AR$3/100)*Assumptions!$B$10)))-$B17*EXP(-Assumptions!$B$3*Assumptions!$B$9)*NORMSDIST((((LN(Assumptions!$B$2/$B17)+(Assumptions!$B$3-Assumptions!$B$4+(AR$3/100)^2/2)*Assumptions!$B$9)/((AR$3/100)*Assumptions!$B$10))-(AR$3/100)*Assumptions!$B$10))))</f>
        <v/>
      </c>
      <c r="AS17" s="29">
        <f>Assumptions!$B$5*(MAX(0,Assumptions!$B$2*EXP(-Assumptions!$B$4*Assumptions!$B$9)*NORMSDIST(((LN(Assumptions!$B$2/$B17)+(Assumptions!$B$3-Assumptions!$B$4+(AS$3/100)^2/2)*Assumptions!$B$9)/((AS$3/100)*Assumptions!$B$10)))-$B17*EXP(-Assumptions!$B$3*Assumptions!$B$9)*NORMSDIST((((LN(Assumptions!$B$2/$B17)+(Assumptions!$B$3-Assumptions!$B$4+(AS$3/100)^2/2)*Assumptions!$B$9)/((AS$3/100)*Assumptions!$B$10))-(AS$3/100)*Assumptions!$B$10))))</f>
        <v/>
      </c>
      <c r="AT17" s="29">
        <f>Assumptions!$B$5*(MAX(0,Assumptions!$B$2*EXP(-Assumptions!$B$4*Assumptions!$B$9)*NORMSDIST(((LN(Assumptions!$B$2/$B17)+(Assumptions!$B$3-Assumptions!$B$4+(AT$3/100)^2/2)*Assumptions!$B$9)/((AT$3/100)*Assumptions!$B$10)))-$B17*EXP(-Assumptions!$B$3*Assumptions!$B$9)*NORMSDIST((((LN(Assumptions!$B$2/$B17)+(Assumptions!$B$3-Assumptions!$B$4+(AT$3/100)^2/2)*Assumptions!$B$9)/((AT$3/100)*Assumptions!$B$10))-(AT$3/100)*Assumptions!$B$10))))</f>
        <v/>
      </c>
      <c r="AU17" s="29">
        <f>Assumptions!$B$5*(MAX(0,Assumptions!$B$2*EXP(-Assumptions!$B$4*Assumptions!$B$9)*NORMSDIST(((LN(Assumptions!$B$2/$B17)+(Assumptions!$B$3-Assumptions!$B$4+(AU$3/100)^2/2)*Assumptions!$B$9)/((AU$3/100)*Assumptions!$B$10)))-$B17*EXP(-Assumptions!$B$3*Assumptions!$B$9)*NORMSDIST((((LN(Assumptions!$B$2/$B17)+(Assumptions!$B$3-Assumptions!$B$4+(AU$3/100)^2/2)*Assumptions!$B$9)/((AU$3/100)*Assumptions!$B$10))-(AU$3/100)*Assumptions!$B$10))))</f>
        <v/>
      </c>
      <c r="AV17" s="29">
        <f>Assumptions!$B$5*(MAX(0,Assumptions!$B$2*EXP(-Assumptions!$B$4*Assumptions!$B$9)*NORMSDIST(((LN(Assumptions!$B$2/$B17)+(Assumptions!$B$3-Assumptions!$B$4+(AV$3/100)^2/2)*Assumptions!$B$9)/((AV$3/100)*Assumptions!$B$10)))-$B17*EXP(-Assumptions!$B$3*Assumptions!$B$9)*NORMSDIST((((LN(Assumptions!$B$2/$B17)+(Assumptions!$B$3-Assumptions!$B$4+(AV$3/100)^2/2)*Assumptions!$B$9)/((AV$3/100)*Assumptions!$B$10))-(AV$3/100)*Assumptions!$B$10))))</f>
        <v/>
      </c>
    </row>
    <row r="18">
      <c r="A18" s="27" t="inlineStr">
        <is>
          <t>+1.50%</t>
        </is>
      </c>
      <c r="B18" s="47">
        <f>'BS Engine'!$B$16</f>
        <v/>
      </c>
      <c r="C18" s="28">
        <f>'BS Engine'!$C$16</f>
        <v/>
      </c>
      <c r="D18" s="49">
        <f>Assumptions!$B$5*(MAX(0,Assumptions!$B$2*EXP(-Assumptions!$B$4*Assumptions!$B$9)*NORMSDIST(((LN(Assumptions!$B$2/$B18)+(Assumptions!$B$3-Assumptions!$B$4+(D$3/100)^2/2)*Assumptions!$B$9)/((D$3/100)*Assumptions!$B$10)))-$B18*EXP(-Assumptions!$B$3*Assumptions!$B$9)*NORMSDIST((((LN(Assumptions!$B$2/$B18)+(Assumptions!$B$3-Assumptions!$B$4+(D$3/100)^2/2)*Assumptions!$B$9)/((D$3/100)*Assumptions!$B$10))-(D$3/100)*Assumptions!$B$10))))</f>
        <v/>
      </c>
      <c r="E18" s="29">
        <f>Assumptions!$B$5*(MAX(0,Assumptions!$B$2*EXP(-Assumptions!$B$4*Assumptions!$B$9)*NORMSDIST(((LN(Assumptions!$B$2/$B18)+(Assumptions!$B$3-Assumptions!$B$4+(E$3/100)^2/2)*Assumptions!$B$9)/((E$3/100)*Assumptions!$B$10)))-$B18*EXP(-Assumptions!$B$3*Assumptions!$B$9)*NORMSDIST((((LN(Assumptions!$B$2/$B18)+(Assumptions!$B$3-Assumptions!$B$4+(E$3/100)^2/2)*Assumptions!$B$9)/((E$3/100)*Assumptions!$B$10))-(E$3/100)*Assumptions!$B$10))))</f>
        <v/>
      </c>
      <c r="F18" s="29">
        <f>Assumptions!$B$5*(MAX(0,Assumptions!$B$2*EXP(-Assumptions!$B$4*Assumptions!$B$9)*NORMSDIST(((LN(Assumptions!$B$2/$B18)+(Assumptions!$B$3-Assumptions!$B$4+(F$3/100)^2/2)*Assumptions!$B$9)/((F$3/100)*Assumptions!$B$10)))-$B18*EXP(-Assumptions!$B$3*Assumptions!$B$9)*NORMSDIST((((LN(Assumptions!$B$2/$B18)+(Assumptions!$B$3-Assumptions!$B$4+(F$3/100)^2/2)*Assumptions!$B$9)/((F$3/100)*Assumptions!$B$10))-(F$3/100)*Assumptions!$B$10))))</f>
        <v/>
      </c>
      <c r="G18" s="29">
        <f>Assumptions!$B$5*(MAX(0,Assumptions!$B$2*EXP(-Assumptions!$B$4*Assumptions!$B$9)*NORMSDIST(((LN(Assumptions!$B$2/$B18)+(Assumptions!$B$3-Assumptions!$B$4+(G$3/100)^2/2)*Assumptions!$B$9)/((G$3/100)*Assumptions!$B$10)))-$B18*EXP(-Assumptions!$B$3*Assumptions!$B$9)*NORMSDIST((((LN(Assumptions!$B$2/$B18)+(Assumptions!$B$3-Assumptions!$B$4+(G$3/100)^2/2)*Assumptions!$B$9)/((G$3/100)*Assumptions!$B$10))-(G$3/100)*Assumptions!$B$10))))</f>
        <v/>
      </c>
      <c r="H18" s="29">
        <f>Assumptions!$B$5*(MAX(0,Assumptions!$B$2*EXP(-Assumptions!$B$4*Assumptions!$B$9)*NORMSDIST(((LN(Assumptions!$B$2/$B18)+(Assumptions!$B$3-Assumptions!$B$4+(H$3/100)^2/2)*Assumptions!$B$9)/((H$3/100)*Assumptions!$B$10)))-$B18*EXP(-Assumptions!$B$3*Assumptions!$B$9)*NORMSDIST((((LN(Assumptions!$B$2/$B18)+(Assumptions!$B$3-Assumptions!$B$4+(H$3/100)^2/2)*Assumptions!$B$9)/((H$3/100)*Assumptions!$B$10))-(H$3/100)*Assumptions!$B$10))))</f>
        <v/>
      </c>
      <c r="I18" s="29">
        <f>Assumptions!$B$5*(MAX(0,Assumptions!$B$2*EXP(-Assumptions!$B$4*Assumptions!$B$9)*NORMSDIST(((LN(Assumptions!$B$2/$B18)+(Assumptions!$B$3-Assumptions!$B$4+(I$3/100)^2/2)*Assumptions!$B$9)/((I$3/100)*Assumptions!$B$10)))-$B18*EXP(-Assumptions!$B$3*Assumptions!$B$9)*NORMSDIST((((LN(Assumptions!$B$2/$B18)+(Assumptions!$B$3-Assumptions!$B$4+(I$3/100)^2/2)*Assumptions!$B$9)/((I$3/100)*Assumptions!$B$10))-(I$3/100)*Assumptions!$B$10))))</f>
        <v/>
      </c>
      <c r="J18" s="29">
        <f>Assumptions!$B$5*(MAX(0,Assumptions!$B$2*EXP(-Assumptions!$B$4*Assumptions!$B$9)*NORMSDIST(((LN(Assumptions!$B$2/$B18)+(Assumptions!$B$3-Assumptions!$B$4+(J$3/100)^2/2)*Assumptions!$B$9)/((J$3/100)*Assumptions!$B$10)))-$B18*EXP(-Assumptions!$B$3*Assumptions!$B$9)*NORMSDIST((((LN(Assumptions!$B$2/$B18)+(Assumptions!$B$3-Assumptions!$B$4+(J$3/100)^2/2)*Assumptions!$B$9)/((J$3/100)*Assumptions!$B$10))-(J$3/100)*Assumptions!$B$10))))</f>
        <v/>
      </c>
      <c r="K18" s="29">
        <f>Assumptions!$B$5*(MAX(0,Assumptions!$B$2*EXP(-Assumptions!$B$4*Assumptions!$B$9)*NORMSDIST(((LN(Assumptions!$B$2/$B18)+(Assumptions!$B$3-Assumptions!$B$4+(K$3/100)^2/2)*Assumptions!$B$9)/((K$3/100)*Assumptions!$B$10)))-$B18*EXP(-Assumptions!$B$3*Assumptions!$B$9)*NORMSDIST((((LN(Assumptions!$B$2/$B18)+(Assumptions!$B$3-Assumptions!$B$4+(K$3/100)^2/2)*Assumptions!$B$9)/((K$3/100)*Assumptions!$B$10))-(K$3/100)*Assumptions!$B$10))))</f>
        <v/>
      </c>
      <c r="L18" s="29">
        <f>Assumptions!$B$5*(MAX(0,Assumptions!$B$2*EXP(-Assumptions!$B$4*Assumptions!$B$9)*NORMSDIST(((LN(Assumptions!$B$2/$B18)+(Assumptions!$B$3-Assumptions!$B$4+(L$3/100)^2/2)*Assumptions!$B$9)/((L$3/100)*Assumptions!$B$10)))-$B18*EXP(-Assumptions!$B$3*Assumptions!$B$9)*NORMSDIST((((LN(Assumptions!$B$2/$B18)+(Assumptions!$B$3-Assumptions!$B$4+(L$3/100)^2/2)*Assumptions!$B$9)/((L$3/100)*Assumptions!$B$10))-(L$3/100)*Assumptions!$B$10))))</f>
        <v/>
      </c>
      <c r="M18" s="29">
        <f>Assumptions!$B$5*(MAX(0,Assumptions!$B$2*EXP(-Assumptions!$B$4*Assumptions!$B$9)*NORMSDIST(((LN(Assumptions!$B$2/$B18)+(Assumptions!$B$3-Assumptions!$B$4+(M$3/100)^2/2)*Assumptions!$B$9)/((M$3/100)*Assumptions!$B$10)))-$B18*EXP(-Assumptions!$B$3*Assumptions!$B$9)*NORMSDIST((((LN(Assumptions!$B$2/$B18)+(Assumptions!$B$3-Assumptions!$B$4+(M$3/100)^2/2)*Assumptions!$B$9)/((M$3/100)*Assumptions!$B$10))-(M$3/100)*Assumptions!$B$10))))</f>
        <v/>
      </c>
      <c r="N18" s="29">
        <f>Assumptions!$B$5*(MAX(0,Assumptions!$B$2*EXP(-Assumptions!$B$4*Assumptions!$B$9)*NORMSDIST(((LN(Assumptions!$B$2/$B18)+(Assumptions!$B$3-Assumptions!$B$4+(N$3/100)^2/2)*Assumptions!$B$9)/((N$3/100)*Assumptions!$B$10)))-$B18*EXP(-Assumptions!$B$3*Assumptions!$B$9)*NORMSDIST((((LN(Assumptions!$B$2/$B18)+(Assumptions!$B$3-Assumptions!$B$4+(N$3/100)^2/2)*Assumptions!$B$9)/((N$3/100)*Assumptions!$B$10))-(N$3/100)*Assumptions!$B$10))))</f>
        <v/>
      </c>
      <c r="O18" s="29">
        <f>Assumptions!$B$5*(MAX(0,Assumptions!$B$2*EXP(-Assumptions!$B$4*Assumptions!$B$9)*NORMSDIST(((LN(Assumptions!$B$2/$B18)+(Assumptions!$B$3-Assumptions!$B$4+(O$3/100)^2/2)*Assumptions!$B$9)/((O$3/100)*Assumptions!$B$10)))-$B18*EXP(-Assumptions!$B$3*Assumptions!$B$9)*NORMSDIST((((LN(Assumptions!$B$2/$B18)+(Assumptions!$B$3-Assumptions!$B$4+(O$3/100)^2/2)*Assumptions!$B$9)/((O$3/100)*Assumptions!$B$10))-(O$3/100)*Assumptions!$B$10))))</f>
        <v/>
      </c>
      <c r="P18" s="29">
        <f>Assumptions!$B$5*(MAX(0,Assumptions!$B$2*EXP(-Assumptions!$B$4*Assumptions!$B$9)*NORMSDIST(((LN(Assumptions!$B$2/$B18)+(Assumptions!$B$3-Assumptions!$B$4+(P$3/100)^2/2)*Assumptions!$B$9)/((P$3/100)*Assumptions!$B$10)))-$B18*EXP(-Assumptions!$B$3*Assumptions!$B$9)*NORMSDIST((((LN(Assumptions!$B$2/$B18)+(Assumptions!$B$3-Assumptions!$B$4+(P$3/100)^2/2)*Assumptions!$B$9)/((P$3/100)*Assumptions!$B$10))-(P$3/100)*Assumptions!$B$10))))</f>
        <v/>
      </c>
      <c r="Q18" s="29">
        <f>Assumptions!$B$5*(MAX(0,Assumptions!$B$2*EXP(-Assumptions!$B$4*Assumptions!$B$9)*NORMSDIST(((LN(Assumptions!$B$2/$B18)+(Assumptions!$B$3-Assumptions!$B$4+(Q$3/100)^2/2)*Assumptions!$B$9)/((Q$3/100)*Assumptions!$B$10)))-$B18*EXP(-Assumptions!$B$3*Assumptions!$B$9)*NORMSDIST((((LN(Assumptions!$B$2/$B18)+(Assumptions!$B$3-Assumptions!$B$4+(Q$3/100)^2/2)*Assumptions!$B$9)/((Q$3/100)*Assumptions!$B$10))-(Q$3/100)*Assumptions!$B$10))))</f>
        <v/>
      </c>
      <c r="R18" s="29">
        <f>Assumptions!$B$5*(MAX(0,Assumptions!$B$2*EXP(-Assumptions!$B$4*Assumptions!$B$9)*NORMSDIST(((LN(Assumptions!$B$2/$B18)+(Assumptions!$B$3-Assumptions!$B$4+(R$3/100)^2/2)*Assumptions!$B$9)/((R$3/100)*Assumptions!$B$10)))-$B18*EXP(-Assumptions!$B$3*Assumptions!$B$9)*NORMSDIST((((LN(Assumptions!$B$2/$B18)+(Assumptions!$B$3-Assumptions!$B$4+(R$3/100)^2/2)*Assumptions!$B$9)/((R$3/100)*Assumptions!$B$10))-(R$3/100)*Assumptions!$B$10))))</f>
        <v/>
      </c>
      <c r="S18" s="29">
        <f>Assumptions!$B$5*(MAX(0,Assumptions!$B$2*EXP(-Assumptions!$B$4*Assumptions!$B$9)*NORMSDIST(((LN(Assumptions!$B$2/$B18)+(Assumptions!$B$3-Assumptions!$B$4+(S$3/100)^2/2)*Assumptions!$B$9)/((S$3/100)*Assumptions!$B$10)))-$B18*EXP(-Assumptions!$B$3*Assumptions!$B$9)*NORMSDIST((((LN(Assumptions!$B$2/$B18)+(Assumptions!$B$3-Assumptions!$B$4+(S$3/100)^2/2)*Assumptions!$B$9)/((S$3/100)*Assumptions!$B$10))-(S$3/100)*Assumptions!$B$10))))</f>
        <v/>
      </c>
      <c r="T18" s="29">
        <f>Assumptions!$B$5*(MAX(0,Assumptions!$B$2*EXP(-Assumptions!$B$4*Assumptions!$B$9)*NORMSDIST(((LN(Assumptions!$B$2/$B18)+(Assumptions!$B$3-Assumptions!$B$4+(T$3/100)^2/2)*Assumptions!$B$9)/((T$3/100)*Assumptions!$B$10)))-$B18*EXP(-Assumptions!$B$3*Assumptions!$B$9)*NORMSDIST((((LN(Assumptions!$B$2/$B18)+(Assumptions!$B$3-Assumptions!$B$4+(T$3/100)^2/2)*Assumptions!$B$9)/((T$3/100)*Assumptions!$B$10))-(T$3/100)*Assumptions!$B$10))))</f>
        <v/>
      </c>
      <c r="U18" s="29">
        <f>Assumptions!$B$5*(MAX(0,Assumptions!$B$2*EXP(-Assumptions!$B$4*Assumptions!$B$9)*NORMSDIST(((LN(Assumptions!$B$2/$B18)+(Assumptions!$B$3-Assumptions!$B$4+(U$3/100)^2/2)*Assumptions!$B$9)/((U$3/100)*Assumptions!$B$10)))-$B18*EXP(-Assumptions!$B$3*Assumptions!$B$9)*NORMSDIST((((LN(Assumptions!$B$2/$B18)+(Assumptions!$B$3-Assumptions!$B$4+(U$3/100)^2/2)*Assumptions!$B$9)/((U$3/100)*Assumptions!$B$10))-(U$3/100)*Assumptions!$B$10))))</f>
        <v/>
      </c>
      <c r="V18" s="29">
        <f>Assumptions!$B$5*(MAX(0,Assumptions!$B$2*EXP(-Assumptions!$B$4*Assumptions!$B$9)*NORMSDIST(((LN(Assumptions!$B$2/$B18)+(Assumptions!$B$3-Assumptions!$B$4+(V$3/100)^2/2)*Assumptions!$B$9)/((V$3/100)*Assumptions!$B$10)))-$B18*EXP(-Assumptions!$B$3*Assumptions!$B$9)*NORMSDIST((((LN(Assumptions!$B$2/$B18)+(Assumptions!$B$3-Assumptions!$B$4+(V$3/100)^2/2)*Assumptions!$B$9)/((V$3/100)*Assumptions!$B$10))-(V$3/100)*Assumptions!$B$10))))</f>
        <v/>
      </c>
      <c r="W18" s="29">
        <f>Assumptions!$B$5*(MAX(0,Assumptions!$B$2*EXP(-Assumptions!$B$4*Assumptions!$B$9)*NORMSDIST(((LN(Assumptions!$B$2/$B18)+(Assumptions!$B$3-Assumptions!$B$4+(W$3/100)^2/2)*Assumptions!$B$9)/((W$3/100)*Assumptions!$B$10)))-$B18*EXP(-Assumptions!$B$3*Assumptions!$B$9)*NORMSDIST((((LN(Assumptions!$B$2/$B18)+(Assumptions!$B$3-Assumptions!$B$4+(W$3/100)^2/2)*Assumptions!$B$9)/((W$3/100)*Assumptions!$B$10))-(W$3/100)*Assumptions!$B$10))))</f>
        <v/>
      </c>
      <c r="X18" s="29">
        <f>Assumptions!$B$5*(MAX(0,Assumptions!$B$2*EXP(-Assumptions!$B$4*Assumptions!$B$9)*NORMSDIST(((LN(Assumptions!$B$2/$B18)+(Assumptions!$B$3-Assumptions!$B$4+(X$3/100)^2/2)*Assumptions!$B$9)/((X$3/100)*Assumptions!$B$10)))-$B18*EXP(-Assumptions!$B$3*Assumptions!$B$9)*NORMSDIST((((LN(Assumptions!$B$2/$B18)+(Assumptions!$B$3-Assumptions!$B$4+(X$3/100)^2/2)*Assumptions!$B$9)/((X$3/100)*Assumptions!$B$10))-(X$3/100)*Assumptions!$B$10))))</f>
        <v/>
      </c>
      <c r="Y18" s="29">
        <f>Assumptions!$B$5*(MAX(0,Assumptions!$B$2*EXP(-Assumptions!$B$4*Assumptions!$B$9)*NORMSDIST(((LN(Assumptions!$B$2/$B18)+(Assumptions!$B$3-Assumptions!$B$4+(Y$3/100)^2/2)*Assumptions!$B$9)/((Y$3/100)*Assumptions!$B$10)))-$B18*EXP(-Assumptions!$B$3*Assumptions!$B$9)*NORMSDIST((((LN(Assumptions!$B$2/$B18)+(Assumptions!$B$3-Assumptions!$B$4+(Y$3/100)^2/2)*Assumptions!$B$9)/((Y$3/100)*Assumptions!$B$10))-(Y$3/100)*Assumptions!$B$10))))</f>
        <v/>
      </c>
      <c r="Z18" s="29">
        <f>Assumptions!$B$5*(MAX(0,Assumptions!$B$2*EXP(-Assumptions!$B$4*Assumptions!$B$9)*NORMSDIST(((LN(Assumptions!$B$2/$B18)+(Assumptions!$B$3-Assumptions!$B$4+(Z$3/100)^2/2)*Assumptions!$B$9)/((Z$3/100)*Assumptions!$B$10)))-$B18*EXP(-Assumptions!$B$3*Assumptions!$B$9)*NORMSDIST((((LN(Assumptions!$B$2/$B18)+(Assumptions!$B$3-Assumptions!$B$4+(Z$3/100)^2/2)*Assumptions!$B$9)/((Z$3/100)*Assumptions!$B$10))-(Z$3/100)*Assumptions!$B$10))))</f>
        <v/>
      </c>
      <c r="AA18" s="29">
        <f>Assumptions!$B$5*(MAX(0,Assumptions!$B$2*EXP(-Assumptions!$B$4*Assumptions!$B$9)*NORMSDIST(((LN(Assumptions!$B$2/$B18)+(Assumptions!$B$3-Assumptions!$B$4+(AA$3/100)^2/2)*Assumptions!$B$9)/((AA$3/100)*Assumptions!$B$10)))-$B18*EXP(-Assumptions!$B$3*Assumptions!$B$9)*NORMSDIST((((LN(Assumptions!$B$2/$B18)+(Assumptions!$B$3-Assumptions!$B$4+(AA$3/100)^2/2)*Assumptions!$B$9)/((AA$3/100)*Assumptions!$B$10))-(AA$3/100)*Assumptions!$B$10))))</f>
        <v/>
      </c>
      <c r="AB18" s="29">
        <f>Assumptions!$B$5*(MAX(0,Assumptions!$B$2*EXP(-Assumptions!$B$4*Assumptions!$B$9)*NORMSDIST(((LN(Assumptions!$B$2/$B18)+(Assumptions!$B$3-Assumptions!$B$4+(AB$3/100)^2/2)*Assumptions!$B$9)/((AB$3/100)*Assumptions!$B$10)))-$B18*EXP(-Assumptions!$B$3*Assumptions!$B$9)*NORMSDIST((((LN(Assumptions!$B$2/$B18)+(Assumptions!$B$3-Assumptions!$B$4+(AB$3/100)^2/2)*Assumptions!$B$9)/((AB$3/100)*Assumptions!$B$10))-(AB$3/100)*Assumptions!$B$10))))</f>
        <v/>
      </c>
      <c r="AC18" s="29">
        <f>Assumptions!$B$5*(MAX(0,Assumptions!$B$2*EXP(-Assumptions!$B$4*Assumptions!$B$9)*NORMSDIST(((LN(Assumptions!$B$2/$B18)+(Assumptions!$B$3-Assumptions!$B$4+(AC$3/100)^2/2)*Assumptions!$B$9)/((AC$3/100)*Assumptions!$B$10)))-$B18*EXP(-Assumptions!$B$3*Assumptions!$B$9)*NORMSDIST((((LN(Assumptions!$B$2/$B18)+(Assumptions!$B$3-Assumptions!$B$4+(AC$3/100)^2/2)*Assumptions!$B$9)/((AC$3/100)*Assumptions!$B$10))-(AC$3/100)*Assumptions!$B$10))))</f>
        <v/>
      </c>
      <c r="AD18" s="29">
        <f>Assumptions!$B$5*(MAX(0,Assumptions!$B$2*EXP(-Assumptions!$B$4*Assumptions!$B$9)*NORMSDIST(((LN(Assumptions!$B$2/$B18)+(Assumptions!$B$3-Assumptions!$B$4+(AD$3/100)^2/2)*Assumptions!$B$9)/((AD$3/100)*Assumptions!$B$10)))-$B18*EXP(-Assumptions!$B$3*Assumptions!$B$9)*NORMSDIST((((LN(Assumptions!$B$2/$B18)+(Assumptions!$B$3-Assumptions!$B$4+(AD$3/100)^2/2)*Assumptions!$B$9)/((AD$3/100)*Assumptions!$B$10))-(AD$3/100)*Assumptions!$B$10))))</f>
        <v/>
      </c>
      <c r="AE18" s="29">
        <f>Assumptions!$B$5*(MAX(0,Assumptions!$B$2*EXP(-Assumptions!$B$4*Assumptions!$B$9)*NORMSDIST(((LN(Assumptions!$B$2/$B18)+(Assumptions!$B$3-Assumptions!$B$4+(AE$3/100)^2/2)*Assumptions!$B$9)/((AE$3/100)*Assumptions!$B$10)))-$B18*EXP(-Assumptions!$B$3*Assumptions!$B$9)*NORMSDIST((((LN(Assumptions!$B$2/$B18)+(Assumptions!$B$3-Assumptions!$B$4+(AE$3/100)^2/2)*Assumptions!$B$9)/((AE$3/100)*Assumptions!$B$10))-(AE$3/100)*Assumptions!$B$10))))</f>
        <v/>
      </c>
      <c r="AF18" s="29">
        <f>Assumptions!$B$5*(MAX(0,Assumptions!$B$2*EXP(-Assumptions!$B$4*Assumptions!$B$9)*NORMSDIST(((LN(Assumptions!$B$2/$B18)+(Assumptions!$B$3-Assumptions!$B$4+(AF$3/100)^2/2)*Assumptions!$B$9)/((AF$3/100)*Assumptions!$B$10)))-$B18*EXP(-Assumptions!$B$3*Assumptions!$B$9)*NORMSDIST((((LN(Assumptions!$B$2/$B18)+(Assumptions!$B$3-Assumptions!$B$4+(AF$3/100)^2/2)*Assumptions!$B$9)/((AF$3/100)*Assumptions!$B$10))-(AF$3/100)*Assumptions!$B$10))))</f>
        <v/>
      </c>
      <c r="AG18" s="29">
        <f>Assumptions!$B$5*(MAX(0,Assumptions!$B$2*EXP(-Assumptions!$B$4*Assumptions!$B$9)*NORMSDIST(((LN(Assumptions!$B$2/$B18)+(Assumptions!$B$3-Assumptions!$B$4+(AG$3/100)^2/2)*Assumptions!$B$9)/((AG$3/100)*Assumptions!$B$10)))-$B18*EXP(-Assumptions!$B$3*Assumptions!$B$9)*NORMSDIST((((LN(Assumptions!$B$2/$B18)+(Assumptions!$B$3-Assumptions!$B$4+(AG$3/100)^2/2)*Assumptions!$B$9)/((AG$3/100)*Assumptions!$B$10))-(AG$3/100)*Assumptions!$B$10))))</f>
        <v/>
      </c>
      <c r="AH18" s="29">
        <f>Assumptions!$B$5*(MAX(0,Assumptions!$B$2*EXP(-Assumptions!$B$4*Assumptions!$B$9)*NORMSDIST(((LN(Assumptions!$B$2/$B18)+(Assumptions!$B$3-Assumptions!$B$4+(AH$3/100)^2/2)*Assumptions!$B$9)/((AH$3/100)*Assumptions!$B$10)))-$B18*EXP(-Assumptions!$B$3*Assumptions!$B$9)*NORMSDIST((((LN(Assumptions!$B$2/$B18)+(Assumptions!$B$3-Assumptions!$B$4+(AH$3/100)^2/2)*Assumptions!$B$9)/((AH$3/100)*Assumptions!$B$10))-(AH$3/100)*Assumptions!$B$10))))</f>
        <v/>
      </c>
      <c r="AI18" s="29">
        <f>Assumptions!$B$5*(MAX(0,Assumptions!$B$2*EXP(-Assumptions!$B$4*Assumptions!$B$9)*NORMSDIST(((LN(Assumptions!$B$2/$B18)+(Assumptions!$B$3-Assumptions!$B$4+(AI$3/100)^2/2)*Assumptions!$B$9)/((AI$3/100)*Assumptions!$B$10)))-$B18*EXP(-Assumptions!$B$3*Assumptions!$B$9)*NORMSDIST((((LN(Assumptions!$B$2/$B18)+(Assumptions!$B$3-Assumptions!$B$4+(AI$3/100)^2/2)*Assumptions!$B$9)/((AI$3/100)*Assumptions!$B$10))-(AI$3/100)*Assumptions!$B$10))))</f>
        <v/>
      </c>
      <c r="AJ18" s="29">
        <f>Assumptions!$B$5*(MAX(0,Assumptions!$B$2*EXP(-Assumptions!$B$4*Assumptions!$B$9)*NORMSDIST(((LN(Assumptions!$B$2/$B18)+(Assumptions!$B$3-Assumptions!$B$4+(AJ$3/100)^2/2)*Assumptions!$B$9)/((AJ$3/100)*Assumptions!$B$10)))-$B18*EXP(-Assumptions!$B$3*Assumptions!$B$9)*NORMSDIST((((LN(Assumptions!$B$2/$B18)+(Assumptions!$B$3-Assumptions!$B$4+(AJ$3/100)^2/2)*Assumptions!$B$9)/((AJ$3/100)*Assumptions!$B$10))-(AJ$3/100)*Assumptions!$B$10))))</f>
        <v/>
      </c>
      <c r="AK18" s="29">
        <f>Assumptions!$B$5*(MAX(0,Assumptions!$B$2*EXP(-Assumptions!$B$4*Assumptions!$B$9)*NORMSDIST(((LN(Assumptions!$B$2/$B18)+(Assumptions!$B$3-Assumptions!$B$4+(AK$3/100)^2/2)*Assumptions!$B$9)/((AK$3/100)*Assumptions!$B$10)))-$B18*EXP(-Assumptions!$B$3*Assumptions!$B$9)*NORMSDIST((((LN(Assumptions!$B$2/$B18)+(Assumptions!$B$3-Assumptions!$B$4+(AK$3/100)^2/2)*Assumptions!$B$9)/((AK$3/100)*Assumptions!$B$10))-(AK$3/100)*Assumptions!$B$10))))</f>
        <v/>
      </c>
      <c r="AL18" s="29">
        <f>Assumptions!$B$5*(MAX(0,Assumptions!$B$2*EXP(-Assumptions!$B$4*Assumptions!$B$9)*NORMSDIST(((LN(Assumptions!$B$2/$B18)+(Assumptions!$B$3-Assumptions!$B$4+(AL$3/100)^2/2)*Assumptions!$B$9)/((AL$3/100)*Assumptions!$B$10)))-$B18*EXP(-Assumptions!$B$3*Assumptions!$B$9)*NORMSDIST((((LN(Assumptions!$B$2/$B18)+(Assumptions!$B$3-Assumptions!$B$4+(AL$3/100)^2/2)*Assumptions!$B$9)/((AL$3/100)*Assumptions!$B$10))-(AL$3/100)*Assumptions!$B$10))))</f>
        <v/>
      </c>
      <c r="AM18" s="29">
        <f>Assumptions!$B$5*(MAX(0,Assumptions!$B$2*EXP(-Assumptions!$B$4*Assumptions!$B$9)*NORMSDIST(((LN(Assumptions!$B$2/$B18)+(Assumptions!$B$3-Assumptions!$B$4+(AM$3/100)^2/2)*Assumptions!$B$9)/((AM$3/100)*Assumptions!$B$10)))-$B18*EXP(-Assumptions!$B$3*Assumptions!$B$9)*NORMSDIST((((LN(Assumptions!$B$2/$B18)+(Assumptions!$B$3-Assumptions!$B$4+(AM$3/100)^2/2)*Assumptions!$B$9)/((AM$3/100)*Assumptions!$B$10))-(AM$3/100)*Assumptions!$B$10))))</f>
        <v/>
      </c>
      <c r="AN18" s="29">
        <f>Assumptions!$B$5*(MAX(0,Assumptions!$B$2*EXP(-Assumptions!$B$4*Assumptions!$B$9)*NORMSDIST(((LN(Assumptions!$B$2/$B18)+(Assumptions!$B$3-Assumptions!$B$4+(AN$3/100)^2/2)*Assumptions!$B$9)/((AN$3/100)*Assumptions!$B$10)))-$B18*EXP(-Assumptions!$B$3*Assumptions!$B$9)*NORMSDIST((((LN(Assumptions!$B$2/$B18)+(Assumptions!$B$3-Assumptions!$B$4+(AN$3/100)^2/2)*Assumptions!$B$9)/((AN$3/100)*Assumptions!$B$10))-(AN$3/100)*Assumptions!$B$10))))</f>
        <v/>
      </c>
      <c r="AO18" s="29">
        <f>Assumptions!$B$5*(MAX(0,Assumptions!$B$2*EXP(-Assumptions!$B$4*Assumptions!$B$9)*NORMSDIST(((LN(Assumptions!$B$2/$B18)+(Assumptions!$B$3-Assumptions!$B$4+(AO$3/100)^2/2)*Assumptions!$B$9)/((AO$3/100)*Assumptions!$B$10)))-$B18*EXP(-Assumptions!$B$3*Assumptions!$B$9)*NORMSDIST((((LN(Assumptions!$B$2/$B18)+(Assumptions!$B$3-Assumptions!$B$4+(AO$3/100)^2/2)*Assumptions!$B$9)/((AO$3/100)*Assumptions!$B$10))-(AO$3/100)*Assumptions!$B$10))))</f>
        <v/>
      </c>
      <c r="AP18" s="29">
        <f>Assumptions!$B$5*(MAX(0,Assumptions!$B$2*EXP(-Assumptions!$B$4*Assumptions!$B$9)*NORMSDIST(((LN(Assumptions!$B$2/$B18)+(Assumptions!$B$3-Assumptions!$B$4+(AP$3/100)^2/2)*Assumptions!$B$9)/((AP$3/100)*Assumptions!$B$10)))-$B18*EXP(-Assumptions!$B$3*Assumptions!$B$9)*NORMSDIST((((LN(Assumptions!$B$2/$B18)+(Assumptions!$B$3-Assumptions!$B$4+(AP$3/100)^2/2)*Assumptions!$B$9)/((AP$3/100)*Assumptions!$B$10))-(AP$3/100)*Assumptions!$B$10))))</f>
        <v/>
      </c>
      <c r="AQ18" s="29">
        <f>Assumptions!$B$5*(MAX(0,Assumptions!$B$2*EXP(-Assumptions!$B$4*Assumptions!$B$9)*NORMSDIST(((LN(Assumptions!$B$2/$B18)+(Assumptions!$B$3-Assumptions!$B$4+(AQ$3/100)^2/2)*Assumptions!$B$9)/((AQ$3/100)*Assumptions!$B$10)))-$B18*EXP(-Assumptions!$B$3*Assumptions!$B$9)*NORMSDIST((((LN(Assumptions!$B$2/$B18)+(Assumptions!$B$3-Assumptions!$B$4+(AQ$3/100)^2/2)*Assumptions!$B$9)/((AQ$3/100)*Assumptions!$B$10))-(AQ$3/100)*Assumptions!$B$10))))</f>
        <v/>
      </c>
      <c r="AR18" s="29">
        <f>Assumptions!$B$5*(MAX(0,Assumptions!$B$2*EXP(-Assumptions!$B$4*Assumptions!$B$9)*NORMSDIST(((LN(Assumptions!$B$2/$B18)+(Assumptions!$B$3-Assumptions!$B$4+(AR$3/100)^2/2)*Assumptions!$B$9)/((AR$3/100)*Assumptions!$B$10)))-$B18*EXP(-Assumptions!$B$3*Assumptions!$B$9)*NORMSDIST((((LN(Assumptions!$B$2/$B18)+(Assumptions!$B$3-Assumptions!$B$4+(AR$3/100)^2/2)*Assumptions!$B$9)/((AR$3/100)*Assumptions!$B$10))-(AR$3/100)*Assumptions!$B$10))))</f>
        <v/>
      </c>
      <c r="AS18" s="29">
        <f>Assumptions!$B$5*(MAX(0,Assumptions!$B$2*EXP(-Assumptions!$B$4*Assumptions!$B$9)*NORMSDIST(((LN(Assumptions!$B$2/$B18)+(Assumptions!$B$3-Assumptions!$B$4+(AS$3/100)^2/2)*Assumptions!$B$9)/((AS$3/100)*Assumptions!$B$10)))-$B18*EXP(-Assumptions!$B$3*Assumptions!$B$9)*NORMSDIST((((LN(Assumptions!$B$2/$B18)+(Assumptions!$B$3-Assumptions!$B$4+(AS$3/100)^2/2)*Assumptions!$B$9)/((AS$3/100)*Assumptions!$B$10))-(AS$3/100)*Assumptions!$B$10))))</f>
        <v/>
      </c>
      <c r="AT18" s="29">
        <f>Assumptions!$B$5*(MAX(0,Assumptions!$B$2*EXP(-Assumptions!$B$4*Assumptions!$B$9)*NORMSDIST(((LN(Assumptions!$B$2/$B18)+(Assumptions!$B$3-Assumptions!$B$4+(AT$3/100)^2/2)*Assumptions!$B$9)/((AT$3/100)*Assumptions!$B$10)))-$B18*EXP(-Assumptions!$B$3*Assumptions!$B$9)*NORMSDIST((((LN(Assumptions!$B$2/$B18)+(Assumptions!$B$3-Assumptions!$B$4+(AT$3/100)^2/2)*Assumptions!$B$9)/((AT$3/100)*Assumptions!$B$10))-(AT$3/100)*Assumptions!$B$10))))</f>
        <v/>
      </c>
      <c r="AU18" s="29">
        <f>Assumptions!$B$5*(MAX(0,Assumptions!$B$2*EXP(-Assumptions!$B$4*Assumptions!$B$9)*NORMSDIST(((LN(Assumptions!$B$2/$B18)+(Assumptions!$B$3-Assumptions!$B$4+(AU$3/100)^2/2)*Assumptions!$B$9)/((AU$3/100)*Assumptions!$B$10)))-$B18*EXP(-Assumptions!$B$3*Assumptions!$B$9)*NORMSDIST((((LN(Assumptions!$B$2/$B18)+(Assumptions!$B$3-Assumptions!$B$4+(AU$3/100)^2/2)*Assumptions!$B$9)/((AU$3/100)*Assumptions!$B$10))-(AU$3/100)*Assumptions!$B$10))))</f>
        <v/>
      </c>
      <c r="AV18" s="29">
        <f>Assumptions!$B$5*(MAX(0,Assumptions!$B$2*EXP(-Assumptions!$B$4*Assumptions!$B$9)*NORMSDIST(((LN(Assumptions!$B$2/$B18)+(Assumptions!$B$3-Assumptions!$B$4+(AV$3/100)^2/2)*Assumptions!$B$9)/((AV$3/100)*Assumptions!$B$10)))-$B18*EXP(-Assumptions!$B$3*Assumptions!$B$9)*NORMSDIST((((LN(Assumptions!$B$2/$B18)+(Assumptions!$B$3-Assumptions!$B$4+(AV$3/100)^2/2)*Assumptions!$B$9)/((AV$3/100)*Assumptions!$B$10))-(AV$3/100)*Assumptions!$B$10))))</f>
        <v/>
      </c>
    </row>
    <row r="19">
      <c r="A19" s="27" t="inlineStr">
        <is>
          <t>+1.75%</t>
        </is>
      </c>
      <c r="B19" s="47">
        <f>'BS Engine'!$B$17</f>
        <v/>
      </c>
      <c r="C19" s="28">
        <f>'BS Engine'!$C$17</f>
        <v/>
      </c>
      <c r="D19" s="49">
        <f>Assumptions!$B$5*(MAX(0,Assumptions!$B$2*EXP(-Assumptions!$B$4*Assumptions!$B$9)*NORMSDIST(((LN(Assumptions!$B$2/$B19)+(Assumptions!$B$3-Assumptions!$B$4+(D$3/100)^2/2)*Assumptions!$B$9)/((D$3/100)*Assumptions!$B$10)))-$B19*EXP(-Assumptions!$B$3*Assumptions!$B$9)*NORMSDIST((((LN(Assumptions!$B$2/$B19)+(Assumptions!$B$3-Assumptions!$B$4+(D$3/100)^2/2)*Assumptions!$B$9)/((D$3/100)*Assumptions!$B$10))-(D$3/100)*Assumptions!$B$10))))</f>
        <v/>
      </c>
      <c r="E19" s="29">
        <f>Assumptions!$B$5*(MAX(0,Assumptions!$B$2*EXP(-Assumptions!$B$4*Assumptions!$B$9)*NORMSDIST(((LN(Assumptions!$B$2/$B19)+(Assumptions!$B$3-Assumptions!$B$4+(E$3/100)^2/2)*Assumptions!$B$9)/((E$3/100)*Assumptions!$B$10)))-$B19*EXP(-Assumptions!$B$3*Assumptions!$B$9)*NORMSDIST((((LN(Assumptions!$B$2/$B19)+(Assumptions!$B$3-Assumptions!$B$4+(E$3/100)^2/2)*Assumptions!$B$9)/((E$3/100)*Assumptions!$B$10))-(E$3/100)*Assumptions!$B$10))))</f>
        <v/>
      </c>
      <c r="F19" s="29">
        <f>Assumptions!$B$5*(MAX(0,Assumptions!$B$2*EXP(-Assumptions!$B$4*Assumptions!$B$9)*NORMSDIST(((LN(Assumptions!$B$2/$B19)+(Assumptions!$B$3-Assumptions!$B$4+(F$3/100)^2/2)*Assumptions!$B$9)/((F$3/100)*Assumptions!$B$10)))-$B19*EXP(-Assumptions!$B$3*Assumptions!$B$9)*NORMSDIST((((LN(Assumptions!$B$2/$B19)+(Assumptions!$B$3-Assumptions!$B$4+(F$3/100)^2/2)*Assumptions!$B$9)/((F$3/100)*Assumptions!$B$10))-(F$3/100)*Assumptions!$B$10))))</f>
        <v/>
      </c>
      <c r="G19" s="29">
        <f>Assumptions!$B$5*(MAX(0,Assumptions!$B$2*EXP(-Assumptions!$B$4*Assumptions!$B$9)*NORMSDIST(((LN(Assumptions!$B$2/$B19)+(Assumptions!$B$3-Assumptions!$B$4+(G$3/100)^2/2)*Assumptions!$B$9)/((G$3/100)*Assumptions!$B$10)))-$B19*EXP(-Assumptions!$B$3*Assumptions!$B$9)*NORMSDIST((((LN(Assumptions!$B$2/$B19)+(Assumptions!$B$3-Assumptions!$B$4+(G$3/100)^2/2)*Assumptions!$B$9)/((G$3/100)*Assumptions!$B$10))-(G$3/100)*Assumptions!$B$10))))</f>
        <v/>
      </c>
      <c r="H19" s="29">
        <f>Assumptions!$B$5*(MAX(0,Assumptions!$B$2*EXP(-Assumptions!$B$4*Assumptions!$B$9)*NORMSDIST(((LN(Assumptions!$B$2/$B19)+(Assumptions!$B$3-Assumptions!$B$4+(H$3/100)^2/2)*Assumptions!$B$9)/((H$3/100)*Assumptions!$B$10)))-$B19*EXP(-Assumptions!$B$3*Assumptions!$B$9)*NORMSDIST((((LN(Assumptions!$B$2/$B19)+(Assumptions!$B$3-Assumptions!$B$4+(H$3/100)^2/2)*Assumptions!$B$9)/((H$3/100)*Assumptions!$B$10))-(H$3/100)*Assumptions!$B$10))))</f>
        <v/>
      </c>
      <c r="I19" s="29">
        <f>Assumptions!$B$5*(MAX(0,Assumptions!$B$2*EXP(-Assumptions!$B$4*Assumptions!$B$9)*NORMSDIST(((LN(Assumptions!$B$2/$B19)+(Assumptions!$B$3-Assumptions!$B$4+(I$3/100)^2/2)*Assumptions!$B$9)/((I$3/100)*Assumptions!$B$10)))-$B19*EXP(-Assumptions!$B$3*Assumptions!$B$9)*NORMSDIST((((LN(Assumptions!$B$2/$B19)+(Assumptions!$B$3-Assumptions!$B$4+(I$3/100)^2/2)*Assumptions!$B$9)/((I$3/100)*Assumptions!$B$10))-(I$3/100)*Assumptions!$B$10))))</f>
        <v/>
      </c>
      <c r="J19" s="29">
        <f>Assumptions!$B$5*(MAX(0,Assumptions!$B$2*EXP(-Assumptions!$B$4*Assumptions!$B$9)*NORMSDIST(((LN(Assumptions!$B$2/$B19)+(Assumptions!$B$3-Assumptions!$B$4+(J$3/100)^2/2)*Assumptions!$B$9)/((J$3/100)*Assumptions!$B$10)))-$B19*EXP(-Assumptions!$B$3*Assumptions!$B$9)*NORMSDIST((((LN(Assumptions!$B$2/$B19)+(Assumptions!$B$3-Assumptions!$B$4+(J$3/100)^2/2)*Assumptions!$B$9)/((J$3/100)*Assumptions!$B$10))-(J$3/100)*Assumptions!$B$10))))</f>
        <v/>
      </c>
      <c r="K19" s="29">
        <f>Assumptions!$B$5*(MAX(0,Assumptions!$B$2*EXP(-Assumptions!$B$4*Assumptions!$B$9)*NORMSDIST(((LN(Assumptions!$B$2/$B19)+(Assumptions!$B$3-Assumptions!$B$4+(K$3/100)^2/2)*Assumptions!$B$9)/((K$3/100)*Assumptions!$B$10)))-$B19*EXP(-Assumptions!$B$3*Assumptions!$B$9)*NORMSDIST((((LN(Assumptions!$B$2/$B19)+(Assumptions!$B$3-Assumptions!$B$4+(K$3/100)^2/2)*Assumptions!$B$9)/((K$3/100)*Assumptions!$B$10))-(K$3/100)*Assumptions!$B$10))))</f>
        <v/>
      </c>
      <c r="L19" s="29">
        <f>Assumptions!$B$5*(MAX(0,Assumptions!$B$2*EXP(-Assumptions!$B$4*Assumptions!$B$9)*NORMSDIST(((LN(Assumptions!$B$2/$B19)+(Assumptions!$B$3-Assumptions!$B$4+(L$3/100)^2/2)*Assumptions!$B$9)/((L$3/100)*Assumptions!$B$10)))-$B19*EXP(-Assumptions!$B$3*Assumptions!$B$9)*NORMSDIST((((LN(Assumptions!$B$2/$B19)+(Assumptions!$B$3-Assumptions!$B$4+(L$3/100)^2/2)*Assumptions!$B$9)/((L$3/100)*Assumptions!$B$10))-(L$3/100)*Assumptions!$B$10))))</f>
        <v/>
      </c>
      <c r="M19" s="29">
        <f>Assumptions!$B$5*(MAX(0,Assumptions!$B$2*EXP(-Assumptions!$B$4*Assumptions!$B$9)*NORMSDIST(((LN(Assumptions!$B$2/$B19)+(Assumptions!$B$3-Assumptions!$B$4+(M$3/100)^2/2)*Assumptions!$B$9)/((M$3/100)*Assumptions!$B$10)))-$B19*EXP(-Assumptions!$B$3*Assumptions!$B$9)*NORMSDIST((((LN(Assumptions!$B$2/$B19)+(Assumptions!$B$3-Assumptions!$B$4+(M$3/100)^2/2)*Assumptions!$B$9)/((M$3/100)*Assumptions!$B$10))-(M$3/100)*Assumptions!$B$10))))</f>
        <v/>
      </c>
      <c r="N19" s="29">
        <f>Assumptions!$B$5*(MAX(0,Assumptions!$B$2*EXP(-Assumptions!$B$4*Assumptions!$B$9)*NORMSDIST(((LN(Assumptions!$B$2/$B19)+(Assumptions!$B$3-Assumptions!$B$4+(N$3/100)^2/2)*Assumptions!$B$9)/((N$3/100)*Assumptions!$B$10)))-$B19*EXP(-Assumptions!$B$3*Assumptions!$B$9)*NORMSDIST((((LN(Assumptions!$B$2/$B19)+(Assumptions!$B$3-Assumptions!$B$4+(N$3/100)^2/2)*Assumptions!$B$9)/((N$3/100)*Assumptions!$B$10))-(N$3/100)*Assumptions!$B$10))))</f>
        <v/>
      </c>
      <c r="O19" s="29">
        <f>Assumptions!$B$5*(MAX(0,Assumptions!$B$2*EXP(-Assumptions!$B$4*Assumptions!$B$9)*NORMSDIST(((LN(Assumptions!$B$2/$B19)+(Assumptions!$B$3-Assumptions!$B$4+(O$3/100)^2/2)*Assumptions!$B$9)/((O$3/100)*Assumptions!$B$10)))-$B19*EXP(-Assumptions!$B$3*Assumptions!$B$9)*NORMSDIST((((LN(Assumptions!$B$2/$B19)+(Assumptions!$B$3-Assumptions!$B$4+(O$3/100)^2/2)*Assumptions!$B$9)/((O$3/100)*Assumptions!$B$10))-(O$3/100)*Assumptions!$B$10))))</f>
        <v/>
      </c>
      <c r="P19" s="29">
        <f>Assumptions!$B$5*(MAX(0,Assumptions!$B$2*EXP(-Assumptions!$B$4*Assumptions!$B$9)*NORMSDIST(((LN(Assumptions!$B$2/$B19)+(Assumptions!$B$3-Assumptions!$B$4+(P$3/100)^2/2)*Assumptions!$B$9)/((P$3/100)*Assumptions!$B$10)))-$B19*EXP(-Assumptions!$B$3*Assumptions!$B$9)*NORMSDIST((((LN(Assumptions!$B$2/$B19)+(Assumptions!$B$3-Assumptions!$B$4+(P$3/100)^2/2)*Assumptions!$B$9)/((P$3/100)*Assumptions!$B$10))-(P$3/100)*Assumptions!$B$10))))</f>
        <v/>
      </c>
      <c r="Q19" s="29">
        <f>Assumptions!$B$5*(MAX(0,Assumptions!$B$2*EXP(-Assumptions!$B$4*Assumptions!$B$9)*NORMSDIST(((LN(Assumptions!$B$2/$B19)+(Assumptions!$B$3-Assumptions!$B$4+(Q$3/100)^2/2)*Assumptions!$B$9)/((Q$3/100)*Assumptions!$B$10)))-$B19*EXP(-Assumptions!$B$3*Assumptions!$B$9)*NORMSDIST((((LN(Assumptions!$B$2/$B19)+(Assumptions!$B$3-Assumptions!$B$4+(Q$3/100)^2/2)*Assumptions!$B$9)/((Q$3/100)*Assumptions!$B$10))-(Q$3/100)*Assumptions!$B$10))))</f>
        <v/>
      </c>
      <c r="R19" s="29">
        <f>Assumptions!$B$5*(MAX(0,Assumptions!$B$2*EXP(-Assumptions!$B$4*Assumptions!$B$9)*NORMSDIST(((LN(Assumptions!$B$2/$B19)+(Assumptions!$B$3-Assumptions!$B$4+(R$3/100)^2/2)*Assumptions!$B$9)/((R$3/100)*Assumptions!$B$10)))-$B19*EXP(-Assumptions!$B$3*Assumptions!$B$9)*NORMSDIST((((LN(Assumptions!$B$2/$B19)+(Assumptions!$B$3-Assumptions!$B$4+(R$3/100)^2/2)*Assumptions!$B$9)/((R$3/100)*Assumptions!$B$10))-(R$3/100)*Assumptions!$B$10))))</f>
        <v/>
      </c>
      <c r="S19" s="29">
        <f>Assumptions!$B$5*(MAX(0,Assumptions!$B$2*EXP(-Assumptions!$B$4*Assumptions!$B$9)*NORMSDIST(((LN(Assumptions!$B$2/$B19)+(Assumptions!$B$3-Assumptions!$B$4+(S$3/100)^2/2)*Assumptions!$B$9)/((S$3/100)*Assumptions!$B$10)))-$B19*EXP(-Assumptions!$B$3*Assumptions!$B$9)*NORMSDIST((((LN(Assumptions!$B$2/$B19)+(Assumptions!$B$3-Assumptions!$B$4+(S$3/100)^2/2)*Assumptions!$B$9)/((S$3/100)*Assumptions!$B$10))-(S$3/100)*Assumptions!$B$10))))</f>
        <v/>
      </c>
      <c r="T19" s="29">
        <f>Assumptions!$B$5*(MAX(0,Assumptions!$B$2*EXP(-Assumptions!$B$4*Assumptions!$B$9)*NORMSDIST(((LN(Assumptions!$B$2/$B19)+(Assumptions!$B$3-Assumptions!$B$4+(T$3/100)^2/2)*Assumptions!$B$9)/((T$3/100)*Assumptions!$B$10)))-$B19*EXP(-Assumptions!$B$3*Assumptions!$B$9)*NORMSDIST((((LN(Assumptions!$B$2/$B19)+(Assumptions!$B$3-Assumptions!$B$4+(T$3/100)^2/2)*Assumptions!$B$9)/((T$3/100)*Assumptions!$B$10))-(T$3/100)*Assumptions!$B$10))))</f>
        <v/>
      </c>
      <c r="U19" s="29">
        <f>Assumptions!$B$5*(MAX(0,Assumptions!$B$2*EXP(-Assumptions!$B$4*Assumptions!$B$9)*NORMSDIST(((LN(Assumptions!$B$2/$B19)+(Assumptions!$B$3-Assumptions!$B$4+(U$3/100)^2/2)*Assumptions!$B$9)/((U$3/100)*Assumptions!$B$10)))-$B19*EXP(-Assumptions!$B$3*Assumptions!$B$9)*NORMSDIST((((LN(Assumptions!$B$2/$B19)+(Assumptions!$B$3-Assumptions!$B$4+(U$3/100)^2/2)*Assumptions!$B$9)/((U$3/100)*Assumptions!$B$10))-(U$3/100)*Assumptions!$B$10))))</f>
        <v/>
      </c>
      <c r="V19" s="29">
        <f>Assumptions!$B$5*(MAX(0,Assumptions!$B$2*EXP(-Assumptions!$B$4*Assumptions!$B$9)*NORMSDIST(((LN(Assumptions!$B$2/$B19)+(Assumptions!$B$3-Assumptions!$B$4+(V$3/100)^2/2)*Assumptions!$B$9)/((V$3/100)*Assumptions!$B$10)))-$B19*EXP(-Assumptions!$B$3*Assumptions!$B$9)*NORMSDIST((((LN(Assumptions!$B$2/$B19)+(Assumptions!$B$3-Assumptions!$B$4+(V$3/100)^2/2)*Assumptions!$B$9)/((V$3/100)*Assumptions!$B$10))-(V$3/100)*Assumptions!$B$10))))</f>
        <v/>
      </c>
      <c r="W19" s="29">
        <f>Assumptions!$B$5*(MAX(0,Assumptions!$B$2*EXP(-Assumptions!$B$4*Assumptions!$B$9)*NORMSDIST(((LN(Assumptions!$B$2/$B19)+(Assumptions!$B$3-Assumptions!$B$4+(W$3/100)^2/2)*Assumptions!$B$9)/((W$3/100)*Assumptions!$B$10)))-$B19*EXP(-Assumptions!$B$3*Assumptions!$B$9)*NORMSDIST((((LN(Assumptions!$B$2/$B19)+(Assumptions!$B$3-Assumptions!$B$4+(W$3/100)^2/2)*Assumptions!$B$9)/((W$3/100)*Assumptions!$B$10))-(W$3/100)*Assumptions!$B$10))))</f>
        <v/>
      </c>
      <c r="X19" s="29">
        <f>Assumptions!$B$5*(MAX(0,Assumptions!$B$2*EXP(-Assumptions!$B$4*Assumptions!$B$9)*NORMSDIST(((LN(Assumptions!$B$2/$B19)+(Assumptions!$B$3-Assumptions!$B$4+(X$3/100)^2/2)*Assumptions!$B$9)/((X$3/100)*Assumptions!$B$10)))-$B19*EXP(-Assumptions!$B$3*Assumptions!$B$9)*NORMSDIST((((LN(Assumptions!$B$2/$B19)+(Assumptions!$B$3-Assumptions!$B$4+(X$3/100)^2/2)*Assumptions!$B$9)/((X$3/100)*Assumptions!$B$10))-(X$3/100)*Assumptions!$B$10))))</f>
        <v/>
      </c>
      <c r="Y19" s="29">
        <f>Assumptions!$B$5*(MAX(0,Assumptions!$B$2*EXP(-Assumptions!$B$4*Assumptions!$B$9)*NORMSDIST(((LN(Assumptions!$B$2/$B19)+(Assumptions!$B$3-Assumptions!$B$4+(Y$3/100)^2/2)*Assumptions!$B$9)/((Y$3/100)*Assumptions!$B$10)))-$B19*EXP(-Assumptions!$B$3*Assumptions!$B$9)*NORMSDIST((((LN(Assumptions!$B$2/$B19)+(Assumptions!$B$3-Assumptions!$B$4+(Y$3/100)^2/2)*Assumptions!$B$9)/((Y$3/100)*Assumptions!$B$10))-(Y$3/100)*Assumptions!$B$10))))</f>
        <v/>
      </c>
      <c r="Z19" s="29">
        <f>Assumptions!$B$5*(MAX(0,Assumptions!$B$2*EXP(-Assumptions!$B$4*Assumptions!$B$9)*NORMSDIST(((LN(Assumptions!$B$2/$B19)+(Assumptions!$B$3-Assumptions!$B$4+(Z$3/100)^2/2)*Assumptions!$B$9)/((Z$3/100)*Assumptions!$B$10)))-$B19*EXP(-Assumptions!$B$3*Assumptions!$B$9)*NORMSDIST((((LN(Assumptions!$B$2/$B19)+(Assumptions!$B$3-Assumptions!$B$4+(Z$3/100)^2/2)*Assumptions!$B$9)/((Z$3/100)*Assumptions!$B$10))-(Z$3/100)*Assumptions!$B$10))))</f>
        <v/>
      </c>
      <c r="AA19" s="29">
        <f>Assumptions!$B$5*(MAX(0,Assumptions!$B$2*EXP(-Assumptions!$B$4*Assumptions!$B$9)*NORMSDIST(((LN(Assumptions!$B$2/$B19)+(Assumptions!$B$3-Assumptions!$B$4+(AA$3/100)^2/2)*Assumptions!$B$9)/((AA$3/100)*Assumptions!$B$10)))-$B19*EXP(-Assumptions!$B$3*Assumptions!$B$9)*NORMSDIST((((LN(Assumptions!$B$2/$B19)+(Assumptions!$B$3-Assumptions!$B$4+(AA$3/100)^2/2)*Assumptions!$B$9)/((AA$3/100)*Assumptions!$B$10))-(AA$3/100)*Assumptions!$B$10))))</f>
        <v/>
      </c>
      <c r="AB19" s="29">
        <f>Assumptions!$B$5*(MAX(0,Assumptions!$B$2*EXP(-Assumptions!$B$4*Assumptions!$B$9)*NORMSDIST(((LN(Assumptions!$B$2/$B19)+(Assumptions!$B$3-Assumptions!$B$4+(AB$3/100)^2/2)*Assumptions!$B$9)/((AB$3/100)*Assumptions!$B$10)))-$B19*EXP(-Assumptions!$B$3*Assumptions!$B$9)*NORMSDIST((((LN(Assumptions!$B$2/$B19)+(Assumptions!$B$3-Assumptions!$B$4+(AB$3/100)^2/2)*Assumptions!$B$9)/((AB$3/100)*Assumptions!$B$10))-(AB$3/100)*Assumptions!$B$10))))</f>
        <v/>
      </c>
      <c r="AC19" s="29">
        <f>Assumptions!$B$5*(MAX(0,Assumptions!$B$2*EXP(-Assumptions!$B$4*Assumptions!$B$9)*NORMSDIST(((LN(Assumptions!$B$2/$B19)+(Assumptions!$B$3-Assumptions!$B$4+(AC$3/100)^2/2)*Assumptions!$B$9)/((AC$3/100)*Assumptions!$B$10)))-$B19*EXP(-Assumptions!$B$3*Assumptions!$B$9)*NORMSDIST((((LN(Assumptions!$B$2/$B19)+(Assumptions!$B$3-Assumptions!$B$4+(AC$3/100)^2/2)*Assumptions!$B$9)/((AC$3/100)*Assumptions!$B$10))-(AC$3/100)*Assumptions!$B$10))))</f>
        <v/>
      </c>
      <c r="AD19" s="29">
        <f>Assumptions!$B$5*(MAX(0,Assumptions!$B$2*EXP(-Assumptions!$B$4*Assumptions!$B$9)*NORMSDIST(((LN(Assumptions!$B$2/$B19)+(Assumptions!$B$3-Assumptions!$B$4+(AD$3/100)^2/2)*Assumptions!$B$9)/((AD$3/100)*Assumptions!$B$10)))-$B19*EXP(-Assumptions!$B$3*Assumptions!$B$9)*NORMSDIST((((LN(Assumptions!$B$2/$B19)+(Assumptions!$B$3-Assumptions!$B$4+(AD$3/100)^2/2)*Assumptions!$B$9)/((AD$3/100)*Assumptions!$B$10))-(AD$3/100)*Assumptions!$B$10))))</f>
        <v/>
      </c>
      <c r="AE19" s="29">
        <f>Assumptions!$B$5*(MAX(0,Assumptions!$B$2*EXP(-Assumptions!$B$4*Assumptions!$B$9)*NORMSDIST(((LN(Assumptions!$B$2/$B19)+(Assumptions!$B$3-Assumptions!$B$4+(AE$3/100)^2/2)*Assumptions!$B$9)/((AE$3/100)*Assumptions!$B$10)))-$B19*EXP(-Assumptions!$B$3*Assumptions!$B$9)*NORMSDIST((((LN(Assumptions!$B$2/$B19)+(Assumptions!$B$3-Assumptions!$B$4+(AE$3/100)^2/2)*Assumptions!$B$9)/((AE$3/100)*Assumptions!$B$10))-(AE$3/100)*Assumptions!$B$10))))</f>
        <v/>
      </c>
      <c r="AF19" s="29">
        <f>Assumptions!$B$5*(MAX(0,Assumptions!$B$2*EXP(-Assumptions!$B$4*Assumptions!$B$9)*NORMSDIST(((LN(Assumptions!$B$2/$B19)+(Assumptions!$B$3-Assumptions!$B$4+(AF$3/100)^2/2)*Assumptions!$B$9)/((AF$3/100)*Assumptions!$B$10)))-$B19*EXP(-Assumptions!$B$3*Assumptions!$B$9)*NORMSDIST((((LN(Assumptions!$B$2/$B19)+(Assumptions!$B$3-Assumptions!$B$4+(AF$3/100)^2/2)*Assumptions!$B$9)/((AF$3/100)*Assumptions!$B$10))-(AF$3/100)*Assumptions!$B$10))))</f>
        <v/>
      </c>
      <c r="AG19" s="29">
        <f>Assumptions!$B$5*(MAX(0,Assumptions!$B$2*EXP(-Assumptions!$B$4*Assumptions!$B$9)*NORMSDIST(((LN(Assumptions!$B$2/$B19)+(Assumptions!$B$3-Assumptions!$B$4+(AG$3/100)^2/2)*Assumptions!$B$9)/((AG$3/100)*Assumptions!$B$10)))-$B19*EXP(-Assumptions!$B$3*Assumptions!$B$9)*NORMSDIST((((LN(Assumptions!$B$2/$B19)+(Assumptions!$B$3-Assumptions!$B$4+(AG$3/100)^2/2)*Assumptions!$B$9)/((AG$3/100)*Assumptions!$B$10))-(AG$3/100)*Assumptions!$B$10))))</f>
        <v/>
      </c>
      <c r="AH19" s="29">
        <f>Assumptions!$B$5*(MAX(0,Assumptions!$B$2*EXP(-Assumptions!$B$4*Assumptions!$B$9)*NORMSDIST(((LN(Assumptions!$B$2/$B19)+(Assumptions!$B$3-Assumptions!$B$4+(AH$3/100)^2/2)*Assumptions!$B$9)/((AH$3/100)*Assumptions!$B$10)))-$B19*EXP(-Assumptions!$B$3*Assumptions!$B$9)*NORMSDIST((((LN(Assumptions!$B$2/$B19)+(Assumptions!$B$3-Assumptions!$B$4+(AH$3/100)^2/2)*Assumptions!$B$9)/((AH$3/100)*Assumptions!$B$10))-(AH$3/100)*Assumptions!$B$10))))</f>
        <v/>
      </c>
      <c r="AI19" s="29">
        <f>Assumptions!$B$5*(MAX(0,Assumptions!$B$2*EXP(-Assumptions!$B$4*Assumptions!$B$9)*NORMSDIST(((LN(Assumptions!$B$2/$B19)+(Assumptions!$B$3-Assumptions!$B$4+(AI$3/100)^2/2)*Assumptions!$B$9)/((AI$3/100)*Assumptions!$B$10)))-$B19*EXP(-Assumptions!$B$3*Assumptions!$B$9)*NORMSDIST((((LN(Assumptions!$B$2/$B19)+(Assumptions!$B$3-Assumptions!$B$4+(AI$3/100)^2/2)*Assumptions!$B$9)/((AI$3/100)*Assumptions!$B$10))-(AI$3/100)*Assumptions!$B$10))))</f>
        <v/>
      </c>
      <c r="AJ19" s="29">
        <f>Assumptions!$B$5*(MAX(0,Assumptions!$B$2*EXP(-Assumptions!$B$4*Assumptions!$B$9)*NORMSDIST(((LN(Assumptions!$B$2/$B19)+(Assumptions!$B$3-Assumptions!$B$4+(AJ$3/100)^2/2)*Assumptions!$B$9)/((AJ$3/100)*Assumptions!$B$10)))-$B19*EXP(-Assumptions!$B$3*Assumptions!$B$9)*NORMSDIST((((LN(Assumptions!$B$2/$B19)+(Assumptions!$B$3-Assumptions!$B$4+(AJ$3/100)^2/2)*Assumptions!$B$9)/((AJ$3/100)*Assumptions!$B$10))-(AJ$3/100)*Assumptions!$B$10))))</f>
        <v/>
      </c>
      <c r="AK19" s="29">
        <f>Assumptions!$B$5*(MAX(0,Assumptions!$B$2*EXP(-Assumptions!$B$4*Assumptions!$B$9)*NORMSDIST(((LN(Assumptions!$B$2/$B19)+(Assumptions!$B$3-Assumptions!$B$4+(AK$3/100)^2/2)*Assumptions!$B$9)/((AK$3/100)*Assumptions!$B$10)))-$B19*EXP(-Assumptions!$B$3*Assumptions!$B$9)*NORMSDIST((((LN(Assumptions!$B$2/$B19)+(Assumptions!$B$3-Assumptions!$B$4+(AK$3/100)^2/2)*Assumptions!$B$9)/((AK$3/100)*Assumptions!$B$10))-(AK$3/100)*Assumptions!$B$10))))</f>
        <v/>
      </c>
      <c r="AL19" s="29">
        <f>Assumptions!$B$5*(MAX(0,Assumptions!$B$2*EXP(-Assumptions!$B$4*Assumptions!$B$9)*NORMSDIST(((LN(Assumptions!$B$2/$B19)+(Assumptions!$B$3-Assumptions!$B$4+(AL$3/100)^2/2)*Assumptions!$B$9)/((AL$3/100)*Assumptions!$B$10)))-$B19*EXP(-Assumptions!$B$3*Assumptions!$B$9)*NORMSDIST((((LN(Assumptions!$B$2/$B19)+(Assumptions!$B$3-Assumptions!$B$4+(AL$3/100)^2/2)*Assumptions!$B$9)/((AL$3/100)*Assumptions!$B$10))-(AL$3/100)*Assumptions!$B$10))))</f>
        <v/>
      </c>
      <c r="AM19" s="29">
        <f>Assumptions!$B$5*(MAX(0,Assumptions!$B$2*EXP(-Assumptions!$B$4*Assumptions!$B$9)*NORMSDIST(((LN(Assumptions!$B$2/$B19)+(Assumptions!$B$3-Assumptions!$B$4+(AM$3/100)^2/2)*Assumptions!$B$9)/((AM$3/100)*Assumptions!$B$10)))-$B19*EXP(-Assumptions!$B$3*Assumptions!$B$9)*NORMSDIST((((LN(Assumptions!$B$2/$B19)+(Assumptions!$B$3-Assumptions!$B$4+(AM$3/100)^2/2)*Assumptions!$B$9)/((AM$3/100)*Assumptions!$B$10))-(AM$3/100)*Assumptions!$B$10))))</f>
        <v/>
      </c>
      <c r="AN19" s="29">
        <f>Assumptions!$B$5*(MAX(0,Assumptions!$B$2*EXP(-Assumptions!$B$4*Assumptions!$B$9)*NORMSDIST(((LN(Assumptions!$B$2/$B19)+(Assumptions!$B$3-Assumptions!$B$4+(AN$3/100)^2/2)*Assumptions!$B$9)/((AN$3/100)*Assumptions!$B$10)))-$B19*EXP(-Assumptions!$B$3*Assumptions!$B$9)*NORMSDIST((((LN(Assumptions!$B$2/$B19)+(Assumptions!$B$3-Assumptions!$B$4+(AN$3/100)^2/2)*Assumptions!$B$9)/((AN$3/100)*Assumptions!$B$10))-(AN$3/100)*Assumptions!$B$10))))</f>
        <v/>
      </c>
      <c r="AO19" s="29">
        <f>Assumptions!$B$5*(MAX(0,Assumptions!$B$2*EXP(-Assumptions!$B$4*Assumptions!$B$9)*NORMSDIST(((LN(Assumptions!$B$2/$B19)+(Assumptions!$B$3-Assumptions!$B$4+(AO$3/100)^2/2)*Assumptions!$B$9)/((AO$3/100)*Assumptions!$B$10)))-$B19*EXP(-Assumptions!$B$3*Assumptions!$B$9)*NORMSDIST((((LN(Assumptions!$B$2/$B19)+(Assumptions!$B$3-Assumptions!$B$4+(AO$3/100)^2/2)*Assumptions!$B$9)/((AO$3/100)*Assumptions!$B$10))-(AO$3/100)*Assumptions!$B$10))))</f>
        <v/>
      </c>
      <c r="AP19" s="29">
        <f>Assumptions!$B$5*(MAX(0,Assumptions!$B$2*EXP(-Assumptions!$B$4*Assumptions!$B$9)*NORMSDIST(((LN(Assumptions!$B$2/$B19)+(Assumptions!$B$3-Assumptions!$B$4+(AP$3/100)^2/2)*Assumptions!$B$9)/((AP$3/100)*Assumptions!$B$10)))-$B19*EXP(-Assumptions!$B$3*Assumptions!$B$9)*NORMSDIST((((LN(Assumptions!$B$2/$B19)+(Assumptions!$B$3-Assumptions!$B$4+(AP$3/100)^2/2)*Assumptions!$B$9)/((AP$3/100)*Assumptions!$B$10))-(AP$3/100)*Assumptions!$B$10))))</f>
        <v/>
      </c>
      <c r="AQ19" s="29">
        <f>Assumptions!$B$5*(MAX(0,Assumptions!$B$2*EXP(-Assumptions!$B$4*Assumptions!$B$9)*NORMSDIST(((LN(Assumptions!$B$2/$B19)+(Assumptions!$B$3-Assumptions!$B$4+(AQ$3/100)^2/2)*Assumptions!$B$9)/((AQ$3/100)*Assumptions!$B$10)))-$B19*EXP(-Assumptions!$B$3*Assumptions!$B$9)*NORMSDIST((((LN(Assumptions!$B$2/$B19)+(Assumptions!$B$3-Assumptions!$B$4+(AQ$3/100)^2/2)*Assumptions!$B$9)/((AQ$3/100)*Assumptions!$B$10))-(AQ$3/100)*Assumptions!$B$10))))</f>
        <v/>
      </c>
      <c r="AR19" s="29">
        <f>Assumptions!$B$5*(MAX(0,Assumptions!$B$2*EXP(-Assumptions!$B$4*Assumptions!$B$9)*NORMSDIST(((LN(Assumptions!$B$2/$B19)+(Assumptions!$B$3-Assumptions!$B$4+(AR$3/100)^2/2)*Assumptions!$B$9)/((AR$3/100)*Assumptions!$B$10)))-$B19*EXP(-Assumptions!$B$3*Assumptions!$B$9)*NORMSDIST((((LN(Assumptions!$B$2/$B19)+(Assumptions!$B$3-Assumptions!$B$4+(AR$3/100)^2/2)*Assumptions!$B$9)/((AR$3/100)*Assumptions!$B$10))-(AR$3/100)*Assumptions!$B$10))))</f>
        <v/>
      </c>
      <c r="AS19" s="29">
        <f>Assumptions!$B$5*(MAX(0,Assumptions!$B$2*EXP(-Assumptions!$B$4*Assumptions!$B$9)*NORMSDIST(((LN(Assumptions!$B$2/$B19)+(Assumptions!$B$3-Assumptions!$B$4+(AS$3/100)^2/2)*Assumptions!$B$9)/((AS$3/100)*Assumptions!$B$10)))-$B19*EXP(-Assumptions!$B$3*Assumptions!$B$9)*NORMSDIST((((LN(Assumptions!$B$2/$B19)+(Assumptions!$B$3-Assumptions!$B$4+(AS$3/100)^2/2)*Assumptions!$B$9)/((AS$3/100)*Assumptions!$B$10))-(AS$3/100)*Assumptions!$B$10))))</f>
        <v/>
      </c>
      <c r="AT19" s="29">
        <f>Assumptions!$B$5*(MAX(0,Assumptions!$B$2*EXP(-Assumptions!$B$4*Assumptions!$B$9)*NORMSDIST(((LN(Assumptions!$B$2/$B19)+(Assumptions!$B$3-Assumptions!$B$4+(AT$3/100)^2/2)*Assumptions!$B$9)/((AT$3/100)*Assumptions!$B$10)))-$B19*EXP(-Assumptions!$B$3*Assumptions!$B$9)*NORMSDIST((((LN(Assumptions!$B$2/$B19)+(Assumptions!$B$3-Assumptions!$B$4+(AT$3/100)^2/2)*Assumptions!$B$9)/((AT$3/100)*Assumptions!$B$10))-(AT$3/100)*Assumptions!$B$10))))</f>
        <v/>
      </c>
      <c r="AU19" s="29">
        <f>Assumptions!$B$5*(MAX(0,Assumptions!$B$2*EXP(-Assumptions!$B$4*Assumptions!$B$9)*NORMSDIST(((LN(Assumptions!$B$2/$B19)+(Assumptions!$B$3-Assumptions!$B$4+(AU$3/100)^2/2)*Assumptions!$B$9)/((AU$3/100)*Assumptions!$B$10)))-$B19*EXP(-Assumptions!$B$3*Assumptions!$B$9)*NORMSDIST((((LN(Assumptions!$B$2/$B19)+(Assumptions!$B$3-Assumptions!$B$4+(AU$3/100)^2/2)*Assumptions!$B$9)/((AU$3/100)*Assumptions!$B$10))-(AU$3/100)*Assumptions!$B$10))))</f>
        <v/>
      </c>
      <c r="AV19" s="29">
        <f>Assumptions!$B$5*(MAX(0,Assumptions!$B$2*EXP(-Assumptions!$B$4*Assumptions!$B$9)*NORMSDIST(((LN(Assumptions!$B$2/$B19)+(Assumptions!$B$3-Assumptions!$B$4+(AV$3/100)^2/2)*Assumptions!$B$9)/((AV$3/100)*Assumptions!$B$10)))-$B19*EXP(-Assumptions!$B$3*Assumptions!$B$9)*NORMSDIST((((LN(Assumptions!$B$2/$B19)+(Assumptions!$B$3-Assumptions!$B$4+(AV$3/100)^2/2)*Assumptions!$B$9)/((AV$3/100)*Assumptions!$B$10))-(AV$3/100)*Assumptions!$B$10))))</f>
        <v/>
      </c>
    </row>
    <row r="20">
      <c r="A20" s="27" t="inlineStr">
        <is>
          <t>+2.00%</t>
        </is>
      </c>
      <c r="B20" s="47">
        <f>'BS Engine'!$B$18</f>
        <v/>
      </c>
      <c r="C20" s="28">
        <f>'BS Engine'!$C$18</f>
        <v/>
      </c>
      <c r="D20" s="49">
        <f>Assumptions!$B$5*(MAX(0,Assumptions!$B$2*EXP(-Assumptions!$B$4*Assumptions!$B$9)*NORMSDIST(((LN(Assumptions!$B$2/$B20)+(Assumptions!$B$3-Assumptions!$B$4+(D$3/100)^2/2)*Assumptions!$B$9)/((D$3/100)*Assumptions!$B$10)))-$B20*EXP(-Assumptions!$B$3*Assumptions!$B$9)*NORMSDIST((((LN(Assumptions!$B$2/$B20)+(Assumptions!$B$3-Assumptions!$B$4+(D$3/100)^2/2)*Assumptions!$B$9)/((D$3/100)*Assumptions!$B$10))-(D$3/100)*Assumptions!$B$10))))</f>
        <v/>
      </c>
      <c r="E20" s="29">
        <f>Assumptions!$B$5*(MAX(0,Assumptions!$B$2*EXP(-Assumptions!$B$4*Assumptions!$B$9)*NORMSDIST(((LN(Assumptions!$B$2/$B20)+(Assumptions!$B$3-Assumptions!$B$4+(E$3/100)^2/2)*Assumptions!$B$9)/((E$3/100)*Assumptions!$B$10)))-$B20*EXP(-Assumptions!$B$3*Assumptions!$B$9)*NORMSDIST((((LN(Assumptions!$B$2/$B20)+(Assumptions!$B$3-Assumptions!$B$4+(E$3/100)^2/2)*Assumptions!$B$9)/((E$3/100)*Assumptions!$B$10))-(E$3/100)*Assumptions!$B$10))))</f>
        <v/>
      </c>
      <c r="F20" s="29">
        <f>Assumptions!$B$5*(MAX(0,Assumptions!$B$2*EXP(-Assumptions!$B$4*Assumptions!$B$9)*NORMSDIST(((LN(Assumptions!$B$2/$B20)+(Assumptions!$B$3-Assumptions!$B$4+(F$3/100)^2/2)*Assumptions!$B$9)/((F$3/100)*Assumptions!$B$10)))-$B20*EXP(-Assumptions!$B$3*Assumptions!$B$9)*NORMSDIST((((LN(Assumptions!$B$2/$B20)+(Assumptions!$B$3-Assumptions!$B$4+(F$3/100)^2/2)*Assumptions!$B$9)/((F$3/100)*Assumptions!$B$10))-(F$3/100)*Assumptions!$B$10))))</f>
        <v/>
      </c>
      <c r="G20" s="29">
        <f>Assumptions!$B$5*(MAX(0,Assumptions!$B$2*EXP(-Assumptions!$B$4*Assumptions!$B$9)*NORMSDIST(((LN(Assumptions!$B$2/$B20)+(Assumptions!$B$3-Assumptions!$B$4+(G$3/100)^2/2)*Assumptions!$B$9)/((G$3/100)*Assumptions!$B$10)))-$B20*EXP(-Assumptions!$B$3*Assumptions!$B$9)*NORMSDIST((((LN(Assumptions!$B$2/$B20)+(Assumptions!$B$3-Assumptions!$B$4+(G$3/100)^2/2)*Assumptions!$B$9)/((G$3/100)*Assumptions!$B$10))-(G$3/100)*Assumptions!$B$10))))</f>
        <v/>
      </c>
      <c r="H20" s="29">
        <f>Assumptions!$B$5*(MAX(0,Assumptions!$B$2*EXP(-Assumptions!$B$4*Assumptions!$B$9)*NORMSDIST(((LN(Assumptions!$B$2/$B20)+(Assumptions!$B$3-Assumptions!$B$4+(H$3/100)^2/2)*Assumptions!$B$9)/((H$3/100)*Assumptions!$B$10)))-$B20*EXP(-Assumptions!$B$3*Assumptions!$B$9)*NORMSDIST((((LN(Assumptions!$B$2/$B20)+(Assumptions!$B$3-Assumptions!$B$4+(H$3/100)^2/2)*Assumptions!$B$9)/((H$3/100)*Assumptions!$B$10))-(H$3/100)*Assumptions!$B$10))))</f>
        <v/>
      </c>
      <c r="I20" s="29">
        <f>Assumptions!$B$5*(MAX(0,Assumptions!$B$2*EXP(-Assumptions!$B$4*Assumptions!$B$9)*NORMSDIST(((LN(Assumptions!$B$2/$B20)+(Assumptions!$B$3-Assumptions!$B$4+(I$3/100)^2/2)*Assumptions!$B$9)/((I$3/100)*Assumptions!$B$10)))-$B20*EXP(-Assumptions!$B$3*Assumptions!$B$9)*NORMSDIST((((LN(Assumptions!$B$2/$B20)+(Assumptions!$B$3-Assumptions!$B$4+(I$3/100)^2/2)*Assumptions!$B$9)/((I$3/100)*Assumptions!$B$10))-(I$3/100)*Assumptions!$B$10))))</f>
        <v/>
      </c>
      <c r="J20" s="29">
        <f>Assumptions!$B$5*(MAX(0,Assumptions!$B$2*EXP(-Assumptions!$B$4*Assumptions!$B$9)*NORMSDIST(((LN(Assumptions!$B$2/$B20)+(Assumptions!$B$3-Assumptions!$B$4+(J$3/100)^2/2)*Assumptions!$B$9)/((J$3/100)*Assumptions!$B$10)))-$B20*EXP(-Assumptions!$B$3*Assumptions!$B$9)*NORMSDIST((((LN(Assumptions!$B$2/$B20)+(Assumptions!$B$3-Assumptions!$B$4+(J$3/100)^2/2)*Assumptions!$B$9)/((J$3/100)*Assumptions!$B$10))-(J$3/100)*Assumptions!$B$10))))</f>
        <v/>
      </c>
      <c r="K20" s="29">
        <f>Assumptions!$B$5*(MAX(0,Assumptions!$B$2*EXP(-Assumptions!$B$4*Assumptions!$B$9)*NORMSDIST(((LN(Assumptions!$B$2/$B20)+(Assumptions!$B$3-Assumptions!$B$4+(K$3/100)^2/2)*Assumptions!$B$9)/((K$3/100)*Assumptions!$B$10)))-$B20*EXP(-Assumptions!$B$3*Assumptions!$B$9)*NORMSDIST((((LN(Assumptions!$B$2/$B20)+(Assumptions!$B$3-Assumptions!$B$4+(K$3/100)^2/2)*Assumptions!$B$9)/((K$3/100)*Assumptions!$B$10))-(K$3/100)*Assumptions!$B$10))))</f>
        <v/>
      </c>
      <c r="L20" s="29">
        <f>Assumptions!$B$5*(MAX(0,Assumptions!$B$2*EXP(-Assumptions!$B$4*Assumptions!$B$9)*NORMSDIST(((LN(Assumptions!$B$2/$B20)+(Assumptions!$B$3-Assumptions!$B$4+(L$3/100)^2/2)*Assumptions!$B$9)/((L$3/100)*Assumptions!$B$10)))-$B20*EXP(-Assumptions!$B$3*Assumptions!$B$9)*NORMSDIST((((LN(Assumptions!$B$2/$B20)+(Assumptions!$B$3-Assumptions!$B$4+(L$3/100)^2/2)*Assumptions!$B$9)/((L$3/100)*Assumptions!$B$10))-(L$3/100)*Assumptions!$B$10))))</f>
        <v/>
      </c>
      <c r="M20" s="29">
        <f>Assumptions!$B$5*(MAX(0,Assumptions!$B$2*EXP(-Assumptions!$B$4*Assumptions!$B$9)*NORMSDIST(((LN(Assumptions!$B$2/$B20)+(Assumptions!$B$3-Assumptions!$B$4+(M$3/100)^2/2)*Assumptions!$B$9)/((M$3/100)*Assumptions!$B$10)))-$B20*EXP(-Assumptions!$B$3*Assumptions!$B$9)*NORMSDIST((((LN(Assumptions!$B$2/$B20)+(Assumptions!$B$3-Assumptions!$B$4+(M$3/100)^2/2)*Assumptions!$B$9)/((M$3/100)*Assumptions!$B$10))-(M$3/100)*Assumptions!$B$10))))</f>
        <v/>
      </c>
      <c r="N20" s="29">
        <f>Assumptions!$B$5*(MAX(0,Assumptions!$B$2*EXP(-Assumptions!$B$4*Assumptions!$B$9)*NORMSDIST(((LN(Assumptions!$B$2/$B20)+(Assumptions!$B$3-Assumptions!$B$4+(N$3/100)^2/2)*Assumptions!$B$9)/((N$3/100)*Assumptions!$B$10)))-$B20*EXP(-Assumptions!$B$3*Assumptions!$B$9)*NORMSDIST((((LN(Assumptions!$B$2/$B20)+(Assumptions!$B$3-Assumptions!$B$4+(N$3/100)^2/2)*Assumptions!$B$9)/((N$3/100)*Assumptions!$B$10))-(N$3/100)*Assumptions!$B$10))))</f>
        <v/>
      </c>
      <c r="O20" s="29">
        <f>Assumptions!$B$5*(MAX(0,Assumptions!$B$2*EXP(-Assumptions!$B$4*Assumptions!$B$9)*NORMSDIST(((LN(Assumptions!$B$2/$B20)+(Assumptions!$B$3-Assumptions!$B$4+(O$3/100)^2/2)*Assumptions!$B$9)/((O$3/100)*Assumptions!$B$10)))-$B20*EXP(-Assumptions!$B$3*Assumptions!$B$9)*NORMSDIST((((LN(Assumptions!$B$2/$B20)+(Assumptions!$B$3-Assumptions!$B$4+(O$3/100)^2/2)*Assumptions!$B$9)/((O$3/100)*Assumptions!$B$10))-(O$3/100)*Assumptions!$B$10))))</f>
        <v/>
      </c>
      <c r="P20" s="29">
        <f>Assumptions!$B$5*(MAX(0,Assumptions!$B$2*EXP(-Assumptions!$B$4*Assumptions!$B$9)*NORMSDIST(((LN(Assumptions!$B$2/$B20)+(Assumptions!$B$3-Assumptions!$B$4+(P$3/100)^2/2)*Assumptions!$B$9)/((P$3/100)*Assumptions!$B$10)))-$B20*EXP(-Assumptions!$B$3*Assumptions!$B$9)*NORMSDIST((((LN(Assumptions!$B$2/$B20)+(Assumptions!$B$3-Assumptions!$B$4+(P$3/100)^2/2)*Assumptions!$B$9)/((P$3/100)*Assumptions!$B$10))-(P$3/100)*Assumptions!$B$10))))</f>
        <v/>
      </c>
      <c r="Q20" s="29">
        <f>Assumptions!$B$5*(MAX(0,Assumptions!$B$2*EXP(-Assumptions!$B$4*Assumptions!$B$9)*NORMSDIST(((LN(Assumptions!$B$2/$B20)+(Assumptions!$B$3-Assumptions!$B$4+(Q$3/100)^2/2)*Assumptions!$B$9)/((Q$3/100)*Assumptions!$B$10)))-$B20*EXP(-Assumptions!$B$3*Assumptions!$B$9)*NORMSDIST((((LN(Assumptions!$B$2/$B20)+(Assumptions!$B$3-Assumptions!$B$4+(Q$3/100)^2/2)*Assumptions!$B$9)/((Q$3/100)*Assumptions!$B$10))-(Q$3/100)*Assumptions!$B$10))))</f>
        <v/>
      </c>
      <c r="R20" s="29">
        <f>Assumptions!$B$5*(MAX(0,Assumptions!$B$2*EXP(-Assumptions!$B$4*Assumptions!$B$9)*NORMSDIST(((LN(Assumptions!$B$2/$B20)+(Assumptions!$B$3-Assumptions!$B$4+(R$3/100)^2/2)*Assumptions!$B$9)/((R$3/100)*Assumptions!$B$10)))-$B20*EXP(-Assumptions!$B$3*Assumptions!$B$9)*NORMSDIST((((LN(Assumptions!$B$2/$B20)+(Assumptions!$B$3-Assumptions!$B$4+(R$3/100)^2/2)*Assumptions!$B$9)/((R$3/100)*Assumptions!$B$10))-(R$3/100)*Assumptions!$B$10))))</f>
        <v/>
      </c>
      <c r="S20" s="29">
        <f>Assumptions!$B$5*(MAX(0,Assumptions!$B$2*EXP(-Assumptions!$B$4*Assumptions!$B$9)*NORMSDIST(((LN(Assumptions!$B$2/$B20)+(Assumptions!$B$3-Assumptions!$B$4+(S$3/100)^2/2)*Assumptions!$B$9)/((S$3/100)*Assumptions!$B$10)))-$B20*EXP(-Assumptions!$B$3*Assumptions!$B$9)*NORMSDIST((((LN(Assumptions!$B$2/$B20)+(Assumptions!$B$3-Assumptions!$B$4+(S$3/100)^2/2)*Assumptions!$B$9)/((S$3/100)*Assumptions!$B$10))-(S$3/100)*Assumptions!$B$10))))</f>
        <v/>
      </c>
      <c r="T20" s="29">
        <f>Assumptions!$B$5*(MAX(0,Assumptions!$B$2*EXP(-Assumptions!$B$4*Assumptions!$B$9)*NORMSDIST(((LN(Assumptions!$B$2/$B20)+(Assumptions!$B$3-Assumptions!$B$4+(T$3/100)^2/2)*Assumptions!$B$9)/((T$3/100)*Assumptions!$B$10)))-$B20*EXP(-Assumptions!$B$3*Assumptions!$B$9)*NORMSDIST((((LN(Assumptions!$B$2/$B20)+(Assumptions!$B$3-Assumptions!$B$4+(T$3/100)^2/2)*Assumptions!$B$9)/((T$3/100)*Assumptions!$B$10))-(T$3/100)*Assumptions!$B$10))))</f>
        <v/>
      </c>
      <c r="U20" s="29">
        <f>Assumptions!$B$5*(MAX(0,Assumptions!$B$2*EXP(-Assumptions!$B$4*Assumptions!$B$9)*NORMSDIST(((LN(Assumptions!$B$2/$B20)+(Assumptions!$B$3-Assumptions!$B$4+(U$3/100)^2/2)*Assumptions!$B$9)/((U$3/100)*Assumptions!$B$10)))-$B20*EXP(-Assumptions!$B$3*Assumptions!$B$9)*NORMSDIST((((LN(Assumptions!$B$2/$B20)+(Assumptions!$B$3-Assumptions!$B$4+(U$3/100)^2/2)*Assumptions!$B$9)/((U$3/100)*Assumptions!$B$10))-(U$3/100)*Assumptions!$B$10))))</f>
        <v/>
      </c>
      <c r="V20" s="29">
        <f>Assumptions!$B$5*(MAX(0,Assumptions!$B$2*EXP(-Assumptions!$B$4*Assumptions!$B$9)*NORMSDIST(((LN(Assumptions!$B$2/$B20)+(Assumptions!$B$3-Assumptions!$B$4+(V$3/100)^2/2)*Assumptions!$B$9)/((V$3/100)*Assumptions!$B$10)))-$B20*EXP(-Assumptions!$B$3*Assumptions!$B$9)*NORMSDIST((((LN(Assumptions!$B$2/$B20)+(Assumptions!$B$3-Assumptions!$B$4+(V$3/100)^2/2)*Assumptions!$B$9)/((V$3/100)*Assumptions!$B$10))-(V$3/100)*Assumptions!$B$10))))</f>
        <v/>
      </c>
      <c r="W20" s="29">
        <f>Assumptions!$B$5*(MAX(0,Assumptions!$B$2*EXP(-Assumptions!$B$4*Assumptions!$B$9)*NORMSDIST(((LN(Assumptions!$B$2/$B20)+(Assumptions!$B$3-Assumptions!$B$4+(W$3/100)^2/2)*Assumptions!$B$9)/((W$3/100)*Assumptions!$B$10)))-$B20*EXP(-Assumptions!$B$3*Assumptions!$B$9)*NORMSDIST((((LN(Assumptions!$B$2/$B20)+(Assumptions!$B$3-Assumptions!$B$4+(W$3/100)^2/2)*Assumptions!$B$9)/((W$3/100)*Assumptions!$B$10))-(W$3/100)*Assumptions!$B$10))))</f>
        <v/>
      </c>
      <c r="X20" s="29">
        <f>Assumptions!$B$5*(MAX(0,Assumptions!$B$2*EXP(-Assumptions!$B$4*Assumptions!$B$9)*NORMSDIST(((LN(Assumptions!$B$2/$B20)+(Assumptions!$B$3-Assumptions!$B$4+(X$3/100)^2/2)*Assumptions!$B$9)/((X$3/100)*Assumptions!$B$10)))-$B20*EXP(-Assumptions!$B$3*Assumptions!$B$9)*NORMSDIST((((LN(Assumptions!$B$2/$B20)+(Assumptions!$B$3-Assumptions!$B$4+(X$3/100)^2/2)*Assumptions!$B$9)/((X$3/100)*Assumptions!$B$10))-(X$3/100)*Assumptions!$B$10))))</f>
        <v/>
      </c>
      <c r="Y20" s="29">
        <f>Assumptions!$B$5*(MAX(0,Assumptions!$B$2*EXP(-Assumptions!$B$4*Assumptions!$B$9)*NORMSDIST(((LN(Assumptions!$B$2/$B20)+(Assumptions!$B$3-Assumptions!$B$4+(Y$3/100)^2/2)*Assumptions!$B$9)/((Y$3/100)*Assumptions!$B$10)))-$B20*EXP(-Assumptions!$B$3*Assumptions!$B$9)*NORMSDIST((((LN(Assumptions!$B$2/$B20)+(Assumptions!$B$3-Assumptions!$B$4+(Y$3/100)^2/2)*Assumptions!$B$9)/((Y$3/100)*Assumptions!$B$10))-(Y$3/100)*Assumptions!$B$10))))</f>
        <v/>
      </c>
      <c r="Z20" s="29">
        <f>Assumptions!$B$5*(MAX(0,Assumptions!$B$2*EXP(-Assumptions!$B$4*Assumptions!$B$9)*NORMSDIST(((LN(Assumptions!$B$2/$B20)+(Assumptions!$B$3-Assumptions!$B$4+(Z$3/100)^2/2)*Assumptions!$B$9)/((Z$3/100)*Assumptions!$B$10)))-$B20*EXP(-Assumptions!$B$3*Assumptions!$B$9)*NORMSDIST((((LN(Assumptions!$B$2/$B20)+(Assumptions!$B$3-Assumptions!$B$4+(Z$3/100)^2/2)*Assumptions!$B$9)/((Z$3/100)*Assumptions!$B$10))-(Z$3/100)*Assumptions!$B$10))))</f>
        <v/>
      </c>
      <c r="AA20" s="29">
        <f>Assumptions!$B$5*(MAX(0,Assumptions!$B$2*EXP(-Assumptions!$B$4*Assumptions!$B$9)*NORMSDIST(((LN(Assumptions!$B$2/$B20)+(Assumptions!$B$3-Assumptions!$B$4+(AA$3/100)^2/2)*Assumptions!$B$9)/((AA$3/100)*Assumptions!$B$10)))-$B20*EXP(-Assumptions!$B$3*Assumptions!$B$9)*NORMSDIST((((LN(Assumptions!$B$2/$B20)+(Assumptions!$B$3-Assumptions!$B$4+(AA$3/100)^2/2)*Assumptions!$B$9)/((AA$3/100)*Assumptions!$B$10))-(AA$3/100)*Assumptions!$B$10))))</f>
        <v/>
      </c>
      <c r="AB20" s="29">
        <f>Assumptions!$B$5*(MAX(0,Assumptions!$B$2*EXP(-Assumptions!$B$4*Assumptions!$B$9)*NORMSDIST(((LN(Assumptions!$B$2/$B20)+(Assumptions!$B$3-Assumptions!$B$4+(AB$3/100)^2/2)*Assumptions!$B$9)/((AB$3/100)*Assumptions!$B$10)))-$B20*EXP(-Assumptions!$B$3*Assumptions!$B$9)*NORMSDIST((((LN(Assumptions!$B$2/$B20)+(Assumptions!$B$3-Assumptions!$B$4+(AB$3/100)^2/2)*Assumptions!$B$9)/((AB$3/100)*Assumptions!$B$10))-(AB$3/100)*Assumptions!$B$10))))</f>
        <v/>
      </c>
      <c r="AC20" s="29">
        <f>Assumptions!$B$5*(MAX(0,Assumptions!$B$2*EXP(-Assumptions!$B$4*Assumptions!$B$9)*NORMSDIST(((LN(Assumptions!$B$2/$B20)+(Assumptions!$B$3-Assumptions!$B$4+(AC$3/100)^2/2)*Assumptions!$B$9)/((AC$3/100)*Assumptions!$B$10)))-$B20*EXP(-Assumptions!$B$3*Assumptions!$B$9)*NORMSDIST((((LN(Assumptions!$B$2/$B20)+(Assumptions!$B$3-Assumptions!$B$4+(AC$3/100)^2/2)*Assumptions!$B$9)/((AC$3/100)*Assumptions!$B$10))-(AC$3/100)*Assumptions!$B$10))))</f>
        <v/>
      </c>
      <c r="AD20" s="29">
        <f>Assumptions!$B$5*(MAX(0,Assumptions!$B$2*EXP(-Assumptions!$B$4*Assumptions!$B$9)*NORMSDIST(((LN(Assumptions!$B$2/$B20)+(Assumptions!$B$3-Assumptions!$B$4+(AD$3/100)^2/2)*Assumptions!$B$9)/((AD$3/100)*Assumptions!$B$10)))-$B20*EXP(-Assumptions!$B$3*Assumptions!$B$9)*NORMSDIST((((LN(Assumptions!$B$2/$B20)+(Assumptions!$B$3-Assumptions!$B$4+(AD$3/100)^2/2)*Assumptions!$B$9)/((AD$3/100)*Assumptions!$B$10))-(AD$3/100)*Assumptions!$B$10))))</f>
        <v/>
      </c>
      <c r="AE20" s="29">
        <f>Assumptions!$B$5*(MAX(0,Assumptions!$B$2*EXP(-Assumptions!$B$4*Assumptions!$B$9)*NORMSDIST(((LN(Assumptions!$B$2/$B20)+(Assumptions!$B$3-Assumptions!$B$4+(AE$3/100)^2/2)*Assumptions!$B$9)/((AE$3/100)*Assumptions!$B$10)))-$B20*EXP(-Assumptions!$B$3*Assumptions!$B$9)*NORMSDIST((((LN(Assumptions!$B$2/$B20)+(Assumptions!$B$3-Assumptions!$B$4+(AE$3/100)^2/2)*Assumptions!$B$9)/((AE$3/100)*Assumptions!$B$10))-(AE$3/100)*Assumptions!$B$10))))</f>
        <v/>
      </c>
      <c r="AF20" s="29">
        <f>Assumptions!$B$5*(MAX(0,Assumptions!$B$2*EXP(-Assumptions!$B$4*Assumptions!$B$9)*NORMSDIST(((LN(Assumptions!$B$2/$B20)+(Assumptions!$B$3-Assumptions!$B$4+(AF$3/100)^2/2)*Assumptions!$B$9)/((AF$3/100)*Assumptions!$B$10)))-$B20*EXP(-Assumptions!$B$3*Assumptions!$B$9)*NORMSDIST((((LN(Assumptions!$B$2/$B20)+(Assumptions!$B$3-Assumptions!$B$4+(AF$3/100)^2/2)*Assumptions!$B$9)/((AF$3/100)*Assumptions!$B$10))-(AF$3/100)*Assumptions!$B$10))))</f>
        <v/>
      </c>
      <c r="AG20" s="29">
        <f>Assumptions!$B$5*(MAX(0,Assumptions!$B$2*EXP(-Assumptions!$B$4*Assumptions!$B$9)*NORMSDIST(((LN(Assumptions!$B$2/$B20)+(Assumptions!$B$3-Assumptions!$B$4+(AG$3/100)^2/2)*Assumptions!$B$9)/((AG$3/100)*Assumptions!$B$10)))-$B20*EXP(-Assumptions!$B$3*Assumptions!$B$9)*NORMSDIST((((LN(Assumptions!$B$2/$B20)+(Assumptions!$B$3-Assumptions!$B$4+(AG$3/100)^2/2)*Assumptions!$B$9)/((AG$3/100)*Assumptions!$B$10))-(AG$3/100)*Assumptions!$B$10))))</f>
        <v/>
      </c>
      <c r="AH20" s="29">
        <f>Assumptions!$B$5*(MAX(0,Assumptions!$B$2*EXP(-Assumptions!$B$4*Assumptions!$B$9)*NORMSDIST(((LN(Assumptions!$B$2/$B20)+(Assumptions!$B$3-Assumptions!$B$4+(AH$3/100)^2/2)*Assumptions!$B$9)/((AH$3/100)*Assumptions!$B$10)))-$B20*EXP(-Assumptions!$B$3*Assumptions!$B$9)*NORMSDIST((((LN(Assumptions!$B$2/$B20)+(Assumptions!$B$3-Assumptions!$B$4+(AH$3/100)^2/2)*Assumptions!$B$9)/((AH$3/100)*Assumptions!$B$10))-(AH$3/100)*Assumptions!$B$10))))</f>
        <v/>
      </c>
      <c r="AI20" s="29">
        <f>Assumptions!$B$5*(MAX(0,Assumptions!$B$2*EXP(-Assumptions!$B$4*Assumptions!$B$9)*NORMSDIST(((LN(Assumptions!$B$2/$B20)+(Assumptions!$B$3-Assumptions!$B$4+(AI$3/100)^2/2)*Assumptions!$B$9)/((AI$3/100)*Assumptions!$B$10)))-$B20*EXP(-Assumptions!$B$3*Assumptions!$B$9)*NORMSDIST((((LN(Assumptions!$B$2/$B20)+(Assumptions!$B$3-Assumptions!$B$4+(AI$3/100)^2/2)*Assumptions!$B$9)/((AI$3/100)*Assumptions!$B$10))-(AI$3/100)*Assumptions!$B$10))))</f>
        <v/>
      </c>
      <c r="AJ20" s="29">
        <f>Assumptions!$B$5*(MAX(0,Assumptions!$B$2*EXP(-Assumptions!$B$4*Assumptions!$B$9)*NORMSDIST(((LN(Assumptions!$B$2/$B20)+(Assumptions!$B$3-Assumptions!$B$4+(AJ$3/100)^2/2)*Assumptions!$B$9)/((AJ$3/100)*Assumptions!$B$10)))-$B20*EXP(-Assumptions!$B$3*Assumptions!$B$9)*NORMSDIST((((LN(Assumptions!$B$2/$B20)+(Assumptions!$B$3-Assumptions!$B$4+(AJ$3/100)^2/2)*Assumptions!$B$9)/((AJ$3/100)*Assumptions!$B$10))-(AJ$3/100)*Assumptions!$B$10))))</f>
        <v/>
      </c>
      <c r="AK20" s="29">
        <f>Assumptions!$B$5*(MAX(0,Assumptions!$B$2*EXP(-Assumptions!$B$4*Assumptions!$B$9)*NORMSDIST(((LN(Assumptions!$B$2/$B20)+(Assumptions!$B$3-Assumptions!$B$4+(AK$3/100)^2/2)*Assumptions!$B$9)/((AK$3/100)*Assumptions!$B$10)))-$B20*EXP(-Assumptions!$B$3*Assumptions!$B$9)*NORMSDIST((((LN(Assumptions!$B$2/$B20)+(Assumptions!$B$3-Assumptions!$B$4+(AK$3/100)^2/2)*Assumptions!$B$9)/((AK$3/100)*Assumptions!$B$10))-(AK$3/100)*Assumptions!$B$10))))</f>
        <v/>
      </c>
      <c r="AL20" s="29">
        <f>Assumptions!$B$5*(MAX(0,Assumptions!$B$2*EXP(-Assumptions!$B$4*Assumptions!$B$9)*NORMSDIST(((LN(Assumptions!$B$2/$B20)+(Assumptions!$B$3-Assumptions!$B$4+(AL$3/100)^2/2)*Assumptions!$B$9)/((AL$3/100)*Assumptions!$B$10)))-$B20*EXP(-Assumptions!$B$3*Assumptions!$B$9)*NORMSDIST((((LN(Assumptions!$B$2/$B20)+(Assumptions!$B$3-Assumptions!$B$4+(AL$3/100)^2/2)*Assumptions!$B$9)/((AL$3/100)*Assumptions!$B$10))-(AL$3/100)*Assumptions!$B$10))))</f>
        <v/>
      </c>
      <c r="AM20" s="29">
        <f>Assumptions!$B$5*(MAX(0,Assumptions!$B$2*EXP(-Assumptions!$B$4*Assumptions!$B$9)*NORMSDIST(((LN(Assumptions!$B$2/$B20)+(Assumptions!$B$3-Assumptions!$B$4+(AM$3/100)^2/2)*Assumptions!$B$9)/((AM$3/100)*Assumptions!$B$10)))-$B20*EXP(-Assumptions!$B$3*Assumptions!$B$9)*NORMSDIST((((LN(Assumptions!$B$2/$B20)+(Assumptions!$B$3-Assumptions!$B$4+(AM$3/100)^2/2)*Assumptions!$B$9)/((AM$3/100)*Assumptions!$B$10))-(AM$3/100)*Assumptions!$B$10))))</f>
        <v/>
      </c>
      <c r="AN20" s="29">
        <f>Assumptions!$B$5*(MAX(0,Assumptions!$B$2*EXP(-Assumptions!$B$4*Assumptions!$B$9)*NORMSDIST(((LN(Assumptions!$B$2/$B20)+(Assumptions!$B$3-Assumptions!$B$4+(AN$3/100)^2/2)*Assumptions!$B$9)/((AN$3/100)*Assumptions!$B$10)))-$B20*EXP(-Assumptions!$B$3*Assumptions!$B$9)*NORMSDIST((((LN(Assumptions!$B$2/$B20)+(Assumptions!$B$3-Assumptions!$B$4+(AN$3/100)^2/2)*Assumptions!$B$9)/((AN$3/100)*Assumptions!$B$10))-(AN$3/100)*Assumptions!$B$10))))</f>
        <v/>
      </c>
      <c r="AO20" s="29">
        <f>Assumptions!$B$5*(MAX(0,Assumptions!$B$2*EXP(-Assumptions!$B$4*Assumptions!$B$9)*NORMSDIST(((LN(Assumptions!$B$2/$B20)+(Assumptions!$B$3-Assumptions!$B$4+(AO$3/100)^2/2)*Assumptions!$B$9)/((AO$3/100)*Assumptions!$B$10)))-$B20*EXP(-Assumptions!$B$3*Assumptions!$B$9)*NORMSDIST((((LN(Assumptions!$B$2/$B20)+(Assumptions!$B$3-Assumptions!$B$4+(AO$3/100)^2/2)*Assumptions!$B$9)/((AO$3/100)*Assumptions!$B$10))-(AO$3/100)*Assumptions!$B$10))))</f>
        <v/>
      </c>
      <c r="AP20" s="29">
        <f>Assumptions!$B$5*(MAX(0,Assumptions!$B$2*EXP(-Assumptions!$B$4*Assumptions!$B$9)*NORMSDIST(((LN(Assumptions!$B$2/$B20)+(Assumptions!$B$3-Assumptions!$B$4+(AP$3/100)^2/2)*Assumptions!$B$9)/((AP$3/100)*Assumptions!$B$10)))-$B20*EXP(-Assumptions!$B$3*Assumptions!$B$9)*NORMSDIST((((LN(Assumptions!$B$2/$B20)+(Assumptions!$B$3-Assumptions!$B$4+(AP$3/100)^2/2)*Assumptions!$B$9)/((AP$3/100)*Assumptions!$B$10))-(AP$3/100)*Assumptions!$B$10))))</f>
        <v/>
      </c>
      <c r="AQ20" s="29">
        <f>Assumptions!$B$5*(MAX(0,Assumptions!$B$2*EXP(-Assumptions!$B$4*Assumptions!$B$9)*NORMSDIST(((LN(Assumptions!$B$2/$B20)+(Assumptions!$B$3-Assumptions!$B$4+(AQ$3/100)^2/2)*Assumptions!$B$9)/((AQ$3/100)*Assumptions!$B$10)))-$B20*EXP(-Assumptions!$B$3*Assumptions!$B$9)*NORMSDIST((((LN(Assumptions!$B$2/$B20)+(Assumptions!$B$3-Assumptions!$B$4+(AQ$3/100)^2/2)*Assumptions!$B$9)/((AQ$3/100)*Assumptions!$B$10))-(AQ$3/100)*Assumptions!$B$10))))</f>
        <v/>
      </c>
      <c r="AR20" s="29">
        <f>Assumptions!$B$5*(MAX(0,Assumptions!$B$2*EXP(-Assumptions!$B$4*Assumptions!$B$9)*NORMSDIST(((LN(Assumptions!$B$2/$B20)+(Assumptions!$B$3-Assumptions!$B$4+(AR$3/100)^2/2)*Assumptions!$B$9)/((AR$3/100)*Assumptions!$B$10)))-$B20*EXP(-Assumptions!$B$3*Assumptions!$B$9)*NORMSDIST((((LN(Assumptions!$B$2/$B20)+(Assumptions!$B$3-Assumptions!$B$4+(AR$3/100)^2/2)*Assumptions!$B$9)/((AR$3/100)*Assumptions!$B$10))-(AR$3/100)*Assumptions!$B$10))))</f>
        <v/>
      </c>
      <c r="AS20" s="29">
        <f>Assumptions!$B$5*(MAX(0,Assumptions!$B$2*EXP(-Assumptions!$B$4*Assumptions!$B$9)*NORMSDIST(((LN(Assumptions!$B$2/$B20)+(Assumptions!$B$3-Assumptions!$B$4+(AS$3/100)^2/2)*Assumptions!$B$9)/((AS$3/100)*Assumptions!$B$10)))-$B20*EXP(-Assumptions!$B$3*Assumptions!$B$9)*NORMSDIST((((LN(Assumptions!$B$2/$B20)+(Assumptions!$B$3-Assumptions!$B$4+(AS$3/100)^2/2)*Assumptions!$B$9)/((AS$3/100)*Assumptions!$B$10))-(AS$3/100)*Assumptions!$B$10))))</f>
        <v/>
      </c>
      <c r="AT20" s="29">
        <f>Assumptions!$B$5*(MAX(0,Assumptions!$B$2*EXP(-Assumptions!$B$4*Assumptions!$B$9)*NORMSDIST(((LN(Assumptions!$B$2/$B20)+(Assumptions!$B$3-Assumptions!$B$4+(AT$3/100)^2/2)*Assumptions!$B$9)/((AT$3/100)*Assumptions!$B$10)))-$B20*EXP(-Assumptions!$B$3*Assumptions!$B$9)*NORMSDIST((((LN(Assumptions!$B$2/$B20)+(Assumptions!$B$3-Assumptions!$B$4+(AT$3/100)^2/2)*Assumptions!$B$9)/((AT$3/100)*Assumptions!$B$10))-(AT$3/100)*Assumptions!$B$10))))</f>
        <v/>
      </c>
      <c r="AU20" s="29">
        <f>Assumptions!$B$5*(MAX(0,Assumptions!$B$2*EXP(-Assumptions!$B$4*Assumptions!$B$9)*NORMSDIST(((LN(Assumptions!$B$2/$B20)+(Assumptions!$B$3-Assumptions!$B$4+(AU$3/100)^2/2)*Assumptions!$B$9)/((AU$3/100)*Assumptions!$B$10)))-$B20*EXP(-Assumptions!$B$3*Assumptions!$B$9)*NORMSDIST((((LN(Assumptions!$B$2/$B20)+(Assumptions!$B$3-Assumptions!$B$4+(AU$3/100)^2/2)*Assumptions!$B$9)/((AU$3/100)*Assumptions!$B$10))-(AU$3/100)*Assumptions!$B$10))))</f>
        <v/>
      </c>
      <c r="AV20" s="29">
        <f>Assumptions!$B$5*(MAX(0,Assumptions!$B$2*EXP(-Assumptions!$B$4*Assumptions!$B$9)*NORMSDIST(((LN(Assumptions!$B$2/$B20)+(Assumptions!$B$3-Assumptions!$B$4+(AV$3/100)^2/2)*Assumptions!$B$9)/((AV$3/100)*Assumptions!$B$10)))-$B20*EXP(-Assumptions!$B$3*Assumptions!$B$9)*NORMSDIST((((LN(Assumptions!$B$2/$B20)+(Assumptions!$B$3-Assumptions!$B$4+(AV$3/100)^2/2)*Assumptions!$B$9)/((AV$3/100)*Assumptions!$B$10))-(AV$3/100)*Assumptions!$B$10))))</f>
        <v/>
      </c>
    </row>
    <row r="22">
      <c r="A22" s="22" t="inlineStr">
        <is>
          <t>This is the whole deliverable in one table: what one NIFTY call contract costs at each strike, as VIX moves from 8 to 30 in 0.5-point steps.</t>
        </is>
      </c>
    </row>
    <row r="23">
      <c r="A23" s="22" t="inlineStr">
        <is>
          <t>Down each column premium falls monotonically as the strike rises - the ITM calls at the top are dominated by intrinsic value and barely move across the row.</t>
        </is>
      </c>
    </row>
    <row r="24">
      <c r="A24" s="22" t="inlineStr">
        <is>
          <t>At 2 days to expiry the OTM strikes are worth very little at low VIX and only carry real premium once vol lifts - that asymmetry is the whole story.</t>
        </is>
      </c>
    </row>
  </sheetData>
  <conditionalFormatting sqref="D4:AV20">
    <cfRule type="colorScale" priority="1">
      <colorScale>
        <cfvo type="min"/>
        <cfvo type="percentile" val="50"/>
        <cfvo type="max"/>
        <color rgb="00FFF2CC"/>
        <color rgb="00FFD966"/>
        <color rgb="00ED7D31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4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20" t="inlineStr">
        <is>
          <t>Change versus base VIX 12% - CALL premium per contract, Moneyness x VIX</t>
        </is>
      </c>
    </row>
    <row r="2">
      <c r="A2" s="20" t="inlineStr">
        <is>
          <t>INR per contract versus the base VIX column</t>
        </is>
      </c>
    </row>
    <row r="3">
      <c r="A3" s="1" t="inlineStr">
        <is>
          <t>Moneyness</t>
        </is>
      </c>
      <c r="B3" s="1" t="inlineStr">
        <is>
          <t>Strike</t>
        </is>
      </c>
      <c r="C3" s="1" t="inlineStr">
        <is>
          <t>Call</t>
        </is>
      </c>
      <c r="D3" s="51" t="n">
        <v>8</v>
      </c>
      <c r="E3" s="51" t="n">
        <v>8.5</v>
      </c>
      <c r="F3" s="51" t="n">
        <v>9</v>
      </c>
      <c r="G3" s="51" t="n">
        <v>9.5</v>
      </c>
      <c r="H3" s="51" t="n">
        <v>10</v>
      </c>
      <c r="I3" s="51" t="n">
        <v>10.5</v>
      </c>
      <c r="J3" s="51" t="n">
        <v>11</v>
      </c>
      <c r="K3" s="51" t="n">
        <v>11.5</v>
      </c>
      <c r="L3" s="51" t="n">
        <v>12</v>
      </c>
      <c r="M3" s="51" t="n">
        <v>12.5</v>
      </c>
      <c r="N3" s="51" t="n">
        <v>13</v>
      </c>
      <c r="O3" s="51" t="n">
        <v>13.5</v>
      </c>
      <c r="P3" s="51" t="n">
        <v>14</v>
      </c>
      <c r="Q3" s="51" t="n">
        <v>14.5</v>
      </c>
      <c r="R3" s="51" t="n">
        <v>15</v>
      </c>
      <c r="S3" s="51" t="n">
        <v>15.5</v>
      </c>
      <c r="T3" s="51" t="n">
        <v>16</v>
      </c>
      <c r="U3" s="51" t="n">
        <v>16.5</v>
      </c>
      <c r="V3" s="51" t="n">
        <v>17</v>
      </c>
      <c r="W3" s="51" t="n">
        <v>17.5</v>
      </c>
      <c r="X3" s="51" t="n">
        <v>18</v>
      </c>
      <c r="Y3" s="51" t="n">
        <v>18.5</v>
      </c>
      <c r="Z3" s="51" t="n">
        <v>19</v>
      </c>
      <c r="AA3" s="51" t="n">
        <v>19.5</v>
      </c>
      <c r="AB3" s="51" t="n">
        <v>20</v>
      </c>
      <c r="AC3" s="51" t="n">
        <v>20.5</v>
      </c>
      <c r="AD3" s="51" t="n">
        <v>21</v>
      </c>
      <c r="AE3" s="51" t="n">
        <v>21.5</v>
      </c>
      <c r="AF3" s="51" t="n">
        <v>22</v>
      </c>
      <c r="AG3" s="51" t="n">
        <v>22.5</v>
      </c>
      <c r="AH3" s="51" t="n">
        <v>23</v>
      </c>
      <c r="AI3" s="51" t="n">
        <v>23.5</v>
      </c>
      <c r="AJ3" s="51" t="n">
        <v>24</v>
      </c>
      <c r="AK3" s="51" t="n">
        <v>24.5</v>
      </c>
      <c r="AL3" s="51" t="n">
        <v>25</v>
      </c>
      <c r="AM3" s="51" t="n">
        <v>25.5</v>
      </c>
      <c r="AN3" s="51" t="n">
        <v>26</v>
      </c>
      <c r="AO3" s="51" t="n">
        <v>26.5</v>
      </c>
      <c r="AP3" s="51" t="n">
        <v>27</v>
      </c>
      <c r="AQ3" s="51" t="n">
        <v>27.5</v>
      </c>
      <c r="AR3" s="51" t="n">
        <v>28</v>
      </c>
      <c r="AS3" s="51" t="n">
        <v>28.5</v>
      </c>
      <c r="AT3" s="51" t="n">
        <v>29</v>
      </c>
      <c r="AU3" s="51" t="n">
        <v>29.5</v>
      </c>
      <c r="AV3" s="51" t="n">
        <v>30</v>
      </c>
    </row>
    <row r="4">
      <c r="A4" s="27" t="inlineStr">
        <is>
          <t>-2.00%</t>
        </is>
      </c>
      <c r="B4" s="47">
        <f>'BS Engine'!$B$2</f>
        <v/>
      </c>
      <c r="C4" s="28">
        <f>'BS Engine'!$C$2</f>
        <v/>
      </c>
      <c r="D4" s="49">
        <f>'Premium Grid'!D4-'Premium Grid'!$L4</f>
        <v/>
      </c>
      <c r="E4" s="29">
        <f>'Premium Grid'!E4-'Premium Grid'!$L4</f>
        <v/>
      </c>
      <c r="F4" s="29">
        <f>'Premium Grid'!F4-'Premium Grid'!$L4</f>
        <v/>
      </c>
      <c r="G4" s="29">
        <f>'Premium Grid'!G4-'Premium Grid'!$L4</f>
        <v/>
      </c>
      <c r="H4" s="29">
        <f>'Premium Grid'!H4-'Premium Grid'!$L4</f>
        <v/>
      </c>
      <c r="I4" s="29">
        <f>'Premium Grid'!I4-'Premium Grid'!$L4</f>
        <v/>
      </c>
      <c r="J4" s="29">
        <f>'Premium Grid'!J4-'Premium Grid'!$L4</f>
        <v/>
      </c>
      <c r="K4" s="29">
        <f>'Premium Grid'!K4-'Premium Grid'!$L4</f>
        <v/>
      </c>
      <c r="L4" s="29">
        <f>'Premium Grid'!L4-'Premium Grid'!$L4</f>
        <v/>
      </c>
      <c r="M4" s="29">
        <f>'Premium Grid'!M4-'Premium Grid'!$L4</f>
        <v/>
      </c>
      <c r="N4" s="29">
        <f>'Premium Grid'!N4-'Premium Grid'!$L4</f>
        <v/>
      </c>
      <c r="O4" s="29">
        <f>'Premium Grid'!O4-'Premium Grid'!$L4</f>
        <v/>
      </c>
      <c r="P4" s="29">
        <f>'Premium Grid'!P4-'Premium Grid'!$L4</f>
        <v/>
      </c>
      <c r="Q4" s="29">
        <f>'Premium Grid'!Q4-'Premium Grid'!$L4</f>
        <v/>
      </c>
      <c r="R4" s="29">
        <f>'Premium Grid'!R4-'Premium Grid'!$L4</f>
        <v/>
      </c>
      <c r="S4" s="29">
        <f>'Premium Grid'!S4-'Premium Grid'!$L4</f>
        <v/>
      </c>
      <c r="T4" s="29">
        <f>'Premium Grid'!T4-'Premium Grid'!$L4</f>
        <v/>
      </c>
      <c r="U4" s="29">
        <f>'Premium Grid'!U4-'Premium Grid'!$L4</f>
        <v/>
      </c>
      <c r="V4" s="29">
        <f>'Premium Grid'!V4-'Premium Grid'!$L4</f>
        <v/>
      </c>
      <c r="W4" s="29">
        <f>'Premium Grid'!W4-'Premium Grid'!$L4</f>
        <v/>
      </c>
      <c r="X4" s="29">
        <f>'Premium Grid'!X4-'Premium Grid'!$L4</f>
        <v/>
      </c>
      <c r="Y4" s="29">
        <f>'Premium Grid'!Y4-'Premium Grid'!$L4</f>
        <v/>
      </c>
      <c r="Z4" s="29">
        <f>'Premium Grid'!Z4-'Premium Grid'!$L4</f>
        <v/>
      </c>
      <c r="AA4" s="29">
        <f>'Premium Grid'!AA4-'Premium Grid'!$L4</f>
        <v/>
      </c>
      <c r="AB4" s="29">
        <f>'Premium Grid'!AB4-'Premium Grid'!$L4</f>
        <v/>
      </c>
      <c r="AC4" s="29">
        <f>'Premium Grid'!AC4-'Premium Grid'!$L4</f>
        <v/>
      </c>
      <c r="AD4" s="29">
        <f>'Premium Grid'!AD4-'Premium Grid'!$L4</f>
        <v/>
      </c>
      <c r="AE4" s="29">
        <f>'Premium Grid'!AE4-'Premium Grid'!$L4</f>
        <v/>
      </c>
      <c r="AF4" s="29">
        <f>'Premium Grid'!AF4-'Premium Grid'!$L4</f>
        <v/>
      </c>
      <c r="AG4" s="29">
        <f>'Premium Grid'!AG4-'Premium Grid'!$L4</f>
        <v/>
      </c>
      <c r="AH4" s="29">
        <f>'Premium Grid'!AH4-'Premium Grid'!$L4</f>
        <v/>
      </c>
      <c r="AI4" s="29">
        <f>'Premium Grid'!AI4-'Premium Grid'!$L4</f>
        <v/>
      </c>
      <c r="AJ4" s="29">
        <f>'Premium Grid'!AJ4-'Premium Grid'!$L4</f>
        <v/>
      </c>
      <c r="AK4" s="29">
        <f>'Premium Grid'!AK4-'Premium Grid'!$L4</f>
        <v/>
      </c>
      <c r="AL4" s="29">
        <f>'Premium Grid'!AL4-'Premium Grid'!$L4</f>
        <v/>
      </c>
      <c r="AM4" s="29">
        <f>'Premium Grid'!AM4-'Premium Grid'!$L4</f>
        <v/>
      </c>
      <c r="AN4" s="29">
        <f>'Premium Grid'!AN4-'Premium Grid'!$L4</f>
        <v/>
      </c>
      <c r="AO4" s="29">
        <f>'Premium Grid'!AO4-'Premium Grid'!$L4</f>
        <v/>
      </c>
      <c r="AP4" s="29">
        <f>'Premium Grid'!AP4-'Premium Grid'!$L4</f>
        <v/>
      </c>
      <c r="AQ4" s="29">
        <f>'Premium Grid'!AQ4-'Premium Grid'!$L4</f>
        <v/>
      </c>
      <c r="AR4" s="29">
        <f>'Premium Grid'!AR4-'Premium Grid'!$L4</f>
        <v/>
      </c>
      <c r="AS4" s="29">
        <f>'Premium Grid'!AS4-'Premium Grid'!$L4</f>
        <v/>
      </c>
      <c r="AT4" s="29">
        <f>'Premium Grid'!AT4-'Premium Grid'!$L4</f>
        <v/>
      </c>
      <c r="AU4" s="29">
        <f>'Premium Grid'!AU4-'Premium Grid'!$L4</f>
        <v/>
      </c>
      <c r="AV4" s="29">
        <f>'Premium Grid'!AV4-'Premium Grid'!$L4</f>
        <v/>
      </c>
    </row>
    <row r="5">
      <c r="A5" s="27" t="inlineStr">
        <is>
          <t>-1.75%</t>
        </is>
      </c>
      <c r="B5" s="47">
        <f>'BS Engine'!$B$3</f>
        <v/>
      </c>
      <c r="C5" s="28">
        <f>'BS Engine'!$C$3</f>
        <v/>
      </c>
      <c r="D5" s="49">
        <f>'Premium Grid'!D5-'Premium Grid'!$L5</f>
        <v/>
      </c>
      <c r="E5" s="29">
        <f>'Premium Grid'!E5-'Premium Grid'!$L5</f>
        <v/>
      </c>
      <c r="F5" s="29">
        <f>'Premium Grid'!F5-'Premium Grid'!$L5</f>
        <v/>
      </c>
      <c r="G5" s="29">
        <f>'Premium Grid'!G5-'Premium Grid'!$L5</f>
        <v/>
      </c>
      <c r="H5" s="29">
        <f>'Premium Grid'!H5-'Premium Grid'!$L5</f>
        <v/>
      </c>
      <c r="I5" s="29">
        <f>'Premium Grid'!I5-'Premium Grid'!$L5</f>
        <v/>
      </c>
      <c r="J5" s="29">
        <f>'Premium Grid'!J5-'Premium Grid'!$L5</f>
        <v/>
      </c>
      <c r="K5" s="29">
        <f>'Premium Grid'!K5-'Premium Grid'!$L5</f>
        <v/>
      </c>
      <c r="L5" s="29">
        <f>'Premium Grid'!L5-'Premium Grid'!$L5</f>
        <v/>
      </c>
      <c r="M5" s="29">
        <f>'Premium Grid'!M5-'Premium Grid'!$L5</f>
        <v/>
      </c>
      <c r="N5" s="29">
        <f>'Premium Grid'!N5-'Premium Grid'!$L5</f>
        <v/>
      </c>
      <c r="O5" s="29">
        <f>'Premium Grid'!O5-'Premium Grid'!$L5</f>
        <v/>
      </c>
      <c r="P5" s="29">
        <f>'Premium Grid'!P5-'Premium Grid'!$L5</f>
        <v/>
      </c>
      <c r="Q5" s="29">
        <f>'Premium Grid'!Q5-'Premium Grid'!$L5</f>
        <v/>
      </c>
      <c r="R5" s="29">
        <f>'Premium Grid'!R5-'Premium Grid'!$L5</f>
        <v/>
      </c>
      <c r="S5" s="29">
        <f>'Premium Grid'!S5-'Premium Grid'!$L5</f>
        <v/>
      </c>
      <c r="T5" s="29">
        <f>'Premium Grid'!T5-'Premium Grid'!$L5</f>
        <v/>
      </c>
      <c r="U5" s="29">
        <f>'Premium Grid'!U5-'Premium Grid'!$L5</f>
        <v/>
      </c>
      <c r="V5" s="29">
        <f>'Premium Grid'!V5-'Premium Grid'!$L5</f>
        <v/>
      </c>
      <c r="W5" s="29">
        <f>'Premium Grid'!W5-'Premium Grid'!$L5</f>
        <v/>
      </c>
      <c r="X5" s="29">
        <f>'Premium Grid'!X5-'Premium Grid'!$L5</f>
        <v/>
      </c>
      <c r="Y5" s="29">
        <f>'Premium Grid'!Y5-'Premium Grid'!$L5</f>
        <v/>
      </c>
      <c r="Z5" s="29">
        <f>'Premium Grid'!Z5-'Premium Grid'!$L5</f>
        <v/>
      </c>
      <c r="AA5" s="29">
        <f>'Premium Grid'!AA5-'Premium Grid'!$L5</f>
        <v/>
      </c>
      <c r="AB5" s="29">
        <f>'Premium Grid'!AB5-'Premium Grid'!$L5</f>
        <v/>
      </c>
      <c r="AC5" s="29">
        <f>'Premium Grid'!AC5-'Premium Grid'!$L5</f>
        <v/>
      </c>
      <c r="AD5" s="29">
        <f>'Premium Grid'!AD5-'Premium Grid'!$L5</f>
        <v/>
      </c>
      <c r="AE5" s="29">
        <f>'Premium Grid'!AE5-'Premium Grid'!$L5</f>
        <v/>
      </c>
      <c r="AF5" s="29">
        <f>'Premium Grid'!AF5-'Premium Grid'!$L5</f>
        <v/>
      </c>
      <c r="AG5" s="29">
        <f>'Premium Grid'!AG5-'Premium Grid'!$L5</f>
        <v/>
      </c>
      <c r="AH5" s="29">
        <f>'Premium Grid'!AH5-'Premium Grid'!$L5</f>
        <v/>
      </c>
      <c r="AI5" s="29">
        <f>'Premium Grid'!AI5-'Premium Grid'!$L5</f>
        <v/>
      </c>
      <c r="AJ5" s="29">
        <f>'Premium Grid'!AJ5-'Premium Grid'!$L5</f>
        <v/>
      </c>
      <c r="AK5" s="29">
        <f>'Premium Grid'!AK5-'Premium Grid'!$L5</f>
        <v/>
      </c>
      <c r="AL5" s="29">
        <f>'Premium Grid'!AL5-'Premium Grid'!$L5</f>
        <v/>
      </c>
      <c r="AM5" s="29">
        <f>'Premium Grid'!AM5-'Premium Grid'!$L5</f>
        <v/>
      </c>
      <c r="AN5" s="29">
        <f>'Premium Grid'!AN5-'Premium Grid'!$L5</f>
        <v/>
      </c>
      <c r="AO5" s="29">
        <f>'Premium Grid'!AO5-'Premium Grid'!$L5</f>
        <v/>
      </c>
      <c r="AP5" s="29">
        <f>'Premium Grid'!AP5-'Premium Grid'!$L5</f>
        <v/>
      </c>
      <c r="AQ5" s="29">
        <f>'Premium Grid'!AQ5-'Premium Grid'!$L5</f>
        <v/>
      </c>
      <c r="AR5" s="29">
        <f>'Premium Grid'!AR5-'Premium Grid'!$L5</f>
        <v/>
      </c>
      <c r="AS5" s="29">
        <f>'Premium Grid'!AS5-'Premium Grid'!$L5</f>
        <v/>
      </c>
      <c r="AT5" s="29">
        <f>'Premium Grid'!AT5-'Premium Grid'!$L5</f>
        <v/>
      </c>
      <c r="AU5" s="29">
        <f>'Premium Grid'!AU5-'Premium Grid'!$L5</f>
        <v/>
      </c>
      <c r="AV5" s="29">
        <f>'Premium Grid'!AV5-'Premium Grid'!$L5</f>
        <v/>
      </c>
    </row>
    <row r="6">
      <c r="A6" s="27" t="inlineStr">
        <is>
          <t>-1.50%</t>
        </is>
      </c>
      <c r="B6" s="47">
        <f>'BS Engine'!$B$4</f>
        <v/>
      </c>
      <c r="C6" s="28">
        <f>'BS Engine'!$C$4</f>
        <v/>
      </c>
      <c r="D6" s="49">
        <f>'Premium Grid'!D6-'Premium Grid'!$L6</f>
        <v/>
      </c>
      <c r="E6" s="29">
        <f>'Premium Grid'!E6-'Premium Grid'!$L6</f>
        <v/>
      </c>
      <c r="F6" s="29">
        <f>'Premium Grid'!F6-'Premium Grid'!$L6</f>
        <v/>
      </c>
      <c r="G6" s="29">
        <f>'Premium Grid'!G6-'Premium Grid'!$L6</f>
        <v/>
      </c>
      <c r="H6" s="29">
        <f>'Premium Grid'!H6-'Premium Grid'!$L6</f>
        <v/>
      </c>
      <c r="I6" s="29">
        <f>'Premium Grid'!I6-'Premium Grid'!$L6</f>
        <v/>
      </c>
      <c r="J6" s="29">
        <f>'Premium Grid'!J6-'Premium Grid'!$L6</f>
        <v/>
      </c>
      <c r="K6" s="29">
        <f>'Premium Grid'!K6-'Premium Grid'!$L6</f>
        <v/>
      </c>
      <c r="L6" s="29">
        <f>'Premium Grid'!L6-'Premium Grid'!$L6</f>
        <v/>
      </c>
      <c r="M6" s="29">
        <f>'Premium Grid'!M6-'Premium Grid'!$L6</f>
        <v/>
      </c>
      <c r="N6" s="29">
        <f>'Premium Grid'!N6-'Premium Grid'!$L6</f>
        <v/>
      </c>
      <c r="O6" s="29">
        <f>'Premium Grid'!O6-'Premium Grid'!$L6</f>
        <v/>
      </c>
      <c r="P6" s="29">
        <f>'Premium Grid'!P6-'Premium Grid'!$L6</f>
        <v/>
      </c>
      <c r="Q6" s="29">
        <f>'Premium Grid'!Q6-'Premium Grid'!$L6</f>
        <v/>
      </c>
      <c r="R6" s="29">
        <f>'Premium Grid'!R6-'Premium Grid'!$L6</f>
        <v/>
      </c>
      <c r="S6" s="29">
        <f>'Premium Grid'!S6-'Premium Grid'!$L6</f>
        <v/>
      </c>
      <c r="T6" s="29">
        <f>'Premium Grid'!T6-'Premium Grid'!$L6</f>
        <v/>
      </c>
      <c r="U6" s="29">
        <f>'Premium Grid'!U6-'Premium Grid'!$L6</f>
        <v/>
      </c>
      <c r="V6" s="29">
        <f>'Premium Grid'!V6-'Premium Grid'!$L6</f>
        <v/>
      </c>
      <c r="W6" s="29">
        <f>'Premium Grid'!W6-'Premium Grid'!$L6</f>
        <v/>
      </c>
      <c r="X6" s="29">
        <f>'Premium Grid'!X6-'Premium Grid'!$L6</f>
        <v/>
      </c>
      <c r="Y6" s="29">
        <f>'Premium Grid'!Y6-'Premium Grid'!$L6</f>
        <v/>
      </c>
      <c r="Z6" s="29">
        <f>'Premium Grid'!Z6-'Premium Grid'!$L6</f>
        <v/>
      </c>
      <c r="AA6" s="29">
        <f>'Premium Grid'!AA6-'Premium Grid'!$L6</f>
        <v/>
      </c>
      <c r="AB6" s="29">
        <f>'Premium Grid'!AB6-'Premium Grid'!$L6</f>
        <v/>
      </c>
      <c r="AC6" s="29">
        <f>'Premium Grid'!AC6-'Premium Grid'!$L6</f>
        <v/>
      </c>
      <c r="AD6" s="29">
        <f>'Premium Grid'!AD6-'Premium Grid'!$L6</f>
        <v/>
      </c>
      <c r="AE6" s="29">
        <f>'Premium Grid'!AE6-'Premium Grid'!$L6</f>
        <v/>
      </c>
      <c r="AF6" s="29">
        <f>'Premium Grid'!AF6-'Premium Grid'!$L6</f>
        <v/>
      </c>
      <c r="AG6" s="29">
        <f>'Premium Grid'!AG6-'Premium Grid'!$L6</f>
        <v/>
      </c>
      <c r="AH6" s="29">
        <f>'Premium Grid'!AH6-'Premium Grid'!$L6</f>
        <v/>
      </c>
      <c r="AI6" s="29">
        <f>'Premium Grid'!AI6-'Premium Grid'!$L6</f>
        <v/>
      </c>
      <c r="AJ6" s="29">
        <f>'Premium Grid'!AJ6-'Premium Grid'!$L6</f>
        <v/>
      </c>
      <c r="AK6" s="29">
        <f>'Premium Grid'!AK6-'Premium Grid'!$L6</f>
        <v/>
      </c>
      <c r="AL6" s="29">
        <f>'Premium Grid'!AL6-'Premium Grid'!$L6</f>
        <v/>
      </c>
      <c r="AM6" s="29">
        <f>'Premium Grid'!AM6-'Premium Grid'!$L6</f>
        <v/>
      </c>
      <c r="AN6" s="29">
        <f>'Premium Grid'!AN6-'Premium Grid'!$L6</f>
        <v/>
      </c>
      <c r="AO6" s="29">
        <f>'Premium Grid'!AO6-'Premium Grid'!$L6</f>
        <v/>
      </c>
      <c r="AP6" s="29">
        <f>'Premium Grid'!AP6-'Premium Grid'!$L6</f>
        <v/>
      </c>
      <c r="AQ6" s="29">
        <f>'Premium Grid'!AQ6-'Premium Grid'!$L6</f>
        <v/>
      </c>
      <c r="AR6" s="29">
        <f>'Premium Grid'!AR6-'Premium Grid'!$L6</f>
        <v/>
      </c>
      <c r="AS6" s="29">
        <f>'Premium Grid'!AS6-'Premium Grid'!$L6</f>
        <v/>
      </c>
      <c r="AT6" s="29">
        <f>'Premium Grid'!AT6-'Premium Grid'!$L6</f>
        <v/>
      </c>
      <c r="AU6" s="29">
        <f>'Premium Grid'!AU6-'Premium Grid'!$L6</f>
        <v/>
      </c>
      <c r="AV6" s="29">
        <f>'Premium Grid'!AV6-'Premium Grid'!$L6</f>
        <v/>
      </c>
    </row>
    <row r="7">
      <c r="A7" s="27" t="inlineStr">
        <is>
          <t>-1.25%</t>
        </is>
      </c>
      <c r="B7" s="47">
        <f>'BS Engine'!$B$5</f>
        <v/>
      </c>
      <c r="C7" s="28">
        <f>'BS Engine'!$C$5</f>
        <v/>
      </c>
      <c r="D7" s="49">
        <f>'Premium Grid'!D7-'Premium Grid'!$L7</f>
        <v/>
      </c>
      <c r="E7" s="29">
        <f>'Premium Grid'!E7-'Premium Grid'!$L7</f>
        <v/>
      </c>
      <c r="F7" s="29">
        <f>'Premium Grid'!F7-'Premium Grid'!$L7</f>
        <v/>
      </c>
      <c r="G7" s="29">
        <f>'Premium Grid'!G7-'Premium Grid'!$L7</f>
        <v/>
      </c>
      <c r="H7" s="29">
        <f>'Premium Grid'!H7-'Premium Grid'!$L7</f>
        <v/>
      </c>
      <c r="I7" s="29">
        <f>'Premium Grid'!I7-'Premium Grid'!$L7</f>
        <v/>
      </c>
      <c r="J7" s="29">
        <f>'Premium Grid'!J7-'Premium Grid'!$L7</f>
        <v/>
      </c>
      <c r="K7" s="29">
        <f>'Premium Grid'!K7-'Premium Grid'!$L7</f>
        <v/>
      </c>
      <c r="L7" s="29">
        <f>'Premium Grid'!L7-'Premium Grid'!$L7</f>
        <v/>
      </c>
      <c r="M7" s="29">
        <f>'Premium Grid'!M7-'Premium Grid'!$L7</f>
        <v/>
      </c>
      <c r="N7" s="29">
        <f>'Premium Grid'!N7-'Premium Grid'!$L7</f>
        <v/>
      </c>
      <c r="O7" s="29">
        <f>'Premium Grid'!O7-'Premium Grid'!$L7</f>
        <v/>
      </c>
      <c r="P7" s="29">
        <f>'Premium Grid'!P7-'Premium Grid'!$L7</f>
        <v/>
      </c>
      <c r="Q7" s="29">
        <f>'Premium Grid'!Q7-'Premium Grid'!$L7</f>
        <v/>
      </c>
      <c r="R7" s="29">
        <f>'Premium Grid'!R7-'Premium Grid'!$L7</f>
        <v/>
      </c>
      <c r="S7" s="29">
        <f>'Premium Grid'!S7-'Premium Grid'!$L7</f>
        <v/>
      </c>
      <c r="T7" s="29">
        <f>'Premium Grid'!T7-'Premium Grid'!$L7</f>
        <v/>
      </c>
      <c r="U7" s="29">
        <f>'Premium Grid'!U7-'Premium Grid'!$L7</f>
        <v/>
      </c>
      <c r="V7" s="29">
        <f>'Premium Grid'!V7-'Premium Grid'!$L7</f>
        <v/>
      </c>
      <c r="W7" s="29">
        <f>'Premium Grid'!W7-'Premium Grid'!$L7</f>
        <v/>
      </c>
      <c r="X7" s="29">
        <f>'Premium Grid'!X7-'Premium Grid'!$L7</f>
        <v/>
      </c>
      <c r="Y7" s="29">
        <f>'Premium Grid'!Y7-'Premium Grid'!$L7</f>
        <v/>
      </c>
      <c r="Z7" s="29">
        <f>'Premium Grid'!Z7-'Premium Grid'!$L7</f>
        <v/>
      </c>
      <c r="AA7" s="29">
        <f>'Premium Grid'!AA7-'Premium Grid'!$L7</f>
        <v/>
      </c>
      <c r="AB7" s="29">
        <f>'Premium Grid'!AB7-'Premium Grid'!$L7</f>
        <v/>
      </c>
      <c r="AC7" s="29">
        <f>'Premium Grid'!AC7-'Premium Grid'!$L7</f>
        <v/>
      </c>
      <c r="AD7" s="29">
        <f>'Premium Grid'!AD7-'Premium Grid'!$L7</f>
        <v/>
      </c>
      <c r="AE7" s="29">
        <f>'Premium Grid'!AE7-'Premium Grid'!$L7</f>
        <v/>
      </c>
      <c r="AF7" s="29">
        <f>'Premium Grid'!AF7-'Premium Grid'!$L7</f>
        <v/>
      </c>
      <c r="AG7" s="29">
        <f>'Premium Grid'!AG7-'Premium Grid'!$L7</f>
        <v/>
      </c>
      <c r="AH7" s="29">
        <f>'Premium Grid'!AH7-'Premium Grid'!$L7</f>
        <v/>
      </c>
      <c r="AI7" s="29">
        <f>'Premium Grid'!AI7-'Premium Grid'!$L7</f>
        <v/>
      </c>
      <c r="AJ7" s="29">
        <f>'Premium Grid'!AJ7-'Premium Grid'!$L7</f>
        <v/>
      </c>
      <c r="AK7" s="29">
        <f>'Premium Grid'!AK7-'Premium Grid'!$L7</f>
        <v/>
      </c>
      <c r="AL7" s="29">
        <f>'Premium Grid'!AL7-'Premium Grid'!$L7</f>
        <v/>
      </c>
      <c r="AM7" s="29">
        <f>'Premium Grid'!AM7-'Premium Grid'!$L7</f>
        <v/>
      </c>
      <c r="AN7" s="29">
        <f>'Premium Grid'!AN7-'Premium Grid'!$L7</f>
        <v/>
      </c>
      <c r="AO7" s="29">
        <f>'Premium Grid'!AO7-'Premium Grid'!$L7</f>
        <v/>
      </c>
      <c r="AP7" s="29">
        <f>'Premium Grid'!AP7-'Premium Grid'!$L7</f>
        <v/>
      </c>
      <c r="AQ7" s="29">
        <f>'Premium Grid'!AQ7-'Premium Grid'!$L7</f>
        <v/>
      </c>
      <c r="AR7" s="29">
        <f>'Premium Grid'!AR7-'Premium Grid'!$L7</f>
        <v/>
      </c>
      <c r="AS7" s="29">
        <f>'Premium Grid'!AS7-'Premium Grid'!$L7</f>
        <v/>
      </c>
      <c r="AT7" s="29">
        <f>'Premium Grid'!AT7-'Premium Grid'!$L7</f>
        <v/>
      </c>
      <c r="AU7" s="29">
        <f>'Premium Grid'!AU7-'Premium Grid'!$L7</f>
        <v/>
      </c>
      <c r="AV7" s="29">
        <f>'Premium Grid'!AV7-'Premium Grid'!$L7</f>
        <v/>
      </c>
    </row>
    <row r="8">
      <c r="A8" s="27" t="inlineStr">
        <is>
          <t>-1.00%</t>
        </is>
      </c>
      <c r="B8" s="47">
        <f>'BS Engine'!$B$6</f>
        <v/>
      </c>
      <c r="C8" s="28">
        <f>'BS Engine'!$C$6</f>
        <v/>
      </c>
      <c r="D8" s="49">
        <f>'Premium Grid'!D8-'Premium Grid'!$L8</f>
        <v/>
      </c>
      <c r="E8" s="29">
        <f>'Premium Grid'!E8-'Premium Grid'!$L8</f>
        <v/>
      </c>
      <c r="F8" s="29">
        <f>'Premium Grid'!F8-'Premium Grid'!$L8</f>
        <v/>
      </c>
      <c r="G8" s="29">
        <f>'Premium Grid'!G8-'Premium Grid'!$L8</f>
        <v/>
      </c>
      <c r="H8" s="29">
        <f>'Premium Grid'!H8-'Premium Grid'!$L8</f>
        <v/>
      </c>
      <c r="I8" s="29">
        <f>'Premium Grid'!I8-'Premium Grid'!$L8</f>
        <v/>
      </c>
      <c r="J8" s="29">
        <f>'Premium Grid'!J8-'Premium Grid'!$L8</f>
        <v/>
      </c>
      <c r="K8" s="29">
        <f>'Premium Grid'!K8-'Premium Grid'!$L8</f>
        <v/>
      </c>
      <c r="L8" s="29">
        <f>'Premium Grid'!L8-'Premium Grid'!$L8</f>
        <v/>
      </c>
      <c r="M8" s="29">
        <f>'Premium Grid'!M8-'Premium Grid'!$L8</f>
        <v/>
      </c>
      <c r="N8" s="29">
        <f>'Premium Grid'!N8-'Premium Grid'!$L8</f>
        <v/>
      </c>
      <c r="O8" s="29">
        <f>'Premium Grid'!O8-'Premium Grid'!$L8</f>
        <v/>
      </c>
      <c r="P8" s="29">
        <f>'Premium Grid'!P8-'Premium Grid'!$L8</f>
        <v/>
      </c>
      <c r="Q8" s="29">
        <f>'Premium Grid'!Q8-'Premium Grid'!$L8</f>
        <v/>
      </c>
      <c r="R8" s="29">
        <f>'Premium Grid'!R8-'Premium Grid'!$L8</f>
        <v/>
      </c>
      <c r="S8" s="29">
        <f>'Premium Grid'!S8-'Premium Grid'!$L8</f>
        <v/>
      </c>
      <c r="T8" s="29">
        <f>'Premium Grid'!T8-'Premium Grid'!$L8</f>
        <v/>
      </c>
      <c r="U8" s="29">
        <f>'Premium Grid'!U8-'Premium Grid'!$L8</f>
        <v/>
      </c>
      <c r="V8" s="29">
        <f>'Premium Grid'!V8-'Premium Grid'!$L8</f>
        <v/>
      </c>
      <c r="W8" s="29">
        <f>'Premium Grid'!W8-'Premium Grid'!$L8</f>
        <v/>
      </c>
      <c r="X8" s="29">
        <f>'Premium Grid'!X8-'Premium Grid'!$L8</f>
        <v/>
      </c>
      <c r="Y8" s="29">
        <f>'Premium Grid'!Y8-'Premium Grid'!$L8</f>
        <v/>
      </c>
      <c r="Z8" s="29">
        <f>'Premium Grid'!Z8-'Premium Grid'!$L8</f>
        <v/>
      </c>
      <c r="AA8" s="29">
        <f>'Premium Grid'!AA8-'Premium Grid'!$L8</f>
        <v/>
      </c>
      <c r="AB8" s="29">
        <f>'Premium Grid'!AB8-'Premium Grid'!$L8</f>
        <v/>
      </c>
      <c r="AC8" s="29">
        <f>'Premium Grid'!AC8-'Premium Grid'!$L8</f>
        <v/>
      </c>
      <c r="AD8" s="29">
        <f>'Premium Grid'!AD8-'Premium Grid'!$L8</f>
        <v/>
      </c>
      <c r="AE8" s="29">
        <f>'Premium Grid'!AE8-'Premium Grid'!$L8</f>
        <v/>
      </c>
      <c r="AF8" s="29">
        <f>'Premium Grid'!AF8-'Premium Grid'!$L8</f>
        <v/>
      </c>
      <c r="AG8" s="29">
        <f>'Premium Grid'!AG8-'Premium Grid'!$L8</f>
        <v/>
      </c>
      <c r="AH8" s="29">
        <f>'Premium Grid'!AH8-'Premium Grid'!$L8</f>
        <v/>
      </c>
      <c r="AI8" s="29">
        <f>'Premium Grid'!AI8-'Premium Grid'!$L8</f>
        <v/>
      </c>
      <c r="AJ8" s="29">
        <f>'Premium Grid'!AJ8-'Premium Grid'!$L8</f>
        <v/>
      </c>
      <c r="AK8" s="29">
        <f>'Premium Grid'!AK8-'Premium Grid'!$L8</f>
        <v/>
      </c>
      <c r="AL8" s="29">
        <f>'Premium Grid'!AL8-'Premium Grid'!$L8</f>
        <v/>
      </c>
      <c r="AM8" s="29">
        <f>'Premium Grid'!AM8-'Premium Grid'!$L8</f>
        <v/>
      </c>
      <c r="AN8" s="29">
        <f>'Premium Grid'!AN8-'Premium Grid'!$L8</f>
        <v/>
      </c>
      <c r="AO8" s="29">
        <f>'Premium Grid'!AO8-'Premium Grid'!$L8</f>
        <v/>
      </c>
      <c r="AP8" s="29">
        <f>'Premium Grid'!AP8-'Premium Grid'!$L8</f>
        <v/>
      </c>
      <c r="AQ8" s="29">
        <f>'Premium Grid'!AQ8-'Premium Grid'!$L8</f>
        <v/>
      </c>
      <c r="AR8" s="29">
        <f>'Premium Grid'!AR8-'Premium Grid'!$L8</f>
        <v/>
      </c>
      <c r="AS8" s="29">
        <f>'Premium Grid'!AS8-'Premium Grid'!$L8</f>
        <v/>
      </c>
      <c r="AT8" s="29">
        <f>'Premium Grid'!AT8-'Premium Grid'!$L8</f>
        <v/>
      </c>
      <c r="AU8" s="29">
        <f>'Premium Grid'!AU8-'Premium Grid'!$L8</f>
        <v/>
      </c>
      <c r="AV8" s="29">
        <f>'Premium Grid'!AV8-'Premium Grid'!$L8</f>
        <v/>
      </c>
    </row>
    <row r="9">
      <c r="A9" s="27" t="inlineStr">
        <is>
          <t>-0.75%</t>
        </is>
      </c>
      <c r="B9" s="47">
        <f>'BS Engine'!$B$7</f>
        <v/>
      </c>
      <c r="C9" s="28">
        <f>'BS Engine'!$C$7</f>
        <v/>
      </c>
      <c r="D9" s="49">
        <f>'Premium Grid'!D9-'Premium Grid'!$L9</f>
        <v/>
      </c>
      <c r="E9" s="29">
        <f>'Premium Grid'!E9-'Premium Grid'!$L9</f>
        <v/>
      </c>
      <c r="F9" s="29">
        <f>'Premium Grid'!F9-'Premium Grid'!$L9</f>
        <v/>
      </c>
      <c r="G9" s="29">
        <f>'Premium Grid'!G9-'Premium Grid'!$L9</f>
        <v/>
      </c>
      <c r="H9" s="29">
        <f>'Premium Grid'!H9-'Premium Grid'!$L9</f>
        <v/>
      </c>
      <c r="I9" s="29">
        <f>'Premium Grid'!I9-'Premium Grid'!$L9</f>
        <v/>
      </c>
      <c r="J9" s="29">
        <f>'Premium Grid'!J9-'Premium Grid'!$L9</f>
        <v/>
      </c>
      <c r="K9" s="29">
        <f>'Premium Grid'!K9-'Premium Grid'!$L9</f>
        <v/>
      </c>
      <c r="L9" s="29">
        <f>'Premium Grid'!L9-'Premium Grid'!$L9</f>
        <v/>
      </c>
      <c r="M9" s="29">
        <f>'Premium Grid'!M9-'Premium Grid'!$L9</f>
        <v/>
      </c>
      <c r="N9" s="29">
        <f>'Premium Grid'!N9-'Premium Grid'!$L9</f>
        <v/>
      </c>
      <c r="O9" s="29">
        <f>'Premium Grid'!O9-'Premium Grid'!$L9</f>
        <v/>
      </c>
      <c r="P9" s="29">
        <f>'Premium Grid'!P9-'Premium Grid'!$L9</f>
        <v/>
      </c>
      <c r="Q9" s="29">
        <f>'Premium Grid'!Q9-'Premium Grid'!$L9</f>
        <v/>
      </c>
      <c r="R9" s="29">
        <f>'Premium Grid'!R9-'Premium Grid'!$L9</f>
        <v/>
      </c>
      <c r="S9" s="29">
        <f>'Premium Grid'!S9-'Premium Grid'!$L9</f>
        <v/>
      </c>
      <c r="T9" s="29">
        <f>'Premium Grid'!T9-'Premium Grid'!$L9</f>
        <v/>
      </c>
      <c r="U9" s="29">
        <f>'Premium Grid'!U9-'Premium Grid'!$L9</f>
        <v/>
      </c>
      <c r="V9" s="29">
        <f>'Premium Grid'!V9-'Premium Grid'!$L9</f>
        <v/>
      </c>
      <c r="W9" s="29">
        <f>'Premium Grid'!W9-'Premium Grid'!$L9</f>
        <v/>
      </c>
      <c r="X9" s="29">
        <f>'Premium Grid'!X9-'Premium Grid'!$L9</f>
        <v/>
      </c>
      <c r="Y9" s="29">
        <f>'Premium Grid'!Y9-'Premium Grid'!$L9</f>
        <v/>
      </c>
      <c r="Z9" s="29">
        <f>'Premium Grid'!Z9-'Premium Grid'!$L9</f>
        <v/>
      </c>
      <c r="AA9" s="29">
        <f>'Premium Grid'!AA9-'Premium Grid'!$L9</f>
        <v/>
      </c>
      <c r="AB9" s="29">
        <f>'Premium Grid'!AB9-'Premium Grid'!$L9</f>
        <v/>
      </c>
      <c r="AC9" s="29">
        <f>'Premium Grid'!AC9-'Premium Grid'!$L9</f>
        <v/>
      </c>
      <c r="AD9" s="29">
        <f>'Premium Grid'!AD9-'Premium Grid'!$L9</f>
        <v/>
      </c>
      <c r="AE9" s="29">
        <f>'Premium Grid'!AE9-'Premium Grid'!$L9</f>
        <v/>
      </c>
      <c r="AF9" s="29">
        <f>'Premium Grid'!AF9-'Premium Grid'!$L9</f>
        <v/>
      </c>
      <c r="AG9" s="29">
        <f>'Premium Grid'!AG9-'Premium Grid'!$L9</f>
        <v/>
      </c>
      <c r="AH9" s="29">
        <f>'Premium Grid'!AH9-'Premium Grid'!$L9</f>
        <v/>
      </c>
      <c r="AI9" s="29">
        <f>'Premium Grid'!AI9-'Premium Grid'!$L9</f>
        <v/>
      </c>
      <c r="AJ9" s="29">
        <f>'Premium Grid'!AJ9-'Premium Grid'!$L9</f>
        <v/>
      </c>
      <c r="AK9" s="29">
        <f>'Premium Grid'!AK9-'Premium Grid'!$L9</f>
        <v/>
      </c>
      <c r="AL9" s="29">
        <f>'Premium Grid'!AL9-'Premium Grid'!$L9</f>
        <v/>
      </c>
      <c r="AM9" s="29">
        <f>'Premium Grid'!AM9-'Premium Grid'!$L9</f>
        <v/>
      </c>
      <c r="AN9" s="29">
        <f>'Premium Grid'!AN9-'Premium Grid'!$L9</f>
        <v/>
      </c>
      <c r="AO9" s="29">
        <f>'Premium Grid'!AO9-'Premium Grid'!$L9</f>
        <v/>
      </c>
      <c r="AP9" s="29">
        <f>'Premium Grid'!AP9-'Premium Grid'!$L9</f>
        <v/>
      </c>
      <c r="AQ9" s="29">
        <f>'Premium Grid'!AQ9-'Premium Grid'!$L9</f>
        <v/>
      </c>
      <c r="AR9" s="29">
        <f>'Premium Grid'!AR9-'Premium Grid'!$L9</f>
        <v/>
      </c>
      <c r="AS9" s="29">
        <f>'Premium Grid'!AS9-'Premium Grid'!$L9</f>
        <v/>
      </c>
      <c r="AT9" s="29">
        <f>'Premium Grid'!AT9-'Premium Grid'!$L9</f>
        <v/>
      </c>
      <c r="AU9" s="29">
        <f>'Premium Grid'!AU9-'Premium Grid'!$L9</f>
        <v/>
      </c>
      <c r="AV9" s="29">
        <f>'Premium Grid'!AV9-'Premium Grid'!$L9</f>
        <v/>
      </c>
    </row>
    <row r="10">
      <c r="A10" s="27" t="inlineStr">
        <is>
          <t>-0.50%</t>
        </is>
      </c>
      <c r="B10" s="47">
        <f>'BS Engine'!$B$8</f>
        <v/>
      </c>
      <c r="C10" s="28">
        <f>'BS Engine'!$C$8</f>
        <v/>
      </c>
      <c r="D10" s="49">
        <f>'Premium Grid'!D10-'Premium Grid'!$L10</f>
        <v/>
      </c>
      <c r="E10" s="29">
        <f>'Premium Grid'!E10-'Premium Grid'!$L10</f>
        <v/>
      </c>
      <c r="F10" s="29">
        <f>'Premium Grid'!F10-'Premium Grid'!$L10</f>
        <v/>
      </c>
      <c r="G10" s="29">
        <f>'Premium Grid'!G10-'Premium Grid'!$L10</f>
        <v/>
      </c>
      <c r="H10" s="29">
        <f>'Premium Grid'!H10-'Premium Grid'!$L10</f>
        <v/>
      </c>
      <c r="I10" s="29">
        <f>'Premium Grid'!I10-'Premium Grid'!$L10</f>
        <v/>
      </c>
      <c r="J10" s="29">
        <f>'Premium Grid'!J10-'Premium Grid'!$L10</f>
        <v/>
      </c>
      <c r="K10" s="29">
        <f>'Premium Grid'!K10-'Premium Grid'!$L10</f>
        <v/>
      </c>
      <c r="L10" s="29">
        <f>'Premium Grid'!L10-'Premium Grid'!$L10</f>
        <v/>
      </c>
      <c r="M10" s="29">
        <f>'Premium Grid'!M10-'Premium Grid'!$L10</f>
        <v/>
      </c>
      <c r="N10" s="29">
        <f>'Premium Grid'!N10-'Premium Grid'!$L10</f>
        <v/>
      </c>
      <c r="O10" s="29">
        <f>'Premium Grid'!O10-'Premium Grid'!$L10</f>
        <v/>
      </c>
      <c r="P10" s="29">
        <f>'Premium Grid'!P10-'Premium Grid'!$L10</f>
        <v/>
      </c>
      <c r="Q10" s="29">
        <f>'Premium Grid'!Q10-'Premium Grid'!$L10</f>
        <v/>
      </c>
      <c r="R10" s="29">
        <f>'Premium Grid'!R10-'Premium Grid'!$L10</f>
        <v/>
      </c>
      <c r="S10" s="29">
        <f>'Premium Grid'!S10-'Premium Grid'!$L10</f>
        <v/>
      </c>
      <c r="T10" s="29">
        <f>'Premium Grid'!T10-'Premium Grid'!$L10</f>
        <v/>
      </c>
      <c r="U10" s="29">
        <f>'Premium Grid'!U10-'Premium Grid'!$L10</f>
        <v/>
      </c>
      <c r="V10" s="29">
        <f>'Premium Grid'!V10-'Premium Grid'!$L10</f>
        <v/>
      </c>
      <c r="W10" s="29">
        <f>'Premium Grid'!W10-'Premium Grid'!$L10</f>
        <v/>
      </c>
      <c r="X10" s="29">
        <f>'Premium Grid'!X10-'Premium Grid'!$L10</f>
        <v/>
      </c>
      <c r="Y10" s="29">
        <f>'Premium Grid'!Y10-'Premium Grid'!$L10</f>
        <v/>
      </c>
      <c r="Z10" s="29">
        <f>'Premium Grid'!Z10-'Premium Grid'!$L10</f>
        <v/>
      </c>
      <c r="AA10" s="29">
        <f>'Premium Grid'!AA10-'Premium Grid'!$L10</f>
        <v/>
      </c>
      <c r="AB10" s="29">
        <f>'Premium Grid'!AB10-'Premium Grid'!$L10</f>
        <v/>
      </c>
      <c r="AC10" s="29">
        <f>'Premium Grid'!AC10-'Premium Grid'!$L10</f>
        <v/>
      </c>
      <c r="AD10" s="29">
        <f>'Premium Grid'!AD10-'Premium Grid'!$L10</f>
        <v/>
      </c>
      <c r="AE10" s="29">
        <f>'Premium Grid'!AE10-'Premium Grid'!$L10</f>
        <v/>
      </c>
      <c r="AF10" s="29">
        <f>'Premium Grid'!AF10-'Premium Grid'!$L10</f>
        <v/>
      </c>
      <c r="AG10" s="29">
        <f>'Premium Grid'!AG10-'Premium Grid'!$L10</f>
        <v/>
      </c>
      <c r="AH10" s="29">
        <f>'Premium Grid'!AH10-'Premium Grid'!$L10</f>
        <v/>
      </c>
      <c r="AI10" s="29">
        <f>'Premium Grid'!AI10-'Premium Grid'!$L10</f>
        <v/>
      </c>
      <c r="AJ10" s="29">
        <f>'Premium Grid'!AJ10-'Premium Grid'!$L10</f>
        <v/>
      </c>
      <c r="AK10" s="29">
        <f>'Premium Grid'!AK10-'Premium Grid'!$L10</f>
        <v/>
      </c>
      <c r="AL10" s="29">
        <f>'Premium Grid'!AL10-'Premium Grid'!$L10</f>
        <v/>
      </c>
      <c r="AM10" s="29">
        <f>'Premium Grid'!AM10-'Premium Grid'!$L10</f>
        <v/>
      </c>
      <c r="AN10" s="29">
        <f>'Premium Grid'!AN10-'Premium Grid'!$L10</f>
        <v/>
      </c>
      <c r="AO10" s="29">
        <f>'Premium Grid'!AO10-'Premium Grid'!$L10</f>
        <v/>
      </c>
      <c r="AP10" s="29">
        <f>'Premium Grid'!AP10-'Premium Grid'!$L10</f>
        <v/>
      </c>
      <c r="AQ10" s="29">
        <f>'Premium Grid'!AQ10-'Premium Grid'!$L10</f>
        <v/>
      </c>
      <c r="AR10" s="29">
        <f>'Premium Grid'!AR10-'Premium Grid'!$L10</f>
        <v/>
      </c>
      <c r="AS10" s="29">
        <f>'Premium Grid'!AS10-'Premium Grid'!$L10</f>
        <v/>
      </c>
      <c r="AT10" s="29">
        <f>'Premium Grid'!AT10-'Premium Grid'!$L10</f>
        <v/>
      </c>
      <c r="AU10" s="29">
        <f>'Premium Grid'!AU10-'Premium Grid'!$L10</f>
        <v/>
      </c>
      <c r="AV10" s="29">
        <f>'Premium Grid'!AV10-'Premium Grid'!$L10</f>
        <v/>
      </c>
    </row>
    <row r="11">
      <c r="A11" s="27" t="inlineStr">
        <is>
          <t>-0.25%</t>
        </is>
      </c>
      <c r="B11" s="47">
        <f>'BS Engine'!$B$9</f>
        <v/>
      </c>
      <c r="C11" s="28">
        <f>'BS Engine'!$C$9</f>
        <v/>
      </c>
      <c r="D11" s="49">
        <f>'Premium Grid'!D11-'Premium Grid'!$L11</f>
        <v/>
      </c>
      <c r="E11" s="29">
        <f>'Premium Grid'!E11-'Premium Grid'!$L11</f>
        <v/>
      </c>
      <c r="F11" s="29">
        <f>'Premium Grid'!F11-'Premium Grid'!$L11</f>
        <v/>
      </c>
      <c r="G11" s="29">
        <f>'Premium Grid'!G11-'Premium Grid'!$L11</f>
        <v/>
      </c>
      <c r="H11" s="29">
        <f>'Premium Grid'!H11-'Premium Grid'!$L11</f>
        <v/>
      </c>
      <c r="I11" s="29">
        <f>'Premium Grid'!I11-'Premium Grid'!$L11</f>
        <v/>
      </c>
      <c r="J11" s="29">
        <f>'Premium Grid'!J11-'Premium Grid'!$L11</f>
        <v/>
      </c>
      <c r="K11" s="29">
        <f>'Premium Grid'!K11-'Premium Grid'!$L11</f>
        <v/>
      </c>
      <c r="L11" s="29">
        <f>'Premium Grid'!L11-'Premium Grid'!$L11</f>
        <v/>
      </c>
      <c r="M11" s="29">
        <f>'Premium Grid'!M11-'Premium Grid'!$L11</f>
        <v/>
      </c>
      <c r="N11" s="29">
        <f>'Premium Grid'!N11-'Premium Grid'!$L11</f>
        <v/>
      </c>
      <c r="O11" s="29">
        <f>'Premium Grid'!O11-'Premium Grid'!$L11</f>
        <v/>
      </c>
      <c r="P11" s="29">
        <f>'Premium Grid'!P11-'Premium Grid'!$L11</f>
        <v/>
      </c>
      <c r="Q11" s="29">
        <f>'Premium Grid'!Q11-'Premium Grid'!$L11</f>
        <v/>
      </c>
      <c r="R11" s="29">
        <f>'Premium Grid'!R11-'Premium Grid'!$L11</f>
        <v/>
      </c>
      <c r="S11" s="29">
        <f>'Premium Grid'!S11-'Premium Grid'!$L11</f>
        <v/>
      </c>
      <c r="T11" s="29">
        <f>'Premium Grid'!T11-'Premium Grid'!$L11</f>
        <v/>
      </c>
      <c r="U11" s="29">
        <f>'Premium Grid'!U11-'Premium Grid'!$L11</f>
        <v/>
      </c>
      <c r="V11" s="29">
        <f>'Premium Grid'!V11-'Premium Grid'!$L11</f>
        <v/>
      </c>
      <c r="W11" s="29">
        <f>'Premium Grid'!W11-'Premium Grid'!$L11</f>
        <v/>
      </c>
      <c r="X11" s="29">
        <f>'Premium Grid'!X11-'Premium Grid'!$L11</f>
        <v/>
      </c>
      <c r="Y11" s="29">
        <f>'Premium Grid'!Y11-'Premium Grid'!$L11</f>
        <v/>
      </c>
      <c r="Z11" s="29">
        <f>'Premium Grid'!Z11-'Premium Grid'!$L11</f>
        <v/>
      </c>
      <c r="AA11" s="29">
        <f>'Premium Grid'!AA11-'Premium Grid'!$L11</f>
        <v/>
      </c>
      <c r="AB11" s="29">
        <f>'Premium Grid'!AB11-'Premium Grid'!$L11</f>
        <v/>
      </c>
      <c r="AC11" s="29">
        <f>'Premium Grid'!AC11-'Premium Grid'!$L11</f>
        <v/>
      </c>
      <c r="AD11" s="29">
        <f>'Premium Grid'!AD11-'Premium Grid'!$L11</f>
        <v/>
      </c>
      <c r="AE11" s="29">
        <f>'Premium Grid'!AE11-'Premium Grid'!$L11</f>
        <v/>
      </c>
      <c r="AF11" s="29">
        <f>'Premium Grid'!AF11-'Premium Grid'!$L11</f>
        <v/>
      </c>
      <c r="AG11" s="29">
        <f>'Premium Grid'!AG11-'Premium Grid'!$L11</f>
        <v/>
      </c>
      <c r="AH11" s="29">
        <f>'Premium Grid'!AH11-'Premium Grid'!$L11</f>
        <v/>
      </c>
      <c r="AI11" s="29">
        <f>'Premium Grid'!AI11-'Premium Grid'!$L11</f>
        <v/>
      </c>
      <c r="AJ11" s="29">
        <f>'Premium Grid'!AJ11-'Premium Grid'!$L11</f>
        <v/>
      </c>
      <c r="AK11" s="29">
        <f>'Premium Grid'!AK11-'Premium Grid'!$L11</f>
        <v/>
      </c>
      <c r="AL11" s="29">
        <f>'Premium Grid'!AL11-'Premium Grid'!$L11</f>
        <v/>
      </c>
      <c r="AM11" s="29">
        <f>'Premium Grid'!AM11-'Premium Grid'!$L11</f>
        <v/>
      </c>
      <c r="AN11" s="29">
        <f>'Premium Grid'!AN11-'Premium Grid'!$L11</f>
        <v/>
      </c>
      <c r="AO11" s="29">
        <f>'Premium Grid'!AO11-'Premium Grid'!$L11</f>
        <v/>
      </c>
      <c r="AP11" s="29">
        <f>'Premium Grid'!AP11-'Premium Grid'!$L11</f>
        <v/>
      </c>
      <c r="AQ11" s="29">
        <f>'Premium Grid'!AQ11-'Premium Grid'!$L11</f>
        <v/>
      </c>
      <c r="AR11" s="29">
        <f>'Premium Grid'!AR11-'Premium Grid'!$L11</f>
        <v/>
      </c>
      <c r="AS11" s="29">
        <f>'Premium Grid'!AS11-'Premium Grid'!$L11</f>
        <v/>
      </c>
      <c r="AT11" s="29">
        <f>'Premium Grid'!AT11-'Premium Grid'!$L11</f>
        <v/>
      </c>
      <c r="AU11" s="29">
        <f>'Premium Grid'!AU11-'Premium Grid'!$L11</f>
        <v/>
      </c>
      <c r="AV11" s="29">
        <f>'Premium Grid'!AV11-'Premium Grid'!$L11</f>
        <v/>
      </c>
    </row>
    <row r="12">
      <c r="A12" s="27" t="inlineStr">
        <is>
          <t>ATM</t>
        </is>
      </c>
      <c r="B12" s="47">
        <f>'BS Engine'!$B$10</f>
        <v/>
      </c>
      <c r="C12" s="28">
        <f>'BS Engine'!$C$10</f>
        <v/>
      </c>
      <c r="D12" s="49">
        <f>'Premium Grid'!D12-'Premium Grid'!$L12</f>
        <v/>
      </c>
      <c r="E12" s="29">
        <f>'Premium Grid'!E12-'Premium Grid'!$L12</f>
        <v/>
      </c>
      <c r="F12" s="29">
        <f>'Premium Grid'!F12-'Premium Grid'!$L12</f>
        <v/>
      </c>
      <c r="G12" s="29">
        <f>'Premium Grid'!G12-'Premium Grid'!$L12</f>
        <v/>
      </c>
      <c r="H12" s="29">
        <f>'Premium Grid'!H12-'Premium Grid'!$L12</f>
        <v/>
      </c>
      <c r="I12" s="29">
        <f>'Premium Grid'!I12-'Premium Grid'!$L12</f>
        <v/>
      </c>
      <c r="J12" s="29">
        <f>'Premium Grid'!J12-'Premium Grid'!$L12</f>
        <v/>
      </c>
      <c r="K12" s="29">
        <f>'Premium Grid'!K12-'Premium Grid'!$L12</f>
        <v/>
      </c>
      <c r="L12" s="29">
        <f>'Premium Grid'!L12-'Premium Grid'!$L12</f>
        <v/>
      </c>
      <c r="M12" s="29">
        <f>'Premium Grid'!M12-'Premium Grid'!$L12</f>
        <v/>
      </c>
      <c r="N12" s="29">
        <f>'Premium Grid'!N12-'Premium Grid'!$L12</f>
        <v/>
      </c>
      <c r="O12" s="29">
        <f>'Premium Grid'!O12-'Premium Grid'!$L12</f>
        <v/>
      </c>
      <c r="P12" s="29">
        <f>'Premium Grid'!P12-'Premium Grid'!$L12</f>
        <v/>
      </c>
      <c r="Q12" s="29">
        <f>'Premium Grid'!Q12-'Premium Grid'!$L12</f>
        <v/>
      </c>
      <c r="R12" s="29">
        <f>'Premium Grid'!R12-'Premium Grid'!$L12</f>
        <v/>
      </c>
      <c r="S12" s="29">
        <f>'Premium Grid'!S12-'Premium Grid'!$L12</f>
        <v/>
      </c>
      <c r="T12" s="29">
        <f>'Premium Grid'!T12-'Premium Grid'!$L12</f>
        <v/>
      </c>
      <c r="U12" s="29">
        <f>'Premium Grid'!U12-'Premium Grid'!$L12</f>
        <v/>
      </c>
      <c r="V12" s="29">
        <f>'Premium Grid'!V12-'Premium Grid'!$L12</f>
        <v/>
      </c>
      <c r="W12" s="29">
        <f>'Premium Grid'!W12-'Premium Grid'!$L12</f>
        <v/>
      </c>
      <c r="X12" s="29">
        <f>'Premium Grid'!X12-'Premium Grid'!$L12</f>
        <v/>
      </c>
      <c r="Y12" s="29">
        <f>'Premium Grid'!Y12-'Premium Grid'!$L12</f>
        <v/>
      </c>
      <c r="Z12" s="29">
        <f>'Premium Grid'!Z12-'Premium Grid'!$L12</f>
        <v/>
      </c>
      <c r="AA12" s="29">
        <f>'Premium Grid'!AA12-'Premium Grid'!$L12</f>
        <v/>
      </c>
      <c r="AB12" s="29">
        <f>'Premium Grid'!AB12-'Premium Grid'!$L12</f>
        <v/>
      </c>
      <c r="AC12" s="29">
        <f>'Premium Grid'!AC12-'Premium Grid'!$L12</f>
        <v/>
      </c>
      <c r="AD12" s="29">
        <f>'Premium Grid'!AD12-'Premium Grid'!$L12</f>
        <v/>
      </c>
      <c r="AE12" s="29">
        <f>'Premium Grid'!AE12-'Premium Grid'!$L12</f>
        <v/>
      </c>
      <c r="AF12" s="29">
        <f>'Premium Grid'!AF12-'Premium Grid'!$L12</f>
        <v/>
      </c>
      <c r="AG12" s="29">
        <f>'Premium Grid'!AG12-'Premium Grid'!$L12</f>
        <v/>
      </c>
      <c r="AH12" s="29">
        <f>'Premium Grid'!AH12-'Premium Grid'!$L12</f>
        <v/>
      </c>
      <c r="AI12" s="29">
        <f>'Premium Grid'!AI12-'Premium Grid'!$L12</f>
        <v/>
      </c>
      <c r="AJ12" s="29">
        <f>'Premium Grid'!AJ12-'Premium Grid'!$L12</f>
        <v/>
      </c>
      <c r="AK12" s="29">
        <f>'Premium Grid'!AK12-'Premium Grid'!$L12</f>
        <v/>
      </c>
      <c r="AL12" s="29">
        <f>'Premium Grid'!AL12-'Premium Grid'!$L12</f>
        <v/>
      </c>
      <c r="AM12" s="29">
        <f>'Premium Grid'!AM12-'Premium Grid'!$L12</f>
        <v/>
      </c>
      <c r="AN12" s="29">
        <f>'Premium Grid'!AN12-'Premium Grid'!$L12</f>
        <v/>
      </c>
      <c r="AO12" s="29">
        <f>'Premium Grid'!AO12-'Premium Grid'!$L12</f>
        <v/>
      </c>
      <c r="AP12" s="29">
        <f>'Premium Grid'!AP12-'Premium Grid'!$L12</f>
        <v/>
      </c>
      <c r="AQ12" s="29">
        <f>'Premium Grid'!AQ12-'Premium Grid'!$L12</f>
        <v/>
      </c>
      <c r="AR12" s="29">
        <f>'Premium Grid'!AR12-'Premium Grid'!$L12</f>
        <v/>
      </c>
      <c r="AS12" s="29">
        <f>'Premium Grid'!AS12-'Premium Grid'!$L12</f>
        <v/>
      </c>
      <c r="AT12" s="29">
        <f>'Premium Grid'!AT12-'Premium Grid'!$L12</f>
        <v/>
      </c>
      <c r="AU12" s="29">
        <f>'Premium Grid'!AU12-'Premium Grid'!$L12</f>
        <v/>
      </c>
      <c r="AV12" s="29">
        <f>'Premium Grid'!AV12-'Premium Grid'!$L12</f>
        <v/>
      </c>
    </row>
    <row r="13">
      <c r="A13" s="27" t="inlineStr">
        <is>
          <t>+0.25%</t>
        </is>
      </c>
      <c r="B13" s="47">
        <f>'BS Engine'!$B$11</f>
        <v/>
      </c>
      <c r="C13" s="28">
        <f>'BS Engine'!$C$11</f>
        <v/>
      </c>
      <c r="D13" s="49">
        <f>'Premium Grid'!D13-'Premium Grid'!$L13</f>
        <v/>
      </c>
      <c r="E13" s="29">
        <f>'Premium Grid'!E13-'Premium Grid'!$L13</f>
        <v/>
      </c>
      <c r="F13" s="29">
        <f>'Premium Grid'!F13-'Premium Grid'!$L13</f>
        <v/>
      </c>
      <c r="G13" s="29">
        <f>'Premium Grid'!G13-'Premium Grid'!$L13</f>
        <v/>
      </c>
      <c r="H13" s="29">
        <f>'Premium Grid'!H13-'Premium Grid'!$L13</f>
        <v/>
      </c>
      <c r="I13" s="29">
        <f>'Premium Grid'!I13-'Premium Grid'!$L13</f>
        <v/>
      </c>
      <c r="J13" s="29">
        <f>'Premium Grid'!J13-'Premium Grid'!$L13</f>
        <v/>
      </c>
      <c r="K13" s="29">
        <f>'Premium Grid'!K13-'Premium Grid'!$L13</f>
        <v/>
      </c>
      <c r="L13" s="29">
        <f>'Premium Grid'!L13-'Premium Grid'!$L13</f>
        <v/>
      </c>
      <c r="M13" s="29">
        <f>'Premium Grid'!M13-'Premium Grid'!$L13</f>
        <v/>
      </c>
      <c r="N13" s="29">
        <f>'Premium Grid'!N13-'Premium Grid'!$L13</f>
        <v/>
      </c>
      <c r="O13" s="29">
        <f>'Premium Grid'!O13-'Premium Grid'!$L13</f>
        <v/>
      </c>
      <c r="P13" s="29">
        <f>'Premium Grid'!P13-'Premium Grid'!$L13</f>
        <v/>
      </c>
      <c r="Q13" s="29">
        <f>'Premium Grid'!Q13-'Premium Grid'!$L13</f>
        <v/>
      </c>
      <c r="R13" s="29">
        <f>'Premium Grid'!R13-'Premium Grid'!$L13</f>
        <v/>
      </c>
      <c r="S13" s="29">
        <f>'Premium Grid'!S13-'Premium Grid'!$L13</f>
        <v/>
      </c>
      <c r="T13" s="29">
        <f>'Premium Grid'!T13-'Premium Grid'!$L13</f>
        <v/>
      </c>
      <c r="U13" s="29">
        <f>'Premium Grid'!U13-'Premium Grid'!$L13</f>
        <v/>
      </c>
      <c r="V13" s="29">
        <f>'Premium Grid'!V13-'Premium Grid'!$L13</f>
        <v/>
      </c>
      <c r="W13" s="29">
        <f>'Premium Grid'!W13-'Premium Grid'!$L13</f>
        <v/>
      </c>
      <c r="X13" s="29">
        <f>'Premium Grid'!X13-'Premium Grid'!$L13</f>
        <v/>
      </c>
      <c r="Y13" s="29">
        <f>'Premium Grid'!Y13-'Premium Grid'!$L13</f>
        <v/>
      </c>
      <c r="Z13" s="29">
        <f>'Premium Grid'!Z13-'Premium Grid'!$L13</f>
        <v/>
      </c>
      <c r="AA13" s="29">
        <f>'Premium Grid'!AA13-'Premium Grid'!$L13</f>
        <v/>
      </c>
      <c r="AB13" s="29">
        <f>'Premium Grid'!AB13-'Premium Grid'!$L13</f>
        <v/>
      </c>
      <c r="AC13" s="29">
        <f>'Premium Grid'!AC13-'Premium Grid'!$L13</f>
        <v/>
      </c>
      <c r="AD13" s="29">
        <f>'Premium Grid'!AD13-'Premium Grid'!$L13</f>
        <v/>
      </c>
      <c r="AE13" s="29">
        <f>'Premium Grid'!AE13-'Premium Grid'!$L13</f>
        <v/>
      </c>
      <c r="AF13" s="29">
        <f>'Premium Grid'!AF13-'Premium Grid'!$L13</f>
        <v/>
      </c>
      <c r="AG13" s="29">
        <f>'Premium Grid'!AG13-'Premium Grid'!$L13</f>
        <v/>
      </c>
      <c r="AH13" s="29">
        <f>'Premium Grid'!AH13-'Premium Grid'!$L13</f>
        <v/>
      </c>
      <c r="AI13" s="29">
        <f>'Premium Grid'!AI13-'Premium Grid'!$L13</f>
        <v/>
      </c>
      <c r="AJ13" s="29">
        <f>'Premium Grid'!AJ13-'Premium Grid'!$L13</f>
        <v/>
      </c>
      <c r="AK13" s="29">
        <f>'Premium Grid'!AK13-'Premium Grid'!$L13</f>
        <v/>
      </c>
      <c r="AL13" s="29">
        <f>'Premium Grid'!AL13-'Premium Grid'!$L13</f>
        <v/>
      </c>
      <c r="AM13" s="29">
        <f>'Premium Grid'!AM13-'Premium Grid'!$L13</f>
        <v/>
      </c>
      <c r="AN13" s="29">
        <f>'Premium Grid'!AN13-'Premium Grid'!$L13</f>
        <v/>
      </c>
      <c r="AO13" s="29">
        <f>'Premium Grid'!AO13-'Premium Grid'!$L13</f>
        <v/>
      </c>
      <c r="AP13" s="29">
        <f>'Premium Grid'!AP13-'Premium Grid'!$L13</f>
        <v/>
      </c>
      <c r="AQ13" s="29">
        <f>'Premium Grid'!AQ13-'Premium Grid'!$L13</f>
        <v/>
      </c>
      <c r="AR13" s="29">
        <f>'Premium Grid'!AR13-'Premium Grid'!$L13</f>
        <v/>
      </c>
      <c r="AS13" s="29">
        <f>'Premium Grid'!AS13-'Premium Grid'!$L13</f>
        <v/>
      </c>
      <c r="AT13" s="29">
        <f>'Premium Grid'!AT13-'Premium Grid'!$L13</f>
        <v/>
      </c>
      <c r="AU13" s="29">
        <f>'Premium Grid'!AU13-'Premium Grid'!$L13</f>
        <v/>
      </c>
      <c r="AV13" s="29">
        <f>'Premium Grid'!AV13-'Premium Grid'!$L13</f>
        <v/>
      </c>
    </row>
    <row r="14">
      <c r="A14" s="27" t="inlineStr">
        <is>
          <t>+0.50%</t>
        </is>
      </c>
      <c r="B14" s="47">
        <f>'BS Engine'!$B$12</f>
        <v/>
      </c>
      <c r="C14" s="28">
        <f>'BS Engine'!$C$12</f>
        <v/>
      </c>
      <c r="D14" s="49">
        <f>'Premium Grid'!D14-'Premium Grid'!$L14</f>
        <v/>
      </c>
      <c r="E14" s="29">
        <f>'Premium Grid'!E14-'Premium Grid'!$L14</f>
        <v/>
      </c>
      <c r="F14" s="29">
        <f>'Premium Grid'!F14-'Premium Grid'!$L14</f>
        <v/>
      </c>
      <c r="G14" s="29">
        <f>'Premium Grid'!G14-'Premium Grid'!$L14</f>
        <v/>
      </c>
      <c r="H14" s="29">
        <f>'Premium Grid'!H14-'Premium Grid'!$L14</f>
        <v/>
      </c>
      <c r="I14" s="29">
        <f>'Premium Grid'!I14-'Premium Grid'!$L14</f>
        <v/>
      </c>
      <c r="J14" s="29">
        <f>'Premium Grid'!J14-'Premium Grid'!$L14</f>
        <v/>
      </c>
      <c r="K14" s="29">
        <f>'Premium Grid'!K14-'Premium Grid'!$L14</f>
        <v/>
      </c>
      <c r="L14" s="29">
        <f>'Premium Grid'!L14-'Premium Grid'!$L14</f>
        <v/>
      </c>
      <c r="M14" s="29">
        <f>'Premium Grid'!M14-'Premium Grid'!$L14</f>
        <v/>
      </c>
      <c r="N14" s="29">
        <f>'Premium Grid'!N14-'Premium Grid'!$L14</f>
        <v/>
      </c>
      <c r="O14" s="29">
        <f>'Premium Grid'!O14-'Premium Grid'!$L14</f>
        <v/>
      </c>
      <c r="P14" s="29">
        <f>'Premium Grid'!P14-'Premium Grid'!$L14</f>
        <v/>
      </c>
      <c r="Q14" s="29">
        <f>'Premium Grid'!Q14-'Premium Grid'!$L14</f>
        <v/>
      </c>
      <c r="R14" s="29">
        <f>'Premium Grid'!R14-'Premium Grid'!$L14</f>
        <v/>
      </c>
      <c r="S14" s="29">
        <f>'Premium Grid'!S14-'Premium Grid'!$L14</f>
        <v/>
      </c>
      <c r="T14" s="29">
        <f>'Premium Grid'!T14-'Premium Grid'!$L14</f>
        <v/>
      </c>
      <c r="U14" s="29">
        <f>'Premium Grid'!U14-'Premium Grid'!$L14</f>
        <v/>
      </c>
      <c r="V14" s="29">
        <f>'Premium Grid'!V14-'Premium Grid'!$L14</f>
        <v/>
      </c>
      <c r="W14" s="29">
        <f>'Premium Grid'!W14-'Premium Grid'!$L14</f>
        <v/>
      </c>
      <c r="X14" s="29">
        <f>'Premium Grid'!X14-'Premium Grid'!$L14</f>
        <v/>
      </c>
      <c r="Y14" s="29">
        <f>'Premium Grid'!Y14-'Premium Grid'!$L14</f>
        <v/>
      </c>
      <c r="Z14" s="29">
        <f>'Premium Grid'!Z14-'Premium Grid'!$L14</f>
        <v/>
      </c>
      <c r="AA14" s="29">
        <f>'Premium Grid'!AA14-'Premium Grid'!$L14</f>
        <v/>
      </c>
      <c r="AB14" s="29">
        <f>'Premium Grid'!AB14-'Premium Grid'!$L14</f>
        <v/>
      </c>
      <c r="AC14" s="29">
        <f>'Premium Grid'!AC14-'Premium Grid'!$L14</f>
        <v/>
      </c>
      <c r="AD14" s="29">
        <f>'Premium Grid'!AD14-'Premium Grid'!$L14</f>
        <v/>
      </c>
      <c r="AE14" s="29">
        <f>'Premium Grid'!AE14-'Premium Grid'!$L14</f>
        <v/>
      </c>
      <c r="AF14" s="29">
        <f>'Premium Grid'!AF14-'Premium Grid'!$L14</f>
        <v/>
      </c>
      <c r="AG14" s="29">
        <f>'Premium Grid'!AG14-'Premium Grid'!$L14</f>
        <v/>
      </c>
      <c r="AH14" s="29">
        <f>'Premium Grid'!AH14-'Premium Grid'!$L14</f>
        <v/>
      </c>
      <c r="AI14" s="29">
        <f>'Premium Grid'!AI14-'Premium Grid'!$L14</f>
        <v/>
      </c>
      <c r="AJ14" s="29">
        <f>'Premium Grid'!AJ14-'Premium Grid'!$L14</f>
        <v/>
      </c>
      <c r="AK14" s="29">
        <f>'Premium Grid'!AK14-'Premium Grid'!$L14</f>
        <v/>
      </c>
      <c r="AL14" s="29">
        <f>'Premium Grid'!AL14-'Premium Grid'!$L14</f>
        <v/>
      </c>
      <c r="AM14" s="29">
        <f>'Premium Grid'!AM14-'Premium Grid'!$L14</f>
        <v/>
      </c>
      <c r="AN14" s="29">
        <f>'Premium Grid'!AN14-'Premium Grid'!$L14</f>
        <v/>
      </c>
      <c r="AO14" s="29">
        <f>'Premium Grid'!AO14-'Premium Grid'!$L14</f>
        <v/>
      </c>
      <c r="AP14" s="29">
        <f>'Premium Grid'!AP14-'Premium Grid'!$L14</f>
        <v/>
      </c>
      <c r="AQ14" s="29">
        <f>'Premium Grid'!AQ14-'Premium Grid'!$L14</f>
        <v/>
      </c>
      <c r="AR14" s="29">
        <f>'Premium Grid'!AR14-'Premium Grid'!$L14</f>
        <v/>
      </c>
      <c r="AS14" s="29">
        <f>'Premium Grid'!AS14-'Premium Grid'!$L14</f>
        <v/>
      </c>
      <c r="AT14" s="29">
        <f>'Premium Grid'!AT14-'Premium Grid'!$L14</f>
        <v/>
      </c>
      <c r="AU14" s="29">
        <f>'Premium Grid'!AU14-'Premium Grid'!$L14</f>
        <v/>
      </c>
      <c r="AV14" s="29">
        <f>'Premium Grid'!AV14-'Premium Grid'!$L14</f>
        <v/>
      </c>
    </row>
    <row r="15">
      <c r="A15" s="27" t="inlineStr">
        <is>
          <t>+0.75%</t>
        </is>
      </c>
      <c r="B15" s="47">
        <f>'BS Engine'!$B$13</f>
        <v/>
      </c>
      <c r="C15" s="28">
        <f>'BS Engine'!$C$13</f>
        <v/>
      </c>
      <c r="D15" s="49">
        <f>'Premium Grid'!D15-'Premium Grid'!$L15</f>
        <v/>
      </c>
      <c r="E15" s="29">
        <f>'Premium Grid'!E15-'Premium Grid'!$L15</f>
        <v/>
      </c>
      <c r="F15" s="29">
        <f>'Premium Grid'!F15-'Premium Grid'!$L15</f>
        <v/>
      </c>
      <c r="G15" s="29">
        <f>'Premium Grid'!G15-'Premium Grid'!$L15</f>
        <v/>
      </c>
      <c r="H15" s="29">
        <f>'Premium Grid'!H15-'Premium Grid'!$L15</f>
        <v/>
      </c>
      <c r="I15" s="29">
        <f>'Premium Grid'!I15-'Premium Grid'!$L15</f>
        <v/>
      </c>
      <c r="J15" s="29">
        <f>'Premium Grid'!J15-'Premium Grid'!$L15</f>
        <v/>
      </c>
      <c r="K15" s="29">
        <f>'Premium Grid'!K15-'Premium Grid'!$L15</f>
        <v/>
      </c>
      <c r="L15" s="29">
        <f>'Premium Grid'!L15-'Premium Grid'!$L15</f>
        <v/>
      </c>
      <c r="M15" s="29">
        <f>'Premium Grid'!M15-'Premium Grid'!$L15</f>
        <v/>
      </c>
      <c r="N15" s="29">
        <f>'Premium Grid'!N15-'Premium Grid'!$L15</f>
        <v/>
      </c>
      <c r="O15" s="29">
        <f>'Premium Grid'!O15-'Premium Grid'!$L15</f>
        <v/>
      </c>
      <c r="P15" s="29">
        <f>'Premium Grid'!P15-'Premium Grid'!$L15</f>
        <v/>
      </c>
      <c r="Q15" s="29">
        <f>'Premium Grid'!Q15-'Premium Grid'!$L15</f>
        <v/>
      </c>
      <c r="R15" s="29">
        <f>'Premium Grid'!R15-'Premium Grid'!$L15</f>
        <v/>
      </c>
      <c r="S15" s="29">
        <f>'Premium Grid'!S15-'Premium Grid'!$L15</f>
        <v/>
      </c>
      <c r="T15" s="29">
        <f>'Premium Grid'!T15-'Premium Grid'!$L15</f>
        <v/>
      </c>
      <c r="U15" s="29">
        <f>'Premium Grid'!U15-'Premium Grid'!$L15</f>
        <v/>
      </c>
      <c r="V15" s="29">
        <f>'Premium Grid'!V15-'Premium Grid'!$L15</f>
        <v/>
      </c>
      <c r="W15" s="29">
        <f>'Premium Grid'!W15-'Premium Grid'!$L15</f>
        <v/>
      </c>
      <c r="X15" s="29">
        <f>'Premium Grid'!X15-'Premium Grid'!$L15</f>
        <v/>
      </c>
      <c r="Y15" s="29">
        <f>'Premium Grid'!Y15-'Premium Grid'!$L15</f>
        <v/>
      </c>
      <c r="Z15" s="29">
        <f>'Premium Grid'!Z15-'Premium Grid'!$L15</f>
        <v/>
      </c>
      <c r="AA15" s="29">
        <f>'Premium Grid'!AA15-'Premium Grid'!$L15</f>
        <v/>
      </c>
      <c r="AB15" s="29">
        <f>'Premium Grid'!AB15-'Premium Grid'!$L15</f>
        <v/>
      </c>
      <c r="AC15" s="29">
        <f>'Premium Grid'!AC15-'Premium Grid'!$L15</f>
        <v/>
      </c>
      <c r="AD15" s="29">
        <f>'Premium Grid'!AD15-'Premium Grid'!$L15</f>
        <v/>
      </c>
      <c r="AE15" s="29">
        <f>'Premium Grid'!AE15-'Premium Grid'!$L15</f>
        <v/>
      </c>
      <c r="AF15" s="29">
        <f>'Premium Grid'!AF15-'Premium Grid'!$L15</f>
        <v/>
      </c>
      <c r="AG15" s="29">
        <f>'Premium Grid'!AG15-'Premium Grid'!$L15</f>
        <v/>
      </c>
      <c r="AH15" s="29">
        <f>'Premium Grid'!AH15-'Premium Grid'!$L15</f>
        <v/>
      </c>
      <c r="AI15" s="29">
        <f>'Premium Grid'!AI15-'Premium Grid'!$L15</f>
        <v/>
      </c>
      <c r="AJ15" s="29">
        <f>'Premium Grid'!AJ15-'Premium Grid'!$L15</f>
        <v/>
      </c>
      <c r="AK15" s="29">
        <f>'Premium Grid'!AK15-'Premium Grid'!$L15</f>
        <v/>
      </c>
      <c r="AL15" s="29">
        <f>'Premium Grid'!AL15-'Premium Grid'!$L15</f>
        <v/>
      </c>
      <c r="AM15" s="29">
        <f>'Premium Grid'!AM15-'Premium Grid'!$L15</f>
        <v/>
      </c>
      <c r="AN15" s="29">
        <f>'Premium Grid'!AN15-'Premium Grid'!$L15</f>
        <v/>
      </c>
      <c r="AO15" s="29">
        <f>'Premium Grid'!AO15-'Premium Grid'!$L15</f>
        <v/>
      </c>
      <c r="AP15" s="29">
        <f>'Premium Grid'!AP15-'Premium Grid'!$L15</f>
        <v/>
      </c>
      <c r="AQ15" s="29">
        <f>'Premium Grid'!AQ15-'Premium Grid'!$L15</f>
        <v/>
      </c>
      <c r="AR15" s="29">
        <f>'Premium Grid'!AR15-'Premium Grid'!$L15</f>
        <v/>
      </c>
      <c r="AS15" s="29">
        <f>'Premium Grid'!AS15-'Premium Grid'!$L15</f>
        <v/>
      </c>
      <c r="AT15" s="29">
        <f>'Premium Grid'!AT15-'Premium Grid'!$L15</f>
        <v/>
      </c>
      <c r="AU15" s="29">
        <f>'Premium Grid'!AU15-'Premium Grid'!$L15</f>
        <v/>
      </c>
      <c r="AV15" s="29">
        <f>'Premium Grid'!AV15-'Premium Grid'!$L15</f>
        <v/>
      </c>
    </row>
    <row r="16">
      <c r="A16" s="27" t="inlineStr">
        <is>
          <t>+1.00%</t>
        </is>
      </c>
      <c r="B16" s="47">
        <f>'BS Engine'!$B$14</f>
        <v/>
      </c>
      <c r="C16" s="28">
        <f>'BS Engine'!$C$14</f>
        <v/>
      </c>
      <c r="D16" s="49">
        <f>'Premium Grid'!D16-'Premium Grid'!$L16</f>
        <v/>
      </c>
      <c r="E16" s="29">
        <f>'Premium Grid'!E16-'Premium Grid'!$L16</f>
        <v/>
      </c>
      <c r="F16" s="29">
        <f>'Premium Grid'!F16-'Premium Grid'!$L16</f>
        <v/>
      </c>
      <c r="G16" s="29">
        <f>'Premium Grid'!G16-'Premium Grid'!$L16</f>
        <v/>
      </c>
      <c r="H16" s="29">
        <f>'Premium Grid'!H16-'Premium Grid'!$L16</f>
        <v/>
      </c>
      <c r="I16" s="29">
        <f>'Premium Grid'!I16-'Premium Grid'!$L16</f>
        <v/>
      </c>
      <c r="J16" s="29">
        <f>'Premium Grid'!J16-'Premium Grid'!$L16</f>
        <v/>
      </c>
      <c r="K16" s="29">
        <f>'Premium Grid'!K16-'Premium Grid'!$L16</f>
        <v/>
      </c>
      <c r="L16" s="29">
        <f>'Premium Grid'!L16-'Premium Grid'!$L16</f>
        <v/>
      </c>
      <c r="M16" s="29">
        <f>'Premium Grid'!M16-'Premium Grid'!$L16</f>
        <v/>
      </c>
      <c r="N16" s="29">
        <f>'Premium Grid'!N16-'Premium Grid'!$L16</f>
        <v/>
      </c>
      <c r="O16" s="29">
        <f>'Premium Grid'!O16-'Premium Grid'!$L16</f>
        <v/>
      </c>
      <c r="P16" s="29">
        <f>'Premium Grid'!P16-'Premium Grid'!$L16</f>
        <v/>
      </c>
      <c r="Q16" s="29">
        <f>'Premium Grid'!Q16-'Premium Grid'!$L16</f>
        <v/>
      </c>
      <c r="R16" s="29">
        <f>'Premium Grid'!R16-'Premium Grid'!$L16</f>
        <v/>
      </c>
      <c r="S16" s="29">
        <f>'Premium Grid'!S16-'Premium Grid'!$L16</f>
        <v/>
      </c>
      <c r="T16" s="29">
        <f>'Premium Grid'!T16-'Premium Grid'!$L16</f>
        <v/>
      </c>
      <c r="U16" s="29">
        <f>'Premium Grid'!U16-'Premium Grid'!$L16</f>
        <v/>
      </c>
      <c r="V16" s="29">
        <f>'Premium Grid'!V16-'Premium Grid'!$L16</f>
        <v/>
      </c>
      <c r="W16" s="29">
        <f>'Premium Grid'!W16-'Premium Grid'!$L16</f>
        <v/>
      </c>
      <c r="X16" s="29">
        <f>'Premium Grid'!X16-'Premium Grid'!$L16</f>
        <v/>
      </c>
      <c r="Y16" s="29">
        <f>'Premium Grid'!Y16-'Premium Grid'!$L16</f>
        <v/>
      </c>
      <c r="Z16" s="29">
        <f>'Premium Grid'!Z16-'Premium Grid'!$L16</f>
        <v/>
      </c>
      <c r="AA16" s="29">
        <f>'Premium Grid'!AA16-'Premium Grid'!$L16</f>
        <v/>
      </c>
      <c r="AB16" s="29">
        <f>'Premium Grid'!AB16-'Premium Grid'!$L16</f>
        <v/>
      </c>
      <c r="AC16" s="29">
        <f>'Premium Grid'!AC16-'Premium Grid'!$L16</f>
        <v/>
      </c>
      <c r="AD16" s="29">
        <f>'Premium Grid'!AD16-'Premium Grid'!$L16</f>
        <v/>
      </c>
      <c r="AE16" s="29">
        <f>'Premium Grid'!AE16-'Premium Grid'!$L16</f>
        <v/>
      </c>
      <c r="AF16" s="29">
        <f>'Premium Grid'!AF16-'Premium Grid'!$L16</f>
        <v/>
      </c>
      <c r="AG16" s="29">
        <f>'Premium Grid'!AG16-'Premium Grid'!$L16</f>
        <v/>
      </c>
      <c r="AH16" s="29">
        <f>'Premium Grid'!AH16-'Premium Grid'!$L16</f>
        <v/>
      </c>
      <c r="AI16" s="29">
        <f>'Premium Grid'!AI16-'Premium Grid'!$L16</f>
        <v/>
      </c>
      <c r="AJ16" s="29">
        <f>'Premium Grid'!AJ16-'Premium Grid'!$L16</f>
        <v/>
      </c>
      <c r="AK16" s="29">
        <f>'Premium Grid'!AK16-'Premium Grid'!$L16</f>
        <v/>
      </c>
      <c r="AL16" s="29">
        <f>'Premium Grid'!AL16-'Premium Grid'!$L16</f>
        <v/>
      </c>
      <c r="AM16" s="29">
        <f>'Premium Grid'!AM16-'Premium Grid'!$L16</f>
        <v/>
      </c>
      <c r="AN16" s="29">
        <f>'Premium Grid'!AN16-'Premium Grid'!$L16</f>
        <v/>
      </c>
      <c r="AO16" s="29">
        <f>'Premium Grid'!AO16-'Premium Grid'!$L16</f>
        <v/>
      </c>
      <c r="AP16" s="29">
        <f>'Premium Grid'!AP16-'Premium Grid'!$L16</f>
        <v/>
      </c>
      <c r="AQ16" s="29">
        <f>'Premium Grid'!AQ16-'Premium Grid'!$L16</f>
        <v/>
      </c>
      <c r="AR16" s="29">
        <f>'Premium Grid'!AR16-'Premium Grid'!$L16</f>
        <v/>
      </c>
      <c r="AS16" s="29">
        <f>'Premium Grid'!AS16-'Premium Grid'!$L16</f>
        <v/>
      </c>
      <c r="AT16" s="29">
        <f>'Premium Grid'!AT16-'Premium Grid'!$L16</f>
        <v/>
      </c>
      <c r="AU16" s="29">
        <f>'Premium Grid'!AU16-'Premium Grid'!$L16</f>
        <v/>
      </c>
      <c r="AV16" s="29">
        <f>'Premium Grid'!AV16-'Premium Grid'!$L16</f>
        <v/>
      </c>
    </row>
    <row r="17">
      <c r="A17" s="27" t="inlineStr">
        <is>
          <t>+1.25%</t>
        </is>
      </c>
      <c r="B17" s="47">
        <f>'BS Engine'!$B$15</f>
        <v/>
      </c>
      <c r="C17" s="28">
        <f>'BS Engine'!$C$15</f>
        <v/>
      </c>
      <c r="D17" s="49">
        <f>'Premium Grid'!D17-'Premium Grid'!$L17</f>
        <v/>
      </c>
      <c r="E17" s="29">
        <f>'Premium Grid'!E17-'Premium Grid'!$L17</f>
        <v/>
      </c>
      <c r="F17" s="29">
        <f>'Premium Grid'!F17-'Premium Grid'!$L17</f>
        <v/>
      </c>
      <c r="G17" s="29">
        <f>'Premium Grid'!G17-'Premium Grid'!$L17</f>
        <v/>
      </c>
      <c r="H17" s="29">
        <f>'Premium Grid'!H17-'Premium Grid'!$L17</f>
        <v/>
      </c>
      <c r="I17" s="29">
        <f>'Premium Grid'!I17-'Premium Grid'!$L17</f>
        <v/>
      </c>
      <c r="J17" s="29">
        <f>'Premium Grid'!J17-'Premium Grid'!$L17</f>
        <v/>
      </c>
      <c r="K17" s="29">
        <f>'Premium Grid'!K17-'Premium Grid'!$L17</f>
        <v/>
      </c>
      <c r="L17" s="29">
        <f>'Premium Grid'!L17-'Premium Grid'!$L17</f>
        <v/>
      </c>
      <c r="M17" s="29">
        <f>'Premium Grid'!M17-'Premium Grid'!$L17</f>
        <v/>
      </c>
      <c r="N17" s="29">
        <f>'Premium Grid'!N17-'Premium Grid'!$L17</f>
        <v/>
      </c>
      <c r="O17" s="29">
        <f>'Premium Grid'!O17-'Premium Grid'!$L17</f>
        <v/>
      </c>
      <c r="P17" s="29">
        <f>'Premium Grid'!P17-'Premium Grid'!$L17</f>
        <v/>
      </c>
      <c r="Q17" s="29">
        <f>'Premium Grid'!Q17-'Premium Grid'!$L17</f>
        <v/>
      </c>
      <c r="R17" s="29">
        <f>'Premium Grid'!R17-'Premium Grid'!$L17</f>
        <v/>
      </c>
      <c r="S17" s="29">
        <f>'Premium Grid'!S17-'Premium Grid'!$L17</f>
        <v/>
      </c>
      <c r="T17" s="29">
        <f>'Premium Grid'!T17-'Premium Grid'!$L17</f>
        <v/>
      </c>
      <c r="U17" s="29">
        <f>'Premium Grid'!U17-'Premium Grid'!$L17</f>
        <v/>
      </c>
      <c r="V17" s="29">
        <f>'Premium Grid'!V17-'Premium Grid'!$L17</f>
        <v/>
      </c>
      <c r="W17" s="29">
        <f>'Premium Grid'!W17-'Premium Grid'!$L17</f>
        <v/>
      </c>
      <c r="X17" s="29">
        <f>'Premium Grid'!X17-'Premium Grid'!$L17</f>
        <v/>
      </c>
      <c r="Y17" s="29">
        <f>'Premium Grid'!Y17-'Premium Grid'!$L17</f>
        <v/>
      </c>
      <c r="Z17" s="29">
        <f>'Premium Grid'!Z17-'Premium Grid'!$L17</f>
        <v/>
      </c>
      <c r="AA17" s="29">
        <f>'Premium Grid'!AA17-'Premium Grid'!$L17</f>
        <v/>
      </c>
      <c r="AB17" s="29">
        <f>'Premium Grid'!AB17-'Premium Grid'!$L17</f>
        <v/>
      </c>
      <c r="AC17" s="29">
        <f>'Premium Grid'!AC17-'Premium Grid'!$L17</f>
        <v/>
      </c>
      <c r="AD17" s="29">
        <f>'Premium Grid'!AD17-'Premium Grid'!$L17</f>
        <v/>
      </c>
      <c r="AE17" s="29">
        <f>'Premium Grid'!AE17-'Premium Grid'!$L17</f>
        <v/>
      </c>
      <c r="AF17" s="29">
        <f>'Premium Grid'!AF17-'Premium Grid'!$L17</f>
        <v/>
      </c>
      <c r="AG17" s="29">
        <f>'Premium Grid'!AG17-'Premium Grid'!$L17</f>
        <v/>
      </c>
      <c r="AH17" s="29">
        <f>'Premium Grid'!AH17-'Premium Grid'!$L17</f>
        <v/>
      </c>
      <c r="AI17" s="29">
        <f>'Premium Grid'!AI17-'Premium Grid'!$L17</f>
        <v/>
      </c>
      <c r="AJ17" s="29">
        <f>'Premium Grid'!AJ17-'Premium Grid'!$L17</f>
        <v/>
      </c>
      <c r="AK17" s="29">
        <f>'Premium Grid'!AK17-'Premium Grid'!$L17</f>
        <v/>
      </c>
      <c r="AL17" s="29">
        <f>'Premium Grid'!AL17-'Premium Grid'!$L17</f>
        <v/>
      </c>
      <c r="AM17" s="29">
        <f>'Premium Grid'!AM17-'Premium Grid'!$L17</f>
        <v/>
      </c>
      <c r="AN17" s="29">
        <f>'Premium Grid'!AN17-'Premium Grid'!$L17</f>
        <v/>
      </c>
      <c r="AO17" s="29">
        <f>'Premium Grid'!AO17-'Premium Grid'!$L17</f>
        <v/>
      </c>
      <c r="AP17" s="29">
        <f>'Premium Grid'!AP17-'Premium Grid'!$L17</f>
        <v/>
      </c>
      <c r="AQ17" s="29">
        <f>'Premium Grid'!AQ17-'Premium Grid'!$L17</f>
        <v/>
      </c>
      <c r="AR17" s="29">
        <f>'Premium Grid'!AR17-'Premium Grid'!$L17</f>
        <v/>
      </c>
      <c r="AS17" s="29">
        <f>'Premium Grid'!AS17-'Premium Grid'!$L17</f>
        <v/>
      </c>
      <c r="AT17" s="29">
        <f>'Premium Grid'!AT17-'Premium Grid'!$L17</f>
        <v/>
      </c>
      <c r="AU17" s="29">
        <f>'Premium Grid'!AU17-'Premium Grid'!$L17</f>
        <v/>
      </c>
      <c r="AV17" s="29">
        <f>'Premium Grid'!AV17-'Premium Grid'!$L17</f>
        <v/>
      </c>
    </row>
    <row r="18">
      <c r="A18" s="27" t="inlineStr">
        <is>
          <t>+1.50%</t>
        </is>
      </c>
      <c r="B18" s="47">
        <f>'BS Engine'!$B$16</f>
        <v/>
      </c>
      <c r="C18" s="28">
        <f>'BS Engine'!$C$16</f>
        <v/>
      </c>
      <c r="D18" s="49">
        <f>'Premium Grid'!D18-'Premium Grid'!$L18</f>
        <v/>
      </c>
      <c r="E18" s="29">
        <f>'Premium Grid'!E18-'Premium Grid'!$L18</f>
        <v/>
      </c>
      <c r="F18" s="29">
        <f>'Premium Grid'!F18-'Premium Grid'!$L18</f>
        <v/>
      </c>
      <c r="G18" s="29">
        <f>'Premium Grid'!G18-'Premium Grid'!$L18</f>
        <v/>
      </c>
      <c r="H18" s="29">
        <f>'Premium Grid'!H18-'Premium Grid'!$L18</f>
        <v/>
      </c>
      <c r="I18" s="29">
        <f>'Premium Grid'!I18-'Premium Grid'!$L18</f>
        <v/>
      </c>
      <c r="J18" s="29">
        <f>'Premium Grid'!J18-'Premium Grid'!$L18</f>
        <v/>
      </c>
      <c r="K18" s="29">
        <f>'Premium Grid'!K18-'Premium Grid'!$L18</f>
        <v/>
      </c>
      <c r="L18" s="29">
        <f>'Premium Grid'!L18-'Premium Grid'!$L18</f>
        <v/>
      </c>
      <c r="M18" s="29">
        <f>'Premium Grid'!M18-'Premium Grid'!$L18</f>
        <v/>
      </c>
      <c r="N18" s="29">
        <f>'Premium Grid'!N18-'Premium Grid'!$L18</f>
        <v/>
      </c>
      <c r="O18" s="29">
        <f>'Premium Grid'!O18-'Premium Grid'!$L18</f>
        <v/>
      </c>
      <c r="P18" s="29">
        <f>'Premium Grid'!P18-'Premium Grid'!$L18</f>
        <v/>
      </c>
      <c r="Q18" s="29">
        <f>'Premium Grid'!Q18-'Premium Grid'!$L18</f>
        <v/>
      </c>
      <c r="R18" s="29">
        <f>'Premium Grid'!R18-'Premium Grid'!$L18</f>
        <v/>
      </c>
      <c r="S18" s="29">
        <f>'Premium Grid'!S18-'Premium Grid'!$L18</f>
        <v/>
      </c>
      <c r="T18" s="29">
        <f>'Premium Grid'!T18-'Premium Grid'!$L18</f>
        <v/>
      </c>
      <c r="U18" s="29">
        <f>'Premium Grid'!U18-'Premium Grid'!$L18</f>
        <v/>
      </c>
      <c r="V18" s="29">
        <f>'Premium Grid'!V18-'Premium Grid'!$L18</f>
        <v/>
      </c>
      <c r="W18" s="29">
        <f>'Premium Grid'!W18-'Premium Grid'!$L18</f>
        <v/>
      </c>
      <c r="X18" s="29">
        <f>'Premium Grid'!X18-'Premium Grid'!$L18</f>
        <v/>
      </c>
      <c r="Y18" s="29">
        <f>'Premium Grid'!Y18-'Premium Grid'!$L18</f>
        <v/>
      </c>
      <c r="Z18" s="29">
        <f>'Premium Grid'!Z18-'Premium Grid'!$L18</f>
        <v/>
      </c>
      <c r="AA18" s="29">
        <f>'Premium Grid'!AA18-'Premium Grid'!$L18</f>
        <v/>
      </c>
      <c r="AB18" s="29">
        <f>'Premium Grid'!AB18-'Premium Grid'!$L18</f>
        <v/>
      </c>
      <c r="AC18" s="29">
        <f>'Premium Grid'!AC18-'Premium Grid'!$L18</f>
        <v/>
      </c>
      <c r="AD18" s="29">
        <f>'Premium Grid'!AD18-'Premium Grid'!$L18</f>
        <v/>
      </c>
      <c r="AE18" s="29">
        <f>'Premium Grid'!AE18-'Premium Grid'!$L18</f>
        <v/>
      </c>
      <c r="AF18" s="29">
        <f>'Premium Grid'!AF18-'Premium Grid'!$L18</f>
        <v/>
      </c>
      <c r="AG18" s="29">
        <f>'Premium Grid'!AG18-'Premium Grid'!$L18</f>
        <v/>
      </c>
      <c r="AH18" s="29">
        <f>'Premium Grid'!AH18-'Premium Grid'!$L18</f>
        <v/>
      </c>
      <c r="AI18" s="29">
        <f>'Premium Grid'!AI18-'Premium Grid'!$L18</f>
        <v/>
      </c>
      <c r="AJ18" s="29">
        <f>'Premium Grid'!AJ18-'Premium Grid'!$L18</f>
        <v/>
      </c>
      <c r="AK18" s="29">
        <f>'Premium Grid'!AK18-'Premium Grid'!$L18</f>
        <v/>
      </c>
      <c r="AL18" s="29">
        <f>'Premium Grid'!AL18-'Premium Grid'!$L18</f>
        <v/>
      </c>
      <c r="AM18" s="29">
        <f>'Premium Grid'!AM18-'Premium Grid'!$L18</f>
        <v/>
      </c>
      <c r="AN18" s="29">
        <f>'Premium Grid'!AN18-'Premium Grid'!$L18</f>
        <v/>
      </c>
      <c r="AO18" s="29">
        <f>'Premium Grid'!AO18-'Premium Grid'!$L18</f>
        <v/>
      </c>
      <c r="AP18" s="29">
        <f>'Premium Grid'!AP18-'Premium Grid'!$L18</f>
        <v/>
      </c>
      <c r="AQ18" s="29">
        <f>'Premium Grid'!AQ18-'Premium Grid'!$L18</f>
        <v/>
      </c>
      <c r="AR18" s="29">
        <f>'Premium Grid'!AR18-'Premium Grid'!$L18</f>
        <v/>
      </c>
      <c r="AS18" s="29">
        <f>'Premium Grid'!AS18-'Premium Grid'!$L18</f>
        <v/>
      </c>
      <c r="AT18" s="29">
        <f>'Premium Grid'!AT18-'Premium Grid'!$L18</f>
        <v/>
      </c>
      <c r="AU18" s="29">
        <f>'Premium Grid'!AU18-'Premium Grid'!$L18</f>
        <v/>
      </c>
      <c r="AV18" s="29">
        <f>'Premium Grid'!AV18-'Premium Grid'!$L18</f>
        <v/>
      </c>
    </row>
    <row r="19">
      <c r="A19" s="27" t="inlineStr">
        <is>
          <t>+1.75%</t>
        </is>
      </c>
      <c r="B19" s="47">
        <f>'BS Engine'!$B$17</f>
        <v/>
      </c>
      <c r="C19" s="28">
        <f>'BS Engine'!$C$17</f>
        <v/>
      </c>
      <c r="D19" s="49">
        <f>'Premium Grid'!D19-'Premium Grid'!$L19</f>
        <v/>
      </c>
      <c r="E19" s="29">
        <f>'Premium Grid'!E19-'Premium Grid'!$L19</f>
        <v/>
      </c>
      <c r="F19" s="29">
        <f>'Premium Grid'!F19-'Premium Grid'!$L19</f>
        <v/>
      </c>
      <c r="G19" s="29">
        <f>'Premium Grid'!G19-'Premium Grid'!$L19</f>
        <v/>
      </c>
      <c r="H19" s="29">
        <f>'Premium Grid'!H19-'Premium Grid'!$L19</f>
        <v/>
      </c>
      <c r="I19" s="29">
        <f>'Premium Grid'!I19-'Premium Grid'!$L19</f>
        <v/>
      </c>
      <c r="J19" s="29">
        <f>'Premium Grid'!J19-'Premium Grid'!$L19</f>
        <v/>
      </c>
      <c r="K19" s="29">
        <f>'Premium Grid'!K19-'Premium Grid'!$L19</f>
        <v/>
      </c>
      <c r="L19" s="29">
        <f>'Premium Grid'!L19-'Premium Grid'!$L19</f>
        <v/>
      </c>
      <c r="M19" s="29">
        <f>'Premium Grid'!M19-'Premium Grid'!$L19</f>
        <v/>
      </c>
      <c r="N19" s="29">
        <f>'Premium Grid'!N19-'Premium Grid'!$L19</f>
        <v/>
      </c>
      <c r="O19" s="29">
        <f>'Premium Grid'!O19-'Premium Grid'!$L19</f>
        <v/>
      </c>
      <c r="P19" s="29">
        <f>'Premium Grid'!P19-'Premium Grid'!$L19</f>
        <v/>
      </c>
      <c r="Q19" s="29">
        <f>'Premium Grid'!Q19-'Premium Grid'!$L19</f>
        <v/>
      </c>
      <c r="R19" s="29">
        <f>'Premium Grid'!R19-'Premium Grid'!$L19</f>
        <v/>
      </c>
      <c r="S19" s="29">
        <f>'Premium Grid'!S19-'Premium Grid'!$L19</f>
        <v/>
      </c>
      <c r="T19" s="29">
        <f>'Premium Grid'!T19-'Premium Grid'!$L19</f>
        <v/>
      </c>
      <c r="U19" s="29">
        <f>'Premium Grid'!U19-'Premium Grid'!$L19</f>
        <v/>
      </c>
      <c r="V19" s="29">
        <f>'Premium Grid'!V19-'Premium Grid'!$L19</f>
        <v/>
      </c>
      <c r="W19" s="29">
        <f>'Premium Grid'!W19-'Premium Grid'!$L19</f>
        <v/>
      </c>
      <c r="X19" s="29">
        <f>'Premium Grid'!X19-'Premium Grid'!$L19</f>
        <v/>
      </c>
      <c r="Y19" s="29">
        <f>'Premium Grid'!Y19-'Premium Grid'!$L19</f>
        <v/>
      </c>
      <c r="Z19" s="29">
        <f>'Premium Grid'!Z19-'Premium Grid'!$L19</f>
        <v/>
      </c>
      <c r="AA19" s="29">
        <f>'Premium Grid'!AA19-'Premium Grid'!$L19</f>
        <v/>
      </c>
      <c r="AB19" s="29">
        <f>'Premium Grid'!AB19-'Premium Grid'!$L19</f>
        <v/>
      </c>
      <c r="AC19" s="29">
        <f>'Premium Grid'!AC19-'Premium Grid'!$L19</f>
        <v/>
      </c>
      <c r="AD19" s="29">
        <f>'Premium Grid'!AD19-'Premium Grid'!$L19</f>
        <v/>
      </c>
      <c r="AE19" s="29">
        <f>'Premium Grid'!AE19-'Premium Grid'!$L19</f>
        <v/>
      </c>
      <c r="AF19" s="29">
        <f>'Premium Grid'!AF19-'Premium Grid'!$L19</f>
        <v/>
      </c>
      <c r="AG19" s="29">
        <f>'Premium Grid'!AG19-'Premium Grid'!$L19</f>
        <v/>
      </c>
      <c r="AH19" s="29">
        <f>'Premium Grid'!AH19-'Premium Grid'!$L19</f>
        <v/>
      </c>
      <c r="AI19" s="29">
        <f>'Premium Grid'!AI19-'Premium Grid'!$L19</f>
        <v/>
      </c>
      <c r="AJ19" s="29">
        <f>'Premium Grid'!AJ19-'Premium Grid'!$L19</f>
        <v/>
      </c>
      <c r="AK19" s="29">
        <f>'Premium Grid'!AK19-'Premium Grid'!$L19</f>
        <v/>
      </c>
      <c r="AL19" s="29">
        <f>'Premium Grid'!AL19-'Premium Grid'!$L19</f>
        <v/>
      </c>
      <c r="AM19" s="29">
        <f>'Premium Grid'!AM19-'Premium Grid'!$L19</f>
        <v/>
      </c>
      <c r="AN19" s="29">
        <f>'Premium Grid'!AN19-'Premium Grid'!$L19</f>
        <v/>
      </c>
      <c r="AO19" s="29">
        <f>'Premium Grid'!AO19-'Premium Grid'!$L19</f>
        <v/>
      </c>
      <c r="AP19" s="29">
        <f>'Premium Grid'!AP19-'Premium Grid'!$L19</f>
        <v/>
      </c>
      <c r="AQ19" s="29">
        <f>'Premium Grid'!AQ19-'Premium Grid'!$L19</f>
        <v/>
      </c>
      <c r="AR19" s="29">
        <f>'Premium Grid'!AR19-'Premium Grid'!$L19</f>
        <v/>
      </c>
      <c r="AS19" s="29">
        <f>'Premium Grid'!AS19-'Premium Grid'!$L19</f>
        <v/>
      </c>
      <c r="AT19" s="29">
        <f>'Premium Grid'!AT19-'Premium Grid'!$L19</f>
        <v/>
      </c>
      <c r="AU19" s="29">
        <f>'Premium Grid'!AU19-'Premium Grid'!$L19</f>
        <v/>
      </c>
      <c r="AV19" s="29">
        <f>'Premium Grid'!AV19-'Premium Grid'!$L19</f>
        <v/>
      </c>
    </row>
    <row r="20">
      <c r="A20" s="27" t="inlineStr">
        <is>
          <t>+2.00%</t>
        </is>
      </c>
      <c r="B20" s="47">
        <f>'BS Engine'!$B$18</f>
        <v/>
      </c>
      <c r="C20" s="28">
        <f>'BS Engine'!$C$18</f>
        <v/>
      </c>
      <c r="D20" s="49">
        <f>'Premium Grid'!D20-'Premium Grid'!$L20</f>
        <v/>
      </c>
      <c r="E20" s="29">
        <f>'Premium Grid'!E20-'Premium Grid'!$L20</f>
        <v/>
      </c>
      <c r="F20" s="29">
        <f>'Premium Grid'!F20-'Premium Grid'!$L20</f>
        <v/>
      </c>
      <c r="G20" s="29">
        <f>'Premium Grid'!G20-'Premium Grid'!$L20</f>
        <v/>
      </c>
      <c r="H20" s="29">
        <f>'Premium Grid'!H20-'Premium Grid'!$L20</f>
        <v/>
      </c>
      <c r="I20" s="29">
        <f>'Premium Grid'!I20-'Premium Grid'!$L20</f>
        <v/>
      </c>
      <c r="J20" s="29">
        <f>'Premium Grid'!J20-'Premium Grid'!$L20</f>
        <v/>
      </c>
      <c r="K20" s="29">
        <f>'Premium Grid'!K20-'Premium Grid'!$L20</f>
        <v/>
      </c>
      <c r="L20" s="29">
        <f>'Premium Grid'!L20-'Premium Grid'!$L20</f>
        <v/>
      </c>
      <c r="M20" s="29">
        <f>'Premium Grid'!M20-'Premium Grid'!$L20</f>
        <v/>
      </c>
      <c r="N20" s="29">
        <f>'Premium Grid'!N20-'Premium Grid'!$L20</f>
        <v/>
      </c>
      <c r="O20" s="29">
        <f>'Premium Grid'!O20-'Premium Grid'!$L20</f>
        <v/>
      </c>
      <c r="P20" s="29">
        <f>'Premium Grid'!P20-'Premium Grid'!$L20</f>
        <v/>
      </c>
      <c r="Q20" s="29">
        <f>'Premium Grid'!Q20-'Premium Grid'!$L20</f>
        <v/>
      </c>
      <c r="R20" s="29">
        <f>'Premium Grid'!R20-'Premium Grid'!$L20</f>
        <v/>
      </c>
      <c r="S20" s="29">
        <f>'Premium Grid'!S20-'Premium Grid'!$L20</f>
        <v/>
      </c>
      <c r="T20" s="29">
        <f>'Premium Grid'!T20-'Premium Grid'!$L20</f>
        <v/>
      </c>
      <c r="U20" s="29">
        <f>'Premium Grid'!U20-'Premium Grid'!$L20</f>
        <v/>
      </c>
      <c r="V20" s="29">
        <f>'Premium Grid'!V20-'Premium Grid'!$L20</f>
        <v/>
      </c>
      <c r="W20" s="29">
        <f>'Premium Grid'!W20-'Premium Grid'!$L20</f>
        <v/>
      </c>
      <c r="X20" s="29">
        <f>'Premium Grid'!X20-'Premium Grid'!$L20</f>
        <v/>
      </c>
      <c r="Y20" s="29">
        <f>'Premium Grid'!Y20-'Premium Grid'!$L20</f>
        <v/>
      </c>
      <c r="Z20" s="29">
        <f>'Premium Grid'!Z20-'Premium Grid'!$L20</f>
        <v/>
      </c>
      <c r="AA20" s="29">
        <f>'Premium Grid'!AA20-'Premium Grid'!$L20</f>
        <v/>
      </c>
      <c r="AB20" s="29">
        <f>'Premium Grid'!AB20-'Premium Grid'!$L20</f>
        <v/>
      </c>
      <c r="AC20" s="29">
        <f>'Premium Grid'!AC20-'Premium Grid'!$L20</f>
        <v/>
      </c>
      <c r="AD20" s="29">
        <f>'Premium Grid'!AD20-'Premium Grid'!$L20</f>
        <v/>
      </c>
      <c r="AE20" s="29">
        <f>'Premium Grid'!AE20-'Premium Grid'!$L20</f>
        <v/>
      </c>
      <c r="AF20" s="29">
        <f>'Premium Grid'!AF20-'Premium Grid'!$L20</f>
        <v/>
      </c>
      <c r="AG20" s="29">
        <f>'Premium Grid'!AG20-'Premium Grid'!$L20</f>
        <v/>
      </c>
      <c r="AH20" s="29">
        <f>'Premium Grid'!AH20-'Premium Grid'!$L20</f>
        <v/>
      </c>
      <c r="AI20" s="29">
        <f>'Premium Grid'!AI20-'Premium Grid'!$L20</f>
        <v/>
      </c>
      <c r="AJ20" s="29">
        <f>'Premium Grid'!AJ20-'Premium Grid'!$L20</f>
        <v/>
      </c>
      <c r="AK20" s="29">
        <f>'Premium Grid'!AK20-'Premium Grid'!$L20</f>
        <v/>
      </c>
      <c r="AL20" s="29">
        <f>'Premium Grid'!AL20-'Premium Grid'!$L20</f>
        <v/>
      </c>
      <c r="AM20" s="29">
        <f>'Premium Grid'!AM20-'Premium Grid'!$L20</f>
        <v/>
      </c>
      <c r="AN20" s="29">
        <f>'Premium Grid'!AN20-'Premium Grid'!$L20</f>
        <v/>
      </c>
      <c r="AO20" s="29">
        <f>'Premium Grid'!AO20-'Premium Grid'!$L20</f>
        <v/>
      </c>
      <c r="AP20" s="29">
        <f>'Premium Grid'!AP20-'Premium Grid'!$L20</f>
        <v/>
      </c>
      <c r="AQ20" s="29">
        <f>'Premium Grid'!AQ20-'Premium Grid'!$L20</f>
        <v/>
      </c>
      <c r="AR20" s="29">
        <f>'Premium Grid'!AR20-'Premium Grid'!$L20</f>
        <v/>
      </c>
      <c r="AS20" s="29">
        <f>'Premium Grid'!AS20-'Premium Grid'!$L20</f>
        <v/>
      </c>
      <c r="AT20" s="29">
        <f>'Premium Grid'!AT20-'Premium Grid'!$L20</f>
        <v/>
      </c>
      <c r="AU20" s="29">
        <f>'Premium Grid'!AU20-'Premium Grid'!$L20</f>
        <v/>
      </c>
      <c r="AV20" s="29">
        <f>'Premium Grid'!AV20-'Premium Grid'!$L20</f>
        <v/>
      </c>
    </row>
    <row r="23">
      <c r="A23" s="20" t="inlineStr">
        <is>
          <t>% versus the base VIX column</t>
        </is>
      </c>
    </row>
    <row r="24">
      <c r="A24" s="1" t="inlineStr">
        <is>
          <t>Moneyness</t>
        </is>
      </c>
      <c r="B24" s="1" t="inlineStr">
        <is>
          <t>Strike</t>
        </is>
      </c>
      <c r="C24" s="1" t="inlineStr">
        <is>
          <t>Call</t>
        </is>
      </c>
      <c r="D24" s="51" t="n">
        <v>8</v>
      </c>
      <c r="E24" s="51" t="n">
        <v>8.5</v>
      </c>
      <c r="F24" s="51" t="n">
        <v>9</v>
      </c>
      <c r="G24" s="51" t="n">
        <v>9.5</v>
      </c>
      <c r="H24" s="51" t="n">
        <v>10</v>
      </c>
      <c r="I24" s="51" t="n">
        <v>10.5</v>
      </c>
      <c r="J24" s="51" t="n">
        <v>11</v>
      </c>
      <c r="K24" s="51" t="n">
        <v>11.5</v>
      </c>
      <c r="L24" s="51" t="n">
        <v>12</v>
      </c>
      <c r="M24" s="51" t="n">
        <v>12.5</v>
      </c>
      <c r="N24" s="51" t="n">
        <v>13</v>
      </c>
      <c r="O24" s="51" t="n">
        <v>13.5</v>
      </c>
      <c r="P24" s="51" t="n">
        <v>14</v>
      </c>
      <c r="Q24" s="51" t="n">
        <v>14.5</v>
      </c>
      <c r="R24" s="51" t="n">
        <v>15</v>
      </c>
      <c r="S24" s="51" t="n">
        <v>15.5</v>
      </c>
      <c r="T24" s="51" t="n">
        <v>16</v>
      </c>
      <c r="U24" s="51" t="n">
        <v>16.5</v>
      </c>
      <c r="V24" s="51" t="n">
        <v>17</v>
      </c>
      <c r="W24" s="51" t="n">
        <v>17.5</v>
      </c>
      <c r="X24" s="51" t="n">
        <v>18</v>
      </c>
      <c r="Y24" s="51" t="n">
        <v>18.5</v>
      </c>
      <c r="Z24" s="51" t="n">
        <v>19</v>
      </c>
      <c r="AA24" s="51" t="n">
        <v>19.5</v>
      </c>
      <c r="AB24" s="51" t="n">
        <v>20</v>
      </c>
      <c r="AC24" s="51" t="n">
        <v>20.5</v>
      </c>
      <c r="AD24" s="51" t="n">
        <v>21</v>
      </c>
      <c r="AE24" s="51" t="n">
        <v>21.5</v>
      </c>
      <c r="AF24" s="51" t="n">
        <v>22</v>
      </c>
      <c r="AG24" s="51" t="n">
        <v>22.5</v>
      </c>
      <c r="AH24" s="51" t="n">
        <v>23</v>
      </c>
      <c r="AI24" s="51" t="n">
        <v>23.5</v>
      </c>
      <c r="AJ24" s="51" t="n">
        <v>24</v>
      </c>
      <c r="AK24" s="51" t="n">
        <v>24.5</v>
      </c>
      <c r="AL24" s="51" t="n">
        <v>25</v>
      </c>
      <c r="AM24" s="51" t="n">
        <v>25.5</v>
      </c>
      <c r="AN24" s="51" t="n">
        <v>26</v>
      </c>
      <c r="AO24" s="51" t="n">
        <v>26.5</v>
      </c>
      <c r="AP24" s="51" t="n">
        <v>27</v>
      </c>
      <c r="AQ24" s="51" t="n">
        <v>27.5</v>
      </c>
      <c r="AR24" s="51" t="n">
        <v>28</v>
      </c>
      <c r="AS24" s="51" t="n">
        <v>28.5</v>
      </c>
      <c r="AT24" s="51" t="n">
        <v>29</v>
      </c>
      <c r="AU24" s="51" t="n">
        <v>29.5</v>
      </c>
      <c r="AV24" s="51" t="n">
        <v>30</v>
      </c>
    </row>
    <row r="25">
      <c r="A25" s="27" t="inlineStr">
        <is>
          <t>-2.00%</t>
        </is>
      </c>
      <c r="B25" s="47">
        <f>'BS Engine'!$B$2</f>
        <v/>
      </c>
      <c r="C25" s="28">
        <f>'BS Engine'!$C$2</f>
        <v/>
      </c>
      <c r="D25" s="52">
        <f>IF('Premium Grid'!$L4=0,"",'Premium Grid'!D4/'Premium Grid'!$L4-1)</f>
        <v/>
      </c>
      <c r="E25" s="53">
        <f>IF('Premium Grid'!$L4=0,"",'Premium Grid'!E4/'Premium Grid'!$L4-1)</f>
        <v/>
      </c>
      <c r="F25" s="53">
        <f>IF('Premium Grid'!$L4=0,"",'Premium Grid'!F4/'Premium Grid'!$L4-1)</f>
        <v/>
      </c>
      <c r="G25" s="53">
        <f>IF('Premium Grid'!$L4=0,"",'Premium Grid'!G4/'Premium Grid'!$L4-1)</f>
        <v/>
      </c>
      <c r="H25" s="53">
        <f>IF('Premium Grid'!$L4=0,"",'Premium Grid'!H4/'Premium Grid'!$L4-1)</f>
        <v/>
      </c>
      <c r="I25" s="53">
        <f>IF('Premium Grid'!$L4=0,"",'Premium Grid'!I4/'Premium Grid'!$L4-1)</f>
        <v/>
      </c>
      <c r="J25" s="53">
        <f>IF('Premium Grid'!$L4=0,"",'Premium Grid'!J4/'Premium Grid'!$L4-1)</f>
        <v/>
      </c>
      <c r="K25" s="53">
        <f>IF('Premium Grid'!$L4=0,"",'Premium Grid'!K4/'Premium Grid'!$L4-1)</f>
        <v/>
      </c>
      <c r="L25" s="53">
        <f>IF('Premium Grid'!$L4=0,"",'Premium Grid'!L4/'Premium Grid'!$L4-1)</f>
        <v/>
      </c>
      <c r="M25" s="53">
        <f>IF('Premium Grid'!$L4=0,"",'Premium Grid'!M4/'Premium Grid'!$L4-1)</f>
        <v/>
      </c>
      <c r="N25" s="53">
        <f>IF('Premium Grid'!$L4=0,"",'Premium Grid'!N4/'Premium Grid'!$L4-1)</f>
        <v/>
      </c>
      <c r="O25" s="53">
        <f>IF('Premium Grid'!$L4=0,"",'Premium Grid'!O4/'Premium Grid'!$L4-1)</f>
        <v/>
      </c>
      <c r="P25" s="53">
        <f>IF('Premium Grid'!$L4=0,"",'Premium Grid'!P4/'Premium Grid'!$L4-1)</f>
        <v/>
      </c>
      <c r="Q25" s="53">
        <f>IF('Premium Grid'!$L4=0,"",'Premium Grid'!Q4/'Premium Grid'!$L4-1)</f>
        <v/>
      </c>
      <c r="R25" s="53">
        <f>IF('Premium Grid'!$L4=0,"",'Premium Grid'!R4/'Premium Grid'!$L4-1)</f>
        <v/>
      </c>
      <c r="S25" s="53">
        <f>IF('Premium Grid'!$L4=0,"",'Premium Grid'!S4/'Premium Grid'!$L4-1)</f>
        <v/>
      </c>
      <c r="T25" s="53">
        <f>IF('Premium Grid'!$L4=0,"",'Premium Grid'!T4/'Premium Grid'!$L4-1)</f>
        <v/>
      </c>
      <c r="U25" s="53">
        <f>IF('Premium Grid'!$L4=0,"",'Premium Grid'!U4/'Premium Grid'!$L4-1)</f>
        <v/>
      </c>
      <c r="V25" s="53">
        <f>IF('Premium Grid'!$L4=0,"",'Premium Grid'!V4/'Premium Grid'!$L4-1)</f>
        <v/>
      </c>
      <c r="W25" s="53">
        <f>IF('Premium Grid'!$L4=0,"",'Premium Grid'!W4/'Premium Grid'!$L4-1)</f>
        <v/>
      </c>
      <c r="X25" s="53">
        <f>IF('Premium Grid'!$L4=0,"",'Premium Grid'!X4/'Premium Grid'!$L4-1)</f>
        <v/>
      </c>
      <c r="Y25" s="53">
        <f>IF('Premium Grid'!$L4=0,"",'Premium Grid'!Y4/'Premium Grid'!$L4-1)</f>
        <v/>
      </c>
      <c r="Z25" s="53">
        <f>IF('Premium Grid'!$L4=0,"",'Premium Grid'!Z4/'Premium Grid'!$L4-1)</f>
        <v/>
      </c>
      <c r="AA25" s="53">
        <f>IF('Premium Grid'!$L4=0,"",'Premium Grid'!AA4/'Premium Grid'!$L4-1)</f>
        <v/>
      </c>
      <c r="AB25" s="53">
        <f>IF('Premium Grid'!$L4=0,"",'Premium Grid'!AB4/'Premium Grid'!$L4-1)</f>
        <v/>
      </c>
      <c r="AC25" s="53">
        <f>IF('Premium Grid'!$L4=0,"",'Premium Grid'!AC4/'Premium Grid'!$L4-1)</f>
        <v/>
      </c>
      <c r="AD25" s="53">
        <f>IF('Premium Grid'!$L4=0,"",'Premium Grid'!AD4/'Premium Grid'!$L4-1)</f>
        <v/>
      </c>
      <c r="AE25" s="53">
        <f>IF('Premium Grid'!$L4=0,"",'Premium Grid'!AE4/'Premium Grid'!$L4-1)</f>
        <v/>
      </c>
      <c r="AF25" s="53">
        <f>IF('Premium Grid'!$L4=0,"",'Premium Grid'!AF4/'Premium Grid'!$L4-1)</f>
        <v/>
      </c>
      <c r="AG25" s="53">
        <f>IF('Premium Grid'!$L4=0,"",'Premium Grid'!AG4/'Premium Grid'!$L4-1)</f>
        <v/>
      </c>
      <c r="AH25" s="53">
        <f>IF('Premium Grid'!$L4=0,"",'Premium Grid'!AH4/'Premium Grid'!$L4-1)</f>
        <v/>
      </c>
      <c r="AI25" s="53">
        <f>IF('Premium Grid'!$L4=0,"",'Premium Grid'!AI4/'Premium Grid'!$L4-1)</f>
        <v/>
      </c>
      <c r="AJ25" s="53">
        <f>IF('Premium Grid'!$L4=0,"",'Premium Grid'!AJ4/'Premium Grid'!$L4-1)</f>
        <v/>
      </c>
      <c r="AK25" s="53">
        <f>IF('Premium Grid'!$L4=0,"",'Premium Grid'!AK4/'Premium Grid'!$L4-1)</f>
        <v/>
      </c>
      <c r="AL25" s="53">
        <f>IF('Premium Grid'!$L4=0,"",'Premium Grid'!AL4/'Premium Grid'!$L4-1)</f>
        <v/>
      </c>
      <c r="AM25" s="53">
        <f>IF('Premium Grid'!$L4=0,"",'Premium Grid'!AM4/'Premium Grid'!$L4-1)</f>
        <v/>
      </c>
      <c r="AN25" s="53">
        <f>IF('Premium Grid'!$L4=0,"",'Premium Grid'!AN4/'Premium Grid'!$L4-1)</f>
        <v/>
      </c>
      <c r="AO25" s="53">
        <f>IF('Premium Grid'!$L4=0,"",'Premium Grid'!AO4/'Premium Grid'!$L4-1)</f>
        <v/>
      </c>
      <c r="AP25" s="53">
        <f>IF('Premium Grid'!$L4=0,"",'Premium Grid'!AP4/'Premium Grid'!$L4-1)</f>
        <v/>
      </c>
      <c r="AQ25" s="53">
        <f>IF('Premium Grid'!$L4=0,"",'Premium Grid'!AQ4/'Premium Grid'!$L4-1)</f>
        <v/>
      </c>
      <c r="AR25" s="53">
        <f>IF('Premium Grid'!$L4=0,"",'Premium Grid'!AR4/'Premium Grid'!$L4-1)</f>
        <v/>
      </c>
      <c r="AS25" s="53">
        <f>IF('Premium Grid'!$L4=0,"",'Premium Grid'!AS4/'Premium Grid'!$L4-1)</f>
        <v/>
      </c>
      <c r="AT25" s="53">
        <f>IF('Premium Grid'!$L4=0,"",'Premium Grid'!AT4/'Premium Grid'!$L4-1)</f>
        <v/>
      </c>
      <c r="AU25" s="53">
        <f>IF('Premium Grid'!$L4=0,"",'Premium Grid'!AU4/'Premium Grid'!$L4-1)</f>
        <v/>
      </c>
      <c r="AV25" s="53">
        <f>IF('Premium Grid'!$L4=0,"",'Premium Grid'!AV4/'Premium Grid'!$L4-1)</f>
        <v/>
      </c>
    </row>
    <row r="26">
      <c r="A26" s="27" t="inlineStr">
        <is>
          <t>-1.75%</t>
        </is>
      </c>
      <c r="B26" s="47">
        <f>'BS Engine'!$B$3</f>
        <v/>
      </c>
      <c r="C26" s="28">
        <f>'BS Engine'!$C$3</f>
        <v/>
      </c>
      <c r="D26" s="52">
        <f>IF('Premium Grid'!$L5=0,"",'Premium Grid'!D5/'Premium Grid'!$L5-1)</f>
        <v/>
      </c>
      <c r="E26" s="53">
        <f>IF('Premium Grid'!$L5=0,"",'Premium Grid'!E5/'Premium Grid'!$L5-1)</f>
        <v/>
      </c>
      <c r="F26" s="53">
        <f>IF('Premium Grid'!$L5=0,"",'Premium Grid'!F5/'Premium Grid'!$L5-1)</f>
        <v/>
      </c>
      <c r="G26" s="53">
        <f>IF('Premium Grid'!$L5=0,"",'Premium Grid'!G5/'Premium Grid'!$L5-1)</f>
        <v/>
      </c>
      <c r="H26" s="53">
        <f>IF('Premium Grid'!$L5=0,"",'Premium Grid'!H5/'Premium Grid'!$L5-1)</f>
        <v/>
      </c>
      <c r="I26" s="53">
        <f>IF('Premium Grid'!$L5=0,"",'Premium Grid'!I5/'Premium Grid'!$L5-1)</f>
        <v/>
      </c>
      <c r="J26" s="53">
        <f>IF('Premium Grid'!$L5=0,"",'Premium Grid'!J5/'Premium Grid'!$L5-1)</f>
        <v/>
      </c>
      <c r="K26" s="53">
        <f>IF('Premium Grid'!$L5=0,"",'Premium Grid'!K5/'Premium Grid'!$L5-1)</f>
        <v/>
      </c>
      <c r="L26" s="53">
        <f>IF('Premium Grid'!$L5=0,"",'Premium Grid'!L5/'Premium Grid'!$L5-1)</f>
        <v/>
      </c>
      <c r="M26" s="53">
        <f>IF('Premium Grid'!$L5=0,"",'Premium Grid'!M5/'Premium Grid'!$L5-1)</f>
        <v/>
      </c>
      <c r="N26" s="53">
        <f>IF('Premium Grid'!$L5=0,"",'Premium Grid'!N5/'Premium Grid'!$L5-1)</f>
        <v/>
      </c>
      <c r="O26" s="53">
        <f>IF('Premium Grid'!$L5=0,"",'Premium Grid'!O5/'Premium Grid'!$L5-1)</f>
        <v/>
      </c>
      <c r="P26" s="53">
        <f>IF('Premium Grid'!$L5=0,"",'Premium Grid'!P5/'Premium Grid'!$L5-1)</f>
        <v/>
      </c>
      <c r="Q26" s="53">
        <f>IF('Premium Grid'!$L5=0,"",'Premium Grid'!Q5/'Premium Grid'!$L5-1)</f>
        <v/>
      </c>
      <c r="R26" s="53">
        <f>IF('Premium Grid'!$L5=0,"",'Premium Grid'!R5/'Premium Grid'!$L5-1)</f>
        <v/>
      </c>
      <c r="S26" s="53">
        <f>IF('Premium Grid'!$L5=0,"",'Premium Grid'!S5/'Premium Grid'!$L5-1)</f>
        <v/>
      </c>
      <c r="T26" s="53">
        <f>IF('Premium Grid'!$L5=0,"",'Premium Grid'!T5/'Premium Grid'!$L5-1)</f>
        <v/>
      </c>
      <c r="U26" s="53">
        <f>IF('Premium Grid'!$L5=0,"",'Premium Grid'!U5/'Premium Grid'!$L5-1)</f>
        <v/>
      </c>
      <c r="V26" s="53">
        <f>IF('Premium Grid'!$L5=0,"",'Premium Grid'!V5/'Premium Grid'!$L5-1)</f>
        <v/>
      </c>
      <c r="W26" s="53">
        <f>IF('Premium Grid'!$L5=0,"",'Premium Grid'!W5/'Premium Grid'!$L5-1)</f>
        <v/>
      </c>
      <c r="X26" s="53">
        <f>IF('Premium Grid'!$L5=0,"",'Premium Grid'!X5/'Premium Grid'!$L5-1)</f>
        <v/>
      </c>
      <c r="Y26" s="53">
        <f>IF('Premium Grid'!$L5=0,"",'Premium Grid'!Y5/'Premium Grid'!$L5-1)</f>
        <v/>
      </c>
      <c r="Z26" s="53">
        <f>IF('Premium Grid'!$L5=0,"",'Premium Grid'!Z5/'Premium Grid'!$L5-1)</f>
        <v/>
      </c>
      <c r="AA26" s="53">
        <f>IF('Premium Grid'!$L5=0,"",'Premium Grid'!AA5/'Premium Grid'!$L5-1)</f>
        <v/>
      </c>
      <c r="AB26" s="53">
        <f>IF('Premium Grid'!$L5=0,"",'Premium Grid'!AB5/'Premium Grid'!$L5-1)</f>
        <v/>
      </c>
      <c r="AC26" s="53">
        <f>IF('Premium Grid'!$L5=0,"",'Premium Grid'!AC5/'Premium Grid'!$L5-1)</f>
        <v/>
      </c>
      <c r="AD26" s="53">
        <f>IF('Premium Grid'!$L5=0,"",'Premium Grid'!AD5/'Premium Grid'!$L5-1)</f>
        <v/>
      </c>
      <c r="AE26" s="53">
        <f>IF('Premium Grid'!$L5=0,"",'Premium Grid'!AE5/'Premium Grid'!$L5-1)</f>
        <v/>
      </c>
      <c r="AF26" s="53">
        <f>IF('Premium Grid'!$L5=0,"",'Premium Grid'!AF5/'Premium Grid'!$L5-1)</f>
        <v/>
      </c>
      <c r="AG26" s="53">
        <f>IF('Premium Grid'!$L5=0,"",'Premium Grid'!AG5/'Premium Grid'!$L5-1)</f>
        <v/>
      </c>
      <c r="AH26" s="53">
        <f>IF('Premium Grid'!$L5=0,"",'Premium Grid'!AH5/'Premium Grid'!$L5-1)</f>
        <v/>
      </c>
      <c r="AI26" s="53">
        <f>IF('Premium Grid'!$L5=0,"",'Premium Grid'!AI5/'Premium Grid'!$L5-1)</f>
        <v/>
      </c>
      <c r="AJ26" s="53">
        <f>IF('Premium Grid'!$L5=0,"",'Premium Grid'!AJ5/'Premium Grid'!$L5-1)</f>
        <v/>
      </c>
      <c r="AK26" s="53">
        <f>IF('Premium Grid'!$L5=0,"",'Premium Grid'!AK5/'Premium Grid'!$L5-1)</f>
        <v/>
      </c>
      <c r="AL26" s="53">
        <f>IF('Premium Grid'!$L5=0,"",'Premium Grid'!AL5/'Premium Grid'!$L5-1)</f>
        <v/>
      </c>
      <c r="AM26" s="53">
        <f>IF('Premium Grid'!$L5=0,"",'Premium Grid'!AM5/'Premium Grid'!$L5-1)</f>
        <v/>
      </c>
      <c r="AN26" s="53">
        <f>IF('Premium Grid'!$L5=0,"",'Premium Grid'!AN5/'Premium Grid'!$L5-1)</f>
        <v/>
      </c>
      <c r="AO26" s="53">
        <f>IF('Premium Grid'!$L5=0,"",'Premium Grid'!AO5/'Premium Grid'!$L5-1)</f>
        <v/>
      </c>
      <c r="AP26" s="53">
        <f>IF('Premium Grid'!$L5=0,"",'Premium Grid'!AP5/'Premium Grid'!$L5-1)</f>
        <v/>
      </c>
      <c r="AQ26" s="53">
        <f>IF('Premium Grid'!$L5=0,"",'Premium Grid'!AQ5/'Premium Grid'!$L5-1)</f>
        <v/>
      </c>
      <c r="AR26" s="53">
        <f>IF('Premium Grid'!$L5=0,"",'Premium Grid'!AR5/'Premium Grid'!$L5-1)</f>
        <v/>
      </c>
      <c r="AS26" s="53">
        <f>IF('Premium Grid'!$L5=0,"",'Premium Grid'!AS5/'Premium Grid'!$L5-1)</f>
        <v/>
      </c>
      <c r="AT26" s="53">
        <f>IF('Premium Grid'!$L5=0,"",'Premium Grid'!AT5/'Premium Grid'!$L5-1)</f>
        <v/>
      </c>
      <c r="AU26" s="53">
        <f>IF('Premium Grid'!$L5=0,"",'Premium Grid'!AU5/'Premium Grid'!$L5-1)</f>
        <v/>
      </c>
      <c r="AV26" s="53">
        <f>IF('Premium Grid'!$L5=0,"",'Premium Grid'!AV5/'Premium Grid'!$L5-1)</f>
        <v/>
      </c>
    </row>
    <row r="27">
      <c r="A27" s="27" t="inlineStr">
        <is>
          <t>-1.50%</t>
        </is>
      </c>
      <c r="B27" s="47">
        <f>'BS Engine'!$B$4</f>
        <v/>
      </c>
      <c r="C27" s="28">
        <f>'BS Engine'!$C$4</f>
        <v/>
      </c>
      <c r="D27" s="52">
        <f>IF('Premium Grid'!$L6=0,"",'Premium Grid'!D6/'Premium Grid'!$L6-1)</f>
        <v/>
      </c>
      <c r="E27" s="53">
        <f>IF('Premium Grid'!$L6=0,"",'Premium Grid'!E6/'Premium Grid'!$L6-1)</f>
        <v/>
      </c>
      <c r="F27" s="53">
        <f>IF('Premium Grid'!$L6=0,"",'Premium Grid'!F6/'Premium Grid'!$L6-1)</f>
        <v/>
      </c>
      <c r="G27" s="53">
        <f>IF('Premium Grid'!$L6=0,"",'Premium Grid'!G6/'Premium Grid'!$L6-1)</f>
        <v/>
      </c>
      <c r="H27" s="53">
        <f>IF('Premium Grid'!$L6=0,"",'Premium Grid'!H6/'Premium Grid'!$L6-1)</f>
        <v/>
      </c>
      <c r="I27" s="53">
        <f>IF('Premium Grid'!$L6=0,"",'Premium Grid'!I6/'Premium Grid'!$L6-1)</f>
        <v/>
      </c>
      <c r="J27" s="53">
        <f>IF('Premium Grid'!$L6=0,"",'Premium Grid'!J6/'Premium Grid'!$L6-1)</f>
        <v/>
      </c>
      <c r="K27" s="53">
        <f>IF('Premium Grid'!$L6=0,"",'Premium Grid'!K6/'Premium Grid'!$L6-1)</f>
        <v/>
      </c>
      <c r="L27" s="53">
        <f>IF('Premium Grid'!$L6=0,"",'Premium Grid'!L6/'Premium Grid'!$L6-1)</f>
        <v/>
      </c>
      <c r="M27" s="53">
        <f>IF('Premium Grid'!$L6=0,"",'Premium Grid'!M6/'Premium Grid'!$L6-1)</f>
        <v/>
      </c>
      <c r="N27" s="53">
        <f>IF('Premium Grid'!$L6=0,"",'Premium Grid'!N6/'Premium Grid'!$L6-1)</f>
        <v/>
      </c>
      <c r="O27" s="53">
        <f>IF('Premium Grid'!$L6=0,"",'Premium Grid'!O6/'Premium Grid'!$L6-1)</f>
        <v/>
      </c>
      <c r="P27" s="53">
        <f>IF('Premium Grid'!$L6=0,"",'Premium Grid'!P6/'Premium Grid'!$L6-1)</f>
        <v/>
      </c>
      <c r="Q27" s="53">
        <f>IF('Premium Grid'!$L6=0,"",'Premium Grid'!Q6/'Premium Grid'!$L6-1)</f>
        <v/>
      </c>
      <c r="R27" s="53">
        <f>IF('Premium Grid'!$L6=0,"",'Premium Grid'!R6/'Premium Grid'!$L6-1)</f>
        <v/>
      </c>
      <c r="S27" s="53">
        <f>IF('Premium Grid'!$L6=0,"",'Premium Grid'!S6/'Premium Grid'!$L6-1)</f>
        <v/>
      </c>
      <c r="T27" s="53">
        <f>IF('Premium Grid'!$L6=0,"",'Premium Grid'!T6/'Premium Grid'!$L6-1)</f>
        <v/>
      </c>
      <c r="U27" s="53">
        <f>IF('Premium Grid'!$L6=0,"",'Premium Grid'!U6/'Premium Grid'!$L6-1)</f>
        <v/>
      </c>
      <c r="V27" s="53">
        <f>IF('Premium Grid'!$L6=0,"",'Premium Grid'!V6/'Premium Grid'!$L6-1)</f>
        <v/>
      </c>
      <c r="W27" s="53">
        <f>IF('Premium Grid'!$L6=0,"",'Premium Grid'!W6/'Premium Grid'!$L6-1)</f>
        <v/>
      </c>
      <c r="X27" s="53">
        <f>IF('Premium Grid'!$L6=0,"",'Premium Grid'!X6/'Premium Grid'!$L6-1)</f>
        <v/>
      </c>
      <c r="Y27" s="53">
        <f>IF('Premium Grid'!$L6=0,"",'Premium Grid'!Y6/'Premium Grid'!$L6-1)</f>
        <v/>
      </c>
      <c r="Z27" s="53">
        <f>IF('Premium Grid'!$L6=0,"",'Premium Grid'!Z6/'Premium Grid'!$L6-1)</f>
        <v/>
      </c>
      <c r="AA27" s="53">
        <f>IF('Premium Grid'!$L6=0,"",'Premium Grid'!AA6/'Premium Grid'!$L6-1)</f>
        <v/>
      </c>
      <c r="AB27" s="53">
        <f>IF('Premium Grid'!$L6=0,"",'Premium Grid'!AB6/'Premium Grid'!$L6-1)</f>
        <v/>
      </c>
      <c r="AC27" s="53">
        <f>IF('Premium Grid'!$L6=0,"",'Premium Grid'!AC6/'Premium Grid'!$L6-1)</f>
        <v/>
      </c>
      <c r="AD27" s="53">
        <f>IF('Premium Grid'!$L6=0,"",'Premium Grid'!AD6/'Premium Grid'!$L6-1)</f>
        <v/>
      </c>
      <c r="AE27" s="53">
        <f>IF('Premium Grid'!$L6=0,"",'Premium Grid'!AE6/'Premium Grid'!$L6-1)</f>
        <v/>
      </c>
      <c r="AF27" s="53">
        <f>IF('Premium Grid'!$L6=0,"",'Premium Grid'!AF6/'Premium Grid'!$L6-1)</f>
        <v/>
      </c>
      <c r="AG27" s="53">
        <f>IF('Premium Grid'!$L6=0,"",'Premium Grid'!AG6/'Premium Grid'!$L6-1)</f>
        <v/>
      </c>
      <c r="AH27" s="53">
        <f>IF('Premium Grid'!$L6=0,"",'Premium Grid'!AH6/'Premium Grid'!$L6-1)</f>
        <v/>
      </c>
      <c r="AI27" s="53">
        <f>IF('Premium Grid'!$L6=0,"",'Premium Grid'!AI6/'Premium Grid'!$L6-1)</f>
        <v/>
      </c>
      <c r="AJ27" s="53">
        <f>IF('Premium Grid'!$L6=0,"",'Premium Grid'!AJ6/'Premium Grid'!$L6-1)</f>
        <v/>
      </c>
      <c r="AK27" s="53">
        <f>IF('Premium Grid'!$L6=0,"",'Premium Grid'!AK6/'Premium Grid'!$L6-1)</f>
        <v/>
      </c>
      <c r="AL27" s="53">
        <f>IF('Premium Grid'!$L6=0,"",'Premium Grid'!AL6/'Premium Grid'!$L6-1)</f>
        <v/>
      </c>
      <c r="AM27" s="53">
        <f>IF('Premium Grid'!$L6=0,"",'Premium Grid'!AM6/'Premium Grid'!$L6-1)</f>
        <v/>
      </c>
      <c r="AN27" s="53">
        <f>IF('Premium Grid'!$L6=0,"",'Premium Grid'!AN6/'Premium Grid'!$L6-1)</f>
        <v/>
      </c>
      <c r="AO27" s="53">
        <f>IF('Premium Grid'!$L6=0,"",'Premium Grid'!AO6/'Premium Grid'!$L6-1)</f>
        <v/>
      </c>
      <c r="AP27" s="53">
        <f>IF('Premium Grid'!$L6=0,"",'Premium Grid'!AP6/'Premium Grid'!$L6-1)</f>
        <v/>
      </c>
      <c r="AQ27" s="53">
        <f>IF('Premium Grid'!$L6=0,"",'Premium Grid'!AQ6/'Premium Grid'!$L6-1)</f>
        <v/>
      </c>
      <c r="AR27" s="53">
        <f>IF('Premium Grid'!$L6=0,"",'Premium Grid'!AR6/'Premium Grid'!$L6-1)</f>
        <v/>
      </c>
      <c r="AS27" s="53">
        <f>IF('Premium Grid'!$L6=0,"",'Premium Grid'!AS6/'Premium Grid'!$L6-1)</f>
        <v/>
      </c>
      <c r="AT27" s="53">
        <f>IF('Premium Grid'!$L6=0,"",'Premium Grid'!AT6/'Premium Grid'!$L6-1)</f>
        <v/>
      </c>
      <c r="AU27" s="53">
        <f>IF('Premium Grid'!$L6=0,"",'Premium Grid'!AU6/'Premium Grid'!$L6-1)</f>
        <v/>
      </c>
      <c r="AV27" s="53">
        <f>IF('Premium Grid'!$L6=0,"",'Premium Grid'!AV6/'Premium Grid'!$L6-1)</f>
        <v/>
      </c>
    </row>
    <row r="28">
      <c r="A28" s="27" t="inlineStr">
        <is>
          <t>-1.25%</t>
        </is>
      </c>
      <c r="B28" s="47">
        <f>'BS Engine'!$B$5</f>
        <v/>
      </c>
      <c r="C28" s="28">
        <f>'BS Engine'!$C$5</f>
        <v/>
      </c>
      <c r="D28" s="52">
        <f>IF('Premium Grid'!$L7=0,"",'Premium Grid'!D7/'Premium Grid'!$L7-1)</f>
        <v/>
      </c>
      <c r="E28" s="53">
        <f>IF('Premium Grid'!$L7=0,"",'Premium Grid'!E7/'Premium Grid'!$L7-1)</f>
        <v/>
      </c>
      <c r="F28" s="53">
        <f>IF('Premium Grid'!$L7=0,"",'Premium Grid'!F7/'Premium Grid'!$L7-1)</f>
        <v/>
      </c>
      <c r="G28" s="53">
        <f>IF('Premium Grid'!$L7=0,"",'Premium Grid'!G7/'Premium Grid'!$L7-1)</f>
        <v/>
      </c>
      <c r="H28" s="53">
        <f>IF('Premium Grid'!$L7=0,"",'Premium Grid'!H7/'Premium Grid'!$L7-1)</f>
        <v/>
      </c>
      <c r="I28" s="53">
        <f>IF('Premium Grid'!$L7=0,"",'Premium Grid'!I7/'Premium Grid'!$L7-1)</f>
        <v/>
      </c>
      <c r="J28" s="53">
        <f>IF('Premium Grid'!$L7=0,"",'Premium Grid'!J7/'Premium Grid'!$L7-1)</f>
        <v/>
      </c>
      <c r="K28" s="53">
        <f>IF('Premium Grid'!$L7=0,"",'Premium Grid'!K7/'Premium Grid'!$L7-1)</f>
        <v/>
      </c>
      <c r="L28" s="53">
        <f>IF('Premium Grid'!$L7=0,"",'Premium Grid'!L7/'Premium Grid'!$L7-1)</f>
        <v/>
      </c>
      <c r="M28" s="53">
        <f>IF('Premium Grid'!$L7=0,"",'Premium Grid'!M7/'Premium Grid'!$L7-1)</f>
        <v/>
      </c>
      <c r="N28" s="53">
        <f>IF('Premium Grid'!$L7=0,"",'Premium Grid'!N7/'Premium Grid'!$L7-1)</f>
        <v/>
      </c>
      <c r="O28" s="53">
        <f>IF('Premium Grid'!$L7=0,"",'Premium Grid'!O7/'Premium Grid'!$L7-1)</f>
        <v/>
      </c>
      <c r="P28" s="53">
        <f>IF('Premium Grid'!$L7=0,"",'Premium Grid'!P7/'Premium Grid'!$L7-1)</f>
        <v/>
      </c>
      <c r="Q28" s="53">
        <f>IF('Premium Grid'!$L7=0,"",'Premium Grid'!Q7/'Premium Grid'!$L7-1)</f>
        <v/>
      </c>
      <c r="R28" s="53">
        <f>IF('Premium Grid'!$L7=0,"",'Premium Grid'!R7/'Premium Grid'!$L7-1)</f>
        <v/>
      </c>
      <c r="S28" s="53">
        <f>IF('Premium Grid'!$L7=0,"",'Premium Grid'!S7/'Premium Grid'!$L7-1)</f>
        <v/>
      </c>
      <c r="T28" s="53">
        <f>IF('Premium Grid'!$L7=0,"",'Premium Grid'!T7/'Premium Grid'!$L7-1)</f>
        <v/>
      </c>
      <c r="U28" s="53">
        <f>IF('Premium Grid'!$L7=0,"",'Premium Grid'!U7/'Premium Grid'!$L7-1)</f>
        <v/>
      </c>
      <c r="V28" s="53">
        <f>IF('Premium Grid'!$L7=0,"",'Premium Grid'!V7/'Premium Grid'!$L7-1)</f>
        <v/>
      </c>
      <c r="W28" s="53">
        <f>IF('Premium Grid'!$L7=0,"",'Premium Grid'!W7/'Premium Grid'!$L7-1)</f>
        <v/>
      </c>
      <c r="X28" s="53">
        <f>IF('Premium Grid'!$L7=0,"",'Premium Grid'!X7/'Premium Grid'!$L7-1)</f>
        <v/>
      </c>
      <c r="Y28" s="53">
        <f>IF('Premium Grid'!$L7=0,"",'Premium Grid'!Y7/'Premium Grid'!$L7-1)</f>
        <v/>
      </c>
      <c r="Z28" s="53">
        <f>IF('Premium Grid'!$L7=0,"",'Premium Grid'!Z7/'Premium Grid'!$L7-1)</f>
        <v/>
      </c>
      <c r="AA28" s="53">
        <f>IF('Premium Grid'!$L7=0,"",'Premium Grid'!AA7/'Premium Grid'!$L7-1)</f>
        <v/>
      </c>
      <c r="AB28" s="53">
        <f>IF('Premium Grid'!$L7=0,"",'Premium Grid'!AB7/'Premium Grid'!$L7-1)</f>
        <v/>
      </c>
      <c r="AC28" s="53">
        <f>IF('Premium Grid'!$L7=0,"",'Premium Grid'!AC7/'Premium Grid'!$L7-1)</f>
        <v/>
      </c>
      <c r="AD28" s="53">
        <f>IF('Premium Grid'!$L7=0,"",'Premium Grid'!AD7/'Premium Grid'!$L7-1)</f>
        <v/>
      </c>
      <c r="AE28" s="53">
        <f>IF('Premium Grid'!$L7=0,"",'Premium Grid'!AE7/'Premium Grid'!$L7-1)</f>
        <v/>
      </c>
      <c r="AF28" s="53">
        <f>IF('Premium Grid'!$L7=0,"",'Premium Grid'!AF7/'Premium Grid'!$L7-1)</f>
        <v/>
      </c>
      <c r="AG28" s="53">
        <f>IF('Premium Grid'!$L7=0,"",'Premium Grid'!AG7/'Premium Grid'!$L7-1)</f>
        <v/>
      </c>
      <c r="AH28" s="53">
        <f>IF('Premium Grid'!$L7=0,"",'Premium Grid'!AH7/'Premium Grid'!$L7-1)</f>
        <v/>
      </c>
      <c r="AI28" s="53">
        <f>IF('Premium Grid'!$L7=0,"",'Premium Grid'!AI7/'Premium Grid'!$L7-1)</f>
        <v/>
      </c>
      <c r="AJ28" s="53">
        <f>IF('Premium Grid'!$L7=0,"",'Premium Grid'!AJ7/'Premium Grid'!$L7-1)</f>
        <v/>
      </c>
      <c r="AK28" s="53">
        <f>IF('Premium Grid'!$L7=0,"",'Premium Grid'!AK7/'Premium Grid'!$L7-1)</f>
        <v/>
      </c>
      <c r="AL28" s="53">
        <f>IF('Premium Grid'!$L7=0,"",'Premium Grid'!AL7/'Premium Grid'!$L7-1)</f>
        <v/>
      </c>
      <c r="AM28" s="53">
        <f>IF('Premium Grid'!$L7=0,"",'Premium Grid'!AM7/'Premium Grid'!$L7-1)</f>
        <v/>
      </c>
      <c r="AN28" s="53">
        <f>IF('Premium Grid'!$L7=0,"",'Premium Grid'!AN7/'Premium Grid'!$L7-1)</f>
        <v/>
      </c>
      <c r="AO28" s="53">
        <f>IF('Premium Grid'!$L7=0,"",'Premium Grid'!AO7/'Premium Grid'!$L7-1)</f>
        <v/>
      </c>
      <c r="AP28" s="53">
        <f>IF('Premium Grid'!$L7=0,"",'Premium Grid'!AP7/'Premium Grid'!$L7-1)</f>
        <v/>
      </c>
      <c r="AQ28" s="53">
        <f>IF('Premium Grid'!$L7=0,"",'Premium Grid'!AQ7/'Premium Grid'!$L7-1)</f>
        <v/>
      </c>
      <c r="AR28" s="53">
        <f>IF('Premium Grid'!$L7=0,"",'Premium Grid'!AR7/'Premium Grid'!$L7-1)</f>
        <v/>
      </c>
      <c r="AS28" s="53">
        <f>IF('Premium Grid'!$L7=0,"",'Premium Grid'!AS7/'Premium Grid'!$L7-1)</f>
        <v/>
      </c>
      <c r="AT28" s="53">
        <f>IF('Premium Grid'!$L7=0,"",'Premium Grid'!AT7/'Premium Grid'!$L7-1)</f>
        <v/>
      </c>
      <c r="AU28" s="53">
        <f>IF('Premium Grid'!$L7=0,"",'Premium Grid'!AU7/'Premium Grid'!$L7-1)</f>
        <v/>
      </c>
      <c r="AV28" s="53">
        <f>IF('Premium Grid'!$L7=0,"",'Premium Grid'!AV7/'Premium Grid'!$L7-1)</f>
        <v/>
      </c>
    </row>
    <row r="29">
      <c r="A29" s="27" t="inlineStr">
        <is>
          <t>-1.00%</t>
        </is>
      </c>
      <c r="B29" s="47">
        <f>'BS Engine'!$B$6</f>
        <v/>
      </c>
      <c r="C29" s="28">
        <f>'BS Engine'!$C$6</f>
        <v/>
      </c>
      <c r="D29" s="52">
        <f>IF('Premium Grid'!$L8=0,"",'Premium Grid'!D8/'Premium Grid'!$L8-1)</f>
        <v/>
      </c>
      <c r="E29" s="53">
        <f>IF('Premium Grid'!$L8=0,"",'Premium Grid'!E8/'Premium Grid'!$L8-1)</f>
        <v/>
      </c>
      <c r="F29" s="53">
        <f>IF('Premium Grid'!$L8=0,"",'Premium Grid'!F8/'Premium Grid'!$L8-1)</f>
        <v/>
      </c>
      <c r="G29" s="53">
        <f>IF('Premium Grid'!$L8=0,"",'Premium Grid'!G8/'Premium Grid'!$L8-1)</f>
        <v/>
      </c>
      <c r="H29" s="53">
        <f>IF('Premium Grid'!$L8=0,"",'Premium Grid'!H8/'Premium Grid'!$L8-1)</f>
        <v/>
      </c>
      <c r="I29" s="53">
        <f>IF('Premium Grid'!$L8=0,"",'Premium Grid'!I8/'Premium Grid'!$L8-1)</f>
        <v/>
      </c>
      <c r="J29" s="53">
        <f>IF('Premium Grid'!$L8=0,"",'Premium Grid'!J8/'Premium Grid'!$L8-1)</f>
        <v/>
      </c>
      <c r="K29" s="53">
        <f>IF('Premium Grid'!$L8=0,"",'Premium Grid'!K8/'Premium Grid'!$L8-1)</f>
        <v/>
      </c>
      <c r="L29" s="53">
        <f>IF('Premium Grid'!$L8=0,"",'Premium Grid'!L8/'Premium Grid'!$L8-1)</f>
        <v/>
      </c>
      <c r="M29" s="53">
        <f>IF('Premium Grid'!$L8=0,"",'Premium Grid'!M8/'Premium Grid'!$L8-1)</f>
        <v/>
      </c>
      <c r="N29" s="53">
        <f>IF('Premium Grid'!$L8=0,"",'Premium Grid'!N8/'Premium Grid'!$L8-1)</f>
        <v/>
      </c>
      <c r="O29" s="53">
        <f>IF('Premium Grid'!$L8=0,"",'Premium Grid'!O8/'Premium Grid'!$L8-1)</f>
        <v/>
      </c>
      <c r="P29" s="53">
        <f>IF('Premium Grid'!$L8=0,"",'Premium Grid'!P8/'Premium Grid'!$L8-1)</f>
        <v/>
      </c>
      <c r="Q29" s="53">
        <f>IF('Premium Grid'!$L8=0,"",'Premium Grid'!Q8/'Premium Grid'!$L8-1)</f>
        <v/>
      </c>
      <c r="R29" s="53">
        <f>IF('Premium Grid'!$L8=0,"",'Premium Grid'!R8/'Premium Grid'!$L8-1)</f>
        <v/>
      </c>
      <c r="S29" s="53">
        <f>IF('Premium Grid'!$L8=0,"",'Premium Grid'!S8/'Premium Grid'!$L8-1)</f>
        <v/>
      </c>
      <c r="T29" s="53">
        <f>IF('Premium Grid'!$L8=0,"",'Premium Grid'!T8/'Premium Grid'!$L8-1)</f>
        <v/>
      </c>
      <c r="U29" s="53">
        <f>IF('Premium Grid'!$L8=0,"",'Premium Grid'!U8/'Premium Grid'!$L8-1)</f>
        <v/>
      </c>
      <c r="V29" s="53">
        <f>IF('Premium Grid'!$L8=0,"",'Premium Grid'!V8/'Premium Grid'!$L8-1)</f>
        <v/>
      </c>
      <c r="W29" s="53">
        <f>IF('Premium Grid'!$L8=0,"",'Premium Grid'!W8/'Premium Grid'!$L8-1)</f>
        <v/>
      </c>
      <c r="X29" s="53">
        <f>IF('Premium Grid'!$L8=0,"",'Premium Grid'!X8/'Premium Grid'!$L8-1)</f>
        <v/>
      </c>
      <c r="Y29" s="53">
        <f>IF('Premium Grid'!$L8=0,"",'Premium Grid'!Y8/'Premium Grid'!$L8-1)</f>
        <v/>
      </c>
      <c r="Z29" s="53">
        <f>IF('Premium Grid'!$L8=0,"",'Premium Grid'!Z8/'Premium Grid'!$L8-1)</f>
        <v/>
      </c>
      <c r="AA29" s="53">
        <f>IF('Premium Grid'!$L8=0,"",'Premium Grid'!AA8/'Premium Grid'!$L8-1)</f>
        <v/>
      </c>
      <c r="AB29" s="53">
        <f>IF('Premium Grid'!$L8=0,"",'Premium Grid'!AB8/'Premium Grid'!$L8-1)</f>
        <v/>
      </c>
      <c r="AC29" s="53">
        <f>IF('Premium Grid'!$L8=0,"",'Premium Grid'!AC8/'Premium Grid'!$L8-1)</f>
        <v/>
      </c>
      <c r="AD29" s="53">
        <f>IF('Premium Grid'!$L8=0,"",'Premium Grid'!AD8/'Premium Grid'!$L8-1)</f>
        <v/>
      </c>
      <c r="AE29" s="53">
        <f>IF('Premium Grid'!$L8=0,"",'Premium Grid'!AE8/'Premium Grid'!$L8-1)</f>
        <v/>
      </c>
      <c r="AF29" s="53">
        <f>IF('Premium Grid'!$L8=0,"",'Premium Grid'!AF8/'Premium Grid'!$L8-1)</f>
        <v/>
      </c>
      <c r="AG29" s="53">
        <f>IF('Premium Grid'!$L8=0,"",'Premium Grid'!AG8/'Premium Grid'!$L8-1)</f>
        <v/>
      </c>
      <c r="AH29" s="53">
        <f>IF('Premium Grid'!$L8=0,"",'Premium Grid'!AH8/'Premium Grid'!$L8-1)</f>
        <v/>
      </c>
      <c r="AI29" s="53">
        <f>IF('Premium Grid'!$L8=0,"",'Premium Grid'!AI8/'Premium Grid'!$L8-1)</f>
        <v/>
      </c>
      <c r="AJ29" s="53">
        <f>IF('Premium Grid'!$L8=0,"",'Premium Grid'!AJ8/'Premium Grid'!$L8-1)</f>
        <v/>
      </c>
      <c r="AK29" s="53">
        <f>IF('Premium Grid'!$L8=0,"",'Premium Grid'!AK8/'Premium Grid'!$L8-1)</f>
        <v/>
      </c>
      <c r="AL29" s="53">
        <f>IF('Premium Grid'!$L8=0,"",'Premium Grid'!AL8/'Premium Grid'!$L8-1)</f>
        <v/>
      </c>
      <c r="AM29" s="53">
        <f>IF('Premium Grid'!$L8=0,"",'Premium Grid'!AM8/'Premium Grid'!$L8-1)</f>
        <v/>
      </c>
      <c r="AN29" s="53">
        <f>IF('Premium Grid'!$L8=0,"",'Premium Grid'!AN8/'Premium Grid'!$L8-1)</f>
        <v/>
      </c>
      <c r="AO29" s="53">
        <f>IF('Premium Grid'!$L8=0,"",'Premium Grid'!AO8/'Premium Grid'!$L8-1)</f>
        <v/>
      </c>
      <c r="AP29" s="53">
        <f>IF('Premium Grid'!$L8=0,"",'Premium Grid'!AP8/'Premium Grid'!$L8-1)</f>
        <v/>
      </c>
      <c r="AQ29" s="53">
        <f>IF('Premium Grid'!$L8=0,"",'Premium Grid'!AQ8/'Premium Grid'!$L8-1)</f>
        <v/>
      </c>
      <c r="AR29" s="53">
        <f>IF('Premium Grid'!$L8=0,"",'Premium Grid'!AR8/'Premium Grid'!$L8-1)</f>
        <v/>
      </c>
      <c r="AS29" s="53">
        <f>IF('Premium Grid'!$L8=0,"",'Premium Grid'!AS8/'Premium Grid'!$L8-1)</f>
        <v/>
      </c>
      <c r="AT29" s="53">
        <f>IF('Premium Grid'!$L8=0,"",'Premium Grid'!AT8/'Premium Grid'!$L8-1)</f>
        <v/>
      </c>
      <c r="AU29" s="53">
        <f>IF('Premium Grid'!$L8=0,"",'Premium Grid'!AU8/'Premium Grid'!$L8-1)</f>
        <v/>
      </c>
      <c r="AV29" s="53">
        <f>IF('Premium Grid'!$L8=0,"",'Premium Grid'!AV8/'Premium Grid'!$L8-1)</f>
        <v/>
      </c>
    </row>
    <row r="30">
      <c r="A30" s="27" t="inlineStr">
        <is>
          <t>-0.75%</t>
        </is>
      </c>
      <c r="B30" s="47">
        <f>'BS Engine'!$B$7</f>
        <v/>
      </c>
      <c r="C30" s="28">
        <f>'BS Engine'!$C$7</f>
        <v/>
      </c>
      <c r="D30" s="52">
        <f>IF('Premium Grid'!$L9=0,"",'Premium Grid'!D9/'Premium Grid'!$L9-1)</f>
        <v/>
      </c>
      <c r="E30" s="53">
        <f>IF('Premium Grid'!$L9=0,"",'Premium Grid'!E9/'Premium Grid'!$L9-1)</f>
        <v/>
      </c>
      <c r="F30" s="53">
        <f>IF('Premium Grid'!$L9=0,"",'Premium Grid'!F9/'Premium Grid'!$L9-1)</f>
        <v/>
      </c>
      <c r="G30" s="53">
        <f>IF('Premium Grid'!$L9=0,"",'Premium Grid'!G9/'Premium Grid'!$L9-1)</f>
        <v/>
      </c>
      <c r="H30" s="53">
        <f>IF('Premium Grid'!$L9=0,"",'Premium Grid'!H9/'Premium Grid'!$L9-1)</f>
        <v/>
      </c>
      <c r="I30" s="53">
        <f>IF('Premium Grid'!$L9=0,"",'Premium Grid'!I9/'Premium Grid'!$L9-1)</f>
        <v/>
      </c>
      <c r="J30" s="53">
        <f>IF('Premium Grid'!$L9=0,"",'Premium Grid'!J9/'Premium Grid'!$L9-1)</f>
        <v/>
      </c>
      <c r="K30" s="53">
        <f>IF('Premium Grid'!$L9=0,"",'Premium Grid'!K9/'Premium Grid'!$L9-1)</f>
        <v/>
      </c>
      <c r="L30" s="53">
        <f>IF('Premium Grid'!$L9=0,"",'Premium Grid'!L9/'Premium Grid'!$L9-1)</f>
        <v/>
      </c>
      <c r="M30" s="53">
        <f>IF('Premium Grid'!$L9=0,"",'Premium Grid'!M9/'Premium Grid'!$L9-1)</f>
        <v/>
      </c>
      <c r="N30" s="53">
        <f>IF('Premium Grid'!$L9=0,"",'Premium Grid'!N9/'Premium Grid'!$L9-1)</f>
        <v/>
      </c>
      <c r="O30" s="53">
        <f>IF('Premium Grid'!$L9=0,"",'Premium Grid'!O9/'Premium Grid'!$L9-1)</f>
        <v/>
      </c>
      <c r="P30" s="53">
        <f>IF('Premium Grid'!$L9=0,"",'Premium Grid'!P9/'Premium Grid'!$L9-1)</f>
        <v/>
      </c>
      <c r="Q30" s="53">
        <f>IF('Premium Grid'!$L9=0,"",'Premium Grid'!Q9/'Premium Grid'!$L9-1)</f>
        <v/>
      </c>
      <c r="R30" s="53">
        <f>IF('Premium Grid'!$L9=0,"",'Premium Grid'!R9/'Premium Grid'!$L9-1)</f>
        <v/>
      </c>
      <c r="S30" s="53">
        <f>IF('Premium Grid'!$L9=0,"",'Premium Grid'!S9/'Premium Grid'!$L9-1)</f>
        <v/>
      </c>
      <c r="T30" s="53">
        <f>IF('Premium Grid'!$L9=0,"",'Premium Grid'!T9/'Premium Grid'!$L9-1)</f>
        <v/>
      </c>
      <c r="U30" s="53">
        <f>IF('Premium Grid'!$L9=0,"",'Premium Grid'!U9/'Premium Grid'!$L9-1)</f>
        <v/>
      </c>
      <c r="V30" s="53">
        <f>IF('Premium Grid'!$L9=0,"",'Premium Grid'!V9/'Premium Grid'!$L9-1)</f>
        <v/>
      </c>
      <c r="W30" s="53">
        <f>IF('Premium Grid'!$L9=0,"",'Premium Grid'!W9/'Premium Grid'!$L9-1)</f>
        <v/>
      </c>
      <c r="X30" s="53">
        <f>IF('Premium Grid'!$L9=0,"",'Premium Grid'!X9/'Premium Grid'!$L9-1)</f>
        <v/>
      </c>
      <c r="Y30" s="53">
        <f>IF('Premium Grid'!$L9=0,"",'Premium Grid'!Y9/'Premium Grid'!$L9-1)</f>
        <v/>
      </c>
      <c r="Z30" s="53">
        <f>IF('Premium Grid'!$L9=0,"",'Premium Grid'!Z9/'Premium Grid'!$L9-1)</f>
        <v/>
      </c>
      <c r="AA30" s="53">
        <f>IF('Premium Grid'!$L9=0,"",'Premium Grid'!AA9/'Premium Grid'!$L9-1)</f>
        <v/>
      </c>
      <c r="AB30" s="53">
        <f>IF('Premium Grid'!$L9=0,"",'Premium Grid'!AB9/'Premium Grid'!$L9-1)</f>
        <v/>
      </c>
      <c r="AC30" s="53">
        <f>IF('Premium Grid'!$L9=0,"",'Premium Grid'!AC9/'Premium Grid'!$L9-1)</f>
        <v/>
      </c>
      <c r="AD30" s="53">
        <f>IF('Premium Grid'!$L9=0,"",'Premium Grid'!AD9/'Premium Grid'!$L9-1)</f>
        <v/>
      </c>
      <c r="AE30" s="53">
        <f>IF('Premium Grid'!$L9=0,"",'Premium Grid'!AE9/'Premium Grid'!$L9-1)</f>
        <v/>
      </c>
      <c r="AF30" s="53">
        <f>IF('Premium Grid'!$L9=0,"",'Premium Grid'!AF9/'Premium Grid'!$L9-1)</f>
        <v/>
      </c>
      <c r="AG30" s="53">
        <f>IF('Premium Grid'!$L9=0,"",'Premium Grid'!AG9/'Premium Grid'!$L9-1)</f>
        <v/>
      </c>
      <c r="AH30" s="53">
        <f>IF('Premium Grid'!$L9=0,"",'Premium Grid'!AH9/'Premium Grid'!$L9-1)</f>
        <v/>
      </c>
      <c r="AI30" s="53">
        <f>IF('Premium Grid'!$L9=0,"",'Premium Grid'!AI9/'Premium Grid'!$L9-1)</f>
        <v/>
      </c>
      <c r="AJ30" s="53">
        <f>IF('Premium Grid'!$L9=0,"",'Premium Grid'!AJ9/'Premium Grid'!$L9-1)</f>
        <v/>
      </c>
      <c r="AK30" s="53">
        <f>IF('Premium Grid'!$L9=0,"",'Premium Grid'!AK9/'Premium Grid'!$L9-1)</f>
        <v/>
      </c>
      <c r="AL30" s="53">
        <f>IF('Premium Grid'!$L9=0,"",'Premium Grid'!AL9/'Premium Grid'!$L9-1)</f>
        <v/>
      </c>
      <c r="AM30" s="53">
        <f>IF('Premium Grid'!$L9=0,"",'Premium Grid'!AM9/'Premium Grid'!$L9-1)</f>
        <v/>
      </c>
      <c r="AN30" s="53">
        <f>IF('Premium Grid'!$L9=0,"",'Premium Grid'!AN9/'Premium Grid'!$L9-1)</f>
        <v/>
      </c>
      <c r="AO30" s="53">
        <f>IF('Premium Grid'!$L9=0,"",'Premium Grid'!AO9/'Premium Grid'!$L9-1)</f>
        <v/>
      </c>
      <c r="AP30" s="53">
        <f>IF('Premium Grid'!$L9=0,"",'Premium Grid'!AP9/'Premium Grid'!$L9-1)</f>
        <v/>
      </c>
      <c r="AQ30" s="53">
        <f>IF('Premium Grid'!$L9=0,"",'Premium Grid'!AQ9/'Premium Grid'!$L9-1)</f>
        <v/>
      </c>
      <c r="AR30" s="53">
        <f>IF('Premium Grid'!$L9=0,"",'Premium Grid'!AR9/'Premium Grid'!$L9-1)</f>
        <v/>
      </c>
      <c r="AS30" s="53">
        <f>IF('Premium Grid'!$L9=0,"",'Premium Grid'!AS9/'Premium Grid'!$L9-1)</f>
        <v/>
      </c>
      <c r="AT30" s="53">
        <f>IF('Premium Grid'!$L9=0,"",'Premium Grid'!AT9/'Premium Grid'!$L9-1)</f>
        <v/>
      </c>
      <c r="AU30" s="53">
        <f>IF('Premium Grid'!$L9=0,"",'Premium Grid'!AU9/'Premium Grid'!$L9-1)</f>
        <v/>
      </c>
      <c r="AV30" s="53">
        <f>IF('Premium Grid'!$L9=0,"",'Premium Grid'!AV9/'Premium Grid'!$L9-1)</f>
        <v/>
      </c>
    </row>
    <row r="31">
      <c r="A31" s="27" t="inlineStr">
        <is>
          <t>-0.50%</t>
        </is>
      </c>
      <c r="B31" s="47">
        <f>'BS Engine'!$B$8</f>
        <v/>
      </c>
      <c r="C31" s="28">
        <f>'BS Engine'!$C$8</f>
        <v/>
      </c>
      <c r="D31" s="52">
        <f>IF('Premium Grid'!$L10=0,"",'Premium Grid'!D10/'Premium Grid'!$L10-1)</f>
        <v/>
      </c>
      <c r="E31" s="53">
        <f>IF('Premium Grid'!$L10=0,"",'Premium Grid'!E10/'Premium Grid'!$L10-1)</f>
        <v/>
      </c>
      <c r="F31" s="53">
        <f>IF('Premium Grid'!$L10=0,"",'Premium Grid'!F10/'Premium Grid'!$L10-1)</f>
        <v/>
      </c>
      <c r="G31" s="53">
        <f>IF('Premium Grid'!$L10=0,"",'Premium Grid'!G10/'Premium Grid'!$L10-1)</f>
        <v/>
      </c>
      <c r="H31" s="53">
        <f>IF('Premium Grid'!$L10=0,"",'Premium Grid'!H10/'Premium Grid'!$L10-1)</f>
        <v/>
      </c>
      <c r="I31" s="53">
        <f>IF('Premium Grid'!$L10=0,"",'Premium Grid'!I10/'Premium Grid'!$L10-1)</f>
        <v/>
      </c>
      <c r="J31" s="53">
        <f>IF('Premium Grid'!$L10=0,"",'Premium Grid'!J10/'Premium Grid'!$L10-1)</f>
        <v/>
      </c>
      <c r="K31" s="53">
        <f>IF('Premium Grid'!$L10=0,"",'Premium Grid'!K10/'Premium Grid'!$L10-1)</f>
        <v/>
      </c>
      <c r="L31" s="53">
        <f>IF('Premium Grid'!$L10=0,"",'Premium Grid'!L10/'Premium Grid'!$L10-1)</f>
        <v/>
      </c>
      <c r="M31" s="53">
        <f>IF('Premium Grid'!$L10=0,"",'Premium Grid'!M10/'Premium Grid'!$L10-1)</f>
        <v/>
      </c>
      <c r="N31" s="53">
        <f>IF('Premium Grid'!$L10=0,"",'Premium Grid'!N10/'Premium Grid'!$L10-1)</f>
        <v/>
      </c>
      <c r="O31" s="53">
        <f>IF('Premium Grid'!$L10=0,"",'Premium Grid'!O10/'Premium Grid'!$L10-1)</f>
        <v/>
      </c>
      <c r="P31" s="53">
        <f>IF('Premium Grid'!$L10=0,"",'Premium Grid'!P10/'Premium Grid'!$L10-1)</f>
        <v/>
      </c>
      <c r="Q31" s="53">
        <f>IF('Premium Grid'!$L10=0,"",'Premium Grid'!Q10/'Premium Grid'!$L10-1)</f>
        <v/>
      </c>
      <c r="R31" s="53">
        <f>IF('Premium Grid'!$L10=0,"",'Premium Grid'!R10/'Premium Grid'!$L10-1)</f>
        <v/>
      </c>
      <c r="S31" s="53">
        <f>IF('Premium Grid'!$L10=0,"",'Premium Grid'!S10/'Premium Grid'!$L10-1)</f>
        <v/>
      </c>
      <c r="T31" s="53">
        <f>IF('Premium Grid'!$L10=0,"",'Premium Grid'!T10/'Premium Grid'!$L10-1)</f>
        <v/>
      </c>
      <c r="U31" s="53">
        <f>IF('Premium Grid'!$L10=0,"",'Premium Grid'!U10/'Premium Grid'!$L10-1)</f>
        <v/>
      </c>
      <c r="V31" s="53">
        <f>IF('Premium Grid'!$L10=0,"",'Premium Grid'!V10/'Premium Grid'!$L10-1)</f>
        <v/>
      </c>
      <c r="W31" s="53">
        <f>IF('Premium Grid'!$L10=0,"",'Premium Grid'!W10/'Premium Grid'!$L10-1)</f>
        <v/>
      </c>
      <c r="X31" s="53">
        <f>IF('Premium Grid'!$L10=0,"",'Premium Grid'!X10/'Premium Grid'!$L10-1)</f>
        <v/>
      </c>
      <c r="Y31" s="53">
        <f>IF('Premium Grid'!$L10=0,"",'Premium Grid'!Y10/'Premium Grid'!$L10-1)</f>
        <v/>
      </c>
      <c r="Z31" s="53">
        <f>IF('Premium Grid'!$L10=0,"",'Premium Grid'!Z10/'Premium Grid'!$L10-1)</f>
        <v/>
      </c>
      <c r="AA31" s="53">
        <f>IF('Premium Grid'!$L10=0,"",'Premium Grid'!AA10/'Premium Grid'!$L10-1)</f>
        <v/>
      </c>
      <c r="AB31" s="53">
        <f>IF('Premium Grid'!$L10=0,"",'Premium Grid'!AB10/'Premium Grid'!$L10-1)</f>
        <v/>
      </c>
      <c r="AC31" s="53">
        <f>IF('Premium Grid'!$L10=0,"",'Premium Grid'!AC10/'Premium Grid'!$L10-1)</f>
        <v/>
      </c>
      <c r="AD31" s="53">
        <f>IF('Premium Grid'!$L10=0,"",'Premium Grid'!AD10/'Premium Grid'!$L10-1)</f>
        <v/>
      </c>
      <c r="AE31" s="53">
        <f>IF('Premium Grid'!$L10=0,"",'Premium Grid'!AE10/'Premium Grid'!$L10-1)</f>
        <v/>
      </c>
      <c r="AF31" s="53">
        <f>IF('Premium Grid'!$L10=0,"",'Premium Grid'!AF10/'Premium Grid'!$L10-1)</f>
        <v/>
      </c>
      <c r="AG31" s="53">
        <f>IF('Premium Grid'!$L10=0,"",'Premium Grid'!AG10/'Premium Grid'!$L10-1)</f>
        <v/>
      </c>
      <c r="AH31" s="53">
        <f>IF('Premium Grid'!$L10=0,"",'Premium Grid'!AH10/'Premium Grid'!$L10-1)</f>
        <v/>
      </c>
      <c r="AI31" s="53">
        <f>IF('Premium Grid'!$L10=0,"",'Premium Grid'!AI10/'Premium Grid'!$L10-1)</f>
        <v/>
      </c>
      <c r="AJ31" s="53">
        <f>IF('Premium Grid'!$L10=0,"",'Premium Grid'!AJ10/'Premium Grid'!$L10-1)</f>
        <v/>
      </c>
      <c r="AK31" s="53">
        <f>IF('Premium Grid'!$L10=0,"",'Premium Grid'!AK10/'Premium Grid'!$L10-1)</f>
        <v/>
      </c>
      <c r="AL31" s="53">
        <f>IF('Premium Grid'!$L10=0,"",'Premium Grid'!AL10/'Premium Grid'!$L10-1)</f>
        <v/>
      </c>
      <c r="AM31" s="53">
        <f>IF('Premium Grid'!$L10=0,"",'Premium Grid'!AM10/'Premium Grid'!$L10-1)</f>
        <v/>
      </c>
      <c r="AN31" s="53">
        <f>IF('Premium Grid'!$L10=0,"",'Premium Grid'!AN10/'Premium Grid'!$L10-1)</f>
        <v/>
      </c>
      <c r="AO31" s="53">
        <f>IF('Premium Grid'!$L10=0,"",'Premium Grid'!AO10/'Premium Grid'!$L10-1)</f>
        <v/>
      </c>
      <c r="AP31" s="53">
        <f>IF('Premium Grid'!$L10=0,"",'Premium Grid'!AP10/'Premium Grid'!$L10-1)</f>
        <v/>
      </c>
      <c r="AQ31" s="53">
        <f>IF('Premium Grid'!$L10=0,"",'Premium Grid'!AQ10/'Premium Grid'!$L10-1)</f>
        <v/>
      </c>
      <c r="AR31" s="53">
        <f>IF('Premium Grid'!$L10=0,"",'Premium Grid'!AR10/'Premium Grid'!$L10-1)</f>
        <v/>
      </c>
      <c r="AS31" s="53">
        <f>IF('Premium Grid'!$L10=0,"",'Premium Grid'!AS10/'Premium Grid'!$L10-1)</f>
        <v/>
      </c>
      <c r="AT31" s="53">
        <f>IF('Premium Grid'!$L10=0,"",'Premium Grid'!AT10/'Premium Grid'!$L10-1)</f>
        <v/>
      </c>
      <c r="AU31" s="53">
        <f>IF('Premium Grid'!$L10=0,"",'Premium Grid'!AU10/'Premium Grid'!$L10-1)</f>
        <v/>
      </c>
      <c r="AV31" s="53">
        <f>IF('Premium Grid'!$L10=0,"",'Premium Grid'!AV10/'Premium Grid'!$L10-1)</f>
        <v/>
      </c>
    </row>
    <row r="32">
      <c r="A32" s="27" t="inlineStr">
        <is>
          <t>-0.25%</t>
        </is>
      </c>
      <c r="B32" s="47">
        <f>'BS Engine'!$B$9</f>
        <v/>
      </c>
      <c r="C32" s="28">
        <f>'BS Engine'!$C$9</f>
        <v/>
      </c>
      <c r="D32" s="52">
        <f>IF('Premium Grid'!$L11=0,"",'Premium Grid'!D11/'Premium Grid'!$L11-1)</f>
        <v/>
      </c>
      <c r="E32" s="53">
        <f>IF('Premium Grid'!$L11=0,"",'Premium Grid'!E11/'Premium Grid'!$L11-1)</f>
        <v/>
      </c>
      <c r="F32" s="53">
        <f>IF('Premium Grid'!$L11=0,"",'Premium Grid'!F11/'Premium Grid'!$L11-1)</f>
        <v/>
      </c>
      <c r="G32" s="53">
        <f>IF('Premium Grid'!$L11=0,"",'Premium Grid'!G11/'Premium Grid'!$L11-1)</f>
        <v/>
      </c>
      <c r="H32" s="53">
        <f>IF('Premium Grid'!$L11=0,"",'Premium Grid'!H11/'Premium Grid'!$L11-1)</f>
        <v/>
      </c>
      <c r="I32" s="53">
        <f>IF('Premium Grid'!$L11=0,"",'Premium Grid'!I11/'Premium Grid'!$L11-1)</f>
        <v/>
      </c>
      <c r="J32" s="53">
        <f>IF('Premium Grid'!$L11=0,"",'Premium Grid'!J11/'Premium Grid'!$L11-1)</f>
        <v/>
      </c>
      <c r="K32" s="53">
        <f>IF('Premium Grid'!$L11=0,"",'Premium Grid'!K11/'Premium Grid'!$L11-1)</f>
        <v/>
      </c>
      <c r="L32" s="53">
        <f>IF('Premium Grid'!$L11=0,"",'Premium Grid'!L11/'Premium Grid'!$L11-1)</f>
        <v/>
      </c>
      <c r="M32" s="53">
        <f>IF('Premium Grid'!$L11=0,"",'Premium Grid'!M11/'Premium Grid'!$L11-1)</f>
        <v/>
      </c>
      <c r="N32" s="53">
        <f>IF('Premium Grid'!$L11=0,"",'Premium Grid'!N11/'Premium Grid'!$L11-1)</f>
        <v/>
      </c>
      <c r="O32" s="53">
        <f>IF('Premium Grid'!$L11=0,"",'Premium Grid'!O11/'Premium Grid'!$L11-1)</f>
        <v/>
      </c>
      <c r="P32" s="53">
        <f>IF('Premium Grid'!$L11=0,"",'Premium Grid'!P11/'Premium Grid'!$L11-1)</f>
        <v/>
      </c>
      <c r="Q32" s="53">
        <f>IF('Premium Grid'!$L11=0,"",'Premium Grid'!Q11/'Premium Grid'!$L11-1)</f>
        <v/>
      </c>
      <c r="R32" s="53">
        <f>IF('Premium Grid'!$L11=0,"",'Premium Grid'!R11/'Premium Grid'!$L11-1)</f>
        <v/>
      </c>
      <c r="S32" s="53">
        <f>IF('Premium Grid'!$L11=0,"",'Premium Grid'!S11/'Premium Grid'!$L11-1)</f>
        <v/>
      </c>
      <c r="T32" s="53">
        <f>IF('Premium Grid'!$L11=0,"",'Premium Grid'!T11/'Premium Grid'!$L11-1)</f>
        <v/>
      </c>
      <c r="U32" s="53">
        <f>IF('Premium Grid'!$L11=0,"",'Premium Grid'!U11/'Premium Grid'!$L11-1)</f>
        <v/>
      </c>
      <c r="V32" s="53">
        <f>IF('Premium Grid'!$L11=0,"",'Premium Grid'!V11/'Premium Grid'!$L11-1)</f>
        <v/>
      </c>
      <c r="W32" s="53">
        <f>IF('Premium Grid'!$L11=0,"",'Premium Grid'!W11/'Premium Grid'!$L11-1)</f>
        <v/>
      </c>
      <c r="X32" s="53">
        <f>IF('Premium Grid'!$L11=0,"",'Premium Grid'!X11/'Premium Grid'!$L11-1)</f>
        <v/>
      </c>
      <c r="Y32" s="53">
        <f>IF('Premium Grid'!$L11=0,"",'Premium Grid'!Y11/'Premium Grid'!$L11-1)</f>
        <v/>
      </c>
      <c r="Z32" s="53">
        <f>IF('Premium Grid'!$L11=0,"",'Premium Grid'!Z11/'Premium Grid'!$L11-1)</f>
        <v/>
      </c>
      <c r="AA32" s="53">
        <f>IF('Premium Grid'!$L11=0,"",'Premium Grid'!AA11/'Premium Grid'!$L11-1)</f>
        <v/>
      </c>
      <c r="AB32" s="53">
        <f>IF('Premium Grid'!$L11=0,"",'Premium Grid'!AB11/'Premium Grid'!$L11-1)</f>
        <v/>
      </c>
      <c r="AC32" s="53">
        <f>IF('Premium Grid'!$L11=0,"",'Premium Grid'!AC11/'Premium Grid'!$L11-1)</f>
        <v/>
      </c>
      <c r="AD32" s="53">
        <f>IF('Premium Grid'!$L11=0,"",'Premium Grid'!AD11/'Premium Grid'!$L11-1)</f>
        <v/>
      </c>
      <c r="AE32" s="53">
        <f>IF('Premium Grid'!$L11=0,"",'Premium Grid'!AE11/'Premium Grid'!$L11-1)</f>
        <v/>
      </c>
      <c r="AF32" s="53">
        <f>IF('Premium Grid'!$L11=0,"",'Premium Grid'!AF11/'Premium Grid'!$L11-1)</f>
        <v/>
      </c>
      <c r="AG32" s="53">
        <f>IF('Premium Grid'!$L11=0,"",'Premium Grid'!AG11/'Premium Grid'!$L11-1)</f>
        <v/>
      </c>
      <c r="AH32" s="53">
        <f>IF('Premium Grid'!$L11=0,"",'Premium Grid'!AH11/'Premium Grid'!$L11-1)</f>
        <v/>
      </c>
      <c r="AI32" s="53">
        <f>IF('Premium Grid'!$L11=0,"",'Premium Grid'!AI11/'Premium Grid'!$L11-1)</f>
        <v/>
      </c>
      <c r="AJ32" s="53">
        <f>IF('Premium Grid'!$L11=0,"",'Premium Grid'!AJ11/'Premium Grid'!$L11-1)</f>
        <v/>
      </c>
      <c r="AK32" s="53">
        <f>IF('Premium Grid'!$L11=0,"",'Premium Grid'!AK11/'Premium Grid'!$L11-1)</f>
        <v/>
      </c>
      <c r="AL32" s="53">
        <f>IF('Premium Grid'!$L11=0,"",'Premium Grid'!AL11/'Premium Grid'!$L11-1)</f>
        <v/>
      </c>
      <c r="AM32" s="53">
        <f>IF('Premium Grid'!$L11=0,"",'Premium Grid'!AM11/'Premium Grid'!$L11-1)</f>
        <v/>
      </c>
      <c r="AN32" s="53">
        <f>IF('Premium Grid'!$L11=0,"",'Premium Grid'!AN11/'Premium Grid'!$L11-1)</f>
        <v/>
      </c>
      <c r="AO32" s="53">
        <f>IF('Premium Grid'!$L11=0,"",'Premium Grid'!AO11/'Premium Grid'!$L11-1)</f>
        <v/>
      </c>
      <c r="AP32" s="53">
        <f>IF('Premium Grid'!$L11=0,"",'Premium Grid'!AP11/'Premium Grid'!$L11-1)</f>
        <v/>
      </c>
      <c r="AQ32" s="53">
        <f>IF('Premium Grid'!$L11=0,"",'Premium Grid'!AQ11/'Premium Grid'!$L11-1)</f>
        <v/>
      </c>
      <c r="AR32" s="53">
        <f>IF('Premium Grid'!$L11=0,"",'Premium Grid'!AR11/'Premium Grid'!$L11-1)</f>
        <v/>
      </c>
      <c r="AS32" s="53">
        <f>IF('Premium Grid'!$L11=0,"",'Premium Grid'!AS11/'Premium Grid'!$L11-1)</f>
        <v/>
      </c>
      <c r="AT32" s="53">
        <f>IF('Premium Grid'!$L11=0,"",'Premium Grid'!AT11/'Premium Grid'!$L11-1)</f>
        <v/>
      </c>
      <c r="AU32" s="53">
        <f>IF('Premium Grid'!$L11=0,"",'Premium Grid'!AU11/'Premium Grid'!$L11-1)</f>
        <v/>
      </c>
      <c r="AV32" s="53">
        <f>IF('Premium Grid'!$L11=0,"",'Premium Grid'!AV11/'Premium Grid'!$L11-1)</f>
        <v/>
      </c>
    </row>
    <row r="33">
      <c r="A33" s="27" t="inlineStr">
        <is>
          <t>ATM</t>
        </is>
      </c>
      <c r="B33" s="47">
        <f>'BS Engine'!$B$10</f>
        <v/>
      </c>
      <c r="C33" s="28">
        <f>'BS Engine'!$C$10</f>
        <v/>
      </c>
      <c r="D33" s="52">
        <f>IF('Premium Grid'!$L12=0,"",'Premium Grid'!D12/'Premium Grid'!$L12-1)</f>
        <v/>
      </c>
      <c r="E33" s="53">
        <f>IF('Premium Grid'!$L12=0,"",'Premium Grid'!E12/'Premium Grid'!$L12-1)</f>
        <v/>
      </c>
      <c r="F33" s="53">
        <f>IF('Premium Grid'!$L12=0,"",'Premium Grid'!F12/'Premium Grid'!$L12-1)</f>
        <v/>
      </c>
      <c r="G33" s="53">
        <f>IF('Premium Grid'!$L12=0,"",'Premium Grid'!G12/'Premium Grid'!$L12-1)</f>
        <v/>
      </c>
      <c r="H33" s="53">
        <f>IF('Premium Grid'!$L12=0,"",'Premium Grid'!H12/'Premium Grid'!$L12-1)</f>
        <v/>
      </c>
      <c r="I33" s="53">
        <f>IF('Premium Grid'!$L12=0,"",'Premium Grid'!I12/'Premium Grid'!$L12-1)</f>
        <v/>
      </c>
      <c r="J33" s="53">
        <f>IF('Premium Grid'!$L12=0,"",'Premium Grid'!J12/'Premium Grid'!$L12-1)</f>
        <v/>
      </c>
      <c r="K33" s="53">
        <f>IF('Premium Grid'!$L12=0,"",'Premium Grid'!K12/'Premium Grid'!$L12-1)</f>
        <v/>
      </c>
      <c r="L33" s="53">
        <f>IF('Premium Grid'!$L12=0,"",'Premium Grid'!L12/'Premium Grid'!$L12-1)</f>
        <v/>
      </c>
      <c r="M33" s="53">
        <f>IF('Premium Grid'!$L12=0,"",'Premium Grid'!M12/'Premium Grid'!$L12-1)</f>
        <v/>
      </c>
      <c r="N33" s="53">
        <f>IF('Premium Grid'!$L12=0,"",'Premium Grid'!N12/'Premium Grid'!$L12-1)</f>
        <v/>
      </c>
      <c r="O33" s="53">
        <f>IF('Premium Grid'!$L12=0,"",'Premium Grid'!O12/'Premium Grid'!$L12-1)</f>
        <v/>
      </c>
      <c r="P33" s="53">
        <f>IF('Premium Grid'!$L12=0,"",'Premium Grid'!P12/'Premium Grid'!$L12-1)</f>
        <v/>
      </c>
      <c r="Q33" s="53">
        <f>IF('Premium Grid'!$L12=0,"",'Premium Grid'!Q12/'Premium Grid'!$L12-1)</f>
        <v/>
      </c>
      <c r="R33" s="53">
        <f>IF('Premium Grid'!$L12=0,"",'Premium Grid'!R12/'Premium Grid'!$L12-1)</f>
        <v/>
      </c>
      <c r="S33" s="53">
        <f>IF('Premium Grid'!$L12=0,"",'Premium Grid'!S12/'Premium Grid'!$L12-1)</f>
        <v/>
      </c>
      <c r="T33" s="53">
        <f>IF('Premium Grid'!$L12=0,"",'Premium Grid'!T12/'Premium Grid'!$L12-1)</f>
        <v/>
      </c>
      <c r="U33" s="53">
        <f>IF('Premium Grid'!$L12=0,"",'Premium Grid'!U12/'Premium Grid'!$L12-1)</f>
        <v/>
      </c>
      <c r="V33" s="53">
        <f>IF('Premium Grid'!$L12=0,"",'Premium Grid'!V12/'Premium Grid'!$L12-1)</f>
        <v/>
      </c>
      <c r="W33" s="53">
        <f>IF('Premium Grid'!$L12=0,"",'Premium Grid'!W12/'Premium Grid'!$L12-1)</f>
        <v/>
      </c>
      <c r="X33" s="53">
        <f>IF('Premium Grid'!$L12=0,"",'Premium Grid'!X12/'Premium Grid'!$L12-1)</f>
        <v/>
      </c>
      <c r="Y33" s="53">
        <f>IF('Premium Grid'!$L12=0,"",'Premium Grid'!Y12/'Premium Grid'!$L12-1)</f>
        <v/>
      </c>
      <c r="Z33" s="53">
        <f>IF('Premium Grid'!$L12=0,"",'Premium Grid'!Z12/'Premium Grid'!$L12-1)</f>
        <v/>
      </c>
      <c r="AA33" s="53">
        <f>IF('Premium Grid'!$L12=0,"",'Premium Grid'!AA12/'Premium Grid'!$L12-1)</f>
        <v/>
      </c>
      <c r="AB33" s="53">
        <f>IF('Premium Grid'!$L12=0,"",'Premium Grid'!AB12/'Premium Grid'!$L12-1)</f>
        <v/>
      </c>
      <c r="AC33" s="53">
        <f>IF('Premium Grid'!$L12=0,"",'Premium Grid'!AC12/'Premium Grid'!$L12-1)</f>
        <v/>
      </c>
      <c r="AD33" s="53">
        <f>IF('Premium Grid'!$L12=0,"",'Premium Grid'!AD12/'Premium Grid'!$L12-1)</f>
        <v/>
      </c>
      <c r="AE33" s="53">
        <f>IF('Premium Grid'!$L12=0,"",'Premium Grid'!AE12/'Premium Grid'!$L12-1)</f>
        <v/>
      </c>
      <c r="AF33" s="53">
        <f>IF('Premium Grid'!$L12=0,"",'Premium Grid'!AF12/'Premium Grid'!$L12-1)</f>
        <v/>
      </c>
      <c r="AG33" s="53">
        <f>IF('Premium Grid'!$L12=0,"",'Premium Grid'!AG12/'Premium Grid'!$L12-1)</f>
        <v/>
      </c>
      <c r="AH33" s="53">
        <f>IF('Premium Grid'!$L12=0,"",'Premium Grid'!AH12/'Premium Grid'!$L12-1)</f>
        <v/>
      </c>
      <c r="AI33" s="53">
        <f>IF('Premium Grid'!$L12=0,"",'Premium Grid'!AI12/'Premium Grid'!$L12-1)</f>
        <v/>
      </c>
      <c r="AJ33" s="53">
        <f>IF('Premium Grid'!$L12=0,"",'Premium Grid'!AJ12/'Premium Grid'!$L12-1)</f>
        <v/>
      </c>
      <c r="AK33" s="53">
        <f>IF('Premium Grid'!$L12=0,"",'Premium Grid'!AK12/'Premium Grid'!$L12-1)</f>
        <v/>
      </c>
      <c r="AL33" s="53">
        <f>IF('Premium Grid'!$L12=0,"",'Premium Grid'!AL12/'Premium Grid'!$L12-1)</f>
        <v/>
      </c>
      <c r="AM33" s="53">
        <f>IF('Premium Grid'!$L12=0,"",'Premium Grid'!AM12/'Premium Grid'!$L12-1)</f>
        <v/>
      </c>
      <c r="AN33" s="53">
        <f>IF('Premium Grid'!$L12=0,"",'Premium Grid'!AN12/'Premium Grid'!$L12-1)</f>
        <v/>
      </c>
      <c r="AO33" s="53">
        <f>IF('Premium Grid'!$L12=0,"",'Premium Grid'!AO12/'Premium Grid'!$L12-1)</f>
        <v/>
      </c>
      <c r="AP33" s="53">
        <f>IF('Premium Grid'!$L12=0,"",'Premium Grid'!AP12/'Premium Grid'!$L12-1)</f>
        <v/>
      </c>
      <c r="AQ33" s="53">
        <f>IF('Premium Grid'!$L12=0,"",'Premium Grid'!AQ12/'Premium Grid'!$L12-1)</f>
        <v/>
      </c>
      <c r="AR33" s="53">
        <f>IF('Premium Grid'!$L12=0,"",'Premium Grid'!AR12/'Premium Grid'!$L12-1)</f>
        <v/>
      </c>
      <c r="AS33" s="53">
        <f>IF('Premium Grid'!$L12=0,"",'Premium Grid'!AS12/'Premium Grid'!$L12-1)</f>
        <v/>
      </c>
      <c r="AT33" s="53">
        <f>IF('Premium Grid'!$L12=0,"",'Premium Grid'!AT12/'Premium Grid'!$L12-1)</f>
        <v/>
      </c>
      <c r="AU33" s="53">
        <f>IF('Premium Grid'!$L12=0,"",'Premium Grid'!AU12/'Premium Grid'!$L12-1)</f>
        <v/>
      </c>
      <c r="AV33" s="53">
        <f>IF('Premium Grid'!$L12=0,"",'Premium Grid'!AV12/'Premium Grid'!$L12-1)</f>
        <v/>
      </c>
    </row>
    <row r="34">
      <c r="A34" s="27" t="inlineStr">
        <is>
          <t>+0.25%</t>
        </is>
      </c>
      <c r="B34" s="47">
        <f>'BS Engine'!$B$11</f>
        <v/>
      </c>
      <c r="C34" s="28">
        <f>'BS Engine'!$C$11</f>
        <v/>
      </c>
      <c r="D34" s="52">
        <f>IF('Premium Grid'!$L13=0,"",'Premium Grid'!D13/'Premium Grid'!$L13-1)</f>
        <v/>
      </c>
      <c r="E34" s="53">
        <f>IF('Premium Grid'!$L13=0,"",'Premium Grid'!E13/'Premium Grid'!$L13-1)</f>
        <v/>
      </c>
      <c r="F34" s="53">
        <f>IF('Premium Grid'!$L13=0,"",'Premium Grid'!F13/'Premium Grid'!$L13-1)</f>
        <v/>
      </c>
      <c r="G34" s="53">
        <f>IF('Premium Grid'!$L13=0,"",'Premium Grid'!G13/'Premium Grid'!$L13-1)</f>
        <v/>
      </c>
      <c r="H34" s="53">
        <f>IF('Premium Grid'!$L13=0,"",'Premium Grid'!H13/'Premium Grid'!$L13-1)</f>
        <v/>
      </c>
      <c r="I34" s="53">
        <f>IF('Premium Grid'!$L13=0,"",'Premium Grid'!I13/'Premium Grid'!$L13-1)</f>
        <v/>
      </c>
      <c r="J34" s="53">
        <f>IF('Premium Grid'!$L13=0,"",'Premium Grid'!J13/'Premium Grid'!$L13-1)</f>
        <v/>
      </c>
      <c r="K34" s="53">
        <f>IF('Premium Grid'!$L13=0,"",'Premium Grid'!K13/'Premium Grid'!$L13-1)</f>
        <v/>
      </c>
      <c r="L34" s="53">
        <f>IF('Premium Grid'!$L13=0,"",'Premium Grid'!L13/'Premium Grid'!$L13-1)</f>
        <v/>
      </c>
      <c r="M34" s="53">
        <f>IF('Premium Grid'!$L13=0,"",'Premium Grid'!M13/'Premium Grid'!$L13-1)</f>
        <v/>
      </c>
      <c r="N34" s="53">
        <f>IF('Premium Grid'!$L13=0,"",'Premium Grid'!N13/'Premium Grid'!$L13-1)</f>
        <v/>
      </c>
      <c r="O34" s="53">
        <f>IF('Premium Grid'!$L13=0,"",'Premium Grid'!O13/'Premium Grid'!$L13-1)</f>
        <v/>
      </c>
      <c r="P34" s="53">
        <f>IF('Premium Grid'!$L13=0,"",'Premium Grid'!P13/'Premium Grid'!$L13-1)</f>
        <v/>
      </c>
      <c r="Q34" s="53">
        <f>IF('Premium Grid'!$L13=0,"",'Premium Grid'!Q13/'Premium Grid'!$L13-1)</f>
        <v/>
      </c>
      <c r="R34" s="53">
        <f>IF('Premium Grid'!$L13=0,"",'Premium Grid'!R13/'Premium Grid'!$L13-1)</f>
        <v/>
      </c>
      <c r="S34" s="53">
        <f>IF('Premium Grid'!$L13=0,"",'Premium Grid'!S13/'Premium Grid'!$L13-1)</f>
        <v/>
      </c>
      <c r="T34" s="53">
        <f>IF('Premium Grid'!$L13=0,"",'Premium Grid'!T13/'Premium Grid'!$L13-1)</f>
        <v/>
      </c>
      <c r="U34" s="53">
        <f>IF('Premium Grid'!$L13=0,"",'Premium Grid'!U13/'Premium Grid'!$L13-1)</f>
        <v/>
      </c>
      <c r="V34" s="53">
        <f>IF('Premium Grid'!$L13=0,"",'Premium Grid'!V13/'Premium Grid'!$L13-1)</f>
        <v/>
      </c>
      <c r="W34" s="53">
        <f>IF('Premium Grid'!$L13=0,"",'Premium Grid'!W13/'Premium Grid'!$L13-1)</f>
        <v/>
      </c>
      <c r="X34" s="53">
        <f>IF('Premium Grid'!$L13=0,"",'Premium Grid'!X13/'Premium Grid'!$L13-1)</f>
        <v/>
      </c>
      <c r="Y34" s="53">
        <f>IF('Premium Grid'!$L13=0,"",'Premium Grid'!Y13/'Premium Grid'!$L13-1)</f>
        <v/>
      </c>
      <c r="Z34" s="53">
        <f>IF('Premium Grid'!$L13=0,"",'Premium Grid'!Z13/'Premium Grid'!$L13-1)</f>
        <v/>
      </c>
      <c r="AA34" s="53">
        <f>IF('Premium Grid'!$L13=0,"",'Premium Grid'!AA13/'Premium Grid'!$L13-1)</f>
        <v/>
      </c>
      <c r="AB34" s="53">
        <f>IF('Premium Grid'!$L13=0,"",'Premium Grid'!AB13/'Premium Grid'!$L13-1)</f>
        <v/>
      </c>
      <c r="AC34" s="53">
        <f>IF('Premium Grid'!$L13=0,"",'Premium Grid'!AC13/'Premium Grid'!$L13-1)</f>
        <v/>
      </c>
      <c r="AD34" s="53">
        <f>IF('Premium Grid'!$L13=0,"",'Premium Grid'!AD13/'Premium Grid'!$L13-1)</f>
        <v/>
      </c>
      <c r="AE34" s="53">
        <f>IF('Premium Grid'!$L13=0,"",'Premium Grid'!AE13/'Premium Grid'!$L13-1)</f>
        <v/>
      </c>
      <c r="AF34" s="53">
        <f>IF('Premium Grid'!$L13=0,"",'Premium Grid'!AF13/'Premium Grid'!$L13-1)</f>
        <v/>
      </c>
      <c r="AG34" s="53">
        <f>IF('Premium Grid'!$L13=0,"",'Premium Grid'!AG13/'Premium Grid'!$L13-1)</f>
        <v/>
      </c>
      <c r="AH34" s="53">
        <f>IF('Premium Grid'!$L13=0,"",'Premium Grid'!AH13/'Premium Grid'!$L13-1)</f>
        <v/>
      </c>
      <c r="AI34" s="53">
        <f>IF('Premium Grid'!$L13=0,"",'Premium Grid'!AI13/'Premium Grid'!$L13-1)</f>
        <v/>
      </c>
      <c r="AJ34" s="53">
        <f>IF('Premium Grid'!$L13=0,"",'Premium Grid'!AJ13/'Premium Grid'!$L13-1)</f>
        <v/>
      </c>
      <c r="AK34" s="53">
        <f>IF('Premium Grid'!$L13=0,"",'Premium Grid'!AK13/'Premium Grid'!$L13-1)</f>
        <v/>
      </c>
      <c r="AL34" s="53">
        <f>IF('Premium Grid'!$L13=0,"",'Premium Grid'!AL13/'Premium Grid'!$L13-1)</f>
        <v/>
      </c>
      <c r="AM34" s="53">
        <f>IF('Premium Grid'!$L13=0,"",'Premium Grid'!AM13/'Premium Grid'!$L13-1)</f>
        <v/>
      </c>
      <c r="AN34" s="53">
        <f>IF('Premium Grid'!$L13=0,"",'Premium Grid'!AN13/'Premium Grid'!$L13-1)</f>
        <v/>
      </c>
      <c r="AO34" s="53">
        <f>IF('Premium Grid'!$L13=0,"",'Premium Grid'!AO13/'Premium Grid'!$L13-1)</f>
        <v/>
      </c>
      <c r="AP34" s="53">
        <f>IF('Premium Grid'!$L13=0,"",'Premium Grid'!AP13/'Premium Grid'!$L13-1)</f>
        <v/>
      </c>
      <c r="AQ34" s="53">
        <f>IF('Premium Grid'!$L13=0,"",'Premium Grid'!AQ13/'Premium Grid'!$L13-1)</f>
        <v/>
      </c>
      <c r="AR34" s="53">
        <f>IF('Premium Grid'!$L13=0,"",'Premium Grid'!AR13/'Premium Grid'!$L13-1)</f>
        <v/>
      </c>
      <c r="AS34" s="53">
        <f>IF('Premium Grid'!$L13=0,"",'Premium Grid'!AS13/'Premium Grid'!$L13-1)</f>
        <v/>
      </c>
      <c r="AT34" s="53">
        <f>IF('Premium Grid'!$L13=0,"",'Premium Grid'!AT13/'Premium Grid'!$L13-1)</f>
        <v/>
      </c>
      <c r="AU34" s="53">
        <f>IF('Premium Grid'!$L13=0,"",'Premium Grid'!AU13/'Premium Grid'!$L13-1)</f>
        <v/>
      </c>
      <c r="AV34" s="53">
        <f>IF('Premium Grid'!$L13=0,"",'Premium Grid'!AV13/'Premium Grid'!$L13-1)</f>
        <v/>
      </c>
    </row>
    <row r="35">
      <c r="A35" s="27" t="inlineStr">
        <is>
          <t>+0.50%</t>
        </is>
      </c>
      <c r="B35" s="47">
        <f>'BS Engine'!$B$12</f>
        <v/>
      </c>
      <c r="C35" s="28">
        <f>'BS Engine'!$C$12</f>
        <v/>
      </c>
      <c r="D35" s="52">
        <f>IF('Premium Grid'!$L14=0,"",'Premium Grid'!D14/'Premium Grid'!$L14-1)</f>
        <v/>
      </c>
      <c r="E35" s="53">
        <f>IF('Premium Grid'!$L14=0,"",'Premium Grid'!E14/'Premium Grid'!$L14-1)</f>
        <v/>
      </c>
      <c r="F35" s="53">
        <f>IF('Premium Grid'!$L14=0,"",'Premium Grid'!F14/'Premium Grid'!$L14-1)</f>
        <v/>
      </c>
      <c r="G35" s="53">
        <f>IF('Premium Grid'!$L14=0,"",'Premium Grid'!G14/'Premium Grid'!$L14-1)</f>
        <v/>
      </c>
      <c r="H35" s="53">
        <f>IF('Premium Grid'!$L14=0,"",'Premium Grid'!H14/'Premium Grid'!$L14-1)</f>
        <v/>
      </c>
      <c r="I35" s="53">
        <f>IF('Premium Grid'!$L14=0,"",'Premium Grid'!I14/'Premium Grid'!$L14-1)</f>
        <v/>
      </c>
      <c r="J35" s="53">
        <f>IF('Premium Grid'!$L14=0,"",'Premium Grid'!J14/'Premium Grid'!$L14-1)</f>
        <v/>
      </c>
      <c r="K35" s="53">
        <f>IF('Premium Grid'!$L14=0,"",'Premium Grid'!K14/'Premium Grid'!$L14-1)</f>
        <v/>
      </c>
      <c r="L35" s="53">
        <f>IF('Premium Grid'!$L14=0,"",'Premium Grid'!L14/'Premium Grid'!$L14-1)</f>
        <v/>
      </c>
      <c r="M35" s="53">
        <f>IF('Premium Grid'!$L14=0,"",'Premium Grid'!M14/'Premium Grid'!$L14-1)</f>
        <v/>
      </c>
      <c r="N35" s="53">
        <f>IF('Premium Grid'!$L14=0,"",'Premium Grid'!N14/'Premium Grid'!$L14-1)</f>
        <v/>
      </c>
      <c r="O35" s="53">
        <f>IF('Premium Grid'!$L14=0,"",'Premium Grid'!O14/'Premium Grid'!$L14-1)</f>
        <v/>
      </c>
      <c r="P35" s="53">
        <f>IF('Premium Grid'!$L14=0,"",'Premium Grid'!P14/'Premium Grid'!$L14-1)</f>
        <v/>
      </c>
      <c r="Q35" s="53">
        <f>IF('Premium Grid'!$L14=0,"",'Premium Grid'!Q14/'Premium Grid'!$L14-1)</f>
        <v/>
      </c>
      <c r="R35" s="53">
        <f>IF('Premium Grid'!$L14=0,"",'Premium Grid'!R14/'Premium Grid'!$L14-1)</f>
        <v/>
      </c>
      <c r="S35" s="53">
        <f>IF('Premium Grid'!$L14=0,"",'Premium Grid'!S14/'Premium Grid'!$L14-1)</f>
        <v/>
      </c>
      <c r="T35" s="53">
        <f>IF('Premium Grid'!$L14=0,"",'Premium Grid'!T14/'Premium Grid'!$L14-1)</f>
        <v/>
      </c>
      <c r="U35" s="53">
        <f>IF('Premium Grid'!$L14=0,"",'Premium Grid'!U14/'Premium Grid'!$L14-1)</f>
        <v/>
      </c>
      <c r="V35" s="53">
        <f>IF('Premium Grid'!$L14=0,"",'Premium Grid'!V14/'Premium Grid'!$L14-1)</f>
        <v/>
      </c>
      <c r="W35" s="53">
        <f>IF('Premium Grid'!$L14=0,"",'Premium Grid'!W14/'Premium Grid'!$L14-1)</f>
        <v/>
      </c>
      <c r="X35" s="53">
        <f>IF('Premium Grid'!$L14=0,"",'Premium Grid'!X14/'Premium Grid'!$L14-1)</f>
        <v/>
      </c>
      <c r="Y35" s="53">
        <f>IF('Premium Grid'!$L14=0,"",'Premium Grid'!Y14/'Premium Grid'!$L14-1)</f>
        <v/>
      </c>
      <c r="Z35" s="53">
        <f>IF('Premium Grid'!$L14=0,"",'Premium Grid'!Z14/'Premium Grid'!$L14-1)</f>
        <v/>
      </c>
      <c r="AA35" s="53">
        <f>IF('Premium Grid'!$L14=0,"",'Premium Grid'!AA14/'Premium Grid'!$L14-1)</f>
        <v/>
      </c>
      <c r="AB35" s="53">
        <f>IF('Premium Grid'!$L14=0,"",'Premium Grid'!AB14/'Premium Grid'!$L14-1)</f>
        <v/>
      </c>
      <c r="AC35" s="53">
        <f>IF('Premium Grid'!$L14=0,"",'Premium Grid'!AC14/'Premium Grid'!$L14-1)</f>
        <v/>
      </c>
      <c r="AD35" s="53">
        <f>IF('Premium Grid'!$L14=0,"",'Premium Grid'!AD14/'Premium Grid'!$L14-1)</f>
        <v/>
      </c>
      <c r="AE35" s="53">
        <f>IF('Premium Grid'!$L14=0,"",'Premium Grid'!AE14/'Premium Grid'!$L14-1)</f>
        <v/>
      </c>
      <c r="AF35" s="53">
        <f>IF('Premium Grid'!$L14=0,"",'Premium Grid'!AF14/'Premium Grid'!$L14-1)</f>
        <v/>
      </c>
      <c r="AG35" s="53">
        <f>IF('Premium Grid'!$L14=0,"",'Premium Grid'!AG14/'Premium Grid'!$L14-1)</f>
        <v/>
      </c>
      <c r="AH35" s="53">
        <f>IF('Premium Grid'!$L14=0,"",'Premium Grid'!AH14/'Premium Grid'!$L14-1)</f>
        <v/>
      </c>
      <c r="AI35" s="53">
        <f>IF('Premium Grid'!$L14=0,"",'Premium Grid'!AI14/'Premium Grid'!$L14-1)</f>
        <v/>
      </c>
      <c r="AJ35" s="53">
        <f>IF('Premium Grid'!$L14=0,"",'Premium Grid'!AJ14/'Premium Grid'!$L14-1)</f>
        <v/>
      </c>
      <c r="AK35" s="53">
        <f>IF('Premium Grid'!$L14=0,"",'Premium Grid'!AK14/'Premium Grid'!$L14-1)</f>
        <v/>
      </c>
      <c r="AL35" s="53">
        <f>IF('Premium Grid'!$L14=0,"",'Premium Grid'!AL14/'Premium Grid'!$L14-1)</f>
        <v/>
      </c>
      <c r="AM35" s="53">
        <f>IF('Premium Grid'!$L14=0,"",'Premium Grid'!AM14/'Premium Grid'!$L14-1)</f>
        <v/>
      </c>
      <c r="AN35" s="53">
        <f>IF('Premium Grid'!$L14=0,"",'Premium Grid'!AN14/'Premium Grid'!$L14-1)</f>
        <v/>
      </c>
      <c r="AO35" s="53">
        <f>IF('Premium Grid'!$L14=0,"",'Premium Grid'!AO14/'Premium Grid'!$L14-1)</f>
        <v/>
      </c>
      <c r="AP35" s="53">
        <f>IF('Premium Grid'!$L14=0,"",'Premium Grid'!AP14/'Premium Grid'!$L14-1)</f>
        <v/>
      </c>
      <c r="AQ35" s="53">
        <f>IF('Premium Grid'!$L14=0,"",'Premium Grid'!AQ14/'Premium Grid'!$L14-1)</f>
        <v/>
      </c>
      <c r="AR35" s="53">
        <f>IF('Premium Grid'!$L14=0,"",'Premium Grid'!AR14/'Premium Grid'!$L14-1)</f>
        <v/>
      </c>
      <c r="AS35" s="53">
        <f>IF('Premium Grid'!$L14=0,"",'Premium Grid'!AS14/'Premium Grid'!$L14-1)</f>
        <v/>
      </c>
      <c r="AT35" s="53">
        <f>IF('Premium Grid'!$L14=0,"",'Premium Grid'!AT14/'Premium Grid'!$L14-1)</f>
        <v/>
      </c>
      <c r="AU35" s="53">
        <f>IF('Premium Grid'!$L14=0,"",'Premium Grid'!AU14/'Premium Grid'!$L14-1)</f>
        <v/>
      </c>
      <c r="AV35" s="53">
        <f>IF('Premium Grid'!$L14=0,"",'Premium Grid'!AV14/'Premium Grid'!$L14-1)</f>
        <v/>
      </c>
    </row>
    <row r="36">
      <c r="A36" s="27" t="inlineStr">
        <is>
          <t>+0.75%</t>
        </is>
      </c>
      <c r="B36" s="47">
        <f>'BS Engine'!$B$13</f>
        <v/>
      </c>
      <c r="C36" s="28">
        <f>'BS Engine'!$C$13</f>
        <v/>
      </c>
      <c r="D36" s="52">
        <f>IF('Premium Grid'!$L15=0,"",'Premium Grid'!D15/'Premium Grid'!$L15-1)</f>
        <v/>
      </c>
      <c r="E36" s="53">
        <f>IF('Premium Grid'!$L15=0,"",'Premium Grid'!E15/'Premium Grid'!$L15-1)</f>
        <v/>
      </c>
      <c r="F36" s="53">
        <f>IF('Premium Grid'!$L15=0,"",'Premium Grid'!F15/'Premium Grid'!$L15-1)</f>
        <v/>
      </c>
      <c r="G36" s="53">
        <f>IF('Premium Grid'!$L15=0,"",'Premium Grid'!G15/'Premium Grid'!$L15-1)</f>
        <v/>
      </c>
      <c r="H36" s="53">
        <f>IF('Premium Grid'!$L15=0,"",'Premium Grid'!H15/'Premium Grid'!$L15-1)</f>
        <v/>
      </c>
      <c r="I36" s="53">
        <f>IF('Premium Grid'!$L15=0,"",'Premium Grid'!I15/'Premium Grid'!$L15-1)</f>
        <v/>
      </c>
      <c r="J36" s="53">
        <f>IF('Premium Grid'!$L15=0,"",'Premium Grid'!J15/'Premium Grid'!$L15-1)</f>
        <v/>
      </c>
      <c r="K36" s="53">
        <f>IF('Premium Grid'!$L15=0,"",'Premium Grid'!K15/'Premium Grid'!$L15-1)</f>
        <v/>
      </c>
      <c r="L36" s="53">
        <f>IF('Premium Grid'!$L15=0,"",'Premium Grid'!L15/'Premium Grid'!$L15-1)</f>
        <v/>
      </c>
      <c r="M36" s="53">
        <f>IF('Premium Grid'!$L15=0,"",'Premium Grid'!M15/'Premium Grid'!$L15-1)</f>
        <v/>
      </c>
      <c r="N36" s="53">
        <f>IF('Premium Grid'!$L15=0,"",'Premium Grid'!N15/'Premium Grid'!$L15-1)</f>
        <v/>
      </c>
      <c r="O36" s="53">
        <f>IF('Premium Grid'!$L15=0,"",'Premium Grid'!O15/'Premium Grid'!$L15-1)</f>
        <v/>
      </c>
      <c r="P36" s="53">
        <f>IF('Premium Grid'!$L15=0,"",'Premium Grid'!P15/'Premium Grid'!$L15-1)</f>
        <v/>
      </c>
      <c r="Q36" s="53">
        <f>IF('Premium Grid'!$L15=0,"",'Premium Grid'!Q15/'Premium Grid'!$L15-1)</f>
        <v/>
      </c>
      <c r="R36" s="53">
        <f>IF('Premium Grid'!$L15=0,"",'Premium Grid'!R15/'Premium Grid'!$L15-1)</f>
        <v/>
      </c>
      <c r="S36" s="53">
        <f>IF('Premium Grid'!$L15=0,"",'Premium Grid'!S15/'Premium Grid'!$L15-1)</f>
        <v/>
      </c>
      <c r="T36" s="53">
        <f>IF('Premium Grid'!$L15=0,"",'Premium Grid'!T15/'Premium Grid'!$L15-1)</f>
        <v/>
      </c>
      <c r="U36" s="53">
        <f>IF('Premium Grid'!$L15=0,"",'Premium Grid'!U15/'Premium Grid'!$L15-1)</f>
        <v/>
      </c>
      <c r="V36" s="53">
        <f>IF('Premium Grid'!$L15=0,"",'Premium Grid'!V15/'Premium Grid'!$L15-1)</f>
        <v/>
      </c>
      <c r="W36" s="53">
        <f>IF('Premium Grid'!$L15=0,"",'Premium Grid'!W15/'Premium Grid'!$L15-1)</f>
        <v/>
      </c>
      <c r="X36" s="53">
        <f>IF('Premium Grid'!$L15=0,"",'Premium Grid'!X15/'Premium Grid'!$L15-1)</f>
        <v/>
      </c>
      <c r="Y36" s="53">
        <f>IF('Premium Grid'!$L15=0,"",'Premium Grid'!Y15/'Premium Grid'!$L15-1)</f>
        <v/>
      </c>
      <c r="Z36" s="53">
        <f>IF('Premium Grid'!$L15=0,"",'Premium Grid'!Z15/'Premium Grid'!$L15-1)</f>
        <v/>
      </c>
      <c r="AA36" s="53">
        <f>IF('Premium Grid'!$L15=0,"",'Premium Grid'!AA15/'Premium Grid'!$L15-1)</f>
        <v/>
      </c>
      <c r="AB36" s="53">
        <f>IF('Premium Grid'!$L15=0,"",'Premium Grid'!AB15/'Premium Grid'!$L15-1)</f>
        <v/>
      </c>
      <c r="AC36" s="53">
        <f>IF('Premium Grid'!$L15=0,"",'Premium Grid'!AC15/'Premium Grid'!$L15-1)</f>
        <v/>
      </c>
      <c r="AD36" s="53">
        <f>IF('Premium Grid'!$L15=0,"",'Premium Grid'!AD15/'Premium Grid'!$L15-1)</f>
        <v/>
      </c>
      <c r="AE36" s="53">
        <f>IF('Premium Grid'!$L15=0,"",'Premium Grid'!AE15/'Premium Grid'!$L15-1)</f>
        <v/>
      </c>
      <c r="AF36" s="53">
        <f>IF('Premium Grid'!$L15=0,"",'Premium Grid'!AF15/'Premium Grid'!$L15-1)</f>
        <v/>
      </c>
      <c r="AG36" s="53">
        <f>IF('Premium Grid'!$L15=0,"",'Premium Grid'!AG15/'Premium Grid'!$L15-1)</f>
        <v/>
      </c>
      <c r="AH36" s="53">
        <f>IF('Premium Grid'!$L15=0,"",'Premium Grid'!AH15/'Premium Grid'!$L15-1)</f>
        <v/>
      </c>
      <c r="AI36" s="53">
        <f>IF('Premium Grid'!$L15=0,"",'Premium Grid'!AI15/'Premium Grid'!$L15-1)</f>
        <v/>
      </c>
      <c r="AJ36" s="53">
        <f>IF('Premium Grid'!$L15=0,"",'Premium Grid'!AJ15/'Premium Grid'!$L15-1)</f>
        <v/>
      </c>
      <c r="AK36" s="53">
        <f>IF('Premium Grid'!$L15=0,"",'Premium Grid'!AK15/'Premium Grid'!$L15-1)</f>
        <v/>
      </c>
      <c r="AL36" s="53">
        <f>IF('Premium Grid'!$L15=0,"",'Premium Grid'!AL15/'Premium Grid'!$L15-1)</f>
        <v/>
      </c>
      <c r="AM36" s="53">
        <f>IF('Premium Grid'!$L15=0,"",'Premium Grid'!AM15/'Premium Grid'!$L15-1)</f>
        <v/>
      </c>
      <c r="AN36" s="53">
        <f>IF('Premium Grid'!$L15=0,"",'Premium Grid'!AN15/'Premium Grid'!$L15-1)</f>
        <v/>
      </c>
      <c r="AO36" s="53">
        <f>IF('Premium Grid'!$L15=0,"",'Premium Grid'!AO15/'Premium Grid'!$L15-1)</f>
        <v/>
      </c>
      <c r="AP36" s="53">
        <f>IF('Premium Grid'!$L15=0,"",'Premium Grid'!AP15/'Premium Grid'!$L15-1)</f>
        <v/>
      </c>
      <c r="AQ36" s="53">
        <f>IF('Premium Grid'!$L15=0,"",'Premium Grid'!AQ15/'Premium Grid'!$L15-1)</f>
        <v/>
      </c>
      <c r="AR36" s="53">
        <f>IF('Premium Grid'!$L15=0,"",'Premium Grid'!AR15/'Premium Grid'!$L15-1)</f>
        <v/>
      </c>
      <c r="AS36" s="53">
        <f>IF('Premium Grid'!$L15=0,"",'Premium Grid'!AS15/'Premium Grid'!$L15-1)</f>
        <v/>
      </c>
      <c r="AT36" s="53">
        <f>IF('Premium Grid'!$L15=0,"",'Premium Grid'!AT15/'Premium Grid'!$L15-1)</f>
        <v/>
      </c>
      <c r="AU36" s="53">
        <f>IF('Premium Grid'!$L15=0,"",'Premium Grid'!AU15/'Premium Grid'!$L15-1)</f>
        <v/>
      </c>
      <c r="AV36" s="53">
        <f>IF('Premium Grid'!$L15=0,"",'Premium Grid'!AV15/'Premium Grid'!$L15-1)</f>
        <v/>
      </c>
    </row>
    <row r="37">
      <c r="A37" s="27" t="inlineStr">
        <is>
          <t>+1.00%</t>
        </is>
      </c>
      <c r="B37" s="47">
        <f>'BS Engine'!$B$14</f>
        <v/>
      </c>
      <c r="C37" s="28">
        <f>'BS Engine'!$C$14</f>
        <v/>
      </c>
      <c r="D37" s="52">
        <f>IF('Premium Grid'!$L16=0,"",'Premium Grid'!D16/'Premium Grid'!$L16-1)</f>
        <v/>
      </c>
      <c r="E37" s="53">
        <f>IF('Premium Grid'!$L16=0,"",'Premium Grid'!E16/'Premium Grid'!$L16-1)</f>
        <v/>
      </c>
      <c r="F37" s="53">
        <f>IF('Premium Grid'!$L16=0,"",'Premium Grid'!F16/'Premium Grid'!$L16-1)</f>
        <v/>
      </c>
      <c r="G37" s="53">
        <f>IF('Premium Grid'!$L16=0,"",'Premium Grid'!G16/'Premium Grid'!$L16-1)</f>
        <v/>
      </c>
      <c r="H37" s="53">
        <f>IF('Premium Grid'!$L16=0,"",'Premium Grid'!H16/'Premium Grid'!$L16-1)</f>
        <v/>
      </c>
      <c r="I37" s="53">
        <f>IF('Premium Grid'!$L16=0,"",'Premium Grid'!I16/'Premium Grid'!$L16-1)</f>
        <v/>
      </c>
      <c r="J37" s="53">
        <f>IF('Premium Grid'!$L16=0,"",'Premium Grid'!J16/'Premium Grid'!$L16-1)</f>
        <v/>
      </c>
      <c r="K37" s="53">
        <f>IF('Premium Grid'!$L16=0,"",'Premium Grid'!K16/'Premium Grid'!$L16-1)</f>
        <v/>
      </c>
      <c r="L37" s="53">
        <f>IF('Premium Grid'!$L16=0,"",'Premium Grid'!L16/'Premium Grid'!$L16-1)</f>
        <v/>
      </c>
      <c r="M37" s="53">
        <f>IF('Premium Grid'!$L16=0,"",'Premium Grid'!M16/'Premium Grid'!$L16-1)</f>
        <v/>
      </c>
      <c r="N37" s="53">
        <f>IF('Premium Grid'!$L16=0,"",'Premium Grid'!N16/'Premium Grid'!$L16-1)</f>
        <v/>
      </c>
      <c r="O37" s="53">
        <f>IF('Premium Grid'!$L16=0,"",'Premium Grid'!O16/'Premium Grid'!$L16-1)</f>
        <v/>
      </c>
      <c r="P37" s="53">
        <f>IF('Premium Grid'!$L16=0,"",'Premium Grid'!P16/'Premium Grid'!$L16-1)</f>
        <v/>
      </c>
      <c r="Q37" s="53">
        <f>IF('Premium Grid'!$L16=0,"",'Premium Grid'!Q16/'Premium Grid'!$L16-1)</f>
        <v/>
      </c>
      <c r="R37" s="53">
        <f>IF('Premium Grid'!$L16=0,"",'Premium Grid'!R16/'Premium Grid'!$L16-1)</f>
        <v/>
      </c>
      <c r="S37" s="53">
        <f>IF('Premium Grid'!$L16=0,"",'Premium Grid'!S16/'Premium Grid'!$L16-1)</f>
        <v/>
      </c>
      <c r="T37" s="53">
        <f>IF('Premium Grid'!$L16=0,"",'Premium Grid'!T16/'Premium Grid'!$L16-1)</f>
        <v/>
      </c>
      <c r="U37" s="53">
        <f>IF('Premium Grid'!$L16=0,"",'Premium Grid'!U16/'Premium Grid'!$L16-1)</f>
        <v/>
      </c>
      <c r="V37" s="53">
        <f>IF('Premium Grid'!$L16=0,"",'Premium Grid'!V16/'Premium Grid'!$L16-1)</f>
        <v/>
      </c>
      <c r="W37" s="53">
        <f>IF('Premium Grid'!$L16=0,"",'Premium Grid'!W16/'Premium Grid'!$L16-1)</f>
        <v/>
      </c>
      <c r="X37" s="53">
        <f>IF('Premium Grid'!$L16=0,"",'Premium Grid'!X16/'Premium Grid'!$L16-1)</f>
        <v/>
      </c>
      <c r="Y37" s="53">
        <f>IF('Premium Grid'!$L16=0,"",'Premium Grid'!Y16/'Premium Grid'!$L16-1)</f>
        <v/>
      </c>
      <c r="Z37" s="53">
        <f>IF('Premium Grid'!$L16=0,"",'Premium Grid'!Z16/'Premium Grid'!$L16-1)</f>
        <v/>
      </c>
      <c r="AA37" s="53">
        <f>IF('Premium Grid'!$L16=0,"",'Premium Grid'!AA16/'Premium Grid'!$L16-1)</f>
        <v/>
      </c>
      <c r="AB37" s="53">
        <f>IF('Premium Grid'!$L16=0,"",'Premium Grid'!AB16/'Premium Grid'!$L16-1)</f>
        <v/>
      </c>
      <c r="AC37" s="53">
        <f>IF('Premium Grid'!$L16=0,"",'Premium Grid'!AC16/'Premium Grid'!$L16-1)</f>
        <v/>
      </c>
      <c r="AD37" s="53">
        <f>IF('Premium Grid'!$L16=0,"",'Premium Grid'!AD16/'Premium Grid'!$L16-1)</f>
        <v/>
      </c>
      <c r="AE37" s="53">
        <f>IF('Premium Grid'!$L16=0,"",'Premium Grid'!AE16/'Premium Grid'!$L16-1)</f>
        <v/>
      </c>
      <c r="AF37" s="53">
        <f>IF('Premium Grid'!$L16=0,"",'Premium Grid'!AF16/'Premium Grid'!$L16-1)</f>
        <v/>
      </c>
      <c r="AG37" s="53">
        <f>IF('Premium Grid'!$L16=0,"",'Premium Grid'!AG16/'Premium Grid'!$L16-1)</f>
        <v/>
      </c>
      <c r="AH37" s="53">
        <f>IF('Premium Grid'!$L16=0,"",'Premium Grid'!AH16/'Premium Grid'!$L16-1)</f>
        <v/>
      </c>
      <c r="AI37" s="53">
        <f>IF('Premium Grid'!$L16=0,"",'Premium Grid'!AI16/'Premium Grid'!$L16-1)</f>
        <v/>
      </c>
      <c r="AJ37" s="53">
        <f>IF('Premium Grid'!$L16=0,"",'Premium Grid'!AJ16/'Premium Grid'!$L16-1)</f>
        <v/>
      </c>
      <c r="AK37" s="53">
        <f>IF('Premium Grid'!$L16=0,"",'Premium Grid'!AK16/'Premium Grid'!$L16-1)</f>
        <v/>
      </c>
      <c r="AL37" s="53">
        <f>IF('Premium Grid'!$L16=0,"",'Premium Grid'!AL16/'Premium Grid'!$L16-1)</f>
        <v/>
      </c>
      <c r="AM37" s="53">
        <f>IF('Premium Grid'!$L16=0,"",'Premium Grid'!AM16/'Premium Grid'!$L16-1)</f>
        <v/>
      </c>
      <c r="AN37" s="53">
        <f>IF('Premium Grid'!$L16=0,"",'Premium Grid'!AN16/'Premium Grid'!$L16-1)</f>
        <v/>
      </c>
      <c r="AO37" s="53">
        <f>IF('Premium Grid'!$L16=0,"",'Premium Grid'!AO16/'Premium Grid'!$L16-1)</f>
        <v/>
      </c>
      <c r="AP37" s="53">
        <f>IF('Premium Grid'!$L16=0,"",'Premium Grid'!AP16/'Premium Grid'!$L16-1)</f>
        <v/>
      </c>
      <c r="AQ37" s="53">
        <f>IF('Premium Grid'!$L16=0,"",'Premium Grid'!AQ16/'Premium Grid'!$L16-1)</f>
        <v/>
      </c>
      <c r="AR37" s="53">
        <f>IF('Premium Grid'!$L16=0,"",'Premium Grid'!AR16/'Premium Grid'!$L16-1)</f>
        <v/>
      </c>
      <c r="AS37" s="53">
        <f>IF('Premium Grid'!$L16=0,"",'Premium Grid'!AS16/'Premium Grid'!$L16-1)</f>
        <v/>
      </c>
      <c r="AT37" s="53">
        <f>IF('Premium Grid'!$L16=0,"",'Premium Grid'!AT16/'Premium Grid'!$L16-1)</f>
        <v/>
      </c>
      <c r="AU37" s="53">
        <f>IF('Premium Grid'!$L16=0,"",'Premium Grid'!AU16/'Premium Grid'!$L16-1)</f>
        <v/>
      </c>
      <c r="AV37" s="53">
        <f>IF('Premium Grid'!$L16=0,"",'Premium Grid'!AV16/'Premium Grid'!$L16-1)</f>
        <v/>
      </c>
    </row>
    <row r="38">
      <c r="A38" s="27" t="inlineStr">
        <is>
          <t>+1.25%</t>
        </is>
      </c>
      <c r="B38" s="47">
        <f>'BS Engine'!$B$15</f>
        <v/>
      </c>
      <c r="C38" s="28">
        <f>'BS Engine'!$C$15</f>
        <v/>
      </c>
      <c r="D38" s="52">
        <f>IF('Premium Grid'!$L17=0,"",'Premium Grid'!D17/'Premium Grid'!$L17-1)</f>
        <v/>
      </c>
      <c r="E38" s="53">
        <f>IF('Premium Grid'!$L17=0,"",'Premium Grid'!E17/'Premium Grid'!$L17-1)</f>
        <v/>
      </c>
      <c r="F38" s="53">
        <f>IF('Premium Grid'!$L17=0,"",'Premium Grid'!F17/'Premium Grid'!$L17-1)</f>
        <v/>
      </c>
      <c r="G38" s="53">
        <f>IF('Premium Grid'!$L17=0,"",'Premium Grid'!G17/'Premium Grid'!$L17-1)</f>
        <v/>
      </c>
      <c r="H38" s="53">
        <f>IF('Premium Grid'!$L17=0,"",'Premium Grid'!H17/'Premium Grid'!$L17-1)</f>
        <v/>
      </c>
      <c r="I38" s="53">
        <f>IF('Premium Grid'!$L17=0,"",'Premium Grid'!I17/'Premium Grid'!$L17-1)</f>
        <v/>
      </c>
      <c r="J38" s="53">
        <f>IF('Premium Grid'!$L17=0,"",'Premium Grid'!J17/'Premium Grid'!$L17-1)</f>
        <v/>
      </c>
      <c r="K38" s="53">
        <f>IF('Premium Grid'!$L17=0,"",'Premium Grid'!K17/'Premium Grid'!$L17-1)</f>
        <v/>
      </c>
      <c r="L38" s="53">
        <f>IF('Premium Grid'!$L17=0,"",'Premium Grid'!L17/'Premium Grid'!$L17-1)</f>
        <v/>
      </c>
      <c r="M38" s="53">
        <f>IF('Premium Grid'!$L17=0,"",'Premium Grid'!M17/'Premium Grid'!$L17-1)</f>
        <v/>
      </c>
      <c r="N38" s="53">
        <f>IF('Premium Grid'!$L17=0,"",'Premium Grid'!N17/'Premium Grid'!$L17-1)</f>
        <v/>
      </c>
      <c r="O38" s="53">
        <f>IF('Premium Grid'!$L17=0,"",'Premium Grid'!O17/'Premium Grid'!$L17-1)</f>
        <v/>
      </c>
      <c r="P38" s="53">
        <f>IF('Premium Grid'!$L17=0,"",'Premium Grid'!P17/'Premium Grid'!$L17-1)</f>
        <v/>
      </c>
      <c r="Q38" s="53">
        <f>IF('Premium Grid'!$L17=0,"",'Premium Grid'!Q17/'Premium Grid'!$L17-1)</f>
        <v/>
      </c>
      <c r="R38" s="53">
        <f>IF('Premium Grid'!$L17=0,"",'Premium Grid'!R17/'Premium Grid'!$L17-1)</f>
        <v/>
      </c>
      <c r="S38" s="53">
        <f>IF('Premium Grid'!$L17=0,"",'Premium Grid'!S17/'Premium Grid'!$L17-1)</f>
        <v/>
      </c>
      <c r="T38" s="53">
        <f>IF('Premium Grid'!$L17=0,"",'Premium Grid'!T17/'Premium Grid'!$L17-1)</f>
        <v/>
      </c>
      <c r="U38" s="53">
        <f>IF('Premium Grid'!$L17=0,"",'Premium Grid'!U17/'Premium Grid'!$L17-1)</f>
        <v/>
      </c>
      <c r="V38" s="53">
        <f>IF('Premium Grid'!$L17=0,"",'Premium Grid'!V17/'Premium Grid'!$L17-1)</f>
        <v/>
      </c>
      <c r="W38" s="53">
        <f>IF('Premium Grid'!$L17=0,"",'Premium Grid'!W17/'Premium Grid'!$L17-1)</f>
        <v/>
      </c>
      <c r="X38" s="53">
        <f>IF('Premium Grid'!$L17=0,"",'Premium Grid'!X17/'Premium Grid'!$L17-1)</f>
        <v/>
      </c>
      <c r="Y38" s="53">
        <f>IF('Premium Grid'!$L17=0,"",'Premium Grid'!Y17/'Premium Grid'!$L17-1)</f>
        <v/>
      </c>
      <c r="Z38" s="53">
        <f>IF('Premium Grid'!$L17=0,"",'Premium Grid'!Z17/'Premium Grid'!$L17-1)</f>
        <v/>
      </c>
      <c r="AA38" s="53">
        <f>IF('Premium Grid'!$L17=0,"",'Premium Grid'!AA17/'Premium Grid'!$L17-1)</f>
        <v/>
      </c>
      <c r="AB38" s="53">
        <f>IF('Premium Grid'!$L17=0,"",'Premium Grid'!AB17/'Premium Grid'!$L17-1)</f>
        <v/>
      </c>
      <c r="AC38" s="53">
        <f>IF('Premium Grid'!$L17=0,"",'Premium Grid'!AC17/'Premium Grid'!$L17-1)</f>
        <v/>
      </c>
      <c r="AD38" s="53">
        <f>IF('Premium Grid'!$L17=0,"",'Premium Grid'!AD17/'Premium Grid'!$L17-1)</f>
        <v/>
      </c>
      <c r="AE38" s="53">
        <f>IF('Premium Grid'!$L17=0,"",'Premium Grid'!AE17/'Premium Grid'!$L17-1)</f>
        <v/>
      </c>
      <c r="AF38" s="53">
        <f>IF('Premium Grid'!$L17=0,"",'Premium Grid'!AF17/'Premium Grid'!$L17-1)</f>
        <v/>
      </c>
      <c r="AG38" s="53">
        <f>IF('Premium Grid'!$L17=0,"",'Premium Grid'!AG17/'Premium Grid'!$L17-1)</f>
        <v/>
      </c>
      <c r="AH38" s="53">
        <f>IF('Premium Grid'!$L17=0,"",'Premium Grid'!AH17/'Premium Grid'!$L17-1)</f>
        <v/>
      </c>
      <c r="AI38" s="53">
        <f>IF('Premium Grid'!$L17=0,"",'Premium Grid'!AI17/'Premium Grid'!$L17-1)</f>
        <v/>
      </c>
      <c r="AJ38" s="53">
        <f>IF('Premium Grid'!$L17=0,"",'Premium Grid'!AJ17/'Premium Grid'!$L17-1)</f>
        <v/>
      </c>
      <c r="AK38" s="53">
        <f>IF('Premium Grid'!$L17=0,"",'Premium Grid'!AK17/'Premium Grid'!$L17-1)</f>
        <v/>
      </c>
      <c r="AL38" s="53">
        <f>IF('Premium Grid'!$L17=0,"",'Premium Grid'!AL17/'Premium Grid'!$L17-1)</f>
        <v/>
      </c>
      <c r="AM38" s="53">
        <f>IF('Premium Grid'!$L17=0,"",'Premium Grid'!AM17/'Premium Grid'!$L17-1)</f>
        <v/>
      </c>
      <c r="AN38" s="53">
        <f>IF('Premium Grid'!$L17=0,"",'Premium Grid'!AN17/'Premium Grid'!$L17-1)</f>
        <v/>
      </c>
      <c r="AO38" s="53">
        <f>IF('Premium Grid'!$L17=0,"",'Premium Grid'!AO17/'Premium Grid'!$L17-1)</f>
        <v/>
      </c>
      <c r="AP38" s="53">
        <f>IF('Premium Grid'!$L17=0,"",'Premium Grid'!AP17/'Premium Grid'!$L17-1)</f>
        <v/>
      </c>
      <c r="AQ38" s="53">
        <f>IF('Premium Grid'!$L17=0,"",'Premium Grid'!AQ17/'Premium Grid'!$L17-1)</f>
        <v/>
      </c>
      <c r="AR38" s="53">
        <f>IF('Premium Grid'!$L17=0,"",'Premium Grid'!AR17/'Premium Grid'!$L17-1)</f>
        <v/>
      </c>
      <c r="AS38" s="53">
        <f>IF('Premium Grid'!$L17=0,"",'Premium Grid'!AS17/'Premium Grid'!$L17-1)</f>
        <v/>
      </c>
      <c r="AT38" s="53">
        <f>IF('Premium Grid'!$L17=0,"",'Premium Grid'!AT17/'Premium Grid'!$L17-1)</f>
        <v/>
      </c>
      <c r="AU38" s="53">
        <f>IF('Premium Grid'!$L17=0,"",'Premium Grid'!AU17/'Premium Grid'!$L17-1)</f>
        <v/>
      </c>
      <c r="AV38" s="53">
        <f>IF('Premium Grid'!$L17=0,"",'Premium Grid'!AV17/'Premium Grid'!$L17-1)</f>
        <v/>
      </c>
    </row>
    <row r="39">
      <c r="A39" s="27" t="inlineStr">
        <is>
          <t>+1.50%</t>
        </is>
      </c>
      <c r="B39" s="47">
        <f>'BS Engine'!$B$16</f>
        <v/>
      </c>
      <c r="C39" s="28">
        <f>'BS Engine'!$C$16</f>
        <v/>
      </c>
      <c r="D39" s="52">
        <f>IF('Premium Grid'!$L18=0,"",'Premium Grid'!D18/'Premium Grid'!$L18-1)</f>
        <v/>
      </c>
      <c r="E39" s="53">
        <f>IF('Premium Grid'!$L18=0,"",'Premium Grid'!E18/'Premium Grid'!$L18-1)</f>
        <v/>
      </c>
      <c r="F39" s="53">
        <f>IF('Premium Grid'!$L18=0,"",'Premium Grid'!F18/'Premium Grid'!$L18-1)</f>
        <v/>
      </c>
      <c r="G39" s="53">
        <f>IF('Premium Grid'!$L18=0,"",'Premium Grid'!G18/'Premium Grid'!$L18-1)</f>
        <v/>
      </c>
      <c r="H39" s="53">
        <f>IF('Premium Grid'!$L18=0,"",'Premium Grid'!H18/'Premium Grid'!$L18-1)</f>
        <v/>
      </c>
      <c r="I39" s="53">
        <f>IF('Premium Grid'!$L18=0,"",'Premium Grid'!I18/'Premium Grid'!$L18-1)</f>
        <v/>
      </c>
      <c r="J39" s="53">
        <f>IF('Premium Grid'!$L18=0,"",'Premium Grid'!J18/'Premium Grid'!$L18-1)</f>
        <v/>
      </c>
      <c r="K39" s="53">
        <f>IF('Premium Grid'!$L18=0,"",'Premium Grid'!K18/'Premium Grid'!$L18-1)</f>
        <v/>
      </c>
      <c r="L39" s="53">
        <f>IF('Premium Grid'!$L18=0,"",'Premium Grid'!L18/'Premium Grid'!$L18-1)</f>
        <v/>
      </c>
      <c r="M39" s="53">
        <f>IF('Premium Grid'!$L18=0,"",'Premium Grid'!M18/'Premium Grid'!$L18-1)</f>
        <v/>
      </c>
      <c r="N39" s="53">
        <f>IF('Premium Grid'!$L18=0,"",'Premium Grid'!N18/'Premium Grid'!$L18-1)</f>
        <v/>
      </c>
      <c r="O39" s="53">
        <f>IF('Premium Grid'!$L18=0,"",'Premium Grid'!O18/'Premium Grid'!$L18-1)</f>
        <v/>
      </c>
      <c r="P39" s="53">
        <f>IF('Premium Grid'!$L18=0,"",'Premium Grid'!P18/'Premium Grid'!$L18-1)</f>
        <v/>
      </c>
      <c r="Q39" s="53">
        <f>IF('Premium Grid'!$L18=0,"",'Premium Grid'!Q18/'Premium Grid'!$L18-1)</f>
        <v/>
      </c>
      <c r="R39" s="53">
        <f>IF('Premium Grid'!$L18=0,"",'Premium Grid'!R18/'Premium Grid'!$L18-1)</f>
        <v/>
      </c>
      <c r="S39" s="53">
        <f>IF('Premium Grid'!$L18=0,"",'Premium Grid'!S18/'Premium Grid'!$L18-1)</f>
        <v/>
      </c>
      <c r="T39" s="53">
        <f>IF('Premium Grid'!$L18=0,"",'Premium Grid'!T18/'Premium Grid'!$L18-1)</f>
        <v/>
      </c>
      <c r="U39" s="53">
        <f>IF('Premium Grid'!$L18=0,"",'Premium Grid'!U18/'Premium Grid'!$L18-1)</f>
        <v/>
      </c>
      <c r="V39" s="53">
        <f>IF('Premium Grid'!$L18=0,"",'Premium Grid'!V18/'Premium Grid'!$L18-1)</f>
        <v/>
      </c>
      <c r="W39" s="53">
        <f>IF('Premium Grid'!$L18=0,"",'Premium Grid'!W18/'Premium Grid'!$L18-1)</f>
        <v/>
      </c>
      <c r="X39" s="53">
        <f>IF('Premium Grid'!$L18=0,"",'Premium Grid'!X18/'Premium Grid'!$L18-1)</f>
        <v/>
      </c>
      <c r="Y39" s="53">
        <f>IF('Premium Grid'!$L18=0,"",'Premium Grid'!Y18/'Premium Grid'!$L18-1)</f>
        <v/>
      </c>
      <c r="Z39" s="53">
        <f>IF('Premium Grid'!$L18=0,"",'Premium Grid'!Z18/'Premium Grid'!$L18-1)</f>
        <v/>
      </c>
      <c r="AA39" s="53">
        <f>IF('Premium Grid'!$L18=0,"",'Premium Grid'!AA18/'Premium Grid'!$L18-1)</f>
        <v/>
      </c>
      <c r="AB39" s="53">
        <f>IF('Premium Grid'!$L18=0,"",'Premium Grid'!AB18/'Premium Grid'!$L18-1)</f>
        <v/>
      </c>
      <c r="AC39" s="53">
        <f>IF('Premium Grid'!$L18=0,"",'Premium Grid'!AC18/'Premium Grid'!$L18-1)</f>
        <v/>
      </c>
      <c r="AD39" s="53">
        <f>IF('Premium Grid'!$L18=0,"",'Premium Grid'!AD18/'Premium Grid'!$L18-1)</f>
        <v/>
      </c>
      <c r="AE39" s="53">
        <f>IF('Premium Grid'!$L18=0,"",'Premium Grid'!AE18/'Premium Grid'!$L18-1)</f>
        <v/>
      </c>
      <c r="AF39" s="53">
        <f>IF('Premium Grid'!$L18=0,"",'Premium Grid'!AF18/'Premium Grid'!$L18-1)</f>
        <v/>
      </c>
      <c r="AG39" s="53">
        <f>IF('Premium Grid'!$L18=0,"",'Premium Grid'!AG18/'Premium Grid'!$L18-1)</f>
        <v/>
      </c>
      <c r="AH39" s="53">
        <f>IF('Premium Grid'!$L18=0,"",'Premium Grid'!AH18/'Premium Grid'!$L18-1)</f>
        <v/>
      </c>
      <c r="AI39" s="53">
        <f>IF('Premium Grid'!$L18=0,"",'Premium Grid'!AI18/'Premium Grid'!$L18-1)</f>
        <v/>
      </c>
      <c r="AJ39" s="53">
        <f>IF('Premium Grid'!$L18=0,"",'Premium Grid'!AJ18/'Premium Grid'!$L18-1)</f>
        <v/>
      </c>
      <c r="AK39" s="53">
        <f>IF('Premium Grid'!$L18=0,"",'Premium Grid'!AK18/'Premium Grid'!$L18-1)</f>
        <v/>
      </c>
      <c r="AL39" s="53">
        <f>IF('Premium Grid'!$L18=0,"",'Premium Grid'!AL18/'Premium Grid'!$L18-1)</f>
        <v/>
      </c>
      <c r="AM39" s="53">
        <f>IF('Premium Grid'!$L18=0,"",'Premium Grid'!AM18/'Premium Grid'!$L18-1)</f>
        <v/>
      </c>
      <c r="AN39" s="53">
        <f>IF('Premium Grid'!$L18=0,"",'Premium Grid'!AN18/'Premium Grid'!$L18-1)</f>
        <v/>
      </c>
      <c r="AO39" s="53">
        <f>IF('Premium Grid'!$L18=0,"",'Premium Grid'!AO18/'Premium Grid'!$L18-1)</f>
        <v/>
      </c>
      <c r="AP39" s="53">
        <f>IF('Premium Grid'!$L18=0,"",'Premium Grid'!AP18/'Premium Grid'!$L18-1)</f>
        <v/>
      </c>
      <c r="AQ39" s="53">
        <f>IF('Premium Grid'!$L18=0,"",'Premium Grid'!AQ18/'Premium Grid'!$L18-1)</f>
        <v/>
      </c>
      <c r="AR39" s="53">
        <f>IF('Premium Grid'!$L18=0,"",'Premium Grid'!AR18/'Premium Grid'!$L18-1)</f>
        <v/>
      </c>
      <c r="AS39" s="53">
        <f>IF('Premium Grid'!$L18=0,"",'Premium Grid'!AS18/'Premium Grid'!$L18-1)</f>
        <v/>
      </c>
      <c r="AT39" s="53">
        <f>IF('Premium Grid'!$L18=0,"",'Premium Grid'!AT18/'Premium Grid'!$L18-1)</f>
        <v/>
      </c>
      <c r="AU39" s="53">
        <f>IF('Premium Grid'!$L18=0,"",'Premium Grid'!AU18/'Premium Grid'!$L18-1)</f>
        <v/>
      </c>
      <c r="AV39" s="53">
        <f>IF('Premium Grid'!$L18=0,"",'Premium Grid'!AV18/'Premium Grid'!$L18-1)</f>
        <v/>
      </c>
    </row>
    <row r="40">
      <c r="A40" s="27" t="inlineStr">
        <is>
          <t>+1.75%</t>
        </is>
      </c>
      <c r="B40" s="47">
        <f>'BS Engine'!$B$17</f>
        <v/>
      </c>
      <c r="C40" s="28">
        <f>'BS Engine'!$C$17</f>
        <v/>
      </c>
      <c r="D40" s="52">
        <f>IF('Premium Grid'!$L19=0,"",'Premium Grid'!D19/'Premium Grid'!$L19-1)</f>
        <v/>
      </c>
      <c r="E40" s="53">
        <f>IF('Premium Grid'!$L19=0,"",'Premium Grid'!E19/'Premium Grid'!$L19-1)</f>
        <v/>
      </c>
      <c r="F40" s="53">
        <f>IF('Premium Grid'!$L19=0,"",'Premium Grid'!F19/'Premium Grid'!$L19-1)</f>
        <v/>
      </c>
      <c r="G40" s="53">
        <f>IF('Premium Grid'!$L19=0,"",'Premium Grid'!G19/'Premium Grid'!$L19-1)</f>
        <v/>
      </c>
      <c r="H40" s="53">
        <f>IF('Premium Grid'!$L19=0,"",'Premium Grid'!H19/'Premium Grid'!$L19-1)</f>
        <v/>
      </c>
      <c r="I40" s="53">
        <f>IF('Premium Grid'!$L19=0,"",'Premium Grid'!I19/'Premium Grid'!$L19-1)</f>
        <v/>
      </c>
      <c r="J40" s="53">
        <f>IF('Premium Grid'!$L19=0,"",'Premium Grid'!J19/'Premium Grid'!$L19-1)</f>
        <v/>
      </c>
      <c r="K40" s="53">
        <f>IF('Premium Grid'!$L19=0,"",'Premium Grid'!K19/'Premium Grid'!$L19-1)</f>
        <v/>
      </c>
      <c r="L40" s="53">
        <f>IF('Premium Grid'!$L19=0,"",'Premium Grid'!L19/'Premium Grid'!$L19-1)</f>
        <v/>
      </c>
      <c r="M40" s="53">
        <f>IF('Premium Grid'!$L19=0,"",'Premium Grid'!M19/'Premium Grid'!$L19-1)</f>
        <v/>
      </c>
      <c r="N40" s="53">
        <f>IF('Premium Grid'!$L19=0,"",'Premium Grid'!N19/'Premium Grid'!$L19-1)</f>
        <v/>
      </c>
      <c r="O40" s="53">
        <f>IF('Premium Grid'!$L19=0,"",'Premium Grid'!O19/'Premium Grid'!$L19-1)</f>
        <v/>
      </c>
      <c r="P40" s="53">
        <f>IF('Premium Grid'!$L19=0,"",'Premium Grid'!P19/'Premium Grid'!$L19-1)</f>
        <v/>
      </c>
      <c r="Q40" s="53">
        <f>IF('Premium Grid'!$L19=0,"",'Premium Grid'!Q19/'Premium Grid'!$L19-1)</f>
        <v/>
      </c>
      <c r="R40" s="53">
        <f>IF('Premium Grid'!$L19=0,"",'Premium Grid'!R19/'Premium Grid'!$L19-1)</f>
        <v/>
      </c>
      <c r="S40" s="53">
        <f>IF('Premium Grid'!$L19=0,"",'Premium Grid'!S19/'Premium Grid'!$L19-1)</f>
        <v/>
      </c>
      <c r="T40" s="53">
        <f>IF('Premium Grid'!$L19=0,"",'Premium Grid'!T19/'Premium Grid'!$L19-1)</f>
        <v/>
      </c>
      <c r="U40" s="53">
        <f>IF('Premium Grid'!$L19=0,"",'Premium Grid'!U19/'Premium Grid'!$L19-1)</f>
        <v/>
      </c>
      <c r="V40" s="53">
        <f>IF('Premium Grid'!$L19=0,"",'Premium Grid'!V19/'Premium Grid'!$L19-1)</f>
        <v/>
      </c>
      <c r="W40" s="53">
        <f>IF('Premium Grid'!$L19=0,"",'Premium Grid'!W19/'Premium Grid'!$L19-1)</f>
        <v/>
      </c>
      <c r="X40" s="53">
        <f>IF('Premium Grid'!$L19=0,"",'Premium Grid'!X19/'Premium Grid'!$L19-1)</f>
        <v/>
      </c>
      <c r="Y40" s="53">
        <f>IF('Premium Grid'!$L19=0,"",'Premium Grid'!Y19/'Premium Grid'!$L19-1)</f>
        <v/>
      </c>
      <c r="Z40" s="53">
        <f>IF('Premium Grid'!$L19=0,"",'Premium Grid'!Z19/'Premium Grid'!$L19-1)</f>
        <v/>
      </c>
      <c r="AA40" s="53">
        <f>IF('Premium Grid'!$L19=0,"",'Premium Grid'!AA19/'Premium Grid'!$L19-1)</f>
        <v/>
      </c>
      <c r="AB40" s="53">
        <f>IF('Premium Grid'!$L19=0,"",'Premium Grid'!AB19/'Premium Grid'!$L19-1)</f>
        <v/>
      </c>
      <c r="AC40" s="53">
        <f>IF('Premium Grid'!$L19=0,"",'Premium Grid'!AC19/'Premium Grid'!$L19-1)</f>
        <v/>
      </c>
      <c r="AD40" s="53">
        <f>IF('Premium Grid'!$L19=0,"",'Premium Grid'!AD19/'Premium Grid'!$L19-1)</f>
        <v/>
      </c>
      <c r="AE40" s="53">
        <f>IF('Premium Grid'!$L19=0,"",'Premium Grid'!AE19/'Premium Grid'!$L19-1)</f>
        <v/>
      </c>
      <c r="AF40" s="53">
        <f>IF('Premium Grid'!$L19=0,"",'Premium Grid'!AF19/'Premium Grid'!$L19-1)</f>
        <v/>
      </c>
      <c r="AG40" s="53">
        <f>IF('Premium Grid'!$L19=0,"",'Premium Grid'!AG19/'Premium Grid'!$L19-1)</f>
        <v/>
      </c>
      <c r="AH40" s="53">
        <f>IF('Premium Grid'!$L19=0,"",'Premium Grid'!AH19/'Premium Grid'!$L19-1)</f>
        <v/>
      </c>
      <c r="AI40" s="53">
        <f>IF('Premium Grid'!$L19=0,"",'Premium Grid'!AI19/'Premium Grid'!$L19-1)</f>
        <v/>
      </c>
      <c r="AJ40" s="53">
        <f>IF('Premium Grid'!$L19=0,"",'Premium Grid'!AJ19/'Premium Grid'!$L19-1)</f>
        <v/>
      </c>
      <c r="AK40" s="53">
        <f>IF('Premium Grid'!$L19=0,"",'Premium Grid'!AK19/'Premium Grid'!$L19-1)</f>
        <v/>
      </c>
      <c r="AL40" s="53">
        <f>IF('Premium Grid'!$L19=0,"",'Premium Grid'!AL19/'Premium Grid'!$L19-1)</f>
        <v/>
      </c>
      <c r="AM40" s="53">
        <f>IF('Premium Grid'!$L19=0,"",'Premium Grid'!AM19/'Premium Grid'!$L19-1)</f>
        <v/>
      </c>
      <c r="AN40" s="53">
        <f>IF('Premium Grid'!$L19=0,"",'Premium Grid'!AN19/'Premium Grid'!$L19-1)</f>
        <v/>
      </c>
      <c r="AO40" s="53">
        <f>IF('Premium Grid'!$L19=0,"",'Premium Grid'!AO19/'Premium Grid'!$L19-1)</f>
        <v/>
      </c>
      <c r="AP40" s="53">
        <f>IF('Premium Grid'!$L19=0,"",'Premium Grid'!AP19/'Premium Grid'!$L19-1)</f>
        <v/>
      </c>
      <c r="AQ40" s="53">
        <f>IF('Premium Grid'!$L19=0,"",'Premium Grid'!AQ19/'Premium Grid'!$L19-1)</f>
        <v/>
      </c>
      <c r="AR40" s="53">
        <f>IF('Premium Grid'!$L19=0,"",'Premium Grid'!AR19/'Premium Grid'!$L19-1)</f>
        <v/>
      </c>
      <c r="AS40" s="53">
        <f>IF('Premium Grid'!$L19=0,"",'Premium Grid'!AS19/'Premium Grid'!$L19-1)</f>
        <v/>
      </c>
      <c r="AT40" s="53">
        <f>IF('Premium Grid'!$L19=0,"",'Premium Grid'!AT19/'Premium Grid'!$L19-1)</f>
        <v/>
      </c>
      <c r="AU40" s="53">
        <f>IF('Premium Grid'!$L19=0,"",'Premium Grid'!AU19/'Premium Grid'!$L19-1)</f>
        <v/>
      </c>
      <c r="AV40" s="53">
        <f>IF('Premium Grid'!$L19=0,"",'Premium Grid'!AV19/'Premium Grid'!$L19-1)</f>
        <v/>
      </c>
    </row>
    <row r="41">
      <c r="A41" s="27" t="inlineStr">
        <is>
          <t>+2.00%</t>
        </is>
      </c>
      <c r="B41" s="47">
        <f>'BS Engine'!$B$18</f>
        <v/>
      </c>
      <c r="C41" s="28">
        <f>'BS Engine'!$C$18</f>
        <v/>
      </c>
      <c r="D41" s="52">
        <f>IF('Premium Grid'!$L20=0,"",'Premium Grid'!D20/'Premium Grid'!$L20-1)</f>
        <v/>
      </c>
      <c r="E41" s="53">
        <f>IF('Premium Grid'!$L20=0,"",'Premium Grid'!E20/'Premium Grid'!$L20-1)</f>
        <v/>
      </c>
      <c r="F41" s="53">
        <f>IF('Premium Grid'!$L20=0,"",'Premium Grid'!F20/'Premium Grid'!$L20-1)</f>
        <v/>
      </c>
      <c r="G41" s="53">
        <f>IF('Premium Grid'!$L20=0,"",'Premium Grid'!G20/'Premium Grid'!$L20-1)</f>
        <v/>
      </c>
      <c r="H41" s="53">
        <f>IF('Premium Grid'!$L20=0,"",'Premium Grid'!H20/'Premium Grid'!$L20-1)</f>
        <v/>
      </c>
      <c r="I41" s="53">
        <f>IF('Premium Grid'!$L20=0,"",'Premium Grid'!I20/'Premium Grid'!$L20-1)</f>
        <v/>
      </c>
      <c r="J41" s="53">
        <f>IF('Premium Grid'!$L20=0,"",'Premium Grid'!J20/'Premium Grid'!$L20-1)</f>
        <v/>
      </c>
      <c r="K41" s="53">
        <f>IF('Premium Grid'!$L20=0,"",'Premium Grid'!K20/'Premium Grid'!$L20-1)</f>
        <v/>
      </c>
      <c r="L41" s="53">
        <f>IF('Premium Grid'!$L20=0,"",'Premium Grid'!L20/'Premium Grid'!$L20-1)</f>
        <v/>
      </c>
      <c r="M41" s="53">
        <f>IF('Premium Grid'!$L20=0,"",'Premium Grid'!M20/'Premium Grid'!$L20-1)</f>
        <v/>
      </c>
      <c r="N41" s="53">
        <f>IF('Premium Grid'!$L20=0,"",'Premium Grid'!N20/'Premium Grid'!$L20-1)</f>
        <v/>
      </c>
      <c r="O41" s="53">
        <f>IF('Premium Grid'!$L20=0,"",'Premium Grid'!O20/'Premium Grid'!$L20-1)</f>
        <v/>
      </c>
      <c r="P41" s="53">
        <f>IF('Premium Grid'!$L20=0,"",'Premium Grid'!P20/'Premium Grid'!$L20-1)</f>
        <v/>
      </c>
      <c r="Q41" s="53">
        <f>IF('Premium Grid'!$L20=0,"",'Premium Grid'!Q20/'Premium Grid'!$L20-1)</f>
        <v/>
      </c>
      <c r="R41" s="53">
        <f>IF('Premium Grid'!$L20=0,"",'Premium Grid'!R20/'Premium Grid'!$L20-1)</f>
        <v/>
      </c>
      <c r="S41" s="53">
        <f>IF('Premium Grid'!$L20=0,"",'Premium Grid'!S20/'Premium Grid'!$L20-1)</f>
        <v/>
      </c>
      <c r="T41" s="53">
        <f>IF('Premium Grid'!$L20=0,"",'Premium Grid'!T20/'Premium Grid'!$L20-1)</f>
        <v/>
      </c>
      <c r="U41" s="53">
        <f>IF('Premium Grid'!$L20=0,"",'Premium Grid'!U20/'Premium Grid'!$L20-1)</f>
        <v/>
      </c>
      <c r="V41" s="53">
        <f>IF('Premium Grid'!$L20=0,"",'Premium Grid'!V20/'Premium Grid'!$L20-1)</f>
        <v/>
      </c>
      <c r="W41" s="53">
        <f>IF('Premium Grid'!$L20=0,"",'Premium Grid'!W20/'Premium Grid'!$L20-1)</f>
        <v/>
      </c>
      <c r="X41" s="53">
        <f>IF('Premium Grid'!$L20=0,"",'Premium Grid'!X20/'Premium Grid'!$L20-1)</f>
        <v/>
      </c>
      <c r="Y41" s="53">
        <f>IF('Premium Grid'!$L20=0,"",'Premium Grid'!Y20/'Premium Grid'!$L20-1)</f>
        <v/>
      </c>
      <c r="Z41" s="53">
        <f>IF('Premium Grid'!$L20=0,"",'Premium Grid'!Z20/'Premium Grid'!$L20-1)</f>
        <v/>
      </c>
      <c r="AA41" s="53">
        <f>IF('Premium Grid'!$L20=0,"",'Premium Grid'!AA20/'Premium Grid'!$L20-1)</f>
        <v/>
      </c>
      <c r="AB41" s="53">
        <f>IF('Premium Grid'!$L20=0,"",'Premium Grid'!AB20/'Premium Grid'!$L20-1)</f>
        <v/>
      </c>
      <c r="AC41" s="53">
        <f>IF('Premium Grid'!$L20=0,"",'Premium Grid'!AC20/'Premium Grid'!$L20-1)</f>
        <v/>
      </c>
      <c r="AD41" s="53">
        <f>IF('Premium Grid'!$L20=0,"",'Premium Grid'!AD20/'Premium Grid'!$L20-1)</f>
        <v/>
      </c>
      <c r="AE41" s="53">
        <f>IF('Premium Grid'!$L20=0,"",'Premium Grid'!AE20/'Premium Grid'!$L20-1)</f>
        <v/>
      </c>
      <c r="AF41" s="53">
        <f>IF('Premium Grid'!$L20=0,"",'Premium Grid'!AF20/'Premium Grid'!$L20-1)</f>
        <v/>
      </c>
      <c r="AG41" s="53">
        <f>IF('Premium Grid'!$L20=0,"",'Premium Grid'!AG20/'Premium Grid'!$L20-1)</f>
        <v/>
      </c>
      <c r="AH41" s="53">
        <f>IF('Premium Grid'!$L20=0,"",'Premium Grid'!AH20/'Premium Grid'!$L20-1)</f>
        <v/>
      </c>
      <c r="AI41" s="53">
        <f>IF('Premium Grid'!$L20=0,"",'Premium Grid'!AI20/'Premium Grid'!$L20-1)</f>
        <v/>
      </c>
      <c r="AJ41" s="53">
        <f>IF('Premium Grid'!$L20=0,"",'Premium Grid'!AJ20/'Premium Grid'!$L20-1)</f>
        <v/>
      </c>
      <c r="AK41" s="53">
        <f>IF('Premium Grid'!$L20=0,"",'Premium Grid'!AK20/'Premium Grid'!$L20-1)</f>
        <v/>
      </c>
      <c r="AL41" s="53">
        <f>IF('Premium Grid'!$L20=0,"",'Premium Grid'!AL20/'Premium Grid'!$L20-1)</f>
        <v/>
      </c>
      <c r="AM41" s="53">
        <f>IF('Premium Grid'!$L20=0,"",'Premium Grid'!AM20/'Premium Grid'!$L20-1)</f>
        <v/>
      </c>
      <c r="AN41" s="53">
        <f>IF('Premium Grid'!$L20=0,"",'Premium Grid'!AN20/'Premium Grid'!$L20-1)</f>
        <v/>
      </c>
      <c r="AO41" s="53">
        <f>IF('Premium Grid'!$L20=0,"",'Premium Grid'!AO20/'Premium Grid'!$L20-1)</f>
        <v/>
      </c>
      <c r="AP41" s="53">
        <f>IF('Premium Grid'!$L20=0,"",'Premium Grid'!AP20/'Premium Grid'!$L20-1)</f>
        <v/>
      </c>
      <c r="AQ41" s="53">
        <f>IF('Premium Grid'!$L20=0,"",'Premium Grid'!AQ20/'Premium Grid'!$L20-1)</f>
        <v/>
      </c>
      <c r="AR41" s="53">
        <f>IF('Premium Grid'!$L20=0,"",'Premium Grid'!AR20/'Premium Grid'!$L20-1)</f>
        <v/>
      </c>
      <c r="AS41" s="53">
        <f>IF('Premium Grid'!$L20=0,"",'Premium Grid'!AS20/'Premium Grid'!$L20-1)</f>
        <v/>
      </c>
      <c r="AT41" s="53">
        <f>IF('Premium Grid'!$L20=0,"",'Premium Grid'!AT20/'Premium Grid'!$L20-1)</f>
        <v/>
      </c>
      <c r="AU41" s="53">
        <f>IF('Premium Grid'!$L20=0,"",'Premium Grid'!AU20/'Premium Grid'!$L20-1)</f>
        <v/>
      </c>
      <c r="AV41" s="53">
        <f>IF('Premium Grid'!$L20=0,"",'Premium Grid'!AV20/'Premium Grid'!$L20-1)</f>
        <v/>
      </c>
    </row>
    <row r="43">
      <c r="A43" s="22" t="inlineStr">
        <is>
          <t>Top block is the rupee move per contract, bottom block the same move in percent.</t>
        </is>
      </c>
    </row>
    <row r="44">
      <c r="A44" s="22" t="inlineStr">
        <is>
          <t>The two tell opposite stories on purpose: the near-the-money strikes carry by far the largest RUPEE change, while the OTM wings show the largest PERCENTAGE change off a tiny base, and the ITM strikes show almost no change either way.</t>
        </is>
      </c>
    </row>
    <row r="45">
      <c r="A45" s="22" t="inlineStr">
        <is>
          <t>Blank cells in the percentage block mean the base-VIX premium rounds to zero, so a percentage change is not meaningful there.</t>
        </is>
      </c>
    </row>
  </sheetData>
  <conditionalFormatting sqref="D4:AV20">
    <cfRule type="colorScale" priority="1">
      <colorScale>
        <cfvo type="min"/>
        <cfvo type="percentile" val="50"/>
        <cfvo type="max"/>
        <color rgb="00FFF2CC"/>
        <color rgb="00FFD966"/>
        <color rgb="00ED7D31"/>
      </colorScale>
    </cfRule>
  </conditionalFormatting>
  <conditionalFormatting sqref="D25:AV41">
    <cfRule type="colorScale" priority="2">
      <colorScale>
        <cfvo type="min"/>
        <cfvo type="percentile" val="50"/>
        <cfvo type="max"/>
        <color rgb="00FFF2CC"/>
        <color rgb="00FFD966"/>
        <color rgb="00ED7D31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V4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</cols>
  <sheetData>
    <row r="1">
      <c r="A1" s="20" t="inlineStr">
        <is>
          <t>Sensitivity of CALL premium to volatility</t>
        </is>
      </c>
    </row>
    <row r="2">
      <c r="A2" s="20" t="inlineStr">
        <is>
          <t>Elasticity: % premium change per 1% RELATIVE change in IV</t>
        </is>
      </c>
    </row>
    <row r="3">
      <c r="A3" s="1" t="inlineStr">
        <is>
          <t>Moneyness</t>
        </is>
      </c>
      <c r="B3" s="1" t="inlineStr">
        <is>
          <t>Strike</t>
        </is>
      </c>
      <c r="C3" s="1" t="inlineStr">
        <is>
          <t>Call</t>
        </is>
      </c>
      <c r="D3" s="51" t="n">
        <v>8</v>
      </c>
      <c r="E3" s="51" t="n">
        <v>8.5</v>
      </c>
      <c r="F3" s="51" t="n">
        <v>9</v>
      </c>
      <c r="G3" s="51" t="n">
        <v>9.5</v>
      </c>
      <c r="H3" s="51" t="n">
        <v>10</v>
      </c>
      <c r="I3" s="51" t="n">
        <v>10.5</v>
      </c>
      <c r="J3" s="51" t="n">
        <v>11</v>
      </c>
      <c r="K3" s="51" t="n">
        <v>11.5</v>
      </c>
      <c r="L3" s="51" t="n">
        <v>12</v>
      </c>
      <c r="M3" s="51" t="n">
        <v>12.5</v>
      </c>
      <c r="N3" s="51" t="n">
        <v>13</v>
      </c>
      <c r="O3" s="51" t="n">
        <v>13.5</v>
      </c>
      <c r="P3" s="51" t="n">
        <v>14</v>
      </c>
      <c r="Q3" s="51" t="n">
        <v>14.5</v>
      </c>
      <c r="R3" s="51" t="n">
        <v>15</v>
      </c>
      <c r="S3" s="51" t="n">
        <v>15.5</v>
      </c>
      <c r="T3" s="51" t="n">
        <v>16</v>
      </c>
      <c r="U3" s="51" t="n">
        <v>16.5</v>
      </c>
      <c r="V3" s="51" t="n">
        <v>17</v>
      </c>
      <c r="W3" s="51" t="n">
        <v>17.5</v>
      </c>
      <c r="X3" s="51" t="n">
        <v>18</v>
      </c>
      <c r="Y3" s="51" t="n">
        <v>18.5</v>
      </c>
      <c r="Z3" s="51" t="n">
        <v>19</v>
      </c>
      <c r="AA3" s="51" t="n">
        <v>19.5</v>
      </c>
      <c r="AB3" s="51" t="n">
        <v>20</v>
      </c>
      <c r="AC3" s="51" t="n">
        <v>20.5</v>
      </c>
      <c r="AD3" s="51" t="n">
        <v>21</v>
      </c>
      <c r="AE3" s="51" t="n">
        <v>21.5</v>
      </c>
      <c r="AF3" s="51" t="n">
        <v>22</v>
      </c>
      <c r="AG3" s="51" t="n">
        <v>22.5</v>
      </c>
      <c r="AH3" s="51" t="n">
        <v>23</v>
      </c>
      <c r="AI3" s="51" t="n">
        <v>23.5</v>
      </c>
      <c r="AJ3" s="51" t="n">
        <v>24</v>
      </c>
      <c r="AK3" s="51" t="n">
        <v>24.5</v>
      </c>
      <c r="AL3" s="51" t="n">
        <v>25</v>
      </c>
      <c r="AM3" s="51" t="n">
        <v>25.5</v>
      </c>
      <c r="AN3" s="51" t="n">
        <v>26</v>
      </c>
      <c r="AO3" s="51" t="n">
        <v>26.5</v>
      </c>
      <c r="AP3" s="51" t="n">
        <v>27</v>
      </c>
      <c r="AQ3" s="51" t="n">
        <v>27.5</v>
      </c>
      <c r="AR3" s="51" t="n">
        <v>28</v>
      </c>
      <c r="AS3" s="51" t="n">
        <v>28.5</v>
      </c>
      <c r="AT3" s="51" t="n">
        <v>29</v>
      </c>
      <c r="AU3" s="51" t="n">
        <v>29.5</v>
      </c>
      <c r="AV3" s="51" t="n">
        <v>30</v>
      </c>
    </row>
    <row r="4">
      <c r="A4" s="27" t="inlineStr">
        <is>
          <t>-2.00%</t>
        </is>
      </c>
      <c r="B4" s="47">
        <f>'BS Engine'!$B$2</f>
        <v/>
      </c>
      <c r="C4" s="28">
        <f>'BS Engine'!$C$2</f>
        <v/>
      </c>
      <c r="D4" s="54">
        <f>IF((MAX(0,Assumptions!$B$2*EXP(-Assumptions!$B$4*Assumptions!$B$9)*NORMSDIST(((LN(Assumptions!$B$2/$B4)+(Assumptions!$B$3-Assumptions!$B$4+(D$3/100)^2/2)*Assumptions!$B$9)/((D$3/100)*Assumptions!$B$10)))-$B4*EXP(-Assumptions!$B$3*Assumptions!$B$9)*NORMSDIST((((LN(Assumptions!$B$2/$B4)+(Assumptions!$B$3-Assumptions!$B$4+(D$3/100)^2/2)*Assumptions!$B$9)/((D$3/100)*Assumptions!$B$10))-(D$3/100)*Assumptions!$B$10))))&lt;=0,"",(Assumptions!$B$2*EXP(-Assumptions!$B$4*Assumptions!$B$9)*NORMDIST(((LN(Assumptions!$B$2/$B4)+(Assumptions!$B$3-Assumptions!$B$4+(D$3/100)^2/2)*Assumptions!$B$9)/((D$3/100)*Assumptions!$B$10)),0,1,FALSE)*Assumptions!$B$10*0.01)*((D$3/100)/0.01)/(MAX(0,Assumptions!$B$2*EXP(-Assumptions!$B$4*Assumptions!$B$9)*NORMSDIST(((LN(Assumptions!$B$2/$B4)+(Assumptions!$B$3-Assumptions!$B$4+(D$3/100)^2/2)*Assumptions!$B$9)/((D$3/100)*Assumptions!$B$10)))-$B4*EXP(-Assumptions!$B$3*Assumptions!$B$9)*NORMSDIST((((LN(Assumptions!$B$2/$B4)+(Assumptions!$B$3-Assumptions!$B$4+(D$3/100)^2/2)*Assumptions!$B$9)/((D$3/100)*Assumptions!$B$10))-(D$3/100)*Assumptions!$B$10)))))</f>
        <v/>
      </c>
      <c r="E4" s="32">
        <f>IF((MAX(0,Assumptions!$B$2*EXP(-Assumptions!$B$4*Assumptions!$B$9)*NORMSDIST(((LN(Assumptions!$B$2/$B4)+(Assumptions!$B$3-Assumptions!$B$4+(E$3/100)^2/2)*Assumptions!$B$9)/((E$3/100)*Assumptions!$B$10)))-$B4*EXP(-Assumptions!$B$3*Assumptions!$B$9)*NORMSDIST((((LN(Assumptions!$B$2/$B4)+(Assumptions!$B$3-Assumptions!$B$4+(E$3/100)^2/2)*Assumptions!$B$9)/((E$3/100)*Assumptions!$B$10))-(E$3/100)*Assumptions!$B$10))))&lt;=0,"",(Assumptions!$B$2*EXP(-Assumptions!$B$4*Assumptions!$B$9)*NORMDIST(((LN(Assumptions!$B$2/$B4)+(Assumptions!$B$3-Assumptions!$B$4+(E$3/100)^2/2)*Assumptions!$B$9)/((E$3/100)*Assumptions!$B$10)),0,1,FALSE)*Assumptions!$B$10*0.01)*((E$3/100)/0.01)/(MAX(0,Assumptions!$B$2*EXP(-Assumptions!$B$4*Assumptions!$B$9)*NORMSDIST(((LN(Assumptions!$B$2/$B4)+(Assumptions!$B$3-Assumptions!$B$4+(E$3/100)^2/2)*Assumptions!$B$9)/((E$3/100)*Assumptions!$B$10)))-$B4*EXP(-Assumptions!$B$3*Assumptions!$B$9)*NORMSDIST((((LN(Assumptions!$B$2/$B4)+(Assumptions!$B$3-Assumptions!$B$4+(E$3/100)^2/2)*Assumptions!$B$9)/((E$3/100)*Assumptions!$B$10))-(E$3/100)*Assumptions!$B$10)))))</f>
        <v/>
      </c>
      <c r="F4" s="32">
        <f>IF((MAX(0,Assumptions!$B$2*EXP(-Assumptions!$B$4*Assumptions!$B$9)*NORMSDIST(((LN(Assumptions!$B$2/$B4)+(Assumptions!$B$3-Assumptions!$B$4+(F$3/100)^2/2)*Assumptions!$B$9)/((F$3/100)*Assumptions!$B$10)))-$B4*EXP(-Assumptions!$B$3*Assumptions!$B$9)*NORMSDIST((((LN(Assumptions!$B$2/$B4)+(Assumptions!$B$3-Assumptions!$B$4+(F$3/100)^2/2)*Assumptions!$B$9)/((F$3/100)*Assumptions!$B$10))-(F$3/100)*Assumptions!$B$10))))&lt;=0,"",(Assumptions!$B$2*EXP(-Assumptions!$B$4*Assumptions!$B$9)*NORMDIST(((LN(Assumptions!$B$2/$B4)+(Assumptions!$B$3-Assumptions!$B$4+(F$3/100)^2/2)*Assumptions!$B$9)/((F$3/100)*Assumptions!$B$10)),0,1,FALSE)*Assumptions!$B$10*0.01)*((F$3/100)/0.01)/(MAX(0,Assumptions!$B$2*EXP(-Assumptions!$B$4*Assumptions!$B$9)*NORMSDIST(((LN(Assumptions!$B$2/$B4)+(Assumptions!$B$3-Assumptions!$B$4+(F$3/100)^2/2)*Assumptions!$B$9)/((F$3/100)*Assumptions!$B$10)))-$B4*EXP(-Assumptions!$B$3*Assumptions!$B$9)*NORMSDIST((((LN(Assumptions!$B$2/$B4)+(Assumptions!$B$3-Assumptions!$B$4+(F$3/100)^2/2)*Assumptions!$B$9)/((F$3/100)*Assumptions!$B$10))-(F$3/100)*Assumptions!$B$10)))))</f>
        <v/>
      </c>
      <c r="G4" s="32">
        <f>IF((MAX(0,Assumptions!$B$2*EXP(-Assumptions!$B$4*Assumptions!$B$9)*NORMSDIST(((LN(Assumptions!$B$2/$B4)+(Assumptions!$B$3-Assumptions!$B$4+(G$3/100)^2/2)*Assumptions!$B$9)/((G$3/100)*Assumptions!$B$10)))-$B4*EXP(-Assumptions!$B$3*Assumptions!$B$9)*NORMSDIST((((LN(Assumptions!$B$2/$B4)+(Assumptions!$B$3-Assumptions!$B$4+(G$3/100)^2/2)*Assumptions!$B$9)/((G$3/100)*Assumptions!$B$10))-(G$3/100)*Assumptions!$B$10))))&lt;=0,"",(Assumptions!$B$2*EXP(-Assumptions!$B$4*Assumptions!$B$9)*NORMDIST(((LN(Assumptions!$B$2/$B4)+(Assumptions!$B$3-Assumptions!$B$4+(G$3/100)^2/2)*Assumptions!$B$9)/((G$3/100)*Assumptions!$B$10)),0,1,FALSE)*Assumptions!$B$10*0.01)*((G$3/100)/0.01)/(MAX(0,Assumptions!$B$2*EXP(-Assumptions!$B$4*Assumptions!$B$9)*NORMSDIST(((LN(Assumptions!$B$2/$B4)+(Assumptions!$B$3-Assumptions!$B$4+(G$3/100)^2/2)*Assumptions!$B$9)/((G$3/100)*Assumptions!$B$10)))-$B4*EXP(-Assumptions!$B$3*Assumptions!$B$9)*NORMSDIST((((LN(Assumptions!$B$2/$B4)+(Assumptions!$B$3-Assumptions!$B$4+(G$3/100)^2/2)*Assumptions!$B$9)/((G$3/100)*Assumptions!$B$10))-(G$3/100)*Assumptions!$B$10)))))</f>
        <v/>
      </c>
      <c r="H4" s="32">
        <f>IF((MAX(0,Assumptions!$B$2*EXP(-Assumptions!$B$4*Assumptions!$B$9)*NORMSDIST(((LN(Assumptions!$B$2/$B4)+(Assumptions!$B$3-Assumptions!$B$4+(H$3/100)^2/2)*Assumptions!$B$9)/((H$3/100)*Assumptions!$B$10)))-$B4*EXP(-Assumptions!$B$3*Assumptions!$B$9)*NORMSDIST((((LN(Assumptions!$B$2/$B4)+(Assumptions!$B$3-Assumptions!$B$4+(H$3/100)^2/2)*Assumptions!$B$9)/((H$3/100)*Assumptions!$B$10))-(H$3/100)*Assumptions!$B$10))))&lt;=0,"",(Assumptions!$B$2*EXP(-Assumptions!$B$4*Assumptions!$B$9)*NORMDIST(((LN(Assumptions!$B$2/$B4)+(Assumptions!$B$3-Assumptions!$B$4+(H$3/100)^2/2)*Assumptions!$B$9)/((H$3/100)*Assumptions!$B$10)),0,1,FALSE)*Assumptions!$B$10*0.01)*((H$3/100)/0.01)/(MAX(0,Assumptions!$B$2*EXP(-Assumptions!$B$4*Assumptions!$B$9)*NORMSDIST(((LN(Assumptions!$B$2/$B4)+(Assumptions!$B$3-Assumptions!$B$4+(H$3/100)^2/2)*Assumptions!$B$9)/((H$3/100)*Assumptions!$B$10)))-$B4*EXP(-Assumptions!$B$3*Assumptions!$B$9)*NORMSDIST((((LN(Assumptions!$B$2/$B4)+(Assumptions!$B$3-Assumptions!$B$4+(H$3/100)^2/2)*Assumptions!$B$9)/((H$3/100)*Assumptions!$B$10))-(H$3/100)*Assumptions!$B$10)))))</f>
        <v/>
      </c>
      <c r="I4" s="32">
        <f>IF((MAX(0,Assumptions!$B$2*EXP(-Assumptions!$B$4*Assumptions!$B$9)*NORMSDIST(((LN(Assumptions!$B$2/$B4)+(Assumptions!$B$3-Assumptions!$B$4+(I$3/100)^2/2)*Assumptions!$B$9)/((I$3/100)*Assumptions!$B$10)))-$B4*EXP(-Assumptions!$B$3*Assumptions!$B$9)*NORMSDIST((((LN(Assumptions!$B$2/$B4)+(Assumptions!$B$3-Assumptions!$B$4+(I$3/100)^2/2)*Assumptions!$B$9)/((I$3/100)*Assumptions!$B$10))-(I$3/100)*Assumptions!$B$10))))&lt;=0,"",(Assumptions!$B$2*EXP(-Assumptions!$B$4*Assumptions!$B$9)*NORMDIST(((LN(Assumptions!$B$2/$B4)+(Assumptions!$B$3-Assumptions!$B$4+(I$3/100)^2/2)*Assumptions!$B$9)/((I$3/100)*Assumptions!$B$10)),0,1,FALSE)*Assumptions!$B$10*0.01)*((I$3/100)/0.01)/(MAX(0,Assumptions!$B$2*EXP(-Assumptions!$B$4*Assumptions!$B$9)*NORMSDIST(((LN(Assumptions!$B$2/$B4)+(Assumptions!$B$3-Assumptions!$B$4+(I$3/100)^2/2)*Assumptions!$B$9)/((I$3/100)*Assumptions!$B$10)))-$B4*EXP(-Assumptions!$B$3*Assumptions!$B$9)*NORMSDIST((((LN(Assumptions!$B$2/$B4)+(Assumptions!$B$3-Assumptions!$B$4+(I$3/100)^2/2)*Assumptions!$B$9)/((I$3/100)*Assumptions!$B$10))-(I$3/100)*Assumptions!$B$10)))))</f>
        <v/>
      </c>
      <c r="J4" s="32">
        <f>IF((MAX(0,Assumptions!$B$2*EXP(-Assumptions!$B$4*Assumptions!$B$9)*NORMSDIST(((LN(Assumptions!$B$2/$B4)+(Assumptions!$B$3-Assumptions!$B$4+(J$3/100)^2/2)*Assumptions!$B$9)/((J$3/100)*Assumptions!$B$10)))-$B4*EXP(-Assumptions!$B$3*Assumptions!$B$9)*NORMSDIST((((LN(Assumptions!$B$2/$B4)+(Assumptions!$B$3-Assumptions!$B$4+(J$3/100)^2/2)*Assumptions!$B$9)/((J$3/100)*Assumptions!$B$10))-(J$3/100)*Assumptions!$B$10))))&lt;=0,"",(Assumptions!$B$2*EXP(-Assumptions!$B$4*Assumptions!$B$9)*NORMDIST(((LN(Assumptions!$B$2/$B4)+(Assumptions!$B$3-Assumptions!$B$4+(J$3/100)^2/2)*Assumptions!$B$9)/((J$3/100)*Assumptions!$B$10)),0,1,FALSE)*Assumptions!$B$10*0.01)*((J$3/100)/0.01)/(MAX(0,Assumptions!$B$2*EXP(-Assumptions!$B$4*Assumptions!$B$9)*NORMSDIST(((LN(Assumptions!$B$2/$B4)+(Assumptions!$B$3-Assumptions!$B$4+(J$3/100)^2/2)*Assumptions!$B$9)/((J$3/100)*Assumptions!$B$10)))-$B4*EXP(-Assumptions!$B$3*Assumptions!$B$9)*NORMSDIST((((LN(Assumptions!$B$2/$B4)+(Assumptions!$B$3-Assumptions!$B$4+(J$3/100)^2/2)*Assumptions!$B$9)/((J$3/100)*Assumptions!$B$10))-(J$3/100)*Assumptions!$B$10)))))</f>
        <v/>
      </c>
      <c r="K4" s="32">
        <f>IF((MAX(0,Assumptions!$B$2*EXP(-Assumptions!$B$4*Assumptions!$B$9)*NORMSDIST(((LN(Assumptions!$B$2/$B4)+(Assumptions!$B$3-Assumptions!$B$4+(K$3/100)^2/2)*Assumptions!$B$9)/((K$3/100)*Assumptions!$B$10)))-$B4*EXP(-Assumptions!$B$3*Assumptions!$B$9)*NORMSDIST((((LN(Assumptions!$B$2/$B4)+(Assumptions!$B$3-Assumptions!$B$4+(K$3/100)^2/2)*Assumptions!$B$9)/((K$3/100)*Assumptions!$B$10))-(K$3/100)*Assumptions!$B$10))))&lt;=0,"",(Assumptions!$B$2*EXP(-Assumptions!$B$4*Assumptions!$B$9)*NORMDIST(((LN(Assumptions!$B$2/$B4)+(Assumptions!$B$3-Assumptions!$B$4+(K$3/100)^2/2)*Assumptions!$B$9)/((K$3/100)*Assumptions!$B$10)),0,1,FALSE)*Assumptions!$B$10*0.01)*((K$3/100)/0.01)/(MAX(0,Assumptions!$B$2*EXP(-Assumptions!$B$4*Assumptions!$B$9)*NORMSDIST(((LN(Assumptions!$B$2/$B4)+(Assumptions!$B$3-Assumptions!$B$4+(K$3/100)^2/2)*Assumptions!$B$9)/((K$3/100)*Assumptions!$B$10)))-$B4*EXP(-Assumptions!$B$3*Assumptions!$B$9)*NORMSDIST((((LN(Assumptions!$B$2/$B4)+(Assumptions!$B$3-Assumptions!$B$4+(K$3/100)^2/2)*Assumptions!$B$9)/((K$3/100)*Assumptions!$B$10))-(K$3/100)*Assumptions!$B$10)))))</f>
        <v/>
      </c>
      <c r="L4" s="32">
        <f>IF((MAX(0,Assumptions!$B$2*EXP(-Assumptions!$B$4*Assumptions!$B$9)*NORMSDIST(((LN(Assumptions!$B$2/$B4)+(Assumptions!$B$3-Assumptions!$B$4+(L$3/100)^2/2)*Assumptions!$B$9)/((L$3/100)*Assumptions!$B$10)))-$B4*EXP(-Assumptions!$B$3*Assumptions!$B$9)*NORMSDIST((((LN(Assumptions!$B$2/$B4)+(Assumptions!$B$3-Assumptions!$B$4+(L$3/100)^2/2)*Assumptions!$B$9)/((L$3/100)*Assumptions!$B$10))-(L$3/100)*Assumptions!$B$10))))&lt;=0,"",(Assumptions!$B$2*EXP(-Assumptions!$B$4*Assumptions!$B$9)*NORMDIST(((LN(Assumptions!$B$2/$B4)+(Assumptions!$B$3-Assumptions!$B$4+(L$3/100)^2/2)*Assumptions!$B$9)/((L$3/100)*Assumptions!$B$10)),0,1,FALSE)*Assumptions!$B$10*0.01)*((L$3/100)/0.01)/(MAX(0,Assumptions!$B$2*EXP(-Assumptions!$B$4*Assumptions!$B$9)*NORMSDIST(((LN(Assumptions!$B$2/$B4)+(Assumptions!$B$3-Assumptions!$B$4+(L$3/100)^2/2)*Assumptions!$B$9)/((L$3/100)*Assumptions!$B$10)))-$B4*EXP(-Assumptions!$B$3*Assumptions!$B$9)*NORMSDIST((((LN(Assumptions!$B$2/$B4)+(Assumptions!$B$3-Assumptions!$B$4+(L$3/100)^2/2)*Assumptions!$B$9)/((L$3/100)*Assumptions!$B$10))-(L$3/100)*Assumptions!$B$10)))))</f>
        <v/>
      </c>
      <c r="M4" s="32">
        <f>IF((MAX(0,Assumptions!$B$2*EXP(-Assumptions!$B$4*Assumptions!$B$9)*NORMSDIST(((LN(Assumptions!$B$2/$B4)+(Assumptions!$B$3-Assumptions!$B$4+(M$3/100)^2/2)*Assumptions!$B$9)/((M$3/100)*Assumptions!$B$10)))-$B4*EXP(-Assumptions!$B$3*Assumptions!$B$9)*NORMSDIST((((LN(Assumptions!$B$2/$B4)+(Assumptions!$B$3-Assumptions!$B$4+(M$3/100)^2/2)*Assumptions!$B$9)/((M$3/100)*Assumptions!$B$10))-(M$3/100)*Assumptions!$B$10))))&lt;=0,"",(Assumptions!$B$2*EXP(-Assumptions!$B$4*Assumptions!$B$9)*NORMDIST(((LN(Assumptions!$B$2/$B4)+(Assumptions!$B$3-Assumptions!$B$4+(M$3/100)^2/2)*Assumptions!$B$9)/((M$3/100)*Assumptions!$B$10)),0,1,FALSE)*Assumptions!$B$10*0.01)*((M$3/100)/0.01)/(MAX(0,Assumptions!$B$2*EXP(-Assumptions!$B$4*Assumptions!$B$9)*NORMSDIST(((LN(Assumptions!$B$2/$B4)+(Assumptions!$B$3-Assumptions!$B$4+(M$3/100)^2/2)*Assumptions!$B$9)/((M$3/100)*Assumptions!$B$10)))-$B4*EXP(-Assumptions!$B$3*Assumptions!$B$9)*NORMSDIST((((LN(Assumptions!$B$2/$B4)+(Assumptions!$B$3-Assumptions!$B$4+(M$3/100)^2/2)*Assumptions!$B$9)/((M$3/100)*Assumptions!$B$10))-(M$3/100)*Assumptions!$B$10)))))</f>
        <v/>
      </c>
      <c r="N4" s="32">
        <f>IF((MAX(0,Assumptions!$B$2*EXP(-Assumptions!$B$4*Assumptions!$B$9)*NORMSDIST(((LN(Assumptions!$B$2/$B4)+(Assumptions!$B$3-Assumptions!$B$4+(N$3/100)^2/2)*Assumptions!$B$9)/((N$3/100)*Assumptions!$B$10)))-$B4*EXP(-Assumptions!$B$3*Assumptions!$B$9)*NORMSDIST((((LN(Assumptions!$B$2/$B4)+(Assumptions!$B$3-Assumptions!$B$4+(N$3/100)^2/2)*Assumptions!$B$9)/((N$3/100)*Assumptions!$B$10))-(N$3/100)*Assumptions!$B$10))))&lt;=0,"",(Assumptions!$B$2*EXP(-Assumptions!$B$4*Assumptions!$B$9)*NORMDIST(((LN(Assumptions!$B$2/$B4)+(Assumptions!$B$3-Assumptions!$B$4+(N$3/100)^2/2)*Assumptions!$B$9)/((N$3/100)*Assumptions!$B$10)),0,1,FALSE)*Assumptions!$B$10*0.01)*((N$3/100)/0.01)/(MAX(0,Assumptions!$B$2*EXP(-Assumptions!$B$4*Assumptions!$B$9)*NORMSDIST(((LN(Assumptions!$B$2/$B4)+(Assumptions!$B$3-Assumptions!$B$4+(N$3/100)^2/2)*Assumptions!$B$9)/((N$3/100)*Assumptions!$B$10)))-$B4*EXP(-Assumptions!$B$3*Assumptions!$B$9)*NORMSDIST((((LN(Assumptions!$B$2/$B4)+(Assumptions!$B$3-Assumptions!$B$4+(N$3/100)^2/2)*Assumptions!$B$9)/((N$3/100)*Assumptions!$B$10))-(N$3/100)*Assumptions!$B$10)))))</f>
        <v/>
      </c>
      <c r="O4" s="32">
        <f>IF((MAX(0,Assumptions!$B$2*EXP(-Assumptions!$B$4*Assumptions!$B$9)*NORMSDIST(((LN(Assumptions!$B$2/$B4)+(Assumptions!$B$3-Assumptions!$B$4+(O$3/100)^2/2)*Assumptions!$B$9)/((O$3/100)*Assumptions!$B$10)))-$B4*EXP(-Assumptions!$B$3*Assumptions!$B$9)*NORMSDIST((((LN(Assumptions!$B$2/$B4)+(Assumptions!$B$3-Assumptions!$B$4+(O$3/100)^2/2)*Assumptions!$B$9)/((O$3/100)*Assumptions!$B$10))-(O$3/100)*Assumptions!$B$10))))&lt;=0,"",(Assumptions!$B$2*EXP(-Assumptions!$B$4*Assumptions!$B$9)*NORMDIST(((LN(Assumptions!$B$2/$B4)+(Assumptions!$B$3-Assumptions!$B$4+(O$3/100)^2/2)*Assumptions!$B$9)/((O$3/100)*Assumptions!$B$10)),0,1,FALSE)*Assumptions!$B$10*0.01)*((O$3/100)/0.01)/(MAX(0,Assumptions!$B$2*EXP(-Assumptions!$B$4*Assumptions!$B$9)*NORMSDIST(((LN(Assumptions!$B$2/$B4)+(Assumptions!$B$3-Assumptions!$B$4+(O$3/100)^2/2)*Assumptions!$B$9)/((O$3/100)*Assumptions!$B$10)))-$B4*EXP(-Assumptions!$B$3*Assumptions!$B$9)*NORMSDIST((((LN(Assumptions!$B$2/$B4)+(Assumptions!$B$3-Assumptions!$B$4+(O$3/100)^2/2)*Assumptions!$B$9)/((O$3/100)*Assumptions!$B$10))-(O$3/100)*Assumptions!$B$10)))))</f>
        <v/>
      </c>
      <c r="P4" s="32">
        <f>IF((MAX(0,Assumptions!$B$2*EXP(-Assumptions!$B$4*Assumptions!$B$9)*NORMSDIST(((LN(Assumptions!$B$2/$B4)+(Assumptions!$B$3-Assumptions!$B$4+(P$3/100)^2/2)*Assumptions!$B$9)/((P$3/100)*Assumptions!$B$10)))-$B4*EXP(-Assumptions!$B$3*Assumptions!$B$9)*NORMSDIST((((LN(Assumptions!$B$2/$B4)+(Assumptions!$B$3-Assumptions!$B$4+(P$3/100)^2/2)*Assumptions!$B$9)/((P$3/100)*Assumptions!$B$10))-(P$3/100)*Assumptions!$B$10))))&lt;=0,"",(Assumptions!$B$2*EXP(-Assumptions!$B$4*Assumptions!$B$9)*NORMDIST(((LN(Assumptions!$B$2/$B4)+(Assumptions!$B$3-Assumptions!$B$4+(P$3/100)^2/2)*Assumptions!$B$9)/((P$3/100)*Assumptions!$B$10)),0,1,FALSE)*Assumptions!$B$10*0.01)*((P$3/100)/0.01)/(MAX(0,Assumptions!$B$2*EXP(-Assumptions!$B$4*Assumptions!$B$9)*NORMSDIST(((LN(Assumptions!$B$2/$B4)+(Assumptions!$B$3-Assumptions!$B$4+(P$3/100)^2/2)*Assumptions!$B$9)/((P$3/100)*Assumptions!$B$10)))-$B4*EXP(-Assumptions!$B$3*Assumptions!$B$9)*NORMSDIST((((LN(Assumptions!$B$2/$B4)+(Assumptions!$B$3-Assumptions!$B$4+(P$3/100)^2/2)*Assumptions!$B$9)/((P$3/100)*Assumptions!$B$10))-(P$3/100)*Assumptions!$B$10)))))</f>
        <v/>
      </c>
      <c r="Q4" s="32">
        <f>IF((MAX(0,Assumptions!$B$2*EXP(-Assumptions!$B$4*Assumptions!$B$9)*NORMSDIST(((LN(Assumptions!$B$2/$B4)+(Assumptions!$B$3-Assumptions!$B$4+(Q$3/100)^2/2)*Assumptions!$B$9)/((Q$3/100)*Assumptions!$B$10)))-$B4*EXP(-Assumptions!$B$3*Assumptions!$B$9)*NORMSDIST((((LN(Assumptions!$B$2/$B4)+(Assumptions!$B$3-Assumptions!$B$4+(Q$3/100)^2/2)*Assumptions!$B$9)/((Q$3/100)*Assumptions!$B$10))-(Q$3/100)*Assumptions!$B$10))))&lt;=0,"",(Assumptions!$B$2*EXP(-Assumptions!$B$4*Assumptions!$B$9)*NORMDIST(((LN(Assumptions!$B$2/$B4)+(Assumptions!$B$3-Assumptions!$B$4+(Q$3/100)^2/2)*Assumptions!$B$9)/((Q$3/100)*Assumptions!$B$10)),0,1,FALSE)*Assumptions!$B$10*0.01)*((Q$3/100)/0.01)/(MAX(0,Assumptions!$B$2*EXP(-Assumptions!$B$4*Assumptions!$B$9)*NORMSDIST(((LN(Assumptions!$B$2/$B4)+(Assumptions!$B$3-Assumptions!$B$4+(Q$3/100)^2/2)*Assumptions!$B$9)/((Q$3/100)*Assumptions!$B$10)))-$B4*EXP(-Assumptions!$B$3*Assumptions!$B$9)*NORMSDIST((((LN(Assumptions!$B$2/$B4)+(Assumptions!$B$3-Assumptions!$B$4+(Q$3/100)^2/2)*Assumptions!$B$9)/((Q$3/100)*Assumptions!$B$10))-(Q$3/100)*Assumptions!$B$10)))))</f>
        <v/>
      </c>
      <c r="R4" s="32">
        <f>IF((MAX(0,Assumptions!$B$2*EXP(-Assumptions!$B$4*Assumptions!$B$9)*NORMSDIST(((LN(Assumptions!$B$2/$B4)+(Assumptions!$B$3-Assumptions!$B$4+(R$3/100)^2/2)*Assumptions!$B$9)/((R$3/100)*Assumptions!$B$10)))-$B4*EXP(-Assumptions!$B$3*Assumptions!$B$9)*NORMSDIST((((LN(Assumptions!$B$2/$B4)+(Assumptions!$B$3-Assumptions!$B$4+(R$3/100)^2/2)*Assumptions!$B$9)/((R$3/100)*Assumptions!$B$10))-(R$3/100)*Assumptions!$B$10))))&lt;=0,"",(Assumptions!$B$2*EXP(-Assumptions!$B$4*Assumptions!$B$9)*NORMDIST(((LN(Assumptions!$B$2/$B4)+(Assumptions!$B$3-Assumptions!$B$4+(R$3/100)^2/2)*Assumptions!$B$9)/((R$3/100)*Assumptions!$B$10)),0,1,FALSE)*Assumptions!$B$10*0.01)*((R$3/100)/0.01)/(MAX(0,Assumptions!$B$2*EXP(-Assumptions!$B$4*Assumptions!$B$9)*NORMSDIST(((LN(Assumptions!$B$2/$B4)+(Assumptions!$B$3-Assumptions!$B$4+(R$3/100)^2/2)*Assumptions!$B$9)/((R$3/100)*Assumptions!$B$10)))-$B4*EXP(-Assumptions!$B$3*Assumptions!$B$9)*NORMSDIST((((LN(Assumptions!$B$2/$B4)+(Assumptions!$B$3-Assumptions!$B$4+(R$3/100)^2/2)*Assumptions!$B$9)/((R$3/100)*Assumptions!$B$10))-(R$3/100)*Assumptions!$B$10)))))</f>
        <v/>
      </c>
      <c r="S4" s="32">
        <f>IF((MAX(0,Assumptions!$B$2*EXP(-Assumptions!$B$4*Assumptions!$B$9)*NORMSDIST(((LN(Assumptions!$B$2/$B4)+(Assumptions!$B$3-Assumptions!$B$4+(S$3/100)^2/2)*Assumptions!$B$9)/((S$3/100)*Assumptions!$B$10)))-$B4*EXP(-Assumptions!$B$3*Assumptions!$B$9)*NORMSDIST((((LN(Assumptions!$B$2/$B4)+(Assumptions!$B$3-Assumptions!$B$4+(S$3/100)^2/2)*Assumptions!$B$9)/((S$3/100)*Assumptions!$B$10))-(S$3/100)*Assumptions!$B$10))))&lt;=0,"",(Assumptions!$B$2*EXP(-Assumptions!$B$4*Assumptions!$B$9)*NORMDIST(((LN(Assumptions!$B$2/$B4)+(Assumptions!$B$3-Assumptions!$B$4+(S$3/100)^2/2)*Assumptions!$B$9)/((S$3/100)*Assumptions!$B$10)),0,1,FALSE)*Assumptions!$B$10*0.01)*((S$3/100)/0.01)/(MAX(0,Assumptions!$B$2*EXP(-Assumptions!$B$4*Assumptions!$B$9)*NORMSDIST(((LN(Assumptions!$B$2/$B4)+(Assumptions!$B$3-Assumptions!$B$4+(S$3/100)^2/2)*Assumptions!$B$9)/((S$3/100)*Assumptions!$B$10)))-$B4*EXP(-Assumptions!$B$3*Assumptions!$B$9)*NORMSDIST((((LN(Assumptions!$B$2/$B4)+(Assumptions!$B$3-Assumptions!$B$4+(S$3/100)^2/2)*Assumptions!$B$9)/((S$3/100)*Assumptions!$B$10))-(S$3/100)*Assumptions!$B$10)))))</f>
        <v/>
      </c>
      <c r="T4" s="32">
        <f>IF((MAX(0,Assumptions!$B$2*EXP(-Assumptions!$B$4*Assumptions!$B$9)*NORMSDIST(((LN(Assumptions!$B$2/$B4)+(Assumptions!$B$3-Assumptions!$B$4+(T$3/100)^2/2)*Assumptions!$B$9)/((T$3/100)*Assumptions!$B$10)))-$B4*EXP(-Assumptions!$B$3*Assumptions!$B$9)*NORMSDIST((((LN(Assumptions!$B$2/$B4)+(Assumptions!$B$3-Assumptions!$B$4+(T$3/100)^2/2)*Assumptions!$B$9)/((T$3/100)*Assumptions!$B$10))-(T$3/100)*Assumptions!$B$10))))&lt;=0,"",(Assumptions!$B$2*EXP(-Assumptions!$B$4*Assumptions!$B$9)*NORMDIST(((LN(Assumptions!$B$2/$B4)+(Assumptions!$B$3-Assumptions!$B$4+(T$3/100)^2/2)*Assumptions!$B$9)/((T$3/100)*Assumptions!$B$10)),0,1,FALSE)*Assumptions!$B$10*0.01)*((T$3/100)/0.01)/(MAX(0,Assumptions!$B$2*EXP(-Assumptions!$B$4*Assumptions!$B$9)*NORMSDIST(((LN(Assumptions!$B$2/$B4)+(Assumptions!$B$3-Assumptions!$B$4+(T$3/100)^2/2)*Assumptions!$B$9)/((T$3/100)*Assumptions!$B$10)))-$B4*EXP(-Assumptions!$B$3*Assumptions!$B$9)*NORMSDIST((((LN(Assumptions!$B$2/$B4)+(Assumptions!$B$3-Assumptions!$B$4+(T$3/100)^2/2)*Assumptions!$B$9)/((T$3/100)*Assumptions!$B$10))-(T$3/100)*Assumptions!$B$10)))))</f>
        <v/>
      </c>
      <c r="U4" s="32">
        <f>IF((MAX(0,Assumptions!$B$2*EXP(-Assumptions!$B$4*Assumptions!$B$9)*NORMSDIST(((LN(Assumptions!$B$2/$B4)+(Assumptions!$B$3-Assumptions!$B$4+(U$3/100)^2/2)*Assumptions!$B$9)/((U$3/100)*Assumptions!$B$10)))-$B4*EXP(-Assumptions!$B$3*Assumptions!$B$9)*NORMSDIST((((LN(Assumptions!$B$2/$B4)+(Assumptions!$B$3-Assumptions!$B$4+(U$3/100)^2/2)*Assumptions!$B$9)/((U$3/100)*Assumptions!$B$10))-(U$3/100)*Assumptions!$B$10))))&lt;=0,"",(Assumptions!$B$2*EXP(-Assumptions!$B$4*Assumptions!$B$9)*NORMDIST(((LN(Assumptions!$B$2/$B4)+(Assumptions!$B$3-Assumptions!$B$4+(U$3/100)^2/2)*Assumptions!$B$9)/((U$3/100)*Assumptions!$B$10)),0,1,FALSE)*Assumptions!$B$10*0.01)*((U$3/100)/0.01)/(MAX(0,Assumptions!$B$2*EXP(-Assumptions!$B$4*Assumptions!$B$9)*NORMSDIST(((LN(Assumptions!$B$2/$B4)+(Assumptions!$B$3-Assumptions!$B$4+(U$3/100)^2/2)*Assumptions!$B$9)/((U$3/100)*Assumptions!$B$10)))-$B4*EXP(-Assumptions!$B$3*Assumptions!$B$9)*NORMSDIST((((LN(Assumptions!$B$2/$B4)+(Assumptions!$B$3-Assumptions!$B$4+(U$3/100)^2/2)*Assumptions!$B$9)/((U$3/100)*Assumptions!$B$10))-(U$3/100)*Assumptions!$B$10)))))</f>
        <v/>
      </c>
      <c r="V4" s="32">
        <f>IF((MAX(0,Assumptions!$B$2*EXP(-Assumptions!$B$4*Assumptions!$B$9)*NORMSDIST(((LN(Assumptions!$B$2/$B4)+(Assumptions!$B$3-Assumptions!$B$4+(V$3/100)^2/2)*Assumptions!$B$9)/((V$3/100)*Assumptions!$B$10)))-$B4*EXP(-Assumptions!$B$3*Assumptions!$B$9)*NORMSDIST((((LN(Assumptions!$B$2/$B4)+(Assumptions!$B$3-Assumptions!$B$4+(V$3/100)^2/2)*Assumptions!$B$9)/((V$3/100)*Assumptions!$B$10))-(V$3/100)*Assumptions!$B$10))))&lt;=0,"",(Assumptions!$B$2*EXP(-Assumptions!$B$4*Assumptions!$B$9)*NORMDIST(((LN(Assumptions!$B$2/$B4)+(Assumptions!$B$3-Assumptions!$B$4+(V$3/100)^2/2)*Assumptions!$B$9)/((V$3/100)*Assumptions!$B$10)),0,1,FALSE)*Assumptions!$B$10*0.01)*((V$3/100)/0.01)/(MAX(0,Assumptions!$B$2*EXP(-Assumptions!$B$4*Assumptions!$B$9)*NORMSDIST(((LN(Assumptions!$B$2/$B4)+(Assumptions!$B$3-Assumptions!$B$4+(V$3/100)^2/2)*Assumptions!$B$9)/((V$3/100)*Assumptions!$B$10)))-$B4*EXP(-Assumptions!$B$3*Assumptions!$B$9)*NORMSDIST((((LN(Assumptions!$B$2/$B4)+(Assumptions!$B$3-Assumptions!$B$4+(V$3/100)^2/2)*Assumptions!$B$9)/((V$3/100)*Assumptions!$B$10))-(V$3/100)*Assumptions!$B$10)))))</f>
        <v/>
      </c>
      <c r="W4" s="32">
        <f>IF((MAX(0,Assumptions!$B$2*EXP(-Assumptions!$B$4*Assumptions!$B$9)*NORMSDIST(((LN(Assumptions!$B$2/$B4)+(Assumptions!$B$3-Assumptions!$B$4+(W$3/100)^2/2)*Assumptions!$B$9)/((W$3/100)*Assumptions!$B$10)))-$B4*EXP(-Assumptions!$B$3*Assumptions!$B$9)*NORMSDIST((((LN(Assumptions!$B$2/$B4)+(Assumptions!$B$3-Assumptions!$B$4+(W$3/100)^2/2)*Assumptions!$B$9)/((W$3/100)*Assumptions!$B$10))-(W$3/100)*Assumptions!$B$10))))&lt;=0,"",(Assumptions!$B$2*EXP(-Assumptions!$B$4*Assumptions!$B$9)*NORMDIST(((LN(Assumptions!$B$2/$B4)+(Assumptions!$B$3-Assumptions!$B$4+(W$3/100)^2/2)*Assumptions!$B$9)/((W$3/100)*Assumptions!$B$10)),0,1,FALSE)*Assumptions!$B$10*0.01)*((W$3/100)/0.01)/(MAX(0,Assumptions!$B$2*EXP(-Assumptions!$B$4*Assumptions!$B$9)*NORMSDIST(((LN(Assumptions!$B$2/$B4)+(Assumptions!$B$3-Assumptions!$B$4+(W$3/100)^2/2)*Assumptions!$B$9)/((W$3/100)*Assumptions!$B$10)))-$B4*EXP(-Assumptions!$B$3*Assumptions!$B$9)*NORMSDIST((((LN(Assumptions!$B$2/$B4)+(Assumptions!$B$3-Assumptions!$B$4+(W$3/100)^2/2)*Assumptions!$B$9)/((W$3/100)*Assumptions!$B$10))-(W$3/100)*Assumptions!$B$10)))))</f>
        <v/>
      </c>
      <c r="X4" s="32">
        <f>IF((MAX(0,Assumptions!$B$2*EXP(-Assumptions!$B$4*Assumptions!$B$9)*NORMSDIST(((LN(Assumptions!$B$2/$B4)+(Assumptions!$B$3-Assumptions!$B$4+(X$3/100)^2/2)*Assumptions!$B$9)/((X$3/100)*Assumptions!$B$10)))-$B4*EXP(-Assumptions!$B$3*Assumptions!$B$9)*NORMSDIST((((LN(Assumptions!$B$2/$B4)+(Assumptions!$B$3-Assumptions!$B$4+(X$3/100)^2/2)*Assumptions!$B$9)/((X$3/100)*Assumptions!$B$10))-(X$3/100)*Assumptions!$B$10))))&lt;=0,"",(Assumptions!$B$2*EXP(-Assumptions!$B$4*Assumptions!$B$9)*NORMDIST(((LN(Assumptions!$B$2/$B4)+(Assumptions!$B$3-Assumptions!$B$4+(X$3/100)^2/2)*Assumptions!$B$9)/((X$3/100)*Assumptions!$B$10)),0,1,FALSE)*Assumptions!$B$10*0.01)*((X$3/100)/0.01)/(MAX(0,Assumptions!$B$2*EXP(-Assumptions!$B$4*Assumptions!$B$9)*NORMSDIST(((LN(Assumptions!$B$2/$B4)+(Assumptions!$B$3-Assumptions!$B$4+(X$3/100)^2/2)*Assumptions!$B$9)/((X$3/100)*Assumptions!$B$10)))-$B4*EXP(-Assumptions!$B$3*Assumptions!$B$9)*NORMSDIST((((LN(Assumptions!$B$2/$B4)+(Assumptions!$B$3-Assumptions!$B$4+(X$3/100)^2/2)*Assumptions!$B$9)/((X$3/100)*Assumptions!$B$10))-(X$3/100)*Assumptions!$B$10)))))</f>
        <v/>
      </c>
      <c r="Y4" s="32">
        <f>IF((MAX(0,Assumptions!$B$2*EXP(-Assumptions!$B$4*Assumptions!$B$9)*NORMSDIST(((LN(Assumptions!$B$2/$B4)+(Assumptions!$B$3-Assumptions!$B$4+(Y$3/100)^2/2)*Assumptions!$B$9)/((Y$3/100)*Assumptions!$B$10)))-$B4*EXP(-Assumptions!$B$3*Assumptions!$B$9)*NORMSDIST((((LN(Assumptions!$B$2/$B4)+(Assumptions!$B$3-Assumptions!$B$4+(Y$3/100)^2/2)*Assumptions!$B$9)/((Y$3/100)*Assumptions!$B$10))-(Y$3/100)*Assumptions!$B$10))))&lt;=0,"",(Assumptions!$B$2*EXP(-Assumptions!$B$4*Assumptions!$B$9)*NORMDIST(((LN(Assumptions!$B$2/$B4)+(Assumptions!$B$3-Assumptions!$B$4+(Y$3/100)^2/2)*Assumptions!$B$9)/((Y$3/100)*Assumptions!$B$10)),0,1,FALSE)*Assumptions!$B$10*0.01)*((Y$3/100)/0.01)/(MAX(0,Assumptions!$B$2*EXP(-Assumptions!$B$4*Assumptions!$B$9)*NORMSDIST(((LN(Assumptions!$B$2/$B4)+(Assumptions!$B$3-Assumptions!$B$4+(Y$3/100)^2/2)*Assumptions!$B$9)/((Y$3/100)*Assumptions!$B$10)))-$B4*EXP(-Assumptions!$B$3*Assumptions!$B$9)*NORMSDIST((((LN(Assumptions!$B$2/$B4)+(Assumptions!$B$3-Assumptions!$B$4+(Y$3/100)^2/2)*Assumptions!$B$9)/((Y$3/100)*Assumptions!$B$10))-(Y$3/100)*Assumptions!$B$10)))))</f>
        <v/>
      </c>
      <c r="Z4" s="32">
        <f>IF((MAX(0,Assumptions!$B$2*EXP(-Assumptions!$B$4*Assumptions!$B$9)*NORMSDIST(((LN(Assumptions!$B$2/$B4)+(Assumptions!$B$3-Assumptions!$B$4+(Z$3/100)^2/2)*Assumptions!$B$9)/((Z$3/100)*Assumptions!$B$10)))-$B4*EXP(-Assumptions!$B$3*Assumptions!$B$9)*NORMSDIST((((LN(Assumptions!$B$2/$B4)+(Assumptions!$B$3-Assumptions!$B$4+(Z$3/100)^2/2)*Assumptions!$B$9)/((Z$3/100)*Assumptions!$B$10))-(Z$3/100)*Assumptions!$B$10))))&lt;=0,"",(Assumptions!$B$2*EXP(-Assumptions!$B$4*Assumptions!$B$9)*NORMDIST(((LN(Assumptions!$B$2/$B4)+(Assumptions!$B$3-Assumptions!$B$4+(Z$3/100)^2/2)*Assumptions!$B$9)/((Z$3/100)*Assumptions!$B$10)),0,1,FALSE)*Assumptions!$B$10*0.01)*((Z$3/100)/0.01)/(MAX(0,Assumptions!$B$2*EXP(-Assumptions!$B$4*Assumptions!$B$9)*NORMSDIST(((LN(Assumptions!$B$2/$B4)+(Assumptions!$B$3-Assumptions!$B$4+(Z$3/100)^2/2)*Assumptions!$B$9)/((Z$3/100)*Assumptions!$B$10)))-$B4*EXP(-Assumptions!$B$3*Assumptions!$B$9)*NORMSDIST((((LN(Assumptions!$B$2/$B4)+(Assumptions!$B$3-Assumptions!$B$4+(Z$3/100)^2/2)*Assumptions!$B$9)/((Z$3/100)*Assumptions!$B$10))-(Z$3/100)*Assumptions!$B$10)))))</f>
        <v/>
      </c>
      <c r="AA4" s="32">
        <f>IF((MAX(0,Assumptions!$B$2*EXP(-Assumptions!$B$4*Assumptions!$B$9)*NORMSDIST(((LN(Assumptions!$B$2/$B4)+(Assumptions!$B$3-Assumptions!$B$4+(AA$3/100)^2/2)*Assumptions!$B$9)/((AA$3/100)*Assumptions!$B$10)))-$B4*EXP(-Assumptions!$B$3*Assumptions!$B$9)*NORMSDIST((((LN(Assumptions!$B$2/$B4)+(Assumptions!$B$3-Assumptions!$B$4+(AA$3/100)^2/2)*Assumptions!$B$9)/((AA$3/100)*Assumptions!$B$10))-(AA$3/100)*Assumptions!$B$10))))&lt;=0,"",(Assumptions!$B$2*EXP(-Assumptions!$B$4*Assumptions!$B$9)*NORMDIST(((LN(Assumptions!$B$2/$B4)+(Assumptions!$B$3-Assumptions!$B$4+(AA$3/100)^2/2)*Assumptions!$B$9)/((AA$3/100)*Assumptions!$B$10)),0,1,FALSE)*Assumptions!$B$10*0.01)*((AA$3/100)/0.01)/(MAX(0,Assumptions!$B$2*EXP(-Assumptions!$B$4*Assumptions!$B$9)*NORMSDIST(((LN(Assumptions!$B$2/$B4)+(Assumptions!$B$3-Assumptions!$B$4+(AA$3/100)^2/2)*Assumptions!$B$9)/((AA$3/100)*Assumptions!$B$10)))-$B4*EXP(-Assumptions!$B$3*Assumptions!$B$9)*NORMSDIST((((LN(Assumptions!$B$2/$B4)+(Assumptions!$B$3-Assumptions!$B$4+(AA$3/100)^2/2)*Assumptions!$B$9)/((AA$3/100)*Assumptions!$B$10))-(AA$3/100)*Assumptions!$B$10)))))</f>
        <v/>
      </c>
      <c r="AB4" s="32">
        <f>IF((MAX(0,Assumptions!$B$2*EXP(-Assumptions!$B$4*Assumptions!$B$9)*NORMSDIST(((LN(Assumptions!$B$2/$B4)+(Assumptions!$B$3-Assumptions!$B$4+(AB$3/100)^2/2)*Assumptions!$B$9)/((AB$3/100)*Assumptions!$B$10)))-$B4*EXP(-Assumptions!$B$3*Assumptions!$B$9)*NORMSDIST((((LN(Assumptions!$B$2/$B4)+(Assumptions!$B$3-Assumptions!$B$4+(AB$3/100)^2/2)*Assumptions!$B$9)/((AB$3/100)*Assumptions!$B$10))-(AB$3/100)*Assumptions!$B$10))))&lt;=0,"",(Assumptions!$B$2*EXP(-Assumptions!$B$4*Assumptions!$B$9)*NORMDIST(((LN(Assumptions!$B$2/$B4)+(Assumptions!$B$3-Assumptions!$B$4+(AB$3/100)^2/2)*Assumptions!$B$9)/((AB$3/100)*Assumptions!$B$10)),0,1,FALSE)*Assumptions!$B$10*0.01)*((AB$3/100)/0.01)/(MAX(0,Assumptions!$B$2*EXP(-Assumptions!$B$4*Assumptions!$B$9)*NORMSDIST(((LN(Assumptions!$B$2/$B4)+(Assumptions!$B$3-Assumptions!$B$4+(AB$3/100)^2/2)*Assumptions!$B$9)/((AB$3/100)*Assumptions!$B$10)))-$B4*EXP(-Assumptions!$B$3*Assumptions!$B$9)*NORMSDIST((((LN(Assumptions!$B$2/$B4)+(Assumptions!$B$3-Assumptions!$B$4+(AB$3/100)^2/2)*Assumptions!$B$9)/((AB$3/100)*Assumptions!$B$10))-(AB$3/100)*Assumptions!$B$10)))))</f>
        <v/>
      </c>
      <c r="AC4" s="32">
        <f>IF((MAX(0,Assumptions!$B$2*EXP(-Assumptions!$B$4*Assumptions!$B$9)*NORMSDIST(((LN(Assumptions!$B$2/$B4)+(Assumptions!$B$3-Assumptions!$B$4+(AC$3/100)^2/2)*Assumptions!$B$9)/((AC$3/100)*Assumptions!$B$10)))-$B4*EXP(-Assumptions!$B$3*Assumptions!$B$9)*NORMSDIST((((LN(Assumptions!$B$2/$B4)+(Assumptions!$B$3-Assumptions!$B$4+(AC$3/100)^2/2)*Assumptions!$B$9)/((AC$3/100)*Assumptions!$B$10))-(AC$3/100)*Assumptions!$B$10))))&lt;=0,"",(Assumptions!$B$2*EXP(-Assumptions!$B$4*Assumptions!$B$9)*NORMDIST(((LN(Assumptions!$B$2/$B4)+(Assumptions!$B$3-Assumptions!$B$4+(AC$3/100)^2/2)*Assumptions!$B$9)/((AC$3/100)*Assumptions!$B$10)),0,1,FALSE)*Assumptions!$B$10*0.01)*((AC$3/100)/0.01)/(MAX(0,Assumptions!$B$2*EXP(-Assumptions!$B$4*Assumptions!$B$9)*NORMSDIST(((LN(Assumptions!$B$2/$B4)+(Assumptions!$B$3-Assumptions!$B$4+(AC$3/100)^2/2)*Assumptions!$B$9)/((AC$3/100)*Assumptions!$B$10)))-$B4*EXP(-Assumptions!$B$3*Assumptions!$B$9)*NORMSDIST((((LN(Assumptions!$B$2/$B4)+(Assumptions!$B$3-Assumptions!$B$4+(AC$3/100)^2/2)*Assumptions!$B$9)/((AC$3/100)*Assumptions!$B$10))-(AC$3/100)*Assumptions!$B$10)))))</f>
        <v/>
      </c>
      <c r="AD4" s="32">
        <f>IF((MAX(0,Assumptions!$B$2*EXP(-Assumptions!$B$4*Assumptions!$B$9)*NORMSDIST(((LN(Assumptions!$B$2/$B4)+(Assumptions!$B$3-Assumptions!$B$4+(AD$3/100)^2/2)*Assumptions!$B$9)/((AD$3/100)*Assumptions!$B$10)))-$B4*EXP(-Assumptions!$B$3*Assumptions!$B$9)*NORMSDIST((((LN(Assumptions!$B$2/$B4)+(Assumptions!$B$3-Assumptions!$B$4+(AD$3/100)^2/2)*Assumptions!$B$9)/((AD$3/100)*Assumptions!$B$10))-(AD$3/100)*Assumptions!$B$10))))&lt;=0,"",(Assumptions!$B$2*EXP(-Assumptions!$B$4*Assumptions!$B$9)*NORMDIST(((LN(Assumptions!$B$2/$B4)+(Assumptions!$B$3-Assumptions!$B$4+(AD$3/100)^2/2)*Assumptions!$B$9)/((AD$3/100)*Assumptions!$B$10)),0,1,FALSE)*Assumptions!$B$10*0.01)*((AD$3/100)/0.01)/(MAX(0,Assumptions!$B$2*EXP(-Assumptions!$B$4*Assumptions!$B$9)*NORMSDIST(((LN(Assumptions!$B$2/$B4)+(Assumptions!$B$3-Assumptions!$B$4+(AD$3/100)^2/2)*Assumptions!$B$9)/((AD$3/100)*Assumptions!$B$10)))-$B4*EXP(-Assumptions!$B$3*Assumptions!$B$9)*NORMSDIST((((LN(Assumptions!$B$2/$B4)+(Assumptions!$B$3-Assumptions!$B$4+(AD$3/100)^2/2)*Assumptions!$B$9)/((AD$3/100)*Assumptions!$B$10))-(AD$3/100)*Assumptions!$B$10)))))</f>
        <v/>
      </c>
      <c r="AE4" s="32">
        <f>IF((MAX(0,Assumptions!$B$2*EXP(-Assumptions!$B$4*Assumptions!$B$9)*NORMSDIST(((LN(Assumptions!$B$2/$B4)+(Assumptions!$B$3-Assumptions!$B$4+(AE$3/100)^2/2)*Assumptions!$B$9)/((AE$3/100)*Assumptions!$B$10)))-$B4*EXP(-Assumptions!$B$3*Assumptions!$B$9)*NORMSDIST((((LN(Assumptions!$B$2/$B4)+(Assumptions!$B$3-Assumptions!$B$4+(AE$3/100)^2/2)*Assumptions!$B$9)/((AE$3/100)*Assumptions!$B$10))-(AE$3/100)*Assumptions!$B$10))))&lt;=0,"",(Assumptions!$B$2*EXP(-Assumptions!$B$4*Assumptions!$B$9)*NORMDIST(((LN(Assumptions!$B$2/$B4)+(Assumptions!$B$3-Assumptions!$B$4+(AE$3/100)^2/2)*Assumptions!$B$9)/((AE$3/100)*Assumptions!$B$10)),0,1,FALSE)*Assumptions!$B$10*0.01)*((AE$3/100)/0.01)/(MAX(0,Assumptions!$B$2*EXP(-Assumptions!$B$4*Assumptions!$B$9)*NORMSDIST(((LN(Assumptions!$B$2/$B4)+(Assumptions!$B$3-Assumptions!$B$4+(AE$3/100)^2/2)*Assumptions!$B$9)/((AE$3/100)*Assumptions!$B$10)))-$B4*EXP(-Assumptions!$B$3*Assumptions!$B$9)*NORMSDIST((((LN(Assumptions!$B$2/$B4)+(Assumptions!$B$3-Assumptions!$B$4+(AE$3/100)^2/2)*Assumptions!$B$9)/((AE$3/100)*Assumptions!$B$10))-(AE$3/100)*Assumptions!$B$10)))))</f>
        <v/>
      </c>
      <c r="AF4" s="32">
        <f>IF((MAX(0,Assumptions!$B$2*EXP(-Assumptions!$B$4*Assumptions!$B$9)*NORMSDIST(((LN(Assumptions!$B$2/$B4)+(Assumptions!$B$3-Assumptions!$B$4+(AF$3/100)^2/2)*Assumptions!$B$9)/((AF$3/100)*Assumptions!$B$10)))-$B4*EXP(-Assumptions!$B$3*Assumptions!$B$9)*NORMSDIST((((LN(Assumptions!$B$2/$B4)+(Assumptions!$B$3-Assumptions!$B$4+(AF$3/100)^2/2)*Assumptions!$B$9)/((AF$3/100)*Assumptions!$B$10))-(AF$3/100)*Assumptions!$B$10))))&lt;=0,"",(Assumptions!$B$2*EXP(-Assumptions!$B$4*Assumptions!$B$9)*NORMDIST(((LN(Assumptions!$B$2/$B4)+(Assumptions!$B$3-Assumptions!$B$4+(AF$3/100)^2/2)*Assumptions!$B$9)/((AF$3/100)*Assumptions!$B$10)),0,1,FALSE)*Assumptions!$B$10*0.01)*((AF$3/100)/0.01)/(MAX(0,Assumptions!$B$2*EXP(-Assumptions!$B$4*Assumptions!$B$9)*NORMSDIST(((LN(Assumptions!$B$2/$B4)+(Assumptions!$B$3-Assumptions!$B$4+(AF$3/100)^2/2)*Assumptions!$B$9)/((AF$3/100)*Assumptions!$B$10)))-$B4*EXP(-Assumptions!$B$3*Assumptions!$B$9)*NORMSDIST((((LN(Assumptions!$B$2/$B4)+(Assumptions!$B$3-Assumptions!$B$4+(AF$3/100)^2/2)*Assumptions!$B$9)/((AF$3/100)*Assumptions!$B$10))-(AF$3/100)*Assumptions!$B$10)))))</f>
        <v/>
      </c>
      <c r="AG4" s="32">
        <f>IF((MAX(0,Assumptions!$B$2*EXP(-Assumptions!$B$4*Assumptions!$B$9)*NORMSDIST(((LN(Assumptions!$B$2/$B4)+(Assumptions!$B$3-Assumptions!$B$4+(AG$3/100)^2/2)*Assumptions!$B$9)/((AG$3/100)*Assumptions!$B$10)))-$B4*EXP(-Assumptions!$B$3*Assumptions!$B$9)*NORMSDIST((((LN(Assumptions!$B$2/$B4)+(Assumptions!$B$3-Assumptions!$B$4+(AG$3/100)^2/2)*Assumptions!$B$9)/((AG$3/100)*Assumptions!$B$10))-(AG$3/100)*Assumptions!$B$10))))&lt;=0,"",(Assumptions!$B$2*EXP(-Assumptions!$B$4*Assumptions!$B$9)*NORMDIST(((LN(Assumptions!$B$2/$B4)+(Assumptions!$B$3-Assumptions!$B$4+(AG$3/100)^2/2)*Assumptions!$B$9)/((AG$3/100)*Assumptions!$B$10)),0,1,FALSE)*Assumptions!$B$10*0.01)*((AG$3/100)/0.01)/(MAX(0,Assumptions!$B$2*EXP(-Assumptions!$B$4*Assumptions!$B$9)*NORMSDIST(((LN(Assumptions!$B$2/$B4)+(Assumptions!$B$3-Assumptions!$B$4+(AG$3/100)^2/2)*Assumptions!$B$9)/((AG$3/100)*Assumptions!$B$10)))-$B4*EXP(-Assumptions!$B$3*Assumptions!$B$9)*NORMSDIST((((LN(Assumptions!$B$2/$B4)+(Assumptions!$B$3-Assumptions!$B$4+(AG$3/100)^2/2)*Assumptions!$B$9)/((AG$3/100)*Assumptions!$B$10))-(AG$3/100)*Assumptions!$B$10)))))</f>
        <v/>
      </c>
      <c r="AH4" s="32">
        <f>IF((MAX(0,Assumptions!$B$2*EXP(-Assumptions!$B$4*Assumptions!$B$9)*NORMSDIST(((LN(Assumptions!$B$2/$B4)+(Assumptions!$B$3-Assumptions!$B$4+(AH$3/100)^2/2)*Assumptions!$B$9)/((AH$3/100)*Assumptions!$B$10)))-$B4*EXP(-Assumptions!$B$3*Assumptions!$B$9)*NORMSDIST((((LN(Assumptions!$B$2/$B4)+(Assumptions!$B$3-Assumptions!$B$4+(AH$3/100)^2/2)*Assumptions!$B$9)/((AH$3/100)*Assumptions!$B$10))-(AH$3/100)*Assumptions!$B$10))))&lt;=0,"",(Assumptions!$B$2*EXP(-Assumptions!$B$4*Assumptions!$B$9)*NORMDIST(((LN(Assumptions!$B$2/$B4)+(Assumptions!$B$3-Assumptions!$B$4+(AH$3/100)^2/2)*Assumptions!$B$9)/((AH$3/100)*Assumptions!$B$10)),0,1,FALSE)*Assumptions!$B$10*0.01)*((AH$3/100)/0.01)/(MAX(0,Assumptions!$B$2*EXP(-Assumptions!$B$4*Assumptions!$B$9)*NORMSDIST(((LN(Assumptions!$B$2/$B4)+(Assumptions!$B$3-Assumptions!$B$4+(AH$3/100)^2/2)*Assumptions!$B$9)/((AH$3/100)*Assumptions!$B$10)))-$B4*EXP(-Assumptions!$B$3*Assumptions!$B$9)*NORMSDIST((((LN(Assumptions!$B$2/$B4)+(Assumptions!$B$3-Assumptions!$B$4+(AH$3/100)^2/2)*Assumptions!$B$9)/((AH$3/100)*Assumptions!$B$10))-(AH$3/100)*Assumptions!$B$10)))))</f>
        <v/>
      </c>
      <c r="AI4" s="32">
        <f>IF((MAX(0,Assumptions!$B$2*EXP(-Assumptions!$B$4*Assumptions!$B$9)*NORMSDIST(((LN(Assumptions!$B$2/$B4)+(Assumptions!$B$3-Assumptions!$B$4+(AI$3/100)^2/2)*Assumptions!$B$9)/((AI$3/100)*Assumptions!$B$10)))-$B4*EXP(-Assumptions!$B$3*Assumptions!$B$9)*NORMSDIST((((LN(Assumptions!$B$2/$B4)+(Assumptions!$B$3-Assumptions!$B$4+(AI$3/100)^2/2)*Assumptions!$B$9)/((AI$3/100)*Assumptions!$B$10))-(AI$3/100)*Assumptions!$B$10))))&lt;=0,"",(Assumptions!$B$2*EXP(-Assumptions!$B$4*Assumptions!$B$9)*NORMDIST(((LN(Assumptions!$B$2/$B4)+(Assumptions!$B$3-Assumptions!$B$4+(AI$3/100)^2/2)*Assumptions!$B$9)/((AI$3/100)*Assumptions!$B$10)),0,1,FALSE)*Assumptions!$B$10*0.01)*((AI$3/100)/0.01)/(MAX(0,Assumptions!$B$2*EXP(-Assumptions!$B$4*Assumptions!$B$9)*NORMSDIST(((LN(Assumptions!$B$2/$B4)+(Assumptions!$B$3-Assumptions!$B$4+(AI$3/100)^2/2)*Assumptions!$B$9)/((AI$3/100)*Assumptions!$B$10)))-$B4*EXP(-Assumptions!$B$3*Assumptions!$B$9)*NORMSDIST((((LN(Assumptions!$B$2/$B4)+(Assumptions!$B$3-Assumptions!$B$4+(AI$3/100)^2/2)*Assumptions!$B$9)/((AI$3/100)*Assumptions!$B$10))-(AI$3/100)*Assumptions!$B$10)))))</f>
        <v/>
      </c>
      <c r="AJ4" s="32">
        <f>IF((MAX(0,Assumptions!$B$2*EXP(-Assumptions!$B$4*Assumptions!$B$9)*NORMSDIST(((LN(Assumptions!$B$2/$B4)+(Assumptions!$B$3-Assumptions!$B$4+(AJ$3/100)^2/2)*Assumptions!$B$9)/((AJ$3/100)*Assumptions!$B$10)))-$B4*EXP(-Assumptions!$B$3*Assumptions!$B$9)*NORMSDIST((((LN(Assumptions!$B$2/$B4)+(Assumptions!$B$3-Assumptions!$B$4+(AJ$3/100)^2/2)*Assumptions!$B$9)/((AJ$3/100)*Assumptions!$B$10))-(AJ$3/100)*Assumptions!$B$10))))&lt;=0,"",(Assumptions!$B$2*EXP(-Assumptions!$B$4*Assumptions!$B$9)*NORMDIST(((LN(Assumptions!$B$2/$B4)+(Assumptions!$B$3-Assumptions!$B$4+(AJ$3/100)^2/2)*Assumptions!$B$9)/((AJ$3/100)*Assumptions!$B$10)),0,1,FALSE)*Assumptions!$B$10*0.01)*((AJ$3/100)/0.01)/(MAX(0,Assumptions!$B$2*EXP(-Assumptions!$B$4*Assumptions!$B$9)*NORMSDIST(((LN(Assumptions!$B$2/$B4)+(Assumptions!$B$3-Assumptions!$B$4+(AJ$3/100)^2/2)*Assumptions!$B$9)/((AJ$3/100)*Assumptions!$B$10)))-$B4*EXP(-Assumptions!$B$3*Assumptions!$B$9)*NORMSDIST((((LN(Assumptions!$B$2/$B4)+(Assumptions!$B$3-Assumptions!$B$4+(AJ$3/100)^2/2)*Assumptions!$B$9)/((AJ$3/100)*Assumptions!$B$10))-(AJ$3/100)*Assumptions!$B$10)))))</f>
        <v/>
      </c>
      <c r="AK4" s="32">
        <f>IF((MAX(0,Assumptions!$B$2*EXP(-Assumptions!$B$4*Assumptions!$B$9)*NORMSDIST(((LN(Assumptions!$B$2/$B4)+(Assumptions!$B$3-Assumptions!$B$4+(AK$3/100)^2/2)*Assumptions!$B$9)/((AK$3/100)*Assumptions!$B$10)))-$B4*EXP(-Assumptions!$B$3*Assumptions!$B$9)*NORMSDIST((((LN(Assumptions!$B$2/$B4)+(Assumptions!$B$3-Assumptions!$B$4+(AK$3/100)^2/2)*Assumptions!$B$9)/((AK$3/100)*Assumptions!$B$10))-(AK$3/100)*Assumptions!$B$10))))&lt;=0,"",(Assumptions!$B$2*EXP(-Assumptions!$B$4*Assumptions!$B$9)*NORMDIST(((LN(Assumptions!$B$2/$B4)+(Assumptions!$B$3-Assumptions!$B$4+(AK$3/100)^2/2)*Assumptions!$B$9)/((AK$3/100)*Assumptions!$B$10)),0,1,FALSE)*Assumptions!$B$10*0.01)*((AK$3/100)/0.01)/(MAX(0,Assumptions!$B$2*EXP(-Assumptions!$B$4*Assumptions!$B$9)*NORMSDIST(((LN(Assumptions!$B$2/$B4)+(Assumptions!$B$3-Assumptions!$B$4+(AK$3/100)^2/2)*Assumptions!$B$9)/((AK$3/100)*Assumptions!$B$10)))-$B4*EXP(-Assumptions!$B$3*Assumptions!$B$9)*NORMSDIST((((LN(Assumptions!$B$2/$B4)+(Assumptions!$B$3-Assumptions!$B$4+(AK$3/100)^2/2)*Assumptions!$B$9)/((AK$3/100)*Assumptions!$B$10))-(AK$3/100)*Assumptions!$B$10)))))</f>
        <v/>
      </c>
      <c r="AL4" s="32">
        <f>IF((MAX(0,Assumptions!$B$2*EXP(-Assumptions!$B$4*Assumptions!$B$9)*NORMSDIST(((LN(Assumptions!$B$2/$B4)+(Assumptions!$B$3-Assumptions!$B$4+(AL$3/100)^2/2)*Assumptions!$B$9)/((AL$3/100)*Assumptions!$B$10)))-$B4*EXP(-Assumptions!$B$3*Assumptions!$B$9)*NORMSDIST((((LN(Assumptions!$B$2/$B4)+(Assumptions!$B$3-Assumptions!$B$4+(AL$3/100)^2/2)*Assumptions!$B$9)/((AL$3/100)*Assumptions!$B$10))-(AL$3/100)*Assumptions!$B$10))))&lt;=0,"",(Assumptions!$B$2*EXP(-Assumptions!$B$4*Assumptions!$B$9)*NORMDIST(((LN(Assumptions!$B$2/$B4)+(Assumptions!$B$3-Assumptions!$B$4+(AL$3/100)^2/2)*Assumptions!$B$9)/((AL$3/100)*Assumptions!$B$10)),0,1,FALSE)*Assumptions!$B$10*0.01)*((AL$3/100)/0.01)/(MAX(0,Assumptions!$B$2*EXP(-Assumptions!$B$4*Assumptions!$B$9)*NORMSDIST(((LN(Assumptions!$B$2/$B4)+(Assumptions!$B$3-Assumptions!$B$4+(AL$3/100)^2/2)*Assumptions!$B$9)/((AL$3/100)*Assumptions!$B$10)))-$B4*EXP(-Assumptions!$B$3*Assumptions!$B$9)*NORMSDIST((((LN(Assumptions!$B$2/$B4)+(Assumptions!$B$3-Assumptions!$B$4+(AL$3/100)^2/2)*Assumptions!$B$9)/((AL$3/100)*Assumptions!$B$10))-(AL$3/100)*Assumptions!$B$10)))))</f>
        <v/>
      </c>
      <c r="AM4" s="32">
        <f>IF((MAX(0,Assumptions!$B$2*EXP(-Assumptions!$B$4*Assumptions!$B$9)*NORMSDIST(((LN(Assumptions!$B$2/$B4)+(Assumptions!$B$3-Assumptions!$B$4+(AM$3/100)^2/2)*Assumptions!$B$9)/((AM$3/100)*Assumptions!$B$10)))-$B4*EXP(-Assumptions!$B$3*Assumptions!$B$9)*NORMSDIST((((LN(Assumptions!$B$2/$B4)+(Assumptions!$B$3-Assumptions!$B$4+(AM$3/100)^2/2)*Assumptions!$B$9)/((AM$3/100)*Assumptions!$B$10))-(AM$3/100)*Assumptions!$B$10))))&lt;=0,"",(Assumptions!$B$2*EXP(-Assumptions!$B$4*Assumptions!$B$9)*NORMDIST(((LN(Assumptions!$B$2/$B4)+(Assumptions!$B$3-Assumptions!$B$4+(AM$3/100)^2/2)*Assumptions!$B$9)/((AM$3/100)*Assumptions!$B$10)),0,1,FALSE)*Assumptions!$B$10*0.01)*((AM$3/100)/0.01)/(MAX(0,Assumptions!$B$2*EXP(-Assumptions!$B$4*Assumptions!$B$9)*NORMSDIST(((LN(Assumptions!$B$2/$B4)+(Assumptions!$B$3-Assumptions!$B$4+(AM$3/100)^2/2)*Assumptions!$B$9)/((AM$3/100)*Assumptions!$B$10)))-$B4*EXP(-Assumptions!$B$3*Assumptions!$B$9)*NORMSDIST((((LN(Assumptions!$B$2/$B4)+(Assumptions!$B$3-Assumptions!$B$4+(AM$3/100)^2/2)*Assumptions!$B$9)/((AM$3/100)*Assumptions!$B$10))-(AM$3/100)*Assumptions!$B$10)))))</f>
        <v/>
      </c>
      <c r="AN4" s="32">
        <f>IF((MAX(0,Assumptions!$B$2*EXP(-Assumptions!$B$4*Assumptions!$B$9)*NORMSDIST(((LN(Assumptions!$B$2/$B4)+(Assumptions!$B$3-Assumptions!$B$4+(AN$3/100)^2/2)*Assumptions!$B$9)/((AN$3/100)*Assumptions!$B$10)))-$B4*EXP(-Assumptions!$B$3*Assumptions!$B$9)*NORMSDIST((((LN(Assumptions!$B$2/$B4)+(Assumptions!$B$3-Assumptions!$B$4+(AN$3/100)^2/2)*Assumptions!$B$9)/((AN$3/100)*Assumptions!$B$10))-(AN$3/100)*Assumptions!$B$10))))&lt;=0,"",(Assumptions!$B$2*EXP(-Assumptions!$B$4*Assumptions!$B$9)*NORMDIST(((LN(Assumptions!$B$2/$B4)+(Assumptions!$B$3-Assumptions!$B$4+(AN$3/100)^2/2)*Assumptions!$B$9)/((AN$3/100)*Assumptions!$B$10)),0,1,FALSE)*Assumptions!$B$10*0.01)*((AN$3/100)/0.01)/(MAX(0,Assumptions!$B$2*EXP(-Assumptions!$B$4*Assumptions!$B$9)*NORMSDIST(((LN(Assumptions!$B$2/$B4)+(Assumptions!$B$3-Assumptions!$B$4+(AN$3/100)^2/2)*Assumptions!$B$9)/((AN$3/100)*Assumptions!$B$10)))-$B4*EXP(-Assumptions!$B$3*Assumptions!$B$9)*NORMSDIST((((LN(Assumptions!$B$2/$B4)+(Assumptions!$B$3-Assumptions!$B$4+(AN$3/100)^2/2)*Assumptions!$B$9)/((AN$3/100)*Assumptions!$B$10))-(AN$3/100)*Assumptions!$B$10)))))</f>
        <v/>
      </c>
      <c r="AO4" s="32">
        <f>IF((MAX(0,Assumptions!$B$2*EXP(-Assumptions!$B$4*Assumptions!$B$9)*NORMSDIST(((LN(Assumptions!$B$2/$B4)+(Assumptions!$B$3-Assumptions!$B$4+(AO$3/100)^2/2)*Assumptions!$B$9)/((AO$3/100)*Assumptions!$B$10)))-$B4*EXP(-Assumptions!$B$3*Assumptions!$B$9)*NORMSDIST((((LN(Assumptions!$B$2/$B4)+(Assumptions!$B$3-Assumptions!$B$4+(AO$3/100)^2/2)*Assumptions!$B$9)/((AO$3/100)*Assumptions!$B$10))-(AO$3/100)*Assumptions!$B$10))))&lt;=0,"",(Assumptions!$B$2*EXP(-Assumptions!$B$4*Assumptions!$B$9)*NORMDIST(((LN(Assumptions!$B$2/$B4)+(Assumptions!$B$3-Assumptions!$B$4+(AO$3/100)^2/2)*Assumptions!$B$9)/((AO$3/100)*Assumptions!$B$10)),0,1,FALSE)*Assumptions!$B$10*0.01)*((AO$3/100)/0.01)/(MAX(0,Assumptions!$B$2*EXP(-Assumptions!$B$4*Assumptions!$B$9)*NORMSDIST(((LN(Assumptions!$B$2/$B4)+(Assumptions!$B$3-Assumptions!$B$4+(AO$3/100)^2/2)*Assumptions!$B$9)/((AO$3/100)*Assumptions!$B$10)))-$B4*EXP(-Assumptions!$B$3*Assumptions!$B$9)*NORMSDIST((((LN(Assumptions!$B$2/$B4)+(Assumptions!$B$3-Assumptions!$B$4+(AO$3/100)^2/2)*Assumptions!$B$9)/((AO$3/100)*Assumptions!$B$10))-(AO$3/100)*Assumptions!$B$10)))))</f>
        <v/>
      </c>
      <c r="AP4" s="32">
        <f>IF((MAX(0,Assumptions!$B$2*EXP(-Assumptions!$B$4*Assumptions!$B$9)*NORMSDIST(((LN(Assumptions!$B$2/$B4)+(Assumptions!$B$3-Assumptions!$B$4+(AP$3/100)^2/2)*Assumptions!$B$9)/((AP$3/100)*Assumptions!$B$10)))-$B4*EXP(-Assumptions!$B$3*Assumptions!$B$9)*NORMSDIST((((LN(Assumptions!$B$2/$B4)+(Assumptions!$B$3-Assumptions!$B$4+(AP$3/100)^2/2)*Assumptions!$B$9)/((AP$3/100)*Assumptions!$B$10))-(AP$3/100)*Assumptions!$B$10))))&lt;=0,"",(Assumptions!$B$2*EXP(-Assumptions!$B$4*Assumptions!$B$9)*NORMDIST(((LN(Assumptions!$B$2/$B4)+(Assumptions!$B$3-Assumptions!$B$4+(AP$3/100)^2/2)*Assumptions!$B$9)/((AP$3/100)*Assumptions!$B$10)),0,1,FALSE)*Assumptions!$B$10*0.01)*((AP$3/100)/0.01)/(MAX(0,Assumptions!$B$2*EXP(-Assumptions!$B$4*Assumptions!$B$9)*NORMSDIST(((LN(Assumptions!$B$2/$B4)+(Assumptions!$B$3-Assumptions!$B$4+(AP$3/100)^2/2)*Assumptions!$B$9)/((AP$3/100)*Assumptions!$B$10)))-$B4*EXP(-Assumptions!$B$3*Assumptions!$B$9)*NORMSDIST((((LN(Assumptions!$B$2/$B4)+(Assumptions!$B$3-Assumptions!$B$4+(AP$3/100)^2/2)*Assumptions!$B$9)/((AP$3/100)*Assumptions!$B$10))-(AP$3/100)*Assumptions!$B$10)))))</f>
        <v/>
      </c>
      <c r="AQ4" s="32">
        <f>IF((MAX(0,Assumptions!$B$2*EXP(-Assumptions!$B$4*Assumptions!$B$9)*NORMSDIST(((LN(Assumptions!$B$2/$B4)+(Assumptions!$B$3-Assumptions!$B$4+(AQ$3/100)^2/2)*Assumptions!$B$9)/((AQ$3/100)*Assumptions!$B$10)))-$B4*EXP(-Assumptions!$B$3*Assumptions!$B$9)*NORMSDIST((((LN(Assumptions!$B$2/$B4)+(Assumptions!$B$3-Assumptions!$B$4+(AQ$3/100)^2/2)*Assumptions!$B$9)/((AQ$3/100)*Assumptions!$B$10))-(AQ$3/100)*Assumptions!$B$10))))&lt;=0,"",(Assumptions!$B$2*EXP(-Assumptions!$B$4*Assumptions!$B$9)*NORMDIST(((LN(Assumptions!$B$2/$B4)+(Assumptions!$B$3-Assumptions!$B$4+(AQ$3/100)^2/2)*Assumptions!$B$9)/((AQ$3/100)*Assumptions!$B$10)),0,1,FALSE)*Assumptions!$B$10*0.01)*((AQ$3/100)/0.01)/(MAX(0,Assumptions!$B$2*EXP(-Assumptions!$B$4*Assumptions!$B$9)*NORMSDIST(((LN(Assumptions!$B$2/$B4)+(Assumptions!$B$3-Assumptions!$B$4+(AQ$3/100)^2/2)*Assumptions!$B$9)/((AQ$3/100)*Assumptions!$B$10)))-$B4*EXP(-Assumptions!$B$3*Assumptions!$B$9)*NORMSDIST((((LN(Assumptions!$B$2/$B4)+(Assumptions!$B$3-Assumptions!$B$4+(AQ$3/100)^2/2)*Assumptions!$B$9)/((AQ$3/100)*Assumptions!$B$10))-(AQ$3/100)*Assumptions!$B$10)))))</f>
        <v/>
      </c>
      <c r="AR4" s="32">
        <f>IF((MAX(0,Assumptions!$B$2*EXP(-Assumptions!$B$4*Assumptions!$B$9)*NORMSDIST(((LN(Assumptions!$B$2/$B4)+(Assumptions!$B$3-Assumptions!$B$4+(AR$3/100)^2/2)*Assumptions!$B$9)/((AR$3/100)*Assumptions!$B$10)))-$B4*EXP(-Assumptions!$B$3*Assumptions!$B$9)*NORMSDIST((((LN(Assumptions!$B$2/$B4)+(Assumptions!$B$3-Assumptions!$B$4+(AR$3/100)^2/2)*Assumptions!$B$9)/((AR$3/100)*Assumptions!$B$10))-(AR$3/100)*Assumptions!$B$10))))&lt;=0,"",(Assumptions!$B$2*EXP(-Assumptions!$B$4*Assumptions!$B$9)*NORMDIST(((LN(Assumptions!$B$2/$B4)+(Assumptions!$B$3-Assumptions!$B$4+(AR$3/100)^2/2)*Assumptions!$B$9)/((AR$3/100)*Assumptions!$B$10)),0,1,FALSE)*Assumptions!$B$10*0.01)*((AR$3/100)/0.01)/(MAX(0,Assumptions!$B$2*EXP(-Assumptions!$B$4*Assumptions!$B$9)*NORMSDIST(((LN(Assumptions!$B$2/$B4)+(Assumptions!$B$3-Assumptions!$B$4+(AR$3/100)^2/2)*Assumptions!$B$9)/((AR$3/100)*Assumptions!$B$10)))-$B4*EXP(-Assumptions!$B$3*Assumptions!$B$9)*NORMSDIST((((LN(Assumptions!$B$2/$B4)+(Assumptions!$B$3-Assumptions!$B$4+(AR$3/100)^2/2)*Assumptions!$B$9)/((AR$3/100)*Assumptions!$B$10))-(AR$3/100)*Assumptions!$B$10)))))</f>
        <v/>
      </c>
      <c r="AS4" s="32">
        <f>IF((MAX(0,Assumptions!$B$2*EXP(-Assumptions!$B$4*Assumptions!$B$9)*NORMSDIST(((LN(Assumptions!$B$2/$B4)+(Assumptions!$B$3-Assumptions!$B$4+(AS$3/100)^2/2)*Assumptions!$B$9)/((AS$3/100)*Assumptions!$B$10)))-$B4*EXP(-Assumptions!$B$3*Assumptions!$B$9)*NORMSDIST((((LN(Assumptions!$B$2/$B4)+(Assumptions!$B$3-Assumptions!$B$4+(AS$3/100)^2/2)*Assumptions!$B$9)/((AS$3/100)*Assumptions!$B$10))-(AS$3/100)*Assumptions!$B$10))))&lt;=0,"",(Assumptions!$B$2*EXP(-Assumptions!$B$4*Assumptions!$B$9)*NORMDIST(((LN(Assumptions!$B$2/$B4)+(Assumptions!$B$3-Assumptions!$B$4+(AS$3/100)^2/2)*Assumptions!$B$9)/((AS$3/100)*Assumptions!$B$10)),0,1,FALSE)*Assumptions!$B$10*0.01)*((AS$3/100)/0.01)/(MAX(0,Assumptions!$B$2*EXP(-Assumptions!$B$4*Assumptions!$B$9)*NORMSDIST(((LN(Assumptions!$B$2/$B4)+(Assumptions!$B$3-Assumptions!$B$4+(AS$3/100)^2/2)*Assumptions!$B$9)/((AS$3/100)*Assumptions!$B$10)))-$B4*EXP(-Assumptions!$B$3*Assumptions!$B$9)*NORMSDIST((((LN(Assumptions!$B$2/$B4)+(Assumptions!$B$3-Assumptions!$B$4+(AS$3/100)^2/2)*Assumptions!$B$9)/((AS$3/100)*Assumptions!$B$10))-(AS$3/100)*Assumptions!$B$10)))))</f>
        <v/>
      </c>
      <c r="AT4" s="32">
        <f>IF((MAX(0,Assumptions!$B$2*EXP(-Assumptions!$B$4*Assumptions!$B$9)*NORMSDIST(((LN(Assumptions!$B$2/$B4)+(Assumptions!$B$3-Assumptions!$B$4+(AT$3/100)^2/2)*Assumptions!$B$9)/((AT$3/100)*Assumptions!$B$10)))-$B4*EXP(-Assumptions!$B$3*Assumptions!$B$9)*NORMSDIST((((LN(Assumptions!$B$2/$B4)+(Assumptions!$B$3-Assumptions!$B$4+(AT$3/100)^2/2)*Assumptions!$B$9)/((AT$3/100)*Assumptions!$B$10))-(AT$3/100)*Assumptions!$B$10))))&lt;=0,"",(Assumptions!$B$2*EXP(-Assumptions!$B$4*Assumptions!$B$9)*NORMDIST(((LN(Assumptions!$B$2/$B4)+(Assumptions!$B$3-Assumptions!$B$4+(AT$3/100)^2/2)*Assumptions!$B$9)/((AT$3/100)*Assumptions!$B$10)),0,1,FALSE)*Assumptions!$B$10*0.01)*((AT$3/100)/0.01)/(MAX(0,Assumptions!$B$2*EXP(-Assumptions!$B$4*Assumptions!$B$9)*NORMSDIST(((LN(Assumptions!$B$2/$B4)+(Assumptions!$B$3-Assumptions!$B$4+(AT$3/100)^2/2)*Assumptions!$B$9)/((AT$3/100)*Assumptions!$B$10)))-$B4*EXP(-Assumptions!$B$3*Assumptions!$B$9)*NORMSDIST((((LN(Assumptions!$B$2/$B4)+(Assumptions!$B$3-Assumptions!$B$4+(AT$3/100)^2/2)*Assumptions!$B$9)/((AT$3/100)*Assumptions!$B$10))-(AT$3/100)*Assumptions!$B$10)))))</f>
        <v/>
      </c>
      <c r="AU4" s="32">
        <f>IF((MAX(0,Assumptions!$B$2*EXP(-Assumptions!$B$4*Assumptions!$B$9)*NORMSDIST(((LN(Assumptions!$B$2/$B4)+(Assumptions!$B$3-Assumptions!$B$4+(AU$3/100)^2/2)*Assumptions!$B$9)/((AU$3/100)*Assumptions!$B$10)))-$B4*EXP(-Assumptions!$B$3*Assumptions!$B$9)*NORMSDIST((((LN(Assumptions!$B$2/$B4)+(Assumptions!$B$3-Assumptions!$B$4+(AU$3/100)^2/2)*Assumptions!$B$9)/((AU$3/100)*Assumptions!$B$10))-(AU$3/100)*Assumptions!$B$10))))&lt;=0,"",(Assumptions!$B$2*EXP(-Assumptions!$B$4*Assumptions!$B$9)*NORMDIST(((LN(Assumptions!$B$2/$B4)+(Assumptions!$B$3-Assumptions!$B$4+(AU$3/100)^2/2)*Assumptions!$B$9)/((AU$3/100)*Assumptions!$B$10)),0,1,FALSE)*Assumptions!$B$10*0.01)*((AU$3/100)/0.01)/(MAX(0,Assumptions!$B$2*EXP(-Assumptions!$B$4*Assumptions!$B$9)*NORMSDIST(((LN(Assumptions!$B$2/$B4)+(Assumptions!$B$3-Assumptions!$B$4+(AU$3/100)^2/2)*Assumptions!$B$9)/((AU$3/100)*Assumptions!$B$10)))-$B4*EXP(-Assumptions!$B$3*Assumptions!$B$9)*NORMSDIST((((LN(Assumptions!$B$2/$B4)+(Assumptions!$B$3-Assumptions!$B$4+(AU$3/100)^2/2)*Assumptions!$B$9)/((AU$3/100)*Assumptions!$B$10))-(AU$3/100)*Assumptions!$B$10)))))</f>
        <v/>
      </c>
      <c r="AV4" s="32">
        <f>IF((MAX(0,Assumptions!$B$2*EXP(-Assumptions!$B$4*Assumptions!$B$9)*NORMSDIST(((LN(Assumptions!$B$2/$B4)+(Assumptions!$B$3-Assumptions!$B$4+(AV$3/100)^2/2)*Assumptions!$B$9)/((AV$3/100)*Assumptions!$B$10)))-$B4*EXP(-Assumptions!$B$3*Assumptions!$B$9)*NORMSDIST((((LN(Assumptions!$B$2/$B4)+(Assumptions!$B$3-Assumptions!$B$4+(AV$3/100)^2/2)*Assumptions!$B$9)/((AV$3/100)*Assumptions!$B$10))-(AV$3/100)*Assumptions!$B$10))))&lt;=0,"",(Assumptions!$B$2*EXP(-Assumptions!$B$4*Assumptions!$B$9)*NORMDIST(((LN(Assumptions!$B$2/$B4)+(Assumptions!$B$3-Assumptions!$B$4+(AV$3/100)^2/2)*Assumptions!$B$9)/((AV$3/100)*Assumptions!$B$10)),0,1,FALSE)*Assumptions!$B$10*0.01)*((AV$3/100)/0.01)/(MAX(0,Assumptions!$B$2*EXP(-Assumptions!$B$4*Assumptions!$B$9)*NORMSDIST(((LN(Assumptions!$B$2/$B4)+(Assumptions!$B$3-Assumptions!$B$4+(AV$3/100)^2/2)*Assumptions!$B$9)/((AV$3/100)*Assumptions!$B$10)))-$B4*EXP(-Assumptions!$B$3*Assumptions!$B$9)*NORMSDIST((((LN(Assumptions!$B$2/$B4)+(Assumptions!$B$3-Assumptions!$B$4+(AV$3/100)^2/2)*Assumptions!$B$9)/((AV$3/100)*Assumptions!$B$10))-(AV$3/100)*Assumptions!$B$10)))))</f>
        <v/>
      </c>
    </row>
    <row r="5">
      <c r="A5" s="27" t="inlineStr">
        <is>
          <t>-1.75%</t>
        </is>
      </c>
      <c r="B5" s="47">
        <f>'BS Engine'!$B$3</f>
        <v/>
      </c>
      <c r="C5" s="28">
        <f>'BS Engine'!$C$3</f>
        <v/>
      </c>
      <c r="D5" s="54">
        <f>IF((MAX(0,Assumptions!$B$2*EXP(-Assumptions!$B$4*Assumptions!$B$9)*NORMSDIST(((LN(Assumptions!$B$2/$B5)+(Assumptions!$B$3-Assumptions!$B$4+(D$3/100)^2/2)*Assumptions!$B$9)/((D$3/100)*Assumptions!$B$10)))-$B5*EXP(-Assumptions!$B$3*Assumptions!$B$9)*NORMSDIST((((LN(Assumptions!$B$2/$B5)+(Assumptions!$B$3-Assumptions!$B$4+(D$3/100)^2/2)*Assumptions!$B$9)/((D$3/100)*Assumptions!$B$10))-(D$3/100)*Assumptions!$B$10))))&lt;=0,"",(Assumptions!$B$2*EXP(-Assumptions!$B$4*Assumptions!$B$9)*NORMDIST(((LN(Assumptions!$B$2/$B5)+(Assumptions!$B$3-Assumptions!$B$4+(D$3/100)^2/2)*Assumptions!$B$9)/((D$3/100)*Assumptions!$B$10)),0,1,FALSE)*Assumptions!$B$10*0.01)*((D$3/100)/0.01)/(MAX(0,Assumptions!$B$2*EXP(-Assumptions!$B$4*Assumptions!$B$9)*NORMSDIST(((LN(Assumptions!$B$2/$B5)+(Assumptions!$B$3-Assumptions!$B$4+(D$3/100)^2/2)*Assumptions!$B$9)/((D$3/100)*Assumptions!$B$10)))-$B5*EXP(-Assumptions!$B$3*Assumptions!$B$9)*NORMSDIST((((LN(Assumptions!$B$2/$B5)+(Assumptions!$B$3-Assumptions!$B$4+(D$3/100)^2/2)*Assumptions!$B$9)/((D$3/100)*Assumptions!$B$10))-(D$3/100)*Assumptions!$B$10)))))</f>
        <v/>
      </c>
      <c r="E5" s="32">
        <f>IF((MAX(0,Assumptions!$B$2*EXP(-Assumptions!$B$4*Assumptions!$B$9)*NORMSDIST(((LN(Assumptions!$B$2/$B5)+(Assumptions!$B$3-Assumptions!$B$4+(E$3/100)^2/2)*Assumptions!$B$9)/((E$3/100)*Assumptions!$B$10)))-$B5*EXP(-Assumptions!$B$3*Assumptions!$B$9)*NORMSDIST((((LN(Assumptions!$B$2/$B5)+(Assumptions!$B$3-Assumptions!$B$4+(E$3/100)^2/2)*Assumptions!$B$9)/((E$3/100)*Assumptions!$B$10))-(E$3/100)*Assumptions!$B$10))))&lt;=0,"",(Assumptions!$B$2*EXP(-Assumptions!$B$4*Assumptions!$B$9)*NORMDIST(((LN(Assumptions!$B$2/$B5)+(Assumptions!$B$3-Assumptions!$B$4+(E$3/100)^2/2)*Assumptions!$B$9)/((E$3/100)*Assumptions!$B$10)),0,1,FALSE)*Assumptions!$B$10*0.01)*((E$3/100)/0.01)/(MAX(0,Assumptions!$B$2*EXP(-Assumptions!$B$4*Assumptions!$B$9)*NORMSDIST(((LN(Assumptions!$B$2/$B5)+(Assumptions!$B$3-Assumptions!$B$4+(E$3/100)^2/2)*Assumptions!$B$9)/((E$3/100)*Assumptions!$B$10)))-$B5*EXP(-Assumptions!$B$3*Assumptions!$B$9)*NORMSDIST((((LN(Assumptions!$B$2/$B5)+(Assumptions!$B$3-Assumptions!$B$4+(E$3/100)^2/2)*Assumptions!$B$9)/((E$3/100)*Assumptions!$B$10))-(E$3/100)*Assumptions!$B$10)))))</f>
        <v/>
      </c>
      <c r="F5" s="32">
        <f>IF((MAX(0,Assumptions!$B$2*EXP(-Assumptions!$B$4*Assumptions!$B$9)*NORMSDIST(((LN(Assumptions!$B$2/$B5)+(Assumptions!$B$3-Assumptions!$B$4+(F$3/100)^2/2)*Assumptions!$B$9)/((F$3/100)*Assumptions!$B$10)))-$B5*EXP(-Assumptions!$B$3*Assumptions!$B$9)*NORMSDIST((((LN(Assumptions!$B$2/$B5)+(Assumptions!$B$3-Assumptions!$B$4+(F$3/100)^2/2)*Assumptions!$B$9)/((F$3/100)*Assumptions!$B$10))-(F$3/100)*Assumptions!$B$10))))&lt;=0,"",(Assumptions!$B$2*EXP(-Assumptions!$B$4*Assumptions!$B$9)*NORMDIST(((LN(Assumptions!$B$2/$B5)+(Assumptions!$B$3-Assumptions!$B$4+(F$3/100)^2/2)*Assumptions!$B$9)/((F$3/100)*Assumptions!$B$10)),0,1,FALSE)*Assumptions!$B$10*0.01)*((F$3/100)/0.01)/(MAX(0,Assumptions!$B$2*EXP(-Assumptions!$B$4*Assumptions!$B$9)*NORMSDIST(((LN(Assumptions!$B$2/$B5)+(Assumptions!$B$3-Assumptions!$B$4+(F$3/100)^2/2)*Assumptions!$B$9)/((F$3/100)*Assumptions!$B$10)))-$B5*EXP(-Assumptions!$B$3*Assumptions!$B$9)*NORMSDIST((((LN(Assumptions!$B$2/$B5)+(Assumptions!$B$3-Assumptions!$B$4+(F$3/100)^2/2)*Assumptions!$B$9)/((F$3/100)*Assumptions!$B$10))-(F$3/100)*Assumptions!$B$10)))))</f>
        <v/>
      </c>
      <c r="G5" s="32">
        <f>IF((MAX(0,Assumptions!$B$2*EXP(-Assumptions!$B$4*Assumptions!$B$9)*NORMSDIST(((LN(Assumptions!$B$2/$B5)+(Assumptions!$B$3-Assumptions!$B$4+(G$3/100)^2/2)*Assumptions!$B$9)/((G$3/100)*Assumptions!$B$10)))-$B5*EXP(-Assumptions!$B$3*Assumptions!$B$9)*NORMSDIST((((LN(Assumptions!$B$2/$B5)+(Assumptions!$B$3-Assumptions!$B$4+(G$3/100)^2/2)*Assumptions!$B$9)/((G$3/100)*Assumptions!$B$10))-(G$3/100)*Assumptions!$B$10))))&lt;=0,"",(Assumptions!$B$2*EXP(-Assumptions!$B$4*Assumptions!$B$9)*NORMDIST(((LN(Assumptions!$B$2/$B5)+(Assumptions!$B$3-Assumptions!$B$4+(G$3/100)^2/2)*Assumptions!$B$9)/((G$3/100)*Assumptions!$B$10)),0,1,FALSE)*Assumptions!$B$10*0.01)*((G$3/100)/0.01)/(MAX(0,Assumptions!$B$2*EXP(-Assumptions!$B$4*Assumptions!$B$9)*NORMSDIST(((LN(Assumptions!$B$2/$B5)+(Assumptions!$B$3-Assumptions!$B$4+(G$3/100)^2/2)*Assumptions!$B$9)/((G$3/100)*Assumptions!$B$10)))-$B5*EXP(-Assumptions!$B$3*Assumptions!$B$9)*NORMSDIST((((LN(Assumptions!$B$2/$B5)+(Assumptions!$B$3-Assumptions!$B$4+(G$3/100)^2/2)*Assumptions!$B$9)/((G$3/100)*Assumptions!$B$10))-(G$3/100)*Assumptions!$B$10)))))</f>
        <v/>
      </c>
      <c r="H5" s="32">
        <f>IF((MAX(0,Assumptions!$B$2*EXP(-Assumptions!$B$4*Assumptions!$B$9)*NORMSDIST(((LN(Assumptions!$B$2/$B5)+(Assumptions!$B$3-Assumptions!$B$4+(H$3/100)^2/2)*Assumptions!$B$9)/((H$3/100)*Assumptions!$B$10)))-$B5*EXP(-Assumptions!$B$3*Assumptions!$B$9)*NORMSDIST((((LN(Assumptions!$B$2/$B5)+(Assumptions!$B$3-Assumptions!$B$4+(H$3/100)^2/2)*Assumptions!$B$9)/((H$3/100)*Assumptions!$B$10))-(H$3/100)*Assumptions!$B$10))))&lt;=0,"",(Assumptions!$B$2*EXP(-Assumptions!$B$4*Assumptions!$B$9)*NORMDIST(((LN(Assumptions!$B$2/$B5)+(Assumptions!$B$3-Assumptions!$B$4+(H$3/100)^2/2)*Assumptions!$B$9)/((H$3/100)*Assumptions!$B$10)),0,1,FALSE)*Assumptions!$B$10*0.01)*((H$3/100)/0.01)/(MAX(0,Assumptions!$B$2*EXP(-Assumptions!$B$4*Assumptions!$B$9)*NORMSDIST(((LN(Assumptions!$B$2/$B5)+(Assumptions!$B$3-Assumptions!$B$4+(H$3/100)^2/2)*Assumptions!$B$9)/((H$3/100)*Assumptions!$B$10)))-$B5*EXP(-Assumptions!$B$3*Assumptions!$B$9)*NORMSDIST((((LN(Assumptions!$B$2/$B5)+(Assumptions!$B$3-Assumptions!$B$4+(H$3/100)^2/2)*Assumptions!$B$9)/((H$3/100)*Assumptions!$B$10))-(H$3/100)*Assumptions!$B$10)))))</f>
        <v/>
      </c>
      <c r="I5" s="32">
        <f>IF((MAX(0,Assumptions!$B$2*EXP(-Assumptions!$B$4*Assumptions!$B$9)*NORMSDIST(((LN(Assumptions!$B$2/$B5)+(Assumptions!$B$3-Assumptions!$B$4+(I$3/100)^2/2)*Assumptions!$B$9)/((I$3/100)*Assumptions!$B$10)))-$B5*EXP(-Assumptions!$B$3*Assumptions!$B$9)*NORMSDIST((((LN(Assumptions!$B$2/$B5)+(Assumptions!$B$3-Assumptions!$B$4+(I$3/100)^2/2)*Assumptions!$B$9)/((I$3/100)*Assumptions!$B$10))-(I$3/100)*Assumptions!$B$10))))&lt;=0,"",(Assumptions!$B$2*EXP(-Assumptions!$B$4*Assumptions!$B$9)*NORMDIST(((LN(Assumptions!$B$2/$B5)+(Assumptions!$B$3-Assumptions!$B$4+(I$3/100)^2/2)*Assumptions!$B$9)/((I$3/100)*Assumptions!$B$10)),0,1,FALSE)*Assumptions!$B$10*0.01)*((I$3/100)/0.01)/(MAX(0,Assumptions!$B$2*EXP(-Assumptions!$B$4*Assumptions!$B$9)*NORMSDIST(((LN(Assumptions!$B$2/$B5)+(Assumptions!$B$3-Assumptions!$B$4+(I$3/100)^2/2)*Assumptions!$B$9)/((I$3/100)*Assumptions!$B$10)))-$B5*EXP(-Assumptions!$B$3*Assumptions!$B$9)*NORMSDIST((((LN(Assumptions!$B$2/$B5)+(Assumptions!$B$3-Assumptions!$B$4+(I$3/100)^2/2)*Assumptions!$B$9)/((I$3/100)*Assumptions!$B$10))-(I$3/100)*Assumptions!$B$10)))))</f>
        <v/>
      </c>
      <c r="J5" s="32">
        <f>IF((MAX(0,Assumptions!$B$2*EXP(-Assumptions!$B$4*Assumptions!$B$9)*NORMSDIST(((LN(Assumptions!$B$2/$B5)+(Assumptions!$B$3-Assumptions!$B$4+(J$3/100)^2/2)*Assumptions!$B$9)/((J$3/100)*Assumptions!$B$10)))-$B5*EXP(-Assumptions!$B$3*Assumptions!$B$9)*NORMSDIST((((LN(Assumptions!$B$2/$B5)+(Assumptions!$B$3-Assumptions!$B$4+(J$3/100)^2/2)*Assumptions!$B$9)/((J$3/100)*Assumptions!$B$10))-(J$3/100)*Assumptions!$B$10))))&lt;=0,"",(Assumptions!$B$2*EXP(-Assumptions!$B$4*Assumptions!$B$9)*NORMDIST(((LN(Assumptions!$B$2/$B5)+(Assumptions!$B$3-Assumptions!$B$4+(J$3/100)^2/2)*Assumptions!$B$9)/((J$3/100)*Assumptions!$B$10)),0,1,FALSE)*Assumptions!$B$10*0.01)*((J$3/100)/0.01)/(MAX(0,Assumptions!$B$2*EXP(-Assumptions!$B$4*Assumptions!$B$9)*NORMSDIST(((LN(Assumptions!$B$2/$B5)+(Assumptions!$B$3-Assumptions!$B$4+(J$3/100)^2/2)*Assumptions!$B$9)/((J$3/100)*Assumptions!$B$10)))-$B5*EXP(-Assumptions!$B$3*Assumptions!$B$9)*NORMSDIST((((LN(Assumptions!$B$2/$B5)+(Assumptions!$B$3-Assumptions!$B$4+(J$3/100)^2/2)*Assumptions!$B$9)/((J$3/100)*Assumptions!$B$10))-(J$3/100)*Assumptions!$B$10)))))</f>
        <v/>
      </c>
      <c r="K5" s="32">
        <f>IF((MAX(0,Assumptions!$B$2*EXP(-Assumptions!$B$4*Assumptions!$B$9)*NORMSDIST(((LN(Assumptions!$B$2/$B5)+(Assumptions!$B$3-Assumptions!$B$4+(K$3/100)^2/2)*Assumptions!$B$9)/((K$3/100)*Assumptions!$B$10)))-$B5*EXP(-Assumptions!$B$3*Assumptions!$B$9)*NORMSDIST((((LN(Assumptions!$B$2/$B5)+(Assumptions!$B$3-Assumptions!$B$4+(K$3/100)^2/2)*Assumptions!$B$9)/((K$3/100)*Assumptions!$B$10))-(K$3/100)*Assumptions!$B$10))))&lt;=0,"",(Assumptions!$B$2*EXP(-Assumptions!$B$4*Assumptions!$B$9)*NORMDIST(((LN(Assumptions!$B$2/$B5)+(Assumptions!$B$3-Assumptions!$B$4+(K$3/100)^2/2)*Assumptions!$B$9)/((K$3/100)*Assumptions!$B$10)),0,1,FALSE)*Assumptions!$B$10*0.01)*((K$3/100)/0.01)/(MAX(0,Assumptions!$B$2*EXP(-Assumptions!$B$4*Assumptions!$B$9)*NORMSDIST(((LN(Assumptions!$B$2/$B5)+(Assumptions!$B$3-Assumptions!$B$4+(K$3/100)^2/2)*Assumptions!$B$9)/((K$3/100)*Assumptions!$B$10)))-$B5*EXP(-Assumptions!$B$3*Assumptions!$B$9)*NORMSDIST((((LN(Assumptions!$B$2/$B5)+(Assumptions!$B$3-Assumptions!$B$4+(K$3/100)^2/2)*Assumptions!$B$9)/((K$3/100)*Assumptions!$B$10))-(K$3/100)*Assumptions!$B$10)))))</f>
        <v/>
      </c>
      <c r="L5" s="32">
        <f>IF((MAX(0,Assumptions!$B$2*EXP(-Assumptions!$B$4*Assumptions!$B$9)*NORMSDIST(((LN(Assumptions!$B$2/$B5)+(Assumptions!$B$3-Assumptions!$B$4+(L$3/100)^2/2)*Assumptions!$B$9)/((L$3/100)*Assumptions!$B$10)))-$B5*EXP(-Assumptions!$B$3*Assumptions!$B$9)*NORMSDIST((((LN(Assumptions!$B$2/$B5)+(Assumptions!$B$3-Assumptions!$B$4+(L$3/100)^2/2)*Assumptions!$B$9)/((L$3/100)*Assumptions!$B$10))-(L$3/100)*Assumptions!$B$10))))&lt;=0,"",(Assumptions!$B$2*EXP(-Assumptions!$B$4*Assumptions!$B$9)*NORMDIST(((LN(Assumptions!$B$2/$B5)+(Assumptions!$B$3-Assumptions!$B$4+(L$3/100)^2/2)*Assumptions!$B$9)/((L$3/100)*Assumptions!$B$10)),0,1,FALSE)*Assumptions!$B$10*0.01)*((L$3/100)/0.01)/(MAX(0,Assumptions!$B$2*EXP(-Assumptions!$B$4*Assumptions!$B$9)*NORMSDIST(((LN(Assumptions!$B$2/$B5)+(Assumptions!$B$3-Assumptions!$B$4+(L$3/100)^2/2)*Assumptions!$B$9)/((L$3/100)*Assumptions!$B$10)))-$B5*EXP(-Assumptions!$B$3*Assumptions!$B$9)*NORMSDIST((((LN(Assumptions!$B$2/$B5)+(Assumptions!$B$3-Assumptions!$B$4+(L$3/100)^2/2)*Assumptions!$B$9)/((L$3/100)*Assumptions!$B$10))-(L$3/100)*Assumptions!$B$10)))))</f>
        <v/>
      </c>
      <c r="M5" s="32">
        <f>IF((MAX(0,Assumptions!$B$2*EXP(-Assumptions!$B$4*Assumptions!$B$9)*NORMSDIST(((LN(Assumptions!$B$2/$B5)+(Assumptions!$B$3-Assumptions!$B$4+(M$3/100)^2/2)*Assumptions!$B$9)/((M$3/100)*Assumptions!$B$10)))-$B5*EXP(-Assumptions!$B$3*Assumptions!$B$9)*NORMSDIST((((LN(Assumptions!$B$2/$B5)+(Assumptions!$B$3-Assumptions!$B$4+(M$3/100)^2/2)*Assumptions!$B$9)/((M$3/100)*Assumptions!$B$10))-(M$3/100)*Assumptions!$B$10))))&lt;=0,"",(Assumptions!$B$2*EXP(-Assumptions!$B$4*Assumptions!$B$9)*NORMDIST(((LN(Assumptions!$B$2/$B5)+(Assumptions!$B$3-Assumptions!$B$4+(M$3/100)^2/2)*Assumptions!$B$9)/((M$3/100)*Assumptions!$B$10)),0,1,FALSE)*Assumptions!$B$10*0.01)*((M$3/100)/0.01)/(MAX(0,Assumptions!$B$2*EXP(-Assumptions!$B$4*Assumptions!$B$9)*NORMSDIST(((LN(Assumptions!$B$2/$B5)+(Assumptions!$B$3-Assumptions!$B$4+(M$3/100)^2/2)*Assumptions!$B$9)/((M$3/100)*Assumptions!$B$10)))-$B5*EXP(-Assumptions!$B$3*Assumptions!$B$9)*NORMSDIST((((LN(Assumptions!$B$2/$B5)+(Assumptions!$B$3-Assumptions!$B$4+(M$3/100)^2/2)*Assumptions!$B$9)/((M$3/100)*Assumptions!$B$10))-(M$3/100)*Assumptions!$B$10)))))</f>
        <v/>
      </c>
      <c r="N5" s="32">
        <f>IF((MAX(0,Assumptions!$B$2*EXP(-Assumptions!$B$4*Assumptions!$B$9)*NORMSDIST(((LN(Assumptions!$B$2/$B5)+(Assumptions!$B$3-Assumptions!$B$4+(N$3/100)^2/2)*Assumptions!$B$9)/((N$3/100)*Assumptions!$B$10)))-$B5*EXP(-Assumptions!$B$3*Assumptions!$B$9)*NORMSDIST((((LN(Assumptions!$B$2/$B5)+(Assumptions!$B$3-Assumptions!$B$4+(N$3/100)^2/2)*Assumptions!$B$9)/((N$3/100)*Assumptions!$B$10))-(N$3/100)*Assumptions!$B$10))))&lt;=0,"",(Assumptions!$B$2*EXP(-Assumptions!$B$4*Assumptions!$B$9)*NORMDIST(((LN(Assumptions!$B$2/$B5)+(Assumptions!$B$3-Assumptions!$B$4+(N$3/100)^2/2)*Assumptions!$B$9)/((N$3/100)*Assumptions!$B$10)),0,1,FALSE)*Assumptions!$B$10*0.01)*((N$3/100)/0.01)/(MAX(0,Assumptions!$B$2*EXP(-Assumptions!$B$4*Assumptions!$B$9)*NORMSDIST(((LN(Assumptions!$B$2/$B5)+(Assumptions!$B$3-Assumptions!$B$4+(N$3/100)^2/2)*Assumptions!$B$9)/((N$3/100)*Assumptions!$B$10)))-$B5*EXP(-Assumptions!$B$3*Assumptions!$B$9)*NORMSDIST((((LN(Assumptions!$B$2/$B5)+(Assumptions!$B$3-Assumptions!$B$4+(N$3/100)^2/2)*Assumptions!$B$9)/((N$3/100)*Assumptions!$B$10))-(N$3/100)*Assumptions!$B$10)))))</f>
        <v/>
      </c>
      <c r="O5" s="32">
        <f>IF((MAX(0,Assumptions!$B$2*EXP(-Assumptions!$B$4*Assumptions!$B$9)*NORMSDIST(((LN(Assumptions!$B$2/$B5)+(Assumptions!$B$3-Assumptions!$B$4+(O$3/100)^2/2)*Assumptions!$B$9)/((O$3/100)*Assumptions!$B$10)))-$B5*EXP(-Assumptions!$B$3*Assumptions!$B$9)*NORMSDIST((((LN(Assumptions!$B$2/$B5)+(Assumptions!$B$3-Assumptions!$B$4+(O$3/100)^2/2)*Assumptions!$B$9)/((O$3/100)*Assumptions!$B$10))-(O$3/100)*Assumptions!$B$10))))&lt;=0,"",(Assumptions!$B$2*EXP(-Assumptions!$B$4*Assumptions!$B$9)*NORMDIST(((LN(Assumptions!$B$2/$B5)+(Assumptions!$B$3-Assumptions!$B$4+(O$3/100)^2/2)*Assumptions!$B$9)/((O$3/100)*Assumptions!$B$10)),0,1,FALSE)*Assumptions!$B$10*0.01)*((O$3/100)/0.01)/(MAX(0,Assumptions!$B$2*EXP(-Assumptions!$B$4*Assumptions!$B$9)*NORMSDIST(((LN(Assumptions!$B$2/$B5)+(Assumptions!$B$3-Assumptions!$B$4+(O$3/100)^2/2)*Assumptions!$B$9)/((O$3/100)*Assumptions!$B$10)))-$B5*EXP(-Assumptions!$B$3*Assumptions!$B$9)*NORMSDIST((((LN(Assumptions!$B$2/$B5)+(Assumptions!$B$3-Assumptions!$B$4+(O$3/100)^2/2)*Assumptions!$B$9)/((O$3/100)*Assumptions!$B$10))-(O$3/100)*Assumptions!$B$10)))))</f>
        <v/>
      </c>
      <c r="P5" s="32">
        <f>IF((MAX(0,Assumptions!$B$2*EXP(-Assumptions!$B$4*Assumptions!$B$9)*NORMSDIST(((LN(Assumptions!$B$2/$B5)+(Assumptions!$B$3-Assumptions!$B$4+(P$3/100)^2/2)*Assumptions!$B$9)/((P$3/100)*Assumptions!$B$10)))-$B5*EXP(-Assumptions!$B$3*Assumptions!$B$9)*NORMSDIST((((LN(Assumptions!$B$2/$B5)+(Assumptions!$B$3-Assumptions!$B$4+(P$3/100)^2/2)*Assumptions!$B$9)/((P$3/100)*Assumptions!$B$10))-(P$3/100)*Assumptions!$B$10))))&lt;=0,"",(Assumptions!$B$2*EXP(-Assumptions!$B$4*Assumptions!$B$9)*NORMDIST(((LN(Assumptions!$B$2/$B5)+(Assumptions!$B$3-Assumptions!$B$4+(P$3/100)^2/2)*Assumptions!$B$9)/((P$3/100)*Assumptions!$B$10)),0,1,FALSE)*Assumptions!$B$10*0.01)*((P$3/100)/0.01)/(MAX(0,Assumptions!$B$2*EXP(-Assumptions!$B$4*Assumptions!$B$9)*NORMSDIST(((LN(Assumptions!$B$2/$B5)+(Assumptions!$B$3-Assumptions!$B$4+(P$3/100)^2/2)*Assumptions!$B$9)/((P$3/100)*Assumptions!$B$10)))-$B5*EXP(-Assumptions!$B$3*Assumptions!$B$9)*NORMSDIST((((LN(Assumptions!$B$2/$B5)+(Assumptions!$B$3-Assumptions!$B$4+(P$3/100)^2/2)*Assumptions!$B$9)/((P$3/100)*Assumptions!$B$10))-(P$3/100)*Assumptions!$B$10)))))</f>
        <v/>
      </c>
      <c r="Q5" s="32">
        <f>IF((MAX(0,Assumptions!$B$2*EXP(-Assumptions!$B$4*Assumptions!$B$9)*NORMSDIST(((LN(Assumptions!$B$2/$B5)+(Assumptions!$B$3-Assumptions!$B$4+(Q$3/100)^2/2)*Assumptions!$B$9)/((Q$3/100)*Assumptions!$B$10)))-$B5*EXP(-Assumptions!$B$3*Assumptions!$B$9)*NORMSDIST((((LN(Assumptions!$B$2/$B5)+(Assumptions!$B$3-Assumptions!$B$4+(Q$3/100)^2/2)*Assumptions!$B$9)/((Q$3/100)*Assumptions!$B$10))-(Q$3/100)*Assumptions!$B$10))))&lt;=0,"",(Assumptions!$B$2*EXP(-Assumptions!$B$4*Assumptions!$B$9)*NORMDIST(((LN(Assumptions!$B$2/$B5)+(Assumptions!$B$3-Assumptions!$B$4+(Q$3/100)^2/2)*Assumptions!$B$9)/((Q$3/100)*Assumptions!$B$10)),0,1,FALSE)*Assumptions!$B$10*0.01)*((Q$3/100)/0.01)/(MAX(0,Assumptions!$B$2*EXP(-Assumptions!$B$4*Assumptions!$B$9)*NORMSDIST(((LN(Assumptions!$B$2/$B5)+(Assumptions!$B$3-Assumptions!$B$4+(Q$3/100)^2/2)*Assumptions!$B$9)/((Q$3/100)*Assumptions!$B$10)))-$B5*EXP(-Assumptions!$B$3*Assumptions!$B$9)*NORMSDIST((((LN(Assumptions!$B$2/$B5)+(Assumptions!$B$3-Assumptions!$B$4+(Q$3/100)^2/2)*Assumptions!$B$9)/((Q$3/100)*Assumptions!$B$10))-(Q$3/100)*Assumptions!$B$10)))))</f>
        <v/>
      </c>
      <c r="R5" s="32">
        <f>IF((MAX(0,Assumptions!$B$2*EXP(-Assumptions!$B$4*Assumptions!$B$9)*NORMSDIST(((LN(Assumptions!$B$2/$B5)+(Assumptions!$B$3-Assumptions!$B$4+(R$3/100)^2/2)*Assumptions!$B$9)/((R$3/100)*Assumptions!$B$10)))-$B5*EXP(-Assumptions!$B$3*Assumptions!$B$9)*NORMSDIST((((LN(Assumptions!$B$2/$B5)+(Assumptions!$B$3-Assumptions!$B$4+(R$3/100)^2/2)*Assumptions!$B$9)/((R$3/100)*Assumptions!$B$10))-(R$3/100)*Assumptions!$B$10))))&lt;=0,"",(Assumptions!$B$2*EXP(-Assumptions!$B$4*Assumptions!$B$9)*NORMDIST(((LN(Assumptions!$B$2/$B5)+(Assumptions!$B$3-Assumptions!$B$4+(R$3/100)^2/2)*Assumptions!$B$9)/((R$3/100)*Assumptions!$B$10)),0,1,FALSE)*Assumptions!$B$10*0.01)*((R$3/100)/0.01)/(MAX(0,Assumptions!$B$2*EXP(-Assumptions!$B$4*Assumptions!$B$9)*NORMSDIST(((LN(Assumptions!$B$2/$B5)+(Assumptions!$B$3-Assumptions!$B$4+(R$3/100)^2/2)*Assumptions!$B$9)/((R$3/100)*Assumptions!$B$10)))-$B5*EXP(-Assumptions!$B$3*Assumptions!$B$9)*NORMSDIST((((LN(Assumptions!$B$2/$B5)+(Assumptions!$B$3-Assumptions!$B$4+(R$3/100)^2/2)*Assumptions!$B$9)/((R$3/100)*Assumptions!$B$10))-(R$3/100)*Assumptions!$B$10)))))</f>
        <v/>
      </c>
      <c r="S5" s="32">
        <f>IF((MAX(0,Assumptions!$B$2*EXP(-Assumptions!$B$4*Assumptions!$B$9)*NORMSDIST(((LN(Assumptions!$B$2/$B5)+(Assumptions!$B$3-Assumptions!$B$4+(S$3/100)^2/2)*Assumptions!$B$9)/((S$3/100)*Assumptions!$B$10)))-$B5*EXP(-Assumptions!$B$3*Assumptions!$B$9)*NORMSDIST((((LN(Assumptions!$B$2/$B5)+(Assumptions!$B$3-Assumptions!$B$4+(S$3/100)^2/2)*Assumptions!$B$9)/((S$3/100)*Assumptions!$B$10))-(S$3/100)*Assumptions!$B$10))))&lt;=0,"",(Assumptions!$B$2*EXP(-Assumptions!$B$4*Assumptions!$B$9)*NORMDIST(((LN(Assumptions!$B$2/$B5)+(Assumptions!$B$3-Assumptions!$B$4+(S$3/100)^2/2)*Assumptions!$B$9)/((S$3/100)*Assumptions!$B$10)),0,1,FALSE)*Assumptions!$B$10*0.01)*((S$3/100)/0.01)/(MAX(0,Assumptions!$B$2*EXP(-Assumptions!$B$4*Assumptions!$B$9)*NORMSDIST(((LN(Assumptions!$B$2/$B5)+(Assumptions!$B$3-Assumptions!$B$4+(S$3/100)^2/2)*Assumptions!$B$9)/((S$3/100)*Assumptions!$B$10)))-$B5*EXP(-Assumptions!$B$3*Assumptions!$B$9)*NORMSDIST((((LN(Assumptions!$B$2/$B5)+(Assumptions!$B$3-Assumptions!$B$4+(S$3/100)^2/2)*Assumptions!$B$9)/((S$3/100)*Assumptions!$B$10))-(S$3/100)*Assumptions!$B$10)))))</f>
        <v/>
      </c>
      <c r="T5" s="32">
        <f>IF((MAX(0,Assumptions!$B$2*EXP(-Assumptions!$B$4*Assumptions!$B$9)*NORMSDIST(((LN(Assumptions!$B$2/$B5)+(Assumptions!$B$3-Assumptions!$B$4+(T$3/100)^2/2)*Assumptions!$B$9)/((T$3/100)*Assumptions!$B$10)))-$B5*EXP(-Assumptions!$B$3*Assumptions!$B$9)*NORMSDIST((((LN(Assumptions!$B$2/$B5)+(Assumptions!$B$3-Assumptions!$B$4+(T$3/100)^2/2)*Assumptions!$B$9)/((T$3/100)*Assumptions!$B$10))-(T$3/100)*Assumptions!$B$10))))&lt;=0,"",(Assumptions!$B$2*EXP(-Assumptions!$B$4*Assumptions!$B$9)*NORMDIST(((LN(Assumptions!$B$2/$B5)+(Assumptions!$B$3-Assumptions!$B$4+(T$3/100)^2/2)*Assumptions!$B$9)/((T$3/100)*Assumptions!$B$10)),0,1,FALSE)*Assumptions!$B$10*0.01)*((T$3/100)/0.01)/(MAX(0,Assumptions!$B$2*EXP(-Assumptions!$B$4*Assumptions!$B$9)*NORMSDIST(((LN(Assumptions!$B$2/$B5)+(Assumptions!$B$3-Assumptions!$B$4+(T$3/100)^2/2)*Assumptions!$B$9)/((T$3/100)*Assumptions!$B$10)))-$B5*EXP(-Assumptions!$B$3*Assumptions!$B$9)*NORMSDIST((((LN(Assumptions!$B$2/$B5)+(Assumptions!$B$3-Assumptions!$B$4+(T$3/100)^2/2)*Assumptions!$B$9)/((T$3/100)*Assumptions!$B$10))-(T$3/100)*Assumptions!$B$10)))))</f>
        <v/>
      </c>
      <c r="U5" s="32">
        <f>IF((MAX(0,Assumptions!$B$2*EXP(-Assumptions!$B$4*Assumptions!$B$9)*NORMSDIST(((LN(Assumptions!$B$2/$B5)+(Assumptions!$B$3-Assumptions!$B$4+(U$3/100)^2/2)*Assumptions!$B$9)/((U$3/100)*Assumptions!$B$10)))-$B5*EXP(-Assumptions!$B$3*Assumptions!$B$9)*NORMSDIST((((LN(Assumptions!$B$2/$B5)+(Assumptions!$B$3-Assumptions!$B$4+(U$3/100)^2/2)*Assumptions!$B$9)/((U$3/100)*Assumptions!$B$10))-(U$3/100)*Assumptions!$B$10))))&lt;=0,"",(Assumptions!$B$2*EXP(-Assumptions!$B$4*Assumptions!$B$9)*NORMDIST(((LN(Assumptions!$B$2/$B5)+(Assumptions!$B$3-Assumptions!$B$4+(U$3/100)^2/2)*Assumptions!$B$9)/((U$3/100)*Assumptions!$B$10)),0,1,FALSE)*Assumptions!$B$10*0.01)*((U$3/100)/0.01)/(MAX(0,Assumptions!$B$2*EXP(-Assumptions!$B$4*Assumptions!$B$9)*NORMSDIST(((LN(Assumptions!$B$2/$B5)+(Assumptions!$B$3-Assumptions!$B$4+(U$3/100)^2/2)*Assumptions!$B$9)/((U$3/100)*Assumptions!$B$10)))-$B5*EXP(-Assumptions!$B$3*Assumptions!$B$9)*NORMSDIST((((LN(Assumptions!$B$2/$B5)+(Assumptions!$B$3-Assumptions!$B$4+(U$3/100)^2/2)*Assumptions!$B$9)/((U$3/100)*Assumptions!$B$10))-(U$3/100)*Assumptions!$B$10)))))</f>
        <v/>
      </c>
      <c r="V5" s="32">
        <f>IF((MAX(0,Assumptions!$B$2*EXP(-Assumptions!$B$4*Assumptions!$B$9)*NORMSDIST(((LN(Assumptions!$B$2/$B5)+(Assumptions!$B$3-Assumptions!$B$4+(V$3/100)^2/2)*Assumptions!$B$9)/((V$3/100)*Assumptions!$B$10)))-$B5*EXP(-Assumptions!$B$3*Assumptions!$B$9)*NORMSDIST((((LN(Assumptions!$B$2/$B5)+(Assumptions!$B$3-Assumptions!$B$4+(V$3/100)^2/2)*Assumptions!$B$9)/((V$3/100)*Assumptions!$B$10))-(V$3/100)*Assumptions!$B$10))))&lt;=0,"",(Assumptions!$B$2*EXP(-Assumptions!$B$4*Assumptions!$B$9)*NORMDIST(((LN(Assumptions!$B$2/$B5)+(Assumptions!$B$3-Assumptions!$B$4+(V$3/100)^2/2)*Assumptions!$B$9)/((V$3/100)*Assumptions!$B$10)),0,1,FALSE)*Assumptions!$B$10*0.01)*((V$3/100)/0.01)/(MAX(0,Assumptions!$B$2*EXP(-Assumptions!$B$4*Assumptions!$B$9)*NORMSDIST(((LN(Assumptions!$B$2/$B5)+(Assumptions!$B$3-Assumptions!$B$4+(V$3/100)^2/2)*Assumptions!$B$9)/((V$3/100)*Assumptions!$B$10)))-$B5*EXP(-Assumptions!$B$3*Assumptions!$B$9)*NORMSDIST((((LN(Assumptions!$B$2/$B5)+(Assumptions!$B$3-Assumptions!$B$4+(V$3/100)^2/2)*Assumptions!$B$9)/((V$3/100)*Assumptions!$B$10))-(V$3/100)*Assumptions!$B$10)))))</f>
        <v/>
      </c>
      <c r="W5" s="32">
        <f>IF((MAX(0,Assumptions!$B$2*EXP(-Assumptions!$B$4*Assumptions!$B$9)*NORMSDIST(((LN(Assumptions!$B$2/$B5)+(Assumptions!$B$3-Assumptions!$B$4+(W$3/100)^2/2)*Assumptions!$B$9)/((W$3/100)*Assumptions!$B$10)))-$B5*EXP(-Assumptions!$B$3*Assumptions!$B$9)*NORMSDIST((((LN(Assumptions!$B$2/$B5)+(Assumptions!$B$3-Assumptions!$B$4+(W$3/100)^2/2)*Assumptions!$B$9)/((W$3/100)*Assumptions!$B$10))-(W$3/100)*Assumptions!$B$10))))&lt;=0,"",(Assumptions!$B$2*EXP(-Assumptions!$B$4*Assumptions!$B$9)*NORMDIST(((LN(Assumptions!$B$2/$B5)+(Assumptions!$B$3-Assumptions!$B$4+(W$3/100)^2/2)*Assumptions!$B$9)/((W$3/100)*Assumptions!$B$10)),0,1,FALSE)*Assumptions!$B$10*0.01)*((W$3/100)/0.01)/(MAX(0,Assumptions!$B$2*EXP(-Assumptions!$B$4*Assumptions!$B$9)*NORMSDIST(((LN(Assumptions!$B$2/$B5)+(Assumptions!$B$3-Assumptions!$B$4+(W$3/100)^2/2)*Assumptions!$B$9)/((W$3/100)*Assumptions!$B$10)))-$B5*EXP(-Assumptions!$B$3*Assumptions!$B$9)*NORMSDIST((((LN(Assumptions!$B$2/$B5)+(Assumptions!$B$3-Assumptions!$B$4+(W$3/100)^2/2)*Assumptions!$B$9)/((W$3/100)*Assumptions!$B$10))-(W$3/100)*Assumptions!$B$10)))))</f>
        <v/>
      </c>
      <c r="X5" s="32">
        <f>IF((MAX(0,Assumptions!$B$2*EXP(-Assumptions!$B$4*Assumptions!$B$9)*NORMSDIST(((LN(Assumptions!$B$2/$B5)+(Assumptions!$B$3-Assumptions!$B$4+(X$3/100)^2/2)*Assumptions!$B$9)/((X$3/100)*Assumptions!$B$10)))-$B5*EXP(-Assumptions!$B$3*Assumptions!$B$9)*NORMSDIST((((LN(Assumptions!$B$2/$B5)+(Assumptions!$B$3-Assumptions!$B$4+(X$3/100)^2/2)*Assumptions!$B$9)/((X$3/100)*Assumptions!$B$10))-(X$3/100)*Assumptions!$B$10))))&lt;=0,"",(Assumptions!$B$2*EXP(-Assumptions!$B$4*Assumptions!$B$9)*NORMDIST(((LN(Assumptions!$B$2/$B5)+(Assumptions!$B$3-Assumptions!$B$4+(X$3/100)^2/2)*Assumptions!$B$9)/((X$3/100)*Assumptions!$B$10)),0,1,FALSE)*Assumptions!$B$10*0.01)*((X$3/100)/0.01)/(MAX(0,Assumptions!$B$2*EXP(-Assumptions!$B$4*Assumptions!$B$9)*NORMSDIST(((LN(Assumptions!$B$2/$B5)+(Assumptions!$B$3-Assumptions!$B$4+(X$3/100)^2/2)*Assumptions!$B$9)/((X$3/100)*Assumptions!$B$10)))-$B5*EXP(-Assumptions!$B$3*Assumptions!$B$9)*NORMSDIST((((LN(Assumptions!$B$2/$B5)+(Assumptions!$B$3-Assumptions!$B$4+(X$3/100)^2/2)*Assumptions!$B$9)/((X$3/100)*Assumptions!$B$10))-(X$3/100)*Assumptions!$B$10)))))</f>
        <v/>
      </c>
      <c r="Y5" s="32">
        <f>IF((MAX(0,Assumptions!$B$2*EXP(-Assumptions!$B$4*Assumptions!$B$9)*NORMSDIST(((LN(Assumptions!$B$2/$B5)+(Assumptions!$B$3-Assumptions!$B$4+(Y$3/100)^2/2)*Assumptions!$B$9)/((Y$3/100)*Assumptions!$B$10)))-$B5*EXP(-Assumptions!$B$3*Assumptions!$B$9)*NORMSDIST((((LN(Assumptions!$B$2/$B5)+(Assumptions!$B$3-Assumptions!$B$4+(Y$3/100)^2/2)*Assumptions!$B$9)/((Y$3/100)*Assumptions!$B$10))-(Y$3/100)*Assumptions!$B$10))))&lt;=0,"",(Assumptions!$B$2*EXP(-Assumptions!$B$4*Assumptions!$B$9)*NORMDIST(((LN(Assumptions!$B$2/$B5)+(Assumptions!$B$3-Assumptions!$B$4+(Y$3/100)^2/2)*Assumptions!$B$9)/((Y$3/100)*Assumptions!$B$10)),0,1,FALSE)*Assumptions!$B$10*0.01)*((Y$3/100)/0.01)/(MAX(0,Assumptions!$B$2*EXP(-Assumptions!$B$4*Assumptions!$B$9)*NORMSDIST(((LN(Assumptions!$B$2/$B5)+(Assumptions!$B$3-Assumptions!$B$4+(Y$3/100)^2/2)*Assumptions!$B$9)/((Y$3/100)*Assumptions!$B$10)))-$B5*EXP(-Assumptions!$B$3*Assumptions!$B$9)*NORMSDIST((((LN(Assumptions!$B$2/$B5)+(Assumptions!$B$3-Assumptions!$B$4+(Y$3/100)^2/2)*Assumptions!$B$9)/((Y$3/100)*Assumptions!$B$10))-(Y$3/100)*Assumptions!$B$10)))))</f>
        <v/>
      </c>
      <c r="Z5" s="32">
        <f>IF((MAX(0,Assumptions!$B$2*EXP(-Assumptions!$B$4*Assumptions!$B$9)*NORMSDIST(((LN(Assumptions!$B$2/$B5)+(Assumptions!$B$3-Assumptions!$B$4+(Z$3/100)^2/2)*Assumptions!$B$9)/((Z$3/100)*Assumptions!$B$10)))-$B5*EXP(-Assumptions!$B$3*Assumptions!$B$9)*NORMSDIST((((LN(Assumptions!$B$2/$B5)+(Assumptions!$B$3-Assumptions!$B$4+(Z$3/100)^2/2)*Assumptions!$B$9)/((Z$3/100)*Assumptions!$B$10))-(Z$3/100)*Assumptions!$B$10))))&lt;=0,"",(Assumptions!$B$2*EXP(-Assumptions!$B$4*Assumptions!$B$9)*NORMDIST(((LN(Assumptions!$B$2/$B5)+(Assumptions!$B$3-Assumptions!$B$4+(Z$3/100)^2/2)*Assumptions!$B$9)/((Z$3/100)*Assumptions!$B$10)),0,1,FALSE)*Assumptions!$B$10*0.01)*((Z$3/100)/0.01)/(MAX(0,Assumptions!$B$2*EXP(-Assumptions!$B$4*Assumptions!$B$9)*NORMSDIST(((LN(Assumptions!$B$2/$B5)+(Assumptions!$B$3-Assumptions!$B$4+(Z$3/100)^2/2)*Assumptions!$B$9)/((Z$3/100)*Assumptions!$B$10)))-$B5*EXP(-Assumptions!$B$3*Assumptions!$B$9)*NORMSDIST((((LN(Assumptions!$B$2/$B5)+(Assumptions!$B$3-Assumptions!$B$4+(Z$3/100)^2/2)*Assumptions!$B$9)/((Z$3/100)*Assumptions!$B$10))-(Z$3/100)*Assumptions!$B$10)))))</f>
        <v/>
      </c>
      <c r="AA5" s="32">
        <f>IF((MAX(0,Assumptions!$B$2*EXP(-Assumptions!$B$4*Assumptions!$B$9)*NORMSDIST(((LN(Assumptions!$B$2/$B5)+(Assumptions!$B$3-Assumptions!$B$4+(AA$3/100)^2/2)*Assumptions!$B$9)/((AA$3/100)*Assumptions!$B$10)))-$B5*EXP(-Assumptions!$B$3*Assumptions!$B$9)*NORMSDIST((((LN(Assumptions!$B$2/$B5)+(Assumptions!$B$3-Assumptions!$B$4+(AA$3/100)^2/2)*Assumptions!$B$9)/((AA$3/100)*Assumptions!$B$10))-(AA$3/100)*Assumptions!$B$10))))&lt;=0,"",(Assumptions!$B$2*EXP(-Assumptions!$B$4*Assumptions!$B$9)*NORMDIST(((LN(Assumptions!$B$2/$B5)+(Assumptions!$B$3-Assumptions!$B$4+(AA$3/100)^2/2)*Assumptions!$B$9)/((AA$3/100)*Assumptions!$B$10)),0,1,FALSE)*Assumptions!$B$10*0.01)*((AA$3/100)/0.01)/(MAX(0,Assumptions!$B$2*EXP(-Assumptions!$B$4*Assumptions!$B$9)*NORMSDIST(((LN(Assumptions!$B$2/$B5)+(Assumptions!$B$3-Assumptions!$B$4+(AA$3/100)^2/2)*Assumptions!$B$9)/((AA$3/100)*Assumptions!$B$10)))-$B5*EXP(-Assumptions!$B$3*Assumptions!$B$9)*NORMSDIST((((LN(Assumptions!$B$2/$B5)+(Assumptions!$B$3-Assumptions!$B$4+(AA$3/100)^2/2)*Assumptions!$B$9)/((AA$3/100)*Assumptions!$B$10))-(AA$3/100)*Assumptions!$B$10)))))</f>
        <v/>
      </c>
      <c r="AB5" s="32">
        <f>IF((MAX(0,Assumptions!$B$2*EXP(-Assumptions!$B$4*Assumptions!$B$9)*NORMSDIST(((LN(Assumptions!$B$2/$B5)+(Assumptions!$B$3-Assumptions!$B$4+(AB$3/100)^2/2)*Assumptions!$B$9)/((AB$3/100)*Assumptions!$B$10)))-$B5*EXP(-Assumptions!$B$3*Assumptions!$B$9)*NORMSDIST((((LN(Assumptions!$B$2/$B5)+(Assumptions!$B$3-Assumptions!$B$4+(AB$3/100)^2/2)*Assumptions!$B$9)/((AB$3/100)*Assumptions!$B$10))-(AB$3/100)*Assumptions!$B$10))))&lt;=0,"",(Assumptions!$B$2*EXP(-Assumptions!$B$4*Assumptions!$B$9)*NORMDIST(((LN(Assumptions!$B$2/$B5)+(Assumptions!$B$3-Assumptions!$B$4+(AB$3/100)^2/2)*Assumptions!$B$9)/((AB$3/100)*Assumptions!$B$10)),0,1,FALSE)*Assumptions!$B$10*0.01)*((AB$3/100)/0.01)/(MAX(0,Assumptions!$B$2*EXP(-Assumptions!$B$4*Assumptions!$B$9)*NORMSDIST(((LN(Assumptions!$B$2/$B5)+(Assumptions!$B$3-Assumptions!$B$4+(AB$3/100)^2/2)*Assumptions!$B$9)/((AB$3/100)*Assumptions!$B$10)))-$B5*EXP(-Assumptions!$B$3*Assumptions!$B$9)*NORMSDIST((((LN(Assumptions!$B$2/$B5)+(Assumptions!$B$3-Assumptions!$B$4+(AB$3/100)^2/2)*Assumptions!$B$9)/((AB$3/100)*Assumptions!$B$10))-(AB$3/100)*Assumptions!$B$10)))))</f>
        <v/>
      </c>
      <c r="AC5" s="32">
        <f>IF((MAX(0,Assumptions!$B$2*EXP(-Assumptions!$B$4*Assumptions!$B$9)*NORMSDIST(((LN(Assumptions!$B$2/$B5)+(Assumptions!$B$3-Assumptions!$B$4+(AC$3/100)^2/2)*Assumptions!$B$9)/((AC$3/100)*Assumptions!$B$10)))-$B5*EXP(-Assumptions!$B$3*Assumptions!$B$9)*NORMSDIST((((LN(Assumptions!$B$2/$B5)+(Assumptions!$B$3-Assumptions!$B$4+(AC$3/100)^2/2)*Assumptions!$B$9)/((AC$3/100)*Assumptions!$B$10))-(AC$3/100)*Assumptions!$B$10))))&lt;=0,"",(Assumptions!$B$2*EXP(-Assumptions!$B$4*Assumptions!$B$9)*NORMDIST(((LN(Assumptions!$B$2/$B5)+(Assumptions!$B$3-Assumptions!$B$4+(AC$3/100)^2/2)*Assumptions!$B$9)/((AC$3/100)*Assumptions!$B$10)),0,1,FALSE)*Assumptions!$B$10*0.01)*((AC$3/100)/0.01)/(MAX(0,Assumptions!$B$2*EXP(-Assumptions!$B$4*Assumptions!$B$9)*NORMSDIST(((LN(Assumptions!$B$2/$B5)+(Assumptions!$B$3-Assumptions!$B$4+(AC$3/100)^2/2)*Assumptions!$B$9)/((AC$3/100)*Assumptions!$B$10)))-$B5*EXP(-Assumptions!$B$3*Assumptions!$B$9)*NORMSDIST((((LN(Assumptions!$B$2/$B5)+(Assumptions!$B$3-Assumptions!$B$4+(AC$3/100)^2/2)*Assumptions!$B$9)/((AC$3/100)*Assumptions!$B$10))-(AC$3/100)*Assumptions!$B$10)))))</f>
        <v/>
      </c>
      <c r="AD5" s="32">
        <f>IF((MAX(0,Assumptions!$B$2*EXP(-Assumptions!$B$4*Assumptions!$B$9)*NORMSDIST(((LN(Assumptions!$B$2/$B5)+(Assumptions!$B$3-Assumptions!$B$4+(AD$3/100)^2/2)*Assumptions!$B$9)/((AD$3/100)*Assumptions!$B$10)))-$B5*EXP(-Assumptions!$B$3*Assumptions!$B$9)*NORMSDIST((((LN(Assumptions!$B$2/$B5)+(Assumptions!$B$3-Assumptions!$B$4+(AD$3/100)^2/2)*Assumptions!$B$9)/((AD$3/100)*Assumptions!$B$10))-(AD$3/100)*Assumptions!$B$10))))&lt;=0,"",(Assumptions!$B$2*EXP(-Assumptions!$B$4*Assumptions!$B$9)*NORMDIST(((LN(Assumptions!$B$2/$B5)+(Assumptions!$B$3-Assumptions!$B$4+(AD$3/100)^2/2)*Assumptions!$B$9)/((AD$3/100)*Assumptions!$B$10)),0,1,FALSE)*Assumptions!$B$10*0.01)*((AD$3/100)/0.01)/(MAX(0,Assumptions!$B$2*EXP(-Assumptions!$B$4*Assumptions!$B$9)*NORMSDIST(((LN(Assumptions!$B$2/$B5)+(Assumptions!$B$3-Assumptions!$B$4+(AD$3/100)^2/2)*Assumptions!$B$9)/((AD$3/100)*Assumptions!$B$10)))-$B5*EXP(-Assumptions!$B$3*Assumptions!$B$9)*NORMSDIST((((LN(Assumptions!$B$2/$B5)+(Assumptions!$B$3-Assumptions!$B$4+(AD$3/100)^2/2)*Assumptions!$B$9)/((AD$3/100)*Assumptions!$B$10))-(AD$3/100)*Assumptions!$B$10)))))</f>
        <v/>
      </c>
      <c r="AE5" s="32">
        <f>IF((MAX(0,Assumptions!$B$2*EXP(-Assumptions!$B$4*Assumptions!$B$9)*NORMSDIST(((LN(Assumptions!$B$2/$B5)+(Assumptions!$B$3-Assumptions!$B$4+(AE$3/100)^2/2)*Assumptions!$B$9)/((AE$3/100)*Assumptions!$B$10)))-$B5*EXP(-Assumptions!$B$3*Assumptions!$B$9)*NORMSDIST((((LN(Assumptions!$B$2/$B5)+(Assumptions!$B$3-Assumptions!$B$4+(AE$3/100)^2/2)*Assumptions!$B$9)/((AE$3/100)*Assumptions!$B$10))-(AE$3/100)*Assumptions!$B$10))))&lt;=0,"",(Assumptions!$B$2*EXP(-Assumptions!$B$4*Assumptions!$B$9)*NORMDIST(((LN(Assumptions!$B$2/$B5)+(Assumptions!$B$3-Assumptions!$B$4+(AE$3/100)^2/2)*Assumptions!$B$9)/((AE$3/100)*Assumptions!$B$10)),0,1,FALSE)*Assumptions!$B$10*0.01)*((AE$3/100)/0.01)/(MAX(0,Assumptions!$B$2*EXP(-Assumptions!$B$4*Assumptions!$B$9)*NORMSDIST(((LN(Assumptions!$B$2/$B5)+(Assumptions!$B$3-Assumptions!$B$4+(AE$3/100)^2/2)*Assumptions!$B$9)/((AE$3/100)*Assumptions!$B$10)))-$B5*EXP(-Assumptions!$B$3*Assumptions!$B$9)*NORMSDIST((((LN(Assumptions!$B$2/$B5)+(Assumptions!$B$3-Assumptions!$B$4+(AE$3/100)^2/2)*Assumptions!$B$9)/((AE$3/100)*Assumptions!$B$10))-(AE$3/100)*Assumptions!$B$10)))))</f>
        <v/>
      </c>
      <c r="AF5" s="32">
        <f>IF((MAX(0,Assumptions!$B$2*EXP(-Assumptions!$B$4*Assumptions!$B$9)*NORMSDIST(((LN(Assumptions!$B$2/$B5)+(Assumptions!$B$3-Assumptions!$B$4+(AF$3/100)^2/2)*Assumptions!$B$9)/((AF$3/100)*Assumptions!$B$10)))-$B5*EXP(-Assumptions!$B$3*Assumptions!$B$9)*NORMSDIST((((LN(Assumptions!$B$2/$B5)+(Assumptions!$B$3-Assumptions!$B$4+(AF$3/100)^2/2)*Assumptions!$B$9)/((AF$3/100)*Assumptions!$B$10))-(AF$3/100)*Assumptions!$B$10))))&lt;=0,"",(Assumptions!$B$2*EXP(-Assumptions!$B$4*Assumptions!$B$9)*NORMDIST(((LN(Assumptions!$B$2/$B5)+(Assumptions!$B$3-Assumptions!$B$4+(AF$3/100)^2/2)*Assumptions!$B$9)/((AF$3/100)*Assumptions!$B$10)),0,1,FALSE)*Assumptions!$B$10*0.01)*((AF$3/100)/0.01)/(MAX(0,Assumptions!$B$2*EXP(-Assumptions!$B$4*Assumptions!$B$9)*NORMSDIST(((LN(Assumptions!$B$2/$B5)+(Assumptions!$B$3-Assumptions!$B$4+(AF$3/100)^2/2)*Assumptions!$B$9)/((AF$3/100)*Assumptions!$B$10)))-$B5*EXP(-Assumptions!$B$3*Assumptions!$B$9)*NORMSDIST((((LN(Assumptions!$B$2/$B5)+(Assumptions!$B$3-Assumptions!$B$4+(AF$3/100)^2/2)*Assumptions!$B$9)/((AF$3/100)*Assumptions!$B$10))-(AF$3/100)*Assumptions!$B$10)))))</f>
        <v/>
      </c>
      <c r="AG5" s="32">
        <f>IF((MAX(0,Assumptions!$B$2*EXP(-Assumptions!$B$4*Assumptions!$B$9)*NORMSDIST(((LN(Assumptions!$B$2/$B5)+(Assumptions!$B$3-Assumptions!$B$4+(AG$3/100)^2/2)*Assumptions!$B$9)/((AG$3/100)*Assumptions!$B$10)))-$B5*EXP(-Assumptions!$B$3*Assumptions!$B$9)*NORMSDIST((((LN(Assumptions!$B$2/$B5)+(Assumptions!$B$3-Assumptions!$B$4+(AG$3/100)^2/2)*Assumptions!$B$9)/((AG$3/100)*Assumptions!$B$10))-(AG$3/100)*Assumptions!$B$10))))&lt;=0,"",(Assumptions!$B$2*EXP(-Assumptions!$B$4*Assumptions!$B$9)*NORMDIST(((LN(Assumptions!$B$2/$B5)+(Assumptions!$B$3-Assumptions!$B$4+(AG$3/100)^2/2)*Assumptions!$B$9)/((AG$3/100)*Assumptions!$B$10)),0,1,FALSE)*Assumptions!$B$10*0.01)*((AG$3/100)/0.01)/(MAX(0,Assumptions!$B$2*EXP(-Assumptions!$B$4*Assumptions!$B$9)*NORMSDIST(((LN(Assumptions!$B$2/$B5)+(Assumptions!$B$3-Assumptions!$B$4+(AG$3/100)^2/2)*Assumptions!$B$9)/((AG$3/100)*Assumptions!$B$10)))-$B5*EXP(-Assumptions!$B$3*Assumptions!$B$9)*NORMSDIST((((LN(Assumptions!$B$2/$B5)+(Assumptions!$B$3-Assumptions!$B$4+(AG$3/100)^2/2)*Assumptions!$B$9)/((AG$3/100)*Assumptions!$B$10))-(AG$3/100)*Assumptions!$B$10)))))</f>
        <v/>
      </c>
      <c r="AH5" s="32">
        <f>IF((MAX(0,Assumptions!$B$2*EXP(-Assumptions!$B$4*Assumptions!$B$9)*NORMSDIST(((LN(Assumptions!$B$2/$B5)+(Assumptions!$B$3-Assumptions!$B$4+(AH$3/100)^2/2)*Assumptions!$B$9)/((AH$3/100)*Assumptions!$B$10)))-$B5*EXP(-Assumptions!$B$3*Assumptions!$B$9)*NORMSDIST((((LN(Assumptions!$B$2/$B5)+(Assumptions!$B$3-Assumptions!$B$4+(AH$3/100)^2/2)*Assumptions!$B$9)/((AH$3/100)*Assumptions!$B$10))-(AH$3/100)*Assumptions!$B$10))))&lt;=0,"",(Assumptions!$B$2*EXP(-Assumptions!$B$4*Assumptions!$B$9)*NORMDIST(((LN(Assumptions!$B$2/$B5)+(Assumptions!$B$3-Assumptions!$B$4+(AH$3/100)^2/2)*Assumptions!$B$9)/((AH$3/100)*Assumptions!$B$10)),0,1,FALSE)*Assumptions!$B$10*0.01)*((AH$3/100)/0.01)/(MAX(0,Assumptions!$B$2*EXP(-Assumptions!$B$4*Assumptions!$B$9)*NORMSDIST(((LN(Assumptions!$B$2/$B5)+(Assumptions!$B$3-Assumptions!$B$4+(AH$3/100)^2/2)*Assumptions!$B$9)/((AH$3/100)*Assumptions!$B$10)))-$B5*EXP(-Assumptions!$B$3*Assumptions!$B$9)*NORMSDIST((((LN(Assumptions!$B$2/$B5)+(Assumptions!$B$3-Assumptions!$B$4+(AH$3/100)^2/2)*Assumptions!$B$9)/((AH$3/100)*Assumptions!$B$10))-(AH$3/100)*Assumptions!$B$10)))))</f>
        <v/>
      </c>
      <c r="AI5" s="32">
        <f>IF((MAX(0,Assumptions!$B$2*EXP(-Assumptions!$B$4*Assumptions!$B$9)*NORMSDIST(((LN(Assumptions!$B$2/$B5)+(Assumptions!$B$3-Assumptions!$B$4+(AI$3/100)^2/2)*Assumptions!$B$9)/((AI$3/100)*Assumptions!$B$10)))-$B5*EXP(-Assumptions!$B$3*Assumptions!$B$9)*NORMSDIST((((LN(Assumptions!$B$2/$B5)+(Assumptions!$B$3-Assumptions!$B$4+(AI$3/100)^2/2)*Assumptions!$B$9)/((AI$3/100)*Assumptions!$B$10))-(AI$3/100)*Assumptions!$B$10))))&lt;=0,"",(Assumptions!$B$2*EXP(-Assumptions!$B$4*Assumptions!$B$9)*NORMDIST(((LN(Assumptions!$B$2/$B5)+(Assumptions!$B$3-Assumptions!$B$4+(AI$3/100)^2/2)*Assumptions!$B$9)/((AI$3/100)*Assumptions!$B$10)),0,1,FALSE)*Assumptions!$B$10*0.01)*((AI$3/100)/0.01)/(MAX(0,Assumptions!$B$2*EXP(-Assumptions!$B$4*Assumptions!$B$9)*NORMSDIST(((LN(Assumptions!$B$2/$B5)+(Assumptions!$B$3-Assumptions!$B$4+(AI$3/100)^2/2)*Assumptions!$B$9)/((AI$3/100)*Assumptions!$B$10)))-$B5*EXP(-Assumptions!$B$3*Assumptions!$B$9)*NORMSDIST((((LN(Assumptions!$B$2/$B5)+(Assumptions!$B$3-Assumptions!$B$4+(AI$3/100)^2/2)*Assumptions!$B$9)/((AI$3/100)*Assumptions!$B$10))-(AI$3/100)*Assumptions!$B$10)))))</f>
        <v/>
      </c>
      <c r="AJ5" s="32">
        <f>IF((MAX(0,Assumptions!$B$2*EXP(-Assumptions!$B$4*Assumptions!$B$9)*NORMSDIST(((LN(Assumptions!$B$2/$B5)+(Assumptions!$B$3-Assumptions!$B$4+(AJ$3/100)^2/2)*Assumptions!$B$9)/((AJ$3/100)*Assumptions!$B$10)))-$B5*EXP(-Assumptions!$B$3*Assumptions!$B$9)*NORMSDIST((((LN(Assumptions!$B$2/$B5)+(Assumptions!$B$3-Assumptions!$B$4+(AJ$3/100)^2/2)*Assumptions!$B$9)/((AJ$3/100)*Assumptions!$B$10))-(AJ$3/100)*Assumptions!$B$10))))&lt;=0,"",(Assumptions!$B$2*EXP(-Assumptions!$B$4*Assumptions!$B$9)*NORMDIST(((LN(Assumptions!$B$2/$B5)+(Assumptions!$B$3-Assumptions!$B$4+(AJ$3/100)^2/2)*Assumptions!$B$9)/((AJ$3/100)*Assumptions!$B$10)),0,1,FALSE)*Assumptions!$B$10*0.01)*((AJ$3/100)/0.01)/(MAX(0,Assumptions!$B$2*EXP(-Assumptions!$B$4*Assumptions!$B$9)*NORMSDIST(((LN(Assumptions!$B$2/$B5)+(Assumptions!$B$3-Assumptions!$B$4+(AJ$3/100)^2/2)*Assumptions!$B$9)/((AJ$3/100)*Assumptions!$B$10)))-$B5*EXP(-Assumptions!$B$3*Assumptions!$B$9)*NORMSDIST((((LN(Assumptions!$B$2/$B5)+(Assumptions!$B$3-Assumptions!$B$4+(AJ$3/100)^2/2)*Assumptions!$B$9)/((AJ$3/100)*Assumptions!$B$10))-(AJ$3/100)*Assumptions!$B$10)))))</f>
        <v/>
      </c>
      <c r="AK5" s="32">
        <f>IF((MAX(0,Assumptions!$B$2*EXP(-Assumptions!$B$4*Assumptions!$B$9)*NORMSDIST(((LN(Assumptions!$B$2/$B5)+(Assumptions!$B$3-Assumptions!$B$4+(AK$3/100)^2/2)*Assumptions!$B$9)/((AK$3/100)*Assumptions!$B$10)))-$B5*EXP(-Assumptions!$B$3*Assumptions!$B$9)*NORMSDIST((((LN(Assumptions!$B$2/$B5)+(Assumptions!$B$3-Assumptions!$B$4+(AK$3/100)^2/2)*Assumptions!$B$9)/((AK$3/100)*Assumptions!$B$10))-(AK$3/100)*Assumptions!$B$10))))&lt;=0,"",(Assumptions!$B$2*EXP(-Assumptions!$B$4*Assumptions!$B$9)*NORMDIST(((LN(Assumptions!$B$2/$B5)+(Assumptions!$B$3-Assumptions!$B$4+(AK$3/100)^2/2)*Assumptions!$B$9)/((AK$3/100)*Assumptions!$B$10)),0,1,FALSE)*Assumptions!$B$10*0.01)*((AK$3/100)/0.01)/(MAX(0,Assumptions!$B$2*EXP(-Assumptions!$B$4*Assumptions!$B$9)*NORMSDIST(((LN(Assumptions!$B$2/$B5)+(Assumptions!$B$3-Assumptions!$B$4+(AK$3/100)^2/2)*Assumptions!$B$9)/((AK$3/100)*Assumptions!$B$10)))-$B5*EXP(-Assumptions!$B$3*Assumptions!$B$9)*NORMSDIST((((LN(Assumptions!$B$2/$B5)+(Assumptions!$B$3-Assumptions!$B$4+(AK$3/100)^2/2)*Assumptions!$B$9)/((AK$3/100)*Assumptions!$B$10))-(AK$3/100)*Assumptions!$B$10)))))</f>
        <v/>
      </c>
      <c r="AL5" s="32">
        <f>IF((MAX(0,Assumptions!$B$2*EXP(-Assumptions!$B$4*Assumptions!$B$9)*NORMSDIST(((LN(Assumptions!$B$2/$B5)+(Assumptions!$B$3-Assumptions!$B$4+(AL$3/100)^2/2)*Assumptions!$B$9)/((AL$3/100)*Assumptions!$B$10)))-$B5*EXP(-Assumptions!$B$3*Assumptions!$B$9)*NORMSDIST((((LN(Assumptions!$B$2/$B5)+(Assumptions!$B$3-Assumptions!$B$4+(AL$3/100)^2/2)*Assumptions!$B$9)/((AL$3/100)*Assumptions!$B$10))-(AL$3/100)*Assumptions!$B$10))))&lt;=0,"",(Assumptions!$B$2*EXP(-Assumptions!$B$4*Assumptions!$B$9)*NORMDIST(((LN(Assumptions!$B$2/$B5)+(Assumptions!$B$3-Assumptions!$B$4+(AL$3/100)^2/2)*Assumptions!$B$9)/((AL$3/100)*Assumptions!$B$10)),0,1,FALSE)*Assumptions!$B$10*0.01)*((AL$3/100)/0.01)/(MAX(0,Assumptions!$B$2*EXP(-Assumptions!$B$4*Assumptions!$B$9)*NORMSDIST(((LN(Assumptions!$B$2/$B5)+(Assumptions!$B$3-Assumptions!$B$4+(AL$3/100)^2/2)*Assumptions!$B$9)/((AL$3/100)*Assumptions!$B$10)))-$B5*EXP(-Assumptions!$B$3*Assumptions!$B$9)*NORMSDIST((((LN(Assumptions!$B$2/$B5)+(Assumptions!$B$3-Assumptions!$B$4+(AL$3/100)^2/2)*Assumptions!$B$9)/((AL$3/100)*Assumptions!$B$10))-(AL$3/100)*Assumptions!$B$10)))))</f>
        <v/>
      </c>
      <c r="AM5" s="32">
        <f>IF((MAX(0,Assumptions!$B$2*EXP(-Assumptions!$B$4*Assumptions!$B$9)*NORMSDIST(((LN(Assumptions!$B$2/$B5)+(Assumptions!$B$3-Assumptions!$B$4+(AM$3/100)^2/2)*Assumptions!$B$9)/((AM$3/100)*Assumptions!$B$10)))-$B5*EXP(-Assumptions!$B$3*Assumptions!$B$9)*NORMSDIST((((LN(Assumptions!$B$2/$B5)+(Assumptions!$B$3-Assumptions!$B$4+(AM$3/100)^2/2)*Assumptions!$B$9)/((AM$3/100)*Assumptions!$B$10))-(AM$3/100)*Assumptions!$B$10))))&lt;=0,"",(Assumptions!$B$2*EXP(-Assumptions!$B$4*Assumptions!$B$9)*NORMDIST(((LN(Assumptions!$B$2/$B5)+(Assumptions!$B$3-Assumptions!$B$4+(AM$3/100)^2/2)*Assumptions!$B$9)/((AM$3/100)*Assumptions!$B$10)),0,1,FALSE)*Assumptions!$B$10*0.01)*((AM$3/100)/0.01)/(MAX(0,Assumptions!$B$2*EXP(-Assumptions!$B$4*Assumptions!$B$9)*NORMSDIST(((LN(Assumptions!$B$2/$B5)+(Assumptions!$B$3-Assumptions!$B$4+(AM$3/100)^2/2)*Assumptions!$B$9)/((AM$3/100)*Assumptions!$B$10)))-$B5*EXP(-Assumptions!$B$3*Assumptions!$B$9)*NORMSDIST((((LN(Assumptions!$B$2/$B5)+(Assumptions!$B$3-Assumptions!$B$4+(AM$3/100)^2/2)*Assumptions!$B$9)/((AM$3/100)*Assumptions!$B$10))-(AM$3/100)*Assumptions!$B$10)))))</f>
        <v/>
      </c>
      <c r="AN5" s="32">
        <f>IF((MAX(0,Assumptions!$B$2*EXP(-Assumptions!$B$4*Assumptions!$B$9)*NORMSDIST(((LN(Assumptions!$B$2/$B5)+(Assumptions!$B$3-Assumptions!$B$4+(AN$3/100)^2/2)*Assumptions!$B$9)/((AN$3/100)*Assumptions!$B$10)))-$B5*EXP(-Assumptions!$B$3*Assumptions!$B$9)*NORMSDIST((((LN(Assumptions!$B$2/$B5)+(Assumptions!$B$3-Assumptions!$B$4+(AN$3/100)^2/2)*Assumptions!$B$9)/((AN$3/100)*Assumptions!$B$10))-(AN$3/100)*Assumptions!$B$10))))&lt;=0,"",(Assumptions!$B$2*EXP(-Assumptions!$B$4*Assumptions!$B$9)*NORMDIST(((LN(Assumptions!$B$2/$B5)+(Assumptions!$B$3-Assumptions!$B$4+(AN$3/100)^2/2)*Assumptions!$B$9)/((AN$3/100)*Assumptions!$B$10)),0,1,FALSE)*Assumptions!$B$10*0.01)*((AN$3/100)/0.01)/(MAX(0,Assumptions!$B$2*EXP(-Assumptions!$B$4*Assumptions!$B$9)*NORMSDIST(((LN(Assumptions!$B$2/$B5)+(Assumptions!$B$3-Assumptions!$B$4+(AN$3/100)^2/2)*Assumptions!$B$9)/((AN$3/100)*Assumptions!$B$10)))-$B5*EXP(-Assumptions!$B$3*Assumptions!$B$9)*NORMSDIST((((LN(Assumptions!$B$2/$B5)+(Assumptions!$B$3-Assumptions!$B$4+(AN$3/100)^2/2)*Assumptions!$B$9)/((AN$3/100)*Assumptions!$B$10))-(AN$3/100)*Assumptions!$B$10)))))</f>
        <v/>
      </c>
      <c r="AO5" s="32">
        <f>IF((MAX(0,Assumptions!$B$2*EXP(-Assumptions!$B$4*Assumptions!$B$9)*NORMSDIST(((LN(Assumptions!$B$2/$B5)+(Assumptions!$B$3-Assumptions!$B$4+(AO$3/100)^2/2)*Assumptions!$B$9)/((AO$3/100)*Assumptions!$B$10)))-$B5*EXP(-Assumptions!$B$3*Assumptions!$B$9)*NORMSDIST((((LN(Assumptions!$B$2/$B5)+(Assumptions!$B$3-Assumptions!$B$4+(AO$3/100)^2/2)*Assumptions!$B$9)/((AO$3/100)*Assumptions!$B$10))-(AO$3/100)*Assumptions!$B$10))))&lt;=0,"",(Assumptions!$B$2*EXP(-Assumptions!$B$4*Assumptions!$B$9)*NORMDIST(((LN(Assumptions!$B$2/$B5)+(Assumptions!$B$3-Assumptions!$B$4+(AO$3/100)^2/2)*Assumptions!$B$9)/((AO$3/100)*Assumptions!$B$10)),0,1,FALSE)*Assumptions!$B$10*0.01)*((AO$3/100)/0.01)/(MAX(0,Assumptions!$B$2*EXP(-Assumptions!$B$4*Assumptions!$B$9)*NORMSDIST(((LN(Assumptions!$B$2/$B5)+(Assumptions!$B$3-Assumptions!$B$4+(AO$3/100)^2/2)*Assumptions!$B$9)/((AO$3/100)*Assumptions!$B$10)))-$B5*EXP(-Assumptions!$B$3*Assumptions!$B$9)*NORMSDIST((((LN(Assumptions!$B$2/$B5)+(Assumptions!$B$3-Assumptions!$B$4+(AO$3/100)^2/2)*Assumptions!$B$9)/((AO$3/100)*Assumptions!$B$10))-(AO$3/100)*Assumptions!$B$10)))))</f>
        <v/>
      </c>
      <c r="AP5" s="32">
        <f>IF((MAX(0,Assumptions!$B$2*EXP(-Assumptions!$B$4*Assumptions!$B$9)*NORMSDIST(((LN(Assumptions!$B$2/$B5)+(Assumptions!$B$3-Assumptions!$B$4+(AP$3/100)^2/2)*Assumptions!$B$9)/((AP$3/100)*Assumptions!$B$10)))-$B5*EXP(-Assumptions!$B$3*Assumptions!$B$9)*NORMSDIST((((LN(Assumptions!$B$2/$B5)+(Assumptions!$B$3-Assumptions!$B$4+(AP$3/100)^2/2)*Assumptions!$B$9)/((AP$3/100)*Assumptions!$B$10))-(AP$3/100)*Assumptions!$B$10))))&lt;=0,"",(Assumptions!$B$2*EXP(-Assumptions!$B$4*Assumptions!$B$9)*NORMDIST(((LN(Assumptions!$B$2/$B5)+(Assumptions!$B$3-Assumptions!$B$4+(AP$3/100)^2/2)*Assumptions!$B$9)/((AP$3/100)*Assumptions!$B$10)),0,1,FALSE)*Assumptions!$B$10*0.01)*((AP$3/100)/0.01)/(MAX(0,Assumptions!$B$2*EXP(-Assumptions!$B$4*Assumptions!$B$9)*NORMSDIST(((LN(Assumptions!$B$2/$B5)+(Assumptions!$B$3-Assumptions!$B$4+(AP$3/100)^2/2)*Assumptions!$B$9)/((AP$3/100)*Assumptions!$B$10)))-$B5*EXP(-Assumptions!$B$3*Assumptions!$B$9)*NORMSDIST((((LN(Assumptions!$B$2/$B5)+(Assumptions!$B$3-Assumptions!$B$4+(AP$3/100)^2/2)*Assumptions!$B$9)/((AP$3/100)*Assumptions!$B$10))-(AP$3/100)*Assumptions!$B$10)))))</f>
        <v/>
      </c>
      <c r="AQ5" s="32">
        <f>IF((MAX(0,Assumptions!$B$2*EXP(-Assumptions!$B$4*Assumptions!$B$9)*NORMSDIST(((LN(Assumptions!$B$2/$B5)+(Assumptions!$B$3-Assumptions!$B$4+(AQ$3/100)^2/2)*Assumptions!$B$9)/((AQ$3/100)*Assumptions!$B$10)))-$B5*EXP(-Assumptions!$B$3*Assumptions!$B$9)*NORMSDIST((((LN(Assumptions!$B$2/$B5)+(Assumptions!$B$3-Assumptions!$B$4+(AQ$3/100)^2/2)*Assumptions!$B$9)/((AQ$3/100)*Assumptions!$B$10))-(AQ$3/100)*Assumptions!$B$10))))&lt;=0,"",(Assumptions!$B$2*EXP(-Assumptions!$B$4*Assumptions!$B$9)*NORMDIST(((LN(Assumptions!$B$2/$B5)+(Assumptions!$B$3-Assumptions!$B$4+(AQ$3/100)^2/2)*Assumptions!$B$9)/((AQ$3/100)*Assumptions!$B$10)),0,1,FALSE)*Assumptions!$B$10*0.01)*((AQ$3/100)/0.01)/(MAX(0,Assumptions!$B$2*EXP(-Assumptions!$B$4*Assumptions!$B$9)*NORMSDIST(((LN(Assumptions!$B$2/$B5)+(Assumptions!$B$3-Assumptions!$B$4+(AQ$3/100)^2/2)*Assumptions!$B$9)/((AQ$3/100)*Assumptions!$B$10)))-$B5*EXP(-Assumptions!$B$3*Assumptions!$B$9)*NORMSDIST((((LN(Assumptions!$B$2/$B5)+(Assumptions!$B$3-Assumptions!$B$4+(AQ$3/100)^2/2)*Assumptions!$B$9)/((AQ$3/100)*Assumptions!$B$10))-(AQ$3/100)*Assumptions!$B$10)))))</f>
        <v/>
      </c>
      <c r="AR5" s="32">
        <f>IF((MAX(0,Assumptions!$B$2*EXP(-Assumptions!$B$4*Assumptions!$B$9)*NORMSDIST(((LN(Assumptions!$B$2/$B5)+(Assumptions!$B$3-Assumptions!$B$4+(AR$3/100)^2/2)*Assumptions!$B$9)/((AR$3/100)*Assumptions!$B$10)))-$B5*EXP(-Assumptions!$B$3*Assumptions!$B$9)*NORMSDIST((((LN(Assumptions!$B$2/$B5)+(Assumptions!$B$3-Assumptions!$B$4+(AR$3/100)^2/2)*Assumptions!$B$9)/((AR$3/100)*Assumptions!$B$10))-(AR$3/100)*Assumptions!$B$10))))&lt;=0,"",(Assumptions!$B$2*EXP(-Assumptions!$B$4*Assumptions!$B$9)*NORMDIST(((LN(Assumptions!$B$2/$B5)+(Assumptions!$B$3-Assumptions!$B$4+(AR$3/100)^2/2)*Assumptions!$B$9)/((AR$3/100)*Assumptions!$B$10)),0,1,FALSE)*Assumptions!$B$10*0.01)*((AR$3/100)/0.01)/(MAX(0,Assumptions!$B$2*EXP(-Assumptions!$B$4*Assumptions!$B$9)*NORMSDIST(((LN(Assumptions!$B$2/$B5)+(Assumptions!$B$3-Assumptions!$B$4+(AR$3/100)^2/2)*Assumptions!$B$9)/((AR$3/100)*Assumptions!$B$10)))-$B5*EXP(-Assumptions!$B$3*Assumptions!$B$9)*NORMSDIST((((LN(Assumptions!$B$2/$B5)+(Assumptions!$B$3-Assumptions!$B$4+(AR$3/100)^2/2)*Assumptions!$B$9)/((AR$3/100)*Assumptions!$B$10))-(AR$3/100)*Assumptions!$B$10)))))</f>
        <v/>
      </c>
      <c r="AS5" s="32">
        <f>IF((MAX(0,Assumptions!$B$2*EXP(-Assumptions!$B$4*Assumptions!$B$9)*NORMSDIST(((LN(Assumptions!$B$2/$B5)+(Assumptions!$B$3-Assumptions!$B$4+(AS$3/100)^2/2)*Assumptions!$B$9)/((AS$3/100)*Assumptions!$B$10)))-$B5*EXP(-Assumptions!$B$3*Assumptions!$B$9)*NORMSDIST((((LN(Assumptions!$B$2/$B5)+(Assumptions!$B$3-Assumptions!$B$4+(AS$3/100)^2/2)*Assumptions!$B$9)/((AS$3/100)*Assumptions!$B$10))-(AS$3/100)*Assumptions!$B$10))))&lt;=0,"",(Assumptions!$B$2*EXP(-Assumptions!$B$4*Assumptions!$B$9)*NORMDIST(((LN(Assumptions!$B$2/$B5)+(Assumptions!$B$3-Assumptions!$B$4+(AS$3/100)^2/2)*Assumptions!$B$9)/((AS$3/100)*Assumptions!$B$10)),0,1,FALSE)*Assumptions!$B$10*0.01)*((AS$3/100)/0.01)/(MAX(0,Assumptions!$B$2*EXP(-Assumptions!$B$4*Assumptions!$B$9)*NORMSDIST(((LN(Assumptions!$B$2/$B5)+(Assumptions!$B$3-Assumptions!$B$4+(AS$3/100)^2/2)*Assumptions!$B$9)/((AS$3/100)*Assumptions!$B$10)))-$B5*EXP(-Assumptions!$B$3*Assumptions!$B$9)*NORMSDIST((((LN(Assumptions!$B$2/$B5)+(Assumptions!$B$3-Assumptions!$B$4+(AS$3/100)^2/2)*Assumptions!$B$9)/((AS$3/100)*Assumptions!$B$10))-(AS$3/100)*Assumptions!$B$10)))))</f>
        <v/>
      </c>
      <c r="AT5" s="32">
        <f>IF((MAX(0,Assumptions!$B$2*EXP(-Assumptions!$B$4*Assumptions!$B$9)*NORMSDIST(((LN(Assumptions!$B$2/$B5)+(Assumptions!$B$3-Assumptions!$B$4+(AT$3/100)^2/2)*Assumptions!$B$9)/((AT$3/100)*Assumptions!$B$10)))-$B5*EXP(-Assumptions!$B$3*Assumptions!$B$9)*NORMSDIST((((LN(Assumptions!$B$2/$B5)+(Assumptions!$B$3-Assumptions!$B$4+(AT$3/100)^2/2)*Assumptions!$B$9)/((AT$3/100)*Assumptions!$B$10))-(AT$3/100)*Assumptions!$B$10))))&lt;=0,"",(Assumptions!$B$2*EXP(-Assumptions!$B$4*Assumptions!$B$9)*NORMDIST(((LN(Assumptions!$B$2/$B5)+(Assumptions!$B$3-Assumptions!$B$4+(AT$3/100)^2/2)*Assumptions!$B$9)/((AT$3/100)*Assumptions!$B$10)),0,1,FALSE)*Assumptions!$B$10*0.01)*((AT$3/100)/0.01)/(MAX(0,Assumptions!$B$2*EXP(-Assumptions!$B$4*Assumptions!$B$9)*NORMSDIST(((LN(Assumptions!$B$2/$B5)+(Assumptions!$B$3-Assumptions!$B$4+(AT$3/100)^2/2)*Assumptions!$B$9)/((AT$3/100)*Assumptions!$B$10)))-$B5*EXP(-Assumptions!$B$3*Assumptions!$B$9)*NORMSDIST((((LN(Assumptions!$B$2/$B5)+(Assumptions!$B$3-Assumptions!$B$4+(AT$3/100)^2/2)*Assumptions!$B$9)/((AT$3/100)*Assumptions!$B$10))-(AT$3/100)*Assumptions!$B$10)))))</f>
        <v/>
      </c>
      <c r="AU5" s="32">
        <f>IF((MAX(0,Assumptions!$B$2*EXP(-Assumptions!$B$4*Assumptions!$B$9)*NORMSDIST(((LN(Assumptions!$B$2/$B5)+(Assumptions!$B$3-Assumptions!$B$4+(AU$3/100)^2/2)*Assumptions!$B$9)/((AU$3/100)*Assumptions!$B$10)))-$B5*EXP(-Assumptions!$B$3*Assumptions!$B$9)*NORMSDIST((((LN(Assumptions!$B$2/$B5)+(Assumptions!$B$3-Assumptions!$B$4+(AU$3/100)^2/2)*Assumptions!$B$9)/((AU$3/100)*Assumptions!$B$10))-(AU$3/100)*Assumptions!$B$10))))&lt;=0,"",(Assumptions!$B$2*EXP(-Assumptions!$B$4*Assumptions!$B$9)*NORMDIST(((LN(Assumptions!$B$2/$B5)+(Assumptions!$B$3-Assumptions!$B$4+(AU$3/100)^2/2)*Assumptions!$B$9)/((AU$3/100)*Assumptions!$B$10)),0,1,FALSE)*Assumptions!$B$10*0.01)*((AU$3/100)/0.01)/(MAX(0,Assumptions!$B$2*EXP(-Assumptions!$B$4*Assumptions!$B$9)*NORMSDIST(((LN(Assumptions!$B$2/$B5)+(Assumptions!$B$3-Assumptions!$B$4+(AU$3/100)^2/2)*Assumptions!$B$9)/((AU$3/100)*Assumptions!$B$10)))-$B5*EXP(-Assumptions!$B$3*Assumptions!$B$9)*NORMSDIST((((LN(Assumptions!$B$2/$B5)+(Assumptions!$B$3-Assumptions!$B$4+(AU$3/100)^2/2)*Assumptions!$B$9)/((AU$3/100)*Assumptions!$B$10))-(AU$3/100)*Assumptions!$B$10)))))</f>
        <v/>
      </c>
      <c r="AV5" s="32">
        <f>IF((MAX(0,Assumptions!$B$2*EXP(-Assumptions!$B$4*Assumptions!$B$9)*NORMSDIST(((LN(Assumptions!$B$2/$B5)+(Assumptions!$B$3-Assumptions!$B$4+(AV$3/100)^2/2)*Assumptions!$B$9)/((AV$3/100)*Assumptions!$B$10)))-$B5*EXP(-Assumptions!$B$3*Assumptions!$B$9)*NORMSDIST((((LN(Assumptions!$B$2/$B5)+(Assumptions!$B$3-Assumptions!$B$4+(AV$3/100)^2/2)*Assumptions!$B$9)/((AV$3/100)*Assumptions!$B$10))-(AV$3/100)*Assumptions!$B$10))))&lt;=0,"",(Assumptions!$B$2*EXP(-Assumptions!$B$4*Assumptions!$B$9)*NORMDIST(((LN(Assumptions!$B$2/$B5)+(Assumptions!$B$3-Assumptions!$B$4+(AV$3/100)^2/2)*Assumptions!$B$9)/((AV$3/100)*Assumptions!$B$10)),0,1,FALSE)*Assumptions!$B$10*0.01)*((AV$3/100)/0.01)/(MAX(0,Assumptions!$B$2*EXP(-Assumptions!$B$4*Assumptions!$B$9)*NORMSDIST(((LN(Assumptions!$B$2/$B5)+(Assumptions!$B$3-Assumptions!$B$4+(AV$3/100)^2/2)*Assumptions!$B$9)/((AV$3/100)*Assumptions!$B$10)))-$B5*EXP(-Assumptions!$B$3*Assumptions!$B$9)*NORMSDIST((((LN(Assumptions!$B$2/$B5)+(Assumptions!$B$3-Assumptions!$B$4+(AV$3/100)^2/2)*Assumptions!$B$9)/((AV$3/100)*Assumptions!$B$10))-(AV$3/100)*Assumptions!$B$10)))))</f>
        <v/>
      </c>
    </row>
    <row r="6">
      <c r="A6" s="27" t="inlineStr">
        <is>
          <t>-1.50%</t>
        </is>
      </c>
      <c r="B6" s="47">
        <f>'BS Engine'!$B$4</f>
        <v/>
      </c>
      <c r="C6" s="28">
        <f>'BS Engine'!$C$4</f>
        <v/>
      </c>
      <c r="D6" s="54">
        <f>IF((MAX(0,Assumptions!$B$2*EXP(-Assumptions!$B$4*Assumptions!$B$9)*NORMSDIST(((LN(Assumptions!$B$2/$B6)+(Assumptions!$B$3-Assumptions!$B$4+(D$3/100)^2/2)*Assumptions!$B$9)/((D$3/100)*Assumptions!$B$10)))-$B6*EXP(-Assumptions!$B$3*Assumptions!$B$9)*NORMSDIST((((LN(Assumptions!$B$2/$B6)+(Assumptions!$B$3-Assumptions!$B$4+(D$3/100)^2/2)*Assumptions!$B$9)/((D$3/100)*Assumptions!$B$10))-(D$3/100)*Assumptions!$B$10))))&lt;=0,"",(Assumptions!$B$2*EXP(-Assumptions!$B$4*Assumptions!$B$9)*NORMDIST(((LN(Assumptions!$B$2/$B6)+(Assumptions!$B$3-Assumptions!$B$4+(D$3/100)^2/2)*Assumptions!$B$9)/((D$3/100)*Assumptions!$B$10)),0,1,FALSE)*Assumptions!$B$10*0.01)*((D$3/100)/0.01)/(MAX(0,Assumptions!$B$2*EXP(-Assumptions!$B$4*Assumptions!$B$9)*NORMSDIST(((LN(Assumptions!$B$2/$B6)+(Assumptions!$B$3-Assumptions!$B$4+(D$3/100)^2/2)*Assumptions!$B$9)/((D$3/100)*Assumptions!$B$10)))-$B6*EXP(-Assumptions!$B$3*Assumptions!$B$9)*NORMSDIST((((LN(Assumptions!$B$2/$B6)+(Assumptions!$B$3-Assumptions!$B$4+(D$3/100)^2/2)*Assumptions!$B$9)/((D$3/100)*Assumptions!$B$10))-(D$3/100)*Assumptions!$B$10)))))</f>
        <v/>
      </c>
      <c r="E6" s="32">
        <f>IF((MAX(0,Assumptions!$B$2*EXP(-Assumptions!$B$4*Assumptions!$B$9)*NORMSDIST(((LN(Assumptions!$B$2/$B6)+(Assumptions!$B$3-Assumptions!$B$4+(E$3/100)^2/2)*Assumptions!$B$9)/((E$3/100)*Assumptions!$B$10)))-$B6*EXP(-Assumptions!$B$3*Assumptions!$B$9)*NORMSDIST((((LN(Assumptions!$B$2/$B6)+(Assumptions!$B$3-Assumptions!$B$4+(E$3/100)^2/2)*Assumptions!$B$9)/((E$3/100)*Assumptions!$B$10))-(E$3/100)*Assumptions!$B$10))))&lt;=0,"",(Assumptions!$B$2*EXP(-Assumptions!$B$4*Assumptions!$B$9)*NORMDIST(((LN(Assumptions!$B$2/$B6)+(Assumptions!$B$3-Assumptions!$B$4+(E$3/100)^2/2)*Assumptions!$B$9)/((E$3/100)*Assumptions!$B$10)),0,1,FALSE)*Assumptions!$B$10*0.01)*((E$3/100)/0.01)/(MAX(0,Assumptions!$B$2*EXP(-Assumptions!$B$4*Assumptions!$B$9)*NORMSDIST(((LN(Assumptions!$B$2/$B6)+(Assumptions!$B$3-Assumptions!$B$4+(E$3/100)^2/2)*Assumptions!$B$9)/((E$3/100)*Assumptions!$B$10)))-$B6*EXP(-Assumptions!$B$3*Assumptions!$B$9)*NORMSDIST((((LN(Assumptions!$B$2/$B6)+(Assumptions!$B$3-Assumptions!$B$4+(E$3/100)^2/2)*Assumptions!$B$9)/((E$3/100)*Assumptions!$B$10))-(E$3/100)*Assumptions!$B$10)))))</f>
        <v/>
      </c>
      <c r="F6" s="32">
        <f>IF((MAX(0,Assumptions!$B$2*EXP(-Assumptions!$B$4*Assumptions!$B$9)*NORMSDIST(((LN(Assumptions!$B$2/$B6)+(Assumptions!$B$3-Assumptions!$B$4+(F$3/100)^2/2)*Assumptions!$B$9)/((F$3/100)*Assumptions!$B$10)))-$B6*EXP(-Assumptions!$B$3*Assumptions!$B$9)*NORMSDIST((((LN(Assumptions!$B$2/$B6)+(Assumptions!$B$3-Assumptions!$B$4+(F$3/100)^2/2)*Assumptions!$B$9)/((F$3/100)*Assumptions!$B$10))-(F$3/100)*Assumptions!$B$10))))&lt;=0,"",(Assumptions!$B$2*EXP(-Assumptions!$B$4*Assumptions!$B$9)*NORMDIST(((LN(Assumptions!$B$2/$B6)+(Assumptions!$B$3-Assumptions!$B$4+(F$3/100)^2/2)*Assumptions!$B$9)/((F$3/100)*Assumptions!$B$10)),0,1,FALSE)*Assumptions!$B$10*0.01)*((F$3/100)/0.01)/(MAX(0,Assumptions!$B$2*EXP(-Assumptions!$B$4*Assumptions!$B$9)*NORMSDIST(((LN(Assumptions!$B$2/$B6)+(Assumptions!$B$3-Assumptions!$B$4+(F$3/100)^2/2)*Assumptions!$B$9)/((F$3/100)*Assumptions!$B$10)))-$B6*EXP(-Assumptions!$B$3*Assumptions!$B$9)*NORMSDIST((((LN(Assumptions!$B$2/$B6)+(Assumptions!$B$3-Assumptions!$B$4+(F$3/100)^2/2)*Assumptions!$B$9)/((F$3/100)*Assumptions!$B$10))-(F$3/100)*Assumptions!$B$10)))))</f>
        <v/>
      </c>
      <c r="G6" s="32">
        <f>IF((MAX(0,Assumptions!$B$2*EXP(-Assumptions!$B$4*Assumptions!$B$9)*NORMSDIST(((LN(Assumptions!$B$2/$B6)+(Assumptions!$B$3-Assumptions!$B$4+(G$3/100)^2/2)*Assumptions!$B$9)/((G$3/100)*Assumptions!$B$10)))-$B6*EXP(-Assumptions!$B$3*Assumptions!$B$9)*NORMSDIST((((LN(Assumptions!$B$2/$B6)+(Assumptions!$B$3-Assumptions!$B$4+(G$3/100)^2/2)*Assumptions!$B$9)/((G$3/100)*Assumptions!$B$10))-(G$3/100)*Assumptions!$B$10))))&lt;=0,"",(Assumptions!$B$2*EXP(-Assumptions!$B$4*Assumptions!$B$9)*NORMDIST(((LN(Assumptions!$B$2/$B6)+(Assumptions!$B$3-Assumptions!$B$4+(G$3/100)^2/2)*Assumptions!$B$9)/((G$3/100)*Assumptions!$B$10)),0,1,FALSE)*Assumptions!$B$10*0.01)*((G$3/100)/0.01)/(MAX(0,Assumptions!$B$2*EXP(-Assumptions!$B$4*Assumptions!$B$9)*NORMSDIST(((LN(Assumptions!$B$2/$B6)+(Assumptions!$B$3-Assumptions!$B$4+(G$3/100)^2/2)*Assumptions!$B$9)/((G$3/100)*Assumptions!$B$10)))-$B6*EXP(-Assumptions!$B$3*Assumptions!$B$9)*NORMSDIST((((LN(Assumptions!$B$2/$B6)+(Assumptions!$B$3-Assumptions!$B$4+(G$3/100)^2/2)*Assumptions!$B$9)/((G$3/100)*Assumptions!$B$10))-(G$3/100)*Assumptions!$B$10)))))</f>
        <v/>
      </c>
      <c r="H6" s="32">
        <f>IF((MAX(0,Assumptions!$B$2*EXP(-Assumptions!$B$4*Assumptions!$B$9)*NORMSDIST(((LN(Assumptions!$B$2/$B6)+(Assumptions!$B$3-Assumptions!$B$4+(H$3/100)^2/2)*Assumptions!$B$9)/((H$3/100)*Assumptions!$B$10)))-$B6*EXP(-Assumptions!$B$3*Assumptions!$B$9)*NORMSDIST((((LN(Assumptions!$B$2/$B6)+(Assumptions!$B$3-Assumptions!$B$4+(H$3/100)^2/2)*Assumptions!$B$9)/((H$3/100)*Assumptions!$B$10))-(H$3/100)*Assumptions!$B$10))))&lt;=0,"",(Assumptions!$B$2*EXP(-Assumptions!$B$4*Assumptions!$B$9)*NORMDIST(((LN(Assumptions!$B$2/$B6)+(Assumptions!$B$3-Assumptions!$B$4+(H$3/100)^2/2)*Assumptions!$B$9)/((H$3/100)*Assumptions!$B$10)),0,1,FALSE)*Assumptions!$B$10*0.01)*((H$3/100)/0.01)/(MAX(0,Assumptions!$B$2*EXP(-Assumptions!$B$4*Assumptions!$B$9)*NORMSDIST(((LN(Assumptions!$B$2/$B6)+(Assumptions!$B$3-Assumptions!$B$4+(H$3/100)^2/2)*Assumptions!$B$9)/((H$3/100)*Assumptions!$B$10)))-$B6*EXP(-Assumptions!$B$3*Assumptions!$B$9)*NORMSDIST((((LN(Assumptions!$B$2/$B6)+(Assumptions!$B$3-Assumptions!$B$4+(H$3/100)^2/2)*Assumptions!$B$9)/((H$3/100)*Assumptions!$B$10))-(H$3/100)*Assumptions!$B$10)))))</f>
        <v/>
      </c>
      <c r="I6" s="32">
        <f>IF((MAX(0,Assumptions!$B$2*EXP(-Assumptions!$B$4*Assumptions!$B$9)*NORMSDIST(((LN(Assumptions!$B$2/$B6)+(Assumptions!$B$3-Assumptions!$B$4+(I$3/100)^2/2)*Assumptions!$B$9)/((I$3/100)*Assumptions!$B$10)))-$B6*EXP(-Assumptions!$B$3*Assumptions!$B$9)*NORMSDIST((((LN(Assumptions!$B$2/$B6)+(Assumptions!$B$3-Assumptions!$B$4+(I$3/100)^2/2)*Assumptions!$B$9)/((I$3/100)*Assumptions!$B$10))-(I$3/100)*Assumptions!$B$10))))&lt;=0,"",(Assumptions!$B$2*EXP(-Assumptions!$B$4*Assumptions!$B$9)*NORMDIST(((LN(Assumptions!$B$2/$B6)+(Assumptions!$B$3-Assumptions!$B$4+(I$3/100)^2/2)*Assumptions!$B$9)/((I$3/100)*Assumptions!$B$10)),0,1,FALSE)*Assumptions!$B$10*0.01)*((I$3/100)/0.01)/(MAX(0,Assumptions!$B$2*EXP(-Assumptions!$B$4*Assumptions!$B$9)*NORMSDIST(((LN(Assumptions!$B$2/$B6)+(Assumptions!$B$3-Assumptions!$B$4+(I$3/100)^2/2)*Assumptions!$B$9)/((I$3/100)*Assumptions!$B$10)))-$B6*EXP(-Assumptions!$B$3*Assumptions!$B$9)*NORMSDIST((((LN(Assumptions!$B$2/$B6)+(Assumptions!$B$3-Assumptions!$B$4+(I$3/100)^2/2)*Assumptions!$B$9)/((I$3/100)*Assumptions!$B$10))-(I$3/100)*Assumptions!$B$10)))))</f>
        <v/>
      </c>
      <c r="J6" s="32">
        <f>IF((MAX(0,Assumptions!$B$2*EXP(-Assumptions!$B$4*Assumptions!$B$9)*NORMSDIST(((LN(Assumptions!$B$2/$B6)+(Assumptions!$B$3-Assumptions!$B$4+(J$3/100)^2/2)*Assumptions!$B$9)/((J$3/100)*Assumptions!$B$10)))-$B6*EXP(-Assumptions!$B$3*Assumptions!$B$9)*NORMSDIST((((LN(Assumptions!$B$2/$B6)+(Assumptions!$B$3-Assumptions!$B$4+(J$3/100)^2/2)*Assumptions!$B$9)/((J$3/100)*Assumptions!$B$10))-(J$3/100)*Assumptions!$B$10))))&lt;=0,"",(Assumptions!$B$2*EXP(-Assumptions!$B$4*Assumptions!$B$9)*NORMDIST(((LN(Assumptions!$B$2/$B6)+(Assumptions!$B$3-Assumptions!$B$4+(J$3/100)^2/2)*Assumptions!$B$9)/((J$3/100)*Assumptions!$B$10)),0,1,FALSE)*Assumptions!$B$10*0.01)*((J$3/100)/0.01)/(MAX(0,Assumptions!$B$2*EXP(-Assumptions!$B$4*Assumptions!$B$9)*NORMSDIST(((LN(Assumptions!$B$2/$B6)+(Assumptions!$B$3-Assumptions!$B$4+(J$3/100)^2/2)*Assumptions!$B$9)/((J$3/100)*Assumptions!$B$10)))-$B6*EXP(-Assumptions!$B$3*Assumptions!$B$9)*NORMSDIST((((LN(Assumptions!$B$2/$B6)+(Assumptions!$B$3-Assumptions!$B$4+(J$3/100)^2/2)*Assumptions!$B$9)/((J$3/100)*Assumptions!$B$10))-(J$3/100)*Assumptions!$B$10)))))</f>
        <v/>
      </c>
      <c r="K6" s="32">
        <f>IF((MAX(0,Assumptions!$B$2*EXP(-Assumptions!$B$4*Assumptions!$B$9)*NORMSDIST(((LN(Assumptions!$B$2/$B6)+(Assumptions!$B$3-Assumptions!$B$4+(K$3/100)^2/2)*Assumptions!$B$9)/((K$3/100)*Assumptions!$B$10)))-$B6*EXP(-Assumptions!$B$3*Assumptions!$B$9)*NORMSDIST((((LN(Assumptions!$B$2/$B6)+(Assumptions!$B$3-Assumptions!$B$4+(K$3/100)^2/2)*Assumptions!$B$9)/((K$3/100)*Assumptions!$B$10))-(K$3/100)*Assumptions!$B$10))))&lt;=0,"",(Assumptions!$B$2*EXP(-Assumptions!$B$4*Assumptions!$B$9)*NORMDIST(((LN(Assumptions!$B$2/$B6)+(Assumptions!$B$3-Assumptions!$B$4+(K$3/100)^2/2)*Assumptions!$B$9)/((K$3/100)*Assumptions!$B$10)),0,1,FALSE)*Assumptions!$B$10*0.01)*((K$3/100)/0.01)/(MAX(0,Assumptions!$B$2*EXP(-Assumptions!$B$4*Assumptions!$B$9)*NORMSDIST(((LN(Assumptions!$B$2/$B6)+(Assumptions!$B$3-Assumptions!$B$4+(K$3/100)^2/2)*Assumptions!$B$9)/((K$3/100)*Assumptions!$B$10)))-$B6*EXP(-Assumptions!$B$3*Assumptions!$B$9)*NORMSDIST((((LN(Assumptions!$B$2/$B6)+(Assumptions!$B$3-Assumptions!$B$4+(K$3/100)^2/2)*Assumptions!$B$9)/((K$3/100)*Assumptions!$B$10))-(K$3/100)*Assumptions!$B$10)))))</f>
        <v/>
      </c>
      <c r="L6" s="32">
        <f>IF((MAX(0,Assumptions!$B$2*EXP(-Assumptions!$B$4*Assumptions!$B$9)*NORMSDIST(((LN(Assumptions!$B$2/$B6)+(Assumptions!$B$3-Assumptions!$B$4+(L$3/100)^2/2)*Assumptions!$B$9)/((L$3/100)*Assumptions!$B$10)))-$B6*EXP(-Assumptions!$B$3*Assumptions!$B$9)*NORMSDIST((((LN(Assumptions!$B$2/$B6)+(Assumptions!$B$3-Assumptions!$B$4+(L$3/100)^2/2)*Assumptions!$B$9)/((L$3/100)*Assumptions!$B$10))-(L$3/100)*Assumptions!$B$10))))&lt;=0,"",(Assumptions!$B$2*EXP(-Assumptions!$B$4*Assumptions!$B$9)*NORMDIST(((LN(Assumptions!$B$2/$B6)+(Assumptions!$B$3-Assumptions!$B$4+(L$3/100)^2/2)*Assumptions!$B$9)/((L$3/100)*Assumptions!$B$10)),0,1,FALSE)*Assumptions!$B$10*0.01)*((L$3/100)/0.01)/(MAX(0,Assumptions!$B$2*EXP(-Assumptions!$B$4*Assumptions!$B$9)*NORMSDIST(((LN(Assumptions!$B$2/$B6)+(Assumptions!$B$3-Assumptions!$B$4+(L$3/100)^2/2)*Assumptions!$B$9)/((L$3/100)*Assumptions!$B$10)))-$B6*EXP(-Assumptions!$B$3*Assumptions!$B$9)*NORMSDIST((((LN(Assumptions!$B$2/$B6)+(Assumptions!$B$3-Assumptions!$B$4+(L$3/100)^2/2)*Assumptions!$B$9)/((L$3/100)*Assumptions!$B$10))-(L$3/100)*Assumptions!$B$10)))))</f>
        <v/>
      </c>
      <c r="M6" s="32">
        <f>IF((MAX(0,Assumptions!$B$2*EXP(-Assumptions!$B$4*Assumptions!$B$9)*NORMSDIST(((LN(Assumptions!$B$2/$B6)+(Assumptions!$B$3-Assumptions!$B$4+(M$3/100)^2/2)*Assumptions!$B$9)/((M$3/100)*Assumptions!$B$10)))-$B6*EXP(-Assumptions!$B$3*Assumptions!$B$9)*NORMSDIST((((LN(Assumptions!$B$2/$B6)+(Assumptions!$B$3-Assumptions!$B$4+(M$3/100)^2/2)*Assumptions!$B$9)/((M$3/100)*Assumptions!$B$10))-(M$3/100)*Assumptions!$B$10))))&lt;=0,"",(Assumptions!$B$2*EXP(-Assumptions!$B$4*Assumptions!$B$9)*NORMDIST(((LN(Assumptions!$B$2/$B6)+(Assumptions!$B$3-Assumptions!$B$4+(M$3/100)^2/2)*Assumptions!$B$9)/((M$3/100)*Assumptions!$B$10)),0,1,FALSE)*Assumptions!$B$10*0.01)*((M$3/100)/0.01)/(MAX(0,Assumptions!$B$2*EXP(-Assumptions!$B$4*Assumptions!$B$9)*NORMSDIST(((LN(Assumptions!$B$2/$B6)+(Assumptions!$B$3-Assumptions!$B$4+(M$3/100)^2/2)*Assumptions!$B$9)/((M$3/100)*Assumptions!$B$10)))-$B6*EXP(-Assumptions!$B$3*Assumptions!$B$9)*NORMSDIST((((LN(Assumptions!$B$2/$B6)+(Assumptions!$B$3-Assumptions!$B$4+(M$3/100)^2/2)*Assumptions!$B$9)/((M$3/100)*Assumptions!$B$10))-(M$3/100)*Assumptions!$B$10)))))</f>
        <v/>
      </c>
      <c r="N6" s="32">
        <f>IF((MAX(0,Assumptions!$B$2*EXP(-Assumptions!$B$4*Assumptions!$B$9)*NORMSDIST(((LN(Assumptions!$B$2/$B6)+(Assumptions!$B$3-Assumptions!$B$4+(N$3/100)^2/2)*Assumptions!$B$9)/((N$3/100)*Assumptions!$B$10)))-$B6*EXP(-Assumptions!$B$3*Assumptions!$B$9)*NORMSDIST((((LN(Assumptions!$B$2/$B6)+(Assumptions!$B$3-Assumptions!$B$4+(N$3/100)^2/2)*Assumptions!$B$9)/((N$3/100)*Assumptions!$B$10))-(N$3/100)*Assumptions!$B$10))))&lt;=0,"",(Assumptions!$B$2*EXP(-Assumptions!$B$4*Assumptions!$B$9)*NORMDIST(((LN(Assumptions!$B$2/$B6)+(Assumptions!$B$3-Assumptions!$B$4+(N$3/100)^2/2)*Assumptions!$B$9)/((N$3/100)*Assumptions!$B$10)),0,1,FALSE)*Assumptions!$B$10*0.01)*((N$3/100)/0.01)/(MAX(0,Assumptions!$B$2*EXP(-Assumptions!$B$4*Assumptions!$B$9)*NORMSDIST(((LN(Assumptions!$B$2/$B6)+(Assumptions!$B$3-Assumptions!$B$4+(N$3/100)^2/2)*Assumptions!$B$9)/((N$3/100)*Assumptions!$B$10)))-$B6*EXP(-Assumptions!$B$3*Assumptions!$B$9)*NORMSDIST((((LN(Assumptions!$B$2/$B6)+(Assumptions!$B$3-Assumptions!$B$4+(N$3/100)^2/2)*Assumptions!$B$9)/((N$3/100)*Assumptions!$B$10))-(N$3/100)*Assumptions!$B$10)))))</f>
        <v/>
      </c>
      <c r="O6" s="32">
        <f>IF((MAX(0,Assumptions!$B$2*EXP(-Assumptions!$B$4*Assumptions!$B$9)*NORMSDIST(((LN(Assumptions!$B$2/$B6)+(Assumptions!$B$3-Assumptions!$B$4+(O$3/100)^2/2)*Assumptions!$B$9)/((O$3/100)*Assumptions!$B$10)))-$B6*EXP(-Assumptions!$B$3*Assumptions!$B$9)*NORMSDIST((((LN(Assumptions!$B$2/$B6)+(Assumptions!$B$3-Assumptions!$B$4+(O$3/100)^2/2)*Assumptions!$B$9)/((O$3/100)*Assumptions!$B$10))-(O$3/100)*Assumptions!$B$10))))&lt;=0,"",(Assumptions!$B$2*EXP(-Assumptions!$B$4*Assumptions!$B$9)*NORMDIST(((LN(Assumptions!$B$2/$B6)+(Assumptions!$B$3-Assumptions!$B$4+(O$3/100)^2/2)*Assumptions!$B$9)/((O$3/100)*Assumptions!$B$10)),0,1,FALSE)*Assumptions!$B$10*0.01)*((O$3/100)/0.01)/(MAX(0,Assumptions!$B$2*EXP(-Assumptions!$B$4*Assumptions!$B$9)*NORMSDIST(((LN(Assumptions!$B$2/$B6)+(Assumptions!$B$3-Assumptions!$B$4+(O$3/100)^2/2)*Assumptions!$B$9)/((O$3/100)*Assumptions!$B$10)))-$B6*EXP(-Assumptions!$B$3*Assumptions!$B$9)*NORMSDIST((((LN(Assumptions!$B$2/$B6)+(Assumptions!$B$3-Assumptions!$B$4+(O$3/100)^2/2)*Assumptions!$B$9)/((O$3/100)*Assumptions!$B$10))-(O$3/100)*Assumptions!$B$10)))))</f>
        <v/>
      </c>
      <c r="P6" s="32">
        <f>IF((MAX(0,Assumptions!$B$2*EXP(-Assumptions!$B$4*Assumptions!$B$9)*NORMSDIST(((LN(Assumptions!$B$2/$B6)+(Assumptions!$B$3-Assumptions!$B$4+(P$3/100)^2/2)*Assumptions!$B$9)/((P$3/100)*Assumptions!$B$10)))-$B6*EXP(-Assumptions!$B$3*Assumptions!$B$9)*NORMSDIST((((LN(Assumptions!$B$2/$B6)+(Assumptions!$B$3-Assumptions!$B$4+(P$3/100)^2/2)*Assumptions!$B$9)/((P$3/100)*Assumptions!$B$10))-(P$3/100)*Assumptions!$B$10))))&lt;=0,"",(Assumptions!$B$2*EXP(-Assumptions!$B$4*Assumptions!$B$9)*NORMDIST(((LN(Assumptions!$B$2/$B6)+(Assumptions!$B$3-Assumptions!$B$4+(P$3/100)^2/2)*Assumptions!$B$9)/((P$3/100)*Assumptions!$B$10)),0,1,FALSE)*Assumptions!$B$10*0.01)*((P$3/100)/0.01)/(MAX(0,Assumptions!$B$2*EXP(-Assumptions!$B$4*Assumptions!$B$9)*NORMSDIST(((LN(Assumptions!$B$2/$B6)+(Assumptions!$B$3-Assumptions!$B$4+(P$3/100)^2/2)*Assumptions!$B$9)/((P$3/100)*Assumptions!$B$10)))-$B6*EXP(-Assumptions!$B$3*Assumptions!$B$9)*NORMSDIST((((LN(Assumptions!$B$2/$B6)+(Assumptions!$B$3-Assumptions!$B$4+(P$3/100)^2/2)*Assumptions!$B$9)/((P$3/100)*Assumptions!$B$10))-(P$3/100)*Assumptions!$B$10)))))</f>
        <v/>
      </c>
      <c r="Q6" s="32">
        <f>IF((MAX(0,Assumptions!$B$2*EXP(-Assumptions!$B$4*Assumptions!$B$9)*NORMSDIST(((LN(Assumptions!$B$2/$B6)+(Assumptions!$B$3-Assumptions!$B$4+(Q$3/100)^2/2)*Assumptions!$B$9)/((Q$3/100)*Assumptions!$B$10)))-$B6*EXP(-Assumptions!$B$3*Assumptions!$B$9)*NORMSDIST((((LN(Assumptions!$B$2/$B6)+(Assumptions!$B$3-Assumptions!$B$4+(Q$3/100)^2/2)*Assumptions!$B$9)/((Q$3/100)*Assumptions!$B$10))-(Q$3/100)*Assumptions!$B$10))))&lt;=0,"",(Assumptions!$B$2*EXP(-Assumptions!$B$4*Assumptions!$B$9)*NORMDIST(((LN(Assumptions!$B$2/$B6)+(Assumptions!$B$3-Assumptions!$B$4+(Q$3/100)^2/2)*Assumptions!$B$9)/((Q$3/100)*Assumptions!$B$10)),0,1,FALSE)*Assumptions!$B$10*0.01)*((Q$3/100)/0.01)/(MAX(0,Assumptions!$B$2*EXP(-Assumptions!$B$4*Assumptions!$B$9)*NORMSDIST(((LN(Assumptions!$B$2/$B6)+(Assumptions!$B$3-Assumptions!$B$4+(Q$3/100)^2/2)*Assumptions!$B$9)/((Q$3/100)*Assumptions!$B$10)))-$B6*EXP(-Assumptions!$B$3*Assumptions!$B$9)*NORMSDIST((((LN(Assumptions!$B$2/$B6)+(Assumptions!$B$3-Assumptions!$B$4+(Q$3/100)^2/2)*Assumptions!$B$9)/((Q$3/100)*Assumptions!$B$10))-(Q$3/100)*Assumptions!$B$10)))))</f>
        <v/>
      </c>
      <c r="R6" s="32">
        <f>IF((MAX(0,Assumptions!$B$2*EXP(-Assumptions!$B$4*Assumptions!$B$9)*NORMSDIST(((LN(Assumptions!$B$2/$B6)+(Assumptions!$B$3-Assumptions!$B$4+(R$3/100)^2/2)*Assumptions!$B$9)/((R$3/100)*Assumptions!$B$10)))-$B6*EXP(-Assumptions!$B$3*Assumptions!$B$9)*NORMSDIST((((LN(Assumptions!$B$2/$B6)+(Assumptions!$B$3-Assumptions!$B$4+(R$3/100)^2/2)*Assumptions!$B$9)/((R$3/100)*Assumptions!$B$10))-(R$3/100)*Assumptions!$B$10))))&lt;=0,"",(Assumptions!$B$2*EXP(-Assumptions!$B$4*Assumptions!$B$9)*NORMDIST(((LN(Assumptions!$B$2/$B6)+(Assumptions!$B$3-Assumptions!$B$4+(R$3/100)^2/2)*Assumptions!$B$9)/((R$3/100)*Assumptions!$B$10)),0,1,FALSE)*Assumptions!$B$10*0.01)*((R$3/100)/0.01)/(MAX(0,Assumptions!$B$2*EXP(-Assumptions!$B$4*Assumptions!$B$9)*NORMSDIST(((LN(Assumptions!$B$2/$B6)+(Assumptions!$B$3-Assumptions!$B$4+(R$3/100)^2/2)*Assumptions!$B$9)/((R$3/100)*Assumptions!$B$10)))-$B6*EXP(-Assumptions!$B$3*Assumptions!$B$9)*NORMSDIST((((LN(Assumptions!$B$2/$B6)+(Assumptions!$B$3-Assumptions!$B$4+(R$3/100)^2/2)*Assumptions!$B$9)/((R$3/100)*Assumptions!$B$10))-(R$3/100)*Assumptions!$B$10)))))</f>
        <v/>
      </c>
      <c r="S6" s="32">
        <f>IF((MAX(0,Assumptions!$B$2*EXP(-Assumptions!$B$4*Assumptions!$B$9)*NORMSDIST(((LN(Assumptions!$B$2/$B6)+(Assumptions!$B$3-Assumptions!$B$4+(S$3/100)^2/2)*Assumptions!$B$9)/((S$3/100)*Assumptions!$B$10)))-$B6*EXP(-Assumptions!$B$3*Assumptions!$B$9)*NORMSDIST((((LN(Assumptions!$B$2/$B6)+(Assumptions!$B$3-Assumptions!$B$4+(S$3/100)^2/2)*Assumptions!$B$9)/((S$3/100)*Assumptions!$B$10))-(S$3/100)*Assumptions!$B$10))))&lt;=0,"",(Assumptions!$B$2*EXP(-Assumptions!$B$4*Assumptions!$B$9)*NORMDIST(((LN(Assumptions!$B$2/$B6)+(Assumptions!$B$3-Assumptions!$B$4+(S$3/100)^2/2)*Assumptions!$B$9)/((S$3/100)*Assumptions!$B$10)),0,1,FALSE)*Assumptions!$B$10*0.01)*((S$3/100)/0.01)/(MAX(0,Assumptions!$B$2*EXP(-Assumptions!$B$4*Assumptions!$B$9)*NORMSDIST(((LN(Assumptions!$B$2/$B6)+(Assumptions!$B$3-Assumptions!$B$4+(S$3/100)^2/2)*Assumptions!$B$9)/((S$3/100)*Assumptions!$B$10)))-$B6*EXP(-Assumptions!$B$3*Assumptions!$B$9)*NORMSDIST((((LN(Assumptions!$B$2/$B6)+(Assumptions!$B$3-Assumptions!$B$4+(S$3/100)^2/2)*Assumptions!$B$9)/((S$3/100)*Assumptions!$B$10))-(S$3/100)*Assumptions!$B$10)))))</f>
        <v/>
      </c>
      <c r="T6" s="32">
        <f>IF((MAX(0,Assumptions!$B$2*EXP(-Assumptions!$B$4*Assumptions!$B$9)*NORMSDIST(((LN(Assumptions!$B$2/$B6)+(Assumptions!$B$3-Assumptions!$B$4+(T$3/100)^2/2)*Assumptions!$B$9)/((T$3/100)*Assumptions!$B$10)))-$B6*EXP(-Assumptions!$B$3*Assumptions!$B$9)*NORMSDIST((((LN(Assumptions!$B$2/$B6)+(Assumptions!$B$3-Assumptions!$B$4+(T$3/100)^2/2)*Assumptions!$B$9)/((T$3/100)*Assumptions!$B$10))-(T$3/100)*Assumptions!$B$10))))&lt;=0,"",(Assumptions!$B$2*EXP(-Assumptions!$B$4*Assumptions!$B$9)*NORMDIST(((LN(Assumptions!$B$2/$B6)+(Assumptions!$B$3-Assumptions!$B$4+(T$3/100)^2/2)*Assumptions!$B$9)/((T$3/100)*Assumptions!$B$10)),0,1,FALSE)*Assumptions!$B$10*0.01)*((T$3/100)/0.01)/(MAX(0,Assumptions!$B$2*EXP(-Assumptions!$B$4*Assumptions!$B$9)*NORMSDIST(((LN(Assumptions!$B$2/$B6)+(Assumptions!$B$3-Assumptions!$B$4+(T$3/100)^2/2)*Assumptions!$B$9)/((T$3/100)*Assumptions!$B$10)))-$B6*EXP(-Assumptions!$B$3*Assumptions!$B$9)*NORMSDIST((((LN(Assumptions!$B$2/$B6)+(Assumptions!$B$3-Assumptions!$B$4+(T$3/100)^2/2)*Assumptions!$B$9)/((T$3/100)*Assumptions!$B$10))-(T$3/100)*Assumptions!$B$10)))))</f>
        <v/>
      </c>
      <c r="U6" s="32">
        <f>IF((MAX(0,Assumptions!$B$2*EXP(-Assumptions!$B$4*Assumptions!$B$9)*NORMSDIST(((LN(Assumptions!$B$2/$B6)+(Assumptions!$B$3-Assumptions!$B$4+(U$3/100)^2/2)*Assumptions!$B$9)/((U$3/100)*Assumptions!$B$10)))-$B6*EXP(-Assumptions!$B$3*Assumptions!$B$9)*NORMSDIST((((LN(Assumptions!$B$2/$B6)+(Assumptions!$B$3-Assumptions!$B$4+(U$3/100)^2/2)*Assumptions!$B$9)/((U$3/100)*Assumptions!$B$10))-(U$3/100)*Assumptions!$B$10))))&lt;=0,"",(Assumptions!$B$2*EXP(-Assumptions!$B$4*Assumptions!$B$9)*NORMDIST(((LN(Assumptions!$B$2/$B6)+(Assumptions!$B$3-Assumptions!$B$4+(U$3/100)^2/2)*Assumptions!$B$9)/((U$3/100)*Assumptions!$B$10)),0,1,FALSE)*Assumptions!$B$10*0.01)*((U$3/100)/0.01)/(MAX(0,Assumptions!$B$2*EXP(-Assumptions!$B$4*Assumptions!$B$9)*NORMSDIST(((LN(Assumptions!$B$2/$B6)+(Assumptions!$B$3-Assumptions!$B$4+(U$3/100)^2/2)*Assumptions!$B$9)/((U$3/100)*Assumptions!$B$10)))-$B6*EXP(-Assumptions!$B$3*Assumptions!$B$9)*NORMSDIST((((LN(Assumptions!$B$2/$B6)+(Assumptions!$B$3-Assumptions!$B$4+(U$3/100)^2/2)*Assumptions!$B$9)/((U$3/100)*Assumptions!$B$10))-(U$3/100)*Assumptions!$B$10)))))</f>
        <v/>
      </c>
      <c r="V6" s="32">
        <f>IF((MAX(0,Assumptions!$B$2*EXP(-Assumptions!$B$4*Assumptions!$B$9)*NORMSDIST(((LN(Assumptions!$B$2/$B6)+(Assumptions!$B$3-Assumptions!$B$4+(V$3/100)^2/2)*Assumptions!$B$9)/((V$3/100)*Assumptions!$B$10)))-$B6*EXP(-Assumptions!$B$3*Assumptions!$B$9)*NORMSDIST((((LN(Assumptions!$B$2/$B6)+(Assumptions!$B$3-Assumptions!$B$4+(V$3/100)^2/2)*Assumptions!$B$9)/((V$3/100)*Assumptions!$B$10))-(V$3/100)*Assumptions!$B$10))))&lt;=0,"",(Assumptions!$B$2*EXP(-Assumptions!$B$4*Assumptions!$B$9)*NORMDIST(((LN(Assumptions!$B$2/$B6)+(Assumptions!$B$3-Assumptions!$B$4+(V$3/100)^2/2)*Assumptions!$B$9)/((V$3/100)*Assumptions!$B$10)),0,1,FALSE)*Assumptions!$B$10*0.01)*((V$3/100)/0.01)/(MAX(0,Assumptions!$B$2*EXP(-Assumptions!$B$4*Assumptions!$B$9)*NORMSDIST(((LN(Assumptions!$B$2/$B6)+(Assumptions!$B$3-Assumptions!$B$4+(V$3/100)^2/2)*Assumptions!$B$9)/((V$3/100)*Assumptions!$B$10)))-$B6*EXP(-Assumptions!$B$3*Assumptions!$B$9)*NORMSDIST((((LN(Assumptions!$B$2/$B6)+(Assumptions!$B$3-Assumptions!$B$4+(V$3/100)^2/2)*Assumptions!$B$9)/((V$3/100)*Assumptions!$B$10))-(V$3/100)*Assumptions!$B$10)))))</f>
        <v/>
      </c>
      <c r="W6" s="32">
        <f>IF((MAX(0,Assumptions!$B$2*EXP(-Assumptions!$B$4*Assumptions!$B$9)*NORMSDIST(((LN(Assumptions!$B$2/$B6)+(Assumptions!$B$3-Assumptions!$B$4+(W$3/100)^2/2)*Assumptions!$B$9)/((W$3/100)*Assumptions!$B$10)))-$B6*EXP(-Assumptions!$B$3*Assumptions!$B$9)*NORMSDIST((((LN(Assumptions!$B$2/$B6)+(Assumptions!$B$3-Assumptions!$B$4+(W$3/100)^2/2)*Assumptions!$B$9)/((W$3/100)*Assumptions!$B$10))-(W$3/100)*Assumptions!$B$10))))&lt;=0,"",(Assumptions!$B$2*EXP(-Assumptions!$B$4*Assumptions!$B$9)*NORMDIST(((LN(Assumptions!$B$2/$B6)+(Assumptions!$B$3-Assumptions!$B$4+(W$3/100)^2/2)*Assumptions!$B$9)/((W$3/100)*Assumptions!$B$10)),0,1,FALSE)*Assumptions!$B$10*0.01)*((W$3/100)/0.01)/(MAX(0,Assumptions!$B$2*EXP(-Assumptions!$B$4*Assumptions!$B$9)*NORMSDIST(((LN(Assumptions!$B$2/$B6)+(Assumptions!$B$3-Assumptions!$B$4+(W$3/100)^2/2)*Assumptions!$B$9)/((W$3/100)*Assumptions!$B$10)))-$B6*EXP(-Assumptions!$B$3*Assumptions!$B$9)*NORMSDIST((((LN(Assumptions!$B$2/$B6)+(Assumptions!$B$3-Assumptions!$B$4+(W$3/100)^2/2)*Assumptions!$B$9)/((W$3/100)*Assumptions!$B$10))-(W$3/100)*Assumptions!$B$10)))))</f>
        <v/>
      </c>
      <c r="X6" s="32">
        <f>IF((MAX(0,Assumptions!$B$2*EXP(-Assumptions!$B$4*Assumptions!$B$9)*NORMSDIST(((LN(Assumptions!$B$2/$B6)+(Assumptions!$B$3-Assumptions!$B$4+(X$3/100)^2/2)*Assumptions!$B$9)/((X$3/100)*Assumptions!$B$10)))-$B6*EXP(-Assumptions!$B$3*Assumptions!$B$9)*NORMSDIST((((LN(Assumptions!$B$2/$B6)+(Assumptions!$B$3-Assumptions!$B$4+(X$3/100)^2/2)*Assumptions!$B$9)/((X$3/100)*Assumptions!$B$10))-(X$3/100)*Assumptions!$B$10))))&lt;=0,"",(Assumptions!$B$2*EXP(-Assumptions!$B$4*Assumptions!$B$9)*NORMDIST(((LN(Assumptions!$B$2/$B6)+(Assumptions!$B$3-Assumptions!$B$4+(X$3/100)^2/2)*Assumptions!$B$9)/((X$3/100)*Assumptions!$B$10)),0,1,FALSE)*Assumptions!$B$10*0.01)*((X$3/100)/0.01)/(MAX(0,Assumptions!$B$2*EXP(-Assumptions!$B$4*Assumptions!$B$9)*NORMSDIST(((LN(Assumptions!$B$2/$B6)+(Assumptions!$B$3-Assumptions!$B$4+(X$3/100)^2/2)*Assumptions!$B$9)/((X$3/100)*Assumptions!$B$10)))-$B6*EXP(-Assumptions!$B$3*Assumptions!$B$9)*NORMSDIST((((LN(Assumptions!$B$2/$B6)+(Assumptions!$B$3-Assumptions!$B$4+(X$3/100)^2/2)*Assumptions!$B$9)/((X$3/100)*Assumptions!$B$10))-(X$3/100)*Assumptions!$B$10)))))</f>
        <v/>
      </c>
      <c r="Y6" s="32">
        <f>IF((MAX(0,Assumptions!$B$2*EXP(-Assumptions!$B$4*Assumptions!$B$9)*NORMSDIST(((LN(Assumptions!$B$2/$B6)+(Assumptions!$B$3-Assumptions!$B$4+(Y$3/100)^2/2)*Assumptions!$B$9)/((Y$3/100)*Assumptions!$B$10)))-$B6*EXP(-Assumptions!$B$3*Assumptions!$B$9)*NORMSDIST((((LN(Assumptions!$B$2/$B6)+(Assumptions!$B$3-Assumptions!$B$4+(Y$3/100)^2/2)*Assumptions!$B$9)/((Y$3/100)*Assumptions!$B$10))-(Y$3/100)*Assumptions!$B$10))))&lt;=0,"",(Assumptions!$B$2*EXP(-Assumptions!$B$4*Assumptions!$B$9)*NORMDIST(((LN(Assumptions!$B$2/$B6)+(Assumptions!$B$3-Assumptions!$B$4+(Y$3/100)^2/2)*Assumptions!$B$9)/((Y$3/100)*Assumptions!$B$10)),0,1,FALSE)*Assumptions!$B$10*0.01)*((Y$3/100)/0.01)/(MAX(0,Assumptions!$B$2*EXP(-Assumptions!$B$4*Assumptions!$B$9)*NORMSDIST(((LN(Assumptions!$B$2/$B6)+(Assumptions!$B$3-Assumptions!$B$4+(Y$3/100)^2/2)*Assumptions!$B$9)/((Y$3/100)*Assumptions!$B$10)))-$B6*EXP(-Assumptions!$B$3*Assumptions!$B$9)*NORMSDIST((((LN(Assumptions!$B$2/$B6)+(Assumptions!$B$3-Assumptions!$B$4+(Y$3/100)^2/2)*Assumptions!$B$9)/((Y$3/100)*Assumptions!$B$10))-(Y$3/100)*Assumptions!$B$10)))))</f>
        <v/>
      </c>
      <c r="Z6" s="32">
        <f>IF((MAX(0,Assumptions!$B$2*EXP(-Assumptions!$B$4*Assumptions!$B$9)*NORMSDIST(((LN(Assumptions!$B$2/$B6)+(Assumptions!$B$3-Assumptions!$B$4+(Z$3/100)^2/2)*Assumptions!$B$9)/((Z$3/100)*Assumptions!$B$10)))-$B6*EXP(-Assumptions!$B$3*Assumptions!$B$9)*NORMSDIST((((LN(Assumptions!$B$2/$B6)+(Assumptions!$B$3-Assumptions!$B$4+(Z$3/100)^2/2)*Assumptions!$B$9)/((Z$3/100)*Assumptions!$B$10))-(Z$3/100)*Assumptions!$B$10))))&lt;=0,"",(Assumptions!$B$2*EXP(-Assumptions!$B$4*Assumptions!$B$9)*NORMDIST(((LN(Assumptions!$B$2/$B6)+(Assumptions!$B$3-Assumptions!$B$4+(Z$3/100)^2/2)*Assumptions!$B$9)/((Z$3/100)*Assumptions!$B$10)),0,1,FALSE)*Assumptions!$B$10*0.01)*((Z$3/100)/0.01)/(MAX(0,Assumptions!$B$2*EXP(-Assumptions!$B$4*Assumptions!$B$9)*NORMSDIST(((LN(Assumptions!$B$2/$B6)+(Assumptions!$B$3-Assumptions!$B$4+(Z$3/100)^2/2)*Assumptions!$B$9)/((Z$3/100)*Assumptions!$B$10)))-$B6*EXP(-Assumptions!$B$3*Assumptions!$B$9)*NORMSDIST((((LN(Assumptions!$B$2/$B6)+(Assumptions!$B$3-Assumptions!$B$4+(Z$3/100)^2/2)*Assumptions!$B$9)/((Z$3/100)*Assumptions!$B$10))-(Z$3/100)*Assumptions!$B$10)))))</f>
        <v/>
      </c>
      <c r="AA6" s="32">
        <f>IF((MAX(0,Assumptions!$B$2*EXP(-Assumptions!$B$4*Assumptions!$B$9)*NORMSDIST(((LN(Assumptions!$B$2/$B6)+(Assumptions!$B$3-Assumptions!$B$4+(AA$3/100)^2/2)*Assumptions!$B$9)/((AA$3/100)*Assumptions!$B$10)))-$B6*EXP(-Assumptions!$B$3*Assumptions!$B$9)*NORMSDIST((((LN(Assumptions!$B$2/$B6)+(Assumptions!$B$3-Assumptions!$B$4+(AA$3/100)^2/2)*Assumptions!$B$9)/((AA$3/100)*Assumptions!$B$10))-(AA$3/100)*Assumptions!$B$10))))&lt;=0,"",(Assumptions!$B$2*EXP(-Assumptions!$B$4*Assumptions!$B$9)*NORMDIST(((LN(Assumptions!$B$2/$B6)+(Assumptions!$B$3-Assumptions!$B$4+(AA$3/100)^2/2)*Assumptions!$B$9)/((AA$3/100)*Assumptions!$B$10)),0,1,FALSE)*Assumptions!$B$10*0.01)*((AA$3/100)/0.01)/(MAX(0,Assumptions!$B$2*EXP(-Assumptions!$B$4*Assumptions!$B$9)*NORMSDIST(((LN(Assumptions!$B$2/$B6)+(Assumptions!$B$3-Assumptions!$B$4+(AA$3/100)^2/2)*Assumptions!$B$9)/((AA$3/100)*Assumptions!$B$10)))-$B6*EXP(-Assumptions!$B$3*Assumptions!$B$9)*NORMSDIST((((LN(Assumptions!$B$2/$B6)+(Assumptions!$B$3-Assumptions!$B$4+(AA$3/100)^2/2)*Assumptions!$B$9)/((AA$3/100)*Assumptions!$B$10))-(AA$3/100)*Assumptions!$B$10)))))</f>
        <v/>
      </c>
      <c r="AB6" s="32">
        <f>IF((MAX(0,Assumptions!$B$2*EXP(-Assumptions!$B$4*Assumptions!$B$9)*NORMSDIST(((LN(Assumptions!$B$2/$B6)+(Assumptions!$B$3-Assumptions!$B$4+(AB$3/100)^2/2)*Assumptions!$B$9)/((AB$3/100)*Assumptions!$B$10)))-$B6*EXP(-Assumptions!$B$3*Assumptions!$B$9)*NORMSDIST((((LN(Assumptions!$B$2/$B6)+(Assumptions!$B$3-Assumptions!$B$4+(AB$3/100)^2/2)*Assumptions!$B$9)/((AB$3/100)*Assumptions!$B$10))-(AB$3/100)*Assumptions!$B$10))))&lt;=0,"",(Assumptions!$B$2*EXP(-Assumptions!$B$4*Assumptions!$B$9)*NORMDIST(((LN(Assumptions!$B$2/$B6)+(Assumptions!$B$3-Assumptions!$B$4+(AB$3/100)^2/2)*Assumptions!$B$9)/((AB$3/100)*Assumptions!$B$10)),0,1,FALSE)*Assumptions!$B$10*0.01)*((AB$3/100)/0.01)/(MAX(0,Assumptions!$B$2*EXP(-Assumptions!$B$4*Assumptions!$B$9)*NORMSDIST(((LN(Assumptions!$B$2/$B6)+(Assumptions!$B$3-Assumptions!$B$4+(AB$3/100)^2/2)*Assumptions!$B$9)/((AB$3/100)*Assumptions!$B$10)))-$B6*EXP(-Assumptions!$B$3*Assumptions!$B$9)*NORMSDIST((((LN(Assumptions!$B$2/$B6)+(Assumptions!$B$3-Assumptions!$B$4+(AB$3/100)^2/2)*Assumptions!$B$9)/((AB$3/100)*Assumptions!$B$10))-(AB$3/100)*Assumptions!$B$10)))))</f>
        <v/>
      </c>
      <c r="AC6" s="32">
        <f>IF((MAX(0,Assumptions!$B$2*EXP(-Assumptions!$B$4*Assumptions!$B$9)*NORMSDIST(((LN(Assumptions!$B$2/$B6)+(Assumptions!$B$3-Assumptions!$B$4+(AC$3/100)^2/2)*Assumptions!$B$9)/((AC$3/100)*Assumptions!$B$10)))-$B6*EXP(-Assumptions!$B$3*Assumptions!$B$9)*NORMSDIST((((LN(Assumptions!$B$2/$B6)+(Assumptions!$B$3-Assumptions!$B$4+(AC$3/100)^2/2)*Assumptions!$B$9)/((AC$3/100)*Assumptions!$B$10))-(AC$3/100)*Assumptions!$B$10))))&lt;=0,"",(Assumptions!$B$2*EXP(-Assumptions!$B$4*Assumptions!$B$9)*NORMDIST(((LN(Assumptions!$B$2/$B6)+(Assumptions!$B$3-Assumptions!$B$4+(AC$3/100)^2/2)*Assumptions!$B$9)/((AC$3/100)*Assumptions!$B$10)),0,1,FALSE)*Assumptions!$B$10*0.01)*((AC$3/100)/0.01)/(MAX(0,Assumptions!$B$2*EXP(-Assumptions!$B$4*Assumptions!$B$9)*NORMSDIST(((LN(Assumptions!$B$2/$B6)+(Assumptions!$B$3-Assumptions!$B$4+(AC$3/100)^2/2)*Assumptions!$B$9)/((AC$3/100)*Assumptions!$B$10)))-$B6*EXP(-Assumptions!$B$3*Assumptions!$B$9)*NORMSDIST((((LN(Assumptions!$B$2/$B6)+(Assumptions!$B$3-Assumptions!$B$4+(AC$3/100)^2/2)*Assumptions!$B$9)/((AC$3/100)*Assumptions!$B$10))-(AC$3/100)*Assumptions!$B$10)))))</f>
        <v/>
      </c>
      <c r="AD6" s="32">
        <f>IF((MAX(0,Assumptions!$B$2*EXP(-Assumptions!$B$4*Assumptions!$B$9)*NORMSDIST(((LN(Assumptions!$B$2/$B6)+(Assumptions!$B$3-Assumptions!$B$4+(AD$3/100)^2/2)*Assumptions!$B$9)/((AD$3/100)*Assumptions!$B$10)))-$B6*EXP(-Assumptions!$B$3*Assumptions!$B$9)*NORMSDIST((((LN(Assumptions!$B$2/$B6)+(Assumptions!$B$3-Assumptions!$B$4+(AD$3/100)^2/2)*Assumptions!$B$9)/((AD$3/100)*Assumptions!$B$10))-(AD$3/100)*Assumptions!$B$10))))&lt;=0,"",(Assumptions!$B$2*EXP(-Assumptions!$B$4*Assumptions!$B$9)*NORMDIST(((LN(Assumptions!$B$2/$B6)+(Assumptions!$B$3-Assumptions!$B$4+(AD$3/100)^2/2)*Assumptions!$B$9)/((AD$3/100)*Assumptions!$B$10)),0,1,FALSE)*Assumptions!$B$10*0.01)*((AD$3/100)/0.01)/(MAX(0,Assumptions!$B$2*EXP(-Assumptions!$B$4*Assumptions!$B$9)*NORMSDIST(((LN(Assumptions!$B$2/$B6)+(Assumptions!$B$3-Assumptions!$B$4+(AD$3/100)^2/2)*Assumptions!$B$9)/((AD$3/100)*Assumptions!$B$10)))-$B6*EXP(-Assumptions!$B$3*Assumptions!$B$9)*NORMSDIST((((LN(Assumptions!$B$2/$B6)+(Assumptions!$B$3-Assumptions!$B$4+(AD$3/100)^2/2)*Assumptions!$B$9)/((AD$3/100)*Assumptions!$B$10))-(AD$3/100)*Assumptions!$B$10)))))</f>
        <v/>
      </c>
      <c r="AE6" s="32">
        <f>IF((MAX(0,Assumptions!$B$2*EXP(-Assumptions!$B$4*Assumptions!$B$9)*NORMSDIST(((LN(Assumptions!$B$2/$B6)+(Assumptions!$B$3-Assumptions!$B$4+(AE$3/100)^2/2)*Assumptions!$B$9)/((AE$3/100)*Assumptions!$B$10)))-$B6*EXP(-Assumptions!$B$3*Assumptions!$B$9)*NORMSDIST((((LN(Assumptions!$B$2/$B6)+(Assumptions!$B$3-Assumptions!$B$4+(AE$3/100)^2/2)*Assumptions!$B$9)/((AE$3/100)*Assumptions!$B$10))-(AE$3/100)*Assumptions!$B$10))))&lt;=0,"",(Assumptions!$B$2*EXP(-Assumptions!$B$4*Assumptions!$B$9)*NORMDIST(((LN(Assumptions!$B$2/$B6)+(Assumptions!$B$3-Assumptions!$B$4+(AE$3/100)^2/2)*Assumptions!$B$9)/((AE$3/100)*Assumptions!$B$10)),0,1,FALSE)*Assumptions!$B$10*0.01)*((AE$3/100)/0.01)/(MAX(0,Assumptions!$B$2*EXP(-Assumptions!$B$4*Assumptions!$B$9)*NORMSDIST(((LN(Assumptions!$B$2/$B6)+(Assumptions!$B$3-Assumptions!$B$4+(AE$3/100)^2/2)*Assumptions!$B$9)/((AE$3/100)*Assumptions!$B$10)))-$B6*EXP(-Assumptions!$B$3*Assumptions!$B$9)*NORMSDIST((((LN(Assumptions!$B$2/$B6)+(Assumptions!$B$3-Assumptions!$B$4+(AE$3/100)^2/2)*Assumptions!$B$9)/((AE$3/100)*Assumptions!$B$10))-(AE$3/100)*Assumptions!$B$10)))))</f>
        <v/>
      </c>
      <c r="AF6" s="32">
        <f>IF((MAX(0,Assumptions!$B$2*EXP(-Assumptions!$B$4*Assumptions!$B$9)*NORMSDIST(((LN(Assumptions!$B$2/$B6)+(Assumptions!$B$3-Assumptions!$B$4+(AF$3/100)^2/2)*Assumptions!$B$9)/((AF$3/100)*Assumptions!$B$10)))-$B6*EXP(-Assumptions!$B$3*Assumptions!$B$9)*NORMSDIST((((LN(Assumptions!$B$2/$B6)+(Assumptions!$B$3-Assumptions!$B$4+(AF$3/100)^2/2)*Assumptions!$B$9)/((AF$3/100)*Assumptions!$B$10))-(AF$3/100)*Assumptions!$B$10))))&lt;=0,"",(Assumptions!$B$2*EXP(-Assumptions!$B$4*Assumptions!$B$9)*NORMDIST(((LN(Assumptions!$B$2/$B6)+(Assumptions!$B$3-Assumptions!$B$4+(AF$3/100)^2/2)*Assumptions!$B$9)/((AF$3/100)*Assumptions!$B$10)),0,1,FALSE)*Assumptions!$B$10*0.01)*((AF$3/100)/0.01)/(MAX(0,Assumptions!$B$2*EXP(-Assumptions!$B$4*Assumptions!$B$9)*NORMSDIST(((LN(Assumptions!$B$2/$B6)+(Assumptions!$B$3-Assumptions!$B$4+(AF$3/100)^2/2)*Assumptions!$B$9)/((AF$3/100)*Assumptions!$B$10)))-$B6*EXP(-Assumptions!$B$3*Assumptions!$B$9)*NORMSDIST((((LN(Assumptions!$B$2/$B6)+(Assumptions!$B$3-Assumptions!$B$4+(AF$3/100)^2/2)*Assumptions!$B$9)/((AF$3/100)*Assumptions!$B$10))-(AF$3/100)*Assumptions!$B$10)))))</f>
        <v/>
      </c>
      <c r="AG6" s="32">
        <f>IF((MAX(0,Assumptions!$B$2*EXP(-Assumptions!$B$4*Assumptions!$B$9)*NORMSDIST(((LN(Assumptions!$B$2/$B6)+(Assumptions!$B$3-Assumptions!$B$4+(AG$3/100)^2/2)*Assumptions!$B$9)/((AG$3/100)*Assumptions!$B$10)))-$B6*EXP(-Assumptions!$B$3*Assumptions!$B$9)*NORMSDIST((((LN(Assumptions!$B$2/$B6)+(Assumptions!$B$3-Assumptions!$B$4+(AG$3/100)^2/2)*Assumptions!$B$9)/((AG$3/100)*Assumptions!$B$10))-(AG$3/100)*Assumptions!$B$10))))&lt;=0,"",(Assumptions!$B$2*EXP(-Assumptions!$B$4*Assumptions!$B$9)*NORMDIST(((LN(Assumptions!$B$2/$B6)+(Assumptions!$B$3-Assumptions!$B$4+(AG$3/100)^2/2)*Assumptions!$B$9)/((AG$3/100)*Assumptions!$B$10)),0,1,FALSE)*Assumptions!$B$10*0.01)*((AG$3/100)/0.01)/(MAX(0,Assumptions!$B$2*EXP(-Assumptions!$B$4*Assumptions!$B$9)*NORMSDIST(((LN(Assumptions!$B$2/$B6)+(Assumptions!$B$3-Assumptions!$B$4+(AG$3/100)^2/2)*Assumptions!$B$9)/((AG$3/100)*Assumptions!$B$10)))-$B6*EXP(-Assumptions!$B$3*Assumptions!$B$9)*NORMSDIST((((LN(Assumptions!$B$2/$B6)+(Assumptions!$B$3-Assumptions!$B$4+(AG$3/100)^2/2)*Assumptions!$B$9)/((AG$3/100)*Assumptions!$B$10))-(AG$3/100)*Assumptions!$B$10)))))</f>
        <v/>
      </c>
      <c r="AH6" s="32">
        <f>IF((MAX(0,Assumptions!$B$2*EXP(-Assumptions!$B$4*Assumptions!$B$9)*NORMSDIST(((LN(Assumptions!$B$2/$B6)+(Assumptions!$B$3-Assumptions!$B$4+(AH$3/100)^2/2)*Assumptions!$B$9)/((AH$3/100)*Assumptions!$B$10)))-$B6*EXP(-Assumptions!$B$3*Assumptions!$B$9)*NORMSDIST((((LN(Assumptions!$B$2/$B6)+(Assumptions!$B$3-Assumptions!$B$4+(AH$3/100)^2/2)*Assumptions!$B$9)/((AH$3/100)*Assumptions!$B$10))-(AH$3/100)*Assumptions!$B$10))))&lt;=0,"",(Assumptions!$B$2*EXP(-Assumptions!$B$4*Assumptions!$B$9)*NORMDIST(((LN(Assumptions!$B$2/$B6)+(Assumptions!$B$3-Assumptions!$B$4+(AH$3/100)^2/2)*Assumptions!$B$9)/((AH$3/100)*Assumptions!$B$10)),0,1,FALSE)*Assumptions!$B$10*0.01)*((AH$3/100)/0.01)/(MAX(0,Assumptions!$B$2*EXP(-Assumptions!$B$4*Assumptions!$B$9)*NORMSDIST(((LN(Assumptions!$B$2/$B6)+(Assumptions!$B$3-Assumptions!$B$4+(AH$3/100)^2/2)*Assumptions!$B$9)/((AH$3/100)*Assumptions!$B$10)))-$B6*EXP(-Assumptions!$B$3*Assumptions!$B$9)*NORMSDIST((((LN(Assumptions!$B$2/$B6)+(Assumptions!$B$3-Assumptions!$B$4+(AH$3/100)^2/2)*Assumptions!$B$9)/((AH$3/100)*Assumptions!$B$10))-(AH$3/100)*Assumptions!$B$10)))))</f>
        <v/>
      </c>
      <c r="AI6" s="32">
        <f>IF((MAX(0,Assumptions!$B$2*EXP(-Assumptions!$B$4*Assumptions!$B$9)*NORMSDIST(((LN(Assumptions!$B$2/$B6)+(Assumptions!$B$3-Assumptions!$B$4+(AI$3/100)^2/2)*Assumptions!$B$9)/((AI$3/100)*Assumptions!$B$10)))-$B6*EXP(-Assumptions!$B$3*Assumptions!$B$9)*NORMSDIST((((LN(Assumptions!$B$2/$B6)+(Assumptions!$B$3-Assumptions!$B$4+(AI$3/100)^2/2)*Assumptions!$B$9)/((AI$3/100)*Assumptions!$B$10))-(AI$3/100)*Assumptions!$B$10))))&lt;=0,"",(Assumptions!$B$2*EXP(-Assumptions!$B$4*Assumptions!$B$9)*NORMDIST(((LN(Assumptions!$B$2/$B6)+(Assumptions!$B$3-Assumptions!$B$4+(AI$3/100)^2/2)*Assumptions!$B$9)/((AI$3/100)*Assumptions!$B$10)),0,1,FALSE)*Assumptions!$B$10*0.01)*((AI$3/100)/0.01)/(MAX(0,Assumptions!$B$2*EXP(-Assumptions!$B$4*Assumptions!$B$9)*NORMSDIST(((LN(Assumptions!$B$2/$B6)+(Assumptions!$B$3-Assumptions!$B$4+(AI$3/100)^2/2)*Assumptions!$B$9)/((AI$3/100)*Assumptions!$B$10)))-$B6*EXP(-Assumptions!$B$3*Assumptions!$B$9)*NORMSDIST((((LN(Assumptions!$B$2/$B6)+(Assumptions!$B$3-Assumptions!$B$4+(AI$3/100)^2/2)*Assumptions!$B$9)/((AI$3/100)*Assumptions!$B$10))-(AI$3/100)*Assumptions!$B$10)))))</f>
        <v/>
      </c>
      <c r="AJ6" s="32">
        <f>IF((MAX(0,Assumptions!$B$2*EXP(-Assumptions!$B$4*Assumptions!$B$9)*NORMSDIST(((LN(Assumptions!$B$2/$B6)+(Assumptions!$B$3-Assumptions!$B$4+(AJ$3/100)^2/2)*Assumptions!$B$9)/((AJ$3/100)*Assumptions!$B$10)))-$B6*EXP(-Assumptions!$B$3*Assumptions!$B$9)*NORMSDIST((((LN(Assumptions!$B$2/$B6)+(Assumptions!$B$3-Assumptions!$B$4+(AJ$3/100)^2/2)*Assumptions!$B$9)/((AJ$3/100)*Assumptions!$B$10))-(AJ$3/100)*Assumptions!$B$10))))&lt;=0,"",(Assumptions!$B$2*EXP(-Assumptions!$B$4*Assumptions!$B$9)*NORMDIST(((LN(Assumptions!$B$2/$B6)+(Assumptions!$B$3-Assumptions!$B$4+(AJ$3/100)^2/2)*Assumptions!$B$9)/((AJ$3/100)*Assumptions!$B$10)),0,1,FALSE)*Assumptions!$B$10*0.01)*((AJ$3/100)/0.01)/(MAX(0,Assumptions!$B$2*EXP(-Assumptions!$B$4*Assumptions!$B$9)*NORMSDIST(((LN(Assumptions!$B$2/$B6)+(Assumptions!$B$3-Assumptions!$B$4+(AJ$3/100)^2/2)*Assumptions!$B$9)/((AJ$3/100)*Assumptions!$B$10)))-$B6*EXP(-Assumptions!$B$3*Assumptions!$B$9)*NORMSDIST((((LN(Assumptions!$B$2/$B6)+(Assumptions!$B$3-Assumptions!$B$4+(AJ$3/100)^2/2)*Assumptions!$B$9)/((AJ$3/100)*Assumptions!$B$10))-(AJ$3/100)*Assumptions!$B$10)))))</f>
        <v/>
      </c>
      <c r="AK6" s="32">
        <f>IF((MAX(0,Assumptions!$B$2*EXP(-Assumptions!$B$4*Assumptions!$B$9)*NORMSDIST(((LN(Assumptions!$B$2/$B6)+(Assumptions!$B$3-Assumptions!$B$4+(AK$3/100)^2/2)*Assumptions!$B$9)/((AK$3/100)*Assumptions!$B$10)))-$B6*EXP(-Assumptions!$B$3*Assumptions!$B$9)*NORMSDIST((((LN(Assumptions!$B$2/$B6)+(Assumptions!$B$3-Assumptions!$B$4+(AK$3/100)^2/2)*Assumptions!$B$9)/((AK$3/100)*Assumptions!$B$10))-(AK$3/100)*Assumptions!$B$10))))&lt;=0,"",(Assumptions!$B$2*EXP(-Assumptions!$B$4*Assumptions!$B$9)*NORMDIST(((LN(Assumptions!$B$2/$B6)+(Assumptions!$B$3-Assumptions!$B$4+(AK$3/100)^2/2)*Assumptions!$B$9)/((AK$3/100)*Assumptions!$B$10)),0,1,FALSE)*Assumptions!$B$10*0.01)*((AK$3/100)/0.01)/(MAX(0,Assumptions!$B$2*EXP(-Assumptions!$B$4*Assumptions!$B$9)*NORMSDIST(((LN(Assumptions!$B$2/$B6)+(Assumptions!$B$3-Assumptions!$B$4+(AK$3/100)^2/2)*Assumptions!$B$9)/((AK$3/100)*Assumptions!$B$10)))-$B6*EXP(-Assumptions!$B$3*Assumptions!$B$9)*NORMSDIST((((LN(Assumptions!$B$2/$B6)+(Assumptions!$B$3-Assumptions!$B$4+(AK$3/100)^2/2)*Assumptions!$B$9)/((AK$3/100)*Assumptions!$B$10))-(AK$3/100)*Assumptions!$B$10)))))</f>
        <v/>
      </c>
      <c r="AL6" s="32">
        <f>IF((MAX(0,Assumptions!$B$2*EXP(-Assumptions!$B$4*Assumptions!$B$9)*NORMSDIST(((LN(Assumptions!$B$2/$B6)+(Assumptions!$B$3-Assumptions!$B$4+(AL$3/100)^2/2)*Assumptions!$B$9)/((AL$3/100)*Assumptions!$B$10)))-$B6*EXP(-Assumptions!$B$3*Assumptions!$B$9)*NORMSDIST((((LN(Assumptions!$B$2/$B6)+(Assumptions!$B$3-Assumptions!$B$4+(AL$3/100)^2/2)*Assumptions!$B$9)/((AL$3/100)*Assumptions!$B$10))-(AL$3/100)*Assumptions!$B$10))))&lt;=0,"",(Assumptions!$B$2*EXP(-Assumptions!$B$4*Assumptions!$B$9)*NORMDIST(((LN(Assumptions!$B$2/$B6)+(Assumptions!$B$3-Assumptions!$B$4+(AL$3/100)^2/2)*Assumptions!$B$9)/((AL$3/100)*Assumptions!$B$10)),0,1,FALSE)*Assumptions!$B$10*0.01)*((AL$3/100)/0.01)/(MAX(0,Assumptions!$B$2*EXP(-Assumptions!$B$4*Assumptions!$B$9)*NORMSDIST(((LN(Assumptions!$B$2/$B6)+(Assumptions!$B$3-Assumptions!$B$4+(AL$3/100)^2/2)*Assumptions!$B$9)/((AL$3/100)*Assumptions!$B$10)))-$B6*EXP(-Assumptions!$B$3*Assumptions!$B$9)*NORMSDIST((((LN(Assumptions!$B$2/$B6)+(Assumptions!$B$3-Assumptions!$B$4+(AL$3/100)^2/2)*Assumptions!$B$9)/((AL$3/100)*Assumptions!$B$10))-(AL$3/100)*Assumptions!$B$10)))))</f>
        <v/>
      </c>
      <c r="AM6" s="32">
        <f>IF((MAX(0,Assumptions!$B$2*EXP(-Assumptions!$B$4*Assumptions!$B$9)*NORMSDIST(((LN(Assumptions!$B$2/$B6)+(Assumptions!$B$3-Assumptions!$B$4+(AM$3/100)^2/2)*Assumptions!$B$9)/((AM$3/100)*Assumptions!$B$10)))-$B6*EXP(-Assumptions!$B$3*Assumptions!$B$9)*NORMSDIST((((LN(Assumptions!$B$2/$B6)+(Assumptions!$B$3-Assumptions!$B$4+(AM$3/100)^2/2)*Assumptions!$B$9)/((AM$3/100)*Assumptions!$B$10))-(AM$3/100)*Assumptions!$B$10))))&lt;=0,"",(Assumptions!$B$2*EXP(-Assumptions!$B$4*Assumptions!$B$9)*NORMDIST(((LN(Assumptions!$B$2/$B6)+(Assumptions!$B$3-Assumptions!$B$4+(AM$3/100)^2/2)*Assumptions!$B$9)/((AM$3/100)*Assumptions!$B$10)),0,1,FALSE)*Assumptions!$B$10*0.01)*((AM$3/100)/0.01)/(MAX(0,Assumptions!$B$2*EXP(-Assumptions!$B$4*Assumptions!$B$9)*NORMSDIST(((LN(Assumptions!$B$2/$B6)+(Assumptions!$B$3-Assumptions!$B$4+(AM$3/100)^2/2)*Assumptions!$B$9)/((AM$3/100)*Assumptions!$B$10)))-$B6*EXP(-Assumptions!$B$3*Assumptions!$B$9)*NORMSDIST((((LN(Assumptions!$B$2/$B6)+(Assumptions!$B$3-Assumptions!$B$4+(AM$3/100)^2/2)*Assumptions!$B$9)/((AM$3/100)*Assumptions!$B$10))-(AM$3/100)*Assumptions!$B$10)))))</f>
        <v/>
      </c>
      <c r="AN6" s="32">
        <f>IF((MAX(0,Assumptions!$B$2*EXP(-Assumptions!$B$4*Assumptions!$B$9)*NORMSDIST(((LN(Assumptions!$B$2/$B6)+(Assumptions!$B$3-Assumptions!$B$4+(AN$3/100)^2/2)*Assumptions!$B$9)/((AN$3/100)*Assumptions!$B$10)))-$B6*EXP(-Assumptions!$B$3*Assumptions!$B$9)*NORMSDIST((((LN(Assumptions!$B$2/$B6)+(Assumptions!$B$3-Assumptions!$B$4+(AN$3/100)^2/2)*Assumptions!$B$9)/((AN$3/100)*Assumptions!$B$10))-(AN$3/100)*Assumptions!$B$10))))&lt;=0,"",(Assumptions!$B$2*EXP(-Assumptions!$B$4*Assumptions!$B$9)*NORMDIST(((LN(Assumptions!$B$2/$B6)+(Assumptions!$B$3-Assumptions!$B$4+(AN$3/100)^2/2)*Assumptions!$B$9)/((AN$3/100)*Assumptions!$B$10)),0,1,FALSE)*Assumptions!$B$10*0.01)*((AN$3/100)/0.01)/(MAX(0,Assumptions!$B$2*EXP(-Assumptions!$B$4*Assumptions!$B$9)*NORMSDIST(((LN(Assumptions!$B$2/$B6)+(Assumptions!$B$3-Assumptions!$B$4+(AN$3/100)^2/2)*Assumptions!$B$9)/((AN$3/100)*Assumptions!$B$10)))-$B6*EXP(-Assumptions!$B$3*Assumptions!$B$9)*NORMSDIST((((LN(Assumptions!$B$2/$B6)+(Assumptions!$B$3-Assumptions!$B$4+(AN$3/100)^2/2)*Assumptions!$B$9)/((AN$3/100)*Assumptions!$B$10))-(AN$3/100)*Assumptions!$B$10)))))</f>
        <v/>
      </c>
      <c r="AO6" s="32">
        <f>IF((MAX(0,Assumptions!$B$2*EXP(-Assumptions!$B$4*Assumptions!$B$9)*NORMSDIST(((LN(Assumptions!$B$2/$B6)+(Assumptions!$B$3-Assumptions!$B$4+(AO$3/100)^2/2)*Assumptions!$B$9)/((AO$3/100)*Assumptions!$B$10)))-$B6*EXP(-Assumptions!$B$3*Assumptions!$B$9)*NORMSDIST((((LN(Assumptions!$B$2/$B6)+(Assumptions!$B$3-Assumptions!$B$4+(AO$3/100)^2/2)*Assumptions!$B$9)/((AO$3/100)*Assumptions!$B$10))-(AO$3/100)*Assumptions!$B$10))))&lt;=0,"",(Assumptions!$B$2*EXP(-Assumptions!$B$4*Assumptions!$B$9)*NORMDIST(((LN(Assumptions!$B$2/$B6)+(Assumptions!$B$3-Assumptions!$B$4+(AO$3/100)^2/2)*Assumptions!$B$9)/((AO$3/100)*Assumptions!$B$10)),0,1,FALSE)*Assumptions!$B$10*0.01)*((AO$3/100)/0.01)/(MAX(0,Assumptions!$B$2*EXP(-Assumptions!$B$4*Assumptions!$B$9)*NORMSDIST(((LN(Assumptions!$B$2/$B6)+(Assumptions!$B$3-Assumptions!$B$4+(AO$3/100)^2/2)*Assumptions!$B$9)/((AO$3/100)*Assumptions!$B$10)))-$B6*EXP(-Assumptions!$B$3*Assumptions!$B$9)*NORMSDIST((((LN(Assumptions!$B$2/$B6)+(Assumptions!$B$3-Assumptions!$B$4+(AO$3/100)^2/2)*Assumptions!$B$9)/((AO$3/100)*Assumptions!$B$10))-(AO$3/100)*Assumptions!$B$10)))))</f>
        <v/>
      </c>
      <c r="AP6" s="32">
        <f>IF((MAX(0,Assumptions!$B$2*EXP(-Assumptions!$B$4*Assumptions!$B$9)*NORMSDIST(((LN(Assumptions!$B$2/$B6)+(Assumptions!$B$3-Assumptions!$B$4+(AP$3/100)^2/2)*Assumptions!$B$9)/((AP$3/100)*Assumptions!$B$10)))-$B6*EXP(-Assumptions!$B$3*Assumptions!$B$9)*NORMSDIST((((LN(Assumptions!$B$2/$B6)+(Assumptions!$B$3-Assumptions!$B$4+(AP$3/100)^2/2)*Assumptions!$B$9)/((AP$3/100)*Assumptions!$B$10))-(AP$3/100)*Assumptions!$B$10))))&lt;=0,"",(Assumptions!$B$2*EXP(-Assumptions!$B$4*Assumptions!$B$9)*NORMDIST(((LN(Assumptions!$B$2/$B6)+(Assumptions!$B$3-Assumptions!$B$4+(AP$3/100)^2/2)*Assumptions!$B$9)/((AP$3/100)*Assumptions!$B$10)),0,1,FALSE)*Assumptions!$B$10*0.01)*((AP$3/100)/0.01)/(MAX(0,Assumptions!$B$2*EXP(-Assumptions!$B$4*Assumptions!$B$9)*NORMSDIST(((LN(Assumptions!$B$2/$B6)+(Assumptions!$B$3-Assumptions!$B$4+(AP$3/100)^2/2)*Assumptions!$B$9)/((AP$3/100)*Assumptions!$B$10)))-$B6*EXP(-Assumptions!$B$3*Assumptions!$B$9)*NORMSDIST((((LN(Assumptions!$B$2/$B6)+(Assumptions!$B$3-Assumptions!$B$4+(AP$3/100)^2/2)*Assumptions!$B$9)/((AP$3/100)*Assumptions!$B$10))-(AP$3/100)*Assumptions!$B$10)))))</f>
        <v/>
      </c>
      <c r="AQ6" s="32">
        <f>IF((MAX(0,Assumptions!$B$2*EXP(-Assumptions!$B$4*Assumptions!$B$9)*NORMSDIST(((LN(Assumptions!$B$2/$B6)+(Assumptions!$B$3-Assumptions!$B$4+(AQ$3/100)^2/2)*Assumptions!$B$9)/((AQ$3/100)*Assumptions!$B$10)))-$B6*EXP(-Assumptions!$B$3*Assumptions!$B$9)*NORMSDIST((((LN(Assumptions!$B$2/$B6)+(Assumptions!$B$3-Assumptions!$B$4+(AQ$3/100)^2/2)*Assumptions!$B$9)/((AQ$3/100)*Assumptions!$B$10))-(AQ$3/100)*Assumptions!$B$10))))&lt;=0,"",(Assumptions!$B$2*EXP(-Assumptions!$B$4*Assumptions!$B$9)*NORMDIST(((LN(Assumptions!$B$2/$B6)+(Assumptions!$B$3-Assumptions!$B$4+(AQ$3/100)^2/2)*Assumptions!$B$9)/((AQ$3/100)*Assumptions!$B$10)),0,1,FALSE)*Assumptions!$B$10*0.01)*((AQ$3/100)/0.01)/(MAX(0,Assumptions!$B$2*EXP(-Assumptions!$B$4*Assumptions!$B$9)*NORMSDIST(((LN(Assumptions!$B$2/$B6)+(Assumptions!$B$3-Assumptions!$B$4+(AQ$3/100)^2/2)*Assumptions!$B$9)/((AQ$3/100)*Assumptions!$B$10)))-$B6*EXP(-Assumptions!$B$3*Assumptions!$B$9)*NORMSDIST((((LN(Assumptions!$B$2/$B6)+(Assumptions!$B$3-Assumptions!$B$4+(AQ$3/100)^2/2)*Assumptions!$B$9)/((AQ$3/100)*Assumptions!$B$10))-(AQ$3/100)*Assumptions!$B$10)))))</f>
        <v/>
      </c>
      <c r="AR6" s="32">
        <f>IF((MAX(0,Assumptions!$B$2*EXP(-Assumptions!$B$4*Assumptions!$B$9)*NORMSDIST(((LN(Assumptions!$B$2/$B6)+(Assumptions!$B$3-Assumptions!$B$4+(AR$3/100)^2/2)*Assumptions!$B$9)/((AR$3/100)*Assumptions!$B$10)))-$B6*EXP(-Assumptions!$B$3*Assumptions!$B$9)*NORMSDIST((((LN(Assumptions!$B$2/$B6)+(Assumptions!$B$3-Assumptions!$B$4+(AR$3/100)^2/2)*Assumptions!$B$9)/((AR$3/100)*Assumptions!$B$10))-(AR$3/100)*Assumptions!$B$10))))&lt;=0,"",(Assumptions!$B$2*EXP(-Assumptions!$B$4*Assumptions!$B$9)*NORMDIST(((LN(Assumptions!$B$2/$B6)+(Assumptions!$B$3-Assumptions!$B$4+(AR$3/100)^2/2)*Assumptions!$B$9)/((AR$3/100)*Assumptions!$B$10)),0,1,FALSE)*Assumptions!$B$10*0.01)*((AR$3/100)/0.01)/(MAX(0,Assumptions!$B$2*EXP(-Assumptions!$B$4*Assumptions!$B$9)*NORMSDIST(((LN(Assumptions!$B$2/$B6)+(Assumptions!$B$3-Assumptions!$B$4+(AR$3/100)^2/2)*Assumptions!$B$9)/((AR$3/100)*Assumptions!$B$10)))-$B6*EXP(-Assumptions!$B$3*Assumptions!$B$9)*NORMSDIST((((LN(Assumptions!$B$2/$B6)+(Assumptions!$B$3-Assumptions!$B$4+(AR$3/100)^2/2)*Assumptions!$B$9)/((AR$3/100)*Assumptions!$B$10))-(AR$3/100)*Assumptions!$B$10)))))</f>
        <v/>
      </c>
      <c r="AS6" s="32">
        <f>IF((MAX(0,Assumptions!$B$2*EXP(-Assumptions!$B$4*Assumptions!$B$9)*NORMSDIST(((LN(Assumptions!$B$2/$B6)+(Assumptions!$B$3-Assumptions!$B$4+(AS$3/100)^2/2)*Assumptions!$B$9)/((AS$3/100)*Assumptions!$B$10)))-$B6*EXP(-Assumptions!$B$3*Assumptions!$B$9)*NORMSDIST((((LN(Assumptions!$B$2/$B6)+(Assumptions!$B$3-Assumptions!$B$4+(AS$3/100)^2/2)*Assumptions!$B$9)/((AS$3/100)*Assumptions!$B$10))-(AS$3/100)*Assumptions!$B$10))))&lt;=0,"",(Assumptions!$B$2*EXP(-Assumptions!$B$4*Assumptions!$B$9)*NORMDIST(((LN(Assumptions!$B$2/$B6)+(Assumptions!$B$3-Assumptions!$B$4+(AS$3/100)^2/2)*Assumptions!$B$9)/((AS$3/100)*Assumptions!$B$10)),0,1,FALSE)*Assumptions!$B$10*0.01)*((AS$3/100)/0.01)/(MAX(0,Assumptions!$B$2*EXP(-Assumptions!$B$4*Assumptions!$B$9)*NORMSDIST(((LN(Assumptions!$B$2/$B6)+(Assumptions!$B$3-Assumptions!$B$4+(AS$3/100)^2/2)*Assumptions!$B$9)/((AS$3/100)*Assumptions!$B$10)))-$B6*EXP(-Assumptions!$B$3*Assumptions!$B$9)*NORMSDIST((((LN(Assumptions!$B$2/$B6)+(Assumptions!$B$3-Assumptions!$B$4+(AS$3/100)^2/2)*Assumptions!$B$9)/((AS$3/100)*Assumptions!$B$10))-(AS$3/100)*Assumptions!$B$10)))))</f>
        <v/>
      </c>
      <c r="AT6" s="32">
        <f>IF((MAX(0,Assumptions!$B$2*EXP(-Assumptions!$B$4*Assumptions!$B$9)*NORMSDIST(((LN(Assumptions!$B$2/$B6)+(Assumptions!$B$3-Assumptions!$B$4+(AT$3/100)^2/2)*Assumptions!$B$9)/((AT$3/100)*Assumptions!$B$10)))-$B6*EXP(-Assumptions!$B$3*Assumptions!$B$9)*NORMSDIST((((LN(Assumptions!$B$2/$B6)+(Assumptions!$B$3-Assumptions!$B$4+(AT$3/100)^2/2)*Assumptions!$B$9)/((AT$3/100)*Assumptions!$B$10))-(AT$3/100)*Assumptions!$B$10))))&lt;=0,"",(Assumptions!$B$2*EXP(-Assumptions!$B$4*Assumptions!$B$9)*NORMDIST(((LN(Assumptions!$B$2/$B6)+(Assumptions!$B$3-Assumptions!$B$4+(AT$3/100)^2/2)*Assumptions!$B$9)/((AT$3/100)*Assumptions!$B$10)),0,1,FALSE)*Assumptions!$B$10*0.01)*((AT$3/100)/0.01)/(MAX(0,Assumptions!$B$2*EXP(-Assumptions!$B$4*Assumptions!$B$9)*NORMSDIST(((LN(Assumptions!$B$2/$B6)+(Assumptions!$B$3-Assumptions!$B$4+(AT$3/100)^2/2)*Assumptions!$B$9)/((AT$3/100)*Assumptions!$B$10)))-$B6*EXP(-Assumptions!$B$3*Assumptions!$B$9)*NORMSDIST((((LN(Assumptions!$B$2/$B6)+(Assumptions!$B$3-Assumptions!$B$4+(AT$3/100)^2/2)*Assumptions!$B$9)/((AT$3/100)*Assumptions!$B$10))-(AT$3/100)*Assumptions!$B$10)))))</f>
        <v/>
      </c>
      <c r="AU6" s="32">
        <f>IF((MAX(0,Assumptions!$B$2*EXP(-Assumptions!$B$4*Assumptions!$B$9)*NORMSDIST(((LN(Assumptions!$B$2/$B6)+(Assumptions!$B$3-Assumptions!$B$4+(AU$3/100)^2/2)*Assumptions!$B$9)/((AU$3/100)*Assumptions!$B$10)))-$B6*EXP(-Assumptions!$B$3*Assumptions!$B$9)*NORMSDIST((((LN(Assumptions!$B$2/$B6)+(Assumptions!$B$3-Assumptions!$B$4+(AU$3/100)^2/2)*Assumptions!$B$9)/((AU$3/100)*Assumptions!$B$10))-(AU$3/100)*Assumptions!$B$10))))&lt;=0,"",(Assumptions!$B$2*EXP(-Assumptions!$B$4*Assumptions!$B$9)*NORMDIST(((LN(Assumptions!$B$2/$B6)+(Assumptions!$B$3-Assumptions!$B$4+(AU$3/100)^2/2)*Assumptions!$B$9)/((AU$3/100)*Assumptions!$B$10)),0,1,FALSE)*Assumptions!$B$10*0.01)*((AU$3/100)/0.01)/(MAX(0,Assumptions!$B$2*EXP(-Assumptions!$B$4*Assumptions!$B$9)*NORMSDIST(((LN(Assumptions!$B$2/$B6)+(Assumptions!$B$3-Assumptions!$B$4+(AU$3/100)^2/2)*Assumptions!$B$9)/((AU$3/100)*Assumptions!$B$10)))-$B6*EXP(-Assumptions!$B$3*Assumptions!$B$9)*NORMSDIST((((LN(Assumptions!$B$2/$B6)+(Assumptions!$B$3-Assumptions!$B$4+(AU$3/100)^2/2)*Assumptions!$B$9)/((AU$3/100)*Assumptions!$B$10))-(AU$3/100)*Assumptions!$B$10)))))</f>
        <v/>
      </c>
      <c r="AV6" s="32">
        <f>IF((MAX(0,Assumptions!$B$2*EXP(-Assumptions!$B$4*Assumptions!$B$9)*NORMSDIST(((LN(Assumptions!$B$2/$B6)+(Assumptions!$B$3-Assumptions!$B$4+(AV$3/100)^2/2)*Assumptions!$B$9)/((AV$3/100)*Assumptions!$B$10)))-$B6*EXP(-Assumptions!$B$3*Assumptions!$B$9)*NORMSDIST((((LN(Assumptions!$B$2/$B6)+(Assumptions!$B$3-Assumptions!$B$4+(AV$3/100)^2/2)*Assumptions!$B$9)/((AV$3/100)*Assumptions!$B$10))-(AV$3/100)*Assumptions!$B$10))))&lt;=0,"",(Assumptions!$B$2*EXP(-Assumptions!$B$4*Assumptions!$B$9)*NORMDIST(((LN(Assumptions!$B$2/$B6)+(Assumptions!$B$3-Assumptions!$B$4+(AV$3/100)^2/2)*Assumptions!$B$9)/((AV$3/100)*Assumptions!$B$10)),0,1,FALSE)*Assumptions!$B$10*0.01)*((AV$3/100)/0.01)/(MAX(0,Assumptions!$B$2*EXP(-Assumptions!$B$4*Assumptions!$B$9)*NORMSDIST(((LN(Assumptions!$B$2/$B6)+(Assumptions!$B$3-Assumptions!$B$4+(AV$3/100)^2/2)*Assumptions!$B$9)/((AV$3/100)*Assumptions!$B$10)))-$B6*EXP(-Assumptions!$B$3*Assumptions!$B$9)*NORMSDIST((((LN(Assumptions!$B$2/$B6)+(Assumptions!$B$3-Assumptions!$B$4+(AV$3/100)^2/2)*Assumptions!$B$9)/((AV$3/100)*Assumptions!$B$10))-(AV$3/100)*Assumptions!$B$10)))))</f>
        <v/>
      </c>
    </row>
    <row r="7">
      <c r="A7" s="27" t="inlineStr">
        <is>
          <t>-1.25%</t>
        </is>
      </c>
      <c r="B7" s="47">
        <f>'BS Engine'!$B$5</f>
        <v/>
      </c>
      <c r="C7" s="28">
        <f>'BS Engine'!$C$5</f>
        <v/>
      </c>
      <c r="D7" s="54">
        <f>IF((MAX(0,Assumptions!$B$2*EXP(-Assumptions!$B$4*Assumptions!$B$9)*NORMSDIST(((LN(Assumptions!$B$2/$B7)+(Assumptions!$B$3-Assumptions!$B$4+(D$3/100)^2/2)*Assumptions!$B$9)/((D$3/100)*Assumptions!$B$10)))-$B7*EXP(-Assumptions!$B$3*Assumptions!$B$9)*NORMSDIST((((LN(Assumptions!$B$2/$B7)+(Assumptions!$B$3-Assumptions!$B$4+(D$3/100)^2/2)*Assumptions!$B$9)/((D$3/100)*Assumptions!$B$10))-(D$3/100)*Assumptions!$B$10))))&lt;=0,"",(Assumptions!$B$2*EXP(-Assumptions!$B$4*Assumptions!$B$9)*NORMDIST(((LN(Assumptions!$B$2/$B7)+(Assumptions!$B$3-Assumptions!$B$4+(D$3/100)^2/2)*Assumptions!$B$9)/((D$3/100)*Assumptions!$B$10)),0,1,FALSE)*Assumptions!$B$10*0.01)*((D$3/100)/0.01)/(MAX(0,Assumptions!$B$2*EXP(-Assumptions!$B$4*Assumptions!$B$9)*NORMSDIST(((LN(Assumptions!$B$2/$B7)+(Assumptions!$B$3-Assumptions!$B$4+(D$3/100)^2/2)*Assumptions!$B$9)/((D$3/100)*Assumptions!$B$10)))-$B7*EXP(-Assumptions!$B$3*Assumptions!$B$9)*NORMSDIST((((LN(Assumptions!$B$2/$B7)+(Assumptions!$B$3-Assumptions!$B$4+(D$3/100)^2/2)*Assumptions!$B$9)/((D$3/100)*Assumptions!$B$10))-(D$3/100)*Assumptions!$B$10)))))</f>
        <v/>
      </c>
      <c r="E7" s="32">
        <f>IF((MAX(0,Assumptions!$B$2*EXP(-Assumptions!$B$4*Assumptions!$B$9)*NORMSDIST(((LN(Assumptions!$B$2/$B7)+(Assumptions!$B$3-Assumptions!$B$4+(E$3/100)^2/2)*Assumptions!$B$9)/((E$3/100)*Assumptions!$B$10)))-$B7*EXP(-Assumptions!$B$3*Assumptions!$B$9)*NORMSDIST((((LN(Assumptions!$B$2/$B7)+(Assumptions!$B$3-Assumptions!$B$4+(E$3/100)^2/2)*Assumptions!$B$9)/((E$3/100)*Assumptions!$B$10))-(E$3/100)*Assumptions!$B$10))))&lt;=0,"",(Assumptions!$B$2*EXP(-Assumptions!$B$4*Assumptions!$B$9)*NORMDIST(((LN(Assumptions!$B$2/$B7)+(Assumptions!$B$3-Assumptions!$B$4+(E$3/100)^2/2)*Assumptions!$B$9)/((E$3/100)*Assumptions!$B$10)),0,1,FALSE)*Assumptions!$B$10*0.01)*((E$3/100)/0.01)/(MAX(0,Assumptions!$B$2*EXP(-Assumptions!$B$4*Assumptions!$B$9)*NORMSDIST(((LN(Assumptions!$B$2/$B7)+(Assumptions!$B$3-Assumptions!$B$4+(E$3/100)^2/2)*Assumptions!$B$9)/((E$3/100)*Assumptions!$B$10)))-$B7*EXP(-Assumptions!$B$3*Assumptions!$B$9)*NORMSDIST((((LN(Assumptions!$B$2/$B7)+(Assumptions!$B$3-Assumptions!$B$4+(E$3/100)^2/2)*Assumptions!$B$9)/((E$3/100)*Assumptions!$B$10))-(E$3/100)*Assumptions!$B$10)))))</f>
        <v/>
      </c>
      <c r="F7" s="32">
        <f>IF((MAX(0,Assumptions!$B$2*EXP(-Assumptions!$B$4*Assumptions!$B$9)*NORMSDIST(((LN(Assumptions!$B$2/$B7)+(Assumptions!$B$3-Assumptions!$B$4+(F$3/100)^2/2)*Assumptions!$B$9)/((F$3/100)*Assumptions!$B$10)))-$B7*EXP(-Assumptions!$B$3*Assumptions!$B$9)*NORMSDIST((((LN(Assumptions!$B$2/$B7)+(Assumptions!$B$3-Assumptions!$B$4+(F$3/100)^2/2)*Assumptions!$B$9)/((F$3/100)*Assumptions!$B$10))-(F$3/100)*Assumptions!$B$10))))&lt;=0,"",(Assumptions!$B$2*EXP(-Assumptions!$B$4*Assumptions!$B$9)*NORMDIST(((LN(Assumptions!$B$2/$B7)+(Assumptions!$B$3-Assumptions!$B$4+(F$3/100)^2/2)*Assumptions!$B$9)/((F$3/100)*Assumptions!$B$10)),0,1,FALSE)*Assumptions!$B$10*0.01)*((F$3/100)/0.01)/(MAX(0,Assumptions!$B$2*EXP(-Assumptions!$B$4*Assumptions!$B$9)*NORMSDIST(((LN(Assumptions!$B$2/$B7)+(Assumptions!$B$3-Assumptions!$B$4+(F$3/100)^2/2)*Assumptions!$B$9)/((F$3/100)*Assumptions!$B$10)))-$B7*EXP(-Assumptions!$B$3*Assumptions!$B$9)*NORMSDIST((((LN(Assumptions!$B$2/$B7)+(Assumptions!$B$3-Assumptions!$B$4+(F$3/100)^2/2)*Assumptions!$B$9)/((F$3/100)*Assumptions!$B$10))-(F$3/100)*Assumptions!$B$10)))))</f>
        <v/>
      </c>
      <c r="G7" s="32">
        <f>IF((MAX(0,Assumptions!$B$2*EXP(-Assumptions!$B$4*Assumptions!$B$9)*NORMSDIST(((LN(Assumptions!$B$2/$B7)+(Assumptions!$B$3-Assumptions!$B$4+(G$3/100)^2/2)*Assumptions!$B$9)/((G$3/100)*Assumptions!$B$10)))-$B7*EXP(-Assumptions!$B$3*Assumptions!$B$9)*NORMSDIST((((LN(Assumptions!$B$2/$B7)+(Assumptions!$B$3-Assumptions!$B$4+(G$3/100)^2/2)*Assumptions!$B$9)/((G$3/100)*Assumptions!$B$10))-(G$3/100)*Assumptions!$B$10))))&lt;=0,"",(Assumptions!$B$2*EXP(-Assumptions!$B$4*Assumptions!$B$9)*NORMDIST(((LN(Assumptions!$B$2/$B7)+(Assumptions!$B$3-Assumptions!$B$4+(G$3/100)^2/2)*Assumptions!$B$9)/((G$3/100)*Assumptions!$B$10)),0,1,FALSE)*Assumptions!$B$10*0.01)*((G$3/100)/0.01)/(MAX(0,Assumptions!$B$2*EXP(-Assumptions!$B$4*Assumptions!$B$9)*NORMSDIST(((LN(Assumptions!$B$2/$B7)+(Assumptions!$B$3-Assumptions!$B$4+(G$3/100)^2/2)*Assumptions!$B$9)/((G$3/100)*Assumptions!$B$10)))-$B7*EXP(-Assumptions!$B$3*Assumptions!$B$9)*NORMSDIST((((LN(Assumptions!$B$2/$B7)+(Assumptions!$B$3-Assumptions!$B$4+(G$3/100)^2/2)*Assumptions!$B$9)/((G$3/100)*Assumptions!$B$10))-(G$3/100)*Assumptions!$B$10)))))</f>
        <v/>
      </c>
      <c r="H7" s="32">
        <f>IF((MAX(0,Assumptions!$B$2*EXP(-Assumptions!$B$4*Assumptions!$B$9)*NORMSDIST(((LN(Assumptions!$B$2/$B7)+(Assumptions!$B$3-Assumptions!$B$4+(H$3/100)^2/2)*Assumptions!$B$9)/((H$3/100)*Assumptions!$B$10)))-$B7*EXP(-Assumptions!$B$3*Assumptions!$B$9)*NORMSDIST((((LN(Assumptions!$B$2/$B7)+(Assumptions!$B$3-Assumptions!$B$4+(H$3/100)^2/2)*Assumptions!$B$9)/((H$3/100)*Assumptions!$B$10))-(H$3/100)*Assumptions!$B$10))))&lt;=0,"",(Assumptions!$B$2*EXP(-Assumptions!$B$4*Assumptions!$B$9)*NORMDIST(((LN(Assumptions!$B$2/$B7)+(Assumptions!$B$3-Assumptions!$B$4+(H$3/100)^2/2)*Assumptions!$B$9)/((H$3/100)*Assumptions!$B$10)),0,1,FALSE)*Assumptions!$B$10*0.01)*((H$3/100)/0.01)/(MAX(0,Assumptions!$B$2*EXP(-Assumptions!$B$4*Assumptions!$B$9)*NORMSDIST(((LN(Assumptions!$B$2/$B7)+(Assumptions!$B$3-Assumptions!$B$4+(H$3/100)^2/2)*Assumptions!$B$9)/((H$3/100)*Assumptions!$B$10)))-$B7*EXP(-Assumptions!$B$3*Assumptions!$B$9)*NORMSDIST((((LN(Assumptions!$B$2/$B7)+(Assumptions!$B$3-Assumptions!$B$4+(H$3/100)^2/2)*Assumptions!$B$9)/((H$3/100)*Assumptions!$B$10))-(H$3/100)*Assumptions!$B$10)))))</f>
        <v/>
      </c>
      <c r="I7" s="32">
        <f>IF((MAX(0,Assumptions!$B$2*EXP(-Assumptions!$B$4*Assumptions!$B$9)*NORMSDIST(((LN(Assumptions!$B$2/$B7)+(Assumptions!$B$3-Assumptions!$B$4+(I$3/100)^2/2)*Assumptions!$B$9)/((I$3/100)*Assumptions!$B$10)))-$B7*EXP(-Assumptions!$B$3*Assumptions!$B$9)*NORMSDIST((((LN(Assumptions!$B$2/$B7)+(Assumptions!$B$3-Assumptions!$B$4+(I$3/100)^2/2)*Assumptions!$B$9)/((I$3/100)*Assumptions!$B$10))-(I$3/100)*Assumptions!$B$10))))&lt;=0,"",(Assumptions!$B$2*EXP(-Assumptions!$B$4*Assumptions!$B$9)*NORMDIST(((LN(Assumptions!$B$2/$B7)+(Assumptions!$B$3-Assumptions!$B$4+(I$3/100)^2/2)*Assumptions!$B$9)/((I$3/100)*Assumptions!$B$10)),0,1,FALSE)*Assumptions!$B$10*0.01)*((I$3/100)/0.01)/(MAX(0,Assumptions!$B$2*EXP(-Assumptions!$B$4*Assumptions!$B$9)*NORMSDIST(((LN(Assumptions!$B$2/$B7)+(Assumptions!$B$3-Assumptions!$B$4+(I$3/100)^2/2)*Assumptions!$B$9)/((I$3/100)*Assumptions!$B$10)))-$B7*EXP(-Assumptions!$B$3*Assumptions!$B$9)*NORMSDIST((((LN(Assumptions!$B$2/$B7)+(Assumptions!$B$3-Assumptions!$B$4+(I$3/100)^2/2)*Assumptions!$B$9)/((I$3/100)*Assumptions!$B$10))-(I$3/100)*Assumptions!$B$10)))))</f>
        <v/>
      </c>
      <c r="J7" s="32">
        <f>IF((MAX(0,Assumptions!$B$2*EXP(-Assumptions!$B$4*Assumptions!$B$9)*NORMSDIST(((LN(Assumptions!$B$2/$B7)+(Assumptions!$B$3-Assumptions!$B$4+(J$3/100)^2/2)*Assumptions!$B$9)/((J$3/100)*Assumptions!$B$10)))-$B7*EXP(-Assumptions!$B$3*Assumptions!$B$9)*NORMSDIST((((LN(Assumptions!$B$2/$B7)+(Assumptions!$B$3-Assumptions!$B$4+(J$3/100)^2/2)*Assumptions!$B$9)/((J$3/100)*Assumptions!$B$10))-(J$3/100)*Assumptions!$B$10))))&lt;=0,"",(Assumptions!$B$2*EXP(-Assumptions!$B$4*Assumptions!$B$9)*NORMDIST(((LN(Assumptions!$B$2/$B7)+(Assumptions!$B$3-Assumptions!$B$4+(J$3/100)^2/2)*Assumptions!$B$9)/((J$3/100)*Assumptions!$B$10)),0,1,FALSE)*Assumptions!$B$10*0.01)*((J$3/100)/0.01)/(MAX(0,Assumptions!$B$2*EXP(-Assumptions!$B$4*Assumptions!$B$9)*NORMSDIST(((LN(Assumptions!$B$2/$B7)+(Assumptions!$B$3-Assumptions!$B$4+(J$3/100)^2/2)*Assumptions!$B$9)/((J$3/100)*Assumptions!$B$10)))-$B7*EXP(-Assumptions!$B$3*Assumptions!$B$9)*NORMSDIST((((LN(Assumptions!$B$2/$B7)+(Assumptions!$B$3-Assumptions!$B$4+(J$3/100)^2/2)*Assumptions!$B$9)/((J$3/100)*Assumptions!$B$10))-(J$3/100)*Assumptions!$B$10)))))</f>
        <v/>
      </c>
      <c r="K7" s="32">
        <f>IF((MAX(0,Assumptions!$B$2*EXP(-Assumptions!$B$4*Assumptions!$B$9)*NORMSDIST(((LN(Assumptions!$B$2/$B7)+(Assumptions!$B$3-Assumptions!$B$4+(K$3/100)^2/2)*Assumptions!$B$9)/((K$3/100)*Assumptions!$B$10)))-$B7*EXP(-Assumptions!$B$3*Assumptions!$B$9)*NORMSDIST((((LN(Assumptions!$B$2/$B7)+(Assumptions!$B$3-Assumptions!$B$4+(K$3/100)^2/2)*Assumptions!$B$9)/((K$3/100)*Assumptions!$B$10))-(K$3/100)*Assumptions!$B$10))))&lt;=0,"",(Assumptions!$B$2*EXP(-Assumptions!$B$4*Assumptions!$B$9)*NORMDIST(((LN(Assumptions!$B$2/$B7)+(Assumptions!$B$3-Assumptions!$B$4+(K$3/100)^2/2)*Assumptions!$B$9)/((K$3/100)*Assumptions!$B$10)),0,1,FALSE)*Assumptions!$B$10*0.01)*((K$3/100)/0.01)/(MAX(0,Assumptions!$B$2*EXP(-Assumptions!$B$4*Assumptions!$B$9)*NORMSDIST(((LN(Assumptions!$B$2/$B7)+(Assumptions!$B$3-Assumptions!$B$4+(K$3/100)^2/2)*Assumptions!$B$9)/((K$3/100)*Assumptions!$B$10)))-$B7*EXP(-Assumptions!$B$3*Assumptions!$B$9)*NORMSDIST((((LN(Assumptions!$B$2/$B7)+(Assumptions!$B$3-Assumptions!$B$4+(K$3/100)^2/2)*Assumptions!$B$9)/((K$3/100)*Assumptions!$B$10))-(K$3/100)*Assumptions!$B$10)))))</f>
        <v/>
      </c>
      <c r="L7" s="32">
        <f>IF((MAX(0,Assumptions!$B$2*EXP(-Assumptions!$B$4*Assumptions!$B$9)*NORMSDIST(((LN(Assumptions!$B$2/$B7)+(Assumptions!$B$3-Assumptions!$B$4+(L$3/100)^2/2)*Assumptions!$B$9)/((L$3/100)*Assumptions!$B$10)))-$B7*EXP(-Assumptions!$B$3*Assumptions!$B$9)*NORMSDIST((((LN(Assumptions!$B$2/$B7)+(Assumptions!$B$3-Assumptions!$B$4+(L$3/100)^2/2)*Assumptions!$B$9)/((L$3/100)*Assumptions!$B$10))-(L$3/100)*Assumptions!$B$10))))&lt;=0,"",(Assumptions!$B$2*EXP(-Assumptions!$B$4*Assumptions!$B$9)*NORMDIST(((LN(Assumptions!$B$2/$B7)+(Assumptions!$B$3-Assumptions!$B$4+(L$3/100)^2/2)*Assumptions!$B$9)/((L$3/100)*Assumptions!$B$10)),0,1,FALSE)*Assumptions!$B$10*0.01)*((L$3/100)/0.01)/(MAX(0,Assumptions!$B$2*EXP(-Assumptions!$B$4*Assumptions!$B$9)*NORMSDIST(((LN(Assumptions!$B$2/$B7)+(Assumptions!$B$3-Assumptions!$B$4+(L$3/100)^2/2)*Assumptions!$B$9)/((L$3/100)*Assumptions!$B$10)))-$B7*EXP(-Assumptions!$B$3*Assumptions!$B$9)*NORMSDIST((((LN(Assumptions!$B$2/$B7)+(Assumptions!$B$3-Assumptions!$B$4+(L$3/100)^2/2)*Assumptions!$B$9)/((L$3/100)*Assumptions!$B$10))-(L$3/100)*Assumptions!$B$10)))))</f>
        <v/>
      </c>
      <c r="M7" s="32">
        <f>IF((MAX(0,Assumptions!$B$2*EXP(-Assumptions!$B$4*Assumptions!$B$9)*NORMSDIST(((LN(Assumptions!$B$2/$B7)+(Assumptions!$B$3-Assumptions!$B$4+(M$3/100)^2/2)*Assumptions!$B$9)/((M$3/100)*Assumptions!$B$10)))-$B7*EXP(-Assumptions!$B$3*Assumptions!$B$9)*NORMSDIST((((LN(Assumptions!$B$2/$B7)+(Assumptions!$B$3-Assumptions!$B$4+(M$3/100)^2/2)*Assumptions!$B$9)/((M$3/100)*Assumptions!$B$10))-(M$3/100)*Assumptions!$B$10))))&lt;=0,"",(Assumptions!$B$2*EXP(-Assumptions!$B$4*Assumptions!$B$9)*NORMDIST(((LN(Assumptions!$B$2/$B7)+(Assumptions!$B$3-Assumptions!$B$4+(M$3/100)^2/2)*Assumptions!$B$9)/((M$3/100)*Assumptions!$B$10)),0,1,FALSE)*Assumptions!$B$10*0.01)*((M$3/100)/0.01)/(MAX(0,Assumptions!$B$2*EXP(-Assumptions!$B$4*Assumptions!$B$9)*NORMSDIST(((LN(Assumptions!$B$2/$B7)+(Assumptions!$B$3-Assumptions!$B$4+(M$3/100)^2/2)*Assumptions!$B$9)/((M$3/100)*Assumptions!$B$10)))-$B7*EXP(-Assumptions!$B$3*Assumptions!$B$9)*NORMSDIST((((LN(Assumptions!$B$2/$B7)+(Assumptions!$B$3-Assumptions!$B$4+(M$3/100)^2/2)*Assumptions!$B$9)/((M$3/100)*Assumptions!$B$10))-(M$3/100)*Assumptions!$B$10)))))</f>
        <v/>
      </c>
      <c r="N7" s="32">
        <f>IF((MAX(0,Assumptions!$B$2*EXP(-Assumptions!$B$4*Assumptions!$B$9)*NORMSDIST(((LN(Assumptions!$B$2/$B7)+(Assumptions!$B$3-Assumptions!$B$4+(N$3/100)^2/2)*Assumptions!$B$9)/((N$3/100)*Assumptions!$B$10)))-$B7*EXP(-Assumptions!$B$3*Assumptions!$B$9)*NORMSDIST((((LN(Assumptions!$B$2/$B7)+(Assumptions!$B$3-Assumptions!$B$4+(N$3/100)^2/2)*Assumptions!$B$9)/((N$3/100)*Assumptions!$B$10))-(N$3/100)*Assumptions!$B$10))))&lt;=0,"",(Assumptions!$B$2*EXP(-Assumptions!$B$4*Assumptions!$B$9)*NORMDIST(((LN(Assumptions!$B$2/$B7)+(Assumptions!$B$3-Assumptions!$B$4+(N$3/100)^2/2)*Assumptions!$B$9)/((N$3/100)*Assumptions!$B$10)),0,1,FALSE)*Assumptions!$B$10*0.01)*((N$3/100)/0.01)/(MAX(0,Assumptions!$B$2*EXP(-Assumptions!$B$4*Assumptions!$B$9)*NORMSDIST(((LN(Assumptions!$B$2/$B7)+(Assumptions!$B$3-Assumptions!$B$4+(N$3/100)^2/2)*Assumptions!$B$9)/((N$3/100)*Assumptions!$B$10)))-$B7*EXP(-Assumptions!$B$3*Assumptions!$B$9)*NORMSDIST((((LN(Assumptions!$B$2/$B7)+(Assumptions!$B$3-Assumptions!$B$4+(N$3/100)^2/2)*Assumptions!$B$9)/((N$3/100)*Assumptions!$B$10))-(N$3/100)*Assumptions!$B$10)))))</f>
        <v/>
      </c>
      <c r="O7" s="32">
        <f>IF((MAX(0,Assumptions!$B$2*EXP(-Assumptions!$B$4*Assumptions!$B$9)*NORMSDIST(((LN(Assumptions!$B$2/$B7)+(Assumptions!$B$3-Assumptions!$B$4+(O$3/100)^2/2)*Assumptions!$B$9)/((O$3/100)*Assumptions!$B$10)))-$B7*EXP(-Assumptions!$B$3*Assumptions!$B$9)*NORMSDIST((((LN(Assumptions!$B$2/$B7)+(Assumptions!$B$3-Assumptions!$B$4+(O$3/100)^2/2)*Assumptions!$B$9)/((O$3/100)*Assumptions!$B$10))-(O$3/100)*Assumptions!$B$10))))&lt;=0,"",(Assumptions!$B$2*EXP(-Assumptions!$B$4*Assumptions!$B$9)*NORMDIST(((LN(Assumptions!$B$2/$B7)+(Assumptions!$B$3-Assumptions!$B$4+(O$3/100)^2/2)*Assumptions!$B$9)/((O$3/100)*Assumptions!$B$10)),0,1,FALSE)*Assumptions!$B$10*0.01)*((O$3/100)/0.01)/(MAX(0,Assumptions!$B$2*EXP(-Assumptions!$B$4*Assumptions!$B$9)*NORMSDIST(((LN(Assumptions!$B$2/$B7)+(Assumptions!$B$3-Assumptions!$B$4+(O$3/100)^2/2)*Assumptions!$B$9)/((O$3/100)*Assumptions!$B$10)))-$B7*EXP(-Assumptions!$B$3*Assumptions!$B$9)*NORMSDIST((((LN(Assumptions!$B$2/$B7)+(Assumptions!$B$3-Assumptions!$B$4+(O$3/100)^2/2)*Assumptions!$B$9)/((O$3/100)*Assumptions!$B$10))-(O$3/100)*Assumptions!$B$10)))))</f>
        <v/>
      </c>
      <c r="P7" s="32">
        <f>IF((MAX(0,Assumptions!$B$2*EXP(-Assumptions!$B$4*Assumptions!$B$9)*NORMSDIST(((LN(Assumptions!$B$2/$B7)+(Assumptions!$B$3-Assumptions!$B$4+(P$3/100)^2/2)*Assumptions!$B$9)/((P$3/100)*Assumptions!$B$10)))-$B7*EXP(-Assumptions!$B$3*Assumptions!$B$9)*NORMSDIST((((LN(Assumptions!$B$2/$B7)+(Assumptions!$B$3-Assumptions!$B$4+(P$3/100)^2/2)*Assumptions!$B$9)/((P$3/100)*Assumptions!$B$10))-(P$3/100)*Assumptions!$B$10))))&lt;=0,"",(Assumptions!$B$2*EXP(-Assumptions!$B$4*Assumptions!$B$9)*NORMDIST(((LN(Assumptions!$B$2/$B7)+(Assumptions!$B$3-Assumptions!$B$4+(P$3/100)^2/2)*Assumptions!$B$9)/((P$3/100)*Assumptions!$B$10)),0,1,FALSE)*Assumptions!$B$10*0.01)*((P$3/100)/0.01)/(MAX(0,Assumptions!$B$2*EXP(-Assumptions!$B$4*Assumptions!$B$9)*NORMSDIST(((LN(Assumptions!$B$2/$B7)+(Assumptions!$B$3-Assumptions!$B$4+(P$3/100)^2/2)*Assumptions!$B$9)/((P$3/100)*Assumptions!$B$10)))-$B7*EXP(-Assumptions!$B$3*Assumptions!$B$9)*NORMSDIST((((LN(Assumptions!$B$2/$B7)+(Assumptions!$B$3-Assumptions!$B$4+(P$3/100)^2/2)*Assumptions!$B$9)/((P$3/100)*Assumptions!$B$10))-(P$3/100)*Assumptions!$B$10)))))</f>
        <v/>
      </c>
      <c r="Q7" s="32">
        <f>IF((MAX(0,Assumptions!$B$2*EXP(-Assumptions!$B$4*Assumptions!$B$9)*NORMSDIST(((LN(Assumptions!$B$2/$B7)+(Assumptions!$B$3-Assumptions!$B$4+(Q$3/100)^2/2)*Assumptions!$B$9)/((Q$3/100)*Assumptions!$B$10)))-$B7*EXP(-Assumptions!$B$3*Assumptions!$B$9)*NORMSDIST((((LN(Assumptions!$B$2/$B7)+(Assumptions!$B$3-Assumptions!$B$4+(Q$3/100)^2/2)*Assumptions!$B$9)/((Q$3/100)*Assumptions!$B$10))-(Q$3/100)*Assumptions!$B$10))))&lt;=0,"",(Assumptions!$B$2*EXP(-Assumptions!$B$4*Assumptions!$B$9)*NORMDIST(((LN(Assumptions!$B$2/$B7)+(Assumptions!$B$3-Assumptions!$B$4+(Q$3/100)^2/2)*Assumptions!$B$9)/((Q$3/100)*Assumptions!$B$10)),0,1,FALSE)*Assumptions!$B$10*0.01)*((Q$3/100)/0.01)/(MAX(0,Assumptions!$B$2*EXP(-Assumptions!$B$4*Assumptions!$B$9)*NORMSDIST(((LN(Assumptions!$B$2/$B7)+(Assumptions!$B$3-Assumptions!$B$4+(Q$3/100)^2/2)*Assumptions!$B$9)/((Q$3/100)*Assumptions!$B$10)))-$B7*EXP(-Assumptions!$B$3*Assumptions!$B$9)*NORMSDIST((((LN(Assumptions!$B$2/$B7)+(Assumptions!$B$3-Assumptions!$B$4+(Q$3/100)^2/2)*Assumptions!$B$9)/((Q$3/100)*Assumptions!$B$10))-(Q$3/100)*Assumptions!$B$10)))))</f>
        <v/>
      </c>
      <c r="R7" s="32">
        <f>IF((MAX(0,Assumptions!$B$2*EXP(-Assumptions!$B$4*Assumptions!$B$9)*NORMSDIST(((LN(Assumptions!$B$2/$B7)+(Assumptions!$B$3-Assumptions!$B$4+(R$3/100)^2/2)*Assumptions!$B$9)/((R$3/100)*Assumptions!$B$10)))-$B7*EXP(-Assumptions!$B$3*Assumptions!$B$9)*NORMSDIST((((LN(Assumptions!$B$2/$B7)+(Assumptions!$B$3-Assumptions!$B$4+(R$3/100)^2/2)*Assumptions!$B$9)/((R$3/100)*Assumptions!$B$10))-(R$3/100)*Assumptions!$B$10))))&lt;=0,"",(Assumptions!$B$2*EXP(-Assumptions!$B$4*Assumptions!$B$9)*NORMDIST(((LN(Assumptions!$B$2/$B7)+(Assumptions!$B$3-Assumptions!$B$4+(R$3/100)^2/2)*Assumptions!$B$9)/((R$3/100)*Assumptions!$B$10)),0,1,FALSE)*Assumptions!$B$10*0.01)*((R$3/100)/0.01)/(MAX(0,Assumptions!$B$2*EXP(-Assumptions!$B$4*Assumptions!$B$9)*NORMSDIST(((LN(Assumptions!$B$2/$B7)+(Assumptions!$B$3-Assumptions!$B$4+(R$3/100)^2/2)*Assumptions!$B$9)/((R$3/100)*Assumptions!$B$10)))-$B7*EXP(-Assumptions!$B$3*Assumptions!$B$9)*NORMSDIST((((LN(Assumptions!$B$2/$B7)+(Assumptions!$B$3-Assumptions!$B$4+(R$3/100)^2/2)*Assumptions!$B$9)/((R$3/100)*Assumptions!$B$10))-(R$3/100)*Assumptions!$B$10)))))</f>
        <v/>
      </c>
      <c r="S7" s="32">
        <f>IF((MAX(0,Assumptions!$B$2*EXP(-Assumptions!$B$4*Assumptions!$B$9)*NORMSDIST(((LN(Assumptions!$B$2/$B7)+(Assumptions!$B$3-Assumptions!$B$4+(S$3/100)^2/2)*Assumptions!$B$9)/((S$3/100)*Assumptions!$B$10)))-$B7*EXP(-Assumptions!$B$3*Assumptions!$B$9)*NORMSDIST((((LN(Assumptions!$B$2/$B7)+(Assumptions!$B$3-Assumptions!$B$4+(S$3/100)^2/2)*Assumptions!$B$9)/((S$3/100)*Assumptions!$B$10))-(S$3/100)*Assumptions!$B$10))))&lt;=0,"",(Assumptions!$B$2*EXP(-Assumptions!$B$4*Assumptions!$B$9)*NORMDIST(((LN(Assumptions!$B$2/$B7)+(Assumptions!$B$3-Assumptions!$B$4+(S$3/100)^2/2)*Assumptions!$B$9)/((S$3/100)*Assumptions!$B$10)),0,1,FALSE)*Assumptions!$B$10*0.01)*((S$3/100)/0.01)/(MAX(0,Assumptions!$B$2*EXP(-Assumptions!$B$4*Assumptions!$B$9)*NORMSDIST(((LN(Assumptions!$B$2/$B7)+(Assumptions!$B$3-Assumptions!$B$4+(S$3/100)^2/2)*Assumptions!$B$9)/((S$3/100)*Assumptions!$B$10)))-$B7*EXP(-Assumptions!$B$3*Assumptions!$B$9)*NORMSDIST((((LN(Assumptions!$B$2/$B7)+(Assumptions!$B$3-Assumptions!$B$4+(S$3/100)^2/2)*Assumptions!$B$9)/((S$3/100)*Assumptions!$B$10))-(S$3/100)*Assumptions!$B$10)))))</f>
        <v/>
      </c>
      <c r="T7" s="32">
        <f>IF((MAX(0,Assumptions!$B$2*EXP(-Assumptions!$B$4*Assumptions!$B$9)*NORMSDIST(((LN(Assumptions!$B$2/$B7)+(Assumptions!$B$3-Assumptions!$B$4+(T$3/100)^2/2)*Assumptions!$B$9)/((T$3/100)*Assumptions!$B$10)))-$B7*EXP(-Assumptions!$B$3*Assumptions!$B$9)*NORMSDIST((((LN(Assumptions!$B$2/$B7)+(Assumptions!$B$3-Assumptions!$B$4+(T$3/100)^2/2)*Assumptions!$B$9)/((T$3/100)*Assumptions!$B$10))-(T$3/100)*Assumptions!$B$10))))&lt;=0,"",(Assumptions!$B$2*EXP(-Assumptions!$B$4*Assumptions!$B$9)*NORMDIST(((LN(Assumptions!$B$2/$B7)+(Assumptions!$B$3-Assumptions!$B$4+(T$3/100)^2/2)*Assumptions!$B$9)/((T$3/100)*Assumptions!$B$10)),0,1,FALSE)*Assumptions!$B$10*0.01)*((T$3/100)/0.01)/(MAX(0,Assumptions!$B$2*EXP(-Assumptions!$B$4*Assumptions!$B$9)*NORMSDIST(((LN(Assumptions!$B$2/$B7)+(Assumptions!$B$3-Assumptions!$B$4+(T$3/100)^2/2)*Assumptions!$B$9)/((T$3/100)*Assumptions!$B$10)))-$B7*EXP(-Assumptions!$B$3*Assumptions!$B$9)*NORMSDIST((((LN(Assumptions!$B$2/$B7)+(Assumptions!$B$3-Assumptions!$B$4+(T$3/100)^2/2)*Assumptions!$B$9)/((T$3/100)*Assumptions!$B$10))-(T$3/100)*Assumptions!$B$10)))))</f>
        <v/>
      </c>
      <c r="U7" s="32">
        <f>IF((MAX(0,Assumptions!$B$2*EXP(-Assumptions!$B$4*Assumptions!$B$9)*NORMSDIST(((LN(Assumptions!$B$2/$B7)+(Assumptions!$B$3-Assumptions!$B$4+(U$3/100)^2/2)*Assumptions!$B$9)/((U$3/100)*Assumptions!$B$10)))-$B7*EXP(-Assumptions!$B$3*Assumptions!$B$9)*NORMSDIST((((LN(Assumptions!$B$2/$B7)+(Assumptions!$B$3-Assumptions!$B$4+(U$3/100)^2/2)*Assumptions!$B$9)/((U$3/100)*Assumptions!$B$10))-(U$3/100)*Assumptions!$B$10))))&lt;=0,"",(Assumptions!$B$2*EXP(-Assumptions!$B$4*Assumptions!$B$9)*NORMDIST(((LN(Assumptions!$B$2/$B7)+(Assumptions!$B$3-Assumptions!$B$4+(U$3/100)^2/2)*Assumptions!$B$9)/((U$3/100)*Assumptions!$B$10)),0,1,FALSE)*Assumptions!$B$10*0.01)*((U$3/100)/0.01)/(MAX(0,Assumptions!$B$2*EXP(-Assumptions!$B$4*Assumptions!$B$9)*NORMSDIST(((LN(Assumptions!$B$2/$B7)+(Assumptions!$B$3-Assumptions!$B$4+(U$3/100)^2/2)*Assumptions!$B$9)/((U$3/100)*Assumptions!$B$10)))-$B7*EXP(-Assumptions!$B$3*Assumptions!$B$9)*NORMSDIST((((LN(Assumptions!$B$2/$B7)+(Assumptions!$B$3-Assumptions!$B$4+(U$3/100)^2/2)*Assumptions!$B$9)/((U$3/100)*Assumptions!$B$10))-(U$3/100)*Assumptions!$B$10)))))</f>
        <v/>
      </c>
      <c r="V7" s="32">
        <f>IF((MAX(0,Assumptions!$B$2*EXP(-Assumptions!$B$4*Assumptions!$B$9)*NORMSDIST(((LN(Assumptions!$B$2/$B7)+(Assumptions!$B$3-Assumptions!$B$4+(V$3/100)^2/2)*Assumptions!$B$9)/((V$3/100)*Assumptions!$B$10)))-$B7*EXP(-Assumptions!$B$3*Assumptions!$B$9)*NORMSDIST((((LN(Assumptions!$B$2/$B7)+(Assumptions!$B$3-Assumptions!$B$4+(V$3/100)^2/2)*Assumptions!$B$9)/((V$3/100)*Assumptions!$B$10))-(V$3/100)*Assumptions!$B$10))))&lt;=0,"",(Assumptions!$B$2*EXP(-Assumptions!$B$4*Assumptions!$B$9)*NORMDIST(((LN(Assumptions!$B$2/$B7)+(Assumptions!$B$3-Assumptions!$B$4+(V$3/100)^2/2)*Assumptions!$B$9)/((V$3/100)*Assumptions!$B$10)),0,1,FALSE)*Assumptions!$B$10*0.01)*((V$3/100)/0.01)/(MAX(0,Assumptions!$B$2*EXP(-Assumptions!$B$4*Assumptions!$B$9)*NORMSDIST(((LN(Assumptions!$B$2/$B7)+(Assumptions!$B$3-Assumptions!$B$4+(V$3/100)^2/2)*Assumptions!$B$9)/((V$3/100)*Assumptions!$B$10)))-$B7*EXP(-Assumptions!$B$3*Assumptions!$B$9)*NORMSDIST((((LN(Assumptions!$B$2/$B7)+(Assumptions!$B$3-Assumptions!$B$4+(V$3/100)^2/2)*Assumptions!$B$9)/((V$3/100)*Assumptions!$B$10))-(V$3/100)*Assumptions!$B$10)))))</f>
        <v/>
      </c>
      <c r="W7" s="32">
        <f>IF((MAX(0,Assumptions!$B$2*EXP(-Assumptions!$B$4*Assumptions!$B$9)*NORMSDIST(((LN(Assumptions!$B$2/$B7)+(Assumptions!$B$3-Assumptions!$B$4+(W$3/100)^2/2)*Assumptions!$B$9)/((W$3/100)*Assumptions!$B$10)))-$B7*EXP(-Assumptions!$B$3*Assumptions!$B$9)*NORMSDIST((((LN(Assumptions!$B$2/$B7)+(Assumptions!$B$3-Assumptions!$B$4+(W$3/100)^2/2)*Assumptions!$B$9)/((W$3/100)*Assumptions!$B$10))-(W$3/100)*Assumptions!$B$10))))&lt;=0,"",(Assumptions!$B$2*EXP(-Assumptions!$B$4*Assumptions!$B$9)*NORMDIST(((LN(Assumptions!$B$2/$B7)+(Assumptions!$B$3-Assumptions!$B$4+(W$3/100)^2/2)*Assumptions!$B$9)/((W$3/100)*Assumptions!$B$10)),0,1,FALSE)*Assumptions!$B$10*0.01)*((W$3/100)/0.01)/(MAX(0,Assumptions!$B$2*EXP(-Assumptions!$B$4*Assumptions!$B$9)*NORMSDIST(((LN(Assumptions!$B$2/$B7)+(Assumptions!$B$3-Assumptions!$B$4+(W$3/100)^2/2)*Assumptions!$B$9)/((W$3/100)*Assumptions!$B$10)))-$B7*EXP(-Assumptions!$B$3*Assumptions!$B$9)*NORMSDIST((((LN(Assumptions!$B$2/$B7)+(Assumptions!$B$3-Assumptions!$B$4+(W$3/100)^2/2)*Assumptions!$B$9)/((W$3/100)*Assumptions!$B$10))-(W$3/100)*Assumptions!$B$10)))))</f>
        <v/>
      </c>
      <c r="X7" s="32">
        <f>IF((MAX(0,Assumptions!$B$2*EXP(-Assumptions!$B$4*Assumptions!$B$9)*NORMSDIST(((LN(Assumptions!$B$2/$B7)+(Assumptions!$B$3-Assumptions!$B$4+(X$3/100)^2/2)*Assumptions!$B$9)/((X$3/100)*Assumptions!$B$10)))-$B7*EXP(-Assumptions!$B$3*Assumptions!$B$9)*NORMSDIST((((LN(Assumptions!$B$2/$B7)+(Assumptions!$B$3-Assumptions!$B$4+(X$3/100)^2/2)*Assumptions!$B$9)/((X$3/100)*Assumptions!$B$10))-(X$3/100)*Assumptions!$B$10))))&lt;=0,"",(Assumptions!$B$2*EXP(-Assumptions!$B$4*Assumptions!$B$9)*NORMDIST(((LN(Assumptions!$B$2/$B7)+(Assumptions!$B$3-Assumptions!$B$4+(X$3/100)^2/2)*Assumptions!$B$9)/((X$3/100)*Assumptions!$B$10)),0,1,FALSE)*Assumptions!$B$10*0.01)*((X$3/100)/0.01)/(MAX(0,Assumptions!$B$2*EXP(-Assumptions!$B$4*Assumptions!$B$9)*NORMSDIST(((LN(Assumptions!$B$2/$B7)+(Assumptions!$B$3-Assumptions!$B$4+(X$3/100)^2/2)*Assumptions!$B$9)/((X$3/100)*Assumptions!$B$10)))-$B7*EXP(-Assumptions!$B$3*Assumptions!$B$9)*NORMSDIST((((LN(Assumptions!$B$2/$B7)+(Assumptions!$B$3-Assumptions!$B$4+(X$3/100)^2/2)*Assumptions!$B$9)/((X$3/100)*Assumptions!$B$10))-(X$3/100)*Assumptions!$B$10)))))</f>
        <v/>
      </c>
      <c r="Y7" s="32">
        <f>IF((MAX(0,Assumptions!$B$2*EXP(-Assumptions!$B$4*Assumptions!$B$9)*NORMSDIST(((LN(Assumptions!$B$2/$B7)+(Assumptions!$B$3-Assumptions!$B$4+(Y$3/100)^2/2)*Assumptions!$B$9)/((Y$3/100)*Assumptions!$B$10)))-$B7*EXP(-Assumptions!$B$3*Assumptions!$B$9)*NORMSDIST((((LN(Assumptions!$B$2/$B7)+(Assumptions!$B$3-Assumptions!$B$4+(Y$3/100)^2/2)*Assumptions!$B$9)/((Y$3/100)*Assumptions!$B$10))-(Y$3/100)*Assumptions!$B$10))))&lt;=0,"",(Assumptions!$B$2*EXP(-Assumptions!$B$4*Assumptions!$B$9)*NORMDIST(((LN(Assumptions!$B$2/$B7)+(Assumptions!$B$3-Assumptions!$B$4+(Y$3/100)^2/2)*Assumptions!$B$9)/((Y$3/100)*Assumptions!$B$10)),0,1,FALSE)*Assumptions!$B$10*0.01)*((Y$3/100)/0.01)/(MAX(0,Assumptions!$B$2*EXP(-Assumptions!$B$4*Assumptions!$B$9)*NORMSDIST(((LN(Assumptions!$B$2/$B7)+(Assumptions!$B$3-Assumptions!$B$4+(Y$3/100)^2/2)*Assumptions!$B$9)/((Y$3/100)*Assumptions!$B$10)))-$B7*EXP(-Assumptions!$B$3*Assumptions!$B$9)*NORMSDIST((((LN(Assumptions!$B$2/$B7)+(Assumptions!$B$3-Assumptions!$B$4+(Y$3/100)^2/2)*Assumptions!$B$9)/((Y$3/100)*Assumptions!$B$10))-(Y$3/100)*Assumptions!$B$10)))))</f>
        <v/>
      </c>
      <c r="Z7" s="32">
        <f>IF((MAX(0,Assumptions!$B$2*EXP(-Assumptions!$B$4*Assumptions!$B$9)*NORMSDIST(((LN(Assumptions!$B$2/$B7)+(Assumptions!$B$3-Assumptions!$B$4+(Z$3/100)^2/2)*Assumptions!$B$9)/((Z$3/100)*Assumptions!$B$10)))-$B7*EXP(-Assumptions!$B$3*Assumptions!$B$9)*NORMSDIST((((LN(Assumptions!$B$2/$B7)+(Assumptions!$B$3-Assumptions!$B$4+(Z$3/100)^2/2)*Assumptions!$B$9)/((Z$3/100)*Assumptions!$B$10))-(Z$3/100)*Assumptions!$B$10))))&lt;=0,"",(Assumptions!$B$2*EXP(-Assumptions!$B$4*Assumptions!$B$9)*NORMDIST(((LN(Assumptions!$B$2/$B7)+(Assumptions!$B$3-Assumptions!$B$4+(Z$3/100)^2/2)*Assumptions!$B$9)/((Z$3/100)*Assumptions!$B$10)),0,1,FALSE)*Assumptions!$B$10*0.01)*((Z$3/100)/0.01)/(MAX(0,Assumptions!$B$2*EXP(-Assumptions!$B$4*Assumptions!$B$9)*NORMSDIST(((LN(Assumptions!$B$2/$B7)+(Assumptions!$B$3-Assumptions!$B$4+(Z$3/100)^2/2)*Assumptions!$B$9)/((Z$3/100)*Assumptions!$B$10)))-$B7*EXP(-Assumptions!$B$3*Assumptions!$B$9)*NORMSDIST((((LN(Assumptions!$B$2/$B7)+(Assumptions!$B$3-Assumptions!$B$4+(Z$3/100)^2/2)*Assumptions!$B$9)/((Z$3/100)*Assumptions!$B$10))-(Z$3/100)*Assumptions!$B$10)))))</f>
        <v/>
      </c>
      <c r="AA7" s="32">
        <f>IF((MAX(0,Assumptions!$B$2*EXP(-Assumptions!$B$4*Assumptions!$B$9)*NORMSDIST(((LN(Assumptions!$B$2/$B7)+(Assumptions!$B$3-Assumptions!$B$4+(AA$3/100)^2/2)*Assumptions!$B$9)/((AA$3/100)*Assumptions!$B$10)))-$B7*EXP(-Assumptions!$B$3*Assumptions!$B$9)*NORMSDIST((((LN(Assumptions!$B$2/$B7)+(Assumptions!$B$3-Assumptions!$B$4+(AA$3/100)^2/2)*Assumptions!$B$9)/((AA$3/100)*Assumptions!$B$10))-(AA$3/100)*Assumptions!$B$10))))&lt;=0,"",(Assumptions!$B$2*EXP(-Assumptions!$B$4*Assumptions!$B$9)*NORMDIST(((LN(Assumptions!$B$2/$B7)+(Assumptions!$B$3-Assumptions!$B$4+(AA$3/100)^2/2)*Assumptions!$B$9)/((AA$3/100)*Assumptions!$B$10)),0,1,FALSE)*Assumptions!$B$10*0.01)*((AA$3/100)/0.01)/(MAX(0,Assumptions!$B$2*EXP(-Assumptions!$B$4*Assumptions!$B$9)*NORMSDIST(((LN(Assumptions!$B$2/$B7)+(Assumptions!$B$3-Assumptions!$B$4+(AA$3/100)^2/2)*Assumptions!$B$9)/((AA$3/100)*Assumptions!$B$10)))-$B7*EXP(-Assumptions!$B$3*Assumptions!$B$9)*NORMSDIST((((LN(Assumptions!$B$2/$B7)+(Assumptions!$B$3-Assumptions!$B$4+(AA$3/100)^2/2)*Assumptions!$B$9)/((AA$3/100)*Assumptions!$B$10))-(AA$3/100)*Assumptions!$B$10)))))</f>
        <v/>
      </c>
      <c r="AB7" s="32">
        <f>IF((MAX(0,Assumptions!$B$2*EXP(-Assumptions!$B$4*Assumptions!$B$9)*NORMSDIST(((LN(Assumptions!$B$2/$B7)+(Assumptions!$B$3-Assumptions!$B$4+(AB$3/100)^2/2)*Assumptions!$B$9)/((AB$3/100)*Assumptions!$B$10)))-$B7*EXP(-Assumptions!$B$3*Assumptions!$B$9)*NORMSDIST((((LN(Assumptions!$B$2/$B7)+(Assumptions!$B$3-Assumptions!$B$4+(AB$3/100)^2/2)*Assumptions!$B$9)/((AB$3/100)*Assumptions!$B$10))-(AB$3/100)*Assumptions!$B$10))))&lt;=0,"",(Assumptions!$B$2*EXP(-Assumptions!$B$4*Assumptions!$B$9)*NORMDIST(((LN(Assumptions!$B$2/$B7)+(Assumptions!$B$3-Assumptions!$B$4+(AB$3/100)^2/2)*Assumptions!$B$9)/((AB$3/100)*Assumptions!$B$10)),0,1,FALSE)*Assumptions!$B$10*0.01)*((AB$3/100)/0.01)/(MAX(0,Assumptions!$B$2*EXP(-Assumptions!$B$4*Assumptions!$B$9)*NORMSDIST(((LN(Assumptions!$B$2/$B7)+(Assumptions!$B$3-Assumptions!$B$4+(AB$3/100)^2/2)*Assumptions!$B$9)/((AB$3/100)*Assumptions!$B$10)))-$B7*EXP(-Assumptions!$B$3*Assumptions!$B$9)*NORMSDIST((((LN(Assumptions!$B$2/$B7)+(Assumptions!$B$3-Assumptions!$B$4+(AB$3/100)^2/2)*Assumptions!$B$9)/((AB$3/100)*Assumptions!$B$10))-(AB$3/100)*Assumptions!$B$10)))))</f>
        <v/>
      </c>
      <c r="AC7" s="32">
        <f>IF((MAX(0,Assumptions!$B$2*EXP(-Assumptions!$B$4*Assumptions!$B$9)*NORMSDIST(((LN(Assumptions!$B$2/$B7)+(Assumptions!$B$3-Assumptions!$B$4+(AC$3/100)^2/2)*Assumptions!$B$9)/((AC$3/100)*Assumptions!$B$10)))-$B7*EXP(-Assumptions!$B$3*Assumptions!$B$9)*NORMSDIST((((LN(Assumptions!$B$2/$B7)+(Assumptions!$B$3-Assumptions!$B$4+(AC$3/100)^2/2)*Assumptions!$B$9)/((AC$3/100)*Assumptions!$B$10))-(AC$3/100)*Assumptions!$B$10))))&lt;=0,"",(Assumptions!$B$2*EXP(-Assumptions!$B$4*Assumptions!$B$9)*NORMDIST(((LN(Assumptions!$B$2/$B7)+(Assumptions!$B$3-Assumptions!$B$4+(AC$3/100)^2/2)*Assumptions!$B$9)/((AC$3/100)*Assumptions!$B$10)),0,1,FALSE)*Assumptions!$B$10*0.01)*((AC$3/100)/0.01)/(MAX(0,Assumptions!$B$2*EXP(-Assumptions!$B$4*Assumptions!$B$9)*NORMSDIST(((LN(Assumptions!$B$2/$B7)+(Assumptions!$B$3-Assumptions!$B$4+(AC$3/100)^2/2)*Assumptions!$B$9)/((AC$3/100)*Assumptions!$B$10)))-$B7*EXP(-Assumptions!$B$3*Assumptions!$B$9)*NORMSDIST((((LN(Assumptions!$B$2/$B7)+(Assumptions!$B$3-Assumptions!$B$4+(AC$3/100)^2/2)*Assumptions!$B$9)/((AC$3/100)*Assumptions!$B$10))-(AC$3/100)*Assumptions!$B$10)))))</f>
        <v/>
      </c>
      <c r="AD7" s="32">
        <f>IF((MAX(0,Assumptions!$B$2*EXP(-Assumptions!$B$4*Assumptions!$B$9)*NORMSDIST(((LN(Assumptions!$B$2/$B7)+(Assumptions!$B$3-Assumptions!$B$4+(AD$3/100)^2/2)*Assumptions!$B$9)/((AD$3/100)*Assumptions!$B$10)))-$B7*EXP(-Assumptions!$B$3*Assumptions!$B$9)*NORMSDIST((((LN(Assumptions!$B$2/$B7)+(Assumptions!$B$3-Assumptions!$B$4+(AD$3/100)^2/2)*Assumptions!$B$9)/((AD$3/100)*Assumptions!$B$10))-(AD$3/100)*Assumptions!$B$10))))&lt;=0,"",(Assumptions!$B$2*EXP(-Assumptions!$B$4*Assumptions!$B$9)*NORMDIST(((LN(Assumptions!$B$2/$B7)+(Assumptions!$B$3-Assumptions!$B$4+(AD$3/100)^2/2)*Assumptions!$B$9)/((AD$3/100)*Assumptions!$B$10)),0,1,FALSE)*Assumptions!$B$10*0.01)*((AD$3/100)/0.01)/(MAX(0,Assumptions!$B$2*EXP(-Assumptions!$B$4*Assumptions!$B$9)*NORMSDIST(((LN(Assumptions!$B$2/$B7)+(Assumptions!$B$3-Assumptions!$B$4+(AD$3/100)^2/2)*Assumptions!$B$9)/((AD$3/100)*Assumptions!$B$10)))-$B7*EXP(-Assumptions!$B$3*Assumptions!$B$9)*NORMSDIST((((LN(Assumptions!$B$2/$B7)+(Assumptions!$B$3-Assumptions!$B$4+(AD$3/100)^2/2)*Assumptions!$B$9)/((AD$3/100)*Assumptions!$B$10))-(AD$3/100)*Assumptions!$B$10)))))</f>
        <v/>
      </c>
      <c r="AE7" s="32">
        <f>IF((MAX(0,Assumptions!$B$2*EXP(-Assumptions!$B$4*Assumptions!$B$9)*NORMSDIST(((LN(Assumptions!$B$2/$B7)+(Assumptions!$B$3-Assumptions!$B$4+(AE$3/100)^2/2)*Assumptions!$B$9)/((AE$3/100)*Assumptions!$B$10)))-$B7*EXP(-Assumptions!$B$3*Assumptions!$B$9)*NORMSDIST((((LN(Assumptions!$B$2/$B7)+(Assumptions!$B$3-Assumptions!$B$4+(AE$3/100)^2/2)*Assumptions!$B$9)/((AE$3/100)*Assumptions!$B$10))-(AE$3/100)*Assumptions!$B$10))))&lt;=0,"",(Assumptions!$B$2*EXP(-Assumptions!$B$4*Assumptions!$B$9)*NORMDIST(((LN(Assumptions!$B$2/$B7)+(Assumptions!$B$3-Assumptions!$B$4+(AE$3/100)^2/2)*Assumptions!$B$9)/((AE$3/100)*Assumptions!$B$10)),0,1,FALSE)*Assumptions!$B$10*0.01)*((AE$3/100)/0.01)/(MAX(0,Assumptions!$B$2*EXP(-Assumptions!$B$4*Assumptions!$B$9)*NORMSDIST(((LN(Assumptions!$B$2/$B7)+(Assumptions!$B$3-Assumptions!$B$4+(AE$3/100)^2/2)*Assumptions!$B$9)/((AE$3/100)*Assumptions!$B$10)))-$B7*EXP(-Assumptions!$B$3*Assumptions!$B$9)*NORMSDIST((((LN(Assumptions!$B$2/$B7)+(Assumptions!$B$3-Assumptions!$B$4+(AE$3/100)^2/2)*Assumptions!$B$9)/((AE$3/100)*Assumptions!$B$10))-(AE$3/100)*Assumptions!$B$10)))))</f>
        <v/>
      </c>
      <c r="AF7" s="32">
        <f>IF((MAX(0,Assumptions!$B$2*EXP(-Assumptions!$B$4*Assumptions!$B$9)*NORMSDIST(((LN(Assumptions!$B$2/$B7)+(Assumptions!$B$3-Assumptions!$B$4+(AF$3/100)^2/2)*Assumptions!$B$9)/((AF$3/100)*Assumptions!$B$10)))-$B7*EXP(-Assumptions!$B$3*Assumptions!$B$9)*NORMSDIST((((LN(Assumptions!$B$2/$B7)+(Assumptions!$B$3-Assumptions!$B$4+(AF$3/100)^2/2)*Assumptions!$B$9)/((AF$3/100)*Assumptions!$B$10))-(AF$3/100)*Assumptions!$B$10))))&lt;=0,"",(Assumptions!$B$2*EXP(-Assumptions!$B$4*Assumptions!$B$9)*NORMDIST(((LN(Assumptions!$B$2/$B7)+(Assumptions!$B$3-Assumptions!$B$4+(AF$3/100)^2/2)*Assumptions!$B$9)/((AF$3/100)*Assumptions!$B$10)),0,1,FALSE)*Assumptions!$B$10*0.01)*((AF$3/100)/0.01)/(MAX(0,Assumptions!$B$2*EXP(-Assumptions!$B$4*Assumptions!$B$9)*NORMSDIST(((LN(Assumptions!$B$2/$B7)+(Assumptions!$B$3-Assumptions!$B$4+(AF$3/100)^2/2)*Assumptions!$B$9)/((AF$3/100)*Assumptions!$B$10)))-$B7*EXP(-Assumptions!$B$3*Assumptions!$B$9)*NORMSDIST((((LN(Assumptions!$B$2/$B7)+(Assumptions!$B$3-Assumptions!$B$4+(AF$3/100)^2/2)*Assumptions!$B$9)/((AF$3/100)*Assumptions!$B$10))-(AF$3/100)*Assumptions!$B$10)))))</f>
        <v/>
      </c>
      <c r="AG7" s="32">
        <f>IF((MAX(0,Assumptions!$B$2*EXP(-Assumptions!$B$4*Assumptions!$B$9)*NORMSDIST(((LN(Assumptions!$B$2/$B7)+(Assumptions!$B$3-Assumptions!$B$4+(AG$3/100)^2/2)*Assumptions!$B$9)/((AG$3/100)*Assumptions!$B$10)))-$B7*EXP(-Assumptions!$B$3*Assumptions!$B$9)*NORMSDIST((((LN(Assumptions!$B$2/$B7)+(Assumptions!$B$3-Assumptions!$B$4+(AG$3/100)^2/2)*Assumptions!$B$9)/((AG$3/100)*Assumptions!$B$10))-(AG$3/100)*Assumptions!$B$10))))&lt;=0,"",(Assumptions!$B$2*EXP(-Assumptions!$B$4*Assumptions!$B$9)*NORMDIST(((LN(Assumptions!$B$2/$B7)+(Assumptions!$B$3-Assumptions!$B$4+(AG$3/100)^2/2)*Assumptions!$B$9)/((AG$3/100)*Assumptions!$B$10)),0,1,FALSE)*Assumptions!$B$10*0.01)*((AG$3/100)/0.01)/(MAX(0,Assumptions!$B$2*EXP(-Assumptions!$B$4*Assumptions!$B$9)*NORMSDIST(((LN(Assumptions!$B$2/$B7)+(Assumptions!$B$3-Assumptions!$B$4+(AG$3/100)^2/2)*Assumptions!$B$9)/((AG$3/100)*Assumptions!$B$10)))-$B7*EXP(-Assumptions!$B$3*Assumptions!$B$9)*NORMSDIST((((LN(Assumptions!$B$2/$B7)+(Assumptions!$B$3-Assumptions!$B$4+(AG$3/100)^2/2)*Assumptions!$B$9)/((AG$3/100)*Assumptions!$B$10))-(AG$3/100)*Assumptions!$B$10)))))</f>
        <v/>
      </c>
      <c r="AH7" s="32">
        <f>IF((MAX(0,Assumptions!$B$2*EXP(-Assumptions!$B$4*Assumptions!$B$9)*NORMSDIST(((LN(Assumptions!$B$2/$B7)+(Assumptions!$B$3-Assumptions!$B$4+(AH$3/100)^2/2)*Assumptions!$B$9)/((AH$3/100)*Assumptions!$B$10)))-$B7*EXP(-Assumptions!$B$3*Assumptions!$B$9)*NORMSDIST((((LN(Assumptions!$B$2/$B7)+(Assumptions!$B$3-Assumptions!$B$4+(AH$3/100)^2/2)*Assumptions!$B$9)/((AH$3/100)*Assumptions!$B$10))-(AH$3/100)*Assumptions!$B$10))))&lt;=0,"",(Assumptions!$B$2*EXP(-Assumptions!$B$4*Assumptions!$B$9)*NORMDIST(((LN(Assumptions!$B$2/$B7)+(Assumptions!$B$3-Assumptions!$B$4+(AH$3/100)^2/2)*Assumptions!$B$9)/((AH$3/100)*Assumptions!$B$10)),0,1,FALSE)*Assumptions!$B$10*0.01)*((AH$3/100)/0.01)/(MAX(0,Assumptions!$B$2*EXP(-Assumptions!$B$4*Assumptions!$B$9)*NORMSDIST(((LN(Assumptions!$B$2/$B7)+(Assumptions!$B$3-Assumptions!$B$4+(AH$3/100)^2/2)*Assumptions!$B$9)/((AH$3/100)*Assumptions!$B$10)))-$B7*EXP(-Assumptions!$B$3*Assumptions!$B$9)*NORMSDIST((((LN(Assumptions!$B$2/$B7)+(Assumptions!$B$3-Assumptions!$B$4+(AH$3/100)^2/2)*Assumptions!$B$9)/((AH$3/100)*Assumptions!$B$10))-(AH$3/100)*Assumptions!$B$10)))))</f>
        <v/>
      </c>
      <c r="AI7" s="32">
        <f>IF((MAX(0,Assumptions!$B$2*EXP(-Assumptions!$B$4*Assumptions!$B$9)*NORMSDIST(((LN(Assumptions!$B$2/$B7)+(Assumptions!$B$3-Assumptions!$B$4+(AI$3/100)^2/2)*Assumptions!$B$9)/((AI$3/100)*Assumptions!$B$10)))-$B7*EXP(-Assumptions!$B$3*Assumptions!$B$9)*NORMSDIST((((LN(Assumptions!$B$2/$B7)+(Assumptions!$B$3-Assumptions!$B$4+(AI$3/100)^2/2)*Assumptions!$B$9)/((AI$3/100)*Assumptions!$B$10))-(AI$3/100)*Assumptions!$B$10))))&lt;=0,"",(Assumptions!$B$2*EXP(-Assumptions!$B$4*Assumptions!$B$9)*NORMDIST(((LN(Assumptions!$B$2/$B7)+(Assumptions!$B$3-Assumptions!$B$4+(AI$3/100)^2/2)*Assumptions!$B$9)/((AI$3/100)*Assumptions!$B$10)),0,1,FALSE)*Assumptions!$B$10*0.01)*((AI$3/100)/0.01)/(MAX(0,Assumptions!$B$2*EXP(-Assumptions!$B$4*Assumptions!$B$9)*NORMSDIST(((LN(Assumptions!$B$2/$B7)+(Assumptions!$B$3-Assumptions!$B$4+(AI$3/100)^2/2)*Assumptions!$B$9)/((AI$3/100)*Assumptions!$B$10)))-$B7*EXP(-Assumptions!$B$3*Assumptions!$B$9)*NORMSDIST((((LN(Assumptions!$B$2/$B7)+(Assumptions!$B$3-Assumptions!$B$4+(AI$3/100)^2/2)*Assumptions!$B$9)/((AI$3/100)*Assumptions!$B$10))-(AI$3/100)*Assumptions!$B$10)))))</f>
        <v/>
      </c>
      <c r="AJ7" s="32">
        <f>IF((MAX(0,Assumptions!$B$2*EXP(-Assumptions!$B$4*Assumptions!$B$9)*NORMSDIST(((LN(Assumptions!$B$2/$B7)+(Assumptions!$B$3-Assumptions!$B$4+(AJ$3/100)^2/2)*Assumptions!$B$9)/((AJ$3/100)*Assumptions!$B$10)))-$B7*EXP(-Assumptions!$B$3*Assumptions!$B$9)*NORMSDIST((((LN(Assumptions!$B$2/$B7)+(Assumptions!$B$3-Assumptions!$B$4+(AJ$3/100)^2/2)*Assumptions!$B$9)/((AJ$3/100)*Assumptions!$B$10))-(AJ$3/100)*Assumptions!$B$10))))&lt;=0,"",(Assumptions!$B$2*EXP(-Assumptions!$B$4*Assumptions!$B$9)*NORMDIST(((LN(Assumptions!$B$2/$B7)+(Assumptions!$B$3-Assumptions!$B$4+(AJ$3/100)^2/2)*Assumptions!$B$9)/((AJ$3/100)*Assumptions!$B$10)),0,1,FALSE)*Assumptions!$B$10*0.01)*((AJ$3/100)/0.01)/(MAX(0,Assumptions!$B$2*EXP(-Assumptions!$B$4*Assumptions!$B$9)*NORMSDIST(((LN(Assumptions!$B$2/$B7)+(Assumptions!$B$3-Assumptions!$B$4+(AJ$3/100)^2/2)*Assumptions!$B$9)/((AJ$3/100)*Assumptions!$B$10)))-$B7*EXP(-Assumptions!$B$3*Assumptions!$B$9)*NORMSDIST((((LN(Assumptions!$B$2/$B7)+(Assumptions!$B$3-Assumptions!$B$4+(AJ$3/100)^2/2)*Assumptions!$B$9)/((AJ$3/100)*Assumptions!$B$10))-(AJ$3/100)*Assumptions!$B$10)))))</f>
        <v/>
      </c>
      <c r="AK7" s="32">
        <f>IF((MAX(0,Assumptions!$B$2*EXP(-Assumptions!$B$4*Assumptions!$B$9)*NORMSDIST(((LN(Assumptions!$B$2/$B7)+(Assumptions!$B$3-Assumptions!$B$4+(AK$3/100)^2/2)*Assumptions!$B$9)/((AK$3/100)*Assumptions!$B$10)))-$B7*EXP(-Assumptions!$B$3*Assumptions!$B$9)*NORMSDIST((((LN(Assumptions!$B$2/$B7)+(Assumptions!$B$3-Assumptions!$B$4+(AK$3/100)^2/2)*Assumptions!$B$9)/((AK$3/100)*Assumptions!$B$10))-(AK$3/100)*Assumptions!$B$10))))&lt;=0,"",(Assumptions!$B$2*EXP(-Assumptions!$B$4*Assumptions!$B$9)*NORMDIST(((LN(Assumptions!$B$2/$B7)+(Assumptions!$B$3-Assumptions!$B$4+(AK$3/100)^2/2)*Assumptions!$B$9)/((AK$3/100)*Assumptions!$B$10)),0,1,FALSE)*Assumptions!$B$10*0.01)*((AK$3/100)/0.01)/(MAX(0,Assumptions!$B$2*EXP(-Assumptions!$B$4*Assumptions!$B$9)*NORMSDIST(((LN(Assumptions!$B$2/$B7)+(Assumptions!$B$3-Assumptions!$B$4+(AK$3/100)^2/2)*Assumptions!$B$9)/((AK$3/100)*Assumptions!$B$10)))-$B7*EXP(-Assumptions!$B$3*Assumptions!$B$9)*NORMSDIST((((LN(Assumptions!$B$2/$B7)+(Assumptions!$B$3-Assumptions!$B$4+(AK$3/100)^2/2)*Assumptions!$B$9)/((AK$3/100)*Assumptions!$B$10))-(AK$3/100)*Assumptions!$B$10)))))</f>
        <v/>
      </c>
      <c r="AL7" s="32">
        <f>IF((MAX(0,Assumptions!$B$2*EXP(-Assumptions!$B$4*Assumptions!$B$9)*NORMSDIST(((LN(Assumptions!$B$2/$B7)+(Assumptions!$B$3-Assumptions!$B$4+(AL$3/100)^2/2)*Assumptions!$B$9)/((AL$3/100)*Assumptions!$B$10)))-$B7*EXP(-Assumptions!$B$3*Assumptions!$B$9)*NORMSDIST((((LN(Assumptions!$B$2/$B7)+(Assumptions!$B$3-Assumptions!$B$4+(AL$3/100)^2/2)*Assumptions!$B$9)/((AL$3/100)*Assumptions!$B$10))-(AL$3/100)*Assumptions!$B$10))))&lt;=0,"",(Assumptions!$B$2*EXP(-Assumptions!$B$4*Assumptions!$B$9)*NORMDIST(((LN(Assumptions!$B$2/$B7)+(Assumptions!$B$3-Assumptions!$B$4+(AL$3/100)^2/2)*Assumptions!$B$9)/((AL$3/100)*Assumptions!$B$10)),0,1,FALSE)*Assumptions!$B$10*0.01)*((AL$3/100)/0.01)/(MAX(0,Assumptions!$B$2*EXP(-Assumptions!$B$4*Assumptions!$B$9)*NORMSDIST(((LN(Assumptions!$B$2/$B7)+(Assumptions!$B$3-Assumptions!$B$4+(AL$3/100)^2/2)*Assumptions!$B$9)/((AL$3/100)*Assumptions!$B$10)))-$B7*EXP(-Assumptions!$B$3*Assumptions!$B$9)*NORMSDIST((((LN(Assumptions!$B$2/$B7)+(Assumptions!$B$3-Assumptions!$B$4+(AL$3/100)^2/2)*Assumptions!$B$9)/((AL$3/100)*Assumptions!$B$10))-(AL$3/100)*Assumptions!$B$10)))))</f>
        <v/>
      </c>
      <c r="AM7" s="32">
        <f>IF((MAX(0,Assumptions!$B$2*EXP(-Assumptions!$B$4*Assumptions!$B$9)*NORMSDIST(((LN(Assumptions!$B$2/$B7)+(Assumptions!$B$3-Assumptions!$B$4+(AM$3/100)^2/2)*Assumptions!$B$9)/((AM$3/100)*Assumptions!$B$10)))-$B7*EXP(-Assumptions!$B$3*Assumptions!$B$9)*NORMSDIST((((LN(Assumptions!$B$2/$B7)+(Assumptions!$B$3-Assumptions!$B$4+(AM$3/100)^2/2)*Assumptions!$B$9)/((AM$3/100)*Assumptions!$B$10))-(AM$3/100)*Assumptions!$B$10))))&lt;=0,"",(Assumptions!$B$2*EXP(-Assumptions!$B$4*Assumptions!$B$9)*NORMDIST(((LN(Assumptions!$B$2/$B7)+(Assumptions!$B$3-Assumptions!$B$4+(AM$3/100)^2/2)*Assumptions!$B$9)/((AM$3/100)*Assumptions!$B$10)),0,1,FALSE)*Assumptions!$B$10*0.01)*((AM$3/100)/0.01)/(MAX(0,Assumptions!$B$2*EXP(-Assumptions!$B$4*Assumptions!$B$9)*NORMSDIST(((LN(Assumptions!$B$2/$B7)+(Assumptions!$B$3-Assumptions!$B$4+(AM$3/100)^2/2)*Assumptions!$B$9)/((AM$3/100)*Assumptions!$B$10)))-$B7*EXP(-Assumptions!$B$3*Assumptions!$B$9)*NORMSDIST((((LN(Assumptions!$B$2/$B7)+(Assumptions!$B$3-Assumptions!$B$4+(AM$3/100)^2/2)*Assumptions!$B$9)/((AM$3/100)*Assumptions!$B$10))-(AM$3/100)*Assumptions!$B$10)))))</f>
        <v/>
      </c>
      <c r="AN7" s="32">
        <f>IF((MAX(0,Assumptions!$B$2*EXP(-Assumptions!$B$4*Assumptions!$B$9)*NORMSDIST(((LN(Assumptions!$B$2/$B7)+(Assumptions!$B$3-Assumptions!$B$4+(AN$3/100)^2/2)*Assumptions!$B$9)/((AN$3/100)*Assumptions!$B$10)))-$B7*EXP(-Assumptions!$B$3*Assumptions!$B$9)*NORMSDIST((((LN(Assumptions!$B$2/$B7)+(Assumptions!$B$3-Assumptions!$B$4+(AN$3/100)^2/2)*Assumptions!$B$9)/((AN$3/100)*Assumptions!$B$10))-(AN$3/100)*Assumptions!$B$10))))&lt;=0,"",(Assumptions!$B$2*EXP(-Assumptions!$B$4*Assumptions!$B$9)*NORMDIST(((LN(Assumptions!$B$2/$B7)+(Assumptions!$B$3-Assumptions!$B$4+(AN$3/100)^2/2)*Assumptions!$B$9)/((AN$3/100)*Assumptions!$B$10)),0,1,FALSE)*Assumptions!$B$10*0.01)*((AN$3/100)/0.01)/(MAX(0,Assumptions!$B$2*EXP(-Assumptions!$B$4*Assumptions!$B$9)*NORMSDIST(((LN(Assumptions!$B$2/$B7)+(Assumptions!$B$3-Assumptions!$B$4+(AN$3/100)^2/2)*Assumptions!$B$9)/((AN$3/100)*Assumptions!$B$10)))-$B7*EXP(-Assumptions!$B$3*Assumptions!$B$9)*NORMSDIST((((LN(Assumptions!$B$2/$B7)+(Assumptions!$B$3-Assumptions!$B$4+(AN$3/100)^2/2)*Assumptions!$B$9)/((AN$3/100)*Assumptions!$B$10))-(AN$3/100)*Assumptions!$B$10)))))</f>
        <v/>
      </c>
      <c r="AO7" s="32">
        <f>IF((MAX(0,Assumptions!$B$2*EXP(-Assumptions!$B$4*Assumptions!$B$9)*NORMSDIST(((LN(Assumptions!$B$2/$B7)+(Assumptions!$B$3-Assumptions!$B$4+(AO$3/100)^2/2)*Assumptions!$B$9)/((AO$3/100)*Assumptions!$B$10)))-$B7*EXP(-Assumptions!$B$3*Assumptions!$B$9)*NORMSDIST((((LN(Assumptions!$B$2/$B7)+(Assumptions!$B$3-Assumptions!$B$4+(AO$3/100)^2/2)*Assumptions!$B$9)/((AO$3/100)*Assumptions!$B$10))-(AO$3/100)*Assumptions!$B$10))))&lt;=0,"",(Assumptions!$B$2*EXP(-Assumptions!$B$4*Assumptions!$B$9)*NORMDIST(((LN(Assumptions!$B$2/$B7)+(Assumptions!$B$3-Assumptions!$B$4+(AO$3/100)^2/2)*Assumptions!$B$9)/((AO$3/100)*Assumptions!$B$10)),0,1,FALSE)*Assumptions!$B$10*0.01)*((AO$3/100)/0.01)/(MAX(0,Assumptions!$B$2*EXP(-Assumptions!$B$4*Assumptions!$B$9)*NORMSDIST(((LN(Assumptions!$B$2/$B7)+(Assumptions!$B$3-Assumptions!$B$4+(AO$3/100)^2/2)*Assumptions!$B$9)/((AO$3/100)*Assumptions!$B$10)))-$B7*EXP(-Assumptions!$B$3*Assumptions!$B$9)*NORMSDIST((((LN(Assumptions!$B$2/$B7)+(Assumptions!$B$3-Assumptions!$B$4+(AO$3/100)^2/2)*Assumptions!$B$9)/((AO$3/100)*Assumptions!$B$10))-(AO$3/100)*Assumptions!$B$10)))))</f>
        <v/>
      </c>
      <c r="AP7" s="32">
        <f>IF((MAX(0,Assumptions!$B$2*EXP(-Assumptions!$B$4*Assumptions!$B$9)*NORMSDIST(((LN(Assumptions!$B$2/$B7)+(Assumptions!$B$3-Assumptions!$B$4+(AP$3/100)^2/2)*Assumptions!$B$9)/((AP$3/100)*Assumptions!$B$10)))-$B7*EXP(-Assumptions!$B$3*Assumptions!$B$9)*NORMSDIST((((LN(Assumptions!$B$2/$B7)+(Assumptions!$B$3-Assumptions!$B$4+(AP$3/100)^2/2)*Assumptions!$B$9)/((AP$3/100)*Assumptions!$B$10))-(AP$3/100)*Assumptions!$B$10))))&lt;=0,"",(Assumptions!$B$2*EXP(-Assumptions!$B$4*Assumptions!$B$9)*NORMDIST(((LN(Assumptions!$B$2/$B7)+(Assumptions!$B$3-Assumptions!$B$4+(AP$3/100)^2/2)*Assumptions!$B$9)/((AP$3/100)*Assumptions!$B$10)),0,1,FALSE)*Assumptions!$B$10*0.01)*((AP$3/100)/0.01)/(MAX(0,Assumptions!$B$2*EXP(-Assumptions!$B$4*Assumptions!$B$9)*NORMSDIST(((LN(Assumptions!$B$2/$B7)+(Assumptions!$B$3-Assumptions!$B$4+(AP$3/100)^2/2)*Assumptions!$B$9)/((AP$3/100)*Assumptions!$B$10)))-$B7*EXP(-Assumptions!$B$3*Assumptions!$B$9)*NORMSDIST((((LN(Assumptions!$B$2/$B7)+(Assumptions!$B$3-Assumptions!$B$4+(AP$3/100)^2/2)*Assumptions!$B$9)/((AP$3/100)*Assumptions!$B$10))-(AP$3/100)*Assumptions!$B$10)))))</f>
        <v/>
      </c>
      <c r="AQ7" s="32">
        <f>IF((MAX(0,Assumptions!$B$2*EXP(-Assumptions!$B$4*Assumptions!$B$9)*NORMSDIST(((LN(Assumptions!$B$2/$B7)+(Assumptions!$B$3-Assumptions!$B$4+(AQ$3/100)^2/2)*Assumptions!$B$9)/((AQ$3/100)*Assumptions!$B$10)))-$B7*EXP(-Assumptions!$B$3*Assumptions!$B$9)*NORMSDIST((((LN(Assumptions!$B$2/$B7)+(Assumptions!$B$3-Assumptions!$B$4+(AQ$3/100)^2/2)*Assumptions!$B$9)/((AQ$3/100)*Assumptions!$B$10))-(AQ$3/100)*Assumptions!$B$10))))&lt;=0,"",(Assumptions!$B$2*EXP(-Assumptions!$B$4*Assumptions!$B$9)*NORMDIST(((LN(Assumptions!$B$2/$B7)+(Assumptions!$B$3-Assumptions!$B$4+(AQ$3/100)^2/2)*Assumptions!$B$9)/((AQ$3/100)*Assumptions!$B$10)),0,1,FALSE)*Assumptions!$B$10*0.01)*((AQ$3/100)/0.01)/(MAX(0,Assumptions!$B$2*EXP(-Assumptions!$B$4*Assumptions!$B$9)*NORMSDIST(((LN(Assumptions!$B$2/$B7)+(Assumptions!$B$3-Assumptions!$B$4+(AQ$3/100)^2/2)*Assumptions!$B$9)/((AQ$3/100)*Assumptions!$B$10)))-$B7*EXP(-Assumptions!$B$3*Assumptions!$B$9)*NORMSDIST((((LN(Assumptions!$B$2/$B7)+(Assumptions!$B$3-Assumptions!$B$4+(AQ$3/100)^2/2)*Assumptions!$B$9)/((AQ$3/100)*Assumptions!$B$10))-(AQ$3/100)*Assumptions!$B$10)))))</f>
        <v/>
      </c>
      <c r="AR7" s="32">
        <f>IF((MAX(0,Assumptions!$B$2*EXP(-Assumptions!$B$4*Assumptions!$B$9)*NORMSDIST(((LN(Assumptions!$B$2/$B7)+(Assumptions!$B$3-Assumptions!$B$4+(AR$3/100)^2/2)*Assumptions!$B$9)/((AR$3/100)*Assumptions!$B$10)))-$B7*EXP(-Assumptions!$B$3*Assumptions!$B$9)*NORMSDIST((((LN(Assumptions!$B$2/$B7)+(Assumptions!$B$3-Assumptions!$B$4+(AR$3/100)^2/2)*Assumptions!$B$9)/((AR$3/100)*Assumptions!$B$10))-(AR$3/100)*Assumptions!$B$10))))&lt;=0,"",(Assumptions!$B$2*EXP(-Assumptions!$B$4*Assumptions!$B$9)*NORMDIST(((LN(Assumptions!$B$2/$B7)+(Assumptions!$B$3-Assumptions!$B$4+(AR$3/100)^2/2)*Assumptions!$B$9)/((AR$3/100)*Assumptions!$B$10)),0,1,FALSE)*Assumptions!$B$10*0.01)*((AR$3/100)/0.01)/(MAX(0,Assumptions!$B$2*EXP(-Assumptions!$B$4*Assumptions!$B$9)*NORMSDIST(((LN(Assumptions!$B$2/$B7)+(Assumptions!$B$3-Assumptions!$B$4+(AR$3/100)^2/2)*Assumptions!$B$9)/((AR$3/100)*Assumptions!$B$10)))-$B7*EXP(-Assumptions!$B$3*Assumptions!$B$9)*NORMSDIST((((LN(Assumptions!$B$2/$B7)+(Assumptions!$B$3-Assumptions!$B$4+(AR$3/100)^2/2)*Assumptions!$B$9)/((AR$3/100)*Assumptions!$B$10))-(AR$3/100)*Assumptions!$B$10)))))</f>
        <v/>
      </c>
      <c r="AS7" s="32">
        <f>IF((MAX(0,Assumptions!$B$2*EXP(-Assumptions!$B$4*Assumptions!$B$9)*NORMSDIST(((LN(Assumptions!$B$2/$B7)+(Assumptions!$B$3-Assumptions!$B$4+(AS$3/100)^2/2)*Assumptions!$B$9)/((AS$3/100)*Assumptions!$B$10)))-$B7*EXP(-Assumptions!$B$3*Assumptions!$B$9)*NORMSDIST((((LN(Assumptions!$B$2/$B7)+(Assumptions!$B$3-Assumptions!$B$4+(AS$3/100)^2/2)*Assumptions!$B$9)/((AS$3/100)*Assumptions!$B$10))-(AS$3/100)*Assumptions!$B$10))))&lt;=0,"",(Assumptions!$B$2*EXP(-Assumptions!$B$4*Assumptions!$B$9)*NORMDIST(((LN(Assumptions!$B$2/$B7)+(Assumptions!$B$3-Assumptions!$B$4+(AS$3/100)^2/2)*Assumptions!$B$9)/((AS$3/100)*Assumptions!$B$10)),0,1,FALSE)*Assumptions!$B$10*0.01)*((AS$3/100)/0.01)/(MAX(0,Assumptions!$B$2*EXP(-Assumptions!$B$4*Assumptions!$B$9)*NORMSDIST(((LN(Assumptions!$B$2/$B7)+(Assumptions!$B$3-Assumptions!$B$4+(AS$3/100)^2/2)*Assumptions!$B$9)/((AS$3/100)*Assumptions!$B$10)))-$B7*EXP(-Assumptions!$B$3*Assumptions!$B$9)*NORMSDIST((((LN(Assumptions!$B$2/$B7)+(Assumptions!$B$3-Assumptions!$B$4+(AS$3/100)^2/2)*Assumptions!$B$9)/((AS$3/100)*Assumptions!$B$10))-(AS$3/100)*Assumptions!$B$10)))))</f>
        <v/>
      </c>
      <c r="AT7" s="32">
        <f>IF((MAX(0,Assumptions!$B$2*EXP(-Assumptions!$B$4*Assumptions!$B$9)*NORMSDIST(((LN(Assumptions!$B$2/$B7)+(Assumptions!$B$3-Assumptions!$B$4+(AT$3/100)^2/2)*Assumptions!$B$9)/((AT$3/100)*Assumptions!$B$10)))-$B7*EXP(-Assumptions!$B$3*Assumptions!$B$9)*NORMSDIST((((LN(Assumptions!$B$2/$B7)+(Assumptions!$B$3-Assumptions!$B$4+(AT$3/100)^2/2)*Assumptions!$B$9)/((AT$3/100)*Assumptions!$B$10))-(AT$3/100)*Assumptions!$B$10))))&lt;=0,"",(Assumptions!$B$2*EXP(-Assumptions!$B$4*Assumptions!$B$9)*NORMDIST(((LN(Assumptions!$B$2/$B7)+(Assumptions!$B$3-Assumptions!$B$4+(AT$3/100)^2/2)*Assumptions!$B$9)/((AT$3/100)*Assumptions!$B$10)),0,1,FALSE)*Assumptions!$B$10*0.01)*((AT$3/100)/0.01)/(MAX(0,Assumptions!$B$2*EXP(-Assumptions!$B$4*Assumptions!$B$9)*NORMSDIST(((LN(Assumptions!$B$2/$B7)+(Assumptions!$B$3-Assumptions!$B$4+(AT$3/100)^2/2)*Assumptions!$B$9)/((AT$3/100)*Assumptions!$B$10)))-$B7*EXP(-Assumptions!$B$3*Assumptions!$B$9)*NORMSDIST((((LN(Assumptions!$B$2/$B7)+(Assumptions!$B$3-Assumptions!$B$4+(AT$3/100)^2/2)*Assumptions!$B$9)/((AT$3/100)*Assumptions!$B$10))-(AT$3/100)*Assumptions!$B$10)))))</f>
        <v/>
      </c>
      <c r="AU7" s="32">
        <f>IF((MAX(0,Assumptions!$B$2*EXP(-Assumptions!$B$4*Assumptions!$B$9)*NORMSDIST(((LN(Assumptions!$B$2/$B7)+(Assumptions!$B$3-Assumptions!$B$4+(AU$3/100)^2/2)*Assumptions!$B$9)/((AU$3/100)*Assumptions!$B$10)))-$B7*EXP(-Assumptions!$B$3*Assumptions!$B$9)*NORMSDIST((((LN(Assumptions!$B$2/$B7)+(Assumptions!$B$3-Assumptions!$B$4+(AU$3/100)^2/2)*Assumptions!$B$9)/((AU$3/100)*Assumptions!$B$10))-(AU$3/100)*Assumptions!$B$10))))&lt;=0,"",(Assumptions!$B$2*EXP(-Assumptions!$B$4*Assumptions!$B$9)*NORMDIST(((LN(Assumptions!$B$2/$B7)+(Assumptions!$B$3-Assumptions!$B$4+(AU$3/100)^2/2)*Assumptions!$B$9)/((AU$3/100)*Assumptions!$B$10)),0,1,FALSE)*Assumptions!$B$10*0.01)*((AU$3/100)/0.01)/(MAX(0,Assumptions!$B$2*EXP(-Assumptions!$B$4*Assumptions!$B$9)*NORMSDIST(((LN(Assumptions!$B$2/$B7)+(Assumptions!$B$3-Assumptions!$B$4+(AU$3/100)^2/2)*Assumptions!$B$9)/((AU$3/100)*Assumptions!$B$10)))-$B7*EXP(-Assumptions!$B$3*Assumptions!$B$9)*NORMSDIST((((LN(Assumptions!$B$2/$B7)+(Assumptions!$B$3-Assumptions!$B$4+(AU$3/100)^2/2)*Assumptions!$B$9)/((AU$3/100)*Assumptions!$B$10))-(AU$3/100)*Assumptions!$B$10)))))</f>
        <v/>
      </c>
      <c r="AV7" s="32">
        <f>IF((MAX(0,Assumptions!$B$2*EXP(-Assumptions!$B$4*Assumptions!$B$9)*NORMSDIST(((LN(Assumptions!$B$2/$B7)+(Assumptions!$B$3-Assumptions!$B$4+(AV$3/100)^2/2)*Assumptions!$B$9)/((AV$3/100)*Assumptions!$B$10)))-$B7*EXP(-Assumptions!$B$3*Assumptions!$B$9)*NORMSDIST((((LN(Assumptions!$B$2/$B7)+(Assumptions!$B$3-Assumptions!$B$4+(AV$3/100)^2/2)*Assumptions!$B$9)/((AV$3/100)*Assumptions!$B$10))-(AV$3/100)*Assumptions!$B$10))))&lt;=0,"",(Assumptions!$B$2*EXP(-Assumptions!$B$4*Assumptions!$B$9)*NORMDIST(((LN(Assumptions!$B$2/$B7)+(Assumptions!$B$3-Assumptions!$B$4+(AV$3/100)^2/2)*Assumptions!$B$9)/((AV$3/100)*Assumptions!$B$10)),0,1,FALSE)*Assumptions!$B$10*0.01)*((AV$3/100)/0.01)/(MAX(0,Assumptions!$B$2*EXP(-Assumptions!$B$4*Assumptions!$B$9)*NORMSDIST(((LN(Assumptions!$B$2/$B7)+(Assumptions!$B$3-Assumptions!$B$4+(AV$3/100)^2/2)*Assumptions!$B$9)/((AV$3/100)*Assumptions!$B$10)))-$B7*EXP(-Assumptions!$B$3*Assumptions!$B$9)*NORMSDIST((((LN(Assumptions!$B$2/$B7)+(Assumptions!$B$3-Assumptions!$B$4+(AV$3/100)^2/2)*Assumptions!$B$9)/((AV$3/100)*Assumptions!$B$10))-(AV$3/100)*Assumptions!$B$10)))))</f>
        <v/>
      </c>
    </row>
    <row r="8">
      <c r="A8" s="27" t="inlineStr">
        <is>
          <t>-1.00%</t>
        </is>
      </c>
      <c r="B8" s="47">
        <f>'BS Engine'!$B$6</f>
        <v/>
      </c>
      <c r="C8" s="28">
        <f>'BS Engine'!$C$6</f>
        <v/>
      </c>
      <c r="D8" s="54">
        <f>IF((MAX(0,Assumptions!$B$2*EXP(-Assumptions!$B$4*Assumptions!$B$9)*NORMSDIST(((LN(Assumptions!$B$2/$B8)+(Assumptions!$B$3-Assumptions!$B$4+(D$3/100)^2/2)*Assumptions!$B$9)/((D$3/100)*Assumptions!$B$10)))-$B8*EXP(-Assumptions!$B$3*Assumptions!$B$9)*NORMSDIST((((LN(Assumptions!$B$2/$B8)+(Assumptions!$B$3-Assumptions!$B$4+(D$3/100)^2/2)*Assumptions!$B$9)/((D$3/100)*Assumptions!$B$10))-(D$3/100)*Assumptions!$B$10))))&lt;=0,"",(Assumptions!$B$2*EXP(-Assumptions!$B$4*Assumptions!$B$9)*NORMDIST(((LN(Assumptions!$B$2/$B8)+(Assumptions!$B$3-Assumptions!$B$4+(D$3/100)^2/2)*Assumptions!$B$9)/((D$3/100)*Assumptions!$B$10)),0,1,FALSE)*Assumptions!$B$10*0.01)*((D$3/100)/0.01)/(MAX(0,Assumptions!$B$2*EXP(-Assumptions!$B$4*Assumptions!$B$9)*NORMSDIST(((LN(Assumptions!$B$2/$B8)+(Assumptions!$B$3-Assumptions!$B$4+(D$3/100)^2/2)*Assumptions!$B$9)/((D$3/100)*Assumptions!$B$10)))-$B8*EXP(-Assumptions!$B$3*Assumptions!$B$9)*NORMSDIST((((LN(Assumptions!$B$2/$B8)+(Assumptions!$B$3-Assumptions!$B$4+(D$3/100)^2/2)*Assumptions!$B$9)/((D$3/100)*Assumptions!$B$10))-(D$3/100)*Assumptions!$B$10)))))</f>
        <v/>
      </c>
      <c r="E8" s="32">
        <f>IF((MAX(0,Assumptions!$B$2*EXP(-Assumptions!$B$4*Assumptions!$B$9)*NORMSDIST(((LN(Assumptions!$B$2/$B8)+(Assumptions!$B$3-Assumptions!$B$4+(E$3/100)^2/2)*Assumptions!$B$9)/((E$3/100)*Assumptions!$B$10)))-$B8*EXP(-Assumptions!$B$3*Assumptions!$B$9)*NORMSDIST((((LN(Assumptions!$B$2/$B8)+(Assumptions!$B$3-Assumptions!$B$4+(E$3/100)^2/2)*Assumptions!$B$9)/((E$3/100)*Assumptions!$B$10))-(E$3/100)*Assumptions!$B$10))))&lt;=0,"",(Assumptions!$B$2*EXP(-Assumptions!$B$4*Assumptions!$B$9)*NORMDIST(((LN(Assumptions!$B$2/$B8)+(Assumptions!$B$3-Assumptions!$B$4+(E$3/100)^2/2)*Assumptions!$B$9)/((E$3/100)*Assumptions!$B$10)),0,1,FALSE)*Assumptions!$B$10*0.01)*((E$3/100)/0.01)/(MAX(0,Assumptions!$B$2*EXP(-Assumptions!$B$4*Assumptions!$B$9)*NORMSDIST(((LN(Assumptions!$B$2/$B8)+(Assumptions!$B$3-Assumptions!$B$4+(E$3/100)^2/2)*Assumptions!$B$9)/((E$3/100)*Assumptions!$B$10)))-$B8*EXP(-Assumptions!$B$3*Assumptions!$B$9)*NORMSDIST((((LN(Assumptions!$B$2/$B8)+(Assumptions!$B$3-Assumptions!$B$4+(E$3/100)^2/2)*Assumptions!$B$9)/((E$3/100)*Assumptions!$B$10))-(E$3/100)*Assumptions!$B$10)))))</f>
        <v/>
      </c>
      <c r="F8" s="32">
        <f>IF((MAX(0,Assumptions!$B$2*EXP(-Assumptions!$B$4*Assumptions!$B$9)*NORMSDIST(((LN(Assumptions!$B$2/$B8)+(Assumptions!$B$3-Assumptions!$B$4+(F$3/100)^2/2)*Assumptions!$B$9)/((F$3/100)*Assumptions!$B$10)))-$B8*EXP(-Assumptions!$B$3*Assumptions!$B$9)*NORMSDIST((((LN(Assumptions!$B$2/$B8)+(Assumptions!$B$3-Assumptions!$B$4+(F$3/100)^2/2)*Assumptions!$B$9)/((F$3/100)*Assumptions!$B$10))-(F$3/100)*Assumptions!$B$10))))&lt;=0,"",(Assumptions!$B$2*EXP(-Assumptions!$B$4*Assumptions!$B$9)*NORMDIST(((LN(Assumptions!$B$2/$B8)+(Assumptions!$B$3-Assumptions!$B$4+(F$3/100)^2/2)*Assumptions!$B$9)/((F$3/100)*Assumptions!$B$10)),0,1,FALSE)*Assumptions!$B$10*0.01)*((F$3/100)/0.01)/(MAX(0,Assumptions!$B$2*EXP(-Assumptions!$B$4*Assumptions!$B$9)*NORMSDIST(((LN(Assumptions!$B$2/$B8)+(Assumptions!$B$3-Assumptions!$B$4+(F$3/100)^2/2)*Assumptions!$B$9)/((F$3/100)*Assumptions!$B$10)))-$B8*EXP(-Assumptions!$B$3*Assumptions!$B$9)*NORMSDIST((((LN(Assumptions!$B$2/$B8)+(Assumptions!$B$3-Assumptions!$B$4+(F$3/100)^2/2)*Assumptions!$B$9)/((F$3/100)*Assumptions!$B$10))-(F$3/100)*Assumptions!$B$10)))))</f>
        <v/>
      </c>
      <c r="G8" s="32">
        <f>IF((MAX(0,Assumptions!$B$2*EXP(-Assumptions!$B$4*Assumptions!$B$9)*NORMSDIST(((LN(Assumptions!$B$2/$B8)+(Assumptions!$B$3-Assumptions!$B$4+(G$3/100)^2/2)*Assumptions!$B$9)/((G$3/100)*Assumptions!$B$10)))-$B8*EXP(-Assumptions!$B$3*Assumptions!$B$9)*NORMSDIST((((LN(Assumptions!$B$2/$B8)+(Assumptions!$B$3-Assumptions!$B$4+(G$3/100)^2/2)*Assumptions!$B$9)/((G$3/100)*Assumptions!$B$10))-(G$3/100)*Assumptions!$B$10))))&lt;=0,"",(Assumptions!$B$2*EXP(-Assumptions!$B$4*Assumptions!$B$9)*NORMDIST(((LN(Assumptions!$B$2/$B8)+(Assumptions!$B$3-Assumptions!$B$4+(G$3/100)^2/2)*Assumptions!$B$9)/((G$3/100)*Assumptions!$B$10)),0,1,FALSE)*Assumptions!$B$10*0.01)*((G$3/100)/0.01)/(MAX(0,Assumptions!$B$2*EXP(-Assumptions!$B$4*Assumptions!$B$9)*NORMSDIST(((LN(Assumptions!$B$2/$B8)+(Assumptions!$B$3-Assumptions!$B$4+(G$3/100)^2/2)*Assumptions!$B$9)/((G$3/100)*Assumptions!$B$10)))-$B8*EXP(-Assumptions!$B$3*Assumptions!$B$9)*NORMSDIST((((LN(Assumptions!$B$2/$B8)+(Assumptions!$B$3-Assumptions!$B$4+(G$3/100)^2/2)*Assumptions!$B$9)/((G$3/100)*Assumptions!$B$10))-(G$3/100)*Assumptions!$B$10)))))</f>
        <v/>
      </c>
      <c r="H8" s="32">
        <f>IF((MAX(0,Assumptions!$B$2*EXP(-Assumptions!$B$4*Assumptions!$B$9)*NORMSDIST(((LN(Assumptions!$B$2/$B8)+(Assumptions!$B$3-Assumptions!$B$4+(H$3/100)^2/2)*Assumptions!$B$9)/((H$3/100)*Assumptions!$B$10)))-$B8*EXP(-Assumptions!$B$3*Assumptions!$B$9)*NORMSDIST((((LN(Assumptions!$B$2/$B8)+(Assumptions!$B$3-Assumptions!$B$4+(H$3/100)^2/2)*Assumptions!$B$9)/((H$3/100)*Assumptions!$B$10))-(H$3/100)*Assumptions!$B$10))))&lt;=0,"",(Assumptions!$B$2*EXP(-Assumptions!$B$4*Assumptions!$B$9)*NORMDIST(((LN(Assumptions!$B$2/$B8)+(Assumptions!$B$3-Assumptions!$B$4+(H$3/100)^2/2)*Assumptions!$B$9)/((H$3/100)*Assumptions!$B$10)),0,1,FALSE)*Assumptions!$B$10*0.01)*((H$3/100)/0.01)/(MAX(0,Assumptions!$B$2*EXP(-Assumptions!$B$4*Assumptions!$B$9)*NORMSDIST(((LN(Assumptions!$B$2/$B8)+(Assumptions!$B$3-Assumptions!$B$4+(H$3/100)^2/2)*Assumptions!$B$9)/((H$3/100)*Assumptions!$B$10)))-$B8*EXP(-Assumptions!$B$3*Assumptions!$B$9)*NORMSDIST((((LN(Assumptions!$B$2/$B8)+(Assumptions!$B$3-Assumptions!$B$4+(H$3/100)^2/2)*Assumptions!$B$9)/((H$3/100)*Assumptions!$B$10))-(H$3/100)*Assumptions!$B$10)))))</f>
        <v/>
      </c>
      <c r="I8" s="32">
        <f>IF((MAX(0,Assumptions!$B$2*EXP(-Assumptions!$B$4*Assumptions!$B$9)*NORMSDIST(((LN(Assumptions!$B$2/$B8)+(Assumptions!$B$3-Assumptions!$B$4+(I$3/100)^2/2)*Assumptions!$B$9)/((I$3/100)*Assumptions!$B$10)))-$B8*EXP(-Assumptions!$B$3*Assumptions!$B$9)*NORMSDIST((((LN(Assumptions!$B$2/$B8)+(Assumptions!$B$3-Assumptions!$B$4+(I$3/100)^2/2)*Assumptions!$B$9)/((I$3/100)*Assumptions!$B$10))-(I$3/100)*Assumptions!$B$10))))&lt;=0,"",(Assumptions!$B$2*EXP(-Assumptions!$B$4*Assumptions!$B$9)*NORMDIST(((LN(Assumptions!$B$2/$B8)+(Assumptions!$B$3-Assumptions!$B$4+(I$3/100)^2/2)*Assumptions!$B$9)/((I$3/100)*Assumptions!$B$10)),0,1,FALSE)*Assumptions!$B$10*0.01)*((I$3/100)/0.01)/(MAX(0,Assumptions!$B$2*EXP(-Assumptions!$B$4*Assumptions!$B$9)*NORMSDIST(((LN(Assumptions!$B$2/$B8)+(Assumptions!$B$3-Assumptions!$B$4+(I$3/100)^2/2)*Assumptions!$B$9)/((I$3/100)*Assumptions!$B$10)))-$B8*EXP(-Assumptions!$B$3*Assumptions!$B$9)*NORMSDIST((((LN(Assumptions!$B$2/$B8)+(Assumptions!$B$3-Assumptions!$B$4+(I$3/100)^2/2)*Assumptions!$B$9)/((I$3/100)*Assumptions!$B$10))-(I$3/100)*Assumptions!$B$10)))))</f>
        <v/>
      </c>
      <c r="J8" s="32">
        <f>IF((MAX(0,Assumptions!$B$2*EXP(-Assumptions!$B$4*Assumptions!$B$9)*NORMSDIST(((LN(Assumptions!$B$2/$B8)+(Assumptions!$B$3-Assumptions!$B$4+(J$3/100)^2/2)*Assumptions!$B$9)/((J$3/100)*Assumptions!$B$10)))-$B8*EXP(-Assumptions!$B$3*Assumptions!$B$9)*NORMSDIST((((LN(Assumptions!$B$2/$B8)+(Assumptions!$B$3-Assumptions!$B$4+(J$3/100)^2/2)*Assumptions!$B$9)/((J$3/100)*Assumptions!$B$10))-(J$3/100)*Assumptions!$B$10))))&lt;=0,"",(Assumptions!$B$2*EXP(-Assumptions!$B$4*Assumptions!$B$9)*NORMDIST(((LN(Assumptions!$B$2/$B8)+(Assumptions!$B$3-Assumptions!$B$4+(J$3/100)^2/2)*Assumptions!$B$9)/((J$3/100)*Assumptions!$B$10)),0,1,FALSE)*Assumptions!$B$10*0.01)*((J$3/100)/0.01)/(MAX(0,Assumptions!$B$2*EXP(-Assumptions!$B$4*Assumptions!$B$9)*NORMSDIST(((LN(Assumptions!$B$2/$B8)+(Assumptions!$B$3-Assumptions!$B$4+(J$3/100)^2/2)*Assumptions!$B$9)/((J$3/100)*Assumptions!$B$10)))-$B8*EXP(-Assumptions!$B$3*Assumptions!$B$9)*NORMSDIST((((LN(Assumptions!$B$2/$B8)+(Assumptions!$B$3-Assumptions!$B$4+(J$3/100)^2/2)*Assumptions!$B$9)/((J$3/100)*Assumptions!$B$10))-(J$3/100)*Assumptions!$B$10)))))</f>
        <v/>
      </c>
      <c r="K8" s="32">
        <f>IF((MAX(0,Assumptions!$B$2*EXP(-Assumptions!$B$4*Assumptions!$B$9)*NORMSDIST(((LN(Assumptions!$B$2/$B8)+(Assumptions!$B$3-Assumptions!$B$4+(K$3/100)^2/2)*Assumptions!$B$9)/((K$3/100)*Assumptions!$B$10)))-$B8*EXP(-Assumptions!$B$3*Assumptions!$B$9)*NORMSDIST((((LN(Assumptions!$B$2/$B8)+(Assumptions!$B$3-Assumptions!$B$4+(K$3/100)^2/2)*Assumptions!$B$9)/((K$3/100)*Assumptions!$B$10))-(K$3/100)*Assumptions!$B$10))))&lt;=0,"",(Assumptions!$B$2*EXP(-Assumptions!$B$4*Assumptions!$B$9)*NORMDIST(((LN(Assumptions!$B$2/$B8)+(Assumptions!$B$3-Assumptions!$B$4+(K$3/100)^2/2)*Assumptions!$B$9)/((K$3/100)*Assumptions!$B$10)),0,1,FALSE)*Assumptions!$B$10*0.01)*((K$3/100)/0.01)/(MAX(0,Assumptions!$B$2*EXP(-Assumptions!$B$4*Assumptions!$B$9)*NORMSDIST(((LN(Assumptions!$B$2/$B8)+(Assumptions!$B$3-Assumptions!$B$4+(K$3/100)^2/2)*Assumptions!$B$9)/((K$3/100)*Assumptions!$B$10)))-$B8*EXP(-Assumptions!$B$3*Assumptions!$B$9)*NORMSDIST((((LN(Assumptions!$B$2/$B8)+(Assumptions!$B$3-Assumptions!$B$4+(K$3/100)^2/2)*Assumptions!$B$9)/((K$3/100)*Assumptions!$B$10))-(K$3/100)*Assumptions!$B$10)))))</f>
        <v/>
      </c>
      <c r="L8" s="32">
        <f>IF((MAX(0,Assumptions!$B$2*EXP(-Assumptions!$B$4*Assumptions!$B$9)*NORMSDIST(((LN(Assumptions!$B$2/$B8)+(Assumptions!$B$3-Assumptions!$B$4+(L$3/100)^2/2)*Assumptions!$B$9)/((L$3/100)*Assumptions!$B$10)))-$B8*EXP(-Assumptions!$B$3*Assumptions!$B$9)*NORMSDIST((((LN(Assumptions!$B$2/$B8)+(Assumptions!$B$3-Assumptions!$B$4+(L$3/100)^2/2)*Assumptions!$B$9)/((L$3/100)*Assumptions!$B$10))-(L$3/100)*Assumptions!$B$10))))&lt;=0,"",(Assumptions!$B$2*EXP(-Assumptions!$B$4*Assumptions!$B$9)*NORMDIST(((LN(Assumptions!$B$2/$B8)+(Assumptions!$B$3-Assumptions!$B$4+(L$3/100)^2/2)*Assumptions!$B$9)/((L$3/100)*Assumptions!$B$10)),0,1,FALSE)*Assumptions!$B$10*0.01)*((L$3/100)/0.01)/(MAX(0,Assumptions!$B$2*EXP(-Assumptions!$B$4*Assumptions!$B$9)*NORMSDIST(((LN(Assumptions!$B$2/$B8)+(Assumptions!$B$3-Assumptions!$B$4+(L$3/100)^2/2)*Assumptions!$B$9)/((L$3/100)*Assumptions!$B$10)))-$B8*EXP(-Assumptions!$B$3*Assumptions!$B$9)*NORMSDIST((((LN(Assumptions!$B$2/$B8)+(Assumptions!$B$3-Assumptions!$B$4+(L$3/100)^2/2)*Assumptions!$B$9)/((L$3/100)*Assumptions!$B$10))-(L$3/100)*Assumptions!$B$10)))))</f>
        <v/>
      </c>
      <c r="M8" s="32">
        <f>IF((MAX(0,Assumptions!$B$2*EXP(-Assumptions!$B$4*Assumptions!$B$9)*NORMSDIST(((LN(Assumptions!$B$2/$B8)+(Assumptions!$B$3-Assumptions!$B$4+(M$3/100)^2/2)*Assumptions!$B$9)/((M$3/100)*Assumptions!$B$10)))-$B8*EXP(-Assumptions!$B$3*Assumptions!$B$9)*NORMSDIST((((LN(Assumptions!$B$2/$B8)+(Assumptions!$B$3-Assumptions!$B$4+(M$3/100)^2/2)*Assumptions!$B$9)/((M$3/100)*Assumptions!$B$10))-(M$3/100)*Assumptions!$B$10))))&lt;=0,"",(Assumptions!$B$2*EXP(-Assumptions!$B$4*Assumptions!$B$9)*NORMDIST(((LN(Assumptions!$B$2/$B8)+(Assumptions!$B$3-Assumptions!$B$4+(M$3/100)^2/2)*Assumptions!$B$9)/((M$3/100)*Assumptions!$B$10)),0,1,FALSE)*Assumptions!$B$10*0.01)*((M$3/100)/0.01)/(MAX(0,Assumptions!$B$2*EXP(-Assumptions!$B$4*Assumptions!$B$9)*NORMSDIST(((LN(Assumptions!$B$2/$B8)+(Assumptions!$B$3-Assumptions!$B$4+(M$3/100)^2/2)*Assumptions!$B$9)/((M$3/100)*Assumptions!$B$10)))-$B8*EXP(-Assumptions!$B$3*Assumptions!$B$9)*NORMSDIST((((LN(Assumptions!$B$2/$B8)+(Assumptions!$B$3-Assumptions!$B$4+(M$3/100)^2/2)*Assumptions!$B$9)/((M$3/100)*Assumptions!$B$10))-(M$3/100)*Assumptions!$B$10)))))</f>
        <v/>
      </c>
      <c r="N8" s="32">
        <f>IF((MAX(0,Assumptions!$B$2*EXP(-Assumptions!$B$4*Assumptions!$B$9)*NORMSDIST(((LN(Assumptions!$B$2/$B8)+(Assumptions!$B$3-Assumptions!$B$4+(N$3/100)^2/2)*Assumptions!$B$9)/((N$3/100)*Assumptions!$B$10)))-$B8*EXP(-Assumptions!$B$3*Assumptions!$B$9)*NORMSDIST((((LN(Assumptions!$B$2/$B8)+(Assumptions!$B$3-Assumptions!$B$4+(N$3/100)^2/2)*Assumptions!$B$9)/((N$3/100)*Assumptions!$B$10))-(N$3/100)*Assumptions!$B$10))))&lt;=0,"",(Assumptions!$B$2*EXP(-Assumptions!$B$4*Assumptions!$B$9)*NORMDIST(((LN(Assumptions!$B$2/$B8)+(Assumptions!$B$3-Assumptions!$B$4+(N$3/100)^2/2)*Assumptions!$B$9)/((N$3/100)*Assumptions!$B$10)),0,1,FALSE)*Assumptions!$B$10*0.01)*((N$3/100)/0.01)/(MAX(0,Assumptions!$B$2*EXP(-Assumptions!$B$4*Assumptions!$B$9)*NORMSDIST(((LN(Assumptions!$B$2/$B8)+(Assumptions!$B$3-Assumptions!$B$4+(N$3/100)^2/2)*Assumptions!$B$9)/((N$3/100)*Assumptions!$B$10)))-$B8*EXP(-Assumptions!$B$3*Assumptions!$B$9)*NORMSDIST((((LN(Assumptions!$B$2/$B8)+(Assumptions!$B$3-Assumptions!$B$4+(N$3/100)^2/2)*Assumptions!$B$9)/((N$3/100)*Assumptions!$B$10))-(N$3/100)*Assumptions!$B$10)))))</f>
        <v/>
      </c>
      <c r="O8" s="32">
        <f>IF((MAX(0,Assumptions!$B$2*EXP(-Assumptions!$B$4*Assumptions!$B$9)*NORMSDIST(((LN(Assumptions!$B$2/$B8)+(Assumptions!$B$3-Assumptions!$B$4+(O$3/100)^2/2)*Assumptions!$B$9)/((O$3/100)*Assumptions!$B$10)))-$B8*EXP(-Assumptions!$B$3*Assumptions!$B$9)*NORMSDIST((((LN(Assumptions!$B$2/$B8)+(Assumptions!$B$3-Assumptions!$B$4+(O$3/100)^2/2)*Assumptions!$B$9)/((O$3/100)*Assumptions!$B$10))-(O$3/100)*Assumptions!$B$10))))&lt;=0,"",(Assumptions!$B$2*EXP(-Assumptions!$B$4*Assumptions!$B$9)*NORMDIST(((LN(Assumptions!$B$2/$B8)+(Assumptions!$B$3-Assumptions!$B$4+(O$3/100)^2/2)*Assumptions!$B$9)/((O$3/100)*Assumptions!$B$10)),0,1,FALSE)*Assumptions!$B$10*0.01)*((O$3/100)/0.01)/(MAX(0,Assumptions!$B$2*EXP(-Assumptions!$B$4*Assumptions!$B$9)*NORMSDIST(((LN(Assumptions!$B$2/$B8)+(Assumptions!$B$3-Assumptions!$B$4+(O$3/100)^2/2)*Assumptions!$B$9)/((O$3/100)*Assumptions!$B$10)))-$B8*EXP(-Assumptions!$B$3*Assumptions!$B$9)*NORMSDIST((((LN(Assumptions!$B$2/$B8)+(Assumptions!$B$3-Assumptions!$B$4+(O$3/100)^2/2)*Assumptions!$B$9)/((O$3/100)*Assumptions!$B$10))-(O$3/100)*Assumptions!$B$10)))))</f>
        <v/>
      </c>
      <c r="P8" s="32">
        <f>IF((MAX(0,Assumptions!$B$2*EXP(-Assumptions!$B$4*Assumptions!$B$9)*NORMSDIST(((LN(Assumptions!$B$2/$B8)+(Assumptions!$B$3-Assumptions!$B$4+(P$3/100)^2/2)*Assumptions!$B$9)/((P$3/100)*Assumptions!$B$10)))-$B8*EXP(-Assumptions!$B$3*Assumptions!$B$9)*NORMSDIST((((LN(Assumptions!$B$2/$B8)+(Assumptions!$B$3-Assumptions!$B$4+(P$3/100)^2/2)*Assumptions!$B$9)/((P$3/100)*Assumptions!$B$10))-(P$3/100)*Assumptions!$B$10))))&lt;=0,"",(Assumptions!$B$2*EXP(-Assumptions!$B$4*Assumptions!$B$9)*NORMDIST(((LN(Assumptions!$B$2/$B8)+(Assumptions!$B$3-Assumptions!$B$4+(P$3/100)^2/2)*Assumptions!$B$9)/((P$3/100)*Assumptions!$B$10)),0,1,FALSE)*Assumptions!$B$10*0.01)*((P$3/100)/0.01)/(MAX(0,Assumptions!$B$2*EXP(-Assumptions!$B$4*Assumptions!$B$9)*NORMSDIST(((LN(Assumptions!$B$2/$B8)+(Assumptions!$B$3-Assumptions!$B$4+(P$3/100)^2/2)*Assumptions!$B$9)/((P$3/100)*Assumptions!$B$10)))-$B8*EXP(-Assumptions!$B$3*Assumptions!$B$9)*NORMSDIST((((LN(Assumptions!$B$2/$B8)+(Assumptions!$B$3-Assumptions!$B$4+(P$3/100)^2/2)*Assumptions!$B$9)/((P$3/100)*Assumptions!$B$10))-(P$3/100)*Assumptions!$B$10)))))</f>
        <v/>
      </c>
      <c r="Q8" s="32">
        <f>IF((MAX(0,Assumptions!$B$2*EXP(-Assumptions!$B$4*Assumptions!$B$9)*NORMSDIST(((LN(Assumptions!$B$2/$B8)+(Assumptions!$B$3-Assumptions!$B$4+(Q$3/100)^2/2)*Assumptions!$B$9)/((Q$3/100)*Assumptions!$B$10)))-$B8*EXP(-Assumptions!$B$3*Assumptions!$B$9)*NORMSDIST((((LN(Assumptions!$B$2/$B8)+(Assumptions!$B$3-Assumptions!$B$4+(Q$3/100)^2/2)*Assumptions!$B$9)/((Q$3/100)*Assumptions!$B$10))-(Q$3/100)*Assumptions!$B$10))))&lt;=0,"",(Assumptions!$B$2*EXP(-Assumptions!$B$4*Assumptions!$B$9)*NORMDIST(((LN(Assumptions!$B$2/$B8)+(Assumptions!$B$3-Assumptions!$B$4+(Q$3/100)^2/2)*Assumptions!$B$9)/((Q$3/100)*Assumptions!$B$10)),0,1,FALSE)*Assumptions!$B$10*0.01)*((Q$3/100)/0.01)/(MAX(0,Assumptions!$B$2*EXP(-Assumptions!$B$4*Assumptions!$B$9)*NORMSDIST(((LN(Assumptions!$B$2/$B8)+(Assumptions!$B$3-Assumptions!$B$4+(Q$3/100)^2/2)*Assumptions!$B$9)/((Q$3/100)*Assumptions!$B$10)))-$B8*EXP(-Assumptions!$B$3*Assumptions!$B$9)*NORMSDIST((((LN(Assumptions!$B$2/$B8)+(Assumptions!$B$3-Assumptions!$B$4+(Q$3/100)^2/2)*Assumptions!$B$9)/((Q$3/100)*Assumptions!$B$10))-(Q$3/100)*Assumptions!$B$10)))))</f>
        <v/>
      </c>
      <c r="R8" s="32">
        <f>IF((MAX(0,Assumptions!$B$2*EXP(-Assumptions!$B$4*Assumptions!$B$9)*NORMSDIST(((LN(Assumptions!$B$2/$B8)+(Assumptions!$B$3-Assumptions!$B$4+(R$3/100)^2/2)*Assumptions!$B$9)/((R$3/100)*Assumptions!$B$10)))-$B8*EXP(-Assumptions!$B$3*Assumptions!$B$9)*NORMSDIST((((LN(Assumptions!$B$2/$B8)+(Assumptions!$B$3-Assumptions!$B$4+(R$3/100)^2/2)*Assumptions!$B$9)/((R$3/100)*Assumptions!$B$10))-(R$3/100)*Assumptions!$B$10))))&lt;=0,"",(Assumptions!$B$2*EXP(-Assumptions!$B$4*Assumptions!$B$9)*NORMDIST(((LN(Assumptions!$B$2/$B8)+(Assumptions!$B$3-Assumptions!$B$4+(R$3/100)^2/2)*Assumptions!$B$9)/((R$3/100)*Assumptions!$B$10)),0,1,FALSE)*Assumptions!$B$10*0.01)*((R$3/100)/0.01)/(MAX(0,Assumptions!$B$2*EXP(-Assumptions!$B$4*Assumptions!$B$9)*NORMSDIST(((LN(Assumptions!$B$2/$B8)+(Assumptions!$B$3-Assumptions!$B$4+(R$3/100)^2/2)*Assumptions!$B$9)/((R$3/100)*Assumptions!$B$10)))-$B8*EXP(-Assumptions!$B$3*Assumptions!$B$9)*NORMSDIST((((LN(Assumptions!$B$2/$B8)+(Assumptions!$B$3-Assumptions!$B$4+(R$3/100)^2/2)*Assumptions!$B$9)/((R$3/100)*Assumptions!$B$10))-(R$3/100)*Assumptions!$B$10)))))</f>
        <v/>
      </c>
      <c r="S8" s="32">
        <f>IF((MAX(0,Assumptions!$B$2*EXP(-Assumptions!$B$4*Assumptions!$B$9)*NORMSDIST(((LN(Assumptions!$B$2/$B8)+(Assumptions!$B$3-Assumptions!$B$4+(S$3/100)^2/2)*Assumptions!$B$9)/((S$3/100)*Assumptions!$B$10)))-$B8*EXP(-Assumptions!$B$3*Assumptions!$B$9)*NORMSDIST((((LN(Assumptions!$B$2/$B8)+(Assumptions!$B$3-Assumptions!$B$4+(S$3/100)^2/2)*Assumptions!$B$9)/((S$3/100)*Assumptions!$B$10))-(S$3/100)*Assumptions!$B$10))))&lt;=0,"",(Assumptions!$B$2*EXP(-Assumptions!$B$4*Assumptions!$B$9)*NORMDIST(((LN(Assumptions!$B$2/$B8)+(Assumptions!$B$3-Assumptions!$B$4+(S$3/100)^2/2)*Assumptions!$B$9)/((S$3/100)*Assumptions!$B$10)),0,1,FALSE)*Assumptions!$B$10*0.01)*((S$3/100)/0.01)/(MAX(0,Assumptions!$B$2*EXP(-Assumptions!$B$4*Assumptions!$B$9)*NORMSDIST(((LN(Assumptions!$B$2/$B8)+(Assumptions!$B$3-Assumptions!$B$4+(S$3/100)^2/2)*Assumptions!$B$9)/((S$3/100)*Assumptions!$B$10)))-$B8*EXP(-Assumptions!$B$3*Assumptions!$B$9)*NORMSDIST((((LN(Assumptions!$B$2/$B8)+(Assumptions!$B$3-Assumptions!$B$4+(S$3/100)^2/2)*Assumptions!$B$9)/((S$3/100)*Assumptions!$B$10))-(S$3/100)*Assumptions!$B$10)))))</f>
        <v/>
      </c>
      <c r="T8" s="32">
        <f>IF((MAX(0,Assumptions!$B$2*EXP(-Assumptions!$B$4*Assumptions!$B$9)*NORMSDIST(((LN(Assumptions!$B$2/$B8)+(Assumptions!$B$3-Assumptions!$B$4+(T$3/100)^2/2)*Assumptions!$B$9)/((T$3/100)*Assumptions!$B$10)))-$B8*EXP(-Assumptions!$B$3*Assumptions!$B$9)*NORMSDIST((((LN(Assumptions!$B$2/$B8)+(Assumptions!$B$3-Assumptions!$B$4+(T$3/100)^2/2)*Assumptions!$B$9)/((T$3/100)*Assumptions!$B$10))-(T$3/100)*Assumptions!$B$10))))&lt;=0,"",(Assumptions!$B$2*EXP(-Assumptions!$B$4*Assumptions!$B$9)*NORMDIST(((LN(Assumptions!$B$2/$B8)+(Assumptions!$B$3-Assumptions!$B$4+(T$3/100)^2/2)*Assumptions!$B$9)/((T$3/100)*Assumptions!$B$10)),0,1,FALSE)*Assumptions!$B$10*0.01)*((T$3/100)/0.01)/(MAX(0,Assumptions!$B$2*EXP(-Assumptions!$B$4*Assumptions!$B$9)*NORMSDIST(((LN(Assumptions!$B$2/$B8)+(Assumptions!$B$3-Assumptions!$B$4+(T$3/100)^2/2)*Assumptions!$B$9)/((T$3/100)*Assumptions!$B$10)))-$B8*EXP(-Assumptions!$B$3*Assumptions!$B$9)*NORMSDIST((((LN(Assumptions!$B$2/$B8)+(Assumptions!$B$3-Assumptions!$B$4+(T$3/100)^2/2)*Assumptions!$B$9)/((T$3/100)*Assumptions!$B$10))-(T$3/100)*Assumptions!$B$10)))))</f>
        <v/>
      </c>
      <c r="U8" s="32">
        <f>IF((MAX(0,Assumptions!$B$2*EXP(-Assumptions!$B$4*Assumptions!$B$9)*NORMSDIST(((LN(Assumptions!$B$2/$B8)+(Assumptions!$B$3-Assumptions!$B$4+(U$3/100)^2/2)*Assumptions!$B$9)/((U$3/100)*Assumptions!$B$10)))-$B8*EXP(-Assumptions!$B$3*Assumptions!$B$9)*NORMSDIST((((LN(Assumptions!$B$2/$B8)+(Assumptions!$B$3-Assumptions!$B$4+(U$3/100)^2/2)*Assumptions!$B$9)/((U$3/100)*Assumptions!$B$10))-(U$3/100)*Assumptions!$B$10))))&lt;=0,"",(Assumptions!$B$2*EXP(-Assumptions!$B$4*Assumptions!$B$9)*NORMDIST(((LN(Assumptions!$B$2/$B8)+(Assumptions!$B$3-Assumptions!$B$4+(U$3/100)^2/2)*Assumptions!$B$9)/((U$3/100)*Assumptions!$B$10)),0,1,FALSE)*Assumptions!$B$10*0.01)*((U$3/100)/0.01)/(MAX(0,Assumptions!$B$2*EXP(-Assumptions!$B$4*Assumptions!$B$9)*NORMSDIST(((LN(Assumptions!$B$2/$B8)+(Assumptions!$B$3-Assumptions!$B$4+(U$3/100)^2/2)*Assumptions!$B$9)/((U$3/100)*Assumptions!$B$10)))-$B8*EXP(-Assumptions!$B$3*Assumptions!$B$9)*NORMSDIST((((LN(Assumptions!$B$2/$B8)+(Assumptions!$B$3-Assumptions!$B$4+(U$3/100)^2/2)*Assumptions!$B$9)/((U$3/100)*Assumptions!$B$10))-(U$3/100)*Assumptions!$B$10)))))</f>
        <v/>
      </c>
      <c r="V8" s="32">
        <f>IF((MAX(0,Assumptions!$B$2*EXP(-Assumptions!$B$4*Assumptions!$B$9)*NORMSDIST(((LN(Assumptions!$B$2/$B8)+(Assumptions!$B$3-Assumptions!$B$4+(V$3/100)^2/2)*Assumptions!$B$9)/((V$3/100)*Assumptions!$B$10)))-$B8*EXP(-Assumptions!$B$3*Assumptions!$B$9)*NORMSDIST((((LN(Assumptions!$B$2/$B8)+(Assumptions!$B$3-Assumptions!$B$4+(V$3/100)^2/2)*Assumptions!$B$9)/((V$3/100)*Assumptions!$B$10))-(V$3/100)*Assumptions!$B$10))))&lt;=0,"",(Assumptions!$B$2*EXP(-Assumptions!$B$4*Assumptions!$B$9)*NORMDIST(((LN(Assumptions!$B$2/$B8)+(Assumptions!$B$3-Assumptions!$B$4+(V$3/100)^2/2)*Assumptions!$B$9)/((V$3/100)*Assumptions!$B$10)),0,1,FALSE)*Assumptions!$B$10*0.01)*((V$3/100)/0.01)/(MAX(0,Assumptions!$B$2*EXP(-Assumptions!$B$4*Assumptions!$B$9)*NORMSDIST(((LN(Assumptions!$B$2/$B8)+(Assumptions!$B$3-Assumptions!$B$4+(V$3/100)^2/2)*Assumptions!$B$9)/((V$3/100)*Assumptions!$B$10)))-$B8*EXP(-Assumptions!$B$3*Assumptions!$B$9)*NORMSDIST((((LN(Assumptions!$B$2/$B8)+(Assumptions!$B$3-Assumptions!$B$4+(V$3/100)^2/2)*Assumptions!$B$9)/((V$3/100)*Assumptions!$B$10))-(V$3/100)*Assumptions!$B$10)))))</f>
        <v/>
      </c>
      <c r="W8" s="32">
        <f>IF((MAX(0,Assumptions!$B$2*EXP(-Assumptions!$B$4*Assumptions!$B$9)*NORMSDIST(((LN(Assumptions!$B$2/$B8)+(Assumptions!$B$3-Assumptions!$B$4+(W$3/100)^2/2)*Assumptions!$B$9)/((W$3/100)*Assumptions!$B$10)))-$B8*EXP(-Assumptions!$B$3*Assumptions!$B$9)*NORMSDIST((((LN(Assumptions!$B$2/$B8)+(Assumptions!$B$3-Assumptions!$B$4+(W$3/100)^2/2)*Assumptions!$B$9)/((W$3/100)*Assumptions!$B$10))-(W$3/100)*Assumptions!$B$10))))&lt;=0,"",(Assumptions!$B$2*EXP(-Assumptions!$B$4*Assumptions!$B$9)*NORMDIST(((LN(Assumptions!$B$2/$B8)+(Assumptions!$B$3-Assumptions!$B$4+(W$3/100)^2/2)*Assumptions!$B$9)/((W$3/100)*Assumptions!$B$10)),0,1,FALSE)*Assumptions!$B$10*0.01)*((W$3/100)/0.01)/(MAX(0,Assumptions!$B$2*EXP(-Assumptions!$B$4*Assumptions!$B$9)*NORMSDIST(((LN(Assumptions!$B$2/$B8)+(Assumptions!$B$3-Assumptions!$B$4+(W$3/100)^2/2)*Assumptions!$B$9)/((W$3/100)*Assumptions!$B$10)))-$B8*EXP(-Assumptions!$B$3*Assumptions!$B$9)*NORMSDIST((((LN(Assumptions!$B$2/$B8)+(Assumptions!$B$3-Assumptions!$B$4+(W$3/100)^2/2)*Assumptions!$B$9)/((W$3/100)*Assumptions!$B$10))-(W$3/100)*Assumptions!$B$10)))))</f>
        <v/>
      </c>
      <c r="X8" s="32">
        <f>IF((MAX(0,Assumptions!$B$2*EXP(-Assumptions!$B$4*Assumptions!$B$9)*NORMSDIST(((LN(Assumptions!$B$2/$B8)+(Assumptions!$B$3-Assumptions!$B$4+(X$3/100)^2/2)*Assumptions!$B$9)/((X$3/100)*Assumptions!$B$10)))-$B8*EXP(-Assumptions!$B$3*Assumptions!$B$9)*NORMSDIST((((LN(Assumptions!$B$2/$B8)+(Assumptions!$B$3-Assumptions!$B$4+(X$3/100)^2/2)*Assumptions!$B$9)/((X$3/100)*Assumptions!$B$10))-(X$3/100)*Assumptions!$B$10))))&lt;=0,"",(Assumptions!$B$2*EXP(-Assumptions!$B$4*Assumptions!$B$9)*NORMDIST(((LN(Assumptions!$B$2/$B8)+(Assumptions!$B$3-Assumptions!$B$4+(X$3/100)^2/2)*Assumptions!$B$9)/((X$3/100)*Assumptions!$B$10)),0,1,FALSE)*Assumptions!$B$10*0.01)*((X$3/100)/0.01)/(MAX(0,Assumptions!$B$2*EXP(-Assumptions!$B$4*Assumptions!$B$9)*NORMSDIST(((LN(Assumptions!$B$2/$B8)+(Assumptions!$B$3-Assumptions!$B$4+(X$3/100)^2/2)*Assumptions!$B$9)/((X$3/100)*Assumptions!$B$10)))-$B8*EXP(-Assumptions!$B$3*Assumptions!$B$9)*NORMSDIST((((LN(Assumptions!$B$2/$B8)+(Assumptions!$B$3-Assumptions!$B$4+(X$3/100)^2/2)*Assumptions!$B$9)/((X$3/100)*Assumptions!$B$10))-(X$3/100)*Assumptions!$B$10)))))</f>
        <v/>
      </c>
      <c r="Y8" s="32">
        <f>IF((MAX(0,Assumptions!$B$2*EXP(-Assumptions!$B$4*Assumptions!$B$9)*NORMSDIST(((LN(Assumptions!$B$2/$B8)+(Assumptions!$B$3-Assumptions!$B$4+(Y$3/100)^2/2)*Assumptions!$B$9)/((Y$3/100)*Assumptions!$B$10)))-$B8*EXP(-Assumptions!$B$3*Assumptions!$B$9)*NORMSDIST((((LN(Assumptions!$B$2/$B8)+(Assumptions!$B$3-Assumptions!$B$4+(Y$3/100)^2/2)*Assumptions!$B$9)/((Y$3/100)*Assumptions!$B$10))-(Y$3/100)*Assumptions!$B$10))))&lt;=0,"",(Assumptions!$B$2*EXP(-Assumptions!$B$4*Assumptions!$B$9)*NORMDIST(((LN(Assumptions!$B$2/$B8)+(Assumptions!$B$3-Assumptions!$B$4+(Y$3/100)^2/2)*Assumptions!$B$9)/((Y$3/100)*Assumptions!$B$10)),0,1,FALSE)*Assumptions!$B$10*0.01)*((Y$3/100)/0.01)/(MAX(0,Assumptions!$B$2*EXP(-Assumptions!$B$4*Assumptions!$B$9)*NORMSDIST(((LN(Assumptions!$B$2/$B8)+(Assumptions!$B$3-Assumptions!$B$4+(Y$3/100)^2/2)*Assumptions!$B$9)/((Y$3/100)*Assumptions!$B$10)))-$B8*EXP(-Assumptions!$B$3*Assumptions!$B$9)*NORMSDIST((((LN(Assumptions!$B$2/$B8)+(Assumptions!$B$3-Assumptions!$B$4+(Y$3/100)^2/2)*Assumptions!$B$9)/((Y$3/100)*Assumptions!$B$10))-(Y$3/100)*Assumptions!$B$10)))))</f>
        <v/>
      </c>
      <c r="Z8" s="32">
        <f>IF((MAX(0,Assumptions!$B$2*EXP(-Assumptions!$B$4*Assumptions!$B$9)*NORMSDIST(((LN(Assumptions!$B$2/$B8)+(Assumptions!$B$3-Assumptions!$B$4+(Z$3/100)^2/2)*Assumptions!$B$9)/((Z$3/100)*Assumptions!$B$10)))-$B8*EXP(-Assumptions!$B$3*Assumptions!$B$9)*NORMSDIST((((LN(Assumptions!$B$2/$B8)+(Assumptions!$B$3-Assumptions!$B$4+(Z$3/100)^2/2)*Assumptions!$B$9)/((Z$3/100)*Assumptions!$B$10))-(Z$3/100)*Assumptions!$B$10))))&lt;=0,"",(Assumptions!$B$2*EXP(-Assumptions!$B$4*Assumptions!$B$9)*NORMDIST(((LN(Assumptions!$B$2/$B8)+(Assumptions!$B$3-Assumptions!$B$4+(Z$3/100)^2/2)*Assumptions!$B$9)/((Z$3/100)*Assumptions!$B$10)),0,1,FALSE)*Assumptions!$B$10*0.01)*((Z$3/100)/0.01)/(MAX(0,Assumptions!$B$2*EXP(-Assumptions!$B$4*Assumptions!$B$9)*NORMSDIST(((LN(Assumptions!$B$2/$B8)+(Assumptions!$B$3-Assumptions!$B$4+(Z$3/100)^2/2)*Assumptions!$B$9)/((Z$3/100)*Assumptions!$B$10)))-$B8*EXP(-Assumptions!$B$3*Assumptions!$B$9)*NORMSDIST((((LN(Assumptions!$B$2/$B8)+(Assumptions!$B$3-Assumptions!$B$4+(Z$3/100)^2/2)*Assumptions!$B$9)/((Z$3/100)*Assumptions!$B$10))-(Z$3/100)*Assumptions!$B$10)))))</f>
        <v/>
      </c>
      <c r="AA8" s="32">
        <f>IF((MAX(0,Assumptions!$B$2*EXP(-Assumptions!$B$4*Assumptions!$B$9)*NORMSDIST(((LN(Assumptions!$B$2/$B8)+(Assumptions!$B$3-Assumptions!$B$4+(AA$3/100)^2/2)*Assumptions!$B$9)/((AA$3/100)*Assumptions!$B$10)))-$B8*EXP(-Assumptions!$B$3*Assumptions!$B$9)*NORMSDIST((((LN(Assumptions!$B$2/$B8)+(Assumptions!$B$3-Assumptions!$B$4+(AA$3/100)^2/2)*Assumptions!$B$9)/((AA$3/100)*Assumptions!$B$10))-(AA$3/100)*Assumptions!$B$10))))&lt;=0,"",(Assumptions!$B$2*EXP(-Assumptions!$B$4*Assumptions!$B$9)*NORMDIST(((LN(Assumptions!$B$2/$B8)+(Assumptions!$B$3-Assumptions!$B$4+(AA$3/100)^2/2)*Assumptions!$B$9)/((AA$3/100)*Assumptions!$B$10)),0,1,FALSE)*Assumptions!$B$10*0.01)*((AA$3/100)/0.01)/(MAX(0,Assumptions!$B$2*EXP(-Assumptions!$B$4*Assumptions!$B$9)*NORMSDIST(((LN(Assumptions!$B$2/$B8)+(Assumptions!$B$3-Assumptions!$B$4+(AA$3/100)^2/2)*Assumptions!$B$9)/((AA$3/100)*Assumptions!$B$10)))-$B8*EXP(-Assumptions!$B$3*Assumptions!$B$9)*NORMSDIST((((LN(Assumptions!$B$2/$B8)+(Assumptions!$B$3-Assumptions!$B$4+(AA$3/100)^2/2)*Assumptions!$B$9)/((AA$3/100)*Assumptions!$B$10))-(AA$3/100)*Assumptions!$B$10)))))</f>
        <v/>
      </c>
      <c r="AB8" s="32">
        <f>IF((MAX(0,Assumptions!$B$2*EXP(-Assumptions!$B$4*Assumptions!$B$9)*NORMSDIST(((LN(Assumptions!$B$2/$B8)+(Assumptions!$B$3-Assumptions!$B$4+(AB$3/100)^2/2)*Assumptions!$B$9)/((AB$3/100)*Assumptions!$B$10)))-$B8*EXP(-Assumptions!$B$3*Assumptions!$B$9)*NORMSDIST((((LN(Assumptions!$B$2/$B8)+(Assumptions!$B$3-Assumptions!$B$4+(AB$3/100)^2/2)*Assumptions!$B$9)/((AB$3/100)*Assumptions!$B$10))-(AB$3/100)*Assumptions!$B$10))))&lt;=0,"",(Assumptions!$B$2*EXP(-Assumptions!$B$4*Assumptions!$B$9)*NORMDIST(((LN(Assumptions!$B$2/$B8)+(Assumptions!$B$3-Assumptions!$B$4+(AB$3/100)^2/2)*Assumptions!$B$9)/((AB$3/100)*Assumptions!$B$10)),0,1,FALSE)*Assumptions!$B$10*0.01)*((AB$3/100)/0.01)/(MAX(0,Assumptions!$B$2*EXP(-Assumptions!$B$4*Assumptions!$B$9)*NORMSDIST(((LN(Assumptions!$B$2/$B8)+(Assumptions!$B$3-Assumptions!$B$4+(AB$3/100)^2/2)*Assumptions!$B$9)/((AB$3/100)*Assumptions!$B$10)))-$B8*EXP(-Assumptions!$B$3*Assumptions!$B$9)*NORMSDIST((((LN(Assumptions!$B$2/$B8)+(Assumptions!$B$3-Assumptions!$B$4+(AB$3/100)^2/2)*Assumptions!$B$9)/((AB$3/100)*Assumptions!$B$10))-(AB$3/100)*Assumptions!$B$10)))))</f>
        <v/>
      </c>
      <c r="AC8" s="32">
        <f>IF((MAX(0,Assumptions!$B$2*EXP(-Assumptions!$B$4*Assumptions!$B$9)*NORMSDIST(((LN(Assumptions!$B$2/$B8)+(Assumptions!$B$3-Assumptions!$B$4+(AC$3/100)^2/2)*Assumptions!$B$9)/((AC$3/100)*Assumptions!$B$10)))-$B8*EXP(-Assumptions!$B$3*Assumptions!$B$9)*NORMSDIST((((LN(Assumptions!$B$2/$B8)+(Assumptions!$B$3-Assumptions!$B$4+(AC$3/100)^2/2)*Assumptions!$B$9)/((AC$3/100)*Assumptions!$B$10))-(AC$3/100)*Assumptions!$B$10))))&lt;=0,"",(Assumptions!$B$2*EXP(-Assumptions!$B$4*Assumptions!$B$9)*NORMDIST(((LN(Assumptions!$B$2/$B8)+(Assumptions!$B$3-Assumptions!$B$4+(AC$3/100)^2/2)*Assumptions!$B$9)/((AC$3/100)*Assumptions!$B$10)),0,1,FALSE)*Assumptions!$B$10*0.01)*((AC$3/100)/0.01)/(MAX(0,Assumptions!$B$2*EXP(-Assumptions!$B$4*Assumptions!$B$9)*NORMSDIST(((LN(Assumptions!$B$2/$B8)+(Assumptions!$B$3-Assumptions!$B$4+(AC$3/100)^2/2)*Assumptions!$B$9)/((AC$3/100)*Assumptions!$B$10)))-$B8*EXP(-Assumptions!$B$3*Assumptions!$B$9)*NORMSDIST((((LN(Assumptions!$B$2/$B8)+(Assumptions!$B$3-Assumptions!$B$4+(AC$3/100)^2/2)*Assumptions!$B$9)/((AC$3/100)*Assumptions!$B$10))-(AC$3/100)*Assumptions!$B$10)))))</f>
        <v/>
      </c>
      <c r="AD8" s="32">
        <f>IF((MAX(0,Assumptions!$B$2*EXP(-Assumptions!$B$4*Assumptions!$B$9)*NORMSDIST(((LN(Assumptions!$B$2/$B8)+(Assumptions!$B$3-Assumptions!$B$4+(AD$3/100)^2/2)*Assumptions!$B$9)/((AD$3/100)*Assumptions!$B$10)))-$B8*EXP(-Assumptions!$B$3*Assumptions!$B$9)*NORMSDIST((((LN(Assumptions!$B$2/$B8)+(Assumptions!$B$3-Assumptions!$B$4+(AD$3/100)^2/2)*Assumptions!$B$9)/((AD$3/100)*Assumptions!$B$10))-(AD$3/100)*Assumptions!$B$10))))&lt;=0,"",(Assumptions!$B$2*EXP(-Assumptions!$B$4*Assumptions!$B$9)*NORMDIST(((LN(Assumptions!$B$2/$B8)+(Assumptions!$B$3-Assumptions!$B$4+(AD$3/100)^2/2)*Assumptions!$B$9)/((AD$3/100)*Assumptions!$B$10)),0,1,FALSE)*Assumptions!$B$10*0.01)*((AD$3/100)/0.01)/(MAX(0,Assumptions!$B$2*EXP(-Assumptions!$B$4*Assumptions!$B$9)*NORMSDIST(((LN(Assumptions!$B$2/$B8)+(Assumptions!$B$3-Assumptions!$B$4+(AD$3/100)^2/2)*Assumptions!$B$9)/((AD$3/100)*Assumptions!$B$10)))-$B8*EXP(-Assumptions!$B$3*Assumptions!$B$9)*NORMSDIST((((LN(Assumptions!$B$2/$B8)+(Assumptions!$B$3-Assumptions!$B$4+(AD$3/100)^2/2)*Assumptions!$B$9)/((AD$3/100)*Assumptions!$B$10))-(AD$3/100)*Assumptions!$B$10)))))</f>
        <v/>
      </c>
      <c r="AE8" s="32">
        <f>IF((MAX(0,Assumptions!$B$2*EXP(-Assumptions!$B$4*Assumptions!$B$9)*NORMSDIST(((LN(Assumptions!$B$2/$B8)+(Assumptions!$B$3-Assumptions!$B$4+(AE$3/100)^2/2)*Assumptions!$B$9)/((AE$3/100)*Assumptions!$B$10)))-$B8*EXP(-Assumptions!$B$3*Assumptions!$B$9)*NORMSDIST((((LN(Assumptions!$B$2/$B8)+(Assumptions!$B$3-Assumptions!$B$4+(AE$3/100)^2/2)*Assumptions!$B$9)/((AE$3/100)*Assumptions!$B$10))-(AE$3/100)*Assumptions!$B$10))))&lt;=0,"",(Assumptions!$B$2*EXP(-Assumptions!$B$4*Assumptions!$B$9)*NORMDIST(((LN(Assumptions!$B$2/$B8)+(Assumptions!$B$3-Assumptions!$B$4+(AE$3/100)^2/2)*Assumptions!$B$9)/((AE$3/100)*Assumptions!$B$10)),0,1,FALSE)*Assumptions!$B$10*0.01)*((AE$3/100)/0.01)/(MAX(0,Assumptions!$B$2*EXP(-Assumptions!$B$4*Assumptions!$B$9)*NORMSDIST(((LN(Assumptions!$B$2/$B8)+(Assumptions!$B$3-Assumptions!$B$4+(AE$3/100)^2/2)*Assumptions!$B$9)/((AE$3/100)*Assumptions!$B$10)))-$B8*EXP(-Assumptions!$B$3*Assumptions!$B$9)*NORMSDIST((((LN(Assumptions!$B$2/$B8)+(Assumptions!$B$3-Assumptions!$B$4+(AE$3/100)^2/2)*Assumptions!$B$9)/((AE$3/100)*Assumptions!$B$10))-(AE$3/100)*Assumptions!$B$10)))))</f>
        <v/>
      </c>
      <c r="AF8" s="32">
        <f>IF((MAX(0,Assumptions!$B$2*EXP(-Assumptions!$B$4*Assumptions!$B$9)*NORMSDIST(((LN(Assumptions!$B$2/$B8)+(Assumptions!$B$3-Assumptions!$B$4+(AF$3/100)^2/2)*Assumptions!$B$9)/((AF$3/100)*Assumptions!$B$10)))-$B8*EXP(-Assumptions!$B$3*Assumptions!$B$9)*NORMSDIST((((LN(Assumptions!$B$2/$B8)+(Assumptions!$B$3-Assumptions!$B$4+(AF$3/100)^2/2)*Assumptions!$B$9)/((AF$3/100)*Assumptions!$B$10))-(AF$3/100)*Assumptions!$B$10))))&lt;=0,"",(Assumptions!$B$2*EXP(-Assumptions!$B$4*Assumptions!$B$9)*NORMDIST(((LN(Assumptions!$B$2/$B8)+(Assumptions!$B$3-Assumptions!$B$4+(AF$3/100)^2/2)*Assumptions!$B$9)/((AF$3/100)*Assumptions!$B$10)),0,1,FALSE)*Assumptions!$B$10*0.01)*((AF$3/100)/0.01)/(MAX(0,Assumptions!$B$2*EXP(-Assumptions!$B$4*Assumptions!$B$9)*NORMSDIST(((LN(Assumptions!$B$2/$B8)+(Assumptions!$B$3-Assumptions!$B$4+(AF$3/100)^2/2)*Assumptions!$B$9)/((AF$3/100)*Assumptions!$B$10)))-$B8*EXP(-Assumptions!$B$3*Assumptions!$B$9)*NORMSDIST((((LN(Assumptions!$B$2/$B8)+(Assumptions!$B$3-Assumptions!$B$4+(AF$3/100)^2/2)*Assumptions!$B$9)/((AF$3/100)*Assumptions!$B$10))-(AF$3/100)*Assumptions!$B$10)))))</f>
        <v/>
      </c>
      <c r="AG8" s="32">
        <f>IF((MAX(0,Assumptions!$B$2*EXP(-Assumptions!$B$4*Assumptions!$B$9)*NORMSDIST(((LN(Assumptions!$B$2/$B8)+(Assumptions!$B$3-Assumptions!$B$4+(AG$3/100)^2/2)*Assumptions!$B$9)/((AG$3/100)*Assumptions!$B$10)))-$B8*EXP(-Assumptions!$B$3*Assumptions!$B$9)*NORMSDIST((((LN(Assumptions!$B$2/$B8)+(Assumptions!$B$3-Assumptions!$B$4+(AG$3/100)^2/2)*Assumptions!$B$9)/((AG$3/100)*Assumptions!$B$10))-(AG$3/100)*Assumptions!$B$10))))&lt;=0,"",(Assumptions!$B$2*EXP(-Assumptions!$B$4*Assumptions!$B$9)*NORMDIST(((LN(Assumptions!$B$2/$B8)+(Assumptions!$B$3-Assumptions!$B$4+(AG$3/100)^2/2)*Assumptions!$B$9)/((AG$3/100)*Assumptions!$B$10)),0,1,FALSE)*Assumptions!$B$10*0.01)*((AG$3/100)/0.01)/(MAX(0,Assumptions!$B$2*EXP(-Assumptions!$B$4*Assumptions!$B$9)*NORMSDIST(((LN(Assumptions!$B$2/$B8)+(Assumptions!$B$3-Assumptions!$B$4+(AG$3/100)^2/2)*Assumptions!$B$9)/((AG$3/100)*Assumptions!$B$10)))-$B8*EXP(-Assumptions!$B$3*Assumptions!$B$9)*NORMSDIST((((LN(Assumptions!$B$2/$B8)+(Assumptions!$B$3-Assumptions!$B$4+(AG$3/100)^2/2)*Assumptions!$B$9)/((AG$3/100)*Assumptions!$B$10))-(AG$3/100)*Assumptions!$B$10)))))</f>
        <v/>
      </c>
      <c r="AH8" s="32">
        <f>IF((MAX(0,Assumptions!$B$2*EXP(-Assumptions!$B$4*Assumptions!$B$9)*NORMSDIST(((LN(Assumptions!$B$2/$B8)+(Assumptions!$B$3-Assumptions!$B$4+(AH$3/100)^2/2)*Assumptions!$B$9)/((AH$3/100)*Assumptions!$B$10)))-$B8*EXP(-Assumptions!$B$3*Assumptions!$B$9)*NORMSDIST((((LN(Assumptions!$B$2/$B8)+(Assumptions!$B$3-Assumptions!$B$4+(AH$3/100)^2/2)*Assumptions!$B$9)/((AH$3/100)*Assumptions!$B$10))-(AH$3/100)*Assumptions!$B$10))))&lt;=0,"",(Assumptions!$B$2*EXP(-Assumptions!$B$4*Assumptions!$B$9)*NORMDIST(((LN(Assumptions!$B$2/$B8)+(Assumptions!$B$3-Assumptions!$B$4+(AH$3/100)^2/2)*Assumptions!$B$9)/((AH$3/100)*Assumptions!$B$10)),0,1,FALSE)*Assumptions!$B$10*0.01)*((AH$3/100)/0.01)/(MAX(0,Assumptions!$B$2*EXP(-Assumptions!$B$4*Assumptions!$B$9)*NORMSDIST(((LN(Assumptions!$B$2/$B8)+(Assumptions!$B$3-Assumptions!$B$4+(AH$3/100)^2/2)*Assumptions!$B$9)/((AH$3/100)*Assumptions!$B$10)))-$B8*EXP(-Assumptions!$B$3*Assumptions!$B$9)*NORMSDIST((((LN(Assumptions!$B$2/$B8)+(Assumptions!$B$3-Assumptions!$B$4+(AH$3/100)^2/2)*Assumptions!$B$9)/((AH$3/100)*Assumptions!$B$10))-(AH$3/100)*Assumptions!$B$10)))))</f>
        <v/>
      </c>
      <c r="AI8" s="32">
        <f>IF((MAX(0,Assumptions!$B$2*EXP(-Assumptions!$B$4*Assumptions!$B$9)*NORMSDIST(((LN(Assumptions!$B$2/$B8)+(Assumptions!$B$3-Assumptions!$B$4+(AI$3/100)^2/2)*Assumptions!$B$9)/((AI$3/100)*Assumptions!$B$10)))-$B8*EXP(-Assumptions!$B$3*Assumptions!$B$9)*NORMSDIST((((LN(Assumptions!$B$2/$B8)+(Assumptions!$B$3-Assumptions!$B$4+(AI$3/100)^2/2)*Assumptions!$B$9)/((AI$3/100)*Assumptions!$B$10))-(AI$3/100)*Assumptions!$B$10))))&lt;=0,"",(Assumptions!$B$2*EXP(-Assumptions!$B$4*Assumptions!$B$9)*NORMDIST(((LN(Assumptions!$B$2/$B8)+(Assumptions!$B$3-Assumptions!$B$4+(AI$3/100)^2/2)*Assumptions!$B$9)/((AI$3/100)*Assumptions!$B$10)),0,1,FALSE)*Assumptions!$B$10*0.01)*((AI$3/100)/0.01)/(MAX(0,Assumptions!$B$2*EXP(-Assumptions!$B$4*Assumptions!$B$9)*NORMSDIST(((LN(Assumptions!$B$2/$B8)+(Assumptions!$B$3-Assumptions!$B$4+(AI$3/100)^2/2)*Assumptions!$B$9)/((AI$3/100)*Assumptions!$B$10)))-$B8*EXP(-Assumptions!$B$3*Assumptions!$B$9)*NORMSDIST((((LN(Assumptions!$B$2/$B8)+(Assumptions!$B$3-Assumptions!$B$4+(AI$3/100)^2/2)*Assumptions!$B$9)/((AI$3/100)*Assumptions!$B$10))-(AI$3/100)*Assumptions!$B$10)))))</f>
        <v/>
      </c>
      <c r="AJ8" s="32">
        <f>IF((MAX(0,Assumptions!$B$2*EXP(-Assumptions!$B$4*Assumptions!$B$9)*NORMSDIST(((LN(Assumptions!$B$2/$B8)+(Assumptions!$B$3-Assumptions!$B$4+(AJ$3/100)^2/2)*Assumptions!$B$9)/((AJ$3/100)*Assumptions!$B$10)))-$B8*EXP(-Assumptions!$B$3*Assumptions!$B$9)*NORMSDIST((((LN(Assumptions!$B$2/$B8)+(Assumptions!$B$3-Assumptions!$B$4+(AJ$3/100)^2/2)*Assumptions!$B$9)/((AJ$3/100)*Assumptions!$B$10))-(AJ$3/100)*Assumptions!$B$10))))&lt;=0,"",(Assumptions!$B$2*EXP(-Assumptions!$B$4*Assumptions!$B$9)*NORMDIST(((LN(Assumptions!$B$2/$B8)+(Assumptions!$B$3-Assumptions!$B$4+(AJ$3/100)^2/2)*Assumptions!$B$9)/((AJ$3/100)*Assumptions!$B$10)),0,1,FALSE)*Assumptions!$B$10*0.01)*((AJ$3/100)/0.01)/(MAX(0,Assumptions!$B$2*EXP(-Assumptions!$B$4*Assumptions!$B$9)*NORMSDIST(((LN(Assumptions!$B$2/$B8)+(Assumptions!$B$3-Assumptions!$B$4+(AJ$3/100)^2/2)*Assumptions!$B$9)/((AJ$3/100)*Assumptions!$B$10)))-$B8*EXP(-Assumptions!$B$3*Assumptions!$B$9)*NORMSDIST((((LN(Assumptions!$B$2/$B8)+(Assumptions!$B$3-Assumptions!$B$4+(AJ$3/100)^2/2)*Assumptions!$B$9)/((AJ$3/100)*Assumptions!$B$10))-(AJ$3/100)*Assumptions!$B$10)))))</f>
        <v/>
      </c>
      <c r="AK8" s="32">
        <f>IF((MAX(0,Assumptions!$B$2*EXP(-Assumptions!$B$4*Assumptions!$B$9)*NORMSDIST(((LN(Assumptions!$B$2/$B8)+(Assumptions!$B$3-Assumptions!$B$4+(AK$3/100)^2/2)*Assumptions!$B$9)/((AK$3/100)*Assumptions!$B$10)))-$B8*EXP(-Assumptions!$B$3*Assumptions!$B$9)*NORMSDIST((((LN(Assumptions!$B$2/$B8)+(Assumptions!$B$3-Assumptions!$B$4+(AK$3/100)^2/2)*Assumptions!$B$9)/((AK$3/100)*Assumptions!$B$10))-(AK$3/100)*Assumptions!$B$10))))&lt;=0,"",(Assumptions!$B$2*EXP(-Assumptions!$B$4*Assumptions!$B$9)*NORMDIST(((LN(Assumptions!$B$2/$B8)+(Assumptions!$B$3-Assumptions!$B$4+(AK$3/100)^2/2)*Assumptions!$B$9)/((AK$3/100)*Assumptions!$B$10)),0,1,FALSE)*Assumptions!$B$10*0.01)*((AK$3/100)/0.01)/(MAX(0,Assumptions!$B$2*EXP(-Assumptions!$B$4*Assumptions!$B$9)*NORMSDIST(((LN(Assumptions!$B$2/$B8)+(Assumptions!$B$3-Assumptions!$B$4+(AK$3/100)^2/2)*Assumptions!$B$9)/((AK$3/100)*Assumptions!$B$10)))-$B8*EXP(-Assumptions!$B$3*Assumptions!$B$9)*NORMSDIST((((LN(Assumptions!$B$2/$B8)+(Assumptions!$B$3-Assumptions!$B$4+(AK$3/100)^2/2)*Assumptions!$B$9)/((AK$3/100)*Assumptions!$B$10))-(AK$3/100)*Assumptions!$B$10)))))</f>
        <v/>
      </c>
      <c r="AL8" s="32">
        <f>IF((MAX(0,Assumptions!$B$2*EXP(-Assumptions!$B$4*Assumptions!$B$9)*NORMSDIST(((LN(Assumptions!$B$2/$B8)+(Assumptions!$B$3-Assumptions!$B$4+(AL$3/100)^2/2)*Assumptions!$B$9)/((AL$3/100)*Assumptions!$B$10)))-$B8*EXP(-Assumptions!$B$3*Assumptions!$B$9)*NORMSDIST((((LN(Assumptions!$B$2/$B8)+(Assumptions!$B$3-Assumptions!$B$4+(AL$3/100)^2/2)*Assumptions!$B$9)/((AL$3/100)*Assumptions!$B$10))-(AL$3/100)*Assumptions!$B$10))))&lt;=0,"",(Assumptions!$B$2*EXP(-Assumptions!$B$4*Assumptions!$B$9)*NORMDIST(((LN(Assumptions!$B$2/$B8)+(Assumptions!$B$3-Assumptions!$B$4+(AL$3/100)^2/2)*Assumptions!$B$9)/((AL$3/100)*Assumptions!$B$10)),0,1,FALSE)*Assumptions!$B$10*0.01)*((AL$3/100)/0.01)/(MAX(0,Assumptions!$B$2*EXP(-Assumptions!$B$4*Assumptions!$B$9)*NORMSDIST(((LN(Assumptions!$B$2/$B8)+(Assumptions!$B$3-Assumptions!$B$4+(AL$3/100)^2/2)*Assumptions!$B$9)/((AL$3/100)*Assumptions!$B$10)))-$B8*EXP(-Assumptions!$B$3*Assumptions!$B$9)*NORMSDIST((((LN(Assumptions!$B$2/$B8)+(Assumptions!$B$3-Assumptions!$B$4+(AL$3/100)^2/2)*Assumptions!$B$9)/((AL$3/100)*Assumptions!$B$10))-(AL$3/100)*Assumptions!$B$10)))))</f>
        <v/>
      </c>
      <c r="AM8" s="32">
        <f>IF((MAX(0,Assumptions!$B$2*EXP(-Assumptions!$B$4*Assumptions!$B$9)*NORMSDIST(((LN(Assumptions!$B$2/$B8)+(Assumptions!$B$3-Assumptions!$B$4+(AM$3/100)^2/2)*Assumptions!$B$9)/((AM$3/100)*Assumptions!$B$10)))-$B8*EXP(-Assumptions!$B$3*Assumptions!$B$9)*NORMSDIST((((LN(Assumptions!$B$2/$B8)+(Assumptions!$B$3-Assumptions!$B$4+(AM$3/100)^2/2)*Assumptions!$B$9)/((AM$3/100)*Assumptions!$B$10))-(AM$3/100)*Assumptions!$B$10))))&lt;=0,"",(Assumptions!$B$2*EXP(-Assumptions!$B$4*Assumptions!$B$9)*NORMDIST(((LN(Assumptions!$B$2/$B8)+(Assumptions!$B$3-Assumptions!$B$4+(AM$3/100)^2/2)*Assumptions!$B$9)/((AM$3/100)*Assumptions!$B$10)),0,1,FALSE)*Assumptions!$B$10*0.01)*((AM$3/100)/0.01)/(MAX(0,Assumptions!$B$2*EXP(-Assumptions!$B$4*Assumptions!$B$9)*NORMSDIST(((LN(Assumptions!$B$2/$B8)+(Assumptions!$B$3-Assumptions!$B$4+(AM$3/100)^2/2)*Assumptions!$B$9)/((AM$3/100)*Assumptions!$B$10)))-$B8*EXP(-Assumptions!$B$3*Assumptions!$B$9)*NORMSDIST((((LN(Assumptions!$B$2/$B8)+(Assumptions!$B$3-Assumptions!$B$4+(AM$3/100)^2/2)*Assumptions!$B$9)/((AM$3/100)*Assumptions!$B$10))-(AM$3/100)*Assumptions!$B$10)))))</f>
        <v/>
      </c>
      <c r="AN8" s="32">
        <f>IF((MAX(0,Assumptions!$B$2*EXP(-Assumptions!$B$4*Assumptions!$B$9)*NORMSDIST(((LN(Assumptions!$B$2/$B8)+(Assumptions!$B$3-Assumptions!$B$4+(AN$3/100)^2/2)*Assumptions!$B$9)/((AN$3/100)*Assumptions!$B$10)))-$B8*EXP(-Assumptions!$B$3*Assumptions!$B$9)*NORMSDIST((((LN(Assumptions!$B$2/$B8)+(Assumptions!$B$3-Assumptions!$B$4+(AN$3/100)^2/2)*Assumptions!$B$9)/((AN$3/100)*Assumptions!$B$10))-(AN$3/100)*Assumptions!$B$10))))&lt;=0,"",(Assumptions!$B$2*EXP(-Assumptions!$B$4*Assumptions!$B$9)*NORMDIST(((LN(Assumptions!$B$2/$B8)+(Assumptions!$B$3-Assumptions!$B$4+(AN$3/100)^2/2)*Assumptions!$B$9)/((AN$3/100)*Assumptions!$B$10)),0,1,FALSE)*Assumptions!$B$10*0.01)*((AN$3/100)/0.01)/(MAX(0,Assumptions!$B$2*EXP(-Assumptions!$B$4*Assumptions!$B$9)*NORMSDIST(((LN(Assumptions!$B$2/$B8)+(Assumptions!$B$3-Assumptions!$B$4+(AN$3/100)^2/2)*Assumptions!$B$9)/((AN$3/100)*Assumptions!$B$10)))-$B8*EXP(-Assumptions!$B$3*Assumptions!$B$9)*NORMSDIST((((LN(Assumptions!$B$2/$B8)+(Assumptions!$B$3-Assumptions!$B$4+(AN$3/100)^2/2)*Assumptions!$B$9)/((AN$3/100)*Assumptions!$B$10))-(AN$3/100)*Assumptions!$B$10)))))</f>
        <v/>
      </c>
      <c r="AO8" s="32">
        <f>IF((MAX(0,Assumptions!$B$2*EXP(-Assumptions!$B$4*Assumptions!$B$9)*NORMSDIST(((LN(Assumptions!$B$2/$B8)+(Assumptions!$B$3-Assumptions!$B$4+(AO$3/100)^2/2)*Assumptions!$B$9)/((AO$3/100)*Assumptions!$B$10)))-$B8*EXP(-Assumptions!$B$3*Assumptions!$B$9)*NORMSDIST((((LN(Assumptions!$B$2/$B8)+(Assumptions!$B$3-Assumptions!$B$4+(AO$3/100)^2/2)*Assumptions!$B$9)/((AO$3/100)*Assumptions!$B$10))-(AO$3/100)*Assumptions!$B$10))))&lt;=0,"",(Assumptions!$B$2*EXP(-Assumptions!$B$4*Assumptions!$B$9)*NORMDIST(((LN(Assumptions!$B$2/$B8)+(Assumptions!$B$3-Assumptions!$B$4+(AO$3/100)^2/2)*Assumptions!$B$9)/((AO$3/100)*Assumptions!$B$10)),0,1,FALSE)*Assumptions!$B$10*0.01)*((AO$3/100)/0.01)/(MAX(0,Assumptions!$B$2*EXP(-Assumptions!$B$4*Assumptions!$B$9)*NORMSDIST(((LN(Assumptions!$B$2/$B8)+(Assumptions!$B$3-Assumptions!$B$4+(AO$3/100)^2/2)*Assumptions!$B$9)/((AO$3/100)*Assumptions!$B$10)))-$B8*EXP(-Assumptions!$B$3*Assumptions!$B$9)*NORMSDIST((((LN(Assumptions!$B$2/$B8)+(Assumptions!$B$3-Assumptions!$B$4+(AO$3/100)^2/2)*Assumptions!$B$9)/((AO$3/100)*Assumptions!$B$10))-(AO$3/100)*Assumptions!$B$10)))))</f>
        <v/>
      </c>
      <c r="AP8" s="32">
        <f>IF((MAX(0,Assumptions!$B$2*EXP(-Assumptions!$B$4*Assumptions!$B$9)*NORMSDIST(((LN(Assumptions!$B$2/$B8)+(Assumptions!$B$3-Assumptions!$B$4+(AP$3/100)^2/2)*Assumptions!$B$9)/((AP$3/100)*Assumptions!$B$10)))-$B8*EXP(-Assumptions!$B$3*Assumptions!$B$9)*NORMSDIST((((LN(Assumptions!$B$2/$B8)+(Assumptions!$B$3-Assumptions!$B$4+(AP$3/100)^2/2)*Assumptions!$B$9)/((AP$3/100)*Assumptions!$B$10))-(AP$3/100)*Assumptions!$B$10))))&lt;=0,"",(Assumptions!$B$2*EXP(-Assumptions!$B$4*Assumptions!$B$9)*NORMDIST(((LN(Assumptions!$B$2/$B8)+(Assumptions!$B$3-Assumptions!$B$4+(AP$3/100)^2/2)*Assumptions!$B$9)/((AP$3/100)*Assumptions!$B$10)),0,1,FALSE)*Assumptions!$B$10*0.01)*((AP$3/100)/0.01)/(MAX(0,Assumptions!$B$2*EXP(-Assumptions!$B$4*Assumptions!$B$9)*NORMSDIST(((LN(Assumptions!$B$2/$B8)+(Assumptions!$B$3-Assumptions!$B$4+(AP$3/100)^2/2)*Assumptions!$B$9)/((AP$3/100)*Assumptions!$B$10)))-$B8*EXP(-Assumptions!$B$3*Assumptions!$B$9)*NORMSDIST((((LN(Assumptions!$B$2/$B8)+(Assumptions!$B$3-Assumptions!$B$4+(AP$3/100)^2/2)*Assumptions!$B$9)/((AP$3/100)*Assumptions!$B$10))-(AP$3/100)*Assumptions!$B$10)))))</f>
        <v/>
      </c>
      <c r="AQ8" s="32">
        <f>IF((MAX(0,Assumptions!$B$2*EXP(-Assumptions!$B$4*Assumptions!$B$9)*NORMSDIST(((LN(Assumptions!$B$2/$B8)+(Assumptions!$B$3-Assumptions!$B$4+(AQ$3/100)^2/2)*Assumptions!$B$9)/((AQ$3/100)*Assumptions!$B$10)))-$B8*EXP(-Assumptions!$B$3*Assumptions!$B$9)*NORMSDIST((((LN(Assumptions!$B$2/$B8)+(Assumptions!$B$3-Assumptions!$B$4+(AQ$3/100)^2/2)*Assumptions!$B$9)/((AQ$3/100)*Assumptions!$B$10))-(AQ$3/100)*Assumptions!$B$10))))&lt;=0,"",(Assumptions!$B$2*EXP(-Assumptions!$B$4*Assumptions!$B$9)*NORMDIST(((LN(Assumptions!$B$2/$B8)+(Assumptions!$B$3-Assumptions!$B$4+(AQ$3/100)^2/2)*Assumptions!$B$9)/((AQ$3/100)*Assumptions!$B$10)),0,1,FALSE)*Assumptions!$B$10*0.01)*((AQ$3/100)/0.01)/(MAX(0,Assumptions!$B$2*EXP(-Assumptions!$B$4*Assumptions!$B$9)*NORMSDIST(((LN(Assumptions!$B$2/$B8)+(Assumptions!$B$3-Assumptions!$B$4+(AQ$3/100)^2/2)*Assumptions!$B$9)/((AQ$3/100)*Assumptions!$B$10)))-$B8*EXP(-Assumptions!$B$3*Assumptions!$B$9)*NORMSDIST((((LN(Assumptions!$B$2/$B8)+(Assumptions!$B$3-Assumptions!$B$4+(AQ$3/100)^2/2)*Assumptions!$B$9)/((AQ$3/100)*Assumptions!$B$10))-(AQ$3/100)*Assumptions!$B$10)))))</f>
        <v/>
      </c>
      <c r="AR8" s="32">
        <f>IF((MAX(0,Assumptions!$B$2*EXP(-Assumptions!$B$4*Assumptions!$B$9)*NORMSDIST(((LN(Assumptions!$B$2/$B8)+(Assumptions!$B$3-Assumptions!$B$4+(AR$3/100)^2/2)*Assumptions!$B$9)/((AR$3/100)*Assumptions!$B$10)))-$B8*EXP(-Assumptions!$B$3*Assumptions!$B$9)*NORMSDIST((((LN(Assumptions!$B$2/$B8)+(Assumptions!$B$3-Assumptions!$B$4+(AR$3/100)^2/2)*Assumptions!$B$9)/((AR$3/100)*Assumptions!$B$10))-(AR$3/100)*Assumptions!$B$10))))&lt;=0,"",(Assumptions!$B$2*EXP(-Assumptions!$B$4*Assumptions!$B$9)*NORMDIST(((LN(Assumptions!$B$2/$B8)+(Assumptions!$B$3-Assumptions!$B$4+(AR$3/100)^2/2)*Assumptions!$B$9)/((AR$3/100)*Assumptions!$B$10)),0,1,FALSE)*Assumptions!$B$10*0.01)*((AR$3/100)/0.01)/(MAX(0,Assumptions!$B$2*EXP(-Assumptions!$B$4*Assumptions!$B$9)*NORMSDIST(((LN(Assumptions!$B$2/$B8)+(Assumptions!$B$3-Assumptions!$B$4+(AR$3/100)^2/2)*Assumptions!$B$9)/((AR$3/100)*Assumptions!$B$10)))-$B8*EXP(-Assumptions!$B$3*Assumptions!$B$9)*NORMSDIST((((LN(Assumptions!$B$2/$B8)+(Assumptions!$B$3-Assumptions!$B$4+(AR$3/100)^2/2)*Assumptions!$B$9)/((AR$3/100)*Assumptions!$B$10))-(AR$3/100)*Assumptions!$B$10)))))</f>
        <v/>
      </c>
      <c r="AS8" s="32">
        <f>IF((MAX(0,Assumptions!$B$2*EXP(-Assumptions!$B$4*Assumptions!$B$9)*NORMSDIST(((LN(Assumptions!$B$2/$B8)+(Assumptions!$B$3-Assumptions!$B$4+(AS$3/100)^2/2)*Assumptions!$B$9)/((AS$3/100)*Assumptions!$B$10)))-$B8*EXP(-Assumptions!$B$3*Assumptions!$B$9)*NORMSDIST((((LN(Assumptions!$B$2/$B8)+(Assumptions!$B$3-Assumptions!$B$4+(AS$3/100)^2/2)*Assumptions!$B$9)/((AS$3/100)*Assumptions!$B$10))-(AS$3/100)*Assumptions!$B$10))))&lt;=0,"",(Assumptions!$B$2*EXP(-Assumptions!$B$4*Assumptions!$B$9)*NORMDIST(((LN(Assumptions!$B$2/$B8)+(Assumptions!$B$3-Assumptions!$B$4+(AS$3/100)^2/2)*Assumptions!$B$9)/((AS$3/100)*Assumptions!$B$10)),0,1,FALSE)*Assumptions!$B$10*0.01)*((AS$3/100)/0.01)/(MAX(0,Assumptions!$B$2*EXP(-Assumptions!$B$4*Assumptions!$B$9)*NORMSDIST(((LN(Assumptions!$B$2/$B8)+(Assumptions!$B$3-Assumptions!$B$4+(AS$3/100)^2/2)*Assumptions!$B$9)/((AS$3/100)*Assumptions!$B$10)))-$B8*EXP(-Assumptions!$B$3*Assumptions!$B$9)*NORMSDIST((((LN(Assumptions!$B$2/$B8)+(Assumptions!$B$3-Assumptions!$B$4+(AS$3/100)^2/2)*Assumptions!$B$9)/((AS$3/100)*Assumptions!$B$10))-(AS$3/100)*Assumptions!$B$10)))))</f>
        <v/>
      </c>
      <c r="AT8" s="32">
        <f>IF((MAX(0,Assumptions!$B$2*EXP(-Assumptions!$B$4*Assumptions!$B$9)*NORMSDIST(((LN(Assumptions!$B$2/$B8)+(Assumptions!$B$3-Assumptions!$B$4+(AT$3/100)^2/2)*Assumptions!$B$9)/((AT$3/100)*Assumptions!$B$10)))-$B8*EXP(-Assumptions!$B$3*Assumptions!$B$9)*NORMSDIST((((LN(Assumptions!$B$2/$B8)+(Assumptions!$B$3-Assumptions!$B$4+(AT$3/100)^2/2)*Assumptions!$B$9)/((AT$3/100)*Assumptions!$B$10))-(AT$3/100)*Assumptions!$B$10))))&lt;=0,"",(Assumptions!$B$2*EXP(-Assumptions!$B$4*Assumptions!$B$9)*NORMDIST(((LN(Assumptions!$B$2/$B8)+(Assumptions!$B$3-Assumptions!$B$4+(AT$3/100)^2/2)*Assumptions!$B$9)/((AT$3/100)*Assumptions!$B$10)),0,1,FALSE)*Assumptions!$B$10*0.01)*((AT$3/100)/0.01)/(MAX(0,Assumptions!$B$2*EXP(-Assumptions!$B$4*Assumptions!$B$9)*NORMSDIST(((LN(Assumptions!$B$2/$B8)+(Assumptions!$B$3-Assumptions!$B$4+(AT$3/100)^2/2)*Assumptions!$B$9)/((AT$3/100)*Assumptions!$B$10)))-$B8*EXP(-Assumptions!$B$3*Assumptions!$B$9)*NORMSDIST((((LN(Assumptions!$B$2/$B8)+(Assumptions!$B$3-Assumptions!$B$4+(AT$3/100)^2/2)*Assumptions!$B$9)/((AT$3/100)*Assumptions!$B$10))-(AT$3/100)*Assumptions!$B$10)))))</f>
        <v/>
      </c>
      <c r="AU8" s="32">
        <f>IF((MAX(0,Assumptions!$B$2*EXP(-Assumptions!$B$4*Assumptions!$B$9)*NORMSDIST(((LN(Assumptions!$B$2/$B8)+(Assumptions!$B$3-Assumptions!$B$4+(AU$3/100)^2/2)*Assumptions!$B$9)/((AU$3/100)*Assumptions!$B$10)))-$B8*EXP(-Assumptions!$B$3*Assumptions!$B$9)*NORMSDIST((((LN(Assumptions!$B$2/$B8)+(Assumptions!$B$3-Assumptions!$B$4+(AU$3/100)^2/2)*Assumptions!$B$9)/((AU$3/100)*Assumptions!$B$10))-(AU$3/100)*Assumptions!$B$10))))&lt;=0,"",(Assumptions!$B$2*EXP(-Assumptions!$B$4*Assumptions!$B$9)*NORMDIST(((LN(Assumptions!$B$2/$B8)+(Assumptions!$B$3-Assumptions!$B$4+(AU$3/100)^2/2)*Assumptions!$B$9)/((AU$3/100)*Assumptions!$B$10)),0,1,FALSE)*Assumptions!$B$10*0.01)*((AU$3/100)/0.01)/(MAX(0,Assumptions!$B$2*EXP(-Assumptions!$B$4*Assumptions!$B$9)*NORMSDIST(((LN(Assumptions!$B$2/$B8)+(Assumptions!$B$3-Assumptions!$B$4+(AU$3/100)^2/2)*Assumptions!$B$9)/((AU$3/100)*Assumptions!$B$10)))-$B8*EXP(-Assumptions!$B$3*Assumptions!$B$9)*NORMSDIST((((LN(Assumptions!$B$2/$B8)+(Assumptions!$B$3-Assumptions!$B$4+(AU$3/100)^2/2)*Assumptions!$B$9)/((AU$3/100)*Assumptions!$B$10))-(AU$3/100)*Assumptions!$B$10)))))</f>
        <v/>
      </c>
      <c r="AV8" s="32">
        <f>IF((MAX(0,Assumptions!$B$2*EXP(-Assumptions!$B$4*Assumptions!$B$9)*NORMSDIST(((LN(Assumptions!$B$2/$B8)+(Assumptions!$B$3-Assumptions!$B$4+(AV$3/100)^2/2)*Assumptions!$B$9)/((AV$3/100)*Assumptions!$B$10)))-$B8*EXP(-Assumptions!$B$3*Assumptions!$B$9)*NORMSDIST((((LN(Assumptions!$B$2/$B8)+(Assumptions!$B$3-Assumptions!$B$4+(AV$3/100)^2/2)*Assumptions!$B$9)/((AV$3/100)*Assumptions!$B$10))-(AV$3/100)*Assumptions!$B$10))))&lt;=0,"",(Assumptions!$B$2*EXP(-Assumptions!$B$4*Assumptions!$B$9)*NORMDIST(((LN(Assumptions!$B$2/$B8)+(Assumptions!$B$3-Assumptions!$B$4+(AV$3/100)^2/2)*Assumptions!$B$9)/((AV$3/100)*Assumptions!$B$10)),0,1,FALSE)*Assumptions!$B$10*0.01)*((AV$3/100)/0.01)/(MAX(0,Assumptions!$B$2*EXP(-Assumptions!$B$4*Assumptions!$B$9)*NORMSDIST(((LN(Assumptions!$B$2/$B8)+(Assumptions!$B$3-Assumptions!$B$4+(AV$3/100)^2/2)*Assumptions!$B$9)/((AV$3/100)*Assumptions!$B$10)))-$B8*EXP(-Assumptions!$B$3*Assumptions!$B$9)*NORMSDIST((((LN(Assumptions!$B$2/$B8)+(Assumptions!$B$3-Assumptions!$B$4+(AV$3/100)^2/2)*Assumptions!$B$9)/((AV$3/100)*Assumptions!$B$10))-(AV$3/100)*Assumptions!$B$10)))))</f>
        <v/>
      </c>
    </row>
    <row r="9">
      <c r="A9" s="27" t="inlineStr">
        <is>
          <t>-0.75%</t>
        </is>
      </c>
      <c r="B9" s="47">
        <f>'BS Engine'!$B$7</f>
        <v/>
      </c>
      <c r="C9" s="28">
        <f>'BS Engine'!$C$7</f>
        <v/>
      </c>
      <c r="D9" s="54">
        <f>IF((MAX(0,Assumptions!$B$2*EXP(-Assumptions!$B$4*Assumptions!$B$9)*NORMSDIST(((LN(Assumptions!$B$2/$B9)+(Assumptions!$B$3-Assumptions!$B$4+(D$3/100)^2/2)*Assumptions!$B$9)/((D$3/100)*Assumptions!$B$10)))-$B9*EXP(-Assumptions!$B$3*Assumptions!$B$9)*NORMSDIST((((LN(Assumptions!$B$2/$B9)+(Assumptions!$B$3-Assumptions!$B$4+(D$3/100)^2/2)*Assumptions!$B$9)/((D$3/100)*Assumptions!$B$10))-(D$3/100)*Assumptions!$B$10))))&lt;=0,"",(Assumptions!$B$2*EXP(-Assumptions!$B$4*Assumptions!$B$9)*NORMDIST(((LN(Assumptions!$B$2/$B9)+(Assumptions!$B$3-Assumptions!$B$4+(D$3/100)^2/2)*Assumptions!$B$9)/((D$3/100)*Assumptions!$B$10)),0,1,FALSE)*Assumptions!$B$10*0.01)*((D$3/100)/0.01)/(MAX(0,Assumptions!$B$2*EXP(-Assumptions!$B$4*Assumptions!$B$9)*NORMSDIST(((LN(Assumptions!$B$2/$B9)+(Assumptions!$B$3-Assumptions!$B$4+(D$3/100)^2/2)*Assumptions!$B$9)/((D$3/100)*Assumptions!$B$10)))-$B9*EXP(-Assumptions!$B$3*Assumptions!$B$9)*NORMSDIST((((LN(Assumptions!$B$2/$B9)+(Assumptions!$B$3-Assumptions!$B$4+(D$3/100)^2/2)*Assumptions!$B$9)/((D$3/100)*Assumptions!$B$10))-(D$3/100)*Assumptions!$B$10)))))</f>
        <v/>
      </c>
      <c r="E9" s="32">
        <f>IF((MAX(0,Assumptions!$B$2*EXP(-Assumptions!$B$4*Assumptions!$B$9)*NORMSDIST(((LN(Assumptions!$B$2/$B9)+(Assumptions!$B$3-Assumptions!$B$4+(E$3/100)^2/2)*Assumptions!$B$9)/((E$3/100)*Assumptions!$B$10)))-$B9*EXP(-Assumptions!$B$3*Assumptions!$B$9)*NORMSDIST((((LN(Assumptions!$B$2/$B9)+(Assumptions!$B$3-Assumptions!$B$4+(E$3/100)^2/2)*Assumptions!$B$9)/((E$3/100)*Assumptions!$B$10))-(E$3/100)*Assumptions!$B$10))))&lt;=0,"",(Assumptions!$B$2*EXP(-Assumptions!$B$4*Assumptions!$B$9)*NORMDIST(((LN(Assumptions!$B$2/$B9)+(Assumptions!$B$3-Assumptions!$B$4+(E$3/100)^2/2)*Assumptions!$B$9)/((E$3/100)*Assumptions!$B$10)),0,1,FALSE)*Assumptions!$B$10*0.01)*((E$3/100)/0.01)/(MAX(0,Assumptions!$B$2*EXP(-Assumptions!$B$4*Assumptions!$B$9)*NORMSDIST(((LN(Assumptions!$B$2/$B9)+(Assumptions!$B$3-Assumptions!$B$4+(E$3/100)^2/2)*Assumptions!$B$9)/((E$3/100)*Assumptions!$B$10)))-$B9*EXP(-Assumptions!$B$3*Assumptions!$B$9)*NORMSDIST((((LN(Assumptions!$B$2/$B9)+(Assumptions!$B$3-Assumptions!$B$4+(E$3/100)^2/2)*Assumptions!$B$9)/((E$3/100)*Assumptions!$B$10))-(E$3/100)*Assumptions!$B$10)))))</f>
        <v/>
      </c>
      <c r="F9" s="32">
        <f>IF((MAX(0,Assumptions!$B$2*EXP(-Assumptions!$B$4*Assumptions!$B$9)*NORMSDIST(((LN(Assumptions!$B$2/$B9)+(Assumptions!$B$3-Assumptions!$B$4+(F$3/100)^2/2)*Assumptions!$B$9)/((F$3/100)*Assumptions!$B$10)))-$B9*EXP(-Assumptions!$B$3*Assumptions!$B$9)*NORMSDIST((((LN(Assumptions!$B$2/$B9)+(Assumptions!$B$3-Assumptions!$B$4+(F$3/100)^2/2)*Assumptions!$B$9)/((F$3/100)*Assumptions!$B$10))-(F$3/100)*Assumptions!$B$10))))&lt;=0,"",(Assumptions!$B$2*EXP(-Assumptions!$B$4*Assumptions!$B$9)*NORMDIST(((LN(Assumptions!$B$2/$B9)+(Assumptions!$B$3-Assumptions!$B$4+(F$3/100)^2/2)*Assumptions!$B$9)/((F$3/100)*Assumptions!$B$10)),0,1,FALSE)*Assumptions!$B$10*0.01)*((F$3/100)/0.01)/(MAX(0,Assumptions!$B$2*EXP(-Assumptions!$B$4*Assumptions!$B$9)*NORMSDIST(((LN(Assumptions!$B$2/$B9)+(Assumptions!$B$3-Assumptions!$B$4+(F$3/100)^2/2)*Assumptions!$B$9)/((F$3/100)*Assumptions!$B$10)))-$B9*EXP(-Assumptions!$B$3*Assumptions!$B$9)*NORMSDIST((((LN(Assumptions!$B$2/$B9)+(Assumptions!$B$3-Assumptions!$B$4+(F$3/100)^2/2)*Assumptions!$B$9)/((F$3/100)*Assumptions!$B$10))-(F$3/100)*Assumptions!$B$10)))))</f>
        <v/>
      </c>
      <c r="G9" s="32">
        <f>IF((MAX(0,Assumptions!$B$2*EXP(-Assumptions!$B$4*Assumptions!$B$9)*NORMSDIST(((LN(Assumptions!$B$2/$B9)+(Assumptions!$B$3-Assumptions!$B$4+(G$3/100)^2/2)*Assumptions!$B$9)/((G$3/100)*Assumptions!$B$10)))-$B9*EXP(-Assumptions!$B$3*Assumptions!$B$9)*NORMSDIST((((LN(Assumptions!$B$2/$B9)+(Assumptions!$B$3-Assumptions!$B$4+(G$3/100)^2/2)*Assumptions!$B$9)/((G$3/100)*Assumptions!$B$10))-(G$3/100)*Assumptions!$B$10))))&lt;=0,"",(Assumptions!$B$2*EXP(-Assumptions!$B$4*Assumptions!$B$9)*NORMDIST(((LN(Assumptions!$B$2/$B9)+(Assumptions!$B$3-Assumptions!$B$4+(G$3/100)^2/2)*Assumptions!$B$9)/((G$3/100)*Assumptions!$B$10)),0,1,FALSE)*Assumptions!$B$10*0.01)*((G$3/100)/0.01)/(MAX(0,Assumptions!$B$2*EXP(-Assumptions!$B$4*Assumptions!$B$9)*NORMSDIST(((LN(Assumptions!$B$2/$B9)+(Assumptions!$B$3-Assumptions!$B$4+(G$3/100)^2/2)*Assumptions!$B$9)/((G$3/100)*Assumptions!$B$10)))-$B9*EXP(-Assumptions!$B$3*Assumptions!$B$9)*NORMSDIST((((LN(Assumptions!$B$2/$B9)+(Assumptions!$B$3-Assumptions!$B$4+(G$3/100)^2/2)*Assumptions!$B$9)/((G$3/100)*Assumptions!$B$10))-(G$3/100)*Assumptions!$B$10)))))</f>
        <v/>
      </c>
      <c r="H9" s="32">
        <f>IF((MAX(0,Assumptions!$B$2*EXP(-Assumptions!$B$4*Assumptions!$B$9)*NORMSDIST(((LN(Assumptions!$B$2/$B9)+(Assumptions!$B$3-Assumptions!$B$4+(H$3/100)^2/2)*Assumptions!$B$9)/((H$3/100)*Assumptions!$B$10)))-$B9*EXP(-Assumptions!$B$3*Assumptions!$B$9)*NORMSDIST((((LN(Assumptions!$B$2/$B9)+(Assumptions!$B$3-Assumptions!$B$4+(H$3/100)^2/2)*Assumptions!$B$9)/((H$3/100)*Assumptions!$B$10))-(H$3/100)*Assumptions!$B$10))))&lt;=0,"",(Assumptions!$B$2*EXP(-Assumptions!$B$4*Assumptions!$B$9)*NORMDIST(((LN(Assumptions!$B$2/$B9)+(Assumptions!$B$3-Assumptions!$B$4+(H$3/100)^2/2)*Assumptions!$B$9)/((H$3/100)*Assumptions!$B$10)),0,1,FALSE)*Assumptions!$B$10*0.01)*((H$3/100)/0.01)/(MAX(0,Assumptions!$B$2*EXP(-Assumptions!$B$4*Assumptions!$B$9)*NORMSDIST(((LN(Assumptions!$B$2/$B9)+(Assumptions!$B$3-Assumptions!$B$4+(H$3/100)^2/2)*Assumptions!$B$9)/((H$3/100)*Assumptions!$B$10)))-$B9*EXP(-Assumptions!$B$3*Assumptions!$B$9)*NORMSDIST((((LN(Assumptions!$B$2/$B9)+(Assumptions!$B$3-Assumptions!$B$4+(H$3/100)^2/2)*Assumptions!$B$9)/((H$3/100)*Assumptions!$B$10))-(H$3/100)*Assumptions!$B$10)))))</f>
        <v/>
      </c>
      <c r="I9" s="32">
        <f>IF((MAX(0,Assumptions!$B$2*EXP(-Assumptions!$B$4*Assumptions!$B$9)*NORMSDIST(((LN(Assumptions!$B$2/$B9)+(Assumptions!$B$3-Assumptions!$B$4+(I$3/100)^2/2)*Assumptions!$B$9)/((I$3/100)*Assumptions!$B$10)))-$B9*EXP(-Assumptions!$B$3*Assumptions!$B$9)*NORMSDIST((((LN(Assumptions!$B$2/$B9)+(Assumptions!$B$3-Assumptions!$B$4+(I$3/100)^2/2)*Assumptions!$B$9)/((I$3/100)*Assumptions!$B$10))-(I$3/100)*Assumptions!$B$10))))&lt;=0,"",(Assumptions!$B$2*EXP(-Assumptions!$B$4*Assumptions!$B$9)*NORMDIST(((LN(Assumptions!$B$2/$B9)+(Assumptions!$B$3-Assumptions!$B$4+(I$3/100)^2/2)*Assumptions!$B$9)/((I$3/100)*Assumptions!$B$10)),0,1,FALSE)*Assumptions!$B$10*0.01)*((I$3/100)/0.01)/(MAX(0,Assumptions!$B$2*EXP(-Assumptions!$B$4*Assumptions!$B$9)*NORMSDIST(((LN(Assumptions!$B$2/$B9)+(Assumptions!$B$3-Assumptions!$B$4+(I$3/100)^2/2)*Assumptions!$B$9)/((I$3/100)*Assumptions!$B$10)))-$B9*EXP(-Assumptions!$B$3*Assumptions!$B$9)*NORMSDIST((((LN(Assumptions!$B$2/$B9)+(Assumptions!$B$3-Assumptions!$B$4+(I$3/100)^2/2)*Assumptions!$B$9)/((I$3/100)*Assumptions!$B$10))-(I$3/100)*Assumptions!$B$10)))))</f>
        <v/>
      </c>
      <c r="J9" s="32">
        <f>IF((MAX(0,Assumptions!$B$2*EXP(-Assumptions!$B$4*Assumptions!$B$9)*NORMSDIST(((LN(Assumptions!$B$2/$B9)+(Assumptions!$B$3-Assumptions!$B$4+(J$3/100)^2/2)*Assumptions!$B$9)/((J$3/100)*Assumptions!$B$10)))-$B9*EXP(-Assumptions!$B$3*Assumptions!$B$9)*NORMSDIST((((LN(Assumptions!$B$2/$B9)+(Assumptions!$B$3-Assumptions!$B$4+(J$3/100)^2/2)*Assumptions!$B$9)/((J$3/100)*Assumptions!$B$10))-(J$3/100)*Assumptions!$B$10))))&lt;=0,"",(Assumptions!$B$2*EXP(-Assumptions!$B$4*Assumptions!$B$9)*NORMDIST(((LN(Assumptions!$B$2/$B9)+(Assumptions!$B$3-Assumptions!$B$4+(J$3/100)^2/2)*Assumptions!$B$9)/((J$3/100)*Assumptions!$B$10)),0,1,FALSE)*Assumptions!$B$10*0.01)*((J$3/100)/0.01)/(MAX(0,Assumptions!$B$2*EXP(-Assumptions!$B$4*Assumptions!$B$9)*NORMSDIST(((LN(Assumptions!$B$2/$B9)+(Assumptions!$B$3-Assumptions!$B$4+(J$3/100)^2/2)*Assumptions!$B$9)/((J$3/100)*Assumptions!$B$10)))-$B9*EXP(-Assumptions!$B$3*Assumptions!$B$9)*NORMSDIST((((LN(Assumptions!$B$2/$B9)+(Assumptions!$B$3-Assumptions!$B$4+(J$3/100)^2/2)*Assumptions!$B$9)/((J$3/100)*Assumptions!$B$10))-(J$3/100)*Assumptions!$B$10)))))</f>
        <v/>
      </c>
      <c r="K9" s="32">
        <f>IF((MAX(0,Assumptions!$B$2*EXP(-Assumptions!$B$4*Assumptions!$B$9)*NORMSDIST(((LN(Assumptions!$B$2/$B9)+(Assumptions!$B$3-Assumptions!$B$4+(K$3/100)^2/2)*Assumptions!$B$9)/((K$3/100)*Assumptions!$B$10)))-$B9*EXP(-Assumptions!$B$3*Assumptions!$B$9)*NORMSDIST((((LN(Assumptions!$B$2/$B9)+(Assumptions!$B$3-Assumptions!$B$4+(K$3/100)^2/2)*Assumptions!$B$9)/((K$3/100)*Assumptions!$B$10))-(K$3/100)*Assumptions!$B$10))))&lt;=0,"",(Assumptions!$B$2*EXP(-Assumptions!$B$4*Assumptions!$B$9)*NORMDIST(((LN(Assumptions!$B$2/$B9)+(Assumptions!$B$3-Assumptions!$B$4+(K$3/100)^2/2)*Assumptions!$B$9)/((K$3/100)*Assumptions!$B$10)),0,1,FALSE)*Assumptions!$B$10*0.01)*((K$3/100)/0.01)/(MAX(0,Assumptions!$B$2*EXP(-Assumptions!$B$4*Assumptions!$B$9)*NORMSDIST(((LN(Assumptions!$B$2/$B9)+(Assumptions!$B$3-Assumptions!$B$4+(K$3/100)^2/2)*Assumptions!$B$9)/((K$3/100)*Assumptions!$B$10)))-$B9*EXP(-Assumptions!$B$3*Assumptions!$B$9)*NORMSDIST((((LN(Assumptions!$B$2/$B9)+(Assumptions!$B$3-Assumptions!$B$4+(K$3/100)^2/2)*Assumptions!$B$9)/((K$3/100)*Assumptions!$B$10))-(K$3/100)*Assumptions!$B$10)))))</f>
        <v/>
      </c>
      <c r="L9" s="32">
        <f>IF((MAX(0,Assumptions!$B$2*EXP(-Assumptions!$B$4*Assumptions!$B$9)*NORMSDIST(((LN(Assumptions!$B$2/$B9)+(Assumptions!$B$3-Assumptions!$B$4+(L$3/100)^2/2)*Assumptions!$B$9)/((L$3/100)*Assumptions!$B$10)))-$B9*EXP(-Assumptions!$B$3*Assumptions!$B$9)*NORMSDIST((((LN(Assumptions!$B$2/$B9)+(Assumptions!$B$3-Assumptions!$B$4+(L$3/100)^2/2)*Assumptions!$B$9)/((L$3/100)*Assumptions!$B$10))-(L$3/100)*Assumptions!$B$10))))&lt;=0,"",(Assumptions!$B$2*EXP(-Assumptions!$B$4*Assumptions!$B$9)*NORMDIST(((LN(Assumptions!$B$2/$B9)+(Assumptions!$B$3-Assumptions!$B$4+(L$3/100)^2/2)*Assumptions!$B$9)/((L$3/100)*Assumptions!$B$10)),0,1,FALSE)*Assumptions!$B$10*0.01)*((L$3/100)/0.01)/(MAX(0,Assumptions!$B$2*EXP(-Assumptions!$B$4*Assumptions!$B$9)*NORMSDIST(((LN(Assumptions!$B$2/$B9)+(Assumptions!$B$3-Assumptions!$B$4+(L$3/100)^2/2)*Assumptions!$B$9)/((L$3/100)*Assumptions!$B$10)))-$B9*EXP(-Assumptions!$B$3*Assumptions!$B$9)*NORMSDIST((((LN(Assumptions!$B$2/$B9)+(Assumptions!$B$3-Assumptions!$B$4+(L$3/100)^2/2)*Assumptions!$B$9)/((L$3/100)*Assumptions!$B$10))-(L$3/100)*Assumptions!$B$10)))))</f>
        <v/>
      </c>
      <c r="M9" s="32">
        <f>IF((MAX(0,Assumptions!$B$2*EXP(-Assumptions!$B$4*Assumptions!$B$9)*NORMSDIST(((LN(Assumptions!$B$2/$B9)+(Assumptions!$B$3-Assumptions!$B$4+(M$3/100)^2/2)*Assumptions!$B$9)/((M$3/100)*Assumptions!$B$10)))-$B9*EXP(-Assumptions!$B$3*Assumptions!$B$9)*NORMSDIST((((LN(Assumptions!$B$2/$B9)+(Assumptions!$B$3-Assumptions!$B$4+(M$3/100)^2/2)*Assumptions!$B$9)/((M$3/100)*Assumptions!$B$10))-(M$3/100)*Assumptions!$B$10))))&lt;=0,"",(Assumptions!$B$2*EXP(-Assumptions!$B$4*Assumptions!$B$9)*NORMDIST(((LN(Assumptions!$B$2/$B9)+(Assumptions!$B$3-Assumptions!$B$4+(M$3/100)^2/2)*Assumptions!$B$9)/((M$3/100)*Assumptions!$B$10)),0,1,FALSE)*Assumptions!$B$10*0.01)*((M$3/100)/0.01)/(MAX(0,Assumptions!$B$2*EXP(-Assumptions!$B$4*Assumptions!$B$9)*NORMSDIST(((LN(Assumptions!$B$2/$B9)+(Assumptions!$B$3-Assumptions!$B$4+(M$3/100)^2/2)*Assumptions!$B$9)/((M$3/100)*Assumptions!$B$10)))-$B9*EXP(-Assumptions!$B$3*Assumptions!$B$9)*NORMSDIST((((LN(Assumptions!$B$2/$B9)+(Assumptions!$B$3-Assumptions!$B$4+(M$3/100)^2/2)*Assumptions!$B$9)/((M$3/100)*Assumptions!$B$10))-(M$3/100)*Assumptions!$B$10)))))</f>
        <v/>
      </c>
      <c r="N9" s="32">
        <f>IF((MAX(0,Assumptions!$B$2*EXP(-Assumptions!$B$4*Assumptions!$B$9)*NORMSDIST(((LN(Assumptions!$B$2/$B9)+(Assumptions!$B$3-Assumptions!$B$4+(N$3/100)^2/2)*Assumptions!$B$9)/((N$3/100)*Assumptions!$B$10)))-$B9*EXP(-Assumptions!$B$3*Assumptions!$B$9)*NORMSDIST((((LN(Assumptions!$B$2/$B9)+(Assumptions!$B$3-Assumptions!$B$4+(N$3/100)^2/2)*Assumptions!$B$9)/((N$3/100)*Assumptions!$B$10))-(N$3/100)*Assumptions!$B$10))))&lt;=0,"",(Assumptions!$B$2*EXP(-Assumptions!$B$4*Assumptions!$B$9)*NORMDIST(((LN(Assumptions!$B$2/$B9)+(Assumptions!$B$3-Assumptions!$B$4+(N$3/100)^2/2)*Assumptions!$B$9)/((N$3/100)*Assumptions!$B$10)),0,1,FALSE)*Assumptions!$B$10*0.01)*((N$3/100)/0.01)/(MAX(0,Assumptions!$B$2*EXP(-Assumptions!$B$4*Assumptions!$B$9)*NORMSDIST(((LN(Assumptions!$B$2/$B9)+(Assumptions!$B$3-Assumptions!$B$4+(N$3/100)^2/2)*Assumptions!$B$9)/((N$3/100)*Assumptions!$B$10)))-$B9*EXP(-Assumptions!$B$3*Assumptions!$B$9)*NORMSDIST((((LN(Assumptions!$B$2/$B9)+(Assumptions!$B$3-Assumptions!$B$4+(N$3/100)^2/2)*Assumptions!$B$9)/((N$3/100)*Assumptions!$B$10))-(N$3/100)*Assumptions!$B$10)))))</f>
        <v/>
      </c>
      <c r="O9" s="32">
        <f>IF((MAX(0,Assumptions!$B$2*EXP(-Assumptions!$B$4*Assumptions!$B$9)*NORMSDIST(((LN(Assumptions!$B$2/$B9)+(Assumptions!$B$3-Assumptions!$B$4+(O$3/100)^2/2)*Assumptions!$B$9)/((O$3/100)*Assumptions!$B$10)))-$B9*EXP(-Assumptions!$B$3*Assumptions!$B$9)*NORMSDIST((((LN(Assumptions!$B$2/$B9)+(Assumptions!$B$3-Assumptions!$B$4+(O$3/100)^2/2)*Assumptions!$B$9)/((O$3/100)*Assumptions!$B$10))-(O$3/100)*Assumptions!$B$10))))&lt;=0,"",(Assumptions!$B$2*EXP(-Assumptions!$B$4*Assumptions!$B$9)*NORMDIST(((LN(Assumptions!$B$2/$B9)+(Assumptions!$B$3-Assumptions!$B$4+(O$3/100)^2/2)*Assumptions!$B$9)/((O$3/100)*Assumptions!$B$10)),0,1,FALSE)*Assumptions!$B$10*0.01)*((O$3/100)/0.01)/(MAX(0,Assumptions!$B$2*EXP(-Assumptions!$B$4*Assumptions!$B$9)*NORMSDIST(((LN(Assumptions!$B$2/$B9)+(Assumptions!$B$3-Assumptions!$B$4+(O$3/100)^2/2)*Assumptions!$B$9)/((O$3/100)*Assumptions!$B$10)))-$B9*EXP(-Assumptions!$B$3*Assumptions!$B$9)*NORMSDIST((((LN(Assumptions!$B$2/$B9)+(Assumptions!$B$3-Assumptions!$B$4+(O$3/100)^2/2)*Assumptions!$B$9)/((O$3/100)*Assumptions!$B$10))-(O$3/100)*Assumptions!$B$10)))))</f>
        <v/>
      </c>
      <c r="P9" s="32">
        <f>IF((MAX(0,Assumptions!$B$2*EXP(-Assumptions!$B$4*Assumptions!$B$9)*NORMSDIST(((LN(Assumptions!$B$2/$B9)+(Assumptions!$B$3-Assumptions!$B$4+(P$3/100)^2/2)*Assumptions!$B$9)/((P$3/100)*Assumptions!$B$10)))-$B9*EXP(-Assumptions!$B$3*Assumptions!$B$9)*NORMSDIST((((LN(Assumptions!$B$2/$B9)+(Assumptions!$B$3-Assumptions!$B$4+(P$3/100)^2/2)*Assumptions!$B$9)/((P$3/100)*Assumptions!$B$10))-(P$3/100)*Assumptions!$B$10))))&lt;=0,"",(Assumptions!$B$2*EXP(-Assumptions!$B$4*Assumptions!$B$9)*NORMDIST(((LN(Assumptions!$B$2/$B9)+(Assumptions!$B$3-Assumptions!$B$4+(P$3/100)^2/2)*Assumptions!$B$9)/((P$3/100)*Assumptions!$B$10)),0,1,FALSE)*Assumptions!$B$10*0.01)*((P$3/100)/0.01)/(MAX(0,Assumptions!$B$2*EXP(-Assumptions!$B$4*Assumptions!$B$9)*NORMSDIST(((LN(Assumptions!$B$2/$B9)+(Assumptions!$B$3-Assumptions!$B$4+(P$3/100)^2/2)*Assumptions!$B$9)/((P$3/100)*Assumptions!$B$10)))-$B9*EXP(-Assumptions!$B$3*Assumptions!$B$9)*NORMSDIST((((LN(Assumptions!$B$2/$B9)+(Assumptions!$B$3-Assumptions!$B$4+(P$3/100)^2/2)*Assumptions!$B$9)/((P$3/100)*Assumptions!$B$10))-(P$3/100)*Assumptions!$B$10)))))</f>
        <v/>
      </c>
      <c r="Q9" s="32">
        <f>IF((MAX(0,Assumptions!$B$2*EXP(-Assumptions!$B$4*Assumptions!$B$9)*NORMSDIST(((LN(Assumptions!$B$2/$B9)+(Assumptions!$B$3-Assumptions!$B$4+(Q$3/100)^2/2)*Assumptions!$B$9)/((Q$3/100)*Assumptions!$B$10)))-$B9*EXP(-Assumptions!$B$3*Assumptions!$B$9)*NORMSDIST((((LN(Assumptions!$B$2/$B9)+(Assumptions!$B$3-Assumptions!$B$4+(Q$3/100)^2/2)*Assumptions!$B$9)/((Q$3/100)*Assumptions!$B$10))-(Q$3/100)*Assumptions!$B$10))))&lt;=0,"",(Assumptions!$B$2*EXP(-Assumptions!$B$4*Assumptions!$B$9)*NORMDIST(((LN(Assumptions!$B$2/$B9)+(Assumptions!$B$3-Assumptions!$B$4+(Q$3/100)^2/2)*Assumptions!$B$9)/((Q$3/100)*Assumptions!$B$10)),0,1,FALSE)*Assumptions!$B$10*0.01)*((Q$3/100)/0.01)/(MAX(0,Assumptions!$B$2*EXP(-Assumptions!$B$4*Assumptions!$B$9)*NORMSDIST(((LN(Assumptions!$B$2/$B9)+(Assumptions!$B$3-Assumptions!$B$4+(Q$3/100)^2/2)*Assumptions!$B$9)/((Q$3/100)*Assumptions!$B$10)))-$B9*EXP(-Assumptions!$B$3*Assumptions!$B$9)*NORMSDIST((((LN(Assumptions!$B$2/$B9)+(Assumptions!$B$3-Assumptions!$B$4+(Q$3/100)^2/2)*Assumptions!$B$9)/((Q$3/100)*Assumptions!$B$10))-(Q$3/100)*Assumptions!$B$10)))))</f>
        <v/>
      </c>
      <c r="R9" s="32">
        <f>IF((MAX(0,Assumptions!$B$2*EXP(-Assumptions!$B$4*Assumptions!$B$9)*NORMSDIST(((LN(Assumptions!$B$2/$B9)+(Assumptions!$B$3-Assumptions!$B$4+(R$3/100)^2/2)*Assumptions!$B$9)/((R$3/100)*Assumptions!$B$10)))-$B9*EXP(-Assumptions!$B$3*Assumptions!$B$9)*NORMSDIST((((LN(Assumptions!$B$2/$B9)+(Assumptions!$B$3-Assumptions!$B$4+(R$3/100)^2/2)*Assumptions!$B$9)/((R$3/100)*Assumptions!$B$10))-(R$3/100)*Assumptions!$B$10))))&lt;=0,"",(Assumptions!$B$2*EXP(-Assumptions!$B$4*Assumptions!$B$9)*NORMDIST(((LN(Assumptions!$B$2/$B9)+(Assumptions!$B$3-Assumptions!$B$4+(R$3/100)^2/2)*Assumptions!$B$9)/((R$3/100)*Assumptions!$B$10)),0,1,FALSE)*Assumptions!$B$10*0.01)*((R$3/100)/0.01)/(MAX(0,Assumptions!$B$2*EXP(-Assumptions!$B$4*Assumptions!$B$9)*NORMSDIST(((LN(Assumptions!$B$2/$B9)+(Assumptions!$B$3-Assumptions!$B$4+(R$3/100)^2/2)*Assumptions!$B$9)/((R$3/100)*Assumptions!$B$10)))-$B9*EXP(-Assumptions!$B$3*Assumptions!$B$9)*NORMSDIST((((LN(Assumptions!$B$2/$B9)+(Assumptions!$B$3-Assumptions!$B$4+(R$3/100)^2/2)*Assumptions!$B$9)/((R$3/100)*Assumptions!$B$10))-(R$3/100)*Assumptions!$B$10)))))</f>
        <v/>
      </c>
      <c r="S9" s="32">
        <f>IF((MAX(0,Assumptions!$B$2*EXP(-Assumptions!$B$4*Assumptions!$B$9)*NORMSDIST(((LN(Assumptions!$B$2/$B9)+(Assumptions!$B$3-Assumptions!$B$4+(S$3/100)^2/2)*Assumptions!$B$9)/((S$3/100)*Assumptions!$B$10)))-$B9*EXP(-Assumptions!$B$3*Assumptions!$B$9)*NORMSDIST((((LN(Assumptions!$B$2/$B9)+(Assumptions!$B$3-Assumptions!$B$4+(S$3/100)^2/2)*Assumptions!$B$9)/((S$3/100)*Assumptions!$B$10))-(S$3/100)*Assumptions!$B$10))))&lt;=0,"",(Assumptions!$B$2*EXP(-Assumptions!$B$4*Assumptions!$B$9)*NORMDIST(((LN(Assumptions!$B$2/$B9)+(Assumptions!$B$3-Assumptions!$B$4+(S$3/100)^2/2)*Assumptions!$B$9)/((S$3/100)*Assumptions!$B$10)),0,1,FALSE)*Assumptions!$B$10*0.01)*((S$3/100)/0.01)/(MAX(0,Assumptions!$B$2*EXP(-Assumptions!$B$4*Assumptions!$B$9)*NORMSDIST(((LN(Assumptions!$B$2/$B9)+(Assumptions!$B$3-Assumptions!$B$4+(S$3/100)^2/2)*Assumptions!$B$9)/((S$3/100)*Assumptions!$B$10)))-$B9*EXP(-Assumptions!$B$3*Assumptions!$B$9)*NORMSDIST((((LN(Assumptions!$B$2/$B9)+(Assumptions!$B$3-Assumptions!$B$4+(S$3/100)^2/2)*Assumptions!$B$9)/((S$3/100)*Assumptions!$B$10))-(S$3/100)*Assumptions!$B$10)))))</f>
        <v/>
      </c>
      <c r="T9" s="32">
        <f>IF((MAX(0,Assumptions!$B$2*EXP(-Assumptions!$B$4*Assumptions!$B$9)*NORMSDIST(((LN(Assumptions!$B$2/$B9)+(Assumptions!$B$3-Assumptions!$B$4+(T$3/100)^2/2)*Assumptions!$B$9)/((T$3/100)*Assumptions!$B$10)))-$B9*EXP(-Assumptions!$B$3*Assumptions!$B$9)*NORMSDIST((((LN(Assumptions!$B$2/$B9)+(Assumptions!$B$3-Assumptions!$B$4+(T$3/100)^2/2)*Assumptions!$B$9)/((T$3/100)*Assumptions!$B$10))-(T$3/100)*Assumptions!$B$10))))&lt;=0,"",(Assumptions!$B$2*EXP(-Assumptions!$B$4*Assumptions!$B$9)*NORMDIST(((LN(Assumptions!$B$2/$B9)+(Assumptions!$B$3-Assumptions!$B$4+(T$3/100)^2/2)*Assumptions!$B$9)/((T$3/100)*Assumptions!$B$10)),0,1,FALSE)*Assumptions!$B$10*0.01)*((T$3/100)/0.01)/(MAX(0,Assumptions!$B$2*EXP(-Assumptions!$B$4*Assumptions!$B$9)*NORMSDIST(((LN(Assumptions!$B$2/$B9)+(Assumptions!$B$3-Assumptions!$B$4+(T$3/100)^2/2)*Assumptions!$B$9)/((T$3/100)*Assumptions!$B$10)))-$B9*EXP(-Assumptions!$B$3*Assumptions!$B$9)*NORMSDIST((((LN(Assumptions!$B$2/$B9)+(Assumptions!$B$3-Assumptions!$B$4+(T$3/100)^2/2)*Assumptions!$B$9)/((T$3/100)*Assumptions!$B$10))-(T$3/100)*Assumptions!$B$10)))))</f>
        <v/>
      </c>
      <c r="U9" s="32">
        <f>IF((MAX(0,Assumptions!$B$2*EXP(-Assumptions!$B$4*Assumptions!$B$9)*NORMSDIST(((LN(Assumptions!$B$2/$B9)+(Assumptions!$B$3-Assumptions!$B$4+(U$3/100)^2/2)*Assumptions!$B$9)/((U$3/100)*Assumptions!$B$10)))-$B9*EXP(-Assumptions!$B$3*Assumptions!$B$9)*NORMSDIST((((LN(Assumptions!$B$2/$B9)+(Assumptions!$B$3-Assumptions!$B$4+(U$3/100)^2/2)*Assumptions!$B$9)/((U$3/100)*Assumptions!$B$10))-(U$3/100)*Assumptions!$B$10))))&lt;=0,"",(Assumptions!$B$2*EXP(-Assumptions!$B$4*Assumptions!$B$9)*NORMDIST(((LN(Assumptions!$B$2/$B9)+(Assumptions!$B$3-Assumptions!$B$4+(U$3/100)^2/2)*Assumptions!$B$9)/((U$3/100)*Assumptions!$B$10)),0,1,FALSE)*Assumptions!$B$10*0.01)*((U$3/100)/0.01)/(MAX(0,Assumptions!$B$2*EXP(-Assumptions!$B$4*Assumptions!$B$9)*NORMSDIST(((LN(Assumptions!$B$2/$B9)+(Assumptions!$B$3-Assumptions!$B$4+(U$3/100)^2/2)*Assumptions!$B$9)/((U$3/100)*Assumptions!$B$10)))-$B9*EXP(-Assumptions!$B$3*Assumptions!$B$9)*NORMSDIST((((LN(Assumptions!$B$2/$B9)+(Assumptions!$B$3-Assumptions!$B$4+(U$3/100)^2/2)*Assumptions!$B$9)/((U$3/100)*Assumptions!$B$10))-(U$3/100)*Assumptions!$B$10)))))</f>
        <v/>
      </c>
      <c r="V9" s="32">
        <f>IF((MAX(0,Assumptions!$B$2*EXP(-Assumptions!$B$4*Assumptions!$B$9)*NORMSDIST(((LN(Assumptions!$B$2/$B9)+(Assumptions!$B$3-Assumptions!$B$4+(V$3/100)^2/2)*Assumptions!$B$9)/((V$3/100)*Assumptions!$B$10)))-$B9*EXP(-Assumptions!$B$3*Assumptions!$B$9)*NORMSDIST((((LN(Assumptions!$B$2/$B9)+(Assumptions!$B$3-Assumptions!$B$4+(V$3/100)^2/2)*Assumptions!$B$9)/((V$3/100)*Assumptions!$B$10))-(V$3/100)*Assumptions!$B$10))))&lt;=0,"",(Assumptions!$B$2*EXP(-Assumptions!$B$4*Assumptions!$B$9)*NORMDIST(((LN(Assumptions!$B$2/$B9)+(Assumptions!$B$3-Assumptions!$B$4+(V$3/100)^2/2)*Assumptions!$B$9)/((V$3/100)*Assumptions!$B$10)),0,1,FALSE)*Assumptions!$B$10*0.01)*((V$3/100)/0.01)/(MAX(0,Assumptions!$B$2*EXP(-Assumptions!$B$4*Assumptions!$B$9)*NORMSDIST(((LN(Assumptions!$B$2/$B9)+(Assumptions!$B$3-Assumptions!$B$4+(V$3/100)^2/2)*Assumptions!$B$9)/((V$3/100)*Assumptions!$B$10)))-$B9*EXP(-Assumptions!$B$3*Assumptions!$B$9)*NORMSDIST((((LN(Assumptions!$B$2/$B9)+(Assumptions!$B$3-Assumptions!$B$4+(V$3/100)^2/2)*Assumptions!$B$9)/((V$3/100)*Assumptions!$B$10))-(V$3/100)*Assumptions!$B$10)))))</f>
        <v/>
      </c>
      <c r="W9" s="32">
        <f>IF((MAX(0,Assumptions!$B$2*EXP(-Assumptions!$B$4*Assumptions!$B$9)*NORMSDIST(((LN(Assumptions!$B$2/$B9)+(Assumptions!$B$3-Assumptions!$B$4+(W$3/100)^2/2)*Assumptions!$B$9)/((W$3/100)*Assumptions!$B$10)))-$B9*EXP(-Assumptions!$B$3*Assumptions!$B$9)*NORMSDIST((((LN(Assumptions!$B$2/$B9)+(Assumptions!$B$3-Assumptions!$B$4+(W$3/100)^2/2)*Assumptions!$B$9)/((W$3/100)*Assumptions!$B$10))-(W$3/100)*Assumptions!$B$10))))&lt;=0,"",(Assumptions!$B$2*EXP(-Assumptions!$B$4*Assumptions!$B$9)*NORMDIST(((LN(Assumptions!$B$2/$B9)+(Assumptions!$B$3-Assumptions!$B$4+(W$3/100)^2/2)*Assumptions!$B$9)/((W$3/100)*Assumptions!$B$10)),0,1,FALSE)*Assumptions!$B$10*0.01)*((W$3/100)/0.01)/(MAX(0,Assumptions!$B$2*EXP(-Assumptions!$B$4*Assumptions!$B$9)*NORMSDIST(((LN(Assumptions!$B$2/$B9)+(Assumptions!$B$3-Assumptions!$B$4+(W$3/100)^2/2)*Assumptions!$B$9)/((W$3/100)*Assumptions!$B$10)))-$B9*EXP(-Assumptions!$B$3*Assumptions!$B$9)*NORMSDIST((((LN(Assumptions!$B$2/$B9)+(Assumptions!$B$3-Assumptions!$B$4+(W$3/100)^2/2)*Assumptions!$B$9)/((W$3/100)*Assumptions!$B$10))-(W$3/100)*Assumptions!$B$10)))))</f>
        <v/>
      </c>
      <c r="X9" s="32">
        <f>IF((MAX(0,Assumptions!$B$2*EXP(-Assumptions!$B$4*Assumptions!$B$9)*NORMSDIST(((LN(Assumptions!$B$2/$B9)+(Assumptions!$B$3-Assumptions!$B$4+(X$3/100)^2/2)*Assumptions!$B$9)/((X$3/100)*Assumptions!$B$10)))-$B9*EXP(-Assumptions!$B$3*Assumptions!$B$9)*NORMSDIST((((LN(Assumptions!$B$2/$B9)+(Assumptions!$B$3-Assumptions!$B$4+(X$3/100)^2/2)*Assumptions!$B$9)/((X$3/100)*Assumptions!$B$10))-(X$3/100)*Assumptions!$B$10))))&lt;=0,"",(Assumptions!$B$2*EXP(-Assumptions!$B$4*Assumptions!$B$9)*NORMDIST(((LN(Assumptions!$B$2/$B9)+(Assumptions!$B$3-Assumptions!$B$4+(X$3/100)^2/2)*Assumptions!$B$9)/((X$3/100)*Assumptions!$B$10)),0,1,FALSE)*Assumptions!$B$10*0.01)*((X$3/100)/0.01)/(MAX(0,Assumptions!$B$2*EXP(-Assumptions!$B$4*Assumptions!$B$9)*NORMSDIST(((LN(Assumptions!$B$2/$B9)+(Assumptions!$B$3-Assumptions!$B$4+(X$3/100)^2/2)*Assumptions!$B$9)/((X$3/100)*Assumptions!$B$10)))-$B9*EXP(-Assumptions!$B$3*Assumptions!$B$9)*NORMSDIST((((LN(Assumptions!$B$2/$B9)+(Assumptions!$B$3-Assumptions!$B$4+(X$3/100)^2/2)*Assumptions!$B$9)/((X$3/100)*Assumptions!$B$10))-(X$3/100)*Assumptions!$B$10)))))</f>
        <v/>
      </c>
      <c r="Y9" s="32">
        <f>IF((MAX(0,Assumptions!$B$2*EXP(-Assumptions!$B$4*Assumptions!$B$9)*NORMSDIST(((LN(Assumptions!$B$2/$B9)+(Assumptions!$B$3-Assumptions!$B$4+(Y$3/100)^2/2)*Assumptions!$B$9)/((Y$3/100)*Assumptions!$B$10)))-$B9*EXP(-Assumptions!$B$3*Assumptions!$B$9)*NORMSDIST((((LN(Assumptions!$B$2/$B9)+(Assumptions!$B$3-Assumptions!$B$4+(Y$3/100)^2/2)*Assumptions!$B$9)/((Y$3/100)*Assumptions!$B$10))-(Y$3/100)*Assumptions!$B$10))))&lt;=0,"",(Assumptions!$B$2*EXP(-Assumptions!$B$4*Assumptions!$B$9)*NORMDIST(((LN(Assumptions!$B$2/$B9)+(Assumptions!$B$3-Assumptions!$B$4+(Y$3/100)^2/2)*Assumptions!$B$9)/((Y$3/100)*Assumptions!$B$10)),0,1,FALSE)*Assumptions!$B$10*0.01)*((Y$3/100)/0.01)/(MAX(0,Assumptions!$B$2*EXP(-Assumptions!$B$4*Assumptions!$B$9)*NORMSDIST(((LN(Assumptions!$B$2/$B9)+(Assumptions!$B$3-Assumptions!$B$4+(Y$3/100)^2/2)*Assumptions!$B$9)/((Y$3/100)*Assumptions!$B$10)))-$B9*EXP(-Assumptions!$B$3*Assumptions!$B$9)*NORMSDIST((((LN(Assumptions!$B$2/$B9)+(Assumptions!$B$3-Assumptions!$B$4+(Y$3/100)^2/2)*Assumptions!$B$9)/((Y$3/100)*Assumptions!$B$10))-(Y$3/100)*Assumptions!$B$10)))))</f>
        <v/>
      </c>
      <c r="Z9" s="32">
        <f>IF((MAX(0,Assumptions!$B$2*EXP(-Assumptions!$B$4*Assumptions!$B$9)*NORMSDIST(((LN(Assumptions!$B$2/$B9)+(Assumptions!$B$3-Assumptions!$B$4+(Z$3/100)^2/2)*Assumptions!$B$9)/((Z$3/100)*Assumptions!$B$10)))-$B9*EXP(-Assumptions!$B$3*Assumptions!$B$9)*NORMSDIST((((LN(Assumptions!$B$2/$B9)+(Assumptions!$B$3-Assumptions!$B$4+(Z$3/100)^2/2)*Assumptions!$B$9)/((Z$3/100)*Assumptions!$B$10))-(Z$3/100)*Assumptions!$B$10))))&lt;=0,"",(Assumptions!$B$2*EXP(-Assumptions!$B$4*Assumptions!$B$9)*NORMDIST(((LN(Assumptions!$B$2/$B9)+(Assumptions!$B$3-Assumptions!$B$4+(Z$3/100)^2/2)*Assumptions!$B$9)/((Z$3/100)*Assumptions!$B$10)),0,1,FALSE)*Assumptions!$B$10*0.01)*((Z$3/100)/0.01)/(MAX(0,Assumptions!$B$2*EXP(-Assumptions!$B$4*Assumptions!$B$9)*NORMSDIST(((LN(Assumptions!$B$2/$B9)+(Assumptions!$B$3-Assumptions!$B$4+(Z$3/100)^2/2)*Assumptions!$B$9)/((Z$3/100)*Assumptions!$B$10)))-$B9*EXP(-Assumptions!$B$3*Assumptions!$B$9)*NORMSDIST((((LN(Assumptions!$B$2/$B9)+(Assumptions!$B$3-Assumptions!$B$4+(Z$3/100)^2/2)*Assumptions!$B$9)/((Z$3/100)*Assumptions!$B$10))-(Z$3/100)*Assumptions!$B$10)))))</f>
        <v/>
      </c>
      <c r="AA9" s="32">
        <f>IF((MAX(0,Assumptions!$B$2*EXP(-Assumptions!$B$4*Assumptions!$B$9)*NORMSDIST(((LN(Assumptions!$B$2/$B9)+(Assumptions!$B$3-Assumptions!$B$4+(AA$3/100)^2/2)*Assumptions!$B$9)/((AA$3/100)*Assumptions!$B$10)))-$B9*EXP(-Assumptions!$B$3*Assumptions!$B$9)*NORMSDIST((((LN(Assumptions!$B$2/$B9)+(Assumptions!$B$3-Assumptions!$B$4+(AA$3/100)^2/2)*Assumptions!$B$9)/((AA$3/100)*Assumptions!$B$10))-(AA$3/100)*Assumptions!$B$10))))&lt;=0,"",(Assumptions!$B$2*EXP(-Assumptions!$B$4*Assumptions!$B$9)*NORMDIST(((LN(Assumptions!$B$2/$B9)+(Assumptions!$B$3-Assumptions!$B$4+(AA$3/100)^2/2)*Assumptions!$B$9)/((AA$3/100)*Assumptions!$B$10)),0,1,FALSE)*Assumptions!$B$10*0.01)*((AA$3/100)/0.01)/(MAX(0,Assumptions!$B$2*EXP(-Assumptions!$B$4*Assumptions!$B$9)*NORMSDIST(((LN(Assumptions!$B$2/$B9)+(Assumptions!$B$3-Assumptions!$B$4+(AA$3/100)^2/2)*Assumptions!$B$9)/((AA$3/100)*Assumptions!$B$10)))-$B9*EXP(-Assumptions!$B$3*Assumptions!$B$9)*NORMSDIST((((LN(Assumptions!$B$2/$B9)+(Assumptions!$B$3-Assumptions!$B$4+(AA$3/100)^2/2)*Assumptions!$B$9)/((AA$3/100)*Assumptions!$B$10))-(AA$3/100)*Assumptions!$B$10)))))</f>
        <v/>
      </c>
      <c r="AB9" s="32">
        <f>IF((MAX(0,Assumptions!$B$2*EXP(-Assumptions!$B$4*Assumptions!$B$9)*NORMSDIST(((LN(Assumptions!$B$2/$B9)+(Assumptions!$B$3-Assumptions!$B$4+(AB$3/100)^2/2)*Assumptions!$B$9)/((AB$3/100)*Assumptions!$B$10)))-$B9*EXP(-Assumptions!$B$3*Assumptions!$B$9)*NORMSDIST((((LN(Assumptions!$B$2/$B9)+(Assumptions!$B$3-Assumptions!$B$4+(AB$3/100)^2/2)*Assumptions!$B$9)/((AB$3/100)*Assumptions!$B$10))-(AB$3/100)*Assumptions!$B$10))))&lt;=0,"",(Assumptions!$B$2*EXP(-Assumptions!$B$4*Assumptions!$B$9)*NORMDIST(((LN(Assumptions!$B$2/$B9)+(Assumptions!$B$3-Assumptions!$B$4+(AB$3/100)^2/2)*Assumptions!$B$9)/((AB$3/100)*Assumptions!$B$10)),0,1,FALSE)*Assumptions!$B$10*0.01)*((AB$3/100)/0.01)/(MAX(0,Assumptions!$B$2*EXP(-Assumptions!$B$4*Assumptions!$B$9)*NORMSDIST(((LN(Assumptions!$B$2/$B9)+(Assumptions!$B$3-Assumptions!$B$4+(AB$3/100)^2/2)*Assumptions!$B$9)/((AB$3/100)*Assumptions!$B$10)))-$B9*EXP(-Assumptions!$B$3*Assumptions!$B$9)*NORMSDIST((((LN(Assumptions!$B$2/$B9)+(Assumptions!$B$3-Assumptions!$B$4+(AB$3/100)^2/2)*Assumptions!$B$9)/((AB$3/100)*Assumptions!$B$10))-(AB$3/100)*Assumptions!$B$10)))))</f>
        <v/>
      </c>
      <c r="AC9" s="32">
        <f>IF((MAX(0,Assumptions!$B$2*EXP(-Assumptions!$B$4*Assumptions!$B$9)*NORMSDIST(((LN(Assumptions!$B$2/$B9)+(Assumptions!$B$3-Assumptions!$B$4+(AC$3/100)^2/2)*Assumptions!$B$9)/((AC$3/100)*Assumptions!$B$10)))-$B9*EXP(-Assumptions!$B$3*Assumptions!$B$9)*NORMSDIST((((LN(Assumptions!$B$2/$B9)+(Assumptions!$B$3-Assumptions!$B$4+(AC$3/100)^2/2)*Assumptions!$B$9)/((AC$3/100)*Assumptions!$B$10))-(AC$3/100)*Assumptions!$B$10))))&lt;=0,"",(Assumptions!$B$2*EXP(-Assumptions!$B$4*Assumptions!$B$9)*NORMDIST(((LN(Assumptions!$B$2/$B9)+(Assumptions!$B$3-Assumptions!$B$4+(AC$3/100)^2/2)*Assumptions!$B$9)/((AC$3/100)*Assumptions!$B$10)),0,1,FALSE)*Assumptions!$B$10*0.01)*((AC$3/100)/0.01)/(MAX(0,Assumptions!$B$2*EXP(-Assumptions!$B$4*Assumptions!$B$9)*NORMSDIST(((LN(Assumptions!$B$2/$B9)+(Assumptions!$B$3-Assumptions!$B$4+(AC$3/100)^2/2)*Assumptions!$B$9)/((AC$3/100)*Assumptions!$B$10)))-$B9*EXP(-Assumptions!$B$3*Assumptions!$B$9)*NORMSDIST((((LN(Assumptions!$B$2/$B9)+(Assumptions!$B$3-Assumptions!$B$4+(AC$3/100)^2/2)*Assumptions!$B$9)/((AC$3/100)*Assumptions!$B$10))-(AC$3/100)*Assumptions!$B$10)))))</f>
        <v/>
      </c>
      <c r="AD9" s="32">
        <f>IF((MAX(0,Assumptions!$B$2*EXP(-Assumptions!$B$4*Assumptions!$B$9)*NORMSDIST(((LN(Assumptions!$B$2/$B9)+(Assumptions!$B$3-Assumptions!$B$4+(AD$3/100)^2/2)*Assumptions!$B$9)/((AD$3/100)*Assumptions!$B$10)))-$B9*EXP(-Assumptions!$B$3*Assumptions!$B$9)*NORMSDIST((((LN(Assumptions!$B$2/$B9)+(Assumptions!$B$3-Assumptions!$B$4+(AD$3/100)^2/2)*Assumptions!$B$9)/((AD$3/100)*Assumptions!$B$10))-(AD$3/100)*Assumptions!$B$10))))&lt;=0,"",(Assumptions!$B$2*EXP(-Assumptions!$B$4*Assumptions!$B$9)*NORMDIST(((LN(Assumptions!$B$2/$B9)+(Assumptions!$B$3-Assumptions!$B$4+(AD$3/100)^2/2)*Assumptions!$B$9)/((AD$3/100)*Assumptions!$B$10)),0,1,FALSE)*Assumptions!$B$10*0.01)*((AD$3/100)/0.01)/(MAX(0,Assumptions!$B$2*EXP(-Assumptions!$B$4*Assumptions!$B$9)*NORMSDIST(((LN(Assumptions!$B$2/$B9)+(Assumptions!$B$3-Assumptions!$B$4+(AD$3/100)^2/2)*Assumptions!$B$9)/((AD$3/100)*Assumptions!$B$10)))-$B9*EXP(-Assumptions!$B$3*Assumptions!$B$9)*NORMSDIST((((LN(Assumptions!$B$2/$B9)+(Assumptions!$B$3-Assumptions!$B$4+(AD$3/100)^2/2)*Assumptions!$B$9)/((AD$3/100)*Assumptions!$B$10))-(AD$3/100)*Assumptions!$B$10)))))</f>
        <v/>
      </c>
      <c r="AE9" s="32">
        <f>IF((MAX(0,Assumptions!$B$2*EXP(-Assumptions!$B$4*Assumptions!$B$9)*NORMSDIST(((LN(Assumptions!$B$2/$B9)+(Assumptions!$B$3-Assumptions!$B$4+(AE$3/100)^2/2)*Assumptions!$B$9)/((AE$3/100)*Assumptions!$B$10)))-$B9*EXP(-Assumptions!$B$3*Assumptions!$B$9)*NORMSDIST((((LN(Assumptions!$B$2/$B9)+(Assumptions!$B$3-Assumptions!$B$4+(AE$3/100)^2/2)*Assumptions!$B$9)/((AE$3/100)*Assumptions!$B$10))-(AE$3/100)*Assumptions!$B$10))))&lt;=0,"",(Assumptions!$B$2*EXP(-Assumptions!$B$4*Assumptions!$B$9)*NORMDIST(((LN(Assumptions!$B$2/$B9)+(Assumptions!$B$3-Assumptions!$B$4+(AE$3/100)^2/2)*Assumptions!$B$9)/((AE$3/100)*Assumptions!$B$10)),0,1,FALSE)*Assumptions!$B$10*0.01)*((AE$3/100)/0.01)/(MAX(0,Assumptions!$B$2*EXP(-Assumptions!$B$4*Assumptions!$B$9)*NORMSDIST(((LN(Assumptions!$B$2/$B9)+(Assumptions!$B$3-Assumptions!$B$4+(AE$3/100)^2/2)*Assumptions!$B$9)/((AE$3/100)*Assumptions!$B$10)))-$B9*EXP(-Assumptions!$B$3*Assumptions!$B$9)*NORMSDIST((((LN(Assumptions!$B$2/$B9)+(Assumptions!$B$3-Assumptions!$B$4+(AE$3/100)^2/2)*Assumptions!$B$9)/((AE$3/100)*Assumptions!$B$10))-(AE$3/100)*Assumptions!$B$10)))))</f>
        <v/>
      </c>
      <c r="AF9" s="32">
        <f>IF((MAX(0,Assumptions!$B$2*EXP(-Assumptions!$B$4*Assumptions!$B$9)*NORMSDIST(((LN(Assumptions!$B$2/$B9)+(Assumptions!$B$3-Assumptions!$B$4+(AF$3/100)^2/2)*Assumptions!$B$9)/((AF$3/100)*Assumptions!$B$10)))-$B9*EXP(-Assumptions!$B$3*Assumptions!$B$9)*NORMSDIST((((LN(Assumptions!$B$2/$B9)+(Assumptions!$B$3-Assumptions!$B$4+(AF$3/100)^2/2)*Assumptions!$B$9)/((AF$3/100)*Assumptions!$B$10))-(AF$3/100)*Assumptions!$B$10))))&lt;=0,"",(Assumptions!$B$2*EXP(-Assumptions!$B$4*Assumptions!$B$9)*NORMDIST(((LN(Assumptions!$B$2/$B9)+(Assumptions!$B$3-Assumptions!$B$4+(AF$3/100)^2/2)*Assumptions!$B$9)/((AF$3/100)*Assumptions!$B$10)),0,1,FALSE)*Assumptions!$B$10*0.01)*((AF$3/100)/0.01)/(MAX(0,Assumptions!$B$2*EXP(-Assumptions!$B$4*Assumptions!$B$9)*NORMSDIST(((LN(Assumptions!$B$2/$B9)+(Assumptions!$B$3-Assumptions!$B$4+(AF$3/100)^2/2)*Assumptions!$B$9)/((AF$3/100)*Assumptions!$B$10)))-$B9*EXP(-Assumptions!$B$3*Assumptions!$B$9)*NORMSDIST((((LN(Assumptions!$B$2/$B9)+(Assumptions!$B$3-Assumptions!$B$4+(AF$3/100)^2/2)*Assumptions!$B$9)/((AF$3/100)*Assumptions!$B$10))-(AF$3/100)*Assumptions!$B$10)))))</f>
        <v/>
      </c>
      <c r="AG9" s="32">
        <f>IF((MAX(0,Assumptions!$B$2*EXP(-Assumptions!$B$4*Assumptions!$B$9)*NORMSDIST(((LN(Assumptions!$B$2/$B9)+(Assumptions!$B$3-Assumptions!$B$4+(AG$3/100)^2/2)*Assumptions!$B$9)/((AG$3/100)*Assumptions!$B$10)))-$B9*EXP(-Assumptions!$B$3*Assumptions!$B$9)*NORMSDIST((((LN(Assumptions!$B$2/$B9)+(Assumptions!$B$3-Assumptions!$B$4+(AG$3/100)^2/2)*Assumptions!$B$9)/((AG$3/100)*Assumptions!$B$10))-(AG$3/100)*Assumptions!$B$10))))&lt;=0,"",(Assumptions!$B$2*EXP(-Assumptions!$B$4*Assumptions!$B$9)*NORMDIST(((LN(Assumptions!$B$2/$B9)+(Assumptions!$B$3-Assumptions!$B$4+(AG$3/100)^2/2)*Assumptions!$B$9)/((AG$3/100)*Assumptions!$B$10)),0,1,FALSE)*Assumptions!$B$10*0.01)*((AG$3/100)/0.01)/(MAX(0,Assumptions!$B$2*EXP(-Assumptions!$B$4*Assumptions!$B$9)*NORMSDIST(((LN(Assumptions!$B$2/$B9)+(Assumptions!$B$3-Assumptions!$B$4+(AG$3/100)^2/2)*Assumptions!$B$9)/((AG$3/100)*Assumptions!$B$10)))-$B9*EXP(-Assumptions!$B$3*Assumptions!$B$9)*NORMSDIST((((LN(Assumptions!$B$2/$B9)+(Assumptions!$B$3-Assumptions!$B$4+(AG$3/100)^2/2)*Assumptions!$B$9)/((AG$3/100)*Assumptions!$B$10))-(AG$3/100)*Assumptions!$B$10)))))</f>
        <v/>
      </c>
      <c r="AH9" s="32">
        <f>IF((MAX(0,Assumptions!$B$2*EXP(-Assumptions!$B$4*Assumptions!$B$9)*NORMSDIST(((LN(Assumptions!$B$2/$B9)+(Assumptions!$B$3-Assumptions!$B$4+(AH$3/100)^2/2)*Assumptions!$B$9)/((AH$3/100)*Assumptions!$B$10)))-$B9*EXP(-Assumptions!$B$3*Assumptions!$B$9)*NORMSDIST((((LN(Assumptions!$B$2/$B9)+(Assumptions!$B$3-Assumptions!$B$4+(AH$3/100)^2/2)*Assumptions!$B$9)/((AH$3/100)*Assumptions!$B$10))-(AH$3/100)*Assumptions!$B$10))))&lt;=0,"",(Assumptions!$B$2*EXP(-Assumptions!$B$4*Assumptions!$B$9)*NORMDIST(((LN(Assumptions!$B$2/$B9)+(Assumptions!$B$3-Assumptions!$B$4+(AH$3/100)^2/2)*Assumptions!$B$9)/((AH$3/100)*Assumptions!$B$10)),0,1,FALSE)*Assumptions!$B$10*0.01)*((AH$3/100)/0.01)/(MAX(0,Assumptions!$B$2*EXP(-Assumptions!$B$4*Assumptions!$B$9)*NORMSDIST(((LN(Assumptions!$B$2/$B9)+(Assumptions!$B$3-Assumptions!$B$4+(AH$3/100)^2/2)*Assumptions!$B$9)/((AH$3/100)*Assumptions!$B$10)))-$B9*EXP(-Assumptions!$B$3*Assumptions!$B$9)*NORMSDIST((((LN(Assumptions!$B$2/$B9)+(Assumptions!$B$3-Assumptions!$B$4+(AH$3/100)^2/2)*Assumptions!$B$9)/((AH$3/100)*Assumptions!$B$10))-(AH$3/100)*Assumptions!$B$10)))))</f>
        <v/>
      </c>
      <c r="AI9" s="32">
        <f>IF((MAX(0,Assumptions!$B$2*EXP(-Assumptions!$B$4*Assumptions!$B$9)*NORMSDIST(((LN(Assumptions!$B$2/$B9)+(Assumptions!$B$3-Assumptions!$B$4+(AI$3/100)^2/2)*Assumptions!$B$9)/((AI$3/100)*Assumptions!$B$10)))-$B9*EXP(-Assumptions!$B$3*Assumptions!$B$9)*NORMSDIST((((LN(Assumptions!$B$2/$B9)+(Assumptions!$B$3-Assumptions!$B$4+(AI$3/100)^2/2)*Assumptions!$B$9)/((AI$3/100)*Assumptions!$B$10))-(AI$3/100)*Assumptions!$B$10))))&lt;=0,"",(Assumptions!$B$2*EXP(-Assumptions!$B$4*Assumptions!$B$9)*NORMDIST(((LN(Assumptions!$B$2/$B9)+(Assumptions!$B$3-Assumptions!$B$4+(AI$3/100)^2/2)*Assumptions!$B$9)/((AI$3/100)*Assumptions!$B$10)),0,1,FALSE)*Assumptions!$B$10*0.01)*((AI$3/100)/0.01)/(MAX(0,Assumptions!$B$2*EXP(-Assumptions!$B$4*Assumptions!$B$9)*NORMSDIST(((LN(Assumptions!$B$2/$B9)+(Assumptions!$B$3-Assumptions!$B$4+(AI$3/100)^2/2)*Assumptions!$B$9)/((AI$3/100)*Assumptions!$B$10)))-$B9*EXP(-Assumptions!$B$3*Assumptions!$B$9)*NORMSDIST((((LN(Assumptions!$B$2/$B9)+(Assumptions!$B$3-Assumptions!$B$4+(AI$3/100)^2/2)*Assumptions!$B$9)/((AI$3/100)*Assumptions!$B$10))-(AI$3/100)*Assumptions!$B$10)))))</f>
        <v/>
      </c>
      <c r="AJ9" s="32">
        <f>IF((MAX(0,Assumptions!$B$2*EXP(-Assumptions!$B$4*Assumptions!$B$9)*NORMSDIST(((LN(Assumptions!$B$2/$B9)+(Assumptions!$B$3-Assumptions!$B$4+(AJ$3/100)^2/2)*Assumptions!$B$9)/((AJ$3/100)*Assumptions!$B$10)))-$B9*EXP(-Assumptions!$B$3*Assumptions!$B$9)*NORMSDIST((((LN(Assumptions!$B$2/$B9)+(Assumptions!$B$3-Assumptions!$B$4+(AJ$3/100)^2/2)*Assumptions!$B$9)/((AJ$3/100)*Assumptions!$B$10))-(AJ$3/100)*Assumptions!$B$10))))&lt;=0,"",(Assumptions!$B$2*EXP(-Assumptions!$B$4*Assumptions!$B$9)*NORMDIST(((LN(Assumptions!$B$2/$B9)+(Assumptions!$B$3-Assumptions!$B$4+(AJ$3/100)^2/2)*Assumptions!$B$9)/((AJ$3/100)*Assumptions!$B$10)),0,1,FALSE)*Assumptions!$B$10*0.01)*((AJ$3/100)/0.01)/(MAX(0,Assumptions!$B$2*EXP(-Assumptions!$B$4*Assumptions!$B$9)*NORMSDIST(((LN(Assumptions!$B$2/$B9)+(Assumptions!$B$3-Assumptions!$B$4+(AJ$3/100)^2/2)*Assumptions!$B$9)/((AJ$3/100)*Assumptions!$B$10)))-$B9*EXP(-Assumptions!$B$3*Assumptions!$B$9)*NORMSDIST((((LN(Assumptions!$B$2/$B9)+(Assumptions!$B$3-Assumptions!$B$4+(AJ$3/100)^2/2)*Assumptions!$B$9)/((AJ$3/100)*Assumptions!$B$10))-(AJ$3/100)*Assumptions!$B$10)))))</f>
        <v/>
      </c>
      <c r="AK9" s="32">
        <f>IF((MAX(0,Assumptions!$B$2*EXP(-Assumptions!$B$4*Assumptions!$B$9)*NORMSDIST(((LN(Assumptions!$B$2/$B9)+(Assumptions!$B$3-Assumptions!$B$4+(AK$3/100)^2/2)*Assumptions!$B$9)/((AK$3/100)*Assumptions!$B$10)))-$B9*EXP(-Assumptions!$B$3*Assumptions!$B$9)*NORMSDIST((((LN(Assumptions!$B$2/$B9)+(Assumptions!$B$3-Assumptions!$B$4+(AK$3/100)^2/2)*Assumptions!$B$9)/((AK$3/100)*Assumptions!$B$10))-(AK$3/100)*Assumptions!$B$10))))&lt;=0,"",(Assumptions!$B$2*EXP(-Assumptions!$B$4*Assumptions!$B$9)*NORMDIST(((LN(Assumptions!$B$2/$B9)+(Assumptions!$B$3-Assumptions!$B$4+(AK$3/100)^2/2)*Assumptions!$B$9)/((AK$3/100)*Assumptions!$B$10)),0,1,FALSE)*Assumptions!$B$10*0.01)*((AK$3/100)/0.01)/(MAX(0,Assumptions!$B$2*EXP(-Assumptions!$B$4*Assumptions!$B$9)*NORMSDIST(((LN(Assumptions!$B$2/$B9)+(Assumptions!$B$3-Assumptions!$B$4+(AK$3/100)^2/2)*Assumptions!$B$9)/((AK$3/100)*Assumptions!$B$10)))-$B9*EXP(-Assumptions!$B$3*Assumptions!$B$9)*NORMSDIST((((LN(Assumptions!$B$2/$B9)+(Assumptions!$B$3-Assumptions!$B$4+(AK$3/100)^2/2)*Assumptions!$B$9)/((AK$3/100)*Assumptions!$B$10))-(AK$3/100)*Assumptions!$B$10)))))</f>
        <v/>
      </c>
      <c r="AL9" s="32">
        <f>IF((MAX(0,Assumptions!$B$2*EXP(-Assumptions!$B$4*Assumptions!$B$9)*NORMSDIST(((LN(Assumptions!$B$2/$B9)+(Assumptions!$B$3-Assumptions!$B$4+(AL$3/100)^2/2)*Assumptions!$B$9)/((AL$3/100)*Assumptions!$B$10)))-$B9*EXP(-Assumptions!$B$3*Assumptions!$B$9)*NORMSDIST((((LN(Assumptions!$B$2/$B9)+(Assumptions!$B$3-Assumptions!$B$4+(AL$3/100)^2/2)*Assumptions!$B$9)/((AL$3/100)*Assumptions!$B$10))-(AL$3/100)*Assumptions!$B$10))))&lt;=0,"",(Assumptions!$B$2*EXP(-Assumptions!$B$4*Assumptions!$B$9)*NORMDIST(((LN(Assumptions!$B$2/$B9)+(Assumptions!$B$3-Assumptions!$B$4+(AL$3/100)^2/2)*Assumptions!$B$9)/((AL$3/100)*Assumptions!$B$10)),0,1,FALSE)*Assumptions!$B$10*0.01)*((AL$3/100)/0.01)/(MAX(0,Assumptions!$B$2*EXP(-Assumptions!$B$4*Assumptions!$B$9)*NORMSDIST(((LN(Assumptions!$B$2/$B9)+(Assumptions!$B$3-Assumptions!$B$4+(AL$3/100)^2/2)*Assumptions!$B$9)/((AL$3/100)*Assumptions!$B$10)))-$B9*EXP(-Assumptions!$B$3*Assumptions!$B$9)*NORMSDIST((((LN(Assumptions!$B$2/$B9)+(Assumptions!$B$3-Assumptions!$B$4+(AL$3/100)^2/2)*Assumptions!$B$9)/((AL$3/100)*Assumptions!$B$10))-(AL$3/100)*Assumptions!$B$10)))))</f>
        <v/>
      </c>
      <c r="AM9" s="32">
        <f>IF((MAX(0,Assumptions!$B$2*EXP(-Assumptions!$B$4*Assumptions!$B$9)*NORMSDIST(((LN(Assumptions!$B$2/$B9)+(Assumptions!$B$3-Assumptions!$B$4+(AM$3/100)^2/2)*Assumptions!$B$9)/((AM$3/100)*Assumptions!$B$10)))-$B9*EXP(-Assumptions!$B$3*Assumptions!$B$9)*NORMSDIST((((LN(Assumptions!$B$2/$B9)+(Assumptions!$B$3-Assumptions!$B$4+(AM$3/100)^2/2)*Assumptions!$B$9)/((AM$3/100)*Assumptions!$B$10))-(AM$3/100)*Assumptions!$B$10))))&lt;=0,"",(Assumptions!$B$2*EXP(-Assumptions!$B$4*Assumptions!$B$9)*NORMDIST(((LN(Assumptions!$B$2/$B9)+(Assumptions!$B$3-Assumptions!$B$4+(AM$3/100)^2/2)*Assumptions!$B$9)/((AM$3/100)*Assumptions!$B$10)),0,1,FALSE)*Assumptions!$B$10*0.01)*((AM$3/100)/0.01)/(MAX(0,Assumptions!$B$2*EXP(-Assumptions!$B$4*Assumptions!$B$9)*NORMSDIST(((LN(Assumptions!$B$2/$B9)+(Assumptions!$B$3-Assumptions!$B$4+(AM$3/100)^2/2)*Assumptions!$B$9)/((AM$3/100)*Assumptions!$B$10)))-$B9*EXP(-Assumptions!$B$3*Assumptions!$B$9)*NORMSDIST((((LN(Assumptions!$B$2/$B9)+(Assumptions!$B$3-Assumptions!$B$4+(AM$3/100)^2/2)*Assumptions!$B$9)/((AM$3/100)*Assumptions!$B$10))-(AM$3/100)*Assumptions!$B$10)))))</f>
        <v/>
      </c>
      <c r="AN9" s="32">
        <f>IF((MAX(0,Assumptions!$B$2*EXP(-Assumptions!$B$4*Assumptions!$B$9)*NORMSDIST(((LN(Assumptions!$B$2/$B9)+(Assumptions!$B$3-Assumptions!$B$4+(AN$3/100)^2/2)*Assumptions!$B$9)/((AN$3/100)*Assumptions!$B$10)))-$B9*EXP(-Assumptions!$B$3*Assumptions!$B$9)*NORMSDIST((((LN(Assumptions!$B$2/$B9)+(Assumptions!$B$3-Assumptions!$B$4+(AN$3/100)^2/2)*Assumptions!$B$9)/((AN$3/100)*Assumptions!$B$10))-(AN$3/100)*Assumptions!$B$10))))&lt;=0,"",(Assumptions!$B$2*EXP(-Assumptions!$B$4*Assumptions!$B$9)*NORMDIST(((LN(Assumptions!$B$2/$B9)+(Assumptions!$B$3-Assumptions!$B$4+(AN$3/100)^2/2)*Assumptions!$B$9)/((AN$3/100)*Assumptions!$B$10)),0,1,FALSE)*Assumptions!$B$10*0.01)*((AN$3/100)/0.01)/(MAX(0,Assumptions!$B$2*EXP(-Assumptions!$B$4*Assumptions!$B$9)*NORMSDIST(((LN(Assumptions!$B$2/$B9)+(Assumptions!$B$3-Assumptions!$B$4+(AN$3/100)^2/2)*Assumptions!$B$9)/((AN$3/100)*Assumptions!$B$10)))-$B9*EXP(-Assumptions!$B$3*Assumptions!$B$9)*NORMSDIST((((LN(Assumptions!$B$2/$B9)+(Assumptions!$B$3-Assumptions!$B$4+(AN$3/100)^2/2)*Assumptions!$B$9)/((AN$3/100)*Assumptions!$B$10))-(AN$3/100)*Assumptions!$B$10)))))</f>
        <v/>
      </c>
      <c r="AO9" s="32">
        <f>IF((MAX(0,Assumptions!$B$2*EXP(-Assumptions!$B$4*Assumptions!$B$9)*NORMSDIST(((LN(Assumptions!$B$2/$B9)+(Assumptions!$B$3-Assumptions!$B$4+(AO$3/100)^2/2)*Assumptions!$B$9)/((AO$3/100)*Assumptions!$B$10)))-$B9*EXP(-Assumptions!$B$3*Assumptions!$B$9)*NORMSDIST((((LN(Assumptions!$B$2/$B9)+(Assumptions!$B$3-Assumptions!$B$4+(AO$3/100)^2/2)*Assumptions!$B$9)/((AO$3/100)*Assumptions!$B$10))-(AO$3/100)*Assumptions!$B$10))))&lt;=0,"",(Assumptions!$B$2*EXP(-Assumptions!$B$4*Assumptions!$B$9)*NORMDIST(((LN(Assumptions!$B$2/$B9)+(Assumptions!$B$3-Assumptions!$B$4+(AO$3/100)^2/2)*Assumptions!$B$9)/((AO$3/100)*Assumptions!$B$10)),0,1,FALSE)*Assumptions!$B$10*0.01)*((AO$3/100)/0.01)/(MAX(0,Assumptions!$B$2*EXP(-Assumptions!$B$4*Assumptions!$B$9)*NORMSDIST(((LN(Assumptions!$B$2/$B9)+(Assumptions!$B$3-Assumptions!$B$4+(AO$3/100)^2/2)*Assumptions!$B$9)/((AO$3/100)*Assumptions!$B$10)))-$B9*EXP(-Assumptions!$B$3*Assumptions!$B$9)*NORMSDIST((((LN(Assumptions!$B$2/$B9)+(Assumptions!$B$3-Assumptions!$B$4+(AO$3/100)^2/2)*Assumptions!$B$9)/((AO$3/100)*Assumptions!$B$10))-(AO$3/100)*Assumptions!$B$10)))))</f>
        <v/>
      </c>
      <c r="AP9" s="32">
        <f>IF((MAX(0,Assumptions!$B$2*EXP(-Assumptions!$B$4*Assumptions!$B$9)*NORMSDIST(((LN(Assumptions!$B$2/$B9)+(Assumptions!$B$3-Assumptions!$B$4+(AP$3/100)^2/2)*Assumptions!$B$9)/((AP$3/100)*Assumptions!$B$10)))-$B9*EXP(-Assumptions!$B$3*Assumptions!$B$9)*NORMSDIST((((LN(Assumptions!$B$2/$B9)+(Assumptions!$B$3-Assumptions!$B$4+(AP$3/100)^2/2)*Assumptions!$B$9)/((AP$3/100)*Assumptions!$B$10))-(AP$3/100)*Assumptions!$B$10))))&lt;=0,"",(Assumptions!$B$2*EXP(-Assumptions!$B$4*Assumptions!$B$9)*NORMDIST(((LN(Assumptions!$B$2/$B9)+(Assumptions!$B$3-Assumptions!$B$4+(AP$3/100)^2/2)*Assumptions!$B$9)/((AP$3/100)*Assumptions!$B$10)),0,1,FALSE)*Assumptions!$B$10*0.01)*((AP$3/100)/0.01)/(MAX(0,Assumptions!$B$2*EXP(-Assumptions!$B$4*Assumptions!$B$9)*NORMSDIST(((LN(Assumptions!$B$2/$B9)+(Assumptions!$B$3-Assumptions!$B$4+(AP$3/100)^2/2)*Assumptions!$B$9)/((AP$3/100)*Assumptions!$B$10)))-$B9*EXP(-Assumptions!$B$3*Assumptions!$B$9)*NORMSDIST((((LN(Assumptions!$B$2/$B9)+(Assumptions!$B$3-Assumptions!$B$4+(AP$3/100)^2/2)*Assumptions!$B$9)/((AP$3/100)*Assumptions!$B$10))-(AP$3/100)*Assumptions!$B$10)))))</f>
        <v/>
      </c>
      <c r="AQ9" s="32">
        <f>IF((MAX(0,Assumptions!$B$2*EXP(-Assumptions!$B$4*Assumptions!$B$9)*NORMSDIST(((LN(Assumptions!$B$2/$B9)+(Assumptions!$B$3-Assumptions!$B$4+(AQ$3/100)^2/2)*Assumptions!$B$9)/((AQ$3/100)*Assumptions!$B$10)))-$B9*EXP(-Assumptions!$B$3*Assumptions!$B$9)*NORMSDIST((((LN(Assumptions!$B$2/$B9)+(Assumptions!$B$3-Assumptions!$B$4+(AQ$3/100)^2/2)*Assumptions!$B$9)/((AQ$3/100)*Assumptions!$B$10))-(AQ$3/100)*Assumptions!$B$10))))&lt;=0,"",(Assumptions!$B$2*EXP(-Assumptions!$B$4*Assumptions!$B$9)*NORMDIST(((LN(Assumptions!$B$2/$B9)+(Assumptions!$B$3-Assumptions!$B$4+(AQ$3/100)^2/2)*Assumptions!$B$9)/((AQ$3/100)*Assumptions!$B$10)),0,1,FALSE)*Assumptions!$B$10*0.01)*((AQ$3/100)/0.01)/(MAX(0,Assumptions!$B$2*EXP(-Assumptions!$B$4*Assumptions!$B$9)*NORMSDIST(((LN(Assumptions!$B$2/$B9)+(Assumptions!$B$3-Assumptions!$B$4+(AQ$3/100)^2/2)*Assumptions!$B$9)/((AQ$3/100)*Assumptions!$B$10)))-$B9*EXP(-Assumptions!$B$3*Assumptions!$B$9)*NORMSDIST((((LN(Assumptions!$B$2/$B9)+(Assumptions!$B$3-Assumptions!$B$4+(AQ$3/100)^2/2)*Assumptions!$B$9)/((AQ$3/100)*Assumptions!$B$10))-(AQ$3/100)*Assumptions!$B$10)))))</f>
        <v/>
      </c>
      <c r="AR9" s="32">
        <f>IF((MAX(0,Assumptions!$B$2*EXP(-Assumptions!$B$4*Assumptions!$B$9)*NORMSDIST(((LN(Assumptions!$B$2/$B9)+(Assumptions!$B$3-Assumptions!$B$4+(AR$3/100)^2/2)*Assumptions!$B$9)/((AR$3/100)*Assumptions!$B$10)))-$B9*EXP(-Assumptions!$B$3*Assumptions!$B$9)*NORMSDIST((((LN(Assumptions!$B$2/$B9)+(Assumptions!$B$3-Assumptions!$B$4+(AR$3/100)^2/2)*Assumptions!$B$9)/((AR$3/100)*Assumptions!$B$10))-(AR$3/100)*Assumptions!$B$10))))&lt;=0,"",(Assumptions!$B$2*EXP(-Assumptions!$B$4*Assumptions!$B$9)*NORMDIST(((LN(Assumptions!$B$2/$B9)+(Assumptions!$B$3-Assumptions!$B$4+(AR$3/100)^2/2)*Assumptions!$B$9)/((AR$3/100)*Assumptions!$B$10)),0,1,FALSE)*Assumptions!$B$10*0.01)*((AR$3/100)/0.01)/(MAX(0,Assumptions!$B$2*EXP(-Assumptions!$B$4*Assumptions!$B$9)*NORMSDIST(((LN(Assumptions!$B$2/$B9)+(Assumptions!$B$3-Assumptions!$B$4+(AR$3/100)^2/2)*Assumptions!$B$9)/((AR$3/100)*Assumptions!$B$10)))-$B9*EXP(-Assumptions!$B$3*Assumptions!$B$9)*NORMSDIST((((LN(Assumptions!$B$2/$B9)+(Assumptions!$B$3-Assumptions!$B$4+(AR$3/100)^2/2)*Assumptions!$B$9)/((AR$3/100)*Assumptions!$B$10))-(AR$3/100)*Assumptions!$B$10)))))</f>
        <v/>
      </c>
      <c r="AS9" s="32">
        <f>IF((MAX(0,Assumptions!$B$2*EXP(-Assumptions!$B$4*Assumptions!$B$9)*NORMSDIST(((LN(Assumptions!$B$2/$B9)+(Assumptions!$B$3-Assumptions!$B$4+(AS$3/100)^2/2)*Assumptions!$B$9)/((AS$3/100)*Assumptions!$B$10)))-$B9*EXP(-Assumptions!$B$3*Assumptions!$B$9)*NORMSDIST((((LN(Assumptions!$B$2/$B9)+(Assumptions!$B$3-Assumptions!$B$4+(AS$3/100)^2/2)*Assumptions!$B$9)/((AS$3/100)*Assumptions!$B$10))-(AS$3/100)*Assumptions!$B$10))))&lt;=0,"",(Assumptions!$B$2*EXP(-Assumptions!$B$4*Assumptions!$B$9)*NORMDIST(((LN(Assumptions!$B$2/$B9)+(Assumptions!$B$3-Assumptions!$B$4+(AS$3/100)^2/2)*Assumptions!$B$9)/((AS$3/100)*Assumptions!$B$10)),0,1,FALSE)*Assumptions!$B$10*0.01)*((AS$3/100)/0.01)/(MAX(0,Assumptions!$B$2*EXP(-Assumptions!$B$4*Assumptions!$B$9)*NORMSDIST(((LN(Assumptions!$B$2/$B9)+(Assumptions!$B$3-Assumptions!$B$4+(AS$3/100)^2/2)*Assumptions!$B$9)/((AS$3/100)*Assumptions!$B$10)))-$B9*EXP(-Assumptions!$B$3*Assumptions!$B$9)*NORMSDIST((((LN(Assumptions!$B$2/$B9)+(Assumptions!$B$3-Assumptions!$B$4+(AS$3/100)^2/2)*Assumptions!$B$9)/((AS$3/100)*Assumptions!$B$10))-(AS$3/100)*Assumptions!$B$10)))))</f>
        <v/>
      </c>
      <c r="AT9" s="32">
        <f>IF((MAX(0,Assumptions!$B$2*EXP(-Assumptions!$B$4*Assumptions!$B$9)*NORMSDIST(((LN(Assumptions!$B$2/$B9)+(Assumptions!$B$3-Assumptions!$B$4+(AT$3/100)^2/2)*Assumptions!$B$9)/((AT$3/100)*Assumptions!$B$10)))-$B9*EXP(-Assumptions!$B$3*Assumptions!$B$9)*NORMSDIST((((LN(Assumptions!$B$2/$B9)+(Assumptions!$B$3-Assumptions!$B$4+(AT$3/100)^2/2)*Assumptions!$B$9)/((AT$3/100)*Assumptions!$B$10))-(AT$3/100)*Assumptions!$B$10))))&lt;=0,"",(Assumptions!$B$2*EXP(-Assumptions!$B$4*Assumptions!$B$9)*NORMDIST(((LN(Assumptions!$B$2/$B9)+(Assumptions!$B$3-Assumptions!$B$4+(AT$3/100)^2/2)*Assumptions!$B$9)/((AT$3/100)*Assumptions!$B$10)),0,1,FALSE)*Assumptions!$B$10*0.01)*((AT$3/100)/0.01)/(MAX(0,Assumptions!$B$2*EXP(-Assumptions!$B$4*Assumptions!$B$9)*NORMSDIST(((LN(Assumptions!$B$2/$B9)+(Assumptions!$B$3-Assumptions!$B$4+(AT$3/100)^2/2)*Assumptions!$B$9)/((AT$3/100)*Assumptions!$B$10)))-$B9*EXP(-Assumptions!$B$3*Assumptions!$B$9)*NORMSDIST((((LN(Assumptions!$B$2/$B9)+(Assumptions!$B$3-Assumptions!$B$4+(AT$3/100)^2/2)*Assumptions!$B$9)/((AT$3/100)*Assumptions!$B$10))-(AT$3/100)*Assumptions!$B$10)))))</f>
        <v/>
      </c>
      <c r="AU9" s="32">
        <f>IF((MAX(0,Assumptions!$B$2*EXP(-Assumptions!$B$4*Assumptions!$B$9)*NORMSDIST(((LN(Assumptions!$B$2/$B9)+(Assumptions!$B$3-Assumptions!$B$4+(AU$3/100)^2/2)*Assumptions!$B$9)/((AU$3/100)*Assumptions!$B$10)))-$B9*EXP(-Assumptions!$B$3*Assumptions!$B$9)*NORMSDIST((((LN(Assumptions!$B$2/$B9)+(Assumptions!$B$3-Assumptions!$B$4+(AU$3/100)^2/2)*Assumptions!$B$9)/((AU$3/100)*Assumptions!$B$10))-(AU$3/100)*Assumptions!$B$10))))&lt;=0,"",(Assumptions!$B$2*EXP(-Assumptions!$B$4*Assumptions!$B$9)*NORMDIST(((LN(Assumptions!$B$2/$B9)+(Assumptions!$B$3-Assumptions!$B$4+(AU$3/100)^2/2)*Assumptions!$B$9)/((AU$3/100)*Assumptions!$B$10)),0,1,FALSE)*Assumptions!$B$10*0.01)*((AU$3/100)/0.01)/(MAX(0,Assumptions!$B$2*EXP(-Assumptions!$B$4*Assumptions!$B$9)*NORMSDIST(((LN(Assumptions!$B$2/$B9)+(Assumptions!$B$3-Assumptions!$B$4+(AU$3/100)^2/2)*Assumptions!$B$9)/((AU$3/100)*Assumptions!$B$10)))-$B9*EXP(-Assumptions!$B$3*Assumptions!$B$9)*NORMSDIST((((LN(Assumptions!$B$2/$B9)+(Assumptions!$B$3-Assumptions!$B$4+(AU$3/100)^2/2)*Assumptions!$B$9)/((AU$3/100)*Assumptions!$B$10))-(AU$3/100)*Assumptions!$B$10)))))</f>
        <v/>
      </c>
      <c r="AV9" s="32">
        <f>IF((MAX(0,Assumptions!$B$2*EXP(-Assumptions!$B$4*Assumptions!$B$9)*NORMSDIST(((LN(Assumptions!$B$2/$B9)+(Assumptions!$B$3-Assumptions!$B$4+(AV$3/100)^2/2)*Assumptions!$B$9)/((AV$3/100)*Assumptions!$B$10)))-$B9*EXP(-Assumptions!$B$3*Assumptions!$B$9)*NORMSDIST((((LN(Assumptions!$B$2/$B9)+(Assumptions!$B$3-Assumptions!$B$4+(AV$3/100)^2/2)*Assumptions!$B$9)/((AV$3/100)*Assumptions!$B$10))-(AV$3/100)*Assumptions!$B$10))))&lt;=0,"",(Assumptions!$B$2*EXP(-Assumptions!$B$4*Assumptions!$B$9)*NORMDIST(((LN(Assumptions!$B$2/$B9)+(Assumptions!$B$3-Assumptions!$B$4+(AV$3/100)^2/2)*Assumptions!$B$9)/((AV$3/100)*Assumptions!$B$10)),0,1,FALSE)*Assumptions!$B$10*0.01)*((AV$3/100)/0.01)/(MAX(0,Assumptions!$B$2*EXP(-Assumptions!$B$4*Assumptions!$B$9)*NORMSDIST(((LN(Assumptions!$B$2/$B9)+(Assumptions!$B$3-Assumptions!$B$4+(AV$3/100)^2/2)*Assumptions!$B$9)/((AV$3/100)*Assumptions!$B$10)))-$B9*EXP(-Assumptions!$B$3*Assumptions!$B$9)*NORMSDIST((((LN(Assumptions!$B$2/$B9)+(Assumptions!$B$3-Assumptions!$B$4+(AV$3/100)^2/2)*Assumptions!$B$9)/((AV$3/100)*Assumptions!$B$10))-(AV$3/100)*Assumptions!$B$10)))))</f>
        <v/>
      </c>
    </row>
    <row r="10">
      <c r="A10" s="27" t="inlineStr">
        <is>
          <t>-0.50%</t>
        </is>
      </c>
      <c r="B10" s="47">
        <f>'BS Engine'!$B$8</f>
        <v/>
      </c>
      <c r="C10" s="28">
        <f>'BS Engine'!$C$8</f>
        <v/>
      </c>
      <c r="D10" s="54">
        <f>IF((MAX(0,Assumptions!$B$2*EXP(-Assumptions!$B$4*Assumptions!$B$9)*NORMSDIST(((LN(Assumptions!$B$2/$B10)+(Assumptions!$B$3-Assumptions!$B$4+(D$3/100)^2/2)*Assumptions!$B$9)/((D$3/100)*Assumptions!$B$10)))-$B10*EXP(-Assumptions!$B$3*Assumptions!$B$9)*NORMSDIST((((LN(Assumptions!$B$2/$B10)+(Assumptions!$B$3-Assumptions!$B$4+(D$3/100)^2/2)*Assumptions!$B$9)/((D$3/100)*Assumptions!$B$10))-(D$3/100)*Assumptions!$B$10))))&lt;=0,"",(Assumptions!$B$2*EXP(-Assumptions!$B$4*Assumptions!$B$9)*NORMDIST(((LN(Assumptions!$B$2/$B10)+(Assumptions!$B$3-Assumptions!$B$4+(D$3/100)^2/2)*Assumptions!$B$9)/((D$3/100)*Assumptions!$B$10)),0,1,FALSE)*Assumptions!$B$10*0.01)*((D$3/100)/0.01)/(MAX(0,Assumptions!$B$2*EXP(-Assumptions!$B$4*Assumptions!$B$9)*NORMSDIST(((LN(Assumptions!$B$2/$B10)+(Assumptions!$B$3-Assumptions!$B$4+(D$3/100)^2/2)*Assumptions!$B$9)/((D$3/100)*Assumptions!$B$10)))-$B10*EXP(-Assumptions!$B$3*Assumptions!$B$9)*NORMSDIST((((LN(Assumptions!$B$2/$B10)+(Assumptions!$B$3-Assumptions!$B$4+(D$3/100)^2/2)*Assumptions!$B$9)/((D$3/100)*Assumptions!$B$10))-(D$3/100)*Assumptions!$B$10)))))</f>
        <v/>
      </c>
      <c r="E10" s="32">
        <f>IF((MAX(0,Assumptions!$B$2*EXP(-Assumptions!$B$4*Assumptions!$B$9)*NORMSDIST(((LN(Assumptions!$B$2/$B10)+(Assumptions!$B$3-Assumptions!$B$4+(E$3/100)^2/2)*Assumptions!$B$9)/((E$3/100)*Assumptions!$B$10)))-$B10*EXP(-Assumptions!$B$3*Assumptions!$B$9)*NORMSDIST((((LN(Assumptions!$B$2/$B10)+(Assumptions!$B$3-Assumptions!$B$4+(E$3/100)^2/2)*Assumptions!$B$9)/((E$3/100)*Assumptions!$B$10))-(E$3/100)*Assumptions!$B$10))))&lt;=0,"",(Assumptions!$B$2*EXP(-Assumptions!$B$4*Assumptions!$B$9)*NORMDIST(((LN(Assumptions!$B$2/$B10)+(Assumptions!$B$3-Assumptions!$B$4+(E$3/100)^2/2)*Assumptions!$B$9)/((E$3/100)*Assumptions!$B$10)),0,1,FALSE)*Assumptions!$B$10*0.01)*((E$3/100)/0.01)/(MAX(0,Assumptions!$B$2*EXP(-Assumptions!$B$4*Assumptions!$B$9)*NORMSDIST(((LN(Assumptions!$B$2/$B10)+(Assumptions!$B$3-Assumptions!$B$4+(E$3/100)^2/2)*Assumptions!$B$9)/((E$3/100)*Assumptions!$B$10)))-$B10*EXP(-Assumptions!$B$3*Assumptions!$B$9)*NORMSDIST((((LN(Assumptions!$B$2/$B10)+(Assumptions!$B$3-Assumptions!$B$4+(E$3/100)^2/2)*Assumptions!$B$9)/((E$3/100)*Assumptions!$B$10))-(E$3/100)*Assumptions!$B$10)))))</f>
        <v/>
      </c>
      <c r="F10" s="32">
        <f>IF((MAX(0,Assumptions!$B$2*EXP(-Assumptions!$B$4*Assumptions!$B$9)*NORMSDIST(((LN(Assumptions!$B$2/$B10)+(Assumptions!$B$3-Assumptions!$B$4+(F$3/100)^2/2)*Assumptions!$B$9)/((F$3/100)*Assumptions!$B$10)))-$B10*EXP(-Assumptions!$B$3*Assumptions!$B$9)*NORMSDIST((((LN(Assumptions!$B$2/$B10)+(Assumptions!$B$3-Assumptions!$B$4+(F$3/100)^2/2)*Assumptions!$B$9)/((F$3/100)*Assumptions!$B$10))-(F$3/100)*Assumptions!$B$10))))&lt;=0,"",(Assumptions!$B$2*EXP(-Assumptions!$B$4*Assumptions!$B$9)*NORMDIST(((LN(Assumptions!$B$2/$B10)+(Assumptions!$B$3-Assumptions!$B$4+(F$3/100)^2/2)*Assumptions!$B$9)/((F$3/100)*Assumptions!$B$10)),0,1,FALSE)*Assumptions!$B$10*0.01)*((F$3/100)/0.01)/(MAX(0,Assumptions!$B$2*EXP(-Assumptions!$B$4*Assumptions!$B$9)*NORMSDIST(((LN(Assumptions!$B$2/$B10)+(Assumptions!$B$3-Assumptions!$B$4+(F$3/100)^2/2)*Assumptions!$B$9)/((F$3/100)*Assumptions!$B$10)))-$B10*EXP(-Assumptions!$B$3*Assumptions!$B$9)*NORMSDIST((((LN(Assumptions!$B$2/$B10)+(Assumptions!$B$3-Assumptions!$B$4+(F$3/100)^2/2)*Assumptions!$B$9)/((F$3/100)*Assumptions!$B$10))-(F$3/100)*Assumptions!$B$10)))))</f>
        <v/>
      </c>
      <c r="G10" s="32">
        <f>IF((MAX(0,Assumptions!$B$2*EXP(-Assumptions!$B$4*Assumptions!$B$9)*NORMSDIST(((LN(Assumptions!$B$2/$B10)+(Assumptions!$B$3-Assumptions!$B$4+(G$3/100)^2/2)*Assumptions!$B$9)/((G$3/100)*Assumptions!$B$10)))-$B10*EXP(-Assumptions!$B$3*Assumptions!$B$9)*NORMSDIST((((LN(Assumptions!$B$2/$B10)+(Assumptions!$B$3-Assumptions!$B$4+(G$3/100)^2/2)*Assumptions!$B$9)/((G$3/100)*Assumptions!$B$10))-(G$3/100)*Assumptions!$B$10))))&lt;=0,"",(Assumptions!$B$2*EXP(-Assumptions!$B$4*Assumptions!$B$9)*NORMDIST(((LN(Assumptions!$B$2/$B10)+(Assumptions!$B$3-Assumptions!$B$4+(G$3/100)^2/2)*Assumptions!$B$9)/((G$3/100)*Assumptions!$B$10)),0,1,FALSE)*Assumptions!$B$10*0.01)*((G$3/100)/0.01)/(MAX(0,Assumptions!$B$2*EXP(-Assumptions!$B$4*Assumptions!$B$9)*NORMSDIST(((LN(Assumptions!$B$2/$B10)+(Assumptions!$B$3-Assumptions!$B$4+(G$3/100)^2/2)*Assumptions!$B$9)/((G$3/100)*Assumptions!$B$10)))-$B10*EXP(-Assumptions!$B$3*Assumptions!$B$9)*NORMSDIST((((LN(Assumptions!$B$2/$B10)+(Assumptions!$B$3-Assumptions!$B$4+(G$3/100)^2/2)*Assumptions!$B$9)/((G$3/100)*Assumptions!$B$10))-(G$3/100)*Assumptions!$B$10)))))</f>
        <v/>
      </c>
      <c r="H10" s="32">
        <f>IF((MAX(0,Assumptions!$B$2*EXP(-Assumptions!$B$4*Assumptions!$B$9)*NORMSDIST(((LN(Assumptions!$B$2/$B10)+(Assumptions!$B$3-Assumptions!$B$4+(H$3/100)^2/2)*Assumptions!$B$9)/((H$3/100)*Assumptions!$B$10)))-$B10*EXP(-Assumptions!$B$3*Assumptions!$B$9)*NORMSDIST((((LN(Assumptions!$B$2/$B10)+(Assumptions!$B$3-Assumptions!$B$4+(H$3/100)^2/2)*Assumptions!$B$9)/((H$3/100)*Assumptions!$B$10))-(H$3/100)*Assumptions!$B$10))))&lt;=0,"",(Assumptions!$B$2*EXP(-Assumptions!$B$4*Assumptions!$B$9)*NORMDIST(((LN(Assumptions!$B$2/$B10)+(Assumptions!$B$3-Assumptions!$B$4+(H$3/100)^2/2)*Assumptions!$B$9)/((H$3/100)*Assumptions!$B$10)),0,1,FALSE)*Assumptions!$B$10*0.01)*((H$3/100)/0.01)/(MAX(0,Assumptions!$B$2*EXP(-Assumptions!$B$4*Assumptions!$B$9)*NORMSDIST(((LN(Assumptions!$B$2/$B10)+(Assumptions!$B$3-Assumptions!$B$4+(H$3/100)^2/2)*Assumptions!$B$9)/((H$3/100)*Assumptions!$B$10)))-$B10*EXP(-Assumptions!$B$3*Assumptions!$B$9)*NORMSDIST((((LN(Assumptions!$B$2/$B10)+(Assumptions!$B$3-Assumptions!$B$4+(H$3/100)^2/2)*Assumptions!$B$9)/((H$3/100)*Assumptions!$B$10))-(H$3/100)*Assumptions!$B$10)))))</f>
        <v/>
      </c>
      <c r="I10" s="32">
        <f>IF((MAX(0,Assumptions!$B$2*EXP(-Assumptions!$B$4*Assumptions!$B$9)*NORMSDIST(((LN(Assumptions!$B$2/$B10)+(Assumptions!$B$3-Assumptions!$B$4+(I$3/100)^2/2)*Assumptions!$B$9)/((I$3/100)*Assumptions!$B$10)))-$B10*EXP(-Assumptions!$B$3*Assumptions!$B$9)*NORMSDIST((((LN(Assumptions!$B$2/$B10)+(Assumptions!$B$3-Assumptions!$B$4+(I$3/100)^2/2)*Assumptions!$B$9)/((I$3/100)*Assumptions!$B$10))-(I$3/100)*Assumptions!$B$10))))&lt;=0,"",(Assumptions!$B$2*EXP(-Assumptions!$B$4*Assumptions!$B$9)*NORMDIST(((LN(Assumptions!$B$2/$B10)+(Assumptions!$B$3-Assumptions!$B$4+(I$3/100)^2/2)*Assumptions!$B$9)/((I$3/100)*Assumptions!$B$10)),0,1,FALSE)*Assumptions!$B$10*0.01)*((I$3/100)/0.01)/(MAX(0,Assumptions!$B$2*EXP(-Assumptions!$B$4*Assumptions!$B$9)*NORMSDIST(((LN(Assumptions!$B$2/$B10)+(Assumptions!$B$3-Assumptions!$B$4+(I$3/100)^2/2)*Assumptions!$B$9)/((I$3/100)*Assumptions!$B$10)))-$B10*EXP(-Assumptions!$B$3*Assumptions!$B$9)*NORMSDIST((((LN(Assumptions!$B$2/$B10)+(Assumptions!$B$3-Assumptions!$B$4+(I$3/100)^2/2)*Assumptions!$B$9)/((I$3/100)*Assumptions!$B$10))-(I$3/100)*Assumptions!$B$10)))))</f>
        <v/>
      </c>
      <c r="J10" s="32">
        <f>IF((MAX(0,Assumptions!$B$2*EXP(-Assumptions!$B$4*Assumptions!$B$9)*NORMSDIST(((LN(Assumptions!$B$2/$B10)+(Assumptions!$B$3-Assumptions!$B$4+(J$3/100)^2/2)*Assumptions!$B$9)/((J$3/100)*Assumptions!$B$10)))-$B10*EXP(-Assumptions!$B$3*Assumptions!$B$9)*NORMSDIST((((LN(Assumptions!$B$2/$B10)+(Assumptions!$B$3-Assumptions!$B$4+(J$3/100)^2/2)*Assumptions!$B$9)/((J$3/100)*Assumptions!$B$10))-(J$3/100)*Assumptions!$B$10))))&lt;=0,"",(Assumptions!$B$2*EXP(-Assumptions!$B$4*Assumptions!$B$9)*NORMDIST(((LN(Assumptions!$B$2/$B10)+(Assumptions!$B$3-Assumptions!$B$4+(J$3/100)^2/2)*Assumptions!$B$9)/((J$3/100)*Assumptions!$B$10)),0,1,FALSE)*Assumptions!$B$10*0.01)*((J$3/100)/0.01)/(MAX(0,Assumptions!$B$2*EXP(-Assumptions!$B$4*Assumptions!$B$9)*NORMSDIST(((LN(Assumptions!$B$2/$B10)+(Assumptions!$B$3-Assumptions!$B$4+(J$3/100)^2/2)*Assumptions!$B$9)/((J$3/100)*Assumptions!$B$10)))-$B10*EXP(-Assumptions!$B$3*Assumptions!$B$9)*NORMSDIST((((LN(Assumptions!$B$2/$B10)+(Assumptions!$B$3-Assumptions!$B$4+(J$3/100)^2/2)*Assumptions!$B$9)/((J$3/100)*Assumptions!$B$10))-(J$3/100)*Assumptions!$B$10)))))</f>
        <v/>
      </c>
      <c r="K10" s="32">
        <f>IF((MAX(0,Assumptions!$B$2*EXP(-Assumptions!$B$4*Assumptions!$B$9)*NORMSDIST(((LN(Assumptions!$B$2/$B10)+(Assumptions!$B$3-Assumptions!$B$4+(K$3/100)^2/2)*Assumptions!$B$9)/((K$3/100)*Assumptions!$B$10)))-$B10*EXP(-Assumptions!$B$3*Assumptions!$B$9)*NORMSDIST((((LN(Assumptions!$B$2/$B10)+(Assumptions!$B$3-Assumptions!$B$4+(K$3/100)^2/2)*Assumptions!$B$9)/((K$3/100)*Assumptions!$B$10))-(K$3/100)*Assumptions!$B$10))))&lt;=0,"",(Assumptions!$B$2*EXP(-Assumptions!$B$4*Assumptions!$B$9)*NORMDIST(((LN(Assumptions!$B$2/$B10)+(Assumptions!$B$3-Assumptions!$B$4+(K$3/100)^2/2)*Assumptions!$B$9)/((K$3/100)*Assumptions!$B$10)),0,1,FALSE)*Assumptions!$B$10*0.01)*((K$3/100)/0.01)/(MAX(0,Assumptions!$B$2*EXP(-Assumptions!$B$4*Assumptions!$B$9)*NORMSDIST(((LN(Assumptions!$B$2/$B10)+(Assumptions!$B$3-Assumptions!$B$4+(K$3/100)^2/2)*Assumptions!$B$9)/((K$3/100)*Assumptions!$B$10)))-$B10*EXP(-Assumptions!$B$3*Assumptions!$B$9)*NORMSDIST((((LN(Assumptions!$B$2/$B10)+(Assumptions!$B$3-Assumptions!$B$4+(K$3/100)^2/2)*Assumptions!$B$9)/((K$3/100)*Assumptions!$B$10))-(K$3/100)*Assumptions!$B$10)))))</f>
        <v/>
      </c>
      <c r="L10" s="32">
        <f>IF((MAX(0,Assumptions!$B$2*EXP(-Assumptions!$B$4*Assumptions!$B$9)*NORMSDIST(((LN(Assumptions!$B$2/$B10)+(Assumptions!$B$3-Assumptions!$B$4+(L$3/100)^2/2)*Assumptions!$B$9)/((L$3/100)*Assumptions!$B$10)))-$B10*EXP(-Assumptions!$B$3*Assumptions!$B$9)*NORMSDIST((((LN(Assumptions!$B$2/$B10)+(Assumptions!$B$3-Assumptions!$B$4+(L$3/100)^2/2)*Assumptions!$B$9)/((L$3/100)*Assumptions!$B$10))-(L$3/100)*Assumptions!$B$10))))&lt;=0,"",(Assumptions!$B$2*EXP(-Assumptions!$B$4*Assumptions!$B$9)*NORMDIST(((LN(Assumptions!$B$2/$B10)+(Assumptions!$B$3-Assumptions!$B$4+(L$3/100)^2/2)*Assumptions!$B$9)/((L$3/100)*Assumptions!$B$10)),0,1,FALSE)*Assumptions!$B$10*0.01)*((L$3/100)/0.01)/(MAX(0,Assumptions!$B$2*EXP(-Assumptions!$B$4*Assumptions!$B$9)*NORMSDIST(((LN(Assumptions!$B$2/$B10)+(Assumptions!$B$3-Assumptions!$B$4+(L$3/100)^2/2)*Assumptions!$B$9)/((L$3/100)*Assumptions!$B$10)))-$B10*EXP(-Assumptions!$B$3*Assumptions!$B$9)*NORMSDIST((((LN(Assumptions!$B$2/$B10)+(Assumptions!$B$3-Assumptions!$B$4+(L$3/100)^2/2)*Assumptions!$B$9)/((L$3/100)*Assumptions!$B$10))-(L$3/100)*Assumptions!$B$10)))))</f>
        <v/>
      </c>
      <c r="M10" s="32">
        <f>IF((MAX(0,Assumptions!$B$2*EXP(-Assumptions!$B$4*Assumptions!$B$9)*NORMSDIST(((LN(Assumptions!$B$2/$B10)+(Assumptions!$B$3-Assumptions!$B$4+(M$3/100)^2/2)*Assumptions!$B$9)/((M$3/100)*Assumptions!$B$10)))-$B10*EXP(-Assumptions!$B$3*Assumptions!$B$9)*NORMSDIST((((LN(Assumptions!$B$2/$B10)+(Assumptions!$B$3-Assumptions!$B$4+(M$3/100)^2/2)*Assumptions!$B$9)/((M$3/100)*Assumptions!$B$10))-(M$3/100)*Assumptions!$B$10))))&lt;=0,"",(Assumptions!$B$2*EXP(-Assumptions!$B$4*Assumptions!$B$9)*NORMDIST(((LN(Assumptions!$B$2/$B10)+(Assumptions!$B$3-Assumptions!$B$4+(M$3/100)^2/2)*Assumptions!$B$9)/((M$3/100)*Assumptions!$B$10)),0,1,FALSE)*Assumptions!$B$10*0.01)*((M$3/100)/0.01)/(MAX(0,Assumptions!$B$2*EXP(-Assumptions!$B$4*Assumptions!$B$9)*NORMSDIST(((LN(Assumptions!$B$2/$B10)+(Assumptions!$B$3-Assumptions!$B$4+(M$3/100)^2/2)*Assumptions!$B$9)/((M$3/100)*Assumptions!$B$10)))-$B10*EXP(-Assumptions!$B$3*Assumptions!$B$9)*NORMSDIST((((LN(Assumptions!$B$2/$B10)+(Assumptions!$B$3-Assumptions!$B$4+(M$3/100)^2/2)*Assumptions!$B$9)/((M$3/100)*Assumptions!$B$10))-(M$3/100)*Assumptions!$B$10)))))</f>
        <v/>
      </c>
      <c r="N10" s="32">
        <f>IF((MAX(0,Assumptions!$B$2*EXP(-Assumptions!$B$4*Assumptions!$B$9)*NORMSDIST(((LN(Assumptions!$B$2/$B10)+(Assumptions!$B$3-Assumptions!$B$4+(N$3/100)^2/2)*Assumptions!$B$9)/((N$3/100)*Assumptions!$B$10)))-$B10*EXP(-Assumptions!$B$3*Assumptions!$B$9)*NORMSDIST((((LN(Assumptions!$B$2/$B10)+(Assumptions!$B$3-Assumptions!$B$4+(N$3/100)^2/2)*Assumptions!$B$9)/((N$3/100)*Assumptions!$B$10))-(N$3/100)*Assumptions!$B$10))))&lt;=0,"",(Assumptions!$B$2*EXP(-Assumptions!$B$4*Assumptions!$B$9)*NORMDIST(((LN(Assumptions!$B$2/$B10)+(Assumptions!$B$3-Assumptions!$B$4+(N$3/100)^2/2)*Assumptions!$B$9)/((N$3/100)*Assumptions!$B$10)),0,1,FALSE)*Assumptions!$B$10*0.01)*((N$3/100)/0.01)/(MAX(0,Assumptions!$B$2*EXP(-Assumptions!$B$4*Assumptions!$B$9)*NORMSDIST(((LN(Assumptions!$B$2/$B10)+(Assumptions!$B$3-Assumptions!$B$4+(N$3/100)^2/2)*Assumptions!$B$9)/((N$3/100)*Assumptions!$B$10)))-$B10*EXP(-Assumptions!$B$3*Assumptions!$B$9)*NORMSDIST((((LN(Assumptions!$B$2/$B10)+(Assumptions!$B$3-Assumptions!$B$4+(N$3/100)^2/2)*Assumptions!$B$9)/((N$3/100)*Assumptions!$B$10))-(N$3/100)*Assumptions!$B$10)))))</f>
        <v/>
      </c>
      <c r="O10" s="32">
        <f>IF((MAX(0,Assumptions!$B$2*EXP(-Assumptions!$B$4*Assumptions!$B$9)*NORMSDIST(((LN(Assumptions!$B$2/$B10)+(Assumptions!$B$3-Assumptions!$B$4+(O$3/100)^2/2)*Assumptions!$B$9)/((O$3/100)*Assumptions!$B$10)))-$B10*EXP(-Assumptions!$B$3*Assumptions!$B$9)*NORMSDIST((((LN(Assumptions!$B$2/$B10)+(Assumptions!$B$3-Assumptions!$B$4+(O$3/100)^2/2)*Assumptions!$B$9)/((O$3/100)*Assumptions!$B$10))-(O$3/100)*Assumptions!$B$10))))&lt;=0,"",(Assumptions!$B$2*EXP(-Assumptions!$B$4*Assumptions!$B$9)*NORMDIST(((LN(Assumptions!$B$2/$B10)+(Assumptions!$B$3-Assumptions!$B$4+(O$3/100)^2/2)*Assumptions!$B$9)/((O$3/100)*Assumptions!$B$10)),0,1,FALSE)*Assumptions!$B$10*0.01)*((O$3/100)/0.01)/(MAX(0,Assumptions!$B$2*EXP(-Assumptions!$B$4*Assumptions!$B$9)*NORMSDIST(((LN(Assumptions!$B$2/$B10)+(Assumptions!$B$3-Assumptions!$B$4+(O$3/100)^2/2)*Assumptions!$B$9)/((O$3/100)*Assumptions!$B$10)))-$B10*EXP(-Assumptions!$B$3*Assumptions!$B$9)*NORMSDIST((((LN(Assumptions!$B$2/$B10)+(Assumptions!$B$3-Assumptions!$B$4+(O$3/100)^2/2)*Assumptions!$B$9)/((O$3/100)*Assumptions!$B$10))-(O$3/100)*Assumptions!$B$10)))))</f>
        <v/>
      </c>
      <c r="P10" s="32">
        <f>IF((MAX(0,Assumptions!$B$2*EXP(-Assumptions!$B$4*Assumptions!$B$9)*NORMSDIST(((LN(Assumptions!$B$2/$B10)+(Assumptions!$B$3-Assumptions!$B$4+(P$3/100)^2/2)*Assumptions!$B$9)/((P$3/100)*Assumptions!$B$10)))-$B10*EXP(-Assumptions!$B$3*Assumptions!$B$9)*NORMSDIST((((LN(Assumptions!$B$2/$B10)+(Assumptions!$B$3-Assumptions!$B$4+(P$3/100)^2/2)*Assumptions!$B$9)/((P$3/100)*Assumptions!$B$10))-(P$3/100)*Assumptions!$B$10))))&lt;=0,"",(Assumptions!$B$2*EXP(-Assumptions!$B$4*Assumptions!$B$9)*NORMDIST(((LN(Assumptions!$B$2/$B10)+(Assumptions!$B$3-Assumptions!$B$4+(P$3/100)^2/2)*Assumptions!$B$9)/((P$3/100)*Assumptions!$B$10)),0,1,FALSE)*Assumptions!$B$10*0.01)*((P$3/100)/0.01)/(MAX(0,Assumptions!$B$2*EXP(-Assumptions!$B$4*Assumptions!$B$9)*NORMSDIST(((LN(Assumptions!$B$2/$B10)+(Assumptions!$B$3-Assumptions!$B$4+(P$3/100)^2/2)*Assumptions!$B$9)/((P$3/100)*Assumptions!$B$10)))-$B10*EXP(-Assumptions!$B$3*Assumptions!$B$9)*NORMSDIST((((LN(Assumptions!$B$2/$B10)+(Assumptions!$B$3-Assumptions!$B$4+(P$3/100)^2/2)*Assumptions!$B$9)/((P$3/100)*Assumptions!$B$10))-(P$3/100)*Assumptions!$B$10)))))</f>
        <v/>
      </c>
      <c r="Q10" s="32">
        <f>IF((MAX(0,Assumptions!$B$2*EXP(-Assumptions!$B$4*Assumptions!$B$9)*NORMSDIST(((LN(Assumptions!$B$2/$B10)+(Assumptions!$B$3-Assumptions!$B$4+(Q$3/100)^2/2)*Assumptions!$B$9)/((Q$3/100)*Assumptions!$B$10)))-$B10*EXP(-Assumptions!$B$3*Assumptions!$B$9)*NORMSDIST((((LN(Assumptions!$B$2/$B10)+(Assumptions!$B$3-Assumptions!$B$4+(Q$3/100)^2/2)*Assumptions!$B$9)/((Q$3/100)*Assumptions!$B$10))-(Q$3/100)*Assumptions!$B$10))))&lt;=0,"",(Assumptions!$B$2*EXP(-Assumptions!$B$4*Assumptions!$B$9)*NORMDIST(((LN(Assumptions!$B$2/$B10)+(Assumptions!$B$3-Assumptions!$B$4+(Q$3/100)^2/2)*Assumptions!$B$9)/((Q$3/100)*Assumptions!$B$10)),0,1,FALSE)*Assumptions!$B$10*0.01)*((Q$3/100)/0.01)/(MAX(0,Assumptions!$B$2*EXP(-Assumptions!$B$4*Assumptions!$B$9)*NORMSDIST(((LN(Assumptions!$B$2/$B10)+(Assumptions!$B$3-Assumptions!$B$4+(Q$3/100)^2/2)*Assumptions!$B$9)/((Q$3/100)*Assumptions!$B$10)))-$B10*EXP(-Assumptions!$B$3*Assumptions!$B$9)*NORMSDIST((((LN(Assumptions!$B$2/$B10)+(Assumptions!$B$3-Assumptions!$B$4+(Q$3/100)^2/2)*Assumptions!$B$9)/((Q$3/100)*Assumptions!$B$10))-(Q$3/100)*Assumptions!$B$10)))))</f>
        <v/>
      </c>
      <c r="R10" s="32">
        <f>IF((MAX(0,Assumptions!$B$2*EXP(-Assumptions!$B$4*Assumptions!$B$9)*NORMSDIST(((LN(Assumptions!$B$2/$B10)+(Assumptions!$B$3-Assumptions!$B$4+(R$3/100)^2/2)*Assumptions!$B$9)/((R$3/100)*Assumptions!$B$10)))-$B10*EXP(-Assumptions!$B$3*Assumptions!$B$9)*NORMSDIST((((LN(Assumptions!$B$2/$B10)+(Assumptions!$B$3-Assumptions!$B$4+(R$3/100)^2/2)*Assumptions!$B$9)/((R$3/100)*Assumptions!$B$10))-(R$3/100)*Assumptions!$B$10))))&lt;=0,"",(Assumptions!$B$2*EXP(-Assumptions!$B$4*Assumptions!$B$9)*NORMDIST(((LN(Assumptions!$B$2/$B10)+(Assumptions!$B$3-Assumptions!$B$4+(R$3/100)^2/2)*Assumptions!$B$9)/((R$3/100)*Assumptions!$B$10)),0,1,FALSE)*Assumptions!$B$10*0.01)*((R$3/100)/0.01)/(MAX(0,Assumptions!$B$2*EXP(-Assumptions!$B$4*Assumptions!$B$9)*NORMSDIST(((LN(Assumptions!$B$2/$B10)+(Assumptions!$B$3-Assumptions!$B$4+(R$3/100)^2/2)*Assumptions!$B$9)/((R$3/100)*Assumptions!$B$10)))-$B10*EXP(-Assumptions!$B$3*Assumptions!$B$9)*NORMSDIST((((LN(Assumptions!$B$2/$B10)+(Assumptions!$B$3-Assumptions!$B$4+(R$3/100)^2/2)*Assumptions!$B$9)/((R$3/100)*Assumptions!$B$10))-(R$3/100)*Assumptions!$B$10)))))</f>
        <v/>
      </c>
      <c r="S10" s="32">
        <f>IF((MAX(0,Assumptions!$B$2*EXP(-Assumptions!$B$4*Assumptions!$B$9)*NORMSDIST(((LN(Assumptions!$B$2/$B10)+(Assumptions!$B$3-Assumptions!$B$4+(S$3/100)^2/2)*Assumptions!$B$9)/((S$3/100)*Assumptions!$B$10)))-$B10*EXP(-Assumptions!$B$3*Assumptions!$B$9)*NORMSDIST((((LN(Assumptions!$B$2/$B10)+(Assumptions!$B$3-Assumptions!$B$4+(S$3/100)^2/2)*Assumptions!$B$9)/((S$3/100)*Assumptions!$B$10))-(S$3/100)*Assumptions!$B$10))))&lt;=0,"",(Assumptions!$B$2*EXP(-Assumptions!$B$4*Assumptions!$B$9)*NORMDIST(((LN(Assumptions!$B$2/$B10)+(Assumptions!$B$3-Assumptions!$B$4+(S$3/100)^2/2)*Assumptions!$B$9)/((S$3/100)*Assumptions!$B$10)),0,1,FALSE)*Assumptions!$B$10*0.01)*((S$3/100)/0.01)/(MAX(0,Assumptions!$B$2*EXP(-Assumptions!$B$4*Assumptions!$B$9)*NORMSDIST(((LN(Assumptions!$B$2/$B10)+(Assumptions!$B$3-Assumptions!$B$4+(S$3/100)^2/2)*Assumptions!$B$9)/((S$3/100)*Assumptions!$B$10)))-$B10*EXP(-Assumptions!$B$3*Assumptions!$B$9)*NORMSDIST((((LN(Assumptions!$B$2/$B10)+(Assumptions!$B$3-Assumptions!$B$4+(S$3/100)^2/2)*Assumptions!$B$9)/((S$3/100)*Assumptions!$B$10))-(S$3/100)*Assumptions!$B$10)))))</f>
        <v/>
      </c>
      <c r="T10" s="32">
        <f>IF((MAX(0,Assumptions!$B$2*EXP(-Assumptions!$B$4*Assumptions!$B$9)*NORMSDIST(((LN(Assumptions!$B$2/$B10)+(Assumptions!$B$3-Assumptions!$B$4+(T$3/100)^2/2)*Assumptions!$B$9)/((T$3/100)*Assumptions!$B$10)))-$B10*EXP(-Assumptions!$B$3*Assumptions!$B$9)*NORMSDIST((((LN(Assumptions!$B$2/$B10)+(Assumptions!$B$3-Assumptions!$B$4+(T$3/100)^2/2)*Assumptions!$B$9)/((T$3/100)*Assumptions!$B$10))-(T$3/100)*Assumptions!$B$10))))&lt;=0,"",(Assumptions!$B$2*EXP(-Assumptions!$B$4*Assumptions!$B$9)*NORMDIST(((LN(Assumptions!$B$2/$B10)+(Assumptions!$B$3-Assumptions!$B$4+(T$3/100)^2/2)*Assumptions!$B$9)/((T$3/100)*Assumptions!$B$10)),0,1,FALSE)*Assumptions!$B$10*0.01)*((T$3/100)/0.01)/(MAX(0,Assumptions!$B$2*EXP(-Assumptions!$B$4*Assumptions!$B$9)*NORMSDIST(((LN(Assumptions!$B$2/$B10)+(Assumptions!$B$3-Assumptions!$B$4+(T$3/100)^2/2)*Assumptions!$B$9)/((T$3/100)*Assumptions!$B$10)))-$B10*EXP(-Assumptions!$B$3*Assumptions!$B$9)*NORMSDIST((((LN(Assumptions!$B$2/$B10)+(Assumptions!$B$3-Assumptions!$B$4+(T$3/100)^2/2)*Assumptions!$B$9)/((T$3/100)*Assumptions!$B$10))-(T$3/100)*Assumptions!$B$10)))))</f>
        <v/>
      </c>
      <c r="U10" s="32">
        <f>IF((MAX(0,Assumptions!$B$2*EXP(-Assumptions!$B$4*Assumptions!$B$9)*NORMSDIST(((LN(Assumptions!$B$2/$B10)+(Assumptions!$B$3-Assumptions!$B$4+(U$3/100)^2/2)*Assumptions!$B$9)/((U$3/100)*Assumptions!$B$10)))-$B10*EXP(-Assumptions!$B$3*Assumptions!$B$9)*NORMSDIST((((LN(Assumptions!$B$2/$B10)+(Assumptions!$B$3-Assumptions!$B$4+(U$3/100)^2/2)*Assumptions!$B$9)/((U$3/100)*Assumptions!$B$10))-(U$3/100)*Assumptions!$B$10))))&lt;=0,"",(Assumptions!$B$2*EXP(-Assumptions!$B$4*Assumptions!$B$9)*NORMDIST(((LN(Assumptions!$B$2/$B10)+(Assumptions!$B$3-Assumptions!$B$4+(U$3/100)^2/2)*Assumptions!$B$9)/((U$3/100)*Assumptions!$B$10)),0,1,FALSE)*Assumptions!$B$10*0.01)*((U$3/100)/0.01)/(MAX(0,Assumptions!$B$2*EXP(-Assumptions!$B$4*Assumptions!$B$9)*NORMSDIST(((LN(Assumptions!$B$2/$B10)+(Assumptions!$B$3-Assumptions!$B$4+(U$3/100)^2/2)*Assumptions!$B$9)/((U$3/100)*Assumptions!$B$10)))-$B10*EXP(-Assumptions!$B$3*Assumptions!$B$9)*NORMSDIST((((LN(Assumptions!$B$2/$B10)+(Assumptions!$B$3-Assumptions!$B$4+(U$3/100)^2/2)*Assumptions!$B$9)/((U$3/100)*Assumptions!$B$10))-(U$3/100)*Assumptions!$B$10)))))</f>
        <v/>
      </c>
      <c r="V10" s="32">
        <f>IF((MAX(0,Assumptions!$B$2*EXP(-Assumptions!$B$4*Assumptions!$B$9)*NORMSDIST(((LN(Assumptions!$B$2/$B10)+(Assumptions!$B$3-Assumptions!$B$4+(V$3/100)^2/2)*Assumptions!$B$9)/((V$3/100)*Assumptions!$B$10)))-$B10*EXP(-Assumptions!$B$3*Assumptions!$B$9)*NORMSDIST((((LN(Assumptions!$B$2/$B10)+(Assumptions!$B$3-Assumptions!$B$4+(V$3/100)^2/2)*Assumptions!$B$9)/((V$3/100)*Assumptions!$B$10))-(V$3/100)*Assumptions!$B$10))))&lt;=0,"",(Assumptions!$B$2*EXP(-Assumptions!$B$4*Assumptions!$B$9)*NORMDIST(((LN(Assumptions!$B$2/$B10)+(Assumptions!$B$3-Assumptions!$B$4+(V$3/100)^2/2)*Assumptions!$B$9)/((V$3/100)*Assumptions!$B$10)),0,1,FALSE)*Assumptions!$B$10*0.01)*((V$3/100)/0.01)/(MAX(0,Assumptions!$B$2*EXP(-Assumptions!$B$4*Assumptions!$B$9)*NORMSDIST(((LN(Assumptions!$B$2/$B10)+(Assumptions!$B$3-Assumptions!$B$4+(V$3/100)^2/2)*Assumptions!$B$9)/((V$3/100)*Assumptions!$B$10)))-$B10*EXP(-Assumptions!$B$3*Assumptions!$B$9)*NORMSDIST((((LN(Assumptions!$B$2/$B10)+(Assumptions!$B$3-Assumptions!$B$4+(V$3/100)^2/2)*Assumptions!$B$9)/((V$3/100)*Assumptions!$B$10))-(V$3/100)*Assumptions!$B$10)))))</f>
        <v/>
      </c>
      <c r="W10" s="32">
        <f>IF((MAX(0,Assumptions!$B$2*EXP(-Assumptions!$B$4*Assumptions!$B$9)*NORMSDIST(((LN(Assumptions!$B$2/$B10)+(Assumptions!$B$3-Assumptions!$B$4+(W$3/100)^2/2)*Assumptions!$B$9)/((W$3/100)*Assumptions!$B$10)))-$B10*EXP(-Assumptions!$B$3*Assumptions!$B$9)*NORMSDIST((((LN(Assumptions!$B$2/$B10)+(Assumptions!$B$3-Assumptions!$B$4+(W$3/100)^2/2)*Assumptions!$B$9)/((W$3/100)*Assumptions!$B$10))-(W$3/100)*Assumptions!$B$10))))&lt;=0,"",(Assumptions!$B$2*EXP(-Assumptions!$B$4*Assumptions!$B$9)*NORMDIST(((LN(Assumptions!$B$2/$B10)+(Assumptions!$B$3-Assumptions!$B$4+(W$3/100)^2/2)*Assumptions!$B$9)/((W$3/100)*Assumptions!$B$10)),0,1,FALSE)*Assumptions!$B$10*0.01)*((W$3/100)/0.01)/(MAX(0,Assumptions!$B$2*EXP(-Assumptions!$B$4*Assumptions!$B$9)*NORMSDIST(((LN(Assumptions!$B$2/$B10)+(Assumptions!$B$3-Assumptions!$B$4+(W$3/100)^2/2)*Assumptions!$B$9)/((W$3/100)*Assumptions!$B$10)))-$B10*EXP(-Assumptions!$B$3*Assumptions!$B$9)*NORMSDIST((((LN(Assumptions!$B$2/$B10)+(Assumptions!$B$3-Assumptions!$B$4+(W$3/100)^2/2)*Assumptions!$B$9)/((W$3/100)*Assumptions!$B$10))-(W$3/100)*Assumptions!$B$10)))))</f>
        <v/>
      </c>
      <c r="X10" s="32">
        <f>IF((MAX(0,Assumptions!$B$2*EXP(-Assumptions!$B$4*Assumptions!$B$9)*NORMSDIST(((LN(Assumptions!$B$2/$B10)+(Assumptions!$B$3-Assumptions!$B$4+(X$3/100)^2/2)*Assumptions!$B$9)/((X$3/100)*Assumptions!$B$10)))-$B10*EXP(-Assumptions!$B$3*Assumptions!$B$9)*NORMSDIST((((LN(Assumptions!$B$2/$B10)+(Assumptions!$B$3-Assumptions!$B$4+(X$3/100)^2/2)*Assumptions!$B$9)/((X$3/100)*Assumptions!$B$10))-(X$3/100)*Assumptions!$B$10))))&lt;=0,"",(Assumptions!$B$2*EXP(-Assumptions!$B$4*Assumptions!$B$9)*NORMDIST(((LN(Assumptions!$B$2/$B10)+(Assumptions!$B$3-Assumptions!$B$4+(X$3/100)^2/2)*Assumptions!$B$9)/((X$3/100)*Assumptions!$B$10)),0,1,FALSE)*Assumptions!$B$10*0.01)*((X$3/100)/0.01)/(MAX(0,Assumptions!$B$2*EXP(-Assumptions!$B$4*Assumptions!$B$9)*NORMSDIST(((LN(Assumptions!$B$2/$B10)+(Assumptions!$B$3-Assumptions!$B$4+(X$3/100)^2/2)*Assumptions!$B$9)/((X$3/100)*Assumptions!$B$10)))-$B10*EXP(-Assumptions!$B$3*Assumptions!$B$9)*NORMSDIST((((LN(Assumptions!$B$2/$B10)+(Assumptions!$B$3-Assumptions!$B$4+(X$3/100)^2/2)*Assumptions!$B$9)/((X$3/100)*Assumptions!$B$10))-(X$3/100)*Assumptions!$B$10)))))</f>
        <v/>
      </c>
      <c r="Y10" s="32">
        <f>IF((MAX(0,Assumptions!$B$2*EXP(-Assumptions!$B$4*Assumptions!$B$9)*NORMSDIST(((LN(Assumptions!$B$2/$B10)+(Assumptions!$B$3-Assumptions!$B$4+(Y$3/100)^2/2)*Assumptions!$B$9)/((Y$3/100)*Assumptions!$B$10)))-$B10*EXP(-Assumptions!$B$3*Assumptions!$B$9)*NORMSDIST((((LN(Assumptions!$B$2/$B10)+(Assumptions!$B$3-Assumptions!$B$4+(Y$3/100)^2/2)*Assumptions!$B$9)/((Y$3/100)*Assumptions!$B$10))-(Y$3/100)*Assumptions!$B$10))))&lt;=0,"",(Assumptions!$B$2*EXP(-Assumptions!$B$4*Assumptions!$B$9)*NORMDIST(((LN(Assumptions!$B$2/$B10)+(Assumptions!$B$3-Assumptions!$B$4+(Y$3/100)^2/2)*Assumptions!$B$9)/((Y$3/100)*Assumptions!$B$10)),0,1,FALSE)*Assumptions!$B$10*0.01)*((Y$3/100)/0.01)/(MAX(0,Assumptions!$B$2*EXP(-Assumptions!$B$4*Assumptions!$B$9)*NORMSDIST(((LN(Assumptions!$B$2/$B10)+(Assumptions!$B$3-Assumptions!$B$4+(Y$3/100)^2/2)*Assumptions!$B$9)/((Y$3/100)*Assumptions!$B$10)))-$B10*EXP(-Assumptions!$B$3*Assumptions!$B$9)*NORMSDIST((((LN(Assumptions!$B$2/$B10)+(Assumptions!$B$3-Assumptions!$B$4+(Y$3/100)^2/2)*Assumptions!$B$9)/((Y$3/100)*Assumptions!$B$10))-(Y$3/100)*Assumptions!$B$10)))))</f>
        <v/>
      </c>
      <c r="Z10" s="32">
        <f>IF((MAX(0,Assumptions!$B$2*EXP(-Assumptions!$B$4*Assumptions!$B$9)*NORMSDIST(((LN(Assumptions!$B$2/$B10)+(Assumptions!$B$3-Assumptions!$B$4+(Z$3/100)^2/2)*Assumptions!$B$9)/((Z$3/100)*Assumptions!$B$10)))-$B10*EXP(-Assumptions!$B$3*Assumptions!$B$9)*NORMSDIST((((LN(Assumptions!$B$2/$B10)+(Assumptions!$B$3-Assumptions!$B$4+(Z$3/100)^2/2)*Assumptions!$B$9)/((Z$3/100)*Assumptions!$B$10))-(Z$3/100)*Assumptions!$B$10))))&lt;=0,"",(Assumptions!$B$2*EXP(-Assumptions!$B$4*Assumptions!$B$9)*NORMDIST(((LN(Assumptions!$B$2/$B10)+(Assumptions!$B$3-Assumptions!$B$4+(Z$3/100)^2/2)*Assumptions!$B$9)/((Z$3/100)*Assumptions!$B$10)),0,1,FALSE)*Assumptions!$B$10*0.01)*((Z$3/100)/0.01)/(MAX(0,Assumptions!$B$2*EXP(-Assumptions!$B$4*Assumptions!$B$9)*NORMSDIST(((LN(Assumptions!$B$2/$B10)+(Assumptions!$B$3-Assumptions!$B$4+(Z$3/100)^2/2)*Assumptions!$B$9)/((Z$3/100)*Assumptions!$B$10)))-$B10*EXP(-Assumptions!$B$3*Assumptions!$B$9)*NORMSDIST((((LN(Assumptions!$B$2/$B10)+(Assumptions!$B$3-Assumptions!$B$4+(Z$3/100)^2/2)*Assumptions!$B$9)/((Z$3/100)*Assumptions!$B$10))-(Z$3/100)*Assumptions!$B$10)))))</f>
        <v/>
      </c>
      <c r="AA10" s="32">
        <f>IF((MAX(0,Assumptions!$B$2*EXP(-Assumptions!$B$4*Assumptions!$B$9)*NORMSDIST(((LN(Assumptions!$B$2/$B10)+(Assumptions!$B$3-Assumptions!$B$4+(AA$3/100)^2/2)*Assumptions!$B$9)/((AA$3/100)*Assumptions!$B$10)))-$B10*EXP(-Assumptions!$B$3*Assumptions!$B$9)*NORMSDIST((((LN(Assumptions!$B$2/$B10)+(Assumptions!$B$3-Assumptions!$B$4+(AA$3/100)^2/2)*Assumptions!$B$9)/((AA$3/100)*Assumptions!$B$10))-(AA$3/100)*Assumptions!$B$10))))&lt;=0,"",(Assumptions!$B$2*EXP(-Assumptions!$B$4*Assumptions!$B$9)*NORMDIST(((LN(Assumptions!$B$2/$B10)+(Assumptions!$B$3-Assumptions!$B$4+(AA$3/100)^2/2)*Assumptions!$B$9)/((AA$3/100)*Assumptions!$B$10)),0,1,FALSE)*Assumptions!$B$10*0.01)*((AA$3/100)/0.01)/(MAX(0,Assumptions!$B$2*EXP(-Assumptions!$B$4*Assumptions!$B$9)*NORMSDIST(((LN(Assumptions!$B$2/$B10)+(Assumptions!$B$3-Assumptions!$B$4+(AA$3/100)^2/2)*Assumptions!$B$9)/((AA$3/100)*Assumptions!$B$10)))-$B10*EXP(-Assumptions!$B$3*Assumptions!$B$9)*NORMSDIST((((LN(Assumptions!$B$2/$B10)+(Assumptions!$B$3-Assumptions!$B$4+(AA$3/100)^2/2)*Assumptions!$B$9)/((AA$3/100)*Assumptions!$B$10))-(AA$3/100)*Assumptions!$B$10)))))</f>
        <v/>
      </c>
      <c r="AB10" s="32">
        <f>IF((MAX(0,Assumptions!$B$2*EXP(-Assumptions!$B$4*Assumptions!$B$9)*NORMSDIST(((LN(Assumptions!$B$2/$B10)+(Assumptions!$B$3-Assumptions!$B$4+(AB$3/100)^2/2)*Assumptions!$B$9)/((AB$3/100)*Assumptions!$B$10)))-$B10*EXP(-Assumptions!$B$3*Assumptions!$B$9)*NORMSDIST((((LN(Assumptions!$B$2/$B10)+(Assumptions!$B$3-Assumptions!$B$4+(AB$3/100)^2/2)*Assumptions!$B$9)/((AB$3/100)*Assumptions!$B$10))-(AB$3/100)*Assumptions!$B$10))))&lt;=0,"",(Assumptions!$B$2*EXP(-Assumptions!$B$4*Assumptions!$B$9)*NORMDIST(((LN(Assumptions!$B$2/$B10)+(Assumptions!$B$3-Assumptions!$B$4+(AB$3/100)^2/2)*Assumptions!$B$9)/((AB$3/100)*Assumptions!$B$10)),0,1,FALSE)*Assumptions!$B$10*0.01)*((AB$3/100)/0.01)/(MAX(0,Assumptions!$B$2*EXP(-Assumptions!$B$4*Assumptions!$B$9)*NORMSDIST(((LN(Assumptions!$B$2/$B10)+(Assumptions!$B$3-Assumptions!$B$4+(AB$3/100)^2/2)*Assumptions!$B$9)/((AB$3/100)*Assumptions!$B$10)))-$B10*EXP(-Assumptions!$B$3*Assumptions!$B$9)*NORMSDIST((((LN(Assumptions!$B$2/$B10)+(Assumptions!$B$3-Assumptions!$B$4+(AB$3/100)^2/2)*Assumptions!$B$9)/((AB$3/100)*Assumptions!$B$10))-(AB$3/100)*Assumptions!$B$10)))))</f>
        <v/>
      </c>
      <c r="AC10" s="32">
        <f>IF((MAX(0,Assumptions!$B$2*EXP(-Assumptions!$B$4*Assumptions!$B$9)*NORMSDIST(((LN(Assumptions!$B$2/$B10)+(Assumptions!$B$3-Assumptions!$B$4+(AC$3/100)^2/2)*Assumptions!$B$9)/((AC$3/100)*Assumptions!$B$10)))-$B10*EXP(-Assumptions!$B$3*Assumptions!$B$9)*NORMSDIST((((LN(Assumptions!$B$2/$B10)+(Assumptions!$B$3-Assumptions!$B$4+(AC$3/100)^2/2)*Assumptions!$B$9)/((AC$3/100)*Assumptions!$B$10))-(AC$3/100)*Assumptions!$B$10))))&lt;=0,"",(Assumptions!$B$2*EXP(-Assumptions!$B$4*Assumptions!$B$9)*NORMDIST(((LN(Assumptions!$B$2/$B10)+(Assumptions!$B$3-Assumptions!$B$4+(AC$3/100)^2/2)*Assumptions!$B$9)/((AC$3/100)*Assumptions!$B$10)),0,1,FALSE)*Assumptions!$B$10*0.01)*((AC$3/100)/0.01)/(MAX(0,Assumptions!$B$2*EXP(-Assumptions!$B$4*Assumptions!$B$9)*NORMSDIST(((LN(Assumptions!$B$2/$B10)+(Assumptions!$B$3-Assumptions!$B$4+(AC$3/100)^2/2)*Assumptions!$B$9)/((AC$3/100)*Assumptions!$B$10)))-$B10*EXP(-Assumptions!$B$3*Assumptions!$B$9)*NORMSDIST((((LN(Assumptions!$B$2/$B10)+(Assumptions!$B$3-Assumptions!$B$4+(AC$3/100)^2/2)*Assumptions!$B$9)/((AC$3/100)*Assumptions!$B$10))-(AC$3/100)*Assumptions!$B$10)))))</f>
        <v/>
      </c>
      <c r="AD10" s="32">
        <f>IF((MAX(0,Assumptions!$B$2*EXP(-Assumptions!$B$4*Assumptions!$B$9)*NORMSDIST(((LN(Assumptions!$B$2/$B10)+(Assumptions!$B$3-Assumptions!$B$4+(AD$3/100)^2/2)*Assumptions!$B$9)/((AD$3/100)*Assumptions!$B$10)))-$B10*EXP(-Assumptions!$B$3*Assumptions!$B$9)*NORMSDIST((((LN(Assumptions!$B$2/$B10)+(Assumptions!$B$3-Assumptions!$B$4+(AD$3/100)^2/2)*Assumptions!$B$9)/((AD$3/100)*Assumptions!$B$10))-(AD$3/100)*Assumptions!$B$10))))&lt;=0,"",(Assumptions!$B$2*EXP(-Assumptions!$B$4*Assumptions!$B$9)*NORMDIST(((LN(Assumptions!$B$2/$B10)+(Assumptions!$B$3-Assumptions!$B$4+(AD$3/100)^2/2)*Assumptions!$B$9)/((AD$3/100)*Assumptions!$B$10)),0,1,FALSE)*Assumptions!$B$10*0.01)*((AD$3/100)/0.01)/(MAX(0,Assumptions!$B$2*EXP(-Assumptions!$B$4*Assumptions!$B$9)*NORMSDIST(((LN(Assumptions!$B$2/$B10)+(Assumptions!$B$3-Assumptions!$B$4+(AD$3/100)^2/2)*Assumptions!$B$9)/((AD$3/100)*Assumptions!$B$10)))-$B10*EXP(-Assumptions!$B$3*Assumptions!$B$9)*NORMSDIST((((LN(Assumptions!$B$2/$B10)+(Assumptions!$B$3-Assumptions!$B$4+(AD$3/100)^2/2)*Assumptions!$B$9)/((AD$3/100)*Assumptions!$B$10))-(AD$3/100)*Assumptions!$B$10)))))</f>
        <v/>
      </c>
      <c r="AE10" s="32">
        <f>IF((MAX(0,Assumptions!$B$2*EXP(-Assumptions!$B$4*Assumptions!$B$9)*NORMSDIST(((LN(Assumptions!$B$2/$B10)+(Assumptions!$B$3-Assumptions!$B$4+(AE$3/100)^2/2)*Assumptions!$B$9)/((AE$3/100)*Assumptions!$B$10)))-$B10*EXP(-Assumptions!$B$3*Assumptions!$B$9)*NORMSDIST((((LN(Assumptions!$B$2/$B10)+(Assumptions!$B$3-Assumptions!$B$4+(AE$3/100)^2/2)*Assumptions!$B$9)/((AE$3/100)*Assumptions!$B$10))-(AE$3/100)*Assumptions!$B$10))))&lt;=0,"",(Assumptions!$B$2*EXP(-Assumptions!$B$4*Assumptions!$B$9)*NORMDIST(((LN(Assumptions!$B$2/$B10)+(Assumptions!$B$3-Assumptions!$B$4+(AE$3/100)^2/2)*Assumptions!$B$9)/((AE$3/100)*Assumptions!$B$10)),0,1,FALSE)*Assumptions!$B$10*0.01)*((AE$3/100)/0.01)/(MAX(0,Assumptions!$B$2*EXP(-Assumptions!$B$4*Assumptions!$B$9)*NORMSDIST(((LN(Assumptions!$B$2/$B10)+(Assumptions!$B$3-Assumptions!$B$4+(AE$3/100)^2/2)*Assumptions!$B$9)/((AE$3/100)*Assumptions!$B$10)))-$B10*EXP(-Assumptions!$B$3*Assumptions!$B$9)*NORMSDIST((((LN(Assumptions!$B$2/$B10)+(Assumptions!$B$3-Assumptions!$B$4+(AE$3/100)^2/2)*Assumptions!$B$9)/((AE$3/100)*Assumptions!$B$10))-(AE$3/100)*Assumptions!$B$10)))))</f>
        <v/>
      </c>
      <c r="AF10" s="32">
        <f>IF((MAX(0,Assumptions!$B$2*EXP(-Assumptions!$B$4*Assumptions!$B$9)*NORMSDIST(((LN(Assumptions!$B$2/$B10)+(Assumptions!$B$3-Assumptions!$B$4+(AF$3/100)^2/2)*Assumptions!$B$9)/((AF$3/100)*Assumptions!$B$10)))-$B10*EXP(-Assumptions!$B$3*Assumptions!$B$9)*NORMSDIST((((LN(Assumptions!$B$2/$B10)+(Assumptions!$B$3-Assumptions!$B$4+(AF$3/100)^2/2)*Assumptions!$B$9)/((AF$3/100)*Assumptions!$B$10))-(AF$3/100)*Assumptions!$B$10))))&lt;=0,"",(Assumptions!$B$2*EXP(-Assumptions!$B$4*Assumptions!$B$9)*NORMDIST(((LN(Assumptions!$B$2/$B10)+(Assumptions!$B$3-Assumptions!$B$4+(AF$3/100)^2/2)*Assumptions!$B$9)/((AF$3/100)*Assumptions!$B$10)),0,1,FALSE)*Assumptions!$B$10*0.01)*((AF$3/100)/0.01)/(MAX(0,Assumptions!$B$2*EXP(-Assumptions!$B$4*Assumptions!$B$9)*NORMSDIST(((LN(Assumptions!$B$2/$B10)+(Assumptions!$B$3-Assumptions!$B$4+(AF$3/100)^2/2)*Assumptions!$B$9)/((AF$3/100)*Assumptions!$B$10)))-$B10*EXP(-Assumptions!$B$3*Assumptions!$B$9)*NORMSDIST((((LN(Assumptions!$B$2/$B10)+(Assumptions!$B$3-Assumptions!$B$4+(AF$3/100)^2/2)*Assumptions!$B$9)/((AF$3/100)*Assumptions!$B$10))-(AF$3/100)*Assumptions!$B$10)))))</f>
        <v/>
      </c>
      <c r="AG10" s="32">
        <f>IF((MAX(0,Assumptions!$B$2*EXP(-Assumptions!$B$4*Assumptions!$B$9)*NORMSDIST(((LN(Assumptions!$B$2/$B10)+(Assumptions!$B$3-Assumptions!$B$4+(AG$3/100)^2/2)*Assumptions!$B$9)/((AG$3/100)*Assumptions!$B$10)))-$B10*EXP(-Assumptions!$B$3*Assumptions!$B$9)*NORMSDIST((((LN(Assumptions!$B$2/$B10)+(Assumptions!$B$3-Assumptions!$B$4+(AG$3/100)^2/2)*Assumptions!$B$9)/((AG$3/100)*Assumptions!$B$10))-(AG$3/100)*Assumptions!$B$10))))&lt;=0,"",(Assumptions!$B$2*EXP(-Assumptions!$B$4*Assumptions!$B$9)*NORMDIST(((LN(Assumptions!$B$2/$B10)+(Assumptions!$B$3-Assumptions!$B$4+(AG$3/100)^2/2)*Assumptions!$B$9)/((AG$3/100)*Assumptions!$B$10)),0,1,FALSE)*Assumptions!$B$10*0.01)*((AG$3/100)/0.01)/(MAX(0,Assumptions!$B$2*EXP(-Assumptions!$B$4*Assumptions!$B$9)*NORMSDIST(((LN(Assumptions!$B$2/$B10)+(Assumptions!$B$3-Assumptions!$B$4+(AG$3/100)^2/2)*Assumptions!$B$9)/((AG$3/100)*Assumptions!$B$10)))-$B10*EXP(-Assumptions!$B$3*Assumptions!$B$9)*NORMSDIST((((LN(Assumptions!$B$2/$B10)+(Assumptions!$B$3-Assumptions!$B$4+(AG$3/100)^2/2)*Assumptions!$B$9)/((AG$3/100)*Assumptions!$B$10))-(AG$3/100)*Assumptions!$B$10)))))</f>
        <v/>
      </c>
      <c r="AH10" s="32">
        <f>IF((MAX(0,Assumptions!$B$2*EXP(-Assumptions!$B$4*Assumptions!$B$9)*NORMSDIST(((LN(Assumptions!$B$2/$B10)+(Assumptions!$B$3-Assumptions!$B$4+(AH$3/100)^2/2)*Assumptions!$B$9)/((AH$3/100)*Assumptions!$B$10)))-$B10*EXP(-Assumptions!$B$3*Assumptions!$B$9)*NORMSDIST((((LN(Assumptions!$B$2/$B10)+(Assumptions!$B$3-Assumptions!$B$4+(AH$3/100)^2/2)*Assumptions!$B$9)/((AH$3/100)*Assumptions!$B$10))-(AH$3/100)*Assumptions!$B$10))))&lt;=0,"",(Assumptions!$B$2*EXP(-Assumptions!$B$4*Assumptions!$B$9)*NORMDIST(((LN(Assumptions!$B$2/$B10)+(Assumptions!$B$3-Assumptions!$B$4+(AH$3/100)^2/2)*Assumptions!$B$9)/((AH$3/100)*Assumptions!$B$10)),0,1,FALSE)*Assumptions!$B$10*0.01)*((AH$3/100)/0.01)/(MAX(0,Assumptions!$B$2*EXP(-Assumptions!$B$4*Assumptions!$B$9)*NORMSDIST(((LN(Assumptions!$B$2/$B10)+(Assumptions!$B$3-Assumptions!$B$4+(AH$3/100)^2/2)*Assumptions!$B$9)/((AH$3/100)*Assumptions!$B$10)))-$B10*EXP(-Assumptions!$B$3*Assumptions!$B$9)*NORMSDIST((((LN(Assumptions!$B$2/$B10)+(Assumptions!$B$3-Assumptions!$B$4+(AH$3/100)^2/2)*Assumptions!$B$9)/((AH$3/100)*Assumptions!$B$10))-(AH$3/100)*Assumptions!$B$10)))))</f>
        <v/>
      </c>
      <c r="AI10" s="32">
        <f>IF((MAX(0,Assumptions!$B$2*EXP(-Assumptions!$B$4*Assumptions!$B$9)*NORMSDIST(((LN(Assumptions!$B$2/$B10)+(Assumptions!$B$3-Assumptions!$B$4+(AI$3/100)^2/2)*Assumptions!$B$9)/((AI$3/100)*Assumptions!$B$10)))-$B10*EXP(-Assumptions!$B$3*Assumptions!$B$9)*NORMSDIST((((LN(Assumptions!$B$2/$B10)+(Assumptions!$B$3-Assumptions!$B$4+(AI$3/100)^2/2)*Assumptions!$B$9)/((AI$3/100)*Assumptions!$B$10))-(AI$3/100)*Assumptions!$B$10))))&lt;=0,"",(Assumptions!$B$2*EXP(-Assumptions!$B$4*Assumptions!$B$9)*NORMDIST(((LN(Assumptions!$B$2/$B10)+(Assumptions!$B$3-Assumptions!$B$4+(AI$3/100)^2/2)*Assumptions!$B$9)/((AI$3/100)*Assumptions!$B$10)),0,1,FALSE)*Assumptions!$B$10*0.01)*((AI$3/100)/0.01)/(MAX(0,Assumptions!$B$2*EXP(-Assumptions!$B$4*Assumptions!$B$9)*NORMSDIST(((LN(Assumptions!$B$2/$B10)+(Assumptions!$B$3-Assumptions!$B$4+(AI$3/100)^2/2)*Assumptions!$B$9)/((AI$3/100)*Assumptions!$B$10)))-$B10*EXP(-Assumptions!$B$3*Assumptions!$B$9)*NORMSDIST((((LN(Assumptions!$B$2/$B10)+(Assumptions!$B$3-Assumptions!$B$4+(AI$3/100)^2/2)*Assumptions!$B$9)/((AI$3/100)*Assumptions!$B$10))-(AI$3/100)*Assumptions!$B$10)))))</f>
        <v/>
      </c>
      <c r="AJ10" s="32">
        <f>IF((MAX(0,Assumptions!$B$2*EXP(-Assumptions!$B$4*Assumptions!$B$9)*NORMSDIST(((LN(Assumptions!$B$2/$B10)+(Assumptions!$B$3-Assumptions!$B$4+(AJ$3/100)^2/2)*Assumptions!$B$9)/((AJ$3/100)*Assumptions!$B$10)))-$B10*EXP(-Assumptions!$B$3*Assumptions!$B$9)*NORMSDIST((((LN(Assumptions!$B$2/$B10)+(Assumptions!$B$3-Assumptions!$B$4+(AJ$3/100)^2/2)*Assumptions!$B$9)/((AJ$3/100)*Assumptions!$B$10))-(AJ$3/100)*Assumptions!$B$10))))&lt;=0,"",(Assumptions!$B$2*EXP(-Assumptions!$B$4*Assumptions!$B$9)*NORMDIST(((LN(Assumptions!$B$2/$B10)+(Assumptions!$B$3-Assumptions!$B$4+(AJ$3/100)^2/2)*Assumptions!$B$9)/((AJ$3/100)*Assumptions!$B$10)),0,1,FALSE)*Assumptions!$B$10*0.01)*((AJ$3/100)/0.01)/(MAX(0,Assumptions!$B$2*EXP(-Assumptions!$B$4*Assumptions!$B$9)*NORMSDIST(((LN(Assumptions!$B$2/$B10)+(Assumptions!$B$3-Assumptions!$B$4+(AJ$3/100)^2/2)*Assumptions!$B$9)/((AJ$3/100)*Assumptions!$B$10)))-$B10*EXP(-Assumptions!$B$3*Assumptions!$B$9)*NORMSDIST((((LN(Assumptions!$B$2/$B10)+(Assumptions!$B$3-Assumptions!$B$4+(AJ$3/100)^2/2)*Assumptions!$B$9)/((AJ$3/100)*Assumptions!$B$10))-(AJ$3/100)*Assumptions!$B$10)))))</f>
        <v/>
      </c>
      <c r="AK10" s="32">
        <f>IF((MAX(0,Assumptions!$B$2*EXP(-Assumptions!$B$4*Assumptions!$B$9)*NORMSDIST(((LN(Assumptions!$B$2/$B10)+(Assumptions!$B$3-Assumptions!$B$4+(AK$3/100)^2/2)*Assumptions!$B$9)/((AK$3/100)*Assumptions!$B$10)))-$B10*EXP(-Assumptions!$B$3*Assumptions!$B$9)*NORMSDIST((((LN(Assumptions!$B$2/$B10)+(Assumptions!$B$3-Assumptions!$B$4+(AK$3/100)^2/2)*Assumptions!$B$9)/((AK$3/100)*Assumptions!$B$10))-(AK$3/100)*Assumptions!$B$10))))&lt;=0,"",(Assumptions!$B$2*EXP(-Assumptions!$B$4*Assumptions!$B$9)*NORMDIST(((LN(Assumptions!$B$2/$B10)+(Assumptions!$B$3-Assumptions!$B$4+(AK$3/100)^2/2)*Assumptions!$B$9)/((AK$3/100)*Assumptions!$B$10)),0,1,FALSE)*Assumptions!$B$10*0.01)*((AK$3/100)/0.01)/(MAX(0,Assumptions!$B$2*EXP(-Assumptions!$B$4*Assumptions!$B$9)*NORMSDIST(((LN(Assumptions!$B$2/$B10)+(Assumptions!$B$3-Assumptions!$B$4+(AK$3/100)^2/2)*Assumptions!$B$9)/((AK$3/100)*Assumptions!$B$10)))-$B10*EXP(-Assumptions!$B$3*Assumptions!$B$9)*NORMSDIST((((LN(Assumptions!$B$2/$B10)+(Assumptions!$B$3-Assumptions!$B$4+(AK$3/100)^2/2)*Assumptions!$B$9)/((AK$3/100)*Assumptions!$B$10))-(AK$3/100)*Assumptions!$B$10)))))</f>
        <v/>
      </c>
      <c r="AL10" s="32">
        <f>IF((MAX(0,Assumptions!$B$2*EXP(-Assumptions!$B$4*Assumptions!$B$9)*NORMSDIST(((LN(Assumptions!$B$2/$B10)+(Assumptions!$B$3-Assumptions!$B$4+(AL$3/100)^2/2)*Assumptions!$B$9)/((AL$3/100)*Assumptions!$B$10)))-$B10*EXP(-Assumptions!$B$3*Assumptions!$B$9)*NORMSDIST((((LN(Assumptions!$B$2/$B10)+(Assumptions!$B$3-Assumptions!$B$4+(AL$3/100)^2/2)*Assumptions!$B$9)/((AL$3/100)*Assumptions!$B$10))-(AL$3/100)*Assumptions!$B$10))))&lt;=0,"",(Assumptions!$B$2*EXP(-Assumptions!$B$4*Assumptions!$B$9)*NORMDIST(((LN(Assumptions!$B$2/$B10)+(Assumptions!$B$3-Assumptions!$B$4+(AL$3/100)^2/2)*Assumptions!$B$9)/((AL$3/100)*Assumptions!$B$10)),0,1,FALSE)*Assumptions!$B$10*0.01)*((AL$3/100)/0.01)/(MAX(0,Assumptions!$B$2*EXP(-Assumptions!$B$4*Assumptions!$B$9)*NORMSDIST(((LN(Assumptions!$B$2/$B10)+(Assumptions!$B$3-Assumptions!$B$4+(AL$3/100)^2/2)*Assumptions!$B$9)/((AL$3/100)*Assumptions!$B$10)))-$B10*EXP(-Assumptions!$B$3*Assumptions!$B$9)*NORMSDIST((((LN(Assumptions!$B$2/$B10)+(Assumptions!$B$3-Assumptions!$B$4+(AL$3/100)^2/2)*Assumptions!$B$9)/((AL$3/100)*Assumptions!$B$10))-(AL$3/100)*Assumptions!$B$10)))))</f>
        <v/>
      </c>
      <c r="AM10" s="32">
        <f>IF((MAX(0,Assumptions!$B$2*EXP(-Assumptions!$B$4*Assumptions!$B$9)*NORMSDIST(((LN(Assumptions!$B$2/$B10)+(Assumptions!$B$3-Assumptions!$B$4+(AM$3/100)^2/2)*Assumptions!$B$9)/((AM$3/100)*Assumptions!$B$10)))-$B10*EXP(-Assumptions!$B$3*Assumptions!$B$9)*NORMSDIST((((LN(Assumptions!$B$2/$B10)+(Assumptions!$B$3-Assumptions!$B$4+(AM$3/100)^2/2)*Assumptions!$B$9)/((AM$3/100)*Assumptions!$B$10))-(AM$3/100)*Assumptions!$B$10))))&lt;=0,"",(Assumptions!$B$2*EXP(-Assumptions!$B$4*Assumptions!$B$9)*NORMDIST(((LN(Assumptions!$B$2/$B10)+(Assumptions!$B$3-Assumptions!$B$4+(AM$3/100)^2/2)*Assumptions!$B$9)/((AM$3/100)*Assumptions!$B$10)),0,1,FALSE)*Assumptions!$B$10*0.01)*((AM$3/100)/0.01)/(MAX(0,Assumptions!$B$2*EXP(-Assumptions!$B$4*Assumptions!$B$9)*NORMSDIST(((LN(Assumptions!$B$2/$B10)+(Assumptions!$B$3-Assumptions!$B$4+(AM$3/100)^2/2)*Assumptions!$B$9)/((AM$3/100)*Assumptions!$B$10)))-$B10*EXP(-Assumptions!$B$3*Assumptions!$B$9)*NORMSDIST((((LN(Assumptions!$B$2/$B10)+(Assumptions!$B$3-Assumptions!$B$4+(AM$3/100)^2/2)*Assumptions!$B$9)/((AM$3/100)*Assumptions!$B$10))-(AM$3/100)*Assumptions!$B$10)))))</f>
        <v/>
      </c>
      <c r="AN10" s="32">
        <f>IF((MAX(0,Assumptions!$B$2*EXP(-Assumptions!$B$4*Assumptions!$B$9)*NORMSDIST(((LN(Assumptions!$B$2/$B10)+(Assumptions!$B$3-Assumptions!$B$4+(AN$3/100)^2/2)*Assumptions!$B$9)/((AN$3/100)*Assumptions!$B$10)))-$B10*EXP(-Assumptions!$B$3*Assumptions!$B$9)*NORMSDIST((((LN(Assumptions!$B$2/$B10)+(Assumptions!$B$3-Assumptions!$B$4+(AN$3/100)^2/2)*Assumptions!$B$9)/((AN$3/100)*Assumptions!$B$10))-(AN$3/100)*Assumptions!$B$10))))&lt;=0,"",(Assumptions!$B$2*EXP(-Assumptions!$B$4*Assumptions!$B$9)*NORMDIST(((LN(Assumptions!$B$2/$B10)+(Assumptions!$B$3-Assumptions!$B$4+(AN$3/100)^2/2)*Assumptions!$B$9)/((AN$3/100)*Assumptions!$B$10)),0,1,FALSE)*Assumptions!$B$10*0.01)*((AN$3/100)/0.01)/(MAX(0,Assumptions!$B$2*EXP(-Assumptions!$B$4*Assumptions!$B$9)*NORMSDIST(((LN(Assumptions!$B$2/$B10)+(Assumptions!$B$3-Assumptions!$B$4+(AN$3/100)^2/2)*Assumptions!$B$9)/((AN$3/100)*Assumptions!$B$10)))-$B10*EXP(-Assumptions!$B$3*Assumptions!$B$9)*NORMSDIST((((LN(Assumptions!$B$2/$B10)+(Assumptions!$B$3-Assumptions!$B$4+(AN$3/100)^2/2)*Assumptions!$B$9)/((AN$3/100)*Assumptions!$B$10))-(AN$3/100)*Assumptions!$B$10)))))</f>
        <v/>
      </c>
      <c r="AO10" s="32">
        <f>IF((MAX(0,Assumptions!$B$2*EXP(-Assumptions!$B$4*Assumptions!$B$9)*NORMSDIST(((LN(Assumptions!$B$2/$B10)+(Assumptions!$B$3-Assumptions!$B$4+(AO$3/100)^2/2)*Assumptions!$B$9)/((AO$3/100)*Assumptions!$B$10)))-$B10*EXP(-Assumptions!$B$3*Assumptions!$B$9)*NORMSDIST((((LN(Assumptions!$B$2/$B10)+(Assumptions!$B$3-Assumptions!$B$4+(AO$3/100)^2/2)*Assumptions!$B$9)/((AO$3/100)*Assumptions!$B$10))-(AO$3/100)*Assumptions!$B$10))))&lt;=0,"",(Assumptions!$B$2*EXP(-Assumptions!$B$4*Assumptions!$B$9)*NORMDIST(((LN(Assumptions!$B$2/$B10)+(Assumptions!$B$3-Assumptions!$B$4+(AO$3/100)^2/2)*Assumptions!$B$9)/((AO$3/100)*Assumptions!$B$10)),0,1,FALSE)*Assumptions!$B$10*0.01)*((AO$3/100)/0.01)/(MAX(0,Assumptions!$B$2*EXP(-Assumptions!$B$4*Assumptions!$B$9)*NORMSDIST(((LN(Assumptions!$B$2/$B10)+(Assumptions!$B$3-Assumptions!$B$4+(AO$3/100)^2/2)*Assumptions!$B$9)/((AO$3/100)*Assumptions!$B$10)))-$B10*EXP(-Assumptions!$B$3*Assumptions!$B$9)*NORMSDIST((((LN(Assumptions!$B$2/$B10)+(Assumptions!$B$3-Assumptions!$B$4+(AO$3/100)^2/2)*Assumptions!$B$9)/((AO$3/100)*Assumptions!$B$10))-(AO$3/100)*Assumptions!$B$10)))))</f>
        <v/>
      </c>
      <c r="AP10" s="32">
        <f>IF((MAX(0,Assumptions!$B$2*EXP(-Assumptions!$B$4*Assumptions!$B$9)*NORMSDIST(((LN(Assumptions!$B$2/$B10)+(Assumptions!$B$3-Assumptions!$B$4+(AP$3/100)^2/2)*Assumptions!$B$9)/((AP$3/100)*Assumptions!$B$10)))-$B10*EXP(-Assumptions!$B$3*Assumptions!$B$9)*NORMSDIST((((LN(Assumptions!$B$2/$B10)+(Assumptions!$B$3-Assumptions!$B$4+(AP$3/100)^2/2)*Assumptions!$B$9)/((AP$3/100)*Assumptions!$B$10))-(AP$3/100)*Assumptions!$B$10))))&lt;=0,"",(Assumptions!$B$2*EXP(-Assumptions!$B$4*Assumptions!$B$9)*NORMDIST(((LN(Assumptions!$B$2/$B10)+(Assumptions!$B$3-Assumptions!$B$4+(AP$3/100)^2/2)*Assumptions!$B$9)/((AP$3/100)*Assumptions!$B$10)),0,1,FALSE)*Assumptions!$B$10*0.01)*((AP$3/100)/0.01)/(MAX(0,Assumptions!$B$2*EXP(-Assumptions!$B$4*Assumptions!$B$9)*NORMSDIST(((LN(Assumptions!$B$2/$B10)+(Assumptions!$B$3-Assumptions!$B$4+(AP$3/100)^2/2)*Assumptions!$B$9)/((AP$3/100)*Assumptions!$B$10)))-$B10*EXP(-Assumptions!$B$3*Assumptions!$B$9)*NORMSDIST((((LN(Assumptions!$B$2/$B10)+(Assumptions!$B$3-Assumptions!$B$4+(AP$3/100)^2/2)*Assumptions!$B$9)/((AP$3/100)*Assumptions!$B$10))-(AP$3/100)*Assumptions!$B$10)))))</f>
        <v/>
      </c>
      <c r="AQ10" s="32">
        <f>IF((MAX(0,Assumptions!$B$2*EXP(-Assumptions!$B$4*Assumptions!$B$9)*NORMSDIST(((LN(Assumptions!$B$2/$B10)+(Assumptions!$B$3-Assumptions!$B$4+(AQ$3/100)^2/2)*Assumptions!$B$9)/((AQ$3/100)*Assumptions!$B$10)))-$B10*EXP(-Assumptions!$B$3*Assumptions!$B$9)*NORMSDIST((((LN(Assumptions!$B$2/$B10)+(Assumptions!$B$3-Assumptions!$B$4+(AQ$3/100)^2/2)*Assumptions!$B$9)/((AQ$3/100)*Assumptions!$B$10))-(AQ$3/100)*Assumptions!$B$10))))&lt;=0,"",(Assumptions!$B$2*EXP(-Assumptions!$B$4*Assumptions!$B$9)*NORMDIST(((LN(Assumptions!$B$2/$B10)+(Assumptions!$B$3-Assumptions!$B$4+(AQ$3/100)^2/2)*Assumptions!$B$9)/((AQ$3/100)*Assumptions!$B$10)),0,1,FALSE)*Assumptions!$B$10*0.01)*((AQ$3/100)/0.01)/(MAX(0,Assumptions!$B$2*EXP(-Assumptions!$B$4*Assumptions!$B$9)*NORMSDIST(((LN(Assumptions!$B$2/$B10)+(Assumptions!$B$3-Assumptions!$B$4+(AQ$3/100)^2/2)*Assumptions!$B$9)/((AQ$3/100)*Assumptions!$B$10)))-$B10*EXP(-Assumptions!$B$3*Assumptions!$B$9)*NORMSDIST((((LN(Assumptions!$B$2/$B10)+(Assumptions!$B$3-Assumptions!$B$4+(AQ$3/100)^2/2)*Assumptions!$B$9)/((AQ$3/100)*Assumptions!$B$10))-(AQ$3/100)*Assumptions!$B$10)))))</f>
        <v/>
      </c>
      <c r="AR10" s="32">
        <f>IF((MAX(0,Assumptions!$B$2*EXP(-Assumptions!$B$4*Assumptions!$B$9)*NORMSDIST(((LN(Assumptions!$B$2/$B10)+(Assumptions!$B$3-Assumptions!$B$4+(AR$3/100)^2/2)*Assumptions!$B$9)/((AR$3/100)*Assumptions!$B$10)))-$B10*EXP(-Assumptions!$B$3*Assumptions!$B$9)*NORMSDIST((((LN(Assumptions!$B$2/$B10)+(Assumptions!$B$3-Assumptions!$B$4+(AR$3/100)^2/2)*Assumptions!$B$9)/((AR$3/100)*Assumptions!$B$10))-(AR$3/100)*Assumptions!$B$10))))&lt;=0,"",(Assumptions!$B$2*EXP(-Assumptions!$B$4*Assumptions!$B$9)*NORMDIST(((LN(Assumptions!$B$2/$B10)+(Assumptions!$B$3-Assumptions!$B$4+(AR$3/100)^2/2)*Assumptions!$B$9)/((AR$3/100)*Assumptions!$B$10)),0,1,FALSE)*Assumptions!$B$10*0.01)*((AR$3/100)/0.01)/(MAX(0,Assumptions!$B$2*EXP(-Assumptions!$B$4*Assumptions!$B$9)*NORMSDIST(((LN(Assumptions!$B$2/$B10)+(Assumptions!$B$3-Assumptions!$B$4+(AR$3/100)^2/2)*Assumptions!$B$9)/((AR$3/100)*Assumptions!$B$10)))-$B10*EXP(-Assumptions!$B$3*Assumptions!$B$9)*NORMSDIST((((LN(Assumptions!$B$2/$B10)+(Assumptions!$B$3-Assumptions!$B$4+(AR$3/100)^2/2)*Assumptions!$B$9)/((AR$3/100)*Assumptions!$B$10))-(AR$3/100)*Assumptions!$B$10)))))</f>
        <v/>
      </c>
      <c r="AS10" s="32">
        <f>IF((MAX(0,Assumptions!$B$2*EXP(-Assumptions!$B$4*Assumptions!$B$9)*NORMSDIST(((LN(Assumptions!$B$2/$B10)+(Assumptions!$B$3-Assumptions!$B$4+(AS$3/100)^2/2)*Assumptions!$B$9)/((AS$3/100)*Assumptions!$B$10)))-$B10*EXP(-Assumptions!$B$3*Assumptions!$B$9)*NORMSDIST((((LN(Assumptions!$B$2/$B10)+(Assumptions!$B$3-Assumptions!$B$4+(AS$3/100)^2/2)*Assumptions!$B$9)/((AS$3/100)*Assumptions!$B$10))-(AS$3/100)*Assumptions!$B$10))))&lt;=0,"",(Assumptions!$B$2*EXP(-Assumptions!$B$4*Assumptions!$B$9)*NORMDIST(((LN(Assumptions!$B$2/$B10)+(Assumptions!$B$3-Assumptions!$B$4+(AS$3/100)^2/2)*Assumptions!$B$9)/((AS$3/100)*Assumptions!$B$10)),0,1,FALSE)*Assumptions!$B$10*0.01)*((AS$3/100)/0.01)/(MAX(0,Assumptions!$B$2*EXP(-Assumptions!$B$4*Assumptions!$B$9)*NORMSDIST(((LN(Assumptions!$B$2/$B10)+(Assumptions!$B$3-Assumptions!$B$4+(AS$3/100)^2/2)*Assumptions!$B$9)/((AS$3/100)*Assumptions!$B$10)))-$B10*EXP(-Assumptions!$B$3*Assumptions!$B$9)*NORMSDIST((((LN(Assumptions!$B$2/$B10)+(Assumptions!$B$3-Assumptions!$B$4+(AS$3/100)^2/2)*Assumptions!$B$9)/((AS$3/100)*Assumptions!$B$10))-(AS$3/100)*Assumptions!$B$10)))))</f>
        <v/>
      </c>
      <c r="AT10" s="32">
        <f>IF((MAX(0,Assumptions!$B$2*EXP(-Assumptions!$B$4*Assumptions!$B$9)*NORMSDIST(((LN(Assumptions!$B$2/$B10)+(Assumptions!$B$3-Assumptions!$B$4+(AT$3/100)^2/2)*Assumptions!$B$9)/((AT$3/100)*Assumptions!$B$10)))-$B10*EXP(-Assumptions!$B$3*Assumptions!$B$9)*NORMSDIST((((LN(Assumptions!$B$2/$B10)+(Assumptions!$B$3-Assumptions!$B$4+(AT$3/100)^2/2)*Assumptions!$B$9)/((AT$3/100)*Assumptions!$B$10))-(AT$3/100)*Assumptions!$B$10))))&lt;=0,"",(Assumptions!$B$2*EXP(-Assumptions!$B$4*Assumptions!$B$9)*NORMDIST(((LN(Assumptions!$B$2/$B10)+(Assumptions!$B$3-Assumptions!$B$4+(AT$3/100)^2/2)*Assumptions!$B$9)/((AT$3/100)*Assumptions!$B$10)),0,1,FALSE)*Assumptions!$B$10*0.01)*((AT$3/100)/0.01)/(MAX(0,Assumptions!$B$2*EXP(-Assumptions!$B$4*Assumptions!$B$9)*NORMSDIST(((LN(Assumptions!$B$2/$B10)+(Assumptions!$B$3-Assumptions!$B$4+(AT$3/100)^2/2)*Assumptions!$B$9)/((AT$3/100)*Assumptions!$B$10)))-$B10*EXP(-Assumptions!$B$3*Assumptions!$B$9)*NORMSDIST((((LN(Assumptions!$B$2/$B10)+(Assumptions!$B$3-Assumptions!$B$4+(AT$3/100)^2/2)*Assumptions!$B$9)/((AT$3/100)*Assumptions!$B$10))-(AT$3/100)*Assumptions!$B$10)))))</f>
        <v/>
      </c>
      <c r="AU10" s="32">
        <f>IF((MAX(0,Assumptions!$B$2*EXP(-Assumptions!$B$4*Assumptions!$B$9)*NORMSDIST(((LN(Assumptions!$B$2/$B10)+(Assumptions!$B$3-Assumptions!$B$4+(AU$3/100)^2/2)*Assumptions!$B$9)/((AU$3/100)*Assumptions!$B$10)))-$B10*EXP(-Assumptions!$B$3*Assumptions!$B$9)*NORMSDIST((((LN(Assumptions!$B$2/$B10)+(Assumptions!$B$3-Assumptions!$B$4+(AU$3/100)^2/2)*Assumptions!$B$9)/((AU$3/100)*Assumptions!$B$10))-(AU$3/100)*Assumptions!$B$10))))&lt;=0,"",(Assumptions!$B$2*EXP(-Assumptions!$B$4*Assumptions!$B$9)*NORMDIST(((LN(Assumptions!$B$2/$B10)+(Assumptions!$B$3-Assumptions!$B$4+(AU$3/100)^2/2)*Assumptions!$B$9)/((AU$3/100)*Assumptions!$B$10)),0,1,FALSE)*Assumptions!$B$10*0.01)*((AU$3/100)/0.01)/(MAX(0,Assumptions!$B$2*EXP(-Assumptions!$B$4*Assumptions!$B$9)*NORMSDIST(((LN(Assumptions!$B$2/$B10)+(Assumptions!$B$3-Assumptions!$B$4+(AU$3/100)^2/2)*Assumptions!$B$9)/((AU$3/100)*Assumptions!$B$10)))-$B10*EXP(-Assumptions!$B$3*Assumptions!$B$9)*NORMSDIST((((LN(Assumptions!$B$2/$B10)+(Assumptions!$B$3-Assumptions!$B$4+(AU$3/100)^2/2)*Assumptions!$B$9)/((AU$3/100)*Assumptions!$B$10))-(AU$3/100)*Assumptions!$B$10)))))</f>
        <v/>
      </c>
      <c r="AV10" s="32">
        <f>IF((MAX(0,Assumptions!$B$2*EXP(-Assumptions!$B$4*Assumptions!$B$9)*NORMSDIST(((LN(Assumptions!$B$2/$B10)+(Assumptions!$B$3-Assumptions!$B$4+(AV$3/100)^2/2)*Assumptions!$B$9)/((AV$3/100)*Assumptions!$B$10)))-$B10*EXP(-Assumptions!$B$3*Assumptions!$B$9)*NORMSDIST((((LN(Assumptions!$B$2/$B10)+(Assumptions!$B$3-Assumptions!$B$4+(AV$3/100)^2/2)*Assumptions!$B$9)/((AV$3/100)*Assumptions!$B$10))-(AV$3/100)*Assumptions!$B$10))))&lt;=0,"",(Assumptions!$B$2*EXP(-Assumptions!$B$4*Assumptions!$B$9)*NORMDIST(((LN(Assumptions!$B$2/$B10)+(Assumptions!$B$3-Assumptions!$B$4+(AV$3/100)^2/2)*Assumptions!$B$9)/((AV$3/100)*Assumptions!$B$10)),0,1,FALSE)*Assumptions!$B$10*0.01)*((AV$3/100)/0.01)/(MAX(0,Assumptions!$B$2*EXP(-Assumptions!$B$4*Assumptions!$B$9)*NORMSDIST(((LN(Assumptions!$B$2/$B10)+(Assumptions!$B$3-Assumptions!$B$4+(AV$3/100)^2/2)*Assumptions!$B$9)/((AV$3/100)*Assumptions!$B$10)))-$B10*EXP(-Assumptions!$B$3*Assumptions!$B$9)*NORMSDIST((((LN(Assumptions!$B$2/$B10)+(Assumptions!$B$3-Assumptions!$B$4+(AV$3/100)^2/2)*Assumptions!$B$9)/((AV$3/100)*Assumptions!$B$10))-(AV$3/100)*Assumptions!$B$10)))))</f>
        <v/>
      </c>
    </row>
    <row r="11">
      <c r="A11" s="27" t="inlineStr">
        <is>
          <t>-0.25%</t>
        </is>
      </c>
      <c r="B11" s="47">
        <f>'BS Engine'!$B$9</f>
        <v/>
      </c>
      <c r="C11" s="28">
        <f>'BS Engine'!$C$9</f>
        <v/>
      </c>
      <c r="D11" s="54">
        <f>IF((MAX(0,Assumptions!$B$2*EXP(-Assumptions!$B$4*Assumptions!$B$9)*NORMSDIST(((LN(Assumptions!$B$2/$B11)+(Assumptions!$B$3-Assumptions!$B$4+(D$3/100)^2/2)*Assumptions!$B$9)/((D$3/100)*Assumptions!$B$10)))-$B11*EXP(-Assumptions!$B$3*Assumptions!$B$9)*NORMSDIST((((LN(Assumptions!$B$2/$B11)+(Assumptions!$B$3-Assumptions!$B$4+(D$3/100)^2/2)*Assumptions!$B$9)/((D$3/100)*Assumptions!$B$10))-(D$3/100)*Assumptions!$B$10))))&lt;=0,"",(Assumptions!$B$2*EXP(-Assumptions!$B$4*Assumptions!$B$9)*NORMDIST(((LN(Assumptions!$B$2/$B11)+(Assumptions!$B$3-Assumptions!$B$4+(D$3/100)^2/2)*Assumptions!$B$9)/((D$3/100)*Assumptions!$B$10)),0,1,FALSE)*Assumptions!$B$10*0.01)*((D$3/100)/0.01)/(MAX(0,Assumptions!$B$2*EXP(-Assumptions!$B$4*Assumptions!$B$9)*NORMSDIST(((LN(Assumptions!$B$2/$B11)+(Assumptions!$B$3-Assumptions!$B$4+(D$3/100)^2/2)*Assumptions!$B$9)/((D$3/100)*Assumptions!$B$10)))-$B11*EXP(-Assumptions!$B$3*Assumptions!$B$9)*NORMSDIST((((LN(Assumptions!$B$2/$B11)+(Assumptions!$B$3-Assumptions!$B$4+(D$3/100)^2/2)*Assumptions!$B$9)/((D$3/100)*Assumptions!$B$10))-(D$3/100)*Assumptions!$B$10)))))</f>
        <v/>
      </c>
      <c r="E11" s="32">
        <f>IF((MAX(0,Assumptions!$B$2*EXP(-Assumptions!$B$4*Assumptions!$B$9)*NORMSDIST(((LN(Assumptions!$B$2/$B11)+(Assumptions!$B$3-Assumptions!$B$4+(E$3/100)^2/2)*Assumptions!$B$9)/((E$3/100)*Assumptions!$B$10)))-$B11*EXP(-Assumptions!$B$3*Assumptions!$B$9)*NORMSDIST((((LN(Assumptions!$B$2/$B11)+(Assumptions!$B$3-Assumptions!$B$4+(E$3/100)^2/2)*Assumptions!$B$9)/((E$3/100)*Assumptions!$B$10))-(E$3/100)*Assumptions!$B$10))))&lt;=0,"",(Assumptions!$B$2*EXP(-Assumptions!$B$4*Assumptions!$B$9)*NORMDIST(((LN(Assumptions!$B$2/$B11)+(Assumptions!$B$3-Assumptions!$B$4+(E$3/100)^2/2)*Assumptions!$B$9)/((E$3/100)*Assumptions!$B$10)),0,1,FALSE)*Assumptions!$B$10*0.01)*((E$3/100)/0.01)/(MAX(0,Assumptions!$B$2*EXP(-Assumptions!$B$4*Assumptions!$B$9)*NORMSDIST(((LN(Assumptions!$B$2/$B11)+(Assumptions!$B$3-Assumptions!$B$4+(E$3/100)^2/2)*Assumptions!$B$9)/((E$3/100)*Assumptions!$B$10)))-$B11*EXP(-Assumptions!$B$3*Assumptions!$B$9)*NORMSDIST((((LN(Assumptions!$B$2/$B11)+(Assumptions!$B$3-Assumptions!$B$4+(E$3/100)^2/2)*Assumptions!$B$9)/((E$3/100)*Assumptions!$B$10))-(E$3/100)*Assumptions!$B$10)))))</f>
        <v/>
      </c>
      <c r="F11" s="32">
        <f>IF((MAX(0,Assumptions!$B$2*EXP(-Assumptions!$B$4*Assumptions!$B$9)*NORMSDIST(((LN(Assumptions!$B$2/$B11)+(Assumptions!$B$3-Assumptions!$B$4+(F$3/100)^2/2)*Assumptions!$B$9)/((F$3/100)*Assumptions!$B$10)))-$B11*EXP(-Assumptions!$B$3*Assumptions!$B$9)*NORMSDIST((((LN(Assumptions!$B$2/$B11)+(Assumptions!$B$3-Assumptions!$B$4+(F$3/100)^2/2)*Assumptions!$B$9)/((F$3/100)*Assumptions!$B$10))-(F$3/100)*Assumptions!$B$10))))&lt;=0,"",(Assumptions!$B$2*EXP(-Assumptions!$B$4*Assumptions!$B$9)*NORMDIST(((LN(Assumptions!$B$2/$B11)+(Assumptions!$B$3-Assumptions!$B$4+(F$3/100)^2/2)*Assumptions!$B$9)/((F$3/100)*Assumptions!$B$10)),0,1,FALSE)*Assumptions!$B$10*0.01)*((F$3/100)/0.01)/(MAX(0,Assumptions!$B$2*EXP(-Assumptions!$B$4*Assumptions!$B$9)*NORMSDIST(((LN(Assumptions!$B$2/$B11)+(Assumptions!$B$3-Assumptions!$B$4+(F$3/100)^2/2)*Assumptions!$B$9)/((F$3/100)*Assumptions!$B$10)))-$B11*EXP(-Assumptions!$B$3*Assumptions!$B$9)*NORMSDIST((((LN(Assumptions!$B$2/$B11)+(Assumptions!$B$3-Assumptions!$B$4+(F$3/100)^2/2)*Assumptions!$B$9)/((F$3/100)*Assumptions!$B$10))-(F$3/100)*Assumptions!$B$10)))))</f>
        <v/>
      </c>
      <c r="G11" s="32">
        <f>IF((MAX(0,Assumptions!$B$2*EXP(-Assumptions!$B$4*Assumptions!$B$9)*NORMSDIST(((LN(Assumptions!$B$2/$B11)+(Assumptions!$B$3-Assumptions!$B$4+(G$3/100)^2/2)*Assumptions!$B$9)/((G$3/100)*Assumptions!$B$10)))-$B11*EXP(-Assumptions!$B$3*Assumptions!$B$9)*NORMSDIST((((LN(Assumptions!$B$2/$B11)+(Assumptions!$B$3-Assumptions!$B$4+(G$3/100)^2/2)*Assumptions!$B$9)/((G$3/100)*Assumptions!$B$10))-(G$3/100)*Assumptions!$B$10))))&lt;=0,"",(Assumptions!$B$2*EXP(-Assumptions!$B$4*Assumptions!$B$9)*NORMDIST(((LN(Assumptions!$B$2/$B11)+(Assumptions!$B$3-Assumptions!$B$4+(G$3/100)^2/2)*Assumptions!$B$9)/((G$3/100)*Assumptions!$B$10)),0,1,FALSE)*Assumptions!$B$10*0.01)*((G$3/100)/0.01)/(MAX(0,Assumptions!$B$2*EXP(-Assumptions!$B$4*Assumptions!$B$9)*NORMSDIST(((LN(Assumptions!$B$2/$B11)+(Assumptions!$B$3-Assumptions!$B$4+(G$3/100)^2/2)*Assumptions!$B$9)/((G$3/100)*Assumptions!$B$10)))-$B11*EXP(-Assumptions!$B$3*Assumptions!$B$9)*NORMSDIST((((LN(Assumptions!$B$2/$B11)+(Assumptions!$B$3-Assumptions!$B$4+(G$3/100)^2/2)*Assumptions!$B$9)/((G$3/100)*Assumptions!$B$10))-(G$3/100)*Assumptions!$B$10)))))</f>
        <v/>
      </c>
      <c r="H11" s="32">
        <f>IF((MAX(0,Assumptions!$B$2*EXP(-Assumptions!$B$4*Assumptions!$B$9)*NORMSDIST(((LN(Assumptions!$B$2/$B11)+(Assumptions!$B$3-Assumptions!$B$4+(H$3/100)^2/2)*Assumptions!$B$9)/((H$3/100)*Assumptions!$B$10)))-$B11*EXP(-Assumptions!$B$3*Assumptions!$B$9)*NORMSDIST((((LN(Assumptions!$B$2/$B11)+(Assumptions!$B$3-Assumptions!$B$4+(H$3/100)^2/2)*Assumptions!$B$9)/((H$3/100)*Assumptions!$B$10))-(H$3/100)*Assumptions!$B$10))))&lt;=0,"",(Assumptions!$B$2*EXP(-Assumptions!$B$4*Assumptions!$B$9)*NORMDIST(((LN(Assumptions!$B$2/$B11)+(Assumptions!$B$3-Assumptions!$B$4+(H$3/100)^2/2)*Assumptions!$B$9)/((H$3/100)*Assumptions!$B$10)),0,1,FALSE)*Assumptions!$B$10*0.01)*((H$3/100)/0.01)/(MAX(0,Assumptions!$B$2*EXP(-Assumptions!$B$4*Assumptions!$B$9)*NORMSDIST(((LN(Assumptions!$B$2/$B11)+(Assumptions!$B$3-Assumptions!$B$4+(H$3/100)^2/2)*Assumptions!$B$9)/((H$3/100)*Assumptions!$B$10)))-$B11*EXP(-Assumptions!$B$3*Assumptions!$B$9)*NORMSDIST((((LN(Assumptions!$B$2/$B11)+(Assumptions!$B$3-Assumptions!$B$4+(H$3/100)^2/2)*Assumptions!$B$9)/((H$3/100)*Assumptions!$B$10))-(H$3/100)*Assumptions!$B$10)))))</f>
        <v/>
      </c>
      <c r="I11" s="32">
        <f>IF((MAX(0,Assumptions!$B$2*EXP(-Assumptions!$B$4*Assumptions!$B$9)*NORMSDIST(((LN(Assumptions!$B$2/$B11)+(Assumptions!$B$3-Assumptions!$B$4+(I$3/100)^2/2)*Assumptions!$B$9)/((I$3/100)*Assumptions!$B$10)))-$B11*EXP(-Assumptions!$B$3*Assumptions!$B$9)*NORMSDIST((((LN(Assumptions!$B$2/$B11)+(Assumptions!$B$3-Assumptions!$B$4+(I$3/100)^2/2)*Assumptions!$B$9)/((I$3/100)*Assumptions!$B$10))-(I$3/100)*Assumptions!$B$10))))&lt;=0,"",(Assumptions!$B$2*EXP(-Assumptions!$B$4*Assumptions!$B$9)*NORMDIST(((LN(Assumptions!$B$2/$B11)+(Assumptions!$B$3-Assumptions!$B$4+(I$3/100)^2/2)*Assumptions!$B$9)/((I$3/100)*Assumptions!$B$10)),0,1,FALSE)*Assumptions!$B$10*0.01)*((I$3/100)/0.01)/(MAX(0,Assumptions!$B$2*EXP(-Assumptions!$B$4*Assumptions!$B$9)*NORMSDIST(((LN(Assumptions!$B$2/$B11)+(Assumptions!$B$3-Assumptions!$B$4+(I$3/100)^2/2)*Assumptions!$B$9)/((I$3/100)*Assumptions!$B$10)))-$B11*EXP(-Assumptions!$B$3*Assumptions!$B$9)*NORMSDIST((((LN(Assumptions!$B$2/$B11)+(Assumptions!$B$3-Assumptions!$B$4+(I$3/100)^2/2)*Assumptions!$B$9)/((I$3/100)*Assumptions!$B$10))-(I$3/100)*Assumptions!$B$10)))))</f>
        <v/>
      </c>
      <c r="J11" s="32">
        <f>IF((MAX(0,Assumptions!$B$2*EXP(-Assumptions!$B$4*Assumptions!$B$9)*NORMSDIST(((LN(Assumptions!$B$2/$B11)+(Assumptions!$B$3-Assumptions!$B$4+(J$3/100)^2/2)*Assumptions!$B$9)/((J$3/100)*Assumptions!$B$10)))-$B11*EXP(-Assumptions!$B$3*Assumptions!$B$9)*NORMSDIST((((LN(Assumptions!$B$2/$B11)+(Assumptions!$B$3-Assumptions!$B$4+(J$3/100)^2/2)*Assumptions!$B$9)/((J$3/100)*Assumptions!$B$10))-(J$3/100)*Assumptions!$B$10))))&lt;=0,"",(Assumptions!$B$2*EXP(-Assumptions!$B$4*Assumptions!$B$9)*NORMDIST(((LN(Assumptions!$B$2/$B11)+(Assumptions!$B$3-Assumptions!$B$4+(J$3/100)^2/2)*Assumptions!$B$9)/((J$3/100)*Assumptions!$B$10)),0,1,FALSE)*Assumptions!$B$10*0.01)*((J$3/100)/0.01)/(MAX(0,Assumptions!$B$2*EXP(-Assumptions!$B$4*Assumptions!$B$9)*NORMSDIST(((LN(Assumptions!$B$2/$B11)+(Assumptions!$B$3-Assumptions!$B$4+(J$3/100)^2/2)*Assumptions!$B$9)/((J$3/100)*Assumptions!$B$10)))-$B11*EXP(-Assumptions!$B$3*Assumptions!$B$9)*NORMSDIST((((LN(Assumptions!$B$2/$B11)+(Assumptions!$B$3-Assumptions!$B$4+(J$3/100)^2/2)*Assumptions!$B$9)/((J$3/100)*Assumptions!$B$10))-(J$3/100)*Assumptions!$B$10)))))</f>
        <v/>
      </c>
      <c r="K11" s="32">
        <f>IF((MAX(0,Assumptions!$B$2*EXP(-Assumptions!$B$4*Assumptions!$B$9)*NORMSDIST(((LN(Assumptions!$B$2/$B11)+(Assumptions!$B$3-Assumptions!$B$4+(K$3/100)^2/2)*Assumptions!$B$9)/((K$3/100)*Assumptions!$B$10)))-$B11*EXP(-Assumptions!$B$3*Assumptions!$B$9)*NORMSDIST((((LN(Assumptions!$B$2/$B11)+(Assumptions!$B$3-Assumptions!$B$4+(K$3/100)^2/2)*Assumptions!$B$9)/((K$3/100)*Assumptions!$B$10))-(K$3/100)*Assumptions!$B$10))))&lt;=0,"",(Assumptions!$B$2*EXP(-Assumptions!$B$4*Assumptions!$B$9)*NORMDIST(((LN(Assumptions!$B$2/$B11)+(Assumptions!$B$3-Assumptions!$B$4+(K$3/100)^2/2)*Assumptions!$B$9)/((K$3/100)*Assumptions!$B$10)),0,1,FALSE)*Assumptions!$B$10*0.01)*((K$3/100)/0.01)/(MAX(0,Assumptions!$B$2*EXP(-Assumptions!$B$4*Assumptions!$B$9)*NORMSDIST(((LN(Assumptions!$B$2/$B11)+(Assumptions!$B$3-Assumptions!$B$4+(K$3/100)^2/2)*Assumptions!$B$9)/((K$3/100)*Assumptions!$B$10)))-$B11*EXP(-Assumptions!$B$3*Assumptions!$B$9)*NORMSDIST((((LN(Assumptions!$B$2/$B11)+(Assumptions!$B$3-Assumptions!$B$4+(K$3/100)^2/2)*Assumptions!$B$9)/((K$3/100)*Assumptions!$B$10))-(K$3/100)*Assumptions!$B$10)))))</f>
        <v/>
      </c>
      <c r="L11" s="32">
        <f>IF((MAX(0,Assumptions!$B$2*EXP(-Assumptions!$B$4*Assumptions!$B$9)*NORMSDIST(((LN(Assumptions!$B$2/$B11)+(Assumptions!$B$3-Assumptions!$B$4+(L$3/100)^2/2)*Assumptions!$B$9)/((L$3/100)*Assumptions!$B$10)))-$B11*EXP(-Assumptions!$B$3*Assumptions!$B$9)*NORMSDIST((((LN(Assumptions!$B$2/$B11)+(Assumptions!$B$3-Assumptions!$B$4+(L$3/100)^2/2)*Assumptions!$B$9)/((L$3/100)*Assumptions!$B$10))-(L$3/100)*Assumptions!$B$10))))&lt;=0,"",(Assumptions!$B$2*EXP(-Assumptions!$B$4*Assumptions!$B$9)*NORMDIST(((LN(Assumptions!$B$2/$B11)+(Assumptions!$B$3-Assumptions!$B$4+(L$3/100)^2/2)*Assumptions!$B$9)/((L$3/100)*Assumptions!$B$10)),0,1,FALSE)*Assumptions!$B$10*0.01)*((L$3/100)/0.01)/(MAX(0,Assumptions!$B$2*EXP(-Assumptions!$B$4*Assumptions!$B$9)*NORMSDIST(((LN(Assumptions!$B$2/$B11)+(Assumptions!$B$3-Assumptions!$B$4+(L$3/100)^2/2)*Assumptions!$B$9)/((L$3/100)*Assumptions!$B$10)))-$B11*EXP(-Assumptions!$B$3*Assumptions!$B$9)*NORMSDIST((((LN(Assumptions!$B$2/$B11)+(Assumptions!$B$3-Assumptions!$B$4+(L$3/100)^2/2)*Assumptions!$B$9)/((L$3/100)*Assumptions!$B$10))-(L$3/100)*Assumptions!$B$10)))))</f>
        <v/>
      </c>
      <c r="M11" s="32">
        <f>IF((MAX(0,Assumptions!$B$2*EXP(-Assumptions!$B$4*Assumptions!$B$9)*NORMSDIST(((LN(Assumptions!$B$2/$B11)+(Assumptions!$B$3-Assumptions!$B$4+(M$3/100)^2/2)*Assumptions!$B$9)/((M$3/100)*Assumptions!$B$10)))-$B11*EXP(-Assumptions!$B$3*Assumptions!$B$9)*NORMSDIST((((LN(Assumptions!$B$2/$B11)+(Assumptions!$B$3-Assumptions!$B$4+(M$3/100)^2/2)*Assumptions!$B$9)/((M$3/100)*Assumptions!$B$10))-(M$3/100)*Assumptions!$B$10))))&lt;=0,"",(Assumptions!$B$2*EXP(-Assumptions!$B$4*Assumptions!$B$9)*NORMDIST(((LN(Assumptions!$B$2/$B11)+(Assumptions!$B$3-Assumptions!$B$4+(M$3/100)^2/2)*Assumptions!$B$9)/((M$3/100)*Assumptions!$B$10)),0,1,FALSE)*Assumptions!$B$10*0.01)*((M$3/100)/0.01)/(MAX(0,Assumptions!$B$2*EXP(-Assumptions!$B$4*Assumptions!$B$9)*NORMSDIST(((LN(Assumptions!$B$2/$B11)+(Assumptions!$B$3-Assumptions!$B$4+(M$3/100)^2/2)*Assumptions!$B$9)/((M$3/100)*Assumptions!$B$10)))-$B11*EXP(-Assumptions!$B$3*Assumptions!$B$9)*NORMSDIST((((LN(Assumptions!$B$2/$B11)+(Assumptions!$B$3-Assumptions!$B$4+(M$3/100)^2/2)*Assumptions!$B$9)/((M$3/100)*Assumptions!$B$10))-(M$3/100)*Assumptions!$B$10)))))</f>
        <v/>
      </c>
      <c r="N11" s="32">
        <f>IF((MAX(0,Assumptions!$B$2*EXP(-Assumptions!$B$4*Assumptions!$B$9)*NORMSDIST(((LN(Assumptions!$B$2/$B11)+(Assumptions!$B$3-Assumptions!$B$4+(N$3/100)^2/2)*Assumptions!$B$9)/((N$3/100)*Assumptions!$B$10)))-$B11*EXP(-Assumptions!$B$3*Assumptions!$B$9)*NORMSDIST((((LN(Assumptions!$B$2/$B11)+(Assumptions!$B$3-Assumptions!$B$4+(N$3/100)^2/2)*Assumptions!$B$9)/((N$3/100)*Assumptions!$B$10))-(N$3/100)*Assumptions!$B$10))))&lt;=0,"",(Assumptions!$B$2*EXP(-Assumptions!$B$4*Assumptions!$B$9)*NORMDIST(((LN(Assumptions!$B$2/$B11)+(Assumptions!$B$3-Assumptions!$B$4+(N$3/100)^2/2)*Assumptions!$B$9)/((N$3/100)*Assumptions!$B$10)),0,1,FALSE)*Assumptions!$B$10*0.01)*((N$3/100)/0.01)/(MAX(0,Assumptions!$B$2*EXP(-Assumptions!$B$4*Assumptions!$B$9)*NORMSDIST(((LN(Assumptions!$B$2/$B11)+(Assumptions!$B$3-Assumptions!$B$4+(N$3/100)^2/2)*Assumptions!$B$9)/((N$3/100)*Assumptions!$B$10)))-$B11*EXP(-Assumptions!$B$3*Assumptions!$B$9)*NORMSDIST((((LN(Assumptions!$B$2/$B11)+(Assumptions!$B$3-Assumptions!$B$4+(N$3/100)^2/2)*Assumptions!$B$9)/((N$3/100)*Assumptions!$B$10))-(N$3/100)*Assumptions!$B$10)))))</f>
        <v/>
      </c>
      <c r="O11" s="32">
        <f>IF((MAX(0,Assumptions!$B$2*EXP(-Assumptions!$B$4*Assumptions!$B$9)*NORMSDIST(((LN(Assumptions!$B$2/$B11)+(Assumptions!$B$3-Assumptions!$B$4+(O$3/100)^2/2)*Assumptions!$B$9)/((O$3/100)*Assumptions!$B$10)))-$B11*EXP(-Assumptions!$B$3*Assumptions!$B$9)*NORMSDIST((((LN(Assumptions!$B$2/$B11)+(Assumptions!$B$3-Assumptions!$B$4+(O$3/100)^2/2)*Assumptions!$B$9)/((O$3/100)*Assumptions!$B$10))-(O$3/100)*Assumptions!$B$10))))&lt;=0,"",(Assumptions!$B$2*EXP(-Assumptions!$B$4*Assumptions!$B$9)*NORMDIST(((LN(Assumptions!$B$2/$B11)+(Assumptions!$B$3-Assumptions!$B$4+(O$3/100)^2/2)*Assumptions!$B$9)/((O$3/100)*Assumptions!$B$10)),0,1,FALSE)*Assumptions!$B$10*0.01)*((O$3/100)/0.01)/(MAX(0,Assumptions!$B$2*EXP(-Assumptions!$B$4*Assumptions!$B$9)*NORMSDIST(((LN(Assumptions!$B$2/$B11)+(Assumptions!$B$3-Assumptions!$B$4+(O$3/100)^2/2)*Assumptions!$B$9)/((O$3/100)*Assumptions!$B$10)))-$B11*EXP(-Assumptions!$B$3*Assumptions!$B$9)*NORMSDIST((((LN(Assumptions!$B$2/$B11)+(Assumptions!$B$3-Assumptions!$B$4+(O$3/100)^2/2)*Assumptions!$B$9)/((O$3/100)*Assumptions!$B$10))-(O$3/100)*Assumptions!$B$10)))))</f>
        <v/>
      </c>
      <c r="P11" s="32">
        <f>IF((MAX(0,Assumptions!$B$2*EXP(-Assumptions!$B$4*Assumptions!$B$9)*NORMSDIST(((LN(Assumptions!$B$2/$B11)+(Assumptions!$B$3-Assumptions!$B$4+(P$3/100)^2/2)*Assumptions!$B$9)/((P$3/100)*Assumptions!$B$10)))-$B11*EXP(-Assumptions!$B$3*Assumptions!$B$9)*NORMSDIST((((LN(Assumptions!$B$2/$B11)+(Assumptions!$B$3-Assumptions!$B$4+(P$3/100)^2/2)*Assumptions!$B$9)/((P$3/100)*Assumptions!$B$10))-(P$3/100)*Assumptions!$B$10))))&lt;=0,"",(Assumptions!$B$2*EXP(-Assumptions!$B$4*Assumptions!$B$9)*NORMDIST(((LN(Assumptions!$B$2/$B11)+(Assumptions!$B$3-Assumptions!$B$4+(P$3/100)^2/2)*Assumptions!$B$9)/((P$3/100)*Assumptions!$B$10)),0,1,FALSE)*Assumptions!$B$10*0.01)*((P$3/100)/0.01)/(MAX(0,Assumptions!$B$2*EXP(-Assumptions!$B$4*Assumptions!$B$9)*NORMSDIST(((LN(Assumptions!$B$2/$B11)+(Assumptions!$B$3-Assumptions!$B$4+(P$3/100)^2/2)*Assumptions!$B$9)/((P$3/100)*Assumptions!$B$10)))-$B11*EXP(-Assumptions!$B$3*Assumptions!$B$9)*NORMSDIST((((LN(Assumptions!$B$2/$B11)+(Assumptions!$B$3-Assumptions!$B$4+(P$3/100)^2/2)*Assumptions!$B$9)/((P$3/100)*Assumptions!$B$10))-(P$3/100)*Assumptions!$B$10)))))</f>
        <v/>
      </c>
      <c r="Q11" s="32">
        <f>IF((MAX(0,Assumptions!$B$2*EXP(-Assumptions!$B$4*Assumptions!$B$9)*NORMSDIST(((LN(Assumptions!$B$2/$B11)+(Assumptions!$B$3-Assumptions!$B$4+(Q$3/100)^2/2)*Assumptions!$B$9)/((Q$3/100)*Assumptions!$B$10)))-$B11*EXP(-Assumptions!$B$3*Assumptions!$B$9)*NORMSDIST((((LN(Assumptions!$B$2/$B11)+(Assumptions!$B$3-Assumptions!$B$4+(Q$3/100)^2/2)*Assumptions!$B$9)/((Q$3/100)*Assumptions!$B$10))-(Q$3/100)*Assumptions!$B$10))))&lt;=0,"",(Assumptions!$B$2*EXP(-Assumptions!$B$4*Assumptions!$B$9)*NORMDIST(((LN(Assumptions!$B$2/$B11)+(Assumptions!$B$3-Assumptions!$B$4+(Q$3/100)^2/2)*Assumptions!$B$9)/((Q$3/100)*Assumptions!$B$10)),0,1,FALSE)*Assumptions!$B$10*0.01)*((Q$3/100)/0.01)/(MAX(0,Assumptions!$B$2*EXP(-Assumptions!$B$4*Assumptions!$B$9)*NORMSDIST(((LN(Assumptions!$B$2/$B11)+(Assumptions!$B$3-Assumptions!$B$4+(Q$3/100)^2/2)*Assumptions!$B$9)/((Q$3/100)*Assumptions!$B$10)))-$B11*EXP(-Assumptions!$B$3*Assumptions!$B$9)*NORMSDIST((((LN(Assumptions!$B$2/$B11)+(Assumptions!$B$3-Assumptions!$B$4+(Q$3/100)^2/2)*Assumptions!$B$9)/((Q$3/100)*Assumptions!$B$10))-(Q$3/100)*Assumptions!$B$10)))))</f>
        <v/>
      </c>
      <c r="R11" s="32">
        <f>IF((MAX(0,Assumptions!$B$2*EXP(-Assumptions!$B$4*Assumptions!$B$9)*NORMSDIST(((LN(Assumptions!$B$2/$B11)+(Assumptions!$B$3-Assumptions!$B$4+(R$3/100)^2/2)*Assumptions!$B$9)/((R$3/100)*Assumptions!$B$10)))-$B11*EXP(-Assumptions!$B$3*Assumptions!$B$9)*NORMSDIST((((LN(Assumptions!$B$2/$B11)+(Assumptions!$B$3-Assumptions!$B$4+(R$3/100)^2/2)*Assumptions!$B$9)/((R$3/100)*Assumptions!$B$10))-(R$3/100)*Assumptions!$B$10))))&lt;=0,"",(Assumptions!$B$2*EXP(-Assumptions!$B$4*Assumptions!$B$9)*NORMDIST(((LN(Assumptions!$B$2/$B11)+(Assumptions!$B$3-Assumptions!$B$4+(R$3/100)^2/2)*Assumptions!$B$9)/((R$3/100)*Assumptions!$B$10)),0,1,FALSE)*Assumptions!$B$10*0.01)*((R$3/100)/0.01)/(MAX(0,Assumptions!$B$2*EXP(-Assumptions!$B$4*Assumptions!$B$9)*NORMSDIST(((LN(Assumptions!$B$2/$B11)+(Assumptions!$B$3-Assumptions!$B$4+(R$3/100)^2/2)*Assumptions!$B$9)/((R$3/100)*Assumptions!$B$10)))-$B11*EXP(-Assumptions!$B$3*Assumptions!$B$9)*NORMSDIST((((LN(Assumptions!$B$2/$B11)+(Assumptions!$B$3-Assumptions!$B$4+(R$3/100)^2/2)*Assumptions!$B$9)/((R$3/100)*Assumptions!$B$10))-(R$3/100)*Assumptions!$B$10)))))</f>
        <v/>
      </c>
      <c r="S11" s="32">
        <f>IF((MAX(0,Assumptions!$B$2*EXP(-Assumptions!$B$4*Assumptions!$B$9)*NORMSDIST(((LN(Assumptions!$B$2/$B11)+(Assumptions!$B$3-Assumptions!$B$4+(S$3/100)^2/2)*Assumptions!$B$9)/((S$3/100)*Assumptions!$B$10)))-$B11*EXP(-Assumptions!$B$3*Assumptions!$B$9)*NORMSDIST((((LN(Assumptions!$B$2/$B11)+(Assumptions!$B$3-Assumptions!$B$4+(S$3/100)^2/2)*Assumptions!$B$9)/((S$3/100)*Assumptions!$B$10))-(S$3/100)*Assumptions!$B$10))))&lt;=0,"",(Assumptions!$B$2*EXP(-Assumptions!$B$4*Assumptions!$B$9)*NORMDIST(((LN(Assumptions!$B$2/$B11)+(Assumptions!$B$3-Assumptions!$B$4+(S$3/100)^2/2)*Assumptions!$B$9)/((S$3/100)*Assumptions!$B$10)),0,1,FALSE)*Assumptions!$B$10*0.01)*((S$3/100)/0.01)/(MAX(0,Assumptions!$B$2*EXP(-Assumptions!$B$4*Assumptions!$B$9)*NORMSDIST(((LN(Assumptions!$B$2/$B11)+(Assumptions!$B$3-Assumptions!$B$4+(S$3/100)^2/2)*Assumptions!$B$9)/((S$3/100)*Assumptions!$B$10)))-$B11*EXP(-Assumptions!$B$3*Assumptions!$B$9)*NORMSDIST((((LN(Assumptions!$B$2/$B11)+(Assumptions!$B$3-Assumptions!$B$4+(S$3/100)^2/2)*Assumptions!$B$9)/((S$3/100)*Assumptions!$B$10))-(S$3/100)*Assumptions!$B$10)))))</f>
        <v/>
      </c>
      <c r="T11" s="32">
        <f>IF((MAX(0,Assumptions!$B$2*EXP(-Assumptions!$B$4*Assumptions!$B$9)*NORMSDIST(((LN(Assumptions!$B$2/$B11)+(Assumptions!$B$3-Assumptions!$B$4+(T$3/100)^2/2)*Assumptions!$B$9)/((T$3/100)*Assumptions!$B$10)))-$B11*EXP(-Assumptions!$B$3*Assumptions!$B$9)*NORMSDIST((((LN(Assumptions!$B$2/$B11)+(Assumptions!$B$3-Assumptions!$B$4+(T$3/100)^2/2)*Assumptions!$B$9)/((T$3/100)*Assumptions!$B$10))-(T$3/100)*Assumptions!$B$10))))&lt;=0,"",(Assumptions!$B$2*EXP(-Assumptions!$B$4*Assumptions!$B$9)*NORMDIST(((LN(Assumptions!$B$2/$B11)+(Assumptions!$B$3-Assumptions!$B$4+(T$3/100)^2/2)*Assumptions!$B$9)/((T$3/100)*Assumptions!$B$10)),0,1,FALSE)*Assumptions!$B$10*0.01)*((T$3/100)/0.01)/(MAX(0,Assumptions!$B$2*EXP(-Assumptions!$B$4*Assumptions!$B$9)*NORMSDIST(((LN(Assumptions!$B$2/$B11)+(Assumptions!$B$3-Assumptions!$B$4+(T$3/100)^2/2)*Assumptions!$B$9)/((T$3/100)*Assumptions!$B$10)))-$B11*EXP(-Assumptions!$B$3*Assumptions!$B$9)*NORMSDIST((((LN(Assumptions!$B$2/$B11)+(Assumptions!$B$3-Assumptions!$B$4+(T$3/100)^2/2)*Assumptions!$B$9)/((T$3/100)*Assumptions!$B$10))-(T$3/100)*Assumptions!$B$10)))))</f>
        <v/>
      </c>
      <c r="U11" s="32">
        <f>IF((MAX(0,Assumptions!$B$2*EXP(-Assumptions!$B$4*Assumptions!$B$9)*NORMSDIST(((LN(Assumptions!$B$2/$B11)+(Assumptions!$B$3-Assumptions!$B$4+(U$3/100)^2/2)*Assumptions!$B$9)/((U$3/100)*Assumptions!$B$10)))-$B11*EXP(-Assumptions!$B$3*Assumptions!$B$9)*NORMSDIST((((LN(Assumptions!$B$2/$B11)+(Assumptions!$B$3-Assumptions!$B$4+(U$3/100)^2/2)*Assumptions!$B$9)/((U$3/100)*Assumptions!$B$10))-(U$3/100)*Assumptions!$B$10))))&lt;=0,"",(Assumptions!$B$2*EXP(-Assumptions!$B$4*Assumptions!$B$9)*NORMDIST(((LN(Assumptions!$B$2/$B11)+(Assumptions!$B$3-Assumptions!$B$4+(U$3/100)^2/2)*Assumptions!$B$9)/((U$3/100)*Assumptions!$B$10)),0,1,FALSE)*Assumptions!$B$10*0.01)*((U$3/100)/0.01)/(MAX(0,Assumptions!$B$2*EXP(-Assumptions!$B$4*Assumptions!$B$9)*NORMSDIST(((LN(Assumptions!$B$2/$B11)+(Assumptions!$B$3-Assumptions!$B$4+(U$3/100)^2/2)*Assumptions!$B$9)/((U$3/100)*Assumptions!$B$10)))-$B11*EXP(-Assumptions!$B$3*Assumptions!$B$9)*NORMSDIST((((LN(Assumptions!$B$2/$B11)+(Assumptions!$B$3-Assumptions!$B$4+(U$3/100)^2/2)*Assumptions!$B$9)/((U$3/100)*Assumptions!$B$10))-(U$3/100)*Assumptions!$B$10)))))</f>
        <v/>
      </c>
      <c r="V11" s="32">
        <f>IF((MAX(0,Assumptions!$B$2*EXP(-Assumptions!$B$4*Assumptions!$B$9)*NORMSDIST(((LN(Assumptions!$B$2/$B11)+(Assumptions!$B$3-Assumptions!$B$4+(V$3/100)^2/2)*Assumptions!$B$9)/((V$3/100)*Assumptions!$B$10)))-$B11*EXP(-Assumptions!$B$3*Assumptions!$B$9)*NORMSDIST((((LN(Assumptions!$B$2/$B11)+(Assumptions!$B$3-Assumptions!$B$4+(V$3/100)^2/2)*Assumptions!$B$9)/((V$3/100)*Assumptions!$B$10))-(V$3/100)*Assumptions!$B$10))))&lt;=0,"",(Assumptions!$B$2*EXP(-Assumptions!$B$4*Assumptions!$B$9)*NORMDIST(((LN(Assumptions!$B$2/$B11)+(Assumptions!$B$3-Assumptions!$B$4+(V$3/100)^2/2)*Assumptions!$B$9)/((V$3/100)*Assumptions!$B$10)),0,1,FALSE)*Assumptions!$B$10*0.01)*((V$3/100)/0.01)/(MAX(0,Assumptions!$B$2*EXP(-Assumptions!$B$4*Assumptions!$B$9)*NORMSDIST(((LN(Assumptions!$B$2/$B11)+(Assumptions!$B$3-Assumptions!$B$4+(V$3/100)^2/2)*Assumptions!$B$9)/((V$3/100)*Assumptions!$B$10)))-$B11*EXP(-Assumptions!$B$3*Assumptions!$B$9)*NORMSDIST((((LN(Assumptions!$B$2/$B11)+(Assumptions!$B$3-Assumptions!$B$4+(V$3/100)^2/2)*Assumptions!$B$9)/((V$3/100)*Assumptions!$B$10))-(V$3/100)*Assumptions!$B$10)))))</f>
        <v/>
      </c>
      <c r="W11" s="32">
        <f>IF((MAX(0,Assumptions!$B$2*EXP(-Assumptions!$B$4*Assumptions!$B$9)*NORMSDIST(((LN(Assumptions!$B$2/$B11)+(Assumptions!$B$3-Assumptions!$B$4+(W$3/100)^2/2)*Assumptions!$B$9)/((W$3/100)*Assumptions!$B$10)))-$B11*EXP(-Assumptions!$B$3*Assumptions!$B$9)*NORMSDIST((((LN(Assumptions!$B$2/$B11)+(Assumptions!$B$3-Assumptions!$B$4+(W$3/100)^2/2)*Assumptions!$B$9)/((W$3/100)*Assumptions!$B$10))-(W$3/100)*Assumptions!$B$10))))&lt;=0,"",(Assumptions!$B$2*EXP(-Assumptions!$B$4*Assumptions!$B$9)*NORMDIST(((LN(Assumptions!$B$2/$B11)+(Assumptions!$B$3-Assumptions!$B$4+(W$3/100)^2/2)*Assumptions!$B$9)/((W$3/100)*Assumptions!$B$10)),0,1,FALSE)*Assumptions!$B$10*0.01)*((W$3/100)/0.01)/(MAX(0,Assumptions!$B$2*EXP(-Assumptions!$B$4*Assumptions!$B$9)*NORMSDIST(((LN(Assumptions!$B$2/$B11)+(Assumptions!$B$3-Assumptions!$B$4+(W$3/100)^2/2)*Assumptions!$B$9)/((W$3/100)*Assumptions!$B$10)))-$B11*EXP(-Assumptions!$B$3*Assumptions!$B$9)*NORMSDIST((((LN(Assumptions!$B$2/$B11)+(Assumptions!$B$3-Assumptions!$B$4+(W$3/100)^2/2)*Assumptions!$B$9)/((W$3/100)*Assumptions!$B$10))-(W$3/100)*Assumptions!$B$10)))))</f>
        <v/>
      </c>
      <c r="X11" s="32">
        <f>IF((MAX(0,Assumptions!$B$2*EXP(-Assumptions!$B$4*Assumptions!$B$9)*NORMSDIST(((LN(Assumptions!$B$2/$B11)+(Assumptions!$B$3-Assumptions!$B$4+(X$3/100)^2/2)*Assumptions!$B$9)/((X$3/100)*Assumptions!$B$10)))-$B11*EXP(-Assumptions!$B$3*Assumptions!$B$9)*NORMSDIST((((LN(Assumptions!$B$2/$B11)+(Assumptions!$B$3-Assumptions!$B$4+(X$3/100)^2/2)*Assumptions!$B$9)/((X$3/100)*Assumptions!$B$10))-(X$3/100)*Assumptions!$B$10))))&lt;=0,"",(Assumptions!$B$2*EXP(-Assumptions!$B$4*Assumptions!$B$9)*NORMDIST(((LN(Assumptions!$B$2/$B11)+(Assumptions!$B$3-Assumptions!$B$4+(X$3/100)^2/2)*Assumptions!$B$9)/((X$3/100)*Assumptions!$B$10)),0,1,FALSE)*Assumptions!$B$10*0.01)*((X$3/100)/0.01)/(MAX(0,Assumptions!$B$2*EXP(-Assumptions!$B$4*Assumptions!$B$9)*NORMSDIST(((LN(Assumptions!$B$2/$B11)+(Assumptions!$B$3-Assumptions!$B$4+(X$3/100)^2/2)*Assumptions!$B$9)/((X$3/100)*Assumptions!$B$10)))-$B11*EXP(-Assumptions!$B$3*Assumptions!$B$9)*NORMSDIST((((LN(Assumptions!$B$2/$B11)+(Assumptions!$B$3-Assumptions!$B$4+(X$3/100)^2/2)*Assumptions!$B$9)/((X$3/100)*Assumptions!$B$10))-(X$3/100)*Assumptions!$B$10)))))</f>
        <v/>
      </c>
      <c r="Y11" s="32">
        <f>IF((MAX(0,Assumptions!$B$2*EXP(-Assumptions!$B$4*Assumptions!$B$9)*NORMSDIST(((LN(Assumptions!$B$2/$B11)+(Assumptions!$B$3-Assumptions!$B$4+(Y$3/100)^2/2)*Assumptions!$B$9)/((Y$3/100)*Assumptions!$B$10)))-$B11*EXP(-Assumptions!$B$3*Assumptions!$B$9)*NORMSDIST((((LN(Assumptions!$B$2/$B11)+(Assumptions!$B$3-Assumptions!$B$4+(Y$3/100)^2/2)*Assumptions!$B$9)/((Y$3/100)*Assumptions!$B$10))-(Y$3/100)*Assumptions!$B$10))))&lt;=0,"",(Assumptions!$B$2*EXP(-Assumptions!$B$4*Assumptions!$B$9)*NORMDIST(((LN(Assumptions!$B$2/$B11)+(Assumptions!$B$3-Assumptions!$B$4+(Y$3/100)^2/2)*Assumptions!$B$9)/((Y$3/100)*Assumptions!$B$10)),0,1,FALSE)*Assumptions!$B$10*0.01)*((Y$3/100)/0.01)/(MAX(0,Assumptions!$B$2*EXP(-Assumptions!$B$4*Assumptions!$B$9)*NORMSDIST(((LN(Assumptions!$B$2/$B11)+(Assumptions!$B$3-Assumptions!$B$4+(Y$3/100)^2/2)*Assumptions!$B$9)/((Y$3/100)*Assumptions!$B$10)))-$B11*EXP(-Assumptions!$B$3*Assumptions!$B$9)*NORMSDIST((((LN(Assumptions!$B$2/$B11)+(Assumptions!$B$3-Assumptions!$B$4+(Y$3/100)^2/2)*Assumptions!$B$9)/((Y$3/100)*Assumptions!$B$10))-(Y$3/100)*Assumptions!$B$10)))))</f>
        <v/>
      </c>
      <c r="Z11" s="32">
        <f>IF((MAX(0,Assumptions!$B$2*EXP(-Assumptions!$B$4*Assumptions!$B$9)*NORMSDIST(((LN(Assumptions!$B$2/$B11)+(Assumptions!$B$3-Assumptions!$B$4+(Z$3/100)^2/2)*Assumptions!$B$9)/((Z$3/100)*Assumptions!$B$10)))-$B11*EXP(-Assumptions!$B$3*Assumptions!$B$9)*NORMSDIST((((LN(Assumptions!$B$2/$B11)+(Assumptions!$B$3-Assumptions!$B$4+(Z$3/100)^2/2)*Assumptions!$B$9)/((Z$3/100)*Assumptions!$B$10))-(Z$3/100)*Assumptions!$B$10))))&lt;=0,"",(Assumptions!$B$2*EXP(-Assumptions!$B$4*Assumptions!$B$9)*NORMDIST(((LN(Assumptions!$B$2/$B11)+(Assumptions!$B$3-Assumptions!$B$4+(Z$3/100)^2/2)*Assumptions!$B$9)/((Z$3/100)*Assumptions!$B$10)),0,1,FALSE)*Assumptions!$B$10*0.01)*((Z$3/100)/0.01)/(MAX(0,Assumptions!$B$2*EXP(-Assumptions!$B$4*Assumptions!$B$9)*NORMSDIST(((LN(Assumptions!$B$2/$B11)+(Assumptions!$B$3-Assumptions!$B$4+(Z$3/100)^2/2)*Assumptions!$B$9)/((Z$3/100)*Assumptions!$B$10)))-$B11*EXP(-Assumptions!$B$3*Assumptions!$B$9)*NORMSDIST((((LN(Assumptions!$B$2/$B11)+(Assumptions!$B$3-Assumptions!$B$4+(Z$3/100)^2/2)*Assumptions!$B$9)/((Z$3/100)*Assumptions!$B$10))-(Z$3/100)*Assumptions!$B$10)))))</f>
        <v/>
      </c>
      <c r="AA11" s="32">
        <f>IF((MAX(0,Assumptions!$B$2*EXP(-Assumptions!$B$4*Assumptions!$B$9)*NORMSDIST(((LN(Assumptions!$B$2/$B11)+(Assumptions!$B$3-Assumptions!$B$4+(AA$3/100)^2/2)*Assumptions!$B$9)/((AA$3/100)*Assumptions!$B$10)))-$B11*EXP(-Assumptions!$B$3*Assumptions!$B$9)*NORMSDIST((((LN(Assumptions!$B$2/$B11)+(Assumptions!$B$3-Assumptions!$B$4+(AA$3/100)^2/2)*Assumptions!$B$9)/((AA$3/100)*Assumptions!$B$10))-(AA$3/100)*Assumptions!$B$10))))&lt;=0,"",(Assumptions!$B$2*EXP(-Assumptions!$B$4*Assumptions!$B$9)*NORMDIST(((LN(Assumptions!$B$2/$B11)+(Assumptions!$B$3-Assumptions!$B$4+(AA$3/100)^2/2)*Assumptions!$B$9)/((AA$3/100)*Assumptions!$B$10)),0,1,FALSE)*Assumptions!$B$10*0.01)*((AA$3/100)/0.01)/(MAX(0,Assumptions!$B$2*EXP(-Assumptions!$B$4*Assumptions!$B$9)*NORMSDIST(((LN(Assumptions!$B$2/$B11)+(Assumptions!$B$3-Assumptions!$B$4+(AA$3/100)^2/2)*Assumptions!$B$9)/((AA$3/100)*Assumptions!$B$10)))-$B11*EXP(-Assumptions!$B$3*Assumptions!$B$9)*NORMSDIST((((LN(Assumptions!$B$2/$B11)+(Assumptions!$B$3-Assumptions!$B$4+(AA$3/100)^2/2)*Assumptions!$B$9)/((AA$3/100)*Assumptions!$B$10))-(AA$3/100)*Assumptions!$B$10)))))</f>
        <v/>
      </c>
      <c r="AB11" s="32">
        <f>IF((MAX(0,Assumptions!$B$2*EXP(-Assumptions!$B$4*Assumptions!$B$9)*NORMSDIST(((LN(Assumptions!$B$2/$B11)+(Assumptions!$B$3-Assumptions!$B$4+(AB$3/100)^2/2)*Assumptions!$B$9)/((AB$3/100)*Assumptions!$B$10)))-$B11*EXP(-Assumptions!$B$3*Assumptions!$B$9)*NORMSDIST((((LN(Assumptions!$B$2/$B11)+(Assumptions!$B$3-Assumptions!$B$4+(AB$3/100)^2/2)*Assumptions!$B$9)/((AB$3/100)*Assumptions!$B$10))-(AB$3/100)*Assumptions!$B$10))))&lt;=0,"",(Assumptions!$B$2*EXP(-Assumptions!$B$4*Assumptions!$B$9)*NORMDIST(((LN(Assumptions!$B$2/$B11)+(Assumptions!$B$3-Assumptions!$B$4+(AB$3/100)^2/2)*Assumptions!$B$9)/((AB$3/100)*Assumptions!$B$10)),0,1,FALSE)*Assumptions!$B$10*0.01)*((AB$3/100)/0.01)/(MAX(0,Assumptions!$B$2*EXP(-Assumptions!$B$4*Assumptions!$B$9)*NORMSDIST(((LN(Assumptions!$B$2/$B11)+(Assumptions!$B$3-Assumptions!$B$4+(AB$3/100)^2/2)*Assumptions!$B$9)/((AB$3/100)*Assumptions!$B$10)))-$B11*EXP(-Assumptions!$B$3*Assumptions!$B$9)*NORMSDIST((((LN(Assumptions!$B$2/$B11)+(Assumptions!$B$3-Assumptions!$B$4+(AB$3/100)^2/2)*Assumptions!$B$9)/((AB$3/100)*Assumptions!$B$10))-(AB$3/100)*Assumptions!$B$10)))))</f>
        <v/>
      </c>
      <c r="AC11" s="32">
        <f>IF((MAX(0,Assumptions!$B$2*EXP(-Assumptions!$B$4*Assumptions!$B$9)*NORMSDIST(((LN(Assumptions!$B$2/$B11)+(Assumptions!$B$3-Assumptions!$B$4+(AC$3/100)^2/2)*Assumptions!$B$9)/((AC$3/100)*Assumptions!$B$10)))-$B11*EXP(-Assumptions!$B$3*Assumptions!$B$9)*NORMSDIST((((LN(Assumptions!$B$2/$B11)+(Assumptions!$B$3-Assumptions!$B$4+(AC$3/100)^2/2)*Assumptions!$B$9)/((AC$3/100)*Assumptions!$B$10))-(AC$3/100)*Assumptions!$B$10))))&lt;=0,"",(Assumptions!$B$2*EXP(-Assumptions!$B$4*Assumptions!$B$9)*NORMDIST(((LN(Assumptions!$B$2/$B11)+(Assumptions!$B$3-Assumptions!$B$4+(AC$3/100)^2/2)*Assumptions!$B$9)/((AC$3/100)*Assumptions!$B$10)),0,1,FALSE)*Assumptions!$B$10*0.01)*((AC$3/100)/0.01)/(MAX(0,Assumptions!$B$2*EXP(-Assumptions!$B$4*Assumptions!$B$9)*NORMSDIST(((LN(Assumptions!$B$2/$B11)+(Assumptions!$B$3-Assumptions!$B$4+(AC$3/100)^2/2)*Assumptions!$B$9)/((AC$3/100)*Assumptions!$B$10)))-$B11*EXP(-Assumptions!$B$3*Assumptions!$B$9)*NORMSDIST((((LN(Assumptions!$B$2/$B11)+(Assumptions!$B$3-Assumptions!$B$4+(AC$3/100)^2/2)*Assumptions!$B$9)/((AC$3/100)*Assumptions!$B$10))-(AC$3/100)*Assumptions!$B$10)))))</f>
        <v/>
      </c>
      <c r="AD11" s="32">
        <f>IF((MAX(0,Assumptions!$B$2*EXP(-Assumptions!$B$4*Assumptions!$B$9)*NORMSDIST(((LN(Assumptions!$B$2/$B11)+(Assumptions!$B$3-Assumptions!$B$4+(AD$3/100)^2/2)*Assumptions!$B$9)/((AD$3/100)*Assumptions!$B$10)))-$B11*EXP(-Assumptions!$B$3*Assumptions!$B$9)*NORMSDIST((((LN(Assumptions!$B$2/$B11)+(Assumptions!$B$3-Assumptions!$B$4+(AD$3/100)^2/2)*Assumptions!$B$9)/((AD$3/100)*Assumptions!$B$10))-(AD$3/100)*Assumptions!$B$10))))&lt;=0,"",(Assumptions!$B$2*EXP(-Assumptions!$B$4*Assumptions!$B$9)*NORMDIST(((LN(Assumptions!$B$2/$B11)+(Assumptions!$B$3-Assumptions!$B$4+(AD$3/100)^2/2)*Assumptions!$B$9)/((AD$3/100)*Assumptions!$B$10)),0,1,FALSE)*Assumptions!$B$10*0.01)*((AD$3/100)/0.01)/(MAX(0,Assumptions!$B$2*EXP(-Assumptions!$B$4*Assumptions!$B$9)*NORMSDIST(((LN(Assumptions!$B$2/$B11)+(Assumptions!$B$3-Assumptions!$B$4+(AD$3/100)^2/2)*Assumptions!$B$9)/((AD$3/100)*Assumptions!$B$10)))-$B11*EXP(-Assumptions!$B$3*Assumptions!$B$9)*NORMSDIST((((LN(Assumptions!$B$2/$B11)+(Assumptions!$B$3-Assumptions!$B$4+(AD$3/100)^2/2)*Assumptions!$B$9)/((AD$3/100)*Assumptions!$B$10))-(AD$3/100)*Assumptions!$B$10)))))</f>
        <v/>
      </c>
      <c r="AE11" s="32">
        <f>IF((MAX(0,Assumptions!$B$2*EXP(-Assumptions!$B$4*Assumptions!$B$9)*NORMSDIST(((LN(Assumptions!$B$2/$B11)+(Assumptions!$B$3-Assumptions!$B$4+(AE$3/100)^2/2)*Assumptions!$B$9)/((AE$3/100)*Assumptions!$B$10)))-$B11*EXP(-Assumptions!$B$3*Assumptions!$B$9)*NORMSDIST((((LN(Assumptions!$B$2/$B11)+(Assumptions!$B$3-Assumptions!$B$4+(AE$3/100)^2/2)*Assumptions!$B$9)/((AE$3/100)*Assumptions!$B$10))-(AE$3/100)*Assumptions!$B$10))))&lt;=0,"",(Assumptions!$B$2*EXP(-Assumptions!$B$4*Assumptions!$B$9)*NORMDIST(((LN(Assumptions!$B$2/$B11)+(Assumptions!$B$3-Assumptions!$B$4+(AE$3/100)^2/2)*Assumptions!$B$9)/((AE$3/100)*Assumptions!$B$10)),0,1,FALSE)*Assumptions!$B$10*0.01)*((AE$3/100)/0.01)/(MAX(0,Assumptions!$B$2*EXP(-Assumptions!$B$4*Assumptions!$B$9)*NORMSDIST(((LN(Assumptions!$B$2/$B11)+(Assumptions!$B$3-Assumptions!$B$4+(AE$3/100)^2/2)*Assumptions!$B$9)/((AE$3/100)*Assumptions!$B$10)))-$B11*EXP(-Assumptions!$B$3*Assumptions!$B$9)*NORMSDIST((((LN(Assumptions!$B$2/$B11)+(Assumptions!$B$3-Assumptions!$B$4+(AE$3/100)^2/2)*Assumptions!$B$9)/((AE$3/100)*Assumptions!$B$10))-(AE$3/100)*Assumptions!$B$10)))))</f>
        <v/>
      </c>
      <c r="AF11" s="32">
        <f>IF((MAX(0,Assumptions!$B$2*EXP(-Assumptions!$B$4*Assumptions!$B$9)*NORMSDIST(((LN(Assumptions!$B$2/$B11)+(Assumptions!$B$3-Assumptions!$B$4+(AF$3/100)^2/2)*Assumptions!$B$9)/((AF$3/100)*Assumptions!$B$10)))-$B11*EXP(-Assumptions!$B$3*Assumptions!$B$9)*NORMSDIST((((LN(Assumptions!$B$2/$B11)+(Assumptions!$B$3-Assumptions!$B$4+(AF$3/100)^2/2)*Assumptions!$B$9)/((AF$3/100)*Assumptions!$B$10))-(AF$3/100)*Assumptions!$B$10))))&lt;=0,"",(Assumptions!$B$2*EXP(-Assumptions!$B$4*Assumptions!$B$9)*NORMDIST(((LN(Assumptions!$B$2/$B11)+(Assumptions!$B$3-Assumptions!$B$4+(AF$3/100)^2/2)*Assumptions!$B$9)/((AF$3/100)*Assumptions!$B$10)),0,1,FALSE)*Assumptions!$B$10*0.01)*((AF$3/100)/0.01)/(MAX(0,Assumptions!$B$2*EXP(-Assumptions!$B$4*Assumptions!$B$9)*NORMSDIST(((LN(Assumptions!$B$2/$B11)+(Assumptions!$B$3-Assumptions!$B$4+(AF$3/100)^2/2)*Assumptions!$B$9)/((AF$3/100)*Assumptions!$B$10)))-$B11*EXP(-Assumptions!$B$3*Assumptions!$B$9)*NORMSDIST((((LN(Assumptions!$B$2/$B11)+(Assumptions!$B$3-Assumptions!$B$4+(AF$3/100)^2/2)*Assumptions!$B$9)/((AF$3/100)*Assumptions!$B$10))-(AF$3/100)*Assumptions!$B$10)))))</f>
        <v/>
      </c>
      <c r="AG11" s="32">
        <f>IF((MAX(0,Assumptions!$B$2*EXP(-Assumptions!$B$4*Assumptions!$B$9)*NORMSDIST(((LN(Assumptions!$B$2/$B11)+(Assumptions!$B$3-Assumptions!$B$4+(AG$3/100)^2/2)*Assumptions!$B$9)/((AG$3/100)*Assumptions!$B$10)))-$B11*EXP(-Assumptions!$B$3*Assumptions!$B$9)*NORMSDIST((((LN(Assumptions!$B$2/$B11)+(Assumptions!$B$3-Assumptions!$B$4+(AG$3/100)^2/2)*Assumptions!$B$9)/((AG$3/100)*Assumptions!$B$10))-(AG$3/100)*Assumptions!$B$10))))&lt;=0,"",(Assumptions!$B$2*EXP(-Assumptions!$B$4*Assumptions!$B$9)*NORMDIST(((LN(Assumptions!$B$2/$B11)+(Assumptions!$B$3-Assumptions!$B$4+(AG$3/100)^2/2)*Assumptions!$B$9)/((AG$3/100)*Assumptions!$B$10)),0,1,FALSE)*Assumptions!$B$10*0.01)*((AG$3/100)/0.01)/(MAX(0,Assumptions!$B$2*EXP(-Assumptions!$B$4*Assumptions!$B$9)*NORMSDIST(((LN(Assumptions!$B$2/$B11)+(Assumptions!$B$3-Assumptions!$B$4+(AG$3/100)^2/2)*Assumptions!$B$9)/((AG$3/100)*Assumptions!$B$10)))-$B11*EXP(-Assumptions!$B$3*Assumptions!$B$9)*NORMSDIST((((LN(Assumptions!$B$2/$B11)+(Assumptions!$B$3-Assumptions!$B$4+(AG$3/100)^2/2)*Assumptions!$B$9)/((AG$3/100)*Assumptions!$B$10))-(AG$3/100)*Assumptions!$B$10)))))</f>
        <v/>
      </c>
      <c r="AH11" s="32">
        <f>IF((MAX(0,Assumptions!$B$2*EXP(-Assumptions!$B$4*Assumptions!$B$9)*NORMSDIST(((LN(Assumptions!$B$2/$B11)+(Assumptions!$B$3-Assumptions!$B$4+(AH$3/100)^2/2)*Assumptions!$B$9)/((AH$3/100)*Assumptions!$B$10)))-$B11*EXP(-Assumptions!$B$3*Assumptions!$B$9)*NORMSDIST((((LN(Assumptions!$B$2/$B11)+(Assumptions!$B$3-Assumptions!$B$4+(AH$3/100)^2/2)*Assumptions!$B$9)/((AH$3/100)*Assumptions!$B$10))-(AH$3/100)*Assumptions!$B$10))))&lt;=0,"",(Assumptions!$B$2*EXP(-Assumptions!$B$4*Assumptions!$B$9)*NORMDIST(((LN(Assumptions!$B$2/$B11)+(Assumptions!$B$3-Assumptions!$B$4+(AH$3/100)^2/2)*Assumptions!$B$9)/((AH$3/100)*Assumptions!$B$10)),0,1,FALSE)*Assumptions!$B$10*0.01)*((AH$3/100)/0.01)/(MAX(0,Assumptions!$B$2*EXP(-Assumptions!$B$4*Assumptions!$B$9)*NORMSDIST(((LN(Assumptions!$B$2/$B11)+(Assumptions!$B$3-Assumptions!$B$4+(AH$3/100)^2/2)*Assumptions!$B$9)/((AH$3/100)*Assumptions!$B$10)))-$B11*EXP(-Assumptions!$B$3*Assumptions!$B$9)*NORMSDIST((((LN(Assumptions!$B$2/$B11)+(Assumptions!$B$3-Assumptions!$B$4+(AH$3/100)^2/2)*Assumptions!$B$9)/((AH$3/100)*Assumptions!$B$10))-(AH$3/100)*Assumptions!$B$10)))))</f>
        <v/>
      </c>
      <c r="AI11" s="32">
        <f>IF((MAX(0,Assumptions!$B$2*EXP(-Assumptions!$B$4*Assumptions!$B$9)*NORMSDIST(((LN(Assumptions!$B$2/$B11)+(Assumptions!$B$3-Assumptions!$B$4+(AI$3/100)^2/2)*Assumptions!$B$9)/((AI$3/100)*Assumptions!$B$10)))-$B11*EXP(-Assumptions!$B$3*Assumptions!$B$9)*NORMSDIST((((LN(Assumptions!$B$2/$B11)+(Assumptions!$B$3-Assumptions!$B$4+(AI$3/100)^2/2)*Assumptions!$B$9)/((AI$3/100)*Assumptions!$B$10))-(AI$3/100)*Assumptions!$B$10))))&lt;=0,"",(Assumptions!$B$2*EXP(-Assumptions!$B$4*Assumptions!$B$9)*NORMDIST(((LN(Assumptions!$B$2/$B11)+(Assumptions!$B$3-Assumptions!$B$4+(AI$3/100)^2/2)*Assumptions!$B$9)/((AI$3/100)*Assumptions!$B$10)),0,1,FALSE)*Assumptions!$B$10*0.01)*((AI$3/100)/0.01)/(MAX(0,Assumptions!$B$2*EXP(-Assumptions!$B$4*Assumptions!$B$9)*NORMSDIST(((LN(Assumptions!$B$2/$B11)+(Assumptions!$B$3-Assumptions!$B$4+(AI$3/100)^2/2)*Assumptions!$B$9)/((AI$3/100)*Assumptions!$B$10)))-$B11*EXP(-Assumptions!$B$3*Assumptions!$B$9)*NORMSDIST((((LN(Assumptions!$B$2/$B11)+(Assumptions!$B$3-Assumptions!$B$4+(AI$3/100)^2/2)*Assumptions!$B$9)/((AI$3/100)*Assumptions!$B$10))-(AI$3/100)*Assumptions!$B$10)))))</f>
        <v/>
      </c>
      <c r="AJ11" s="32">
        <f>IF((MAX(0,Assumptions!$B$2*EXP(-Assumptions!$B$4*Assumptions!$B$9)*NORMSDIST(((LN(Assumptions!$B$2/$B11)+(Assumptions!$B$3-Assumptions!$B$4+(AJ$3/100)^2/2)*Assumptions!$B$9)/((AJ$3/100)*Assumptions!$B$10)))-$B11*EXP(-Assumptions!$B$3*Assumptions!$B$9)*NORMSDIST((((LN(Assumptions!$B$2/$B11)+(Assumptions!$B$3-Assumptions!$B$4+(AJ$3/100)^2/2)*Assumptions!$B$9)/((AJ$3/100)*Assumptions!$B$10))-(AJ$3/100)*Assumptions!$B$10))))&lt;=0,"",(Assumptions!$B$2*EXP(-Assumptions!$B$4*Assumptions!$B$9)*NORMDIST(((LN(Assumptions!$B$2/$B11)+(Assumptions!$B$3-Assumptions!$B$4+(AJ$3/100)^2/2)*Assumptions!$B$9)/((AJ$3/100)*Assumptions!$B$10)),0,1,FALSE)*Assumptions!$B$10*0.01)*((AJ$3/100)/0.01)/(MAX(0,Assumptions!$B$2*EXP(-Assumptions!$B$4*Assumptions!$B$9)*NORMSDIST(((LN(Assumptions!$B$2/$B11)+(Assumptions!$B$3-Assumptions!$B$4+(AJ$3/100)^2/2)*Assumptions!$B$9)/((AJ$3/100)*Assumptions!$B$10)))-$B11*EXP(-Assumptions!$B$3*Assumptions!$B$9)*NORMSDIST((((LN(Assumptions!$B$2/$B11)+(Assumptions!$B$3-Assumptions!$B$4+(AJ$3/100)^2/2)*Assumptions!$B$9)/((AJ$3/100)*Assumptions!$B$10))-(AJ$3/100)*Assumptions!$B$10)))))</f>
        <v/>
      </c>
      <c r="AK11" s="32">
        <f>IF((MAX(0,Assumptions!$B$2*EXP(-Assumptions!$B$4*Assumptions!$B$9)*NORMSDIST(((LN(Assumptions!$B$2/$B11)+(Assumptions!$B$3-Assumptions!$B$4+(AK$3/100)^2/2)*Assumptions!$B$9)/((AK$3/100)*Assumptions!$B$10)))-$B11*EXP(-Assumptions!$B$3*Assumptions!$B$9)*NORMSDIST((((LN(Assumptions!$B$2/$B11)+(Assumptions!$B$3-Assumptions!$B$4+(AK$3/100)^2/2)*Assumptions!$B$9)/((AK$3/100)*Assumptions!$B$10))-(AK$3/100)*Assumptions!$B$10))))&lt;=0,"",(Assumptions!$B$2*EXP(-Assumptions!$B$4*Assumptions!$B$9)*NORMDIST(((LN(Assumptions!$B$2/$B11)+(Assumptions!$B$3-Assumptions!$B$4+(AK$3/100)^2/2)*Assumptions!$B$9)/((AK$3/100)*Assumptions!$B$10)),0,1,FALSE)*Assumptions!$B$10*0.01)*((AK$3/100)/0.01)/(MAX(0,Assumptions!$B$2*EXP(-Assumptions!$B$4*Assumptions!$B$9)*NORMSDIST(((LN(Assumptions!$B$2/$B11)+(Assumptions!$B$3-Assumptions!$B$4+(AK$3/100)^2/2)*Assumptions!$B$9)/((AK$3/100)*Assumptions!$B$10)))-$B11*EXP(-Assumptions!$B$3*Assumptions!$B$9)*NORMSDIST((((LN(Assumptions!$B$2/$B11)+(Assumptions!$B$3-Assumptions!$B$4+(AK$3/100)^2/2)*Assumptions!$B$9)/((AK$3/100)*Assumptions!$B$10))-(AK$3/100)*Assumptions!$B$10)))))</f>
        <v/>
      </c>
      <c r="AL11" s="32">
        <f>IF((MAX(0,Assumptions!$B$2*EXP(-Assumptions!$B$4*Assumptions!$B$9)*NORMSDIST(((LN(Assumptions!$B$2/$B11)+(Assumptions!$B$3-Assumptions!$B$4+(AL$3/100)^2/2)*Assumptions!$B$9)/((AL$3/100)*Assumptions!$B$10)))-$B11*EXP(-Assumptions!$B$3*Assumptions!$B$9)*NORMSDIST((((LN(Assumptions!$B$2/$B11)+(Assumptions!$B$3-Assumptions!$B$4+(AL$3/100)^2/2)*Assumptions!$B$9)/((AL$3/100)*Assumptions!$B$10))-(AL$3/100)*Assumptions!$B$10))))&lt;=0,"",(Assumptions!$B$2*EXP(-Assumptions!$B$4*Assumptions!$B$9)*NORMDIST(((LN(Assumptions!$B$2/$B11)+(Assumptions!$B$3-Assumptions!$B$4+(AL$3/100)^2/2)*Assumptions!$B$9)/((AL$3/100)*Assumptions!$B$10)),0,1,FALSE)*Assumptions!$B$10*0.01)*((AL$3/100)/0.01)/(MAX(0,Assumptions!$B$2*EXP(-Assumptions!$B$4*Assumptions!$B$9)*NORMSDIST(((LN(Assumptions!$B$2/$B11)+(Assumptions!$B$3-Assumptions!$B$4+(AL$3/100)^2/2)*Assumptions!$B$9)/((AL$3/100)*Assumptions!$B$10)))-$B11*EXP(-Assumptions!$B$3*Assumptions!$B$9)*NORMSDIST((((LN(Assumptions!$B$2/$B11)+(Assumptions!$B$3-Assumptions!$B$4+(AL$3/100)^2/2)*Assumptions!$B$9)/((AL$3/100)*Assumptions!$B$10))-(AL$3/100)*Assumptions!$B$10)))))</f>
        <v/>
      </c>
      <c r="AM11" s="32">
        <f>IF((MAX(0,Assumptions!$B$2*EXP(-Assumptions!$B$4*Assumptions!$B$9)*NORMSDIST(((LN(Assumptions!$B$2/$B11)+(Assumptions!$B$3-Assumptions!$B$4+(AM$3/100)^2/2)*Assumptions!$B$9)/((AM$3/100)*Assumptions!$B$10)))-$B11*EXP(-Assumptions!$B$3*Assumptions!$B$9)*NORMSDIST((((LN(Assumptions!$B$2/$B11)+(Assumptions!$B$3-Assumptions!$B$4+(AM$3/100)^2/2)*Assumptions!$B$9)/((AM$3/100)*Assumptions!$B$10))-(AM$3/100)*Assumptions!$B$10))))&lt;=0,"",(Assumptions!$B$2*EXP(-Assumptions!$B$4*Assumptions!$B$9)*NORMDIST(((LN(Assumptions!$B$2/$B11)+(Assumptions!$B$3-Assumptions!$B$4+(AM$3/100)^2/2)*Assumptions!$B$9)/((AM$3/100)*Assumptions!$B$10)),0,1,FALSE)*Assumptions!$B$10*0.01)*((AM$3/100)/0.01)/(MAX(0,Assumptions!$B$2*EXP(-Assumptions!$B$4*Assumptions!$B$9)*NORMSDIST(((LN(Assumptions!$B$2/$B11)+(Assumptions!$B$3-Assumptions!$B$4+(AM$3/100)^2/2)*Assumptions!$B$9)/((AM$3/100)*Assumptions!$B$10)))-$B11*EXP(-Assumptions!$B$3*Assumptions!$B$9)*NORMSDIST((((LN(Assumptions!$B$2/$B11)+(Assumptions!$B$3-Assumptions!$B$4+(AM$3/100)^2/2)*Assumptions!$B$9)/((AM$3/100)*Assumptions!$B$10))-(AM$3/100)*Assumptions!$B$10)))))</f>
        <v/>
      </c>
      <c r="AN11" s="32">
        <f>IF((MAX(0,Assumptions!$B$2*EXP(-Assumptions!$B$4*Assumptions!$B$9)*NORMSDIST(((LN(Assumptions!$B$2/$B11)+(Assumptions!$B$3-Assumptions!$B$4+(AN$3/100)^2/2)*Assumptions!$B$9)/((AN$3/100)*Assumptions!$B$10)))-$B11*EXP(-Assumptions!$B$3*Assumptions!$B$9)*NORMSDIST((((LN(Assumptions!$B$2/$B11)+(Assumptions!$B$3-Assumptions!$B$4+(AN$3/100)^2/2)*Assumptions!$B$9)/((AN$3/100)*Assumptions!$B$10))-(AN$3/100)*Assumptions!$B$10))))&lt;=0,"",(Assumptions!$B$2*EXP(-Assumptions!$B$4*Assumptions!$B$9)*NORMDIST(((LN(Assumptions!$B$2/$B11)+(Assumptions!$B$3-Assumptions!$B$4+(AN$3/100)^2/2)*Assumptions!$B$9)/((AN$3/100)*Assumptions!$B$10)),0,1,FALSE)*Assumptions!$B$10*0.01)*((AN$3/100)/0.01)/(MAX(0,Assumptions!$B$2*EXP(-Assumptions!$B$4*Assumptions!$B$9)*NORMSDIST(((LN(Assumptions!$B$2/$B11)+(Assumptions!$B$3-Assumptions!$B$4+(AN$3/100)^2/2)*Assumptions!$B$9)/((AN$3/100)*Assumptions!$B$10)))-$B11*EXP(-Assumptions!$B$3*Assumptions!$B$9)*NORMSDIST((((LN(Assumptions!$B$2/$B11)+(Assumptions!$B$3-Assumptions!$B$4+(AN$3/100)^2/2)*Assumptions!$B$9)/((AN$3/100)*Assumptions!$B$10))-(AN$3/100)*Assumptions!$B$10)))))</f>
        <v/>
      </c>
      <c r="AO11" s="32">
        <f>IF((MAX(0,Assumptions!$B$2*EXP(-Assumptions!$B$4*Assumptions!$B$9)*NORMSDIST(((LN(Assumptions!$B$2/$B11)+(Assumptions!$B$3-Assumptions!$B$4+(AO$3/100)^2/2)*Assumptions!$B$9)/((AO$3/100)*Assumptions!$B$10)))-$B11*EXP(-Assumptions!$B$3*Assumptions!$B$9)*NORMSDIST((((LN(Assumptions!$B$2/$B11)+(Assumptions!$B$3-Assumptions!$B$4+(AO$3/100)^2/2)*Assumptions!$B$9)/((AO$3/100)*Assumptions!$B$10))-(AO$3/100)*Assumptions!$B$10))))&lt;=0,"",(Assumptions!$B$2*EXP(-Assumptions!$B$4*Assumptions!$B$9)*NORMDIST(((LN(Assumptions!$B$2/$B11)+(Assumptions!$B$3-Assumptions!$B$4+(AO$3/100)^2/2)*Assumptions!$B$9)/((AO$3/100)*Assumptions!$B$10)),0,1,FALSE)*Assumptions!$B$10*0.01)*((AO$3/100)/0.01)/(MAX(0,Assumptions!$B$2*EXP(-Assumptions!$B$4*Assumptions!$B$9)*NORMSDIST(((LN(Assumptions!$B$2/$B11)+(Assumptions!$B$3-Assumptions!$B$4+(AO$3/100)^2/2)*Assumptions!$B$9)/((AO$3/100)*Assumptions!$B$10)))-$B11*EXP(-Assumptions!$B$3*Assumptions!$B$9)*NORMSDIST((((LN(Assumptions!$B$2/$B11)+(Assumptions!$B$3-Assumptions!$B$4+(AO$3/100)^2/2)*Assumptions!$B$9)/((AO$3/100)*Assumptions!$B$10))-(AO$3/100)*Assumptions!$B$10)))))</f>
        <v/>
      </c>
      <c r="AP11" s="32">
        <f>IF((MAX(0,Assumptions!$B$2*EXP(-Assumptions!$B$4*Assumptions!$B$9)*NORMSDIST(((LN(Assumptions!$B$2/$B11)+(Assumptions!$B$3-Assumptions!$B$4+(AP$3/100)^2/2)*Assumptions!$B$9)/((AP$3/100)*Assumptions!$B$10)))-$B11*EXP(-Assumptions!$B$3*Assumptions!$B$9)*NORMSDIST((((LN(Assumptions!$B$2/$B11)+(Assumptions!$B$3-Assumptions!$B$4+(AP$3/100)^2/2)*Assumptions!$B$9)/((AP$3/100)*Assumptions!$B$10))-(AP$3/100)*Assumptions!$B$10))))&lt;=0,"",(Assumptions!$B$2*EXP(-Assumptions!$B$4*Assumptions!$B$9)*NORMDIST(((LN(Assumptions!$B$2/$B11)+(Assumptions!$B$3-Assumptions!$B$4+(AP$3/100)^2/2)*Assumptions!$B$9)/((AP$3/100)*Assumptions!$B$10)),0,1,FALSE)*Assumptions!$B$10*0.01)*((AP$3/100)/0.01)/(MAX(0,Assumptions!$B$2*EXP(-Assumptions!$B$4*Assumptions!$B$9)*NORMSDIST(((LN(Assumptions!$B$2/$B11)+(Assumptions!$B$3-Assumptions!$B$4+(AP$3/100)^2/2)*Assumptions!$B$9)/((AP$3/100)*Assumptions!$B$10)))-$B11*EXP(-Assumptions!$B$3*Assumptions!$B$9)*NORMSDIST((((LN(Assumptions!$B$2/$B11)+(Assumptions!$B$3-Assumptions!$B$4+(AP$3/100)^2/2)*Assumptions!$B$9)/((AP$3/100)*Assumptions!$B$10))-(AP$3/100)*Assumptions!$B$10)))))</f>
        <v/>
      </c>
      <c r="AQ11" s="32">
        <f>IF((MAX(0,Assumptions!$B$2*EXP(-Assumptions!$B$4*Assumptions!$B$9)*NORMSDIST(((LN(Assumptions!$B$2/$B11)+(Assumptions!$B$3-Assumptions!$B$4+(AQ$3/100)^2/2)*Assumptions!$B$9)/((AQ$3/100)*Assumptions!$B$10)))-$B11*EXP(-Assumptions!$B$3*Assumptions!$B$9)*NORMSDIST((((LN(Assumptions!$B$2/$B11)+(Assumptions!$B$3-Assumptions!$B$4+(AQ$3/100)^2/2)*Assumptions!$B$9)/((AQ$3/100)*Assumptions!$B$10))-(AQ$3/100)*Assumptions!$B$10))))&lt;=0,"",(Assumptions!$B$2*EXP(-Assumptions!$B$4*Assumptions!$B$9)*NORMDIST(((LN(Assumptions!$B$2/$B11)+(Assumptions!$B$3-Assumptions!$B$4+(AQ$3/100)^2/2)*Assumptions!$B$9)/((AQ$3/100)*Assumptions!$B$10)),0,1,FALSE)*Assumptions!$B$10*0.01)*((AQ$3/100)/0.01)/(MAX(0,Assumptions!$B$2*EXP(-Assumptions!$B$4*Assumptions!$B$9)*NORMSDIST(((LN(Assumptions!$B$2/$B11)+(Assumptions!$B$3-Assumptions!$B$4+(AQ$3/100)^2/2)*Assumptions!$B$9)/((AQ$3/100)*Assumptions!$B$10)))-$B11*EXP(-Assumptions!$B$3*Assumptions!$B$9)*NORMSDIST((((LN(Assumptions!$B$2/$B11)+(Assumptions!$B$3-Assumptions!$B$4+(AQ$3/100)^2/2)*Assumptions!$B$9)/((AQ$3/100)*Assumptions!$B$10))-(AQ$3/100)*Assumptions!$B$10)))))</f>
        <v/>
      </c>
      <c r="AR11" s="32">
        <f>IF((MAX(0,Assumptions!$B$2*EXP(-Assumptions!$B$4*Assumptions!$B$9)*NORMSDIST(((LN(Assumptions!$B$2/$B11)+(Assumptions!$B$3-Assumptions!$B$4+(AR$3/100)^2/2)*Assumptions!$B$9)/((AR$3/100)*Assumptions!$B$10)))-$B11*EXP(-Assumptions!$B$3*Assumptions!$B$9)*NORMSDIST((((LN(Assumptions!$B$2/$B11)+(Assumptions!$B$3-Assumptions!$B$4+(AR$3/100)^2/2)*Assumptions!$B$9)/((AR$3/100)*Assumptions!$B$10))-(AR$3/100)*Assumptions!$B$10))))&lt;=0,"",(Assumptions!$B$2*EXP(-Assumptions!$B$4*Assumptions!$B$9)*NORMDIST(((LN(Assumptions!$B$2/$B11)+(Assumptions!$B$3-Assumptions!$B$4+(AR$3/100)^2/2)*Assumptions!$B$9)/((AR$3/100)*Assumptions!$B$10)),0,1,FALSE)*Assumptions!$B$10*0.01)*((AR$3/100)/0.01)/(MAX(0,Assumptions!$B$2*EXP(-Assumptions!$B$4*Assumptions!$B$9)*NORMSDIST(((LN(Assumptions!$B$2/$B11)+(Assumptions!$B$3-Assumptions!$B$4+(AR$3/100)^2/2)*Assumptions!$B$9)/((AR$3/100)*Assumptions!$B$10)))-$B11*EXP(-Assumptions!$B$3*Assumptions!$B$9)*NORMSDIST((((LN(Assumptions!$B$2/$B11)+(Assumptions!$B$3-Assumptions!$B$4+(AR$3/100)^2/2)*Assumptions!$B$9)/((AR$3/100)*Assumptions!$B$10))-(AR$3/100)*Assumptions!$B$10)))))</f>
        <v/>
      </c>
      <c r="AS11" s="32">
        <f>IF((MAX(0,Assumptions!$B$2*EXP(-Assumptions!$B$4*Assumptions!$B$9)*NORMSDIST(((LN(Assumptions!$B$2/$B11)+(Assumptions!$B$3-Assumptions!$B$4+(AS$3/100)^2/2)*Assumptions!$B$9)/((AS$3/100)*Assumptions!$B$10)))-$B11*EXP(-Assumptions!$B$3*Assumptions!$B$9)*NORMSDIST((((LN(Assumptions!$B$2/$B11)+(Assumptions!$B$3-Assumptions!$B$4+(AS$3/100)^2/2)*Assumptions!$B$9)/((AS$3/100)*Assumptions!$B$10))-(AS$3/100)*Assumptions!$B$10))))&lt;=0,"",(Assumptions!$B$2*EXP(-Assumptions!$B$4*Assumptions!$B$9)*NORMDIST(((LN(Assumptions!$B$2/$B11)+(Assumptions!$B$3-Assumptions!$B$4+(AS$3/100)^2/2)*Assumptions!$B$9)/((AS$3/100)*Assumptions!$B$10)),0,1,FALSE)*Assumptions!$B$10*0.01)*((AS$3/100)/0.01)/(MAX(0,Assumptions!$B$2*EXP(-Assumptions!$B$4*Assumptions!$B$9)*NORMSDIST(((LN(Assumptions!$B$2/$B11)+(Assumptions!$B$3-Assumptions!$B$4+(AS$3/100)^2/2)*Assumptions!$B$9)/((AS$3/100)*Assumptions!$B$10)))-$B11*EXP(-Assumptions!$B$3*Assumptions!$B$9)*NORMSDIST((((LN(Assumptions!$B$2/$B11)+(Assumptions!$B$3-Assumptions!$B$4+(AS$3/100)^2/2)*Assumptions!$B$9)/((AS$3/100)*Assumptions!$B$10))-(AS$3/100)*Assumptions!$B$10)))))</f>
        <v/>
      </c>
      <c r="AT11" s="32">
        <f>IF((MAX(0,Assumptions!$B$2*EXP(-Assumptions!$B$4*Assumptions!$B$9)*NORMSDIST(((LN(Assumptions!$B$2/$B11)+(Assumptions!$B$3-Assumptions!$B$4+(AT$3/100)^2/2)*Assumptions!$B$9)/((AT$3/100)*Assumptions!$B$10)))-$B11*EXP(-Assumptions!$B$3*Assumptions!$B$9)*NORMSDIST((((LN(Assumptions!$B$2/$B11)+(Assumptions!$B$3-Assumptions!$B$4+(AT$3/100)^2/2)*Assumptions!$B$9)/((AT$3/100)*Assumptions!$B$10))-(AT$3/100)*Assumptions!$B$10))))&lt;=0,"",(Assumptions!$B$2*EXP(-Assumptions!$B$4*Assumptions!$B$9)*NORMDIST(((LN(Assumptions!$B$2/$B11)+(Assumptions!$B$3-Assumptions!$B$4+(AT$3/100)^2/2)*Assumptions!$B$9)/((AT$3/100)*Assumptions!$B$10)),0,1,FALSE)*Assumptions!$B$10*0.01)*((AT$3/100)/0.01)/(MAX(0,Assumptions!$B$2*EXP(-Assumptions!$B$4*Assumptions!$B$9)*NORMSDIST(((LN(Assumptions!$B$2/$B11)+(Assumptions!$B$3-Assumptions!$B$4+(AT$3/100)^2/2)*Assumptions!$B$9)/((AT$3/100)*Assumptions!$B$10)))-$B11*EXP(-Assumptions!$B$3*Assumptions!$B$9)*NORMSDIST((((LN(Assumptions!$B$2/$B11)+(Assumptions!$B$3-Assumptions!$B$4+(AT$3/100)^2/2)*Assumptions!$B$9)/((AT$3/100)*Assumptions!$B$10))-(AT$3/100)*Assumptions!$B$10)))))</f>
        <v/>
      </c>
      <c r="AU11" s="32">
        <f>IF((MAX(0,Assumptions!$B$2*EXP(-Assumptions!$B$4*Assumptions!$B$9)*NORMSDIST(((LN(Assumptions!$B$2/$B11)+(Assumptions!$B$3-Assumptions!$B$4+(AU$3/100)^2/2)*Assumptions!$B$9)/((AU$3/100)*Assumptions!$B$10)))-$B11*EXP(-Assumptions!$B$3*Assumptions!$B$9)*NORMSDIST((((LN(Assumptions!$B$2/$B11)+(Assumptions!$B$3-Assumptions!$B$4+(AU$3/100)^2/2)*Assumptions!$B$9)/((AU$3/100)*Assumptions!$B$10))-(AU$3/100)*Assumptions!$B$10))))&lt;=0,"",(Assumptions!$B$2*EXP(-Assumptions!$B$4*Assumptions!$B$9)*NORMDIST(((LN(Assumptions!$B$2/$B11)+(Assumptions!$B$3-Assumptions!$B$4+(AU$3/100)^2/2)*Assumptions!$B$9)/((AU$3/100)*Assumptions!$B$10)),0,1,FALSE)*Assumptions!$B$10*0.01)*((AU$3/100)/0.01)/(MAX(0,Assumptions!$B$2*EXP(-Assumptions!$B$4*Assumptions!$B$9)*NORMSDIST(((LN(Assumptions!$B$2/$B11)+(Assumptions!$B$3-Assumptions!$B$4+(AU$3/100)^2/2)*Assumptions!$B$9)/((AU$3/100)*Assumptions!$B$10)))-$B11*EXP(-Assumptions!$B$3*Assumptions!$B$9)*NORMSDIST((((LN(Assumptions!$B$2/$B11)+(Assumptions!$B$3-Assumptions!$B$4+(AU$3/100)^2/2)*Assumptions!$B$9)/((AU$3/100)*Assumptions!$B$10))-(AU$3/100)*Assumptions!$B$10)))))</f>
        <v/>
      </c>
      <c r="AV11" s="32">
        <f>IF((MAX(0,Assumptions!$B$2*EXP(-Assumptions!$B$4*Assumptions!$B$9)*NORMSDIST(((LN(Assumptions!$B$2/$B11)+(Assumptions!$B$3-Assumptions!$B$4+(AV$3/100)^2/2)*Assumptions!$B$9)/((AV$3/100)*Assumptions!$B$10)))-$B11*EXP(-Assumptions!$B$3*Assumptions!$B$9)*NORMSDIST((((LN(Assumptions!$B$2/$B11)+(Assumptions!$B$3-Assumptions!$B$4+(AV$3/100)^2/2)*Assumptions!$B$9)/((AV$3/100)*Assumptions!$B$10))-(AV$3/100)*Assumptions!$B$10))))&lt;=0,"",(Assumptions!$B$2*EXP(-Assumptions!$B$4*Assumptions!$B$9)*NORMDIST(((LN(Assumptions!$B$2/$B11)+(Assumptions!$B$3-Assumptions!$B$4+(AV$3/100)^2/2)*Assumptions!$B$9)/((AV$3/100)*Assumptions!$B$10)),0,1,FALSE)*Assumptions!$B$10*0.01)*((AV$3/100)/0.01)/(MAX(0,Assumptions!$B$2*EXP(-Assumptions!$B$4*Assumptions!$B$9)*NORMSDIST(((LN(Assumptions!$B$2/$B11)+(Assumptions!$B$3-Assumptions!$B$4+(AV$3/100)^2/2)*Assumptions!$B$9)/((AV$3/100)*Assumptions!$B$10)))-$B11*EXP(-Assumptions!$B$3*Assumptions!$B$9)*NORMSDIST((((LN(Assumptions!$B$2/$B11)+(Assumptions!$B$3-Assumptions!$B$4+(AV$3/100)^2/2)*Assumptions!$B$9)/((AV$3/100)*Assumptions!$B$10))-(AV$3/100)*Assumptions!$B$10)))))</f>
        <v/>
      </c>
    </row>
    <row r="12">
      <c r="A12" s="27" t="inlineStr">
        <is>
          <t>ATM</t>
        </is>
      </c>
      <c r="B12" s="47">
        <f>'BS Engine'!$B$10</f>
        <v/>
      </c>
      <c r="C12" s="28">
        <f>'BS Engine'!$C$10</f>
        <v/>
      </c>
      <c r="D12" s="54">
        <f>IF((MAX(0,Assumptions!$B$2*EXP(-Assumptions!$B$4*Assumptions!$B$9)*NORMSDIST(((LN(Assumptions!$B$2/$B12)+(Assumptions!$B$3-Assumptions!$B$4+(D$3/100)^2/2)*Assumptions!$B$9)/((D$3/100)*Assumptions!$B$10)))-$B12*EXP(-Assumptions!$B$3*Assumptions!$B$9)*NORMSDIST((((LN(Assumptions!$B$2/$B12)+(Assumptions!$B$3-Assumptions!$B$4+(D$3/100)^2/2)*Assumptions!$B$9)/((D$3/100)*Assumptions!$B$10))-(D$3/100)*Assumptions!$B$10))))&lt;=0,"",(Assumptions!$B$2*EXP(-Assumptions!$B$4*Assumptions!$B$9)*NORMDIST(((LN(Assumptions!$B$2/$B12)+(Assumptions!$B$3-Assumptions!$B$4+(D$3/100)^2/2)*Assumptions!$B$9)/((D$3/100)*Assumptions!$B$10)),0,1,FALSE)*Assumptions!$B$10*0.01)*((D$3/100)/0.01)/(MAX(0,Assumptions!$B$2*EXP(-Assumptions!$B$4*Assumptions!$B$9)*NORMSDIST(((LN(Assumptions!$B$2/$B12)+(Assumptions!$B$3-Assumptions!$B$4+(D$3/100)^2/2)*Assumptions!$B$9)/((D$3/100)*Assumptions!$B$10)))-$B12*EXP(-Assumptions!$B$3*Assumptions!$B$9)*NORMSDIST((((LN(Assumptions!$B$2/$B12)+(Assumptions!$B$3-Assumptions!$B$4+(D$3/100)^2/2)*Assumptions!$B$9)/((D$3/100)*Assumptions!$B$10))-(D$3/100)*Assumptions!$B$10)))))</f>
        <v/>
      </c>
      <c r="E12" s="32">
        <f>IF((MAX(0,Assumptions!$B$2*EXP(-Assumptions!$B$4*Assumptions!$B$9)*NORMSDIST(((LN(Assumptions!$B$2/$B12)+(Assumptions!$B$3-Assumptions!$B$4+(E$3/100)^2/2)*Assumptions!$B$9)/((E$3/100)*Assumptions!$B$10)))-$B12*EXP(-Assumptions!$B$3*Assumptions!$B$9)*NORMSDIST((((LN(Assumptions!$B$2/$B12)+(Assumptions!$B$3-Assumptions!$B$4+(E$3/100)^2/2)*Assumptions!$B$9)/((E$3/100)*Assumptions!$B$10))-(E$3/100)*Assumptions!$B$10))))&lt;=0,"",(Assumptions!$B$2*EXP(-Assumptions!$B$4*Assumptions!$B$9)*NORMDIST(((LN(Assumptions!$B$2/$B12)+(Assumptions!$B$3-Assumptions!$B$4+(E$3/100)^2/2)*Assumptions!$B$9)/((E$3/100)*Assumptions!$B$10)),0,1,FALSE)*Assumptions!$B$10*0.01)*((E$3/100)/0.01)/(MAX(0,Assumptions!$B$2*EXP(-Assumptions!$B$4*Assumptions!$B$9)*NORMSDIST(((LN(Assumptions!$B$2/$B12)+(Assumptions!$B$3-Assumptions!$B$4+(E$3/100)^2/2)*Assumptions!$B$9)/((E$3/100)*Assumptions!$B$10)))-$B12*EXP(-Assumptions!$B$3*Assumptions!$B$9)*NORMSDIST((((LN(Assumptions!$B$2/$B12)+(Assumptions!$B$3-Assumptions!$B$4+(E$3/100)^2/2)*Assumptions!$B$9)/((E$3/100)*Assumptions!$B$10))-(E$3/100)*Assumptions!$B$10)))))</f>
        <v/>
      </c>
      <c r="F12" s="32">
        <f>IF((MAX(0,Assumptions!$B$2*EXP(-Assumptions!$B$4*Assumptions!$B$9)*NORMSDIST(((LN(Assumptions!$B$2/$B12)+(Assumptions!$B$3-Assumptions!$B$4+(F$3/100)^2/2)*Assumptions!$B$9)/((F$3/100)*Assumptions!$B$10)))-$B12*EXP(-Assumptions!$B$3*Assumptions!$B$9)*NORMSDIST((((LN(Assumptions!$B$2/$B12)+(Assumptions!$B$3-Assumptions!$B$4+(F$3/100)^2/2)*Assumptions!$B$9)/((F$3/100)*Assumptions!$B$10))-(F$3/100)*Assumptions!$B$10))))&lt;=0,"",(Assumptions!$B$2*EXP(-Assumptions!$B$4*Assumptions!$B$9)*NORMDIST(((LN(Assumptions!$B$2/$B12)+(Assumptions!$B$3-Assumptions!$B$4+(F$3/100)^2/2)*Assumptions!$B$9)/((F$3/100)*Assumptions!$B$10)),0,1,FALSE)*Assumptions!$B$10*0.01)*((F$3/100)/0.01)/(MAX(0,Assumptions!$B$2*EXP(-Assumptions!$B$4*Assumptions!$B$9)*NORMSDIST(((LN(Assumptions!$B$2/$B12)+(Assumptions!$B$3-Assumptions!$B$4+(F$3/100)^2/2)*Assumptions!$B$9)/((F$3/100)*Assumptions!$B$10)))-$B12*EXP(-Assumptions!$B$3*Assumptions!$B$9)*NORMSDIST((((LN(Assumptions!$B$2/$B12)+(Assumptions!$B$3-Assumptions!$B$4+(F$3/100)^2/2)*Assumptions!$B$9)/((F$3/100)*Assumptions!$B$10))-(F$3/100)*Assumptions!$B$10)))))</f>
        <v/>
      </c>
      <c r="G12" s="32">
        <f>IF((MAX(0,Assumptions!$B$2*EXP(-Assumptions!$B$4*Assumptions!$B$9)*NORMSDIST(((LN(Assumptions!$B$2/$B12)+(Assumptions!$B$3-Assumptions!$B$4+(G$3/100)^2/2)*Assumptions!$B$9)/((G$3/100)*Assumptions!$B$10)))-$B12*EXP(-Assumptions!$B$3*Assumptions!$B$9)*NORMSDIST((((LN(Assumptions!$B$2/$B12)+(Assumptions!$B$3-Assumptions!$B$4+(G$3/100)^2/2)*Assumptions!$B$9)/((G$3/100)*Assumptions!$B$10))-(G$3/100)*Assumptions!$B$10))))&lt;=0,"",(Assumptions!$B$2*EXP(-Assumptions!$B$4*Assumptions!$B$9)*NORMDIST(((LN(Assumptions!$B$2/$B12)+(Assumptions!$B$3-Assumptions!$B$4+(G$3/100)^2/2)*Assumptions!$B$9)/((G$3/100)*Assumptions!$B$10)),0,1,FALSE)*Assumptions!$B$10*0.01)*((G$3/100)/0.01)/(MAX(0,Assumptions!$B$2*EXP(-Assumptions!$B$4*Assumptions!$B$9)*NORMSDIST(((LN(Assumptions!$B$2/$B12)+(Assumptions!$B$3-Assumptions!$B$4+(G$3/100)^2/2)*Assumptions!$B$9)/((G$3/100)*Assumptions!$B$10)))-$B12*EXP(-Assumptions!$B$3*Assumptions!$B$9)*NORMSDIST((((LN(Assumptions!$B$2/$B12)+(Assumptions!$B$3-Assumptions!$B$4+(G$3/100)^2/2)*Assumptions!$B$9)/((G$3/100)*Assumptions!$B$10))-(G$3/100)*Assumptions!$B$10)))))</f>
        <v/>
      </c>
      <c r="H12" s="32">
        <f>IF((MAX(0,Assumptions!$B$2*EXP(-Assumptions!$B$4*Assumptions!$B$9)*NORMSDIST(((LN(Assumptions!$B$2/$B12)+(Assumptions!$B$3-Assumptions!$B$4+(H$3/100)^2/2)*Assumptions!$B$9)/((H$3/100)*Assumptions!$B$10)))-$B12*EXP(-Assumptions!$B$3*Assumptions!$B$9)*NORMSDIST((((LN(Assumptions!$B$2/$B12)+(Assumptions!$B$3-Assumptions!$B$4+(H$3/100)^2/2)*Assumptions!$B$9)/((H$3/100)*Assumptions!$B$10))-(H$3/100)*Assumptions!$B$10))))&lt;=0,"",(Assumptions!$B$2*EXP(-Assumptions!$B$4*Assumptions!$B$9)*NORMDIST(((LN(Assumptions!$B$2/$B12)+(Assumptions!$B$3-Assumptions!$B$4+(H$3/100)^2/2)*Assumptions!$B$9)/((H$3/100)*Assumptions!$B$10)),0,1,FALSE)*Assumptions!$B$10*0.01)*((H$3/100)/0.01)/(MAX(0,Assumptions!$B$2*EXP(-Assumptions!$B$4*Assumptions!$B$9)*NORMSDIST(((LN(Assumptions!$B$2/$B12)+(Assumptions!$B$3-Assumptions!$B$4+(H$3/100)^2/2)*Assumptions!$B$9)/((H$3/100)*Assumptions!$B$10)))-$B12*EXP(-Assumptions!$B$3*Assumptions!$B$9)*NORMSDIST((((LN(Assumptions!$B$2/$B12)+(Assumptions!$B$3-Assumptions!$B$4+(H$3/100)^2/2)*Assumptions!$B$9)/((H$3/100)*Assumptions!$B$10))-(H$3/100)*Assumptions!$B$10)))))</f>
        <v/>
      </c>
      <c r="I12" s="32">
        <f>IF((MAX(0,Assumptions!$B$2*EXP(-Assumptions!$B$4*Assumptions!$B$9)*NORMSDIST(((LN(Assumptions!$B$2/$B12)+(Assumptions!$B$3-Assumptions!$B$4+(I$3/100)^2/2)*Assumptions!$B$9)/((I$3/100)*Assumptions!$B$10)))-$B12*EXP(-Assumptions!$B$3*Assumptions!$B$9)*NORMSDIST((((LN(Assumptions!$B$2/$B12)+(Assumptions!$B$3-Assumptions!$B$4+(I$3/100)^2/2)*Assumptions!$B$9)/((I$3/100)*Assumptions!$B$10))-(I$3/100)*Assumptions!$B$10))))&lt;=0,"",(Assumptions!$B$2*EXP(-Assumptions!$B$4*Assumptions!$B$9)*NORMDIST(((LN(Assumptions!$B$2/$B12)+(Assumptions!$B$3-Assumptions!$B$4+(I$3/100)^2/2)*Assumptions!$B$9)/((I$3/100)*Assumptions!$B$10)),0,1,FALSE)*Assumptions!$B$10*0.01)*((I$3/100)/0.01)/(MAX(0,Assumptions!$B$2*EXP(-Assumptions!$B$4*Assumptions!$B$9)*NORMSDIST(((LN(Assumptions!$B$2/$B12)+(Assumptions!$B$3-Assumptions!$B$4+(I$3/100)^2/2)*Assumptions!$B$9)/((I$3/100)*Assumptions!$B$10)))-$B12*EXP(-Assumptions!$B$3*Assumptions!$B$9)*NORMSDIST((((LN(Assumptions!$B$2/$B12)+(Assumptions!$B$3-Assumptions!$B$4+(I$3/100)^2/2)*Assumptions!$B$9)/((I$3/100)*Assumptions!$B$10))-(I$3/100)*Assumptions!$B$10)))))</f>
        <v/>
      </c>
      <c r="J12" s="32">
        <f>IF((MAX(0,Assumptions!$B$2*EXP(-Assumptions!$B$4*Assumptions!$B$9)*NORMSDIST(((LN(Assumptions!$B$2/$B12)+(Assumptions!$B$3-Assumptions!$B$4+(J$3/100)^2/2)*Assumptions!$B$9)/((J$3/100)*Assumptions!$B$10)))-$B12*EXP(-Assumptions!$B$3*Assumptions!$B$9)*NORMSDIST((((LN(Assumptions!$B$2/$B12)+(Assumptions!$B$3-Assumptions!$B$4+(J$3/100)^2/2)*Assumptions!$B$9)/((J$3/100)*Assumptions!$B$10))-(J$3/100)*Assumptions!$B$10))))&lt;=0,"",(Assumptions!$B$2*EXP(-Assumptions!$B$4*Assumptions!$B$9)*NORMDIST(((LN(Assumptions!$B$2/$B12)+(Assumptions!$B$3-Assumptions!$B$4+(J$3/100)^2/2)*Assumptions!$B$9)/((J$3/100)*Assumptions!$B$10)),0,1,FALSE)*Assumptions!$B$10*0.01)*((J$3/100)/0.01)/(MAX(0,Assumptions!$B$2*EXP(-Assumptions!$B$4*Assumptions!$B$9)*NORMSDIST(((LN(Assumptions!$B$2/$B12)+(Assumptions!$B$3-Assumptions!$B$4+(J$3/100)^2/2)*Assumptions!$B$9)/((J$3/100)*Assumptions!$B$10)))-$B12*EXP(-Assumptions!$B$3*Assumptions!$B$9)*NORMSDIST((((LN(Assumptions!$B$2/$B12)+(Assumptions!$B$3-Assumptions!$B$4+(J$3/100)^2/2)*Assumptions!$B$9)/((J$3/100)*Assumptions!$B$10))-(J$3/100)*Assumptions!$B$10)))))</f>
        <v/>
      </c>
      <c r="K12" s="32">
        <f>IF((MAX(0,Assumptions!$B$2*EXP(-Assumptions!$B$4*Assumptions!$B$9)*NORMSDIST(((LN(Assumptions!$B$2/$B12)+(Assumptions!$B$3-Assumptions!$B$4+(K$3/100)^2/2)*Assumptions!$B$9)/((K$3/100)*Assumptions!$B$10)))-$B12*EXP(-Assumptions!$B$3*Assumptions!$B$9)*NORMSDIST((((LN(Assumptions!$B$2/$B12)+(Assumptions!$B$3-Assumptions!$B$4+(K$3/100)^2/2)*Assumptions!$B$9)/((K$3/100)*Assumptions!$B$10))-(K$3/100)*Assumptions!$B$10))))&lt;=0,"",(Assumptions!$B$2*EXP(-Assumptions!$B$4*Assumptions!$B$9)*NORMDIST(((LN(Assumptions!$B$2/$B12)+(Assumptions!$B$3-Assumptions!$B$4+(K$3/100)^2/2)*Assumptions!$B$9)/((K$3/100)*Assumptions!$B$10)),0,1,FALSE)*Assumptions!$B$10*0.01)*((K$3/100)/0.01)/(MAX(0,Assumptions!$B$2*EXP(-Assumptions!$B$4*Assumptions!$B$9)*NORMSDIST(((LN(Assumptions!$B$2/$B12)+(Assumptions!$B$3-Assumptions!$B$4+(K$3/100)^2/2)*Assumptions!$B$9)/((K$3/100)*Assumptions!$B$10)))-$B12*EXP(-Assumptions!$B$3*Assumptions!$B$9)*NORMSDIST((((LN(Assumptions!$B$2/$B12)+(Assumptions!$B$3-Assumptions!$B$4+(K$3/100)^2/2)*Assumptions!$B$9)/((K$3/100)*Assumptions!$B$10))-(K$3/100)*Assumptions!$B$10)))))</f>
        <v/>
      </c>
      <c r="L12" s="32">
        <f>IF((MAX(0,Assumptions!$B$2*EXP(-Assumptions!$B$4*Assumptions!$B$9)*NORMSDIST(((LN(Assumptions!$B$2/$B12)+(Assumptions!$B$3-Assumptions!$B$4+(L$3/100)^2/2)*Assumptions!$B$9)/((L$3/100)*Assumptions!$B$10)))-$B12*EXP(-Assumptions!$B$3*Assumptions!$B$9)*NORMSDIST((((LN(Assumptions!$B$2/$B12)+(Assumptions!$B$3-Assumptions!$B$4+(L$3/100)^2/2)*Assumptions!$B$9)/((L$3/100)*Assumptions!$B$10))-(L$3/100)*Assumptions!$B$10))))&lt;=0,"",(Assumptions!$B$2*EXP(-Assumptions!$B$4*Assumptions!$B$9)*NORMDIST(((LN(Assumptions!$B$2/$B12)+(Assumptions!$B$3-Assumptions!$B$4+(L$3/100)^2/2)*Assumptions!$B$9)/((L$3/100)*Assumptions!$B$10)),0,1,FALSE)*Assumptions!$B$10*0.01)*((L$3/100)/0.01)/(MAX(0,Assumptions!$B$2*EXP(-Assumptions!$B$4*Assumptions!$B$9)*NORMSDIST(((LN(Assumptions!$B$2/$B12)+(Assumptions!$B$3-Assumptions!$B$4+(L$3/100)^2/2)*Assumptions!$B$9)/((L$3/100)*Assumptions!$B$10)))-$B12*EXP(-Assumptions!$B$3*Assumptions!$B$9)*NORMSDIST((((LN(Assumptions!$B$2/$B12)+(Assumptions!$B$3-Assumptions!$B$4+(L$3/100)^2/2)*Assumptions!$B$9)/((L$3/100)*Assumptions!$B$10))-(L$3/100)*Assumptions!$B$10)))))</f>
        <v/>
      </c>
      <c r="M12" s="32">
        <f>IF((MAX(0,Assumptions!$B$2*EXP(-Assumptions!$B$4*Assumptions!$B$9)*NORMSDIST(((LN(Assumptions!$B$2/$B12)+(Assumptions!$B$3-Assumptions!$B$4+(M$3/100)^2/2)*Assumptions!$B$9)/((M$3/100)*Assumptions!$B$10)))-$B12*EXP(-Assumptions!$B$3*Assumptions!$B$9)*NORMSDIST((((LN(Assumptions!$B$2/$B12)+(Assumptions!$B$3-Assumptions!$B$4+(M$3/100)^2/2)*Assumptions!$B$9)/((M$3/100)*Assumptions!$B$10))-(M$3/100)*Assumptions!$B$10))))&lt;=0,"",(Assumptions!$B$2*EXP(-Assumptions!$B$4*Assumptions!$B$9)*NORMDIST(((LN(Assumptions!$B$2/$B12)+(Assumptions!$B$3-Assumptions!$B$4+(M$3/100)^2/2)*Assumptions!$B$9)/((M$3/100)*Assumptions!$B$10)),0,1,FALSE)*Assumptions!$B$10*0.01)*((M$3/100)/0.01)/(MAX(0,Assumptions!$B$2*EXP(-Assumptions!$B$4*Assumptions!$B$9)*NORMSDIST(((LN(Assumptions!$B$2/$B12)+(Assumptions!$B$3-Assumptions!$B$4+(M$3/100)^2/2)*Assumptions!$B$9)/((M$3/100)*Assumptions!$B$10)))-$B12*EXP(-Assumptions!$B$3*Assumptions!$B$9)*NORMSDIST((((LN(Assumptions!$B$2/$B12)+(Assumptions!$B$3-Assumptions!$B$4+(M$3/100)^2/2)*Assumptions!$B$9)/((M$3/100)*Assumptions!$B$10))-(M$3/100)*Assumptions!$B$10)))))</f>
        <v/>
      </c>
      <c r="N12" s="32">
        <f>IF((MAX(0,Assumptions!$B$2*EXP(-Assumptions!$B$4*Assumptions!$B$9)*NORMSDIST(((LN(Assumptions!$B$2/$B12)+(Assumptions!$B$3-Assumptions!$B$4+(N$3/100)^2/2)*Assumptions!$B$9)/((N$3/100)*Assumptions!$B$10)))-$B12*EXP(-Assumptions!$B$3*Assumptions!$B$9)*NORMSDIST((((LN(Assumptions!$B$2/$B12)+(Assumptions!$B$3-Assumptions!$B$4+(N$3/100)^2/2)*Assumptions!$B$9)/((N$3/100)*Assumptions!$B$10))-(N$3/100)*Assumptions!$B$10))))&lt;=0,"",(Assumptions!$B$2*EXP(-Assumptions!$B$4*Assumptions!$B$9)*NORMDIST(((LN(Assumptions!$B$2/$B12)+(Assumptions!$B$3-Assumptions!$B$4+(N$3/100)^2/2)*Assumptions!$B$9)/((N$3/100)*Assumptions!$B$10)),0,1,FALSE)*Assumptions!$B$10*0.01)*((N$3/100)/0.01)/(MAX(0,Assumptions!$B$2*EXP(-Assumptions!$B$4*Assumptions!$B$9)*NORMSDIST(((LN(Assumptions!$B$2/$B12)+(Assumptions!$B$3-Assumptions!$B$4+(N$3/100)^2/2)*Assumptions!$B$9)/((N$3/100)*Assumptions!$B$10)))-$B12*EXP(-Assumptions!$B$3*Assumptions!$B$9)*NORMSDIST((((LN(Assumptions!$B$2/$B12)+(Assumptions!$B$3-Assumptions!$B$4+(N$3/100)^2/2)*Assumptions!$B$9)/((N$3/100)*Assumptions!$B$10))-(N$3/100)*Assumptions!$B$10)))))</f>
        <v/>
      </c>
      <c r="O12" s="32">
        <f>IF((MAX(0,Assumptions!$B$2*EXP(-Assumptions!$B$4*Assumptions!$B$9)*NORMSDIST(((LN(Assumptions!$B$2/$B12)+(Assumptions!$B$3-Assumptions!$B$4+(O$3/100)^2/2)*Assumptions!$B$9)/((O$3/100)*Assumptions!$B$10)))-$B12*EXP(-Assumptions!$B$3*Assumptions!$B$9)*NORMSDIST((((LN(Assumptions!$B$2/$B12)+(Assumptions!$B$3-Assumptions!$B$4+(O$3/100)^2/2)*Assumptions!$B$9)/((O$3/100)*Assumptions!$B$10))-(O$3/100)*Assumptions!$B$10))))&lt;=0,"",(Assumptions!$B$2*EXP(-Assumptions!$B$4*Assumptions!$B$9)*NORMDIST(((LN(Assumptions!$B$2/$B12)+(Assumptions!$B$3-Assumptions!$B$4+(O$3/100)^2/2)*Assumptions!$B$9)/((O$3/100)*Assumptions!$B$10)),0,1,FALSE)*Assumptions!$B$10*0.01)*((O$3/100)/0.01)/(MAX(0,Assumptions!$B$2*EXP(-Assumptions!$B$4*Assumptions!$B$9)*NORMSDIST(((LN(Assumptions!$B$2/$B12)+(Assumptions!$B$3-Assumptions!$B$4+(O$3/100)^2/2)*Assumptions!$B$9)/((O$3/100)*Assumptions!$B$10)))-$B12*EXP(-Assumptions!$B$3*Assumptions!$B$9)*NORMSDIST((((LN(Assumptions!$B$2/$B12)+(Assumptions!$B$3-Assumptions!$B$4+(O$3/100)^2/2)*Assumptions!$B$9)/((O$3/100)*Assumptions!$B$10))-(O$3/100)*Assumptions!$B$10)))))</f>
        <v/>
      </c>
      <c r="P12" s="32">
        <f>IF((MAX(0,Assumptions!$B$2*EXP(-Assumptions!$B$4*Assumptions!$B$9)*NORMSDIST(((LN(Assumptions!$B$2/$B12)+(Assumptions!$B$3-Assumptions!$B$4+(P$3/100)^2/2)*Assumptions!$B$9)/((P$3/100)*Assumptions!$B$10)))-$B12*EXP(-Assumptions!$B$3*Assumptions!$B$9)*NORMSDIST((((LN(Assumptions!$B$2/$B12)+(Assumptions!$B$3-Assumptions!$B$4+(P$3/100)^2/2)*Assumptions!$B$9)/((P$3/100)*Assumptions!$B$10))-(P$3/100)*Assumptions!$B$10))))&lt;=0,"",(Assumptions!$B$2*EXP(-Assumptions!$B$4*Assumptions!$B$9)*NORMDIST(((LN(Assumptions!$B$2/$B12)+(Assumptions!$B$3-Assumptions!$B$4+(P$3/100)^2/2)*Assumptions!$B$9)/((P$3/100)*Assumptions!$B$10)),0,1,FALSE)*Assumptions!$B$10*0.01)*((P$3/100)/0.01)/(MAX(0,Assumptions!$B$2*EXP(-Assumptions!$B$4*Assumptions!$B$9)*NORMSDIST(((LN(Assumptions!$B$2/$B12)+(Assumptions!$B$3-Assumptions!$B$4+(P$3/100)^2/2)*Assumptions!$B$9)/((P$3/100)*Assumptions!$B$10)))-$B12*EXP(-Assumptions!$B$3*Assumptions!$B$9)*NORMSDIST((((LN(Assumptions!$B$2/$B12)+(Assumptions!$B$3-Assumptions!$B$4+(P$3/100)^2/2)*Assumptions!$B$9)/((P$3/100)*Assumptions!$B$10))-(P$3/100)*Assumptions!$B$10)))))</f>
        <v/>
      </c>
      <c r="Q12" s="32">
        <f>IF((MAX(0,Assumptions!$B$2*EXP(-Assumptions!$B$4*Assumptions!$B$9)*NORMSDIST(((LN(Assumptions!$B$2/$B12)+(Assumptions!$B$3-Assumptions!$B$4+(Q$3/100)^2/2)*Assumptions!$B$9)/((Q$3/100)*Assumptions!$B$10)))-$B12*EXP(-Assumptions!$B$3*Assumptions!$B$9)*NORMSDIST((((LN(Assumptions!$B$2/$B12)+(Assumptions!$B$3-Assumptions!$B$4+(Q$3/100)^2/2)*Assumptions!$B$9)/((Q$3/100)*Assumptions!$B$10))-(Q$3/100)*Assumptions!$B$10))))&lt;=0,"",(Assumptions!$B$2*EXP(-Assumptions!$B$4*Assumptions!$B$9)*NORMDIST(((LN(Assumptions!$B$2/$B12)+(Assumptions!$B$3-Assumptions!$B$4+(Q$3/100)^2/2)*Assumptions!$B$9)/((Q$3/100)*Assumptions!$B$10)),0,1,FALSE)*Assumptions!$B$10*0.01)*((Q$3/100)/0.01)/(MAX(0,Assumptions!$B$2*EXP(-Assumptions!$B$4*Assumptions!$B$9)*NORMSDIST(((LN(Assumptions!$B$2/$B12)+(Assumptions!$B$3-Assumptions!$B$4+(Q$3/100)^2/2)*Assumptions!$B$9)/((Q$3/100)*Assumptions!$B$10)))-$B12*EXP(-Assumptions!$B$3*Assumptions!$B$9)*NORMSDIST((((LN(Assumptions!$B$2/$B12)+(Assumptions!$B$3-Assumptions!$B$4+(Q$3/100)^2/2)*Assumptions!$B$9)/((Q$3/100)*Assumptions!$B$10))-(Q$3/100)*Assumptions!$B$10)))))</f>
        <v/>
      </c>
      <c r="R12" s="32">
        <f>IF((MAX(0,Assumptions!$B$2*EXP(-Assumptions!$B$4*Assumptions!$B$9)*NORMSDIST(((LN(Assumptions!$B$2/$B12)+(Assumptions!$B$3-Assumptions!$B$4+(R$3/100)^2/2)*Assumptions!$B$9)/((R$3/100)*Assumptions!$B$10)))-$B12*EXP(-Assumptions!$B$3*Assumptions!$B$9)*NORMSDIST((((LN(Assumptions!$B$2/$B12)+(Assumptions!$B$3-Assumptions!$B$4+(R$3/100)^2/2)*Assumptions!$B$9)/((R$3/100)*Assumptions!$B$10))-(R$3/100)*Assumptions!$B$10))))&lt;=0,"",(Assumptions!$B$2*EXP(-Assumptions!$B$4*Assumptions!$B$9)*NORMDIST(((LN(Assumptions!$B$2/$B12)+(Assumptions!$B$3-Assumptions!$B$4+(R$3/100)^2/2)*Assumptions!$B$9)/((R$3/100)*Assumptions!$B$10)),0,1,FALSE)*Assumptions!$B$10*0.01)*((R$3/100)/0.01)/(MAX(0,Assumptions!$B$2*EXP(-Assumptions!$B$4*Assumptions!$B$9)*NORMSDIST(((LN(Assumptions!$B$2/$B12)+(Assumptions!$B$3-Assumptions!$B$4+(R$3/100)^2/2)*Assumptions!$B$9)/((R$3/100)*Assumptions!$B$10)))-$B12*EXP(-Assumptions!$B$3*Assumptions!$B$9)*NORMSDIST((((LN(Assumptions!$B$2/$B12)+(Assumptions!$B$3-Assumptions!$B$4+(R$3/100)^2/2)*Assumptions!$B$9)/((R$3/100)*Assumptions!$B$10))-(R$3/100)*Assumptions!$B$10)))))</f>
        <v/>
      </c>
      <c r="S12" s="32">
        <f>IF((MAX(0,Assumptions!$B$2*EXP(-Assumptions!$B$4*Assumptions!$B$9)*NORMSDIST(((LN(Assumptions!$B$2/$B12)+(Assumptions!$B$3-Assumptions!$B$4+(S$3/100)^2/2)*Assumptions!$B$9)/((S$3/100)*Assumptions!$B$10)))-$B12*EXP(-Assumptions!$B$3*Assumptions!$B$9)*NORMSDIST((((LN(Assumptions!$B$2/$B12)+(Assumptions!$B$3-Assumptions!$B$4+(S$3/100)^2/2)*Assumptions!$B$9)/((S$3/100)*Assumptions!$B$10))-(S$3/100)*Assumptions!$B$10))))&lt;=0,"",(Assumptions!$B$2*EXP(-Assumptions!$B$4*Assumptions!$B$9)*NORMDIST(((LN(Assumptions!$B$2/$B12)+(Assumptions!$B$3-Assumptions!$B$4+(S$3/100)^2/2)*Assumptions!$B$9)/((S$3/100)*Assumptions!$B$10)),0,1,FALSE)*Assumptions!$B$10*0.01)*((S$3/100)/0.01)/(MAX(0,Assumptions!$B$2*EXP(-Assumptions!$B$4*Assumptions!$B$9)*NORMSDIST(((LN(Assumptions!$B$2/$B12)+(Assumptions!$B$3-Assumptions!$B$4+(S$3/100)^2/2)*Assumptions!$B$9)/((S$3/100)*Assumptions!$B$10)))-$B12*EXP(-Assumptions!$B$3*Assumptions!$B$9)*NORMSDIST((((LN(Assumptions!$B$2/$B12)+(Assumptions!$B$3-Assumptions!$B$4+(S$3/100)^2/2)*Assumptions!$B$9)/((S$3/100)*Assumptions!$B$10))-(S$3/100)*Assumptions!$B$10)))))</f>
        <v/>
      </c>
      <c r="T12" s="32">
        <f>IF((MAX(0,Assumptions!$B$2*EXP(-Assumptions!$B$4*Assumptions!$B$9)*NORMSDIST(((LN(Assumptions!$B$2/$B12)+(Assumptions!$B$3-Assumptions!$B$4+(T$3/100)^2/2)*Assumptions!$B$9)/((T$3/100)*Assumptions!$B$10)))-$B12*EXP(-Assumptions!$B$3*Assumptions!$B$9)*NORMSDIST((((LN(Assumptions!$B$2/$B12)+(Assumptions!$B$3-Assumptions!$B$4+(T$3/100)^2/2)*Assumptions!$B$9)/((T$3/100)*Assumptions!$B$10))-(T$3/100)*Assumptions!$B$10))))&lt;=0,"",(Assumptions!$B$2*EXP(-Assumptions!$B$4*Assumptions!$B$9)*NORMDIST(((LN(Assumptions!$B$2/$B12)+(Assumptions!$B$3-Assumptions!$B$4+(T$3/100)^2/2)*Assumptions!$B$9)/((T$3/100)*Assumptions!$B$10)),0,1,FALSE)*Assumptions!$B$10*0.01)*((T$3/100)/0.01)/(MAX(0,Assumptions!$B$2*EXP(-Assumptions!$B$4*Assumptions!$B$9)*NORMSDIST(((LN(Assumptions!$B$2/$B12)+(Assumptions!$B$3-Assumptions!$B$4+(T$3/100)^2/2)*Assumptions!$B$9)/((T$3/100)*Assumptions!$B$10)))-$B12*EXP(-Assumptions!$B$3*Assumptions!$B$9)*NORMSDIST((((LN(Assumptions!$B$2/$B12)+(Assumptions!$B$3-Assumptions!$B$4+(T$3/100)^2/2)*Assumptions!$B$9)/((T$3/100)*Assumptions!$B$10))-(T$3/100)*Assumptions!$B$10)))))</f>
        <v/>
      </c>
      <c r="U12" s="32">
        <f>IF((MAX(0,Assumptions!$B$2*EXP(-Assumptions!$B$4*Assumptions!$B$9)*NORMSDIST(((LN(Assumptions!$B$2/$B12)+(Assumptions!$B$3-Assumptions!$B$4+(U$3/100)^2/2)*Assumptions!$B$9)/((U$3/100)*Assumptions!$B$10)))-$B12*EXP(-Assumptions!$B$3*Assumptions!$B$9)*NORMSDIST((((LN(Assumptions!$B$2/$B12)+(Assumptions!$B$3-Assumptions!$B$4+(U$3/100)^2/2)*Assumptions!$B$9)/((U$3/100)*Assumptions!$B$10))-(U$3/100)*Assumptions!$B$10))))&lt;=0,"",(Assumptions!$B$2*EXP(-Assumptions!$B$4*Assumptions!$B$9)*NORMDIST(((LN(Assumptions!$B$2/$B12)+(Assumptions!$B$3-Assumptions!$B$4+(U$3/100)^2/2)*Assumptions!$B$9)/((U$3/100)*Assumptions!$B$10)),0,1,FALSE)*Assumptions!$B$10*0.01)*((U$3/100)/0.01)/(MAX(0,Assumptions!$B$2*EXP(-Assumptions!$B$4*Assumptions!$B$9)*NORMSDIST(((LN(Assumptions!$B$2/$B12)+(Assumptions!$B$3-Assumptions!$B$4+(U$3/100)^2/2)*Assumptions!$B$9)/((U$3/100)*Assumptions!$B$10)))-$B12*EXP(-Assumptions!$B$3*Assumptions!$B$9)*NORMSDIST((((LN(Assumptions!$B$2/$B12)+(Assumptions!$B$3-Assumptions!$B$4+(U$3/100)^2/2)*Assumptions!$B$9)/((U$3/100)*Assumptions!$B$10))-(U$3/100)*Assumptions!$B$10)))))</f>
        <v/>
      </c>
      <c r="V12" s="32">
        <f>IF((MAX(0,Assumptions!$B$2*EXP(-Assumptions!$B$4*Assumptions!$B$9)*NORMSDIST(((LN(Assumptions!$B$2/$B12)+(Assumptions!$B$3-Assumptions!$B$4+(V$3/100)^2/2)*Assumptions!$B$9)/((V$3/100)*Assumptions!$B$10)))-$B12*EXP(-Assumptions!$B$3*Assumptions!$B$9)*NORMSDIST((((LN(Assumptions!$B$2/$B12)+(Assumptions!$B$3-Assumptions!$B$4+(V$3/100)^2/2)*Assumptions!$B$9)/((V$3/100)*Assumptions!$B$10))-(V$3/100)*Assumptions!$B$10))))&lt;=0,"",(Assumptions!$B$2*EXP(-Assumptions!$B$4*Assumptions!$B$9)*NORMDIST(((LN(Assumptions!$B$2/$B12)+(Assumptions!$B$3-Assumptions!$B$4+(V$3/100)^2/2)*Assumptions!$B$9)/((V$3/100)*Assumptions!$B$10)),0,1,FALSE)*Assumptions!$B$10*0.01)*((V$3/100)/0.01)/(MAX(0,Assumptions!$B$2*EXP(-Assumptions!$B$4*Assumptions!$B$9)*NORMSDIST(((LN(Assumptions!$B$2/$B12)+(Assumptions!$B$3-Assumptions!$B$4+(V$3/100)^2/2)*Assumptions!$B$9)/((V$3/100)*Assumptions!$B$10)))-$B12*EXP(-Assumptions!$B$3*Assumptions!$B$9)*NORMSDIST((((LN(Assumptions!$B$2/$B12)+(Assumptions!$B$3-Assumptions!$B$4+(V$3/100)^2/2)*Assumptions!$B$9)/((V$3/100)*Assumptions!$B$10))-(V$3/100)*Assumptions!$B$10)))))</f>
        <v/>
      </c>
      <c r="W12" s="32">
        <f>IF((MAX(0,Assumptions!$B$2*EXP(-Assumptions!$B$4*Assumptions!$B$9)*NORMSDIST(((LN(Assumptions!$B$2/$B12)+(Assumptions!$B$3-Assumptions!$B$4+(W$3/100)^2/2)*Assumptions!$B$9)/((W$3/100)*Assumptions!$B$10)))-$B12*EXP(-Assumptions!$B$3*Assumptions!$B$9)*NORMSDIST((((LN(Assumptions!$B$2/$B12)+(Assumptions!$B$3-Assumptions!$B$4+(W$3/100)^2/2)*Assumptions!$B$9)/((W$3/100)*Assumptions!$B$10))-(W$3/100)*Assumptions!$B$10))))&lt;=0,"",(Assumptions!$B$2*EXP(-Assumptions!$B$4*Assumptions!$B$9)*NORMDIST(((LN(Assumptions!$B$2/$B12)+(Assumptions!$B$3-Assumptions!$B$4+(W$3/100)^2/2)*Assumptions!$B$9)/((W$3/100)*Assumptions!$B$10)),0,1,FALSE)*Assumptions!$B$10*0.01)*((W$3/100)/0.01)/(MAX(0,Assumptions!$B$2*EXP(-Assumptions!$B$4*Assumptions!$B$9)*NORMSDIST(((LN(Assumptions!$B$2/$B12)+(Assumptions!$B$3-Assumptions!$B$4+(W$3/100)^2/2)*Assumptions!$B$9)/((W$3/100)*Assumptions!$B$10)))-$B12*EXP(-Assumptions!$B$3*Assumptions!$B$9)*NORMSDIST((((LN(Assumptions!$B$2/$B12)+(Assumptions!$B$3-Assumptions!$B$4+(W$3/100)^2/2)*Assumptions!$B$9)/((W$3/100)*Assumptions!$B$10))-(W$3/100)*Assumptions!$B$10)))))</f>
        <v/>
      </c>
      <c r="X12" s="32">
        <f>IF((MAX(0,Assumptions!$B$2*EXP(-Assumptions!$B$4*Assumptions!$B$9)*NORMSDIST(((LN(Assumptions!$B$2/$B12)+(Assumptions!$B$3-Assumptions!$B$4+(X$3/100)^2/2)*Assumptions!$B$9)/((X$3/100)*Assumptions!$B$10)))-$B12*EXP(-Assumptions!$B$3*Assumptions!$B$9)*NORMSDIST((((LN(Assumptions!$B$2/$B12)+(Assumptions!$B$3-Assumptions!$B$4+(X$3/100)^2/2)*Assumptions!$B$9)/((X$3/100)*Assumptions!$B$10))-(X$3/100)*Assumptions!$B$10))))&lt;=0,"",(Assumptions!$B$2*EXP(-Assumptions!$B$4*Assumptions!$B$9)*NORMDIST(((LN(Assumptions!$B$2/$B12)+(Assumptions!$B$3-Assumptions!$B$4+(X$3/100)^2/2)*Assumptions!$B$9)/((X$3/100)*Assumptions!$B$10)),0,1,FALSE)*Assumptions!$B$10*0.01)*((X$3/100)/0.01)/(MAX(0,Assumptions!$B$2*EXP(-Assumptions!$B$4*Assumptions!$B$9)*NORMSDIST(((LN(Assumptions!$B$2/$B12)+(Assumptions!$B$3-Assumptions!$B$4+(X$3/100)^2/2)*Assumptions!$B$9)/((X$3/100)*Assumptions!$B$10)))-$B12*EXP(-Assumptions!$B$3*Assumptions!$B$9)*NORMSDIST((((LN(Assumptions!$B$2/$B12)+(Assumptions!$B$3-Assumptions!$B$4+(X$3/100)^2/2)*Assumptions!$B$9)/((X$3/100)*Assumptions!$B$10))-(X$3/100)*Assumptions!$B$10)))))</f>
        <v/>
      </c>
      <c r="Y12" s="32">
        <f>IF((MAX(0,Assumptions!$B$2*EXP(-Assumptions!$B$4*Assumptions!$B$9)*NORMSDIST(((LN(Assumptions!$B$2/$B12)+(Assumptions!$B$3-Assumptions!$B$4+(Y$3/100)^2/2)*Assumptions!$B$9)/((Y$3/100)*Assumptions!$B$10)))-$B12*EXP(-Assumptions!$B$3*Assumptions!$B$9)*NORMSDIST((((LN(Assumptions!$B$2/$B12)+(Assumptions!$B$3-Assumptions!$B$4+(Y$3/100)^2/2)*Assumptions!$B$9)/((Y$3/100)*Assumptions!$B$10))-(Y$3/100)*Assumptions!$B$10))))&lt;=0,"",(Assumptions!$B$2*EXP(-Assumptions!$B$4*Assumptions!$B$9)*NORMDIST(((LN(Assumptions!$B$2/$B12)+(Assumptions!$B$3-Assumptions!$B$4+(Y$3/100)^2/2)*Assumptions!$B$9)/((Y$3/100)*Assumptions!$B$10)),0,1,FALSE)*Assumptions!$B$10*0.01)*((Y$3/100)/0.01)/(MAX(0,Assumptions!$B$2*EXP(-Assumptions!$B$4*Assumptions!$B$9)*NORMSDIST(((LN(Assumptions!$B$2/$B12)+(Assumptions!$B$3-Assumptions!$B$4+(Y$3/100)^2/2)*Assumptions!$B$9)/((Y$3/100)*Assumptions!$B$10)))-$B12*EXP(-Assumptions!$B$3*Assumptions!$B$9)*NORMSDIST((((LN(Assumptions!$B$2/$B12)+(Assumptions!$B$3-Assumptions!$B$4+(Y$3/100)^2/2)*Assumptions!$B$9)/((Y$3/100)*Assumptions!$B$10))-(Y$3/100)*Assumptions!$B$10)))))</f>
        <v/>
      </c>
      <c r="Z12" s="32">
        <f>IF((MAX(0,Assumptions!$B$2*EXP(-Assumptions!$B$4*Assumptions!$B$9)*NORMSDIST(((LN(Assumptions!$B$2/$B12)+(Assumptions!$B$3-Assumptions!$B$4+(Z$3/100)^2/2)*Assumptions!$B$9)/((Z$3/100)*Assumptions!$B$10)))-$B12*EXP(-Assumptions!$B$3*Assumptions!$B$9)*NORMSDIST((((LN(Assumptions!$B$2/$B12)+(Assumptions!$B$3-Assumptions!$B$4+(Z$3/100)^2/2)*Assumptions!$B$9)/((Z$3/100)*Assumptions!$B$10))-(Z$3/100)*Assumptions!$B$10))))&lt;=0,"",(Assumptions!$B$2*EXP(-Assumptions!$B$4*Assumptions!$B$9)*NORMDIST(((LN(Assumptions!$B$2/$B12)+(Assumptions!$B$3-Assumptions!$B$4+(Z$3/100)^2/2)*Assumptions!$B$9)/((Z$3/100)*Assumptions!$B$10)),0,1,FALSE)*Assumptions!$B$10*0.01)*((Z$3/100)/0.01)/(MAX(0,Assumptions!$B$2*EXP(-Assumptions!$B$4*Assumptions!$B$9)*NORMSDIST(((LN(Assumptions!$B$2/$B12)+(Assumptions!$B$3-Assumptions!$B$4+(Z$3/100)^2/2)*Assumptions!$B$9)/((Z$3/100)*Assumptions!$B$10)))-$B12*EXP(-Assumptions!$B$3*Assumptions!$B$9)*NORMSDIST((((LN(Assumptions!$B$2/$B12)+(Assumptions!$B$3-Assumptions!$B$4+(Z$3/100)^2/2)*Assumptions!$B$9)/((Z$3/100)*Assumptions!$B$10))-(Z$3/100)*Assumptions!$B$10)))))</f>
        <v/>
      </c>
      <c r="AA12" s="32">
        <f>IF((MAX(0,Assumptions!$B$2*EXP(-Assumptions!$B$4*Assumptions!$B$9)*NORMSDIST(((LN(Assumptions!$B$2/$B12)+(Assumptions!$B$3-Assumptions!$B$4+(AA$3/100)^2/2)*Assumptions!$B$9)/((AA$3/100)*Assumptions!$B$10)))-$B12*EXP(-Assumptions!$B$3*Assumptions!$B$9)*NORMSDIST((((LN(Assumptions!$B$2/$B12)+(Assumptions!$B$3-Assumptions!$B$4+(AA$3/100)^2/2)*Assumptions!$B$9)/((AA$3/100)*Assumptions!$B$10))-(AA$3/100)*Assumptions!$B$10))))&lt;=0,"",(Assumptions!$B$2*EXP(-Assumptions!$B$4*Assumptions!$B$9)*NORMDIST(((LN(Assumptions!$B$2/$B12)+(Assumptions!$B$3-Assumptions!$B$4+(AA$3/100)^2/2)*Assumptions!$B$9)/((AA$3/100)*Assumptions!$B$10)),0,1,FALSE)*Assumptions!$B$10*0.01)*((AA$3/100)/0.01)/(MAX(0,Assumptions!$B$2*EXP(-Assumptions!$B$4*Assumptions!$B$9)*NORMSDIST(((LN(Assumptions!$B$2/$B12)+(Assumptions!$B$3-Assumptions!$B$4+(AA$3/100)^2/2)*Assumptions!$B$9)/((AA$3/100)*Assumptions!$B$10)))-$B12*EXP(-Assumptions!$B$3*Assumptions!$B$9)*NORMSDIST((((LN(Assumptions!$B$2/$B12)+(Assumptions!$B$3-Assumptions!$B$4+(AA$3/100)^2/2)*Assumptions!$B$9)/((AA$3/100)*Assumptions!$B$10))-(AA$3/100)*Assumptions!$B$10)))))</f>
        <v/>
      </c>
      <c r="AB12" s="32">
        <f>IF((MAX(0,Assumptions!$B$2*EXP(-Assumptions!$B$4*Assumptions!$B$9)*NORMSDIST(((LN(Assumptions!$B$2/$B12)+(Assumptions!$B$3-Assumptions!$B$4+(AB$3/100)^2/2)*Assumptions!$B$9)/((AB$3/100)*Assumptions!$B$10)))-$B12*EXP(-Assumptions!$B$3*Assumptions!$B$9)*NORMSDIST((((LN(Assumptions!$B$2/$B12)+(Assumptions!$B$3-Assumptions!$B$4+(AB$3/100)^2/2)*Assumptions!$B$9)/((AB$3/100)*Assumptions!$B$10))-(AB$3/100)*Assumptions!$B$10))))&lt;=0,"",(Assumptions!$B$2*EXP(-Assumptions!$B$4*Assumptions!$B$9)*NORMDIST(((LN(Assumptions!$B$2/$B12)+(Assumptions!$B$3-Assumptions!$B$4+(AB$3/100)^2/2)*Assumptions!$B$9)/((AB$3/100)*Assumptions!$B$10)),0,1,FALSE)*Assumptions!$B$10*0.01)*((AB$3/100)/0.01)/(MAX(0,Assumptions!$B$2*EXP(-Assumptions!$B$4*Assumptions!$B$9)*NORMSDIST(((LN(Assumptions!$B$2/$B12)+(Assumptions!$B$3-Assumptions!$B$4+(AB$3/100)^2/2)*Assumptions!$B$9)/((AB$3/100)*Assumptions!$B$10)))-$B12*EXP(-Assumptions!$B$3*Assumptions!$B$9)*NORMSDIST((((LN(Assumptions!$B$2/$B12)+(Assumptions!$B$3-Assumptions!$B$4+(AB$3/100)^2/2)*Assumptions!$B$9)/((AB$3/100)*Assumptions!$B$10))-(AB$3/100)*Assumptions!$B$10)))))</f>
        <v/>
      </c>
      <c r="AC12" s="32">
        <f>IF((MAX(0,Assumptions!$B$2*EXP(-Assumptions!$B$4*Assumptions!$B$9)*NORMSDIST(((LN(Assumptions!$B$2/$B12)+(Assumptions!$B$3-Assumptions!$B$4+(AC$3/100)^2/2)*Assumptions!$B$9)/((AC$3/100)*Assumptions!$B$10)))-$B12*EXP(-Assumptions!$B$3*Assumptions!$B$9)*NORMSDIST((((LN(Assumptions!$B$2/$B12)+(Assumptions!$B$3-Assumptions!$B$4+(AC$3/100)^2/2)*Assumptions!$B$9)/((AC$3/100)*Assumptions!$B$10))-(AC$3/100)*Assumptions!$B$10))))&lt;=0,"",(Assumptions!$B$2*EXP(-Assumptions!$B$4*Assumptions!$B$9)*NORMDIST(((LN(Assumptions!$B$2/$B12)+(Assumptions!$B$3-Assumptions!$B$4+(AC$3/100)^2/2)*Assumptions!$B$9)/((AC$3/100)*Assumptions!$B$10)),0,1,FALSE)*Assumptions!$B$10*0.01)*((AC$3/100)/0.01)/(MAX(0,Assumptions!$B$2*EXP(-Assumptions!$B$4*Assumptions!$B$9)*NORMSDIST(((LN(Assumptions!$B$2/$B12)+(Assumptions!$B$3-Assumptions!$B$4+(AC$3/100)^2/2)*Assumptions!$B$9)/((AC$3/100)*Assumptions!$B$10)))-$B12*EXP(-Assumptions!$B$3*Assumptions!$B$9)*NORMSDIST((((LN(Assumptions!$B$2/$B12)+(Assumptions!$B$3-Assumptions!$B$4+(AC$3/100)^2/2)*Assumptions!$B$9)/((AC$3/100)*Assumptions!$B$10))-(AC$3/100)*Assumptions!$B$10)))))</f>
        <v/>
      </c>
      <c r="AD12" s="32">
        <f>IF((MAX(0,Assumptions!$B$2*EXP(-Assumptions!$B$4*Assumptions!$B$9)*NORMSDIST(((LN(Assumptions!$B$2/$B12)+(Assumptions!$B$3-Assumptions!$B$4+(AD$3/100)^2/2)*Assumptions!$B$9)/((AD$3/100)*Assumptions!$B$10)))-$B12*EXP(-Assumptions!$B$3*Assumptions!$B$9)*NORMSDIST((((LN(Assumptions!$B$2/$B12)+(Assumptions!$B$3-Assumptions!$B$4+(AD$3/100)^2/2)*Assumptions!$B$9)/((AD$3/100)*Assumptions!$B$10))-(AD$3/100)*Assumptions!$B$10))))&lt;=0,"",(Assumptions!$B$2*EXP(-Assumptions!$B$4*Assumptions!$B$9)*NORMDIST(((LN(Assumptions!$B$2/$B12)+(Assumptions!$B$3-Assumptions!$B$4+(AD$3/100)^2/2)*Assumptions!$B$9)/((AD$3/100)*Assumptions!$B$10)),0,1,FALSE)*Assumptions!$B$10*0.01)*((AD$3/100)/0.01)/(MAX(0,Assumptions!$B$2*EXP(-Assumptions!$B$4*Assumptions!$B$9)*NORMSDIST(((LN(Assumptions!$B$2/$B12)+(Assumptions!$B$3-Assumptions!$B$4+(AD$3/100)^2/2)*Assumptions!$B$9)/((AD$3/100)*Assumptions!$B$10)))-$B12*EXP(-Assumptions!$B$3*Assumptions!$B$9)*NORMSDIST((((LN(Assumptions!$B$2/$B12)+(Assumptions!$B$3-Assumptions!$B$4+(AD$3/100)^2/2)*Assumptions!$B$9)/((AD$3/100)*Assumptions!$B$10))-(AD$3/100)*Assumptions!$B$10)))))</f>
        <v/>
      </c>
      <c r="AE12" s="32">
        <f>IF((MAX(0,Assumptions!$B$2*EXP(-Assumptions!$B$4*Assumptions!$B$9)*NORMSDIST(((LN(Assumptions!$B$2/$B12)+(Assumptions!$B$3-Assumptions!$B$4+(AE$3/100)^2/2)*Assumptions!$B$9)/((AE$3/100)*Assumptions!$B$10)))-$B12*EXP(-Assumptions!$B$3*Assumptions!$B$9)*NORMSDIST((((LN(Assumptions!$B$2/$B12)+(Assumptions!$B$3-Assumptions!$B$4+(AE$3/100)^2/2)*Assumptions!$B$9)/((AE$3/100)*Assumptions!$B$10))-(AE$3/100)*Assumptions!$B$10))))&lt;=0,"",(Assumptions!$B$2*EXP(-Assumptions!$B$4*Assumptions!$B$9)*NORMDIST(((LN(Assumptions!$B$2/$B12)+(Assumptions!$B$3-Assumptions!$B$4+(AE$3/100)^2/2)*Assumptions!$B$9)/((AE$3/100)*Assumptions!$B$10)),0,1,FALSE)*Assumptions!$B$10*0.01)*((AE$3/100)/0.01)/(MAX(0,Assumptions!$B$2*EXP(-Assumptions!$B$4*Assumptions!$B$9)*NORMSDIST(((LN(Assumptions!$B$2/$B12)+(Assumptions!$B$3-Assumptions!$B$4+(AE$3/100)^2/2)*Assumptions!$B$9)/((AE$3/100)*Assumptions!$B$10)))-$B12*EXP(-Assumptions!$B$3*Assumptions!$B$9)*NORMSDIST((((LN(Assumptions!$B$2/$B12)+(Assumptions!$B$3-Assumptions!$B$4+(AE$3/100)^2/2)*Assumptions!$B$9)/((AE$3/100)*Assumptions!$B$10))-(AE$3/100)*Assumptions!$B$10)))))</f>
        <v/>
      </c>
      <c r="AF12" s="32">
        <f>IF((MAX(0,Assumptions!$B$2*EXP(-Assumptions!$B$4*Assumptions!$B$9)*NORMSDIST(((LN(Assumptions!$B$2/$B12)+(Assumptions!$B$3-Assumptions!$B$4+(AF$3/100)^2/2)*Assumptions!$B$9)/((AF$3/100)*Assumptions!$B$10)))-$B12*EXP(-Assumptions!$B$3*Assumptions!$B$9)*NORMSDIST((((LN(Assumptions!$B$2/$B12)+(Assumptions!$B$3-Assumptions!$B$4+(AF$3/100)^2/2)*Assumptions!$B$9)/((AF$3/100)*Assumptions!$B$10))-(AF$3/100)*Assumptions!$B$10))))&lt;=0,"",(Assumptions!$B$2*EXP(-Assumptions!$B$4*Assumptions!$B$9)*NORMDIST(((LN(Assumptions!$B$2/$B12)+(Assumptions!$B$3-Assumptions!$B$4+(AF$3/100)^2/2)*Assumptions!$B$9)/((AF$3/100)*Assumptions!$B$10)),0,1,FALSE)*Assumptions!$B$10*0.01)*((AF$3/100)/0.01)/(MAX(0,Assumptions!$B$2*EXP(-Assumptions!$B$4*Assumptions!$B$9)*NORMSDIST(((LN(Assumptions!$B$2/$B12)+(Assumptions!$B$3-Assumptions!$B$4+(AF$3/100)^2/2)*Assumptions!$B$9)/((AF$3/100)*Assumptions!$B$10)))-$B12*EXP(-Assumptions!$B$3*Assumptions!$B$9)*NORMSDIST((((LN(Assumptions!$B$2/$B12)+(Assumptions!$B$3-Assumptions!$B$4+(AF$3/100)^2/2)*Assumptions!$B$9)/((AF$3/100)*Assumptions!$B$10))-(AF$3/100)*Assumptions!$B$10)))))</f>
        <v/>
      </c>
      <c r="AG12" s="32">
        <f>IF((MAX(0,Assumptions!$B$2*EXP(-Assumptions!$B$4*Assumptions!$B$9)*NORMSDIST(((LN(Assumptions!$B$2/$B12)+(Assumptions!$B$3-Assumptions!$B$4+(AG$3/100)^2/2)*Assumptions!$B$9)/((AG$3/100)*Assumptions!$B$10)))-$B12*EXP(-Assumptions!$B$3*Assumptions!$B$9)*NORMSDIST((((LN(Assumptions!$B$2/$B12)+(Assumptions!$B$3-Assumptions!$B$4+(AG$3/100)^2/2)*Assumptions!$B$9)/((AG$3/100)*Assumptions!$B$10))-(AG$3/100)*Assumptions!$B$10))))&lt;=0,"",(Assumptions!$B$2*EXP(-Assumptions!$B$4*Assumptions!$B$9)*NORMDIST(((LN(Assumptions!$B$2/$B12)+(Assumptions!$B$3-Assumptions!$B$4+(AG$3/100)^2/2)*Assumptions!$B$9)/((AG$3/100)*Assumptions!$B$10)),0,1,FALSE)*Assumptions!$B$10*0.01)*((AG$3/100)/0.01)/(MAX(0,Assumptions!$B$2*EXP(-Assumptions!$B$4*Assumptions!$B$9)*NORMSDIST(((LN(Assumptions!$B$2/$B12)+(Assumptions!$B$3-Assumptions!$B$4+(AG$3/100)^2/2)*Assumptions!$B$9)/((AG$3/100)*Assumptions!$B$10)))-$B12*EXP(-Assumptions!$B$3*Assumptions!$B$9)*NORMSDIST((((LN(Assumptions!$B$2/$B12)+(Assumptions!$B$3-Assumptions!$B$4+(AG$3/100)^2/2)*Assumptions!$B$9)/((AG$3/100)*Assumptions!$B$10))-(AG$3/100)*Assumptions!$B$10)))))</f>
        <v/>
      </c>
      <c r="AH12" s="32">
        <f>IF((MAX(0,Assumptions!$B$2*EXP(-Assumptions!$B$4*Assumptions!$B$9)*NORMSDIST(((LN(Assumptions!$B$2/$B12)+(Assumptions!$B$3-Assumptions!$B$4+(AH$3/100)^2/2)*Assumptions!$B$9)/((AH$3/100)*Assumptions!$B$10)))-$B12*EXP(-Assumptions!$B$3*Assumptions!$B$9)*NORMSDIST((((LN(Assumptions!$B$2/$B12)+(Assumptions!$B$3-Assumptions!$B$4+(AH$3/100)^2/2)*Assumptions!$B$9)/((AH$3/100)*Assumptions!$B$10))-(AH$3/100)*Assumptions!$B$10))))&lt;=0,"",(Assumptions!$B$2*EXP(-Assumptions!$B$4*Assumptions!$B$9)*NORMDIST(((LN(Assumptions!$B$2/$B12)+(Assumptions!$B$3-Assumptions!$B$4+(AH$3/100)^2/2)*Assumptions!$B$9)/((AH$3/100)*Assumptions!$B$10)),0,1,FALSE)*Assumptions!$B$10*0.01)*((AH$3/100)/0.01)/(MAX(0,Assumptions!$B$2*EXP(-Assumptions!$B$4*Assumptions!$B$9)*NORMSDIST(((LN(Assumptions!$B$2/$B12)+(Assumptions!$B$3-Assumptions!$B$4+(AH$3/100)^2/2)*Assumptions!$B$9)/((AH$3/100)*Assumptions!$B$10)))-$B12*EXP(-Assumptions!$B$3*Assumptions!$B$9)*NORMSDIST((((LN(Assumptions!$B$2/$B12)+(Assumptions!$B$3-Assumptions!$B$4+(AH$3/100)^2/2)*Assumptions!$B$9)/((AH$3/100)*Assumptions!$B$10))-(AH$3/100)*Assumptions!$B$10)))))</f>
        <v/>
      </c>
      <c r="AI12" s="32">
        <f>IF((MAX(0,Assumptions!$B$2*EXP(-Assumptions!$B$4*Assumptions!$B$9)*NORMSDIST(((LN(Assumptions!$B$2/$B12)+(Assumptions!$B$3-Assumptions!$B$4+(AI$3/100)^2/2)*Assumptions!$B$9)/((AI$3/100)*Assumptions!$B$10)))-$B12*EXP(-Assumptions!$B$3*Assumptions!$B$9)*NORMSDIST((((LN(Assumptions!$B$2/$B12)+(Assumptions!$B$3-Assumptions!$B$4+(AI$3/100)^2/2)*Assumptions!$B$9)/((AI$3/100)*Assumptions!$B$10))-(AI$3/100)*Assumptions!$B$10))))&lt;=0,"",(Assumptions!$B$2*EXP(-Assumptions!$B$4*Assumptions!$B$9)*NORMDIST(((LN(Assumptions!$B$2/$B12)+(Assumptions!$B$3-Assumptions!$B$4+(AI$3/100)^2/2)*Assumptions!$B$9)/((AI$3/100)*Assumptions!$B$10)),0,1,FALSE)*Assumptions!$B$10*0.01)*((AI$3/100)/0.01)/(MAX(0,Assumptions!$B$2*EXP(-Assumptions!$B$4*Assumptions!$B$9)*NORMSDIST(((LN(Assumptions!$B$2/$B12)+(Assumptions!$B$3-Assumptions!$B$4+(AI$3/100)^2/2)*Assumptions!$B$9)/((AI$3/100)*Assumptions!$B$10)))-$B12*EXP(-Assumptions!$B$3*Assumptions!$B$9)*NORMSDIST((((LN(Assumptions!$B$2/$B12)+(Assumptions!$B$3-Assumptions!$B$4+(AI$3/100)^2/2)*Assumptions!$B$9)/((AI$3/100)*Assumptions!$B$10))-(AI$3/100)*Assumptions!$B$10)))))</f>
        <v/>
      </c>
      <c r="AJ12" s="32">
        <f>IF((MAX(0,Assumptions!$B$2*EXP(-Assumptions!$B$4*Assumptions!$B$9)*NORMSDIST(((LN(Assumptions!$B$2/$B12)+(Assumptions!$B$3-Assumptions!$B$4+(AJ$3/100)^2/2)*Assumptions!$B$9)/((AJ$3/100)*Assumptions!$B$10)))-$B12*EXP(-Assumptions!$B$3*Assumptions!$B$9)*NORMSDIST((((LN(Assumptions!$B$2/$B12)+(Assumptions!$B$3-Assumptions!$B$4+(AJ$3/100)^2/2)*Assumptions!$B$9)/((AJ$3/100)*Assumptions!$B$10))-(AJ$3/100)*Assumptions!$B$10))))&lt;=0,"",(Assumptions!$B$2*EXP(-Assumptions!$B$4*Assumptions!$B$9)*NORMDIST(((LN(Assumptions!$B$2/$B12)+(Assumptions!$B$3-Assumptions!$B$4+(AJ$3/100)^2/2)*Assumptions!$B$9)/((AJ$3/100)*Assumptions!$B$10)),0,1,FALSE)*Assumptions!$B$10*0.01)*((AJ$3/100)/0.01)/(MAX(0,Assumptions!$B$2*EXP(-Assumptions!$B$4*Assumptions!$B$9)*NORMSDIST(((LN(Assumptions!$B$2/$B12)+(Assumptions!$B$3-Assumptions!$B$4+(AJ$3/100)^2/2)*Assumptions!$B$9)/((AJ$3/100)*Assumptions!$B$10)))-$B12*EXP(-Assumptions!$B$3*Assumptions!$B$9)*NORMSDIST((((LN(Assumptions!$B$2/$B12)+(Assumptions!$B$3-Assumptions!$B$4+(AJ$3/100)^2/2)*Assumptions!$B$9)/((AJ$3/100)*Assumptions!$B$10))-(AJ$3/100)*Assumptions!$B$10)))))</f>
        <v/>
      </c>
      <c r="AK12" s="32">
        <f>IF((MAX(0,Assumptions!$B$2*EXP(-Assumptions!$B$4*Assumptions!$B$9)*NORMSDIST(((LN(Assumptions!$B$2/$B12)+(Assumptions!$B$3-Assumptions!$B$4+(AK$3/100)^2/2)*Assumptions!$B$9)/((AK$3/100)*Assumptions!$B$10)))-$B12*EXP(-Assumptions!$B$3*Assumptions!$B$9)*NORMSDIST((((LN(Assumptions!$B$2/$B12)+(Assumptions!$B$3-Assumptions!$B$4+(AK$3/100)^2/2)*Assumptions!$B$9)/((AK$3/100)*Assumptions!$B$10))-(AK$3/100)*Assumptions!$B$10))))&lt;=0,"",(Assumptions!$B$2*EXP(-Assumptions!$B$4*Assumptions!$B$9)*NORMDIST(((LN(Assumptions!$B$2/$B12)+(Assumptions!$B$3-Assumptions!$B$4+(AK$3/100)^2/2)*Assumptions!$B$9)/((AK$3/100)*Assumptions!$B$10)),0,1,FALSE)*Assumptions!$B$10*0.01)*((AK$3/100)/0.01)/(MAX(0,Assumptions!$B$2*EXP(-Assumptions!$B$4*Assumptions!$B$9)*NORMSDIST(((LN(Assumptions!$B$2/$B12)+(Assumptions!$B$3-Assumptions!$B$4+(AK$3/100)^2/2)*Assumptions!$B$9)/((AK$3/100)*Assumptions!$B$10)))-$B12*EXP(-Assumptions!$B$3*Assumptions!$B$9)*NORMSDIST((((LN(Assumptions!$B$2/$B12)+(Assumptions!$B$3-Assumptions!$B$4+(AK$3/100)^2/2)*Assumptions!$B$9)/((AK$3/100)*Assumptions!$B$10))-(AK$3/100)*Assumptions!$B$10)))))</f>
        <v/>
      </c>
      <c r="AL12" s="32">
        <f>IF((MAX(0,Assumptions!$B$2*EXP(-Assumptions!$B$4*Assumptions!$B$9)*NORMSDIST(((LN(Assumptions!$B$2/$B12)+(Assumptions!$B$3-Assumptions!$B$4+(AL$3/100)^2/2)*Assumptions!$B$9)/((AL$3/100)*Assumptions!$B$10)))-$B12*EXP(-Assumptions!$B$3*Assumptions!$B$9)*NORMSDIST((((LN(Assumptions!$B$2/$B12)+(Assumptions!$B$3-Assumptions!$B$4+(AL$3/100)^2/2)*Assumptions!$B$9)/((AL$3/100)*Assumptions!$B$10))-(AL$3/100)*Assumptions!$B$10))))&lt;=0,"",(Assumptions!$B$2*EXP(-Assumptions!$B$4*Assumptions!$B$9)*NORMDIST(((LN(Assumptions!$B$2/$B12)+(Assumptions!$B$3-Assumptions!$B$4+(AL$3/100)^2/2)*Assumptions!$B$9)/((AL$3/100)*Assumptions!$B$10)),0,1,FALSE)*Assumptions!$B$10*0.01)*((AL$3/100)/0.01)/(MAX(0,Assumptions!$B$2*EXP(-Assumptions!$B$4*Assumptions!$B$9)*NORMSDIST(((LN(Assumptions!$B$2/$B12)+(Assumptions!$B$3-Assumptions!$B$4+(AL$3/100)^2/2)*Assumptions!$B$9)/((AL$3/100)*Assumptions!$B$10)))-$B12*EXP(-Assumptions!$B$3*Assumptions!$B$9)*NORMSDIST((((LN(Assumptions!$B$2/$B12)+(Assumptions!$B$3-Assumptions!$B$4+(AL$3/100)^2/2)*Assumptions!$B$9)/((AL$3/100)*Assumptions!$B$10))-(AL$3/100)*Assumptions!$B$10)))))</f>
        <v/>
      </c>
      <c r="AM12" s="32">
        <f>IF((MAX(0,Assumptions!$B$2*EXP(-Assumptions!$B$4*Assumptions!$B$9)*NORMSDIST(((LN(Assumptions!$B$2/$B12)+(Assumptions!$B$3-Assumptions!$B$4+(AM$3/100)^2/2)*Assumptions!$B$9)/((AM$3/100)*Assumptions!$B$10)))-$B12*EXP(-Assumptions!$B$3*Assumptions!$B$9)*NORMSDIST((((LN(Assumptions!$B$2/$B12)+(Assumptions!$B$3-Assumptions!$B$4+(AM$3/100)^2/2)*Assumptions!$B$9)/((AM$3/100)*Assumptions!$B$10))-(AM$3/100)*Assumptions!$B$10))))&lt;=0,"",(Assumptions!$B$2*EXP(-Assumptions!$B$4*Assumptions!$B$9)*NORMDIST(((LN(Assumptions!$B$2/$B12)+(Assumptions!$B$3-Assumptions!$B$4+(AM$3/100)^2/2)*Assumptions!$B$9)/((AM$3/100)*Assumptions!$B$10)),0,1,FALSE)*Assumptions!$B$10*0.01)*((AM$3/100)/0.01)/(MAX(0,Assumptions!$B$2*EXP(-Assumptions!$B$4*Assumptions!$B$9)*NORMSDIST(((LN(Assumptions!$B$2/$B12)+(Assumptions!$B$3-Assumptions!$B$4+(AM$3/100)^2/2)*Assumptions!$B$9)/((AM$3/100)*Assumptions!$B$10)))-$B12*EXP(-Assumptions!$B$3*Assumptions!$B$9)*NORMSDIST((((LN(Assumptions!$B$2/$B12)+(Assumptions!$B$3-Assumptions!$B$4+(AM$3/100)^2/2)*Assumptions!$B$9)/((AM$3/100)*Assumptions!$B$10))-(AM$3/100)*Assumptions!$B$10)))))</f>
        <v/>
      </c>
      <c r="AN12" s="32">
        <f>IF((MAX(0,Assumptions!$B$2*EXP(-Assumptions!$B$4*Assumptions!$B$9)*NORMSDIST(((LN(Assumptions!$B$2/$B12)+(Assumptions!$B$3-Assumptions!$B$4+(AN$3/100)^2/2)*Assumptions!$B$9)/((AN$3/100)*Assumptions!$B$10)))-$B12*EXP(-Assumptions!$B$3*Assumptions!$B$9)*NORMSDIST((((LN(Assumptions!$B$2/$B12)+(Assumptions!$B$3-Assumptions!$B$4+(AN$3/100)^2/2)*Assumptions!$B$9)/((AN$3/100)*Assumptions!$B$10))-(AN$3/100)*Assumptions!$B$10))))&lt;=0,"",(Assumptions!$B$2*EXP(-Assumptions!$B$4*Assumptions!$B$9)*NORMDIST(((LN(Assumptions!$B$2/$B12)+(Assumptions!$B$3-Assumptions!$B$4+(AN$3/100)^2/2)*Assumptions!$B$9)/((AN$3/100)*Assumptions!$B$10)),0,1,FALSE)*Assumptions!$B$10*0.01)*((AN$3/100)/0.01)/(MAX(0,Assumptions!$B$2*EXP(-Assumptions!$B$4*Assumptions!$B$9)*NORMSDIST(((LN(Assumptions!$B$2/$B12)+(Assumptions!$B$3-Assumptions!$B$4+(AN$3/100)^2/2)*Assumptions!$B$9)/((AN$3/100)*Assumptions!$B$10)))-$B12*EXP(-Assumptions!$B$3*Assumptions!$B$9)*NORMSDIST((((LN(Assumptions!$B$2/$B12)+(Assumptions!$B$3-Assumptions!$B$4+(AN$3/100)^2/2)*Assumptions!$B$9)/((AN$3/100)*Assumptions!$B$10))-(AN$3/100)*Assumptions!$B$10)))))</f>
        <v/>
      </c>
      <c r="AO12" s="32">
        <f>IF((MAX(0,Assumptions!$B$2*EXP(-Assumptions!$B$4*Assumptions!$B$9)*NORMSDIST(((LN(Assumptions!$B$2/$B12)+(Assumptions!$B$3-Assumptions!$B$4+(AO$3/100)^2/2)*Assumptions!$B$9)/((AO$3/100)*Assumptions!$B$10)))-$B12*EXP(-Assumptions!$B$3*Assumptions!$B$9)*NORMSDIST((((LN(Assumptions!$B$2/$B12)+(Assumptions!$B$3-Assumptions!$B$4+(AO$3/100)^2/2)*Assumptions!$B$9)/((AO$3/100)*Assumptions!$B$10))-(AO$3/100)*Assumptions!$B$10))))&lt;=0,"",(Assumptions!$B$2*EXP(-Assumptions!$B$4*Assumptions!$B$9)*NORMDIST(((LN(Assumptions!$B$2/$B12)+(Assumptions!$B$3-Assumptions!$B$4+(AO$3/100)^2/2)*Assumptions!$B$9)/((AO$3/100)*Assumptions!$B$10)),0,1,FALSE)*Assumptions!$B$10*0.01)*((AO$3/100)/0.01)/(MAX(0,Assumptions!$B$2*EXP(-Assumptions!$B$4*Assumptions!$B$9)*NORMSDIST(((LN(Assumptions!$B$2/$B12)+(Assumptions!$B$3-Assumptions!$B$4+(AO$3/100)^2/2)*Assumptions!$B$9)/((AO$3/100)*Assumptions!$B$10)))-$B12*EXP(-Assumptions!$B$3*Assumptions!$B$9)*NORMSDIST((((LN(Assumptions!$B$2/$B12)+(Assumptions!$B$3-Assumptions!$B$4+(AO$3/100)^2/2)*Assumptions!$B$9)/((AO$3/100)*Assumptions!$B$10))-(AO$3/100)*Assumptions!$B$10)))))</f>
        <v/>
      </c>
      <c r="AP12" s="32">
        <f>IF((MAX(0,Assumptions!$B$2*EXP(-Assumptions!$B$4*Assumptions!$B$9)*NORMSDIST(((LN(Assumptions!$B$2/$B12)+(Assumptions!$B$3-Assumptions!$B$4+(AP$3/100)^2/2)*Assumptions!$B$9)/((AP$3/100)*Assumptions!$B$10)))-$B12*EXP(-Assumptions!$B$3*Assumptions!$B$9)*NORMSDIST((((LN(Assumptions!$B$2/$B12)+(Assumptions!$B$3-Assumptions!$B$4+(AP$3/100)^2/2)*Assumptions!$B$9)/((AP$3/100)*Assumptions!$B$10))-(AP$3/100)*Assumptions!$B$10))))&lt;=0,"",(Assumptions!$B$2*EXP(-Assumptions!$B$4*Assumptions!$B$9)*NORMDIST(((LN(Assumptions!$B$2/$B12)+(Assumptions!$B$3-Assumptions!$B$4+(AP$3/100)^2/2)*Assumptions!$B$9)/((AP$3/100)*Assumptions!$B$10)),0,1,FALSE)*Assumptions!$B$10*0.01)*((AP$3/100)/0.01)/(MAX(0,Assumptions!$B$2*EXP(-Assumptions!$B$4*Assumptions!$B$9)*NORMSDIST(((LN(Assumptions!$B$2/$B12)+(Assumptions!$B$3-Assumptions!$B$4+(AP$3/100)^2/2)*Assumptions!$B$9)/((AP$3/100)*Assumptions!$B$10)))-$B12*EXP(-Assumptions!$B$3*Assumptions!$B$9)*NORMSDIST((((LN(Assumptions!$B$2/$B12)+(Assumptions!$B$3-Assumptions!$B$4+(AP$3/100)^2/2)*Assumptions!$B$9)/((AP$3/100)*Assumptions!$B$10))-(AP$3/100)*Assumptions!$B$10)))))</f>
        <v/>
      </c>
      <c r="AQ12" s="32">
        <f>IF((MAX(0,Assumptions!$B$2*EXP(-Assumptions!$B$4*Assumptions!$B$9)*NORMSDIST(((LN(Assumptions!$B$2/$B12)+(Assumptions!$B$3-Assumptions!$B$4+(AQ$3/100)^2/2)*Assumptions!$B$9)/((AQ$3/100)*Assumptions!$B$10)))-$B12*EXP(-Assumptions!$B$3*Assumptions!$B$9)*NORMSDIST((((LN(Assumptions!$B$2/$B12)+(Assumptions!$B$3-Assumptions!$B$4+(AQ$3/100)^2/2)*Assumptions!$B$9)/((AQ$3/100)*Assumptions!$B$10))-(AQ$3/100)*Assumptions!$B$10))))&lt;=0,"",(Assumptions!$B$2*EXP(-Assumptions!$B$4*Assumptions!$B$9)*NORMDIST(((LN(Assumptions!$B$2/$B12)+(Assumptions!$B$3-Assumptions!$B$4+(AQ$3/100)^2/2)*Assumptions!$B$9)/((AQ$3/100)*Assumptions!$B$10)),0,1,FALSE)*Assumptions!$B$10*0.01)*((AQ$3/100)/0.01)/(MAX(0,Assumptions!$B$2*EXP(-Assumptions!$B$4*Assumptions!$B$9)*NORMSDIST(((LN(Assumptions!$B$2/$B12)+(Assumptions!$B$3-Assumptions!$B$4+(AQ$3/100)^2/2)*Assumptions!$B$9)/((AQ$3/100)*Assumptions!$B$10)))-$B12*EXP(-Assumptions!$B$3*Assumptions!$B$9)*NORMSDIST((((LN(Assumptions!$B$2/$B12)+(Assumptions!$B$3-Assumptions!$B$4+(AQ$3/100)^2/2)*Assumptions!$B$9)/((AQ$3/100)*Assumptions!$B$10))-(AQ$3/100)*Assumptions!$B$10)))))</f>
        <v/>
      </c>
      <c r="AR12" s="32">
        <f>IF((MAX(0,Assumptions!$B$2*EXP(-Assumptions!$B$4*Assumptions!$B$9)*NORMSDIST(((LN(Assumptions!$B$2/$B12)+(Assumptions!$B$3-Assumptions!$B$4+(AR$3/100)^2/2)*Assumptions!$B$9)/((AR$3/100)*Assumptions!$B$10)))-$B12*EXP(-Assumptions!$B$3*Assumptions!$B$9)*NORMSDIST((((LN(Assumptions!$B$2/$B12)+(Assumptions!$B$3-Assumptions!$B$4+(AR$3/100)^2/2)*Assumptions!$B$9)/((AR$3/100)*Assumptions!$B$10))-(AR$3/100)*Assumptions!$B$10))))&lt;=0,"",(Assumptions!$B$2*EXP(-Assumptions!$B$4*Assumptions!$B$9)*NORMDIST(((LN(Assumptions!$B$2/$B12)+(Assumptions!$B$3-Assumptions!$B$4+(AR$3/100)^2/2)*Assumptions!$B$9)/((AR$3/100)*Assumptions!$B$10)),0,1,FALSE)*Assumptions!$B$10*0.01)*((AR$3/100)/0.01)/(MAX(0,Assumptions!$B$2*EXP(-Assumptions!$B$4*Assumptions!$B$9)*NORMSDIST(((LN(Assumptions!$B$2/$B12)+(Assumptions!$B$3-Assumptions!$B$4+(AR$3/100)^2/2)*Assumptions!$B$9)/((AR$3/100)*Assumptions!$B$10)))-$B12*EXP(-Assumptions!$B$3*Assumptions!$B$9)*NORMSDIST((((LN(Assumptions!$B$2/$B12)+(Assumptions!$B$3-Assumptions!$B$4+(AR$3/100)^2/2)*Assumptions!$B$9)/((AR$3/100)*Assumptions!$B$10))-(AR$3/100)*Assumptions!$B$10)))))</f>
        <v/>
      </c>
      <c r="AS12" s="32">
        <f>IF((MAX(0,Assumptions!$B$2*EXP(-Assumptions!$B$4*Assumptions!$B$9)*NORMSDIST(((LN(Assumptions!$B$2/$B12)+(Assumptions!$B$3-Assumptions!$B$4+(AS$3/100)^2/2)*Assumptions!$B$9)/((AS$3/100)*Assumptions!$B$10)))-$B12*EXP(-Assumptions!$B$3*Assumptions!$B$9)*NORMSDIST((((LN(Assumptions!$B$2/$B12)+(Assumptions!$B$3-Assumptions!$B$4+(AS$3/100)^2/2)*Assumptions!$B$9)/((AS$3/100)*Assumptions!$B$10))-(AS$3/100)*Assumptions!$B$10))))&lt;=0,"",(Assumptions!$B$2*EXP(-Assumptions!$B$4*Assumptions!$B$9)*NORMDIST(((LN(Assumptions!$B$2/$B12)+(Assumptions!$B$3-Assumptions!$B$4+(AS$3/100)^2/2)*Assumptions!$B$9)/((AS$3/100)*Assumptions!$B$10)),0,1,FALSE)*Assumptions!$B$10*0.01)*((AS$3/100)/0.01)/(MAX(0,Assumptions!$B$2*EXP(-Assumptions!$B$4*Assumptions!$B$9)*NORMSDIST(((LN(Assumptions!$B$2/$B12)+(Assumptions!$B$3-Assumptions!$B$4+(AS$3/100)^2/2)*Assumptions!$B$9)/((AS$3/100)*Assumptions!$B$10)))-$B12*EXP(-Assumptions!$B$3*Assumptions!$B$9)*NORMSDIST((((LN(Assumptions!$B$2/$B12)+(Assumptions!$B$3-Assumptions!$B$4+(AS$3/100)^2/2)*Assumptions!$B$9)/((AS$3/100)*Assumptions!$B$10))-(AS$3/100)*Assumptions!$B$10)))))</f>
        <v/>
      </c>
      <c r="AT12" s="32">
        <f>IF((MAX(0,Assumptions!$B$2*EXP(-Assumptions!$B$4*Assumptions!$B$9)*NORMSDIST(((LN(Assumptions!$B$2/$B12)+(Assumptions!$B$3-Assumptions!$B$4+(AT$3/100)^2/2)*Assumptions!$B$9)/((AT$3/100)*Assumptions!$B$10)))-$B12*EXP(-Assumptions!$B$3*Assumptions!$B$9)*NORMSDIST((((LN(Assumptions!$B$2/$B12)+(Assumptions!$B$3-Assumptions!$B$4+(AT$3/100)^2/2)*Assumptions!$B$9)/((AT$3/100)*Assumptions!$B$10))-(AT$3/100)*Assumptions!$B$10))))&lt;=0,"",(Assumptions!$B$2*EXP(-Assumptions!$B$4*Assumptions!$B$9)*NORMDIST(((LN(Assumptions!$B$2/$B12)+(Assumptions!$B$3-Assumptions!$B$4+(AT$3/100)^2/2)*Assumptions!$B$9)/((AT$3/100)*Assumptions!$B$10)),0,1,FALSE)*Assumptions!$B$10*0.01)*((AT$3/100)/0.01)/(MAX(0,Assumptions!$B$2*EXP(-Assumptions!$B$4*Assumptions!$B$9)*NORMSDIST(((LN(Assumptions!$B$2/$B12)+(Assumptions!$B$3-Assumptions!$B$4+(AT$3/100)^2/2)*Assumptions!$B$9)/((AT$3/100)*Assumptions!$B$10)))-$B12*EXP(-Assumptions!$B$3*Assumptions!$B$9)*NORMSDIST((((LN(Assumptions!$B$2/$B12)+(Assumptions!$B$3-Assumptions!$B$4+(AT$3/100)^2/2)*Assumptions!$B$9)/((AT$3/100)*Assumptions!$B$10))-(AT$3/100)*Assumptions!$B$10)))))</f>
        <v/>
      </c>
      <c r="AU12" s="32">
        <f>IF((MAX(0,Assumptions!$B$2*EXP(-Assumptions!$B$4*Assumptions!$B$9)*NORMSDIST(((LN(Assumptions!$B$2/$B12)+(Assumptions!$B$3-Assumptions!$B$4+(AU$3/100)^2/2)*Assumptions!$B$9)/((AU$3/100)*Assumptions!$B$10)))-$B12*EXP(-Assumptions!$B$3*Assumptions!$B$9)*NORMSDIST((((LN(Assumptions!$B$2/$B12)+(Assumptions!$B$3-Assumptions!$B$4+(AU$3/100)^2/2)*Assumptions!$B$9)/((AU$3/100)*Assumptions!$B$10))-(AU$3/100)*Assumptions!$B$10))))&lt;=0,"",(Assumptions!$B$2*EXP(-Assumptions!$B$4*Assumptions!$B$9)*NORMDIST(((LN(Assumptions!$B$2/$B12)+(Assumptions!$B$3-Assumptions!$B$4+(AU$3/100)^2/2)*Assumptions!$B$9)/((AU$3/100)*Assumptions!$B$10)),0,1,FALSE)*Assumptions!$B$10*0.01)*((AU$3/100)/0.01)/(MAX(0,Assumptions!$B$2*EXP(-Assumptions!$B$4*Assumptions!$B$9)*NORMSDIST(((LN(Assumptions!$B$2/$B12)+(Assumptions!$B$3-Assumptions!$B$4+(AU$3/100)^2/2)*Assumptions!$B$9)/((AU$3/100)*Assumptions!$B$10)))-$B12*EXP(-Assumptions!$B$3*Assumptions!$B$9)*NORMSDIST((((LN(Assumptions!$B$2/$B12)+(Assumptions!$B$3-Assumptions!$B$4+(AU$3/100)^2/2)*Assumptions!$B$9)/((AU$3/100)*Assumptions!$B$10))-(AU$3/100)*Assumptions!$B$10)))))</f>
        <v/>
      </c>
      <c r="AV12" s="32">
        <f>IF((MAX(0,Assumptions!$B$2*EXP(-Assumptions!$B$4*Assumptions!$B$9)*NORMSDIST(((LN(Assumptions!$B$2/$B12)+(Assumptions!$B$3-Assumptions!$B$4+(AV$3/100)^2/2)*Assumptions!$B$9)/((AV$3/100)*Assumptions!$B$10)))-$B12*EXP(-Assumptions!$B$3*Assumptions!$B$9)*NORMSDIST((((LN(Assumptions!$B$2/$B12)+(Assumptions!$B$3-Assumptions!$B$4+(AV$3/100)^2/2)*Assumptions!$B$9)/((AV$3/100)*Assumptions!$B$10))-(AV$3/100)*Assumptions!$B$10))))&lt;=0,"",(Assumptions!$B$2*EXP(-Assumptions!$B$4*Assumptions!$B$9)*NORMDIST(((LN(Assumptions!$B$2/$B12)+(Assumptions!$B$3-Assumptions!$B$4+(AV$3/100)^2/2)*Assumptions!$B$9)/((AV$3/100)*Assumptions!$B$10)),0,1,FALSE)*Assumptions!$B$10*0.01)*((AV$3/100)/0.01)/(MAX(0,Assumptions!$B$2*EXP(-Assumptions!$B$4*Assumptions!$B$9)*NORMSDIST(((LN(Assumptions!$B$2/$B12)+(Assumptions!$B$3-Assumptions!$B$4+(AV$3/100)^2/2)*Assumptions!$B$9)/((AV$3/100)*Assumptions!$B$10)))-$B12*EXP(-Assumptions!$B$3*Assumptions!$B$9)*NORMSDIST((((LN(Assumptions!$B$2/$B12)+(Assumptions!$B$3-Assumptions!$B$4+(AV$3/100)^2/2)*Assumptions!$B$9)/((AV$3/100)*Assumptions!$B$10))-(AV$3/100)*Assumptions!$B$10)))))</f>
        <v/>
      </c>
    </row>
    <row r="13">
      <c r="A13" s="27" t="inlineStr">
        <is>
          <t>+0.25%</t>
        </is>
      </c>
      <c r="B13" s="47">
        <f>'BS Engine'!$B$11</f>
        <v/>
      </c>
      <c r="C13" s="28">
        <f>'BS Engine'!$C$11</f>
        <v/>
      </c>
      <c r="D13" s="54">
        <f>IF((MAX(0,Assumptions!$B$2*EXP(-Assumptions!$B$4*Assumptions!$B$9)*NORMSDIST(((LN(Assumptions!$B$2/$B13)+(Assumptions!$B$3-Assumptions!$B$4+(D$3/100)^2/2)*Assumptions!$B$9)/((D$3/100)*Assumptions!$B$10)))-$B13*EXP(-Assumptions!$B$3*Assumptions!$B$9)*NORMSDIST((((LN(Assumptions!$B$2/$B13)+(Assumptions!$B$3-Assumptions!$B$4+(D$3/100)^2/2)*Assumptions!$B$9)/((D$3/100)*Assumptions!$B$10))-(D$3/100)*Assumptions!$B$10))))&lt;=0,"",(Assumptions!$B$2*EXP(-Assumptions!$B$4*Assumptions!$B$9)*NORMDIST(((LN(Assumptions!$B$2/$B13)+(Assumptions!$B$3-Assumptions!$B$4+(D$3/100)^2/2)*Assumptions!$B$9)/((D$3/100)*Assumptions!$B$10)),0,1,FALSE)*Assumptions!$B$10*0.01)*((D$3/100)/0.01)/(MAX(0,Assumptions!$B$2*EXP(-Assumptions!$B$4*Assumptions!$B$9)*NORMSDIST(((LN(Assumptions!$B$2/$B13)+(Assumptions!$B$3-Assumptions!$B$4+(D$3/100)^2/2)*Assumptions!$B$9)/((D$3/100)*Assumptions!$B$10)))-$B13*EXP(-Assumptions!$B$3*Assumptions!$B$9)*NORMSDIST((((LN(Assumptions!$B$2/$B13)+(Assumptions!$B$3-Assumptions!$B$4+(D$3/100)^2/2)*Assumptions!$B$9)/((D$3/100)*Assumptions!$B$10))-(D$3/100)*Assumptions!$B$10)))))</f>
        <v/>
      </c>
      <c r="E13" s="32">
        <f>IF((MAX(0,Assumptions!$B$2*EXP(-Assumptions!$B$4*Assumptions!$B$9)*NORMSDIST(((LN(Assumptions!$B$2/$B13)+(Assumptions!$B$3-Assumptions!$B$4+(E$3/100)^2/2)*Assumptions!$B$9)/((E$3/100)*Assumptions!$B$10)))-$B13*EXP(-Assumptions!$B$3*Assumptions!$B$9)*NORMSDIST((((LN(Assumptions!$B$2/$B13)+(Assumptions!$B$3-Assumptions!$B$4+(E$3/100)^2/2)*Assumptions!$B$9)/((E$3/100)*Assumptions!$B$10))-(E$3/100)*Assumptions!$B$10))))&lt;=0,"",(Assumptions!$B$2*EXP(-Assumptions!$B$4*Assumptions!$B$9)*NORMDIST(((LN(Assumptions!$B$2/$B13)+(Assumptions!$B$3-Assumptions!$B$4+(E$3/100)^2/2)*Assumptions!$B$9)/((E$3/100)*Assumptions!$B$10)),0,1,FALSE)*Assumptions!$B$10*0.01)*((E$3/100)/0.01)/(MAX(0,Assumptions!$B$2*EXP(-Assumptions!$B$4*Assumptions!$B$9)*NORMSDIST(((LN(Assumptions!$B$2/$B13)+(Assumptions!$B$3-Assumptions!$B$4+(E$3/100)^2/2)*Assumptions!$B$9)/((E$3/100)*Assumptions!$B$10)))-$B13*EXP(-Assumptions!$B$3*Assumptions!$B$9)*NORMSDIST((((LN(Assumptions!$B$2/$B13)+(Assumptions!$B$3-Assumptions!$B$4+(E$3/100)^2/2)*Assumptions!$B$9)/((E$3/100)*Assumptions!$B$10))-(E$3/100)*Assumptions!$B$10)))))</f>
        <v/>
      </c>
      <c r="F13" s="32">
        <f>IF((MAX(0,Assumptions!$B$2*EXP(-Assumptions!$B$4*Assumptions!$B$9)*NORMSDIST(((LN(Assumptions!$B$2/$B13)+(Assumptions!$B$3-Assumptions!$B$4+(F$3/100)^2/2)*Assumptions!$B$9)/((F$3/100)*Assumptions!$B$10)))-$B13*EXP(-Assumptions!$B$3*Assumptions!$B$9)*NORMSDIST((((LN(Assumptions!$B$2/$B13)+(Assumptions!$B$3-Assumptions!$B$4+(F$3/100)^2/2)*Assumptions!$B$9)/((F$3/100)*Assumptions!$B$10))-(F$3/100)*Assumptions!$B$10))))&lt;=0,"",(Assumptions!$B$2*EXP(-Assumptions!$B$4*Assumptions!$B$9)*NORMDIST(((LN(Assumptions!$B$2/$B13)+(Assumptions!$B$3-Assumptions!$B$4+(F$3/100)^2/2)*Assumptions!$B$9)/((F$3/100)*Assumptions!$B$10)),0,1,FALSE)*Assumptions!$B$10*0.01)*((F$3/100)/0.01)/(MAX(0,Assumptions!$B$2*EXP(-Assumptions!$B$4*Assumptions!$B$9)*NORMSDIST(((LN(Assumptions!$B$2/$B13)+(Assumptions!$B$3-Assumptions!$B$4+(F$3/100)^2/2)*Assumptions!$B$9)/((F$3/100)*Assumptions!$B$10)))-$B13*EXP(-Assumptions!$B$3*Assumptions!$B$9)*NORMSDIST((((LN(Assumptions!$B$2/$B13)+(Assumptions!$B$3-Assumptions!$B$4+(F$3/100)^2/2)*Assumptions!$B$9)/((F$3/100)*Assumptions!$B$10))-(F$3/100)*Assumptions!$B$10)))))</f>
        <v/>
      </c>
      <c r="G13" s="32">
        <f>IF((MAX(0,Assumptions!$B$2*EXP(-Assumptions!$B$4*Assumptions!$B$9)*NORMSDIST(((LN(Assumptions!$B$2/$B13)+(Assumptions!$B$3-Assumptions!$B$4+(G$3/100)^2/2)*Assumptions!$B$9)/((G$3/100)*Assumptions!$B$10)))-$B13*EXP(-Assumptions!$B$3*Assumptions!$B$9)*NORMSDIST((((LN(Assumptions!$B$2/$B13)+(Assumptions!$B$3-Assumptions!$B$4+(G$3/100)^2/2)*Assumptions!$B$9)/((G$3/100)*Assumptions!$B$10))-(G$3/100)*Assumptions!$B$10))))&lt;=0,"",(Assumptions!$B$2*EXP(-Assumptions!$B$4*Assumptions!$B$9)*NORMDIST(((LN(Assumptions!$B$2/$B13)+(Assumptions!$B$3-Assumptions!$B$4+(G$3/100)^2/2)*Assumptions!$B$9)/((G$3/100)*Assumptions!$B$10)),0,1,FALSE)*Assumptions!$B$10*0.01)*((G$3/100)/0.01)/(MAX(0,Assumptions!$B$2*EXP(-Assumptions!$B$4*Assumptions!$B$9)*NORMSDIST(((LN(Assumptions!$B$2/$B13)+(Assumptions!$B$3-Assumptions!$B$4+(G$3/100)^2/2)*Assumptions!$B$9)/((G$3/100)*Assumptions!$B$10)))-$B13*EXP(-Assumptions!$B$3*Assumptions!$B$9)*NORMSDIST((((LN(Assumptions!$B$2/$B13)+(Assumptions!$B$3-Assumptions!$B$4+(G$3/100)^2/2)*Assumptions!$B$9)/((G$3/100)*Assumptions!$B$10))-(G$3/100)*Assumptions!$B$10)))))</f>
        <v/>
      </c>
      <c r="H13" s="32">
        <f>IF((MAX(0,Assumptions!$B$2*EXP(-Assumptions!$B$4*Assumptions!$B$9)*NORMSDIST(((LN(Assumptions!$B$2/$B13)+(Assumptions!$B$3-Assumptions!$B$4+(H$3/100)^2/2)*Assumptions!$B$9)/((H$3/100)*Assumptions!$B$10)))-$B13*EXP(-Assumptions!$B$3*Assumptions!$B$9)*NORMSDIST((((LN(Assumptions!$B$2/$B13)+(Assumptions!$B$3-Assumptions!$B$4+(H$3/100)^2/2)*Assumptions!$B$9)/((H$3/100)*Assumptions!$B$10))-(H$3/100)*Assumptions!$B$10))))&lt;=0,"",(Assumptions!$B$2*EXP(-Assumptions!$B$4*Assumptions!$B$9)*NORMDIST(((LN(Assumptions!$B$2/$B13)+(Assumptions!$B$3-Assumptions!$B$4+(H$3/100)^2/2)*Assumptions!$B$9)/((H$3/100)*Assumptions!$B$10)),0,1,FALSE)*Assumptions!$B$10*0.01)*((H$3/100)/0.01)/(MAX(0,Assumptions!$B$2*EXP(-Assumptions!$B$4*Assumptions!$B$9)*NORMSDIST(((LN(Assumptions!$B$2/$B13)+(Assumptions!$B$3-Assumptions!$B$4+(H$3/100)^2/2)*Assumptions!$B$9)/((H$3/100)*Assumptions!$B$10)))-$B13*EXP(-Assumptions!$B$3*Assumptions!$B$9)*NORMSDIST((((LN(Assumptions!$B$2/$B13)+(Assumptions!$B$3-Assumptions!$B$4+(H$3/100)^2/2)*Assumptions!$B$9)/((H$3/100)*Assumptions!$B$10))-(H$3/100)*Assumptions!$B$10)))))</f>
        <v/>
      </c>
      <c r="I13" s="32">
        <f>IF((MAX(0,Assumptions!$B$2*EXP(-Assumptions!$B$4*Assumptions!$B$9)*NORMSDIST(((LN(Assumptions!$B$2/$B13)+(Assumptions!$B$3-Assumptions!$B$4+(I$3/100)^2/2)*Assumptions!$B$9)/((I$3/100)*Assumptions!$B$10)))-$B13*EXP(-Assumptions!$B$3*Assumptions!$B$9)*NORMSDIST((((LN(Assumptions!$B$2/$B13)+(Assumptions!$B$3-Assumptions!$B$4+(I$3/100)^2/2)*Assumptions!$B$9)/((I$3/100)*Assumptions!$B$10))-(I$3/100)*Assumptions!$B$10))))&lt;=0,"",(Assumptions!$B$2*EXP(-Assumptions!$B$4*Assumptions!$B$9)*NORMDIST(((LN(Assumptions!$B$2/$B13)+(Assumptions!$B$3-Assumptions!$B$4+(I$3/100)^2/2)*Assumptions!$B$9)/((I$3/100)*Assumptions!$B$10)),0,1,FALSE)*Assumptions!$B$10*0.01)*((I$3/100)/0.01)/(MAX(0,Assumptions!$B$2*EXP(-Assumptions!$B$4*Assumptions!$B$9)*NORMSDIST(((LN(Assumptions!$B$2/$B13)+(Assumptions!$B$3-Assumptions!$B$4+(I$3/100)^2/2)*Assumptions!$B$9)/((I$3/100)*Assumptions!$B$10)))-$B13*EXP(-Assumptions!$B$3*Assumptions!$B$9)*NORMSDIST((((LN(Assumptions!$B$2/$B13)+(Assumptions!$B$3-Assumptions!$B$4+(I$3/100)^2/2)*Assumptions!$B$9)/((I$3/100)*Assumptions!$B$10))-(I$3/100)*Assumptions!$B$10)))))</f>
        <v/>
      </c>
      <c r="J13" s="32">
        <f>IF((MAX(0,Assumptions!$B$2*EXP(-Assumptions!$B$4*Assumptions!$B$9)*NORMSDIST(((LN(Assumptions!$B$2/$B13)+(Assumptions!$B$3-Assumptions!$B$4+(J$3/100)^2/2)*Assumptions!$B$9)/((J$3/100)*Assumptions!$B$10)))-$B13*EXP(-Assumptions!$B$3*Assumptions!$B$9)*NORMSDIST((((LN(Assumptions!$B$2/$B13)+(Assumptions!$B$3-Assumptions!$B$4+(J$3/100)^2/2)*Assumptions!$B$9)/((J$3/100)*Assumptions!$B$10))-(J$3/100)*Assumptions!$B$10))))&lt;=0,"",(Assumptions!$B$2*EXP(-Assumptions!$B$4*Assumptions!$B$9)*NORMDIST(((LN(Assumptions!$B$2/$B13)+(Assumptions!$B$3-Assumptions!$B$4+(J$3/100)^2/2)*Assumptions!$B$9)/((J$3/100)*Assumptions!$B$10)),0,1,FALSE)*Assumptions!$B$10*0.01)*((J$3/100)/0.01)/(MAX(0,Assumptions!$B$2*EXP(-Assumptions!$B$4*Assumptions!$B$9)*NORMSDIST(((LN(Assumptions!$B$2/$B13)+(Assumptions!$B$3-Assumptions!$B$4+(J$3/100)^2/2)*Assumptions!$B$9)/((J$3/100)*Assumptions!$B$10)))-$B13*EXP(-Assumptions!$B$3*Assumptions!$B$9)*NORMSDIST((((LN(Assumptions!$B$2/$B13)+(Assumptions!$B$3-Assumptions!$B$4+(J$3/100)^2/2)*Assumptions!$B$9)/((J$3/100)*Assumptions!$B$10))-(J$3/100)*Assumptions!$B$10)))))</f>
        <v/>
      </c>
      <c r="K13" s="32">
        <f>IF((MAX(0,Assumptions!$B$2*EXP(-Assumptions!$B$4*Assumptions!$B$9)*NORMSDIST(((LN(Assumptions!$B$2/$B13)+(Assumptions!$B$3-Assumptions!$B$4+(K$3/100)^2/2)*Assumptions!$B$9)/((K$3/100)*Assumptions!$B$10)))-$B13*EXP(-Assumptions!$B$3*Assumptions!$B$9)*NORMSDIST((((LN(Assumptions!$B$2/$B13)+(Assumptions!$B$3-Assumptions!$B$4+(K$3/100)^2/2)*Assumptions!$B$9)/((K$3/100)*Assumptions!$B$10))-(K$3/100)*Assumptions!$B$10))))&lt;=0,"",(Assumptions!$B$2*EXP(-Assumptions!$B$4*Assumptions!$B$9)*NORMDIST(((LN(Assumptions!$B$2/$B13)+(Assumptions!$B$3-Assumptions!$B$4+(K$3/100)^2/2)*Assumptions!$B$9)/((K$3/100)*Assumptions!$B$10)),0,1,FALSE)*Assumptions!$B$10*0.01)*((K$3/100)/0.01)/(MAX(0,Assumptions!$B$2*EXP(-Assumptions!$B$4*Assumptions!$B$9)*NORMSDIST(((LN(Assumptions!$B$2/$B13)+(Assumptions!$B$3-Assumptions!$B$4+(K$3/100)^2/2)*Assumptions!$B$9)/((K$3/100)*Assumptions!$B$10)))-$B13*EXP(-Assumptions!$B$3*Assumptions!$B$9)*NORMSDIST((((LN(Assumptions!$B$2/$B13)+(Assumptions!$B$3-Assumptions!$B$4+(K$3/100)^2/2)*Assumptions!$B$9)/((K$3/100)*Assumptions!$B$10))-(K$3/100)*Assumptions!$B$10)))))</f>
        <v/>
      </c>
      <c r="L13" s="32">
        <f>IF((MAX(0,Assumptions!$B$2*EXP(-Assumptions!$B$4*Assumptions!$B$9)*NORMSDIST(((LN(Assumptions!$B$2/$B13)+(Assumptions!$B$3-Assumptions!$B$4+(L$3/100)^2/2)*Assumptions!$B$9)/((L$3/100)*Assumptions!$B$10)))-$B13*EXP(-Assumptions!$B$3*Assumptions!$B$9)*NORMSDIST((((LN(Assumptions!$B$2/$B13)+(Assumptions!$B$3-Assumptions!$B$4+(L$3/100)^2/2)*Assumptions!$B$9)/((L$3/100)*Assumptions!$B$10))-(L$3/100)*Assumptions!$B$10))))&lt;=0,"",(Assumptions!$B$2*EXP(-Assumptions!$B$4*Assumptions!$B$9)*NORMDIST(((LN(Assumptions!$B$2/$B13)+(Assumptions!$B$3-Assumptions!$B$4+(L$3/100)^2/2)*Assumptions!$B$9)/((L$3/100)*Assumptions!$B$10)),0,1,FALSE)*Assumptions!$B$10*0.01)*((L$3/100)/0.01)/(MAX(0,Assumptions!$B$2*EXP(-Assumptions!$B$4*Assumptions!$B$9)*NORMSDIST(((LN(Assumptions!$B$2/$B13)+(Assumptions!$B$3-Assumptions!$B$4+(L$3/100)^2/2)*Assumptions!$B$9)/((L$3/100)*Assumptions!$B$10)))-$B13*EXP(-Assumptions!$B$3*Assumptions!$B$9)*NORMSDIST((((LN(Assumptions!$B$2/$B13)+(Assumptions!$B$3-Assumptions!$B$4+(L$3/100)^2/2)*Assumptions!$B$9)/((L$3/100)*Assumptions!$B$10))-(L$3/100)*Assumptions!$B$10)))))</f>
        <v/>
      </c>
      <c r="M13" s="32">
        <f>IF((MAX(0,Assumptions!$B$2*EXP(-Assumptions!$B$4*Assumptions!$B$9)*NORMSDIST(((LN(Assumptions!$B$2/$B13)+(Assumptions!$B$3-Assumptions!$B$4+(M$3/100)^2/2)*Assumptions!$B$9)/((M$3/100)*Assumptions!$B$10)))-$B13*EXP(-Assumptions!$B$3*Assumptions!$B$9)*NORMSDIST((((LN(Assumptions!$B$2/$B13)+(Assumptions!$B$3-Assumptions!$B$4+(M$3/100)^2/2)*Assumptions!$B$9)/((M$3/100)*Assumptions!$B$10))-(M$3/100)*Assumptions!$B$10))))&lt;=0,"",(Assumptions!$B$2*EXP(-Assumptions!$B$4*Assumptions!$B$9)*NORMDIST(((LN(Assumptions!$B$2/$B13)+(Assumptions!$B$3-Assumptions!$B$4+(M$3/100)^2/2)*Assumptions!$B$9)/((M$3/100)*Assumptions!$B$10)),0,1,FALSE)*Assumptions!$B$10*0.01)*((M$3/100)/0.01)/(MAX(0,Assumptions!$B$2*EXP(-Assumptions!$B$4*Assumptions!$B$9)*NORMSDIST(((LN(Assumptions!$B$2/$B13)+(Assumptions!$B$3-Assumptions!$B$4+(M$3/100)^2/2)*Assumptions!$B$9)/((M$3/100)*Assumptions!$B$10)))-$B13*EXP(-Assumptions!$B$3*Assumptions!$B$9)*NORMSDIST((((LN(Assumptions!$B$2/$B13)+(Assumptions!$B$3-Assumptions!$B$4+(M$3/100)^2/2)*Assumptions!$B$9)/((M$3/100)*Assumptions!$B$10))-(M$3/100)*Assumptions!$B$10)))))</f>
        <v/>
      </c>
      <c r="N13" s="32">
        <f>IF((MAX(0,Assumptions!$B$2*EXP(-Assumptions!$B$4*Assumptions!$B$9)*NORMSDIST(((LN(Assumptions!$B$2/$B13)+(Assumptions!$B$3-Assumptions!$B$4+(N$3/100)^2/2)*Assumptions!$B$9)/((N$3/100)*Assumptions!$B$10)))-$B13*EXP(-Assumptions!$B$3*Assumptions!$B$9)*NORMSDIST((((LN(Assumptions!$B$2/$B13)+(Assumptions!$B$3-Assumptions!$B$4+(N$3/100)^2/2)*Assumptions!$B$9)/((N$3/100)*Assumptions!$B$10))-(N$3/100)*Assumptions!$B$10))))&lt;=0,"",(Assumptions!$B$2*EXP(-Assumptions!$B$4*Assumptions!$B$9)*NORMDIST(((LN(Assumptions!$B$2/$B13)+(Assumptions!$B$3-Assumptions!$B$4+(N$3/100)^2/2)*Assumptions!$B$9)/((N$3/100)*Assumptions!$B$10)),0,1,FALSE)*Assumptions!$B$10*0.01)*((N$3/100)/0.01)/(MAX(0,Assumptions!$B$2*EXP(-Assumptions!$B$4*Assumptions!$B$9)*NORMSDIST(((LN(Assumptions!$B$2/$B13)+(Assumptions!$B$3-Assumptions!$B$4+(N$3/100)^2/2)*Assumptions!$B$9)/((N$3/100)*Assumptions!$B$10)))-$B13*EXP(-Assumptions!$B$3*Assumptions!$B$9)*NORMSDIST((((LN(Assumptions!$B$2/$B13)+(Assumptions!$B$3-Assumptions!$B$4+(N$3/100)^2/2)*Assumptions!$B$9)/((N$3/100)*Assumptions!$B$10))-(N$3/100)*Assumptions!$B$10)))))</f>
        <v/>
      </c>
      <c r="O13" s="32">
        <f>IF((MAX(0,Assumptions!$B$2*EXP(-Assumptions!$B$4*Assumptions!$B$9)*NORMSDIST(((LN(Assumptions!$B$2/$B13)+(Assumptions!$B$3-Assumptions!$B$4+(O$3/100)^2/2)*Assumptions!$B$9)/((O$3/100)*Assumptions!$B$10)))-$B13*EXP(-Assumptions!$B$3*Assumptions!$B$9)*NORMSDIST((((LN(Assumptions!$B$2/$B13)+(Assumptions!$B$3-Assumptions!$B$4+(O$3/100)^2/2)*Assumptions!$B$9)/((O$3/100)*Assumptions!$B$10))-(O$3/100)*Assumptions!$B$10))))&lt;=0,"",(Assumptions!$B$2*EXP(-Assumptions!$B$4*Assumptions!$B$9)*NORMDIST(((LN(Assumptions!$B$2/$B13)+(Assumptions!$B$3-Assumptions!$B$4+(O$3/100)^2/2)*Assumptions!$B$9)/((O$3/100)*Assumptions!$B$10)),0,1,FALSE)*Assumptions!$B$10*0.01)*((O$3/100)/0.01)/(MAX(0,Assumptions!$B$2*EXP(-Assumptions!$B$4*Assumptions!$B$9)*NORMSDIST(((LN(Assumptions!$B$2/$B13)+(Assumptions!$B$3-Assumptions!$B$4+(O$3/100)^2/2)*Assumptions!$B$9)/((O$3/100)*Assumptions!$B$10)))-$B13*EXP(-Assumptions!$B$3*Assumptions!$B$9)*NORMSDIST((((LN(Assumptions!$B$2/$B13)+(Assumptions!$B$3-Assumptions!$B$4+(O$3/100)^2/2)*Assumptions!$B$9)/((O$3/100)*Assumptions!$B$10))-(O$3/100)*Assumptions!$B$10)))))</f>
        <v/>
      </c>
      <c r="P13" s="32">
        <f>IF((MAX(0,Assumptions!$B$2*EXP(-Assumptions!$B$4*Assumptions!$B$9)*NORMSDIST(((LN(Assumptions!$B$2/$B13)+(Assumptions!$B$3-Assumptions!$B$4+(P$3/100)^2/2)*Assumptions!$B$9)/((P$3/100)*Assumptions!$B$10)))-$B13*EXP(-Assumptions!$B$3*Assumptions!$B$9)*NORMSDIST((((LN(Assumptions!$B$2/$B13)+(Assumptions!$B$3-Assumptions!$B$4+(P$3/100)^2/2)*Assumptions!$B$9)/((P$3/100)*Assumptions!$B$10))-(P$3/100)*Assumptions!$B$10))))&lt;=0,"",(Assumptions!$B$2*EXP(-Assumptions!$B$4*Assumptions!$B$9)*NORMDIST(((LN(Assumptions!$B$2/$B13)+(Assumptions!$B$3-Assumptions!$B$4+(P$3/100)^2/2)*Assumptions!$B$9)/((P$3/100)*Assumptions!$B$10)),0,1,FALSE)*Assumptions!$B$10*0.01)*((P$3/100)/0.01)/(MAX(0,Assumptions!$B$2*EXP(-Assumptions!$B$4*Assumptions!$B$9)*NORMSDIST(((LN(Assumptions!$B$2/$B13)+(Assumptions!$B$3-Assumptions!$B$4+(P$3/100)^2/2)*Assumptions!$B$9)/((P$3/100)*Assumptions!$B$10)))-$B13*EXP(-Assumptions!$B$3*Assumptions!$B$9)*NORMSDIST((((LN(Assumptions!$B$2/$B13)+(Assumptions!$B$3-Assumptions!$B$4+(P$3/100)^2/2)*Assumptions!$B$9)/((P$3/100)*Assumptions!$B$10))-(P$3/100)*Assumptions!$B$10)))))</f>
        <v/>
      </c>
      <c r="Q13" s="32">
        <f>IF((MAX(0,Assumptions!$B$2*EXP(-Assumptions!$B$4*Assumptions!$B$9)*NORMSDIST(((LN(Assumptions!$B$2/$B13)+(Assumptions!$B$3-Assumptions!$B$4+(Q$3/100)^2/2)*Assumptions!$B$9)/((Q$3/100)*Assumptions!$B$10)))-$B13*EXP(-Assumptions!$B$3*Assumptions!$B$9)*NORMSDIST((((LN(Assumptions!$B$2/$B13)+(Assumptions!$B$3-Assumptions!$B$4+(Q$3/100)^2/2)*Assumptions!$B$9)/((Q$3/100)*Assumptions!$B$10))-(Q$3/100)*Assumptions!$B$10))))&lt;=0,"",(Assumptions!$B$2*EXP(-Assumptions!$B$4*Assumptions!$B$9)*NORMDIST(((LN(Assumptions!$B$2/$B13)+(Assumptions!$B$3-Assumptions!$B$4+(Q$3/100)^2/2)*Assumptions!$B$9)/((Q$3/100)*Assumptions!$B$10)),0,1,FALSE)*Assumptions!$B$10*0.01)*((Q$3/100)/0.01)/(MAX(0,Assumptions!$B$2*EXP(-Assumptions!$B$4*Assumptions!$B$9)*NORMSDIST(((LN(Assumptions!$B$2/$B13)+(Assumptions!$B$3-Assumptions!$B$4+(Q$3/100)^2/2)*Assumptions!$B$9)/((Q$3/100)*Assumptions!$B$10)))-$B13*EXP(-Assumptions!$B$3*Assumptions!$B$9)*NORMSDIST((((LN(Assumptions!$B$2/$B13)+(Assumptions!$B$3-Assumptions!$B$4+(Q$3/100)^2/2)*Assumptions!$B$9)/((Q$3/100)*Assumptions!$B$10))-(Q$3/100)*Assumptions!$B$10)))))</f>
        <v/>
      </c>
      <c r="R13" s="32">
        <f>IF((MAX(0,Assumptions!$B$2*EXP(-Assumptions!$B$4*Assumptions!$B$9)*NORMSDIST(((LN(Assumptions!$B$2/$B13)+(Assumptions!$B$3-Assumptions!$B$4+(R$3/100)^2/2)*Assumptions!$B$9)/((R$3/100)*Assumptions!$B$10)))-$B13*EXP(-Assumptions!$B$3*Assumptions!$B$9)*NORMSDIST((((LN(Assumptions!$B$2/$B13)+(Assumptions!$B$3-Assumptions!$B$4+(R$3/100)^2/2)*Assumptions!$B$9)/((R$3/100)*Assumptions!$B$10))-(R$3/100)*Assumptions!$B$10))))&lt;=0,"",(Assumptions!$B$2*EXP(-Assumptions!$B$4*Assumptions!$B$9)*NORMDIST(((LN(Assumptions!$B$2/$B13)+(Assumptions!$B$3-Assumptions!$B$4+(R$3/100)^2/2)*Assumptions!$B$9)/((R$3/100)*Assumptions!$B$10)),0,1,FALSE)*Assumptions!$B$10*0.01)*((R$3/100)/0.01)/(MAX(0,Assumptions!$B$2*EXP(-Assumptions!$B$4*Assumptions!$B$9)*NORMSDIST(((LN(Assumptions!$B$2/$B13)+(Assumptions!$B$3-Assumptions!$B$4+(R$3/100)^2/2)*Assumptions!$B$9)/((R$3/100)*Assumptions!$B$10)))-$B13*EXP(-Assumptions!$B$3*Assumptions!$B$9)*NORMSDIST((((LN(Assumptions!$B$2/$B13)+(Assumptions!$B$3-Assumptions!$B$4+(R$3/100)^2/2)*Assumptions!$B$9)/((R$3/100)*Assumptions!$B$10))-(R$3/100)*Assumptions!$B$10)))))</f>
        <v/>
      </c>
      <c r="S13" s="32">
        <f>IF((MAX(0,Assumptions!$B$2*EXP(-Assumptions!$B$4*Assumptions!$B$9)*NORMSDIST(((LN(Assumptions!$B$2/$B13)+(Assumptions!$B$3-Assumptions!$B$4+(S$3/100)^2/2)*Assumptions!$B$9)/((S$3/100)*Assumptions!$B$10)))-$B13*EXP(-Assumptions!$B$3*Assumptions!$B$9)*NORMSDIST((((LN(Assumptions!$B$2/$B13)+(Assumptions!$B$3-Assumptions!$B$4+(S$3/100)^2/2)*Assumptions!$B$9)/((S$3/100)*Assumptions!$B$10))-(S$3/100)*Assumptions!$B$10))))&lt;=0,"",(Assumptions!$B$2*EXP(-Assumptions!$B$4*Assumptions!$B$9)*NORMDIST(((LN(Assumptions!$B$2/$B13)+(Assumptions!$B$3-Assumptions!$B$4+(S$3/100)^2/2)*Assumptions!$B$9)/((S$3/100)*Assumptions!$B$10)),0,1,FALSE)*Assumptions!$B$10*0.01)*((S$3/100)/0.01)/(MAX(0,Assumptions!$B$2*EXP(-Assumptions!$B$4*Assumptions!$B$9)*NORMSDIST(((LN(Assumptions!$B$2/$B13)+(Assumptions!$B$3-Assumptions!$B$4+(S$3/100)^2/2)*Assumptions!$B$9)/((S$3/100)*Assumptions!$B$10)))-$B13*EXP(-Assumptions!$B$3*Assumptions!$B$9)*NORMSDIST((((LN(Assumptions!$B$2/$B13)+(Assumptions!$B$3-Assumptions!$B$4+(S$3/100)^2/2)*Assumptions!$B$9)/((S$3/100)*Assumptions!$B$10))-(S$3/100)*Assumptions!$B$10)))))</f>
        <v/>
      </c>
      <c r="T13" s="32">
        <f>IF((MAX(0,Assumptions!$B$2*EXP(-Assumptions!$B$4*Assumptions!$B$9)*NORMSDIST(((LN(Assumptions!$B$2/$B13)+(Assumptions!$B$3-Assumptions!$B$4+(T$3/100)^2/2)*Assumptions!$B$9)/((T$3/100)*Assumptions!$B$10)))-$B13*EXP(-Assumptions!$B$3*Assumptions!$B$9)*NORMSDIST((((LN(Assumptions!$B$2/$B13)+(Assumptions!$B$3-Assumptions!$B$4+(T$3/100)^2/2)*Assumptions!$B$9)/((T$3/100)*Assumptions!$B$10))-(T$3/100)*Assumptions!$B$10))))&lt;=0,"",(Assumptions!$B$2*EXP(-Assumptions!$B$4*Assumptions!$B$9)*NORMDIST(((LN(Assumptions!$B$2/$B13)+(Assumptions!$B$3-Assumptions!$B$4+(T$3/100)^2/2)*Assumptions!$B$9)/((T$3/100)*Assumptions!$B$10)),0,1,FALSE)*Assumptions!$B$10*0.01)*((T$3/100)/0.01)/(MAX(0,Assumptions!$B$2*EXP(-Assumptions!$B$4*Assumptions!$B$9)*NORMSDIST(((LN(Assumptions!$B$2/$B13)+(Assumptions!$B$3-Assumptions!$B$4+(T$3/100)^2/2)*Assumptions!$B$9)/((T$3/100)*Assumptions!$B$10)))-$B13*EXP(-Assumptions!$B$3*Assumptions!$B$9)*NORMSDIST((((LN(Assumptions!$B$2/$B13)+(Assumptions!$B$3-Assumptions!$B$4+(T$3/100)^2/2)*Assumptions!$B$9)/((T$3/100)*Assumptions!$B$10))-(T$3/100)*Assumptions!$B$10)))))</f>
        <v/>
      </c>
      <c r="U13" s="32">
        <f>IF((MAX(0,Assumptions!$B$2*EXP(-Assumptions!$B$4*Assumptions!$B$9)*NORMSDIST(((LN(Assumptions!$B$2/$B13)+(Assumptions!$B$3-Assumptions!$B$4+(U$3/100)^2/2)*Assumptions!$B$9)/((U$3/100)*Assumptions!$B$10)))-$B13*EXP(-Assumptions!$B$3*Assumptions!$B$9)*NORMSDIST((((LN(Assumptions!$B$2/$B13)+(Assumptions!$B$3-Assumptions!$B$4+(U$3/100)^2/2)*Assumptions!$B$9)/((U$3/100)*Assumptions!$B$10))-(U$3/100)*Assumptions!$B$10))))&lt;=0,"",(Assumptions!$B$2*EXP(-Assumptions!$B$4*Assumptions!$B$9)*NORMDIST(((LN(Assumptions!$B$2/$B13)+(Assumptions!$B$3-Assumptions!$B$4+(U$3/100)^2/2)*Assumptions!$B$9)/((U$3/100)*Assumptions!$B$10)),0,1,FALSE)*Assumptions!$B$10*0.01)*((U$3/100)/0.01)/(MAX(0,Assumptions!$B$2*EXP(-Assumptions!$B$4*Assumptions!$B$9)*NORMSDIST(((LN(Assumptions!$B$2/$B13)+(Assumptions!$B$3-Assumptions!$B$4+(U$3/100)^2/2)*Assumptions!$B$9)/((U$3/100)*Assumptions!$B$10)))-$B13*EXP(-Assumptions!$B$3*Assumptions!$B$9)*NORMSDIST((((LN(Assumptions!$B$2/$B13)+(Assumptions!$B$3-Assumptions!$B$4+(U$3/100)^2/2)*Assumptions!$B$9)/((U$3/100)*Assumptions!$B$10))-(U$3/100)*Assumptions!$B$10)))))</f>
        <v/>
      </c>
      <c r="V13" s="32">
        <f>IF((MAX(0,Assumptions!$B$2*EXP(-Assumptions!$B$4*Assumptions!$B$9)*NORMSDIST(((LN(Assumptions!$B$2/$B13)+(Assumptions!$B$3-Assumptions!$B$4+(V$3/100)^2/2)*Assumptions!$B$9)/((V$3/100)*Assumptions!$B$10)))-$B13*EXP(-Assumptions!$B$3*Assumptions!$B$9)*NORMSDIST((((LN(Assumptions!$B$2/$B13)+(Assumptions!$B$3-Assumptions!$B$4+(V$3/100)^2/2)*Assumptions!$B$9)/((V$3/100)*Assumptions!$B$10))-(V$3/100)*Assumptions!$B$10))))&lt;=0,"",(Assumptions!$B$2*EXP(-Assumptions!$B$4*Assumptions!$B$9)*NORMDIST(((LN(Assumptions!$B$2/$B13)+(Assumptions!$B$3-Assumptions!$B$4+(V$3/100)^2/2)*Assumptions!$B$9)/((V$3/100)*Assumptions!$B$10)),0,1,FALSE)*Assumptions!$B$10*0.01)*((V$3/100)/0.01)/(MAX(0,Assumptions!$B$2*EXP(-Assumptions!$B$4*Assumptions!$B$9)*NORMSDIST(((LN(Assumptions!$B$2/$B13)+(Assumptions!$B$3-Assumptions!$B$4+(V$3/100)^2/2)*Assumptions!$B$9)/((V$3/100)*Assumptions!$B$10)))-$B13*EXP(-Assumptions!$B$3*Assumptions!$B$9)*NORMSDIST((((LN(Assumptions!$B$2/$B13)+(Assumptions!$B$3-Assumptions!$B$4+(V$3/100)^2/2)*Assumptions!$B$9)/((V$3/100)*Assumptions!$B$10))-(V$3/100)*Assumptions!$B$10)))))</f>
        <v/>
      </c>
      <c r="W13" s="32">
        <f>IF((MAX(0,Assumptions!$B$2*EXP(-Assumptions!$B$4*Assumptions!$B$9)*NORMSDIST(((LN(Assumptions!$B$2/$B13)+(Assumptions!$B$3-Assumptions!$B$4+(W$3/100)^2/2)*Assumptions!$B$9)/((W$3/100)*Assumptions!$B$10)))-$B13*EXP(-Assumptions!$B$3*Assumptions!$B$9)*NORMSDIST((((LN(Assumptions!$B$2/$B13)+(Assumptions!$B$3-Assumptions!$B$4+(W$3/100)^2/2)*Assumptions!$B$9)/((W$3/100)*Assumptions!$B$10))-(W$3/100)*Assumptions!$B$10))))&lt;=0,"",(Assumptions!$B$2*EXP(-Assumptions!$B$4*Assumptions!$B$9)*NORMDIST(((LN(Assumptions!$B$2/$B13)+(Assumptions!$B$3-Assumptions!$B$4+(W$3/100)^2/2)*Assumptions!$B$9)/((W$3/100)*Assumptions!$B$10)),0,1,FALSE)*Assumptions!$B$10*0.01)*((W$3/100)/0.01)/(MAX(0,Assumptions!$B$2*EXP(-Assumptions!$B$4*Assumptions!$B$9)*NORMSDIST(((LN(Assumptions!$B$2/$B13)+(Assumptions!$B$3-Assumptions!$B$4+(W$3/100)^2/2)*Assumptions!$B$9)/((W$3/100)*Assumptions!$B$10)))-$B13*EXP(-Assumptions!$B$3*Assumptions!$B$9)*NORMSDIST((((LN(Assumptions!$B$2/$B13)+(Assumptions!$B$3-Assumptions!$B$4+(W$3/100)^2/2)*Assumptions!$B$9)/((W$3/100)*Assumptions!$B$10))-(W$3/100)*Assumptions!$B$10)))))</f>
        <v/>
      </c>
      <c r="X13" s="32">
        <f>IF((MAX(0,Assumptions!$B$2*EXP(-Assumptions!$B$4*Assumptions!$B$9)*NORMSDIST(((LN(Assumptions!$B$2/$B13)+(Assumptions!$B$3-Assumptions!$B$4+(X$3/100)^2/2)*Assumptions!$B$9)/((X$3/100)*Assumptions!$B$10)))-$B13*EXP(-Assumptions!$B$3*Assumptions!$B$9)*NORMSDIST((((LN(Assumptions!$B$2/$B13)+(Assumptions!$B$3-Assumptions!$B$4+(X$3/100)^2/2)*Assumptions!$B$9)/((X$3/100)*Assumptions!$B$10))-(X$3/100)*Assumptions!$B$10))))&lt;=0,"",(Assumptions!$B$2*EXP(-Assumptions!$B$4*Assumptions!$B$9)*NORMDIST(((LN(Assumptions!$B$2/$B13)+(Assumptions!$B$3-Assumptions!$B$4+(X$3/100)^2/2)*Assumptions!$B$9)/((X$3/100)*Assumptions!$B$10)),0,1,FALSE)*Assumptions!$B$10*0.01)*((X$3/100)/0.01)/(MAX(0,Assumptions!$B$2*EXP(-Assumptions!$B$4*Assumptions!$B$9)*NORMSDIST(((LN(Assumptions!$B$2/$B13)+(Assumptions!$B$3-Assumptions!$B$4+(X$3/100)^2/2)*Assumptions!$B$9)/((X$3/100)*Assumptions!$B$10)))-$B13*EXP(-Assumptions!$B$3*Assumptions!$B$9)*NORMSDIST((((LN(Assumptions!$B$2/$B13)+(Assumptions!$B$3-Assumptions!$B$4+(X$3/100)^2/2)*Assumptions!$B$9)/((X$3/100)*Assumptions!$B$10))-(X$3/100)*Assumptions!$B$10)))))</f>
        <v/>
      </c>
      <c r="Y13" s="32">
        <f>IF((MAX(0,Assumptions!$B$2*EXP(-Assumptions!$B$4*Assumptions!$B$9)*NORMSDIST(((LN(Assumptions!$B$2/$B13)+(Assumptions!$B$3-Assumptions!$B$4+(Y$3/100)^2/2)*Assumptions!$B$9)/((Y$3/100)*Assumptions!$B$10)))-$B13*EXP(-Assumptions!$B$3*Assumptions!$B$9)*NORMSDIST((((LN(Assumptions!$B$2/$B13)+(Assumptions!$B$3-Assumptions!$B$4+(Y$3/100)^2/2)*Assumptions!$B$9)/((Y$3/100)*Assumptions!$B$10))-(Y$3/100)*Assumptions!$B$10))))&lt;=0,"",(Assumptions!$B$2*EXP(-Assumptions!$B$4*Assumptions!$B$9)*NORMDIST(((LN(Assumptions!$B$2/$B13)+(Assumptions!$B$3-Assumptions!$B$4+(Y$3/100)^2/2)*Assumptions!$B$9)/((Y$3/100)*Assumptions!$B$10)),0,1,FALSE)*Assumptions!$B$10*0.01)*((Y$3/100)/0.01)/(MAX(0,Assumptions!$B$2*EXP(-Assumptions!$B$4*Assumptions!$B$9)*NORMSDIST(((LN(Assumptions!$B$2/$B13)+(Assumptions!$B$3-Assumptions!$B$4+(Y$3/100)^2/2)*Assumptions!$B$9)/((Y$3/100)*Assumptions!$B$10)))-$B13*EXP(-Assumptions!$B$3*Assumptions!$B$9)*NORMSDIST((((LN(Assumptions!$B$2/$B13)+(Assumptions!$B$3-Assumptions!$B$4+(Y$3/100)^2/2)*Assumptions!$B$9)/((Y$3/100)*Assumptions!$B$10))-(Y$3/100)*Assumptions!$B$10)))))</f>
        <v/>
      </c>
      <c r="Z13" s="32">
        <f>IF((MAX(0,Assumptions!$B$2*EXP(-Assumptions!$B$4*Assumptions!$B$9)*NORMSDIST(((LN(Assumptions!$B$2/$B13)+(Assumptions!$B$3-Assumptions!$B$4+(Z$3/100)^2/2)*Assumptions!$B$9)/((Z$3/100)*Assumptions!$B$10)))-$B13*EXP(-Assumptions!$B$3*Assumptions!$B$9)*NORMSDIST((((LN(Assumptions!$B$2/$B13)+(Assumptions!$B$3-Assumptions!$B$4+(Z$3/100)^2/2)*Assumptions!$B$9)/((Z$3/100)*Assumptions!$B$10))-(Z$3/100)*Assumptions!$B$10))))&lt;=0,"",(Assumptions!$B$2*EXP(-Assumptions!$B$4*Assumptions!$B$9)*NORMDIST(((LN(Assumptions!$B$2/$B13)+(Assumptions!$B$3-Assumptions!$B$4+(Z$3/100)^2/2)*Assumptions!$B$9)/((Z$3/100)*Assumptions!$B$10)),0,1,FALSE)*Assumptions!$B$10*0.01)*((Z$3/100)/0.01)/(MAX(0,Assumptions!$B$2*EXP(-Assumptions!$B$4*Assumptions!$B$9)*NORMSDIST(((LN(Assumptions!$B$2/$B13)+(Assumptions!$B$3-Assumptions!$B$4+(Z$3/100)^2/2)*Assumptions!$B$9)/((Z$3/100)*Assumptions!$B$10)))-$B13*EXP(-Assumptions!$B$3*Assumptions!$B$9)*NORMSDIST((((LN(Assumptions!$B$2/$B13)+(Assumptions!$B$3-Assumptions!$B$4+(Z$3/100)^2/2)*Assumptions!$B$9)/((Z$3/100)*Assumptions!$B$10))-(Z$3/100)*Assumptions!$B$10)))))</f>
        <v/>
      </c>
      <c r="AA13" s="32">
        <f>IF((MAX(0,Assumptions!$B$2*EXP(-Assumptions!$B$4*Assumptions!$B$9)*NORMSDIST(((LN(Assumptions!$B$2/$B13)+(Assumptions!$B$3-Assumptions!$B$4+(AA$3/100)^2/2)*Assumptions!$B$9)/((AA$3/100)*Assumptions!$B$10)))-$B13*EXP(-Assumptions!$B$3*Assumptions!$B$9)*NORMSDIST((((LN(Assumptions!$B$2/$B13)+(Assumptions!$B$3-Assumptions!$B$4+(AA$3/100)^2/2)*Assumptions!$B$9)/((AA$3/100)*Assumptions!$B$10))-(AA$3/100)*Assumptions!$B$10))))&lt;=0,"",(Assumptions!$B$2*EXP(-Assumptions!$B$4*Assumptions!$B$9)*NORMDIST(((LN(Assumptions!$B$2/$B13)+(Assumptions!$B$3-Assumptions!$B$4+(AA$3/100)^2/2)*Assumptions!$B$9)/((AA$3/100)*Assumptions!$B$10)),0,1,FALSE)*Assumptions!$B$10*0.01)*((AA$3/100)/0.01)/(MAX(0,Assumptions!$B$2*EXP(-Assumptions!$B$4*Assumptions!$B$9)*NORMSDIST(((LN(Assumptions!$B$2/$B13)+(Assumptions!$B$3-Assumptions!$B$4+(AA$3/100)^2/2)*Assumptions!$B$9)/((AA$3/100)*Assumptions!$B$10)))-$B13*EXP(-Assumptions!$B$3*Assumptions!$B$9)*NORMSDIST((((LN(Assumptions!$B$2/$B13)+(Assumptions!$B$3-Assumptions!$B$4+(AA$3/100)^2/2)*Assumptions!$B$9)/((AA$3/100)*Assumptions!$B$10))-(AA$3/100)*Assumptions!$B$10)))))</f>
        <v/>
      </c>
      <c r="AB13" s="32">
        <f>IF((MAX(0,Assumptions!$B$2*EXP(-Assumptions!$B$4*Assumptions!$B$9)*NORMSDIST(((LN(Assumptions!$B$2/$B13)+(Assumptions!$B$3-Assumptions!$B$4+(AB$3/100)^2/2)*Assumptions!$B$9)/((AB$3/100)*Assumptions!$B$10)))-$B13*EXP(-Assumptions!$B$3*Assumptions!$B$9)*NORMSDIST((((LN(Assumptions!$B$2/$B13)+(Assumptions!$B$3-Assumptions!$B$4+(AB$3/100)^2/2)*Assumptions!$B$9)/((AB$3/100)*Assumptions!$B$10))-(AB$3/100)*Assumptions!$B$10))))&lt;=0,"",(Assumptions!$B$2*EXP(-Assumptions!$B$4*Assumptions!$B$9)*NORMDIST(((LN(Assumptions!$B$2/$B13)+(Assumptions!$B$3-Assumptions!$B$4+(AB$3/100)^2/2)*Assumptions!$B$9)/((AB$3/100)*Assumptions!$B$10)),0,1,FALSE)*Assumptions!$B$10*0.01)*((AB$3/100)/0.01)/(MAX(0,Assumptions!$B$2*EXP(-Assumptions!$B$4*Assumptions!$B$9)*NORMSDIST(((LN(Assumptions!$B$2/$B13)+(Assumptions!$B$3-Assumptions!$B$4+(AB$3/100)^2/2)*Assumptions!$B$9)/((AB$3/100)*Assumptions!$B$10)))-$B13*EXP(-Assumptions!$B$3*Assumptions!$B$9)*NORMSDIST((((LN(Assumptions!$B$2/$B13)+(Assumptions!$B$3-Assumptions!$B$4+(AB$3/100)^2/2)*Assumptions!$B$9)/((AB$3/100)*Assumptions!$B$10))-(AB$3/100)*Assumptions!$B$10)))))</f>
        <v/>
      </c>
      <c r="AC13" s="32">
        <f>IF((MAX(0,Assumptions!$B$2*EXP(-Assumptions!$B$4*Assumptions!$B$9)*NORMSDIST(((LN(Assumptions!$B$2/$B13)+(Assumptions!$B$3-Assumptions!$B$4+(AC$3/100)^2/2)*Assumptions!$B$9)/((AC$3/100)*Assumptions!$B$10)))-$B13*EXP(-Assumptions!$B$3*Assumptions!$B$9)*NORMSDIST((((LN(Assumptions!$B$2/$B13)+(Assumptions!$B$3-Assumptions!$B$4+(AC$3/100)^2/2)*Assumptions!$B$9)/((AC$3/100)*Assumptions!$B$10))-(AC$3/100)*Assumptions!$B$10))))&lt;=0,"",(Assumptions!$B$2*EXP(-Assumptions!$B$4*Assumptions!$B$9)*NORMDIST(((LN(Assumptions!$B$2/$B13)+(Assumptions!$B$3-Assumptions!$B$4+(AC$3/100)^2/2)*Assumptions!$B$9)/((AC$3/100)*Assumptions!$B$10)),0,1,FALSE)*Assumptions!$B$10*0.01)*((AC$3/100)/0.01)/(MAX(0,Assumptions!$B$2*EXP(-Assumptions!$B$4*Assumptions!$B$9)*NORMSDIST(((LN(Assumptions!$B$2/$B13)+(Assumptions!$B$3-Assumptions!$B$4+(AC$3/100)^2/2)*Assumptions!$B$9)/((AC$3/100)*Assumptions!$B$10)))-$B13*EXP(-Assumptions!$B$3*Assumptions!$B$9)*NORMSDIST((((LN(Assumptions!$B$2/$B13)+(Assumptions!$B$3-Assumptions!$B$4+(AC$3/100)^2/2)*Assumptions!$B$9)/((AC$3/100)*Assumptions!$B$10))-(AC$3/100)*Assumptions!$B$10)))))</f>
        <v/>
      </c>
      <c r="AD13" s="32">
        <f>IF((MAX(0,Assumptions!$B$2*EXP(-Assumptions!$B$4*Assumptions!$B$9)*NORMSDIST(((LN(Assumptions!$B$2/$B13)+(Assumptions!$B$3-Assumptions!$B$4+(AD$3/100)^2/2)*Assumptions!$B$9)/((AD$3/100)*Assumptions!$B$10)))-$B13*EXP(-Assumptions!$B$3*Assumptions!$B$9)*NORMSDIST((((LN(Assumptions!$B$2/$B13)+(Assumptions!$B$3-Assumptions!$B$4+(AD$3/100)^2/2)*Assumptions!$B$9)/((AD$3/100)*Assumptions!$B$10))-(AD$3/100)*Assumptions!$B$10))))&lt;=0,"",(Assumptions!$B$2*EXP(-Assumptions!$B$4*Assumptions!$B$9)*NORMDIST(((LN(Assumptions!$B$2/$B13)+(Assumptions!$B$3-Assumptions!$B$4+(AD$3/100)^2/2)*Assumptions!$B$9)/((AD$3/100)*Assumptions!$B$10)),0,1,FALSE)*Assumptions!$B$10*0.01)*((AD$3/100)/0.01)/(MAX(0,Assumptions!$B$2*EXP(-Assumptions!$B$4*Assumptions!$B$9)*NORMSDIST(((LN(Assumptions!$B$2/$B13)+(Assumptions!$B$3-Assumptions!$B$4+(AD$3/100)^2/2)*Assumptions!$B$9)/((AD$3/100)*Assumptions!$B$10)))-$B13*EXP(-Assumptions!$B$3*Assumptions!$B$9)*NORMSDIST((((LN(Assumptions!$B$2/$B13)+(Assumptions!$B$3-Assumptions!$B$4+(AD$3/100)^2/2)*Assumptions!$B$9)/((AD$3/100)*Assumptions!$B$10))-(AD$3/100)*Assumptions!$B$10)))))</f>
        <v/>
      </c>
      <c r="AE13" s="32">
        <f>IF((MAX(0,Assumptions!$B$2*EXP(-Assumptions!$B$4*Assumptions!$B$9)*NORMSDIST(((LN(Assumptions!$B$2/$B13)+(Assumptions!$B$3-Assumptions!$B$4+(AE$3/100)^2/2)*Assumptions!$B$9)/((AE$3/100)*Assumptions!$B$10)))-$B13*EXP(-Assumptions!$B$3*Assumptions!$B$9)*NORMSDIST((((LN(Assumptions!$B$2/$B13)+(Assumptions!$B$3-Assumptions!$B$4+(AE$3/100)^2/2)*Assumptions!$B$9)/((AE$3/100)*Assumptions!$B$10))-(AE$3/100)*Assumptions!$B$10))))&lt;=0,"",(Assumptions!$B$2*EXP(-Assumptions!$B$4*Assumptions!$B$9)*NORMDIST(((LN(Assumptions!$B$2/$B13)+(Assumptions!$B$3-Assumptions!$B$4+(AE$3/100)^2/2)*Assumptions!$B$9)/((AE$3/100)*Assumptions!$B$10)),0,1,FALSE)*Assumptions!$B$10*0.01)*((AE$3/100)/0.01)/(MAX(0,Assumptions!$B$2*EXP(-Assumptions!$B$4*Assumptions!$B$9)*NORMSDIST(((LN(Assumptions!$B$2/$B13)+(Assumptions!$B$3-Assumptions!$B$4+(AE$3/100)^2/2)*Assumptions!$B$9)/((AE$3/100)*Assumptions!$B$10)))-$B13*EXP(-Assumptions!$B$3*Assumptions!$B$9)*NORMSDIST((((LN(Assumptions!$B$2/$B13)+(Assumptions!$B$3-Assumptions!$B$4+(AE$3/100)^2/2)*Assumptions!$B$9)/((AE$3/100)*Assumptions!$B$10))-(AE$3/100)*Assumptions!$B$10)))))</f>
        <v/>
      </c>
      <c r="AF13" s="32">
        <f>IF((MAX(0,Assumptions!$B$2*EXP(-Assumptions!$B$4*Assumptions!$B$9)*NORMSDIST(((LN(Assumptions!$B$2/$B13)+(Assumptions!$B$3-Assumptions!$B$4+(AF$3/100)^2/2)*Assumptions!$B$9)/((AF$3/100)*Assumptions!$B$10)))-$B13*EXP(-Assumptions!$B$3*Assumptions!$B$9)*NORMSDIST((((LN(Assumptions!$B$2/$B13)+(Assumptions!$B$3-Assumptions!$B$4+(AF$3/100)^2/2)*Assumptions!$B$9)/((AF$3/100)*Assumptions!$B$10))-(AF$3/100)*Assumptions!$B$10))))&lt;=0,"",(Assumptions!$B$2*EXP(-Assumptions!$B$4*Assumptions!$B$9)*NORMDIST(((LN(Assumptions!$B$2/$B13)+(Assumptions!$B$3-Assumptions!$B$4+(AF$3/100)^2/2)*Assumptions!$B$9)/((AF$3/100)*Assumptions!$B$10)),0,1,FALSE)*Assumptions!$B$10*0.01)*((AF$3/100)/0.01)/(MAX(0,Assumptions!$B$2*EXP(-Assumptions!$B$4*Assumptions!$B$9)*NORMSDIST(((LN(Assumptions!$B$2/$B13)+(Assumptions!$B$3-Assumptions!$B$4+(AF$3/100)^2/2)*Assumptions!$B$9)/((AF$3/100)*Assumptions!$B$10)))-$B13*EXP(-Assumptions!$B$3*Assumptions!$B$9)*NORMSDIST((((LN(Assumptions!$B$2/$B13)+(Assumptions!$B$3-Assumptions!$B$4+(AF$3/100)^2/2)*Assumptions!$B$9)/((AF$3/100)*Assumptions!$B$10))-(AF$3/100)*Assumptions!$B$10)))))</f>
        <v/>
      </c>
      <c r="AG13" s="32">
        <f>IF((MAX(0,Assumptions!$B$2*EXP(-Assumptions!$B$4*Assumptions!$B$9)*NORMSDIST(((LN(Assumptions!$B$2/$B13)+(Assumptions!$B$3-Assumptions!$B$4+(AG$3/100)^2/2)*Assumptions!$B$9)/((AG$3/100)*Assumptions!$B$10)))-$B13*EXP(-Assumptions!$B$3*Assumptions!$B$9)*NORMSDIST((((LN(Assumptions!$B$2/$B13)+(Assumptions!$B$3-Assumptions!$B$4+(AG$3/100)^2/2)*Assumptions!$B$9)/((AG$3/100)*Assumptions!$B$10))-(AG$3/100)*Assumptions!$B$10))))&lt;=0,"",(Assumptions!$B$2*EXP(-Assumptions!$B$4*Assumptions!$B$9)*NORMDIST(((LN(Assumptions!$B$2/$B13)+(Assumptions!$B$3-Assumptions!$B$4+(AG$3/100)^2/2)*Assumptions!$B$9)/((AG$3/100)*Assumptions!$B$10)),0,1,FALSE)*Assumptions!$B$10*0.01)*((AG$3/100)/0.01)/(MAX(0,Assumptions!$B$2*EXP(-Assumptions!$B$4*Assumptions!$B$9)*NORMSDIST(((LN(Assumptions!$B$2/$B13)+(Assumptions!$B$3-Assumptions!$B$4+(AG$3/100)^2/2)*Assumptions!$B$9)/((AG$3/100)*Assumptions!$B$10)))-$B13*EXP(-Assumptions!$B$3*Assumptions!$B$9)*NORMSDIST((((LN(Assumptions!$B$2/$B13)+(Assumptions!$B$3-Assumptions!$B$4+(AG$3/100)^2/2)*Assumptions!$B$9)/((AG$3/100)*Assumptions!$B$10))-(AG$3/100)*Assumptions!$B$10)))))</f>
        <v/>
      </c>
      <c r="AH13" s="32">
        <f>IF((MAX(0,Assumptions!$B$2*EXP(-Assumptions!$B$4*Assumptions!$B$9)*NORMSDIST(((LN(Assumptions!$B$2/$B13)+(Assumptions!$B$3-Assumptions!$B$4+(AH$3/100)^2/2)*Assumptions!$B$9)/((AH$3/100)*Assumptions!$B$10)))-$B13*EXP(-Assumptions!$B$3*Assumptions!$B$9)*NORMSDIST((((LN(Assumptions!$B$2/$B13)+(Assumptions!$B$3-Assumptions!$B$4+(AH$3/100)^2/2)*Assumptions!$B$9)/((AH$3/100)*Assumptions!$B$10))-(AH$3/100)*Assumptions!$B$10))))&lt;=0,"",(Assumptions!$B$2*EXP(-Assumptions!$B$4*Assumptions!$B$9)*NORMDIST(((LN(Assumptions!$B$2/$B13)+(Assumptions!$B$3-Assumptions!$B$4+(AH$3/100)^2/2)*Assumptions!$B$9)/((AH$3/100)*Assumptions!$B$10)),0,1,FALSE)*Assumptions!$B$10*0.01)*((AH$3/100)/0.01)/(MAX(0,Assumptions!$B$2*EXP(-Assumptions!$B$4*Assumptions!$B$9)*NORMSDIST(((LN(Assumptions!$B$2/$B13)+(Assumptions!$B$3-Assumptions!$B$4+(AH$3/100)^2/2)*Assumptions!$B$9)/((AH$3/100)*Assumptions!$B$10)))-$B13*EXP(-Assumptions!$B$3*Assumptions!$B$9)*NORMSDIST((((LN(Assumptions!$B$2/$B13)+(Assumptions!$B$3-Assumptions!$B$4+(AH$3/100)^2/2)*Assumptions!$B$9)/((AH$3/100)*Assumptions!$B$10))-(AH$3/100)*Assumptions!$B$10)))))</f>
        <v/>
      </c>
      <c r="AI13" s="32">
        <f>IF((MAX(0,Assumptions!$B$2*EXP(-Assumptions!$B$4*Assumptions!$B$9)*NORMSDIST(((LN(Assumptions!$B$2/$B13)+(Assumptions!$B$3-Assumptions!$B$4+(AI$3/100)^2/2)*Assumptions!$B$9)/((AI$3/100)*Assumptions!$B$10)))-$B13*EXP(-Assumptions!$B$3*Assumptions!$B$9)*NORMSDIST((((LN(Assumptions!$B$2/$B13)+(Assumptions!$B$3-Assumptions!$B$4+(AI$3/100)^2/2)*Assumptions!$B$9)/((AI$3/100)*Assumptions!$B$10))-(AI$3/100)*Assumptions!$B$10))))&lt;=0,"",(Assumptions!$B$2*EXP(-Assumptions!$B$4*Assumptions!$B$9)*NORMDIST(((LN(Assumptions!$B$2/$B13)+(Assumptions!$B$3-Assumptions!$B$4+(AI$3/100)^2/2)*Assumptions!$B$9)/((AI$3/100)*Assumptions!$B$10)),0,1,FALSE)*Assumptions!$B$10*0.01)*((AI$3/100)/0.01)/(MAX(0,Assumptions!$B$2*EXP(-Assumptions!$B$4*Assumptions!$B$9)*NORMSDIST(((LN(Assumptions!$B$2/$B13)+(Assumptions!$B$3-Assumptions!$B$4+(AI$3/100)^2/2)*Assumptions!$B$9)/((AI$3/100)*Assumptions!$B$10)))-$B13*EXP(-Assumptions!$B$3*Assumptions!$B$9)*NORMSDIST((((LN(Assumptions!$B$2/$B13)+(Assumptions!$B$3-Assumptions!$B$4+(AI$3/100)^2/2)*Assumptions!$B$9)/((AI$3/100)*Assumptions!$B$10))-(AI$3/100)*Assumptions!$B$10)))))</f>
        <v/>
      </c>
      <c r="AJ13" s="32">
        <f>IF((MAX(0,Assumptions!$B$2*EXP(-Assumptions!$B$4*Assumptions!$B$9)*NORMSDIST(((LN(Assumptions!$B$2/$B13)+(Assumptions!$B$3-Assumptions!$B$4+(AJ$3/100)^2/2)*Assumptions!$B$9)/((AJ$3/100)*Assumptions!$B$10)))-$B13*EXP(-Assumptions!$B$3*Assumptions!$B$9)*NORMSDIST((((LN(Assumptions!$B$2/$B13)+(Assumptions!$B$3-Assumptions!$B$4+(AJ$3/100)^2/2)*Assumptions!$B$9)/((AJ$3/100)*Assumptions!$B$10))-(AJ$3/100)*Assumptions!$B$10))))&lt;=0,"",(Assumptions!$B$2*EXP(-Assumptions!$B$4*Assumptions!$B$9)*NORMDIST(((LN(Assumptions!$B$2/$B13)+(Assumptions!$B$3-Assumptions!$B$4+(AJ$3/100)^2/2)*Assumptions!$B$9)/((AJ$3/100)*Assumptions!$B$10)),0,1,FALSE)*Assumptions!$B$10*0.01)*((AJ$3/100)/0.01)/(MAX(0,Assumptions!$B$2*EXP(-Assumptions!$B$4*Assumptions!$B$9)*NORMSDIST(((LN(Assumptions!$B$2/$B13)+(Assumptions!$B$3-Assumptions!$B$4+(AJ$3/100)^2/2)*Assumptions!$B$9)/((AJ$3/100)*Assumptions!$B$10)))-$B13*EXP(-Assumptions!$B$3*Assumptions!$B$9)*NORMSDIST((((LN(Assumptions!$B$2/$B13)+(Assumptions!$B$3-Assumptions!$B$4+(AJ$3/100)^2/2)*Assumptions!$B$9)/((AJ$3/100)*Assumptions!$B$10))-(AJ$3/100)*Assumptions!$B$10)))))</f>
        <v/>
      </c>
      <c r="AK13" s="32">
        <f>IF((MAX(0,Assumptions!$B$2*EXP(-Assumptions!$B$4*Assumptions!$B$9)*NORMSDIST(((LN(Assumptions!$B$2/$B13)+(Assumptions!$B$3-Assumptions!$B$4+(AK$3/100)^2/2)*Assumptions!$B$9)/((AK$3/100)*Assumptions!$B$10)))-$B13*EXP(-Assumptions!$B$3*Assumptions!$B$9)*NORMSDIST((((LN(Assumptions!$B$2/$B13)+(Assumptions!$B$3-Assumptions!$B$4+(AK$3/100)^2/2)*Assumptions!$B$9)/((AK$3/100)*Assumptions!$B$10))-(AK$3/100)*Assumptions!$B$10))))&lt;=0,"",(Assumptions!$B$2*EXP(-Assumptions!$B$4*Assumptions!$B$9)*NORMDIST(((LN(Assumptions!$B$2/$B13)+(Assumptions!$B$3-Assumptions!$B$4+(AK$3/100)^2/2)*Assumptions!$B$9)/((AK$3/100)*Assumptions!$B$10)),0,1,FALSE)*Assumptions!$B$10*0.01)*((AK$3/100)/0.01)/(MAX(0,Assumptions!$B$2*EXP(-Assumptions!$B$4*Assumptions!$B$9)*NORMSDIST(((LN(Assumptions!$B$2/$B13)+(Assumptions!$B$3-Assumptions!$B$4+(AK$3/100)^2/2)*Assumptions!$B$9)/((AK$3/100)*Assumptions!$B$10)))-$B13*EXP(-Assumptions!$B$3*Assumptions!$B$9)*NORMSDIST((((LN(Assumptions!$B$2/$B13)+(Assumptions!$B$3-Assumptions!$B$4+(AK$3/100)^2/2)*Assumptions!$B$9)/((AK$3/100)*Assumptions!$B$10))-(AK$3/100)*Assumptions!$B$10)))))</f>
        <v/>
      </c>
      <c r="AL13" s="32">
        <f>IF((MAX(0,Assumptions!$B$2*EXP(-Assumptions!$B$4*Assumptions!$B$9)*NORMSDIST(((LN(Assumptions!$B$2/$B13)+(Assumptions!$B$3-Assumptions!$B$4+(AL$3/100)^2/2)*Assumptions!$B$9)/((AL$3/100)*Assumptions!$B$10)))-$B13*EXP(-Assumptions!$B$3*Assumptions!$B$9)*NORMSDIST((((LN(Assumptions!$B$2/$B13)+(Assumptions!$B$3-Assumptions!$B$4+(AL$3/100)^2/2)*Assumptions!$B$9)/((AL$3/100)*Assumptions!$B$10))-(AL$3/100)*Assumptions!$B$10))))&lt;=0,"",(Assumptions!$B$2*EXP(-Assumptions!$B$4*Assumptions!$B$9)*NORMDIST(((LN(Assumptions!$B$2/$B13)+(Assumptions!$B$3-Assumptions!$B$4+(AL$3/100)^2/2)*Assumptions!$B$9)/((AL$3/100)*Assumptions!$B$10)),0,1,FALSE)*Assumptions!$B$10*0.01)*((AL$3/100)/0.01)/(MAX(0,Assumptions!$B$2*EXP(-Assumptions!$B$4*Assumptions!$B$9)*NORMSDIST(((LN(Assumptions!$B$2/$B13)+(Assumptions!$B$3-Assumptions!$B$4+(AL$3/100)^2/2)*Assumptions!$B$9)/((AL$3/100)*Assumptions!$B$10)))-$B13*EXP(-Assumptions!$B$3*Assumptions!$B$9)*NORMSDIST((((LN(Assumptions!$B$2/$B13)+(Assumptions!$B$3-Assumptions!$B$4+(AL$3/100)^2/2)*Assumptions!$B$9)/((AL$3/100)*Assumptions!$B$10))-(AL$3/100)*Assumptions!$B$10)))))</f>
        <v/>
      </c>
      <c r="AM13" s="32">
        <f>IF((MAX(0,Assumptions!$B$2*EXP(-Assumptions!$B$4*Assumptions!$B$9)*NORMSDIST(((LN(Assumptions!$B$2/$B13)+(Assumptions!$B$3-Assumptions!$B$4+(AM$3/100)^2/2)*Assumptions!$B$9)/((AM$3/100)*Assumptions!$B$10)))-$B13*EXP(-Assumptions!$B$3*Assumptions!$B$9)*NORMSDIST((((LN(Assumptions!$B$2/$B13)+(Assumptions!$B$3-Assumptions!$B$4+(AM$3/100)^2/2)*Assumptions!$B$9)/((AM$3/100)*Assumptions!$B$10))-(AM$3/100)*Assumptions!$B$10))))&lt;=0,"",(Assumptions!$B$2*EXP(-Assumptions!$B$4*Assumptions!$B$9)*NORMDIST(((LN(Assumptions!$B$2/$B13)+(Assumptions!$B$3-Assumptions!$B$4+(AM$3/100)^2/2)*Assumptions!$B$9)/((AM$3/100)*Assumptions!$B$10)),0,1,FALSE)*Assumptions!$B$10*0.01)*((AM$3/100)/0.01)/(MAX(0,Assumptions!$B$2*EXP(-Assumptions!$B$4*Assumptions!$B$9)*NORMSDIST(((LN(Assumptions!$B$2/$B13)+(Assumptions!$B$3-Assumptions!$B$4+(AM$3/100)^2/2)*Assumptions!$B$9)/((AM$3/100)*Assumptions!$B$10)))-$B13*EXP(-Assumptions!$B$3*Assumptions!$B$9)*NORMSDIST((((LN(Assumptions!$B$2/$B13)+(Assumptions!$B$3-Assumptions!$B$4+(AM$3/100)^2/2)*Assumptions!$B$9)/((AM$3/100)*Assumptions!$B$10))-(AM$3/100)*Assumptions!$B$10)))))</f>
        <v/>
      </c>
      <c r="AN13" s="32">
        <f>IF((MAX(0,Assumptions!$B$2*EXP(-Assumptions!$B$4*Assumptions!$B$9)*NORMSDIST(((LN(Assumptions!$B$2/$B13)+(Assumptions!$B$3-Assumptions!$B$4+(AN$3/100)^2/2)*Assumptions!$B$9)/((AN$3/100)*Assumptions!$B$10)))-$B13*EXP(-Assumptions!$B$3*Assumptions!$B$9)*NORMSDIST((((LN(Assumptions!$B$2/$B13)+(Assumptions!$B$3-Assumptions!$B$4+(AN$3/100)^2/2)*Assumptions!$B$9)/((AN$3/100)*Assumptions!$B$10))-(AN$3/100)*Assumptions!$B$10))))&lt;=0,"",(Assumptions!$B$2*EXP(-Assumptions!$B$4*Assumptions!$B$9)*NORMDIST(((LN(Assumptions!$B$2/$B13)+(Assumptions!$B$3-Assumptions!$B$4+(AN$3/100)^2/2)*Assumptions!$B$9)/((AN$3/100)*Assumptions!$B$10)),0,1,FALSE)*Assumptions!$B$10*0.01)*((AN$3/100)/0.01)/(MAX(0,Assumptions!$B$2*EXP(-Assumptions!$B$4*Assumptions!$B$9)*NORMSDIST(((LN(Assumptions!$B$2/$B13)+(Assumptions!$B$3-Assumptions!$B$4+(AN$3/100)^2/2)*Assumptions!$B$9)/((AN$3/100)*Assumptions!$B$10)))-$B13*EXP(-Assumptions!$B$3*Assumptions!$B$9)*NORMSDIST((((LN(Assumptions!$B$2/$B13)+(Assumptions!$B$3-Assumptions!$B$4+(AN$3/100)^2/2)*Assumptions!$B$9)/((AN$3/100)*Assumptions!$B$10))-(AN$3/100)*Assumptions!$B$10)))))</f>
        <v/>
      </c>
      <c r="AO13" s="32">
        <f>IF((MAX(0,Assumptions!$B$2*EXP(-Assumptions!$B$4*Assumptions!$B$9)*NORMSDIST(((LN(Assumptions!$B$2/$B13)+(Assumptions!$B$3-Assumptions!$B$4+(AO$3/100)^2/2)*Assumptions!$B$9)/((AO$3/100)*Assumptions!$B$10)))-$B13*EXP(-Assumptions!$B$3*Assumptions!$B$9)*NORMSDIST((((LN(Assumptions!$B$2/$B13)+(Assumptions!$B$3-Assumptions!$B$4+(AO$3/100)^2/2)*Assumptions!$B$9)/((AO$3/100)*Assumptions!$B$10))-(AO$3/100)*Assumptions!$B$10))))&lt;=0,"",(Assumptions!$B$2*EXP(-Assumptions!$B$4*Assumptions!$B$9)*NORMDIST(((LN(Assumptions!$B$2/$B13)+(Assumptions!$B$3-Assumptions!$B$4+(AO$3/100)^2/2)*Assumptions!$B$9)/((AO$3/100)*Assumptions!$B$10)),0,1,FALSE)*Assumptions!$B$10*0.01)*((AO$3/100)/0.01)/(MAX(0,Assumptions!$B$2*EXP(-Assumptions!$B$4*Assumptions!$B$9)*NORMSDIST(((LN(Assumptions!$B$2/$B13)+(Assumptions!$B$3-Assumptions!$B$4+(AO$3/100)^2/2)*Assumptions!$B$9)/((AO$3/100)*Assumptions!$B$10)))-$B13*EXP(-Assumptions!$B$3*Assumptions!$B$9)*NORMSDIST((((LN(Assumptions!$B$2/$B13)+(Assumptions!$B$3-Assumptions!$B$4+(AO$3/100)^2/2)*Assumptions!$B$9)/((AO$3/100)*Assumptions!$B$10))-(AO$3/100)*Assumptions!$B$10)))))</f>
        <v/>
      </c>
      <c r="AP13" s="32">
        <f>IF((MAX(0,Assumptions!$B$2*EXP(-Assumptions!$B$4*Assumptions!$B$9)*NORMSDIST(((LN(Assumptions!$B$2/$B13)+(Assumptions!$B$3-Assumptions!$B$4+(AP$3/100)^2/2)*Assumptions!$B$9)/((AP$3/100)*Assumptions!$B$10)))-$B13*EXP(-Assumptions!$B$3*Assumptions!$B$9)*NORMSDIST((((LN(Assumptions!$B$2/$B13)+(Assumptions!$B$3-Assumptions!$B$4+(AP$3/100)^2/2)*Assumptions!$B$9)/((AP$3/100)*Assumptions!$B$10))-(AP$3/100)*Assumptions!$B$10))))&lt;=0,"",(Assumptions!$B$2*EXP(-Assumptions!$B$4*Assumptions!$B$9)*NORMDIST(((LN(Assumptions!$B$2/$B13)+(Assumptions!$B$3-Assumptions!$B$4+(AP$3/100)^2/2)*Assumptions!$B$9)/((AP$3/100)*Assumptions!$B$10)),0,1,FALSE)*Assumptions!$B$10*0.01)*((AP$3/100)/0.01)/(MAX(0,Assumptions!$B$2*EXP(-Assumptions!$B$4*Assumptions!$B$9)*NORMSDIST(((LN(Assumptions!$B$2/$B13)+(Assumptions!$B$3-Assumptions!$B$4+(AP$3/100)^2/2)*Assumptions!$B$9)/((AP$3/100)*Assumptions!$B$10)))-$B13*EXP(-Assumptions!$B$3*Assumptions!$B$9)*NORMSDIST((((LN(Assumptions!$B$2/$B13)+(Assumptions!$B$3-Assumptions!$B$4+(AP$3/100)^2/2)*Assumptions!$B$9)/((AP$3/100)*Assumptions!$B$10))-(AP$3/100)*Assumptions!$B$10)))))</f>
        <v/>
      </c>
      <c r="AQ13" s="32">
        <f>IF((MAX(0,Assumptions!$B$2*EXP(-Assumptions!$B$4*Assumptions!$B$9)*NORMSDIST(((LN(Assumptions!$B$2/$B13)+(Assumptions!$B$3-Assumptions!$B$4+(AQ$3/100)^2/2)*Assumptions!$B$9)/((AQ$3/100)*Assumptions!$B$10)))-$B13*EXP(-Assumptions!$B$3*Assumptions!$B$9)*NORMSDIST((((LN(Assumptions!$B$2/$B13)+(Assumptions!$B$3-Assumptions!$B$4+(AQ$3/100)^2/2)*Assumptions!$B$9)/((AQ$3/100)*Assumptions!$B$10))-(AQ$3/100)*Assumptions!$B$10))))&lt;=0,"",(Assumptions!$B$2*EXP(-Assumptions!$B$4*Assumptions!$B$9)*NORMDIST(((LN(Assumptions!$B$2/$B13)+(Assumptions!$B$3-Assumptions!$B$4+(AQ$3/100)^2/2)*Assumptions!$B$9)/((AQ$3/100)*Assumptions!$B$10)),0,1,FALSE)*Assumptions!$B$10*0.01)*((AQ$3/100)/0.01)/(MAX(0,Assumptions!$B$2*EXP(-Assumptions!$B$4*Assumptions!$B$9)*NORMSDIST(((LN(Assumptions!$B$2/$B13)+(Assumptions!$B$3-Assumptions!$B$4+(AQ$3/100)^2/2)*Assumptions!$B$9)/((AQ$3/100)*Assumptions!$B$10)))-$B13*EXP(-Assumptions!$B$3*Assumptions!$B$9)*NORMSDIST((((LN(Assumptions!$B$2/$B13)+(Assumptions!$B$3-Assumptions!$B$4+(AQ$3/100)^2/2)*Assumptions!$B$9)/((AQ$3/100)*Assumptions!$B$10))-(AQ$3/100)*Assumptions!$B$10)))))</f>
        <v/>
      </c>
      <c r="AR13" s="32">
        <f>IF((MAX(0,Assumptions!$B$2*EXP(-Assumptions!$B$4*Assumptions!$B$9)*NORMSDIST(((LN(Assumptions!$B$2/$B13)+(Assumptions!$B$3-Assumptions!$B$4+(AR$3/100)^2/2)*Assumptions!$B$9)/((AR$3/100)*Assumptions!$B$10)))-$B13*EXP(-Assumptions!$B$3*Assumptions!$B$9)*NORMSDIST((((LN(Assumptions!$B$2/$B13)+(Assumptions!$B$3-Assumptions!$B$4+(AR$3/100)^2/2)*Assumptions!$B$9)/((AR$3/100)*Assumptions!$B$10))-(AR$3/100)*Assumptions!$B$10))))&lt;=0,"",(Assumptions!$B$2*EXP(-Assumptions!$B$4*Assumptions!$B$9)*NORMDIST(((LN(Assumptions!$B$2/$B13)+(Assumptions!$B$3-Assumptions!$B$4+(AR$3/100)^2/2)*Assumptions!$B$9)/((AR$3/100)*Assumptions!$B$10)),0,1,FALSE)*Assumptions!$B$10*0.01)*((AR$3/100)/0.01)/(MAX(0,Assumptions!$B$2*EXP(-Assumptions!$B$4*Assumptions!$B$9)*NORMSDIST(((LN(Assumptions!$B$2/$B13)+(Assumptions!$B$3-Assumptions!$B$4+(AR$3/100)^2/2)*Assumptions!$B$9)/((AR$3/100)*Assumptions!$B$10)))-$B13*EXP(-Assumptions!$B$3*Assumptions!$B$9)*NORMSDIST((((LN(Assumptions!$B$2/$B13)+(Assumptions!$B$3-Assumptions!$B$4+(AR$3/100)^2/2)*Assumptions!$B$9)/((AR$3/100)*Assumptions!$B$10))-(AR$3/100)*Assumptions!$B$10)))))</f>
        <v/>
      </c>
      <c r="AS13" s="32">
        <f>IF((MAX(0,Assumptions!$B$2*EXP(-Assumptions!$B$4*Assumptions!$B$9)*NORMSDIST(((LN(Assumptions!$B$2/$B13)+(Assumptions!$B$3-Assumptions!$B$4+(AS$3/100)^2/2)*Assumptions!$B$9)/((AS$3/100)*Assumptions!$B$10)))-$B13*EXP(-Assumptions!$B$3*Assumptions!$B$9)*NORMSDIST((((LN(Assumptions!$B$2/$B13)+(Assumptions!$B$3-Assumptions!$B$4+(AS$3/100)^2/2)*Assumptions!$B$9)/((AS$3/100)*Assumptions!$B$10))-(AS$3/100)*Assumptions!$B$10))))&lt;=0,"",(Assumptions!$B$2*EXP(-Assumptions!$B$4*Assumptions!$B$9)*NORMDIST(((LN(Assumptions!$B$2/$B13)+(Assumptions!$B$3-Assumptions!$B$4+(AS$3/100)^2/2)*Assumptions!$B$9)/((AS$3/100)*Assumptions!$B$10)),0,1,FALSE)*Assumptions!$B$10*0.01)*((AS$3/100)/0.01)/(MAX(0,Assumptions!$B$2*EXP(-Assumptions!$B$4*Assumptions!$B$9)*NORMSDIST(((LN(Assumptions!$B$2/$B13)+(Assumptions!$B$3-Assumptions!$B$4+(AS$3/100)^2/2)*Assumptions!$B$9)/((AS$3/100)*Assumptions!$B$10)))-$B13*EXP(-Assumptions!$B$3*Assumptions!$B$9)*NORMSDIST((((LN(Assumptions!$B$2/$B13)+(Assumptions!$B$3-Assumptions!$B$4+(AS$3/100)^2/2)*Assumptions!$B$9)/((AS$3/100)*Assumptions!$B$10))-(AS$3/100)*Assumptions!$B$10)))))</f>
        <v/>
      </c>
      <c r="AT13" s="32">
        <f>IF((MAX(0,Assumptions!$B$2*EXP(-Assumptions!$B$4*Assumptions!$B$9)*NORMSDIST(((LN(Assumptions!$B$2/$B13)+(Assumptions!$B$3-Assumptions!$B$4+(AT$3/100)^2/2)*Assumptions!$B$9)/((AT$3/100)*Assumptions!$B$10)))-$B13*EXP(-Assumptions!$B$3*Assumptions!$B$9)*NORMSDIST((((LN(Assumptions!$B$2/$B13)+(Assumptions!$B$3-Assumptions!$B$4+(AT$3/100)^2/2)*Assumptions!$B$9)/((AT$3/100)*Assumptions!$B$10))-(AT$3/100)*Assumptions!$B$10))))&lt;=0,"",(Assumptions!$B$2*EXP(-Assumptions!$B$4*Assumptions!$B$9)*NORMDIST(((LN(Assumptions!$B$2/$B13)+(Assumptions!$B$3-Assumptions!$B$4+(AT$3/100)^2/2)*Assumptions!$B$9)/((AT$3/100)*Assumptions!$B$10)),0,1,FALSE)*Assumptions!$B$10*0.01)*((AT$3/100)/0.01)/(MAX(0,Assumptions!$B$2*EXP(-Assumptions!$B$4*Assumptions!$B$9)*NORMSDIST(((LN(Assumptions!$B$2/$B13)+(Assumptions!$B$3-Assumptions!$B$4+(AT$3/100)^2/2)*Assumptions!$B$9)/((AT$3/100)*Assumptions!$B$10)))-$B13*EXP(-Assumptions!$B$3*Assumptions!$B$9)*NORMSDIST((((LN(Assumptions!$B$2/$B13)+(Assumptions!$B$3-Assumptions!$B$4+(AT$3/100)^2/2)*Assumptions!$B$9)/((AT$3/100)*Assumptions!$B$10))-(AT$3/100)*Assumptions!$B$10)))))</f>
        <v/>
      </c>
      <c r="AU13" s="32">
        <f>IF((MAX(0,Assumptions!$B$2*EXP(-Assumptions!$B$4*Assumptions!$B$9)*NORMSDIST(((LN(Assumptions!$B$2/$B13)+(Assumptions!$B$3-Assumptions!$B$4+(AU$3/100)^2/2)*Assumptions!$B$9)/((AU$3/100)*Assumptions!$B$10)))-$B13*EXP(-Assumptions!$B$3*Assumptions!$B$9)*NORMSDIST((((LN(Assumptions!$B$2/$B13)+(Assumptions!$B$3-Assumptions!$B$4+(AU$3/100)^2/2)*Assumptions!$B$9)/((AU$3/100)*Assumptions!$B$10))-(AU$3/100)*Assumptions!$B$10))))&lt;=0,"",(Assumptions!$B$2*EXP(-Assumptions!$B$4*Assumptions!$B$9)*NORMDIST(((LN(Assumptions!$B$2/$B13)+(Assumptions!$B$3-Assumptions!$B$4+(AU$3/100)^2/2)*Assumptions!$B$9)/((AU$3/100)*Assumptions!$B$10)),0,1,FALSE)*Assumptions!$B$10*0.01)*((AU$3/100)/0.01)/(MAX(0,Assumptions!$B$2*EXP(-Assumptions!$B$4*Assumptions!$B$9)*NORMSDIST(((LN(Assumptions!$B$2/$B13)+(Assumptions!$B$3-Assumptions!$B$4+(AU$3/100)^2/2)*Assumptions!$B$9)/((AU$3/100)*Assumptions!$B$10)))-$B13*EXP(-Assumptions!$B$3*Assumptions!$B$9)*NORMSDIST((((LN(Assumptions!$B$2/$B13)+(Assumptions!$B$3-Assumptions!$B$4+(AU$3/100)^2/2)*Assumptions!$B$9)/((AU$3/100)*Assumptions!$B$10))-(AU$3/100)*Assumptions!$B$10)))))</f>
        <v/>
      </c>
      <c r="AV13" s="32">
        <f>IF((MAX(0,Assumptions!$B$2*EXP(-Assumptions!$B$4*Assumptions!$B$9)*NORMSDIST(((LN(Assumptions!$B$2/$B13)+(Assumptions!$B$3-Assumptions!$B$4+(AV$3/100)^2/2)*Assumptions!$B$9)/((AV$3/100)*Assumptions!$B$10)))-$B13*EXP(-Assumptions!$B$3*Assumptions!$B$9)*NORMSDIST((((LN(Assumptions!$B$2/$B13)+(Assumptions!$B$3-Assumptions!$B$4+(AV$3/100)^2/2)*Assumptions!$B$9)/((AV$3/100)*Assumptions!$B$10))-(AV$3/100)*Assumptions!$B$10))))&lt;=0,"",(Assumptions!$B$2*EXP(-Assumptions!$B$4*Assumptions!$B$9)*NORMDIST(((LN(Assumptions!$B$2/$B13)+(Assumptions!$B$3-Assumptions!$B$4+(AV$3/100)^2/2)*Assumptions!$B$9)/((AV$3/100)*Assumptions!$B$10)),0,1,FALSE)*Assumptions!$B$10*0.01)*((AV$3/100)/0.01)/(MAX(0,Assumptions!$B$2*EXP(-Assumptions!$B$4*Assumptions!$B$9)*NORMSDIST(((LN(Assumptions!$B$2/$B13)+(Assumptions!$B$3-Assumptions!$B$4+(AV$3/100)^2/2)*Assumptions!$B$9)/((AV$3/100)*Assumptions!$B$10)))-$B13*EXP(-Assumptions!$B$3*Assumptions!$B$9)*NORMSDIST((((LN(Assumptions!$B$2/$B13)+(Assumptions!$B$3-Assumptions!$B$4+(AV$3/100)^2/2)*Assumptions!$B$9)/((AV$3/100)*Assumptions!$B$10))-(AV$3/100)*Assumptions!$B$10)))))</f>
        <v/>
      </c>
    </row>
    <row r="14">
      <c r="A14" s="27" t="inlineStr">
        <is>
          <t>+0.50%</t>
        </is>
      </c>
      <c r="B14" s="47">
        <f>'BS Engine'!$B$12</f>
        <v/>
      </c>
      <c r="C14" s="28">
        <f>'BS Engine'!$C$12</f>
        <v/>
      </c>
      <c r="D14" s="54">
        <f>IF((MAX(0,Assumptions!$B$2*EXP(-Assumptions!$B$4*Assumptions!$B$9)*NORMSDIST(((LN(Assumptions!$B$2/$B14)+(Assumptions!$B$3-Assumptions!$B$4+(D$3/100)^2/2)*Assumptions!$B$9)/((D$3/100)*Assumptions!$B$10)))-$B14*EXP(-Assumptions!$B$3*Assumptions!$B$9)*NORMSDIST((((LN(Assumptions!$B$2/$B14)+(Assumptions!$B$3-Assumptions!$B$4+(D$3/100)^2/2)*Assumptions!$B$9)/((D$3/100)*Assumptions!$B$10))-(D$3/100)*Assumptions!$B$10))))&lt;=0,"",(Assumptions!$B$2*EXP(-Assumptions!$B$4*Assumptions!$B$9)*NORMDIST(((LN(Assumptions!$B$2/$B14)+(Assumptions!$B$3-Assumptions!$B$4+(D$3/100)^2/2)*Assumptions!$B$9)/((D$3/100)*Assumptions!$B$10)),0,1,FALSE)*Assumptions!$B$10*0.01)*((D$3/100)/0.01)/(MAX(0,Assumptions!$B$2*EXP(-Assumptions!$B$4*Assumptions!$B$9)*NORMSDIST(((LN(Assumptions!$B$2/$B14)+(Assumptions!$B$3-Assumptions!$B$4+(D$3/100)^2/2)*Assumptions!$B$9)/((D$3/100)*Assumptions!$B$10)))-$B14*EXP(-Assumptions!$B$3*Assumptions!$B$9)*NORMSDIST((((LN(Assumptions!$B$2/$B14)+(Assumptions!$B$3-Assumptions!$B$4+(D$3/100)^2/2)*Assumptions!$B$9)/((D$3/100)*Assumptions!$B$10))-(D$3/100)*Assumptions!$B$10)))))</f>
        <v/>
      </c>
      <c r="E14" s="32">
        <f>IF((MAX(0,Assumptions!$B$2*EXP(-Assumptions!$B$4*Assumptions!$B$9)*NORMSDIST(((LN(Assumptions!$B$2/$B14)+(Assumptions!$B$3-Assumptions!$B$4+(E$3/100)^2/2)*Assumptions!$B$9)/((E$3/100)*Assumptions!$B$10)))-$B14*EXP(-Assumptions!$B$3*Assumptions!$B$9)*NORMSDIST((((LN(Assumptions!$B$2/$B14)+(Assumptions!$B$3-Assumptions!$B$4+(E$3/100)^2/2)*Assumptions!$B$9)/((E$3/100)*Assumptions!$B$10))-(E$3/100)*Assumptions!$B$10))))&lt;=0,"",(Assumptions!$B$2*EXP(-Assumptions!$B$4*Assumptions!$B$9)*NORMDIST(((LN(Assumptions!$B$2/$B14)+(Assumptions!$B$3-Assumptions!$B$4+(E$3/100)^2/2)*Assumptions!$B$9)/((E$3/100)*Assumptions!$B$10)),0,1,FALSE)*Assumptions!$B$10*0.01)*((E$3/100)/0.01)/(MAX(0,Assumptions!$B$2*EXP(-Assumptions!$B$4*Assumptions!$B$9)*NORMSDIST(((LN(Assumptions!$B$2/$B14)+(Assumptions!$B$3-Assumptions!$B$4+(E$3/100)^2/2)*Assumptions!$B$9)/((E$3/100)*Assumptions!$B$10)))-$B14*EXP(-Assumptions!$B$3*Assumptions!$B$9)*NORMSDIST((((LN(Assumptions!$B$2/$B14)+(Assumptions!$B$3-Assumptions!$B$4+(E$3/100)^2/2)*Assumptions!$B$9)/((E$3/100)*Assumptions!$B$10))-(E$3/100)*Assumptions!$B$10)))))</f>
        <v/>
      </c>
      <c r="F14" s="32">
        <f>IF((MAX(0,Assumptions!$B$2*EXP(-Assumptions!$B$4*Assumptions!$B$9)*NORMSDIST(((LN(Assumptions!$B$2/$B14)+(Assumptions!$B$3-Assumptions!$B$4+(F$3/100)^2/2)*Assumptions!$B$9)/((F$3/100)*Assumptions!$B$10)))-$B14*EXP(-Assumptions!$B$3*Assumptions!$B$9)*NORMSDIST((((LN(Assumptions!$B$2/$B14)+(Assumptions!$B$3-Assumptions!$B$4+(F$3/100)^2/2)*Assumptions!$B$9)/((F$3/100)*Assumptions!$B$10))-(F$3/100)*Assumptions!$B$10))))&lt;=0,"",(Assumptions!$B$2*EXP(-Assumptions!$B$4*Assumptions!$B$9)*NORMDIST(((LN(Assumptions!$B$2/$B14)+(Assumptions!$B$3-Assumptions!$B$4+(F$3/100)^2/2)*Assumptions!$B$9)/((F$3/100)*Assumptions!$B$10)),0,1,FALSE)*Assumptions!$B$10*0.01)*((F$3/100)/0.01)/(MAX(0,Assumptions!$B$2*EXP(-Assumptions!$B$4*Assumptions!$B$9)*NORMSDIST(((LN(Assumptions!$B$2/$B14)+(Assumptions!$B$3-Assumptions!$B$4+(F$3/100)^2/2)*Assumptions!$B$9)/((F$3/100)*Assumptions!$B$10)))-$B14*EXP(-Assumptions!$B$3*Assumptions!$B$9)*NORMSDIST((((LN(Assumptions!$B$2/$B14)+(Assumptions!$B$3-Assumptions!$B$4+(F$3/100)^2/2)*Assumptions!$B$9)/((F$3/100)*Assumptions!$B$10))-(F$3/100)*Assumptions!$B$10)))))</f>
        <v/>
      </c>
      <c r="G14" s="32">
        <f>IF((MAX(0,Assumptions!$B$2*EXP(-Assumptions!$B$4*Assumptions!$B$9)*NORMSDIST(((LN(Assumptions!$B$2/$B14)+(Assumptions!$B$3-Assumptions!$B$4+(G$3/100)^2/2)*Assumptions!$B$9)/((G$3/100)*Assumptions!$B$10)))-$B14*EXP(-Assumptions!$B$3*Assumptions!$B$9)*NORMSDIST((((LN(Assumptions!$B$2/$B14)+(Assumptions!$B$3-Assumptions!$B$4+(G$3/100)^2/2)*Assumptions!$B$9)/((G$3/100)*Assumptions!$B$10))-(G$3/100)*Assumptions!$B$10))))&lt;=0,"",(Assumptions!$B$2*EXP(-Assumptions!$B$4*Assumptions!$B$9)*NORMDIST(((LN(Assumptions!$B$2/$B14)+(Assumptions!$B$3-Assumptions!$B$4+(G$3/100)^2/2)*Assumptions!$B$9)/((G$3/100)*Assumptions!$B$10)),0,1,FALSE)*Assumptions!$B$10*0.01)*((G$3/100)/0.01)/(MAX(0,Assumptions!$B$2*EXP(-Assumptions!$B$4*Assumptions!$B$9)*NORMSDIST(((LN(Assumptions!$B$2/$B14)+(Assumptions!$B$3-Assumptions!$B$4+(G$3/100)^2/2)*Assumptions!$B$9)/((G$3/100)*Assumptions!$B$10)))-$B14*EXP(-Assumptions!$B$3*Assumptions!$B$9)*NORMSDIST((((LN(Assumptions!$B$2/$B14)+(Assumptions!$B$3-Assumptions!$B$4+(G$3/100)^2/2)*Assumptions!$B$9)/((G$3/100)*Assumptions!$B$10))-(G$3/100)*Assumptions!$B$10)))))</f>
        <v/>
      </c>
      <c r="H14" s="32">
        <f>IF((MAX(0,Assumptions!$B$2*EXP(-Assumptions!$B$4*Assumptions!$B$9)*NORMSDIST(((LN(Assumptions!$B$2/$B14)+(Assumptions!$B$3-Assumptions!$B$4+(H$3/100)^2/2)*Assumptions!$B$9)/((H$3/100)*Assumptions!$B$10)))-$B14*EXP(-Assumptions!$B$3*Assumptions!$B$9)*NORMSDIST((((LN(Assumptions!$B$2/$B14)+(Assumptions!$B$3-Assumptions!$B$4+(H$3/100)^2/2)*Assumptions!$B$9)/((H$3/100)*Assumptions!$B$10))-(H$3/100)*Assumptions!$B$10))))&lt;=0,"",(Assumptions!$B$2*EXP(-Assumptions!$B$4*Assumptions!$B$9)*NORMDIST(((LN(Assumptions!$B$2/$B14)+(Assumptions!$B$3-Assumptions!$B$4+(H$3/100)^2/2)*Assumptions!$B$9)/((H$3/100)*Assumptions!$B$10)),0,1,FALSE)*Assumptions!$B$10*0.01)*((H$3/100)/0.01)/(MAX(0,Assumptions!$B$2*EXP(-Assumptions!$B$4*Assumptions!$B$9)*NORMSDIST(((LN(Assumptions!$B$2/$B14)+(Assumptions!$B$3-Assumptions!$B$4+(H$3/100)^2/2)*Assumptions!$B$9)/((H$3/100)*Assumptions!$B$10)))-$B14*EXP(-Assumptions!$B$3*Assumptions!$B$9)*NORMSDIST((((LN(Assumptions!$B$2/$B14)+(Assumptions!$B$3-Assumptions!$B$4+(H$3/100)^2/2)*Assumptions!$B$9)/((H$3/100)*Assumptions!$B$10))-(H$3/100)*Assumptions!$B$10)))))</f>
        <v/>
      </c>
      <c r="I14" s="32">
        <f>IF((MAX(0,Assumptions!$B$2*EXP(-Assumptions!$B$4*Assumptions!$B$9)*NORMSDIST(((LN(Assumptions!$B$2/$B14)+(Assumptions!$B$3-Assumptions!$B$4+(I$3/100)^2/2)*Assumptions!$B$9)/((I$3/100)*Assumptions!$B$10)))-$B14*EXP(-Assumptions!$B$3*Assumptions!$B$9)*NORMSDIST((((LN(Assumptions!$B$2/$B14)+(Assumptions!$B$3-Assumptions!$B$4+(I$3/100)^2/2)*Assumptions!$B$9)/((I$3/100)*Assumptions!$B$10))-(I$3/100)*Assumptions!$B$10))))&lt;=0,"",(Assumptions!$B$2*EXP(-Assumptions!$B$4*Assumptions!$B$9)*NORMDIST(((LN(Assumptions!$B$2/$B14)+(Assumptions!$B$3-Assumptions!$B$4+(I$3/100)^2/2)*Assumptions!$B$9)/((I$3/100)*Assumptions!$B$10)),0,1,FALSE)*Assumptions!$B$10*0.01)*((I$3/100)/0.01)/(MAX(0,Assumptions!$B$2*EXP(-Assumptions!$B$4*Assumptions!$B$9)*NORMSDIST(((LN(Assumptions!$B$2/$B14)+(Assumptions!$B$3-Assumptions!$B$4+(I$3/100)^2/2)*Assumptions!$B$9)/((I$3/100)*Assumptions!$B$10)))-$B14*EXP(-Assumptions!$B$3*Assumptions!$B$9)*NORMSDIST((((LN(Assumptions!$B$2/$B14)+(Assumptions!$B$3-Assumptions!$B$4+(I$3/100)^2/2)*Assumptions!$B$9)/((I$3/100)*Assumptions!$B$10))-(I$3/100)*Assumptions!$B$10)))))</f>
        <v/>
      </c>
      <c r="J14" s="32">
        <f>IF((MAX(0,Assumptions!$B$2*EXP(-Assumptions!$B$4*Assumptions!$B$9)*NORMSDIST(((LN(Assumptions!$B$2/$B14)+(Assumptions!$B$3-Assumptions!$B$4+(J$3/100)^2/2)*Assumptions!$B$9)/((J$3/100)*Assumptions!$B$10)))-$B14*EXP(-Assumptions!$B$3*Assumptions!$B$9)*NORMSDIST((((LN(Assumptions!$B$2/$B14)+(Assumptions!$B$3-Assumptions!$B$4+(J$3/100)^2/2)*Assumptions!$B$9)/((J$3/100)*Assumptions!$B$10))-(J$3/100)*Assumptions!$B$10))))&lt;=0,"",(Assumptions!$B$2*EXP(-Assumptions!$B$4*Assumptions!$B$9)*NORMDIST(((LN(Assumptions!$B$2/$B14)+(Assumptions!$B$3-Assumptions!$B$4+(J$3/100)^2/2)*Assumptions!$B$9)/((J$3/100)*Assumptions!$B$10)),0,1,FALSE)*Assumptions!$B$10*0.01)*((J$3/100)/0.01)/(MAX(0,Assumptions!$B$2*EXP(-Assumptions!$B$4*Assumptions!$B$9)*NORMSDIST(((LN(Assumptions!$B$2/$B14)+(Assumptions!$B$3-Assumptions!$B$4+(J$3/100)^2/2)*Assumptions!$B$9)/((J$3/100)*Assumptions!$B$10)))-$B14*EXP(-Assumptions!$B$3*Assumptions!$B$9)*NORMSDIST((((LN(Assumptions!$B$2/$B14)+(Assumptions!$B$3-Assumptions!$B$4+(J$3/100)^2/2)*Assumptions!$B$9)/((J$3/100)*Assumptions!$B$10))-(J$3/100)*Assumptions!$B$10)))))</f>
        <v/>
      </c>
      <c r="K14" s="32">
        <f>IF((MAX(0,Assumptions!$B$2*EXP(-Assumptions!$B$4*Assumptions!$B$9)*NORMSDIST(((LN(Assumptions!$B$2/$B14)+(Assumptions!$B$3-Assumptions!$B$4+(K$3/100)^2/2)*Assumptions!$B$9)/((K$3/100)*Assumptions!$B$10)))-$B14*EXP(-Assumptions!$B$3*Assumptions!$B$9)*NORMSDIST((((LN(Assumptions!$B$2/$B14)+(Assumptions!$B$3-Assumptions!$B$4+(K$3/100)^2/2)*Assumptions!$B$9)/((K$3/100)*Assumptions!$B$10))-(K$3/100)*Assumptions!$B$10))))&lt;=0,"",(Assumptions!$B$2*EXP(-Assumptions!$B$4*Assumptions!$B$9)*NORMDIST(((LN(Assumptions!$B$2/$B14)+(Assumptions!$B$3-Assumptions!$B$4+(K$3/100)^2/2)*Assumptions!$B$9)/((K$3/100)*Assumptions!$B$10)),0,1,FALSE)*Assumptions!$B$10*0.01)*((K$3/100)/0.01)/(MAX(0,Assumptions!$B$2*EXP(-Assumptions!$B$4*Assumptions!$B$9)*NORMSDIST(((LN(Assumptions!$B$2/$B14)+(Assumptions!$B$3-Assumptions!$B$4+(K$3/100)^2/2)*Assumptions!$B$9)/((K$3/100)*Assumptions!$B$10)))-$B14*EXP(-Assumptions!$B$3*Assumptions!$B$9)*NORMSDIST((((LN(Assumptions!$B$2/$B14)+(Assumptions!$B$3-Assumptions!$B$4+(K$3/100)^2/2)*Assumptions!$B$9)/((K$3/100)*Assumptions!$B$10))-(K$3/100)*Assumptions!$B$10)))))</f>
        <v/>
      </c>
      <c r="L14" s="32">
        <f>IF((MAX(0,Assumptions!$B$2*EXP(-Assumptions!$B$4*Assumptions!$B$9)*NORMSDIST(((LN(Assumptions!$B$2/$B14)+(Assumptions!$B$3-Assumptions!$B$4+(L$3/100)^2/2)*Assumptions!$B$9)/((L$3/100)*Assumptions!$B$10)))-$B14*EXP(-Assumptions!$B$3*Assumptions!$B$9)*NORMSDIST((((LN(Assumptions!$B$2/$B14)+(Assumptions!$B$3-Assumptions!$B$4+(L$3/100)^2/2)*Assumptions!$B$9)/((L$3/100)*Assumptions!$B$10))-(L$3/100)*Assumptions!$B$10))))&lt;=0,"",(Assumptions!$B$2*EXP(-Assumptions!$B$4*Assumptions!$B$9)*NORMDIST(((LN(Assumptions!$B$2/$B14)+(Assumptions!$B$3-Assumptions!$B$4+(L$3/100)^2/2)*Assumptions!$B$9)/((L$3/100)*Assumptions!$B$10)),0,1,FALSE)*Assumptions!$B$10*0.01)*((L$3/100)/0.01)/(MAX(0,Assumptions!$B$2*EXP(-Assumptions!$B$4*Assumptions!$B$9)*NORMSDIST(((LN(Assumptions!$B$2/$B14)+(Assumptions!$B$3-Assumptions!$B$4+(L$3/100)^2/2)*Assumptions!$B$9)/((L$3/100)*Assumptions!$B$10)))-$B14*EXP(-Assumptions!$B$3*Assumptions!$B$9)*NORMSDIST((((LN(Assumptions!$B$2/$B14)+(Assumptions!$B$3-Assumptions!$B$4+(L$3/100)^2/2)*Assumptions!$B$9)/((L$3/100)*Assumptions!$B$10))-(L$3/100)*Assumptions!$B$10)))))</f>
        <v/>
      </c>
      <c r="M14" s="32">
        <f>IF((MAX(0,Assumptions!$B$2*EXP(-Assumptions!$B$4*Assumptions!$B$9)*NORMSDIST(((LN(Assumptions!$B$2/$B14)+(Assumptions!$B$3-Assumptions!$B$4+(M$3/100)^2/2)*Assumptions!$B$9)/((M$3/100)*Assumptions!$B$10)))-$B14*EXP(-Assumptions!$B$3*Assumptions!$B$9)*NORMSDIST((((LN(Assumptions!$B$2/$B14)+(Assumptions!$B$3-Assumptions!$B$4+(M$3/100)^2/2)*Assumptions!$B$9)/((M$3/100)*Assumptions!$B$10))-(M$3/100)*Assumptions!$B$10))))&lt;=0,"",(Assumptions!$B$2*EXP(-Assumptions!$B$4*Assumptions!$B$9)*NORMDIST(((LN(Assumptions!$B$2/$B14)+(Assumptions!$B$3-Assumptions!$B$4+(M$3/100)^2/2)*Assumptions!$B$9)/((M$3/100)*Assumptions!$B$10)),0,1,FALSE)*Assumptions!$B$10*0.01)*((M$3/100)/0.01)/(MAX(0,Assumptions!$B$2*EXP(-Assumptions!$B$4*Assumptions!$B$9)*NORMSDIST(((LN(Assumptions!$B$2/$B14)+(Assumptions!$B$3-Assumptions!$B$4+(M$3/100)^2/2)*Assumptions!$B$9)/((M$3/100)*Assumptions!$B$10)))-$B14*EXP(-Assumptions!$B$3*Assumptions!$B$9)*NORMSDIST((((LN(Assumptions!$B$2/$B14)+(Assumptions!$B$3-Assumptions!$B$4+(M$3/100)^2/2)*Assumptions!$B$9)/((M$3/100)*Assumptions!$B$10))-(M$3/100)*Assumptions!$B$10)))))</f>
        <v/>
      </c>
      <c r="N14" s="32">
        <f>IF((MAX(0,Assumptions!$B$2*EXP(-Assumptions!$B$4*Assumptions!$B$9)*NORMSDIST(((LN(Assumptions!$B$2/$B14)+(Assumptions!$B$3-Assumptions!$B$4+(N$3/100)^2/2)*Assumptions!$B$9)/((N$3/100)*Assumptions!$B$10)))-$B14*EXP(-Assumptions!$B$3*Assumptions!$B$9)*NORMSDIST((((LN(Assumptions!$B$2/$B14)+(Assumptions!$B$3-Assumptions!$B$4+(N$3/100)^2/2)*Assumptions!$B$9)/((N$3/100)*Assumptions!$B$10))-(N$3/100)*Assumptions!$B$10))))&lt;=0,"",(Assumptions!$B$2*EXP(-Assumptions!$B$4*Assumptions!$B$9)*NORMDIST(((LN(Assumptions!$B$2/$B14)+(Assumptions!$B$3-Assumptions!$B$4+(N$3/100)^2/2)*Assumptions!$B$9)/((N$3/100)*Assumptions!$B$10)),0,1,FALSE)*Assumptions!$B$10*0.01)*((N$3/100)/0.01)/(MAX(0,Assumptions!$B$2*EXP(-Assumptions!$B$4*Assumptions!$B$9)*NORMSDIST(((LN(Assumptions!$B$2/$B14)+(Assumptions!$B$3-Assumptions!$B$4+(N$3/100)^2/2)*Assumptions!$B$9)/((N$3/100)*Assumptions!$B$10)))-$B14*EXP(-Assumptions!$B$3*Assumptions!$B$9)*NORMSDIST((((LN(Assumptions!$B$2/$B14)+(Assumptions!$B$3-Assumptions!$B$4+(N$3/100)^2/2)*Assumptions!$B$9)/((N$3/100)*Assumptions!$B$10))-(N$3/100)*Assumptions!$B$10)))))</f>
        <v/>
      </c>
      <c r="O14" s="32">
        <f>IF((MAX(0,Assumptions!$B$2*EXP(-Assumptions!$B$4*Assumptions!$B$9)*NORMSDIST(((LN(Assumptions!$B$2/$B14)+(Assumptions!$B$3-Assumptions!$B$4+(O$3/100)^2/2)*Assumptions!$B$9)/((O$3/100)*Assumptions!$B$10)))-$B14*EXP(-Assumptions!$B$3*Assumptions!$B$9)*NORMSDIST((((LN(Assumptions!$B$2/$B14)+(Assumptions!$B$3-Assumptions!$B$4+(O$3/100)^2/2)*Assumptions!$B$9)/((O$3/100)*Assumptions!$B$10))-(O$3/100)*Assumptions!$B$10))))&lt;=0,"",(Assumptions!$B$2*EXP(-Assumptions!$B$4*Assumptions!$B$9)*NORMDIST(((LN(Assumptions!$B$2/$B14)+(Assumptions!$B$3-Assumptions!$B$4+(O$3/100)^2/2)*Assumptions!$B$9)/((O$3/100)*Assumptions!$B$10)),0,1,FALSE)*Assumptions!$B$10*0.01)*((O$3/100)/0.01)/(MAX(0,Assumptions!$B$2*EXP(-Assumptions!$B$4*Assumptions!$B$9)*NORMSDIST(((LN(Assumptions!$B$2/$B14)+(Assumptions!$B$3-Assumptions!$B$4+(O$3/100)^2/2)*Assumptions!$B$9)/((O$3/100)*Assumptions!$B$10)))-$B14*EXP(-Assumptions!$B$3*Assumptions!$B$9)*NORMSDIST((((LN(Assumptions!$B$2/$B14)+(Assumptions!$B$3-Assumptions!$B$4+(O$3/100)^2/2)*Assumptions!$B$9)/((O$3/100)*Assumptions!$B$10))-(O$3/100)*Assumptions!$B$10)))))</f>
        <v/>
      </c>
      <c r="P14" s="32">
        <f>IF((MAX(0,Assumptions!$B$2*EXP(-Assumptions!$B$4*Assumptions!$B$9)*NORMSDIST(((LN(Assumptions!$B$2/$B14)+(Assumptions!$B$3-Assumptions!$B$4+(P$3/100)^2/2)*Assumptions!$B$9)/((P$3/100)*Assumptions!$B$10)))-$B14*EXP(-Assumptions!$B$3*Assumptions!$B$9)*NORMSDIST((((LN(Assumptions!$B$2/$B14)+(Assumptions!$B$3-Assumptions!$B$4+(P$3/100)^2/2)*Assumptions!$B$9)/((P$3/100)*Assumptions!$B$10))-(P$3/100)*Assumptions!$B$10))))&lt;=0,"",(Assumptions!$B$2*EXP(-Assumptions!$B$4*Assumptions!$B$9)*NORMDIST(((LN(Assumptions!$B$2/$B14)+(Assumptions!$B$3-Assumptions!$B$4+(P$3/100)^2/2)*Assumptions!$B$9)/((P$3/100)*Assumptions!$B$10)),0,1,FALSE)*Assumptions!$B$10*0.01)*((P$3/100)/0.01)/(MAX(0,Assumptions!$B$2*EXP(-Assumptions!$B$4*Assumptions!$B$9)*NORMSDIST(((LN(Assumptions!$B$2/$B14)+(Assumptions!$B$3-Assumptions!$B$4+(P$3/100)^2/2)*Assumptions!$B$9)/((P$3/100)*Assumptions!$B$10)))-$B14*EXP(-Assumptions!$B$3*Assumptions!$B$9)*NORMSDIST((((LN(Assumptions!$B$2/$B14)+(Assumptions!$B$3-Assumptions!$B$4+(P$3/100)^2/2)*Assumptions!$B$9)/((P$3/100)*Assumptions!$B$10))-(P$3/100)*Assumptions!$B$10)))))</f>
        <v/>
      </c>
      <c r="Q14" s="32">
        <f>IF((MAX(0,Assumptions!$B$2*EXP(-Assumptions!$B$4*Assumptions!$B$9)*NORMSDIST(((LN(Assumptions!$B$2/$B14)+(Assumptions!$B$3-Assumptions!$B$4+(Q$3/100)^2/2)*Assumptions!$B$9)/((Q$3/100)*Assumptions!$B$10)))-$B14*EXP(-Assumptions!$B$3*Assumptions!$B$9)*NORMSDIST((((LN(Assumptions!$B$2/$B14)+(Assumptions!$B$3-Assumptions!$B$4+(Q$3/100)^2/2)*Assumptions!$B$9)/((Q$3/100)*Assumptions!$B$10))-(Q$3/100)*Assumptions!$B$10))))&lt;=0,"",(Assumptions!$B$2*EXP(-Assumptions!$B$4*Assumptions!$B$9)*NORMDIST(((LN(Assumptions!$B$2/$B14)+(Assumptions!$B$3-Assumptions!$B$4+(Q$3/100)^2/2)*Assumptions!$B$9)/((Q$3/100)*Assumptions!$B$10)),0,1,FALSE)*Assumptions!$B$10*0.01)*((Q$3/100)/0.01)/(MAX(0,Assumptions!$B$2*EXP(-Assumptions!$B$4*Assumptions!$B$9)*NORMSDIST(((LN(Assumptions!$B$2/$B14)+(Assumptions!$B$3-Assumptions!$B$4+(Q$3/100)^2/2)*Assumptions!$B$9)/((Q$3/100)*Assumptions!$B$10)))-$B14*EXP(-Assumptions!$B$3*Assumptions!$B$9)*NORMSDIST((((LN(Assumptions!$B$2/$B14)+(Assumptions!$B$3-Assumptions!$B$4+(Q$3/100)^2/2)*Assumptions!$B$9)/((Q$3/100)*Assumptions!$B$10))-(Q$3/100)*Assumptions!$B$10)))))</f>
        <v/>
      </c>
      <c r="R14" s="32">
        <f>IF((MAX(0,Assumptions!$B$2*EXP(-Assumptions!$B$4*Assumptions!$B$9)*NORMSDIST(((LN(Assumptions!$B$2/$B14)+(Assumptions!$B$3-Assumptions!$B$4+(R$3/100)^2/2)*Assumptions!$B$9)/((R$3/100)*Assumptions!$B$10)))-$B14*EXP(-Assumptions!$B$3*Assumptions!$B$9)*NORMSDIST((((LN(Assumptions!$B$2/$B14)+(Assumptions!$B$3-Assumptions!$B$4+(R$3/100)^2/2)*Assumptions!$B$9)/((R$3/100)*Assumptions!$B$10))-(R$3/100)*Assumptions!$B$10))))&lt;=0,"",(Assumptions!$B$2*EXP(-Assumptions!$B$4*Assumptions!$B$9)*NORMDIST(((LN(Assumptions!$B$2/$B14)+(Assumptions!$B$3-Assumptions!$B$4+(R$3/100)^2/2)*Assumptions!$B$9)/((R$3/100)*Assumptions!$B$10)),0,1,FALSE)*Assumptions!$B$10*0.01)*((R$3/100)/0.01)/(MAX(0,Assumptions!$B$2*EXP(-Assumptions!$B$4*Assumptions!$B$9)*NORMSDIST(((LN(Assumptions!$B$2/$B14)+(Assumptions!$B$3-Assumptions!$B$4+(R$3/100)^2/2)*Assumptions!$B$9)/((R$3/100)*Assumptions!$B$10)))-$B14*EXP(-Assumptions!$B$3*Assumptions!$B$9)*NORMSDIST((((LN(Assumptions!$B$2/$B14)+(Assumptions!$B$3-Assumptions!$B$4+(R$3/100)^2/2)*Assumptions!$B$9)/((R$3/100)*Assumptions!$B$10))-(R$3/100)*Assumptions!$B$10)))))</f>
        <v/>
      </c>
      <c r="S14" s="32">
        <f>IF((MAX(0,Assumptions!$B$2*EXP(-Assumptions!$B$4*Assumptions!$B$9)*NORMSDIST(((LN(Assumptions!$B$2/$B14)+(Assumptions!$B$3-Assumptions!$B$4+(S$3/100)^2/2)*Assumptions!$B$9)/((S$3/100)*Assumptions!$B$10)))-$B14*EXP(-Assumptions!$B$3*Assumptions!$B$9)*NORMSDIST((((LN(Assumptions!$B$2/$B14)+(Assumptions!$B$3-Assumptions!$B$4+(S$3/100)^2/2)*Assumptions!$B$9)/((S$3/100)*Assumptions!$B$10))-(S$3/100)*Assumptions!$B$10))))&lt;=0,"",(Assumptions!$B$2*EXP(-Assumptions!$B$4*Assumptions!$B$9)*NORMDIST(((LN(Assumptions!$B$2/$B14)+(Assumptions!$B$3-Assumptions!$B$4+(S$3/100)^2/2)*Assumptions!$B$9)/((S$3/100)*Assumptions!$B$10)),0,1,FALSE)*Assumptions!$B$10*0.01)*((S$3/100)/0.01)/(MAX(0,Assumptions!$B$2*EXP(-Assumptions!$B$4*Assumptions!$B$9)*NORMSDIST(((LN(Assumptions!$B$2/$B14)+(Assumptions!$B$3-Assumptions!$B$4+(S$3/100)^2/2)*Assumptions!$B$9)/((S$3/100)*Assumptions!$B$10)))-$B14*EXP(-Assumptions!$B$3*Assumptions!$B$9)*NORMSDIST((((LN(Assumptions!$B$2/$B14)+(Assumptions!$B$3-Assumptions!$B$4+(S$3/100)^2/2)*Assumptions!$B$9)/((S$3/100)*Assumptions!$B$10))-(S$3/100)*Assumptions!$B$10)))))</f>
        <v/>
      </c>
      <c r="T14" s="32">
        <f>IF((MAX(0,Assumptions!$B$2*EXP(-Assumptions!$B$4*Assumptions!$B$9)*NORMSDIST(((LN(Assumptions!$B$2/$B14)+(Assumptions!$B$3-Assumptions!$B$4+(T$3/100)^2/2)*Assumptions!$B$9)/((T$3/100)*Assumptions!$B$10)))-$B14*EXP(-Assumptions!$B$3*Assumptions!$B$9)*NORMSDIST((((LN(Assumptions!$B$2/$B14)+(Assumptions!$B$3-Assumptions!$B$4+(T$3/100)^2/2)*Assumptions!$B$9)/((T$3/100)*Assumptions!$B$10))-(T$3/100)*Assumptions!$B$10))))&lt;=0,"",(Assumptions!$B$2*EXP(-Assumptions!$B$4*Assumptions!$B$9)*NORMDIST(((LN(Assumptions!$B$2/$B14)+(Assumptions!$B$3-Assumptions!$B$4+(T$3/100)^2/2)*Assumptions!$B$9)/((T$3/100)*Assumptions!$B$10)),0,1,FALSE)*Assumptions!$B$10*0.01)*((T$3/100)/0.01)/(MAX(0,Assumptions!$B$2*EXP(-Assumptions!$B$4*Assumptions!$B$9)*NORMSDIST(((LN(Assumptions!$B$2/$B14)+(Assumptions!$B$3-Assumptions!$B$4+(T$3/100)^2/2)*Assumptions!$B$9)/((T$3/100)*Assumptions!$B$10)))-$B14*EXP(-Assumptions!$B$3*Assumptions!$B$9)*NORMSDIST((((LN(Assumptions!$B$2/$B14)+(Assumptions!$B$3-Assumptions!$B$4+(T$3/100)^2/2)*Assumptions!$B$9)/((T$3/100)*Assumptions!$B$10))-(T$3/100)*Assumptions!$B$10)))))</f>
        <v/>
      </c>
      <c r="U14" s="32">
        <f>IF((MAX(0,Assumptions!$B$2*EXP(-Assumptions!$B$4*Assumptions!$B$9)*NORMSDIST(((LN(Assumptions!$B$2/$B14)+(Assumptions!$B$3-Assumptions!$B$4+(U$3/100)^2/2)*Assumptions!$B$9)/((U$3/100)*Assumptions!$B$10)))-$B14*EXP(-Assumptions!$B$3*Assumptions!$B$9)*NORMSDIST((((LN(Assumptions!$B$2/$B14)+(Assumptions!$B$3-Assumptions!$B$4+(U$3/100)^2/2)*Assumptions!$B$9)/((U$3/100)*Assumptions!$B$10))-(U$3/100)*Assumptions!$B$10))))&lt;=0,"",(Assumptions!$B$2*EXP(-Assumptions!$B$4*Assumptions!$B$9)*NORMDIST(((LN(Assumptions!$B$2/$B14)+(Assumptions!$B$3-Assumptions!$B$4+(U$3/100)^2/2)*Assumptions!$B$9)/((U$3/100)*Assumptions!$B$10)),0,1,FALSE)*Assumptions!$B$10*0.01)*((U$3/100)/0.01)/(MAX(0,Assumptions!$B$2*EXP(-Assumptions!$B$4*Assumptions!$B$9)*NORMSDIST(((LN(Assumptions!$B$2/$B14)+(Assumptions!$B$3-Assumptions!$B$4+(U$3/100)^2/2)*Assumptions!$B$9)/((U$3/100)*Assumptions!$B$10)))-$B14*EXP(-Assumptions!$B$3*Assumptions!$B$9)*NORMSDIST((((LN(Assumptions!$B$2/$B14)+(Assumptions!$B$3-Assumptions!$B$4+(U$3/100)^2/2)*Assumptions!$B$9)/((U$3/100)*Assumptions!$B$10))-(U$3/100)*Assumptions!$B$10)))))</f>
        <v/>
      </c>
      <c r="V14" s="32">
        <f>IF((MAX(0,Assumptions!$B$2*EXP(-Assumptions!$B$4*Assumptions!$B$9)*NORMSDIST(((LN(Assumptions!$B$2/$B14)+(Assumptions!$B$3-Assumptions!$B$4+(V$3/100)^2/2)*Assumptions!$B$9)/((V$3/100)*Assumptions!$B$10)))-$B14*EXP(-Assumptions!$B$3*Assumptions!$B$9)*NORMSDIST((((LN(Assumptions!$B$2/$B14)+(Assumptions!$B$3-Assumptions!$B$4+(V$3/100)^2/2)*Assumptions!$B$9)/((V$3/100)*Assumptions!$B$10))-(V$3/100)*Assumptions!$B$10))))&lt;=0,"",(Assumptions!$B$2*EXP(-Assumptions!$B$4*Assumptions!$B$9)*NORMDIST(((LN(Assumptions!$B$2/$B14)+(Assumptions!$B$3-Assumptions!$B$4+(V$3/100)^2/2)*Assumptions!$B$9)/((V$3/100)*Assumptions!$B$10)),0,1,FALSE)*Assumptions!$B$10*0.01)*((V$3/100)/0.01)/(MAX(0,Assumptions!$B$2*EXP(-Assumptions!$B$4*Assumptions!$B$9)*NORMSDIST(((LN(Assumptions!$B$2/$B14)+(Assumptions!$B$3-Assumptions!$B$4+(V$3/100)^2/2)*Assumptions!$B$9)/((V$3/100)*Assumptions!$B$10)))-$B14*EXP(-Assumptions!$B$3*Assumptions!$B$9)*NORMSDIST((((LN(Assumptions!$B$2/$B14)+(Assumptions!$B$3-Assumptions!$B$4+(V$3/100)^2/2)*Assumptions!$B$9)/((V$3/100)*Assumptions!$B$10))-(V$3/100)*Assumptions!$B$10)))))</f>
        <v/>
      </c>
      <c r="W14" s="32">
        <f>IF((MAX(0,Assumptions!$B$2*EXP(-Assumptions!$B$4*Assumptions!$B$9)*NORMSDIST(((LN(Assumptions!$B$2/$B14)+(Assumptions!$B$3-Assumptions!$B$4+(W$3/100)^2/2)*Assumptions!$B$9)/((W$3/100)*Assumptions!$B$10)))-$B14*EXP(-Assumptions!$B$3*Assumptions!$B$9)*NORMSDIST((((LN(Assumptions!$B$2/$B14)+(Assumptions!$B$3-Assumptions!$B$4+(W$3/100)^2/2)*Assumptions!$B$9)/((W$3/100)*Assumptions!$B$10))-(W$3/100)*Assumptions!$B$10))))&lt;=0,"",(Assumptions!$B$2*EXP(-Assumptions!$B$4*Assumptions!$B$9)*NORMDIST(((LN(Assumptions!$B$2/$B14)+(Assumptions!$B$3-Assumptions!$B$4+(W$3/100)^2/2)*Assumptions!$B$9)/((W$3/100)*Assumptions!$B$10)),0,1,FALSE)*Assumptions!$B$10*0.01)*((W$3/100)/0.01)/(MAX(0,Assumptions!$B$2*EXP(-Assumptions!$B$4*Assumptions!$B$9)*NORMSDIST(((LN(Assumptions!$B$2/$B14)+(Assumptions!$B$3-Assumptions!$B$4+(W$3/100)^2/2)*Assumptions!$B$9)/((W$3/100)*Assumptions!$B$10)))-$B14*EXP(-Assumptions!$B$3*Assumptions!$B$9)*NORMSDIST((((LN(Assumptions!$B$2/$B14)+(Assumptions!$B$3-Assumptions!$B$4+(W$3/100)^2/2)*Assumptions!$B$9)/((W$3/100)*Assumptions!$B$10))-(W$3/100)*Assumptions!$B$10)))))</f>
        <v/>
      </c>
      <c r="X14" s="32">
        <f>IF((MAX(0,Assumptions!$B$2*EXP(-Assumptions!$B$4*Assumptions!$B$9)*NORMSDIST(((LN(Assumptions!$B$2/$B14)+(Assumptions!$B$3-Assumptions!$B$4+(X$3/100)^2/2)*Assumptions!$B$9)/((X$3/100)*Assumptions!$B$10)))-$B14*EXP(-Assumptions!$B$3*Assumptions!$B$9)*NORMSDIST((((LN(Assumptions!$B$2/$B14)+(Assumptions!$B$3-Assumptions!$B$4+(X$3/100)^2/2)*Assumptions!$B$9)/((X$3/100)*Assumptions!$B$10))-(X$3/100)*Assumptions!$B$10))))&lt;=0,"",(Assumptions!$B$2*EXP(-Assumptions!$B$4*Assumptions!$B$9)*NORMDIST(((LN(Assumptions!$B$2/$B14)+(Assumptions!$B$3-Assumptions!$B$4+(X$3/100)^2/2)*Assumptions!$B$9)/((X$3/100)*Assumptions!$B$10)),0,1,FALSE)*Assumptions!$B$10*0.01)*((X$3/100)/0.01)/(MAX(0,Assumptions!$B$2*EXP(-Assumptions!$B$4*Assumptions!$B$9)*NORMSDIST(((LN(Assumptions!$B$2/$B14)+(Assumptions!$B$3-Assumptions!$B$4+(X$3/100)^2/2)*Assumptions!$B$9)/((X$3/100)*Assumptions!$B$10)))-$B14*EXP(-Assumptions!$B$3*Assumptions!$B$9)*NORMSDIST((((LN(Assumptions!$B$2/$B14)+(Assumptions!$B$3-Assumptions!$B$4+(X$3/100)^2/2)*Assumptions!$B$9)/((X$3/100)*Assumptions!$B$10))-(X$3/100)*Assumptions!$B$10)))))</f>
        <v/>
      </c>
      <c r="Y14" s="32">
        <f>IF((MAX(0,Assumptions!$B$2*EXP(-Assumptions!$B$4*Assumptions!$B$9)*NORMSDIST(((LN(Assumptions!$B$2/$B14)+(Assumptions!$B$3-Assumptions!$B$4+(Y$3/100)^2/2)*Assumptions!$B$9)/((Y$3/100)*Assumptions!$B$10)))-$B14*EXP(-Assumptions!$B$3*Assumptions!$B$9)*NORMSDIST((((LN(Assumptions!$B$2/$B14)+(Assumptions!$B$3-Assumptions!$B$4+(Y$3/100)^2/2)*Assumptions!$B$9)/((Y$3/100)*Assumptions!$B$10))-(Y$3/100)*Assumptions!$B$10))))&lt;=0,"",(Assumptions!$B$2*EXP(-Assumptions!$B$4*Assumptions!$B$9)*NORMDIST(((LN(Assumptions!$B$2/$B14)+(Assumptions!$B$3-Assumptions!$B$4+(Y$3/100)^2/2)*Assumptions!$B$9)/((Y$3/100)*Assumptions!$B$10)),0,1,FALSE)*Assumptions!$B$10*0.01)*((Y$3/100)/0.01)/(MAX(0,Assumptions!$B$2*EXP(-Assumptions!$B$4*Assumptions!$B$9)*NORMSDIST(((LN(Assumptions!$B$2/$B14)+(Assumptions!$B$3-Assumptions!$B$4+(Y$3/100)^2/2)*Assumptions!$B$9)/((Y$3/100)*Assumptions!$B$10)))-$B14*EXP(-Assumptions!$B$3*Assumptions!$B$9)*NORMSDIST((((LN(Assumptions!$B$2/$B14)+(Assumptions!$B$3-Assumptions!$B$4+(Y$3/100)^2/2)*Assumptions!$B$9)/((Y$3/100)*Assumptions!$B$10))-(Y$3/100)*Assumptions!$B$10)))))</f>
        <v/>
      </c>
      <c r="Z14" s="32">
        <f>IF((MAX(0,Assumptions!$B$2*EXP(-Assumptions!$B$4*Assumptions!$B$9)*NORMSDIST(((LN(Assumptions!$B$2/$B14)+(Assumptions!$B$3-Assumptions!$B$4+(Z$3/100)^2/2)*Assumptions!$B$9)/((Z$3/100)*Assumptions!$B$10)))-$B14*EXP(-Assumptions!$B$3*Assumptions!$B$9)*NORMSDIST((((LN(Assumptions!$B$2/$B14)+(Assumptions!$B$3-Assumptions!$B$4+(Z$3/100)^2/2)*Assumptions!$B$9)/((Z$3/100)*Assumptions!$B$10))-(Z$3/100)*Assumptions!$B$10))))&lt;=0,"",(Assumptions!$B$2*EXP(-Assumptions!$B$4*Assumptions!$B$9)*NORMDIST(((LN(Assumptions!$B$2/$B14)+(Assumptions!$B$3-Assumptions!$B$4+(Z$3/100)^2/2)*Assumptions!$B$9)/((Z$3/100)*Assumptions!$B$10)),0,1,FALSE)*Assumptions!$B$10*0.01)*((Z$3/100)/0.01)/(MAX(0,Assumptions!$B$2*EXP(-Assumptions!$B$4*Assumptions!$B$9)*NORMSDIST(((LN(Assumptions!$B$2/$B14)+(Assumptions!$B$3-Assumptions!$B$4+(Z$3/100)^2/2)*Assumptions!$B$9)/((Z$3/100)*Assumptions!$B$10)))-$B14*EXP(-Assumptions!$B$3*Assumptions!$B$9)*NORMSDIST((((LN(Assumptions!$B$2/$B14)+(Assumptions!$B$3-Assumptions!$B$4+(Z$3/100)^2/2)*Assumptions!$B$9)/((Z$3/100)*Assumptions!$B$10))-(Z$3/100)*Assumptions!$B$10)))))</f>
        <v/>
      </c>
      <c r="AA14" s="32">
        <f>IF((MAX(0,Assumptions!$B$2*EXP(-Assumptions!$B$4*Assumptions!$B$9)*NORMSDIST(((LN(Assumptions!$B$2/$B14)+(Assumptions!$B$3-Assumptions!$B$4+(AA$3/100)^2/2)*Assumptions!$B$9)/((AA$3/100)*Assumptions!$B$10)))-$B14*EXP(-Assumptions!$B$3*Assumptions!$B$9)*NORMSDIST((((LN(Assumptions!$B$2/$B14)+(Assumptions!$B$3-Assumptions!$B$4+(AA$3/100)^2/2)*Assumptions!$B$9)/((AA$3/100)*Assumptions!$B$10))-(AA$3/100)*Assumptions!$B$10))))&lt;=0,"",(Assumptions!$B$2*EXP(-Assumptions!$B$4*Assumptions!$B$9)*NORMDIST(((LN(Assumptions!$B$2/$B14)+(Assumptions!$B$3-Assumptions!$B$4+(AA$3/100)^2/2)*Assumptions!$B$9)/((AA$3/100)*Assumptions!$B$10)),0,1,FALSE)*Assumptions!$B$10*0.01)*((AA$3/100)/0.01)/(MAX(0,Assumptions!$B$2*EXP(-Assumptions!$B$4*Assumptions!$B$9)*NORMSDIST(((LN(Assumptions!$B$2/$B14)+(Assumptions!$B$3-Assumptions!$B$4+(AA$3/100)^2/2)*Assumptions!$B$9)/((AA$3/100)*Assumptions!$B$10)))-$B14*EXP(-Assumptions!$B$3*Assumptions!$B$9)*NORMSDIST((((LN(Assumptions!$B$2/$B14)+(Assumptions!$B$3-Assumptions!$B$4+(AA$3/100)^2/2)*Assumptions!$B$9)/((AA$3/100)*Assumptions!$B$10))-(AA$3/100)*Assumptions!$B$10)))))</f>
        <v/>
      </c>
      <c r="AB14" s="32">
        <f>IF((MAX(0,Assumptions!$B$2*EXP(-Assumptions!$B$4*Assumptions!$B$9)*NORMSDIST(((LN(Assumptions!$B$2/$B14)+(Assumptions!$B$3-Assumptions!$B$4+(AB$3/100)^2/2)*Assumptions!$B$9)/((AB$3/100)*Assumptions!$B$10)))-$B14*EXP(-Assumptions!$B$3*Assumptions!$B$9)*NORMSDIST((((LN(Assumptions!$B$2/$B14)+(Assumptions!$B$3-Assumptions!$B$4+(AB$3/100)^2/2)*Assumptions!$B$9)/((AB$3/100)*Assumptions!$B$10))-(AB$3/100)*Assumptions!$B$10))))&lt;=0,"",(Assumptions!$B$2*EXP(-Assumptions!$B$4*Assumptions!$B$9)*NORMDIST(((LN(Assumptions!$B$2/$B14)+(Assumptions!$B$3-Assumptions!$B$4+(AB$3/100)^2/2)*Assumptions!$B$9)/((AB$3/100)*Assumptions!$B$10)),0,1,FALSE)*Assumptions!$B$10*0.01)*((AB$3/100)/0.01)/(MAX(0,Assumptions!$B$2*EXP(-Assumptions!$B$4*Assumptions!$B$9)*NORMSDIST(((LN(Assumptions!$B$2/$B14)+(Assumptions!$B$3-Assumptions!$B$4+(AB$3/100)^2/2)*Assumptions!$B$9)/((AB$3/100)*Assumptions!$B$10)))-$B14*EXP(-Assumptions!$B$3*Assumptions!$B$9)*NORMSDIST((((LN(Assumptions!$B$2/$B14)+(Assumptions!$B$3-Assumptions!$B$4+(AB$3/100)^2/2)*Assumptions!$B$9)/((AB$3/100)*Assumptions!$B$10))-(AB$3/100)*Assumptions!$B$10)))))</f>
        <v/>
      </c>
      <c r="AC14" s="32">
        <f>IF((MAX(0,Assumptions!$B$2*EXP(-Assumptions!$B$4*Assumptions!$B$9)*NORMSDIST(((LN(Assumptions!$B$2/$B14)+(Assumptions!$B$3-Assumptions!$B$4+(AC$3/100)^2/2)*Assumptions!$B$9)/((AC$3/100)*Assumptions!$B$10)))-$B14*EXP(-Assumptions!$B$3*Assumptions!$B$9)*NORMSDIST((((LN(Assumptions!$B$2/$B14)+(Assumptions!$B$3-Assumptions!$B$4+(AC$3/100)^2/2)*Assumptions!$B$9)/((AC$3/100)*Assumptions!$B$10))-(AC$3/100)*Assumptions!$B$10))))&lt;=0,"",(Assumptions!$B$2*EXP(-Assumptions!$B$4*Assumptions!$B$9)*NORMDIST(((LN(Assumptions!$B$2/$B14)+(Assumptions!$B$3-Assumptions!$B$4+(AC$3/100)^2/2)*Assumptions!$B$9)/((AC$3/100)*Assumptions!$B$10)),0,1,FALSE)*Assumptions!$B$10*0.01)*((AC$3/100)/0.01)/(MAX(0,Assumptions!$B$2*EXP(-Assumptions!$B$4*Assumptions!$B$9)*NORMSDIST(((LN(Assumptions!$B$2/$B14)+(Assumptions!$B$3-Assumptions!$B$4+(AC$3/100)^2/2)*Assumptions!$B$9)/((AC$3/100)*Assumptions!$B$10)))-$B14*EXP(-Assumptions!$B$3*Assumptions!$B$9)*NORMSDIST((((LN(Assumptions!$B$2/$B14)+(Assumptions!$B$3-Assumptions!$B$4+(AC$3/100)^2/2)*Assumptions!$B$9)/((AC$3/100)*Assumptions!$B$10))-(AC$3/100)*Assumptions!$B$10)))))</f>
        <v/>
      </c>
      <c r="AD14" s="32">
        <f>IF((MAX(0,Assumptions!$B$2*EXP(-Assumptions!$B$4*Assumptions!$B$9)*NORMSDIST(((LN(Assumptions!$B$2/$B14)+(Assumptions!$B$3-Assumptions!$B$4+(AD$3/100)^2/2)*Assumptions!$B$9)/((AD$3/100)*Assumptions!$B$10)))-$B14*EXP(-Assumptions!$B$3*Assumptions!$B$9)*NORMSDIST((((LN(Assumptions!$B$2/$B14)+(Assumptions!$B$3-Assumptions!$B$4+(AD$3/100)^2/2)*Assumptions!$B$9)/((AD$3/100)*Assumptions!$B$10))-(AD$3/100)*Assumptions!$B$10))))&lt;=0,"",(Assumptions!$B$2*EXP(-Assumptions!$B$4*Assumptions!$B$9)*NORMDIST(((LN(Assumptions!$B$2/$B14)+(Assumptions!$B$3-Assumptions!$B$4+(AD$3/100)^2/2)*Assumptions!$B$9)/((AD$3/100)*Assumptions!$B$10)),0,1,FALSE)*Assumptions!$B$10*0.01)*((AD$3/100)/0.01)/(MAX(0,Assumptions!$B$2*EXP(-Assumptions!$B$4*Assumptions!$B$9)*NORMSDIST(((LN(Assumptions!$B$2/$B14)+(Assumptions!$B$3-Assumptions!$B$4+(AD$3/100)^2/2)*Assumptions!$B$9)/((AD$3/100)*Assumptions!$B$10)))-$B14*EXP(-Assumptions!$B$3*Assumptions!$B$9)*NORMSDIST((((LN(Assumptions!$B$2/$B14)+(Assumptions!$B$3-Assumptions!$B$4+(AD$3/100)^2/2)*Assumptions!$B$9)/((AD$3/100)*Assumptions!$B$10))-(AD$3/100)*Assumptions!$B$10)))))</f>
        <v/>
      </c>
      <c r="AE14" s="32">
        <f>IF((MAX(0,Assumptions!$B$2*EXP(-Assumptions!$B$4*Assumptions!$B$9)*NORMSDIST(((LN(Assumptions!$B$2/$B14)+(Assumptions!$B$3-Assumptions!$B$4+(AE$3/100)^2/2)*Assumptions!$B$9)/((AE$3/100)*Assumptions!$B$10)))-$B14*EXP(-Assumptions!$B$3*Assumptions!$B$9)*NORMSDIST((((LN(Assumptions!$B$2/$B14)+(Assumptions!$B$3-Assumptions!$B$4+(AE$3/100)^2/2)*Assumptions!$B$9)/((AE$3/100)*Assumptions!$B$10))-(AE$3/100)*Assumptions!$B$10))))&lt;=0,"",(Assumptions!$B$2*EXP(-Assumptions!$B$4*Assumptions!$B$9)*NORMDIST(((LN(Assumptions!$B$2/$B14)+(Assumptions!$B$3-Assumptions!$B$4+(AE$3/100)^2/2)*Assumptions!$B$9)/((AE$3/100)*Assumptions!$B$10)),0,1,FALSE)*Assumptions!$B$10*0.01)*((AE$3/100)/0.01)/(MAX(0,Assumptions!$B$2*EXP(-Assumptions!$B$4*Assumptions!$B$9)*NORMSDIST(((LN(Assumptions!$B$2/$B14)+(Assumptions!$B$3-Assumptions!$B$4+(AE$3/100)^2/2)*Assumptions!$B$9)/((AE$3/100)*Assumptions!$B$10)))-$B14*EXP(-Assumptions!$B$3*Assumptions!$B$9)*NORMSDIST((((LN(Assumptions!$B$2/$B14)+(Assumptions!$B$3-Assumptions!$B$4+(AE$3/100)^2/2)*Assumptions!$B$9)/((AE$3/100)*Assumptions!$B$10))-(AE$3/100)*Assumptions!$B$10)))))</f>
        <v/>
      </c>
      <c r="AF14" s="32">
        <f>IF((MAX(0,Assumptions!$B$2*EXP(-Assumptions!$B$4*Assumptions!$B$9)*NORMSDIST(((LN(Assumptions!$B$2/$B14)+(Assumptions!$B$3-Assumptions!$B$4+(AF$3/100)^2/2)*Assumptions!$B$9)/((AF$3/100)*Assumptions!$B$10)))-$B14*EXP(-Assumptions!$B$3*Assumptions!$B$9)*NORMSDIST((((LN(Assumptions!$B$2/$B14)+(Assumptions!$B$3-Assumptions!$B$4+(AF$3/100)^2/2)*Assumptions!$B$9)/((AF$3/100)*Assumptions!$B$10))-(AF$3/100)*Assumptions!$B$10))))&lt;=0,"",(Assumptions!$B$2*EXP(-Assumptions!$B$4*Assumptions!$B$9)*NORMDIST(((LN(Assumptions!$B$2/$B14)+(Assumptions!$B$3-Assumptions!$B$4+(AF$3/100)^2/2)*Assumptions!$B$9)/((AF$3/100)*Assumptions!$B$10)),0,1,FALSE)*Assumptions!$B$10*0.01)*((AF$3/100)/0.01)/(MAX(0,Assumptions!$B$2*EXP(-Assumptions!$B$4*Assumptions!$B$9)*NORMSDIST(((LN(Assumptions!$B$2/$B14)+(Assumptions!$B$3-Assumptions!$B$4+(AF$3/100)^2/2)*Assumptions!$B$9)/((AF$3/100)*Assumptions!$B$10)))-$B14*EXP(-Assumptions!$B$3*Assumptions!$B$9)*NORMSDIST((((LN(Assumptions!$B$2/$B14)+(Assumptions!$B$3-Assumptions!$B$4+(AF$3/100)^2/2)*Assumptions!$B$9)/((AF$3/100)*Assumptions!$B$10))-(AF$3/100)*Assumptions!$B$10)))))</f>
        <v/>
      </c>
      <c r="AG14" s="32">
        <f>IF((MAX(0,Assumptions!$B$2*EXP(-Assumptions!$B$4*Assumptions!$B$9)*NORMSDIST(((LN(Assumptions!$B$2/$B14)+(Assumptions!$B$3-Assumptions!$B$4+(AG$3/100)^2/2)*Assumptions!$B$9)/((AG$3/100)*Assumptions!$B$10)))-$B14*EXP(-Assumptions!$B$3*Assumptions!$B$9)*NORMSDIST((((LN(Assumptions!$B$2/$B14)+(Assumptions!$B$3-Assumptions!$B$4+(AG$3/100)^2/2)*Assumptions!$B$9)/((AG$3/100)*Assumptions!$B$10))-(AG$3/100)*Assumptions!$B$10))))&lt;=0,"",(Assumptions!$B$2*EXP(-Assumptions!$B$4*Assumptions!$B$9)*NORMDIST(((LN(Assumptions!$B$2/$B14)+(Assumptions!$B$3-Assumptions!$B$4+(AG$3/100)^2/2)*Assumptions!$B$9)/((AG$3/100)*Assumptions!$B$10)),0,1,FALSE)*Assumptions!$B$10*0.01)*((AG$3/100)/0.01)/(MAX(0,Assumptions!$B$2*EXP(-Assumptions!$B$4*Assumptions!$B$9)*NORMSDIST(((LN(Assumptions!$B$2/$B14)+(Assumptions!$B$3-Assumptions!$B$4+(AG$3/100)^2/2)*Assumptions!$B$9)/((AG$3/100)*Assumptions!$B$10)))-$B14*EXP(-Assumptions!$B$3*Assumptions!$B$9)*NORMSDIST((((LN(Assumptions!$B$2/$B14)+(Assumptions!$B$3-Assumptions!$B$4+(AG$3/100)^2/2)*Assumptions!$B$9)/((AG$3/100)*Assumptions!$B$10))-(AG$3/100)*Assumptions!$B$10)))))</f>
        <v/>
      </c>
      <c r="AH14" s="32">
        <f>IF((MAX(0,Assumptions!$B$2*EXP(-Assumptions!$B$4*Assumptions!$B$9)*NORMSDIST(((LN(Assumptions!$B$2/$B14)+(Assumptions!$B$3-Assumptions!$B$4+(AH$3/100)^2/2)*Assumptions!$B$9)/((AH$3/100)*Assumptions!$B$10)))-$B14*EXP(-Assumptions!$B$3*Assumptions!$B$9)*NORMSDIST((((LN(Assumptions!$B$2/$B14)+(Assumptions!$B$3-Assumptions!$B$4+(AH$3/100)^2/2)*Assumptions!$B$9)/((AH$3/100)*Assumptions!$B$10))-(AH$3/100)*Assumptions!$B$10))))&lt;=0,"",(Assumptions!$B$2*EXP(-Assumptions!$B$4*Assumptions!$B$9)*NORMDIST(((LN(Assumptions!$B$2/$B14)+(Assumptions!$B$3-Assumptions!$B$4+(AH$3/100)^2/2)*Assumptions!$B$9)/((AH$3/100)*Assumptions!$B$10)),0,1,FALSE)*Assumptions!$B$10*0.01)*((AH$3/100)/0.01)/(MAX(0,Assumptions!$B$2*EXP(-Assumptions!$B$4*Assumptions!$B$9)*NORMSDIST(((LN(Assumptions!$B$2/$B14)+(Assumptions!$B$3-Assumptions!$B$4+(AH$3/100)^2/2)*Assumptions!$B$9)/((AH$3/100)*Assumptions!$B$10)))-$B14*EXP(-Assumptions!$B$3*Assumptions!$B$9)*NORMSDIST((((LN(Assumptions!$B$2/$B14)+(Assumptions!$B$3-Assumptions!$B$4+(AH$3/100)^2/2)*Assumptions!$B$9)/((AH$3/100)*Assumptions!$B$10))-(AH$3/100)*Assumptions!$B$10)))))</f>
        <v/>
      </c>
      <c r="AI14" s="32">
        <f>IF((MAX(0,Assumptions!$B$2*EXP(-Assumptions!$B$4*Assumptions!$B$9)*NORMSDIST(((LN(Assumptions!$B$2/$B14)+(Assumptions!$B$3-Assumptions!$B$4+(AI$3/100)^2/2)*Assumptions!$B$9)/((AI$3/100)*Assumptions!$B$10)))-$B14*EXP(-Assumptions!$B$3*Assumptions!$B$9)*NORMSDIST((((LN(Assumptions!$B$2/$B14)+(Assumptions!$B$3-Assumptions!$B$4+(AI$3/100)^2/2)*Assumptions!$B$9)/((AI$3/100)*Assumptions!$B$10))-(AI$3/100)*Assumptions!$B$10))))&lt;=0,"",(Assumptions!$B$2*EXP(-Assumptions!$B$4*Assumptions!$B$9)*NORMDIST(((LN(Assumptions!$B$2/$B14)+(Assumptions!$B$3-Assumptions!$B$4+(AI$3/100)^2/2)*Assumptions!$B$9)/((AI$3/100)*Assumptions!$B$10)),0,1,FALSE)*Assumptions!$B$10*0.01)*((AI$3/100)/0.01)/(MAX(0,Assumptions!$B$2*EXP(-Assumptions!$B$4*Assumptions!$B$9)*NORMSDIST(((LN(Assumptions!$B$2/$B14)+(Assumptions!$B$3-Assumptions!$B$4+(AI$3/100)^2/2)*Assumptions!$B$9)/((AI$3/100)*Assumptions!$B$10)))-$B14*EXP(-Assumptions!$B$3*Assumptions!$B$9)*NORMSDIST((((LN(Assumptions!$B$2/$B14)+(Assumptions!$B$3-Assumptions!$B$4+(AI$3/100)^2/2)*Assumptions!$B$9)/((AI$3/100)*Assumptions!$B$10))-(AI$3/100)*Assumptions!$B$10)))))</f>
        <v/>
      </c>
      <c r="AJ14" s="32">
        <f>IF((MAX(0,Assumptions!$B$2*EXP(-Assumptions!$B$4*Assumptions!$B$9)*NORMSDIST(((LN(Assumptions!$B$2/$B14)+(Assumptions!$B$3-Assumptions!$B$4+(AJ$3/100)^2/2)*Assumptions!$B$9)/((AJ$3/100)*Assumptions!$B$10)))-$B14*EXP(-Assumptions!$B$3*Assumptions!$B$9)*NORMSDIST((((LN(Assumptions!$B$2/$B14)+(Assumptions!$B$3-Assumptions!$B$4+(AJ$3/100)^2/2)*Assumptions!$B$9)/((AJ$3/100)*Assumptions!$B$10))-(AJ$3/100)*Assumptions!$B$10))))&lt;=0,"",(Assumptions!$B$2*EXP(-Assumptions!$B$4*Assumptions!$B$9)*NORMDIST(((LN(Assumptions!$B$2/$B14)+(Assumptions!$B$3-Assumptions!$B$4+(AJ$3/100)^2/2)*Assumptions!$B$9)/((AJ$3/100)*Assumptions!$B$10)),0,1,FALSE)*Assumptions!$B$10*0.01)*((AJ$3/100)/0.01)/(MAX(0,Assumptions!$B$2*EXP(-Assumptions!$B$4*Assumptions!$B$9)*NORMSDIST(((LN(Assumptions!$B$2/$B14)+(Assumptions!$B$3-Assumptions!$B$4+(AJ$3/100)^2/2)*Assumptions!$B$9)/((AJ$3/100)*Assumptions!$B$10)))-$B14*EXP(-Assumptions!$B$3*Assumptions!$B$9)*NORMSDIST((((LN(Assumptions!$B$2/$B14)+(Assumptions!$B$3-Assumptions!$B$4+(AJ$3/100)^2/2)*Assumptions!$B$9)/((AJ$3/100)*Assumptions!$B$10))-(AJ$3/100)*Assumptions!$B$10)))))</f>
        <v/>
      </c>
      <c r="AK14" s="32">
        <f>IF((MAX(0,Assumptions!$B$2*EXP(-Assumptions!$B$4*Assumptions!$B$9)*NORMSDIST(((LN(Assumptions!$B$2/$B14)+(Assumptions!$B$3-Assumptions!$B$4+(AK$3/100)^2/2)*Assumptions!$B$9)/((AK$3/100)*Assumptions!$B$10)))-$B14*EXP(-Assumptions!$B$3*Assumptions!$B$9)*NORMSDIST((((LN(Assumptions!$B$2/$B14)+(Assumptions!$B$3-Assumptions!$B$4+(AK$3/100)^2/2)*Assumptions!$B$9)/((AK$3/100)*Assumptions!$B$10))-(AK$3/100)*Assumptions!$B$10))))&lt;=0,"",(Assumptions!$B$2*EXP(-Assumptions!$B$4*Assumptions!$B$9)*NORMDIST(((LN(Assumptions!$B$2/$B14)+(Assumptions!$B$3-Assumptions!$B$4+(AK$3/100)^2/2)*Assumptions!$B$9)/((AK$3/100)*Assumptions!$B$10)),0,1,FALSE)*Assumptions!$B$10*0.01)*((AK$3/100)/0.01)/(MAX(0,Assumptions!$B$2*EXP(-Assumptions!$B$4*Assumptions!$B$9)*NORMSDIST(((LN(Assumptions!$B$2/$B14)+(Assumptions!$B$3-Assumptions!$B$4+(AK$3/100)^2/2)*Assumptions!$B$9)/((AK$3/100)*Assumptions!$B$10)))-$B14*EXP(-Assumptions!$B$3*Assumptions!$B$9)*NORMSDIST((((LN(Assumptions!$B$2/$B14)+(Assumptions!$B$3-Assumptions!$B$4+(AK$3/100)^2/2)*Assumptions!$B$9)/((AK$3/100)*Assumptions!$B$10))-(AK$3/100)*Assumptions!$B$10)))))</f>
        <v/>
      </c>
      <c r="AL14" s="32">
        <f>IF((MAX(0,Assumptions!$B$2*EXP(-Assumptions!$B$4*Assumptions!$B$9)*NORMSDIST(((LN(Assumptions!$B$2/$B14)+(Assumptions!$B$3-Assumptions!$B$4+(AL$3/100)^2/2)*Assumptions!$B$9)/((AL$3/100)*Assumptions!$B$10)))-$B14*EXP(-Assumptions!$B$3*Assumptions!$B$9)*NORMSDIST((((LN(Assumptions!$B$2/$B14)+(Assumptions!$B$3-Assumptions!$B$4+(AL$3/100)^2/2)*Assumptions!$B$9)/((AL$3/100)*Assumptions!$B$10))-(AL$3/100)*Assumptions!$B$10))))&lt;=0,"",(Assumptions!$B$2*EXP(-Assumptions!$B$4*Assumptions!$B$9)*NORMDIST(((LN(Assumptions!$B$2/$B14)+(Assumptions!$B$3-Assumptions!$B$4+(AL$3/100)^2/2)*Assumptions!$B$9)/((AL$3/100)*Assumptions!$B$10)),0,1,FALSE)*Assumptions!$B$10*0.01)*((AL$3/100)/0.01)/(MAX(0,Assumptions!$B$2*EXP(-Assumptions!$B$4*Assumptions!$B$9)*NORMSDIST(((LN(Assumptions!$B$2/$B14)+(Assumptions!$B$3-Assumptions!$B$4+(AL$3/100)^2/2)*Assumptions!$B$9)/((AL$3/100)*Assumptions!$B$10)))-$B14*EXP(-Assumptions!$B$3*Assumptions!$B$9)*NORMSDIST((((LN(Assumptions!$B$2/$B14)+(Assumptions!$B$3-Assumptions!$B$4+(AL$3/100)^2/2)*Assumptions!$B$9)/((AL$3/100)*Assumptions!$B$10))-(AL$3/100)*Assumptions!$B$10)))))</f>
        <v/>
      </c>
      <c r="AM14" s="32">
        <f>IF((MAX(0,Assumptions!$B$2*EXP(-Assumptions!$B$4*Assumptions!$B$9)*NORMSDIST(((LN(Assumptions!$B$2/$B14)+(Assumptions!$B$3-Assumptions!$B$4+(AM$3/100)^2/2)*Assumptions!$B$9)/((AM$3/100)*Assumptions!$B$10)))-$B14*EXP(-Assumptions!$B$3*Assumptions!$B$9)*NORMSDIST((((LN(Assumptions!$B$2/$B14)+(Assumptions!$B$3-Assumptions!$B$4+(AM$3/100)^2/2)*Assumptions!$B$9)/((AM$3/100)*Assumptions!$B$10))-(AM$3/100)*Assumptions!$B$10))))&lt;=0,"",(Assumptions!$B$2*EXP(-Assumptions!$B$4*Assumptions!$B$9)*NORMDIST(((LN(Assumptions!$B$2/$B14)+(Assumptions!$B$3-Assumptions!$B$4+(AM$3/100)^2/2)*Assumptions!$B$9)/((AM$3/100)*Assumptions!$B$10)),0,1,FALSE)*Assumptions!$B$10*0.01)*((AM$3/100)/0.01)/(MAX(0,Assumptions!$B$2*EXP(-Assumptions!$B$4*Assumptions!$B$9)*NORMSDIST(((LN(Assumptions!$B$2/$B14)+(Assumptions!$B$3-Assumptions!$B$4+(AM$3/100)^2/2)*Assumptions!$B$9)/((AM$3/100)*Assumptions!$B$10)))-$B14*EXP(-Assumptions!$B$3*Assumptions!$B$9)*NORMSDIST((((LN(Assumptions!$B$2/$B14)+(Assumptions!$B$3-Assumptions!$B$4+(AM$3/100)^2/2)*Assumptions!$B$9)/((AM$3/100)*Assumptions!$B$10))-(AM$3/100)*Assumptions!$B$10)))))</f>
        <v/>
      </c>
      <c r="AN14" s="32">
        <f>IF((MAX(0,Assumptions!$B$2*EXP(-Assumptions!$B$4*Assumptions!$B$9)*NORMSDIST(((LN(Assumptions!$B$2/$B14)+(Assumptions!$B$3-Assumptions!$B$4+(AN$3/100)^2/2)*Assumptions!$B$9)/((AN$3/100)*Assumptions!$B$10)))-$B14*EXP(-Assumptions!$B$3*Assumptions!$B$9)*NORMSDIST((((LN(Assumptions!$B$2/$B14)+(Assumptions!$B$3-Assumptions!$B$4+(AN$3/100)^2/2)*Assumptions!$B$9)/((AN$3/100)*Assumptions!$B$10))-(AN$3/100)*Assumptions!$B$10))))&lt;=0,"",(Assumptions!$B$2*EXP(-Assumptions!$B$4*Assumptions!$B$9)*NORMDIST(((LN(Assumptions!$B$2/$B14)+(Assumptions!$B$3-Assumptions!$B$4+(AN$3/100)^2/2)*Assumptions!$B$9)/((AN$3/100)*Assumptions!$B$10)),0,1,FALSE)*Assumptions!$B$10*0.01)*((AN$3/100)/0.01)/(MAX(0,Assumptions!$B$2*EXP(-Assumptions!$B$4*Assumptions!$B$9)*NORMSDIST(((LN(Assumptions!$B$2/$B14)+(Assumptions!$B$3-Assumptions!$B$4+(AN$3/100)^2/2)*Assumptions!$B$9)/((AN$3/100)*Assumptions!$B$10)))-$B14*EXP(-Assumptions!$B$3*Assumptions!$B$9)*NORMSDIST((((LN(Assumptions!$B$2/$B14)+(Assumptions!$B$3-Assumptions!$B$4+(AN$3/100)^2/2)*Assumptions!$B$9)/((AN$3/100)*Assumptions!$B$10))-(AN$3/100)*Assumptions!$B$10)))))</f>
        <v/>
      </c>
      <c r="AO14" s="32">
        <f>IF((MAX(0,Assumptions!$B$2*EXP(-Assumptions!$B$4*Assumptions!$B$9)*NORMSDIST(((LN(Assumptions!$B$2/$B14)+(Assumptions!$B$3-Assumptions!$B$4+(AO$3/100)^2/2)*Assumptions!$B$9)/((AO$3/100)*Assumptions!$B$10)))-$B14*EXP(-Assumptions!$B$3*Assumptions!$B$9)*NORMSDIST((((LN(Assumptions!$B$2/$B14)+(Assumptions!$B$3-Assumptions!$B$4+(AO$3/100)^2/2)*Assumptions!$B$9)/((AO$3/100)*Assumptions!$B$10))-(AO$3/100)*Assumptions!$B$10))))&lt;=0,"",(Assumptions!$B$2*EXP(-Assumptions!$B$4*Assumptions!$B$9)*NORMDIST(((LN(Assumptions!$B$2/$B14)+(Assumptions!$B$3-Assumptions!$B$4+(AO$3/100)^2/2)*Assumptions!$B$9)/((AO$3/100)*Assumptions!$B$10)),0,1,FALSE)*Assumptions!$B$10*0.01)*((AO$3/100)/0.01)/(MAX(0,Assumptions!$B$2*EXP(-Assumptions!$B$4*Assumptions!$B$9)*NORMSDIST(((LN(Assumptions!$B$2/$B14)+(Assumptions!$B$3-Assumptions!$B$4+(AO$3/100)^2/2)*Assumptions!$B$9)/((AO$3/100)*Assumptions!$B$10)))-$B14*EXP(-Assumptions!$B$3*Assumptions!$B$9)*NORMSDIST((((LN(Assumptions!$B$2/$B14)+(Assumptions!$B$3-Assumptions!$B$4+(AO$3/100)^2/2)*Assumptions!$B$9)/((AO$3/100)*Assumptions!$B$10))-(AO$3/100)*Assumptions!$B$10)))))</f>
        <v/>
      </c>
      <c r="AP14" s="32">
        <f>IF((MAX(0,Assumptions!$B$2*EXP(-Assumptions!$B$4*Assumptions!$B$9)*NORMSDIST(((LN(Assumptions!$B$2/$B14)+(Assumptions!$B$3-Assumptions!$B$4+(AP$3/100)^2/2)*Assumptions!$B$9)/((AP$3/100)*Assumptions!$B$10)))-$B14*EXP(-Assumptions!$B$3*Assumptions!$B$9)*NORMSDIST((((LN(Assumptions!$B$2/$B14)+(Assumptions!$B$3-Assumptions!$B$4+(AP$3/100)^2/2)*Assumptions!$B$9)/((AP$3/100)*Assumptions!$B$10))-(AP$3/100)*Assumptions!$B$10))))&lt;=0,"",(Assumptions!$B$2*EXP(-Assumptions!$B$4*Assumptions!$B$9)*NORMDIST(((LN(Assumptions!$B$2/$B14)+(Assumptions!$B$3-Assumptions!$B$4+(AP$3/100)^2/2)*Assumptions!$B$9)/((AP$3/100)*Assumptions!$B$10)),0,1,FALSE)*Assumptions!$B$10*0.01)*((AP$3/100)/0.01)/(MAX(0,Assumptions!$B$2*EXP(-Assumptions!$B$4*Assumptions!$B$9)*NORMSDIST(((LN(Assumptions!$B$2/$B14)+(Assumptions!$B$3-Assumptions!$B$4+(AP$3/100)^2/2)*Assumptions!$B$9)/((AP$3/100)*Assumptions!$B$10)))-$B14*EXP(-Assumptions!$B$3*Assumptions!$B$9)*NORMSDIST((((LN(Assumptions!$B$2/$B14)+(Assumptions!$B$3-Assumptions!$B$4+(AP$3/100)^2/2)*Assumptions!$B$9)/((AP$3/100)*Assumptions!$B$10))-(AP$3/100)*Assumptions!$B$10)))))</f>
        <v/>
      </c>
      <c r="AQ14" s="32">
        <f>IF((MAX(0,Assumptions!$B$2*EXP(-Assumptions!$B$4*Assumptions!$B$9)*NORMSDIST(((LN(Assumptions!$B$2/$B14)+(Assumptions!$B$3-Assumptions!$B$4+(AQ$3/100)^2/2)*Assumptions!$B$9)/((AQ$3/100)*Assumptions!$B$10)))-$B14*EXP(-Assumptions!$B$3*Assumptions!$B$9)*NORMSDIST((((LN(Assumptions!$B$2/$B14)+(Assumptions!$B$3-Assumptions!$B$4+(AQ$3/100)^2/2)*Assumptions!$B$9)/((AQ$3/100)*Assumptions!$B$10))-(AQ$3/100)*Assumptions!$B$10))))&lt;=0,"",(Assumptions!$B$2*EXP(-Assumptions!$B$4*Assumptions!$B$9)*NORMDIST(((LN(Assumptions!$B$2/$B14)+(Assumptions!$B$3-Assumptions!$B$4+(AQ$3/100)^2/2)*Assumptions!$B$9)/((AQ$3/100)*Assumptions!$B$10)),0,1,FALSE)*Assumptions!$B$10*0.01)*((AQ$3/100)/0.01)/(MAX(0,Assumptions!$B$2*EXP(-Assumptions!$B$4*Assumptions!$B$9)*NORMSDIST(((LN(Assumptions!$B$2/$B14)+(Assumptions!$B$3-Assumptions!$B$4+(AQ$3/100)^2/2)*Assumptions!$B$9)/((AQ$3/100)*Assumptions!$B$10)))-$B14*EXP(-Assumptions!$B$3*Assumptions!$B$9)*NORMSDIST((((LN(Assumptions!$B$2/$B14)+(Assumptions!$B$3-Assumptions!$B$4+(AQ$3/100)^2/2)*Assumptions!$B$9)/((AQ$3/100)*Assumptions!$B$10))-(AQ$3/100)*Assumptions!$B$10)))))</f>
        <v/>
      </c>
      <c r="AR14" s="32">
        <f>IF((MAX(0,Assumptions!$B$2*EXP(-Assumptions!$B$4*Assumptions!$B$9)*NORMSDIST(((LN(Assumptions!$B$2/$B14)+(Assumptions!$B$3-Assumptions!$B$4+(AR$3/100)^2/2)*Assumptions!$B$9)/((AR$3/100)*Assumptions!$B$10)))-$B14*EXP(-Assumptions!$B$3*Assumptions!$B$9)*NORMSDIST((((LN(Assumptions!$B$2/$B14)+(Assumptions!$B$3-Assumptions!$B$4+(AR$3/100)^2/2)*Assumptions!$B$9)/((AR$3/100)*Assumptions!$B$10))-(AR$3/100)*Assumptions!$B$10))))&lt;=0,"",(Assumptions!$B$2*EXP(-Assumptions!$B$4*Assumptions!$B$9)*NORMDIST(((LN(Assumptions!$B$2/$B14)+(Assumptions!$B$3-Assumptions!$B$4+(AR$3/100)^2/2)*Assumptions!$B$9)/((AR$3/100)*Assumptions!$B$10)),0,1,FALSE)*Assumptions!$B$10*0.01)*((AR$3/100)/0.01)/(MAX(0,Assumptions!$B$2*EXP(-Assumptions!$B$4*Assumptions!$B$9)*NORMSDIST(((LN(Assumptions!$B$2/$B14)+(Assumptions!$B$3-Assumptions!$B$4+(AR$3/100)^2/2)*Assumptions!$B$9)/((AR$3/100)*Assumptions!$B$10)))-$B14*EXP(-Assumptions!$B$3*Assumptions!$B$9)*NORMSDIST((((LN(Assumptions!$B$2/$B14)+(Assumptions!$B$3-Assumptions!$B$4+(AR$3/100)^2/2)*Assumptions!$B$9)/((AR$3/100)*Assumptions!$B$10))-(AR$3/100)*Assumptions!$B$10)))))</f>
        <v/>
      </c>
      <c r="AS14" s="32">
        <f>IF((MAX(0,Assumptions!$B$2*EXP(-Assumptions!$B$4*Assumptions!$B$9)*NORMSDIST(((LN(Assumptions!$B$2/$B14)+(Assumptions!$B$3-Assumptions!$B$4+(AS$3/100)^2/2)*Assumptions!$B$9)/((AS$3/100)*Assumptions!$B$10)))-$B14*EXP(-Assumptions!$B$3*Assumptions!$B$9)*NORMSDIST((((LN(Assumptions!$B$2/$B14)+(Assumptions!$B$3-Assumptions!$B$4+(AS$3/100)^2/2)*Assumptions!$B$9)/((AS$3/100)*Assumptions!$B$10))-(AS$3/100)*Assumptions!$B$10))))&lt;=0,"",(Assumptions!$B$2*EXP(-Assumptions!$B$4*Assumptions!$B$9)*NORMDIST(((LN(Assumptions!$B$2/$B14)+(Assumptions!$B$3-Assumptions!$B$4+(AS$3/100)^2/2)*Assumptions!$B$9)/((AS$3/100)*Assumptions!$B$10)),0,1,FALSE)*Assumptions!$B$10*0.01)*((AS$3/100)/0.01)/(MAX(0,Assumptions!$B$2*EXP(-Assumptions!$B$4*Assumptions!$B$9)*NORMSDIST(((LN(Assumptions!$B$2/$B14)+(Assumptions!$B$3-Assumptions!$B$4+(AS$3/100)^2/2)*Assumptions!$B$9)/((AS$3/100)*Assumptions!$B$10)))-$B14*EXP(-Assumptions!$B$3*Assumptions!$B$9)*NORMSDIST((((LN(Assumptions!$B$2/$B14)+(Assumptions!$B$3-Assumptions!$B$4+(AS$3/100)^2/2)*Assumptions!$B$9)/((AS$3/100)*Assumptions!$B$10))-(AS$3/100)*Assumptions!$B$10)))))</f>
        <v/>
      </c>
      <c r="AT14" s="32">
        <f>IF((MAX(0,Assumptions!$B$2*EXP(-Assumptions!$B$4*Assumptions!$B$9)*NORMSDIST(((LN(Assumptions!$B$2/$B14)+(Assumptions!$B$3-Assumptions!$B$4+(AT$3/100)^2/2)*Assumptions!$B$9)/((AT$3/100)*Assumptions!$B$10)))-$B14*EXP(-Assumptions!$B$3*Assumptions!$B$9)*NORMSDIST((((LN(Assumptions!$B$2/$B14)+(Assumptions!$B$3-Assumptions!$B$4+(AT$3/100)^2/2)*Assumptions!$B$9)/((AT$3/100)*Assumptions!$B$10))-(AT$3/100)*Assumptions!$B$10))))&lt;=0,"",(Assumptions!$B$2*EXP(-Assumptions!$B$4*Assumptions!$B$9)*NORMDIST(((LN(Assumptions!$B$2/$B14)+(Assumptions!$B$3-Assumptions!$B$4+(AT$3/100)^2/2)*Assumptions!$B$9)/((AT$3/100)*Assumptions!$B$10)),0,1,FALSE)*Assumptions!$B$10*0.01)*((AT$3/100)/0.01)/(MAX(0,Assumptions!$B$2*EXP(-Assumptions!$B$4*Assumptions!$B$9)*NORMSDIST(((LN(Assumptions!$B$2/$B14)+(Assumptions!$B$3-Assumptions!$B$4+(AT$3/100)^2/2)*Assumptions!$B$9)/((AT$3/100)*Assumptions!$B$10)))-$B14*EXP(-Assumptions!$B$3*Assumptions!$B$9)*NORMSDIST((((LN(Assumptions!$B$2/$B14)+(Assumptions!$B$3-Assumptions!$B$4+(AT$3/100)^2/2)*Assumptions!$B$9)/((AT$3/100)*Assumptions!$B$10))-(AT$3/100)*Assumptions!$B$10)))))</f>
        <v/>
      </c>
      <c r="AU14" s="32">
        <f>IF((MAX(0,Assumptions!$B$2*EXP(-Assumptions!$B$4*Assumptions!$B$9)*NORMSDIST(((LN(Assumptions!$B$2/$B14)+(Assumptions!$B$3-Assumptions!$B$4+(AU$3/100)^2/2)*Assumptions!$B$9)/((AU$3/100)*Assumptions!$B$10)))-$B14*EXP(-Assumptions!$B$3*Assumptions!$B$9)*NORMSDIST((((LN(Assumptions!$B$2/$B14)+(Assumptions!$B$3-Assumptions!$B$4+(AU$3/100)^2/2)*Assumptions!$B$9)/((AU$3/100)*Assumptions!$B$10))-(AU$3/100)*Assumptions!$B$10))))&lt;=0,"",(Assumptions!$B$2*EXP(-Assumptions!$B$4*Assumptions!$B$9)*NORMDIST(((LN(Assumptions!$B$2/$B14)+(Assumptions!$B$3-Assumptions!$B$4+(AU$3/100)^2/2)*Assumptions!$B$9)/((AU$3/100)*Assumptions!$B$10)),0,1,FALSE)*Assumptions!$B$10*0.01)*((AU$3/100)/0.01)/(MAX(0,Assumptions!$B$2*EXP(-Assumptions!$B$4*Assumptions!$B$9)*NORMSDIST(((LN(Assumptions!$B$2/$B14)+(Assumptions!$B$3-Assumptions!$B$4+(AU$3/100)^2/2)*Assumptions!$B$9)/((AU$3/100)*Assumptions!$B$10)))-$B14*EXP(-Assumptions!$B$3*Assumptions!$B$9)*NORMSDIST((((LN(Assumptions!$B$2/$B14)+(Assumptions!$B$3-Assumptions!$B$4+(AU$3/100)^2/2)*Assumptions!$B$9)/((AU$3/100)*Assumptions!$B$10))-(AU$3/100)*Assumptions!$B$10)))))</f>
        <v/>
      </c>
      <c r="AV14" s="32">
        <f>IF((MAX(0,Assumptions!$B$2*EXP(-Assumptions!$B$4*Assumptions!$B$9)*NORMSDIST(((LN(Assumptions!$B$2/$B14)+(Assumptions!$B$3-Assumptions!$B$4+(AV$3/100)^2/2)*Assumptions!$B$9)/((AV$3/100)*Assumptions!$B$10)))-$B14*EXP(-Assumptions!$B$3*Assumptions!$B$9)*NORMSDIST((((LN(Assumptions!$B$2/$B14)+(Assumptions!$B$3-Assumptions!$B$4+(AV$3/100)^2/2)*Assumptions!$B$9)/((AV$3/100)*Assumptions!$B$10))-(AV$3/100)*Assumptions!$B$10))))&lt;=0,"",(Assumptions!$B$2*EXP(-Assumptions!$B$4*Assumptions!$B$9)*NORMDIST(((LN(Assumptions!$B$2/$B14)+(Assumptions!$B$3-Assumptions!$B$4+(AV$3/100)^2/2)*Assumptions!$B$9)/((AV$3/100)*Assumptions!$B$10)),0,1,FALSE)*Assumptions!$B$10*0.01)*((AV$3/100)/0.01)/(MAX(0,Assumptions!$B$2*EXP(-Assumptions!$B$4*Assumptions!$B$9)*NORMSDIST(((LN(Assumptions!$B$2/$B14)+(Assumptions!$B$3-Assumptions!$B$4+(AV$3/100)^2/2)*Assumptions!$B$9)/((AV$3/100)*Assumptions!$B$10)))-$B14*EXP(-Assumptions!$B$3*Assumptions!$B$9)*NORMSDIST((((LN(Assumptions!$B$2/$B14)+(Assumptions!$B$3-Assumptions!$B$4+(AV$3/100)^2/2)*Assumptions!$B$9)/((AV$3/100)*Assumptions!$B$10))-(AV$3/100)*Assumptions!$B$10)))))</f>
        <v/>
      </c>
    </row>
    <row r="15">
      <c r="A15" s="27" t="inlineStr">
        <is>
          <t>+0.75%</t>
        </is>
      </c>
      <c r="B15" s="47">
        <f>'BS Engine'!$B$13</f>
        <v/>
      </c>
      <c r="C15" s="28">
        <f>'BS Engine'!$C$13</f>
        <v/>
      </c>
      <c r="D15" s="54">
        <f>IF((MAX(0,Assumptions!$B$2*EXP(-Assumptions!$B$4*Assumptions!$B$9)*NORMSDIST(((LN(Assumptions!$B$2/$B15)+(Assumptions!$B$3-Assumptions!$B$4+(D$3/100)^2/2)*Assumptions!$B$9)/((D$3/100)*Assumptions!$B$10)))-$B15*EXP(-Assumptions!$B$3*Assumptions!$B$9)*NORMSDIST((((LN(Assumptions!$B$2/$B15)+(Assumptions!$B$3-Assumptions!$B$4+(D$3/100)^2/2)*Assumptions!$B$9)/((D$3/100)*Assumptions!$B$10))-(D$3/100)*Assumptions!$B$10))))&lt;=0,"",(Assumptions!$B$2*EXP(-Assumptions!$B$4*Assumptions!$B$9)*NORMDIST(((LN(Assumptions!$B$2/$B15)+(Assumptions!$B$3-Assumptions!$B$4+(D$3/100)^2/2)*Assumptions!$B$9)/((D$3/100)*Assumptions!$B$10)),0,1,FALSE)*Assumptions!$B$10*0.01)*((D$3/100)/0.01)/(MAX(0,Assumptions!$B$2*EXP(-Assumptions!$B$4*Assumptions!$B$9)*NORMSDIST(((LN(Assumptions!$B$2/$B15)+(Assumptions!$B$3-Assumptions!$B$4+(D$3/100)^2/2)*Assumptions!$B$9)/((D$3/100)*Assumptions!$B$10)))-$B15*EXP(-Assumptions!$B$3*Assumptions!$B$9)*NORMSDIST((((LN(Assumptions!$B$2/$B15)+(Assumptions!$B$3-Assumptions!$B$4+(D$3/100)^2/2)*Assumptions!$B$9)/((D$3/100)*Assumptions!$B$10))-(D$3/100)*Assumptions!$B$10)))))</f>
        <v/>
      </c>
      <c r="E15" s="32">
        <f>IF((MAX(0,Assumptions!$B$2*EXP(-Assumptions!$B$4*Assumptions!$B$9)*NORMSDIST(((LN(Assumptions!$B$2/$B15)+(Assumptions!$B$3-Assumptions!$B$4+(E$3/100)^2/2)*Assumptions!$B$9)/((E$3/100)*Assumptions!$B$10)))-$B15*EXP(-Assumptions!$B$3*Assumptions!$B$9)*NORMSDIST((((LN(Assumptions!$B$2/$B15)+(Assumptions!$B$3-Assumptions!$B$4+(E$3/100)^2/2)*Assumptions!$B$9)/((E$3/100)*Assumptions!$B$10))-(E$3/100)*Assumptions!$B$10))))&lt;=0,"",(Assumptions!$B$2*EXP(-Assumptions!$B$4*Assumptions!$B$9)*NORMDIST(((LN(Assumptions!$B$2/$B15)+(Assumptions!$B$3-Assumptions!$B$4+(E$3/100)^2/2)*Assumptions!$B$9)/((E$3/100)*Assumptions!$B$10)),0,1,FALSE)*Assumptions!$B$10*0.01)*((E$3/100)/0.01)/(MAX(0,Assumptions!$B$2*EXP(-Assumptions!$B$4*Assumptions!$B$9)*NORMSDIST(((LN(Assumptions!$B$2/$B15)+(Assumptions!$B$3-Assumptions!$B$4+(E$3/100)^2/2)*Assumptions!$B$9)/((E$3/100)*Assumptions!$B$10)))-$B15*EXP(-Assumptions!$B$3*Assumptions!$B$9)*NORMSDIST((((LN(Assumptions!$B$2/$B15)+(Assumptions!$B$3-Assumptions!$B$4+(E$3/100)^2/2)*Assumptions!$B$9)/((E$3/100)*Assumptions!$B$10))-(E$3/100)*Assumptions!$B$10)))))</f>
        <v/>
      </c>
      <c r="F15" s="32">
        <f>IF((MAX(0,Assumptions!$B$2*EXP(-Assumptions!$B$4*Assumptions!$B$9)*NORMSDIST(((LN(Assumptions!$B$2/$B15)+(Assumptions!$B$3-Assumptions!$B$4+(F$3/100)^2/2)*Assumptions!$B$9)/((F$3/100)*Assumptions!$B$10)))-$B15*EXP(-Assumptions!$B$3*Assumptions!$B$9)*NORMSDIST((((LN(Assumptions!$B$2/$B15)+(Assumptions!$B$3-Assumptions!$B$4+(F$3/100)^2/2)*Assumptions!$B$9)/((F$3/100)*Assumptions!$B$10))-(F$3/100)*Assumptions!$B$10))))&lt;=0,"",(Assumptions!$B$2*EXP(-Assumptions!$B$4*Assumptions!$B$9)*NORMDIST(((LN(Assumptions!$B$2/$B15)+(Assumptions!$B$3-Assumptions!$B$4+(F$3/100)^2/2)*Assumptions!$B$9)/((F$3/100)*Assumptions!$B$10)),0,1,FALSE)*Assumptions!$B$10*0.01)*((F$3/100)/0.01)/(MAX(0,Assumptions!$B$2*EXP(-Assumptions!$B$4*Assumptions!$B$9)*NORMSDIST(((LN(Assumptions!$B$2/$B15)+(Assumptions!$B$3-Assumptions!$B$4+(F$3/100)^2/2)*Assumptions!$B$9)/((F$3/100)*Assumptions!$B$10)))-$B15*EXP(-Assumptions!$B$3*Assumptions!$B$9)*NORMSDIST((((LN(Assumptions!$B$2/$B15)+(Assumptions!$B$3-Assumptions!$B$4+(F$3/100)^2/2)*Assumptions!$B$9)/((F$3/100)*Assumptions!$B$10))-(F$3/100)*Assumptions!$B$10)))))</f>
        <v/>
      </c>
      <c r="G15" s="32">
        <f>IF((MAX(0,Assumptions!$B$2*EXP(-Assumptions!$B$4*Assumptions!$B$9)*NORMSDIST(((LN(Assumptions!$B$2/$B15)+(Assumptions!$B$3-Assumptions!$B$4+(G$3/100)^2/2)*Assumptions!$B$9)/((G$3/100)*Assumptions!$B$10)))-$B15*EXP(-Assumptions!$B$3*Assumptions!$B$9)*NORMSDIST((((LN(Assumptions!$B$2/$B15)+(Assumptions!$B$3-Assumptions!$B$4+(G$3/100)^2/2)*Assumptions!$B$9)/((G$3/100)*Assumptions!$B$10))-(G$3/100)*Assumptions!$B$10))))&lt;=0,"",(Assumptions!$B$2*EXP(-Assumptions!$B$4*Assumptions!$B$9)*NORMDIST(((LN(Assumptions!$B$2/$B15)+(Assumptions!$B$3-Assumptions!$B$4+(G$3/100)^2/2)*Assumptions!$B$9)/((G$3/100)*Assumptions!$B$10)),0,1,FALSE)*Assumptions!$B$10*0.01)*((G$3/100)/0.01)/(MAX(0,Assumptions!$B$2*EXP(-Assumptions!$B$4*Assumptions!$B$9)*NORMSDIST(((LN(Assumptions!$B$2/$B15)+(Assumptions!$B$3-Assumptions!$B$4+(G$3/100)^2/2)*Assumptions!$B$9)/((G$3/100)*Assumptions!$B$10)))-$B15*EXP(-Assumptions!$B$3*Assumptions!$B$9)*NORMSDIST((((LN(Assumptions!$B$2/$B15)+(Assumptions!$B$3-Assumptions!$B$4+(G$3/100)^2/2)*Assumptions!$B$9)/((G$3/100)*Assumptions!$B$10))-(G$3/100)*Assumptions!$B$10)))))</f>
        <v/>
      </c>
      <c r="H15" s="32">
        <f>IF((MAX(0,Assumptions!$B$2*EXP(-Assumptions!$B$4*Assumptions!$B$9)*NORMSDIST(((LN(Assumptions!$B$2/$B15)+(Assumptions!$B$3-Assumptions!$B$4+(H$3/100)^2/2)*Assumptions!$B$9)/((H$3/100)*Assumptions!$B$10)))-$B15*EXP(-Assumptions!$B$3*Assumptions!$B$9)*NORMSDIST((((LN(Assumptions!$B$2/$B15)+(Assumptions!$B$3-Assumptions!$B$4+(H$3/100)^2/2)*Assumptions!$B$9)/((H$3/100)*Assumptions!$B$10))-(H$3/100)*Assumptions!$B$10))))&lt;=0,"",(Assumptions!$B$2*EXP(-Assumptions!$B$4*Assumptions!$B$9)*NORMDIST(((LN(Assumptions!$B$2/$B15)+(Assumptions!$B$3-Assumptions!$B$4+(H$3/100)^2/2)*Assumptions!$B$9)/((H$3/100)*Assumptions!$B$10)),0,1,FALSE)*Assumptions!$B$10*0.01)*((H$3/100)/0.01)/(MAX(0,Assumptions!$B$2*EXP(-Assumptions!$B$4*Assumptions!$B$9)*NORMSDIST(((LN(Assumptions!$B$2/$B15)+(Assumptions!$B$3-Assumptions!$B$4+(H$3/100)^2/2)*Assumptions!$B$9)/((H$3/100)*Assumptions!$B$10)))-$B15*EXP(-Assumptions!$B$3*Assumptions!$B$9)*NORMSDIST((((LN(Assumptions!$B$2/$B15)+(Assumptions!$B$3-Assumptions!$B$4+(H$3/100)^2/2)*Assumptions!$B$9)/((H$3/100)*Assumptions!$B$10))-(H$3/100)*Assumptions!$B$10)))))</f>
        <v/>
      </c>
      <c r="I15" s="32">
        <f>IF((MAX(0,Assumptions!$B$2*EXP(-Assumptions!$B$4*Assumptions!$B$9)*NORMSDIST(((LN(Assumptions!$B$2/$B15)+(Assumptions!$B$3-Assumptions!$B$4+(I$3/100)^2/2)*Assumptions!$B$9)/((I$3/100)*Assumptions!$B$10)))-$B15*EXP(-Assumptions!$B$3*Assumptions!$B$9)*NORMSDIST((((LN(Assumptions!$B$2/$B15)+(Assumptions!$B$3-Assumptions!$B$4+(I$3/100)^2/2)*Assumptions!$B$9)/((I$3/100)*Assumptions!$B$10))-(I$3/100)*Assumptions!$B$10))))&lt;=0,"",(Assumptions!$B$2*EXP(-Assumptions!$B$4*Assumptions!$B$9)*NORMDIST(((LN(Assumptions!$B$2/$B15)+(Assumptions!$B$3-Assumptions!$B$4+(I$3/100)^2/2)*Assumptions!$B$9)/((I$3/100)*Assumptions!$B$10)),0,1,FALSE)*Assumptions!$B$10*0.01)*((I$3/100)/0.01)/(MAX(0,Assumptions!$B$2*EXP(-Assumptions!$B$4*Assumptions!$B$9)*NORMSDIST(((LN(Assumptions!$B$2/$B15)+(Assumptions!$B$3-Assumptions!$B$4+(I$3/100)^2/2)*Assumptions!$B$9)/((I$3/100)*Assumptions!$B$10)))-$B15*EXP(-Assumptions!$B$3*Assumptions!$B$9)*NORMSDIST((((LN(Assumptions!$B$2/$B15)+(Assumptions!$B$3-Assumptions!$B$4+(I$3/100)^2/2)*Assumptions!$B$9)/((I$3/100)*Assumptions!$B$10))-(I$3/100)*Assumptions!$B$10)))))</f>
        <v/>
      </c>
      <c r="J15" s="32">
        <f>IF((MAX(0,Assumptions!$B$2*EXP(-Assumptions!$B$4*Assumptions!$B$9)*NORMSDIST(((LN(Assumptions!$B$2/$B15)+(Assumptions!$B$3-Assumptions!$B$4+(J$3/100)^2/2)*Assumptions!$B$9)/((J$3/100)*Assumptions!$B$10)))-$B15*EXP(-Assumptions!$B$3*Assumptions!$B$9)*NORMSDIST((((LN(Assumptions!$B$2/$B15)+(Assumptions!$B$3-Assumptions!$B$4+(J$3/100)^2/2)*Assumptions!$B$9)/((J$3/100)*Assumptions!$B$10))-(J$3/100)*Assumptions!$B$10))))&lt;=0,"",(Assumptions!$B$2*EXP(-Assumptions!$B$4*Assumptions!$B$9)*NORMDIST(((LN(Assumptions!$B$2/$B15)+(Assumptions!$B$3-Assumptions!$B$4+(J$3/100)^2/2)*Assumptions!$B$9)/((J$3/100)*Assumptions!$B$10)),0,1,FALSE)*Assumptions!$B$10*0.01)*((J$3/100)/0.01)/(MAX(0,Assumptions!$B$2*EXP(-Assumptions!$B$4*Assumptions!$B$9)*NORMSDIST(((LN(Assumptions!$B$2/$B15)+(Assumptions!$B$3-Assumptions!$B$4+(J$3/100)^2/2)*Assumptions!$B$9)/((J$3/100)*Assumptions!$B$10)))-$B15*EXP(-Assumptions!$B$3*Assumptions!$B$9)*NORMSDIST((((LN(Assumptions!$B$2/$B15)+(Assumptions!$B$3-Assumptions!$B$4+(J$3/100)^2/2)*Assumptions!$B$9)/((J$3/100)*Assumptions!$B$10))-(J$3/100)*Assumptions!$B$10)))))</f>
        <v/>
      </c>
      <c r="K15" s="32">
        <f>IF((MAX(0,Assumptions!$B$2*EXP(-Assumptions!$B$4*Assumptions!$B$9)*NORMSDIST(((LN(Assumptions!$B$2/$B15)+(Assumptions!$B$3-Assumptions!$B$4+(K$3/100)^2/2)*Assumptions!$B$9)/((K$3/100)*Assumptions!$B$10)))-$B15*EXP(-Assumptions!$B$3*Assumptions!$B$9)*NORMSDIST((((LN(Assumptions!$B$2/$B15)+(Assumptions!$B$3-Assumptions!$B$4+(K$3/100)^2/2)*Assumptions!$B$9)/((K$3/100)*Assumptions!$B$10))-(K$3/100)*Assumptions!$B$10))))&lt;=0,"",(Assumptions!$B$2*EXP(-Assumptions!$B$4*Assumptions!$B$9)*NORMDIST(((LN(Assumptions!$B$2/$B15)+(Assumptions!$B$3-Assumptions!$B$4+(K$3/100)^2/2)*Assumptions!$B$9)/((K$3/100)*Assumptions!$B$10)),0,1,FALSE)*Assumptions!$B$10*0.01)*((K$3/100)/0.01)/(MAX(0,Assumptions!$B$2*EXP(-Assumptions!$B$4*Assumptions!$B$9)*NORMSDIST(((LN(Assumptions!$B$2/$B15)+(Assumptions!$B$3-Assumptions!$B$4+(K$3/100)^2/2)*Assumptions!$B$9)/((K$3/100)*Assumptions!$B$10)))-$B15*EXP(-Assumptions!$B$3*Assumptions!$B$9)*NORMSDIST((((LN(Assumptions!$B$2/$B15)+(Assumptions!$B$3-Assumptions!$B$4+(K$3/100)^2/2)*Assumptions!$B$9)/((K$3/100)*Assumptions!$B$10))-(K$3/100)*Assumptions!$B$10)))))</f>
        <v/>
      </c>
      <c r="L15" s="32">
        <f>IF((MAX(0,Assumptions!$B$2*EXP(-Assumptions!$B$4*Assumptions!$B$9)*NORMSDIST(((LN(Assumptions!$B$2/$B15)+(Assumptions!$B$3-Assumptions!$B$4+(L$3/100)^2/2)*Assumptions!$B$9)/((L$3/100)*Assumptions!$B$10)))-$B15*EXP(-Assumptions!$B$3*Assumptions!$B$9)*NORMSDIST((((LN(Assumptions!$B$2/$B15)+(Assumptions!$B$3-Assumptions!$B$4+(L$3/100)^2/2)*Assumptions!$B$9)/((L$3/100)*Assumptions!$B$10))-(L$3/100)*Assumptions!$B$10))))&lt;=0,"",(Assumptions!$B$2*EXP(-Assumptions!$B$4*Assumptions!$B$9)*NORMDIST(((LN(Assumptions!$B$2/$B15)+(Assumptions!$B$3-Assumptions!$B$4+(L$3/100)^2/2)*Assumptions!$B$9)/((L$3/100)*Assumptions!$B$10)),0,1,FALSE)*Assumptions!$B$10*0.01)*((L$3/100)/0.01)/(MAX(0,Assumptions!$B$2*EXP(-Assumptions!$B$4*Assumptions!$B$9)*NORMSDIST(((LN(Assumptions!$B$2/$B15)+(Assumptions!$B$3-Assumptions!$B$4+(L$3/100)^2/2)*Assumptions!$B$9)/((L$3/100)*Assumptions!$B$10)))-$B15*EXP(-Assumptions!$B$3*Assumptions!$B$9)*NORMSDIST((((LN(Assumptions!$B$2/$B15)+(Assumptions!$B$3-Assumptions!$B$4+(L$3/100)^2/2)*Assumptions!$B$9)/((L$3/100)*Assumptions!$B$10))-(L$3/100)*Assumptions!$B$10)))))</f>
        <v/>
      </c>
      <c r="M15" s="32">
        <f>IF((MAX(0,Assumptions!$B$2*EXP(-Assumptions!$B$4*Assumptions!$B$9)*NORMSDIST(((LN(Assumptions!$B$2/$B15)+(Assumptions!$B$3-Assumptions!$B$4+(M$3/100)^2/2)*Assumptions!$B$9)/((M$3/100)*Assumptions!$B$10)))-$B15*EXP(-Assumptions!$B$3*Assumptions!$B$9)*NORMSDIST((((LN(Assumptions!$B$2/$B15)+(Assumptions!$B$3-Assumptions!$B$4+(M$3/100)^2/2)*Assumptions!$B$9)/((M$3/100)*Assumptions!$B$10))-(M$3/100)*Assumptions!$B$10))))&lt;=0,"",(Assumptions!$B$2*EXP(-Assumptions!$B$4*Assumptions!$B$9)*NORMDIST(((LN(Assumptions!$B$2/$B15)+(Assumptions!$B$3-Assumptions!$B$4+(M$3/100)^2/2)*Assumptions!$B$9)/((M$3/100)*Assumptions!$B$10)),0,1,FALSE)*Assumptions!$B$10*0.01)*((M$3/100)/0.01)/(MAX(0,Assumptions!$B$2*EXP(-Assumptions!$B$4*Assumptions!$B$9)*NORMSDIST(((LN(Assumptions!$B$2/$B15)+(Assumptions!$B$3-Assumptions!$B$4+(M$3/100)^2/2)*Assumptions!$B$9)/((M$3/100)*Assumptions!$B$10)))-$B15*EXP(-Assumptions!$B$3*Assumptions!$B$9)*NORMSDIST((((LN(Assumptions!$B$2/$B15)+(Assumptions!$B$3-Assumptions!$B$4+(M$3/100)^2/2)*Assumptions!$B$9)/((M$3/100)*Assumptions!$B$10))-(M$3/100)*Assumptions!$B$10)))))</f>
        <v/>
      </c>
      <c r="N15" s="32">
        <f>IF((MAX(0,Assumptions!$B$2*EXP(-Assumptions!$B$4*Assumptions!$B$9)*NORMSDIST(((LN(Assumptions!$B$2/$B15)+(Assumptions!$B$3-Assumptions!$B$4+(N$3/100)^2/2)*Assumptions!$B$9)/((N$3/100)*Assumptions!$B$10)))-$B15*EXP(-Assumptions!$B$3*Assumptions!$B$9)*NORMSDIST((((LN(Assumptions!$B$2/$B15)+(Assumptions!$B$3-Assumptions!$B$4+(N$3/100)^2/2)*Assumptions!$B$9)/((N$3/100)*Assumptions!$B$10))-(N$3/100)*Assumptions!$B$10))))&lt;=0,"",(Assumptions!$B$2*EXP(-Assumptions!$B$4*Assumptions!$B$9)*NORMDIST(((LN(Assumptions!$B$2/$B15)+(Assumptions!$B$3-Assumptions!$B$4+(N$3/100)^2/2)*Assumptions!$B$9)/((N$3/100)*Assumptions!$B$10)),0,1,FALSE)*Assumptions!$B$10*0.01)*((N$3/100)/0.01)/(MAX(0,Assumptions!$B$2*EXP(-Assumptions!$B$4*Assumptions!$B$9)*NORMSDIST(((LN(Assumptions!$B$2/$B15)+(Assumptions!$B$3-Assumptions!$B$4+(N$3/100)^2/2)*Assumptions!$B$9)/((N$3/100)*Assumptions!$B$10)))-$B15*EXP(-Assumptions!$B$3*Assumptions!$B$9)*NORMSDIST((((LN(Assumptions!$B$2/$B15)+(Assumptions!$B$3-Assumptions!$B$4+(N$3/100)^2/2)*Assumptions!$B$9)/((N$3/100)*Assumptions!$B$10))-(N$3/100)*Assumptions!$B$10)))))</f>
        <v/>
      </c>
      <c r="O15" s="32">
        <f>IF((MAX(0,Assumptions!$B$2*EXP(-Assumptions!$B$4*Assumptions!$B$9)*NORMSDIST(((LN(Assumptions!$B$2/$B15)+(Assumptions!$B$3-Assumptions!$B$4+(O$3/100)^2/2)*Assumptions!$B$9)/((O$3/100)*Assumptions!$B$10)))-$B15*EXP(-Assumptions!$B$3*Assumptions!$B$9)*NORMSDIST((((LN(Assumptions!$B$2/$B15)+(Assumptions!$B$3-Assumptions!$B$4+(O$3/100)^2/2)*Assumptions!$B$9)/((O$3/100)*Assumptions!$B$10))-(O$3/100)*Assumptions!$B$10))))&lt;=0,"",(Assumptions!$B$2*EXP(-Assumptions!$B$4*Assumptions!$B$9)*NORMDIST(((LN(Assumptions!$B$2/$B15)+(Assumptions!$B$3-Assumptions!$B$4+(O$3/100)^2/2)*Assumptions!$B$9)/((O$3/100)*Assumptions!$B$10)),0,1,FALSE)*Assumptions!$B$10*0.01)*((O$3/100)/0.01)/(MAX(0,Assumptions!$B$2*EXP(-Assumptions!$B$4*Assumptions!$B$9)*NORMSDIST(((LN(Assumptions!$B$2/$B15)+(Assumptions!$B$3-Assumptions!$B$4+(O$3/100)^2/2)*Assumptions!$B$9)/((O$3/100)*Assumptions!$B$10)))-$B15*EXP(-Assumptions!$B$3*Assumptions!$B$9)*NORMSDIST((((LN(Assumptions!$B$2/$B15)+(Assumptions!$B$3-Assumptions!$B$4+(O$3/100)^2/2)*Assumptions!$B$9)/((O$3/100)*Assumptions!$B$10))-(O$3/100)*Assumptions!$B$10)))))</f>
        <v/>
      </c>
      <c r="P15" s="32">
        <f>IF((MAX(0,Assumptions!$B$2*EXP(-Assumptions!$B$4*Assumptions!$B$9)*NORMSDIST(((LN(Assumptions!$B$2/$B15)+(Assumptions!$B$3-Assumptions!$B$4+(P$3/100)^2/2)*Assumptions!$B$9)/((P$3/100)*Assumptions!$B$10)))-$B15*EXP(-Assumptions!$B$3*Assumptions!$B$9)*NORMSDIST((((LN(Assumptions!$B$2/$B15)+(Assumptions!$B$3-Assumptions!$B$4+(P$3/100)^2/2)*Assumptions!$B$9)/((P$3/100)*Assumptions!$B$10))-(P$3/100)*Assumptions!$B$10))))&lt;=0,"",(Assumptions!$B$2*EXP(-Assumptions!$B$4*Assumptions!$B$9)*NORMDIST(((LN(Assumptions!$B$2/$B15)+(Assumptions!$B$3-Assumptions!$B$4+(P$3/100)^2/2)*Assumptions!$B$9)/((P$3/100)*Assumptions!$B$10)),0,1,FALSE)*Assumptions!$B$10*0.01)*((P$3/100)/0.01)/(MAX(0,Assumptions!$B$2*EXP(-Assumptions!$B$4*Assumptions!$B$9)*NORMSDIST(((LN(Assumptions!$B$2/$B15)+(Assumptions!$B$3-Assumptions!$B$4+(P$3/100)^2/2)*Assumptions!$B$9)/((P$3/100)*Assumptions!$B$10)))-$B15*EXP(-Assumptions!$B$3*Assumptions!$B$9)*NORMSDIST((((LN(Assumptions!$B$2/$B15)+(Assumptions!$B$3-Assumptions!$B$4+(P$3/100)^2/2)*Assumptions!$B$9)/((P$3/100)*Assumptions!$B$10))-(P$3/100)*Assumptions!$B$10)))))</f>
        <v/>
      </c>
      <c r="Q15" s="32">
        <f>IF((MAX(0,Assumptions!$B$2*EXP(-Assumptions!$B$4*Assumptions!$B$9)*NORMSDIST(((LN(Assumptions!$B$2/$B15)+(Assumptions!$B$3-Assumptions!$B$4+(Q$3/100)^2/2)*Assumptions!$B$9)/((Q$3/100)*Assumptions!$B$10)))-$B15*EXP(-Assumptions!$B$3*Assumptions!$B$9)*NORMSDIST((((LN(Assumptions!$B$2/$B15)+(Assumptions!$B$3-Assumptions!$B$4+(Q$3/100)^2/2)*Assumptions!$B$9)/((Q$3/100)*Assumptions!$B$10))-(Q$3/100)*Assumptions!$B$10))))&lt;=0,"",(Assumptions!$B$2*EXP(-Assumptions!$B$4*Assumptions!$B$9)*NORMDIST(((LN(Assumptions!$B$2/$B15)+(Assumptions!$B$3-Assumptions!$B$4+(Q$3/100)^2/2)*Assumptions!$B$9)/((Q$3/100)*Assumptions!$B$10)),0,1,FALSE)*Assumptions!$B$10*0.01)*((Q$3/100)/0.01)/(MAX(0,Assumptions!$B$2*EXP(-Assumptions!$B$4*Assumptions!$B$9)*NORMSDIST(((LN(Assumptions!$B$2/$B15)+(Assumptions!$B$3-Assumptions!$B$4+(Q$3/100)^2/2)*Assumptions!$B$9)/((Q$3/100)*Assumptions!$B$10)))-$B15*EXP(-Assumptions!$B$3*Assumptions!$B$9)*NORMSDIST((((LN(Assumptions!$B$2/$B15)+(Assumptions!$B$3-Assumptions!$B$4+(Q$3/100)^2/2)*Assumptions!$B$9)/((Q$3/100)*Assumptions!$B$10))-(Q$3/100)*Assumptions!$B$10)))))</f>
        <v/>
      </c>
      <c r="R15" s="32">
        <f>IF((MAX(0,Assumptions!$B$2*EXP(-Assumptions!$B$4*Assumptions!$B$9)*NORMSDIST(((LN(Assumptions!$B$2/$B15)+(Assumptions!$B$3-Assumptions!$B$4+(R$3/100)^2/2)*Assumptions!$B$9)/((R$3/100)*Assumptions!$B$10)))-$B15*EXP(-Assumptions!$B$3*Assumptions!$B$9)*NORMSDIST((((LN(Assumptions!$B$2/$B15)+(Assumptions!$B$3-Assumptions!$B$4+(R$3/100)^2/2)*Assumptions!$B$9)/((R$3/100)*Assumptions!$B$10))-(R$3/100)*Assumptions!$B$10))))&lt;=0,"",(Assumptions!$B$2*EXP(-Assumptions!$B$4*Assumptions!$B$9)*NORMDIST(((LN(Assumptions!$B$2/$B15)+(Assumptions!$B$3-Assumptions!$B$4+(R$3/100)^2/2)*Assumptions!$B$9)/((R$3/100)*Assumptions!$B$10)),0,1,FALSE)*Assumptions!$B$10*0.01)*((R$3/100)/0.01)/(MAX(0,Assumptions!$B$2*EXP(-Assumptions!$B$4*Assumptions!$B$9)*NORMSDIST(((LN(Assumptions!$B$2/$B15)+(Assumptions!$B$3-Assumptions!$B$4+(R$3/100)^2/2)*Assumptions!$B$9)/((R$3/100)*Assumptions!$B$10)))-$B15*EXP(-Assumptions!$B$3*Assumptions!$B$9)*NORMSDIST((((LN(Assumptions!$B$2/$B15)+(Assumptions!$B$3-Assumptions!$B$4+(R$3/100)^2/2)*Assumptions!$B$9)/((R$3/100)*Assumptions!$B$10))-(R$3/100)*Assumptions!$B$10)))))</f>
        <v/>
      </c>
      <c r="S15" s="32">
        <f>IF((MAX(0,Assumptions!$B$2*EXP(-Assumptions!$B$4*Assumptions!$B$9)*NORMSDIST(((LN(Assumptions!$B$2/$B15)+(Assumptions!$B$3-Assumptions!$B$4+(S$3/100)^2/2)*Assumptions!$B$9)/((S$3/100)*Assumptions!$B$10)))-$B15*EXP(-Assumptions!$B$3*Assumptions!$B$9)*NORMSDIST((((LN(Assumptions!$B$2/$B15)+(Assumptions!$B$3-Assumptions!$B$4+(S$3/100)^2/2)*Assumptions!$B$9)/((S$3/100)*Assumptions!$B$10))-(S$3/100)*Assumptions!$B$10))))&lt;=0,"",(Assumptions!$B$2*EXP(-Assumptions!$B$4*Assumptions!$B$9)*NORMDIST(((LN(Assumptions!$B$2/$B15)+(Assumptions!$B$3-Assumptions!$B$4+(S$3/100)^2/2)*Assumptions!$B$9)/((S$3/100)*Assumptions!$B$10)),0,1,FALSE)*Assumptions!$B$10*0.01)*((S$3/100)/0.01)/(MAX(0,Assumptions!$B$2*EXP(-Assumptions!$B$4*Assumptions!$B$9)*NORMSDIST(((LN(Assumptions!$B$2/$B15)+(Assumptions!$B$3-Assumptions!$B$4+(S$3/100)^2/2)*Assumptions!$B$9)/((S$3/100)*Assumptions!$B$10)))-$B15*EXP(-Assumptions!$B$3*Assumptions!$B$9)*NORMSDIST((((LN(Assumptions!$B$2/$B15)+(Assumptions!$B$3-Assumptions!$B$4+(S$3/100)^2/2)*Assumptions!$B$9)/((S$3/100)*Assumptions!$B$10))-(S$3/100)*Assumptions!$B$10)))))</f>
        <v/>
      </c>
      <c r="T15" s="32">
        <f>IF((MAX(0,Assumptions!$B$2*EXP(-Assumptions!$B$4*Assumptions!$B$9)*NORMSDIST(((LN(Assumptions!$B$2/$B15)+(Assumptions!$B$3-Assumptions!$B$4+(T$3/100)^2/2)*Assumptions!$B$9)/((T$3/100)*Assumptions!$B$10)))-$B15*EXP(-Assumptions!$B$3*Assumptions!$B$9)*NORMSDIST((((LN(Assumptions!$B$2/$B15)+(Assumptions!$B$3-Assumptions!$B$4+(T$3/100)^2/2)*Assumptions!$B$9)/((T$3/100)*Assumptions!$B$10))-(T$3/100)*Assumptions!$B$10))))&lt;=0,"",(Assumptions!$B$2*EXP(-Assumptions!$B$4*Assumptions!$B$9)*NORMDIST(((LN(Assumptions!$B$2/$B15)+(Assumptions!$B$3-Assumptions!$B$4+(T$3/100)^2/2)*Assumptions!$B$9)/((T$3/100)*Assumptions!$B$10)),0,1,FALSE)*Assumptions!$B$10*0.01)*((T$3/100)/0.01)/(MAX(0,Assumptions!$B$2*EXP(-Assumptions!$B$4*Assumptions!$B$9)*NORMSDIST(((LN(Assumptions!$B$2/$B15)+(Assumptions!$B$3-Assumptions!$B$4+(T$3/100)^2/2)*Assumptions!$B$9)/((T$3/100)*Assumptions!$B$10)))-$B15*EXP(-Assumptions!$B$3*Assumptions!$B$9)*NORMSDIST((((LN(Assumptions!$B$2/$B15)+(Assumptions!$B$3-Assumptions!$B$4+(T$3/100)^2/2)*Assumptions!$B$9)/((T$3/100)*Assumptions!$B$10))-(T$3/100)*Assumptions!$B$10)))))</f>
        <v/>
      </c>
      <c r="U15" s="32">
        <f>IF((MAX(0,Assumptions!$B$2*EXP(-Assumptions!$B$4*Assumptions!$B$9)*NORMSDIST(((LN(Assumptions!$B$2/$B15)+(Assumptions!$B$3-Assumptions!$B$4+(U$3/100)^2/2)*Assumptions!$B$9)/((U$3/100)*Assumptions!$B$10)))-$B15*EXP(-Assumptions!$B$3*Assumptions!$B$9)*NORMSDIST((((LN(Assumptions!$B$2/$B15)+(Assumptions!$B$3-Assumptions!$B$4+(U$3/100)^2/2)*Assumptions!$B$9)/((U$3/100)*Assumptions!$B$10))-(U$3/100)*Assumptions!$B$10))))&lt;=0,"",(Assumptions!$B$2*EXP(-Assumptions!$B$4*Assumptions!$B$9)*NORMDIST(((LN(Assumptions!$B$2/$B15)+(Assumptions!$B$3-Assumptions!$B$4+(U$3/100)^2/2)*Assumptions!$B$9)/((U$3/100)*Assumptions!$B$10)),0,1,FALSE)*Assumptions!$B$10*0.01)*((U$3/100)/0.01)/(MAX(0,Assumptions!$B$2*EXP(-Assumptions!$B$4*Assumptions!$B$9)*NORMSDIST(((LN(Assumptions!$B$2/$B15)+(Assumptions!$B$3-Assumptions!$B$4+(U$3/100)^2/2)*Assumptions!$B$9)/((U$3/100)*Assumptions!$B$10)))-$B15*EXP(-Assumptions!$B$3*Assumptions!$B$9)*NORMSDIST((((LN(Assumptions!$B$2/$B15)+(Assumptions!$B$3-Assumptions!$B$4+(U$3/100)^2/2)*Assumptions!$B$9)/((U$3/100)*Assumptions!$B$10))-(U$3/100)*Assumptions!$B$10)))))</f>
        <v/>
      </c>
      <c r="V15" s="32">
        <f>IF((MAX(0,Assumptions!$B$2*EXP(-Assumptions!$B$4*Assumptions!$B$9)*NORMSDIST(((LN(Assumptions!$B$2/$B15)+(Assumptions!$B$3-Assumptions!$B$4+(V$3/100)^2/2)*Assumptions!$B$9)/((V$3/100)*Assumptions!$B$10)))-$B15*EXP(-Assumptions!$B$3*Assumptions!$B$9)*NORMSDIST((((LN(Assumptions!$B$2/$B15)+(Assumptions!$B$3-Assumptions!$B$4+(V$3/100)^2/2)*Assumptions!$B$9)/((V$3/100)*Assumptions!$B$10))-(V$3/100)*Assumptions!$B$10))))&lt;=0,"",(Assumptions!$B$2*EXP(-Assumptions!$B$4*Assumptions!$B$9)*NORMDIST(((LN(Assumptions!$B$2/$B15)+(Assumptions!$B$3-Assumptions!$B$4+(V$3/100)^2/2)*Assumptions!$B$9)/((V$3/100)*Assumptions!$B$10)),0,1,FALSE)*Assumptions!$B$10*0.01)*((V$3/100)/0.01)/(MAX(0,Assumptions!$B$2*EXP(-Assumptions!$B$4*Assumptions!$B$9)*NORMSDIST(((LN(Assumptions!$B$2/$B15)+(Assumptions!$B$3-Assumptions!$B$4+(V$3/100)^2/2)*Assumptions!$B$9)/((V$3/100)*Assumptions!$B$10)))-$B15*EXP(-Assumptions!$B$3*Assumptions!$B$9)*NORMSDIST((((LN(Assumptions!$B$2/$B15)+(Assumptions!$B$3-Assumptions!$B$4+(V$3/100)^2/2)*Assumptions!$B$9)/((V$3/100)*Assumptions!$B$10))-(V$3/100)*Assumptions!$B$10)))))</f>
        <v/>
      </c>
      <c r="W15" s="32">
        <f>IF((MAX(0,Assumptions!$B$2*EXP(-Assumptions!$B$4*Assumptions!$B$9)*NORMSDIST(((LN(Assumptions!$B$2/$B15)+(Assumptions!$B$3-Assumptions!$B$4+(W$3/100)^2/2)*Assumptions!$B$9)/((W$3/100)*Assumptions!$B$10)))-$B15*EXP(-Assumptions!$B$3*Assumptions!$B$9)*NORMSDIST((((LN(Assumptions!$B$2/$B15)+(Assumptions!$B$3-Assumptions!$B$4+(W$3/100)^2/2)*Assumptions!$B$9)/((W$3/100)*Assumptions!$B$10))-(W$3/100)*Assumptions!$B$10))))&lt;=0,"",(Assumptions!$B$2*EXP(-Assumptions!$B$4*Assumptions!$B$9)*NORMDIST(((LN(Assumptions!$B$2/$B15)+(Assumptions!$B$3-Assumptions!$B$4+(W$3/100)^2/2)*Assumptions!$B$9)/((W$3/100)*Assumptions!$B$10)),0,1,FALSE)*Assumptions!$B$10*0.01)*((W$3/100)/0.01)/(MAX(0,Assumptions!$B$2*EXP(-Assumptions!$B$4*Assumptions!$B$9)*NORMSDIST(((LN(Assumptions!$B$2/$B15)+(Assumptions!$B$3-Assumptions!$B$4+(W$3/100)^2/2)*Assumptions!$B$9)/((W$3/100)*Assumptions!$B$10)))-$B15*EXP(-Assumptions!$B$3*Assumptions!$B$9)*NORMSDIST((((LN(Assumptions!$B$2/$B15)+(Assumptions!$B$3-Assumptions!$B$4+(W$3/100)^2/2)*Assumptions!$B$9)/((W$3/100)*Assumptions!$B$10))-(W$3/100)*Assumptions!$B$10)))))</f>
        <v/>
      </c>
      <c r="X15" s="32">
        <f>IF((MAX(0,Assumptions!$B$2*EXP(-Assumptions!$B$4*Assumptions!$B$9)*NORMSDIST(((LN(Assumptions!$B$2/$B15)+(Assumptions!$B$3-Assumptions!$B$4+(X$3/100)^2/2)*Assumptions!$B$9)/((X$3/100)*Assumptions!$B$10)))-$B15*EXP(-Assumptions!$B$3*Assumptions!$B$9)*NORMSDIST((((LN(Assumptions!$B$2/$B15)+(Assumptions!$B$3-Assumptions!$B$4+(X$3/100)^2/2)*Assumptions!$B$9)/((X$3/100)*Assumptions!$B$10))-(X$3/100)*Assumptions!$B$10))))&lt;=0,"",(Assumptions!$B$2*EXP(-Assumptions!$B$4*Assumptions!$B$9)*NORMDIST(((LN(Assumptions!$B$2/$B15)+(Assumptions!$B$3-Assumptions!$B$4+(X$3/100)^2/2)*Assumptions!$B$9)/((X$3/100)*Assumptions!$B$10)),0,1,FALSE)*Assumptions!$B$10*0.01)*((X$3/100)/0.01)/(MAX(0,Assumptions!$B$2*EXP(-Assumptions!$B$4*Assumptions!$B$9)*NORMSDIST(((LN(Assumptions!$B$2/$B15)+(Assumptions!$B$3-Assumptions!$B$4+(X$3/100)^2/2)*Assumptions!$B$9)/((X$3/100)*Assumptions!$B$10)))-$B15*EXP(-Assumptions!$B$3*Assumptions!$B$9)*NORMSDIST((((LN(Assumptions!$B$2/$B15)+(Assumptions!$B$3-Assumptions!$B$4+(X$3/100)^2/2)*Assumptions!$B$9)/((X$3/100)*Assumptions!$B$10))-(X$3/100)*Assumptions!$B$10)))))</f>
        <v/>
      </c>
      <c r="Y15" s="32">
        <f>IF((MAX(0,Assumptions!$B$2*EXP(-Assumptions!$B$4*Assumptions!$B$9)*NORMSDIST(((LN(Assumptions!$B$2/$B15)+(Assumptions!$B$3-Assumptions!$B$4+(Y$3/100)^2/2)*Assumptions!$B$9)/((Y$3/100)*Assumptions!$B$10)))-$B15*EXP(-Assumptions!$B$3*Assumptions!$B$9)*NORMSDIST((((LN(Assumptions!$B$2/$B15)+(Assumptions!$B$3-Assumptions!$B$4+(Y$3/100)^2/2)*Assumptions!$B$9)/((Y$3/100)*Assumptions!$B$10))-(Y$3/100)*Assumptions!$B$10))))&lt;=0,"",(Assumptions!$B$2*EXP(-Assumptions!$B$4*Assumptions!$B$9)*NORMDIST(((LN(Assumptions!$B$2/$B15)+(Assumptions!$B$3-Assumptions!$B$4+(Y$3/100)^2/2)*Assumptions!$B$9)/((Y$3/100)*Assumptions!$B$10)),0,1,FALSE)*Assumptions!$B$10*0.01)*((Y$3/100)/0.01)/(MAX(0,Assumptions!$B$2*EXP(-Assumptions!$B$4*Assumptions!$B$9)*NORMSDIST(((LN(Assumptions!$B$2/$B15)+(Assumptions!$B$3-Assumptions!$B$4+(Y$3/100)^2/2)*Assumptions!$B$9)/((Y$3/100)*Assumptions!$B$10)))-$B15*EXP(-Assumptions!$B$3*Assumptions!$B$9)*NORMSDIST((((LN(Assumptions!$B$2/$B15)+(Assumptions!$B$3-Assumptions!$B$4+(Y$3/100)^2/2)*Assumptions!$B$9)/((Y$3/100)*Assumptions!$B$10))-(Y$3/100)*Assumptions!$B$10)))))</f>
        <v/>
      </c>
      <c r="Z15" s="32">
        <f>IF((MAX(0,Assumptions!$B$2*EXP(-Assumptions!$B$4*Assumptions!$B$9)*NORMSDIST(((LN(Assumptions!$B$2/$B15)+(Assumptions!$B$3-Assumptions!$B$4+(Z$3/100)^2/2)*Assumptions!$B$9)/((Z$3/100)*Assumptions!$B$10)))-$B15*EXP(-Assumptions!$B$3*Assumptions!$B$9)*NORMSDIST((((LN(Assumptions!$B$2/$B15)+(Assumptions!$B$3-Assumptions!$B$4+(Z$3/100)^2/2)*Assumptions!$B$9)/((Z$3/100)*Assumptions!$B$10))-(Z$3/100)*Assumptions!$B$10))))&lt;=0,"",(Assumptions!$B$2*EXP(-Assumptions!$B$4*Assumptions!$B$9)*NORMDIST(((LN(Assumptions!$B$2/$B15)+(Assumptions!$B$3-Assumptions!$B$4+(Z$3/100)^2/2)*Assumptions!$B$9)/((Z$3/100)*Assumptions!$B$10)),0,1,FALSE)*Assumptions!$B$10*0.01)*((Z$3/100)/0.01)/(MAX(0,Assumptions!$B$2*EXP(-Assumptions!$B$4*Assumptions!$B$9)*NORMSDIST(((LN(Assumptions!$B$2/$B15)+(Assumptions!$B$3-Assumptions!$B$4+(Z$3/100)^2/2)*Assumptions!$B$9)/((Z$3/100)*Assumptions!$B$10)))-$B15*EXP(-Assumptions!$B$3*Assumptions!$B$9)*NORMSDIST((((LN(Assumptions!$B$2/$B15)+(Assumptions!$B$3-Assumptions!$B$4+(Z$3/100)^2/2)*Assumptions!$B$9)/((Z$3/100)*Assumptions!$B$10))-(Z$3/100)*Assumptions!$B$10)))))</f>
        <v/>
      </c>
      <c r="AA15" s="32">
        <f>IF((MAX(0,Assumptions!$B$2*EXP(-Assumptions!$B$4*Assumptions!$B$9)*NORMSDIST(((LN(Assumptions!$B$2/$B15)+(Assumptions!$B$3-Assumptions!$B$4+(AA$3/100)^2/2)*Assumptions!$B$9)/((AA$3/100)*Assumptions!$B$10)))-$B15*EXP(-Assumptions!$B$3*Assumptions!$B$9)*NORMSDIST((((LN(Assumptions!$B$2/$B15)+(Assumptions!$B$3-Assumptions!$B$4+(AA$3/100)^2/2)*Assumptions!$B$9)/((AA$3/100)*Assumptions!$B$10))-(AA$3/100)*Assumptions!$B$10))))&lt;=0,"",(Assumptions!$B$2*EXP(-Assumptions!$B$4*Assumptions!$B$9)*NORMDIST(((LN(Assumptions!$B$2/$B15)+(Assumptions!$B$3-Assumptions!$B$4+(AA$3/100)^2/2)*Assumptions!$B$9)/((AA$3/100)*Assumptions!$B$10)),0,1,FALSE)*Assumptions!$B$10*0.01)*((AA$3/100)/0.01)/(MAX(0,Assumptions!$B$2*EXP(-Assumptions!$B$4*Assumptions!$B$9)*NORMSDIST(((LN(Assumptions!$B$2/$B15)+(Assumptions!$B$3-Assumptions!$B$4+(AA$3/100)^2/2)*Assumptions!$B$9)/((AA$3/100)*Assumptions!$B$10)))-$B15*EXP(-Assumptions!$B$3*Assumptions!$B$9)*NORMSDIST((((LN(Assumptions!$B$2/$B15)+(Assumptions!$B$3-Assumptions!$B$4+(AA$3/100)^2/2)*Assumptions!$B$9)/((AA$3/100)*Assumptions!$B$10))-(AA$3/100)*Assumptions!$B$10)))))</f>
        <v/>
      </c>
      <c r="AB15" s="32">
        <f>IF((MAX(0,Assumptions!$B$2*EXP(-Assumptions!$B$4*Assumptions!$B$9)*NORMSDIST(((LN(Assumptions!$B$2/$B15)+(Assumptions!$B$3-Assumptions!$B$4+(AB$3/100)^2/2)*Assumptions!$B$9)/((AB$3/100)*Assumptions!$B$10)))-$B15*EXP(-Assumptions!$B$3*Assumptions!$B$9)*NORMSDIST((((LN(Assumptions!$B$2/$B15)+(Assumptions!$B$3-Assumptions!$B$4+(AB$3/100)^2/2)*Assumptions!$B$9)/((AB$3/100)*Assumptions!$B$10))-(AB$3/100)*Assumptions!$B$10))))&lt;=0,"",(Assumptions!$B$2*EXP(-Assumptions!$B$4*Assumptions!$B$9)*NORMDIST(((LN(Assumptions!$B$2/$B15)+(Assumptions!$B$3-Assumptions!$B$4+(AB$3/100)^2/2)*Assumptions!$B$9)/((AB$3/100)*Assumptions!$B$10)),0,1,FALSE)*Assumptions!$B$10*0.01)*((AB$3/100)/0.01)/(MAX(0,Assumptions!$B$2*EXP(-Assumptions!$B$4*Assumptions!$B$9)*NORMSDIST(((LN(Assumptions!$B$2/$B15)+(Assumptions!$B$3-Assumptions!$B$4+(AB$3/100)^2/2)*Assumptions!$B$9)/((AB$3/100)*Assumptions!$B$10)))-$B15*EXP(-Assumptions!$B$3*Assumptions!$B$9)*NORMSDIST((((LN(Assumptions!$B$2/$B15)+(Assumptions!$B$3-Assumptions!$B$4+(AB$3/100)^2/2)*Assumptions!$B$9)/((AB$3/100)*Assumptions!$B$10))-(AB$3/100)*Assumptions!$B$10)))))</f>
        <v/>
      </c>
      <c r="AC15" s="32">
        <f>IF((MAX(0,Assumptions!$B$2*EXP(-Assumptions!$B$4*Assumptions!$B$9)*NORMSDIST(((LN(Assumptions!$B$2/$B15)+(Assumptions!$B$3-Assumptions!$B$4+(AC$3/100)^2/2)*Assumptions!$B$9)/((AC$3/100)*Assumptions!$B$10)))-$B15*EXP(-Assumptions!$B$3*Assumptions!$B$9)*NORMSDIST((((LN(Assumptions!$B$2/$B15)+(Assumptions!$B$3-Assumptions!$B$4+(AC$3/100)^2/2)*Assumptions!$B$9)/((AC$3/100)*Assumptions!$B$10))-(AC$3/100)*Assumptions!$B$10))))&lt;=0,"",(Assumptions!$B$2*EXP(-Assumptions!$B$4*Assumptions!$B$9)*NORMDIST(((LN(Assumptions!$B$2/$B15)+(Assumptions!$B$3-Assumptions!$B$4+(AC$3/100)^2/2)*Assumptions!$B$9)/((AC$3/100)*Assumptions!$B$10)),0,1,FALSE)*Assumptions!$B$10*0.01)*((AC$3/100)/0.01)/(MAX(0,Assumptions!$B$2*EXP(-Assumptions!$B$4*Assumptions!$B$9)*NORMSDIST(((LN(Assumptions!$B$2/$B15)+(Assumptions!$B$3-Assumptions!$B$4+(AC$3/100)^2/2)*Assumptions!$B$9)/((AC$3/100)*Assumptions!$B$10)))-$B15*EXP(-Assumptions!$B$3*Assumptions!$B$9)*NORMSDIST((((LN(Assumptions!$B$2/$B15)+(Assumptions!$B$3-Assumptions!$B$4+(AC$3/100)^2/2)*Assumptions!$B$9)/((AC$3/100)*Assumptions!$B$10))-(AC$3/100)*Assumptions!$B$10)))))</f>
        <v/>
      </c>
      <c r="AD15" s="32">
        <f>IF((MAX(0,Assumptions!$B$2*EXP(-Assumptions!$B$4*Assumptions!$B$9)*NORMSDIST(((LN(Assumptions!$B$2/$B15)+(Assumptions!$B$3-Assumptions!$B$4+(AD$3/100)^2/2)*Assumptions!$B$9)/((AD$3/100)*Assumptions!$B$10)))-$B15*EXP(-Assumptions!$B$3*Assumptions!$B$9)*NORMSDIST((((LN(Assumptions!$B$2/$B15)+(Assumptions!$B$3-Assumptions!$B$4+(AD$3/100)^2/2)*Assumptions!$B$9)/((AD$3/100)*Assumptions!$B$10))-(AD$3/100)*Assumptions!$B$10))))&lt;=0,"",(Assumptions!$B$2*EXP(-Assumptions!$B$4*Assumptions!$B$9)*NORMDIST(((LN(Assumptions!$B$2/$B15)+(Assumptions!$B$3-Assumptions!$B$4+(AD$3/100)^2/2)*Assumptions!$B$9)/((AD$3/100)*Assumptions!$B$10)),0,1,FALSE)*Assumptions!$B$10*0.01)*((AD$3/100)/0.01)/(MAX(0,Assumptions!$B$2*EXP(-Assumptions!$B$4*Assumptions!$B$9)*NORMSDIST(((LN(Assumptions!$B$2/$B15)+(Assumptions!$B$3-Assumptions!$B$4+(AD$3/100)^2/2)*Assumptions!$B$9)/((AD$3/100)*Assumptions!$B$10)))-$B15*EXP(-Assumptions!$B$3*Assumptions!$B$9)*NORMSDIST((((LN(Assumptions!$B$2/$B15)+(Assumptions!$B$3-Assumptions!$B$4+(AD$3/100)^2/2)*Assumptions!$B$9)/((AD$3/100)*Assumptions!$B$10))-(AD$3/100)*Assumptions!$B$10)))))</f>
        <v/>
      </c>
      <c r="AE15" s="32">
        <f>IF((MAX(0,Assumptions!$B$2*EXP(-Assumptions!$B$4*Assumptions!$B$9)*NORMSDIST(((LN(Assumptions!$B$2/$B15)+(Assumptions!$B$3-Assumptions!$B$4+(AE$3/100)^2/2)*Assumptions!$B$9)/((AE$3/100)*Assumptions!$B$10)))-$B15*EXP(-Assumptions!$B$3*Assumptions!$B$9)*NORMSDIST((((LN(Assumptions!$B$2/$B15)+(Assumptions!$B$3-Assumptions!$B$4+(AE$3/100)^2/2)*Assumptions!$B$9)/((AE$3/100)*Assumptions!$B$10))-(AE$3/100)*Assumptions!$B$10))))&lt;=0,"",(Assumptions!$B$2*EXP(-Assumptions!$B$4*Assumptions!$B$9)*NORMDIST(((LN(Assumptions!$B$2/$B15)+(Assumptions!$B$3-Assumptions!$B$4+(AE$3/100)^2/2)*Assumptions!$B$9)/((AE$3/100)*Assumptions!$B$10)),0,1,FALSE)*Assumptions!$B$10*0.01)*((AE$3/100)/0.01)/(MAX(0,Assumptions!$B$2*EXP(-Assumptions!$B$4*Assumptions!$B$9)*NORMSDIST(((LN(Assumptions!$B$2/$B15)+(Assumptions!$B$3-Assumptions!$B$4+(AE$3/100)^2/2)*Assumptions!$B$9)/((AE$3/100)*Assumptions!$B$10)))-$B15*EXP(-Assumptions!$B$3*Assumptions!$B$9)*NORMSDIST((((LN(Assumptions!$B$2/$B15)+(Assumptions!$B$3-Assumptions!$B$4+(AE$3/100)^2/2)*Assumptions!$B$9)/((AE$3/100)*Assumptions!$B$10))-(AE$3/100)*Assumptions!$B$10)))))</f>
        <v/>
      </c>
      <c r="AF15" s="32">
        <f>IF((MAX(0,Assumptions!$B$2*EXP(-Assumptions!$B$4*Assumptions!$B$9)*NORMSDIST(((LN(Assumptions!$B$2/$B15)+(Assumptions!$B$3-Assumptions!$B$4+(AF$3/100)^2/2)*Assumptions!$B$9)/((AF$3/100)*Assumptions!$B$10)))-$B15*EXP(-Assumptions!$B$3*Assumptions!$B$9)*NORMSDIST((((LN(Assumptions!$B$2/$B15)+(Assumptions!$B$3-Assumptions!$B$4+(AF$3/100)^2/2)*Assumptions!$B$9)/((AF$3/100)*Assumptions!$B$10))-(AF$3/100)*Assumptions!$B$10))))&lt;=0,"",(Assumptions!$B$2*EXP(-Assumptions!$B$4*Assumptions!$B$9)*NORMDIST(((LN(Assumptions!$B$2/$B15)+(Assumptions!$B$3-Assumptions!$B$4+(AF$3/100)^2/2)*Assumptions!$B$9)/((AF$3/100)*Assumptions!$B$10)),0,1,FALSE)*Assumptions!$B$10*0.01)*((AF$3/100)/0.01)/(MAX(0,Assumptions!$B$2*EXP(-Assumptions!$B$4*Assumptions!$B$9)*NORMSDIST(((LN(Assumptions!$B$2/$B15)+(Assumptions!$B$3-Assumptions!$B$4+(AF$3/100)^2/2)*Assumptions!$B$9)/((AF$3/100)*Assumptions!$B$10)))-$B15*EXP(-Assumptions!$B$3*Assumptions!$B$9)*NORMSDIST((((LN(Assumptions!$B$2/$B15)+(Assumptions!$B$3-Assumptions!$B$4+(AF$3/100)^2/2)*Assumptions!$B$9)/((AF$3/100)*Assumptions!$B$10))-(AF$3/100)*Assumptions!$B$10)))))</f>
        <v/>
      </c>
      <c r="AG15" s="32">
        <f>IF((MAX(0,Assumptions!$B$2*EXP(-Assumptions!$B$4*Assumptions!$B$9)*NORMSDIST(((LN(Assumptions!$B$2/$B15)+(Assumptions!$B$3-Assumptions!$B$4+(AG$3/100)^2/2)*Assumptions!$B$9)/((AG$3/100)*Assumptions!$B$10)))-$B15*EXP(-Assumptions!$B$3*Assumptions!$B$9)*NORMSDIST((((LN(Assumptions!$B$2/$B15)+(Assumptions!$B$3-Assumptions!$B$4+(AG$3/100)^2/2)*Assumptions!$B$9)/((AG$3/100)*Assumptions!$B$10))-(AG$3/100)*Assumptions!$B$10))))&lt;=0,"",(Assumptions!$B$2*EXP(-Assumptions!$B$4*Assumptions!$B$9)*NORMDIST(((LN(Assumptions!$B$2/$B15)+(Assumptions!$B$3-Assumptions!$B$4+(AG$3/100)^2/2)*Assumptions!$B$9)/((AG$3/100)*Assumptions!$B$10)),0,1,FALSE)*Assumptions!$B$10*0.01)*((AG$3/100)/0.01)/(MAX(0,Assumptions!$B$2*EXP(-Assumptions!$B$4*Assumptions!$B$9)*NORMSDIST(((LN(Assumptions!$B$2/$B15)+(Assumptions!$B$3-Assumptions!$B$4+(AG$3/100)^2/2)*Assumptions!$B$9)/((AG$3/100)*Assumptions!$B$10)))-$B15*EXP(-Assumptions!$B$3*Assumptions!$B$9)*NORMSDIST((((LN(Assumptions!$B$2/$B15)+(Assumptions!$B$3-Assumptions!$B$4+(AG$3/100)^2/2)*Assumptions!$B$9)/((AG$3/100)*Assumptions!$B$10))-(AG$3/100)*Assumptions!$B$10)))))</f>
        <v/>
      </c>
      <c r="AH15" s="32">
        <f>IF((MAX(0,Assumptions!$B$2*EXP(-Assumptions!$B$4*Assumptions!$B$9)*NORMSDIST(((LN(Assumptions!$B$2/$B15)+(Assumptions!$B$3-Assumptions!$B$4+(AH$3/100)^2/2)*Assumptions!$B$9)/((AH$3/100)*Assumptions!$B$10)))-$B15*EXP(-Assumptions!$B$3*Assumptions!$B$9)*NORMSDIST((((LN(Assumptions!$B$2/$B15)+(Assumptions!$B$3-Assumptions!$B$4+(AH$3/100)^2/2)*Assumptions!$B$9)/((AH$3/100)*Assumptions!$B$10))-(AH$3/100)*Assumptions!$B$10))))&lt;=0,"",(Assumptions!$B$2*EXP(-Assumptions!$B$4*Assumptions!$B$9)*NORMDIST(((LN(Assumptions!$B$2/$B15)+(Assumptions!$B$3-Assumptions!$B$4+(AH$3/100)^2/2)*Assumptions!$B$9)/((AH$3/100)*Assumptions!$B$10)),0,1,FALSE)*Assumptions!$B$10*0.01)*((AH$3/100)/0.01)/(MAX(0,Assumptions!$B$2*EXP(-Assumptions!$B$4*Assumptions!$B$9)*NORMSDIST(((LN(Assumptions!$B$2/$B15)+(Assumptions!$B$3-Assumptions!$B$4+(AH$3/100)^2/2)*Assumptions!$B$9)/((AH$3/100)*Assumptions!$B$10)))-$B15*EXP(-Assumptions!$B$3*Assumptions!$B$9)*NORMSDIST((((LN(Assumptions!$B$2/$B15)+(Assumptions!$B$3-Assumptions!$B$4+(AH$3/100)^2/2)*Assumptions!$B$9)/((AH$3/100)*Assumptions!$B$10))-(AH$3/100)*Assumptions!$B$10)))))</f>
        <v/>
      </c>
      <c r="AI15" s="32">
        <f>IF((MAX(0,Assumptions!$B$2*EXP(-Assumptions!$B$4*Assumptions!$B$9)*NORMSDIST(((LN(Assumptions!$B$2/$B15)+(Assumptions!$B$3-Assumptions!$B$4+(AI$3/100)^2/2)*Assumptions!$B$9)/((AI$3/100)*Assumptions!$B$10)))-$B15*EXP(-Assumptions!$B$3*Assumptions!$B$9)*NORMSDIST((((LN(Assumptions!$B$2/$B15)+(Assumptions!$B$3-Assumptions!$B$4+(AI$3/100)^2/2)*Assumptions!$B$9)/((AI$3/100)*Assumptions!$B$10))-(AI$3/100)*Assumptions!$B$10))))&lt;=0,"",(Assumptions!$B$2*EXP(-Assumptions!$B$4*Assumptions!$B$9)*NORMDIST(((LN(Assumptions!$B$2/$B15)+(Assumptions!$B$3-Assumptions!$B$4+(AI$3/100)^2/2)*Assumptions!$B$9)/((AI$3/100)*Assumptions!$B$10)),0,1,FALSE)*Assumptions!$B$10*0.01)*((AI$3/100)/0.01)/(MAX(0,Assumptions!$B$2*EXP(-Assumptions!$B$4*Assumptions!$B$9)*NORMSDIST(((LN(Assumptions!$B$2/$B15)+(Assumptions!$B$3-Assumptions!$B$4+(AI$3/100)^2/2)*Assumptions!$B$9)/((AI$3/100)*Assumptions!$B$10)))-$B15*EXP(-Assumptions!$B$3*Assumptions!$B$9)*NORMSDIST((((LN(Assumptions!$B$2/$B15)+(Assumptions!$B$3-Assumptions!$B$4+(AI$3/100)^2/2)*Assumptions!$B$9)/((AI$3/100)*Assumptions!$B$10))-(AI$3/100)*Assumptions!$B$10)))))</f>
        <v/>
      </c>
      <c r="AJ15" s="32">
        <f>IF((MAX(0,Assumptions!$B$2*EXP(-Assumptions!$B$4*Assumptions!$B$9)*NORMSDIST(((LN(Assumptions!$B$2/$B15)+(Assumptions!$B$3-Assumptions!$B$4+(AJ$3/100)^2/2)*Assumptions!$B$9)/((AJ$3/100)*Assumptions!$B$10)))-$B15*EXP(-Assumptions!$B$3*Assumptions!$B$9)*NORMSDIST((((LN(Assumptions!$B$2/$B15)+(Assumptions!$B$3-Assumptions!$B$4+(AJ$3/100)^2/2)*Assumptions!$B$9)/((AJ$3/100)*Assumptions!$B$10))-(AJ$3/100)*Assumptions!$B$10))))&lt;=0,"",(Assumptions!$B$2*EXP(-Assumptions!$B$4*Assumptions!$B$9)*NORMDIST(((LN(Assumptions!$B$2/$B15)+(Assumptions!$B$3-Assumptions!$B$4+(AJ$3/100)^2/2)*Assumptions!$B$9)/((AJ$3/100)*Assumptions!$B$10)),0,1,FALSE)*Assumptions!$B$10*0.01)*((AJ$3/100)/0.01)/(MAX(0,Assumptions!$B$2*EXP(-Assumptions!$B$4*Assumptions!$B$9)*NORMSDIST(((LN(Assumptions!$B$2/$B15)+(Assumptions!$B$3-Assumptions!$B$4+(AJ$3/100)^2/2)*Assumptions!$B$9)/((AJ$3/100)*Assumptions!$B$10)))-$B15*EXP(-Assumptions!$B$3*Assumptions!$B$9)*NORMSDIST((((LN(Assumptions!$B$2/$B15)+(Assumptions!$B$3-Assumptions!$B$4+(AJ$3/100)^2/2)*Assumptions!$B$9)/((AJ$3/100)*Assumptions!$B$10))-(AJ$3/100)*Assumptions!$B$10)))))</f>
        <v/>
      </c>
      <c r="AK15" s="32">
        <f>IF((MAX(0,Assumptions!$B$2*EXP(-Assumptions!$B$4*Assumptions!$B$9)*NORMSDIST(((LN(Assumptions!$B$2/$B15)+(Assumptions!$B$3-Assumptions!$B$4+(AK$3/100)^2/2)*Assumptions!$B$9)/((AK$3/100)*Assumptions!$B$10)))-$B15*EXP(-Assumptions!$B$3*Assumptions!$B$9)*NORMSDIST((((LN(Assumptions!$B$2/$B15)+(Assumptions!$B$3-Assumptions!$B$4+(AK$3/100)^2/2)*Assumptions!$B$9)/((AK$3/100)*Assumptions!$B$10))-(AK$3/100)*Assumptions!$B$10))))&lt;=0,"",(Assumptions!$B$2*EXP(-Assumptions!$B$4*Assumptions!$B$9)*NORMDIST(((LN(Assumptions!$B$2/$B15)+(Assumptions!$B$3-Assumptions!$B$4+(AK$3/100)^2/2)*Assumptions!$B$9)/((AK$3/100)*Assumptions!$B$10)),0,1,FALSE)*Assumptions!$B$10*0.01)*((AK$3/100)/0.01)/(MAX(0,Assumptions!$B$2*EXP(-Assumptions!$B$4*Assumptions!$B$9)*NORMSDIST(((LN(Assumptions!$B$2/$B15)+(Assumptions!$B$3-Assumptions!$B$4+(AK$3/100)^2/2)*Assumptions!$B$9)/((AK$3/100)*Assumptions!$B$10)))-$B15*EXP(-Assumptions!$B$3*Assumptions!$B$9)*NORMSDIST((((LN(Assumptions!$B$2/$B15)+(Assumptions!$B$3-Assumptions!$B$4+(AK$3/100)^2/2)*Assumptions!$B$9)/((AK$3/100)*Assumptions!$B$10))-(AK$3/100)*Assumptions!$B$10)))))</f>
        <v/>
      </c>
      <c r="AL15" s="32">
        <f>IF((MAX(0,Assumptions!$B$2*EXP(-Assumptions!$B$4*Assumptions!$B$9)*NORMSDIST(((LN(Assumptions!$B$2/$B15)+(Assumptions!$B$3-Assumptions!$B$4+(AL$3/100)^2/2)*Assumptions!$B$9)/((AL$3/100)*Assumptions!$B$10)))-$B15*EXP(-Assumptions!$B$3*Assumptions!$B$9)*NORMSDIST((((LN(Assumptions!$B$2/$B15)+(Assumptions!$B$3-Assumptions!$B$4+(AL$3/100)^2/2)*Assumptions!$B$9)/((AL$3/100)*Assumptions!$B$10))-(AL$3/100)*Assumptions!$B$10))))&lt;=0,"",(Assumptions!$B$2*EXP(-Assumptions!$B$4*Assumptions!$B$9)*NORMDIST(((LN(Assumptions!$B$2/$B15)+(Assumptions!$B$3-Assumptions!$B$4+(AL$3/100)^2/2)*Assumptions!$B$9)/((AL$3/100)*Assumptions!$B$10)),0,1,FALSE)*Assumptions!$B$10*0.01)*((AL$3/100)/0.01)/(MAX(0,Assumptions!$B$2*EXP(-Assumptions!$B$4*Assumptions!$B$9)*NORMSDIST(((LN(Assumptions!$B$2/$B15)+(Assumptions!$B$3-Assumptions!$B$4+(AL$3/100)^2/2)*Assumptions!$B$9)/((AL$3/100)*Assumptions!$B$10)))-$B15*EXP(-Assumptions!$B$3*Assumptions!$B$9)*NORMSDIST((((LN(Assumptions!$B$2/$B15)+(Assumptions!$B$3-Assumptions!$B$4+(AL$3/100)^2/2)*Assumptions!$B$9)/((AL$3/100)*Assumptions!$B$10))-(AL$3/100)*Assumptions!$B$10)))))</f>
        <v/>
      </c>
      <c r="AM15" s="32">
        <f>IF((MAX(0,Assumptions!$B$2*EXP(-Assumptions!$B$4*Assumptions!$B$9)*NORMSDIST(((LN(Assumptions!$B$2/$B15)+(Assumptions!$B$3-Assumptions!$B$4+(AM$3/100)^2/2)*Assumptions!$B$9)/((AM$3/100)*Assumptions!$B$10)))-$B15*EXP(-Assumptions!$B$3*Assumptions!$B$9)*NORMSDIST((((LN(Assumptions!$B$2/$B15)+(Assumptions!$B$3-Assumptions!$B$4+(AM$3/100)^2/2)*Assumptions!$B$9)/((AM$3/100)*Assumptions!$B$10))-(AM$3/100)*Assumptions!$B$10))))&lt;=0,"",(Assumptions!$B$2*EXP(-Assumptions!$B$4*Assumptions!$B$9)*NORMDIST(((LN(Assumptions!$B$2/$B15)+(Assumptions!$B$3-Assumptions!$B$4+(AM$3/100)^2/2)*Assumptions!$B$9)/((AM$3/100)*Assumptions!$B$10)),0,1,FALSE)*Assumptions!$B$10*0.01)*((AM$3/100)/0.01)/(MAX(0,Assumptions!$B$2*EXP(-Assumptions!$B$4*Assumptions!$B$9)*NORMSDIST(((LN(Assumptions!$B$2/$B15)+(Assumptions!$B$3-Assumptions!$B$4+(AM$3/100)^2/2)*Assumptions!$B$9)/((AM$3/100)*Assumptions!$B$10)))-$B15*EXP(-Assumptions!$B$3*Assumptions!$B$9)*NORMSDIST((((LN(Assumptions!$B$2/$B15)+(Assumptions!$B$3-Assumptions!$B$4+(AM$3/100)^2/2)*Assumptions!$B$9)/((AM$3/100)*Assumptions!$B$10))-(AM$3/100)*Assumptions!$B$10)))))</f>
        <v/>
      </c>
      <c r="AN15" s="32">
        <f>IF((MAX(0,Assumptions!$B$2*EXP(-Assumptions!$B$4*Assumptions!$B$9)*NORMSDIST(((LN(Assumptions!$B$2/$B15)+(Assumptions!$B$3-Assumptions!$B$4+(AN$3/100)^2/2)*Assumptions!$B$9)/((AN$3/100)*Assumptions!$B$10)))-$B15*EXP(-Assumptions!$B$3*Assumptions!$B$9)*NORMSDIST((((LN(Assumptions!$B$2/$B15)+(Assumptions!$B$3-Assumptions!$B$4+(AN$3/100)^2/2)*Assumptions!$B$9)/((AN$3/100)*Assumptions!$B$10))-(AN$3/100)*Assumptions!$B$10))))&lt;=0,"",(Assumptions!$B$2*EXP(-Assumptions!$B$4*Assumptions!$B$9)*NORMDIST(((LN(Assumptions!$B$2/$B15)+(Assumptions!$B$3-Assumptions!$B$4+(AN$3/100)^2/2)*Assumptions!$B$9)/((AN$3/100)*Assumptions!$B$10)),0,1,FALSE)*Assumptions!$B$10*0.01)*((AN$3/100)/0.01)/(MAX(0,Assumptions!$B$2*EXP(-Assumptions!$B$4*Assumptions!$B$9)*NORMSDIST(((LN(Assumptions!$B$2/$B15)+(Assumptions!$B$3-Assumptions!$B$4+(AN$3/100)^2/2)*Assumptions!$B$9)/((AN$3/100)*Assumptions!$B$10)))-$B15*EXP(-Assumptions!$B$3*Assumptions!$B$9)*NORMSDIST((((LN(Assumptions!$B$2/$B15)+(Assumptions!$B$3-Assumptions!$B$4+(AN$3/100)^2/2)*Assumptions!$B$9)/((AN$3/100)*Assumptions!$B$10))-(AN$3/100)*Assumptions!$B$10)))))</f>
        <v/>
      </c>
      <c r="AO15" s="32">
        <f>IF((MAX(0,Assumptions!$B$2*EXP(-Assumptions!$B$4*Assumptions!$B$9)*NORMSDIST(((LN(Assumptions!$B$2/$B15)+(Assumptions!$B$3-Assumptions!$B$4+(AO$3/100)^2/2)*Assumptions!$B$9)/((AO$3/100)*Assumptions!$B$10)))-$B15*EXP(-Assumptions!$B$3*Assumptions!$B$9)*NORMSDIST((((LN(Assumptions!$B$2/$B15)+(Assumptions!$B$3-Assumptions!$B$4+(AO$3/100)^2/2)*Assumptions!$B$9)/((AO$3/100)*Assumptions!$B$10))-(AO$3/100)*Assumptions!$B$10))))&lt;=0,"",(Assumptions!$B$2*EXP(-Assumptions!$B$4*Assumptions!$B$9)*NORMDIST(((LN(Assumptions!$B$2/$B15)+(Assumptions!$B$3-Assumptions!$B$4+(AO$3/100)^2/2)*Assumptions!$B$9)/((AO$3/100)*Assumptions!$B$10)),0,1,FALSE)*Assumptions!$B$10*0.01)*((AO$3/100)/0.01)/(MAX(0,Assumptions!$B$2*EXP(-Assumptions!$B$4*Assumptions!$B$9)*NORMSDIST(((LN(Assumptions!$B$2/$B15)+(Assumptions!$B$3-Assumptions!$B$4+(AO$3/100)^2/2)*Assumptions!$B$9)/((AO$3/100)*Assumptions!$B$10)))-$B15*EXP(-Assumptions!$B$3*Assumptions!$B$9)*NORMSDIST((((LN(Assumptions!$B$2/$B15)+(Assumptions!$B$3-Assumptions!$B$4+(AO$3/100)^2/2)*Assumptions!$B$9)/((AO$3/100)*Assumptions!$B$10))-(AO$3/100)*Assumptions!$B$10)))))</f>
        <v/>
      </c>
      <c r="AP15" s="32">
        <f>IF((MAX(0,Assumptions!$B$2*EXP(-Assumptions!$B$4*Assumptions!$B$9)*NORMSDIST(((LN(Assumptions!$B$2/$B15)+(Assumptions!$B$3-Assumptions!$B$4+(AP$3/100)^2/2)*Assumptions!$B$9)/((AP$3/100)*Assumptions!$B$10)))-$B15*EXP(-Assumptions!$B$3*Assumptions!$B$9)*NORMSDIST((((LN(Assumptions!$B$2/$B15)+(Assumptions!$B$3-Assumptions!$B$4+(AP$3/100)^2/2)*Assumptions!$B$9)/((AP$3/100)*Assumptions!$B$10))-(AP$3/100)*Assumptions!$B$10))))&lt;=0,"",(Assumptions!$B$2*EXP(-Assumptions!$B$4*Assumptions!$B$9)*NORMDIST(((LN(Assumptions!$B$2/$B15)+(Assumptions!$B$3-Assumptions!$B$4+(AP$3/100)^2/2)*Assumptions!$B$9)/((AP$3/100)*Assumptions!$B$10)),0,1,FALSE)*Assumptions!$B$10*0.01)*((AP$3/100)/0.01)/(MAX(0,Assumptions!$B$2*EXP(-Assumptions!$B$4*Assumptions!$B$9)*NORMSDIST(((LN(Assumptions!$B$2/$B15)+(Assumptions!$B$3-Assumptions!$B$4+(AP$3/100)^2/2)*Assumptions!$B$9)/((AP$3/100)*Assumptions!$B$10)))-$B15*EXP(-Assumptions!$B$3*Assumptions!$B$9)*NORMSDIST((((LN(Assumptions!$B$2/$B15)+(Assumptions!$B$3-Assumptions!$B$4+(AP$3/100)^2/2)*Assumptions!$B$9)/((AP$3/100)*Assumptions!$B$10))-(AP$3/100)*Assumptions!$B$10)))))</f>
        <v/>
      </c>
      <c r="AQ15" s="32">
        <f>IF((MAX(0,Assumptions!$B$2*EXP(-Assumptions!$B$4*Assumptions!$B$9)*NORMSDIST(((LN(Assumptions!$B$2/$B15)+(Assumptions!$B$3-Assumptions!$B$4+(AQ$3/100)^2/2)*Assumptions!$B$9)/((AQ$3/100)*Assumptions!$B$10)))-$B15*EXP(-Assumptions!$B$3*Assumptions!$B$9)*NORMSDIST((((LN(Assumptions!$B$2/$B15)+(Assumptions!$B$3-Assumptions!$B$4+(AQ$3/100)^2/2)*Assumptions!$B$9)/((AQ$3/100)*Assumptions!$B$10))-(AQ$3/100)*Assumptions!$B$10))))&lt;=0,"",(Assumptions!$B$2*EXP(-Assumptions!$B$4*Assumptions!$B$9)*NORMDIST(((LN(Assumptions!$B$2/$B15)+(Assumptions!$B$3-Assumptions!$B$4+(AQ$3/100)^2/2)*Assumptions!$B$9)/((AQ$3/100)*Assumptions!$B$10)),0,1,FALSE)*Assumptions!$B$10*0.01)*((AQ$3/100)/0.01)/(MAX(0,Assumptions!$B$2*EXP(-Assumptions!$B$4*Assumptions!$B$9)*NORMSDIST(((LN(Assumptions!$B$2/$B15)+(Assumptions!$B$3-Assumptions!$B$4+(AQ$3/100)^2/2)*Assumptions!$B$9)/((AQ$3/100)*Assumptions!$B$10)))-$B15*EXP(-Assumptions!$B$3*Assumptions!$B$9)*NORMSDIST((((LN(Assumptions!$B$2/$B15)+(Assumptions!$B$3-Assumptions!$B$4+(AQ$3/100)^2/2)*Assumptions!$B$9)/((AQ$3/100)*Assumptions!$B$10))-(AQ$3/100)*Assumptions!$B$10)))))</f>
        <v/>
      </c>
      <c r="AR15" s="32">
        <f>IF((MAX(0,Assumptions!$B$2*EXP(-Assumptions!$B$4*Assumptions!$B$9)*NORMSDIST(((LN(Assumptions!$B$2/$B15)+(Assumptions!$B$3-Assumptions!$B$4+(AR$3/100)^2/2)*Assumptions!$B$9)/((AR$3/100)*Assumptions!$B$10)))-$B15*EXP(-Assumptions!$B$3*Assumptions!$B$9)*NORMSDIST((((LN(Assumptions!$B$2/$B15)+(Assumptions!$B$3-Assumptions!$B$4+(AR$3/100)^2/2)*Assumptions!$B$9)/((AR$3/100)*Assumptions!$B$10))-(AR$3/100)*Assumptions!$B$10))))&lt;=0,"",(Assumptions!$B$2*EXP(-Assumptions!$B$4*Assumptions!$B$9)*NORMDIST(((LN(Assumptions!$B$2/$B15)+(Assumptions!$B$3-Assumptions!$B$4+(AR$3/100)^2/2)*Assumptions!$B$9)/((AR$3/100)*Assumptions!$B$10)),0,1,FALSE)*Assumptions!$B$10*0.01)*((AR$3/100)/0.01)/(MAX(0,Assumptions!$B$2*EXP(-Assumptions!$B$4*Assumptions!$B$9)*NORMSDIST(((LN(Assumptions!$B$2/$B15)+(Assumptions!$B$3-Assumptions!$B$4+(AR$3/100)^2/2)*Assumptions!$B$9)/((AR$3/100)*Assumptions!$B$10)))-$B15*EXP(-Assumptions!$B$3*Assumptions!$B$9)*NORMSDIST((((LN(Assumptions!$B$2/$B15)+(Assumptions!$B$3-Assumptions!$B$4+(AR$3/100)^2/2)*Assumptions!$B$9)/((AR$3/100)*Assumptions!$B$10))-(AR$3/100)*Assumptions!$B$10)))))</f>
        <v/>
      </c>
      <c r="AS15" s="32">
        <f>IF((MAX(0,Assumptions!$B$2*EXP(-Assumptions!$B$4*Assumptions!$B$9)*NORMSDIST(((LN(Assumptions!$B$2/$B15)+(Assumptions!$B$3-Assumptions!$B$4+(AS$3/100)^2/2)*Assumptions!$B$9)/((AS$3/100)*Assumptions!$B$10)))-$B15*EXP(-Assumptions!$B$3*Assumptions!$B$9)*NORMSDIST((((LN(Assumptions!$B$2/$B15)+(Assumptions!$B$3-Assumptions!$B$4+(AS$3/100)^2/2)*Assumptions!$B$9)/((AS$3/100)*Assumptions!$B$10))-(AS$3/100)*Assumptions!$B$10))))&lt;=0,"",(Assumptions!$B$2*EXP(-Assumptions!$B$4*Assumptions!$B$9)*NORMDIST(((LN(Assumptions!$B$2/$B15)+(Assumptions!$B$3-Assumptions!$B$4+(AS$3/100)^2/2)*Assumptions!$B$9)/((AS$3/100)*Assumptions!$B$10)),0,1,FALSE)*Assumptions!$B$10*0.01)*((AS$3/100)/0.01)/(MAX(0,Assumptions!$B$2*EXP(-Assumptions!$B$4*Assumptions!$B$9)*NORMSDIST(((LN(Assumptions!$B$2/$B15)+(Assumptions!$B$3-Assumptions!$B$4+(AS$3/100)^2/2)*Assumptions!$B$9)/((AS$3/100)*Assumptions!$B$10)))-$B15*EXP(-Assumptions!$B$3*Assumptions!$B$9)*NORMSDIST((((LN(Assumptions!$B$2/$B15)+(Assumptions!$B$3-Assumptions!$B$4+(AS$3/100)^2/2)*Assumptions!$B$9)/((AS$3/100)*Assumptions!$B$10))-(AS$3/100)*Assumptions!$B$10)))))</f>
        <v/>
      </c>
      <c r="AT15" s="32">
        <f>IF((MAX(0,Assumptions!$B$2*EXP(-Assumptions!$B$4*Assumptions!$B$9)*NORMSDIST(((LN(Assumptions!$B$2/$B15)+(Assumptions!$B$3-Assumptions!$B$4+(AT$3/100)^2/2)*Assumptions!$B$9)/((AT$3/100)*Assumptions!$B$10)))-$B15*EXP(-Assumptions!$B$3*Assumptions!$B$9)*NORMSDIST((((LN(Assumptions!$B$2/$B15)+(Assumptions!$B$3-Assumptions!$B$4+(AT$3/100)^2/2)*Assumptions!$B$9)/((AT$3/100)*Assumptions!$B$10))-(AT$3/100)*Assumptions!$B$10))))&lt;=0,"",(Assumptions!$B$2*EXP(-Assumptions!$B$4*Assumptions!$B$9)*NORMDIST(((LN(Assumptions!$B$2/$B15)+(Assumptions!$B$3-Assumptions!$B$4+(AT$3/100)^2/2)*Assumptions!$B$9)/((AT$3/100)*Assumptions!$B$10)),0,1,FALSE)*Assumptions!$B$10*0.01)*((AT$3/100)/0.01)/(MAX(0,Assumptions!$B$2*EXP(-Assumptions!$B$4*Assumptions!$B$9)*NORMSDIST(((LN(Assumptions!$B$2/$B15)+(Assumptions!$B$3-Assumptions!$B$4+(AT$3/100)^2/2)*Assumptions!$B$9)/((AT$3/100)*Assumptions!$B$10)))-$B15*EXP(-Assumptions!$B$3*Assumptions!$B$9)*NORMSDIST((((LN(Assumptions!$B$2/$B15)+(Assumptions!$B$3-Assumptions!$B$4+(AT$3/100)^2/2)*Assumptions!$B$9)/((AT$3/100)*Assumptions!$B$10))-(AT$3/100)*Assumptions!$B$10)))))</f>
        <v/>
      </c>
      <c r="AU15" s="32">
        <f>IF((MAX(0,Assumptions!$B$2*EXP(-Assumptions!$B$4*Assumptions!$B$9)*NORMSDIST(((LN(Assumptions!$B$2/$B15)+(Assumptions!$B$3-Assumptions!$B$4+(AU$3/100)^2/2)*Assumptions!$B$9)/((AU$3/100)*Assumptions!$B$10)))-$B15*EXP(-Assumptions!$B$3*Assumptions!$B$9)*NORMSDIST((((LN(Assumptions!$B$2/$B15)+(Assumptions!$B$3-Assumptions!$B$4+(AU$3/100)^2/2)*Assumptions!$B$9)/((AU$3/100)*Assumptions!$B$10))-(AU$3/100)*Assumptions!$B$10))))&lt;=0,"",(Assumptions!$B$2*EXP(-Assumptions!$B$4*Assumptions!$B$9)*NORMDIST(((LN(Assumptions!$B$2/$B15)+(Assumptions!$B$3-Assumptions!$B$4+(AU$3/100)^2/2)*Assumptions!$B$9)/((AU$3/100)*Assumptions!$B$10)),0,1,FALSE)*Assumptions!$B$10*0.01)*((AU$3/100)/0.01)/(MAX(0,Assumptions!$B$2*EXP(-Assumptions!$B$4*Assumptions!$B$9)*NORMSDIST(((LN(Assumptions!$B$2/$B15)+(Assumptions!$B$3-Assumptions!$B$4+(AU$3/100)^2/2)*Assumptions!$B$9)/((AU$3/100)*Assumptions!$B$10)))-$B15*EXP(-Assumptions!$B$3*Assumptions!$B$9)*NORMSDIST((((LN(Assumptions!$B$2/$B15)+(Assumptions!$B$3-Assumptions!$B$4+(AU$3/100)^2/2)*Assumptions!$B$9)/((AU$3/100)*Assumptions!$B$10))-(AU$3/100)*Assumptions!$B$10)))))</f>
        <v/>
      </c>
      <c r="AV15" s="32">
        <f>IF((MAX(0,Assumptions!$B$2*EXP(-Assumptions!$B$4*Assumptions!$B$9)*NORMSDIST(((LN(Assumptions!$B$2/$B15)+(Assumptions!$B$3-Assumptions!$B$4+(AV$3/100)^2/2)*Assumptions!$B$9)/((AV$3/100)*Assumptions!$B$10)))-$B15*EXP(-Assumptions!$B$3*Assumptions!$B$9)*NORMSDIST((((LN(Assumptions!$B$2/$B15)+(Assumptions!$B$3-Assumptions!$B$4+(AV$3/100)^2/2)*Assumptions!$B$9)/((AV$3/100)*Assumptions!$B$10))-(AV$3/100)*Assumptions!$B$10))))&lt;=0,"",(Assumptions!$B$2*EXP(-Assumptions!$B$4*Assumptions!$B$9)*NORMDIST(((LN(Assumptions!$B$2/$B15)+(Assumptions!$B$3-Assumptions!$B$4+(AV$3/100)^2/2)*Assumptions!$B$9)/((AV$3/100)*Assumptions!$B$10)),0,1,FALSE)*Assumptions!$B$10*0.01)*((AV$3/100)/0.01)/(MAX(0,Assumptions!$B$2*EXP(-Assumptions!$B$4*Assumptions!$B$9)*NORMSDIST(((LN(Assumptions!$B$2/$B15)+(Assumptions!$B$3-Assumptions!$B$4+(AV$3/100)^2/2)*Assumptions!$B$9)/((AV$3/100)*Assumptions!$B$10)))-$B15*EXP(-Assumptions!$B$3*Assumptions!$B$9)*NORMSDIST((((LN(Assumptions!$B$2/$B15)+(Assumptions!$B$3-Assumptions!$B$4+(AV$3/100)^2/2)*Assumptions!$B$9)/((AV$3/100)*Assumptions!$B$10))-(AV$3/100)*Assumptions!$B$10)))))</f>
        <v/>
      </c>
    </row>
    <row r="16">
      <c r="A16" s="27" t="inlineStr">
        <is>
          <t>+1.00%</t>
        </is>
      </c>
      <c r="B16" s="47">
        <f>'BS Engine'!$B$14</f>
        <v/>
      </c>
      <c r="C16" s="28">
        <f>'BS Engine'!$C$14</f>
        <v/>
      </c>
      <c r="D16" s="54">
        <f>IF((MAX(0,Assumptions!$B$2*EXP(-Assumptions!$B$4*Assumptions!$B$9)*NORMSDIST(((LN(Assumptions!$B$2/$B16)+(Assumptions!$B$3-Assumptions!$B$4+(D$3/100)^2/2)*Assumptions!$B$9)/((D$3/100)*Assumptions!$B$10)))-$B16*EXP(-Assumptions!$B$3*Assumptions!$B$9)*NORMSDIST((((LN(Assumptions!$B$2/$B16)+(Assumptions!$B$3-Assumptions!$B$4+(D$3/100)^2/2)*Assumptions!$B$9)/((D$3/100)*Assumptions!$B$10))-(D$3/100)*Assumptions!$B$10))))&lt;=0,"",(Assumptions!$B$2*EXP(-Assumptions!$B$4*Assumptions!$B$9)*NORMDIST(((LN(Assumptions!$B$2/$B16)+(Assumptions!$B$3-Assumptions!$B$4+(D$3/100)^2/2)*Assumptions!$B$9)/((D$3/100)*Assumptions!$B$10)),0,1,FALSE)*Assumptions!$B$10*0.01)*((D$3/100)/0.01)/(MAX(0,Assumptions!$B$2*EXP(-Assumptions!$B$4*Assumptions!$B$9)*NORMSDIST(((LN(Assumptions!$B$2/$B16)+(Assumptions!$B$3-Assumptions!$B$4+(D$3/100)^2/2)*Assumptions!$B$9)/((D$3/100)*Assumptions!$B$10)))-$B16*EXP(-Assumptions!$B$3*Assumptions!$B$9)*NORMSDIST((((LN(Assumptions!$B$2/$B16)+(Assumptions!$B$3-Assumptions!$B$4+(D$3/100)^2/2)*Assumptions!$B$9)/((D$3/100)*Assumptions!$B$10))-(D$3/100)*Assumptions!$B$10)))))</f>
        <v/>
      </c>
      <c r="E16" s="32">
        <f>IF((MAX(0,Assumptions!$B$2*EXP(-Assumptions!$B$4*Assumptions!$B$9)*NORMSDIST(((LN(Assumptions!$B$2/$B16)+(Assumptions!$B$3-Assumptions!$B$4+(E$3/100)^2/2)*Assumptions!$B$9)/((E$3/100)*Assumptions!$B$10)))-$B16*EXP(-Assumptions!$B$3*Assumptions!$B$9)*NORMSDIST((((LN(Assumptions!$B$2/$B16)+(Assumptions!$B$3-Assumptions!$B$4+(E$3/100)^2/2)*Assumptions!$B$9)/((E$3/100)*Assumptions!$B$10))-(E$3/100)*Assumptions!$B$10))))&lt;=0,"",(Assumptions!$B$2*EXP(-Assumptions!$B$4*Assumptions!$B$9)*NORMDIST(((LN(Assumptions!$B$2/$B16)+(Assumptions!$B$3-Assumptions!$B$4+(E$3/100)^2/2)*Assumptions!$B$9)/((E$3/100)*Assumptions!$B$10)),0,1,FALSE)*Assumptions!$B$10*0.01)*((E$3/100)/0.01)/(MAX(0,Assumptions!$B$2*EXP(-Assumptions!$B$4*Assumptions!$B$9)*NORMSDIST(((LN(Assumptions!$B$2/$B16)+(Assumptions!$B$3-Assumptions!$B$4+(E$3/100)^2/2)*Assumptions!$B$9)/((E$3/100)*Assumptions!$B$10)))-$B16*EXP(-Assumptions!$B$3*Assumptions!$B$9)*NORMSDIST((((LN(Assumptions!$B$2/$B16)+(Assumptions!$B$3-Assumptions!$B$4+(E$3/100)^2/2)*Assumptions!$B$9)/((E$3/100)*Assumptions!$B$10))-(E$3/100)*Assumptions!$B$10)))))</f>
        <v/>
      </c>
      <c r="F16" s="32">
        <f>IF((MAX(0,Assumptions!$B$2*EXP(-Assumptions!$B$4*Assumptions!$B$9)*NORMSDIST(((LN(Assumptions!$B$2/$B16)+(Assumptions!$B$3-Assumptions!$B$4+(F$3/100)^2/2)*Assumptions!$B$9)/((F$3/100)*Assumptions!$B$10)))-$B16*EXP(-Assumptions!$B$3*Assumptions!$B$9)*NORMSDIST((((LN(Assumptions!$B$2/$B16)+(Assumptions!$B$3-Assumptions!$B$4+(F$3/100)^2/2)*Assumptions!$B$9)/((F$3/100)*Assumptions!$B$10))-(F$3/100)*Assumptions!$B$10))))&lt;=0,"",(Assumptions!$B$2*EXP(-Assumptions!$B$4*Assumptions!$B$9)*NORMDIST(((LN(Assumptions!$B$2/$B16)+(Assumptions!$B$3-Assumptions!$B$4+(F$3/100)^2/2)*Assumptions!$B$9)/((F$3/100)*Assumptions!$B$10)),0,1,FALSE)*Assumptions!$B$10*0.01)*((F$3/100)/0.01)/(MAX(0,Assumptions!$B$2*EXP(-Assumptions!$B$4*Assumptions!$B$9)*NORMSDIST(((LN(Assumptions!$B$2/$B16)+(Assumptions!$B$3-Assumptions!$B$4+(F$3/100)^2/2)*Assumptions!$B$9)/((F$3/100)*Assumptions!$B$10)))-$B16*EXP(-Assumptions!$B$3*Assumptions!$B$9)*NORMSDIST((((LN(Assumptions!$B$2/$B16)+(Assumptions!$B$3-Assumptions!$B$4+(F$3/100)^2/2)*Assumptions!$B$9)/((F$3/100)*Assumptions!$B$10))-(F$3/100)*Assumptions!$B$10)))))</f>
        <v/>
      </c>
      <c r="G16" s="32">
        <f>IF((MAX(0,Assumptions!$B$2*EXP(-Assumptions!$B$4*Assumptions!$B$9)*NORMSDIST(((LN(Assumptions!$B$2/$B16)+(Assumptions!$B$3-Assumptions!$B$4+(G$3/100)^2/2)*Assumptions!$B$9)/((G$3/100)*Assumptions!$B$10)))-$B16*EXP(-Assumptions!$B$3*Assumptions!$B$9)*NORMSDIST((((LN(Assumptions!$B$2/$B16)+(Assumptions!$B$3-Assumptions!$B$4+(G$3/100)^2/2)*Assumptions!$B$9)/((G$3/100)*Assumptions!$B$10))-(G$3/100)*Assumptions!$B$10))))&lt;=0,"",(Assumptions!$B$2*EXP(-Assumptions!$B$4*Assumptions!$B$9)*NORMDIST(((LN(Assumptions!$B$2/$B16)+(Assumptions!$B$3-Assumptions!$B$4+(G$3/100)^2/2)*Assumptions!$B$9)/((G$3/100)*Assumptions!$B$10)),0,1,FALSE)*Assumptions!$B$10*0.01)*((G$3/100)/0.01)/(MAX(0,Assumptions!$B$2*EXP(-Assumptions!$B$4*Assumptions!$B$9)*NORMSDIST(((LN(Assumptions!$B$2/$B16)+(Assumptions!$B$3-Assumptions!$B$4+(G$3/100)^2/2)*Assumptions!$B$9)/((G$3/100)*Assumptions!$B$10)))-$B16*EXP(-Assumptions!$B$3*Assumptions!$B$9)*NORMSDIST((((LN(Assumptions!$B$2/$B16)+(Assumptions!$B$3-Assumptions!$B$4+(G$3/100)^2/2)*Assumptions!$B$9)/((G$3/100)*Assumptions!$B$10))-(G$3/100)*Assumptions!$B$10)))))</f>
        <v/>
      </c>
      <c r="H16" s="32">
        <f>IF((MAX(0,Assumptions!$B$2*EXP(-Assumptions!$B$4*Assumptions!$B$9)*NORMSDIST(((LN(Assumptions!$B$2/$B16)+(Assumptions!$B$3-Assumptions!$B$4+(H$3/100)^2/2)*Assumptions!$B$9)/((H$3/100)*Assumptions!$B$10)))-$B16*EXP(-Assumptions!$B$3*Assumptions!$B$9)*NORMSDIST((((LN(Assumptions!$B$2/$B16)+(Assumptions!$B$3-Assumptions!$B$4+(H$3/100)^2/2)*Assumptions!$B$9)/((H$3/100)*Assumptions!$B$10))-(H$3/100)*Assumptions!$B$10))))&lt;=0,"",(Assumptions!$B$2*EXP(-Assumptions!$B$4*Assumptions!$B$9)*NORMDIST(((LN(Assumptions!$B$2/$B16)+(Assumptions!$B$3-Assumptions!$B$4+(H$3/100)^2/2)*Assumptions!$B$9)/((H$3/100)*Assumptions!$B$10)),0,1,FALSE)*Assumptions!$B$10*0.01)*((H$3/100)/0.01)/(MAX(0,Assumptions!$B$2*EXP(-Assumptions!$B$4*Assumptions!$B$9)*NORMSDIST(((LN(Assumptions!$B$2/$B16)+(Assumptions!$B$3-Assumptions!$B$4+(H$3/100)^2/2)*Assumptions!$B$9)/((H$3/100)*Assumptions!$B$10)))-$B16*EXP(-Assumptions!$B$3*Assumptions!$B$9)*NORMSDIST((((LN(Assumptions!$B$2/$B16)+(Assumptions!$B$3-Assumptions!$B$4+(H$3/100)^2/2)*Assumptions!$B$9)/((H$3/100)*Assumptions!$B$10))-(H$3/100)*Assumptions!$B$10)))))</f>
        <v/>
      </c>
      <c r="I16" s="32">
        <f>IF((MAX(0,Assumptions!$B$2*EXP(-Assumptions!$B$4*Assumptions!$B$9)*NORMSDIST(((LN(Assumptions!$B$2/$B16)+(Assumptions!$B$3-Assumptions!$B$4+(I$3/100)^2/2)*Assumptions!$B$9)/((I$3/100)*Assumptions!$B$10)))-$B16*EXP(-Assumptions!$B$3*Assumptions!$B$9)*NORMSDIST((((LN(Assumptions!$B$2/$B16)+(Assumptions!$B$3-Assumptions!$B$4+(I$3/100)^2/2)*Assumptions!$B$9)/((I$3/100)*Assumptions!$B$10))-(I$3/100)*Assumptions!$B$10))))&lt;=0,"",(Assumptions!$B$2*EXP(-Assumptions!$B$4*Assumptions!$B$9)*NORMDIST(((LN(Assumptions!$B$2/$B16)+(Assumptions!$B$3-Assumptions!$B$4+(I$3/100)^2/2)*Assumptions!$B$9)/((I$3/100)*Assumptions!$B$10)),0,1,FALSE)*Assumptions!$B$10*0.01)*((I$3/100)/0.01)/(MAX(0,Assumptions!$B$2*EXP(-Assumptions!$B$4*Assumptions!$B$9)*NORMSDIST(((LN(Assumptions!$B$2/$B16)+(Assumptions!$B$3-Assumptions!$B$4+(I$3/100)^2/2)*Assumptions!$B$9)/((I$3/100)*Assumptions!$B$10)))-$B16*EXP(-Assumptions!$B$3*Assumptions!$B$9)*NORMSDIST((((LN(Assumptions!$B$2/$B16)+(Assumptions!$B$3-Assumptions!$B$4+(I$3/100)^2/2)*Assumptions!$B$9)/((I$3/100)*Assumptions!$B$10))-(I$3/100)*Assumptions!$B$10)))))</f>
        <v/>
      </c>
      <c r="J16" s="32">
        <f>IF((MAX(0,Assumptions!$B$2*EXP(-Assumptions!$B$4*Assumptions!$B$9)*NORMSDIST(((LN(Assumptions!$B$2/$B16)+(Assumptions!$B$3-Assumptions!$B$4+(J$3/100)^2/2)*Assumptions!$B$9)/((J$3/100)*Assumptions!$B$10)))-$B16*EXP(-Assumptions!$B$3*Assumptions!$B$9)*NORMSDIST((((LN(Assumptions!$B$2/$B16)+(Assumptions!$B$3-Assumptions!$B$4+(J$3/100)^2/2)*Assumptions!$B$9)/((J$3/100)*Assumptions!$B$10))-(J$3/100)*Assumptions!$B$10))))&lt;=0,"",(Assumptions!$B$2*EXP(-Assumptions!$B$4*Assumptions!$B$9)*NORMDIST(((LN(Assumptions!$B$2/$B16)+(Assumptions!$B$3-Assumptions!$B$4+(J$3/100)^2/2)*Assumptions!$B$9)/((J$3/100)*Assumptions!$B$10)),0,1,FALSE)*Assumptions!$B$10*0.01)*((J$3/100)/0.01)/(MAX(0,Assumptions!$B$2*EXP(-Assumptions!$B$4*Assumptions!$B$9)*NORMSDIST(((LN(Assumptions!$B$2/$B16)+(Assumptions!$B$3-Assumptions!$B$4+(J$3/100)^2/2)*Assumptions!$B$9)/((J$3/100)*Assumptions!$B$10)))-$B16*EXP(-Assumptions!$B$3*Assumptions!$B$9)*NORMSDIST((((LN(Assumptions!$B$2/$B16)+(Assumptions!$B$3-Assumptions!$B$4+(J$3/100)^2/2)*Assumptions!$B$9)/((J$3/100)*Assumptions!$B$10))-(J$3/100)*Assumptions!$B$10)))))</f>
        <v/>
      </c>
      <c r="K16" s="32">
        <f>IF((MAX(0,Assumptions!$B$2*EXP(-Assumptions!$B$4*Assumptions!$B$9)*NORMSDIST(((LN(Assumptions!$B$2/$B16)+(Assumptions!$B$3-Assumptions!$B$4+(K$3/100)^2/2)*Assumptions!$B$9)/((K$3/100)*Assumptions!$B$10)))-$B16*EXP(-Assumptions!$B$3*Assumptions!$B$9)*NORMSDIST((((LN(Assumptions!$B$2/$B16)+(Assumptions!$B$3-Assumptions!$B$4+(K$3/100)^2/2)*Assumptions!$B$9)/((K$3/100)*Assumptions!$B$10))-(K$3/100)*Assumptions!$B$10))))&lt;=0,"",(Assumptions!$B$2*EXP(-Assumptions!$B$4*Assumptions!$B$9)*NORMDIST(((LN(Assumptions!$B$2/$B16)+(Assumptions!$B$3-Assumptions!$B$4+(K$3/100)^2/2)*Assumptions!$B$9)/((K$3/100)*Assumptions!$B$10)),0,1,FALSE)*Assumptions!$B$10*0.01)*((K$3/100)/0.01)/(MAX(0,Assumptions!$B$2*EXP(-Assumptions!$B$4*Assumptions!$B$9)*NORMSDIST(((LN(Assumptions!$B$2/$B16)+(Assumptions!$B$3-Assumptions!$B$4+(K$3/100)^2/2)*Assumptions!$B$9)/((K$3/100)*Assumptions!$B$10)))-$B16*EXP(-Assumptions!$B$3*Assumptions!$B$9)*NORMSDIST((((LN(Assumptions!$B$2/$B16)+(Assumptions!$B$3-Assumptions!$B$4+(K$3/100)^2/2)*Assumptions!$B$9)/((K$3/100)*Assumptions!$B$10))-(K$3/100)*Assumptions!$B$10)))))</f>
        <v/>
      </c>
      <c r="L16" s="32">
        <f>IF((MAX(0,Assumptions!$B$2*EXP(-Assumptions!$B$4*Assumptions!$B$9)*NORMSDIST(((LN(Assumptions!$B$2/$B16)+(Assumptions!$B$3-Assumptions!$B$4+(L$3/100)^2/2)*Assumptions!$B$9)/((L$3/100)*Assumptions!$B$10)))-$B16*EXP(-Assumptions!$B$3*Assumptions!$B$9)*NORMSDIST((((LN(Assumptions!$B$2/$B16)+(Assumptions!$B$3-Assumptions!$B$4+(L$3/100)^2/2)*Assumptions!$B$9)/((L$3/100)*Assumptions!$B$10))-(L$3/100)*Assumptions!$B$10))))&lt;=0,"",(Assumptions!$B$2*EXP(-Assumptions!$B$4*Assumptions!$B$9)*NORMDIST(((LN(Assumptions!$B$2/$B16)+(Assumptions!$B$3-Assumptions!$B$4+(L$3/100)^2/2)*Assumptions!$B$9)/((L$3/100)*Assumptions!$B$10)),0,1,FALSE)*Assumptions!$B$10*0.01)*((L$3/100)/0.01)/(MAX(0,Assumptions!$B$2*EXP(-Assumptions!$B$4*Assumptions!$B$9)*NORMSDIST(((LN(Assumptions!$B$2/$B16)+(Assumptions!$B$3-Assumptions!$B$4+(L$3/100)^2/2)*Assumptions!$B$9)/((L$3/100)*Assumptions!$B$10)))-$B16*EXP(-Assumptions!$B$3*Assumptions!$B$9)*NORMSDIST((((LN(Assumptions!$B$2/$B16)+(Assumptions!$B$3-Assumptions!$B$4+(L$3/100)^2/2)*Assumptions!$B$9)/((L$3/100)*Assumptions!$B$10))-(L$3/100)*Assumptions!$B$10)))))</f>
        <v/>
      </c>
      <c r="M16" s="32">
        <f>IF((MAX(0,Assumptions!$B$2*EXP(-Assumptions!$B$4*Assumptions!$B$9)*NORMSDIST(((LN(Assumptions!$B$2/$B16)+(Assumptions!$B$3-Assumptions!$B$4+(M$3/100)^2/2)*Assumptions!$B$9)/((M$3/100)*Assumptions!$B$10)))-$B16*EXP(-Assumptions!$B$3*Assumptions!$B$9)*NORMSDIST((((LN(Assumptions!$B$2/$B16)+(Assumptions!$B$3-Assumptions!$B$4+(M$3/100)^2/2)*Assumptions!$B$9)/((M$3/100)*Assumptions!$B$10))-(M$3/100)*Assumptions!$B$10))))&lt;=0,"",(Assumptions!$B$2*EXP(-Assumptions!$B$4*Assumptions!$B$9)*NORMDIST(((LN(Assumptions!$B$2/$B16)+(Assumptions!$B$3-Assumptions!$B$4+(M$3/100)^2/2)*Assumptions!$B$9)/((M$3/100)*Assumptions!$B$10)),0,1,FALSE)*Assumptions!$B$10*0.01)*((M$3/100)/0.01)/(MAX(0,Assumptions!$B$2*EXP(-Assumptions!$B$4*Assumptions!$B$9)*NORMSDIST(((LN(Assumptions!$B$2/$B16)+(Assumptions!$B$3-Assumptions!$B$4+(M$3/100)^2/2)*Assumptions!$B$9)/((M$3/100)*Assumptions!$B$10)))-$B16*EXP(-Assumptions!$B$3*Assumptions!$B$9)*NORMSDIST((((LN(Assumptions!$B$2/$B16)+(Assumptions!$B$3-Assumptions!$B$4+(M$3/100)^2/2)*Assumptions!$B$9)/((M$3/100)*Assumptions!$B$10))-(M$3/100)*Assumptions!$B$10)))))</f>
        <v/>
      </c>
      <c r="N16" s="32">
        <f>IF((MAX(0,Assumptions!$B$2*EXP(-Assumptions!$B$4*Assumptions!$B$9)*NORMSDIST(((LN(Assumptions!$B$2/$B16)+(Assumptions!$B$3-Assumptions!$B$4+(N$3/100)^2/2)*Assumptions!$B$9)/((N$3/100)*Assumptions!$B$10)))-$B16*EXP(-Assumptions!$B$3*Assumptions!$B$9)*NORMSDIST((((LN(Assumptions!$B$2/$B16)+(Assumptions!$B$3-Assumptions!$B$4+(N$3/100)^2/2)*Assumptions!$B$9)/((N$3/100)*Assumptions!$B$10))-(N$3/100)*Assumptions!$B$10))))&lt;=0,"",(Assumptions!$B$2*EXP(-Assumptions!$B$4*Assumptions!$B$9)*NORMDIST(((LN(Assumptions!$B$2/$B16)+(Assumptions!$B$3-Assumptions!$B$4+(N$3/100)^2/2)*Assumptions!$B$9)/((N$3/100)*Assumptions!$B$10)),0,1,FALSE)*Assumptions!$B$10*0.01)*((N$3/100)/0.01)/(MAX(0,Assumptions!$B$2*EXP(-Assumptions!$B$4*Assumptions!$B$9)*NORMSDIST(((LN(Assumptions!$B$2/$B16)+(Assumptions!$B$3-Assumptions!$B$4+(N$3/100)^2/2)*Assumptions!$B$9)/((N$3/100)*Assumptions!$B$10)))-$B16*EXP(-Assumptions!$B$3*Assumptions!$B$9)*NORMSDIST((((LN(Assumptions!$B$2/$B16)+(Assumptions!$B$3-Assumptions!$B$4+(N$3/100)^2/2)*Assumptions!$B$9)/((N$3/100)*Assumptions!$B$10))-(N$3/100)*Assumptions!$B$10)))))</f>
        <v/>
      </c>
      <c r="O16" s="32">
        <f>IF((MAX(0,Assumptions!$B$2*EXP(-Assumptions!$B$4*Assumptions!$B$9)*NORMSDIST(((LN(Assumptions!$B$2/$B16)+(Assumptions!$B$3-Assumptions!$B$4+(O$3/100)^2/2)*Assumptions!$B$9)/((O$3/100)*Assumptions!$B$10)))-$B16*EXP(-Assumptions!$B$3*Assumptions!$B$9)*NORMSDIST((((LN(Assumptions!$B$2/$B16)+(Assumptions!$B$3-Assumptions!$B$4+(O$3/100)^2/2)*Assumptions!$B$9)/((O$3/100)*Assumptions!$B$10))-(O$3/100)*Assumptions!$B$10))))&lt;=0,"",(Assumptions!$B$2*EXP(-Assumptions!$B$4*Assumptions!$B$9)*NORMDIST(((LN(Assumptions!$B$2/$B16)+(Assumptions!$B$3-Assumptions!$B$4+(O$3/100)^2/2)*Assumptions!$B$9)/((O$3/100)*Assumptions!$B$10)),0,1,FALSE)*Assumptions!$B$10*0.01)*((O$3/100)/0.01)/(MAX(0,Assumptions!$B$2*EXP(-Assumptions!$B$4*Assumptions!$B$9)*NORMSDIST(((LN(Assumptions!$B$2/$B16)+(Assumptions!$B$3-Assumptions!$B$4+(O$3/100)^2/2)*Assumptions!$B$9)/((O$3/100)*Assumptions!$B$10)))-$B16*EXP(-Assumptions!$B$3*Assumptions!$B$9)*NORMSDIST((((LN(Assumptions!$B$2/$B16)+(Assumptions!$B$3-Assumptions!$B$4+(O$3/100)^2/2)*Assumptions!$B$9)/((O$3/100)*Assumptions!$B$10))-(O$3/100)*Assumptions!$B$10)))))</f>
        <v/>
      </c>
      <c r="P16" s="32">
        <f>IF((MAX(0,Assumptions!$B$2*EXP(-Assumptions!$B$4*Assumptions!$B$9)*NORMSDIST(((LN(Assumptions!$B$2/$B16)+(Assumptions!$B$3-Assumptions!$B$4+(P$3/100)^2/2)*Assumptions!$B$9)/((P$3/100)*Assumptions!$B$10)))-$B16*EXP(-Assumptions!$B$3*Assumptions!$B$9)*NORMSDIST((((LN(Assumptions!$B$2/$B16)+(Assumptions!$B$3-Assumptions!$B$4+(P$3/100)^2/2)*Assumptions!$B$9)/((P$3/100)*Assumptions!$B$10))-(P$3/100)*Assumptions!$B$10))))&lt;=0,"",(Assumptions!$B$2*EXP(-Assumptions!$B$4*Assumptions!$B$9)*NORMDIST(((LN(Assumptions!$B$2/$B16)+(Assumptions!$B$3-Assumptions!$B$4+(P$3/100)^2/2)*Assumptions!$B$9)/((P$3/100)*Assumptions!$B$10)),0,1,FALSE)*Assumptions!$B$10*0.01)*((P$3/100)/0.01)/(MAX(0,Assumptions!$B$2*EXP(-Assumptions!$B$4*Assumptions!$B$9)*NORMSDIST(((LN(Assumptions!$B$2/$B16)+(Assumptions!$B$3-Assumptions!$B$4+(P$3/100)^2/2)*Assumptions!$B$9)/((P$3/100)*Assumptions!$B$10)))-$B16*EXP(-Assumptions!$B$3*Assumptions!$B$9)*NORMSDIST((((LN(Assumptions!$B$2/$B16)+(Assumptions!$B$3-Assumptions!$B$4+(P$3/100)^2/2)*Assumptions!$B$9)/((P$3/100)*Assumptions!$B$10))-(P$3/100)*Assumptions!$B$10)))))</f>
        <v/>
      </c>
      <c r="Q16" s="32">
        <f>IF((MAX(0,Assumptions!$B$2*EXP(-Assumptions!$B$4*Assumptions!$B$9)*NORMSDIST(((LN(Assumptions!$B$2/$B16)+(Assumptions!$B$3-Assumptions!$B$4+(Q$3/100)^2/2)*Assumptions!$B$9)/((Q$3/100)*Assumptions!$B$10)))-$B16*EXP(-Assumptions!$B$3*Assumptions!$B$9)*NORMSDIST((((LN(Assumptions!$B$2/$B16)+(Assumptions!$B$3-Assumptions!$B$4+(Q$3/100)^2/2)*Assumptions!$B$9)/((Q$3/100)*Assumptions!$B$10))-(Q$3/100)*Assumptions!$B$10))))&lt;=0,"",(Assumptions!$B$2*EXP(-Assumptions!$B$4*Assumptions!$B$9)*NORMDIST(((LN(Assumptions!$B$2/$B16)+(Assumptions!$B$3-Assumptions!$B$4+(Q$3/100)^2/2)*Assumptions!$B$9)/((Q$3/100)*Assumptions!$B$10)),0,1,FALSE)*Assumptions!$B$10*0.01)*((Q$3/100)/0.01)/(MAX(0,Assumptions!$B$2*EXP(-Assumptions!$B$4*Assumptions!$B$9)*NORMSDIST(((LN(Assumptions!$B$2/$B16)+(Assumptions!$B$3-Assumptions!$B$4+(Q$3/100)^2/2)*Assumptions!$B$9)/((Q$3/100)*Assumptions!$B$10)))-$B16*EXP(-Assumptions!$B$3*Assumptions!$B$9)*NORMSDIST((((LN(Assumptions!$B$2/$B16)+(Assumptions!$B$3-Assumptions!$B$4+(Q$3/100)^2/2)*Assumptions!$B$9)/((Q$3/100)*Assumptions!$B$10))-(Q$3/100)*Assumptions!$B$10)))))</f>
        <v/>
      </c>
      <c r="R16" s="32">
        <f>IF((MAX(0,Assumptions!$B$2*EXP(-Assumptions!$B$4*Assumptions!$B$9)*NORMSDIST(((LN(Assumptions!$B$2/$B16)+(Assumptions!$B$3-Assumptions!$B$4+(R$3/100)^2/2)*Assumptions!$B$9)/((R$3/100)*Assumptions!$B$10)))-$B16*EXP(-Assumptions!$B$3*Assumptions!$B$9)*NORMSDIST((((LN(Assumptions!$B$2/$B16)+(Assumptions!$B$3-Assumptions!$B$4+(R$3/100)^2/2)*Assumptions!$B$9)/((R$3/100)*Assumptions!$B$10))-(R$3/100)*Assumptions!$B$10))))&lt;=0,"",(Assumptions!$B$2*EXP(-Assumptions!$B$4*Assumptions!$B$9)*NORMDIST(((LN(Assumptions!$B$2/$B16)+(Assumptions!$B$3-Assumptions!$B$4+(R$3/100)^2/2)*Assumptions!$B$9)/((R$3/100)*Assumptions!$B$10)),0,1,FALSE)*Assumptions!$B$10*0.01)*((R$3/100)/0.01)/(MAX(0,Assumptions!$B$2*EXP(-Assumptions!$B$4*Assumptions!$B$9)*NORMSDIST(((LN(Assumptions!$B$2/$B16)+(Assumptions!$B$3-Assumptions!$B$4+(R$3/100)^2/2)*Assumptions!$B$9)/((R$3/100)*Assumptions!$B$10)))-$B16*EXP(-Assumptions!$B$3*Assumptions!$B$9)*NORMSDIST((((LN(Assumptions!$B$2/$B16)+(Assumptions!$B$3-Assumptions!$B$4+(R$3/100)^2/2)*Assumptions!$B$9)/((R$3/100)*Assumptions!$B$10))-(R$3/100)*Assumptions!$B$10)))))</f>
        <v/>
      </c>
      <c r="S16" s="32">
        <f>IF((MAX(0,Assumptions!$B$2*EXP(-Assumptions!$B$4*Assumptions!$B$9)*NORMSDIST(((LN(Assumptions!$B$2/$B16)+(Assumptions!$B$3-Assumptions!$B$4+(S$3/100)^2/2)*Assumptions!$B$9)/((S$3/100)*Assumptions!$B$10)))-$B16*EXP(-Assumptions!$B$3*Assumptions!$B$9)*NORMSDIST((((LN(Assumptions!$B$2/$B16)+(Assumptions!$B$3-Assumptions!$B$4+(S$3/100)^2/2)*Assumptions!$B$9)/((S$3/100)*Assumptions!$B$10))-(S$3/100)*Assumptions!$B$10))))&lt;=0,"",(Assumptions!$B$2*EXP(-Assumptions!$B$4*Assumptions!$B$9)*NORMDIST(((LN(Assumptions!$B$2/$B16)+(Assumptions!$B$3-Assumptions!$B$4+(S$3/100)^2/2)*Assumptions!$B$9)/((S$3/100)*Assumptions!$B$10)),0,1,FALSE)*Assumptions!$B$10*0.01)*((S$3/100)/0.01)/(MAX(0,Assumptions!$B$2*EXP(-Assumptions!$B$4*Assumptions!$B$9)*NORMSDIST(((LN(Assumptions!$B$2/$B16)+(Assumptions!$B$3-Assumptions!$B$4+(S$3/100)^2/2)*Assumptions!$B$9)/((S$3/100)*Assumptions!$B$10)))-$B16*EXP(-Assumptions!$B$3*Assumptions!$B$9)*NORMSDIST((((LN(Assumptions!$B$2/$B16)+(Assumptions!$B$3-Assumptions!$B$4+(S$3/100)^2/2)*Assumptions!$B$9)/((S$3/100)*Assumptions!$B$10))-(S$3/100)*Assumptions!$B$10)))))</f>
        <v/>
      </c>
      <c r="T16" s="32">
        <f>IF((MAX(0,Assumptions!$B$2*EXP(-Assumptions!$B$4*Assumptions!$B$9)*NORMSDIST(((LN(Assumptions!$B$2/$B16)+(Assumptions!$B$3-Assumptions!$B$4+(T$3/100)^2/2)*Assumptions!$B$9)/((T$3/100)*Assumptions!$B$10)))-$B16*EXP(-Assumptions!$B$3*Assumptions!$B$9)*NORMSDIST((((LN(Assumptions!$B$2/$B16)+(Assumptions!$B$3-Assumptions!$B$4+(T$3/100)^2/2)*Assumptions!$B$9)/((T$3/100)*Assumptions!$B$10))-(T$3/100)*Assumptions!$B$10))))&lt;=0,"",(Assumptions!$B$2*EXP(-Assumptions!$B$4*Assumptions!$B$9)*NORMDIST(((LN(Assumptions!$B$2/$B16)+(Assumptions!$B$3-Assumptions!$B$4+(T$3/100)^2/2)*Assumptions!$B$9)/((T$3/100)*Assumptions!$B$10)),0,1,FALSE)*Assumptions!$B$10*0.01)*((T$3/100)/0.01)/(MAX(0,Assumptions!$B$2*EXP(-Assumptions!$B$4*Assumptions!$B$9)*NORMSDIST(((LN(Assumptions!$B$2/$B16)+(Assumptions!$B$3-Assumptions!$B$4+(T$3/100)^2/2)*Assumptions!$B$9)/((T$3/100)*Assumptions!$B$10)))-$B16*EXP(-Assumptions!$B$3*Assumptions!$B$9)*NORMSDIST((((LN(Assumptions!$B$2/$B16)+(Assumptions!$B$3-Assumptions!$B$4+(T$3/100)^2/2)*Assumptions!$B$9)/((T$3/100)*Assumptions!$B$10))-(T$3/100)*Assumptions!$B$10)))))</f>
        <v/>
      </c>
      <c r="U16" s="32">
        <f>IF((MAX(0,Assumptions!$B$2*EXP(-Assumptions!$B$4*Assumptions!$B$9)*NORMSDIST(((LN(Assumptions!$B$2/$B16)+(Assumptions!$B$3-Assumptions!$B$4+(U$3/100)^2/2)*Assumptions!$B$9)/((U$3/100)*Assumptions!$B$10)))-$B16*EXP(-Assumptions!$B$3*Assumptions!$B$9)*NORMSDIST((((LN(Assumptions!$B$2/$B16)+(Assumptions!$B$3-Assumptions!$B$4+(U$3/100)^2/2)*Assumptions!$B$9)/((U$3/100)*Assumptions!$B$10))-(U$3/100)*Assumptions!$B$10))))&lt;=0,"",(Assumptions!$B$2*EXP(-Assumptions!$B$4*Assumptions!$B$9)*NORMDIST(((LN(Assumptions!$B$2/$B16)+(Assumptions!$B$3-Assumptions!$B$4+(U$3/100)^2/2)*Assumptions!$B$9)/((U$3/100)*Assumptions!$B$10)),0,1,FALSE)*Assumptions!$B$10*0.01)*((U$3/100)/0.01)/(MAX(0,Assumptions!$B$2*EXP(-Assumptions!$B$4*Assumptions!$B$9)*NORMSDIST(((LN(Assumptions!$B$2/$B16)+(Assumptions!$B$3-Assumptions!$B$4+(U$3/100)^2/2)*Assumptions!$B$9)/((U$3/100)*Assumptions!$B$10)))-$B16*EXP(-Assumptions!$B$3*Assumptions!$B$9)*NORMSDIST((((LN(Assumptions!$B$2/$B16)+(Assumptions!$B$3-Assumptions!$B$4+(U$3/100)^2/2)*Assumptions!$B$9)/((U$3/100)*Assumptions!$B$10))-(U$3/100)*Assumptions!$B$10)))))</f>
        <v/>
      </c>
      <c r="V16" s="32">
        <f>IF((MAX(0,Assumptions!$B$2*EXP(-Assumptions!$B$4*Assumptions!$B$9)*NORMSDIST(((LN(Assumptions!$B$2/$B16)+(Assumptions!$B$3-Assumptions!$B$4+(V$3/100)^2/2)*Assumptions!$B$9)/((V$3/100)*Assumptions!$B$10)))-$B16*EXP(-Assumptions!$B$3*Assumptions!$B$9)*NORMSDIST((((LN(Assumptions!$B$2/$B16)+(Assumptions!$B$3-Assumptions!$B$4+(V$3/100)^2/2)*Assumptions!$B$9)/((V$3/100)*Assumptions!$B$10))-(V$3/100)*Assumptions!$B$10))))&lt;=0,"",(Assumptions!$B$2*EXP(-Assumptions!$B$4*Assumptions!$B$9)*NORMDIST(((LN(Assumptions!$B$2/$B16)+(Assumptions!$B$3-Assumptions!$B$4+(V$3/100)^2/2)*Assumptions!$B$9)/((V$3/100)*Assumptions!$B$10)),0,1,FALSE)*Assumptions!$B$10*0.01)*((V$3/100)/0.01)/(MAX(0,Assumptions!$B$2*EXP(-Assumptions!$B$4*Assumptions!$B$9)*NORMSDIST(((LN(Assumptions!$B$2/$B16)+(Assumptions!$B$3-Assumptions!$B$4+(V$3/100)^2/2)*Assumptions!$B$9)/((V$3/100)*Assumptions!$B$10)))-$B16*EXP(-Assumptions!$B$3*Assumptions!$B$9)*NORMSDIST((((LN(Assumptions!$B$2/$B16)+(Assumptions!$B$3-Assumptions!$B$4+(V$3/100)^2/2)*Assumptions!$B$9)/((V$3/100)*Assumptions!$B$10))-(V$3/100)*Assumptions!$B$10)))))</f>
        <v/>
      </c>
      <c r="W16" s="32">
        <f>IF((MAX(0,Assumptions!$B$2*EXP(-Assumptions!$B$4*Assumptions!$B$9)*NORMSDIST(((LN(Assumptions!$B$2/$B16)+(Assumptions!$B$3-Assumptions!$B$4+(W$3/100)^2/2)*Assumptions!$B$9)/((W$3/100)*Assumptions!$B$10)))-$B16*EXP(-Assumptions!$B$3*Assumptions!$B$9)*NORMSDIST((((LN(Assumptions!$B$2/$B16)+(Assumptions!$B$3-Assumptions!$B$4+(W$3/100)^2/2)*Assumptions!$B$9)/((W$3/100)*Assumptions!$B$10))-(W$3/100)*Assumptions!$B$10))))&lt;=0,"",(Assumptions!$B$2*EXP(-Assumptions!$B$4*Assumptions!$B$9)*NORMDIST(((LN(Assumptions!$B$2/$B16)+(Assumptions!$B$3-Assumptions!$B$4+(W$3/100)^2/2)*Assumptions!$B$9)/((W$3/100)*Assumptions!$B$10)),0,1,FALSE)*Assumptions!$B$10*0.01)*((W$3/100)/0.01)/(MAX(0,Assumptions!$B$2*EXP(-Assumptions!$B$4*Assumptions!$B$9)*NORMSDIST(((LN(Assumptions!$B$2/$B16)+(Assumptions!$B$3-Assumptions!$B$4+(W$3/100)^2/2)*Assumptions!$B$9)/((W$3/100)*Assumptions!$B$10)))-$B16*EXP(-Assumptions!$B$3*Assumptions!$B$9)*NORMSDIST((((LN(Assumptions!$B$2/$B16)+(Assumptions!$B$3-Assumptions!$B$4+(W$3/100)^2/2)*Assumptions!$B$9)/((W$3/100)*Assumptions!$B$10))-(W$3/100)*Assumptions!$B$10)))))</f>
        <v/>
      </c>
      <c r="X16" s="32">
        <f>IF((MAX(0,Assumptions!$B$2*EXP(-Assumptions!$B$4*Assumptions!$B$9)*NORMSDIST(((LN(Assumptions!$B$2/$B16)+(Assumptions!$B$3-Assumptions!$B$4+(X$3/100)^2/2)*Assumptions!$B$9)/((X$3/100)*Assumptions!$B$10)))-$B16*EXP(-Assumptions!$B$3*Assumptions!$B$9)*NORMSDIST((((LN(Assumptions!$B$2/$B16)+(Assumptions!$B$3-Assumptions!$B$4+(X$3/100)^2/2)*Assumptions!$B$9)/((X$3/100)*Assumptions!$B$10))-(X$3/100)*Assumptions!$B$10))))&lt;=0,"",(Assumptions!$B$2*EXP(-Assumptions!$B$4*Assumptions!$B$9)*NORMDIST(((LN(Assumptions!$B$2/$B16)+(Assumptions!$B$3-Assumptions!$B$4+(X$3/100)^2/2)*Assumptions!$B$9)/((X$3/100)*Assumptions!$B$10)),0,1,FALSE)*Assumptions!$B$10*0.01)*((X$3/100)/0.01)/(MAX(0,Assumptions!$B$2*EXP(-Assumptions!$B$4*Assumptions!$B$9)*NORMSDIST(((LN(Assumptions!$B$2/$B16)+(Assumptions!$B$3-Assumptions!$B$4+(X$3/100)^2/2)*Assumptions!$B$9)/((X$3/100)*Assumptions!$B$10)))-$B16*EXP(-Assumptions!$B$3*Assumptions!$B$9)*NORMSDIST((((LN(Assumptions!$B$2/$B16)+(Assumptions!$B$3-Assumptions!$B$4+(X$3/100)^2/2)*Assumptions!$B$9)/((X$3/100)*Assumptions!$B$10))-(X$3/100)*Assumptions!$B$10)))))</f>
        <v/>
      </c>
      <c r="Y16" s="32">
        <f>IF((MAX(0,Assumptions!$B$2*EXP(-Assumptions!$B$4*Assumptions!$B$9)*NORMSDIST(((LN(Assumptions!$B$2/$B16)+(Assumptions!$B$3-Assumptions!$B$4+(Y$3/100)^2/2)*Assumptions!$B$9)/((Y$3/100)*Assumptions!$B$10)))-$B16*EXP(-Assumptions!$B$3*Assumptions!$B$9)*NORMSDIST((((LN(Assumptions!$B$2/$B16)+(Assumptions!$B$3-Assumptions!$B$4+(Y$3/100)^2/2)*Assumptions!$B$9)/((Y$3/100)*Assumptions!$B$10))-(Y$3/100)*Assumptions!$B$10))))&lt;=0,"",(Assumptions!$B$2*EXP(-Assumptions!$B$4*Assumptions!$B$9)*NORMDIST(((LN(Assumptions!$B$2/$B16)+(Assumptions!$B$3-Assumptions!$B$4+(Y$3/100)^2/2)*Assumptions!$B$9)/((Y$3/100)*Assumptions!$B$10)),0,1,FALSE)*Assumptions!$B$10*0.01)*((Y$3/100)/0.01)/(MAX(0,Assumptions!$B$2*EXP(-Assumptions!$B$4*Assumptions!$B$9)*NORMSDIST(((LN(Assumptions!$B$2/$B16)+(Assumptions!$B$3-Assumptions!$B$4+(Y$3/100)^2/2)*Assumptions!$B$9)/((Y$3/100)*Assumptions!$B$10)))-$B16*EXP(-Assumptions!$B$3*Assumptions!$B$9)*NORMSDIST((((LN(Assumptions!$B$2/$B16)+(Assumptions!$B$3-Assumptions!$B$4+(Y$3/100)^2/2)*Assumptions!$B$9)/((Y$3/100)*Assumptions!$B$10))-(Y$3/100)*Assumptions!$B$10)))))</f>
        <v/>
      </c>
      <c r="Z16" s="32">
        <f>IF((MAX(0,Assumptions!$B$2*EXP(-Assumptions!$B$4*Assumptions!$B$9)*NORMSDIST(((LN(Assumptions!$B$2/$B16)+(Assumptions!$B$3-Assumptions!$B$4+(Z$3/100)^2/2)*Assumptions!$B$9)/((Z$3/100)*Assumptions!$B$10)))-$B16*EXP(-Assumptions!$B$3*Assumptions!$B$9)*NORMSDIST((((LN(Assumptions!$B$2/$B16)+(Assumptions!$B$3-Assumptions!$B$4+(Z$3/100)^2/2)*Assumptions!$B$9)/((Z$3/100)*Assumptions!$B$10))-(Z$3/100)*Assumptions!$B$10))))&lt;=0,"",(Assumptions!$B$2*EXP(-Assumptions!$B$4*Assumptions!$B$9)*NORMDIST(((LN(Assumptions!$B$2/$B16)+(Assumptions!$B$3-Assumptions!$B$4+(Z$3/100)^2/2)*Assumptions!$B$9)/((Z$3/100)*Assumptions!$B$10)),0,1,FALSE)*Assumptions!$B$10*0.01)*((Z$3/100)/0.01)/(MAX(0,Assumptions!$B$2*EXP(-Assumptions!$B$4*Assumptions!$B$9)*NORMSDIST(((LN(Assumptions!$B$2/$B16)+(Assumptions!$B$3-Assumptions!$B$4+(Z$3/100)^2/2)*Assumptions!$B$9)/((Z$3/100)*Assumptions!$B$10)))-$B16*EXP(-Assumptions!$B$3*Assumptions!$B$9)*NORMSDIST((((LN(Assumptions!$B$2/$B16)+(Assumptions!$B$3-Assumptions!$B$4+(Z$3/100)^2/2)*Assumptions!$B$9)/((Z$3/100)*Assumptions!$B$10))-(Z$3/100)*Assumptions!$B$10)))))</f>
        <v/>
      </c>
      <c r="AA16" s="32">
        <f>IF((MAX(0,Assumptions!$B$2*EXP(-Assumptions!$B$4*Assumptions!$B$9)*NORMSDIST(((LN(Assumptions!$B$2/$B16)+(Assumptions!$B$3-Assumptions!$B$4+(AA$3/100)^2/2)*Assumptions!$B$9)/((AA$3/100)*Assumptions!$B$10)))-$B16*EXP(-Assumptions!$B$3*Assumptions!$B$9)*NORMSDIST((((LN(Assumptions!$B$2/$B16)+(Assumptions!$B$3-Assumptions!$B$4+(AA$3/100)^2/2)*Assumptions!$B$9)/((AA$3/100)*Assumptions!$B$10))-(AA$3/100)*Assumptions!$B$10))))&lt;=0,"",(Assumptions!$B$2*EXP(-Assumptions!$B$4*Assumptions!$B$9)*NORMDIST(((LN(Assumptions!$B$2/$B16)+(Assumptions!$B$3-Assumptions!$B$4+(AA$3/100)^2/2)*Assumptions!$B$9)/((AA$3/100)*Assumptions!$B$10)),0,1,FALSE)*Assumptions!$B$10*0.01)*((AA$3/100)/0.01)/(MAX(0,Assumptions!$B$2*EXP(-Assumptions!$B$4*Assumptions!$B$9)*NORMSDIST(((LN(Assumptions!$B$2/$B16)+(Assumptions!$B$3-Assumptions!$B$4+(AA$3/100)^2/2)*Assumptions!$B$9)/((AA$3/100)*Assumptions!$B$10)))-$B16*EXP(-Assumptions!$B$3*Assumptions!$B$9)*NORMSDIST((((LN(Assumptions!$B$2/$B16)+(Assumptions!$B$3-Assumptions!$B$4+(AA$3/100)^2/2)*Assumptions!$B$9)/((AA$3/100)*Assumptions!$B$10))-(AA$3/100)*Assumptions!$B$10)))))</f>
        <v/>
      </c>
      <c r="AB16" s="32">
        <f>IF((MAX(0,Assumptions!$B$2*EXP(-Assumptions!$B$4*Assumptions!$B$9)*NORMSDIST(((LN(Assumptions!$B$2/$B16)+(Assumptions!$B$3-Assumptions!$B$4+(AB$3/100)^2/2)*Assumptions!$B$9)/((AB$3/100)*Assumptions!$B$10)))-$B16*EXP(-Assumptions!$B$3*Assumptions!$B$9)*NORMSDIST((((LN(Assumptions!$B$2/$B16)+(Assumptions!$B$3-Assumptions!$B$4+(AB$3/100)^2/2)*Assumptions!$B$9)/((AB$3/100)*Assumptions!$B$10))-(AB$3/100)*Assumptions!$B$10))))&lt;=0,"",(Assumptions!$B$2*EXP(-Assumptions!$B$4*Assumptions!$B$9)*NORMDIST(((LN(Assumptions!$B$2/$B16)+(Assumptions!$B$3-Assumptions!$B$4+(AB$3/100)^2/2)*Assumptions!$B$9)/((AB$3/100)*Assumptions!$B$10)),0,1,FALSE)*Assumptions!$B$10*0.01)*((AB$3/100)/0.01)/(MAX(0,Assumptions!$B$2*EXP(-Assumptions!$B$4*Assumptions!$B$9)*NORMSDIST(((LN(Assumptions!$B$2/$B16)+(Assumptions!$B$3-Assumptions!$B$4+(AB$3/100)^2/2)*Assumptions!$B$9)/((AB$3/100)*Assumptions!$B$10)))-$B16*EXP(-Assumptions!$B$3*Assumptions!$B$9)*NORMSDIST((((LN(Assumptions!$B$2/$B16)+(Assumptions!$B$3-Assumptions!$B$4+(AB$3/100)^2/2)*Assumptions!$B$9)/((AB$3/100)*Assumptions!$B$10))-(AB$3/100)*Assumptions!$B$10)))))</f>
        <v/>
      </c>
      <c r="AC16" s="32">
        <f>IF((MAX(0,Assumptions!$B$2*EXP(-Assumptions!$B$4*Assumptions!$B$9)*NORMSDIST(((LN(Assumptions!$B$2/$B16)+(Assumptions!$B$3-Assumptions!$B$4+(AC$3/100)^2/2)*Assumptions!$B$9)/((AC$3/100)*Assumptions!$B$10)))-$B16*EXP(-Assumptions!$B$3*Assumptions!$B$9)*NORMSDIST((((LN(Assumptions!$B$2/$B16)+(Assumptions!$B$3-Assumptions!$B$4+(AC$3/100)^2/2)*Assumptions!$B$9)/((AC$3/100)*Assumptions!$B$10))-(AC$3/100)*Assumptions!$B$10))))&lt;=0,"",(Assumptions!$B$2*EXP(-Assumptions!$B$4*Assumptions!$B$9)*NORMDIST(((LN(Assumptions!$B$2/$B16)+(Assumptions!$B$3-Assumptions!$B$4+(AC$3/100)^2/2)*Assumptions!$B$9)/((AC$3/100)*Assumptions!$B$10)),0,1,FALSE)*Assumptions!$B$10*0.01)*((AC$3/100)/0.01)/(MAX(0,Assumptions!$B$2*EXP(-Assumptions!$B$4*Assumptions!$B$9)*NORMSDIST(((LN(Assumptions!$B$2/$B16)+(Assumptions!$B$3-Assumptions!$B$4+(AC$3/100)^2/2)*Assumptions!$B$9)/((AC$3/100)*Assumptions!$B$10)))-$B16*EXP(-Assumptions!$B$3*Assumptions!$B$9)*NORMSDIST((((LN(Assumptions!$B$2/$B16)+(Assumptions!$B$3-Assumptions!$B$4+(AC$3/100)^2/2)*Assumptions!$B$9)/((AC$3/100)*Assumptions!$B$10))-(AC$3/100)*Assumptions!$B$10)))))</f>
        <v/>
      </c>
      <c r="AD16" s="32">
        <f>IF((MAX(0,Assumptions!$B$2*EXP(-Assumptions!$B$4*Assumptions!$B$9)*NORMSDIST(((LN(Assumptions!$B$2/$B16)+(Assumptions!$B$3-Assumptions!$B$4+(AD$3/100)^2/2)*Assumptions!$B$9)/((AD$3/100)*Assumptions!$B$10)))-$B16*EXP(-Assumptions!$B$3*Assumptions!$B$9)*NORMSDIST((((LN(Assumptions!$B$2/$B16)+(Assumptions!$B$3-Assumptions!$B$4+(AD$3/100)^2/2)*Assumptions!$B$9)/((AD$3/100)*Assumptions!$B$10))-(AD$3/100)*Assumptions!$B$10))))&lt;=0,"",(Assumptions!$B$2*EXP(-Assumptions!$B$4*Assumptions!$B$9)*NORMDIST(((LN(Assumptions!$B$2/$B16)+(Assumptions!$B$3-Assumptions!$B$4+(AD$3/100)^2/2)*Assumptions!$B$9)/((AD$3/100)*Assumptions!$B$10)),0,1,FALSE)*Assumptions!$B$10*0.01)*((AD$3/100)/0.01)/(MAX(0,Assumptions!$B$2*EXP(-Assumptions!$B$4*Assumptions!$B$9)*NORMSDIST(((LN(Assumptions!$B$2/$B16)+(Assumptions!$B$3-Assumptions!$B$4+(AD$3/100)^2/2)*Assumptions!$B$9)/((AD$3/100)*Assumptions!$B$10)))-$B16*EXP(-Assumptions!$B$3*Assumptions!$B$9)*NORMSDIST((((LN(Assumptions!$B$2/$B16)+(Assumptions!$B$3-Assumptions!$B$4+(AD$3/100)^2/2)*Assumptions!$B$9)/((AD$3/100)*Assumptions!$B$10))-(AD$3/100)*Assumptions!$B$10)))))</f>
        <v/>
      </c>
      <c r="AE16" s="32">
        <f>IF((MAX(0,Assumptions!$B$2*EXP(-Assumptions!$B$4*Assumptions!$B$9)*NORMSDIST(((LN(Assumptions!$B$2/$B16)+(Assumptions!$B$3-Assumptions!$B$4+(AE$3/100)^2/2)*Assumptions!$B$9)/((AE$3/100)*Assumptions!$B$10)))-$B16*EXP(-Assumptions!$B$3*Assumptions!$B$9)*NORMSDIST((((LN(Assumptions!$B$2/$B16)+(Assumptions!$B$3-Assumptions!$B$4+(AE$3/100)^2/2)*Assumptions!$B$9)/((AE$3/100)*Assumptions!$B$10))-(AE$3/100)*Assumptions!$B$10))))&lt;=0,"",(Assumptions!$B$2*EXP(-Assumptions!$B$4*Assumptions!$B$9)*NORMDIST(((LN(Assumptions!$B$2/$B16)+(Assumptions!$B$3-Assumptions!$B$4+(AE$3/100)^2/2)*Assumptions!$B$9)/((AE$3/100)*Assumptions!$B$10)),0,1,FALSE)*Assumptions!$B$10*0.01)*((AE$3/100)/0.01)/(MAX(0,Assumptions!$B$2*EXP(-Assumptions!$B$4*Assumptions!$B$9)*NORMSDIST(((LN(Assumptions!$B$2/$B16)+(Assumptions!$B$3-Assumptions!$B$4+(AE$3/100)^2/2)*Assumptions!$B$9)/((AE$3/100)*Assumptions!$B$10)))-$B16*EXP(-Assumptions!$B$3*Assumptions!$B$9)*NORMSDIST((((LN(Assumptions!$B$2/$B16)+(Assumptions!$B$3-Assumptions!$B$4+(AE$3/100)^2/2)*Assumptions!$B$9)/((AE$3/100)*Assumptions!$B$10))-(AE$3/100)*Assumptions!$B$10)))))</f>
        <v/>
      </c>
      <c r="AF16" s="32">
        <f>IF((MAX(0,Assumptions!$B$2*EXP(-Assumptions!$B$4*Assumptions!$B$9)*NORMSDIST(((LN(Assumptions!$B$2/$B16)+(Assumptions!$B$3-Assumptions!$B$4+(AF$3/100)^2/2)*Assumptions!$B$9)/((AF$3/100)*Assumptions!$B$10)))-$B16*EXP(-Assumptions!$B$3*Assumptions!$B$9)*NORMSDIST((((LN(Assumptions!$B$2/$B16)+(Assumptions!$B$3-Assumptions!$B$4+(AF$3/100)^2/2)*Assumptions!$B$9)/((AF$3/100)*Assumptions!$B$10))-(AF$3/100)*Assumptions!$B$10))))&lt;=0,"",(Assumptions!$B$2*EXP(-Assumptions!$B$4*Assumptions!$B$9)*NORMDIST(((LN(Assumptions!$B$2/$B16)+(Assumptions!$B$3-Assumptions!$B$4+(AF$3/100)^2/2)*Assumptions!$B$9)/((AF$3/100)*Assumptions!$B$10)),0,1,FALSE)*Assumptions!$B$10*0.01)*((AF$3/100)/0.01)/(MAX(0,Assumptions!$B$2*EXP(-Assumptions!$B$4*Assumptions!$B$9)*NORMSDIST(((LN(Assumptions!$B$2/$B16)+(Assumptions!$B$3-Assumptions!$B$4+(AF$3/100)^2/2)*Assumptions!$B$9)/((AF$3/100)*Assumptions!$B$10)))-$B16*EXP(-Assumptions!$B$3*Assumptions!$B$9)*NORMSDIST((((LN(Assumptions!$B$2/$B16)+(Assumptions!$B$3-Assumptions!$B$4+(AF$3/100)^2/2)*Assumptions!$B$9)/((AF$3/100)*Assumptions!$B$10))-(AF$3/100)*Assumptions!$B$10)))))</f>
        <v/>
      </c>
      <c r="AG16" s="32">
        <f>IF((MAX(0,Assumptions!$B$2*EXP(-Assumptions!$B$4*Assumptions!$B$9)*NORMSDIST(((LN(Assumptions!$B$2/$B16)+(Assumptions!$B$3-Assumptions!$B$4+(AG$3/100)^2/2)*Assumptions!$B$9)/((AG$3/100)*Assumptions!$B$10)))-$B16*EXP(-Assumptions!$B$3*Assumptions!$B$9)*NORMSDIST((((LN(Assumptions!$B$2/$B16)+(Assumptions!$B$3-Assumptions!$B$4+(AG$3/100)^2/2)*Assumptions!$B$9)/((AG$3/100)*Assumptions!$B$10))-(AG$3/100)*Assumptions!$B$10))))&lt;=0,"",(Assumptions!$B$2*EXP(-Assumptions!$B$4*Assumptions!$B$9)*NORMDIST(((LN(Assumptions!$B$2/$B16)+(Assumptions!$B$3-Assumptions!$B$4+(AG$3/100)^2/2)*Assumptions!$B$9)/((AG$3/100)*Assumptions!$B$10)),0,1,FALSE)*Assumptions!$B$10*0.01)*((AG$3/100)/0.01)/(MAX(0,Assumptions!$B$2*EXP(-Assumptions!$B$4*Assumptions!$B$9)*NORMSDIST(((LN(Assumptions!$B$2/$B16)+(Assumptions!$B$3-Assumptions!$B$4+(AG$3/100)^2/2)*Assumptions!$B$9)/((AG$3/100)*Assumptions!$B$10)))-$B16*EXP(-Assumptions!$B$3*Assumptions!$B$9)*NORMSDIST((((LN(Assumptions!$B$2/$B16)+(Assumptions!$B$3-Assumptions!$B$4+(AG$3/100)^2/2)*Assumptions!$B$9)/((AG$3/100)*Assumptions!$B$10))-(AG$3/100)*Assumptions!$B$10)))))</f>
        <v/>
      </c>
      <c r="AH16" s="32">
        <f>IF((MAX(0,Assumptions!$B$2*EXP(-Assumptions!$B$4*Assumptions!$B$9)*NORMSDIST(((LN(Assumptions!$B$2/$B16)+(Assumptions!$B$3-Assumptions!$B$4+(AH$3/100)^2/2)*Assumptions!$B$9)/((AH$3/100)*Assumptions!$B$10)))-$B16*EXP(-Assumptions!$B$3*Assumptions!$B$9)*NORMSDIST((((LN(Assumptions!$B$2/$B16)+(Assumptions!$B$3-Assumptions!$B$4+(AH$3/100)^2/2)*Assumptions!$B$9)/((AH$3/100)*Assumptions!$B$10))-(AH$3/100)*Assumptions!$B$10))))&lt;=0,"",(Assumptions!$B$2*EXP(-Assumptions!$B$4*Assumptions!$B$9)*NORMDIST(((LN(Assumptions!$B$2/$B16)+(Assumptions!$B$3-Assumptions!$B$4+(AH$3/100)^2/2)*Assumptions!$B$9)/((AH$3/100)*Assumptions!$B$10)),0,1,FALSE)*Assumptions!$B$10*0.01)*((AH$3/100)/0.01)/(MAX(0,Assumptions!$B$2*EXP(-Assumptions!$B$4*Assumptions!$B$9)*NORMSDIST(((LN(Assumptions!$B$2/$B16)+(Assumptions!$B$3-Assumptions!$B$4+(AH$3/100)^2/2)*Assumptions!$B$9)/((AH$3/100)*Assumptions!$B$10)))-$B16*EXP(-Assumptions!$B$3*Assumptions!$B$9)*NORMSDIST((((LN(Assumptions!$B$2/$B16)+(Assumptions!$B$3-Assumptions!$B$4+(AH$3/100)^2/2)*Assumptions!$B$9)/((AH$3/100)*Assumptions!$B$10))-(AH$3/100)*Assumptions!$B$10)))))</f>
        <v/>
      </c>
      <c r="AI16" s="32">
        <f>IF((MAX(0,Assumptions!$B$2*EXP(-Assumptions!$B$4*Assumptions!$B$9)*NORMSDIST(((LN(Assumptions!$B$2/$B16)+(Assumptions!$B$3-Assumptions!$B$4+(AI$3/100)^2/2)*Assumptions!$B$9)/((AI$3/100)*Assumptions!$B$10)))-$B16*EXP(-Assumptions!$B$3*Assumptions!$B$9)*NORMSDIST((((LN(Assumptions!$B$2/$B16)+(Assumptions!$B$3-Assumptions!$B$4+(AI$3/100)^2/2)*Assumptions!$B$9)/((AI$3/100)*Assumptions!$B$10))-(AI$3/100)*Assumptions!$B$10))))&lt;=0,"",(Assumptions!$B$2*EXP(-Assumptions!$B$4*Assumptions!$B$9)*NORMDIST(((LN(Assumptions!$B$2/$B16)+(Assumptions!$B$3-Assumptions!$B$4+(AI$3/100)^2/2)*Assumptions!$B$9)/((AI$3/100)*Assumptions!$B$10)),0,1,FALSE)*Assumptions!$B$10*0.01)*((AI$3/100)/0.01)/(MAX(0,Assumptions!$B$2*EXP(-Assumptions!$B$4*Assumptions!$B$9)*NORMSDIST(((LN(Assumptions!$B$2/$B16)+(Assumptions!$B$3-Assumptions!$B$4+(AI$3/100)^2/2)*Assumptions!$B$9)/((AI$3/100)*Assumptions!$B$10)))-$B16*EXP(-Assumptions!$B$3*Assumptions!$B$9)*NORMSDIST((((LN(Assumptions!$B$2/$B16)+(Assumptions!$B$3-Assumptions!$B$4+(AI$3/100)^2/2)*Assumptions!$B$9)/((AI$3/100)*Assumptions!$B$10))-(AI$3/100)*Assumptions!$B$10)))))</f>
        <v/>
      </c>
      <c r="AJ16" s="32">
        <f>IF((MAX(0,Assumptions!$B$2*EXP(-Assumptions!$B$4*Assumptions!$B$9)*NORMSDIST(((LN(Assumptions!$B$2/$B16)+(Assumptions!$B$3-Assumptions!$B$4+(AJ$3/100)^2/2)*Assumptions!$B$9)/((AJ$3/100)*Assumptions!$B$10)))-$B16*EXP(-Assumptions!$B$3*Assumptions!$B$9)*NORMSDIST((((LN(Assumptions!$B$2/$B16)+(Assumptions!$B$3-Assumptions!$B$4+(AJ$3/100)^2/2)*Assumptions!$B$9)/((AJ$3/100)*Assumptions!$B$10))-(AJ$3/100)*Assumptions!$B$10))))&lt;=0,"",(Assumptions!$B$2*EXP(-Assumptions!$B$4*Assumptions!$B$9)*NORMDIST(((LN(Assumptions!$B$2/$B16)+(Assumptions!$B$3-Assumptions!$B$4+(AJ$3/100)^2/2)*Assumptions!$B$9)/((AJ$3/100)*Assumptions!$B$10)),0,1,FALSE)*Assumptions!$B$10*0.01)*((AJ$3/100)/0.01)/(MAX(0,Assumptions!$B$2*EXP(-Assumptions!$B$4*Assumptions!$B$9)*NORMSDIST(((LN(Assumptions!$B$2/$B16)+(Assumptions!$B$3-Assumptions!$B$4+(AJ$3/100)^2/2)*Assumptions!$B$9)/((AJ$3/100)*Assumptions!$B$10)))-$B16*EXP(-Assumptions!$B$3*Assumptions!$B$9)*NORMSDIST((((LN(Assumptions!$B$2/$B16)+(Assumptions!$B$3-Assumptions!$B$4+(AJ$3/100)^2/2)*Assumptions!$B$9)/((AJ$3/100)*Assumptions!$B$10))-(AJ$3/100)*Assumptions!$B$10)))))</f>
        <v/>
      </c>
      <c r="AK16" s="32">
        <f>IF((MAX(0,Assumptions!$B$2*EXP(-Assumptions!$B$4*Assumptions!$B$9)*NORMSDIST(((LN(Assumptions!$B$2/$B16)+(Assumptions!$B$3-Assumptions!$B$4+(AK$3/100)^2/2)*Assumptions!$B$9)/((AK$3/100)*Assumptions!$B$10)))-$B16*EXP(-Assumptions!$B$3*Assumptions!$B$9)*NORMSDIST((((LN(Assumptions!$B$2/$B16)+(Assumptions!$B$3-Assumptions!$B$4+(AK$3/100)^2/2)*Assumptions!$B$9)/((AK$3/100)*Assumptions!$B$10))-(AK$3/100)*Assumptions!$B$10))))&lt;=0,"",(Assumptions!$B$2*EXP(-Assumptions!$B$4*Assumptions!$B$9)*NORMDIST(((LN(Assumptions!$B$2/$B16)+(Assumptions!$B$3-Assumptions!$B$4+(AK$3/100)^2/2)*Assumptions!$B$9)/((AK$3/100)*Assumptions!$B$10)),0,1,FALSE)*Assumptions!$B$10*0.01)*((AK$3/100)/0.01)/(MAX(0,Assumptions!$B$2*EXP(-Assumptions!$B$4*Assumptions!$B$9)*NORMSDIST(((LN(Assumptions!$B$2/$B16)+(Assumptions!$B$3-Assumptions!$B$4+(AK$3/100)^2/2)*Assumptions!$B$9)/((AK$3/100)*Assumptions!$B$10)))-$B16*EXP(-Assumptions!$B$3*Assumptions!$B$9)*NORMSDIST((((LN(Assumptions!$B$2/$B16)+(Assumptions!$B$3-Assumptions!$B$4+(AK$3/100)^2/2)*Assumptions!$B$9)/((AK$3/100)*Assumptions!$B$10))-(AK$3/100)*Assumptions!$B$10)))))</f>
        <v/>
      </c>
      <c r="AL16" s="32">
        <f>IF((MAX(0,Assumptions!$B$2*EXP(-Assumptions!$B$4*Assumptions!$B$9)*NORMSDIST(((LN(Assumptions!$B$2/$B16)+(Assumptions!$B$3-Assumptions!$B$4+(AL$3/100)^2/2)*Assumptions!$B$9)/((AL$3/100)*Assumptions!$B$10)))-$B16*EXP(-Assumptions!$B$3*Assumptions!$B$9)*NORMSDIST((((LN(Assumptions!$B$2/$B16)+(Assumptions!$B$3-Assumptions!$B$4+(AL$3/100)^2/2)*Assumptions!$B$9)/((AL$3/100)*Assumptions!$B$10))-(AL$3/100)*Assumptions!$B$10))))&lt;=0,"",(Assumptions!$B$2*EXP(-Assumptions!$B$4*Assumptions!$B$9)*NORMDIST(((LN(Assumptions!$B$2/$B16)+(Assumptions!$B$3-Assumptions!$B$4+(AL$3/100)^2/2)*Assumptions!$B$9)/((AL$3/100)*Assumptions!$B$10)),0,1,FALSE)*Assumptions!$B$10*0.01)*((AL$3/100)/0.01)/(MAX(0,Assumptions!$B$2*EXP(-Assumptions!$B$4*Assumptions!$B$9)*NORMSDIST(((LN(Assumptions!$B$2/$B16)+(Assumptions!$B$3-Assumptions!$B$4+(AL$3/100)^2/2)*Assumptions!$B$9)/((AL$3/100)*Assumptions!$B$10)))-$B16*EXP(-Assumptions!$B$3*Assumptions!$B$9)*NORMSDIST((((LN(Assumptions!$B$2/$B16)+(Assumptions!$B$3-Assumptions!$B$4+(AL$3/100)^2/2)*Assumptions!$B$9)/((AL$3/100)*Assumptions!$B$10))-(AL$3/100)*Assumptions!$B$10)))))</f>
        <v/>
      </c>
      <c r="AM16" s="32">
        <f>IF((MAX(0,Assumptions!$B$2*EXP(-Assumptions!$B$4*Assumptions!$B$9)*NORMSDIST(((LN(Assumptions!$B$2/$B16)+(Assumptions!$B$3-Assumptions!$B$4+(AM$3/100)^2/2)*Assumptions!$B$9)/((AM$3/100)*Assumptions!$B$10)))-$B16*EXP(-Assumptions!$B$3*Assumptions!$B$9)*NORMSDIST((((LN(Assumptions!$B$2/$B16)+(Assumptions!$B$3-Assumptions!$B$4+(AM$3/100)^2/2)*Assumptions!$B$9)/((AM$3/100)*Assumptions!$B$10))-(AM$3/100)*Assumptions!$B$10))))&lt;=0,"",(Assumptions!$B$2*EXP(-Assumptions!$B$4*Assumptions!$B$9)*NORMDIST(((LN(Assumptions!$B$2/$B16)+(Assumptions!$B$3-Assumptions!$B$4+(AM$3/100)^2/2)*Assumptions!$B$9)/((AM$3/100)*Assumptions!$B$10)),0,1,FALSE)*Assumptions!$B$10*0.01)*((AM$3/100)/0.01)/(MAX(0,Assumptions!$B$2*EXP(-Assumptions!$B$4*Assumptions!$B$9)*NORMSDIST(((LN(Assumptions!$B$2/$B16)+(Assumptions!$B$3-Assumptions!$B$4+(AM$3/100)^2/2)*Assumptions!$B$9)/((AM$3/100)*Assumptions!$B$10)))-$B16*EXP(-Assumptions!$B$3*Assumptions!$B$9)*NORMSDIST((((LN(Assumptions!$B$2/$B16)+(Assumptions!$B$3-Assumptions!$B$4+(AM$3/100)^2/2)*Assumptions!$B$9)/((AM$3/100)*Assumptions!$B$10))-(AM$3/100)*Assumptions!$B$10)))))</f>
        <v/>
      </c>
      <c r="AN16" s="32">
        <f>IF((MAX(0,Assumptions!$B$2*EXP(-Assumptions!$B$4*Assumptions!$B$9)*NORMSDIST(((LN(Assumptions!$B$2/$B16)+(Assumptions!$B$3-Assumptions!$B$4+(AN$3/100)^2/2)*Assumptions!$B$9)/((AN$3/100)*Assumptions!$B$10)))-$B16*EXP(-Assumptions!$B$3*Assumptions!$B$9)*NORMSDIST((((LN(Assumptions!$B$2/$B16)+(Assumptions!$B$3-Assumptions!$B$4+(AN$3/100)^2/2)*Assumptions!$B$9)/((AN$3/100)*Assumptions!$B$10))-(AN$3/100)*Assumptions!$B$10))))&lt;=0,"",(Assumptions!$B$2*EXP(-Assumptions!$B$4*Assumptions!$B$9)*NORMDIST(((LN(Assumptions!$B$2/$B16)+(Assumptions!$B$3-Assumptions!$B$4+(AN$3/100)^2/2)*Assumptions!$B$9)/((AN$3/100)*Assumptions!$B$10)),0,1,FALSE)*Assumptions!$B$10*0.01)*((AN$3/100)/0.01)/(MAX(0,Assumptions!$B$2*EXP(-Assumptions!$B$4*Assumptions!$B$9)*NORMSDIST(((LN(Assumptions!$B$2/$B16)+(Assumptions!$B$3-Assumptions!$B$4+(AN$3/100)^2/2)*Assumptions!$B$9)/((AN$3/100)*Assumptions!$B$10)))-$B16*EXP(-Assumptions!$B$3*Assumptions!$B$9)*NORMSDIST((((LN(Assumptions!$B$2/$B16)+(Assumptions!$B$3-Assumptions!$B$4+(AN$3/100)^2/2)*Assumptions!$B$9)/((AN$3/100)*Assumptions!$B$10))-(AN$3/100)*Assumptions!$B$10)))))</f>
        <v/>
      </c>
      <c r="AO16" s="32">
        <f>IF((MAX(0,Assumptions!$B$2*EXP(-Assumptions!$B$4*Assumptions!$B$9)*NORMSDIST(((LN(Assumptions!$B$2/$B16)+(Assumptions!$B$3-Assumptions!$B$4+(AO$3/100)^2/2)*Assumptions!$B$9)/((AO$3/100)*Assumptions!$B$10)))-$B16*EXP(-Assumptions!$B$3*Assumptions!$B$9)*NORMSDIST((((LN(Assumptions!$B$2/$B16)+(Assumptions!$B$3-Assumptions!$B$4+(AO$3/100)^2/2)*Assumptions!$B$9)/((AO$3/100)*Assumptions!$B$10))-(AO$3/100)*Assumptions!$B$10))))&lt;=0,"",(Assumptions!$B$2*EXP(-Assumptions!$B$4*Assumptions!$B$9)*NORMDIST(((LN(Assumptions!$B$2/$B16)+(Assumptions!$B$3-Assumptions!$B$4+(AO$3/100)^2/2)*Assumptions!$B$9)/((AO$3/100)*Assumptions!$B$10)),0,1,FALSE)*Assumptions!$B$10*0.01)*((AO$3/100)/0.01)/(MAX(0,Assumptions!$B$2*EXP(-Assumptions!$B$4*Assumptions!$B$9)*NORMSDIST(((LN(Assumptions!$B$2/$B16)+(Assumptions!$B$3-Assumptions!$B$4+(AO$3/100)^2/2)*Assumptions!$B$9)/((AO$3/100)*Assumptions!$B$10)))-$B16*EXP(-Assumptions!$B$3*Assumptions!$B$9)*NORMSDIST((((LN(Assumptions!$B$2/$B16)+(Assumptions!$B$3-Assumptions!$B$4+(AO$3/100)^2/2)*Assumptions!$B$9)/((AO$3/100)*Assumptions!$B$10))-(AO$3/100)*Assumptions!$B$10)))))</f>
        <v/>
      </c>
      <c r="AP16" s="32">
        <f>IF((MAX(0,Assumptions!$B$2*EXP(-Assumptions!$B$4*Assumptions!$B$9)*NORMSDIST(((LN(Assumptions!$B$2/$B16)+(Assumptions!$B$3-Assumptions!$B$4+(AP$3/100)^2/2)*Assumptions!$B$9)/((AP$3/100)*Assumptions!$B$10)))-$B16*EXP(-Assumptions!$B$3*Assumptions!$B$9)*NORMSDIST((((LN(Assumptions!$B$2/$B16)+(Assumptions!$B$3-Assumptions!$B$4+(AP$3/100)^2/2)*Assumptions!$B$9)/((AP$3/100)*Assumptions!$B$10))-(AP$3/100)*Assumptions!$B$10))))&lt;=0,"",(Assumptions!$B$2*EXP(-Assumptions!$B$4*Assumptions!$B$9)*NORMDIST(((LN(Assumptions!$B$2/$B16)+(Assumptions!$B$3-Assumptions!$B$4+(AP$3/100)^2/2)*Assumptions!$B$9)/((AP$3/100)*Assumptions!$B$10)),0,1,FALSE)*Assumptions!$B$10*0.01)*((AP$3/100)/0.01)/(MAX(0,Assumptions!$B$2*EXP(-Assumptions!$B$4*Assumptions!$B$9)*NORMSDIST(((LN(Assumptions!$B$2/$B16)+(Assumptions!$B$3-Assumptions!$B$4+(AP$3/100)^2/2)*Assumptions!$B$9)/((AP$3/100)*Assumptions!$B$10)))-$B16*EXP(-Assumptions!$B$3*Assumptions!$B$9)*NORMSDIST((((LN(Assumptions!$B$2/$B16)+(Assumptions!$B$3-Assumptions!$B$4+(AP$3/100)^2/2)*Assumptions!$B$9)/((AP$3/100)*Assumptions!$B$10))-(AP$3/100)*Assumptions!$B$10)))))</f>
        <v/>
      </c>
      <c r="AQ16" s="32">
        <f>IF((MAX(0,Assumptions!$B$2*EXP(-Assumptions!$B$4*Assumptions!$B$9)*NORMSDIST(((LN(Assumptions!$B$2/$B16)+(Assumptions!$B$3-Assumptions!$B$4+(AQ$3/100)^2/2)*Assumptions!$B$9)/((AQ$3/100)*Assumptions!$B$10)))-$B16*EXP(-Assumptions!$B$3*Assumptions!$B$9)*NORMSDIST((((LN(Assumptions!$B$2/$B16)+(Assumptions!$B$3-Assumptions!$B$4+(AQ$3/100)^2/2)*Assumptions!$B$9)/((AQ$3/100)*Assumptions!$B$10))-(AQ$3/100)*Assumptions!$B$10))))&lt;=0,"",(Assumptions!$B$2*EXP(-Assumptions!$B$4*Assumptions!$B$9)*NORMDIST(((LN(Assumptions!$B$2/$B16)+(Assumptions!$B$3-Assumptions!$B$4+(AQ$3/100)^2/2)*Assumptions!$B$9)/((AQ$3/100)*Assumptions!$B$10)),0,1,FALSE)*Assumptions!$B$10*0.01)*((AQ$3/100)/0.01)/(MAX(0,Assumptions!$B$2*EXP(-Assumptions!$B$4*Assumptions!$B$9)*NORMSDIST(((LN(Assumptions!$B$2/$B16)+(Assumptions!$B$3-Assumptions!$B$4+(AQ$3/100)^2/2)*Assumptions!$B$9)/((AQ$3/100)*Assumptions!$B$10)))-$B16*EXP(-Assumptions!$B$3*Assumptions!$B$9)*NORMSDIST((((LN(Assumptions!$B$2/$B16)+(Assumptions!$B$3-Assumptions!$B$4+(AQ$3/100)^2/2)*Assumptions!$B$9)/((AQ$3/100)*Assumptions!$B$10))-(AQ$3/100)*Assumptions!$B$10)))))</f>
        <v/>
      </c>
      <c r="AR16" s="32">
        <f>IF((MAX(0,Assumptions!$B$2*EXP(-Assumptions!$B$4*Assumptions!$B$9)*NORMSDIST(((LN(Assumptions!$B$2/$B16)+(Assumptions!$B$3-Assumptions!$B$4+(AR$3/100)^2/2)*Assumptions!$B$9)/((AR$3/100)*Assumptions!$B$10)))-$B16*EXP(-Assumptions!$B$3*Assumptions!$B$9)*NORMSDIST((((LN(Assumptions!$B$2/$B16)+(Assumptions!$B$3-Assumptions!$B$4+(AR$3/100)^2/2)*Assumptions!$B$9)/((AR$3/100)*Assumptions!$B$10))-(AR$3/100)*Assumptions!$B$10))))&lt;=0,"",(Assumptions!$B$2*EXP(-Assumptions!$B$4*Assumptions!$B$9)*NORMDIST(((LN(Assumptions!$B$2/$B16)+(Assumptions!$B$3-Assumptions!$B$4+(AR$3/100)^2/2)*Assumptions!$B$9)/((AR$3/100)*Assumptions!$B$10)),0,1,FALSE)*Assumptions!$B$10*0.01)*((AR$3/100)/0.01)/(MAX(0,Assumptions!$B$2*EXP(-Assumptions!$B$4*Assumptions!$B$9)*NORMSDIST(((LN(Assumptions!$B$2/$B16)+(Assumptions!$B$3-Assumptions!$B$4+(AR$3/100)^2/2)*Assumptions!$B$9)/((AR$3/100)*Assumptions!$B$10)))-$B16*EXP(-Assumptions!$B$3*Assumptions!$B$9)*NORMSDIST((((LN(Assumptions!$B$2/$B16)+(Assumptions!$B$3-Assumptions!$B$4+(AR$3/100)^2/2)*Assumptions!$B$9)/((AR$3/100)*Assumptions!$B$10))-(AR$3/100)*Assumptions!$B$10)))))</f>
        <v/>
      </c>
      <c r="AS16" s="32">
        <f>IF((MAX(0,Assumptions!$B$2*EXP(-Assumptions!$B$4*Assumptions!$B$9)*NORMSDIST(((LN(Assumptions!$B$2/$B16)+(Assumptions!$B$3-Assumptions!$B$4+(AS$3/100)^2/2)*Assumptions!$B$9)/((AS$3/100)*Assumptions!$B$10)))-$B16*EXP(-Assumptions!$B$3*Assumptions!$B$9)*NORMSDIST((((LN(Assumptions!$B$2/$B16)+(Assumptions!$B$3-Assumptions!$B$4+(AS$3/100)^2/2)*Assumptions!$B$9)/((AS$3/100)*Assumptions!$B$10))-(AS$3/100)*Assumptions!$B$10))))&lt;=0,"",(Assumptions!$B$2*EXP(-Assumptions!$B$4*Assumptions!$B$9)*NORMDIST(((LN(Assumptions!$B$2/$B16)+(Assumptions!$B$3-Assumptions!$B$4+(AS$3/100)^2/2)*Assumptions!$B$9)/((AS$3/100)*Assumptions!$B$10)),0,1,FALSE)*Assumptions!$B$10*0.01)*((AS$3/100)/0.01)/(MAX(0,Assumptions!$B$2*EXP(-Assumptions!$B$4*Assumptions!$B$9)*NORMSDIST(((LN(Assumptions!$B$2/$B16)+(Assumptions!$B$3-Assumptions!$B$4+(AS$3/100)^2/2)*Assumptions!$B$9)/((AS$3/100)*Assumptions!$B$10)))-$B16*EXP(-Assumptions!$B$3*Assumptions!$B$9)*NORMSDIST((((LN(Assumptions!$B$2/$B16)+(Assumptions!$B$3-Assumptions!$B$4+(AS$3/100)^2/2)*Assumptions!$B$9)/((AS$3/100)*Assumptions!$B$10))-(AS$3/100)*Assumptions!$B$10)))))</f>
        <v/>
      </c>
      <c r="AT16" s="32">
        <f>IF((MAX(0,Assumptions!$B$2*EXP(-Assumptions!$B$4*Assumptions!$B$9)*NORMSDIST(((LN(Assumptions!$B$2/$B16)+(Assumptions!$B$3-Assumptions!$B$4+(AT$3/100)^2/2)*Assumptions!$B$9)/((AT$3/100)*Assumptions!$B$10)))-$B16*EXP(-Assumptions!$B$3*Assumptions!$B$9)*NORMSDIST((((LN(Assumptions!$B$2/$B16)+(Assumptions!$B$3-Assumptions!$B$4+(AT$3/100)^2/2)*Assumptions!$B$9)/((AT$3/100)*Assumptions!$B$10))-(AT$3/100)*Assumptions!$B$10))))&lt;=0,"",(Assumptions!$B$2*EXP(-Assumptions!$B$4*Assumptions!$B$9)*NORMDIST(((LN(Assumptions!$B$2/$B16)+(Assumptions!$B$3-Assumptions!$B$4+(AT$3/100)^2/2)*Assumptions!$B$9)/((AT$3/100)*Assumptions!$B$10)),0,1,FALSE)*Assumptions!$B$10*0.01)*((AT$3/100)/0.01)/(MAX(0,Assumptions!$B$2*EXP(-Assumptions!$B$4*Assumptions!$B$9)*NORMSDIST(((LN(Assumptions!$B$2/$B16)+(Assumptions!$B$3-Assumptions!$B$4+(AT$3/100)^2/2)*Assumptions!$B$9)/((AT$3/100)*Assumptions!$B$10)))-$B16*EXP(-Assumptions!$B$3*Assumptions!$B$9)*NORMSDIST((((LN(Assumptions!$B$2/$B16)+(Assumptions!$B$3-Assumptions!$B$4+(AT$3/100)^2/2)*Assumptions!$B$9)/((AT$3/100)*Assumptions!$B$10))-(AT$3/100)*Assumptions!$B$10)))))</f>
        <v/>
      </c>
      <c r="AU16" s="32">
        <f>IF((MAX(0,Assumptions!$B$2*EXP(-Assumptions!$B$4*Assumptions!$B$9)*NORMSDIST(((LN(Assumptions!$B$2/$B16)+(Assumptions!$B$3-Assumptions!$B$4+(AU$3/100)^2/2)*Assumptions!$B$9)/((AU$3/100)*Assumptions!$B$10)))-$B16*EXP(-Assumptions!$B$3*Assumptions!$B$9)*NORMSDIST((((LN(Assumptions!$B$2/$B16)+(Assumptions!$B$3-Assumptions!$B$4+(AU$3/100)^2/2)*Assumptions!$B$9)/((AU$3/100)*Assumptions!$B$10))-(AU$3/100)*Assumptions!$B$10))))&lt;=0,"",(Assumptions!$B$2*EXP(-Assumptions!$B$4*Assumptions!$B$9)*NORMDIST(((LN(Assumptions!$B$2/$B16)+(Assumptions!$B$3-Assumptions!$B$4+(AU$3/100)^2/2)*Assumptions!$B$9)/((AU$3/100)*Assumptions!$B$10)),0,1,FALSE)*Assumptions!$B$10*0.01)*((AU$3/100)/0.01)/(MAX(0,Assumptions!$B$2*EXP(-Assumptions!$B$4*Assumptions!$B$9)*NORMSDIST(((LN(Assumptions!$B$2/$B16)+(Assumptions!$B$3-Assumptions!$B$4+(AU$3/100)^2/2)*Assumptions!$B$9)/((AU$3/100)*Assumptions!$B$10)))-$B16*EXP(-Assumptions!$B$3*Assumptions!$B$9)*NORMSDIST((((LN(Assumptions!$B$2/$B16)+(Assumptions!$B$3-Assumptions!$B$4+(AU$3/100)^2/2)*Assumptions!$B$9)/((AU$3/100)*Assumptions!$B$10))-(AU$3/100)*Assumptions!$B$10)))))</f>
        <v/>
      </c>
      <c r="AV16" s="32">
        <f>IF((MAX(0,Assumptions!$B$2*EXP(-Assumptions!$B$4*Assumptions!$B$9)*NORMSDIST(((LN(Assumptions!$B$2/$B16)+(Assumptions!$B$3-Assumptions!$B$4+(AV$3/100)^2/2)*Assumptions!$B$9)/((AV$3/100)*Assumptions!$B$10)))-$B16*EXP(-Assumptions!$B$3*Assumptions!$B$9)*NORMSDIST((((LN(Assumptions!$B$2/$B16)+(Assumptions!$B$3-Assumptions!$B$4+(AV$3/100)^2/2)*Assumptions!$B$9)/((AV$3/100)*Assumptions!$B$10))-(AV$3/100)*Assumptions!$B$10))))&lt;=0,"",(Assumptions!$B$2*EXP(-Assumptions!$B$4*Assumptions!$B$9)*NORMDIST(((LN(Assumptions!$B$2/$B16)+(Assumptions!$B$3-Assumptions!$B$4+(AV$3/100)^2/2)*Assumptions!$B$9)/((AV$3/100)*Assumptions!$B$10)),0,1,FALSE)*Assumptions!$B$10*0.01)*((AV$3/100)/0.01)/(MAX(0,Assumptions!$B$2*EXP(-Assumptions!$B$4*Assumptions!$B$9)*NORMSDIST(((LN(Assumptions!$B$2/$B16)+(Assumptions!$B$3-Assumptions!$B$4+(AV$3/100)^2/2)*Assumptions!$B$9)/((AV$3/100)*Assumptions!$B$10)))-$B16*EXP(-Assumptions!$B$3*Assumptions!$B$9)*NORMSDIST((((LN(Assumptions!$B$2/$B16)+(Assumptions!$B$3-Assumptions!$B$4+(AV$3/100)^2/2)*Assumptions!$B$9)/((AV$3/100)*Assumptions!$B$10))-(AV$3/100)*Assumptions!$B$10)))))</f>
        <v/>
      </c>
    </row>
    <row r="17">
      <c r="A17" s="27" t="inlineStr">
        <is>
          <t>+1.25%</t>
        </is>
      </c>
      <c r="B17" s="47">
        <f>'BS Engine'!$B$15</f>
        <v/>
      </c>
      <c r="C17" s="28">
        <f>'BS Engine'!$C$15</f>
        <v/>
      </c>
      <c r="D17" s="54">
        <f>IF((MAX(0,Assumptions!$B$2*EXP(-Assumptions!$B$4*Assumptions!$B$9)*NORMSDIST(((LN(Assumptions!$B$2/$B17)+(Assumptions!$B$3-Assumptions!$B$4+(D$3/100)^2/2)*Assumptions!$B$9)/((D$3/100)*Assumptions!$B$10)))-$B17*EXP(-Assumptions!$B$3*Assumptions!$B$9)*NORMSDIST((((LN(Assumptions!$B$2/$B17)+(Assumptions!$B$3-Assumptions!$B$4+(D$3/100)^2/2)*Assumptions!$B$9)/((D$3/100)*Assumptions!$B$10))-(D$3/100)*Assumptions!$B$10))))&lt;=0,"",(Assumptions!$B$2*EXP(-Assumptions!$B$4*Assumptions!$B$9)*NORMDIST(((LN(Assumptions!$B$2/$B17)+(Assumptions!$B$3-Assumptions!$B$4+(D$3/100)^2/2)*Assumptions!$B$9)/((D$3/100)*Assumptions!$B$10)),0,1,FALSE)*Assumptions!$B$10*0.01)*((D$3/100)/0.01)/(MAX(0,Assumptions!$B$2*EXP(-Assumptions!$B$4*Assumptions!$B$9)*NORMSDIST(((LN(Assumptions!$B$2/$B17)+(Assumptions!$B$3-Assumptions!$B$4+(D$3/100)^2/2)*Assumptions!$B$9)/((D$3/100)*Assumptions!$B$10)))-$B17*EXP(-Assumptions!$B$3*Assumptions!$B$9)*NORMSDIST((((LN(Assumptions!$B$2/$B17)+(Assumptions!$B$3-Assumptions!$B$4+(D$3/100)^2/2)*Assumptions!$B$9)/((D$3/100)*Assumptions!$B$10))-(D$3/100)*Assumptions!$B$10)))))</f>
        <v/>
      </c>
      <c r="E17" s="32">
        <f>IF((MAX(0,Assumptions!$B$2*EXP(-Assumptions!$B$4*Assumptions!$B$9)*NORMSDIST(((LN(Assumptions!$B$2/$B17)+(Assumptions!$B$3-Assumptions!$B$4+(E$3/100)^2/2)*Assumptions!$B$9)/((E$3/100)*Assumptions!$B$10)))-$B17*EXP(-Assumptions!$B$3*Assumptions!$B$9)*NORMSDIST((((LN(Assumptions!$B$2/$B17)+(Assumptions!$B$3-Assumptions!$B$4+(E$3/100)^2/2)*Assumptions!$B$9)/((E$3/100)*Assumptions!$B$10))-(E$3/100)*Assumptions!$B$10))))&lt;=0,"",(Assumptions!$B$2*EXP(-Assumptions!$B$4*Assumptions!$B$9)*NORMDIST(((LN(Assumptions!$B$2/$B17)+(Assumptions!$B$3-Assumptions!$B$4+(E$3/100)^2/2)*Assumptions!$B$9)/((E$3/100)*Assumptions!$B$10)),0,1,FALSE)*Assumptions!$B$10*0.01)*((E$3/100)/0.01)/(MAX(0,Assumptions!$B$2*EXP(-Assumptions!$B$4*Assumptions!$B$9)*NORMSDIST(((LN(Assumptions!$B$2/$B17)+(Assumptions!$B$3-Assumptions!$B$4+(E$3/100)^2/2)*Assumptions!$B$9)/((E$3/100)*Assumptions!$B$10)))-$B17*EXP(-Assumptions!$B$3*Assumptions!$B$9)*NORMSDIST((((LN(Assumptions!$B$2/$B17)+(Assumptions!$B$3-Assumptions!$B$4+(E$3/100)^2/2)*Assumptions!$B$9)/((E$3/100)*Assumptions!$B$10))-(E$3/100)*Assumptions!$B$10)))))</f>
        <v/>
      </c>
      <c r="F17" s="32">
        <f>IF((MAX(0,Assumptions!$B$2*EXP(-Assumptions!$B$4*Assumptions!$B$9)*NORMSDIST(((LN(Assumptions!$B$2/$B17)+(Assumptions!$B$3-Assumptions!$B$4+(F$3/100)^2/2)*Assumptions!$B$9)/((F$3/100)*Assumptions!$B$10)))-$B17*EXP(-Assumptions!$B$3*Assumptions!$B$9)*NORMSDIST((((LN(Assumptions!$B$2/$B17)+(Assumptions!$B$3-Assumptions!$B$4+(F$3/100)^2/2)*Assumptions!$B$9)/((F$3/100)*Assumptions!$B$10))-(F$3/100)*Assumptions!$B$10))))&lt;=0,"",(Assumptions!$B$2*EXP(-Assumptions!$B$4*Assumptions!$B$9)*NORMDIST(((LN(Assumptions!$B$2/$B17)+(Assumptions!$B$3-Assumptions!$B$4+(F$3/100)^2/2)*Assumptions!$B$9)/((F$3/100)*Assumptions!$B$10)),0,1,FALSE)*Assumptions!$B$10*0.01)*((F$3/100)/0.01)/(MAX(0,Assumptions!$B$2*EXP(-Assumptions!$B$4*Assumptions!$B$9)*NORMSDIST(((LN(Assumptions!$B$2/$B17)+(Assumptions!$B$3-Assumptions!$B$4+(F$3/100)^2/2)*Assumptions!$B$9)/((F$3/100)*Assumptions!$B$10)))-$B17*EXP(-Assumptions!$B$3*Assumptions!$B$9)*NORMSDIST((((LN(Assumptions!$B$2/$B17)+(Assumptions!$B$3-Assumptions!$B$4+(F$3/100)^2/2)*Assumptions!$B$9)/((F$3/100)*Assumptions!$B$10))-(F$3/100)*Assumptions!$B$10)))))</f>
        <v/>
      </c>
      <c r="G17" s="32">
        <f>IF((MAX(0,Assumptions!$B$2*EXP(-Assumptions!$B$4*Assumptions!$B$9)*NORMSDIST(((LN(Assumptions!$B$2/$B17)+(Assumptions!$B$3-Assumptions!$B$4+(G$3/100)^2/2)*Assumptions!$B$9)/((G$3/100)*Assumptions!$B$10)))-$B17*EXP(-Assumptions!$B$3*Assumptions!$B$9)*NORMSDIST((((LN(Assumptions!$B$2/$B17)+(Assumptions!$B$3-Assumptions!$B$4+(G$3/100)^2/2)*Assumptions!$B$9)/((G$3/100)*Assumptions!$B$10))-(G$3/100)*Assumptions!$B$10))))&lt;=0,"",(Assumptions!$B$2*EXP(-Assumptions!$B$4*Assumptions!$B$9)*NORMDIST(((LN(Assumptions!$B$2/$B17)+(Assumptions!$B$3-Assumptions!$B$4+(G$3/100)^2/2)*Assumptions!$B$9)/((G$3/100)*Assumptions!$B$10)),0,1,FALSE)*Assumptions!$B$10*0.01)*((G$3/100)/0.01)/(MAX(0,Assumptions!$B$2*EXP(-Assumptions!$B$4*Assumptions!$B$9)*NORMSDIST(((LN(Assumptions!$B$2/$B17)+(Assumptions!$B$3-Assumptions!$B$4+(G$3/100)^2/2)*Assumptions!$B$9)/((G$3/100)*Assumptions!$B$10)))-$B17*EXP(-Assumptions!$B$3*Assumptions!$B$9)*NORMSDIST((((LN(Assumptions!$B$2/$B17)+(Assumptions!$B$3-Assumptions!$B$4+(G$3/100)^2/2)*Assumptions!$B$9)/((G$3/100)*Assumptions!$B$10))-(G$3/100)*Assumptions!$B$10)))))</f>
        <v/>
      </c>
      <c r="H17" s="32">
        <f>IF((MAX(0,Assumptions!$B$2*EXP(-Assumptions!$B$4*Assumptions!$B$9)*NORMSDIST(((LN(Assumptions!$B$2/$B17)+(Assumptions!$B$3-Assumptions!$B$4+(H$3/100)^2/2)*Assumptions!$B$9)/((H$3/100)*Assumptions!$B$10)))-$B17*EXP(-Assumptions!$B$3*Assumptions!$B$9)*NORMSDIST((((LN(Assumptions!$B$2/$B17)+(Assumptions!$B$3-Assumptions!$B$4+(H$3/100)^2/2)*Assumptions!$B$9)/((H$3/100)*Assumptions!$B$10))-(H$3/100)*Assumptions!$B$10))))&lt;=0,"",(Assumptions!$B$2*EXP(-Assumptions!$B$4*Assumptions!$B$9)*NORMDIST(((LN(Assumptions!$B$2/$B17)+(Assumptions!$B$3-Assumptions!$B$4+(H$3/100)^2/2)*Assumptions!$B$9)/((H$3/100)*Assumptions!$B$10)),0,1,FALSE)*Assumptions!$B$10*0.01)*((H$3/100)/0.01)/(MAX(0,Assumptions!$B$2*EXP(-Assumptions!$B$4*Assumptions!$B$9)*NORMSDIST(((LN(Assumptions!$B$2/$B17)+(Assumptions!$B$3-Assumptions!$B$4+(H$3/100)^2/2)*Assumptions!$B$9)/((H$3/100)*Assumptions!$B$10)))-$B17*EXP(-Assumptions!$B$3*Assumptions!$B$9)*NORMSDIST((((LN(Assumptions!$B$2/$B17)+(Assumptions!$B$3-Assumptions!$B$4+(H$3/100)^2/2)*Assumptions!$B$9)/((H$3/100)*Assumptions!$B$10))-(H$3/100)*Assumptions!$B$10)))))</f>
        <v/>
      </c>
      <c r="I17" s="32">
        <f>IF((MAX(0,Assumptions!$B$2*EXP(-Assumptions!$B$4*Assumptions!$B$9)*NORMSDIST(((LN(Assumptions!$B$2/$B17)+(Assumptions!$B$3-Assumptions!$B$4+(I$3/100)^2/2)*Assumptions!$B$9)/((I$3/100)*Assumptions!$B$10)))-$B17*EXP(-Assumptions!$B$3*Assumptions!$B$9)*NORMSDIST((((LN(Assumptions!$B$2/$B17)+(Assumptions!$B$3-Assumptions!$B$4+(I$3/100)^2/2)*Assumptions!$B$9)/((I$3/100)*Assumptions!$B$10))-(I$3/100)*Assumptions!$B$10))))&lt;=0,"",(Assumptions!$B$2*EXP(-Assumptions!$B$4*Assumptions!$B$9)*NORMDIST(((LN(Assumptions!$B$2/$B17)+(Assumptions!$B$3-Assumptions!$B$4+(I$3/100)^2/2)*Assumptions!$B$9)/((I$3/100)*Assumptions!$B$10)),0,1,FALSE)*Assumptions!$B$10*0.01)*((I$3/100)/0.01)/(MAX(0,Assumptions!$B$2*EXP(-Assumptions!$B$4*Assumptions!$B$9)*NORMSDIST(((LN(Assumptions!$B$2/$B17)+(Assumptions!$B$3-Assumptions!$B$4+(I$3/100)^2/2)*Assumptions!$B$9)/((I$3/100)*Assumptions!$B$10)))-$B17*EXP(-Assumptions!$B$3*Assumptions!$B$9)*NORMSDIST((((LN(Assumptions!$B$2/$B17)+(Assumptions!$B$3-Assumptions!$B$4+(I$3/100)^2/2)*Assumptions!$B$9)/((I$3/100)*Assumptions!$B$10))-(I$3/100)*Assumptions!$B$10)))))</f>
        <v/>
      </c>
      <c r="J17" s="32">
        <f>IF((MAX(0,Assumptions!$B$2*EXP(-Assumptions!$B$4*Assumptions!$B$9)*NORMSDIST(((LN(Assumptions!$B$2/$B17)+(Assumptions!$B$3-Assumptions!$B$4+(J$3/100)^2/2)*Assumptions!$B$9)/((J$3/100)*Assumptions!$B$10)))-$B17*EXP(-Assumptions!$B$3*Assumptions!$B$9)*NORMSDIST((((LN(Assumptions!$B$2/$B17)+(Assumptions!$B$3-Assumptions!$B$4+(J$3/100)^2/2)*Assumptions!$B$9)/((J$3/100)*Assumptions!$B$10))-(J$3/100)*Assumptions!$B$10))))&lt;=0,"",(Assumptions!$B$2*EXP(-Assumptions!$B$4*Assumptions!$B$9)*NORMDIST(((LN(Assumptions!$B$2/$B17)+(Assumptions!$B$3-Assumptions!$B$4+(J$3/100)^2/2)*Assumptions!$B$9)/((J$3/100)*Assumptions!$B$10)),0,1,FALSE)*Assumptions!$B$10*0.01)*((J$3/100)/0.01)/(MAX(0,Assumptions!$B$2*EXP(-Assumptions!$B$4*Assumptions!$B$9)*NORMSDIST(((LN(Assumptions!$B$2/$B17)+(Assumptions!$B$3-Assumptions!$B$4+(J$3/100)^2/2)*Assumptions!$B$9)/((J$3/100)*Assumptions!$B$10)))-$B17*EXP(-Assumptions!$B$3*Assumptions!$B$9)*NORMSDIST((((LN(Assumptions!$B$2/$B17)+(Assumptions!$B$3-Assumptions!$B$4+(J$3/100)^2/2)*Assumptions!$B$9)/((J$3/100)*Assumptions!$B$10))-(J$3/100)*Assumptions!$B$10)))))</f>
        <v/>
      </c>
      <c r="K17" s="32">
        <f>IF((MAX(0,Assumptions!$B$2*EXP(-Assumptions!$B$4*Assumptions!$B$9)*NORMSDIST(((LN(Assumptions!$B$2/$B17)+(Assumptions!$B$3-Assumptions!$B$4+(K$3/100)^2/2)*Assumptions!$B$9)/((K$3/100)*Assumptions!$B$10)))-$B17*EXP(-Assumptions!$B$3*Assumptions!$B$9)*NORMSDIST((((LN(Assumptions!$B$2/$B17)+(Assumptions!$B$3-Assumptions!$B$4+(K$3/100)^2/2)*Assumptions!$B$9)/((K$3/100)*Assumptions!$B$10))-(K$3/100)*Assumptions!$B$10))))&lt;=0,"",(Assumptions!$B$2*EXP(-Assumptions!$B$4*Assumptions!$B$9)*NORMDIST(((LN(Assumptions!$B$2/$B17)+(Assumptions!$B$3-Assumptions!$B$4+(K$3/100)^2/2)*Assumptions!$B$9)/((K$3/100)*Assumptions!$B$10)),0,1,FALSE)*Assumptions!$B$10*0.01)*((K$3/100)/0.01)/(MAX(0,Assumptions!$B$2*EXP(-Assumptions!$B$4*Assumptions!$B$9)*NORMSDIST(((LN(Assumptions!$B$2/$B17)+(Assumptions!$B$3-Assumptions!$B$4+(K$3/100)^2/2)*Assumptions!$B$9)/((K$3/100)*Assumptions!$B$10)))-$B17*EXP(-Assumptions!$B$3*Assumptions!$B$9)*NORMSDIST((((LN(Assumptions!$B$2/$B17)+(Assumptions!$B$3-Assumptions!$B$4+(K$3/100)^2/2)*Assumptions!$B$9)/((K$3/100)*Assumptions!$B$10))-(K$3/100)*Assumptions!$B$10)))))</f>
        <v/>
      </c>
      <c r="L17" s="32">
        <f>IF((MAX(0,Assumptions!$B$2*EXP(-Assumptions!$B$4*Assumptions!$B$9)*NORMSDIST(((LN(Assumptions!$B$2/$B17)+(Assumptions!$B$3-Assumptions!$B$4+(L$3/100)^2/2)*Assumptions!$B$9)/((L$3/100)*Assumptions!$B$10)))-$B17*EXP(-Assumptions!$B$3*Assumptions!$B$9)*NORMSDIST((((LN(Assumptions!$B$2/$B17)+(Assumptions!$B$3-Assumptions!$B$4+(L$3/100)^2/2)*Assumptions!$B$9)/((L$3/100)*Assumptions!$B$10))-(L$3/100)*Assumptions!$B$10))))&lt;=0,"",(Assumptions!$B$2*EXP(-Assumptions!$B$4*Assumptions!$B$9)*NORMDIST(((LN(Assumptions!$B$2/$B17)+(Assumptions!$B$3-Assumptions!$B$4+(L$3/100)^2/2)*Assumptions!$B$9)/((L$3/100)*Assumptions!$B$10)),0,1,FALSE)*Assumptions!$B$10*0.01)*((L$3/100)/0.01)/(MAX(0,Assumptions!$B$2*EXP(-Assumptions!$B$4*Assumptions!$B$9)*NORMSDIST(((LN(Assumptions!$B$2/$B17)+(Assumptions!$B$3-Assumptions!$B$4+(L$3/100)^2/2)*Assumptions!$B$9)/((L$3/100)*Assumptions!$B$10)))-$B17*EXP(-Assumptions!$B$3*Assumptions!$B$9)*NORMSDIST((((LN(Assumptions!$B$2/$B17)+(Assumptions!$B$3-Assumptions!$B$4+(L$3/100)^2/2)*Assumptions!$B$9)/((L$3/100)*Assumptions!$B$10))-(L$3/100)*Assumptions!$B$10)))))</f>
        <v/>
      </c>
      <c r="M17" s="32">
        <f>IF((MAX(0,Assumptions!$B$2*EXP(-Assumptions!$B$4*Assumptions!$B$9)*NORMSDIST(((LN(Assumptions!$B$2/$B17)+(Assumptions!$B$3-Assumptions!$B$4+(M$3/100)^2/2)*Assumptions!$B$9)/((M$3/100)*Assumptions!$B$10)))-$B17*EXP(-Assumptions!$B$3*Assumptions!$B$9)*NORMSDIST((((LN(Assumptions!$B$2/$B17)+(Assumptions!$B$3-Assumptions!$B$4+(M$3/100)^2/2)*Assumptions!$B$9)/((M$3/100)*Assumptions!$B$10))-(M$3/100)*Assumptions!$B$10))))&lt;=0,"",(Assumptions!$B$2*EXP(-Assumptions!$B$4*Assumptions!$B$9)*NORMDIST(((LN(Assumptions!$B$2/$B17)+(Assumptions!$B$3-Assumptions!$B$4+(M$3/100)^2/2)*Assumptions!$B$9)/((M$3/100)*Assumptions!$B$10)),0,1,FALSE)*Assumptions!$B$10*0.01)*((M$3/100)/0.01)/(MAX(0,Assumptions!$B$2*EXP(-Assumptions!$B$4*Assumptions!$B$9)*NORMSDIST(((LN(Assumptions!$B$2/$B17)+(Assumptions!$B$3-Assumptions!$B$4+(M$3/100)^2/2)*Assumptions!$B$9)/((M$3/100)*Assumptions!$B$10)))-$B17*EXP(-Assumptions!$B$3*Assumptions!$B$9)*NORMSDIST((((LN(Assumptions!$B$2/$B17)+(Assumptions!$B$3-Assumptions!$B$4+(M$3/100)^2/2)*Assumptions!$B$9)/((M$3/100)*Assumptions!$B$10))-(M$3/100)*Assumptions!$B$10)))))</f>
        <v/>
      </c>
      <c r="N17" s="32">
        <f>IF((MAX(0,Assumptions!$B$2*EXP(-Assumptions!$B$4*Assumptions!$B$9)*NORMSDIST(((LN(Assumptions!$B$2/$B17)+(Assumptions!$B$3-Assumptions!$B$4+(N$3/100)^2/2)*Assumptions!$B$9)/((N$3/100)*Assumptions!$B$10)))-$B17*EXP(-Assumptions!$B$3*Assumptions!$B$9)*NORMSDIST((((LN(Assumptions!$B$2/$B17)+(Assumptions!$B$3-Assumptions!$B$4+(N$3/100)^2/2)*Assumptions!$B$9)/((N$3/100)*Assumptions!$B$10))-(N$3/100)*Assumptions!$B$10))))&lt;=0,"",(Assumptions!$B$2*EXP(-Assumptions!$B$4*Assumptions!$B$9)*NORMDIST(((LN(Assumptions!$B$2/$B17)+(Assumptions!$B$3-Assumptions!$B$4+(N$3/100)^2/2)*Assumptions!$B$9)/((N$3/100)*Assumptions!$B$10)),0,1,FALSE)*Assumptions!$B$10*0.01)*((N$3/100)/0.01)/(MAX(0,Assumptions!$B$2*EXP(-Assumptions!$B$4*Assumptions!$B$9)*NORMSDIST(((LN(Assumptions!$B$2/$B17)+(Assumptions!$B$3-Assumptions!$B$4+(N$3/100)^2/2)*Assumptions!$B$9)/((N$3/100)*Assumptions!$B$10)))-$B17*EXP(-Assumptions!$B$3*Assumptions!$B$9)*NORMSDIST((((LN(Assumptions!$B$2/$B17)+(Assumptions!$B$3-Assumptions!$B$4+(N$3/100)^2/2)*Assumptions!$B$9)/((N$3/100)*Assumptions!$B$10))-(N$3/100)*Assumptions!$B$10)))))</f>
        <v/>
      </c>
      <c r="O17" s="32">
        <f>IF((MAX(0,Assumptions!$B$2*EXP(-Assumptions!$B$4*Assumptions!$B$9)*NORMSDIST(((LN(Assumptions!$B$2/$B17)+(Assumptions!$B$3-Assumptions!$B$4+(O$3/100)^2/2)*Assumptions!$B$9)/((O$3/100)*Assumptions!$B$10)))-$B17*EXP(-Assumptions!$B$3*Assumptions!$B$9)*NORMSDIST((((LN(Assumptions!$B$2/$B17)+(Assumptions!$B$3-Assumptions!$B$4+(O$3/100)^2/2)*Assumptions!$B$9)/((O$3/100)*Assumptions!$B$10))-(O$3/100)*Assumptions!$B$10))))&lt;=0,"",(Assumptions!$B$2*EXP(-Assumptions!$B$4*Assumptions!$B$9)*NORMDIST(((LN(Assumptions!$B$2/$B17)+(Assumptions!$B$3-Assumptions!$B$4+(O$3/100)^2/2)*Assumptions!$B$9)/((O$3/100)*Assumptions!$B$10)),0,1,FALSE)*Assumptions!$B$10*0.01)*((O$3/100)/0.01)/(MAX(0,Assumptions!$B$2*EXP(-Assumptions!$B$4*Assumptions!$B$9)*NORMSDIST(((LN(Assumptions!$B$2/$B17)+(Assumptions!$B$3-Assumptions!$B$4+(O$3/100)^2/2)*Assumptions!$B$9)/((O$3/100)*Assumptions!$B$10)))-$B17*EXP(-Assumptions!$B$3*Assumptions!$B$9)*NORMSDIST((((LN(Assumptions!$B$2/$B17)+(Assumptions!$B$3-Assumptions!$B$4+(O$3/100)^2/2)*Assumptions!$B$9)/((O$3/100)*Assumptions!$B$10))-(O$3/100)*Assumptions!$B$10)))))</f>
        <v/>
      </c>
      <c r="P17" s="32">
        <f>IF((MAX(0,Assumptions!$B$2*EXP(-Assumptions!$B$4*Assumptions!$B$9)*NORMSDIST(((LN(Assumptions!$B$2/$B17)+(Assumptions!$B$3-Assumptions!$B$4+(P$3/100)^2/2)*Assumptions!$B$9)/((P$3/100)*Assumptions!$B$10)))-$B17*EXP(-Assumptions!$B$3*Assumptions!$B$9)*NORMSDIST((((LN(Assumptions!$B$2/$B17)+(Assumptions!$B$3-Assumptions!$B$4+(P$3/100)^2/2)*Assumptions!$B$9)/((P$3/100)*Assumptions!$B$10))-(P$3/100)*Assumptions!$B$10))))&lt;=0,"",(Assumptions!$B$2*EXP(-Assumptions!$B$4*Assumptions!$B$9)*NORMDIST(((LN(Assumptions!$B$2/$B17)+(Assumptions!$B$3-Assumptions!$B$4+(P$3/100)^2/2)*Assumptions!$B$9)/((P$3/100)*Assumptions!$B$10)),0,1,FALSE)*Assumptions!$B$10*0.01)*((P$3/100)/0.01)/(MAX(0,Assumptions!$B$2*EXP(-Assumptions!$B$4*Assumptions!$B$9)*NORMSDIST(((LN(Assumptions!$B$2/$B17)+(Assumptions!$B$3-Assumptions!$B$4+(P$3/100)^2/2)*Assumptions!$B$9)/((P$3/100)*Assumptions!$B$10)))-$B17*EXP(-Assumptions!$B$3*Assumptions!$B$9)*NORMSDIST((((LN(Assumptions!$B$2/$B17)+(Assumptions!$B$3-Assumptions!$B$4+(P$3/100)^2/2)*Assumptions!$B$9)/((P$3/100)*Assumptions!$B$10))-(P$3/100)*Assumptions!$B$10)))))</f>
        <v/>
      </c>
      <c r="Q17" s="32">
        <f>IF((MAX(0,Assumptions!$B$2*EXP(-Assumptions!$B$4*Assumptions!$B$9)*NORMSDIST(((LN(Assumptions!$B$2/$B17)+(Assumptions!$B$3-Assumptions!$B$4+(Q$3/100)^2/2)*Assumptions!$B$9)/((Q$3/100)*Assumptions!$B$10)))-$B17*EXP(-Assumptions!$B$3*Assumptions!$B$9)*NORMSDIST((((LN(Assumptions!$B$2/$B17)+(Assumptions!$B$3-Assumptions!$B$4+(Q$3/100)^2/2)*Assumptions!$B$9)/((Q$3/100)*Assumptions!$B$10))-(Q$3/100)*Assumptions!$B$10))))&lt;=0,"",(Assumptions!$B$2*EXP(-Assumptions!$B$4*Assumptions!$B$9)*NORMDIST(((LN(Assumptions!$B$2/$B17)+(Assumptions!$B$3-Assumptions!$B$4+(Q$3/100)^2/2)*Assumptions!$B$9)/((Q$3/100)*Assumptions!$B$10)),0,1,FALSE)*Assumptions!$B$10*0.01)*((Q$3/100)/0.01)/(MAX(0,Assumptions!$B$2*EXP(-Assumptions!$B$4*Assumptions!$B$9)*NORMSDIST(((LN(Assumptions!$B$2/$B17)+(Assumptions!$B$3-Assumptions!$B$4+(Q$3/100)^2/2)*Assumptions!$B$9)/((Q$3/100)*Assumptions!$B$10)))-$B17*EXP(-Assumptions!$B$3*Assumptions!$B$9)*NORMSDIST((((LN(Assumptions!$B$2/$B17)+(Assumptions!$B$3-Assumptions!$B$4+(Q$3/100)^2/2)*Assumptions!$B$9)/((Q$3/100)*Assumptions!$B$10))-(Q$3/100)*Assumptions!$B$10)))))</f>
        <v/>
      </c>
      <c r="R17" s="32">
        <f>IF((MAX(0,Assumptions!$B$2*EXP(-Assumptions!$B$4*Assumptions!$B$9)*NORMSDIST(((LN(Assumptions!$B$2/$B17)+(Assumptions!$B$3-Assumptions!$B$4+(R$3/100)^2/2)*Assumptions!$B$9)/((R$3/100)*Assumptions!$B$10)))-$B17*EXP(-Assumptions!$B$3*Assumptions!$B$9)*NORMSDIST((((LN(Assumptions!$B$2/$B17)+(Assumptions!$B$3-Assumptions!$B$4+(R$3/100)^2/2)*Assumptions!$B$9)/((R$3/100)*Assumptions!$B$10))-(R$3/100)*Assumptions!$B$10))))&lt;=0,"",(Assumptions!$B$2*EXP(-Assumptions!$B$4*Assumptions!$B$9)*NORMDIST(((LN(Assumptions!$B$2/$B17)+(Assumptions!$B$3-Assumptions!$B$4+(R$3/100)^2/2)*Assumptions!$B$9)/((R$3/100)*Assumptions!$B$10)),0,1,FALSE)*Assumptions!$B$10*0.01)*((R$3/100)/0.01)/(MAX(0,Assumptions!$B$2*EXP(-Assumptions!$B$4*Assumptions!$B$9)*NORMSDIST(((LN(Assumptions!$B$2/$B17)+(Assumptions!$B$3-Assumptions!$B$4+(R$3/100)^2/2)*Assumptions!$B$9)/((R$3/100)*Assumptions!$B$10)))-$B17*EXP(-Assumptions!$B$3*Assumptions!$B$9)*NORMSDIST((((LN(Assumptions!$B$2/$B17)+(Assumptions!$B$3-Assumptions!$B$4+(R$3/100)^2/2)*Assumptions!$B$9)/((R$3/100)*Assumptions!$B$10))-(R$3/100)*Assumptions!$B$10)))))</f>
        <v/>
      </c>
      <c r="S17" s="32">
        <f>IF((MAX(0,Assumptions!$B$2*EXP(-Assumptions!$B$4*Assumptions!$B$9)*NORMSDIST(((LN(Assumptions!$B$2/$B17)+(Assumptions!$B$3-Assumptions!$B$4+(S$3/100)^2/2)*Assumptions!$B$9)/((S$3/100)*Assumptions!$B$10)))-$B17*EXP(-Assumptions!$B$3*Assumptions!$B$9)*NORMSDIST((((LN(Assumptions!$B$2/$B17)+(Assumptions!$B$3-Assumptions!$B$4+(S$3/100)^2/2)*Assumptions!$B$9)/((S$3/100)*Assumptions!$B$10))-(S$3/100)*Assumptions!$B$10))))&lt;=0,"",(Assumptions!$B$2*EXP(-Assumptions!$B$4*Assumptions!$B$9)*NORMDIST(((LN(Assumptions!$B$2/$B17)+(Assumptions!$B$3-Assumptions!$B$4+(S$3/100)^2/2)*Assumptions!$B$9)/((S$3/100)*Assumptions!$B$10)),0,1,FALSE)*Assumptions!$B$10*0.01)*((S$3/100)/0.01)/(MAX(0,Assumptions!$B$2*EXP(-Assumptions!$B$4*Assumptions!$B$9)*NORMSDIST(((LN(Assumptions!$B$2/$B17)+(Assumptions!$B$3-Assumptions!$B$4+(S$3/100)^2/2)*Assumptions!$B$9)/((S$3/100)*Assumptions!$B$10)))-$B17*EXP(-Assumptions!$B$3*Assumptions!$B$9)*NORMSDIST((((LN(Assumptions!$B$2/$B17)+(Assumptions!$B$3-Assumptions!$B$4+(S$3/100)^2/2)*Assumptions!$B$9)/((S$3/100)*Assumptions!$B$10))-(S$3/100)*Assumptions!$B$10)))))</f>
        <v/>
      </c>
      <c r="T17" s="32">
        <f>IF((MAX(0,Assumptions!$B$2*EXP(-Assumptions!$B$4*Assumptions!$B$9)*NORMSDIST(((LN(Assumptions!$B$2/$B17)+(Assumptions!$B$3-Assumptions!$B$4+(T$3/100)^2/2)*Assumptions!$B$9)/((T$3/100)*Assumptions!$B$10)))-$B17*EXP(-Assumptions!$B$3*Assumptions!$B$9)*NORMSDIST((((LN(Assumptions!$B$2/$B17)+(Assumptions!$B$3-Assumptions!$B$4+(T$3/100)^2/2)*Assumptions!$B$9)/((T$3/100)*Assumptions!$B$10))-(T$3/100)*Assumptions!$B$10))))&lt;=0,"",(Assumptions!$B$2*EXP(-Assumptions!$B$4*Assumptions!$B$9)*NORMDIST(((LN(Assumptions!$B$2/$B17)+(Assumptions!$B$3-Assumptions!$B$4+(T$3/100)^2/2)*Assumptions!$B$9)/((T$3/100)*Assumptions!$B$10)),0,1,FALSE)*Assumptions!$B$10*0.01)*((T$3/100)/0.01)/(MAX(0,Assumptions!$B$2*EXP(-Assumptions!$B$4*Assumptions!$B$9)*NORMSDIST(((LN(Assumptions!$B$2/$B17)+(Assumptions!$B$3-Assumptions!$B$4+(T$3/100)^2/2)*Assumptions!$B$9)/((T$3/100)*Assumptions!$B$10)))-$B17*EXP(-Assumptions!$B$3*Assumptions!$B$9)*NORMSDIST((((LN(Assumptions!$B$2/$B17)+(Assumptions!$B$3-Assumptions!$B$4+(T$3/100)^2/2)*Assumptions!$B$9)/((T$3/100)*Assumptions!$B$10))-(T$3/100)*Assumptions!$B$10)))))</f>
        <v/>
      </c>
      <c r="U17" s="32">
        <f>IF((MAX(0,Assumptions!$B$2*EXP(-Assumptions!$B$4*Assumptions!$B$9)*NORMSDIST(((LN(Assumptions!$B$2/$B17)+(Assumptions!$B$3-Assumptions!$B$4+(U$3/100)^2/2)*Assumptions!$B$9)/((U$3/100)*Assumptions!$B$10)))-$B17*EXP(-Assumptions!$B$3*Assumptions!$B$9)*NORMSDIST((((LN(Assumptions!$B$2/$B17)+(Assumptions!$B$3-Assumptions!$B$4+(U$3/100)^2/2)*Assumptions!$B$9)/((U$3/100)*Assumptions!$B$10))-(U$3/100)*Assumptions!$B$10))))&lt;=0,"",(Assumptions!$B$2*EXP(-Assumptions!$B$4*Assumptions!$B$9)*NORMDIST(((LN(Assumptions!$B$2/$B17)+(Assumptions!$B$3-Assumptions!$B$4+(U$3/100)^2/2)*Assumptions!$B$9)/((U$3/100)*Assumptions!$B$10)),0,1,FALSE)*Assumptions!$B$10*0.01)*((U$3/100)/0.01)/(MAX(0,Assumptions!$B$2*EXP(-Assumptions!$B$4*Assumptions!$B$9)*NORMSDIST(((LN(Assumptions!$B$2/$B17)+(Assumptions!$B$3-Assumptions!$B$4+(U$3/100)^2/2)*Assumptions!$B$9)/((U$3/100)*Assumptions!$B$10)))-$B17*EXP(-Assumptions!$B$3*Assumptions!$B$9)*NORMSDIST((((LN(Assumptions!$B$2/$B17)+(Assumptions!$B$3-Assumptions!$B$4+(U$3/100)^2/2)*Assumptions!$B$9)/((U$3/100)*Assumptions!$B$10))-(U$3/100)*Assumptions!$B$10)))))</f>
        <v/>
      </c>
      <c r="V17" s="32">
        <f>IF((MAX(0,Assumptions!$B$2*EXP(-Assumptions!$B$4*Assumptions!$B$9)*NORMSDIST(((LN(Assumptions!$B$2/$B17)+(Assumptions!$B$3-Assumptions!$B$4+(V$3/100)^2/2)*Assumptions!$B$9)/((V$3/100)*Assumptions!$B$10)))-$B17*EXP(-Assumptions!$B$3*Assumptions!$B$9)*NORMSDIST((((LN(Assumptions!$B$2/$B17)+(Assumptions!$B$3-Assumptions!$B$4+(V$3/100)^2/2)*Assumptions!$B$9)/((V$3/100)*Assumptions!$B$10))-(V$3/100)*Assumptions!$B$10))))&lt;=0,"",(Assumptions!$B$2*EXP(-Assumptions!$B$4*Assumptions!$B$9)*NORMDIST(((LN(Assumptions!$B$2/$B17)+(Assumptions!$B$3-Assumptions!$B$4+(V$3/100)^2/2)*Assumptions!$B$9)/((V$3/100)*Assumptions!$B$10)),0,1,FALSE)*Assumptions!$B$10*0.01)*((V$3/100)/0.01)/(MAX(0,Assumptions!$B$2*EXP(-Assumptions!$B$4*Assumptions!$B$9)*NORMSDIST(((LN(Assumptions!$B$2/$B17)+(Assumptions!$B$3-Assumptions!$B$4+(V$3/100)^2/2)*Assumptions!$B$9)/((V$3/100)*Assumptions!$B$10)))-$B17*EXP(-Assumptions!$B$3*Assumptions!$B$9)*NORMSDIST((((LN(Assumptions!$B$2/$B17)+(Assumptions!$B$3-Assumptions!$B$4+(V$3/100)^2/2)*Assumptions!$B$9)/((V$3/100)*Assumptions!$B$10))-(V$3/100)*Assumptions!$B$10)))))</f>
        <v/>
      </c>
      <c r="W17" s="32">
        <f>IF((MAX(0,Assumptions!$B$2*EXP(-Assumptions!$B$4*Assumptions!$B$9)*NORMSDIST(((LN(Assumptions!$B$2/$B17)+(Assumptions!$B$3-Assumptions!$B$4+(W$3/100)^2/2)*Assumptions!$B$9)/((W$3/100)*Assumptions!$B$10)))-$B17*EXP(-Assumptions!$B$3*Assumptions!$B$9)*NORMSDIST((((LN(Assumptions!$B$2/$B17)+(Assumptions!$B$3-Assumptions!$B$4+(W$3/100)^2/2)*Assumptions!$B$9)/((W$3/100)*Assumptions!$B$10))-(W$3/100)*Assumptions!$B$10))))&lt;=0,"",(Assumptions!$B$2*EXP(-Assumptions!$B$4*Assumptions!$B$9)*NORMDIST(((LN(Assumptions!$B$2/$B17)+(Assumptions!$B$3-Assumptions!$B$4+(W$3/100)^2/2)*Assumptions!$B$9)/((W$3/100)*Assumptions!$B$10)),0,1,FALSE)*Assumptions!$B$10*0.01)*((W$3/100)/0.01)/(MAX(0,Assumptions!$B$2*EXP(-Assumptions!$B$4*Assumptions!$B$9)*NORMSDIST(((LN(Assumptions!$B$2/$B17)+(Assumptions!$B$3-Assumptions!$B$4+(W$3/100)^2/2)*Assumptions!$B$9)/((W$3/100)*Assumptions!$B$10)))-$B17*EXP(-Assumptions!$B$3*Assumptions!$B$9)*NORMSDIST((((LN(Assumptions!$B$2/$B17)+(Assumptions!$B$3-Assumptions!$B$4+(W$3/100)^2/2)*Assumptions!$B$9)/((W$3/100)*Assumptions!$B$10))-(W$3/100)*Assumptions!$B$10)))))</f>
        <v/>
      </c>
      <c r="X17" s="32">
        <f>IF((MAX(0,Assumptions!$B$2*EXP(-Assumptions!$B$4*Assumptions!$B$9)*NORMSDIST(((LN(Assumptions!$B$2/$B17)+(Assumptions!$B$3-Assumptions!$B$4+(X$3/100)^2/2)*Assumptions!$B$9)/((X$3/100)*Assumptions!$B$10)))-$B17*EXP(-Assumptions!$B$3*Assumptions!$B$9)*NORMSDIST((((LN(Assumptions!$B$2/$B17)+(Assumptions!$B$3-Assumptions!$B$4+(X$3/100)^2/2)*Assumptions!$B$9)/((X$3/100)*Assumptions!$B$10))-(X$3/100)*Assumptions!$B$10))))&lt;=0,"",(Assumptions!$B$2*EXP(-Assumptions!$B$4*Assumptions!$B$9)*NORMDIST(((LN(Assumptions!$B$2/$B17)+(Assumptions!$B$3-Assumptions!$B$4+(X$3/100)^2/2)*Assumptions!$B$9)/((X$3/100)*Assumptions!$B$10)),0,1,FALSE)*Assumptions!$B$10*0.01)*((X$3/100)/0.01)/(MAX(0,Assumptions!$B$2*EXP(-Assumptions!$B$4*Assumptions!$B$9)*NORMSDIST(((LN(Assumptions!$B$2/$B17)+(Assumptions!$B$3-Assumptions!$B$4+(X$3/100)^2/2)*Assumptions!$B$9)/((X$3/100)*Assumptions!$B$10)))-$B17*EXP(-Assumptions!$B$3*Assumptions!$B$9)*NORMSDIST((((LN(Assumptions!$B$2/$B17)+(Assumptions!$B$3-Assumptions!$B$4+(X$3/100)^2/2)*Assumptions!$B$9)/((X$3/100)*Assumptions!$B$10))-(X$3/100)*Assumptions!$B$10)))))</f>
        <v/>
      </c>
      <c r="Y17" s="32">
        <f>IF((MAX(0,Assumptions!$B$2*EXP(-Assumptions!$B$4*Assumptions!$B$9)*NORMSDIST(((LN(Assumptions!$B$2/$B17)+(Assumptions!$B$3-Assumptions!$B$4+(Y$3/100)^2/2)*Assumptions!$B$9)/((Y$3/100)*Assumptions!$B$10)))-$B17*EXP(-Assumptions!$B$3*Assumptions!$B$9)*NORMSDIST((((LN(Assumptions!$B$2/$B17)+(Assumptions!$B$3-Assumptions!$B$4+(Y$3/100)^2/2)*Assumptions!$B$9)/((Y$3/100)*Assumptions!$B$10))-(Y$3/100)*Assumptions!$B$10))))&lt;=0,"",(Assumptions!$B$2*EXP(-Assumptions!$B$4*Assumptions!$B$9)*NORMDIST(((LN(Assumptions!$B$2/$B17)+(Assumptions!$B$3-Assumptions!$B$4+(Y$3/100)^2/2)*Assumptions!$B$9)/((Y$3/100)*Assumptions!$B$10)),0,1,FALSE)*Assumptions!$B$10*0.01)*((Y$3/100)/0.01)/(MAX(0,Assumptions!$B$2*EXP(-Assumptions!$B$4*Assumptions!$B$9)*NORMSDIST(((LN(Assumptions!$B$2/$B17)+(Assumptions!$B$3-Assumptions!$B$4+(Y$3/100)^2/2)*Assumptions!$B$9)/((Y$3/100)*Assumptions!$B$10)))-$B17*EXP(-Assumptions!$B$3*Assumptions!$B$9)*NORMSDIST((((LN(Assumptions!$B$2/$B17)+(Assumptions!$B$3-Assumptions!$B$4+(Y$3/100)^2/2)*Assumptions!$B$9)/((Y$3/100)*Assumptions!$B$10))-(Y$3/100)*Assumptions!$B$10)))))</f>
        <v/>
      </c>
      <c r="Z17" s="32">
        <f>IF((MAX(0,Assumptions!$B$2*EXP(-Assumptions!$B$4*Assumptions!$B$9)*NORMSDIST(((LN(Assumptions!$B$2/$B17)+(Assumptions!$B$3-Assumptions!$B$4+(Z$3/100)^2/2)*Assumptions!$B$9)/((Z$3/100)*Assumptions!$B$10)))-$B17*EXP(-Assumptions!$B$3*Assumptions!$B$9)*NORMSDIST((((LN(Assumptions!$B$2/$B17)+(Assumptions!$B$3-Assumptions!$B$4+(Z$3/100)^2/2)*Assumptions!$B$9)/((Z$3/100)*Assumptions!$B$10))-(Z$3/100)*Assumptions!$B$10))))&lt;=0,"",(Assumptions!$B$2*EXP(-Assumptions!$B$4*Assumptions!$B$9)*NORMDIST(((LN(Assumptions!$B$2/$B17)+(Assumptions!$B$3-Assumptions!$B$4+(Z$3/100)^2/2)*Assumptions!$B$9)/((Z$3/100)*Assumptions!$B$10)),0,1,FALSE)*Assumptions!$B$10*0.01)*((Z$3/100)/0.01)/(MAX(0,Assumptions!$B$2*EXP(-Assumptions!$B$4*Assumptions!$B$9)*NORMSDIST(((LN(Assumptions!$B$2/$B17)+(Assumptions!$B$3-Assumptions!$B$4+(Z$3/100)^2/2)*Assumptions!$B$9)/((Z$3/100)*Assumptions!$B$10)))-$B17*EXP(-Assumptions!$B$3*Assumptions!$B$9)*NORMSDIST((((LN(Assumptions!$B$2/$B17)+(Assumptions!$B$3-Assumptions!$B$4+(Z$3/100)^2/2)*Assumptions!$B$9)/((Z$3/100)*Assumptions!$B$10))-(Z$3/100)*Assumptions!$B$10)))))</f>
        <v/>
      </c>
      <c r="AA17" s="32">
        <f>IF((MAX(0,Assumptions!$B$2*EXP(-Assumptions!$B$4*Assumptions!$B$9)*NORMSDIST(((LN(Assumptions!$B$2/$B17)+(Assumptions!$B$3-Assumptions!$B$4+(AA$3/100)^2/2)*Assumptions!$B$9)/((AA$3/100)*Assumptions!$B$10)))-$B17*EXP(-Assumptions!$B$3*Assumptions!$B$9)*NORMSDIST((((LN(Assumptions!$B$2/$B17)+(Assumptions!$B$3-Assumptions!$B$4+(AA$3/100)^2/2)*Assumptions!$B$9)/((AA$3/100)*Assumptions!$B$10))-(AA$3/100)*Assumptions!$B$10))))&lt;=0,"",(Assumptions!$B$2*EXP(-Assumptions!$B$4*Assumptions!$B$9)*NORMDIST(((LN(Assumptions!$B$2/$B17)+(Assumptions!$B$3-Assumptions!$B$4+(AA$3/100)^2/2)*Assumptions!$B$9)/((AA$3/100)*Assumptions!$B$10)),0,1,FALSE)*Assumptions!$B$10*0.01)*((AA$3/100)/0.01)/(MAX(0,Assumptions!$B$2*EXP(-Assumptions!$B$4*Assumptions!$B$9)*NORMSDIST(((LN(Assumptions!$B$2/$B17)+(Assumptions!$B$3-Assumptions!$B$4+(AA$3/100)^2/2)*Assumptions!$B$9)/((AA$3/100)*Assumptions!$B$10)))-$B17*EXP(-Assumptions!$B$3*Assumptions!$B$9)*NORMSDIST((((LN(Assumptions!$B$2/$B17)+(Assumptions!$B$3-Assumptions!$B$4+(AA$3/100)^2/2)*Assumptions!$B$9)/((AA$3/100)*Assumptions!$B$10))-(AA$3/100)*Assumptions!$B$10)))))</f>
        <v/>
      </c>
      <c r="AB17" s="32">
        <f>IF((MAX(0,Assumptions!$B$2*EXP(-Assumptions!$B$4*Assumptions!$B$9)*NORMSDIST(((LN(Assumptions!$B$2/$B17)+(Assumptions!$B$3-Assumptions!$B$4+(AB$3/100)^2/2)*Assumptions!$B$9)/((AB$3/100)*Assumptions!$B$10)))-$B17*EXP(-Assumptions!$B$3*Assumptions!$B$9)*NORMSDIST((((LN(Assumptions!$B$2/$B17)+(Assumptions!$B$3-Assumptions!$B$4+(AB$3/100)^2/2)*Assumptions!$B$9)/((AB$3/100)*Assumptions!$B$10))-(AB$3/100)*Assumptions!$B$10))))&lt;=0,"",(Assumptions!$B$2*EXP(-Assumptions!$B$4*Assumptions!$B$9)*NORMDIST(((LN(Assumptions!$B$2/$B17)+(Assumptions!$B$3-Assumptions!$B$4+(AB$3/100)^2/2)*Assumptions!$B$9)/((AB$3/100)*Assumptions!$B$10)),0,1,FALSE)*Assumptions!$B$10*0.01)*((AB$3/100)/0.01)/(MAX(0,Assumptions!$B$2*EXP(-Assumptions!$B$4*Assumptions!$B$9)*NORMSDIST(((LN(Assumptions!$B$2/$B17)+(Assumptions!$B$3-Assumptions!$B$4+(AB$3/100)^2/2)*Assumptions!$B$9)/((AB$3/100)*Assumptions!$B$10)))-$B17*EXP(-Assumptions!$B$3*Assumptions!$B$9)*NORMSDIST((((LN(Assumptions!$B$2/$B17)+(Assumptions!$B$3-Assumptions!$B$4+(AB$3/100)^2/2)*Assumptions!$B$9)/((AB$3/100)*Assumptions!$B$10))-(AB$3/100)*Assumptions!$B$10)))))</f>
        <v/>
      </c>
      <c r="AC17" s="32">
        <f>IF((MAX(0,Assumptions!$B$2*EXP(-Assumptions!$B$4*Assumptions!$B$9)*NORMSDIST(((LN(Assumptions!$B$2/$B17)+(Assumptions!$B$3-Assumptions!$B$4+(AC$3/100)^2/2)*Assumptions!$B$9)/((AC$3/100)*Assumptions!$B$10)))-$B17*EXP(-Assumptions!$B$3*Assumptions!$B$9)*NORMSDIST((((LN(Assumptions!$B$2/$B17)+(Assumptions!$B$3-Assumptions!$B$4+(AC$3/100)^2/2)*Assumptions!$B$9)/((AC$3/100)*Assumptions!$B$10))-(AC$3/100)*Assumptions!$B$10))))&lt;=0,"",(Assumptions!$B$2*EXP(-Assumptions!$B$4*Assumptions!$B$9)*NORMDIST(((LN(Assumptions!$B$2/$B17)+(Assumptions!$B$3-Assumptions!$B$4+(AC$3/100)^2/2)*Assumptions!$B$9)/((AC$3/100)*Assumptions!$B$10)),0,1,FALSE)*Assumptions!$B$10*0.01)*((AC$3/100)/0.01)/(MAX(0,Assumptions!$B$2*EXP(-Assumptions!$B$4*Assumptions!$B$9)*NORMSDIST(((LN(Assumptions!$B$2/$B17)+(Assumptions!$B$3-Assumptions!$B$4+(AC$3/100)^2/2)*Assumptions!$B$9)/((AC$3/100)*Assumptions!$B$10)))-$B17*EXP(-Assumptions!$B$3*Assumptions!$B$9)*NORMSDIST((((LN(Assumptions!$B$2/$B17)+(Assumptions!$B$3-Assumptions!$B$4+(AC$3/100)^2/2)*Assumptions!$B$9)/((AC$3/100)*Assumptions!$B$10))-(AC$3/100)*Assumptions!$B$10)))))</f>
        <v/>
      </c>
      <c r="AD17" s="32">
        <f>IF((MAX(0,Assumptions!$B$2*EXP(-Assumptions!$B$4*Assumptions!$B$9)*NORMSDIST(((LN(Assumptions!$B$2/$B17)+(Assumptions!$B$3-Assumptions!$B$4+(AD$3/100)^2/2)*Assumptions!$B$9)/((AD$3/100)*Assumptions!$B$10)))-$B17*EXP(-Assumptions!$B$3*Assumptions!$B$9)*NORMSDIST((((LN(Assumptions!$B$2/$B17)+(Assumptions!$B$3-Assumptions!$B$4+(AD$3/100)^2/2)*Assumptions!$B$9)/((AD$3/100)*Assumptions!$B$10))-(AD$3/100)*Assumptions!$B$10))))&lt;=0,"",(Assumptions!$B$2*EXP(-Assumptions!$B$4*Assumptions!$B$9)*NORMDIST(((LN(Assumptions!$B$2/$B17)+(Assumptions!$B$3-Assumptions!$B$4+(AD$3/100)^2/2)*Assumptions!$B$9)/((AD$3/100)*Assumptions!$B$10)),0,1,FALSE)*Assumptions!$B$10*0.01)*((AD$3/100)/0.01)/(MAX(0,Assumptions!$B$2*EXP(-Assumptions!$B$4*Assumptions!$B$9)*NORMSDIST(((LN(Assumptions!$B$2/$B17)+(Assumptions!$B$3-Assumptions!$B$4+(AD$3/100)^2/2)*Assumptions!$B$9)/((AD$3/100)*Assumptions!$B$10)))-$B17*EXP(-Assumptions!$B$3*Assumptions!$B$9)*NORMSDIST((((LN(Assumptions!$B$2/$B17)+(Assumptions!$B$3-Assumptions!$B$4+(AD$3/100)^2/2)*Assumptions!$B$9)/((AD$3/100)*Assumptions!$B$10))-(AD$3/100)*Assumptions!$B$10)))))</f>
        <v/>
      </c>
      <c r="AE17" s="32">
        <f>IF((MAX(0,Assumptions!$B$2*EXP(-Assumptions!$B$4*Assumptions!$B$9)*NORMSDIST(((LN(Assumptions!$B$2/$B17)+(Assumptions!$B$3-Assumptions!$B$4+(AE$3/100)^2/2)*Assumptions!$B$9)/((AE$3/100)*Assumptions!$B$10)))-$B17*EXP(-Assumptions!$B$3*Assumptions!$B$9)*NORMSDIST((((LN(Assumptions!$B$2/$B17)+(Assumptions!$B$3-Assumptions!$B$4+(AE$3/100)^2/2)*Assumptions!$B$9)/((AE$3/100)*Assumptions!$B$10))-(AE$3/100)*Assumptions!$B$10))))&lt;=0,"",(Assumptions!$B$2*EXP(-Assumptions!$B$4*Assumptions!$B$9)*NORMDIST(((LN(Assumptions!$B$2/$B17)+(Assumptions!$B$3-Assumptions!$B$4+(AE$3/100)^2/2)*Assumptions!$B$9)/((AE$3/100)*Assumptions!$B$10)),0,1,FALSE)*Assumptions!$B$10*0.01)*((AE$3/100)/0.01)/(MAX(0,Assumptions!$B$2*EXP(-Assumptions!$B$4*Assumptions!$B$9)*NORMSDIST(((LN(Assumptions!$B$2/$B17)+(Assumptions!$B$3-Assumptions!$B$4+(AE$3/100)^2/2)*Assumptions!$B$9)/((AE$3/100)*Assumptions!$B$10)))-$B17*EXP(-Assumptions!$B$3*Assumptions!$B$9)*NORMSDIST((((LN(Assumptions!$B$2/$B17)+(Assumptions!$B$3-Assumptions!$B$4+(AE$3/100)^2/2)*Assumptions!$B$9)/((AE$3/100)*Assumptions!$B$10))-(AE$3/100)*Assumptions!$B$10)))))</f>
        <v/>
      </c>
      <c r="AF17" s="32">
        <f>IF((MAX(0,Assumptions!$B$2*EXP(-Assumptions!$B$4*Assumptions!$B$9)*NORMSDIST(((LN(Assumptions!$B$2/$B17)+(Assumptions!$B$3-Assumptions!$B$4+(AF$3/100)^2/2)*Assumptions!$B$9)/((AF$3/100)*Assumptions!$B$10)))-$B17*EXP(-Assumptions!$B$3*Assumptions!$B$9)*NORMSDIST((((LN(Assumptions!$B$2/$B17)+(Assumptions!$B$3-Assumptions!$B$4+(AF$3/100)^2/2)*Assumptions!$B$9)/((AF$3/100)*Assumptions!$B$10))-(AF$3/100)*Assumptions!$B$10))))&lt;=0,"",(Assumptions!$B$2*EXP(-Assumptions!$B$4*Assumptions!$B$9)*NORMDIST(((LN(Assumptions!$B$2/$B17)+(Assumptions!$B$3-Assumptions!$B$4+(AF$3/100)^2/2)*Assumptions!$B$9)/((AF$3/100)*Assumptions!$B$10)),0,1,FALSE)*Assumptions!$B$10*0.01)*((AF$3/100)/0.01)/(MAX(0,Assumptions!$B$2*EXP(-Assumptions!$B$4*Assumptions!$B$9)*NORMSDIST(((LN(Assumptions!$B$2/$B17)+(Assumptions!$B$3-Assumptions!$B$4+(AF$3/100)^2/2)*Assumptions!$B$9)/((AF$3/100)*Assumptions!$B$10)))-$B17*EXP(-Assumptions!$B$3*Assumptions!$B$9)*NORMSDIST((((LN(Assumptions!$B$2/$B17)+(Assumptions!$B$3-Assumptions!$B$4+(AF$3/100)^2/2)*Assumptions!$B$9)/((AF$3/100)*Assumptions!$B$10))-(AF$3/100)*Assumptions!$B$10)))))</f>
        <v/>
      </c>
      <c r="AG17" s="32">
        <f>IF((MAX(0,Assumptions!$B$2*EXP(-Assumptions!$B$4*Assumptions!$B$9)*NORMSDIST(((LN(Assumptions!$B$2/$B17)+(Assumptions!$B$3-Assumptions!$B$4+(AG$3/100)^2/2)*Assumptions!$B$9)/((AG$3/100)*Assumptions!$B$10)))-$B17*EXP(-Assumptions!$B$3*Assumptions!$B$9)*NORMSDIST((((LN(Assumptions!$B$2/$B17)+(Assumptions!$B$3-Assumptions!$B$4+(AG$3/100)^2/2)*Assumptions!$B$9)/((AG$3/100)*Assumptions!$B$10))-(AG$3/100)*Assumptions!$B$10))))&lt;=0,"",(Assumptions!$B$2*EXP(-Assumptions!$B$4*Assumptions!$B$9)*NORMDIST(((LN(Assumptions!$B$2/$B17)+(Assumptions!$B$3-Assumptions!$B$4+(AG$3/100)^2/2)*Assumptions!$B$9)/((AG$3/100)*Assumptions!$B$10)),0,1,FALSE)*Assumptions!$B$10*0.01)*((AG$3/100)/0.01)/(MAX(0,Assumptions!$B$2*EXP(-Assumptions!$B$4*Assumptions!$B$9)*NORMSDIST(((LN(Assumptions!$B$2/$B17)+(Assumptions!$B$3-Assumptions!$B$4+(AG$3/100)^2/2)*Assumptions!$B$9)/((AG$3/100)*Assumptions!$B$10)))-$B17*EXP(-Assumptions!$B$3*Assumptions!$B$9)*NORMSDIST((((LN(Assumptions!$B$2/$B17)+(Assumptions!$B$3-Assumptions!$B$4+(AG$3/100)^2/2)*Assumptions!$B$9)/((AG$3/100)*Assumptions!$B$10))-(AG$3/100)*Assumptions!$B$10)))))</f>
        <v/>
      </c>
      <c r="AH17" s="32">
        <f>IF((MAX(0,Assumptions!$B$2*EXP(-Assumptions!$B$4*Assumptions!$B$9)*NORMSDIST(((LN(Assumptions!$B$2/$B17)+(Assumptions!$B$3-Assumptions!$B$4+(AH$3/100)^2/2)*Assumptions!$B$9)/((AH$3/100)*Assumptions!$B$10)))-$B17*EXP(-Assumptions!$B$3*Assumptions!$B$9)*NORMSDIST((((LN(Assumptions!$B$2/$B17)+(Assumptions!$B$3-Assumptions!$B$4+(AH$3/100)^2/2)*Assumptions!$B$9)/((AH$3/100)*Assumptions!$B$10))-(AH$3/100)*Assumptions!$B$10))))&lt;=0,"",(Assumptions!$B$2*EXP(-Assumptions!$B$4*Assumptions!$B$9)*NORMDIST(((LN(Assumptions!$B$2/$B17)+(Assumptions!$B$3-Assumptions!$B$4+(AH$3/100)^2/2)*Assumptions!$B$9)/((AH$3/100)*Assumptions!$B$10)),0,1,FALSE)*Assumptions!$B$10*0.01)*((AH$3/100)/0.01)/(MAX(0,Assumptions!$B$2*EXP(-Assumptions!$B$4*Assumptions!$B$9)*NORMSDIST(((LN(Assumptions!$B$2/$B17)+(Assumptions!$B$3-Assumptions!$B$4+(AH$3/100)^2/2)*Assumptions!$B$9)/((AH$3/100)*Assumptions!$B$10)))-$B17*EXP(-Assumptions!$B$3*Assumptions!$B$9)*NORMSDIST((((LN(Assumptions!$B$2/$B17)+(Assumptions!$B$3-Assumptions!$B$4+(AH$3/100)^2/2)*Assumptions!$B$9)/((AH$3/100)*Assumptions!$B$10))-(AH$3/100)*Assumptions!$B$10)))))</f>
        <v/>
      </c>
      <c r="AI17" s="32">
        <f>IF((MAX(0,Assumptions!$B$2*EXP(-Assumptions!$B$4*Assumptions!$B$9)*NORMSDIST(((LN(Assumptions!$B$2/$B17)+(Assumptions!$B$3-Assumptions!$B$4+(AI$3/100)^2/2)*Assumptions!$B$9)/((AI$3/100)*Assumptions!$B$10)))-$B17*EXP(-Assumptions!$B$3*Assumptions!$B$9)*NORMSDIST((((LN(Assumptions!$B$2/$B17)+(Assumptions!$B$3-Assumptions!$B$4+(AI$3/100)^2/2)*Assumptions!$B$9)/((AI$3/100)*Assumptions!$B$10))-(AI$3/100)*Assumptions!$B$10))))&lt;=0,"",(Assumptions!$B$2*EXP(-Assumptions!$B$4*Assumptions!$B$9)*NORMDIST(((LN(Assumptions!$B$2/$B17)+(Assumptions!$B$3-Assumptions!$B$4+(AI$3/100)^2/2)*Assumptions!$B$9)/((AI$3/100)*Assumptions!$B$10)),0,1,FALSE)*Assumptions!$B$10*0.01)*((AI$3/100)/0.01)/(MAX(0,Assumptions!$B$2*EXP(-Assumptions!$B$4*Assumptions!$B$9)*NORMSDIST(((LN(Assumptions!$B$2/$B17)+(Assumptions!$B$3-Assumptions!$B$4+(AI$3/100)^2/2)*Assumptions!$B$9)/((AI$3/100)*Assumptions!$B$10)))-$B17*EXP(-Assumptions!$B$3*Assumptions!$B$9)*NORMSDIST((((LN(Assumptions!$B$2/$B17)+(Assumptions!$B$3-Assumptions!$B$4+(AI$3/100)^2/2)*Assumptions!$B$9)/((AI$3/100)*Assumptions!$B$10))-(AI$3/100)*Assumptions!$B$10)))))</f>
        <v/>
      </c>
      <c r="AJ17" s="32">
        <f>IF((MAX(0,Assumptions!$B$2*EXP(-Assumptions!$B$4*Assumptions!$B$9)*NORMSDIST(((LN(Assumptions!$B$2/$B17)+(Assumptions!$B$3-Assumptions!$B$4+(AJ$3/100)^2/2)*Assumptions!$B$9)/((AJ$3/100)*Assumptions!$B$10)))-$B17*EXP(-Assumptions!$B$3*Assumptions!$B$9)*NORMSDIST((((LN(Assumptions!$B$2/$B17)+(Assumptions!$B$3-Assumptions!$B$4+(AJ$3/100)^2/2)*Assumptions!$B$9)/((AJ$3/100)*Assumptions!$B$10))-(AJ$3/100)*Assumptions!$B$10))))&lt;=0,"",(Assumptions!$B$2*EXP(-Assumptions!$B$4*Assumptions!$B$9)*NORMDIST(((LN(Assumptions!$B$2/$B17)+(Assumptions!$B$3-Assumptions!$B$4+(AJ$3/100)^2/2)*Assumptions!$B$9)/((AJ$3/100)*Assumptions!$B$10)),0,1,FALSE)*Assumptions!$B$10*0.01)*((AJ$3/100)/0.01)/(MAX(0,Assumptions!$B$2*EXP(-Assumptions!$B$4*Assumptions!$B$9)*NORMSDIST(((LN(Assumptions!$B$2/$B17)+(Assumptions!$B$3-Assumptions!$B$4+(AJ$3/100)^2/2)*Assumptions!$B$9)/((AJ$3/100)*Assumptions!$B$10)))-$B17*EXP(-Assumptions!$B$3*Assumptions!$B$9)*NORMSDIST((((LN(Assumptions!$B$2/$B17)+(Assumptions!$B$3-Assumptions!$B$4+(AJ$3/100)^2/2)*Assumptions!$B$9)/((AJ$3/100)*Assumptions!$B$10))-(AJ$3/100)*Assumptions!$B$10)))))</f>
        <v/>
      </c>
      <c r="AK17" s="32">
        <f>IF((MAX(0,Assumptions!$B$2*EXP(-Assumptions!$B$4*Assumptions!$B$9)*NORMSDIST(((LN(Assumptions!$B$2/$B17)+(Assumptions!$B$3-Assumptions!$B$4+(AK$3/100)^2/2)*Assumptions!$B$9)/((AK$3/100)*Assumptions!$B$10)))-$B17*EXP(-Assumptions!$B$3*Assumptions!$B$9)*NORMSDIST((((LN(Assumptions!$B$2/$B17)+(Assumptions!$B$3-Assumptions!$B$4+(AK$3/100)^2/2)*Assumptions!$B$9)/((AK$3/100)*Assumptions!$B$10))-(AK$3/100)*Assumptions!$B$10))))&lt;=0,"",(Assumptions!$B$2*EXP(-Assumptions!$B$4*Assumptions!$B$9)*NORMDIST(((LN(Assumptions!$B$2/$B17)+(Assumptions!$B$3-Assumptions!$B$4+(AK$3/100)^2/2)*Assumptions!$B$9)/((AK$3/100)*Assumptions!$B$10)),0,1,FALSE)*Assumptions!$B$10*0.01)*((AK$3/100)/0.01)/(MAX(0,Assumptions!$B$2*EXP(-Assumptions!$B$4*Assumptions!$B$9)*NORMSDIST(((LN(Assumptions!$B$2/$B17)+(Assumptions!$B$3-Assumptions!$B$4+(AK$3/100)^2/2)*Assumptions!$B$9)/((AK$3/100)*Assumptions!$B$10)))-$B17*EXP(-Assumptions!$B$3*Assumptions!$B$9)*NORMSDIST((((LN(Assumptions!$B$2/$B17)+(Assumptions!$B$3-Assumptions!$B$4+(AK$3/100)^2/2)*Assumptions!$B$9)/((AK$3/100)*Assumptions!$B$10))-(AK$3/100)*Assumptions!$B$10)))))</f>
        <v/>
      </c>
      <c r="AL17" s="32">
        <f>IF((MAX(0,Assumptions!$B$2*EXP(-Assumptions!$B$4*Assumptions!$B$9)*NORMSDIST(((LN(Assumptions!$B$2/$B17)+(Assumptions!$B$3-Assumptions!$B$4+(AL$3/100)^2/2)*Assumptions!$B$9)/((AL$3/100)*Assumptions!$B$10)))-$B17*EXP(-Assumptions!$B$3*Assumptions!$B$9)*NORMSDIST((((LN(Assumptions!$B$2/$B17)+(Assumptions!$B$3-Assumptions!$B$4+(AL$3/100)^2/2)*Assumptions!$B$9)/((AL$3/100)*Assumptions!$B$10))-(AL$3/100)*Assumptions!$B$10))))&lt;=0,"",(Assumptions!$B$2*EXP(-Assumptions!$B$4*Assumptions!$B$9)*NORMDIST(((LN(Assumptions!$B$2/$B17)+(Assumptions!$B$3-Assumptions!$B$4+(AL$3/100)^2/2)*Assumptions!$B$9)/((AL$3/100)*Assumptions!$B$10)),0,1,FALSE)*Assumptions!$B$10*0.01)*((AL$3/100)/0.01)/(MAX(0,Assumptions!$B$2*EXP(-Assumptions!$B$4*Assumptions!$B$9)*NORMSDIST(((LN(Assumptions!$B$2/$B17)+(Assumptions!$B$3-Assumptions!$B$4+(AL$3/100)^2/2)*Assumptions!$B$9)/((AL$3/100)*Assumptions!$B$10)))-$B17*EXP(-Assumptions!$B$3*Assumptions!$B$9)*NORMSDIST((((LN(Assumptions!$B$2/$B17)+(Assumptions!$B$3-Assumptions!$B$4+(AL$3/100)^2/2)*Assumptions!$B$9)/((AL$3/100)*Assumptions!$B$10))-(AL$3/100)*Assumptions!$B$10)))))</f>
        <v/>
      </c>
      <c r="AM17" s="32">
        <f>IF((MAX(0,Assumptions!$B$2*EXP(-Assumptions!$B$4*Assumptions!$B$9)*NORMSDIST(((LN(Assumptions!$B$2/$B17)+(Assumptions!$B$3-Assumptions!$B$4+(AM$3/100)^2/2)*Assumptions!$B$9)/((AM$3/100)*Assumptions!$B$10)))-$B17*EXP(-Assumptions!$B$3*Assumptions!$B$9)*NORMSDIST((((LN(Assumptions!$B$2/$B17)+(Assumptions!$B$3-Assumptions!$B$4+(AM$3/100)^2/2)*Assumptions!$B$9)/((AM$3/100)*Assumptions!$B$10))-(AM$3/100)*Assumptions!$B$10))))&lt;=0,"",(Assumptions!$B$2*EXP(-Assumptions!$B$4*Assumptions!$B$9)*NORMDIST(((LN(Assumptions!$B$2/$B17)+(Assumptions!$B$3-Assumptions!$B$4+(AM$3/100)^2/2)*Assumptions!$B$9)/((AM$3/100)*Assumptions!$B$10)),0,1,FALSE)*Assumptions!$B$10*0.01)*((AM$3/100)/0.01)/(MAX(0,Assumptions!$B$2*EXP(-Assumptions!$B$4*Assumptions!$B$9)*NORMSDIST(((LN(Assumptions!$B$2/$B17)+(Assumptions!$B$3-Assumptions!$B$4+(AM$3/100)^2/2)*Assumptions!$B$9)/((AM$3/100)*Assumptions!$B$10)))-$B17*EXP(-Assumptions!$B$3*Assumptions!$B$9)*NORMSDIST((((LN(Assumptions!$B$2/$B17)+(Assumptions!$B$3-Assumptions!$B$4+(AM$3/100)^2/2)*Assumptions!$B$9)/((AM$3/100)*Assumptions!$B$10))-(AM$3/100)*Assumptions!$B$10)))))</f>
        <v/>
      </c>
      <c r="AN17" s="32">
        <f>IF((MAX(0,Assumptions!$B$2*EXP(-Assumptions!$B$4*Assumptions!$B$9)*NORMSDIST(((LN(Assumptions!$B$2/$B17)+(Assumptions!$B$3-Assumptions!$B$4+(AN$3/100)^2/2)*Assumptions!$B$9)/((AN$3/100)*Assumptions!$B$10)))-$B17*EXP(-Assumptions!$B$3*Assumptions!$B$9)*NORMSDIST((((LN(Assumptions!$B$2/$B17)+(Assumptions!$B$3-Assumptions!$B$4+(AN$3/100)^2/2)*Assumptions!$B$9)/((AN$3/100)*Assumptions!$B$10))-(AN$3/100)*Assumptions!$B$10))))&lt;=0,"",(Assumptions!$B$2*EXP(-Assumptions!$B$4*Assumptions!$B$9)*NORMDIST(((LN(Assumptions!$B$2/$B17)+(Assumptions!$B$3-Assumptions!$B$4+(AN$3/100)^2/2)*Assumptions!$B$9)/((AN$3/100)*Assumptions!$B$10)),0,1,FALSE)*Assumptions!$B$10*0.01)*((AN$3/100)/0.01)/(MAX(0,Assumptions!$B$2*EXP(-Assumptions!$B$4*Assumptions!$B$9)*NORMSDIST(((LN(Assumptions!$B$2/$B17)+(Assumptions!$B$3-Assumptions!$B$4+(AN$3/100)^2/2)*Assumptions!$B$9)/((AN$3/100)*Assumptions!$B$10)))-$B17*EXP(-Assumptions!$B$3*Assumptions!$B$9)*NORMSDIST((((LN(Assumptions!$B$2/$B17)+(Assumptions!$B$3-Assumptions!$B$4+(AN$3/100)^2/2)*Assumptions!$B$9)/((AN$3/100)*Assumptions!$B$10))-(AN$3/100)*Assumptions!$B$10)))))</f>
        <v/>
      </c>
      <c r="AO17" s="32">
        <f>IF((MAX(0,Assumptions!$B$2*EXP(-Assumptions!$B$4*Assumptions!$B$9)*NORMSDIST(((LN(Assumptions!$B$2/$B17)+(Assumptions!$B$3-Assumptions!$B$4+(AO$3/100)^2/2)*Assumptions!$B$9)/((AO$3/100)*Assumptions!$B$10)))-$B17*EXP(-Assumptions!$B$3*Assumptions!$B$9)*NORMSDIST((((LN(Assumptions!$B$2/$B17)+(Assumptions!$B$3-Assumptions!$B$4+(AO$3/100)^2/2)*Assumptions!$B$9)/((AO$3/100)*Assumptions!$B$10))-(AO$3/100)*Assumptions!$B$10))))&lt;=0,"",(Assumptions!$B$2*EXP(-Assumptions!$B$4*Assumptions!$B$9)*NORMDIST(((LN(Assumptions!$B$2/$B17)+(Assumptions!$B$3-Assumptions!$B$4+(AO$3/100)^2/2)*Assumptions!$B$9)/((AO$3/100)*Assumptions!$B$10)),0,1,FALSE)*Assumptions!$B$10*0.01)*((AO$3/100)/0.01)/(MAX(0,Assumptions!$B$2*EXP(-Assumptions!$B$4*Assumptions!$B$9)*NORMSDIST(((LN(Assumptions!$B$2/$B17)+(Assumptions!$B$3-Assumptions!$B$4+(AO$3/100)^2/2)*Assumptions!$B$9)/((AO$3/100)*Assumptions!$B$10)))-$B17*EXP(-Assumptions!$B$3*Assumptions!$B$9)*NORMSDIST((((LN(Assumptions!$B$2/$B17)+(Assumptions!$B$3-Assumptions!$B$4+(AO$3/100)^2/2)*Assumptions!$B$9)/((AO$3/100)*Assumptions!$B$10))-(AO$3/100)*Assumptions!$B$10)))))</f>
        <v/>
      </c>
      <c r="AP17" s="32">
        <f>IF((MAX(0,Assumptions!$B$2*EXP(-Assumptions!$B$4*Assumptions!$B$9)*NORMSDIST(((LN(Assumptions!$B$2/$B17)+(Assumptions!$B$3-Assumptions!$B$4+(AP$3/100)^2/2)*Assumptions!$B$9)/((AP$3/100)*Assumptions!$B$10)))-$B17*EXP(-Assumptions!$B$3*Assumptions!$B$9)*NORMSDIST((((LN(Assumptions!$B$2/$B17)+(Assumptions!$B$3-Assumptions!$B$4+(AP$3/100)^2/2)*Assumptions!$B$9)/((AP$3/100)*Assumptions!$B$10))-(AP$3/100)*Assumptions!$B$10))))&lt;=0,"",(Assumptions!$B$2*EXP(-Assumptions!$B$4*Assumptions!$B$9)*NORMDIST(((LN(Assumptions!$B$2/$B17)+(Assumptions!$B$3-Assumptions!$B$4+(AP$3/100)^2/2)*Assumptions!$B$9)/((AP$3/100)*Assumptions!$B$10)),0,1,FALSE)*Assumptions!$B$10*0.01)*((AP$3/100)/0.01)/(MAX(0,Assumptions!$B$2*EXP(-Assumptions!$B$4*Assumptions!$B$9)*NORMSDIST(((LN(Assumptions!$B$2/$B17)+(Assumptions!$B$3-Assumptions!$B$4+(AP$3/100)^2/2)*Assumptions!$B$9)/((AP$3/100)*Assumptions!$B$10)))-$B17*EXP(-Assumptions!$B$3*Assumptions!$B$9)*NORMSDIST((((LN(Assumptions!$B$2/$B17)+(Assumptions!$B$3-Assumptions!$B$4+(AP$3/100)^2/2)*Assumptions!$B$9)/((AP$3/100)*Assumptions!$B$10))-(AP$3/100)*Assumptions!$B$10)))))</f>
        <v/>
      </c>
      <c r="AQ17" s="32">
        <f>IF((MAX(0,Assumptions!$B$2*EXP(-Assumptions!$B$4*Assumptions!$B$9)*NORMSDIST(((LN(Assumptions!$B$2/$B17)+(Assumptions!$B$3-Assumptions!$B$4+(AQ$3/100)^2/2)*Assumptions!$B$9)/((AQ$3/100)*Assumptions!$B$10)))-$B17*EXP(-Assumptions!$B$3*Assumptions!$B$9)*NORMSDIST((((LN(Assumptions!$B$2/$B17)+(Assumptions!$B$3-Assumptions!$B$4+(AQ$3/100)^2/2)*Assumptions!$B$9)/((AQ$3/100)*Assumptions!$B$10))-(AQ$3/100)*Assumptions!$B$10))))&lt;=0,"",(Assumptions!$B$2*EXP(-Assumptions!$B$4*Assumptions!$B$9)*NORMDIST(((LN(Assumptions!$B$2/$B17)+(Assumptions!$B$3-Assumptions!$B$4+(AQ$3/100)^2/2)*Assumptions!$B$9)/((AQ$3/100)*Assumptions!$B$10)),0,1,FALSE)*Assumptions!$B$10*0.01)*((AQ$3/100)/0.01)/(MAX(0,Assumptions!$B$2*EXP(-Assumptions!$B$4*Assumptions!$B$9)*NORMSDIST(((LN(Assumptions!$B$2/$B17)+(Assumptions!$B$3-Assumptions!$B$4+(AQ$3/100)^2/2)*Assumptions!$B$9)/((AQ$3/100)*Assumptions!$B$10)))-$B17*EXP(-Assumptions!$B$3*Assumptions!$B$9)*NORMSDIST((((LN(Assumptions!$B$2/$B17)+(Assumptions!$B$3-Assumptions!$B$4+(AQ$3/100)^2/2)*Assumptions!$B$9)/((AQ$3/100)*Assumptions!$B$10))-(AQ$3/100)*Assumptions!$B$10)))))</f>
        <v/>
      </c>
      <c r="AR17" s="32">
        <f>IF((MAX(0,Assumptions!$B$2*EXP(-Assumptions!$B$4*Assumptions!$B$9)*NORMSDIST(((LN(Assumptions!$B$2/$B17)+(Assumptions!$B$3-Assumptions!$B$4+(AR$3/100)^2/2)*Assumptions!$B$9)/((AR$3/100)*Assumptions!$B$10)))-$B17*EXP(-Assumptions!$B$3*Assumptions!$B$9)*NORMSDIST((((LN(Assumptions!$B$2/$B17)+(Assumptions!$B$3-Assumptions!$B$4+(AR$3/100)^2/2)*Assumptions!$B$9)/((AR$3/100)*Assumptions!$B$10))-(AR$3/100)*Assumptions!$B$10))))&lt;=0,"",(Assumptions!$B$2*EXP(-Assumptions!$B$4*Assumptions!$B$9)*NORMDIST(((LN(Assumptions!$B$2/$B17)+(Assumptions!$B$3-Assumptions!$B$4+(AR$3/100)^2/2)*Assumptions!$B$9)/((AR$3/100)*Assumptions!$B$10)),0,1,FALSE)*Assumptions!$B$10*0.01)*((AR$3/100)/0.01)/(MAX(0,Assumptions!$B$2*EXP(-Assumptions!$B$4*Assumptions!$B$9)*NORMSDIST(((LN(Assumptions!$B$2/$B17)+(Assumptions!$B$3-Assumptions!$B$4+(AR$3/100)^2/2)*Assumptions!$B$9)/((AR$3/100)*Assumptions!$B$10)))-$B17*EXP(-Assumptions!$B$3*Assumptions!$B$9)*NORMSDIST((((LN(Assumptions!$B$2/$B17)+(Assumptions!$B$3-Assumptions!$B$4+(AR$3/100)^2/2)*Assumptions!$B$9)/((AR$3/100)*Assumptions!$B$10))-(AR$3/100)*Assumptions!$B$10)))))</f>
        <v/>
      </c>
      <c r="AS17" s="32">
        <f>IF((MAX(0,Assumptions!$B$2*EXP(-Assumptions!$B$4*Assumptions!$B$9)*NORMSDIST(((LN(Assumptions!$B$2/$B17)+(Assumptions!$B$3-Assumptions!$B$4+(AS$3/100)^2/2)*Assumptions!$B$9)/((AS$3/100)*Assumptions!$B$10)))-$B17*EXP(-Assumptions!$B$3*Assumptions!$B$9)*NORMSDIST((((LN(Assumptions!$B$2/$B17)+(Assumptions!$B$3-Assumptions!$B$4+(AS$3/100)^2/2)*Assumptions!$B$9)/((AS$3/100)*Assumptions!$B$10))-(AS$3/100)*Assumptions!$B$10))))&lt;=0,"",(Assumptions!$B$2*EXP(-Assumptions!$B$4*Assumptions!$B$9)*NORMDIST(((LN(Assumptions!$B$2/$B17)+(Assumptions!$B$3-Assumptions!$B$4+(AS$3/100)^2/2)*Assumptions!$B$9)/((AS$3/100)*Assumptions!$B$10)),0,1,FALSE)*Assumptions!$B$10*0.01)*((AS$3/100)/0.01)/(MAX(0,Assumptions!$B$2*EXP(-Assumptions!$B$4*Assumptions!$B$9)*NORMSDIST(((LN(Assumptions!$B$2/$B17)+(Assumptions!$B$3-Assumptions!$B$4+(AS$3/100)^2/2)*Assumptions!$B$9)/((AS$3/100)*Assumptions!$B$10)))-$B17*EXP(-Assumptions!$B$3*Assumptions!$B$9)*NORMSDIST((((LN(Assumptions!$B$2/$B17)+(Assumptions!$B$3-Assumptions!$B$4+(AS$3/100)^2/2)*Assumptions!$B$9)/((AS$3/100)*Assumptions!$B$10))-(AS$3/100)*Assumptions!$B$10)))))</f>
        <v/>
      </c>
      <c r="AT17" s="32">
        <f>IF((MAX(0,Assumptions!$B$2*EXP(-Assumptions!$B$4*Assumptions!$B$9)*NORMSDIST(((LN(Assumptions!$B$2/$B17)+(Assumptions!$B$3-Assumptions!$B$4+(AT$3/100)^2/2)*Assumptions!$B$9)/((AT$3/100)*Assumptions!$B$10)))-$B17*EXP(-Assumptions!$B$3*Assumptions!$B$9)*NORMSDIST((((LN(Assumptions!$B$2/$B17)+(Assumptions!$B$3-Assumptions!$B$4+(AT$3/100)^2/2)*Assumptions!$B$9)/((AT$3/100)*Assumptions!$B$10))-(AT$3/100)*Assumptions!$B$10))))&lt;=0,"",(Assumptions!$B$2*EXP(-Assumptions!$B$4*Assumptions!$B$9)*NORMDIST(((LN(Assumptions!$B$2/$B17)+(Assumptions!$B$3-Assumptions!$B$4+(AT$3/100)^2/2)*Assumptions!$B$9)/((AT$3/100)*Assumptions!$B$10)),0,1,FALSE)*Assumptions!$B$10*0.01)*((AT$3/100)/0.01)/(MAX(0,Assumptions!$B$2*EXP(-Assumptions!$B$4*Assumptions!$B$9)*NORMSDIST(((LN(Assumptions!$B$2/$B17)+(Assumptions!$B$3-Assumptions!$B$4+(AT$3/100)^2/2)*Assumptions!$B$9)/((AT$3/100)*Assumptions!$B$10)))-$B17*EXP(-Assumptions!$B$3*Assumptions!$B$9)*NORMSDIST((((LN(Assumptions!$B$2/$B17)+(Assumptions!$B$3-Assumptions!$B$4+(AT$3/100)^2/2)*Assumptions!$B$9)/((AT$3/100)*Assumptions!$B$10))-(AT$3/100)*Assumptions!$B$10)))))</f>
        <v/>
      </c>
      <c r="AU17" s="32">
        <f>IF((MAX(0,Assumptions!$B$2*EXP(-Assumptions!$B$4*Assumptions!$B$9)*NORMSDIST(((LN(Assumptions!$B$2/$B17)+(Assumptions!$B$3-Assumptions!$B$4+(AU$3/100)^2/2)*Assumptions!$B$9)/((AU$3/100)*Assumptions!$B$10)))-$B17*EXP(-Assumptions!$B$3*Assumptions!$B$9)*NORMSDIST((((LN(Assumptions!$B$2/$B17)+(Assumptions!$B$3-Assumptions!$B$4+(AU$3/100)^2/2)*Assumptions!$B$9)/((AU$3/100)*Assumptions!$B$10))-(AU$3/100)*Assumptions!$B$10))))&lt;=0,"",(Assumptions!$B$2*EXP(-Assumptions!$B$4*Assumptions!$B$9)*NORMDIST(((LN(Assumptions!$B$2/$B17)+(Assumptions!$B$3-Assumptions!$B$4+(AU$3/100)^2/2)*Assumptions!$B$9)/((AU$3/100)*Assumptions!$B$10)),0,1,FALSE)*Assumptions!$B$10*0.01)*((AU$3/100)/0.01)/(MAX(0,Assumptions!$B$2*EXP(-Assumptions!$B$4*Assumptions!$B$9)*NORMSDIST(((LN(Assumptions!$B$2/$B17)+(Assumptions!$B$3-Assumptions!$B$4+(AU$3/100)^2/2)*Assumptions!$B$9)/((AU$3/100)*Assumptions!$B$10)))-$B17*EXP(-Assumptions!$B$3*Assumptions!$B$9)*NORMSDIST((((LN(Assumptions!$B$2/$B17)+(Assumptions!$B$3-Assumptions!$B$4+(AU$3/100)^2/2)*Assumptions!$B$9)/((AU$3/100)*Assumptions!$B$10))-(AU$3/100)*Assumptions!$B$10)))))</f>
        <v/>
      </c>
      <c r="AV17" s="32">
        <f>IF((MAX(0,Assumptions!$B$2*EXP(-Assumptions!$B$4*Assumptions!$B$9)*NORMSDIST(((LN(Assumptions!$B$2/$B17)+(Assumptions!$B$3-Assumptions!$B$4+(AV$3/100)^2/2)*Assumptions!$B$9)/((AV$3/100)*Assumptions!$B$10)))-$B17*EXP(-Assumptions!$B$3*Assumptions!$B$9)*NORMSDIST((((LN(Assumptions!$B$2/$B17)+(Assumptions!$B$3-Assumptions!$B$4+(AV$3/100)^2/2)*Assumptions!$B$9)/((AV$3/100)*Assumptions!$B$10))-(AV$3/100)*Assumptions!$B$10))))&lt;=0,"",(Assumptions!$B$2*EXP(-Assumptions!$B$4*Assumptions!$B$9)*NORMDIST(((LN(Assumptions!$B$2/$B17)+(Assumptions!$B$3-Assumptions!$B$4+(AV$3/100)^2/2)*Assumptions!$B$9)/((AV$3/100)*Assumptions!$B$10)),0,1,FALSE)*Assumptions!$B$10*0.01)*((AV$3/100)/0.01)/(MAX(0,Assumptions!$B$2*EXP(-Assumptions!$B$4*Assumptions!$B$9)*NORMSDIST(((LN(Assumptions!$B$2/$B17)+(Assumptions!$B$3-Assumptions!$B$4+(AV$3/100)^2/2)*Assumptions!$B$9)/((AV$3/100)*Assumptions!$B$10)))-$B17*EXP(-Assumptions!$B$3*Assumptions!$B$9)*NORMSDIST((((LN(Assumptions!$B$2/$B17)+(Assumptions!$B$3-Assumptions!$B$4+(AV$3/100)^2/2)*Assumptions!$B$9)/((AV$3/100)*Assumptions!$B$10))-(AV$3/100)*Assumptions!$B$10)))))</f>
        <v/>
      </c>
    </row>
    <row r="18">
      <c r="A18" s="27" t="inlineStr">
        <is>
          <t>+1.50%</t>
        </is>
      </c>
      <c r="B18" s="47">
        <f>'BS Engine'!$B$16</f>
        <v/>
      </c>
      <c r="C18" s="28">
        <f>'BS Engine'!$C$16</f>
        <v/>
      </c>
      <c r="D18" s="54">
        <f>IF((MAX(0,Assumptions!$B$2*EXP(-Assumptions!$B$4*Assumptions!$B$9)*NORMSDIST(((LN(Assumptions!$B$2/$B18)+(Assumptions!$B$3-Assumptions!$B$4+(D$3/100)^2/2)*Assumptions!$B$9)/((D$3/100)*Assumptions!$B$10)))-$B18*EXP(-Assumptions!$B$3*Assumptions!$B$9)*NORMSDIST((((LN(Assumptions!$B$2/$B18)+(Assumptions!$B$3-Assumptions!$B$4+(D$3/100)^2/2)*Assumptions!$B$9)/((D$3/100)*Assumptions!$B$10))-(D$3/100)*Assumptions!$B$10))))&lt;=0,"",(Assumptions!$B$2*EXP(-Assumptions!$B$4*Assumptions!$B$9)*NORMDIST(((LN(Assumptions!$B$2/$B18)+(Assumptions!$B$3-Assumptions!$B$4+(D$3/100)^2/2)*Assumptions!$B$9)/((D$3/100)*Assumptions!$B$10)),0,1,FALSE)*Assumptions!$B$10*0.01)*((D$3/100)/0.01)/(MAX(0,Assumptions!$B$2*EXP(-Assumptions!$B$4*Assumptions!$B$9)*NORMSDIST(((LN(Assumptions!$B$2/$B18)+(Assumptions!$B$3-Assumptions!$B$4+(D$3/100)^2/2)*Assumptions!$B$9)/((D$3/100)*Assumptions!$B$10)))-$B18*EXP(-Assumptions!$B$3*Assumptions!$B$9)*NORMSDIST((((LN(Assumptions!$B$2/$B18)+(Assumptions!$B$3-Assumptions!$B$4+(D$3/100)^2/2)*Assumptions!$B$9)/((D$3/100)*Assumptions!$B$10))-(D$3/100)*Assumptions!$B$10)))))</f>
        <v/>
      </c>
      <c r="E18" s="32">
        <f>IF((MAX(0,Assumptions!$B$2*EXP(-Assumptions!$B$4*Assumptions!$B$9)*NORMSDIST(((LN(Assumptions!$B$2/$B18)+(Assumptions!$B$3-Assumptions!$B$4+(E$3/100)^2/2)*Assumptions!$B$9)/((E$3/100)*Assumptions!$B$10)))-$B18*EXP(-Assumptions!$B$3*Assumptions!$B$9)*NORMSDIST((((LN(Assumptions!$B$2/$B18)+(Assumptions!$B$3-Assumptions!$B$4+(E$3/100)^2/2)*Assumptions!$B$9)/((E$3/100)*Assumptions!$B$10))-(E$3/100)*Assumptions!$B$10))))&lt;=0,"",(Assumptions!$B$2*EXP(-Assumptions!$B$4*Assumptions!$B$9)*NORMDIST(((LN(Assumptions!$B$2/$B18)+(Assumptions!$B$3-Assumptions!$B$4+(E$3/100)^2/2)*Assumptions!$B$9)/((E$3/100)*Assumptions!$B$10)),0,1,FALSE)*Assumptions!$B$10*0.01)*((E$3/100)/0.01)/(MAX(0,Assumptions!$B$2*EXP(-Assumptions!$B$4*Assumptions!$B$9)*NORMSDIST(((LN(Assumptions!$B$2/$B18)+(Assumptions!$B$3-Assumptions!$B$4+(E$3/100)^2/2)*Assumptions!$B$9)/((E$3/100)*Assumptions!$B$10)))-$B18*EXP(-Assumptions!$B$3*Assumptions!$B$9)*NORMSDIST((((LN(Assumptions!$B$2/$B18)+(Assumptions!$B$3-Assumptions!$B$4+(E$3/100)^2/2)*Assumptions!$B$9)/((E$3/100)*Assumptions!$B$10))-(E$3/100)*Assumptions!$B$10)))))</f>
        <v/>
      </c>
      <c r="F18" s="32">
        <f>IF((MAX(0,Assumptions!$B$2*EXP(-Assumptions!$B$4*Assumptions!$B$9)*NORMSDIST(((LN(Assumptions!$B$2/$B18)+(Assumptions!$B$3-Assumptions!$B$4+(F$3/100)^2/2)*Assumptions!$B$9)/((F$3/100)*Assumptions!$B$10)))-$B18*EXP(-Assumptions!$B$3*Assumptions!$B$9)*NORMSDIST((((LN(Assumptions!$B$2/$B18)+(Assumptions!$B$3-Assumptions!$B$4+(F$3/100)^2/2)*Assumptions!$B$9)/((F$3/100)*Assumptions!$B$10))-(F$3/100)*Assumptions!$B$10))))&lt;=0,"",(Assumptions!$B$2*EXP(-Assumptions!$B$4*Assumptions!$B$9)*NORMDIST(((LN(Assumptions!$B$2/$B18)+(Assumptions!$B$3-Assumptions!$B$4+(F$3/100)^2/2)*Assumptions!$B$9)/((F$3/100)*Assumptions!$B$10)),0,1,FALSE)*Assumptions!$B$10*0.01)*((F$3/100)/0.01)/(MAX(0,Assumptions!$B$2*EXP(-Assumptions!$B$4*Assumptions!$B$9)*NORMSDIST(((LN(Assumptions!$B$2/$B18)+(Assumptions!$B$3-Assumptions!$B$4+(F$3/100)^2/2)*Assumptions!$B$9)/((F$3/100)*Assumptions!$B$10)))-$B18*EXP(-Assumptions!$B$3*Assumptions!$B$9)*NORMSDIST((((LN(Assumptions!$B$2/$B18)+(Assumptions!$B$3-Assumptions!$B$4+(F$3/100)^2/2)*Assumptions!$B$9)/((F$3/100)*Assumptions!$B$10))-(F$3/100)*Assumptions!$B$10)))))</f>
        <v/>
      </c>
      <c r="G18" s="32">
        <f>IF((MAX(0,Assumptions!$B$2*EXP(-Assumptions!$B$4*Assumptions!$B$9)*NORMSDIST(((LN(Assumptions!$B$2/$B18)+(Assumptions!$B$3-Assumptions!$B$4+(G$3/100)^2/2)*Assumptions!$B$9)/((G$3/100)*Assumptions!$B$10)))-$B18*EXP(-Assumptions!$B$3*Assumptions!$B$9)*NORMSDIST((((LN(Assumptions!$B$2/$B18)+(Assumptions!$B$3-Assumptions!$B$4+(G$3/100)^2/2)*Assumptions!$B$9)/((G$3/100)*Assumptions!$B$10))-(G$3/100)*Assumptions!$B$10))))&lt;=0,"",(Assumptions!$B$2*EXP(-Assumptions!$B$4*Assumptions!$B$9)*NORMDIST(((LN(Assumptions!$B$2/$B18)+(Assumptions!$B$3-Assumptions!$B$4+(G$3/100)^2/2)*Assumptions!$B$9)/((G$3/100)*Assumptions!$B$10)),0,1,FALSE)*Assumptions!$B$10*0.01)*((G$3/100)/0.01)/(MAX(0,Assumptions!$B$2*EXP(-Assumptions!$B$4*Assumptions!$B$9)*NORMSDIST(((LN(Assumptions!$B$2/$B18)+(Assumptions!$B$3-Assumptions!$B$4+(G$3/100)^2/2)*Assumptions!$B$9)/((G$3/100)*Assumptions!$B$10)))-$B18*EXP(-Assumptions!$B$3*Assumptions!$B$9)*NORMSDIST((((LN(Assumptions!$B$2/$B18)+(Assumptions!$B$3-Assumptions!$B$4+(G$3/100)^2/2)*Assumptions!$B$9)/((G$3/100)*Assumptions!$B$10))-(G$3/100)*Assumptions!$B$10)))))</f>
        <v/>
      </c>
      <c r="H18" s="32">
        <f>IF((MAX(0,Assumptions!$B$2*EXP(-Assumptions!$B$4*Assumptions!$B$9)*NORMSDIST(((LN(Assumptions!$B$2/$B18)+(Assumptions!$B$3-Assumptions!$B$4+(H$3/100)^2/2)*Assumptions!$B$9)/((H$3/100)*Assumptions!$B$10)))-$B18*EXP(-Assumptions!$B$3*Assumptions!$B$9)*NORMSDIST((((LN(Assumptions!$B$2/$B18)+(Assumptions!$B$3-Assumptions!$B$4+(H$3/100)^2/2)*Assumptions!$B$9)/((H$3/100)*Assumptions!$B$10))-(H$3/100)*Assumptions!$B$10))))&lt;=0,"",(Assumptions!$B$2*EXP(-Assumptions!$B$4*Assumptions!$B$9)*NORMDIST(((LN(Assumptions!$B$2/$B18)+(Assumptions!$B$3-Assumptions!$B$4+(H$3/100)^2/2)*Assumptions!$B$9)/((H$3/100)*Assumptions!$B$10)),0,1,FALSE)*Assumptions!$B$10*0.01)*((H$3/100)/0.01)/(MAX(0,Assumptions!$B$2*EXP(-Assumptions!$B$4*Assumptions!$B$9)*NORMSDIST(((LN(Assumptions!$B$2/$B18)+(Assumptions!$B$3-Assumptions!$B$4+(H$3/100)^2/2)*Assumptions!$B$9)/((H$3/100)*Assumptions!$B$10)))-$B18*EXP(-Assumptions!$B$3*Assumptions!$B$9)*NORMSDIST((((LN(Assumptions!$B$2/$B18)+(Assumptions!$B$3-Assumptions!$B$4+(H$3/100)^2/2)*Assumptions!$B$9)/((H$3/100)*Assumptions!$B$10))-(H$3/100)*Assumptions!$B$10)))))</f>
        <v/>
      </c>
      <c r="I18" s="32">
        <f>IF((MAX(0,Assumptions!$B$2*EXP(-Assumptions!$B$4*Assumptions!$B$9)*NORMSDIST(((LN(Assumptions!$B$2/$B18)+(Assumptions!$B$3-Assumptions!$B$4+(I$3/100)^2/2)*Assumptions!$B$9)/((I$3/100)*Assumptions!$B$10)))-$B18*EXP(-Assumptions!$B$3*Assumptions!$B$9)*NORMSDIST((((LN(Assumptions!$B$2/$B18)+(Assumptions!$B$3-Assumptions!$B$4+(I$3/100)^2/2)*Assumptions!$B$9)/((I$3/100)*Assumptions!$B$10))-(I$3/100)*Assumptions!$B$10))))&lt;=0,"",(Assumptions!$B$2*EXP(-Assumptions!$B$4*Assumptions!$B$9)*NORMDIST(((LN(Assumptions!$B$2/$B18)+(Assumptions!$B$3-Assumptions!$B$4+(I$3/100)^2/2)*Assumptions!$B$9)/((I$3/100)*Assumptions!$B$10)),0,1,FALSE)*Assumptions!$B$10*0.01)*((I$3/100)/0.01)/(MAX(0,Assumptions!$B$2*EXP(-Assumptions!$B$4*Assumptions!$B$9)*NORMSDIST(((LN(Assumptions!$B$2/$B18)+(Assumptions!$B$3-Assumptions!$B$4+(I$3/100)^2/2)*Assumptions!$B$9)/((I$3/100)*Assumptions!$B$10)))-$B18*EXP(-Assumptions!$B$3*Assumptions!$B$9)*NORMSDIST((((LN(Assumptions!$B$2/$B18)+(Assumptions!$B$3-Assumptions!$B$4+(I$3/100)^2/2)*Assumptions!$B$9)/((I$3/100)*Assumptions!$B$10))-(I$3/100)*Assumptions!$B$10)))))</f>
        <v/>
      </c>
      <c r="J18" s="32">
        <f>IF((MAX(0,Assumptions!$B$2*EXP(-Assumptions!$B$4*Assumptions!$B$9)*NORMSDIST(((LN(Assumptions!$B$2/$B18)+(Assumptions!$B$3-Assumptions!$B$4+(J$3/100)^2/2)*Assumptions!$B$9)/((J$3/100)*Assumptions!$B$10)))-$B18*EXP(-Assumptions!$B$3*Assumptions!$B$9)*NORMSDIST((((LN(Assumptions!$B$2/$B18)+(Assumptions!$B$3-Assumptions!$B$4+(J$3/100)^2/2)*Assumptions!$B$9)/((J$3/100)*Assumptions!$B$10))-(J$3/100)*Assumptions!$B$10))))&lt;=0,"",(Assumptions!$B$2*EXP(-Assumptions!$B$4*Assumptions!$B$9)*NORMDIST(((LN(Assumptions!$B$2/$B18)+(Assumptions!$B$3-Assumptions!$B$4+(J$3/100)^2/2)*Assumptions!$B$9)/((J$3/100)*Assumptions!$B$10)),0,1,FALSE)*Assumptions!$B$10*0.01)*((J$3/100)/0.01)/(MAX(0,Assumptions!$B$2*EXP(-Assumptions!$B$4*Assumptions!$B$9)*NORMSDIST(((LN(Assumptions!$B$2/$B18)+(Assumptions!$B$3-Assumptions!$B$4+(J$3/100)^2/2)*Assumptions!$B$9)/((J$3/100)*Assumptions!$B$10)))-$B18*EXP(-Assumptions!$B$3*Assumptions!$B$9)*NORMSDIST((((LN(Assumptions!$B$2/$B18)+(Assumptions!$B$3-Assumptions!$B$4+(J$3/100)^2/2)*Assumptions!$B$9)/((J$3/100)*Assumptions!$B$10))-(J$3/100)*Assumptions!$B$10)))))</f>
        <v/>
      </c>
      <c r="K18" s="32">
        <f>IF((MAX(0,Assumptions!$B$2*EXP(-Assumptions!$B$4*Assumptions!$B$9)*NORMSDIST(((LN(Assumptions!$B$2/$B18)+(Assumptions!$B$3-Assumptions!$B$4+(K$3/100)^2/2)*Assumptions!$B$9)/((K$3/100)*Assumptions!$B$10)))-$B18*EXP(-Assumptions!$B$3*Assumptions!$B$9)*NORMSDIST((((LN(Assumptions!$B$2/$B18)+(Assumptions!$B$3-Assumptions!$B$4+(K$3/100)^2/2)*Assumptions!$B$9)/((K$3/100)*Assumptions!$B$10))-(K$3/100)*Assumptions!$B$10))))&lt;=0,"",(Assumptions!$B$2*EXP(-Assumptions!$B$4*Assumptions!$B$9)*NORMDIST(((LN(Assumptions!$B$2/$B18)+(Assumptions!$B$3-Assumptions!$B$4+(K$3/100)^2/2)*Assumptions!$B$9)/((K$3/100)*Assumptions!$B$10)),0,1,FALSE)*Assumptions!$B$10*0.01)*((K$3/100)/0.01)/(MAX(0,Assumptions!$B$2*EXP(-Assumptions!$B$4*Assumptions!$B$9)*NORMSDIST(((LN(Assumptions!$B$2/$B18)+(Assumptions!$B$3-Assumptions!$B$4+(K$3/100)^2/2)*Assumptions!$B$9)/((K$3/100)*Assumptions!$B$10)))-$B18*EXP(-Assumptions!$B$3*Assumptions!$B$9)*NORMSDIST((((LN(Assumptions!$B$2/$B18)+(Assumptions!$B$3-Assumptions!$B$4+(K$3/100)^2/2)*Assumptions!$B$9)/((K$3/100)*Assumptions!$B$10))-(K$3/100)*Assumptions!$B$10)))))</f>
        <v/>
      </c>
      <c r="L18" s="32">
        <f>IF((MAX(0,Assumptions!$B$2*EXP(-Assumptions!$B$4*Assumptions!$B$9)*NORMSDIST(((LN(Assumptions!$B$2/$B18)+(Assumptions!$B$3-Assumptions!$B$4+(L$3/100)^2/2)*Assumptions!$B$9)/((L$3/100)*Assumptions!$B$10)))-$B18*EXP(-Assumptions!$B$3*Assumptions!$B$9)*NORMSDIST((((LN(Assumptions!$B$2/$B18)+(Assumptions!$B$3-Assumptions!$B$4+(L$3/100)^2/2)*Assumptions!$B$9)/((L$3/100)*Assumptions!$B$10))-(L$3/100)*Assumptions!$B$10))))&lt;=0,"",(Assumptions!$B$2*EXP(-Assumptions!$B$4*Assumptions!$B$9)*NORMDIST(((LN(Assumptions!$B$2/$B18)+(Assumptions!$B$3-Assumptions!$B$4+(L$3/100)^2/2)*Assumptions!$B$9)/((L$3/100)*Assumptions!$B$10)),0,1,FALSE)*Assumptions!$B$10*0.01)*((L$3/100)/0.01)/(MAX(0,Assumptions!$B$2*EXP(-Assumptions!$B$4*Assumptions!$B$9)*NORMSDIST(((LN(Assumptions!$B$2/$B18)+(Assumptions!$B$3-Assumptions!$B$4+(L$3/100)^2/2)*Assumptions!$B$9)/((L$3/100)*Assumptions!$B$10)))-$B18*EXP(-Assumptions!$B$3*Assumptions!$B$9)*NORMSDIST((((LN(Assumptions!$B$2/$B18)+(Assumptions!$B$3-Assumptions!$B$4+(L$3/100)^2/2)*Assumptions!$B$9)/((L$3/100)*Assumptions!$B$10))-(L$3/100)*Assumptions!$B$10)))))</f>
        <v/>
      </c>
      <c r="M18" s="32">
        <f>IF((MAX(0,Assumptions!$B$2*EXP(-Assumptions!$B$4*Assumptions!$B$9)*NORMSDIST(((LN(Assumptions!$B$2/$B18)+(Assumptions!$B$3-Assumptions!$B$4+(M$3/100)^2/2)*Assumptions!$B$9)/((M$3/100)*Assumptions!$B$10)))-$B18*EXP(-Assumptions!$B$3*Assumptions!$B$9)*NORMSDIST((((LN(Assumptions!$B$2/$B18)+(Assumptions!$B$3-Assumptions!$B$4+(M$3/100)^2/2)*Assumptions!$B$9)/((M$3/100)*Assumptions!$B$10))-(M$3/100)*Assumptions!$B$10))))&lt;=0,"",(Assumptions!$B$2*EXP(-Assumptions!$B$4*Assumptions!$B$9)*NORMDIST(((LN(Assumptions!$B$2/$B18)+(Assumptions!$B$3-Assumptions!$B$4+(M$3/100)^2/2)*Assumptions!$B$9)/((M$3/100)*Assumptions!$B$10)),0,1,FALSE)*Assumptions!$B$10*0.01)*((M$3/100)/0.01)/(MAX(0,Assumptions!$B$2*EXP(-Assumptions!$B$4*Assumptions!$B$9)*NORMSDIST(((LN(Assumptions!$B$2/$B18)+(Assumptions!$B$3-Assumptions!$B$4+(M$3/100)^2/2)*Assumptions!$B$9)/((M$3/100)*Assumptions!$B$10)))-$B18*EXP(-Assumptions!$B$3*Assumptions!$B$9)*NORMSDIST((((LN(Assumptions!$B$2/$B18)+(Assumptions!$B$3-Assumptions!$B$4+(M$3/100)^2/2)*Assumptions!$B$9)/((M$3/100)*Assumptions!$B$10))-(M$3/100)*Assumptions!$B$10)))))</f>
        <v/>
      </c>
      <c r="N18" s="32">
        <f>IF((MAX(0,Assumptions!$B$2*EXP(-Assumptions!$B$4*Assumptions!$B$9)*NORMSDIST(((LN(Assumptions!$B$2/$B18)+(Assumptions!$B$3-Assumptions!$B$4+(N$3/100)^2/2)*Assumptions!$B$9)/((N$3/100)*Assumptions!$B$10)))-$B18*EXP(-Assumptions!$B$3*Assumptions!$B$9)*NORMSDIST((((LN(Assumptions!$B$2/$B18)+(Assumptions!$B$3-Assumptions!$B$4+(N$3/100)^2/2)*Assumptions!$B$9)/((N$3/100)*Assumptions!$B$10))-(N$3/100)*Assumptions!$B$10))))&lt;=0,"",(Assumptions!$B$2*EXP(-Assumptions!$B$4*Assumptions!$B$9)*NORMDIST(((LN(Assumptions!$B$2/$B18)+(Assumptions!$B$3-Assumptions!$B$4+(N$3/100)^2/2)*Assumptions!$B$9)/((N$3/100)*Assumptions!$B$10)),0,1,FALSE)*Assumptions!$B$10*0.01)*((N$3/100)/0.01)/(MAX(0,Assumptions!$B$2*EXP(-Assumptions!$B$4*Assumptions!$B$9)*NORMSDIST(((LN(Assumptions!$B$2/$B18)+(Assumptions!$B$3-Assumptions!$B$4+(N$3/100)^2/2)*Assumptions!$B$9)/((N$3/100)*Assumptions!$B$10)))-$B18*EXP(-Assumptions!$B$3*Assumptions!$B$9)*NORMSDIST((((LN(Assumptions!$B$2/$B18)+(Assumptions!$B$3-Assumptions!$B$4+(N$3/100)^2/2)*Assumptions!$B$9)/((N$3/100)*Assumptions!$B$10))-(N$3/100)*Assumptions!$B$10)))))</f>
        <v/>
      </c>
      <c r="O18" s="32">
        <f>IF((MAX(0,Assumptions!$B$2*EXP(-Assumptions!$B$4*Assumptions!$B$9)*NORMSDIST(((LN(Assumptions!$B$2/$B18)+(Assumptions!$B$3-Assumptions!$B$4+(O$3/100)^2/2)*Assumptions!$B$9)/((O$3/100)*Assumptions!$B$10)))-$B18*EXP(-Assumptions!$B$3*Assumptions!$B$9)*NORMSDIST((((LN(Assumptions!$B$2/$B18)+(Assumptions!$B$3-Assumptions!$B$4+(O$3/100)^2/2)*Assumptions!$B$9)/((O$3/100)*Assumptions!$B$10))-(O$3/100)*Assumptions!$B$10))))&lt;=0,"",(Assumptions!$B$2*EXP(-Assumptions!$B$4*Assumptions!$B$9)*NORMDIST(((LN(Assumptions!$B$2/$B18)+(Assumptions!$B$3-Assumptions!$B$4+(O$3/100)^2/2)*Assumptions!$B$9)/((O$3/100)*Assumptions!$B$10)),0,1,FALSE)*Assumptions!$B$10*0.01)*((O$3/100)/0.01)/(MAX(0,Assumptions!$B$2*EXP(-Assumptions!$B$4*Assumptions!$B$9)*NORMSDIST(((LN(Assumptions!$B$2/$B18)+(Assumptions!$B$3-Assumptions!$B$4+(O$3/100)^2/2)*Assumptions!$B$9)/((O$3/100)*Assumptions!$B$10)))-$B18*EXP(-Assumptions!$B$3*Assumptions!$B$9)*NORMSDIST((((LN(Assumptions!$B$2/$B18)+(Assumptions!$B$3-Assumptions!$B$4+(O$3/100)^2/2)*Assumptions!$B$9)/((O$3/100)*Assumptions!$B$10))-(O$3/100)*Assumptions!$B$10)))))</f>
        <v/>
      </c>
      <c r="P18" s="32">
        <f>IF((MAX(0,Assumptions!$B$2*EXP(-Assumptions!$B$4*Assumptions!$B$9)*NORMSDIST(((LN(Assumptions!$B$2/$B18)+(Assumptions!$B$3-Assumptions!$B$4+(P$3/100)^2/2)*Assumptions!$B$9)/((P$3/100)*Assumptions!$B$10)))-$B18*EXP(-Assumptions!$B$3*Assumptions!$B$9)*NORMSDIST((((LN(Assumptions!$B$2/$B18)+(Assumptions!$B$3-Assumptions!$B$4+(P$3/100)^2/2)*Assumptions!$B$9)/((P$3/100)*Assumptions!$B$10))-(P$3/100)*Assumptions!$B$10))))&lt;=0,"",(Assumptions!$B$2*EXP(-Assumptions!$B$4*Assumptions!$B$9)*NORMDIST(((LN(Assumptions!$B$2/$B18)+(Assumptions!$B$3-Assumptions!$B$4+(P$3/100)^2/2)*Assumptions!$B$9)/((P$3/100)*Assumptions!$B$10)),0,1,FALSE)*Assumptions!$B$10*0.01)*((P$3/100)/0.01)/(MAX(0,Assumptions!$B$2*EXP(-Assumptions!$B$4*Assumptions!$B$9)*NORMSDIST(((LN(Assumptions!$B$2/$B18)+(Assumptions!$B$3-Assumptions!$B$4+(P$3/100)^2/2)*Assumptions!$B$9)/((P$3/100)*Assumptions!$B$10)))-$B18*EXP(-Assumptions!$B$3*Assumptions!$B$9)*NORMSDIST((((LN(Assumptions!$B$2/$B18)+(Assumptions!$B$3-Assumptions!$B$4+(P$3/100)^2/2)*Assumptions!$B$9)/((P$3/100)*Assumptions!$B$10))-(P$3/100)*Assumptions!$B$10)))))</f>
        <v/>
      </c>
      <c r="Q18" s="32">
        <f>IF((MAX(0,Assumptions!$B$2*EXP(-Assumptions!$B$4*Assumptions!$B$9)*NORMSDIST(((LN(Assumptions!$B$2/$B18)+(Assumptions!$B$3-Assumptions!$B$4+(Q$3/100)^2/2)*Assumptions!$B$9)/((Q$3/100)*Assumptions!$B$10)))-$B18*EXP(-Assumptions!$B$3*Assumptions!$B$9)*NORMSDIST((((LN(Assumptions!$B$2/$B18)+(Assumptions!$B$3-Assumptions!$B$4+(Q$3/100)^2/2)*Assumptions!$B$9)/((Q$3/100)*Assumptions!$B$10))-(Q$3/100)*Assumptions!$B$10))))&lt;=0,"",(Assumptions!$B$2*EXP(-Assumptions!$B$4*Assumptions!$B$9)*NORMDIST(((LN(Assumptions!$B$2/$B18)+(Assumptions!$B$3-Assumptions!$B$4+(Q$3/100)^2/2)*Assumptions!$B$9)/((Q$3/100)*Assumptions!$B$10)),0,1,FALSE)*Assumptions!$B$10*0.01)*((Q$3/100)/0.01)/(MAX(0,Assumptions!$B$2*EXP(-Assumptions!$B$4*Assumptions!$B$9)*NORMSDIST(((LN(Assumptions!$B$2/$B18)+(Assumptions!$B$3-Assumptions!$B$4+(Q$3/100)^2/2)*Assumptions!$B$9)/((Q$3/100)*Assumptions!$B$10)))-$B18*EXP(-Assumptions!$B$3*Assumptions!$B$9)*NORMSDIST((((LN(Assumptions!$B$2/$B18)+(Assumptions!$B$3-Assumptions!$B$4+(Q$3/100)^2/2)*Assumptions!$B$9)/((Q$3/100)*Assumptions!$B$10))-(Q$3/100)*Assumptions!$B$10)))))</f>
        <v/>
      </c>
      <c r="R18" s="32">
        <f>IF((MAX(0,Assumptions!$B$2*EXP(-Assumptions!$B$4*Assumptions!$B$9)*NORMSDIST(((LN(Assumptions!$B$2/$B18)+(Assumptions!$B$3-Assumptions!$B$4+(R$3/100)^2/2)*Assumptions!$B$9)/((R$3/100)*Assumptions!$B$10)))-$B18*EXP(-Assumptions!$B$3*Assumptions!$B$9)*NORMSDIST((((LN(Assumptions!$B$2/$B18)+(Assumptions!$B$3-Assumptions!$B$4+(R$3/100)^2/2)*Assumptions!$B$9)/((R$3/100)*Assumptions!$B$10))-(R$3/100)*Assumptions!$B$10))))&lt;=0,"",(Assumptions!$B$2*EXP(-Assumptions!$B$4*Assumptions!$B$9)*NORMDIST(((LN(Assumptions!$B$2/$B18)+(Assumptions!$B$3-Assumptions!$B$4+(R$3/100)^2/2)*Assumptions!$B$9)/((R$3/100)*Assumptions!$B$10)),0,1,FALSE)*Assumptions!$B$10*0.01)*((R$3/100)/0.01)/(MAX(0,Assumptions!$B$2*EXP(-Assumptions!$B$4*Assumptions!$B$9)*NORMSDIST(((LN(Assumptions!$B$2/$B18)+(Assumptions!$B$3-Assumptions!$B$4+(R$3/100)^2/2)*Assumptions!$B$9)/((R$3/100)*Assumptions!$B$10)))-$B18*EXP(-Assumptions!$B$3*Assumptions!$B$9)*NORMSDIST((((LN(Assumptions!$B$2/$B18)+(Assumptions!$B$3-Assumptions!$B$4+(R$3/100)^2/2)*Assumptions!$B$9)/((R$3/100)*Assumptions!$B$10))-(R$3/100)*Assumptions!$B$10)))))</f>
        <v/>
      </c>
      <c r="S18" s="32">
        <f>IF((MAX(0,Assumptions!$B$2*EXP(-Assumptions!$B$4*Assumptions!$B$9)*NORMSDIST(((LN(Assumptions!$B$2/$B18)+(Assumptions!$B$3-Assumptions!$B$4+(S$3/100)^2/2)*Assumptions!$B$9)/((S$3/100)*Assumptions!$B$10)))-$B18*EXP(-Assumptions!$B$3*Assumptions!$B$9)*NORMSDIST((((LN(Assumptions!$B$2/$B18)+(Assumptions!$B$3-Assumptions!$B$4+(S$3/100)^2/2)*Assumptions!$B$9)/((S$3/100)*Assumptions!$B$10))-(S$3/100)*Assumptions!$B$10))))&lt;=0,"",(Assumptions!$B$2*EXP(-Assumptions!$B$4*Assumptions!$B$9)*NORMDIST(((LN(Assumptions!$B$2/$B18)+(Assumptions!$B$3-Assumptions!$B$4+(S$3/100)^2/2)*Assumptions!$B$9)/((S$3/100)*Assumptions!$B$10)),0,1,FALSE)*Assumptions!$B$10*0.01)*((S$3/100)/0.01)/(MAX(0,Assumptions!$B$2*EXP(-Assumptions!$B$4*Assumptions!$B$9)*NORMSDIST(((LN(Assumptions!$B$2/$B18)+(Assumptions!$B$3-Assumptions!$B$4+(S$3/100)^2/2)*Assumptions!$B$9)/((S$3/100)*Assumptions!$B$10)))-$B18*EXP(-Assumptions!$B$3*Assumptions!$B$9)*NORMSDIST((((LN(Assumptions!$B$2/$B18)+(Assumptions!$B$3-Assumptions!$B$4+(S$3/100)^2/2)*Assumptions!$B$9)/((S$3/100)*Assumptions!$B$10))-(S$3/100)*Assumptions!$B$10)))))</f>
        <v/>
      </c>
      <c r="T18" s="32">
        <f>IF((MAX(0,Assumptions!$B$2*EXP(-Assumptions!$B$4*Assumptions!$B$9)*NORMSDIST(((LN(Assumptions!$B$2/$B18)+(Assumptions!$B$3-Assumptions!$B$4+(T$3/100)^2/2)*Assumptions!$B$9)/((T$3/100)*Assumptions!$B$10)))-$B18*EXP(-Assumptions!$B$3*Assumptions!$B$9)*NORMSDIST((((LN(Assumptions!$B$2/$B18)+(Assumptions!$B$3-Assumptions!$B$4+(T$3/100)^2/2)*Assumptions!$B$9)/((T$3/100)*Assumptions!$B$10))-(T$3/100)*Assumptions!$B$10))))&lt;=0,"",(Assumptions!$B$2*EXP(-Assumptions!$B$4*Assumptions!$B$9)*NORMDIST(((LN(Assumptions!$B$2/$B18)+(Assumptions!$B$3-Assumptions!$B$4+(T$3/100)^2/2)*Assumptions!$B$9)/((T$3/100)*Assumptions!$B$10)),0,1,FALSE)*Assumptions!$B$10*0.01)*((T$3/100)/0.01)/(MAX(0,Assumptions!$B$2*EXP(-Assumptions!$B$4*Assumptions!$B$9)*NORMSDIST(((LN(Assumptions!$B$2/$B18)+(Assumptions!$B$3-Assumptions!$B$4+(T$3/100)^2/2)*Assumptions!$B$9)/((T$3/100)*Assumptions!$B$10)))-$B18*EXP(-Assumptions!$B$3*Assumptions!$B$9)*NORMSDIST((((LN(Assumptions!$B$2/$B18)+(Assumptions!$B$3-Assumptions!$B$4+(T$3/100)^2/2)*Assumptions!$B$9)/((T$3/100)*Assumptions!$B$10))-(T$3/100)*Assumptions!$B$10)))))</f>
        <v/>
      </c>
      <c r="U18" s="32">
        <f>IF((MAX(0,Assumptions!$B$2*EXP(-Assumptions!$B$4*Assumptions!$B$9)*NORMSDIST(((LN(Assumptions!$B$2/$B18)+(Assumptions!$B$3-Assumptions!$B$4+(U$3/100)^2/2)*Assumptions!$B$9)/((U$3/100)*Assumptions!$B$10)))-$B18*EXP(-Assumptions!$B$3*Assumptions!$B$9)*NORMSDIST((((LN(Assumptions!$B$2/$B18)+(Assumptions!$B$3-Assumptions!$B$4+(U$3/100)^2/2)*Assumptions!$B$9)/((U$3/100)*Assumptions!$B$10))-(U$3/100)*Assumptions!$B$10))))&lt;=0,"",(Assumptions!$B$2*EXP(-Assumptions!$B$4*Assumptions!$B$9)*NORMDIST(((LN(Assumptions!$B$2/$B18)+(Assumptions!$B$3-Assumptions!$B$4+(U$3/100)^2/2)*Assumptions!$B$9)/((U$3/100)*Assumptions!$B$10)),0,1,FALSE)*Assumptions!$B$10*0.01)*((U$3/100)/0.01)/(MAX(0,Assumptions!$B$2*EXP(-Assumptions!$B$4*Assumptions!$B$9)*NORMSDIST(((LN(Assumptions!$B$2/$B18)+(Assumptions!$B$3-Assumptions!$B$4+(U$3/100)^2/2)*Assumptions!$B$9)/((U$3/100)*Assumptions!$B$10)))-$B18*EXP(-Assumptions!$B$3*Assumptions!$B$9)*NORMSDIST((((LN(Assumptions!$B$2/$B18)+(Assumptions!$B$3-Assumptions!$B$4+(U$3/100)^2/2)*Assumptions!$B$9)/((U$3/100)*Assumptions!$B$10))-(U$3/100)*Assumptions!$B$10)))))</f>
        <v/>
      </c>
      <c r="V18" s="32">
        <f>IF((MAX(0,Assumptions!$B$2*EXP(-Assumptions!$B$4*Assumptions!$B$9)*NORMSDIST(((LN(Assumptions!$B$2/$B18)+(Assumptions!$B$3-Assumptions!$B$4+(V$3/100)^2/2)*Assumptions!$B$9)/((V$3/100)*Assumptions!$B$10)))-$B18*EXP(-Assumptions!$B$3*Assumptions!$B$9)*NORMSDIST((((LN(Assumptions!$B$2/$B18)+(Assumptions!$B$3-Assumptions!$B$4+(V$3/100)^2/2)*Assumptions!$B$9)/((V$3/100)*Assumptions!$B$10))-(V$3/100)*Assumptions!$B$10))))&lt;=0,"",(Assumptions!$B$2*EXP(-Assumptions!$B$4*Assumptions!$B$9)*NORMDIST(((LN(Assumptions!$B$2/$B18)+(Assumptions!$B$3-Assumptions!$B$4+(V$3/100)^2/2)*Assumptions!$B$9)/((V$3/100)*Assumptions!$B$10)),0,1,FALSE)*Assumptions!$B$10*0.01)*((V$3/100)/0.01)/(MAX(0,Assumptions!$B$2*EXP(-Assumptions!$B$4*Assumptions!$B$9)*NORMSDIST(((LN(Assumptions!$B$2/$B18)+(Assumptions!$B$3-Assumptions!$B$4+(V$3/100)^2/2)*Assumptions!$B$9)/((V$3/100)*Assumptions!$B$10)))-$B18*EXP(-Assumptions!$B$3*Assumptions!$B$9)*NORMSDIST((((LN(Assumptions!$B$2/$B18)+(Assumptions!$B$3-Assumptions!$B$4+(V$3/100)^2/2)*Assumptions!$B$9)/((V$3/100)*Assumptions!$B$10))-(V$3/100)*Assumptions!$B$10)))))</f>
        <v/>
      </c>
      <c r="W18" s="32">
        <f>IF((MAX(0,Assumptions!$B$2*EXP(-Assumptions!$B$4*Assumptions!$B$9)*NORMSDIST(((LN(Assumptions!$B$2/$B18)+(Assumptions!$B$3-Assumptions!$B$4+(W$3/100)^2/2)*Assumptions!$B$9)/((W$3/100)*Assumptions!$B$10)))-$B18*EXP(-Assumptions!$B$3*Assumptions!$B$9)*NORMSDIST((((LN(Assumptions!$B$2/$B18)+(Assumptions!$B$3-Assumptions!$B$4+(W$3/100)^2/2)*Assumptions!$B$9)/((W$3/100)*Assumptions!$B$10))-(W$3/100)*Assumptions!$B$10))))&lt;=0,"",(Assumptions!$B$2*EXP(-Assumptions!$B$4*Assumptions!$B$9)*NORMDIST(((LN(Assumptions!$B$2/$B18)+(Assumptions!$B$3-Assumptions!$B$4+(W$3/100)^2/2)*Assumptions!$B$9)/((W$3/100)*Assumptions!$B$10)),0,1,FALSE)*Assumptions!$B$10*0.01)*((W$3/100)/0.01)/(MAX(0,Assumptions!$B$2*EXP(-Assumptions!$B$4*Assumptions!$B$9)*NORMSDIST(((LN(Assumptions!$B$2/$B18)+(Assumptions!$B$3-Assumptions!$B$4+(W$3/100)^2/2)*Assumptions!$B$9)/((W$3/100)*Assumptions!$B$10)))-$B18*EXP(-Assumptions!$B$3*Assumptions!$B$9)*NORMSDIST((((LN(Assumptions!$B$2/$B18)+(Assumptions!$B$3-Assumptions!$B$4+(W$3/100)^2/2)*Assumptions!$B$9)/((W$3/100)*Assumptions!$B$10))-(W$3/100)*Assumptions!$B$10)))))</f>
        <v/>
      </c>
      <c r="X18" s="32">
        <f>IF((MAX(0,Assumptions!$B$2*EXP(-Assumptions!$B$4*Assumptions!$B$9)*NORMSDIST(((LN(Assumptions!$B$2/$B18)+(Assumptions!$B$3-Assumptions!$B$4+(X$3/100)^2/2)*Assumptions!$B$9)/((X$3/100)*Assumptions!$B$10)))-$B18*EXP(-Assumptions!$B$3*Assumptions!$B$9)*NORMSDIST((((LN(Assumptions!$B$2/$B18)+(Assumptions!$B$3-Assumptions!$B$4+(X$3/100)^2/2)*Assumptions!$B$9)/((X$3/100)*Assumptions!$B$10))-(X$3/100)*Assumptions!$B$10))))&lt;=0,"",(Assumptions!$B$2*EXP(-Assumptions!$B$4*Assumptions!$B$9)*NORMDIST(((LN(Assumptions!$B$2/$B18)+(Assumptions!$B$3-Assumptions!$B$4+(X$3/100)^2/2)*Assumptions!$B$9)/((X$3/100)*Assumptions!$B$10)),0,1,FALSE)*Assumptions!$B$10*0.01)*((X$3/100)/0.01)/(MAX(0,Assumptions!$B$2*EXP(-Assumptions!$B$4*Assumptions!$B$9)*NORMSDIST(((LN(Assumptions!$B$2/$B18)+(Assumptions!$B$3-Assumptions!$B$4+(X$3/100)^2/2)*Assumptions!$B$9)/((X$3/100)*Assumptions!$B$10)))-$B18*EXP(-Assumptions!$B$3*Assumptions!$B$9)*NORMSDIST((((LN(Assumptions!$B$2/$B18)+(Assumptions!$B$3-Assumptions!$B$4+(X$3/100)^2/2)*Assumptions!$B$9)/((X$3/100)*Assumptions!$B$10))-(X$3/100)*Assumptions!$B$10)))))</f>
        <v/>
      </c>
      <c r="Y18" s="32">
        <f>IF((MAX(0,Assumptions!$B$2*EXP(-Assumptions!$B$4*Assumptions!$B$9)*NORMSDIST(((LN(Assumptions!$B$2/$B18)+(Assumptions!$B$3-Assumptions!$B$4+(Y$3/100)^2/2)*Assumptions!$B$9)/((Y$3/100)*Assumptions!$B$10)))-$B18*EXP(-Assumptions!$B$3*Assumptions!$B$9)*NORMSDIST((((LN(Assumptions!$B$2/$B18)+(Assumptions!$B$3-Assumptions!$B$4+(Y$3/100)^2/2)*Assumptions!$B$9)/((Y$3/100)*Assumptions!$B$10))-(Y$3/100)*Assumptions!$B$10))))&lt;=0,"",(Assumptions!$B$2*EXP(-Assumptions!$B$4*Assumptions!$B$9)*NORMDIST(((LN(Assumptions!$B$2/$B18)+(Assumptions!$B$3-Assumptions!$B$4+(Y$3/100)^2/2)*Assumptions!$B$9)/((Y$3/100)*Assumptions!$B$10)),0,1,FALSE)*Assumptions!$B$10*0.01)*((Y$3/100)/0.01)/(MAX(0,Assumptions!$B$2*EXP(-Assumptions!$B$4*Assumptions!$B$9)*NORMSDIST(((LN(Assumptions!$B$2/$B18)+(Assumptions!$B$3-Assumptions!$B$4+(Y$3/100)^2/2)*Assumptions!$B$9)/((Y$3/100)*Assumptions!$B$10)))-$B18*EXP(-Assumptions!$B$3*Assumptions!$B$9)*NORMSDIST((((LN(Assumptions!$B$2/$B18)+(Assumptions!$B$3-Assumptions!$B$4+(Y$3/100)^2/2)*Assumptions!$B$9)/((Y$3/100)*Assumptions!$B$10))-(Y$3/100)*Assumptions!$B$10)))))</f>
        <v/>
      </c>
      <c r="Z18" s="32">
        <f>IF((MAX(0,Assumptions!$B$2*EXP(-Assumptions!$B$4*Assumptions!$B$9)*NORMSDIST(((LN(Assumptions!$B$2/$B18)+(Assumptions!$B$3-Assumptions!$B$4+(Z$3/100)^2/2)*Assumptions!$B$9)/((Z$3/100)*Assumptions!$B$10)))-$B18*EXP(-Assumptions!$B$3*Assumptions!$B$9)*NORMSDIST((((LN(Assumptions!$B$2/$B18)+(Assumptions!$B$3-Assumptions!$B$4+(Z$3/100)^2/2)*Assumptions!$B$9)/((Z$3/100)*Assumptions!$B$10))-(Z$3/100)*Assumptions!$B$10))))&lt;=0,"",(Assumptions!$B$2*EXP(-Assumptions!$B$4*Assumptions!$B$9)*NORMDIST(((LN(Assumptions!$B$2/$B18)+(Assumptions!$B$3-Assumptions!$B$4+(Z$3/100)^2/2)*Assumptions!$B$9)/((Z$3/100)*Assumptions!$B$10)),0,1,FALSE)*Assumptions!$B$10*0.01)*((Z$3/100)/0.01)/(MAX(0,Assumptions!$B$2*EXP(-Assumptions!$B$4*Assumptions!$B$9)*NORMSDIST(((LN(Assumptions!$B$2/$B18)+(Assumptions!$B$3-Assumptions!$B$4+(Z$3/100)^2/2)*Assumptions!$B$9)/((Z$3/100)*Assumptions!$B$10)))-$B18*EXP(-Assumptions!$B$3*Assumptions!$B$9)*NORMSDIST((((LN(Assumptions!$B$2/$B18)+(Assumptions!$B$3-Assumptions!$B$4+(Z$3/100)^2/2)*Assumptions!$B$9)/((Z$3/100)*Assumptions!$B$10))-(Z$3/100)*Assumptions!$B$10)))))</f>
        <v/>
      </c>
      <c r="AA18" s="32">
        <f>IF((MAX(0,Assumptions!$B$2*EXP(-Assumptions!$B$4*Assumptions!$B$9)*NORMSDIST(((LN(Assumptions!$B$2/$B18)+(Assumptions!$B$3-Assumptions!$B$4+(AA$3/100)^2/2)*Assumptions!$B$9)/((AA$3/100)*Assumptions!$B$10)))-$B18*EXP(-Assumptions!$B$3*Assumptions!$B$9)*NORMSDIST((((LN(Assumptions!$B$2/$B18)+(Assumptions!$B$3-Assumptions!$B$4+(AA$3/100)^2/2)*Assumptions!$B$9)/((AA$3/100)*Assumptions!$B$10))-(AA$3/100)*Assumptions!$B$10))))&lt;=0,"",(Assumptions!$B$2*EXP(-Assumptions!$B$4*Assumptions!$B$9)*NORMDIST(((LN(Assumptions!$B$2/$B18)+(Assumptions!$B$3-Assumptions!$B$4+(AA$3/100)^2/2)*Assumptions!$B$9)/((AA$3/100)*Assumptions!$B$10)),0,1,FALSE)*Assumptions!$B$10*0.01)*((AA$3/100)/0.01)/(MAX(0,Assumptions!$B$2*EXP(-Assumptions!$B$4*Assumptions!$B$9)*NORMSDIST(((LN(Assumptions!$B$2/$B18)+(Assumptions!$B$3-Assumptions!$B$4+(AA$3/100)^2/2)*Assumptions!$B$9)/((AA$3/100)*Assumptions!$B$10)))-$B18*EXP(-Assumptions!$B$3*Assumptions!$B$9)*NORMSDIST((((LN(Assumptions!$B$2/$B18)+(Assumptions!$B$3-Assumptions!$B$4+(AA$3/100)^2/2)*Assumptions!$B$9)/((AA$3/100)*Assumptions!$B$10))-(AA$3/100)*Assumptions!$B$10)))))</f>
        <v/>
      </c>
      <c r="AB18" s="32">
        <f>IF((MAX(0,Assumptions!$B$2*EXP(-Assumptions!$B$4*Assumptions!$B$9)*NORMSDIST(((LN(Assumptions!$B$2/$B18)+(Assumptions!$B$3-Assumptions!$B$4+(AB$3/100)^2/2)*Assumptions!$B$9)/((AB$3/100)*Assumptions!$B$10)))-$B18*EXP(-Assumptions!$B$3*Assumptions!$B$9)*NORMSDIST((((LN(Assumptions!$B$2/$B18)+(Assumptions!$B$3-Assumptions!$B$4+(AB$3/100)^2/2)*Assumptions!$B$9)/((AB$3/100)*Assumptions!$B$10))-(AB$3/100)*Assumptions!$B$10))))&lt;=0,"",(Assumptions!$B$2*EXP(-Assumptions!$B$4*Assumptions!$B$9)*NORMDIST(((LN(Assumptions!$B$2/$B18)+(Assumptions!$B$3-Assumptions!$B$4+(AB$3/100)^2/2)*Assumptions!$B$9)/((AB$3/100)*Assumptions!$B$10)),0,1,FALSE)*Assumptions!$B$10*0.01)*((AB$3/100)/0.01)/(MAX(0,Assumptions!$B$2*EXP(-Assumptions!$B$4*Assumptions!$B$9)*NORMSDIST(((LN(Assumptions!$B$2/$B18)+(Assumptions!$B$3-Assumptions!$B$4+(AB$3/100)^2/2)*Assumptions!$B$9)/((AB$3/100)*Assumptions!$B$10)))-$B18*EXP(-Assumptions!$B$3*Assumptions!$B$9)*NORMSDIST((((LN(Assumptions!$B$2/$B18)+(Assumptions!$B$3-Assumptions!$B$4+(AB$3/100)^2/2)*Assumptions!$B$9)/((AB$3/100)*Assumptions!$B$10))-(AB$3/100)*Assumptions!$B$10)))))</f>
        <v/>
      </c>
      <c r="AC18" s="32">
        <f>IF((MAX(0,Assumptions!$B$2*EXP(-Assumptions!$B$4*Assumptions!$B$9)*NORMSDIST(((LN(Assumptions!$B$2/$B18)+(Assumptions!$B$3-Assumptions!$B$4+(AC$3/100)^2/2)*Assumptions!$B$9)/((AC$3/100)*Assumptions!$B$10)))-$B18*EXP(-Assumptions!$B$3*Assumptions!$B$9)*NORMSDIST((((LN(Assumptions!$B$2/$B18)+(Assumptions!$B$3-Assumptions!$B$4+(AC$3/100)^2/2)*Assumptions!$B$9)/((AC$3/100)*Assumptions!$B$10))-(AC$3/100)*Assumptions!$B$10))))&lt;=0,"",(Assumptions!$B$2*EXP(-Assumptions!$B$4*Assumptions!$B$9)*NORMDIST(((LN(Assumptions!$B$2/$B18)+(Assumptions!$B$3-Assumptions!$B$4+(AC$3/100)^2/2)*Assumptions!$B$9)/((AC$3/100)*Assumptions!$B$10)),0,1,FALSE)*Assumptions!$B$10*0.01)*((AC$3/100)/0.01)/(MAX(0,Assumptions!$B$2*EXP(-Assumptions!$B$4*Assumptions!$B$9)*NORMSDIST(((LN(Assumptions!$B$2/$B18)+(Assumptions!$B$3-Assumptions!$B$4+(AC$3/100)^2/2)*Assumptions!$B$9)/((AC$3/100)*Assumptions!$B$10)))-$B18*EXP(-Assumptions!$B$3*Assumptions!$B$9)*NORMSDIST((((LN(Assumptions!$B$2/$B18)+(Assumptions!$B$3-Assumptions!$B$4+(AC$3/100)^2/2)*Assumptions!$B$9)/((AC$3/100)*Assumptions!$B$10))-(AC$3/100)*Assumptions!$B$10)))))</f>
        <v/>
      </c>
      <c r="AD18" s="32">
        <f>IF((MAX(0,Assumptions!$B$2*EXP(-Assumptions!$B$4*Assumptions!$B$9)*NORMSDIST(((LN(Assumptions!$B$2/$B18)+(Assumptions!$B$3-Assumptions!$B$4+(AD$3/100)^2/2)*Assumptions!$B$9)/((AD$3/100)*Assumptions!$B$10)))-$B18*EXP(-Assumptions!$B$3*Assumptions!$B$9)*NORMSDIST((((LN(Assumptions!$B$2/$B18)+(Assumptions!$B$3-Assumptions!$B$4+(AD$3/100)^2/2)*Assumptions!$B$9)/((AD$3/100)*Assumptions!$B$10))-(AD$3/100)*Assumptions!$B$10))))&lt;=0,"",(Assumptions!$B$2*EXP(-Assumptions!$B$4*Assumptions!$B$9)*NORMDIST(((LN(Assumptions!$B$2/$B18)+(Assumptions!$B$3-Assumptions!$B$4+(AD$3/100)^2/2)*Assumptions!$B$9)/((AD$3/100)*Assumptions!$B$10)),0,1,FALSE)*Assumptions!$B$10*0.01)*((AD$3/100)/0.01)/(MAX(0,Assumptions!$B$2*EXP(-Assumptions!$B$4*Assumptions!$B$9)*NORMSDIST(((LN(Assumptions!$B$2/$B18)+(Assumptions!$B$3-Assumptions!$B$4+(AD$3/100)^2/2)*Assumptions!$B$9)/((AD$3/100)*Assumptions!$B$10)))-$B18*EXP(-Assumptions!$B$3*Assumptions!$B$9)*NORMSDIST((((LN(Assumptions!$B$2/$B18)+(Assumptions!$B$3-Assumptions!$B$4+(AD$3/100)^2/2)*Assumptions!$B$9)/((AD$3/100)*Assumptions!$B$10))-(AD$3/100)*Assumptions!$B$10)))))</f>
        <v/>
      </c>
      <c r="AE18" s="32">
        <f>IF((MAX(0,Assumptions!$B$2*EXP(-Assumptions!$B$4*Assumptions!$B$9)*NORMSDIST(((LN(Assumptions!$B$2/$B18)+(Assumptions!$B$3-Assumptions!$B$4+(AE$3/100)^2/2)*Assumptions!$B$9)/((AE$3/100)*Assumptions!$B$10)))-$B18*EXP(-Assumptions!$B$3*Assumptions!$B$9)*NORMSDIST((((LN(Assumptions!$B$2/$B18)+(Assumptions!$B$3-Assumptions!$B$4+(AE$3/100)^2/2)*Assumptions!$B$9)/((AE$3/100)*Assumptions!$B$10))-(AE$3/100)*Assumptions!$B$10))))&lt;=0,"",(Assumptions!$B$2*EXP(-Assumptions!$B$4*Assumptions!$B$9)*NORMDIST(((LN(Assumptions!$B$2/$B18)+(Assumptions!$B$3-Assumptions!$B$4+(AE$3/100)^2/2)*Assumptions!$B$9)/((AE$3/100)*Assumptions!$B$10)),0,1,FALSE)*Assumptions!$B$10*0.01)*((AE$3/100)/0.01)/(MAX(0,Assumptions!$B$2*EXP(-Assumptions!$B$4*Assumptions!$B$9)*NORMSDIST(((LN(Assumptions!$B$2/$B18)+(Assumptions!$B$3-Assumptions!$B$4+(AE$3/100)^2/2)*Assumptions!$B$9)/((AE$3/100)*Assumptions!$B$10)))-$B18*EXP(-Assumptions!$B$3*Assumptions!$B$9)*NORMSDIST((((LN(Assumptions!$B$2/$B18)+(Assumptions!$B$3-Assumptions!$B$4+(AE$3/100)^2/2)*Assumptions!$B$9)/((AE$3/100)*Assumptions!$B$10))-(AE$3/100)*Assumptions!$B$10)))))</f>
        <v/>
      </c>
      <c r="AF18" s="32">
        <f>IF((MAX(0,Assumptions!$B$2*EXP(-Assumptions!$B$4*Assumptions!$B$9)*NORMSDIST(((LN(Assumptions!$B$2/$B18)+(Assumptions!$B$3-Assumptions!$B$4+(AF$3/100)^2/2)*Assumptions!$B$9)/((AF$3/100)*Assumptions!$B$10)))-$B18*EXP(-Assumptions!$B$3*Assumptions!$B$9)*NORMSDIST((((LN(Assumptions!$B$2/$B18)+(Assumptions!$B$3-Assumptions!$B$4+(AF$3/100)^2/2)*Assumptions!$B$9)/((AF$3/100)*Assumptions!$B$10))-(AF$3/100)*Assumptions!$B$10))))&lt;=0,"",(Assumptions!$B$2*EXP(-Assumptions!$B$4*Assumptions!$B$9)*NORMDIST(((LN(Assumptions!$B$2/$B18)+(Assumptions!$B$3-Assumptions!$B$4+(AF$3/100)^2/2)*Assumptions!$B$9)/((AF$3/100)*Assumptions!$B$10)),0,1,FALSE)*Assumptions!$B$10*0.01)*((AF$3/100)/0.01)/(MAX(0,Assumptions!$B$2*EXP(-Assumptions!$B$4*Assumptions!$B$9)*NORMSDIST(((LN(Assumptions!$B$2/$B18)+(Assumptions!$B$3-Assumptions!$B$4+(AF$3/100)^2/2)*Assumptions!$B$9)/((AF$3/100)*Assumptions!$B$10)))-$B18*EXP(-Assumptions!$B$3*Assumptions!$B$9)*NORMSDIST((((LN(Assumptions!$B$2/$B18)+(Assumptions!$B$3-Assumptions!$B$4+(AF$3/100)^2/2)*Assumptions!$B$9)/((AF$3/100)*Assumptions!$B$10))-(AF$3/100)*Assumptions!$B$10)))))</f>
        <v/>
      </c>
      <c r="AG18" s="32">
        <f>IF((MAX(0,Assumptions!$B$2*EXP(-Assumptions!$B$4*Assumptions!$B$9)*NORMSDIST(((LN(Assumptions!$B$2/$B18)+(Assumptions!$B$3-Assumptions!$B$4+(AG$3/100)^2/2)*Assumptions!$B$9)/((AG$3/100)*Assumptions!$B$10)))-$B18*EXP(-Assumptions!$B$3*Assumptions!$B$9)*NORMSDIST((((LN(Assumptions!$B$2/$B18)+(Assumptions!$B$3-Assumptions!$B$4+(AG$3/100)^2/2)*Assumptions!$B$9)/((AG$3/100)*Assumptions!$B$10))-(AG$3/100)*Assumptions!$B$10))))&lt;=0,"",(Assumptions!$B$2*EXP(-Assumptions!$B$4*Assumptions!$B$9)*NORMDIST(((LN(Assumptions!$B$2/$B18)+(Assumptions!$B$3-Assumptions!$B$4+(AG$3/100)^2/2)*Assumptions!$B$9)/((AG$3/100)*Assumptions!$B$10)),0,1,FALSE)*Assumptions!$B$10*0.01)*((AG$3/100)/0.01)/(MAX(0,Assumptions!$B$2*EXP(-Assumptions!$B$4*Assumptions!$B$9)*NORMSDIST(((LN(Assumptions!$B$2/$B18)+(Assumptions!$B$3-Assumptions!$B$4+(AG$3/100)^2/2)*Assumptions!$B$9)/((AG$3/100)*Assumptions!$B$10)))-$B18*EXP(-Assumptions!$B$3*Assumptions!$B$9)*NORMSDIST((((LN(Assumptions!$B$2/$B18)+(Assumptions!$B$3-Assumptions!$B$4+(AG$3/100)^2/2)*Assumptions!$B$9)/((AG$3/100)*Assumptions!$B$10))-(AG$3/100)*Assumptions!$B$10)))))</f>
        <v/>
      </c>
      <c r="AH18" s="32">
        <f>IF((MAX(0,Assumptions!$B$2*EXP(-Assumptions!$B$4*Assumptions!$B$9)*NORMSDIST(((LN(Assumptions!$B$2/$B18)+(Assumptions!$B$3-Assumptions!$B$4+(AH$3/100)^2/2)*Assumptions!$B$9)/((AH$3/100)*Assumptions!$B$10)))-$B18*EXP(-Assumptions!$B$3*Assumptions!$B$9)*NORMSDIST((((LN(Assumptions!$B$2/$B18)+(Assumptions!$B$3-Assumptions!$B$4+(AH$3/100)^2/2)*Assumptions!$B$9)/((AH$3/100)*Assumptions!$B$10))-(AH$3/100)*Assumptions!$B$10))))&lt;=0,"",(Assumptions!$B$2*EXP(-Assumptions!$B$4*Assumptions!$B$9)*NORMDIST(((LN(Assumptions!$B$2/$B18)+(Assumptions!$B$3-Assumptions!$B$4+(AH$3/100)^2/2)*Assumptions!$B$9)/((AH$3/100)*Assumptions!$B$10)),0,1,FALSE)*Assumptions!$B$10*0.01)*((AH$3/100)/0.01)/(MAX(0,Assumptions!$B$2*EXP(-Assumptions!$B$4*Assumptions!$B$9)*NORMSDIST(((LN(Assumptions!$B$2/$B18)+(Assumptions!$B$3-Assumptions!$B$4+(AH$3/100)^2/2)*Assumptions!$B$9)/((AH$3/100)*Assumptions!$B$10)))-$B18*EXP(-Assumptions!$B$3*Assumptions!$B$9)*NORMSDIST((((LN(Assumptions!$B$2/$B18)+(Assumptions!$B$3-Assumptions!$B$4+(AH$3/100)^2/2)*Assumptions!$B$9)/((AH$3/100)*Assumptions!$B$10))-(AH$3/100)*Assumptions!$B$10)))))</f>
        <v/>
      </c>
      <c r="AI18" s="32">
        <f>IF((MAX(0,Assumptions!$B$2*EXP(-Assumptions!$B$4*Assumptions!$B$9)*NORMSDIST(((LN(Assumptions!$B$2/$B18)+(Assumptions!$B$3-Assumptions!$B$4+(AI$3/100)^2/2)*Assumptions!$B$9)/((AI$3/100)*Assumptions!$B$10)))-$B18*EXP(-Assumptions!$B$3*Assumptions!$B$9)*NORMSDIST((((LN(Assumptions!$B$2/$B18)+(Assumptions!$B$3-Assumptions!$B$4+(AI$3/100)^2/2)*Assumptions!$B$9)/((AI$3/100)*Assumptions!$B$10))-(AI$3/100)*Assumptions!$B$10))))&lt;=0,"",(Assumptions!$B$2*EXP(-Assumptions!$B$4*Assumptions!$B$9)*NORMDIST(((LN(Assumptions!$B$2/$B18)+(Assumptions!$B$3-Assumptions!$B$4+(AI$3/100)^2/2)*Assumptions!$B$9)/((AI$3/100)*Assumptions!$B$10)),0,1,FALSE)*Assumptions!$B$10*0.01)*((AI$3/100)/0.01)/(MAX(0,Assumptions!$B$2*EXP(-Assumptions!$B$4*Assumptions!$B$9)*NORMSDIST(((LN(Assumptions!$B$2/$B18)+(Assumptions!$B$3-Assumptions!$B$4+(AI$3/100)^2/2)*Assumptions!$B$9)/((AI$3/100)*Assumptions!$B$10)))-$B18*EXP(-Assumptions!$B$3*Assumptions!$B$9)*NORMSDIST((((LN(Assumptions!$B$2/$B18)+(Assumptions!$B$3-Assumptions!$B$4+(AI$3/100)^2/2)*Assumptions!$B$9)/((AI$3/100)*Assumptions!$B$10))-(AI$3/100)*Assumptions!$B$10)))))</f>
        <v/>
      </c>
      <c r="AJ18" s="32">
        <f>IF((MAX(0,Assumptions!$B$2*EXP(-Assumptions!$B$4*Assumptions!$B$9)*NORMSDIST(((LN(Assumptions!$B$2/$B18)+(Assumptions!$B$3-Assumptions!$B$4+(AJ$3/100)^2/2)*Assumptions!$B$9)/((AJ$3/100)*Assumptions!$B$10)))-$B18*EXP(-Assumptions!$B$3*Assumptions!$B$9)*NORMSDIST((((LN(Assumptions!$B$2/$B18)+(Assumptions!$B$3-Assumptions!$B$4+(AJ$3/100)^2/2)*Assumptions!$B$9)/((AJ$3/100)*Assumptions!$B$10))-(AJ$3/100)*Assumptions!$B$10))))&lt;=0,"",(Assumptions!$B$2*EXP(-Assumptions!$B$4*Assumptions!$B$9)*NORMDIST(((LN(Assumptions!$B$2/$B18)+(Assumptions!$B$3-Assumptions!$B$4+(AJ$3/100)^2/2)*Assumptions!$B$9)/((AJ$3/100)*Assumptions!$B$10)),0,1,FALSE)*Assumptions!$B$10*0.01)*((AJ$3/100)/0.01)/(MAX(0,Assumptions!$B$2*EXP(-Assumptions!$B$4*Assumptions!$B$9)*NORMSDIST(((LN(Assumptions!$B$2/$B18)+(Assumptions!$B$3-Assumptions!$B$4+(AJ$3/100)^2/2)*Assumptions!$B$9)/((AJ$3/100)*Assumptions!$B$10)))-$B18*EXP(-Assumptions!$B$3*Assumptions!$B$9)*NORMSDIST((((LN(Assumptions!$B$2/$B18)+(Assumptions!$B$3-Assumptions!$B$4+(AJ$3/100)^2/2)*Assumptions!$B$9)/((AJ$3/100)*Assumptions!$B$10))-(AJ$3/100)*Assumptions!$B$10)))))</f>
        <v/>
      </c>
      <c r="AK18" s="32">
        <f>IF((MAX(0,Assumptions!$B$2*EXP(-Assumptions!$B$4*Assumptions!$B$9)*NORMSDIST(((LN(Assumptions!$B$2/$B18)+(Assumptions!$B$3-Assumptions!$B$4+(AK$3/100)^2/2)*Assumptions!$B$9)/((AK$3/100)*Assumptions!$B$10)))-$B18*EXP(-Assumptions!$B$3*Assumptions!$B$9)*NORMSDIST((((LN(Assumptions!$B$2/$B18)+(Assumptions!$B$3-Assumptions!$B$4+(AK$3/100)^2/2)*Assumptions!$B$9)/((AK$3/100)*Assumptions!$B$10))-(AK$3/100)*Assumptions!$B$10))))&lt;=0,"",(Assumptions!$B$2*EXP(-Assumptions!$B$4*Assumptions!$B$9)*NORMDIST(((LN(Assumptions!$B$2/$B18)+(Assumptions!$B$3-Assumptions!$B$4+(AK$3/100)^2/2)*Assumptions!$B$9)/((AK$3/100)*Assumptions!$B$10)),0,1,FALSE)*Assumptions!$B$10*0.01)*((AK$3/100)/0.01)/(MAX(0,Assumptions!$B$2*EXP(-Assumptions!$B$4*Assumptions!$B$9)*NORMSDIST(((LN(Assumptions!$B$2/$B18)+(Assumptions!$B$3-Assumptions!$B$4+(AK$3/100)^2/2)*Assumptions!$B$9)/((AK$3/100)*Assumptions!$B$10)))-$B18*EXP(-Assumptions!$B$3*Assumptions!$B$9)*NORMSDIST((((LN(Assumptions!$B$2/$B18)+(Assumptions!$B$3-Assumptions!$B$4+(AK$3/100)^2/2)*Assumptions!$B$9)/((AK$3/100)*Assumptions!$B$10))-(AK$3/100)*Assumptions!$B$10)))))</f>
        <v/>
      </c>
      <c r="AL18" s="32">
        <f>IF((MAX(0,Assumptions!$B$2*EXP(-Assumptions!$B$4*Assumptions!$B$9)*NORMSDIST(((LN(Assumptions!$B$2/$B18)+(Assumptions!$B$3-Assumptions!$B$4+(AL$3/100)^2/2)*Assumptions!$B$9)/((AL$3/100)*Assumptions!$B$10)))-$B18*EXP(-Assumptions!$B$3*Assumptions!$B$9)*NORMSDIST((((LN(Assumptions!$B$2/$B18)+(Assumptions!$B$3-Assumptions!$B$4+(AL$3/100)^2/2)*Assumptions!$B$9)/((AL$3/100)*Assumptions!$B$10))-(AL$3/100)*Assumptions!$B$10))))&lt;=0,"",(Assumptions!$B$2*EXP(-Assumptions!$B$4*Assumptions!$B$9)*NORMDIST(((LN(Assumptions!$B$2/$B18)+(Assumptions!$B$3-Assumptions!$B$4+(AL$3/100)^2/2)*Assumptions!$B$9)/((AL$3/100)*Assumptions!$B$10)),0,1,FALSE)*Assumptions!$B$10*0.01)*((AL$3/100)/0.01)/(MAX(0,Assumptions!$B$2*EXP(-Assumptions!$B$4*Assumptions!$B$9)*NORMSDIST(((LN(Assumptions!$B$2/$B18)+(Assumptions!$B$3-Assumptions!$B$4+(AL$3/100)^2/2)*Assumptions!$B$9)/((AL$3/100)*Assumptions!$B$10)))-$B18*EXP(-Assumptions!$B$3*Assumptions!$B$9)*NORMSDIST((((LN(Assumptions!$B$2/$B18)+(Assumptions!$B$3-Assumptions!$B$4+(AL$3/100)^2/2)*Assumptions!$B$9)/((AL$3/100)*Assumptions!$B$10))-(AL$3/100)*Assumptions!$B$10)))))</f>
        <v/>
      </c>
      <c r="AM18" s="32">
        <f>IF((MAX(0,Assumptions!$B$2*EXP(-Assumptions!$B$4*Assumptions!$B$9)*NORMSDIST(((LN(Assumptions!$B$2/$B18)+(Assumptions!$B$3-Assumptions!$B$4+(AM$3/100)^2/2)*Assumptions!$B$9)/((AM$3/100)*Assumptions!$B$10)))-$B18*EXP(-Assumptions!$B$3*Assumptions!$B$9)*NORMSDIST((((LN(Assumptions!$B$2/$B18)+(Assumptions!$B$3-Assumptions!$B$4+(AM$3/100)^2/2)*Assumptions!$B$9)/((AM$3/100)*Assumptions!$B$10))-(AM$3/100)*Assumptions!$B$10))))&lt;=0,"",(Assumptions!$B$2*EXP(-Assumptions!$B$4*Assumptions!$B$9)*NORMDIST(((LN(Assumptions!$B$2/$B18)+(Assumptions!$B$3-Assumptions!$B$4+(AM$3/100)^2/2)*Assumptions!$B$9)/((AM$3/100)*Assumptions!$B$10)),0,1,FALSE)*Assumptions!$B$10*0.01)*((AM$3/100)/0.01)/(MAX(0,Assumptions!$B$2*EXP(-Assumptions!$B$4*Assumptions!$B$9)*NORMSDIST(((LN(Assumptions!$B$2/$B18)+(Assumptions!$B$3-Assumptions!$B$4+(AM$3/100)^2/2)*Assumptions!$B$9)/((AM$3/100)*Assumptions!$B$10)))-$B18*EXP(-Assumptions!$B$3*Assumptions!$B$9)*NORMSDIST((((LN(Assumptions!$B$2/$B18)+(Assumptions!$B$3-Assumptions!$B$4+(AM$3/100)^2/2)*Assumptions!$B$9)/((AM$3/100)*Assumptions!$B$10))-(AM$3/100)*Assumptions!$B$10)))))</f>
        <v/>
      </c>
      <c r="AN18" s="32">
        <f>IF((MAX(0,Assumptions!$B$2*EXP(-Assumptions!$B$4*Assumptions!$B$9)*NORMSDIST(((LN(Assumptions!$B$2/$B18)+(Assumptions!$B$3-Assumptions!$B$4+(AN$3/100)^2/2)*Assumptions!$B$9)/((AN$3/100)*Assumptions!$B$10)))-$B18*EXP(-Assumptions!$B$3*Assumptions!$B$9)*NORMSDIST((((LN(Assumptions!$B$2/$B18)+(Assumptions!$B$3-Assumptions!$B$4+(AN$3/100)^2/2)*Assumptions!$B$9)/((AN$3/100)*Assumptions!$B$10))-(AN$3/100)*Assumptions!$B$10))))&lt;=0,"",(Assumptions!$B$2*EXP(-Assumptions!$B$4*Assumptions!$B$9)*NORMDIST(((LN(Assumptions!$B$2/$B18)+(Assumptions!$B$3-Assumptions!$B$4+(AN$3/100)^2/2)*Assumptions!$B$9)/((AN$3/100)*Assumptions!$B$10)),0,1,FALSE)*Assumptions!$B$10*0.01)*((AN$3/100)/0.01)/(MAX(0,Assumptions!$B$2*EXP(-Assumptions!$B$4*Assumptions!$B$9)*NORMSDIST(((LN(Assumptions!$B$2/$B18)+(Assumptions!$B$3-Assumptions!$B$4+(AN$3/100)^2/2)*Assumptions!$B$9)/((AN$3/100)*Assumptions!$B$10)))-$B18*EXP(-Assumptions!$B$3*Assumptions!$B$9)*NORMSDIST((((LN(Assumptions!$B$2/$B18)+(Assumptions!$B$3-Assumptions!$B$4+(AN$3/100)^2/2)*Assumptions!$B$9)/((AN$3/100)*Assumptions!$B$10))-(AN$3/100)*Assumptions!$B$10)))))</f>
        <v/>
      </c>
      <c r="AO18" s="32">
        <f>IF((MAX(0,Assumptions!$B$2*EXP(-Assumptions!$B$4*Assumptions!$B$9)*NORMSDIST(((LN(Assumptions!$B$2/$B18)+(Assumptions!$B$3-Assumptions!$B$4+(AO$3/100)^2/2)*Assumptions!$B$9)/((AO$3/100)*Assumptions!$B$10)))-$B18*EXP(-Assumptions!$B$3*Assumptions!$B$9)*NORMSDIST((((LN(Assumptions!$B$2/$B18)+(Assumptions!$B$3-Assumptions!$B$4+(AO$3/100)^2/2)*Assumptions!$B$9)/((AO$3/100)*Assumptions!$B$10))-(AO$3/100)*Assumptions!$B$10))))&lt;=0,"",(Assumptions!$B$2*EXP(-Assumptions!$B$4*Assumptions!$B$9)*NORMDIST(((LN(Assumptions!$B$2/$B18)+(Assumptions!$B$3-Assumptions!$B$4+(AO$3/100)^2/2)*Assumptions!$B$9)/((AO$3/100)*Assumptions!$B$10)),0,1,FALSE)*Assumptions!$B$10*0.01)*((AO$3/100)/0.01)/(MAX(0,Assumptions!$B$2*EXP(-Assumptions!$B$4*Assumptions!$B$9)*NORMSDIST(((LN(Assumptions!$B$2/$B18)+(Assumptions!$B$3-Assumptions!$B$4+(AO$3/100)^2/2)*Assumptions!$B$9)/((AO$3/100)*Assumptions!$B$10)))-$B18*EXP(-Assumptions!$B$3*Assumptions!$B$9)*NORMSDIST((((LN(Assumptions!$B$2/$B18)+(Assumptions!$B$3-Assumptions!$B$4+(AO$3/100)^2/2)*Assumptions!$B$9)/((AO$3/100)*Assumptions!$B$10))-(AO$3/100)*Assumptions!$B$10)))))</f>
        <v/>
      </c>
      <c r="AP18" s="32">
        <f>IF((MAX(0,Assumptions!$B$2*EXP(-Assumptions!$B$4*Assumptions!$B$9)*NORMSDIST(((LN(Assumptions!$B$2/$B18)+(Assumptions!$B$3-Assumptions!$B$4+(AP$3/100)^2/2)*Assumptions!$B$9)/((AP$3/100)*Assumptions!$B$10)))-$B18*EXP(-Assumptions!$B$3*Assumptions!$B$9)*NORMSDIST((((LN(Assumptions!$B$2/$B18)+(Assumptions!$B$3-Assumptions!$B$4+(AP$3/100)^2/2)*Assumptions!$B$9)/((AP$3/100)*Assumptions!$B$10))-(AP$3/100)*Assumptions!$B$10))))&lt;=0,"",(Assumptions!$B$2*EXP(-Assumptions!$B$4*Assumptions!$B$9)*NORMDIST(((LN(Assumptions!$B$2/$B18)+(Assumptions!$B$3-Assumptions!$B$4+(AP$3/100)^2/2)*Assumptions!$B$9)/((AP$3/100)*Assumptions!$B$10)),0,1,FALSE)*Assumptions!$B$10*0.01)*((AP$3/100)/0.01)/(MAX(0,Assumptions!$B$2*EXP(-Assumptions!$B$4*Assumptions!$B$9)*NORMSDIST(((LN(Assumptions!$B$2/$B18)+(Assumptions!$B$3-Assumptions!$B$4+(AP$3/100)^2/2)*Assumptions!$B$9)/((AP$3/100)*Assumptions!$B$10)))-$B18*EXP(-Assumptions!$B$3*Assumptions!$B$9)*NORMSDIST((((LN(Assumptions!$B$2/$B18)+(Assumptions!$B$3-Assumptions!$B$4+(AP$3/100)^2/2)*Assumptions!$B$9)/((AP$3/100)*Assumptions!$B$10))-(AP$3/100)*Assumptions!$B$10)))))</f>
        <v/>
      </c>
      <c r="AQ18" s="32">
        <f>IF((MAX(0,Assumptions!$B$2*EXP(-Assumptions!$B$4*Assumptions!$B$9)*NORMSDIST(((LN(Assumptions!$B$2/$B18)+(Assumptions!$B$3-Assumptions!$B$4+(AQ$3/100)^2/2)*Assumptions!$B$9)/((AQ$3/100)*Assumptions!$B$10)))-$B18*EXP(-Assumptions!$B$3*Assumptions!$B$9)*NORMSDIST((((LN(Assumptions!$B$2/$B18)+(Assumptions!$B$3-Assumptions!$B$4+(AQ$3/100)^2/2)*Assumptions!$B$9)/((AQ$3/100)*Assumptions!$B$10))-(AQ$3/100)*Assumptions!$B$10))))&lt;=0,"",(Assumptions!$B$2*EXP(-Assumptions!$B$4*Assumptions!$B$9)*NORMDIST(((LN(Assumptions!$B$2/$B18)+(Assumptions!$B$3-Assumptions!$B$4+(AQ$3/100)^2/2)*Assumptions!$B$9)/((AQ$3/100)*Assumptions!$B$10)),0,1,FALSE)*Assumptions!$B$10*0.01)*((AQ$3/100)/0.01)/(MAX(0,Assumptions!$B$2*EXP(-Assumptions!$B$4*Assumptions!$B$9)*NORMSDIST(((LN(Assumptions!$B$2/$B18)+(Assumptions!$B$3-Assumptions!$B$4+(AQ$3/100)^2/2)*Assumptions!$B$9)/((AQ$3/100)*Assumptions!$B$10)))-$B18*EXP(-Assumptions!$B$3*Assumptions!$B$9)*NORMSDIST((((LN(Assumptions!$B$2/$B18)+(Assumptions!$B$3-Assumptions!$B$4+(AQ$3/100)^2/2)*Assumptions!$B$9)/((AQ$3/100)*Assumptions!$B$10))-(AQ$3/100)*Assumptions!$B$10)))))</f>
        <v/>
      </c>
      <c r="AR18" s="32">
        <f>IF((MAX(0,Assumptions!$B$2*EXP(-Assumptions!$B$4*Assumptions!$B$9)*NORMSDIST(((LN(Assumptions!$B$2/$B18)+(Assumptions!$B$3-Assumptions!$B$4+(AR$3/100)^2/2)*Assumptions!$B$9)/((AR$3/100)*Assumptions!$B$10)))-$B18*EXP(-Assumptions!$B$3*Assumptions!$B$9)*NORMSDIST((((LN(Assumptions!$B$2/$B18)+(Assumptions!$B$3-Assumptions!$B$4+(AR$3/100)^2/2)*Assumptions!$B$9)/((AR$3/100)*Assumptions!$B$10))-(AR$3/100)*Assumptions!$B$10))))&lt;=0,"",(Assumptions!$B$2*EXP(-Assumptions!$B$4*Assumptions!$B$9)*NORMDIST(((LN(Assumptions!$B$2/$B18)+(Assumptions!$B$3-Assumptions!$B$4+(AR$3/100)^2/2)*Assumptions!$B$9)/((AR$3/100)*Assumptions!$B$10)),0,1,FALSE)*Assumptions!$B$10*0.01)*((AR$3/100)/0.01)/(MAX(0,Assumptions!$B$2*EXP(-Assumptions!$B$4*Assumptions!$B$9)*NORMSDIST(((LN(Assumptions!$B$2/$B18)+(Assumptions!$B$3-Assumptions!$B$4+(AR$3/100)^2/2)*Assumptions!$B$9)/((AR$3/100)*Assumptions!$B$10)))-$B18*EXP(-Assumptions!$B$3*Assumptions!$B$9)*NORMSDIST((((LN(Assumptions!$B$2/$B18)+(Assumptions!$B$3-Assumptions!$B$4+(AR$3/100)^2/2)*Assumptions!$B$9)/((AR$3/100)*Assumptions!$B$10))-(AR$3/100)*Assumptions!$B$10)))))</f>
        <v/>
      </c>
      <c r="AS18" s="32">
        <f>IF((MAX(0,Assumptions!$B$2*EXP(-Assumptions!$B$4*Assumptions!$B$9)*NORMSDIST(((LN(Assumptions!$B$2/$B18)+(Assumptions!$B$3-Assumptions!$B$4+(AS$3/100)^2/2)*Assumptions!$B$9)/((AS$3/100)*Assumptions!$B$10)))-$B18*EXP(-Assumptions!$B$3*Assumptions!$B$9)*NORMSDIST((((LN(Assumptions!$B$2/$B18)+(Assumptions!$B$3-Assumptions!$B$4+(AS$3/100)^2/2)*Assumptions!$B$9)/((AS$3/100)*Assumptions!$B$10))-(AS$3/100)*Assumptions!$B$10))))&lt;=0,"",(Assumptions!$B$2*EXP(-Assumptions!$B$4*Assumptions!$B$9)*NORMDIST(((LN(Assumptions!$B$2/$B18)+(Assumptions!$B$3-Assumptions!$B$4+(AS$3/100)^2/2)*Assumptions!$B$9)/((AS$3/100)*Assumptions!$B$10)),0,1,FALSE)*Assumptions!$B$10*0.01)*((AS$3/100)/0.01)/(MAX(0,Assumptions!$B$2*EXP(-Assumptions!$B$4*Assumptions!$B$9)*NORMSDIST(((LN(Assumptions!$B$2/$B18)+(Assumptions!$B$3-Assumptions!$B$4+(AS$3/100)^2/2)*Assumptions!$B$9)/((AS$3/100)*Assumptions!$B$10)))-$B18*EXP(-Assumptions!$B$3*Assumptions!$B$9)*NORMSDIST((((LN(Assumptions!$B$2/$B18)+(Assumptions!$B$3-Assumptions!$B$4+(AS$3/100)^2/2)*Assumptions!$B$9)/((AS$3/100)*Assumptions!$B$10))-(AS$3/100)*Assumptions!$B$10)))))</f>
        <v/>
      </c>
      <c r="AT18" s="32">
        <f>IF((MAX(0,Assumptions!$B$2*EXP(-Assumptions!$B$4*Assumptions!$B$9)*NORMSDIST(((LN(Assumptions!$B$2/$B18)+(Assumptions!$B$3-Assumptions!$B$4+(AT$3/100)^2/2)*Assumptions!$B$9)/((AT$3/100)*Assumptions!$B$10)))-$B18*EXP(-Assumptions!$B$3*Assumptions!$B$9)*NORMSDIST((((LN(Assumptions!$B$2/$B18)+(Assumptions!$B$3-Assumptions!$B$4+(AT$3/100)^2/2)*Assumptions!$B$9)/((AT$3/100)*Assumptions!$B$10))-(AT$3/100)*Assumptions!$B$10))))&lt;=0,"",(Assumptions!$B$2*EXP(-Assumptions!$B$4*Assumptions!$B$9)*NORMDIST(((LN(Assumptions!$B$2/$B18)+(Assumptions!$B$3-Assumptions!$B$4+(AT$3/100)^2/2)*Assumptions!$B$9)/((AT$3/100)*Assumptions!$B$10)),0,1,FALSE)*Assumptions!$B$10*0.01)*((AT$3/100)/0.01)/(MAX(0,Assumptions!$B$2*EXP(-Assumptions!$B$4*Assumptions!$B$9)*NORMSDIST(((LN(Assumptions!$B$2/$B18)+(Assumptions!$B$3-Assumptions!$B$4+(AT$3/100)^2/2)*Assumptions!$B$9)/((AT$3/100)*Assumptions!$B$10)))-$B18*EXP(-Assumptions!$B$3*Assumptions!$B$9)*NORMSDIST((((LN(Assumptions!$B$2/$B18)+(Assumptions!$B$3-Assumptions!$B$4+(AT$3/100)^2/2)*Assumptions!$B$9)/((AT$3/100)*Assumptions!$B$10))-(AT$3/100)*Assumptions!$B$10)))))</f>
        <v/>
      </c>
      <c r="AU18" s="32">
        <f>IF((MAX(0,Assumptions!$B$2*EXP(-Assumptions!$B$4*Assumptions!$B$9)*NORMSDIST(((LN(Assumptions!$B$2/$B18)+(Assumptions!$B$3-Assumptions!$B$4+(AU$3/100)^2/2)*Assumptions!$B$9)/((AU$3/100)*Assumptions!$B$10)))-$B18*EXP(-Assumptions!$B$3*Assumptions!$B$9)*NORMSDIST((((LN(Assumptions!$B$2/$B18)+(Assumptions!$B$3-Assumptions!$B$4+(AU$3/100)^2/2)*Assumptions!$B$9)/((AU$3/100)*Assumptions!$B$10))-(AU$3/100)*Assumptions!$B$10))))&lt;=0,"",(Assumptions!$B$2*EXP(-Assumptions!$B$4*Assumptions!$B$9)*NORMDIST(((LN(Assumptions!$B$2/$B18)+(Assumptions!$B$3-Assumptions!$B$4+(AU$3/100)^2/2)*Assumptions!$B$9)/((AU$3/100)*Assumptions!$B$10)),0,1,FALSE)*Assumptions!$B$10*0.01)*((AU$3/100)/0.01)/(MAX(0,Assumptions!$B$2*EXP(-Assumptions!$B$4*Assumptions!$B$9)*NORMSDIST(((LN(Assumptions!$B$2/$B18)+(Assumptions!$B$3-Assumptions!$B$4+(AU$3/100)^2/2)*Assumptions!$B$9)/((AU$3/100)*Assumptions!$B$10)))-$B18*EXP(-Assumptions!$B$3*Assumptions!$B$9)*NORMSDIST((((LN(Assumptions!$B$2/$B18)+(Assumptions!$B$3-Assumptions!$B$4+(AU$3/100)^2/2)*Assumptions!$B$9)/((AU$3/100)*Assumptions!$B$10))-(AU$3/100)*Assumptions!$B$10)))))</f>
        <v/>
      </c>
      <c r="AV18" s="32">
        <f>IF((MAX(0,Assumptions!$B$2*EXP(-Assumptions!$B$4*Assumptions!$B$9)*NORMSDIST(((LN(Assumptions!$B$2/$B18)+(Assumptions!$B$3-Assumptions!$B$4+(AV$3/100)^2/2)*Assumptions!$B$9)/((AV$3/100)*Assumptions!$B$10)))-$B18*EXP(-Assumptions!$B$3*Assumptions!$B$9)*NORMSDIST((((LN(Assumptions!$B$2/$B18)+(Assumptions!$B$3-Assumptions!$B$4+(AV$3/100)^2/2)*Assumptions!$B$9)/((AV$3/100)*Assumptions!$B$10))-(AV$3/100)*Assumptions!$B$10))))&lt;=0,"",(Assumptions!$B$2*EXP(-Assumptions!$B$4*Assumptions!$B$9)*NORMDIST(((LN(Assumptions!$B$2/$B18)+(Assumptions!$B$3-Assumptions!$B$4+(AV$3/100)^2/2)*Assumptions!$B$9)/((AV$3/100)*Assumptions!$B$10)),0,1,FALSE)*Assumptions!$B$10*0.01)*((AV$3/100)/0.01)/(MAX(0,Assumptions!$B$2*EXP(-Assumptions!$B$4*Assumptions!$B$9)*NORMSDIST(((LN(Assumptions!$B$2/$B18)+(Assumptions!$B$3-Assumptions!$B$4+(AV$3/100)^2/2)*Assumptions!$B$9)/((AV$3/100)*Assumptions!$B$10)))-$B18*EXP(-Assumptions!$B$3*Assumptions!$B$9)*NORMSDIST((((LN(Assumptions!$B$2/$B18)+(Assumptions!$B$3-Assumptions!$B$4+(AV$3/100)^2/2)*Assumptions!$B$9)/((AV$3/100)*Assumptions!$B$10))-(AV$3/100)*Assumptions!$B$10)))))</f>
        <v/>
      </c>
    </row>
    <row r="19">
      <c r="A19" s="27" t="inlineStr">
        <is>
          <t>+1.75%</t>
        </is>
      </c>
      <c r="B19" s="47">
        <f>'BS Engine'!$B$17</f>
        <v/>
      </c>
      <c r="C19" s="28">
        <f>'BS Engine'!$C$17</f>
        <v/>
      </c>
      <c r="D19" s="54">
        <f>IF((MAX(0,Assumptions!$B$2*EXP(-Assumptions!$B$4*Assumptions!$B$9)*NORMSDIST(((LN(Assumptions!$B$2/$B19)+(Assumptions!$B$3-Assumptions!$B$4+(D$3/100)^2/2)*Assumptions!$B$9)/((D$3/100)*Assumptions!$B$10)))-$B19*EXP(-Assumptions!$B$3*Assumptions!$B$9)*NORMSDIST((((LN(Assumptions!$B$2/$B19)+(Assumptions!$B$3-Assumptions!$B$4+(D$3/100)^2/2)*Assumptions!$B$9)/((D$3/100)*Assumptions!$B$10))-(D$3/100)*Assumptions!$B$10))))&lt;=0,"",(Assumptions!$B$2*EXP(-Assumptions!$B$4*Assumptions!$B$9)*NORMDIST(((LN(Assumptions!$B$2/$B19)+(Assumptions!$B$3-Assumptions!$B$4+(D$3/100)^2/2)*Assumptions!$B$9)/((D$3/100)*Assumptions!$B$10)),0,1,FALSE)*Assumptions!$B$10*0.01)*((D$3/100)/0.01)/(MAX(0,Assumptions!$B$2*EXP(-Assumptions!$B$4*Assumptions!$B$9)*NORMSDIST(((LN(Assumptions!$B$2/$B19)+(Assumptions!$B$3-Assumptions!$B$4+(D$3/100)^2/2)*Assumptions!$B$9)/((D$3/100)*Assumptions!$B$10)))-$B19*EXP(-Assumptions!$B$3*Assumptions!$B$9)*NORMSDIST((((LN(Assumptions!$B$2/$B19)+(Assumptions!$B$3-Assumptions!$B$4+(D$3/100)^2/2)*Assumptions!$B$9)/((D$3/100)*Assumptions!$B$10))-(D$3/100)*Assumptions!$B$10)))))</f>
        <v/>
      </c>
      <c r="E19" s="32">
        <f>IF((MAX(0,Assumptions!$B$2*EXP(-Assumptions!$B$4*Assumptions!$B$9)*NORMSDIST(((LN(Assumptions!$B$2/$B19)+(Assumptions!$B$3-Assumptions!$B$4+(E$3/100)^2/2)*Assumptions!$B$9)/((E$3/100)*Assumptions!$B$10)))-$B19*EXP(-Assumptions!$B$3*Assumptions!$B$9)*NORMSDIST((((LN(Assumptions!$B$2/$B19)+(Assumptions!$B$3-Assumptions!$B$4+(E$3/100)^2/2)*Assumptions!$B$9)/((E$3/100)*Assumptions!$B$10))-(E$3/100)*Assumptions!$B$10))))&lt;=0,"",(Assumptions!$B$2*EXP(-Assumptions!$B$4*Assumptions!$B$9)*NORMDIST(((LN(Assumptions!$B$2/$B19)+(Assumptions!$B$3-Assumptions!$B$4+(E$3/100)^2/2)*Assumptions!$B$9)/((E$3/100)*Assumptions!$B$10)),0,1,FALSE)*Assumptions!$B$10*0.01)*((E$3/100)/0.01)/(MAX(0,Assumptions!$B$2*EXP(-Assumptions!$B$4*Assumptions!$B$9)*NORMSDIST(((LN(Assumptions!$B$2/$B19)+(Assumptions!$B$3-Assumptions!$B$4+(E$3/100)^2/2)*Assumptions!$B$9)/((E$3/100)*Assumptions!$B$10)))-$B19*EXP(-Assumptions!$B$3*Assumptions!$B$9)*NORMSDIST((((LN(Assumptions!$B$2/$B19)+(Assumptions!$B$3-Assumptions!$B$4+(E$3/100)^2/2)*Assumptions!$B$9)/((E$3/100)*Assumptions!$B$10))-(E$3/100)*Assumptions!$B$10)))))</f>
        <v/>
      </c>
      <c r="F19" s="32">
        <f>IF((MAX(0,Assumptions!$B$2*EXP(-Assumptions!$B$4*Assumptions!$B$9)*NORMSDIST(((LN(Assumptions!$B$2/$B19)+(Assumptions!$B$3-Assumptions!$B$4+(F$3/100)^2/2)*Assumptions!$B$9)/((F$3/100)*Assumptions!$B$10)))-$B19*EXP(-Assumptions!$B$3*Assumptions!$B$9)*NORMSDIST((((LN(Assumptions!$B$2/$B19)+(Assumptions!$B$3-Assumptions!$B$4+(F$3/100)^2/2)*Assumptions!$B$9)/((F$3/100)*Assumptions!$B$10))-(F$3/100)*Assumptions!$B$10))))&lt;=0,"",(Assumptions!$B$2*EXP(-Assumptions!$B$4*Assumptions!$B$9)*NORMDIST(((LN(Assumptions!$B$2/$B19)+(Assumptions!$B$3-Assumptions!$B$4+(F$3/100)^2/2)*Assumptions!$B$9)/((F$3/100)*Assumptions!$B$10)),0,1,FALSE)*Assumptions!$B$10*0.01)*((F$3/100)/0.01)/(MAX(0,Assumptions!$B$2*EXP(-Assumptions!$B$4*Assumptions!$B$9)*NORMSDIST(((LN(Assumptions!$B$2/$B19)+(Assumptions!$B$3-Assumptions!$B$4+(F$3/100)^2/2)*Assumptions!$B$9)/((F$3/100)*Assumptions!$B$10)))-$B19*EXP(-Assumptions!$B$3*Assumptions!$B$9)*NORMSDIST((((LN(Assumptions!$B$2/$B19)+(Assumptions!$B$3-Assumptions!$B$4+(F$3/100)^2/2)*Assumptions!$B$9)/((F$3/100)*Assumptions!$B$10))-(F$3/100)*Assumptions!$B$10)))))</f>
        <v/>
      </c>
      <c r="G19" s="32">
        <f>IF((MAX(0,Assumptions!$B$2*EXP(-Assumptions!$B$4*Assumptions!$B$9)*NORMSDIST(((LN(Assumptions!$B$2/$B19)+(Assumptions!$B$3-Assumptions!$B$4+(G$3/100)^2/2)*Assumptions!$B$9)/((G$3/100)*Assumptions!$B$10)))-$B19*EXP(-Assumptions!$B$3*Assumptions!$B$9)*NORMSDIST((((LN(Assumptions!$B$2/$B19)+(Assumptions!$B$3-Assumptions!$B$4+(G$3/100)^2/2)*Assumptions!$B$9)/((G$3/100)*Assumptions!$B$10))-(G$3/100)*Assumptions!$B$10))))&lt;=0,"",(Assumptions!$B$2*EXP(-Assumptions!$B$4*Assumptions!$B$9)*NORMDIST(((LN(Assumptions!$B$2/$B19)+(Assumptions!$B$3-Assumptions!$B$4+(G$3/100)^2/2)*Assumptions!$B$9)/((G$3/100)*Assumptions!$B$10)),0,1,FALSE)*Assumptions!$B$10*0.01)*((G$3/100)/0.01)/(MAX(0,Assumptions!$B$2*EXP(-Assumptions!$B$4*Assumptions!$B$9)*NORMSDIST(((LN(Assumptions!$B$2/$B19)+(Assumptions!$B$3-Assumptions!$B$4+(G$3/100)^2/2)*Assumptions!$B$9)/((G$3/100)*Assumptions!$B$10)))-$B19*EXP(-Assumptions!$B$3*Assumptions!$B$9)*NORMSDIST((((LN(Assumptions!$B$2/$B19)+(Assumptions!$B$3-Assumptions!$B$4+(G$3/100)^2/2)*Assumptions!$B$9)/((G$3/100)*Assumptions!$B$10))-(G$3/100)*Assumptions!$B$10)))))</f>
        <v/>
      </c>
      <c r="H19" s="32">
        <f>IF((MAX(0,Assumptions!$B$2*EXP(-Assumptions!$B$4*Assumptions!$B$9)*NORMSDIST(((LN(Assumptions!$B$2/$B19)+(Assumptions!$B$3-Assumptions!$B$4+(H$3/100)^2/2)*Assumptions!$B$9)/((H$3/100)*Assumptions!$B$10)))-$B19*EXP(-Assumptions!$B$3*Assumptions!$B$9)*NORMSDIST((((LN(Assumptions!$B$2/$B19)+(Assumptions!$B$3-Assumptions!$B$4+(H$3/100)^2/2)*Assumptions!$B$9)/((H$3/100)*Assumptions!$B$10))-(H$3/100)*Assumptions!$B$10))))&lt;=0,"",(Assumptions!$B$2*EXP(-Assumptions!$B$4*Assumptions!$B$9)*NORMDIST(((LN(Assumptions!$B$2/$B19)+(Assumptions!$B$3-Assumptions!$B$4+(H$3/100)^2/2)*Assumptions!$B$9)/((H$3/100)*Assumptions!$B$10)),0,1,FALSE)*Assumptions!$B$10*0.01)*((H$3/100)/0.01)/(MAX(0,Assumptions!$B$2*EXP(-Assumptions!$B$4*Assumptions!$B$9)*NORMSDIST(((LN(Assumptions!$B$2/$B19)+(Assumptions!$B$3-Assumptions!$B$4+(H$3/100)^2/2)*Assumptions!$B$9)/((H$3/100)*Assumptions!$B$10)))-$B19*EXP(-Assumptions!$B$3*Assumptions!$B$9)*NORMSDIST((((LN(Assumptions!$B$2/$B19)+(Assumptions!$B$3-Assumptions!$B$4+(H$3/100)^2/2)*Assumptions!$B$9)/((H$3/100)*Assumptions!$B$10))-(H$3/100)*Assumptions!$B$10)))))</f>
        <v/>
      </c>
      <c r="I19" s="32">
        <f>IF((MAX(0,Assumptions!$B$2*EXP(-Assumptions!$B$4*Assumptions!$B$9)*NORMSDIST(((LN(Assumptions!$B$2/$B19)+(Assumptions!$B$3-Assumptions!$B$4+(I$3/100)^2/2)*Assumptions!$B$9)/((I$3/100)*Assumptions!$B$10)))-$B19*EXP(-Assumptions!$B$3*Assumptions!$B$9)*NORMSDIST((((LN(Assumptions!$B$2/$B19)+(Assumptions!$B$3-Assumptions!$B$4+(I$3/100)^2/2)*Assumptions!$B$9)/((I$3/100)*Assumptions!$B$10))-(I$3/100)*Assumptions!$B$10))))&lt;=0,"",(Assumptions!$B$2*EXP(-Assumptions!$B$4*Assumptions!$B$9)*NORMDIST(((LN(Assumptions!$B$2/$B19)+(Assumptions!$B$3-Assumptions!$B$4+(I$3/100)^2/2)*Assumptions!$B$9)/((I$3/100)*Assumptions!$B$10)),0,1,FALSE)*Assumptions!$B$10*0.01)*((I$3/100)/0.01)/(MAX(0,Assumptions!$B$2*EXP(-Assumptions!$B$4*Assumptions!$B$9)*NORMSDIST(((LN(Assumptions!$B$2/$B19)+(Assumptions!$B$3-Assumptions!$B$4+(I$3/100)^2/2)*Assumptions!$B$9)/((I$3/100)*Assumptions!$B$10)))-$B19*EXP(-Assumptions!$B$3*Assumptions!$B$9)*NORMSDIST((((LN(Assumptions!$B$2/$B19)+(Assumptions!$B$3-Assumptions!$B$4+(I$3/100)^2/2)*Assumptions!$B$9)/((I$3/100)*Assumptions!$B$10))-(I$3/100)*Assumptions!$B$10)))))</f>
        <v/>
      </c>
      <c r="J19" s="32">
        <f>IF((MAX(0,Assumptions!$B$2*EXP(-Assumptions!$B$4*Assumptions!$B$9)*NORMSDIST(((LN(Assumptions!$B$2/$B19)+(Assumptions!$B$3-Assumptions!$B$4+(J$3/100)^2/2)*Assumptions!$B$9)/((J$3/100)*Assumptions!$B$10)))-$B19*EXP(-Assumptions!$B$3*Assumptions!$B$9)*NORMSDIST((((LN(Assumptions!$B$2/$B19)+(Assumptions!$B$3-Assumptions!$B$4+(J$3/100)^2/2)*Assumptions!$B$9)/((J$3/100)*Assumptions!$B$10))-(J$3/100)*Assumptions!$B$10))))&lt;=0,"",(Assumptions!$B$2*EXP(-Assumptions!$B$4*Assumptions!$B$9)*NORMDIST(((LN(Assumptions!$B$2/$B19)+(Assumptions!$B$3-Assumptions!$B$4+(J$3/100)^2/2)*Assumptions!$B$9)/((J$3/100)*Assumptions!$B$10)),0,1,FALSE)*Assumptions!$B$10*0.01)*((J$3/100)/0.01)/(MAX(0,Assumptions!$B$2*EXP(-Assumptions!$B$4*Assumptions!$B$9)*NORMSDIST(((LN(Assumptions!$B$2/$B19)+(Assumptions!$B$3-Assumptions!$B$4+(J$3/100)^2/2)*Assumptions!$B$9)/((J$3/100)*Assumptions!$B$10)))-$B19*EXP(-Assumptions!$B$3*Assumptions!$B$9)*NORMSDIST((((LN(Assumptions!$B$2/$B19)+(Assumptions!$B$3-Assumptions!$B$4+(J$3/100)^2/2)*Assumptions!$B$9)/((J$3/100)*Assumptions!$B$10))-(J$3/100)*Assumptions!$B$10)))))</f>
        <v/>
      </c>
      <c r="K19" s="32">
        <f>IF((MAX(0,Assumptions!$B$2*EXP(-Assumptions!$B$4*Assumptions!$B$9)*NORMSDIST(((LN(Assumptions!$B$2/$B19)+(Assumptions!$B$3-Assumptions!$B$4+(K$3/100)^2/2)*Assumptions!$B$9)/((K$3/100)*Assumptions!$B$10)))-$B19*EXP(-Assumptions!$B$3*Assumptions!$B$9)*NORMSDIST((((LN(Assumptions!$B$2/$B19)+(Assumptions!$B$3-Assumptions!$B$4+(K$3/100)^2/2)*Assumptions!$B$9)/((K$3/100)*Assumptions!$B$10))-(K$3/100)*Assumptions!$B$10))))&lt;=0,"",(Assumptions!$B$2*EXP(-Assumptions!$B$4*Assumptions!$B$9)*NORMDIST(((LN(Assumptions!$B$2/$B19)+(Assumptions!$B$3-Assumptions!$B$4+(K$3/100)^2/2)*Assumptions!$B$9)/((K$3/100)*Assumptions!$B$10)),0,1,FALSE)*Assumptions!$B$10*0.01)*((K$3/100)/0.01)/(MAX(0,Assumptions!$B$2*EXP(-Assumptions!$B$4*Assumptions!$B$9)*NORMSDIST(((LN(Assumptions!$B$2/$B19)+(Assumptions!$B$3-Assumptions!$B$4+(K$3/100)^2/2)*Assumptions!$B$9)/((K$3/100)*Assumptions!$B$10)))-$B19*EXP(-Assumptions!$B$3*Assumptions!$B$9)*NORMSDIST((((LN(Assumptions!$B$2/$B19)+(Assumptions!$B$3-Assumptions!$B$4+(K$3/100)^2/2)*Assumptions!$B$9)/((K$3/100)*Assumptions!$B$10))-(K$3/100)*Assumptions!$B$10)))))</f>
        <v/>
      </c>
      <c r="L19" s="32">
        <f>IF((MAX(0,Assumptions!$B$2*EXP(-Assumptions!$B$4*Assumptions!$B$9)*NORMSDIST(((LN(Assumptions!$B$2/$B19)+(Assumptions!$B$3-Assumptions!$B$4+(L$3/100)^2/2)*Assumptions!$B$9)/((L$3/100)*Assumptions!$B$10)))-$B19*EXP(-Assumptions!$B$3*Assumptions!$B$9)*NORMSDIST((((LN(Assumptions!$B$2/$B19)+(Assumptions!$B$3-Assumptions!$B$4+(L$3/100)^2/2)*Assumptions!$B$9)/((L$3/100)*Assumptions!$B$10))-(L$3/100)*Assumptions!$B$10))))&lt;=0,"",(Assumptions!$B$2*EXP(-Assumptions!$B$4*Assumptions!$B$9)*NORMDIST(((LN(Assumptions!$B$2/$B19)+(Assumptions!$B$3-Assumptions!$B$4+(L$3/100)^2/2)*Assumptions!$B$9)/((L$3/100)*Assumptions!$B$10)),0,1,FALSE)*Assumptions!$B$10*0.01)*((L$3/100)/0.01)/(MAX(0,Assumptions!$B$2*EXP(-Assumptions!$B$4*Assumptions!$B$9)*NORMSDIST(((LN(Assumptions!$B$2/$B19)+(Assumptions!$B$3-Assumptions!$B$4+(L$3/100)^2/2)*Assumptions!$B$9)/((L$3/100)*Assumptions!$B$10)))-$B19*EXP(-Assumptions!$B$3*Assumptions!$B$9)*NORMSDIST((((LN(Assumptions!$B$2/$B19)+(Assumptions!$B$3-Assumptions!$B$4+(L$3/100)^2/2)*Assumptions!$B$9)/((L$3/100)*Assumptions!$B$10))-(L$3/100)*Assumptions!$B$10)))))</f>
        <v/>
      </c>
      <c r="M19" s="32">
        <f>IF((MAX(0,Assumptions!$B$2*EXP(-Assumptions!$B$4*Assumptions!$B$9)*NORMSDIST(((LN(Assumptions!$B$2/$B19)+(Assumptions!$B$3-Assumptions!$B$4+(M$3/100)^2/2)*Assumptions!$B$9)/((M$3/100)*Assumptions!$B$10)))-$B19*EXP(-Assumptions!$B$3*Assumptions!$B$9)*NORMSDIST((((LN(Assumptions!$B$2/$B19)+(Assumptions!$B$3-Assumptions!$B$4+(M$3/100)^2/2)*Assumptions!$B$9)/((M$3/100)*Assumptions!$B$10))-(M$3/100)*Assumptions!$B$10))))&lt;=0,"",(Assumptions!$B$2*EXP(-Assumptions!$B$4*Assumptions!$B$9)*NORMDIST(((LN(Assumptions!$B$2/$B19)+(Assumptions!$B$3-Assumptions!$B$4+(M$3/100)^2/2)*Assumptions!$B$9)/((M$3/100)*Assumptions!$B$10)),0,1,FALSE)*Assumptions!$B$10*0.01)*((M$3/100)/0.01)/(MAX(0,Assumptions!$B$2*EXP(-Assumptions!$B$4*Assumptions!$B$9)*NORMSDIST(((LN(Assumptions!$B$2/$B19)+(Assumptions!$B$3-Assumptions!$B$4+(M$3/100)^2/2)*Assumptions!$B$9)/((M$3/100)*Assumptions!$B$10)))-$B19*EXP(-Assumptions!$B$3*Assumptions!$B$9)*NORMSDIST((((LN(Assumptions!$B$2/$B19)+(Assumptions!$B$3-Assumptions!$B$4+(M$3/100)^2/2)*Assumptions!$B$9)/((M$3/100)*Assumptions!$B$10))-(M$3/100)*Assumptions!$B$10)))))</f>
        <v/>
      </c>
      <c r="N19" s="32">
        <f>IF((MAX(0,Assumptions!$B$2*EXP(-Assumptions!$B$4*Assumptions!$B$9)*NORMSDIST(((LN(Assumptions!$B$2/$B19)+(Assumptions!$B$3-Assumptions!$B$4+(N$3/100)^2/2)*Assumptions!$B$9)/((N$3/100)*Assumptions!$B$10)))-$B19*EXP(-Assumptions!$B$3*Assumptions!$B$9)*NORMSDIST((((LN(Assumptions!$B$2/$B19)+(Assumptions!$B$3-Assumptions!$B$4+(N$3/100)^2/2)*Assumptions!$B$9)/((N$3/100)*Assumptions!$B$10))-(N$3/100)*Assumptions!$B$10))))&lt;=0,"",(Assumptions!$B$2*EXP(-Assumptions!$B$4*Assumptions!$B$9)*NORMDIST(((LN(Assumptions!$B$2/$B19)+(Assumptions!$B$3-Assumptions!$B$4+(N$3/100)^2/2)*Assumptions!$B$9)/((N$3/100)*Assumptions!$B$10)),0,1,FALSE)*Assumptions!$B$10*0.01)*((N$3/100)/0.01)/(MAX(0,Assumptions!$B$2*EXP(-Assumptions!$B$4*Assumptions!$B$9)*NORMSDIST(((LN(Assumptions!$B$2/$B19)+(Assumptions!$B$3-Assumptions!$B$4+(N$3/100)^2/2)*Assumptions!$B$9)/((N$3/100)*Assumptions!$B$10)))-$B19*EXP(-Assumptions!$B$3*Assumptions!$B$9)*NORMSDIST((((LN(Assumptions!$B$2/$B19)+(Assumptions!$B$3-Assumptions!$B$4+(N$3/100)^2/2)*Assumptions!$B$9)/((N$3/100)*Assumptions!$B$10))-(N$3/100)*Assumptions!$B$10)))))</f>
        <v/>
      </c>
      <c r="O19" s="32">
        <f>IF((MAX(0,Assumptions!$B$2*EXP(-Assumptions!$B$4*Assumptions!$B$9)*NORMSDIST(((LN(Assumptions!$B$2/$B19)+(Assumptions!$B$3-Assumptions!$B$4+(O$3/100)^2/2)*Assumptions!$B$9)/((O$3/100)*Assumptions!$B$10)))-$B19*EXP(-Assumptions!$B$3*Assumptions!$B$9)*NORMSDIST((((LN(Assumptions!$B$2/$B19)+(Assumptions!$B$3-Assumptions!$B$4+(O$3/100)^2/2)*Assumptions!$B$9)/((O$3/100)*Assumptions!$B$10))-(O$3/100)*Assumptions!$B$10))))&lt;=0,"",(Assumptions!$B$2*EXP(-Assumptions!$B$4*Assumptions!$B$9)*NORMDIST(((LN(Assumptions!$B$2/$B19)+(Assumptions!$B$3-Assumptions!$B$4+(O$3/100)^2/2)*Assumptions!$B$9)/((O$3/100)*Assumptions!$B$10)),0,1,FALSE)*Assumptions!$B$10*0.01)*((O$3/100)/0.01)/(MAX(0,Assumptions!$B$2*EXP(-Assumptions!$B$4*Assumptions!$B$9)*NORMSDIST(((LN(Assumptions!$B$2/$B19)+(Assumptions!$B$3-Assumptions!$B$4+(O$3/100)^2/2)*Assumptions!$B$9)/((O$3/100)*Assumptions!$B$10)))-$B19*EXP(-Assumptions!$B$3*Assumptions!$B$9)*NORMSDIST((((LN(Assumptions!$B$2/$B19)+(Assumptions!$B$3-Assumptions!$B$4+(O$3/100)^2/2)*Assumptions!$B$9)/((O$3/100)*Assumptions!$B$10))-(O$3/100)*Assumptions!$B$10)))))</f>
        <v/>
      </c>
      <c r="P19" s="32">
        <f>IF((MAX(0,Assumptions!$B$2*EXP(-Assumptions!$B$4*Assumptions!$B$9)*NORMSDIST(((LN(Assumptions!$B$2/$B19)+(Assumptions!$B$3-Assumptions!$B$4+(P$3/100)^2/2)*Assumptions!$B$9)/((P$3/100)*Assumptions!$B$10)))-$B19*EXP(-Assumptions!$B$3*Assumptions!$B$9)*NORMSDIST((((LN(Assumptions!$B$2/$B19)+(Assumptions!$B$3-Assumptions!$B$4+(P$3/100)^2/2)*Assumptions!$B$9)/((P$3/100)*Assumptions!$B$10))-(P$3/100)*Assumptions!$B$10))))&lt;=0,"",(Assumptions!$B$2*EXP(-Assumptions!$B$4*Assumptions!$B$9)*NORMDIST(((LN(Assumptions!$B$2/$B19)+(Assumptions!$B$3-Assumptions!$B$4+(P$3/100)^2/2)*Assumptions!$B$9)/((P$3/100)*Assumptions!$B$10)),0,1,FALSE)*Assumptions!$B$10*0.01)*((P$3/100)/0.01)/(MAX(0,Assumptions!$B$2*EXP(-Assumptions!$B$4*Assumptions!$B$9)*NORMSDIST(((LN(Assumptions!$B$2/$B19)+(Assumptions!$B$3-Assumptions!$B$4+(P$3/100)^2/2)*Assumptions!$B$9)/((P$3/100)*Assumptions!$B$10)))-$B19*EXP(-Assumptions!$B$3*Assumptions!$B$9)*NORMSDIST((((LN(Assumptions!$B$2/$B19)+(Assumptions!$B$3-Assumptions!$B$4+(P$3/100)^2/2)*Assumptions!$B$9)/((P$3/100)*Assumptions!$B$10))-(P$3/100)*Assumptions!$B$10)))))</f>
        <v/>
      </c>
      <c r="Q19" s="32">
        <f>IF((MAX(0,Assumptions!$B$2*EXP(-Assumptions!$B$4*Assumptions!$B$9)*NORMSDIST(((LN(Assumptions!$B$2/$B19)+(Assumptions!$B$3-Assumptions!$B$4+(Q$3/100)^2/2)*Assumptions!$B$9)/((Q$3/100)*Assumptions!$B$10)))-$B19*EXP(-Assumptions!$B$3*Assumptions!$B$9)*NORMSDIST((((LN(Assumptions!$B$2/$B19)+(Assumptions!$B$3-Assumptions!$B$4+(Q$3/100)^2/2)*Assumptions!$B$9)/((Q$3/100)*Assumptions!$B$10))-(Q$3/100)*Assumptions!$B$10))))&lt;=0,"",(Assumptions!$B$2*EXP(-Assumptions!$B$4*Assumptions!$B$9)*NORMDIST(((LN(Assumptions!$B$2/$B19)+(Assumptions!$B$3-Assumptions!$B$4+(Q$3/100)^2/2)*Assumptions!$B$9)/((Q$3/100)*Assumptions!$B$10)),0,1,FALSE)*Assumptions!$B$10*0.01)*((Q$3/100)/0.01)/(MAX(0,Assumptions!$B$2*EXP(-Assumptions!$B$4*Assumptions!$B$9)*NORMSDIST(((LN(Assumptions!$B$2/$B19)+(Assumptions!$B$3-Assumptions!$B$4+(Q$3/100)^2/2)*Assumptions!$B$9)/((Q$3/100)*Assumptions!$B$10)))-$B19*EXP(-Assumptions!$B$3*Assumptions!$B$9)*NORMSDIST((((LN(Assumptions!$B$2/$B19)+(Assumptions!$B$3-Assumptions!$B$4+(Q$3/100)^2/2)*Assumptions!$B$9)/((Q$3/100)*Assumptions!$B$10))-(Q$3/100)*Assumptions!$B$10)))))</f>
        <v/>
      </c>
      <c r="R19" s="32">
        <f>IF((MAX(0,Assumptions!$B$2*EXP(-Assumptions!$B$4*Assumptions!$B$9)*NORMSDIST(((LN(Assumptions!$B$2/$B19)+(Assumptions!$B$3-Assumptions!$B$4+(R$3/100)^2/2)*Assumptions!$B$9)/((R$3/100)*Assumptions!$B$10)))-$B19*EXP(-Assumptions!$B$3*Assumptions!$B$9)*NORMSDIST((((LN(Assumptions!$B$2/$B19)+(Assumptions!$B$3-Assumptions!$B$4+(R$3/100)^2/2)*Assumptions!$B$9)/((R$3/100)*Assumptions!$B$10))-(R$3/100)*Assumptions!$B$10))))&lt;=0,"",(Assumptions!$B$2*EXP(-Assumptions!$B$4*Assumptions!$B$9)*NORMDIST(((LN(Assumptions!$B$2/$B19)+(Assumptions!$B$3-Assumptions!$B$4+(R$3/100)^2/2)*Assumptions!$B$9)/((R$3/100)*Assumptions!$B$10)),0,1,FALSE)*Assumptions!$B$10*0.01)*((R$3/100)/0.01)/(MAX(0,Assumptions!$B$2*EXP(-Assumptions!$B$4*Assumptions!$B$9)*NORMSDIST(((LN(Assumptions!$B$2/$B19)+(Assumptions!$B$3-Assumptions!$B$4+(R$3/100)^2/2)*Assumptions!$B$9)/((R$3/100)*Assumptions!$B$10)))-$B19*EXP(-Assumptions!$B$3*Assumptions!$B$9)*NORMSDIST((((LN(Assumptions!$B$2/$B19)+(Assumptions!$B$3-Assumptions!$B$4+(R$3/100)^2/2)*Assumptions!$B$9)/((R$3/100)*Assumptions!$B$10))-(R$3/100)*Assumptions!$B$10)))))</f>
        <v/>
      </c>
      <c r="S19" s="32">
        <f>IF((MAX(0,Assumptions!$B$2*EXP(-Assumptions!$B$4*Assumptions!$B$9)*NORMSDIST(((LN(Assumptions!$B$2/$B19)+(Assumptions!$B$3-Assumptions!$B$4+(S$3/100)^2/2)*Assumptions!$B$9)/((S$3/100)*Assumptions!$B$10)))-$B19*EXP(-Assumptions!$B$3*Assumptions!$B$9)*NORMSDIST((((LN(Assumptions!$B$2/$B19)+(Assumptions!$B$3-Assumptions!$B$4+(S$3/100)^2/2)*Assumptions!$B$9)/((S$3/100)*Assumptions!$B$10))-(S$3/100)*Assumptions!$B$10))))&lt;=0,"",(Assumptions!$B$2*EXP(-Assumptions!$B$4*Assumptions!$B$9)*NORMDIST(((LN(Assumptions!$B$2/$B19)+(Assumptions!$B$3-Assumptions!$B$4+(S$3/100)^2/2)*Assumptions!$B$9)/((S$3/100)*Assumptions!$B$10)),0,1,FALSE)*Assumptions!$B$10*0.01)*((S$3/100)/0.01)/(MAX(0,Assumptions!$B$2*EXP(-Assumptions!$B$4*Assumptions!$B$9)*NORMSDIST(((LN(Assumptions!$B$2/$B19)+(Assumptions!$B$3-Assumptions!$B$4+(S$3/100)^2/2)*Assumptions!$B$9)/((S$3/100)*Assumptions!$B$10)))-$B19*EXP(-Assumptions!$B$3*Assumptions!$B$9)*NORMSDIST((((LN(Assumptions!$B$2/$B19)+(Assumptions!$B$3-Assumptions!$B$4+(S$3/100)^2/2)*Assumptions!$B$9)/((S$3/100)*Assumptions!$B$10))-(S$3/100)*Assumptions!$B$10)))))</f>
        <v/>
      </c>
      <c r="T19" s="32">
        <f>IF((MAX(0,Assumptions!$B$2*EXP(-Assumptions!$B$4*Assumptions!$B$9)*NORMSDIST(((LN(Assumptions!$B$2/$B19)+(Assumptions!$B$3-Assumptions!$B$4+(T$3/100)^2/2)*Assumptions!$B$9)/((T$3/100)*Assumptions!$B$10)))-$B19*EXP(-Assumptions!$B$3*Assumptions!$B$9)*NORMSDIST((((LN(Assumptions!$B$2/$B19)+(Assumptions!$B$3-Assumptions!$B$4+(T$3/100)^2/2)*Assumptions!$B$9)/((T$3/100)*Assumptions!$B$10))-(T$3/100)*Assumptions!$B$10))))&lt;=0,"",(Assumptions!$B$2*EXP(-Assumptions!$B$4*Assumptions!$B$9)*NORMDIST(((LN(Assumptions!$B$2/$B19)+(Assumptions!$B$3-Assumptions!$B$4+(T$3/100)^2/2)*Assumptions!$B$9)/((T$3/100)*Assumptions!$B$10)),0,1,FALSE)*Assumptions!$B$10*0.01)*((T$3/100)/0.01)/(MAX(0,Assumptions!$B$2*EXP(-Assumptions!$B$4*Assumptions!$B$9)*NORMSDIST(((LN(Assumptions!$B$2/$B19)+(Assumptions!$B$3-Assumptions!$B$4+(T$3/100)^2/2)*Assumptions!$B$9)/((T$3/100)*Assumptions!$B$10)))-$B19*EXP(-Assumptions!$B$3*Assumptions!$B$9)*NORMSDIST((((LN(Assumptions!$B$2/$B19)+(Assumptions!$B$3-Assumptions!$B$4+(T$3/100)^2/2)*Assumptions!$B$9)/((T$3/100)*Assumptions!$B$10))-(T$3/100)*Assumptions!$B$10)))))</f>
        <v/>
      </c>
      <c r="U19" s="32">
        <f>IF((MAX(0,Assumptions!$B$2*EXP(-Assumptions!$B$4*Assumptions!$B$9)*NORMSDIST(((LN(Assumptions!$B$2/$B19)+(Assumptions!$B$3-Assumptions!$B$4+(U$3/100)^2/2)*Assumptions!$B$9)/((U$3/100)*Assumptions!$B$10)))-$B19*EXP(-Assumptions!$B$3*Assumptions!$B$9)*NORMSDIST((((LN(Assumptions!$B$2/$B19)+(Assumptions!$B$3-Assumptions!$B$4+(U$3/100)^2/2)*Assumptions!$B$9)/((U$3/100)*Assumptions!$B$10))-(U$3/100)*Assumptions!$B$10))))&lt;=0,"",(Assumptions!$B$2*EXP(-Assumptions!$B$4*Assumptions!$B$9)*NORMDIST(((LN(Assumptions!$B$2/$B19)+(Assumptions!$B$3-Assumptions!$B$4+(U$3/100)^2/2)*Assumptions!$B$9)/((U$3/100)*Assumptions!$B$10)),0,1,FALSE)*Assumptions!$B$10*0.01)*((U$3/100)/0.01)/(MAX(0,Assumptions!$B$2*EXP(-Assumptions!$B$4*Assumptions!$B$9)*NORMSDIST(((LN(Assumptions!$B$2/$B19)+(Assumptions!$B$3-Assumptions!$B$4+(U$3/100)^2/2)*Assumptions!$B$9)/((U$3/100)*Assumptions!$B$10)))-$B19*EXP(-Assumptions!$B$3*Assumptions!$B$9)*NORMSDIST((((LN(Assumptions!$B$2/$B19)+(Assumptions!$B$3-Assumptions!$B$4+(U$3/100)^2/2)*Assumptions!$B$9)/((U$3/100)*Assumptions!$B$10))-(U$3/100)*Assumptions!$B$10)))))</f>
        <v/>
      </c>
      <c r="V19" s="32">
        <f>IF((MAX(0,Assumptions!$B$2*EXP(-Assumptions!$B$4*Assumptions!$B$9)*NORMSDIST(((LN(Assumptions!$B$2/$B19)+(Assumptions!$B$3-Assumptions!$B$4+(V$3/100)^2/2)*Assumptions!$B$9)/((V$3/100)*Assumptions!$B$10)))-$B19*EXP(-Assumptions!$B$3*Assumptions!$B$9)*NORMSDIST((((LN(Assumptions!$B$2/$B19)+(Assumptions!$B$3-Assumptions!$B$4+(V$3/100)^2/2)*Assumptions!$B$9)/((V$3/100)*Assumptions!$B$10))-(V$3/100)*Assumptions!$B$10))))&lt;=0,"",(Assumptions!$B$2*EXP(-Assumptions!$B$4*Assumptions!$B$9)*NORMDIST(((LN(Assumptions!$B$2/$B19)+(Assumptions!$B$3-Assumptions!$B$4+(V$3/100)^2/2)*Assumptions!$B$9)/((V$3/100)*Assumptions!$B$10)),0,1,FALSE)*Assumptions!$B$10*0.01)*((V$3/100)/0.01)/(MAX(0,Assumptions!$B$2*EXP(-Assumptions!$B$4*Assumptions!$B$9)*NORMSDIST(((LN(Assumptions!$B$2/$B19)+(Assumptions!$B$3-Assumptions!$B$4+(V$3/100)^2/2)*Assumptions!$B$9)/((V$3/100)*Assumptions!$B$10)))-$B19*EXP(-Assumptions!$B$3*Assumptions!$B$9)*NORMSDIST((((LN(Assumptions!$B$2/$B19)+(Assumptions!$B$3-Assumptions!$B$4+(V$3/100)^2/2)*Assumptions!$B$9)/((V$3/100)*Assumptions!$B$10))-(V$3/100)*Assumptions!$B$10)))))</f>
        <v/>
      </c>
      <c r="W19" s="32">
        <f>IF((MAX(0,Assumptions!$B$2*EXP(-Assumptions!$B$4*Assumptions!$B$9)*NORMSDIST(((LN(Assumptions!$B$2/$B19)+(Assumptions!$B$3-Assumptions!$B$4+(W$3/100)^2/2)*Assumptions!$B$9)/((W$3/100)*Assumptions!$B$10)))-$B19*EXP(-Assumptions!$B$3*Assumptions!$B$9)*NORMSDIST((((LN(Assumptions!$B$2/$B19)+(Assumptions!$B$3-Assumptions!$B$4+(W$3/100)^2/2)*Assumptions!$B$9)/((W$3/100)*Assumptions!$B$10))-(W$3/100)*Assumptions!$B$10))))&lt;=0,"",(Assumptions!$B$2*EXP(-Assumptions!$B$4*Assumptions!$B$9)*NORMDIST(((LN(Assumptions!$B$2/$B19)+(Assumptions!$B$3-Assumptions!$B$4+(W$3/100)^2/2)*Assumptions!$B$9)/((W$3/100)*Assumptions!$B$10)),0,1,FALSE)*Assumptions!$B$10*0.01)*((W$3/100)/0.01)/(MAX(0,Assumptions!$B$2*EXP(-Assumptions!$B$4*Assumptions!$B$9)*NORMSDIST(((LN(Assumptions!$B$2/$B19)+(Assumptions!$B$3-Assumptions!$B$4+(W$3/100)^2/2)*Assumptions!$B$9)/((W$3/100)*Assumptions!$B$10)))-$B19*EXP(-Assumptions!$B$3*Assumptions!$B$9)*NORMSDIST((((LN(Assumptions!$B$2/$B19)+(Assumptions!$B$3-Assumptions!$B$4+(W$3/100)^2/2)*Assumptions!$B$9)/((W$3/100)*Assumptions!$B$10))-(W$3/100)*Assumptions!$B$10)))))</f>
        <v/>
      </c>
      <c r="X19" s="32">
        <f>IF((MAX(0,Assumptions!$B$2*EXP(-Assumptions!$B$4*Assumptions!$B$9)*NORMSDIST(((LN(Assumptions!$B$2/$B19)+(Assumptions!$B$3-Assumptions!$B$4+(X$3/100)^2/2)*Assumptions!$B$9)/((X$3/100)*Assumptions!$B$10)))-$B19*EXP(-Assumptions!$B$3*Assumptions!$B$9)*NORMSDIST((((LN(Assumptions!$B$2/$B19)+(Assumptions!$B$3-Assumptions!$B$4+(X$3/100)^2/2)*Assumptions!$B$9)/((X$3/100)*Assumptions!$B$10))-(X$3/100)*Assumptions!$B$10))))&lt;=0,"",(Assumptions!$B$2*EXP(-Assumptions!$B$4*Assumptions!$B$9)*NORMDIST(((LN(Assumptions!$B$2/$B19)+(Assumptions!$B$3-Assumptions!$B$4+(X$3/100)^2/2)*Assumptions!$B$9)/((X$3/100)*Assumptions!$B$10)),0,1,FALSE)*Assumptions!$B$10*0.01)*((X$3/100)/0.01)/(MAX(0,Assumptions!$B$2*EXP(-Assumptions!$B$4*Assumptions!$B$9)*NORMSDIST(((LN(Assumptions!$B$2/$B19)+(Assumptions!$B$3-Assumptions!$B$4+(X$3/100)^2/2)*Assumptions!$B$9)/((X$3/100)*Assumptions!$B$10)))-$B19*EXP(-Assumptions!$B$3*Assumptions!$B$9)*NORMSDIST((((LN(Assumptions!$B$2/$B19)+(Assumptions!$B$3-Assumptions!$B$4+(X$3/100)^2/2)*Assumptions!$B$9)/((X$3/100)*Assumptions!$B$10))-(X$3/100)*Assumptions!$B$10)))))</f>
        <v/>
      </c>
      <c r="Y19" s="32">
        <f>IF((MAX(0,Assumptions!$B$2*EXP(-Assumptions!$B$4*Assumptions!$B$9)*NORMSDIST(((LN(Assumptions!$B$2/$B19)+(Assumptions!$B$3-Assumptions!$B$4+(Y$3/100)^2/2)*Assumptions!$B$9)/((Y$3/100)*Assumptions!$B$10)))-$B19*EXP(-Assumptions!$B$3*Assumptions!$B$9)*NORMSDIST((((LN(Assumptions!$B$2/$B19)+(Assumptions!$B$3-Assumptions!$B$4+(Y$3/100)^2/2)*Assumptions!$B$9)/((Y$3/100)*Assumptions!$B$10))-(Y$3/100)*Assumptions!$B$10))))&lt;=0,"",(Assumptions!$B$2*EXP(-Assumptions!$B$4*Assumptions!$B$9)*NORMDIST(((LN(Assumptions!$B$2/$B19)+(Assumptions!$B$3-Assumptions!$B$4+(Y$3/100)^2/2)*Assumptions!$B$9)/((Y$3/100)*Assumptions!$B$10)),0,1,FALSE)*Assumptions!$B$10*0.01)*((Y$3/100)/0.01)/(MAX(0,Assumptions!$B$2*EXP(-Assumptions!$B$4*Assumptions!$B$9)*NORMSDIST(((LN(Assumptions!$B$2/$B19)+(Assumptions!$B$3-Assumptions!$B$4+(Y$3/100)^2/2)*Assumptions!$B$9)/((Y$3/100)*Assumptions!$B$10)))-$B19*EXP(-Assumptions!$B$3*Assumptions!$B$9)*NORMSDIST((((LN(Assumptions!$B$2/$B19)+(Assumptions!$B$3-Assumptions!$B$4+(Y$3/100)^2/2)*Assumptions!$B$9)/((Y$3/100)*Assumptions!$B$10))-(Y$3/100)*Assumptions!$B$10)))))</f>
        <v/>
      </c>
      <c r="Z19" s="32">
        <f>IF((MAX(0,Assumptions!$B$2*EXP(-Assumptions!$B$4*Assumptions!$B$9)*NORMSDIST(((LN(Assumptions!$B$2/$B19)+(Assumptions!$B$3-Assumptions!$B$4+(Z$3/100)^2/2)*Assumptions!$B$9)/((Z$3/100)*Assumptions!$B$10)))-$B19*EXP(-Assumptions!$B$3*Assumptions!$B$9)*NORMSDIST((((LN(Assumptions!$B$2/$B19)+(Assumptions!$B$3-Assumptions!$B$4+(Z$3/100)^2/2)*Assumptions!$B$9)/((Z$3/100)*Assumptions!$B$10))-(Z$3/100)*Assumptions!$B$10))))&lt;=0,"",(Assumptions!$B$2*EXP(-Assumptions!$B$4*Assumptions!$B$9)*NORMDIST(((LN(Assumptions!$B$2/$B19)+(Assumptions!$B$3-Assumptions!$B$4+(Z$3/100)^2/2)*Assumptions!$B$9)/((Z$3/100)*Assumptions!$B$10)),0,1,FALSE)*Assumptions!$B$10*0.01)*((Z$3/100)/0.01)/(MAX(0,Assumptions!$B$2*EXP(-Assumptions!$B$4*Assumptions!$B$9)*NORMSDIST(((LN(Assumptions!$B$2/$B19)+(Assumptions!$B$3-Assumptions!$B$4+(Z$3/100)^2/2)*Assumptions!$B$9)/((Z$3/100)*Assumptions!$B$10)))-$B19*EXP(-Assumptions!$B$3*Assumptions!$B$9)*NORMSDIST((((LN(Assumptions!$B$2/$B19)+(Assumptions!$B$3-Assumptions!$B$4+(Z$3/100)^2/2)*Assumptions!$B$9)/((Z$3/100)*Assumptions!$B$10))-(Z$3/100)*Assumptions!$B$10)))))</f>
        <v/>
      </c>
      <c r="AA19" s="32">
        <f>IF((MAX(0,Assumptions!$B$2*EXP(-Assumptions!$B$4*Assumptions!$B$9)*NORMSDIST(((LN(Assumptions!$B$2/$B19)+(Assumptions!$B$3-Assumptions!$B$4+(AA$3/100)^2/2)*Assumptions!$B$9)/((AA$3/100)*Assumptions!$B$10)))-$B19*EXP(-Assumptions!$B$3*Assumptions!$B$9)*NORMSDIST((((LN(Assumptions!$B$2/$B19)+(Assumptions!$B$3-Assumptions!$B$4+(AA$3/100)^2/2)*Assumptions!$B$9)/((AA$3/100)*Assumptions!$B$10))-(AA$3/100)*Assumptions!$B$10))))&lt;=0,"",(Assumptions!$B$2*EXP(-Assumptions!$B$4*Assumptions!$B$9)*NORMDIST(((LN(Assumptions!$B$2/$B19)+(Assumptions!$B$3-Assumptions!$B$4+(AA$3/100)^2/2)*Assumptions!$B$9)/((AA$3/100)*Assumptions!$B$10)),0,1,FALSE)*Assumptions!$B$10*0.01)*((AA$3/100)/0.01)/(MAX(0,Assumptions!$B$2*EXP(-Assumptions!$B$4*Assumptions!$B$9)*NORMSDIST(((LN(Assumptions!$B$2/$B19)+(Assumptions!$B$3-Assumptions!$B$4+(AA$3/100)^2/2)*Assumptions!$B$9)/((AA$3/100)*Assumptions!$B$10)))-$B19*EXP(-Assumptions!$B$3*Assumptions!$B$9)*NORMSDIST((((LN(Assumptions!$B$2/$B19)+(Assumptions!$B$3-Assumptions!$B$4+(AA$3/100)^2/2)*Assumptions!$B$9)/((AA$3/100)*Assumptions!$B$10))-(AA$3/100)*Assumptions!$B$10)))))</f>
        <v/>
      </c>
      <c r="AB19" s="32">
        <f>IF((MAX(0,Assumptions!$B$2*EXP(-Assumptions!$B$4*Assumptions!$B$9)*NORMSDIST(((LN(Assumptions!$B$2/$B19)+(Assumptions!$B$3-Assumptions!$B$4+(AB$3/100)^2/2)*Assumptions!$B$9)/((AB$3/100)*Assumptions!$B$10)))-$B19*EXP(-Assumptions!$B$3*Assumptions!$B$9)*NORMSDIST((((LN(Assumptions!$B$2/$B19)+(Assumptions!$B$3-Assumptions!$B$4+(AB$3/100)^2/2)*Assumptions!$B$9)/((AB$3/100)*Assumptions!$B$10))-(AB$3/100)*Assumptions!$B$10))))&lt;=0,"",(Assumptions!$B$2*EXP(-Assumptions!$B$4*Assumptions!$B$9)*NORMDIST(((LN(Assumptions!$B$2/$B19)+(Assumptions!$B$3-Assumptions!$B$4+(AB$3/100)^2/2)*Assumptions!$B$9)/((AB$3/100)*Assumptions!$B$10)),0,1,FALSE)*Assumptions!$B$10*0.01)*((AB$3/100)/0.01)/(MAX(0,Assumptions!$B$2*EXP(-Assumptions!$B$4*Assumptions!$B$9)*NORMSDIST(((LN(Assumptions!$B$2/$B19)+(Assumptions!$B$3-Assumptions!$B$4+(AB$3/100)^2/2)*Assumptions!$B$9)/((AB$3/100)*Assumptions!$B$10)))-$B19*EXP(-Assumptions!$B$3*Assumptions!$B$9)*NORMSDIST((((LN(Assumptions!$B$2/$B19)+(Assumptions!$B$3-Assumptions!$B$4+(AB$3/100)^2/2)*Assumptions!$B$9)/((AB$3/100)*Assumptions!$B$10))-(AB$3/100)*Assumptions!$B$10)))))</f>
        <v/>
      </c>
      <c r="AC19" s="32">
        <f>IF((MAX(0,Assumptions!$B$2*EXP(-Assumptions!$B$4*Assumptions!$B$9)*NORMSDIST(((LN(Assumptions!$B$2/$B19)+(Assumptions!$B$3-Assumptions!$B$4+(AC$3/100)^2/2)*Assumptions!$B$9)/((AC$3/100)*Assumptions!$B$10)))-$B19*EXP(-Assumptions!$B$3*Assumptions!$B$9)*NORMSDIST((((LN(Assumptions!$B$2/$B19)+(Assumptions!$B$3-Assumptions!$B$4+(AC$3/100)^2/2)*Assumptions!$B$9)/((AC$3/100)*Assumptions!$B$10))-(AC$3/100)*Assumptions!$B$10))))&lt;=0,"",(Assumptions!$B$2*EXP(-Assumptions!$B$4*Assumptions!$B$9)*NORMDIST(((LN(Assumptions!$B$2/$B19)+(Assumptions!$B$3-Assumptions!$B$4+(AC$3/100)^2/2)*Assumptions!$B$9)/((AC$3/100)*Assumptions!$B$10)),0,1,FALSE)*Assumptions!$B$10*0.01)*((AC$3/100)/0.01)/(MAX(0,Assumptions!$B$2*EXP(-Assumptions!$B$4*Assumptions!$B$9)*NORMSDIST(((LN(Assumptions!$B$2/$B19)+(Assumptions!$B$3-Assumptions!$B$4+(AC$3/100)^2/2)*Assumptions!$B$9)/((AC$3/100)*Assumptions!$B$10)))-$B19*EXP(-Assumptions!$B$3*Assumptions!$B$9)*NORMSDIST((((LN(Assumptions!$B$2/$B19)+(Assumptions!$B$3-Assumptions!$B$4+(AC$3/100)^2/2)*Assumptions!$B$9)/((AC$3/100)*Assumptions!$B$10))-(AC$3/100)*Assumptions!$B$10)))))</f>
        <v/>
      </c>
      <c r="AD19" s="32">
        <f>IF((MAX(0,Assumptions!$B$2*EXP(-Assumptions!$B$4*Assumptions!$B$9)*NORMSDIST(((LN(Assumptions!$B$2/$B19)+(Assumptions!$B$3-Assumptions!$B$4+(AD$3/100)^2/2)*Assumptions!$B$9)/((AD$3/100)*Assumptions!$B$10)))-$B19*EXP(-Assumptions!$B$3*Assumptions!$B$9)*NORMSDIST((((LN(Assumptions!$B$2/$B19)+(Assumptions!$B$3-Assumptions!$B$4+(AD$3/100)^2/2)*Assumptions!$B$9)/((AD$3/100)*Assumptions!$B$10))-(AD$3/100)*Assumptions!$B$10))))&lt;=0,"",(Assumptions!$B$2*EXP(-Assumptions!$B$4*Assumptions!$B$9)*NORMDIST(((LN(Assumptions!$B$2/$B19)+(Assumptions!$B$3-Assumptions!$B$4+(AD$3/100)^2/2)*Assumptions!$B$9)/((AD$3/100)*Assumptions!$B$10)),0,1,FALSE)*Assumptions!$B$10*0.01)*((AD$3/100)/0.01)/(MAX(0,Assumptions!$B$2*EXP(-Assumptions!$B$4*Assumptions!$B$9)*NORMSDIST(((LN(Assumptions!$B$2/$B19)+(Assumptions!$B$3-Assumptions!$B$4+(AD$3/100)^2/2)*Assumptions!$B$9)/((AD$3/100)*Assumptions!$B$10)))-$B19*EXP(-Assumptions!$B$3*Assumptions!$B$9)*NORMSDIST((((LN(Assumptions!$B$2/$B19)+(Assumptions!$B$3-Assumptions!$B$4+(AD$3/100)^2/2)*Assumptions!$B$9)/((AD$3/100)*Assumptions!$B$10))-(AD$3/100)*Assumptions!$B$10)))))</f>
        <v/>
      </c>
      <c r="AE19" s="32">
        <f>IF((MAX(0,Assumptions!$B$2*EXP(-Assumptions!$B$4*Assumptions!$B$9)*NORMSDIST(((LN(Assumptions!$B$2/$B19)+(Assumptions!$B$3-Assumptions!$B$4+(AE$3/100)^2/2)*Assumptions!$B$9)/((AE$3/100)*Assumptions!$B$10)))-$B19*EXP(-Assumptions!$B$3*Assumptions!$B$9)*NORMSDIST((((LN(Assumptions!$B$2/$B19)+(Assumptions!$B$3-Assumptions!$B$4+(AE$3/100)^2/2)*Assumptions!$B$9)/((AE$3/100)*Assumptions!$B$10))-(AE$3/100)*Assumptions!$B$10))))&lt;=0,"",(Assumptions!$B$2*EXP(-Assumptions!$B$4*Assumptions!$B$9)*NORMDIST(((LN(Assumptions!$B$2/$B19)+(Assumptions!$B$3-Assumptions!$B$4+(AE$3/100)^2/2)*Assumptions!$B$9)/((AE$3/100)*Assumptions!$B$10)),0,1,FALSE)*Assumptions!$B$10*0.01)*((AE$3/100)/0.01)/(MAX(0,Assumptions!$B$2*EXP(-Assumptions!$B$4*Assumptions!$B$9)*NORMSDIST(((LN(Assumptions!$B$2/$B19)+(Assumptions!$B$3-Assumptions!$B$4+(AE$3/100)^2/2)*Assumptions!$B$9)/((AE$3/100)*Assumptions!$B$10)))-$B19*EXP(-Assumptions!$B$3*Assumptions!$B$9)*NORMSDIST((((LN(Assumptions!$B$2/$B19)+(Assumptions!$B$3-Assumptions!$B$4+(AE$3/100)^2/2)*Assumptions!$B$9)/((AE$3/100)*Assumptions!$B$10))-(AE$3/100)*Assumptions!$B$10)))))</f>
        <v/>
      </c>
      <c r="AF19" s="32">
        <f>IF((MAX(0,Assumptions!$B$2*EXP(-Assumptions!$B$4*Assumptions!$B$9)*NORMSDIST(((LN(Assumptions!$B$2/$B19)+(Assumptions!$B$3-Assumptions!$B$4+(AF$3/100)^2/2)*Assumptions!$B$9)/((AF$3/100)*Assumptions!$B$10)))-$B19*EXP(-Assumptions!$B$3*Assumptions!$B$9)*NORMSDIST((((LN(Assumptions!$B$2/$B19)+(Assumptions!$B$3-Assumptions!$B$4+(AF$3/100)^2/2)*Assumptions!$B$9)/((AF$3/100)*Assumptions!$B$10))-(AF$3/100)*Assumptions!$B$10))))&lt;=0,"",(Assumptions!$B$2*EXP(-Assumptions!$B$4*Assumptions!$B$9)*NORMDIST(((LN(Assumptions!$B$2/$B19)+(Assumptions!$B$3-Assumptions!$B$4+(AF$3/100)^2/2)*Assumptions!$B$9)/((AF$3/100)*Assumptions!$B$10)),0,1,FALSE)*Assumptions!$B$10*0.01)*((AF$3/100)/0.01)/(MAX(0,Assumptions!$B$2*EXP(-Assumptions!$B$4*Assumptions!$B$9)*NORMSDIST(((LN(Assumptions!$B$2/$B19)+(Assumptions!$B$3-Assumptions!$B$4+(AF$3/100)^2/2)*Assumptions!$B$9)/((AF$3/100)*Assumptions!$B$10)))-$B19*EXP(-Assumptions!$B$3*Assumptions!$B$9)*NORMSDIST((((LN(Assumptions!$B$2/$B19)+(Assumptions!$B$3-Assumptions!$B$4+(AF$3/100)^2/2)*Assumptions!$B$9)/((AF$3/100)*Assumptions!$B$10))-(AF$3/100)*Assumptions!$B$10)))))</f>
        <v/>
      </c>
      <c r="AG19" s="32">
        <f>IF((MAX(0,Assumptions!$B$2*EXP(-Assumptions!$B$4*Assumptions!$B$9)*NORMSDIST(((LN(Assumptions!$B$2/$B19)+(Assumptions!$B$3-Assumptions!$B$4+(AG$3/100)^2/2)*Assumptions!$B$9)/((AG$3/100)*Assumptions!$B$10)))-$B19*EXP(-Assumptions!$B$3*Assumptions!$B$9)*NORMSDIST((((LN(Assumptions!$B$2/$B19)+(Assumptions!$B$3-Assumptions!$B$4+(AG$3/100)^2/2)*Assumptions!$B$9)/((AG$3/100)*Assumptions!$B$10))-(AG$3/100)*Assumptions!$B$10))))&lt;=0,"",(Assumptions!$B$2*EXP(-Assumptions!$B$4*Assumptions!$B$9)*NORMDIST(((LN(Assumptions!$B$2/$B19)+(Assumptions!$B$3-Assumptions!$B$4+(AG$3/100)^2/2)*Assumptions!$B$9)/((AG$3/100)*Assumptions!$B$10)),0,1,FALSE)*Assumptions!$B$10*0.01)*((AG$3/100)/0.01)/(MAX(0,Assumptions!$B$2*EXP(-Assumptions!$B$4*Assumptions!$B$9)*NORMSDIST(((LN(Assumptions!$B$2/$B19)+(Assumptions!$B$3-Assumptions!$B$4+(AG$3/100)^2/2)*Assumptions!$B$9)/((AG$3/100)*Assumptions!$B$10)))-$B19*EXP(-Assumptions!$B$3*Assumptions!$B$9)*NORMSDIST((((LN(Assumptions!$B$2/$B19)+(Assumptions!$B$3-Assumptions!$B$4+(AG$3/100)^2/2)*Assumptions!$B$9)/((AG$3/100)*Assumptions!$B$10))-(AG$3/100)*Assumptions!$B$10)))))</f>
        <v/>
      </c>
      <c r="AH19" s="32">
        <f>IF((MAX(0,Assumptions!$B$2*EXP(-Assumptions!$B$4*Assumptions!$B$9)*NORMSDIST(((LN(Assumptions!$B$2/$B19)+(Assumptions!$B$3-Assumptions!$B$4+(AH$3/100)^2/2)*Assumptions!$B$9)/((AH$3/100)*Assumptions!$B$10)))-$B19*EXP(-Assumptions!$B$3*Assumptions!$B$9)*NORMSDIST((((LN(Assumptions!$B$2/$B19)+(Assumptions!$B$3-Assumptions!$B$4+(AH$3/100)^2/2)*Assumptions!$B$9)/((AH$3/100)*Assumptions!$B$10))-(AH$3/100)*Assumptions!$B$10))))&lt;=0,"",(Assumptions!$B$2*EXP(-Assumptions!$B$4*Assumptions!$B$9)*NORMDIST(((LN(Assumptions!$B$2/$B19)+(Assumptions!$B$3-Assumptions!$B$4+(AH$3/100)^2/2)*Assumptions!$B$9)/((AH$3/100)*Assumptions!$B$10)),0,1,FALSE)*Assumptions!$B$10*0.01)*((AH$3/100)/0.01)/(MAX(0,Assumptions!$B$2*EXP(-Assumptions!$B$4*Assumptions!$B$9)*NORMSDIST(((LN(Assumptions!$B$2/$B19)+(Assumptions!$B$3-Assumptions!$B$4+(AH$3/100)^2/2)*Assumptions!$B$9)/((AH$3/100)*Assumptions!$B$10)))-$B19*EXP(-Assumptions!$B$3*Assumptions!$B$9)*NORMSDIST((((LN(Assumptions!$B$2/$B19)+(Assumptions!$B$3-Assumptions!$B$4+(AH$3/100)^2/2)*Assumptions!$B$9)/((AH$3/100)*Assumptions!$B$10))-(AH$3/100)*Assumptions!$B$10)))))</f>
        <v/>
      </c>
      <c r="AI19" s="32">
        <f>IF((MAX(0,Assumptions!$B$2*EXP(-Assumptions!$B$4*Assumptions!$B$9)*NORMSDIST(((LN(Assumptions!$B$2/$B19)+(Assumptions!$B$3-Assumptions!$B$4+(AI$3/100)^2/2)*Assumptions!$B$9)/((AI$3/100)*Assumptions!$B$10)))-$B19*EXP(-Assumptions!$B$3*Assumptions!$B$9)*NORMSDIST((((LN(Assumptions!$B$2/$B19)+(Assumptions!$B$3-Assumptions!$B$4+(AI$3/100)^2/2)*Assumptions!$B$9)/((AI$3/100)*Assumptions!$B$10))-(AI$3/100)*Assumptions!$B$10))))&lt;=0,"",(Assumptions!$B$2*EXP(-Assumptions!$B$4*Assumptions!$B$9)*NORMDIST(((LN(Assumptions!$B$2/$B19)+(Assumptions!$B$3-Assumptions!$B$4+(AI$3/100)^2/2)*Assumptions!$B$9)/((AI$3/100)*Assumptions!$B$10)),0,1,FALSE)*Assumptions!$B$10*0.01)*((AI$3/100)/0.01)/(MAX(0,Assumptions!$B$2*EXP(-Assumptions!$B$4*Assumptions!$B$9)*NORMSDIST(((LN(Assumptions!$B$2/$B19)+(Assumptions!$B$3-Assumptions!$B$4+(AI$3/100)^2/2)*Assumptions!$B$9)/((AI$3/100)*Assumptions!$B$10)))-$B19*EXP(-Assumptions!$B$3*Assumptions!$B$9)*NORMSDIST((((LN(Assumptions!$B$2/$B19)+(Assumptions!$B$3-Assumptions!$B$4+(AI$3/100)^2/2)*Assumptions!$B$9)/((AI$3/100)*Assumptions!$B$10))-(AI$3/100)*Assumptions!$B$10)))))</f>
        <v/>
      </c>
      <c r="AJ19" s="32">
        <f>IF((MAX(0,Assumptions!$B$2*EXP(-Assumptions!$B$4*Assumptions!$B$9)*NORMSDIST(((LN(Assumptions!$B$2/$B19)+(Assumptions!$B$3-Assumptions!$B$4+(AJ$3/100)^2/2)*Assumptions!$B$9)/((AJ$3/100)*Assumptions!$B$10)))-$B19*EXP(-Assumptions!$B$3*Assumptions!$B$9)*NORMSDIST((((LN(Assumptions!$B$2/$B19)+(Assumptions!$B$3-Assumptions!$B$4+(AJ$3/100)^2/2)*Assumptions!$B$9)/((AJ$3/100)*Assumptions!$B$10))-(AJ$3/100)*Assumptions!$B$10))))&lt;=0,"",(Assumptions!$B$2*EXP(-Assumptions!$B$4*Assumptions!$B$9)*NORMDIST(((LN(Assumptions!$B$2/$B19)+(Assumptions!$B$3-Assumptions!$B$4+(AJ$3/100)^2/2)*Assumptions!$B$9)/((AJ$3/100)*Assumptions!$B$10)),0,1,FALSE)*Assumptions!$B$10*0.01)*((AJ$3/100)/0.01)/(MAX(0,Assumptions!$B$2*EXP(-Assumptions!$B$4*Assumptions!$B$9)*NORMSDIST(((LN(Assumptions!$B$2/$B19)+(Assumptions!$B$3-Assumptions!$B$4+(AJ$3/100)^2/2)*Assumptions!$B$9)/((AJ$3/100)*Assumptions!$B$10)))-$B19*EXP(-Assumptions!$B$3*Assumptions!$B$9)*NORMSDIST((((LN(Assumptions!$B$2/$B19)+(Assumptions!$B$3-Assumptions!$B$4+(AJ$3/100)^2/2)*Assumptions!$B$9)/((AJ$3/100)*Assumptions!$B$10))-(AJ$3/100)*Assumptions!$B$10)))))</f>
        <v/>
      </c>
      <c r="AK19" s="32">
        <f>IF((MAX(0,Assumptions!$B$2*EXP(-Assumptions!$B$4*Assumptions!$B$9)*NORMSDIST(((LN(Assumptions!$B$2/$B19)+(Assumptions!$B$3-Assumptions!$B$4+(AK$3/100)^2/2)*Assumptions!$B$9)/((AK$3/100)*Assumptions!$B$10)))-$B19*EXP(-Assumptions!$B$3*Assumptions!$B$9)*NORMSDIST((((LN(Assumptions!$B$2/$B19)+(Assumptions!$B$3-Assumptions!$B$4+(AK$3/100)^2/2)*Assumptions!$B$9)/((AK$3/100)*Assumptions!$B$10))-(AK$3/100)*Assumptions!$B$10))))&lt;=0,"",(Assumptions!$B$2*EXP(-Assumptions!$B$4*Assumptions!$B$9)*NORMDIST(((LN(Assumptions!$B$2/$B19)+(Assumptions!$B$3-Assumptions!$B$4+(AK$3/100)^2/2)*Assumptions!$B$9)/((AK$3/100)*Assumptions!$B$10)),0,1,FALSE)*Assumptions!$B$10*0.01)*((AK$3/100)/0.01)/(MAX(0,Assumptions!$B$2*EXP(-Assumptions!$B$4*Assumptions!$B$9)*NORMSDIST(((LN(Assumptions!$B$2/$B19)+(Assumptions!$B$3-Assumptions!$B$4+(AK$3/100)^2/2)*Assumptions!$B$9)/((AK$3/100)*Assumptions!$B$10)))-$B19*EXP(-Assumptions!$B$3*Assumptions!$B$9)*NORMSDIST((((LN(Assumptions!$B$2/$B19)+(Assumptions!$B$3-Assumptions!$B$4+(AK$3/100)^2/2)*Assumptions!$B$9)/((AK$3/100)*Assumptions!$B$10))-(AK$3/100)*Assumptions!$B$10)))))</f>
        <v/>
      </c>
      <c r="AL19" s="32">
        <f>IF((MAX(0,Assumptions!$B$2*EXP(-Assumptions!$B$4*Assumptions!$B$9)*NORMSDIST(((LN(Assumptions!$B$2/$B19)+(Assumptions!$B$3-Assumptions!$B$4+(AL$3/100)^2/2)*Assumptions!$B$9)/((AL$3/100)*Assumptions!$B$10)))-$B19*EXP(-Assumptions!$B$3*Assumptions!$B$9)*NORMSDIST((((LN(Assumptions!$B$2/$B19)+(Assumptions!$B$3-Assumptions!$B$4+(AL$3/100)^2/2)*Assumptions!$B$9)/((AL$3/100)*Assumptions!$B$10))-(AL$3/100)*Assumptions!$B$10))))&lt;=0,"",(Assumptions!$B$2*EXP(-Assumptions!$B$4*Assumptions!$B$9)*NORMDIST(((LN(Assumptions!$B$2/$B19)+(Assumptions!$B$3-Assumptions!$B$4+(AL$3/100)^2/2)*Assumptions!$B$9)/((AL$3/100)*Assumptions!$B$10)),0,1,FALSE)*Assumptions!$B$10*0.01)*((AL$3/100)/0.01)/(MAX(0,Assumptions!$B$2*EXP(-Assumptions!$B$4*Assumptions!$B$9)*NORMSDIST(((LN(Assumptions!$B$2/$B19)+(Assumptions!$B$3-Assumptions!$B$4+(AL$3/100)^2/2)*Assumptions!$B$9)/((AL$3/100)*Assumptions!$B$10)))-$B19*EXP(-Assumptions!$B$3*Assumptions!$B$9)*NORMSDIST((((LN(Assumptions!$B$2/$B19)+(Assumptions!$B$3-Assumptions!$B$4+(AL$3/100)^2/2)*Assumptions!$B$9)/((AL$3/100)*Assumptions!$B$10))-(AL$3/100)*Assumptions!$B$10)))))</f>
        <v/>
      </c>
      <c r="AM19" s="32">
        <f>IF((MAX(0,Assumptions!$B$2*EXP(-Assumptions!$B$4*Assumptions!$B$9)*NORMSDIST(((LN(Assumptions!$B$2/$B19)+(Assumptions!$B$3-Assumptions!$B$4+(AM$3/100)^2/2)*Assumptions!$B$9)/((AM$3/100)*Assumptions!$B$10)))-$B19*EXP(-Assumptions!$B$3*Assumptions!$B$9)*NORMSDIST((((LN(Assumptions!$B$2/$B19)+(Assumptions!$B$3-Assumptions!$B$4+(AM$3/100)^2/2)*Assumptions!$B$9)/((AM$3/100)*Assumptions!$B$10))-(AM$3/100)*Assumptions!$B$10))))&lt;=0,"",(Assumptions!$B$2*EXP(-Assumptions!$B$4*Assumptions!$B$9)*NORMDIST(((LN(Assumptions!$B$2/$B19)+(Assumptions!$B$3-Assumptions!$B$4+(AM$3/100)^2/2)*Assumptions!$B$9)/((AM$3/100)*Assumptions!$B$10)),0,1,FALSE)*Assumptions!$B$10*0.01)*((AM$3/100)/0.01)/(MAX(0,Assumptions!$B$2*EXP(-Assumptions!$B$4*Assumptions!$B$9)*NORMSDIST(((LN(Assumptions!$B$2/$B19)+(Assumptions!$B$3-Assumptions!$B$4+(AM$3/100)^2/2)*Assumptions!$B$9)/((AM$3/100)*Assumptions!$B$10)))-$B19*EXP(-Assumptions!$B$3*Assumptions!$B$9)*NORMSDIST((((LN(Assumptions!$B$2/$B19)+(Assumptions!$B$3-Assumptions!$B$4+(AM$3/100)^2/2)*Assumptions!$B$9)/((AM$3/100)*Assumptions!$B$10))-(AM$3/100)*Assumptions!$B$10)))))</f>
        <v/>
      </c>
      <c r="AN19" s="32">
        <f>IF((MAX(0,Assumptions!$B$2*EXP(-Assumptions!$B$4*Assumptions!$B$9)*NORMSDIST(((LN(Assumptions!$B$2/$B19)+(Assumptions!$B$3-Assumptions!$B$4+(AN$3/100)^2/2)*Assumptions!$B$9)/((AN$3/100)*Assumptions!$B$10)))-$B19*EXP(-Assumptions!$B$3*Assumptions!$B$9)*NORMSDIST((((LN(Assumptions!$B$2/$B19)+(Assumptions!$B$3-Assumptions!$B$4+(AN$3/100)^2/2)*Assumptions!$B$9)/((AN$3/100)*Assumptions!$B$10))-(AN$3/100)*Assumptions!$B$10))))&lt;=0,"",(Assumptions!$B$2*EXP(-Assumptions!$B$4*Assumptions!$B$9)*NORMDIST(((LN(Assumptions!$B$2/$B19)+(Assumptions!$B$3-Assumptions!$B$4+(AN$3/100)^2/2)*Assumptions!$B$9)/((AN$3/100)*Assumptions!$B$10)),0,1,FALSE)*Assumptions!$B$10*0.01)*((AN$3/100)/0.01)/(MAX(0,Assumptions!$B$2*EXP(-Assumptions!$B$4*Assumptions!$B$9)*NORMSDIST(((LN(Assumptions!$B$2/$B19)+(Assumptions!$B$3-Assumptions!$B$4+(AN$3/100)^2/2)*Assumptions!$B$9)/((AN$3/100)*Assumptions!$B$10)))-$B19*EXP(-Assumptions!$B$3*Assumptions!$B$9)*NORMSDIST((((LN(Assumptions!$B$2/$B19)+(Assumptions!$B$3-Assumptions!$B$4+(AN$3/100)^2/2)*Assumptions!$B$9)/((AN$3/100)*Assumptions!$B$10))-(AN$3/100)*Assumptions!$B$10)))))</f>
        <v/>
      </c>
      <c r="AO19" s="32">
        <f>IF((MAX(0,Assumptions!$B$2*EXP(-Assumptions!$B$4*Assumptions!$B$9)*NORMSDIST(((LN(Assumptions!$B$2/$B19)+(Assumptions!$B$3-Assumptions!$B$4+(AO$3/100)^2/2)*Assumptions!$B$9)/((AO$3/100)*Assumptions!$B$10)))-$B19*EXP(-Assumptions!$B$3*Assumptions!$B$9)*NORMSDIST((((LN(Assumptions!$B$2/$B19)+(Assumptions!$B$3-Assumptions!$B$4+(AO$3/100)^2/2)*Assumptions!$B$9)/((AO$3/100)*Assumptions!$B$10))-(AO$3/100)*Assumptions!$B$10))))&lt;=0,"",(Assumptions!$B$2*EXP(-Assumptions!$B$4*Assumptions!$B$9)*NORMDIST(((LN(Assumptions!$B$2/$B19)+(Assumptions!$B$3-Assumptions!$B$4+(AO$3/100)^2/2)*Assumptions!$B$9)/((AO$3/100)*Assumptions!$B$10)),0,1,FALSE)*Assumptions!$B$10*0.01)*((AO$3/100)/0.01)/(MAX(0,Assumptions!$B$2*EXP(-Assumptions!$B$4*Assumptions!$B$9)*NORMSDIST(((LN(Assumptions!$B$2/$B19)+(Assumptions!$B$3-Assumptions!$B$4+(AO$3/100)^2/2)*Assumptions!$B$9)/((AO$3/100)*Assumptions!$B$10)))-$B19*EXP(-Assumptions!$B$3*Assumptions!$B$9)*NORMSDIST((((LN(Assumptions!$B$2/$B19)+(Assumptions!$B$3-Assumptions!$B$4+(AO$3/100)^2/2)*Assumptions!$B$9)/((AO$3/100)*Assumptions!$B$10))-(AO$3/100)*Assumptions!$B$10)))))</f>
        <v/>
      </c>
      <c r="AP19" s="32">
        <f>IF((MAX(0,Assumptions!$B$2*EXP(-Assumptions!$B$4*Assumptions!$B$9)*NORMSDIST(((LN(Assumptions!$B$2/$B19)+(Assumptions!$B$3-Assumptions!$B$4+(AP$3/100)^2/2)*Assumptions!$B$9)/((AP$3/100)*Assumptions!$B$10)))-$B19*EXP(-Assumptions!$B$3*Assumptions!$B$9)*NORMSDIST((((LN(Assumptions!$B$2/$B19)+(Assumptions!$B$3-Assumptions!$B$4+(AP$3/100)^2/2)*Assumptions!$B$9)/((AP$3/100)*Assumptions!$B$10))-(AP$3/100)*Assumptions!$B$10))))&lt;=0,"",(Assumptions!$B$2*EXP(-Assumptions!$B$4*Assumptions!$B$9)*NORMDIST(((LN(Assumptions!$B$2/$B19)+(Assumptions!$B$3-Assumptions!$B$4+(AP$3/100)^2/2)*Assumptions!$B$9)/((AP$3/100)*Assumptions!$B$10)),0,1,FALSE)*Assumptions!$B$10*0.01)*((AP$3/100)/0.01)/(MAX(0,Assumptions!$B$2*EXP(-Assumptions!$B$4*Assumptions!$B$9)*NORMSDIST(((LN(Assumptions!$B$2/$B19)+(Assumptions!$B$3-Assumptions!$B$4+(AP$3/100)^2/2)*Assumptions!$B$9)/((AP$3/100)*Assumptions!$B$10)))-$B19*EXP(-Assumptions!$B$3*Assumptions!$B$9)*NORMSDIST((((LN(Assumptions!$B$2/$B19)+(Assumptions!$B$3-Assumptions!$B$4+(AP$3/100)^2/2)*Assumptions!$B$9)/((AP$3/100)*Assumptions!$B$10))-(AP$3/100)*Assumptions!$B$10)))))</f>
        <v/>
      </c>
      <c r="AQ19" s="32">
        <f>IF((MAX(0,Assumptions!$B$2*EXP(-Assumptions!$B$4*Assumptions!$B$9)*NORMSDIST(((LN(Assumptions!$B$2/$B19)+(Assumptions!$B$3-Assumptions!$B$4+(AQ$3/100)^2/2)*Assumptions!$B$9)/((AQ$3/100)*Assumptions!$B$10)))-$B19*EXP(-Assumptions!$B$3*Assumptions!$B$9)*NORMSDIST((((LN(Assumptions!$B$2/$B19)+(Assumptions!$B$3-Assumptions!$B$4+(AQ$3/100)^2/2)*Assumptions!$B$9)/((AQ$3/100)*Assumptions!$B$10))-(AQ$3/100)*Assumptions!$B$10))))&lt;=0,"",(Assumptions!$B$2*EXP(-Assumptions!$B$4*Assumptions!$B$9)*NORMDIST(((LN(Assumptions!$B$2/$B19)+(Assumptions!$B$3-Assumptions!$B$4+(AQ$3/100)^2/2)*Assumptions!$B$9)/((AQ$3/100)*Assumptions!$B$10)),0,1,FALSE)*Assumptions!$B$10*0.01)*((AQ$3/100)/0.01)/(MAX(0,Assumptions!$B$2*EXP(-Assumptions!$B$4*Assumptions!$B$9)*NORMSDIST(((LN(Assumptions!$B$2/$B19)+(Assumptions!$B$3-Assumptions!$B$4+(AQ$3/100)^2/2)*Assumptions!$B$9)/((AQ$3/100)*Assumptions!$B$10)))-$B19*EXP(-Assumptions!$B$3*Assumptions!$B$9)*NORMSDIST((((LN(Assumptions!$B$2/$B19)+(Assumptions!$B$3-Assumptions!$B$4+(AQ$3/100)^2/2)*Assumptions!$B$9)/((AQ$3/100)*Assumptions!$B$10))-(AQ$3/100)*Assumptions!$B$10)))))</f>
        <v/>
      </c>
      <c r="AR19" s="32">
        <f>IF((MAX(0,Assumptions!$B$2*EXP(-Assumptions!$B$4*Assumptions!$B$9)*NORMSDIST(((LN(Assumptions!$B$2/$B19)+(Assumptions!$B$3-Assumptions!$B$4+(AR$3/100)^2/2)*Assumptions!$B$9)/((AR$3/100)*Assumptions!$B$10)))-$B19*EXP(-Assumptions!$B$3*Assumptions!$B$9)*NORMSDIST((((LN(Assumptions!$B$2/$B19)+(Assumptions!$B$3-Assumptions!$B$4+(AR$3/100)^2/2)*Assumptions!$B$9)/((AR$3/100)*Assumptions!$B$10))-(AR$3/100)*Assumptions!$B$10))))&lt;=0,"",(Assumptions!$B$2*EXP(-Assumptions!$B$4*Assumptions!$B$9)*NORMDIST(((LN(Assumptions!$B$2/$B19)+(Assumptions!$B$3-Assumptions!$B$4+(AR$3/100)^2/2)*Assumptions!$B$9)/((AR$3/100)*Assumptions!$B$10)),0,1,FALSE)*Assumptions!$B$10*0.01)*((AR$3/100)/0.01)/(MAX(0,Assumptions!$B$2*EXP(-Assumptions!$B$4*Assumptions!$B$9)*NORMSDIST(((LN(Assumptions!$B$2/$B19)+(Assumptions!$B$3-Assumptions!$B$4+(AR$3/100)^2/2)*Assumptions!$B$9)/((AR$3/100)*Assumptions!$B$10)))-$B19*EXP(-Assumptions!$B$3*Assumptions!$B$9)*NORMSDIST((((LN(Assumptions!$B$2/$B19)+(Assumptions!$B$3-Assumptions!$B$4+(AR$3/100)^2/2)*Assumptions!$B$9)/((AR$3/100)*Assumptions!$B$10))-(AR$3/100)*Assumptions!$B$10)))))</f>
        <v/>
      </c>
      <c r="AS19" s="32">
        <f>IF((MAX(0,Assumptions!$B$2*EXP(-Assumptions!$B$4*Assumptions!$B$9)*NORMSDIST(((LN(Assumptions!$B$2/$B19)+(Assumptions!$B$3-Assumptions!$B$4+(AS$3/100)^2/2)*Assumptions!$B$9)/((AS$3/100)*Assumptions!$B$10)))-$B19*EXP(-Assumptions!$B$3*Assumptions!$B$9)*NORMSDIST((((LN(Assumptions!$B$2/$B19)+(Assumptions!$B$3-Assumptions!$B$4+(AS$3/100)^2/2)*Assumptions!$B$9)/((AS$3/100)*Assumptions!$B$10))-(AS$3/100)*Assumptions!$B$10))))&lt;=0,"",(Assumptions!$B$2*EXP(-Assumptions!$B$4*Assumptions!$B$9)*NORMDIST(((LN(Assumptions!$B$2/$B19)+(Assumptions!$B$3-Assumptions!$B$4+(AS$3/100)^2/2)*Assumptions!$B$9)/((AS$3/100)*Assumptions!$B$10)),0,1,FALSE)*Assumptions!$B$10*0.01)*((AS$3/100)/0.01)/(MAX(0,Assumptions!$B$2*EXP(-Assumptions!$B$4*Assumptions!$B$9)*NORMSDIST(((LN(Assumptions!$B$2/$B19)+(Assumptions!$B$3-Assumptions!$B$4+(AS$3/100)^2/2)*Assumptions!$B$9)/((AS$3/100)*Assumptions!$B$10)))-$B19*EXP(-Assumptions!$B$3*Assumptions!$B$9)*NORMSDIST((((LN(Assumptions!$B$2/$B19)+(Assumptions!$B$3-Assumptions!$B$4+(AS$3/100)^2/2)*Assumptions!$B$9)/((AS$3/100)*Assumptions!$B$10))-(AS$3/100)*Assumptions!$B$10)))))</f>
        <v/>
      </c>
      <c r="AT19" s="32">
        <f>IF((MAX(0,Assumptions!$B$2*EXP(-Assumptions!$B$4*Assumptions!$B$9)*NORMSDIST(((LN(Assumptions!$B$2/$B19)+(Assumptions!$B$3-Assumptions!$B$4+(AT$3/100)^2/2)*Assumptions!$B$9)/((AT$3/100)*Assumptions!$B$10)))-$B19*EXP(-Assumptions!$B$3*Assumptions!$B$9)*NORMSDIST((((LN(Assumptions!$B$2/$B19)+(Assumptions!$B$3-Assumptions!$B$4+(AT$3/100)^2/2)*Assumptions!$B$9)/((AT$3/100)*Assumptions!$B$10))-(AT$3/100)*Assumptions!$B$10))))&lt;=0,"",(Assumptions!$B$2*EXP(-Assumptions!$B$4*Assumptions!$B$9)*NORMDIST(((LN(Assumptions!$B$2/$B19)+(Assumptions!$B$3-Assumptions!$B$4+(AT$3/100)^2/2)*Assumptions!$B$9)/((AT$3/100)*Assumptions!$B$10)),0,1,FALSE)*Assumptions!$B$10*0.01)*((AT$3/100)/0.01)/(MAX(0,Assumptions!$B$2*EXP(-Assumptions!$B$4*Assumptions!$B$9)*NORMSDIST(((LN(Assumptions!$B$2/$B19)+(Assumptions!$B$3-Assumptions!$B$4+(AT$3/100)^2/2)*Assumptions!$B$9)/((AT$3/100)*Assumptions!$B$10)))-$B19*EXP(-Assumptions!$B$3*Assumptions!$B$9)*NORMSDIST((((LN(Assumptions!$B$2/$B19)+(Assumptions!$B$3-Assumptions!$B$4+(AT$3/100)^2/2)*Assumptions!$B$9)/((AT$3/100)*Assumptions!$B$10))-(AT$3/100)*Assumptions!$B$10)))))</f>
        <v/>
      </c>
      <c r="AU19" s="32">
        <f>IF((MAX(0,Assumptions!$B$2*EXP(-Assumptions!$B$4*Assumptions!$B$9)*NORMSDIST(((LN(Assumptions!$B$2/$B19)+(Assumptions!$B$3-Assumptions!$B$4+(AU$3/100)^2/2)*Assumptions!$B$9)/((AU$3/100)*Assumptions!$B$10)))-$B19*EXP(-Assumptions!$B$3*Assumptions!$B$9)*NORMSDIST((((LN(Assumptions!$B$2/$B19)+(Assumptions!$B$3-Assumptions!$B$4+(AU$3/100)^2/2)*Assumptions!$B$9)/((AU$3/100)*Assumptions!$B$10))-(AU$3/100)*Assumptions!$B$10))))&lt;=0,"",(Assumptions!$B$2*EXP(-Assumptions!$B$4*Assumptions!$B$9)*NORMDIST(((LN(Assumptions!$B$2/$B19)+(Assumptions!$B$3-Assumptions!$B$4+(AU$3/100)^2/2)*Assumptions!$B$9)/((AU$3/100)*Assumptions!$B$10)),0,1,FALSE)*Assumptions!$B$10*0.01)*((AU$3/100)/0.01)/(MAX(0,Assumptions!$B$2*EXP(-Assumptions!$B$4*Assumptions!$B$9)*NORMSDIST(((LN(Assumptions!$B$2/$B19)+(Assumptions!$B$3-Assumptions!$B$4+(AU$3/100)^2/2)*Assumptions!$B$9)/((AU$3/100)*Assumptions!$B$10)))-$B19*EXP(-Assumptions!$B$3*Assumptions!$B$9)*NORMSDIST((((LN(Assumptions!$B$2/$B19)+(Assumptions!$B$3-Assumptions!$B$4+(AU$3/100)^2/2)*Assumptions!$B$9)/((AU$3/100)*Assumptions!$B$10))-(AU$3/100)*Assumptions!$B$10)))))</f>
        <v/>
      </c>
      <c r="AV19" s="32">
        <f>IF((MAX(0,Assumptions!$B$2*EXP(-Assumptions!$B$4*Assumptions!$B$9)*NORMSDIST(((LN(Assumptions!$B$2/$B19)+(Assumptions!$B$3-Assumptions!$B$4+(AV$3/100)^2/2)*Assumptions!$B$9)/((AV$3/100)*Assumptions!$B$10)))-$B19*EXP(-Assumptions!$B$3*Assumptions!$B$9)*NORMSDIST((((LN(Assumptions!$B$2/$B19)+(Assumptions!$B$3-Assumptions!$B$4+(AV$3/100)^2/2)*Assumptions!$B$9)/((AV$3/100)*Assumptions!$B$10))-(AV$3/100)*Assumptions!$B$10))))&lt;=0,"",(Assumptions!$B$2*EXP(-Assumptions!$B$4*Assumptions!$B$9)*NORMDIST(((LN(Assumptions!$B$2/$B19)+(Assumptions!$B$3-Assumptions!$B$4+(AV$3/100)^2/2)*Assumptions!$B$9)/((AV$3/100)*Assumptions!$B$10)),0,1,FALSE)*Assumptions!$B$10*0.01)*((AV$3/100)/0.01)/(MAX(0,Assumptions!$B$2*EXP(-Assumptions!$B$4*Assumptions!$B$9)*NORMSDIST(((LN(Assumptions!$B$2/$B19)+(Assumptions!$B$3-Assumptions!$B$4+(AV$3/100)^2/2)*Assumptions!$B$9)/((AV$3/100)*Assumptions!$B$10)))-$B19*EXP(-Assumptions!$B$3*Assumptions!$B$9)*NORMSDIST((((LN(Assumptions!$B$2/$B19)+(Assumptions!$B$3-Assumptions!$B$4+(AV$3/100)^2/2)*Assumptions!$B$9)/((AV$3/100)*Assumptions!$B$10))-(AV$3/100)*Assumptions!$B$10)))))</f>
        <v/>
      </c>
    </row>
    <row r="20">
      <c r="A20" s="27" t="inlineStr">
        <is>
          <t>+2.00%</t>
        </is>
      </c>
      <c r="B20" s="47">
        <f>'BS Engine'!$B$18</f>
        <v/>
      </c>
      <c r="C20" s="28">
        <f>'BS Engine'!$C$18</f>
        <v/>
      </c>
      <c r="D20" s="54">
        <f>IF((MAX(0,Assumptions!$B$2*EXP(-Assumptions!$B$4*Assumptions!$B$9)*NORMSDIST(((LN(Assumptions!$B$2/$B20)+(Assumptions!$B$3-Assumptions!$B$4+(D$3/100)^2/2)*Assumptions!$B$9)/((D$3/100)*Assumptions!$B$10)))-$B20*EXP(-Assumptions!$B$3*Assumptions!$B$9)*NORMSDIST((((LN(Assumptions!$B$2/$B20)+(Assumptions!$B$3-Assumptions!$B$4+(D$3/100)^2/2)*Assumptions!$B$9)/((D$3/100)*Assumptions!$B$10))-(D$3/100)*Assumptions!$B$10))))&lt;=0,"",(Assumptions!$B$2*EXP(-Assumptions!$B$4*Assumptions!$B$9)*NORMDIST(((LN(Assumptions!$B$2/$B20)+(Assumptions!$B$3-Assumptions!$B$4+(D$3/100)^2/2)*Assumptions!$B$9)/((D$3/100)*Assumptions!$B$10)),0,1,FALSE)*Assumptions!$B$10*0.01)*((D$3/100)/0.01)/(MAX(0,Assumptions!$B$2*EXP(-Assumptions!$B$4*Assumptions!$B$9)*NORMSDIST(((LN(Assumptions!$B$2/$B20)+(Assumptions!$B$3-Assumptions!$B$4+(D$3/100)^2/2)*Assumptions!$B$9)/((D$3/100)*Assumptions!$B$10)))-$B20*EXP(-Assumptions!$B$3*Assumptions!$B$9)*NORMSDIST((((LN(Assumptions!$B$2/$B20)+(Assumptions!$B$3-Assumptions!$B$4+(D$3/100)^2/2)*Assumptions!$B$9)/((D$3/100)*Assumptions!$B$10))-(D$3/100)*Assumptions!$B$10)))))</f>
        <v/>
      </c>
      <c r="E20" s="32">
        <f>IF((MAX(0,Assumptions!$B$2*EXP(-Assumptions!$B$4*Assumptions!$B$9)*NORMSDIST(((LN(Assumptions!$B$2/$B20)+(Assumptions!$B$3-Assumptions!$B$4+(E$3/100)^2/2)*Assumptions!$B$9)/((E$3/100)*Assumptions!$B$10)))-$B20*EXP(-Assumptions!$B$3*Assumptions!$B$9)*NORMSDIST((((LN(Assumptions!$B$2/$B20)+(Assumptions!$B$3-Assumptions!$B$4+(E$3/100)^2/2)*Assumptions!$B$9)/((E$3/100)*Assumptions!$B$10))-(E$3/100)*Assumptions!$B$10))))&lt;=0,"",(Assumptions!$B$2*EXP(-Assumptions!$B$4*Assumptions!$B$9)*NORMDIST(((LN(Assumptions!$B$2/$B20)+(Assumptions!$B$3-Assumptions!$B$4+(E$3/100)^2/2)*Assumptions!$B$9)/((E$3/100)*Assumptions!$B$10)),0,1,FALSE)*Assumptions!$B$10*0.01)*((E$3/100)/0.01)/(MAX(0,Assumptions!$B$2*EXP(-Assumptions!$B$4*Assumptions!$B$9)*NORMSDIST(((LN(Assumptions!$B$2/$B20)+(Assumptions!$B$3-Assumptions!$B$4+(E$3/100)^2/2)*Assumptions!$B$9)/((E$3/100)*Assumptions!$B$10)))-$B20*EXP(-Assumptions!$B$3*Assumptions!$B$9)*NORMSDIST((((LN(Assumptions!$B$2/$B20)+(Assumptions!$B$3-Assumptions!$B$4+(E$3/100)^2/2)*Assumptions!$B$9)/((E$3/100)*Assumptions!$B$10))-(E$3/100)*Assumptions!$B$10)))))</f>
        <v/>
      </c>
      <c r="F20" s="32">
        <f>IF((MAX(0,Assumptions!$B$2*EXP(-Assumptions!$B$4*Assumptions!$B$9)*NORMSDIST(((LN(Assumptions!$B$2/$B20)+(Assumptions!$B$3-Assumptions!$B$4+(F$3/100)^2/2)*Assumptions!$B$9)/((F$3/100)*Assumptions!$B$10)))-$B20*EXP(-Assumptions!$B$3*Assumptions!$B$9)*NORMSDIST((((LN(Assumptions!$B$2/$B20)+(Assumptions!$B$3-Assumptions!$B$4+(F$3/100)^2/2)*Assumptions!$B$9)/((F$3/100)*Assumptions!$B$10))-(F$3/100)*Assumptions!$B$10))))&lt;=0,"",(Assumptions!$B$2*EXP(-Assumptions!$B$4*Assumptions!$B$9)*NORMDIST(((LN(Assumptions!$B$2/$B20)+(Assumptions!$B$3-Assumptions!$B$4+(F$3/100)^2/2)*Assumptions!$B$9)/((F$3/100)*Assumptions!$B$10)),0,1,FALSE)*Assumptions!$B$10*0.01)*((F$3/100)/0.01)/(MAX(0,Assumptions!$B$2*EXP(-Assumptions!$B$4*Assumptions!$B$9)*NORMSDIST(((LN(Assumptions!$B$2/$B20)+(Assumptions!$B$3-Assumptions!$B$4+(F$3/100)^2/2)*Assumptions!$B$9)/((F$3/100)*Assumptions!$B$10)))-$B20*EXP(-Assumptions!$B$3*Assumptions!$B$9)*NORMSDIST((((LN(Assumptions!$B$2/$B20)+(Assumptions!$B$3-Assumptions!$B$4+(F$3/100)^2/2)*Assumptions!$B$9)/((F$3/100)*Assumptions!$B$10))-(F$3/100)*Assumptions!$B$10)))))</f>
        <v/>
      </c>
      <c r="G20" s="32">
        <f>IF((MAX(0,Assumptions!$B$2*EXP(-Assumptions!$B$4*Assumptions!$B$9)*NORMSDIST(((LN(Assumptions!$B$2/$B20)+(Assumptions!$B$3-Assumptions!$B$4+(G$3/100)^2/2)*Assumptions!$B$9)/((G$3/100)*Assumptions!$B$10)))-$B20*EXP(-Assumptions!$B$3*Assumptions!$B$9)*NORMSDIST((((LN(Assumptions!$B$2/$B20)+(Assumptions!$B$3-Assumptions!$B$4+(G$3/100)^2/2)*Assumptions!$B$9)/((G$3/100)*Assumptions!$B$10))-(G$3/100)*Assumptions!$B$10))))&lt;=0,"",(Assumptions!$B$2*EXP(-Assumptions!$B$4*Assumptions!$B$9)*NORMDIST(((LN(Assumptions!$B$2/$B20)+(Assumptions!$B$3-Assumptions!$B$4+(G$3/100)^2/2)*Assumptions!$B$9)/((G$3/100)*Assumptions!$B$10)),0,1,FALSE)*Assumptions!$B$10*0.01)*((G$3/100)/0.01)/(MAX(0,Assumptions!$B$2*EXP(-Assumptions!$B$4*Assumptions!$B$9)*NORMSDIST(((LN(Assumptions!$B$2/$B20)+(Assumptions!$B$3-Assumptions!$B$4+(G$3/100)^2/2)*Assumptions!$B$9)/((G$3/100)*Assumptions!$B$10)))-$B20*EXP(-Assumptions!$B$3*Assumptions!$B$9)*NORMSDIST((((LN(Assumptions!$B$2/$B20)+(Assumptions!$B$3-Assumptions!$B$4+(G$3/100)^2/2)*Assumptions!$B$9)/((G$3/100)*Assumptions!$B$10))-(G$3/100)*Assumptions!$B$10)))))</f>
        <v/>
      </c>
      <c r="H20" s="32">
        <f>IF((MAX(0,Assumptions!$B$2*EXP(-Assumptions!$B$4*Assumptions!$B$9)*NORMSDIST(((LN(Assumptions!$B$2/$B20)+(Assumptions!$B$3-Assumptions!$B$4+(H$3/100)^2/2)*Assumptions!$B$9)/((H$3/100)*Assumptions!$B$10)))-$B20*EXP(-Assumptions!$B$3*Assumptions!$B$9)*NORMSDIST((((LN(Assumptions!$B$2/$B20)+(Assumptions!$B$3-Assumptions!$B$4+(H$3/100)^2/2)*Assumptions!$B$9)/((H$3/100)*Assumptions!$B$10))-(H$3/100)*Assumptions!$B$10))))&lt;=0,"",(Assumptions!$B$2*EXP(-Assumptions!$B$4*Assumptions!$B$9)*NORMDIST(((LN(Assumptions!$B$2/$B20)+(Assumptions!$B$3-Assumptions!$B$4+(H$3/100)^2/2)*Assumptions!$B$9)/((H$3/100)*Assumptions!$B$10)),0,1,FALSE)*Assumptions!$B$10*0.01)*((H$3/100)/0.01)/(MAX(0,Assumptions!$B$2*EXP(-Assumptions!$B$4*Assumptions!$B$9)*NORMSDIST(((LN(Assumptions!$B$2/$B20)+(Assumptions!$B$3-Assumptions!$B$4+(H$3/100)^2/2)*Assumptions!$B$9)/((H$3/100)*Assumptions!$B$10)))-$B20*EXP(-Assumptions!$B$3*Assumptions!$B$9)*NORMSDIST((((LN(Assumptions!$B$2/$B20)+(Assumptions!$B$3-Assumptions!$B$4+(H$3/100)^2/2)*Assumptions!$B$9)/((H$3/100)*Assumptions!$B$10))-(H$3/100)*Assumptions!$B$10)))))</f>
        <v/>
      </c>
      <c r="I20" s="32">
        <f>IF((MAX(0,Assumptions!$B$2*EXP(-Assumptions!$B$4*Assumptions!$B$9)*NORMSDIST(((LN(Assumptions!$B$2/$B20)+(Assumptions!$B$3-Assumptions!$B$4+(I$3/100)^2/2)*Assumptions!$B$9)/((I$3/100)*Assumptions!$B$10)))-$B20*EXP(-Assumptions!$B$3*Assumptions!$B$9)*NORMSDIST((((LN(Assumptions!$B$2/$B20)+(Assumptions!$B$3-Assumptions!$B$4+(I$3/100)^2/2)*Assumptions!$B$9)/((I$3/100)*Assumptions!$B$10))-(I$3/100)*Assumptions!$B$10))))&lt;=0,"",(Assumptions!$B$2*EXP(-Assumptions!$B$4*Assumptions!$B$9)*NORMDIST(((LN(Assumptions!$B$2/$B20)+(Assumptions!$B$3-Assumptions!$B$4+(I$3/100)^2/2)*Assumptions!$B$9)/((I$3/100)*Assumptions!$B$10)),0,1,FALSE)*Assumptions!$B$10*0.01)*((I$3/100)/0.01)/(MAX(0,Assumptions!$B$2*EXP(-Assumptions!$B$4*Assumptions!$B$9)*NORMSDIST(((LN(Assumptions!$B$2/$B20)+(Assumptions!$B$3-Assumptions!$B$4+(I$3/100)^2/2)*Assumptions!$B$9)/((I$3/100)*Assumptions!$B$10)))-$B20*EXP(-Assumptions!$B$3*Assumptions!$B$9)*NORMSDIST((((LN(Assumptions!$B$2/$B20)+(Assumptions!$B$3-Assumptions!$B$4+(I$3/100)^2/2)*Assumptions!$B$9)/((I$3/100)*Assumptions!$B$10))-(I$3/100)*Assumptions!$B$10)))))</f>
        <v/>
      </c>
      <c r="J20" s="32">
        <f>IF((MAX(0,Assumptions!$B$2*EXP(-Assumptions!$B$4*Assumptions!$B$9)*NORMSDIST(((LN(Assumptions!$B$2/$B20)+(Assumptions!$B$3-Assumptions!$B$4+(J$3/100)^2/2)*Assumptions!$B$9)/((J$3/100)*Assumptions!$B$10)))-$B20*EXP(-Assumptions!$B$3*Assumptions!$B$9)*NORMSDIST((((LN(Assumptions!$B$2/$B20)+(Assumptions!$B$3-Assumptions!$B$4+(J$3/100)^2/2)*Assumptions!$B$9)/((J$3/100)*Assumptions!$B$10))-(J$3/100)*Assumptions!$B$10))))&lt;=0,"",(Assumptions!$B$2*EXP(-Assumptions!$B$4*Assumptions!$B$9)*NORMDIST(((LN(Assumptions!$B$2/$B20)+(Assumptions!$B$3-Assumptions!$B$4+(J$3/100)^2/2)*Assumptions!$B$9)/((J$3/100)*Assumptions!$B$10)),0,1,FALSE)*Assumptions!$B$10*0.01)*((J$3/100)/0.01)/(MAX(0,Assumptions!$B$2*EXP(-Assumptions!$B$4*Assumptions!$B$9)*NORMSDIST(((LN(Assumptions!$B$2/$B20)+(Assumptions!$B$3-Assumptions!$B$4+(J$3/100)^2/2)*Assumptions!$B$9)/((J$3/100)*Assumptions!$B$10)))-$B20*EXP(-Assumptions!$B$3*Assumptions!$B$9)*NORMSDIST((((LN(Assumptions!$B$2/$B20)+(Assumptions!$B$3-Assumptions!$B$4+(J$3/100)^2/2)*Assumptions!$B$9)/((J$3/100)*Assumptions!$B$10))-(J$3/100)*Assumptions!$B$10)))))</f>
        <v/>
      </c>
      <c r="K20" s="32">
        <f>IF((MAX(0,Assumptions!$B$2*EXP(-Assumptions!$B$4*Assumptions!$B$9)*NORMSDIST(((LN(Assumptions!$B$2/$B20)+(Assumptions!$B$3-Assumptions!$B$4+(K$3/100)^2/2)*Assumptions!$B$9)/((K$3/100)*Assumptions!$B$10)))-$B20*EXP(-Assumptions!$B$3*Assumptions!$B$9)*NORMSDIST((((LN(Assumptions!$B$2/$B20)+(Assumptions!$B$3-Assumptions!$B$4+(K$3/100)^2/2)*Assumptions!$B$9)/((K$3/100)*Assumptions!$B$10))-(K$3/100)*Assumptions!$B$10))))&lt;=0,"",(Assumptions!$B$2*EXP(-Assumptions!$B$4*Assumptions!$B$9)*NORMDIST(((LN(Assumptions!$B$2/$B20)+(Assumptions!$B$3-Assumptions!$B$4+(K$3/100)^2/2)*Assumptions!$B$9)/((K$3/100)*Assumptions!$B$10)),0,1,FALSE)*Assumptions!$B$10*0.01)*((K$3/100)/0.01)/(MAX(0,Assumptions!$B$2*EXP(-Assumptions!$B$4*Assumptions!$B$9)*NORMSDIST(((LN(Assumptions!$B$2/$B20)+(Assumptions!$B$3-Assumptions!$B$4+(K$3/100)^2/2)*Assumptions!$B$9)/((K$3/100)*Assumptions!$B$10)))-$B20*EXP(-Assumptions!$B$3*Assumptions!$B$9)*NORMSDIST((((LN(Assumptions!$B$2/$B20)+(Assumptions!$B$3-Assumptions!$B$4+(K$3/100)^2/2)*Assumptions!$B$9)/((K$3/100)*Assumptions!$B$10))-(K$3/100)*Assumptions!$B$10)))))</f>
        <v/>
      </c>
      <c r="L20" s="32">
        <f>IF((MAX(0,Assumptions!$B$2*EXP(-Assumptions!$B$4*Assumptions!$B$9)*NORMSDIST(((LN(Assumptions!$B$2/$B20)+(Assumptions!$B$3-Assumptions!$B$4+(L$3/100)^2/2)*Assumptions!$B$9)/((L$3/100)*Assumptions!$B$10)))-$B20*EXP(-Assumptions!$B$3*Assumptions!$B$9)*NORMSDIST((((LN(Assumptions!$B$2/$B20)+(Assumptions!$B$3-Assumptions!$B$4+(L$3/100)^2/2)*Assumptions!$B$9)/((L$3/100)*Assumptions!$B$10))-(L$3/100)*Assumptions!$B$10))))&lt;=0,"",(Assumptions!$B$2*EXP(-Assumptions!$B$4*Assumptions!$B$9)*NORMDIST(((LN(Assumptions!$B$2/$B20)+(Assumptions!$B$3-Assumptions!$B$4+(L$3/100)^2/2)*Assumptions!$B$9)/((L$3/100)*Assumptions!$B$10)),0,1,FALSE)*Assumptions!$B$10*0.01)*((L$3/100)/0.01)/(MAX(0,Assumptions!$B$2*EXP(-Assumptions!$B$4*Assumptions!$B$9)*NORMSDIST(((LN(Assumptions!$B$2/$B20)+(Assumptions!$B$3-Assumptions!$B$4+(L$3/100)^2/2)*Assumptions!$B$9)/((L$3/100)*Assumptions!$B$10)))-$B20*EXP(-Assumptions!$B$3*Assumptions!$B$9)*NORMSDIST((((LN(Assumptions!$B$2/$B20)+(Assumptions!$B$3-Assumptions!$B$4+(L$3/100)^2/2)*Assumptions!$B$9)/((L$3/100)*Assumptions!$B$10))-(L$3/100)*Assumptions!$B$10)))))</f>
        <v/>
      </c>
      <c r="M20" s="32">
        <f>IF((MAX(0,Assumptions!$B$2*EXP(-Assumptions!$B$4*Assumptions!$B$9)*NORMSDIST(((LN(Assumptions!$B$2/$B20)+(Assumptions!$B$3-Assumptions!$B$4+(M$3/100)^2/2)*Assumptions!$B$9)/((M$3/100)*Assumptions!$B$10)))-$B20*EXP(-Assumptions!$B$3*Assumptions!$B$9)*NORMSDIST((((LN(Assumptions!$B$2/$B20)+(Assumptions!$B$3-Assumptions!$B$4+(M$3/100)^2/2)*Assumptions!$B$9)/((M$3/100)*Assumptions!$B$10))-(M$3/100)*Assumptions!$B$10))))&lt;=0,"",(Assumptions!$B$2*EXP(-Assumptions!$B$4*Assumptions!$B$9)*NORMDIST(((LN(Assumptions!$B$2/$B20)+(Assumptions!$B$3-Assumptions!$B$4+(M$3/100)^2/2)*Assumptions!$B$9)/((M$3/100)*Assumptions!$B$10)),0,1,FALSE)*Assumptions!$B$10*0.01)*((M$3/100)/0.01)/(MAX(0,Assumptions!$B$2*EXP(-Assumptions!$B$4*Assumptions!$B$9)*NORMSDIST(((LN(Assumptions!$B$2/$B20)+(Assumptions!$B$3-Assumptions!$B$4+(M$3/100)^2/2)*Assumptions!$B$9)/((M$3/100)*Assumptions!$B$10)))-$B20*EXP(-Assumptions!$B$3*Assumptions!$B$9)*NORMSDIST((((LN(Assumptions!$B$2/$B20)+(Assumptions!$B$3-Assumptions!$B$4+(M$3/100)^2/2)*Assumptions!$B$9)/((M$3/100)*Assumptions!$B$10))-(M$3/100)*Assumptions!$B$10)))))</f>
        <v/>
      </c>
      <c r="N20" s="32">
        <f>IF((MAX(0,Assumptions!$B$2*EXP(-Assumptions!$B$4*Assumptions!$B$9)*NORMSDIST(((LN(Assumptions!$B$2/$B20)+(Assumptions!$B$3-Assumptions!$B$4+(N$3/100)^2/2)*Assumptions!$B$9)/((N$3/100)*Assumptions!$B$10)))-$B20*EXP(-Assumptions!$B$3*Assumptions!$B$9)*NORMSDIST((((LN(Assumptions!$B$2/$B20)+(Assumptions!$B$3-Assumptions!$B$4+(N$3/100)^2/2)*Assumptions!$B$9)/((N$3/100)*Assumptions!$B$10))-(N$3/100)*Assumptions!$B$10))))&lt;=0,"",(Assumptions!$B$2*EXP(-Assumptions!$B$4*Assumptions!$B$9)*NORMDIST(((LN(Assumptions!$B$2/$B20)+(Assumptions!$B$3-Assumptions!$B$4+(N$3/100)^2/2)*Assumptions!$B$9)/((N$3/100)*Assumptions!$B$10)),0,1,FALSE)*Assumptions!$B$10*0.01)*((N$3/100)/0.01)/(MAX(0,Assumptions!$B$2*EXP(-Assumptions!$B$4*Assumptions!$B$9)*NORMSDIST(((LN(Assumptions!$B$2/$B20)+(Assumptions!$B$3-Assumptions!$B$4+(N$3/100)^2/2)*Assumptions!$B$9)/((N$3/100)*Assumptions!$B$10)))-$B20*EXP(-Assumptions!$B$3*Assumptions!$B$9)*NORMSDIST((((LN(Assumptions!$B$2/$B20)+(Assumptions!$B$3-Assumptions!$B$4+(N$3/100)^2/2)*Assumptions!$B$9)/((N$3/100)*Assumptions!$B$10))-(N$3/100)*Assumptions!$B$10)))))</f>
        <v/>
      </c>
      <c r="O20" s="32">
        <f>IF((MAX(0,Assumptions!$B$2*EXP(-Assumptions!$B$4*Assumptions!$B$9)*NORMSDIST(((LN(Assumptions!$B$2/$B20)+(Assumptions!$B$3-Assumptions!$B$4+(O$3/100)^2/2)*Assumptions!$B$9)/((O$3/100)*Assumptions!$B$10)))-$B20*EXP(-Assumptions!$B$3*Assumptions!$B$9)*NORMSDIST((((LN(Assumptions!$B$2/$B20)+(Assumptions!$B$3-Assumptions!$B$4+(O$3/100)^2/2)*Assumptions!$B$9)/((O$3/100)*Assumptions!$B$10))-(O$3/100)*Assumptions!$B$10))))&lt;=0,"",(Assumptions!$B$2*EXP(-Assumptions!$B$4*Assumptions!$B$9)*NORMDIST(((LN(Assumptions!$B$2/$B20)+(Assumptions!$B$3-Assumptions!$B$4+(O$3/100)^2/2)*Assumptions!$B$9)/((O$3/100)*Assumptions!$B$10)),0,1,FALSE)*Assumptions!$B$10*0.01)*((O$3/100)/0.01)/(MAX(0,Assumptions!$B$2*EXP(-Assumptions!$B$4*Assumptions!$B$9)*NORMSDIST(((LN(Assumptions!$B$2/$B20)+(Assumptions!$B$3-Assumptions!$B$4+(O$3/100)^2/2)*Assumptions!$B$9)/((O$3/100)*Assumptions!$B$10)))-$B20*EXP(-Assumptions!$B$3*Assumptions!$B$9)*NORMSDIST((((LN(Assumptions!$B$2/$B20)+(Assumptions!$B$3-Assumptions!$B$4+(O$3/100)^2/2)*Assumptions!$B$9)/((O$3/100)*Assumptions!$B$10))-(O$3/100)*Assumptions!$B$10)))))</f>
        <v/>
      </c>
      <c r="P20" s="32">
        <f>IF((MAX(0,Assumptions!$B$2*EXP(-Assumptions!$B$4*Assumptions!$B$9)*NORMSDIST(((LN(Assumptions!$B$2/$B20)+(Assumptions!$B$3-Assumptions!$B$4+(P$3/100)^2/2)*Assumptions!$B$9)/((P$3/100)*Assumptions!$B$10)))-$B20*EXP(-Assumptions!$B$3*Assumptions!$B$9)*NORMSDIST((((LN(Assumptions!$B$2/$B20)+(Assumptions!$B$3-Assumptions!$B$4+(P$3/100)^2/2)*Assumptions!$B$9)/((P$3/100)*Assumptions!$B$10))-(P$3/100)*Assumptions!$B$10))))&lt;=0,"",(Assumptions!$B$2*EXP(-Assumptions!$B$4*Assumptions!$B$9)*NORMDIST(((LN(Assumptions!$B$2/$B20)+(Assumptions!$B$3-Assumptions!$B$4+(P$3/100)^2/2)*Assumptions!$B$9)/((P$3/100)*Assumptions!$B$10)),0,1,FALSE)*Assumptions!$B$10*0.01)*((P$3/100)/0.01)/(MAX(0,Assumptions!$B$2*EXP(-Assumptions!$B$4*Assumptions!$B$9)*NORMSDIST(((LN(Assumptions!$B$2/$B20)+(Assumptions!$B$3-Assumptions!$B$4+(P$3/100)^2/2)*Assumptions!$B$9)/((P$3/100)*Assumptions!$B$10)))-$B20*EXP(-Assumptions!$B$3*Assumptions!$B$9)*NORMSDIST((((LN(Assumptions!$B$2/$B20)+(Assumptions!$B$3-Assumptions!$B$4+(P$3/100)^2/2)*Assumptions!$B$9)/((P$3/100)*Assumptions!$B$10))-(P$3/100)*Assumptions!$B$10)))))</f>
        <v/>
      </c>
      <c r="Q20" s="32">
        <f>IF((MAX(0,Assumptions!$B$2*EXP(-Assumptions!$B$4*Assumptions!$B$9)*NORMSDIST(((LN(Assumptions!$B$2/$B20)+(Assumptions!$B$3-Assumptions!$B$4+(Q$3/100)^2/2)*Assumptions!$B$9)/((Q$3/100)*Assumptions!$B$10)))-$B20*EXP(-Assumptions!$B$3*Assumptions!$B$9)*NORMSDIST((((LN(Assumptions!$B$2/$B20)+(Assumptions!$B$3-Assumptions!$B$4+(Q$3/100)^2/2)*Assumptions!$B$9)/((Q$3/100)*Assumptions!$B$10))-(Q$3/100)*Assumptions!$B$10))))&lt;=0,"",(Assumptions!$B$2*EXP(-Assumptions!$B$4*Assumptions!$B$9)*NORMDIST(((LN(Assumptions!$B$2/$B20)+(Assumptions!$B$3-Assumptions!$B$4+(Q$3/100)^2/2)*Assumptions!$B$9)/((Q$3/100)*Assumptions!$B$10)),0,1,FALSE)*Assumptions!$B$10*0.01)*((Q$3/100)/0.01)/(MAX(0,Assumptions!$B$2*EXP(-Assumptions!$B$4*Assumptions!$B$9)*NORMSDIST(((LN(Assumptions!$B$2/$B20)+(Assumptions!$B$3-Assumptions!$B$4+(Q$3/100)^2/2)*Assumptions!$B$9)/((Q$3/100)*Assumptions!$B$10)))-$B20*EXP(-Assumptions!$B$3*Assumptions!$B$9)*NORMSDIST((((LN(Assumptions!$B$2/$B20)+(Assumptions!$B$3-Assumptions!$B$4+(Q$3/100)^2/2)*Assumptions!$B$9)/((Q$3/100)*Assumptions!$B$10))-(Q$3/100)*Assumptions!$B$10)))))</f>
        <v/>
      </c>
      <c r="R20" s="32">
        <f>IF((MAX(0,Assumptions!$B$2*EXP(-Assumptions!$B$4*Assumptions!$B$9)*NORMSDIST(((LN(Assumptions!$B$2/$B20)+(Assumptions!$B$3-Assumptions!$B$4+(R$3/100)^2/2)*Assumptions!$B$9)/((R$3/100)*Assumptions!$B$10)))-$B20*EXP(-Assumptions!$B$3*Assumptions!$B$9)*NORMSDIST((((LN(Assumptions!$B$2/$B20)+(Assumptions!$B$3-Assumptions!$B$4+(R$3/100)^2/2)*Assumptions!$B$9)/((R$3/100)*Assumptions!$B$10))-(R$3/100)*Assumptions!$B$10))))&lt;=0,"",(Assumptions!$B$2*EXP(-Assumptions!$B$4*Assumptions!$B$9)*NORMDIST(((LN(Assumptions!$B$2/$B20)+(Assumptions!$B$3-Assumptions!$B$4+(R$3/100)^2/2)*Assumptions!$B$9)/((R$3/100)*Assumptions!$B$10)),0,1,FALSE)*Assumptions!$B$10*0.01)*((R$3/100)/0.01)/(MAX(0,Assumptions!$B$2*EXP(-Assumptions!$B$4*Assumptions!$B$9)*NORMSDIST(((LN(Assumptions!$B$2/$B20)+(Assumptions!$B$3-Assumptions!$B$4+(R$3/100)^2/2)*Assumptions!$B$9)/((R$3/100)*Assumptions!$B$10)))-$B20*EXP(-Assumptions!$B$3*Assumptions!$B$9)*NORMSDIST((((LN(Assumptions!$B$2/$B20)+(Assumptions!$B$3-Assumptions!$B$4+(R$3/100)^2/2)*Assumptions!$B$9)/((R$3/100)*Assumptions!$B$10))-(R$3/100)*Assumptions!$B$10)))))</f>
        <v/>
      </c>
      <c r="S20" s="32">
        <f>IF((MAX(0,Assumptions!$B$2*EXP(-Assumptions!$B$4*Assumptions!$B$9)*NORMSDIST(((LN(Assumptions!$B$2/$B20)+(Assumptions!$B$3-Assumptions!$B$4+(S$3/100)^2/2)*Assumptions!$B$9)/((S$3/100)*Assumptions!$B$10)))-$B20*EXP(-Assumptions!$B$3*Assumptions!$B$9)*NORMSDIST((((LN(Assumptions!$B$2/$B20)+(Assumptions!$B$3-Assumptions!$B$4+(S$3/100)^2/2)*Assumptions!$B$9)/((S$3/100)*Assumptions!$B$10))-(S$3/100)*Assumptions!$B$10))))&lt;=0,"",(Assumptions!$B$2*EXP(-Assumptions!$B$4*Assumptions!$B$9)*NORMDIST(((LN(Assumptions!$B$2/$B20)+(Assumptions!$B$3-Assumptions!$B$4+(S$3/100)^2/2)*Assumptions!$B$9)/((S$3/100)*Assumptions!$B$10)),0,1,FALSE)*Assumptions!$B$10*0.01)*((S$3/100)/0.01)/(MAX(0,Assumptions!$B$2*EXP(-Assumptions!$B$4*Assumptions!$B$9)*NORMSDIST(((LN(Assumptions!$B$2/$B20)+(Assumptions!$B$3-Assumptions!$B$4+(S$3/100)^2/2)*Assumptions!$B$9)/((S$3/100)*Assumptions!$B$10)))-$B20*EXP(-Assumptions!$B$3*Assumptions!$B$9)*NORMSDIST((((LN(Assumptions!$B$2/$B20)+(Assumptions!$B$3-Assumptions!$B$4+(S$3/100)^2/2)*Assumptions!$B$9)/((S$3/100)*Assumptions!$B$10))-(S$3/100)*Assumptions!$B$10)))))</f>
        <v/>
      </c>
      <c r="T20" s="32">
        <f>IF((MAX(0,Assumptions!$B$2*EXP(-Assumptions!$B$4*Assumptions!$B$9)*NORMSDIST(((LN(Assumptions!$B$2/$B20)+(Assumptions!$B$3-Assumptions!$B$4+(T$3/100)^2/2)*Assumptions!$B$9)/((T$3/100)*Assumptions!$B$10)))-$B20*EXP(-Assumptions!$B$3*Assumptions!$B$9)*NORMSDIST((((LN(Assumptions!$B$2/$B20)+(Assumptions!$B$3-Assumptions!$B$4+(T$3/100)^2/2)*Assumptions!$B$9)/((T$3/100)*Assumptions!$B$10))-(T$3/100)*Assumptions!$B$10))))&lt;=0,"",(Assumptions!$B$2*EXP(-Assumptions!$B$4*Assumptions!$B$9)*NORMDIST(((LN(Assumptions!$B$2/$B20)+(Assumptions!$B$3-Assumptions!$B$4+(T$3/100)^2/2)*Assumptions!$B$9)/((T$3/100)*Assumptions!$B$10)),0,1,FALSE)*Assumptions!$B$10*0.01)*((T$3/100)/0.01)/(MAX(0,Assumptions!$B$2*EXP(-Assumptions!$B$4*Assumptions!$B$9)*NORMSDIST(((LN(Assumptions!$B$2/$B20)+(Assumptions!$B$3-Assumptions!$B$4+(T$3/100)^2/2)*Assumptions!$B$9)/((T$3/100)*Assumptions!$B$10)))-$B20*EXP(-Assumptions!$B$3*Assumptions!$B$9)*NORMSDIST((((LN(Assumptions!$B$2/$B20)+(Assumptions!$B$3-Assumptions!$B$4+(T$3/100)^2/2)*Assumptions!$B$9)/((T$3/100)*Assumptions!$B$10))-(T$3/100)*Assumptions!$B$10)))))</f>
        <v/>
      </c>
      <c r="U20" s="32">
        <f>IF((MAX(0,Assumptions!$B$2*EXP(-Assumptions!$B$4*Assumptions!$B$9)*NORMSDIST(((LN(Assumptions!$B$2/$B20)+(Assumptions!$B$3-Assumptions!$B$4+(U$3/100)^2/2)*Assumptions!$B$9)/((U$3/100)*Assumptions!$B$10)))-$B20*EXP(-Assumptions!$B$3*Assumptions!$B$9)*NORMSDIST((((LN(Assumptions!$B$2/$B20)+(Assumptions!$B$3-Assumptions!$B$4+(U$3/100)^2/2)*Assumptions!$B$9)/((U$3/100)*Assumptions!$B$10))-(U$3/100)*Assumptions!$B$10))))&lt;=0,"",(Assumptions!$B$2*EXP(-Assumptions!$B$4*Assumptions!$B$9)*NORMDIST(((LN(Assumptions!$B$2/$B20)+(Assumptions!$B$3-Assumptions!$B$4+(U$3/100)^2/2)*Assumptions!$B$9)/((U$3/100)*Assumptions!$B$10)),0,1,FALSE)*Assumptions!$B$10*0.01)*((U$3/100)/0.01)/(MAX(0,Assumptions!$B$2*EXP(-Assumptions!$B$4*Assumptions!$B$9)*NORMSDIST(((LN(Assumptions!$B$2/$B20)+(Assumptions!$B$3-Assumptions!$B$4+(U$3/100)^2/2)*Assumptions!$B$9)/((U$3/100)*Assumptions!$B$10)))-$B20*EXP(-Assumptions!$B$3*Assumptions!$B$9)*NORMSDIST((((LN(Assumptions!$B$2/$B20)+(Assumptions!$B$3-Assumptions!$B$4+(U$3/100)^2/2)*Assumptions!$B$9)/((U$3/100)*Assumptions!$B$10))-(U$3/100)*Assumptions!$B$10)))))</f>
        <v/>
      </c>
      <c r="V20" s="32">
        <f>IF((MAX(0,Assumptions!$B$2*EXP(-Assumptions!$B$4*Assumptions!$B$9)*NORMSDIST(((LN(Assumptions!$B$2/$B20)+(Assumptions!$B$3-Assumptions!$B$4+(V$3/100)^2/2)*Assumptions!$B$9)/((V$3/100)*Assumptions!$B$10)))-$B20*EXP(-Assumptions!$B$3*Assumptions!$B$9)*NORMSDIST((((LN(Assumptions!$B$2/$B20)+(Assumptions!$B$3-Assumptions!$B$4+(V$3/100)^2/2)*Assumptions!$B$9)/((V$3/100)*Assumptions!$B$10))-(V$3/100)*Assumptions!$B$10))))&lt;=0,"",(Assumptions!$B$2*EXP(-Assumptions!$B$4*Assumptions!$B$9)*NORMDIST(((LN(Assumptions!$B$2/$B20)+(Assumptions!$B$3-Assumptions!$B$4+(V$3/100)^2/2)*Assumptions!$B$9)/((V$3/100)*Assumptions!$B$10)),0,1,FALSE)*Assumptions!$B$10*0.01)*((V$3/100)/0.01)/(MAX(0,Assumptions!$B$2*EXP(-Assumptions!$B$4*Assumptions!$B$9)*NORMSDIST(((LN(Assumptions!$B$2/$B20)+(Assumptions!$B$3-Assumptions!$B$4+(V$3/100)^2/2)*Assumptions!$B$9)/((V$3/100)*Assumptions!$B$10)))-$B20*EXP(-Assumptions!$B$3*Assumptions!$B$9)*NORMSDIST((((LN(Assumptions!$B$2/$B20)+(Assumptions!$B$3-Assumptions!$B$4+(V$3/100)^2/2)*Assumptions!$B$9)/((V$3/100)*Assumptions!$B$10))-(V$3/100)*Assumptions!$B$10)))))</f>
        <v/>
      </c>
      <c r="W20" s="32">
        <f>IF((MAX(0,Assumptions!$B$2*EXP(-Assumptions!$B$4*Assumptions!$B$9)*NORMSDIST(((LN(Assumptions!$B$2/$B20)+(Assumptions!$B$3-Assumptions!$B$4+(W$3/100)^2/2)*Assumptions!$B$9)/((W$3/100)*Assumptions!$B$10)))-$B20*EXP(-Assumptions!$B$3*Assumptions!$B$9)*NORMSDIST((((LN(Assumptions!$B$2/$B20)+(Assumptions!$B$3-Assumptions!$B$4+(W$3/100)^2/2)*Assumptions!$B$9)/((W$3/100)*Assumptions!$B$10))-(W$3/100)*Assumptions!$B$10))))&lt;=0,"",(Assumptions!$B$2*EXP(-Assumptions!$B$4*Assumptions!$B$9)*NORMDIST(((LN(Assumptions!$B$2/$B20)+(Assumptions!$B$3-Assumptions!$B$4+(W$3/100)^2/2)*Assumptions!$B$9)/((W$3/100)*Assumptions!$B$10)),0,1,FALSE)*Assumptions!$B$10*0.01)*((W$3/100)/0.01)/(MAX(0,Assumptions!$B$2*EXP(-Assumptions!$B$4*Assumptions!$B$9)*NORMSDIST(((LN(Assumptions!$B$2/$B20)+(Assumptions!$B$3-Assumptions!$B$4+(W$3/100)^2/2)*Assumptions!$B$9)/((W$3/100)*Assumptions!$B$10)))-$B20*EXP(-Assumptions!$B$3*Assumptions!$B$9)*NORMSDIST((((LN(Assumptions!$B$2/$B20)+(Assumptions!$B$3-Assumptions!$B$4+(W$3/100)^2/2)*Assumptions!$B$9)/((W$3/100)*Assumptions!$B$10))-(W$3/100)*Assumptions!$B$10)))))</f>
        <v/>
      </c>
      <c r="X20" s="32">
        <f>IF((MAX(0,Assumptions!$B$2*EXP(-Assumptions!$B$4*Assumptions!$B$9)*NORMSDIST(((LN(Assumptions!$B$2/$B20)+(Assumptions!$B$3-Assumptions!$B$4+(X$3/100)^2/2)*Assumptions!$B$9)/((X$3/100)*Assumptions!$B$10)))-$B20*EXP(-Assumptions!$B$3*Assumptions!$B$9)*NORMSDIST((((LN(Assumptions!$B$2/$B20)+(Assumptions!$B$3-Assumptions!$B$4+(X$3/100)^2/2)*Assumptions!$B$9)/((X$3/100)*Assumptions!$B$10))-(X$3/100)*Assumptions!$B$10))))&lt;=0,"",(Assumptions!$B$2*EXP(-Assumptions!$B$4*Assumptions!$B$9)*NORMDIST(((LN(Assumptions!$B$2/$B20)+(Assumptions!$B$3-Assumptions!$B$4+(X$3/100)^2/2)*Assumptions!$B$9)/((X$3/100)*Assumptions!$B$10)),0,1,FALSE)*Assumptions!$B$10*0.01)*((X$3/100)/0.01)/(MAX(0,Assumptions!$B$2*EXP(-Assumptions!$B$4*Assumptions!$B$9)*NORMSDIST(((LN(Assumptions!$B$2/$B20)+(Assumptions!$B$3-Assumptions!$B$4+(X$3/100)^2/2)*Assumptions!$B$9)/((X$3/100)*Assumptions!$B$10)))-$B20*EXP(-Assumptions!$B$3*Assumptions!$B$9)*NORMSDIST((((LN(Assumptions!$B$2/$B20)+(Assumptions!$B$3-Assumptions!$B$4+(X$3/100)^2/2)*Assumptions!$B$9)/((X$3/100)*Assumptions!$B$10))-(X$3/100)*Assumptions!$B$10)))))</f>
        <v/>
      </c>
      <c r="Y20" s="32">
        <f>IF((MAX(0,Assumptions!$B$2*EXP(-Assumptions!$B$4*Assumptions!$B$9)*NORMSDIST(((LN(Assumptions!$B$2/$B20)+(Assumptions!$B$3-Assumptions!$B$4+(Y$3/100)^2/2)*Assumptions!$B$9)/((Y$3/100)*Assumptions!$B$10)))-$B20*EXP(-Assumptions!$B$3*Assumptions!$B$9)*NORMSDIST((((LN(Assumptions!$B$2/$B20)+(Assumptions!$B$3-Assumptions!$B$4+(Y$3/100)^2/2)*Assumptions!$B$9)/((Y$3/100)*Assumptions!$B$10))-(Y$3/100)*Assumptions!$B$10))))&lt;=0,"",(Assumptions!$B$2*EXP(-Assumptions!$B$4*Assumptions!$B$9)*NORMDIST(((LN(Assumptions!$B$2/$B20)+(Assumptions!$B$3-Assumptions!$B$4+(Y$3/100)^2/2)*Assumptions!$B$9)/((Y$3/100)*Assumptions!$B$10)),0,1,FALSE)*Assumptions!$B$10*0.01)*((Y$3/100)/0.01)/(MAX(0,Assumptions!$B$2*EXP(-Assumptions!$B$4*Assumptions!$B$9)*NORMSDIST(((LN(Assumptions!$B$2/$B20)+(Assumptions!$B$3-Assumptions!$B$4+(Y$3/100)^2/2)*Assumptions!$B$9)/((Y$3/100)*Assumptions!$B$10)))-$B20*EXP(-Assumptions!$B$3*Assumptions!$B$9)*NORMSDIST((((LN(Assumptions!$B$2/$B20)+(Assumptions!$B$3-Assumptions!$B$4+(Y$3/100)^2/2)*Assumptions!$B$9)/((Y$3/100)*Assumptions!$B$10))-(Y$3/100)*Assumptions!$B$10)))))</f>
        <v/>
      </c>
      <c r="Z20" s="32">
        <f>IF((MAX(0,Assumptions!$B$2*EXP(-Assumptions!$B$4*Assumptions!$B$9)*NORMSDIST(((LN(Assumptions!$B$2/$B20)+(Assumptions!$B$3-Assumptions!$B$4+(Z$3/100)^2/2)*Assumptions!$B$9)/((Z$3/100)*Assumptions!$B$10)))-$B20*EXP(-Assumptions!$B$3*Assumptions!$B$9)*NORMSDIST((((LN(Assumptions!$B$2/$B20)+(Assumptions!$B$3-Assumptions!$B$4+(Z$3/100)^2/2)*Assumptions!$B$9)/((Z$3/100)*Assumptions!$B$10))-(Z$3/100)*Assumptions!$B$10))))&lt;=0,"",(Assumptions!$B$2*EXP(-Assumptions!$B$4*Assumptions!$B$9)*NORMDIST(((LN(Assumptions!$B$2/$B20)+(Assumptions!$B$3-Assumptions!$B$4+(Z$3/100)^2/2)*Assumptions!$B$9)/((Z$3/100)*Assumptions!$B$10)),0,1,FALSE)*Assumptions!$B$10*0.01)*((Z$3/100)/0.01)/(MAX(0,Assumptions!$B$2*EXP(-Assumptions!$B$4*Assumptions!$B$9)*NORMSDIST(((LN(Assumptions!$B$2/$B20)+(Assumptions!$B$3-Assumptions!$B$4+(Z$3/100)^2/2)*Assumptions!$B$9)/((Z$3/100)*Assumptions!$B$10)))-$B20*EXP(-Assumptions!$B$3*Assumptions!$B$9)*NORMSDIST((((LN(Assumptions!$B$2/$B20)+(Assumptions!$B$3-Assumptions!$B$4+(Z$3/100)^2/2)*Assumptions!$B$9)/((Z$3/100)*Assumptions!$B$10))-(Z$3/100)*Assumptions!$B$10)))))</f>
        <v/>
      </c>
      <c r="AA20" s="32">
        <f>IF((MAX(0,Assumptions!$B$2*EXP(-Assumptions!$B$4*Assumptions!$B$9)*NORMSDIST(((LN(Assumptions!$B$2/$B20)+(Assumptions!$B$3-Assumptions!$B$4+(AA$3/100)^2/2)*Assumptions!$B$9)/((AA$3/100)*Assumptions!$B$10)))-$B20*EXP(-Assumptions!$B$3*Assumptions!$B$9)*NORMSDIST((((LN(Assumptions!$B$2/$B20)+(Assumptions!$B$3-Assumptions!$B$4+(AA$3/100)^2/2)*Assumptions!$B$9)/((AA$3/100)*Assumptions!$B$10))-(AA$3/100)*Assumptions!$B$10))))&lt;=0,"",(Assumptions!$B$2*EXP(-Assumptions!$B$4*Assumptions!$B$9)*NORMDIST(((LN(Assumptions!$B$2/$B20)+(Assumptions!$B$3-Assumptions!$B$4+(AA$3/100)^2/2)*Assumptions!$B$9)/((AA$3/100)*Assumptions!$B$10)),0,1,FALSE)*Assumptions!$B$10*0.01)*((AA$3/100)/0.01)/(MAX(0,Assumptions!$B$2*EXP(-Assumptions!$B$4*Assumptions!$B$9)*NORMSDIST(((LN(Assumptions!$B$2/$B20)+(Assumptions!$B$3-Assumptions!$B$4+(AA$3/100)^2/2)*Assumptions!$B$9)/((AA$3/100)*Assumptions!$B$10)))-$B20*EXP(-Assumptions!$B$3*Assumptions!$B$9)*NORMSDIST((((LN(Assumptions!$B$2/$B20)+(Assumptions!$B$3-Assumptions!$B$4+(AA$3/100)^2/2)*Assumptions!$B$9)/((AA$3/100)*Assumptions!$B$10))-(AA$3/100)*Assumptions!$B$10)))))</f>
        <v/>
      </c>
      <c r="AB20" s="32">
        <f>IF((MAX(0,Assumptions!$B$2*EXP(-Assumptions!$B$4*Assumptions!$B$9)*NORMSDIST(((LN(Assumptions!$B$2/$B20)+(Assumptions!$B$3-Assumptions!$B$4+(AB$3/100)^2/2)*Assumptions!$B$9)/((AB$3/100)*Assumptions!$B$10)))-$B20*EXP(-Assumptions!$B$3*Assumptions!$B$9)*NORMSDIST((((LN(Assumptions!$B$2/$B20)+(Assumptions!$B$3-Assumptions!$B$4+(AB$3/100)^2/2)*Assumptions!$B$9)/((AB$3/100)*Assumptions!$B$10))-(AB$3/100)*Assumptions!$B$10))))&lt;=0,"",(Assumptions!$B$2*EXP(-Assumptions!$B$4*Assumptions!$B$9)*NORMDIST(((LN(Assumptions!$B$2/$B20)+(Assumptions!$B$3-Assumptions!$B$4+(AB$3/100)^2/2)*Assumptions!$B$9)/((AB$3/100)*Assumptions!$B$10)),0,1,FALSE)*Assumptions!$B$10*0.01)*((AB$3/100)/0.01)/(MAX(0,Assumptions!$B$2*EXP(-Assumptions!$B$4*Assumptions!$B$9)*NORMSDIST(((LN(Assumptions!$B$2/$B20)+(Assumptions!$B$3-Assumptions!$B$4+(AB$3/100)^2/2)*Assumptions!$B$9)/((AB$3/100)*Assumptions!$B$10)))-$B20*EXP(-Assumptions!$B$3*Assumptions!$B$9)*NORMSDIST((((LN(Assumptions!$B$2/$B20)+(Assumptions!$B$3-Assumptions!$B$4+(AB$3/100)^2/2)*Assumptions!$B$9)/((AB$3/100)*Assumptions!$B$10))-(AB$3/100)*Assumptions!$B$10)))))</f>
        <v/>
      </c>
      <c r="AC20" s="32">
        <f>IF((MAX(0,Assumptions!$B$2*EXP(-Assumptions!$B$4*Assumptions!$B$9)*NORMSDIST(((LN(Assumptions!$B$2/$B20)+(Assumptions!$B$3-Assumptions!$B$4+(AC$3/100)^2/2)*Assumptions!$B$9)/((AC$3/100)*Assumptions!$B$10)))-$B20*EXP(-Assumptions!$B$3*Assumptions!$B$9)*NORMSDIST((((LN(Assumptions!$B$2/$B20)+(Assumptions!$B$3-Assumptions!$B$4+(AC$3/100)^2/2)*Assumptions!$B$9)/((AC$3/100)*Assumptions!$B$10))-(AC$3/100)*Assumptions!$B$10))))&lt;=0,"",(Assumptions!$B$2*EXP(-Assumptions!$B$4*Assumptions!$B$9)*NORMDIST(((LN(Assumptions!$B$2/$B20)+(Assumptions!$B$3-Assumptions!$B$4+(AC$3/100)^2/2)*Assumptions!$B$9)/((AC$3/100)*Assumptions!$B$10)),0,1,FALSE)*Assumptions!$B$10*0.01)*((AC$3/100)/0.01)/(MAX(0,Assumptions!$B$2*EXP(-Assumptions!$B$4*Assumptions!$B$9)*NORMSDIST(((LN(Assumptions!$B$2/$B20)+(Assumptions!$B$3-Assumptions!$B$4+(AC$3/100)^2/2)*Assumptions!$B$9)/((AC$3/100)*Assumptions!$B$10)))-$B20*EXP(-Assumptions!$B$3*Assumptions!$B$9)*NORMSDIST((((LN(Assumptions!$B$2/$B20)+(Assumptions!$B$3-Assumptions!$B$4+(AC$3/100)^2/2)*Assumptions!$B$9)/((AC$3/100)*Assumptions!$B$10))-(AC$3/100)*Assumptions!$B$10)))))</f>
        <v/>
      </c>
      <c r="AD20" s="32">
        <f>IF((MAX(0,Assumptions!$B$2*EXP(-Assumptions!$B$4*Assumptions!$B$9)*NORMSDIST(((LN(Assumptions!$B$2/$B20)+(Assumptions!$B$3-Assumptions!$B$4+(AD$3/100)^2/2)*Assumptions!$B$9)/((AD$3/100)*Assumptions!$B$10)))-$B20*EXP(-Assumptions!$B$3*Assumptions!$B$9)*NORMSDIST((((LN(Assumptions!$B$2/$B20)+(Assumptions!$B$3-Assumptions!$B$4+(AD$3/100)^2/2)*Assumptions!$B$9)/((AD$3/100)*Assumptions!$B$10))-(AD$3/100)*Assumptions!$B$10))))&lt;=0,"",(Assumptions!$B$2*EXP(-Assumptions!$B$4*Assumptions!$B$9)*NORMDIST(((LN(Assumptions!$B$2/$B20)+(Assumptions!$B$3-Assumptions!$B$4+(AD$3/100)^2/2)*Assumptions!$B$9)/((AD$3/100)*Assumptions!$B$10)),0,1,FALSE)*Assumptions!$B$10*0.01)*((AD$3/100)/0.01)/(MAX(0,Assumptions!$B$2*EXP(-Assumptions!$B$4*Assumptions!$B$9)*NORMSDIST(((LN(Assumptions!$B$2/$B20)+(Assumptions!$B$3-Assumptions!$B$4+(AD$3/100)^2/2)*Assumptions!$B$9)/((AD$3/100)*Assumptions!$B$10)))-$B20*EXP(-Assumptions!$B$3*Assumptions!$B$9)*NORMSDIST((((LN(Assumptions!$B$2/$B20)+(Assumptions!$B$3-Assumptions!$B$4+(AD$3/100)^2/2)*Assumptions!$B$9)/((AD$3/100)*Assumptions!$B$10))-(AD$3/100)*Assumptions!$B$10)))))</f>
        <v/>
      </c>
      <c r="AE20" s="32">
        <f>IF((MAX(0,Assumptions!$B$2*EXP(-Assumptions!$B$4*Assumptions!$B$9)*NORMSDIST(((LN(Assumptions!$B$2/$B20)+(Assumptions!$B$3-Assumptions!$B$4+(AE$3/100)^2/2)*Assumptions!$B$9)/((AE$3/100)*Assumptions!$B$10)))-$B20*EXP(-Assumptions!$B$3*Assumptions!$B$9)*NORMSDIST((((LN(Assumptions!$B$2/$B20)+(Assumptions!$B$3-Assumptions!$B$4+(AE$3/100)^2/2)*Assumptions!$B$9)/((AE$3/100)*Assumptions!$B$10))-(AE$3/100)*Assumptions!$B$10))))&lt;=0,"",(Assumptions!$B$2*EXP(-Assumptions!$B$4*Assumptions!$B$9)*NORMDIST(((LN(Assumptions!$B$2/$B20)+(Assumptions!$B$3-Assumptions!$B$4+(AE$3/100)^2/2)*Assumptions!$B$9)/((AE$3/100)*Assumptions!$B$10)),0,1,FALSE)*Assumptions!$B$10*0.01)*((AE$3/100)/0.01)/(MAX(0,Assumptions!$B$2*EXP(-Assumptions!$B$4*Assumptions!$B$9)*NORMSDIST(((LN(Assumptions!$B$2/$B20)+(Assumptions!$B$3-Assumptions!$B$4+(AE$3/100)^2/2)*Assumptions!$B$9)/((AE$3/100)*Assumptions!$B$10)))-$B20*EXP(-Assumptions!$B$3*Assumptions!$B$9)*NORMSDIST((((LN(Assumptions!$B$2/$B20)+(Assumptions!$B$3-Assumptions!$B$4+(AE$3/100)^2/2)*Assumptions!$B$9)/((AE$3/100)*Assumptions!$B$10))-(AE$3/100)*Assumptions!$B$10)))))</f>
        <v/>
      </c>
      <c r="AF20" s="32">
        <f>IF((MAX(0,Assumptions!$B$2*EXP(-Assumptions!$B$4*Assumptions!$B$9)*NORMSDIST(((LN(Assumptions!$B$2/$B20)+(Assumptions!$B$3-Assumptions!$B$4+(AF$3/100)^2/2)*Assumptions!$B$9)/((AF$3/100)*Assumptions!$B$10)))-$B20*EXP(-Assumptions!$B$3*Assumptions!$B$9)*NORMSDIST((((LN(Assumptions!$B$2/$B20)+(Assumptions!$B$3-Assumptions!$B$4+(AF$3/100)^2/2)*Assumptions!$B$9)/((AF$3/100)*Assumptions!$B$10))-(AF$3/100)*Assumptions!$B$10))))&lt;=0,"",(Assumptions!$B$2*EXP(-Assumptions!$B$4*Assumptions!$B$9)*NORMDIST(((LN(Assumptions!$B$2/$B20)+(Assumptions!$B$3-Assumptions!$B$4+(AF$3/100)^2/2)*Assumptions!$B$9)/((AF$3/100)*Assumptions!$B$10)),0,1,FALSE)*Assumptions!$B$10*0.01)*((AF$3/100)/0.01)/(MAX(0,Assumptions!$B$2*EXP(-Assumptions!$B$4*Assumptions!$B$9)*NORMSDIST(((LN(Assumptions!$B$2/$B20)+(Assumptions!$B$3-Assumptions!$B$4+(AF$3/100)^2/2)*Assumptions!$B$9)/((AF$3/100)*Assumptions!$B$10)))-$B20*EXP(-Assumptions!$B$3*Assumptions!$B$9)*NORMSDIST((((LN(Assumptions!$B$2/$B20)+(Assumptions!$B$3-Assumptions!$B$4+(AF$3/100)^2/2)*Assumptions!$B$9)/((AF$3/100)*Assumptions!$B$10))-(AF$3/100)*Assumptions!$B$10)))))</f>
        <v/>
      </c>
      <c r="AG20" s="32">
        <f>IF((MAX(0,Assumptions!$B$2*EXP(-Assumptions!$B$4*Assumptions!$B$9)*NORMSDIST(((LN(Assumptions!$B$2/$B20)+(Assumptions!$B$3-Assumptions!$B$4+(AG$3/100)^2/2)*Assumptions!$B$9)/((AG$3/100)*Assumptions!$B$10)))-$B20*EXP(-Assumptions!$B$3*Assumptions!$B$9)*NORMSDIST((((LN(Assumptions!$B$2/$B20)+(Assumptions!$B$3-Assumptions!$B$4+(AG$3/100)^2/2)*Assumptions!$B$9)/((AG$3/100)*Assumptions!$B$10))-(AG$3/100)*Assumptions!$B$10))))&lt;=0,"",(Assumptions!$B$2*EXP(-Assumptions!$B$4*Assumptions!$B$9)*NORMDIST(((LN(Assumptions!$B$2/$B20)+(Assumptions!$B$3-Assumptions!$B$4+(AG$3/100)^2/2)*Assumptions!$B$9)/((AG$3/100)*Assumptions!$B$10)),0,1,FALSE)*Assumptions!$B$10*0.01)*((AG$3/100)/0.01)/(MAX(0,Assumptions!$B$2*EXP(-Assumptions!$B$4*Assumptions!$B$9)*NORMSDIST(((LN(Assumptions!$B$2/$B20)+(Assumptions!$B$3-Assumptions!$B$4+(AG$3/100)^2/2)*Assumptions!$B$9)/((AG$3/100)*Assumptions!$B$10)))-$B20*EXP(-Assumptions!$B$3*Assumptions!$B$9)*NORMSDIST((((LN(Assumptions!$B$2/$B20)+(Assumptions!$B$3-Assumptions!$B$4+(AG$3/100)^2/2)*Assumptions!$B$9)/((AG$3/100)*Assumptions!$B$10))-(AG$3/100)*Assumptions!$B$10)))))</f>
        <v/>
      </c>
      <c r="AH20" s="32">
        <f>IF((MAX(0,Assumptions!$B$2*EXP(-Assumptions!$B$4*Assumptions!$B$9)*NORMSDIST(((LN(Assumptions!$B$2/$B20)+(Assumptions!$B$3-Assumptions!$B$4+(AH$3/100)^2/2)*Assumptions!$B$9)/((AH$3/100)*Assumptions!$B$10)))-$B20*EXP(-Assumptions!$B$3*Assumptions!$B$9)*NORMSDIST((((LN(Assumptions!$B$2/$B20)+(Assumptions!$B$3-Assumptions!$B$4+(AH$3/100)^2/2)*Assumptions!$B$9)/((AH$3/100)*Assumptions!$B$10))-(AH$3/100)*Assumptions!$B$10))))&lt;=0,"",(Assumptions!$B$2*EXP(-Assumptions!$B$4*Assumptions!$B$9)*NORMDIST(((LN(Assumptions!$B$2/$B20)+(Assumptions!$B$3-Assumptions!$B$4+(AH$3/100)^2/2)*Assumptions!$B$9)/((AH$3/100)*Assumptions!$B$10)),0,1,FALSE)*Assumptions!$B$10*0.01)*((AH$3/100)/0.01)/(MAX(0,Assumptions!$B$2*EXP(-Assumptions!$B$4*Assumptions!$B$9)*NORMSDIST(((LN(Assumptions!$B$2/$B20)+(Assumptions!$B$3-Assumptions!$B$4+(AH$3/100)^2/2)*Assumptions!$B$9)/((AH$3/100)*Assumptions!$B$10)))-$B20*EXP(-Assumptions!$B$3*Assumptions!$B$9)*NORMSDIST((((LN(Assumptions!$B$2/$B20)+(Assumptions!$B$3-Assumptions!$B$4+(AH$3/100)^2/2)*Assumptions!$B$9)/((AH$3/100)*Assumptions!$B$10))-(AH$3/100)*Assumptions!$B$10)))))</f>
        <v/>
      </c>
      <c r="AI20" s="32">
        <f>IF((MAX(0,Assumptions!$B$2*EXP(-Assumptions!$B$4*Assumptions!$B$9)*NORMSDIST(((LN(Assumptions!$B$2/$B20)+(Assumptions!$B$3-Assumptions!$B$4+(AI$3/100)^2/2)*Assumptions!$B$9)/((AI$3/100)*Assumptions!$B$10)))-$B20*EXP(-Assumptions!$B$3*Assumptions!$B$9)*NORMSDIST((((LN(Assumptions!$B$2/$B20)+(Assumptions!$B$3-Assumptions!$B$4+(AI$3/100)^2/2)*Assumptions!$B$9)/((AI$3/100)*Assumptions!$B$10))-(AI$3/100)*Assumptions!$B$10))))&lt;=0,"",(Assumptions!$B$2*EXP(-Assumptions!$B$4*Assumptions!$B$9)*NORMDIST(((LN(Assumptions!$B$2/$B20)+(Assumptions!$B$3-Assumptions!$B$4+(AI$3/100)^2/2)*Assumptions!$B$9)/((AI$3/100)*Assumptions!$B$10)),0,1,FALSE)*Assumptions!$B$10*0.01)*((AI$3/100)/0.01)/(MAX(0,Assumptions!$B$2*EXP(-Assumptions!$B$4*Assumptions!$B$9)*NORMSDIST(((LN(Assumptions!$B$2/$B20)+(Assumptions!$B$3-Assumptions!$B$4+(AI$3/100)^2/2)*Assumptions!$B$9)/((AI$3/100)*Assumptions!$B$10)))-$B20*EXP(-Assumptions!$B$3*Assumptions!$B$9)*NORMSDIST((((LN(Assumptions!$B$2/$B20)+(Assumptions!$B$3-Assumptions!$B$4+(AI$3/100)^2/2)*Assumptions!$B$9)/((AI$3/100)*Assumptions!$B$10))-(AI$3/100)*Assumptions!$B$10)))))</f>
        <v/>
      </c>
      <c r="AJ20" s="32">
        <f>IF((MAX(0,Assumptions!$B$2*EXP(-Assumptions!$B$4*Assumptions!$B$9)*NORMSDIST(((LN(Assumptions!$B$2/$B20)+(Assumptions!$B$3-Assumptions!$B$4+(AJ$3/100)^2/2)*Assumptions!$B$9)/((AJ$3/100)*Assumptions!$B$10)))-$B20*EXP(-Assumptions!$B$3*Assumptions!$B$9)*NORMSDIST((((LN(Assumptions!$B$2/$B20)+(Assumptions!$B$3-Assumptions!$B$4+(AJ$3/100)^2/2)*Assumptions!$B$9)/((AJ$3/100)*Assumptions!$B$10))-(AJ$3/100)*Assumptions!$B$10))))&lt;=0,"",(Assumptions!$B$2*EXP(-Assumptions!$B$4*Assumptions!$B$9)*NORMDIST(((LN(Assumptions!$B$2/$B20)+(Assumptions!$B$3-Assumptions!$B$4+(AJ$3/100)^2/2)*Assumptions!$B$9)/((AJ$3/100)*Assumptions!$B$10)),0,1,FALSE)*Assumptions!$B$10*0.01)*((AJ$3/100)/0.01)/(MAX(0,Assumptions!$B$2*EXP(-Assumptions!$B$4*Assumptions!$B$9)*NORMSDIST(((LN(Assumptions!$B$2/$B20)+(Assumptions!$B$3-Assumptions!$B$4+(AJ$3/100)^2/2)*Assumptions!$B$9)/((AJ$3/100)*Assumptions!$B$10)))-$B20*EXP(-Assumptions!$B$3*Assumptions!$B$9)*NORMSDIST((((LN(Assumptions!$B$2/$B20)+(Assumptions!$B$3-Assumptions!$B$4+(AJ$3/100)^2/2)*Assumptions!$B$9)/((AJ$3/100)*Assumptions!$B$10))-(AJ$3/100)*Assumptions!$B$10)))))</f>
        <v/>
      </c>
      <c r="AK20" s="32">
        <f>IF((MAX(0,Assumptions!$B$2*EXP(-Assumptions!$B$4*Assumptions!$B$9)*NORMSDIST(((LN(Assumptions!$B$2/$B20)+(Assumptions!$B$3-Assumptions!$B$4+(AK$3/100)^2/2)*Assumptions!$B$9)/((AK$3/100)*Assumptions!$B$10)))-$B20*EXP(-Assumptions!$B$3*Assumptions!$B$9)*NORMSDIST((((LN(Assumptions!$B$2/$B20)+(Assumptions!$B$3-Assumptions!$B$4+(AK$3/100)^2/2)*Assumptions!$B$9)/((AK$3/100)*Assumptions!$B$10))-(AK$3/100)*Assumptions!$B$10))))&lt;=0,"",(Assumptions!$B$2*EXP(-Assumptions!$B$4*Assumptions!$B$9)*NORMDIST(((LN(Assumptions!$B$2/$B20)+(Assumptions!$B$3-Assumptions!$B$4+(AK$3/100)^2/2)*Assumptions!$B$9)/((AK$3/100)*Assumptions!$B$10)),0,1,FALSE)*Assumptions!$B$10*0.01)*((AK$3/100)/0.01)/(MAX(0,Assumptions!$B$2*EXP(-Assumptions!$B$4*Assumptions!$B$9)*NORMSDIST(((LN(Assumptions!$B$2/$B20)+(Assumptions!$B$3-Assumptions!$B$4+(AK$3/100)^2/2)*Assumptions!$B$9)/((AK$3/100)*Assumptions!$B$10)))-$B20*EXP(-Assumptions!$B$3*Assumptions!$B$9)*NORMSDIST((((LN(Assumptions!$B$2/$B20)+(Assumptions!$B$3-Assumptions!$B$4+(AK$3/100)^2/2)*Assumptions!$B$9)/((AK$3/100)*Assumptions!$B$10))-(AK$3/100)*Assumptions!$B$10)))))</f>
        <v/>
      </c>
      <c r="AL20" s="32">
        <f>IF((MAX(0,Assumptions!$B$2*EXP(-Assumptions!$B$4*Assumptions!$B$9)*NORMSDIST(((LN(Assumptions!$B$2/$B20)+(Assumptions!$B$3-Assumptions!$B$4+(AL$3/100)^2/2)*Assumptions!$B$9)/((AL$3/100)*Assumptions!$B$10)))-$B20*EXP(-Assumptions!$B$3*Assumptions!$B$9)*NORMSDIST((((LN(Assumptions!$B$2/$B20)+(Assumptions!$B$3-Assumptions!$B$4+(AL$3/100)^2/2)*Assumptions!$B$9)/((AL$3/100)*Assumptions!$B$10))-(AL$3/100)*Assumptions!$B$10))))&lt;=0,"",(Assumptions!$B$2*EXP(-Assumptions!$B$4*Assumptions!$B$9)*NORMDIST(((LN(Assumptions!$B$2/$B20)+(Assumptions!$B$3-Assumptions!$B$4+(AL$3/100)^2/2)*Assumptions!$B$9)/((AL$3/100)*Assumptions!$B$10)),0,1,FALSE)*Assumptions!$B$10*0.01)*((AL$3/100)/0.01)/(MAX(0,Assumptions!$B$2*EXP(-Assumptions!$B$4*Assumptions!$B$9)*NORMSDIST(((LN(Assumptions!$B$2/$B20)+(Assumptions!$B$3-Assumptions!$B$4+(AL$3/100)^2/2)*Assumptions!$B$9)/((AL$3/100)*Assumptions!$B$10)))-$B20*EXP(-Assumptions!$B$3*Assumptions!$B$9)*NORMSDIST((((LN(Assumptions!$B$2/$B20)+(Assumptions!$B$3-Assumptions!$B$4+(AL$3/100)^2/2)*Assumptions!$B$9)/((AL$3/100)*Assumptions!$B$10))-(AL$3/100)*Assumptions!$B$10)))))</f>
        <v/>
      </c>
      <c r="AM20" s="32">
        <f>IF((MAX(0,Assumptions!$B$2*EXP(-Assumptions!$B$4*Assumptions!$B$9)*NORMSDIST(((LN(Assumptions!$B$2/$B20)+(Assumptions!$B$3-Assumptions!$B$4+(AM$3/100)^2/2)*Assumptions!$B$9)/((AM$3/100)*Assumptions!$B$10)))-$B20*EXP(-Assumptions!$B$3*Assumptions!$B$9)*NORMSDIST((((LN(Assumptions!$B$2/$B20)+(Assumptions!$B$3-Assumptions!$B$4+(AM$3/100)^2/2)*Assumptions!$B$9)/((AM$3/100)*Assumptions!$B$10))-(AM$3/100)*Assumptions!$B$10))))&lt;=0,"",(Assumptions!$B$2*EXP(-Assumptions!$B$4*Assumptions!$B$9)*NORMDIST(((LN(Assumptions!$B$2/$B20)+(Assumptions!$B$3-Assumptions!$B$4+(AM$3/100)^2/2)*Assumptions!$B$9)/((AM$3/100)*Assumptions!$B$10)),0,1,FALSE)*Assumptions!$B$10*0.01)*((AM$3/100)/0.01)/(MAX(0,Assumptions!$B$2*EXP(-Assumptions!$B$4*Assumptions!$B$9)*NORMSDIST(((LN(Assumptions!$B$2/$B20)+(Assumptions!$B$3-Assumptions!$B$4+(AM$3/100)^2/2)*Assumptions!$B$9)/((AM$3/100)*Assumptions!$B$10)))-$B20*EXP(-Assumptions!$B$3*Assumptions!$B$9)*NORMSDIST((((LN(Assumptions!$B$2/$B20)+(Assumptions!$B$3-Assumptions!$B$4+(AM$3/100)^2/2)*Assumptions!$B$9)/((AM$3/100)*Assumptions!$B$10))-(AM$3/100)*Assumptions!$B$10)))))</f>
        <v/>
      </c>
      <c r="AN20" s="32">
        <f>IF((MAX(0,Assumptions!$B$2*EXP(-Assumptions!$B$4*Assumptions!$B$9)*NORMSDIST(((LN(Assumptions!$B$2/$B20)+(Assumptions!$B$3-Assumptions!$B$4+(AN$3/100)^2/2)*Assumptions!$B$9)/((AN$3/100)*Assumptions!$B$10)))-$B20*EXP(-Assumptions!$B$3*Assumptions!$B$9)*NORMSDIST((((LN(Assumptions!$B$2/$B20)+(Assumptions!$B$3-Assumptions!$B$4+(AN$3/100)^2/2)*Assumptions!$B$9)/((AN$3/100)*Assumptions!$B$10))-(AN$3/100)*Assumptions!$B$10))))&lt;=0,"",(Assumptions!$B$2*EXP(-Assumptions!$B$4*Assumptions!$B$9)*NORMDIST(((LN(Assumptions!$B$2/$B20)+(Assumptions!$B$3-Assumptions!$B$4+(AN$3/100)^2/2)*Assumptions!$B$9)/((AN$3/100)*Assumptions!$B$10)),0,1,FALSE)*Assumptions!$B$10*0.01)*((AN$3/100)/0.01)/(MAX(0,Assumptions!$B$2*EXP(-Assumptions!$B$4*Assumptions!$B$9)*NORMSDIST(((LN(Assumptions!$B$2/$B20)+(Assumptions!$B$3-Assumptions!$B$4+(AN$3/100)^2/2)*Assumptions!$B$9)/((AN$3/100)*Assumptions!$B$10)))-$B20*EXP(-Assumptions!$B$3*Assumptions!$B$9)*NORMSDIST((((LN(Assumptions!$B$2/$B20)+(Assumptions!$B$3-Assumptions!$B$4+(AN$3/100)^2/2)*Assumptions!$B$9)/((AN$3/100)*Assumptions!$B$10))-(AN$3/100)*Assumptions!$B$10)))))</f>
        <v/>
      </c>
      <c r="AO20" s="32">
        <f>IF((MAX(0,Assumptions!$B$2*EXP(-Assumptions!$B$4*Assumptions!$B$9)*NORMSDIST(((LN(Assumptions!$B$2/$B20)+(Assumptions!$B$3-Assumptions!$B$4+(AO$3/100)^2/2)*Assumptions!$B$9)/((AO$3/100)*Assumptions!$B$10)))-$B20*EXP(-Assumptions!$B$3*Assumptions!$B$9)*NORMSDIST((((LN(Assumptions!$B$2/$B20)+(Assumptions!$B$3-Assumptions!$B$4+(AO$3/100)^2/2)*Assumptions!$B$9)/((AO$3/100)*Assumptions!$B$10))-(AO$3/100)*Assumptions!$B$10))))&lt;=0,"",(Assumptions!$B$2*EXP(-Assumptions!$B$4*Assumptions!$B$9)*NORMDIST(((LN(Assumptions!$B$2/$B20)+(Assumptions!$B$3-Assumptions!$B$4+(AO$3/100)^2/2)*Assumptions!$B$9)/((AO$3/100)*Assumptions!$B$10)),0,1,FALSE)*Assumptions!$B$10*0.01)*((AO$3/100)/0.01)/(MAX(0,Assumptions!$B$2*EXP(-Assumptions!$B$4*Assumptions!$B$9)*NORMSDIST(((LN(Assumptions!$B$2/$B20)+(Assumptions!$B$3-Assumptions!$B$4+(AO$3/100)^2/2)*Assumptions!$B$9)/((AO$3/100)*Assumptions!$B$10)))-$B20*EXP(-Assumptions!$B$3*Assumptions!$B$9)*NORMSDIST((((LN(Assumptions!$B$2/$B20)+(Assumptions!$B$3-Assumptions!$B$4+(AO$3/100)^2/2)*Assumptions!$B$9)/((AO$3/100)*Assumptions!$B$10))-(AO$3/100)*Assumptions!$B$10)))))</f>
        <v/>
      </c>
      <c r="AP20" s="32">
        <f>IF((MAX(0,Assumptions!$B$2*EXP(-Assumptions!$B$4*Assumptions!$B$9)*NORMSDIST(((LN(Assumptions!$B$2/$B20)+(Assumptions!$B$3-Assumptions!$B$4+(AP$3/100)^2/2)*Assumptions!$B$9)/((AP$3/100)*Assumptions!$B$10)))-$B20*EXP(-Assumptions!$B$3*Assumptions!$B$9)*NORMSDIST((((LN(Assumptions!$B$2/$B20)+(Assumptions!$B$3-Assumptions!$B$4+(AP$3/100)^2/2)*Assumptions!$B$9)/((AP$3/100)*Assumptions!$B$10))-(AP$3/100)*Assumptions!$B$10))))&lt;=0,"",(Assumptions!$B$2*EXP(-Assumptions!$B$4*Assumptions!$B$9)*NORMDIST(((LN(Assumptions!$B$2/$B20)+(Assumptions!$B$3-Assumptions!$B$4+(AP$3/100)^2/2)*Assumptions!$B$9)/((AP$3/100)*Assumptions!$B$10)),0,1,FALSE)*Assumptions!$B$10*0.01)*((AP$3/100)/0.01)/(MAX(0,Assumptions!$B$2*EXP(-Assumptions!$B$4*Assumptions!$B$9)*NORMSDIST(((LN(Assumptions!$B$2/$B20)+(Assumptions!$B$3-Assumptions!$B$4+(AP$3/100)^2/2)*Assumptions!$B$9)/((AP$3/100)*Assumptions!$B$10)))-$B20*EXP(-Assumptions!$B$3*Assumptions!$B$9)*NORMSDIST((((LN(Assumptions!$B$2/$B20)+(Assumptions!$B$3-Assumptions!$B$4+(AP$3/100)^2/2)*Assumptions!$B$9)/((AP$3/100)*Assumptions!$B$10))-(AP$3/100)*Assumptions!$B$10)))))</f>
        <v/>
      </c>
      <c r="AQ20" s="32">
        <f>IF((MAX(0,Assumptions!$B$2*EXP(-Assumptions!$B$4*Assumptions!$B$9)*NORMSDIST(((LN(Assumptions!$B$2/$B20)+(Assumptions!$B$3-Assumptions!$B$4+(AQ$3/100)^2/2)*Assumptions!$B$9)/((AQ$3/100)*Assumptions!$B$10)))-$B20*EXP(-Assumptions!$B$3*Assumptions!$B$9)*NORMSDIST((((LN(Assumptions!$B$2/$B20)+(Assumptions!$B$3-Assumptions!$B$4+(AQ$3/100)^2/2)*Assumptions!$B$9)/((AQ$3/100)*Assumptions!$B$10))-(AQ$3/100)*Assumptions!$B$10))))&lt;=0,"",(Assumptions!$B$2*EXP(-Assumptions!$B$4*Assumptions!$B$9)*NORMDIST(((LN(Assumptions!$B$2/$B20)+(Assumptions!$B$3-Assumptions!$B$4+(AQ$3/100)^2/2)*Assumptions!$B$9)/((AQ$3/100)*Assumptions!$B$10)),0,1,FALSE)*Assumptions!$B$10*0.01)*((AQ$3/100)/0.01)/(MAX(0,Assumptions!$B$2*EXP(-Assumptions!$B$4*Assumptions!$B$9)*NORMSDIST(((LN(Assumptions!$B$2/$B20)+(Assumptions!$B$3-Assumptions!$B$4+(AQ$3/100)^2/2)*Assumptions!$B$9)/((AQ$3/100)*Assumptions!$B$10)))-$B20*EXP(-Assumptions!$B$3*Assumptions!$B$9)*NORMSDIST((((LN(Assumptions!$B$2/$B20)+(Assumptions!$B$3-Assumptions!$B$4+(AQ$3/100)^2/2)*Assumptions!$B$9)/((AQ$3/100)*Assumptions!$B$10))-(AQ$3/100)*Assumptions!$B$10)))))</f>
        <v/>
      </c>
      <c r="AR20" s="32">
        <f>IF((MAX(0,Assumptions!$B$2*EXP(-Assumptions!$B$4*Assumptions!$B$9)*NORMSDIST(((LN(Assumptions!$B$2/$B20)+(Assumptions!$B$3-Assumptions!$B$4+(AR$3/100)^2/2)*Assumptions!$B$9)/((AR$3/100)*Assumptions!$B$10)))-$B20*EXP(-Assumptions!$B$3*Assumptions!$B$9)*NORMSDIST((((LN(Assumptions!$B$2/$B20)+(Assumptions!$B$3-Assumptions!$B$4+(AR$3/100)^2/2)*Assumptions!$B$9)/((AR$3/100)*Assumptions!$B$10))-(AR$3/100)*Assumptions!$B$10))))&lt;=0,"",(Assumptions!$B$2*EXP(-Assumptions!$B$4*Assumptions!$B$9)*NORMDIST(((LN(Assumptions!$B$2/$B20)+(Assumptions!$B$3-Assumptions!$B$4+(AR$3/100)^2/2)*Assumptions!$B$9)/((AR$3/100)*Assumptions!$B$10)),0,1,FALSE)*Assumptions!$B$10*0.01)*((AR$3/100)/0.01)/(MAX(0,Assumptions!$B$2*EXP(-Assumptions!$B$4*Assumptions!$B$9)*NORMSDIST(((LN(Assumptions!$B$2/$B20)+(Assumptions!$B$3-Assumptions!$B$4+(AR$3/100)^2/2)*Assumptions!$B$9)/((AR$3/100)*Assumptions!$B$10)))-$B20*EXP(-Assumptions!$B$3*Assumptions!$B$9)*NORMSDIST((((LN(Assumptions!$B$2/$B20)+(Assumptions!$B$3-Assumptions!$B$4+(AR$3/100)^2/2)*Assumptions!$B$9)/((AR$3/100)*Assumptions!$B$10))-(AR$3/100)*Assumptions!$B$10)))))</f>
        <v/>
      </c>
      <c r="AS20" s="32">
        <f>IF((MAX(0,Assumptions!$B$2*EXP(-Assumptions!$B$4*Assumptions!$B$9)*NORMSDIST(((LN(Assumptions!$B$2/$B20)+(Assumptions!$B$3-Assumptions!$B$4+(AS$3/100)^2/2)*Assumptions!$B$9)/((AS$3/100)*Assumptions!$B$10)))-$B20*EXP(-Assumptions!$B$3*Assumptions!$B$9)*NORMSDIST((((LN(Assumptions!$B$2/$B20)+(Assumptions!$B$3-Assumptions!$B$4+(AS$3/100)^2/2)*Assumptions!$B$9)/((AS$3/100)*Assumptions!$B$10))-(AS$3/100)*Assumptions!$B$10))))&lt;=0,"",(Assumptions!$B$2*EXP(-Assumptions!$B$4*Assumptions!$B$9)*NORMDIST(((LN(Assumptions!$B$2/$B20)+(Assumptions!$B$3-Assumptions!$B$4+(AS$3/100)^2/2)*Assumptions!$B$9)/((AS$3/100)*Assumptions!$B$10)),0,1,FALSE)*Assumptions!$B$10*0.01)*((AS$3/100)/0.01)/(MAX(0,Assumptions!$B$2*EXP(-Assumptions!$B$4*Assumptions!$B$9)*NORMSDIST(((LN(Assumptions!$B$2/$B20)+(Assumptions!$B$3-Assumptions!$B$4+(AS$3/100)^2/2)*Assumptions!$B$9)/((AS$3/100)*Assumptions!$B$10)))-$B20*EXP(-Assumptions!$B$3*Assumptions!$B$9)*NORMSDIST((((LN(Assumptions!$B$2/$B20)+(Assumptions!$B$3-Assumptions!$B$4+(AS$3/100)^2/2)*Assumptions!$B$9)/((AS$3/100)*Assumptions!$B$10))-(AS$3/100)*Assumptions!$B$10)))))</f>
        <v/>
      </c>
      <c r="AT20" s="32">
        <f>IF((MAX(0,Assumptions!$B$2*EXP(-Assumptions!$B$4*Assumptions!$B$9)*NORMSDIST(((LN(Assumptions!$B$2/$B20)+(Assumptions!$B$3-Assumptions!$B$4+(AT$3/100)^2/2)*Assumptions!$B$9)/((AT$3/100)*Assumptions!$B$10)))-$B20*EXP(-Assumptions!$B$3*Assumptions!$B$9)*NORMSDIST((((LN(Assumptions!$B$2/$B20)+(Assumptions!$B$3-Assumptions!$B$4+(AT$3/100)^2/2)*Assumptions!$B$9)/((AT$3/100)*Assumptions!$B$10))-(AT$3/100)*Assumptions!$B$10))))&lt;=0,"",(Assumptions!$B$2*EXP(-Assumptions!$B$4*Assumptions!$B$9)*NORMDIST(((LN(Assumptions!$B$2/$B20)+(Assumptions!$B$3-Assumptions!$B$4+(AT$3/100)^2/2)*Assumptions!$B$9)/((AT$3/100)*Assumptions!$B$10)),0,1,FALSE)*Assumptions!$B$10*0.01)*((AT$3/100)/0.01)/(MAX(0,Assumptions!$B$2*EXP(-Assumptions!$B$4*Assumptions!$B$9)*NORMSDIST(((LN(Assumptions!$B$2/$B20)+(Assumptions!$B$3-Assumptions!$B$4+(AT$3/100)^2/2)*Assumptions!$B$9)/((AT$3/100)*Assumptions!$B$10)))-$B20*EXP(-Assumptions!$B$3*Assumptions!$B$9)*NORMSDIST((((LN(Assumptions!$B$2/$B20)+(Assumptions!$B$3-Assumptions!$B$4+(AT$3/100)^2/2)*Assumptions!$B$9)/((AT$3/100)*Assumptions!$B$10))-(AT$3/100)*Assumptions!$B$10)))))</f>
        <v/>
      </c>
      <c r="AU20" s="32">
        <f>IF((MAX(0,Assumptions!$B$2*EXP(-Assumptions!$B$4*Assumptions!$B$9)*NORMSDIST(((LN(Assumptions!$B$2/$B20)+(Assumptions!$B$3-Assumptions!$B$4+(AU$3/100)^2/2)*Assumptions!$B$9)/((AU$3/100)*Assumptions!$B$10)))-$B20*EXP(-Assumptions!$B$3*Assumptions!$B$9)*NORMSDIST((((LN(Assumptions!$B$2/$B20)+(Assumptions!$B$3-Assumptions!$B$4+(AU$3/100)^2/2)*Assumptions!$B$9)/((AU$3/100)*Assumptions!$B$10))-(AU$3/100)*Assumptions!$B$10))))&lt;=0,"",(Assumptions!$B$2*EXP(-Assumptions!$B$4*Assumptions!$B$9)*NORMDIST(((LN(Assumptions!$B$2/$B20)+(Assumptions!$B$3-Assumptions!$B$4+(AU$3/100)^2/2)*Assumptions!$B$9)/((AU$3/100)*Assumptions!$B$10)),0,1,FALSE)*Assumptions!$B$10*0.01)*((AU$3/100)/0.01)/(MAX(0,Assumptions!$B$2*EXP(-Assumptions!$B$4*Assumptions!$B$9)*NORMSDIST(((LN(Assumptions!$B$2/$B20)+(Assumptions!$B$3-Assumptions!$B$4+(AU$3/100)^2/2)*Assumptions!$B$9)/((AU$3/100)*Assumptions!$B$10)))-$B20*EXP(-Assumptions!$B$3*Assumptions!$B$9)*NORMSDIST((((LN(Assumptions!$B$2/$B20)+(Assumptions!$B$3-Assumptions!$B$4+(AU$3/100)^2/2)*Assumptions!$B$9)/((AU$3/100)*Assumptions!$B$10))-(AU$3/100)*Assumptions!$B$10)))))</f>
        <v/>
      </c>
      <c r="AV20" s="32">
        <f>IF((MAX(0,Assumptions!$B$2*EXP(-Assumptions!$B$4*Assumptions!$B$9)*NORMSDIST(((LN(Assumptions!$B$2/$B20)+(Assumptions!$B$3-Assumptions!$B$4+(AV$3/100)^2/2)*Assumptions!$B$9)/((AV$3/100)*Assumptions!$B$10)))-$B20*EXP(-Assumptions!$B$3*Assumptions!$B$9)*NORMSDIST((((LN(Assumptions!$B$2/$B20)+(Assumptions!$B$3-Assumptions!$B$4+(AV$3/100)^2/2)*Assumptions!$B$9)/((AV$3/100)*Assumptions!$B$10))-(AV$3/100)*Assumptions!$B$10))))&lt;=0,"",(Assumptions!$B$2*EXP(-Assumptions!$B$4*Assumptions!$B$9)*NORMDIST(((LN(Assumptions!$B$2/$B20)+(Assumptions!$B$3-Assumptions!$B$4+(AV$3/100)^2/2)*Assumptions!$B$9)/((AV$3/100)*Assumptions!$B$10)),0,1,FALSE)*Assumptions!$B$10*0.01)*((AV$3/100)/0.01)/(MAX(0,Assumptions!$B$2*EXP(-Assumptions!$B$4*Assumptions!$B$9)*NORMSDIST(((LN(Assumptions!$B$2/$B20)+(Assumptions!$B$3-Assumptions!$B$4+(AV$3/100)^2/2)*Assumptions!$B$9)/((AV$3/100)*Assumptions!$B$10)))-$B20*EXP(-Assumptions!$B$3*Assumptions!$B$9)*NORMSDIST((((LN(Assumptions!$B$2/$B20)+(Assumptions!$B$3-Assumptions!$B$4+(AV$3/100)^2/2)*Assumptions!$B$9)/((AV$3/100)*Assumptions!$B$10))-(AV$3/100)*Assumptions!$B$10)))))</f>
        <v/>
      </c>
    </row>
    <row r="23">
      <c r="A23" s="20" t="inlineStr">
        <is>
          <t>% premium change per +0.5 VIX point - matches the step size above</t>
        </is>
      </c>
    </row>
    <row r="24">
      <c r="A24" s="1" t="inlineStr">
        <is>
          <t>Moneyness</t>
        </is>
      </c>
      <c r="B24" s="1" t="inlineStr">
        <is>
          <t>Strike</t>
        </is>
      </c>
      <c r="C24" s="1" t="inlineStr">
        <is>
          <t>Call</t>
        </is>
      </c>
      <c r="D24" s="51" t="n">
        <v>8</v>
      </c>
      <c r="E24" s="51" t="n">
        <v>8.5</v>
      </c>
      <c r="F24" s="51" t="n">
        <v>9</v>
      </c>
      <c r="G24" s="51" t="n">
        <v>9.5</v>
      </c>
      <c r="H24" s="51" t="n">
        <v>10</v>
      </c>
      <c r="I24" s="51" t="n">
        <v>10.5</v>
      </c>
      <c r="J24" s="51" t="n">
        <v>11</v>
      </c>
      <c r="K24" s="51" t="n">
        <v>11.5</v>
      </c>
      <c r="L24" s="51" t="n">
        <v>12</v>
      </c>
      <c r="M24" s="51" t="n">
        <v>12.5</v>
      </c>
      <c r="N24" s="51" t="n">
        <v>13</v>
      </c>
      <c r="O24" s="51" t="n">
        <v>13.5</v>
      </c>
      <c r="P24" s="51" t="n">
        <v>14</v>
      </c>
      <c r="Q24" s="51" t="n">
        <v>14.5</v>
      </c>
      <c r="R24" s="51" t="n">
        <v>15</v>
      </c>
      <c r="S24" s="51" t="n">
        <v>15.5</v>
      </c>
      <c r="T24" s="51" t="n">
        <v>16</v>
      </c>
      <c r="U24" s="51" t="n">
        <v>16.5</v>
      </c>
      <c r="V24" s="51" t="n">
        <v>17</v>
      </c>
      <c r="W24" s="51" t="n">
        <v>17.5</v>
      </c>
      <c r="X24" s="51" t="n">
        <v>18</v>
      </c>
      <c r="Y24" s="51" t="n">
        <v>18.5</v>
      </c>
      <c r="Z24" s="51" t="n">
        <v>19</v>
      </c>
      <c r="AA24" s="51" t="n">
        <v>19.5</v>
      </c>
      <c r="AB24" s="51" t="n">
        <v>20</v>
      </c>
      <c r="AC24" s="51" t="n">
        <v>20.5</v>
      </c>
      <c r="AD24" s="51" t="n">
        <v>21</v>
      </c>
      <c r="AE24" s="51" t="n">
        <v>21.5</v>
      </c>
      <c r="AF24" s="51" t="n">
        <v>22</v>
      </c>
      <c r="AG24" s="51" t="n">
        <v>22.5</v>
      </c>
      <c r="AH24" s="51" t="n">
        <v>23</v>
      </c>
      <c r="AI24" s="51" t="n">
        <v>23.5</v>
      </c>
      <c r="AJ24" s="51" t="n">
        <v>24</v>
      </c>
      <c r="AK24" s="51" t="n">
        <v>24.5</v>
      </c>
      <c r="AL24" s="51" t="n">
        <v>25</v>
      </c>
      <c r="AM24" s="51" t="n">
        <v>25.5</v>
      </c>
      <c r="AN24" s="51" t="n">
        <v>26</v>
      </c>
      <c r="AO24" s="51" t="n">
        <v>26.5</v>
      </c>
      <c r="AP24" s="51" t="n">
        <v>27</v>
      </c>
      <c r="AQ24" s="51" t="n">
        <v>27.5</v>
      </c>
      <c r="AR24" s="51" t="n">
        <v>28</v>
      </c>
      <c r="AS24" s="51" t="n">
        <v>28.5</v>
      </c>
      <c r="AT24" s="51" t="n">
        <v>29</v>
      </c>
      <c r="AU24" s="51" t="n">
        <v>29.5</v>
      </c>
      <c r="AV24" s="51" t="n">
        <v>30</v>
      </c>
    </row>
    <row r="25">
      <c r="A25" s="27" t="inlineStr">
        <is>
          <t>-2.00%</t>
        </is>
      </c>
      <c r="B25" s="47">
        <f>'BS Engine'!$B$2</f>
        <v/>
      </c>
      <c r="C25" s="28">
        <f>'BS Engine'!$C$2</f>
        <v/>
      </c>
      <c r="D25" s="55">
        <f>IF((MAX(0,Assumptions!$B$2*EXP(-Assumptions!$B$4*Assumptions!$B$9)*NORMSDIST(((LN(Assumptions!$B$2/$B4)+(Assumptions!$B$3-Assumptions!$B$4+(D$3/100)^2/2)*Assumptions!$B$9)/((D$3/100)*Assumptions!$B$10)))-$B4*EXP(-Assumptions!$B$3*Assumptions!$B$9)*NORMSDIST((((LN(Assumptions!$B$2/$B4)+(Assumptions!$B$3-Assumptions!$B$4+(D$3/100)^2/2)*Assumptions!$B$9)/((D$3/100)*Assumptions!$B$10))-(D$3/100)*Assumptions!$B$10))))&lt;=0,"",(Assumptions!$B$2*EXP(-Assumptions!$B$4*Assumptions!$B$9)*NORMDIST(((LN(Assumptions!$B$2/$B4)+(Assumptions!$B$3-Assumptions!$B$4+(D$3/100)^2/2)*Assumptions!$B$9)/((D$3/100)*Assumptions!$B$10)),0,1,FALSE)*Assumptions!$B$10*0.01)*0.5/(MAX(0,Assumptions!$B$2*EXP(-Assumptions!$B$4*Assumptions!$B$9)*NORMSDIST(((LN(Assumptions!$B$2/$B4)+(Assumptions!$B$3-Assumptions!$B$4+(D$3/100)^2/2)*Assumptions!$B$9)/((D$3/100)*Assumptions!$B$10)))-$B4*EXP(-Assumptions!$B$3*Assumptions!$B$9)*NORMSDIST((((LN(Assumptions!$B$2/$B4)+(Assumptions!$B$3-Assumptions!$B$4+(D$3/100)^2/2)*Assumptions!$B$9)/((D$3/100)*Assumptions!$B$10))-(D$3/100)*Assumptions!$B$10)))))</f>
        <v/>
      </c>
      <c r="E25" s="56">
        <f>IF((MAX(0,Assumptions!$B$2*EXP(-Assumptions!$B$4*Assumptions!$B$9)*NORMSDIST(((LN(Assumptions!$B$2/$B4)+(Assumptions!$B$3-Assumptions!$B$4+(E$3/100)^2/2)*Assumptions!$B$9)/((E$3/100)*Assumptions!$B$10)))-$B4*EXP(-Assumptions!$B$3*Assumptions!$B$9)*NORMSDIST((((LN(Assumptions!$B$2/$B4)+(Assumptions!$B$3-Assumptions!$B$4+(E$3/100)^2/2)*Assumptions!$B$9)/((E$3/100)*Assumptions!$B$10))-(E$3/100)*Assumptions!$B$10))))&lt;=0,"",(Assumptions!$B$2*EXP(-Assumptions!$B$4*Assumptions!$B$9)*NORMDIST(((LN(Assumptions!$B$2/$B4)+(Assumptions!$B$3-Assumptions!$B$4+(E$3/100)^2/2)*Assumptions!$B$9)/((E$3/100)*Assumptions!$B$10)),0,1,FALSE)*Assumptions!$B$10*0.01)*0.5/(MAX(0,Assumptions!$B$2*EXP(-Assumptions!$B$4*Assumptions!$B$9)*NORMSDIST(((LN(Assumptions!$B$2/$B4)+(Assumptions!$B$3-Assumptions!$B$4+(E$3/100)^2/2)*Assumptions!$B$9)/((E$3/100)*Assumptions!$B$10)))-$B4*EXP(-Assumptions!$B$3*Assumptions!$B$9)*NORMSDIST((((LN(Assumptions!$B$2/$B4)+(Assumptions!$B$3-Assumptions!$B$4+(E$3/100)^2/2)*Assumptions!$B$9)/((E$3/100)*Assumptions!$B$10))-(E$3/100)*Assumptions!$B$10)))))</f>
        <v/>
      </c>
      <c r="F25" s="56">
        <f>IF((MAX(0,Assumptions!$B$2*EXP(-Assumptions!$B$4*Assumptions!$B$9)*NORMSDIST(((LN(Assumptions!$B$2/$B4)+(Assumptions!$B$3-Assumptions!$B$4+(F$3/100)^2/2)*Assumptions!$B$9)/((F$3/100)*Assumptions!$B$10)))-$B4*EXP(-Assumptions!$B$3*Assumptions!$B$9)*NORMSDIST((((LN(Assumptions!$B$2/$B4)+(Assumptions!$B$3-Assumptions!$B$4+(F$3/100)^2/2)*Assumptions!$B$9)/((F$3/100)*Assumptions!$B$10))-(F$3/100)*Assumptions!$B$10))))&lt;=0,"",(Assumptions!$B$2*EXP(-Assumptions!$B$4*Assumptions!$B$9)*NORMDIST(((LN(Assumptions!$B$2/$B4)+(Assumptions!$B$3-Assumptions!$B$4+(F$3/100)^2/2)*Assumptions!$B$9)/((F$3/100)*Assumptions!$B$10)),0,1,FALSE)*Assumptions!$B$10*0.01)*0.5/(MAX(0,Assumptions!$B$2*EXP(-Assumptions!$B$4*Assumptions!$B$9)*NORMSDIST(((LN(Assumptions!$B$2/$B4)+(Assumptions!$B$3-Assumptions!$B$4+(F$3/100)^2/2)*Assumptions!$B$9)/((F$3/100)*Assumptions!$B$10)))-$B4*EXP(-Assumptions!$B$3*Assumptions!$B$9)*NORMSDIST((((LN(Assumptions!$B$2/$B4)+(Assumptions!$B$3-Assumptions!$B$4+(F$3/100)^2/2)*Assumptions!$B$9)/((F$3/100)*Assumptions!$B$10))-(F$3/100)*Assumptions!$B$10)))))</f>
        <v/>
      </c>
      <c r="G25" s="56">
        <f>IF((MAX(0,Assumptions!$B$2*EXP(-Assumptions!$B$4*Assumptions!$B$9)*NORMSDIST(((LN(Assumptions!$B$2/$B4)+(Assumptions!$B$3-Assumptions!$B$4+(G$3/100)^2/2)*Assumptions!$B$9)/((G$3/100)*Assumptions!$B$10)))-$B4*EXP(-Assumptions!$B$3*Assumptions!$B$9)*NORMSDIST((((LN(Assumptions!$B$2/$B4)+(Assumptions!$B$3-Assumptions!$B$4+(G$3/100)^2/2)*Assumptions!$B$9)/((G$3/100)*Assumptions!$B$10))-(G$3/100)*Assumptions!$B$10))))&lt;=0,"",(Assumptions!$B$2*EXP(-Assumptions!$B$4*Assumptions!$B$9)*NORMDIST(((LN(Assumptions!$B$2/$B4)+(Assumptions!$B$3-Assumptions!$B$4+(G$3/100)^2/2)*Assumptions!$B$9)/((G$3/100)*Assumptions!$B$10)),0,1,FALSE)*Assumptions!$B$10*0.01)*0.5/(MAX(0,Assumptions!$B$2*EXP(-Assumptions!$B$4*Assumptions!$B$9)*NORMSDIST(((LN(Assumptions!$B$2/$B4)+(Assumptions!$B$3-Assumptions!$B$4+(G$3/100)^2/2)*Assumptions!$B$9)/((G$3/100)*Assumptions!$B$10)))-$B4*EXP(-Assumptions!$B$3*Assumptions!$B$9)*NORMSDIST((((LN(Assumptions!$B$2/$B4)+(Assumptions!$B$3-Assumptions!$B$4+(G$3/100)^2/2)*Assumptions!$B$9)/((G$3/100)*Assumptions!$B$10))-(G$3/100)*Assumptions!$B$10)))))</f>
        <v/>
      </c>
      <c r="H25" s="56">
        <f>IF((MAX(0,Assumptions!$B$2*EXP(-Assumptions!$B$4*Assumptions!$B$9)*NORMSDIST(((LN(Assumptions!$B$2/$B4)+(Assumptions!$B$3-Assumptions!$B$4+(H$3/100)^2/2)*Assumptions!$B$9)/((H$3/100)*Assumptions!$B$10)))-$B4*EXP(-Assumptions!$B$3*Assumptions!$B$9)*NORMSDIST((((LN(Assumptions!$B$2/$B4)+(Assumptions!$B$3-Assumptions!$B$4+(H$3/100)^2/2)*Assumptions!$B$9)/((H$3/100)*Assumptions!$B$10))-(H$3/100)*Assumptions!$B$10))))&lt;=0,"",(Assumptions!$B$2*EXP(-Assumptions!$B$4*Assumptions!$B$9)*NORMDIST(((LN(Assumptions!$B$2/$B4)+(Assumptions!$B$3-Assumptions!$B$4+(H$3/100)^2/2)*Assumptions!$B$9)/((H$3/100)*Assumptions!$B$10)),0,1,FALSE)*Assumptions!$B$10*0.01)*0.5/(MAX(0,Assumptions!$B$2*EXP(-Assumptions!$B$4*Assumptions!$B$9)*NORMSDIST(((LN(Assumptions!$B$2/$B4)+(Assumptions!$B$3-Assumptions!$B$4+(H$3/100)^2/2)*Assumptions!$B$9)/((H$3/100)*Assumptions!$B$10)))-$B4*EXP(-Assumptions!$B$3*Assumptions!$B$9)*NORMSDIST((((LN(Assumptions!$B$2/$B4)+(Assumptions!$B$3-Assumptions!$B$4+(H$3/100)^2/2)*Assumptions!$B$9)/((H$3/100)*Assumptions!$B$10))-(H$3/100)*Assumptions!$B$10)))))</f>
        <v/>
      </c>
      <c r="I25" s="56">
        <f>IF((MAX(0,Assumptions!$B$2*EXP(-Assumptions!$B$4*Assumptions!$B$9)*NORMSDIST(((LN(Assumptions!$B$2/$B4)+(Assumptions!$B$3-Assumptions!$B$4+(I$3/100)^2/2)*Assumptions!$B$9)/((I$3/100)*Assumptions!$B$10)))-$B4*EXP(-Assumptions!$B$3*Assumptions!$B$9)*NORMSDIST((((LN(Assumptions!$B$2/$B4)+(Assumptions!$B$3-Assumptions!$B$4+(I$3/100)^2/2)*Assumptions!$B$9)/((I$3/100)*Assumptions!$B$10))-(I$3/100)*Assumptions!$B$10))))&lt;=0,"",(Assumptions!$B$2*EXP(-Assumptions!$B$4*Assumptions!$B$9)*NORMDIST(((LN(Assumptions!$B$2/$B4)+(Assumptions!$B$3-Assumptions!$B$4+(I$3/100)^2/2)*Assumptions!$B$9)/((I$3/100)*Assumptions!$B$10)),0,1,FALSE)*Assumptions!$B$10*0.01)*0.5/(MAX(0,Assumptions!$B$2*EXP(-Assumptions!$B$4*Assumptions!$B$9)*NORMSDIST(((LN(Assumptions!$B$2/$B4)+(Assumptions!$B$3-Assumptions!$B$4+(I$3/100)^2/2)*Assumptions!$B$9)/((I$3/100)*Assumptions!$B$10)))-$B4*EXP(-Assumptions!$B$3*Assumptions!$B$9)*NORMSDIST((((LN(Assumptions!$B$2/$B4)+(Assumptions!$B$3-Assumptions!$B$4+(I$3/100)^2/2)*Assumptions!$B$9)/((I$3/100)*Assumptions!$B$10))-(I$3/100)*Assumptions!$B$10)))))</f>
        <v/>
      </c>
      <c r="J25" s="56">
        <f>IF((MAX(0,Assumptions!$B$2*EXP(-Assumptions!$B$4*Assumptions!$B$9)*NORMSDIST(((LN(Assumptions!$B$2/$B4)+(Assumptions!$B$3-Assumptions!$B$4+(J$3/100)^2/2)*Assumptions!$B$9)/((J$3/100)*Assumptions!$B$10)))-$B4*EXP(-Assumptions!$B$3*Assumptions!$B$9)*NORMSDIST((((LN(Assumptions!$B$2/$B4)+(Assumptions!$B$3-Assumptions!$B$4+(J$3/100)^2/2)*Assumptions!$B$9)/((J$3/100)*Assumptions!$B$10))-(J$3/100)*Assumptions!$B$10))))&lt;=0,"",(Assumptions!$B$2*EXP(-Assumptions!$B$4*Assumptions!$B$9)*NORMDIST(((LN(Assumptions!$B$2/$B4)+(Assumptions!$B$3-Assumptions!$B$4+(J$3/100)^2/2)*Assumptions!$B$9)/((J$3/100)*Assumptions!$B$10)),0,1,FALSE)*Assumptions!$B$10*0.01)*0.5/(MAX(0,Assumptions!$B$2*EXP(-Assumptions!$B$4*Assumptions!$B$9)*NORMSDIST(((LN(Assumptions!$B$2/$B4)+(Assumptions!$B$3-Assumptions!$B$4+(J$3/100)^2/2)*Assumptions!$B$9)/((J$3/100)*Assumptions!$B$10)))-$B4*EXP(-Assumptions!$B$3*Assumptions!$B$9)*NORMSDIST((((LN(Assumptions!$B$2/$B4)+(Assumptions!$B$3-Assumptions!$B$4+(J$3/100)^2/2)*Assumptions!$B$9)/((J$3/100)*Assumptions!$B$10))-(J$3/100)*Assumptions!$B$10)))))</f>
        <v/>
      </c>
      <c r="K25" s="56">
        <f>IF((MAX(0,Assumptions!$B$2*EXP(-Assumptions!$B$4*Assumptions!$B$9)*NORMSDIST(((LN(Assumptions!$B$2/$B4)+(Assumptions!$B$3-Assumptions!$B$4+(K$3/100)^2/2)*Assumptions!$B$9)/((K$3/100)*Assumptions!$B$10)))-$B4*EXP(-Assumptions!$B$3*Assumptions!$B$9)*NORMSDIST((((LN(Assumptions!$B$2/$B4)+(Assumptions!$B$3-Assumptions!$B$4+(K$3/100)^2/2)*Assumptions!$B$9)/((K$3/100)*Assumptions!$B$10))-(K$3/100)*Assumptions!$B$10))))&lt;=0,"",(Assumptions!$B$2*EXP(-Assumptions!$B$4*Assumptions!$B$9)*NORMDIST(((LN(Assumptions!$B$2/$B4)+(Assumptions!$B$3-Assumptions!$B$4+(K$3/100)^2/2)*Assumptions!$B$9)/((K$3/100)*Assumptions!$B$10)),0,1,FALSE)*Assumptions!$B$10*0.01)*0.5/(MAX(0,Assumptions!$B$2*EXP(-Assumptions!$B$4*Assumptions!$B$9)*NORMSDIST(((LN(Assumptions!$B$2/$B4)+(Assumptions!$B$3-Assumptions!$B$4+(K$3/100)^2/2)*Assumptions!$B$9)/((K$3/100)*Assumptions!$B$10)))-$B4*EXP(-Assumptions!$B$3*Assumptions!$B$9)*NORMSDIST((((LN(Assumptions!$B$2/$B4)+(Assumptions!$B$3-Assumptions!$B$4+(K$3/100)^2/2)*Assumptions!$B$9)/((K$3/100)*Assumptions!$B$10))-(K$3/100)*Assumptions!$B$10)))))</f>
        <v/>
      </c>
      <c r="L25" s="56">
        <f>IF((MAX(0,Assumptions!$B$2*EXP(-Assumptions!$B$4*Assumptions!$B$9)*NORMSDIST(((LN(Assumptions!$B$2/$B4)+(Assumptions!$B$3-Assumptions!$B$4+(L$3/100)^2/2)*Assumptions!$B$9)/((L$3/100)*Assumptions!$B$10)))-$B4*EXP(-Assumptions!$B$3*Assumptions!$B$9)*NORMSDIST((((LN(Assumptions!$B$2/$B4)+(Assumptions!$B$3-Assumptions!$B$4+(L$3/100)^2/2)*Assumptions!$B$9)/((L$3/100)*Assumptions!$B$10))-(L$3/100)*Assumptions!$B$10))))&lt;=0,"",(Assumptions!$B$2*EXP(-Assumptions!$B$4*Assumptions!$B$9)*NORMDIST(((LN(Assumptions!$B$2/$B4)+(Assumptions!$B$3-Assumptions!$B$4+(L$3/100)^2/2)*Assumptions!$B$9)/((L$3/100)*Assumptions!$B$10)),0,1,FALSE)*Assumptions!$B$10*0.01)*0.5/(MAX(0,Assumptions!$B$2*EXP(-Assumptions!$B$4*Assumptions!$B$9)*NORMSDIST(((LN(Assumptions!$B$2/$B4)+(Assumptions!$B$3-Assumptions!$B$4+(L$3/100)^2/2)*Assumptions!$B$9)/((L$3/100)*Assumptions!$B$10)))-$B4*EXP(-Assumptions!$B$3*Assumptions!$B$9)*NORMSDIST((((LN(Assumptions!$B$2/$B4)+(Assumptions!$B$3-Assumptions!$B$4+(L$3/100)^2/2)*Assumptions!$B$9)/((L$3/100)*Assumptions!$B$10))-(L$3/100)*Assumptions!$B$10)))))</f>
        <v/>
      </c>
      <c r="M25" s="56">
        <f>IF((MAX(0,Assumptions!$B$2*EXP(-Assumptions!$B$4*Assumptions!$B$9)*NORMSDIST(((LN(Assumptions!$B$2/$B4)+(Assumptions!$B$3-Assumptions!$B$4+(M$3/100)^2/2)*Assumptions!$B$9)/((M$3/100)*Assumptions!$B$10)))-$B4*EXP(-Assumptions!$B$3*Assumptions!$B$9)*NORMSDIST((((LN(Assumptions!$B$2/$B4)+(Assumptions!$B$3-Assumptions!$B$4+(M$3/100)^2/2)*Assumptions!$B$9)/((M$3/100)*Assumptions!$B$10))-(M$3/100)*Assumptions!$B$10))))&lt;=0,"",(Assumptions!$B$2*EXP(-Assumptions!$B$4*Assumptions!$B$9)*NORMDIST(((LN(Assumptions!$B$2/$B4)+(Assumptions!$B$3-Assumptions!$B$4+(M$3/100)^2/2)*Assumptions!$B$9)/((M$3/100)*Assumptions!$B$10)),0,1,FALSE)*Assumptions!$B$10*0.01)*0.5/(MAX(0,Assumptions!$B$2*EXP(-Assumptions!$B$4*Assumptions!$B$9)*NORMSDIST(((LN(Assumptions!$B$2/$B4)+(Assumptions!$B$3-Assumptions!$B$4+(M$3/100)^2/2)*Assumptions!$B$9)/((M$3/100)*Assumptions!$B$10)))-$B4*EXP(-Assumptions!$B$3*Assumptions!$B$9)*NORMSDIST((((LN(Assumptions!$B$2/$B4)+(Assumptions!$B$3-Assumptions!$B$4+(M$3/100)^2/2)*Assumptions!$B$9)/((M$3/100)*Assumptions!$B$10))-(M$3/100)*Assumptions!$B$10)))))</f>
        <v/>
      </c>
      <c r="N25" s="56">
        <f>IF((MAX(0,Assumptions!$B$2*EXP(-Assumptions!$B$4*Assumptions!$B$9)*NORMSDIST(((LN(Assumptions!$B$2/$B4)+(Assumptions!$B$3-Assumptions!$B$4+(N$3/100)^2/2)*Assumptions!$B$9)/((N$3/100)*Assumptions!$B$10)))-$B4*EXP(-Assumptions!$B$3*Assumptions!$B$9)*NORMSDIST((((LN(Assumptions!$B$2/$B4)+(Assumptions!$B$3-Assumptions!$B$4+(N$3/100)^2/2)*Assumptions!$B$9)/((N$3/100)*Assumptions!$B$10))-(N$3/100)*Assumptions!$B$10))))&lt;=0,"",(Assumptions!$B$2*EXP(-Assumptions!$B$4*Assumptions!$B$9)*NORMDIST(((LN(Assumptions!$B$2/$B4)+(Assumptions!$B$3-Assumptions!$B$4+(N$3/100)^2/2)*Assumptions!$B$9)/((N$3/100)*Assumptions!$B$10)),0,1,FALSE)*Assumptions!$B$10*0.01)*0.5/(MAX(0,Assumptions!$B$2*EXP(-Assumptions!$B$4*Assumptions!$B$9)*NORMSDIST(((LN(Assumptions!$B$2/$B4)+(Assumptions!$B$3-Assumptions!$B$4+(N$3/100)^2/2)*Assumptions!$B$9)/((N$3/100)*Assumptions!$B$10)))-$B4*EXP(-Assumptions!$B$3*Assumptions!$B$9)*NORMSDIST((((LN(Assumptions!$B$2/$B4)+(Assumptions!$B$3-Assumptions!$B$4+(N$3/100)^2/2)*Assumptions!$B$9)/((N$3/100)*Assumptions!$B$10))-(N$3/100)*Assumptions!$B$10)))))</f>
        <v/>
      </c>
      <c r="O25" s="56">
        <f>IF((MAX(0,Assumptions!$B$2*EXP(-Assumptions!$B$4*Assumptions!$B$9)*NORMSDIST(((LN(Assumptions!$B$2/$B4)+(Assumptions!$B$3-Assumptions!$B$4+(O$3/100)^2/2)*Assumptions!$B$9)/((O$3/100)*Assumptions!$B$10)))-$B4*EXP(-Assumptions!$B$3*Assumptions!$B$9)*NORMSDIST((((LN(Assumptions!$B$2/$B4)+(Assumptions!$B$3-Assumptions!$B$4+(O$3/100)^2/2)*Assumptions!$B$9)/((O$3/100)*Assumptions!$B$10))-(O$3/100)*Assumptions!$B$10))))&lt;=0,"",(Assumptions!$B$2*EXP(-Assumptions!$B$4*Assumptions!$B$9)*NORMDIST(((LN(Assumptions!$B$2/$B4)+(Assumptions!$B$3-Assumptions!$B$4+(O$3/100)^2/2)*Assumptions!$B$9)/((O$3/100)*Assumptions!$B$10)),0,1,FALSE)*Assumptions!$B$10*0.01)*0.5/(MAX(0,Assumptions!$B$2*EXP(-Assumptions!$B$4*Assumptions!$B$9)*NORMSDIST(((LN(Assumptions!$B$2/$B4)+(Assumptions!$B$3-Assumptions!$B$4+(O$3/100)^2/2)*Assumptions!$B$9)/((O$3/100)*Assumptions!$B$10)))-$B4*EXP(-Assumptions!$B$3*Assumptions!$B$9)*NORMSDIST((((LN(Assumptions!$B$2/$B4)+(Assumptions!$B$3-Assumptions!$B$4+(O$3/100)^2/2)*Assumptions!$B$9)/((O$3/100)*Assumptions!$B$10))-(O$3/100)*Assumptions!$B$10)))))</f>
        <v/>
      </c>
      <c r="P25" s="56">
        <f>IF((MAX(0,Assumptions!$B$2*EXP(-Assumptions!$B$4*Assumptions!$B$9)*NORMSDIST(((LN(Assumptions!$B$2/$B4)+(Assumptions!$B$3-Assumptions!$B$4+(P$3/100)^2/2)*Assumptions!$B$9)/((P$3/100)*Assumptions!$B$10)))-$B4*EXP(-Assumptions!$B$3*Assumptions!$B$9)*NORMSDIST((((LN(Assumptions!$B$2/$B4)+(Assumptions!$B$3-Assumptions!$B$4+(P$3/100)^2/2)*Assumptions!$B$9)/((P$3/100)*Assumptions!$B$10))-(P$3/100)*Assumptions!$B$10))))&lt;=0,"",(Assumptions!$B$2*EXP(-Assumptions!$B$4*Assumptions!$B$9)*NORMDIST(((LN(Assumptions!$B$2/$B4)+(Assumptions!$B$3-Assumptions!$B$4+(P$3/100)^2/2)*Assumptions!$B$9)/((P$3/100)*Assumptions!$B$10)),0,1,FALSE)*Assumptions!$B$10*0.01)*0.5/(MAX(0,Assumptions!$B$2*EXP(-Assumptions!$B$4*Assumptions!$B$9)*NORMSDIST(((LN(Assumptions!$B$2/$B4)+(Assumptions!$B$3-Assumptions!$B$4+(P$3/100)^2/2)*Assumptions!$B$9)/((P$3/100)*Assumptions!$B$10)))-$B4*EXP(-Assumptions!$B$3*Assumptions!$B$9)*NORMSDIST((((LN(Assumptions!$B$2/$B4)+(Assumptions!$B$3-Assumptions!$B$4+(P$3/100)^2/2)*Assumptions!$B$9)/((P$3/100)*Assumptions!$B$10))-(P$3/100)*Assumptions!$B$10)))))</f>
        <v/>
      </c>
      <c r="Q25" s="56">
        <f>IF((MAX(0,Assumptions!$B$2*EXP(-Assumptions!$B$4*Assumptions!$B$9)*NORMSDIST(((LN(Assumptions!$B$2/$B4)+(Assumptions!$B$3-Assumptions!$B$4+(Q$3/100)^2/2)*Assumptions!$B$9)/((Q$3/100)*Assumptions!$B$10)))-$B4*EXP(-Assumptions!$B$3*Assumptions!$B$9)*NORMSDIST((((LN(Assumptions!$B$2/$B4)+(Assumptions!$B$3-Assumptions!$B$4+(Q$3/100)^2/2)*Assumptions!$B$9)/((Q$3/100)*Assumptions!$B$10))-(Q$3/100)*Assumptions!$B$10))))&lt;=0,"",(Assumptions!$B$2*EXP(-Assumptions!$B$4*Assumptions!$B$9)*NORMDIST(((LN(Assumptions!$B$2/$B4)+(Assumptions!$B$3-Assumptions!$B$4+(Q$3/100)^2/2)*Assumptions!$B$9)/((Q$3/100)*Assumptions!$B$10)),0,1,FALSE)*Assumptions!$B$10*0.01)*0.5/(MAX(0,Assumptions!$B$2*EXP(-Assumptions!$B$4*Assumptions!$B$9)*NORMSDIST(((LN(Assumptions!$B$2/$B4)+(Assumptions!$B$3-Assumptions!$B$4+(Q$3/100)^2/2)*Assumptions!$B$9)/((Q$3/100)*Assumptions!$B$10)))-$B4*EXP(-Assumptions!$B$3*Assumptions!$B$9)*NORMSDIST((((LN(Assumptions!$B$2/$B4)+(Assumptions!$B$3-Assumptions!$B$4+(Q$3/100)^2/2)*Assumptions!$B$9)/((Q$3/100)*Assumptions!$B$10))-(Q$3/100)*Assumptions!$B$10)))))</f>
        <v/>
      </c>
      <c r="R25" s="56">
        <f>IF((MAX(0,Assumptions!$B$2*EXP(-Assumptions!$B$4*Assumptions!$B$9)*NORMSDIST(((LN(Assumptions!$B$2/$B4)+(Assumptions!$B$3-Assumptions!$B$4+(R$3/100)^2/2)*Assumptions!$B$9)/((R$3/100)*Assumptions!$B$10)))-$B4*EXP(-Assumptions!$B$3*Assumptions!$B$9)*NORMSDIST((((LN(Assumptions!$B$2/$B4)+(Assumptions!$B$3-Assumptions!$B$4+(R$3/100)^2/2)*Assumptions!$B$9)/((R$3/100)*Assumptions!$B$10))-(R$3/100)*Assumptions!$B$10))))&lt;=0,"",(Assumptions!$B$2*EXP(-Assumptions!$B$4*Assumptions!$B$9)*NORMDIST(((LN(Assumptions!$B$2/$B4)+(Assumptions!$B$3-Assumptions!$B$4+(R$3/100)^2/2)*Assumptions!$B$9)/((R$3/100)*Assumptions!$B$10)),0,1,FALSE)*Assumptions!$B$10*0.01)*0.5/(MAX(0,Assumptions!$B$2*EXP(-Assumptions!$B$4*Assumptions!$B$9)*NORMSDIST(((LN(Assumptions!$B$2/$B4)+(Assumptions!$B$3-Assumptions!$B$4+(R$3/100)^2/2)*Assumptions!$B$9)/((R$3/100)*Assumptions!$B$10)))-$B4*EXP(-Assumptions!$B$3*Assumptions!$B$9)*NORMSDIST((((LN(Assumptions!$B$2/$B4)+(Assumptions!$B$3-Assumptions!$B$4+(R$3/100)^2/2)*Assumptions!$B$9)/((R$3/100)*Assumptions!$B$10))-(R$3/100)*Assumptions!$B$10)))))</f>
        <v/>
      </c>
      <c r="S25" s="56">
        <f>IF((MAX(0,Assumptions!$B$2*EXP(-Assumptions!$B$4*Assumptions!$B$9)*NORMSDIST(((LN(Assumptions!$B$2/$B4)+(Assumptions!$B$3-Assumptions!$B$4+(S$3/100)^2/2)*Assumptions!$B$9)/((S$3/100)*Assumptions!$B$10)))-$B4*EXP(-Assumptions!$B$3*Assumptions!$B$9)*NORMSDIST((((LN(Assumptions!$B$2/$B4)+(Assumptions!$B$3-Assumptions!$B$4+(S$3/100)^2/2)*Assumptions!$B$9)/((S$3/100)*Assumptions!$B$10))-(S$3/100)*Assumptions!$B$10))))&lt;=0,"",(Assumptions!$B$2*EXP(-Assumptions!$B$4*Assumptions!$B$9)*NORMDIST(((LN(Assumptions!$B$2/$B4)+(Assumptions!$B$3-Assumptions!$B$4+(S$3/100)^2/2)*Assumptions!$B$9)/((S$3/100)*Assumptions!$B$10)),0,1,FALSE)*Assumptions!$B$10*0.01)*0.5/(MAX(0,Assumptions!$B$2*EXP(-Assumptions!$B$4*Assumptions!$B$9)*NORMSDIST(((LN(Assumptions!$B$2/$B4)+(Assumptions!$B$3-Assumptions!$B$4+(S$3/100)^2/2)*Assumptions!$B$9)/((S$3/100)*Assumptions!$B$10)))-$B4*EXP(-Assumptions!$B$3*Assumptions!$B$9)*NORMSDIST((((LN(Assumptions!$B$2/$B4)+(Assumptions!$B$3-Assumptions!$B$4+(S$3/100)^2/2)*Assumptions!$B$9)/((S$3/100)*Assumptions!$B$10))-(S$3/100)*Assumptions!$B$10)))))</f>
        <v/>
      </c>
      <c r="T25" s="56">
        <f>IF((MAX(0,Assumptions!$B$2*EXP(-Assumptions!$B$4*Assumptions!$B$9)*NORMSDIST(((LN(Assumptions!$B$2/$B4)+(Assumptions!$B$3-Assumptions!$B$4+(T$3/100)^2/2)*Assumptions!$B$9)/((T$3/100)*Assumptions!$B$10)))-$B4*EXP(-Assumptions!$B$3*Assumptions!$B$9)*NORMSDIST((((LN(Assumptions!$B$2/$B4)+(Assumptions!$B$3-Assumptions!$B$4+(T$3/100)^2/2)*Assumptions!$B$9)/((T$3/100)*Assumptions!$B$10))-(T$3/100)*Assumptions!$B$10))))&lt;=0,"",(Assumptions!$B$2*EXP(-Assumptions!$B$4*Assumptions!$B$9)*NORMDIST(((LN(Assumptions!$B$2/$B4)+(Assumptions!$B$3-Assumptions!$B$4+(T$3/100)^2/2)*Assumptions!$B$9)/((T$3/100)*Assumptions!$B$10)),0,1,FALSE)*Assumptions!$B$10*0.01)*0.5/(MAX(0,Assumptions!$B$2*EXP(-Assumptions!$B$4*Assumptions!$B$9)*NORMSDIST(((LN(Assumptions!$B$2/$B4)+(Assumptions!$B$3-Assumptions!$B$4+(T$3/100)^2/2)*Assumptions!$B$9)/((T$3/100)*Assumptions!$B$10)))-$B4*EXP(-Assumptions!$B$3*Assumptions!$B$9)*NORMSDIST((((LN(Assumptions!$B$2/$B4)+(Assumptions!$B$3-Assumptions!$B$4+(T$3/100)^2/2)*Assumptions!$B$9)/((T$3/100)*Assumptions!$B$10))-(T$3/100)*Assumptions!$B$10)))))</f>
        <v/>
      </c>
      <c r="U25" s="56">
        <f>IF((MAX(0,Assumptions!$B$2*EXP(-Assumptions!$B$4*Assumptions!$B$9)*NORMSDIST(((LN(Assumptions!$B$2/$B4)+(Assumptions!$B$3-Assumptions!$B$4+(U$3/100)^2/2)*Assumptions!$B$9)/((U$3/100)*Assumptions!$B$10)))-$B4*EXP(-Assumptions!$B$3*Assumptions!$B$9)*NORMSDIST((((LN(Assumptions!$B$2/$B4)+(Assumptions!$B$3-Assumptions!$B$4+(U$3/100)^2/2)*Assumptions!$B$9)/((U$3/100)*Assumptions!$B$10))-(U$3/100)*Assumptions!$B$10))))&lt;=0,"",(Assumptions!$B$2*EXP(-Assumptions!$B$4*Assumptions!$B$9)*NORMDIST(((LN(Assumptions!$B$2/$B4)+(Assumptions!$B$3-Assumptions!$B$4+(U$3/100)^2/2)*Assumptions!$B$9)/((U$3/100)*Assumptions!$B$10)),0,1,FALSE)*Assumptions!$B$10*0.01)*0.5/(MAX(0,Assumptions!$B$2*EXP(-Assumptions!$B$4*Assumptions!$B$9)*NORMSDIST(((LN(Assumptions!$B$2/$B4)+(Assumptions!$B$3-Assumptions!$B$4+(U$3/100)^2/2)*Assumptions!$B$9)/((U$3/100)*Assumptions!$B$10)))-$B4*EXP(-Assumptions!$B$3*Assumptions!$B$9)*NORMSDIST((((LN(Assumptions!$B$2/$B4)+(Assumptions!$B$3-Assumptions!$B$4+(U$3/100)^2/2)*Assumptions!$B$9)/((U$3/100)*Assumptions!$B$10))-(U$3/100)*Assumptions!$B$10)))))</f>
        <v/>
      </c>
      <c r="V25" s="56">
        <f>IF((MAX(0,Assumptions!$B$2*EXP(-Assumptions!$B$4*Assumptions!$B$9)*NORMSDIST(((LN(Assumptions!$B$2/$B4)+(Assumptions!$B$3-Assumptions!$B$4+(V$3/100)^2/2)*Assumptions!$B$9)/((V$3/100)*Assumptions!$B$10)))-$B4*EXP(-Assumptions!$B$3*Assumptions!$B$9)*NORMSDIST((((LN(Assumptions!$B$2/$B4)+(Assumptions!$B$3-Assumptions!$B$4+(V$3/100)^2/2)*Assumptions!$B$9)/((V$3/100)*Assumptions!$B$10))-(V$3/100)*Assumptions!$B$10))))&lt;=0,"",(Assumptions!$B$2*EXP(-Assumptions!$B$4*Assumptions!$B$9)*NORMDIST(((LN(Assumptions!$B$2/$B4)+(Assumptions!$B$3-Assumptions!$B$4+(V$3/100)^2/2)*Assumptions!$B$9)/((V$3/100)*Assumptions!$B$10)),0,1,FALSE)*Assumptions!$B$10*0.01)*0.5/(MAX(0,Assumptions!$B$2*EXP(-Assumptions!$B$4*Assumptions!$B$9)*NORMSDIST(((LN(Assumptions!$B$2/$B4)+(Assumptions!$B$3-Assumptions!$B$4+(V$3/100)^2/2)*Assumptions!$B$9)/((V$3/100)*Assumptions!$B$10)))-$B4*EXP(-Assumptions!$B$3*Assumptions!$B$9)*NORMSDIST((((LN(Assumptions!$B$2/$B4)+(Assumptions!$B$3-Assumptions!$B$4+(V$3/100)^2/2)*Assumptions!$B$9)/((V$3/100)*Assumptions!$B$10))-(V$3/100)*Assumptions!$B$10)))))</f>
        <v/>
      </c>
      <c r="W25" s="56">
        <f>IF((MAX(0,Assumptions!$B$2*EXP(-Assumptions!$B$4*Assumptions!$B$9)*NORMSDIST(((LN(Assumptions!$B$2/$B4)+(Assumptions!$B$3-Assumptions!$B$4+(W$3/100)^2/2)*Assumptions!$B$9)/((W$3/100)*Assumptions!$B$10)))-$B4*EXP(-Assumptions!$B$3*Assumptions!$B$9)*NORMSDIST((((LN(Assumptions!$B$2/$B4)+(Assumptions!$B$3-Assumptions!$B$4+(W$3/100)^2/2)*Assumptions!$B$9)/((W$3/100)*Assumptions!$B$10))-(W$3/100)*Assumptions!$B$10))))&lt;=0,"",(Assumptions!$B$2*EXP(-Assumptions!$B$4*Assumptions!$B$9)*NORMDIST(((LN(Assumptions!$B$2/$B4)+(Assumptions!$B$3-Assumptions!$B$4+(W$3/100)^2/2)*Assumptions!$B$9)/((W$3/100)*Assumptions!$B$10)),0,1,FALSE)*Assumptions!$B$10*0.01)*0.5/(MAX(0,Assumptions!$B$2*EXP(-Assumptions!$B$4*Assumptions!$B$9)*NORMSDIST(((LN(Assumptions!$B$2/$B4)+(Assumptions!$B$3-Assumptions!$B$4+(W$3/100)^2/2)*Assumptions!$B$9)/((W$3/100)*Assumptions!$B$10)))-$B4*EXP(-Assumptions!$B$3*Assumptions!$B$9)*NORMSDIST((((LN(Assumptions!$B$2/$B4)+(Assumptions!$B$3-Assumptions!$B$4+(W$3/100)^2/2)*Assumptions!$B$9)/((W$3/100)*Assumptions!$B$10))-(W$3/100)*Assumptions!$B$10)))))</f>
        <v/>
      </c>
      <c r="X25" s="56">
        <f>IF((MAX(0,Assumptions!$B$2*EXP(-Assumptions!$B$4*Assumptions!$B$9)*NORMSDIST(((LN(Assumptions!$B$2/$B4)+(Assumptions!$B$3-Assumptions!$B$4+(X$3/100)^2/2)*Assumptions!$B$9)/((X$3/100)*Assumptions!$B$10)))-$B4*EXP(-Assumptions!$B$3*Assumptions!$B$9)*NORMSDIST((((LN(Assumptions!$B$2/$B4)+(Assumptions!$B$3-Assumptions!$B$4+(X$3/100)^2/2)*Assumptions!$B$9)/((X$3/100)*Assumptions!$B$10))-(X$3/100)*Assumptions!$B$10))))&lt;=0,"",(Assumptions!$B$2*EXP(-Assumptions!$B$4*Assumptions!$B$9)*NORMDIST(((LN(Assumptions!$B$2/$B4)+(Assumptions!$B$3-Assumptions!$B$4+(X$3/100)^2/2)*Assumptions!$B$9)/((X$3/100)*Assumptions!$B$10)),0,1,FALSE)*Assumptions!$B$10*0.01)*0.5/(MAX(0,Assumptions!$B$2*EXP(-Assumptions!$B$4*Assumptions!$B$9)*NORMSDIST(((LN(Assumptions!$B$2/$B4)+(Assumptions!$B$3-Assumptions!$B$4+(X$3/100)^2/2)*Assumptions!$B$9)/((X$3/100)*Assumptions!$B$10)))-$B4*EXP(-Assumptions!$B$3*Assumptions!$B$9)*NORMSDIST((((LN(Assumptions!$B$2/$B4)+(Assumptions!$B$3-Assumptions!$B$4+(X$3/100)^2/2)*Assumptions!$B$9)/((X$3/100)*Assumptions!$B$10))-(X$3/100)*Assumptions!$B$10)))))</f>
        <v/>
      </c>
      <c r="Y25" s="56">
        <f>IF((MAX(0,Assumptions!$B$2*EXP(-Assumptions!$B$4*Assumptions!$B$9)*NORMSDIST(((LN(Assumptions!$B$2/$B4)+(Assumptions!$B$3-Assumptions!$B$4+(Y$3/100)^2/2)*Assumptions!$B$9)/((Y$3/100)*Assumptions!$B$10)))-$B4*EXP(-Assumptions!$B$3*Assumptions!$B$9)*NORMSDIST((((LN(Assumptions!$B$2/$B4)+(Assumptions!$B$3-Assumptions!$B$4+(Y$3/100)^2/2)*Assumptions!$B$9)/((Y$3/100)*Assumptions!$B$10))-(Y$3/100)*Assumptions!$B$10))))&lt;=0,"",(Assumptions!$B$2*EXP(-Assumptions!$B$4*Assumptions!$B$9)*NORMDIST(((LN(Assumptions!$B$2/$B4)+(Assumptions!$B$3-Assumptions!$B$4+(Y$3/100)^2/2)*Assumptions!$B$9)/((Y$3/100)*Assumptions!$B$10)),0,1,FALSE)*Assumptions!$B$10*0.01)*0.5/(MAX(0,Assumptions!$B$2*EXP(-Assumptions!$B$4*Assumptions!$B$9)*NORMSDIST(((LN(Assumptions!$B$2/$B4)+(Assumptions!$B$3-Assumptions!$B$4+(Y$3/100)^2/2)*Assumptions!$B$9)/((Y$3/100)*Assumptions!$B$10)))-$B4*EXP(-Assumptions!$B$3*Assumptions!$B$9)*NORMSDIST((((LN(Assumptions!$B$2/$B4)+(Assumptions!$B$3-Assumptions!$B$4+(Y$3/100)^2/2)*Assumptions!$B$9)/((Y$3/100)*Assumptions!$B$10))-(Y$3/100)*Assumptions!$B$10)))))</f>
        <v/>
      </c>
      <c r="Z25" s="56">
        <f>IF((MAX(0,Assumptions!$B$2*EXP(-Assumptions!$B$4*Assumptions!$B$9)*NORMSDIST(((LN(Assumptions!$B$2/$B4)+(Assumptions!$B$3-Assumptions!$B$4+(Z$3/100)^2/2)*Assumptions!$B$9)/((Z$3/100)*Assumptions!$B$10)))-$B4*EXP(-Assumptions!$B$3*Assumptions!$B$9)*NORMSDIST((((LN(Assumptions!$B$2/$B4)+(Assumptions!$B$3-Assumptions!$B$4+(Z$3/100)^2/2)*Assumptions!$B$9)/((Z$3/100)*Assumptions!$B$10))-(Z$3/100)*Assumptions!$B$10))))&lt;=0,"",(Assumptions!$B$2*EXP(-Assumptions!$B$4*Assumptions!$B$9)*NORMDIST(((LN(Assumptions!$B$2/$B4)+(Assumptions!$B$3-Assumptions!$B$4+(Z$3/100)^2/2)*Assumptions!$B$9)/((Z$3/100)*Assumptions!$B$10)),0,1,FALSE)*Assumptions!$B$10*0.01)*0.5/(MAX(0,Assumptions!$B$2*EXP(-Assumptions!$B$4*Assumptions!$B$9)*NORMSDIST(((LN(Assumptions!$B$2/$B4)+(Assumptions!$B$3-Assumptions!$B$4+(Z$3/100)^2/2)*Assumptions!$B$9)/((Z$3/100)*Assumptions!$B$10)))-$B4*EXP(-Assumptions!$B$3*Assumptions!$B$9)*NORMSDIST((((LN(Assumptions!$B$2/$B4)+(Assumptions!$B$3-Assumptions!$B$4+(Z$3/100)^2/2)*Assumptions!$B$9)/((Z$3/100)*Assumptions!$B$10))-(Z$3/100)*Assumptions!$B$10)))))</f>
        <v/>
      </c>
      <c r="AA25" s="56">
        <f>IF((MAX(0,Assumptions!$B$2*EXP(-Assumptions!$B$4*Assumptions!$B$9)*NORMSDIST(((LN(Assumptions!$B$2/$B4)+(Assumptions!$B$3-Assumptions!$B$4+(AA$3/100)^2/2)*Assumptions!$B$9)/((AA$3/100)*Assumptions!$B$10)))-$B4*EXP(-Assumptions!$B$3*Assumptions!$B$9)*NORMSDIST((((LN(Assumptions!$B$2/$B4)+(Assumptions!$B$3-Assumptions!$B$4+(AA$3/100)^2/2)*Assumptions!$B$9)/((AA$3/100)*Assumptions!$B$10))-(AA$3/100)*Assumptions!$B$10))))&lt;=0,"",(Assumptions!$B$2*EXP(-Assumptions!$B$4*Assumptions!$B$9)*NORMDIST(((LN(Assumptions!$B$2/$B4)+(Assumptions!$B$3-Assumptions!$B$4+(AA$3/100)^2/2)*Assumptions!$B$9)/((AA$3/100)*Assumptions!$B$10)),0,1,FALSE)*Assumptions!$B$10*0.01)*0.5/(MAX(0,Assumptions!$B$2*EXP(-Assumptions!$B$4*Assumptions!$B$9)*NORMSDIST(((LN(Assumptions!$B$2/$B4)+(Assumptions!$B$3-Assumptions!$B$4+(AA$3/100)^2/2)*Assumptions!$B$9)/((AA$3/100)*Assumptions!$B$10)))-$B4*EXP(-Assumptions!$B$3*Assumptions!$B$9)*NORMSDIST((((LN(Assumptions!$B$2/$B4)+(Assumptions!$B$3-Assumptions!$B$4+(AA$3/100)^2/2)*Assumptions!$B$9)/((AA$3/100)*Assumptions!$B$10))-(AA$3/100)*Assumptions!$B$10)))))</f>
        <v/>
      </c>
      <c r="AB25" s="56">
        <f>IF((MAX(0,Assumptions!$B$2*EXP(-Assumptions!$B$4*Assumptions!$B$9)*NORMSDIST(((LN(Assumptions!$B$2/$B4)+(Assumptions!$B$3-Assumptions!$B$4+(AB$3/100)^2/2)*Assumptions!$B$9)/((AB$3/100)*Assumptions!$B$10)))-$B4*EXP(-Assumptions!$B$3*Assumptions!$B$9)*NORMSDIST((((LN(Assumptions!$B$2/$B4)+(Assumptions!$B$3-Assumptions!$B$4+(AB$3/100)^2/2)*Assumptions!$B$9)/((AB$3/100)*Assumptions!$B$10))-(AB$3/100)*Assumptions!$B$10))))&lt;=0,"",(Assumptions!$B$2*EXP(-Assumptions!$B$4*Assumptions!$B$9)*NORMDIST(((LN(Assumptions!$B$2/$B4)+(Assumptions!$B$3-Assumptions!$B$4+(AB$3/100)^2/2)*Assumptions!$B$9)/((AB$3/100)*Assumptions!$B$10)),0,1,FALSE)*Assumptions!$B$10*0.01)*0.5/(MAX(0,Assumptions!$B$2*EXP(-Assumptions!$B$4*Assumptions!$B$9)*NORMSDIST(((LN(Assumptions!$B$2/$B4)+(Assumptions!$B$3-Assumptions!$B$4+(AB$3/100)^2/2)*Assumptions!$B$9)/((AB$3/100)*Assumptions!$B$10)))-$B4*EXP(-Assumptions!$B$3*Assumptions!$B$9)*NORMSDIST((((LN(Assumptions!$B$2/$B4)+(Assumptions!$B$3-Assumptions!$B$4+(AB$3/100)^2/2)*Assumptions!$B$9)/((AB$3/100)*Assumptions!$B$10))-(AB$3/100)*Assumptions!$B$10)))))</f>
        <v/>
      </c>
      <c r="AC25" s="56">
        <f>IF((MAX(0,Assumptions!$B$2*EXP(-Assumptions!$B$4*Assumptions!$B$9)*NORMSDIST(((LN(Assumptions!$B$2/$B4)+(Assumptions!$B$3-Assumptions!$B$4+(AC$3/100)^2/2)*Assumptions!$B$9)/((AC$3/100)*Assumptions!$B$10)))-$B4*EXP(-Assumptions!$B$3*Assumptions!$B$9)*NORMSDIST((((LN(Assumptions!$B$2/$B4)+(Assumptions!$B$3-Assumptions!$B$4+(AC$3/100)^2/2)*Assumptions!$B$9)/((AC$3/100)*Assumptions!$B$10))-(AC$3/100)*Assumptions!$B$10))))&lt;=0,"",(Assumptions!$B$2*EXP(-Assumptions!$B$4*Assumptions!$B$9)*NORMDIST(((LN(Assumptions!$B$2/$B4)+(Assumptions!$B$3-Assumptions!$B$4+(AC$3/100)^2/2)*Assumptions!$B$9)/((AC$3/100)*Assumptions!$B$10)),0,1,FALSE)*Assumptions!$B$10*0.01)*0.5/(MAX(0,Assumptions!$B$2*EXP(-Assumptions!$B$4*Assumptions!$B$9)*NORMSDIST(((LN(Assumptions!$B$2/$B4)+(Assumptions!$B$3-Assumptions!$B$4+(AC$3/100)^2/2)*Assumptions!$B$9)/((AC$3/100)*Assumptions!$B$10)))-$B4*EXP(-Assumptions!$B$3*Assumptions!$B$9)*NORMSDIST((((LN(Assumptions!$B$2/$B4)+(Assumptions!$B$3-Assumptions!$B$4+(AC$3/100)^2/2)*Assumptions!$B$9)/((AC$3/100)*Assumptions!$B$10))-(AC$3/100)*Assumptions!$B$10)))))</f>
        <v/>
      </c>
      <c r="AD25" s="56">
        <f>IF((MAX(0,Assumptions!$B$2*EXP(-Assumptions!$B$4*Assumptions!$B$9)*NORMSDIST(((LN(Assumptions!$B$2/$B4)+(Assumptions!$B$3-Assumptions!$B$4+(AD$3/100)^2/2)*Assumptions!$B$9)/((AD$3/100)*Assumptions!$B$10)))-$B4*EXP(-Assumptions!$B$3*Assumptions!$B$9)*NORMSDIST((((LN(Assumptions!$B$2/$B4)+(Assumptions!$B$3-Assumptions!$B$4+(AD$3/100)^2/2)*Assumptions!$B$9)/((AD$3/100)*Assumptions!$B$10))-(AD$3/100)*Assumptions!$B$10))))&lt;=0,"",(Assumptions!$B$2*EXP(-Assumptions!$B$4*Assumptions!$B$9)*NORMDIST(((LN(Assumptions!$B$2/$B4)+(Assumptions!$B$3-Assumptions!$B$4+(AD$3/100)^2/2)*Assumptions!$B$9)/((AD$3/100)*Assumptions!$B$10)),0,1,FALSE)*Assumptions!$B$10*0.01)*0.5/(MAX(0,Assumptions!$B$2*EXP(-Assumptions!$B$4*Assumptions!$B$9)*NORMSDIST(((LN(Assumptions!$B$2/$B4)+(Assumptions!$B$3-Assumptions!$B$4+(AD$3/100)^2/2)*Assumptions!$B$9)/((AD$3/100)*Assumptions!$B$10)))-$B4*EXP(-Assumptions!$B$3*Assumptions!$B$9)*NORMSDIST((((LN(Assumptions!$B$2/$B4)+(Assumptions!$B$3-Assumptions!$B$4+(AD$3/100)^2/2)*Assumptions!$B$9)/((AD$3/100)*Assumptions!$B$10))-(AD$3/100)*Assumptions!$B$10)))))</f>
        <v/>
      </c>
      <c r="AE25" s="56">
        <f>IF((MAX(0,Assumptions!$B$2*EXP(-Assumptions!$B$4*Assumptions!$B$9)*NORMSDIST(((LN(Assumptions!$B$2/$B4)+(Assumptions!$B$3-Assumptions!$B$4+(AE$3/100)^2/2)*Assumptions!$B$9)/((AE$3/100)*Assumptions!$B$10)))-$B4*EXP(-Assumptions!$B$3*Assumptions!$B$9)*NORMSDIST((((LN(Assumptions!$B$2/$B4)+(Assumptions!$B$3-Assumptions!$B$4+(AE$3/100)^2/2)*Assumptions!$B$9)/((AE$3/100)*Assumptions!$B$10))-(AE$3/100)*Assumptions!$B$10))))&lt;=0,"",(Assumptions!$B$2*EXP(-Assumptions!$B$4*Assumptions!$B$9)*NORMDIST(((LN(Assumptions!$B$2/$B4)+(Assumptions!$B$3-Assumptions!$B$4+(AE$3/100)^2/2)*Assumptions!$B$9)/((AE$3/100)*Assumptions!$B$10)),0,1,FALSE)*Assumptions!$B$10*0.01)*0.5/(MAX(0,Assumptions!$B$2*EXP(-Assumptions!$B$4*Assumptions!$B$9)*NORMSDIST(((LN(Assumptions!$B$2/$B4)+(Assumptions!$B$3-Assumptions!$B$4+(AE$3/100)^2/2)*Assumptions!$B$9)/((AE$3/100)*Assumptions!$B$10)))-$B4*EXP(-Assumptions!$B$3*Assumptions!$B$9)*NORMSDIST((((LN(Assumptions!$B$2/$B4)+(Assumptions!$B$3-Assumptions!$B$4+(AE$3/100)^2/2)*Assumptions!$B$9)/((AE$3/100)*Assumptions!$B$10))-(AE$3/100)*Assumptions!$B$10)))))</f>
        <v/>
      </c>
      <c r="AF25" s="56">
        <f>IF((MAX(0,Assumptions!$B$2*EXP(-Assumptions!$B$4*Assumptions!$B$9)*NORMSDIST(((LN(Assumptions!$B$2/$B4)+(Assumptions!$B$3-Assumptions!$B$4+(AF$3/100)^2/2)*Assumptions!$B$9)/((AF$3/100)*Assumptions!$B$10)))-$B4*EXP(-Assumptions!$B$3*Assumptions!$B$9)*NORMSDIST((((LN(Assumptions!$B$2/$B4)+(Assumptions!$B$3-Assumptions!$B$4+(AF$3/100)^2/2)*Assumptions!$B$9)/((AF$3/100)*Assumptions!$B$10))-(AF$3/100)*Assumptions!$B$10))))&lt;=0,"",(Assumptions!$B$2*EXP(-Assumptions!$B$4*Assumptions!$B$9)*NORMDIST(((LN(Assumptions!$B$2/$B4)+(Assumptions!$B$3-Assumptions!$B$4+(AF$3/100)^2/2)*Assumptions!$B$9)/((AF$3/100)*Assumptions!$B$10)),0,1,FALSE)*Assumptions!$B$10*0.01)*0.5/(MAX(0,Assumptions!$B$2*EXP(-Assumptions!$B$4*Assumptions!$B$9)*NORMSDIST(((LN(Assumptions!$B$2/$B4)+(Assumptions!$B$3-Assumptions!$B$4+(AF$3/100)^2/2)*Assumptions!$B$9)/((AF$3/100)*Assumptions!$B$10)))-$B4*EXP(-Assumptions!$B$3*Assumptions!$B$9)*NORMSDIST((((LN(Assumptions!$B$2/$B4)+(Assumptions!$B$3-Assumptions!$B$4+(AF$3/100)^2/2)*Assumptions!$B$9)/((AF$3/100)*Assumptions!$B$10))-(AF$3/100)*Assumptions!$B$10)))))</f>
        <v/>
      </c>
      <c r="AG25" s="56">
        <f>IF((MAX(0,Assumptions!$B$2*EXP(-Assumptions!$B$4*Assumptions!$B$9)*NORMSDIST(((LN(Assumptions!$B$2/$B4)+(Assumptions!$B$3-Assumptions!$B$4+(AG$3/100)^2/2)*Assumptions!$B$9)/((AG$3/100)*Assumptions!$B$10)))-$B4*EXP(-Assumptions!$B$3*Assumptions!$B$9)*NORMSDIST((((LN(Assumptions!$B$2/$B4)+(Assumptions!$B$3-Assumptions!$B$4+(AG$3/100)^2/2)*Assumptions!$B$9)/((AG$3/100)*Assumptions!$B$10))-(AG$3/100)*Assumptions!$B$10))))&lt;=0,"",(Assumptions!$B$2*EXP(-Assumptions!$B$4*Assumptions!$B$9)*NORMDIST(((LN(Assumptions!$B$2/$B4)+(Assumptions!$B$3-Assumptions!$B$4+(AG$3/100)^2/2)*Assumptions!$B$9)/((AG$3/100)*Assumptions!$B$10)),0,1,FALSE)*Assumptions!$B$10*0.01)*0.5/(MAX(0,Assumptions!$B$2*EXP(-Assumptions!$B$4*Assumptions!$B$9)*NORMSDIST(((LN(Assumptions!$B$2/$B4)+(Assumptions!$B$3-Assumptions!$B$4+(AG$3/100)^2/2)*Assumptions!$B$9)/((AG$3/100)*Assumptions!$B$10)))-$B4*EXP(-Assumptions!$B$3*Assumptions!$B$9)*NORMSDIST((((LN(Assumptions!$B$2/$B4)+(Assumptions!$B$3-Assumptions!$B$4+(AG$3/100)^2/2)*Assumptions!$B$9)/((AG$3/100)*Assumptions!$B$10))-(AG$3/100)*Assumptions!$B$10)))))</f>
        <v/>
      </c>
      <c r="AH25" s="56">
        <f>IF((MAX(0,Assumptions!$B$2*EXP(-Assumptions!$B$4*Assumptions!$B$9)*NORMSDIST(((LN(Assumptions!$B$2/$B4)+(Assumptions!$B$3-Assumptions!$B$4+(AH$3/100)^2/2)*Assumptions!$B$9)/((AH$3/100)*Assumptions!$B$10)))-$B4*EXP(-Assumptions!$B$3*Assumptions!$B$9)*NORMSDIST((((LN(Assumptions!$B$2/$B4)+(Assumptions!$B$3-Assumptions!$B$4+(AH$3/100)^2/2)*Assumptions!$B$9)/((AH$3/100)*Assumptions!$B$10))-(AH$3/100)*Assumptions!$B$10))))&lt;=0,"",(Assumptions!$B$2*EXP(-Assumptions!$B$4*Assumptions!$B$9)*NORMDIST(((LN(Assumptions!$B$2/$B4)+(Assumptions!$B$3-Assumptions!$B$4+(AH$3/100)^2/2)*Assumptions!$B$9)/((AH$3/100)*Assumptions!$B$10)),0,1,FALSE)*Assumptions!$B$10*0.01)*0.5/(MAX(0,Assumptions!$B$2*EXP(-Assumptions!$B$4*Assumptions!$B$9)*NORMSDIST(((LN(Assumptions!$B$2/$B4)+(Assumptions!$B$3-Assumptions!$B$4+(AH$3/100)^2/2)*Assumptions!$B$9)/((AH$3/100)*Assumptions!$B$10)))-$B4*EXP(-Assumptions!$B$3*Assumptions!$B$9)*NORMSDIST((((LN(Assumptions!$B$2/$B4)+(Assumptions!$B$3-Assumptions!$B$4+(AH$3/100)^2/2)*Assumptions!$B$9)/((AH$3/100)*Assumptions!$B$10))-(AH$3/100)*Assumptions!$B$10)))))</f>
        <v/>
      </c>
      <c r="AI25" s="56">
        <f>IF((MAX(0,Assumptions!$B$2*EXP(-Assumptions!$B$4*Assumptions!$B$9)*NORMSDIST(((LN(Assumptions!$B$2/$B4)+(Assumptions!$B$3-Assumptions!$B$4+(AI$3/100)^2/2)*Assumptions!$B$9)/((AI$3/100)*Assumptions!$B$10)))-$B4*EXP(-Assumptions!$B$3*Assumptions!$B$9)*NORMSDIST((((LN(Assumptions!$B$2/$B4)+(Assumptions!$B$3-Assumptions!$B$4+(AI$3/100)^2/2)*Assumptions!$B$9)/((AI$3/100)*Assumptions!$B$10))-(AI$3/100)*Assumptions!$B$10))))&lt;=0,"",(Assumptions!$B$2*EXP(-Assumptions!$B$4*Assumptions!$B$9)*NORMDIST(((LN(Assumptions!$B$2/$B4)+(Assumptions!$B$3-Assumptions!$B$4+(AI$3/100)^2/2)*Assumptions!$B$9)/((AI$3/100)*Assumptions!$B$10)),0,1,FALSE)*Assumptions!$B$10*0.01)*0.5/(MAX(0,Assumptions!$B$2*EXP(-Assumptions!$B$4*Assumptions!$B$9)*NORMSDIST(((LN(Assumptions!$B$2/$B4)+(Assumptions!$B$3-Assumptions!$B$4+(AI$3/100)^2/2)*Assumptions!$B$9)/((AI$3/100)*Assumptions!$B$10)))-$B4*EXP(-Assumptions!$B$3*Assumptions!$B$9)*NORMSDIST((((LN(Assumptions!$B$2/$B4)+(Assumptions!$B$3-Assumptions!$B$4+(AI$3/100)^2/2)*Assumptions!$B$9)/((AI$3/100)*Assumptions!$B$10))-(AI$3/100)*Assumptions!$B$10)))))</f>
        <v/>
      </c>
      <c r="AJ25" s="56">
        <f>IF((MAX(0,Assumptions!$B$2*EXP(-Assumptions!$B$4*Assumptions!$B$9)*NORMSDIST(((LN(Assumptions!$B$2/$B4)+(Assumptions!$B$3-Assumptions!$B$4+(AJ$3/100)^2/2)*Assumptions!$B$9)/((AJ$3/100)*Assumptions!$B$10)))-$B4*EXP(-Assumptions!$B$3*Assumptions!$B$9)*NORMSDIST((((LN(Assumptions!$B$2/$B4)+(Assumptions!$B$3-Assumptions!$B$4+(AJ$3/100)^2/2)*Assumptions!$B$9)/((AJ$3/100)*Assumptions!$B$10))-(AJ$3/100)*Assumptions!$B$10))))&lt;=0,"",(Assumptions!$B$2*EXP(-Assumptions!$B$4*Assumptions!$B$9)*NORMDIST(((LN(Assumptions!$B$2/$B4)+(Assumptions!$B$3-Assumptions!$B$4+(AJ$3/100)^2/2)*Assumptions!$B$9)/((AJ$3/100)*Assumptions!$B$10)),0,1,FALSE)*Assumptions!$B$10*0.01)*0.5/(MAX(0,Assumptions!$B$2*EXP(-Assumptions!$B$4*Assumptions!$B$9)*NORMSDIST(((LN(Assumptions!$B$2/$B4)+(Assumptions!$B$3-Assumptions!$B$4+(AJ$3/100)^2/2)*Assumptions!$B$9)/((AJ$3/100)*Assumptions!$B$10)))-$B4*EXP(-Assumptions!$B$3*Assumptions!$B$9)*NORMSDIST((((LN(Assumptions!$B$2/$B4)+(Assumptions!$B$3-Assumptions!$B$4+(AJ$3/100)^2/2)*Assumptions!$B$9)/((AJ$3/100)*Assumptions!$B$10))-(AJ$3/100)*Assumptions!$B$10)))))</f>
        <v/>
      </c>
      <c r="AK25" s="56">
        <f>IF((MAX(0,Assumptions!$B$2*EXP(-Assumptions!$B$4*Assumptions!$B$9)*NORMSDIST(((LN(Assumptions!$B$2/$B4)+(Assumptions!$B$3-Assumptions!$B$4+(AK$3/100)^2/2)*Assumptions!$B$9)/((AK$3/100)*Assumptions!$B$10)))-$B4*EXP(-Assumptions!$B$3*Assumptions!$B$9)*NORMSDIST((((LN(Assumptions!$B$2/$B4)+(Assumptions!$B$3-Assumptions!$B$4+(AK$3/100)^2/2)*Assumptions!$B$9)/((AK$3/100)*Assumptions!$B$10))-(AK$3/100)*Assumptions!$B$10))))&lt;=0,"",(Assumptions!$B$2*EXP(-Assumptions!$B$4*Assumptions!$B$9)*NORMDIST(((LN(Assumptions!$B$2/$B4)+(Assumptions!$B$3-Assumptions!$B$4+(AK$3/100)^2/2)*Assumptions!$B$9)/((AK$3/100)*Assumptions!$B$10)),0,1,FALSE)*Assumptions!$B$10*0.01)*0.5/(MAX(0,Assumptions!$B$2*EXP(-Assumptions!$B$4*Assumptions!$B$9)*NORMSDIST(((LN(Assumptions!$B$2/$B4)+(Assumptions!$B$3-Assumptions!$B$4+(AK$3/100)^2/2)*Assumptions!$B$9)/((AK$3/100)*Assumptions!$B$10)))-$B4*EXP(-Assumptions!$B$3*Assumptions!$B$9)*NORMSDIST((((LN(Assumptions!$B$2/$B4)+(Assumptions!$B$3-Assumptions!$B$4+(AK$3/100)^2/2)*Assumptions!$B$9)/((AK$3/100)*Assumptions!$B$10))-(AK$3/100)*Assumptions!$B$10)))))</f>
        <v/>
      </c>
      <c r="AL25" s="56">
        <f>IF((MAX(0,Assumptions!$B$2*EXP(-Assumptions!$B$4*Assumptions!$B$9)*NORMSDIST(((LN(Assumptions!$B$2/$B4)+(Assumptions!$B$3-Assumptions!$B$4+(AL$3/100)^2/2)*Assumptions!$B$9)/((AL$3/100)*Assumptions!$B$10)))-$B4*EXP(-Assumptions!$B$3*Assumptions!$B$9)*NORMSDIST((((LN(Assumptions!$B$2/$B4)+(Assumptions!$B$3-Assumptions!$B$4+(AL$3/100)^2/2)*Assumptions!$B$9)/((AL$3/100)*Assumptions!$B$10))-(AL$3/100)*Assumptions!$B$10))))&lt;=0,"",(Assumptions!$B$2*EXP(-Assumptions!$B$4*Assumptions!$B$9)*NORMDIST(((LN(Assumptions!$B$2/$B4)+(Assumptions!$B$3-Assumptions!$B$4+(AL$3/100)^2/2)*Assumptions!$B$9)/((AL$3/100)*Assumptions!$B$10)),0,1,FALSE)*Assumptions!$B$10*0.01)*0.5/(MAX(0,Assumptions!$B$2*EXP(-Assumptions!$B$4*Assumptions!$B$9)*NORMSDIST(((LN(Assumptions!$B$2/$B4)+(Assumptions!$B$3-Assumptions!$B$4+(AL$3/100)^2/2)*Assumptions!$B$9)/((AL$3/100)*Assumptions!$B$10)))-$B4*EXP(-Assumptions!$B$3*Assumptions!$B$9)*NORMSDIST((((LN(Assumptions!$B$2/$B4)+(Assumptions!$B$3-Assumptions!$B$4+(AL$3/100)^2/2)*Assumptions!$B$9)/((AL$3/100)*Assumptions!$B$10))-(AL$3/100)*Assumptions!$B$10)))))</f>
        <v/>
      </c>
      <c r="AM25" s="56">
        <f>IF((MAX(0,Assumptions!$B$2*EXP(-Assumptions!$B$4*Assumptions!$B$9)*NORMSDIST(((LN(Assumptions!$B$2/$B4)+(Assumptions!$B$3-Assumptions!$B$4+(AM$3/100)^2/2)*Assumptions!$B$9)/((AM$3/100)*Assumptions!$B$10)))-$B4*EXP(-Assumptions!$B$3*Assumptions!$B$9)*NORMSDIST((((LN(Assumptions!$B$2/$B4)+(Assumptions!$B$3-Assumptions!$B$4+(AM$3/100)^2/2)*Assumptions!$B$9)/((AM$3/100)*Assumptions!$B$10))-(AM$3/100)*Assumptions!$B$10))))&lt;=0,"",(Assumptions!$B$2*EXP(-Assumptions!$B$4*Assumptions!$B$9)*NORMDIST(((LN(Assumptions!$B$2/$B4)+(Assumptions!$B$3-Assumptions!$B$4+(AM$3/100)^2/2)*Assumptions!$B$9)/((AM$3/100)*Assumptions!$B$10)),0,1,FALSE)*Assumptions!$B$10*0.01)*0.5/(MAX(0,Assumptions!$B$2*EXP(-Assumptions!$B$4*Assumptions!$B$9)*NORMSDIST(((LN(Assumptions!$B$2/$B4)+(Assumptions!$B$3-Assumptions!$B$4+(AM$3/100)^2/2)*Assumptions!$B$9)/((AM$3/100)*Assumptions!$B$10)))-$B4*EXP(-Assumptions!$B$3*Assumptions!$B$9)*NORMSDIST((((LN(Assumptions!$B$2/$B4)+(Assumptions!$B$3-Assumptions!$B$4+(AM$3/100)^2/2)*Assumptions!$B$9)/((AM$3/100)*Assumptions!$B$10))-(AM$3/100)*Assumptions!$B$10)))))</f>
        <v/>
      </c>
      <c r="AN25" s="56">
        <f>IF((MAX(0,Assumptions!$B$2*EXP(-Assumptions!$B$4*Assumptions!$B$9)*NORMSDIST(((LN(Assumptions!$B$2/$B4)+(Assumptions!$B$3-Assumptions!$B$4+(AN$3/100)^2/2)*Assumptions!$B$9)/((AN$3/100)*Assumptions!$B$10)))-$B4*EXP(-Assumptions!$B$3*Assumptions!$B$9)*NORMSDIST((((LN(Assumptions!$B$2/$B4)+(Assumptions!$B$3-Assumptions!$B$4+(AN$3/100)^2/2)*Assumptions!$B$9)/((AN$3/100)*Assumptions!$B$10))-(AN$3/100)*Assumptions!$B$10))))&lt;=0,"",(Assumptions!$B$2*EXP(-Assumptions!$B$4*Assumptions!$B$9)*NORMDIST(((LN(Assumptions!$B$2/$B4)+(Assumptions!$B$3-Assumptions!$B$4+(AN$3/100)^2/2)*Assumptions!$B$9)/((AN$3/100)*Assumptions!$B$10)),0,1,FALSE)*Assumptions!$B$10*0.01)*0.5/(MAX(0,Assumptions!$B$2*EXP(-Assumptions!$B$4*Assumptions!$B$9)*NORMSDIST(((LN(Assumptions!$B$2/$B4)+(Assumptions!$B$3-Assumptions!$B$4+(AN$3/100)^2/2)*Assumptions!$B$9)/((AN$3/100)*Assumptions!$B$10)))-$B4*EXP(-Assumptions!$B$3*Assumptions!$B$9)*NORMSDIST((((LN(Assumptions!$B$2/$B4)+(Assumptions!$B$3-Assumptions!$B$4+(AN$3/100)^2/2)*Assumptions!$B$9)/((AN$3/100)*Assumptions!$B$10))-(AN$3/100)*Assumptions!$B$10)))))</f>
        <v/>
      </c>
      <c r="AO25" s="56">
        <f>IF((MAX(0,Assumptions!$B$2*EXP(-Assumptions!$B$4*Assumptions!$B$9)*NORMSDIST(((LN(Assumptions!$B$2/$B4)+(Assumptions!$B$3-Assumptions!$B$4+(AO$3/100)^2/2)*Assumptions!$B$9)/((AO$3/100)*Assumptions!$B$10)))-$B4*EXP(-Assumptions!$B$3*Assumptions!$B$9)*NORMSDIST((((LN(Assumptions!$B$2/$B4)+(Assumptions!$B$3-Assumptions!$B$4+(AO$3/100)^2/2)*Assumptions!$B$9)/((AO$3/100)*Assumptions!$B$10))-(AO$3/100)*Assumptions!$B$10))))&lt;=0,"",(Assumptions!$B$2*EXP(-Assumptions!$B$4*Assumptions!$B$9)*NORMDIST(((LN(Assumptions!$B$2/$B4)+(Assumptions!$B$3-Assumptions!$B$4+(AO$3/100)^2/2)*Assumptions!$B$9)/((AO$3/100)*Assumptions!$B$10)),0,1,FALSE)*Assumptions!$B$10*0.01)*0.5/(MAX(0,Assumptions!$B$2*EXP(-Assumptions!$B$4*Assumptions!$B$9)*NORMSDIST(((LN(Assumptions!$B$2/$B4)+(Assumptions!$B$3-Assumptions!$B$4+(AO$3/100)^2/2)*Assumptions!$B$9)/((AO$3/100)*Assumptions!$B$10)))-$B4*EXP(-Assumptions!$B$3*Assumptions!$B$9)*NORMSDIST((((LN(Assumptions!$B$2/$B4)+(Assumptions!$B$3-Assumptions!$B$4+(AO$3/100)^2/2)*Assumptions!$B$9)/((AO$3/100)*Assumptions!$B$10))-(AO$3/100)*Assumptions!$B$10)))))</f>
        <v/>
      </c>
      <c r="AP25" s="56">
        <f>IF((MAX(0,Assumptions!$B$2*EXP(-Assumptions!$B$4*Assumptions!$B$9)*NORMSDIST(((LN(Assumptions!$B$2/$B4)+(Assumptions!$B$3-Assumptions!$B$4+(AP$3/100)^2/2)*Assumptions!$B$9)/((AP$3/100)*Assumptions!$B$10)))-$B4*EXP(-Assumptions!$B$3*Assumptions!$B$9)*NORMSDIST((((LN(Assumptions!$B$2/$B4)+(Assumptions!$B$3-Assumptions!$B$4+(AP$3/100)^2/2)*Assumptions!$B$9)/((AP$3/100)*Assumptions!$B$10))-(AP$3/100)*Assumptions!$B$10))))&lt;=0,"",(Assumptions!$B$2*EXP(-Assumptions!$B$4*Assumptions!$B$9)*NORMDIST(((LN(Assumptions!$B$2/$B4)+(Assumptions!$B$3-Assumptions!$B$4+(AP$3/100)^2/2)*Assumptions!$B$9)/((AP$3/100)*Assumptions!$B$10)),0,1,FALSE)*Assumptions!$B$10*0.01)*0.5/(MAX(0,Assumptions!$B$2*EXP(-Assumptions!$B$4*Assumptions!$B$9)*NORMSDIST(((LN(Assumptions!$B$2/$B4)+(Assumptions!$B$3-Assumptions!$B$4+(AP$3/100)^2/2)*Assumptions!$B$9)/((AP$3/100)*Assumptions!$B$10)))-$B4*EXP(-Assumptions!$B$3*Assumptions!$B$9)*NORMSDIST((((LN(Assumptions!$B$2/$B4)+(Assumptions!$B$3-Assumptions!$B$4+(AP$3/100)^2/2)*Assumptions!$B$9)/((AP$3/100)*Assumptions!$B$10))-(AP$3/100)*Assumptions!$B$10)))))</f>
        <v/>
      </c>
      <c r="AQ25" s="56">
        <f>IF((MAX(0,Assumptions!$B$2*EXP(-Assumptions!$B$4*Assumptions!$B$9)*NORMSDIST(((LN(Assumptions!$B$2/$B4)+(Assumptions!$B$3-Assumptions!$B$4+(AQ$3/100)^2/2)*Assumptions!$B$9)/((AQ$3/100)*Assumptions!$B$10)))-$B4*EXP(-Assumptions!$B$3*Assumptions!$B$9)*NORMSDIST((((LN(Assumptions!$B$2/$B4)+(Assumptions!$B$3-Assumptions!$B$4+(AQ$3/100)^2/2)*Assumptions!$B$9)/((AQ$3/100)*Assumptions!$B$10))-(AQ$3/100)*Assumptions!$B$10))))&lt;=0,"",(Assumptions!$B$2*EXP(-Assumptions!$B$4*Assumptions!$B$9)*NORMDIST(((LN(Assumptions!$B$2/$B4)+(Assumptions!$B$3-Assumptions!$B$4+(AQ$3/100)^2/2)*Assumptions!$B$9)/((AQ$3/100)*Assumptions!$B$10)),0,1,FALSE)*Assumptions!$B$10*0.01)*0.5/(MAX(0,Assumptions!$B$2*EXP(-Assumptions!$B$4*Assumptions!$B$9)*NORMSDIST(((LN(Assumptions!$B$2/$B4)+(Assumptions!$B$3-Assumptions!$B$4+(AQ$3/100)^2/2)*Assumptions!$B$9)/((AQ$3/100)*Assumptions!$B$10)))-$B4*EXP(-Assumptions!$B$3*Assumptions!$B$9)*NORMSDIST((((LN(Assumptions!$B$2/$B4)+(Assumptions!$B$3-Assumptions!$B$4+(AQ$3/100)^2/2)*Assumptions!$B$9)/((AQ$3/100)*Assumptions!$B$10))-(AQ$3/100)*Assumptions!$B$10)))))</f>
        <v/>
      </c>
      <c r="AR25" s="56">
        <f>IF((MAX(0,Assumptions!$B$2*EXP(-Assumptions!$B$4*Assumptions!$B$9)*NORMSDIST(((LN(Assumptions!$B$2/$B4)+(Assumptions!$B$3-Assumptions!$B$4+(AR$3/100)^2/2)*Assumptions!$B$9)/((AR$3/100)*Assumptions!$B$10)))-$B4*EXP(-Assumptions!$B$3*Assumptions!$B$9)*NORMSDIST((((LN(Assumptions!$B$2/$B4)+(Assumptions!$B$3-Assumptions!$B$4+(AR$3/100)^2/2)*Assumptions!$B$9)/((AR$3/100)*Assumptions!$B$10))-(AR$3/100)*Assumptions!$B$10))))&lt;=0,"",(Assumptions!$B$2*EXP(-Assumptions!$B$4*Assumptions!$B$9)*NORMDIST(((LN(Assumptions!$B$2/$B4)+(Assumptions!$B$3-Assumptions!$B$4+(AR$3/100)^2/2)*Assumptions!$B$9)/((AR$3/100)*Assumptions!$B$10)),0,1,FALSE)*Assumptions!$B$10*0.01)*0.5/(MAX(0,Assumptions!$B$2*EXP(-Assumptions!$B$4*Assumptions!$B$9)*NORMSDIST(((LN(Assumptions!$B$2/$B4)+(Assumptions!$B$3-Assumptions!$B$4+(AR$3/100)^2/2)*Assumptions!$B$9)/((AR$3/100)*Assumptions!$B$10)))-$B4*EXP(-Assumptions!$B$3*Assumptions!$B$9)*NORMSDIST((((LN(Assumptions!$B$2/$B4)+(Assumptions!$B$3-Assumptions!$B$4+(AR$3/100)^2/2)*Assumptions!$B$9)/((AR$3/100)*Assumptions!$B$10))-(AR$3/100)*Assumptions!$B$10)))))</f>
        <v/>
      </c>
      <c r="AS25" s="56">
        <f>IF((MAX(0,Assumptions!$B$2*EXP(-Assumptions!$B$4*Assumptions!$B$9)*NORMSDIST(((LN(Assumptions!$B$2/$B4)+(Assumptions!$B$3-Assumptions!$B$4+(AS$3/100)^2/2)*Assumptions!$B$9)/((AS$3/100)*Assumptions!$B$10)))-$B4*EXP(-Assumptions!$B$3*Assumptions!$B$9)*NORMSDIST((((LN(Assumptions!$B$2/$B4)+(Assumptions!$B$3-Assumptions!$B$4+(AS$3/100)^2/2)*Assumptions!$B$9)/((AS$3/100)*Assumptions!$B$10))-(AS$3/100)*Assumptions!$B$10))))&lt;=0,"",(Assumptions!$B$2*EXP(-Assumptions!$B$4*Assumptions!$B$9)*NORMDIST(((LN(Assumptions!$B$2/$B4)+(Assumptions!$B$3-Assumptions!$B$4+(AS$3/100)^2/2)*Assumptions!$B$9)/((AS$3/100)*Assumptions!$B$10)),0,1,FALSE)*Assumptions!$B$10*0.01)*0.5/(MAX(0,Assumptions!$B$2*EXP(-Assumptions!$B$4*Assumptions!$B$9)*NORMSDIST(((LN(Assumptions!$B$2/$B4)+(Assumptions!$B$3-Assumptions!$B$4+(AS$3/100)^2/2)*Assumptions!$B$9)/((AS$3/100)*Assumptions!$B$10)))-$B4*EXP(-Assumptions!$B$3*Assumptions!$B$9)*NORMSDIST((((LN(Assumptions!$B$2/$B4)+(Assumptions!$B$3-Assumptions!$B$4+(AS$3/100)^2/2)*Assumptions!$B$9)/((AS$3/100)*Assumptions!$B$10))-(AS$3/100)*Assumptions!$B$10)))))</f>
        <v/>
      </c>
      <c r="AT25" s="56">
        <f>IF((MAX(0,Assumptions!$B$2*EXP(-Assumptions!$B$4*Assumptions!$B$9)*NORMSDIST(((LN(Assumptions!$B$2/$B4)+(Assumptions!$B$3-Assumptions!$B$4+(AT$3/100)^2/2)*Assumptions!$B$9)/((AT$3/100)*Assumptions!$B$10)))-$B4*EXP(-Assumptions!$B$3*Assumptions!$B$9)*NORMSDIST((((LN(Assumptions!$B$2/$B4)+(Assumptions!$B$3-Assumptions!$B$4+(AT$3/100)^2/2)*Assumptions!$B$9)/((AT$3/100)*Assumptions!$B$10))-(AT$3/100)*Assumptions!$B$10))))&lt;=0,"",(Assumptions!$B$2*EXP(-Assumptions!$B$4*Assumptions!$B$9)*NORMDIST(((LN(Assumptions!$B$2/$B4)+(Assumptions!$B$3-Assumptions!$B$4+(AT$3/100)^2/2)*Assumptions!$B$9)/((AT$3/100)*Assumptions!$B$10)),0,1,FALSE)*Assumptions!$B$10*0.01)*0.5/(MAX(0,Assumptions!$B$2*EXP(-Assumptions!$B$4*Assumptions!$B$9)*NORMSDIST(((LN(Assumptions!$B$2/$B4)+(Assumptions!$B$3-Assumptions!$B$4+(AT$3/100)^2/2)*Assumptions!$B$9)/((AT$3/100)*Assumptions!$B$10)))-$B4*EXP(-Assumptions!$B$3*Assumptions!$B$9)*NORMSDIST((((LN(Assumptions!$B$2/$B4)+(Assumptions!$B$3-Assumptions!$B$4+(AT$3/100)^2/2)*Assumptions!$B$9)/((AT$3/100)*Assumptions!$B$10))-(AT$3/100)*Assumptions!$B$10)))))</f>
        <v/>
      </c>
      <c r="AU25" s="56">
        <f>IF((MAX(0,Assumptions!$B$2*EXP(-Assumptions!$B$4*Assumptions!$B$9)*NORMSDIST(((LN(Assumptions!$B$2/$B4)+(Assumptions!$B$3-Assumptions!$B$4+(AU$3/100)^2/2)*Assumptions!$B$9)/((AU$3/100)*Assumptions!$B$10)))-$B4*EXP(-Assumptions!$B$3*Assumptions!$B$9)*NORMSDIST((((LN(Assumptions!$B$2/$B4)+(Assumptions!$B$3-Assumptions!$B$4+(AU$3/100)^2/2)*Assumptions!$B$9)/((AU$3/100)*Assumptions!$B$10))-(AU$3/100)*Assumptions!$B$10))))&lt;=0,"",(Assumptions!$B$2*EXP(-Assumptions!$B$4*Assumptions!$B$9)*NORMDIST(((LN(Assumptions!$B$2/$B4)+(Assumptions!$B$3-Assumptions!$B$4+(AU$3/100)^2/2)*Assumptions!$B$9)/((AU$3/100)*Assumptions!$B$10)),0,1,FALSE)*Assumptions!$B$10*0.01)*0.5/(MAX(0,Assumptions!$B$2*EXP(-Assumptions!$B$4*Assumptions!$B$9)*NORMSDIST(((LN(Assumptions!$B$2/$B4)+(Assumptions!$B$3-Assumptions!$B$4+(AU$3/100)^2/2)*Assumptions!$B$9)/((AU$3/100)*Assumptions!$B$10)))-$B4*EXP(-Assumptions!$B$3*Assumptions!$B$9)*NORMSDIST((((LN(Assumptions!$B$2/$B4)+(Assumptions!$B$3-Assumptions!$B$4+(AU$3/100)^2/2)*Assumptions!$B$9)/((AU$3/100)*Assumptions!$B$10))-(AU$3/100)*Assumptions!$B$10)))))</f>
        <v/>
      </c>
      <c r="AV25" s="56">
        <f>IF((MAX(0,Assumptions!$B$2*EXP(-Assumptions!$B$4*Assumptions!$B$9)*NORMSDIST(((LN(Assumptions!$B$2/$B4)+(Assumptions!$B$3-Assumptions!$B$4+(AV$3/100)^2/2)*Assumptions!$B$9)/((AV$3/100)*Assumptions!$B$10)))-$B4*EXP(-Assumptions!$B$3*Assumptions!$B$9)*NORMSDIST((((LN(Assumptions!$B$2/$B4)+(Assumptions!$B$3-Assumptions!$B$4+(AV$3/100)^2/2)*Assumptions!$B$9)/((AV$3/100)*Assumptions!$B$10))-(AV$3/100)*Assumptions!$B$10))))&lt;=0,"",(Assumptions!$B$2*EXP(-Assumptions!$B$4*Assumptions!$B$9)*NORMDIST(((LN(Assumptions!$B$2/$B4)+(Assumptions!$B$3-Assumptions!$B$4+(AV$3/100)^2/2)*Assumptions!$B$9)/((AV$3/100)*Assumptions!$B$10)),0,1,FALSE)*Assumptions!$B$10*0.01)*0.5/(MAX(0,Assumptions!$B$2*EXP(-Assumptions!$B$4*Assumptions!$B$9)*NORMSDIST(((LN(Assumptions!$B$2/$B4)+(Assumptions!$B$3-Assumptions!$B$4+(AV$3/100)^2/2)*Assumptions!$B$9)/((AV$3/100)*Assumptions!$B$10)))-$B4*EXP(-Assumptions!$B$3*Assumptions!$B$9)*NORMSDIST((((LN(Assumptions!$B$2/$B4)+(Assumptions!$B$3-Assumptions!$B$4+(AV$3/100)^2/2)*Assumptions!$B$9)/((AV$3/100)*Assumptions!$B$10))-(AV$3/100)*Assumptions!$B$10)))))</f>
        <v/>
      </c>
    </row>
    <row r="26">
      <c r="A26" s="27" t="inlineStr">
        <is>
          <t>-1.75%</t>
        </is>
      </c>
      <c r="B26" s="47">
        <f>'BS Engine'!$B$3</f>
        <v/>
      </c>
      <c r="C26" s="28">
        <f>'BS Engine'!$C$3</f>
        <v/>
      </c>
      <c r="D26" s="55">
        <f>IF((MAX(0,Assumptions!$B$2*EXP(-Assumptions!$B$4*Assumptions!$B$9)*NORMSDIST(((LN(Assumptions!$B$2/$B5)+(Assumptions!$B$3-Assumptions!$B$4+(D$3/100)^2/2)*Assumptions!$B$9)/((D$3/100)*Assumptions!$B$10)))-$B5*EXP(-Assumptions!$B$3*Assumptions!$B$9)*NORMSDIST((((LN(Assumptions!$B$2/$B5)+(Assumptions!$B$3-Assumptions!$B$4+(D$3/100)^2/2)*Assumptions!$B$9)/((D$3/100)*Assumptions!$B$10))-(D$3/100)*Assumptions!$B$10))))&lt;=0,"",(Assumptions!$B$2*EXP(-Assumptions!$B$4*Assumptions!$B$9)*NORMDIST(((LN(Assumptions!$B$2/$B5)+(Assumptions!$B$3-Assumptions!$B$4+(D$3/100)^2/2)*Assumptions!$B$9)/((D$3/100)*Assumptions!$B$10)),0,1,FALSE)*Assumptions!$B$10*0.01)*0.5/(MAX(0,Assumptions!$B$2*EXP(-Assumptions!$B$4*Assumptions!$B$9)*NORMSDIST(((LN(Assumptions!$B$2/$B5)+(Assumptions!$B$3-Assumptions!$B$4+(D$3/100)^2/2)*Assumptions!$B$9)/((D$3/100)*Assumptions!$B$10)))-$B5*EXP(-Assumptions!$B$3*Assumptions!$B$9)*NORMSDIST((((LN(Assumptions!$B$2/$B5)+(Assumptions!$B$3-Assumptions!$B$4+(D$3/100)^2/2)*Assumptions!$B$9)/((D$3/100)*Assumptions!$B$10))-(D$3/100)*Assumptions!$B$10)))))</f>
        <v/>
      </c>
      <c r="E26" s="56">
        <f>IF((MAX(0,Assumptions!$B$2*EXP(-Assumptions!$B$4*Assumptions!$B$9)*NORMSDIST(((LN(Assumptions!$B$2/$B5)+(Assumptions!$B$3-Assumptions!$B$4+(E$3/100)^2/2)*Assumptions!$B$9)/((E$3/100)*Assumptions!$B$10)))-$B5*EXP(-Assumptions!$B$3*Assumptions!$B$9)*NORMSDIST((((LN(Assumptions!$B$2/$B5)+(Assumptions!$B$3-Assumptions!$B$4+(E$3/100)^2/2)*Assumptions!$B$9)/((E$3/100)*Assumptions!$B$10))-(E$3/100)*Assumptions!$B$10))))&lt;=0,"",(Assumptions!$B$2*EXP(-Assumptions!$B$4*Assumptions!$B$9)*NORMDIST(((LN(Assumptions!$B$2/$B5)+(Assumptions!$B$3-Assumptions!$B$4+(E$3/100)^2/2)*Assumptions!$B$9)/((E$3/100)*Assumptions!$B$10)),0,1,FALSE)*Assumptions!$B$10*0.01)*0.5/(MAX(0,Assumptions!$B$2*EXP(-Assumptions!$B$4*Assumptions!$B$9)*NORMSDIST(((LN(Assumptions!$B$2/$B5)+(Assumptions!$B$3-Assumptions!$B$4+(E$3/100)^2/2)*Assumptions!$B$9)/((E$3/100)*Assumptions!$B$10)))-$B5*EXP(-Assumptions!$B$3*Assumptions!$B$9)*NORMSDIST((((LN(Assumptions!$B$2/$B5)+(Assumptions!$B$3-Assumptions!$B$4+(E$3/100)^2/2)*Assumptions!$B$9)/((E$3/100)*Assumptions!$B$10))-(E$3/100)*Assumptions!$B$10)))))</f>
        <v/>
      </c>
      <c r="F26" s="56">
        <f>IF((MAX(0,Assumptions!$B$2*EXP(-Assumptions!$B$4*Assumptions!$B$9)*NORMSDIST(((LN(Assumptions!$B$2/$B5)+(Assumptions!$B$3-Assumptions!$B$4+(F$3/100)^2/2)*Assumptions!$B$9)/((F$3/100)*Assumptions!$B$10)))-$B5*EXP(-Assumptions!$B$3*Assumptions!$B$9)*NORMSDIST((((LN(Assumptions!$B$2/$B5)+(Assumptions!$B$3-Assumptions!$B$4+(F$3/100)^2/2)*Assumptions!$B$9)/((F$3/100)*Assumptions!$B$10))-(F$3/100)*Assumptions!$B$10))))&lt;=0,"",(Assumptions!$B$2*EXP(-Assumptions!$B$4*Assumptions!$B$9)*NORMDIST(((LN(Assumptions!$B$2/$B5)+(Assumptions!$B$3-Assumptions!$B$4+(F$3/100)^2/2)*Assumptions!$B$9)/((F$3/100)*Assumptions!$B$10)),0,1,FALSE)*Assumptions!$B$10*0.01)*0.5/(MAX(0,Assumptions!$B$2*EXP(-Assumptions!$B$4*Assumptions!$B$9)*NORMSDIST(((LN(Assumptions!$B$2/$B5)+(Assumptions!$B$3-Assumptions!$B$4+(F$3/100)^2/2)*Assumptions!$B$9)/((F$3/100)*Assumptions!$B$10)))-$B5*EXP(-Assumptions!$B$3*Assumptions!$B$9)*NORMSDIST((((LN(Assumptions!$B$2/$B5)+(Assumptions!$B$3-Assumptions!$B$4+(F$3/100)^2/2)*Assumptions!$B$9)/((F$3/100)*Assumptions!$B$10))-(F$3/100)*Assumptions!$B$10)))))</f>
        <v/>
      </c>
      <c r="G26" s="56">
        <f>IF((MAX(0,Assumptions!$B$2*EXP(-Assumptions!$B$4*Assumptions!$B$9)*NORMSDIST(((LN(Assumptions!$B$2/$B5)+(Assumptions!$B$3-Assumptions!$B$4+(G$3/100)^2/2)*Assumptions!$B$9)/((G$3/100)*Assumptions!$B$10)))-$B5*EXP(-Assumptions!$B$3*Assumptions!$B$9)*NORMSDIST((((LN(Assumptions!$B$2/$B5)+(Assumptions!$B$3-Assumptions!$B$4+(G$3/100)^2/2)*Assumptions!$B$9)/((G$3/100)*Assumptions!$B$10))-(G$3/100)*Assumptions!$B$10))))&lt;=0,"",(Assumptions!$B$2*EXP(-Assumptions!$B$4*Assumptions!$B$9)*NORMDIST(((LN(Assumptions!$B$2/$B5)+(Assumptions!$B$3-Assumptions!$B$4+(G$3/100)^2/2)*Assumptions!$B$9)/((G$3/100)*Assumptions!$B$10)),0,1,FALSE)*Assumptions!$B$10*0.01)*0.5/(MAX(0,Assumptions!$B$2*EXP(-Assumptions!$B$4*Assumptions!$B$9)*NORMSDIST(((LN(Assumptions!$B$2/$B5)+(Assumptions!$B$3-Assumptions!$B$4+(G$3/100)^2/2)*Assumptions!$B$9)/((G$3/100)*Assumptions!$B$10)))-$B5*EXP(-Assumptions!$B$3*Assumptions!$B$9)*NORMSDIST((((LN(Assumptions!$B$2/$B5)+(Assumptions!$B$3-Assumptions!$B$4+(G$3/100)^2/2)*Assumptions!$B$9)/((G$3/100)*Assumptions!$B$10))-(G$3/100)*Assumptions!$B$10)))))</f>
        <v/>
      </c>
      <c r="H26" s="56">
        <f>IF((MAX(0,Assumptions!$B$2*EXP(-Assumptions!$B$4*Assumptions!$B$9)*NORMSDIST(((LN(Assumptions!$B$2/$B5)+(Assumptions!$B$3-Assumptions!$B$4+(H$3/100)^2/2)*Assumptions!$B$9)/((H$3/100)*Assumptions!$B$10)))-$B5*EXP(-Assumptions!$B$3*Assumptions!$B$9)*NORMSDIST((((LN(Assumptions!$B$2/$B5)+(Assumptions!$B$3-Assumptions!$B$4+(H$3/100)^2/2)*Assumptions!$B$9)/((H$3/100)*Assumptions!$B$10))-(H$3/100)*Assumptions!$B$10))))&lt;=0,"",(Assumptions!$B$2*EXP(-Assumptions!$B$4*Assumptions!$B$9)*NORMDIST(((LN(Assumptions!$B$2/$B5)+(Assumptions!$B$3-Assumptions!$B$4+(H$3/100)^2/2)*Assumptions!$B$9)/((H$3/100)*Assumptions!$B$10)),0,1,FALSE)*Assumptions!$B$10*0.01)*0.5/(MAX(0,Assumptions!$B$2*EXP(-Assumptions!$B$4*Assumptions!$B$9)*NORMSDIST(((LN(Assumptions!$B$2/$B5)+(Assumptions!$B$3-Assumptions!$B$4+(H$3/100)^2/2)*Assumptions!$B$9)/((H$3/100)*Assumptions!$B$10)))-$B5*EXP(-Assumptions!$B$3*Assumptions!$B$9)*NORMSDIST((((LN(Assumptions!$B$2/$B5)+(Assumptions!$B$3-Assumptions!$B$4+(H$3/100)^2/2)*Assumptions!$B$9)/((H$3/100)*Assumptions!$B$10))-(H$3/100)*Assumptions!$B$10)))))</f>
        <v/>
      </c>
      <c r="I26" s="56">
        <f>IF((MAX(0,Assumptions!$B$2*EXP(-Assumptions!$B$4*Assumptions!$B$9)*NORMSDIST(((LN(Assumptions!$B$2/$B5)+(Assumptions!$B$3-Assumptions!$B$4+(I$3/100)^2/2)*Assumptions!$B$9)/((I$3/100)*Assumptions!$B$10)))-$B5*EXP(-Assumptions!$B$3*Assumptions!$B$9)*NORMSDIST((((LN(Assumptions!$B$2/$B5)+(Assumptions!$B$3-Assumptions!$B$4+(I$3/100)^2/2)*Assumptions!$B$9)/((I$3/100)*Assumptions!$B$10))-(I$3/100)*Assumptions!$B$10))))&lt;=0,"",(Assumptions!$B$2*EXP(-Assumptions!$B$4*Assumptions!$B$9)*NORMDIST(((LN(Assumptions!$B$2/$B5)+(Assumptions!$B$3-Assumptions!$B$4+(I$3/100)^2/2)*Assumptions!$B$9)/((I$3/100)*Assumptions!$B$10)),0,1,FALSE)*Assumptions!$B$10*0.01)*0.5/(MAX(0,Assumptions!$B$2*EXP(-Assumptions!$B$4*Assumptions!$B$9)*NORMSDIST(((LN(Assumptions!$B$2/$B5)+(Assumptions!$B$3-Assumptions!$B$4+(I$3/100)^2/2)*Assumptions!$B$9)/((I$3/100)*Assumptions!$B$10)))-$B5*EXP(-Assumptions!$B$3*Assumptions!$B$9)*NORMSDIST((((LN(Assumptions!$B$2/$B5)+(Assumptions!$B$3-Assumptions!$B$4+(I$3/100)^2/2)*Assumptions!$B$9)/((I$3/100)*Assumptions!$B$10))-(I$3/100)*Assumptions!$B$10)))))</f>
        <v/>
      </c>
      <c r="J26" s="56">
        <f>IF((MAX(0,Assumptions!$B$2*EXP(-Assumptions!$B$4*Assumptions!$B$9)*NORMSDIST(((LN(Assumptions!$B$2/$B5)+(Assumptions!$B$3-Assumptions!$B$4+(J$3/100)^2/2)*Assumptions!$B$9)/((J$3/100)*Assumptions!$B$10)))-$B5*EXP(-Assumptions!$B$3*Assumptions!$B$9)*NORMSDIST((((LN(Assumptions!$B$2/$B5)+(Assumptions!$B$3-Assumptions!$B$4+(J$3/100)^2/2)*Assumptions!$B$9)/((J$3/100)*Assumptions!$B$10))-(J$3/100)*Assumptions!$B$10))))&lt;=0,"",(Assumptions!$B$2*EXP(-Assumptions!$B$4*Assumptions!$B$9)*NORMDIST(((LN(Assumptions!$B$2/$B5)+(Assumptions!$B$3-Assumptions!$B$4+(J$3/100)^2/2)*Assumptions!$B$9)/((J$3/100)*Assumptions!$B$10)),0,1,FALSE)*Assumptions!$B$10*0.01)*0.5/(MAX(0,Assumptions!$B$2*EXP(-Assumptions!$B$4*Assumptions!$B$9)*NORMSDIST(((LN(Assumptions!$B$2/$B5)+(Assumptions!$B$3-Assumptions!$B$4+(J$3/100)^2/2)*Assumptions!$B$9)/((J$3/100)*Assumptions!$B$10)))-$B5*EXP(-Assumptions!$B$3*Assumptions!$B$9)*NORMSDIST((((LN(Assumptions!$B$2/$B5)+(Assumptions!$B$3-Assumptions!$B$4+(J$3/100)^2/2)*Assumptions!$B$9)/((J$3/100)*Assumptions!$B$10))-(J$3/100)*Assumptions!$B$10)))))</f>
        <v/>
      </c>
      <c r="K26" s="56">
        <f>IF((MAX(0,Assumptions!$B$2*EXP(-Assumptions!$B$4*Assumptions!$B$9)*NORMSDIST(((LN(Assumptions!$B$2/$B5)+(Assumptions!$B$3-Assumptions!$B$4+(K$3/100)^2/2)*Assumptions!$B$9)/((K$3/100)*Assumptions!$B$10)))-$B5*EXP(-Assumptions!$B$3*Assumptions!$B$9)*NORMSDIST((((LN(Assumptions!$B$2/$B5)+(Assumptions!$B$3-Assumptions!$B$4+(K$3/100)^2/2)*Assumptions!$B$9)/((K$3/100)*Assumptions!$B$10))-(K$3/100)*Assumptions!$B$10))))&lt;=0,"",(Assumptions!$B$2*EXP(-Assumptions!$B$4*Assumptions!$B$9)*NORMDIST(((LN(Assumptions!$B$2/$B5)+(Assumptions!$B$3-Assumptions!$B$4+(K$3/100)^2/2)*Assumptions!$B$9)/((K$3/100)*Assumptions!$B$10)),0,1,FALSE)*Assumptions!$B$10*0.01)*0.5/(MAX(0,Assumptions!$B$2*EXP(-Assumptions!$B$4*Assumptions!$B$9)*NORMSDIST(((LN(Assumptions!$B$2/$B5)+(Assumptions!$B$3-Assumptions!$B$4+(K$3/100)^2/2)*Assumptions!$B$9)/((K$3/100)*Assumptions!$B$10)))-$B5*EXP(-Assumptions!$B$3*Assumptions!$B$9)*NORMSDIST((((LN(Assumptions!$B$2/$B5)+(Assumptions!$B$3-Assumptions!$B$4+(K$3/100)^2/2)*Assumptions!$B$9)/((K$3/100)*Assumptions!$B$10))-(K$3/100)*Assumptions!$B$10)))))</f>
        <v/>
      </c>
      <c r="L26" s="56">
        <f>IF((MAX(0,Assumptions!$B$2*EXP(-Assumptions!$B$4*Assumptions!$B$9)*NORMSDIST(((LN(Assumptions!$B$2/$B5)+(Assumptions!$B$3-Assumptions!$B$4+(L$3/100)^2/2)*Assumptions!$B$9)/((L$3/100)*Assumptions!$B$10)))-$B5*EXP(-Assumptions!$B$3*Assumptions!$B$9)*NORMSDIST((((LN(Assumptions!$B$2/$B5)+(Assumptions!$B$3-Assumptions!$B$4+(L$3/100)^2/2)*Assumptions!$B$9)/((L$3/100)*Assumptions!$B$10))-(L$3/100)*Assumptions!$B$10))))&lt;=0,"",(Assumptions!$B$2*EXP(-Assumptions!$B$4*Assumptions!$B$9)*NORMDIST(((LN(Assumptions!$B$2/$B5)+(Assumptions!$B$3-Assumptions!$B$4+(L$3/100)^2/2)*Assumptions!$B$9)/((L$3/100)*Assumptions!$B$10)),0,1,FALSE)*Assumptions!$B$10*0.01)*0.5/(MAX(0,Assumptions!$B$2*EXP(-Assumptions!$B$4*Assumptions!$B$9)*NORMSDIST(((LN(Assumptions!$B$2/$B5)+(Assumptions!$B$3-Assumptions!$B$4+(L$3/100)^2/2)*Assumptions!$B$9)/((L$3/100)*Assumptions!$B$10)))-$B5*EXP(-Assumptions!$B$3*Assumptions!$B$9)*NORMSDIST((((LN(Assumptions!$B$2/$B5)+(Assumptions!$B$3-Assumptions!$B$4+(L$3/100)^2/2)*Assumptions!$B$9)/((L$3/100)*Assumptions!$B$10))-(L$3/100)*Assumptions!$B$10)))))</f>
        <v/>
      </c>
      <c r="M26" s="56">
        <f>IF((MAX(0,Assumptions!$B$2*EXP(-Assumptions!$B$4*Assumptions!$B$9)*NORMSDIST(((LN(Assumptions!$B$2/$B5)+(Assumptions!$B$3-Assumptions!$B$4+(M$3/100)^2/2)*Assumptions!$B$9)/((M$3/100)*Assumptions!$B$10)))-$B5*EXP(-Assumptions!$B$3*Assumptions!$B$9)*NORMSDIST((((LN(Assumptions!$B$2/$B5)+(Assumptions!$B$3-Assumptions!$B$4+(M$3/100)^2/2)*Assumptions!$B$9)/((M$3/100)*Assumptions!$B$10))-(M$3/100)*Assumptions!$B$10))))&lt;=0,"",(Assumptions!$B$2*EXP(-Assumptions!$B$4*Assumptions!$B$9)*NORMDIST(((LN(Assumptions!$B$2/$B5)+(Assumptions!$B$3-Assumptions!$B$4+(M$3/100)^2/2)*Assumptions!$B$9)/((M$3/100)*Assumptions!$B$10)),0,1,FALSE)*Assumptions!$B$10*0.01)*0.5/(MAX(0,Assumptions!$B$2*EXP(-Assumptions!$B$4*Assumptions!$B$9)*NORMSDIST(((LN(Assumptions!$B$2/$B5)+(Assumptions!$B$3-Assumptions!$B$4+(M$3/100)^2/2)*Assumptions!$B$9)/((M$3/100)*Assumptions!$B$10)))-$B5*EXP(-Assumptions!$B$3*Assumptions!$B$9)*NORMSDIST((((LN(Assumptions!$B$2/$B5)+(Assumptions!$B$3-Assumptions!$B$4+(M$3/100)^2/2)*Assumptions!$B$9)/((M$3/100)*Assumptions!$B$10))-(M$3/100)*Assumptions!$B$10)))))</f>
        <v/>
      </c>
      <c r="N26" s="56">
        <f>IF((MAX(0,Assumptions!$B$2*EXP(-Assumptions!$B$4*Assumptions!$B$9)*NORMSDIST(((LN(Assumptions!$B$2/$B5)+(Assumptions!$B$3-Assumptions!$B$4+(N$3/100)^2/2)*Assumptions!$B$9)/((N$3/100)*Assumptions!$B$10)))-$B5*EXP(-Assumptions!$B$3*Assumptions!$B$9)*NORMSDIST((((LN(Assumptions!$B$2/$B5)+(Assumptions!$B$3-Assumptions!$B$4+(N$3/100)^2/2)*Assumptions!$B$9)/((N$3/100)*Assumptions!$B$10))-(N$3/100)*Assumptions!$B$10))))&lt;=0,"",(Assumptions!$B$2*EXP(-Assumptions!$B$4*Assumptions!$B$9)*NORMDIST(((LN(Assumptions!$B$2/$B5)+(Assumptions!$B$3-Assumptions!$B$4+(N$3/100)^2/2)*Assumptions!$B$9)/((N$3/100)*Assumptions!$B$10)),0,1,FALSE)*Assumptions!$B$10*0.01)*0.5/(MAX(0,Assumptions!$B$2*EXP(-Assumptions!$B$4*Assumptions!$B$9)*NORMSDIST(((LN(Assumptions!$B$2/$B5)+(Assumptions!$B$3-Assumptions!$B$4+(N$3/100)^2/2)*Assumptions!$B$9)/((N$3/100)*Assumptions!$B$10)))-$B5*EXP(-Assumptions!$B$3*Assumptions!$B$9)*NORMSDIST((((LN(Assumptions!$B$2/$B5)+(Assumptions!$B$3-Assumptions!$B$4+(N$3/100)^2/2)*Assumptions!$B$9)/((N$3/100)*Assumptions!$B$10))-(N$3/100)*Assumptions!$B$10)))))</f>
        <v/>
      </c>
      <c r="O26" s="56">
        <f>IF((MAX(0,Assumptions!$B$2*EXP(-Assumptions!$B$4*Assumptions!$B$9)*NORMSDIST(((LN(Assumptions!$B$2/$B5)+(Assumptions!$B$3-Assumptions!$B$4+(O$3/100)^2/2)*Assumptions!$B$9)/((O$3/100)*Assumptions!$B$10)))-$B5*EXP(-Assumptions!$B$3*Assumptions!$B$9)*NORMSDIST((((LN(Assumptions!$B$2/$B5)+(Assumptions!$B$3-Assumptions!$B$4+(O$3/100)^2/2)*Assumptions!$B$9)/((O$3/100)*Assumptions!$B$10))-(O$3/100)*Assumptions!$B$10))))&lt;=0,"",(Assumptions!$B$2*EXP(-Assumptions!$B$4*Assumptions!$B$9)*NORMDIST(((LN(Assumptions!$B$2/$B5)+(Assumptions!$B$3-Assumptions!$B$4+(O$3/100)^2/2)*Assumptions!$B$9)/((O$3/100)*Assumptions!$B$10)),0,1,FALSE)*Assumptions!$B$10*0.01)*0.5/(MAX(0,Assumptions!$B$2*EXP(-Assumptions!$B$4*Assumptions!$B$9)*NORMSDIST(((LN(Assumptions!$B$2/$B5)+(Assumptions!$B$3-Assumptions!$B$4+(O$3/100)^2/2)*Assumptions!$B$9)/((O$3/100)*Assumptions!$B$10)))-$B5*EXP(-Assumptions!$B$3*Assumptions!$B$9)*NORMSDIST((((LN(Assumptions!$B$2/$B5)+(Assumptions!$B$3-Assumptions!$B$4+(O$3/100)^2/2)*Assumptions!$B$9)/((O$3/100)*Assumptions!$B$10))-(O$3/100)*Assumptions!$B$10)))))</f>
        <v/>
      </c>
      <c r="P26" s="56">
        <f>IF((MAX(0,Assumptions!$B$2*EXP(-Assumptions!$B$4*Assumptions!$B$9)*NORMSDIST(((LN(Assumptions!$B$2/$B5)+(Assumptions!$B$3-Assumptions!$B$4+(P$3/100)^2/2)*Assumptions!$B$9)/((P$3/100)*Assumptions!$B$10)))-$B5*EXP(-Assumptions!$B$3*Assumptions!$B$9)*NORMSDIST((((LN(Assumptions!$B$2/$B5)+(Assumptions!$B$3-Assumptions!$B$4+(P$3/100)^2/2)*Assumptions!$B$9)/((P$3/100)*Assumptions!$B$10))-(P$3/100)*Assumptions!$B$10))))&lt;=0,"",(Assumptions!$B$2*EXP(-Assumptions!$B$4*Assumptions!$B$9)*NORMDIST(((LN(Assumptions!$B$2/$B5)+(Assumptions!$B$3-Assumptions!$B$4+(P$3/100)^2/2)*Assumptions!$B$9)/((P$3/100)*Assumptions!$B$10)),0,1,FALSE)*Assumptions!$B$10*0.01)*0.5/(MAX(0,Assumptions!$B$2*EXP(-Assumptions!$B$4*Assumptions!$B$9)*NORMSDIST(((LN(Assumptions!$B$2/$B5)+(Assumptions!$B$3-Assumptions!$B$4+(P$3/100)^2/2)*Assumptions!$B$9)/((P$3/100)*Assumptions!$B$10)))-$B5*EXP(-Assumptions!$B$3*Assumptions!$B$9)*NORMSDIST((((LN(Assumptions!$B$2/$B5)+(Assumptions!$B$3-Assumptions!$B$4+(P$3/100)^2/2)*Assumptions!$B$9)/((P$3/100)*Assumptions!$B$10))-(P$3/100)*Assumptions!$B$10)))))</f>
        <v/>
      </c>
      <c r="Q26" s="56">
        <f>IF((MAX(0,Assumptions!$B$2*EXP(-Assumptions!$B$4*Assumptions!$B$9)*NORMSDIST(((LN(Assumptions!$B$2/$B5)+(Assumptions!$B$3-Assumptions!$B$4+(Q$3/100)^2/2)*Assumptions!$B$9)/((Q$3/100)*Assumptions!$B$10)))-$B5*EXP(-Assumptions!$B$3*Assumptions!$B$9)*NORMSDIST((((LN(Assumptions!$B$2/$B5)+(Assumptions!$B$3-Assumptions!$B$4+(Q$3/100)^2/2)*Assumptions!$B$9)/((Q$3/100)*Assumptions!$B$10))-(Q$3/100)*Assumptions!$B$10))))&lt;=0,"",(Assumptions!$B$2*EXP(-Assumptions!$B$4*Assumptions!$B$9)*NORMDIST(((LN(Assumptions!$B$2/$B5)+(Assumptions!$B$3-Assumptions!$B$4+(Q$3/100)^2/2)*Assumptions!$B$9)/((Q$3/100)*Assumptions!$B$10)),0,1,FALSE)*Assumptions!$B$10*0.01)*0.5/(MAX(0,Assumptions!$B$2*EXP(-Assumptions!$B$4*Assumptions!$B$9)*NORMSDIST(((LN(Assumptions!$B$2/$B5)+(Assumptions!$B$3-Assumptions!$B$4+(Q$3/100)^2/2)*Assumptions!$B$9)/((Q$3/100)*Assumptions!$B$10)))-$B5*EXP(-Assumptions!$B$3*Assumptions!$B$9)*NORMSDIST((((LN(Assumptions!$B$2/$B5)+(Assumptions!$B$3-Assumptions!$B$4+(Q$3/100)^2/2)*Assumptions!$B$9)/((Q$3/100)*Assumptions!$B$10))-(Q$3/100)*Assumptions!$B$10)))))</f>
        <v/>
      </c>
      <c r="R26" s="56">
        <f>IF((MAX(0,Assumptions!$B$2*EXP(-Assumptions!$B$4*Assumptions!$B$9)*NORMSDIST(((LN(Assumptions!$B$2/$B5)+(Assumptions!$B$3-Assumptions!$B$4+(R$3/100)^2/2)*Assumptions!$B$9)/((R$3/100)*Assumptions!$B$10)))-$B5*EXP(-Assumptions!$B$3*Assumptions!$B$9)*NORMSDIST((((LN(Assumptions!$B$2/$B5)+(Assumptions!$B$3-Assumptions!$B$4+(R$3/100)^2/2)*Assumptions!$B$9)/((R$3/100)*Assumptions!$B$10))-(R$3/100)*Assumptions!$B$10))))&lt;=0,"",(Assumptions!$B$2*EXP(-Assumptions!$B$4*Assumptions!$B$9)*NORMDIST(((LN(Assumptions!$B$2/$B5)+(Assumptions!$B$3-Assumptions!$B$4+(R$3/100)^2/2)*Assumptions!$B$9)/((R$3/100)*Assumptions!$B$10)),0,1,FALSE)*Assumptions!$B$10*0.01)*0.5/(MAX(0,Assumptions!$B$2*EXP(-Assumptions!$B$4*Assumptions!$B$9)*NORMSDIST(((LN(Assumptions!$B$2/$B5)+(Assumptions!$B$3-Assumptions!$B$4+(R$3/100)^2/2)*Assumptions!$B$9)/((R$3/100)*Assumptions!$B$10)))-$B5*EXP(-Assumptions!$B$3*Assumptions!$B$9)*NORMSDIST((((LN(Assumptions!$B$2/$B5)+(Assumptions!$B$3-Assumptions!$B$4+(R$3/100)^2/2)*Assumptions!$B$9)/((R$3/100)*Assumptions!$B$10))-(R$3/100)*Assumptions!$B$10)))))</f>
        <v/>
      </c>
      <c r="S26" s="56">
        <f>IF((MAX(0,Assumptions!$B$2*EXP(-Assumptions!$B$4*Assumptions!$B$9)*NORMSDIST(((LN(Assumptions!$B$2/$B5)+(Assumptions!$B$3-Assumptions!$B$4+(S$3/100)^2/2)*Assumptions!$B$9)/((S$3/100)*Assumptions!$B$10)))-$B5*EXP(-Assumptions!$B$3*Assumptions!$B$9)*NORMSDIST((((LN(Assumptions!$B$2/$B5)+(Assumptions!$B$3-Assumptions!$B$4+(S$3/100)^2/2)*Assumptions!$B$9)/((S$3/100)*Assumptions!$B$10))-(S$3/100)*Assumptions!$B$10))))&lt;=0,"",(Assumptions!$B$2*EXP(-Assumptions!$B$4*Assumptions!$B$9)*NORMDIST(((LN(Assumptions!$B$2/$B5)+(Assumptions!$B$3-Assumptions!$B$4+(S$3/100)^2/2)*Assumptions!$B$9)/((S$3/100)*Assumptions!$B$10)),0,1,FALSE)*Assumptions!$B$10*0.01)*0.5/(MAX(0,Assumptions!$B$2*EXP(-Assumptions!$B$4*Assumptions!$B$9)*NORMSDIST(((LN(Assumptions!$B$2/$B5)+(Assumptions!$B$3-Assumptions!$B$4+(S$3/100)^2/2)*Assumptions!$B$9)/((S$3/100)*Assumptions!$B$10)))-$B5*EXP(-Assumptions!$B$3*Assumptions!$B$9)*NORMSDIST((((LN(Assumptions!$B$2/$B5)+(Assumptions!$B$3-Assumptions!$B$4+(S$3/100)^2/2)*Assumptions!$B$9)/((S$3/100)*Assumptions!$B$10))-(S$3/100)*Assumptions!$B$10)))))</f>
        <v/>
      </c>
      <c r="T26" s="56">
        <f>IF((MAX(0,Assumptions!$B$2*EXP(-Assumptions!$B$4*Assumptions!$B$9)*NORMSDIST(((LN(Assumptions!$B$2/$B5)+(Assumptions!$B$3-Assumptions!$B$4+(T$3/100)^2/2)*Assumptions!$B$9)/((T$3/100)*Assumptions!$B$10)))-$B5*EXP(-Assumptions!$B$3*Assumptions!$B$9)*NORMSDIST((((LN(Assumptions!$B$2/$B5)+(Assumptions!$B$3-Assumptions!$B$4+(T$3/100)^2/2)*Assumptions!$B$9)/((T$3/100)*Assumptions!$B$10))-(T$3/100)*Assumptions!$B$10))))&lt;=0,"",(Assumptions!$B$2*EXP(-Assumptions!$B$4*Assumptions!$B$9)*NORMDIST(((LN(Assumptions!$B$2/$B5)+(Assumptions!$B$3-Assumptions!$B$4+(T$3/100)^2/2)*Assumptions!$B$9)/((T$3/100)*Assumptions!$B$10)),0,1,FALSE)*Assumptions!$B$10*0.01)*0.5/(MAX(0,Assumptions!$B$2*EXP(-Assumptions!$B$4*Assumptions!$B$9)*NORMSDIST(((LN(Assumptions!$B$2/$B5)+(Assumptions!$B$3-Assumptions!$B$4+(T$3/100)^2/2)*Assumptions!$B$9)/((T$3/100)*Assumptions!$B$10)))-$B5*EXP(-Assumptions!$B$3*Assumptions!$B$9)*NORMSDIST((((LN(Assumptions!$B$2/$B5)+(Assumptions!$B$3-Assumptions!$B$4+(T$3/100)^2/2)*Assumptions!$B$9)/((T$3/100)*Assumptions!$B$10))-(T$3/100)*Assumptions!$B$10)))))</f>
        <v/>
      </c>
      <c r="U26" s="56">
        <f>IF((MAX(0,Assumptions!$B$2*EXP(-Assumptions!$B$4*Assumptions!$B$9)*NORMSDIST(((LN(Assumptions!$B$2/$B5)+(Assumptions!$B$3-Assumptions!$B$4+(U$3/100)^2/2)*Assumptions!$B$9)/((U$3/100)*Assumptions!$B$10)))-$B5*EXP(-Assumptions!$B$3*Assumptions!$B$9)*NORMSDIST((((LN(Assumptions!$B$2/$B5)+(Assumptions!$B$3-Assumptions!$B$4+(U$3/100)^2/2)*Assumptions!$B$9)/((U$3/100)*Assumptions!$B$10))-(U$3/100)*Assumptions!$B$10))))&lt;=0,"",(Assumptions!$B$2*EXP(-Assumptions!$B$4*Assumptions!$B$9)*NORMDIST(((LN(Assumptions!$B$2/$B5)+(Assumptions!$B$3-Assumptions!$B$4+(U$3/100)^2/2)*Assumptions!$B$9)/((U$3/100)*Assumptions!$B$10)),0,1,FALSE)*Assumptions!$B$10*0.01)*0.5/(MAX(0,Assumptions!$B$2*EXP(-Assumptions!$B$4*Assumptions!$B$9)*NORMSDIST(((LN(Assumptions!$B$2/$B5)+(Assumptions!$B$3-Assumptions!$B$4+(U$3/100)^2/2)*Assumptions!$B$9)/((U$3/100)*Assumptions!$B$10)))-$B5*EXP(-Assumptions!$B$3*Assumptions!$B$9)*NORMSDIST((((LN(Assumptions!$B$2/$B5)+(Assumptions!$B$3-Assumptions!$B$4+(U$3/100)^2/2)*Assumptions!$B$9)/((U$3/100)*Assumptions!$B$10))-(U$3/100)*Assumptions!$B$10)))))</f>
        <v/>
      </c>
      <c r="V26" s="56">
        <f>IF((MAX(0,Assumptions!$B$2*EXP(-Assumptions!$B$4*Assumptions!$B$9)*NORMSDIST(((LN(Assumptions!$B$2/$B5)+(Assumptions!$B$3-Assumptions!$B$4+(V$3/100)^2/2)*Assumptions!$B$9)/((V$3/100)*Assumptions!$B$10)))-$B5*EXP(-Assumptions!$B$3*Assumptions!$B$9)*NORMSDIST((((LN(Assumptions!$B$2/$B5)+(Assumptions!$B$3-Assumptions!$B$4+(V$3/100)^2/2)*Assumptions!$B$9)/((V$3/100)*Assumptions!$B$10))-(V$3/100)*Assumptions!$B$10))))&lt;=0,"",(Assumptions!$B$2*EXP(-Assumptions!$B$4*Assumptions!$B$9)*NORMDIST(((LN(Assumptions!$B$2/$B5)+(Assumptions!$B$3-Assumptions!$B$4+(V$3/100)^2/2)*Assumptions!$B$9)/((V$3/100)*Assumptions!$B$10)),0,1,FALSE)*Assumptions!$B$10*0.01)*0.5/(MAX(0,Assumptions!$B$2*EXP(-Assumptions!$B$4*Assumptions!$B$9)*NORMSDIST(((LN(Assumptions!$B$2/$B5)+(Assumptions!$B$3-Assumptions!$B$4+(V$3/100)^2/2)*Assumptions!$B$9)/((V$3/100)*Assumptions!$B$10)))-$B5*EXP(-Assumptions!$B$3*Assumptions!$B$9)*NORMSDIST((((LN(Assumptions!$B$2/$B5)+(Assumptions!$B$3-Assumptions!$B$4+(V$3/100)^2/2)*Assumptions!$B$9)/((V$3/100)*Assumptions!$B$10))-(V$3/100)*Assumptions!$B$10)))))</f>
        <v/>
      </c>
      <c r="W26" s="56">
        <f>IF((MAX(0,Assumptions!$B$2*EXP(-Assumptions!$B$4*Assumptions!$B$9)*NORMSDIST(((LN(Assumptions!$B$2/$B5)+(Assumptions!$B$3-Assumptions!$B$4+(W$3/100)^2/2)*Assumptions!$B$9)/((W$3/100)*Assumptions!$B$10)))-$B5*EXP(-Assumptions!$B$3*Assumptions!$B$9)*NORMSDIST((((LN(Assumptions!$B$2/$B5)+(Assumptions!$B$3-Assumptions!$B$4+(W$3/100)^2/2)*Assumptions!$B$9)/((W$3/100)*Assumptions!$B$10))-(W$3/100)*Assumptions!$B$10))))&lt;=0,"",(Assumptions!$B$2*EXP(-Assumptions!$B$4*Assumptions!$B$9)*NORMDIST(((LN(Assumptions!$B$2/$B5)+(Assumptions!$B$3-Assumptions!$B$4+(W$3/100)^2/2)*Assumptions!$B$9)/((W$3/100)*Assumptions!$B$10)),0,1,FALSE)*Assumptions!$B$10*0.01)*0.5/(MAX(0,Assumptions!$B$2*EXP(-Assumptions!$B$4*Assumptions!$B$9)*NORMSDIST(((LN(Assumptions!$B$2/$B5)+(Assumptions!$B$3-Assumptions!$B$4+(W$3/100)^2/2)*Assumptions!$B$9)/((W$3/100)*Assumptions!$B$10)))-$B5*EXP(-Assumptions!$B$3*Assumptions!$B$9)*NORMSDIST((((LN(Assumptions!$B$2/$B5)+(Assumptions!$B$3-Assumptions!$B$4+(W$3/100)^2/2)*Assumptions!$B$9)/((W$3/100)*Assumptions!$B$10))-(W$3/100)*Assumptions!$B$10)))))</f>
        <v/>
      </c>
      <c r="X26" s="56">
        <f>IF((MAX(0,Assumptions!$B$2*EXP(-Assumptions!$B$4*Assumptions!$B$9)*NORMSDIST(((LN(Assumptions!$B$2/$B5)+(Assumptions!$B$3-Assumptions!$B$4+(X$3/100)^2/2)*Assumptions!$B$9)/((X$3/100)*Assumptions!$B$10)))-$B5*EXP(-Assumptions!$B$3*Assumptions!$B$9)*NORMSDIST((((LN(Assumptions!$B$2/$B5)+(Assumptions!$B$3-Assumptions!$B$4+(X$3/100)^2/2)*Assumptions!$B$9)/((X$3/100)*Assumptions!$B$10))-(X$3/100)*Assumptions!$B$10))))&lt;=0,"",(Assumptions!$B$2*EXP(-Assumptions!$B$4*Assumptions!$B$9)*NORMDIST(((LN(Assumptions!$B$2/$B5)+(Assumptions!$B$3-Assumptions!$B$4+(X$3/100)^2/2)*Assumptions!$B$9)/((X$3/100)*Assumptions!$B$10)),0,1,FALSE)*Assumptions!$B$10*0.01)*0.5/(MAX(0,Assumptions!$B$2*EXP(-Assumptions!$B$4*Assumptions!$B$9)*NORMSDIST(((LN(Assumptions!$B$2/$B5)+(Assumptions!$B$3-Assumptions!$B$4+(X$3/100)^2/2)*Assumptions!$B$9)/((X$3/100)*Assumptions!$B$10)))-$B5*EXP(-Assumptions!$B$3*Assumptions!$B$9)*NORMSDIST((((LN(Assumptions!$B$2/$B5)+(Assumptions!$B$3-Assumptions!$B$4+(X$3/100)^2/2)*Assumptions!$B$9)/((X$3/100)*Assumptions!$B$10))-(X$3/100)*Assumptions!$B$10)))))</f>
        <v/>
      </c>
      <c r="Y26" s="56">
        <f>IF((MAX(0,Assumptions!$B$2*EXP(-Assumptions!$B$4*Assumptions!$B$9)*NORMSDIST(((LN(Assumptions!$B$2/$B5)+(Assumptions!$B$3-Assumptions!$B$4+(Y$3/100)^2/2)*Assumptions!$B$9)/((Y$3/100)*Assumptions!$B$10)))-$B5*EXP(-Assumptions!$B$3*Assumptions!$B$9)*NORMSDIST((((LN(Assumptions!$B$2/$B5)+(Assumptions!$B$3-Assumptions!$B$4+(Y$3/100)^2/2)*Assumptions!$B$9)/((Y$3/100)*Assumptions!$B$10))-(Y$3/100)*Assumptions!$B$10))))&lt;=0,"",(Assumptions!$B$2*EXP(-Assumptions!$B$4*Assumptions!$B$9)*NORMDIST(((LN(Assumptions!$B$2/$B5)+(Assumptions!$B$3-Assumptions!$B$4+(Y$3/100)^2/2)*Assumptions!$B$9)/((Y$3/100)*Assumptions!$B$10)),0,1,FALSE)*Assumptions!$B$10*0.01)*0.5/(MAX(0,Assumptions!$B$2*EXP(-Assumptions!$B$4*Assumptions!$B$9)*NORMSDIST(((LN(Assumptions!$B$2/$B5)+(Assumptions!$B$3-Assumptions!$B$4+(Y$3/100)^2/2)*Assumptions!$B$9)/((Y$3/100)*Assumptions!$B$10)))-$B5*EXP(-Assumptions!$B$3*Assumptions!$B$9)*NORMSDIST((((LN(Assumptions!$B$2/$B5)+(Assumptions!$B$3-Assumptions!$B$4+(Y$3/100)^2/2)*Assumptions!$B$9)/((Y$3/100)*Assumptions!$B$10))-(Y$3/100)*Assumptions!$B$10)))))</f>
        <v/>
      </c>
      <c r="Z26" s="56">
        <f>IF((MAX(0,Assumptions!$B$2*EXP(-Assumptions!$B$4*Assumptions!$B$9)*NORMSDIST(((LN(Assumptions!$B$2/$B5)+(Assumptions!$B$3-Assumptions!$B$4+(Z$3/100)^2/2)*Assumptions!$B$9)/((Z$3/100)*Assumptions!$B$10)))-$B5*EXP(-Assumptions!$B$3*Assumptions!$B$9)*NORMSDIST((((LN(Assumptions!$B$2/$B5)+(Assumptions!$B$3-Assumptions!$B$4+(Z$3/100)^2/2)*Assumptions!$B$9)/((Z$3/100)*Assumptions!$B$10))-(Z$3/100)*Assumptions!$B$10))))&lt;=0,"",(Assumptions!$B$2*EXP(-Assumptions!$B$4*Assumptions!$B$9)*NORMDIST(((LN(Assumptions!$B$2/$B5)+(Assumptions!$B$3-Assumptions!$B$4+(Z$3/100)^2/2)*Assumptions!$B$9)/((Z$3/100)*Assumptions!$B$10)),0,1,FALSE)*Assumptions!$B$10*0.01)*0.5/(MAX(0,Assumptions!$B$2*EXP(-Assumptions!$B$4*Assumptions!$B$9)*NORMSDIST(((LN(Assumptions!$B$2/$B5)+(Assumptions!$B$3-Assumptions!$B$4+(Z$3/100)^2/2)*Assumptions!$B$9)/((Z$3/100)*Assumptions!$B$10)))-$B5*EXP(-Assumptions!$B$3*Assumptions!$B$9)*NORMSDIST((((LN(Assumptions!$B$2/$B5)+(Assumptions!$B$3-Assumptions!$B$4+(Z$3/100)^2/2)*Assumptions!$B$9)/((Z$3/100)*Assumptions!$B$10))-(Z$3/100)*Assumptions!$B$10)))))</f>
        <v/>
      </c>
      <c r="AA26" s="56">
        <f>IF((MAX(0,Assumptions!$B$2*EXP(-Assumptions!$B$4*Assumptions!$B$9)*NORMSDIST(((LN(Assumptions!$B$2/$B5)+(Assumptions!$B$3-Assumptions!$B$4+(AA$3/100)^2/2)*Assumptions!$B$9)/((AA$3/100)*Assumptions!$B$10)))-$B5*EXP(-Assumptions!$B$3*Assumptions!$B$9)*NORMSDIST((((LN(Assumptions!$B$2/$B5)+(Assumptions!$B$3-Assumptions!$B$4+(AA$3/100)^2/2)*Assumptions!$B$9)/((AA$3/100)*Assumptions!$B$10))-(AA$3/100)*Assumptions!$B$10))))&lt;=0,"",(Assumptions!$B$2*EXP(-Assumptions!$B$4*Assumptions!$B$9)*NORMDIST(((LN(Assumptions!$B$2/$B5)+(Assumptions!$B$3-Assumptions!$B$4+(AA$3/100)^2/2)*Assumptions!$B$9)/((AA$3/100)*Assumptions!$B$10)),0,1,FALSE)*Assumptions!$B$10*0.01)*0.5/(MAX(0,Assumptions!$B$2*EXP(-Assumptions!$B$4*Assumptions!$B$9)*NORMSDIST(((LN(Assumptions!$B$2/$B5)+(Assumptions!$B$3-Assumptions!$B$4+(AA$3/100)^2/2)*Assumptions!$B$9)/((AA$3/100)*Assumptions!$B$10)))-$B5*EXP(-Assumptions!$B$3*Assumptions!$B$9)*NORMSDIST((((LN(Assumptions!$B$2/$B5)+(Assumptions!$B$3-Assumptions!$B$4+(AA$3/100)^2/2)*Assumptions!$B$9)/((AA$3/100)*Assumptions!$B$10))-(AA$3/100)*Assumptions!$B$10)))))</f>
        <v/>
      </c>
      <c r="AB26" s="56">
        <f>IF((MAX(0,Assumptions!$B$2*EXP(-Assumptions!$B$4*Assumptions!$B$9)*NORMSDIST(((LN(Assumptions!$B$2/$B5)+(Assumptions!$B$3-Assumptions!$B$4+(AB$3/100)^2/2)*Assumptions!$B$9)/((AB$3/100)*Assumptions!$B$10)))-$B5*EXP(-Assumptions!$B$3*Assumptions!$B$9)*NORMSDIST((((LN(Assumptions!$B$2/$B5)+(Assumptions!$B$3-Assumptions!$B$4+(AB$3/100)^2/2)*Assumptions!$B$9)/((AB$3/100)*Assumptions!$B$10))-(AB$3/100)*Assumptions!$B$10))))&lt;=0,"",(Assumptions!$B$2*EXP(-Assumptions!$B$4*Assumptions!$B$9)*NORMDIST(((LN(Assumptions!$B$2/$B5)+(Assumptions!$B$3-Assumptions!$B$4+(AB$3/100)^2/2)*Assumptions!$B$9)/((AB$3/100)*Assumptions!$B$10)),0,1,FALSE)*Assumptions!$B$10*0.01)*0.5/(MAX(0,Assumptions!$B$2*EXP(-Assumptions!$B$4*Assumptions!$B$9)*NORMSDIST(((LN(Assumptions!$B$2/$B5)+(Assumptions!$B$3-Assumptions!$B$4+(AB$3/100)^2/2)*Assumptions!$B$9)/((AB$3/100)*Assumptions!$B$10)))-$B5*EXP(-Assumptions!$B$3*Assumptions!$B$9)*NORMSDIST((((LN(Assumptions!$B$2/$B5)+(Assumptions!$B$3-Assumptions!$B$4+(AB$3/100)^2/2)*Assumptions!$B$9)/((AB$3/100)*Assumptions!$B$10))-(AB$3/100)*Assumptions!$B$10)))))</f>
        <v/>
      </c>
      <c r="AC26" s="56">
        <f>IF((MAX(0,Assumptions!$B$2*EXP(-Assumptions!$B$4*Assumptions!$B$9)*NORMSDIST(((LN(Assumptions!$B$2/$B5)+(Assumptions!$B$3-Assumptions!$B$4+(AC$3/100)^2/2)*Assumptions!$B$9)/((AC$3/100)*Assumptions!$B$10)))-$B5*EXP(-Assumptions!$B$3*Assumptions!$B$9)*NORMSDIST((((LN(Assumptions!$B$2/$B5)+(Assumptions!$B$3-Assumptions!$B$4+(AC$3/100)^2/2)*Assumptions!$B$9)/((AC$3/100)*Assumptions!$B$10))-(AC$3/100)*Assumptions!$B$10))))&lt;=0,"",(Assumptions!$B$2*EXP(-Assumptions!$B$4*Assumptions!$B$9)*NORMDIST(((LN(Assumptions!$B$2/$B5)+(Assumptions!$B$3-Assumptions!$B$4+(AC$3/100)^2/2)*Assumptions!$B$9)/((AC$3/100)*Assumptions!$B$10)),0,1,FALSE)*Assumptions!$B$10*0.01)*0.5/(MAX(0,Assumptions!$B$2*EXP(-Assumptions!$B$4*Assumptions!$B$9)*NORMSDIST(((LN(Assumptions!$B$2/$B5)+(Assumptions!$B$3-Assumptions!$B$4+(AC$3/100)^2/2)*Assumptions!$B$9)/((AC$3/100)*Assumptions!$B$10)))-$B5*EXP(-Assumptions!$B$3*Assumptions!$B$9)*NORMSDIST((((LN(Assumptions!$B$2/$B5)+(Assumptions!$B$3-Assumptions!$B$4+(AC$3/100)^2/2)*Assumptions!$B$9)/((AC$3/100)*Assumptions!$B$10))-(AC$3/100)*Assumptions!$B$10)))))</f>
        <v/>
      </c>
      <c r="AD26" s="56">
        <f>IF((MAX(0,Assumptions!$B$2*EXP(-Assumptions!$B$4*Assumptions!$B$9)*NORMSDIST(((LN(Assumptions!$B$2/$B5)+(Assumptions!$B$3-Assumptions!$B$4+(AD$3/100)^2/2)*Assumptions!$B$9)/((AD$3/100)*Assumptions!$B$10)))-$B5*EXP(-Assumptions!$B$3*Assumptions!$B$9)*NORMSDIST((((LN(Assumptions!$B$2/$B5)+(Assumptions!$B$3-Assumptions!$B$4+(AD$3/100)^2/2)*Assumptions!$B$9)/((AD$3/100)*Assumptions!$B$10))-(AD$3/100)*Assumptions!$B$10))))&lt;=0,"",(Assumptions!$B$2*EXP(-Assumptions!$B$4*Assumptions!$B$9)*NORMDIST(((LN(Assumptions!$B$2/$B5)+(Assumptions!$B$3-Assumptions!$B$4+(AD$3/100)^2/2)*Assumptions!$B$9)/((AD$3/100)*Assumptions!$B$10)),0,1,FALSE)*Assumptions!$B$10*0.01)*0.5/(MAX(0,Assumptions!$B$2*EXP(-Assumptions!$B$4*Assumptions!$B$9)*NORMSDIST(((LN(Assumptions!$B$2/$B5)+(Assumptions!$B$3-Assumptions!$B$4+(AD$3/100)^2/2)*Assumptions!$B$9)/((AD$3/100)*Assumptions!$B$10)))-$B5*EXP(-Assumptions!$B$3*Assumptions!$B$9)*NORMSDIST((((LN(Assumptions!$B$2/$B5)+(Assumptions!$B$3-Assumptions!$B$4+(AD$3/100)^2/2)*Assumptions!$B$9)/((AD$3/100)*Assumptions!$B$10))-(AD$3/100)*Assumptions!$B$10)))))</f>
        <v/>
      </c>
      <c r="AE26" s="56">
        <f>IF((MAX(0,Assumptions!$B$2*EXP(-Assumptions!$B$4*Assumptions!$B$9)*NORMSDIST(((LN(Assumptions!$B$2/$B5)+(Assumptions!$B$3-Assumptions!$B$4+(AE$3/100)^2/2)*Assumptions!$B$9)/((AE$3/100)*Assumptions!$B$10)))-$B5*EXP(-Assumptions!$B$3*Assumptions!$B$9)*NORMSDIST((((LN(Assumptions!$B$2/$B5)+(Assumptions!$B$3-Assumptions!$B$4+(AE$3/100)^2/2)*Assumptions!$B$9)/((AE$3/100)*Assumptions!$B$10))-(AE$3/100)*Assumptions!$B$10))))&lt;=0,"",(Assumptions!$B$2*EXP(-Assumptions!$B$4*Assumptions!$B$9)*NORMDIST(((LN(Assumptions!$B$2/$B5)+(Assumptions!$B$3-Assumptions!$B$4+(AE$3/100)^2/2)*Assumptions!$B$9)/((AE$3/100)*Assumptions!$B$10)),0,1,FALSE)*Assumptions!$B$10*0.01)*0.5/(MAX(0,Assumptions!$B$2*EXP(-Assumptions!$B$4*Assumptions!$B$9)*NORMSDIST(((LN(Assumptions!$B$2/$B5)+(Assumptions!$B$3-Assumptions!$B$4+(AE$3/100)^2/2)*Assumptions!$B$9)/((AE$3/100)*Assumptions!$B$10)))-$B5*EXP(-Assumptions!$B$3*Assumptions!$B$9)*NORMSDIST((((LN(Assumptions!$B$2/$B5)+(Assumptions!$B$3-Assumptions!$B$4+(AE$3/100)^2/2)*Assumptions!$B$9)/((AE$3/100)*Assumptions!$B$10))-(AE$3/100)*Assumptions!$B$10)))))</f>
        <v/>
      </c>
      <c r="AF26" s="56">
        <f>IF((MAX(0,Assumptions!$B$2*EXP(-Assumptions!$B$4*Assumptions!$B$9)*NORMSDIST(((LN(Assumptions!$B$2/$B5)+(Assumptions!$B$3-Assumptions!$B$4+(AF$3/100)^2/2)*Assumptions!$B$9)/((AF$3/100)*Assumptions!$B$10)))-$B5*EXP(-Assumptions!$B$3*Assumptions!$B$9)*NORMSDIST((((LN(Assumptions!$B$2/$B5)+(Assumptions!$B$3-Assumptions!$B$4+(AF$3/100)^2/2)*Assumptions!$B$9)/((AF$3/100)*Assumptions!$B$10))-(AF$3/100)*Assumptions!$B$10))))&lt;=0,"",(Assumptions!$B$2*EXP(-Assumptions!$B$4*Assumptions!$B$9)*NORMDIST(((LN(Assumptions!$B$2/$B5)+(Assumptions!$B$3-Assumptions!$B$4+(AF$3/100)^2/2)*Assumptions!$B$9)/((AF$3/100)*Assumptions!$B$10)),0,1,FALSE)*Assumptions!$B$10*0.01)*0.5/(MAX(0,Assumptions!$B$2*EXP(-Assumptions!$B$4*Assumptions!$B$9)*NORMSDIST(((LN(Assumptions!$B$2/$B5)+(Assumptions!$B$3-Assumptions!$B$4+(AF$3/100)^2/2)*Assumptions!$B$9)/((AF$3/100)*Assumptions!$B$10)))-$B5*EXP(-Assumptions!$B$3*Assumptions!$B$9)*NORMSDIST((((LN(Assumptions!$B$2/$B5)+(Assumptions!$B$3-Assumptions!$B$4+(AF$3/100)^2/2)*Assumptions!$B$9)/((AF$3/100)*Assumptions!$B$10))-(AF$3/100)*Assumptions!$B$10)))))</f>
        <v/>
      </c>
      <c r="AG26" s="56">
        <f>IF((MAX(0,Assumptions!$B$2*EXP(-Assumptions!$B$4*Assumptions!$B$9)*NORMSDIST(((LN(Assumptions!$B$2/$B5)+(Assumptions!$B$3-Assumptions!$B$4+(AG$3/100)^2/2)*Assumptions!$B$9)/((AG$3/100)*Assumptions!$B$10)))-$B5*EXP(-Assumptions!$B$3*Assumptions!$B$9)*NORMSDIST((((LN(Assumptions!$B$2/$B5)+(Assumptions!$B$3-Assumptions!$B$4+(AG$3/100)^2/2)*Assumptions!$B$9)/((AG$3/100)*Assumptions!$B$10))-(AG$3/100)*Assumptions!$B$10))))&lt;=0,"",(Assumptions!$B$2*EXP(-Assumptions!$B$4*Assumptions!$B$9)*NORMDIST(((LN(Assumptions!$B$2/$B5)+(Assumptions!$B$3-Assumptions!$B$4+(AG$3/100)^2/2)*Assumptions!$B$9)/((AG$3/100)*Assumptions!$B$10)),0,1,FALSE)*Assumptions!$B$10*0.01)*0.5/(MAX(0,Assumptions!$B$2*EXP(-Assumptions!$B$4*Assumptions!$B$9)*NORMSDIST(((LN(Assumptions!$B$2/$B5)+(Assumptions!$B$3-Assumptions!$B$4+(AG$3/100)^2/2)*Assumptions!$B$9)/((AG$3/100)*Assumptions!$B$10)))-$B5*EXP(-Assumptions!$B$3*Assumptions!$B$9)*NORMSDIST((((LN(Assumptions!$B$2/$B5)+(Assumptions!$B$3-Assumptions!$B$4+(AG$3/100)^2/2)*Assumptions!$B$9)/((AG$3/100)*Assumptions!$B$10))-(AG$3/100)*Assumptions!$B$10)))))</f>
        <v/>
      </c>
      <c r="AH26" s="56">
        <f>IF((MAX(0,Assumptions!$B$2*EXP(-Assumptions!$B$4*Assumptions!$B$9)*NORMSDIST(((LN(Assumptions!$B$2/$B5)+(Assumptions!$B$3-Assumptions!$B$4+(AH$3/100)^2/2)*Assumptions!$B$9)/((AH$3/100)*Assumptions!$B$10)))-$B5*EXP(-Assumptions!$B$3*Assumptions!$B$9)*NORMSDIST((((LN(Assumptions!$B$2/$B5)+(Assumptions!$B$3-Assumptions!$B$4+(AH$3/100)^2/2)*Assumptions!$B$9)/((AH$3/100)*Assumptions!$B$10))-(AH$3/100)*Assumptions!$B$10))))&lt;=0,"",(Assumptions!$B$2*EXP(-Assumptions!$B$4*Assumptions!$B$9)*NORMDIST(((LN(Assumptions!$B$2/$B5)+(Assumptions!$B$3-Assumptions!$B$4+(AH$3/100)^2/2)*Assumptions!$B$9)/((AH$3/100)*Assumptions!$B$10)),0,1,FALSE)*Assumptions!$B$10*0.01)*0.5/(MAX(0,Assumptions!$B$2*EXP(-Assumptions!$B$4*Assumptions!$B$9)*NORMSDIST(((LN(Assumptions!$B$2/$B5)+(Assumptions!$B$3-Assumptions!$B$4+(AH$3/100)^2/2)*Assumptions!$B$9)/((AH$3/100)*Assumptions!$B$10)))-$B5*EXP(-Assumptions!$B$3*Assumptions!$B$9)*NORMSDIST((((LN(Assumptions!$B$2/$B5)+(Assumptions!$B$3-Assumptions!$B$4+(AH$3/100)^2/2)*Assumptions!$B$9)/((AH$3/100)*Assumptions!$B$10))-(AH$3/100)*Assumptions!$B$10)))))</f>
        <v/>
      </c>
      <c r="AI26" s="56">
        <f>IF((MAX(0,Assumptions!$B$2*EXP(-Assumptions!$B$4*Assumptions!$B$9)*NORMSDIST(((LN(Assumptions!$B$2/$B5)+(Assumptions!$B$3-Assumptions!$B$4+(AI$3/100)^2/2)*Assumptions!$B$9)/((AI$3/100)*Assumptions!$B$10)))-$B5*EXP(-Assumptions!$B$3*Assumptions!$B$9)*NORMSDIST((((LN(Assumptions!$B$2/$B5)+(Assumptions!$B$3-Assumptions!$B$4+(AI$3/100)^2/2)*Assumptions!$B$9)/((AI$3/100)*Assumptions!$B$10))-(AI$3/100)*Assumptions!$B$10))))&lt;=0,"",(Assumptions!$B$2*EXP(-Assumptions!$B$4*Assumptions!$B$9)*NORMDIST(((LN(Assumptions!$B$2/$B5)+(Assumptions!$B$3-Assumptions!$B$4+(AI$3/100)^2/2)*Assumptions!$B$9)/((AI$3/100)*Assumptions!$B$10)),0,1,FALSE)*Assumptions!$B$10*0.01)*0.5/(MAX(0,Assumptions!$B$2*EXP(-Assumptions!$B$4*Assumptions!$B$9)*NORMSDIST(((LN(Assumptions!$B$2/$B5)+(Assumptions!$B$3-Assumptions!$B$4+(AI$3/100)^2/2)*Assumptions!$B$9)/((AI$3/100)*Assumptions!$B$10)))-$B5*EXP(-Assumptions!$B$3*Assumptions!$B$9)*NORMSDIST((((LN(Assumptions!$B$2/$B5)+(Assumptions!$B$3-Assumptions!$B$4+(AI$3/100)^2/2)*Assumptions!$B$9)/((AI$3/100)*Assumptions!$B$10))-(AI$3/100)*Assumptions!$B$10)))))</f>
        <v/>
      </c>
      <c r="AJ26" s="56">
        <f>IF((MAX(0,Assumptions!$B$2*EXP(-Assumptions!$B$4*Assumptions!$B$9)*NORMSDIST(((LN(Assumptions!$B$2/$B5)+(Assumptions!$B$3-Assumptions!$B$4+(AJ$3/100)^2/2)*Assumptions!$B$9)/((AJ$3/100)*Assumptions!$B$10)))-$B5*EXP(-Assumptions!$B$3*Assumptions!$B$9)*NORMSDIST((((LN(Assumptions!$B$2/$B5)+(Assumptions!$B$3-Assumptions!$B$4+(AJ$3/100)^2/2)*Assumptions!$B$9)/((AJ$3/100)*Assumptions!$B$10))-(AJ$3/100)*Assumptions!$B$10))))&lt;=0,"",(Assumptions!$B$2*EXP(-Assumptions!$B$4*Assumptions!$B$9)*NORMDIST(((LN(Assumptions!$B$2/$B5)+(Assumptions!$B$3-Assumptions!$B$4+(AJ$3/100)^2/2)*Assumptions!$B$9)/((AJ$3/100)*Assumptions!$B$10)),0,1,FALSE)*Assumptions!$B$10*0.01)*0.5/(MAX(0,Assumptions!$B$2*EXP(-Assumptions!$B$4*Assumptions!$B$9)*NORMSDIST(((LN(Assumptions!$B$2/$B5)+(Assumptions!$B$3-Assumptions!$B$4+(AJ$3/100)^2/2)*Assumptions!$B$9)/((AJ$3/100)*Assumptions!$B$10)))-$B5*EXP(-Assumptions!$B$3*Assumptions!$B$9)*NORMSDIST((((LN(Assumptions!$B$2/$B5)+(Assumptions!$B$3-Assumptions!$B$4+(AJ$3/100)^2/2)*Assumptions!$B$9)/((AJ$3/100)*Assumptions!$B$10))-(AJ$3/100)*Assumptions!$B$10)))))</f>
        <v/>
      </c>
      <c r="AK26" s="56">
        <f>IF((MAX(0,Assumptions!$B$2*EXP(-Assumptions!$B$4*Assumptions!$B$9)*NORMSDIST(((LN(Assumptions!$B$2/$B5)+(Assumptions!$B$3-Assumptions!$B$4+(AK$3/100)^2/2)*Assumptions!$B$9)/((AK$3/100)*Assumptions!$B$10)))-$B5*EXP(-Assumptions!$B$3*Assumptions!$B$9)*NORMSDIST((((LN(Assumptions!$B$2/$B5)+(Assumptions!$B$3-Assumptions!$B$4+(AK$3/100)^2/2)*Assumptions!$B$9)/((AK$3/100)*Assumptions!$B$10))-(AK$3/100)*Assumptions!$B$10))))&lt;=0,"",(Assumptions!$B$2*EXP(-Assumptions!$B$4*Assumptions!$B$9)*NORMDIST(((LN(Assumptions!$B$2/$B5)+(Assumptions!$B$3-Assumptions!$B$4+(AK$3/100)^2/2)*Assumptions!$B$9)/((AK$3/100)*Assumptions!$B$10)),0,1,FALSE)*Assumptions!$B$10*0.01)*0.5/(MAX(0,Assumptions!$B$2*EXP(-Assumptions!$B$4*Assumptions!$B$9)*NORMSDIST(((LN(Assumptions!$B$2/$B5)+(Assumptions!$B$3-Assumptions!$B$4+(AK$3/100)^2/2)*Assumptions!$B$9)/((AK$3/100)*Assumptions!$B$10)))-$B5*EXP(-Assumptions!$B$3*Assumptions!$B$9)*NORMSDIST((((LN(Assumptions!$B$2/$B5)+(Assumptions!$B$3-Assumptions!$B$4+(AK$3/100)^2/2)*Assumptions!$B$9)/((AK$3/100)*Assumptions!$B$10))-(AK$3/100)*Assumptions!$B$10)))))</f>
        <v/>
      </c>
      <c r="AL26" s="56">
        <f>IF((MAX(0,Assumptions!$B$2*EXP(-Assumptions!$B$4*Assumptions!$B$9)*NORMSDIST(((LN(Assumptions!$B$2/$B5)+(Assumptions!$B$3-Assumptions!$B$4+(AL$3/100)^2/2)*Assumptions!$B$9)/((AL$3/100)*Assumptions!$B$10)))-$B5*EXP(-Assumptions!$B$3*Assumptions!$B$9)*NORMSDIST((((LN(Assumptions!$B$2/$B5)+(Assumptions!$B$3-Assumptions!$B$4+(AL$3/100)^2/2)*Assumptions!$B$9)/((AL$3/100)*Assumptions!$B$10))-(AL$3/100)*Assumptions!$B$10))))&lt;=0,"",(Assumptions!$B$2*EXP(-Assumptions!$B$4*Assumptions!$B$9)*NORMDIST(((LN(Assumptions!$B$2/$B5)+(Assumptions!$B$3-Assumptions!$B$4+(AL$3/100)^2/2)*Assumptions!$B$9)/((AL$3/100)*Assumptions!$B$10)),0,1,FALSE)*Assumptions!$B$10*0.01)*0.5/(MAX(0,Assumptions!$B$2*EXP(-Assumptions!$B$4*Assumptions!$B$9)*NORMSDIST(((LN(Assumptions!$B$2/$B5)+(Assumptions!$B$3-Assumptions!$B$4+(AL$3/100)^2/2)*Assumptions!$B$9)/((AL$3/100)*Assumptions!$B$10)))-$B5*EXP(-Assumptions!$B$3*Assumptions!$B$9)*NORMSDIST((((LN(Assumptions!$B$2/$B5)+(Assumptions!$B$3-Assumptions!$B$4+(AL$3/100)^2/2)*Assumptions!$B$9)/((AL$3/100)*Assumptions!$B$10))-(AL$3/100)*Assumptions!$B$10)))))</f>
        <v/>
      </c>
      <c r="AM26" s="56">
        <f>IF((MAX(0,Assumptions!$B$2*EXP(-Assumptions!$B$4*Assumptions!$B$9)*NORMSDIST(((LN(Assumptions!$B$2/$B5)+(Assumptions!$B$3-Assumptions!$B$4+(AM$3/100)^2/2)*Assumptions!$B$9)/((AM$3/100)*Assumptions!$B$10)))-$B5*EXP(-Assumptions!$B$3*Assumptions!$B$9)*NORMSDIST((((LN(Assumptions!$B$2/$B5)+(Assumptions!$B$3-Assumptions!$B$4+(AM$3/100)^2/2)*Assumptions!$B$9)/((AM$3/100)*Assumptions!$B$10))-(AM$3/100)*Assumptions!$B$10))))&lt;=0,"",(Assumptions!$B$2*EXP(-Assumptions!$B$4*Assumptions!$B$9)*NORMDIST(((LN(Assumptions!$B$2/$B5)+(Assumptions!$B$3-Assumptions!$B$4+(AM$3/100)^2/2)*Assumptions!$B$9)/((AM$3/100)*Assumptions!$B$10)),0,1,FALSE)*Assumptions!$B$10*0.01)*0.5/(MAX(0,Assumptions!$B$2*EXP(-Assumptions!$B$4*Assumptions!$B$9)*NORMSDIST(((LN(Assumptions!$B$2/$B5)+(Assumptions!$B$3-Assumptions!$B$4+(AM$3/100)^2/2)*Assumptions!$B$9)/((AM$3/100)*Assumptions!$B$10)))-$B5*EXP(-Assumptions!$B$3*Assumptions!$B$9)*NORMSDIST((((LN(Assumptions!$B$2/$B5)+(Assumptions!$B$3-Assumptions!$B$4+(AM$3/100)^2/2)*Assumptions!$B$9)/((AM$3/100)*Assumptions!$B$10))-(AM$3/100)*Assumptions!$B$10)))))</f>
        <v/>
      </c>
      <c r="AN26" s="56">
        <f>IF((MAX(0,Assumptions!$B$2*EXP(-Assumptions!$B$4*Assumptions!$B$9)*NORMSDIST(((LN(Assumptions!$B$2/$B5)+(Assumptions!$B$3-Assumptions!$B$4+(AN$3/100)^2/2)*Assumptions!$B$9)/((AN$3/100)*Assumptions!$B$10)))-$B5*EXP(-Assumptions!$B$3*Assumptions!$B$9)*NORMSDIST((((LN(Assumptions!$B$2/$B5)+(Assumptions!$B$3-Assumptions!$B$4+(AN$3/100)^2/2)*Assumptions!$B$9)/((AN$3/100)*Assumptions!$B$10))-(AN$3/100)*Assumptions!$B$10))))&lt;=0,"",(Assumptions!$B$2*EXP(-Assumptions!$B$4*Assumptions!$B$9)*NORMDIST(((LN(Assumptions!$B$2/$B5)+(Assumptions!$B$3-Assumptions!$B$4+(AN$3/100)^2/2)*Assumptions!$B$9)/((AN$3/100)*Assumptions!$B$10)),0,1,FALSE)*Assumptions!$B$10*0.01)*0.5/(MAX(0,Assumptions!$B$2*EXP(-Assumptions!$B$4*Assumptions!$B$9)*NORMSDIST(((LN(Assumptions!$B$2/$B5)+(Assumptions!$B$3-Assumptions!$B$4+(AN$3/100)^2/2)*Assumptions!$B$9)/((AN$3/100)*Assumptions!$B$10)))-$B5*EXP(-Assumptions!$B$3*Assumptions!$B$9)*NORMSDIST((((LN(Assumptions!$B$2/$B5)+(Assumptions!$B$3-Assumptions!$B$4+(AN$3/100)^2/2)*Assumptions!$B$9)/((AN$3/100)*Assumptions!$B$10))-(AN$3/100)*Assumptions!$B$10)))))</f>
        <v/>
      </c>
      <c r="AO26" s="56">
        <f>IF((MAX(0,Assumptions!$B$2*EXP(-Assumptions!$B$4*Assumptions!$B$9)*NORMSDIST(((LN(Assumptions!$B$2/$B5)+(Assumptions!$B$3-Assumptions!$B$4+(AO$3/100)^2/2)*Assumptions!$B$9)/((AO$3/100)*Assumptions!$B$10)))-$B5*EXP(-Assumptions!$B$3*Assumptions!$B$9)*NORMSDIST((((LN(Assumptions!$B$2/$B5)+(Assumptions!$B$3-Assumptions!$B$4+(AO$3/100)^2/2)*Assumptions!$B$9)/((AO$3/100)*Assumptions!$B$10))-(AO$3/100)*Assumptions!$B$10))))&lt;=0,"",(Assumptions!$B$2*EXP(-Assumptions!$B$4*Assumptions!$B$9)*NORMDIST(((LN(Assumptions!$B$2/$B5)+(Assumptions!$B$3-Assumptions!$B$4+(AO$3/100)^2/2)*Assumptions!$B$9)/((AO$3/100)*Assumptions!$B$10)),0,1,FALSE)*Assumptions!$B$10*0.01)*0.5/(MAX(0,Assumptions!$B$2*EXP(-Assumptions!$B$4*Assumptions!$B$9)*NORMSDIST(((LN(Assumptions!$B$2/$B5)+(Assumptions!$B$3-Assumptions!$B$4+(AO$3/100)^2/2)*Assumptions!$B$9)/((AO$3/100)*Assumptions!$B$10)))-$B5*EXP(-Assumptions!$B$3*Assumptions!$B$9)*NORMSDIST((((LN(Assumptions!$B$2/$B5)+(Assumptions!$B$3-Assumptions!$B$4+(AO$3/100)^2/2)*Assumptions!$B$9)/((AO$3/100)*Assumptions!$B$10))-(AO$3/100)*Assumptions!$B$10)))))</f>
        <v/>
      </c>
      <c r="AP26" s="56">
        <f>IF((MAX(0,Assumptions!$B$2*EXP(-Assumptions!$B$4*Assumptions!$B$9)*NORMSDIST(((LN(Assumptions!$B$2/$B5)+(Assumptions!$B$3-Assumptions!$B$4+(AP$3/100)^2/2)*Assumptions!$B$9)/((AP$3/100)*Assumptions!$B$10)))-$B5*EXP(-Assumptions!$B$3*Assumptions!$B$9)*NORMSDIST((((LN(Assumptions!$B$2/$B5)+(Assumptions!$B$3-Assumptions!$B$4+(AP$3/100)^2/2)*Assumptions!$B$9)/((AP$3/100)*Assumptions!$B$10))-(AP$3/100)*Assumptions!$B$10))))&lt;=0,"",(Assumptions!$B$2*EXP(-Assumptions!$B$4*Assumptions!$B$9)*NORMDIST(((LN(Assumptions!$B$2/$B5)+(Assumptions!$B$3-Assumptions!$B$4+(AP$3/100)^2/2)*Assumptions!$B$9)/((AP$3/100)*Assumptions!$B$10)),0,1,FALSE)*Assumptions!$B$10*0.01)*0.5/(MAX(0,Assumptions!$B$2*EXP(-Assumptions!$B$4*Assumptions!$B$9)*NORMSDIST(((LN(Assumptions!$B$2/$B5)+(Assumptions!$B$3-Assumptions!$B$4+(AP$3/100)^2/2)*Assumptions!$B$9)/((AP$3/100)*Assumptions!$B$10)))-$B5*EXP(-Assumptions!$B$3*Assumptions!$B$9)*NORMSDIST((((LN(Assumptions!$B$2/$B5)+(Assumptions!$B$3-Assumptions!$B$4+(AP$3/100)^2/2)*Assumptions!$B$9)/((AP$3/100)*Assumptions!$B$10))-(AP$3/100)*Assumptions!$B$10)))))</f>
        <v/>
      </c>
      <c r="AQ26" s="56">
        <f>IF((MAX(0,Assumptions!$B$2*EXP(-Assumptions!$B$4*Assumptions!$B$9)*NORMSDIST(((LN(Assumptions!$B$2/$B5)+(Assumptions!$B$3-Assumptions!$B$4+(AQ$3/100)^2/2)*Assumptions!$B$9)/((AQ$3/100)*Assumptions!$B$10)))-$B5*EXP(-Assumptions!$B$3*Assumptions!$B$9)*NORMSDIST((((LN(Assumptions!$B$2/$B5)+(Assumptions!$B$3-Assumptions!$B$4+(AQ$3/100)^2/2)*Assumptions!$B$9)/((AQ$3/100)*Assumptions!$B$10))-(AQ$3/100)*Assumptions!$B$10))))&lt;=0,"",(Assumptions!$B$2*EXP(-Assumptions!$B$4*Assumptions!$B$9)*NORMDIST(((LN(Assumptions!$B$2/$B5)+(Assumptions!$B$3-Assumptions!$B$4+(AQ$3/100)^2/2)*Assumptions!$B$9)/((AQ$3/100)*Assumptions!$B$10)),0,1,FALSE)*Assumptions!$B$10*0.01)*0.5/(MAX(0,Assumptions!$B$2*EXP(-Assumptions!$B$4*Assumptions!$B$9)*NORMSDIST(((LN(Assumptions!$B$2/$B5)+(Assumptions!$B$3-Assumptions!$B$4+(AQ$3/100)^2/2)*Assumptions!$B$9)/((AQ$3/100)*Assumptions!$B$10)))-$B5*EXP(-Assumptions!$B$3*Assumptions!$B$9)*NORMSDIST((((LN(Assumptions!$B$2/$B5)+(Assumptions!$B$3-Assumptions!$B$4+(AQ$3/100)^2/2)*Assumptions!$B$9)/((AQ$3/100)*Assumptions!$B$10))-(AQ$3/100)*Assumptions!$B$10)))))</f>
        <v/>
      </c>
      <c r="AR26" s="56">
        <f>IF((MAX(0,Assumptions!$B$2*EXP(-Assumptions!$B$4*Assumptions!$B$9)*NORMSDIST(((LN(Assumptions!$B$2/$B5)+(Assumptions!$B$3-Assumptions!$B$4+(AR$3/100)^2/2)*Assumptions!$B$9)/((AR$3/100)*Assumptions!$B$10)))-$B5*EXP(-Assumptions!$B$3*Assumptions!$B$9)*NORMSDIST((((LN(Assumptions!$B$2/$B5)+(Assumptions!$B$3-Assumptions!$B$4+(AR$3/100)^2/2)*Assumptions!$B$9)/((AR$3/100)*Assumptions!$B$10))-(AR$3/100)*Assumptions!$B$10))))&lt;=0,"",(Assumptions!$B$2*EXP(-Assumptions!$B$4*Assumptions!$B$9)*NORMDIST(((LN(Assumptions!$B$2/$B5)+(Assumptions!$B$3-Assumptions!$B$4+(AR$3/100)^2/2)*Assumptions!$B$9)/((AR$3/100)*Assumptions!$B$10)),0,1,FALSE)*Assumptions!$B$10*0.01)*0.5/(MAX(0,Assumptions!$B$2*EXP(-Assumptions!$B$4*Assumptions!$B$9)*NORMSDIST(((LN(Assumptions!$B$2/$B5)+(Assumptions!$B$3-Assumptions!$B$4+(AR$3/100)^2/2)*Assumptions!$B$9)/((AR$3/100)*Assumptions!$B$10)))-$B5*EXP(-Assumptions!$B$3*Assumptions!$B$9)*NORMSDIST((((LN(Assumptions!$B$2/$B5)+(Assumptions!$B$3-Assumptions!$B$4+(AR$3/100)^2/2)*Assumptions!$B$9)/((AR$3/100)*Assumptions!$B$10))-(AR$3/100)*Assumptions!$B$10)))))</f>
        <v/>
      </c>
      <c r="AS26" s="56">
        <f>IF((MAX(0,Assumptions!$B$2*EXP(-Assumptions!$B$4*Assumptions!$B$9)*NORMSDIST(((LN(Assumptions!$B$2/$B5)+(Assumptions!$B$3-Assumptions!$B$4+(AS$3/100)^2/2)*Assumptions!$B$9)/((AS$3/100)*Assumptions!$B$10)))-$B5*EXP(-Assumptions!$B$3*Assumptions!$B$9)*NORMSDIST((((LN(Assumptions!$B$2/$B5)+(Assumptions!$B$3-Assumptions!$B$4+(AS$3/100)^2/2)*Assumptions!$B$9)/((AS$3/100)*Assumptions!$B$10))-(AS$3/100)*Assumptions!$B$10))))&lt;=0,"",(Assumptions!$B$2*EXP(-Assumptions!$B$4*Assumptions!$B$9)*NORMDIST(((LN(Assumptions!$B$2/$B5)+(Assumptions!$B$3-Assumptions!$B$4+(AS$3/100)^2/2)*Assumptions!$B$9)/((AS$3/100)*Assumptions!$B$10)),0,1,FALSE)*Assumptions!$B$10*0.01)*0.5/(MAX(0,Assumptions!$B$2*EXP(-Assumptions!$B$4*Assumptions!$B$9)*NORMSDIST(((LN(Assumptions!$B$2/$B5)+(Assumptions!$B$3-Assumptions!$B$4+(AS$3/100)^2/2)*Assumptions!$B$9)/((AS$3/100)*Assumptions!$B$10)))-$B5*EXP(-Assumptions!$B$3*Assumptions!$B$9)*NORMSDIST((((LN(Assumptions!$B$2/$B5)+(Assumptions!$B$3-Assumptions!$B$4+(AS$3/100)^2/2)*Assumptions!$B$9)/((AS$3/100)*Assumptions!$B$10))-(AS$3/100)*Assumptions!$B$10)))))</f>
        <v/>
      </c>
      <c r="AT26" s="56">
        <f>IF((MAX(0,Assumptions!$B$2*EXP(-Assumptions!$B$4*Assumptions!$B$9)*NORMSDIST(((LN(Assumptions!$B$2/$B5)+(Assumptions!$B$3-Assumptions!$B$4+(AT$3/100)^2/2)*Assumptions!$B$9)/((AT$3/100)*Assumptions!$B$10)))-$B5*EXP(-Assumptions!$B$3*Assumptions!$B$9)*NORMSDIST((((LN(Assumptions!$B$2/$B5)+(Assumptions!$B$3-Assumptions!$B$4+(AT$3/100)^2/2)*Assumptions!$B$9)/((AT$3/100)*Assumptions!$B$10))-(AT$3/100)*Assumptions!$B$10))))&lt;=0,"",(Assumptions!$B$2*EXP(-Assumptions!$B$4*Assumptions!$B$9)*NORMDIST(((LN(Assumptions!$B$2/$B5)+(Assumptions!$B$3-Assumptions!$B$4+(AT$3/100)^2/2)*Assumptions!$B$9)/((AT$3/100)*Assumptions!$B$10)),0,1,FALSE)*Assumptions!$B$10*0.01)*0.5/(MAX(0,Assumptions!$B$2*EXP(-Assumptions!$B$4*Assumptions!$B$9)*NORMSDIST(((LN(Assumptions!$B$2/$B5)+(Assumptions!$B$3-Assumptions!$B$4+(AT$3/100)^2/2)*Assumptions!$B$9)/((AT$3/100)*Assumptions!$B$10)))-$B5*EXP(-Assumptions!$B$3*Assumptions!$B$9)*NORMSDIST((((LN(Assumptions!$B$2/$B5)+(Assumptions!$B$3-Assumptions!$B$4+(AT$3/100)^2/2)*Assumptions!$B$9)/((AT$3/100)*Assumptions!$B$10))-(AT$3/100)*Assumptions!$B$10)))))</f>
        <v/>
      </c>
      <c r="AU26" s="56">
        <f>IF((MAX(0,Assumptions!$B$2*EXP(-Assumptions!$B$4*Assumptions!$B$9)*NORMSDIST(((LN(Assumptions!$B$2/$B5)+(Assumptions!$B$3-Assumptions!$B$4+(AU$3/100)^2/2)*Assumptions!$B$9)/((AU$3/100)*Assumptions!$B$10)))-$B5*EXP(-Assumptions!$B$3*Assumptions!$B$9)*NORMSDIST((((LN(Assumptions!$B$2/$B5)+(Assumptions!$B$3-Assumptions!$B$4+(AU$3/100)^2/2)*Assumptions!$B$9)/((AU$3/100)*Assumptions!$B$10))-(AU$3/100)*Assumptions!$B$10))))&lt;=0,"",(Assumptions!$B$2*EXP(-Assumptions!$B$4*Assumptions!$B$9)*NORMDIST(((LN(Assumptions!$B$2/$B5)+(Assumptions!$B$3-Assumptions!$B$4+(AU$3/100)^2/2)*Assumptions!$B$9)/((AU$3/100)*Assumptions!$B$10)),0,1,FALSE)*Assumptions!$B$10*0.01)*0.5/(MAX(0,Assumptions!$B$2*EXP(-Assumptions!$B$4*Assumptions!$B$9)*NORMSDIST(((LN(Assumptions!$B$2/$B5)+(Assumptions!$B$3-Assumptions!$B$4+(AU$3/100)^2/2)*Assumptions!$B$9)/((AU$3/100)*Assumptions!$B$10)))-$B5*EXP(-Assumptions!$B$3*Assumptions!$B$9)*NORMSDIST((((LN(Assumptions!$B$2/$B5)+(Assumptions!$B$3-Assumptions!$B$4+(AU$3/100)^2/2)*Assumptions!$B$9)/((AU$3/100)*Assumptions!$B$10))-(AU$3/100)*Assumptions!$B$10)))))</f>
        <v/>
      </c>
      <c r="AV26" s="56">
        <f>IF((MAX(0,Assumptions!$B$2*EXP(-Assumptions!$B$4*Assumptions!$B$9)*NORMSDIST(((LN(Assumptions!$B$2/$B5)+(Assumptions!$B$3-Assumptions!$B$4+(AV$3/100)^2/2)*Assumptions!$B$9)/((AV$3/100)*Assumptions!$B$10)))-$B5*EXP(-Assumptions!$B$3*Assumptions!$B$9)*NORMSDIST((((LN(Assumptions!$B$2/$B5)+(Assumptions!$B$3-Assumptions!$B$4+(AV$3/100)^2/2)*Assumptions!$B$9)/((AV$3/100)*Assumptions!$B$10))-(AV$3/100)*Assumptions!$B$10))))&lt;=0,"",(Assumptions!$B$2*EXP(-Assumptions!$B$4*Assumptions!$B$9)*NORMDIST(((LN(Assumptions!$B$2/$B5)+(Assumptions!$B$3-Assumptions!$B$4+(AV$3/100)^2/2)*Assumptions!$B$9)/((AV$3/100)*Assumptions!$B$10)),0,1,FALSE)*Assumptions!$B$10*0.01)*0.5/(MAX(0,Assumptions!$B$2*EXP(-Assumptions!$B$4*Assumptions!$B$9)*NORMSDIST(((LN(Assumptions!$B$2/$B5)+(Assumptions!$B$3-Assumptions!$B$4+(AV$3/100)^2/2)*Assumptions!$B$9)/((AV$3/100)*Assumptions!$B$10)))-$B5*EXP(-Assumptions!$B$3*Assumptions!$B$9)*NORMSDIST((((LN(Assumptions!$B$2/$B5)+(Assumptions!$B$3-Assumptions!$B$4+(AV$3/100)^2/2)*Assumptions!$B$9)/((AV$3/100)*Assumptions!$B$10))-(AV$3/100)*Assumptions!$B$10)))))</f>
        <v/>
      </c>
    </row>
    <row r="27">
      <c r="A27" s="27" t="inlineStr">
        <is>
          <t>-1.50%</t>
        </is>
      </c>
      <c r="B27" s="47">
        <f>'BS Engine'!$B$4</f>
        <v/>
      </c>
      <c r="C27" s="28">
        <f>'BS Engine'!$C$4</f>
        <v/>
      </c>
      <c r="D27" s="55">
        <f>IF((MAX(0,Assumptions!$B$2*EXP(-Assumptions!$B$4*Assumptions!$B$9)*NORMSDIST(((LN(Assumptions!$B$2/$B6)+(Assumptions!$B$3-Assumptions!$B$4+(D$3/100)^2/2)*Assumptions!$B$9)/((D$3/100)*Assumptions!$B$10)))-$B6*EXP(-Assumptions!$B$3*Assumptions!$B$9)*NORMSDIST((((LN(Assumptions!$B$2/$B6)+(Assumptions!$B$3-Assumptions!$B$4+(D$3/100)^2/2)*Assumptions!$B$9)/((D$3/100)*Assumptions!$B$10))-(D$3/100)*Assumptions!$B$10))))&lt;=0,"",(Assumptions!$B$2*EXP(-Assumptions!$B$4*Assumptions!$B$9)*NORMDIST(((LN(Assumptions!$B$2/$B6)+(Assumptions!$B$3-Assumptions!$B$4+(D$3/100)^2/2)*Assumptions!$B$9)/((D$3/100)*Assumptions!$B$10)),0,1,FALSE)*Assumptions!$B$10*0.01)*0.5/(MAX(0,Assumptions!$B$2*EXP(-Assumptions!$B$4*Assumptions!$B$9)*NORMSDIST(((LN(Assumptions!$B$2/$B6)+(Assumptions!$B$3-Assumptions!$B$4+(D$3/100)^2/2)*Assumptions!$B$9)/((D$3/100)*Assumptions!$B$10)))-$B6*EXP(-Assumptions!$B$3*Assumptions!$B$9)*NORMSDIST((((LN(Assumptions!$B$2/$B6)+(Assumptions!$B$3-Assumptions!$B$4+(D$3/100)^2/2)*Assumptions!$B$9)/((D$3/100)*Assumptions!$B$10))-(D$3/100)*Assumptions!$B$10)))))</f>
        <v/>
      </c>
      <c r="E27" s="56">
        <f>IF((MAX(0,Assumptions!$B$2*EXP(-Assumptions!$B$4*Assumptions!$B$9)*NORMSDIST(((LN(Assumptions!$B$2/$B6)+(Assumptions!$B$3-Assumptions!$B$4+(E$3/100)^2/2)*Assumptions!$B$9)/((E$3/100)*Assumptions!$B$10)))-$B6*EXP(-Assumptions!$B$3*Assumptions!$B$9)*NORMSDIST((((LN(Assumptions!$B$2/$B6)+(Assumptions!$B$3-Assumptions!$B$4+(E$3/100)^2/2)*Assumptions!$B$9)/((E$3/100)*Assumptions!$B$10))-(E$3/100)*Assumptions!$B$10))))&lt;=0,"",(Assumptions!$B$2*EXP(-Assumptions!$B$4*Assumptions!$B$9)*NORMDIST(((LN(Assumptions!$B$2/$B6)+(Assumptions!$B$3-Assumptions!$B$4+(E$3/100)^2/2)*Assumptions!$B$9)/((E$3/100)*Assumptions!$B$10)),0,1,FALSE)*Assumptions!$B$10*0.01)*0.5/(MAX(0,Assumptions!$B$2*EXP(-Assumptions!$B$4*Assumptions!$B$9)*NORMSDIST(((LN(Assumptions!$B$2/$B6)+(Assumptions!$B$3-Assumptions!$B$4+(E$3/100)^2/2)*Assumptions!$B$9)/((E$3/100)*Assumptions!$B$10)))-$B6*EXP(-Assumptions!$B$3*Assumptions!$B$9)*NORMSDIST((((LN(Assumptions!$B$2/$B6)+(Assumptions!$B$3-Assumptions!$B$4+(E$3/100)^2/2)*Assumptions!$B$9)/((E$3/100)*Assumptions!$B$10))-(E$3/100)*Assumptions!$B$10)))))</f>
        <v/>
      </c>
      <c r="F27" s="56">
        <f>IF((MAX(0,Assumptions!$B$2*EXP(-Assumptions!$B$4*Assumptions!$B$9)*NORMSDIST(((LN(Assumptions!$B$2/$B6)+(Assumptions!$B$3-Assumptions!$B$4+(F$3/100)^2/2)*Assumptions!$B$9)/((F$3/100)*Assumptions!$B$10)))-$B6*EXP(-Assumptions!$B$3*Assumptions!$B$9)*NORMSDIST((((LN(Assumptions!$B$2/$B6)+(Assumptions!$B$3-Assumptions!$B$4+(F$3/100)^2/2)*Assumptions!$B$9)/((F$3/100)*Assumptions!$B$10))-(F$3/100)*Assumptions!$B$10))))&lt;=0,"",(Assumptions!$B$2*EXP(-Assumptions!$B$4*Assumptions!$B$9)*NORMDIST(((LN(Assumptions!$B$2/$B6)+(Assumptions!$B$3-Assumptions!$B$4+(F$3/100)^2/2)*Assumptions!$B$9)/((F$3/100)*Assumptions!$B$10)),0,1,FALSE)*Assumptions!$B$10*0.01)*0.5/(MAX(0,Assumptions!$B$2*EXP(-Assumptions!$B$4*Assumptions!$B$9)*NORMSDIST(((LN(Assumptions!$B$2/$B6)+(Assumptions!$B$3-Assumptions!$B$4+(F$3/100)^2/2)*Assumptions!$B$9)/((F$3/100)*Assumptions!$B$10)))-$B6*EXP(-Assumptions!$B$3*Assumptions!$B$9)*NORMSDIST((((LN(Assumptions!$B$2/$B6)+(Assumptions!$B$3-Assumptions!$B$4+(F$3/100)^2/2)*Assumptions!$B$9)/((F$3/100)*Assumptions!$B$10))-(F$3/100)*Assumptions!$B$10)))))</f>
        <v/>
      </c>
      <c r="G27" s="56">
        <f>IF((MAX(0,Assumptions!$B$2*EXP(-Assumptions!$B$4*Assumptions!$B$9)*NORMSDIST(((LN(Assumptions!$B$2/$B6)+(Assumptions!$B$3-Assumptions!$B$4+(G$3/100)^2/2)*Assumptions!$B$9)/((G$3/100)*Assumptions!$B$10)))-$B6*EXP(-Assumptions!$B$3*Assumptions!$B$9)*NORMSDIST((((LN(Assumptions!$B$2/$B6)+(Assumptions!$B$3-Assumptions!$B$4+(G$3/100)^2/2)*Assumptions!$B$9)/((G$3/100)*Assumptions!$B$10))-(G$3/100)*Assumptions!$B$10))))&lt;=0,"",(Assumptions!$B$2*EXP(-Assumptions!$B$4*Assumptions!$B$9)*NORMDIST(((LN(Assumptions!$B$2/$B6)+(Assumptions!$B$3-Assumptions!$B$4+(G$3/100)^2/2)*Assumptions!$B$9)/((G$3/100)*Assumptions!$B$10)),0,1,FALSE)*Assumptions!$B$10*0.01)*0.5/(MAX(0,Assumptions!$B$2*EXP(-Assumptions!$B$4*Assumptions!$B$9)*NORMSDIST(((LN(Assumptions!$B$2/$B6)+(Assumptions!$B$3-Assumptions!$B$4+(G$3/100)^2/2)*Assumptions!$B$9)/((G$3/100)*Assumptions!$B$10)))-$B6*EXP(-Assumptions!$B$3*Assumptions!$B$9)*NORMSDIST((((LN(Assumptions!$B$2/$B6)+(Assumptions!$B$3-Assumptions!$B$4+(G$3/100)^2/2)*Assumptions!$B$9)/((G$3/100)*Assumptions!$B$10))-(G$3/100)*Assumptions!$B$10)))))</f>
        <v/>
      </c>
      <c r="H27" s="56">
        <f>IF((MAX(0,Assumptions!$B$2*EXP(-Assumptions!$B$4*Assumptions!$B$9)*NORMSDIST(((LN(Assumptions!$B$2/$B6)+(Assumptions!$B$3-Assumptions!$B$4+(H$3/100)^2/2)*Assumptions!$B$9)/((H$3/100)*Assumptions!$B$10)))-$B6*EXP(-Assumptions!$B$3*Assumptions!$B$9)*NORMSDIST((((LN(Assumptions!$B$2/$B6)+(Assumptions!$B$3-Assumptions!$B$4+(H$3/100)^2/2)*Assumptions!$B$9)/((H$3/100)*Assumptions!$B$10))-(H$3/100)*Assumptions!$B$10))))&lt;=0,"",(Assumptions!$B$2*EXP(-Assumptions!$B$4*Assumptions!$B$9)*NORMDIST(((LN(Assumptions!$B$2/$B6)+(Assumptions!$B$3-Assumptions!$B$4+(H$3/100)^2/2)*Assumptions!$B$9)/((H$3/100)*Assumptions!$B$10)),0,1,FALSE)*Assumptions!$B$10*0.01)*0.5/(MAX(0,Assumptions!$B$2*EXP(-Assumptions!$B$4*Assumptions!$B$9)*NORMSDIST(((LN(Assumptions!$B$2/$B6)+(Assumptions!$B$3-Assumptions!$B$4+(H$3/100)^2/2)*Assumptions!$B$9)/((H$3/100)*Assumptions!$B$10)))-$B6*EXP(-Assumptions!$B$3*Assumptions!$B$9)*NORMSDIST((((LN(Assumptions!$B$2/$B6)+(Assumptions!$B$3-Assumptions!$B$4+(H$3/100)^2/2)*Assumptions!$B$9)/((H$3/100)*Assumptions!$B$10))-(H$3/100)*Assumptions!$B$10)))))</f>
        <v/>
      </c>
      <c r="I27" s="56">
        <f>IF((MAX(0,Assumptions!$B$2*EXP(-Assumptions!$B$4*Assumptions!$B$9)*NORMSDIST(((LN(Assumptions!$B$2/$B6)+(Assumptions!$B$3-Assumptions!$B$4+(I$3/100)^2/2)*Assumptions!$B$9)/((I$3/100)*Assumptions!$B$10)))-$B6*EXP(-Assumptions!$B$3*Assumptions!$B$9)*NORMSDIST((((LN(Assumptions!$B$2/$B6)+(Assumptions!$B$3-Assumptions!$B$4+(I$3/100)^2/2)*Assumptions!$B$9)/((I$3/100)*Assumptions!$B$10))-(I$3/100)*Assumptions!$B$10))))&lt;=0,"",(Assumptions!$B$2*EXP(-Assumptions!$B$4*Assumptions!$B$9)*NORMDIST(((LN(Assumptions!$B$2/$B6)+(Assumptions!$B$3-Assumptions!$B$4+(I$3/100)^2/2)*Assumptions!$B$9)/((I$3/100)*Assumptions!$B$10)),0,1,FALSE)*Assumptions!$B$10*0.01)*0.5/(MAX(0,Assumptions!$B$2*EXP(-Assumptions!$B$4*Assumptions!$B$9)*NORMSDIST(((LN(Assumptions!$B$2/$B6)+(Assumptions!$B$3-Assumptions!$B$4+(I$3/100)^2/2)*Assumptions!$B$9)/((I$3/100)*Assumptions!$B$10)))-$B6*EXP(-Assumptions!$B$3*Assumptions!$B$9)*NORMSDIST((((LN(Assumptions!$B$2/$B6)+(Assumptions!$B$3-Assumptions!$B$4+(I$3/100)^2/2)*Assumptions!$B$9)/((I$3/100)*Assumptions!$B$10))-(I$3/100)*Assumptions!$B$10)))))</f>
        <v/>
      </c>
      <c r="J27" s="56">
        <f>IF((MAX(0,Assumptions!$B$2*EXP(-Assumptions!$B$4*Assumptions!$B$9)*NORMSDIST(((LN(Assumptions!$B$2/$B6)+(Assumptions!$B$3-Assumptions!$B$4+(J$3/100)^2/2)*Assumptions!$B$9)/((J$3/100)*Assumptions!$B$10)))-$B6*EXP(-Assumptions!$B$3*Assumptions!$B$9)*NORMSDIST((((LN(Assumptions!$B$2/$B6)+(Assumptions!$B$3-Assumptions!$B$4+(J$3/100)^2/2)*Assumptions!$B$9)/((J$3/100)*Assumptions!$B$10))-(J$3/100)*Assumptions!$B$10))))&lt;=0,"",(Assumptions!$B$2*EXP(-Assumptions!$B$4*Assumptions!$B$9)*NORMDIST(((LN(Assumptions!$B$2/$B6)+(Assumptions!$B$3-Assumptions!$B$4+(J$3/100)^2/2)*Assumptions!$B$9)/((J$3/100)*Assumptions!$B$10)),0,1,FALSE)*Assumptions!$B$10*0.01)*0.5/(MAX(0,Assumptions!$B$2*EXP(-Assumptions!$B$4*Assumptions!$B$9)*NORMSDIST(((LN(Assumptions!$B$2/$B6)+(Assumptions!$B$3-Assumptions!$B$4+(J$3/100)^2/2)*Assumptions!$B$9)/((J$3/100)*Assumptions!$B$10)))-$B6*EXP(-Assumptions!$B$3*Assumptions!$B$9)*NORMSDIST((((LN(Assumptions!$B$2/$B6)+(Assumptions!$B$3-Assumptions!$B$4+(J$3/100)^2/2)*Assumptions!$B$9)/((J$3/100)*Assumptions!$B$10))-(J$3/100)*Assumptions!$B$10)))))</f>
        <v/>
      </c>
      <c r="K27" s="56">
        <f>IF((MAX(0,Assumptions!$B$2*EXP(-Assumptions!$B$4*Assumptions!$B$9)*NORMSDIST(((LN(Assumptions!$B$2/$B6)+(Assumptions!$B$3-Assumptions!$B$4+(K$3/100)^2/2)*Assumptions!$B$9)/((K$3/100)*Assumptions!$B$10)))-$B6*EXP(-Assumptions!$B$3*Assumptions!$B$9)*NORMSDIST((((LN(Assumptions!$B$2/$B6)+(Assumptions!$B$3-Assumptions!$B$4+(K$3/100)^2/2)*Assumptions!$B$9)/((K$3/100)*Assumptions!$B$10))-(K$3/100)*Assumptions!$B$10))))&lt;=0,"",(Assumptions!$B$2*EXP(-Assumptions!$B$4*Assumptions!$B$9)*NORMDIST(((LN(Assumptions!$B$2/$B6)+(Assumptions!$B$3-Assumptions!$B$4+(K$3/100)^2/2)*Assumptions!$B$9)/((K$3/100)*Assumptions!$B$10)),0,1,FALSE)*Assumptions!$B$10*0.01)*0.5/(MAX(0,Assumptions!$B$2*EXP(-Assumptions!$B$4*Assumptions!$B$9)*NORMSDIST(((LN(Assumptions!$B$2/$B6)+(Assumptions!$B$3-Assumptions!$B$4+(K$3/100)^2/2)*Assumptions!$B$9)/((K$3/100)*Assumptions!$B$10)))-$B6*EXP(-Assumptions!$B$3*Assumptions!$B$9)*NORMSDIST((((LN(Assumptions!$B$2/$B6)+(Assumptions!$B$3-Assumptions!$B$4+(K$3/100)^2/2)*Assumptions!$B$9)/((K$3/100)*Assumptions!$B$10))-(K$3/100)*Assumptions!$B$10)))))</f>
        <v/>
      </c>
      <c r="L27" s="56">
        <f>IF((MAX(0,Assumptions!$B$2*EXP(-Assumptions!$B$4*Assumptions!$B$9)*NORMSDIST(((LN(Assumptions!$B$2/$B6)+(Assumptions!$B$3-Assumptions!$B$4+(L$3/100)^2/2)*Assumptions!$B$9)/((L$3/100)*Assumptions!$B$10)))-$B6*EXP(-Assumptions!$B$3*Assumptions!$B$9)*NORMSDIST((((LN(Assumptions!$B$2/$B6)+(Assumptions!$B$3-Assumptions!$B$4+(L$3/100)^2/2)*Assumptions!$B$9)/((L$3/100)*Assumptions!$B$10))-(L$3/100)*Assumptions!$B$10))))&lt;=0,"",(Assumptions!$B$2*EXP(-Assumptions!$B$4*Assumptions!$B$9)*NORMDIST(((LN(Assumptions!$B$2/$B6)+(Assumptions!$B$3-Assumptions!$B$4+(L$3/100)^2/2)*Assumptions!$B$9)/((L$3/100)*Assumptions!$B$10)),0,1,FALSE)*Assumptions!$B$10*0.01)*0.5/(MAX(0,Assumptions!$B$2*EXP(-Assumptions!$B$4*Assumptions!$B$9)*NORMSDIST(((LN(Assumptions!$B$2/$B6)+(Assumptions!$B$3-Assumptions!$B$4+(L$3/100)^2/2)*Assumptions!$B$9)/((L$3/100)*Assumptions!$B$10)))-$B6*EXP(-Assumptions!$B$3*Assumptions!$B$9)*NORMSDIST((((LN(Assumptions!$B$2/$B6)+(Assumptions!$B$3-Assumptions!$B$4+(L$3/100)^2/2)*Assumptions!$B$9)/((L$3/100)*Assumptions!$B$10))-(L$3/100)*Assumptions!$B$10)))))</f>
        <v/>
      </c>
      <c r="M27" s="56">
        <f>IF((MAX(0,Assumptions!$B$2*EXP(-Assumptions!$B$4*Assumptions!$B$9)*NORMSDIST(((LN(Assumptions!$B$2/$B6)+(Assumptions!$B$3-Assumptions!$B$4+(M$3/100)^2/2)*Assumptions!$B$9)/((M$3/100)*Assumptions!$B$10)))-$B6*EXP(-Assumptions!$B$3*Assumptions!$B$9)*NORMSDIST((((LN(Assumptions!$B$2/$B6)+(Assumptions!$B$3-Assumptions!$B$4+(M$3/100)^2/2)*Assumptions!$B$9)/((M$3/100)*Assumptions!$B$10))-(M$3/100)*Assumptions!$B$10))))&lt;=0,"",(Assumptions!$B$2*EXP(-Assumptions!$B$4*Assumptions!$B$9)*NORMDIST(((LN(Assumptions!$B$2/$B6)+(Assumptions!$B$3-Assumptions!$B$4+(M$3/100)^2/2)*Assumptions!$B$9)/((M$3/100)*Assumptions!$B$10)),0,1,FALSE)*Assumptions!$B$10*0.01)*0.5/(MAX(0,Assumptions!$B$2*EXP(-Assumptions!$B$4*Assumptions!$B$9)*NORMSDIST(((LN(Assumptions!$B$2/$B6)+(Assumptions!$B$3-Assumptions!$B$4+(M$3/100)^2/2)*Assumptions!$B$9)/((M$3/100)*Assumptions!$B$10)))-$B6*EXP(-Assumptions!$B$3*Assumptions!$B$9)*NORMSDIST((((LN(Assumptions!$B$2/$B6)+(Assumptions!$B$3-Assumptions!$B$4+(M$3/100)^2/2)*Assumptions!$B$9)/((M$3/100)*Assumptions!$B$10))-(M$3/100)*Assumptions!$B$10)))))</f>
        <v/>
      </c>
      <c r="N27" s="56">
        <f>IF((MAX(0,Assumptions!$B$2*EXP(-Assumptions!$B$4*Assumptions!$B$9)*NORMSDIST(((LN(Assumptions!$B$2/$B6)+(Assumptions!$B$3-Assumptions!$B$4+(N$3/100)^2/2)*Assumptions!$B$9)/((N$3/100)*Assumptions!$B$10)))-$B6*EXP(-Assumptions!$B$3*Assumptions!$B$9)*NORMSDIST((((LN(Assumptions!$B$2/$B6)+(Assumptions!$B$3-Assumptions!$B$4+(N$3/100)^2/2)*Assumptions!$B$9)/((N$3/100)*Assumptions!$B$10))-(N$3/100)*Assumptions!$B$10))))&lt;=0,"",(Assumptions!$B$2*EXP(-Assumptions!$B$4*Assumptions!$B$9)*NORMDIST(((LN(Assumptions!$B$2/$B6)+(Assumptions!$B$3-Assumptions!$B$4+(N$3/100)^2/2)*Assumptions!$B$9)/((N$3/100)*Assumptions!$B$10)),0,1,FALSE)*Assumptions!$B$10*0.01)*0.5/(MAX(0,Assumptions!$B$2*EXP(-Assumptions!$B$4*Assumptions!$B$9)*NORMSDIST(((LN(Assumptions!$B$2/$B6)+(Assumptions!$B$3-Assumptions!$B$4+(N$3/100)^2/2)*Assumptions!$B$9)/((N$3/100)*Assumptions!$B$10)))-$B6*EXP(-Assumptions!$B$3*Assumptions!$B$9)*NORMSDIST((((LN(Assumptions!$B$2/$B6)+(Assumptions!$B$3-Assumptions!$B$4+(N$3/100)^2/2)*Assumptions!$B$9)/((N$3/100)*Assumptions!$B$10))-(N$3/100)*Assumptions!$B$10)))))</f>
        <v/>
      </c>
      <c r="O27" s="56">
        <f>IF((MAX(0,Assumptions!$B$2*EXP(-Assumptions!$B$4*Assumptions!$B$9)*NORMSDIST(((LN(Assumptions!$B$2/$B6)+(Assumptions!$B$3-Assumptions!$B$4+(O$3/100)^2/2)*Assumptions!$B$9)/((O$3/100)*Assumptions!$B$10)))-$B6*EXP(-Assumptions!$B$3*Assumptions!$B$9)*NORMSDIST((((LN(Assumptions!$B$2/$B6)+(Assumptions!$B$3-Assumptions!$B$4+(O$3/100)^2/2)*Assumptions!$B$9)/((O$3/100)*Assumptions!$B$10))-(O$3/100)*Assumptions!$B$10))))&lt;=0,"",(Assumptions!$B$2*EXP(-Assumptions!$B$4*Assumptions!$B$9)*NORMDIST(((LN(Assumptions!$B$2/$B6)+(Assumptions!$B$3-Assumptions!$B$4+(O$3/100)^2/2)*Assumptions!$B$9)/((O$3/100)*Assumptions!$B$10)),0,1,FALSE)*Assumptions!$B$10*0.01)*0.5/(MAX(0,Assumptions!$B$2*EXP(-Assumptions!$B$4*Assumptions!$B$9)*NORMSDIST(((LN(Assumptions!$B$2/$B6)+(Assumptions!$B$3-Assumptions!$B$4+(O$3/100)^2/2)*Assumptions!$B$9)/((O$3/100)*Assumptions!$B$10)))-$B6*EXP(-Assumptions!$B$3*Assumptions!$B$9)*NORMSDIST((((LN(Assumptions!$B$2/$B6)+(Assumptions!$B$3-Assumptions!$B$4+(O$3/100)^2/2)*Assumptions!$B$9)/((O$3/100)*Assumptions!$B$10))-(O$3/100)*Assumptions!$B$10)))))</f>
        <v/>
      </c>
      <c r="P27" s="56">
        <f>IF((MAX(0,Assumptions!$B$2*EXP(-Assumptions!$B$4*Assumptions!$B$9)*NORMSDIST(((LN(Assumptions!$B$2/$B6)+(Assumptions!$B$3-Assumptions!$B$4+(P$3/100)^2/2)*Assumptions!$B$9)/((P$3/100)*Assumptions!$B$10)))-$B6*EXP(-Assumptions!$B$3*Assumptions!$B$9)*NORMSDIST((((LN(Assumptions!$B$2/$B6)+(Assumptions!$B$3-Assumptions!$B$4+(P$3/100)^2/2)*Assumptions!$B$9)/((P$3/100)*Assumptions!$B$10))-(P$3/100)*Assumptions!$B$10))))&lt;=0,"",(Assumptions!$B$2*EXP(-Assumptions!$B$4*Assumptions!$B$9)*NORMDIST(((LN(Assumptions!$B$2/$B6)+(Assumptions!$B$3-Assumptions!$B$4+(P$3/100)^2/2)*Assumptions!$B$9)/((P$3/100)*Assumptions!$B$10)),0,1,FALSE)*Assumptions!$B$10*0.01)*0.5/(MAX(0,Assumptions!$B$2*EXP(-Assumptions!$B$4*Assumptions!$B$9)*NORMSDIST(((LN(Assumptions!$B$2/$B6)+(Assumptions!$B$3-Assumptions!$B$4+(P$3/100)^2/2)*Assumptions!$B$9)/((P$3/100)*Assumptions!$B$10)))-$B6*EXP(-Assumptions!$B$3*Assumptions!$B$9)*NORMSDIST((((LN(Assumptions!$B$2/$B6)+(Assumptions!$B$3-Assumptions!$B$4+(P$3/100)^2/2)*Assumptions!$B$9)/((P$3/100)*Assumptions!$B$10))-(P$3/100)*Assumptions!$B$10)))))</f>
        <v/>
      </c>
      <c r="Q27" s="56">
        <f>IF((MAX(0,Assumptions!$B$2*EXP(-Assumptions!$B$4*Assumptions!$B$9)*NORMSDIST(((LN(Assumptions!$B$2/$B6)+(Assumptions!$B$3-Assumptions!$B$4+(Q$3/100)^2/2)*Assumptions!$B$9)/((Q$3/100)*Assumptions!$B$10)))-$B6*EXP(-Assumptions!$B$3*Assumptions!$B$9)*NORMSDIST((((LN(Assumptions!$B$2/$B6)+(Assumptions!$B$3-Assumptions!$B$4+(Q$3/100)^2/2)*Assumptions!$B$9)/((Q$3/100)*Assumptions!$B$10))-(Q$3/100)*Assumptions!$B$10))))&lt;=0,"",(Assumptions!$B$2*EXP(-Assumptions!$B$4*Assumptions!$B$9)*NORMDIST(((LN(Assumptions!$B$2/$B6)+(Assumptions!$B$3-Assumptions!$B$4+(Q$3/100)^2/2)*Assumptions!$B$9)/((Q$3/100)*Assumptions!$B$10)),0,1,FALSE)*Assumptions!$B$10*0.01)*0.5/(MAX(0,Assumptions!$B$2*EXP(-Assumptions!$B$4*Assumptions!$B$9)*NORMSDIST(((LN(Assumptions!$B$2/$B6)+(Assumptions!$B$3-Assumptions!$B$4+(Q$3/100)^2/2)*Assumptions!$B$9)/((Q$3/100)*Assumptions!$B$10)))-$B6*EXP(-Assumptions!$B$3*Assumptions!$B$9)*NORMSDIST((((LN(Assumptions!$B$2/$B6)+(Assumptions!$B$3-Assumptions!$B$4+(Q$3/100)^2/2)*Assumptions!$B$9)/((Q$3/100)*Assumptions!$B$10))-(Q$3/100)*Assumptions!$B$10)))))</f>
        <v/>
      </c>
      <c r="R27" s="56">
        <f>IF((MAX(0,Assumptions!$B$2*EXP(-Assumptions!$B$4*Assumptions!$B$9)*NORMSDIST(((LN(Assumptions!$B$2/$B6)+(Assumptions!$B$3-Assumptions!$B$4+(R$3/100)^2/2)*Assumptions!$B$9)/((R$3/100)*Assumptions!$B$10)))-$B6*EXP(-Assumptions!$B$3*Assumptions!$B$9)*NORMSDIST((((LN(Assumptions!$B$2/$B6)+(Assumptions!$B$3-Assumptions!$B$4+(R$3/100)^2/2)*Assumptions!$B$9)/((R$3/100)*Assumptions!$B$10))-(R$3/100)*Assumptions!$B$10))))&lt;=0,"",(Assumptions!$B$2*EXP(-Assumptions!$B$4*Assumptions!$B$9)*NORMDIST(((LN(Assumptions!$B$2/$B6)+(Assumptions!$B$3-Assumptions!$B$4+(R$3/100)^2/2)*Assumptions!$B$9)/((R$3/100)*Assumptions!$B$10)),0,1,FALSE)*Assumptions!$B$10*0.01)*0.5/(MAX(0,Assumptions!$B$2*EXP(-Assumptions!$B$4*Assumptions!$B$9)*NORMSDIST(((LN(Assumptions!$B$2/$B6)+(Assumptions!$B$3-Assumptions!$B$4+(R$3/100)^2/2)*Assumptions!$B$9)/((R$3/100)*Assumptions!$B$10)))-$B6*EXP(-Assumptions!$B$3*Assumptions!$B$9)*NORMSDIST((((LN(Assumptions!$B$2/$B6)+(Assumptions!$B$3-Assumptions!$B$4+(R$3/100)^2/2)*Assumptions!$B$9)/((R$3/100)*Assumptions!$B$10))-(R$3/100)*Assumptions!$B$10)))))</f>
        <v/>
      </c>
      <c r="S27" s="56">
        <f>IF((MAX(0,Assumptions!$B$2*EXP(-Assumptions!$B$4*Assumptions!$B$9)*NORMSDIST(((LN(Assumptions!$B$2/$B6)+(Assumptions!$B$3-Assumptions!$B$4+(S$3/100)^2/2)*Assumptions!$B$9)/((S$3/100)*Assumptions!$B$10)))-$B6*EXP(-Assumptions!$B$3*Assumptions!$B$9)*NORMSDIST((((LN(Assumptions!$B$2/$B6)+(Assumptions!$B$3-Assumptions!$B$4+(S$3/100)^2/2)*Assumptions!$B$9)/((S$3/100)*Assumptions!$B$10))-(S$3/100)*Assumptions!$B$10))))&lt;=0,"",(Assumptions!$B$2*EXP(-Assumptions!$B$4*Assumptions!$B$9)*NORMDIST(((LN(Assumptions!$B$2/$B6)+(Assumptions!$B$3-Assumptions!$B$4+(S$3/100)^2/2)*Assumptions!$B$9)/((S$3/100)*Assumptions!$B$10)),0,1,FALSE)*Assumptions!$B$10*0.01)*0.5/(MAX(0,Assumptions!$B$2*EXP(-Assumptions!$B$4*Assumptions!$B$9)*NORMSDIST(((LN(Assumptions!$B$2/$B6)+(Assumptions!$B$3-Assumptions!$B$4+(S$3/100)^2/2)*Assumptions!$B$9)/((S$3/100)*Assumptions!$B$10)))-$B6*EXP(-Assumptions!$B$3*Assumptions!$B$9)*NORMSDIST((((LN(Assumptions!$B$2/$B6)+(Assumptions!$B$3-Assumptions!$B$4+(S$3/100)^2/2)*Assumptions!$B$9)/((S$3/100)*Assumptions!$B$10))-(S$3/100)*Assumptions!$B$10)))))</f>
        <v/>
      </c>
      <c r="T27" s="56">
        <f>IF((MAX(0,Assumptions!$B$2*EXP(-Assumptions!$B$4*Assumptions!$B$9)*NORMSDIST(((LN(Assumptions!$B$2/$B6)+(Assumptions!$B$3-Assumptions!$B$4+(T$3/100)^2/2)*Assumptions!$B$9)/((T$3/100)*Assumptions!$B$10)))-$B6*EXP(-Assumptions!$B$3*Assumptions!$B$9)*NORMSDIST((((LN(Assumptions!$B$2/$B6)+(Assumptions!$B$3-Assumptions!$B$4+(T$3/100)^2/2)*Assumptions!$B$9)/((T$3/100)*Assumptions!$B$10))-(T$3/100)*Assumptions!$B$10))))&lt;=0,"",(Assumptions!$B$2*EXP(-Assumptions!$B$4*Assumptions!$B$9)*NORMDIST(((LN(Assumptions!$B$2/$B6)+(Assumptions!$B$3-Assumptions!$B$4+(T$3/100)^2/2)*Assumptions!$B$9)/((T$3/100)*Assumptions!$B$10)),0,1,FALSE)*Assumptions!$B$10*0.01)*0.5/(MAX(0,Assumptions!$B$2*EXP(-Assumptions!$B$4*Assumptions!$B$9)*NORMSDIST(((LN(Assumptions!$B$2/$B6)+(Assumptions!$B$3-Assumptions!$B$4+(T$3/100)^2/2)*Assumptions!$B$9)/((T$3/100)*Assumptions!$B$10)))-$B6*EXP(-Assumptions!$B$3*Assumptions!$B$9)*NORMSDIST((((LN(Assumptions!$B$2/$B6)+(Assumptions!$B$3-Assumptions!$B$4+(T$3/100)^2/2)*Assumptions!$B$9)/((T$3/100)*Assumptions!$B$10))-(T$3/100)*Assumptions!$B$10)))))</f>
        <v/>
      </c>
      <c r="U27" s="56">
        <f>IF((MAX(0,Assumptions!$B$2*EXP(-Assumptions!$B$4*Assumptions!$B$9)*NORMSDIST(((LN(Assumptions!$B$2/$B6)+(Assumptions!$B$3-Assumptions!$B$4+(U$3/100)^2/2)*Assumptions!$B$9)/((U$3/100)*Assumptions!$B$10)))-$B6*EXP(-Assumptions!$B$3*Assumptions!$B$9)*NORMSDIST((((LN(Assumptions!$B$2/$B6)+(Assumptions!$B$3-Assumptions!$B$4+(U$3/100)^2/2)*Assumptions!$B$9)/((U$3/100)*Assumptions!$B$10))-(U$3/100)*Assumptions!$B$10))))&lt;=0,"",(Assumptions!$B$2*EXP(-Assumptions!$B$4*Assumptions!$B$9)*NORMDIST(((LN(Assumptions!$B$2/$B6)+(Assumptions!$B$3-Assumptions!$B$4+(U$3/100)^2/2)*Assumptions!$B$9)/((U$3/100)*Assumptions!$B$10)),0,1,FALSE)*Assumptions!$B$10*0.01)*0.5/(MAX(0,Assumptions!$B$2*EXP(-Assumptions!$B$4*Assumptions!$B$9)*NORMSDIST(((LN(Assumptions!$B$2/$B6)+(Assumptions!$B$3-Assumptions!$B$4+(U$3/100)^2/2)*Assumptions!$B$9)/((U$3/100)*Assumptions!$B$10)))-$B6*EXP(-Assumptions!$B$3*Assumptions!$B$9)*NORMSDIST((((LN(Assumptions!$B$2/$B6)+(Assumptions!$B$3-Assumptions!$B$4+(U$3/100)^2/2)*Assumptions!$B$9)/((U$3/100)*Assumptions!$B$10))-(U$3/100)*Assumptions!$B$10)))))</f>
        <v/>
      </c>
      <c r="V27" s="56">
        <f>IF((MAX(0,Assumptions!$B$2*EXP(-Assumptions!$B$4*Assumptions!$B$9)*NORMSDIST(((LN(Assumptions!$B$2/$B6)+(Assumptions!$B$3-Assumptions!$B$4+(V$3/100)^2/2)*Assumptions!$B$9)/((V$3/100)*Assumptions!$B$10)))-$B6*EXP(-Assumptions!$B$3*Assumptions!$B$9)*NORMSDIST((((LN(Assumptions!$B$2/$B6)+(Assumptions!$B$3-Assumptions!$B$4+(V$3/100)^2/2)*Assumptions!$B$9)/((V$3/100)*Assumptions!$B$10))-(V$3/100)*Assumptions!$B$10))))&lt;=0,"",(Assumptions!$B$2*EXP(-Assumptions!$B$4*Assumptions!$B$9)*NORMDIST(((LN(Assumptions!$B$2/$B6)+(Assumptions!$B$3-Assumptions!$B$4+(V$3/100)^2/2)*Assumptions!$B$9)/((V$3/100)*Assumptions!$B$10)),0,1,FALSE)*Assumptions!$B$10*0.01)*0.5/(MAX(0,Assumptions!$B$2*EXP(-Assumptions!$B$4*Assumptions!$B$9)*NORMSDIST(((LN(Assumptions!$B$2/$B6)+(Assumptions!$B$3-Assumptions!$B$4+(V$3/100)^2/2)*Assumptions!$B$9)/((V$3/100)*Assumptions!$B$10)))-$B6*EXP(-Assumptions!$B$3*Assumptions!$B$9)*NORMSDIST((((LN(Assumptions!$B$2/$B6)+(Assumptions!$B$3-Assumptions!$B$4+(V$3/100)^2/2)*Assumptions!$B$9)/((V$3/100)*Assumptions!$B$10))-(V$3/100)*Assumptions!$B$10)))))</f>
        <v/>
      </c>
      <c r="W27" s="56">
        <f>IF((MAX(0,Assumptions!$B$2*EXP(-Assumptions!$B$4*Assumptions!$B$9)*NORMSDIST(((LN(Assumptions!$B$2/$B6)+(Assumptions!$B$3-Assumptions!$B$4+(W$3/100)^2/2)*Assumptions!$B$9)/((W$3/100)*Assumptions!$B$10)))-$B6*EXP(-Assumptions!$B$3*Assumptions!$B$9)*NORMSDIST((((LN(Assumptions!$B$2/$B6)+(Assumptions!$B$3-Assumptions!$B$4+(W$3/100)^2/2)*Assumptions!$B$9)/((W$3/100)*Assumptions!$B$10))-(W$3/100)*Assumptions!$B$10))))&lt;=0,"",(Assumptions!$B$2*EXP(-Assumptions!$B$4*Assumptions!$B$9)*NORMDIST(((LN(Assumptions!$B$2/$B6)+(Assumptions!$B$3-Assumptions!$B$4+(W$3/100)^2/2)*Assumptions!$B$9)/((W$3/100)*Assumptions!$B$10)),0,1,FALSE)*Assumptions!$B$10*0.01)*0.5/(MAX(0,Assumptions!$B$2*EXP(-Assumptions!$B$4*Assumptions!$B$9)*NORMSDIST(((LN(Assumptions!$B$2/$B6)+(Assumptions!$B$3-Assumptions!$B$4+(W$3/100)^2/2)*Assumptions!$B$9)/((W$3/100)*Assumptions!$B$10)))-$B6*EXP(-Assumptions!$B$3*Assumptions!$B$9)*NORMSDIST((((LN(Assumptions!$B$2/$B6)+(Assumptions!$B$3-Assumptions!$B$4+(W$3/100)^2/2)*Assumptions!$B$9)/((W$3/100)*Assumptions!$B$10))-(W$3/100)*Assumptions!$B$10)))))</f>
        <v/>
      </c>
      <c r="X27" s="56">
        <f>IF((MAX(0,Assumptions!$B$2*EXP(-Assumptions!$B$4*Assumptions!$B$9)*NORMSDIST(((LN(Assumptions!$B$2/$B6)+(Assumptions!$B$3-Assumptions!$B$4+(X$3/100)^2/2)*Assumptions!$B$9)/((X$3/100)*Assumptions!$B$10)))-$B6*EXP(-Assumptions!$B$3*Assumptions!$B$9)*NORMSDIST((((LN(Assumptions!$B$2/$B6)+(Assumptions!$B$3-Assumptions!$B$4+(X$3/100)^2/2)*Assumptions!$B$9)/((X$3/100)*Assumptions!$B$10))-(X$3/100)*Assumptions!$B$10))))&lt;=0,"",(Assumptions!$B$2*EXP(-Assumptions!$B$4*Assumptions!$B$9)*NORMDIST(((LN(Assumptions!$B$2/$B6)+(Assumptions!$B$3-Assumptions!$B$4+(X$3/100)^2/2)*Assumptions!$B$9)/((X$3/100)*Assumptions!$B$10)),0,1,FALSE)*Assumptions!$B$10*0.01)*0.5/(MAX(0,Assumptions!$B$2*EXP(-Assumptions!$B$4*Assumptions!$B$9)*NORMSDIST(((LN(Assumptions!$B$2/$B6)+(Assumptions!$B$3-Assumptions!$B$4+(X$3/100)^2/2)*Assumptions!$B$9)/((X$3/100)*Assumptions!$B$10)))-$B6*EXP(-Assumptions!$B$3*Assumptions!$B$9)*NORMSDIST((((LN(Assumptions!$B$2/$B6)+(Assumptions!$B$3-Assumptions!$B$4+(X$3/100)^2/2)*Assumptions!$B$9)/((X$3/100)*Assumptions!$B$10))-(X$3/100)*Assumptions!$B$10)))))</f>
        <v/>
      </c>
      <c r="Y27" s="56">
        <f>IF((MAX(0,Assumptions!$B$2*EXP(-Assumptions!$B$4*Assumptions!$B$9)*NORMSDIST(((LN(Assumptions!$B$2/$B6)+(Assumptions!$B$3-Assumptions!$B$4+(Y$3/100)^2/2)*Assumptions!$B$9)/((Y$3/100)*Assumptions!$B$10)))-$B6*EXP(-Assumptions!$B$3*Assumptions!$B$9)*NORMSDIST((((LN(Assumptions!$B$2/$B6)+(Assumptions!$B$3-Assumptions!$B$4+(Y$3/100)^2/2)*Assumptions!$B$9)/((Y$3/100)*Assumptions!$B$10))-(Y$3/100)*Assumptions!$B$10))))&lt;=0,"",(Assumptions!$B$2*EXP(-Assumptions!$B$4*Assumptions!$B$9)*NORMDIST(((LN(Assumptions!$B$2/$B6)+(Assumptions!$B$3-Assumptions!$B$4+(Y$3/100)^2/2)*Assumptions!$B$9)/((Y$3/100)*Assumptions!$B$10)),0,1,FALSE)*Assumptions!$B$10*0.01)*0.5/(MAX(0,Assumptions!$B$2*EXP(-Assumptions!$B$4*Assumptions!$B$9)*NORMSDIST(((LN(Assumptions!$B$2/$B6)+(Assumptions!$B$3-Assumptions!$B$4+(Y$3/100)^2/2)*Assumptions!$B$9)/((Y$3/100)*Assumptions!$B$10)))-$B6*EXP(-Assumptions!$B$3*Assumptions!$B$9)*NORMSDIST((((LN(Assumptions!$B$2/$B6)+(Assumptions!$B$3-Assumptions!$B$4+(Y$3/100)^2/2)*Assumptions!$B$9)/((Y$3/100)*Assumptions!$B$10))-(Y$3/100)*Assumptions!$B$10)))))</f>
        <v/>
      </c>
      <c r="Z27" s="56">
        <f>IF((MAX(0,Assumptions!$B$2*EXP(-Assumptions!$B$4*Assumptions!$B$9)*NORMSDIST(((LN(Assumptions!$B$2/$B6)+(Assumptions!$B$3-Assumptions!$B$4+(Z$3/100)^2/2)*Assumptions!$B$9)/((Z$3/100)*Assumptions!$B$10)))-$B6*EXP(-Assumptions!$B$3*Assumptions!$B$9)*NORMSDIST((((LN(Assumptions!$B$2/$B6)+(Assumptions!$B$3-Assumptions!$B$4+(Z$3/100)^2/2)*Assumptions!$B$9)/((Z$3/100)*Assumptions!$B$10))-(Z$3/100)*Assumptions!$B$10))))&lt;=0,"",(Assumptions!$B$2*EXP(-Assumptions!$B$4*Assumptions!$B$9)*NORMDIST(((LN(Assumptions!$B$2/$B6)+(Assumptions!$B$3-Assumptions!$B$4+(Z$3/100)^2/2)*Assumptions!$B$9)/((Z$3/100)*Assumptions!$B$10)),0,1,FALSE)*Assumptions!$B$10*0.01)*0.5/(MAX(0,Assumptions!$B$2*EXP(-Assumptions!$B$4*Assumptions!$B$9)*NORMSDIST(((LN(Assumptions!$B$2/$B6)+(Assumptions!$B$3-Assumptions!$B$4+(Z$3/100)^2/2)*Assumptions!$B$9)/((Z$3/100)*Assumptions!$B$10)))-$B6*EXP(-Assumptions!$B$3*Assumptions!$B$9)*NORMSDIST((((LN(Assumptions!$B$2/$B6)+(Assumptions!$B$3-Assumptions!$B$4+(Z$3/100)^2/2)*Assumptions!$B$9)/((Z$3/100)*Assumptions!$B$10))-(Z$3/100)*Assumptions!$B$10)))))</f>
        <v/>
      </c>
      <c r="AA27" s="56">
        <f>IF((MAX(0,Assumptions!$B$2*EXP(-Assumptions!$B$4*Assumptions!$B$9)*NORMSDIST(((LN(Assumptions!$B$2/$B6)+(Assumptions!$B$3-Assumptions!$B$4+(AA$3/100)^2/2)*Assumptions!$B$9)/((AA$3/100)*Assumptions!$B$10)))-$B6*EXP(-Assumptions!$B$3*Assumptions!$B$9)*NORMSDIST((((LN(Assumptions!$B$2/$B6)+(Assumptions!$B$3-Assumptions!$B$4+(AA$3/100)^2/2)*Assumptions!$B$9)/((AA$3/100)*Assumptions!$B$10))-(AA$3/100)*Assumptions!$B$10))))&lt;=0,"",(Assumptions!$B$2*EXP(-Assumptions!$B$4*Assumptions!$B$9)*NORMDIST(((LN(Assumptions!$B$2/$B6)+(Assumptions!$B$3-Assumptions!$B$4+(AA$3/100)^2/2)*Assumptions!$B$9)/((AA$3/100)*Assumptions!$B$10)),0,1,FALSE)*Assumptions!$B$10*0.01)*0.5/(MAX(0,Assumptions!$B$2*EXP(-Assumptions!$B$4*Assumptions!$B$9)*NORMSDIST(((LN(Assumptions!$B$2/$B6)+(Assumptions!$B$3-Assumptions!$B$4+(AA$3/100)^2/2)*Assumptions!$B$9)/((AA$3/100)*Assumptions!$B$10)))-$B6*EXP(-Assumptions!$B$3*Assumptions!$B$9)*NORMSDIST((((LN(Assumptions!$B$2/$B6)+(Assumptions!$B$3-Assumptions!$B$4+(AA$3/100)^2/2)*Assumptions!$B$9)/((AA$3/100)*Assumptions!$B$10))-(AA$3/100)*Assumptions!$B$10)))))</f>
        <v/>
      </c>
      <c r="AB27" s="56">
        <f>IF((MAX(0,Assumptions!$B$2*EXP(-Assumptions!$B$4*Assumptions!$B$9)*NORMSDIST(((LN(Assumptions!$B$2/$B6)+(Assumptions!$B$3-Assumptions!$B$4+(AB$3/100)^2/2)*Assumptions!$B$9)/((AB$3/100)*Assumptions!$B$10)))-$B6*EXP(-Assumptions!$B$3*Assumptions!$B$9)*NORMSDIST((((LN(Assumptions!$B$2/$B6)+(Assumptions!$B$3-Assumptions!$B$4+(AB$3/100)^2/2)*Assumptions!$B$9)/((AB$3/100)*Assumptions!$B$10))-(AB$3/100)*Assumptions!$B$10))))&lt;=0,"",(Assumptions!$B$2*EXP(-Assumptions!$B$4*Assumptions!$B$9)*NORMDIST(((LN(Assumptions!$B$2/$B6)+(Assumptions!$B$3-Assumptions!$B$4+(AB$3/100)^2/2)*Assumptions!$B$9)/((AB$3/100)*Assumptions!$B$10)),0,1,FALSE)*Assumptions!$B$10*0.01)*0.5/(MAX(0,Assumptions!$B$2*EXP(-Assumptions!$B$4*Assumptions!$B$9)*NORMSDIST(((LN(Assumptions!$B$2/$B6)+(Assumptions!$B$3-Assumptions!$B$4+(AB$3/100)^2/2)*Assumptions!$B$9)/((AB$3/100)*Assumptions!$B$10)))-$B6*EXP(-Assumptions!$B$3*Assumptions!$B$9)*NORMSDIST((((LN(Assumptions!$B$2/$B6)+(Assumptions!$B$3-Assumptions!$B$4+(AB$3/100)^2/2)*Assumptions!$B$9)/((AB$3/100)*Assumptions!$B$10))-(AB$3/100)*Assumptions!$B$10)))))</f>
        <v/>
      </c>
      <c r="AC27" s="56">
        <f>IF((MAX(0,Assumptions!$B$2*EXP(-Assumptions!$B$4*Assumptions!$B$9)*NORMSDIST(((LN(Assumptions!$B$2/$B6)+(Assumptions!$B$3-Assumptions!$B$4+(AC$3/100)^2/2)*Assumptions!$B$9)/((AC$3/100)*Assumptions!$B$10)))-$B6*EXP(-Assumptions!$B$3*Assumptions!$B$9)*NORMSDIST((((LN(Assumptions!$B$2/$B6)+(Assumptions!$B$3-Assumptions!$B$4+(AC$3/100)^2/2)*Assumptions!$B$9)/((AC$3/100)*Assumptions!$B$10))-(AC$3/100)*Assumptions!$B$10))))&lt;=0,"",(Assumptions!$B$2*EXP(-Assumptions!$B$4*Assumptions!$B$9)*NORMDIST(((LN(Assumptions!$B$2/$B6)+(Assumptions!$B$3-Assumptions!$B$4+(AC$3/100)^2/2)*Assumptions!$B$9)/((AC$3/100)*Assumptions!$B$10)),0,1,FALSE)*Assumptions!$B$10*0.01)*0.5/(MAX(0,Assumptions!$B$2*EXP(-Assumptions!$B$4*Assumptions!$B$9)*NORMSDIST(((LN(Assumptions!$B$2/$B6)+(Assumptions!$B$3-Assumptions!$B$4+(AC$3/100)^2/2)*Assumptions!$B$9)/((AC$3/100)*Assumptions!$B$10)))-$B6*EXP(-Assumptions!$B$3*Assumptions!$B$9)*NORMSDIST((((LN(Assumptions!$B$2/$B6)+(Assumptions!$B$3-Assumptions!$B$4+(AC$3/100)^2/2)*Assumptions!$B$9)/((AC$3/100)*Assumptions!$B$10))-(AC$3/100)*Assumptions!$B$10)))))</f>
        <v/>
      </c>
      <c r="AD27" s="56">
        <f>IF((MAX(0,Assumptions!$B$2*EXP(-Assumptions!$B$4*Assumptions!$B$9)*NORMSDIST(((LN(Assumptions!$B$2/$B6)+(Assumptions!$B$3-Assumptions!$B$4+(AD$3/100)^2/2)*Assumptions!$B$9)/((AD$3/100)*Assumptions!$B$10)))-$B6*EXP(-Assumptions!$B$3*Assumptions!$B$9)*NORMSDIST((((LN(Assumptions!$B$2/$B6)+(Assumptions!$B$3-Assumptions!$B$4+(AD$3/100)^2/2)*Assumptions!$B$9)/((AD$3/100)*Assumptions!$B$10))-(AD$3/100)*Assumptions!$B$10))))&lt;=0,"",(Assumptions!$B$2*EXP(-Assumptions!$B$4*Assumptions!$B$9)*NORMDIST(((LN(Assumptions!$B$2/$B6)+(Assumptions!$B$3-Assumptions!$B$4+(AD$3/100)^2/2)*Assumptions!$B$9)/((AD$3/100)*Assumptions!$B$10)),0,1,FALSE)*Assumptions!$B$10*0.01)*0.5/(MAX(0,Assumptions!$B$2*EXP(-Assumptions!$B$4*Assumptions!$B$9)*NORMSDIST(((LN(Assumptions!$B$2/$B6)+(Assumptions!$B$3-Assumptions!$B$4+(AD$3/100)^2/2)*Assumptions!$B$9)/((AD$3/100)*Assumptions!$B$10)))-$B6*EXP(-Assumptions!$B$3*Assumptions!$B$9)*NORMSDIST((((LN(Assumptions!$B$2/$B6)+(Assumptions!$B$3-Assumptions!$B$4+(AD$3/100)^2/2)*Assumptions!$B$9)/((AD$3/100)*Assumptions!$B$10))-(AD$3/100)*Assumptions!$B$10)))))</f>
        <v/>
      </c>
      <c r="AE27" s="56">
        <f>IF((MAX(0,Assumptions!$B$2*EXP(-Assumptions!$B$4*Assumptions!$B$9)*NORMSDIST(((LN(Assumptions!$B$2/$B6)+(Assumptions!$B$3-Assumptions!$B$4+(AE$3/100)^2/2)*Assumptions!$B$9)/((AE$3/100)*Assumptions!$B$10)))-$B6*EXP(-Assumptions!$B$3*Assumptions!$B$9)*NORMSDIST((((LN(Assumptions!$B$2/$B6)+(Assumptions!$B$3-Assumptions!$B$4+(AE$3/100)^2/2)*Assumptions!$B$9)/((AE$3/100)*Assumptions!$B$10))-(AE$3/100)*Assumptions!$B$10))))&lt;=0,"",(Assumptions!$B$2*EXP(-Assumptions!$B$4*Assumptions!$B$9)*NORMDIST(((LN(Assumptions!$B$2/$B6)+(Assumptions!$B$3-Assumptions!$B$4+(AE$3/100)^2/2)*Assumptions!$B$9)/((AE$3/100)*Assumptions!$B$10)),0,1,FALSE)*Assumptions!$B$10*0.01)*0.5/(MAX(0,Assumptions!$B$2*EXP(-Assumptions!$B$4*Assumptions!$B$9)*NORMSDIST(((LN(Assumptions!$B$2/$B6)+(Assumptions!$B$3-Assumptions!$B$4+(AE$3/100)^2/2)*Assumptions!$B$9)/((AE$3/100)*Assumptions!$B$10)))-$B6*EXP(-Assumptions!$B$3*Assumptions!$B$9)*NORMSDIST((((LN(Assumptions!$B$2/$B6)+(Assumptions!$B$3-Assumptions!$B$4+(AE$3/100)^2/2)*Assumptions!$B$9)/((AE$3/100)*Assumptions!$B$10))-(AE$3/100)*Assumptions!$B$10)))))</f>
        <v/>
      </c>
      <c r="AF27" s="56">
        <f>IF((MAX(0,Assumptions!$B$2*EXP(-Assumptions!$B$4*Assumptions!$B$9)*NORMSDIST(((LN(Assumptions!$B$2/$B6)+(Assumptions!$B$3-Assumptions!$B$4+(AF$3/100)^2/2)*Assumptions!$B$9)/((AF$3/100)*Assumptions!$B$10)))-$B6*EXP(-Assumptions!$B$3*Assumptions!$B$9)*NORMSDIST((((LN(Assumptions!$B$2/$B6)+(Assumptions!$B$3-Assumptions!$B$4+(AF$3/100)^2/2)*Assumptions!$B$9)/((AF$3/100)*Assumptions!$B$10))-(AF$3/100)*Assumptions!$B$10))))&lt;=0,"",(Assumptions!$B$2*EXP(-Assumptions!$B$4*Assumptions!$B$9)*NORMDIST(((LN(Assumptions!$B$2/$B6)+(Assumptions!$B$3-Assumptions!$B$4+(AF$3/100)^2/2)*Assumptions!$B$9)/((AF$3/100)*Assumptions!$B$10)),0,1,FALSE)*Assumptions!$B$10*0.01)*0.5/(MAX(0,Assumptions!$B$2*EXP(-Assumptions!$B$4*Assumptions!$B$9)*NORMSDIST(((LN(Assumptions!$B$2/$B6)+(Assumptions!$B$3-Assumptions!$B$4+(AF$3/100)^2/2)*Assumptions!$B$9)/((AF$3/100)*Assumptions!$B$10)))-$B6*EXP(-Assumptions!$B$3*Assumptions!$B$9)*NORMSDIST((((LN(Assumptions!$B$2/$B6)+(Assumptions!$B$3-Assumptions!$B$4+(AF$3/100)^2/2)*Assumptions!$B$9)/((AF$3/100)*Assumptions!$B$10))-(AF$3/100)*Assumptions!$B$10)))))</f>
        <v/>
      </c>
      <c r="AG27" s="56">
        <f>IF((MAX(0,Assumptions!$B$2*EXP(-Assumptions!$B$4*Assumptions!$B$9)*NORMSDIST(((LN(Assumptions!$B$2/$B6)+(Assumptions!$B$3-Assumptions!$B$4+(AG$3/100)^2/2)*Assumptions!$B$9)/((AG$3/100)*Assumptions!$B$10)))-$B6*EXP(-Assumptions!$B$3*Assumptions!$B$9)*NORMSDIST((((LN(Assumptions!$B$2/$B6)+(Assumptions!$B$3-Assumptions!$B$4+(AG$3/100)^2/2)*Assumptions!$B$9)/((AG$3/100)*Assumptions!$B$10))-(AG$3/100)*Assumptions!$B$10))))&lt;=0,"",(Assumptions!$B$2*EXP(-Assumptions!$B$4*Assumptions!$B$9)*NORMDIST(((LN(Assumptions!$B$2/$B6)+(Assumptions!$B$3-Assumptions!$B$4+(AG$3/100)^2/2)*Assumptions!$B$9)/((AG$3/100)*Assumptions!$B$10)),0,1,FALSE)*Assumptions!$B$10*0.01)*0.5/(MAX(0,Assumptions!$B$2*EXP(-Assumptions!$B$4*Assumptions!$B$9)*NORMSDIST(((LN(Assumptions!$B$2/$B6)+(Assumptions!$B$3-Assumptions!$B$4+(AG$3/100)^2/2)*Assumptions!$B$9)/((AG$3/100)*Assumptions!$B$10)))-$B6*EXP(-Assumptions!$B$3*Assumptions!$B$9)*NORMSDIST((((LN(Assumptions!$B$2/$B6)+(Assumptions!$B$3-Assumptions!$B$4+(AG$3/100)^2/2)*Assumptions!$B$9)/((AG$3/100)*Assumptions!$B$10))-(AG$3/100)*Assumptions!$B$10)))))</f>
        <v/>
      </c>
      <c r="AH27" s="56">
        <f>IF((MAX(0,Assumptions!$B$2*EXP(-Assumptions!$B$4*Assumptions!$B$9)*NORMSDIST(((LN(Assumptions!$B$2/$B6)+(Assumptions!$B$3-Assumptions!$B$4+(AH$3/100)^2/2)*Assumptions!$B$9)/((AH$3/100)*Assumptions!$B$10)))-$B6*EXP(-Assumptions!$B$3*Assumptions!$B$9)*NORMSDIST((((LN(Assumptions!$B$2/$B6)+(Assumptions!$B$3-Assumptions!$B$4+(AH$3/100)^2/2)*Assumptions!$B$9)/((AH$3/100)*Assumptions!$B$10))-(AH$3/100)*Assumptions!$B$10))))&lt;=0,"",(Assumptions!$B$2*EXP(-Assumptions!$B$4*Assumptions!$B$9)*NORMDIST(((LN(Assumptions!$B$2/$B6)+(Assumptions!$B$3-Assumptions!$B$4+(AH$3/100)^2/2)*Assumptions!$B$9)/((AH$3/100)*Assumptions!$B$10)),0,1,FALSE)*Assumptions!$B$10*0.01)*0.5/(MAX(0,Assumptions!$B$2*EXP(-Assumptions!$B$4*Assumptions!$B$9)*NORMSDIST(((LN(Assumptions!$B$2/$B6)+(Assumptions!$B$3-Assumptions!$B$4+(AH$3/100)^2/2)*Assumptions!$B$9)/((AH$3/100)*Assumptions!$B$10)))-$B6*EXP(-Assumptions!$B$3*Assumptions!$B$9)*NORMSDIST((((LN(Assumptions!$B$2/$B6)+(Assumptions!$B$3-Assumptions!$B$4+(AH$3/100)^2/2)*Assumptions!$B$9)/((AH$3/100)*Assumptions!$B$10))-(AH$3/100)*Assumptions!$B$10)))))</f>
        <v/>
      </c>
      <c r="AI27" s="56">
        <f>IF((MAX(0,Assumptions!$B$2*EXP(-Assumptions!$B$4*Assumptions!$B$9)*NORMSDIST(((LN(Assumptions!$B$2/$B6)+(Assumptions!$B$3-Assumptions!$B$4+(AI$3/100)^2/2)*Assumptions!$B$9)/((AI$3/100)*Assumptions!$B$10)))-$B6*EXP(-Assumptions!$B$3*Assumptions!$B$9)*NORMSDIST((((LN(Assumptions!$B$2/$B6)+(Assumptions!$B$3-Assumptions!$B$4+(AI$3/100)^2/2)*Assumptions!$B$9)/((AI$3/100)*Assumptions!$B$10))-(AI$3/100)*Assumptions!$B$10))))&lt;=0,"",(Assumptions!$B$2*EXP(-Assumptions!$B$4*Assumptions!$B$9)*NORMDIST(((LN(Assumptions!$B$2/$B6)+(Assumptions!$B$3-Assumptions!$B$4+(AI$3/100)^2/2)*Assumptions!$B$9)/((AI$3/100)*Assumptions!$B$10)),0,1,FALSE)*Assumptions!$B$10*0.01)*0.5/(MAX(0,Assumptions!$B$2*EXP(-Assumptions!$B$4*Assumptions!$B$9)*NORMSDIST(((LN(Assumptions!$B$2/$B6)+(Assumptions!$B$3-Assumptions!$B$4+(AI$3/100)^2/2)*Assumptions!$B$9)/((AI$3/100)*Assumptions!$B$10)))-$B6*EXP(-Assumptions!$B$3*Assumptions!$B$9)*NORMSDIST((((LN(Assumptions!$B$2/$B6)+(Assumptions!$B$3-Assumptions!$B$4+(AI$3/100)^2/2)*Assumptions!$B$9)/((AI$3/100)*Assumptions!$B$10))-(AI$3/100)*Assumptions!$B$10)))))</f>
        <v/>
      </c>
      <c r="AJ27" s="56">
        <f>IF((MAX(0,Assumptions!$B$2*EXP(-Assumptions!$B$4*Assumptions!$B$9)*NORMSDIST(((LN(Assumptions!$B$2/$B6)+(Assumptions!$B$3-Assumptions!$B$4+(AJ$3/100)^2/2)*Assumptions!$B$9)/((AJ$3/100)*Assumptions!$B$10)))-$B6*EXP(-Assumptions!$B$3*Assumptions!$B$9)*NORMSDIST((((LN(Assumptions!$B$2/$B6)+(Assumptions!$B$3-Assumptions!$B$4+(AJ$3/100)^2/2)*Assumptions!$B$9)/((AJ$3/100)*Assumptions!$B$10))-(AJ$3/100)*Assumptions!$B$10))))&lt;=0,"",(Assumptions!$B$2*EXP(-Assumptions!$B$4*Assumptions!$B$9)*NORMDIST(((LN(Assumptions!$B$2/$B6)+(Assumptions!$B$3-Assumptions!$B$4+(AJ$3/100)^2/2)*Assumptions!$B$9)/((AJ$3/100)*Assumptions!$B$10)),0,1,FALSE)*Assumptions!$B$10*0.01)*0.5/(MAX(0,Assumptions!$B$2*EXP(-Assumptions!$B$4*Assumptions!$B$9)*NORMSDIST(((LN(Assumptions!$B$2/$B6)+(Assumptions!$B$3-Assumptions!$B$4+(AJ$3/100)^2/2)*Assumptions!$B$9)/((AJ$3/100)*Assumptions!$B$10)))-$B6*EXP(-Assumptions!$B$3*Assumptions!$B$9)*NORMSDIST((((LN(Assumptions!$B$2/$B6)+(Assumptions!$B$3-Assumptions!$B$4+(AJ$3/100)^2/2)*Assumptions!$B$9)/((AJ$3/100)*Assumptions!$B$10))-(AJ$3/100)*Assumptions!$B$10)))))</f>
        <v/>
      </c>
      <c r="AK27" s="56">
        <f>IF((MAX(0,Assumptions!$B$2*EXP(-Assumptions!$B$4*Assumptions!$B$9)*NORMSDIST(((LN(Assumptions!$B$2/$B6)+(Assumptions!$B$3-Assumptions!$B$4+(AK$3/100)^2/2)*Assumptions!$B$9)/((AK$3/100)*Assumptions!$B$10)))-$B6*EXP(-Assumptions!$B$3*Assumptions!$B$9)*NORMSDIST((((LN(Assumptions!$B$2/$B6)+(Assumptions!$B$3-Assumptions!$B$4+(AK$3/100)^2/2)*Assumptions!$B$9)/((AK$3/100)*Assumptions!$B$10))-(AK$3/100)*Assumptions!$B$10))))&lt;=0,"",(Assumptions!$B$2*EXP(-Assumptions!$B$4*Assumptions!$B$9)*NORMDIST(((LN(Assumptions!$B$2/$B6)+(Assumptions!$B$3-Assumptions!$B$4+(AK$3/100)^2/2)*Assumptions!$B$9)/((AK$3/100)*Assumptions!$B$10)),0,1,FALSE)*Assumptions!$B$10*0.01)*0.5/(MAX(0,Assumptions!$B$2*EXP(-Assumptions!$B$4*Assumptions!$B$9)*NORMSDIST(((LN(Assumptions!$B$2/$B6)+(Assumptions!$B$3-Assumptions!$B$4+(AK$3/100)^2/2)*Assumptions!$B$9)/((AK$3/100)*Assumptions!$B$10)))-$B6*EXP(-Assumptions!$B$3*Assumptions!$B$9)*NORMSDIST((((LN(Assumptions!$B$2/$B6)+(Assumptions!$B$3-Assumptions!$B$4+(AK$3/100)^2/2)*Assumptions!$B$9)/((AK$3/100)*Assumptions!$B$10))-(AK$3/100)*Assumptions!$B$10)))))</f>
        <v/>
      </c>
      <c r="AL27" s="56">
        <f>IF((MAX(0,Assumptions!$B$2*EXP(-Assumptions!$B$4*Assumptions!$B$9)*NORMSDIST(((LN(Assumptions!$B$2/$B6)+(Assumptions!$B$3-Assumptions!$B$4+(AL$3/100)^2/2)*Assumptions!$B$9)/((AL$3/100)*Assumptions!$B$10)))-$B6*EXP(-Assumptions!$B$3*Assumptions!$B$9)*NORMSDIST((((LN(Assumptions!$B$2/$B6)+(Assumptions!$B$3-Assumptions!$B$4+(AL$3/100)^2/2)*Assumptions!$B$9)/((AL$3/100)*Assumptions!$B$10))-(AL$3/100)*Assumptions!$B$10))))&lt;=0,"",(Assumptions!$B$2*EXP(-Assumptions!$B$4*Assumptions!$B$9)*NORMDIST(((LN(Assumptions!$B$2/$B6)+(Assumptions!$B$3-Assumptions!$B$4+(AL$3/100)^2/2)*Assumptions!$B$9)/((AL$3/100)*Assumptions!$B$10)),0,1,FALSE)*Assumptions!$B$10*0.01)*0.5/(MAX(0,Assumptions!$B$2*EXP(-Assumptions!$B$4*Assumptions!$B$9)*NORMSDIST(((LN(Assumptions!$B$2/$B6)+(Assumptions!$B$3-Assumptions!$B$4+(AL$3/100)^2/2)*Assumptions!$B$9)/((AL$3/100)*Assumptions!$B$10)))-$B6*EXP(-Assumptions!$B$3*Assumptions!$B$9)*NORMSDIST((((LN(Assumptions!$B$2/$B6)+(Assumptions!$B$3-Assumptions!$B$4+(AL$3/100)^2/2)*Assumptions!$B$9)/((AL$3/100)*Assumptions!$B$10))-(AL$3/100)*Assumptions!$B$10)))))</f>
        <v/>
      </c>
      <c r="AM27" s="56">
        <f>IF((MAX(0,Assumptions!$B$2*EXP(-Assumptions!$B$4*Assumptions!$B$9)*NORMSDIST(((LN(Assumptions!$B$2/$B6)+(Assumptions!$B$3-Assumptions!$B$4+(AM$3/100)^2/2)*Assumptions!$B$9)/((AM$3/100)*Assumptions!$B$10)))-$B6*EXP(-Assumptions!$B$3*Assumptions!$B$9)*NORMSDIST((((LN(Assumptions!$B$2/$B6)+(Assumptions!$B$3-Assumptions!$B$4+(AM$3/100)^2/2)*Assumptions!$B$9)/((AM$3/100)*Assumptions!$B$10))-(AM$3/100)*Assumptions!$B$10))))&lt;=0,"",(Assumptions!$B$2*EXP(-Assumptions!$B$4*Assumptions!$B$9)*NORMDIST(((LN(Assumptions!$B$2/$B6)+(Assumptions!$B$3-Assumptions!$B$4+(AM$3/100)^2/2)*Assumptions!$B$9)/((AM$3/100)*Assumptions!$B$10)),0,1,FALSE)*Assumptions!$B$10*0.01)*0.5/(MAX(0,Assumptions!$B$2*EXP(-Assumptions!$B$4*Assumptions!$B$9)*NORMSDIST(((LN(Assumptions!$B$2/$B6)+(Assumptions!$B$3-Assumptions!$B$4+(AM$3/100)^2/2)*Assumptions!$B$9)/((AM$3/100)*Assumptions!$B$10)))-$B6*EXP(-Assumptions!$B$3*Assumptions!$B$9)*NORMSDIST((((LN(Assumptions!$B$2/$B6)+(Assumptions!$B$3-Assumptions!$B$4+(AM$3/100)^2/2)*Assumptions!$B$9)/((AM$3/100)*Assumptions!$B$10))-(AM$3/100)*Assumptions!$B$10)))))</f>
        <v/>
      </c>
      <c r="AN27" s="56">
        <f>IF((MAX(0,Assumptions!$B$2*EXP(-Assumptions!$B$4*Assumptions!$B$9)*NORMSDIST(((LN(Assumptions!$B$2/$B6)+(Assumptions!$B$3-Assumptions!$B$4+(AN$3/100)^2/2)*Assumptions!$B$9)/((AN$3/100)*Assumptions!$B$10)))-$B6*EXP(-Assumptions!$B$3*Assumptions!$B$9)*NORMSDIST((((LN(Assumptions!$B$2/$B6)+(Assumptions!$B$3-Assumptions!$B$4+(AN$3/100)^2/2)*Assumptions!$B$9)/((AN$3/100)*Assumptions!$B$10))-(AN$3/100)*Assumptions!$B$10))))&lt;=0,"",(Assumptions!$B$2*EXP(-Assumptions!$B$4*Assumptions!$B$9)*NORMDIST(((LN(Assumptions!$B$2/$B6)+(Assumptions!$B$3-Assumptions!$B$4+(AN$3/100)^2/2)*Assumptions!$B$9)/((AN$3/100)*Assumptions!$B$10)),0,1,FALSE)*Assumptions!$B$10*0.01)*0.5/(MAX(0,Assumptions!$B$2*EXP(-Assumptions!$B$4*Assumptions!$B$9)*NORMSDIST(((LN(Assumptions!$B$2/$B6)+(Assumptions!$B$3-Assumptions!$B$4+(AN$3/100)^2/2)*Assumptions!$B$9)/((AN$3/100)*Assumptions!$B$10)))-$B6*EXP(-Assumptions!$B$3*Assumptions!$B$9)*NORMSDIST((((LN(Assumptions!$B$2/$B6)+(Assumptions!$B$3-Assumptions!$B$4+(AN$3/100)^2/2)*Assumptions!$B$9)/((AN$3/100)*Assumptions!$B$10))-(AN$3/100)*Assumptions!$B$10)))))</f>
        <v/>
      </c>
      <c r="AO27" s="56">
        <f>IF((MAX(0,Assumptions!$B$2*EXP(-Assumptions!$B$4*Assumptions!$B$9)*NORMSDIST(((LN(Assumptions!$B$2/$B6)+(Assumptions!$B$3-Assumptions!$B$4+(AO$3/100)^2/2)*Assumptions!$B$9)/((AO$3/100)*Assumptions!$B$10)))-$B6*EXP(-Assumptions!$B$3*Assumptions!$B$9)*NORMSDIST((((LN(Assumptions!$B$2/$B6)+(Assumptions!$B$3-Assumptions!$B$4+(AO$3/100)^2/2)*Assumptions!$B$9)/((AO$3/100)*Assumptions!$B$10))-(AO$3/100)*Assumptions!$B$10))))&lt;=0,"",(Assumptions!$B$2*EXP(-Assumptions!$B$4*Assumptions!$B$9)*NORMDIST(((LN(Assumptions!$B$2/$B6)+(Assumptions!$B$3-Assumptions!$B$4+(AO$3/100)^2/2)*Assumptions!$B$9)/((AO$3/100)*Assumptions!$B$10)),0,1,FALSE)*Assumptions!$B$10*0.01)*0.5/(MAX(0,Assumptions!$B$2*EXP(-Assumptions!$B$4*Assumptions!$B$9)*NORMSDIST(((LN(Assumptions!$B$2/$B6)+(Assumptions!$B$3-Assumptions!$B$4+(AO$3/100)^2/2)*Assumptions!$B$9)/((AO$3/100)*Assumptions!$B$10)))-$B6*EXP(-Assumptions!$B$3*Assumptions!$B$9)*NORMSDIST((((LN(Assumptions!$B$2/$B6)+(Assumptions!$B$3-Assumptions!$B$4+(AO$3/100)^2/2)*Assumptions!$B$9)/((AO$3/100)*Assumptions!$B$10))-(AO$3/100)*Assumptions!$B$10)))))</f>
        <v/>
      </c>
      <c r="AP27" s="56">
        <f>IF((MAX(0,Assumptions!$B$2*EXP(-Assumptions!$B$4*Assumptions!$B$9)*NORMSDIST(((LN(Assumptions!$B$2/$B6)+(Assumptions!$B$3-Assumptions!$B$4+(AP$3/100)^2/2)*Assumptions!$B$9)/((AP$3/100)*Assumptions!$B$10)))-$B6*EXP(-Assumptions!$B$3*Assumptions!$B$9)*NORMSDIST((((LN(Assumptions!$B$2/$B6)+(Assumptions!$B$3-Assumptions!$B$4+(AP$3/100)^2/2)*Assumptions!$B$9)/((AP$3/100)*Assumptions!$B$10))-(AP$3/100)*Assumptions!$B$10))))&lt;=0,"",(Assumptions!$B$2*EXP(-Assumptions!$B$4*Assumptions!$B$9)*NORMDIST(((LN(Assumptions!$B$2/$B6)+(Assumptions!$B$3-Assumptions!$B$4+(AP$3/100)^2/2)*Assumptions!$B$9)/((AP$3/100)*Assumptions!$B$10)),0,1,FALSE)*Assumptions!$B$10*0.01)*0.5/(MAX(0,Assumptions!$B$2*EXP(-Assumptions!$B$4*Assumptions!$B$9)*NORMSDIST(((LN(Assumptions!$B$2/$B6)+(Assumptions!$B$3-Assumptions!$B$4+(AP$3/100)^2/2)*Assumptions!$B$9)/((AP$3/100)*Assumptions!$B$10)))-$B6*EXP(-Assumptions!$B$3*Assumptions!$B$9)*NORMSDIST((((LN(Assumptions!$B$2/$B6)+(Assumptions!$B$3-Assumptions!$B$4+(AP$3/100)^2/2)*Assumptions!$B$9)/((AP$3/100)*Assumptions!$B$10))-(AP$3/100)*Assumptions!$B$10)))))</f>
        <v/>
      </c>
      <c r="AQ27" s="56">
        <f>IF((MAX(0,Assumptions!$B$2*EXP(-Assumptions!$B$4*Assumptions!$B$9)*NORMSDIST(((LN(Assumptions!$B$2/$B6)+(Assumptions!$B$3-Assumptions!$B$4+(AQ$3/100)^2/2)*Assumptions!$B$9)/((AQ$3/100)*Assumptions!$B$10)))-$B6*EXP(-Assumptions!$B$3*Assumptions!$B$9)*NORMSDIST((((LN(Assumptions!$B$2/$B6)+(Assumptions!$B$3-Assumptions!$B$4+(AQ$3/100)^2/2)*Assumptions!$B$9)/((AQ$3/100)*Assumptions!$B$10))-(AQ$3/100)*Assumptions!$B$10))))&lt;=0,"",(Assumptions!$B$2*EXP(-Assumptions!$B$4*Assumptions!$B$9)*NORMDIST(((LN(Assumptions!$B$2/$B6)+(Assumptions!$B$3-Assumptions!$B$4+(AQ$3/100)^2/2)*Assumptions!$B$9)/((AQ$3/100)*Assumptions!$B$10)),0,1,FALSE)*Assumptions!$B$10*0.01)*0.5/(MAX(0,Assumptions!$B$2*EXP(-Assumptions!$B$4*Assumptions!$B$9)*NORMSDIST(((LN(Assumptions!$B$2/$B6)+(Assumptions!$B$3-Assumptions!$B$4+(AQ$3/100)^2/2)*Assumptions!$B$9)/((AQ$3/100)*Assumptions!$B$10)))-$B6*EXP(-Assumptions!$B$3*Assumptions!$B$9)*NORMSDIST((((LN(Assumptions!$B$2/$B6)+(Assumptions!$B$3-Assumptions!$B$4+(AQ$3/100)^2/2)*Assumptions!$B$9)/((AQ$3/100)*Assumptions!$B$10))-(AQ$3/100)*Assumptions!$B$10)))))</f>
        <v/>
      </c>
      <c r="AR27" s="56">
        <f>IF((MAX(0,Assumptions!$B$2*EXP(-Assumptions!$B$4*Assumptions!$B$9)*NORMSDIST(((LN(Assumptions!$B$2/$B6)+(Assumptions!$B$3-Assumptions!$B$4+(AR$3/100)^2/2)*Assumptions!$B$9)/((AR$3/100)*Assumptions!$B$10)))-$B6*EXP(-Assumptions!$B$3*Assumptions!$B$9)*NORMSDIST((((LN(Assumptions!$B$2/$B6)+(Assumptions!$B$3-Assumptions!$B$4+(AR$3/100)^2/2)*Assumptions!$B$9)/((AR$3/100)*Assumptions!$B$10))-(AR$3/100)*Assumptions!$B$10))))&lt;=0,"",(Assumptions!$B$2*EXP(-Assumptions!$B$4*Assumptions!$B$9)*NORMDIST(((LN(Assumptions!$B$2/$B6)+(Assumptions!$B$3-Assumptions!$B$4+(AR$3/100)^2/2)*Assumptions!$B$9)/((AR$3/100)*Assumptions!$B$10)),0,1,FALSE)*Assumptions!$B$10*0.01)*0.5/(MAX(0,Assumptions!$B$2*EXP(-Assumptions!$B$4*Assumptions!$B$9)*NORMSDIST(((LN(Assumptions!$B$2/$B6)+(Assumptions!$B$3-Assumptions!$B$4+(AR$3/100)^2/2)*Assumptions!$B$9)/((AR$3/100)*Assumptions!$B$10)))-$B6*EXP(-Assumptions!$B$3*Assumptions!$B$9)*NORMSDIST((((LN(Assumptions!$B$2/$B6)+(Assumptions!$B$3-Assumptions!$B$4+(AR$3/100)^2/2)*Assumptions!$B$9)/((AR$3/100)*Assumptions!$B$10))-(AR$3/100)*Assumptions!$B$10)))))</f>
        <v/>
      </c>
      <c r="AS27" s="56">
        <f>IF((MAX(0,Assumptions!$B$2*EXP(-Assumptions!$B$4*Assumptions!$B$9)*NORMSDIST(((LN(Assumptions!$B$2/$B6)+(Assumptions!$B$3-Assumptions!$B$4+(AS$3/100)^2/2)*Assumptions!$B$9)/((AS$3/100)*Assumptions!$B$10)))-$B6*EXP(-Assumptions!$B$3*Assumptions!$B$9)*NORMSDIST((((LN(Assumptions!$B$2/$B6)+(Assumptions!$B$3-Assumptions!$B$4+(AS$3/100)^2/2)*Assumptions!$B$9)/((AS$3/100)*Assumptions!$B$10))-(AS$3/100)*Assumptions!$B$10))))&lt;=0,"",(Assumptions!$B$2*EXP(-Assumptions!$B$4*Assumptions!$B$9)*NORMDIST(((LN(Assumptions!$B$2/$B6)+(Assumptions!$B$3-Assumptions!$B$4+(AS$3/100)^2/2)*Assumptions!$B$9)/((AS$3/100)*Assumptions!$B$10)),0,1,FALSE)*Assumptions!$B$10*0.01)*0.5/(MAX(0,Assumptions!$B$2*EXP(-Assumptions!$B$4*Assumptions!$B$9)*NORMSDIST(((LN(Assumptions!$B$2/$B6)+(Assumptions!$B$3-Assumptions!$B$4+(AS$3/100)^2/2)*Assumptions!$B$9)/((AS$3/100)*Assumptions!$B$10)))-$B6*EXP(-Assumptions!$B$3*Assumptions!$B$9)*NORMSDIST((((LN(Assumptions!$B$2/$B6)+(Assumptions!$B$3-Assumptions!$B$4+(AS$3/100)^2/2)*Assumptions!$B$9)/((AS$3/100)*Assumptions!$B$10))-(AS$3/100)*Assumptions!$B$10)))))</f>
        <v/>
      </c>
      <c r="AT27" s="56">
        <f>IF((MAX(0,Assumptions!$B$2*EXP(-Assumptions!$B$4*Assumptions!$B$9)*NORMSDIST(((LN(Assumptions!$B$2/$B6)+(Assumptions!$B$3-Assumptions!$B$4+(AT$3/100)^2/2)*Assumptions!$B$9)/((AT$3/100)*Assumptions!$B$10)))-$B6*EXP(-Assumptions!$B$3*Assumptions!$B$9)*NORMSDIST((((LN(Assumptions!$B$2/$B6)+(Assumptions!$B$3-Assumptions!$B$4+(AT$3/100)^2/2)*Assumptions!$B$9)/((AT$3/100)*Assumptions!$B$10))-(AT$3/100)*Assumptions!$B$10))))&lt;=0,"",(Assumptions!$B$2*EXP(-Assumptions!$B$4*Assumptions!$B$9)*NORMDIST(((LN(Assumptions!$B$2/$B6)+(Assumptions!$B$3-Assumptions!$B$4+(AT$3/100)^2/2)*Assumptions!$B$9)/((AT$3/100)*Assumptions!$B$10)),0,1,FALSE)*Assumptions!$B$10*0.01)*0.5/(MAX(0,Assumptions!$B$2*EXP(-Assumptions!$B$4*Assumptions!$B$9)*NORMSDIST(((LN(Assumptions!$B$2/$B6)+(Assumptions!$B$3-Assumptions!$B$4+(AT$3/100)^2/2)*Assumptions!$B$9)/((AT$3/100)*Assumptions!$B$10)))-$B6*EXP(-Assumptions!$B$3*Assumptions!$B$9)*NORMSDIST((((LN(Assumptions!$B$2/$B6)+(Assumptions!$B$3-Assumptions!$B$4+(AT$3/100)^2/2)*Assumptions!$B$9)/((AT$3/100)*Assumptions!$B$10))-(AT$3/100)*Assumptions!$B$10)))))</f>
        <v/>
      </c>
      <c r="AU27" s="56">
        <f>IF((MAX(0,Assumptions!$B$2*EXP(-Assumptions!$B$4*Assumptions!$B$9)*NORMSDIST(((LN(Assumptions!$B$2/$B6)+(Assumptions!$B$3-Assumptions!$B$4+(AU$3/100)^2/2)*Assumptions!$B$9)/((AU$3/100)*Assumptions!$B$10)))-$B6*EXP(-Assumptions!$B$3*Assumptions!$B$9)*NORMSDIST((((LN(Assumptions!$B$2/$B6)+(Assumptions!$B$3-Assumptions!$B$4+(AU$3/100)^2/2)*Assumptions!$B$9)/((AU$3/100)*Assumptions!$B$10))-(AU$3/100)*Assumptions!$B$10))))&lt;=0,"",(Assumptions!$B$2*EXP(-Assumptions!$B$4*Assumptions!$B$9)*NORMDIST(((LN(Assumptions!$B$2/$B6)+(Assumptions!$B$3-Assumptions!$B$4+(AU$3/100)^2/2)*Assumptions!$B$9)/((AU$3/100)*Assumptions!$B$10)),0,1,FALSE)*Assumptions!$B$10*0.01)*0.5/(MAX(0,Assumptions!$B$2*EXP(-Assumptions!$B$4*Assumptions!$B$9)*NORMSDIST(((LN(Assumptions!$B$2/$B6)+(Assumptions!$B$3-Assumptions!$B$4+(AU$3/100)^2/2)*Assumptions!$B$9)/((AU$3/100)*Assumptions!$B$10)))-$B6*EXP(-Assumptions!$B$3*Assumptions!$B$9)*NORMSDIST((((LN(Assumptions!$B$2/$B6)+(Assumptions!$B$3-Assumptions!$B$4+(AU$3/100)^2/2)*Assumptions!$B$9)/((AU$3/100)*Assumptions!$B$10))-(AU$3/100)*Assumptions!$B$10)))))</f>
        <v/>
      </c>
      <c r="AV27" s="56">
        <f>IF((MAX(0,Assumptions!$B$2*EXP(-Assumptions!$B$4*Assumptions!$B$9)*NORMSDIST(((LN(Assumptions!$B$2/$B6)+(Assumptions!$B$3-Assumptions!$B$4+(AV$3/100)^2/2)*Assumptions!$B$9)/((AV$3/100)*Assumptions!$B$10)))-$B6*EXP(-Assumptions!$B$3*Assumptions!$B$9)*NORMSDIST((((LN(Assumptions!$B$2/$B6)+(Assumptions!$B$3-Assumptions!$B$4+(AV$3/100)^2/2)*Assumptions!$B$9)/((AV$3/100)*Assumptions!$B$10))-(AV$3/100)*Assumptions!$B$10))))&lt;=0,"",(Assumptions!$B$2*EXP(-Assumptions!$B$4*Assumptions!$B$9)*NORMDIST(((LN(Assumptions!$B$2/$B6)+(Assumptions!$B$3-Assumptions!$B$4+(AV$3/100)^2/2)*Assumptions!$B$9)/((AV$3/100)*Assumptions!$B$10)),0,1,FALSE)*Assumptions!$B$10*0.01)*0.5/(MAX(0,Assumptions!$B$2*EXP(-Assumptions!$B$4*Assumptions!$B$9)*NORMSDIST(((LN(Assumptions!$B$2/$B6)+(Assumptions!$B$3-Assumptions!$B$4+(AV$3/100)^2/2)*Assumptions!$B$9)/((AV$3/100)*Assumptions!$B$10)))-$B6*EXP(-Assumptions!$B$3*Assumptions!$B$9)*NORMSDIST((((LN(Assumptions!$B$2/$B6)+(Assumptions!$B$3-Assumptions!$B$4+(AV$3/100)^2/2)*Assumptions!$B$9)/((AV$3/100)*Assumptions!$B$10))-(AV$3/100)*Assumptions!$B$10)))))</f>
        <v/>
      </c>
    </row>
    <row r="28">
      <c r="A28" s="27" t="inlineStr">
        <is>
          <t>-1.25%</t>
        </is>
      </c>
      <c r="B28" s="47">
        <f>'BS Engine'!$B$5</f>
        <v/>
      </c>
      <c r="C28" s="28">
        <f>'BS Engine'!$C$5</f>
        <v/>
      </c>
      <c r="D28" s="55">
        <f>IF((MAX(0,Assumptions!$B$2*EXP(-Assumptions!$B$4*Assumptions!$B$9)*NORMSDIST(((LN(Assumptions!$B$2/$B7)+(Assumptions!$B$3-Assumptions!$B$4+(D$3/100)^2/2)*Assumptions!$B$9)/((D$3/100)*Assumptions!$B$10)))-$B7*EXP(-Assumptions!$B$3*Assumptions!$B$9)*NORMSDIST((((LN(Assumptions!$B$2/$B7)+(Assumptions!$B$3-Assumptions!$B$4+(D$3/100)^2/2)*Assumptions!$B$9)/((D$3/100)*Assumptions!$B$10))-(D$3/100)*Assumptions!$B$10))))&lt;=0,"",(Assumptions!$B$2*EXP(-Assumptions!$B$4*Assumptions!$B$9)*NORMDIST(((LN(Assumptions!$B$2/$B7)+(Assumptions!$B$3-Assumptions!$B$4+(D$3/100)^2/2)*Assumptions!$B$9)/((D$3/100)*Assumptions!$B$10)),0,1,FALSE)*Assumptions!$B$10*0.01)*0.5/(MAX(0,Assumptions!$B$2*EXP(-Assumptions!$B$4*Assumptions!$B$9)*NORMSDIST(((LN(Assumptions!$B$2/$B7)+(Assumptions!$B$3-Assumptions!$B$4+(D$3/100)^2/2)*Assumptions!$B$9)/((D$3/100)*Assumptions!$B$10)))-$B7*EXP(-Assumptions!$B$3*Assumptions!$B$9)*NORMSDIST((((LN(Assumptions!$B$2/$B7)+(Assumptions!$B$3-Assumptions!$B$4+(D$3/100)^2/2)*Assumptions!$B$9)/((D$3/100)*Assumptions!$B$10))-(D$3/100)*Assumptions!$B$10)))))</f>
        <v/>
      </c>
      <c r="E28" s="56">
        <f>IF((MAX(0,Assumptions!$B$2*EXP(-Assumptions!$B$4*Assumptions!$B$9)*NORMSDIST(((LN(Assumptions!$B$2/$B7)+(Assumptions!$B$3-Assumptions!$B$4+(E$3/100)^2/2)*Assumptions!$B$9)/((E$3/100)*Assumptions!$B$10)))-$B7*EXP(-Assumptions!$B$3*Assumptions!$B$9)*NORMSDIST((((LN(Assumptions!$B$2/$B7)+(Assumptions!$B$3-Assumptions!$B$4+(E$3/100)^2/2)*Assumptions!$B$9)/((E$3/100)*Assumptions!$B$10))-(E$3/100)*Assumptions!$B$10))))&lt;=0,"",(Assumptions!$B$2*EXP(-Assumptions!$B$4*Assumptions!$B$9)*NORMDIST(((LN(Assumptions!$B$2/$B7)+(Assumptions!$B$3-Assumptions!$B$4+(E$3/100)^2/2)*Assumptions!$B$9)/((E$3/100)*Assumptions!$B$10)),0,1,FALSE)*Assumptions!$B$10*0.01)*0.5/(MAX(0,Assumptions!$B$2*EXP(-Assumptions!$B$4*Assumptions!$B$9)*NORMSDIST(((LN(Assumptions!$B$2/$B7)+(Assumptions!$B$3-Assumptions!$B$4+(E$3/100)^2/2)*Assumptions!$B$9)/((E$3/100)*Assumptions!$B$10)))-$B7*EXP(-Assumptions!$B$3*Assumptions!$B$9)*NORMSDIST((((LN(Assumptions!$B$2/$B7)+(Assumptions!$B$3-Assumptions!$B$4+(E$3/100)^2/2)*Assumptions!$B$9)/((E$3/100)*Assumptions!$B$10))-(E$3/100)*Assumptions!$B$10)))))</f>
        <v/>
      </c>
      <c r="F28" s="56">
        <f>IF((MAX(0,Assumptions!$B$2*EXP(-Assumptions!$B$4*Assumptions!$B$9)*NORMSDIST(((LN(Assumptions!$B$2/$B7)+(Assumptions!$B$3-Assumptions!$B$4+(F$3/100)^2/2)*Assumptions!$B$9)/((F$3/100)*Assumptions!$B$10)))-$B7*EXP(-Assumptions!$B$3*Assumptions!$B$9)*NORMSDIST((((LN(Assumptions!$B$2/$B7)+(Assumptions!$B$3-Assumptions!$B$4+(F$3/100)^2/2)*Assumptions!$B$9)/((F$3/100)*Assumptions!$B$10))-(F$3/100)*Assumptions!$B$10))))&lt;=0,"",(Assumptions!$B$2*EXP(-Assumptions!$B$4*Assumptions!$B$9)*NORMDIST(((LN(Assumptions!$B$2/$B7)+(Assumptions!$B$3-Assumptions!$B$4+(F$3/100)^2/2)*Assumptions!$B$9)/((F$3/100)*Assumptions!$B$10)),0,1,FALSE)*Assumptions!$B$10*0.01)*0.5/(MAX(0,Assumptions!$B$2*EXP(-Assumptions!$B$4*Assumptions!$B$9)*NORMSDIST(((LN(Assumptions!$B$2/$B7)+(Assumptions!$B$3-Assumptions!$B$4+(F$3/100)^2/2)*Assumptions!$B$9)/((F$3/100)*Assumptions!$B$10)))-$B7*EXP(-Assumptions!$B$3*Assumptions!$B$9)*NORMSDIST((((LN(Assumptions!$B$2/$B7)+(Assumptions!$B$3-Assumptions!$B$4+(F$3/100)^2/2)*Assumptions!$B$9)/((F$3/100)*Assumptions!$B$10))-(F$3/100)*Assumptions!$B$10)))))</f>
        <v/>
      </c>
      <c r="G28" s="56">
        <f>IF((MAX(0,Assumptions!$B$2*EXP(-Assumptions!$B$4*Assumptions!$B$9)*NORMSDIST(((LN(Assumptions!$B$2/$B7)+(Assumptions!$B$3-Assumptions!$B$4+(G$3/100)^2/2)*Assumptions!$B$9)/((G$3/100)*Assumptions!$B$10)))-$B7*EXP(-Assumptions!$B$3*Assumptions!$B$9)*NORMSDIST((((LN(Assumptions!$B$2/$B7)+(Assumptions!$B$3-Assumptions!$B$4+(G$3/100)^2/2)*Assumptions!$B$9)/((G$3/100)*Assumptions!$B$10))-(G$3/100)*Assumptions!$B$10))))&lt;=0,"",(Assumptions!$B$2*EXP(-Assumptions!$B$4*Assumptions!$B$9)*NORMDIST(((LN(Assumptions!$B$2/$B7)+(Assumptions!$B$3-Assumptions!$B$4+(G$3/100)^2/2)*Assumptions!$B$9)/((G$3/100)*Assumptions!$B$10)),0,1,FALSE)*Assumptions!$B$10*0.01)*0.5/(MAX(0,Assumptions!$B$2*EXP(-Assumptions!$B$4*Assumptions!$B$9)*NORMSDIST(((LN(Assumptions!$B$2/$B7)+(Assumptions!$B$3-Assumptions!$B$4+(G$3/100)^2/2)*Assumptions!$B$9)/((G$3/100)*Assumptions!$B$10)))-$B7*EXP(-Assumptions!$B$3*Assumptions!$B$9)*NORMSDIST((((LN(Assumptions!$B$2/$B7)+(Assumptions!$B$3-Assumptions!$B$4+(G$3/100)^2/2)*Assumptions!$B$9)/((G$3/100)*Assumptions!$B$10))-(G$3/100)*Assumptions!$B$10)))))</f>
        <v/>
      </c>
      <c r="H28" s="56">
        <f>IF((MAX(0,Assumptions!$B$2*EXP(-Assumptions!$B$4*Assumptions!$B$9)*NORMSDIST(((LN(Assumptions!$B$2/$B7)+(Assumptions!$B$3-Assumptions!$B$4+(H$3/100)^2/2)*Assumptions!$B$9)/((H$3/100)*Assumptions!$B$10)))-$B7*EXP(-Assumptions!$B$3*Assumptions!$B$9)*NORMSDIST((((LN(Assumptions!$B$2/$B7)+(Assumptions!$B$3-Assumptions!$B$4+(H$3/100)^2/2)*Assumptions!$B$9)/((H$3/100)*Assumptions!$B$10))-(H$3/100)*Assumptions!$B$10))))&lt;=0,"",(Assumptions!$B$2*EXP(-Assumptions!$B$4*Assumptions!$B$9)*NORMDIST(((LN(Assumptions!$B$2/$B7)+(Assumptions!$B$3-Assumptions!$B$4+(H$3/100)^2/2)*Assumptions!$B$9)/((H$3/100)*Assumptions!$B$10)),0,1,FALSE)*Assumptions!$B$10*0.01)*0.5/(MAX(0,Assumptions!$B$2*EXP(-Assumptions!$B$4*Assumptions!$B$9)*NORMSDIST(((LN(Assumptions!$B$2/$B7)+(Assumptions!$B$3-Assumptions!$B$4+(H$3/100)^2/2)*Assumptions!$B$9)/((H$3/100)*Assumptions!$B$10)))-$B7*EXP(-Assumptions!$B$3*Assumptions!$B$9)*NORMSDIST((((LN(Assumptions!$B$2/$B7)+(Assumptions!$B$3-Assumptions!$B$4+(H$3/100)^2/2)*Assumptions!$B$9)/((H$3/100)*Assumptions!$B$10))-(H$3/100)*Assumptions!$B$10)))))</f>
        <v/>
      </c>
      <c r="I28" s="56">
        <f>IF((MAX(0,Assumptions!$B$2*EXP(-Assumptions!$B$4*Assumptions!$B$9)*NORMSDIST(((LN(Assumptions!$B$2/$B7)+(Assumptions!$B$3-Assumptions!$B$4+(I$3/100)^2/2)*Assumptions!$B$9)/((I$3/100)*Assumptions!$B$10)))-$B7*EXP(-Assumptions!$B$3*Assumptions!$B$9)*NORMSDIST((((LN(Assumptions!$B$2/$B7)+(Assumptions!$B$3-Assumptions!$B$4+(I$3/100)^2/2)*Assumptions!$B$9)/((I$3/100)*Assumptions!$B$10))-(I$3/100)*Assumptions!$B$10))))&lt;=0,"",(Assumptions!$B$2*EXP(-Assumptions!$B$4*Assumptions!$B$9)*NORMDIST(((LN(Assumptions!$B$2/$B7)+(Assumptions!$B$3-Assumptions!$B$4+(I$3/100)^2/2)*Assumptions!$B$9)/((I$3/100)*Assumptions!$B$10)),0,1,FALSE)*Assumptions!$B$10*0.01)*0.5/(MAX(0,Assumptions!$B$2*EXP(-Assumptions!$B$4*Assumptions!$B$9)*NORMSDIST(((LN(Assumptions!$B$2/$B7)+(Assumptions!$B$3-Assumptions!$B$4+(I$3/100)^2/2)*Assumptions!$B$9)/((I$3/100)*Assumptions!$B$10)))-$B7*EXP(-Assumptions!$B$3*Assumptions!$B$9)*NORMSDIST((((LN(Assumptions!$B$2/$B7)+(Assumptions!$B$3-Assumptions!$B$4+(I$3/100)^2/2)*Assumptions!$B$9)/((I$3/100)*Assumptions!$B$10))-(I$3/100)*Assumptions!$B$10)))))</f>
        <v/>
      </c>
      <c r="J28" s="56">
        <f>IF((MAX(0,Assumptions!$B$2*EXP(-Assumptions!$B$4*Assumptions!$B$9)*NORMSDIST(((LN(Assumptions!$B$2/$B7)+(Assumptions!$B$3-Assumptions!$B$4+(J$3/100)^2/2)*Assumptions!$B$9)/((J$3/100)*Assumptions!$B$10)))-$B7*EXP(-Assumptions!$B$3*Assumptions!$B$9)*NORMSDIST((((LN(Assumptions!$B$2/$B7)+(Assumptions!$B$3-Assumptions!$B$4+(J$3/100)^2/2)*Assumptions!$B$9)/((J$3/100)*Assumptions!$B$10))-(J$3/100)*Assumptions!$B$10))))&lt;=0,"",(Assumptions!$B$2*EXP(-Assumptions!$B$4*Assumptions!$B$9)*NORMDIST(((LN(Assumptions!$B$2/$B7)+(Assumptions!$B$3-Assumptions!$B$4+(J$3/100)^2/2)*Assumptions!$B$9)/((J$3/100)*Assumptions!$B$10)),0,1,FALSE)*Assumptions!$B$10*0.01)*0.5/(MAX(0,Assumptions!$B$2*EXP(-Assumptions!$B$4*Assumptions!$B$9)*NORMSDIST(((LN(Assumptions!$B$2/$B7)+(Assumptions!$B$3-Assumptions!$B$4+(J$3/100)^2/2)*Assumptions!$B$9)/((J$3/100)*Assumptions!$B$10)))-$B7*EXP(-Assumptions!$B$3*Assumptions!$B$9)*NORMSDIST((((LN(Assumptions!$B$2/$B7)+(Assumptions!$B$3-Assumptions!$B$4+(J$3/100)^2/2)*Assumptions!$B$9)/((J$3/100)*Assumptions!$B$10))-(J$3/100)*Assumptions!$B$10)))))</f>
        <v/>
      </c>
      <c r="K28" s="56">
        <f>IF((MAX(0,Assumptions!$B$2*EXP(-Assumptions!$B$4*Assumptions!$B$9)*NORMSDIST(((LN(Assumptions!$B$2/$B7)+(Assumptions!$B$3-Assumptions!$B$4+(K$3/100)^2/2)*Assumptions!$B$9)/((K$3/100)*Assumptions!$B$10)))-$B7*EXP(-Assumptions!$B$3*Assumptions!$B$9)*NORMSDIST((((LN(Assumptions!$B$2/$B7)+(Assumptions!$B$3-Assumptions!$B$4+(K$3/100)^2/2)*Assumptions!$B$9)/((K$3/100)*Assumptions!$B$10))-(K$3/100)*Assumptions!$B$10))))&lt;=0,"",(Assumptions!$B$2*EXP(-Assumptions!$B$4*Assumptions!$B$9)*NORMDIST(((LN(Assumptions!$B$2/$B7)+(Assumptions!$B$3-Assumptions!$B$4+(K$3/100)^2/2)*Assumptions!$B$9)/((K$3/100)*Assumptions!$B$10)),0,1,FALSE)*Assumptions!$B$10*0.01)*0.5/(MAX(0,Assumptions!$B$2*EXP(-Assumptions!$B$4*Assumptions!$B$9)*NORMSDIST(((LN(Assumptions!$B$2/$B7)+(Assumptions!$B$3-Assumptions!$B$4+(K$3/100)^2/2)*Assumptions!$B$9)/((K$3/100)*Assumptions!$B$10)))-$B7*EXP(-Assumptions!$B$3*Assumptions!$B$9)*NORMSDIST((((LN(Assumptions!$B$2/$B7)+(Assumptions!$B$3-Assumptions!$B$4+(K$3/100)^2/2)*Assumptions!$B$9)/((K$3/100)*Assumptions!$B$10))-(K$3/100)*Assumptions!$B$10)))))</f>
        <v/>
      </c>
      <c r="L28" s="56">
        <f>IF((MAX(0,Assumptions!$B$2*EXP(-Assumptions!$B$4*Assumptions!$B$9)*NORMSDIST(((LN(Assumptions!$B$2/$B7)+(Assumptions!$B$3-Assumptions!$B$4+(L$3/100)^2/2)*Assumptions!$B$9)/((L$3/100)*Assumptions!$B$10)))-$B7*EXP(-Assumptions!$B$3*Assumptions!$B$9)*NORMSDIST((((LN(Assumptions!$B$2/$B7)+(Assumptions!$B$3-Assumptions!$B$4+(L$3/100)^2/2)*Assumptions!$B$9)/((L$3/100)*Assumptions!$B$10))-(L$3/100)*Assumptions!$B$10))))&lt;=0,"",(Assumptions!$B$2*EXP(-Assumptions!$B$4*Assumptions!$B$9)*NORMDIST(((LN(Assumptions!$B$2/$B7)+(Assumptions!$B$3-Assumptions!$B$4+(L$3/100)^2/2)*Assumptions!$B$9)/((L$3/100)*Assumptions!$B$10)),0,1,FALSE)*Assumptions!$B$10*0.01)*0.5/(MAX(0,Assumptions!$B$2*EXP(-Assumptions!$B$4*Assumptions!$B$9)*NORMSDIST(((LN(Assumptions!$B$2/$B7)+(Assumptions!$B$3-Assumptions!$B$4+(L$3/100)^2/2)*Assumptions!$B$9)/((L$3/100)*Assumptions!$B$10)))-$B7*EXP(-Assumptions!$B$3*Assumptions!$B$9)*NORMSDIST((((LN(Assumptions!$B$2/$B7)+(Assumptions!$B$3-Assumptions!$B$4+(L$3/100)^2/2)*Assumptions!$B$9)/((L$3/100)*Assumptions!$B$10))-(L$3/100)*Assumptions!$B$10)))))</f>
        <v/>
      </c>
      <c r="M28" s="56">
        <f>IF((MAX(0,Assumptions!$B$2*EXP(-Assumptions!$B$4*Assumptions!$B$9)*NORMSDIST(((LN(Assumptions!$B$2/$B7)+(Assumptions!$B$3-Assumptions!$B$4+(M$3/100)^2/2)*Assumptions!$B$9)/((M$3/100)*Assumptions!$B$10)))-$B7*EXP(-Assumptions!$B$3*Assumptions!$B$9)*NORMSDIST((((LN(Assumptions!$B$2/$B7)+(Assumptions!$B$3-Assumptions!$B$4+(M$3/100)^2/2)*Assumptions!$B$9)/((M$3/100)*Assumptions!$B$10))-(M$3/100)*Assumptions!$B$10))))&lt;=0,"",(Assumptions!$B$2*EXP(-Assumptions!$B$4*Assumptions!$B$9)*NORMDIST(((LN(Assumptions!$B$2/$B7)+(Assumptions!$B$3-Assumptions!$B$4+(M$3/100)^2/2)*Assumptions!$B$9)/((M$3/100)*Assumptions!$B$10)),0,1,FALSE)*Assumptions!$B$10*0.01)*0.5/(MAX(0,Assumptions!$B$2*EXP(-Assumptions!$B$4*Assumptions!$B$9)*NORMSDIST(((LN(Assumptions!$B$2/$B7)+(Assumptions!$B$3-Assumptions!$B$4+(M$3/100)^2/2)*Assumptions!$B$9)/((M$3/100)*Assumptions!$B$10)))-$B7*EXP(-Assumptions!$B$3*Assumptions!$B$9)*NORMSDIST((((LN(Assumptions!$B$2/$B7)+(Assumptions!$B$3-Assumptions!$B$4+(M$3/100)^2/2)*Assumptions!$B$9)/((M$3/100)*Assumptions!$B$10))-(M$3/100)*Assumptions!$B$10)))))</f>
        <v/>
      </c>
      <c r="N28" s="56">
        <f>IF((MAX(0,Assumptions!$B$2*EXP(-Assumptions!$B$4*Assumptions!$B$9)*NORMSDIST(((LN(Assumptions!$B$2/$B7)+(Assumptions!$B$3-Assumptions!$B$4+(N$3/100)^2/2)*Assumptions!$B$9)/((N$3/100)*Assumptions!$B$10)))-$B7*EXP(-Assumptions!$B$3*Assumptions!$B$9)*NORMSDIST((((LN(Assumptions!$B$2/$B7)+(Assumptions!$B$3-Assumptions!$B$4+(N$3/100)^2/2)*Assumptions!$B$9)/((N$3/100)*Assumptions!$B$10))-(N$3/100)*Assumptions!$B$10))))&lt;=0,"",(Assumptions!$B$2*EXP(-Assumptions!$B$4*Assumptions!$B$9)*NORMDIST(((LN(Assumptions!$B$2/$B7)+(Assumptions!$B$3-Assumptions!$B$4+(N$3/100)^2/2)*Assumptions!$B$9)/((N$3/100)*Assumptions!$B$10)),0,1,FALSE)*Assumptions!$B$10*0.01)*0.5/(MAX(0,Assumptions!$B$2*EXP(-Assumptions!$B$4*Assumptions!$B$9)*NORMSDIST(((LN(Assumptions!$B$2/$B7)+(Assumptions!$B$3-Assumptions!$B$4+(N$3/100)^2/2)*Assumptions!$B$9)/((N$3/100)*Assumptions!$B$10)))-$B7*EXP(-Assumptions!$B$3*Assumptions!$B$9)*NORMSDIST((((LN(Assumptions!$B$2/$B7)+(Assumptions!$B$3-Assumptions!$B$4+(N$3/100)^2/2)*Assumptions!$B$9)/((N$3/100)*Assumptions!$B$10))-(N$3/100)*Assumptions!$B$10)))))</f>
        <v/>
      </c>
      <c r="O28" s="56">
        <f>IF((MAX(0,Assumptions!$B$2*EXP(-Assumptions!$B$4*Assumptions!$B$9)*NORMSDIST(((LN(Assumptions!$B$2/$B7)+(Assumptions!$B$3-Assumptions!$B$4+(O$3/100)^2/2)*Assumptions!$B$9)/((O$3/100)*Assumptions!$B$10)))-$B7*EXP(-Assumptions!$B$3*Assumptions!$B$9)*NORMSDIST((((LN(Assumptions!$B$2/$B7)+(Assumptions!$B$3-Assumptions!$B$4+(O$3/100)^2/2)*Assumptions!$B$9)/((O$3/100)*Assumptions!$B$10))-(O$3/100)*Assumptions!$B$10))))&lt;=0,"",(Assumptions!$B$2*EXP(-Assumptions!$B$4*Assumptions!$B$9)*NORMDIST(((LN(Assumptions!$B$2/$B7)+(Assumptions!$B$3-Assumptions!$B$4+(O$3/100)^2/2)*Assumptions!$B$9)/((O$3/100)*Assumptions!$B$10)),0,1,FALSE)*Assumptions!$B$10*0.01)*0.5/(MAX(0,Assumptions!$B$2*EXP(-Assumptions!$B$4*Assumptions!$B$9)*NORMSDIST(((LN(Assumptions!$B$2/$B7)+(Assumptions!$B$3-Assumptions!$B$4+(O$3/100)^2/2)*Assumptions!$B$9)/((O$3/100)*Assumptions!$B$10)))-$B7*EXP(-Assumptions!$B$3*Assumptions!$B$9)*NORMSDIST((((LN(Assumptions!$B$2/$B7)+(Assumptions!$B$3-Assumptions!$B$4+(O$3/100)^2/2)*Assumptions!$B$9)/((O$3/100)*Assumptions!$B$10))-(O$3/100)*Assumptions!$B$10)))))</f>
        <v/>
      </c>
      <c r="P28" s="56">
        <f>IF((MAX(0,Assumptions!$B$2*EXP(-Assumptions!$B$4*Assumptions!$B$9)*NORMSDIST(((LN(Assumptions!$B$2/$B7)+(Assumptions!$B$3-Assumptions!$B$4+(P$3/100)^2/2)*Assumptions!$B$9)/((P$3/100)*Assumptions!$B$10)))-$B7*EXP(-Assumptions!$B$3*Assumptions!$B$9)*NORMSDIST((((LN(Assumptions!$B$2/$B7)+(Assumptions!$B$3-Assumptions!$B$4+(P$3/100)^2/2)*Assumptions!$B$9)/((P$3/100)*Assumptions!$B$10))-(P$3/100)*Assumptions!$B$10))))&lt;=0,"",(Assumptions!$B$2*EXP(-Assumptions!$B$4*Assumptions!$B$9)*NORMDIST(((LN(Assumptions!$B$2/$B7)+(Assumptions!$B$3-Assumptions!$B$4+(P$3/100)^2/2)*Assumptions!$B$9)/((P$3/100)*Assumptions!$B$10)),0,1,FALSE)*Assumptions!$B$10*0.01)*0.5/(MAX(0,Assumptions!$B$2*EXP(-Assumptions!$B$4*Assumptions!$B$9)*NORMSDIST(((LN(Assumptions!$B$2/$B7)+(Assumptions!$B$3-Assumptions!$B$4+(P$3/100)^2/2)*Assumptions!$B$9)/((P$3/100)*Assumptions!$B$10)))-$B7*EXP(-Assumptions!$B$3*Assumptions!$B$9)*NORMSDIST((((LN(Assumptions!$B$2/$B7)+(Assumptions!$B$3-Assumptions!$B$4+(P$3/100)^2/2)*Assumptions!$B$9)/((P$3/100)*Assumptions!$B$10))-(P$3/100)*Assumptions!$B$10)))))</f>
        <v/>
      </c>
      <c r="Q28" s="56">
        <f>IF((MAX(0,Assumptions!$B$2*EXP(-Assumptions!$B$4*Assumptions!$B$9)*NORMSDIST(((LN(Assumptions!$B$2/$B7)+(Assumptions!$B$3-Assumptions!$B$4+(Q$3/100)^2/2)*Assumptions!$B$9)/((Q$3/100)*Assumptions!$B$10)))-$B7*EXP(-Assumptions!$B$3*Assumptions!$B$9)*NORMSDIST((((LN(Assumptions!$B$2/$B7)+(Assumptions!$B$3-Assumptions!$B$4+(Q$3/100)^2/2)*Assumptions!$B$9)/((Q$3/100)*Assumptions!$B$10))-(Q$3/100)*Assumptions!$B$10))))&lt;=0,"",(Assumptions!$B$2*EXP(-Assumptions!$B$4*Assumptions!$B$9)*NORMDIST(((LN(Assumptions!$B$2/$B7)+(Assumptions!$B$3-Assumptions!$B$4+(Q$3/100)^2/2)*Assumptions!$B$9)/((Q$3/100)*Assumptions!$B$10)),0,1,FALSE)*Assumptions!$B$10*0.01)*0.5/(MAX(0,Assumptions!$B$2*EXP(-Assumptions!$B$4*Assumptions!$B$9)*NORMSDIST(((LN(Assumptions!$B$2/$B7)+(Assumptions!$B$3-Assumptions!$B$4+(Q$3/100)^2/2)*Assumptions!$B$9)/((Q$3/100)*Assumptions!$B$10)))-$B7*EXP(-Assumptions!$B$3*Assumptions!$B$9)*NORMSDIST((((LN(Assumptions!$B$2/$B7)+(Assumptions!$B$3-Assumptions!$B$4+(Q$3/100)^2/2)*Assumptions!$B$9)/((Q$3/100)*Assumptions!$B$10))-(Q$3/100)*Assumptions!$B$10)))))</f>
        <v/>
      </c>
      <c r="R28" s="56">
        <f>IF((MAX(0,Assumptions!$B$2*EXP(-Assumptions!$B$4*Assumptions!$B$9)*NORMSDIST(((LN(Assumptions!$B$2/$B7)+(Assumptions!$B$3-Assumptions!$B$4+(R$3/100)^2/2)*Assumptions!$B$9)/((R$3/100)*Assumptions!$B$10)))-$B7*EXP(-Assumptions!$B$3*Assumptions!$B$9)*NORMSDIST((((LN(Assumptions!$B$2/$B7)+(Assumptions!$B$3-Assumptions!$B$4+(R$3/100)^2/2)*Assumptions!$B$9)/((R$3/100)*Assumptions!$B$10))-(R$3/100)*Assumptions!$B$10))))&lt;=0,"",(Assumptions!$B$2*EXP(-Assumptions!$B$4*Assumptions!$B$9)*NORMDIST(((LN(Assumptions!$B$2/$B7)+(Assumptions!$B$3-Assumptions!$B$4+(R$3/100)^2/2)*Assumptions!$B$9)/((R$3/100)*Assumptions!$B$10)),0,1,FALSE)*Assumptions!$B$10*0.01)*0.5/(MAX(0,Assumptions!$B$2*EXP(-Assumptions!$B$4*Assumptions!$B$9)*NORMSDIST(((LN(Assumptions!$B$2/$B7)+(Assumptions!$B$3-Assumptions!$B$4+(R$3/100)^2/2)*Assumptions!$B$9)/((R$3/100)*Assumptions!$B$10)))-$B7*EXP(-Assumptions!$B$3*Assumptions!$B$9)*NORMSDIST((((LN(Assumptions!$B$2/$B7)+(Assumptions!$B$3-Assumptions!$B$4+(R$3/100)^2/2)*Assumptions!$B$9)/((R$3/100)*Assumptions!$B$10))-(R$3/100)*Assumptions!$B$10)))))</f>
        <v/>
      </c>
      <c r="S28" s="56">
        <f>IF((MAX(0,Assumptions!$B$2*EXP(-Assumptions!$B$4*Assumptions!$B$9)*NORMSDIST(((LN(Assumptions!$B$2/$B7)+(Assumptions!$B$3-Assumptions!$B$4+(S$3/100)^2/2)*Assumptions!$B$9)/((S$3/100)*Assumptions!$B$10)))-$B7*EXP(-Assumptions!$B$3*Assumptions!$B$9)*NORMSDIST((((LN(Assumptions!$B$2/$B7)+(Assumptions!$B$3-Assumptions!$B$4+(S$3/100)^2/2)*Assumptions!$B$9)/((S$3/100)*Assumptions!$B$10))-(S$3/100)*Assumptions!$B$10))))&lt;=0,"",(Assumptions!$B$2*EXP(-Assumptions!$B$4*Assumptions!$B$9)*NORMDIST(((LN(Assumptions!$B$2/$B7)+(Assumptions!$B$3-Assumptions!$B$4+(S$3/100)^2/2)*Assumptions!$B$9)/((S$3/100)*Assumptions!$B$10)),0,1,FALSE)*Assumptions!$B$10*0.01)*0.5/(MAX(0,Assumptions!$B$2*EXP(-Assumptions!$B$4*Assumptions!$B$9)*NORMSDIST(((LN(Assumptions!$B$2/$B7)+(Assumptions!$B$3-Assumptions!$B$4+(S$3/100)^2/2)*Assumptions!$B$9)/((S$3/100)*Assumptions!$B$10)))-$B7*EXP(-Assumptions!$B$3*Assumptions!$B$9)*NORMSDIST((((LN(Assumptions!$B$2/$B7)+(Assumptions!$B$3-Assumptions!$B$4+(S$3/100)^2/2)*Assumptions!$B$9)/((S$3/100)*Assumptions!$B$10))-(S$3/100)*Assumptions!$B$10)))))</f>
        <v/>
      </c>
      <c r="T28" s="56">
        <f>IF((MAX(0,Assumptions!$B$2*EXP(-Assumptions!$B$4*Assumptions!$B$9)*NORMSDIST(((LN(Assumptions!$B$2/$B7)+(Assumptions!$B$3-Assumptions!$B$4+(T$3/100)^2/2)*Assumptions!$B$9)/((T$3/100)*Assumptions!$B$10)))-$B7*EXP(-Assumptions!$B$3*Assumptions!$B$9)*NORMSDIST((((LN(Assumptions!$B$2/$B7)+(Assumptions!$B$3-Assumptions!$B$4+(T$3/100)^2/2)*Assumptions!$B$9)/((T$3/100)*Assumptions!$B$10))-(T$3/100)*Assumptions!$B$10))))&lt;=0,"",(Assumptions!$B$2*EXP(-Assumptions!$B$4*Assumptions!$B$9)*NORMDIST(((LN(Assumptions!$B$2/$B7)+(Assumptions!$B$3-Assumptions!$B$4+(T$3/100)^2/2)*Assumptions!$B$9)/((T$3/100)*Assumptions!$B$10)),0,1,FALSE)*Assumptions!$B$10*0.01)*0.5/(MAX(0,Assumptions!$B$2*EXP(-Assumptions!$B$4*Assumptions!$B$9)*NORMSDIST(((LN(Assumptions!$B$2/$B7)+(Assumptions!$B$3-Assumptions!$B$4+(T$3/100)^2/2)*Assumptions!$B$9)/((T$3/100)*Assumptions!$B$10)))-$B7*EXP(-Assumptions!$B$3*Assumptions!$B$9)*NORMSDIST((((LN(Assumptions!$B$2/$B7)+(Assumptions!$B$3-Assumptions!$B$4+(T$3/100)^2/2)*Assumptions!$B$9)/((T$3/100)*Assumptions!$B$10))-(T$3/100)*Assumptions!$B$10)))))</f>
        <v/>
      </c>
      <c r="U28" s="56">
        <f>IF((MAX(0,Assumptions!$B$2*EXP(-Assumptions!$B$4*Assumptions!$B$9)*NORMSDIST(((LN(Assumptions!$B$2/$B7)+(Assumptions!$B$3-Assumptions!$B$4+(U$3/100)^2/2)*Assumptions!$B$9)/((U$3/100)*Assumptions!$B$10)))-$B7*EXP(-Assumptions!$B$3*Assumptions!$B$9)*NORMSDIST((((LN(Assumptions!$B$2/$B7)+(Assumptions!$B$3-Assumptions!$B$4+(U$3/100)^2/2)*Assumptions!$B$9)/((U$3/100)*Assumptions!$B$10))-(U$3/100)*Assumptions!$B$10))))&lt;=0,"",(Assumptions!$B$2*EXP(-Assumptions!$B$4*Assumptions!$B$9)*NORMDIST(((LN(Assumptions!$B$2/$B7)+(Assumptions!$B$3-Assumptions!$B$4+(U$3/100)^2/2)*Assumptions!$B$9)/((U$3/100)*Assumptions!$B$10)),0,1,FALSE)*Assumptions!$B$10*0.01)*0.5/(MAX(0,Assumptions!$B$2*EXP(-Assumptions!$B$4*Assumptions!$B$9)*NORMSDIST(((LN(Assumptions!$B$2/$B7)+(Assumptions!$B$3-Assumptions!$B$4+(U$3/100)^2/2)*Assumptions!$B$9)/((U$3/100)*Assumptions!$B$10)))-$B7*EXP(-Assumptions!$B$3*Assumptions!$B$9)*NORMSDIST((((LN(Assumptions!$B$2/$B7)+(Assumptions!$B$3-Assumptions!$B$4+(U$3/100)^2/2)*Assumptions!$B$9)/((U$3/100)*Assumptions!$B$10))-(U$3/100)*Assumptions!$B$10)))))</f>
        <v/>
      </c>
      <c r="V28" s="56">
        <f>IF((MAX(0,Assumptions!$B$2*EXP(-Assumptions!$B$4*Assumptions!$B$9)*NORMSDIST(((LN(Assumptions!$B$2/$B7)+(Assumptions!$B$3-Assumptions!$B$4+(V$3/100)^2/2)*Assumptions!$B$9)/((V$3/100)*Assumptions!$B$10)))-$B7*EXP(-Assumptions!$B$3*Assumptions!$B$9)*NORMSDIST((((LN(Assumptions!$B$2/$B7)+(Assumptions!$B$3-Assumptions!$B$4+(V$3/100)^2/2)*Assumptions!$B$9)/((V$3/100)*Assumptions!$B$10))-(V$3/100)*Assumptions!$B$10))))&lt;=0,"",(Assumptions!$B$2*EXP(-Assumptions!$B$4*Assumptions!$B$9)*NORMDIST(((LN(Assumptions!$B$2/$B7)+(Assumptions!$B$3-Assumptions!$B$4+(V$3/100)^2/2)*Assumptions!$B$9)/((V$3/100)*Assumptions!$B$10)),0,1,FALSE)*Assumptions!$B$10*0.01)*0.5/(MAX(0,Assumptions!$B$2*EXP(-Assumptions!$B$4*Assumptions!$B$9)*NORMSDIST(((LN(Assumptions!$B$2/$B7)+(Assumptions!$B$3-Assumptions!$B$4+(V$3/100)^2/2)*Assumptions!$B$9)/((V$3/100)*Assumptions!$B$10)))-$B7*EXP(-Assumptions!$B$3*Assumptions!$B$9)*NORMSDIST((((LN(Assumptions!$B$2/$B7)+(Assumptions!$B$3-Assumptions!$B$4+(V$3/100)^2/2)*Assumptions!$B$9)/((V$3/100)*Assumptions!$B$10))-(V$3/100)*Assumptions!$B$10)))))</f>
        <v/>
      </c>
      <c r="W28" s="56">
        <f>IF((MAX(0,Assumptions!$B$2*EXP(-Assumptions!$B$4*Assumptions!$B$9)*NORMSDIST(((LN(Assumptions!$B$2/$B7)+(Assumptions!$B$3-Assumptions!$B$4+(W$3/100)^2/2)*Assumptions!$B$9)/((W$3/100)*Assumptions!$B$10)))-$B7*EXP(-Assumptions!$B$3*Assumptions!$B$9)*NORMSDIST((((LN(Assumptions!$B$2/$B7)+(Assumptions!$B$3-Assumptions!$B$4+(W$3/100)^2/2)*Assumptions!$B$9)/((W$3/100)*Assumptions!$B$10))-(W$3/100)*Assumptions!$B$10))))&lt;=0,"",(Assumptions!$B$2*EXP(-Assumptions!$B$4*Assumptions!$B$9)*NORMDIST(((LN(Assumptions!$B$2/$B7)+(Assumptions!$B$3-Assumptions!$B$4+(W$3/100)^2/2)*Assumptions!$B$9)/((W$3/100)*Assumptions!$B$10)),0,1,FALSE)*Assumptions!$B$10*0.01)*0.5/(MAX(0,Assumptions!$B$2*EXP(-Assumptions!$B$4*Assumptions!$B$9)*NORMSDIST(((LN(Assumptions!$B$2/$B7)+(Assumptions!$B$3-Assumptions!$B$4+(W$3/100)^2/2)*Assumptions!$B$9)/((W$3/100)*Assumptions!$B$10)))-$B7*EXP(-Assumptions!$B$3*Assumptions!$B$9)*NORMSDIST((((LN(Assumptions!$B$2/$B7)+(Assumptions!$B$3-Assumptions!$B$4+(W$3/100)^2/2)*Assumptions!$B$9)/((W$3/100)*Assumptions!$B$10))-(W$3/100)*Assumptions!$B$10)))))</f>
        <v/>
      </c>
      <c r="X28" s="56">
        <f>IF((MAX(0,Assumptions!$B$2*EXP(-Assumptions!$B$4*Assumptions!$B$9)*NORMSDIST(((LN(Assumptions!$B$2/$B7)+(Assumptions!$B$3-Assumptions!$B$4+(X$3/100)^2/2)*Assumptions!$B$9)/((X$3/100)*Assumptions!$B$10)))-$B7*EXP(-Assumptions!$B$3*Assumptions!$B$9)*NORMSDIST((((LN(Assumptions!$B$2/$B7)+(Assumptions!$B$3-Assumptions!$B$4+(X$3/100)^2/2)*Assumptions!$B$9)/((X$3/100)*Assumptions!$B$10))-(X$3/100)*Assumptions!$B$10))))&lt;=0,"",(Assumptions!$B$2*EXP(-Assumptions!$B$4*Assumptions!$B$9)*NORMDIST(((LN(Assumptions!$B$2/$B7)+(Assumptions!$B$3-Assumptions!$B$4+(X$3/100)^2/2)*Assumptions!$B$9)/((X$3/100)*Assumptions!$B$10)),0,1,FALSE)*Assumptions!$B$10*0.01)*0.5/(MAX(0,Assumptions!$B$2*EXP(-Assumptions!$B$4*Assumptions!$B$9)*NORMSDIST(((LN(Assumptions!$B$2/$B7)+(Assumptions!$B$3-Assumptions!$B$4+(X$3/100)^2/2)*Assumptions!$B$9)/((X$3/100)*Assumptions!$B$10)))-$B7*EXP(-Assumptions!$B$3*Assumptions!$B$9)*NORMSDIST((((LN(Assumptions!$B$2/$B7)+(Assumptions!$B$3-Assumptions!$B$4+(X$3/100)^2/2)*Assumptions!$B$9)/((X$3/100)*Assumptions!$B$10))-(X$3/100)*Assumptions!$B$10)))))</f>
        <v/>
      </c>
      <c r="Y28" s="56">
        <f>IF((MAX(0,Assumptions!$B$2*EXP(-Assumptions!$B$4*Assumptions!$B$9)*NORMSDIST(((LN(Assumptions!$B$2/$B7)+(Assumptions!$B$3-Assumptions!$B$4+(Y$3/100)^2/2)*Assumptions!$B$9)/((Y$3/100)*Assumptions!$B$10)))-$B7*EXP(-Assumptions!$B$3*Assumptions!$B$9)*NORMSDIST((((LN(Assumptions!$B$2/$B7)+(Assumptions!$B$3-Assumptions!$B$4+(Y$3/100)^2/2)*Assumptions!$B$9)/((Y$3/100)*Assumptions!$B$10))-(Y$3/100)*Assumptions!$B$10))))&lt;=0,"",(Assumptions!$B$2*EXP(-Assumptions!$B$4*Assumptions!$B$9)*NORMDIST(((LN(Assumptions!$B$2/$B7)+(Assumptions!$B$3-Assumptions!$B$4+(Y$3/100)^2/2)*Assumptions!$B$9)/((Y$3/100)*Assumptions!$B$10)),0,1,FALSE)*Assumptions!$B$10*0.01)*0.5/(MAX(0,Assumptions!$B$2*EXP(-Assumptions!$B$4*Assumptions!$B$9)*NORMSDIST(((LN(Assumptions!$B$2/$B7)+(Assumptions!$B$3-Assumptions!$B$4+(Y$3/100)^2/2)*Assumptions!$B$9)/((Y$3/100)*Assumptions!$B$10)))-$B7*EXP(-Assumptions!$B$3*Assumptions!$B$9)*NORMSDIST((((LN(Assumptions!$B$2/$B7)+(Assumptions!$B$3-Assumptions!$B$4+(Y$3/100)^2/2)*Assumptions!$B$9)/((Y$3/100)*Assumptions!$B$10))-(Y$3/100)*Assumptions!$B$10)))))</f>
        <v/>
      </c>
      <c r="Z28" s="56">
        <f>IF((MAX(0,Assumptions!$B$2*EXP(-Assumptions!$B$4*Assumptions!$B$9)*NORMSDIST(((LN(Assumptions!$B$2/$B7)+(Assumptions!$B$3-Assumptions!$B$4+(Z$3/100)^2/2)*Assumptions!$B$9)/((Z$3/100)*Assumptions!$B$10)))-$B7*EXP(-Assumptions!$B$3*Assumptions!$B$9)*NORMSDIST((((LN(Assumptions!$B$2/$B7)+(Assumptions!$B$3-Assumptions!$B$4+(Z$3/100)^2/2)*Assumptions!$B$9)/((Z$3/100)*Assumptions!$B$10))-(Z$3/100)*Assumptions!$B$10))))&lt;=0,"",(Assumptions!$B$2*EXP(-Assumptions!$B$4*Assumptions!$B$9)*NORMDIST(((LN(Assumptions!$B$2/$B7)+(Assumptions!$B$3-Assumptions!$B$4+(Z$3/100)^2/2)*Assumptions!$B$9)/((Z$3/100)*Assumptions!$B$10)),0,1,FALSE)*Assumptions!$B$10*0.01)*0.5/(MAX(0,Assumptions!$B$2*EXP(-Assumptions!$B$4*Assumptions!$B$9)*NORMSDIST(((LN(Assumptions!$B$2/$B7)+(Assumptions!$B$3-Assumptions!$B$4+(Z$3/100)^2/2)*Assumptions!$B$9)/((Z$3/100)*Assumptions!$B$10)))-$B7*EXP(-Assumptions!$B$3*Assumptions!$B$9)*NORMSDIST((((LN(Assumptions!$B$2/$B7)+(Assumptions!$B$3-Assumptions!$B$4+(Z$3/100)^2/2)*Assumptions!$B$9)/((Z$3/100)*Assumptions!$B$10))-(Z$3/100)*Assumptions!$B$10)))))</f>
        <v/>
      </c>
      <c r="AA28" s="56">
        <f>IF((MAX(0,Assumptions!$B$2*EXP(-Assumptions!$B$4*Assumptions!$B$9)*NORMSDIST(((LN(Assumptions!$B$2/$B7)+(Assumptions!$B$3-Assumptions!$B$4+(AA$3/100)^2/2)*Assumptions!$B$9)/((AA$3/100)*Assumptions!$B$10)))-$B7*EXP(-Assumptions!$B$3*Assumptions!$B$9)*NORMSDIST((((LN(Assumptions!$B$2/$B7)+(Assumptions!$B$3-Assumptions!$B$4+(AA$3/100)^2/2)*Assumptions!$B$9)/((AA$3/100)*Assumptions!$B$10))-(AA$3/100)*Assumptions!$B$10))))&lt;=0,"",(Assumptions!$B$2*EXP(-Assumptions!$B$4*Assumptions!$B$9)*NORMDIST(((LN(Assumptions!$B$2/$B7)+(Assumptions!$B$3-Assumptions!$B$4+(AA$3/100)^2/2)*Assumptions!$B$9)/((AA$3/100)*Assumptions!$B$10)),0,1,FALSE)*Assumptions!$B$10*0.01)*0.5/(MAX(0,Assumptions!$B$2*EXP(-Assumptions!$B$4*Assumptions!$B$9)*NORMSDIST(((LN(Assumptions!$B$2/$B7)+(Assumptions!$B$3-Assumptions!$B$4+(AA$3/100)^2/2)*Assumptions!$B$9)/((AA$3/100)*Assumptions!$B$10)))-$B7*EXP(-Assumptions!$B$3*Assumptions!$B$9)*NORMSDIST((((LN(Assumptions!$B$2/$B7)+(Assumptions!$B$3-Assumptions!$B$4+(AA$3/100)^2/2)*Assumptions!$B$9)/((AA$3/100)*Assumptions!$B$10))-(AA$3/100)*Assumptions!$B$10)))))</f>
        <v/>
      </c>
      <c r="AB28" s="56">
        <f>IF((MAX(0,Assumptions!$B$2*EXP(-Assumptions!$B$4*Assumptions!$B$9)*NORMSDIST(((LN(Assumptions!$B$2/$B7)+(Assumptions!$B$3-Assumptions!$B$4+(AB$3/100)^2/2)*Assumptions!$B$9)/((AB$3/100)*Assumptions!$B$10)))-$B7*EXP(-Assumptions!$B$3*Assumptions!$B$9)*NORMSDIST((((LN(Assumptions!$B$2/$B7)+(Assumptions!$B$3-Assumptions!$B$4+(AB$3/100)^2/2)*Assumptions!$B$9)/((AB$3/100)*Assumptions!$B$10))-(AB$3/100)*Assumptions!$B$10))))&lt;=0,"",(Assumptions!$B$2*EXP(-Assumptions!$B$4*Assumptions!$B$9)*NORMDIST(((LN(Assumptions!$B$2/$B7)+(Assumptions!$B$3-Assumptions!$B$4+(AB$3/100)^2/2)*Assumptions!$B$9)/((AB$3/100)*Assumptions!$B$10)),0,1,FALSE)*Assumptions!$B$10*0.01)*0.5/(MAX(0,Assumptions!$B$2*EXP(-Assumptions!$B$4*Assumptions!$B$9)*NORMSDIST(((LN(Assumptions!$B$2/$B7)+(Assumptions!$B$3-Assumptions!$B$4+(AB$3/100)^2/2)*Assumptions!$B$9)/((AB$3/100)*Assumptions!$B$10)))-$B7*EXP(-Assumptions!$B$3*Assumptions!$B$9)*NORMSDIST((((LN(Assumptions!$B$2/$B7)+(Assumptions!$B$3-Assumptions!$B$4+(AB$3/100)^2/2)*Assumptions!$B$9)/((AB$3/100)*Assumptions!$B$10))-(AB$3/100)*Assumptions!$B$10)))))</f>
        <v/>
      </c>
      <c r="AC28" s="56">
        <f>IF((MAX(0,Assumptions!$B$2*EXP(-Assumptions!$B$4*Assumptions!$B$9)*NORMSDIST(((LN(Assumptions!$B$2/$B7)+(Assumptions!$B$3-Assumptions!$B$4+(AC$3/100)^2/2)*Assumptions!$B$9)/((AC$3/100)*Assumptions!$B$10)))-$B7*EXP(-Assumptions!$B$3*Assumptions!$B$9)*NORMSDIST((((LN(Assumptions!$B$2/$B7)+(Assumptions!$B$3-Assumptions!$B$4+(AC$3/100)^2/2)*Assumptions!$B$9)/((AC$3/100)*Assumptions!$B$10))-(AC$3/100)*Assumptions!$B$10))))&lt;=0,"",(Assumptions!$B$2*EXP(-Assumptions!$B$4*Assumptions!$B$9)*NORMDIST(((LN(Assumptions!$B$2/$B7)+(Assumptions!$B$3-Assumptions!$B$4+(AC$3/100)^2/2)*Assumptions!$B$9)/((AC$3/100)*Assumptions!$B$10)),0,1,FALSE)*Assumptions!$B$10*0.01)*0.5/(MAX(0,Assumptions!$B$2*EXP(-Assumptions!$B$4*Assumptions!$B$9)*NORMSDIST(((LN(Assumptions!$B$2/$B7)+(Assumptions!$B$3-Assumptions!$B$4+(AC$3/100)^2/2)*Assumptions!$B$9)/((AC$3/100)*Assumptions!$B$10)))-$B7*EXP(-Assumptions!$B$3*Assumptions!$B$9)*NORMSDIST((((LN(Assumptions!$B$2/$B7)+(Assumptions!$B$3-Assumptions!$B$4+(AC$3/100)^2/2)*Assumptions!$B$9)/((AC$3/100)*Assumptions!$B$10))-(AC$3/100)*Assumptions!$B$10)))))</f>
        <v/>
      </c>
      <c r="AD28" s="56">
        <f>IF((MAX(0,Assumptions!$B$2*EXP(-Assumptions!$B$4*Assumptions!$B$9)*NORMSDIST(((LN(Assumptions!$B$2/$B7)+(Assumptions!$B$3-Assumptions!$B$4+(AD$3/100)^2/2)*Assumptions!$B$9)/((AD$3/100)*Assumptions!$B$10)))-$B7*EXP(-Assumptions!$B$3*Assumptions!$B$9)*NORMSDIST((((LN(Assumptions!$B$2/$B7)+(Assumptions!$B$3-Assumptions!$B$4+(AD$3/100)^2/2)*Assumptions!$B$9)/((AD$3/100)*Assumptions!$B$10))-(AD$3/100)*Assumptions!$B$10))))&lt;=0,"",(Assumptions!$B$2*EXP(-Assumptions!$B$4*Assumptions!$B$9)*NORMDIST(((LN(Assumptions!$B$2/$B7)+(Assumptions!$B$3-Assumptions!$B$4+(AD$3/100)^2/2)*Assumptions!$B$9)/((AD$3/100)*Assumptions!$B$10)),0,1,FALSE)*Assumptions!$B$10*0.01)*0.5/(MAX(0,Assumptions!$B$2*EXP(-Assumptions!$B$4*Assumptions!$B$9)*NORMSDIST(((LN(Assumptions!$B$2/$B7)+(Assumptions!$B$3-Assumptions!$B$4+(AD$3/100)^2/2)*Assumptions!$B$9)/((AD$3/100)*Assumptions!$B$10)))-$B7*EXP(-Assumptions!$B$3*Assumptions!$B$9)*NORMSDIST((((LN(Assumptions!$B$2/$B7)+(Assumptions!$B$3-Assumptions!$B$4+(AD$3/100)^2/2)*Assumptions!$B$9)/((AD$3/100)*Assumptions!$B$10))-(AD$3/100)*Assumptions!$B$10)))))</f>
        <v/>
      </c>
      <c r="AE28" s="56">
        <f>IF((MAX(0,Assumptions!$B$2*EXP(-Assumptions!$B$4*Assumptions!$B$9)*NORMSDIST(((LN(Assumptions!$B$2/$B7)+(Assumptions!$B$3-Assumptions!$B$4+(AE$3/100)^2/2)*Assumptions!$B$9)/((AE$3/100)*Assumptions!$B$10)))-$B7*EXP(-Assumptions!$B$3*Assumptions!$B$9)*NORMSDIST((((LN(Assumptions!$B$2/$B7)+(Assumptions!$B$3-Assumptions!$B$4+(AE$3/100)^2/2)*Assumptions!$B$9)/((AE$3/100)*Assumptions!$B$10))-(AE$3/100)*Assumptions!$B$10))))&lt;=0,"",(Assumptions!$B$2*EXP(-Assumptions!$B$4*Assumptions!$B$9)*NORMDIST(((LN(Assumptions!$B$2/$B7)+(Assumptions!$B$3-Assumptions!$B$4+(AE$3/100)^2/2)*Assumptions!$B$9)/((AE$3/100)*Assumptions!$B$10)),0,1,FALSE)*Assumptions!$B$10*0.01)*0.5/(MAX(0,Assumptions!$B$2*EXP(-Assumptions!$B$4*Assumptions!$B$9)*NORMSDIST(((LN(Assumptions!$B$2/$B7)+(Assumptions!$B$3-Assumptions!$B$4+(AE$3/100)^2/2)*Assumptions!$B$9)/((AE$3/100)*Assumptions!$B$10)))-$B7*EXP(-Assumptions!$B$3*Assumptions!$B$9)*NORMSDIST((((LN(Assumptions!$B$2/$B7)+(Assumptions!$B$3-Assumptions!$B$4+(AE$3/100)^2/2)*Assumptions!$B$9)/((AE$3/100)*Assumptions!$B$10))-(AE$3/100)*Assumptions!$B$10)))))</f>
        <v/>
      </c>
      <c r="AF28" s="56">
        <f>IF((MAX(0,Assumptions!$B$2*EXP(-Assumptions!$B$4*Assumptions!$B$9)*NORMSDIST(((LN(Assumptions!$B$2/$B7)+(Assumptions!$B$3-Assumptions!$B$4+(AF$3/100)^2/2)*Assumptions!$B$9)/((AF$3/100)*Assumptions!$B$10)))-$B7*EXP(-Assumptions!$B$3*Assumptions!$B$9)*NORMSDIST((((LN(Assumptions!$B$2/$B7)+(Assumptions!$B$3-Assumptions!$B$4+(AF$3/100)^2/2)*Assumptions!$B$9)/((AF$3/100)*Assumptions!$B$10))-(AF$3/100)*Assumptions!$B$10))))&lt;=0,"",(Assumptions!$B$2*EXP(-Assumptions!$B$4*Assumptions!$B$9)*NORMDIST(((LN(Assumptions!$B$2/$B7)+(Assumptions!$B$3-Assumptions!$B$4+(AF$3/100)^2/2)*Assumptions!$B$9)/((AF$3/100)*Assumptions!$B$10)),0,1,FALSE)*Assumptions!$B$10*0.01)*0.5/(MAX(0,Assumptions!$B$2*EXP(-Assumptions!$B$4*Assumptions!$B$9)*NORMSDIST(((LN(Assumptions!$B$2/$B7)+(Assumptions!$B$3-Assumptions!$B$4+(AF$3/100)^2/2)*Assumptions!$B$9)/((AF$3/100)*Assumptions!$B$10)))-$B7*EXP(-Assumptions!$B$3*Assumptions!$B$9)*NORMSDIST((((LN(Assumptions!$B$2/$B7)+(Assumptions!$B$3-Assumptions!$B$4+(AF$3/100)^2/2)*Assumptions!$B$9)/((AF$3/100)*Assumptions!$B$10))-(AF$3/100)*Assumptions!$B$10)))))</f>
        <v/>
      </c>
      <c r="AG28" s="56">
        <f>IF((MAX(0,Assumptions!$B$2*EXP(-Assumptions!$B$4*Assumptions!$B$9)*NORMSDIST(((LN(Assumptions!$B$2/$B7)+(Assumptions!$B$3-Assumptions!$B$4+(AG$3/100)^2/2)*Assumptions!$B$9)/((AG$3/100)*Assumptions!$B$10)))-$B7*EXP(-Assumptions!$B$3*Assumptions!$B$9)*NORMSDIST((((LN(Assumptions!$B$2/$B7)+(Assumptions!$B$3-Assumptions!$B$4+(AG$3/100)^2/2)*Assumptions!$B$9)/((AG$3/100)*Assumptions!$B$10))-(AG$3/100)*Assumptions!$B$10))))&lt;=0,"",(Assumptions!$B$2*EXP(-Assumptions!$B$4*Assumptions!$B$9)*NORMDIST(((LN(Assumptions!$B$2/$B7)+(Assumptions!$B$3-Assumptions!$B$4+(AG$3/100)^2/2)*Assumptions!$B$9)/((AG$3/100)*Assumptions!$B$10)),0,1,FALSE)*Assumptions!$B$10*0.01)*0.5/(MAX(0,Assumptions!$B$2*EXP(-Assumptions!$B$4*Assumptions!$B$9)*NORMSDIST(((LN(Assumptions!$B$2/$B7)+(Assumptions!$B$3-Assumptions!$B$4+(AG$3/100)^2/2)*Assumptions!$B$9)/((AG$3/100)*Assumptions!$B$10)))-$B7*EXP(-Assumptions!$B$3*Assumptions!$B$9)*NORMSDIST((((LN(Assumptions!$B$2/$B7)+(Assumptions!$B$3-Assumptions!$B$4+(AG$3/100)^2/2)*Assumptions!$B$9)/((AG$3/100)*Assumptions!$B$10))-(AG$3/100)*Assumptions!$B$10)))))</f>
        <v/>
      </c>
      <c r="AH28" s="56">
        <f>IF((MAX(0,Assumptions!$B$2*EXP(-Assumptions!$B$4*Assumptions!$B$9)*NORMSDIST(((LN(Assumptions!$B$2/$B7)+(Assumptions!$B$3-Assumptions!$B$4+(AH$3/100)^2/2)*Assumptions!$B$9)/((AH$3/100)*Assumptions!$B$10)))-$B7*EXP(-Assumptions!$B$3*Assumptions!$B$9)*NORMSDIST((((LN(Assumptions!$B$2/$B7)+(Assumptions!$B$3-Assumptions!$B$4+(AH$3/100)^2/2)*Assumptions!$B$9)/((AH$3/100)*Assumptions!$B$10))-(AH$3/100)*Assumptions!$B$10))))&lt;=0,"",(Assumptions!$B$2*EXP(-Assumptions!$B$4*Assumptions!$B$9)*NORMDIST(((LN(Assumptions!$B$2/$B7)+(Assumptions!$B$3-Assumptions!$B$4+(AH$3/100)^2/2)*Assumptions!$B$9)/((AH$3/100)*Assumptions!$B$10)),0,1,FALSE)*Assumptions!$B$10*0.01)*0.5/(MAX(0,Assumptions!$B$2*EXP(-Assumptions!$B$4*Assumptions!$B$9)*NORMSDIST(((LN(Assumptions!$B$2/$B7)+(Assumptions!$B$3-Assumptions!$B$4+(AH$3/100)^2/2)*Assumptions!$B$9)/((AH$3/100)*Assumptions!$B$10)))-$B7*EXP(-Assumptions!$B$3*Assumptions!$B$9)*NORMSDIST((((LN(Assumptions!$B$2/$B7)+(Assumptions!$B$3-Assumptions!$B$4+(AH$3/100)^2/2)*Assumptions!$B$9)/((AH$3/100)*Assumptions!$B$10))-(AH$3/100)*Assumptions!$B$10)))))</f>
        <v/>
      </c>
      <c r="AI28" s="56">
        <f>IF((MAX(0,Assumptions!$B$2*EXP(-Assumptions!$B$4*Assumptions!$B$9)*NORMSDIST(((LN(Assumptions!$B$2/$B7)+(Assumptions!$B$3-Assumptions!$B$4+(AI$3/100)^2/2)*Assumptions!$B$9)/((AI$3/100)*Assumptions!$B$10)))-$B7*EXP(-Assumptions!$B$3*Assumptions!$B$9)*NORMSDIST((((LN(Assumptions!$B$2/$B7)+(Assumptions!$B$3-Assumptions!$B$4+(AI$3/100)^2/2)*Assumptions!$B$9)/((AI$3/100)*Assumptions!$B$10))-(AI$3/100)*Assumptions!$B$10))))&lt;=0,"",(Assumptions!$B$2*EXP(-Assumptions!$B$4*Assumptions!$B$9)*NORMDIST(((LN(Assumptions!$B$2/$B7)+(Assumptions!$B$3-Assumptions!$B$4+(AI$3/100)^2/2)*Assumptions!$B$9)/((AI$3/100)*Assumptions!$B$10)),0,1,FALSE)*Assumptions!$B$10*0.01)*0.5/(MAX(0,Assumptions!$B$2*EXP(-Assumptions!$B$4*Assumptions!$B$9)*NORMSDIST(((LN(Assumptions!$B$2/$B7)+(Assumptions!$B$3-Assumptions!$B$4+(AI$3/100)^2/2)*Assumptions!$B$9)/((AI$3/100)*Assumptions!$B$10)))-$B7*EXP(-Assumptions!$B$3*Assumptions!$B$9)*NORMSDIST((((LN(Assumptions!$B$2/$B7)+(Assumptions!$B$3-Assumptions!$B$4+(AI$3/100)^2/2)*Assumptions!$B$9)/((AI$3/100)*Assumptions!$B$10))-(AI$3/100)*Assumptions!$B$10)))))</f>
        <v/>
      </c>
      <c r="AJ28" s="56">
        <f>IF((MAX(0,Assumptions!$B$2*EXP(-Assumptions!$B$4*Assumptions!$B$9)*NORMSDIST(((LN(Assumptions!$B$2/$B7)+(Assumptions!$B$3-Assumptions!$B$4+(AJ$3/100)^2/2)*Assumptions!$B$9)/((AJ$3/100)*Assumptions!$B$10)))-$B7*EXP(-Assumptions!$B$3*Assumptions!$B$9)*NORMSDIST((((LN(Assumptions!$B$2/$B7)+(Assumptions!$B$3-Assumptions!$B$4+(AJ$3/100)^2/2)*Assumptions!$B$9)/((AJ$3/100)*Assumptions!$B$10))-(AJ$3/100)*Assumptions!$B$10))))&lt;=0,"",(Assumptions!$B$2*EXP(-Assumptions!$B$4*Assumptions!$B$9)*NORMDIST(((LN(Assumptions!$B$2/$B7)+(Assumptions!$B$3-Assumptions!$B$4+(AJ$3/100)^2/2)*Assumptions!$B$9)/((AJ$3/100)*Assumptions!$B$10)),0,1,FALSE)*Assumptions!$B$10*0.01)*0.5/(MAX(0,Assumptions!$B$2*EXP(-Assumptions!$B$4*Assumptions!$B$9)*NORMSDIST(((LN(Assumptions!$B$2/$B7)+(Assumptions!$B$3-Assumptions!$B$4+(AJ$3/100)^2/2)*Assumptions!$B$9)/((AJ$3/100)*Assumptions!$B$10)))-$B7*EXP(-Assumptions!$B$3*Assumptions!$B$9)*NORMSDIST((((LN(Assumptions!$B$2/$B7)+(Assumptions!$B$3-Assumptions!$B$4+(AJ$3/100)^2/2)*Assumptions!$B$9)/((AJ$3/100)*Assumptions!$B$10))-(AJ$3/100)*Assumptions!$B$10)))))</f>
        <v/>
      </c>
      <c r="AK28" s="56">
        <f>IF((MAX(0,Assumptions!$B$2*EXP(-Assumptions!$B$4*Assumptions!$B$9)*NORMSDIST(((LN(Assumptions!$B$2/$B7)+(Assumptions!$B$3-Assumptions!$B$4+(AK$3/100)^2/2)*Assumptions!$B$9)/((AK$3/100)*Assumptions!$B$10)))-$B7*EXP(-Assumptions!$B$3*Assumptions!$B$9)*NORMSDIST((((LN(Assumptions!$B$2/$B7)+(Assumptions!$B$3-Assumptions!$B$4+(AK$3/100)^2/2)*Assumptions!$B$9)/((AK$3/100)*Assumptions!$B$10))-(AK$3/100)*Assumptions!$B$10))))&lt;=0,"",(Assumptions!$B$2*EXP(-Assumptions!$B$4*Assumptions!$B$9)*NORMDIST(((LN(Assumptions!$B$2/$B7)+(Assumptions!$B$3-Assumptions!$B$4+(AK$3/100)^2/2)*Assumptions!$B$9)/((AK$3/100)*Assumptions!$B$10)),0,1,FALSE)*Assumptions!$B$10*0.01)*0.5/(MAX(0,Assumptions!$B$2*EXP(-Assumptions!$B$4*Assumptions!$B$9)*NORMSDIST(((LN(Assumptions!$B$2/$B7)+(Assumptions!$B$3-Assumptions!$B$4+(AK$3/100)^2/2)*Assumptions!$B$9)/((AK$3/100)*Assumptions!$B$10)))-$B7*EXP(-Assumptions!$B$3*Assumptions!$B$9)*NORMSDIST((((LN(Assumptions!$B$2/$B7)+(Assumptions!$B$3-Assumptions!$B$4+(AK$3/100)^2/2)*Assumptions!$B$9)/((AK$3/100)*Assumptions!$B$10))-(AK$3/100)*Assumptions!$B$10)))))</f>
        <v/>
      </c>
      <c r="AL28" s="56">
        <f>IF((MAX(0,Assumptions!$B$2*EXP(-Assumptions!$B$4*Assumptions!$B$9)*NORMSDIST(((LN(Assumptions!$B$2/$B7)+(Assumptions!$B$3-Assumptions!$B$4+(AL$3/100)^2/2)*Assumptions!$B$9)/((AL$3/100)*Assumptions!$B$10)))-$B7*EXP(-Assumptions!$B$3*Assumptions!$B$9)*NORMSDIST((((LN(Assumptions!$B$2/$B7)+(Assumptions!$B$3-Assumptions!$B$4+(AL$3/100)^2/2)*Assumptions!$B$9)/((AL$3/100)*Assumptions!$B$10))-(AL$3/100)*Assumptions!$B$10))))&lt;=0,"",(Assumptions!$B$2*EXP(-Assumptions!$B$4*Assumptions!$B$9)*NORMDIST(((LN(Assumptions!$B$2/$B7)+(Assumptions!$B$3-Assumptions!$B$4+(AL$3/100)^2/2)*Assumptions!$B$9)/((AL$3/100)*Assumptions!$B$10)),0,1,FALSE)*Assumptions!$B$10*0.01)*0.5/(MAX(0,Assumptions!$B$2*EXP(-Assumptions!$B$4*Assumptions!$B$9)*NORMSDIST(((LN(Assumptions!$B$2/$B7)+(Assumptions!$B$3-Assumptions!$B$4+(AL$3/100)^2/2)*Assumptions!$B$9)/((AL$3/100)*Assumptions!$B$10)))-$B7*EXP(-Assumptions!$B$3*Assumptions!$B$9)*NORMSDIST((((LN(Assumptions!$B$2/$B7)+(Assumptions!$B$3-Assumptions!$B$4+(AL$3/100)^2/2)*Assumptions!$B$9)/((AL$3/100)*Assumptions!$B$10))-(AL$3/100)*Assumptions!$B$10)))))</f>
        <v/>
      </c>
      <c r="AM28" s="56">
        <f>IF((MAX(0,Assumptions!$B$2*EXP(-Assumptions!$B$4*Assumptions!$B$9)*NORMSDIST(((LN(Assumptions!$B$2/$B7)+(Assumptions!$B$3-Assumptions!$B$4+(AM$3/100)^2/2)*Assumptions!$B$9)/((AM$3/100)*Assumptions!$B$10)))-$B7*EXP(-Assumptions!$B$3*Assumptions!$B$9)*NORMSDIST((((LN(Assumptions!$B$2/$B7)+(Assumptions!$B$3-Assumptions!$B$4+(AM$3/100)^2/2)*Assumptions!$B$9)/((AM$3/100)*Assumptions!$B$10))-(AM$3/100)*Assumptions!$B$10))))&lt;=0,"",(Assumptions!$B$2*EXP(-Assumptions!$B$4*Assumptions!$B$9)*NORMDIST(((LN(Assumptions!$B$2/$B7)+(Assumptions!$B$3-Assumptions!$B$4+(AM$3/100)^2/2)*Assumptions!$B$9)/((AM$3/100)*Assumptions!$B$10)),0,1,FALSE)*Assumptions!$B$10*0.01)*0.5/(MAX(0,Assumptions!$B$2*EXP(-Assumptions!$B$4*Assumptions!$B$9)*NORMSDIST(((LN(Assumptions!$B$2/$B7)+(Assumptions!$B$3-Assumptions!$B$4+(AM$3/100)^2/2)*Assumptions!$B$9)/((AM$3/100)*Assumptions!$B$10)))-$B7*EXP(-Assumptions!$B$3*Assumptions!$B$9)*NORMSDIST((((LN(Assumptions!$B$2/$B7)+(Assumptions!$B$3-Assumptions!$B$4+(AM$3/100)^2/2)*Assumptions!$B$9)/((AM$3/100)*Assumptions!$B$10))-(AM$3/100)*Assumptions!$B$10)))))</f>
        <v/>
      </c>
      <c r="AN28" s="56">
        <f>IF((MAX(0,Assumptions!$B$2*EXP(-Assumptions!$B$4*Assumptions!$B$9)*NORMSDIST(((LN(Assumptions!$B$2/$B7)+(Assumptions!$B$3-Assumptions!$B$4+(AN$3/100)^2/2)*Assumptions!$B$9)/((AN$3/100)*Assumptions!$B$10)))-$B7*EXP(-Assumptions!$B$3*Assumptions!$B$9)*NORMSDIST((((LN(Assumptions!$B$2/$B7)+(Assumptions!$B$3-Assumptions!$B$4+(AN$3/100)^2/2)*Assumptions!$B$9)/((AN$3/100)*Assumptions!$B$10))-(AN$3/100)*Assumptions!$B$10))))&lt;=0,"",(Assumptions!$B$2*EXP(-Assumptions!$B$4*Assumptions!$B$9)*NORMDIST(((LN(Assumptions!$B$2/$B7)+(Assumptions!$B$3-Assumptions!$B$4+(AN$3/100)^2/2)*Assumptions!$B$9)/((AN$3/100)*Assumptions!$B$10)),0,1,FALSE)*Assumptions!$B$10*0.01)*0.5/(MAX(0,Assumptions!$B$2*EXP(-Assumptions!$B$4*Assumptions!$B$9)*NORMSDIST(((LN(Assumptions!$B$2/$B7)+(Assumptions!$B$3-Assumptions!$B$4+(AN$3/100)^2/2)*Assumptions!$B$9)/((AN$3/100)*Assumptions!$B$10)))-$B7*EXP(-Assumptions!$B$3*Assumptions!$B$9)*NORMSDIST((((LN(Assumptions!$B$2/$B7)+(Assumptions!$B$3-Assumptions!$B$4+(AN$3/100)^2/2)*Assumptions!$B$9)/((AN$3/100)*Assumptions!$B$10))-(AN$3/100)*Assumptions!$B$10)))))</f>
        <v/>
      </c>
      <c r="AO28" s="56">
        <f>IF((MAX(0,Assumptions!$B$2*EXP(-Assumptions!$B$4*Assumptions!$B$9)*NORMSDIST(((LN(Assumptions!$B$2/$B7)+(Assumptions!$B$3-Assumptions!$B$4+(AO$3/100)^2/2)*Assumptions!$B$9)/((AO$3/100)*Assumptions!$B$10)))-$B7*EXP(-Assumptions!$B$3*Assumptions!$B$9)*NORMSDIST((((LN(Assumptions!$B$2/$B7)+(Assumptions!$B$3-Assumptions!$B$4+(AO$3/100)^2/2)*Assumptions!$B$9)/((AO$3/100)*Assumptions!$B$10))-(AO$3/100)*Assumptions!$B$10))))&lt;=0,"",(Assumptions!$B$2*EXP(-Assumptions!$B$4*Assumptions!$B$9)*NORMDIST(((LN(Assumptions!$B$2/$B7)+(Assumptions!$B$3-Assumptions!$B$4+(AO$3/100)^2/2)*Assumptions!$B$9)/((AO$3/100)*Assumptions!$B$10)),0,1,FALSE)*Assumptions!$B$10*0.01)*0.5/(MAX(0,Assumptions!$B$2*EXP(-Assumptions!$B$4*Assumptions!$B$9)*NORMSDIST(((LN(Assumptions!$B$2/$B7)+(Assumptions!$B$3-Assumptions!$B$4+(AO$3/100)^2/2)*Assumptions!$B$9)/((AO$3/100)*Assumptions!$B$10)))-$B7*EXP(-Assumptions!$B$3*Assumptions!$B$9)*NORMSDIST((((LN(Assumptions!$B$2/$B7)+(Assumptions!$B$3-Assumptions!$B$4+(AO$3/100)^2/2)*Assumptions!$B$9)/((AO$3/100)*Assumptions!$B$10))-(AO$3/100)*Assumptions!$B$10)))))</f>
        <v/>
      </c>
      <c r="AP28" s="56">
        <f>IF((MAX(0,Assumptions!$B$2*EXP(-Assumptions!$B$4*Assumptions!$B$9)*NORMSDIST(((LN(Assumptions!$B$2/$B7)+(Assumptions!$B$3-Assumptions!$B$4+(AP$3/100)^2/2)*Assumptions!$B$9)/((AP$3/100)*Assumptions!$B$10)))-$B7*EXP(-Assumptions!$B$3*Assumptions!$B$9)*NORMSDIST((((LN(Assumptions!$B$2/$B7)+(Assumptions!$B$3-Assumptions!$B$4+(AP$3/100)^2/2)*Assumptions!$B$9)/((AP$3/100)*Assumptions!$B$10))-(AP$3/100)*Assumptions!$B$10))))&lt;=0,"",(Assumptions!$B$2*EXP(-Assumptions!$B$4*Assumptions!$B$9)*NORMDIST(((LN(Assumptions!$B$2/$B7)+(Assumptions!$B$3-Assumptions!$B$4+(AP$3/100)^2/2)*Assumptions!$B$9)/((AP$3/100)*Assumptions!$B$10)),0,1,FALSE)*Assumptions!$B$10*0.01)*0.5/(MAX(0,Assumptions!$B$2*EXP(-Assumptions!$B$4*Assumptions!$B$9)*NORMSDIST(((LN(Assumptions!$B$2/$B7)+(Assumptions!$B$3-Assumptions!$B$4+(AP$3/100)^2/2)*Assumptions!$B$9)/((AP$3/100)*Assumptions!$B$10)))-$B7*EXP(-Assumptions!$B$3*Assumptions!$B$9)*NORMSDIST((((LN(Assumptions!$B$2/$B7)+(Assumptions!$B$3-Assumptions!$B$4+(AP$3/100)^2/2)*Assumptions!$B$9)/((AP$3/100)*Assumptions!$B$10))-(AP$3/100)*Assumptions!$B$10)))))</f>
        <v/>
      </c>
      <c r="AQ28" s="56">
        <f>IF((MAX(0,Assumptions!$B$2*EXP(-Assumptions!$B$4*Assumptions!$B$9)*NORMSDIST(((LN(Assumptions!$B$2/$B7)+(Assumptions!$B$3-Assumptions!$B$4+(AQ$3/100)^2/2)*Assumptions!$B$9)/((AQ$3/100)*Assumptions!$B$10)))-$B7*EXP(-Assumptions!$B$3*Assumptions!$B$9)*NORMSDIST((((LN(Assumptions!$B$2/$B7)+(Assumptions!$B$3-Assumptions!$B$4+(AQ$3/100)^2/2)*Assumptions!$B$9)/((AQ$3/100)*Assumptions!$B$10))-(AQ$3/100)*Assumptions!$B$10))))&lt;=0,"",(Assumptions!$B$2*EXP(-Assumptions!$B$4*Assumptions!$B$9)*NORMDIST(((LN(Assumptions!$B$2/$B7)+(Assumptions!$B$3-Assumptions!$B$4+(AQ$3/100)^2/2)*Assumptions!$B$9)/((AQ$3/100)*Assumptions!$B$10)),0,1,FALSE)*Assumptions!$B$10*0.01)*0.5/(MAX(0,Assumptions!$B$2*EXP(-Assumptions!$B$4*Assumptions!$B$9)*NORMSDIST(((LN(Assumptions!$B$2/$B7)+(Assumptions!$B$3-Assumptions!$B$4+(AQ$3/100)^2/2)*Assumptions!$B$9)/((AQ$3/100)*Assumptions!$B$10)))-$B7*EXP(-Assumptions!$B$3*Assumptions!$B$9)*NORMSDIST((((LN(Assumptions!$B$2/$B7)+(Assumptions!$B$3-Assumptions!$B$4+(AQ$3/100)^2/2)*Assumptions!$B$9)/((AQ$3/100)*Assumptions!$B$10))-(AQ$3/100)*Assumptions!$B$10)))))</f>
        <v/>
      </c>
      <c r="AR28" s="56">
        <f>IF((MAX(0,Assumptions!$B$2*EXP(-Assumptions!$B$4*Assumptions!$B$9)*NORMSDIST(((LN(Assumptions!$B$2/$B7)+(Assumptions!$B$3-Assumptions!$B$4+(AR$3/100)^2/2)*Assumptions!$B$9)/((AR$3/100)*Assumptions!$B$10)))-$B7*EXP(-Assumptions!$B$3*Assumptions!$B$9)*NORMSDIST((((LN(Assumptions!$B$2/$B7)+(Assumptions!$B$3-Assumptions!$B$4+(AR$3/100)^2/2)*Assumptions!$B$9)/((AR$3/100)*Assumptions!$B$10))-(AR$3/100)*Assumptions!$B$10))))&lt;=0,"",(Assumptions!$B$2*EXP(-Assumptions!$B$4*Assumptions!$B$9)*NORMDIST(((LN(Assumptions!$B$2/$B7)+(Assumptions!$B$3-Assumptions!$B$4+(AR$3/100)^2/2)*Assumptions!$B$9)/((AR$3/100)*Assumptions!$B$10)),0,1,FALSE)*Assumptions!$B$10*0.01)*0.5/(MAX(0,Assumptions!$B$2*EXP(-Assumptions!$B$4*Assumptions!$B$9)*NORMSDIST(((LN(Assumptions!$B$2/$B7)+(Assumptions!$B$3-Assumptions!$B$4+(AR$3/100)^2/2)*Assumptions!$B$9)/((AR$3/100)*Assumptions!$B$10)))-$B7*EXP(-Assumptions!$B$3*Assumptions!$B$9)*NORMSDIST((((LN(Assumptions!$B$2/$B7)+(Assumptions!$B$3-Assumptions!$B$4+(AR$3/100)^2/2)*Assumptions!$B$9)/((AR$3/100)*Assumptions!$B$10))-(AR$3/100)*Assumptions!$B$10)))))</f>
        <v/>
      </c>
      <c r="AS28" s="56">
        <f>IF((MAX(0,Assumptions!$B$2*EXP(-Assumptions!$B$4*Assumptions!$B$9)*NORMSDIST(((LN(Assumptions!$B$2/$B7)+(Assumptions!$B$3-Assumptions!$B$4+(AS$3/100)^2/2)*Assumptions!$B$9)/((AS$3/100)*Assumptions!$B$10)))-$B7*EXP(-Assumptions!$B$3*Assumptions!$B$9)*NORMSDIST((((LN(Assumptions!$B$2/$B7)+(Assumptions!$B$3-Assumptions!$B$4+(AS$3/100)^2/2)*Assumptions!$B$9)/((AS$3/100)*Assumptions!$B$10))-(AS$3/100)*Assumptions!$B$10))))&lt;=0,"",(Assumptions!$B$2*EXP(-Assumptions!$B$4*Assumptions!$B$9)*NORMDIST(((LN(Assumptions!$B$2/$B7)+(Assumptions!$B$3-Assumptions!$B$4+(AS$3/100)^2/2)*Assumptions!$B$9)/((AS$3/100)*Assumptions!$B$10)),0,1,FALSE)*Assumptions!$B$10*0.01)*0.5/(MAX(0,Assumptions!$B$2*EXP(-Assumptions!$B$4*Assumptions!$B$9)*NORMSDIST(((LN(Assumptions!$B$2/$B7)+(Assumptions!$B$3-Assumptions!$B$4+(AS$3/100)^2/2)*Assumptions!$B$9)/((AS$3/100)*Assumptions!$B$10)))-$B7*EXP(-Assumptions!$B$3*Assumptions!$B$9)*NORMSDIST((((LN(Assumptions!$B$2/$B7)+(Assumptions!$B$3-Assumptions!$B$4+(AS$3/100)^2/2)*Assumptions!$B$9)/((AS$3/100)*Assumptions!$B$10))-(AS$3/100)*Assumptions!$B$10)))))</f>
        <v/>
      </c>
      <c r="AT28" s="56">
        <f>IF((MAX(0,Assumptions!$B$2*EXP(-Assumptions!$B$4*Assumptions!$B$9)*NORMSDIST(((LN(Assumptions!$B$2/$B7)+(Assumptions!$B$3-Assumptions!$B$4+(AT$3/100)^2/2)*Assumptions!$B$9)/((AT$3/100)*Assumptions!$B$10)))-$B7*EXP(-Assumptions!$B$3*Assumptions!$B$9)*NORMSDIST((((LN(Assumptions!$B$2/$B7)+(Assumptions!$B$3-Assumptions!$B$4+(AT$3/100)^2/2)*Assumptions!$B$9)/((AT$3/100)*Assumptions!$B$10))-(AT$3/100)*Assumptions!$B$10))))&lt;=0,"",(Assumptions!$B$2*EXP(-Assumptions!$B$4*Assumptions!$B$9)*NORMDIST(((LN(Assumptions!$B$2/$B7)+(Assumptions!$B$3-Assumptions!$B$4+(AT$3/100)^2/2)*Assumptions!$B$9)/((AT$3/100)*Assumptions!$B$10)),0,1,FALSE)*Assumptions!$B$10*0.01)*0.5/(MAX(0,Assumptions!$B$2*EXP(-Assumptions!$B$4*Assumptions!$B$9)*NORMSDIST(((LN(Assumptions!$B$2/$B7)+(Assumptions!$B$3-Assumptions!$B$4+(AT$3/100)^2/2)*Assumptions!$B$9)/((AT$3/100)*Assumptions!$B$10)))-$B7*EXP(-Assumptions!$B$3*Assumptions!$B$9)*NORMSDIST((((LN(Assumptions!$B$2/$B7)+(Assumptions!$B$3-Assumptions!$B$4+(AT$3/100)^2/2)*Assumptions!$B$9)/((AT$3/100)*Assumptions!$B$10))-(AT$3/100)*Assumptions!$B$10)))))</f>
        <v/>
      </c>
      <c r="AU28" s="56">
        <f>IF((MAX(0,Assumptions!$B$2*EXP(-Assumptions!$B$4*Assumptions!$B$9)*NORMSDIST(((LN(Assumptions!$B$2/$B7)+(Assumptions!$B$3-Assumptions!$B$4+(AU$3/100)^2/2)*Assumptions!$B$9)/((AU$3/100)*Assumptions!$B$10)))-$B7*EXP(-Assumptions!$B$3*Assumptions!$B$9)*NORMSDIST((((LN(Assumptions!$B$2/$B7)+(Assumptions!$B$3-Assumptions!$B$4+(AU$3/100)^2/2)*Assumptions!$B$9)/((AU$3/100)*Assumptions!$B$10))-(AU$3/100)*Assumptions!$B$10))))&lt;=0,"",(Assumptions!$B$2*EXP(-Assumptions!$B$4*Assumptions!$B$9)*NORMDIST(((LN(Assumptions!$B$2/$B7)+(Assumptions!$B$3-Assumptions!$B$4+(AU$3/100)^2/2)*Assumptions!$B$9)/((AU$3/100)*Assumptions!$B$10)),0,1,FALSE)*Assumptions!$B$10*0.01)*0.5/(MAX(0,Assumptions!$B$2*EXP(-Assumptions!$B$4*Assumptions!$B$9)*NORMSDIST(((LN(Assumptions!$B$2/$B7)+(Assumptions!$B$3-Assumptions!$B$4+(AU$3/100)^2/2)*Assumptions!$B$9)/((AU$3/100)*Assumptions!$B$10)))-$B7*EXP(-Assumptions!$B$3*Assumptions!$B$9)*NORMSDIST((((LN(Assumptions!$B$2/$B7)+(Assumptions!$B$3-Assumptions!$B$4+(AU$3/100)^2/2)*Assumptions!$B$9)/((AU$3/100)*Assumptions!$B$10))-(AU$3/100)*Assumptions!$B$10)))))</f>
        <v/>
      </c>
      <c r="AV28" s="56">
        <f>IF((MAX(0,Assumptions!$B$2*EXP(-Assumptions!$B$4*Assumptions!$B$9)*NORMSDIST(((LN(Assumptions!$B$2/$B7)+(Assumptions!$B$3-Assumptions!$B$4+(AV$3/100)^2/2)*Assumptions!$B$9)/((AV$3/100)*Assumptions!$B$10)))-$B7*EXP(-Assumptions!$B$3*Assumptions!$B$9)*NORMSDIST((((LN(Assumptions!$B$2/$B7)+(Assumptions!$B$3-Assumptions!$B$4+(AV$3/100)^2/2)*Assumptions!$B$9)/((AV$3/100)*Assumptions!$B$10))-(AV$3/100)*Assumptions!$B$10))))&lt;=0,"",(Assumptions!$B$2*EXP(-Assumptions!$B$4*Assumptions!$B$9)*NORMDIST(((LN(Assumptions!$B$2/$B7)+(Assumptions!$B$3-Assumptions!$B$4+(AV$3/100)^2/2)*Assumptions!$B$9)/((AV$3/100)*Assumptions!$B$10)),0,1,FALSE)*Assumptions!$B$10*0.01)*0.5/(MAX(0,Assumptions!$B$2*EXP(-Assumptions!$B$4*Assumptions!$B$9)*NORMSDIST(((LN(Assumptions!$B$2/$B7)+(Assumptions!$B$3-Assumptions!$B$4+(AV$3/100)^2/2)*Assumptions!$B$9)/((AV$3/100)*Assumptions!$B$10)))-$B7*EXP(-Assumptions!$B$3*Assumptions!$B$9)*NORMSDIST((((LN(Assumptions!$B$2/$B7)+(Assumptions!$B$3-Assumptions!$B$4+(AV$3/100)^2/2)*Assumptions!$B$9)/((AV$3/100)*Assumptions!$B$10))-(AV$3/100)*Assumptions!$B$10)))))</f>
        <v/>
      </c>
    </row>
    <row r="29">
      <c r="A29" s="27" t="inlineStr">
        <is>
          <t>-1.00%</t>
        </is>
      </c>
      <c r="B29" s="47">
        <f>'BS Engine'!$B$6</f>
        <v/>
      </c>
      <c r="C29" s="28">
        <f>'BS Engine'!$C$6</f>
        <v/>
      </c>
      <c r="D29" s="55">
        <f>IF((MAX(0,Assumptions!$B$2*EXP(-Assumptions!$B$4*Assumptions!$B$9)*NORMSDIST(((LN(Assumptions!$B$2/$B8)+(Assumptions!$B$3-Assumptions!$B$4+(D$3/100)^2/2)*Assumptions!$B$9)/((D$3/100)*Assumptions!$B$10)))-$B8*EXP(-Assumptions!$B$3*Assumptions!$B$9)*NORMSDIST((((LN(Assumptions!$B$2/$B8)+(Assumptions!$B$3-Assumptions!$B$4+(D$3/100)^2/2)*Assumptions!$B$9)/((D$3/100)*Assumptions!$B$10))-(D$3/100)*Assumptions!$B$10))))&lt;=0,"",(Assumptions!$B$2*EXP(-Assumptions!$B$4*Assumptions!$B$9)*NORMDIST(((LN(Assumptions!$B$2/$B8)+(Assumptions!$B$3-Assumptions!$B$4+(D$3/100)^2/2)*Assumptions!$B$9)/((D$3/100)*Assumptions!$B$10)),0,1,FALSE)*Assumptions!$B$10*0.01)*0.5/(MAX(0,Assumptions!$B$2*EXP(-Assumptions!$B$4*Assumptions!$B$9)*NORMSDIST(((LN(Assumptions!$B$2/$B8)+(Assumptions!$B$3-Assumptions!$B$4+(D$3/100)^2/2)*Assumptions!$B$9)/((D$3/100)*Assumptions!$B$10)))-$B8*EXP(-Assumptions!$B$3*Assumptions!$B$9)*NORMSDIST((((LN(Assumptions!$B$2/$B8)+(Assumptions!$B$3-Assumptions!$B$4+(D$3/100)^2/2)*Assumptions!$B$9)/((D$3/100)*Assumptions!$B$10))-(D$3/100)*Assumptions!$B$10)))))</f>
        <v/>
      </c>
      <c r="E29" s="56">
        <f>IF((MAX(0,Assumptions!$B$2*EXP(-Assumptions!$B$4*Assumptions!$B$9)*NORMSDIST(((LN(Assumptions!$B$2/$B8)+(Assumptions!$B$3-Assumptions!$B$4+(E$3/100)^2/2)*Assumptions!$B$9)/((E$3/100)*Assumptions!$B$10)))-$B8*EXP(-Assumptions!$B$3*Assumptions!$B$9)*NORMSDIST((((LN(Assumptions!$B$2/$B8)+(Assumptions!$B$3-Assumptions!$B$4+(E$3/100)^2/2)*Assumptions!$B$9)/((E$3/100)*Assumptions!$B$10))-(E$3/100)*Assumptions!$B$10))))&lt;=0,"",(Assumptions!$B$2*EXP(-Assumptions!$B$4*Assumptions!$B$9)*NORMDIST(((LN(Assumptions!$B$2/$B8)+(Assumptions!$B$3-Assumptions!$B$4+(E$3/100)^2/2)*Assumptions!$B$9)/((E$3/100)*Assumptions!$B$10)),0,1,FALSE)*Assumptions!$B$10*0.01)*0.5/(MAX(0,Assumptions!$B$2*EXP(-Assumptions!$B$4*Assumptions!$B$9)*NORMSDIST(((LN(Assumptions!$B$2/$B8)+(Assumptions!$B$3-Assumptions!$B$4+(E$3/100)^2/2)*Assumptions!$B$9)/((E$3/100)*Assumptions!$B$10)))-$B8*EXP(-Assumptions!$B$3*Assumptions!$B$9)*NORMSDIST((((LN(Assumptions!$B$2/$B8)+(Assumptions!$B$3-Assumptions!$B$4+(E$3/100)^2/2)*Assumptions!$B$9)/((E$3/100)*Assumptions!$B$10))-(E$3/100)*Assumptions!$B$10)))))</f>
        <v/>
      </c>
      <c r="F29" s="56">
        <f>IF((MAX(0,Assumptions!$B$2*EXP(-Assumptions!$B$4*Assumptions!$B$9)*NORMSDIST(((LN(Assumptions!$B$2/$B8)+(Assumptions!$B$3-Assumptions!$B$4+(F$3/100)^2/2)*Assumptions!$B$9)/((F$3/100)*Assumptions!$B$10)))-$B8*EXP(-Assumptions!$B$3*Assumptions!$B$9)*NORMSDIST((((LN(Assumptions!$B$2/$B8)+(Assumptions!$B$3-Assumptions!$B$4+(F$3/100)^2/2)*Assumptions!$B$9)/((F$3/100)*Assumptions!$B$10))-(F$3/100)*Assumptions!$B$10))))&lt;=0,"",(Assumptions!$B$2*EXP(-Assumptions!$B$4*Assumptions!$B$9)*NORMDIST(((LN(Assumptions!$B$2/$B8)+(Assumptions!$B$3-Assumptions!$B$4+(F$3/100)^2/2)*Assumptions!$B$9)/((F$3/100)*Assumptions!$B$10)),0,1,FALSE)*Assumptions!$B$10*0.01)*0.5/(MAX(0,Assumptions!$B$2*EXP(-Assumptions!$B$4*Assumptions!$B$9)*NORMSDIST(((LN(Assumptions!$B$2/$B8)+(Assumptions!$B$3-Assumptions!$B$4+(F$3/100)^2/2)*Assumptions!$B$9)/((F$3/100)*Assumptions!$B$10)))-$B8*EXP(-Assumptions!$B$3*Assumptions!$B$9)*NORMSDIST((((LN(Assumptions!$B$2/$B8)+(Assumptions!$B$3-Assumptions!$B$4+(F$3/100)^2/2)*Assumptions!$B$9)/((F$3/100)*Assumptions!$B$10))-(F$3/100)*Assumptions!$B$10)))))</f>
        <v/>
      </c>
      <c r="G29" s="56">
        <f>IF((MAX(0,Assumptions!$B$2*EXP(-Assumptions!$B$4*Assumptions!$B$9)*NORMSDIST(((LN(Assumptions!$B$2/$B8)+(Assumptions!$B$3-Assumptions!$B$4+(G$3/100)^2/2)*Assumptions!$B$9)/((G$3/100)*Assumptions!$B$10)))-$B8*EXP(-Assumptions!$B$3*Assumptions!$B$9)*NORMSDIST((((LN(Assumptions!$B$2/$B8)+(Assumptions!$B$3-Assumptions!$B$4+(G$3/100)^2/2)*Assumptions!$B$9)/((G$3/100)*Assumptions!$B$10))-(G$3/100)*Assumptions!$B$10))))&lt;=0,"",(Assumptions!$B$2*EXP(-Assumptions!$B$4*Assumptions!$B$9)*NORMDIST(((LN(Assumptions!$B$2/$B8)+(Assumptions!$B$3-Assumptions!$B$4+(G$3/100)^2/2)*Assumptions!$B$9)/((G$3/100)*Assumptions!$B$10)),0,1,FALSE)*Assumptions!$B$10*0.01)*0.5/(MAX(0,Assumptions!$B$2*EXP(-Assumptions!$B$4*Assumptions!$B$9)*NORMSDIST(((LN(Assumptions!$B$2/$B8)+(Assumptions!$B$3-Assumptions!$B$4+(G$3/100)^2/2)*Assumptions!$B$9)/((G$3/100)*Assumptions!$B$10)))-$B8*EXP(-Assumptions!$B$3*Assumptions!$B$9)*NORMSDIST((((LN(Assumptions!$B$2/$B8)+(Assumptions!$B$3-Assumptions!$B$4+(G$3/100)^2/2)*Assumptions!$B$9)/((G$3/100)*Assumptions!$B$10))-(G$3/100)*Assumptions!$B$10)))))</f>
        <v/>
      </c>
      <c r="H29" s="56">
        <f>IF((MAX(0,Assumptions!$B$2*EXP(-Assumptions!$B$4*Assumptions!$B$9)*NORMSDIST(((LN(Assumptions!$B$2/$B8)+(Assumptions!$B$3-Assumptions!$B$4+(H$3/100)^2/2)*Assumptions!$B$9)/((H$3/100)*Assumptions!$B$10)))-$B8*EXP(-Assumptions!$B$3*Assumptions!$B$9)*NORMSDIST((((LN(Assumptions!$B$2/$B8)+(Assumptions!$B$3-Assumptions!$B$4+(H$3/100)^2/2)*Assumptions!$B$9)/((H$3/100)*Assumptions!$B$10))-(H$3/100)*Assumptions!$B$10))))&lt;=0,"",(Assumptions!$B$2*EXP(-Assumptions!$B$4*Assumptions!$B$9)*NORMDIST(((LN(Assumptions!$B$2/$B8)+(Assumptions!$B$3-Assumptions!$B$4+(H$3/100)^2/2)*Assumptions!$B$9)/((H$3/100)*Assumptions!$B$10)),0,1,FALSE)*Assumptions!$B$10*0.01)*0.5/(MAX(0,Assumptions!$B$2*EXP(-Assumptions!$B$4*Assumptions!$B$9)*NORMSDIST(((LN(Assumptions!$B$2/$B8)+(Assumptions!$B$3-Assumptions!$B$4+(H$3/100)^2/2)*Assumptions!$B$9)/((H$3/100)*Assumptions!$B$10)))-$B8*EXP(-Assumptions!$B$3*Assumptions!$B$9)*NORMSDIST((((LN(Assumptions!$B$2/$B8)+(Assumptions!$B$3-Assumptions!$B$4+(H$3/100)^2/2)*Assumptions!$B$9)/((H$3/100)*Assumptions!$B$10))-(H$3/100)*Assumptions!$B$10)))))</f>
        <v/>
      </c>
      <c r="I29" s="56">
        <f>IF((MAX(0,Assumptions!$B$2*EXP(-Assumptions!$B$4*Assumptions!$B$9)*NORMSDIST(((LN(Assumptions!$B$2/$B8)+(Assumptions!$B$3-Assumptions!$B$4+(I$3/100)^2/2)*Assumptions!$B$9)/((I$3/100)*Assumptions!$B$10)))-$B8*EXP(-Assumptions!$B$3*Assumptions!$B$9)*NORMSDIST((((LN(Assumptions!$B$2/$B8)+(Assumptions!$B$3-Assumptions!$B$4+(I$3/100)^2/2)*Assumptions!$B$9)/((I$3/100)*Assumptions!$B$10))-(I$3/100)*Assumptions!$B$10))))&lt;=0,"",(Assumptions!$B$2*EXP(-Assumptions!$B$4*Assumptions!$B$9)*NORMDIST(((LN(Assumptions!$B$2/$B8)+(Assumptions!$B$3-Assumptions!$B$4+(I$3/100)^2/2)*Assumptions!$B$9)/((I$3/100)*Assumptions!$B$10)),0,1,FALSE)*Assumptions!$B$10*0.01)*0.5/(MAX(0,Assumptions!$B$2*EXP(-Assumptions!$B$4*Assumptions!$B$9)*NORMSDIST(((LN(Assumptions!$B$2/$B8)+(Assumptions!$B$3-Assumptions!$B$4+(I$3/100)^2/2)*Assumptions!$B$9)/((I$3/100)*Assumptions!$B$10)))-$B8*EXP(-Assumptions!$B$3*Assumptions!$B$9)*NORMSDIST((((LN(Assumptions!$B$2/$B8)+(Assumptions!$B$3-Assumptions!$B$4+(I$3/100)^2/2)*Assumptions!$B$9)/((I$3/100)*Assumptions!$B$10))-(I$3/100)*Assumptions!$B$10)))))</f>
        <v/>
      </c>
      <c r="J29" s="56">
        <f>IF((MAX(0,Assumptions!$B$2*EXP(-Assumptions!$B$4*Assumptions!$B$9)*NORMSDIST(((LN(Assumptions!$B$2/$B8)+(Assumptions!$B$3-Assumptions!$B$4+(J$3/100)^2/2)*Assumptions!$B$9)/((J$3/100)*Assumptions!$B$10)))-$B8*EXP(-Assumptions!$B$3*Assumptions!$B$9)*NORMSDIST((((LN(Assumptions!$B$2/$B8)+(Assumptions!$B$3-Assumptions!$B$4+(J$3/100)^2/2)*Assumptions!$B$9)/((J$3/100)*Assumptions!$B$10))-(J$3/100)*Assumptions!$B$10))))&lt;=0,"",(Assumptions!$B$2*EXP(-Assumptions!$B$4*Assumptions!$B$9)*NORMDIST(((LN(Assumptions!$B$2/$B8)+(Assumptions!$B$3-Assumptions!$B$4+(J$3/100)^2/2)*Assumptions!$B$9)/((J$3/100)*Assumptions!$B$10)),0,1,FALSE)*Assumptions!$B$10*0.01)*0.5/(MAX(0,Assumptions!$B$2*EXP(-Assumptions!$B$4*Assumptions!$B$9)*NORMSDIST(((LN(Assumptions!$B$2/$B8)+(Assumptions!$B$3-Assumptions!$B$4+(J$3/100)^2/2)*Assumptions!$B$9)/((J$3/100)*Assumptions!$B$10)))-$B8*EXP(-Assumptions!$B$3*Assumptions!$B$9)*NORMSDIST((((LN(Assumptions!$B$2/$B8)+(Assumptions!$B$3-Assumptions!$B$4+(J$3/100)^2/2)*Assumptions!$B$9)/((J$3/100)*Assumptions!$B$10))-(J$3/100)*Assumptions!$B$10)))))</f>
        <v/>
      </c>
      <c r="K29" s="56">
        <f>IF((MAX(0,Assumptions!$B$2*EXP(-Assumptions!$B$4*Assumptions!$B$9)*NORMSDIST(((LN(Assumptions!$B$2/$B8)+(Assumptions!$B$3-Assumptions!$B$4+(K$3/100)^2/2)*Assumptions!$B$9)/((K$3/100)*Assumptions!$B$10)))-$B8*EXP(-Assumptions!$B$3*Assumptions!$B$9)*NORMSDIST((((LN(Assumptions!$B$2/$B8)+(Assumptions!$B$3-Assumptions!$B$4+(K$3/100)^2/2)*Assumptions!$B$9)/((K$3/100)*Assumptions!$B$10))-(K$3/100)*Assumptions!$B$10))))&lt;=0,"",(Assumptions!$B$2*EXP(-Assumptions!$B$4*Assumptions!$B$9)*NORMDIST(((LN(Assumptions!$B$2/$B8)+(Assumptions!$B$3-Assumptions!$B$4+(K$3/100)^2/2)*Assumptions!$B$9)/((K$3/100)*Assumptions!$B$10)),0,1,FALSE)*Assumptions!$B$10*0.01)*0.5/(MAX(0,Assumptions!$B$2*EXP(-Assumptions!$B$4*Assumptions!$B$9)*NORMSDIST(((LN(Assumptions!$B$2/$B8)+(Assumptions!$B$3-Assumptions!$B$4+(K$3/100)^2/2)*Assumptions!$B$9)/((K$3/100)*Assumptions!$B$10)))-$B8*EXP(-Assumptions!$B$3*Assumptions!$B$9)*NORMSDIST((((LN(Assumptions!$B$2/$B8)+(Assumptions!$B$3-Assumptions!$B$4+(K$3/100)^2/2)*Assumptions!$B$9)/((K$3/100)*Assumptions!$B$10))-(K$3/100)*Assumptions!$B$10)))))</f>
        <v/>
      </c>
      <c r="L29" s="56">
        <f>IF((MAX(0,Assumptions!$B$2*EXP(-Assumptions!$B$4*Assumptions!$B$9)*NORMSDIST(((LN(Assumptions!$B$2/$B8)+(Assumptions!$B$3-Assumptions!$B$4+(L$3/100)^2/2)*Assumptions!$B$9)/((L$3/100)*Assumptions!$B$10)))-$B8*EXP(-Assumptions!$B$3*Assumptions!$B$9)*NORMSDIST((((LN(Assumptions!$B$2/$B8)+(Assumptions!$B$3-Assumptions!$B$4+(L$3/100)^2/2)*Assumptions!$B$9)/((L$3/100)*Assumptions!$B$10))-(L$3/100)*Assumptions!$B$10))))&lt;=0,"",(Assumptions!$B$2*EXP(-Assumptions!$B$4*Assumptions!$B$9)*NORMDIST(((LN(Assumptions!$B$2/$B8)+(Assumptions!$B$3-Assumptions!$B$4+(L$3/100)^2/2)*Assumptions!$B$9)/((L$3/100)*Assumptions!$B$10)),0,1,FALSE)*Assumptions!$B$10*0.01)*0.5/(MAX(0,Assumptions!$B$2*EXP(-Assumptions!$B$4*Assumptions!$B$9)*NORMSDIST(((LN(Assumptions!$B$2/$B8)+(Assumptions!$B$3-Assumptions!$B$4+(L$3/100)^2/2)*Assumptions!$B$9)/((L$3/100)*Assumptions!$B$10)))-$B8*EXP(-Assumptions!$B$3*Assumptions!$B$9)*NORMSDIST((((LN(Assumptions!$B$2/$B8)+(Assumptions!$B$3-Assumptions!$B$4+(L$3/100)^2/2)*Assumptions!$B$9)/((L$3/100)*Assumptions!$B$10))-(L$3/100)*Assumptions!$B$10)))))</f>
        <v/>
      </c>
      <c r="M29" s="56">
        <f>IF((MAX(0,Assumptions!$B$2*EXP(-Assumptions!$B$4*Assumptions!$B$9)*NORMSDIST(((LN(Assumptions!$B$2/$B8)+(Assumptions!$B$3-Assumptions!$B$4+(M$3/100)^2/2)*Assumptions!$B$9)/((M$3/100)*Assumptions!$B$10)))-$B8*EXP(-Assumptions!$B$3*Assumptions!$B$9)*NORMSDIST((((LN(Assumptions!$B$2/$B8)+(Assumptions!$B$3-Assumptions!$B$4+(M$3/100)^2/2)*Assumptions!$B$9)/((M$3/100)*Assumptions!$B$10))-(M$3/100)*Assumptions!$B$10))))&lt;=0,"",(Assumptions!$B$2*EXP(-Assumptions!$B$4*Assumptions!$B$9)*NORMDIST(((LN(Assumptions!$B$2/$B8)+(Assumptions!$B$3-Assumptions!$B$4+(M$3/100)^2/2)*Assumptions!$B$9)/((M$3/100)*Assumptions!$B$10)),0,1,FALSE)*Assumptions!$B$10*0.01)*0.5/(MAX(0,Assumptions!$B$2*EXP(-Assumptions!$B$4*Assumptions!$B$9)*NORMSDIST(((LN(Assumptions!$B$2/$B8)+(Assumptions!$B$3-Assumptions!$B$4+(M$3/100)^2/2)*Assumptions!$B$9)/((M$3/100)*Assumptions!$B$10)))-$B8*EXP(-Assumptions!$B$3*Assumptions!$B$9)*NORMSDIST((((LN(Assumptions!$B$2/$B8)+(Assumptions!$B$3-Assumptions!$B$4+(M$3/100)^2/2)*Assumptions!$B$9)/((M$3/100)*Assumptions!$B$10))-(M$3/100)*Assumptions!$B$10)))))</f>
        <v/>
      </c>
      <c r="N29" s="56">
        <f>IF((MAX(0,Assumptions!$B$2*EXP(-Assumptions!$B$4*Assumptions!$B$9)*NORMSDIST(((LN(Assumptions!$B$2/$B8)+(Assumptions!$B$3-Assumptions!$B$4+(N$3/100)^2/2)*Assumptions!$B$9)/((N$3/100)*Assumptions!$B$10)))-$B8*EXP(-Assumptions!$B$3*Assumptions!$B$9)*NORMSDIST((((LN(Assumptions!$B$2/$B8)+(Assumptions!$B$3-Assumptions!$B$4+(N$3/100)^2/2)*Assumptions!$B$9)/((N$3/100)*Assumptions!$B$10))-(N$3/100)*Assumptions!$B$10))))&lt;=0,"",(Assumptions!$B$2*EXP(-Assumptions!$B$4*Assumptions!$B$9)*NORMDIST(((LN(Assumptions!$B$2/$B8)+(Assumptions!$B$3-Assumptions!$B$4+(N$3/100)^2/2)*Assumptions!$B$9)/((N$3/100)*Assumptions!$B$10)),0,1,FALSE)*Assumptions!$B$10*0.01)*0.5/(MAX(0,Assumptions!$B$2*EXP(-Assumptions!$B$4*Assumptions!$B$9)*NORMSDIST(((LN(Assumptions!$B$2/$B8)+(Assumptions!$B$3-Assumptions!$B$4+(N$3/100)^2/2)*Assumptions!$B$9)/((N$3/100)*Assumptions!$B$10)))-$B8*EXP(-Assumptions!$B$3*Assumptions!$B$9)*NORMSDIST((((LN(Assumptions!$B$2/$B8)+(Assumptions!$B$3-Assumptions!$B$4+(N$3/100)^2/2)*Assumptions!$B$9)/((N$3/100)*Assumptions!$B$10))-(N$3/100)*Assumptions!$B$10)))))</f>
        <v/>
      </c>
      <c r="O29" s="56">
        <f>IF((MAX(0,Assumptions!$B$2*EXP(-Assumptions!$B$4*Assumptions!$B$9)*NORMSDIST(((LN(Assumptions!$B$2/$B8)+(Assumptions!$B$3-Assumptions!$B$4+(O$3/100)^2/2)*Assumptions!$B$9)/((O$3/100)*Assumptions!$B$10)))-$B8*EXP(-Assumptions!$B$3*Assumptions!$B$9)*NORMSDIST((((LN(Assumptions!$B$2/$B8)+(Assumptions!$B$3-Assumptions!$B$4+(O$3/100)^2/2)*Assumptions!$B$9)/((O$3/100)*Assumptions!$B$10))-(O$3/100)*Assumptions!$B$10))))&lt;=0,"",(Assumptions!$B$2*EXP(-Assumptions!$B$4*Assumptions!$B$9)*NORMDIST(((LN(Assumptions!$B$2/$B8)+(Assumptions!$B$3-Assumptions!$B$4+(O$3/100)^2/2)*Assumptions!$B$9)/((O$3/100)*Assumptions!$B$10)),0,1,FALSE)*Assumptions!$B$10*0.01)*0.5/(MAX(0,Assumptions!$B$2*EXP(-Assumptions!$B$4*Assumptions!$B$9)*NORMSDIST(((LN(Assumptions!$B$2/$B8)+(Assumptions!$B$3-Assumptions!$B$4+(O$3/100)^2/2)*Assumptions!$B$9)/((O$3/100)*Assumptions!$B$10)))-$B8*EXP(-Assumptions!$B$3*Assumptions!$B$9)*NORMSDIST((((LN(Assumptions!$B$2/$B8)+(Assumptions!$B$3-Assumptions!$B$4+(O$3/100)^2/2)*Assumptions!$B$9)/((O$3/100)*Assumptions!$B$10))-(O$3/100)*Assumptions!$B$10)))))</f>
        <v/>
      </c>
      <c r="P29" s="56">
        <f>IF((MAX(0,Assumptions!$B$2*EXP(-Assumptions!$B$4*Assumptions!$B$9)*NORMSDIST(((LN(Assumptions!$B$2/$B8)+(Assumptions!$B$3-Assumptions!$B$4+(P$3/100)^2/2)*Assumptions!$B$9)/((P$3/100)*Assumptions!$B$10)))-$B8*EXP(-Assumptions!$B$3*Assumptions!$B$9)*NORMSDIST((((LN(Assumptions!$B$2/$B8)+(Assumptions!$B$3-Assumptions!$B$4+(P$3/100)^2/2)*Assumptions!$B$9)/((P$3/100)*Assumptions!$B$10))-(P$3/100)*Assumptions!$B$10))))&lt;=0,"",(Assumptions!$B$2*EXP(-Assumptions!$B$4*Assumptions!$B$9)*NORMDIST(((LN(Assumptions!$B$2/$B8)+(Assumptions!$B$3-Assumptions!$B$4+(P$3/100)^2/2)*Assumptions!$B$9)/((P$3/100)*Assumptions!$B$10)),0,1,FALSE)*Assumptions!$B$10*0.01)*0.5/(MAX(0,Assumptions!$B$2*EXP(-Assumptions!$B$4*Assumptions!$B$9)*NORMSDIST(((LN(Assumptions!$B$2/$B8)+(Assumptions!$B$3-Assumptions!$B$4+(P$3/100)^2/2)*Assumptions!$B$9)/((P$3/100)*Assumptions!$B$10)))-$B8*EXP(-Assumptions!$B$3*Assumptions!$B$9)*NORMSDIST((((LN(Assumptions!$B$2/$B8)+(Assumptions!$B$3-Assumptions!$B$4+(P$3/100)^2/2)*Assumptions!$B$9)/((P$3/100)*Assumptions!$B$10))-(P$3/100)*Assumptions!$B$10)))))</f>
        <v/>
      </c>
      <c r="Q29" s="56">
        <f>IF((MAX(0,Assumptions!$B$2*EXP(-Assumptions!$B$4*Assumptions!$B$9)*NORMSDIST(((LN(Assumptions!$B$2/$B8)+(Assumptions!$B$3-Assumptions!$B$4+(Q$3/100)^2/2)*Assumptions!$B$9)/((Q$3/100)*Assumptions!$B$10)))-$B8*EXP(-Assumptions!$B$3*Assumptions!$B$9)*NORMSDIST((((LN(Assumptions!$B$2/$B8)+(Assumptions!$B$3-Assumptions!$B$4+(Q$3/100)^2/2)*Assumptions!$B$9)/((Q$3/100)*Assumptions!$B$10))-(Q$3/100)*Assumptions!$B$10))))&lt;=0,"",(Assumptions!$B$2*EXP(-Assumptions!$B$4*Assumptions!$B$9)*NORMDIST(((LN(Assumptions!$B$2/$B8)+(Assumptions!$B$3-Assumptions!$B$4+(Q$3/100)^2/2)*Assumptions!$B$9)/((Q$3/100)*Assumptions!$B$10)),0,1,FALSE)*Assumptions!$B$10*0.01)*0.5/(MAX(0,Assumptions!$B$2*EXP(-Assumptions!$B$4*Assumptions!$B$9)*NORMSDIST(((LN(Assumptions!$B$2/$B8)+(Assumptions!$B$3-Assumptions!$B$4+(Q$3/100)^2/2)*Assumptions!$B$9)/((Q$3/100)*Assumptions!$B$10)))-$B8*EXP(-Assumptions!$B$3*Assumptions!$B$9)*NORMSDIST((((LN(Assumptions!$B$2/$B8)+(Assumptions!$B$3-Assumptions!$B$4+(Q$3/100)^2/2)*Assumptions!$B$9)/((Q$3/100)*Assumptions!$B$10))-(Q$3/100)*Assumptions!$B$10)))))</f>
        <v/>
      </c>
      <c r="R29" s="56">
        <f>IF((MAX(0,Assumptions!$B$2*EXP(-Assumptions!$B$4*Assumptions!$B$9)*NORMSDIST(((LN(Assumptions!$B$2/$B8)+(Assumptions!$B$3-Assumptions!$B$4+(R$3/100)^2/2)*Assumptions!$B$9)/((R$3/100)*Assumptions!$B$10)))-$B8*EXP(-Assumptions!$B$3*Assumptions!$B$9)*NORMSDIST((((LN(Assumptions!$B$2/$B8)+(Assumptions!$B$3-Assumptions!$B$4+(R$3/100)^2/2)*Assumptions!$B$9)/((R$3/100)*Assumptions!$B$10))-(R$3/100)*Assumptions!$B$10))))&lt;=0,"",(Assumptions!$B$2*EXP(-Assumptions!$B$4*Assumptions!$B$9)*NORMDIST(((LN(Assumptions!$B$2/$B8)+(Assumptions!$B$3-Assumptions!$B$4+(R$3/100)^2/2)*Assumptions!$B$9)/((R$3/100)*Assumptions!$B$10)),0,1,FALSE)*Assumptions!$B$10*0.01)*0.5/(MAX(0,Assumptions!$B$2*EXP(-Assumptions!$B$4*Assumptions!$B$9)*NORMSDIST(((LN(Assumptions!$B$2/$B8)+(Assumptions!$B$3-Assumptions!$B$4+(R$3/100)^2/2)*Assumptions!$B$9)/((R$3/100)*Assumptions!$B$10)))-$B8*EXP(-Assumptions!$B$3*Assumptions!$B$9)*NORMSDIST((((LN(Assumptions!$B$2/$B8)+(Assumptions!$B$3-Assumptions!$B$4+(R$3/100)^2/2)*Assumptions!$B$9)/((R$3/100)*Assumptions!$B$10))-(R$3/100)*Assumptions!$B$10)))))</f>
        <v/>
      </c>
      <c r="S29" s="56">
        <f>IF((MAX(0,Assumptions!$B$2*EXP(-Assumptions!$B$4*Assumptions!$B$9)*NORMSDIST(((LN(Assumptions!$B$2/$B8)+(Assumptions!$B$3-Assumptions!$B$4+(S$3/100)^2/2)*Assumptions!$B$9)/((S$3/100)*Assumptions!$B$10)))-$B8*EXP(-Assumptions!$B$3*Assumptions!$B$9)*NORMSDIST((((LN(Assumptions!$B$2/$B8)+(Assumptions!$B$3-Assumptions!$B$4+(S$3/100)^2/2)*Assumptions!$B$9)/((S$3/100)*Assumptions!$B$10))-(S$3/100)*Assumptions!$B$10))))&lt;=0,"",(Assumptions!$B$2*EXP(-Assumptions!$B$4*Assumptions!$B$9)*NORMDIST(((LN(Assumptions!$B$2/$B8)+(Assumptions!$B$3-Assumptions!$B$4+(S$3/100)^2/2)*Assumptions!$B$9)/((S$3/100)*Assumptions!$B$10)),0,1,FALSE)*Assumptions!$B$10*0.01)*0.5/(MAX(0,Assumptions!$B$2*EXP(-Assumptions!$B$4*Assumptions!$B$9)*NORMSDIST(((LN(Assumptions!$B$2/$B8)+(Assumptions!$B$3-Assumptions!$B$4+(S$3/100)^2/2)*Assumptions!$B$9)/((S$3/100)*Assumptions!$B$10)))-$B8*EXP(-Assumptions!$B$3*Assumptions!$B$9)*NORMSDIST((((LN(Assumptions!$B$2/$B8)+(Assumptions!$B$3-Assumptions!$B$4+(S$3/100)^2/2)*Assumptions!$B$9)/((S$3/100)*Assumptions!$B$10))-(S$3/100)*Assumptions!$B$10)))))</f>
        <v/>
      </c>
      <c r="T29" s="56">
        <f>IF((MAX(0,Assumptions!$B$2*EXP(-Assumptions!$B$4*Assumptions!$B$9)*NORMSDIST(((LN(Assumptions!$B$2/$B8)+(Assumptions!$B$3-Assumptions!$B$4+(T$3/100)^2/2)*Assumptions!$B$9)/((T$3/100)*Assumptions!$B$10)))-$B8*EXP(-Assumptions!$B$3*Assumptions!$B$9)*NORMSDIST((((LN(Assumptions!$B$2/$B8)+(Assumptions!$B$3-Assumptions!$B$4+(T$3/100)^2/2)*Assumptions!$B$9)/((T$3/100)*Assumptions!$B$10))-(T$3/100)*Assumptions!$B$10))))&lt;=0,"",(Assumptions!$B$2*EXP(-Assumptions!$B$4*Assumptions!$B$9)*NORMDIST(((LN(Assumptions!$B$2/$B8)+(Assumptions!$B$3-Assumptions!$B$4+(T$3/100)^2/2)*Assumptions!$B$9)/((T$3/100)*Assumptions!$B$10)),0,1,FALSE)*Assumptions!$B$10*0.01)*0.5/(MAX(0,Assumptions!$B$2*EXP(-Assumptions!$B$4*Assumptions!$B$9)*NORMSDIST(((LN(Assumptions!$B$2/$B8)+(Assumptions!$B$3-Assumptions!$B$4+(T$3/100)^2/2)*Assumptions!$B$9)/((T$3/100)*Assumptions!$B$10)))-$B8*EXP(-Assumptions!$B$3*Assumptions!$B$9)*NORMSDIST((((LN(Assumptions!$B$2/$B8)+(Assumptions!$B$3-Assumptions!$B$4+(T$3/100)^2/2)*Assumptions!$B$9)/((T$3/100)*Assumptions!$B$10))-(T$3/100)*Assumptions!$B$10)))))</f>
        <v/>
      </c>
      <c r="U29" s="56">
        <f>IF((MAX(0,Assumptions!$B$2*EXP(-Assumptions!$B$4*Assumptions!$B$9)*NORMSDIST(((LN(Assumptions!$B$2/$B8)+(Assumptions!$B$3-Assumptions!$B$4+(U$3/100)^2/2)*Assumptions!$B$9)/((U$3/100)*Assumptions!$B$10)))-$B8*EXP(-Assumptions!$B$3*Assumptions!$B$9)*NORMSDIST((((LN(Assumptions!$B$2/$B8)+(Assumptions!$B$3-Assumptions!$B$4+(U$3/100)^2/2)*Assumptions!$B$9)/((U$3/100)*Assumptions!$B$10))-(U$3/100)*Assumptions!$B$10))))&lt;=0,"",(Assumptions!$B$2*EXP(-Assumptions!$B$4*Assumptions!$B$9)*NORMDIST(((LN(Assumptions!$B$2/$B8)+(Assumptions!$B$3-Assumptions!$B$4+(U$3/100)^2/2)*Assumptions!$B$9)/((U$3/100)*Assumptions!$B$10)),0,1,FALSE)*Assumptions!$B$10*0.01)*0.5/(MAX(0,Assumptions!$B$2*EXP(-Assumptions!$B$4*Assumptions!$B$9)*NORMSDIST(((LN(Assumptions!$B$2/$B8)+(Assumptions!$B$3-Assumptions!$B$4+(U$3/100)^2/2)*Assumptions!$B$9)/((U$3/100)*Assumptions!$B$10)))-$B8*EXP(-Assumptions!$B$3*Assumptions!$B$9)*NORMSDIST((((LN(Assumptions!$B$2/$B8)+(Assumptions!$B$3-Assumptions!$B$4+(U$3/100)^2/2)*Assumptions!$B$9)/((U$3/100)*Assumptions!$B$10))-(U$3/100)*Assumptions!$B$10)))))</f>
        <v/>
      </c>
      <c r="V29" s="56">
        <f>IF((MAX(0,Assumptions!$B$2*EXP(-Assumptions!$B$4*Assumptions!$B$9)*NORMSDIST(((LN(Assumptions!$B$2/$B8)+(Assumptions!$B$3-Assumptions!$B$4+(V$3/100)^2/2)*Assumptions!$B$9)/((V$3/100)*Assumptions!$B$10)))-$B8*EXP(-Assumptions!$B$3*Assumptions!$B$9)*NORMSDIST((((LN(Assumptions!$B$2/$B8)+(Assumptions!$B$3-Assumptions!$B$4+(V$3/100)^2/2)*Assumptions!$B$9)/((V$3/100)*Assumptions!$B$10))-(V$3/100)*Assumptions!$B$10))))&lt;=0,"",(Assumptions!$B$2*EXP(-Assumptions!$B$4*Assumptions!$B$9)*NORMDIST(((LN(Assumptions!$B$2/$B8)+(Assumptions!$B$3-Assumptions!$B$4+(V$3/100)^2/2)*Assumptions!$B$9)/((V$3/100)*Assumptions!$B$10)),0,1,FALSE)*Assumptions!$B$10*0.01)*0.5/(MAX(0,Assumptions!$B$2*EXP(-Assumptions!$B$4*Assumptions!$B$9)*NORMSDIST(((LN(Assumptions!$B$2/$B8)+(Assumptions!$B$3-Assumptions!$B$4+(V$3/100)^2/2)*Assumptions!$B$9)/((V$3/100)*Assumptions!$B$10)))-$B8*EXP(-Assumptions!$B$3*Assumptions!$B$9)*NORMSDIST((((LN(Assumptions!$B$2/$B8)+(Assumptions!$B$3-Assumptions!$B$4+(V$3/100)^2/2)*Assumptions!$B$9)/((V$3/100)*Assumptions!$B$10))-(V$3/100)*Assumptions!$B$10)))))</f>
        <v/>
      </c>
      <c r="W29" s="56">
        <f>IF((MAX(0,Assumptions!$B$2*EXP(-Assumptions!$B$4*Assumptions!$B$9)*NORMSDIST(((LN(Assumptions!$B$2/$B8)+(Assumptions!$B$3-Assumptions!$B$4+(W$3/100)^2/2)*Assumptions!$B$9)/((W$3/100)*Assumptions!$B$10)))-$B8*EXP(-Assumptions!$B$3*Assumptions!$B$9)*NORMSDIST((((LN(Assumptions!$B$2/$B8)+(Assumptions!$B$3-Assumptions!$B$4+(W$3/100)^2/2)*Assumptions!$B$9)/((W$3/100)*Assumptions!$B$10))-(W$3/100)*Assumptions!$B$10))))&lt;=0,"",(Assumptions!$B$2*EXP(-Assumptions!$B$4*Assumptions!$B$9)*NORMDIST(((LN(Assumptions!$B$2/$B8)+(Assumptions!$B$3-Assumptions!$B$4+(W$3/100)^2/2)*Assumptions!$B$9)/((W$3/100)*Assumptions!$B$10)),0,1,FALSE)*Assumptions!$B$10*0.01)*0.5/(MAX(0,Assumptions!$B$2*EXP(-Assumptions!$B$4*Assumptions!$B$9)*NORMSDIST(((LN(Assumptions!$B$2/$B8)+(Assumptions!$B$3-Assumptions!$B$4+(W$3/100)^2/2)*Assumptions!$B$9)/((W$3/100)*Assumptions!$B$10)))-$B8*EXP(-Assumptions!$B$3*Assumptions!$B$9)*NORMSDIST((((LN(Assumptions!$B$2/$B8)+(Assumptions!$B$3-Assumptions!$B$4+(W$3/100)^2/2)*Assumptions!$B$9)/((W$3/100)*Assumptions!$B$10))-(W$3/100)*Assumptions!$B$10)))))</f>
        <v/>
      </c>
      <c r="X29" s="56">
        <f>IF((MAX(0,Assumptions!$B$2*EXP(-Assumptions!$B$4*Assumptions!$B$9)*NORMSDIST(((LN(Assumptions!$B$2/$B8)+(Assumptions!$B$3-Assumptions!$B$4+(X$3/100)^2/2)*Assumptions!$B$9)/((X$3/100)*Assumptions!$B$10)))-$B8*EXP(-Assumptions!$B$3*Assumptions!$B$9)*NORMSDIST((((LN(Assumptions!$B$2/$B8)+(Assumptions!$B$3-Assumptions!$B$4+(X$3/100)^2/2)*Assumptions!$B$9)/((X$3/100)*Assumptions!$B$10))-(X$3/100)*Assumptions!$B$10))))&lt;=0,"",(Assumptions!$B$2*EXP(-Assumptions!$B$4*Assumptions!$B$9)*NORMDIST(((LN(Assumptions!$B$2/$B8)+(Assumptions!$B$3-Assumptions!$B$4+(X$3/100)^2/2)*Assumptions!$B$9)/((X$3/100)*Assumptions!$B$10)),0,1,FALSE)*Assumptions!$B$10*0.01)*0.5/(MAX(0,Assumptions!$B$2*EXP(-Assumptions!$B$4*Assumptions!$B$9)*NORMSDIST(((LN(Assumptions!$B$2/$B8)+(Assumptions!$B$3-Assumptions!$B$4+(X$3/100)^2/2)*Assumptions!$B$9)/((X$3/100)*Assumptions!$B$10)))-$B8*EXP(-Assumptions!$B$3*Assumptions!$B$9)*NORMSDIST((((LN(Assumptions!$B$2/$B8)+(Assumptions!$B$3-Assumptions!$B$4+(X$3/100)^2/2)*Assumptions!$B$9)/((X$3/100)*Assumptions!$B$10))-(X$3/100)*Assumptions!$B$10)))))</f>
        <v/>
      </c>
      <c r="Y29" s="56">
        <f>IF((MAX(0,Assumptions!$B$2*EXP(-Assumptions!$B$4*Assumptions!$B$9)*NORMSDIST(((LN(Assumptions!$B$2/$B8)+(Assumptions!$B$3-Assumptions!$B$4+(Y$3/100)^2/2)*Assumptions!$B$9)/((Y$3/100)*Assumptions!$B$10)))-$B8*EXP(-Assumptions!$B$3*Assumptions!$B$9)*NORMSDIST((((LN(Assumptions!$B$2/$B8)+(Assumptions!$B$3-Assumptions!$B$4+(Y$3/100)^2/2)*Assumptions!$B$9)/((Y$3/100)*Assumptions!$B$10))-(Y$3/100)*Assumptions!$B$10))))&lt;=0,"",(Assumptions!$B$2*EXP(-Assumptions!$B$4*Assumptions!$B$9)*NORMDIST(((LN(Assumptions!$B$2/$B8)+(Assumptions!$B$3-Assumptions!$B$4+(Y$3/100)^2/2)*Assumptions!$B$9)/((Y$3/100)*Assumptions!$B$10)),0,1,FALSE)*Assumptions!$B$10*0.01)*0.5/(MAX(0,Assumptions!$B$2*EXP(-Assumptions!$B$4*Assumptions!$B$9)*NORMSDIST(((LN(Assumptions!$B$2/$B8)+(Assumptions!$B$3-Assumptions!$B$4+(Y$3/100)^2/2)*Assumptions!$B$9)/((Y$3/100)*Assumptions!$B$10)))-$B8*EXP(-Assumptions!$B$3*Assumptions!$B$9)*NORMSDIST((((LN(Assumptions!$B$2/$B8)+(Assumptions!$B$3-Assumptions!$B$4+(Y$3/100)^2/2)*Assumptions!$B$9)/((Y$3/100)*Assumptions!$B$10))-(Y$3/100)*Assumptions!$B$10)))))</f>
        <v/>
      </c>
      <c r="Z29" s="56">
        <f>IF((MAX(0,Assumptions!$B$2*EXP(-Assumptions!$B$4*Assumptions!$B$9)*NORMSDIST(((LN(Assumptions!$B$2/$B8)+(Assumptions!$B$3-Assumptions!$B$4+(Z$3/100)^2/2)*Assumptions!$B$9)/((Z$3/100)*Assumptions!$B$10)))-$B8*EXP(-Assumptions!$B$3*Assumptions!$B$9)*NORMSDIST((((LN(Assumptions!$B$2/$B8)+(Assumptions!$B$3-Assumptions!$B$4+(Z$3/100)^2/2)*Assumptions!$B$9)/((Z$3/100)*Assumptions!$B$10))-(Z$3/100)*Assumptions!$B$10))))&lt;=0,"",(Assumptions!$B$2*EXP(-Assumptions!$B$4*Assumptions!$B$9)*NORMDIST(((LN(Assumptions!$B$2/$B8)+(Assumptions!$B$3-Assumptions!$B$4+(Z$3/100)^2/2)*Assumptions!$B$9)/((Z$3/100)*Assumptions!$B$10)),0,1,FALSE)*Assumptions!$B$10*0.01)*0.5/(MAX(0,Assumptions!$B$2*EXP(-Assumptions!$B$4*Assumptions!$B$9)*NORMSDIST(((LN(Assumptions!$B$2/$B8)+(Assumptions!$B$3-Assumptions!$B$4+(Z$3/100)^2/2)*Assumptions!$B$9)/((Z$3/100)*Assumptions!$B$10)))-$B8*EXP(-Assumptions!$B$3*Assumptions!$B$9)*NORMSDIST((((LN(Assumptions!$B$2/$B8)+(Assumptions!$B$3-Assumptions!$B$4+(Z$3/100)^2/2)*Assumptions!$B$9)/((Z$3/100)*Assumptions!$B$10))-(Z$3/100)*Assumptions!$B$10)))))</f>
        <v/>
      </c>
      <c r="AA29" s="56">
        <f>IF((MAX(0,Assumptions!$B$2*EXP(-Assumptions!$B$4*Assumptions!$B$9)*NORMSDIST(((LN(Assumptions!$B$2/$B8)+(Assumptions!$B$3-Assumptions!$B$4+(AA$3/100)^2/2)*Assumptions!$B$9)/((AA$3/100)*Assumptions!$B$10)))-$B8*EXP(-Assumptions!$B$3*Assumptions!$B$9)*NORMSDIST((((LN(Assumptions!$B$2/$B8)+(Assumptions!$B$3-Assumptions!$B$4+(AA$3/100)^2/2)*Assumptions!$B$9)/((AA$3/100)*Assumptions!$B$10))-(AA$3/100)*Assumptions!$B$10))))&lt;=0,"",(Assumptions!$B$2*EXP(-Assumptions!$B$4*Assumptions!$B$9)*NORMDIST(((LN(Assumptions!$B$2/$B8)+(Assumptions!$B$3-Assumptions!$B$4+(AA$3/100)^2/2)*Assumptions!$B$9)/((AA$3/100)*Assumptions!$B$10)),0,1,FALSE)*Assumptions!$B$10*0.01)*0.5/(MAX(0,Assumptions!$B$2*EXP(-Assumptions!$B$4*Assumptions!$B$9)*NORMSDIST(((LN(Assumptions!$B$2/$B8)+(Assumptions!$B$3-Assumptions!$B$4+(AA$3/100)^2/2)*Assumptions!$B$9)/((AA$3/100)*Assumptions!$B$10)))-$B8*EXP(-Assumptions!$B$3*Assumptions!$B$9)*NORMSDIST((((LN(Assumptions!$B$2/$B8)+(Assumptions!$B$3-Assumptions!$B$4+(AA$3/100)^2/2)*Assumptions!$B$9)/((AA$3/100)*Assumptions!$B$10))-(AA$3/100)*Assumptions!$B$10)))))</f>
        <v/>
      </c>
      <c r="AB29" s="56">
        <f>IF((MAX(0,Assumptions!$B$2*EXP(-Assumptions!$B$4*Assumptions!$B$9)*NORMSDIST(((LN(Assumptions!$B$2/$B8)+(Assumptions!$B$3-Assumptions!$B$4+(AB$3/100)^2/2)*Assumptions!$B$9)/((AB$3/100)*Assumptions!$B$10)))-$B8*EXP(-Assumptions!$B$3*Assumptions!$B$9)*NORMSDIST((((LN(Assumptions!$B$2/$B8)+(Assumptions!$B$3-Assumptions!$B$4+(AB$3/100)^2/2)*Assumptions!$B$9)/((AB$3/100)*Assumptions!$B$10))-(AB$3/100)*Assumptions!$B$10))))&lt;=0,"",(Assumptions!$B$2*EXP(-Assumptions!$B$4*Assumptions!$B$9)*NORMDIST(((LN(Assumptions!$B$2/$B8)+(Assumptions!$B$3-Assumptions!$B$4+(AB$3/100)^2/2)*Assumptions!$B$9)/((AB$3/100)*Assumptions!$B$10)),0,1,FALSE)*Assumptions!$B$10*0.01)*0.5/(MAX(0,Assumptions!$B$2*EXP(-Assumptions!$B$4*Assumptions!$B$9)*NORMSDIST(((LN(Assumptions!$B$2/$B8)+(Assumptions!$B$3-Assumptions!$B$4+(AB$3/100)^2/2)*Assumptions!$B$9)/((AB$3/100)*Assumptions!$B$10)))-$B8*EXP(-Assumptions!$B$3*Assumptions!$B$9)*NORMSDIST((((LN(Assumptions!$B$2/$B8)+(Assumptions!$B$3-Assumptions!$B$4+(AB$3/100)^2/2)*Assumptions!$B$9)/((AB$3/100)*Assumptions!$B$10))-(AB$3/100)*Assumptions!$B$10)))))</f>
        <v/>
      </c>
      <c r="AC29" s="56">
        <f>IF((MAX(0,Assumptions!$B$2*EXP(-Assumptions!$B$4*Assumptions!$B$9)*NORMSDIST(((LN(Assumptions!$B$2/$B8)+(Assumptions!$B$3-Assumptions!$B$4+(AC$3/100)^2/2)*Assumptions!$B$9)/((AC$3/100)*Assumptions!$B$10)))-$B8*EXP(-Assumptions!$B$3*Assumptions!$B$9)*NORMSDIST((((LN(Assumptions!$B$2/$B8)+(Assumptions!$B$3-Assumptions!$B$4+(AC$3/100)^2/2)*Assumptions!$B$9)/((AC$3/100)*Assumptions!$B$10))-(AC$3/100)*Assumptions!$B$10))))&lt;=0,"",(Assumptions!$B$2*EXP(-Assumptions!$B$4*Assumptions!$B$9)*NORMDIST(((LN(Assumptions!$B$2/$B8)+(Assumptions!$B$3-Assumptions!$B$4+(AC$3/100)^2/2)*Assumptions!$B$9)/((AC$3/100)*Assumptions!$B$10)),0,1,FALSE)*Assumptions!$B$10*0.01)*0.5/(MAX(0,Assumptions!$B$2*EXP(-Assumptions!$B$4*Assumptions!$B$9)*NORMSDIST(((LN(Assumptions!$B$2/$B8)+(Assumptions!$B$3-Assumptions!$B$4+(AC$3/100)^2/2)*Assumptions!$B$9)/((AC$3/100)*Assumptions!$B$10)))-$B8*EXP(-Assumptions!$B$3*Assumptions!$B$9)*NORMSDIST((((LN(Assumptions!$B$2/$B8)+(Assumptions!$B$3-Assumptions!$B$4+(AC$3/100)^2/2)*Assumptions!$B$9)/((AC$3/100)*Assumptions!$B$10))-(AC$3/100)*Assumptions!$B$10)))))</f>
        <v/>
      </c>
      <c r="AD29" s="56">
        <f>IF((MAX(0,Assumptions!$B$2*EXP(-Assumptions!$B$4*Assumptions!$B$9)*NORMSDIST(((LN(Assumptions!$B$2/$B8)+(Assumptions!$B$3-Assumptions!$B$4+(AD$3/100)^2/2)*Assumptions!$B$9)/((AD$3/100)*Assumptions!$B$10)))-$B8*EXP(-Assumptions!$B$3*Assumptions!$B$9)*NORMSDIST((((LN(Assumptions!$B$2/$B8)+(Assumptions!$B$3-Assumptions!$B$4+(AD$3/100)^2/2)*Assumptions!$B$9)/((AD$3/100)*Assumptions!$B$10))-(AD$3/100)*Assumptions!$B$10))))&lt;=0,"",(Assumptions!$B$2*EXP(-Assumptions!$B$4*Assumptions!$B$9)*NORMDIST(((LN(Assumptions!$B$2/$B8)+(Assumptions!$B$3-Assumptions!$B$4+(AD$3/100)^2/2)*Assumptions!$B$9)/((AD$3/100)*Assumptions!$B$10)),0,1,FALSE)*Assumptions!$B$10*0.01)*0.5/(MAX(0,Assumptions!$B$2*EXP(-Assumptions!$B$4*Assumptions!$B$9)*NORMSDIST(((LN(Assumptions!$B$2/$B8)+(Assumptions!$B$3-Assumptions!$B$4+(AD$3/100)^2/2)*Assumptions!$B$9)/((AD$3/100)*Assumptions!$B$10)))-$B8*EXP(-Assumptions!$B$3*Assumptions!$B$9)*NORMSDIST((((LN(Assumptions!$B$2/$B8)+(Assumptions!$B$3-Assumptions!$B$4+(AD$3/100)^2/2)*Assumptions!$B$9)/((AD$3/100)*Assumptions!$B$10))-(AD$3/100)*Assumptions!$B$10)))))</f>
        <v/>
      </c>
      <c r="AE29" s="56">
        <f>IF((MAX(0,Assumptions!$B$2*EXP(-Assumptions!$B$4*Assumptions!$B$9)*NORMSDIST(((LN(Assumptions!$B$2/$B8)+(Assumptions!$B$3-Assumptions!$B$4+(AE$3/100)^2/2)*Assumptions!$B$9)/((AE$3/100)*Assumptions!$B$10)))-$B8*EXP(-Assumptions!$B$3*Assumptions!$B$9)*NORMSDIST((((LN(Assumptions!$B$2/$B8)+(Assumptions!$B$3-Assumptions!$B$4+(AE$3/100)^2/2)*Assumptions!$B$9)/((AE$3/100)*Assumptions!$B$10))-(AE$3/100)*Assumptions!$B$10))))&lt;=0,"",(Assumptions!$B$2*EXP(-Assumptions!$B$4*Assumptions!$B$9)*NORMDIST(((LN(Assumptions!$B$2/$B8)+(Assumptions!$B$3-Assumptions!$B$4+(AE$3/100)^2/2)*Assumptions!$B$9)/((AE$3/100)*Assumptions!$B$10)),0,1,FALSE)*Assumptions!$B$10*0.01)*0.5/(MAX(0,Assumptions!$B$2*EXP(-Assumptions!$B$4*Assumptions!$B$9)*NORMSDIST(((LN(Assumptions!$B$2/$B8)+(Assumptions!$B$3-Assumptions!$B$4+(AE$3/100)^2/2)*Assumptions!$B$9)/((AE$3/100)*Assumptions!$B$10)))-$B8*EXP(-Assumptions!$B$3*Assumptions!$B$9)*NORMSDIST((((LN(Assumptions!$B$2/$B8)+(Assumptions!$B$3-Assumptions!$B$4+(AE$3/100)^2/2)*Assumptions!$B$9)/((AE$3/100)*Assumptions!$B$10))-(AE$3/100)*Assumptions!$B$10)))))</f>
        <v/>
      </c>
      <c r="AF29" s="56">
        <f>IF((MAX(0,Assumptions!$B$2*EXP(-Assumptions!$B$4*Assumptions!$B$9)*NORMSDIST(((LN(Assumptions!$B$2/$B8)+(Assumptions!$B$3-Assumptions!$B$4+(AF$3/100)^2/2)*Assumptions!$B$9)/((AF$3/100)*Assumptions!$B$10)))-$B8*EXP(-Assumptions!$B$3*Assumptions!$B$9)*NORMSDIST((((LN(Assumptions!$B$2/$B8)+(Assumptions!$B$3-Assumptions!$B$4+(AF$3/100)^2/2)*Assumptions!$B$9)/((AF$3/100)*Assumptions!$B$10))-(AF$3/100)*Assumptions!$B$10))))&lt;=0,"",(Assumptions!$B$2*EXP(-Assumptions!$B$4*Assumptions!$B$9)*NORMDIST(((LN(Assumptions!$B$2/$B8)+(Assumptions!$B$3-Assumptions!$B$4+(AF$3/100)^2/2)*Assumptions!$B$9)/((AF$3/100)*Assumptions!$B$10)),0,1,FALSE)*Assumptions!$B$10*0.01)*0.5/(MAX(0,Assumptions!$B$2*EXP(-Assumptions!$B$4*Assumptions!$B$9)*NORMSDIST(((LN(Assumptions!$B$2/$B8)+(Assumptions!$B$3-Assumptions!$B$4+(AF$3/100)^2/2)*Assumptions!$B$9)/((AF$3/100)*Assumptions!$B$10)))-$B8*EXP(-Assumptions!$B$3*Assumptions!$B$9)*NORMSDIST((((LN(Assumptions!$B$2/$B8)+(Assumptions!$B$3-Assumptions!$B$4+(AF$3/100)^2/2)*Assumptions!$B$9)/((AF$3/100)*Assumptions!$B$10))-(AF$3/100)*Assumptions!$B$10)))))</f>
        <v/>
      </c>
      <c r="AG29" s="56">
        <f>IF((MAX(0,Assumptions!$B$2*EXP(-Assumptions!$B$4*Assumptions!$B$9)*NORMSDIST(((LN(Assumptions!$B$2/$B8)+(Assumptions!$B$3-Assumptions!$B$4+(AG$3/100)^2/2)*Assumptions!$B$9)/((AG$3/100)*Assumptions!$B$10)))-$B8*EXP(-Assumptions!$B$3*Assumptions!$B$9)*NORMSDIST((((LN(Assumptions!$B$2/$B8)+(Assumptions!$B$3-Assumptions!$B$4+(AG$3/100)^2/2)*Assumptions!$B$9)/((AG$3/100)*Assumptions!$B$10))-(AG$3/100)*Assumptions!$B$10))))&lt;=0,"",(Assumptions!$B$2*EXP(-Assumptions!$B$4*Assumptions!$B$9)*NORMDIST(((LN(Assumptions!$B$2/$B8)+(Assumptions!$B$3-Assumptions!$B$4+(AG$3/100)^2/2)*Assumptions!$B$9)/((AG$3/100)*Assumptions!$B$10)),0,1,FALSE)*Assumptions!$B$10*0.01)*0.5/(MAX(0,Assumptions!$B$2*EXP(-Assumptions!$B$4*Assumptions!$B$9)*NORMSDIST(((LN(Assumptions!$B$2/$B8)+(Assumptions!$B$3-Assumptions!$B$4+(AG$3/100)^2/2)*Assumptions!$B$9)/((AG$3/100)*Assumptions!$B$10)))-$B8*EXP(-Assumptions!$B$3*Assumptions!$B$9)*NORMSDIST((((LN(Assumptions!$B$2/$B8)+(Assumptions!$B$3-Assumptions!$B$4+(AG$3/100)^2/2)*Assumptions!$B$9)/((AG$3/100)*Assumptions!$B$10))-(AG$3/100)*Assumptions!$B$10)))))</f>
        <v/>
      </c>
      <c r="AH29" s="56">
        <f>IF((MAX(0,Assumptions!$B$2*EXP(-Assumptions!$B$4*Assumptions!$B$9)*NORMSDIST(((LN(Assumptions!$B$2/$B8)+(Assumptions!$B$3-Assumptions!$B$4+(AH$3/100)^2/2)*Assumptions!$B$9)/((AH$3/100)*Assumptions!$B$10)))-$B8*EXP(-Assumptions!$B$3*Assumptions!$B$9)*NORMSDIST((((LN(Assumptions!$B$2/$B8)+(Assumptions!$B$3-Assumptions!$B$4+(AH$3/100)^2/2)*Assumptions!$B$9)/((AH$3/100)*Assumptions!$B$10))-(AH$3/100)*Assumptions!$B$10))))&lt;=0,"",(Assumptions!$B$2*EXP(-Assumptions!$B$4*Assumptions!$B$9)*NORMDIST(((LN(Assumptions!$B$2/$B8)+(Assumptions!$B$3-Assumptions!$B$4+(AH$3/100)^2/2)*Assumptions!$B$9)/((AH$3/100)*Assumptions!$B$10)),0,1,FALSE)*Assumptions!$B$10*0.01)*0.5/(MAX(0,Assumptions!$B$2*EXP(-Assumptions!$B$4*Assumptions!$B$9)*NORMSDIST(((LN(Assumptions!$B$2/$B8)+(Assumptions!$B$3-Assumptions!$B$4+(AH$3/100)^2/2)*Assumptions!$B$9)/((AH$3/100)*Assumptions!$B$10)))-$B8*EXP(-Assumptions!$B$3*Assumptions!$B$9)*NORMSDIST((((LN(Assumptions!$B$2/$B8)+(Assumptions!$B$3-Assumptions!$B$4+(AH$3/100)^2/2)*Assumptions!$B$9)/((AH$3/100)*Assumptions!$B$10))-(AH$3/100)*Assumptions!$B$10)))))</f>
        <v/>
      </c>
      <c r="AI29" s="56">
        <f>IF((MAX(0,Assumptions!$B$2*EXP(-Assumptions!$B$4*Assumptions!$B$9)*NORMSDIST(((LN(Assumptions!$B$2/$B8)+(Assumptions!$B$3-Assumptions!$B$4+(AI$3/100)^2/2)*Assumptions!$B$9)/((AI$3/100)*Assumptions!$B$10)))-$B8*EXP(-Assumptions!$B$3*Assumptions!$B$9)*NORMSDIST((((LN(Assumptions!$B$2/$B8)+(Assumptions!$B$3-Assumptions!$B$4+(AI$3/100)^2/2)*Assumptions!$B$9)/((AI$3/100)*Assumptions!$B$10))-(AI$3/100)*Assumptions!$B$10))))&lt;=0,"",(Assumptions!$B$2*EXP(-Assumptions!$B$4*Assumptions!$B$9)*NORMDIST(((LN(Assumptions!$B$2/$B8)+(Assumptions!$B$3-Assumptions!$B$4+(AI$3/100)^2/2)*Assumptions!$B$9)/((AI$3/100)*Assumptions!$B$10)),0,1,FALSE)*Assumptions!$B$10*0.01)*0.5/(MAX(0,Assumptions!$B$2*EXP(-Assumptions!$B$4*Assumptions!$B$9)*NORMSDIST(((LN(Assumptions!$B$2/$B8)+(Assumptions!$B$3-Assumptions!$B$4+(AI$3/100)^2/2)*Assumptions!$B$9)/((AI$3/100)*Assumptions!$B$10)))-$B8*EXP(-Assumptions!$B$3*Assumptions!$B$9)*NORMSDIST((((LN(Assumptions!$B$2/$B8)+(Assumptions!$B$3-Assumptions!$B$4+(AI$3/100)^2/2)*Assumptions!$B$9)/((AI$3/100)*Assumptions!$B$10))-(AI$3/100)*Assumptions!$B$10)))))</f>
        <v/>
      </c>
      <c r="AJ29" s="56">
        <f>IF((MAX(0,Assumptions!$B$2*EXP(-Assumptions!$B$4*Assumptions!$B$9)*NORMSDIST(((LN(Assumptions!$B$2/$B8)+(Assumptions!$B$3-Assumptions!$B$4+(AJ$3/100)^2/2)*Assumptions!$B$9)/((AJ$3/100)*Assumptions!$B$10)))-$B8*EXP(-Assumptions!$B$3*Assumptions!$B$9)*NORMSDIST((((LN(Assumptions!$B$2/$B8)+(Assumptions!$B$3-Assumptions!$B$4+(AJ$3/100)^2/2)*Assumptions!$B$9)/((AJ$3/100)*Assumptions!$B$10))-(AJ$3/100)*Assumptions!$B$10))))&lt;=0,"",(Assumptions!$B$2*EXP(-Assumptions!$B$4*Assumptions!$B$9)*NORMDIST(((LN(Assumptions!$B$2/$B8)+(Assumptions!$B$3-Assumptions!$B$4+(AJ$3/100)^2/2)*Assumptions!$B$9)/((AJ$3/100)*Assumptions!$B$10)),0,1,FALSE)*Assumptions!$B$10*0.01)*0.5/(MAX(0,Assumptions!$B$2*EXP(-Assumptions!$B$4*Assumptions!$B$9)*NORMSDIST(((LN(Assumptions!$B$2/$B8)+(Assumptions!$B$3-Assumptions!$B$4+(AJ$3/100)^2/2)*Assumptions!$B$9)/((AJ$3/100)*Assumptions!$B$10)))-$B8*EXP(-Assumptions!$B$3*Assumptions!$B$9)*NORMSDIST((((LN(Assumptions!$B$2/$B8)+(Assumptions!$B$3-Assumptions!$B$4+(AJ$3/100)^2/2)*Assumptions!$B$9)/((AJ$3/100)*Assumptions!$B$10))-(AJ$3/100)*Assumptions!$B$10)))))</f>
        <v/>
      </c>
      <c r="AK29" s="56">
        <f>IF((MAX(0,Assumptions!$B$2*EXP(-Assumptions!$B$4*Assumptions!$B$9)*NORMSDIST(((LN(Assumptions!$B$2/$B8)+(Assumptions!$B$3-Assumptions!$B$4+(AK$3/100)^2/2)*Assumptions!$B$9)/((AK$3/100)*Assumptions!$B$10)))-$B8*EXP(-Assumptions!$B$3*Assumptions!$B$9)*NORMSDIST((((LN(Assumptions!$B$2/$B8)+(Assumptions!$B$3-Assumptions!$B$4+(AK$3/100)^2/2)*Assumptions!$B$9)/((AK$3/100)*Assumptions!$B$10))-(AK$3/100)*Assumptions!$B$10))))&lt;=0,"",(Assumptions!$B$2*EXP(-Assumptions!$B$4*Assumptions!$B$9)*NORMDIST(((LN(Assumptions!$B$2/$B8)+(Assumptions!$B$3-Assumptions!$B$4+(AK$3/100)^2/2)*Assumptions!$B$9)/((AK$3/100)*Assumptions!$B$10)),0,1,FALSE)*Assumptions!$B$10*0.01)*0.5/(MAX(0,Assumptions!$B$2*EXP(-Assumptions!$B$4*Assumptions!$B$9)*NORMSDIST(((LN(Assumptions!$B$2/$B8)+(Assumptions!$B$3-Assumptions!$B$4+(AK$3/100)^2/2)*Assumptions!$B$9)/((AK$3/100)*Assumptions!$B$10)))-$B8*EXP(-Assumptions!$B$3*Assumptions!$B$9)*NORMSDIST((((LN(Assumptions!$B$2/$B8)+(Assumptions!$B$3-Assumptions!$B$4+(AK$3/100)^2/2)*Assumptions!$B$9)/((AK$3/100)*Assumptions!$B$10))-(AK$3/100)*Assumptions!$B$10)))))</f>
        <v/>
      </c>
      <c r="AL29" s="56">
        <f>IF((MAX(0,Assumptions!$B$2*EXP(-Assumptions!$B$4*Assumptions!$B$9)*NORMSDIST(((LN(Assumptions!$B$2/$B8)+(Assumptions!$B$3-Assumptions!$B$4+(AL$3/100)^2/2)*Assumptions!$B$9)/((AL$3/100)*Assumptions!$B$10)))-$B8*EXP(-Assumptions!$B$3*Assumptions!$B$9)*NORMSDIST((((LN(Assumptions!$B$2/$B8)+(Assumptions!$B$3-Assumptions!$B$4+(AL$3/100)^2/2)*Assumptions!$B$9)/((AL$3/100)*Assumptions!$B$10))-(AL$3/100)*Assumptions!$B$10))))&lt;=0,"",(Assumptions!$B$2*EXP(-Assumptions!$B$4*Assumptions!$B$9)*NORMDIST(((LN(Assumptions!$B$2/$B8)+(Assumptions!$B$3-Assumptions!$B$4+(AL$3/100)^2/2)*Assumptions!$B$9)/((AL$3/100)*Assumptions!$B$10)),0,1,FALSE)*Assumptions!$B$10*0.01)*0.5/(MAX(0,Assumptions!$B$2*EXP(-Assumptions!$B$4*Assumptions!$B$9)*NORMSDIST(((LN(Assumptions!$B$2/$B8)+(Assumptions!$B$3-Assumptions!$B$4+(AL$3/100)^2/2)*Assumptions!$B$9)/((AL$3/100)*Assumptions!$B$10)))-$B8*EXP(-Assumptions!$B$3*Assumptions!$B$9)*NORMSDIST((((LN(Assumptions!$B$2/$B8)+(Assumptions!$B$3-Assumptions!$B$4+(AL$3/100)^2/2)*Assumptions!$B$9)/((AL$3/100)*Assumptions!$B$10))-(AL$3/100)*Assumptions!$B$10)))))</f>
        <v/>
      </c>
      <c r="AM29" s="56">
        <f>IF((MAX(0,Assumptions!$B$2*EXP(-Assumptions!$B$4*Assumptions!$B$9)*NORMSDIST(((LN(Assumptions!$B$2/$B8)+(Assumptions!$B$3-Assumptions!$B$4+(AM$3/100)^2/2)*Assumptions!$B$9)/((AM$3/100)*Assumptions!$B$10)))-$B8*EXP(-Assumptions!$B$3*Assumptions!$B$9)*NORMSDIST((((LN(Assumptions!$B$2/$B8)+(Assumptions!$B$3-Assumptions!$B$4+(AM$3/100)^2/2)*Assumptions!$B$9)/((AM$3/100)*Assumptions!$B$10))-(AM$3/100)*Assumptions!$B$10))))&lt;=0,"",(Assumptions!$B$2*EXP(-Assumptions!$B$4*Assumptions!$B$9)*NORMDIST(((LN(Assumptions!$B$2/$B8)+(Assumptions!$B$3-Assumptions!$B$4+(AM$3/100)^2/2)*Assumptions!$B$9)/((AM$3/100)*Assumptions!$B$10)),0,1,FALSE)*Assumptions!$B$10*0.01)*0.5/(MAX(0,Assumptions!$B$2*EXP(-Assumptions!$B$4*Assumptions!$B$9)*NORMSDIST(((LN(Assumptions!$B$2/$B8)+(Assumptions!$B$3-Assumptions!$B$4+(AM$3/100)^2/2)*Assumptions!$B$9)/((AM$3/100)*Assumptions!$B$10)))-$B8*EXP(-Assumptions!$B$3*Assumptions!$B$9)*NORMSDIST((((LN(Assumptions!$B$2/$B8)+(Assumptions!$B$3-Assumptions!$B$4+(AM$3/100)^2/2)*Assumptions!$B$9)/((AM$3/100)*Assumptions!$B$10))-(AM$3/100)*Assumptions!$B$10)))))</f>
        <v/>
      </c>
      <c r="AN29" s="56">
        <f>IF((MAX(0,Assumptions!$B$2*EXP(-Assumptions!$B$4*Assumptions!$B$9)*NORMSDIST(((LN(Assumptions!$B$2/$B8)+(Assumptions!$B$3-Assumptions!$B$4+(AN$3/100)^2/2)*Assumptions!$B$9)/((AN$3/100)*Assumptions!$B$10)))-$B8*EXP(-Assumptions!$B$3*Assumptions!$B$9)*NORMSDIST((((LN(Assumptions!$B$2/$B8)+(Assumptions!$B$3-Assumptions!$B$4+(AN$3/100)^2/2)*Assumptions!$B$9)/((AN$3/100)*Assumptions!$B$10))-(AN$3/100)*Assumptions!$B$10))))&lt;=0,"",(Assumptions!$B$2*EXP(-Assumptions!$B$4*Assumptions!$B$9)*NORMDIST(((LN(Assumptions!$B$2/$B8)+(Assumptions!$B$3-Assumptions!$B$4+(AN$3/100)^2/2)*Assumptions!$B$9)/((AN$3/100)*Assumptions!$B$10)),0,1,FALSE)*Assumptions!$B$10*0.01)*0.5/(MAX(0,Assumptions!$B$2*EXP(-Assumptions!$B$4*Assumptions!$B$9)*NORMSDIST(((LN(Assumptions!$B$2/$B8)+(Assumptions!$B$3-Assumptions!$B$4+(AN$3/100)^2/2)*Assumptions!$B$9)/((AN$3/100)*Assumptions!$B$10)))-$B8*EXP(-Assumptions!$B$3*Assumptions!$B$9)*NORMSDIST((((LN(Assumptions!$B$2/$B8)+(Assumptions!$B$3-Assumptions!$B$4+(AN$3/100)^2/2)*Assumptions!$B$9)/((AN$3/100)*Assumptions!$B$10))-(AN$3/100)*Assumptions!$B$10)))))</f>
        <v/>
      </c>
      <c r="AO29" s="56">
        <f>IF((MAX(0,Assumptions!$B$2*EXP(-Assumptions!$B$4*Assumptions!$B$9)*NORMSDIST(((LN(Assumptions!$B$2/$B8)+(Assumptions!$B$3-Assumptions!$B$4+(AO$3/100)^2/2)*Assumptions!$B$9)/((AO$3/100)*Assumptions!$B$10)))-$B8*EXP(-Assumptions!$B$3*Assumptions!$B$9)*NORMSDIST((((LN(Assumptions!$B$2/$B8)+(Assumptions!$B$3-Assumptions!$B$4+(AO$3/100)^2/2)*Assumptions!$B$9)/((AO$3/100)*Assumptions!$B$10))-(AO$3/100)*Assumptions!$B$10))))&lt;=0,"",(Assumptions!$B$2*EXP(-Assumptions!$B$4*Assumptions!$B$9)*NORMDIST(((LN(Assumptions!$B$2/$B8)+(Assumptions!$B$3-Assumptions!$B$4+(AO$3/100)^2/2)*Assumptions!$B$9)/((AO$3/100)*Assumptions!$B$10)),0,1,FALSE)*Assumptions!$B$10*0.01)*0.5/(MAX(0,Assumptions!$B$2*EXP(-Assumptions!$B$4*Assumptions!$B$9)*NORMSDIST(((LN(Assumptions!$B$2/$B8)+(Assumptions!$B$3-Assumptions!$B$4+(AO$3/100)^2/2)*Assumptions!$B$9)/((AO$3/100)*Assumptions!$B$10)))-$B8*EXP(-Assumptions!$B$3*Assumptions!$B$9)*NORMSDIST((((LN(Assumptions!$B$2/$B8)+(Assumptions!$B$3-Assumptions!$B$4+(AO$3/100)^2/2)*Assumptions!$B$9)/((AO$3/100)*Assumptions!$B$10))-(AO$3/100)*Assumptions!$B$10)))))</f>
        <v/>
      </c>
      <c r="AP29" s="56">
        <f>IF((MAX(0,Assumptions!$B$2*EXP(-Assumptions!$B$4*Assumptions!$B$9)*NORMSDIST(((LN(Assumptions!$B$2/$B8)+(Assumptions!$B$3-Assumptions!$B$4+(AP$3/100)^2/2)*Assumptions!$B$9)/((AP$3/100)*Assumptions!$B$10)))-$B8*EXP(-Assumptions!$B$3*Assumptions!$B$9)*NORMSDIST((((LN(Assumptions!$B$2/$B8)+(Assumptions!$B$3-Assumptions!$B$4+(AP$3/100)^2/2)*Assumptions!$B$9)/((AP$3/100)*Assumptions!$B$10))-(AP$3/100)*Assumptions!$B$10))))&lt;=0,"",(Assumptions!$B$2*EXP(-Assumptions!$B$4*Assumptions!$B$9)*NORMDIST(((LN(Assumptions!$B$2/$B8)+(Assumptions!$B$3-Assumptions!$B$4+(AP$3/100)^2/2)*Assumptions!$B$9)/((AP$3/100)*Assumptions!$B$10)),0,1,FALSE)*Assumptions!$B$10*0.01)*0.5/(MAX(0,Assumptions!$B$2*EXP(-Assumptions!$B$4*Assumptions!$B$9)*NORMSDIST(((LN(Assumptions!$B$2/$B8)+(Assumptions!$B$3-Assumptions!$B$4+(AP$3/100)^2/2)*Assumptions!$B$9)/((AP$3/100)*Assumptions!$B$10)))-$B8*EXP(-Assumptions!$B$3*Assumptions!$B$9)*NORMSDIST((((LN(Assumptions!$B$2/$B8)+(Assumptions!$B$3-Assumptions!$B$4+(AP$3/100)^2/2)*Assumptions!$B$9)/((AP$3/100)*Assumptions!$B$10))-(AP$3/100)*Assumptions!$B$10)))))</f>
        <v/>
      </c>
      <c r="AQ29" s="56">
        <f>IF((MAX(0,Assumptions!$B$2*EXP(-Assumptions!$B$4*Assumptions!$B$9)*NORMSDIST(((LN(Assumptions!$B$2/$B8)+(Assumptions!$B$3-Assumptions!$B$4+(AQ$3/100)^2/2)*Assumptions!$B$9)/((AQ$3/100)*Assumptions!$B$10)))-$B8*EXP(-Assumptions!$B$3*Assumptions!$B$9)*NORMSDIST((((LN(Assumptions!$B$2/$B8)+(Assumptions!$B$3-Assumptions!$B$4+(AQ$3/100)^2/2)*Assumptions!$B$9)/((AQ$3/100)*Assumptions!$B$10))-(AQ$3/100)*Assumptions!$B$10))))&lt;=0,"",(Assumptions!$B$2*EXP(-Assumptions!$B$4*Assumptions!$B$9)*NORMDIST(((LN(Assumptions!$B$2/$B8)+(Assumptions!$B$3-Assumptions!$B$4+(AQ$3/100)^2/2)*Assumptions!$B$9)/((AQ$3/100)*Assumptions!$B$10)),0,1,FALSE)*Assumptions!$B$10*0.01)*0.5/(MAX(0,Assumptions!$B$2*EXP(-Assumptions!$B$4*Assumptions!$B$9)*NORMSDIST(((LN(Assumptions!$B$2/$B8)+(Assumptions!$B$3-Assumptions!$B$4+(AQ$3/100)^2/2)*Assumptions!$B$9)/((AQ$3/100)*Assumptions!$B$10)))-$B8*EXP(-Assumptions!$B$3*Assumptions!$B$9)*NORMSDIST((((LN(Assumptions!$B$2/$B8)+(Assumptions!$B$3-Assumptions!$B$4+(AQ$3/100)^2/2)*Assumptions!$B$9)/((AQ$3/100)*Assumptions!$B$10))-(AQ$3/100)*Assumptions!$B$10)))))</f>
        <v/>
      </c>
      <c r="AR29" s="56">
        <f>IF((MAX(0,Assumptions!$B$2*EXP(-Assumptions!$B$4*Assumptions!$B$9)*NORMSDIST(((LN(Assumptions!$B$2/$B8)+(Assumptions!$B$3-Assumptions!$B$4+(AR$3/100)^2/2)*Assumptions!$B$9)/((AR$3/100)*Assumptions!$B$10)))-$B8*EXP(-Assumptions!$B$3*Assumptions!$B$9)*NORMSDIST((((LN(Assumptions!$B$2/$B8)+(Assumptions!$B$3-Assumptions!$B$4+(AR$3/100)^2/2)*Assumptions!$B$9)/((AR$3/100)*Assumptions!$B$10))-(AR$3/100)*Assumptions!$B$10))))&lt;=0,"",(Assumptions!$B$2*EXP(-Assumptions!$B$4*Assumptions!$B$9)*NORMDIST(((LN(Assumptions!$B$2/$B8)+(Assumptions!$B$3-Assumptions!$B$4+(AR$3/100)^2/2)*Assumptions!$B$9)/((AR$3/100)*Assumptions!$B$10)),0,1,FALSE)*Assumptions!$B$10*0.01)*0.5/(MAX(0,Assumptions!$B$2*EXP(-Assumptions!$B$4*Assumptions!$B$9)*NORMSDIST(((LN(Assumptions!$B$2/$B8)+(Assumptions!$B$3-Assumptions!$B$4+(AR$3/100)^2/2)*Assumptions!$B$9)/((AR$3/100)*Assumptions!$B$10)))-$B8*EXP(-Assumptions!$B$3*Assumptions!$B$9)*NORMSDIST((((LN(Assumptions!$B$2/$B8)+(Assumptions!$B$3-Assumptions!$B$4+(AR$3/100)^2/2)*Assumptions!$B$9)/((AR$3/100)*Assumptions!$B$10))-(AR$3/100)*Assumptions!$B$10)))))</f>
        <v/>
      </c>
      <c r="AS29" s="56">
        <f>IF((MAX(0,Assumptions!$B$2*EXP(-Assumptions!$B$4*Assumptions!$B$9)*NORMSDIST(((LN(Assumptions!$B$2/$B8)+(Assumptions!$B$3-Assumptions!$B$4+(AS$3/100)^2/2)*Assumptions!$B$9)/((AS$3/100)*Assumptions!$B$10)))-$B8*EXP(-Assumptions!$B$3*Assumptions!$B$9)*NORMSDIST((((LN(Assumptions!$B$2/$B8)+(Assumptions!$B$3-Assumptions!$B$4+(AS$3/100)^2/2)*Assumptions!$B$9)/((AS$3/100)*Assumptions!$B$10))-(AS$3/100)*Assumptions!$B$10))))&lt;=0,"",(Assumptions!$B$2*EXP(-Assumptions!$B$4*Assumptions!$B$9)*NORMDIST(((LN(Assumptions!$B$2/$B8)+(Assumptions!$B$3-Assumptions!$B$4+(AS$3/100)^2/2)*Assumptions!$B$9)/((AS$3/100)*Assumptions!$B$10)),0,1,FALSE)*Assumptions!$B$10*0.01)*0.5/(MAX(0,Assumptions!$B$2*EXP(-Assumptions!$B$4*Assumptions!$B$9)*NORMSDIST(((LN(Assumptions!$B$2/$B8)+(Assumptions!$B$3-Assumptions!$B$4+(AS$3/100)^2/2)*Assumptions!$B$9)/((AS$3/100)*Assumptions!$B$10)))-$B8*EXP(-Assumptions!$B$3*Assumptions!$B$9)*NORMSDIST((((LN(Assumptions!$B$2/$B8)+(Assumptions!$B$3-Assumptions!$B$4+(AS$3/100)^2/2)*Assumptions!$B$9)/((AS$3/100)*Assumptions!$B$10))-(AS$3/100)*Assumptions!$B$10)))))</f>
        <v/>
      </c>
      <c r="AT29" s="56">
        <f>IF((MAX(0,Assumptions!$B$2*EXP(-Assumptions!$B$4*Assumptions!$B$9)*NORMSDIST(((LN(Assumptions!$B$2/$B8)+(Assumptions!$B$3-Assumptions!$B$4+(AT$3/100)^2/2)*Assumptions!$B$9)/((AT$3/100)*Assumptions!$B$10)))-$B8*EXP(-Assumptions!$B$3*Assumptions!$B$9)*NORMSDIST((((LN(Assumptions!$B$2/$B8)+(Assumptions!$B$3-Assumptions!$B$4+(AT$3/100)^2/2)*Assumptions!$B$9)/((AT$3/100)*Assumptions!$B$10))-(AT$3/100)*Assumptions!$B$10))))&lt;=0,"",(Assumptions!$B$2*EXP(-Assumptions!$B$4*Assumptions!$B$9)*NORMDIST(((LN(Assumptions!$B$2/$B8)+(Assumptions!$B$3-Assumptions!$B$4+(AT$3/100)^2/2)*Assumptions!$B$9)/((AT$3/100)*Assumptions!$B$10)),0,1,FALSE)*Assumptions!$B$10*0.01)*0.5/(MAX(0,Assumptions!$B$2*EXP(-Assumptions!$B$4*Assumptions!$B$9)*NORMSDIST(((LN(Assumptions!$B$2/$B8)+(Assumptions!$B$3-Assumptions!$B$4+(AT$3/100)^2/2)*Assumptions!$B$9)/((AT$3/100)*Assumptions!$B$10)))-$B8*EXP(-Assumptions!$B$3*Assumptions!$B$9)*NORMSDIST((((LN(Assumptions!$B$2/$B8)+(Assumptions!$B$3-Assumptions!$B$4+(AT$3/100)^2/2)*Assumptions!$B$9)/((AT$3/100)*Assumptions!$B$10))-(AT$3/100)*Assumptions!$B$10)))))</f>
        <v/>
      </c>
      <c r="AU29" s="56">
        <f>IF((MAX(0,Assumptions!$B$2*EXP(-Assumptions!$B$4*Assumptions!$B$9)*NORMSDIST(((LN(Assumptions!$B$2/$B8)+(Assumptions!$B$3-Assumptions!$B$4+(AU$3/100)^2/2)*Assumptions!$B$9)/((AU$3/100)*Assumptions!$B$10)))-$B8*EXP(-Assumptions!$B$3*Assumptions!$B$9)*NORMSDIST((((LN(Assumptions!$B$2/$B8)+(Assumptions!$B$3-Assumptions!$B$4+(AU$3/100)^2/2)*Assumptions!$B$9)/((AU$3/100)*Assumptions!$B$10))-(AU$3/100)*Assumptions!$B$10))))&lt;=0,"",(Assumptions!$B$2*EXP(-Assumptions!$B$4*Assumptions!$B$9)*NORMDIST(((LN(Assumptions!$B$2/$B8)+(Assumptions!$B$3-Assumptions!$B$4+(AU$3/100)^2/2)*Assumptions!$B$9)/((AU$3/100)*Assumptions!$B$10)),0,1,FALSE)*Assumptions!$B$10*0.01)*0.5/(MAX(0,Assumptions!$B$2*EXP(-Assumptions!$B$4*Assumptions!$B$9)*NORMSDIST(((LN(Assumptions!$B$2/$B8)+(Assumptions!$B$3-Assumptions!$B$4+(AU$3/100)^2/2)*Assumptions!$B$9)/((AU$3/100)*Assumptions!$B$10)))-$B8*EXP(-Assumptions!$B$3*Assumptions!$B$9)*NORMSDIST((((LN(Assumptions!$B$2/$B8)+(Assumptions!$B$3-Assumptions!$B$4+(AU$3/100)^2/2)*Assumptions!$B$9)/((AU$3/100)*Assumptions!$B$10))-(AU$3/100)*Assumptions!$B$10)))))</f>
        <v/>
      </c>
      <c r="AV29" s="56">
        <f>IF((MAX(0,Assumptions!$B$2*EXP(-Assumptions!$B$4*Assumptions!$B$9)*NORMSDIST(((LN(Assumptions!$B$2/$B8)+(Assumptions!$B$3-Assumptions!$B$4+(AV$3/100)^2/2)*Assumptions!$B$9)/((AV$3/100)*Assumptions!$B$10)))-$B8*EXP(-Assumptions!$B$3*Assumptions!$B$9)*NORMSDIST((((LN(Assumptions!$B$2/$B8)+(Assumptions!$B$3-Assumptions!$B$4+(AV$3/100)^2/2)*Assumptions!$B$9)/((AV$3/100)*Assumptions!$B$10))-(AV$3/100)*Assumptions!$B$10))))&lt;=0,"",(Assumptions!$B$2*EXP(-Assumptions!$B$4*Assumptions!$B$9)*NORMDIST(((LN(Assumptions!$B$2/$B8)+(Assumptions!$B$3-Assumptions!$B$4+(AV$3/100)^2/2)*Assumptions!$B$9)/((AV$3/100)*Assumptions!$B$10)),0,1,FALSE)*Assumptions!$B$10*0.01)*0.5/(MAX(0,Assumptions!$B$2*EXP(-Assumptions!$B$4*Assumptions!$B$9)*NORMSDIST(((LN(Assumptions!$B$2/$B8)+(Assumptions!$B$3-Assumptions!$B$4+(AV$3/100)^2/2)*Assumptions!$B$9)/((AV$3/100)*Assumptions!$B$10)))-$B8*EXP(-Assumptions!$B$3*Assumptions!$B$9)*NORMSDIST((((LN(Assumptions!$B$2/$B8)+(Assumptions!$B$3-Assumptions!$B$4+(AV$3/100)^2/2)*Assumptions!$B$9)/((AV$3/100)*Assumptions!$B$10))-(AV$3/100)*Assumptions!$B$10)))))</f>
        <v/>
      </c>
    </row>
    <row r="30">
      <c r="A30" s="27" t="inlineStr">
        <is>
          <t>-0.75%</t>
        </is>
      </c>
      <c r="B30" s="47">
        <f>'BS Engine'!$B$7</f>
        <v/>
      </c>
      <c r="C30" s="28">
        <f>'BS Engine'!$C$7</f>
        <v/>
      </c>
      <c r="D30" s="55">
        <f>IF((MAX(0,Assumptions!$B$2*EXP(-Assumptions!$B$4*Assumptions!$B$9)*NORMSDIST(((LN(Assumptions!$B$2/$B9)+(Assumptions!$B$3-Assumptions!$B$4+(D$3/100)^2/2)*Assumptions!$B$9)/((D$3/100)*Assumptions!$B$10)))-$B9*EXP(-Assumptions!$B$3*Assumptions!$B$9)*NORMSDIST((((LN(Assumptions!$B$2/$B9)+(Assumptions!$B$3-Assumptions!$B$4+(D$3/100)^2/2)*Assumptions!$B$9)/((D$3/100)*Assumptions!$B$10))-(D$3/100)*Assumptions!$B$10))))&lt;=0,"",(Assumptions!$B$2*EXP(-Assumptions!$B$4*Assumptions!$B$9)*NORMDIST(((LN(Assumptions!$B$2/$B9)+(Assumptions!$B$3-Assumptions!$B$4+(D$3/100)^2/2)*Assumptions!$B$9)/((D$3/100)*Assumptions!$B$10)),0,1,FALSE)*Assumptions!$B$10*0.01)*0.5/(MAX(0,Assumptions!$B$2*EXP(-Assumptions!$B$4*Assumptions!$B$9)*NORMSDIST(((LN(Assumptions!$B$2/$B9)+(Assumptions!$B$3-Assumptions!$B$4+(D$3/100)^2/2)*Assumptions!$B$9)/((D$3/100)*Assumptions!$B$10)))-$B9*EXP(-Assumptions!$B$3*Assumptions!$B$9)*NORMSDIST((((LN(Assumptions!$B$2/$B9)+(Assumptions!$B$3-Assumptions!$B$4+(D$3/100)^2/2)*Assumptions!$B$9)/((D$3/100)*Assumptions!$B$10))-(D$3/100)*Assumptions!$B$10)))))</f>
        <v/>
      </c>
      <c r="E30" s="56">
        <f>IF((MAX(0,Assumptions!$B$2*EXP(-Assumptions!$B$4*Assumptions!$B$9)*NORMSDIST(((LN(Assumptions!$B$2/$B9)+(Assumptions!$B$3-Assumptions!$B$4+(E$3/100)^2/2)*Assumptions!$B$9)/((E$3/100)*Assumptions!$B$10)))-$B9*EXP(-Assumptions!$B$3*Assumptions!$B$9)*NORMSDIST((((LN(Assumptions!$B$2/$B9)+(Assumptions!$B$3-Assumptions!$B$4+(E$3/100)^2/2)*Assumptions!$B$9)/((E$3/100)*Assumptions!$B$10))-(E$3/100)*Assumptions!$B$10))))&lt;=0,"",(Assumptions!$B$2*EXP(-Assumptions!$B$4*Assumptions!$B$9)*NORMDIST(((LN(Assumptions!$B$2/$B9)+(Assumptions!$B$3-Assumptions!$B$4+(E$3/100)^2/2)*Assumptions!$B$9)/((E$3/100)*Assumptions!$B$10)),0,1,FALSE)*Assumptions!$B$10*0.01)*0.5/(MAX(0,Assumptions!$B$2*EXP(-Assumptions!$B$4*Assumptions!$B$9)*NORMSDIST(((LN(Assumptions!$B$2/$B9)+(Assumptions!$B$3-Assumptions!$B$4+(E$3/100)^2/2)*Assumptions!$B$9)/((E$3/100)*Assumptions!$B$10)))-$B9*EXP(-Assumptions!$B$3*Assumptions!$B$9)*NORMSDIST((((LN(Assumptions!$B$2/$B9)+(Assumptions!$B$3-Assumptions!$B$4+(E$3/100)^2/2)*Assumptions!$B$9)/((E$3/100)*Assumptions!$B$10))-(E$3/100)*Assumptions!$B$10)))))</f>
        <v/>
      </c>
      <c r="F30" s="56">
        <f>IF((MAX(0,Assumptions!$B$2*EXP(-Assumptions!$B$4*Assumptions!$B$9)*NORMSDIST(((LN(Assumptions!$B$2/$B9)+(Assumptions!$B$3-Assumptions!$B$4+(F$3/100)^2/2)*Assumptions!$B$9)/((F$3/100)*Assumptions!$B$10)))-$B9*EXP(-Assumptions!$B$3*Assumptions!$B$9)*NORMSDIST((((LN(Assumptions!$B$2/$B9)+(Assumptions!$B$3-Assumptions!$B$4+(F$3/100)^2/2)*Assumptions!$B$9)/((F$3/100)*Assumptions!$B$10))-(F$3/100)*Assumptions!$B$10))))&lt;=0,"",(Assumptions!$B$2*EXP(-Assumptions!$B$4*Assumptions!$B$9)*NORMDIST(((LN(Assumptions!$B$2/$B9)+(Assumptions!$B$3-Assumptions!$B$4+(F$3/100)^2/2)*Assumptions!$B$9)/((F$3/100)*Assumptions!$B$10)),0,1,FALSE)*Assumptions!$B$10*0.01)*0.5/(MAX(0,Assumptions!$B$2*EXP(-Assumptions!$B$4*Assumptions!$B$9)*NORMSDIST(((LN(Assumptions!$B$2/$B9)+(Assumptions!$B$3-Assumptions!$B$4+(F$3/100)^2/2)*Assumptions!$B$9)/((F$3/100)*Assumptions!$B$10)))-$B9*EXP(-Assumptions!$B$3*Assumptions!$B$9)*NORMSDIST((((LN(Assumptions!$B$2/$B9)+(Assumptions!$B$3-Assumptions!$B$4+(F$3/100)^2/2)*Assumptions!$B$9)/((F$3/100)*Assumptions!$B$10))-(F$3/100)*Assumptions!$B$10)))))</f>
        <v/>
      </c>
      <c r="G30" s="56">
        <f>IF((MAX(0,Assumptions!$B$2*EXP(-Assumptions!$B$4*Assumptions!$B$9)*NORMSDIST(((LN(Assumptions!$B$2/$B9)+(Assumptions!$B$3-Assumptions!$B$4+(G$3/100)^2/2)*Assumptions!$B$9)/((G$3/100)*Assumptions!$B$10)))-$B9*EXP(-Assumptions!$B$3*Assumptions!$B$9)*NORMSDIST((((LN(Assumptions!$B$2/$B9)+(Assumptions!$B$3-Assumptions!$B$4+(G$3/100)^2/2)*Assumptions!$B$9)/((G$3/100)*Assumptions!$B$10))-(G$3/100)*Assumptions!$B$10))))&lt;=0,"",(Assumptions!$B$2*EXP(-Assumptions!$B$4*Assumptions!$B$9)*NORMDIST(((LN(Assumptions!$B$2/$B9)+(Assumptions!$B$3-Assumptions!$B$4+(G$3/100)^2/2)*Assumptions!$B$9)/((G$3/100)*Assumptions!$B$10)),0,1,FALSE)*Assumptions!$B$10*0.01)*0.5/(MAX(0,Assumptions!$B$2*EXP(-Assumptions!$B$4*Assumptions!$B$9)*NORMSDIST(((LN(Assumptions!$B$2/$B9)+(Assumptions!$B$3-Assumptions!$B$4+(G$3/100)^2/2)*Assumptions!$B$9)/((G$3/100)*Assumptions!$B$10)))-$B9*EXP(-Assumptions!$B$3*Assumptions!$B$9)*NORMSDIST((((LN(Assumptions!$B$2/$B9)+(Assumptions!$B$3-Assumptions!$B$4+(G$3/100)^2/2)*Assumptions!$B$9)/((G$3/100)*Assumptions!$B$10))-(G$3/100)*Assumptions!$B$10)))))</f>
        <v/>
      </c>
      <c r="H30" s="56">
        <f>IF((MAX(0,Assumptions!$B$2*EXP(-Assumptions!$B$4*Assumptions!$B$9)*NORMSDIST(((LN(Assumptions!$B$2/$B9)+(Assumptions!$B$3-Assumptions!$B$4+(H$3/100)^2/2)*Assumptions!$B$9)/((H$3/100)*Assumptions!$B$10)))-$B9*EXP(-Assumptions!$B$3*Assumptions!$B$9)*NORMSDIST((((LN(Assumptions!$B$2/$B9)+(Assumptions!$B$3-Assumptions!$B$4+(H$3/100)^2/2)*Assumptions!$B$9)/((H$3/100)*Assumptions!$B$10))-(H$3/100)*Assumptions!$B$10))))&lt;=0,"",(Assumptions!$B$2*EXP(-Assumptions!$B$4*Assumptions!$B$9)*NORMDIST(((LN(Assumptions!$B$2/$B9)+(Assumptions!$B$3-Assumptions!$B$4+(H$3/100)^2/2)*Assumptions!$B$9)/((H$3/100)*Assumptions!$B$10)),0,1,FALSE)*Assumptions!$B$10*0.01)*0.5/(MAX(0,Assumptions!$B$2*EXP(-Assumptions!$B$4*Assumptions!$B$9)*NORMSDIST(((LN(Assumptions!$B$2/$B9)+(Assumptions!$B$3-Assumptions!$B$4+(H$3/100)^2/2)*Assumptions!$B$9)/((H$3/100)*Assumptions!$B$10)))-$B9*EXP(-Assumptions!$B$3*Assumptions!$B$9)*NORMSDIST((((LN(Assumptions!$B$2/$B9)+(Assumptions!$B$3-Assumptions!$B$4+(H$3/100)^2/2)*Assumptions!$B$9)/((H$3/100)*Assumptions!$B$10))-(H$3/100)*Assumptions!$B$10)))))</f>
        <v/>
      </c>
      <c r="I30" s="56">
        <f>IF((MAX(0,Assumptions!$B$2*EXP(-Assumptions!$B$4*Assumptions!$B$9)*NORMSDIST(((LN(Assumptions!$B$2/$B9)+(Assumptions!$B$3-Assumptions!$B$4+(I$3/100)^2/2)*Assumptions!$B$9)/((I$3/100)*Assumptions!$B$10)))-$B9*EXP(-Assumptions!$B$3*Assumptions!$B$9)*NORMSDIST((((LN(Assumptions!$B$2/$B9)+(Assumptions!$B$3-Assumptions!$B$4+(I$3/100)^2/2)*Assumptions!$B$9)/((I$3/100)*Assumptions!$B$10))-(I$3/100)*Assumptions!$B$10))))&lt;=0,"",(Assumptions!$B$2*EXP(-Assumptions!$B$4*Assumptions!$B$9)*NORMDIST(((LN(Assumptions!$B$2/$B9)+(Assumptions!$B$3-Assumptions!$B$4+(I$3/100)^2/2)*Assumptions!$B$9)/((I$3/100)*Assumptions!$B$10)),0,1,FALSE)*Assumptions!$B$10*0.01)*0.5/(MAX(0,Assumptions!$B$2*EXP(-Assumptions!$B$4*Assumptions!$B$9)*NORMSDIST(((LN(Assumptions!$B$2/$B9)+(Assumptions!$B$3-Assumptions!$B$4+(I$3/100)^2/2)*Assumptions!$B$9)/((I$3/100)*Assumptions!$B$10)))-$B9*EXP(-Assumptions!$B$3*Assumptions!$B$9)*NORMSDIST((((LN(Assumptions!$B$2/$B9)+(Assumptions!$B$3-Assumptions!$B$4+(I$3/100)^2/2)*Assumptions!$B$9)/((I$3/100)*Assumptions!$B$10))-(I$3/100)*Assumptions!$B$10)))))</f>
        <v/>
      </c>
      <c r="J30" s="56">
        <f>IF((MAX(0,Assumptions!$B$2*EXP(-Assumptions!$B$4*Assumptions!$B$9)*NORMSDIST(((LN(Assumptions!$B$2/$B9)+(Assumptions!$B$3-Assumptions!$B$4+(J$3/100)^2/2)*Assumptions!$B$9)/((J$3/100)*Assumptions!$B$10)))-$B9*EXP(-Assumptions!$B$3*Assumptions!$B$9)*NORMSDIST((((LN(Assumptions!$B$2/$B9)+(Assumptions!$B$3-Assumptions!$B$4+(J$3/100)^2/2)*Assumptions!$B$9)/((J$3/100)*Assumptions!$B$10))-(J$3/100)*Assumptions!$B$10))))&lt;=0,"",(Assumptions!$B$2*EXP(-Assumptions!$B$4*Assumptions!$B$9)*NORMDIST(((LN(Assumptions!$B$2/$B9)+(Assumptions!$B$3-Assumptions!$B$4+(J$3/100)^2/2)*Assumptions!$B$9)/((J$3/100)*Assumptions!$B$10)),0,1,FALSE)*Assumptions!$B$10*0.01)*0.5/(MAX(0,Assumptions!$B$2*EXP(-Assumptions!$B$4*Assumptions!$B$9)*NORMSDIST(((LN(Assumptions!$B$2/$B9)+(Assumptions!$B$3-Assumptions!$B$4+(J$3/100)^2/2)*Assumptions!$B$9)/((J$3/100)*Assumptions!$B$10)))-$B9*EXP(-Assumptions!$B$3*Assumptions!$B$9)*NORMSDIST((((LN(Assumptions!$B$2/$B9)+(Assumptions!$B$3-Assumptions!$B$4+(J$3/100)^2/2)*Assumptions!$B$9)/((J$3/100)*Assumptions!$B$10))-(J$3/100)*Assumptions!$B$10)))))</f>
        <v/>
      </c>
      <c r="K30" s="56">
        <f>IF((MAX(0,Assumptions!$B$2*EXP(-Assumptions!$B$4*Assumptions!$B$9)*NORMSDIST(((LN(Assumptions!$B$2/$B9)+(Assumptions!$B$3-Assumptions!$B$4+(K$3/100)^2/2)*Assumptions!$B$9)/((K$3/100)*Assumptions!$B$10)))-$B9*EXP(-Assumptions!$B$3*Assumptions!$B$9)*NORMSDIST((((LN(Assumptions!$B$2/$B9)+(Assumptions!$B$3-Assumptions!$B$4+(K$3/100)^2/2)*Assumptions!$B$9)/((K$3/100)*Assumptions!$B$10))-(K$3/100)*Assumptions!$B$10))))&lt;=0,"",(Assumptions!$B$2*EXP(-Assumptions!$B$4*Assumptions!$B$9)*NORMDIST(((LN(Assumptions!$B$2/$B9)+(Assumptions!$B$3-Assumptions!$B$4+(K$3/100)^2/2)*Assumptions!$B$9)/((K$3/100)*Assumptions!$B$10)),0,1,FALSE)*Assumptions!$B$10*0.01)*0.5/(MAX(0,Assumptions!$B$2*EXP(-Assumptions!$B$4*Assumptions!$B$9)*NORMSDIST(((LN(Assumptions!$B$2/$B9)+(Assumptions!$B$3-Assumptions!$B$4+(K$3/100)^2/2)*Assumptions!$B$9)/((K$3/100)*Assumptions!$B$10)))-$B9*EXP(-Assumptions!$B$3*Assumptions!$B$9)*NORMSDIST((((LN(Assumptions!$B$2/$B9)+(Assumptions!$B$3-Assumptions!$B$4+(K$3/100)^2/2)*Assumptions!$B$9)/((K$3/100)*Assumptions!$B$10))-(K$3/100)*Assumptions!$B$10)))))</f>
        <v/>
      </c>
      <c r="L30" s="56">
        <f>IF((MAX(0,Assumptions!$B$2*EXP(-Assumptions!$B$4*Assumptions!$B$9)*NORMSDIST(((LN(Assumptions!$B$2/$B9)+(Assumptions!$B$3-Assumptions!$B$4+(L$3/100)^2/2)*Assumptions!$B$9)/((L$3/100)*Assumptions!$B$10)))-$B9*EXP(-Assumptions!$B$3*Assumptions!$B$9)*NORMSDIST((((LN(Assumptions!$B$2/$B9)+(Assumptions!$B$3-Assumptions!$B$4+(L$3/100)^2/2)*Assumptions!$B$9)/((L$3/100)*Assumptions!$B$10))-(L$3/100)*Assumptions!$B$10))))&lt;=0,"",(Assumptions!$B$2*EXP(-Assumptions!$B$4*Assumptions!$B$9)*NORMDIST(((LN(Assumptions!$B$2/$B9)+(Assumptions!$B$3-Assumptions!$B$4+(L$3/100)^2/2)*Assumptions!$B$9)/((L$3/100)*Assumptions!$B$10)),0,1,FALSE)*Assumptions!$B$10*0.01)*0.5/(MAX(0,Assumptions!$B$2*EXP(-Assumptions!$B$4*Assumptions!$B$9)*NORMSDIST(((LN(Assumptions!$B$2/$B9)+(Assumptions!$B$3-Assumptions!$B$4+(L$3/100)^2/2)*Assumptions!$B$9)/((L$3/100)*Assumptions!$B$10)))-$B9*EXP(-Assumptions!$B$3*Assumptions!$B$9)*NORMSDIST((((LN(Assumptions!$B$2/$B9)+(Assumptions!$B$3-Assumptions!$B$4+(L$3/100)^2/2)*Assumptions!$B$9)/((L$3/100)*Assumptions!$B$10))-(L$3/100)*Assumptions!$B$10)))))</f>
        <v/>
      </c>
      <c r="M30" s="56">
        <f>IF((MAX(0,Assumptions!$B$2*EXP(-Assumptions!$B$4*Assumptions!$B$9)*NORMSDIST(((LN(Assumptions!$B$2/$B9)+(Assumptions!$B$3-Assumptions!$B$4+(M$3/100)^2/2)*Assumptions!$B$9)/((M$3/100)*Assumptions!$B$10)))-$B9*EXP(-Assumptions!$B$3*Assumptions!$B$9)*NORMSDIST((((LN(Assumptions!$B$2/$B9)+(Assumptions!$B$3-Assumptions!$B$4+(M$3/100)^2/2)*Assumptions!$B$9)/((M$3/100)*Assumptions!$B$10))-(M$3/100)*Assumptions!$B$10))))&lt;=0,"",(Assumptions!$B$2*EXP(-Assumptions!$B$4*Assumptions!$B$9)*NORMDIST(((LN(Assumptions!$B$2/$B9)+(Assumptions!$B$3-Assumptions!$B$4+(M$3/100)^2/2)*Assumptions!$B$9)/((M$3/100)*Assumptions!$B$10)),0,1,FALSE)*Assumptions!$B$10*0.01)*0.5/(MAX(0,Assumptions!$B$2*EXP(-Assumptions!$B$4*Assumptions!$B$9)*NORMSDIST(((LN(Assumptions!$B$2/$B9)+(Assumptions!$B$3-Assumptions!$B$4+(M$3/100)^2/2)*Assumptions!$B$9)/((M$3/100)*Assumptions!$B$10)))-$B9*EXP(-Assumptions!$B$3*Assumptions!$B$9)*NORMSDIST((((LN(Assumptions!$B$2/$B9)+(Assumptions!$B$3-Assumptions!$B$4+(M$3/100)^2/2)*Assumptions!$B$9)/((M$3/100)*Assumptions!$B$10))-(M$3/100)*Assumptions!$B$10)))))</f>
        <v/>
      </c>
      <c r="N30" s="56">
        <f>IF((MAX(0,Assumptions!$B$2*EXP(-Assumptions!$B$4*Assumptions!$B$9)*NORMSDIST(((LN(Assumptions!$B$2/$B9)+(Assumptions!$B$3-Assumptions!$B$4+(N$3/100)^2/2)*Assumptions!$B$9)/((N$3/100)*Assumptions!$B$10)))-$B9*EXP(-Assumptions!$B$3*Assumptions!$B$9)*NORMSDIST((((LN(Assumptions!$B$2/$B9)+(Assumptions!$B$3-Assumptions!$B$4+(N$3/100)^2/2)*Assumptions!$B$9)/((N$3/100)*Assumptions!$B$10))-(N$3/100)*Assumptions!$B$10))))&lt;=0,"",(Assumptions!$B$2*EXP(-Assumptions!$B$4*Assumptions!$B$9)*NORMDIST(((LN(Assumptions!$B$2/$B9)+(Assumptions!$B$3-Assumptions!$B$4+(N$3/100)^2/2)*Assumptions!$B$9)/((N$3/100)*Assumptions!$B$10)),0,1,FALSE)*Assumptions!$B$10*0.01)*0.5/(MAX(0,Assumptions!$B$2*EXP(-Assumptions!$B$4*Assumptions!$B$9)*NORMSDIST(((LN(Assumptions!$B$2/$B9)+(Assumptions!$B$3-Assumptions!$B$4+(N$3/100)^2/2)*Assumptions!$B$9)/((N$3/100)*Assumptions!$B$10)))-$B9*EXP(-Assumptions!$B$3*Assumptions!$B$9)*NORMSDIST((((LN(Assumptions!$B$2/$B9)+(Assumptions!$B$3-Assumptions!$B$4+(N$3/100)^2/2)*Assumptions!$B$9)/((N$3/100)*Assumptions!$B$10))-(N$3/100)*Assumptions!$B$10)))))</f>
        <v/>
      </c>
      <c r="O30" s="56">
        <f>IF((MAX(0,Assumptions!$B$2*EXP(-Assumptions!$B$4*Assumptions!$B$9)*NORMSDIST(((LN(Assumptions!$B$2/$B9)+(Assumptions!$B$3-Assumptions!$B$4+(O$3/100)^2/2)*Assumptions!$B$9)/((O$3/100)*Assumptions!$B$10)))-$B9*EXP(-Assumptions!$B$3*Assumptions!$B$9)*NORMSDIST((((LN(Assumptions!$B$2/$B9)+(Assumptions!$B$3-Assumptions!$B$4+(O$3/100)^2/2)*Assumptions!$B$9)/((O$3/100)*Assumptions!$B$10))-(O$3/100)*Assumptions!$B$10))))&lt;=0,"",(Assumptions!$B$2*EXP(-Assumptions!$B$4*Assumptions!$B$9)*NORMDIST(((LN(Assumptions!$B$2/$B9)+(Assumptions!$B$3-Assumptions!$B$4+(O$3/100)^2/2)*Assumptions!$B$9)/((O$3/100)*Assumptions!$B$10)),0,1,FALSE)*Assumptions!$B$10*0.01)*0.5/(MAX(0,Assumptions!$B$2*EXP(-Assumptions!$B$4*Assumptions!$B$9)*NORMSDIST(((LN(Assumptions!$B$2/$B9)+(Assumptions!$B$3-Assumptions!$B$4+(O$3/100)^2/2)*Assumptions!$B$9)/((O$3/100)*Assumptions!$B$10)))-$B9*EXP(-Assumptions!$B$3*Assumptions!$B$9)*NORMSDIST((((LN(Assumptions!$B$2/$B9)+(Assumptions!$B$3-Assumptions!$B$4+(O$3/100)^2/2)*Assumptions!$B$9)/((O$3/100)*Assumptions!$B$10))-(O$3/100)*Assumptions!$B$10)))))</f>
        <v/>
      </c>
      <c r="P30" s="56">
        <f>IF((MAX(0,Assumptions!$B$2*EXP(-Assumptions!$B$4*Assumptions!$B$9)*NORMSDIST(((LN(Assumptions!$B$2/$B9)+(Assumptions!$B$3-Assumptions!$B$4+(P$3/100)^2/2)*Assumptions!$B$9)/((P$3/100)*Assumptions!$B$10)))-$B9*EXP(-Assumptions!$B$3*Assumptions!$B$9)*NORMSDIST((((LN(Assumptions!$B$2/$B9)+(Assumptions!$B$3-Assumptions!$B$4+(P$3/100)^2/2)*Assumptions!$B$9)/((P$3/100)*Assumptions!$B$10))-(P$3/100)*Assumptions!$B$10))))&lt;=0,"",(Assumptions!$B$2*EXP(-Assumptions!$B$4*Assumptions!$B$9)*NORMDIST(((LN(Assumptions!$B$2/$B9)+(Assumptions!$B$3-Assumptions!$B$4+(P$3/100)^2/2)*Assumptions!$B$9)/((P$3/100)*Assumptions!$B$10)),0,1,FALSE)*Assumptions!$B$10*0.01)*0.5/(MAX(0,Assumptions!$B$2*EXP(-Assumptions!$B$4*Assumptions!$B$9)*NORMSDIST(((LN(Assumptions!$B$2/$B9)+(Assumptions!$B$3-Assumptions!$B$4+(P$3/100)^2/2)*Assumptions!$B$9)/((P$3/100)*Assumptions!$B$10)))-$B9*EXP(-Assumptions!$B$3*Assumptions!$B$9)*NORMSDIST((((LN(Assumptions!$B$2/$B9)+(Assumptions!$B$3-Assumptions!$B$4+(P$3/100)^2/2)*Assumptions!$B$9)/((P$3/100)*Assumptions!$B$10))-(P$3/100)*Assumptions!$B$10)))))</f>
        <v/>
      </c>
      <c r="Q30" s="56">
        <f>IF((MAX(0,Assumptions!$B$2*EXP(-Assumptions!$B$4*Assumptions!$B$9)*NORMSDIST(((LN(Assumptions!$B$2/$B9)+(Assumptions!$B$3-Assumptions!$B$4+(Q$3/100)^2/2)*Assumptions!$B$9)/((Q$3/100)*Assumptions!$B$10)))-$B9*EXP(-Assumptions!$B$3*Assumptions!$B$9)*NORMSDIST((((LN(Assumptions!$B$2/$B9)+(Assumptions!$B$3-Assumptions!$B$4+(Q$3/100)^2/2)*Assumptions!$B$9)/((Q$3/100)*Assumptions!$B$10))-(Q$3/100)*Assumptions!$B$10))))&lt;=0,"",(Assumptions!$B$2*EXP(-Assumptions!$B$4*Assumptions!$B$9)*NORMDIST(((LN(Assumptions!$B$2/$B9)+(Assumptions!$B$3-Assumptions!$B$4+(Q$3/100)^2/2)*Assumptions!$B$9)/((Q$3/100)*Assumptions!$B$10)),0,1,FALSE)*Assumptions!$B$10*0.01)*0.5/(MAX(0,Assumptions!$B$2*EXP(-Assumptions!$B$4*Assumptions!$B$9)*NORMSDIST(((LN(Assumptions!$B$2/$B9)+(Assumptions!$B$3-Assumptions!$B$4+(Q$3/100)^2/2)*Assumptions!$B$9)/((Q$3/100)*Assumptions!$B$10)))-$B9*EXP(-Assumptions!$B$3*Assumptions!$B$9)*NORMSDIST((((LN(Assumptions!$B$2/$B9)+(Assumptions!$B$3-Assumptions!$B$4+(Q$3/100)^2/2)*Assumptions!$B$9)/((Q$3/100)*Assumptions!$B$10))-(Q$3/100)*Assumptions!$B$10)))))</f>
        <v/>
      </c>
      <c r="R30" s="56">
        <f>IF((MAX(0,Assumptions!$B$2*EXP(-Assumptions!$B$4*Assumptions!$B$9)*NORMSDIST(((LN(Assumptions!$B$2/$B9)+(Assumptions!$B$3-Assumptions!$B$4+(R$3/100)^2/2)*Assumptions!$B$9)/((R$3/100)*Assumptions!$B$10)))-$B9*EXP(-Assumptions!$B$3*Assumptions!$B$9)*NORMSDIST((((LN(Assumptions!$B$2/$B9)+(Assumptions!$B$3-Assumptions!$B$4+(R$3/100)^2/2)*Assumptions!$B$9)/((R$3/100)*Assumptions!$B$10))-(R$3/100)*Assumptions!$B$10))))&lt;=0,"",(Assumptions!$B$2*EXP(-Assumptions!$B$4*Assumptions!$B$9)*NORMDIST(((LN(Assumptions!$B$2/$B9)+(Assumptions!$B$3-Assumptions!$B$4+(R$3/100)^2/2)*Assumptions!$B$9)/((R$3/100)*Assumptions!$B$10)),0,1,FALSE)*Assumptions!$B$10*0.01)*0.5/(MAX(0,Assumptions!$B$2*EXP(-Assumptions!$B$4*Assumptions!$B$9)*NORMSDIST(((LN(Assumptions!$B$2/$B9)+(Assumptions!$B$3-Assumptions!$B$4+(R$3/100)^2/2)*Assumptions!$B$9)/((R$3/100)*Assumptions!$B$10)))-$B9*EXP(-Assumptions!$B$3*Assumptions!$B$9)*NORMSDIST((((LN(Assumptions!$B$2/$B9)+(Assumptions!$B$3-Assumptions!$B$4+(R$3/100)^2/2)*Assumptions!$B$9)/((R$3/100)*Assumptions!$B$10))-(R$3/100)*Assumptions!$B$10)))))</f>
        <v/>
      </c>
      <c r="S30" s="56">
        <f>IF((MAX(0,Assumptions!$B$2*EXP(-Assumptions!$B$4*Assumptions!$B$9)*NORMSDIST(((LN(Assumptions!$B$2/$B9)+(Assumptions!$B$3-Assumptions!$B$4+(S$3/100)^2/2)*Assumptions!$B$9)/((S$3/100)*Assumptions!$B$10)))-$B9*EXP(-Assumptions!$B$3*Assumptions!$B$9)*NORMSDIST((((LN(Assumptions!$B$2/$B9)+(Assumptions!$B$3-Assumptions!$B$4+(S$3/100)^2/2)*Assumptions!$B$9)/((S$3/100)*Assumptions!$B$10))-(S$3/100)*Assumptions!$B$10))))&lt;=0,"",(Assumptions!$B$2*EXP(-Assumptions!$B$4*Assumptions!$B$9)*NORMDIST(((LN(Assumptions!$B$2/$B9)+(Assumptions!$B$3-Assumptions!$B$4+(S$3/100)^2/2)*Assumptions!$B$9)/((S$3/100)*Assumptions!$B$10)),0,1,FALSE)*Assumptions!$B$10*0.01)*0.5/(MAX(0,Assumptions!$B$2*EXP(-Assumptions!$B$4*Assumptions!$B$9)*NORMSDIST(((LN(Assumptions!$B$2/$B9)+(Assumptions!$B$3-Assumptions!$B$4+(S$3/100)^2/2)*Assumptions!$B$9)/((S$3/100)*Assumptions!$B$10)))-$B9*EXP(-Assumptions!$B$3*Assumptions!$B$9)*NORMSDIST((((LN(Assumptions!$B$2/$B9)+(Assumptions!$B$3-Assumptions!$B$4+(S$3/100)^2/2)*Assumptions!$B$9)/((S$3/100)*Assumptions!$B$10))-(S$3/100)*Assumptions!$B$10)))))</f>
        <v/>
      </c>
      <c r="T30" s="56">
        <f>IF((MAX(0,Assumptions!$B$2*EXP(-Assumptions!$B$4*Assumptions!$B$9)*NORMSDIST(((LN(Assumptions!$B$2/$B9)+(Assumptions!$B$3-Assumptions!$B$4+(T$3/100)^2/2)*Assumptions!$B$9)/((T$3/100)*Assumptions!$B$10)))-$B9*EXP(-Assumptions!$B$3*Assumptions!$B$9)*NORMSDIST((((LN(Assumptions!$B$2/$B9)+(Assumptions!$B$3-Assumptions!$B$4+(T$3/100)^2/2)*Assumptions!$B$9)/((T$3/100)*Assumptions!$B$10))-(T$3/100)*Assumptions!$B$10))))&lt;=0,"",(Assumptions!$B$2*EXP(-Assumptions!$B$4*Assumptions!$B$9)*NORMDIST(((LN(Assumptions!$B$2/$B9)+(Assumptions!$B$3-Assumptions!$B$4+(T$3/100)^2/2)*Assumptions!$B$9)/((T$3/100)*Assumptions!$B$10)),0,1,FALSE)*Assumptions!$B$10*0.01)*0.5/(MAX(0,Assumptions!$B$2*EXP(-Assumptions!$B$4*Assumptions!$B$9)*NORMSDIST(((LN(Assumptions!$B$2/$B9)+(Assumptions!$B$3-Assumptions!$B$4+(T$3/100)^2/2)*Assumptions!$B$9)/((T$3/100)*Assumptions!$B$10)))-$B9*EXP(-Assumptions!$B$3*Assumptions!$B$9)*NORMSDIST((((LN(Assumptions!$B$2/$B9)+(Assumptions!$B$3-Assumptions!$B$4+(T$3/100)^2/2)*Assumptions!$B$9)/((T$3/100)*Assumptions!$B$10))-(T$3/100)*Assumptions!$B$10)))))</f>
        <v/>
      </c>
      <c r="U30" s="56">
        <f>IF((MAX(0,Assumptions!$B$2*EXP(-Assumptions!$B$4*Assumptions!$B$9)*NORMSDIST(((LN(Assumptions!$B$2/$B9)+(Assumptions!$B$3-Assumptions!$B$4+(U$3/100)^2/2)*Assumptions!$B$9)/((U$3/100)*Assumptions!$B$10)))-$B9*EXP(-Assumptions!$B$3*Assumptions!$B$9)*NORMSDIST((((LN(Assumptions!$B$2/$B9)+(Assumptions!$B$3-Assumptions!$B$4+(U$3/100)^2/2)*Assumptions!$B$9)/((U$3/100)*Assumptions!$B$10))-(U$3/100)*Assumptions!$B$10))))&lt;=0,"",(Assumptions!$B$2*EXP(-Assumptions!$B$4*Assumptions!$B$9)*NORMDIST(((LN(Assumptions!$B$2/$B9)+(Assumptions!$B$3-Assumptions!$B$4+(U$3/100)^2/2)*Assumptions!$B$9)/((U$3/100)*Assumptions!$B$10)),0,1,FALSE)*Assumptions!$B$10*0.01)*0.5/(MAX(0,Assumptions!$B$2*EXP(-Assumptions!$B$4*Assumptions!$B$9)*NORMSDIST(((LN(Assumptions!$B$2/$B9)+(Assumptions!$B$3-Assumptions!$B$4+(U$3/100)^2/2)*Assumptions!$B$9)/((U$3/100)*Assumptions!$B$10)))-$B9*EXP(-Assumptions!$B$3*Assumptions!$B$9)*NORMSDIST((((LN(Assumptions!$B$2/$B9)+(Assumptions!$B$3-Assumptions!$B$4+(U$3/100)^2/2)*Assumptions!$B$9)/((U$3/100)*Assumptions!$B$10))-(U$3/100)*Assumptions!$B$10)))))</f>
        <v/>
      </c>
      <c r="V30" s="56">
        <f>IF((MAX(0,Assumptions!$B$2*EXP(-Assumptions!$B$4*Assumptions!$B$9)*NORMSDIST(((LN(Assumptions!$B$2/$B9)+(Assumptions!$B$3-Assumptions!$B$4+(V$3/100)^2/2)*Assumptions!$B$9)/((V$3/100)*Assumptions!$B$10)))-$B9*EXP(-Assumptions!$B$3*Assumptions!$B$9)*NORMSDIST((((LN(Assumptions!$B$2/$B9)+(Assumptions!$B$3-Assumptions!$B$4+(V$3/100)^2/2)*Assumptions!$B$9)/((V$3/100)*Assumptions!$B$10))-(V$3/100)*Assumptions!$B$10))))&lt;=0,"",(Assumptions!$B$2*EXP(-Assumptions!$B$4*Assumptions!$B$9)*NORMDIST(((LN(Assumptions!$B$2/$B9)+(Assumptions!$B$3-Assumptions!$B$4+(V$3/100)^2/2)*Assumptions!$B$9)/((V$3/100)*Assumptions!$B$10)),0,1,FALSE)*Assumptions!$B$10*0.01)*0.5/(MAX(0,Assumptions!$B$2*EXP(-Assumptions!$B$4*Assumptions!$B$9)*NORMSDIST(((LN(Assumptions!$B$2/$B9)+(Assumptions!$B$3-Assumptions!$B$4+(V$3/100)^2/2)*Assumptions!$B$9)/((V$3/100)*Assumptions!$B$10)))-$B9*EXP(-Assumptions!$B$3*Assumptions!$B$9)*NORMSDIST((((LN(Assumptions!$B$2/$B9)+(Assumptions!$B$3-Assumptions!$B$4+(V$3/100)^2/2)*Assumptions!$B$9)/((V$3/100)*Assumptions!$B$10))-(V$3/100)*Assumptions!$B$10)))))</f>
        <v/>
      </c>
      <c r="W30" s="56">
        <f>IF((MAX(0,Assumptions!$B$2*EXP(-Assumptions!$B$4*Assumptions!$B$9)*NORMSDIST(((LN(Assumptions!$B$2/$B9)+(Assumptions!$B$3-Assumptions!$B$4+(W$3/100)^2/2)*Assumptions!$B$9)/((W$3/100)*Assumptions!$B$10)))-$B9*EXP(-Assumptions!$B$3*Assumptions!$B$9)*NORMSDIST((((LN(Assumptions!$B$2/$B9)+(Assumptions!$B$3-Assumptions!$B$4+(W$3/100)^2/2)*Assumptions!$B$9)/((W$3/100)*Assumptions!$B$10))-(W$3/100)*Assumptions!$B$10))))&lt;=0,"",(Assumptions!$B$2*EXP(-Assumptions!$B$4*Assumptions!$B$9)*NORMDIST(((LN(Assumptions!$B$2/$B9)+(Assumptions!$B$3-Assumptions!$B$4+(W$3/100)^2/2)*Assumptions!$B$9)/((W$3/100)*Assumptions!$B$10)),0,1,FALSE)*Assumptions!$B$10*0.01)*0.5/(MAX(0,Assumptions!$B$2*EXP(-Assumptions!$B$4*Assumptions!$B$9)*NORMSDIST(((LN(Assumptions!$B$2/$B9)+(Assumptions!$B$3-Assumptions!$B$4+(W$3/100)^2/2)*Assumptions!$B$9)/((W$3/100)*Assumptions!$B$10)))-$B9*EXP(-Assumptions!$B$3*Assumptions!$B$9)*NORMSDIST((((LN(Assumptions!$B$2/$B9)+(Assumptions!$B$3-Assumptions!$B$4+(W$3/100)^2/2)*Assumptions!$B$9)/((W$3/100)*Assumptions!$B$10))-(W$3/100)*Assumptions!$B$10)))))</f>
        <v/>
      </c>
      <c r="X30" s="56">
        <f>IF((MAX(0,Assumptions!$B$2*EXP(-Assumptions!$B$4*Assumptions!$B$9)*NORMSDIST(((LN(Assumptions!$B$2/$B9)+(Assumptions!$B$3-Assumptions!$B$4+(X$3/100)^2/2)*Assumptions!$B$9)/((X$3/100)*Assumptions!$B$10)))-$B9*EXP(-Assumptions!$B$3*Assumptions!$B$9)*NORMSDIST((((LN(Assumptions!$B$2/$B9)+(Assumptions!$B$3-Assumptions!$B$4+(X$3/100)^2/2)*Assumptions!$B$9)/((X$3/100)*Assumptions!$B$10))-(X$3/100)*Assumptions!$B$10))))&lt;=0,"",(Assumptions!$B$2*EXP(-Assumptions!$B$4*Assumptions!$B$9)*NORMDIST(((LN(Assumptions!$B$2/$B9)+(Assumptions!$B$3-Assumptions!$B$4+(X$3/100)^2/2)*Assumptions!$B$9)/((X$3/100)*Assumptions!$B$10)),0,1,FALSE)*Assumptions!$B$10*0.01)*0.5/(MAX(0,Assumptions!$B$2*EXP(-Assumptions!$B$4*Assumptions!$B$9)*NORMSDIST(((LN(Assumptions!$B$2/$B9)+(Assumptions!$B$3-Assumptions!$B$4+(X$3/100)^2/2)*Assumptions!$B$9)/((X$3/100)*Assumptions!$B$10)))-$B9*EXP(-Assumptions!$B$3*Assumptions!$B$9)*NORMSDIST((((LN(Assumptions!$B$2/$B9)+(Assumptions!$B$3-Assumptions!$B$4+(X$3/100)^2/2)*Assumptions!$B$9)/((X$3/100)*Assumptions!$B$10))-(X$3/100)*Assumptions!$B$10)))))</f>
        <v/>
      </c>
      <c r="Y30" s="56">
        <f>IF((MAX(0,Assumptions!$B$2*EXP(-Assumptions!$B$4*Assumptions!$B$9)*NORMSDIST(((LN(Assumptions!$B$2/$B9)+(Assumptions!$B$3-Assumptions!$B$4+(Y$3/100)^2/2)*Assumptions!$B$9)/((Y$3/100)*Assumptions!$B$10)))-$B9*EXP(-Assumptions!$B$3*Assumptions!$B$9)*NORMSDIST((((LN(Assumptions!$B$2/$B9)+(Assumptions!$B$3-Assumptions!$B$4+(Y$3/100)^2/2)*Assumptions!$B$9)/((Y$3/100)*Assumptions!$B$10))-(Y$3/100)*Assumptions!$B$10))))&lt;=0,"",(Assumptions!$B$2*EXP(-Assumptions!$B$4*Assumptions!$B$9)*NORMDIST(((LN(Assumptions!$B$2/$B9)+(Assumptions!$B$3-Assumptions!$B$4+(Y$3/100)^2/2)*Assumptions!$B$9)/((Y$3/100)*Assumptions!$B$10)),0,1,FALSE)*Assumptions!$B$10*0.01)*0.5/(MAX(0,Assumptions!$B$2*EXP(-Assumptions!$B$4*Assumptions!$B$9)*NORMSDIST(((LN(Assumptions!$B$2/$B9)+(Assumptions!$B$3-Assumptions!$B$4+(Y$3/100)^2/2)*Assumptions!$B$9)/((Y$3/100)*Assumptions!$B$10)))-$B9*EXP(-Assumptions!$B$3*Assumptions!$B$9)*NORMSDIST((((LN(Assumptions!$B$2/$B9)+(Assumptions!$B$3-Assumptions!$B$4+(Y$3/100)^2/2)*Assumptions!$B$9)/((Y$3/100)*Assumptions!$B$10))-(Y$3/100)*Assumptions!$B$10)))))</f>
        <v/>
      </c>
      <c r="Z30" s="56">
        <f>IF((MAX(0,Assumptions!$B$2*EXP(-Assumptions!$B$4*Assumptions!$B$9)*NORMSDIST(((LN(Assumptions!$B$2/$B9)+(Assumptions!$B$3-Assumptions!$B$4+(Z$3/100)^2/2)*Assumptions!$B$9)/((Z$3/100)*Assumptions!$B$10)))-$B9*EXP(-Assumptions!$B$3*Assumptions!$B$9)*NORMSDIST((((LN(Assumptions!$B$2/$B9)+(Assumptions!$B$3-Assumptions!$B$4+(Z$3/100)^2/2)*Assumptions!$B$9)/((Z$3/100)*Assumptions!$B$10))-(Z$3/100)*Assumptions!$B$10))))&lt;=0,"",(Assumptions!$B$2*EXP(-Assumptions!$B$4*Assumptions!$B$9)*NORMDIST(((LN(Assumptions!$B$2/$B9)+(Assumptions!$B$3-Assumptions!$B$4+(Z$3/100)^2/2)*Assumptions!$B$9)/((Z$3/100)*Assumptions!$B$10)),0,1,FALSE)*Assumptions!$B$10*0.01)*0.5/(MAX(0,Assumptions!$B$2*EXP(-Assumptions!$B$4*Assumptions!$B$9)*NORMSDIST(((LN(Assumptions!$B$2/$B9)+(Assumptions!$B$3-Assumptions!$B$4+(Z$3/100)^2/2)*Assumptions!$B$9)/((Z$3/100)*Assumptions!$B$10)))-$B9*EXP(-Assumptions!$B$3*Assumptions!$B$9)*NORMSDIST((((LN(Assumptions!$B$2/$B9)+(Assumptions!$B$3-Assumptions!$B$4+(Z$3/100)^2/2)*Assumptions!$B$9)/((Z$3/100)*Assumptions!$B$10))-(Z$3/100)*Assumptions!$B$10)))))</f>
        <v/>
      </c>
      <c r="AA30" s="56">
        <f>IF((MAX(0,Assumptions!$B$2*EXP(-Assumptions!$B$4*Assumptions!$B$9)*NORMSDIST(((LN(Assumptions!$B$2/$B9)+(Assumptions!$B$3-Assumptions!$B$4+(AA$3/100)^2/2)*Assumptions!$B$9)/((AA$3/100)*Assumptions!$B$10)))-$B9*EXP(-Assumptions!$B$3*Assumptions!$B$9)*NORMSDIST((((LN(Assumptions!$B$2/$B9)+(Assumptions!$B$3-Assumptions!$B$4+(AA$3/100)^2/2)*Assumptions!$B$9)/((AA$3/100)*Assumptions!$B$10))-(AA$3/100)*Assumptions!$B$10))))&lt;=0,"",(Assumptions!$B$2*EXP(-Assumptions!$B$4*Assumptions!$B$9)*NORMDIST(((LN(Assumptions!$B$2/$B9)+(Assumptions!$B$3-Assumptions!$B$4+(AA$3/100)^2/2)*Assumptions!$B$9)/((AA$3/100)*Assumptions!$B$10)),0,1,FALSE)*Assumptions!$B$10*0.01)*0.5/(MAX(0,Assumptions!$B$2*EXP(-Assumptions!$B$4*Assumptions!$B$9)*NORMSDIST(((LN(Assumptions!$B$2/$B9)+(Assumptions!$B$3-Assumptions!$B$4+(AA$3/100)^2/2)*Assumptions!$B$9)/((AA$3/100)*Assumptions!$B$10)))-$B9*EXP(-Assumptions!$B$3*Assumptions!$B$9)*NORMSDIST((((LN(Assumptions!$B$2/$B9)+(Assumptions!$B$3-Assumptions!$B$4+(AA$3/100)^2/2)*Assumptions!$B$9)/((AA$3/100)*Assumptions!$B$10))-(AA$3/100)*Assumptions!$B$10)))))</f>
        <v/>
      </c>
      <c r="AB30" s="56">
        <f>IF((MAX(0,Assumptions!$B$2*EXP(-Assumptions!$B$4*Assumptions!$B$9)*NORMSDIST(((LN(Assumptions!$B$2/$B9)+(Assumptions!$B$3-Assumptions!$B$4+(AB$3/100)^2/2)*Assumptions!$B$9)/((AB$3/100)*Assumptions!$B$10)))-$B9*EXP(-Assumptions!$B$3*Assumptions!$B$9)*NORMSDIST((((LN(Assumptions!$B$2/$B9)+(Assumptions!$B$3-Assumptions!$B$4+(AB$3/100)^2/2)*Assumptions!$B$9)/((AB$3/100)*Assumptions!$B$10))-(AB$3/100)*Assumptions!$B$10))))&lt;=0,"",(Assumptions!$B$2*EXP(-Assumptions!$B$4*Assumptions!$B$9)*NORMDIST(((LN(Assumptions!$B$2/$B9)+(Assumptions!$B$3-Assumptions!$B$4+(AB$3/100)^2/2)*Assumptions!$B$9)/((AB$3/100)*Assumptions!$B$10)),0,1,FALSE)*Assumptions!$B$10*0.01)*0.5/(MAX(0,Assumptions!$B$2*EXP(-Assumptions!$B$4*Assumptions!$B$9)*NORMSDIST(((LN(Assumptions!$B$2/$B9)+(Assumptions!$B$3-Assumptions!$B$4+(AB$3/100)^2/2)*Assumptions!$B$9)/((AB$3/100)*Assumptions!$B$10)))-$B9*EXP(-Assumptions!$B$3*Assumptions!$B$9)*NORMSDIST((((LN(Assumptions!$B$2/$B9)+(Assumptions!$B$3-Assumptions!$B$4+(AB$3/100)^2/2)*Assumptions!$B$9)/((AB$3/100)*Assumptions!$B$10))-(AB$3/100)*Assumptions!$B$10)))))</f>
        <v/>
      </c>
      <c r="AC30" s="56">
        <f>IF((MAX(0,Assumptions!$B$2*EXP(-Assumptions!$B$4*Assumptions!$B$9)*NORMSDIST(((LN(Assumptions!$B$2/$B9)+(Assumptions!$B$3-Assumptions!$B$4+(AC$3/100)^2/2)*Assumptions!$B$9)/((AC$3/100)*Assumptions!$B$10)))-$B9*EXP(-Assumptions!$B$3*Assumptions!$B$9)*NORMSDIST((((LN(Assumptions!$B$2/$B9)+(Assumptions!$B$3-Assumptions!$B$4+(AC$3/100)^2/2)*Assumptions!$B$9)/((AC$3/100)*Assumptions!$B$10))-(AC$3/100)*Assumptions!$B$10))))&lt;=0,"",(Assumptions!$B$2*EXP(-Assumptions!$B$4*Assumptions!$B$9)*NORMDIST(((LN(Assumptions!$B$2/$B9)+(Assumptions!$B$3-Assumptions!$B$4+(AC$3/100)^2/2)*Assumptions!$B$9)/((AC$3/100)*Assumptions!$B$10)),0,1,FALSE)*Assumptions!$B$10*0.01)*0.5/(MAX(0,Assumptions!$B$2*EXP(-Assumptions!$B$4*Assumptions!$B$9)*NORMSDIST(((LN(Assumptions!$B$2/$B9)+(Assumptions!$B$3-Assumptions!$B$4+(AC$3/100)^2/2)*Assumptions!$B$9)/((AC$3/100)*Assumptions!$B$10)))-$B9*EXP(-Assumptions!$B$3*Assumptions!$B$9)*NORMSDIST((((LN(Assumptions!$B$2/$B9)+(Assumptions!$B$3-Assumptions!$B$4+(AC$3/100)^2/2)*Assumptions!$B$9)/((AC$3/100)*Assumptions!$B$10))-(AC$3/100)*Assumptions!$B$10)))))</f>
        <v/>
      </c>
      <c r="AD30" s="56">
        <f>IF((MAX(0,Assumptions!$B$2*EXP(-Assumptions!$B$4*Assumptions!$B$9)*NORMSDIST(((LN(Assumptions!$B$2/$B9)+(Assumptions!$B$3-Assumptions!$B$4+(AD$3/100)^2/2)*Assumptions!$B$9)/((AD$3/100)*Assumptions!$B$10)))-$B9*EXP(-Assumptions!$B$3*Assumptions!$B$9)*NORMSDIST((((LN(Assumptions!$B$2/$B9)+(Assumptions!$B$3-Assumptions!$B$4+(AD$3/100)^2/2)*Assumptions!$B$9)/((AD$3/100)*Assumptions!$B$10))-(AD$3/100)*Assumptions!$B$10))))&lt;=0,"",(Assumptions!$B$2*EXP(-Assumptions!$B$4*Assumptions!$B$9)*NORMDIST(((LN(Assumptions!$B$2/$B9)+(Assumptions!$B$3-Assumptions!$B$4+(AD$3/100)^2/2)*Assumptions!$B$9)/((AD$3/100)*Assumptions!$B$10)),0,1,FALSE)*Assumptions!$B$10*0.01)*0.5/(MAX(0,Assumptions!$B$2*EXP(-Assumptions!$B$4*Assumptions!$B$9)*NORMSDIST(((LN(Assumptions!$B$2/$B9)+(Assumptions!$B$3-Assumptions!$B$4+(AD$3/100)^2/2)*Assumptions!$B$9)/((AD$3/100)*Assumptions!$B$10)))-$B9*EXP(-Assumptions!$B$3*Assumptions!$B$9)*NORMSDIST((((LN(Assumptions!$B$2/$B9)+(Assumptions!$B$3-Assumptions!$B$4+(AD$3/100)^2/2)*Assumptions!$B$9)/((AD$3/100)*Assumptions!$B$10))-(AD$3/100)*Assumptions!$B$10)))))</f>
        <v/>
      </c>
      <c r="AE30" s="56">
        <f>IF((MAX(0,Assumptions!$B$2*EXP(-Assumptions!$B$4*Assumptions!$B$9)*NORMSDIST(((LN(Assumptions!$B$2/$B9)+(Assumptions!$B$3-Assumptions!$B$4+(AE$3/100)^2/2)*Assumptions!$B$9)/((AE$3/100)*Assumptions!$B$10)))-$B9*EXP(-Assumptions!$B$3*Assumptions!$B$9)*NORMSDIST((((LN(Assumptions!$B$2/$B9)+(Assumptions!$B$3-Assumptions!$B$4+(AE$3/100)^2/2)*Assumptions!$B$9)/((AE$3/100)*Assumptions!$B$10))-(AE$3/100)*Assumptions!$B$10))))&lt;=0,"",(Assumptions!$B$2*EXP(-Assumptions!$B$4*Assumptions!$B$9)*NORMDIST(((LN(Assumptions!$B$2/$B9)+(Assumptions!$B$3-Assumptions!$B$4+(AE$3/100)^2/2)*Assumptions!$B$9)/((AE$3/100)*Assumptions!$B$10)),0,1,FALSE)*Assumptions!$B$10*0.01)*0.5/(MAX(0,Assumptions!$B$2*EXP(-Assumptions!$B$4*Assumptions!$B$9)*NORMSDIST(((LN(Assumptions!$B$2/$B9)+(Assumptions!$B$3-Assumptions!$B$4+(AE$3/100)^2/2)*Assumptions!$B$9)/((AE$3/100)*Assumptions!$B$10)))-$B9*EXP(-Assumptions!$B$3*Assumptions!$B$9)*NORMSDIST((((LN(Assumptions!$B$2/$B9)+(Assumptions!$B$3-Assumptions!$B$4+(AE$3/100)^2/2)*Assumptions!$B$9)/((AE$3/100)*Assumptions!$B$10))-(AE$3/100)*Assumptions!$B$10)))))</f>
        <v/>
      </c>
      <c r="AF30" s="56">
        <f>IF((MAX(0,Assumptions!$B$2*EXP(-Assumptions!$B$4*Assumptions!$B$9)*NORMSDIST(((LN(Assumptions!$B$2/$B9)+(Assumptions!$B$3-Assumptions!$B$4+(AF$3/100)^2/2)*Assumptions!$B$9)/((AF$3/100)*Assumptions!$B$10)))-$B9*EXP(-Assumptions!$B$3*Assumptions!$B$9)*NORMSDIST((((LN(Assumptions!$B$2/$B9)+(Assumptions!$B$3-Assumptions!$B$4+(AF$3/100)^2/2)*Assumptions!$B$9)/((AF$3/100)*Assumptions!$B$10))-(AF$3/100)*Assumptions!$B$10))))&lt;=0,"",(Assumptions!$B$2*EXP(-Assumptions!$B$4*Assumptions!$B$9)*NORMDIST(((LN(Assumptions!$B$2/$B9)+(Assumptions!$B$3-Assumptions!$B$4+(AF$3/100)^2/2)*Assumptions!$B$9)/((AF$3/100)*Assumptions!$B$10)),0,1,FALSE)*Assumptions!$B$10*0.01)*0.5/(MAX(0,Assumptions!$B$2*EXP(-Assumptions!$B$4*Assumptions!$B$9)*NORMSDIST(((LN(Assumptions!$B$2/$B9)+(Assumptions!$B$3-Assumptions!$B$4+(AF$3/100)^2/2)*Assumptions!$B$9)/((AF$3/100)*Assumptions!$B$10)))-$B9*EXP(-Assumptions!$B$3*Assumptions!$B$9)*NORMSDIST((((LN(Assumptions!$B$2/$B9)+(Assumptions!$B$3-Assumptions!$B$4+(AF$3/100)^2/2)*Assumptions!$B$9)/((AF$3/100)*Assumptions!$B$10))-(AF$3/100)*Assumptions!$B$10)))))</f>
        <v/>
      </c>
      <c r="AG30" s="56">
        <f>IF((MAX(0,Assumptions!$B$2*EXP(-Assumptions!$B$4*Assumptions!$B$9)*NORMSDIST(((LN(Assumptions!$B$2/$B9)+(Assumptions!$B$3-Assumptions!$B$4+(AG$3/100)^2/2)*Assumptions!$B$9)/((AG$3/100)*Assumptions!$B$10)))-$B9*EXP(-Assumptions!$B$3*Assumptions!$B$9)*NORMSDIST((((LN(Assumptions!$B$2/$B9)+(Assumptions!$B$3-Assumptions!$B$4+(AG$3/100)^2/2)*Assumptions!$B$9)/((AG$3/100)*Assumptions!$B$10))-(AG$3/100)*Assumptions!$B$10))))&lt;=0,"",(Assumptions!$B$2*EXP(-Assumptions!$B$4*Assumptions!$B$9)*NORMDIST(((LN(Assumptions!$B$2/$B9)+(Assumptions!$B$3-Assumptions!$B$4+(AG$3/100)^2/2)*Assumptions!$B$9)/((AG$3/100)*Assumptions!$B$10)),0,1,FALSE)*Assumptions!$B$10*0.01)*0.5/(MAX(0,Assumptions!$B$2*EXP(-Assumptions!$B$4*Assumptions!$B$9)*NORMSDIST(((LN(Assumptions!$B$2/$B9)+(Assumptions!$B$3-Assumptions!$B$4+(AG$3/100)^2/2)*Assumptions!$B$9)/((AG$3/100)*Assumptions!$B$10)))-$B9*EXP(-Assumptions!$B$3*Assumptions!$B$9)*NORMSDIST((((LN(Assumptions!$B$2/$B9)+(Assumptions!$B$3-Assumptions!$B$4+(AG$3/100)^2/2)*Assumptions!$B$9)/((AG$3/100)*Assumptions!$B$10))-(AG$3/100)*Assumptions!$B$10)))))</f>
        <v/>
      </c>
      <c r="AH30" s="56">
        <f>IF((MAX(0,Assumptions!$B$2*EXP(-Assumptions!$B$4*Assumptions!$B$9)*NORMSDIST(((LN(Assumptions!$B$2/$B9)+(Assumptions!$B$3-Assumptions!$B$4+(AH$3/100)^2/2)*Assumptions!$B$9)/((AH$3/100)*Assumptions!$B$10)))-$B9*EXP(-Assumptions!$B$3*Assumptions!$B$9)*NORMSDIST((((LN(Assumptions!$B$2/$B9)+(Assumptions!$B$3-Assumptions!$B$4+(AH$3/100)^2/2)*Assumptions!$B$9)/((AH$3/100)*Assumptions!$B$10))-(AH$3/100)*Assumptions!$B$10))))&lt;=0,"",(Assumptions!$B$2*EXP(-Assumptions!$B$4*Assumptions!$B$9)*NORMDIST(((LN(Assumptions!$B$2/$B9)+(Assumptions!$B$3-Assumptions!$B$4+(AH$3/100)^2/2)*Assumptions!$B$9)/((AH$3/100)*Assumptions!$B$10)),0,1,FALSE)*Assumptions!$B$10*0.01)*0.5/(MAX(0,Assumptions!$B$2*EXP(-Assumptions!$B$4*Assumptions!$B$9)*NORMSDIST(((LN(Assumptions!$B$2/$B9)+(Assumptions!$B$3-Assumptions!$B$4+(AH$3/100)^2/2)*Assumptions!$B$9)/((AH$3/100)*Assumptions!$B$10)))-$B9*EXP(-Assumptions!$B$3*Assumptions!$B$9)*NORMSDIST((((LN(Assumptions!$B$2/$B9)+(Assumptions!$B$3-Assumptions!$B$4+(AH$3/100)^2/2)*Assumptions!$B$9)/((AH$3/100)*Assumptions!$B$10))-(AH$3/100)*Assumptions!$B$10)))))</f>
        <v/>
      </c>
      <c r="AI30" s="56">
        <f>IF((MAX(0,Assumptions!$B$2*EXP(-Assumptions!$B$4*Assumptions!$B$9)*NORMSDIST(((LN(Assumptions!$B$2/$B9)+(Assumptions!$B$3-Assumptions!$B$4+(AI$3/100)^2/2)*Assumptions!$B$9)/((AI$3/100)*Assumptions!$B$10)))-$B9*EXP(-Assumptions!$B$3*Assumptions!$B$9)*NORMSDIST((((LN(Assumptions!$B$2/$B9)+(Assumptions!$B$3-Assumptions!$B$4+(AI$3/100)^2/2)*Assumptions!$B$9)/((AI$3/100)*Assumptions!$B$10))-(AI$3/100)*Assumptions!$B$10))))&lt;=0,"",(Assumptions!$B$2*EXP(-Assumptions!$B$4*Assumptions!$B$9)*NORMDIST(((LN(Assumptions!$B$2/$B9)+(Assumptions!$B$3-Assumptions!$B$4+(AI$3/100)^2/2)*Assumptions!$B$9)/((AI$3/100)*Assumptions!$B$10)),0,1,FALSE)*Assumptions!$B$10*0.01)*0.5/(MAX(0,Assumptions!$B$2*EXP(-Assumptions!$B$4*Assumptions!$B$9)*NORMSDIST(((LN(Assumptions!$B$2/$B9)+(Assumptions!$B$3-Assumptions!$B$4+(AI$3/100)^2/2)*Assumptions!$B$9)/((AI$3/100)*Assumptions!$B$10)))-$B9*EXP(-Assumptions!$B$3*Assumptions!$B$9)*NORMSDIST((((LN(Assumptions!$B$2/$B9)+(Assumptions!$B$3-Assumptions!$B$4+(AI$3/100)^2/2)*Assumptions!$B$9)/((AI$3/100)*Assumptions!$B$10))-(AI$3/100)*Assumptions!$B$10)))))</f>
        <v/>
      </c>
      <c r="AJ30" s="56">
        <f>IF((MAX(0,Assumptions!$B$2*EXP(-Assumptions!$B$4*Assumptions!$B$9)*NORMSDIST(((LN(Assumptions!$B$2/$B9)+(Assumptions!$B$3-Assumptions!$B$4+(AJ$3/100)^2/2)*Assumptions!$B$9)/((AJ$3/100)*Assumptions!$B$10)))-$B9*EXP(-Assumptions!$B$3*Assumptions!$B$9)*NORMSDIST((((LN(Assumptions!$B$2/$B9)+(Assumptions!$B$3-Assumptions!$B$4+(AJ$3/100)^2/2)*Assumptions!$B$9)/((AJ$3/100)*Assumptions!$B$10))-(AJ$3/100)*Assumptions!$B$10))))&lt;=0,"",(Assumptions!$B$2*EXP(-Assumptions!$B$4*Assumptions!$B$9)*NORMDIST(((LN(Assumptions!$B$2/$B9)+(Assumptions!$B$3-Assumptions!$B$4+(AJ$3/100)^2/2)*Assumptions!$B$9)/((AJ$3/100)*Assumptions!$B$10)),0,1,FALSE)*Assumptions!$B$10*0.01)*0.5/(MAX(0,Assumptions!$B$2*EXP(-Assumptions!$B$4*Assumptions!$B$9)*NORMSDIST(((LN(Assumptions!$B$2/$B9)+(Assumptions!$B$3-Assumptions!$B$4+(AJ$3/100)^2/2)*Assumptions!$B$9)/((AJ$3/100)*Assumptions!$B$10)))-$B9*EXP(-Assumptions!$B$3*Assumptions!$B$9)*NORMSDIST((((LN(Assumptions!$B$2/$B9)+(Assumptions!$B$3-Assumptions!$B$4+(AJ$3/100)^2/2)*Assumptions!$B$9)/((AJ$3/100)*Assumptions!$B$10))-(AJ$3/100)*Assumptions!$B$10)))))</f>
        <v/>
      </c>
      <c r="AK30" s="56">
        <f>IF((MAX(0,Assumptions!$B$2*EXP(-Assumptions!$B$4*Assumptions!$B$9)*NORMSDIST(((LN(Assumptions!$B$2/$B9)+(Assumptions!$B$3-Assumptions!$B$4+(AK$3/100)^2/2)*Assumptions!$B$9)/((AK$3/100)*Assumptions!$B$10)))-$B9*EXP(-Assumptions!$B$3*Assumptions!$B$9)*NORMSDIST((((LN(Assumptions!$B$2/$B9)+(Assumptions!$B$3-Assumptions!$B$4+(AK$3/100)^2/2)*Assumptions!$B$9)/((AK$3/100)*Assumptions!$B$10))-(AK$3/100)*Assumptions!$B$10))))&lt;=0,"",(Assumptions!$B$2*EXP(-Assumptions!$B$4*Assumptions!$B$9)*NORMDIST(((LN(Assumptions!$B$2/$B9)+(Assumptions!$B$3-Assumptions!$B$4+(AK$3/100)^2/2)*Assumptions!$B$9)/((AK$3/100)*Assumptions!$B$10)),0,1,FALSE)*Assumptions!$B$10*0.01)*0.5/(MAX(0,Assumptions!$B$2*EXP(-Assumptions!$B$4*Assumptions!$B$9)*NORMSDIST(((LN(Assumptions!$B$2/$B9)+(Assumptions!$B$3-Assumptions!$B$4+(AK$3/100)^2/2)*Assumptions!$B$9)/((AK$3/100)*Assumptions!$B$10)))-$B9*EXP(-Assumptions!$B$3*Assumptions!$B$9)*NORMSDIST((((LN(Assumptions!$B$2/$B9)+(Assumptions!$B$3-Assumptions!$B$4+(AK$3/100)^2/2)*Assumptions!$B$9)/((AK$3/100)*Assumptions!$B$10))-(AK$3/100)*Assumptions!$B$10)))))</f>
        <v/>
      </c>
      <c r="AL30" s="56">
        <f>IF((MAX(0,Assumptions!$B$2*EXP(-Assumptions!$B$4*Assumptions!$B$9)*NORMSDIST(((LN(Assumptions!$B$2/$B9)+(Assumptions!$B$3-Assumptions!$B$4+(AL$3/100)^2/2)*Assumptions!$B$9)/((AL$3/100)*Assumptions!$B$10)))-$B9*EXP(-Assumptions!$B$3*Assumptions!$B$9)*NORMSDIST((((LN(Assumptions!$B$2/$B9)+(Assumptions!$B$3-Assumptions!$B$4+(AL$3/100)^2/2)*Assumptions!$B$9)/((AL$3/100)*Assumptions!$B$10))-(AL$3/100)*Assumptions!$B$10))))&lt;=0,"",(Assumptions!$B$2*EXP(-Assumptions!$B$4*Assumptions!$B$9)*NORMDIST(((LN(Assumptions!$B$2/$B9)+(Assumptions!$B$3-Assumptions!$B$4+(AL$3/100)^2/2)*Assumptions!$B$9)/((AL$3/100)*Assumptions!$B$10)),0,1,FALSE)*Assumptions!$B$10*0.01)*0.5/(MAX(0,Assumptions!$B$2*EXP(-Assumptions!$B$4*Assumptions!$B$9)*NORMSDIST(((LN(Assumptions!$B$2/$B9)+(Assumptions!$B$3-Assumptions!$B$4+(AL$3/100)^2/2)*Assumptions!$B$9)/((AL$3/100)*Assumptions!$B$10)))-$B9*EXP(-Assumptions!$B$3*Assumptions!$B$9)*NORMSDIST((((LN(Assumptions!$B$2/$B9)+(Assumptions!$B$3-Assumptions!$B$4+(AL$3/100)^2/2)*Assumptions!$B$9)/((AL$3/100)*Assumptions!$B$10))-(AL$3/100)*Assumptions!$B$10)))))</f>
        <v/>
      </c>
      <c r="AM30" s="56">
        <f>IF((MAX(0,Assumptions!$B$2*EXP(-Assumptions!$B$4*Assumptions!$B$9)*NORMSDIST(((LN(Assumptions!$B$2/$B9)+(Assumptions!$B$3-Assumptions!$B$4+(AM$3/100)^2/2)*Assumptions!$B$9)/((AM$3/100)*Assumptions!$B$10)))-$B9*EXP(-Assumptions!$B$3*Assumptions!$B$9)*NORMSDIST((((LN(Assumptions!$B$2/$B9)+(Assumptions!$B$3-Assumptions!$B$4+(AM$3/100)^2/2)*Assumptions!$B$9)/((AM$3/100)*Assumptions!$B$10))-(AM$3/100)*Assumptions!$B$10))))&lt;=0,"",(Assumptions!$B$2*EXP(-Assumptions!$B$4*Assumptions!$B$9)*NORMDIST(((LN(Assumptions!$B$2/$B9)+(Assumptions!$B$3-Assumptions!$B$4+(AM$3/100)^2/2)*Assumptions!$B$9)/((AM$3/100)*Assumptions!$B$10)),0,1,FALSE)*Assumptions!$B$10*0.01)*0.5/(MAX(0,Assumptions!$B$2*EXP(-Assumptions!$B$4*Assumptions!$B$9)*NORMSDIST(((LN(Assumptions!$B$2/$B9)+(Assumptions!$B$3-Assumptions!$B$4+(AM$3/100)^2/2)*Assumptions!$B$9)/((AM$3/100)*Assumptions!$B$10)))-$B9*EXP(-Assumptions!$B$3*Assumptions!$B$9)*NORMSDIST((((LN(Assumptions!$B$2/$B9)+(Assumptions!$B$3-Assumptions!$B$4+(AM$3/100)^2/2)*Assumptions!$B$9)/((AM$3/100)*Assumptions!$B$10))-(AM$3/100)*Assumptions!$B$10)))))</f>
        <v/>
      </c>
      <c r="AN30" s="56">
        <f>IF((MAX(0,Assumptions!$B$2*EXP(-Assumptions!$B$4*Assumptions!$B$9)*NORMSDIST(((LN(Assumptions!$B$2/$B9)+(Assumptions!$B$3-Assumptions!$B$4+(AN$3/100)^2/2)*Assumptions!$B$9)/((AN$3/100)*Assumptions!$B$10)))-$B9*EXP(-Assumptions!$B$3*Assumptions!$B$9)*NORMSDIST((((LN(Assumptions!$B$2/$B9)+(Assumptions!$B$3-Assumptions!$B$4+(AN$3/100)^2/2)*Assumptions!$B$9)/((AN$3/100)*Assumptions!$B$10))-(AN$3/100)*Assumptions!$B$10))))&lt;=0,"",(Assumptions!$B$2*EXP(-Assumptions!$B$4*Assumptions!$B$9)*NORMDIST(((LN(Assumptions!$B$2/$B9)+(Assumptions!$B$3-Assumptions!$B$4+(AN$3/100)^2/2)*Assumptions!$B$9)/((AN$3/100)*Assumptions!$B$10)),0,1,FALSE)*Assumptions!$B$10*0.01)*0.5/(MAX(0,Assumptions!$B$2*EXP(-Assumptions!$B$4*Assumptions!$B$9)*NORMSDIST(((LN(Assumptions!$B$2/$B9)+(Assumptions!$B$3-Assumptions!$B$4+(AN$3/100)^2/2)*Assumptions!$B$9)/((AN$3/100)*Assumptions!$B$10)))-$B9*EXP(-Assumptions!$B$3*Assumptions!$B$9)*NORMSDIST((((LN(Assumptions!$B$2/$B9)+(Assumptions!$B$3-Assumptions!$B$4+(AN$3/100)^2/2)*Assumptions!$B$9)/((AN$3/100)*Assumptions!$B$10))-(AN$3/100)*Assumptions!$B$10)))))</f>
        <v/>
      </c>
      <c r="AO30" s="56">
        <f>IF((MAX(0,Assumptions!$B$2*EXP(-Assumptions!$B$4*Assumptions!$B$9)*NORMSDIST(((LN(Assumptions!$B$2/$B9)+(Assumptions!$B$3-Assumptions!$B$4+(AO$3/100)^2/2)*Assumptions!$B$9)/((AO$3/100)*Assumptions!$B$10)))-$B9*EXP(-Assumptions!$B$3*Assumptions!$B$9)*NORMSDIST((((LN(Assumptions!$B$2/$B9)+(Assumptions!$B$3-Assumptions!$B$4+(AO$3/100)^2/2)*Assumptions!$B$9)/((AO$3/100)*Assumptions!$B$10))-(AO$3/100)*Assumptions!$B$10))))&lt;=0,"",(Assumptions!$B$2*EXP(-Assumptions!$B$4*Assumptions!$B$9)*NORMDIST(((LN(Assumptions!$B$2/$B9)+(Assumptions!$B$3-Assumptions!$B$4+(AO$3/100)^2/2)*Assumptions!$B$9)/((AO$3/100)*Assumptions!$B$10)),0,1,FALSE)*Assumptions!$B$10*0.01)*0.5/(MAX(0,Assumptions!$B$2*EXP(-Assumptions!$B$4*Assumptions!$B$9)*NORMSDIST(((LN(Assumptions!$B$2/$B9)+(Assumptions!$B$3-Assumptions!$B$4+(AO$3/100)^2/2)*Assumptions!$B$9)/((AO$3/100)*Assumptions!$B$10)))-$B9*EXP(-Assumptions!$B$3*Assumptions!$B$9)*NORMSDIST((((LN(Assumptions!$B$2/$B9)+(Assumptions!$B$3-Assumptions!$B$4+(AO$3/100)^2/2)*Assumptions!$B$9)/((AO$3/100)*Assumptions!$B$10))-(AO$3/100)*Assumptions!$B$10)))))</f>
        <v/>
      </c>
      <c r="AP30" s="56">
        <f>IF((MAX(0,Assumptions!$B$2*EXP(-Assumptions!$B$4*Assumptions!$B$9)*NORMSDIST(((LN(Assumptions!$B$2/$B9)+(Assumptions!$B$3-Assumptions!$B$4+(AP$3/100)^2/2)*Assumptions!$B$9)/((AP$3/100)*Assumptions!$B$10)))-$B9*EXP(-Assumptions!$B$3*Assumptions!$B$9)*NORMSDIST((((LN(Assumptions!$B$2/$B9)+(Assumptions!$B$3-Assumptions!$B$4+(AP$3/100)^2/2)*Assumptions!$B$9)/((AP$3/100)*Assumptions!$B$10))-(AP$3/100)*Assumptions!$B$10))))&lt;=0,"",(Assumptions!$B$2*EXP(-Assumptions!$B$4*Assumptions!$B$9)*NORMDIST(((LN(Assumptions!$B$2/$B9)+(Assumptions!$B$3-Assumptions!$B$4+(AP$3/100)^2/2)*Assumptions!$B$9)/((AP$3/100)*Assumptions!$B$10)),0,1,FALSE)*Assumptions!$B$10*0.01)*0.5/(MAX(0,Assumptions!$B$2*EXP(-Assumptions!$B$4*Assumptions!$B$9)*NORMSDIST(((LN(Assumptions!$B$2/$B9)+(Assumptions!$B$3-Assumptions!$B$4+(AP$3/100)^2/2)*Assumptions!$B$9)/((AP$3/100)*Assumptions!$B$10)))-$B9*EXP(-Assumptions!$B$3*Assumptions!$B$9)*NORMSDIST((((LN(Assumptions!$B$2/$B9)+(Assumptions!$B$3-Assumptions!$B$4+(AP$3/100)^2/2)*Assumptions!$B$9)/((AP$3/100)*Assumptions!$B$10))-(AP$3/100)*Assumptions!$B$10)))))</f>
        <v/>
      </c>
      <c r="AQ30" s="56">
        <f>IF((MAX(0,Assumptions!$B$2*EXP(-Assumptions!$B$4*Assumptions!$B$9)*NORMSDIST(((LN(Assumptions!$B$2/$B9)+(Assumptions!$B$3-Assumptions!$B$4+(AQ$3/100)^2/2)*Assumptions!$B$9)/((AQ$3/100)*Assumptions!$B$10)))-$B9*EXP(-Assumptions!$B$3*Assumptions!$B$9)*NORMSDIST((((LN(Assumptions!$B$2/$B9)+(Assumptions!$B$3-Assumptions!$B$4+(AQ$3/100)^2/2)*Assumptions!$B$9)/((AQ$3/100)*Assumptions!$B$10))-(AQ$3/100)*Assumptions!$B$10))))&lt;=0,"",(Assumptions!$B$2*EXP(-Assumptions!$B$4*Assumptions!$B$9)*NORMDIST(((LN(Assumptions!$B$2/$B9)+(Assumptions!$B$3-Assumptions!$B$4+(AQ$3/100)^2/2)*Assumptions!$B$9)/((AQ$3/100)*Assumptions!$B$10)),0,1,FALSE)*Assumptions!$B$10*0.01)*0.5/(MAX(0,Assumptions!$B$2*EXP(-Assumptions!$B$4*Assumptions!$B$9)*NORMSDIST(((LN(Assumptions!$B$2/$B9)+(Assumptions!$B$3-Assumptions!$B$4+(AQ$3/100)^2/2)*Assumptions!$B$9)/((AQ$3/100)*Assumptions!$B$10)))-$B9*EXP(-Assumptions!$B$3*Assumptions!$B$9)*NORMSDIST((((LN(Assumptions!$B$2/$B9)+(Assumptions!$B$3-Assumptions!$B$4+(AQ$3/100)^2/2)*Assumptions!$B$9)/((AQ$3/100)*Assumptions!$B$10))-(AQ$3/100)*Assumptions!$B$10)))))</f>
        <v/>
      </c>
      <c r="AR30" s="56">
        <f>IF((MAX(0,Assumptions!$B$2*EXP(-Assumptions!$B$4*Assumptions!$B$9)*NORMSDIST(((LN(Assumptions!$B$2/$B9)+(Assumptions!$B$3-Assumptions!$B$4+(AR$3/100)^2/2)*Assumptions!$B$9)/((AR$3/100)*Assumptions!$B$10)))-$B9*EXP(-Assumptions!$B$3*Assumptions!$B$9)*NORMSDIST((((LN(Assumptions!$B$2/$B9)+(Assumptions!$B$3-Assumptions!$B$4+(AR$3/100)^2/2)*Assumptions!$B$9)/((AR$3/100)*Assumptions!$B$10))-(AR$3/100)*Assumptions!$B$10))))&lt;=0,"",(Assumptions!$B$2*EXP(-Assumptions!$B$4*Assumptions!$B$9)*NORMDIST(((LN(Assumptions!$B$2/$B9)+(Assumptions!$B$3-Assumptions!$B$4+(AR$3/100)^2/2)*Assumptions!$B$9)/((AR$3/100)*Assumptions!$B$10)),0,1,FALSE)*Assumptions!$B$10*0.01)*0.5/(MAX(0,Assumptions!$B$2*EXP(-Assumptions!$B$4*Assumptions!$B$9)*NORMSDIST(((LN(Assumptions!$B$2/$B9)+(Assumptions!$B$3-Assumptions!$B$4+(AR$3/100)^2/2)*Assumptions!$B$9)/((AR$3/100)*Assumptions!$B$10)))-$B9*EXP(-Assumptions!$B$3*Assumptions!$B$9)*NORMSDIST((((LN(Assumptions!$B$2/$B9)+(Assumptions!$B$3-Assumptions!$B$4+(AR$3/100)^2/2)*Assumptions!$B$9)/((AR$3/100)*Assumptions!$B$10))-(AR$3/100)*Assumptions!$B$10)))))</f>
        <v/>
      </c>
      <c r="AS30" s="56">
        <f>IF((MAX(0,Assumptions!$B$2*EXP(-Assumptions!$B$4*Assumptions!$B$9)*NORMSDIST(((LN(Assumptions!$B$2/$B9)+(Assumptions!$B$3-Assumptions!$B$4+(AS$3/100)^2/2)*Assumptions!$B$9)/((AS$3/100)*Assumptions!$B$10)))-$B9*EXP(-Assumptions!$B$3*Assumptions!$B$9)*NORMSDIST((((LN(Assumptions!$B$2/$B9)+(Assumptions!$B$3-Assumptions!$B$4+(AS$3/100)^2/2)*Assumptions!$B$9)/((AS$3/100)*Assumptions!$B$10))-(AS$3/100)*Assumptions!$B$10))))&lt;=0,"",(Assumptions!$B$2*EXP(-Assumptions!$B$4*Assumptions!$B$9)*NORMDIST(((LN(Assumptions!$B$2/$B9)+(Assumptions!$B$3-Assumptions!$B$4+(AS$3/100)^2/2)*Assumptions!$B$9)/((AS$3/100)*Assumptions!$B$10)),0,1,FALSE)*Assumptions!$B$10*0.01)*0.5/(MAX(0,Assumptions!$B$2*EXP(-Assumptions!$B$4*Assumptions!$B$9)*NORMSDIST(((LN(Assumptions!$B$2/$B9)+(Assumptions!$B$3-Assumptions!$B$4+(AS$3/100)^2/2)*Assumptions!$B$9)/((AS$3/100)*Assumptions!$B$10)))-$B9*EXP(-Assumptions!$B$3*Assumptions!$B$9)*NORMSDIST((((LN(Assumptions!$B$2/$B9)+(Assumptions!$B$3-Assumptions!$B$4+(AS$3/100)^2/2)*Assumptions!$B$9)/((AS$3/100)*Assumptions!$B$10))-(AS$3/100)*Assumptions!$B$10)))))</f>
        <v/>
      </c>
      <c r="AT30" s="56">
        <f>IF((MAX(0,Assumptions!$B$2*EXP(-Assumptions!$B$4*Assumptions!$B$9)*NORMSDIST(((LN(Assumptions!$B$2/$B9)+(Assumptions!$B$3-Assumptions!$B$4+(AT$3/100)^2/2)*Assumptions!$B$9)/((AT$3/100)*Assumptions!$B$10)))-$B9*EXP(-Assumptions!$B$3*Assumptions!$B$9)*NORMSDIST((((LN(Assumptions!$B$2/$B9)+(Assumptions!$B$3-Assumptions!$B$4+(AT$3/100)^2/2)*Assumptions!$B$9)/((AT$3/100)*Assumptions!$B$10))-(AT$3/100)*Assumptions!$B$10))))&lt;=0,"",(Assumptions!$B$2*EXP(-Assumptions!$B$4*Assumptions!$B$9)*NORMDIST(((LN(Assumptions!$B$2/$B9)+(Assumptions!$B$3-Assumptions!$B$4+(AT$3/100)^2/2)*Assumptions!$B$9)/((AT$3/100)*Assumptions!$B$10)),0,1,FALSE)*Assumptions!$B$10*0.01)*0.5/(MAX(0,Assumptions!$B$2*EXP(-Assumptions!$B$4*Assumptions!$B$9)*NORMSDIST(((LN(Assumptions!$B$2/$B9)+(Assumptions!$B$3-Assumptions!$B$4+(AT$3/100)^2/2)*Assumptions!$B$9)/((AT$3/100)*Assumptions!$B$10)))-$B9*EXP(-Assumptions!$B$3*Assumptions!$B$9)*NORMSDIST((((LN(Assumptions!$B$2/$B9)+(Assumptions!$B$3-Assumptions!$B$4+(AT$3/100)^2/2)*Assumptions!$B$9)/((AT$3/100)*Assumptions!$B$10))-(AT$3/100)*Assumptions!$B$10)))))</f>
        <v/>
      </c>
      <c r="AU30" s="56">
        <f>IF((MAX(0,Assumptions!$B$2*EXP(-Assumptions!$B$4*Assumptions!$B$9)*NORMSDIST(((LN(Assumptions!$B$2/$B9)+(Assumptions!$B$3-Assumptions!$B$4+(AU$3/100)^2/2)*Assumptions!$B$9)/((AU$3/100)*Assumptions!$B$10)))-$B9*EXP(-Assumptions!$B$3*Assumptions!$B$9)*NORMSDIST((((LN(Assumptions!$B$2/$B9)+(Assumptions!$B$3-Assumptions!$B$4+(AU$3/100)^2/2)*Assumptions!$B$9)/((AU$3/100)*Assumptions!$B$10))-(AU$3/100)*Assumptions!$B$10))))&lt;=0,"",(Assumptions!$B$2*EXP(-Assumptions!$B$4*Assumptions!$B$9)*NORMDIST(((LN(Assumptions!$B$2/$B9)+(Assumptions!$B$3-Assumptions!$B$4+(AU$3/100)^2/2)*Assumptions!$B$9)/((AU$3/100)*Assumptions!$B$10)),0,1,FALSE)*Assumptions!$B$10*0.01)*0.5/(MAX(0,Assumptions!$B$2*EXP(-Assumptions!$B$4*Assumptions!$B$9)*NORMSDIST(((LN(Assumptions!$B$2/$B9)+(Assumptions!$B$3-Assumptions!$B$4+(AU$3/100)^2/2)*Assumptions!$B$9)/((AU$3/100)*Assumptions!$B$10)))-$B9*EXP(-Assumptions!$B$3*Assumptions!$B$9)*NORMSDIST((((LN(Assumptions!$B$2/$B9)+(Assumptions!$B$3-Assumptions!$B$4+(AU$3/100)^2/2)*Assumptions!$B$9)/((AU$3/100)*Assumptions!$B$10))-(AU$3/100)*Assumptions!$B$10)))))</f>
        <v/>
      </c>
      <c r="AV30" s="56">
        <f>IF((MAX(0,Assumptions!$B$2*EXP(-Assumptions!$B$4*Assumptions!$B$9)*NORMSDIST(((LN(Assumptions!$B$2/$B9)+(Assumptions!$B$3-Assumptions!$B$4+(AV$3/100)^2/2)*Assumptions!$B$9)/((AV$3/100)*Assumptions!$B$10)))-$B9*EXP(-Assumptions!$B$3*Assumptions!$B$9)*NORMSDIST((((LN(Assumptions!$B$2/$B9)+(Assumptions!$B$3-Assumptions!$B$4+(AV$3/100)^2/2)*Assumptions!$B$9)/((AV$3/100)*Assumptions!$B$10))-(AV$3/100)*Assumptions!$B$10))))&lt;=0,"",(Assumptions!$B$2*EXP(-Assumptions!$B$4*Assumptions!$B$9)*NORMDIST(((LN(Assumptions!$B$2/$B9)+(Assumptions!$B$3-Assumptions!$B$4+(AV$3/100)^2/2)*Assumptions!$B$9)/((AV$3/100)*Assumptions!$B$10)),0,1,FALSE)*Assumptions!$B$10*0.01)*0.5/(MAX(0,Assumptions!$B$2*EXP(-Assumptions!$B$4*Assumptions!$B$9)*NORMSDIST(((LN(Assumptions!$B$2/$B9)+(Assumptions!$B$3-Assumptions!$B$4+(AV$3/100)^2/2)*Assumptions!$B$9)/((AV$3/100)*Assumptions!$B$10)))-$B9*EXP(-Assumptions!$B$3*Assumptions!$B$9)*NORMSDIST((((LN(Assumptions!$B$2/$B9)+(Assumptions!$B$3-Assumptions!$B$4+(AV$3/100)^2/2)*Assumptions!$B$9)/((AV$3/100)*Assumptions!$B$10))-(AV$3/100)*Assumptions!$B$10)))))</f>
        <v/>
      </c>
    </row>
    <row r="31">
      <c r="A31" s="27" t="inlineStr">
        <is>
          <t>-0.50%</t>
        </is>
      </c>
      <c r="B31" s="47">
        <f>'BS Engine'!$B$8</f>
        <v/>
      </c>
      <c r="C31" s="28">
        <f>'BS Engine'!$C$8</f>
        <v/>
      </c>
      <c r="D31" s="55">
        <f>IF((MAX(0,Assumptions!$B$2*EXP(-Assumptions!$B$4*Assumptions!$B$9)*NORMSDIST(((LN(Assumptions!$B$2/$B10)+(Assumptions!$B$3-Assumptions!$B$4+(D$3/100)^2/2)*Assumptions!$B$9)/((D$3/100)*Assumptions!$B$10)))-$B10*EXP(-Assumptions!$B$3*Assumptions!$B$9)*NORMSDIST((((LN(Assumptions!$B$2/$B10)+(Assumptions!$B$3-Assumptions!$B$4+(D$3/100)^2/2)*Assumptions!$B$9)/((D$3/100)*Assumptions!$B$10))-(D$3/100)*Assumptions!$B$10))))&lt;=0,"",(Assumptions!$B$2*EXP(-Assumptions!$B$4*Assumptions!$B$9)*NORMDIST(((LN(Assumptions!$B$2/$B10)+(Assumptions!$B$3-Assumptions!$B$4+(D$3/100)^2/2)*Assumptions!$B$9)/((D$3/100)*Assumptions!$B$10)),0,1,FALSE)*Assumptions!$B$10*0.01)*0.5/(MAX(0,Assumptions!$B$2*EXP(-Assumptions!$B$4*Assumptions!$B$9)*NORMSDIST(((LN(Assumptions!$B$2/$B10)+(Assumptions!$B$3-Assumptions!$B$4+(D$3/100)^2/2)*Assumptions!$B$9)/((D$3/100)*Assumptions!$B$10)))-$B10*EXP(-Assumptions!$B$3*Assumptions!$B$9)*NORMSDIST((((LN(Assumptions!$B$2/$B10)+(Assumptions!$B$3-Assumptions!$B$4+(D$3/100)^2/2)*Assumptions!$B$9)/((D$3/100)*Assumptions!$B$10))-(D$3/100)*Assumptions!$B$10)))))</f>
        <v/>
      </c>
      <c r="E31" s="56">
        <f>IF((MAX(0,Assumptions!$B$2*EXP(-Assumptions!$B$4*Assumptions!$B$9)*NORMSDIST(((LN(Assumptions!$B$2/$B10)+(Assumptions!$B$3-Assumptions!$B$4+(E$3/100)^2/2)*Assumptions!$B$9)/((E$3/100)*Assumptions!$B$10)))-$B10*EXP(-Assumptions!$B$3*Assumptions!$B$9)*NORMSDIST((((LN(Assumptions!$B$2/$B10)+(Assumptions!$B$3-Assumptions!$B$4+(E$3/100)^2/2)*Assumptions!$B$9)/((E$3/100)*Assumptions!$B$10))-(E$3/100)*Assumptions!$B$10))))&lt;=0,"",(Assumptions!$B$2*EXP(-Assumptions!$B$4*Assumptions!$B$9)*NORMDIST(((LN(Assumptions!$B$2/$B10)+(Assumptions!$B$3-Assumptions!$B$4+(E$3/100)^2/2)*Assumptions!$B$9)/((E$3/100)*Assumptions!$B$10)),0,1,FALSE)*Assumptions!$B$10*0.01)*0.5/(MAX(0,Assumptions!$B$2*EXP(-Assumptions!$B$4*Assumptions!$B$9)*NORMSDIST(((LN(Assumptions!$B$2/$B10)+(Assumptions!$B$3-Assumptions!$B$4+(E$3/100)^2/2)*Assumptions!$B$9)/((E$3/100)*Assumptions!$B$10)))-$B10*EXP(-Assumptions!$B$3*Assumptions!$B$9)*NORMSDIST((((LN(Assumptions!$B$2/$B10)+(Assumptions!$B$3-Assumptions!$B$4+(E$3/100)^2/2)*Assumptions!$B$9)/((E$3/100)*Assumptions!$B$10))-(E$3/100)*Assumptions!$B$10)))))</f>
        <v/>
      </c>
      <c r="F31" s="56">
        <f>IF((MAX(0,Assumptions!$B$2*EXP(-Assumptions!$B$4*Assumptions!$B$9)*NORMSDIST(((LN(Assumptions!$B$2/$B10)+(Assumptions!$B$3-Assumptions!$B$4+(F$3/100)^2/2)*Assumptions!$B$9)/((F$3/100)*Assumptions!$B$10)))-$B10*EXP(-Assumptions!$B$3*Assumptions!$B$9)*NORMSDIST((((LN(Assumptions!$B$2/$B10)+(Assumptions!$B$3-Assumptions!$B$4+(F$3/100)^2/2)*Assumptions!$B$9)/((F$3/100)*Assumptions!$B$10))-(F$3/100)*Assumptions!$B$10))))&lt;=0,"",(Assumptions!$B$2*EXP(-Assumptions!$B$4*Assumptions!$B$9)*NORMDIST(((LN(Assumptions!$B$2/$B10)+(Assumptions!$B$3-Assumptions!$B$4+(F$3/100)^2/2)*Assumptions!$B$9)/((F$3/100)*Assumptions!$B$10)),0,1,FALSE)*Assumptions!$B$10*0.01)*0.5/(MAX(0,Assumptions!$B$2*EXP(-Assumptions!$B$4*Assumptions!$B$9)*NORMSDIST(((LN(Assumptions!$B$2/$B10)+(Assumptions!$B$3-Assumptions!$B$4+(F$3/100)^2/2)*Assumptions!$B$9)/((F$3/100)*Assumptions!$B$10)))-$B10*EXP(-Assumptions!$B$3*Assumptions!$B$9)*NORMSDIST((((LN(Assumptions!$B$2/$B10)+(Assumptions!$B$3-Assumptions!$B$4+(F$3/100)^2/2)*Assumptions!$B$9)/((F$3/100)*Assumptions!$B$10))-(F$3/100)*Assumptions!$B$10)))))</f>
        <v/>
      </c>
      <c r="G31" s="56">
        <f>IF((MAX(0,Assumptions!$B$2*EXP(-Assumptions!$B$4*Assumptions!$B$9)*NORMSDIST(((LN(Assumptions!$B$2/$B10)+(Assumptions!$B$3-Assumptions!$B$4+(G$3/100)^2/2)*Assumptions!$B$9)/((G$3/100)*Assumptions!$B$10)))-$B10*EXP(-Assumptions!$B$3*Assumptions!$B$9)*NORMSDIST((((LN(Assumptions!$B$2/$B10)+(Assumptions!$B$3-Assumptions!$B$4+(G$3/100)^2/2)*Assumptions!$B$9)/((G$3/100)*Assumptions!$B$10))-(G$3/100)*Assumptions!$B$10))))&lt;=0,"",(Assumptions!$B$2*EXP(-Assumptions!$B$4*Assumptions!$B$9)*NORMDIST(((LN(Assumptions!$B$2/$B10)+(Assumptions!$B$3-Assumptions!$B$4+(G$3/100)^2/2)*Assumptions!$B$9)/((G$3/100)*Assumptions!$B$10)),0,1,FALSE)*Assumptions!$B$10*0.01)*0.5/(MAX(0,Assumptions!$B$2*EXP(-Assumptions!$B$4*Assumptions!$B$9)*NORMSDIST(((LN(Assumptions!$B$2/$B10)+(Assumptions!$B$3-Assumptions!$B$4+(G$3/100)^2/2)*Assumptions!$B$9)/((G$3/100)*Assumptions!$B$10)))-$B10*EXP(-Assumptions!$B$3*Assumptions!$B$9)*NORMSDIST((((LN(Assumptions!$B$2/$B10)+(Assumptions!$B$3-Assumptions!$B$4+(G$3/100)^2/2)*Assumptions!$B$9)/((G$3/100)*Assumptions!$B$10))-(G$3/100)*Assumptions!$B$10)))))</f>
        <v/>
      </c>
      <c r="H31" s="56">
        <f>IF((MAX(0,Assumptions!$B$2*EXP(-Assumptions!$B$4*Assumptions!$B$9)*NORMSDIST(((LN(Assumptions!$B$2/$B10)+(Assumptions!$B$3-Assumptions!$B$4+(H$3/100)^2/2)*Assumptions!$B$9)/((H$3/100)*Assumptions!$B$10)))-$B10*EXP(-Assumptions!$B$3*Assumptions!$B$9)*NORMSDIST((((LN(Assumptions!$B$2/$B10)+(Assumptions!$B$3-Assumptions!$B$4+(H$3/100)^2/2)*Assumptions!$B$9)/((H$3/100)*Assumptions!$B$10))-(H$3/100)*Assumptions!$B$10))))&lt;=0,"",(Assumptions!$B$2*EXP(-Assumptions!$B$4*Assumptions!$B$9)*NORMDIST(((LN(Assumptions!$B$2/$B10)+(Assumptions!$B$3-Assumptions!$B$4+(H$3/100)^2/2)*Assumptions!$B$9)/((H$3/100)*Assumptions!$B$10)),0,1,FALSE)*Assumptions!$B$10*0.01)*0.5/(MAX(0,Assumptions!$B$2*EXP(-Assumptions!$B$4*Assumptions!$B$9)*NORMSDIST(((LN(Assumptions!$B$2/$B10)+(Assumptions!$B$3-Assumptions!$B$4+(H$3/100)^2/2)*Assumptions!$B$9)/((H$3/100)*Assumptions!$B$10)))-$B10*EXP(-Assumptions!$B$3*Assumptions!$B$9)*NORMSDIST((((LN(Assumptions!$B$2/$B10)+(Assumptions!$B$3-Assumptions!$B$4+(H$3/100)^2/2)*Assumptions!$B$9)/((H$3/100)*Assumptions!$B$10))-(H$3/100)*Assumptions!$B$10)))))</f>
        <v/>
      </c>
      <c r="I31" s="56">
        <f>IF((MAX(0,Assumptions!$B$2*EXP(-Assumptions!$B$4*Assumptions!$B$9)*NORMSDIST(((LN(Assumptions!$B$2/$B10)+(Assumptions!$B$3-Assumptions!$B$4+(I$3/100)^2/2)*Assumptions!$B$9)/((I$3/100)*Assumptions!$B$10)))-$B10*EXP(-Assumptions!$B$3*Assumptions!$B$9)*NORMSDIST((((LN(Assumptions!$B$2/$B10)+(Assumptions!$B$3-Assumptions!$B$4+(I$3/100)^2/2)*Assumptions!$B$9)/((I$3/100)*Assumptions!$B$10))-(I$3/100)*Assumptions!$B$10))))&lt;=0,"",(Assumptions!$B$2*EXP(-Assumptions!$B$4*Assumptions!$B$9)*NORMDIST(((LN(Assumptions!$B$2/$B10)+(Assumptions!$B$3-Assumptions!$B$4+(I$3/100)^2/2)*Assumptions!$B$9)/((I$3/100)*Assumptions!$B$10)),0,1,FALSE)*Assumptions!$B$10*0.01)*0.5/(MAX(0,Assumptions!$B$2*EXP(-Assumptions!$B$4*Assumptions!$B$9)*NORMSDIST(((LN(Assumptions!$B$2/$B10)+(Assumptions!$B$3-Assumptions!$B$4+(I$3/100)^2/2)*Assumptions!$B$9)/((I$3/100)*Assumptions!$B$10)))-$B10*EXP(-Assumptions!$B$3*Assumptions!$B$9)*NORMSDIST((((LN(Assumptions!$B$2/$B10)+(Assumptions!$B$3-Assumptions!$B$4+(I$3/100)^2/2)*Assumptions!$B$9)/((I$3/100)*Assumptions!$B$10))-(I$3/100)*Assumptions!$B$10)))))</f>
        <v/>
      </c>
      <c r="J31" s="56">
        <f>IF((MAX(0,Assumptions!$B$2*EXP(-Assumptions!$B$4*Assumptions!$B$9)*NORMSDIST(((LN(Assumptions!$B$2/$B10)+(Assumptions!$B$3-Assumptions!$B$4+(J$3/100)^2/2)*Assumptions!$B$9)/((J$3/100)*Assumptions!$B$10)))-$B10*EXP(-Assumptions!$B$3*Assumptions!$B$9)*NORMSDIST((((LN(Assumptions!$B$2/$B10)+(Assumptions!$B$3-Assumptions!$B$4+(J$3/100)^2/2)*Assumptions!$B$9)/((J$3/100)*Assumptions!$B$10))-(J$3/100)*Assumptions!$B$10))))&lt;=0,"",(Assumptions!$B$2*EXP(-Assumptions!$B$4*Assumptions!$B$9)*NORMDIST(((LN(Assumptions!$B$2/$B10)+(Assumptions!$B$3-Assumptions!$B$4+(J$3/100)^2/2)*Assumptions!$B$9)/((J$3/100)*Assumptions!$B$10)),0,1,FALSE)*Assumptions!$B$10*0.01)*0.5/(MAX(0,Assumptions!$B$2*EXP(-Assumptions!$B$4*Assumptions!$B$9)*NORMSDIST(((LN(Assumptions!$B$2/$B10)+(Assumptions!$B$3-Assumptions!$B$4+(J$3/100)^2/2)*Assumptions!$B$9)/((J$3/100)*Assumptions!$B$10)))-$B10*EXP(-Assumptions!$B$3*Assumptions!$B$9)*NORMSDIST((((LN(Assumptions!$B$2/$B10)+(Assumptions!$B$3-Assumptions!$B$4+(J$3/100)^2/2)*Assumptions!$B$9)/((J$3/100)*Assumptions!$B$10))-(J$3/100)*Assumptions!$B$10)))))</f>
        <v/>
      </c>
      <c r="K31" s="56">
        <f>IF((MAX(0,Assumptions!$B$2*EXP(-Assumptions!$B$4*Assumptions!$B$9)*NORMSDIST(((LN(Assumptions!$B$2/$B10)+(Assumptions!$B$3-Assumptions!$B$4+(K$3/100)^2/2)*Assumptions!$B$9)/((K$3/100)*Assumptions!$B$10)))-$B10*EXP(-Assumptions!$B$3*Assumptions!$B$9)*NORMSDIST((((LN(Assumptions!$B$2/$B10)+(Assumptions!$B$3-Assumptions!$B$4+(K$3/100)^2/2)*Assumptions!$B$9)/((K$3/100)*Assumptions!$B$10))-(K$3/100)*Assumptions!$B$10))))&lt;=0,"",(Assumptions!$B$2*EXP(-Assumptions!$B$4*Assumptions!$B$9)*NORMDIST(((LN(Assumptions!$B$2/$B10)+(Assumptions!$B$3-Assumptions!$B$4+(K$3/100)^2/2)*Assumptions!$B$9)/((K$3/100)*Assumptions!$B$10)),0,1,FALSE)*Assumptions!$B$10*0.01)*0.5/(MAX(0,Assumptions!$B$2*EXP(-Assumptions!$B$4*Assumptions!$B$9)*NORMSDIST(((LN(Assumptions!$B$2/$B10)+(Assumptions!$B$3-Assumptions!$B$4+(K$3/100)^2/2)*Assumptions!$B$9)/((K$3/100)*Assumptions!$B$10)))-$B10*EXP(-Assumptions!$B$3*Assumptions!$B$9)*NORMSDIST((((LN(Assumptions!$B$2/$B10)+(Assumptions!$B$3-Assumptions!$B$4+(K$3/100)^2/2)*Assumptions!$B$9)/((K$3/100)*Assumptions!$B$10))-(K$3/100)*Assumptions!$B$10)))))</f>
        <v/>
      </c>
      <c r="L31" s="56">
        <f>IF((MAX(0,Assumptions!$B$2*EXP(-Assumptions!$B$4*Assumptions!$B$9)*NORMSDIST(((LN(Assumptions!$B$2/$B10)+(Assumptions!$B$3-Assumptions!$B$4+(L$3/100)^2/2)*Assumptions!$B$9)/((L$3/100)*Assumptions!$B$10)))-$B10*EXP(-Assumptions!$B$3*Assumptions!$B$9)*NORMSDIST((((LN(Assumptions!$B$2/$B10)+(Assumptions!$B$3-Assumptions!$B$4+(L$3/100)^2/2)*Assumptions!$B$9)/((L$3/100)*Assumptions!$B$10))-(L$3/100)*Assumptions!$B$10))))&lt;=0,"",(Assumptions!$B$2*EXP(-Assumptions!$B$4*Assumptions!$B$9)*NORMDIST(((LN(Assumptions!$B$2/$B10)+(Assumptions!$B$3-Assumptions!$B$4+(L$3/100)^2/2)*Assumptions!$B$9)/((L$3/100)*Assumptions!$B$10)),0,1,FALSE)*Assumptions!$B$10*0.01)*0.5/(MAX(0,Assumptions!$B$2*EXP(-Assumptions!$B$4*Assumptions!$B$9)*NORMSDIST(((LN(Assumptions!$B$2/$B10)+(Assumptions!$B$3-Assumptions!$B$4+(L$3/100)^2/2)*Assumptions!$B$9)/((L$3/100)*Assumptions!$B$10)))-$B10*EXP(-Assumptions!$B$3*Assumptions!$B$9)*NORMSDIST((((LN(Assumptions!$B$2/$B10)+(Assumptions!$B$3-Assumptions!$B$4+(L$3/100)^2/2)*Assumptions!$B$9)/((L$3/100)*Assumptions!$B$10))-(L$3/100)*Assumptions!$B$10)))))</f>
        <v/>
      </c>
      <c r="M31" s="56">
        <f>IF((MAX(0,Assumptions!$B$2*EXP(-Assumptions!$B$4*Assumptions!$B$9)*NORMSDIST(((LN(Assumptions!$B$2/$B10)+(Assumptions!$B$3-Assumptions!$B$4+(M$3/100)^2/2)*Assumptions!$B$9)/((M$3/100)*Assumptions!$B$10)))-$B10*EXP(-Assumptions!$B$3*Assumptions!$B$9)*NORMSDIST((((LN(Assumptions!$B$2/$B10)+(Assumptions!$B$3-Assumptions!$B$4+(M$3/100)^2/2)*Assumptions!$B$9)/((M$3/100)*Assumptions!$B$10))-(M$3/100)*Assumptions!$B$10))))&lt;=0,"",(Assumptions!$B$2*EXP(-Assumptions!$B$4*Assumptions!$B$9)*NORMDIST(((LN(Assumptions!$B$2/$B10)+(Assumptions!$B$3-Assumptions!$B$4+(M$3/100)^2/2)*Assumptions!$B$9)/((M$3/100)*Assumptions!$B$10)),0,1,FALSE)*Assumptions!$B$10*0.01)*0.5/(MAX(0,Assumptions!$B$2*EXP(-Assumptions!$B$4*Assumptions!$B$9)*NORMSDIST(((LN(Assumptions!$B$2/$B10)+(Assumptions!$B$3-Assumptions!$B$4+(M$3/100)^2/2)*Assumptions!$B$9)/((M$3/100)*Assumptions!$B$10)))-$B10*EXP(-Assumptions!$B$3*Assumptions!$B$9)*NORMSDIST((((LN(Assumptions!$B$2/$B10)+(Assumptions!$B$3-Assumptions!$B$4+(M$3/100)^2/2)*Assumptions!$B$9)/((M$3/100)*Assumptions!$B$10))-(M$3/100)*Assumptions!$B$10)))))</f>
        <v/>
      </c>
      <c r="N31" s="56">
        <f>IF((MAX(0,Assumptions!$B$2*EXP(-Assumptions!$B$4*Assumptions!$B$9)*NORMSDIST(((LN(Assumptions!$B$2/$B10)+(Assumptions!$B$3-Assumptions!$B$4+(N$3/100)^2/2)*Assumptions!$B$9)/((N$3/100)*Assumptions!$B$10)))-$B10*EXP(-Assumptions!$B$3*Assumptions!$B$9)*NORMSDIST((((LN(Assumptions!$B$2/$B10)+(Assumptions!$B$3-Assumptions!$B$4+(N$3/100)^2/2)*Assumptions!$B$9)/((N$3/100)*Assumptions!$B$10))-(N$3/100)*Assumptions!$B$10))))&lt;=0,"",(Assumptions!$B$2*EXP(-Assumptions!$B$4*Assumptions!$B$9)*NORMDIST(((LN(Assumptions!$B$2/$B10)+(Assumptions!$B$3-Assumptions!$B$4+(N$3/100)^2/2)*Assumptions!$B$9)/((N$3/100)*Assumptions!$B$10)),0,1,FALSE)*Assumptions!$B$10*0.01)*0.5/(MAX(0,Assumptions!$B$2*EXP(-Assumptions!$B$4*Assumptions!$B$9)*NORMSDIST(((LN(Assumptions!$B$2/$B10)+(Assumptions!$B$3-Assumptions!$B$4+(N$3/100)^2/2)*Assumptions!$B$9)/((N$3/100)*Assumptions!$B$10)))-$B10*EXP(-Assumptions!$B$3*Assumptions!$B$9)*NORMSDIST((((LN(Assumptions!$B$2/$B10)+(Assumptions!$B$3-Assumptions!$B$4+(N$3/100)^2/2)*Assumptions!$B$9)/((N$3/100)*Assumptions!$B$10))-(N$3/100)*Assumptions!$B$10)))))</f>
        <v/>
      </c>
      <c r="O31" s="56">
        <f>IF((MAX(0,Assumptions!$B$2*EXP(-Assumptions!$B$4*Assumptions!$B$9)*NORMSDIST(((LN(Assumptions!$B$2/$B10)+(Assumptions!$B$3-Assumptions!$B$4+(O$3/100)^2/2)*Assumptions!$B$9)/((O$3/100)*Assumptions!$B$10)))-$B10*EXP(-Assumptions!$B$3*Assumptions!$B$9)*NORMSDIST((((LN(Assumptions!$B$2/$B10)+(Assumptions!$B$3-Assumptions!$B$4+(O$3/100)^2/2)*Assumptions!$B$9)/((O$3/100)*Assumptions!$B$10))-(O$3/100)*Assumptions!$B$10))))&lt;=0,"",(Assumptions!$B$2*EXP(-Assumptions!$B$4*Assumptions!$B$9)*NORMDIST(((LN(Assumptions!$B$2/$B10)+(Assumptions!$B$3-Assumptions!$B$4+(O$3/100)^2/2)*Assumptions!$B$9)/((O$3/100)*Assumptions!$B$10)),0,1,FALSE)*Assumptions!$B$10*0.01)*0.5/(MAX(0,Assumptions!$B$2*EXP(-Assumptions!$B$4*Assumptions!$B$9)*NORMSDIST(((LN(Assumptions!$B$2/$B10)+(Assumptions!$B$3-Assumptions!$B$4+(O$3/100)^2/2)*Assumptions!$B$9)/((O$3/100)*Assumptions!$B$10)))-$B10*EXP(-Assumptions!$B$3*Assumptions!$B$9)*NORMSDIST((((LN(Assumptions!$B$2/$B10)+(Assumptions!$B$3-Assumptions!$B$4+(O$3/100)^2/2)*Assumptions!$B$9)/((O$3/100)*Assumptions!$B$10))-(O$3/100)*Assumptions!$B$10)))))</f>
        <v/>
      </c>
      <c r="P31" s="56">
        <f>IF((MAX(0,Assumptions!$B$2*EXP(-Assumptions!$B$4*Assumptions!$B$9)*NORMSDIST(((LN(Assumptions!$B$2/$B10)+(Assumptions!$B$3-Assumptions!$B$4+(P$3/100)^2/2)*Assumptions!$B$9)/((P$3/100)*Assumptions!$B$10)))-$B10*EXP(-Assumptions!$B$3*Assumptions!$B$9)*NORMSDIST((((LN(Assumptions!$B$2/$B10)+(Assumptions!$B$3-Assumptions!$B$4+(P$3/100)^2/2)*Assumptions!$B$9)/((P$3/100)*Assumptions!$B$10))-(P$3/100)*Assumptions!$B$10))))&lt;=0,"",(Assumptions!$B$2*EXP(-Assumptions!$B$4*Assumptions!$B$9)*NORMDIST(((LN(Assumptions!$B$2/$B10)+(Assumptions!$B$3-Assumptions!$B$4+(P$3/100)^2/2)*Assumptions!$B$9)/((P$3/100)*Assumptions!$B$10)),0,1,FALSE)*Assumptions!$B$10*0.01)*0.5/(MAX(0,Assumptions!$B$2*EXP(-Assumptions!$B$4*Assumptions!$B$9)*NORMSDIST(((LN(Assumptions!$B$2/$B10)+(Assumptions!$B$3-Assumptions!$B$4+(P$3/100)^2/2)*Assumptions!$B$9)/((P$3/100)*Assumptions!$B$10)))-$B10*EXP(-Assumptions!$B$3*Assumptions!$B$9)*NORMSDIST((((LN(Assumptions!$B$2/$B10)+(Assumptions!$B$3-Assumptions!$B$4+(P$3/100)^2/2)*Assumptions!$B$9)/((P$3/100)*Assumptions!$B$10))-(P$3/100)*Assumptions!$B$10)))))</f>
        <v/>
      </c>
      <c r="Q31" s="56">
        <f>IF((MAX(0,Assumptions!$B$2*EXP(-Assumptions!$B$4*Assumptions!$B$9)*NORMSDIST(((LN(Assumptions!$B$2/$B10)+(Assumptions!$B$3-Assumptions!$B$4+(Q$3/100)^2/2)*Assumptions!$B$9)/((Q$3/100)*Assumptions!$B$10)))-$B10*EXP(-Assumptions!$B$3*Assumptions!$B$9)*NORMSDIST((((LN(Assumptions!$B$2/$B10)+(Assumptions!$B$3-Assumptions!$B$4+(Q$3/100)^2/2)*Assumptions!$B$9)/((Q$3/100)*Assumptions!$B$10))-(Q$3/100)*Assumptions!$B$10))))&lt;=0,"",(Assumptions!$B$2*EXP(-Assumptions!$B$4*Assumptions!$B$9)*NORMDIST(((LN(Assumptions!$B$2/$B10)+(Assumptions!$B$3-Assumptions!$B$4+(Q$3/100)^2/2)*Assumptions!$B$9)/((Q$3/100)*Assumptions!$B$10)),0,1,FALSE)*Assumptions!$B$10*0.01)*0.5/(MAX(0,Assumptions!$B$2*EXP(-Assumptions!$B$4*Assumptions!$B$9)*NORMSDIST(((LN(Assumptions!$B$2/$B10)+(Assumptions!$B$3-Assumptions!$B$4+(Q$3/100)^2/2)*Assumptions!$B$9)/((Q$3/100)*Assumptions!$B$10)))-$B10*EXP(-Assumptions!$B$3*Assumptions!$B$9)*NORMSDIST((((LN(Assumptions!$B$2/$B10)+(Assumptions!$B$3-Assumptions!$B$4+(Q$3/100)^2/2)*Assumptions!$B$9)/((Q$3/100)*Assumptions!$B$10))-(Q$3/100)*Assumptions!$B$10)))))</f>
        <v/>
      </c>
      <c r="R31" s="56">
        <f>IF((MAX(0,Assumptions!$B$2*EXP(-Assumptions!$B$4*Assumptions!$B$9)*NORMSDIST(((LN(Assumptions!$B$2/$B10)+(Assumptions!$B$3-Assumptions!$B$4+(R$3/100)^2/2)*Assumptions!$B$9)/((R$3/100)*Assumptions!$B$10)))-$B10*EXP(-Assumptions!$B$3*Assumptions!$B$9)*NORMSDIST((((LN(Assumptions!$B$2/$B10)+(Assumptions!$B$3-Assumptions!$B$4+(R$3/100)^2/2)*Assumptions!$B$9)/((R$3/100)*Assumptions!$B$10))-(R$3/100)*Assumptions!$B$10))))&lt;=0,"",(Assumptions!$B$2*EXP(-Assumptions!$B$4*Assumptions!$B$9)*NORMDIST(((LN(Assumptions!$B$2/$B10)+(Assumptions!$B$3-Assumptions!$B$4+(R$3/100)^2/2)*Assumptions!$B$9)/((R$3/100)*Assumptions!$B$10)),0,1,FALSE)*Assumptions!$B$10*0.01)*0.5/(MAX(0,Assumptions!$B$2*EXP(-Assumptions!$B$4*Assumptions!$B$9)*NORMSDIST(((LN(Assumptions!$B$2/$B10)+(Assumptions!$B$3-Assumptions!$B$4+(R$3/100)^2/2)*Assumptions!$B$9)/((R$3/100)*Assumptions!$B$10)))-$B10*EXP(-Assumptions!$B$3*Assumptions!$B$9)*NORMSDIST((((LN(Assumptions!$B$2/$B10)+(Assumptions!$B$3-Assumptions!$B$4+(R$3/100)^2/2)*Assumptions!$B$9)/((R$3/100)*Assumptions!$B$10))-(R$3/100)*Assumptions!$B$10)))))</f>
        <v/>
      </c>
      <c r="S31" s="56">
        <f>IF((MAX(0,Assumptions!$B$2*EXP(-Assumptions!$B$4*Assumptions!$B$9)*NORMSDIST(((LN(Assumptions!$B$2/$B10)+(Assumptions!$B$3-Assumptions!$B$4+(S$3/100)^2/2)*Assumptions!$B$9)/((S$3/100)*Assumptions!$B$10)))-$B10*EXP(-Assumptions!$B$3*Assumptions!$B$9)*NORMSDIST((((LN(Assumptions!$B$2/$B10)+(Assumptions!$B$3-Assumptions!$B$4+(S$3/100)^2/2)*Assumptions!$B$9)/((S$3/100)*Assumptions!$B$10))-(S$3/100)*Assumptions!$B$10))))&lt;=0,"",(Assumptions!$B$2*EXP(-Assumptions!$B$4*Assumptions!$B$9)*NORMDIST(((LN(Assumptions!$B$2/$B10)+(Assumptions!$B$3-Assumptions!$B$4+(S$3/100)^2/2)*Assumptions!$B$9)/((S$3/100)*Assumptions!$B$10)),0,1,FALSE)*Assumptions!$B$10*0.01)*0.5/(MAX(0,Assumptions!$B$2*EXP(-Assumptions!$B$4*Assumptions!$B$9)*NORMSDIST(((LN(Assumptions!$B$2/$B10)+(Assumptions!$B$3-Assumptions!$B$4+(S$3/100)^2/2)*Assumptions!$B$9)/((S$3/100)*Assumptions!$B$10)))-$B10*EXP(-Assumptions!$B$3*Assumptions!$B$9)*NORMSDIST((((LN(Assumptions!$B$2/$B10)+(Assumptions!$B$3-Assumptions!$B$4+(S$3/100)^2/2)*Assumptions!$B$9)/((S$3/100)*Assumptions!$B$10))-(S$3/100)*Assumptions!$B$10)))))</f>
        <v/>
      </c>
      <c r="T31" s="56">
        <f>IF((MAX(0,Assumptions!$B$2*EXP(-Assumptions!$B$4*Assumptions!$B$9)*NORMSDIST(((LN(Assumptions!$B$2/$B10)+(Assumptions!$B$3-Assumptions!$B$4+(T$3/100)^2/2)*Assumptions!$B$9)/((T$3/100)*Assumptions!$B$10)))-$B10*EXP(-Assumptions!$B$3*Assumptions!$B$9)*NORMSDIST((((LN(Assumptions!$B$2/$B10)+(Assumptions!$B$3-Assumptions!$B$4+(T$3/100)^2/2)*Assumptions!$B$9)/((T$3/100)*Assumptions!$B$10))-(T$3/100)*Assumptions!$B$10))))&lt;=0,"",(Assumptions!$B$2*EXP(-Assumptions!$B$4*Assumptions!$B$9)*NORMDIST(((LN(Assumptions!$B$2/$B10)+(Assumptions!$B$3-Assumptions!$B$4+(T$3/100)^2/2)*Assumptions!$B$9)/((T$3/100)*Assumptions!$B$10)),0,1,FALSE)*Assumptions!$B$10*0.01)*0.5/(MAX(0,Assumptions!$B$2*EXP(-Assumptions!$B$4*Assumptions!$B$9)*NORMSDIST(((LN(Assumptions!$B$2/$B10)+(Assumptions!$B$3-Assumptions!$B$4+(T$3/100)^2/2)*Assumptions!$B$9)/((T$3/100)*Assumptions!$B$10)))-$B10*EXP(-Assumptions!$B$3*Assumptions!$B$9)*NORMSDIST((((LN(Assumptions!$B$2/$B10)+(Assumptions!$B$3-Assumptions!$B$4+(T$3/100)^2/2)*Assumptions!$B$9)/((T$3/100)*Assumptions!$B$10))-(T$3/100)*Assumptions!$B$10)))))</f>
        <v/>
      </c>
      <c r="U31" s="56">
        <f>IF((MAX(0,Assumptions!$B$2*EXP(-Assumptions!$B$4*Assumptions!$B$9)*NORMSDIST(((LN(Assumptions!$B$2/$B10)+(Assumptions!$B$3-Assumptions!$B$4+(U$3/100)^2/2)*Assumptions!$B$9)/((U$3/100)*Assumptions!$B$10)))-$B10*EXP(-Assumptions!$B$3*Assumptions!$B$9)*NORMSDIST((((LN(Assumptions!$B$2/$B10)+(Assumptions!$B$3-Assumptions!$B$4+(U$3/100)^2/2)*Assumptions!$B$9)/((U$3/100)*Assumptions!$B$10))-(U$3/100)*Assumptions!$B$10))))&lt;=0,"",(Assumptions!$B$2*EXP(-Assumptions!$B$4*Assumptions!$B$9)*NORMDIST(((LN(Assumptions!$B$2/$B10)+(Assumptions!$B$3-Assumptions!$B$4+(U$3/100)^2/2)*Assumptions!$B$9)/((U$3/100)*Assumptions!$B$10)),0,1,FALSE)*Assumptions!$B$10*0.01)*0.5/(MAX(0,Assumptions!$B$2*EXP(-Assumptions!$B$4*Assumptions!$B$9)*NORMSDIST(((LN(Assumptions!$B$2/$B10)+(Assumptions!$B$3-Assumptions!$B$4+(U$3/100)^2/2)*Assumptions!$B$9)/((U$3/100)*Assumptions!$B$10)))-$B10*EXP(-Assumptions!$B$3*Assumptions!$B$9)*NORMSDIST((((LN(Assumptions!$B$2/$B10)+(Assumptions!$B$3-Assumptions!$B$4+(U$3/100)^2/2)*Assumptions!$B$9)/((U$3/100)*Assumptions!$B$10))-(U$3/100)*Assumptions!$B$10)))))</f>
        <v/>
      </c>
      <c r="V31" s="56">
        <f>IF((MAX(0,Assumptions!$B$2*EXP(-Assumptions!$B$4*Assumptions!$B$9)*NORMSDIST(((LN(Assumptions!$B$2/$B10)+(Assumptions!$B$3-Assumptions!$B$4+(V$3/100)^2/2)*Assumptions!$B$9)/((V$3/100)*Assumptions!$B$10)))-$B10*EXP(-Assumptions!$B$3*Assumptions!$B$9)*NORMSDIST((((LN(Assumptions!$B$2/$B10)+(Assumptions!$B$3-Assumptions!$B$4+(V$3/100)^2/2)*Assumptions!$B$9)/((V$3/100)*Assumptions!$B$10))-(V$3/100)*Assumptions!$B$10))))&lt;=0,"",(Assumptions!$B$2*EXP(-Assumptions!$B$4*Assumptions!$B$9)*NORMDIST(((LN(Assumptions!$B$2/$B10)+(Assumptions!$B$3-Assumptions!$B$4+(V$3/100)^2/2)*Assumptions!$B$9)/((V$3/100)*Assumptions!$B$10)),0,1,FALSE)*Assumptions!$B$10*0.01)*0.5/(MAX(0,Assumptions!$B$2*EXP(-Assumptions!$B$4*Assumptions!$B$9)*NORMSDIST(((LN(Assumptions!$B$2/$B10)+(Assumptions!$B$3-Assumptions!$B$4+(V$3/100)^2/2)*Assumptions!$B$9)/((V$3/100)*Assumptions!$B$10)))-$B10*EXP(-Assumptions!$B$3*Assumptions!$B$9)*NORMSDIST((((LN(Assumptions!$B$2/$B10)+(Assumptions!$B$3-Assumptions!$B$4+(V$3/100)^2/2)*Assumptions!$B$9)/((V$3/100)*Assumptions!$B$10))-(V$3/100)*Assumptions!$B$10)))))</f>
        <v/>
      </c>
      <c r="W31" s="56">
        <f>IF((MAX(0,Assumptions!$B$2*EXP(-Assumptions!$B$4*Assumptions!$B$9)*NORMSDIST(((LN(Assumptions!$B$2/$B10)+(Assumptions!$B$3-Assumptions!$B$4+(W$3/100)^2/2)*Assumptions!$B$9)/((W$3/100)*Assumptions!$B$10)))-$B10*EXP(-Assumptions!$B$3*Assumptions!$B$9)*NORMSDIST((((LN(Assumptions!$B$2/$B10)+(Assumptions!$B$3-Assumptions!$B$4+(W$3/100)^2/2)*Assumptions!$B$9)/((W$3/100)*Assumptions!$B$10))-(W$3/100)*Assumptions!$B$10))))&lt;=0,"",(Assumptions!$B$2*EXP(-Assumptions!$B$4*Assumptions!$B$9)*NORMDIST(((LN(Assumptions!$B$2/$B10)+(Assumptions!$B$3-Assumptions!$B$4+(W$3/100)^2/2)*Assumptions!$B$9)/((W$3/100)*Assumptions!$B$10)),0,1,FALSE)*Assumptions!$B$10*0.01)*0.5/(MAX(0,Assumptions!$B$2*EXP(-Assumptions!$B$4*Assumptions!$B$9)*NORMSDIST(((LN(Assumptions!$B$2/$B10)+(Assumptions!$B$3-Assumptions!$B$4+(W$3/100)^2/2)*Assumptions!$B$9)/((W$3/100)*Assumptions!$B$10)))-$B10*EXP(-Assumptions!$B$3*Assumptions!$B$9)*NORMSDIST((((LN(Assumptions!$B$2/$B10)+(Assumptions!$B$3-Assumptions!$B$4+(W$3/100)^2/2)*Assumptions!$B$9)/((W$3/100)*Assumptions!$B$10))-(W$3/100)*Assumptions!$B$10)))))</f>
        <v/>
      </c>
      <c r="X31" s="56">
        <f>IF((MAX(0,Assumptions!$B$2*EXP(-Assumptions!$B$4*Assumptions!$B$9)*NORMSDIST(((LN(Assumptions!$B$2/$B10)+(Assumptions!$B$3-Assumptions!$B$4+(X$3/100)^2/2)*Assumptions!$B$9)/((X$3/100)*Assumptions!$B$10)))-$B10*EXP(-Assumptions!$B$3*Assumptions!$B$9)*NORMSDIST((((LN(Assumptions!$B$2/$B10)+(Assumptions!$B$3-Assumptions!$B$4+(X$3/100)^2/2)*Assumptions!$B$9)/((X$3/100)*Assumptions!$B$10))-(X$3/100)*Assumptions!$B$10))))&lt;=0,"",(Assumptions!$B$2*EXP(-Assumptions!$B$4*Assumptions!$B$9)*NORMDIST(((LN(Assumptions!$B$2/$B10)+(Assumptions!$B$3-Assumptions!$B$4+(X$3/100)^2/2)*Assumptions!$B$9)/((X$3/100)*Assumptions!$B$10)),0,1,FALSE)*Assumptions!$B$10*0.01)*0.5/(MAX(0,Assumptions!$B$2*EXP(-Assumptions!$B$4*Assumptions!$B$9)*NORMSDIST(((LN(Assumptions!$B$2/$B10)+(Assumptions!$B$3-Assumptions!$B$4+(X$3/100)^2/2)*Assumptions!$B$9)/((X$3/100)*Assumptions!$B$10)))-$B10*EXP(-Assumptions!$B$3*Assumptions!$B$9)*NORMSDIST((((LN(Assumptions!$B$2/$B10)+(Assumptions!$B$3-Assumptions!$B$4+(X$3/100)^2/2)*Assumptions!$B$9)/((X$3/100)*Assumptions!$B$10))-(X$3/100)*Assumptions!$B$10)))))</f>
        <v/>
      </c>
      <c r="Y31" s="56">
        <f>IF((MAX(0,Assumptions!$B$2*EXP(-Assumptions!$B$4*Assumptions!$B$9)*NORMSDIST(((LN(Assumptions!$B$2/$B10)+(Assumptions!$B$3-Assumptions!$B$4+(Y$3/100)^2/2)*Assumptions!$B$9)/((Y$3/100)*Assumptions!$B$10)))-$B10*EXP(-Assumptions!$B$3*Assumptions!$B$9)*NORMSDIST((((LN(Assumptions!$B$2/$B10)+(Assumptions!$B$3-Assumptions!$B$4+(Y$3/100)^2/2)*Assumptions!$B$9)/((Y$3/100)*Assumptions!$B$10))-(Y$3/100)*Assumptions!$B$10))))&lt;=0,"",(Assumptions!$B$2*EXP(-Assumptions!$B$4*Assumptions!$B$9)*NORMDIST(((LN(Assumptions!$B$2/$B10)+(Assumptions!$B$3-Assumptions!$B$4+(Y$3/100)^2/2)*Assumptions!$B$9)/((Y$3/100)*Assumptions!$B$10)),0,1,FALSE)*Assumptions!$B$10*0.01)*0.5/(MAX(0,Assumptions!$B$2*EXP(-Assumptions!$B$4*Assumptions!$B$9)*NORMSDIST(((LN(Assumptions!$B$2/$B10)+(Assumptions!$B$3-Assumptions!$B$4+(Y$3/100)^2/2)*Assumptions!$B$9)/((Y$3/100)*Assumptions!$B$10)))-$B10*EXP(-Assumptions!$B$3*Assumptions!$B$9)*NORMSDIST((((LN(Assumptions!$B$2/$B10)+(Assumptions!$B$3-Assumptions!$B$4+(Y$3/100)^2/2)*Assumptions!$B$9)/((Y$3/100)*Assumptions!$B$10))-(Y$3/100)*Assumptions!$B$10)))))</f>
        <v/>
      </c>
      <c r="Z31" s="56">
        <f>IF((MAX(0,Assumptions!$B$2*EXP(-Assumptions!$B$4*Assumptions!$B$9)*NORMSDIST(((LN(Assumptions!$B$2/$B10)+(Assumptions!$B$3-Assumptions!$B$4+(Z$3/100)^2/2)*Assumptions!$B$9)/((Z$3/100)*Assumptions!$B$10)))-$B10*EXP(-Assumptions!$B$3*Assumptions!$B$9)*NORMSDIST((((LN(Assumptions!$B$2/$B10)+(Assumptions!$B$3-Assumptions!$B$4+(Z$3/100)^2/2)*Assumptions!$B$9)/((Z$3/100)*Assumptions!$B$10))-(Z$3/100)*Assumptions!$B$10))))&lt;=0,"",(Assumptions!$B$2*EXP(-Assumptions!$B$4*Assumptions!$B$9)*NORMDIST(((LN(Assumptions!$B$2/$B10)+(Assumptions!$B$3-Assumptions!$B$4+(Z$3/100)^2/2)*Assumptions!$B$9)/((Z$3/100)*Assumptions!$B$10)),0,1,FALSE)*Assumptions!$B$10*0.01)*0.5/(MAX(0,Assumptions!$B$2*EXP(-Assumptions!$B$4*Assumptions!$B$9)*NORMSDIST(((LN(Assumptions!$B$2/$B10)+(Assumptions!$B$3-Assumptions!$B$4+(Z$3/100)^2/2)*Assumptions!$B$9)/((Z$3/100)*Assumptions!$B$10)))-$B10*EXP(-Assumptions!$B$3*Assumptions!$B$9)*NORMSDIST((((LN(Assumptions!$B$2/$B10)+(Assumptions!$B$3-Assumptions!$B$4+(Z$3/100)^2/2)*Assumptions!$B$9)/((Z$3/100)*Assumptions!$B$10))-(Z$3/100)*Assumptions!$B$10)))))</f>
        <v/>
      </c>
      <c r="AA31" s="56">
        <f>IF((MAX(0,Assumptions!$B$2*EXP(-Assumptions!$B$4*Assumptions!$B$9)*NORMSDIST(((LN(Assumptions!$B$2/$B10)+(Assumptions!$B$3-Assumptions!$B$4+(AA$3/100)^2/2)*Assumptions!$B$9)/((AA$3/100)*Assumptions!$B$10)))-$B10*EXP(-Assumptions!$B$3*Assumptions!$B$9)*NORMSDIST((((LN(Assumptions!$B$2/$B10)+(Assumptions!$B$3-Assumptions!$B$4+(AA$3/100)^2/2)*Assumptions!$B$9)/((AA$3/100)*Assumptions!$B$10))-(AA$3/100)*Assumptions!$B$10))))&lt;=0,"",(Assumptions!$B$2*EXP(-Assumptions!$B$4*Assumptions!$B$9)*NORMDIST(((LN(Assumptions!$B$2/$B10)+(Assumptions!$B$3-Assumptions!$B$4+(AA$3/100)^2/2)*Assumptions!$B$9)/((AA$3/100)*Assumptions!$B$10)),0,1,FALSE)*Assumptions!$B$10*0.01)*0.5/(MAX(0,Assumptions!$B$2*EXP(-Assumptions!$B$4*Assumptions!$B$9)*NORMSDIST(((LN(Assumptions!$B$2/$B10)+(Assumptions!$B$3-Assumptions!$B$4+(AA$3/100)^2/2)*Assumptions!$B$9)/((AA$3/100)*Assumptions!$B$10)))-$B10*EXP(-Assumptions!$B$3*Assumptions!$B$9)*NORMSDIST((((LN(Assumptions!$B$2/$B10)+(Assumptions!$B$3-Assumptions!$B$4+(AA$3/100)^2/2)*Assumptions!$B$9)/((AA$3/100)*Assumptions!$B$10))-(AA$3/100)*Assumptions!$B$10)))))</f>
        <v/>
      </c>
      <c r="AB31" s="56">
        <f>IF((MAX(0,Assumptions!$B$2*EXP(-Assumptions!$B$4*Assumptions!$B$9)*NORMSDIST(((LN(Assumptions!$B$2/$B10)+(Assumptions!$B$3-Assumptions!$B$4+(AB$3/100)^2/2)*Assumptions!$B$9)/((AB$3/100)*Assumptions!$B$10)))-$B10*EXP(-Assumptions!$B$3*Assumptions!$B$9)*NORMSDIST((((LN(Assumptions!$B$2/$B10)+(Assumptions!$B$3-Assumptions!$B$4+(AB$3/100)^2/2)*Assumptions!$B$9)/((AB$3/100)*Assumptions!$B$10))-(AB$3/100)*Assumptions!$B$10))))&lt;=0,"",(Assumptions!$B$2*EXP(-Assumptions!$B$4*Assumptions!$B$9)*NORMDIST(((LN(Assumptions!$B$2/$B10)+(Assumptions!$B$3-Assumptions!$B$4+(AB$3/100)^2/2)*Assumptions!$B$9)/((AB$3/100)*Assumptions!$B$10)),0,1,FALSE)*Assumptions!$B$10*0.01)*0.5/(MAX(0,Assumptions!$B$2*EXP(-Assumptions!$B$4*Assumptions!$B$9)*NORMSDIST(((LN(Assumptions!$B$2/$B10)+(Assumptions!$B$3-Assumptions!$B$4+(AB$3/100)^2/2)*Assumptions!$B$9)/((AB$3/100)*Assumptions!$B$10)))-$B10*EXP(-Assumptions!$B$3*Assumptions!$B$9)*NORMSDIST((((LN(Assumptions!$B$2/$B10)+(Assumptions!$B$3-Assumptions!$B$4+(AB$3/100)^2/2)*Assumptions!$B$9)/((AB$3/100)*Assumptions!$B$10))-(AB$3/100)*Assumptions!$B$10)))))</f>
        <v/>
      </c>
      <c r="AC31" s="56">
        <f>IF((MAX(0,Assumptions!$B$2*EXP(-Assumptions!$B$4*Assumptions!$B$9)*NORMSDIST(((LN(Assumptions!$B$2/$B10)+(Assumptions!$B$3-Assumptions!$B$4+(AC$3/100)^2/2)*Assumptions!$B$9)/((AC$3/100)*Assumptions!$B$10)))-$B10*EXP(-Assumptions!$B$3*Assumptions!$B$9)*NORMSDIST((((LN(Assumptions!$B$2/$B10)+(Assumptions!$B$3-Assumptions!$B$4+(AC$3/100)^2/2)*Assumptions!$B$9)/((AC$3/100)*Assumptions!$B$10))-(AC$3/100)*Assumptions!$B$10))))&lt;=0,"",(Assumptions!$B$2*EXP(-Assumptions!$B$4*Assumptions!$B$9)*NORMDIST(((LN(Assumptions!$B$2/$B10)+(Assumptions!$B$3-Assumptions!$B$4+(AC$3/100)^2/2)*Assumptions!$B$9)/((AC$3/100)*Assumptions!$B$10)),0,1,FALSE)*Assumptions!$B$10*0.01)*0.5/(MAX(0,Assumptions!$B$2*EXP(-Assumptions!$B$4*Assumptions!$B$9)*NORMSDIST(((LN(Assumptions!$B$2/$B10)+(Assumptions!$B$3-Assumptions!$B$4+(AC$3/100)^2/2)*Assumptions!$B$9)/((AC$3/100)*Assumptions!$B$10)))-$B10*EXP(-Assumptions!$B$3*Assumptions!$B$9)*NORMSDIST((((LN(Assumptions!$B$2/$B10)+(Assumptions!$B$3-Assumptions!$B$4+(AC$3/100)^2/2)*Assumptions!$B$9)/((AC$3/100)*Assumptions!$B$10))-(AC$3/100)*Assumptions!$B$10)))))</f>
        <v/>
      </c>
      <c r="AD31" s="56">
        <f>IF((MAX(0,Assumptions!$B$2*EXP(-Assumptions!$B$4*Assumptions!$B$9)*NORMSDIST(((LN(Assumptions!$B$2/$B10)+(Assumptions!$B$3-Assumptions!$B$4+(AD$3/100)^2/2)*Assumptions!$B$9)/((AD$3/100)*Assumptions!$B$10)))-$B10*EXP(-Assumptions!$B$3*Assumptions!$B$9)*NORMSDIST((((LN(Assumptions!$B$2/$B10)+(Assumptions!$B$3-Assumptions!$B$4+(AD$3/100)^2/2)*Assumptions!$B$9)/((AD$3/100)*Assumptions!$B$10))-(AD$3/100)*Assumptions!$B$10))))&lt;=0,"",(Assumptions!$B$2*EXP(-Assumptions!$B$4*Assumptions!$B$9)*NORMDIST(((LN(Assumptions!$B$2/$B10)+(Assumptions!$B$3-Assumptions!$B$4+(AD$3/100)^2/2)*Assumptions!$B$9)/((AD$3/100)*Assumptions!$B$10)),0,1,FALSE)*Assumptions!$B$10*0.01)*0.5/(MAX(0,Assumptions!$B$2*EXP(-Assumptions!$B$4*Assumptions!$B$9)*NORMSDIST(((LN(Assumptions!$B$2/$B10)+(Assumptions!$B$3-Assumptions!$B$4+(AD$3/100)^2/2)*Assumptions!$B$9)/((AD$3/100)*Assumptions!$B$10)))-$B10*EXP(-Assumptions!$B$3*Assumptions!$B$9)*NORMSDIST((((LN(Assumptions!$B$2/$B10)+(Assumptions!$B$3-Assumptions!$B$4+(AD$3/100)^2/2)*Assumptions!$B$9)/((AD$3/100)*Assumptions!$B$10))-(AD$3/100)*Assumptions!$B$10)))))</f>
        <v/>
      </c>
      <c r="AE31" s="56">
        <f>IF((MAX(0,Assumptions!$B$2*EXP(-Assumptions!$B$4*Assumptions!$B$9)*NORMSDIST(((LN(Assumptions!$B$2/$B10)+(Assumptions!$B$3-Assumptions!$B$4+(AE$3/100)^2/2)*Assumptions!$B$9)/((AE$3/100)*Assumptions!$B$10)))-$B10*EXP(-Assumptions!$B$3*Assumptions!$B$9)*NORMSDIST((((LN(Assumptions!$B$2/$B10)+(Assumptions!$B$3-Assumptions!$B$4+(AE$3/100)^2/2)*Assumptions!$B$9)/((AE$3/100)*Assumptions!$B$10))-(AE$3/100)*Assumptions!$B$10))))&lt;=0,"",(Assumptions!$B$2*EXP(-Assumptions!$B$4*Assumptions!$B$9)*NORMDIST(((LN(Assumptions!$B$2/$B10)+(Assumptions!$B$3-Assumptions!$B$4+(AE$3/100)^2/2)*Assumptions!$B$9)/((AE$3/100)*Assumptions!$B$10)),0,1,FALSE)*Assumptions!$B$10*0.01)*0.5/(MAX(0,Assumptions!$B$2*EXP(-Assumptions!$B$4*Assumptions!$B$9)*NORMSDIST(((LN(Assumptions!$B$2/$B10)+(Assumptions!$B$3-Assumptions!$B$4+(AE$3/100)^2/2)*Assumptions!$B$9)/((AE$3/100)*Assumptions!$B$10)))-$B10*EXP(-Assumptions!$B$3*Assumptions!$B$9)*NORMSDIST((((LN(Assumptions!$B$2/$B10)+(Assumptions!$B$3-Assumptions!$B$4+(AE$3/100)^2/2)*Assumptions!$B$9)/((AE$3/100)*Assumptions!$B$10))-(AE$3/100)*Assumptions!$B$10)))))</f>
        <v/>
      </c>
      <c r="AF31" s="56">
        <f>IF((MAX(0,Assumptions!$B$2*EXP(-Assumptions!$B$4*Assumptions!$B$9)*NORMSDIST(((LN(Assumptions!$B$2/$B10)+(Assumptions!$B$3-Assumptions!$B$4+(AF$3/100)^2/2)*Assumptions!$B$9)/((AF$3/100)*Assumptions!$B$10)))-$B10*EXP(-Assumptions!$B$3*Assumptions!$B$9)*NORMSDIST((((LN(Assumptions!$B$2/$B10)+(Assumptions!$B$3-Assumptions!$B$4+(AF$3/100)^2/2)*Assumptions!$B$9)/((AF$3/100)*Assumptions!$B$10))-(AF$3/100)*Assumptions!$B$10))))&lt;=0,"",(Assumptions!$B$2*EXP(-Assumptions!$B$4*Assumptions!$B$9)*NORMDIST(((LN(Assumptions!$B$2/$B10)+(Assumptions!$B$3-Assumptions!$B$4+(AF$3/100)^2/2)*Assumptions!$B$9)/((AF$3/100)*Assumptions!$B$10)),0,1,FALSE)*Assumptions!$B$10*0.01)*0.5/(MAX(0,Assumptions!$B$2*EXP(-Assumptions!$B$4*Assumptions!$B$9)*NORMSDIST(((LN(Assumptions!$B$2/$B10)+(Assumptions!$B$3-Assumptions!$B$4+(AF$3/100)^2/2)*Assumptions!$B$9)/((AF$3/100)*Assumptions!$B$10)))-$B10*EXP(-Assumptions!$B$3*Assumptions!$B$9)*NORMSDIST((((LN(Assumptions!$B$2/$B10)+(Assumptions!$B$3-Assumptions!$B$4+(AF$3/100)^2/2)*Assumptions!$B$9)/((AF$3/100)*Assumptions!$B$10))-(AF$3/100)*Assumptions!$B$10)))))</f>
        <v/>
      </c>
      <c r="AG31" s="56">
        <f>IF((MAX(0,Assumptions!$B$2*EXP(-Assumptions!$B$4*Assumptions!$B$9)*NORMSDIST(((LN(Assumptions!$B$2/$B10)+(Assumptions!$B$3-Assumptions!$B$4+(AG$3/100)^2/2)*Assumptions!$B$9)/((AG$3/100)*Assumptions!$B$10)))-$B10*EXP(-Assumptions!$B$3*Assumptions!$B$9)*NORMSDIST((((LN(Assumptions!$B$2/$B10)+(Assumptions!$B$3-Assumptions!$B$4+(AG$3/100)^2/2)*Assumptions!$B$9)/((AG$3/100)*Assumptions!$B$10))-(AG$3/100)*Assumptions!$B$10))))&lt;=0,"",(Assumptions!$B$2*EXP(-Assumptions!$B$4*Assumptions!$B$9)*NORMDIST(((LN(Assumptions!$B$2/$B10)+(Assumptions!$B$3-Assumptions!$B$4+(AG$3/100)^2/2)*Assumptions!$B$9)/((AG$3/100)*Assumptions!$B$10)),0,1,FALSE)*Assumptions!$B$10*0.01)*0.5/(MAX(0,Assumptions!$B$2*EXP(-Assumptions!$B$4*Assumptions!$B$9)*NORMSDIST(((LN(Assumptions!$B$2/$B10)+(Assumptions!$B$3-Assumptions!$B$4+(AG$3/100)^2/2)*Assumptions!$B$9)/((AG$3/100)*Assumptions!$B$10)))-$B10*EXP(-Assumptions!$B$3*Assumptions!$B$9)*NORMSDIST((((LN(Assumptions!$B$2/$B10)+(Assumptions!$B$3-Assumptions!$B$4+(AG$3/100)^2/2)*Assumptions!$B$9)/((AG$3/100)*Assumptions!$B$10))-(AG$3/100)*Assumptions!$B$10)))))</f>
        <v/>
      </c>
      <c r="AH31" s="56">
        <f>IF((MAX(0,Assumptions!$B$2*EXP(-Assumptions!$B$4*Assumptions!$B$9)*NORMSDIST(((LN(Assumptions!$B$2/$B10)+(Assumptions!$B$3-Assumptions!$B$4+(AH$3/100)^2/2)*Assumptions!$B$9)/((AH$3/100)*Assumptions!$B$10)))-$B10*EXP(-Assumptions!$B$3*Assumptions!$B$9)*NORMSDIST((((LN(Assumptions!$B$2/$B10)+(Assumptions!$B$3-Assumptions!$B$4+(AH$3/100)^2/2)*Assumptions!$B$9)/((AH$3/100)*Assumptions!$B$10))-(AH$3/100)*Assumptions!$B$10))))&lt;=0,"",(Assumptions!$B$2*EXP(-Assumptions!$B$4*Assumptions!$B$9)*NORMDIST(((LN(Assumptions!$B$2/$B10)+(Assumptions!$B$3-Assumptions!$B$4+(AH$3/100)^2/2)*Assumptions!$B$9)/((AH$3/100)*Assumptions!$B$10)),0,1,FALSE)*Assumptions!$B$10*0.01)*0.5/(MAX(0,Assumptions!$B$2*EXP(-Assumptions!$B$4*Assumptions!$B$9)*NORMSDIST(((LN(Assumptions!$B$2/$B10)+(Assumptions!$B$3-Assumptions!$B$4+(AH$3/100)^2/2)*Assumptions!$B$9)/((AH$3/100)*Assumptions!$B$10)))-$B10*EXP(-Assumptions!$B$3*Assumptions!$B$9)*NORMSDIST((((LN(Assumptions!$B$2/$B10)+(Assumptions!$B$3-Assumptions!$B$4+(AH$3/100)^2/2)*Assumptions!$B$9)/((AH$3/100)*Assumptions!$B$10))-(AH$3/100)*Assumptions!$B$10)))))</f>
        <v/>
      </c>
      <c r="AI31" s="56">
        <f>IF((MAX(0,Assumptions!$B$2*EXP(-Assumptions!$B$4*Assumptions!$B$9)*NORMSDIST(((LN(Assumptions!$B$2/$B10)+(Assumptions!$B$3-Assumptions!$B$4+(AI$3/100)^2/2)*Assumptions!$B$9)/((AI$3/100)*Assumptions!$B$10)))-$B10*EXP(-Assumptions!$B$3*Assumptions!$B$9)*NORMSDIST((((LN(Assumptions!$B$2/$B10)+(Assumptions!$B$3-Assumptions!$B$4+(AI$3/100)^2/2)*Assumptions!$B$9)/((AI$3/100)*Assumptions!$B$10))-(AI$3/100)*Assumptions!$B$10))))&lt;=0,"",(Assumptions!$B$2*EXP(-Assumptions!$B$4*Assumptions!$B$9)*NORMDIST(((LN(Assumptions!$B$2/$B10)+(Assumptions!$B$3-Assumptions!$B$4+(AI$3/100)^2/2)*Assumptions!$B$9)/((AI$3/100)*Assumptions!$B$10)),0,1,FALSE)*Assumptions!$B$10*0.01)*0.5/(MAX(0,Assumptions!$B$2*EXP(-Assumptions!$B$4*Assumptions!$B$9)*NORMSDIST(((LN(Assumptions!$B$2/$B10)+(Assumptions!$B$3-Assumptions!$B$4+(AI$3/100)^2/2)*Assumptions!$B$9)/((AI$3/100)*Assumptions!$B$10)))-$B10*EXP(-Assumptions!$B$3*Assumptions!$B$9)*NORMSDIST((((LN(Assumptions!$B$2/$B10)+(Assumptions!$B$3-Assumptions!$B$4+(AI$3/100)^2/2)*Assumptions!$B$9)/((AI$3/100)*Assumptions!$B$10))-(AI$3/100)*Assumptions!$B$10)))))</f>
        <v/>
      </c>
      <c r="AJ31" s="56">
        <f>IF((MAX(0,Assumptions!$B$2*EXP(-Assumptions!$B$4*Assumptions!$B$9)*NORMSDIST(((LN(Assumptions!$B$2/$B10)+(Assumptions!$B$3-Assumptions!$B$4+(AJ$3/100)^2/2)*Assumptions!$B$9)/((AJ$3/100)*Assumptions!$B$10)))-$B10*EXP(-Assumptions!$B$3*Assumptions!$B$9)*NORMSDIST((((LN(Assumptions!$B$2/$B10)+(Assumptions!$B$3-Assumptions!$B$4+(AJ$3/100)^2/2)*Assumptions!$B$9)/((AJ$3/100)*Assumptions!$B$10))-(AJ$3/100)*Assumptions!$B$10))))&lt;=0,"",(Assumptions!$B$2*EXP(-Assumptions!$B$4*Assumptions!$B$9)*NORMDIST(((LN(Assumptions!$B$2/$B10)+(Assumptions!$B$3-Assumptions!$B$4+(AJ$3/100)^2/2)*Assumptions!$B$9)/((AJ$3/100)*Assumptions!$B$10)),0,1,FALSE)*Assumptions!$B$10*0.01)*0.5/(MAX(0,Assumptions!$B$2*EXP(-Assumptions!$B$4*Assumptions!$B$9)*NORMSDIST(((LN(Assumptions!$B$2/$B10)+(Assumptions!$B$3-Assumptions!$B$4+(AJ$3/100)^2/2)*Assumptions!$B$9)/((AJ$3/100)*Assumptions!$B$10)))-$B10*EXP(-Assumptions!$B$3*Assumptions!$B$9)*NORMSDIST((((LN(Assumptions!$B$2/$B10)+(Assumptions!$B$3-Assumptions!$B$4+(AJ$3/100)^2/2)*Assumptions!$B$9)/((AJ$3/100)*Assumptions!$B$10))-(AJ$3/100)*Assumptions!$B$10)))))</f>
        <v/>
      </c>
      <c r="AK31" s="56">
        <f>IF((MAX(0,Assumptions!$B$2*EXP(-Assumptions!$B$4*Assumptions!$B$9)*NORMSDIST(((LN(Assumptions!$B$2/$B10)+(Assumptions!$B$3-Assumptions!$B$4+(AK$3/100)^2/2)*Assumptions!$B$9)/((AK$3/100)*Assumptions!$B$10)))-$B10*EXP(-Assumptions!$B$3*Assumptions!$B$9)*NORMSDIST((((LN(Assumptions!$B$2/$B10)+(Assumptions!$B$3-Assumptions!$B$4+(AK$3/100)^2/2)*Assumptions!$B$9)/((AK$3/100)*Assumptions!$B$10))-(AK$3/100)*Assumptions!$B$10))))&lt;=0,"",(Assumptions!$B$2*EXP(-Assumptions!$B$4*Assumptions!$B$9)*NORMDIST(((LN(Assumptions!$B$2/$B10)+(Assumptions!$B$3-Assumptions!$B$4+(AK$3/100)^2/2)*Assumptions!$B$9)/((AK$3/100)*Assumptions!$B$10)),0,1,FALSE)*Assumptions!$B$10*0.01)*0.5/(MAX(0,Assumptions!$B$2*EXP(-Assumptions!$B$4*Assumptions!$B$9)*NORMSDIST(((LN(Assumptions!$B$2/$B10)+(Assumptions!$B$3-Assumptions!$B$4+(AK$3/100)^2/2)*Assumptions!$B$9)/((AK$3/100)*Assumptions!$B$10)))-$B10*EXP(-Assumptions!$B$3*Assumptions!$B$9)*NORMSDIST((((LN(Assumptions!$B$2/$B10)+(Assumptions!$B$3-Assumptions!$B$4+(AK$3/100)^2/2)*Assumptions!$B$9)/((AK$3/100)*Assumptions!$B$10))-(AK$3/100)*Assumptions!$B$10)))))</f>
        <v/>
      </c>
      <c r="AL31" s="56">
        <f>IF((MAX(0,Assumptions!$B$2*EXP(-Assumptions!$B$4*Assumptions!$B$9)*NORMSDIST(((LN(Assumptions!$B$2/$B10)+(Assumptions!$B$3-Assumptions!$B$4+(AL$3/100)^2/2)*Assumptions!$B$9)/((AL$3/100)*Assumptions!$B$10)))-$B10*EXP(-Assumptions!$B$3*Assumptions!$B$9)*NORMSDIST((((LN(Assumptions!$B$2/$B10)+(Assumptions!$B$3-Assumptions!$B$4+(AL$3/100)^2/2)*Assumptions!$B$9)/((AL$3/100)*Assumptions!$B$10))-(AL$3/100)*Assumptions!$B$10))))&lt;=0,"",(Assumptions!$B$2*EXP(-Assumptions!$B$4*Assumptions!$B$9)*NORMDIST(((LN(Assumptions!$B$2/$B10)+(Assumptions!$B$3-Assumptions!$B$4+(AL$3/100)^2/2)*Assumptions!$B$9)/((AL$3/100)*Assumptions!$B$10)),0,1,FALSE)*Assumptions!$B$10*0.01)*0.5/(MAX(0,Assumptions!$B$2*EXP(-Assumptions!$B$4*Assumptions!$B$9)*NORMSDIST(((LN(Assumptions!$B$2/$B10)+(Assumptions!$B$3-Assumptions!$B$4+(AL$3/100)^2/2)*Assumptions!$B$9)/((AL$3/100)*Assumptions!$B$10)))-$B10*EXP(-Assumptions!$B$3*Assumptions!$B$9)*NORMSDIST((((LN(Assumptions!$B$2/$B10)+(Assumptions!$B$3-Assumptions!$B$4+(AL$3/100)^2/2)*Assumptions!$B$9)/((AL$3/100)*Assumptions!$B$10))-(AL$3/100)*Assumptions!$B$10)))))</f>
        <v/>
      </c>
      <c r="AM31" s="56">
        <f>IF((MAX(0,Assumptions!$B$2*EXP(-Assumptions!$B$4*Assumptions!$B$9)*NORMSDIST(((LN(Assumptions!$B$2/$B10)+(Assumptions!$B$3-Assumptions!$B$4+(AM$3/100)^2/2)*Assumptions!$B$9)/((AM$3/100)*Assumptions!$B$10)))-$B10*EXP(-Assumptions!$B$3*Assumptions!$B$9)*NORMSDIST((((LN(Assumptions!$B$2/$B10)+(Assumptions!$B$3-Assumptions!$B$4+(AM$3/100)^2/2)*Assumptions!$B$9)/((AM$3/100)*Assumptions!$B$10))-(AM$3/100)*Assumptions!$B$10))))&lt;=0,"",(Assumptions!$B$2*EXP(-Assumptions!$B$4*Assumptions!$B$9)*NORMDIST(((LN(Assumptions!$B$2/$B10)+(Assumptions!$B$3-Assumptions!$B$4+(AM$3/100)^2/2)*Assumptions!$B$9)/((AM$3/100)*Assumptions!$B$10)),0,1,FALSE)*Assumptions!$B$10*0.01)*0.5/(MAX(0,Assumptions!$B$2*EXP(-Assumptions!$B$4*Assumptions!$B$9)*NORMSDIST(((LN(Assumptions!$B$2/$B10)+(Assumptions!$B$3-Assumptions!$B$4+(AM$3/100)^2/2)*Assumptions!$B$9)/((AM$3/100)*Assumptions!$B$10)))-$B10*EXP(-Assumptions!$B$3*Assumptions!$B$9)*NORMSDIST((((LN(Assumptions!$B$2/$B10)+(Assumptions!$B$3-Assumptions!$B$4+(AM$3/100)^2/2)*Assumptions!$B$9)/((AM$3/100)*Assumptions!$B$10))-(AM$3/100)*Assumptions!$B$10)))))</f>
        <v/>
      </c>
      <c r="AN31" s="56">
        <f>IF((MAX(0,Assumptions!$B$2*EXP(-Assumptions!$B$4*Assumptions!$B$9)*NORMSDIST(((LN(Assumptions!$B$2/$B10)+(Assumptions!$B$3-Assumptions!$B$4+(AN$3/100)^2/2)*Assumptions!$B$9)/((AN$3/100)*Assumptions!$B$10)))-$B10*EXP(-Assumptions!$B$3*Assumptions!$B$9)*NORMSDIST((((LN(Assumptions!$B$2/$B10)+(Assumptions!$B$3-Assumptions!$B$4+(AN$3/100)^2/2)*Assumptions!$B$9)/((AN$3/100)*Assumptions!$B$10))-(AN$3/100)*Assumptions!$B$10))))&lt;=0,"",(Assumptions!$B$2*EXP(-Assumptions!$B$4*Assumptions!$B$9)*NORMDIST(((LN(Assumptions!$B$2/$B10)+(Assumptions!$B$3-Assumptions!$B$4+(AN$3/100)^2/2)*Assumptions!$B$9)/((AN$3/100)*Assumptions!$B$10)),0,1,FALSE)*Assumptions!$B$10*0.01)*0.5/(MAX(0,Assumptions!$B$2*EXP(-Assumptions!$B$4*Assumptions!$B$9)*NORMSDIST(((LN(Assumptions!$B$2/$B10)+(Assumptions!$B$3-Assumptions!$B$4+(AN$3/100)^2/2)*Assumptions!$B$9)/((AN$3/100)*Assumptions!$B$10)))-$B10*EXP(-Assumptions!$B$3*Assumptions!$B$9)*NORMSDIST((((LN(Assumptions!$B$2/$B10)+(Assumptions!$B$3-Assumptions!$B$4+(AN$3/100)^2/2)*Assumptions!$B$9)/((AN$3/100)*Assumptions!$B$10))-(AN$3/100)*Assumptions!$B$10)))))</f>
        <v/>
      </c>
      <c r="AO31" s="56">
        <f>IF((MAX(0,Assumptions!$B$2*EXP(-Assumptions!$B$4*Assumptions!$B$9)*NORMSDIST(((LN(Assumptions!$B$2/$B10)+(Assumptions!$B$3-Assumptions!$B$4+(AO$3/100)^2/2)*Assumptions!$B$9)/((AO$3/100)*Assumptions!$B$10)))-$B10*EXP(-Assumptions!$B$3*Assumptions!$B$9)*NORMSDIST((((LN(Assumptions!$B$2/$B10)+(Assumptions!$B$3-Assumptions!$B$4+(AO$3/100)^2/2)*Assumptions!$B$9)/((AO$3/100)*Assumptions!$B$10))-(AO$3/100)*Assumptions!$B$10))))&lt;=0,"",(Assumptions!$B$2*EXP(-Assumptions!$B$4*Assumptions!$B$9)*NORMDIST(((LN(Assumptions!$B$2/$B10)+(Assumptions!$B$3-Assumptions!$B$4+(AO$3/100)^2/2)*Assumptions!$B$9)/((AO$3/100)*Assumptions!$B$10)),0,1,FALSE)*Assumptions!$B$10*0.01)*0.5/(MAX(0,Assumptions!$B$2*EXP(-Assumptions!$B$4*Assumptions!$B$9)*NORMSDIST(((LN(Assumptions!$B$2/$B10)+(Assumptions!$B$3-Assumptions!$B$4+(AO$3/100)^2/2)*Assumptions!$B$9)/((AO$3/100)*Assumptions!$B$10)))-$B10*EXP(-Assumptions!$B$3*Assumptions!$B$9)*NORMSDIST((((LN(Assumptions!$B$2/$B10)+(Assumptions!$B$3-Assumptions!$B$4+(AO$3/100)^2/2)*Assumptions!$B$9)/((AO$3/100)*Assumptions!$B$10))-(AO$3/100)*Assumptions!$B$10)))))</f>
        <v/>
      </c>
      <c r="AP31" s="56">
        <f>IF((MAX(0,Assumptions!$B$2*EXP(-Assumptions!$B$4*Assumptions!$B$9)*NORMSDIST(((LN(Assumptions!$B$2/$B10)+(Assumptions!$B$3-Assumptions!$B$4+(AP$3/100)^2/2)*Assumptions!$B$9)/((AP$3/100)*Assumptions!$B$10)))-$B10*EXP(-Assumptions!$B$3*Assumptions!$B$9)*NORMSDIST((((LN(Assumptions!$B$2/$B10)+(Assumptions!$B$3-Assumptions!$B$4+(AP$3/100)^2/2)*Assumptions!$B$9)/((AP$3/100)*Assumptions!$B$10))-(AP$3/100)*Assumptions!$B$10))))&lt;=0,"",(Assumptions!$B$2*EXP(-Assumptions!$B$4*Assumptions!$B$9)*NORMDIST(((LN(Assumptions!$B$2/$B10)+(Assumptions!$B$3-Assumptions!$B$4+(AP$3/100)^2/2)*Assumptions!$B$9)/((AP$3/100)*Assumptions!$B$10)),0,1,FALSE)*Assumptions!$B$10*0.01)*0.5/(MAX(0,Assumptions!$B$2*EXP(-Assumptions!$B$4*Assumptions!$B$9)*NORMSDIST(((LN(Assumptions!$B$2/$B10)+(Assumptions!$B$3-Assumptions!$B$4+(AP$3/100)^2/2)*Assumptions!$B$9)/((AP$3/100)*Assumptions!$B$10)))-$B10*EXP(-Assumptions!$B$3*Assumptions!$B$9)*NORMSDIST((((LN(Assumptions!$B$2/$B10)+(Assumptions!$B$3-Assumptions!$B$4+(AP$3/100)^2/2)*Assumptions!$B$9)/((AP$3/100)*Assumptions!$B$10))-(AP$3/100)*Assumptions!$B$10)))))</f>
        <v/>
      </c>
      <c r="AQ31" s="56">
        <f>IF((MAX(0,Assumptions!$B$2*EXP(-Assumptions!$B$4*Assumptions!$B$9)*NORMSDIST(((LN(Assumptions!$B$2/$B10)+(Assumptions!$B$3-Assumptions!$B$4+(AQ$3/100)^2/2)*Assumptions!$B$9)/((AQ$3/100)*Assumptions!$B$10)))-$B10*EXP(-Assumptions!$B$3*Assumptions!$B$9)*NORMSDIST((((LN(Assumptions!$B$2/$B10)+(Assumptions!$B$3-Assumptions!$B$4+(AQ$3/100)^2/2)*Assumptions!$B$9)/((AQ$3/100)*Assumptions!$B$10))-(AQ$3/100)*Assumptions!$B$10))))&lt;=0,"",(Assumptions!$B$2*EXP(-Assumptions!$B$4*Assumptions!$B$9)*NORMDIST(((LN(Assumptions!$B$2/$B10)+(Assumptions!$B$3-Assumptions!$B$4+(AQ$3/100)^2/2)*Assumptions!$B$9)/((AQ$3/100)*Assumptions!$B$10)),0,1,FALSE)*Assumptions!$B$10*0.01)*0.5/(MAX(0,Assumptions!$B$2*EXP(-Assumptions!$B$4*Assumptions!$B$9)*NORMSDIST(((LN(Assumptions!$B$2/$B10)+(Assumptions!$B$3-Assumptions!$B$4+(AQ$3/100)^2/2)*Assumptions!$B$9)/((AQ$3/100)*Assumptions!$B$10)))-$B10*EXP(-Assumptions!$B$3*Assumptions!$B$9)*NORMSDIST((((LN(Assumptions!$B$2/$B10)+(Assumptions!$B$3-Assumptions!$B$4+(AQ$3/100)^2/2)*Assumptions!$B$9)/((AQ$3/100)*Assumptions!$B$10))-(AQ$3/100)*Assumptions!$B$10)))))</f>
        <v/>
      </c>
      <c r="AR31" s="56">
        <f>IF((MAX(0,Assumptions!$B$2*EXP(-Assumptions!$B$4*Assumptions!$B$9)*NORMSDIST(((LN(Assumptions!$B$2/$B10)+(Assumptions!$B$3-Assumptions!$B$4+(AR$3/100)^2/2)*Assumptions!$B$9)/((AR$3/100)*Assumptions!$B$10)))-$B10*EXP(-Assumptions!$B$3*Assumptions!$B$9)*NORMSDIST((((LN(Assumptions!$B$2/$B10)+(Assumptions!$B$3-Assumptions!$B$4+(AR$3/100)^2/2)*Assumptions!$B$9)/((AR$3/100)*Assumptions!$B$10))-(AR$3/100)*Assumptions!$B$10))))&lt;=0,"",(Assumptions!$B$2*EXP(-Assumptions!$B$4*Assumptions!$B$9)*NORMDIST(((LN(Assumptions!$B$2/$B10)+(Assumptions!$B$3-Assumptions!$B$4+(AR$3/100)^2/2)*Assumptions!$B$9)/((AR$3/100)*Assumptions!$B$10)),0,1,FALSE)*Assumptions!$B$10*0.01)*0.5/(MAX(0,Assumptions!$B$2*EXP(-Assumptions!$B$4*Assumptions!$B$9)*NORMSDIST(((LN(Assumptions!$B$2/$B10)+(Assumptions!$B$3-Assumptions!$B$4+(AR$3/100)^2/2)*Assumptions!$B$9)/((AR$3/100)*Assumptions!$B$10)))-$B10*EXP(-Assumptions!$B$3*Assumptions!$B$9)*NORMSDIST((((LN(Assumptions!$B$2/$B10)+(Assumptions!$B$3-Assumptions!$B$4+(AR$3/100)^2/2)*Assumptions!$B$9)/((AR$3/100)*Assumptions!$B$10))-(AR$3/100)*Assumptions!$B$10)))))</f>
        <v/>
      </c>
      <c r="AS31" s="56">
        <f>IF((MAX(0,Assumptions!$B$2*EXP(-Assumptions!$B$4*Assumptions!$B$9)*NORMSDIST(((LN(Assumptions!$B$2/$B10)+(Assumptions!$B$3-Assumptions!$B$4+(AS$3/100)^2/2)*Assumptions!$B$9)/((AS$3/100)*Assumptions!$B$10)))-$B10*EXP(-Assumptions!$B$3*Assumptions!$B$9)*NORMSDIST((((LN(Assumptions!$B$2/$B10)+(Assumptions!$B$3-Assumptions!$B$4+(AS$3/100)^2/2)*Assumptions!$B$9)/((AS$3/100)*Assumptions!$B$10))-(AS$3/100)*Assumptions!$B$10))))&lt;=0,"",(Assumptions!$B$2*EXP(-Assumptions!$B$4*Assumptions!$B$9)*NORMDIST(((LN(Assumptions!$B$2/$B10)+(Assumptions!$B$3-Assumptions!$B$4+(AS$3/100)^2/2)*Assumptions!$B$9)/((AS$3/100)*Assumptions!$B$10)),0,1,FALSE)*Assumptions!$B$10*0.01)*0.5/(MAX(0,Assumptions!$B$2*EXP(-Assumptions!$B$4*Assumptions!$B$9)*NORMSDIST(((LN(Assumptions!$B$2/$B10)+(Assumptions!$B$3-Assumptions!$B$4+(AS$3/100)^2/2)*Assumptions!$B$9)/((AS$3/100)*Assumptions!$B$10)))-$B10*EXP(-Assumptions!$B$3*Assumptions!$B$9)*NORMSDIST((((LN(Assumptions!$B$2/$B10)+(Assumptions!$B$3-Assumptions!$B$4+(AS$3/100)^2/2)*Assumptions!$B$9)/((AS$3/100)*Assumptions!$B$10))-(AS$3/100)*Assumptions!$B$10)))))</f>
        <v/>
      </c>
      <c r="AT31" s="56">
        <f>IF((MAX(0,Assumptions!$B$2*EXP(-Assumptions!$B$4*Assumptions!$B$9)*NORMSDIST(((LN(Assumptions!$B$2/$B10)+(Assumptions!$B$3-Assumptions!$B$4+(AT$3/100)^2/2)*Assumptions!$B$9)/((AT$3/100)*Assumptions!$B$10)))-$B10*EXP(-Assumptions!$B$3*Assumptions!$B$9)*NORMSDIST((((LN(Assumptions!$B$2/$B10)+(Assumptions!$B$3-Assumptions!$B$4+(AT$3/100)^2/2)*Assumptions!$B$9)/((AT$3/100)*Assumptions!$B$10))-(AT$3/100)*Assumptions!$B$10))))&lt;=0,"",(Assumptions!$B$2*EXP(-Assumptions!$B$4*Assumptions!$B$9)*NORMDIST(((LN(Assumptions!$B$2/$B10)+(Assumptions!$B$3-Assumptions!$B$4+(AT$3/100)^2/2)*Assumptions!$B$9)/((AT$3/100)*Assumptions!$B$10)),0,1,FALSE)*Assumptions!$B$10*0.01)*0.5/(MAX(0,Assumptions!$B$2*EXP(-Assumptions!$B$4*Assumptions!$B$9)*NORMSDIST(((LN(Assumptions!$B$2/$B10)+(Assumptions!$B$3-Assumptions!$B$4+(AT$3/100)^2/2)*Assumptions!$B$9)/((AT$3/100)*Assumptions!$B$10)))-$B10*EXP(-Assumptions!$B$3*Assumptions!$B$9)*NORMSDIST((((LN(Assumptions!$B$2/$B10)+(Assumptions!$B$3-Assumptions!$B$4+(AT$3/100)^2/2)*Assumptions!$B$9)/((AT$3/100)*Assumptions!$B$10))-(AT$3/100)*Assumptions!$B$10)))))</f>
        <v/>
      </c>
      <c r="AU31" s="56">
        <f>IF((MAX(0,Assumptions!$B$2*EXP(-Assumptions!$B$4*Assumptions!$B$9)*NORMSDIST(((LN(Assumptions!$B$2/$B10)+(Assumptions!$B$3-Assumptions!$B$4+(AU$3/100)^2/2)*Assumptions!$B$9)/((AU$3/100)*Assumptions!$B$10)))-$B10*EXP(-Assumptions!$B$3*Assumptions!$B$9)*NORMSDIST((((LN(Assumptions!$B$2/$B10)+(Assumptions!$B$3-Assumptions!$B$4+(AU$3/100)^2/2)*Assumptions!$B$9)/((AU$3/100)*Assumptions!$B$10))-(AU$3/100)*Assumptions!$B$10))))&lt;=0,"",(Assumptions!$B$2*EXP(-Assumptions!$B$4*Assumptions!$B$9)*NORMDIST(((LN(Assumptions!$B$2/$B10)+(Assumptions!$B$3-Assumptions!$B$4+(AU$3/100)^2/2)*Assumptions!$B$9)/((AU$3/100)*Assumptions!$B$10)),0,1,FALSE)*Assumptions!$B$10*0.01)*0.5/(MAX(0,Assumptions!$B$2*EXP(-Assumptions!$B$4*Assumptions!$B$9)*NORMSDIST(((LN(Assumptions!$B$2/$B10)+(Assumptions!$B$3-Assumptions!$B$4+(AU$3/100)^2/2)*Assumptions!$B$9)/((AU$3/100)*Assumptions!$B$10)))-$B10*EXP(-Assumptions!$B$3*Assumptions!$B$9)*NORMSDIST((((LN(Assumptions!$B$2/$B10)+(Assumptions!$B$3-Assumptions!$B$4+(AU$3/100)^2/2)*Assumptions!$B$9)/((AU$3/100)*Assumptions!$B$10))-(AU$3/100)*Assumptions!$B$10)))))</f>
        <v/>
      </c>
      <c r="AV31" s="56">
        <f>IF((MAX(0,Assumptions!$B$2*EXP(-Assumptions!$B$4*Assumptions!$B$9)*NORMSDIST(((LN(Assumptions!$B$2/$B10)+(Assumptions!$B$3-Assumptions!$B$4+(AV$3/100)^2/2)*Assumptions!$B$9)/((AV$3/100)*Assumptions!$B$10)))-$B10*EXP(-Assumptions!$B$3*Assumptions!$B$9)*NORMSDIST((((LN(Assumptions!$B$2/$B10)+(Assumptions!$B$3-Assumptions!$B$4+(AV$3/100)^2/2)*Assumptions!$B$9)/((AV$3/100)*Assumptions!$B$10))-(AV$3/100)*Assumptions!$B$10))))&lt;=0,"",(Assumptions!$B$2*EXP(-Assumptions!$B$4*Assumptions!$B$9)*NORMDIST(((LN(Assumptions!$B$2/$B10)+(Assumptions!$B$3-Assumptions!$B$4+(AV$3/100)^2/2)*Assumptions!$B$9)/((AV$3/100)*Assumptions!$B$10)),0,1,FALSE)*Assumptions!$B$10*0.01)*0.5/(MAX(0,Assumptions!$B$2*EXP(-Assumptions!$B$4*Assumptions!$B$9)*NORMSDIST(((LN(Assumptions!$B$2/$B10)+(Assumptions!$B$3-Assumptions!$B$4+(AV$3/100)^2/2)*Assumptions!$B$9)/((AV$3/100)*Assumptions!$B$10)))-$B10*EXP(-Assumptions!$B$3*Assumptions!$B$9)*NORMSDIST((((LN(Assumptions!$B$2/$B10)+(Assumptions!$B$3-Assumptions!$B$4+(AV$3/100)^2/2)*Assumptions!$B$9)/((AV$3/100)*Assumptions!$B$10))-(AV$3/100)*Assumptions!$B$10)))))</f>
        <v/>
      </c>
    </row>
    <row r="32">
      <c r="A32" s="27" t="inlineStr">
        <is>
          <t>-0.25%</t>
        </is>
      </c>
      <c r="B32" s="47">
        <f>'BS Engine'!$B$9</f>
        <v/>
      </c>
      <c r="C32" s="28">
        <f>'BS Engine'!$C$9</f>
        <v/>
      </c>
      <c r="D32" s="55">
        <f>IF((MAX(0,Assumptions!$B$2*EXP(-Assumptions!$B$4*Assumptions!$B$9)*NORMSDIST(((LN(Assumptions!$B$2/$B11)+(Assumptions!$B$3-Assumptions!$B$4+(D$3/100)^2/2)*Assumptions!$B$9)/((D$3/100)*Assumptions!$B$10)))-$B11*EXP(-Assumptions!$B$3*Assumptions!$B$9)*NORMSDIST((((LN(Assumptions!$B$2/$B11)+(Assumptions!$B$3-Assumptions!$B$4+(D$3/100)^2/2)*Assumptions!$B$9)/((D$3/100)*Assumptions!$B$10))-(D$3/100)*Assumptions!$B$10))))&lt;=0,"",(Assumptions!$B$2*EXP(-Assumptions!$B$4*Assumptions!$B$9)*NORMDIST(((LN(Assumptions!$B$2/$B11)+(Assumptions!$B$3-Assumptions!$B$4+(D$3/100)^2/2)*Assumptions!$B$9)/((D$3/100)*Assumptions!$B$10)),0,1,FALSE)*Assumptions!$B$10*0.01)*0.5/(MAX(0,Assumptions!$B$2*EXP(-Assumptions!$B$4*Assumptions!$B$9)*NORMSDIST(((LN(Assumptions!$B$2/$B11)+(Assumptions!$B$3-Assumptions!$B$4+(D$3/100)^2/2)*Assumptions!$B$9)/((D$3/100)*Assumptions!$B$10)))-$B11*EXP(-Assumptions!$B$3*Assumptions!$B$9)*NORMSDIST((((LN(Assumptions!$B$2/$B11)+(Assumptions!$B$3-Assumptions!$B$4+(D$3/100)^2/2)*Assumptions!$B$9)/((D$3/100)*Assumptions!$B$10))-(D$3/100)*Assumptions!$B$10)))))</f>
        <v/>
      </c>
      <c r="E32" s="56">
        <f>IF((MAX(0,Assumptions!$B$2*EXP(-Assumptions!$B$4*Assumptions!$B$9)*NORMSDIST(((LN(Assumptions!$B$2/$B11)+(Assumptions!$B$3-Assumptions!$B$4+(E$3/100)^2/2)*Assumptions!$B$9)/((E$3/100)*Assumptions!$B$10)))-$B11*EXP(-Assumptions!$B$3*Assumptions!$B$9)*NORMSDIST((((LN(Assumptions!$B$2/$B11)+(Assumptions!$B$3-Assumptions!$B$4+(E$3/100)^2/2)*Assumptions!$B$9)/((E$3/100)*Assumptions!$B$10))-(E$3/100)*Assumptions!$B$10))))&lt;=0,"",(Assumptions!$B$2*EXP(-Assumptions!$B$4*Assumptions!$B$9)*NORMDIST(((LN(Assumptions!$B$2/$B11)+(Assumptions!$B$3-Assumptions!$B$4+(E$3/100)^2/2)*Assumptions!$B$9)/((E$3/100)*Assumptions!$B$10)),0,1,FALSE)*Assumptions!$B$10*0.01)*0.5/(MAX(0,Assumptions!$B$2*EXP(-Assumptions!$B$4*Assumptions!$B$9)*NORMSDIST(((LN(Assumptions!$B$2/$B11)+(Assumptions!$B$3-Assumptions!$B$4+(E$3/100)^2/2)*Assumptions!$B$9)/((E$3/100)*Assumptions!$B$10)))-$B11*EXP(-Assumptions!$B$3*Assumptions!$B$9)*NORMSDIST((((LN(Assumptions!$B$2/$B11)+(Assumptions!$B$3-Assumptions!$B$4+(E$3/100)^2/2)*Assumptions!$B$9)/((E$3/100)*Assumptions!$B$10))-(E$3/100)*Assumptions!$B$10)))))</f>
        <v/>
      </c>
      <c r="F32" s="56">
        <f>IF((MAX(0,Assumptions!$B$2*EXP(-Assumptions!$B$4*Assumptions!$B$9)*NORMSDIST(((LN(Assumptions!$B$2/$B11)+(Assumptions!$B$3-Assumptions!$B$4+(F$3/100)^2/2)*Assumptions!$B$9)/((F$3/100)*Assumptions!$B$10)))-$B11*EXP(-Assumptions!$B$3*Assumptions!$B$9)*NORMSDIST((((LN(Assumptions!$B$2/$B11)+(Assumptions!$B$3-Assumptions!$B$4+(F$3/100)^2/2)*Assumptions!$B$9)/((F$3/100)*Assumptions!$B$10))-(F$3/100)*Assumptions!$B$10))))&lt;=0,"",(Assumptions!$B$2*EXP(-Assumptions!$B$4*Assumptions!$B$9)*NORMDIST(((LN(Assumptions!$B$2/$B11)+(Assumptions!$B$3-Assumptions!$B$4+(F$3/100)^2/2)*Assumptions!$B$9)/((F$3/100)*Assumptions!$B$10)),0,1,FALSE)*Assumptions!$B$10*0.01)*0.5/(MAX(0,Assumptions!$B$2*EXP(-Assumptions!$B$4*Assumptions!$B$9)*NORMSDIST(((LN(Assumptions!$B$2/$B11)+(Assumptions!$B$3-Assumptions!$B$4+(F$3/100)^2/2)*Assumptions!$B$9)/((F$3/100)*Assumptions!$B$10)))-$B11*EXP(-Assumptions!$B$3*Assumptions!$B$9)*NORMSDIST((((LN(Assumptions!$B$2/$B11)+(Assumptions!$B$3-Assumptions!$B$4+(F$3/100)^2/2)*Assumptions!$B$9)/((F$3/100)*Assumptions!$B$10))-(F$3/100)*Assumptions!$B$10)))))</f>
        <v/>
      </c>
      <c r="G32" s="56">
        <f>IF((MAX(0,Assumptions!$B$2*EXP(-Assumptions!$B$4*Assumptions!$B$9)*NORMSDIST(((LN(Assumptions!$B$2/$B11)+(Assumptions!$B$3-Assumptions!$B$4+(G$3/100)^2/2)*Assumptions!$B$9)/((G$3/100)*Assumptions!$B$10)))-$B11*EXP(-Assumptions!$B$3*Assumptions!$B$9)*NORMSDIST((((LN(Assumptions!$B$2/$B11)+(Assumptions!$B$3-Assumptions!$B$4+(G$3/100)^2/2)*Assumptions!$B$9)/((G$3/100)*Assumptions!$B$10))-(G$3/100)*Assumptions!$B$10))))&lt;=0,"",(Assumptions!$B$2*EXP(-Assumptions!$B$4*Assumptions!$B$9)*NORMDIST(((LN(Assumptions!$B$2/$B11)+(Assumptions!$B$3-Assumptions!$B$4+(G$3/100)^2/2)*Assumptions!$B$9)/((G$3/100)*Assumptions!$B$10)),0,1,FALSE)*Assumptions!$B$10*0.01)*0.5/(MAX(0,Assumptions!$B$2*EXP(-Assumptions!$B$4*Assumptions!$B$9)*NORMSDIST(((LN(Assumptions!$B$2/$B11)+(Assumptions!$B$3-Assumptions!$B$4+(G$3/100)^2/2)*Assumptions!$B$9)/((G$3/100)*Assumptions!$B$10)))-$B11*EXP(-Assumptions!$B$3*Assumptions!$B$9)*NORMSDIST((((LN(Assumptions!$B$2/$B11)+(Assumptions!$B$3-Assumptions!$B$4+(G$3/100)^2/2)*Assumptions!$B$9)/((G$3/100)*Assumptions!$B$10))-(G$3/100)*Assumptions!$B$10)))))</f>
        <v/>
      </c>
      <c r="H32" s="56">
        <f>IF((MAX(0,Assumptions!$B$2*EXP(-Assumptions!$B$4*Assumptions!$B$9)*NORMSDIST(((LN(Assumptions!$B$2/$B11)+(Assumptions!$B$3-Assumptions!$B$4+(H$3/100)^2/2)*Assumptions!$B$9)/((H$3/100)*Assumptions!$B$10)))-$B11*EXP(-Assumptions!$B$3*Assumptions!$B$9)*NORMSDIST((((LN(Assumptions!$B$2/$B11)+(Assumptions!$B$3-Assumptions!$B$4+(H$3/100)^2/2)*Assumptions!$B$9)/((H$3/100)*Assumptions!$B$10))-(H$3/100)*Assumptions!$B$10))))&lt;=0,"",(Assumptions!$B$2*EXP(-Assumptions!$B$4*Assumptions!$B$9)*NORMDIST(((LN(Assumptions!$B$2/$B11)+(Assumptions!$B$3-Assumptions!$B$4+(H$3/100)^2/2)*Assumptions!$B$9)/((H$3/100)*Assumptions!$B$10)),0,1,FALSE)*Assumptions!$B$10*0.01)*0.5/(MAX(0,Assumptions!$B$2*EXP(-Assumptions!$B$4*Assumptions!$B$9)*NORMSDIST(((LN(Assumptions!$B$2/$B11)+(Assumptions!$B$3-Assumptions!$B$4+(H$3/100)^2/2)*Assumptions!$B$9)/((H$3/100)*Assumptions!$B$10)))-$B11*EXP(-Assumptions!$B$3*Assumptions!$B$9)*NORMSDIST((((LN(Assumptions!$B$2/$B11)+(Assumptions!$B$3-Assumptions!$B$4+(H$3/100)^2/2)*Assumptions!$B$9)/((H$3/100)*Assumptions!$B$10))-(H$3/100)*Assumptions!$B$10)))))</f>
        <v/>
      </c>
      <c r="I32" s="56">
        <f>IF((MAX(0,Assumptions!$B$2*EXP(-Assumptions!$B$4*Assumptions!$B$9)*NORMSDIST(((LN(Assumptions!$B$2/$B11)+(Assumptions!$B$3-Assumptions!$B$4+(I$3/100)^2/2)*Assumptions!$B$9)/((I$3/100)*Assumptions!$B$10)))-$B11*EXP(-Assumptions!$B$3*Assumptions!$B$9)*NORMSDIST((((LN(Assumptions!$B$2/$B11)+(Assumptions!$B$3-Assumptions!$B$4+(I$3/100)^2/2)*Assumptions!$B$9)/((I$3/100)*Assumptions!$B$10))-(I$3/100)*Assumptions!$B$10))))&lt;=0,"",(Assumptions!$B$2*EXP(-Assumptions!$B$4*Assumptions!$B$9)*NORMDIST(((LN(Assumptions!$B$2/$B11)+(Assumptions!$B$3-Assumptions!$B$4+(I$3/100)^2/2)*Assumptions!$B$9)/((I$3/100)*Assumptions!$B$10)),0,1,FALSE)*Assumptions!$B$10*0.01)*0.5/(MAX(0,Assumptions!$B$2*EXP(-Assumptions!$B$4*Assumptions!$B$9)*NORMSDIST(((LN(Assumptions!$B$2/$B11)+(Assumptions!$B$3-Assumptions!$B$4+(I$3/100)^2/2)*Assumptions!$B$9)/((I$3/100)*Assumptions!$B$10)))-$B11*EXP(-Assumptions!$B$3*Assumptions!$B$9)*NORMSDIST((((LN(Assumptions!$B$2/$B11)+(Assumptions!$B$3-Assumptions!$B$4+(I$3/100)^2/2)*Assumptions!$B$9)/((I$3/100)*Assumptions!$B$10))-(I$3/100)*Assumptions!$B$10)))))</f>
        <v/>
      </c>
      <c r="J32" s="56">
        <f>IF((MAX(0,Assumptions!$B$2*EXP(-Assumptions!$B$4*Assumptions!$B$9)*NORMSDIST(((LN(Assumptions!$B$2/$B11)+(Assumptions!$B$3-Assumptions!$B$4+(J$3/100)^2/2)*Assumptions!$B$9)/((J$3/100)*Assumptions!$B$10)))-$B11*EXP(-Assumptions!$B$3*Assumptions!$B$9)*NORMSDIST((((LN(Assumptions!$B$2/$B11)+(Assumptions!$B$3-Assumptions!$B$4+(J$3/100)^2/2)*Assumptions!$B$9)/((J$3/100)*Assumptions!$B$10))-(J$3/100)*Assumptions!$B$10))))&lt;=0,"",(Assumptions!$B$2*EXP(-Assumptions!$B$4*Assumptions!$B$9)*NORMDIST(((LN(Assumptions!$B$2/$B11)+(Assumptions!$B$3-Assumptions!$B$4+(J$3/100)^2/2)*Assumptions!$B$9)/((J$3/100)*Assumptions!$B$10)),0,1,FALSE)*Assumptions!$B$10*0.01)*0.5/(MAX(0,Assumptions!$B$2*EXP(-Assumptions!$B$4*Assumptions!$B$9)*NORMSDIST(((LN(Assumptions!$B$2/$B11)+(Assumptions!$B$3-Assumptions!$B$4+(J$3/100)^2/2)*Assumptions!$B$9)/((J$3/100)*Assumptions!$B$10)))-$B11*EXP(-Assumptions!$B$3*Assumptions!$B$9)*NORMSDIST((((LN(Assumptions!$B$2/$B11)+(Assumptions!$B$3-Assumptions!$B$4+(J$3/100)^2/2)*Assumptions!$B$9)/((J$3/100)*Assumptions!$B$10))-(J$3/100)*Assumptions!$B$10)))))</f>
        <v/>
      </c>
      <c r="K32" s="56">
        <f>IF((MAX(0,Assumptions!$B$2*EXP(-Assumptions!$B$4*Assumptions!$B$9)*NORMSDIST(((LN(Assumptions!$B$2/$B11)+(Assumptions!$B$3-Assumptions!$B$4+(K$3/100)^2/2)*Assumptions!$B$9)/((K$3/100)*Assumptions!$B$10)))-$B11*EXP(-Assumptions!$B$3*Assumptions!$B$9)*NORMSDIST((((LN(Assumptions!$B$2/$B11)+(Assumptions!$B$3-Assumptions!$B$4+(K$3/100)^2/2)*Assumptions!$B$9)/((K$3/100)*Assumptions!$B$10))-(K$3/100)*Assumptions!$B$10))))&lt;=0,"",(Assumptions!$B$2*EXP(-Assumptions!$B$4*Assumptions!$B$9)*NORMDIST(((LN(Assumptions!$B$2/$B11)+(Assumptions!$B$3-Assumptions!$B$4+(K$3/100)^2/2)*Assumptions!$B$9)/((K$3/100)*Assumptions!$B$10)),0,1,FALSE)*Assumptions!$B$10*0.01)*0.5/(MAX(0,Assumptions!$B$2*EXP(-Assumptions!$B$4*Assumptions!$B$9)*NORMSDIST(((LN(Assumptions!$B$2/$B11)+(Assumptions!$B$3-Assumptions!$B$4+(K$3/100)^2/2)*Assumptions!$B$9)/((K$3/100)*Assumptions!$B$10)))-$B11*EXP(-Assumptions!$B$3*Assumptions!$B$9)*NORMSDIST((((LN(Assumptions!$B$2/$B11)+(Assumptions!$B$3-Assumptions!$B$4+(K$3/100)^2/2)*Assumptions!$B$9)/((K$3/100)*Assumptions!$B$10))-(K$3/100)*Assumptions!$B$10)))))</f>
        <v/>
      </c>
      <c r="L32" s="56">
        <f>IF((MAX(0,Assumptions!$B$2*EXP(-Assumptions!$B$4*Assumptions!$B$9)*NORMSDIST(((LN(Assumptions!$B$2/$B11)+(Assumptions!$B$3-Assumptions!$B$4+(L$3/100)^2/2)*Assumptions!$B$9)/((L$3/100)*Assumptions!$B$10)))-$B11*EXP(-Assumptions!$B$3*Assumptions!$B$9)*NORMSDIST((((LN(Assumptions!$B$2/$B11)+(Assumptions!$B$3-Assumptions!$B$4+(L$3/100)^2/2)*Assumptions!$B$9)/((L$3/100)*Assumptions!$B$10))-(L$3/100)*Assumptions!$B$10))))&lt;=0,"",(Assumptions!$B$2*EXP(-Assumptions!$B$4*Assumptions!$B$9)*NORMDIST(((LN(Assumptions!$B$2/$B11)+(Assumptions!$B$3-Assumptions!$B$4+(L$3/100)^2/2)*Assumptions!$B$9)/((L$3/100)*Assumptions!$B$10)),0,1,FALSE)*Assumptions!$B$10*0.01)*0.5/(MAX(0,Assumptions!$B$2*EXP(-Assumptions!$B$4*Assumptions!$B$9)*NORMSDIST(((LN(Assumptions!$B$2/$B11)+(Assumptions!$B$3-Assumptions!$B$4+(L$3/100)^2/2)*Assumptions!$B$9)/((L$3/100)*Assumptions!$B$10)))-$B11*EXP(-Assumptions!$B$3*Assumptions!$B$9)*NORMSDIST((((LN(Assumptions!$B$2/$B11)+(Assumptions!$B$3-Assumptions!$B$4+(L$3/100)^2/2)*Assumptions!$B$9)/((L$3/100)*Assumptions!$B$10))-(L$3/100)*Assumptions!$B$10)))))</f>
        <v/>
      </c>
      <c r="M32" s="56">
        <f>IF((MAX(0,Assumptions!$B$2*EXP(-Assumptions!$B$4*Assumptions!$B$9)*NORMSDIST(((LN(Assumptions!$B$2/$B11)+(Assumptions!$B$3-Assumptions!$B$4+(M$3/100)^2/2)*Assumptions!$B$9)/((M$3/100)*Assumptions!$B$10)))-$B11*EXP(-Assumptions!$B$3*Assumptions!$B$9)*NORMSDIST((((LN(Assumptions!$B$2/$B11)+(Assumptions!$B$3-Assumptions!$B$4+(M$3/100)^2/2)*Assumptions!$B$9)/((M$3/100)*Assumptions!$B$10))-(M$3/100)*Assumptions!$B$10))))&lt;=0,"",(Assumptions!$B$2*EXP(-Assumptions!$B$4*Assumptions!$B$9)*NORMDIST(((LN(Assumptions!$B$2/$B11)+(Assumptions!$B$3-Assumptions!$B$4+(M$3/100)^2/2)*Assumptions!$B$9)/((M$3/100)*Assumptions!$B$10)),0,1,FALSE)*Assumptions!$B$10*0.01)*0.5/(MAX(0,Assumptions!$B$2*EXP(-Assumptions!$B$4*Assumptions!$B$9)*NORMSDIST(((LN(Assumptions!$B$2/$B11)+(Assumptions!$B$3-Assumptions!$B$4+(M$3/100)^2/2)*Assumptions!$B$9)/((M$3/100)*Assumptions!$B$10)))-$B11*EXP(-Assumptions!$B$3*Assumptions!$B$9)*NORMSDIST((((LN(Assumptions!$B$2/$B11)+(Assumptions!$B$3-Assumptions!$B$4+(M$3/100)^2/2)*Assumptions!$B$9)/((M$3/100)*Assumptions!$B$10))-(M$3/100)*Assumptions!$B$10)))))</f>
        <v/>
      </c>
      <c r="N32" s="56">
        <f>IF((MAX(0,Assumptions!$B$2*EXP(-Assumptions!$B$4*Assumptions!$B$9)*NORMSDIST(((LN(Assumptions!$B$2/$B11)+(Assumptions!$B$3-Assumptions!$B$4+(N$3/100)^2/2)*Assumptions!$B$9)/((N$3/100)*Assumptions!$B$10)))-$B11*EXP(-Assumptions!$B$3*Assumptions!$B$9)*NORMSDIST((((LN(Assumptions!$B$2/$B11)+(Assumptions!$B$3-Assumptions!$B$4+(N$3/100)^2/2)*Assumptions!$B$9)/((N$3/100)*Assumptions!$B$10))-(N$3/100)*Assumptions!$B$10))))&lt;=0,"",(Assumptions!$B$2*EXP(-Assumptions!$B$4*Assumptions!$B$9)*NORMDIST(((LN(Assumptions!$B$2/$B11)+(Assumptions!$B$3-Assumptions!$B$4+(N$3/100)^2/2)*Assumptions!$B$9)/((N$3/100)*Assumptions!$B$10)),0,1,FALSE)*Assumptions!$B$10*0.01)*0.5/(MAX(0,Assumptions!$B$2*EXP(-Assumptions!$B$4*Assumptions!$B$9)*NORMSDIST(((LN(Assumptions!$B$2/$B11)+(Assumptions!$B$3-Assumptions!$B$4+(N$3/100)^2/2)*Assumptions!$B$9)/((N$3/100)*Assumptions!$B$10)))-$B11*EXP(-Assumptions!$B$3*Assumptions!$B$9)*NORMSDIST((((LN(Assumptions!$B$2/$B11)+(Assumptions!$B$3-Assumptions!$B$4+(N$3/100)^2/2)*Assumptions!$B$9)/((N$3/100)*Assumptions!$B$10))-(N$3/100)*Assumptions!$B$10)))))</f>
        <v/>
      </c>
      <c r="O32" s="56">
        <f>IF((MAX(0,Assumptions!$B$2*EXP(-Assumptions!$B$4*Assumptions!$B$9)*NORMSDIST(((LN(Assumptions!$B$2/$B11)+(Assumptions!$B$3-Assumptions!$B$4+(O$3/100)^2/2)*Assumptions!$B$9)/((O$3/100)*Assumptions!$B$10)))-$B11*EXP(-Assumptions!$B$3*Assumptions!$B$9)*NORMSDIST((((LN(Assumptions!$B$2/$B11)+(Assumptions!$B$3-Assumptions!$B$4+(O$3/100)^2/2)*Assumptions!$B$9)/((O$3/100)*Assumptions!$B$10))-(O$3/100)*Assumptions!$B$10))))&lt;=0,"",(Assumptions!$B$2*EXP(-Assumptions!$B$4*Assumptions!$B$9)*NORMDIST(((LN(Assumptions!$B$2/$B11)+(Assumptions!$B$3-Assumptions!$B$4+(O$3/100)^2/2)*Assumptions!$B$9)/((O$3/100)*Assumptions!$B$10)),0,1,FALSE)*Assumptions!$B$10*0.01)*0.5/(MAX(0,Assumptions!$B$2*EXP(-Assumptions!$B$4*Assumptions!$B$9)*NORMSDIST(((LN(Assumptions!$B$2/$B11)+(Assumptions!$B$3-Assumptions!$B$4+(O$3/100)^2/2)*Assumptions!$B$9)/((O$3/100)*Assumptions!$B$10)))-$B11*EXP(-Assumptions!$B$3*Assumptions!$B$9)*NORMSDIST((((LN(Assumptions!$B$2/$B11)+(Assumptions!$B$3-Assumptions!$B$4+(O$3/100)^2/2)*Assumptions!$B$9)/((O$3/100)*Assumptions!$B$10))-(O$3/100)*Assumptions!$B$10)))))</f>
        <v/>
      </c>
      <c r="P32" s="56">
        <f>IF((MAX(0,Assumptions!$B$2*EXP(-Assumptions!$B$4*Assumptions!$B$9)*NORMSDIST(((LN(Assumptions!$B$2/$B11)+(Assumptions!$B$3-Assumptions!$B$4+(P$3/100)^2/2)*Assumptions!$B$9)/((P$3/100)*Assumptions!$B$10)))-$B11*EXP(-Assumptions!$B$3*Assumptions!$B$9)*NORMSDIST((((LN(Assumptions!$B$2/$B11)+(Assumptions!$B$3-Assumptions!$B$4+(P$3/100)^2/2)*Assumptions!$B$9)/((P$3/100)*Assumptions!$B$10))-(P$3/100)*Assumptions!$B$10))))&lt;=0,"",(Assumptions!$B$2*EXP(-Assumptions!$B$4*Assumptions!$B$9)*NORMDIST(((LN(Assumptions!$B$2/$B11)+(Assumptions!$B$3-Assumptions!$B$4+(P$3/100)^2/2)*Assumptions!$B$9)/((P$3/100)*Assumptions!$B$10)),0,1,FALSE)*Assumptions!$B$10*0.01)*0.5/(MAX(0,Assumptions!$B$2*EXP(-Assumptions!$B$4*Assumptions!$B$9)*NORMSDIST(((LN(Assumptions!$B$2/$B11)+(Assumptions!$B$3-Assumptions!$B$4+(P$3/100)^2/2)*Assumptions!$B$9)/((P$3/100)*Assumptions!$B$10)))-$B11*EXP(-Assumptions!$B$3*Assumptions!$B$9)*NORMSDIST((((LN(Assumptions!$B$2/$B11)+(Assumptions!$B$3-Assumptions!$B$4+(P$3/100)^2/2)*Assumptions!$B$9)/((P$3/100)*Assumptions!$B$10))-(P$3/100)*Assumptions!$B$10)))))</f>
        <v/>
      </c>
      <c r="Q32" s="56">
        <f>IF((MAX(0,Assumptions!$B$2*EXP(-Assumptions!$B$4*Assumptions!$B$9)*NORMSDIST(((LN(Assumptions!$B$2/$B11)+(Assumptions!$B$3-Assumptions!$B$4+(Q$3/100)^2/2)*Assumptions!$B$9)/((Q$3/100)*Assumptions!$B$10)))-$B11*EXP(-Assumptions!$B$3*Assumptions!$B$9)*NORMSDIST((((LN(Assumptions!$B$2/$B11)+(Assumptions!$B$3-Assumptions!$B$4+(Q$3/100)^2/2)*Assumptions!$B$9)/((Q$3/100)*Assumptions!$B$10))-(Q$3/100)*Assumptions!$B$10))))&lt;=0,"",(Assumptions!$B$2*EXP(-Assumptions!$B$4*Assumptions!$B$9)*NORMDIST(((LN(Assumptions!$B$2/$B11)+(Assumptions!$B$3-Assumptions!$B$4+(Q$3/100)^2/2)*Assumptions!$B$9)/((Q$3/100)*Assumptions!$B$10)),0,1,FALSE)*Assumptions!$B$10*0.01)*0.5/(MAX(0,Assumptions!$B$2*EXP(-Assumptions!$B$4*Assumptions!$B$9)*NORMSDIST(((LN(Assumptions!$B$2/$B11)+(Assumptions!$B$3-Assumptions!$B$4+(Q$3/100)^2/2)*Assumptions!$B$9)/((Q$3/100)*Assumptions!$B$10)))-$B11*EXP(-Assumptions!$B$3*Assumptions!$B$9)*NORMSDIST((((LN(Assumptions!$B$2/$B11)+(Assumptions!$B$3-Assumptions!$B$4+(Q$3/100)^2/2)*Assumptions!$B$9)/((Q$3/100)*Assumptions!$B$10))-(Q$3/100)*Assumptions!$B$10)))))</f>
        <v/>
      </c>
      <c r="R32" s="56">
        <f>IF((MAX(0,Assumptions!$B$2*EXP(-Assumptions!$B$4*Assumptions!$B$9)*NORMSDIST(((LN(Assumptions!$B$2/$B11)+(Assumptions!$B$3-Assumptions!$B$4+(R$3/100)^2/2)*Assumptions!$B$9)/((R$3/100)*Assumptions!$B$10)))-$B11*EXP(-Assumptions!$B$3*Assumptions!$B$9)*NORMSDIST((((LN(Assumptions!$B$2/$B11)+(Assumptions!$B$3-Assumptions!$B$4+(R$3/100)^2/2)*Assumptions!$B$9)/((R$3/100)*Assumptions!$B$10))-(R$3/100)*Assumptions!$B$10))))&lt;=0,"",(Assumptions!$B$2*EXP(-Assumptions!$B$4*Assumptions!$B$9)*NORMDIST(((LN(Assumptions!$B$2/$B11)+(Assumptions!$B$3-Assumptions!$B$4+(R$3/100)^2/2)*Assumptions!$B$9)/((R$3/100)*Assumptions!$B$10)),0,1,FALSE)*Assumptions!$B$10*0.01)*0.5/(MAX(0,Assumptions!$B$2*EXP(-Assumptions!$B$4*Assumptions!$B$9)*NORMSDIST(((LN(Assumptions!$B$2/$B11)+(Assumptions!$B$3-Assumptions!$B$4+(R$3/100)^2/2)*Assumptions!$B$9)/((R$3/100)*Assumptions!$B$10)))-$B11*EXP(-Assumptions!$B$3*Assumptions!$B$9)*NORMSDIST((((LN(Assumptions!$B$2/$B11)+(Assumptions!$B$3-Assumptions!$B$4+(R$3/100)^2/2)*Assumptions!$B$9)/((R$3/100)*Assumptions!$B$10))-(R$3/100)*Assumptions!$B$10)))))</f>
        <v/>
      </c>
      <c r="S32" s="56">
        <f>IF((MAX(0,Assumptions!$B$2*EXP(-Assumptions!$B$4*Assumptions!$B$9)*NORMSDIST(((LN(Assumptions!$B$2/$B11)+(Assumptions!$B$3-Assumptions!$B$4+(S$3/100)^2/2)*Assumptions!$B$9)/((S$3/100)*Assumptions!$B$10)))-$B11*EXP(-Assumptions!$B$3*Assumptions!$B$9)*NORMSDIST((((LN(Assumptions!$B$2/$B11)+(Assumptions!$B$3-Assumptions!$B$4+(S$3/100)^2/2)*Assumptions!$B$9)/((S$3/100)*Assumptions!$B$10))-(S$3/100)*Assumptions!$B$10))))&lt;=0,"",(Assumptions!$B$2*EXP(-Assumptions!$B$4*Assumptions!$B$9)*NORMDIST(((LN(Assumptions!$B$2/$B11)+(Assumptions!$B$3-Assumptions!$B$4+(S$3/100)^2/2)*Assumptions!$B$9)/((S$3/100)*Assumptions!$B$10)),0,1,FALSE)*Assumptions!$B$10*0.01)*0.5/(MAX(0,Assumptions!$B$2*EXP(-Assumptions!$B$4*Assumptions!$B$9)*NORMSDIST(((LN(Assumptions!$B$2/$B11)+(Assumptions!$B$3-Assumptions!$B$4+(S$3/100)^2/2)*Assumptions!$B$9)/((S$3/100)*Assumptions!$B$10)))-$B11*EXP(-Assumptions!$B$3*Assumptions!$B$9)*NORMSDIST((((LN(Assumptions!$B$2/$B11)+(Assumptions!$B$3-Assumptions!$B$4+(S$3/100)^2/2)*Assumptions!$B$9)/((S$3/100)*Assumptions!$B$10))-(S$3/100)*Assumptions!$B$10)))))</f>
        <v/>
      </c>
      <c r="T32" s="56">
        <f>IF((MAX(0,Assumptions!$B$2*EXP(-Assumptions!$B$4*Assumptions!$B$9)*NORMSDIST(((LN(Assumptions!$B$2/$B11)+(Assumptions!$B$3-Assumptions!$B$4+(T$3/100)^2/2)*Assumptions!$B$9)/((T$3/100)*Assumptions!$B$10)))-$B11*EXP(-Assumptions!$B$3*Assumptions!$B$9)*NORMSDIST((((LN(Assumptions!$B$2/$B11)+(Assumptions!$B$3-Assumptions!$B$4+(T$3/100)^2/2)*Assumptions!$B$9)/((T$3/100)*Assumptions!$B$10))-(T$3/100)*Assumptions!$B$10))))&lt;=0,"",(Assumptions!$B$2*EXP(-Assumptions!$B$4*Assumptions!$B$9)*NORMDIST(((LN(Assumptions!$B$2/$B11)+(Assumptions!$B$3-Assumptions!$B$4+(T$3/100)^2/2)*Assumptions!$B$9)/((T$3/100)*Assumptions!$B$10)),0,1,FALSE)*Assumptions!$B$10*0.01)*0.5/(MAX(0,Assumptions!$B$2*EXP(-Assumptions!$B$4*Assumptions!$B$9)*NORMSDIST(((LN(Assumptions!$B$2/$B11)+(Assumptions!$B$3-Assumptions!$B$4+(T$3/100)^2/2)*Assumptions!$B$9)/((T$3/100)*Assumptions!$B$10)))-$B11*EXP(-Assumptions!$B$3*Assumptions!$B$9)*NORMSDIST((((LN(Assumptions!$B$2/$B11)+(Assumptions!$B$3-Assumptions!$B$4+(T$3/100)^2/2)*Assumptions!$B$9)/((T$3/100)*Assumptions!$B$10))-(T$3/100)*Assumptions!$B$10)))))</f>
        <v/>
      </c>
      <c r="U32" s="56">
        <f>IF((MAX(0,Assumptions!$B$2*EXP(-Assumptions!$B$4*Assumptions!$B$9)*NORMSDIST(((LN(Assumptions!$B$2/$B11)+(Assumptions!$B$3-Assumptions!$B$4+(U$3/100)^2/2)*Assumptions!$B$9)/((U$3/100)*Assumptions!$B$10)))-$B11*EXP(-Assumptions!$B$3*Assumptions!$B$9)*NORMSDIST((((LN(Assumptions!$B$2/$B11)+(Assumptions!$B$3-Assumptions!$B$4+(U$3/100)^2/2)*Assumptions!$B$9)/((U$3/100)*Assumptions!$B$10))-(U$3/100)*Assumptions!$B$10))))&lt;=0,"",(Assumptions!$B$2*EXP(-Assumptions!$B$4*Assumptions!$B$9)*NORMDIST(((LN(Assumptions!$B$2/$B11)+(Assumptions!$B$3-Assumptions!$B$4+(U$3/100)^2/2)*Assumptions!$B$9)/((U$3/100)*Assumptions!$B$10)),0,1,FALSE)*Assumptions!$B$10*0.01)*0.5/(MAX(0,Assumptions!$B$2*EXP(-Assumptions!$B$4*Assumptions!$B$9)*NORMSDIST(((LN(Assumptions!$B$2/$B11)+(Assumptions!$B$3-Assumptions!$B$4+(U$3/100)^2/2)*Assumptions!$B$9)/((U$3/100)*Assumptions!$B$10)))-$B11*EXP(-Assumptions!$B$3*Assumptions!$B$9)*NORMSDIST((((LN(Assumptions!$B$2/$B11)+(Assumptions!$B$3-Assumptions!$B$4+(U$3/100)^2/2)*Assumptions!$B$9)/((U$3/100)*Assumptions!$B$10))-(U$3/100)*Assumptions!$B$10)))))</f>
        <v/>
      </c>
      <c r="V32" s="56">
        <f>IF((MAX(0,Assumptions!$B$2*EXP(-Assumptions!$B$4*Assumptions!$B$9)*NORMSDIST(((LN(Assumptions!$B$2/$B11)+(Assumptions!$B$3-Assumptions!$B$4+(V$3/100)^2/2)*Assumptions!$B$9)/((V$3/100)*Assumptions!$B$10)))-$B11*EXP(-Assumptions!$B$3*Assumptions!$B$9)*NORMSDIST((((LN(Assumptions!$B$2/$B11)+(Assumptions!$B$3-Assumptions!$B$4+(V$3/100)^2/2)*Assumptions!$B$9)/((V$3/100)*Assumptions!$B$10))-(V$3/100)*Assumptions!$B$10))))&lt;=0,"",(Assumptions!$B$2*EXP(-Assumptions!$B$4*Assumptions!$B$9)*NORMDIST(((LN(Assumptions!$B$2/$B11)+(Assumptions!$B$3-Assumptions!$B$4+(V$3/100)^2/2)*Assumptions!$B$9)/((V$3/100)*Assumptions!$B$10)),0,1,FALSE)*Assumptions!$B$10*0.01)*0.5/(MAX(0,Assumptions!$B$2*EXP(-Assumptions!$B$4*Assumptions!$B$9)*NORMSDIST(((LN(Assumptions!$B$2/$B11)+(Assumptions!$B$3-Assumptions!$B$4+(V$3/100)^2/2)*Assumptions!$B$9)/((V$3/100)*Assumptions!$B$10)))-$B11*EXP(-Assumptions!$B$3*Assumptions!$B$9)*NORMSDIST((((LN(Assumptions!$B$2/$B11)+(Assumptions!$B$3-Assumptions!$B$4+(V$3/100)^2/2)*Assumptions!$B$9)/((V$3/100)*Assumptions!$B$10))-(V$3/100)*Assumptions!$B$10)))))</f>
        <v/>
      </c>
      <c r="W32" s="56">
        <f>IF((MAX(0,Assumptions!$B$2*EXP(-Assumptions!$B$4*Assumptions!$B$9)*NORMSDIST(((LN(Assumptions!$B$2/$B11)+(Assumptions!$B$3-Assumptions!$B$4+(W$3/100)^2/2)*Assumptions!$B$9)/((W$3/100)*Assumptions!$B$10)))-$B11*EXP(-Assumptions!$B$3*Assumptions!$B$9)*NORMSDIST((((LN(Assumptions!$B$2/$B11)+(Assumptions!$B$3-Assumptions!$B$4+(W$3/100)^2/2)*Assumptions!$B$9)/((W$3/100)*Assumptions!$B$10))-(W$3/100)*Assumptions!$B$10))))&lt;=0,"",(Assumptions!$B$2*EXP(-Assumptions!$B$4*Assumptions!$B$9)*NORMDIST(((LN(Assumptions!$B$2/$B11)+(Assumptions!$B$3-Assumptions!$B$4+(W$3/100)^2/2)*Assumptions!$B$9)/((W$3/100)*Assumptions!$B$10)),0,1,FALSE)*Assumptions!$B$10*0.01)*0.5/(MAX(0,Assumptions!$B$2*EXP(-Assumptions!$B$4*Assumptions!$B$9)*NORMSDIST(((LN(Assumptions!$B$2/$B11)+(Assumptions!$B$3-Assumptions!$B$4+(W$3/100)^2/2)*Assumptions!$B$9)/((W$3/100)*Assumptions!$B$10)))-$B11*EXP(-Assumptions!$B$3*Assumptions!$B$9)*NORMSDIST((((LN(Assumptions!$B$2/$B11)+(Assumptions!$B$3-Assumptions!$B$4+(W$3/100)^2/2)*Assumptions!$B$9)/((W$3/100)*Assumptions!$B$10))-(W$3/100)*Assumptions!$B$10)))))</f>
        <v/>
      </c>
      <c r="X32" s="56">
        <f>IF((MAX(0,Assumptions!$B$2*EXP(-Assumptions!$B$4*Assumptions!$B$9)*NORMSDIST(((LN(Assumptions!$B$2/$B11)+(Assumptions!$B$3-Assumptions!$B$4+(X$3/100)^2/2)*Assumptions!$B$9)/((X$3/100)*Assumptions!$B$10)))-$B11*EXP(-Assumptions!$B$3*Assumptions!$B$9)*NORMSDIST((((LN(Assumptions!$B$2/$B11)+(Assumptions!$B$3-Assumptions!$B$4+(X$3/100)^2/2)*Assumptions!$B$9)/((X$3/100)*Assumptions!$B$10))-(X$3/100)*Assumptions!$B$10))))&lt;=0,"",(Assumptions!$B$2*EXP(-Assumptions!$B$4*Assumptions!$B$9)*NORMDIST(((LN(Assumptions!$B$2/$B11)+(Assumptions!$B$3-Assumptions!$B$4+(X$3/100)^2/2)*Assumptions!$B$9)/((X$3/100)*Assumptions!$B$10)),0,1,FALSE)*Assumptions!$B$10*0.01)*0.5/(MAX(0,Assumptions!$B$2*EXP(-Assumptions!$B$4*Assumptions!$B$9)*NORMSDIST(((LN(Assumptions!$B$2/$B11)+(Assumptions!$B$3-Assumptions!$B$4+(X$3/100)^2/2)*Assumptions!$B$9)/((X$3/100)*Assumptions!$B$10)))-$B11*EXP(-Assumptions!$B$3*Assumptions!$B$9)*NORMSDIST((((LN(Assumptions!$B$2/$B11)+(Assumptions!$B$3-Assumptions!$B$4+(X$3/100)^2/2)*Assumptions!$B$9)/((X$3/100)*Assumptions!$B$10))-(X$3/100)*Assumptions!$B$10)))))</f>
        <v/>
      </c>
      <c r="Y32" s="56">
        <f>IF((MAX(0,Assumptions!$B$2*EXP(-Assumptions!$B$4*Assumptions!$B$9)*NORMSDIST(((LN(Assumptions!$B$2/$B11)+(Assumptions!$B$3-Assumptions!$B$4+(Y$3/100)^2/2)*Assumptions!$B$9)/((Y$3/100)*Assumptions!$B$10)))-$B11*EXP(-Assumptions!$B$3*Assumptions!$B$9)*NORMSDIST((((LN(Assumptions!$B$2/$B11)+(Assumptions!$B$3-Assumptions!$B$4+(Y$3/100)^2/2)*Assumptions!$B$9)/((Y$3/100)*Assumptions!$B$10))-(Y$3/100)*Assumptions!$B$10))))&lt;=0,"",(Assumptions!$B$2*EXP(-Assumptions!$B$4*Assumptions!$B$9)*NORMDIST(((LN(Assumptions!$B$2/$B11)+(Assumptions!$B$3-Assumptions!$B$4+(Y$3/100)^2/2)*Assumptions!$B$9)/((Y$3/100)*Assumptions!$B$10)),0,1,FALSE)*Assumptions!$B$10*0.01)*0.5/(MAX(0,Assumptions!$B$2*EXP(-Assumptions!$B$4*Assumptions!$B$9)*NORMSDIST(((LN(Assumptions!$B$2/$B11)+(Assumptions!$B$3-Assumptions!$B$4+(Y$3/100)^2/2)*Assumptions!$B$9)/((Y$3/100)*Assumptions!$B$10)))-$B11*EXP(-Assumptions!$B$3*Assumptions!$B$9)*NORMSDIST((((LN(Assumptions!$B$2/$B11)+(Assumptions!$B$3-Assumptions!$B$4+(Y$3/100)^2/2)*Assumptions!$B$9)/((Y$3/100)*Assumptions!$B$10))-(Y$3/100)*Assumptions!$B$10)))))</f>
        <v/>
      </c>
      <c r="Z32" s="56">
        <f>IF((MAX(0,Assumptions!$B$2*EXP(-Assumptions!$B$4*Assumptions!$B$9)*NORMSDIST(((LN(Assumptions!$B$2/$B11)+(Assumptions!$B$3-Assumptions!$B$4+(Z$3/100)^2/2)*Assumptions!$B$9)/((Z$3/100)*Assumptions!$B$10)))-$B11*EXP(-Assumptions!$B$3*Assumptions!$B$9)*NORMSDIST((((LN(Assumptions!$B$2/$B11)+(Assumptions!$B$3-Assumptions!$B$4+(Z$3/100)^2/2)*Assumptions!$B$9)/((Z$3/100)*Assumptions!$B$10))-(Z$3/100)*Assumptions!$B$10))))&lt;=0,"",(Assumptions!$B$2*EXP(-Assumptions!$B$4*Assumptions!$B$9)*NORMDIST(((LN(Assumptions!$B$2/$B11)+(Assumptions!$B$3-Assumptions!$B$4+(Z$3/100)^2/2)*Assumptions!$B$9)/((Z$3/100)*Assumptions!$B$10)),0,1,FALSE)*Assumptions!$B$10*0.01)*0.5/(MAX(0,Assumptions!$B$2*EXP(-Assumptions!$B$4*Assumptions!$B$9)*NORMSDIST(((LN(Assumptions!$B$2/$B11)+(Assumptions!$B$3-Assumptions!$B$4+(Z$3/100)^2/2)*Assumptions!$B$9)/((Z$3/100)*Assumptions!$B$10)))-$B11*EXP(-Assumptions!$B$3*Assumptions!$B$9)*NORMSDIST((((LN(Assumptions!$B$2/$B11)+(Assumptions!$B$3-Assumptions!$B$4+(Z$3/100)^2/2)*Assumptions!$B$9)/((Z$3/100)*Assumptions!$B$10))-(Z$3/100)*Assumptions!$B$10)))))</f>
        <v/>
      </c>
      <c r="AA32" s="56">
        <f>IF((MAX(0,Assumptions!$B$2*EXP(-Assumptions!$B$4*Assumptions!$B$9)*NORMSDIST(((LN(Assumptions!$B$2/$B11)+(Assumptions!$B$3-Assumptions!$B$4+(AA$3/100)^2/2)*Assumptions!$B$9)/((AA$3/100)*Assumptions!$B$10)))-$B11*EXP(-Assumptions!$B$3*Assumptions!$B$9)*NORMSDIST((((LN(Assumptions!$B$2/$B11)+(Assumptions!$B$3-Assumptions!$B$4+(AA$3/100)^2/2)*Assumptions!$B$9)/((AA$3/100)*Assumptions!$B$10))-(AA$3/100)*Assumptions!$B$10))))&lt;=0,"",(Assumptions!$B$2*EXP(-Assumptions!$B$4*Assumptions!$B$9)*NORMDIST(((LN(Assumptions!$B$2/$B11)+(Assumptions!$B$3-Assumptions!$B$4+(AA$3/100)^2/2)*Assumptions!$B$9)/((AA$3/100)*Assumptions!$B$10)),0,1,FALSE)*Assumptions!$B$10*0.01)*0.5/(MAX(0,Assumptions!$B$2*EXP(-Assumptions!$B$4*Assumptions!$B$9)*NORMSDIST(((LN(Assumptions!$B$2/$B11)+(Assumptions!$B$3-Assumptions!$B$4+(AA$3/100)^2/2)*Assumptions!$B$9)/((AA$3/100)*Assumptions!$B$10)))-$B11*EXP(-Assumptions!$B$3*Assumptions!$B$9)*NORMSDIST((((LN(Assumptions!$B$2/$B11)+(Assumptions!$B$3-Assumptions!$B$4+(AA$3/100)^2/2)*Assumptions!$B$9)/((AA$3/100)*Assumptions!$B$10))-(AA$3/100)*Assumptions!$B$10)))))</f>
        <v/>
      </c>
      <c r="AB32" s="56">
        <f>IF((MAX(0,Assumptions!$B$2*EXP(-Assumptions!$B$4*Assumptions!$B$9)*NORMSDIST(((LN(Assumptions!$B$2/$B11)+(Assumptions!$B$3-Assumptions!$B$4+(AB$3/100)^2/2)*Assumptions!$B$9)/((AB$3/100)*Assumptions!$B$10)))-$B11*EXP(-Assumptions!$B$3*Assumptions!$B$9)*NORMSDIST((((LN(Assumptions!$B$2/$B11)+(Assumptions!$B$3-Assumptions!$B$4+(AB$3/100)^2/2)*Assumptions!$B$9)/((AB$3/100)*Assumptions!$B$10))-(AB$3/100)*Assumptions!$B$10))))&lt;=0,"",(Assumptions!$B$2*EXP(-Assumptions!$B$4*Assumptions!$B$9)*NORMDIST(((LN(Assumptions!$B$2/$B11)+(Assumptions!$B$3-Assumptions!$B$4+(AB$3/100)^2/2)*Assumptions!$B$9)/((AB$3/100)*Assumptions!$B$10)),0,1,FALSE)*Assumptions!$B$10*0.01)*0.5/(MAX(0,Assumptions!$B$2*EXP(-Assumptions!$B$4*Assumptions!$B$9)*NORMSDIST(((LN(Assumptions!$B$2/$B11)+(Assumptions!$B$3-Assumptions!$B$4+(AB$3/100)^2/2)*Assumptions!$B$9)/((AB$3/100)*Assumptions!$B$10)))-$B11*EXP(-Assumptions!$B$3*Assumptions!$B$9)*NORMSDIST((((LN(Assumptions!$B$2/$B11)+(Assumptions!$B$3-Assumptions!$B$4+(AB$3/100)^2/2)*Assumptions!$B$9)/((AB$3/100)*Assumptions!$B$10))-(AB$3/100)*Assumptions!$B$10)))))</f>
        <v/>
      </c>
      <c r="AC32" s="56">
        <f>IF((MAX(0,Assumptions!$B$2*EXP(-Assumptions!$B$4*Assumptions!$B$9)*NORMSDIST(((LN(Assumptions!$B$2/$B11)+(Assumptions!$B$3-Assumptions!$B$4+(AC$3/100)^2/2)*Assumptions!$B$9)/((AC$3/100)*Assumptions!$B$10)))-$B11*EXP(-Assumptions!$B$3*Assumptions!$B$9)*NORMSDIST((((LN(Assumptions!$B$2/$B11)+(Assumptions!$B$3-Assumptions!$B$4+(AC$3/100)^2/2)*Assumptions!$B$9)/((AC$3/100)*Assumptions!$B$10))-(AC$3/100)*Assumptions!$B$10))))&lt;=0,"",(Assumptions!$B$2*EXP(-Assumptions!$B$4*Assumptions!$B$9)*NORMDIST(((LN(Assumptions!$B$2/$B11)+(Assumptions!$B$3-Assumptions!$B$4+(AC$3/100)^2/2)*Assumptions!$B$9)/((AC$3/100)*Assumptions!$B$10)),0,1,FALSE)*Assumptions!$B$10*0.01)*0.5/(MAX(0,Assumptions!$B$2*EXP(-Assumptions!$B$4*Assumptions!$B$9)*NORMSDIST(((LN(Assumptions!$B$2/$B11)+(Assumptions!$B$3-Assumptions!$B$4+(AC$3/100)^2/2)*Assumptions!$B$9)/((AC$3/100)*Assumptions!$B$10)))-$B11*EXP(-Assumptions!$B$3*Assumptions!$B$9)*NORMSDIST((((LN(Assumptions!$B$2/$B11)+(Assumptions!$B$3-Assumptions!$B$4+(AC$3/100)^2/2)*Assumptions!$B$9)/((AC$3/100)*Assumptions!$B$10))-(AC$3/100)*Assumptions!$B$10)))))</f>
        <v/>
      </c>
      <c r="AD32" s="56">
        <f>IF((MAX(0,Assumptions!$B$2*EXP(-Assumptions!$B$4*Assumptions!$B$9)*NORMSDIST(((LN(Assumptions!$B$2/$B11)+(Assumptions!$B$3-Assumptions!$B$4+(AD$3/100)^2/2)*Assumptions!$B$9)/((AD$3/100)*Assumptions!$B$10)))-$B11*EXP(-Assumptions!$B$3*Assumptions!$B$9)*NORMSDIST((((LN(Assumptions!$B$2/$B11)+(Assumptions!$B$3-Assumptions!$B$4+(AD$3/100)^2/2)*Assumptions!$B$9)/((AD$3/100)*Assumptions!$B$10))-(AD$3/100)*Assumptions!$B$10))))&lt;=0,"",(Assumptions!$B$2*EXP(-Assumptions!$B$4*Assumptions!$B$9)*NORMDIST(((LN(Assumptions!$B$2/$B11)+(Assumptions!$B$3-Assumptions!$B$4+(AD$3/100)^2/2)*Assumptions!$B$9)/((AD$3/100)*Assumptions!$B$10)),0,1,FALSE)*Assumptions!$B$10*0.01)*0.5/(MAX(0,Assumptions!$B$2*EXP(-Assumptions!$B$4*Assumptions!$B$9)*NORMSDIST(((LN(Assumptions!$B$2/$B11)+(Assumptions!$B$3-Assumptions!$B$4+(AD$3/100)^2/2)*Assumptions!$B$9)/((AD$3/100)*Assumptions!$B$10)))-$B11*EXP(-Assumptions!$B$3*Assumptions!$B$9)*NORMSDIST((((LN(Assumptions!$B$2/$B11)+(Assumptions!$B$3-Assumptions!$B$4+(AD$3/100)^2/2)*Assumptions!$B$9)/((AD$3/100)*Assumptions!$B$10))-(AD$3/100)*Assumptions!$B$10)))))</f>
        <v/>
      </c>
      <c r="AE32" s="56">
        <f>IF((MAX(0,Assumptions!$B$2*EXP(-Assumptions!$B$4*Assumptions!$B$9)*NORMSDIST(((LN(Assumptions!$B$2/$B11)+(Assumptions!$B$3-Assumptions!$B$4+(AE$3/100)^2/2)*Assumptions!$B$9)/((AE$3/100)*Assumptions!$B$10)))-$B11*EXP(-Assumptions!$B$3*Assumptions!$B$9)*NORMSDIST((((LN(Assumptions!$B$2/$B11)+(Assumptions!$B$3-Assumptions!$B$4+(AE$3/100)^2/2)*Assumptions!$B$9)/((AE$3/100)*Assumptions!$B$10))-(AE$3/100)*Assumptions!$B$10))))&lt;=0,"",(Assumptions!$B$2*EXP(-Assumptions!$B$4*Assumptions!$B$9)*NORMDIST(((LN(Assumptions!$B$2/$B11)+(Assumptions!$B$3-Assumptions!$B$4+(AE$3/100)^2/2)*Assumptions!$B$9)/((AE$3/100)*Assumptions!$B$10)),0,1,FALSE)*Assumptions!$B$10*0.01)*0.5/(MAX(0,Assumptions!$B$2*EXP(-Assumptions!$B$4*Assumptions!$B$9)*NORMSDIST(((LN(Assumptions!$B$2/$B11)+(Assumptions!$B$3-Assumptions!$B$4+(AE$3/100)^2/2)*Assumptions!$B$9)/((AE$3/100)*Assumptions!$B$10)))-$B11*EXP(-Assumptions!$B$3*Assumptions!$B$9)*NORMSDIST((((LN(Assumptions!$B$2/$B11)+(Assumptions!$B$3-Assumptions!$B$4+(AE$3/100)^2/2)*Assumptions!$B$9)/((AE$3/100)*Assumptions!$B$10))-(AE$3/100)*Assumptions!$B$10)))))</f>
        <v/>
      </c>
      <c r="AF32" s="56">
        <f>IF((MAX(0,Assumptions!$B$2*EXP(-Assumptions!$B$4*Assumptions!$B$9)*NORMSDIST(((LN(Assumptions!$B$2/$B11)+(Assumptions!$B$3-Assumptions!$B$4+(AF$3/100)^2/2)*Assumptions!$B$9)/((AF$3/100)*Assumptions!$B$10)))-$B11*EXP(-Assumptions!$B$3*Assumptions!$B$9)*NORMSDIST((((LN(Assumptions!$B$2/$B11)+(Assumptions!$B$3-Assumptions!$B$4+(AF$3/100)^2/2)*Assumptions!$B$9)/((AF$3/100)*Assumptions!$B$10))-(AF$3/100)*Assumptions!$B$10))))&lt;=0,"",(Assumptions!$B$2*EXP(-Assumptions!$B$4*Assumptions!$B$9)*NORMDIST(((LN(Assumptions!$B$2/$B11)+(Assumptions!$B$3-Assumptions!$B$4+(AF$3/100)^2/2)*Assumptions!$B$9)/((AF$3/100)*Assumptions!$B$10)),0,1,FALSE)*Assumptions!$B$10*0.01)*0.5/(MAX(0,Assumptions!$B$2*EXP(-Assumptions!$B$4*Assumptions!$B$9)*NORMSDIST(((LN(Assumptions!$B$2/$B11)+(Assumptions!$B$3-Assumptions!$B$4+(AF$3/100)^2/2)*Assumptions!$B$9)/((AF$3/100)*Assumptions!$B$10)))-$B11*EXP(-Assumptions!$B$3*Assumptions!$B$9)*NORMSDIST((((LN(Assumptions!$B$2/$B11)+(Assumptions!$B$3-Assumptions!$B$4+(AF$3/100)^2/2)*Assumptions!$B$9)/((AF$3/100)*Assumptions!$B$10))-(AF$3/100)*Assumptions!$B$10)))))</f>
        <v/>
      </c>
      <c r="AG32" s="56">
        <f>IF((MAX(0,Assumptions!$B$2*EXP(-Assumptions!$B$4*Assumptions!$B$9)*NORMSDIST(((LN(Assumptions!$B$2/$B11)+(Assumptions!$B$3-Assumptions!$B$4+(AG$3/100)^2/2)*Assumptions!$B$9)/((AG$3/100)*Assumptions!$B$10)))-$B11*EXP(-Assumptions!$B$3*Assumptions!$B$9)*NORMSDIST((((LN(Assumptions!$B$2/$B11)+(Assumptions!$B$3-Assumptions!$B$4+(AG$3/100)^2/2)*Assumptions!$B$9)/((AG$3/100)*Assumptions!$B$10))-(AG$3/100)*Assumptions!$B$10))))&lt;=0,"",(Assumptions!$B$2*EXP(-Assumptions!$B$4*Assumptions!$B$9)*NORMDIST(((LN(Assumptions!$B$2/$B11)+(Assumptions!$B$3-Assumptions!$B$4+(AG$3/100)^2/2)*Assumptions!$B$9)/((AG$3/100)*Assumptions!$B$10)),0,1,FALSE)*Assumptions!$B$10*0.01)*0.5/(MAX(0,Assumptions!$B$2*EXP(-Assumptions!$B$4*Assumptions!$B$9)*NORMSDIST(((LN(Assumptions!$B$2/$B11)+(Assumptions!$B$3-Assumptions!$B$4+(AG$3/100)^2/2)*Assumptions!$B$9)/((AG$3/100)*Assumptions!$B$10)))-$B11*EXP(-Assumptions!$B$3*Assumptions!$B$9)*NORMSDIST((((LN(Assumptions!$B$2/$B11)+(Assumptions!$B$3-Assumptions!$B$4+(AG$3/100)^2/2)*Assumptions!$B$9)/((AG$3/100)*Assumptions!$B$10))-(AG$3/100)*Assumptions!$B$10)))))</f>
        <v/>
      </c>
      <c r="AH32" s="56">
        <f>IF((MAX(0,Assumptions!$B$2*EXP(-Assumptions!$B$4*Assumptions!$B$9)*NORMSDIST(((LN(Assumptions!$B$2/$B11)+(Assumptions!$B$3-Assumptions!$B$4+(AH$3/100)^2/2)*Assumptions!$B$9)/((AH$3/100)*Assumptions!$B$10)))-$B11*EXP(-Assumptions!$B$3*Assumptions!$B$9)*NORMSDIST((((LN(Assumptions!$B$2/$B11)+(Assumptions!$B$3-Assumptions!$B$4+(AH$3/100)^2/2)*Assumptions!$B$9)/((AH$3/100)*Assumptions!$B$10))-(AH$3/100)*Assumptions!$B$10))))&lt;=0,"",(Assumptions!$B$2*EXP(-Assumptions!$B$4*Assumptions!$B$9)*NORMDIST(((LN(Assumptions!$B$2/$B11)+(Assumptions!$B$3-Assumptions!$B$4+(AH$3/100)^2/2)*Assumptions!$B$9)/((AH$3/100)*Assumptions!$B$10)),0,1,FALSE)*Assumptions!$B$10*0.01)*0.5/(MAX(0,Assumptions!$B$2*EXP(-Assumptions!$B$4*Assumptions!$B$9)*NORMSDIST(((LN(Assumptions!$B$2/$B11)+(Assumptions!$B$3-Assumptions!$B$4+(AH$3/100)^2/2)*Assumptions!$B$9)/((AH$3/100)*Assumptions!$B$10)))-$B11*EXP(-Assumptions!$B$3*Assumptions!$B$9)*NORMSDIST((((LN(Assumptions!$B$2/$B11)+(Assumptions!$B$3-Assumptions!$B$4+(AH$3/100)^2/2)*Assumptions!$B$9)/((AH$3/100)*Assumptions!$B$10))-(AH$3/100)*Assumptions!$B$10)))))</f>
        <v/>
      </c>
      <c r="AI32" s="56">
        <f>IF((MAX(0,Assumptions!$B$2*EXP(-Assumptions!$B$4*Assumptions!$B$9)*NORMSDIST(((LN(Assumptions!$B$2/$B11)+(Assumptions!$B$3-Assumptions!$B$4+(AI$3/100)^2/2)*Assumptions!$B$9)/((AI$3/100)*Assumptions!$B$10)))-$B11*EXP(-Assumptions!$B$3*Assumptions!$B$9)*NORMSDIST((((LN(Assumptions!$B$2/$B11)+(Assumptions!$B$3-Assumptions!$B$4+(AI$3/100)^2/2)*Assumptions!$B$9)/((AI$3/100)*Assumptions!$B$10))-(AI$3/100)*Assumptions!$B$10))))&lt;=0,"",(Assumptions!$B$2*EXP(-Assumptions!$B$4*Assumptions!$B$9)*NORMDIST(((LN(Assumptions!$B$2/$B11)+(Assumptions!$B$3-Assumptions!$B$4+(AI$3/100)^2/2)*Assumptions!$B$9)/((AI$3/100)*Assumptions!$B$10)),0,1,FALSE)*Assumptions!$B$10*0.01)*0.5/(MAX(0,Assumptions!$B$2*EXP(-Assumptions!$B$4*Assumptions!$B$9)*NORMSDIST(((LN(Assumptions!$B$2/$B11)+(Assumptions!$B$3-Assumptions!$B$4+(AI$3/100)^2/2)*Assumptions!$B$9)/((AI$3/100)*Assumptions!$B$10)))-$B11*EXP(-Assumptions!$B$3*Assumptions!$B$9)*NORMSDIST((((LN(Assumptions!$B$2/$B11)+(Assumptions!$B$3-Assumptions!$B$4+(AI$3/100)^2/2)*Assumptions!$B$9)/((AI$3/100)*Assumptions!$B$10))-(AI$3/100)*Assumptions!$B$10)))))</f>
        <v/>
      </c>
      <c r="AJ32" s="56">
        <f>IF((MAX(0,Assumptions!$B$2*EXP(-Assumptions!$B$4*Assumptions!$B$9)*NORMSDIST(((LN(Assumptions!$B$2/$B11)+(Assumptions!$B$3-Assumptions!$B$4+(AJ$3/100)^2/2)*Assumptions!$B$9)/((AJ$3/100)*Assumptions!$B$10)))-$B11*EXP(-Assumptions!$B$3*Assumptions!$B$9)*NORMSDIST((((LN(Assumptions!$B$2/$B11)+(Assumptions!$B$3-Assumptions!$B$4+(AJ$3/100)^2/2)*Assumptions!$B$9)/((AJ$3/100)*Assumptions!$B$10))-(AJ$3/100)*Assumptions!$B$10))))&lt;=0,"",(Assumptions!$B$2*EXP(-Assumptions!$B$4*Assumptions!$B$9)*NORMDIST(((LN(Assumptions!$B$2/$B11)+(Assumptions!$B$3-Assumptions!$B$4+(AJ$3/100)^2/2)*Assumptions!$B$9)/((AJ$3/100)*Assumptions!$B$10)),0,1,FALSE)*Assumptions!$B$10*0.01)*0.5/(MAX(0,Assumptions!$B$2*EXP(-Assumptions!$B$4*Assumptions!$B$9)*NORMSDIST(((LN(Assumptions!$B$2/$B11)+(Assumptions!$B$3-Assumptions!$B$4+(AJ$3/100)^2/2)*Assumptions!$B$9)/((AJ$3/100)*Assumptions!$B$10)))-$B11*EXP(-Assumptions!$B$3*Assumptions!$B$9)*NORMSDIST((((LN(Assumptions!$B$2/$B11)+(Assumptions!$B$3-Assumptions!$B$4+(AJ$3/100)^2/2)*Assumptions!$B$9)/((AJ$3/100)*Assumptions!$B$10))-(AJ$3/100)*Assumptions!$B$10)))))</f>
        <v/>
      </c>
      <c r="AK32" s="56">
        <f>IF((MAX(0,Assumptions!$B$2*EXP(-Assumptions!$B$4*Assumptions!$B$9)*NORMSDIST(((LN(Assumptions!$B$2/$B11)+(Assumptions!$B$3-Assumptions!$B$4+(AK$3/100)^2/2)*Assumptions!$B$9)/((AK$3/100)*Assumptions!$B$10)))-$B11*EXP(-Assumptions!$B$3*Assumptions!$B$9)*NORMSDIST((((LN(Assumptions!$B$2/$B11)+(Assumptions!$B$3-Assumptions!$B$4+(AK$3/100)^2/2)*Assumptions!$B$9)/((AK$3/100)*Assumptions!$B$10))-(AK$3/100)*Assumptions!$B$10))))&lt;=0,"",(Assumptions!$B$2*EXP(-Assumptions!$B$4*Assumptions!$B$9)*NORMDIST(((LN(Assumptions!$B$2/$B11)+(Assumptions!$B$3-Assumptions!$B$4+(AK$3/100)^2/2)*Assumptions!$B$9)/((AK$3/100)*Assumptions!$B$10)),0,1,FALSE)*Assumptions!$B$10*0.01)*0.5/(MAX(0,Assumptions!$B$2*EXP(-Assumptions!$B$4*Assumptions!$B$9)*NORMSDIST(((LN(Assumptions!$B$2/$B11)+(Assumptions!$B$3-Assumptions!$B$4+(AK$3/100)^2/2)*Assumptions!$B$9)/((AK$3/100)*Assumptions!$B$10)))-$B11*EXP(-Assumptions!$B$3*Assumptions!$B$9)*NORMSDIST((((LN(Assumptions!$B$2/$B11)+(Assumptions!$B$3-Assumptions!$B$4+(AK$3/100)^2/2)*Assumptions!$B$9)/((AK$3/100)*Assumptions!$B$10))-(AK$3/100)*Assumptions!$B$10)))))</f>
        <v/>
      </c>
      <c r="AL32" s="56">
        <f>IF((MAX(0,Assumptions!$B$2*EXP(-Assumptions!$B$4*Assumptions!$B$9)*NORMSDIST(((LN(Assumptions!$B$2/$B11)+(Assumptions!$B$3-Assumptions!$B$4+(AL$3/100)^2/2)*Assumptions!$B$9)/((AL$3/100)*Assumptions!$B$10)))-$B11*EXP(-Assumptions!$B$3*Assumptions!$B$9)*NORMSDIST((((LN(Assumptions!$B$2/$B11)+(Assumptions!$B$3-Assumptions!$B$4+(AL$3/100)^2/2)*Assumptions!$B$9)/((AL$3/100)*Assumptions!$B$10))-(AL$3/100)*Assumptions!$B$10))))&lt;=0,"",(Assumptions!$B$2*EXP(-Assumptions!$B$4*Assumptions!$B$9)*NORMDIST(((LN(Assumptions!$B$2/$B11)+(Assumptions!$B$3-Assumptions!$B$4+(AL$3/100)^2/2)*Assumptions!$B$9)/((AL$3/100)*Assumptions!$B$10)),0,1,FALSE)*Assumptions!$B$10*0.01)*0.5/(MAX(0,Assumptions!$B$2*EXP(-Assumptions!$B$4*Assumptions!$B$9)*NORMSDIST(((LN(Assumptions!$B$2/$B11)+(Assumptions!$B$3-Assumptions!$B$4+(AL$3/100)^2/2)*Assumptions!$B$9)/((AL$3/100)*Assumptions!$B$10)))-$B11*EXP(-Assumptions!$B$3*Assumptions!$B$9)*NORMSDIST((((LN(Assumptions!$B$2/$B11)+(Assumptions!$B$3-Assumptions!$B$4+(AL$3/100)^2/2)*Assumptions!$B$9)/((AL$3/100)*Assumptions!$B$10))-(AL$3/100)*Assumptions!$B$10)))))</f>
        <v/>
      </c>
      <c r="AM32" s="56">
        <f>IF((MAX(0,Assumptions!$B$2*EXP(-Assumptions!$B$4*Assumptions!$B$9)*NORMSDIST(((LN(Assumptions!$B$2/$B11)+(Assumptions!$B$3-Assumptions!$B$4+(AM$3/100)^2/2)*Assumptions!$B$9)/((AM$3/100)*Assumptions!$B$10)))-$B11*EXP(-Assumptions!$B$3*Assumptions!$B$9)*NORMSDIST((((LN(Assumptions!$B$2/$B11)+(Assumptions!$B$3-Assumptions!$B$4+(AM$3/100)^2/2)*Assumptions!$B$9)/((AM$3/100)*Assumptions!$B$10))-(AM$3/100)*Assumptions!$B$10))))&lt;=0,"",(Assumptions!$B$2*EXP(-Assumptions!$B$4*Assumptions!$B$9)*NORMDIST(((LN(Assumptions!$B$2/$B11)+(Assumptions!$B$3-Assumptions!$B$4+(AM$3/100)^2/2)*Assumptions!$B$9)/((AM$3/100)*Assumptions!$B$10)),0,1,FALSE)*Assumptions!$B$10*0.01)*0.5/(MAX(0,Assumptions!$B$2*EXP(-Assumptions!$B$4*Assumptions!$B$9)*NORMSDIST(((LN(Assumptions!$B$2/$B11)+(Assumptions!$B$3-Assumptions!$B$4+(AM$3/100)^2/2)*Assumptions!$B$9)/((AM$3/100)*Assumptions!$B$10)))-$B11*EXP(-Assumptions!$B$3*Assumptions!$B$9)*NORMSDIST((((LN(Assumptions!$B$2/$B11)+(Assumptions!$B$3-Assumptions!$B$4+(AM$3/100)^2/2)*Assumptions!$B$9)/((AM$3/100)*Assumptions!$B$10))-(AM$3/100)*Assumptions!$B$10)))))</f>
        <v/>
      </c>
      <c r="AN32" s="56">
        <f>IF((MAX(0,Assumptions!$B$2*EXP(-Assumptions!$B$4*Assumptions!$B$9)*NORMSDIST(((LN(Assumptions!$B$2/$B11)+(Assumptions!$B$3-Assumptions!$B$4+(AN$3/100)^2/2)*Assumptions!$B$9)/((AN$3/100)*Assumptions!$B$10)))-$B11*EXP(-Assumptions!$B$3*Assumptions!$B$9)*NORMSDIST((((LN(Assumptions!$B$2/$B11)+(Assumptions!$B$3-Assumptions!$B$4+(AN$3/100)^2/2)*Assumptions!$B$9)/((AN$3/100)*Assumptions!$B$10))-(AN$3/100)*Assumptions!$B$10))))&lt;=0,"",(Assumptions!$B$2*EXP(-Assumptions!$B$4*Assumptions!$B$9)*NORMDIST(((LN(Assumptions!$B$2/$B11)+(Assumptions!$B$3-Assumptions!$B$4+(AN$3/100)^2/2)*Assumptions!$B$9)/((AN$3/100)*Assumptions!$B$10)),0,1,FALSE)*Assumptions!$B$10*0.01)*0.5/(MAX(0,Assumptions!$B$2*EXP(-Assumptions!$B$4*Assumptions!$B$9)*NORMSDIST(((LN(Assumptions!$B$2/$B11)+(Assumptions!$B$3-Assumptions!$B$4+(AN$3/100)^2/2)*Assumptions!$B$9)/((AN$3/100)*Assumptions!$B$10)))-$B11*EXP(-Assumptions!$B$3*Assumptions!$B$9)*NORMSDIST((((LN(Assumptions!$B$2/$B11)+(Assumptions!$B$3-Assumptions!$B$4+(AN$3/100)^2/2)*Assumptions!$B$9)/((AN$3/100)*Assumptions!$B$10))-(AN$3/100)*Assumptions!$B$10)))))</f>
        <v/>
      </c>
      <c r="AO32" s="56">
        <f>IF((MAX(0,Assumptions!$B$2*EXP(-Assumptions!$B$4*Assumptions!$B$9)*NORMSDIST(((LN(Assumptions!$B$2/$B11)+(Assumptions!$B$3-Assumptions!$B$4+(AO$3/100)^2/2)*Assumptions!$B$9)/((AO$3/100)*Assumptions!$B$10)))-$B11*EXP(-Assumptions!$B$3*Assumptions!$B$9)*NORMSDIST((((LN(Assumptions!$B$2/$B11)+(Assumptions!$B$3-Assumptions!$B$4+(AO$3/100)^2/2)*Assumptions!$B$9)/((AO$3/100)*Assumptions!$B$10))-(AO$3/100)*Assumptions!$B$10))))&lt;=0,"",(Assumptions!$B$2*EXP(-Assumptions!$B$4*Assumptions!$B$9)*NORMDIST(((LN(Assumptions!$B$2/$B11)+(Assumptions!$B$3-Assumptions!$B$4+(AO$3/100)^2/2)*Assumptions!$B$9)/((AO$3/100)*Assumptions!$B$10)),0,1,FALSE)*Assumptions!$B$10*0.01)*0.5/(MAX(0,Assumptions!$B$2*EXP(-Assumptions!$B$4*Assumptions!$B$9)*NORMSDIST(((LN(Assumptions!$B$2/$B11)+(Assumptions!$B$3-Assumptions!$B$4+(AO$3/100)^2/2)*Assumptions!$B$9)/((AO$3/100)*Assumptions!$B$10)))-$B11*EXP(-Assumptions!$B$3*Assumptions!$B$9)*NORMSDIST((((LN(Assumptions!$B$2/$B11)+(Assumptions!$B$3-Assumptions!$B$4+(AO$3/100)^2/2)*Assumptions!$B$9)/((AO$3/100)*Assumptions!$B$10))-(AO$3/100)*Assumptions!$B$10)))))</f>
        <v/>
      </c>
      <c r="AP32" s="56">
        <f>IF((MAX(0,Assumptions!$B$2*EXP(-Assumptions!$B$4*Assumptions!$B$9)*NORMSDIST(((LN(Assumptions!$B$2/$B11)+(Assumptions!$B$3-Assumptions!$B$4+(AP$3/100)^2/2)*Assumptions!$B$9)/((AP$3/100)*Assumptions!$B$10)))-$B11*EXP(-Assumptions!$B$3*Assumptions!$B$9)*NORMSDIST((((LN(Assumptions!$B$2/$B11)+(Assumptions!$B$3-Assumptions!$B$4+(AP$3/100)^2/2)*Assumptions!$B$9)/((AP$3/100)*Assumptions!$B$10))-(AP$3/100)*Assumptions!$B$10))))&lt;=0,"",(Assumptions!$B$2*EXP(-Assumptions!$B$4*Assumptions!$B$9)*NORMDIST(((LN(Assumptions!$B$2/$B11)+(Assumptions!$B$3-Assumptions!$B$4+(AP$3/100)^2/2)*Assumptions!$B$9)/((AP$3/100)*Assumptions!$B$10)),0,1,FALSE)*Assumptions!$B$10*0.01)*0.5/(MAX(0,Assumptions!$B$2*EXP(-Assumptions!$B$4*Assumptions!$B$9)*NORMSDIST(((LN(Assumptions!$B$2/$B11)+(Assumptions!$B$3-Assumptions!$B$4+(AP$3/100)^2/2)*Assumptions!$B$9)/((AP$3/100)*Assumptions!$B$10)))-$B11*EXP(-Assumptions!$B$3*Assumptions!$B$9)*NORMSDIST((((LN(Assumptions!$B$2/$B11)+(Assumptions!$B$3-Assumptions!$B$4+(AP$3/100)^2/2)*Assumptions!$B$9)/((AP$3/100)*Assumptions!$B$10))-(AP$3/100)*Assumptions!$B$10)))))</f>
        <v/>
      </c>
      <c r="AQ32" s="56">
        <f>IF((MAX(0,Assumptions!$B$2*EXP(-Assumptions!$B$4*Assumptions!$B$9)*NORMSDIST(((LN(Assumptions!$B$2/$B11)+(Assumptions!$B$3-Assumptions!$B$4+(AQ$3/100)^2/2)*Assumptions!$B$9)/((AQ$3/100)*Assumptions!$B$10)))-$B11*EXP(-Assumptions!$B$3*Assumptions!$B$9)*NORMSDIST((((LN(Assumptions!$B$2/$B11)+(Assumptions!$B$3-Assumptions!$B$4+(AQ$3/100)^2/2)*Assumptions!$B$9)/((AQ$3/100)*Assumptions!$B$10))-(AQ$3/100)*Assumptions!$B$10))))&lt;=0,"",(Assumptions!$B$2*EXP(-Assumptions!$B$4*Assumptions!$B$9)*NORMDIST(((LN(Assumptions!$B$2/$B11)+(Assumptions!$B$3-Assumptions!$B$4+(AQ$3/100)^2/2)*Assumptions!$B$9)/((AQ$3/100)*Assumptions!$B$10)),0,1,FALSE)*Assumptions!$B$10*0.01)*0.5/(MAX(0,Assumptions!$B$2*EXP(-Assumptions!$B$4*Assumptions!$B$9)*NORMSDIST(((LN(Assumptions!$B$2/$B11)+(Assumptions!$B$3-Assumptions!$B$4+(AQ$3/100)^2/2)*Assumptions!$B$9)/((AQ$3/100)*Assumptions!$B$10)))-$B11*EXP(-Assumptions!$B$3*Assumptions!$B$9)*NORMSDIST((((LN(Assumptions!$B$2/$B11)+(Assumptions!$B$3-Assumptions!$B$4+(AQ$3/100)^2/2)*Assumptions!$B$9)/((AQ$3/100)*Assumptions!$B$10))-(AQ$3/100)*Assumptions!$B$10)))))</f>
        <v/>
      </c>
      <c r="AR32" s="56">
        <f>IF((MAX(0,Assumptions!$B$2*EXP(-Assumptions!$B$4*Assumptions!$B$9)*NORMSDIST(((LN(Assumptions!$B$2/$B11)+(Assumptions!$B$3-Assumptions!$B$4+(AR$3/100)^2/2)*Assumptions!$B$9)/((AR$3/100)*Assumptions!$B$10)))-$B11*EXP(-Assumptions!$B$3*Assumptions!$B$9)*NORMSDIST((((LN(Assumptions!$B$2/$B11)+(Assumptions!$B$3-Assumptions!$B$4+(AR$3/100)^2/2)*Assumptions!$B$9)/((AR$3/100)*Assumptions!$B$10))-(AR$3/100)*Assumptions!$B$10))))&lt;=0,"",(Assumptions!$B$2*EXP(-Assumptions!$B$4*Assumptions!$B$9)*NORMDIST(((LN(Assumptions!$B$2/$B11)+(Assumptions!$B$3-Assumptions!$B$4+(AR$3/100)^2/2)*Assumptions!$B$9)/((AR$3/100)*Assumptions!$B$10)),0,1,FALSE)*Assumptions!$B$10*0.01)*0.5/(MAX(0,Assumptions!$B$2*EXP(-Assumptions!$B$4*Assumptions!$B$9)*NORMSDIST(((LN(Assumptions!$B$2/$B11)+(Assumptions!$B$3-Assumptions!$B$4+(AR$3/100)^2/2)*Assumptions!$B$9)/((AR$3/100)*Assumptions!$B$10)))-$B11*EXP(-Assumptions!$B$3*Assumptions!$B$9)*NORMSDIST((((LN(Assumptions!$B$2/$B11)+(Assumptions!$B$3-Assumptions!$B$4+(AR$3/100)^2/2)*Assumptions!$B$9)/((AR$3/100)*Assumptions!$B$10))-(AR$3/100)*Assumptions!$B$10)))))</f>
        <v/>
      </c>
      <c r="AS32" s="56">
        <f>IF((MAX(0,Assumptions!$B$2*EXP(-Assumptions!$B$4*Assumptions!$B$9)*NORMSDIST(((LN(Assumptions!$B$2/$B11)+(Assumptions!$B$3-Assumptions!$B$4+(AS$3/100)^2/2)*Assumptions!$B$9)/((AS$3/100)*Assumptions!$B$10)))-$B11*EXP(-Assumptions!$B$3*Assumptions!$B$9)*NORMSDIST((((LN(Assumptions!$B$2/$B11)+(Assumptions!$B$3-Assumptions!$B$4+(AS$3/100)^2/2)*Assumptions!$B$9)/((AS$3/100)*Assumptions!$B$10))-(AS$3/100)*Assumptions!$B$10))))&lt;=0,"",(Assumptions!$B$2*EXP(-Assumptions!$B$4*Assumptions!$B$9)*NORMDIST(((LN(Assumptions!$B$2/$B11)+(Assumptions!$B$3-Assumptions!$B$4+(AS$3/100)^2/2)*Assumptions!$B$9)/((AS$3/100)*Assumptions!$B$10)),0,1,FALSE)*Assumptions!$B$10*0.01)*0.5/(MAX(0,Assumptions!$B$2*EXP(-Assumptions!$B$4*Assumptions!$B$9)*NORMSDIST(((LN(Assumptions!$B$2/$B11)+(Assumptions!$B$3-Assumptions!$B$4+(AS$3/100)^2/2)*Assumptions!$B$9)/((AS$3/100)*Assumptions!$B$10)))-$B11*EXP(-Assumptions!$B$3*Assumptions!$B$9)*NORMSDIST((((LN(Assumptions!$B$2/$B11)+(Assumptions!$B$3-Assumptions!$B$4+(AS$3/100)^2/2)*Assumptions!$B$9)/((AS$3/100)*Assumptions!$B$10))-(AS$3/100)*Assumptions!$B$10)))))</f>
        <v/>
      </c>
      <c r="AT32" s="56">
        <f>IF((MAX(0,Assumptions!$B$2*EXP(-Assumptions!$B$4*Assumptions!$B$9)*NORMSDIST(((LN(Assumptions!$B$2/$B11)+(Assumptions!$B$3-Assumptions!$B$4+(AT$3/100)^2/2)*Assumptions!$B$9)/((AT$3/100)*Assumptions!$B$10)))-$B11*EXP(-Assumptions!$B$3*Assumptions!$B$9)*NORMSDIST((((LN(Assumptions!$B$2/$B11)+(Assumptions!$B$3-Assumptions!$B$4+(AT$3/100)^2/2)*Assumptions!$B$9)/((AT$3/100)*Assumptions!$B$10))-(AT$3/100)*Assumptions!$B$10))))&lt;=0,"",(Assumptions!$B$2*EXP(-Assumptions!$B$4*Assumptions!$B$9)*NORMDIST(((LN(Assumptions!$B$2/$B11)+(Assumptions!$B$3-Assumptions!$B$4+(AT$3/100)^2/2)*Assumptions!$B$9)/((AT$3/100)*Assumptions!$B$10)),0,1,FALSE)*Assumptions!$B$10*0.01)*0.5/(MAX(0,Assumptions!$B$2*EXP(-Assumptions!$B$4*Assumptions!$B$9)*NORMSDIST(((LN(Assumptions!$B$2/$B11)+(Assumptions!$B$3-Assumptions!$B$4+(AT$3/100)^2/2)*Assumptions!$B$9)/((AT$3/100)*Assumptions!$B$10)))-$B11*EXP(-Assumptions!$B$3*Assumptions!$B$9)*NORMSDIST((((LN(Assumptions!$B$2/$B11)+(Assumptions!$B$3-Assumptions!$B$4+(AT$3/100)^2/2)*Assumptions!$B$9)/((AT$3/100)*Assumptions!$B$10))-(AT$3/100)*Assumptions!$B$10)))))</f>
        <v/>
      </c>
      <c r="AU32" s="56">
        <f>IF((MAX(0,Assumptions!$B$2*EXP(-Assumptions!$B$4*Assumptions!$B$9)*NORMSDIST(((LN(Assumptions!$B$2/$B11)+(Assumptions!$B$3-Assumptions!$B$4+(AU$3/100)^2/2)*Assumptions!$B$9)/((AU$3/100)*Assumptions!$B$10)))-$B11*EXP(-Assumptions!$B$3*Assumptions!$B$9)*NORMSDIST((((LN(Assumptions!$B$2/$B11)+(Assumptions!$B$3-Assumptions!$B$4+(AU$3/100)^2/2)*Assumptions!$B$9)/((AU$3/100)*Assumptions!$B$10))-(AU$3/100)*Assumptions!$B$10))))&lt;=0,"",(Assumptions!$B$2*EXP(-Assumptions!$B$4*Assumptions!$B$9)*NORMDIST(((LN(Assumptions!$B$2/$B11)+(Assumptions!$B$3-Assumptions!$B$4+(AU$3/100)^2/2)*Assumptions!$B$9)/((AU$3/100)*Assumptions!$B$10)),0,1,FALSE)*Assumptions!$B$10*0.01)*0.5/(MAX(0,Assumptions!$B$2*EXP(-Assumptions!$B$4*Assumptions!$B$9)*NORMSDIST(((LN(Assumptions!$B$2/$B11)+(Assumptions!$B$3-Assumptions!$B$4+(AU$3/100)^2/2)*Assumptions!$B$9)/((AU$3/100)*Assumptions!$B$10)))-$B11*EXP(-Assumptions!$B$3*Assumptions!$B$9)*NORMSDIST((((LN(Assumptions!$B$2/$B11)+(Assumptions!$B$3-Assumptions!$B$4+(AU$3/100)^2/2)*Assumptions!$B$9)/((AU$3/100)*Assumptions!$B$10))-(AU$3/100)*Assumptions!$B$10)))))</f>
        <v/>
      </c>
      <c r="AV32" s="56">
        <f>IF((MAX(0,Assumptions!$B$2*EXP(-Assumptions!$B$4*Assumptions!$B$9)*NORMSDIST(((LN(Assumptions!$B$2/$B11)+(Assumptions!$B$3-Assumptions!$B$4+(AV$3/100)^2/2)*Assumptions!$B$9)/((AV$3/100)*Assumptions!$B$10)))-$B11*EXP(-Assumptions!$B$3*Assumptions!$B$9)*NORMSDIST((((LN(Assumptions!$B$2/$B11)+(Assumptions!$B$3-Assumptions!$B$4+(AV$3/100)^2/2)*Assumptions!$B$9)/((AV$3/100)*Assumptions!$B$10))-(AV$3/100)*Assumptions!$B$10))))&lt;=0,"",(Assumptions!$B$2*EXP(-Assumptions!$B$4*Assumptions!$B$9)*NORMDIST(((LN(Assumptions!$B$2/$B11)+(Assumptions!$B$3-Assumptions!$B$4+(AV$3/100)^2/2)*Assumptions!$B$9)/((AV$3/100)*Assumptions!$B$10)),0,1,FALSE)*Assumptions!$B$10*0.01)*0.5/(MAX(0,Assumptions!$B$2*EXP(-Assumptions!$B$4*Assumptions!$B$9)*NORMSDIST(((LN(Assumptions!$B$2/$B11)+(Assumptions!$B$3-Assumptions!$B$4+(AV$3/100)^2/2)*Assumptions!$B$9)/((AV$3/100)*Assumptions!$B$10)))-$B11*EXP(-Assumptions!$B$3*Assumptions!$B$9)*NORMSDIST((((LN(Assumptions!$B$2/$B11)+(Assumptions!$B$3-Assumptions!$B$4+(AV$3/100)^2/2)*Assumptions!$B$9)/((AV$3/100)*Assumptions!$B$10))-(AV$3/100)*Assumptions!$B$10)))))</f>
        <v/>
      </c>
    </row>
    <row r="33">
      <c r="A33" s="27" t="inlineStr">
        <is>
          <t>ATM</t>
        </is>
      </c>
      <c r="B33" s="47">
        <f>'BS Engine'!$B$10</f>
        <v/>
      </c>
      <c r="C33" s="28">
        <f>'BS Engine'!$C$10</f>
        <v/>
      </c>
      <c r="D33" s="55">
        <f>IF((MAX(0,Assumptions!$B$2*EXP(-Assumptions!$B$4*Assumptions!$B$9)*NORMSDIST(((LN(Assumptions!$B$2/$B12)+(Assumptions!$B$3-Assumptions!$B$4+(D$3/100)^2/2)*Assumptions!$B$9)/((D$3/100)*Assumptions!$B$10)))-$B12*EXP(-Assumptions!$B$3*Assumptions!$B$9)*NORMSDIST((((LN(Assumptions!$B$2/$B12)+(Assumptions!$B$3-Assumptions!$B$4+(D$3/100)^2/2)*Assumptions!$B$9)/((D$3/100)*Assumptions!$B$10))-(D$3/100)*Assumptions!$B$10))))&lt;=0,"",(Assumptions!$B$2*EXP(-Assumptions!$B$4*Assumptions!$B$9)*NORMDIST(((LN(Assumptions!$B$2/$B12)+(Assumptions!$B$3-Assumptions!$B$4+(D$3/100)^2/2)*Assumptions!$B$9)/((D$3/100)*Assumptions!$B$10)),0,1,FALSE)*Assumptions!$B$10*0.01)*0.5/(MAX(0,Assumptions!$B$2*EXP(-Assumptions!$B$4*Assumptions!$B$9)*NORMSDIST(((LN(Assumptions!$B$2/$B12)+(Assumptions!$B$3-Assumptions!$B$4+(D$3/100)^2/2)*Assumptions!$B$9)/((D$3/100)*Assumptions!$B$10)))-$B12*EXP(-Assumptions!$B$3*Assumptions!$B$9)*NORMSDIST((((LN(Assumptions!$B$2/$B12)+(Assumptions!$B$3-Assumptions!$B$4+(D$3/100)^2/2)*Assumptions!$B$9)/((D$3/100)*Assumptions!$B$10))-(D$3/100)*Assumptions!$B$10)))))</f>
        <v/>
      </c>
      <c r="E33" s="56">
        <f>IF((MAX(0,Assumptions!$B$2*EXP(-Assumptions!$B$4*Assumptions!$B$9)*NORMSDIST(((LN(Assumptions!$B$2/$B12)+(Assumptions!$B$3-Assumptions!$B$4+(E$3/100)^2/2)*Assumptions!$B$9)/((E$3/100)*Assumptions!$B$10)))-$B12*EXP(-Assumptions!$B$3*Assumptions!$B$9)*NORMSDIST((((LN(Assumptions!$B$2/$B12)+(Assumptions!$B$3-Assumptions!$B$4+(E$3/100)^2/2)*Assumptions!$B$9)/((E$3/100)*Assumptions!$B$10))-(E$3/100)*Assumptions!$B$10))))&lt;=0,"",(Assumptions!$B$2*EXP(-Assumptions!$B$4*Assumptions!$B$9)*NORMDIST(((LN(Assumptions!$B$2/$B12)+(Assumptions!$B$3-Assumptions!$B$4+(E$3/100)^2/2)*Assumptions!$B$9)/((E$3/100)*Assumptions!$B$10)),0,1,FALSE)*Assumptions!$B$10*0.01)*0.5/(MAX(0,Assumptions!$B$2*EXP(-Assumptions!$B$4*Assumptions!$B$9)*NORMSDIST(((LN(Assumptions!$B$2/$B12)+(Assumptions!$B$3-Assumptions!$B$4+(E$3/100)^2/2)*Assumptions!$B$9)/((E$3/100)*Assumptions!$B$10)))-$B12*EXP(-Assumptions!$B$3*Assumptions!$B$9)*NORMSDIST((((LN(Assumptions!$B$2/$B12)+(Assumptions!$B$3-Assumptions!$B$4+(E$3/100)^2/2)*Assumptions!$B$9)/((E$3/100)*Assumptions!$B$10))-(E$3/100)*Assumptions!$B$10)))))</f>
        <v/>
      </c>
      <c r="F33" s="56">
        <f>IF((MAX(0,Assumptions!$B$2*EXP(-Assumptions!$B$4*Assumptions!$B$9)*NORMSDIST(((LN(Assumptions!$B$2/$B12)+(Assumptions!$B$3-Assumptions!$B$4+(F$3/100)^2/2)*Assumptions!$B$9)/((F$3/100)*Assumptions!$B$10)))-$B12*EXP(-Assumptions!$B$3*Assumptions!$B$9)*NORMSDIST((((LN(Assumptions!$B$2/$B12)+(Assumptions!$B$3-Assumptions!$B$4+(F$3/100)^2/2)*Assumptions!$B$9)/((F$3/100)*Assumptions!$B$10))-(F$3/100)*Assumptions!$B$10))))&lt;=0,"",(Assumptions!$B$2*EXP(-Assumptions!$B$4*Assumptions!$B$9)*NORMDIST(((LN(Assumptions!$B$2/$B12)+(Assumptions!$B$3-Assumptions!$B$4+(F$3/100)^2/2)*Assumptions!$B$9)/((F$3/100)*Assumptions!$B$10)),0,1,FALSE)*Assumptions!$B$10*0.01)*0.5/(MAX(0,Assumptions!$B$2*EXP(-Assumptions!$B$4*Assumptions!$B$9)*NORMSDIST(((LN(Assumptions!$B$2/$B12)+(Assumptions!$B$3-Assumptions!$B$4+(F$3/100)^2/2)*Assumptions!$B$9)/((F$3/100)*Assumptions!$B$10)))-$B12*EXP(-Assumptions!$B$3*Assumptions!$B$9)*NORMSDIST((((LN(Assumptions!$B$2/$B12)+(Assumptions!$B$3-Assumptions!$B$4+(F$3/100)^2/2)*Assumptions!$B$9)/((F$3/100)*Assumptions!$B$10))-(F$3/100)*Assumptions!$B$10)))))</f>
        <v/>
      </c>
      <c r="G33" s="56">
        <f>IF((MAX(0,Assumptions!$B$2*EXP(-Assumptions!$B$4*Assumptions!$B$9)*NORMSDIST(((LN(Assumptions!$B$2/$B12)+(Assumptions!$B$3-Assumptions!$B$4+(G$3/100)^2/2)*Assumptions!$B$9)/((G$3/100)*Assumptions!$B$10)))-$B12*EXP(-Assumptions!$B$3*Assumptions!$B$9)*NORMSDIST((((LN(Assumptions!$B$2/$B12)+(Assumptions!$B$3-Assumptions!$B$4+(G$3/100)^2/2)*Assumptions!$B$9)/((G$3/100)*Assumptions!$B$10))-(G$3/100)*Assumptions!$B$10))))&lt;=0,"",(Assumptions!$B$2*EXP(-Assumptions!$B$4*Assumptions!$B$9)*NORMDIST(((LN(Assumptions!$B$2/$B12)+(Assumptions!$B$3-Assumptions!$B$4+(G$3/100)^2/2)*Assumptions!$B$9)/((G$3/100)*Assumptions!$B$10)),0,1,FALSE)*Assumptions!$B$10*0.01)*0.5/(MAX(0,Assumptions!$B$2*EXP(-Assumptions!$B$4*Assumptions!$B$9)*NORMSDIST(((LN(Assumptions!$B$2/$B12)+(Assumptions!$B$3-Assumptions!$B$4+(G$3/100)^2/2)*Assumptions!$B$9)/((G$3/100)*Assumptions!$B$10)))-$B12*EXP(-Assumptions!$B$3*Assumptions!$B$9)*NORMSDIST((((LN(Assumptions!$B$2/$B12)+(Assumptions!$B$3-Assumptions!$B$4+(G$3/100)^2/2)*Assumptions!$B$9)/((G$3/100)*Assumptions!$B$10))-(G$3/100)*Assumptions!$B$10)))))</f>
        <v/>
      </c>
      <c r="H33" s="56">
        <f>IF((MAX(0,Assumptions!$B$2*EXP(-Assumptions!$B$4*Assumptions!$B$9)*NORMSDIST(((LN(Assumptions!$B$2/$B12)+(Assumptions!$B$3-Assumptions!$B$4+(H$3/100)^2/2)*Assumptions!$B$9)/((H$3/100)*Assumptions!$B$10)))-$B12*EXP(-Assumptions!$B$3*Assumptions!$B$9)*NORMSDIST((((LN(Assumptions!$B$2/$B12)+(Assumptions!$B$3-Assumptions!$B$4+(H$3/100)^2/2)*Assumptions!$B$9)/((H$3/100)*Assumptions!$B$10))-(H$3/100)*Assumptions!$B$10))))&lt;=0,"",(Assumptions!$B$2*EXP(-Assumptions!$B$4*Assumptions!$B$9)*NORMDIST(((LN(Assumptions!$B$2/$B12)+(Assumptions!$B$3-Assumptions!$B$4+(H$3/100)^2/2)*Assumptions!$B$9)/((H$3/100)*Assumptions!$B$10)),0,1,FALSE)*Assumptions!$B$10*0.01)*0.5/(MAX(0,Assumptions!$B$2*EXP(-Assumptions!$B$4*Assumptions!$B$9)*NORMSDIST(((LN(Assumptions!$B$2/$B12)+(Assumptions!$B$3-Assumptions!$B$4+(H$3/100)^2/2)*Assumptions!$B$9)/((H$3/100)*Assumptions!$B$10)))-$B12*EXP(-Assumptions!$B$3*Assumptions!$B$9)*NORMSDIST((((LN(Assumptions!$B$2/$B12)+(Assumptions!$B$3-Assumptions!$B$4+(H$3/100)^2/2)*Assumptions!$B$9)/((H$3/100)*Assumptions!$B$10))-(H$3/100)*Assumptions!$B$10)))))</f>
        <v/>
      </c>
      <c r="I33" s="56">
        <f>IF((MAX(0,Assumptions!$B$2*EXP(-Assumptions!$B$4*Assumptions!$B$9)*NORMSDIST(((LN(Assumptions!$B$2/$B12)+(Assumptions!$B$3-Assumptions!$B$4+(I$3/100)^2/2)*Assumptions!$B$9)/((I$3/100)*Assumptions!$B$10)))-$B12*EXP(-Assumptions!$B$3*Assumptions!$B$9)*NORMSDIST((((LN(Assumptions!$B$2/$B12)+(Assumptions!$B$3-Assumptions!$B$4+(I$3/100)^2/2)*Assumptions!$B$9)/((I$3/100)*Assumptions!$B$10))-(I$3/100)*Assumptions!$B$10))))&lt;=0,"",(Assumptions!$B$2*EXP(-Assumptions!$B$4*Assumptions!$B$9)*NORMDIST(((LN(Assumptions!$B$2/$B12)+(Assumptions!$B$3-Assumptions!$B$4+(I$3/100)^2/2)*Assumptions!$B$9)/((I$3/100)*Assumptions!$B$10)),0,1,FALSE)*Assumptions!$B$10*0.01)*0.5/(MAX(0,Assumptions!$B$2*EXP(-Assumptions!$B$4*Assumptions!$B$9)*NORMSDIST(((LN(Assumptions!$B$2/$B12)+(Assumptions!$B$3-Assumptions!$B$4+(I$3/100)^2/2)*Assumptions!$B$9)/((I$3/100)*Assumptions!$B$10)))-$B12*EXP(-Assumptions!$B$3*Assumptions!$B$9)*NORMSDIST((((LN(Assumptions!$B$2/$B12)+(Assumptions!$B$3-Assumptions!$B$4+(I$3/100)^2/2)*Assumptions!$B$9)/((I$3/100)*Assumptions!$B$10))-(I$3/100)*Assumptions!$B$10)))))</f>
        <v/>
      </c>
      <c r="J33" s="56">
        <f>IF((MAX(0,Assumptions!$B$2*EXP(-Assumptions!$B$4*Assumptions!$B$9)*NORMSDIST(((LN(Assumptions!$B$2/$B12)+(Assumptions!$B$3-Assumptions!$B$4+(J$3/100)^2/2)*Assumptions!$B$9)/((J$3/100)*Assumptions!$B$10)))-$B12*EXP(-Assumptions!$B$3*Assumptions!$B$9)*NORMSDIST((((LN(Assumptions!$B$2/$B12)+(Assumptions!$B$3-Assumptions!$B$4+(J$3/100)^2/2)*Assumptions!$B$9)/((J$3/100)*Assumptions!$B$10))-(J$3/100)*Assumptions!$B$10))))&lt;=0,"",(Assumptions!$B$2*EXP(-Assumptions!$B$4*Assumptions!$B$9)*NORMDIST(((LN(Assumptions!$B$2/$B12)+(Assumptions!$B$3-Assumptions!$B$4+(J$3/100)^2/2)*Assumptions!$B$9)/((J$3/100)*Assumptions!$B$10)),0,1,FALSE)*Assumptions!$B$10*0.01)*0.5/(MAX(0,Assumptions!$B$2*EXP(-Assumptions!$B$4*Assumptions!$B$9)*NORMSDIST(((LN(Assumptions!$B$2/$B12)+(Assumptions!$B$3-Assumptions!$B$4+(J$3/100)^2/2)*Assumptions!$B$9)/((J$3/100)*Assumptions!$B$10)))-$B12*EXP(-Assumptions!$B$3*Assumptions!$B$9)*NORMSDIST((((LN(Assumptions!$B$2/$B12)+(Assumptions!$B$3-Assumptions!$B$4+(J$3/100)^2/2)*Assumptions!$B$9)/((J$3/100)*Assumptions!$B$10))-(J$3/100)*Assumptions!$B$10)))))</f>
        <v/>
      </c>
      <c r="K33" s="56">
        <f>IF((MAX(0,Assumptions!$B$2*EXP(-Assumptions!$B$4*Assumptions!$B$9)*NORMSDIST(((LN(Assumptions!$B$2/$B12)+(Assumptions!$B$3-Assumptions!$B$4+(K$3/100)^2/2)*Assumptions!$B$9)/((K$3/100)*Assumptions!$B$10)))-$B12*EXP(-Assumptions!$B$3*Assumptions!$B$9)*NORMSDIST((((LN(Assumptions!$B$2/$B12)+(Assumptions!$B$3-Assumptions!$B$4+(K$3/100)^2/2)*Assumptions!$B$9)/((K$3/100)*Assumptions!$B$10))-(K$3/100)*Assumptions!$B$10))))&lt;=0,"",(Assumptions!$B$2*EXP(-Assumptions!$B$4*Assumptions!$B$9)*NORMDIST(((LN(Assumptions!$B$2/$B12)+(Assumptions!$B$3-Assumptions!$B$4+(K$3/100)^2/2)*Assumptions!$B$9)/((K$3/100)*Assumptions!$B$10)),0,1,FALSE)*Assumptions!$B$10*0.01)*0.5/(MAX(0,Assumptions!$B$2*EXP(-Assumptions!$B$4*Assumptions!$B$9)*NORMSDIST(((LN(Assumptions!$B$2/$B12)+(Assumptions!$B$3-Assumptions!$B$4+(K$3/100)^2/2)*Assumptions!$B$9)/((K$3/100)*Assumptions!$B$10)))-$B12*EXP(-Assumptions!$B$3*Assumptions!$B$9)*NORMSDIST((((LN(Assumptions!$B$2/$B12)+(Assumptions!$B$3-Assumptions!$B$4+(K$3/100)^2/2)*Assumptions!$B$9)/((K$3/100)*Assumptions!$B$10))-(K$3/100)*Assumptions!$B$10)))))</f>
        <v/>
      </c>
      <c r="L33" s="56">
        <f>IF((MAX(0,Assumptions!$B$2*EXP(-Assumptions!$B$4*Assumptions!$B$9)*NORMSDIST(((LN(Assumptions!$B$2/$B12)+(Assumptions!$B$3-Assumptions!$B$4+(L$3/100)^2/2)*Assumptions!$B$9)/((L$3/100)*Assumptions!$B$10)))-$B12*EXP(-Assumptions!$B$3*Assumptions!$B$9)*NORMSDIST((((LN(Assumptions!$B$2/$B12)+(Assumptions!$B$3-Assumptions!$B$4+(L$3/100)^2/2)*Assumptions!$B$9)/((L$3/100)*Assumptions!$B$10))-(L$3/100)*Assumptions!$B$10))))&lt;=0,"",(Assumptions!$B$2*EXP(-Assumptions!$B$4*Assumptions!$B$9)*NORMDIST(((LN(Assumptions!$B$2/$B12)+(Assumptions!$B$3-Assumptions!$B$4+(L$3/100)^2/2)*Assumptions!$B$9)/((L$3/100)*Assumptions!$B$10)),0,1,FALSE)*Assumptions!$B$10*0.01)*0.5/(MAX(0,Assumptions!$B$2*EXP(-Assumptions!$B$4*Assumptions!$B$9)*NORMSDIST(((LN(Assumptions!$B$2/$B12)+(Assumptions!$B$3-Assumptions!$B$4+(L$3/100)^2/2)*Assumptions!$B$9)/((L$3/100)*Assumptions!$B$10)))-$B12*EXP(-Assumptions!$B$3*Assumptions!$B$9)*NORMSDIST((((LN(Assumptions!$B$2/$B12)+(Assumptions!$B$3-Assumptions!$B$4+(L$3/100)^2/2)*Assumptions!$B$9)/((L$3/100)*Assumptions!$B$10))-(L$3/100)*Assumptions!$B$10)))))</f>
        <v/>
      </c>
      <c r="M33" s="56">
        <f>IF((MAX(0,Assumptions!$B$2*EXP(-Assumptions!$B$4*Assumptions!$B$9)*NORMSDIST(((LN(Assumptions!$B$2/$B12)+(Assumptions!$B$3-Assumptions!$B$4+(M$3/100)^2/2)*Assumptions!$B$9)/((M$3/100)*Assumptions!$B$10)))-$B12*EXP(-Assumptions!$B$3*Assumptions!$B$9)*NORMSDIST((((LN(Assumptions!$B$2/$B12)+(Assumptions!$B$3-Assumptions!$B$4+(M$3/100)^2/2)*Assumptions!$B$9)/((M$3/100)*Assumptions!$B$10))-(M$3/100)*Assumptions!$B$10))))&lt;=0,"",(Assumptions!$B$2*EXP(-Assumptions!$B$4*Assumptions!$B$9)*NORMDIST(((LN(Assumptions!$B$2/$B12)+(Assumptions!$B$3-Assumptions!$B$4+(M$3/100)^2/2)*Assumptions!$B$9)/((M$3/100)*Assumptions!$B$10)),0,1,FALSE)*Assumptions!$B$10*0.01)*0.5/(MAX(0,Assumptions!$B$2*EXP(-Assumptions!$B$4*Assumptions!$B$9)*NORMSDIST(((LN(Assumptions!$B$2/$B12)+(Assumptions!$B$3-Assumptions!$B$4+(M$3/100)^2/2)*Assumptions!$B$9)/((M$3/100)*Assumptions!$B$10)))-$B12*EXP(-Assumptions!$B$3*Assumptions!$B$9)*NORMSDIST((((LN(Assumptions!$B$2/$B12)+(Assumptions!$B$3-Assumptions!$B$4+(M$3/100)^2/2)*Assumptions!$B$9)/((M$3/100)*Assumptions!$B$10))-(M$3/100)*Assumptions!$B$10)))))</f>
        <v/>
      </c>
      <c r="N33" s="56">
        <f>IF((MAX(0,Assumptions!$B$2*EXP(-Assumptions!$B$4*Assumptions!$B$9)*NORMSDIST(((LN(Assumptions!$B$2/$B12)+(Assumptions!$B$3-Assumptions!$B$4+(N$3/100)^2/2)*Assumptions!$B$9)/((N$3/100)*Assumptions!$B$10)))-$B12*EXP(-Assumptions!$B$3*Assumptions!$B$9)*NORMSDIST((((LN(Assumptions!$B$2/$B12)+(Assumptions!$B$3-Assumptions!$B$4+(N$3/100)^2/2)*Assumptions!$B$9)/((N$3/100)*Assumptions!$B$10))-(N$3/100)*Assumptions!$B$10))))&lt;=0,"",(Assumptions!$B$2*EXP(-Assumptions!$B$4*Assumptions!$B$9)*NORMDIST(((LN(Assumptions!$B$2/$B12)+(Assumptions!$B$3-Assumptions!$B$4+(N$3/100)^2/2)*Assumptions!$B$9)/((N$3/100)*Assumptions!$B$10)),0,1,FALSE)*Assumptions!$B$10*0.01)*0.5/(MAX(0,Assumptions!$B$2*EXP(-Assumptions!$B$4*Assumptions!$B$9)*NORMSDIST(((LN(Assumptions!$B$2/$B12)+(Assumptions!$B$3-Assumptions!$B$4+(N$3/100)^2/2)*Assumptions!$B$9)/((N$3/100)*Assumptions!$B$10)))-$B12*EXP(-Assumptions!$B$3*Assumptions!$B$9)*NORMSDIST((((LN(Assumptions!$B$2/$B12)+(Assumptions!$B$3-Assumptions!$B$4+(N$3/100)^2/2)*Assumptions!$B$9)/((N$3/100)*Assumptions!$B$10))-(N$3/100)*Assumptions!$B$10)))))</f>
        <v/>
      </c>
      <c r="O33" s="56">
        <f>IF((MAX(0,Assumptions!$B$2*EXP(-Assumptions!$B$4*Assumptions!$B$9)*NORMSDIST(((LN(Assumptions!$B$2/$B12)+(Assumptions!$B$3-Assumptions!$B$4+(O$3/100)^2/2)*Assumptions!$B$9)/((O$3/100)*Assumptions!$B$10)))-$B12*EXP(-Assumptions!$B$3*Assumptions!$B$9)*NORMSDIST((((LN(Assumptions!$B$2/$B12)+(Assumptions!$B$3-Assumptions!$B$4+(O$3/100)^2/2)*Assumptions!$B$9)/((O$3/100)*Assumptions!$B$10))-(O$3/100)*Assumptions!$B$10))))&lt;=0,"",(Assumptions!$B$2*EXP(-Assumptions!$B$4*Assumptions!$B$9)*NORMDIST(((LN(Assumptions!$B$2/$B12)+(Assumptions!$B$3-Assumptions!$B$4+(O$3/100)^2/2)*Assumptions!$B$9)/((O$3/100)*Assumptions!$B$10)),0,1,FALSE)*Assumptions!$B$10*0.01)*0.5/(MAX(0,Assumptions!$B$2*EXP(-Assumptions!$B$4*Assumptions!$B$9)*NORMSDIST(((LN(Assumptions!$B$2/$B12)+(Assumptions!$B$3-Assumptions!$B$4+(O$3/100)^2/2)*Assumptions!$B$9)/((O$3/100)*Assumptions!$B$10)))-$B12*EXP(-Assumptions!$B$3*Assumptions!$B$9)*NORMSDIST((((LN(Assumptions!$B$2/$B12)+(Assumptions!$B$3-Assumptions!$B$4+(O$3/100)^2/2)*Assumptions!$B$9)/((O$3/100)*Assumptions!$B$10))-(O$3/100)*Assumptions!$B$10)))))</f>
        <v/>
      </c>
      <c r="P33" s="56">
        <f>IF((MAX(0,Assumptions!$B$2*EXP(-Assumptions!$B$4*Assumptions!$B$9)*NORMSDIST(((LN(Assumptions!$B$2/$B12)+(Assumptions!$B$3-Assumptions!$B$4+(P$3/100)^2/2)*Assumptions!$B$9)/((P$3/100)*Assumptions!$B$10)))-$B12*EXP(-Assumptions!$B$3*Assumptions!$B$9)*NORMSDIST((((LN(Assumptions!$B$2/$B12)+(Assumptions!$B$3-Assumptions!$B$4+(P$3/100)^2/2)*Assumptions!$B$9)/((P$3/100)*Assumptions!$B$10))-(P$3/100)*Assumptions!$B$10))))&lt;=0,"",(Assumptions!$B$2*EXP(-Assumptions!$B$4*Assumptions!$B$9)*NORMDIST(((LN(Assumptions!$B$2/$B12)+(Assumptions!$B$3-Assumptions!$B$4+(P$3/100)^2/2)*Assumptions!$B$9)/((P$3/100)*Assumptions!$B$10)),0,1,FALSE)*Assumptions!$B$10*0.01)*0.5/(MAX(0,Assumptions!$B$2*EXP(-Assumptions!$B$4*Assumptions!$B$9)*NORMSDIST(((LN(Assumptions!$B$2/$B12)+(Assumptions!$B$3-Assumptions!$B$4+(P$3/100)^2/2)*Assumptions!$B$9)/((P$3/100)*Assumptions!$B$10)))-$B12*EXP(-Assumptions!$B$3*Assumptions!$B$9)*NORMSDIST((((LN(Assumptions!$B$2/$B12)+(Assumptions!$B$3-Assumptions!$B$4+(P$3/100)^2/2)*Assumptions!$B$9)/((P$3/100)*Assumptions!$B$10))-(P$3/100)*Assumptions!$B$10)))))</f>
        <v/>
      </c>
      <c r="Q33" s="56">
        <f>IF((MAX(0,Assumptions!$B$2*EXP(-Assumptions!$B$4*Assumptions!$B$9)*NORMSDIST(((LN(Assumptions!$B$2/$B12)+(Assumptions!$B$3-Assumptions!$B$4+(Q$3/100)^2/2)*Assumptions!$B$9)/((Q$3/100)*Assumptions!$B$10)))-$B12*EXP(-Assumptions!$B$3*Assumptions!$B$9)*NORMSDIST((((LN(Assumptions!$B$2/$B12)+(Assumptions!$B$3-Assumptions!$B$4+(Q$3/100)^2/2)*Assumptions!$B$9)/((Q$3/100)*Assumptions!$B$10))-(Q$3/100)*Assumptions!$B$10))))&lt;=0,"",(Assumptions!$B$2*EXP(-Assumptions!$B$4*Assumptions!$B$9)*NORMDIST(((LN(Assumptions!$B$2/$B12)+(Assumptions!$B$3-Assumptions!$B$4+(Q$3/100)^2/2)*Assumptions!$B$9)/((Q$3/100)*Assumptions!$B$10)),0,1,FALSE)*Assumptions!$B$10*0.01)*0.5/(MAX(0,Assumptions!$B$2*EXP(-Assumptions!$B$4*Assumptions!$B$9)*NORMSDIST(((LN(Assumptions!$B$2/$B12)+(Assumptions!$B$3-Assumptions!$B$4+(Q$3/100)^2/2)*Assumptions!$B$9)/((Q$3/100)*Assumptions!$B$10)))-$B12*EXP(-Assumptions!$B$3*Assumptions!$B$9)*NORMSDIST((((LN(Assumptions!$B$2/$B12)+(Assumptions!$B$3-Assumptions!$B$4+(Q$3/100)^2/2)*Assumptions!$B$9)/((Q$3/100)*Assumptions!$B$10))-(Q$3/100)*Assumptions!$B$10)))))</f>
        <v/>
      </c>
      <c r="R33" s="56">
        <f>IF((MAX(0,Assumptions!$B$2*EXP(-Assumptions!$B$4*Assumptions!$B$9)*NORMSDIST(((LN(Assumptions!$B$2/$B12)+(Assumptions!$B$3-Assumptions!$B$4+(R$3/100)^2/2)*Assumptions!$B$9)/((R$3/100)*Assumptions!$B$10)))-$B12*EXP(-Assumptions!$B$3*Assumptions!$B$9)*NORMSDIST((((LN(Assumptions!$B$2/$B12)+(Assumptions!$B$3-Assumptions!$B$4+(R$3/100)^2/2)*Assumptions!$B$9)/((R$3/100)*Assumptions!$B$10))-(R$3/100)*Assumptions!$B$10))))&lt;=0,"",(Assumptions!$B$2*EXP(-Assumptions!$B$4*Assumptions!$B$9)*NORMDIST(((LN(Assumptions!$B$2/$B12)+(Assumptions!$B$3-Assumptions!$B$4+(R$3/100)^2/2)*Assumptions!$B$9)/((R$3/100)*Assumptions!$B$10)),0,1,FALSE)*Assumptions!$B$10*0.01)*0.5/(MAX(0,Assumptions!$B$2*EXP(-Assumptions!$B$4*Assumptions!$B$9)*NORMSDIST(((LN(Assumptions!$B$2/$B12)+(Assumptions!$B$3-Assumptions!$B$4+(R$3/100)^2/2)*Assumptions!$B$9)/((R$3/100)*Assumptions!$B$10)))-$B12*EXP(-Assumptions!$B$3*Assumptions!$B$9)*NORMSDIST((((LN(Assumptions!$B$2/$B12)+(Assumptions!$B$3-Assumptions!$B$4+(R$3/100)^2/2)*Assumptions!$B$9)/((R$3/100)*Assumptions!$B$10))-(R$3/100)*Assumptions!$B$10)))))</f>
        <v/>
      </c>
      <c r="S33" s="56">
        <f>IF((MAX(0,Assumptions!$B$2*EXP(-Assumptions!$B$4*Assumptions!$B$9)*NORMSDIST(((LN(Assumptions!$B$2/$B12)+(Assumptions!$B$3-Assumptions!$B$4+(S$3/100)^2/2)*Assumptions!$B$9)/((S$3/100)*Assumptions!$B$10)))-$B12*EXP(-Assumptions!$B$3*Assumptions!$B$9)*NORMSDIST((((LN(Assumptions!$B$2/$B12)+(Assumptions!$B$3-Assumptions!$B$4+(S$3/100)^2/2)*Assumptions!$B$9)/((S$3/100)*Assumptions!$B$10))-(S$3/100)*Assumptions!$B$10))))&lt;=0,"",(Assumptions!$B$2*EXP(-Assumptions!$B$4*Assumptions!$B$9)*NORMDIST(((LN(Assumptions!$B$2/$B12)+(Assumptions!$B$3-Assumptions!$B$4+(S$3/100)^2/2)*Assumptions!$B$9)/((S$3/100)*Assumptions!$B$10)),0,1,FALSE)*Assumptions!$B$10*0.01)*0.5/(MAX(0,Assumptions!$B$2*EXP(-Assumptions!$B$4*Assumptions!$B$9)*NORMSDIST(((LN(Assumptions!$B$2/$B12)+(Assumptions!$B$3-Assumptions!$B$4+(S$3/100)^2/2)*Assumptions!$B$9)/((S$3/100)*Assumptions!$B$10)))-$B12*EXP(-Assumptions!$B$3*Assumptions!$B$9)*NORMSDIST((((LN(Assumptions!$B$2/$B12)+(Assumptions!$B$3-Assumptions!$B$4+(S$3/100)^2/2)*Assumptions!$B$9)/((S$3/100)*Assumptions!$B$10))-(S$3/100)*Assumptions!$B$10)))))</f>
        <v/>
      </c>
      <c r="T33" s="56">
        <f>IF((MAX(0,Assumptions!$B$2*EXP(-Assumptions!$B$4*Assumptions!$B$9)*NORMSDIST(((LN(Assumptions!$B$2/$B12)+(Assumptions!$B$3-Assumptions!$B$4+(T$3/100)^2/2)*Assumptions!$B$9)/((T$3/100)*Assumptions!$B$10)))-$B12*EXP(-Assumptions!$B$3*Assumptions!$B$9)*NORMSDIST((((LN(Assumptions!$B$2/$B12)+(Assumptions!$B$3-Assumptions!$B$4+(T$3/100)^2/2)*Assumptions!$B$9)/((T$3/100)*Assumptions!$B$10))-(T$3/100)*Assumptions!$B$10))))&lt;=0,"",(Assumptions!$B$2*EXP(-Assumptions!$B$4*Assumptions!$B$9)*NORMDIST(((LN(Assumptions!$B$2/$B12)+(Assumptions!$B$3-Assumptions!$B$4+(T$3/100)^2/2)*Assumptions!$B$9)/((T$3/100)*Assumptions!$B$10)),0,1,FALSE)*Assumptions!$B$10*0.01)*0.5/(MAX(0,Assumptions!$B$2*EXP(-Assumptions!$B$4*Assumptions!$B$9)*NORMSDIST(((LN(Assumptions!$B$2/$B12)+(Assumptions!$B$3-Assumptions!$B$4+(T$3/100)^2/2)*Assumptions!$B$9)/((T$3/100)*Assumptions!$B$10)))-$B12*EXP(-Assumptions!$B$3*Assumptions!$B$9)*NORMSDIST((((LN(Assumptions!$B$2/$B12)+(Assumptions!$B$3-Assumptions!$B$4+(T$3/100)^2/2)*Assumptions!$B$9)/((T$3/100)*Assumptions!$B$10))-(T$3/100)*Assumptions!$B$10)))))</f>
        <v/>
      </c>
      <c r="U33" s="56">
        <f>IF((MAX(0,Assumptions!$B$2*EXP(-Assumptions!$B$4*Assumptions!$B$9)*NORMSDIST(((LN(Assumptions!$B$2/$B12)+(Assumptions!$B$3-Assumptions!$B$4+(U$3/100)^2/2)*Assumptions!$B$9)/((U$3/100)*Assumptions!$B$10)))-$B12*EXP(-Assumptions!$B$3*Assumptions!$B$9)*NORMSDIST((((LN(Assumptions!$B$2/$B12)+(Assumptions!$B$3-Assumptions!$B$4+(U$3/100)^2/2)*Assumptions!$B$9)/((U$3/100)*Assumptions!$B$10))-(U$3/100)*Assumptions!$B$10))))&lt;=0,"",(Assumptions!$B$2*EXP(-Assumptions!$B$4*Assumptions!$B$9)*NORMDIST(((LN(Assumptions!$B$2/$B12)+(Assumptions!$B$3-Assumptions!$B$4+(U$3/100)^2/2)*Assumptions!$B$9)/((U$3/100)*Assumptions!$B$10)),0,1,FALSE)*Assumptions!$B$10*0.01)*0.5/(MAX(0,Assumptions!$B$2*EXP(-Assumptions!$B$4*Assumptions!$B$9)*NORMSDIST(((LN(Assumptions!$B$2/$B12)+(Assumptions!$B$3-Assumptions!$B$4+(U$3/100)^2/2)*Assumptions!$B$9)/((U$3/100)*Assumptions!$B$10)))-$B12*EXP(-Assumptions!$B$3*Assumptions!$B$9)*NORMSDIST((((LN(Assumptions!$B$2/$B12)+(Assumptions!$B$3-Assumptions!$B$4+(U$3/100)^2/2)*Assumptions!$B$9)/((U$3/100)*Assumptions!$B$10))-(U$3/100)*Assumptions!$B$10)))))</f>
        <v/>
      </c>
      <c r="V33" s="56">
        <f>IF((MAX(0,Assumptions!$B$2*EXP(-Assumptions!$B$4*Assumptions!$B$9)*NORMSDIST(((LN(Assumptions!$B$2/$B12)+(Assumptions!$B$3-Assumptions!$B$4+(V$3/100)^2/2)*Assumptions!$B$9)/((V$3/100)*Assumptions!$B$10)))-$B12*EXP(-Assumptions!$B$3*Assumptions!$B$9)*NORMSDIST((((LN(Assumptions!$B$2/$B12)+(Assumptions!$B$3-Assumptions!$B$4+(V$3/100)^2/2)*Assumptions!$B$9)/((V$3/100)*Assumptions!$B$10))-(V$3/100)*Assumptions!$B$10))))&lt;=0,"",(Assumptions!$B$2*EXP(-Assumptions!$B$4*Assumptions!$B$9)*NORMDIST(((LN(Assumptions!$B$2/$B12)+(Assumptions!$B$3-Assumptions!$B$4+(V$3/100)^2/2)*Assumptions!$B$9)/((V$3/100)*Assumptions!$B$10)),0,1,FALSE)*Assumptions!$B$10*0.01)*0.5/(MAX(0,Assumptions!$B$2*EXP(-Assumptions!$B$4*Assumptions!$B$9)*NORMSDIST(((LN(Assumptions!$B$2/$B12)+(Assumptions!$B$3-Assumptions!$B$4+(V$3/100)^2/2)*Assumptions!$B$9)/((V$3/100)*Assumptions!$B$10)))-$B12*EXP(-Assumptions!$B$3*Assumptions!$B$9)*NORMSDIST((((LN(Assumptions!$B$2/$B12)+(Assumptions!$B$3-Assumptions!$B$4+(V$3/100)^2/2)*Assumptions!$B$9)/((V$3/100)*Assumptions!$B$10))-(V$3/100)*Assumptions!$B$10)))))</f>
        <v/>
      </c>
      <c r="W33" s="56">
        <f>IF((MAX(0,Assumptions!$B$2*EXP(-Assumptions!$B$4*Assumptions!$B$9)*NORMSDIST(((LN(Assumptions!$B$2/$B12)+(Assumptions!$B$3-Assumptions!$B$4+(W$3/100)^2/2)*Assumptions!$B$9)/((W$3/100)*Assumptions!$B$10)))-$B12*EXP(-Assumptions!$B$3*Assumptions!$B$9)*NORMSDIST((((LN(Assumptions!$B$2/$B12)+(Assumptions!$B$3-Assumptions!$B$4+(W$3/100)^2/2)*Assumptions!$B$9)/((W$3/100)*Assumptions!$B$10))-(W$3/100)*Assumptions!$B$10))))&lt;=0,"",(Assumptions!$B$2*EXP(-Assumptions!$B$4*Assumptions!$B$9)*NORMDIST(((LN(Assumptions!$B$2/$B12)+(Assumptions!$B$3-Assumptions!$B$4+(W$3/100)^2/2)*Assumptions!$B$9)/((W$3/100)*Assumptions!$B$10)),0,1,FALSE)*Assumptions!$B$10*0.01)*0.5/(MAX(0,Assumptions!$B$2*EXP(-Assumptions!$B$4*Assumptions!$B$9)*NORMSDIST(((LN(Assumptions!$B$2/$B12)+(Assumptions!$B$3-Assumptions!$B$4+(W$3/100)^2/2)*Assumptions!$B$9)/((W$3/100)*Assumptions!$B$10)))-$B12*EXP(-Assumptions!$B$3*Assumptions!$B$9)*NORMSDIST((((LN(Assumptions!$B$2/$B12)+(Assumptions!$B$3-Assumptions!$B$4+(W$3/100)^2/2)*Assumptions!$B$9)/((W$3/100)*Assumptions!$B$10))-(W$3/100)*Assumptions!$B$10)))))</f>
        <v/>
      </c>
      <c r="X33" s="56">
        <f>IF((MAX(0,Assumptions!$B$2*EXP(-Assumptions!$B$4*Assumptions!$B$9)*NORMSDIST(((LN(Assumptions!$B$2/$B12)+(Assumptions!$B$3-Assumptions!$B$4+(X$3/100)^2/2)*Assumptions!$B$9)/((X$3/100)*Assumptions!$B$10)))-$B12*EXP(-Assumptions!$B$3*Assumptions!$B$9)*NORMSDIST((((LN(Assumptions!$B$2/$B12)+(Assumptions!$B$3-Assumptions!$B$4+(X$3/100)^2/2)*Assumptions!$B$9)/((X$3/100)*Assumptions!$B$10))-(X$3/100)*Assumptions!$B$10))))&lt;=0,"",(Assumptions!$B$2*EXP(-Assumptions!$B$4*Assumptions!$B$9)*NORMDIST(((LN(Assumptions!$B$2/$B12)+(Assumptions!$B$3-Assumptions!$B$4+(X$3/100)^2/2)*Assumptions!$B$9)/((X$3/100)*Assumptions!$B$10)),0,1,FALSE)*Assumptions!$B$10*0.01)*0.5/(MAX(0,Assumptions!$B$2*EXP(-Assumptions!$B$4*Assumptions!$B$9)*NORMSDIST(((LN(Assumptions!$B$2/$B12)+(Assumptions!$B$3-Assumptions!$B$4+(X$3/100)^2/2)*Assumptions!$B$9)/((X$3/100)*Assumptions!$B$10)))-$B12*EXP(-Assumptions!$B$3*Assumptions!$B$9)*NORMSDIST((((LN(Assumptions!$B$2/$B12)+(Assumptions!$B$3-Assumptions!$B$4+(X$3/100)^2/2)*Assumptions!$B$9)/((X$3/100)*Assumptions!$B$10))-(X$3/100)*Assumptions!$B$10)))))</f>
        <v/>
      </c>
      <c r="Y33" s="56">
        <f>IF((MAX(0,Assumptions!$B$2*EXP(-Assumptions!$B$4*Assumptions!$B$9)*NORMSDIST(((LN(Assumptions!$B$2/$B12)+(Assumptions!$B$3-Assumptions!$B$4+(Y$3/100)^2/2)*Assumptions!$B$9)/((Y$3/100)*Assumptions!$B$10)))-$B12*EXP(-Assumptions!$B$3*Assumptions!$B$9)*NORMSDIST((((LN(Assumptions!$B$2/$B12)+(Assumptions!$B$3-Assumptions!$B$4+(Y$3/100)^2/2)*Assumptions!$B$9)/((Y$3/100)*Assumptions!$B$10))-(Y$3/100)*Assumptions!$B$10))))&lt;=0,"",(Assumptions!$B$2*EXP(-Assumptions!$B$4*Assumptions!$B$9)*NORMDIST(((LN(Assumptions!$B$2/$B12)+(Assumptions!$B$3-Assumptions!$B$4+(Y$3/100)^2/2)*Assumptions!$B$9)/((Y$3/100)*Assumptions!$B$10)),0,1,FALSE)*Assumptions!$B$10*0.01)*0.5/(MAX(0,Assumptions!$B$2*EXP(-Assumptions!$B$4*Assumptions!$B$9)*NORMSDIST(((LN(Assumptions!$B$2/$B12)+(Assumptions!$B$3-Assumptions!$B$4+(Y$3/100)^2/2)*Assumptions!$B$9)/((Y$3/100)*Assumptions!$B$10)))-$B12*EXP(-Assumptions!$B$3*Assumptions!$B$9)*NORMSDIST((((LN(Assumptions!$B$2/$B12)+(Assumptions!$B$3-Assumptions!$B$4+(Y$3/100)^2/2)*Assumptions!$B$9)/((Y$3/100)*Assumptions!$B$10))-(Y$3/100)*Assumptions!$B$10)))))</f>
        <v/>
      </c>
      <c r="Z33" s="56">
        <f>IF((MAX(0,Assumptions!$B$2*EXP(-Assumptions!$B$4*Assumptions!$B$9)*NORMSDIST(((LN(Assumptions!$B$2/$B12)+(Assumptions!$B$3-Assumptions!$B$4+(Z$3/100)^2/2)*Assumptions!$B$9)/((Z$3/100)*Assumptions!$B$10)))-$B12*EXP(-Assumptions!$B$3*Assumptions!$B$9)*NORMSDIST((((LN(Assumptions!$B$2/$B12)+(Assumptions!$B$3-Assumptions!$B$4+(Z$3/100)^2/2)*Assumptions!$B$9)/((Z$3/100)*Assumptions!$B$10))-(Z$3/100)*Assumptions!$B$10))))&lt;=0,"",(Assumptions!$B$2*EXP(-Assumptions!$B$4*Assumptions!$B$9)*NORMDIST(((LN(Assumptions!$B$2/$B12)+(Assumptions!$B$3-Assumptions!$B$4+(Z$3/100)^2/2)*Assumptions!$B$9)/((Z$3/100)*Assumptions!$B$10)),0,1,FALSE)*Assumptions!$B$10*0.01)*0.5/(MAX(0,Assumptions!$B$2*EXP(-Assumptions!$B$4*Assumptions!$B$9)*NORMSDIST(((LN(Assumptions!$B$2/$B12)+(Assumptions!$B$3-Assumptions!$B$4+(Z$3/100)^2/2)*Assumptions!$B$9)/((Z$3/100)*Assumptions!$B$10)))-$B12*EXP(-Assumptions!$B$3*Assumptions!$B$9)*NORMSDIST((((LN(Assumptions!$B$2/$B12)+(Assumptions!$B$3-Assumptions!$B$4+(Z$3/100)^2/2)*Assumptions!$B$9)/((Z$3/100)*Assumptions!$B$10))-(Z$3/100)*Assumptions!$B$10)))))</f>
        <v/>
      </c>
      <c r="AA33" s="56">
        <f>IF((MAX(0,Assumptions!$B$2*EXP(-Assumptions!$B$4*Assumptions!$B$9)*NORMSDIST(((LN(Assumptions!$B$2/$B12)+(Assumptions!$B$3-Assumptions!$B$4+(AA$3/100)^2/2)*Assumptions!$B$9)/((AA$3/100)*Assumptions!$B$10)))-$B12*EXP(-Assumptions!$B$3*Assumptions!$B$9)*NORMSDIST((((LN(Assumptions!$B$2/$B12)+(Assumptions!$B$3-Assumptions!$B$4+(AA$3/100)^2/2)*Assumptions!$B$9)/((AA$3/100)*Assumptions!$B$10))-(AA$3/100)*Assumptions!$B$10))))&lt;=0,"",(Assumptions!$B$2*EXP(-Assumptions!$B$4*Assumptions!$B$9)*NORMDIST(((LN(Assumptions!$B$2/$B12)+(Assumptions!$B$3-Assumptions!$B$4+(AA$3/100)^2/2)*Assumptions!$B$9)/((AA$3/100)*Assumptions!$B$10)),0,1,FALSE)*Assumptions!$B$10*0.01)*0.5/(MAX(0,Assumptions!$B$2*EXP(-Assumptions!$B$4*Assumptions!$B$9)*NORMSDIST(((LN(Assumptions!$B$2/$B12)+(Assumptions!$B$3-Assumptions!$B$4+(AA$3/100)^2/2)*Assumptions!$B$9)/((AA$3/100)*Assumptions!$B$10)))-$B12*EXP(-Assumptions!$B$3*Assumptions!$B$9)*NORMSDIST((((LN(Assumptions!$B$2/$B12)+(Assumptions!$B$3-Assumptions!$B$4+(AA$3/100)^2/2)*Assumptions!$B$9)/((AA$3/100)*Assumptions!$B$10))-(AA$3/100)*Assumptions!$B$10)))))</f>
        <v/>
      </c>
      <c r="AB33" s="56">
        <f>IF((MAX(0,Assumptions!$B$2*EXP(-Assumptions!$B$4*Assumptions!$B$9)*NORMSDIST(((LN(Assumptions!$B$2/$B12)+(Assumptions!$B$3-Assumptions!$B$4+(AB$3/100)^2/2)*Assumptions!$B$9)/((AB$3/100)*Assumptions!$B$10)))-$B12*EXP(-Assumptions!$B$3*Assumptions!$B$9)*NORMSDIST((((LN(Assumptions!$B$2/$B12)+(Assumptions!$B$3-Assumptions!$B$4+(AB$3/100)^2/2)*Assumptions!$B$9)/((AB$3/100)*Assumptions!$B$10))-(AB$3/100)*Assumptions!$B$10))))&lt;=0,"",(Assumptions!$B$2*EXP(-Assumptions!$B$4*Assumptions!$B$9)*NORMDIST(((LN(Assumptions!$B$2/$B12)+(Assumptions!$B$3-Assumptions!$B$4+(AB$3/100)^2/2)*Assumptions!$B$9)/((AB$3/100)*Assumptions!$B$10)),0,1,FALSE)*Assumptions!$B$10*0.01)*0.5/(MAX(0,Assumptions!$B$2*EXP(-Assumptions!$B$4*Assumptions!$B$9)*NORMSDIST(((LN(Assumptions!$B$2/$B12)+(Assumptions!$B$3-Assumptions!$B$4+(AB$3/100)^2/2)*Assumptions!$B$9)/((AB$3/100)*Assumptions!$B$10)))-$B12*EXP(-Assumptions!$B$3*Assumptions!$B$9)*NORMSDIST((((LN(Assumptions!$B$2/$B12)+(Assumptions!$B$3-Assumptions!$B$4+(AB$3/100)^2/2)*Assumptions!$B$9)/((AB$3/100)*Assumptions!$B$10))-(AB$3/100)*Assumptions!$B$10)))))</f>
        <v/>
      </c>
      <c r="AC33" s="56">
        <f>IF((MAX(0,Assumptions!$B$2*EXP(-Assumptions!$B$4*Assumptions!$B$9)*NORMSDIST(((LN(Assumptions!$B$2/$B12)+(Assumptions!$B$3-Assumptions!$B$4+(AC$3/100)^2/2)*Assumptions!$B$9)/((AC$3/100)*Assumptions!$B$10)))-$B12*EXP(-Assumptions!$B$3*Assumptions!$B$9)*NORMSDIST((((LN(Assumptions!$B$2/$B12)+(Assumptions!$B$3-Assumptions!$B$4+(AC$3/100)^2/2)*Assumptions!$B$9)/((AC$3/100)*Assumptions!$B$10))-(AC$3/100)*Assumptions!$B$10))))&lt;=0,"",(Assumptions!$B$2*EXP(-Assumptions!$B$4*Assumptions!$B$9)*NORMDIST(((LN(Assumptions!$B$2/$B12)+(Assumptions!$B$3-Assumptions!$B$4+(AC$3/100)^2/2)*Assumptions!$B$9)/((AC$3/100)*Assumptions!$B$10)),0,1,FALSE)*Assumptions!$B$10*0.01)*0.5/(MAX(0,Assumptions!$B$2*EXP(-Assumptions!$B$4*Assumptions!$B$9)*NORMSDIST(((LN(Assumptions!$B$2/$B12)+(Assumptions!$B$3-Assumptions!$B$4+(AC$3/100)^2/2)*Assumptions!$B$9)/((AC$3/100)*Assumptions!$B$10)))-$B12*EXP(-Assumptions!$B$3*Assumptions!$B$9)*NORMSDIST((((LN(Assumptions!$B$2/$B12)+(Assumptions!$B$3-Assumptions!$B$4+(AC$3/100)^2/2)*Assumptions!$B$9)/((AC$3/100)*Assumptions!$B$10))-(AC$3/100)*Assumptions!$B$10)))))</f>
        <v/>
      </c>
      <c r="AD33" s="56">
        <f>IF((MAX(0,Assumptions!$B$2*EXP(-Assumptions!$B$4*Assumptions!$B$9)*NORMSDIST(((LN(Assumptions!$B$2/$B12)+(Assumptions!$B$3-Assumptions!$B$4+(AD$3/100)^2/2)*Assumptions!$B$9)/((AD$3/100)*Assumptions!$B$10)))-$B12*EXP(-Assumptions!$B$3*Assumptions!$B$9)*NORMSDIST((((LN(Assumptions!$B$2/$B12)+(Assumptions!$B$3-Assumptions!$B$4+(AD$3/100)^2/2)*Assumptions!$B$9)/((AD$3/100)*Assumptions!$B$10))-(AD$3/100)*Assumptions!$B$10))))&lt;=0,"",(Assumptions!$B$2*EXP(-Assumptions!$B$4*Assumptions!$B$9)*NORMDIST(((LN(Assumptions!$B$2/$B12)+(Assumptions!$B$3-Assumptions!$B$4+(AD$3/100)^2/2)*Assumptions!$B$9)/((AD$3/100)*Assumptions!$B$10)),0,1,FALSE)*Assumptions!$B$10*0.01)*0.5/(MAX(0,Assumptions!$B$2*EXP(-Assumptions!$B$4*Assumptions!$B$9)*NORMSDIST(((LN(Assumptions!$B$2/$B12)+(Assumptions!$B$3-Assumptions!$B$4+(AD$3/100)^2/2)*Assumptions!$B$9)/((AD$3/100)*Assumptions!$B$10)))-$B12*EXP(-Assumptions!$B$3*Assumptions!$B$9)*NORMSDIST((((LN(Assumptions!$B$2/$B12)+(Assumptions!$B$3-Assumptions!$B$4+(AD$3/100)^2/2)*Assumptions!$B$9)/((AD$3/100)*Assumptions!$B$10))-(AD$3/100)*Assumptions!$B$10)))))</f>
        <v/>
      </c>
      <c r="AE33" s="56">
        <f>IF((MAX(0,Assumptions!$B$2*EXP(-Assumptions!$B$4*Assumptions!$B$9)*NORMSDIST(((LN(Assumptions!$B$2/$B12)+(Assumptions!$B$3-Assumptions!$B$4+(AE$3/100)^2/2)*Assumptions!$B$9)/((AE$3/100)*Assumptions!$B$10)))-$B12*EXP(-Assumptions!$B$3*Assumptions!$B$9)*NORMSDIST((((LN(Assumptions!$B$2/$B12)+(Assumptions!$B$3-Assumptions!$B$4+(AE$3/100)^2/2)*Assumptions!$B$9)/((AE$3/100)*Assumptions!$B$10))-(AE$3/100)*Assumptions!$B$10))))&lt;=0,"",(Assumptions!$B$2*EXP(-Assumptions!$B$4*Assumptions!$B$9)*NORMDIST(((LN(Assumptions!$B$2/$B12)+(Assumptions!$B$3-Assumptions!$B$4+(AE$3/100)^2/2)*Assumptions!$B$9)/((AE$3/100)*Assumptions!$B$10)),0,1,FALSE)*Assumptions!$B$10*0.01)*0.5/(MAX(0,Assumptions!$B$2*EXP(-Assumptions!$B$4*Assumptions!$B$9)*NORMSDIST(((LN(Assumptions!$B$2/$B12)+(Assumptions!$B$3-Assumptions!$B$4+(AE$3/100)^2/2)*Assumptions!$B$9)/((AE$3/100)*Assumptions!$B$10)))-$B12*EXP(-Assumptions!$B$3*Assumptions!$B$9)*NORMSDIST((((LN(Assumptions!$B$2/$B12)+(Assumptions!$B$3-Assumptions!$B$4+(AE$3/100)^2/2)*Assumptions!$B$9)/((AE$3/100)*Assumptions!$B$10))-(AE$3/100)*Assumptions!$B$10)))))</f>
        <v/>
      </c>
      <c r="AF33" s="56">
        <f>IF((MAX(0,Assumptions!$B$2*EXP(-Assumptions!$B$4*Assumptions!$B$9)*NORMSDIST(((LN(Assumptions!$B$2/$B12)+(Assumptions!$B$3-Assumptions!$B$4+(AF$3/100)^2/2)*Assumptions!$B$9)/((AF$3/100)*Assumptions!$B$10)))-$B12*EXP(-Assumptions!$B$3*Assumptions!$B$9)*NORMSDIST((((LN(Assumptions!$B$2/$B12)+(Assumptions!$B$3-Assumptions!$B$4+(AF$3/100)^2/2)*Assumptions!$B$9)/((AF$3/100)*Assumptions!$B$10))-(AF$3/100)*Assumptions!$B$10))))&lt;=0,"",(Assumptions!$B$2*EXP(-Assumptions!$B$4*Assumptions!$B$9)*NORMDIST(((LN(Assumptions!$B$2/$B12)+(Assumptions!$B$3-Assumptions!$B$4+(AF$3/100)^2/2)*Assumptions!$B$9)/((AF$3/100)*Assumptions!$B$10)),0,1,FALSE)*Assumptions!$B$10*0.01)*0.5/(MAX(0,Assumptions!$B$2*EXP(-Assumptions!$B$4*Assumptions!$B$9)*NORMSDIST(((LN(Assumptions!$B$2/$B12)+(Assumptions!$B$3-Assumptions!$B$4+(AF$3/100)^2/2)*Assumptions!$B$9)/((AF$3/100)*Assumptions!$B$10)))-$B12*EXP(-Assumptions!$B$3*Assumptions!$B$9)*NORMSDIST((((LN(Assumptions!$B$2/$B12)+(Assumptions!$B$3-Assumptions!$B$4+(AF$3/100)^2/2)*Assumptions!$B$9)/((AF$3/100)*Assumptions!$B$10))-(AF$3/100)*Assumptions!$B$10)))))</f>
        <v/>
      </c>
      <c r="AG33" s="56">
        <f>IF((MAX(0,Assumptions!$B$2*EXP(-Assumptions!$B$4*Assumptions!$B$9)*NORMSDIST(((LN(Assumptions!$B$2/$B12)+(Assumptions!$B$3-Assumptions!$B$4+(AG$3/100)^2/2)*Assumptions!$B$9)/((AG$3/100)*Assumptions!$B$10)))-$B12*EXP(-Assumptions!$B$3*Assumptions!$B$9)*NORMSDIST((((LN(Assumptions!$B$2/$B12)+(Assumptions!$B$3-Assumptions!$B$4+(AG$3/100)^2/2)*Assumptions!$B$9)/((AG$3/100)*Assumptions!$B$10))-(AG$3/100)*Assumptions!$B$10))))&lt;=0,"",(Assumptions!$B$2*EXP(-Assumptions!$B$4*Assumptions!$B$9)*NORMDIST(((LN(Assumptions!$B$2/$B12)+(Assumptions!$B$3-Assumptions!$B$4+(AG$3/100)^2/2)*Assumptions!$B$9)/((AG$3/100)*Assumptions!$B$10)),0,1,FALSE)*Assumptions!$B$10*0.01)*0.5/(MAX(0,Assumptions!$B$2*EXP(-Assumptions!$B$4*Assumptions!$B$9)*NORMSDIST(((LN(Assumptions!$B$2/$B12)+(Assumptions!$B$3-Assumptions!$B$4+(AG$3/100)^2/2)*Assumptions!$B$9)/((AG$3/100)*Assumptions!$B$10)))-$B12*EXP(-Assumptions!$B$3*Assumptions!$B$9)*NORMSDIST((((LN(Assumptions!$B$2/$B12)+(Assumptions!$B$3-Assumptions!$B$4+(AG$3/100)^2/2)*Assumptions!$B$9)/((AG$3/100)*Assumptions!$B$10))-(AG$3/100)*Assumptions!$B$10)))))</f>
        <v/>
      </c>
      <c r="AH33" s="56">
        <f>IF((MAX(0,Assumptions!$B$2*EXP(-Assumptions!$B$4*Assumptions!$B$9)*NORMSDIST(((LN(Assumptions!$B$2/$B12)+(Assumptions!$B$3-Assumptions!$B$4+(AH$3/100)^2/2)*Assumptions!$B$9)/((AH$3/100)*Assumptions!$B$10)))-$B12*EXP(-Assumptions!$B$3*Assumptions!$B$9)*NORMSDIST((((LN(Assumptions!$B$2/$B12)+(Assumptions!$B$3-Assumptions!$B$4+(AH$3/100)^2/2)*Assumptions!$B$9)/((AH$3/100)*Assumptions!$B$10))-(AH$3/100)*Assumptions!$B$10))))&lt;=0,"",(Assumptions!$B$2*EXP(-Assumptions!$B$4*Assumptions!$B$9)*NORMDIST(((LN(Assumptions!$B$2/$B12)+(Assumptions!$B$3-Assumptions!$B$4+(AH$3/100)^2/2)*Assumptions!$B$9)/((AH$3/100)*Assumptions!$B$10)),0,1,FALSE)*Assumptions!$B$10*0.01)*0.5/(MAX(0,Assumptions!$B$2*EXP(-Assumptions!$B$4*Assumptions!$B$9)*NORMSDIST(((LN(Assumptions!$B$2/$B12)+(Assumptions!$B$3-Assumptions!$B$4+(AH$3/100)^2/2)*Assumptions!$B$9)/((AH$3/100)*Assumptions!$B$10)))-$B12*EXP(-Assumptions!$B$3*Assumptions!$B$9)*NORMSDIST((((LN(Assumptions!$B$2/$B12)+(Assumptions!$B$3-Assumptions!$B$4+(AH$3/100)^2/2)*Assumptions!$B$9)/((AH$3/100)*Assumptions!$B$10))-(AH$3/100)*Assumptions!$B$10)))))</f>
        <v/>
      </c>
      <c r="AI33" s="56">
        <f>IF((MAX(0,Assumptions!$B$2*EXP(-Assumptions!$B$4*Assumptions!$B$9)*NORMSDIST(((LN(Assumptions!$B$2/$B12)+(Assumptions!$B$3-Assumptions!$B$4+(AI$3/100)^2/2)*Assumptions!$B$9)/((AI$3/100)*Assumptions!$B$10)))-$B12*EXP(-Assumptions!$B$3*Assumptions!$B$9)*NORMSDIST((((LN(Assumptions!$B$2/$B12)+(Assumptions!$B$3-Assumptions!$B$4+(AI$3/100)^2/2)*Assumptions!$B$9)/((AI$3/100)*Assumptions!$B$10))-(AI$3/100)*Assumptions!$B$10))))&lt;=0,"",(Assumptions!$B$2*EXP(-Assumptions!$B$4*Assumptions!$B$9)*NORMDIST(((LN(Assumptions!$B$2/$B12)+(Assumptions!$B$3-Assumptions!$B$4+(AI$3/100)^2/2)*Assumptions!$B$9)/((AI$3/100)*Assumptions!$B$10)),0,1,FALSE)*Assumptions!$B$10*0.01)*0.5/(MAX(0,Assumptions!$B$2*EXP(-Assumptions!$B$4*Assumptions!$B$9)*NORMSDIST(((LN(Assumptions!$B$2/$B12)+(Assumptions!$B$3-Assumptions!$B$4+(AI$3/100)^2/2)*Assumptions!$B$9)/((AI$3/100)*Assumptions!$B$10)))-$B12*EXP(-Assumptions!$B$3*Assumptions!$B$9)*NORMSDIST((((LN(Assumptions!$B$2/$B12)+(Assumptions!$B$3-Assumptions!$B$4+(AI$3/100)^2/2)*Assumptions!$B$9)/((AI$3/100)*Assumptions!$B$10))-(AI$3/100)*Assumptions!$B$10)))))</f>
        <v/>
      </c>
      <c r="AJ33" s="56">
        <f>IF((MAX(0,Assumptions!$B$2*EXP(-Assumptions!$B$4*Assumptions!$B$9)*NORMSDIST(((LN(Assumptions!$B$2/$B12)+(Assumptions!$B$3-Assumptions!$B$4+(AJ$3/100)^2/2)*Assumptions!$B$9)/((AJ$3/100)*Assumptions!$B$10)))-$B12*EXP(-Assumptions!$B$3*Assumptions!$B$9)*NORMSDIST((((LN(Assumptions!$B$2/$B12)+(Assumptions!$B$3-Assumptions!$B$4+(AJ$3/100)^2/2)*Assumptions!$B$9)/((AJ$3/100)*Assumptions!$B$10))-(AJ$3/100)*Assumptions!$B$10))))&lt;=0,"",(Assumptions!$B$2*EXP(-Assumptions!$B$4*Assumptions!$B$9)*NORMDIST(((LN(Assumptions!$B$2/$B12)+(Assumptions!$B$3-Assumptions!$B$4+(AJ$3/100)^2/2)*Assumptions!$B$9)/((AJ$3/100)*Assumptions!$B$10)),0,1,FALSE)*Assumptions!$B$10*0.01)*0.5/(MAX(0,Assumptions!$B$2*EXP(-Assumptions!$B$4*Assumptions!$B$9)*NORMSDIST(((LN(Assumptions!$B$2/$B12)+(Assumptions!$B$3-Assumptions!$B$4+(AJ$3/100)^2/2)*Assumptions!$B$9)/((AJ$3/100)*Assumptions!$B$10)))-$B12*EXP(-Assumptions!$B$3*Assumptions!$B$9)*NORMSDIST((((LN(Assumptions!$B$2/$B12)+(Assumptions!$B$3-Assumptions!$B$4+(AJ$3/100)^2/2)*Assumptions!$B$9)/((AJ$3/100)*Assumptions!$B$10))-(AJ$3/100)*Assumptions!$B$10)))))</f>
        <v/>
      </c>
      <c r="AK33" s="56">
        <f>IF((MAX(0,Assumptions!$B$2*EXP(-Assumptions!$B$4*Assumptions!$B$9)*NORMSDIST(((LN(Assumptions!$B$2/$B12)+(Assumptions!$B$3-Assumptions!$B$4+(AK$3/100)^2/2)*Assumptions!$B$9)/((AK$3/100)*Assumptions!$B$10)))-$B12*EXP(-Assumptions!$B$3*Assumptions!$B$9)*NORMSDIST((((LN(Assumptions!$B$2/$B12)+(Assumptions!$B$3-Assumptions!$B$4+(AK$3/100)^2/2)*Assumptions!$B$9)/((AK$3/100)*Assumptions!$B$10))-(AK$3/100)*Assumptions!$B$10))))&lt;=0,"",(Assumptions!$B$2*EXP(-Assumptions!$B$4*Assumptions!$B$9)*NORMDIST(((LN(Assumptions!$B$2/$B12)+(Assumptions!$B$3-Assumptions!$B$4+(AK$3/100)^2/2)*Assumptions!$B$9)/((AK$3/100)*Assumptions!$B$10)),0,1,FALSE)*Assumptions!$B$10*0.01)*0.5/(MAX(0,Assumptions!$B$2*EXP(-Assumptions!$B$4*Assumptions!$B$9)*NORMSDIST(((LN(Assumptions!$B$2/$B12)+(Assumptions!$B$3-Assumptions!$B$4+(AK$3/100)^2/2)*Assumptions!$B$9)/((AK$3/100)*Assumptions!$B$10)))-$B12*EXP(-Assumptions!$B$3*Assumptions!$B$9)*NORMSDIST((((LN(Assumptions!$B$2/$B12)+(Assumptions!$B$3-Assumptions!$B$4+(AK$3/100)^2/2)*Assumptions!$B$9)/((AK$3/100)*Assumptions!$B$10))-(AK$3/100)*Assumptions!$B$10)))))</f>
        <v/>
      </c>
      <c r="AL33" s="56">
        <f>IF((MAX(0,Assumptions!$B$2*EXP(-Assumptions!$B$4*Assumptions!$B$9)*NORMSDIST(((LN(Assumptions!$B$2/$B12)+(Assumptions!$B$3-Assumptions!$B$4+(AL$3/100)^2/2)*Assumptions!$B$9)/((AL$3/100)*Assumptions!$B$10)))-$B12*EXP(-Assumptions!$B$3*Assumptions!$B$9)*NORMSDIST((((LN(Assumptions!$B$2/$B12)+(Assumptions!$B$3-Assumptions!$B$4+(AL$3/100)^2/2)*Assumptions!$B$9)/((AL$3/100)*Assumptions!$B$10))-(AL$3/100)*Assumptions!$B$10))))&lt;=0,"",(Assumptions!$B$2*EXP(-Assumptions!$B$4*Assumptions!$B$9)*NORMDIST(((LN(Assumptions!$B$2/$B12)+(Assumptions!$B$3-Assumptions!$B$4+(AL$3/100)^2/2)*Assumptions!$B$9)/((AL$3/100)*Assumptions!$B$10)),0,1,FALSE)*Assumptions!$B$10*0.01)*0.5/(MAX(0,Assumptions!$B$2*EXP(-Assumptions!$B$4*Assumptions!$B$9)*NORMSDIST(((LN(Assumptions!$B$2/$B12)+(Assumptions!$B$3-Assumptions!$B$4+(AL$3/100)^2/2)*Assumptions!$B$9)/((AL$3/100)*Assumptions!$B$10)))-$B12*EXP(-Assumptions!$B$3*Assumptions!$B$9)*NORMSDIST((((LN(Assumptions!$B$2/$B12)+(Assumptions!$B$3-Assumptions!$B$4+(AL$3/100)^2/2)*Assumptions!$B$9)/((AL$3/100)*Assumptions!$B$10))-(AL$3/100)*Assumptions!$B$10)))))</f>
        <v/>
      </c>
      <c r="AM33" s="56">
        <f>IF((MAX(0,Assumptions!$B$2*EXP(-Assumptions!$B$4*Assumptions!$B$9)*NORMSDIST(((LN(Assumptions!$B$2/$B12)+(Assumptions!$B$3-Assumptions!$B$4+(AM$3/100)^2/2)*Assumptions!$B$9)/((AM$3/100)*Assumptions!$B$10)))-$B12*EXP(-Assumptions!$B$3*Assumptions!$B$9)*NORMSDIST((((LN(Assumptions!$B$2/$B12)+(Assumptions!$B$3-Assumptions!$B$4+(AM$3/100)^2/2)*Assumptions!$B$9)/((AM$3/100)*Assumptions!$B$10))-(AM$3/100)*Assumptions!$B$10))))&lt;=0,"",(Assumptions!$B$2*EXP(-Assumptions!$B$4*Assumptions!$B$9)*NORMDIST(((LN(Assumptions!$B$2/$B12)+(Assumptions!$B$3-Assumptions!$B$4+(AM$3/100)^2/2)*Assumptions!$B$9)/((AM$3/100)*Assumptions!$B$10)),0,1,FALSE)*Assumptions!$B$10*0.01)*0.5/(MAX(0,Assumptions!$B$2*EXP(-Assumptions!$B$4*Assumptions!$B$9)*NORMSDIST(((LN(Assumptions!$B$2/$B12)+(Assumptions!$B$3-Assumptions!$B$4+(AM$3/100)^2/2)*Assumptions!$B$9)/((AM$3/100)*Assumptions!$B$10)))-$B12*EXP(-Assumptions!$B$3*Assumptions!$B$9)*NORMSDIST((((LN(Assumptions!$B$2/$B12)+(Assumptions!$B$3-Assumptions!$B$4+(AM$3/100)^2/2)*Assumptions!$B$9)/((AM$3/100)*Assumptions!$B$10))-(AM$3/100)*Assumptions!$B$10)))))</f>
        <v/>
      </c>
      <c r="AN33" s="56">
        <f>IF((MAX(0,Assumptions!$B$2*EXP(-Assumptions!$B$4*Assumptions!$B$9)*NORMSDIST(((LN(Assumptions!$B$2/$B12)+(Assumptions!$B$3-Assumptions!$B$4+(AN$3/100)^2/2)*Assumptions!$B$9)/((AN$3/100)*Assumptions!$B$10)))-$B12*EXP(-Assumptions!$B$3*Assumptions!$B$9)*NORMSDIST((((LN(Assumptions!$B$2/$B12)+(Assumptions!$B$3-Assumptions!$B$4+(AN$3/100)^2/2)*Assumptions!$B$9)/((AN$3/100)*Assumptions!$B$10))-(AN$3/100)*Assumptions!$B$10))))&lt;=0,"",(Assumptions!$B$2*EXP(-Assumptions!$B$4*Assumptions!$B$9)*NORMDIST(((LN(Assumptions!$B$2/$B12)+(Assumptions!$B$3-Assumptions!$B$4+(AN$3/100)^2/2)*Assumptions!$B$9)/((AN$3/100)*Assumptions!$B$10)),0,1,FALSE)*Assumptions!$B$10*0.01)*0.5/(MAX(0,Assumptions!$B$2*EXP(-Assumptions!$B$4*Assumptions!$B$9)*NORMSDIST(((LN(Assumptions!$B$2/$B12)+(Assumptions!$B$3-Assumptions!$B$4+(AN$3/100)^2/2)*Assumptions!$B$9)/((AN$3/100)*Assumptions!$B$10)))-$B12*EXP(-Assumptions!$B$3*Assumptions!$B$9)*NORMSDIST((((LN(Assumptions!$B$2/$B12)+(Assumptions!$B$3-Assumptions!$B$4+(AN$3/100)^2/2)*Assumptions!$B$9)/((AN$3/100)*Assumptions!$B$10))-(AN$3/100)*Assumptions!$B$10)))))</f>
        <v/>
      </c>
      <c r="AO33" s="56">
        <f>IF((MAX(0,Assumptions!$B$2*EXP(-Assumptions!$B$4*Assumptions!$B$9)*NORMSDIST(((LN(Assumptions!$B$2/$B12)+(Assumptions!$B$3-Assumptions!$B$4+(AO$3/100)^2/2)*Assumptions!$B$9)/((AO$3/100)*Assumptions!$B$10)))-$B12*EXP(-Assumptions!$B$3*Assumptions!$B$9)*NORMSDIST((((LN(Assumptions!$B$2/$B12)+(Assumptions!$B$3-Assumptions!$B$4+(AO$3/100)^2/2)*Assumptions!$B$9)/((AO$3/100)*Assumptions!$B$10))-(AO$3/100)*Assumptions!$B$10))))&lt;=0,"",(Assumptions!$B$2*EXP(-Assumptions!$B$4*Assumptions!$B$9)*NORMDIST(((LN(Assumptions!$B$2/$B12)+(Assumptions!$B$3-Assumptions!$B$4+(AO$3/100)^2/2)*Assumptions!$B$9)/((AO$3/100)*Assumptions!$B$10)),0,1,FALSE)*Assumptions!$B$10*0.01)*0.5/(MAX(0,Assumptions!$B$2*EXP(-Assumptions!$B$4*Assumptions!$B$9)*NORMSDIST(((LN(Assumptions!$B$2/$B12)+(Assumptions!$B$3-Assumptions!$B$4+(AO$3/100)^2/2)*Assumptions!$B$9)/((AO$3/100)*Assumptions!$B$10)))-$B12*EXP(-Assumptions!$B$3*Assumptions!$B$9)*NORMSDIST((((LN(Assumptions!$B$2/$B12)+(Assumptions!$B$3-Assumptions!$B$4+(AO$3/100)^2/2)*Assumptions!$B$9)/((AO$3/100)*Assumptions!$B$10))-(AO$3/100)*Assumptions!$B$10)))))</f>
        <v/>
      </c>
      <c r="AP33" s="56">
        <f>IF((MAX(0,Assumptions!$B$2*EXP(-Assumptions!$B$4*Assumptions!$B$9)*NORMSDIST(((LN(Assumptions!$B$2/$B12)+(Assumptions!$B$3-Assumptions!$B$4+(AP$3/100)^2/2)*Assumptions!$B$9)/((AP$3/100)*Assumptions!$B$10)))-$B12*EXP(-Assumptions!$B$3*Assumptions!$B$9)*NORMSDIST((((LN(Assumptions!$B$2/$B12)+(Assumptions!$B$3-Assumptions!$B$4+(AP$3/100)^2/2)*Assumptions!$B$9)/((AP$3/100)*Assumptions!$B$10))-(AP$3/100)*Assumptions!$B$10))))&lt;=0,"",(Assumptions!$B$2*EXP(-Assumptions!$B$4*Assumptions!$B$9)*NORMDIST(((LN(Assumptions!$B$2/$B12)+(Assumptions!$B$3-Assumptions!$B$4+(AP$3/100)^2/2)*Assumptions!$B$9)/((AP$3/100)*Assumptions!$B$10)),0,1,FALSE)*Assumptions!$B$10*0.01)*0.5/(MAX(0,Assumptions!$B$2*EXP(-Assumptions!$B$4*Assumptions!$B$9)*NORMSDIST(((LN(Assumptions!$B$2/$B12)+(Assumptions!$B$3-Assumptions!$B$4+(AP$3/100)^2/2)*Assumptions!$B$9)/((AP$3/100)*Assumptions!$B$10)))-$B12*EXP(-Assumptions!$B$3*Assumptions!$B$9)*NORMSDIST((((LN(Assumptions!$B$2/$B12)+(Assumptions!$B$3-Assumptions!$B$4+(AP$3/100)^2/2)*Assumptions!$B$9)/((AP$3/100)*Assumptions!$B$10))-(AP$3/100)*Assumptions!$B$10)))))</f>
        <v/>
      </c>
      <c r="AQ33" s="56">
        <f>IF((MAX(0,Assumptions!$B$2*EXP(-Assumptions!$B$4*Assumptions!$B$9)*NORMSDIST(((LN(Assumptions!$B$2/$B12)+(Assumptions!$B$3-Assumptions!$B$4+(AQ$3/100)^2/2)*Assumptions!$B$9)/((AQ$3/100)*Assumptions!$B$10)))-$B12*EXP(-Assumptions!$B$3*Assumptions!$B$9)*NORMSDIST((((LN(Assumptions!$B$2/$B12)+(Assumptions!$B$3-Assumptions!$B$4+(AQ$3/100)^2/2)*Assumptions!$B$9)/((AQ$3/100)*Assumptions!$B$10))-(AQ$3/100)*Assumptions!$B$10))))&lt;=0,"",(Assumptions!$B$2*EXP(-Assumptions!$B$4*Assumptions!$B$9)*NORMDIST(((LN(Assumptions!$B$2/$B12)+(Assumptions!$B$3-Assumptions!$B$4+(AQ$3/100)^2/2)*Assumptions!$B$9)/((AQ$3/100)*Assumptions!$B$10)),0,1,FALSE)*Assumptions!$B$10*0.01)*0.5/(MAX(0,Assumptions!$B$2*EXP(-Assumptions!$B$4*Assumptions!$B$9)*NORMSDIST(((LN(Assumptions!$B$2/$B12)+(Assumptions!$B$3-Assumptions!$B$4+(AQ$3/100)^2/2)*Assumptions!$B$9)/((AQ$3/100)*Assumptions!$B$10)))-$B12*EXP(-Assumptions!$B$3*Assumptions!$B$9)*NORMSDIST((((LN(Assumptions!$B$2/$B12)+(Assumptions!$B$3-Assumptions!$B$4+(AQ$3/100)^2/2)*Assumptions!$B$9)/((AQ$3/100)*Assumptions!$B$10))-(AQ$3/100)*Assumptions!$B$10)))))</f>
        <v/>
      </c>
      <c r="AR33" s="56">
        <f>IF((MAX(0,Assumptions!$B$2*EXP(-Assumptions!$B$4*Assumptions!$B$9)*NORMSDIST(((LN(Assumptions!$B$2/$B12)+(Assumptions!$B$3-Assumptions!$B$4+(AR$3/100)^2/2)*Assumptions!$B$9)/((AR$3/100)*Assumptions!$B$10)))-$B12*EXP(-Assumptions!$B$3*Assumptions!$B$9)*NORMSDIST((((LN(Assumptions!$B$2/$B12)+(Assumptions!$B$3-Assumptions!$B$4+(AR$3/100)^2/2)*Assumptions!$B$9)/((AR$3/100)*Assumptions!$B$10))-(AR$3/100)*Assumptions!$B$10))))&lt;=0,"",(Assumptions!$B$2*EXP(-Assumptions!$B$4*Assumptions!$B$9)*NORMDIST(((LN(Assumptions!$B$2/$B12)+(Assumptions!$B$3-Assumptions!$B$4+(AR$3/100)^2/2)*Assumptions!$B$9)/((AR$3/100)*Assumptions!$B$10)),0,1,FALSE)*Assumptions!$B$10*0.01)*0.5/(MAX(0,Assumptions!$B$2*EXP(-Assumptions!$B$4*Assumptions!$B$9)*NORMSDIST(((LN(Assumptions!$B$2/$B12)+(Assumptions!$B$3-Assumptions!$B$4+(AR$3/100)^2/2)*Assumptions!$B$9)/((AR$3/100)*Assumptions!$B$10)))-$B12*EXP(-Assumptions!$B$3*Assumptions!$B$9)*NORMSDIST((((LN(Assumptions!$B$2/$B12)+(Assumptions!$B$3-Assumptions!$B$4+(AR$3/100)^2/2)*Assumptions!$B$9)/((AR$3/100)*Assumptions!$B$10))-(AR$3/100)*Assumptions!$B$10)))))</f>
        <v/>
      </c>
      <c r="AS33" s="56">
        <f>IF((MAX(0,Assumptions!$B$2*EXP(-Assumptions!$B$4*Assumptions!$B$9)*NORMSDIST(((LN(Assumptions!$B$2/$B12)+(Assumptions!$B$3-Assumptions!$B$4+(AS$3/100)^2/2)*Assumptions!$B$9)/((AS$3/100)*Assumptions!$B$10)))-$B12*EXP(-Assumptions!$B$3*Assumptions!$B$9)*NORMSDIST((((LN(Assumptions!$B$2/$B12)+(Assumptions!$B$3-Assumptions!$B$4+(AS$3/100)^2/2)*Assumptions!$B$9)/((AS$3/100)*Assumptions!$B$10))-(AS$3/100)*Assumptions!$B$10))))&lt;=0,"",(Assumptions!$B$2*EXP(-Assumptions!$B$4*Assumptions!$B$9)*NORMDIST(((LN(Assumptions!$B$2/$B12)+(Assumptions!$B$3-Assumptions!$B$4+(AS$3/100)^2/2)*Assumptions!$B$9)/((AS$3/100)*Assumptions!$B$10)),0,1,FALSE)*Assumptions!$B$10*0.01)*0.5/(MAX(0,Assumptions!$B$2*EXP(-Assumptions!$B$4*Assumptions!$B$9)*NORMSDIST(((LN(Assumptions!$B$2/$B12)+(Assumptions!$B$3-Assumptions!$B$4+(AS$3/100)^2/2)*Assumptions!$B$9)/((AS$3/100)*Assumptions!$B$10)))-$B12*EXP(-Assumptions!$B$3*Assumptions!$B$9)*NORMSDIST((((LN(Assumptions!$B$2/$B12)+(Assumptions!$B$3-Assumptions!$B$4+(AS$3/100)^2/2)*Assumptions!$B$9)/((AS$3/100)*Assumptions!$B$10))-(AS$3/100)*Assumptions!$B$10)))))</f>
        <v/>
      </c>
      <c r="AT33" s="56">
        <f>IF((MAX(0,Assumptions!$B$2*EXP(-Assumptions!$B$4*Assumptions!$B$9)*NORMSDIST(((LN(Assumptions!$B$2/$B12)+(Assumptions!$B$3-Assumptions!$B$4+(AT$3/100)^2/2)*Assumptions!$B$9)/((AT$3/100)*Assumptions!$B$10)))-$B12*EXP(-Assumptions!$B$3*Assumptions!$B$9)*NORMSDIST((((LN(Assumptions!$B$2/$B12)+(Assumptions!$B$3-Assumptions!$B$4+(AT$3/100)^2/2)*Assumptions!$B$9)/((AT$3/100)*Assumptions!$B$10))-(AT$3/100)*Assumptions!$B$10))))&lt;=0,"",(Assumptions!$B$2*EXP(-Assumptions!$B$4*Assumptions!$B$9)*NORMDIST(((LN(Assumptions!$B$2/$B12)+(Assumptions!$B$3-Assumptions!$B$4+(AT$3/100)^2/2)*Assumptions!$B$9)/((AT$3/100)*Assumptions!$B$10)),0,1,FALSE)*Assumptions!$B$10*0.01)*0.5/(MAX(0,Assumptions!$B$2*EXP(-Assumptions!$B$4*Assumptions!$B$9)*NORMSDIST(((LN(Assumptions!$B$2/$B12)+(Assumptions!$B$3-Assumptions!$B$4+(AT$3/100)^2/2)*Assumptions!$B$9)/((AT$3/100)*Assumptions!$B$10)))-$B12*EXP(-Assumptions!$B$3*Assumptions!$B$9)*NORMSDIST((((LN(Assumptions!$B$2/$B12)+(Assumptions!$B$3-Assumptions!$B$4+(AT$3/100)^2/2)*Assumptions!$B$9)/((AT$3/100)*Assumptions!$B$10))-(AT$3/100)*Assumptions!$B$10)))))</f>
        <v/>
      </c>
      <c r="AU33" s="56">
        <f>IF((MAX(0,Assumptions!$B$2*EXP(-Assumptions!$B$4*Assumptions!$B$9)*NORMSDIST(((LN(Assumptions!$B$2/$B12)+(Assumptions!$B$3-Assumptions!$B$4+(AU$3/100)^2/2)*Assumptions!$B$9)/((AU$3/100)*Assumptions!$B$10)))-$B12*EXP(-Assumptions!$B$3*Assumptions!$B$9)*NORMSDIST((((LN(Assumptions!$B$2/$B12)+(Assumptions!$B$3-Assumptions!$B$4+(AU$3/100)^2/2)*Assumptions!$B$9)/((AU$3/100)*Assumptions!$B$10))-(AU$3/100)*Assumptions!$B$10))))&lt;=0,"",(Assumptions!$B$2*EXP(-Assumptions!$B$4*Assumptions!$B$9)*NORMDIST(((LN(Assumptions!$B$2/$B12)+(Assumptions!$B$3-Assumptions!$B$4+(AU$3/100)^2/2)*Assumptions!$B$9)/((AU$3/100)*Assumptions!$B$10)),0,1,FALSE)*Assumptions!$B$10*0.01)*0.5/(MAX(0,Assumptions!$B$2*EXP(-Assumptions!$B$4*Assumptions!$B$9)*NORMSDIST(((LN(Assumptions!$B$2/$B12)+(Assumptions!$B$3-Assumptions!$B$4+(AU$3/100)^2/2)*Assumptions!$B$9)/((AU$3/100)*Assumptions!$B$10)))-$B12*EXP(-Assumptions!$B$3*Assumptions!$B$9)*NORMSDIST((((LN(Assumptions!$B$2/$B12)+(Assumptions!$B$3-Assumptions!$B$4+(AU$3/100)^2/2)*Assumptions!$B$9)/((AU$3/100)*Assumptions!$B$10))-(AU$3/100)*Assumptions!$B$10)))))</f>
        <v/>
      </c>
      <c r="AV33" s="56">
        <f>IF((MAX(0,Assumptions!$B$2*EXP(-Assumptions!$B$4*Assumptions!$B$9)*NORMSDIST(((LN(Assumptions!$B$2/$B12)+(Assumptions!$B$3-Assumptions!$B$4+(AV$3/100)^2/2)*Assumptions!$B$9)/((AV$3/100)*Assumptions!$B$10)))-$B12*EXP(-Assumptions!$B$3*Assumptions!$B$9)*NORMSDIST((((LN(Assumptions!$B$2/$B12)+(Assumptions!$B$3-Assumptions!$B$4+(AV$3/100)^2/2)*Assumptions!$B$9)/((AV$3/100)*Assumptions!$B$10))-(AV$3/100)*Assumptions!$B$10))))&lt;=0,"",(Assumptions!$B$2*EXP(-Assumptions!$B$4*Assumptions!$B$9)*NORMDIST(((LN(Assumptions!$B$2/$B12)+(Assumptions!$B$3-Assumptions!$B$4+(AV$3/100)^2/2)*Assumptions!$B$9)/((AV$3/100)*Assumptions!$B$10)),0,1,FALSE)*Assumptions!$B$10*0.01)*0.5/(MAX(0,Assumptions!$B$2*EXP(-Assumptions!$B$4*Assumptions!$B$9)*NORMSDIST(((LN(Assumptions!$B$2/$B12)+(Assumptions!$B$3-Assumptions!$B$4+(AV$3/100)^2/2)*Assumptions!$B$9)/((AV$3/100)*Assumptions!$B$10)))-$B12*EXP(-Assumptions!$B$3*Assumptions!$B$9)*NORMSDIST((((LN(Assumptions!$B$2/$B12)+(Assumptions!$B$3-Assumptions!$B$4+(AV$3/100)^2/2)*Assumptions!$B$9)/((AV$3/100)*Assumptions!$B$10))-(AV$3/100)*Assumptions!$B$10)))))</f>
        <v/>
      </c>
    </row>
    <row r="34">
      <c r="A34" s="27" t="inlineStr">
        <is>
          <t>+0.25%</t>
        </is>
      </c>
      <c r="B34" s="47">
        <f>'BS Engine'!$B$11</f>
        <v/>
      </c>
      <c r="C34" s="28">
        <f>'BS Engine'!$C$11</f>
        <v/>
      </c>
      <c r="D34" s="55">
        <f>IF((MAX(0,Assumptions!$B$2*EXP(-Assumptions!$B$4*Assumptions!$B$9)*NORMSDIST(((LN(Assumptions!$B$2/$B13)+(Assumptions!$B$3-Assumptions!$B$4+(D$3/100)^2/2)*Assumptions!$B$9)/((D$3/100)*Assumptions!$B$10)))-$B13*EXP(-Assumptions!$B$3*Assumptions!$B$9)*NORMSDIST((((LN(Assumptions!$B$2/$B13)+(Assumptions!$B$3-Assumptions!$B$4+(D$3/100)^2/2)*Assumptions!$B$9)/((D$3/100)*Assumptions!$B$10))-(D$3/100)*Assumptions!$B$10))))&lt;=0,"",(Assumptions!$B$2*EXP(-Assumptions!$B$4*Assumptions!$B$9)*NORMDIST(((LN(Assumptions!$B$2/$B13)+(Assumptions!$B$3-Assumptions!$B$4+(D$3/100)^2/2)*Assumptions!$B$9)/((D$3/100)*Assumptions!$B$10)),0,1,FALSE)*Assumptions!$B$10*0.01)*0.5/(MAX(0,Assumptions!$B$2*EXP(-Assumptions!$B$4*Assumptions!$B$9)*NORMSDIST(((LN(Assumptions!$B$2/$B13)+(Assumptions!$B$3-Assumptions!$B$4+(D$3/100)^2/2)*Assumptions!$B$9)/((D$3/100)*Assumptions!$B$10)))-$B13*EXP(-Assumptions!$B$3*Assumptions!$B$9)*NORMSDIST((((LN(Assumptions!$B$2/$B13)+(Assumptions!$B$3-Assumptions!$B$4+(D$3/100)^2/2)*Assumptions!$B$9)/((D$3/100)*Assumptions!$B$10))-(D$3/100)*Assumptions!$B$10)))))</f>
        <v/>
      </c>
      <c r="E34" s="56">
        <f>IF((MAX(0,Assumptions!$B$2*EXP(-Assumptions!$B$4*Assumptions!$B$9)*NORMSDIST(((LN(Assumptions!$B$2/$B13)+(Assumptions!$B$3-Assumptions!$B$4+(E$3/100)^2/2)*Assumptions!$B$9)/((E$3/100)*Assumptions!$B$10)))-$B13*EXP(-Assumptions!$B$3*Assumptions!$B$9)*NORMSDIST((((LN(Assumptions!$B$2/$B13)+(Assumptions!$B$3-Assumptions!$B$4+(E$3/100)^2/2)*Assumptions!$B$9)/((E$3/100)*Assumptions!$B$10))-(E$3/100)*Assumptions!$B$10))))&lt;=0,"",(Assumptions!$B$2*EXP(-Assumptions!$B$4*Assumptions!$B$9)*NORMDIST(((LN(Assumptions!$B$2/$B13)+(Assumptions!$B$3-Assumptions!$B$4+(E$3/100)^2/2)*Assumptions!$B$9)/((E$3/100)*Assumptions!$B$10)),0,1,FALSE)*Assumptions!$B$10*0.01)*0.5/(MAX(0,Assumptions!$B$2*EXP(-Assumptions!$B$4*Assumptions!$B$9)*NORMSDIST(((LN(Assumptions!$B$2/$B13)+(Assumptions!$B$3-Assumptions!$B$4+(E$3/100)^2/2)*Assumptions!$B$9)/((E$3/100)*Assumptions!$B$10)))-$B13*EXP(-Assumptions!$B$3*Assumptions!$B$9)*NORMSDIST((((LN(Assumptions!$B$2/$B13)+(Assumptions!$B$3-Assumptions!$B$4+(E$3/100)^2/2)*Assumptions!$B$9)/((E$3/100)*Assumptions!$B$10))-(E$3/100)*Assumptions!$B$10)))))</f>
        <v/>
      </c>
      <c r="F34" s="56">
        <f>IF((MAX(0,Assumptions!$B$2*EXP(-Assumptions!$B$4*Assumptions!$B$9)*NORMSDIST(((LN(Assumptions!$B$2/$B13)+(Assumptions!$B$3-Assumptions!$B$4+(F$3/100)^2/2)*Assumptions!$B$9)/((F$3/100)*Assumptions!$B$10)))-$B13*EXP(-Assumptions!$B$3*Assumptions!$B$9)*NORMSDIST((((LN(Assumptions!$B$2/$B13)+(Assumptions!$B$3-Assumptions!$B$4+(F$3/100)^2/2)*Assumptions!$B$9)/((F$3/100)*Assumptions!$B$10))-(F$3/100)*Assumptions!$B$10))))&lt;=0,"",(Assumptions!$B$2*EXP(-Assumptions!$B$4*Assumptions!$B$9)*NORMDIST(((LN(Assumptions!$B$2/$B13)+(Assumptions!$B$3-Assumptions!$B$4+(F$3/100)^2/2)*Assumptions!$B$9)/((F$3/100)*Assumptions!$B$10)),0,1,FALSE)*Assumptions!$B$10*0.01)*0.5/(MAX(0,Assumptions!$B$2*EXP(-Assumptions!$B$4*Assumptions!$B$9)*NORMSDIST(((LN(Assumptions!$B$2/$B13)+(Assumptions!$B$3-Assumptions!$B$4+(F$3/100)^2/2)*Assumptions!$B$9)/((F$3/100)*Assumptions!$B$10)))-$B13*EXP(-Assumptions!$B$3*Assumptions!$B$9)*NORMSDIST((((LN(Assumptions!$B$2/$B13)+(Assumptions!$B$3-Assumptions!$B$4+(F$3/100)^2/2)*Assumptions!$B$9)/((F$3/100)*Assumptions!$B$10))-(F$3/100)*Assumptions!$B$10)))))</f>
        <v/>
      </c>
      <c r="G34" s="56">
        <f>IF((MAX(0,Assumptions!$B$2*EXP(-Assumptions!$B$4*Assumptions!$B$9)*NORMSDIST(((LN(Assumptions!$B$2/$B13)+(Assumptions!$B$3-Assumptions!$B$4+(G$3/100)^2/2)*Assumptions!$B$9)/((G$3/100)*Assumptions!$B$10)))-$B13*EXP(-Assumptions!$B$3*Assumptions!$B$9)*NORMSDIST((((LN(Assumptions!$B$2/$B13)+(Assumptions!$B$3-Assumptions!$B$4+(G$3/100)^2/2)*Assumptions!$B$9)/((G$3/100)*Assumptions!$B$10))-(G$3/100)*Assumptions!$B$10))))&lt;=0,"",(Assumptions!$B$2*EXP(-Assumptions!$B$4*Assumptions!$B$9)*NORMDIST(((LN(Assumptions!$B$2/$B13)+(Assumptions!$B$3-Assumptions!$B$4+(G$3/100)^2/2)*Assumptions!$B$9)/((G$3/100)*Assumptions!$B$10)),0,1,FALSE)*Assumptions!$B$10*0.01)*0.5/(MAX(0,Assumptions!$B$2*EXP(-Assumptions!$B$4*Assumptions!$B$9)*NORMSDIST(((LN(Assumptions!$B$2/$B13)+(Assumptions!$B$3-Assumptions!$B$4+(G$3/100)^2/2)*Assumptions!$B$9)/((G$3/100)*Assumptions!$B$10)))-$B13*EXP(-Assumptions!$B$3*Assumptions!$B$9)*NORMSDIST((((LN(Assumptions!$B$2/$B13)+(Assumptions!$B$3-Assumptions!$B$4+(G$3/100)^2/2)*Assumptions!$B$9)/((G$3/100)*Assumptions!$B$10))-(G$3/100)*Assumptions!$B$10)))))</f>
        <v/>
      </c>
      <c r="H34" s="56">
        <f>IF((MAX(0,Assumptions!$B$2*EXP(-Assumptions!$B$4*Assumptions!$B$9)*NORMSDIST(((LN(Assumptions!$B$2/$B13)+(Assumptions!$B$3-Assumptions!$B$4+(H$3/100)^2/2)*Assumptions!$B$9)/((H$3/100)*Assumptions!$B$10)))-$B13*EXP(-Assumptions!$B$3*Assumptions!$B$9)*NORMSDIST((((LN(Assumptions!$B$2/$B13)+(Assumptions!$B$3-Assumptions!$B$4+(H$3/100)^2/2)*Assumptions!$B$9)/((H$3/100)*Assumptions!$B$10))-(H$3/100)*Assumptions!$B$10))))&lt;=0,"",(Assumptions!$B$2*EXP(-Assumptions!$B$4*Assumptions!$B$9)*NORMDIST(((LN(Assumptions!$B$2/$B13)+(Assumptions!$B$3-Assumptions!$B$4+(H$3/100)^2/2)*Assumptions!$B$9)/((H$3/100)*Assumptions!$B$10)),0,1,FALSE)*Assumptions!$B$10*0.01)*0.5/(MAX(0,Assumptions!$B$2*EXP(-Assumptions!$B$4*Assumptions!$B$9)*NORMSDIST(((LN(Assumptions!$B$2/$B13)+(Assumptions!$B$3-Assumptions!$B$4+(H$3/100)^2/2)*Assumptions!$B$9)/((H$3/100)*Assumptions!$B$10)))-$B13*EXP(-Assumptions!$B$3*Assumptions!$B$9)*NORMSDIST((((LN(Assumptions!$B$2/$B13)+(Assumptions!$B$3-Assumptions!$B$4+(H$3/100)^2/2)*Assumptions!$B$9)/((H$3/100)*Assumptions!$B$10))-(H$3/100)*Assumptions!$B$10)))))</f>
        <v/>
      </c>
      <c r="I34" s="56">
        <f>IF((MAX(0,Assumptions!$B$2*EXP(-Assumptions!$B$4*Assumptions!$B$9)*NORMSDIST(((LN(Assumptions!$B$2/$B13)+(Assumptions!$B$3-Assumptions!$B$4+(I$3/100)^2/2)*Assumptions!$B$9)/((I$3/100)*Assumptions!$B$10)))-$B13*EXP(-Assumptions!$B$3*Assumptions!$B$9)*NORMSDIST((((LN(Assumptions!$B$2/$B13)+(Assumptions!$B$3-Assumptions!$B$4+(I$3/100)^2/2)*Assumptions!$B$9)/((I$3/100)*Assumptions!$B$10))-(I$3/100)*Assumptions!$B$10))))&lt;=0,"",(Assumptions!$B$2*EXP(-Assumptions!$B$4*Assumptions!$B$9)*NORMDIST(((LN(Assumptions!$B$2/$B13)+(Assumptions!$B$3-Assumptions!$B$4+(I$3/100)^2/2)*Assumptions!$B$9)/((I$3/100)*Assumptions!$B$10)),0,1,FALSE)*Assumptions!$B$10*0.01)*0.5/(MAX(0,Assumptions!$B$2*EXP(-Assumptions!$B$4*Assumptions!$B$9)*NORMSDIST(((LN(Assumptions!$B$2/$B13)+(Assumptions!$B$3-Assumptions!$B$4+(I$3/100)^2/2)*Assumptions!$B$9)/((I$3/100)*Assumptions!$B$10)))-$B13*EXP(-Assumptions!$B$3*Assumptions!$B$9)*NORMSDIST((((LN(Assumptions!$B$2/$B13)+(Assumptions!$B$3-Assumptions!$B$4+(I$3/100)^2/2)*Assumptions!$B$9)/((I$3/100)*Assumptions!$B$10))-(I$3/100)*Assumptions!$B$10)))))</f>
        <v/>
      </c>
      <c r="J34" s="56">
        <f>IF((MAX(0,Assumptions!$B$2*EXP(-Assumptions!$B$4*Assumptions!$B$9)*NORMSDIST(((LN(Assumptions!$B$2/$B13)+(Assumptions!$B$3-Assumptions!$B$4+(J$3/100)^2/2)*Assumptions!$B$9)/((J$3/100)*Assumptions!$B$10)))-$B13*EXP(-Assumptions!$B$3*Assumptions!$B$9)*NORMSDIST((((LN(Assumptions!$B$2/$B13)+(Assumptions!$B$3-Assumptions!$B$4+(J$3/100)^2/2)*Assumptions!$B$9)/((J$3/100)*Assumptions!$B$10))-(J$3/100)*Assumptions!$B$10))))&lt;=0,"",(Assumptions!$B$2*EXP(-Assumptions!$B$4*Assumptions!$B$9)*NORMDIST(((LN(Assumptions!$B$2/$B13)+(Assumptions!$B$3-Assumptions!$B$4+(J$3/100)^2/2)*Assumptions!$B$9)/((J$3/100)*Assumptions!$B$10)),0,1,FALSE)*Assumptions!$B$10*0.01)*0.5/(MAX(0,Assumptions!$B$2*EXP(-Assumptions!$B$4*Assumptions!$B$9)*NORMSDIST(((LN(Assumptions!$B$2/$B13)+(Assumptions!$B$3-Assumptions!$B$4+(J$3/100)^2/2)*Assumptions!$B$9)/((J$3/100)*Assumptions!$B$10)))-$B13*EXP(-Assumptions!$B$3*Assumptions!$B$9)*NORMSDIST((((LN(Assumptions!$B$2/$B13)+(Assumptions!$B$3-Assumptions!$B$4+(J$3/100)^2/2)*Assumptions!$B$9)/((J$3/100)*Assumptions!$B$10))-(J$3/100)*Assumptions!$B$10)))))</f>
        <v/>
      </c>
      <c r="K34" s="56">
        <f>IF((MAX(0,Assumptions!$B$2*EXP(-Assumptions!$B$4*Assumptions!$B$9)*NORMSDIST(((LN(Assumptions!$B$2/$B13)+(Assumptions!$B$3-Assumptions!$B$4+(K$3/100)^2/2)*Assumptions!$B$9)/((K$3/100)*Assumptions!$B$10)))-$B13*EXP(-Assumptions!$B$3*Assumptions!$B$9)*NORMSDIST((((LN(Assumptions!$B$2/$B13)+(Assumptions!$B$3-Assumptions!$B$4+(K$3/100)^2/2)*Assumptions!$B$9)/((K$3/100)*Assumptions!$B$10))-(K$3/100)*Assumptions!$B$10))))&lt;=0,"",(Assumptions!$B$2*EXP(-Assumptions!$B$4*Assumptions!$B$9)*NORMDIST(((LN(Assumptions!$B$2/$B13)+(Assumptions!$B$3-Assumptions!$B$4+(K$3/100)^2/2)*Assumptions!$B$9)/((K$3/100)*Assumptions!$B$10)),0,1,FALSE)*Assumptions!$B$10*0.01)*0.5/(MAX(0,Assumptions!$B$2*EXP(-Assumptions!$B$4*Assumptions!$B$9)*NORMSDIST(((LN(Assumptions!$B$2/$B13)+(Assumptions!$B$3-Assumptions!$B$4+(K$3/100)^2/2)*Assumptions!$B$9)/((K$3/100)*Assumptions!$B$10)))-$B13*EXP(-Assumptions!$B$3*Assumptions!$B$9)*NORMSDIST((((LN(Assumptions!$B$2/$B13)+(Assumptions!$B$3-Assumptions!$B$4+(K$3/100)^2/2)*Assumptions!$B$9)/((K$3/100)*Assumptions!$B$10))-(K$3/100)*Assumptions!$B$10)))))</f>
        <v/>
      </c>
      <c r="L34" s="56">
        <f>IF((MAX(0,Assumptions!$B$2*EXP(-Assumptions!$B$4*Assumptions!$B$9)*NORMSDIST(((LN(Assumptions!$B$2/$B13)+(Assumptions!$B$3-Assumptions!$B$4+(L$3/100)^2/2)*Assumptions!$B$9)/((L$3/100)*Assumptions!$B$10)))-$B13*EXP(-Assumptions!$B$3*Assumptions!$B$9)*NORMSDIST((((LN(Assumptions!$B$2/$B13)+(Assumptions!$B$3-Assumptions!$B$4+(L$3/100)^2/2)*Assumptions!$B$9)/((L$3/100)*Assumptions!$B$10))-(L$3/100)*Assumptions!$B$10))))&lt;=0,"",(Assumptions!$B$2*EXP(-Assumptions!$B$4*Assumptions!$B$9)*NORMDIST(((LN(Assumptions!$B$2/$B13)+(Assumptions!$B$3-Assumptions!$B$4+(L$3/100)^2/2)*Assumptions!$B$9)/((L$3/100)*Assumptions!$B$10)),0,1,FALSE)*Assumptions!$B$10*0.01)*0.5/(MAX(0,Assumptions!$B$2*EXP(-Assumptions!$B$4*Assumptions!$B$9)*NORMSDIST(((LN(Assumptions!$B$2/$B13)+(Assumptions!$B$3-Assumptions!$B$4+(L$3/100)^2/2)*Assumptions!$B$9)/((L$3/100)*Assumptions!$B$10)))-$B13*EXP(-Assumptions!$B$3*Assumptions!$B$9)*NORMSDIST((((LN(Assumptions!$B$2/$B13)+(Assumptions!$B$3-Assumptions!$B$4+(L$3/100)^2/2)*Assumptions!$B$9)/((L$3/100)*Assumptions!$B$10))-(L$3/100)*Assumptions!$B$10)))))</f>
        <v/>
      </c>
      <c r="M34" s="56">
        <f>IF((MAX(0,Assumptions!$B$2*EXP(-Assumptions!$B$4*Assumptions!$B$9)*NORMSDIST(((LN(Assumptions!$B$2/$B13)+(Assumptions!$B$3-Assumptions!$B$4+(M$3/100)^2/2)*Assumptions!$B$9)/((M$3/100)*Assumptions!$B$10)))-$B13*EXP(-Assumptions!$B$3*Assumptions!$B$9)*NORMSDIST((((LN(Assumptions!$B$2/$B13)+(Assumptions!$B$3-Assumptions!$B$4+(M$3/100)^2/2)*Assumptions!$B$9)/((M$3/100)*Assumptions!$B$10))-(M$3/100)*Assumptions!$B$10))))&lt;=0,"",(Assumptions!$B$2*EXP(-Assumptions!$B$4*Assumptions!$B$9)*NORMDIST(((LN(Assumptions!$B$2/$B13)+(Assumptions!$B$3-Assumptions!$B$4+(M$3/100)^2/2)*Assumptions!$B$9)/((M$3/100)*Assumptions!$B$10)),0,1,FALSE)*Assumptions!$B$10*0.01)*0.5/(MAX(0,Assumptions!$B$2*EXP(-Assumptions!$B$4*Assumptions!$B$9)*NORMSDIST(((LN(Assumptions!$B$2/$B13)+(Assumptions!$B$3-Assumptions!$B$4+(M$3/100)^2/2)*Assumptions!$B$9)/((M$3/100)*Assumptions!$B$10)))-$B13*EXP(-Assumptions!$B$3*Assumptions!$B$9)*NORMSDIST((((LN(Assumptions!$B$2/$B13)+(Assumptions!$B$3-Assumptions!$B$4+(M$3/100)^2/2)*Assumptions!$B$9)/((M$3/100)*Assumptions!$B$10))-(M$3/100)*Assumptions!$B$10)))))</f>
        <v/>
      </c>
      <c r="N34" s="56">
        <f>IF((MAX(0,Assumptions!$B$2*EXP(-Assumptions!$B$4*Assumptions!$B$9)*NORMSDIST(((LN(Assumptions!$B$2/$B13)+(Assumptions!$B$3-Assumptions!$B$4+(N$3/100)^2/2)*Assumptions!$B$9)/((N$3/100)*Assumptions!$B$10)))-$B13*EXP(-Assumptions!$B$3*Assumptions!$B$9)*NORMSDIST((((LN(Assumptions!$B$2/$B13)+(Assumptions!$B$3-Assumptions!$B$4+(N$3/100)^2/2)*Assumptions!$B$9)/((N$3/100)*Assumptions!$B$10))-(N$3/100)*Assumptions!$B$10))))&lt;=0,"",(Assumptions!$B$2*EXP(-Assumptions!$B$4*Assumptions!$B$9)*NORMDIST(((LN(Assumptions!$B$2/$B13)+(Assumptions!$B$3-Assumptions!$B$4+(N$3/100)^2/2)*Assumptions!$B$9)/((N$3/100)*Assumptions!$B$10)),0,1,FALSE)*Assumptions!$B$10*0.01)*0.5/(MAX(0,Assumptions!$B$2*EXP(-Assumptions!$B$4*Assumptions!$B$9)*NORMSDIST(((LN(Assumptions!$B$2/$B13)+(Assumptions!$B$3-Assumptions!$B$4+(N$3/100)^2/2)*Assumptions!$B$9)/((N$3/100)*Assumptions!$B$10)))-$B13*EXP(-Assumptions!$B$3*Assumptions!$B$9)*NORMSDIST((((LN(Assumptions!$B$2/$B13)+(Assumptions!$B$3-Assumptions!$B$4+(N$3/100)^2/2)*Assumptions!$B$9)/((N$3/100)*Assumptions!$B$10))-(N$3/100)*Assumptions!$B$10)))))</f>
        <v/>
      </c>
      <c r="O34" s="56">
        <f>IF((MAX(0,Assumptions!$B$2*EXP(-Assumptions!$B$4*Assumptions!$B$9)*NORMSDIST(((LN(Assumptions!$B$2/$B13)+(Assumptions!$B$3-Assumptions!$B$4+(O$3/100)^2/2)*Assumptions!$B$9)/((O$3/100)*Assumptions!$B$10)))-$B13*EXP(-Assumptions!$B$3*Assumptions!$B$9)*NORMSDIST((((LN(Assumptions!$B$2/$B13)+(Assumptions!$B$3-Assumptions!$B$4+(O$3/100)^2/2)*Assumptions!$B$9)/((O$3/100)*Assumptions!$B$10))-(O$3/100)*Assumptions!$B$10))))&lt;=0,"",(Assumptions!$B$2*EXP(-Assumptions!$B$4*Assumptions!$B$9)*NORMDIST(((LN(Assumptions!$B$2/$B13)+(Assumptions!$B$3-Assumptions!$B$4+(O$3/100)^2/2)*Assumptions!$B$9)/((O$3/100)*Assumptions!$B$10)),0,1,FALSE)*Assumptions!$B$10*0.01)*0.5/(MAX(0,Assumptions!$B$2*EXP(-Assumptions!$B$4*Assumptions!$B$9)*NORMSDIST(((LN(Assumptions!$B$2/$B13)+(Assumptions!$B$3-Assumptions!$B$4+(O$3/100)^2/2)*Assumptions!$B$9)/((O$3/100)*Assumptions!$B$10)))-$B13*EXP(-Assumptions!$B$3*Assumptions!$B$9)*NORMSDIST((((LN(Assumptions!$B$2/$B13)+(Assumptions!$B$3-Assumptions!$B$4+(O$3/100)^2/2)*Assumptions!$B$9)/((O$3/100)*Assumptions!$B$10))-(O$3/100)*Assumptions!$B$10)))))</f>
        <v/>
      </c>
      <c r="P34" s="56">
        <f>IF((MAX(0,Assumptions!$B$2*EXP(-Assumptions!$B$4*Assumptions!$B$9)*NORMSDIST(((LN(Assumptions!$B$2/$B13)+(Assumptions!$B$3-Assumptions!$B$4+(P$3/100)^2/2)*Assumptions!$B$9)/((P$3/100)*Assumptions!$B$10)))-$B13*EXP(-Assumptions!$B$3*Assumptions!$B$9)*NORMSDIST((((LN(Assumptions!$B$2/$B13)+(Assumptions!$B$3-Assumptions!$B$4+(P$3/100)^2/2)*Assumptions!$B$9)/((P$3/100)*Assumptions!$B$10))-(P$3/100)*Assumptions!$B$10))))&lt;=0,"",(Assumptions!$B$2*EXP(-Assumptions!$B$4*Assumptions!$B$9)*NORMDIST(((LN(Assumptions!$B$2/$B13)+(Assumptions!$B$3-Assumptions!$B$4+(P$3/100)^2/2)*Assumptions!$B$9)/((P$3/100)*Assumptions!$B$10)),0,1,FALSE)*Assumptions!$B$10*0.01)*0.5/(MAX(0,Assumptions!$B$2*EXP(-Assumptions!$B$4*Assumptions!$B$9)*NORMSDIST(((LN(Assumptions!$B$2/$B13)+(Assumptions!$B$3-Assumptions!$B$4+(P$3/100)^2/2)*Assumptions!$B$9)/((P$3/100)*Assumptions!$B$10)))-$B13*EXP(-Assumptions!$B$3*Assumptions!$B$9)*NORMSDIST((((LN(Assumptions!$B$2/$B13)+(Assumptions!$B$3-Assumptions!$B$4+(P$3/100)^2/2)*Assumptions!$B$9)/((P$3/100)*Assumptions!$B$10))-(P$3/100)*Assumptions!$B$10)))))</f>
        <v/>
      </c>
      <c r="Q34" s="56">
        <f>IF((MAX(0,Assumptions!$B$2*EXP(-Assumptions!$B$4*Assumptions!$B$9)*NORMSDIST(((LN(Assumptions!$B$2/$B13)+(Assumptions!$B$3-Assumptions!$B$4+(Q$3/100)^2/2)*Assumptions!$B$9)/((Q$3/100)*Assumptions!$B$10)))-$B13*EXP(-Assumptions!$B$3*Assumptions!$B$9)*NORMSDIST((((LN(Assumptions!$B$2/$B13)+(Assumptions!$B$3-Assumptions!$B$4+(Q$3/100)^2/2)*Assumptions!$B$9)/((Q$3/100)*Assumptions!$B$10))-(Q$3/100)*Assumptions!$B$10))))&lt;=0,"",(Assumptions!$B$2*EXP(-Assumptions!$B$4*Assumptions!$B$9)*NORMDIST(((LN(Assumptions!$B$2/$B13)+(Assumptions!$B$3-Assumptions!$B$4+(Q$3/100)^2/2)*Assumptions!$B$9)/((Q$3/100)*Assumptions!$B$10)),0,1,FALSE)*Assumptions!$B$10*0.01)*0.5/(MAX(0,Assumptions!$B$2*EXP(-Assumptions!$B$4*Assumptions!$B$9)*NORMSDIST(((LN(Assumptions!$B$2/$B13)+(Assumptions!$B$3-Assumptions!$B$4+(Q$3/100)^2/2)*Assumptions!$B$9)/((Q$3/100)*Assumptions!$B$10)))-$B13*EXP(-Assumptions!$B$3*Assumptions!$B$9)*NORMSDIST((((LN(Assumptions!$B$2/$B13)+(Assumptions!$B$3-Assumptions!$B$4+(Q$3/100)^2/2)*Assumptions!$B$9)/((Q$3/100)*Assumptions!$B$10))-(Q$3/100)*Assumptions!$B$10)))))</f>
        <v/>
      </c>
      <c r="R34" s="56">
        <f>IF((MAX(0,Assumptions!$B$2*EXP(-Assumptions!$B$4*Assumptions!$B$9)*NORMSDIST(((LN(Assumptions!$B$2/$B13)+(Assumptions!$B$3-Assumptions!$B$4+(R$3/100)^2/2)*Assumptions!$B$9)/((R$3/100)*Assumptions!$B$10)))-$B13*EXP(-Assumptions!$B$3*Assumptions!$B$9)*NORMSDIST((((LN(Assumptions!$B$2/$B13)+(Assumptions!$B$3-Assumptions!$B$4+(R$3/100)^2/2)*Assumptions!$B$9)/((R$3/100)*Assumptions!$B$10))-(R$3/100)*Assumptions!$B$10))))&lt;=0,"",(Assumptions!$B$2*EXP(-Assumptions!$B$4*Assumptions!$B$9)*NORMDIST(((LN(Assumptions!$B$2/$B13)+(Assumptions!$B$3-Assumptions!$B$4+(R$3/100)^2/2)*Assumptions!$B$9)/((R$3/100)*Assumptions!$B$10)),0,1,FALSE)*Assumptions!$B$10*0.01)*0.5/(MAX(0,Assumptions!$B$2*EXP(-Assumptions!$B$4*Assumptions!$B$9)*NORMSDIST(((LN(Assumptions!$B$2/$B13)+(Assumptions!$B$3-Assumptions!$B$4+(R$3/100)^2/2)*Assumptions!$B$9)/((R$3/100)*Assumptions!$B$10)))-$B13*EXP(-Assumptions!$B$3*Assumptions!$B$9)*NORMSDIST((((LN(Assumptions!$B$2/$B13)+(Assumptions!$B$3-Assumptions!$B$4+(R$3/100)^2/2)*Assumptions!$B$9)/((R$3/100)*Assumptions!$B$10))-(R$3/100)*Assumptions!$B$10)))))</f>
        <v/>
      </c>
      <c r="S34" s="56">
        <f>IF((MAX(0,Assumptions!$B$2*EXP(-Assumptions!$B$4*Assumptions!$B$9)*NORMSDIST(((LN(Assumptions!$B$2/$B13)+(Assumptions!$B$3-Assumptions!$B$4+(S$3/100)^2/2)*Assumptions!$B$9)/((S$3/100)*Assumptions!$B$10)))-$B13*EXP(-Assumptions!$B$3*Assumptions!$B$9)*NORMSDIST((((LN(Assumptions!$B$2/$B13)+(Assumptions!$B$3-Assumptions!$B$4+(S$3/100)^2/2)*Assumptions!$B$9)/((S$3/100)*Assumptions!$B$10))-(S$3/100)*Assumptions!$B$10))))&lt;=0,"",(Assumptions!$B$2*EXP(-Assumptions!$B$4*Assumptions!$B$9)*NORMDIST(((LN(Assumptions!$B$2/$B13)+(Assumptions!$B$3-Assumptions!$B$4+(S$3/100)^2/2)*Assumptions!$B$9)/((S$3/100)*Assumptions!$B$10)),0,1,FALSE)*Assumptions!$B$10*0.01)*0.5/(MAX(0,Assumptions!$B$2*EXP(-Assumptions!$B$4*Assumptions!$B$9)*NORMSDIST(((LN(Assumptions!$B$2/$B13)+(Assumptions!$B$3-Assumptions!$B$4+(S$3/100)^2/2)*Assumptions!$B$9)/((S$3/100)*Assumptions!$B$10)))-$B13*EXP(-Assumptions!$B$3*Assumptions!$B$9)*NORMSDIST((((LN(Assumptions!$B$2/$B13)+(Assumptions!$B$3-Assumptions!$B$4+(S$3/100)^2/2)*Assumptions!$B$9)/((S$3/100)*Assumptions!$B$10))-(S$3/100)*Assumptions!$B$10)))))</f>
        <v/>
      </c>
      <c r="T34" s="56">
        <f>IF((MAX(0,Assumptions!$B$2*EXP(-Assumptions!$B$4*Assumptions!$B$9)*NORMSDIST(((LN(Assumptions!$B$2/$B13)+(Assumptions!$B$3-Assumptions!$B$4+(T$3/100)^2/2)*Assumptions!$B$9)/((T$3/100)*Assumptions!$B$10)))-$B13*EXP(-Assumptions!$B$3*Assumptions!$B$9)*NORMSDIST((((LN(Assumptions!$B$2/$B13)+(Assumptions!$B$3-Assumptions!$B$4+(T$3/100)^2/2)*Assumptions!$B$9)/((T$3/100)*Assumptions!$B$10))-(T$3/100)*Assumptions!$B$10))))&lt;=0,"",(Assumptions!$B$2*EXP(-Assumptions!$B$4*Assumptions!$B$9)*NORMDIST(((LN(Assumptions!$B$2/$B13)+(Assumptions!$B$3-Assumptions!$B$4+(T$3/100)^2/2)*Assumptions!$B$9)/((T$3/100)*Assumptions!$B$10)),0,1,FALSE)*Assumptions!$B$10*0.01)*0.5/(MAX(0,Assumptions!$B$2*EXP(-Assumptions!$B$4*Assumptions!$B$9)*NORMSDIST(((LN(Assumptions!$B$2/$B13)+(Assumptions!$B$3-Assumptions!$B$4+(T$3/100)^2/2)*Assumptions!$B$9)/((T$3/100)*Assumptions!$B$10)))-$B13*EXP(-Assumptions!$B$3*Assumptions!$B$9)*NORMSDIST((((LN(Assumptions!$B$2/$B13)+(Assumptions!$B$3-Assumptions!$B$4+(T$3/100)^2/2)*Assumptions!$B$9)/((T$3/100)*Assumptions!$B$10))-(T$3/100)*Assumptions!$B$10)))))</f>
        <v/>
      </c>
      <c r="U34" s="56">
        <f>IF((MAX(0,Assumptions!$B$2*EXP(-Assumptions!$B$4*Assumptions!$B$9)*NORMSDIST(((LN(Assumptions!$B$2/$B13)+(Assumptions!$B$3-Assumptions!$B$4+(U$3/100)^2/2)*Assumptions!$B$9)/((U$3/100)*Assumptions!$B$10)))-$B13*EXP(-Assumptions!$B$3*Assumptions!$B$9)*NORMSDIST((((LN(Assumptions!$B$2/$B13)+(Assumptions!$B$3-Assumptions!$B$4+(U$3/100)^2/2)*Assumptions!$B$9)/((U$3/100)*Assumptions!$B$10))-(U$3/100)*Assumptions!$B$10))))&lt;=0,"",(Assumptions!$B$2*EXP(-Assumptions!$B$4*Assumptions!$B$9)*NORMDIST(((LN(Assumptions!$B$2/$B13)+(Assumptions!$B$3-Assumptions!$B$4+(U$3/100)^2/2)*Assumptions!$B$9)/((U$3/100)*Assumptions!$B$10)),0,1,FALSE)*Assumptions!$B$10*0.01)*0.5/(MAX(0,Assumptions!$B$2*EXP(-Assumptions!$B$4*Assumptions!$B$9)*NORMSDIST(((LN(Assumptions!$B$2/$B13)+(Assumptions!$B$3-Assumptions!$B$4+(U$3/100)^2/2)*Assumptions!$B$9)/((U$3/100)*Assumptions!$B$10)))-$B13*EXP(-Assumptions!$B$3*Assumptions!$B$9)*NORMSDIST((((LN(Assumptions!$B$2/$B13)+(Assumptions!$B$3-Assumptions!$B$4+(U$3/100)^2/2)*Assumptions!$B$9)/((U$3/100)*Assumptions!$B$10))-(U$3/100)*Assumptions!$B$10)))))</f>
        <v/>
      </c>
      <c r="V34" s="56">
        <f>IF((MAX(0,Assumptions!$B$2*EXP(-Assumptions!$B$4*Assumptions!$B$9)*NORMSDIST(((LN(Assumptions!$B$2/$B13)+(Assumptions!$B$3-Assumptions!$B$4+(V$3/100)^2/2)*Assumptions!$B$9)/((V$3/100)*Assumptions!$B$10)))-$B13*EXP(-Assumptions!$B$3*Assumptions!$B$9)*NORMSDIST((((LN(Assumptions!$B$2/$B13)+(Assumptions!$B$3-Assumptions!$B$4+(V$3/100)^2/2)*Assumptions!$B$9)/((V$3/100)*Assumptions!$B$10))-(V$3/100)*Assumptions!$B$10))))&lt;=0,"",(Assumptions!$B$2*EXP(-Assumptions!$B$4*Assumptions!$B$9)*NORMDIST(((LN(Assumptions!$B$2/$B13)+(Assumptions!$B$3-Assumptions!$B$4+(V$3/100)^2/2)*Assumptions!$B$9)/((V$3/100)*Assumptions!$B$10)),0,1,FALSE)*Assumptions!$B$10*0.01)*0.5/(MAX(0,Assumptions!$B$2*EXP(-Assumptions!$B$4*Assumptions!$B$9)*NORMSDIST(((LN(Assumptions!$B$2/$B13)+(Assumptions!$B$3-Assumptions!$B$4+(V$3/100)^2/2)*Assumptions!$B$9)/((V$3/100)*Assumptions!$B$10)))-$B13*EXP(-Assumptions!$B$3*Assumptions!$B$9)*NORMSDIST((((LN(Assumptions!$B$2/$B13)+(Assumptions!$B$3-Assumptions!$B$4+(V$3/100)^2/2)*Assumptions!$B$9)/((V$3/100)*Assumptions!$B$10))-(V$3/100)*Assumptions!$B$10)))))</f>
        <v/>
      </c>
      <c r="W34" s="56">
        <f>IF((MAX(0,Assumptions!$B$2*EXP(-Assumptions!$B$4*Assumptions!$B$9)*NORMSDIST(((LN(Assumptions!$B$2/$B13)+(Assumptions!$B$3-Assumptions!$B$4+(W$3/100)^2/2)*Assumptions!$B$9)/((W$3/100)*Assumptions!$B$10)))-$B13*EXP(-Assumptions!$B$3*Assumptions!$B$9)*NORMSDIST((((LN(Assumptions!$B$2/$B13)+(Assumptions!$B$3-Assumptions!$B$4+(W$3/100)^2/2)*Assumptions!$B$9)/((W$3/100)*Assumptions!$B$10))-(W$3/100)*Assumptions!$B$10))))&lt;=0,"",(Assumptions!$B$2*EXP(-Assumptions!$B$4*Assumptions!$B$9)*NORMDIST(((LN(Assumptions!$B$2/$B13)+(Assumptions!$B$3-Assumptions!$B$4+(W$3/100)^2/2)*Assumptions!$B$9)/((W$3/100)*Assumptions!$B$10)),0,1,FALSE)*Assumptions!$B$10*0.01)*0.5/(MAX(0,Assumptions!$B$2*EXP(-Assumptions!$B$4*Assumptions!$B$9)*NORMSDIST(((LN(Assumptions!$B$2/$B13)+(Assumptions!$B$3-Assumptions!$B$4+(W$3/100)^2/2)*Assumptions!$B$9)/((W$3/100)*Assumptions!$B$10)))-$B13*EXP(-Assumptions!$B$3*Assumptions!$B$9)*NORMSDIST((((LN(Assumptions!$B$2/$B13)+(Assumptions!$B$3-Assumptions!$B$4+(W$3/100)^2/2)*Assumptions!$B$9)/((W$3/100)*Assumptions!$B$10))-(W$3/100)*Assumptions!$B$10)))))</f>
        <v/>
      </c>
      <c r="X34" s="56">
        <f>IF((MAX(0,Assumptions!$B$2*EXP(-Assumptions!$B$4*Assumptions!$B$9)*NORMSDIST(((LN(Assumptions!$B$2/$B13)+(Assumptions!$B$3-Assumptions!$B$4+(X$3/100)^2/2)*Assumptions!$B$9)/((X$3/100)*Assumptions!$B$10)))-$B13*EXP(-Assumptions!$B$3*Assumptions!$B$9)*NORMSDIST((((LN(Assumptions!$B$2/$B13)+(Assumptions!$B$3-Assumptions!$B$4+(X$3/100)^2/2)*Assumptions!$B$9)/((X$3/100)*Assumptions!$B$10))-(X$3/100)*Assumptions!$B$10))))&lt;=0,"",(Assumptions!$B$2*EXP(-Assumptions!$B$4*Assumptions!$B$9)*NORMDIST(((LN(Assumptions!$B$2/$B13)+(Assumptions!$B$3-Assumptions!$B$4+(X$3/100)^2/2)*Assumptions!$B$9)/((X$3/100)*Assumptions!$B$10)),0,1,FALSE)*Assumptions!$B$10*0.01)*0.5/(MAX(0,Assumptions!$B$2*EXP(-Assumptions!$B$4*Assumptions!$B$9)*NORMSDIST(((LN(Assumptions!$B$2/$B13)+(Assumptions!$B$3-Assumptions!$B$4+(X$3/100)^2/2)*Assumptions!$B$9)/((X$3/100)*Assumptions!$B$10)))-$B13*EXP(-Assumptions!$B$3*Assumptions!$B$9)*NORMSDIST((((LN(Assumptions!$B$2/$B13)+(Assumptions!$B$3-Assumptions!$B$4+(X$3/100)^2/2)*Assumptions!$B$9)/((X$3/100)*Assumptions!$B$10))-(X$3/100)*Assumptions!$B$10)))))</f>
        <v/>
      </c>
      <c r="Y34" s="56">
        <f>IF((MAX(0,Assumptions!$B$2*EXP(-Assumptions!$B$4*Assumptions!$B$9)*NORMSDIST(((LN(Assumptions!$B$2/$B13)+(Assumptions!$B$3-Assumptions!$B$4+(Y$3/100)^2/2)*Assumptions!$B$9)/((Y$3/100)*Assumptions!$B$10)))-$B13*EXP(-Assumptions!$B$3*Assumptions!$B$9)*NORMSDIST((((LN(Assumptions!$B$2/$B13)+(Assumptions!$B$3-Assumptions!$B$4+(Y$3/100)^2/2)*Assumptions!$B$9)/((Y$3/100)*Assumptions!$B$10))-(Y$3/100)*Assumptions!$B$10))))&lt;=0,"",(Assumptions!$B$2*EXP(-Assumptions!$B$4*Assumptions!$B$9)*NORMDIST(((LN(Assumptions!$B$2/$B13)+(Assumptions!$B$3-Assumptions!$B$4+(Y$3/100)^2/2)*Assumptions!$B$9)/((Y$3/100)*Assumptions!$B$10)),0,1,FALSE)*Assumptions!$B$10*0.01)*0.5/(MAX(0,Assumptions!$B$2*EXP(-Assumptions!$B$4*Assumptions!$B$9)*NORMSDIST(((LN(Assumptions!$B$2/$B13)+(Assumptions!$B$3-Assumptions!$B$4+(Y$3/100)^2/2)*Assumptions!$B$9)/((Y$3/100)*Assumptions!$B$10)))-$B13*EXP(-Assumptions!$B$3*Assumptions!$B$9)*NORMSDIST((((LN(Assumptions!$B$2/$B13)+(Assumptions!$B$3-Assumptions!$B$4+(Y$3/100)^2/2)*Assumptions!$B$9)/((Y$3/100)*Assumptions!$B$10))-(Y$3/100)*Assumptions!$B$10)))))</f>
        <v/>
      </c>
      <c r="Z34" s="56">
        <f>IF((MAX(0,Assumptions!$B$2*EXP(-Assumptions!$B$4*Assumptions!$B$9)*NORMSDIST(((LN(Assumptions!$B$2/$B13)+(Assumptions!$B$3-Assumptions!$B$4+(Z$3/100)^2/2)*Assumptions!$B$9)/((Z$3/100)*Assumptions!$B$10)))-$B13*EXP(-Assumptions!$B$3*Assumptions!$B$9)*NORMSDIST((((LN(Assumptions!$B$2/$B13)+(Assumptions!$B$3-Assumptions!$B$4+(Z$3/100)^2/2)*Assumptions!$B$9)/((Z$3/100)*Assumptions!$B$10))-(Z$3/100)*Assumptions!$B$10))))&lt;=0,"",(Assumptions!$B$2*EXP(-Assumptions!$B$4*Assumptions!$B$9)*NORMDIST(((LN(Assumptions!$B$2/$B13)+(Assumptions!$B$3-Assumptions!$B$4+(Z$3/100)^2/2)*Assumptions!$B$9)/((Z$3/100)*Assumptions!$B$10)),0,1,FALSE)*Assumptions!$B$10*0.01)*0.5/(MAX(0,Assumptions!$B$2*EXP(-Assumptions!$B$4*Assumptions!$B$9)*NORMSDIST(((LN(Assumptions!$B$2/$B13)+(Assumptions!$B$3-Assumptions!$B$4+(Z$3/100)^2/2)*Assumptions!$B$9)/((Z$3/100)*Assumptions!$B$10)))-$B13*EXP(-Assumptions!$B$3*Assumptions!$B$9)*NORMSDIST((((LN(Assumptions!$B$2/$B13)+(Assumptions!$B$3-Assumptions!$B$4+(Z$3/100)^2/2)*Assumptions!$B$9)/((Z$3/100)*Assumptions!$B$10))-(Z$3/100)*Assumptions!$B$10)))))</f>
        <v/>
      </c>
      <c r="AA34" s="56">
        <f>IF((MAX(0,Assumptions!$B$2*EXP(-Assumptions!$B$4*Assumptions!$B$9)*NORMSDIST(((LN(Assumptions!$B$2/$B13)+(Assumptions!$B$3-Assumptions!$B$4+(AA$3/100)^2/2)*Assumptions!$B$9)/((AA$3/100)*Assumptions!$B$10)))-$B13*EXP(-Assumptions!$B$3*Assumptions!$B$9)*NORMSDIST((((LN(Assumptions!$B$2/$B13)+(Assumptions!$B$3-Assumptions!$B$4+(AA$3/100)^2/2)*Assumptions!$B$9)/((AA$3/100)*Assumptions!$B$10))-(AA$3/100)*Assumptions!$B$10))))&lt;=0,"",(Assumptions!$B$2*EXP(-Assumptions!$B$4*Assumptions!$B$9)*NORMDIST(((LN(Assumptions!$B$2/$B13)+(Assumptions!$B$3-Assumptions!$B$4+(AA$3/100)^2/2)*Assumptions!$B$9)/((AA$3/100)*Assumptions!$B$10)),0,1,FALSE)*Assumptions!$B$10*0.01)*0.5/(MAX(0,Assumptions!$B$2*EXP(-Assumptions!$B$4*Assumptions!$B$9)*NORMSDIST(((LN(Assumptions!$B$2/$B13)+(Assumptions!$B$3-Assumptions!$B$4+(AA$3/100)^2/2)*Assumptions!$B$9)/((AA$3/100)*Assumptions!$B$10)))-$B13*EXP(-Assumptions!$B$3*Assumptions!$B$9)*NORMSDIST((((LN(Assumptions!$B$2/$B13)+(Assumptions!$B$3-Assumptions!$B$4+(AA$3/100)^2/2)*Assumptions!$B$9)/((AA$3/100)*Assumptions!$B$10))-(AA$3/100)*Assumptions!$B$10)))))</f>
        <v/>
      </c>
      <c r="AB34" s="56">
        <f>IF((MAX(0,Assumptions!$B$2*EXP(-Assumptions!$B$4*Assumptions!$B$9)*NORMSDIST(((LN(Assumptions!$B$2/$B13)+(Assumptions!$B$3-Assumptions!$B$4+(AB$3/100)^2/2)*Assumptions!$B$9)/((AB$3/100)*Assumptions!$B$10)))-$B13*EXP(-Assumptions!$B$3*Assumptions!$B$9)*NORMSDIST((((LN(Assumptions!$B$2/$B13)+(Assumptions!$B$3-Assumptions!$B$4+(AB$3/100)^2/2)*Assumptions!$B$9)/((AB$3/100)*Assumptions!$B$10))-(AB$3/100)*Assumptions!$B$10))))&lt;=0,"",(Assumptions!$B$2*EXP(-Assumptions!$B$4*Assumptions!$B$9)*NORMDIST(((LN(Assumptions!$B$2/$B13)+(Assumptions!$B$3-Assumptions!$B$4+(AB$3/100)^2/2)*Assumptions!$B$9)/((AB$3/100)*Assumptions!$B$10)),0,1,FALSE)*Assumptions!$B$10*0.01)*0.5/(MAX(0,Assumptions!$B$2*EXP(-Assumptions!$B$4*Assumptions!$B$9)*NORMSDIST(((LN(Assumptions!$B$2/$B13)+(Assumptions!$B$3-Assumptions!$B$4+(AB$3/100)^2/2)*Assumptions!$B$9)/((AB$3/100)*Assumptions!$B$10)))-$B13*EXP(-Assumptions!$B$3*Assumptions!$B$9)*NORMSDIST((((LN(Assumptions!$B$2/$B13)+(Assumptions!$B$3-Assumptions!$B$4+(AB$3/100)^2/2)*Assumptions!$B$9)/((AB$3/100)*Assumptions!$B$10))-(AB$3/100)*Assumptions!$B$10)))))</f>
        <v/>
      </c>
      <c r="AC34" s="56">
        <f>IF((MAX(0,Assumptions!$B$2*EXP(-Assumptions!$B$4*Assumptions!$B$9)*NORMSDIST(((LN(Assumptions!$B$2/$B13)+(Assumptions!$B$3-Assumptions!$B$4+(AC$3/100)^2/2)*Assumptions!$B$9)/((AC$3/100)*Assumptions!$B$10)))-$B13*EXP(-Assumptions!$B$3*Assumptions!$B$9)*NORMSDIST((((LN(Assumptions!$B$2/$B13)+(Assumptions!$B$3-Assumptions!$B$4+(AC$3/100)^2/2)*Assumptions!$B$9)/((AC$3/100)*Assumptions!$B$10))-(AC$3/100)*Assumptions!$B$10))))&lt;=0,"",(Assumptions!$B$2*EXP(-Assumptions!$B$4*Assumptions!$B$9)*NORMDIST(((LN(Assumptions!$B$2/$B13)+(Assumptions!$B$3-Assumptions!$B$4+(AC$3/100)^2/2)*Assumptions!$B$9)/((AC$3/100)*Assumptions!$B$10)),0,1,FALSE)*Assumptions!$B$10*0.01)*0.5/(MAX(0,Assumptions!$B$2*EXP(-Assumptions!$B$4*Assumptions!$B$9)*NORMSDIST(((LN(Assumptions!$B$2/$B13)+(Assumptions!$B$3-Assumptions!$B$4+(AC$3/100)^2/2)*Assumptions!$B$9)/((AC$3/100)*Assumptions!$B$10)))-$B13*EXP(-Assumptions!$B$3*Assumptions!$B$9)*NORMSDIST((((LN(Assumptions!$B$2/$B13)+(Assumptions!$B$3-Assumptions!$B$4+(AC$3/100)^2/2)*Assumptions!$B$9)/((AC$3/100)*Assumptions!$B$10))-(AC$3/100)*Assumptions!$B$10)))))</f>
        <v/>
      </c>
      <c r="AD34" s="56">
        <f>IF((MAX(0,Assumptions!$B$2*EXP(-Assumptions!$B$4*Assumptions!$B$9)*NORMSDIST(((LN(Assumptions!$B$2/$B13)+(Assumptions!$B$3-Assumptions!$B$4+(AD$3/100)^2/2)*Assumptions!$B$9)/((AD$3/100)*Assumptions!$B$10)))-$B13*EXP(-Assumptions!$B$3*Assumptions!$B$9)*NORMSDIST((((LN(Assumptions!$B$2/$B13)+(Assumptions!$B$3-Assumptions!$B$4+(AD$3/100)^2/2)*Assumptions!$B$9)/((AD$3/100)*Assumptions!$B$10))-(AD$3/100)*Assumptions!$B$10))))&lt;=0,"",(Assumptions!$B$2*EXP(-Assumptions!$B$4*Assumptions!$B$9)*NORMDIST(((LN(Assumptions!$B$2/$B13)+(Assumptions!$B$3-Assumptions!$B$4+(AD$3/100)^2/2)*Assumptions!$B$9)/((AD$3/100)*Assumptions!$B$10)),0,1,FALSE)*Assumptions!$B$10*0.01)*0.5/(MAX(0,Assumptions!$B$2*EXP(-Assumptions!$B$4*Assumptions!$B$9)*NORMSDIST(((LN(Assumptions!$B$2/$B13)+(Assumptions!$B$3-Assumptions!$B$4+(AD$3/100)^2/2)*Assumptions!$B$9)/((AD$3/100)*Assumptions!$B$10)))-$B13*EXP(-Assumptions!$B$3*Assumptions!$B$9)*NORMSDIST((((LN(Assumptions!$B$2/$B13)+(Assumptions!$B$3-Assumptions!$B$4+(AD$3/100)^2/2)*Assumptions!$B$9)/((AD$3/100)*Assumptions!$B$10))-(AD$3/100)*Assumptions!$B$10)))))</f>
        <v/>
      </c>
      <c r="AE34" s="56">
        <f>IF((MAX(0,Assumptions!$B$2*EXP(-Assumptions!$B$4*Assumptions!$B$9)*NORMSDIST(((LN(Assumptions!$B$2/$B13)+(Assumptions!$B$3-Assumptions!$B$4+(AE$3/100)^2/2)*Assumptions!$B$9)/((AE$3/100)*Assumptions!$B$10)))-$B13*EXP(-Assumptions!$B$3*Assumptions!$B$9)*NORMSDIST((((LN(Assumptions!$B$2/$B13)+(Assumptions!$B$3-Assumptions!$B$4+(AE$3/100)^2/2)*Assumptions!$B$9)/((AE$3/100)*Assumptions!$B$10))-(AE$3/100)*Assumptions!$B$10))))&lt;=0,"",(Assumptions!$B$2*EXP(-Assumptions!$B$4*Assumptions!$B$9)*NORMDIST(((LN(Assumptions!$B$2/$B13)+(Assumptions!$B$3-Assumptions!$B$4+(AE$3/100)^2/2)*Assumptions!$B$9)/((AE$3/100)*Assumptions!$B$10)),0,1,FALSE)*Assumptions!$B$10*0.01)*0.5/(MAX(0,Assumptions!$B$2*EXP(-Assumptions!$B$4*Assumptions!$B$9)*NORMSDIST(((LN(Assumptions!$B$2/$B13)+(Assumptions!$B$3-Assumptions!$B$4+(AE$3/100)^2/2)*Assumptions!$B$9)/((AE$3/100)*Assumptions!$B$10)))-$B13*EXP(-Assumptions!$B$3*Assumptions!$B$9)*NORMSDIST((((LN(Assumptions!$B$2/$B13)+(Assumptions!$B$3-Assumptions!$B$4+(AE$3/100)^2/2)*Assumptions!$B$9)/((AE$3/100)*Assumptions!$B$10))-(AE$3/100)*Assumptions!$B$10)))))</f>
        <v/>
      </c>
      <c r="AF34" s="56">
        <f>IF((MAX(0,Assumptions!$B$2*EXP(-Assumptions!$B$4*Assumptions!$B$9)*NORMSDIST(((LN(Assumptions!$B$2/$B13)+(Assumptions!$B$3-Assumptions!$B$4+(AF$3/100)^2/2)*Assumptions!$B$9)/((AF$3/100)*Assumptions!$B$10)))-$B13*EXP(-Assumptions!$B$3*Assumptions!$B$9)*NORMSDIST((((LN(Assumptions!$B$2/$B13)+(Assumptions!$B$3-Assumptions!$B$4+(AF$3/100)^2/2)*Assumptions!$B$9)/((AF$3/100)*Assumptions!$B$10))-(AF$3/100)*Assumptions!$B$10))))&lt;=0,"",(Assumptions!$B$2*EXP(-Assumptions!$B$4*Assumptions!$B$9)*NORMDIST(((LN(Assumptions!$B$2/$B13)+(Assumptions!$B$3-Assumptions!$B$4+(AF$3/100)^2/2)*Assumptions!$B$9)/((AF$3/100)*Assumptions!$B$10)),0,1,FALSE)*Assumptions!$B$10*0.01)*0.5/(MAX(0,Assumptions!$B$2*EXP(-Assumptions!$B$4*Assumptions!$B$9)*NORMSDIST(((LN(Assumptions!$B$2/$B13)+(Assumptions!$B$3-Assumptions!$B$4+(AF$3/100)^2/2)*Assumptions!$B$9)/((AF$3/100)*Assumptions!$B$10)))-$B13*EXP(-Assumptions!$B$3*Assumptions!$B$9)*NORMSDIST((((LN(Assumptions!$B$2/$B13)+(Assumptions!$B$3-Assumptions!$B$4+(AF$3/100)^2/2)*Assumptions!$B$9)/((AF$3/100)*Assumptions!$B$10))-(AF$3/100)*Assumptions!$B$10)))))</f>
        <v/>
      </c>
      <c r="AG34" s="56">
        <f>IF((MAX(0,Assumptions!$B$2*EXP(-Assumptions!$B$4*Assumptions!$B$9)*NORMSDIST(((LN(Assumptions!$B$2/$B13)+(Assumptions!$B$3-Assumptions!$B$4+(AG$3/100)^2/2)*Assumptions!$B$9)/((AG$3/100)*Assumptions!$B$10)))-$B13*EXP(-Assumptions!$B$3*Assumptions!$B$9)*NORMSDIST((((LN(Assumptions!$B$2/$B13)+(Assumptions!$B$3-Assumptions!$B$4+(AG$3/100)^2/2)*Assumptions!$B$9)/((AG$3/100)*Assumptions!$B$10))-(AG$3/100)*Assumptions!$B$10))))&lt;=0,"",(Assumptions!$B$2*EXP(-Assumptions!$B$4*Assumptions!$B$9)*NORMDIST(((LN(Assumptions!$B$2/$B13)+(Assumptions!$B$3-Assumptions!$B$4+(AG$3/100)^2/2)*Assumptions!$B$9)/((AG$3/100)*Assumptions!$B$10)),0,1,FALSE)*Assumptions!$B$10*0.01)*0.5/(MAX(0,Assumptions!$B$2*EXP(-Assumptions!$B$4*Assumptions!$B$9)*NORMSDIST(((LN(Assumptions!$B$2/$B13)+(Assumptions!$B$3-Assumptions!$B$4+(AG$3/100)^2/2)*Assumptions!$B$9)/((AG$3/100)*Assumptions!$B$10)))-$B13*EXP(-Assumptions!$B$3*Assumptions!$B$9)*NORMSDIST((((LN(Assumptions!$B$2/$B13)+(Assumptions!$B$3-Assumptions!$B$4+(AG$3/100)^2/2)*Assumptions!$B$9)/((AG$3/100)*Assumptions!$B$10))-(AG$3/100)*Assumptions!$B$10)))))</f>
        <v/>
      </c>
      <c r="AH34" s="56">
        <f>IF((MAX(0,Assumptions!$B$2*EXP(-Assumptions!$B$4*Assumptions!$B$9)*NORMSDIST(((LN(Assumptions!$B$2/$B13)+(Assumptions!$B$3-Assumptions!$B$4+(AH$3/100)^2/2)*Assumptions!$B$9)/((AH$3/100)*Assumptions!$B$10)))-$B13*EXP(-Assumptions!$B$3*Assumptions!$B$9)*NORMSDIST((((LN(Assumptions!$B$2/$B13)+(Assumptions!$B$3-Assumptions!$B$4+(AH$3/100)^2/2)*Assumptions!$B$9)/((AH$3/100)*Assumptions!$B$10))-(AH$3/100)*Assumptions!$B$10))))&lt;=0,"",(Assumptions!$B$2*EXP(-Assumptions!$B$4*Assumptions!$B$9)*NORMDIST(((LN(Assumptions!$B$2/$B13)+(Assumptions!$B$3-Assumptions!$B$4+(AH$3/100)^2/2)*Assumptions!$B$9)/((AH$3/100)*Assumptions!$B$10)),0,1,FALSE)*Assumptions!$B$10*0.01)*0.5/(MAX(0,Assumptions!$B$2*EXP(-Assumptions!$B$4*Assumptions!$B$9)*NORMSDIST(((LN(Assumptions!$B$2/$B13)+(Assumptions!$B$3-Assumptions!$B$4+(AH$3/100)^2/2)*Assumptions!$B$9)/((AH$3/100)*Assumptions!$B$10)))-$B13*EXP(-Assumptions!$B$3*Assumptions!$B$9)*NORMSDIST((((LN(Assumptions!$B$2/$B13)+(Assumptions!$B$3-Assumptions!$B$4+(AH$3/100)^2/2)*Assumptions!$B$9)/((AH$3/100)*Assumptions!$B$10))-(AH$3/100)*Assumptions!$B$10)))))</f>
        <v/>
      </c>
      <c r="AI34" s="56">
        <f>IF((MAX(0,Assumptions!$B$2*EXP(-Assumptions!$B$4*Assumptions!$B$9)*NORMSDIST(((LN(Assumptions!$B$2/$B13)+(Assumptions!$B$3-Assumptions!$B$4+(AI$3/100)^2/2)*Assumptions!$B$9)/((AI$3/100)*Assumptions!$B$10)))-$B13*EXP(-Assumptions!$B$3*Assumptions!$B$9)*NORMSDIST((((LN(Assumptions!$B$2/$B13)+(Assumptions!$B$3-Assumptions!$B$4+(AI$3/100)^2/2)*Assumptions!$B$9)/((AI$3/100)*Assumptions!$B$10))-(AI$3/100)*Assumptions!$B$10))))&lt;=0,"",(Assumptions!$B$2*EXP(-Assumptions!$B$4*Assumptions!$B$9)*NORMDIST(((LN(Assumptions!$B$2/$B13)+(Assumptions!$B$3-Assumptions!$B$4+(AI$3/100)^2/2)*Assumptions!$B$9)/((AI$3/100)*Assumptions!$B$10)),0,1,FALSE)*Assumptions!$B$10*0.01)*0.5/(MAX(0,Assumptions!$B$2*EXP(-Assumptions!$B$4*Assumptions!$B$9)*NORMSDIST(((LN(Assumptions!$B$2/$B13)+(Assumptions!$B$3-Assumptions!$B$4+(AI$3/100)^2/2)*Assumptions!$B$9)/((AI$3/100)*Assumptions!$B$10)))-$B13*EXP(-Assumptions!$B$3*Assumptions!$B$9)*NORMSDIST((((LN(Assumptions!$B$2/$B13)+(Assumptions!$B$3-Assumptions!$B$4+(AI$3/100)^2/2)*Assumptions!$B$9)/((AI$3/100)*Assumptions!$B$10))-(AI$3/100)*Assumptions!$B$10)))))</f>
        <v/>
      </c>
      <c r="AJ34" s="56">
        <f>IF((MAX(0,Assumptions!$B$2*EXP(-Assumptions!$B$4*Assumptions!$B$9)*NORMSDIST(((LN(Assumptions!$B$2/$B13)+(Assumptions!$B$3-Assumptions!$B$4+(AJ$3/100)^2/2)*Assumptions!$B$9)/((AJ$3/100)*Assumptions!$B$10)))-$B13*EXP(-Assumptions!$B$3*Assumptions!$B$9)*NORMSDIST((((LN(Assumptions!$B$2/$B13)+(Assumptions!$B$3-Assumptions!$B$4+(AJ$3/100)^2/2)*Assumptions!$B$9)/((AJ$3/100)*Assumptions!$B$10))-(AJ$3/100)*Assumptions!$B$10))))&lt;=0,"",(Assumptions!$B$2*EXP(-Assumptions!$B$4*Assumptions!$B$9)*NORMDIST(((LN(Assumptions!$B$2/$B13)+(Assumptions!$B$3-Assumptions!$B$4+(AJ$3/100)^2/2)*Assumptions!$B$9)/((AJ$3/100)*Assumptions!$B$10)),0,1,FALSE)*Assumptions!$B$10*0.01)*0.5/(MAX(0,Assumptions!$B$2*EXP(-Assumptions!$B$4*Assumptions!$B$9)*NORMSDIST(((LN(Assumptions!$B$2/$B13)+(Assumptions!$B$3-Assumptions!$B$4+(AJ$3/100)^2/2)*Assumptions!$B$9)/((AJ$3/100)*Assumptions!$B$10)))-$B13*EXP(-Assumptions!$B$3*Assumptions!$B$9)*NORMSDIST((((LN(Assumptions!$B$2/$B13)+(Assumptions!$B$3-Assumptions!$B$4+(AJ$3/100)^2/2)*Assumptions!$B$9)/((AJ$3/100)*Assumptions!$B$10))-(AJ$3/100)*Assumptions!$B$10)))))</f>
        <v/>
      </c>
      <c r="AK34" s="56">
        <f>IF((MAX(0,Assumptions!$B$2*EXP(-Assumptions!$B$4*Assumptions!$B$9)*NORMSDIST(((LN(Assumptions!$B$2/$B13)+(Assumptions!$B$3-Assumptions!$B$4+(AK$3/100)^2/2)*Assumptions!$B$9)/((AK$3/100)*Assumptions!$B$10)))-$B13*EXP(-Assumptions!$B$3*Assumptions!$B$9)*NORMSDIST((((LN(Assumptions!$B$2/$B13)+(Assumptions!$B$3-Assumptions!$B$4+(AK$3/100)^2/2)*Assumptions!$B$9)/((AK$3/100)*Assumptions!$B$10))-(AK$3/100)*Assumptions!$B$10))))&lt;=0,"",(Assumptions!$B$2*EXP(-Assumptions!$B$4*Assumptions!$B$9)*NORMDIST(((LN(Assumptions!$B$2/$B13)+(Assumptions!$B$3-Assumptions!$B$4+(AK$3/100)^2/2)*Assumptions!$B$9)/((AK$3/100)*Assumptions!$B$10)),0,1,FALSE)*Assumptions!$B$10*0.01)*0.5/(MAX(0,Assumptions!$B$2*EXP(-Assumptions!$B$4*Assumptions!$B$9)*NORMSDIST(((LN(Assumptions!$B$2/$B13)+(Assumptions!$B$3-Assumptions!$B$4+(AK$3/100)^2/2)*Assumptions!$B$9)/((AK$3/100)*Assumptions!$B$10)))-$B13*EXP(-Assumptions!$B$3*Assumptions!$B$9)*NORMSDIST((((LN(Assumptions!$B$2/$B13)+(Assumptions!$B$3-Assumptions!$B$4+(AK$3/100)^2/2)*Assumptions!$B$9)/((AK$3/100)*Assumptions!$B$10))-(AK$3/100)*Assumptions!$B$10)))))</f>
        <v/>
      </c>
      <c r="AL34" s="56">
        <f>IF((MAX(0,Assumptions!$B$2*EXP(-Assumptions!$B$4*Assumptions!$B$9)*NORMSDIST(((LN(Assumptions!$B$2/$B13)+(Assumptions!$B$3-Assumptions!$B$4+(AL$3/100)^2/2)*Assumptions!$B$9)/((AL$3/100)*Assumptions!$B$10)))-$B13*EXP(-Assumptions!$B$3*Assumptions!$B$9)*NORMSDIST((((LN(Assumptions!$B$2/$B13)+(Assumptions!$B$3-Assumptions!$B$4+(AL$3/100)^2/2)*Assumptions!$B$9)/((AL$3/100)*Assumptions!$B$10))-(AL$3/100)*Assumptions!$B$10))))&lt;=0,"",(Assumptions!$B$2*EXP(-Assumptions!$B$4*Assumptions!$B$9)*NORMDIST(((LN(Assumptions!$B$2/$B13)+(Assumptions!$B$3-Assumptions!$B$4+(AL$3/100)^2/2)*Assumptions!$B$9)/((AL$3/100)*Assumptions!$B$10)),0,1,FALSE)*Assumptions!$B$10*0.01)*0.5/(MAX(0,Assumptions!$B$2*EXP(-Assumptions!$B$4*Assumptions!$B$9)*NORMSDIST(((LN(Assumptions!$B$2/$B13)+(Assumptions!$B$3-Assumptions!$B$4+(AL$3/100)^2/2)*Assumptions!$B$9)/((AL$3/100)*Assumptions!$B$10)))-$B13*EXP(-Assumptions!$B$3*Assumptions!$B$9)*NORMSDIST((((LN(Assumptions!$B$2/$B13)+(Assumptions!$B$3-Assumptions!$B$4+(AL$3/100)^2/2)*Assumptions!$B$9)/((AL$3/100)*Assumptions!$B$10))-(AL$3/100)*Assumptions!$B$10)))))</f>
        <v/>
      </c>
      <c r="AM34" s="56">
        <f>IF((MAX(0,Assumptions!$B$2*EXP(-Assumptions!$B$4*Assumptions!$B$9)*NORMSDIST(((LN(Assumptions!$B$2/$B13)+(Assumptions!$B$3-Assumptions!$B$4+(AM$3/100)^2/2)*Assumptions!$B$9)/((AM$3/100)*Assumptions!$B$10)))-$B13*EXP(-Assumptions!$B$3*Assumptions!$B$9)*NORMSDIST((((LN(Assumptions!$B$2/$B13)+(Assumptions!$B$3-Assumptions!$B$4+(AM$3/100)^2/2)*Assumptions!$B$9)/((AM$3/100)*Assumptions!$B$10))-(AM$3/100)*Assumptions!$B$10))))&lt;=0,"",(Assumptions!$B$2*EXP(-Assumptions!$B$4*Assumptions!$B$9)*NORMDIST(((LN(Assumptions!$B$2/$B13)+(Assumptions!$B$3-Assumptions!$B$4+(AM$3/100)^2/2)*Assumptions!$B$9)/((AM$3/100)*Assumptions!$B$10)),0,1,FALSE)*Assumptions!$B$10*0.01)*0.5/(MAX(0,Assumptions!$B$2*EXP(-Assumptions!$B$4*Assumptions!$B$9)*NORMSDIST(((LN(Assumptions!$B$2/$B13)+(Assumptions!$B$3-Assumptions!$B$4+(AM$3/100)^2/2)*Assumptions!$B$9)/((AM$3/100)*Assumptions!$B$10)))-$B13*EXP(-Assumptions!$B$3*Assumptions!$B$9)*NORMSDIST((((LN(Assumptions!$B$2/$B13)+(Assumptions!$B$3-Assumptions!$B$4+(AM$3/100)^2/2)*Assumptions!$B$9)/((AM$3/100)*Assumptions!$B$10))-(AM$3/100)*Assumptions!$B$10)))))</f>
        <v/>
      </c>
      <c r="AN34" s="56">
        <f>IF((MAX(0,Assumptions!$B$2*EXP(-Assumptions!$B$4*Assumptions!$B$9)*NORMSDIST(((LN(Assumptions!$B$2/$B13)+(Assumptions!$B$3-Assumptions!$B$4+(AN$3/100)^2/2)*Assumptions!$B$9)/((AN$3/100)*Assumptions!$B$10)))-$B13*EXP(-Assumptions!$B$3*Assumptions!$B$9)*NORMSDIST((((LN(Assumptions!$B$2/$B13)+(Assumptions!$B$3-Assumptions!$B$4+(AN$3/100)^2/2)*Assumptions!$B$9)/((AN$3/100)*Assumptions!$B$10))-(AN$3/100)*Assumptions!$B$10))))&lt;=0,"",(Assumptions!$B$2*EXP(-Assumptions!$B$4*Assumptions!$B$9)*NORMDIST(((LN(Assumptions!$B$2/$B13)+(Assumptions!$B$3-Assumptions!$B$4+(AN$3/100)^2/2)*Assumptions!$B$9)/((AN$3/100)*Assumptions!$B$10)),0,1,FALSE)*Assumptions!$B$10*0.01)*0.5/(MAX(0,Assumptions!$B$2*EXP(-Assumptions!$B$4*Assumptions!$B$9)*NORMSDIST(((LN(Assumptions!$B$2/$B13)+(Assumptions!$B$3-Assumptions!$B$4+(AN$3/100)^2/2)*Assumptions!$B$9)/((AN$3/100)*Assumptions!$B$10)))-$B13*EXP(-Assumptions!$B$3*Assumptions!$B$9)*NORMSDIST((((LN(Assumptions!$B$2/$B13)+(Assumptions!$B$3-Assumptions!$B$4+(AN$3/100)^2/2)*Assumptions!$B$9)/((AN$3/100)*Assumptions!$B$10))-(AN$3/100)*Assumptions!$B$10)))))</f>
        <v/>
      </c>
      <c r="AO34" s="56">
        <f>IF((MAX(0,Assumptions!$B$2*EXP(-Assumptions!$B$4*Assumptions!$B$9)*NORMSDIST(((LN(Assumptions!$B$2/$B13)+(Assumptions!$B$3-Assumptions!$B$4+(AO$3/100)^2/2)*Assumptions!$B$9)/((AO$3/100)*Assumptions!$B$10)))-$B13*EXP(-Assumptions!$B$3*Assumptions!$B$9)*NORMSDIST((((LN(Assumptions!$B$2/$B13)+(Assumptions!$B$3-Assumptions!$B$4+(AO$3/100)^2/2)*Assumptions!$B$9)/((AO$3/100)*Assumptions!$B$10))-(AO$3/100)*Assumptions!$B$10))))&lt;=0,"",(Assumptions!$B$2*EXP(-Assumptions!$B$4*Assumptions!$B$9)*NORMDIST(((LN(Assumptions!$B$2/$B13)+(Assumptions!$B$3-Assumptions!$B$4+(AO$3/100)^2/2)*Assumptions!$B$9)/((AO$3/100)*Assumptions!$B$10)),0,1,FALSE)*Assumptions!$B$10*0.01)*0.5/(MAX(0,Assumptions!$B$2*EXP(-Assumptions!$B$4*Assumptions!$B$9)*NORMSDIST(((LN(Assumptions!$B$2/$B13)+(Assumptions!$B$3-Assumptions!$B$4+(AO$3/100)^2/2)*Assumptions!$B$9)/((AO$3/100)*Assumptions!$B$10)))-$B13*EXP(-Assumptions!$B$3*Assumptions!$B$9)*NORMSDIST((((LN(Assumptions!$B$2/$B13)+(Assumptions!$B$3-Assumptions!$B$4+(AO$3/100)^2/2)*Assumptions!$B$9)/((AO$3/100)*Assumptions!$B$10))-(AO$3/100)*Assumptions!$B$10)))))</f>
        <v/>
      </c>
      <c r="AP34" s="56">
        <f>IF((MAX(0,Assumptions!$B$2*EXP(-Assumptions!$B$4*Assumptions!$B$9)*NORMSDIST(((LN(Assumptions!$B$2/$B13)+(Assumptions!$B$3-Assumptions!$B$4+(AP$3/100)^2/2)*Assumptions!$B$9)/((AP$3/100)*Assumptions!$B$10)))-$B13*EXP(-Assumptions!$B$3*Assumptions!$B$9)*NORMSDIST((((LN(Assumptions!$B$2/$B13)+(Assumptions!$B$3-Assumptions!$B$4+(AP$3/100)^2/2)*Assumptions!$B$9)/((AP$3/100)*Assumptions!$B$10))-(AP$3/100)*Assumptions!$B$10))))&lt;=0,"",(Assumptions!$B$2*EXP(-Assumptions!$B$4*Assumptions!$B$9)*NORMDIST(((LN(Assumptions!$B$2/$B13)+(Assumptions!$B$3-Assumptions!$B$4+(AP$3/100)^2/2)*Assumptions!$B$9)/((AP$3/100)*Assumptions!$B$10)),0,1,FALSE)*Assumptions!$B$10*0.01)*0.5/(MAX(0,Assumptions!$B$2*EXP(-Assumptions!$B$4*Assumptions!$B$9)*NORMSDIST(((LN(Assumptions!$B$2/$B13)+(Assumptions!$B$3-Assumptions!$B$4+(AP$3/100)^2/2)*Assumptions!$B$9)/((AP$3/100)*Assumptions!$B$10)))-$B13*EXP(-Assumptions!$B$3*Assumptions!$B$9)*NORMSDIST((((LN(Assumptions!$B$2/$B13)+(Assumptions!$B$3-Assumptions!$B$4+(AP$3/100)^2/2)*Assumptions!$B$9)/((AP$3/100)*Assumptions!$B$10))-(AP$3/100)*Assumptions!$B$10)))))</f>
        <v/>
      </c>
      <c r="AQ34" s="56">
        <f>IF((MAX(0,Assumptions!$B$2*EXP(-Assumptions!$B$4*Assumptions!$B$9)*NORMSDIST(((LN(Assumptions!$B$2/$B13)+(Assumptions!$B$3-Assumptions!$B$4+(AQ$3/100)^2/2)*Assumptions!$B$9)/((AQ$3/100)*Assumptions!$B$10)))-$B13*EXP(-Assumptions!$B$3*Assumptions!$B$9)*NORMSDIST((((LN(Assumptions!$B$2/$B13)+(Assumptions!$B$3-Assumptions!$B$4+(AQ$3/100)^2/2)*Assumptions!$B$9)/((AQ$3/100)*Assumptions!$B$10))-(AQ$3/100)*Assumptions!$B$10))))&lt;=0,"",(Assumptions!$B$2*EXP(-Assumptions!$B$4*Assumptions!$B$9)*NORMDIST(((LN(Assumptions!$B$2/$B13)+(Assumptions!$B$3-Assumptions!$B$4+(AQ$3/100)^2/2)*Assumptions!$B$9)/((AQ$3/100)*Assumptions!$B$10)),0,1,FALSE)*Assumptions!$B$10*0.01)*0.5/(MAX(0,Assumptions!$B$2*EXP(-Assumptions!$B$4*Assumptions!$B$9)*NORMSDIST(((LN(Assumptions!$B$2/$B13)+(Assumptions!$B$3-Assumptions!$B$4+(AQ$3/100)^2/2)*Assumptions!$B$9)/((AQ$3/100)*Assumptions!$B$10)))-$B13*EXP(-Assumptions!$B$3*Assumptions!$B$9)*NORMSDIST((((LN(Assumptions!$B$2/$B13)+(Assumptions!$B$3-Assumptions!$B$4+(AQ$3/100)^2/2)*Assumptions!$B$9)/((AQ$3/100)*Assumptions!$B$10))-(AQ$3/100)*Assumptions!$B$10)))))</f>
        <v/>
      </c>
      <c r="AR34" s="56">
        <f>IF((MAX(0,Assumptions!$B$2*EXP(-Assumptions!$B$4*Assumptions!$B$9)*NORMSDIST(((LN(Assumptions!$B$2/$B13)+(Assumptions!$B$3-Assumptions!$B$4+(AR$3/100)^2/2)*Assumptions!$B$9)/((AR$3/100)*Assumptions!$B$10)))-$B13*EXP(-Assumptions!$B$3*Assumptions!$B$9)*NORMSDIST((((LN(Assumptions!$B$2/$B13)+(Assumptions!$B$3-Assumptions!$B$4+(AR$3/100)^2/2)*Assumptions!$B$9)/((AR$3/100)*Assumptions!$B$10))-(AR$3/100)*Assumptions!$B$10))))&lt;=0,"",(Assumptions!$B$2*EXP(-Assumptions!$B$4*Assumptions!$B$9)*NORMDIST(((LN(Assumptions!$B$2/$B13)+(Assumptions!$B$3-Assumptions!$B$4+(AR$3/100)^2/2)*Assumptions!$B$9)/((AR$3/100)*Assumptions!$B$10)),0,1,FALSE)*Assumptions!$B$10*0.01)*0.5/(MAX(0,Assumptions!$B$2*EXP(-Assumptions!$B$4*Assumptions!$B$9)*NORMSDIST(((LN(Assumptions!$B$2/$B13)+(Assumptions!$B$3-Assumptions!$B$4+(AR$3/100)^2/2)*Assumptions!$B$9)/((AR$3/100)*Assumptions!$B$10)))-$B13*EXP(-Assumptions!$B$3*Assumptions!$B$9)*NORMSDIST((((LN(Assumptions!$B$2/$B13)+(Assumptions!$B$3-Assumptions!$B$4+(AR$3/100)^2/2)*Assumptions!$B$9)/((AR$3/100)*Assumptions!$B$10))-(AR$3/100)*Assumptions!$B$10)))))</f>
        <v/>
      </c>
      <c r="AS34" s="56">
        <f>IF((MAX(0,Assumptions!$B$2*EXP(-Assumptions!$B$4*Assumptions!$B$9)*NORMSDIST(((LN(Assumptions!$B$2/$B13)+(Assumptions!$B$3-Assumptions!$B$4+(AS$3/100)^2/2)*Assumptions!$B$9)/((AS$3/100)*Assumptions!$B$10)))-$B13*EXP(-Assumptions!$B$3*Assumptions!$B$9)*NORMSDIST((((LN(Assumptions!$B$2/$B13)+(Assumptions!$B$3-Assumptions!$B$4+(AS$3/100)^2/2)*Assumptions!$B$9)/((AS$3/100)*Assumptions!$B$10))-(AS$3/100)*Assumptions!$B$10))))&lt;=0,"",(Assumptions!$B$2*EXP(-Assumptions!$B$4*Assumptions!$B$9)*NORMDIST(((LN(Assumptions!$B$2/$B13)+(Assumptions!$B$3-Assumptions!$B$4+(AS$3/100)^2/2)*Assumptions!$B$9)/((AS$3/100)*Assumptions!$B$10)),0,1,FALSE)*Assumptions!$B$10*0.01)*0.5/(MAX(0,Assumptions!$B$2*EXP(-Assumptions!$B$4*Assumptions!$B$9)*NORMSDIST(((LN(Assumptions!$B$2/$B13)+(Assumptions!$B$3-Assumptions!$B$4+(AS$3/100)^2/2)*Assumptions!$B$9)/((AS$3/100)*Assumptions!$B$10)))-$B13*EXP(-Assumptions!$B$3*Assumptions!$B$9)*NORMSDIST((((LN(Assumptions!$B$2/$B13)+(Assumptions!$B$3-Assumptions!$B$4+(AS$3/100)^2/2)*Assumptions!$B$9)/((AS$3/100)*Assumptions!$B$10))-(AS$3/100)*Assumptions!$B$10)))))</f>
        <v/>
      </c>
      <c r="AT34" s="56">
        <f>IF((MAX(0,Assumptions!$B$2*EXP(-Assumptions!$B$4*Assumptions!$B$9)*NORMSDIST(((LN(Assumptions!$B$2/$B13)+(Assumptions!$B$3-Assumptions!$B$4+(AT$3/100)^2/2)*Assumptions!$B$9)/((AT$3/100)*Assumptions!$B$10)))-$B13*EXP(-Assumptions!$B$3*Assumptions!$B$9)*NORMSDIST((((LN(Assumptions!$B$2/$B13)+(Assumptions!$B$3-Assumptions!$B$4+(AT$3/100)^2/2)*Assumptions!$B$9)/((AT$3/100)*Assumptions!$B$10))-(AT$3/100)*Assumptions!$B$10))))&lt;=0,"",(Assumptions!$B$2*EXP(-Assumptions!$B$4*Assumptions!$B$9)*NORMDIST(((LN(Assumptions!$B$2/$B13)+(Assumptions!$B$3-Assumptions!$B$4+(AT$3/100)^2/2)*Assumptions!$B$9)/((AT$3/100)*Assumptions!$B$10)),0,1,FALSE)*Assumptions!$B$10*0.01)*0.5/(MAX(0,Assumptions!$B$2*EXP(-Assumptions!$B$4*Assumptions!$B$9)*NORMSDIST(((LN(Assumptions!$B$2/$B13)+(Assumptions!$B$3-Assumptions!$B$4+(AT$3/100)^2/2)*Assumptions!$B$9)/((AT$3/100)*Assumptions!$B$10)))-$B13*EXP(-Assumptions!$B$3*Assumptions!$B$9)*NORMSDIST((((LN(Assumptions!$B$2/$B13)+(Assumptions!$B$3-Assumptions!$B$4+(AT$3/100)^2/2)*Assumptions!$B$9)/((AT$3/100)*Assumptions!$B$10))-(AT$3/100)*Assumptions!$B$10)))))</f>
        <v/>
      </c>
      <c r="AU34" s="56">
        <f>IF((MAX(0,Assumptions!$B$2*EXP(-Assumptions!$B$4*Assumptions!$B$9)*NORMSDIST(((LN(Assumptions!$B$2/$B13)+(Assumptions!$B$3-Assumptions!$B$4+(AU$3/100)^2/2)*Assumptions!$B$9)/((AU$3/100)*Assumptions!$B$10)))-$B13*EXP(-Assumptions!$B$3*Assumptions!$B$9)*NORMSDIST((((LN(Assumptions!$B$2/$B13)+(Assumptions!$B$3-Assumptions!$B$4+(AU$3/100)^2/2)*Assumptions!$B$9)/((AU$3/100)*Assumptions!$B$10))-(AU$3/100)*Assumptions!$B$10))))&lt;=0,"",(Assumptions!$B$2*EXP(-Assumptions!$B$4*Assumptions!$B$9)*NORMDIST(((LN(Assumptions!$B$2/$B13)+(Assumptions!$B$3-Assumptions!$B$4+(AU$3/100)^2/2)*Assumptions!$B$9)/((AU$3/100)*Assumptions!$B$10)),0,1,FALSE)*Assumptions!$B$10*0.01)*0.5/(MAX(0,Assumptions!$B$2*EXP(-Assumptions!$B$4*Assumptions!$B$9)*NORMSDIST(((LN(Assumptions!$B$2/$B13)+(Assumptions!$B$3-Assumptions!$B$4+(AU$3/100)^2/2)*Assumptions!$B$9)/((AU$3/100)*Assumptions!$B$10)))-$B13*EXP(-Assumptions!$B$3*Assumptions!$B$9)*NORMSDIST((((LN(Assumptions!$B$2/$B13)+(Assumptions!$B$3-Assumptions!$B$4+(AU$3/100)^2/2)*Assumptions!$B$9)/((AU$3/100)*Assumptions!$B$10))-(AU$3/100)*Assumptions!$B$10)))))</f>
        <v/>
      </c>
      <c r="AV34" s="56">
        <f>IF((MAX(0,Assumptions!$B$2*EXP(-Assumptions!$B$4*Assumptions!$B$9)*NORMSDIST(((LN(Assumptions!$B$2/$B13)+(Assumptions!$B$3-Assumptions!$B$4+(AV$3/100)^2/2)*Assumptions!$B$9)/((AV$3/100)*Assumptions!$B$10)))-$B13*EXP(-Assumptions!$B$3*Assumptions!$B$9)*NORMSDIST((((LN(Assumptions!$B$2/$B13)+(Assumptions!$B$3-Assumptions!$B$4+(AV$3/100)^2/2)*Assumptions!$B$9)/((AV$3/100)*Assumptions!$B$10))-(AV$3/100)*Assumptions!$B$10))))&lt;=0,"",(Assumptions!$B$2*EXP(-Assumptions!$B$4*Assumptions!$B$9)*NORMDIST(((LN(Assumptions!$B$2/$B13)+(Assumptions!$B$3-Assumptions!$B$4+(AV$3/100)^2/2)*Assumptions!$B$9)/((AV$3/100)*Assumptions!$B$10)),0,1,FALSE)*Assumptions!$B$10*0.01)*0.5/(MAX(0,Assumptions!$B$2*EXP(-Assumptions!$B$4*Assumptions!$B$9)*NORMSDIST(((LN(Assumptions!$B$2/$B13)+(Assumptions!$B$3-Assumptions!$B$4+(AV$3/100)^2/2)*Assumptions!$B$9)/((AV$3/100)*Assumptions!$B$10)))-$B13*EXP(-Assumptions!$B$3*Assumptions!$B$9)*NORMSDIST((((LN(Assumptions!$B$2/$B13)+(Assumptions!$B$3-Assumptions!$B$4+(AV$3/100)^2/2)*Assumptions!$B$9)/((AV$3/100)*Assumptions!$B$10))-(AV$3/100)*Assumptions!$B$10)))))</f>
        <v/>
      </c>
    </row>
    <row r="35">
      <c r="A35" s="27" t="inlineStr">
        <is>
          <t>+0.50%</t>
        </is>
      </c>
      <c r="B35" s="47">
        <f>'BS Engine'!$B$12</f>
        <v/>
      </c>
      <c r="C35" s="28">
        <f>'BS Engine'!$C$12</f>
        <v/>
      </c>
      <c r="D35" s="55">
        <f>IF((MAX(0,Assumptions!$B$2*EXP(-Assumptions!$B$4*Assumptions!$B$9)*NORMSDIST(((LN(Assumptions!$B$2/$B14)+(Assumptions!$B$3-Assumptions!$B$4+(D$3/100)^2/2)*Assumptions!$B$9)/((D$3/100)*Assumptions!$B$10)))-$B14*EXP(-Assumptions!$B$3*Assumptions!$B$9)*NORMSDIST((((LN(Assumptions!$B$2/$B14)+(Assumptions!$B$3-Assumptions!$B$4+(D$3/100)^2/2)*Assumptions!$B$9)/((D$3/100)*Assumptions!$B$10))-(D$3/100)*Assumptions!$B$10))))&lt;=0,"",(Assumptions!$B$2*EXP(-Assumptions!$B$4*Assumptions!$B$9)*NORMDIST(((LN(Assumptions!$B$2/$B14)+(Assumptions!$B$3-Assumptions!$B$4+(D$3/100)^2/2)*Assumptions!$B$9)/((D$3/100)*Assumptions!$B$10)),0,1,FALSE)*Assumptions!$B$10*0.01)*0.5/(MAX(0,Assumptions!$B$2*EXP(-Assumptions!$B$4*Assumptions!$B$9)*NORMSDIST(((LN(Assumptions!$B$2/$B14)+(Assumptions!$B$3-Assumptions!$B$4+(D$3/100)^2/2)*Assumptions!$B$9)/((D$3/100)*Assumptions!$B$10)))-$B14*EXP(-Assumptions!$B$3*Assumptions!$B$9)*NORMSDIST((((LN(Assumptions!$B$2/$B14)+(Assumptions!$B$3-Assumptions!$B$4+(D$3/100)^2/2)*Assumptions!$B$9)/((D$3/100)*Assumptions!$B$10))-(D$3/100)*Assumptions!$B$10)))))</f>
        <v/>
      </c>
      <c r="E35" s="56">
        <f>IF((MAX(0,Assumptions!$B$2*EXP(-Assumptions!$B$4*Assumptions!$B$9)*NORMSDIST(((LN(Assumptions!$B$2/$B14)+(Assumptions!$B$3-Assumptions!$B$4+(E$3/100)^2/2)*Assumptions!$B$9)/((E$3/100)*Assumptions!$B$10)))-$B14*EXP(-Assumptions!$B$3*Assumptions!$B$9)*NORMSDIST((((LN(Assumptions!$B$2/$B14)+(Assumptions!$B$3-Assumptions!$B$4+(E$3/100)^2/2)*Assumptions!$B$9)/((E$3/100)*Assumptions!$B$10))-(E$3/100)*Assumptions!$B$10))))&lt;=0,"",(Assumptions!$B$2*EXP(-Assumptions!$B$4*Assumptions!$B$9)*NORMDIST(((LN(Assumptions!$B$2/$B14)+(Assumptions!$B$3-Assumptions!$B$4+(E$3/100)^2/2)*Assumptions!$B$9)/((E$3/100)*Assumptions!$B$10)),0,1,FALSE)*Assumptions!$B$10*0.01)*0.5/(MAX(0,Assumptions!$B$2*EXP(-Assumptions!$B$4*Assumptions!$B$9)*NORMSDIST(((LN(Assumptions!$B$2/$B14)+(Assumptions!$B$3-Assumptions!$B$4+(E$3/100)^2/2)*Assumptions!$B$9)/((E$3/100)*Assumptions!$B$10)))-$B14*EXP(-Assumptions!$B$3*Assumptions!$B$9)*NORMSDIST((((LN(Assumptions!$B$2/$B14)+(Assumptions!$B$3-Assumptions!$B$4+(E$3/100)^2/2)*Assumptions!$B$9)/((E$3/100)*Assumptions!$B$10))-(E$3/100)*Assumptions!$B$10)))))</f>
        <v/>
      </c>
      <c r="F35" s="56">
        <f>IF((MAX(0,Assumptions!$B$2*EXP(-Assumptions!$B$4*Assumptions!$B$9)*NORMSDIST(((LN(Assumptions!$B$2/$B14)+(Assumptions!$B$3-Assumptions!$B$4+(F$3/100)^2/2)*Assumptions!$B$9)/((F$3/100)*Assumptions!$B$10)))-$B14*EXP(-Assumptions!$B$3*Assumptions!$B$9)*NORMSDIST((((LN(Assumptions!$B$2/$B14)+(Assumptions!$B$3-Assumptions!$B$4+(F$3/100)^2/2)*Assumptions!$B$9)/((F$3/100)*Assumptions!$B$10))-(F$3/100)*Assumptions!$B$10))))&lt;=0,"",(Assumptions!$B$2*EXP(-Assumptions!$B$4*Assumptions!$B$9)*NORMDIST(((LN(Assumptions!$B$2/$B14)+(Assumptions!$B$3-Assumptions!$B$4+(F$3/100)^2/2)*Assumptions!$B$9)/((F$3/100)*Assumptions!$B$10)),0,1,FALSE)*Assumptions!$B$10*0.01)*0.5/(MAX(0,Assumptions!$B$2*EXP(-Assumptions!$B$4*Assumptions!$B$9)*NORMSDIST(((LN(Assumptions!$B$2/$B14)+(Assumptions!$B$3-Assumptions!$B$4+(F$3/100)^2/2)*Assumptions!$B$9)/((F$3/100)*Assumptions!$B$10)))-$B14*EXP(-Assumptions!$B$3*Assumptions!$B$9)*NORMSDIST((((LN(Assumptions!$B$2/$B14)+(Assumptions!$B$3-Assumptions!$B$4+(F$3/100)^2/2)*Assumptions!$B$9)/((F$3/100)*Assumptions!$B$10))-(F$3/100)*Assumptions!$B$10)))))</f>
        <v/>
      </c>
      <c r="G35" s="56">
        <f>IF((MAX(0,Assumptions!$B$2*EXP(-Assumptions!$B$4*Assumptions!$B$9)*NORMSDIST(((LN(Assumptions!$B$2/$B14)+(Assumptions!$B$3-Assumptions!$B$4+(G$3/100)^2/2)*Assumptions!$B$9)/((G$3/100)*Assumptions!$B$10)))-$B14*EXP(-Assumptions!$B$3*Assumptions!$B$9)*NORMSDIST((((LN(Assumptions!$B$2/$B14)+(Assumptions!$B$3-Assumptions!$B$4+(G$3/100)^2/2)*Assumptions!$B$9)/((G$3/100)*Assumptions!$B$10))-(G$3/100)*Assumptions!$B$10))))&lt;=0,"",(Assumptions!$B$2*EXP(-Assumptions!$B$4*Assumptions!$B$9)*NORMDIST(((LN(Assumptions!$B$2/$B14)+(Assumptions!$B$3-Assumptions!$B$4+(G$3/100)^2/2)*Assumptions!$B$9)/((G$3/100)*Assumptions!$B$10)),0,1,FALSE)*Assumptions!$B$10*0.01)*0.5/(MAX(0,Assumptions!$B$2*EXP(-Assumptions!$B$4*Assumptions!$B$9)*NORMSDIST(((LN(Assumptions!$B$2/$B14)+(Assumptions!$B$3-Assumptions!$B$4+(G$3/100)^2/2)*Assumptions!$B$9)/((G$3/100)*Assumptions!$B$10)))-$B14*EXP(-Assumptions!$B$3*Assumptions!$B$9)*NORMSDIST((((LN(Assumptions!$B$2/$B14)+(Assumptions!$B$3-Assumptions!$B$4+(G$3/100)^2/2)*Assumptions!$B$9)/((G$3/100)*Assumptions!$B$10))-(G$3/100)*Assumptions!$B$10)))))</f>
        <v/>
      </c>
      <c r="H35" s="56">
        <f>IF((MAX(0,Assumptions!$B$2*EXP(-Assumptions!$B$4*Assumptions!$B$9)*NORMSDIST(((LN(Assumptions!$B$2/$B14)+(Assumptions!$B$3-Assumptions!$B$4+(H$3/100)^2/2)*Assumptions!$B$9)/((H$3/100)*Assumptions!$B$10)))-$B14*EXP(-Assumptions!$B$3*Assumptions!$B$9)*NORMSDIST((((LN(Assumptions!$B$2/$B14)+(Assumptions!$B$3-Assumptions!$B$4+(H$3/100)^2/2)*Assumptions!$B$9)/((H$3/100)*Assumptions!$B$10))-(H$3/100)*Assumptions!$B$10))))&lt;=0,"",(Assumptions!$B$2*EXP(-Assumptions!$B$4*Assumptions!$B$9)*NORMDIST(((LN(Assumptions!$B$2/$B14)+(Assumptions!$B$3-Assumptions!$B$4+(H$3/100)^2/2)*Assumptions!$B$9)/((H$3/100)*Assumptions!$B$10)),0,1,FALSE)*Assumptions!$B$10*0.01)*0.5/(MAX(0,Assumptions!$B$2*EXP(-Assumptions!$B$4*Assumptions!$B$9)*NORMSDIST(((LN(Assumptions!$B$2/$B14)+(Assumptions!$B$3-Assumptions!$B$4+(H$3/100)^2/2)*Assumptions!$B$9)/((H$3/100)*Assumptions!$B$10)))-$B14*EXP(-Assumptions!$B$3*Assumptions!$B$9)*NORMSDIST((((LN(Assumptions!$B$2/$B14)+(Assumptions!$B$3-Assumptions!$B$4+(H$3/100)^2/2)*Assumptions!$B$9)/((H$3/100)*Assumptions!$B$10))-(H$3/100)*Assumptions!$B$10)))))</f>
        <v/>
      </c>
      <c r="I35" s="56">
        <f>IF((MAX(0,Assumptions!$B$2*EXP(-Assumptions!$B$4*Assumptions!$B$9)*NORMSDIST(((LN(Assumptions!$B$2/$B14)+(Assumptions!$B$3-Assumptions!$B$4+(I$3/100)^2/2)*Assumptions!$B$9)/((I$3/100)*Assumptions!$B$10)))-$B14*EXP(-Assumptions!$B$3*Assumptions!$B$9)*NORMSDIST((((LN(Assumptions!$B$2/$B14)+(Assumptions!$B$3-Assumptions!$B$4+(I$3/100)^2/2)*Assumptions!$B$9)/((I$3/100)*Assumptions!$B$10))-(I$3/100)*Assumptions!$B$10))))&lt;=0,"",(Assumptions!$B$2*EXP(-Assumptions!$B$4*Assumptions!$B$9)*NORMDIST(((LN(Assumptions!$B$2/$B14)+(Assumptions!$B$3-Assumptions!$B$4+(I$3/100)^2/2)*Assumptions!$B$9)/((I$3/100)*Assumptions!$B$10)),0,1,FALSE)*Assumptions!$B$10*0.01)*0.5/(MAX(0,Assumptions!$B$2*EXP(-Assumptions!$B$4*Assumptions!$B$9)*NORMSDIST(((LN(Assumptions!$B$2/$B14)+(Assumptions!$B$3-Assumptions!$B$4+(I$3/100)^2/2)*Assumptions!$B$9)/((I$3/100)*Assumptions!$B$10)))-$B14*EXP(-Assumptions!$B$3*Assumptions!$B$9)*NORMSDIST((((LN(Assumptions!$B$2/$B14)+(Assumptions!$B$3-Assumptions!$B$4+(I$3/100)^2/2)*Assumptions!$B$9)/((I$3/100)*Assumptions!$B$10))-(I$3/100)*Assumptions!$B$10)))))</f>
        <v/>
      </c>
      <c r="J35" s="56">
        <f>IF((MAX(0,Assumptions!$B$2*EXP(-Assumptions!$B$4*Assumptions!$B$9)*NORMSDIST(((LN(Assumptions!$B$2/$B14)+(Assumptions!$B$3-Assumptions!$B$4+(J$3/100)^2/2)*Assumptions!$B$9)/((J$3/100)*Assumptions!$B$10)))-$B14*EXP(-Assumptions!$B$3*Assumptions!$B$9)*NORMSDIST((((LN(Assumptions!$B$2/$B14)+(Assumptions!$B$3-Assumptions!$B$4+(J$3/100)^2/2)*Assumptions!$B$9)/((J$3/100)*Assumptions!$B$10))-(J$3/100)*Assumptions!$B$10))))&lt;=0,"",(Assumptions!$B$2*EXP(-Assumptions!$B$4*Assumptions!$B$9)*NORMDIST(((LN(Assumptions!$B$2/$B14)+(Assumptions!$B$3-Assumptions!$B$4+(J$3/100)^2/2)*Assumptions!$B$9)/((J$3/100)*Assumptions!$B$10)),0,1,FALSE)*Assumptions!$B$10*0.01)*0.5/(MAX(0,Assumptions!$B$2*EXP(-Assumptions!$B$4*Assumptions!$B$9)*NORMSDIST(((LN(Assumptions!$B$2/$B14)+(Assumptions!$B$3-Assumptions!$B$4+(J$3/100)^2/2)*Assumptions!$B$9)/((J$3/100)*Assumptions!$B$10)))-$B14*EXP(-Assumptions!$B$3*Assumptions!$B$9)*NORMSDIST((((LN(Assumptions!$B$2/$B14)+(Assumptions!$B$3-Assumptions!$B$4+(J$3/100)^2/2)*Assumptions!$B$9)/((J$3/100)*Assumptions!$B$10))-(J$3/100)*Assumptions!$B$10)))))</f>
        <v/>
      </c>
      <c r="K35" s="56">
        <f>IF((MAX(0,Assumptions!$B$2*EXP(-Assumptions!$B$4*Assumptions!$B$9)*NORMSDIST(((LN(Assumptions!$B$2/$B14)+(Assumptions!$B$3-Assumptions!$B$4+(K$3/100)^2/2)*Assumptions!$B$9)/((K$3/100)*Assumptions!$B$10)))-$B14*EXP(-Assumptions!$B$3*Assumptions!$B$9)*NORMSDIST((((LN(Assumptions!$B$2/$B14)+(Assumptions!$B$3-Assumptions!$B$4+(K$3/100)^2/2)*Assumptions!$B$9)/((K$3/100)*Assumptions!$B$10))-(K$3/100)*Assumptions!$B$10))))&lt;=0,"",(Assumptions!$B$2*EXP(-Assumptions!$B$4*Assumptions!$B$9)*NORMDIST(((LN(Assumptions!$B$2/$B14)+(Assumptions!$B$3-Assumptions!$B$4+(K$3/100)^2/2)*Assumptions!$B$9)/((K$3/100)*Assumptions!$B$10)),0,1,FALSE)*Assumptions!$B$10*0.01)*0.5/(MAX(0,Assumptions!$B$2*EXP(-Assumptions!$B$4*Assumptions!$B$9)*NORMSDIST(((LN(Assumptions!$B$2/$B14)+(Assumptions!$B$3-Assumptions!$B$4+(K$3/100)^2/2)*Assumptions!$B$9)/((K$3/100)*Assumptions!$B$10)))-$B14*EXP(-Assumptions!$B$3*Assumptions!$B$9)*NORMSDIST((((LN(Assumptions!$B$2/$B14)+(Assumptions!$B$3-Assumptions!$B$4+(K$3/100)^2/2)*Assumptions!$B$9)/((K$3/100)*Assumptions!$B$10))-(K$3/100)*Assumptions!$B$10)))))</f>
        <v/>
      </c>
      <c r="L35" s="56">
        <f>IF((MAX(0,Assumptions!$B$2*EXP(-Assumptions!$B$4*Assumptions!$B$9)*NORMSDIST(((LN(Assumptions!$B$2/$B14)+(Assumptions!$B$3-Assumptions!$B$4+(L$3/100)^2/2)*Assumptions!$B$9)/((L$3/100)*Assumptions!$B$10)))-$B14*EXP(-Assumptions!$B$3*Assumptions!$B$9)*NORMSDIST((((LN(Assumptions!$B$2/$B14)+(Assumptions!$B$3-Assumptions!$B$4+(L$3/100)^2/2)*Assumptions!$B$9)/((L$3/100)*Assumptions!$B$10))-(L$3/100)*Assumptions!$B$10))))&lt;=0,"",(Assumptions!$B$2*EXP(-Assumptions!$B$4*Assumptions!$B$9)*NORMDIST(((LN(Assumptions!$B$2/$B14)+(Assumptions!$B$3-Assumptions!$B$4+(L$3/100)^2/2)*Assumptions!$B$9)/((L$3/100)*Assumptions!$B$10)),0,1,FALSE)*Assumptions!$B$10*0.01)*0.5/(MAX(0,Assumptions!$B$2*EXP(-Assumptions!$B$4*Assumptions!$B$9)*NORMSDIST(((LN(Assumptions!$B$2/$B14)+(Assumptions!$B$3-Assumptions!$B$4+(L$3/100)^2/2)*Assumptions!$B$9)/((L$3/100)*Assumptions!$B$10)))-$B14*EXP(-Assumptions!$B$3*Assumptions!$B$9)*NORMSDIST((((LN(Assumptions!$B$2/$B14)+(Assumptions!$B$3-Assumptions!$B$4+(L$3/100)^2/2)*Assumptions!$B$9)/((L$3/100)*Assumptions!$B$10))-(L$3/100)*Assumptions!$B$10)))))</f>
        <v/>
      </c>
      <c r="M35" s="56">
        <f>IF((MAX(0,Assumptions!$B$2*EXP(-Assumptions!$B$4*Assumptions!$B$9)*NORMSDIST(((LN(Assumptions!$B$2/$B14)+(Assumptions!$B$3-Assumptions!$B$4+(M$3/100)^2/2)*Assumptions!$B$9)/((M$3/100)*Assumptions!$B$10)))-$B14*EXP(-Assumptions!$B$3*Assumptions!$B$9)*NORMSDIST((((LN(Assumptions!$B$2/$B14)+(Assumptions!$B$3-Assumptions!$B$4+(M$3/100)^2/2)*Assumptions!$B$9)/((M$3/100)*Assumptions!$B$10))-(M$3/100)*Assumptions!$B$10))))&lt;=0,"",(Assumptions!$B$2*EXP(-Assumptions!$B$4*Assumptions!$B$9)*NORMDIST(((LN(Assumptions!$B$2/$B14)+(Assumptions!$B$3-Assumptions!$B$4+(M$3/100)^2/2)*Assumptions!$B$9)/((M$3/100)*Assumptions!$B$10)),0,1,FALSE)*Assumptions!$B$10*0.01)*0.5/(MAX(0,Assumptions!$B$2*EXP(-Assumptions!$B$4*Assumptions!$B$9)*NORMSDIST(((LN(Assumptions!$B$2/$B14)+(Assumptions!$B$3-Assumptions!$B$4+(M$3/100)^2/2)*Assumptions!$B$9)/((M$3/100)*Assumptions!$B$10)))-$B14*EXP(-Assumptions!$B$3*Assumptions!$B$9)*NORMSDIST((((LN(Assumptions!$B$2/$B14)+(Assumptions!$B$3-Assumptions!$B$4+(M$3/100)^2/2)*Assumptions!$B$9)/((M$3/100)*Assumptions!$B$10))-(M$3/100)*Assumptions!$B$10)))))</f>
        <v/>
      </c>
      <c r="N35" s="56">
        <f>IF((MAX(0,Assumptions!$B$2*EXP(-Assumptions!$B$4*Assumptions!$B$9)*NORMSDIST(((LN(Assumptions!$B$2/$B14)+(Assumptions!$B$3-Assumptions!$B$4+(N$3/100)^2/2)*Assumptions!$B$9)/((N$3/100)*Assumptions!$B$10)))-$B14*EXP(-Assumptions!$B$3*Assumptions!$B$9)*NORMSDIST((((LN(Assumptions!$B$2/$B14)+(Assumptions!$B$3-Assumptions!$B$4+(N$3/100)^2/2)*Assumptions!$B$9)/((N$3/100)*Assumptions!$B$10))-(N$3/100)*Assumptions!$B$10))))&lt;=0,"",(Assumptions!$B$2*EXP(-Assumptions!$B$4*Assumptions!$B$9)*NORMDIST(((LN(Assumptions!$B$2/$B14)+(Assumptions!$B$3-Assumptions!$B$4+(N$3/100)^2/2)*Assumptions!$B$9)/((N$3/100)*Assumptions!$B$10)),0,1,FALSE)*Assumptions!$B$10*0.01)*0.5/(MAX(0,Assumptions!$B$2*EXP(-Assumptions!$B$4*Assumptions!$B$9)*NORMSDIST(((LN(Assumptions!$B$2/$B14)+(Assumptions!$B$3-Assumptions!$B$4+(N$3/100)^2/2)*Assumptions!$B$9)/((N$3/100)*Assumptions!$B$10)))-$B14*EXP(-Assumptions!$B$3*Assumptions!$B$9)*NORMSDIST((((LN(Assumptions!$B$2/$B14)+(Assumptions!$B$3-Assumptions!$B$4+(N$3/100)^2/2)*Assumptions!$B$9)/((N$3/100)*Assumptions!$B$10))-(N$3/100)*Assumptions!$B$10)))))</f>
        <v/>
      </c>
      <c r="O35" s="56">
        <f>IF((MAX(0,Assumptions!$B$2*EXP(-Assumptions!$B$4*Assumptions!$B$9)*NORMSDIST(((LN(Assumptions!$B$2/$B14)+(Assumptions!$B$3-Assumptions!$B$4+(O$3/100)^2/2)*Assumptions!$B$9)/((O$3/100)*Assumptions!$B$10)))-$B14*EXP(-Assumptions!$B$3*Assumptions!$B$9)*NORMSDIST((((LN(Assumptions!$B$2/$B14)+(Assumptions!$B$3-Assumptions!$B$4+(O$3/100)^2/2)*Assumptions!$B$9)/((O$3/100)*Assumptions!$B$10))-(O$3/100)*Assumptions!$B$10))))&lt;=0,"",(Assumptions!$B$2*EXP(-Assumptions!$B$4*Assumptions!$B$9)*NORMDIST(((LN(Assumptions!$B$2/$B14)+(Assumptions!$B$3-Assumptions!$B$4+(O$3/100)^2/2)*Assumptions!$B$9)/((O$3/100)*Assumptions!$B$10)),0,1,FALSE)*Assumptions!$B$10*0.01)*0.5/(MAX(0,Assumptions!$B$2*EXP(-Assumptions!$B$4*Assumptions!$B$9)*NORMSDIST(((LN(Assumptions!$B$2/$B14)+(Assumptions!$B$3-Assumptions!$B$4+(O$3/100)^2/2)*Assumptions!$B$9)/((O$3/100)*Assumptions!$B$10)))-$B14*EXP(-Assumptions!$B$3*Assumptions!$B$9)*NORMSDIST((((LN(Assumptions!$B$2/$B14)+(Assumptions!$B$3-Assumptions!$B$4+(O$3/100)^2/2)*Assumptions!$B$9)/((O$3/100)*Assumptions!$B$10))-(O$3/100)*Assumptions!$B$10)))))</f>
        <v/>
      </c>
      <c r="P35" s="56">
        <f>IF((MAX(0,Assumptions!$B$2*EXP(-Assumptions!$B$4*Assumptions!$B$9)*NORMSDIST(((LN(Assumptions!$B$2/$B14)+(Assumptions!$B$3-Assumptions!$B$4+(P$3/100)^2/2)*Assumptions!$B$9)/((P$3/100)*Assumptions!$B$10)))-$B14*EXP(-Assumptions!$B$3*Assumptions!$B$9)*NORMSDIST((((LN(Assumptions!$B$2/$B14)+(Assumptions!$B$3-Assumptions!$B$4+(P$3/100)^2/2)*Assumptions!$B$9)/((P$3/100)*Assumptions!$B$10))-(P$3/100)*Assumptions!$B$10))))&lt;=0,"",(Assumptions!$B$2*EXP(-Assumptions!$B$4*Assumptions!$B$9)*NORMDIST(((LN(Assumptions!$B$2/$B14)+(Assumptions!$B$3-Assumptions!$B$4+(P$3/100)^2/2)*Assumptions!$B$9)/((P$3/100)*Assumptions!$B$10)),0,1,FALSE)*Assumptions!$B$10*0.01)*0.5/(MAX(0,Assumptions!$B$2*EXP(-Assumptions!$B$4*Assumptions!$B$9)*NORMSDIST(((LN(Assumptions!$B$2/$B14)+(Assumptions!$B$3-Assumptions!$B$4+(P$3/100)^2/2)*Assumptions!$B$9)/((P$3/100)*Assumptions!$B$10)))-$B14*EXP(-Assumptions!$B$3*Assumptions!$B$9)*NORMSDIST((((LN(Assumptions!$B$2/$B14)+(Assumptions!$B$3-Assumptions!$B$4+(P$3/100)^2/2)*Assumptions!$B$9)/((P$3/100)*Assumptions!$B$10))-(P$3/100)*Assumptions!$B$10)))))</f>
        <v/>
      </c>
      <c r="Q35" s="56">
        <f>IF((MAX(0,Assumptions!$B$2*EXP(-Assumptions!$B$4*Assumptions!$B$9)*NORMSDIST(((LN(Assumptions!$B$2/$B14)+(Assumptions!$B$3-Assumptions!$B$4+(Q$3/100)^2/2)*Assumptions!$B$9)/((Q$3/100)*Assumptions!$B$10)))-$B14*EXP(-Assumptions!$B$3*Assumptions!$B$9)*NORMSDIST((((LN(Assumptions!$B$2/$B14)+(Assumptions!$B$3-Assumptions!$B$4+(Q$3/100)^2/2)*Assumptions!$B$9)/((Q$3/100)*Assumptions!$B$10))-(Q$3/100)*Assumptions!$B$10))))&lt;=0,"",(Assumptions!$B$2*EXP(-Assumptions!$B$4*Assumptions!$B$9)*NORMDIST(((LN(Assumptions!$B$2/$B14)+(Assumptions!$B$3-Assumptions!$B$4+(Q$3/100)^2/2)*Assumptions!$B$9)/((Q$3/100)*Assumptions!$B$10)),0,1,FALSE)*Assumptions!$B$10*0.01)*0.5/(MAX(0,Assumptions!$B$2*EXP(-Assumptions!$B$4*Assumptions!$B$9)*NORMSDIST(((LN(Assumptions!$B$2/$B14)+(Assumptions!$B$3-Assumptions!$B$4+(Q$3/100)^2/2)*Assumptions!$B$9)/((Q$3/100)*Assumptions!$B$10)))-$B14*EXP(-Assumptions!$B$3*Assumptions!$B$9)*NORMSDIST((((LN(Assumptions!$B$2/$B14)+(Assumptions!$B$3-Assumptions!$B$4+(Q$3/100)^2/2)*Assumptions!$B$9)/((Q$3/100)*Assumptions!$B$10))-(Q$3/100)*Assumptions!$B$10)))))</f>
        <v/>
      </c>
      <c r="R35" s="56">
        <f>IF((MAX(0,Assumptions!$B$2*EXP(-Assumptions!$B$4*Assumptions!$B$9)*NORMSDIST(((LN(Assumptions!$B$2/$B14)+(Assumptions!$B$3-Assumptions!$B$4+(R$3/100)^2/2)*Assumptions!$B$9)/((R$3/100)*Assumptions!$B$10)))-$B14*EXP(-Assumptions!$B$3*Assumptions!$B$9)*NORMSDIST((((LN(Assumptions!$B$2/$B14)+(Assumptions!$B$3-Assumptions!$B$4+(R$3/100)^2/2)*Assumptions!$B$9)/((R$3/100)*Assumptions!$B$10))-(R$3/100)*Assumptions!$B$10))))&lt;=0,"",(Assumptions!$B$2*EXP(-Assumptions!$B$4*Assumptions!$B$9)*NORMDIST(((LN(Assumptions!$B$2/$B14)+(Assumptions!$B$3-Assumptions!$B$4+(R$3/100)^2/2)*Assumptions!$B$9)/((R$3/100)*Assumptions!$B$10)),0,1,FALSE)*Assumptions!$B$10*0.01)*0.5/(MAX(0,Assumptions!$B$2*EXP(-Assumptions!$B$4*Assumptions!$B$9)*NORMSDIST(((LN(Assumptions!$B$2/$B14)+(Assumptions!$B$3-Assumptions!$B$4+(R$3/100)^2/2)*Assumptions!$B$9)/((R$3/100)*Assumptions!$B$10)))-$B14*EXP(-Assumptions!$B$3*Assumptions!$B$9)*NORMSDIST((((LN(Assumptions!$B$2/$B14)+(Assumptions!$B$3-Assumptions!$B$4+(R$3/100)^2/2)*Assumptions!$B$9)/((R$3/100)*Assumptions!$B$10))-(R$3/100)*Assumptions!$B$10)))))</f>
        <v/>
      </c>
      <c r="S35" s="56">
        <f>IF((MAX(0,Assumptions!$B$2*EXP(-Assumptions!$B$4*Assumptions!$B$9)*NORMSDIST(((LN(Assumptions!$B$2/$B14)+(Assumptions!$B$3-Assumptions!$B$4+(S$3/100)^2/2)*Assumptions!$B$9)/((S$3/100)*Assumptions!$B$10)))-$B14*EXP(-Assumptions!$B$3*Assumptions!$B$9)*NORMSDIST((((LN(Assumptions!$B$2/$B14)+(Assumptions!$B$3-Assumptions!$B$4+(S$3/100)^2/2)*Assumptions!$B$9)/((S$3/100)*Assumptions!$B$10))-(S$3/100)*Assumptions!$B$10))))&lt;=0,"",(Assumptions!$B$2*EXP(-Assumptions!$B$4*Assumptions!$B$9)*NORMDIST(((LN(Assumptions!$B$2/$B14)+(Assumptions!$B$3-Assumptions!$B$4+(S$3/100)^2/2)*Assumptions!$B$9)/((S$3/100)*Assumptions!$B$10)),0,1,FALSE)*Assumptions!$B$10*0.01)*0.5/(MAX(0,Assumptions!$B$2*EXP(-Assumptions!$B$4*Assumptions!$B$9)*NORMSDIST(((LN(Assumptions!$B$2/$B14)+(Assumptions!$B$3-Assumptions!$B$4+(S$3/100)^2/2)*Assumptions!$B$9)/((S$3/100)*Assumptions!$B$10)))-$B14*EXP(-Assumptions!$B$3*Assumptions!$B$9)*NORMSDIST((((LN(Assumptions!$B$2/$B14)+(Assumptions!$B$3-Assumptions!$B$4+(S$3/100)^2/2)*Assumptions!$B$9)/((S$3/100)*Assumptions!$B$10))-(S$3/100)*Assumptions!$B$10)))))</f>
        <v/>
      </c>
      <c r="T35" s="56">
        <f>IF((MAX(0,Assumptions!$B$2*EXP(-Assumptions!$B$4*Assumptions!$B$9)*NORMSDIST(((LN(Assumptions!$B$2/$B14)+(Assumptions!$B$3-Assumptions!$B$4+(T$3/100)^2/2)*Assumptions!$B$9)/((T$3/100)*Assumptions!$B$10)))-$B14*EXP(-Assumptions!$B$3*Assumptions!$B$9)*NORMSDIST((((LN(Assumptions!$B$2/$B14)+(Assumptions!$B$3-Assumptions!$B$4+(T$3/100)^2/2)*Assumptions!$B$9)/((T$3/100)*Assumptions!$B$10))-(T$3/100)*Assumptions!$B$10))))&lt;=0,"",(Assumptions!$B$2*EXP(-Assumptions!$B$4*Assumptions!$B$9)*NORMDIST(((LN(Assumptions!$B$2/$B14)+(Assumptions!$B$3-Assumptions!$B$4+(T$3/100)^2/2)*Assumptions!$B$9)/((T$3/100)*Assumptions!$B$10)),0,1,FALSE)*Assumptions!$B$10*0.01)*0.5/(MAX(0,Assumptions!$B$2*EXP(-Assumptions!$B$4*Assumptions!$B$9)*NORMSDIST(((LN(Assumptions!$B$2/$B14)+(Assumptions!$B$3-Assumptions!$B$4+(T$3/100)^2/2)*Assumptions!$B$9)/((T$3/100)*Assumptions!$B$10)))-$B14*EXP(-Assumptions!$B$3*Assumptions!$B$9)*NORMSDIST((((LN(Assumptions!$B$2/$B14)+(Assumptions!$B$3-Assumptions!$B$4+(T$3/100)^2/2)*Assumptions!$B$9)/((T$3/100)*Assumptions!$B$10))-(T$3/100)*Assumptions!$B$10)))))</f>
        <v/>
      </c>
      <c r="U35" s="56">
        <f>IF((MAX(0,Assumptions!$B$2*EXP(-Assumptions!$B$4*Assumptions!$B$9)*NORMSDIST(((LN(Assumptions!$B$2/$B14)+(Assumptions!$B$3-Assumptions!$B$4+(U$3/100)^2/2)*Assumptions!$B$9)/((U$3/100)*Assumptions!$B$10)))-$B14*EXP(-Assumptions!$B$3*Assumptions!$B$9)*NORMSDIST((((LN(Assumptions!$B$2/$B14)+(Assumptions!$B$3-Assumptions!$B$4+(U$3/100)^2/2)*Assumptions!$B$9)/((U$3/100)*Assumptions!$B$10))-(U$3/100)*Assumptions!$B$10))))&lt;=0,"",(Assumptions!$B$2*EXP(-Assumptions!$B$4*Assumptions!$B$9)*NORMDIST(((LN(Assumptions!$B$2/$B14)+(Assumptions!$B$3-Assumptions!$B$4+(U$3/100)^2/2)*Assumptions!$B$9)/((U$3/100)*Assumptions!$B$10)),0,1,FALSE)*Assumptions!$B$10*0.01)*0.5/(MAX(0,Assumptions!$B$2*EXP(-Assumptions!$B$4*Assumptions!$B$9)*NORMSDIST(((LN(Assumptions!$B$2/$B14)+(Assumptions!$B$3-Assumptions!$B$4+(U$3/100)^2/2)*Assumptions!$B$9)/((U$3/100)*Assumptions!$B$10)))-$B14*EXP(-Assumptions!$B$3*Assumptions!$B$9)*NORMSDIST((((LN(Assumptions!$B$2/$B14)+(Assumptions!$B$3-Assumptions!$B$4+(U$3/100)^2/2)*Assumptions!$B$9)/((U$3/100)*Assumptions!$B$10))-(U$3/100)*Assumptions!$B$10)))))</f>
        <v/>
      </c>
      <c r="V35" s="56">
        <f>IF((MAX(0,Assumptions!$B$2*EXP(-Assumptions!$B$4*Assumptions!$B$9)*NORMSDIST(((LN(Assumptions!$B$2/$B14)+(Assumptions!$B$3-Assumptions!$B$4+(V$3/100)^2/2)*Assumptions!$B$9)/((V$3/100)*Assumptions!$B$10)))-$B14*EXP(-Assumptions!$B$3*Assumptions!$B$9)*NORMSDIST((((LN(Assumptions!$B$2/$B14)+(Assumptions!$B$3-Assumptions!$B$4+(V$3/100)^2/2)*Assumptions!$B$9)/((V$3/100)*Assumptions!$B$10))-(V$3/100)*Assumptions!$B$10))))&lt;=0,"",(Assumptions!$B$2*EXP(-Assumptions!$B$4*Assumptions!$B$9)*NORMDIST(((LN(Assumptions!$B$2/$B14)+(Assumptions!$B$3-Assumptions!$B$4+(V$3/100)^2/2)*Assumptions!$B$9)/((V$3/100)*Assumptions!$B$10)),0,1,FALSE)*Assumptions!$B$10*0.01)*0.5/(MAX(0,Assumptions!$B$2*EXP(-Assumptions!$B$4*Assumptions!$B$9)*NORMSDIST(((LN(Assumptions!$B$2/$B14)+(Assumptions!$B$3-Assumptions!$B$4+(V$3/100)^2/2)*Assumptions!$B$9)/((V$3/100)*Assumptions!$B$10)))-$B14*EXP(-Assumptions!$B$3*Assumptions!$B$9)*NORMSDIST((((LN(Assumptions!$B$2/$B14)+(Assumptions!$B$3-Assumptions!$B$4+(V$3/100)^2/2)*Assumptions!$B$9)/((V$3/100)*Assumptions!$B$10))-(V$3/100)*Assumptions!$B$10)))))</f>
        <v/>
      </c>
      <c r="W35" s="56">
        <f>IF((MAX(0,Assumptions!$B$2*EXP(-Assumptions!$B$4*Assumptions!$B$9)*NORMSDIST(((LN(Assumptions!$B$2/$B14)+(Assumptions!$B$3-Assumptions!$B$4+(W$3/100)^2/2)*Assumptions!$B$9)/((W$3/100)*Assumptions!$B$10)))-$B14*EXP(-Assumptions!$B$3*Assumptions!$B$9)*NORMSDIST((((LN(Assumptions!$B$2/$B14)+(Assumptions!$B$3-Assumptions!$B$4+(W$3/100)^2/2)*Assumptions!$B$9)/((W$3/100)*Assumptions!$B$10))-(W$3/100)*Assumptions!$B$10))))&lt;=0,"",(Assumptions!$B$2*EXP(-Assumptions!$B$4*Assumptions!$B$9)*NORMDIST(((LN(Assumptions!$B$2/$B14)+(Assumptions!$B$3-Assumptions!$B$4+(W$3/100)^2/2)*Assumptions!$B$9)/((W$3/100)*Assumptions!$B$10)),0,1,FALSE)*Assumptions!$B$10*0.01)*0.5/(MAX(0,Assumptions!$B$2*EXP(-Assumptions!$B$4*Assumptions!$B$9)*NORMSDIST(((LN(Assumptions!$B$2/$B14)+(Assumptions!$B$3-Assumptions!$B$4+(W$3/100)^2/2)*Assumptions!$B$9)/((W$3/100)*Assumptions!$B$10)))-$B14*EXP(-Assumptions!$B$3*Assumptions!$B$9)*NORMSDIST((((LN(Assumptions!$B$2/$B14)+(Assumptions!$B$3-Assumptions!$B$4+(W$3/100)^2/2)*Assumptions!$B$9)/((W$3/100)*Assumptions!$B$10))-(W$3/100)*Assumptions!$B$10)))))</f>
        <v/>
      </c>
      <c r="X35" s="56">
        <f>IF((MAX(0,Assumptions!$B$2*EXP(-Assumptions!$B$4*Assumptions!$B$9)*NORMSDIST(((LN(Assumptions!$B$2/$B14)+(Assumptions!$B$3-Assumptions!$B$4+(X$3/100)^2/2)*Assumptions!$B$9)/((X$3/100)*Assumptions!$B$10)))-$B14*EXP(-Assumptions!$B$3*Assumptions!$B$9)*NORMSDIST((((LN(Assumptions!$B$2/$B14)+(Assumptions!$B$3-Assumptions!$B$4+(X$3/100)^2/2)*Assumptions!$B$9)/((X$3/100)*Assumptions!$B$10))-(X$3/100)*Assumptions!$B$10))))&lt;=0,"",(Assumptions!$B$2*EXP(-Assumptions!$B$4*Assumptions!$B$9)*NORMDIST(((LN(Assumptions!$B$2/$B14)+(Assumptions!$B$3-Assumptions!$B$4+(X$3/100)^2/2)*Assumptions!$B$9)/((X$3/100)*Assumptions!$B$10)),0,1,FALSE)*Assumptions!$B$10*0.01)*0.5/(MAX(0,Assumptions!$B$2*EXP(-Assumptions!$B$4*Assumptions!$B$9)*NORMSDIST(((LN(Assumptions!$B$2/$B14)+(Assumptions!$B$3-Assumptions!$B$4+(X$3/100)^2/2)*Assumptions!$B$9)/((X$3/100)*Assumptions!$B$10)))-$B14*EXP(-Assumptions!$B$3*Assumptions!$B$9)*NORMSDIST((((LN(Assumptions!$B$2/$B14)+(Assumptions!$B$3-Assumptions!$B$4+(X$3/100)^2/2)*Assumptions!$B$9)/((X$3/100)*Assumptions!$B$10))-(X$3/100)*Assumptions!$B$10)))))</f>
        <v/>
      </c>
      <c r="Y35" s="56">
        <f>IF((MAX(0,Assumptions!$B$2*EXP(-Assumptions!$B$4*Assumptions!$B$9)*NORMSDIST(((LN(Assumptions!$B$2/$B14)+(Assumptions!$B$3-Assumptions!$B$4+(Y$3/100)^2/2)*Assumptions!$B$9)/((Y$3/100)*Assumptions!$B$10)))-$B14*EXP(-Assumptions!$B$3*Assumptions!$B$9)*NORMSDIST((((LN(Assumptions!$B$2/$B14)+(Assumptions!$B$3-Assumptions!$B$4+(Y$3/100)^2/2)*Assumptions!$B$9)/((Y$3/100)*Assumptions!$B$10))-(Y$3/100)*Assumptions!$B$10))))&lt;=0,"",(Assumptions!$B$2*EXP(-Assumptions!$B$4*Assumptions!$B$9)*NORMDIST(((LN(Assumptions!$B$2/$B14)+(Assumptions!$B$3-Assumptions!$B$4+(Y$3/100)^2/2)*Assumptions!$B$9)/((Y$3/100)*Assumptions!$B$10)),0,1,FALSE)*Assumptions!$B$10*0.01)*0.5/(MAX(0,Assumptions!$B$2*EXP(-Assumptions!$B$4*Assumptions!$B$9)*NORMSDIST(((LN(Assumptions!$B$2/$B14)+(Assumptions!$B$3-Assumptions!$B$4+(Y$3/100)^2/2)*Assumptions!$B$9)/((Y$3/100)*Assumptions!$B$10)))-$B14*EXP(-Assumptions!$B$3*Assumptions!$B$9)*NORMSDIST((((LN(Assumptions!$B$2/$B14)+(Assumptions!$B$3-Assumptions!$B$4+(Y$3/100)^2/2)*Assumptions!$B$9)/((Y$3/100)*Assumptions!$B$10))-(Y$3/100)*Assumptions!$B$10)))))</f>
        <v/>
      </c>
      <c r="Z35" s="56">
        <f>IF((MAX(0,Assumptions!$B$2*EXP(-Assumptions!$B$4*Assumptions!$B$9)*NORMSDIST(((LN(Assumptions!$B$2/$B14)+(Assumptions!$B$3-Assumptions!$B$4+(Z$3/100)^2/2)*Assumptions!$B$9)/((Z$3/100)*Assumptions!$B$10)))-$B14*EXP(-Assumptions!$B$3*Assumptions!$B$9)*NORMSDIST((((LN(Assumptions!$B$2/$B14)+(Assumptions!$B$3-Assumptions!$B$4+(Z$3/100)^2/2)*Assumptions!$B$9)/((Z$3/100)*Assumptions!$B$10))-(Z$3/100)*Assumptions!$B$10))))&lt;=0,"",(Assumptions!$B$2*EXP(-Assumptions!$B$4*Assumptions!$B$9)*NORMDIST(((LN(Assumptions!$B$2/$B14)+(Assumptions!$B$3-Assumptions!$B$4+(Z$3/100)^2/2)*Assumptions!$B$9)/((Z$3/100)*Assumptions!$B$10)),0,1,FALSE)*Assumptions!$B$10*0.01)*0.5/(MAX(0,Assumptions!$B$2*EXP(-Assumptions!$B$4*Assumptions!$B$9)*NORMSDIST(((LN(Assumptions!$B$2/$B14)+(Assumptions!$B$3-Assumptions!$B$4+(Z$3/100)^2/2)*Assumptions!$B$9)/((Z$3/100)*Assumptions!$B$10)))-$B14*EXP(-Assumptions!$B$3*Assumptions!$B$9)*NORMSDIST((((LN(Assumptions!$B$2/$B14)+(Assumptions!$B$3-Assumptions!$B$4+(Z$3/100)^2/2)*Assumptions!$B$9)/((Z$3/100)*Assumptions!$B$10))-(Z$3/100)*Assumptions!$B$10)))))</f>
        <v/>
      </c>
      <c r="AA35" s="56">
        <f>IF((MAX(0,Assumptions!$B$2*EXP(-Assumptions!$B$4*Assumptions!$B$9)*NORMSDIST(((LN(Assumptions!$B$2/$B14)+(Assumptions!$B$3-Assumptions!$B$4+(AA$3/100)^2/2)*Assumptions!$B$9)/((AA$3/100)*Assumptions!$B$10)))-$B14*EXP(-Assumptions!$B$3*Assumptions!$B$9)*NORMSDIST((((LN(Assumptions!$B$2/$B14)+(Assumptions!$B$3-Assumptions!$B$4+(AA$3/100)^2/2)*Assumptions!$B$9)/((AA$3/100)*Assumptions!$B$10))-(AA$3/100)*Assumptions!$B$10))))&lt;=0,"",(Assumptions!$B$2*EXP(-Assumptions!$B$4*Assumptions!$B$9)*NORMDIST(((LN(Assumptions!$B$2/$B14)+(Assumptions!$B$3-Assumptions!$B$4+(AA$3/100)^2/2)*Assumptions!$B$9)/((AA$3/100)*Assumptions!$B$10)),0,1,FALSE)*Assumptions!$B$10*0.01)*0.5/(MAX(0,Assumptions!$B$2*EXP(-Assumptions!$B$4*Assumptions!$B$9)*NORMSDIST(((LN(Assumptions!$B$2/$B14)+(Assumptions!$B$3-Assumptions!$B$4+(AA$3/100)^2/2)*Assumptions!$B$9)/((AA$3/100)*Assumptions!$B$10)))-$B14*EXP(-Assumptions!$B$3*Assumptions!$B$9)*NORMSDIST((((LN(Assumptions!$B$2/$B14)+(Assumptions!$B$3-Assumptions!$B$4+(AA$3/100)^2/2)*Assumptions!$B$9)/((AA$3/100)*Assumptions!$B$10))-(AA$3/100)*Assumptions!$B$10)))))</f>
        <v/>
      </c>
      <c r="AB35" s="56">
        <f>IF((MAX(0,Assumptions!$B$2*EXP(-Assumptions!$B$4*Assumptions!$B$9)*NORMSDIST(((LN(Assumptions!$B$2/$B14)+(Assumptions!$B$3-Assumptions!$B$4+(AB$3/100)^2/2)*Assumptions!$B$9)/((AB$3/100)*Assumptions!$B$10)))-$B14*EXP(-Assumptions!$B$3*Assumptions!$B$9)*NORMSDIST((((LN(Assumptions!$B$2/$B14)+(Assumptions!$B$3-Assumptions!$B$4+(AB$3/100)^2/2)*Assumptions!$B$9)/((AB$3/100)*Assumptions!$B$10))-(AB$3/100)*Assumptions!$B$10))))&lt;=0,"",(Assumptions!$B$2*EXP(-Assumptions!$B$4*Assumptions!$B$9)*NORMDIST(((LN(Assumptions!$B$2/$B14)+(Assumptions!$B$3-Assumptions!$B$4+(AB$3/100)^2/2)*Assumptions!$B$9)/((AB$3/100)*Assumptions!$B$10)),0,1,FALSE)*Assumptions!$B$10*0.01)*0.5/(MAX(0,Assumptions!$B$2*EXP(-Assumptions!$B$4*Assumptions!$B$9)*NORMSDIST(((LN(Assumptions!$B$2/$B14)+(Assumptions!$B$3-Assumptions!$B$4+(AB$3/100)^2/2)*Assumptions!$B$9)/((AB$3/100)*Assumptions!$B$10)))-$B14*EXP(-Assumptions!$B$3*Assumptions!$B$9)*NORMSDIST((((LN(Assumptions!$B$2/$B14)+(Assumptions!$B$3-Assumptions!$B$4+(AB$3/100)^2/2)*Assumptions!$B$9)/((AB$3/100)*Assumptions!$B$10))-(AB$3/100)*Assumptions!$B$10)))))</f>
        <v/>
      </c>
      <c r="AC35" s="56">
        <f>IF((MAX(0,Assumptions!$B$2*EXP(-Assumptions!$B$4*Assumptions!$B$9)*NORMSDIST(((LN(Assumptions!$B$2/$B14)+(Assumptions!$B$3-Assumptions!$B$4+(AC$3/100)^2/2)*Assumptions!$B$9)/((AC$3/100)*Assumptions!$B$10)))-$B14*EXP(-Assumptions!$B$3*Assumptions!$B$9)*NORMSDIST((((LN(Assumptions!$B$2/$B14)+(Assumptions!$B$3-Assumptions!$B$4+(AC$3/100)^2/2)*Assumptions!$B$9)/((AC$3/100)*Assumptions!$B$10))-(AC$3/100)*Assumptions!$B$10))))&lt;=0,"",(Assumptions!$B$2*EXP(-Assumptions!$B$4*Assumptions!$B$9)*NORMDIST(((LN(Assumptions!$B$2/$B14)+(Assumptions!$B$3-Assumptions!$B$4+(AC$3/100)^2/2)*Assumptions!$B$9)/((AC$3/100)*Assumptions!$B$10)),0,1,FALSE)*Assumptions!$B$10*0.01)*0.5/(MAX(0,Assumptions!$B$2*EXP(-Assumptions!$B$4*Assumptions!$B$9)*NORMSDIST(((LN(Assumptions!$B$2/$B14)+(Assumptions!$B$3-Assumptions!$B$4+(AC$3/100)^2/2)*Assumptions!$B$9)/((AC$3/100)*Assumptions!$B$10)))-$B14*EXP(-Assumptions!$B$3*Assumptions!$B$9)*NORMSDIST((((LN(Assumptions!$B$2/$B14)+(Assumptions!$B$3-Assumptions!$B$4+(AC$3/100)^2/2)*Assumptions!$B$9)/((AC$3/100)*Assumptions!$B$10))-(AC$3/100)*Assumptions!$B$10)))))</f>
        <v/>
      </c>
      <c r="AD35" s="56">
        <f>IF((MAX(0,Assumptions!$B$2*EXP(-Assumptions!$B$4*Assumptions!$B$9)*NORMSDIST(((LN(Assumptions!$B$2/$B14)+(Assumptions!$B$3-Assumptions!$B$4+(AD$3/100)^2/2)*Assumptions!$B$9)/((AD$3/100)*Assumptions!$B$10)))-$B14*EXP(-Assumptions!$B$3*Assumptions!$B$9)*NORMSDIST((((LN(Assumptions!$B$2/$B14)+(Assumptions!$B$3-Assumptions!$B$4+(AD$3/100)^2/2)*Assumptions!$B$9)/((AD$3/100)*Assumptions!$B$10))-(AD$3/100)*Assumptions!$B$10))))&lt;=0,"",(Assumptions!$B$2*EXP(-Assumptions!$B$4*Assumptions!$B$9)*NORMDIST(((LN(Assumptions!$B$2/$B14)+(Assumptions!$B$3-Assumptions!$B$4+(AD$3/100)^2/2)*Assumptions!$B$9)/((AD$3/100)*Assumptions!$B$10)),0,1,FALSE)*Assumptions!$B$10*0.01)*0.5/(MAX(0,Assumptions!$B$2*EXP(-Assumptions!$B$4*Assumptions!$B$9)*NORMSDIST(((LN(Assumptions!$B$2/$B14)+(Assumptions!$B$3-Assumptions!$B$4+(AD$3/100)^2/2)*Assumptions!$B$9)/((AD$3/100)*Assumptions!$B$10)))-$B14*EXP(-Assumptions!$B$3*Assumptions!$B$9)*NORMSDIST((((LN(Assumptions!$B$2/$B14)+(Assumptions!$B$3-Assumptions!$B$4+(AD$3/100)^2/2)*Assumptions!$B$9)/((AD$3/100)*Assumptions!$B$10))-(AD$3/100)*Assumptions!$B$10)))))</f>
        <v/>
      </c>
      <c r="AE35" s="56">
        <f>IF((MAX(0,Assumptions!$B$2*EXP(-Assumptions!$B$4*Assumptions!$B$9)*NORMSDIST(((LN(Assumptions!$B$2/$B14)+(Assumptions!$B$3-Assumptions!$B$4+(AE$3/100)^2/2)*Assumptions!$B$9)/((AE$3/100)*Assumptions!$B$10)))-$B14*EXP(-Assumptions!$B$3*Assumptions!$B$9)*NORMSDIST((((LN(Assumptions!$B$2/$B14)+(Assumptions!$B$3-Assumptions!$B$4+(AE$3/100)^2/2)*Assumptions!$B$9)/((AE$3/100)*Assumptions!$B$10))-(AE$3/100)*Assumptions!$B$10))))&lt;=0,"",(Assumptions!$B$2*EXP(-Assumptions!$B$4*Assumptions!$B$9)*NORMDIST(((LN(Assumptions!$B$2/$B14)+(Assumptions!$B$3-Assumptions!$B$4+(AE$3/100)^2/2)*Assumptions!$B$9)/((AE$3/100)*Assumptions!$B$10)),0,1,FALSE)*Assumptions!$B$10*0.01)*0.5/(MAX(0,Assumptions!$B$2*EXP(-Assumptions!$B$4*Assumptions!$B$9)*NORMSDIST(((LN(Assumptions!$B$2/$B14)+(Assumptions!$B$3-Assumptions!$B$4+(AE$3/100)^2/2)*Assumptions!$B$9)/((AE$3/100)*Assumptions!$B$10)))-$B14*EXP(-Assumptions!$B$3*Assumptions!$B$9)*NORMSDIST((((LN(Assumptions!$B$2/$B14)+(Assumptions!$B$3-Assumptions!$B$4+(AE$3/100)^2/2)*Assumptions!$B$9)/((AE$3/100)*Assumptions!$B$10))-(AE$3/100)*Assumptions!$B$10)))))</f>
        <v/>
      </c>
      <c r="AF35" s="56">
        <f>IF((MAX(0,Assumptions!$B$2*EXP(-Assumptions!$B$4*Assumptions!$B$9)*NORMSDIST(((LN(Assumptions!$B$2/$B14)+(Assumptions!$B$3-Assumptions!$B$4+(AF$3/100)^2/2)*Assumptions!$B$9)/((AF$3/100)*Assumptions!$B$10)))-$B14*EXP(-Assumptions!$B$3*Assumptions!$B$9)*NORMSDIST((((LN(Assumptions!$B$2/$B14)+(Assumptions!$B$3-Assumptions!$B$4+(AF$3/100)^2/2)*Assumptions!$B$9)/((AF$3/100)*Assumptions!$B$10))-(AF$3/100)*Assumptions!$B$10))))&lt;=0,"",(Assumptions!$B$2*EXP(-Assumptions!$B$4*Assumptions!$B$9)*NORMDIST(((LN(Assumptions!$B$2/$B14)+(Assumptions!$B$3-Assumptions!$B$4+(AF$3/100)^2/2)*Assumptions!$B$9)/((AF$3/100)*Assumptions!$B$10)),0,1,FALSE)*Assumptions!$B$10*0.01)*0.5/(MAX(0,Assumptions!$B$2*EXP(-Assumptions!$B$4*Assumptions!$B$9)*NORMSDIST(((LN(Assumptions!$B$2/$B14)+(Assumptions!$B$3-Assumptions!$B$4+(AF$3/100)^2/2)*Assumptions!$B$9)/((AF$3/100)*Assumptions!$B$10)))-$B14*EXP(-Assumptions!$B$3*Assumptions!$B$9)*NORMSDIST((((LN(Assumptions!$B$2/$B14)+(Assumptions!$B$3-Assumptions!$B$4+(AF$3/100)^2/2)*Assumptions!$B$9)/((AF$3/100)*Assumptions!$B$10))-(AF$3/100)*Assumptions!$B$10)))))</f>
        <v/>
      </c>
      <c r="AG35" s="56">
        <f>IF((MAX(0,Assumptions!$B$2*EXP(-Assumptions!$B$4*Assumptions!$B$9)*NORMSDIST(((LN(Assumptions!$B$2/$B14)+(Assumptions!$B$3-Assumptions!$B$4+(AG$3/100)^2/2)*Assumptions!$B$9)/((AG$3/100)*Assumptions!$B$10)))-$B14*EXP(-Assumptions!$B$3*Assumptions!$B$9)*NORMSDIST((((LN(Assumptions!$B$2/$B14)+(Assumptions!$B$3-Assumptions!$B$4+(AG$3/100)^2/2)*Assumptions!$B$9)/((AG$3/100)*Assumptions!$B$10))-(AG$3/100)*Assumptions!$B$10))))&lt;=0,"",(Assumptions!$B$2*EXP(-Assumptions!$B$4*Assumptions!$B$9)*NORMDIST(((LN(Assumptions!$B$2/$B14)+(Assumptions!$B$3-Assumptions!$B$4+(AG$3/100)^2/2)*Assumptions!$B$9)/((AG$3/100)*Assumptions!$B$10)),0,1,FALSE)*Assumptions!$B$10*0.01)*0.5/(MAX(0,Assumptions!$B$2*EXP(-Assumptions!$B$4*Assumptions!$B$9)*NORMSDIST(((LN(Assumptions!$B$2/$B14)+(Assumptions!$B$3-Assumptions!$B$4+(AG$3/100)^2/2)*Assumptions!$B$9)/((AG$3/100)*Assumptions!$B$10)))-$B14*EXP(-Assumptions!$B$3*Assumptions!$B$9)*NORMSDIST((((LN(Assumptions!$B$2/$B14)+(Assumptions!$B$3-Assumptions!$B$4+(AG$3/100)^2/2)*Assumptions!$B$9)/((AG$3/100)*Assumptions!$B$10))-(AG$3/100)*Assumptions!$B$10)))))</f>
        <v/>
      </c>
      <c r="AH35" s="56">
        <f>IF((MAX(0,Assumptions!$B$2*EXP(-Assumptions!$B$4*Assumptions!$B$9)*NORMSDIST(((LN(Assumptions!$B$2/$B14)+(Assumptions!$B$3-Assumptions!$B$4+(AH$3/100)^2/2)*Assumptions!$B$9)/((AH$3/100)*Assumptions!$B$10)))-$B14*EXP(-Assumptions!$B$3*Assumptions!$B$9)*NORMSDIST((((LN(Assumptions!$B$2/$B14)+(Assumptions!$B$3-Assumptions!$B$4+(AH$3/100)^2/2)*Assumptions!$B$9)/((AH$3/100)*Assumptions!$B$10))-(AH$3/100)*Assumptions!$B$10))))&lt;=0,"",(Assumptions!$B$2*EXP(-Assumptions!$B$4*Assumptions!$B$9)*NORMDIST(((LN(Assumptions!$B$2/$B14)+(Assumptions!$B$3-Assumptions!$B$4+(AH$3/100)^2/2)*Assumptions!$B$9)/((AH$3/100)*Assumptions!$B$10)),0,1,FALSE)*Assumptions!$B$10*0.01)*0.5/(MAX(0,Assumptions!$B$2*EXP(-Assumptions!$B$4*Assumptions!$B$9)*NORMSDIST(((LN(Assumptions!$B$2/$B14)+(Assumptions!$B$3-Assumptions!$B$4+(AH$3/100)^2/2)*Assumptions!$B$9)/((AH$3/100)*Assumptions!$B$10)))-$B14*EXP(-Assumptions!$B$3*Assumptions!$B$9)*NORMSDIST((((LN(Assumptions!$B$2/$B14)+(Assumptions!$B$3-Assumptions!$B$4+(AH$3/100)^2/2)*Assumptions!$B$9)/((AH$3/100)*Assumptions!$B$10))-(AH$3/100)*Assumptions!$B$10)))))</f>
        <v/>
      </c>
      <c r="AI35" s="56">
        <f>IF((MAX(0,Assumptions!$B$2*EXP(-Assumptions!$B$4*Assumptions!$B$9)*NORMSDIST(((LN(Assumptions!$B$2/$B14)+(Assumptions!$B$3-Assumptions!$B$4+(AI$3/100)^2/2)*Assumptions!$B$9)/((AI$3/100)*Assumptions!$B$10)))-$B14*EXP(-Assumptions!$B$3*Assumptions!$B$9)*NORMSDIST((((LN(Assumptions!$B$2/$B14)+(Assumptions!$B$3-Assumptions!$B$4+(AI$3/100)^2/2)*Assumptions!$B$9)/((AI$3/100)*Assumptions!$B$10))-(AI$3/100)*Assumptions!$B$10))))&lt;=0,"",(Assumptions!$B$2*EXP(-Assumptions!$B$4*Assumptions!$B$9)*NORMDIST(((LN(Assumptions!$B$2/$B14)+(Assumptions!$B$3-Assumptions!$B$4+(AI$3/100)^2/2)*Assumptions!$B$9)/((AI$3/100)*Assumptions!$B$10)),0,1,FALSE)*Assumptions!$B$10*0.01)*0.5/(MAX(0,Assumptions!$B$2*EXP(-Assumptions!$B$4*Assumptions!$B$9)*NORMSDIST(((LN(Assumptions!$B$2/$B14)+(Assumptions!$B$3-Assumptions!$B$4+(AI$3/100)^2/2)*Assumptions!$B$9)/((AI$3/100)*Assumptions!$B$10)))-$B14*EXP(-Assumptions!$B$3*Assumptions!$B$9)*NORMSDIST((((LN(Assumptions!$B$2/$B14)+(Assumptions!$B$3-Assumptions!$B$4+(AI$3/100)^2/2)*Assumptions!$B$9)/((AI$3/100)*Assumptions!$B$10))-(AI$3/100)*Assumptions!$B$10)))))</f>
        <v/>
      </c>
      <c r="AJ35" s="56">
        <f>IF((MAX(0,Assumptions!$B$2*EXP(-Assumptions!$B$4*Assumptions!$B$9)*NORMSDIST(((LN(Assumptions!$B$2/$B14)+(Assumptions!$B$3-Assumptions!$B$4+(AJ$3/100)^2/2)*Assumptions!$B$9)/((AJ$3/100)*Assumptions!$B$10)))-$B14*EXP(-Assumptions!$B$3*Assumptions!$B$9)*NORMSDIST((((LN(Assumptions!$B$2/$B14)+(Assumptions!$B$3-Assumptions!$B$4+(AJ$3/100)^2/2)*Assumptions!$B$9)/((AJ$3/100)*Assumptions!$B$10))-(AJ$3/100)*Assumptions!$B$10))))&lt;=0,"",(Assumptions!$B$2*EXP(-Assumptions!$B$4*Assumptions!$B$9)*NORMDIST(((LN(Assumptions!$B$2/$B14)+(Assumptions!$B$3-Assumptions!$B$4+(AJ$3/100)^2/2)*Assumptions!$B$9)/((AJ$3/100)*Assumptions!$B$10)),0,1,FALSE)*Assumptions!$B$10*0.01)*0.5/(MAX(0,Assumptions!$B$2*EXP(-Assumptions!$B$4*Assumptions!$B$9)*NORMSDIST(((LN(Assumptions!$B$2/$B14)+(Assumptions!$B$3-Assumptions!$B$4+(AJ$3/100)^2/2)*Assumptions!$B$9)/((AJ$3/100)*Assumptions!$B$10)))-$B14*EXP(-Assumptions!$B$3*Assumptions!$B$9)*NORMSDIST((((LN(Assumptions!$B$2/$B14)+(Assumptions!$B$3-Assumptions!$B$4+(AJ$3/100)^2/2)*Assumptions!$B$9)/((AJ$3/100)*Assumptions!$B$10))-(AJ$3/100)*Assumptions!$B$10)))))</f>
        <v/>
      </c>
      <c r="AK35" s="56">
        <f>IF((MAX(0,Assumptions!$B$2*EXP(-Assumptions!$B$4*Assumptions!$B$9)*NORMSDIST(((LN(Assumptions!$B$2/$B14)+(Assumptions!$B$3-Assumptions!$B$4+(AK$3/100)^2/2)*Assumptions!$B$9)/((AK$3/100)*Assumptions!$B$10)))-$B14*EXP(-Assumptions!$B$3*Assumptions!$B$9)*NORMSDIST((((LN(Assumptions!$B$2/$B14)+(Assumptions!$B$3-Assumptions!$B$4+(AK$3/100)^2/2)*Assumptions!$B$9)/((AK$3/100)*Assumptions!$B$10))-(AK$3/100)*Assumptions!$B$10))))&lt;=0,"",(Assumptions!$B$2*EXP(-Assumptions!$B$4*Assumptions!$B$9)*NORMDIST(((LN(Assumptions!$B$2/$B14)+(Assumptions!$B$3-Assumptions!$B$4+(AK$3/100)^2/2)*Assumptions!$B$9)/((AK$3/100)*Assumptions!$B$10)),0,1,FALSE)*Assumptions!$B$10*0.01)*0.5/(MAX(0,Assumptions!$B$2*EXP(-Assumptions!$B$4*Assumptions!$B$9)*NORMSDIST(((LN(Assumptions!$B$2/$B14)+(Assumptions!$B$3-Assumptions!$B$4+(AK$3/100)^2/2)*Assumptions!$B$9)/((AK$3/100)*Assumptions!$B$10)))-$B14*EXP(-Assumptions!$B$3*Assumptions!$B$9)*NORMSDIST((((LN(Assumptions!$B$2/$B14)+(Assumptions!$B$3-Assumptions!$B$4+(AK$3/100)^2/2)*Assumptions!$B$9)/((AK$3/100)*Assumptions!$B$10))-(AK$3/100)*Assumptions!$B$10)))))</f>
        <v/>
      </c>
      <c r="AL35" s="56">
        <f>IF((MAX(0,Assumptions!$B$2*EXP(-Assumptions!$B$4*Assumptions!$B$9)*NORMSDIST(((LN(Assumptions!$B$2/$B14)+(Assumptions!$B$3-Assumptions!$B$4+(AL$3/100)^2/2)*Assumptions!$B$9)/((AL$3/100)*Assumptions!$B$10)))-$B14*EXP(-Assumptions!$B$3*Assumptions!$B$9)*NORMSDIST((((LN(Assumptions!$B$2/$B14)+(Assumptions!$B$3-Assumptions!$B$4+(AL$3/100)^2/2)*Assumptions!$B$9)/((AL$3/100)*Assumptions!$B$10))-(AL$3/100)*Assumptions!$B$10))))&lt;=0,"",(Assumptions!$B$2*EXP(-Assumptions!$B$4*Assumptions!$B$9)*NORMDIST(((LN(Assumptions!$B$2/$B14)+(Assumptions!$B$3-Assumptions!$B$4+(AL$3/100)^2/2)*Assumptions!$B$9)/((AL$3/100)*Assumptions!$B$10)),0,1,FALSE)*Assumptions!$B$10*0.01)*0.5/(MAX(0,Assumptions!$B$2*EXP(-Assumptions!$B$4*Assumptions!$B$9)*NORMSDIST(((LN(Assumptions!$B$2/$B14)+(Assumptions!$B$3-Assumptions!$B$4+(AL$3/100)^2/2)*Assumptions!$B$9)/((AL$3/100)*Assumptions!$B$10)))-$B14*EXP(-Assumptions!$B$3*Assumptions!$B$9)*NORMSDIST((((LN(Assumptions!$B$2/$B14)+(Assumptions!$B$3-Assumptions!$B$4+(AL$3/100)^2/2)*Assumptions!$B$9)/((AL$3/100)*Assumptions!$B$10))-(AL$3/100)*Assumptions!$B$10)))))</f>
        <v/>
      </c>
      <c r="AM35" s="56">
        <f>IF((MAX(0,Assumptions!$B$2*EXP(-Assumptions!$B$4*Assumptions!$B$9)*NORMSDIST(((LN(Assumptions!$B$2/$B14)+(Assumptions!$B$3-Assumptions!$B$4+(AM$3/100)^2/2)*Assumptions!$B$9)/((AM$3/100)*Assumptions!$B$10)))-$B14*EXP(-Assumptions!$B$3*Assumptions!$B$9)*NORMSDIST((((LN(Assumptions!$B$2/$B14)+(Assumptions!$B$3-Assumptions!$B$4+(AM$3/100)^2/2)*Assumptions!$B$9)/((AM$3/100)*Assumptions!$B$10))-(AM$3/100)*Assumptions!$B$10))))&lt;=0,"",(Assumptions!$B$2*EXP(-Assumptions!$B$4*Assumptions!$B$9)*NORMDIST(((LN(Assumptions!$B$2/$B14)+(Assumptions!$B$3-Assumptions!$B$4+(AM$3/100)^2/2)*Assumptions!$B$9)/((AM$3/100)*Assumptions!$B$10)),0,1,FALSE)*Assumptions!$B$10*0.01)*0.5/(MAX(0,Assumptions!$B$2*EXP(-Assumptions!$B$4*Assumptions!$B$9)*NORMSDIST(((LN(Assumptions!$B$2/$B14)+(Assumptions!$B$3-Assumptions!$B$4+(AM$3/100)^2/2)*Assumptions!$B$9)/((AM$3/100)*Assumptions!$B$10)))-$B14*EXP(-Assumptions!$B$3*Assumptions!$B$9)*NORMSDIST((((LN(Assumptions!$B$2/$B14)+(Assumptions!$B$3-Assumptions!$B$4+(AM$3/100)^2/2)*Assumptions!$B$9)/((AM$3/100)*Assumptions!$B$10))-(AM$3/100)*Assumptions!$B$10)))))</f>
        <v/>
      </c>
      <c r="AN35" s="56">
        <f>IF((MAX(0,Assumptions!$B$2*EXP(-Assumptions!$B$4*Assumptions!$B$9)*NORMSDIST(((LN(Assumptions!$B$2/$B14)+(Assumptions!$B$3-Assumptions!$B$4+(AN$3/100)^2/2)*Assumptions!$B$9)/((AN$3/100)*Assumptions!$B$10)))-$B14*EXP(-Assumptions!$B$3*Assumptions!$B$9)*NORMSDIST((((LN(Assumptions!$B$2/$B14)+(Assumptions!$B$3-Assumptions!$B$4+(AN$3/100)^2/2)*Assumptions!$B$9)/((AN$3/100)*Assumptions!$B$10))-(AN$3/100)*Assumptions!$B$10))))&lt;=0,"",(Assumptions!$B$2*EXP(-Assumptions!$B$4*Assumptions!$B$9)*NORMDIST(((LN(Assumptions!$B$2/$B14)+(Assumptions!$B$3-Assumptions!$B$4+(AN$3/100)^2/2)*Assumptions!$B$9)/((AN$3/100)*Assumptions!$B$10)),0,1,FALSE)*Assumptions!$B$10*0.01)*0.5/(MAX(0,Assumptions!$B$2*EXP(-Assumptions!$B$4*Assumptions!$B$9)*NORMSDIST(((LN(Assumptions!$B$2/$B14)+(Assumptions!$B$3-Assumptions!$B$4+(AN$3/100)^2/2)*Assumptions!$B$9)/((AN$3/100)*Assumptions!$B$10)))-$B14*EXP(-Assumptions!$B$3*Assumptions!$B$9)*NORMSDIST((((LN(Assumptions!$B$2/$B14)+(Assumptions!$B$3-Assumptions!$B$4+(AN$3/100)^2/2)*Assumptions!$B$9)/((AN$3/100)*Assumptions!$B$10))-(AN$3/100)*Assumptions!$B$10)))))</f>
        <v/>
      </c>
      <c r="AO35" s="56">
        <f>IF((MAX(0,Assumptions!$B$2*EXP(-Assumptions!$B$4*Assumptions!$B$9)*NORMSDIST(((LN(Assumptions!$B$2/$B14)+(Assumptions!$B$3-Assumptions!$B$4+(AO$3/100)^2/2)*Assumptions!$B$9)/((AO$3/100)*Assumptions!$B$10)))-$B14*EXP(-Assumptions!$B$3*Assumptions!$B$9)*NORMSDIST((((LN(Assumptions!$B$2/$B14)+(Assumptions!$B$3-Assumptions!$B$4+(AO$3/100)^2/2)*Assumptions!$B$9)/((AO$3/100)*Assumptions!$B$10))-(AO$3/100)*Assumptions!$B$10))))&lt;=0,"",(Assumptions!$B$2*EXP(-Assumptions!$B$4*Assumptions!$B$9)*NORMDIST(((LN(Assumptions!$B$2/$B14)+(Assumptions!$B$3-Assumptions!$B$4+(AO$3/100)^2/2)*Assumptions!$B$9)/((AO$3/100)*Assumptions!$B$10)),0,1,FALSE)*Assumptions!$B$10*0.01)*0.5/(MAX(0,Assumptions!$B$2*EXP(-Assumptions!$B$4*Assumptions!$B$9)*NORMSDIST(((LN(Assumptions!$B$2/$B14)+(Assumptions!$B$3-Assumptions!$B$4+(AO$3/100)^2/2)*Assumptions!$B$9)/((AO$3/100)*Assumptions!$B$10)))-$B14*EXP(-Assumptions!$B$3*Assumptions!$B$9)*NORMSDIST((((LN(Assumptions!$B$2/$B14)+(Assumptions!$B$3-Assumptions!$B$4+(AO$3/100)^2/2)*Assumptions!$B$9)/((AO$3/100)*Assumptions!$B$10))-(AO$3/100)*Assumptions!$B$10)))))</f>
        <v/>
      </c>
      <c r="AP35" s="56">
        <f>IF((MAX(0,Assumptions!$B$2*EXP(-Assumptions!$B$4*Assumptions!$B$9)*NORMSDIST(((LN(Assumptions!$B$2/$B14)+(Assumptions!$B$3-Assumptions!$B$4+(AP$3/100)^2/2)*Assumptions!$B$9)/((AP$3/100)*Assumptions!$B$10)))-$B14*EXP(-Assumptions!$B$3*Assumptions!$B$9)*NORMSDIST((((LN(Assumptions!$B$2/$B14)+(Assumptions!$B$3-Assumptions!$B$4+(AP$3/100)^2/2)*Assumptions!$B$9)/((AP$3/100)*Assumptions!$B$10))-(AP$3/100)*Assumptions!$B$10))))&lt;=0,"",(Assumptions!$B$2*EXP(-Assumptions!$B$4*Assumptions!$B$9)*NORMDIST(((LN(Assumptions!$B$2/$B14)+(Assumptions!$B$3-Assumptions!$B$4+(AP$3/100)^2/2)*Assumptions!$B$9)/((AP$3/100)*Assumptions!$B$10)),0,1,FALSE)*Assumptions!$B$10*0.01)*0.5/(MAX(0,Assumptions!$B$2*EXP(-Assumptions!$B$4*Assumptions!$B$9)*NORMSDIST(((LN(Assumptions!$B$2/$B14)+(Assumptions!$B$3-Assumptions!$B$4+(AP$3/100)^2/2)*Assumptions!$B$9)/((AP$3/100)*Assumptions!$B$10)))-$B14*EXP(-Assumptions!$B$3*Assumptions!$B$9)*NORMSDIST((((LN(Assumptions!$B$2/$B14)+(Assumptions!$B$3-Assumptions!$B$4+(AP$3/100)^2/2)*Assumptions!$B$9)/((AP$3/100)*Assumptions!$B$10))-(AP$3/100)*Assumptions!$B$10)))))</f>
        <v/>
      </c>
      <c r="AQ35" s="56">
        <f>IF((MAX(0,Assumptions!$B$2*EXP(-Assumptions!$B$4*Assumptions!$B$9)*NORMSDIST(((LN(Assumptions!$B$2/$B14)+(Assumptions!$B$3-Assumptions!$B$4+(AQ$3/100)^2/2)*Assumptions!$B$9)/((AQ$3/100)*Assumptions!$B$10)))-$B14*EXP(-Assumptions!$B$3*Assumptions!$B$9)*NORMSDIST((((LN(Assumptions!$B$2/$B14)+(Assumptions!$B$3-Assumptions!$B$4+(AQ$3/100)^2/2)*Assumptions!$B$9)/((AQ$3/100)*Assumptions!$B$10))-(AQ$3/100)*Assumptions!$B$10))))&lt;=0,"",(Assumptions!$B$2*EXP(-Assumptions!$B$4*Assumptions!$B$9)*NORMDIST(((LN(Assumptions!$B$2/$B14)+(Assumptions!$B$3-Assumptions!$B$4+(AQ$3/100)^2/2)*Assumptions!$B$9)/((AQ$3/100)*Assumptions!$B$10)),0,1,FALSE)*Assumptions!$B$10*0.01)*0.5/(MAX(0,Assumptions!$B$2*EXP(-Assumptions!$B$4*Assumptions!$B$9)*NORMSDIST(((LN(Assumptions!$B$2/$B14)+(Assumptions!$B$3-Assumptions!$B$4+(AQ$3/100)^2/2)*Assumptions!$B$9)/((AQ$3/100)*Assumptions!$B$10)))-$B14*EXP(-Assumptions!$B$3*Assumptions!$B$9)*NORMSDIST((((LN(Assumptions!$B$2/$B14)+(Assumptions!$B$3-Assumptions!$B$4+(AQ$3/100)^2/2)*Assumptions!$B$9)/((AQ$3/100)*Assumptions!$B$10))-(AQ$3/100)*Assumptions!$B$10)))))</f>
        <v/>
      </c>
      <c r="AR35" s="56">
        <f>IF((MAX(0,Assumptions!$B$2*EXP(-Assumptions!$B$4*Assumptions!$B$9)*NORMSDIST(((LN(Assumptions!$B$2/$B14)+(Assumptions!$B$3-Assumptions!$B$4+(AR$3/100)^2/2)*Assumptions!$B$9)/((AR$3/100)*Assumptions!$B$10)))-$B14*EXP(-Assumptions!$B$3*Assumptions!$B$9)*NORMSDIST((((LN(Assumptions!$B$2/$B14)+(Assumptions!$B$3-Assumptions!$B$4+(AR$3/100)^2/2)*Assumptions!$B$9)/((AR$3/100)*Assumptions!$B$10))-(AR$3/100)*Assumptions!$B$10))))&lt;=0,"",(Assumptions!$B$2*EXP(-Assumptions!$B$4*Assumptions!$B$9)*NORMDIST(((LN(Assumptions!$B$2/$B14)+(Assumptions!$B$3-Assumptions!$B$4+(AR$3/100)^2/2)*Assumptions!$B$9)/((AR$3/100)*Assumptions!$B$10)),0,1,FALSE)*Assumptions!$B$10*0.01)*0.5/(MAX(0,Assumptions!$B$2*EXP(-Assumptions!$B$4*Assumptions!$B$9)*NORMSDIST(((LN(Assumptions!$B$2/$B14)+(Assumptions!$B$3-Assumptions!$B$4+(AR$3/100)^2/2)*Assumptions!$B$9)/((AR$3/100)*Assumptions!$B$10)))-$B14*EXP(-Assumptions!$B$3*Assumptions!$B$9)*NORMSDIST((((LN(Assumptions!$B$2/$B14)+(Assumptions!$B$3-Assumptions!$B$4+(AR$3/100)^2/2)*Assumptions!$B$9)/((AR$3/100)*Assumptions!$B$10))-(AR$3/100)*Assumptions!$B$10)))))</f>
        <v/>
      </c>
      <c r="AS35" s="56">
        <f>IF((MAX(0,Assumptions!$B$2*EXP(-Assumptions!$B$4*Assumptions!$B$9)*NORMSDIST(((LN(Assumptions!$B$2/$B14)+(Assumptions!$B$3-Assumptions!$B$4+(AS$3/100)^2/2)*Assumptions!$B$9)/((AS$3/100)*Assumptions!$B$10)))-$B14*EXP(-Assumptions!$B$3*Assumptions!$B$9)*NORMSDIST((((LN(Assumptions!$B$2/$B14)+(Assumptions!$B$3-Assumptions!$B$4+(AS$3/100)^2/2)*Assumptions!$B$9)/((AS$3/100)*Assumptions!$B$10))-(AS$3/100)*Assumptions!$B$10))))&lt;=0,"",(Assumptions!$B$2*EXP(-Assumptions!$B$4*Assumptions!$B$9)*NORMDIST(((LN(Assumptions!$B$2/$B14)+(Assumptions!$B$3-Assumptions!$B$4+(AS$3/100)^2/2)*Assumptions!$B$9)/((AS$3/100)*Assumptions!$B$10)),0,1,FALSE)*Assumptions!$B$10*0.01)*0.5/(MAX(0,Assumptions!$B$2*EXP(-Assumptions!$B$4*Assumptions!$B$9)*NORMSDIST(((LN(Assumptions!$B$2/$B14)+(Assumptions!$B$3-Assumptions!$B$4+(AS$3/100)^2/2)*Assumptions!$B$9)/((AS$3/100)*Assumptions!$B$10)))-$B14*EXP(-Assumptions!$B$3*Assumptions!$B$9)*NORMSDIST((((LN(Assumptions!$B$2/$B14)+(Assumptions!$B$3-Assumptions!$B$4+(AS$3/100)^2/2)*Assumptions!$B$9)/((AS$3/100)*Assumptions!$B$10))-(AS$3/100)*Assumptions!$B$10)))))</f>
        <v/>
      </c>
      <c r="AT35" s="56">
        <f>IF((MAX(0,Assumptions!$B$2*EXP(-Assumptions!$B$4*Assumptions!$B$9)*NORMSDIST(((LN(Assumptions!$B$2/$B14)+(Assumptions!$B$3-Assumptions!$B$4+(AT$3/100)^2/2)*Assumptions!$B$9)/((AT$3/100)*Assumptions!$B$10)))-$B14*EXP(-Assumptions!$B$3*Assumptions!$B$9)*NORMSDIST((((LN(Assumptions!$B$2/$B14)+(Assumptions!$B$3-Assumptions!$B$4+(AT$3/100)^2/2)*Assumptions!$B$9)/((AT$3/100)*Assumptions!$B$10))-(AT$3/100)*Assumptions!$B$10))))&lt;=0,"",(Assumptions!$B$2*EXP(-Assumptions!$B$4*Assumptions!$B$9)*NORMDIST(((LN(Assumptions!$B$2/$B14)+(Assumptions!$B$3-Assumptions!$B$4+(AT$3/100)^2/2)*Assumptions!$B$9)/((AT$3/100)*Assumptions!$B$10)),0,1,FALSE)*Assumptions!$B$10*0.01)*0.5/(MAX(0,Assumptions!$B$2*EXP(-Assumptions!$B$4*Assumptions!$B$9)*NORMSDIST(((LN(Assumptions!$B$2/$B14)+(Assumptions!$B$3-Assumptions!$B$4+(AT$3/100)^2/2)*Assumptions!$B$9)/((AT$3/100)*Assumptions!$B$10)))-$B14*EXP(-Assumptions!$B$3*Assumptions!$B$9)*NORMSDIST((((LN(Assumptions!$B$2/$B14)+(Assumptions!$B$3-Assumptions!$B$4+(AT$3/100)^2/2)*Assumptions!$B$9)/((AT$3/100)*Assumptions!$B$10))-(AT$3/100)*Assumptions!$B$10)))))</f>
        <v/>
      </c>
      <c r="AU35" s="56">
        <f>IF((MAX(0,Assumptions!$B$2*EXP(-Assumptions!$B$4*Assumptions!$B$9)*NORMSDIST(((LN(Assumptions!$B$2/$B14)+(Assumptions!$B$3-Assumptions!$B$4+(AU$3/100)^2/2)*Assumptions!$B$9)/((AU$3/100)*Assumptions!$B$10)))-$B14*EXP(-Assumptions!$B$3*Assumptions!$B$9)*NORMSDIST((((LN(Assumptions!$B$2/$B14)+(Assumptions!$B$3-Assumptions!$B$4+(AU$3/100)^2/2)*Assumptions!$B$9)/((AU$3/100)*Assumptions!$B$10))-(AU$3/100)*Assumptions!$B$10))))&lt;=0,"",(Assumptions!$B$2*EXP(-Assumptions!$B$4*Assumptions!$B$9)*NORMDIST(((LN(Assumptions!$B$2/$B14)+(Assumptions!$B$3-Assumptions!$B$4+(AU$3/100)^2/2)*Assumptions!$B$9)/((AU$3/100)*Assumptions!$B$10)),0,1,FALSE)*Assumptions!$B$10*0.01)*0.5/(MAX(0,Assumptions!$B$2*EXP(-Assumptions!$B$4*Assumptions!$B$9)*NORMSDIST(((LN(Assumptions!$B$2/$B14)+(Assumptions!$B$3-Assumptions!$B$4+(AU$3/100)^2/2)*Assumptions!$B$9)/((AU$3/100)*Assumptions!$B$10)))-$B14*EXP(-Assumptions!$B$3*Assumptions!$B$9)*NORMSDIST((((LN(Assumptions!$B$2/$B14)+(Assumptions!$B$3-Assumptions!$B$4+(AU$3/100)^2/2)*Assumptions!$B$9)/((AU$3/100)*Assumptions!$B$10))-(AU$3/100)*Assumptions!$B$10)))))</f>
        <v/>
      </c>
      <c r="AV35" s="56">
        <f>IF((MAX(0,Assumptions!$B$2*EXP(-Assumptions!$B$4*Assumptions!$B$9)*NORMSDIST(((LN(Assumptions!$B$2/$B14)+(Assumptions!$B$3-Assumptions!$B$4+(AV$3/100)^2/2)*Assumptions!$B$9)/((AV$3/100)*Assumptions!$B$10)))-$B14*EXP(-Assumptions!$B$3*Assumptions!$B$9)*NORMSDIST((((LN(Assumptions!$B$2/$B14)+(Assumptions!$B$3-Assumptions!$B$4+(AV$3/100)^2/2)*Assumptions!$B$9)/((AV$3/100)*Assumptions!$B$10))-(AV$3/100)*Assumptions!$B$10))))&lt;=0,"",(Assumptions!$B$2*EXP(-Assumptions!$B$4*Assumptions!$B$9)*NORMDIST(((LN(Assumptions!$B$2/$B14)+(Assumptions!$B$3-Assumptions!$B$4+(AV$3/100)^2/2)*Assumptions!$B$9)/((AV$3/100)*Assumptions!$B$10)),0,1,FALSE)*Assumptions!$B$10*0.01)*0.5/(MAX(0,Assumptions!$B$2*EXP(-Assumptions!$B$4*Assumptions!$B$9)*NORMSDIST(((LN(Assumptions!$B$2/$B14)+(Assumptions!$B$3-Assumptions!$B$4+(AV$3/100)^2/2)*Assumptions!$B$9)/((AV$3/100)*Assumptions!$B$10)))-$B14*EXP(-Assumptions!$B$3*Assumptions!$B$9)*NORMSDIST((((LN(Assumptions!$B$2/$B14)+(Assumptions!$B$3-Assumptions!$B$4+(AV$3/100)^2/2)*Assumptions!$B$9)/((AV$3/100)*Assumptions!$B$10))-(AV$3/100)*Assumptions!$B$10)))))</f>
        <v/>
      </c>
    </row>
    <row r="36">
      <c r="A36" s="27" t="inlineStr">
        <is>
          <t>+0.75%</t>
        </is>
      </c>
      <c r="B36" s="47">
        <f>'BS Engine'!$B$13</f>
        <v/>
      </c>
      <c r="C36" s="28">
        <f>'BS Engine'!$C$13</f>
        <v/>
      </c>
      <c r="D36" s="55">
        <f>IF((MAX(0,Assumptions!$B$2*EXP(-Assumptions!$B$4*Assumptions!$B$9)*NORMSDIST(((LN(Assumptions!$B$2/$B15)+(Assumptions!$B$3-Assumptions!$B$4+(D$3/100)^2/2)*Assumptions!$B$9)/((D$3/100)*Assumptions!$B$10)))-$B15*EXP(-Assumptions!$B$3*Assumptions!$B$9)*NORMSDIST((((LN(Assumptions!$B$2/$B15)+(Assumptions!$B$3-Assumptions!$B$4+(D$3/100)^2/2)*Assumptions!$B$9)/((D$3/100)*Assumptions!$B$10))-(D$3/100)*Assumptions!$B$10))))&lt;=0,"",(Assumptions!$B$2*EXP(-Assumptions!$B$4*Assumptions!$B$9)*NORMDIST(((LN(Assumptions!$B$2/$B15)+(Assumptions!$B$3-Assumptions!$B$4+(D$3/100)^2/2)*Assumptions!$B$9)/((D$3/100)*Assumptions!$B$10)),0,1,FALSE)*Assumptions!$B$10*0.01)*0.5/(MAX(0,Assumptions!$B$2*EXP(-Assumptions!$B$4*Assumptions!$B$9)*NORMSDIST(((LN(Assumptions!$B$2/$B15)+(Assumptions!$B$3-Assumptions!$B$4+(D$3/100)^2/2)*Assumptions!$B$9)/((D$3/100)*Assumptions!$B$10)))-$B15*EXP(-Assumptions!$B$3*Assumptions!$B$9)*NORMSDIST((((LN(Assumptions!$B$2/$B15)+(Assumptions!$B$3-Assumptions!$B$4+(D$3/100)^2/2)*Assumptions!$B$9)/((D$3/100)*Assumptions!$B$10))-(D$3/100)*Assumptions!$B$10)))))</f>
        <v/>
      </c>
      <c r="E36" s="56">
        <f>IF((MAX(0,Assumptions!$B$2*EXP(-Assumptions!$B$4*Assumptions!$B$9)*NORMSDIST(((LN(Assumptions!$B$2/$B15)+(Assumptions!$B$3-Assumptions!$B$4+(E$3/100)^2/2)*Assumptions!$B$9)/((E$3/100)*Assumptions!$B$10)))-$B15*EXP(-Assumptions!$B$3*Assumptions!$B$9)*NORMSDIST((((LN(Assumptions!$B$2/$B15)+(Assumptions!$B$3-Assumptions!$B$4+(E$3/100)^2/2)*Assumptions!$B$9)/((E$3/100)*Assumptions!$B$10))-(E$3/100)*Assumptions!$B$10))))&lt;=0,"",(Assumptions!$B$2*EXP(-Assumptions!$B$4*Assumptions!$B$9)*NORMDIST(((LN(Assumptions!$B$2/$B15)+(Assumptions!$B$3-Assumptions!$B$4+(E$3/100)^2/2)*Assumptions!$B$9)/((E$3/100)*Assumptions!$B$10)),0,1,FALSE)*Assumptions!$B$10*0.01)*0.5/(MAX(0,Assumptions!$B$2*EXP(-Assumptions!$B$4*Assumptions!$B$9)*NORMSDIST(((LN(Assumptions!$B$2/$B15)+(Assumptions!$B$3-Assumptions!$B$4+(E$3/100)^2/2)*Assumptions!$B$9)/((E$3/100)*Assumptions!$B$10)))-$B15*EXP(-Assumptions!$B$3*Assumptions!$B$9)*NORMSDIST((((LN(Assumptions!$B$2/$B15)+(Assumptions!$B$3-Assumptions!$B$4+(E$3/100)^2/2)*Assumptions!$B$9)/((E$3/100)*Assumptions!$B$10))-(E$3/100)*Assumptions!$B$10)))))</f>
        <v/>
      </c>
      <c r="F36" s="56">
        <f>IF((MAX(0,Assumptions!$B$2*EXP(-Assumptions!$B$4*Assumptions!$B$9)*NORMSDIST(((LN(Assumptions!$B$2/$B15)+(Assumptions!$B$3-Assumptions!$B$4+(F$3/100)^2/2)*Assumptions!$B$9)/((F$3/100)*Assumptions!$B$10)))-$B15*EXP(-Assumptions!$B$3*Assumptions!$B$9)*NORMSDIST((((LN(Assumptions!$B$2/$B15)+(Assumptions!$B$3-Assumptions!$B$4+(F$3/100)^2/2)*Assumptions!$B$9)/((F$3/100)*Assumptions!$B$10))-(F$3/100)*Assumptions!$B$10))))&lt;=0,"",(Assumptions!$B$2*EXP(-Assumptions!$B$4*Assumptions!$B$9)*NORMDIST(((LN(Assumptions!$B$2/$B15)+(Assumptions!$B$3-Assumptions!$B$4+(F$3/100)^2/2)*Assumptions!$B$9)/((F$3/100)*Assumptions!$B$10)),0,1,FALSE)*Assumptions!$B$10*0.01)*0.5/(MAX(0,Assumptions!$B$2*EXP(-Assumptions!$B$4*Assumptions!$B$9)*NORMSDIST(((LN(Assumptions!$B$2/$B15)+(Assumptions!$B$3-Assumptions!$B$4+(F$3/100)^2/2)*Assumptions!$B$9)/((F$3/100)*Assumptions!$B$10)))-$B15*EXP(-Assumptions!$B$3*Assumptions!$B$9)*NORMSDIST((((LN(Assumptions!$B$2/$B15)+(Assumptions!$B$3-Assumptions!$B$4+(F$3/100)^2/2)*Assumptions!$B$9)/((F$3/100)*Assumptions!$B$10))-(F$3/100)*Assumptions!$B$10)))))</f>
        <v/>
      </c>
      <c r="G36" s="56">
        <f>IF((MAX(0,Assumptions!$B$2*EXP(-Assumptions!$B$4*Assumptions!$B$9)*NORMSDIST(((LN(Assumptions!$B$2/$B15)+(Assumptions!$B$3-Assumptions!$B$4+(G$3/100)^2/2)*Assumptions!$B$9)/((G$3/100)*Assumptions!$B$10)))-$B15*EXP(-Assumptions!$B$3*Assumptions!$B$9)*NORMSDIST((((LN(Assumptions!$B$2/$B15)+(Assumptions!$B$3-Assumptions!$B$4+(G$3/100)^2/2)*Assumptions!$B$9)/((G$3/100)*Assumptions!$B$10))-(G$3/100)*Assumptions!$B$10))))&lt;=0,"",(Assumptions!$B$2*EXP(-Assumptions!$B$4*Assumptions!$B$9)*NORMDIST(((LN(Assumptions!$B$2/$B15)+(Assumptions!$B$3-Assumptions!$B$4+(G$3/100)^2/2)*Assumptions!$B$9)/((G$3/100)*Assumptions!$B$10)),0,1,FALSE)*Assumptions!$B$10*0.01)*0.5/(MAX(0,Assumptions!$B$2*EXP(-Assumptions!$B$4*Assumptions!$B$9)*NORMSDIST(((LN(Assumptions!$B$2/$B15)+(Assumptions!$B$3-Assumptions!$B$4+(G$3/100)^2/2)*Assumptions!$B$9)/((G$3/100)*Assumptions!$B$10)))-$B15*EXP(-Assumptions!$B$3*Assumptions!$B$9)*NORMSDIST((((LN(Assumptions!$B$2/$B15)+(Assumptions!$B$3-Assumptions!$B$4+(G$3/100)^2/2)*Assumptions!$B$9)/((G$3/100)*Assumptions!$B$10))-(G$3/100)*Assumptions!$B$10)))))</f>
        <v/>
      </c>
      <c r="H36" s="56">
        <f>IF((MAX(0,Assumptions!$B$2*EXP(-Assumptions!$B$4*Assumptions!$B$9)*NORMSDIST(((LN(Assumptions!$B$2/$B15)+(Assumptions!$B$3-Assumptions!$B$4+(H$3/100)^2/2)*Assumptions!$B$9)/((H$3/100)*Assumptions!$B$10)))-$B15*EXP(-Assumptions!$B$3*Assumptions!$B$9)*NORMSDIST((((LN(Assumptions!$B$2/$B15)+(Assumptions!$B$3-Assumptions!$B$4+(H$3/100)^2/2)*Assumptions!$B$9)/((H$3/100)*Assumptions!$B$10))-(H$3/100)*Assumptions!$B$10))))&lt;=0,"",(Assumptions!$B$2*EXP(-Assumptions!$B$4*Assumptions!$B$9)*NORMDIST(((LN(Assumptions!$B$2/$B15)+(Assumptions!$B$3-Assumptions!$B$4+(H$3/100)^2/2)*Assumptions!$B$9)/((H$3/100)*Assumptions!$B$10)),0,1,FALSE)*Assumptions!$B$10*0.01)*0.5/(MAX(0,Assumptions!$B$2*EXP(-Assumptions!$B$4*Assumptions!$B$9)*NORMSDIST(((LN(Assumptions!$B$2/$B15)+(Assumptions!$B$3-Assumptions!$B$4+(H$3/100)^2/2)*Assumptions!$B$9)/((H$3/100)*Assumptions!$B$10)))-$B15*EXP(-Assumptions!$B$3*Assumptions!$B$9)*NORMSDIST((((LN(Assumptions!$B$2/$B15)+(Assumptions!$B$3-Assumptions!$B$4+(H$3/100)^2/2)*Assumptions!$B$9)/((H$3/100)*Assumptions!$B$10))-(H$3/100)*Assumptions!$B$10)))))</f>
        <v/>
      </c>
      <c r="I36" s="56">
        <f>IF((MAX(0,Assumptions!$B$2*EXP(-Assumptions!$B$4*Assumptions!$B$9)*NORMSDIST(((LN(Assumptions!$B$2/$B15)+(Assumptions!$B$3-Assumptions!$B$4+(I$3/100)^2/2)*Assumptions!$B$9)/((I$3/100)*Assumptions!$B$10)))-$B15*EXP(-Assumptions!$B$3*Assumptions!$B$9)*NORMSDIST((((LN(Assumptions!$B$2/$B15)+(Assumptions!$B$3-Assumptions!$B$4+(I$3/100)^2/2)*Assumptions!$B$9)/((I$3/100)*Assumptions!$B$10))-(I$3/100)*Assumptions!$B$10))))&lt;=0,"",(Assumptions!$B$2*EXP(-Assumptions!$B$4*Assumptions!$B$9)*NORMDIST(((LN(Assumptions!$B$2/$B15)+(Assumptions!$B$3-Assumptions!$B$4+(I$3/100)^2/2)*Assumptions!$B$9)/((I$3/100)*Assumptions!$B$10)),0,1,FALSE)*Assumptions!$B$10*0.01)*0.5/(MAX(0,Assumptions!$B$2*EXP(-Assumptions!$B$4*Assumptions!$B$9)*NORMSDIST(((LN(Assumptions!$B$2/$B15)+(Assumptions!$B$3-Assumptions!$B$4+(I$3/100)^2/2)*Assumptions!$B$9)/((I$3/100)*Assumptions!$B$10)))-$B15*EXP(-Assumptions!$B$3*Assumptions!$B$9)*NORMSDIST((((LN(Assumptions!$B$2/$B15)+(Assumptions!$B$3-Assumptions!$B$4+(I$3/100)^2/2)*Assumptions!$B$9)/((I$3/100)*Assumptions!$B$10))-(I$3/100)*Assumptions!$B$10)))))</f>
        <v/>
      </c>
      <c r="J36" s="56">
        <f>IF((MAX(0,Assumptions!$B$2*EXP(-Assumptions!$B$4*Assumptions!$B$9)*NORMSDIST(((LN(Assumptions!$B$2/$B15)+(Assumptions!$B$3-Assumptions!$B$4+(J$3/100)^2/2)*Assumptions!$B$9)/((J$3/100)*Assumptions!$B$10)))-$B15*EXP(-Assumptions!$B$3*Assumptions!$B$9)*NORMSDIST((((LN(Assumptions!$B$2/$B15)+(Assumptions!$B$3-Assumptions!$B$4+(J$3/100)^2/2)*Assumptions!$B$9)/((J$3/100)*Assumptions!$B$10))-(J$3/100)*Assumptions!$B$10))))&lt;=0,"",(Assumptions!$B$2*EXP(-Assumptions!$B$4*Assumptions!$B$9)*NORMDIST(((LN(Assumptions!$B$2/$B15)+(Assumptions!$B$3-Assumptions!$B$4+(J$3/100)^2/2)*Assumptions!$B$9)/((J$3/100)*Assumptions!$B$10)),0,1,FALSE)*Assumptions!$B$10*0.01)*0.5/(MAX(0,Assumptions!$B$2*EXP(-Assumptions!$B$4*Assumptions!$B$9)*NORMSDIST(((LN(Assumptions!$B$2/$B15)+(Assumptions!$B$3-Assumptions!$B$4+(J$3/100)^2/2)*Assumptions!$B$9)/((J$3/100)*Assumptions!$B$10)))-$B15*EXP(-Assumptions!$B$3*Assumptions!$B$9)*NORMSDIST((((LN(Assumptions!$B$2/$B15)+(Assumptions!$B$3-Assumptions!$B$4+(J$3/100)^2/2)*Assumptions!$B$9)/((J$3/100)*Assumptions!$B$10))-(J$3/100)*Assumptions!$B$10)))))</f>
        <v/>
      </c>
      <c r="K36" s="56">
        <f>IF((MAX(0,Assumptions!$B$2*EXP(-Assumptions!$B$4*Assumptions!$B$9)*NORMSDIST(((LN(Assumptions!$B$2/$B15)+(Assumptions!$B$3-Assumptions!$B$4+(K$3/100)^2/2)*Assumptions!$B$9)/((K$3/100)*Assumptions!$B$10)))-$B15*EXP(-Assumptions!$B$3*Assumptions!$B$9)*NORMSDIST((((LN(Assumptions!$B$2/$B15)+(Assumptions!$B$3-Assumptions!$B$4+(K$3/100)^2/2)*Assumptions!$B$9)/((K$3/100)*Assumptions!$B$10))-(K$3/100)*Assumptions!$B$10))))&lt;=0,"",(Assumptions!$B$2*EXP(-Assumptions!$B$4*Assumptions!$B$9)*NORMDIST(((LN(Assumptions!$B$2/$B15)+(Assumptions!$B$3-Assumptions!$B$4+(K$3/100)^2/2)*Assumptions!$B$9)/((K$3/100)*Assumptions!$B$10)),0,1,FALSE)*Assumptions!$B$10*0.01)*0.5/(MAX(0,Assumptions!$B$2*EXP(-Assumptions!$B$4*Assumptions!$B$9)*NORMSDIST(((LN(Assumptions!$B$2/$B15)+(Assumptions!$B$3-Assumptions!$B$4+(K$3/100)^2/2)*Assumptions!$B$9)/((K$3/100)*Assumptions!$B$10)))-$B15*EXP(-Assumptions!$B$3*Assumptions!$B$9)*NORMSDIST((((LN(Assumptions!$B$2/$B15)+(Assumptions!$B$3-Assumptions!$B$4+(K$3/100)^2/2)*Assumptions!$B$9)/((K$3/100)*Assumptions!$B$10))-(K$3/100)*Assumptions!$B$10)))))</f>
        <v/>
      </c>
      <c r="L36" s="56">
        <f>IF((MAX(0,Assumptions!$B$2*EXP(-Assumptions!$B$4*Assumptions!$B$9)*NORMSDIST(((LN(Assumptions!$B$2/$B15)+(Assumptions!$B$3-Assumptions!$B$4+(L$3/100)^2/2)*Assumptions!$B$9)/((L$3/100)*Assumptions!$B$10)))-$B15*EXP(-Assumptions!$B$3*Assumptions!$B$9)*NORMSDIST((((LN(Assumptions!$B$2/$B15)+(Assumptions!$B$3-Assumptions!$B$4+(L$3/100)^2/2)*Assumptions!$B$9)/((L$3/100)*Assumptions!$B$10))-(L$3/100)*Assumptions!$B$10))))&lt;=0,"",(Assumptions!$B$2*EXP(-Assumptions!$B$4*Assumptions!$B$9)*NORMDIST(((LN(Assumptions!$B$2/$B15)+(Assumptions!$B$3-Assumptions!$B$4+(L$3/100)^2/2)*Assumptions!$B$9)/((L$3/100)*Assumptions!$B$10)),0,1,FALSE)*Assumptions!$B$10*0.01)*0.5/(MAX(0,Assumptions!$B$2*EXP(-Assumptions!$B$4*Assumptions!$B$9)*NORMSDIST(((LN(Assumptions!$B$2/$B15)+(Assumptions!$B$3-Assumptions!$B$4+(L$3/100)^2/2)*Assumptions!$B$9)/((L$3/100)*Assumptions!$B$10)))-$B15*EXP(-Assumptions!$B$3*Assumptions!$B$9)*NORMSDIST((((LN(Assumptions!$B$2/$B15)+(Assumptions!$B$3-Assumptions!$B$4+(L$3/100)^2/2)*Assumptions!$B$9)/((L$3/100)*Assumptions!$B$10))-(L$3/100)*Assumptions!$B$10)))))</f>
        <v/>
      </c>
      <c r="M36" s="56">
        <f>IF((MAX(0,Assumptions!$B$2*EXP(-Assumptions!$B$4*Assumptions!$B$9)*NORMSDIST(((LN(Assumptions!$B$2/$B15)+(Assumptions!$B$3-Assumptions!$B$4+(M$3/100)^2/2)*Assumptions!$B$9)/((M$3/100)*Assumptions!$B$10)))-$B15*EXP(-Assumptions!$B$3*Assumptions!$B$9)*NORMSDIST((((LN(Assumptions!$B$2/$B15)+(Assumptions!$B$3-Assumptions!$B$4+(M$3/100)^2/2)*Assumptions!$B$9)/((M$3/100)*Assumptions!$B$10))-(M$3/100)*Assumptions!$B$10))))&lt;=0,"",(Assumptions!$B$2*EXP(-Assumptions!$B$4*Assumptions!$B$9)*NORMDIST(((LN(Assumptions!$B$2/$B15)+(Assumptions!$B$3-Assumptions!$B$4+(M$3/100)^2/2)*Assumptions!$B$9)/((M$3/100)*Assumptions!$B$10)),0,1,FALSE)*Assumptions!$B$10*0.01)*0.5/(MAX(0,Assumptions!$B$2*EXP(-Assumptions!$B$4*Assumptions!$B$9)*NORMSDIST(((LN(Assumptions!$B$2/$B15)+(Assumptions!$B$3-Assumptions!$B$4+(M$3/100)^2/2)*Assumptions!$B$9)/((M$3/100)*Assumptions!$B$10)))-$B15*EXP(-Assumptions!$B$3*Assumptions!$B$9)*NORMSDIST((((LN(Assumptions!$B$2/$B15)+(Assumptions!$B$3-Assumptions!$B$4+(M$3/100)^2/2)*Assumptions!$B$9)/((M$3/100)*Assumptions!$B$10))-(M$3/100)*Assumptions!$B$10)))))</f>
        <v/>
      </c>
      <c r="N36" s="56">
        <f>IF((MAX(0,Assumptions!$B$2*EXP(-Assumptions!$B$4*Assumptions!$B$9)*NORMSDIST(((LN(Assumptions!$B$2/$B15)+(Assumptions!$B$3-Assumptions!$B$4+(N$3/100)^2/2)*Assumptions!$B$9)/((N$3/100)*Assumptions!$B$10)))-$B15*EXP(-Assumptions!$B$3*Assumptions!$B$9)*NORMSDIST((((LN(Assumptions!$B$2/$B15)+(Assumptions!$B$3-Assumptions!$B$4+(N$3/100)^2/2)*Assumptions!$B$9)/((N$3/100)*Assumptions!$B$10))-(N$3/100)*Assumptions!$B$10))))&lt;=0,"",(Assumptions!$B$2*EXP(-Assumptions!$B$4*Assumptions!$B$9)*NORMDIST(((LN(Assumptions!$B$2/$B15)+(Assumptions!$B$3-Assumptions!$B$4+(N$3/100)^2/2)*Assumptions!$B$9)/((N$3/100)*Assumptions!$B$10)),0,1,FALSE)*Assumptions!$B$10*0.01)*0.5/(MAX(0,Assumptions!$B$2*EXP(-Assumptions!$B$4*Assumptions!$B$9)*NORMSDIST(((LN(Assumptions!$B$2/$B15)+(Assumptions!$B$3-Assumptions!$B$4+(N$3/100)^2/2)*Assumptions!$B$9)/((N$3/100)*Assumptions!$B$10)))-$B15*EXP(-Assumptions!$B$3*Assumptions!$B$9)*NORMSDIST((((LN(Assumptions!$B$2/$B15)+(Assumptions!$B$3-Assumptions!$B$4+(N$3/100)^2/2)*Assumptions!$B$9)/((N$3/100)*Assumptions!$B$10))-(N$3/100)*Assumptions!$B$10)))))</f>
        <v/>
      </c>
      <c r="O36" s="56">
        <f>IF((MAX(0,Assumptions!$B$2*EXP(-Assumptions!$B$4*Assumptions!$B$9)*NORMSDIST(((LN(Assumptions!$B$2/$B15)+(Assumptions!$B$3-Assumptions!$B$4+(O$3/100)^2/2)*Assumptions!$B$9)/((O$3/100)*Assumptions!$B$10)))-$B15*EXP(-Assumptions!$B$3*Assumptions!$B$9)*NORMSDIST((((LN(Assumptions!$B$2/$B15)+(Assumptions!$B$3-Assumptions!$B$4+(O$3/100)^2/2)*Assumptions!$B$9)/((O$3/100)*Assumptions!$B$10))-(O$3/100)*Assumptions!$B$10))))&lt;=0,"",(Assumptions!$B$2*EXP(-Assumptions!$B$4*Assumptions!$B$9)*NORMDIST(((LN(Assumptions!$B$2/$B15)+(Assumptions!$B$3-Assumptions!$B$4+(O$3/100)^2/2)*Assumptions!$B$9)/((O$3/100)*Assumptions!$B$10)),0,1,FALSE)*Assumptions!$B$10*0.01)*0.5/(MAX(0,Assumptions!$B$2*EXP(-Assumptions!$B$4*Assumptions!$B$9)*NORMSDIST(((LN(Assumptions!$B$2/$B15)+(Assumptions!$B$3-Assumptions!$B$4+(O$3/100)^2/2)*Assumptions!$B$9)/((O$3/100)*Assumptions!$B$10)))-$B15*EXP(-Assumptions!$B$3*Assumptions!$B$9)*NORMSDIST((((LN(Assumptions!$B$2/$B15)+(Assumptions!$B$3-Assumptions!$B$4+(O$3/100)^2/2)*Assumptions!$B$9)/((O$3/100)*Assumptions!$B$10))-(O$3/100)*Assumptions!$B$10)))))</f>
        <v/>
      </c>
      <c r="P36" s="56">
        <f>IF((MAX(0,Assumptions!$B$2*EXP(-Assumptions!$B$4*Assumptions!$B$9)*NORMSDIST(((LN(Assumptions!$B$2/$B15)+(Assumptions!$B$3-Assumptions!$B$4+(P$3/100)^2/2)*Assumptions!$B$9)/((P$3/100)*Assumptions!$B$10)))-$B15*EXP(-Assumptions!$B$3*Assumptions!$B$9)*NORMSDIST((((LN(Assumptions!$B$2/$B15)+(Assumptions!$B$3-Assumptions!$B$4+(P$3/100)^2/2)*Assumptions!$B$9)/((P$3/100)*Assumptions!$B$10))-(P$3/100)*Assumptions!$B$10))))&lt;=0,"",(Assumptions!$B$2*EXP(-Assumptions!$B$4*Assumptions!$B$9)*NORMDIST(((LN(Assumptions!$B$2/$B15)+(Assumptions!$B$3-Assumptions!$B$4+(P$3/100)^2/2)*Assumptions!$B$9)/((P$3/100)*Assumptions!$B$10)),0,1,FALSE)*Assumptions!$B$10*0.01)*0.5/(MAX(0,Assumptions!$B$2*EXP(-Assumptions!$B$4*Assumptions!$B$9)*NORMSDIST(((LN(Assumptions!$B$2/$B15)+(Assumptions!$B$3-Assumptions!$B$4+(P$3/100)^2/2)*Assumptions!$B$9)/((P$3/100)*Assumptions!$B$10)))-$B15*EXP(-Assumptions!$B$3*Assumptions!$B$9)*NORMSDIST((((LN(Assumptions!$B$2/$B15)+(Assumptions!$B$3-Assumptions!$B$4+(P$3/100)^2/2)*Assumptions!$B$9)/((P$3/100)*Assumptions!$B$10))-(P$3/100)*Assumptions!$B$10)))))</f>
        <v/>
      </c>
      <c r="Q36" s="56">
        <f>IF((MAX(0,Assumptions!$B$2*EXP(-Assumptions!$B$4*Assumptions!$B$9)*NORMSDIST(((LN(Assumptions!$B$2/$B15)+(Assumptions!$B$3-Assumptions!$B$4+(Q$3/100)^2/2)*Assumptions!$B$9)/((Q$3/100)*Assumptions!$B$10)))-$B15*EXP(-Assumptions!$B$3*Assumptions!$B$9)*NORMSDIST((((LN(Assumptions!$B$2/$B15)+(Assumptions!$B$3-Assumptions!$B$4+(Q$3/100)^2/2)*Assumptions!$B$9)/((Q$3/100)*Assumptions!$B$10))-(Q$3/100)*Assumptions!$B$10))))&lt;=0,"",(Assumptions!$B$2*EXP(-Assumptions!$B$4*Assumptions!$B$9)*NORMDIST(((LN(Assumptions!$B$2/$B15)+(Assumptions!$B$3-Assumptions!$B$4+(Q$3/100)^2/2)*Assumptions!$B$9)/((Q$3/100)*Assumptions!$B$10)),0,1,FALSE)*Assumptions!$B$10*0.01)*0.5/(MAX(0,Assumptions!$B$2*EXP(-Assumptions!$B$4*Assumptions!$B$9)*NORMSDIST(((LN(Assumptions!$B$2/$B15)+(Assumptions!$B$3-Assumptions!$B$4+(Q$3/100)^2/2)*Assumptions!$B$9)/((Q$3/100)*Assumptions!$B$10)))-$B15*EXP(-Assumptions!$B$3*Assumptions!$B$9)*NORMSDIST((((LN(Assumptions!$B$2/$B15)+(Assumptions!$B$3-Assumptions!$B$4+(Q$3/100)^2/2)*Assumptions!$B$9)/((Q$3/100)*Assumptions!$B$10))-(Q$3/100)*Assumptions!$B$10)))))</f>
        <v/>
      </c>
      <c r="R36" s="56">
        <f>IF((MAX(0,Assumptions!$B$2*EXP(-Assumptions!$B$4*Assumptions!$B$9)*NORMSDIST(((LN(Assumptions!$B$2/$B15)+(Assumptions!$B$3-Assumptions!$B$4+(R$3/100)^2/2)*Assumptions!$B$9)/((R$3/100)*Assumptions!$B$10)))-$B15*EXP(-Assumptions!$B$3*Assumptions!$B$9)*NORMSDIST((((LN(Assumptions!$B$2/$B15)+(Assumptions!$B$3-Assumptions!$B$4+(R$3/100)^2/2)*Assumptions!$B$9)/((R$3/100)*Assumptions!$B$10))-(R$3/100)*Assumptions!$B$10))))&lt;=0,"",(Assumptions!$B$2*EXP(-Assumptions!$B$4*Assumptions!$B$9)*NORMDIST(((LN(Assumptions!$B$2/$B15)+(Assumptions!$B$3-Assumptions!$B$4+(R$3/100)^2/2)*Assumptions!$B$9)/((R$3/100)*Assumptions!$B$10)),0,1,FALSE)*Assumptions!$B$10*0.01)*0.5/(MAX(0,Assumptions!$B$2*EXP(-Assumptions!$B$4*Assumptions!$B$9)*NORMSDIST(((LN(Assumptions!$B$2/$B15)+(Assumptions!$B$3-Assumptions!$B$4+(R$3/100)^2/2)*Assumptions!$B$9)/((R$3/100)*Assumptions!$B$10)))-$B15*EXP(-Assumptions!$B$3*Assumptions!$B$9)*NORMSDIST((((LN(Assumptions!$B$2/$B15)+(Assumptions!$B$3-Assumptions!$B$4+(R$3/100)^2/2)*Assumptions!$B$9)/((R$3/100)*Assumptions!$B$10))-(R$3/100)*Assumptions!$B$10)))))</f>
        <v/>
      </c>
      <c r="S36" s="56">
        <f>IF((MAX(0,Assumptions!$B$2*EXP(-Assumptions!$B$4*Assumptions!$B$9)*NORMSDIST(((LN(Assumptions!$B$2/$B15)+(Assumptions!$B$3-Assumptions!$B$4+(S$3/100)^2/2)*Assumptions!$B$9)/((S$3/100)*Assumptions!$B$10)))-$B15*EXP(-Assumptions!$B$3*Assumptions!$B$9)*NORMSDIST((((LN(Assumptions!$B$2/$B15)+(Assumptions!$B$3-Assumptions!$B$4+(S$3/100)^2/2)*Assumptions!$B$9)/((S$3/100)*Assumptions!$B$10))-(S$3/100)*Assumptions!$B$10))))&lt;=0,"",(Assumptions!$B$2*EXP(-Assumptions!$B$4*Assumptions!$B$9)*NORMDIST(((LN(Assumptions!$B$2/$B15)+(Assumptions!$B$3-Assumptions!$B$4+(S$3/100)^2/2)*Assumptions!$B$9)/((S$3/100)*Assumptions!$B$10)),0,1,FALSE)*Assumptions!$B$10*0.01)*0.5/(MAX(0,Assumptions!$B$2*EXP(-Assumptions!$B$4*Assumptions!$B$9)*NORMSDIST(((LN(Assumptions!$B$2/$B15)+(Assumptions!$B$3-Assumptions!$B$4+(S$3/100)^2/2)*Assumptions!$B$9)/((S$3/100)*Assumptions!$B$10)))-$B15*EXP(-Assumptions!$B$3*Assumptions!$B$9)*NORMSDIST((((LN(Assumptions!$B$2/$B15)+(Assumptions!$B$3-Assumptions!$B$4+(S$3/100)^2/2)*Assumptions!$B$9)/((S$3/100)*Assumptions!$B$10))-(S$3/100)*Assumptions!$B$10)))))</f>
        <v/>
      </c>
      <c r="T36" s="56">
        <f>IF((MAX(0,Assumptions!$B$2*EXP(-Assumptions!$B$4*Assumptions!$B$9)*NORMSDIST(((LN(Assumptions!$B$2/$B15)+(Assumptions!$B$3-Assumptions!$B$4+(T$3/100)^2/2)*Assumptions!$B$9)/((T$3/100)*Assumptions!$B$10)))-$B15*EXP(-Assumptions!$B$3*Assumptions!$B$9)*NORMSDIST((((LN(Assumptions!$B$2/$B15)+(Assumptions!$B$3-Assumptions!$B$4+(T$3/100)^2/2)*Assumptions!$B$9)/((T$3/100)*Assumptions!$B$10))-(T$3/100)*Assumptions!$B$10))))&lt;=0,"",(Assumptions!$B$2*EXP(-Assumptions!$B$4*Assumptions!$B$9)*NORMDIST(((LN(Assumptions!$B$2/$B15)+(Assumptions!$B$3-Assumptions!$B$4+(T$3/100)^2/2)*Assumptions!$B$9)/((T$3/100)*Assumptions!$B$10)),0,1,FALSE)*Assumptions!$B$10*0.01)*0.5/(MAX(0,Assumptions!$B$2*EXP(-Assumptions!$B$4*Assumptions!$B$9)*NORMSDIST(((LN(Assumptions!$B$2/$B15)+(Assumptions!$B$3-Assumptions!$B$4+(T$3/100)^2/2)*Assumptions!$B$9)/((T$3/100)*Assumptions!$B$10)))-$B15*EXP(-Assumptions!$B$3*Assumptions!$B$9)*NORMSDIST((((LN(Assumptions!$B$2/$B15)+(Assumptions!$B$3-Assumptions!$B$4+(T$3/100)^2/2)*Assumptions!$B$9)/((T$3/100)*Assumptions!$B$10))-(T$3/100)*Assumptions!$B$10)))))</f>
        <v/>
      </c>
      <c r="U36" s="56">
        <f>IF((MAX(0,Assumptions!$B$2*EXP(-Assumptions!$B$4*Assumptions!$B$9)*NORMSDIST(((LN(Assumptions!$B$2/$B15)+(Assumptions!$B$3-Assumptions!$B$4+(U$3/100)^2/2)*Assumptions!$B$9)/((U$3/100)*Assumptions!$B$10)))-$B15*EXP(-Assumptions!$B$3*Assumptions!$B$9)*NORMSDIST((((LN(Assumptions!$B$2/$B15)+(Assumptions!$B$3-Assumptions!$B$4+(U$3/100)^2/2)*Assumptions!$B$9)/((U$3/100)*Assumptions!$B$10))-(U$3/100)*Assumptions!$B$10))))&lt;=0,"",(Assumptions!$B$2*EXP(-Assumptions!$B$4*Assumptions!$B$9)*NORMDIST(((LN(Assumptions!$B$2/$B15)+(Assumptions!$B$3-Assumptions!$B$4+(U$3/100)^2/2)*Assumptions!$B$9)/((U$3/100)*Assumptions!$B$10)),0,1,FALSE)*Assumptions!$B$10*0.01)*0.5/(MAX(0,Assumptions!$B$2*EXP(-Assumptions!$B$4*Assumptions!$B$9)*NORMSDIST(((LN(Assumptions!$B$2/$B15)+(Assumptions!$B$3-Assumptions!$B$4+(U$3/100)^2/2)*Assumptions!$B$9)/((U$3/100)*Assumptions!$B$10)))-$B15*EXP(-Assumptions!$B$3*Assumptions!$B$9)*NORMSDIST((((LN(Assumptions!$B$2/$B15)+(Assumptions!$B$3-Assumptions!$B$4+(U$3/100)^2/2)*Assumptions!$B$9)/((U$3/100)*Assumptions!$B$10))-(U$3/100)*Assumptions!$B$10)))))</f>
        <v/>
      </c>
      <c r="V36" s="56">
        <f>IF((MAX(0,Assumptions!$B$2*EXP(-Assumptions!$B$4*Assumptions!$B$9)*NORMSDIST(((LN(Assumptions!$B$2/$B15)+(Assumptions!$B$3-Assumptions!$B$4+(V$3/100)^2/2)*Assumptions!$B$9)/((V$3/100)*Assumptions!$B$10)))-$B15*EXP(-Assumptions!$B$3*Assumptions!$B$9)*NORMSDIST((((LN(Assumptions!$B$2/$B15)+(Assumptions!$B$3-Assumptions!$B$4+(V$3/100)^2/2)*Assumptions!$B$9)/((V$3/100)*Assumptions!$B$10))-(V$3/100)*Assumptions!$B$10))))&lt;=0,"",(Assumptions!$B$2*EXP(-Assumptions!$B$4*Assumptions!$B$9)*NORMDIST(((LN(Assumptions!$B$2/$B15)+(Assumptions!$B$3-Assumptions!$B$4+(V$3/100)^2/2)*Assumptions!$B$9)/((V$3/100)*Assumptions!$B$10)),0,1,FALSE)*Assumptions!$B$10*0.01)*0.5/(MAX(0,Assumptions!$B$2*EXP(-Assumptions!$B$4*Assumptions!$B$9)*NORMSDIST(((LN(Assumptions!$B$2/$B15)+(Assumptions!$B$3-Assumptions!$B$4+(V$3/100)^2/2)*Assumptions!$B$9)/((V$3/100)*Assumptions!$B$10)))-$B15*EXP(-Assumptions!$B$3*Assumptions!$B$9)*NORMSDIST((((LN(Assumptions!$B$2/$B15)+(Assumptions!$B$3-Assumptions!$B$4+(V$3/100)^2/2)*Assumptions!$B$9)/((V$3/100)*Assumptions!$B$10))-(V$3/100)*Assumptions!$B$10)))))</f>
        <v/>
      </c>
      <c r="W36" s="56">
        <f>IF((MAX(0,Assumptions!$B$2*EXP(-Assumptions!$B$4*Assumptions!$B$9)*NORMSDIST(((LN(Assumptions!$B$2/$B15)+(Assumptions!$B$3-Assumptions!$B$4+(W$3/100)^2/2)*Assumptions!$B$9)/((W$3/100)*Assumptions!$B$10)))-$B15*EXP(-Assumptions!$B$3*Assumptions!$B$9)*NORMSDIST((((LN(Assumptions!$B$2/$B15)+(Assumptions!$B$3-Assumptions!$B$4+(W$3/100)^2/2)*Assumptions!$B$9)/((W$3/100)*Assumptions!$B$10))-(W$3/100)*Assumptions!$B$10))))&lt;=0,"",(Assumptions!$B$2*EXP(-Assumptions!$B$4*Assumptions!$B$9)*NORMDIST(((LN(Assumptions!$B$2/$B15)+(Assumptions!$B$3-Assumptions!$B$4+(W$3/100)^2/2)*Assumptions!$B$9)/((W$3/100)*Assumptions!$B$10)),0,1,FALSE)*Assumptions!$B$10*0.01)*0.5/(MAX(0,Assumptions!$B$2*EXP(-Assumptions!$B$4*Assumptions!$B$9)*NORMSDIST(((LN(Assumptions!$B$2/$B15)+(Assumptions!$B$3-Assumptions!$B$4+(W$3/100)^2/2)*Assumptions!$B$9)/((W$3/100)*Assumptions!$B$10)))-$B15*EXP(-Assumptions!$B$3*Assumptions!$B$9)*NORMSDIST((((LN(Assumptions!$B$2/$B15)+(Assumptions!$B$3-Assumptions!$B$4+(W$3/100)^2/2)*Assumptions!$B$9)/((W$3/100)*Assumptions!$B$10))-(W$3/100)*Assumptions!$B$10)))))</f>
        <v/>
      </c>
      <c r="X36" s="56">
        <f>IF((MAX(0,Assumptions!$B$2*EXP(-Assumptions!$B$4*Assumptions!$B$9)*NORMSDIST(((LN(Assumptions!$B$2/$B15)+(Assumptions!$B$3-Assumptions!$B$4+(X$3/100)^2/2)*Assumptions!$B$9)/((X$3/100)*Assumptions!$B$10)))-$B15*EXP(-Assumptions!$B$3*Assumptions!$B$9)*NORMSDIST((((LN(Assumptions!$B$2/$B15)+(Assumptions!$B$3-Assumptions!$B$4+(X$3/100)^2/2)*Assumptions!$B$9)/((X$3/100)*Assumptions!$B$10))-(X$3/100)*Assumptions!$B$10))))&lt;=0,"",(Assumptions!$B$2*EXP(-Assumptions!$B$4*Assumptions!$B$9)*NORMDIST(((LN(Assumptions!$B$2/$B15)+(Assumptions!$B$3-Assumptions!$B$4+(X$3/100)^2/2)*Assumptions!$B$9)/((X$3/100)*Assumptions!$B$10)),0,1,FALSE)*Assumptions!$B$10*0.01)*0.5/(MAX(0,Assumptions!$B$2*EXP(-Assumptions!$B$4*Assumptions!$B$9)*NORMSDIST(((LN(Assumptions!$B$2/$B15)+(Assumptions!$B$3-Assumptions!$B$4+(X$3/100)^2/2)*Assumptions!$B$9)/((X$3/100)*Assumptions!$B$10)))-$B15*EXP(-Assumptions!$B$3*Assumptions!$B$9)*NORMSDIST((((LN(Assumptions!$B$2/$B15)+(Assumptions!$B$3-Assumptions!$B$4+(X$3/100)^2/2)*Assumptions!$B$9)/((X$3/100)*Assumptions!$B$10))-(X$3/100)*Assumptions!$B$10)))))</f>
        <v/>
      </c>
      <c r="Y36" s="56">
        <f>IF((MAX(0,Assumptions!$B$2*EXP(-Assumptions!$B$4*Assumptions!$B$9)*NORMSDIST(((LN(Assumptions!$B$2/$B15)+(Assumptions!$B$3-Assumptions!$B$4+(Y$3/100)^2/2)*Assumptions!$B$9)/((Y$3/100)*Assumptions!$B$10)))-$B15*EXP(-Assumptions!$B$3*Assumptions!$B$9)*NORMSDIST((((LN(Assumptions!$B$2/$B15)+(Assumptions!$B$3-Assumptions!$B$4+(Y$3/100)^2/2)*Assumptions!$B$9)/((Y$3/100)*Assumptions!$B$10))-(Y$3/100)*Assumptions!$B$10))))&lt;=0,"",(Assumptions!$B$2*EXP(-Assumptions!$B$4*Assumptions!$B$9)*NORMDIST(((LN(Assumptions!$B$2/$B15)+(Assumptions!$B$3-Assumptions!$B$4+(Y$3/100)^2/2)*Assumptions!$B$9)/((Y$3/100)*Assumptions!$B$10)),0,1,FALSE)*Assumptions!$B$10*0.01)*0.5/(MAX(0,Assumptions!$B$2*EXP(-Assumptions!$B$4*Assumptions!$B$9)*NORMSDIST(((LN(Assumptions!$B$2/$B15)+(Assumptions!$B$3-Assumptions!$B$4+(Y$3/100)^2/2)*Assumptions!$B$9)/((Y$3/100)*Assumptions!$B$10)))-$B15*EXP(-Assumptions!$B$3*Assumptions!$B$9)*NORMSDIST((((LN(Assumptions!$B$2/$B15)+(Assumptions!$B$3-Assumptions!$B$4+(Y$3/100)^2/2)*Assumptions!$B$9)/((Y$3/100)*Assumptions!$B$10))-(Y$3/100)*Assumptions!$B$10)))))</f>
        <v/>
      </c>
      <c r="Z36" s="56">
        <f>IF((MAX(0,Assumptions!$B$2*EXP(-Assumptions!$B$4*Assumptions!$B$9)*NORMSDIST(((LN(Assumptions!$B$2/$B15)+(Assumptions!$B$3-Assumptions!$B$4+(Z$3/100)^2/2)*Assumptions!$B$9)/((Z$3/100)*Assumptions!$B$10)))-$B15*EXP(-Assumptions!$B$3*Assumptions!$B$9)*NORMSDIST((((LN(Assumptions!$B$2/$B15)+(Assumptions!$B$3-Assumptions!$B$4+(Z$3/100)^2/2)*Assumptions!$B$9)/((Z$3/100)*Assumptions!$B$10))-(Z$3/100)*Assumptions!$B$10))))&lt;=0,"",(Assumptions!$B$2*EXP(-Assumptions!$B$4*Assumptions!$B$9)*NORMDIST(((LN(Assumptions!$B$2/$B15)+(Assumptions!$B$3-Assumptions!$B$4+(Z$3/100)^2/2)*Assumptions!$B$9)/((Z$3/100)*Assumptions!$B$10)),0,1,FALSE)*Assumptions!$B$10*0.01)*0.5/(MAX(0,Assumptions!$B$2*EXP(-Assumptions!$B$4*Assumptions!$B$9)*NORMSDIST(((LN(Assumptions!$B$2/$B15)+(Assumptions!$B$3-Assumptions!$B$4+(Z$3/100)^2/2)*Assumptions!$B$9)/((Z$3/100)*Assumptions!$B$10)))-$B15*EXP(-Assumptions!$B$3*Assumptions!$B$9)*NORMSDIST((((LN(Assumptions!$B$2/$B15)+(Assumptions!$B$3-Assumptions!$B$4+(Z$3/100)^2/2)*Assumptions!$B$9)/((Z$3/100)*Assumptions!$B$10))-(Z$3/100)*Assumptions!$B$10)))))</f>
        <v/>
      </c>
      <c r="AA36" s="56">
        <f>IF((MAX(0,Assumptions!$B$2*EXP(-Assumptions!$B$4*Assumptions!$B$9)*NORMSDIST(((LN(Assumptions!$B$2/$B15)+(Assumptions!$B$3-Assumptions!$B$4+(AA$3/100)^2/2)*Assumptions!$B$9)/((AA$3/100)*Assumptions!$B$10)))-$B15*EXP(-Assumptions!$B$3*Assumptions!$B$9)*NORMSDIST((((LN(Assumptions!$B$2/$B15)+(Assumptions!$B$3-Assumptions!$B$4+(AA$3/100)^2/2)*Assumptions!$B$9)/((AA$3/100)*Assumptions!$B$10))-(AA$3/100)*Assumptions!$B$10))))&lt;=0,"",(Assumptions!$B$2*EXP(-Assumptions!$B$4*Assumptions!$B$9)*NORMDIST(((LN(Assumptions!$B$2/$B15)+(Assumptions!$B$3-Assumptions!$B$4+(AA$3/100)^2/2)*Assumptions!$B$9)/((AA$3/100)*Assumptions!$B$10)),0,1,FALSE)*Assumptions!$B$10*0.01)*0.5/(MAX(0,Assumptions!$B$2*EXP(-Assumptions!$B$4*Assumptions!$B$9)*NORMSDIST(((LN(Assumptions!$B$2/$B15)+(Assumptions!$B$3-Assumptions!$B$4+(AA$3/100)^2/2)*Assumptions!$B$9)/((AA$3/100)*Assumptions!$B$10)))-$B15*EXP(-Assumptions!$B$3*Assumptions!$B$9)*NORMSDIST((((LN(Assumptions!$B$2/$B15)+(Assumptions!$B$3-Assumptions!$B$4+(AA$3/100)^2/2)*Assumptions!$B$9)/((AA$3/100)*Assumptions!$B$10))-(AA$3/100)*Assumptions!$B$10)))))</f>
        <v/>
      </c>
      <c r="AB36" s="56">
        <f>IF((MAX(0,Assumptions!$B$2*EXP(-Assumptions!$B$4*Assumptions!$B$9)*NORMSDIST(((LN(Assumptions!$B$2/$B15)+(Assumptions!$B$3-Assumptions!$B$4+(AB$3/100)^2/2)*Assumptions!$B$9)/((AB$3/100)*Assumptions!$B$10)))-$B15*EXP(-Assumptions!$B$3*Assumptions!$B$9)*NORMSDIST((((LN(Assumptions!$B$2/$B15)+(Assumptions!$B$3-Assumptions!$B$4+(AB$3/100)^2/2)*Assumptions!$B$9)/((AB$3/100)*Assumptions!$B$10))-(AB$3/100)*Assumptions!$B$10))))&lt;=0,"",(Assumptions!$B$2*EXP(-Assumptions!$B$4*Assumptions!$B$9)*NORMDIST(((LN(Assumptions!$B$2/$B15)+(Assumptions!$B$3-Assumptions!$B$4+(AB$3/100)^2/2)*Assumptions!$B$9)/((AB$3/100)*Assumptions!$B$10)),0,1,FALSE)*Assumptions!$B$10*0.01)*0.5/(MAX(0,Assumptions!$B$2*EXP(-Assumptions!$B$4*Assumptions!$B$9)*NORMSDIST(((LN(Assumptions!$B$2/$B15)+(Assumptions!$B$3-Assumptions!$B$4+(AB$3/100)^2/2)*Assumptions!$B$9)/((AB$3/100)*Assumptions!$B$10)))-$B15*EXP(-Assumptions!$B$3*Assumptions!$B$9)*NORMSDIST((((LN(Assumptions!$B$2/$B15)+(Assumptions!$B$3-Assumptions!$B$4+(AB$3/100)^2/2)*Assumptions!$B$9)/((AB$3/100)*Assumptions!$B$10))-(AB$3/100)*Assumptions!$B$10)))))</f>
        <v/>
      </c>
      <c r="AC36" s="56">
        <f>IF((MAX(0,Assumptions!$B$2*EXP(-Assumptions!$B$4*Assumptions!$B$9)*NORMSDIST(((LN(Assumptions!$B$2/$B15)+(Assumptions!$B$3-Assumptions!$B$4+(AC$3/100)^2/2)*Assumptions!$B$9)/((AC$3/100)*Assumptions!$B$10)))-$B15*EXP(-Assumptions!$B$3*Assumptions!$B$9)*NORMSDIST((((LN(Assumptions!$B$2/$B15)+(Assumptions!$B$3-Assumptions!$B$4+(AC$3/100)^2/2)*Assumptions!$B$9)/((AC$3/100)*Assumptions!$B$10))-(AC$3/100)*Assumptions!$B$10))))&lt;=0,"",(Assumptions!$B$2*EXP(-Assumptions!$B$4*Assumptions!$B$9)*NORMDIST(((LN(Assumptions!$B$2/$B15)+(Assumptions!$B$3-Assumptions!$B$4+(AC$3/100)^2/2)*Assumptions!$B$9)/((AC$3/100)*Assumptions!$B$10)),0,1,FALSE)*Assumptions!$B$10*0.01)*0.5/(MAX(0,Assumptions!$B$2*EXP(-Assumptions!$B$4*Assumptions!$B$9)*NORMSDIST(((LN(Assumptions!$B$2/$B15)+(Assumptions!$B$3-Assumptions!$B$4+(AC$3/100)^2/2)*Assumptions!$B$9)/((AC$3/100)*Assumptions!$B$10)))-$B15*EXP(-Assumptions!$B$3*Assumptions!$B$9)*NORMSDIST((((LN(Assumptions!$B$2/$B15)+(Assumptions!$B$3-Assumptions!$B$4+(AC$3/100)^2/2)*Assumptions!$B$9)/((AC$3/100)*Assumptions!$B$10))-(AC$3/100)*Assumptions!$B$10)))))</f>
        <v/>
      </c>
      <c r="AD36" s="56">
        <f>IF((MAX(0,Assumptions!$B$2*EXP(-Assumptions!$B$4*Assumptions!$B$9)*NORMSDIST(((LN(Assumptions!$B$2/$B15)+(Assumptions!$B$3-Assumptions!$B$4+(AD$3/100)^2/2)*Assumptions!$B$9)/((AD$3/100)*Assumptions!$B$10)))-$B15*EXP(-Assumptions!$B$3*Assumptions!$B$9)*NORMSDIST((((LN(Assumptions!$B$2/$B15)+(Assumptions!$B$3-Assumptions!$B$4+(AD$3/100)^2/2)*Assumptions!$B$9)/((AD$3/100)*Assumptions!$B$10))-(AD$3/100)*Assumptions!$B$10))))&lt;=0,"",(Assumptions!$B$2*EXP(-Assumptions!$B$4*Assumptions!$B$9)*NORMDIST(((LN(Assumptions!$B$2/$B15)+(Assumptions!$B$3-Assumptions!$B$4+(AD$3/100)^2/2)*Assumptions!$B$9)/((AD$3/100)*Assumptions!$B$10)),0,1,FALSE)*Assumptions!$B$10*0.01)*0.5/(MAX(0,Assumptions!$B$2*EXP(-Assumptions!$B$4*Assumptions!$B$9)*NORMSDIST(((LN(Assumptions!$B$2/$B15)+(Assumptions!$B$3-Assumptions!$B$4+(AD$3/100)^2/2)*Assumptions!$B$9)/((AD$3/100)*Assumptions!$B$10)))-$B15*EXP(-Assumptions!$B$3*Assumptions!$B$9)*NORMSDIST((((LN(Assumptions!$B$2/$B15)+(Assumptions!$B$3-Assumptions!$B$4+(AD$3/100)^2/2)*Assumptions!$B$9)/((AD$3/100)*Assumptions!$B$10))-(AD$3/100)*Assumptions!$B$10)))))</f>
        <v/>
      </c>
      <c r="AE36" s="56">
        <f>IF((MAX(0,Assumptions!$B$2*EXP(-Assumptions!$B$4*Assumptions!$B$9)*NORMSDIST(((LN(Assumptions!$B$2/$B15)+(Assumptions!$B$3-Assumptions!$B$4+(AE$3/100)^2/2)*Assumptions!$B$9)/((AE$3/100)*Assumptions!$B$10)))-$B15*EXP(-Assumptions!$B$3*Assumptions!$B$9)*NORMSDIST((((LN(Assumptions!$B$2/$B15)+(Assumptions!$B$3-Assumptions!$B$4+(AE$3/100)^2/2)*Assumptions!$B$9)/((AE$3/100)*Assumptions!$B$10))-(AE$3/100)*Assumptions!$B$10))))&lt;=0,"",(Assumptions!$B$2*EXP(-Assumptions!$B$4*Assumptions!$B$9)*NORMDIST(((LN(Assumptions!$B$2/$B15)+(Assumptions!$B$3-Assumptions!$B$4+(AE$3/100)^2/2)*Assumptions!$B$9)/((AE$3/100)*Assumptions!$B$10)),0,1,FALSE)*Assumptions!$B$10*0.01)*0.5/(MAX(0,Assumptions!$B$2*EXP(-Assumptions!$B$4*Assumptions!$B$9)*NORMSDIST(((LN(Assumptions!$B$2/$B15)+(Assumptions!$B$3-Assumptions!$B$4+(AE$3/100)^2/2)*Assumptions!$B$9)/((AE$3/100)*Assumptions!$B$10)))-$B15*EXP(-Assumptions!$B$3*Assumptions!$B$9)*NORMSDIST((((LN(Assumptions!$B$2/$B15)+(Assumptions!$B$3-Assumptions!$B$4+(AE$3/100)^2/2)*Assumptions!$B$9)/((AE$3/100)*Assumptions!$B$10))-(AE$3/100)*Assumptions!$B$10)))))</f>
        <v/>
      </c>
      <c r="AF36" s="56">
        <f>IF((MAX(0,Assumptions!$B$2*EXP(-Assumptions!$B$4*Assumptions!$B$9)*NORMSDIST(((LN(Assumptions!$B$2/$B15)+(Assumptions!$B$3-Assumptions!$B$4+(AF$3/100)^2/2)*Assumptions!$B$9)/((AF$3/100)*Assumptions!$B$10)))-$B15*EXP(-Assumptions!$B$3*Assumptions!$B$9)*NORMSDIST((((LN(Assumptions!$B$2/$B15)+(Assumptions!$B$3-Assumptions!$B$4+(AF$3/100)^2/2)*Assumptions!$B$9)/((AF$3/100)*Assumptions!$B$10))-(AF$3/100)*Assumptions!$B$10))))&lt;=0,"",(Assumptions!$B$2*EXP(-Assumptions!$B$4*Assumptions!$B$9)*NORMDIST(((LN(Assumptions!$B$2/$B15)+(Assumptions!$B$3-Assumptions!$B$4+(AF$3/100)^2/2)*Assumptions!$B$9)/((AF$3/100)*Assumptions!$B$10)),0,1,FALSE)*Assumptions!$B$10*0.01)*0.5/(MAX(0,Assumptions!$B$2*EXP(-Assumptions!$B$4*Assumptions!$B$9)*NORMSDIST(((LN(Assumptions!$B$2/$B15)+(Assumptions!$B$3-Assumptions!$B$4+(AF$3/100)^2/2)*Assumptions!$B$9)/((AF$3/100)*Assumptions!$B$10)))-$B15*EXP(-Assumptions!$B$3*Assumptions!$B$9)*NORMSDIST((((LN(Assumptions!$B$2/$B15)+(Assumptions!$B$3-Assumptions!$B$4+(AF$3/100)^2/2)*Assumptions!$B$9)/((AF$3/100)*Assumptions!$B$10))-(AF$3/100)*Assumptions!$B$10)))))</f>
        <v/>
      </c>
      <c r="AG36" s="56">
        <f>IF((MAX(0,Assumptions!$B$2*EXP(-Assumptions!$B$4*Assumptions!$B$9)*NORMSDIST(((LN(Assumptions!$B$2/$B15)+(Assumptions!$B$3-Assumptions!$B$4+(AG$3/100)^2/2)*Assumptions!$B$9)/((AG$3/100)*Assumptions!$B$10)))-$B15*EXP(-Assumptions!$B$3*Assumptions!$B$9)*NORMSDIST((((LN(Assumptions!$B$2/$B15)+(Assumptions!$B$3-Assumptions!$B$4+(AG$3/100)^2/2)*Assumptions!$B$9)/((AG$3/100)*Assumptions!$B$10))-(AG$3/100)*Assumptions!$B$10))))&lt;=0,"",(Assumptions!$B$2*EXP(-Assumptions!$B$4*Assumptions!$B$9)*NORMDIST(((LN(Assumptions!$B$2/$B15)+(Assumptions!$B$3-Assumptions!$B$4+(AG$3/100)^2/2)*Assumptions!$B$9)/((AG$3/100)*Assumptions!$B$10)),0,1,FALSE)*Assumptions!$B$10*0.01)*0.5/(MAX(0,Assumptions!$B$2*EXP(-Assumptions!$B$4*Assumptions!$B$9)*NORMSDIST(((LN(Assumptions!$B$2/$B15)+(Assumptions!$B$3-Assumptions!$B$4+(AG$3/100)^2/2)*Assumptions!$B$9)/((AG$3/100)*Assumptions!$B$10)))-$B15*EXP(-Assumptions!$B$3*Assumptions!$B$9)*NORMSDIST((((LN(Assumptions!$B$2/$B15)+(Assumptions!$B$3-Assumptions!$B$4+(AG$3/100)^2/2)*Assumptions!$B$9)/((AG$3/100)*Assumptions!$B$10))-(AG$3/100)*Assumptions!$B$10)))))</f>
        <v/>
      </c>
      <c r="AH36" s="56">
        <f>IF((MAX(0,Assumptions!$B$2*EXP(-Assumptions!$B$4*Assumptions!$B$9)*NORMSDIST(((LN(Assumptions!$B$2/$B15)+(Assumptions!$B$3-Assumptions!$B$4+(AH$3/100)^2/2)*Assumptions!$B$9)/((AH$3/100)*Assumptions!$B$10)))-$B15*EXP(-Assumptions!$B$3*Assumptions!$B$9)*NORMSDIST((((LN(Assumptions!$B$2/$B15)+(Assumptions!$B$3-Assumptions!$B$4+(AH$3/100)^2/2)*Assumptions!$B$9)/((AH$3/100)*Assumptions!$B$10))-(AH$3/100)*Assumptions!$B$10))))&lt;=0,"",(Assumptions!$B$2*EXP(-Assumptions!$B$4*Assumptions!$B$9)*NORMDIST(((LN(Assumptions!$B$2/$B15)+(Assumptions!$B$3-Assumptions!$B$4+(AH$3/100)^2/2)*Assumptions!$B$9)/((AH$3/100)*Assumptions!$B$10)),0,1,FALSE)*Assumptions!$B$10*0.01)*0.5/(MAX(0,Assumptions!$B$2*EXP(-Assumptions!$B$4*Assumptions!$B$9)*NORMSDIST(((LN(Assumptions!$B$2/$B15)+(Assumptions!$B$3-Assumptions!$B$4+(AH$3/100)^2/2)*Assumptions!$B$9)/((AH$3/100)*Assumptions!$B$10)))-$B15*EXP(-Assumptions!$B$3*Assumptions!$B$9)*NORMSDIST((((LN(Assumptions!$B$2/$B15)+(Assumptions!$B$3-Assumptions!$B$4+(AH$3/100)^2/2)*Assumptions!$B$9)/((AH$3/100)*Assumptions!$B$10))-(AH$3/100)*Assumptions!$B$10)))))</f>
        <v/>
      </c>
      <c r="AI36" s="56">
        <f>IF((MAX(0,Assumptions!$B$2*EXP(-Assumptions!$B$4*Assumptions!$B$9)*NORMSDIST(((LN(Assumptions!$B$2/$B15)+(Assumptions!$B$3-Assumptions!$B$4+(AI$3/100)^2/2)*Assumptions!$B$9)/((AI$3/100)*Assumptions!$B$10)))-$B15*EXP(-Assumptions!$B$3*Assumptions!$B$9)*NORMSDIST((((LN(Assumptions!$B$2/$B15)+(Assumptions!$B$3-Assumptions!$B$4+(AI$3/100)^2/2)*Assumptions!$B$9)/((AI$3/100)*Assumptions!$B$10))-(AI$3/100)*Assumptions!$B$10))))&lt;=0,"",(Assumptions!$B$2*EXP(-Assumptions!$B$4*Assumptions!$B$9)*NORMDIST(((LN(Assumptions!$B$2/$B15)+(Assumptions!$B$3-Assumptions!$B$4+(AI$3/100)^2/2)*Assumptions!$B$9)/((AI$3/100)*Assumptions!$B$10)),0,1,FALSE)*Assumptions!$B$10*0.01)*0.5/(MAX(0,Assumptions!$B$2*EXP(-Assumptions!$B$4*Assumptions!$B$9)*NORMSDIST(((LN(Assumptions!$B$2/$B15)+(Assumptions!$B$3-Assumptions!$B$4+(AI$3/100)^2/2)*Assumptions!$B$9)/((AI$3/100)*Assumptions!$B$10)))-$B15*EXP(-Assumptions!$B$3*Assumptions!$B$9)*NORMSDIST((((LN(Assumptions!$B$2/$B15)+(Assumptions!$B$3-Assumptions!$B$4+(AI$3/100)^2/2)*Assumptions!$B$9)/((AI$3/100)*Assumptions!$B$10))-(AI$3/100)*Assumptions!$B$10)))))</f>
        <v/>
      </c>
      <c r="AJ36" s="56">
        <f>IF((MAX(0,Assumptions!$B$2*EXP(-Assumptions!$B$4*Assumptions!$B$9)*NORMSDIST(((LN(Assumptions!$B$2/$B15)+(Assumptions!$B$3-Assumptions!$B$4+(AJ$3/100)^2/2)*Assumptions!$B$9)/((AJ$3/100)*Assumptions!$B$10)))-$B15*EXP(-Assumptions!$B$3*Assumptions!$B$9)*NORMSDIST((((LN(Assumptions!$B$2/$B15)+(Assumptions!$B$3-Assumptions!$B$4+(AJ$3/100)^2/2)*Assumptions!$B$9)/((AJ$3/100)*Assumptions!$B$10))-(AJ$3/100)*Assumptions!$B$10))))&lt;=0,"",(Assumptions!$B$2*EXP(-Assumptions!$B$4*Assumptions!$B$9)*NORMDIST(((LN(Assumptions!$B$2/$B15)+(Assumptions!$B$3-Assumptions!$B$4+(AJ$3/100)^2/2)*Assumptions!$B$9)/((AJ$3/100)*Assumptions!$B$10)),0,1,FALSE)*Assumptions!$B$10*0.01)*0.5/(MAX(0,Assumptions!$B$2*EXP(-Assumptions!$B$4*Assumptions!$B$9)*NORMSDIST(((LN(Assumptions!$B$2/$B15)+(Assumptions!$B$3-Assumptions!$B$4+(AJ$3/100)^2/2)*Assumptions!$B$9)/((AJ$3/100)*Assumptions!$B$10)))-$B15*EXP(-Assumptions!$B$3*Assumptions!$B$9)*NORMSDIST((((LN(Assumptions!$B$2/$B15)+(Assumptions!$B$3-Assumptions!$B$4+(AJ$3/100)^2/2)*Assumptions!$B$9)/((AJ$3/100)*Assumptions!$B$10))-(AJ$3/100)*Assumptions!$B$10)))))</f>
        <v/>
      </c>
      <c r="AK36" s="56">
        <f>IF((MAX(0,Assumptions!$B$2*EXP(-Assumptions!$B$4*Assumptions!$B$9)*NORMSDIST(((LN(Assumptions!$B$2/$B15)+(Assumptions!$B$3-Assumptions!$B$4+(AK$3/100)^2/2)*Assumptions!$B$9)/((AK$3/100)*Assumptions!$B$10)))-$B15*EXP(-Assumptions!$B$3*Assumptions!$B$9)*NORMSDIST((((LN(Assumptions!$B$2/$B15)+(Assumptions!$B$3-Assumptions!$B$4+(AK$3/100)^2/2)*Assumptions!$B$9)/((AK$3/100)*Assumptions!$B$10))-(AK$3/100)*Assumptions!$B$10))))&lt;=0,"",(Assumptions!$B$2*EXP(-Assumptions!$B$4*Assumptions!$B$9)*NORMDIST(((LN(Assumptions!$B$2/$B15)+(Assumptions!$B$3-Assumptions!$B$4+(AK$3/100)^2/2)*Assumptions!$B$9)/((AK$3/100)*Assumptions!$B$10)),0,1,FALSE)*Assumptions!$B$10*0.01)*0.5/(MAX(0,Assumptions!$B$2*EXP(-Assumptions!$B$4*Assumptions!$B$9)*NORMSDIST(((LN(Assumptions!$B$2/$B15)+(Assumptions!$B$3-Assumptions!$B$4+(AK$3/100)^2/2)*Assumptions!$B$9)/((AK$3/100)*Assumptions!$B$10)))-$B15*EXP(-Assumptions!$B$3*Assumptions!$B$9)*NORMSDIST((((LN(Assumptions!$B$2/$B15)+(Assumptions!$B$3-Assumptions!$B$4+(AK$3/100)^2/2)*Assumptions!$B$9)/((AK$3/100)*Assumptions!$B$10))-(AK$3/100)*Assumptions!$B$10)))))</f>
        <v/>
      </c>
      <c r="AL36" s="56">
        <f>IF((MAX(0,Assumptions!$B$2*EXP(-Assumptions!$B$4*Assumptions!$B$9)*NORMSDIST(((LN(Assumptions!$B$2/$B15)+(Assumptions!$B$3-Assumptions!$B$4+(AL$3/100)^2/2)*Assumptions!$B$9)/((AL$3/100)*Assumptions!$B$10)))-$B15*EXP(-Assumptions!$B$3*Assumptions!$B$9)*NORMSDIST((((LN(Assumptions!$B$2/$B15)+(Assumptions!$B$3-Assumptions!$B$4+(AL$3/100)^2/2)*Assumptions!$B$9)/((AL$3/100)*Assumptions!$B$10))-(AL$3/100)*Assumptions!$B$10))))&lt;=0,"",(Assumptions!$B$2*EXP(-Assumptions!$B$4*Assumptions!$B$9)*NORMDIST(((LN(Assumptions!$B$2/$B15)+(Assumptions!$B$3-Assumptions!$B$4+(AL$3/100)^2/2)*Assumptions!$B$9)/((AL$3/100)*Assumptions!$B$10)),0,1,FALSE)*Assumptions!$B$10*0.01)*0.5/(MAX(0,Assumptions!$B$2*EXP(-Assumptions!$B$4*Assumptions!$B$9)*NORMSDIST(((LN(Assumptions!$B$2/$B15)+(Assumptions!$B$3-Assumptions!$B$4+(AL$3/100)^2/2)*Assumptions!$B$9)/((AL$3/100)*Assumptions!$B$10)))-$B15*EXP(-Assumptions!$B$3*Assumptions!$B$9)*NORMSDIST((((LN(Assumptions!$B$2/$B15)+(Assumptions!$B$3-Assumptions!$B$4+(AL$3/100)^2/2)*Assumptions!$B$9)/((AL$3/100)*Assumptions!$B$10))-(AL$3/100)*Assumptions!$B$10)))))</f>
        <v/>
      </c>
      <c r="AM36" s="56">
        <f>IF((MAX(0,Assumptions!$B$2*EXP(-Assumptions!$B$4*Assumptions!$B$9)*NORMSDIST(((LN(Assumptions!$B$2/$B15)+(Assumptions!$B$3-Assumptions!$B$4+(AM$3/100)^2/2)*Assumptions!$B$9)/((AM$3/100)*Assumptions!$B$10)))-$B15*EXP(-Assumptions!$B$3*Assumptions!$B$9)*NORMSDIST((((LN(Assumptions!$B$2/$B15)+(Assumptions!$B$3-Assumptions!$B$4+(AM$3/100)^2/2)*Assumptions!$B$9)/((AM$3/100)*Assumptions!$B$10))-(AM$3/100)*Assumptions!$B$10))))&lt;=0,"",(Assumptions!$B$2*EXP(-Assumptions!$B$4*Assumptions!$B$9)*NORMDIST(((LN(Assumptions!$B$2/$B15)+(Assumptions!$B$3-Assumptions!$B$4+(AM$3/100)^2/2)*Assumptions!$B$9)/((AM$3/100)*Assumptions!$B$10)),0,1,FALSE)*Assumptions!$B$10*0.01)*0.5/(MAX(0,Assumptions!$B$2*EXP(-Assumptions!$B$4*Assumptions!$B$9)*NORMSDIST(((LN(Assumptions!$B$2/$B15)+(Assumptions!$B$3-Assumptions!$B$4+(AM$3/100)^2/2)*Assumptions!$B$9)/((AM$3/100)*Assumptions!$B$10)))-$B15*EXP(-Assumptions!$B$3*Assumptions!$B$9)*NORMSDIST((((LN(Assumptions!$B$2/$B15)+(Assumptions!$B$3-Assumptions!$B$4+(AM$3/100)^2/2)*Assumptions!$B$9)/((AM$3/100)*Assumptions!$B$10))-(AM$3/100)*Assumptions!$B$10)))))</f>
        <v/>
      </c>
      <c r="AN36" s="56">
        <f>IF((MAX(0,Assumptions!$B$2*EXP(-Assumptions!$B$4*Assumptions!$B$9)*NORMSDIST(((LN(Assumptions!$B$2/$B15)+(Assumptions!$B$3-Assumptions!$B$4+(AN$3/100)^2/2)*Assumptions!$B$9)/((AN$3/100)*Assumptions!$B$10)))-$B15*EXP(-Assumptions!$B$3*Assumptions!$B$9)*NORMSDIST((((LN(Assumptions!$B$2/$B15)+(Assumptions!$B$3-Assumptions!$B$4+(AN$3/100)^2/2)*Assumptions!$B$9)/((AN$3/100)*Assumptions!$B$10))-(AN$3/100)*Assumptions!$B$10))))&lt;=0,"",(Assumptions!$B$2*EXP(-Assumptions!$B$4*Assumptions!$B$9)*NORMDIST(((LN(Assumptions!$B$2/$B15)+(Assumptions!$B$3-Assumptions!$B$4+(AN$3/100)^2/2)*Assumptions!$B$9)/((AN$3/100)*Assumptions!$B$10)),0,1,FALSE)*Assumptions!$B$10*0.01)*0.5/(MAX(0,Assumptions!$B$2*EXP(-Assumptions!$B$4*Assumptions!$B$9)*NORMSDIST(((LN(Assumptions!$B$2/$B15)+(Assumptions!$B$3-Assumptions!$B$4+(AN$3/100)^2/2)*Assumptions!$B$9)/((AN$3/100)*Assumptions!$B$10)))-$B15*EXP(-Assumptions!$B$3*Assumptions!$B$9)*NORMSDIST((((LN(Assumptions!$B$2/$B15)+(Assumptions!$B$3-Assumptions!$B$4+(AN$3/100)^2/2)*Assumptions!$B$9)/((AN$3/100)*Assumptions!$B$10))-(AN$3/100)*Assumptions!$B$10)))))</f>
        <v/>
      </c>
      <c r="AO36" s="56">
        <f>IF((MAX(0,Assumptions!$B$2*EXP(-Assumptions!$B$4*Assumptions!$B$9)*NORMSDIST(((LN(Assumptions!$B$2/$B15)+(Assumptions!$B$3-Assumptions!$B$4+(AO$3/100)^2/2)*Assumptions!$B$9)/((AO$3/100)*Assumptions!$B$10)))-$B15*EXP(-Assumptions!$B$3*Assumptions!$B$9)*NORMSDIST((((LN(Assumptions!$B$2/$B15)+(Assumptions!$B$3-Assumptions!$B$4+(AO$3/100)^2/2)*Assumptions!$B$9)/((AO$3/100)*Assumptions!$B$10))-(AO$3/100)*Assumptions!$B$10))))&lt;=0,"",(Assumptions!$B$2*EXP(-Assumptions!$B$4*Assumptions!$B$9)*NORMDIST(((LN(Assumptions!$B$2/$B15)+(Assumptions!$B$3-Assumptions!$B$4+(AO$3/100)^2/2)*Assumptions!$B$9)/((AO$3/100)*Assumptions!$B$10)),0,1,FALSE)*Assumptions!$B$10*0.01)*0.5/(MAX(0,Assumptions!$B$2*EXP(-Assumptions!$B$4*Assumptions!$B$9)*NORMSDIST(((LN(Assumptions!$B$2/$B15)+(Assumptions!$B$3-Assumptions!$B$4+(AO$3/100)^2/2)*Assumptions!$B$9)/((AO$3/100)*Assumptions!$B$10)))-$B15*EXP(-Assumptions!$B$3*Assumptions!$B$9)*NORMSDIST((((LN(Assumptions!$B$2/$B15)+(Assumptions!$B$3-Assumptions!$B$4+(AO$3/100)^2/2)*Assumptions!$B$9)/((AO$3/100)*Assumptions!$B$10))-(AO$3/100)*Assumptions!$B$10)))))</f>
        <v/>
      </c>
      <c r="AP36" s="56">
        <f>IF((MAX(0,Assumptions!$B$2*EXP(-Assumptions!$B$4*Assumptions!$B$9)*NORMSDIST(((LN(Assumptions!$B$2/$B15)+(Assumptions!$B$3-Assumptions!$B$4+(AP$3/100)^2/2)*Assumptions!$B$9)/((AP$3/100)*Assumptions!$B$10)))-$B15*EXP(-Assumptions!$B$3*Assumptions!$B$9)*NORMSDIST((((LN(Assumptions!$B$2/$B15)+(Assumptions!$B$3-Assumptions!$B$4+(AP$3/100)^2/2)*Assumptions!$B$9)/((AP$3/100)*Assumptions!$B$10))-(AP$3/100)*Assumptions!$B$10))))&lt;=0,"",(Assumptions!$B$2*EXP(-Assumptions!$B$4*Assumptions!$B$9)*NORMDIST(((LN(Assumptions!$B$2/$B15)+(Assumptions!$B$3-Assumptions!$B$4+(AP$3/100)^2/2)*Assumptions!$B$9)/((AP$3/100)*Assumptions!$B$10)),0,1,FALSE)*Assumptions!$B$10*0.01)*0.5/(MAX(0,Assumptions!$B$2*EXP(-Assumptions!$B$4*Assumptions!$B$9)*NORMSDIST(((LN(Assumptions!$B$2/$B15)+(Assumptions!$B$3-Assumptions!$B$4+(AP$3/100)^2/2)*Assumptions!$B$9)/((AP$3/100)*Assumptions!$B$10)))-$B15*EXP(-Assumptions!$B$3*Assumptions!$B$9)*NORMSDIST((((LN(Assumptions!$B$2/$B15)+(Assumptions!$B$3-Assumptions!$B$4+(AP$3/100)^2/2)*Assumptions!$B$9)/((AP$3/100)*Assumptions!$B$10))-(AP$3/100)*Assumptions!$B$10)))))</f>
        <v/>
      </c>
      <c r="AQ36" s="56">
        <f>IF((MAX(0,Assumptions!$B$2*EXP(-Assumptions!$B$4*Assumptions!$B$9)*NORMSDIST(((LN(Assumptions!$B$2/$B15)+(Assumptions!$B$3-Assumptions!$B$4+(AQ$3/100)^2/2)*Assumptions!$B$9)/((AQ$3/100)*Assumptions!$B$10)))-$B15*EXP(-Assumptions!$B$3*Assumptions!$B$9)*NORMSDIST((((LN(Assumptions!$B$2/$B15)+(Assumptions!$B$3-Assumptions!$B$4+(AQ$3/100)^2/2)*Assumptions!$B$9)/((AQ$3/100)*Assumptions!$B$10))-(AQ$3/100)*Assumptions!$B$10))))&lt;=0,"",(Assumptions!$B$2*EXP(-Assumptions!$B$4*Assumptions!$B$9)*NORMDIST(((LN(Assumptions!$B$2/$B15)+(Assumptions!$B$3-Assumptions!$B$4+(AQ$3/100)^2/2)*Assumptions!$B$9)/((AQ$3/100)*Assumptions!$B$10)),0,1,FALSE)*Assumptions!$B$10*0.01)*0.5/(MAX(0,Assumptions!$B$2*EXP(-Assumptions!$B$4*Assumptions!$B$9)*NORMSDIST(((LN(Assumptions!$B$2/$B15)+(Assumptions!$B$3-Assumptions!$B$4+(AQ$3/100)^2/2)*Assumptions!$B$9)/((AQ$3/100)*Assumptions!$B$10)))-$B15*EXP(-Assumptions!$B$3*Assumptions!$B$9)*NORMSDIST((((LN(Assumptions!$B$2/$B15)+(Assumptions!$B$3-Assumptions!$B$4+(AQ$3/100)^2/2)*Assumptions!$B$9)/((AQ$3/100)*Assumptions!$B$10))-(AQ$3/100)*Assumptions!$B$10)))))</f>
        <v/>
      </c>
      <c r="AR36" s="56">
        <f>IF((MAX(0,Assumptions!$B$2*EXP(-Assumptions!$B$4*Assumptions!$B$9)*NORMSDIST(((LN(Assumptions!$B$2/$B15)+(Assumptions!$B$3-Assumptions!$B$4+(AR$3/100)^2/2)*Assumptions!$B$9)/((AR$3/100)*Assumptions!$B$10)))-$B15*EXP(-Assumptions!$B$3*Assumptions!$B$9)*NORMSDIST((((LN(Assumptions!$B$2/$B15)+(Assumptions!$B$3-Assumptions!$B$4+(AR$3/100)^2/2)*Assumptions!$B$9)/((AR$3/100)*Assumptions!$B$10))-(AR$3/100)*Assumptions!$B$10))))&lt;=0,"",(Assumptions!$B$2*EXP(-Assumptions!$B$4*Assumptions!$B$9)*NORMDIST(((LN(Assumptions!$B$2/$B15)+(Assumptions!$B$3-Assumptions!$B$4+(AR$3/100)^2/2)*Assumptions!$B$9)/((AR$3/100)*Assumptions!$B$10)),0,1,FALSE)*Assumptions!$B$10*0.01)*0.5/(MAX(0,Assumptions!$B$2*EXP(-Assumptions!$B$4*Assumptions!$B$9)*NORMSDIST(((LN(Assumptions!$B$2/$B15)+(Assumptions!$B$3-Assumptions!$B$4+(AR$3/100)^2/2)*Assumptions!$B$9)/((AR$3/100)*Assumptions!$B$10)))-$B15*EXP(-Assumptions!$B$3*Assumptions!$B$9)*NORMSDIST((((LN(Assumptions!$B$2/$B15)+(Assumptions!$B$3-Assumptions!$B$4+(AR$3/100)^2/2)*Assumptions!$B$9)/((AR$3/100)*Assumptions!$B$10))-(AR$3/100)*Assumptions!$B$10)))))</f>
        <v/>
      </c>
      <c r="AS36" s="56">
        <f>IF((MAX(0,Assumptions!$B$2*EXP(-Assumptions!$B$4*Assumptions!$B$9)*NORMSDIST(((LN(Assumptions!$B$2/$B15)+(Assumptions!$B$3-Assumptions!$B$4+(AS$3/100)^2/2)*Assumptions!$B$9)/((AS$3/100)*Assumptions!$B$10)))-$B15*EXP(-Assumptions!$B$3*Assumptions!$B$9)*NORMSDIST((((LN(Assumptions!$B$2/$B15)+(Assumptions!$B$3-Assumptions!$B$4+(AS$3/100)^2/2)*Assumptions!$B$9)/((AS$3/100)*Assumptions!$B$10))-(AS$3/100)*Assumptions!$B$10))))&lt;=0,"",(Assumptions!$B$2*EXP(-Assumptions!$B$4*Assumptions!$B$9)*NORMDIST(((LN(Assumptions!$B$2/$B15)+(Assumptions!$B$3-Assumptions!$B$4+(AS$3/100)^2/2)*Assumptions!$B$9)/((AS$3/100)*Assumptions!$B$10)),0,1,FALSE)*Assumptions!$B$10*0.01)*0.5/(MAX(0,Assumptions!$B$2*EXP(-Assumptions!$B$4*Assumptions!$B$9)*NORMSDIST(((LN(Assumptions!$B$2/$B15)+(Assumptions!$B$3-Assumptions!$B$4+(AS$3/100)^2/2)*Assumptions!$B$9)/((AS$3/100)*Assumptions!$B$10)))-$B15*EXP(-Assumptions!$B$3*Assumptions!$B$9)*NORMSDIST((((LN(Assumptions!$B$2/$B15)+(Assumptions!$B$3-Assumptions!$B$4+(AS$3/100)^2/2)*Assumptions!$B$9)/((AS$3/100)*Assumptions!$B$10))-(AS$3/100)*Assumptions!$B$10)))))</f>
        <v/>
      </c>
      <c r="AT36" s="56">
        <f>IF((MAX(0,Assumptions!$B$2*EXP(-Assumptions!$B$4*Assumptions!$B$9)*NORMSDIST(((LN(Assumptions!$B$2/$B15)+(Assumptions!$B$3-Assumptions!$B$4+(AT$3/100)^2/2)*Assumptions!$B$9)/((AT$3/100)*Assumptions!$B$10)))-$B15*EXP(-Assumptions!$B$3*Assumptions!$B$9)*NORMSDIST((((LN(Assumptions!$B$2/$B15)+(Assumptions!$B$3-Assumptions!$B$4+(AT$3/100)^2/2)*Assumptions!$B$9)/((AT$3/100)*Assumptions!$B$10))-(AT$3/100)*Assumptions!$B$10))))&lt;=0,"",(Assumptions!$B$2*EXP(-Assumptions!$B$4*Assumptions!$B$9)*NORMDIST(((LN(Assumptions!$B$2/$B15)+(Assumptions!$B$3-Assumptions!$B$4+(AT$3/100)^2/2)*Assumptions!$B$9)/((AT$3/100)*Assumptions!$B$10)),0,1,FALSE)*Assumptions!$B$10*0.01)*0.5/(MAX(0,Assumptions!$B$2*EXP(-Assumptions!$B$4*Assumptions!$B$9)*NORMSDIST(((LN(Assumptions!$B$2/$B15)+(Assumptions!$B$3-Assumptions!$B$4+(AT$3/100)^2/2)*Assumptions!$B$9)/((AT$3/100)*Assumptions!$B$10)))-$B15*EXP(-Assumptions!$B$3*Assumptions!$B$9)*NORMSDIST((((LN(Assumptions!$B$2/$B15)+(Assumptions!$B$3-Assumptions!$B$4+(AT$3/100)^2/2)*Assumptions!$B$9)/((AT$3/100)*Assumptions!$B$10))-(AT$3/100)*Assumptions!$B$10)))))</f>
        <v/>
      </c>
      <c r="AU36" s="56">
        <f>IF((MAX(0,Assumptions!$B$2*EXP(-Assumptions!$B$4*Assumptions!$B$9)*NORMSDIST(((LN(Assumptions!$B$2/$B15)+(Assumptions!$B$3-Assumptions!$B$4+(AU$3/100)^2/2)*Assumptions!$B$9)/((AU$3/100)*Assumptions!$B$10)))-$B15*EXP(-Assumptions!$B$3*Assumptions!$B$9)*NORMSDIST((((LN(Assumptions!$B$2/$B15)+(Assumptions!$B$3-Assumptions!$B$4+(AU$3/100)^2/2)*Assumptions!$B$9)/((AU$3/100)*Assumptions!$B$10))-(AU$3/100)*Assumptions!$B$10))))&lt;=0,"",(Assumptions!$B$2*EXP(-Assumptions!$B$4*Assumptions!$B$9)*NORMDIST(((LN(Assumptions!$B$2/$B15)+(Assumptions!$B$3-Assumptions!$B$4+(AU$3/100)^2/2)*Assumptions!$B$9)/((AU$3/100)*Assumptions!$B$10)),0,1,FALSE)*Assumptions!$B$10*0.01)*0.5/(MAX(0,Assumptions!$B$2*EXP(-Assumptions!$B$4*Assumptions!$B$9)*NORMSDIST(((LN(Assumptions!$B$2/$B15)+(Assumptions!$B$3-Assumptions!$B$4+(AU$3/100)^2/2)*Assumptions!$B$9)/((AU$3/100)*Assumptions!$B$10)))-$B15*EXP(-Assumptions!$B$3*Assumptions!$B$9)*NORMSDIST((((LN(Assumptions!$B$2/$B15)+(Assumptions!$B$3-Assumptions!$B$4+(AU$3/100)^2/2)*Assumptions!$B$9)/((AU$3/100)*Assumptions!$B$10))-(AU$3/100)*Assumptions!$B$10)))))</f>
        <v/>
      </c>
      <c r="AV36" s="56">
        <f>IF((MAX(0,Assumptions!$B$2*EXP(-Assumptions!$B$4*Assumptions!$B$9)*NORMSDIST(((LN(Assumptions!$B$2/$B15)+(Assumptions!$B$3-Assumptions!$B$4+(AV$3/100)^2/2)*Assumptions!$B$9)/((AV$3/100)*Assumptions!$B$10)))-$B15*EXP(-Assumptions!$B$3*Assumptions!$B$9)*NORMSDIST((((LN(Assumptions!$B$2/$B15)+(Assumptions!$B$3-Assumptions!$B$4+(AV$3/100)^2/2)*Assumptions!$B$9)/((AV$3/100)*Assumptions!$B$10))-(AV$3/100)*Assumptions!$B$10))))&lt;=0,"",(Assumptions!$B$2*EXP(-Assumptions!$B$4*Assumptions!$B$9)*NORMDIST(((LN(Assumptions!$B$2/$B15)+(Assumptions!$B$3-Assumptions!$B$4+(AV$3/100)^2/2)*Assumptions!$B$9)/((AV$3/100)*Assumptions!$B$10)),0,1,FALSE)*Assumptions!$B$10*0.01)*0.5/(MAX(0,Assumptions!$B$2*EXP(-Assumptions!$B$4*Assumptions!$B$9)*NORMSDIST(((LN(Assumptions!$B$2/$B15)+(Assumptions!$B$3-Assumptions!$B$4+(AV$3/100)^2/2)*Assumptions!$B$9)/((AV$3/100)*Assumptions!$B$10)))-$B15*EXP(-Assumptions!$B$3*Assumptions!$B$9)*NORMSDIST((((LN(Assumptions!$B$2/$B15)+(Assumptions!$B$3-Assumptions!$B$4+(AV$3/100)^2/2)*Assumptions!$B$9)/((AV$3/100)*Assumptions!$B$10))-(AV$3/100)*Assumptions!$B$10)))))</f>
        <v/>
      </c>
    </row>
    <row r="37">
      <c r="A37" s="27" t="inlineStr">
        <is>
          <t>+1.00%</t>
        </is>
      </c>
      <c r="B37" s="47">
        <f>'BS Engine'!$B$14</f>
        <v/>
      </c>
      <c r="C37" s="28">
        <f>'BS Engine'!$C$14</f>
        <v/>
      </c>
      <c r="D37" s="55">
        <f>IF((MAX(0,Assumptions!$B$2*EXP(-Assumptions!$B$4*Assumptions!$B$9)*NORMSDIST(((LN(Assumptions!$B$2/$B16)+(Assumptions!$B$3-Assumptions!$B$4+(D$3/100)^2/2)*Assumptions!$B$9)/((D$3/100)*Assumptions!$B$10)))-$B16*EXP(-Assumptions!$B$3*Assumptions!$B$9)*NORMSDIST((((LN(Assumptions!$B$2/$B16)+(Assumptions!$B$3-Assumptions!$B$4+(D$3/100)^2/2)*Assumptions!$B$9)/((D$3/100)*Assumptions!$B$10))-(D$3/100)*Assumptions!$B$10))))&lt;=0,"",(Assumptions!$B$2*EXP(-Assumptions!$B$4*Assumptions!$B$9)*NORMDIST(((LN(Assumptions!$B$2/$B16)+(Assumptions!$B$3-Assumptions!$B$4+(D$3/100)^2/2)*Assumptions!$B$9)/((D$3/100)*Assumptions!$B$10)),0,1,FALSE)*Assumptions!$B$10*0.01)*0.5/(MAX(0,Assumptions!$B$2*EXP(-Assumptions!$B$4*Assumptions!$B$9)*NORMSDIST(((LN(Assumptions!$B$2/$B16)+(Assumptions!$B$3-Assumptions!$B$4+(D$3/100)^2/2)*Assumptions!$B$9)/((D$3/100)*Assumptions!$B$10)))-$B16*EXP(-Assumptions!$B$3*Assumptions!$B$9)*NORMSDIST((((LN(Assumptions!$B$2/$B16)+(Assumptions!$B$3-Assumptions!$B$4+(D$3/100)^2/2)*Assumptions!$B$9)/((D$3/100)*Assumptions!$B$10))-(D$3/100)*Assumptions!$B$10)))))</f>
        <v/>
      </c>
      <c r="E37" s="56">
        <f>IF((MAX(0,Assumptions!$B$2*EXP(-Assumptions!$B$4*Assumptions!$B$9)*NORMSDIST(((LN(Assumptions!$B$2/$B16)+(Assumptions!$B$3-Assumptions!$B$4+(E$3/100)^2/2)*Assumptions!$B$9)/((E$3/100)*Assumptions!$B$10)))-$B16*EXP(-Assumptions!$B$3*Assumptions!$B$9)*NORMSDIST((((LN(Assumptions!$B$2/$B16)+(Assumptions!$B$3-Assumptions!$B$4+(E$3/100)^2/2)*Assumptions!$B$9)/((E$3/100)*Assumptions!$B$10))-(E$3/100)*Assumptions!$B$10))))&lt;=0,"",(Assumptions!$B$2*EXP(-Assumptions!$B$4*Assumptions!$B$9)*NORMDIST(((LN(Assumptions!$B$2/$B16)+(Assumptions!$B$3-Assumptions!$B$4+(E$3/100)^2/2)*Assumptions!$B$9)/((E$3/100)*Assumptions!$B$10)),0,1,FALSE)*Assumptions!$B$10*0.01)*0.5/(MAX(0,Assumptions!$B$2*EXP(-Assumptions!$B$4*Assumptions!$B$9)*NORMSDIST(((LN(Assumptions!$B$2/$B16)+(Assumptions!$B$3-Assumptions!$B$4+(E$3/100)^2/2)*Assumptions!$B$9)/((E$3/100)*Assumptions!$B$10)))-$B16*EXP(-Assumptions!$B$3*Assumptions!$B$9)*NORMSDIST((((LN(Assumptions!$B$2/$B16)+(Assumptions!$B$3-Assumptions!$B$4+(E$3/100)^2/2)*Assumptions!$B$9)/((E$3/100)*Assumptions!$B$10))-(E$3/100)*Assumptions!$B$10)))))</f>
        <v/>
      </c>
      <c r="F37" s="56">
        <f>IF((MAX(0,Assumptions!$B$2*EXP(-Assumptions!$B$4*Assumptions!$B$9)*NORMSDIST(((LN(Assumptions!$B$2/$B16)+(Assumptions!$B$3-Assumptions!$B$4+(F$3/100)^2/2)*Assumptions!$B$9)/((F$3/100)*Assumptions!$B$10)))-$B16*EXP(-Assumptions!$B$3*Assumptions!$B$9)*NORMSDIST((((LN(Assumptions!$B$2/$B16)+(Assumptions!$B$3-Assumptions!$B$4+(F$3/100)^2/2)*Assumptions!$B$9)/((F$3/100)*Assumptions!$B$10))-(F$3/100)*Assumptions!$B$10))))&lt;=0,"",(Assumptions!$B$2*EXP(-Assumptions!$B$4*Assumptions!$B$9)*NORMDIST(((LN(Assumptions!$B$2/$B16)+(Assumptions!$B$3-Assumptions!$B$4+(F$3/100)^2/2)*Assumptions!$B$9)/((F$3/100)*Assumptions!$B$10)),0,1,FALSE)*Assumptions!$B$10*0.01)*0.5/(MAX(0,Assumptions!$B$2*EXP(-Assumptions!$B$4*Assumptions!$B$9)*NORMSDIST(((LN(Assumptions!$B$2/$B16)+(Assumptions!$B$3-Assumptions!$B$4+(F$3/100)^2/2)*Assumptions!$B$9)/((F$3/100)*Assumptions!$B$10)))-$B16*EXP(-Assumptions!$B$3*Assumptions!$B$9)*NORMSDIST((((LN(Assumptions!$B$2/$B16)+(Assumptions!$B$3-Assumptions!$B$4+(F$3/100)^2/2)*Assumptions!$B$9)/((F$3/100)*Assumptions!$B$10))-(F$3/100)*Assumptions!$B$10)))))</f>
        <v/>
      </c>
      <c r="G37" s="56">
        <f>IF((MAX(0,Assumptions!$B$2*EXP(-Assumptions!$B$4*Assumptions!$B$9)*NORMSDIST(((LN(Assumptions!$B$2/$B16)+(Assumptions!$B$3-Assumptions!$B$4+(G$3/100)^2/2)*Assumptions!$B$9)/((G$3/100)*Assumptions!$B$10)))-$B16*EXP(-Assumptions!$B$3*Assumptions!$B$9)*NORMSDIST((((LN(Assumptions!$B$2/$B16)+(Assumptions!$B$3-Assumptions!$B$4+(G$3/100)^2/2)*Assumptions!$B$9)/((G$3/100)*Assumptions!$B$10))-(G$3/100)*Assumptions!$B$10))))&lt;=0,"",(Assumptions!$B$2*EXP(-Assumptions!$B$4*Assumptions!$B$9)*NORMDIST(((LN(Assumptions!$B$2/$B16)+(Assumptions!$B$3-Assumptions!$B$4+(G$3/100)^2/2)*Assumptions!$B$9)/((G$3/100)*Assumptions!$B$10)),0,1,FALSE)*Assumptions!$B$10*0.01)*0.5/(MAX(0,Assumptions!$B$2*EXP(-Assumptions!$B$4*Assumptions!$B$9)*NORMSDIST(((LN(Assumptions!$B$2/$B16)+(Assumptions!$B$3-Assumptions!$B$4+(G$3/100)^2/2)*Assumptions!$B$9)/((G$3/100)*Assumptions!$B$10)))-$B16*EXP(-Assumptions!$B$3*Assumptions!$B$9)*NORMSDIST((((LN(Assumptions!$B$2/$B16)+(Assumptions!$B$3-Assumptions!$B$4+(G$3/100)^2/2)*Assumptions!$B$9)/((G$3/100)*Assumptions!$B$10))-(G$3/100)*Assumptions!$B$10)))))</f>
        <v/>
      </c>
      <c r="H37" s="56">
        <f>IF((MAX(0,Assumptions!$B$2*EXP(-Assumptions!$B$4*Assumptions!$B$9)*NORMSDIST(((LN(Assumptions!$B$2/$B16)+(Assumptions!$B$3-Assumptions!$B$4+(H$3/100)^2/2)*Assumptions!$B$9)/((H$3/100)*Assumptions!$B$10)))-$B16*EXP(-Assumptions!$B$3*Assumptions!$B$9)*NORMSDIST((((LN(Assumptions!$B$2/$B16)+(Assumptions!$B$3-Assumptions!$B$4+(H$3/100)^2/2)*Assumptions!$B$9)/((H$3/100)*Assumptions!$B$10))-(H$3/100)*Assumptions!$B$10))))&lt;=0,"",(Assumptions!$B$2*EXP(-Assumptions!$B$4*Assumptions!$B$9)*NORMDIST(((LN(Assumptions!$B$2/$B16)+(Assumptions!$B$3-Assumptions!$B$4+(H$3/100)^2/2)*Assumptions!$B$9)/((H$3/100)*Assumptions!$B$10)),0,1,FALSE)*Assumptions!$B$10*0.01)*0.5/(MAX(0,Assumptions!$B$2*EXP(-Assumptions!$B$4*Assumptions!$B$9)*NORMSDIST(((LN(Assumptions!$B$2/$B16)+(Assumptions!$B$3-Assumptions!$B$4+(H$3/100)^2/2)*Assumptions!$B$9)/((H$3/100)*Assumptions!$B$10)))-$B16*EXP(-Assumptions!$B$3*Assumptions!$B$9)*NORMSDIST((((LN(Assumptions!$B$2/$B16)+(Assumptions!$B$3-Assumptions!$B$4+(H$3/100)^2/2)*Assumptions!$B$9)/((H$3/100)*Assumptions!$B$10))-(H$3/100)*Assumptions!$B$10)))))</f>
        <v/>
      </c>
      <c r="I37" s="56">
        <f>IF((MAX(0,Assumptions!$B$2*EXP(-Assumptions!$B$4*Assumptions!$B$9)*NORMSDIST(((LN(Assumptions!$B$2/$B16)+(Assumptions!$B$3-Assumptions!$B$4+(I$3/100)^2/2)*Assumptions!$B$9)/((I$3/100)*Assumptions!$B$10)))-$B16*EXP(-Assumptions!$B$3*Assumptions!$B$9)*NORMSDIST((((LN(Assumptions!$B$2/$B16)+(Assumptions!$B$3-Assumptions!$B$4+(I$3/100)^2/2)*Assumptions!$B$9)/((I$3/100)*Assumptions!$B$10))-(I$3/100)*Assumptions!$B$10))))&lt;=0,"",(Assumptions!$B$2*EXP(-Assumptions!$B$4*Assumptions!$B$9)*NORMDIST(((LN(Assumptions!$B$2/$B16)+(Assumptions!$B$3-Assumptions!$B$4+(I$3/100)^2/2)*Assumptions!$B$9)/((I$3/100)*Assumptions!$B$10)),0,1,FALSE)*Assumptions!$B$10*0.01)*0.5/(MAX(0,Assumptions!$B$2*EXP(-Assumptions!$B$4*Assumptions!$B$9)*NORMSDIST(((LN(Assumptions!$B$2/$B16)+(Assumptions!$B$3-Assumptions!$B$4+(I$3/100)^2/2)*Assumptions!$B$9)/((I$3/100)*Assumptions!$B$10)))-$B16*EXP(-Assumptions!$B$3*Assumptions!$B$9)*NORMSDIST((((LN(Assumptions!$B$2/$B16)+(Assumptions!$B$3-Assumptions!$B$4+(I$3/100)^2/2)*Assumptions!$B$9)/((I$3/100)*Assumptions!$B$10))-(I$3/100)*Assumptions!$B$10)))))</f>
        <v/>
      </c>
      <c r="J37" s="56">
        <f>IF((MAX(0,Assumptions!$B$2*EXP(-Assumptions!$B$4*Assumptions!$B$9)*NORMSDIST(((LN(Assumptions!$B$2/$B16)+(Assumptions!$B$3-Assumptions!$B$4+(J$3/100)^2/2)*Assumptions!$B$9)/((J$3/100)*Assumptions!$B$10)))-$B16*EXP(-Assumptions!$B$3*Assumptions!$B$9)*NORMSDIST((((LN(Assumptions!$B$2/$B16)+(Assumptions!$B$3-Assumptions!$B$4+(J$3/100)^2/2)*Assumptions!$B$9)/((J$3/100)*Assumptions!$B$10))-(J$3/100)*Assumptions!$B$10))))&lt;=0,"",(Assumptions!$B$2*EXP(-Assumptions!$B$4*Assumptions!$B$9)*NORMDIST(((LN(Assumptions!$B$2/$B16)+(Assumptions!$B$3-Assumptions!$B$4+(J$3/100)^2/2)*Assumptions!$B$9)/((J$3/100)*Assumptions!$B$10)),0,1,FALSE)*Assumptions!$B$10*0.01)*0.5/(MAX(0,Assumptions!$B$2*EXP(-Assumptions!$B$4*Assumptions!$B$9)*NORMSDIST(((LN(Assumptions!$B$2/$B16)+(Assumptions!$B$3-Assumptions!$B$4+(J$3/100)^2/2)*Assumptions!$B$9)/((J$3/100)*Assumptions!$B$10)))-$B16*EXP(-Assumptions!$B$3*Assumptions!$B$9)*NORMSDIST((((LN(Assumptions!$B$2/$B16)+(Assumptions!$B$3-Assumptions!$B$4+(J$3/100)^2/2)*Assumptions!$B$9)/((J$3/100)*Assumptions!$B$10))-(J$3/100)*Assumptions!$B$10)))))</f>
        <v/>
      </c>
      <c r="K37" s="56">
        <f>IF((MAX(0,Assumptions!$B$2*EXP(-Assumptions!$B$4*Assumptions!$B$9)*NORMSDIST(((LN(Assumptions!$B$2/$B16)+(Assumptions!$B$3-Assumptions!$B$4+(K$3/100)^2/2)*Assumptions!$B$9)/((K$3/100)*Assumptions!$B$10)))-$B16*EXP(-Assumptions!$B$3*Assumptions!$B$9)*NORMSDIST((((LN(Assumptions!$B$2/$B16)+(Assumptions!$B$3-Assumptions!$B$4+(K$3/100)^2/2)*Assumptions!$B$9)/((K$3/100)*Assumptions!$B$10))-(K$3/100)*Assumptions!$B$10))))&lt;=0,"",(Assumptions!$B$2*EXP(-Assumptions!$B$4*Assumptions!$B$9)*NORMDIST(((LN(Assumptions!$B$2/$B16)+(Assumptions!$B$3-Assumptions!$B$4+(K$3/100)^2/2)*Assumptions!$B$9)/((K$3/100)*Assumptions!$B$10)),0,1,FALSE)*Assumptions!$B$10*0.01)*0.5/(MAX(0,Assumptions!$B$2*EXP(-Assumptions!$B$4*Assumptions!$B$9)*NORMSDIST(((LN(Assumptions!$B$2/$B16)+(Assumptions!$B$3-Assumptions!$B$4+(K$3/100)^2/2)*Assumptions!$B$9)/((K$3/100)*Assumptions!$B$10)))-$B16*EXP(-Assumptions!$B$3*Assumptions!$B$9)*NORMSDIST((((LN(Assumptions!$B$2/$B16)+(Assumptions!$B$3-Assumptions!$B$4+(K$3/100)^2/2)*Assumptions!$B$9)/((K$3/100)*Assumptions!$B$10))-(K$3/100)*Assumptions!$B$10)))))</f>
        <v/>
      </c>
      <c r="L37" s="56">
        <f>IF((MAX(0,Assumptions!$B$2*EXP(-Assumptions!$B$4*Assumptions!$B$9)*NORMSDIST(((LN(Assumptions!$B$2/$B16)+(Assumptions!$B$3-Assumptions!$B$4+(L$3/100)^2/2)*Assumptions!$B$9)/((L$3/100)*Assumptions!$B$10)))-$B16*EXP(-Assumptions!$B$3*Assumptions!$B$9)*NORMSDIST((((LN(Assumptions!$B$2/$B16)+(Assumptions!$B$3-Assumptions!$B$4+(L$3/100)^2/2)*Assumptions!$B$9)/((L$3/100)*Assumptions!$B$10))-(L$3/100)*Assumptions!$B$10))))&lt;=0,"",(Assumptions!$B$2*EXP(-Assumptions!$B$4*Assumptions!$B$9)*NORMDIST(((LN(Assumptions!$B$2/$B16)+(Assumptions!$B$3-Assumptions!$B$4+(L$3/100)^2/2)*Assumptions!$B$9)/((L$3/100)*Assumptions!$B$10)),0,1,FALSE)*Assumptions!$B$10*0.01)*0.5/(MAX(0,Assumptions!$B$2*EXP(-Assumptions!$B$4*Assumptions!$B$9)*NORMSDIST(((LN(Assumptions!$B$2/$B16)+(Assumptions!$B$3-Assumptions!$B$4+(L$3/100)^2/2)*Assumptions!$B$9)/((L$3/100)*Assumptions!$B$10)))-$B16*EXP(-Assumptions!$B$3*Assumptions!$B$9)*NORMSDIST((((LN(Assumptions!$B$2/$B16)+(Assumptions!$B$3-Assumptions!$B$4+(L$3/100)^2/2)*Assumptions!$B$9)/((L$3/100)*Assumptions!$B$10))-(L$3/100)*Assumptions!$B$10)))))</f>
        <v/>
      </c>
      <c r="M37" s="56">
        <f>IF((MAX(0,Assumptions!$B$2*EXP(-Assumptions!$B$4*Assumptions!$B$9)*NORMSDIST(((LN(Assumptions!$B$2/$B16)+(Assumptions!$B$3-Assumptions!$B$4+(M$3/100)^2/2)*Assumptions!$B$9)/((M$3/100)*Assumptions!$B$10)))-$B16*EXP(-Assumptions!$B$3*Assumptions!$B$9)*NORMSDIST((((LN(Assumptions!$B$2/$B16)+(Assumptions!$B$3-Assumptions!$B$4+(M$3/100)^2/2)*Assumptions!$B$9)/((M$3/100)*Assumptions!$B$10))-(M$3/100)*Assumptions!$B$10))))&lt;=0,"",(Assumptions!$B$2*EXP(-Assumptions!$B$4*Assumptions!$B$9)*NORMDIST(((LN(Assumptions!$B$2/$B16)+(Assumptions!$B$3-Assumptions!$B$4+(M$3/100)^2/2)*Assumptions!$B$9)/((M$3/100)*Assumptions!$B$10)),0,1,FALSE)*Assumptions!$B$10*0.01)*0.5/(MAX(0,Assumptions!$B$2*EXP(-Assumptions!$B$4*Assumptions!$B$9)*NORMSDIST(((LN(Assumptions!$B$2/$B16)+(Assumptions!$B$3-Assumptions!$B$4+(M$3/100)^2/2)*Assumptions!$B$9)/((M$3/100)*Assumptions!$B$10)))-$B16*EXP(-Assumptions!$B$3*Assumptions!$B$9)*NORMSDIST((((LN(Assumptions!$B$2/$B16)+(Assumptions!$B$3-Assumptions!$B$4+(M$3/100)^2/2)*Assumptions!$B$9)/((M$3/100)*Assumptions!$B$10))-(M$3/100)*Assumptions!$B$10)))))</f>
        <v/>
      </c>
      <c r="N37" s="56">
        <f>IF((MAX(0,Assumptions!$B$2*EXP(-Assumptions!$B$4*Assumptions!$B$9)*NORMSDIST(((LN(Assumptions!$B$2/$B16)+(Assumptions!$B$3-Assumptions!$B$4+(N$3/100)^2/2)*Assumptions!$B$9)/((N$3/100)*Assumptions!$B$10)))-$B16*EXP(-Assumptions!$B$3*Assumptions!$B$9)*NORMSDIST((((LN(Assumptions!$B$2/$B16)+(Assumptions!$B$3-Assumptions!$B$4+(N$3/100)^2/2)*Assumptions!$B$9)/((N$3/100)*Assumptions!$B$10))-(N$3/100)*Assumptions!$B$10))))&lt;=0,"",(Assumptions!$B$2*EXP(-Assumptions!$B$4*Assumptions!$B$9)*NORMDIST(((LN(Assumptions!$B$2/$B16)+(Assumptions!$B$3-Assumptions!$B$4+(N$3/100)^2/2)*Assumptions!$B$9)/((N$3/100)*Assumptions!$B$10)),0,1,FALSE)*Assumptions!$B$10*0.01)*0.5/(MAX(0,Assumptions!$B$2*EXP(-Assumptions!$B$4*Assumptions!$B$9)*NORMSDIST(((LN(Assumptions!$B$2/$B16)+(Assumptions!$B$3-Assumptions!$B$4+(N$3/100)^2/2)*Assumptions!$B$9)/((N$3/100)*Assumptions!$B$10)))-$B16*EXP(-Assumptions!$B$3*Assumptions!$B$9)*NORMSDIST((((LN(Assumptions!$B$2/$B16)+(Assumptions!$B$3-Assumptions!$B$4+(N$3/100)^2/2)*Assumptions!$B$9)/((N$3/100)*Assumptions!$B$10))-(N$3/100)*Assumptions!$B$10)))))</f>
        <v/>
      </c>
      <c r="O37" s="56">
        <f>IF((MAX(0,Assumptions!$B$2*EXP(-Assumptions!$B$4*Assumptions!$B$9)*NORMSDIST(((LN(Assumptions!$B$2/$B16)+(Assumptions!$B$3-Assumptions!$B$4+(O$3/100)^2/2)*Assumptions!$B$9)/((O$3/100)*Assumptions!$B$10)))-$B16*EXP(-Assumptions!$B$3*Assumptions!$B$9)*NORMSDIST((((LN(Assumptions!$B$2/$B16)+(Assumptions!$B$3-Assumptions!$B$4+(O$3/100)^2/2)*Assumptions!$B$9)/((O$3/100)*Assumptions!$B$10))-(O$3/100)*Assumptions!$B$10))))&lt;=0,"",(Assumptions!$B$2*EXP(-Assumptions!$B$4*Assumptions!$B$9)*NORMDIST(((LN(Assumptions!$B$2/$B16)+(Assumptions!$B$3-Assumptions!$B$4+(O$3/100)^2/2)*Assumptions!$B$9)/((O$3/100)*Assumptions!$B$10)),0,1,FALSE)*Assumptions!$B$10*0.01)*0.5/(MAX(0,Assumptions!$B$2*EXP(-Assumptions!$B$4*Assumptions!$B$9)*NORMSDIST(((LN(Assumptions!$B$2/$B16)+(Assumptions!$B$3-Assumptions!$B$4+(O$3/100)^2/2)*Assumptions!$B$9)/((O$3/100)*Assumptions!$B$10)))-$B16*EXP(-Assumptions!$B$3*Assumptions!$B$9)*NORMSDIST((((LN(Assumptions!$B$2/$B16)+(Assumptions!$B$3-Assumptions!$B$4+(O$3/100)^2/2)*Assumptions!$B$9)/((O$3/100)*Assumptions!$B$10))-(O$3/100)*Assumptions!$B$10)))))</f>
        <v/>
      </c>
      <c r="P37" s="56">
        <f>IF((MAX(0,Assumptions!$B$2*EXP(-Assumptions!$B$4*Assumptions!$B$9)*NORMSDIST(((LN(Assumptions!$B$2/$B16)+(Assumptions!$B$3-Assumptions!$B$4+(P$3/100)^2/2)*Assumptions!$B$9)/((P$3/100)*Assumptions!$B$10)))-$B16*EXP(-Assumptions!$B$3*Assumptions!$B$9)*NORMSDIST((((LN(Assumptions!$B$2/$B16)+(Assumptions!$B$3-Assumptions!$B$4+(P$3/100)^2/2)*Assumptions!$B$9)/((P$3/100)*Assumptions!$B$10))-(P$3/100)*Assumptions!$B$10))))&lt;=0,"",(Assumptions!$B$2*EXP(-Assumptions!$B$4*Assumptions!$B$9)*NORMDIST(((LN(Assumptions!$B$2/$B16)+(Assumptions!$B$3-Assumptions!$B$4+(P$3/100)^2/2)*Assumptions!$B$9)/((P$3/100)*Assumptions!$B$10)),0,1,FALSE)*Assumptions!$B$10*0.01)*0.5/(MAX(0,Assumptions!$B$2*EXP(-Assumptions!$B$4*Assumptions!$B$9)*NORMSDIST(((LN(Assumptions!$B$2/$B16)+(Assumptions!$B$3-Assumptions!$B$4+(P$3/100)^2/2)*Assumptions!$B$9)/((P$3/100)*Assumptions!$B$10)))-$B16*EXP(-Assumptions!$B$3*Assumptions!$B$9)*NORMSDIST((((LN(Assumptions!$B$2/$B16)+(Assumptions!$B$3-Assumptions!$B$4+(P$3/100)^2/2)*Assumptions!$B$9)/((P$3/100)*Assumptions!$B$10))-(P$3/100)*Assumptions!$B$10)))))</f>
        <v/>
      </c>
      <c r="Q37" s="56">
        <f>IF((MAX(0,Assumptions!$B$2*EXP(-Assumptions!$B$4*Assumptions!$B$9)*NORMSDIST(((LN(Assumptions!$B$2/$B16)+(Assumptions!$B$3-Assumptions!$B$4+(Q$3/100)^2/2)*Assumptions!$B$9)/((Q$3/100)*Assumptions!$B$10)))-$B16*EXP(-Assumptions!$B$3*Assumptions!$B$9)*NORMSDIST((((LN(Assumptions!$B$2/$B16)+(Assumptions!$B$3-Assumptions!$B$4+(Q$3/100)^2/2)*Assumptions!$B$9)/((Q$3/100)*Assumptions!$B$10))-(Q$3/100)*Assumptions!$B$10))))&lt;=0,"",(Assumptions!$B$2*EXP(-Assumptions!$B$4*Assumptions!$B$9)*NORMDIST(((LN(Assumptions!$B$2/$B16)+(Assumptions!$B$3-Assumptions!$B$4+(Q$3/100)^2/2)*Assumptions!$B$9)/((Q$3/100)*Assumptions!$B$10)),0,1,FALSE)*Assumptions!$B$10*0.01)*0.5/(MAX(0,Assumptions!$B$2*EXP(-Assumptions!$B$4*Assumptions!$B$9)*NORMSDIST(((LN(Assumptions!$B$2/$B16)+(Assumptions!$B$3-Assumptions!$B$4+(Q$3/100)^2/2)*Assumptions!$B$9)/((Q$3/100)*Assumptions!$B$10)))-$B16*EXP(-Assumptions!$B$3*Assumptions!$B$9)*NORMSDIST((((LN(Assumptions!$B$2/$B16)+(Assumptions!$B$3-Assumptions!$B$4+(Q$3/100)^2/2)*Assumptions!$B$9)/((Q$3/100)*Assumptions!$B$10))-(Q$3/100)*Assumptions!$B$10)))))</f>
        <v/>
      </c>
      <c r="R37" s="56">
        <f>IF((MAX(0,Assumptions!$B$2*EXP(-Assumptions!$B$4*Assumptions!$B$9)*NORMSDIST(((LN(Assumptions!$B$2/$B16)+(Assumptions!$B$3-Assumptions!$B$4+(R$3/100)^2/2)*Assumptions!$B$9)/((R$3/100)*Assumptions!$B$10)))-$B16*EXP(-Assumptions!$B$3*Assumptions!$B$9)*NORMSDIST((((LN(Assumptions!$B$2/$B16)+(Assumptions!$B$3-Assumptions!$B$4+(R$3/100)^2/2)*Assumptions!$B$9)/((R$3/100)*Assumptions!$B$10))-(R$3/100)*Assumptions!$B$10))))&lt;=0,"",(Assumptions!$B$2*EXP(-Assumptions!$B$4*Assumptions!$B$9)*NORMDIST(((LN(Assumptions!$B$2/$B16)+(Assumptions!$B$3-Assumptions!$B$4+(R$3/100)^2/2)*Assumptions!$B$9)/((R$3/100)*Assumptions!$B$10)),0,1,FALSE)*Assumptions!$B$10*0.01)*0.5/(MAX(0,Assumptions!$B$2*EXP(-Assumptions!$B$4*Assumptions!$B$9)*NORMSDIST(((LN(Assumptions!$B$2/$B16)+(Assumptions!$B$3-Assumptions!$B$4+(R$3/100)^2/2)*Assumptions!$B$9)/((R$3/100)*Assumptions!$B$10)))-$B16*EXP(-Assumptions!$B$3*Assumptions!$B$9)*NORMSDIST((((LN(Assumptions!$B$2/$B16)+(Assumptions!$B$3-Assumptions!$B$4+(R$3/100)^2/2)*Assumptions!$B$9)/((R$3/100)*Assumptions!$B$10))-(R$3/100)*Assumptions!$B$10)))))</f>
        <v/>
      </c>
      <c r="S37" s="56">
        <f>IF((MAX(0,Assumptions!$B$2*EXP(-Assumptions!$B$4*Assumptions!$B$9)*NORMSDIST(((LN(Assumptions!$B$2/$B16)+(Assumptions!$B$3-Assumptions!$B$4+(S$3/100)^2/2)*Assumptions!$B$9)/((S$3/100)*Assumptions!$B$10)))-$B16*EXP(-Assumptions!$B$3*Assumptions!$B$9)*NORMSDIST((((LN(Assumptions!$B$2/$B16)+(Assumptions!$B$3-Assumptions!$B$4+(S$3/100)^2/2)*Assumptions!$B$9)/((S$3/100)*Assumptions!$B$10))-(S$3/100)*Assumptions!$B$10))))&lt;=0,"",(Assumptions!$B$2*EXP(-Assumptions!$B$4*Assumptions!$B$9)*NORMDIST(((LN(Assumptions!$B$2/$B16)+(Assumptions!$B$3-Assumptions!$B$4+(S$3/100)^2/2)*Assumptions!$B$9)/((S$3/100)*Assumptions!$B$10)),0,1,FALSE)*Assumptions!$B$10*0.01)*0.5/(MAX(0,Assumptions!$B$2*EXP(-Assumptions!$B$4*Assumptions!$B$9)*NORMSDIST(((LN(Assumptions!$B$2/$B16)+(Assumptions!$B$3-Assumptions!$B$4+(S$3/100)^2/2)*Assumptions!$B$9)/((S$3/100)*Assumptions!$B$10)))-$B16*EXP(-Assumptions!$B$3*Assumptions!$B$9)*NORMSDIST((((LN(Assumptions!$B$2/$B16)+(Assumptions!$B$3-Assumptions!$B$4+(S$3/100)^2/2)*Assumptions!$B$9)/((S$3/100)*Assumptions!$B$10))-(S$3/100)*Assumptions!$B$10)))))</f>
        <v/>
      </c>
      <c r="T37" s="56">
        <f>IF((MAX(0,Assumptions!$B$2*EXP(-Assumptions!$B$4*Assumptions!$B$9)*NORMSDIST(((LN(Assumptions!$B$2/$B16)+(Assumptions!$B$3-Assumptions!$B$4+(T$3/100)^2/2)*Assumptions!$B$9)/((T$3/100)*Assumptions!$B$10)))-$B16*EXP(-Assumptions!$B$3*Assumptions!$B$9)*NORMSDIST((((LN(Assumptions!$B$2/$B16)+(Assumptions!$B$3-Assumptions!$B$4+(T$3/100)^2/2)*Assumptions!$B$9)/((T$3/100)*Assumptions!$B$10))-(T$3/100)*Assumptions!$B$10))))&lt;=0,"",(Assumptions!$B$2*EXP(-Assumptions!$B$4*Assumptions!$B$9)*NORMDIST(((LN(Assumptions!$B$2/$B16)+(Assumptions!$B$3-Assumptions!$B$4+(T$3/100)^2/2)*Assumptions!$B$9)/((T$3/100)*Assumptions!$B$10)),0,1,FALSE)*Assumptions!$B$10*0.01)*0.5/(MAX(0,Assumptions!$B$2*EXP(-Assumptions!$B$4*Assumptions!$B$9)*NORMSDIST(((LN(Assumptions!$B$2/$B16)+(Assumptions!$B$3-Assumptions!$B$4+(T$3/100)^2/2)*Assumptions!$B$9)/((T$3/100)*Assumptions!$B$10)))-$B16*EXP(-Assumptions!$B$3*Assumptions!$B$9)*NORMSDIST((((LN(Assumptions!$B$2/$B16)+(Assumptions!$B$3-Assumptions!$B$4+(T$3/100)^2/2)*Assumptions!$B$9)/((T$3/100)*Assumptions!$B$10))-(T$3/100)*Assumptions!$B$10)))))</f>
        <v/>
      </c>
      <c r="U37" s="56">
        <f>IF((MAX(0,Assumptions!$B$2*EXP(-Assumptions!$B$4*Assumptions!$B$9)*NORMSDIST(((LN(Assumptions!$B$2/$B16)+(Assumptions!$B$3-Assumptions!$B$4+(U$3/100)^2/2)*Assumptions!$B$9)/((U$3/100)*Assumptions!$B$10)))-$B16*EXP(-Assumptions!$B$3*Assumptions!$B$9)*NORMSDIST((((LN(Assumptions!$B$2/$B16)+(Assumptions!$B$3-Assumptions!$B$4+(U$3/100)^2/2)*Assumptions!$B$9)/((U$3/100)*Assumptions!$B$10))-(U$3/100)*Assumptions!$B$10))))&lt;=0,"",(Assumptions!$B$2*EXP(-Assumptions!$B$4*Assumptions!$B$9)*NORMDIST(((LN(Assumptions!$B$2/$B16)+(Assumptions!$B$3-Assumptions!$B$4+(U$3/100)^2/2)*Assumptions!$B$9)/((U$3/100)*Assumptions!$B$10)),0,1,FALSE)*Assumptions!$B$10*0.01)*0.5/(MAX(0,Assumptions!$B$2*EXP(-Assumptions!$B$4*Assumptions!$B$9)*NORMSDIST(((LN(Assumptions!$B$2/$B16)+(Assumptions!$B$3-Assumptions!$B$4+(U$3/100)^2/2)*Assumptions!$B$9)/((U$3/100)*Assumptions!$B$10)))-$B16*EXP(-Assumptions!$B$3*Assumptions!$B$9)*NORMSDIST((((LN(Assumptions!$B$2/$B16)+(Assumptions!$B$3-Assumptions!$B$4+(U$3/100)^2/2)*Assumptions!$B$9)/((U$3/100)*Assumptions!$B$10))-(U$3/100)*Assumptions!$B$10)))))</f>
        <v/>
      </c>
      <c r="V37" s="56">
        <f>IF((MAX(0,Assumptions!$B$2*EXP(-Assumptions!$B$4*Assumptions!$B$9)*NORMSDIST(((LN(Assumptions!$B$2/$B16)+(Assumptions!$B$3-Assumptions!$B$4+(V$3/100)^2/2)*Assumptions!$B$9)/((V$3/100)*Assumptions!$B$10)))-$B16*EXP(-Assumptions!$B$3*Assumptions!$B$9)*NORMSDIST((((LN(Assumptions!$B$2/$B16)+(Assumptions!$B$3-Assumptions!$B$4+(V$3/100)^2/2)*Assumptions!$B$9)/((V$3/100)*Assumptions!$B$10))-(V$3/100)*Assumptions!$B$10))))&lt;=0,"",(Assumptions!$B$2*EXP(-Assumptions!$B$4*Assumptions!$B$9)*NORMDIST(((LN(Assumptions!$B$2/$B16)+(Assumptions!$B$3-Assumptions!$B$4+(V$3/100)^2/2)*Assumptions!$B$9)/((V$3/100)*Assumptions!$B$10)),0,1,FALSE)*Assumptions!$B$10*0.01)*0.5/(MAX(0,Assumptions!$B$2*EXP(-Assumptions!$B$4*Assumptions!$B$9)*NORMSDIST(((LN(Assumptions!$B$2/$B16)+(Assumptions!$B$3-Assumptions!$B$4+(V$3/100)^2/2)*Assumptions!$B$9)/((V$3/100)*Assumptions!$B$10)))-$B16*EXP(-Assumptions!$B$3*Assumptions!$B$9)*NORMSDIST((((LN(Assumptions!$B$2/$B16)+(Assumptions!$B$3-Assumptions!$B$4+(V$3/100)^2/2)*Assumptions!$B$9)/((V$3/100)*Assumptions!$B$10))-(V$3/100)*Assumptions!$B$10)))))</f>
        <v/>
      </c>
      <c r="W37" s="56">
        <f>IF((MAX(0,Assumptions!$B$2*EXP(-Assumptions!$B$4*Assumptions!$B$9)*NORMSDIST(((LN(Assumptions!$B$2/$B16)+(Assumptions!$B$3-Assumptions!$B$4+(W$3/100)^2/2)*Assumptions!$B$9)/((W$3/100)*Assumptions!$B$10)))-$B16*EXP(-Assumptions!$B$3*Assumptions!$B$9)*NORMSDIST((((LN(Assumptions!$B$2/$B16)+(Assumptions!$B$3-Assumptions!$B$4+(W$3/100)^2/2)*Assumptions!$B$9)/((W$3/100)*Assumptions!$B$10))-(W$3/100)*Assumptions!$B$10))))&lt;=0,"",(Assumptions!$B$2*EXP(-Assumptions!$B$4*Assumptions!$B$9)*NORMDIST(((LN(Assumptions!$B$2/$B16)+(Assumptions!$B$3-Assumptions!$B$4+(W$3/100)^2/2)*Assumptions!$B$9)/((W$3/100)*Assumptions!$B$10)),0,1,FALSE)*Assumptions!$B$10*0.01)*0.5/(MAX(0,Assumptions!$B$2*EXP(-Assumptions!$B$4*Assumptions!$B$9)*NORMSDIST(((LN(Assumptions!$B$2/$B16)+(Assumptions!$B$3-Assumptions!$B$4+(W$3/100)^2/2)*Assumptions!$B$9)/((W$3/100)*Assumptions!$B$10)))-$B16*EXP(-Assumptions!$B$3*Assumptions!$B$9)*NORMSDIST((((LN(Assumptions!$B$2/$B16)+(Assumptions!$B$3-Assumptions!$B$4+(W$3/100)^2/2)*Assumptions!$B$9)/((W$3/100)*Assumptions!$B$10))-(W$3/100)*Assumptions!$B$10)))))</f>
        <v/>
      </c>
      <c r="X37" s="56">
        <f>IF((MAX(0,Assumptions!$B$2*EXP(-Assumptions!$B$4*Assumptions!$B$9)*NORMSDIST(((LN(Assumptions!$B$2/$B16)+(Assumptions!$B$3-Assumptions!$B$4+(X$3/100)^2/2)*Assumptions!$B$9)/((X$3/100)*Assumptions!$B$10)))-$B16*EXP(-Assumptions!$B$3*Assumptions!$B$9)*NORMSDIST((((LN(Assumptions!$B$2/$B16)+(Assumptions!$B$3-Assumptions!$B$4+(X$3/100)^2/2)*Assumptions!$B$9)/((X$3/100)*Assumptions!$B$10))-(X$3/100)*Assumptions!$B$10))))&lt;=0,"",(Assumptions!$B$2*EXP(-Assumptions!$B$4*Assumptions!$B$9)*NORMDIST(((LN(Assumptions!$B$2/$B16)+(Assumptions!$B$3-Assumptions!$B$4+(X$3/100)^2/2)*Assumptions!$B$9)/((X$3/100)*Assumptions!$B$10)),0,1,FALSE)*Assumptions!$B$10*0.01)*0.5/(MAX(0,Assumptions!$B$2*EXP(-Assumptions!$B$4*Assumptions!$B$9)*NORMSDIST(((LN(Assumptions!$B$2/$B16)+(Assumptions!$B$3-Assumptions!$B$4+(X$3/100)^2/2)*Assumptions!$B$9)/((X$3/100)*Assumptions!$B$10)))-$B16*EXP(-Assumptions!$B$3*Assumptions!$B$9)*NORMSDIST((((LN(Assumptions!$B$2/$B16)+(Assumptions!$B$3-Assumptions!$B$4+(X$3/100)^2/2)*Assumptions!$B$9)/((X$3/100)*Assumptions!$B$10))-(X$3/100)*Assumptions!$B$10)))))</f>
        <v/>
      </c>
      <c r="Y37" s="56">
        <f>IF((MAX(0,Assumptions!$B$2*EXP(-Assumptions!$B$4*Assumptions!$B$9)*NORMSDIST(((LN(Assumptions!$B$2/$B16)+(Assumptions!$B$3-Assumptions!$B$4+(Y$3/100)^2/2)*Assumptions!$B$9)/((Y$3/100)*Assumptions!$B$10)))-$B16*EXP(-Assumptions!$B$3*Assumptions!$B$9)*NORMSDIST((((LN(Assumptions!$B$2/$B16)+(Assumptions!$B$3-Assumptions!$B$4+(Y$3/100)^2/2)*Assumptions!$B$9)/((Y$3/100)*Assumptions!$B$10))-(Y$3/100)*Assumptions!$B$10))))&lt;=0,"",(Assumptions!$B$2*EXP(-Assumptions!$B$4*Assumptions!$B$9)*NORMDIST(((LN(Assumptions!$B$2/$B16)+(Assumptions!$B$3-Assumptions!$B$4+(Y$3/100)^2/2)*Assumptions!$B$9)/((Y$3/100)*Assumptions!$B$10)),0,1,FALSE)*Assumptions!$B$10*0.01)*0.5/(MAX(0,Assumptions!$B$2*EXP(-Assumptions!$B$4*Assumptions!$B$9)*NORMSDIST(((LN(Assumptions!$B$2/$B16)+(Assumptions!$B$3-Assumptions!$B$4+(Y$3/100)^2/2)*Assumptions!$B$9)/((Y$3/100)*Assumptions!$B$10)))-$B16*EXP(-Assumptions!$B$3*Assumptions!$B$9)*NORMSDIST((((LN(Assumptions!$B$2/$B16)+(Assumptions!$B$3-Assumptions!$B$4+(Y$3/100)^2/2)*Assumptions!$B$9)/((Y$3/100)*Assumptions!$B$10))-(Y$3/100)*Assumptions!$B$10)))))</f>
        <v/>
      </c>
      <c r="Z37" s="56">
        <f>IF((MAX(0,Assumptions!$B$2*EXP(-Assumptions!$B$4*Assumptions!$B$9)*NORMSDIST(((LN(Assumptions!$B$2/$B16)+(Assumptions!$B$3-Assumptions!$B$4+(Z$3/100)^2/2)*Assumptions!$B$9)/((Z$3/100)*Assumptions!$B$10)))-$B16*EXP(-Assumptions!$B$3*Assumptions!$B$9)*NORMSDIST((((LN(Assumptions!$B$2/$B16)+(Assumptions!$B$3-Assumptions!$B$4+(Z$3/100)^2/2)*Assumptions!$B$9)/((Z$3/100)*Assumptions!$B$10))-(Z$3/100)*Assumptions!$B$10))))&lt;=0,"",(Assumptions!$B$2*EXP(-Assumptions!$B$4*Assumptions!$B$9)*NORMDIST(((LN(Assumptions!$B$2/$B16)+(Assumptions!$B$3-Assumptions!$B$4+(Z$3/100)^2/2)*Assumptions!$B$9)/((Z$3/100)*Assumptions!$B$10)),0,1,FALSE)*Assumptions!$B$10*0.01)*0.5/(MAX(0,Assumptions!$B$2*EXP(-Assumptions!$B$4*Assumptions!$B$9)*NORMSDIST(((LN(Assumptions!$B$2/$B16)+(Assumptions!$B$3-Assumptions!$B$4+(Z$3/100)^2/2)*Assumptions!$B$9)/((Z$3/100)*Assumptions!$B$10)))-$B16*EXP(-Assumptions!$B$3*Assumptions!$B$9)*NORMSDIST((((LN(Assumptions!$B$2/$B16)+(Assumptions!$B$3-Assumptions!$B$4+(Z$3/100)^2/2)*Assumptions!$B$9)/((Z$3/100)*Assumptions!$B$10))-(Z$3/100)*Assumptions!$B$10)))))</f>
        <v/>
      </c>
      <c r="AA37" s="56">
        <f>IF((MAX(0,Assumptions!$B$2*EXP(-Assumptions!$B$4*Assumptions!$B$9)*NORMSDIST(((LN(Assumptions!$B$2/$B16)+(Assumptions!$B$3-Assumptions!$B$4+(AA$3/100)^2/2)*Assumptions!$B$9)/((AA$3/100)*Assumptions!$B$10)))-$B16*EXP(-Assumptions!$B$3*Assumptions!$B$9)*NORMSDIST((((LN(Assumptions!$B$2/$B16)+(Assumptions!$B$3-Assumptions!$B$4+(AA$3/100)^2/2)*Assumptions!$B$9)/((AA$3/100)*Assumptions!$B$10))-(AA$3/100)*Assumptions!$B$10))))&lt;=0,"",(Assumptions!$B$2*EXP(-Assumptions!$B$4*Assumptions!$B$9)*NORMDIST(((LN(Assumptions!$B$2/$B16)+(Assumptions!$B$3-Assumptions!$B$4+(AA$3/100)^2/2)*Assumptions!$B$9)/((AA$3/100)*Assumptions!$B$10)),0,1,FALSE)*Assumptions!$B$10*0.01)*0.5/(MAX(0,Assumptions!$B$2*EXP(-Assumptions!$B$4*Assumptions!$B$9)*NORMSDIST(((LN(Assumptions!$B$2/$B16)+(Assumptions!$B$3-Assumptions!$B$4+(AA$3/100)^2/2)*Assumptions!$B$9)/((AA$3/100)*Assumptions!$B$10)))-$B16*EXP(-Assumptions!$B$3*Assumptions!$B$9)*NORMSDIST((((LN(Assumptions!$B$2/$B16)+(Assumptions!$B$3-Assumptions!$B$4+(AA$3/100)^2/2)*Assumptions!$B$9)/((AA$3/100)*Assumptions!$B$10))-(AA$3/100)*Assumptions!$B$10)))))</f>
        <v/>
      </c>
      <c r="AB37" s="56">
        <f>IF((MAX(0,Assumptions!$B$2*EXP(-Assumptions!$B$4*Assumptions!$B$9)*NORMSDIST(((LN(Assumptions!$B$2/$B16)+(Assumptions!$B$3-Assumptions!$B$4+(AB$3/100)^2/2)*Assumptions!$B$9)/((AB$3/100)*Assumptions!$B$10)))-$B16*EXP(-Assumptions!$B$3*Assumptions!$B$9)*NORMSDIST((((LN(Assumptions!$B$2/$B16)+(Assumptions!$B$3-Assumptions!$B$4+(AB$3/100)^2/2)*Assumptions!$B$9)/((AB$3/100)*Assumptions!$B$10))-(AB$3/100)*Assumptions!$B$10))))&lt;=0,"",(Assumptions!$B$2*EXP(-Assumptions!$B$4*Assumptions!$B$9)*NORMDIST(((LN(Assumptions!$B$2/$B16)+(Assumptions!$B$3-Assumptions!$B$4+(AB$3/100)^2/2)*Assumptions!$B$9)/((AB$3/100)*Assumptions!$B$10)),0,1,FALSE)*Assumptions!$B$10*0.01)*0.5/(MAX(0,Assumptions!$B$2*EXP(-Assumptions!$B$4*Assumptions!$B$9)*NORMSDIST(((LN(Assumptions!$B$2/$B16)+(Assumptions!$B$3-Assumptions!$B$4+(AB$3/100)^2/2)*Assumptions!$B$9)/((AB$3/100)*Assumptions!$B$10)))-$B16*EXP(-Assumptions!$B$3*Assumptions!$B$9)*NORMSDIST((((LN(Assumptions!$B$2/$B16)+(Assumptions!$B$3-Assumptions!$B$4+(AB$3/100)^2/2)*Assumptions!$B$9)/((AB$3/100)*Assumptions!$B$10))-(AB$3/100)*Assumptions!$B$10)))))</f>
        <v/>
      </c>
      <c r="AC37" s="56">
        <f>IF((MAX(0,Assumptions!$B$2*EXP(-Assumptions!$B$4*Assumptions!$B$9)*NORMSDIST(((LN(Assumptions!$B$2/$B16)+(Assumptions!$B$3-Assumptions!$B$4+(AC$3/100)^2/2)*Assumptions!$B$9)/((AC$3/100)*Assumptions!$B$10)))-$B16*EXP(-Assumptions!$B$3*Assumptions!$B$9)*NORMSDIST((((LN(Assumptions!$B$2/$B16)+(Assumptions!$B$3-Assumptions!$B$4+(AC$3/100)^2/2)*Assumptions!$B$9)/((AC$3/100)*Assumptions!$B$10))-(AC$3/100)*Assumptions!$B$10))))&lt;=0,"",(Assumptions!$B$2*EXP(-Assumptions!$B$4*Assumptions!$B$9)*NORMDIST(((LN(Assumptions!$B$2/$B16)+(Assumptions!$B$3-Assumptions!$B$4+(AC$3/100)^2/2)*Assumptions!$B$9)/((AC$3/100)*Assumptions!$B$10)),0,1,FALSE)*Assumptions!$B$10*0.01)*0.5/(MAX(0,Assumptions!$B$2*EXP(-Assumptions!$B$4*Assumptions!$B$9)*NORMSDIST(((LN(Assumptions!$B$2/$B16)+(Assumptions!$B$3-Assumptions!$B$4+(AC$3/100)^2/2)*Assumptions!$B$9)/((AC$3/100)*Assumptions!$B$10)))-$B16*EXP(-Assumptions!$B$3*Assumptions!$B$9)*NORMSDIST((((LN(Assumptions!$B$2/$B16)+(Assumptions!$B$3-Assumptions!$B$4+(AC$3/100)^2/2)*Assumptions!$B$9)/((AC$3/100)*Assumptions!$B$10))-(AC$3/100)*Assumptions!$B$10)))))</f>
        <v/>
      </c>
      <c r="AD37" s="56">
        <f>IF((MAX(0,Assumptions!$B$2*EXP(-Assumptions!$B$4*Assumptions!$B$9)*NORMSDIST(((LN(Assumptions!$B$2/$B16)+(Assumptions!$B$3-Assumptions!$B$4+(AD$3/100)^2/2)*Assumptions!$B$9)/((AD$3/100)*Assumptions!$B$10)))-$B16*EXP(-Assumptions!$B$3*Assumptions!$B$9)*NORMSDIST((((LN(Assumptions!$B$2/$B16)+(Assumptions!$B$3-Assumptions!$B$4+(AD$3/100)^2/2)*Assumptions!$B$9)/((AD$3/100)*Assumptions!$B$10))-(AD$3/100)*Assumptions!$B$10))))&lt;=0,"",(Assumptions!$B$2*EXP(-Assumptions!$B$4*Assumptions!$B$9)*NORMDIST(((LN(Assumptions!$B$2/$B16)+(Assumptions!$B$3-Assumptions!$B$4+(AD$3/100)^2/2)*Assumptions!$B$9)/((AD$3/100)*Assumptions!$B$10)),0,1,FALSE)*Assumptions!$B$10*0.01)*0.5/(MAX(0,Assumptions!$B$2*EXP(-Assumptions!$B$4*Assumptions!$B$9)*NORMSDIST(((LN(Assumptions!$B$2/$B16)+(Assumptions!$B$3-Assumptions!$B$4+(AD$3/100)^2/2)*Assumptions!$B$9)/((AD$3/100)*Assumptions!$B$10)))-$B16*EXP(-Assumptions!$B$3*Assumptions!$B$9)*NORMSDIST((((LN(Assumptions!$B$2/$B16)+(Assumptions!$B$3-Assumptions!$B$4+(AD$3/100)^2/2)*Assumptions!$B$9)/((AD$3/100)*Assumptions!$B$10))-(AD$3/100)*Assumptions!$B$10)))))</f>
        <v/>
      </c>
      <c r="AE37" s="56">
        <f>IF((MAX(0,Assumptions!$B$2*EXP(-Assumptions!$B$4*Assumptions!$B$9)*NORMSDIST(((LN(Assumptions!$B$2/$B16)+(Assumptions!$B$3-Assumptions!$B$4+(AE$3/100)^2/2)*Assumptions!$B$9)/((AE$3/100)*Assumptions!$B$10)))-$B16*EXP(-Assumptions!$B$3*Assumptions!$B$9)*NORMSDIST((((LN(Assumptions!$B$2/$B16)+(Assumptions!$B$3-Assumptions!$B$4+(AE$3/100)^2/2)*Assumptions!$B$9)/((AE$3/100)*Assumptions!$B$10))-(AE$3/100)*Assumptions!$B$10))))&lt;=0,"",(Assumptions!$B$2*EXP(-Assumptions!$B$4*Assumptions!$B$9)*NORMDIST(((LN(Assumptions!$B$2/$B16)+(Assumptions!$B$3-Assumptions!$B$4+(AE$3/100)^2/2)*Assumptions!$B$9)/((AE$3/100)*Assumptions!$B$10)),0,1,FALSE)*Assumptions!$B$10*0.01)*0.5/(MAX(0,Assumptions!$B$2*EXP(-Assumptions!$B$4*Assumptions!$B$9)*NORMSDIST(((LN(Assumptions!$B$2/$B16)+(Assumptions!$B$3-Assumptions!$B$4+(AE$3/100)^2/2)*Assumptions!$B$9)/((AE$3/100)*Assumptions!$B$10)))-$B16*EXP(-Assumptions!$B$3*Assumptions!$B$9)*NORMSDIST((((LN(Assumptions!$B$2/$B16)+(Assumptions!$B$3-Assumptions!$B$4+(AE$3/100)^2/2)*Assumptions!$B$9)/((AE$3/100)*Assumptions!$B$10))-(AE$3/100)*Assumptions!$B$10)))))</f>
        <v/>
      </c>
      <c r="AF37" s="56">
        <f>IF((MAX(0,Assumptions!$B$2*EXP(-Assumptions!$B$4*Assumptions!$B$9)*NORMSDIST(((LN(Assumptions!$B$2/$B16)+(Assumptions!$B$3-Assumptions!$B$4+(AF$3/100)^2/2)*Assumptions!$B$9)/((AF$3/100)*Assumptions!$B$10)))-$B16*EXP(-Assumptions!$B$3*Assumptions!$B$9)*NORMSDIST((((LN(Assumptions!$B$2/$B16)+(Assumptions!$B$3-Assumptions!$B$4+(AF$3/100)^2/2)*Assumptions!$B$9)/((AF$3/100)*Assumptions!$B$10))-(AF$3/100)*Assumptions!$B$10))))&lt;=0,"",(Assumptions!$B$2*EXP(-Assumptions!$B$4*Assumptions!$B$9)*NORMDIST(((LN(Assumptions!$B$2/$B16)+(Assumptions!$B$3-Assumptions!$B$4+(AF$3/100)^2/2)*Assumptions!$B$9)/((AF$3/100)*Assumptions!$B$10)),0,1,FALSE)*Assumptions!$B$10*0.01)*0.5/(MAX(0,Assumptions!$B$2*EXP(-Assumptions!$B$4*Assumptions!$B$9)*NORMSDIST(((LN(Assumptions!$B$2/$B16)+(Assumptions!$B$3-Assumptions!$B$4+(AF$3/100)^2/2)*Assumptions!$B$9)/((AF$3/100)*Assumptions!$B$10)))-$B16*EXP(-Assumptions!$B$3*Assumptions!$B$9)*NORMSDIST((((LN(Assumptions!$B$2/$B16)+(Assumptions!$B$3-Assumptions!$B$4+(AF$3/100)^2/2)*Assumptions!$B$9)/((AF$3/100)*Assumptions!$B$10))-(AF$3/100)*Assumptions!$B$10)))))</f>
        <v/>
      </c>
      <c r="AG37" s="56">
        <f>IF((MAX(0,Assumptions!$B$2*EXP(-Assumptions!$B$4*Assumptions!$B$9)*NORMSDIST(((LN(Assumptions!$B$2/$B16)+(Assumptions!$B$3-Assumptions!$B$4+(AG$3/100)^2/2)*Assumptions!$B$9)/((AG$3/100)*Assumptions!$B$10)))-$B16*EXP(-Assumptions!$B$3*Assumptions!$B$9)*NORMSDIST((((LN(Assumptions!$B$2/$B16)+(Assumptions!$B$3-Assumptions!$B$4+(AG$3/100)^2/2)*Assumptions!$B$9)/((AG$3/100)*Assumptions!$B$10))-(AG$3/100)*Assumptions!$B$10))))&lt;=0,"",(Assumptions!$B$2*EXP(-Assumptions!$B$4*Assumptions!$B$9)*NORMDIST(((LN(Assumptions!$B$2/$B16)+(Assumptions!$B$3-Assumptions!$B$4+(AG$3/100)^2/2)*Assumptions!$B$9)/((AG$3/100)*Assumptions!$B$10)),0,1,FALSE)*Assumptions!$B$10*0.01)*0.5/(MAX(0,Assumptions!$B$2*EXP(-Assumptions!$B$4*Assumptions!$B$9)*NORMSDIST(((LN(Assumptions!$B$2/$B16)+(Assumptions!$B$3-Assumptions!$B$4+(AG$3/100)^2/2)*Assumptions!$B$9)/((AG$3/100)*Assumptions!$B$10)))-$B16*EXP(-Assumptions!$B$3*Assumptions!$B$9)*NORMSDIST((((LN(Assumptions!$B$2/$B16)+(Assumptions!$B$3-Assumptions!$B$4+(AG$3/100)^2/2)*Assumptions!$B$9)/((AG$3/100)*Assumptions!$B$10))-(AG$3/100)*Assumptions!$B$10)))))</f>
        <v/>
      </c>
      <c r="AH37" s="56">
        <f>IF((MAX(0,Assumptions!$B$2*EXP(-Assumptions!$B$4*Assumptions!$B$9)*NORMSDIST(((LN(Assumptions!$B$2/$B16)+(Assumptions!$B$3-Assumptions!$B$4+(AH$3/100)^2/2)*Assumptions!$B$9)/((AH$3/100)*Assumptions!$B$10)))-$B16*EXP(-Assumptions!$B$3*Assumptions!$B$9)*NORMSDIST((((LN(Assumptions!$B$2/$B16)+(Assumptions!$B$3-Assumptions!$B$4+(AH$3/100)^2/2)*Assumptions!$B$9)/((AH$3/100)*Assumptions!$B$10))-(AH$3/100)*Assumptions!$B$10))))&lt;=0,"",(Assumptions!$B$2*EXP(-Assumptions!$B$4*Assumptions!$B$9)*NORMDIST(((LN(Assumptions!$B$2/$B16)+(Assumptions!$B$3-Assumptions!$B$4+(AH$3/100)^2/2)*Assumptions!$B$9)/((AH$3/100)*Assumptions!$B$10)),0,1,FALSE)*Assumptions!$B$10*0.01)*0.5/(MAX(0,Assumptions!$B$2*EXP(-Assumptions!$B$4*Assumptions!$B$9)*NORMSDIST(((LN(Assumptions!$B$2/$B16)+(Assumptions!$B$3-Assumptions!$B$4+(AH$3/100)^2/2)*Assumptions!$B$9)/((AH$3/100)*Assumptions!$B$10)))-$B16*EXP(-Assumptions!$B$3*Assumptions!$B$9)*NORMSDIST((((LN(Assumptions!$B$2/$B16)+(Assumptions!$B$3-Assumptions!$B$4+(AH$3/100)^2/2)*Assumptions!$B$9)/((AH$3/100)*Assumptions!$B$10))-(AH$3/100)*Assumptions!$B$10)))))</f>
        <v/>
      </c>
      <c r="AI37" s="56">
        <f>IF((MAX(0,Assumptions!$B$2*EXP(-Assumptions!$B$4*Assumptions!$B$9)*NORMSDIST(((LN(Assumptions!$B$2/$B16)+(Assumptions!$B$3-Assumptions!$B$4+(AI$3/100)^2/2)*Assumptions!$B$9)/((AI$3/100)*Assumptions!$B$10)))-$B16*EXP(-Assumptions!$B$3*Assumptions!$B$9)*NORMSDIST((((LN(Assumptions!$B$2/$B16)+(Assumptions!$B$3-Assumptions!$B$4+(AI$3/100)^2/2)*Assumptions!$B$9)/((AI$3/100)*Assumptions!$B$10))-(AI$3/100)*Assumptions!$B$10))))&lt;=0,"",(Assumptions!$B$2*EXP(-Assumptions!$B$4*Assumptions!$B$9)*NORMDIST(((LN(Assumptions!$B$2/$B16)+(Assumptions!$B$3-Assumptions!$B$4+(AI$3/100)^2/2)*Assumptions!$B$9)/((AI$3/100)*Assumptions!$B$10)),0,1,FALSE)*Assumptions!$B$10*0.01)*0.5/(MAX(0,Assumptions!$B$2*EXP(-Assumptions!$B$4*Assumptions!$B$9)*NORMSDIST(((LN(Assumptions!$B$2/$B16)+(Assumptions!$B$3-Assumptions!$B$4+(AI$3/100)^2/2)*Assumptions!$B$9)/((AI$3/100)*Assumptions!$B$10)))-$B16*EXP(-Assumptions!$B$3*Assumptions!$B$9)*NORMSDIST((((LN(Assumptions!$B$2/$B16)+(Assumptions!$B$3-Assumptions!$B$4+(AI$3/100)^2/2)*Assumptions!$B$9)/((AI$3/100)*Assumptions!$B$10))-(AI$3/100)*Assumptions!$B$10)))))</f>
        <v/>
      </c>
      <c r="AJ37" s="56">
        <f>IF((MAX(0,Assumptions!$B$2*EXP(-Assumptions!$B$4*Assumptions!$B$9)*NORMSDIST(((LN(Assumptions!$B$2/$B16)+(Assumptions!$B$3-Assumptions!$B$4+(AJ$3/100)^2/2)*Assumptions!$B$9)/((AJ$3/100)*Assumptions!$B$10)))-$B16*EXP(-Assumptions!$B$3*Assumptions!$B$9)*NORMSDIST((((LN(Assumptions!$B$2/$B16)+(Assumptions!$B$3-Assumptions!$B$4+(AJ$3/100)^2/2)*Assumptions!$B$9)/((AJ$3/100)*Assumptions!$B$10))-(AJ$3/100)*Assumptions!$B$10))))&lt;=0,"",(Assumptions!$B$2*EXP(-Assumptions!$B$4*Assumptions!$B$9)*NORMDIST(((LN(Assumptions!$B$2/$B16)+(Assumptions!$B$3-Assumptions!$B$4+(AJ$3/100)^2/2)*Assumptions!$B$9)/((AJ$3/100)*Assumptions!$B$10)),0,1,FALSE)*Assumptions!$B$10*0.01)*0.5/(MAX(0,Assumptions!$B$2*EXP(-Assumptions!$B$4*Assumptions!$B$9)*NORMSDIST(((LN(Assumptions!$B$2/$B16)+(Assumptions!$B$3-Assumptions!$B$4+(AJ$3/100)^2/2)*Assumptions!$B$9)/((AJ$3/100)*Assumptions!$B$10)))-$B16*EXP(-Assumptions!$B$3*Assumptions!$B$9)*NORMSDIST((((LN(Assumptions!$B$2/$B16)+(Assumptions!$B$3-Assumptions!$B$4+(AJ$3/100)^2/2)*Assumptions!$B$9)/((AJ$3/100)*Assumptions!$B$10))-(AJ$3/100)*Assumptions!$B$10)))))</f>
        <v/>
      </c>
      <c r="AK37" s="56">
        <f>IF((MAX(0,Assumptions!$B$2*EXP(-Assumptions!$B$4*Assumptions!$B$9)*NORMSDIST(((LN(Assumptions!$B$2/$B16)+(Assumptions!$B$3-Assumptions!$B$4+(AK$3/100)^2/2)*Assumptions!$B$9)/((AK$3/100)*Assumptions!$B$10)))-$B16*EXP(-Assumptions!$B$3*Assumptions!$B$9)*NORMSDIST((((LN(Assumptions!$B$2/$B16)+(Assumptions!$B$3-Assumptions!$B$4+(AK$3/100)^2/2)*Assumptions!$B$9)/((AK$3/100)*Assumptions!$B$10))-(AK$3/100)*Assumptions!$B$10))))&lt;=0,"",(Assumptions!$B$2*EXP(-Assumptions!$B$4*Assumptions!$B$9)*NORMDIST(((LN(Assumptions!$B$2/$B16)+(Assumptions!$B$3-Assumptions!$B$4+(AK$3/100)^2/2)*Assumptions!$B$9)/((AK$3/100)*Assumptions!$B$10)),0,1,FALSE)*Assumptions!$B$10*0.01)*0.5/(MAX(0,Assumptions!$B$2*EXP(-Assumptions!$B$4*Assumptions!$B$9)*NORMSDIST(((LN(Assumptions!$B$2/$B16)+(Assumptions!$B$3-Assumptions!$B$4+(AK$3/100)^2/2)*Assumptions!$B$9)/((AK$3/100)*Assumptions!$B$10)))-$B16*EXP(-Assumptions!$B$3*Assumptions!$B$9)*NORMSDIST((((LN(Assumptions!$B$2/$B16)+(Assumptions!$B$3-Assumptions!$B$4+(AK$3/100)^2/2)*Assumptions!$B$9)/((AK$3/100)*Assumptions!$B$10))-(AK$3/100)*Assumptions!$B$10)))))</f>
        <v/>
      </c>
      <c r="AL37" s="56">
        <f>IF((MAX(0,Assumptions!$B$2*EXP(-Assumptions!$B$4*Assumptions!$B$9)*NORMSDIST(((LN(Assumptions!$B$2/$B16)+(Assumptions!$B$3-Assumptions!$B$4+(AL$3/100)^2/2)*Assumptions!$B$9)/((AL$3/100)*Assumptions!$B$10)))-$B16*EXP(-Assumptions!$B$3*Assumptions!$B$9)*NORMSDIST((((LN(Assumptions!$B$2/$B16)+(Assumptions!$B$3-Assumptions!$B$4+(AL$3/100)^2/2)*Assumptions!$B$9)/((AL$3/100)*Assumptions!$B$10))-(AL$3/100)*Assumptions!$B$10))))&lt;=0,"",(Assumptions!$B$2*EXP(-Assumptions!$B$4*Assumptions!$B$9)*NORMDIST(((LN(Assumptions!$B$2/$B16)+(Assumptions!$B$3-Assumptions!$B$4+(AL$3/100)^2/2)*Assumptions!$B$9)/((AL$3/100)*Assumptions!$B$10)),0,1,FALSE)*Assumptions!$B$10*0.01)*0.5/(MAX(0,Assumptions!$B$2*EXP(-Assumptions!$B$4*Assumptions!$B$9)*NORMSDIST(((LN(Assumptions!$B$2/$B16)+(Assumptions!$B$3-Assumptions!$B$4+(AL$3/100)^2/2)*Assumptions!$B$9)/((AL$3/100)*Assumptions!$B$10)))-$B16*EXP(-Assumptions!$B$3*Assumptions!$B$9)*NORMSDIST((((LN(Assumptions!$B$2/$B16)+(Assumptions!$B$3-Assumptions!$B$4+(AL$3/100)^2/2)*Assumptions!$B$9)/((AL$3/100)*Assumptions!$B$10))-(AL$3/100)*Assumptions!$B$10)))))</f>
        <v/>
      </c>
      <c r="AM37" s="56">
        <f>IF((MAX(0,Assumptions!$B$2*EXP(-Assumptions!$B$4*Assumptions!$B$9)*NORMSDIST(((LN(Assumptions!$B$2/$B16)+(Assumptions!$B$3-Assumptions!$B$4+(AM$3/100)^2/2)*Assumptions!$B$9)/((AM$3/100)*Assumptions!$B$10)))-$B16*EXP(-Assumptions!$B$3*Assumptions!$B$9)*NORMSDIST((((LN(Assumptions!$B$2/$B16)+(Assumptions!$B$3-Assumptions!$B$4+(AM$3/100)^2/2)*Assumptions!$B$9)/((AM$3/100)*Assumptions!$B$10))-(AM$3/100)*Assumptions!$B$10))))&lt;=0,"",(Assumptions!$B$2*EXP(-Assumptions!$B$4*Assumptions!$B$9)*NORMDIST(((LN(Assumptions!$B$2/$B16)+(Assumptions!$B$3-Assumptions!$B$4+(AM$3/100)^2/2)*Assumptions!$B$9)/((AM$3/100)*Assumptions!$B$10)),0,1,FALSE)*Assumptions!$B$10*0.01)*0.5/(MAX(0,Assumptions!$B$2*EXP(-Assumptions!$B$4*Assumptions!$B$9)*NORMSDIST(((LN(Assumptions!$B$2/$B16)+(Assumptions!$B$3-Assumptions!$B$4+(AM$3/100)^2/2)*Assumptions!$B$9)/((AM$3/100)*Assumptions!$B$10)))-$B16*EXP(-Assumptions!$B$3*Assumptions!$B$9)*NORMSDIST((((LN(Assumptions!$B$2/$B16)+(Assumptions!$B$3-Assumptions!$B$4+(AM$3/100)^2/2)*Assumptions!$B$9)/((AM$3/100)*Assumptions!$B$10))-(AM$3/100)*Assumptions!$B$10)))))</f>
        <v/>
      </c>
      <c r="AN37" s="56">
        <f>IF((MAX(0,Assumptions!$B$2*EXP(-Assumptions!$B$4*Assumptions!$B$9)*NORMSDIST(((LN(Assumptions!$B$2/$B16)+(Assumptions!$B$3-Assumptions!$B$4+(AN$3/100)^2/2)*Assumptions!$B$9)/((AN$3/100)*Assumptions!$B$10)))-$B16*EXP(-Assumptions!$B$3*Assumptions!$B$9)*NORMSDIST((((LN(Assumptions!$B$2/$B16)+(Assumptions!$B$3-Assumptions!$B$4+(AN$3/100)^2/2)*Assumptions!$B$9)/((AN$3/100)*Assumptions!$B$10))-(AN$3/100)*Assumptions!$B$10))))&lt;=0,"",(Assumptions!$B$2*EXP(-Assumptions!$B$4*Assumptions!$B$9)*NORMDIST(((LN(Assumptions!$B$2/$B16)+(Assumptions!$B$3-Assumptions!$B$4+(AN$3/100)^2/2)*Assumptions!$B$9)/((AN$3/100)*Assumptions!$B$10)),0,1,FALSE)*Assumptions!$B$10*0.01)*0.5/(MAX(0,Assumptions!$B$2*EXP(-Assumptions!$B$4*Assumptions!$B$9)*NORMSDIST(((LN(Assumptions!$B$2/$B16)+(Assumptions!$B$3-Assumptions!$B$4+(AN$3/100)^2/2)*Assumptions!$B$9)/((AN$3/100)*Assumptions!$B$10)))-$B16*EXP(-Assumptions!$B$3*Assumptions!$B$9)*NORMSDIST((((LN(Assumptions!$B$2/$B16)+(Assumptions!$B$3-Assumptions!$B$4+(AN$3/100)^2/2)*Assumptions!$B$9)/((AN$3/100)*Assumptions!$B$10))-(AN$3/100)*Assumptions!$B$10)))))</f>
        <v/>
      </c>
      <c r="AO37" s="56">
        <f>IF((MAX(0,Assumptions!$B$2*EXP(-Assumptions!$B$4*Assumptions!$B$9)*NORMSDIST(((LN(Assumptions!$B$2/$B16)+(Assumptions!$B$3-Assumptions!$B$4+(AO$3/100)^2/2)*Assumptions!$B$9)/((AO$3/100)*Assumptions!$B$10)))-$B16*EXP(-Assumptions!$B$3*Assumptions!$B$9)*NORMSDIST((((LN(Assumptions!$B$2/$B16)+(Assumptions!$B$3-Assumptions!$B$4+(AO$3/100)^2/2)*Assumptions!$B$9)/((AO$3/100)*Assumptions!$B$10))-(AO$3/100)*Assumptions!$B$10))))&lt;=0,"",(Assumptions!$B$2*EXP(-Assumptions!$B$4*Assumptions!$B$9)*NORMDIST(((LN(Assumptions!$B$2/$B16)+(Assumptions!$B$3-Assumptions!$B$4+(AO$3/100)^2/2)*Assumptions!$B$9)/((AO$3/100)*Assumptions!$B$10)),0,1,FALSE)*Assumptions!$B$10*0.01)*0.5/(MAX(0,Assumptions!$B$2*EXP(-Assumptions!$B$4*Assumptions!$B$9)*NORMSDIST(((LN(Assumptions!$B$2/$B16)+(Assumptions!$B$3-Assumptions!$B$4+(AO$3/100)^2/2)*Assumptions!$B$9)/((AO$3/100)*Assumptions!$B$10)))-$B16*EXP(-Assumptions!$B$3*Assumptions!$B$9)*NORMSDIST((((LN(Assumptions!$B$2/$B16)+(Assumptions!$B$3-Assumptions!$B$4+(AO$3/100)^2/2)*Assumptions!$B$9)/((AO$3/100)*Assumptions!$B$10))-(AO$3/100)*Assumptions!$B$10)))))</f>
        <v/>
      </c>
      <c r="AP37" s="56">
        <f>IF((MAX(0,Assumptions!$B$2*EXP(-Assumptions!$B$4*Assumptions!$B$9)*NORMSDIST(((LN(Assumptions!$B$2/$B16)+(Assumptions!$B$3-Assumptions!$B$4+(AP$3/100)^2/2)*Assumptions!$B$9)/((AP$3/100)*Assumptions!$B$10)))-$B16*EXP(-Assumptions!$B$3*Assumptions!$B$9)*NORMSDIST((((LN(Assumptions!$B$2/$B16)+(Assumptions!$B$3-Assumptions!$B$4+(AP$3/100)^2/2)*Assumptions!$B$9)/((AP$3/100)*Assumptions!$B$10))-(AP$3/100)*Assumptions!$B$10))))&lt;=0,"",(Assumptions!$B$2*EXP(-Assumptions!$B$4*Assumptions!$B$9)*NORMDIST(((LN(Assumptions!$B$2/$B16)+(Assumptions!$B$3-Assumptions!$B$4+(AP$3/100)^2/2)*Assumptions!$B$9)/((AP$3/100)*Assumptions!$B$10)),0,1,FALSE)*Assumptions!$B$10*0.01)*0.5/(MAX(0,Assumptions!$B$2*EXP(-Assumptions!$B$4*Assumptions!$B$9)*NORMSDIST(((LN(Assumptions!$B$2/$B16)+(Assumptions!$B$3-Assumptions!$B$4+(AP$3/100)^2/2)*Assumptions!$B$9)/((AP$3/100)*Assumptions!$B$10)))-$B16*EXP(-Assumptions!$B$3*Assumptions!$B$9)*NORMSDIST((((LN(Assumptions!$B$2/$B16)+(Assumptions!$B$3-Assumptions!$B$4+(AP$3/100)^2/2)*Assumptions!$B$9)/((AP$3/100)*Assumptions!$B$10))-(AP$3/100)*Assumptions!$B$10)))))</f>
        <v/>
      </c>
      <c r="AQ37" s="56">
        <f>IF((MAX(0,Assumptions!$B$2*EXP(-Assumptions!$B$4*Assumptions!$B$9)*NORMSDIST(((LN(Assumptions!$B$2/$B16)+(Assumptions!$B$3-Assumptions!$B$4+(AQ$3/100)^2/2)*Assumptions!$B$9)/((AQ$3/100)*Assumptions!$B$10)))-$B16*EXP(-Assumptions!$B$3*Assumptions!$B$9)*NORMSDIST((((LN(Assumptions!$B$2/$B16)+(Assumptions!$B$3-Assumptions!$B$4+(AQ$3/100)^2/2)*Assumptions!$B$9)/((AQ$3/100)*Assumptions!$B$10))-(AQ$3/100)*Assumptions!$B$10))))&lt;=0,"",(Assumptions!$B$2*EXP(-Assumptions!$B$4*Assumptions!$B$9)*NORMDIST(((LN(Assumptions!$B$2/$B16)+(Assumptions!$B$3-Assumptions!$B$4+(AQ$3/100)^2/2)*Assumptions!$B$9)/((AQ$3/100)*Assumptions!$B$10)),0,1,FALSE)*Assumptions!$B$10*0.01)*0.5/(MAX(0,Assumptions!$B$2*EXP(-Assumptions!$B$4*Assumptions!$B$9)*NORMSDIST(((LN(Assumptions!$B$2/$B16)+(Assumptions!$B$3-Assumptions!$B$4+(AQ$3/100)^2/2)*Assumptions!$B$9)/((AQ$3/100)*Assumptions!$B$10)))-$B16*EXP(-Assumptions!$B$3*Assumptions!$B$9)*NORMSDIST((((LN(Assumptions!$B$2/$B16)+(Assumptions!$B$3-Assumptions!$B$4+(AQ$3/100)^2/2)*Assumptions!$B$9)/((AQ$3/100)*Assumptions!$B$10))-(AQ$3/100)*Assumptions!$B$10)))))</f>
        <v/>
      </c>
      <c r="AR37" s="56">
        <f>IF((MAX(0,Assumptions!$B$2*EXP(-Assumptions!$B$4*Assumptions!$B$9)*NORMSDIST(((LN(Assumptions!$B$2/$B16)+(Assumptions!$B$3-Assumptions!$B$4+(AR$3/100)^2/2)*Assumptions!$B$9)/((AR$3/100)*Assumptions!$B$10)))-$B16*EXP(-Assumptions!$B$3*Assumptions!$B$9)*NORMSDIST((((LN(Assumptions!$B$2/$B16)+(Assumptions!$B$3-Assumptions!$B$4+(AR$3/100)^2/2)*Assumptions!$B$9)/((AR$3/100)*Assumptions!$B$10))-(AR$3/100)*Assumptions!$B$10))))&lt;=0,"",(Assumptions!$B$2*EXP(-Assumptions!$B$4*Assumptions!$B$9)*NORMDIST(((LN(Assumptions!$B$2/$B16)+(Assumptions!$B$3-Assumptions!$B$4+(AR$3/100)^2/2)*Assumptions!$B$9)/((AR$3/100)*Assumptions!$B$10)),0,1,FALSE)*Assumptions!$B$10*0.01)*0.5/(MAX(0,Assumptions!$B$2*EXP(-Assumptions!$B$4*Assumptions!$B$9)*NORMSDIST(((LN(Assumptions!$B$2/$B16)+(Assumptions!$B$3-Assumptions!$B$4+(AR$3/100)^2/2)*Assumptions!$B$9)/((AR$3/100)*Assumptions!$B$10)))-$B16*EXP(-Assumptions!$B$3*Assumptions!$B$9)*NORMSDIST((((LN(Assumptions!$B$2/$B16)+(Assumptions!$B$3-Assumptions!$B$4+(AR$3/100)^2/2)*Assumptions!$B$9)/((AR$3/100)*Assumptions!$B$10))-(AR$3/100)*Assumptions!$B$10)))))</f>
        <v/>
      </c>
      <c r="AS37" s="56">
        <f>IF((MAX(0,Assumptions!$B$2*EXP(-Assumptions!$B$4*Assumptions!$B$9)*NORMSDIST(((LN(Assumptions!$B$2/$B16)+(Assumptions!$B$3-Assumptions!$B$4+(AS$3/100)^2/2)*Assumptions!$B$9)/((AS$3/100)*Assumptions!$B$10)))-$B16*EXP(-Assumptions!$B$3*Assumptions!$B$9)*NORMSDIST((((LN(Assumptions!$B$2/$B16)+(Assumptions!$B$3-Assumptions!$B$4+(AS$3/100)^2/2)*Assumptions!$B$9)/((AS$3/100)*Assumptions!$B$10))-(AS$3/100)*Assumptions!$B$10))))&lt;=0,"",(Assumptions!$B$2*EXP(-Assumptions!$B$4*Assumptions!$B$9)*NORMDIST(((LN(Assumptions!$B$2/$B16)+(Assumptions!$B$3-Assumptions!$B$4+(AS$3/100)^2/2)*Assumptions!$B$9)/((AS$3/100)*Assumptions!$B$10)),0,1,FALSE)*Assumptions!$B$10*0.01)*0.5/(MAX(0,Assumptions!$B$2*EXP(-Assumptions!$B$4*Assumptions!$B$9)*NORMSDIST(((LN(Assumptions!$B$2/$B16)+(Assumptions!$B$3-Assumptions!$B$4+(AS$3/100)^2/2)*Assumptions!$B$9)/((AS$3/100)*Assumptions!$B$10)))-$B16*EXP(-Assumptions!$B$3*Assumptions!$B$9)*NORMSDIST((((LN(Assumptions!$B$2/$B16)+(Assumptions!$B$3-Assumptions!$B$4+(AS$3/100)^2/2)*Assumptions!$B$9)/((AS$3/100)*Assumptions!$B$10))-(AS$3/100)*Assumptions!$B$10)))))</f>
        <v/>
      </c>
      <c r="AT37" s="56">
        <f>IF((MAX(0,Assumptions!$B$2*EXP(-Assumptions!$B$4*Assumptions!$B$9)*NORMSDIST(((LN(Assumptions!$B$2/$B16)+(Assumptions!$B$3-Assumptions!$B$4+(AT$3/100)^2/2)*Assumptions!$B$9)/((AT$3/100)*Assumptions!$B$10)))-$B16*EXP(-Assumptions!$B$3*Assumptions!$B$9)*NORMSDIST((((LN(Assumptions!$B$2/$B16)+(Assumptions!$B$3-Assumptions!$B$4+(AT$3/100)^2/2)*Assumptions!$B$9)/((AT$3/100)*Assumptions!$B$10))-(AT$3/100)*Assumptions!$B$10))))&lt;=0,"",(Assumptions!$B$2*EXP(-Assumptions!$B$4*Assumptions!$B$9)*NORMDIST(((LN(Assumptions!$B$2/$B16)+(Assumptions!$B$3-Assumptions!$B$4+(AT$3/100)^2/2)*Assumptions!$B$9)/((AT$3/100)*Assumptions!$B$10)),0,1,FALSE)*Assumptions!$B$10*0.01)*0.5/(MAX(0,Assumptions!$B$2*EXP(-Assumptions!$B$4*Assumptions!$B$9)*NORMSDIST(((LN(Assumptions!$B$2/$B16)+(Assumptions!$B$3-Assumptions!$B$4+(AT$3/100)^2/2)*Assumptions!$B$9)/((AT$3/100)*Assumptions!$B$10)))-$B16*EXP(-Assumptions!$B$3*Assumptions!$B$9)*NORMSDIST((((LN(Assumptions!$B$2/$B16)+(Assumptions!$B$3-Assumptions!$B$4+(AT$3/100)^2/2)*Assumptions!$B$9)/((AT$3/100)*Assumptions!$B$10))-(AT$3/100)*Assumptions!$B$10)))))</f>
        <v/>
      </c>
      <c r="AU37" s="56">
        <f>IF((MAX(0,Assumptions!$B$2*EXP(-Assumptions!$B$4*Assumptions!$B$9)*NORMSDIST(((LN(Assumptions!$B$2/$B16)+(Assumptions!$B$3-Assumptions!$B$4+(AU$3/100)^2/2)*Assumptions!$B$9)/((AU$3/100)*Assumptions!$B$10)))-$B16*EXP(-Assumptions!$B$3*Assumptions!$B$9)*NORMSDIST((((LN(Assumptions!$B$2/$B16)+(Assumptions!$B$3-Assumptions!$B$4+(AU$3/100)^2/2)*Assumptions!$B$9)/((AU$3/100)*Assumptions!$B$10))-(AU$3/100)*Assumptions!$B$10))))&lt;=0,"",(Assumptions!$B$2*EXP(-Assumptions!$B$4*Assumptions!$B$9)*NORMDIST(((LN(Assumptions!$B$2/$B16)+(Assumptions!$B$3-Assumptions!$B$4+(AU$3/100)^2/2)*Assumptions!$B$9)/((AU$3/100)*Assumptions!$B$10)),0,1,FALSE)*Assumptions!$B$10*0.01)*0.5/(MAX(0,Assumptions!$B$2*EXP(-Assumptions!$B$4*Assumptions!$B$9)*NORMSDIST(((LN(Assumptions!$B$2/$B16)+(Assumptions!$B$3-Assumptions!$B$4+(AU$3/100)^2/2)*Assumptions!$B$9)/((AU$3/100)*Assumptions!$B$10)))-$B16*EXP(-Assumptions!$B$3*Assumptions!$B$9)*NORMSDIST((((LN(Assumptions!$B$2/$B16)+(Assumptions!$B$3-Assumptions!$B$4+(AU$3/100)^2/2)*Assumptions!$B$9)/((AU$3/100)*Assumptions!$B$10))-(AU$3/100)*Assumptions!$B$10)))))</f>
        <v/>
      </c>
      <c r="AV37" s="56">
        <f>IF((MAX(0,Assumptions!$B$2*EXP(-Assumptions!$B$4*Assumptions!$B$9)*NORMSDIST(((LN(Assumptions!$B$2/$B16)+(Assumptions!$B$3-Assumptions!$B$4+(AV$3/100)^2/2)*Assumptions!$B$9)/((AV$3/100)*Assumptions!$B$10)))-$B16*EXP(-Assumptions!$B$3*Assumptions!$B$9)*NORMSDIST((((LN(Assumptions!$B$2/$B16)+(Assumptions!$B$3-Assumptions!$B$4+(AV$3/100)^2/2)*Assumptions!$B$9)/((AV$3/100)*Assumptions!$B$10))-(AV$3/100)*Assumptions!$B$10))))&lt;=0,"",(Assumptions!$B$2*EXP(-Assumptions!$B$4*Assumptions!$B$9)*NORMDIST(((LN(Assumptions!$B$2/$B16)+(Assumptions!$B$3-Assumptions!$B$4+(AV$3/100)^2/2)*Assumptions!$B$9)/((AV$3/100)*Assumptions!$B$10)),0,1,FALSE)*Assumptions!$B$10*0.01)*0.5/(MAX(0,Assumptions!$B$2*EXP(-Assumptions!$B$4*Assumptions!$B$9)*NORMSDIST(((LN(Assumptions!$B$2/$B16)+(Assumptions!$B$3-Assumptions!$B$4+(AV$3/100)^2/2)*Assumptions!$B$9)/((AV$3/100)*Assumptions!$B$10)))-$B16*EXP(-Assumptions!$B$3*Assumptions!$B$9)*NORMSDIST((((LN(Assumptions!$B$2/$B16)+(Assumptions!$B$3-Assumptions!$B$4+(AV$3/100)^2/2)*Assumptions!$B$9)/((AV$3/100)*Assumptions!$B$10))-(AV$3/100)*Assumptions!$B$10)))))</f>
        <v/>
      </c>
    </row>
    <row r="38">
      <c r="A38" s="27" t="inlineStr">
        <is>
          <t>+1.25%</t>
        </is>
      </c>
      <c r="B38" s="47">
        <f>'BS Engine'!$B$15</f>
        <v/>
      </c>
      <c r="C38" s="28">
        <f>'BS Engine'!$C$15</f>
        <v/>
      </c>
      <c r="D38" s="55">
        <f>IF((MAX(0,Assumptions!$B$2*EXP(-Assumptions!$B$4*Assumptions!$B$9)*NORMSDIST(((LN(Assumptions!$B$2/$B17)+(Assumptions!$B$3-Assumptions!$B$4+(D$3/100)^2/2)*Assumptions!$B$9)/((D$3/100)*Assumptions!$B$10)))-$B17*EXP(-Assumptions!$B$3*Assumptions!$B$9)*NORMSDIST((((LN(Assumptions!$B$2/$B17)+(Assumptions!$B$3-Assumptions!$B$4+(D$3/100)^2/2)*Assumptions!$B$9)/((D$3/100)*Assumptions!$B$10))-(D$3/100)*Assumptions!$B$10))))&lt;=0,"",(Assumptions!$B$2*EXP(-Assumptions!$B$4*Assumptions!$B$9)*NORMDIST(((LN(Assumptions!$B$2/$B17)+(Assumptions!$B$3-Assumptions!$B$4+(D$3/100)^2/2)*Assumptions!$B$9)/((D$3/100)*Assumptions!$B$10)),0,1,FALSE)*Assumptions!$B$10*0.01)*0.5/(MAX(0,Assumptions!$B$2*EXP(-Assumptions!$B$4*Assumptions!$B$9)*NORMSDIST(((LN(Assumptions!$B$2/$B17)+(Assumptions!$B$3-Assumptions!$B$4+(D$3/100)^2/2)*Assumptions!$B$9)/((D$3/100)*Assumptions!$B$10)))-$B17*EXP(-Assumptions!$B$3*Assumptions!$B$9)*NORMSDIST((((LN(Assumptions!$B$2/$B17)+(Assumptions!$B$3-Assumptions!$B$4+(D$3/100)^2/2)*Assumptions!$B$9)/((D$3/100)*Assumptions!$B$10))-(D$3/100)*Assumptions!$B$10)))))</f>
        <v/>
      </c>
      <c r="E38" s="56">
        <f>IF((MAX(0,Assumptions!$B$2*EXP(-Assumptions!$B$4*Assumptions!$B$9)*NORMSDIST(((LN(Assumptions!$B$2/$B17)+(Assumptions!$B$3-Assumptions!$B$4+(E$3/100)^2/2)*Assumptions!$B$9)/((E$3/100)*Assumptions!$B$10)))-$B17*EXP(-Assumptions!$B$3*Assumptions!$B$9)*NORMSDIST((((LN(Assumptions!$B$2/$B17)+(Assumptions!$B$3-Assumptions!$B$4+(E$3/100)^2/2)*Assumptions!$B$9)/((E$3/100)*Assumptions!$B$10))-(E$3/100)*Assumptions!$B$10))))&lt;=0,"",(Assumptions!$B$2*EXP(-Assumptions!$B$4*Assumptions!$B$9)*NORMDIST(((LN(Assumptions!$B$2/$B17)+(Assumptions!$B$3-Assumptions!$B$4+(E$3/100)^2/2)*Assumptions!$B$9)/((E$3/100)*Assumptions!$B$10)),0,1,FALSE)*Assumptions!$B$10*0.01)*0.5/(MAX(0,Assumptions!$B$2*EXP(-Assumptions!$B$4*Assumptions!$B$9)*NORMSDIST(((LN(Assumptions!$B$2/$B17)+(Assumptions!$B$3-Assumptions!$B$4+(E$3/100)^2/2)*Assumptions!$B$9)/((E$3/100)*Assumptions!$B$10)))-$B17*EXP(-Assumptions!$B$3*Assumptions!$B$9)*NORMSDIST((((LN(Assumptions!$B$2/$B17)+(Assumptions!$B$3-Assumptions!$B$4+(E$3/100)^2/2)*Assumptions!$B$9)/((E$3/100)*Assumptions!$B$10))-(E$3/100)*Assumptions!$B$10)))))</f>
        <v/>
      </c>
      <c r="F38" s="56">
        <f>IF((MAX(0,Assumptions!$B$2*EXP(-Assumptions!$B$4*Assumptions!$B$9)*NORMSDIST(((LN(Assumptions!$B$2/$B17)+(Assumptions!$B$3-Assumptions!$B$4+(F$3/100)^2/2)*Assumptions!$B$9)/((F$3/100)*Assumptions!$B$10)))-$B17*EXP(-Assumptions!$B$3*Assumptions!$B$9)*NORMSDIST((((LN(Assumptions!$B$2/$B17)+(Assumptions!$B$3-Assumptions!$B$4+(F$3/100)^2/2)*Assumptions!$B$9)/((F$3/100)*Assumptions!$B$10))-(F$3/100)*Assumptions!$B$10))))&lt;=0,"",(Assumptions!$B$2*EXP(-Assumptions!$B$4*Assumptions!$B$9)*NORMDIST(((LN(Assumptions!$B$2/$B17)+(Assumptions!$B$3-Assumptions!$B$4+(F$3/100)^2/2)*Assumptions!$B$9)/((F$3/100)*Assumptions!$B$10)),0,1,FALSE)*Assumptions!$B$10*0.01)*0.5/(MAX(0,Assumptions!$B$2*EXP(-Assumptions!$B$4*Assumptions!$B$9)*NORMSDIST(((LN(Assumptions!$B$2/$B17)+(Assumptions!$B$3-Assumptions!$B$4+(F$3/100)^2/2)*Assumptions!$B$9)/((F$3/100)*Assumptions!$B$10)))-$B17*EXP(-Assumptions!$B$3*Assumptions!$B$9)*NORMSDIST((((LN(Assumptions!$B$2/$B17)+(Assumptions!$B$3-Assumptions!$B$4+(F$3/100)^2/2)*Assumptions!$B$9)/((F$3/100)*Assumptions!$B$10))-(F$3/100)*Assumptions!$B$10)))))</f>
        <v/>
      </c>
      <c r="G38" s="56">
        <f>IF((MAX(0,Assumptions!$B$2*EXP(-Assumptions!$B$4*Assumptions!$B$9)*NORMSDIST(((LN(Assumptions!$B$2/$B17)+(Assumptions!$B$3-Assumptions!$B$4+(G$3/100)^2/2)*Assumptions!$B$9)/((G$3/100)*Assumptions!$B$10)))-$B17*EXP(-Assumptions!$B$3*Assumptions!$B$9)*NORMSDIST((((LN(Assumptions!$B$2/$B17)+(Assumptions!$B$3-Assumptions!$B$4+(G$3/100)^2/2)*Assumptions!$B$9)/((G$3/100)*Assumptions!$B$10))-(G$3/100)*Assumptions!$B$10))))&lt;=0,"",(Assumptions!$B$2*EXP(-Assumptions!$B$4*Assumptions!$B$9)*NORMDIST(((LN(Assumptions!$B$2/$B17)+(Assumptions!$B$3-Assumptions!$B$4+(G$3/100)^2/2)*Assumptions!$B$9)/((G$3/100)*Assumptions!$B$10)),0,1,FALSE)*Assumptions!$B$10*0.01)*0.5/(MAX(0,Assumptions!$B$2*EXP(-Assumptions!$B$4*Assumptions!$B$9)*NORMSDIST(((LN(Assumptions!$B$2/$B17)+(Assumptions!$B$3-Assumptions!$B$4+(G$3/100)^2/2)*Assumptions!$B$9)/((G$3/100)*Assumptions!$B$10)))-$B17*EXP(-Assumptions!$B$3*Assumptions!$B$9)*NORMSDIST((((LN(Assumptions!$B$2/$B17)+(Assumptions!$B$3-Assumptions!$B$4+(G$3/100)^2/2)*Assumptions!$B$9)/((G$3/100)*Assumptions!$B$10))-(G$3/100)*Assumptions!$B$10)))))</f>
        <v/>
      </c>
      <c r="H38" s="56">
        <f>IF((MAX(0,Assumptions!$B$2*EXP(-Assumptions!$B$4*Assumptions!$B$9)*NORMSDIST(((LN(Assumptions!$B$2/$B17)+(Assumptions!$B$3-Assumptions!$B$4+(H$3/100)^2/2)*Assumptions!$B$9)/((H$3/100)*Assumptions!$B$10)))-$B17*EXP(-Assumptions!$B$3*Assumptions!$B$9)*NORMSDIST((((LN(Assumptions!$B$2/$B17)+(Assumptions!$B$3-Assumptions!$B$4+(H$3/100)^2/2)*Assumptions!$B$9)/((H$3/100)*Assumptions!$B$10))-(H$3/100)*Assumptions!$B$10))))&lt;=0,"",(Assumptions!$B$2*EXP(-Assumptions!$B$4*Assumptions!$B$9)*NORMDIST(((LN(Assumptions!$B$2/$B17)+(Assumptions!$B$3-Assumptions!$B$4+(H$3/100)^2/2)*Assumptions!$B$9)/((H$3/100)*Assumptions!$B$10)),0,1,FALSE)*Assumptions!$B$10*0.01)*0.5/(MAX(0,Assumptions!$B$2*EXP(-Assumptions!$B$4*Assumptions!$B$9)*NORMSDIST(((LN(Assumptions!$B$2/$B17)+(Assumptions!$B$3-Assumptions!$B$4+(H$3/100)^2/2)*Assumptions!$B$9)/((H$3/100)*Assumptions!$B$10)))-$B17*EXP(-Assumptions!$B$3*Assumptions!$B$9)*NORMSDIST((((LN(Assumptions!$B$2/$B17)+(Assumptions!$B$3-Assumptions!$B$4+(H$3/100)^2/2)*Assumptions!$B$9)/((H$3/100)*Assumptions!$B$10))-(H$3/100)*Assumptions!$B$10)))))</f>
        <v/>
      </c>
      <c r="I38" s="56">
        <f>IF((MAX(0,Assumptions!$B$2*EXP(-Assumptions!$B$4*Assumptions!$B$9)*NORMSDIST(((LN(Assumptions!$B$2/$B17)+(Assumptions!$B$3-Assumptions!$B$4+(I$3/100)^2/2)*Assumptions!$B$9)/((I$3/100)*Assumptions!$B$10)))-$B17*EXP(-Assumptions!$B$3*Assumptions!$B$9)*NORMSDIST((((LN(Assumptions!$B$2/$B17)+(Assumptions!$B$3-Assumptions!$B$4+(I$3/100)^2/2)*Assumptions!$B$9)/((I$3/100)*Assumptions!$B$10))-(I$3/100)*Assumptions!$B$10))))&lt;=0,"",(Assumptions!$B$2*EXP(-Assumptions!$B$4*Assumptions!$B$9)*NORMDIST(((LN(Assumptions!$B$2/$B17)+(Assumptions!$B$3-Assumptions!$B$4+(I$3/100)^2/2)*Assumptions!$B$9)/((I$3/100)*Assumptions!$B$10)),0,1,FALSE)*Assumptions!$B$10*0.01)*0.5/(MAX(0,Assumptions!$B$2*EXP(-Assumptions!$B$4*Assumptions!$B$9)*NORMSDIST(((LN(Assumptions!$B$2/$B17)+(Assumptions!$B$3-Assumptions!$B$4+(I$3/100)^2/2)*Assumptions!$B$9)/((I$3/100)*Assumptions!$B$10)))-$B17*EXP(-Assumptions!$B$3*Assumptions!$B$9)*NORMSDIST((((LN(Assumptions!$B$2/$B17)+(Assumptions!$B$3-Assumptions!$B$4+(I$3/100)^2/2)*Assumptions!$B$9)/((I$3/100)*Assumptions!$B$10))-(I$3/100)*Assumptions!$B$10)))))</f>
        <v/>
      </c>
      <c r="J38" s="56">
        <f>IF((MAX(0,Assumptions!$B$2*EXP(-Assumptions!$B$4*Assumptions!$B$9)*NORMSDIST(((LN(Assumptions!$B$2/$B17)+(Assumptions!$B$3-Assumptions!$B$4+(J$3/100)^2/2)*Assumptions!$B$9)/((J$3/100)*Assumptions!$B$10)))-$B17*EXP(-Assumptions!$B$3*Assumptions!$B$9)*NORMSDIST((((LN(Assumptions!$B$2/$B17)+(Assumptions!$B$3-Assumptions!$B$4+(J$3/100)^2/2)*Assumptions!$B$9)/((J$3/100)*Assumptions!$B$10))-(J$3/100)*Assumptions!$B$10))))&lt;=0,"",(Assumptions!$B$2*EXP(-Assumptions!$B$4*Assumptions!$B$9)*NORMDIST(((LN(Assumptions!$B$2/$B17)+(Assumptions!$B$3-Assumptions!$B$4+(J$3/100)^2/2)*Assumptions!$B$9)/((J$3/100)*Assumptions!$B$10)),0,1,FALSE)*Assumptions!$B$10*0.01)*0.5/(MAX(0,Assumptions!$B$2*EXP(-Assumptions!$B$4*Assumptions!$B$9)*NORMSDIST(((LN(Assumptions!$B$2/$B17)+(Assumptions!$B$3-Assumptions!$B$4+(J$3/100)^2/2)*Assumptions!$B$9)/((J$3/100)*Assumptions!$B$10)))-$B17*EXP(-Assumptions!$B$3*Assumptions!$B$9)*NORMSDIST((((LN(Assumptions!$B$2/$B17)+(Assumptions!$B$3-Assumptions!$B$4+(J$3/100)^2/2)*Assumptions!$B$9)/((J$3/100)*Assumptions!$B$10))-(J$3/100)*Assumptions!$B$10)))))</f>
        <v/>
      </c>
      <c r="K38" s="56">
        <f>IF((MAX(0,Assumptions!$B$2*EXP(-Assumptions!$B$4*Assumptions!$B$9)*NORMSDIST(((LN(Assumptions!$B$2/$B17)+(Assumptions!$B$3-Assumptions!$B$4+(K$3/100)^2/2)*Assumptions!$B$9)/((K$3/100)*Assumptions!$B$10)))-$B17*EXP(-Assumptions!$B$3*Assumptions!$B$9)*NORMSDIST((((LN(Assumptions!$B$2/$B17)+(Assumptions!$B$3-Assumptions!$B$4+(K$3/100)^2/2)*Assumptions!$B$9)/((K$3/100)*Assumptions!$B$10))-(K$3/100)*Assumptions!$B$10))))&lt;=0,"",(Assumptions!$B$2*EXP(-Assumptions!$B$4*Assumptions!$B$9)*NORMDIST(((LN(Assumptions!$B$2/$B17)+(Assumptions!$B$3-Assumptions!$B$4+(K$3/100)^2/2)*Assumptions!$B$9)/((K$3/100)*Assumptions!$B$10)),0,1,FALSE)*Assumptions!$B$10*0.01)*0.5/(MAX(0,Assumptions!$B$2*EXP(-Assumptions!$B$4*Assumptions!$B$9)*NORMSDIST(((LN(Assumptions!$B$2/$B17)+(Assumptions!$B$3-Assumptions!$B$4+(K$3/100)^2/2)*Assumptions!$B$9)/((K$3/100)*Assumptions!$B$10)))-$B17*EXP(-Assumptions!$B$3*Assumptions!$B$9)*NORMSDIST((((LN(Assumptions!$B$2/$B17)+(Assumptions!$B$3-Assumptions!$B$4+(K$3/100)^2/2)*Assumptions!$B$9)/((K$3/100)*Assumptions!$B$10))-(K$3/100)*Assumptions!$B$10)))))</f>
        <v/>
      </c>
      <c r="L38" s="56">
        <f>IF((MAX(0,Assumptions!$B$2*EXP(-Assumptions!$B$4*Assumptions!$B$9)*NORMSDIST(((LN(Assumptions!$B$2/$B17)+(Assumptions!$B$3-Assumptions!$B$4+(L$3/100)^2/2)*Assumptions!$B$9)/((L$3/100)*Assumptions!$B$10)))-$B17*EXP(-Assumptions!$B$3*Assumptions!$B$9)*NORMSDIST((((LN(Assumptions!$B$2/$B17)+(Assumptions!$B$3-Assumptions!$B$4+(L$3/100)^2/2)*Assumptions!$B$9)/((L$3/100)*Assumptions!$B$10))-(L$3/100)*Assumptions!$B$10))))&lt;=0,"",(Assumptions!$B$2*EXP(-Assumptions!$B$4*Assumptions!$B$9)*NORMDIST(((LN(Assumptions!$B$2/$B17)+(Assumptions!$B$3-Assumptions!$B$4+(L$3/100)^2/2)*Assumptions!$B$9)/((L$3/100)*Assumptions!$B$10)),0,1,FALSE)*Assumptions!$B$10*0.01)*0.5/(MAX(0,Assumptions!$B$2*EXP(-Assumptions!$B$4*Assumptions!$B$9)*NORMSDIST(((LN(Assumptions!$B$2/$B17)+(Assumptions!$B$3-Assumptions!$B$4+(L$3/100)^2/2)*Assumptions!$B$9)/((L$3/100)*Assumptions!$B$10)))-$B17*EXP(-Assumptions!$B$3*Assumptions!$B$9)*NORMSDIST((((LN(Assumptions!$B$2/$B17)+(Assumptions!$B$3-Assumptions!$B$4+(L$3/100)^2/2)*Assumptions!$B$9)/((L$3/100)*Assumptions!$B$10))-(L$3/100)*Assumptions!$B$10)))))</f>
        <v/>
      </c>
      <c r="M38" s="56">
        <f>IF((MAX(0,Assumptions!$B$2*EXP(-Assumptions!$B$4*Assumptions!$B$9)*NORMSDIST(((LN(Assumptions!$B$2/$B17)+(Assumptions!$B$3-Assumptions!$B$4+(M$3/100)^2/2)*Assumptions!$B$9)/((M$3/100)*Assumptions!$B$10)))-$B17*EXP(-Assumptions!$B$3*Assumptions!$B$9)*NORMSDIST((((LN(Assumptions!$B$2/$B17)+(Assumptions!$B$3-Assumptions!$B$4+(M$3/100)^2/2)*Assumptions!$B$9)/((M$3/100)*Assumptions!$B$10))-(M$3/100)*Assumptions!$B$10))))&lt;=0,"",(Assumptions!$B$2*EXP(-Assumptions!$B$4*Assumptions!$B$9)*NORMDIST(((LN(Assumptions!$B$2/$B17)+(Assumptions!$B$3-Assumptions!$B$4+(M$3/100)^2/2)*Assumptions!$B$9)/((M$3/100)*Assumptions!$B$10)),0,1,FALSE)*Assumptions!$B$10*0.01)*0.5/(MAX(0,Assumptions!$B$2*EXP(-Assumptions!$B$4*Assumptions!$B$9)*NORMSDIST(((LN(Assumptions!$B$2/$B17)+(Assumptions!$B$3-Assumptions!$B$4+(M$3/100)^2/2)*Assumptions!$B$9)/((M$3/100)*Assumptions!$B$10)))-$B17*EXP(-Assumptions!$B$3*Assumptions!$B$9)*NORMSDIST((((LN(Assumptions!$B$2/$B17)+(Assumptions!$B$3-Assumptions!$B$4+(M$3/100)^2/2)*Assumptions!$B$9)/((M$3/100)*Assumptions!$B$10))-(M$3/100)*Assumptions!$B$10)))))</f>
        <v/>
      </c>
      <c r="N38" s="56">
        <f>IF((MAX(0,Assumptions!$B$2*EXP(-Assumptions!$B$4*Assumptions!$B$9)*NORMSDIST(((LN(Assumptions!$B$2/$B17)+(Assumptions!$B$3-Assumptions!$B$4+(N$3/100)^2/2)*Assumptions!$B$9)/((N$3/100)*Assumptions!$B$10)))-$B17*EXP(-Assumptions!$B$3*Assumptions!$B$9)*NORMSDIST((((LN(Assumptions!$B$2/$B17)+(Assumptions!$B$3-Assumptions!$B$4+(N$3/100)^2/2)*Assumptions!$B$9)/((N$3/100)*Assumptions!$B$10))-(N$3/100)*Assumptions!$B$10))))&lt;=0,"",(Assumptions!$B$2*EXP(-Assumptions!$B$4*Assumptions!$B$9)*NORMDIST(((LN(Assumptions!$B$2/$B17)+(Assumptions!$B$3-Assumptions!$B$4+(N$3/100)^2/2)*Assumptions!$B$9)/((N$3/100)*Assumptions!$B$10)),0,1,FALSE)*Assumptions!$B$10*0.01)*0.5/(MAX(0,Assumptions!$B$2*EXP(-Assumptions!$B$4*Assumptions!$B$9)*NORMSDIST(((LN(Assumptions!$B$2/$B17)+(Assumptions!$B$3-Assumptions!$B$4+(N$3/100)^2/2)*Assumptions!$B$9)/((N$3/100)*Assumptions!$B$10)))-$B17*EXP(-Assumptions!$B$3*Assumptions!$B$9)*NORMSDIST((((LN(Assumptions!$B$2/$B17)+(Assumptions!$B$3-Assumptions!$B$4+(N$3/100)^2/2)*Assumptions!$B$9)/((N$3/100)*Assumptions!$B$10))-(N$3/100)*Assumptions!$B$10)))))</f>
        <v/>
      </c>
      <c r="O38" s="56">
        <f>IF((MAX(0,Assumptions!$B$2*EXP(-Assumptions!$B$4*Assumptions!$B$9)*NORMSDIST(((LN(Assumptions!$B$2/$B17)+(Assumptions!$B$3-Assumptions!$B$4+(O$3/100)^2/2)*Assumptions!$B$9)/((O$3/100)*Assumptions!$B$10)))-$B17*EXP(-Assumptions!$B$3*Assumptions!$B$9)*NORMSDIST((((LN(Assumptions!$B$2/$B17)+(Assumptions!$B$3-Assumptions!$B$4+(O$3/100)^2/2)*Assumptions!$B$9)/((O$3/100)*Assumptions!$B$10))-(O$3/100)*Assumptions!$B$10))))&lt;=0,"",(Assumptions!$B$2*EXP(-Assumptions!$B$4*Assumptions!$B$9)*NORMDIST(((LN(Assumptions!$B$2/$B17)+(Assumptions!$B$3-Assumptions!$B$4+(O$3/100)^2/2)*Assumptions!$B$9)/((O$3/100)*Assumptions!$B$10)),0,1,FALSE)*Assumptions!$B$10*0.01)*0.5/(MAX(0,Assumptions!$B$2*EXP(-Assumptions!$B$4*Assumptions!$B$9)*NORMSDIST(((LN(Assumptions!$B$2/$B17)+(Assumptions!$B$3-Assumptions!$B$4+(O$3/100)^2/2)*Assumptions!$B$9)/((O$3/100)*Assumptions!$B$10)))-$B17*EXP(-Assumptions!$B$3*Assumptions!$B$9)*NORMSDIST((((LN(Assumptions!$B$2/$B17)+(Assumptions!$B$3-Assumptions!$B$4+(O$3/100)^2/2)*Assumptions!$B$9)/((O$3/100)*Assumptions!$B$10))-(O$3/100)*Assumptions!$B$10)))))</f>
        <v/>
      </c>
      <c r="P38" s="56">
        <f>IF((MAX(0,Assumptions!$B$2*EXP(-Assumptions!$B$4*Assumptions!$B$9)*NORMSDIST(((LN(Assumptions!$B$2/$B17)+(Assumptions!$B$3-Assumptions!$B$4+(P$3/100)^2/2)*Assumptions!$B$9)/((P$3/100)*Assumptions!$B$10)))-$B17*EXP(-Assumptions!$B$3*Assumptions!$B$9)*NORMSDIST((((LN(Assumptions!$B$2/$B17)+(Assumptions!$B$3-Assumptions!$B$4+(P$3/100)^2/2)*Assumptions!$B$9)/((P$3/100)*Assumptions!$B$10))-(P$3/100)*Assumptions!$B$10))))&lt;=0,"",(Assumptions!$B$2*EXP(-Assumptions!$B$4*Assumptions!$B$9)*NORMDIST(((LN(Assumptions!$B$2/$B17)+(Assumptions!$B$3-Assumptions!$B$4+(P$3/100)^2/2)*Assumptions!$B$9)/((P$3/100)*Assumptions!$B$10)),0,1,FALSE)*Assumptions!$B$10*0.01)*0.5/(MAX(0,Assumptions!$B$2*EXP(-Assumptions!$B$4*Assumptions!$B$9)*NORMSDIST(((LN(Assumptions!$B$2/$B17)+(Assumptions!$B$3-Assumptions!$B$4+(P$3/100)^2/2)*Assumptions!$B$9)/((P$3/100)*Assumptions!$B$10)))-$B17*EXP(-Assumptions!$B$3*Assumptions!$B$9)*NORMSDIST((((LN(Assumptions!$B$2/$B17)+(Assumptions!$B$3-Assumptions!$B$4+(P$3/100)^2/2)*Assumptions!$B$9)/((P$3/100)*Assumptions!$B$10))-(P$3/100)*Assumptions!$B$10)))))</f>
        <v/>
      </c>
      <c r="Q38" s="56">
        <f>IF((MAX(0,Assumptions!$B$2*EXP(-Assumptions!$B$4*Assumptions!$B$9)*NORMSDIST(((LN(Assumptions!$B$2/$B17)+(Assumptions!$B$3-Assumptions!$B$4+(Q$3/100)^2/2)*Assumptions!$B$9)/((Q$3/100)*Assumptions!$B$10)))-$B17*EXP(-Assumptions!$B$3*Assumptions!$B$9)*NORMSDIST((((LN(Assumptions!$B$2/$B17)+(Assumptions!$B$3-Assumptions!$B$4+(Q$3/100)^2/2)*Assumptions!$B$9)/((Q$3/100)*Assumptions!$B$10))-(Q$3/100)*Assumptions!$B$10))))&lt;=0,"",(Assumptions!$B$2*EXP(-Assumptions!$B$4*Assumptions!$B$9)*NORMDIST(((LN(Assumptions!$B$2/$B17)+(Assumptions!$B$3-Assumptions!$B$4+(Q$3/100)^2/2)*Assumptions!$B$9)/((Q$3/100)*Assumptions!$B$10)),0,1,FALSE)*Assumptions!$B$10*0.01)*0.5/(MAX(0,Assumptions!$B$2*EXP(-Assumptions!$B$4*Assumptions!$B$9)*NORMSDIST(((LN(Assumptions!$B$2/$B17)+(Assumptions!$B$3-Assumptions!$B$4+(Q$3/100)^2/2)*Assumptions!$B$9)/((Q$3/100)*Assumptions!$B$10)))-$B17*EXP(-Assumptions!$B$3*Assumptions!$B$9)*NORMSDIST((((LN(Assumptions!$B$2/$B17)+(Assumptions!$B$3-Assumptions!$B$4+(Q$3/100)^2/2)*Assumptions!$B$9)/((Q$3/100)*Assumptions!$B$10))-(Q$3/100)*Assumptions!$B$10)))))</f>
        <v/>
      </c>
      <c r="R38" s="56">
        <f>IF((MAX(0,Assumptions!$B$2*EXP(-Assumptions!$B$4*Assumptions!$B$9)*NORMSDIST(((LN(Assumptions!$B$2/$B17)+(Assumptions!$B$3-Assumptions!$B$4+(R$3/100)^2/2)*Assumptions!$B$9)/((R$3/100)*Assumptions!$B$10)))-$B17*EXP(-Assumptions!$B$3*Assumptions!$B$9)*NORMSDIST((((LN(Assumptions!$B$2/$B17)+(Assumptions!$B$3-Assumptions!$B$4+(R$3/100)^2/2)*Assumptions!$B$9)/((R$3/100)*Assumptions!$B$10))-(R$3/100)*Assumptions!$B$10))))&lt;=0,"",(Assumptions!$B$2*EXP(-Assumptions!$B$4*Assumptions!$B$9)*NORMDIST(((LN(Assumptions!$B$2/$B17)+(Assumptions!$B$3-Assumptions!$B$4+(R$3/100)^2/2)*Assumptions!$B$9)/((R$3/100)*Assumptions!$B$10)),0,1,FALSE)*Assumptions!$B$10*0.01)*0.5/(MAX(0,Assumptions!$B$2*EXP(-Assumptions!$B$4*Assumptions!$B$9)*NORMSDIST(((LN(Assumptions!$B$2/$B17)+(Assumptions!$B$3-Assumptions!$B$4+(R$3/100)^2/2)*Assumptions!$B$9)/((R$3/100)*Assumptions!$B$10)))-$B17*EXP(-Assumptions!$B$3*Assumptions!$B$9)*NORMSDIST((((LN(Assumptions!$B$2/$B17)+(Assumptions!$B$3-Assumptions!$B$4+(R$3/100)^2/2)*Assumptions!$B$9)/((R$3/100)*Assumptions!$B$10))-(R$3/100)*Assumptions!$B$10)))))</f>
        <v/>
      </c>
      <c r="S38" s="56">
        <f>IF((MAX(0,Assumptions!$B$2*EXP(-Assumptions!$B$4*Assumptions!$B$9)*NORMSDIST(((LN(Assumptions!$B$2/$B17)+(Assumptions!$B$3-Assumptions!$B$4+(S$3/100)^2/2)*Assumptions!$B$9)/((S$3/100)*Assumptions!$B$10)))-$B17*EXP(-Assumptions!$B$3*Assumptions!$B$9)*NORMSDIST((((LN(Assumptions!$B$2/$B17)+(Assumptions!$B$3-Assumptions!$B$4+(S$3/100)^2/2)*Assumptions!$B$9)/((S$3/100)*Assumptions!$B$10))-(S$3/100)*Assumptions!$B$10))))&lt;=0,"",(Assumptions!$B$2*EXP(-Assumptions!$B$4*Assumptions!$B$9)*NORMDIST(((LN(Assumptions!$B$2/$B17)+(Assumptions!$B$3-Assumptions!$B$4+(S$3/100)^2/2)*Assumptions!$B$9)/((S$3/100)*Assumptions!$B$10)),0,1,FALSE)*Assumptions!$B$10*0.01)*0.5/(MAX(0,Assumptions!$B$2*EXP(-Assumptions!$B$4*Assumptions!$B$9)*NORMSDIST(((LN(Assumptions!$B$2/$B17)+(Assumptions!$B$3-Assumptions!$B$4+(S$3/100)^2/2)*Assumptions!$B$9)/((S$3/100)*Assumptions!$B$10)))-$B17*EXP(-Assumptions!$B$3*Assumptions!$B$9)*NORMSDIST((((LN(Assumptions!$B$2/$B17)+(Assumptions!$B$3-Assumptions!$B$4+(S$3/100)^2/2)*Assumptions!$B$9)/((S$3/100)*Assumptions!$B$10))-(S$3/100)*Assumptions!$B$10)))))</f>
        <v/>
      </c>
      <c r="T38" s="56">
        <f>IF((MAX(0,Assumptions!$B$2*EXP(-Assumptions!$B$4*Assumptions!$B$9)*NORMSDIST(((LN(Assumptions!$B$2/$B17)+(Assumptions!$B$3-Assumptions!$B$4+(T$3/100)^2/2)*Assumptions!$B$9)/((T$3/100)*Assumptions!$B$10)))-$B17*EXP(-Assumptions!$B$3*Assumptions!$B$9)*NORMSDIST((((LN(Assumptions!$B$2/$B17)+(Assumptions!$B$3-Assumptions!$B$4+(T$3/100)^2/2)*Assumptions!$B$9)/((T$3/100)*Assumptions!$B$10))-(T$3/100)*Assumptions!$B$10))))&lt;=0,"",(Assumptions!$B$2*EXP(-Assumptions!$B$4*Assumptions!$B$9)*NORMDIST(((LN(Assumptions!$B$2/$B17)+(Assumptions!$B$3-Assumptions!$B$4+(T$3/100)^2/2)*Assumptions!$B$9)/((T$3/100)*Assumptions!$B$10)),0,1,FALSE)*Assumptions!$B$10*0.01)*0.5/(MAX(0,Assumptions!$B$2*EXP(-Assumptions!$B$4*Assumptions!$B$9)*NORMSDIST(((LN(Assumptions!$B$2/$B17)+(Assumptions!$B$3-Assumptions!$B$4+(T$3/100)^2/2)*Assumptions!$B$9)/((T$3/100)*Assumptions!$B$10)))-$B17*EXP(-Assumptions!$B$3*Assumptions!$B$9)*NORMSDIST((((LN(Assumptions!$B$2/$B17)+(Assumptions!$B$3-Assumptions!$B$4+(T$3/100)^2/2)*Assumptions!$B$9)/((T$3/100)*Assumptions!$B$10))-(T$3/100)*Assumptions!$B$10)))))</f>
        <v/>
      </c>
      <c r="U38" s="56">
        <f>IF((MAX(0,Assumptions!$B$2*EXP(-Assumptions!$B$4*Assumptions!$B$9)*NORMSDIST(((LN(Assumptions!$B$2/$B17)+(Assumptions!$B$3-Assumptions!$B$4+(U$3/100)^2/2)*Assumptions!$B$9)/((U$3/100)*Assumptions!$B$10)))-$B17*EXP(-Assumptions!$B$3*Assumptions!$B$9)*NORMSDIST((((LN(Assumptions!$B$2/$B17)+(Assumptions!$B$3-Assumptions!$B$4+(U$3/100)^2/2)*Assumptions!$B$9)/((U$3/100)*Assumptions!$B$10))-(U$3/100)*Assumptions!$B$10))))&lt;=0,"",(Assumptions!$B$2*EXP(-Assumptions!$B$4*Assumptions!$B$9)*NORMDIST(((LN(Assumptions!$B$2/$B17)+(Assumptions!$B$3-Assumptions!$B$4+(U$3/100)^2/2)*Assumptions!$B$9)/((U$3/100)*Assumptions!$B$10)),0,1,FALSE)*Assumptions!$B$10*0.01)*0.5/(MAX(0,Assumptions!$B$2*EXP(-Assumptions!$B$4*Assumptions!$B$9)*NORMSDIST(((LN(Assumptions!$B$2/$B17)+(Assumptions!$B$3-Assumptions!$B$4+(U$3/100)^2/2)*Assumptions!$B$9)/((U$3/100)*Assumptions!$B$10)))-$B17*EXP(-Assumptions!$B$3*Assumptions!$B$9)*NORMSDIST((((LN(Assumptions!$B$2/$B17)+(Assumptions!$B$3-Assumptions!$B$4+(U$3/100)^2/2)*Assumptions!$B$9)/((U$3/100)*Assumptions!$B$10))-(U$3/100)*Assumptions!$B$10)))))</f>
        <v/>
      </c>
      <c r="V38" s="56">
        <f>IF((MAX(0,Assumptions!$B$2*EXP(-Assumptions!$B$4*Assumptions!$B$9)*NORMSDIST(((LN(Assumptions!$B$2/$B17)+(Assumptions!$B$3-Assumptions!$B$4+(V$3/100)^2/2)*Assumptions!$B$9)/((V$3/100)*Assumptions!$B$10)))-$B17*EXP(-Assumptions!$B$3*Assumptions!$B$9)*NORMSDIST((((LN(Assumptions!$B$2/$B17)+(Assumptions!$B$3-Assumptions!$B$4+(V$3/100)^2/2)*Assumptions!$B$9)/((V$3/100)*Assumptions!$B$10))-(V$3/100)*Assumptions!$B$10))))&lt;=0,"",(Assumptions!$B$2*EXP(-Assumptions!$B$4*Assumptions!$B$9)*NORMDIST(((LN(Assumptions!$B$2/$B17)+(Assumptions!$B$3-Assumptions!$B$4+(V$3/100)^2/2)*Assumptions!$B$9)/((V$3/100)*Assumptions!$B$10)),0,1,FALSE)*Assumptions!$B$10*0.01)*0.5/(MAX(0,Assumptions!$B$2*EXP(-Assumptions!$B$4*Assumptions!$B$9)*NORMSDIST(((LN(Assumptions!$B$2/$B17)+(Assumptions!$B$3-Assumptions!$B$4+(V$3/100)^2/2)*Assumptions!$B$9)/((V$3/100)*Assumptions!$B$10)))-$B17*EXP(-Assumptions!$B$3*Assumptions!$B$9)*NORMSDIST((((LN(Assumptions!$B$2/$B17)+(Assumptions!$B$3-Assumptions!$B$4+(V$3/100)^2/2)*Assumptions!$B$9)/((V$3/100)*Assumptions!$B$10))-(V$3/100)*Assumptions!$B$10)))))</f>
        <v/>
      </c>
      <c r="W38" s="56">
        <f>IF((MAX(0,Assumptions!$B$2*EXP(-Assumptions!$B$4*Assumptions!$B$9)*NORMSDIST(((LN(Assumptions!$B$2/$B17)+(Assumptions!$B$3-Assumptions!$B$4+(W$3/100)^2/2)*Assumptions!$B$9)/((W$3/100)*Assumptions!$B$10)))-$B17*EXP(-Assumptions!$B$3*Assumptions!$B$9)*NORMSDIST((((LN(Assumptions!$B$2/$B17)+(Assumptions!$B$3-Assumptions!$B$4+(W$3/100)^2/2)*Assumptions!$B$9)/((W$3/100)*Assumptions!$B$10))-(W$3/100)*Assumptions!$B$10))))&lt;=0,"",(Assumptions!$B$2*EXP(-Assumptions!$B$4*Assumptions!$B$9)*NORMDIST(((LN(Assumptions!$B$2/$B17)+(Assumptions!$B$3-Assumptions!$B$4+(W$3/100)^2/2)*Assumptions!$B$9)/((W$3/100)*Assumptions!$B$10)),0,1,FALSE)*Assumptions!$B$10*0.01)*0.5/(MAX(0,Assumptions!$B$2*EXP(-Assumptions!$B$4*Assumptions!$B$9)*NORMSDIST(((LN(Assumptions!$B$2/$B17)+(Assumptions!$B$3-Assumptions!$B$4+(W$3/100)^2/2)*Assumptions!$B$9)/((W$3/100)*Assumptions!$B$10)))-$B17*EXP(-Assumptions!$B$3*Assumptions!$B$9)*NORMSDIST((((LN(Assumptions!$B$2/$B17)+(Assumptions!$B$3-Assumptions!$B$4+(W$3/100)^2/2)*Assumptions!$B$9)/((W$3/100)*Assumptions!$B$10))-(W$3/100)*Assumptions!$B$10)))))</f>
        <v/>
      </c>
      <c r="X38" s="56">
        <f>IF((MAX(0,Assumptions!$B$2*EXP(-Assumptions!$B$4*Assumptions!$B$9)*NORMSDIST(((LN(Assumptions!$B$2/$B17)+(Assumptions!$B$3-Assumptions!$B$4+(X$3/100)^2/2)*Assumptions!$B$9)/((X$3/100)*Assumptions!$B$10)))-$B17*EXP(-Assumptions!$B$3*Assumptions!$B$9)*NORMSDIST((((LN(Assumptions!$B$2/$B17)+(Assumptions!$B$3-Assumptions!$B$4+(X$3/100)^2/2)*Assumptions!$B$9)/((X$3/100)*Assumptions!$B$10))-(X$3/100)*Assumptions!$B$10))))&lt;=0,"",(Assumptions!$B$2*EXP(-Assumptions!$B$4*Assumptions!$B$9)*NORMDIST(((LN(Assumptions!$B$2/$B17)+(Assumptions!$B$3-Assumptions!$B$4+(X$3/100)^2/2)*Assumptions!$B$9)/((X$3/100)*Assumptions!$B$10)),0,1,FALSE)*Assumptions!$B$10*0.01)*0.5/(MAX(0,Assumptions!$B$2*EXP(-Assumptions!$B$4*Assumptions!$B$9)*NORMSDIST(((LN(Assumptions!$B$2/$B17)+(Assumptions!$B$3-Assumptions!$B$4+(X$3/100)^2/2)*Assumptions!$B$9)/((X$3/100)*Assumptions!$B$10)))-$B17*EXP(-Assumptions!$B$3*Assumptions!$B$9)*NORMSDIST((((LN(Assumptions!$B$2/$B17)+(Assumptions!$B$3-Assumptions!$B$4+(X$3/100)^2/2)*Assumptions!$B$9)/((X$3/100)*Assumptions!$B$10))-(X$3/100)*Assumptions!$B$10)))))</f>
        <v/>
      </c>
      <c r="Y38" s="56">
        <f>IF((MAX(0,Assumptions!$B$2*EXP(-Assumptions!$B$4*Assumptions!$B$9)*NORMSDIST(((LN(Assumptions!$B$2/$B17)+(Assumptions!$B$3-Assumptions!$B$4+(Y$3/100)^2/2)*Assumptions!$B$9)/((Y$3/100)*Assumptions!$B$10)))-$B17*EXP(-Assumptions!$B$3*Assumptions!$B$9)*NORMSDIST((((LN(Assumptions!$B$2/$B17)+(Assumptions!$B$3-Assumptions!$B$4+(Y$3/100)^2/2)*Assumptions!$B$9)/((Y$3/100)*Assumptions!$B$10))-(Y$3/100)*Assumptions!$B$10))))&lt;=0,"",(Assumptions!$B$2*EXP(-Assumptions!$B$4*Assumptions!$B$9)*NORMDIST(((LN(Assumptions!$B$2/$B17)+(Assumptions!$B$3-Assumptions!$B$4+(Y$3/100)^2/2)*Assumptions!$B$9)/((Y$3/100)*Assumptions!$B$10)),0,1,FALSE)*Assumptions!$B$10*0.01)*0.5/(MAX(0,Assumptions!$B$2*EXP(-Assumptions!$B$4*Assumptions!$B$9)*NORMSDIST(((LN(Assumptions!$B$2/$B17)+(Assumptions!$B$3-Assumptions!$B$4+(Y$3/100)^2/2)*Assumptions!$B$9)/((Y$3/100)*Assumptions!$B$10)))-$B17*EXP(-Assumptions!$B$3*Assumptions!$B$9)*NORMSDIST((((LN(Assumptions!$B$2/$B17)+(Assumptions!$B$3-Assumptions!$B$4+(Y$3/100)^2/2)*Assumptions!$B$9)/((Y$3/100)*Assumptions!$B$10))-(Y$3/100)*Assumptions!$B$10)))))</f>
        <v/>
      </c>
      <c r="Z38" s="56">
        <f>IF((MAX(0,Assumptions!$B$2*EXP(-Assumptions!$B$4*Assumptions!$B$9)*NORMSDIST(((LN(Assumptions!$B$2/$B17)+(Assumptions!$B$3-Assumptions!$B$4+(Z$3/100)^2/2)*Assumptions!$B$9)/((Z$3/100)*Assumptions!$B$10)))-$B17*EXP(-Assumptions!$B$3*Assumptions!$B$9)*NORMSDIST((((LN(Assumptions!$B$2/$B17)+(Assumptions!$B$3-Assumptions!$B$4+(Z$3/100)^2/2)*Assumptions!$B$9)/((Z$3/100)*Assumptions!$B$10))-(Z$3/100)*Assumptions!$B$10))))&lt;=0,"",(Assumptions!$B$2*EXP(-Assumptions!$B$4*Assumptions!$B$9)*NORMDIST(((LN(Assumptions!$B$2/$B17)+(Assumptions!$B$3-Assumptions!$B$4+(Z$3/100)^2/2)*Assumptions!$B$9)/((Z$3/100)*Assumptions!$B$10)),0,1,FALSE)*Assumptions!$B$10*0.01)*0.5/(MAX(0,Assumptions!$B$2*EXP(-Assumptions!$B$4*Assumptions!$B$9)*NORMSDIST(((LN(Assumptions!$B$2/$B17)+(Assumptions!$B$3-Assumptions!$B$4+(Z$3/100)^2/2)*Assumptions!$B$9)/((Z$3/100)*Assumptions!$B$10)))-$B17*EXP(-Assumptions!$B$3*Assumptions!$B$9)*NORMSDIST((((LN(Assumptions!$B$2/$B17)+(Assumptions!$B$3-Assumptions!$B$4+(Z$3/100)^2/2)*Assumptions!$B$9)/((Z$3/100)*Assumptions!$B$10))-(Z$3/100)*Assumptions!$B$10)))))</f>
        <v/>
      </c>
      <c r="AA38" s="56">
        <f>IF((MAX(0,Assumptions!$B$2*EXP(-Assumptions!$B$4*Assumptions!$B$9)*NORMSDIST(((LN(Assumptions!$B$2/$B17)+(Assumptions!$B$3-Assumptions!$B$4+(AA$3/100)^2/2)*Assumptions!$B$9)/((AA$3/100)*Assumptions!$B$10)))-$B17*EXP(-Assumptions!$B$3*Assumptions!$B$9)*NORMSDIST((((LN(Assumptions!$B$2/$B17)+(Assumptions!$B$3-Assumptions!$B$4+(AA$3/100)^2/2)*Assumptions!$B$9)/((AA$3/100)*Assumptions!$B$10))-(AA$3/100)*Assumptions!$B$10))))&lt;=0,"",(Assumptions!$B$2*EXP(-Assumptions!$B$4*Assumptions!$B$9)*NORMDIST(((LN(Assumptions!$B$2/$B17)+(Assumptions!$B$3-Assumptions!$B$4+(AA$3/100)^2/2)*Assumptions!$B$9)/((AA$3/100)*Assumptions!$B$10)),0,1,FALSE)*Assumptions!$B$10*0.01)*0.5/(MAX(0,Assumptions!$B$2*EXP(-Assumptions!$B$4*Assumptions!$B$9)*NORMSDIST(((LN(Assumptions!$B$2/$B17)+(Assumptions!$B$3-Assumptions!$B$4+(AA$3/100)^2/2)*Assumptions!$B$9)/((AA$3/100)*Assumptions!$B$10)))-$B17*EXP(-Assumptions!$B$3*Assumptions!$B$9)*NORMSDIST((((LN(Assumptions!$B$2/$B17)+(Assumptions!$B$3-Assumptions!$B$4+(AA$3/100)^2/2)*Assumptions!$B$9)/((AA$3/100)*Assumptions!$B$10))-(AA$3/100)*Assumptions!$B$10)))))</f>
        <v/>
      </c>
      <c r="AB38" s="56">
        <f>IF((MAX(0,Assumptions!$B$2*EXP(-Assumptions!$B$4*Assumptions!$B$9)*NORMSDIST(((LN(Assumptions!$B$2/$B17)+(Assumptions!$B$3-Assumptions!$B$4+(AB$3/100)^2/2)*Assumptions!$B$9)/((AB$3/100)*Assumptions!$B$10)))-$B17*EXP(-Assumptions!$B$3*Assumptions!$B$9)*NORMSDIST((((LN(Assumptions!$B$2/$B17)+(Assumptions!$B$3-Assumptions!$B$4+(AB$3/100)^2/2)*Assumptions!$B$9)/((AB$3/100)*Assumptions!$B$10))-(AB$3/100)*Assumptions!$B$10))))&lt;=0,"",(Assumptions!$B$2*EXP(-Assumptions!$B$4*Assumptions!$B$9)*NORMDIST(((LN(Assumptions!$B$2/$B17)+(Assumptions!$B$3-Assumptions!$B$4+(AB$3/100)^2/2)*Assumptions!$B$9)/((AB$3/100)*Assumptions!$B$10)),0,1,FALSE)*Assumptions!$B$10*0.01)*0.5/(MAX(0,Assumptions!$B$2*EXP(-Assumptions!$B$4*Assumptions!$B$9)*NORMSDIST(((LN(Assumptions!$B$2/$B17)+(Assumptions!$B$3-Assumptions!$B$4+(AB$3/100)^2/2)*Assumptions!$B$9)/((AB$3/100)*Assumptions!$B$10)))-$B17*EXP(-Assumptions!$B$3*Assumptions!$B$9)*NORMSDIST((((LN(Assumptions!$B$2/$B17)+(Assumptions!$B$3-Assumptions!$B$4+(AB$3/100)^2/2)*Assumptions!$B$9)/((AB$3/100)*Assumptions!$B$10))-(AB$3/100)*Assumptions!$B$10)))))</f>
        <v/>
      </c>
      <c r="AC38" s="56">
        <f>IF((MAX(0,Assumptions!$B$2*EXP(-Assumptions!$B$4*Assumptions!$B$9)*NORMSDIST(((LN(Assumptions!$B$2/$B17)+(Assumptions!$B$3-Assumptions!$B$4+(AC$3/100)^2/2)*Assumptions!$B$9)/((AC$3/100)*Assumptions!$B$10)))-$B17*EXP(-Assumptions!$B$3*Assumptions!$B$9)*NORMSDIST((((LN(Assumptions!$B$2/$B17)+(Assumptions!$B$3-Assumptions!$B$4+(AC$3/100)^2/2)*Assumptions!$B$9)/((AC$3/100)*Assumptions!$B$10))-(AC$3/100)*Assumptions!$B$10))))&lt;=0,"",(Assumptions!$B$2*EXP(-Assumptions!$B$4*Assumptions!$B$9)*NORMDIST(((LN(Assumptions!$B$2/$B17)+(Assumptions!$B$3-Assumptions!$B$4+(AC$3/100)^2/2)*Assumptions!$B$9)/((AC$3/100)*Assumptions!$B$10)),0,1,FALSE)*Assumptions!$B$10*0.01)*0.5/(MAX(0,Assumptions!$B$2*EXP(-Assumptions!$B$4*Assumptions!$B$9)*NORMSDIST(((LN(Assumptions!$B$2/$B17)+(Assumptions!$B$3-Assumptions!$B$4+(AC$3/100)^2/2)*Assumptions!$B$9)/((AC$3/100)*Assumptions!$B$10)))-$B17*EXP(-Assumptions!$B$3*Assumptions!$B$9)*NORMSDIST((((LN(Assumptions!$B$2/$B17)+(Assumptions!$B$3-Assumptions!$B$4+(AC$3/100)^2/2)*Assumptions!$B$9)/((AC$3/100)*Assumptions!$B$10))-(AC$3/100)*Assumptions!$B$10)))))</f>
        <v/>
      </c>
      <c r="AD38" s="56">
        <f>IF((MAX(0,Assumptions!$B$2*EXP(-Assumptions!$B$4*Assumptions!$B$9)*NORMSDIST(((LN(Assumptions!$B$2/$B17)+(Assumptions!$B$3-Assumptions!$B$4+(AD$3/100)^2/2)*Assumptions!$B$9)/((AD$3/100)*Assumptions!$B$10)))-$B17*EXP(-Assumptions!$B$3*Assumptions!$B$9)*NORMSDIST((((LN(Assumptions!$B$2/$B17)+(Assumptions!$B$3-Assumptions!$B$4+(AD$3/100)^2/2)*Assumptions!$B$9)/((AD$3/100)*Assumptions!$B$10))-(AD$3/100)*Assumptions!$B$10))))&lt;=0,"",(Assumptions!$B$2*EXP(-Assumptions!$B$4*Assumptions!$B$9)*NORMDIST(((LN(Assumptions!$B$2/$B17)+(Assumptions!$B$3-Assumptions!$B$4+(AD$3/100)^2/2)*Assumptions!$B$9)/((AD$3/100)*Assumptions!$B$10)),0,1,FALSE)*Assumptions!$B$10*0.01)*0.5/(MAX(0,Assumptions!$B$2*EXP(-Assumptions!$B$4*Assumptions!$B$9)*NORMSDIST(((LN(Assumptions!$B$2/$B17)+(Assumptions!$B$3-Assumptions!$B$4+(AD$3/100)^2/2)*Assumptions!$B$9)/((AD$3/100)*Assumptions!$B$10)))-$B17*EXP(-Assumptions!$B$3*Assumptions!$B$9)*NORMSDIST((((LN(Assumptions!$B$2/$B17)+(Assumptions!$B$3-Assumptions!$B$4+(AD$3/100)^2/2)*Assumptions!$B$9)/((AD$3/100)*Assumptions!$B$10))-(AD$3/100)*Assumptions!$B$10)))))</f>
        <v/>
      </c>
      <c r="AE38" s="56">
        <f>IF((MAX(0,Assumptions!$B$2*EXP(-Assumptions!$B$4*Assumptions!$B$9)*NORMSDIST(((LN(Assumptions!$B$2/$B17)+(Assumptions!$B$3-Assumptions!$B$4+(AE$3/100)^2/2)*Assumptions!$B$9)/((AE$3/100)*Assumptions!$B$10)))-$B17*EXP(-Assumptions!$B$3*Assumptions!$B$9)*NORMSDIST((((LN(Assumptions!$B$2/$B17)+(Assumptions!$B$3-Assumptions!$B$4+(AE$3/100)^2/2)*Assumptions!$B$9)/((AE$3/100)*Assumptions!$B$10))-(AE$3/100)*Assumptions!$B$10))))&lt;=0,"",(Assumptions!$B$2*EXP(-Assumptions!$B$4*Assumptions!$B$9)*NORMDIST(((LN(Assumptions!$B$2/$B17)+(Assumptions!$B$3-Assumptions!$B$4+(AE$3/100)^2/2)*Assumptions!$B$9)/((AE$3/100)*Assumptions!$B$10)),0,1,FALSE)*Assumptions!$B$10*0.01)*0.5/(MAX(0,Assumptions!$B$2*EXP(-Assumptions!$B$4*Assumptions!$B$9)*NORMSDIST(((LN(Assumptions!$B$2/$B17)+(Assumptions!$B$3-Assumptions!$B$4+(AE$3/100)^2/2)*Assumptions!$B$9)/((AE$3/100)*Assumptions!$B$10)))-$B17*EXP(-Assumptions!$B$3*Assumptions!$B$9)*NORMSDIST((((LN(Assumptions!$B$2/$B17)+(Assumptions!$B$3-Assumptions!$B$4+(AE$3/100)^2/2)*Assumptions!$B$9)/((AE$3/100)*Assumptions!$B$10))-(AE$3/100)*Assumptions!$B$10)))))</f>
        <v/>
      </c>
      <c r="AF38" s="56">
        <f>IF((MAX(0,Assumptions!$B$2*EXP(-Assumptions!$B$4*Assumptions!$B$9)*NORMSDIST(((LN(Assumptions!$B$2/$B17)+(Assumptions!$B$3-Assumptions!$B$4+(AF$3/100)^2/2)*Assumptions!$B$9)/((AF$3/100)*Assumptions!$B$10)))-$B17*EXP(-Assumptions!$B$3*Assumptions!$B$9)*NORMSDIST((((LN(Assumptions!$B$2/$B17)+(Assumptions!$B$3-Assumptions!$B$4+(AF$3/100)^2/2)*Assumptions!$B$9)/((AF$3/100)*Assumptions!$B$10))-(AF$3/100)*Assumptions!$B$10))))&lt;=0,"",(Assumptions!$B$2*EXP(-Assumptions!$B$4*Assumptions!$B$9)*NORMDIST(((LN(Assumptions!$B$2/$B17)+(Assumptions!$B$3-Assumptions!$B$4+(AF$3/100)^2/2)*Assumptions!$B$9)/((AF$3/100)*Assumptions!$B$10)),0,1,FALSE)*Assumptions!$B$10*0.01)*0.5/(MAX(0,Assumptions!$B$2*EXP(-Assumptions!$B$4*Assumptions!$B$9)*NORMSDIST(((LN(Assumptions!$B$2/$B17)+(Assumptions!$B$3-Assumptions!$B$4+(AF$3/100)^2/2)*Assumptions!$B$9)/((AF$3/100)*Assumptions!$B$10)))-$B17*EXP(-Assumptions!$B$3*Assumptions!$B$9)*NORMSDIST((((LN(Assumptions!$B$2/$B17)+(Assumptions!$B$3-Assumptions!$B$4+(AF$3/100)^2/2)*Assumptions!$B$9)/((AF$3/100)*Assumptions!$B$10))-(AF$3/100)*Assumptions!$B$10)))))</f>
        <v/>
      </c>
      <c r="AG38" s="56">
        <f>IF((MAX(0,Assumptions!$B$2*EXP(-Assumptions!$B$4*Assumptions!$B$9)*NORMSDIST(((LN(Assumptions!$B$2/$B17)+(Assumptions!$B$3-Assumptions!$B$4+(AG$3/100)^2/2)*Assumptions!$B$9)/((AG$3/100)*Assumptions!$B$10)))-$B17*EXP(-Assumptions!$B$3*Assumptions!$B$9)*NORMSDIST((((LN(Assumptions!$B$2/$B17)+(Assumptions!$B$3-Assumptions!$B$4+(AG$3/100)^2/2)*Assumptions!$B$9)/((AG$3/100)*Assumptions!$B$10))-(AG$3/100)*Assumptions!$B$10))))&lt;=0,"",(Assumptions!$B$2*EXP(-Assumptions!$B$4*Assumptions!$B$9)*NORMDIST(((LN(Assumptions!$B$2/$B17)+(Assumptions!$B$3-Assumptions!$B$4+(AG$3/100)^2/2)*Assumptions!$B$9)/((AG$3/100)*Assumptions!$B$10)),0,1,FALSE)*Assumptions!$B$10*0.01)*0.5/(MAX(0,Assumptions!$B$2*EXP(-Assumptions!$B$4*Assumptions!$B$9)*NORMSDIST(((LN(Assumptions!$B$2/$B17)+(Assumptions!$B$3-Assumptions!$B$4+(AG$3/100)^2/2)*Assumptions!$B$9)/((AG$3/100)*Assumptions!$B$10)))-$B17*EXP(-Assumptions!$B$3*Assumptions!$B$9)*NORMSDIST((((LN(Assumptions!$B$2/$B17)+(Assumptions!$B$3-Assumptions!$B$4+(AG$3/100)^2/2)*Assumptions!$B$9)/((AG$3/100)*Assumptions!$B$10))-(AG$3/100)*Assumptions!$B$10)))))</f>
        <v/>
      </c>
      <c r="AH38" s="56">
        <f>IF((MAX(0,Assumptions!$B$2*EXP(-Assumptions!$B$4*Assumptions!$B$9)*NORMSDIST(((LN(Assumptions!$B$2/$B17)+(Assumptions!$B$3-Assumptions!$B$4+(AH$3/100)^2/2)*Assumptions!$B$9)/((AH$3/100)*Assumptions!$B$10)))-$B17*EXP(-Assumptions!$B$3*Assumptions!$B$9)*NORMSDIST((((LN(Assumptions!$B$2/$B17)+(Assumptions!$B$3-Assumptions!$B$4+(AH$3/100)^2/2)*Assumptions!$B$9)/((AH$3/100)*Assumptions!$B$10))-(AH$3/100)*Assumptions!$B$10))))&lt;=0,"",(Assumptions!$B$2*EXP(-Assumptions!$B$4*Assumptions!$B$9)*NORMDIST(((LN(Assumptions!$B$2/$B17)+(Assumptions!$B$3-Assumptions!$B$4+(AH$3/100)^2/2)*Assumptions!$B$9)/((AH$3/100)*Assumptions!$B$10)),0,1,FALSE)*Assumptions!$B$10*0.01)*0.5/(MAX(0,Assumptions!$B$2*EXP(-Assumptions!$B$4*Assumptions!$B$9)*NORMSDIST(((LN(Assumptions!$B$2/$B17)+(Assumptions!$B$3-Assumptions!$B$4+(AH$3/100)^2/2)*Assumptions!$B$9)/((AH$3/100)*Assumptions!$B$10)))-$B17*EXP(-Assumptions!$B$3*Assumptions!$B$9)*NORMSDIST((((LN(Assumptions!$B$2/$B17)+(Assumptions!$B$3-Assumptions!$B$4+(AH$3/100)^2/2)*Assumptions!$B$9)/((AH$3/100)*Assumptions!$B$10))-(AH$3/100)*Assumptions!$B$10)))))</f>
        <v/>
      </c>
      <c r="AI38" s="56">
        <f>IF((MAX(0,Assumptions!$B$2*EXP(-Assumptions!$B$4*Assumptions!$B$9)*NORMSDIST(((LN(Assumptions!$B$2/$B17)+(Assumptions!$B$3-Assumptions!$B$4+(AI$3/100)^2/2)*Assumptions!$B$9)/((AI$3/100)*Assumptions!$B$10)))-$B17*EXP(-Assumptions!$B$3*Assumptions!$B$9)*NORMSDIST((((LN(Assumptions!$B$2/$B17)+(Assumptions!$B$3-Assumptions!$B$4+(AI$3/100)^2/2)*Assumptions!$B$9)/((AI$3/100)*Assumptions!$B$10))-(AI$3/100)*Assumptions!$B$10))))&lt;=0,"",(Assumptions!$B$2*EXP(-Assumptions!$B$4*Assumptions!$B$9)*NORMDIST(((LN(Assumptions!$B$2/$B17)+(Assumptions!$B$3-Assumptions!$B$4+(AI$3/100)^2/2)*Assumptions!$B$9)/((AI$3/100)*Assumptions!$B$10)),0,1,FALSE)*Assumptions!$B$10*0.01)*0.5/(MAX(0,Assumptions!$B$2*EXP(-Assumptions!$B$4*Assumptions!$B$9)*NORMSDIST(((LN(Assumptions!$B$2/$B17)+(Assumptions!$B$3-Assumptions!$B$4+(AI$3/100)^2/2)*Assumptions!$B$9)/((AI$3/100)*Assumptions!$B$10)))-$B17*EXP(-Assumptions!$B$3*Assumptions!$B$9)*NORMSDIST((((LN(Assumptions!$B$2/$B17)+(Assumptions!$B$3-Assumptions!$B$4+(AI$3/100)^2/2)*Assumptions!$B$9)/((AI$3/100)*Assumptions!$B$10))-(AI$3/100)*Assumptions!$B$10)))))</f>
        <v/>
      </c>
      <c r="AJ38" s="56">
        <f>IF((MAX(0,Assumptions!$B$2*EXP(-Assumptions!$B$4*Assumptions!$B$9)*NORMSDIST(((LN(Assumptions!$B$2/$B17)+(Assumptions!$B$3-Assumptions!$B$4+(AJ$3/100)^2/2)*Assumptions!$B$9)/((AJ$3/100)*Assumptions!$B$10)))-$B17*EXP(-Assumptions!$B$3*Assumptions!$B$9)*NORMSDIST((((LN(Assumptions!$B$2/$B17)+(Assumptions!$B$3-Assumptions!$B$4+(AJ$3/100)^2/2)*Assumptions!$B$9)/((AJ$3/100)*Assumptions!$B$10))-(AJ$3/100)*Assumptions!$B$10))))&lt;=0,"",(Assumptions!$B$2*EXP(-Assumptions!$B$4*Assumptions!$B$9)*NORMDIST(((LN(Assumptions!$B$2/$B17)+(Assumptions!$B$3-Assumptions!$B$4+(AJ$3/100)^2/2)*Assumptions!$B$9)/((AJ$3/100)*Assumptions!$B$10)),0,1,FALSE)*Assumptions!$B$10*0.01)*0.5/(MAX(0,Assumptions!$B$2*EXP(-Assumptions!$B$4*Assumptions!$B$9)*NORMSDIST(((LN(Assumptions!$B$2/$B17)+(Assumptions!$B$3-Assumptions!$B$4+(AJ$3/100)^2/2)*Assumptions!$B$9)/((AJ$3/100)*Assumptions!$B$10)))-$B17*EXP(-Assumptions!$B$3*Assumptions!$B$9)*NORMSDIST((((LN(Assumptions!$B$2/$B17)+(Assumptions!$B$3-Assumptions!$B$4+(AJ$3/100)^2/2)*Assumptions!$B$9)/((AJ$3/100)*Assumptions!$B$10))-(AJ$3/100)*Assumptions!$B$10)))))</f>
        <v/>
      </c>
      <c r="AK38" s="56">
        <f>IF((MAX(0,Assumptions!$B$2*EXP(-Assumptions!$B$4*Assumptions!$B$9)*NORMSDIST(((LN(Assumptions!$B$2/$B17)+(Assumptions!$B$3-Assumptions!$B$4+(AK$3/100)^2/2)*Assumptions!$B$9)/((AK$3/100)*Assumptions!$B$10)))-$B17*EXP(-Assumptions!$B$3*Assumptions!$B$9)*NORMSDIST((((LN(Assumptions!$B$2/$B17)+(Assumptions!$B$3-Assumptions!$B$4+(AK$3/100)^2/2)*Assumptions!$B$9)/((AK$3/100)*Assumptions!$B$10))-(AK$3/100)*Assumptions!$B$10))))&lt;=0,"",(Assumptions!$B$2*EXP(-Assumptions!$B$4*Assumptions!$B$9)*NORMDIST(((LN(Assumptions!$B$2/$B17)+(Assumptions!$B$3-Assumptions!$B$4+(AK$3/100)^2/2)*Assumptions!$B$9)/((AK$3/100)*Assumptions!$B$10)),0,1,FALSE)*Assumptions!$B$10*0.01)*0.5/(MAX(0,Assumptions!$B$2*EXP(-Assumptions!$B$4*Assumptions!$B$9)*NORMSDIST(((LN(Assumptions!$B$2/$B17)+(Assumptions!$B$3-Assumptions!$B$4+(AK$3/100)^2/2)*Assumptions!$B$9)/((AK$3/100)*Assumptions!$B$10)))-$B17*EXP(-Assumptions!$B$3*Assumptions!$B$9)*NORMSDIST((((LN(Assumptions!$B$2/$B17)+(Assumptions!$B$3-Assumptions!$B$4+(AK$3/100)^2/2)*Assumptions!$B$9)/((AK$3/100)*Assumptions!$B$10))-(AK$3/100)*Assumptions!$B$10)))))</f>
        <v/>
      </c>
      <c r="AL38" s="56">
        <f>IF((MAX(0,Assumptions!$B$2*EXP(-Assumptions!$B$4*Assumptions!$B$9)*NORMSDIST(((LN(Assumptions!$B$2/$B17)+(Assumptions!$B$3-Assumptions!$B$4+(AL$3/100)^2/2)*Assumptions!$B$9)/((AL$3/100)*Assumptions!$B$10)))-$B17*EXP(-Assumptions!$B$3*Assumptions!$B$9)*NORMSDIST((((LN(Assumptions!$B$2/$B17)+(Assumptions!$B$3-Assumptions!$B$4+(AL$3/100)^2/2)*Assumptions!$B$9)/((AL$3/100)*Assumptions!$B$10))-(AL$3/100)*Assumptions!$B$10))))&lt;=0,"",(Assumptions!$B$2*EXP(-Assumptions!$B$4*Assumptions!$B$9)*NORMDIST(((LN(Assumptions!$B$2/$B17)+(Assumptions!$B$3-Assumptions!$B$4+(AL$3/100)^2/2)*Assumptions!$B$9)/((AL$3/100)*Assumptions!$B$10)),0,1,FALSE)*Assumptions!$B$10*0.01)*0.5/(MAX(0,Assumptions!$B$2*EXP(-Assumptions!$B$4*Assumptions!$B$9)*NORMSDIST(((LN(Assumptions!$B$2/$B17)+(Assumptions!$B$3-Assumptions!$B$4+(AL$3/100)^2/2)*Assumptions!$B$9)/((AL$3/100)*Assumptions!$B$10)))-$B17*EXP(-Assumptions!$B$3*Assumptions!$B$9)*NORMSDIST((((LN(Assumptions!$B$2/$B17)+(Assumptions!$B$3-Assumptions!$B$4+(AL$3/100)^2/2)*Assumptions!$B$9)/((AL$3/100)*Assumptions!$B$10))-(AL$3/100)*Assumptions!$B$10)))))</f>
        <v/>
      </c>
      <c r="AM38" s="56">
        <f>IF((MAX(0,Assumptions!$B$2*EXP(-Assumptions!$B$4*Assumptions!$B$9)*NORMSDIST(((LN(Assumptions!$B$2/$B17)+(Assumptions!$B$3-Assumptions!$B$4+(AM$3/100)^2/2)*Assumptions!$B$9)/((AM$3/100)*Assumptions!$B$10)))-$B17*EXP(-Assumptions!$B$3*Assumptions!$B$9)*NORMSDIST((((LN(Assumptions!$B$2/$B17)+(Assumptions!$B$3-Assumptions!$B$4+(AM$3/100)^2/2)*Assumptions!$B$9)/((AM$3/100)*Assumptions!$B$10))-(AM$3/100)*Assumptions!$B$10))))&lt;=0,"",(Assumptions!$B$2*EXP(-Assumptions!$B$4*Assumptions!$B$9)*NORMDIST(((LN(Assumptions!$B$2/$B17)+(Assumptions!$B$3-Assumptions!$B$4+(AM$3/100)^2/2)*Assumptions!$B$9)/((AM$3/100)*Assumptions!$B$10)),0,1,FALSE)*Assumptions!$B$10*0.01)*0.5/(MAX(0,Assumptions!$B$2*EXP(-Assumptions!$B$4*Assumptions!$B$9)*NORMSDIST(((LN(Assumptions!$B$2/$B17)+(Assumptions!$B$3-Assumptions!$B$4+(AM$3/100)^2/2)*Assumptions!$B$9)/((AM$3/100)*Assumptions!$B$10)))-$B17*EXP(-Assumptions!$B$3*Assumptions!$B$9)*NORMSDIST((((LN(Assumptions!$B$2/$B17)+(Assumptions!$B$3-Assumptions!$B$4+(AM$3/100)^2/2)*Assumptions!$B$9)/((AM$3/100)*Assumptions!$B$10))-(AM$3/100)*Assumptions!$B$10)))))</f>
        <v/>
      </c>
      <c r="AN38" s="56">
        <f>IF((MAX(0,Assumptions!$B$2*EXP(-Assumptions!$B$4*Assumptions!$B$9)*NORMSDIST(((LN(Assumptions!$B$2/$B17)+(Assumptions!$B$3-Assumptions!$B$4+(AN$3/100)^2/2)*Assumptions!$B$9)/((AN$3/100)*Assumptions!$B$10)))-$B17*EXP(-Assumptions!$B$3*Assumptions!$B$9)*NORMSDIST((((LN(Assumptions!$B$2/$B17)+(Assumptions!$B$3-Assumptions!$B$4+(AN$3/100)^2/2)*Assumptions!$B$9)/((AN$3/100)*Assumptions!$B$10))-(AN$3/100)*Assumptions!$B$10))))&lt;=0,"",(Assumptions!$B$2*EXP(-Assumptions!$B$4*Assumptions!$B$9)*NORMDIST(((LN(Assumptions!$B$2/$B17)+(Assumptions!$B$3-Assumptions!$B$4+(AN$3/100)^2/2)*Assumptions!$B$9)/((AN$3/100)*Assumptions!$B$10)),0,1,FALSE)*Assumptions!$B$10*0.01)*0.5/(MAX(0,Assumptions!$B$2*EXP(-Assumptions!$B$4*Assumptions!$B$9)*NORMSDIST(((LN(Assumptions!$B$2/$B17)+(Assumptions!$B$3-Assumptions!$B$4+(AN$3/100)^2/2)*Assumptions!$B$9)/((AN$3/100)*Assumptions!$B$10)))-$B17*EXP(-Assumptions!$B$3*Assumptions!$B$9)*NORMSDIST((((LN(Assumptions!$B$2/$B17)+(Assumptions!$B$3-Assumptions!$B$4+(AN$3/100)^2/2)*Assumptions!$B$9)/((AN$3/100)*Assumptions!$B$10))-(AN$3/100)*Assumptions!$B$10)))))</f>
        <v/>
      </c>
      <c r="AO38" s="56">
        <f>IF((MAX(0,Assumptions!$B$2*EXP(-Assumptions!$B$4*Assumptions!$B$9)*NORMSDIST(((LN(Assumptions!$B$2/$B17)+(Assumptions!$B$3-Assumptions!$B$4+(AO$3/100)^2/2)*Assumptions!$B$9)/((AO$3/100)*Assumptions!$B$10)))-$B17*EXP(-Assumptions!$B$3*Assumptions!$B$9)*NORMSDIST((((LN(Assumptions!$B$2/$B17)+(Assumptions!$B$3-Assumptions!$B$4+(AO$3/100)^2/2)*Assumptions!$B$9)/((AO$3/100)*Assumptions!$B$10))-(AO$3/100)*Assumptions!$B$10))))&lt;=0,"",(Assumptions!$B$2*EXP(-Assumptions!$B$4*Assumptions!$B$9)*NORMDIST(((LN(Assumptions!$B$2/$B17)+(Assumptions!$B$3-Assumptions!$B$4+(AO$3/100)^2/2)*Assumptions!$B$9)/((AO$3/100)*Assumptions!$B$10)),0,1,FALSE)*Assumptions!$B$10*0.01)*0.5/(MAX(0,Assumptions!$B$2*EXP(-Assumptions!$B$4*Assumptions!$B$9)*NORMSDIST(((LN(Assumptions!$B$2/$B17)+(Assumptions!$B$3-Assumptions!$B$4+(AO$3/100)^2/2)*Assumptions!$B$9)/((AO$3/100)*Assumptions!$B$10)))-$B17*EXP(-Assumptions!$B$3*Assumptions!$B$9)*NORMSDIST((((LN(Assumptions!$B$2/$B17)+(Assumptions!$B$3-Assumptions!$B$4+(AO$3/100)^2/2)*Assumptions!$B$9)/((AO$3/100)*Assumptions!$B$10))-(AO$3/100)*Assumptions!$B$10)))))</f>
        <v/>
      </c>
      <c r="AP38" s="56">
        <f>IF((MAX(0,Assumptions!$B$2*EXP(-Assumptions!$B$4*Assumptions!$B$9)*NORMSDIST(((LN(Assumptions!$B$2/$B17)+(Assumptions!$B$3-Assumptions!$B$4+(AP$3/100)^2/2)*Assumptions!$B$9)/((AP$3/100)*Assumptions!$B$10)))-$B17*EXP(-Assumptions!$B$3*Assumptions!$B$9)*NORMSDIST((((LN(Assumptions!$B$2/$B17)+(Assumptions!$B$3-Assumptions!$B$4+(AP$3/100)^2/2)*Assumptions!$B$9)/((AP$3/100)*Assumptions!$B$10))-(AP$3/100)*Assumptions!$B$10))))&lt;=0,"",(Assumptions!$B$2*EXP(-Assumptions!$B$4*Assumptions!$B$9)*NORMDIST(((LN(Assumptions!$B$2/$B17)+(Assumptions!$B$3-Assumptions!$B$4+(AP$3/100)^2/2)*Assumptions!$B$9)/((AP$3/100)*Assumptions!$B$10)),0,1,FALSE)*Assumptions!$B$10*0.01)*0.5/(MAX(0,Assumptions!$B$2*EXP(-Assumptions!$B$4*Assumptions!$B$9)*NORMSDIST(((LN(Assumptions!$B$2/$B17)+(Assumptions!$B$3-Assumptions!$B$4+(AP$3/100)^2/2)*Assumptions!$B$9)/((AP$3/100)*Assumptions!$B$10)))-$B17*EXP(-Assumptions!$B$3*Assumptions!$B$9)*NORMSDIST((((LN(Assumptions!$B$2/$B17)+(Assumptions!$B$3-Assumptions!$B$4+(AP$3/100)^2/2)*Assumptions!$B$9)/((AP$3/100)*Assumptions!$B$10))-(AP$3/100)*Assumptions!$B$10)))))</f>
        <v/>
      </c>
      <c r="AQ38" s="56">
        <f>IF((MAX(0,Assumptions!$B$2*EXP(-Assumptions!$B$4*Assumptions!$B$9)*NORMSDIST(((LN(Assumptions!$B$2/$B17)+(Assumptions!$B$3-Assumptions!$B$4+(AQ$3/100)^2/2)*Assumptions!$B$9)/((AQ$3/100)*Assumptions!$B$10)))-$B17*EXP(-Assumptions!$B$3*Assumptions!$B$9)*NORMSDIST((((LN(Assumptions!$B$2/$B17)+(Assumptions!$B$3-Assumptions!$B$4+(AQ$3/100)^2/2)*Assumptions!$B$9)/((AQ$3/100)*Assumptions!$B$10))-(AQ$3/100)*Assumptions!$B$10))))&lt;=0,"",(Assumptions!$B$2*EXP(-Assumptions!$B$4*Assumptions!$B$9)*NORMDIST(((LN(Assumptions!$B$2/$B17)+(Assumptions!$B$3-Assumptions!$B$4+(AQ$3/100)^2/2)*Assumptions!$B$9)/((AQ$3/100)*Assumptions!$B$10)),0,1,FALSE)*Assumptions!$B$10*0.01)*0.5/(MAX(0,Assumptions!$B$2*EXP(-Assumptions!$B$4*Assumptions!$B$9)*NORMSDIST(((LN(Assumptions!$B$2/$B17)+(Assumptions!$B$3-Assumptions!$B$4+(AQ$3/100)^2/2)*Assumptions!$B$9)/((AQ$3/100)*Assumptions!$B$10)))-$B17*EXP(-Assumptions!$B$3*Assumptions!$B$9)*NORMSDIST((((LN(Assumptions!$B$2/$B17)+(Assumptions!$B$3-Assumptions!$B$4+(AQ$3/100)^2/2)*Assumptions!$B$9)/((AQ$3/100)*Assumptions!$B$10))-(AQ$3/100)*Assumptions!$B$10)))))</f>
        <v/>
      </c>
      <c r="AR38" s="56">
        <f>IF((MAX(0,Assumptions!$B$2*EXP(-Assumptions!$B$4*Assumptions!$B$9)*NORMSDIST(((LN(Assumptions!$B$2/$B17)+(Assumptions!$B$3-Assumptions!$B$4+(AR$3/100)^2/2)*Assumptions!$B$9)/((AR$3/100)*Assumptions!$B$10)))-$B17*EXP(-Assumptions!$B$3*Assumptions!$B$9)*NORMSDIST((((LN(Assumptions!$B$2/$B17)+(Assumptions!$B$3-Assumptions!$B$4+(AR$3/100)^2/2)*Assumptions!$B$9)/((AR$3/100)*Assumptions!$B$10))-(AR$3/100)*Assumptions!$B$10))))&lt;=0,"",(Assumptions!$B$2*EXP(-Assumptions!$B$4*Assumptions!$B$9)*NORMDIST(((LN(Assumptions!$B$2/$B17)+(Assumptions!$B$3-Assumptions!$B$4+(AR$3/100)^2/2)*Assumptions!$B$9)/((AR$3/100)*Assumptions!$B$10)),0,1,FALSE)*Assumptions!$B$10*0.01)*0.5/(MAX(0,Assumptions!$B$2*EXP(-Assumptions!$B$4*Assumptions!$B$9)*NORMSDIST(((LN(Assumptions!$B$2/$B17)+(Assumptions!$B$3-Assumptions!$B$4+(AR$3/100)^2/2)*Assumptions!$B$9)/((AR$3/100)*Assumptions!$B$10)))-$B17*EXP(-Assumptions!$B$3*Assumptions!$B$9)*NORMSDIST((((LN(Assumptions!$B$2/$B17)+(Assumptions!$B$3-Assumptions!$B$4+(AR$3/100)^2/2)*Assumptions!$B$9)/((AR$3/100)*Assumptions!$B$10))-(AR$3/100)*Assumptions!$B$10)))))</f>
        <v/>
      </c>
      <c r="AS38" s="56">
        <f>IF((MAX(0,Assumptions!$B$2*EXP(-Assumptions!$B$4*Assumptions!$B$9)*NORMSDIST(((LN(Assumptions!$B$2/$B17)+(Assumptions!$B$3-Assumptions!$B$4+(AS$3/100)^2/2)*Assumptions!$B$9)/((AS$3/100)*Assumptions!$B$10)))-$B17*EXP(-Assumptions!$B$3*Assumptions!$B$9)*NORMSDIST((((LN(Assumptions!$B$2/$B17)+(Assumptions!$B$3-Assumptions!$B$4+(AS$3/100)^2/2)*Assumptions!$B$9)/((AS$3/100)*Assumptions!$B$10))-(AS$3/100)*Assumptions!$B$10))))&lt;=0,"",(Assumptions!$B$2*EXP(-Assumptions!$B$4*Assumptions!$B$9)*NORMDIST(((LN(Assumptions!$B$2/$B17)+(Assumptions!$B$3-Assumptions!$B$4+(AS$3/100)^2/2)*Assumptions!$B$9)/((AS$3/100)*Assumptions!$B$10)),0,1,FALSE)*Assumptions!$B$10*0.01)*0.5/(MAX(0,Assumptions!$B$2*EXP(-Assumptions!$B$4*Assumptions!$B$9)*NORMSDIST(((LN(Assumptions!$B$2/$B17)+(Assumptions!$B$3-Assumptions!$B$4+(AS$3/100)^2/2)*Assumptions!$B$9)/((AS$3/100)*Assumptions!$B$10)))-$B17*EXP(-Assumptions!$B$3*Assumptions!$B$9)*NORMSDIST((((LN(Assumptions!$B$2/$B17)+(Assumptions!$B$3-Assumptions!$B$4+(AS$3/100)^2/2)*Assumptions!$B$9)/((AS$3/100)*Assumptions!$B$10))-(AS$3/100)*Assumptions!$B$10)))))</f>
        <v/>
      </c>
      <c r="AT38" s="56">
        <f>IF((MAX(0,Assumptions!$B$2*EXP(-Assumptions!$B$4*Assumptions!$B$9)*NORMSDIST(((LN(Assumptions!$B$2/$B17)+(Assumptions!$B$3-Assumptions!$B$4+(AT$3/100)^2/2)*Assumptions!$B$9)/((AT$3/100)*Assumptions!$B$10)))-$B17*EXP(-Assumptions!$B$3*Assumptions!$B$9)*NORMSDIST((((LN(Assumptions!$B$2/$B17)+(Assumptions!$B$3-Assumptions!$B$4+(AT$3/100)^2/2)*Assumptions!$B$9)/((AT$3/100)*Assumptions!$B$10))-(AT$3/100)*Assumptions!$B$10))))&lt;=0,"",(Assumptions!$B$2*EXP(-Assumptions!$B$4*Assumptions!$B$9)*NORMDIST(((LN(Assumptions!$B$2/$B17)+(Assumptions!$B$3-Assumptions!$B$4+(AT$3/100)^2/2)*Assumptions!$B$9)/((AT$3/100)*Assumptions!$B$10)),0,1,FALSE)*Assumptions!$B$10*0.01)*0.5/(MAX(0,Assumptions!$B$2*EXP(-Assumptions!$B$4*Assumptions!$B$9)*NORMSDIST(((LN(Assumptions!$B$2/$B17)+(Assumptions!$B$3-Assumptions!$B$4+(AT$3/100)^2/2)*Assumptions!$B$9)/((AT$3/100)*Assumptions!$B$10)))-$B17*EXP(-Assumptions!$B$3*Assumptions!$B$9)*NORMSDIST((((LN(Assumptions!$B$2/$B17)+(Assumptions!$B$3-Assumptions!$B$4+(AT$3/100)^2/2)*Assumptions!$B$9)/((AT$3/100)*Assumptions!$B$10))-(AT$3/100)*Assumptions!$B$10)))))</f>
        <v/>
      </c>
      <c r="AU38" s="56">
        <f>IF((MAX(0,Assumptions!$B$2*EXP(-Assumptions!$B$4*Assumptions!$B$9)*NORMSDIST(((LN(Assumptions!$B$2/$B17)+(Assumptions!$B$3-Assumptions!$B$4+(AU$3/100)^2/2)*Assumptions!$B$9)/((AU$3/100)*Assumptions!$B$10)))-$B17*EXP(-Assumptions!$B$3*Assumptions!$B$9)*NORMSDIST((((LN(Assumptions!$B$2/$B17)+(Assumptions!$B$3-Assumptions!$B$4+(AU$3/100)^2/2)*Assumptions!$B$9)/((AU$3/100)*Assumptions!$B$10))-(AU$3/100)*Assumptions!$B$10))))&lt;=0,"",(Assumptions!$B$2*EXP(-Assumptions!$B$4*Assumptions!$B$9)*NORMDIST(((LN(Assumptions!$B$2/$B17)+(Assumptions!$B$3-Assumptions!$B$4+(AU$3/100)^2/2)*Assumptions!$B$9)/((AU$3/100)*Assumptions!$B$10)),0,1,FALSE)*Assumptions!$B$10*0.01)*0.5/(MAX(0,Assumptions!$B$2*EXP(-Assumptions!$B$4*Assumptions!$B$9)*NORMSDIST(((LN(Assumptions!$B$2/$B17)+(Assumptions!$B$3-Assumptions!$B$4+(AU$3/100)^2/2)*Assumptions!$B$9)/((AU$3/100)*Assumptions!$B$10)))-$B17*EXP(-Assumptions!$B$3*Assumptions!$B$9)*NORMSDIST((((LN(Assumptions!$B$2/$B17)+(Assumptions!$B$3-Assumptions!$B$4+(AU$3/100)^2/2)*Assumptions!$B$9)/((AU$3/100)*Assumptions!$B$10))-(AU$3/100)*Assumptions!$B$10)))))</f>
        <v/>
      </c>
      <c r="AV38" s="56">
        <f>IF((MAX(0,Assumptions!$B$2*EXP(-Assumptions!$B$4*Assumptions!$B$9)*NORMSDIST(((LN(Assumptions!$B$2/$B17)+(Assumptions!$B$3-Assumptions!$B$4+(AV$3/100)^2/2)*Assumptions!$B$9)/((AV$3/100)*Assumptions!$B$10)))-$B17*EXP(-Assumptions!$B$3*Assumptions!$B$9)*NORMSDIST((((LN(Assumptions!$B$2/$B17)+(Assumptions!$B$3-Assumptions!$B$4+(AV$3/100)^2/2)*Assumptions!$B$9)/((AV$3/100)*Assumptions!$B$10))-(AV$3/100)*Assumptions!$B$10))))&lt;=0,"",(Assumptions!$B$2*EXP(-Assumptions!$B$4*Assumptions!$B$9)*NORMDIST(((LN(Assumptions!$B$2/$B17)+(Assumptions!$B$3-Assumptions!$B$4+(AV$3/100)^2/2)*Assumptions!$B$9)/((AV$3/100)*Assumptions!$B$10)),0,1,FALSE)*Assumptions!$B$10*0.01)*0.5/(MAX(0,Assumptions!$B$2*EXP(-Assumptions!$B$4*Assumptions!$B$9)*NORMSDIST(((LN(Assumptions!$B$2/$B17)+(Assumptions!$B$3-Assumptions!$B$4+(AV$3/100)^2/2)*Assumptions!$B$9)/((AV$3/100)*Assumptions!$B$10)))-$B17*EXP(-Assumptions!$B$3*Assumptions!$B$9)*NORMSDIST((((LN(Assumptions!$B$2/$B17)+(Assumptions!$B$3-Assumptions!$B$4+(AV$3/100)^2/2)*Assumptions!$B$9)/((AV$3/100)*Assumptions!$B$10))-(AV$3/100)*Assumptions!$B$10)))))</f>
        <v/>
      </c>
    </row>
    <row r="39">
      <c r="A39" s="27" t="inlineStr">
        <is>
          <t>+1.50%</t>
        </is>
      </c>
      <c r="B39" s="47">
        <f>'BS Engine'!$B$16</f>
        <v/>
      </c>
      <c r="C39" s="28">
        <f>'BS Engine'!$C$16</f>
        <v/>
      </c>
      <c r="D39" s="55">
        <f>IF((MAX(0,Assumptions!$B$2*EXP(-Assumptions!$B$4*Assumptions!$B$9)*NORMSDIST(((LN(Assumptions!$B$2/$B18)+(Assumptions!$B$3-Assumptions!$B$4+(D$3/100)^2/2)*Assumptions!$B$9)/((D$3/100)*Assumptions!$B$10)))-$B18*EXP(-Assumptions!$B$3*Assumptions!$B$9)*NORMSDIST((((LN(Assumptions!$B$2/$B18)+(Assumptions!$B$3-Assumptions!$B$4+(D$3/100)^2/2)*Assumptions!$B$9)/((D$3/100)*Assumptions!$B$10))-(D$3/100)*Assumptions!$B$10))))&lt;=0,"",(Assumptions!$B$2*EXP(-Assumptions!$B$4*Assumptions!$B$9)*NORMDIST(((LN(Assumptions!$B$2/$B18)+(Assumptions!$B$3-Assumptions!$B$4+(D$3/100)^2/2)*Assumptions!$B$9)/((D$3/100)*Assumptions!$B$10)),0,1,FALSE)*Assumptions!$B$10*0.01)*0.5/(MAX(0,Assumptions!$B$2*EXP(-Assumptions!$B$4*Assumptions!$B$9)*NORMSDIST(((LN(Assumptions!$B$2/$B18)+(Assumptions!$B$3-Assumptions!$B$4+(D$3/100)^2/2)*Assumptions!$B$9)/((D$3/100)*Assumptions!$B$10)))-$B18*EXP(-Assumptions!$B$3*Assumptions!$B$9)*NORMSDIST((((LN(Assumptions!$B$2/$B18)+(Assumptions!$B$3-Assumptions!$B$4+(D$3/100)^2/2)*Assumptions!$B$9)/((D$3/100)*Assumptions!$B$10))-(D$3/100)*Assumptions!$B$10)))))</f>
        <v/>
      </c>
      <c r="E39" s="56">
        <f>IF((MAX(0,Assumptions!$B$2*EXP(-Assumptions!$B$4*Assumptions!$B$9)*NORMSDIST(((LN(Assumptions!$B$2/$B18)+(Assumptions!$B$3-Assumptions!$B$4+(E$3/100)^2/2)*Assumptions!$B$9)/((E$3/100)*Assumptions!$B$10)))-$B18*EXP(-Assumptions!$B$3*Assumptions!$B$9)*NORMSDIST((((LN(Assumptions!$B$2/$B18)+(Assumptions!$B$3-Assumptions!$B$4+(E$3/100)^2/2)*Assumptions!$B$9)/((E$3/100)*Assumptions!$B$10))-(E$3/100)*Assumptions!$B$10))))&lt;=0,"",(Assumptions!$B$2*EXP(-Assumptions!$B$4*Assumptions!$B$9)*NORMDIST(((LN(Assumptions!$B$2/$B18)+(Assumptions!$B$3-Assumptions!$B$4+(E$3/100)^2/2)*Assumptions!$B$9)/((E$3/100)*Assumptions!$B$10)),0,1,FALSE)*Assumptions!$B$10*0.01)*0.5/(MAX(0,Assumptions!$B$2*EXP(-Assumptions!$B$4*Assumptions!$B$9)*NORMSDIST(((LN(Assumptions!$B$2/$B18)+(Assumptions!$B$3-Assumptions!$B$4+(E$3/100)^2/2)*Assumptions!$B$9)/((E$3/100)*Assumptions!$B$10)))-$B18*EXP(-Assumptions!$B$3*Assumptions!$B$9)*NORMSDIST((((LN(Assumptions!$B$2/$B18)+(Assumptions!$B$3-Assumptions!$B$4+(E$3/100)^2/2)*Assumptions!$B$9)/((E$3/100)*Assumptions!$B$10))-(E$3/100)*Assumptions!$B$10)))))</f>
        <v/>
      </c>
      <c r="F39" s="56">
        <f>IF((MAX(0,Assumptions!$B$2*EXP(-Assumptions!$B$4*Assumptions!$B$9)*NORMSDIST(((LN(Assumptions!$B$2/$B18)+(Assumptions!$B$3-Assumptions!$B$4+(F$3/100)^2/2)*Assumptions!$B$9)/((F$3/100)*Assumptions!$B$10)))-$B18*EXP(-Assumptions!$B$3*Assumptions!$B$9)*NORMSDIST((((LN(Assumptions!$B$2/$B18)+(Assumptions!$B$3-Assumptions!$B$4+(F$3/100)^2/2)*Assumptions!$B$9)/((F$3/100)*Assumptions!$B$10))-(F$3/100)*Assumptions!$B$10))))&lt;=0,"",(Assumptions!$B$2*EXP(-Assumptions!$B$4*Assumptions!$B$9)*NORMDIST(((LN(Assumptions!$B$2/$B18)+(Assumptions!$B$3-Assumptions!$B$4+(F$3/100)^2/2)*Assumptions!$B$9)/((F$3/100)*Assumptions!$B$10)),0,1,FALSE)*Assumptions!$B$10*0.01)*0.5/(MAX(0,Assumptions!$B$2*EXP(-Assumptions!$B$4*Assumptions!$B$9)*NORMSDIST(((LN(Assumptions!$B$2/$B18)+(Assumptions!$B$3-Assumptions!$B$4+(F$3/100)^2/2)*Assumptions!$B$9)/((F$3/100)*Assumptions!$B$10)))-$B18*EXP(-Assumptions!$B$3*Assumptions!$B$9)*NORMSDIST((((LN(Assumptions!$B$2/$B18)+(Assumptions!$B$3-Assumptions!$B$4+(F$3/100)^2/2)*Assumptions!$B$9)/((F$3/100)*Assumptions!$B$10))-(F$3/100)*Assumptions!$B$10)))))</f>
        <v/>
      </c>
      <c r="G39" s="56">
        <f>IF((MAX(0,Assumptions!$B$2*EXP(-Assumptions!$B$4*Assumptions!$B$9)*NORMSDIST(((LN(Assumptions!$B$2/$B18)+(Assumptions!$B$3-Assumptions!$B$4+(G$3/100)^2/2)*Assumptions!$B$9)/((G$3/100)*Assumptions!$B$10)))-$B18*EXP(-Assumptions!$B$3*Assumptions!$B$9)*NORMSDIST((((LN(Assumptions!$B$2/$B18)+(Assumptions!$B$3-Assumptions!$B$4+(G$3/100)^2/2)*Assumptions!$B$9)/((G$3/100)*Assumptions!$B$10))-(G$3/100)*Assumptions!$B$10))))&lt;=0,"",(Assumptions!$B$2*EXP(-Assumptions!$B$4*Assumptions!$B$9)*NORMDIST(((LN(Assumptions!$B$2/$B18)+(Assumptions!$B$3-Assumptions!$B$4+(G$3/100)^2/2)*Assumptions!$B$9)/((G$3/100)*Assumptions!$B$10)),0,1,FALSE)*Assumptions!$B$10*0.01)*0.5/(MAX(0,Assumptions!$B$2*EXP(-Assumptions!$B$4*Assumptions!$B$9)*NORMSDIST(((LN(Assumptions!$B$2/$B18)+(Assumptions!$B$3-Assumptions!$B$4+(G$3/100)^2/2)*Assumptions!$B$9)/((G$3/100)*Assumptions!$B$10)))-$B18*EXP(-Assumptions!$B$3*Assumptions!$B$9)*NORMSDIST((((LN(Assumptions!$B$2/$B18)+(Assumptions!$B$3-Assumptions!$B$4+(G$3/100)^2/2)*Assumptions!$B$9)/((G$3/100)*Assumptions!$B$10))-(G$3/100)*Assumptions!$B$10)))))</f>
        <v/>
      </c>
      <c r="H39" s="56">
        <f>IF((MAX(0,Assumptions!$B$2*EXP(-Assumptions!$B$4*Assumptions!$B$9)*NORMSDIST(((LN(Assumptions!$B$2/$B18)+(Assumptions!$B$3-Assumptions!$B$4+(H$3/100)^2/2)*Assumptions!$B$9)/((H$3/100)*Assumptions!$B$10)))-$B18*EXP(-Assumptions!$B$3*Assumptions!$B$9)*NORMSDIST((((LN(Assumptions!$B$2/$B18)+(Assumptions!$B$3-Assumptions!$B$4+(H$3/100)^2/2)*Assumptions!$B$9)/((H$3/100)*Assumptions!$B$10))-(H$3/100)*Assumptions!$B$10))))&lt;=0,"",(Assumptions!$B$2*EXP(-Assumptions!$B$4*Assumptions!$B$9)*NORMDIST(((LN(Assumptions!$B$2/$B18)+(Assumptions!$B$3-Assumptions!$B$4+(H$3/100)^2/2)*Assumptions!$B$9)/((H$3/100)*Assumptions!$B$10)),0,1,FALSE)*Assumptions!$B$10*0.01)*0.5/(MAX(0,Assumptions!$B$2*EXP(-Assumptions!$B$4*Assumptions!$B$9)*NORMSDIST(((LN(Assumptions!$B$2/$B18)+(Assumptions!$B$3-Assumptions!$B$4+(H$3/100)^2/2)*Assumptions!$B$9)/((H$3/100)*Assumptions!$B$10)))-$B18*EXP(-Assumptions!$B$3*Assumptions!$B$9)*NORMSDIST((((LN(Assumptions!$B$2/$B18)+(Assumptions!$B$3-Assumptions!$B$4+(H$3/100)^2/2)*Assumptions!$B$9)/((H$3/100)*Assumptions!$B$10))-(H$3/100)*Assumptions!$B$10)))))</f>
        <v/>
      </c>
      <c r="I39" s="56">
        <f>IF((MAX(0,Assumptions!$B$2*EXP(-Assumptions!$B$4*Assumptions!$B$9)*NORMSDIST(((LN(Assumptions!$B$2/$B18)+(Assumptions!$B$3-Assumptions!$B$4+(I$3/100)^2/2)*Assumptions!$B$9)/((I$3/100)*Assumptions!$B$10)))-$B18*EXP(-Assumptions!$B$3*Assumptions!$B$9)*NORMSDIST((((LN(Assumptions!$B$2/$B18)+(Assumptions!$B$3-Assumptions!$B$4+(I$3/100)^2/2)*Assumptions!$B$9)/((I$3/100)*Assumptions!$B$10))-(I$3/100)*Assumptions!$B$10))))&lt;=0,"",(Assumptions!$B$2*EXP(-Assumptions!$B$4*Assumptions!$B$9)*NORMDIST(((LN(Assumptions!$B$2/$B18)+(Assumptions!$B$3-Assumptions!$B$4+(I$3/100)^2/2)*Assumptions!$B$9)/((I$3/100)*Assumptions!$B$10)),0,1,FALSE)*Assumptions!$B$10*0.01)*0.5/(MAX(0,Assumptions!$B$2*EXP(-Assumptions!$B$4*Assumptions!$B$9)*NORMSDIST(((LN(Assumptions!$B$2/$B18)+(Assumptions!$B$3-Assumptions!$B$4+(I$3/100)^2/2)*Assumptions!$B$9)/((I$3/100)*Assumptions!$B$10)))-$B18*EXP(-Assumptions!$B$3*Assumptions!$B$9)*NORMSDIST((((LN(Assumptions!$B$2/$B18)+(Assumptions!$B$3-Assumptions!$B$4+(I$3/100)^2/2)*Assumptions!$B$9)/((I$3/100)*Assumptions!$B$10))-(I$3/100)*Assumptions!$B$10)))))</f>
        <v/>
      </c>
      <c r="J39" s="56">
        <f>IF((MAX(0,Assumptions!$B$2*EXP(-Assumptions!$B$4*Assumptions!$B$9)*NORMSDIST(((LN(Assumptions!$B$2/$B18)+(Assumptions!$B$3-Assumptions!$B$4+(J$3/100)^2/2)*Assumptions!$B$9)/((J$3/100)*Assumptions!$B$10)))-$B18*EXP(-Assumptions!$B$3*Assumptions!$B$9)*NORMSDIST((((LN(Assumptions!$B$2/$B18)+(Assumptions!$B$3-Assumptions!$B$4+(J$3/100)^2/2)*Assumptions!$B$9)/((J$3/100)*Assumptions!$B$10))-(J$3/100)*Assumptions!$B$10))))&lt;=0,"",(Assumptions!$B$2*EXP(-Assumptions!$B$4*Assumptions!$B$9)*NORMDIST(((LN(Assumptions!$B$2/$B18)+(Assumptions!$B$3-Assumptions!$B$4+(J$3/100)^2/2)*Assumptions!$B$9)/((J$3/100)*Assumptions!$B$10)),0,1,FALSE)*Assumptions!$B$10*0.01)*0.5/(MAX(0,Assumptions!$B$2*EXP(-Assumptions!$B$4*Assumptions!$B$9)*NORMSDIST(((LN(Assumptions!$B$2/$B18)+(Assumptions!$B$3-Assumptions!$B$4+(J$3/100)^2/2)*Assumptions!$B$9)/((J$3/100)*Assumptions!$B$10)))-$B18*EXP(-Assumptions!$B$3*Assumptions!$B$9)*NORMSDIST((((LN(Assumptions!$B$2/$B18)+(Assumptions!$B$3-Assumptions!$B$4+(J$3/100)^2/2)*Assumptions!$B$9)/((J$3/100)*Assumptions!$B$10))-(J$3/100)*Assumptions!$B$10)))))</f>
        <v/>
      </c>
      <c r="K39" s="56">
        <f>IF((MAX(0,Assumptions!$B$2*EXP(-Assumptions!$B$4*Assumptions!$B$9)*NORMSDIST(((LN(Assumptions!$B$2/$B18)+(Assumptions!$B$3-Assumptions!$B$4+(K$3/100)^2/2)*Assumptions!$B$9)/((K$3/100)*Assumptions!$B$10)))-$B18*EXP(-Assumptions!$B$3*Assumptions!$B$9)*NORMSDIST((((LN(Assumptions!$B$2/$B18)+(Assumptions!$B$3-Assumptions!$B$4+(K$3/100)^2/2)*Assumptions!$B$9)/((K$3/100)*Assumptions!$B$10))-(K$3/100)*Assumptions!$B$10))))&lt;=0,"",(Assumptions!$B$2*EXP(-Assumptions!$B$4*Assumptions!$B$9)*NORMDIST(((LN(Assumptions!$B$2/$B18)+(Assumptions!$B$3-Assumptions!$B$4+(K$3/100)^2/2)*Assumptions!$B$9)/((K$3/100)*Assumptions!$B$10)),0,1,FALSE)*Assumptions!$B$10*0.01)*0.5/(MAX(0,Assumptions!$B$2*EXP(-Assumptions!$B$4*Assumptions!$B$9)*NORMSDIST(((LN(Assumptions!$B$2/$B18)+(Assumptions!$B$3-Assumptions!$B$4+(K$3/100)^2/2)*Assumptions!$B$9)/((K$3/100)*Assumptions!$B$10)))-$B18*EXP(-Assumptions!$B$3*Assumptions!$B$9)*NORMSDIST((((LN(Assumptions!$B$2/$B18)+(Assumptions!$B$3-Assumptions!$B$4+(K$3/100)^2/2)*Assumptions!$B$9)/((K$3/100)*Assumptions!$B$10))-(K$3/100)*Assumptions!$B$10)))))</f>
        <v/>
      </c>
      <c r="L39" s="56">
        <f>IF((MAX(0,Assumptions!$B$2*EXP(-Assumptions!$B$4*Assumptions!$B$9)*NORMSDIST(((LN(Assumptions!$B$2/$B18)+(Assumptions!$B$3-Assumptions!$B$4+(L$3/100)^2/2)*Assumptions!$B$9)/((L$3/100)*Assumptions!$B$10)))-$B18*EXP(-Assumptions!$B$3*Assumptions!$B$9)*NORMSDIST((((LN(Assumptions!$B$2/$B18)+(Assumptions!$B$3-Assumptions!$B$4+(L$3/100)^2/2)*Assumptions!$B$9)/((L$3/100)*Assumptions!$B$10))-(L$3/100)*Assumptions!$B$10))))&lt;=0,"",(Assumptions!$B$2*EXP(-Assumptions!$B$4*Assumptions!$B$9)*NORMDIST(((LN(Assumptions!$B$2/$B18)+(Assumptions!$B$3-Assumptions!$B$4+(L$3/100)^2/2)*Assumptions!$B$9)/((L$3/100)*Assumptions!$B$10)),0,1,FALSE)*Assumptions!$B$10*0.01)*0.5/(MAX(0,Assumptions!$B$2*EXP(-Assumptions!$B$4*Assumptions!$B$9)*NORMSDIST(((LN(Assumptions!$B$2/$B18)+(Assumptions!$B$3-Assumptions!$B$4+(L$3/100)^2/2)*Assumptions!$B$9)/((L$3/100)*Assumptions!$B$10)))-$B18*EXP(-Assumptions!$B$3*Assumptions!$B$9)*NORMSDIST((((LN(Assumptions!$B$2/$B18)+(Assumptions!$B$3-Assumptions!$B$4+(L$3/100)^2/2)*Assumptions!$B$9)/((L$3/100)*Assumptions!$B$10))-(L$3/100)*Assumptions!$B$10)))))</f>
        <v/>
      </c>
      <c r="M39" s="56">
        <f>IF((MAX(0,Assumptions!$B$2*EXP(-Assumptions!$B$4*Assumptions!$B$9)*NORMSDIST(((LN(Assumptions!$B$2/$B18)+(Assumptions!$B$3-Assumptions!$B$4+(M$3/100)^2/2)*Assumptions!$B$9)/((M$3/100)*Assumptions!$B$10)))-$B18*EXP(-Assumptions!$B$3*Assumptions!$B$9)*NORMSDIST((((LN(Assumptions!$B$2/$B18)+(Assumptions!$B$3-Assumptions!$B$4+(M$3/100)^2/2)*Assumptions!$B$9)/((M$3/100)*Assumptions!$B$10))-(M$3/100)*Assumptions!$B$10))))&lt;=0,"",(Assumptions!$B$2*EXP(-Assumptions!$B$4*Assumptions!$B$9)*NORMDIST(((LN(Assumptions!$B$2/$B18)+(Assumptions!$B$3-Assumptions!$B$4+(M$3/100)^2/2)*Assumptions!$B$9)/((M$3/100)*Assumptions!$B$10)),0,1,FALSE)*Assumptions!$B$10*0.01)*0.5/(MAX(0,Assumptions!$B$2*EXP(-Assumptions!$B$4*Assumptions!$B$9)*NORMSDIST(((LN(Assumptions!$B$2/$B18)+(Assumptions!$B$3-Assumptions!$B$4+(M$3/100)^2/2)*Assumptions!$B$9)/((M$3/100)*Assumptions!$B$10)))-$B18*EXP(-Assumptions!$B$3*Assumptions!$B$9)*NORMSDIST((((LN(Assumptions!$B$2/$B18)+(Assumptions!$B$3-Assumptions!$B$4+(M$3/100)^2/2)*Assumptions!$B$9)/((M$3/100)*Assumptions!$B$10))-(M$3/100)*Assumptions!$B$10)))))</f>
        <v/>
      </c>
      <c r="N39" s="56">
        <f>IF((MAX(0,Assumptions!$B$2*EXP(-Assumptions!$B$4*Assumptions!$B$9)*NORMSDIST(((LN(Assumptions!$B$2/$B18)+(Assumptions!$B$3-Assumptions!$B$4+(N$3/100)^2/2)*Assumptions!$B$9)/((N$3/100)*Assumptions!$B$10)))-$B18*EXP(-Assumptions!$B$3*Assumptions!$B$9)*NORMSDIST((((LN(Assumptions!$B$2/$B18)+(Assumptions!$B$3-Assumptions!$B$4+(N$3/100)^2/2)*Assumptions!$B$9)/((N$3/100)*Assumptions!$B$10))-(N$3/100)*Assumptions!$B$10))))&lt;=0,"",(Assumptions!$B$2*EXP(-Assumptions!$B$4*Assumptions!$B$9)*NORMDIST(((LN(Assumptions!$B$2/$B18)+(Assumptions!$B$3-Assumptions!$B$4+(N$3/100)^2/2)*Assumptions!$B$9)/((N$3/100)*Assumptions!$B$10)),0,1,FALSE)*Assumptions!$B$10*0.01)*0.5/(MAX(0,Assumptions!$B$2*EXP(-Assumptions!$B$4*Assumptions!$B$9)*NORMSDIST(((LN(Assumptions!$B$2/$B18)+(Assumptions!$B$3-Assumptions!$B$4+(N$3/100)^2/2)*Assumptions!$B$9)/((N$3/100)*Assumptions!$B$10)))-$B18*EXP(-Assumptions!$B$3*Assumptions!$B$9)*NORMSDIST((((LN(Assumptions!$B$2/$B18)+(Assumptions!$B$3-Assumptions!$B$4+(N$3/100)^2/2)*Assumptions!$B$9)/((N$3/100)*Assumptions!$B$10))-(N$3/100)*Assumptions!$B$10)))))</f>
        <v/>
      </c>
      <c r="O39" s="56">
        <f>IF((MAX(0,Assumptions!$B$2*EXP(-Assumptions!$B$4*Assumptions!$B$9)*NORMSDIST(((LN(Assumptions!$B$2/$B18)+(Assumptions!$B$3-Assumptions!$B$4+(O$3/100)^2/2)*Assumptions!$B$9)/((O$3/100)*Assumptions!$B$10)))-$B18*EXP(-Assumptions!$B$3*Assumptions!$B$9)*NORMSDIST((((LN(Assumptions!$B$2/$B18)+(Assumptions!$B$3-Assumptions!$B$4+(O$3/100)^2/2)*Assumptions!$B$9)/((O$3/100)*Assumptions!$B$10))-(O$3/100)*Assumptions!$B$10))))&lt;=0,"",(Assumptions!$B$2*EXP(-Assumptions!$B$4*Assumptions!$B$9)*NORMDIST(((LN(Assumptions!$B$2/$B18)+(Assumptions!$B$3-Assumptions!$B$4+(O$3/100)^2/2)*Assumptions!$B$9)/((O$3/100)*Assumptions!$B$10)),0,1,FALSE)*Assumptions!$B$10*0.01)*0.5/(MAX(0,Assumptions!$B$2*EXP(-Assumptions!$B$4*Assumptions!$B$9)*NORMSDIST(((LN(Assumptions!$B$2/$B18)+(Assumptions!$B$3-Assumptions!$B$4+(O$3/100)^2/2)*Assumptions!$B$9)/((O$3/100)*Assumptions!$B$10)))-$B18*EXP(-Assumptions!$B$3*Assumptions!$B$9)*NORMSDIST((((LN(Assumptions!$B$2/$B18)+(Assumptions!$B$3-Assumptions!$B$4+(O$3/100)^2/2)*Assumptions!$B$9)/((O$3/100)*Assumptions!$B$10))-(O$3/100)*Assumptions!$B$10)))))</f>
        <v/>
      </c>
      <c r="P39" s="56">
        <f>IF((MAX(0,Assumptions!$B$2*EXP(-Assumptions!$B$4*Assumptions!$B$9)*NORMSDIST(((LN(Assumptions!$B$2/$B18)+(Assumptions!$B$3-Assumptions!$B$4+(P$3/100)^2/2)*Assumptions!$B$9)/((P$3/100)*Assumptions!$B$10)))-$B18*EXP(-Assumptions!$B$3*Assumptions!$B$9)*NORMSDIST((((LN(Assumptions!$B$2/$B18)+(Assumptions!$B$3-Assumptions!$B$4+(P$3/100)^2/2)*Assumptions!$B$9)/((P$3/100)*Assumptions!$B$10))-(P$3/100)*Assumptions!$B$10))))&lt;=0,"",(Assumptions!$B$2*EXP(-Assumptions!$B$4*Assumptions!$B$9)*NORMDIST(((LN(Assumptions!$B$2/$B18)+(Assumptions!$B$3-Assumptions!$B$4+(P$3/100)^2/2)*Assumptions!$B$9)/((P$3/100)*Assumptions!$B$10)),0,1,FALSE)*Assumptions!$B$10*0.01)*0.5/(MAX(0,Assumptions!$B$2*EXP(-Assumptions!$B$4*Assumptions!$B$9)*NORMSDIST(((LN(Assumptions!$B$2/$B18)+(Assumptions!$B$3-Assumptions!$B$4+(P$3/100)^2/2)*Assumptions!$B$9)/((P$3/100)*Assumptions!$B$10)))-$B18*EXP(-Assumptions!$B$3*Assumptions!$B$9)*NORMSDIST((((LN(Assumptions!$B$2/$B18)+(Assumptions!$B$3-Assumptions!$B$4+(P$3/100)^2/2)*Assumptions!$B$9)/((P$3/100)*Assumptions!$B$10))-(P$3/100)*Assumptions!$B$10)))))</f>
        <v/>
      </c>
      <c r="Q39" s="56">
        <f>IF((MAX(0,Assumptions!$B$2*EXP(-Assumptions!$B$4*Assumptions!$B$9)*NORMSDIST(((LN(Assumptions!$B$2/$B18)+(Assumptions!$B$3-Assumptions!$B$4+(Q$3/100)^2/2)*Assumptions!$B$9)/((Q$3/100)*Assumptions!$B$10)))-$B18*EXP(-Assumptions!$B$3*Assumptions!$B$9)*NORMSDIST((((LN(Assumptions!$B$2/$B18)+(Assumptions!$B$3-Assumptions!$B$4+(Q$3/100)^2/2)*Assumptions!$B$9)/((Q$3/100)*Assumptions!$B$10))-(Q$3/100)*Assumptions!$B$10))))&lt;=0,"",(Assumptions!$B$2*EXP(-Assumptions!$B$4*Assumptions!$B$9)*NORMDIST(((LN(Assumptions!$B$2/$B18)+(Assumptions!$B$3-Assumptions!$B$4+(Q$3/100)^2/2)*Assumptions!$B$9)/((Q$3/100)*Assumptions!$B$10)),0,1,FALSE)*Assumptions!$B$10*0.01)*0.5/(MAX(0,Assumptions!$B$2*EXP(-Assumptions!$B$4*Assumptions!$B$9)*NORMSDIST(((LN(Assumptions!$B$2/$B18)+(Assumptions!$B$3-Assumptions!$B$4+(Q$3/100)^2/2)*Assumptions!$B$9)/((Q$3/100)*Assumptions!$B$10)))-$B18*EXP(-Assumptions!$B$3*Assumptions!$B$9)*NORMSDIST((((LN(Assumptions!$B$2/$B18)+(Assumptions!$B$3-Assumptions!$B$4+(Q$3/100)^2/2)*Assumptions!$B$9)/((Q$3/100)*Assumptions!$B$10))-(Q$3/100)*Assumptions!$B$10)))))</f>
        <v/>
      </c>
      <c r="R39" s="56">
        <f>IF((MAX(0,Assumptions!$B$2*EXP(-Assumptions!$B$4*Assumptions!$B$9)*NORMSDIST(((LN(Assumptions!$B$2/$B18)+(Assumptions!$B$3-Assumptions!$B$4+(R$3/100)^2/2)*Assumptions!$B$9)/((R$3/100)*Assumptions!$B$10)))-$B18*EXP(-Assumptions!$B$3*Assumptions!$B$9)*NORMSDIST((((LN(Assumptions!$B$2/$B18)+(Assumptions!$B$3-Assumptions!$B$4+(R$3/100)^2/2)*Assumptions!$B$9)/((R$3/100)*Assumptions!$B$10))-(R$3/100)*Assumptions!$B$10))))&lt;=0,"",(Assumptions!$B$2*EXP(-Assumptions!$B$4*Assumptions!$B$9)*NORMDIST(((LN(Assumptions!$B$2/$B18)+(Assumptions!$B$3-Assumptions!$B$4+(R$3/100)^2/2)*Assumptions!$B$9)/((R$3/100)*Assumptions!$B$10)),0,1,FALSE)*Assumptions!$B$10*0.01)*0.5/(MAX(0,Assumptions!$B$2*EXP(-Assumptions!$B$4*Assumptions!$B$9)*NORMSDIST(((LN(Assumptions!$B$2/$B18)+(Assumptions!$B$3-Assumptions!$B$4+(R$3/100)^2/2)*Assumptions!$B$9)/((R$3/100)*Assumptions!$B$10)))-$B18*EXP(-Assumptions!$B$3*Assumptions!$B$9)*NORMSDIST((((LN(Assumptions!$B$2/$B18)+(Assumptions!$B$3-Assumptions!$B$4+(R$3/100)^2/2)*Assumptions!$B$9)/((R$3/100)*Assumptions!$B$10))-(R$3/100)*Assumptions!$B$10)))))</f>
        <v/>
      </c>
      <c r="S39" s="56">
        <f>IF((MAX(0,Assumptions!$B$2*EXP(-Assumptions!$B$4*Assumptions!$B$9)*NORMSDIST(((LN(Assumptions!$B$2/$B18)+(Assumptions!$B$3-Assumptions!$B$4+(S$3/100)^2/2)*Assumptions!$B$9)/((S$3/100)*Assumptions!$B$10)))-$B18*EXP(-Assumptions!$B$3*Assumptions!$B$9)*NORMSDIST((((LN(Assumptions!$B$2/$B18)+(Assumptions!$B$3-Assumptions!$B$4+(S$3/100)^2/2)*Assumptions!$B$9)/((S$3/100)*Assumptions!$B$10))-(S$3/100)*Assumptions!$B$10))))&lt;=0,"",(Assumptions!$B$2*EXP(-Assumptions!$B$4*Assumptions!$B$9)*NORMDIST(((LN(Assumptions!$B$2/$B18)+(Assumptions!$B$3-Assumptions!$B$4+(S$3/100)^2/2)*Assumptions!$B$9)/((S$3/100)*Assumptions!$B$10)),0,1,FALSE)*Assumptions!$B$10*0.01)*0.5/(MAX(0,Assumptions!$B$2*EXP(-Assumptions!$B$4*Assumptions!$B$9)*NORMSDIST(((LN(Assumptions!$B$2/$B18)+(Assumptions!$B$3-Assumptions!$B$4+(S$3/100)^2/2)*Assumptions!$B$9)/((S$3/100)*Assumptions!$B$10)))-$B18*EXP(-Assumptions!$B$3*Assumptions!$B$9)*NORMSDIST((((LN(Assumptions!$B$2/$B18)+(Assumptions!$B$3-Assumptions!$B$4+(S$3/100)^2/2)*Assumptions!$B$9)/((S$3/100)*Assumptions!$B$10))-(S$3/100)*Assumptions!$B$10)))))</f>
        <v/>
      </c>
      <c r="T39" s="56">
        <f>IF((MAX(0,Assumptions!$B$2*EXP(-Assumptions!$B$4*Assumptions!$B$9)*NORMSDIST(((LN(Assumptions!$B$2/$B18)+(Assumptions!$B$3-Assumptions!$B$4+(T$3/100)^2/2)*Assumptions!$B$9)/((T$3/100)*Assumptions!$B$10)))-$B18*EXP(-Assumptions!$B$3*Assumptions!$B$9)*NORMSDIST((((LN(Assumptions!$B$2/$B18)+(Assumptions!$B$3-Assumptions!$B$4+(T$3/100)^2/2)*Assumptions!$B$9)/((T$3/100)*Assumptions!$B$10))-(T$3/100)*Assumptions!$B$10))))&lt;=0,"",(Assumptions!$B$2*EXP(-Assumptions!$B$4*Assumptions!$B$9)*NORMDIST(((LN(Assumptions!$B$2/$B18)+(Assumptions!$B$3-Assumptions!$B$4+(T$3/100)^2/2)*Assumptions!$B$9)/((T$3/100)*Assumptions!$B$10)),0,1,FALSE)*Assumptions!$B$10*0.01)*0.5/(MAX(0,Assumptions!$B$2*EXP(-Assumptions!$B$4*Assumptions!$B$9)*NORMSDIST(((LN(Assumptions!$B$2/$B18)+(Assumptions!$B$3-Assumptions!$B$4+(T$3/100)^2/2)*Assumptions!$B$9)/((T$3/100)*Assumptions!$B$10)))-$B18*EXP(-Assumptions!$B$3*Assumptions!$B$9)*NORMSDIST((((LN(Assumptions!$B$2/$B18)+(Assumptions!$B$3-Assumptions!$B$4+(T$3/100)^2/2)*Assumptions!$B$9)/((T$3/100)*Assumptions!$B$10))-(T$3/100)*Assumptions!$B$10)))))</f>
        <v/>
      </c>
      <c r="U39" s="56">
        <f>IF((MAX(0,Assumptions!$B$2*EXP(-Assumptions!$B$4*Assumptions!$B$9)*NORMSDIST(((LN(Assumptions!$B$2/$B18)+(Assumptions!$B$3-Assumptions!$B$4+(U$3/100)^2/2)*Assumptions!$B$9)/((U$3/100)*Assumptions!$B$10)))-$B18*EXP(-Assumptions!$B$3*Assumptions!$B$9)*NORMSDIST((((LN(Assumptions!$B$2/$B18)+(Assumptions!$B$3-Assumptions!$B$4+(U$3/100)^2/2)*Assumptions!$B$9)/((U$3/100)*Assumptions!$B$10))-(U$3/100)*Assumptions!$B$10))))&lt;=0,"",(Assumptions!$B$2*EXP(-Assumptions!$B$4*Assumptions!$B$9)*NORMDIST(((LN(Assumptions!$B$2/$B18)+(Assumptions!$B$3-Assumptions!$B$4+(U$3/100)^2/2)*Assumptions!$B$9)/((U$3/100)*Assumptions!$B$10)),0,1,FALSE)*Assumptions!$B$10*0.01)*0.5/(MAX(0,Assumptions!$B$2*EXP(-Assumptions!$B$4*Assumptions!$B$9)*NORMSDIST(((LN(Assumptions!$B$2/$B18)+(Assumptions!$B$3-Assumptions!$B$4+(U$3/100)^2/2)*Assumptions!$B$9)/((U$3/100)*Assumptions!$B$10)))-$B18*EXP(-Assumptions!$B$3*Assumptions!$B$9)*NORMSDIST((((LN(Assumptions!$B$2/$B18)+(Assumptions!$B$3-Assumptions!$B$4+(U$3/100)^2/2)*Assumptions!$B$9)/((U$3/100)*Assumptions!$B$10))-(U$3/100)*Assumptions!$B$10)))))</f>
        <v/>
      </c>
      <c r="V39" s="56">
        <f>IF((MAX(0,Assumptions!$B$2*EXP(-Assumptions!$B$4*Assumptions!$B$9)*NORMSDIST(((LN(Assumptions!$B$2/$B18)+(Assumptions!$B$3-Assumptions!$B$4+(V$3/100)^2/2)*Assumptions!$B$9)/((V$3/100)*Assumptions!$B$10)))-$B18*EXP(-Assumptions!$B$3*Assumptions!$B$9)*NORMSDIST((((LN(Assumptions!$B$2/$B18)+(Assumptions!$B$3-Assumptions!$B$4+(V$3/100)^2/2)*Assumptions!$B$9)/((V$3/100)*Assumptions!$B$10))-(V$3/100)*Assumptions!$B$10))))&lt;=0,"",(Assumptions!$B$2*EXP(-Assumptions!$B$4*Assumptions!$B$9)*NORMDIST(((LN(Assumptions!$B$2/$B18)+(Assumptions!$B$3-Assumptions!$B$4+(V$3/100)^2/2)*Assumptions!$B$9)/((V$3/100)*Assumptions!$B$10)),0,1,FALSE)*Assumptions!$B$10*0.01)*0.5/(MAX(0,Assumptions!$B$2*EXP(-Assumptions!$B$4*Assumptions!$B$9)*NORMSDIST(((LN(Assumptions!$B$2/$B18)+(Assumptions!$B$3-Assumptions!$B$4+(V$3/100)^2/2)*Assumptions!$B$9)/((V$3/100)*Assumptions!$B$10)))-$B18*EXP(-Assumptions!$B$3*Assumptions!$B$9)*NORMSDIST((((LN(Assumptions!$B$2/$B18)+(Assumptions!$B$3-Assumptions!$B$4+(V$3/100)^2/2)*Assumptions!$B$9)/((V$3/100)*Assumptions!$B$10))-(V$3/100)*Assumptions!$B$10)))))</f>
        <v/>
      </c>
      <c r="W39" s="56">
        <f>IF((MAX(0,Assumptions!$B$2*EXP(-Assumptions!$B$4*Assumptions!$B$9)*NORMSDIST(((LN(Assumptions!$B$2/$B18)+(Assumptions!$B$3-Assumptions!$B$4+(W$3/100)^2/2)*Assumptions!$B$9)/((W$3/100)*Assumptions!$B$10)))-$B18*EXP(-Assumptions!$B$3*Assumptions!$B$9)*NORMSDIST((((LN(Assumptions!$B$2/$B18)+(Assumptions!$B$3-Assumptions!$B$4+(W$3/100)^2/2)*Assumptions!$B$9)/((W$3/100)*Assumptions!$B$10))-(W$3/100)*Assumptions!$B$10))))&lt;=0,"",(Assumptions!$B$2*EXP(-Assumptions!$B$4*Assumptions!$B$9)*NORMDIST(((LN(Assumptions!$B$2/$B18)+(Assumptions!$B$3-Assumptions!$B$4+(W$3/100)^2/2)*Assumptions!$B$9)/((W$3/100)*Assumptions!$B$10)),0,1,FALSE)*Assumptions!$B$10*0.01)*0.5/(MAX(0,Assumptions!$B$2*EXP(-Assumptions!$B$4*Assumptions!$B$9)*NORMSDIST(((LN(Assumptions!$B$2/$B18)+(Assumptions!$B$3-Assumptions!$B$4+(W$3/100)^2/2)*Assumptions!$B$9)/((W$3/100)*Assumptions!$B$10)))-$B18*EXP(-Assumptions!$B$3*Assumptions!$B$9)*NORMSDIST((((LN(Assumptions!$B$2/$B18)+(Assumptions!$B$3-Assumptions!$B$4+(W$3/100)^2/2)*Assumptions!$B$9)/((W$3/100)*Assumptions!$B$10))-(W$3/100)*Assumptions!$B$10)))))</f>
        <v/>
      </c>
      <c r="X39" s="56">
        <f>IF((MAX(0,Assumptions!$B$2*EXP(-Assumptions!$B$4*Assumptions!$B$9)*NORMSDIST(((LN(Assumptions!$B$2/$B18)+(Assumptions!$B$3-Assumptions!$B$4+(X$3/100)^2/2)*Assumptions!$B$9)/((X$3/100)*Assumptions!$B$10)))-$B18*EXP(-Assumptions!$B$3*Assumptions!$B$9)*NORMSDIST((((LN(Assumptions!$B$2/$B18)+(Assumptions!$B$3-Assumptions!$B$4+(X$3/100)^2/2)*Assumptions!$B$9)/((X$3/100)*Assumptions!$B$10))-(X$3/100)*Assumptions!$B$10))))&lt;=0,"",(Assumptions!$B$2*EXP(-Assumptions!$B$4*Assumptions!$B$9)*NORMDIST(((LN(Assumptions!$B$2/$B18)+(Assumptions!$B$3-Assumptions!$B$4+(X$3/100)^2/2)*Assumptions!$B$9)/((X$3/100)*Assumptions!$B$10)),0,1,FALSE)*Assumptions!$B$10*0.01)*0.5/(MAX(0,Assumptions!$B$2*EXP(-Assumptions!$B$4*Assumptions!$B$9)*NORMSDIST(((LN(Assumptions!$B$2/$B18)+(Assumptions!$B$3-Assumptions!$B$4+(X$3/100)^2/2)*Assumptions!$B$9)/((X$3/100)*Assumptions!$B$10)))-$B18*EXP(-Assumptions!$B$3*Assumptions!$B$9)*NORMSDIST((((LN(Assumptions!$B$2/$B18)+(Assumptions!$B$3-Assumptions!$B$4+(X$3/100)^2/2)*Assumptions!$B$9)/((X$3/100)*Assumptions!$B$10))-(X$3/100)*Assumptions!$B$10)))))</f>
        <v/>
      </c>
      <c r="Y39" s="56">
        <f>IF((MAX(0,Assumptions!$B$2*EXP(-Assumptions!$B$4*Assumptions!$B$9)*NORMSDIST(((LN(Assumptions!$B$2/$B18)+(Assumptions!$B$3-Assumptions!$B$4+(Y$3/100)^2/2)*Assumptions!$B$9)/((Y$3/100)*Assumptions!$B$10)))-$B18*EXP(-Assumptions!$B$3*Assumptions!$B$9)*NORMSDIST((((LN(Assumptions!$B$2/$B18)+(Assumptions!$B$3-Assumptions!$B$4+(Y$3/100)^2/2)*Assumptions!$B$9)/((Y$3/100)*Assumptions!$B$10))-(Y$3/100)*Assumptions!$B$10))))&lt;=0,"",(Assumptions!$B$2*EXP(-Assumptions!$B$4*Assumptions!$B$9)*NORMDIST(((LN(Assumptions!$B$2/$B18)+(Assumptions!$B$3-Assumptions!$B$4+(Y$3/100)^2/2)*Assumptions!$B$9)/((Y$3/100)*Assumptions!$B$10)),0,1,FALSE)*Assumptions!$B$10*0.01)*0.5/(MAX(0,Assumptions!$B$2*EXP(-Assumptions!$B$4*Assumptions!$B$9)*NORMSDIST(((LN(Assumptions!$B$2/$B18)+(Assumptions!$B$3-Assumptions!$B$4+(Y$3/100)^2/2)*Assumptions!$B$9)/((Y$3/100)*Assumptions!$B$10)))-$B18*EXP(-Assumptions!$B$3*Assumptions!$B$9)*NORMSDIST((((LN(Assumptions!$B$2/$B18)+(Assumptions!$B$3-Assumptions!$B$4+(Y$3/100)^2/2)*Assumptions!$B$9)/((Y$3/100)*Assumptions!$B$10))-(Y$3/100)*Assumptions!$B$10)))))</f>
        <v/>
      </c>
      <c r="Z39" s="56">
        <f>IF((MAX(0,Assumptions!$B$2*EXP(-Assumptions!$B$4*Assumptions!$B$9)*NORMSDIST(((LN(Assumptions!$B$2/$B18)+(Assumptions!$B$3-Assumptions!$B$4+(Z$3/100)^2/2)*Assumptions!$B$9)/((Z$3/100)*Assumptions!$B$10)))-$B18*EXP(-Assumptions!$B$3*Assumptions!$B$9)*NORMSDIST((((LN(Assumptions!$B$2/$B18)+(Assumptions!$B$3-Assumptions!$B$4+(Z$3/100)^2/2)*Assumptions!$B$9)/((Z$3/100)*Assumptions!$B$10))-(Z$3/100)*Assumptions!$B$10))))&lt;=0,"",(Assumptions!$B$2*EXP(-Assumptions!$B$4*Assumptions!$B$9)*NORMDIST(((LN(Assumptions!$B$2/$B18)+(Assumptions!$B$3-Assumptions!$B$4+(Z$3/100)^2/2)*Assumptions!$B$9)/((Z$3/100)*Assumptions!$B$10)),0,1,FALSE)*Assumptions!$B$10*0.01)*0.5/(MAX(0,Assumptions!$B$2*EXP(-Assumptions!$B$4*Assumptions!$B$9)*NORMSDIST(((LN(Assumptions!$B$2/$B18)+(Assumptions!$B$3-Assumptions!$B$4+(Z$3/100)^2/2)*Assumptions!$B$9)/((Z$3/100)*Assumptions!$B$10)))-$B18*EXP(-Assumptions!$B$3*Assumptions!$B$9)*NORMSDIST((((LN(Assumptions!$B$2/$B18)+(Assumptions!$B$3-Assumptions!$B$4+(Z$3/100)^2/2)*Assumptions!$B$9)/((Z$3/100)*Assumptions!$B$10))-(Z$3/100)*Assumptions!$B$10)))))</f>
        <v/>
      </c>
      <c r="AA39" s="56">
        <f>IF((MAX(0,Assumptions!$B$2*EXP(-Assumptions!$B$4*Assumptions!$B$9)*NORMSDIST(((LN(Assumptions!$B$2/$B18)+(Assumptions!$B$3-Assumptions!$B$4+(AA$3/100)^2/2)*Assumptions!$B$9)/((AA$3/100)*Assumptions!$B$10)))-$B18*EXP(-Assumptions!$B$3*Assumptions!$B$9)*NORMSDIST((((LN(Assumptions!$B$2/$B18)+(Assumptions!$B$3-Assumptions!$B$4+(AA$3/100)^2/2)*Assumptions!$B$9)/((AA$3/100)*Assumptions!$B$10))-(AA$3/100)*Assumptions!$B$10))))&lt;=0,"",(Assumptions!$B$2*EXP(-Assumptions!$B$4*Assumptions!$B$9)*NORMDIST(((LN(Assumptions!$B$2/$B18)+(Assumptions!$B$3-Assumptions!$B$4+(AA$3/100)^2/2)*Assumptions!$B$9)/((AA$3/100)*Assumptions!$B$10)),0,1,FALSE)*Assumptions!$B$10*0.01)*0.5/(MAX(0,Assumptions!$B$2*EXP(-Assumptions!$B$4*Assumptions!$B$9)*NORMSDIST(((LN(Assumptions!$B$2/$B18)+(Assumptions!$B$3-Assumptions!$B$4+(AA$3/100)^2/2)*Assumptions!$B$9)/((AA$3/100)*Assumptions!$B$10)))-$B18*EXP(-Assumptions!$B$3*Assumptions!$B$9)*NORMSDIST((((LN(Assumptions!$B$2/$B18)+(Assumptions!$B$3-Assumptions!$B$4+(AA$3/100)^2/2)*Assumptions!$B$9)/((AA$3/100)*Assumptions!$B$10))-(AA$3/100)*Assumptions!$B$10)))))</f>
        <v/>
      </c>
      <c r="AB39" s="56">
        <f>IF((MAX(0,Assumptions!$B$2*EXP(-Assumptions!$B$4*Assumptions!$B$9)*NORMSDIST(((LN(Assumptions!$B$2/$B18)+(Assumptions!$B$3-Assumptions!$B$4+(AB$3/100)^2/2)*Assumptions!$B$9)/((AB$3/100)*Assumptions!$B$10)))-$B18*EXP(-Assumptions!$B$3*Assumptions!$B$9)*NORMSDIST((((LN(Assumptions!$B$2/$B18)+(Assumptions!$B$3-Assumptions!$B$4+(AB$3/100)^2/2)*Assumptions!$B$9)/((AB$3/100)*Assumptions!$B$10))-(AB$3/100)*Assumptions!$B$10))))&lt;=0,"",(Assumptions!$B$2*EXP(-Assumptions!$B$4*Assumptions!$B$9)*NORMDIST(((LN(Assumptions!$B$2/$B18)+(Assumptions!$B$3-Assumptions!$B$4+(AB$3/100)^2/2)*Assumptions!$B$9)/((AB$3/100)*Assumptions!$B$10)),0,1,FALSE)*Assumptions!$B$10*0.01)*0.5/(MAX(0,Assumptions!$B$2*EXP(-Assumptions!$B$4*Assumptions!$B$9)*NORMSDIST(((LN(Assumptions!$B$2/$B18)+(Assumptions!$B$3-Assumptions!$B$4+(AB$3/100)^2/2)*Assumptions!$B$9)/((AB$3/100)*Assumptions!$B$10)))-$B18*EXP(-Assumptions!$B$3*Assumptions!$B$9)*NORMSDIST((((LN(Assumptions!$B$2/$B18)+(Assumptions!$B$3-Assumptions!$B$4+(AB$3/100)^2/2)*Assumptions!$B$9)/((AB$3/100)*Assumptions!$B$10))-(AB$3/100)*Assumptions!$B$10)))))</f>
        <v/>
      </c>
      <c r="AC39" s="56">
        <f>IF((MAX(0,Assumptions!$B$2*EXP(-Assumptions!$B$4*Assumptions!$B$9)*NORMSDIST(((LN(Assumptions!$B$2/$B18)+(Assumptions!$B$3-Assumptions!$B$4+(AC$3/100)^2/2)*Assumptions!$B$9)/((AC$3/100)*Assumptions!$B$10)))-$B18*EXP(-Assumptions!$B$3*Assumptions!$B$9)*NORMSDIST((((LN(Assumptions!$B$2/$B18)+(Assumptions!$B$3-Assumptions!$B$4+(AC$3/100)^2/2)*Assumptions!$B$9)/((AC$3/100)*Assumptions!$B$10))-(AC$3/100)*Assumptions!$B$10))))&lt;=0,"",(Assumptions!$B$2*EXP(-Assumptions!$B$4*Assumptions!$B$9)*NORMDIST(((LN(Assumptions!$B$2/$B18)+(Assumptions!$B$3-Assumptions!$B$4+(AC$3/100)^2/2)*Assumptions!$B$9)/((AC$3/100)*Assumptions!$B$10)),0,1,FALSE)*Assumptions!$B$10*0.01)*0.5/(MAX(0,Assumptions!$B$2*EXP(-Assumptions!$B$4*Assumptions!$B$9)*NORMSDIST(((LN(Assumptions!$B$2/$B18)+(Assumptions!$B$3-Assumptions!$B$4+(AC$3/100)^2/2)*Assumptions!$B$9)/((AC$3/100)*Assumptions!$B$10)))-$B18*EXP(-Assumptions!$B$3*Assumptions!$B$9)*NORMSDIST((((LN(Assumptions!$B$2/$B18)+(Assumptions!$B$3-Assumptions!$B$4+(AC$3/100)^2/2)*Assumptions!$B$9)/((AC$3/100)*Assumptions!$B$10))-(AC$3/100)*Assumptions!$B$10)))))</f>
        <v/>
      </c>
      <c r="AD39" s="56">
        <f>IF((MAX(0,Assumptions!$B$2*EXP(-Assumptions!$B$4*Assumptions!$B$9)*NORMSDIST(((LN(Assumptions!$B$2/$B18)+(Assumptions!$B$3-Assumptions!$B$4+(AD$3/100)^2/2)*Assumptions!$B$9)/((AD$3/100)*Assumptions!$B$10)))-$B18*EXP(-Assumptions!$B$3*Assumptions!$B$9)*NORMSDIST((((LN(Assumptions!$B$2/$B18)+(Assumptions!$B$3-Assumptions!$B$4+(AD$3/100)^2/2)*Assumptions!$B$9)/((AD$3/100)*Assumptions!$B$10))-(AD$3/100)*Assumptions!$B$10))))&lt;=0,"",(Assumptions!$B$2*EXP(-Assumptions!$B$4*Assumptions!$B$9)*NORMDIST(((LN(Assumptions!$B$2/$B18)+(Assumptions!$B$3-Assumptions!$B$4+(AD$3/100)^2/2)*Assumptions!$B$9)/((AD$3/100)*Assumptions!$B$10)),0,1,FALSE)*Assumptions!$B$10*0.01)*0.5/(MAX(0,Assumptions!$B$2*EXP(-Assumptions!$B$4*Assumptions!$B$9)*NORMSDIST(((LN(Assumptions!$B$2/$B18)+(Assumptions!$B$3-Assumptions!$B$4+(AD$3/100)^2/2)*Assumptions!$B$9)/((AD$3/100)*Assumptions!$B$10)))-$B18*EXP(-Assumptions!$B$3*Assumptions!$B$9)*NORMSDIST((((LN(Assumptions!$B$2/$B18)+(Assumptions!$B$3-Assumptions!$B$4+(AD$3/100)^2/2)*Assumptions!$B$9)/((AD$3/100)*Assumptions!$B$10))-(AD$3/100)*Assumptions!$B$10)))))</f>
        <v/>
      </c>
      <c r="AE39" s="56">
        <f>IF((MAX(0,Assumptions!$B$2*EXP(-Assumptions!$B$4*Assumptions!$B$9)*NORMSDIST(((LN(Assumptions!$B$2/$B18)+(Assumptions!$B$3-Assumptions!$B$4+(AE$3/100)^2/2)*Assumptions!$B$9)/((AE$3/100)*Assumptions!$B$10)))-$B18*EXP(-Assumptions!$B$3*Assumptions!$B$9)*NORMSDIST((((LN(Assumptions!$B$2/$B18)+(Assumptions!$B$3-Assumptions!$B$4+(AE$3/100)^2/2)*Assumptions!$B$9)/((AE$3/100)*Assumptions!$B$10))-(AE$3/100)*Assumptions!$B$10))))&lt;=0,"",(Assumptions!$B$2*EXP(-Assumptions!$B$4*Assumptions!$B$9)*NORMDIST(((LN(Assumptions!$B$2/$B18)+(Assumptions!$B$3-Assumptions!$B$4+(AE$3/100)^2/2)*Assumptions!$B$9)/((AE$3/100)*Assumptions!$B$10)),0,1,FALSE)*Assumptions!$B$10*0.01)*0.5/(MAX(0,Assumptions!$B$2*EXP(-Assumptions!$B$4*Assumptions!$B$9)*NORMSDIST(((LN(Assumptions!$B$2/$B18)+(Assumptions!$B$3-Assumptions!$B$4+(AE$3/100)^2/2)*Assumptions!$B$9)/((AE$3/100)*Assumptions!$B$10)))-$B18*EXP(-Assumptions!$B$3*Assumptions!$B$9)*NORMSDIST((((LN(Assumptions!$B$2/$B18)+(Assumptions!$B$3-Assumptions!$B$4+(AE$3/100)^2/2)*Assumptions!$B$9)/((AE$3/100)*Assumptions!$B$10))-(AE$3/100)*Assumptions!$B$10)))))</f>
        <v/>
      </c>
      <c r="AF39" s="56">
        <f>IF((MAX(0,Assumptions!$B$2*EXP(-Assumptions!$B$4*Assumptions!$B$9)*NORMSDIST(((LN(Assumptions!$B$2/$B18)+(Assumptions!$B$3-Assumptions!$B$4+(AF$3/100)^2/2)*Assumptions!$B$9)/((AF$3/100)*Assumptions!$B$10)))-$B18*EXP(-Assumptions!$B$3*Assumptions!$B$9)*NORMSDIST((((LN(Assumptions!$B$2/$B18)+(Assumptions!$B$3-Assumptions!$B$4+(AF$3/100)^2/2)*Assumptions!$B$9)/((AF$3/100)*Assumptions!$B$10))-(AF$3/100)*Assumptions!$B$10))))&lt;=0,"",(Assumptions!$B$2*EXP(-Assumptions!$B$4*Assumptions!$B$9)*NORMDIST(((LN(Assumptions!$B$2/$B18)+(Assumptions!$B$3-Assumptions!$B$4+(AF$3/100)^2/2)*Assumptions!$B$9)/((AF$3/100)*Assumptions!$B$10)),0,1,FALSE)*Assumptions!$B$10*0.01)*0.5/(MAX(0,Assumptions!$B$2*EXP(-Assumptions!$B$4*Assumptions!$B$9)*NORMSDIST(((LN(Assumptions!$B$2/$B18)+(Assumptions!$B$3-Assumptions!$B$4+(AF$3/100)^2/2)*Assumptions!$B$9)/((AF$3/100)*Assumptions!$B$10)))-$B18*EXP(-Assumptions!$B$3*Assumptions!$B$9)*NORMSDIST((((LN(Assumptions!$B$2/$B18)+(Assumptions!$B$3-Assumptions!$B$4+(AF$3/100)^2/2)*Assumptions!$B$9)/((AF$3/100)*Assumptions!$B$10))-(AF$3/100)*Assumptions!$B$10)))))</f>
        <v/>
      </c>
      <c r="AG39" s="56">
        <f>IF((MAX(0,Assumptions!$B$2*EXP(-Assumptions!$B$4*Assumptions!$B$9)*NORMSDIST(((LN(Assumptions!$B$2/$B18)+(Assumptions!$B$3-Assumptions!$B$4+(AG$3/100)^2/2)*Assumptions!$B$9)/((AG$3/100)*Assumptions!$B$10)))-$B18*EXP(-Assumptions!$B$3*Assumptions!$B$9)*NORMSDIST((((LN(Assumptions!$B$2/$B18)+(Assumptions!$B$3-Assumptions!$B$4+(AG$3/100)^2/2)*Assumptions!$B$9)/((AG$3/100)*Assumptions!$B$10))-(AG$3/100)*Assumptions!$B$10))))&lt;=0,"",(Assumptions!$B$2*EXP(-Assumptions!$B$4*Assumptions!$B$9)*NORMDIST(((LN(Assumptions!$B$2/$B18)+(Assumptions!$B$3-Assumptions!$B$4+(AG$3/100)^2/2)*Assumptions!$B$9)/((AG$3/100)*Assumptions!$B$10)),0,1,FALSE)*Assumptions!$B$10*0.01)*0.5/(MAX(0,Assumptions!$B$2*EXP(-Assumptions!$B$4*Assumptions!$B$9)*NORMSDIST(((LN(Assumptions!$B$2/$B18)+(Assumptions!$B$3-Assumptions!$B$4+(AG$3/100)^2/2)*Assumptions!$B$9)/((AG$3/100)*Assumptions!$B$10)))-$B18*EXP(-Assumptions!$B$3*Assumptions!$B$9)*NORMSDIST((((LN(Assumptions!$B$2/$B18)+(Assumptions!$B$3-Assumptions!$B$4+(AG$3/100)^2/2)*Assumptions!$B$9)/((AG$3/100)*Assumptions!$B$10))-(AG$3/100)*Assumptions!$B$10)))))</f>
        <v/>
      </c>
      <c r="AH39" s="56">
        <f>IF((MAX(0,Assumptions!$B$2*EXP(-Assumptions!$B$4*Assumptions!$B$9)*NORMSDIST(((LN(Assumptions!$B$2/$B18)+(Assumptions!$B$3-Assumptions!$B$4+(AH$3/100)^2/2)*Assumptions!$B$9)/((AH$3/100)*Assumptions!$B$10)))-$B18*EXP(-Assumptions!$B$3*Assumptions!$B$9)*NORMSDIST((((LN(Assumptions!$B$2/$B18)+(Assumptions!$B$3-Assumptions!$B$4+(AH$3/100)^2/2)*Assumptions!$B$9)/((AH$3/100)*Assumptions!$B$10))-(AH$3/100)*Assumptions!$B$10))))&lt;=0,"",(Assumptions!$B$2*EXP(-Assumptions!$B$4*Assumptions!$B$9)*NORMDIST(((LN(Assumptions!$B$2/$B18)+(Assumptions!$B$3-Assumptions!$B$4+(AH$3/100)^2/2)*Assumptions!$B$9)/((AH$3/100)*Assumptions!$B$10)),0,1,FALSE)*Assumptions!$B$10*0.01)*0.5/(MAX(0,Assumptions!$B$2*EXP(-Assumptions!$B$4*Assumptions!$B$9)*NORMSDIST(((LN(Assumptions!$B$2/$B18)+(Assumptions!$B$3-Assumptions!$B$4+(AH$3/100)^2/2)*Assumptions!$B$9)/((AH$3/100)*Assumptions!$B$10)))-$B18*EXP(-Assumptions!$B$3*Assumptions!$B$9)*NORMSDIST((((LN(Assumptions!$B$2/$B18)+(Assumptions!$B$3-Assumptions!$B$4+(AH$3/100)^2/2)*Assumptions!$B$9)/((AH$3/100)*Assumptions!$B$10))-(AH$3/100)*Assumptions!$B$10)))))</f>
        <v/>
      </c>
      <c r="AI39" s="56">
        <f>IF((MAX(0,Assumptions!$B$2*EXP(-Assumptions!$B$4*Assumptions!$B$9)*NORMSDIST(((LN(Assumptions!$B$2/$B18)+(Assumptions!$B$3-Assumptions!$B$4+(AI$3/100)^2/2)*Assumptions!$B$9)/((AI$3/100)*Assumptions!$B$10)))-$B18*EXP(-Assumptions!$B$3*Assumptions!$B$9)*NORMSDIST((((LN(Assumptions!$B$2/$B18)+(Assumptions!$B$3-Assumptions!$B$4+(AI$3/100)^2/2)*Assumptions!$B$9)/((AI$3/100)*Assumptions!$B$10))-(AI$3/100)*Assumptions!$B$10))))&lt;=0,"",(Assumptions!$B$2*EXP(-Assumptions!$B$4*Assumptions!$B$9)*NORMDIST(((LN(Assumptions!$B$2/$B18)+(Assumptions!$B$3-Assumptions!$B$4+(AI$3/100)^2/2)*Assumptions!$B$9)/((AI$3/100)*Assumptions!$B$10)),0,1,FALSE)*Assumptions!$B$10*0.01)*0.5/(MAX(0,Assumptions!$B$2*EXP(-Assumptions!$B$4*Assumptions!$B$9)*NORMSDIST(((LN(Assumptions!$B$2/$B18)+(Assumptions!$B$3-Assumptions!$B$4+(AI$3/100)^2/2)*Assumptions!$B$9)/((AI$3/100)*Assumptions!$B$10)))-$B18*EXP(-Assumptions!$B$3*Assumptions!$B$9)*NORMSDIST((((LN(Assumptions!$B$2/$B18)+(Assumptions!$B$3-Assumptions!$B$4+(AI$3/100)^2/2)*Assumptions!$B$9)/((AI$3/100)*Assumptions!$B$10))-(AI$3/100)*Assumptions!$B$10)))))</f>
        <v/>
      </c>
      <c r="AJ39" s="56">
        <f>IF((MAX(0,Assumptions!$B$2*EXP(-Assumptions!$B$4*Assumptions!$B$9)*NORMSDIST(((LN(Assumptions!$B$2/$B18)+(Assumptions!$B$3-Assumptions!$B$4+(AJ$3/100)^2/2)*Assumptions!$B$9)/((AJ$3/100)*Assumptions!$B$10)))-$B18*EXP(-Assumptions!$B$3*Assumptions!$B$9)*NORMSDIST((((LN(Assumptions!$B$2/$B18)+(Assumptions!$B$3-Assumptions!$B$4+(AJ$3/100)^2/2)*Assumptions!$B$9)/((AJ$3/100)*Assumptions!$B$10))-(AJ$3/100)*Assumptions!$B$10))))&lt;=0,"",(Assumptions!$B$2*EXP(-Assumptions!$B$4*Assumptions!$B$9)*NORMDIST(((LN(Assumptions!$B$2/$B18)+(Assumptions!$B$3-Assumptions!$B$4+(AJ$3/100)^2/2)*Assumptions!$B$9)/((AJ$3/100)*Assumptions!$B$10)),0,1,FALSE)*Assumptions!$B$10*0.01)*0.5/(MAX(0,Assumptions!$B$2*EXP(-Assumptions!$B$4*Assumptions!$B$9)*NORMSDIST(((LN(Assumptions!$B$2/$B18)+(Assumptions!$B$3-Assumptions!$B$4+(AJ$3/100)^2/2)*Assumptions!$B$9)/((AJ$3/100)*Assumptions!$B$10)))-$B18*EXP(-Assumptions!$B$3*Assumptions!$B$9)*NORMSDIST((((LN(Assumptions!$B$2/$B18)+(Assumptions!$B$3-Assumptions!$B$4+(AJ$3/100)^2/2)*Assumptions!$B$9)/((AJ$3/100)*Assumptions!$B$10))-(AJ$3/100)*Assumptions!$B$10)))))</f>
        <v/>
      </c>
      <c r="AK39" s="56">
        <f>IF((MAX(0,Assumptions!$B$2*EXP(-Assumptions!$B$4*Assumptions!$B$9)*NORMSDIST(((LN(Assumptions!$B$2/$B18)+(Assumptions!$B$3-Assumptions!$B$4+(AK$3/100)^2/2)*Assumptions!$B$9)/((AK$3/100)*Assumptions!$B$10)))-$B18*EXP(-Assumptions!$B$3*Assumptions!$B$9)*NORMSDIST((((LN(Assumptions!$B$2/$B18)+(Assumptions!$B$3-Assumptions!$B$4+(AK$3/100)^2/2)*Assumptions!$B$9)/((AK$3/100)*Assumptions!$B$10))-(AK$3/100)*Assumptions!$B$10))))&lt;=0,"",(Assumptions!$B$2*EXP(-Assumptions!$B$4*Assumptions!$B$9)*NORMDIST(((LN(Assumptions!$B$2/$B18)+(Assumptions!$B$3-Assumptions!$B$4+(AK$3/100)^2/2)*Assumptions!$B$9)/((AK$3/100)*Assumptions!$B$10)),0,1,FALSE)*Assumptions!$B$10*0.01)*0.5/(MAX(0,Assumptions!$B$2*EXP(-Assumptions!$B$4*Assumptions!$B$9)*NORMSDIST(((LN(Assumptions!$B$2/$B18)+(Assumptions!$B$3-Assumptions!$B$4+(AK$3/100)^2/2)*Assumptions!$B$9)/((AK$3/100)*Assumptions!$B$10)))-$B18*EXP(-Assumptions!$B$3*Assumptions!$B$9)*NORMSDIST((((LN(Assumptions!$B$2/$B18)+(Assumptions!$B$3-Assumptions!$B$4+(AK$3/100)^2/2)*Assumptions!$B$9)/((AK$3/100)*Assumptions!$B$10))-(AK$3/100)*Assumptions!$B$10)))))</f>
        <v/>
      </c>
      <c r="AL39" s="56">
        <f>IF((MAX(0,Assumptions!$B$2*EXP(-Assumptions!$B$4*Assumptions!$B$9)*NORMSDIST(((LN(Assumptions!$B$2/$B18)+(Assumptions!$B$3-Assumptions!$B$4+(AL$3/100)^2/2)*Assumptions!$B$9)/((AL$3/100)*Assumptions!$B$10)))-$B18*EXP(-Assumptions!$B$3*Assumptions!$B$9)*NORMSDIST((((LN(Assumptions!$B$2/$B18)+(Assumptions!$B$3-Assumptions!$B$4+(AL$3/100)^2/2)*Assumptions!$B$9)/((AL$3/100)*Assumptions!$B$10))-(AL$3/100)*Assumptions!$B$10))))&lt;=0,"",(Assumptions!$B$2*EXP(-Assumptions!$B$4*Assumptions!$B$9)*NORMDIST(((LN(Assumptions!$B$2/$B18)+(Assumptions!$B$3-Assumptions!$B$4+(AL$3/100)^2/2)*Assumptions!$B$9)/((AL$3/100)*Assumptions!$B$10)),0,1,FALSE)*Assumptions!$B$10*0.01)*0.5/(MAX(0,Assumptions!$B$2*EXP(-Assumptions!$B$4*Assumptions!$B$9)*NORMSDIST(((LN(Assumptions!$B$2/$B18)+(Assumptions!$B$3-Assumptions!$B$4+(AL$3/100)^2/2)*Assumptions!$B$9)/((AL$3/100)*Assumptions!$B$10)))-$B18*EXP(-Assumptions!$B$3*Assumptions!$B$9)*NORMSDIST((((LN(Assumptions!$B$2/$B18)+(Assumptions!$B$3-Assumptions!$B$4+(AL$3/100)^2/2)*Assumptions!$B$9)/((AL$3/100)*Assumptions!$B$10))-(AL$3/100)*Assumptions!$B$10)))))</f>
        <v/>
      </c>
      <c r="AM39" s="56">
        <f>IF((MAX(0,Assumptions!$B$2*EXP(-Assumptions!$B$4*Assumptions!$B$9)*NORMSDIST(((LN(Assumptions!$B$2/$B18)+(Assumptions!$B$3-Assumptions!$B$4+(AM$3/100)^2/2)*Assumptions!$B$9)/((AM$3/100)*Assumptions!$B$10)))-$B18*EXP(-Assumptions!$B$3*Assumptions!$B$9)*NORMSDIST((((LN(Assumptions!$B$2/$B18)+(Assumptions!$B$3-Assumptions!$B$4+(AM$3/100)^2/2)*Assumptions!$B$9)/((AM$3/100)*Assumptions!$B$10))-(AM$3/100)*Assumptions!$B$10))))&lt;=0,"",(Assumptions!$B$2*EXP(-Assumptions!$B$4*Assumptions!$B$9)*NORMDIST(((LN(Assumptions!$B$2/$B18)+(Assumptions!$B$3-Assumptions!$B$4+(AM$3/100)^2/2)*Assumptions!$B$9)/((AM$3/100)*Assumptions!$B$10)),0,1,FALSE)*Assumptions!$B$10*0.01)*0.5/(MAX(0,Assumptions!$B$2*EXP(-Assumptions!$B$4*Assumptions!$B$9)*NORMSDIST(((LN(Assumptions!$B$2/$B18)+(Assumptions!$B$3-Assumptions!$B$4+(AM$3/100)^2/2)*Assumptions!$B$9)/((AM$3/100)*Assumptions!$B$10)))-$B18*EXP(-Assumptions!$B$3*Assumptions!$B$9)*NORMSDIST((((LN(Assumptions!$B$2/$B18)+(Assumptions!$B$3-Assumptions!$B$4+(AM$3/100)^2/2)*Assumptions!$B$9)/((AM$3/100)*Assumptions!$B$10))-(AM$3/100)*Assumptions!$B$10)))))</f>
        <v/>
      </c>
      <c r="AN39" s="56">
        <f>IF((MAX(0,Assumptions!$B$2*EXP(-Assumptions!$B$4*Assumptions!$B$9)*NORMSDIST(((LN(Assumptions!$B$2/$B18)+(Assumptions!$B$3-Assumptions!$B$4+(AN$3/100)^2/2)*Assumptions!$B$9)/((AN$3/100)*Assumptions!$B$10)))-$B18*EXP(-Assumptions!$B$3*Assumptions!$B$9)*NORMSDIST((((LN(Assumptions!$B$2/$B18)+(Assumptions!$B$3-Assumptions!$B$4+(AN$3/100)^2/2)*Assumptions!$B$9)/((AN$3/100)*Assumptions!$B$10))-(AN$3/100)*Assumptions!$B$10))))&lt;=0,"",(Assumptions!$B$2*EXP(-Assumptions!$B$4*Assumptions!$B$9)*NORMDIST(((LN(Assumptions!$B$2/$B18)+(Assumptions!$B$3-Assumptions!$B$4+(AN$3/100)^2/2)*Assumptions!$B$9)/((AN$3/100)*Assumptions!$B$10)),0,1,FALSE)*Assumptions!$B$10*0.01)*0.5/(MAX(0,Assumptions!$B$2*EXP(-Assumptions!$B$4*Assumptions!$B$9)*NORMSDIST(((LN(Assumptions!$B$2/$B18)+(Assumptions!$B$3-Assumptions!$B$4+(AN$3/100)^2/2)*Assumptions!$B$9)/((AN$3/100)*Assumptions!$B$10)))-$B18*EXP(-Assumptions!$B$3*Assumptions!$B$9)*NORMSDIST((((LN(Assumptions!$B$2/$B18)+(Assumptions!$B$3-Assumptions!$B$4+(AN$3/100)^2/2)*Assumptions!$B$9)/((AN$3/100)*Assumptions!$B$10))-(AN$3/100)*Assumptions!$B$10)))))</f>
        <v/>
      </c>
      <c r="AO39" s="56">
        <f>IF((MAX(0,Assumptions!$B$2*EXP(-Assumptions!$B$4*Assumptions!$B$9)*NORMSDIST(((LN(Assumptions!$B$2/$B18)+(Assumptions!$B$3-Assumptions!$B$4+(AO$3/100)^2/2)*Assumptions!$B$9)/((AO$3/100)*Assumptions!$B$10)))-$B18*EXP(-Assumptions!$B$3*Assumptions!$B$9)*NORMSDIST((((LN(Assumptions!$B$2/$B18)+(Assumptions!$B$3-Assumptions!$B$4+(AO$3/100)^2/2)*Assumptions!$B$9)/((AO$3/100)*Assumptions!$B$10))-(AO$3/100)*Assumptions!$B$10))))&lt;=0,"",(Assumptions!$B$2*EXP(-Assumptions!$B$4*Assumptions!$B$9)*NORMDIST(((LN(Assumptions!$B$2/$B18)+(Assumptions!$B$3-Assumptions!$B$4+(AO$3/100)^2/2)*Assumptions!$B$9)/((AO$3/100)*Assumptions!$B$10)),0,1,FALSE)*Assumptions!$B$10*0.01)*0.5/(MAX(0,Assumptions!$B$2*EXP(-Assumptions!$B$4*Assumptions!$B$9)*NORMSDIST(((LN(Assumptions!$B$2/$B18)+(Assumptions!$B$3-Assumptions!$B$4+(AO$3/100)^2/2)*Assumptions!$B$9)/((AO$3/100)*Assumptions!$B$10)))-$B18*EXP(-Assumptions!$B$3*Assumptions!$B$9)*NORMSDIST((((LN(Assumptions!$B$2/$B18)+(Assumptions!$B$3-Assumptions!$B$4+(AO$3/100)^2/2)*Assumptions!$B$9)/((AO$3/100)*Assumptions!$B$10))-(AO$3/100)*Assumptions!$B$10)))))</f>
        <v/>
      </c>
      <c r="AP39" s="56">
        <f>IF((MAX(0,Assumptions!$B$2*EXP(-Assumptions!$B$4*Assumptions!$B$9)*NORMSDIST(((LN(Assumptions!$B$2/$B18)+(Assumptions!$B$3-Assumptions!$B$4+(AP$3/100)^2/2)*Assumptions!$B$9)/((AP$3/100)*Assumptions!$B$10)))-$B18*EXP(-Assumptions!$B$3*Assumptions!$B$9)*NORMSDIST((((LN(Assumptions!$B$2/$B18)+(Assumptions!$B$3-Assumptions!$B$4+(AP$3/100)^2/2)*Assumptions!$B$9)/((AP$3/100)*Assumptions!$B$10))-(AP$3/100)*Assumptions!$B$10))))&lt;=0,"",(Assumptions!$B$2*EXP(-Assumptions!$B$4*Assumptions!$B$9)*NORMDIST(((LN(Assumptions!$B$2/$B18)+(Assumptions!$B$3-Assumptions!$B$4+(AP$3/100)^2/2)*Assumptions!$B$9)/((AP$3/100)*Assumptions!$B$10)),0,1,FALSE)*Assumptions!$B$10*0.01)*0.5/(MAX(0,Assumptions!$B$2*EXP(-Assumptions!$B$4*Assumptions!$B$9)*NORMSDIST(((LN(Assumptions!$B$2/$B18)+(Assumptions!$B$3-Assumptions!$B$4+(AP$3/100)^2/2)*Assumptions!$B$9)/((AP$3/100)*Assumptions!$B$10)))-$B18*EXP(-Assumptions!$B$3*Assumptions!$B$9)*NORMSDIST((((LN(Assumptions!$B$2/$B18)+(Assumptions!$B$3-Assumptions!$B$4+(AP$3/100)^2/2)*Assumptions!$B$9)/((AP$3/100)*Assumptions!$B$10))-(AP$3/100)*Assumptions!$B$10)))))</f>
        <v/>
      </c>
      <c r="AQ39" s="56">
        <f>IF((MAX(0,Assumptions!$B$2*EXP(-Assumptions!$B$4*Assumptions!$B$9)*NORMSDIST(((LN(Assumptions!$B$2/$B18)+(Assumptions!$B$3-Assumptions!$B$4+(AQ$3/100)^2/2)*Assumptions!$B$9)/((AQ$3/100)*Assumptions!$B$10)))-$B18*EXP(-Assumptions!$B$3*Assumptions!$B$9)*NORMSDIST((((LN(Assumptions!$B$2/$B18)+(Assumptions!$B$3-Assumptions!$B$4+(AQ$3/100)^2/2)*Assumptions!$B$9)/((AQ$3/100)*Assumptions!$B$10))-(AQ$3/100)*Assumptions!$B$10))))&lt;=0,"",(Assumptions!$B$2*EXP(-Assumptions!$B$4*Assumptions!$B$9)*NORMDIST(((LN(Assumptions!$B$2/$B18)+(Assumptions!$B$3-Assumptions!$B$4+(AQ$3/100)^2/2)*Assumptions!$B$9)/((AQ$3/100)*Assumptions!$B$10)),0,1,FALSE)*Assumptions!$B$10*0.01)*0.5/(MAX(0,Assumptions!$B$2*EXP(-Assumptions!$B$4*Assumptions!$B$9)*NORMSDIST(((LN(Assumptions!$B$2/$B18)+(Assumptions!$B$3-Assumptions!$B$4+(AQ$3/100)^2/2)*Assumptions!$B$9)/((AQ$3/100)*Assumptions!$B$10)))-$B18*EXP(-Assumptions!$B$3*Assumptions!$B$9)*NORMSDIST((((LN(Assumptions!$B$2/$B18)+(Assumptions!$B$3-Assumptions!$B$4+(AQ$3/100)^2/2)*Assumptions!$B$9)/((AQ$3/100)*Assumptions!$B$10))-(AQ$3/100)*Assumptions!$B$10)))))</f>
        <v/>
      </c>
      <c r="AR39" s="56">
        <f>IF((MAX(0,Assumptions!$B$2*EXP(-Assumptions!$B$4*Assumptions!$B$9)*NORMSDIST(((LN(Assumptions!$B$2/$B18)+(Assumptions!$B$3-Assumptions!$B$4+(AR$3/100)^2/2)*Assumptions!$B$9)/((AR$3/100)*Assumptions!$B$10)))-$B18*EXP(-Assumptions!$B$3*Assumptions!$B$9)*NORMSDIST((((LN(Assumptions!$B$2/$B18)+(Assumptions!$B$3-Assumptions!$B$4+(AR$3/100)^2/2)*Assumptions!$B$9)/((AR$3/100)*Assumptions!$B$10))-(AR$3/100)*Assumptions!$B$10))))&lt;=0,"",(Assumptions!$B$2*EXP(-Assumptions!$B$4*Assumptions!$B$9)*NORMDIST(((LN(Assumptions!$B$2/$B18)+(Assumptions!$B$3-Assumptions!$B$4+(AR$3/100)^2/2)*Assumptions!$B$9)/((AR$3/100)*Assumptions!$B$10)),0,1,FALSE)*Assumptions!$B$10*0.01)*0.5/(MAX(0,Assumptions!$B$2*EXP(-Assumptions!$B$4*Assumptions!$B$9)*NORMSDIST(((LN(Assumptions!$B$2/$B18)+(Assumptions!$B$3-Assumptions!$B$4+(AR$3/100)^2/2)*Assumptions!$B$9)/((AR$3/100)*Assumptions!$B$10)))-$B18*EXP(-Assumptions!$B$3*Assumptions!$B$9)*NORMSDIST((((LN(Assumptions!$B$2/$B18)+(Assumptions!$B$3-Assumptions!$B$4+(AR$3/100)^2/2)*Assumptions!$B$9)/((AR$3/100)*Assumptions!$B$10))-(AR$3/100)*Assumptions!$B$10)))))</f>
        <v/>
      </c>
      <c r="AS39" s="56">
        <f>IF((MAX(0,Assumptions!$B$2*EXP(-Assumptions!$B$4*Assumptions!$B$9)*NORMSDIST(((LN(Assumptions!$B$2/$B18)+(Assumptions!$B$3-Assumptions!$B$4+(AS$3/100)^2/2)*Assumptions!$B$9)/((AS$3/100)*Assumptions!$B$10)))-$B18*EXP(-Assumptions!$B$3*Assumptions!$B$9)*NORMSDIST((((LN(Assumptions!$B$2/$B18)+(Assumptions!$B$3-Assumptions!$B$4+(AS$3/100)^2/2)*Assumptions!$B$9)/((AS$3/100)*Assumptions!$B$10))-(AS$3/100)*Assumptions!$B$10))))&lt;=0,"",(Assumptions!$B$2*EXP(-Assumptions!$B$4*Assumptions!$B$9)*NORMDIST(((LN(Assumptions!$B$2/$B18)+(Assumptions!$B$3-Assumptions!$B$4+(AS$3/100)^2/2)*Assumptions!$B$9)/((AS$3/100)*Assumptions!$B$10)),0,1,FALSE)*Assumptions!$B$10*0.01)*0.5/(MAX(0,Assumptions!$B$2*EXP(-Assumptions!$B$4*Assumptions!$B$9)*NORMSDIST(((LN(Assumptions!$B$2/$B18)+(Assumptions!$B$3-Assumptions!$B$4+(AS$3/100)^2/2)*Assumptions!$B$9)/((AS$3/100)*Assumptions!$B$10)))-$B18*EXP(-Assumptions!$B$3*Assumptions!$B$9)*NORMSDIST((((LN(Assumptions!$B$2/$B18)+(Assumptions!$B$3-Assumptions!$B$4+(AS$3/100)^2/2)*Assumptions!$B$9)/((AS$3/100)*Assumptions!$B$10))-(AS$3/100)*Assumptions!$B$10)))))</f>
        <v/>
      </c>
      <c r="AT39" s="56">
        <f>IF((MAX(0,Assumptions!$B$2*EXP(-Assumptions!$B$4*Assumptions!$B$9)*NORMSDIST(((LN(Assumptions!$B$2/$B18)+(Assumptions!$B$3-Assumptions!$B$4+(AT$3/100)^2/2)*Assumptions!$B$9)/((AT$3/100)*Assumptions!$B$10)))-$B18*EXP(-Assumptions!$B$3*Assumptions!$B$9)*NORMSDIST((((LN(Assumptions!$B$2/$B18)+(Assumptions!$B$3-Assumptions!$B$4+(AT$3/100)^2/2)*Assumptions!$B$9)/((AT$3/100)*Assumptions!$B$10))-(AT$3/100)*Assumptions!$B$10))))&lt;=0,"",(Assumptions!$B$2*EXP(-Assumptions!$B$4*Assumptions!$B$9)*NORMDIST(((LN(Assumptions!$B$2/$B18)+(Assumptions!$B$3-Assumptions!$B$4+(AT$3/100)^2/2)*Assumptions!$B$9)/((AT$3/100)*Assumptions!$B$10)),0,1,FALSE)*Assumptions!$B$10*0.01)*0.5/(MAX(0,Assumptions!$B$2*EXP(-Assumptions!$B$4*Assumptions!$B$9)*NORMSDIST(((LN(Assumptions!$B$2/$B18)+(Assumptions!$B$3-Assumptions!$B$4+(AT$3/100)^2/2)*Assumptions!$B$9)/((AT$3/100)*Assumptions!$B$10)))-$B18*EXP(-Assumptions!$B$3*Assumptions!$B$9)*NORMSDIST((((LN(Assumptions!$B$2/$B18)+(Assumptions!$B$3-Assumptions!$B$4+(AT$3/100)^2/2)*Assumptions!$B$9)/((AT$3/100)*Assumptions!$B$10))-(AT$3/100)*Assumptions!$B$10)))))</f>
        <v/>
      </c>
      <c r="AU39" s="56">
        <f>IF((MAX(0,Assumptions!$B$2*EXP(-Assumptions!$B$4*Assumptions!$B$9)*NORMSDIST(((LN(Assumptions!$B$2/$B18)+(Assumptions!$B$3-Assumptions!$B$4+(AU$3/100)^2/2)*Assumptions!$B$9)/((AU$3/100)*Assumptions!$B$10)))-$B18*EXP(-Assumptions!$B$3*Assumptions!$B$9)*NORMSDIST((((LN(Assumptions!$B$2/$B18)+(Assumptions!$B$3-Assumptions!$B$4+(AU$3/100)^2/2)*Assumptions!$B$9)/((AU$3/100)*Assumptions!$B$10))-(AU$3/100)*Assumptions!$B$10))))&lt;=0,"",(Assumptions!$B$2*EXP(-Assumptions!$B$4*Assumptions!$B$9)*NORMDIST(((LN(Assumptions!$B$2/$B18)+(Assumptions!$B$3-Assumptions!$B$4+(AU$3/100)^2/2)*Assumptions!$B$9)/((AU$3/100)*Assumptions!$B$10)),0,1,FALSE)*Assumptions!$B$10*0.01)*0.5/(MAX(0,Assumptions!$B$2*EXP(-Assumptions!$B$4*Assumptions!$B$9)*NORMSDIST(((LN(Assumptions!$B$2/$B18)+(Assumptions!$B$3-Assumptions!$B$4+(AU$3/100)^2/2)*Assumptions!$B$9)/((AU$3/100)*Assumptions!$B$10)))-$B18*EXP(-Assumptions!$B$3*Assumptions!$B$9)*NORMSDIST((((LN(Assumptions!$B$2/$B18)+(Assumptions!$B$3-Assumptions!$B$4+(AU$3/100)^2/2)*Assumptions!$B$9)/((AU$3/100)*Assumptions!$B$10))-(AU$3/100)*Assumptions!$B$10)))))</f>
        <v/>
      </c>
      <c r="AV39" s="56">
        <f>IF((MAX(0,Assumptions!$B$2*EXP(-Assumptions!$B$4*Assumptions!$B$9)*NORMSDIST(((LN(Assumptions!$B$2/$B18)+(Assumptions!$B$3-Assumptions!$B$4+(AV$3/100)^2/2)*Assumptions!$B$9)/((AV$3/100)*Assumptions!$B$10)))-$B18*EXP(-Assumptions!$B$3*Assumptions!$B$9)*NORMSDIST((((LN(Assumptions!$B$2/$B18)+(Assumptions!$B$3-Assumptions!$B$4+(AV$3/100)^2/2)*Assumptions!$B$9)/((AV$3/100)*Assumptions!$B$10))-(AV$3/100)*Assumptions!$B$10))))&lt;=0,"",(Assumptions!$B$2*EXP(-Assumptions!$B$4*Assumptions!$B$9)*NORMDIST(((LN(Assumptions!$B$2/$B18)+(Assumptions!$B$3-Assumptions!$B$4+(AV$3/100)^2/2)*Assumptions!$B$9)/((AV$3/100)*Assumptions!$B$10)),0,1,FALSE)*Assumptions!$B$10*0.01)*0.5/(MAX(0,Assumptions!$B$2*EXP(-Assumptions!$B$4*Assumptions!$B$9)*NORMSDIST(((LN(Assumptions!$B$2/$B18)+(Assumptions!$B$3-Assumptions!$B$4+(AV$3/100)^2/2)*Assumptions!$B$9)/((AV$3/100)*Assumptions!$B$10)))-$B18*EXP(-Assumptions!$B$3*Assumptions!$B$9)*NORMSDIST((((LN(Assumptions!$B$2/$B18)+(Assumptions!$B$3-Assumptions!$B$4+(AV$3/100)^2/2)*Assumptions!$B$9)/((AV$3/100)*Assumptions!$B$10))-(AV$3/100)*Assumptions!$B$10)))))</f>
        <v/>
      </c>
    </row>
    <row r="40">
      <c r="A40" s="27" t="inlineStr">
        <is>
          <t>+1.75%</t>
        </is>
      </c>
      <c r="B40" s="47">
        <f>'BS Engine'!$B$17</f>
        <v/>
      </c>
      <c r="C40" s="28">
        <f>'BS Engine'!$C$17</f>
        <v/>
      </c>
      <c r="D40" s="55">
        <f>IF((MAX(0,Assumptions!$B$2*EXP(-Assumptions!$B$4*Assumptions!$B$9)*NORMSDIST(((LN(Assumptions!$B$2/$B19)+(Assumptions!$B$3-Assumptions!$B$4+(D$3/100)^2/2)*Assumptions!$B$9)/((D$3/100)*Assumptions!$B$10)))-$B19*EXP(-Assumptions!$B$3*Assumptions!$B$9)*NORMSDIST((((LN(Assumptions!$B$2/$B19)+(Assumptions!$B$3-Assumptions!$B$4+(D$3/100)^2/2)*Assumptions!$B$9)/((D$3/100)*Assumptions!$B$10))-(D$3/100)*Assumptions!$B$10))))&lt;=0,"",(Assumptions!$B$2*EXP(-Assumptions!$B$4*Assumptions!$B$9)*NORMDIST(((LN(Assumptions!$B$2/$B19)+(Assumptions!$B$3-Assumptions!$B$4+(D$3/100)^2/2)*Assumptions!$B$9)/((D$3/100)*Assumptions!$B$10)),0,1,FALSE)*Assumptions!$B$10*0.01)*0.5/(MAX(0,Assumptions!$B$2*EXP(-Assumptions!$B$4*Assumptions!$B$9)*NORMSDIST(((LN(Assumptions!$B$2/$B19)+(Assumptions!$B$3-Assumptions!$B$4+(D$3/100)^2/2)*Assumptions!$B$9)/((D$3/100)*Assumptions!$B$10)))-$B19*EXP(-Assumptions!$B$3*Assumptions!$B$9)*NORMSDIST((((LN(Assumptions!$B$2/$B19)+(Assumptions!$B$3-Assumptions!$B$4+(D$3/100)^2/2)*Assumptions!$B$9)/((D$3/100)*Assumptions!$B$10))-(D$3/100)*Assumptions!$B$10)))))</f>
        <v/>
      </c>
      <c r="E40" s="56">
        <f>IF((MAX(0,Assumptions!$B$2*EXP(-Assumptions!$B$4*Assumptions!$B$9)*NORMSDIST(((LN(Assumptions!$B$2/$B19)+(Assumptions!$B$3-Assumptions!$B$4+(E$3/100)^2/2)*Assumptions!$B$9)/((E$3/100)*Assumptions!$B$10)))-$B19*EXP(-Assumptions!$B$3*Assumptions!$B$9)*NORMSDIST((((LN(Assumptions!$B$2/$B19)+(Assumptions!$B$3-Assumptions!$B$4+(E$3/100)^2/2)*Assumptions!$B$9)/((E$3/100)*Assumptions!$B$10))-(E$3/100)*Assumptions!$B$10))))&lt;=0,"",(Assumptions!$B$2*EXP(-Assumptions!$B$4*Assumptions!$B$9)*NORMDIST(((LN(Assumptions!$B$2/$B19)+(Assumptions!$B$3-Assumptions!$B$4+(E$3/100)^2/2)*Assumptions!$B$9)/((E$3/100)*Assumptions!$B$10)),0,1,FALSE)*Assumptions!$B$10*0.01)*0.5/(MAX(0,Assumptions!$B$2*EXP(-Assumptions!$B$4*Assumptions!$B$9)*NORMSDIST(((LN(Assumptions!$B$2/$B19)+(Assumptions!$B$3-Assumptions!$B$4+(E$3/100)^2/2)*Assumptions!$B$9)/((E$3/100)*Assumptions!$B$10)))-$B19*EXP(-Assumptions!$B$3*Assumptions!$B$9)*NORMSDIST((((LN(Assumptions!$B$2/$B19)+(Assumptions!$B$3-Assumptions!$B$4+(E$3/100)^2/2)*Assumptions!$B$9)/((E$3/100)*Assumptions!$B$10))-(E$3/100)*Assumptions!$B$10)))))</f>
        <v/>
      </c>
      <c r="F40" s="56">
        <f>IF((MAX(0,Assumptions!$B$2*EXP(-Assumptions!$B$4*Assumptions!$B$9)*NORMSDIST(((LN(Assumptions!$B$2/$B19)+(Assumptions!$B$3-Assumptions!$B$4+(F$3/100)^2/2)*Assumptions!$B$9)/((F$3/100)*Assumptions!$B$10)))-$B19*EXP(-Assumptions!$B$3*Assumptions!$B$9)*NORMSDIST((((LN(Assumptions!$B$2/$B19)+(Assumptions!$B$3-Assumptions!$B$4+(F$3/100)^2/2)*Assumptions!$B$9)/((F$3/100)*Assumptions!$B$10))-(F$3/100)*Assumptions!$B$10))))&lt;=0,"",(Assumptions!$B$2*EXP(-Assumptions!$B$4*Assumptions!$B$9)*NORMDIST(((LN(Assumptions!$B$2/$B19)+(Assumptions!$B$3-Assumptions!$B$4+(F$3/100)^2/2)*Assumptions!$B$9)/((F$3/100)*Assumptions!$B$10)),0,1,FALSE)*Assumptions!$B$10*0.01)*0.5/(MAX(0,Assumptions!$B$2*EXP(-Assumptions!$B$4*Assumptions!$B$9)*NORMSDIST(((LN(Assumptions!$B$2/$B19)+(Assumptions!$B$3-Assumptions!$B$4+(F$3/100)^2/2)*Assumptions!$B$9)/((F$3/100)*Assumptions!$B$10)))-$B19*EXP(-Assumptions!$B$3*Assumptions!$B$9)*NORMSDIST((((LN(Assumptions!$B$2/$B19)+(Assumptions!$B$3-Assumptions!$B$4+(F$3/100)^2/2)*Assumptions!$B$9)/((F$3/100)*Assumptions!$B$10))-(F$3/100)*Assumptions!$B$10)))))</f>
        <v/>
      </c>
      <c r="G40" s="56">
        <f>IF((MAX(0,Assumptions!$B$2*EXP(-Assumptions!$B$4*Assumptions!$B$9)*NORMSDIST(((LN(Assumptions!$B$2/$B19)+(Assumptions!$B$3-Assumptions!$B$4+(G$3/100)^2/2)*Assumptions!$B$9)/((G$3/100)*Assumptions!$B$10)))-$B19*EXP(-Assumptions!$B$3*Assumptions!$B$9)*NORMSDIST((((LN(Assumptions!$B$2/$B19)+(Assumptions!$B$3-Assumptions!$B$4+(G$3/100)^2/2)*Assumptions!$B$9)/((G$3/100)*Assumptions!$B$10))-(G$3/100)*Assumptions!$B$10))))&lt;=0,"",(Assumptions!$B$2*EXP(-Assumptions!$B$4*Assumptions!$B$9)*NORMDIST(((LN(Assumptions!$B$2/$B19)+(Assumptions!$B$3-Assumptions!$B$4+(G$3/100)^2/2)*Assumptions!$B$9)/((G$3/100)*Assumptions!$B$10)),0,1,FALSE)*Assumptions!$B$10*0.01)*0.5/(MAX(0,Assumptions!$B$2*EXP(-Assumptions!$B$4*Assumptions!$B$9)*NORMSDIST(((LN(Assumptions!$B$2/$B19)+(Assumptions!$B$3-Assumptions!$B$4+(G$3/100)^2/2)*Assumptions!$B$9)/((G$3/100)*Assumptions!$B$10)))-$B19*EXP(-Assumptions!$B$3*Assumptions!$B$9)*NORMSDIST((((LN(Assumptions!$B$2/$B19)+(Assumptions!$B$3-Assumptions!$B$4+(G$3/100)^2/2)*Assumptions!$B$9)/((G$3/100)*Assumptions!$B$10))-(G$3/100)*Assumptions!$B$10)))))</f>
        <v/>
      </c>
      <c r="H40" s="56">
        <f>IF((MAX(0,Assumptions!$B$2*EXP(-Assumptions!$B$4*Assumptions!$B$9)*NORMSDIST(((LN(Assumptions!$B$2/$B19)+(Assumptions!$B$3-Assumptions!$B$4+(H$3/100)^2/2)*Assumptions!$B$9)/((H$3/100)*Assumptions!$B$10)))-$B19*EXP(-Assumptions!$B$3*Assumptions!$B$9)*NORMSDIST((((LN(Assumptions!$B$2/$B19)+(Assumptions!$B$3-Assumptions!$B$4+(H$3/100)^2/2)*Assumptions!$B$9)/((H$3/100)*Assumptions!$B$10))-(H$3/100)*Assumptions!$B$10))))&lt;=0,"",(Assumptions!$B$2*EXP(-Assumptions!$B$4*Assumptions!$B$9)*NORMDIST(((LN(Assumptions!$B$2/$B19)+(Assumptions!$B$3-Assumptions!$B$4+(H$3/100)^2/2)*Assumptions!$B$9)/((H$3/100)*Assumptions!$B$10)),0,1,FALSE)*Assumptions!$B$10*0.01)*0.5/(MAX(0,Assumptions!$B$2*EXP(-Assumptions!$B$4*Assumptions!$B$9)*NORMSDIST(((LN(Assumptions!$B$2/$B19)+(Assumptions!$B$3-Assumptions!$B$4+(H$3/100)^2/2)*Assumptions!$B$9)/((H$3/100)*Assumptions!$B$10)))-$B19*EXP(-Assumptions!$B$3*Assumptions!$B$9)*NORMSDIST((((LN(Assumptions!$B$2/$B19)+(Assumptions!$B$3-Assumptions!$B$4+(H$3/100)^2/2)*Assumptions!$B$9)/((H$3/100)*Assumptions!$B$10))-(H$3/100)*Assumptions!$B$10)))))</f>
        <v/>
      </c>
      <c r="I40" s="56">
        <f>IF((MAX(0,Assumptions!$B$2*EXP(-Assumptions!$B$4*Assumptions!$B$9)*NORMSDIST(((LN(Assumptions!$B$2/$B19)+(Assumptions!$B$3-Assumptions!$B$4+(I$3/100)^2/2)*Assumptions!$B$9)/((I$3/100)*Assumptions!$B$10)))-$B19*EXP(-Assumptions!$B$3*Assumptions!$B$9)*NORMSDIST((((LN(Assumptions!$B$2/$B19)+(Assumptions!$B$3-Assumptions!$B$4+(I$3/100)^2/2)*Assumptions!$B$9)/((I$3/100)*Assumptions!$B$10))-(I$3/100)*Assumptions!$B$10))))&lt;=0,"",(Assumptions!$B$2*EXP(-Assumptions!$B$4*Assumptions!$B$9)*NORMDIST(((LN(Assumptions!$B$2/$B19)+(Assumptions!$B$3-Assumptions!$B$4+(I$3/100)^2/2)*Assumptions!$B$9)/((I$3/100)*Assumptions!$B$10)),0,1,FALSE)*Assumptions!$B$10*0.01)*0.5/(MAX(0,Assumptions!$B$2*EXP(-Assumptions!$B$4*Assumptions!$B$9)*NORMSDIST(((LN(Assumptions!$B$2/$B19)+(Assumptions!$B$3-Assumptions!$B$4+(I$3/100)^2/2)*Assumptions!$B$9)/((I$3/100)*Assumptions!$B$10)))-$B19*EXP(-Assumptions!$B$3*Assumptions!$B$9)*NORMSDIST((((LN(Assumptions!$B$2/$B19)+(Assumptions!$B$3-Assumptions!$B$4+(I$3/100)^2/2)*Assumptions!$B$9)/((I$3/100)*Assumptions!$B$10))-(I$3/100)*Assumptions!$B$10)))))</f>
        <v/>
      </c>
      <c r="J40" s="56">
        <f>IF((MAX(0,Assumptions!$B$2*EXP(-Assumptions!$B$4*Assumptions!$B$9)*NORMSDIST(((LN(Assumptions!$B$2/$B19)+(Assumptions!$B$3-Assumptions!$B$4+(J$3/100)^2/2)*Assumptions!$B$9)/((J$3/100)*Assumptions!$B$10)))-$B19*EXP(-Assumptions!$B$3*Assumptions!$B$9)*NORMSDIST((((LN(Assumptions!$B$2/$B19)+(Assumptions!$B$3-Assumptions!$B$4+(J$3/100)^2/2)*Assumptions!$B$9)/((J$3/100)*Assumptions!$B$10))-(J$3/100)*Assumptions!$B$10))))&lt;=0,"",(Assumptions!$B$2*EXP(-Assumptions!$B$4*Assumptions!$B$9)*NORMDIST(((LN(Assumptions!$B$2/$B19)+(Assumptions!$B$3-Assumptions!$B$4+(J$3/100)^2/2)*Assumptions!$B$9)/((J$3/100)*Assumptions!$B$10)),0,1,FALSE)*Assumptions!$B$10*0.01)*0.5/(MAX(0,Assumptions!$B$2*EXP(-Assumptions!$B$4*Assumptions!$B$9)*NORMSDIST(((LN(Assumptions!$B$2/$B19)+(Assumptions!$B$3-Assumptions!$B$4+(J$3/100)^2/2)*Assumptions!$B$9)/((J$3/100)*Assumptions!$B$10)))-$B19*EXP(-Assumptions!$B$3*Assumptions!$B$9)*NORMSDIST((((LN(Assumptions!$B$2/$B19)+(Assumptions!$B$3-Assumptions!$B$4+(J$3/100)^2/2)*Assumptions!$B$9)/((J$3/100)*Assumptions!$B$10))-(J$3/100)*Assumptions!$B$10)))))</f>
        <v/>
      </c>
      <c r="K40" s="56">
        <f>IF((MAX(0,Assumptions!$B$2*EXP(-Assumptions!$B$4*Assumptions!$B$9)*NORMSDIST(((LN(Assumptions!$B$2/$B19)+(Assumptions!$B$3-Assumptions!$B$4+(K$3/100)^2/2)*Assumptions!$B$9)/((K$3/100)*Assumptions!$B$10)))-$B19*EXP(-Assumptions!$B$3*Assumptions!$B$9)*NORMSDIST((((LN(Assumptions!$B$2/$B19)+(Assumptions!$B$3-Assumptions!$B$4+(K$3/100)^2/2)*Assumptions!$B$9)/((K$3/100)*Assumptions!$B$10))-(K$3/100)*Assumptions!$B$10))))&lt;=0,"",(Assumptions!$B$2*EXP(-Assumptions!$B$4*Assumptions!$B$9)*NORMDIST(((LN(Assumptions!$B$2/$B19)+(Assumptions!$B$3-Assumptions!$B$4+(K$3/100)^2/2)*Assumptions!$B$9)/((K$3/100)*Assumptions!$B$10)),0,1,FALSE)*Assumptions!$B$10*0.01)*0.5/(MAX(0,Assumptions!$B$2*EXP(-Assumptions!$B$4*Assumptions!$B$9)*NORMSDIST(((LN(Assumptions!$B$2/$B19)+(Assumptions!$B$3-Assumptions!$B$4+(K$3/100)^2/2)*Assumptions!$B$9)/((K$3/100)*Assumptions!$B$10)))-$B19*EXP(-Assumptions!$B$3*Assumptions!$B$9)*NORMSDIST((((LN(Assumptions!$B$2/$B19)+(Assumptions!$B$3-Assumptions!$B$4+(K$3/100)^2/2)*Assumptions!$B$9)/((K$3/100)*Assumptions!$B$10))-(K$3/100)*Assumptions!$B$10)))))</f>
        <v/>
      </c>
      <c r="L40" s="56">
        <f>IF((MAX(0,Assumptions!$B$2*EXP(-Assumptions!$B$4*Assumptions!$B$9)*NORMSDIST(((LN(Assumptions!$B$2/$B19)+(Assumptions!$B$3-Assumptions!$B$4+(L$3/100)^2/2)*Assumptions!$B$9)/((L$3/100)*Assumptions!$B$10)))-$B19*EXP(-Assumptions!$B$3*Assumptions!$B$9)*NORMSDIST((((LN(Assumptions!$B$2/$B19)+(Assumptions!$B$3-Assumptions!$B$4+(L$3/100)^2/2)*Assumptions!$B$9)/((L$3/100)*Assumptions!$B$10))-(L$3/100)*Assumptions!$B$10))))&lt;=0,"",(Assumptions!$B$2*EXP(-Assumptions!$B$4*Assumptions!$B$9)*NORMDIST(((LN(Assumptions!$B$2/$B19)+(Assumptions!$B$3-Assumptions!$B$4+(L$3/100)^2/2)*Assumptions!$B$9)/((L$3/100)*Assumptions!$B$10)),0,1,FALSE)*Assumptions!$B$10*0.01)*0.5/(MAX(0,Assumptions!$B$2*EXP(-Assumptions!$B$4*Assumptions!$B$9)*NORMSDIST(((LN(Assumptions!$B$2/$B19)+(Assumptions!$B$3-Assumptions!$B$4+(L$3/100)^2/2)*Assumptions!$B$9)/((L$3/100)*Assumptions!$B$10)))-$B19*EXP(-Assumptions!$B$3*Assumptions!$B$9)*NORMSDIST((((LN(Assumptions!$B$2/$B19)+(Assumptions!$B$3-Assumptions!$B$4+(L$3/100)^2/2)*Assumptions!$B$9)/((L$3/100)*Assumptions!$B$10))-(L$3/100)*Assumptions!$B$10)))))</f>
        <v/>
      </c>
      <c r="M40" s="56">
        <f>IF((MAX(0,Assumptions!$B$2*EXP(-Assumptions!$B$4*Assumptions!$B$9)*NORMSDIST(((LN(Assumptions!$B$2/$B19)+(Assumptions!$B$3-Assumptions!$B$4+(M$3/100)^2/2)*Assumptions!$B$9)/((M$3/100)*Assumptions!$B$10)))-$B19*EXP(-Assumptions!$B$3*Assumptions!$B$9)*NORMSDIST((((LN(Assumptions!$B$2/$B19)+(Assumptions!$B$3-Assumptions!$B$4+(M$3/100)^2/2)*Assumptions!$B$9)/((M$3/100)*Assumptions!$B$10))-(M$3/100)*Assumptions!$B$10))))&lt;=0,"",(Assumptions!$B$2*EXP(-Assumptions!$B$4*Assumptions!$B$9)*NORMDIST(((LN(Assumptions!$B$2/$B19)+(Assumptions!$B$3-Assumptions!$B$4+(M$3/100)^2/2)*Assumptions!$B$9)/((M$3/100)*Assumptions!$B$10)),0,1,FALSE)*Assumptions!$B$10*0.01)*0.5/(MAX(0,Assumptions!$B$2*EXP(-Assumptions!$B$4*Assumptions!$B$9)*NORMSDIST(((LN(Assumptions!$B$2/$B19)+(Assumptions!$B$3-Assumptions!$B$4+(M$3/100)^2/2)*Assumptions!$B$9)/((M$3/100)*Assumptions!$B$10)))-$B19*EXP(-Assumptions!$B$3*Assumptions!$B$9)*NORMSDIST((((LN(Assumptions!$B$2/$B19)+(Assumptions!$B$3-Assumptions!$B$4+(M$3/100)^2/2)*Assumptions!$B$9)/((M$3/100)*Assumptions!$B$10))-(M$3/100)*Assumptions!$B$10)))))</f>
        <v/>
      </c>
      <c r="N40" s="56">
        <f>IF((MAX(0,Assumptions!$B$2*EXP(-Assumptions!$B$4*Assumptions!$B$9)*NORMSDIST(((LN(Assumptions!$B$2/$B19)+(Assumptions!$B$3-Assumptions!$B$4+(N$3/100)^2/2)*Assumptions!$B$9)/((N$3/100)*Assumptions!$B$10)))-$B19*EXP(-Assumptions!$B$3*Assumptions!$B$9)*NORMSDIST((((LN(Assumptions!$B$2/$B19)+(Assumptions!$B$3-Assumptions!$B$4+(N$3/100)^2/2)*Assumptions!$B$9)/((N$3/100)*Assumptions!$B$10))-(N$3/100)*Assumptions!$B$10))))&lt;=0,"",(Assumptions!$B$2*EXP(-Assumptions!$B$4*Assumptions!$B$9)*NORMDIST(((LN(Assumptions!$B$2/$B19)+(Assumptions!$B$3-Assumptions!$B$4+(N$3/100)^2/2)*Assumptions!$B$9)/((N$3/100)*Assumptions!$B$10)),0,1,FALSE)*Assumptions!$B$10*0.01)*0.5/(MAX(0,Assumptions!$B$2*EXP(-Assumptions!$B$4*Assumptions!$B$9)*NORMSDIST(((LN(Assumptions!$B$2/$B19)+(Assumptions!$B$3-Assumptions!$B$4+(N$3/100)^2/2)*Assumptions!$B$9)/((N$3/100)*Assumptions!$B$10)))-$B19*EXP(-Assumptions!$B$3*Assumptions!$B$9)*NORMSDIST((((LN(Assumptions!$B$2/$B19)+(Assumptions!$B$3-Assumptions!$B$4+(N$3/100)^2/2)*Assumptions!$B$9)/((N$3/100)*Assumptions!$B$10))-(N$3/100)*Assumptions!$B$10)))))</f>
        <v/>
      </c>
      <c r="O40" s="56">
        <f>IF((MAX(0,Assumptions!$B$2*EXP(-Assumptions!$B$4*Assumptions!$B$9)*NORMSDIST(((LN(Assumptions!$B$2/$B19)+(Assumptions!$B$3-Assumptions!$B$4+(O$3/100)^2/2)*Assumptions!$B$9)/((O$3/100)*Assumptions!$B$10)))-$B19*EXP(-Assumptions!$B$3*Assumptions!$B$9)*NORMSDIST((((LN(Assumptions!$B$2/$B19)+(Assumptions!$B$3-Assumptions!$B$4+(O$3/100)^2/2)*Assumptions!$B$9)/((O$3/100)*Assumptions!$B$10))-(O$3/100)*Assumptions!$B$10))))&lt;=0,"",(Assumptions!$B$2*EXP(-Assumptions!$B$4*Assumptions!$B$9)*NORMDIST(((LN(Assumptions!$B$2/$B19)+(Assumptions!$B$3-Assumptions!$B$4+(O$3/100)^2/2)*Assumptions!$B$9)/((O$3/100)*Assumptions!$B$10)),0,1,FALSE)*Assumptions!$B$10*0.01)*0.5/(MAX(0,Assumptions!$B$2*EXP(-Assumptions!$B$4*Assumptions!$B$9)*NORMSDIST(((LN(Assumptions!$B$2/$B19)+(Assumptions!$B$3-Assumptions!$B$4+(O$3/100)^2/2)*Assumptions!$B$9)/((O$3/100)*Assumptions!$B$10)))-$B19*EXP(-Assumptions!$B$3*Assumptions!$B$9)*NORMSDIST((((LN(Assumptions!$B$2/$B19)+(Assumptions!$B$3-Assumptions!$B$4+(O$3/100)^2/2)*Assumptions!$B$9)/((O$3/100)*Assumptions!$B$10))-(O$3/100)*Assumptions!$B$10)))))</f>
        <v/>
      </c>
      <c r="P40" s="56">
        <f>IF((MAX(0,Assumptions!$B$2*EXP(-Assumptions!$B$4*Assumptions!$B$9)*NORMSDIST(((LN(Assumptions!$B$2/$B19)+(Assumptions!$B$3-Assumptions!$B$4+(P$3/100)^2/2)*Assumptions!$B$9)/((P$3/100)*Assumptions!$B$10)))-$B19*EXP(-Assumptions!$B$3*Assumptions!$B$9)*NORMSDIST((((LN(Assumptions!$B$2/$B19)+(Assumptions!$B$3-Assumptions!$B$4+(P$3/100)^2/2)*Assumptions!$B$9)/((P$3/100)*Assumptions!$B$10))-(P$3/100)*Assumptions!$B$10))))&lt;=0,"",(Assumptions!$B$2*EXP(-Assumptions!$B$4*Assumptions!$B$9)*NORMDIST(((LN(Assumptions!$B$2/$B19)+(Assumptions!$B$3-Assumptions!$B$4+(P$3/100)^2/2)*Assumptions!$B$9)/((P$3/100)*Assumptions!$B$10)),0,1,FALSE)*Assumptions!$B$10*0.01)*0.5/(MAX(0,Assumptions!$B$2*EXP(-Assumptions!$B$4*Assumptions!$B$9)*NORMSDIST(((LN(Assumptions!$B$2/$B19)+(Assumptions!$B$3-Assumptions!$B$4+(P$3/100)^2/2)*Assumptions!$B$9)/((P$3/100)*Assumptions!$B$10)))-$B19*EXP(-Assumptions!$B$3*Assumptions!$B$9)*NORMSDIST((((LN(Assumptions!$B$2/$B19)+(Assumptions!$B$3-Assumptions!$B$4+(P$3/100)^2/2)*Assumptions!$B$9)/((P$3/100)*Assumptions!$B$10))-(P$3/100)*Assumptions!$B$10)))))</f>
        <v/>
      </c>
      <c r="Q40" s="56">
        <f>IF((MAX(0,Assumptions!$B$2*EXP(-Assumptions!$B$4*Assumptions!$B$9)*NORMSDIST(((LN(Assumptions!$B$2/$B19)+(Assumptions!$B$3-Assumptions!$B$4+(Q$3/100)^2/2)*Assumptions!$B$9)/((Q$3/100)*Assumptions!$B$10)))-$B19*EXP(-Assumptions!$B$3*Assumptions!$B$9)*NORMSDIST((((LN(Assumptions!$B$2/$B19)+(Assumptions!$B$3-Assumptions!$B$4+(Q$3/100)^2/2)*Assumptions!$B$9)/((Q$3/100)*Assumptions!$B$10))-(Q$3/100)*Assumptions!$B$10))))&lt;=0,"",(Assumptions!$B$2*EXP(-Assumptions!$B$4*Assumptions!$B$9)*NORMDIST(((LN(Assumptions!$B$2/$B19)+(Assumptions!$B$3-Assumptions!$B$4+(Q$3/100)^2/2)*Assumptions!$B$9)/((Q$3/100)*Assumptions!$B$10)),0,1,FALSE)*Assumptions!$B$10*0.01)*0.5/(MAX(0,Assumptions!$B$2*EXP(-Assumptions!$B$4*Assumptions!$B$9)*NORMSDIST(((LN(Assumptions!$B$2/$B19)+(Assumptions!$B$3-Assumptions!$B$4+(Q$3/100)^2/2)*Assumptions!$B$9)/((Q$3/100)*Assumptions!$B$10)))-$B19*EXP(-Assumptions!$B$3*Assumptions!$B$9)*NORMSDIST((((LN(Assumptions!$B$2/$B19)+(Assumptions!$B$3-Assumptions!$B$4+(Q$3/100)^2/2)*Assumptions!$B$9)/((Q$3/100)*Assumptions!$B$10))-(Q$3/100)*Assumptions!$B$10)))))</f>
        <v/>
      </c>
      <c r="R40" s="56">
        <f>IF((MAX(0,Assumptions!$B$2*EXP(-Assumptions!$B$4*Assumptions!$B$9)*NORMSDIST(((LN(Assumptions!$B$2/$B19)+(Assumptions!$B$3-Assumptions!$B$4+(R$3/100)^2/2)*Assumptions!$B$9)/((R$3/100)*Assumptions!$B$10)))-$B19*EXP(-Assumptions!$B$3*Assumptions!$B$9)*NORMSDIST((((LN(Assumptions!$B$2/$B19)+(Assumptions!$B$3-Assumptions!$B$4+(R$3/100)^2/2)*Assumptions!$B$9)/((R$3/100)*Assumptions!$B$10))-(R$3/100)*Assumptions!$B$10))))&lt;=0,"",(Assumptions!$B$2*EXP(-Assumptions!$B$4*Assumptions!$B$9)*NORMDIST(((LN(Assumptions!$B$2/$B19)+(Assumptions!$B$3-Assumptions!$B$4+(R$3/100)^2/2)*Assumptions!$B$9)/((R$3/100)*Assumptions!$B$10)),0,1,FALSE)*Assumptions!$B$10*0.01)*0.5/(MAX(0,Assumptions!$B$2*EXP(-Assumptions!$B$4*Assumptions!$B$9)*NORMSDIST(((LN(Assumptions!$B$2/$B19)+(Assumptions!$B$3-Assumptions!$B$4+(R$3/100)^2/2)*Assumptions!$B$9)/((R$3/100)*Assumptions!$B$10)))-$B19*EXP(-Assumptions!$B$3*Assumptions!$B$9)*NORMSDIST((((LN(Assumptions!$B$2/$B19)+(Assumptions!$B$3-Assumptions!$B$4+(R$3/100)^2/2)*Assumptions!$B$9)/((R$3/100)*Assumptions!$B$10))-(R$3/100)*Assumptions!$B$10)))))</f>
        <v/>
      </c>
      <c r="S40" s="56">
        <f>IF((MAX(0,Assumptions!$B$2*EXP(-Assumptions!$B$4*Assumptions!$B$9)*NORMSDIST(((LN(Assumptions!$B$2/$B19)+(Assumptions!$B$3-Assumptions!$B$4+(S$3/100)^2/2)*Assumptions!$B$9)/((S$3/100)*Assumptions!$B$10)))-$B19*EXP(-Assumptions!$B$3*Assumptions!$B$9)*NORMSDIST((((LN(Assumptions!$B$2/$B19)+(Assumptions!$B$3-Assumptions!$B$4+(S$3/100)^2/2)*Assumptions!$B$9)/((S$3/100)*Assumptions!$B$10))-(S$3/100)*Assumptions!$B$10))))&lt;=0,"",(Assumptions!$B$2*EXP(-Assumptions!$B$4*Assumptions!$B$9)*NORMDIST(((LN(Assumptions!$B$2/$B19)+(Assumptions!$B$3-Assumptions!$B$4+(S$3/100)^2/2)*Assumptions!$B$9)/((S$3/100)*Assumptions!$B$10)),0,1,FALSE)*Assumptions!$B$10*0.01)*0.5/(MAX(0,Assumptions!$B$2*EXP(-Assumptions!$B$4*Assumptions!$B$9)*NORMSDIST(((LN(Assumptions!$B$2/$B19)+(Assumptions!$B$3-Assumptions!$B$4+(S$3/100)^2/2)*Assumptions!$B$9)/((S$3/100)*Assumptions!$B$10)))-$B19*EXP(-Assumptions!$B$3*Assumptions!$B$9)*NORMSDIST((((LN(Assumptions!$B$2/$B19)+(Assumptions!$B$3-Assumptions!$B$4+(S$3/100)^2/2)*Assumptions!$B$9)/((S$3/100)*Assumptions!$B$10))-(S$3/100)*Assumptions!$B$10)))))</f>
        <v/>
      </c>
      <c r="T40" s="56">
        <f>IF((MAX(0,Assumptions!$B$2*EXP(-Assumptions!$B$4*Assumptions!$B$9)*NORMSDIST(((LN(Assumptions!$B$2/$B19)+(Assumptions!$B$3-Assumptions!$B$4+(T$3/100)^2/2)*Assumptions!$B$9)/((T$3/100)*Assumptions!$B$10)))-$B19*EXP(-Assumptions!$B$3*Assumptions!$B$9)*NORMSDIST((((LN(Assumptions!$B$2/$B19)+(Assumptions!$B$3-Assumptions!$B$4+(T$3/100)^2/2)*Assumptions!$B$9)/((T$3/100)*Assumptions!$B$10))-(T$3/100)*Assumptions!$B$10))))&lt;=0,"",(Assumptions!$B$2*EXP(-Assumptions!$B$4*Assumptions!$B$9)*NORMDIST(((LN(Assumptions!$B$2/$B19)+(Assumptions!$B$3-Assumptions!$B$4+(T$3/100)^2/2)*Assumptions!$B$9)/((T$3/100)*Assumptions!$B$10)),0,1,FALSE)*Assumptions!$B$10*0.01)*0.5/(MAX(0,Assumptions!$B$2*EXP(-Assumptions!$B$4*Assumptions!$B$9)*NORMSDIST(((LN(Assumptions!$B$2/$B19)+(Assumptions!$B$3-Assumptions!$B$4+(T$3/100)^2/2)*Assumptions!$B$9)/((T$3/100)*Assumptions!$B$10)))-$B19*EXP(-Assumptions!$B$3*Assumptions!$B$9)*NORMSDIST((((LN(Assumptions!$B$2/$B19)+(Assumptions!$B$3-Assumptions!$B$4+(T$3/100)^2/2)*Assumptions!$B$9)/((T$3/100)*Assumptions!$B$10))-(T$3/100)*Assumptions!$B$10)))))</f>
        <v/>
      </c>
      <c r="U40" s="56">
        <f>IF((MAX(0,Assumptions!$B$2*EXP(-Assumptions!$B$4*Assumptions!$B$9)*NORMSDIST(((LN(Assumptions!$B$2/$B19)+(Assumptions!$B$3-Assumptions!$B$4+(U$3/100)^2/2)*Assumptions!$B$9)/((U$3/100)*Assumptions!$B$10)))-$B19*EXP(-Assumptions!$B$3*Assumptions!$B$9)*NORMSDIST((((LN(Assumptions!$B$2/$B19)+(Assumptions!$B$3-Assumptions!$B$4+(U$3/100)^2/2)*Assumptions!$B$9)/((U$3/100)*Assumptions!$B$10))-(U$3/100)*Assumptions!$B$10))))&lt;=0,"",(Assumptions!$B$2*EXP(-Assumptions!$B$4*Assumptions!$B$9)*NORMDIST(((LN(Assumptions!$B$2/$B19)+(Assumptions!$B$3-Assumptions!$B$4+(U$3/100)^2/2)*Assumptions!$B$9)/((U$3/100)*Assumptions!$B$10)),0,1,FALSE)*Assumptions!$B$10*0.01)*0.5/(MAX(0,Assumptions!$B$2*EXP(-Assumptions!$B$4*Assumptions!$B$9)*NORMSDIST(((LN(Assumptions!$B$2/$B19)+(Assumptions!$B$3-Assumptions!$B$4+(U$3/100)^2/2)*Assumptions!$B$9)/((U$3/100)*Assumptions!$B$10)))-$B19*EXP(-Assumptions!$B$3*Assumptions!$B$9)*NORMSDIST((((LN(Assumptions!$B$2/$B19)+(Assumptions!$B$3-Assumptions!$B$4+(U$3/100)^2/2)*Assumptions!$B$9)/((U$3/100)*Assumptions!$B$10))-(U$3/100)*Assumptions!$B$10)))))</f>
        <v/>
      </c>
      <c r="V40" s="56">
        <f>IF((MAX(0,Assumptions!$B$2*EXP(-Assumptions!$B$4*Assumptions!$B$9)*NORMSDIST(((LN(Assumptions!$B$2/$B19)+(Assumptions!$B$3-Assumptions!$B$4+(V$3/100)^2/2)*Assumptions!$B$9)/((V$3/100)*Assumptions!$B$10)))-$B19*EXP(-Assumptions!$B$3*Assumptions!$B$9)*NORMSDIST((((LN(Assumptions!$B$2/$B19)+(Assumptions!$B$3-Assumptions!$B$4+(V$3/100)^2/2)*Assumptions!$B$9)/((V$3/100)*Assumptions!$B$10))-(V$3/100)*Assumptions!$B$10))))&lt;=0,"",(Assumptions!$B$2*EXP(-Assumptions!$B$4*Assumptions!$B$9)*NORMDIST(((LN(Assumptions!$B$2/$B19)+(Assumptions!$B$3-Assumptions!$B$4+(V$3/100)^2/2)*Assumptions!$B$9)/((V$3/100)*Assumptions!$B$10)),0,1,FALSE)*Assumptions!$B$10*0.01)*0.5/(MAX(0,Assumptions!$B$2*EXP(-Assumptions!$B$4*Assumptions!$B$9)*NORMSDIST(((LN(Assumptions!$B$2/$B19)+(Assumptions!$B$3-Assumptions!$B$4+(V$3/100)^2/2)*Assumptions!$B$9)/((V$3/100)*Assumptions!$B$10)))-$B19*EXP(-Assumptions!$B$3*Assumptions!$B$9)*NORMSDIST((((LN(Assumptions!$B$2/$B19)+(Assumptions!$B$3-Assumptions!$B$4+(V$3/100)^2/2)*Assumptions!$B$9)/((V$3/100)*Assumptions!$B$10))-(V$3/100)*Assumptions!$B$10)))))</f>
        <v/>
      </c>
      <c r="W40" s="56">
        <f>IF((MAX(0,Assumptions!$B$2*EXP(-Assumptions!$B$4*Assumptions!$B$9)*NORMSDIST(((LN(Assumptions!$B$2/$B19)+(Assumptions!$B$3-Assumptions!$B$4+(W$3/100)^2/2)*Assumptions!$B$9)/((W$3/100)*Assumptions!$B$10)))-$B19*EXP(-Assumptions!$B$3*Assumptions!$B$9)*NORMSDIST((((LN(Assumptions!$B$2/$B19)+(Assumptions!$B$3-Assumptions!$B$4+(W$3/100)^2/2)*Assumptions!$B$9)/((W$3/100)*Assumptions!$B$10))-(W$3/100)*Assumptions!$B$10))))&lt;=0,"",(Assumptions!$B$2*EXP(-Assumptions!$B$4*Assumptions!$B$9)*NORMDIST(((LN(Assumptions!$B$2/$B19)+(Assumptions!$B$3-Assumptions!$B$4+(W$3/100)^2/2)*Assumptions!$B$9)/((W$3/100)*Assumptions!$B$10)),0,1,FALSE)*Assumptions!$B$10*0.01)*0.5/(MAX(0,Assumptions!$B$2*EXP(-Assumptions!$B$4*Assumptions!$B$9)*NORMSDIST(((LN(Assumptions!$B$2/$B19)+(Assumptions!$B$3-Assumptions!$B$4+(W$3/100)^2/2)*Assumptions!$B$9)/((W$3/100)*Assumptions!$B$10)))-$B19*EXP(-Assumptions!$B$3*Assumptions!$B$9)*NORMSDIST((((LN(Assumptions!$B$2/$B19)+(Assumptions!$B$3-Assumptions!$B$4+(W$3/100)^2/2)*Assumptions!$B$9)/((W$3/100)*Assumptions!$B$10))-(W$3/100)*Assumptions!$B$10)))))</f>
        <v/>
      </c>
      <c r="X40" s="56">
        <f>IF((MAX(0,Assumptions!$B$2*EXP(-Assumptions!$B$4*Assumptions!$B$9)*NORMSDIST(((LN(Assumptions!$B$2/$B19)+(Assumptions!$B$3-Assumptions!$B$4+(X$3/100)^2/2)*Assumptions!$B$9)/((X$3/100)*Assumptions!$B$10)))-$B19*EXP(-Assumptions!$B$3*Assumptions!$B$9)*NORMSDIST((((LN(Assumptions!$B$2/$B19)+(Assumptions!$B$3-Assumptions!$B$4+(X$3/100)^2/2)*Assumptions!$B$9)/((X$3/100)*Assumptions!$B$10))-(X$3/100)*Assumptions!$B$10))))&lt;=0,"",(Assumptions!$B$2*EXP(-Assumptions!$B$4*Assumptions!$B$9)*NORMDIST(((LN(Assumptions!$B$2/$B19)+(Assumptions!$B$3-Assumptions!$B$4+(X$3/100)^2/2)*Assumptions!$B$9)/((X$3/100)*Assumptions!$B$10)),0,1,FALSE)*Assumptions!$B$10*0.01)*0.5/(MAX(0,Assumptions!$B$2*EXP(-Assumptions!$B$4*Assumptions!$B$9)*NORMSDIST(((LN(Assumptions!$B$2/$B19)+(Assumptions!$B$3-Assumptions!$B$4+(X$3/100)^2/2)*Assumptions!$B$9)/((X$3/100)*Assumptions!$B$10)))-$B19*EXP(-Assumptions!$B$3*Assumptions!$B$9)*NORMSDIST((((LN(Assumptions!$B$2/$B19)+(Assumptions!$B$3-Assumptions!$B$4+(X$3/100)^2/2)*Assumptions!$B$9)/((X$3/100)*Assumptions!$B$10))-(X$3/100)*Assumptions!$B$10)))))</f>
        <v/>
      </c>
      <c r="Y40" s="56">
        <f>IF((MAX(0,Assumptions!$B$2*EXP(-Assumptions!$B$4*Assumptions!$B$9)*NORMSDIST(((LN(Assumptions!$B$2/$B19)+(Assumptions!$B$3-Assumptions!$B$4+(Y$3/100)^2/2)*Assumptions!$B$9)/((Y$3/100)*Assumptions!$B$10)))-$B19*EXP(-Assumptions!$B$3*Assumptions!$B$9)*NORMSDIST((((LN(Assumptions!$B$2/$B19)+(Assumptions!$B$3-Assumptions!$B$4+(Y$3/100)^2/2)*Assumptions!$B$9)/((Y$3/100)*Assumptions!$B$10))-(Y$3/100)*Assumptions!$B$10))))&lt;=0,"",(Assumptions!$B$2*EXP(-Assumptions!$B$4*Assumptions!$B$9)*NORMDIST(((LN(Assumptions!$B$2/$B19)+(Assumptions!$B$3-Assumptions!$B$4+(Y$3/100)^2/2)*Assumptions!$B$9)/((Y$3/100)*Assumptions!$B$10)),0,1,FALSE)*Assumptions!$B$10*0.01)*0.5/(MAX(0,Assumptions!$B$2*EXP(-Assumptions!$B$4*Assumptions!$B$9)*NORMSDIST(((LN(Assumptions!$B$2/$B19)+(Assumptions!$B$3-Assumptions!$B$4+(Y$3/100)^2/2)*Assumptions!$B$9)/((Y$3/100)*Assumptions!$B$10)))-$B19*EXP(-Assumptions!$B$3*Assumptions!$B$9)*NORMSDIST((((LN(Assumptions!$B$2/$B19)+(Assumptions!$B$3-Assumptions!$B$4+(Y$3/100)^2/2)*Assumptions!$B$9)/((Y$3/100)*Assumptions!$B$10))-(Y$3/100)*Assumptions!$B$10)))))</f>
        <v/>
      </c>
      <c r="Z40" s="56">
        <f>IF((MAX(0,Assumptions!$B$2*EXP(-Assumptions!$B$4*Assumptions!$B$9)*NORMSDIST(((LN(Assumptions!$B$2/$B19)+(Assumptions!$B$3-Assumptions!$B$4+(Z$3/100)^2/2)*Assumptions!$B$9)/((Z$3/100)*Assumptions!$B$10)))-$B19*EXP(-Assumptions!$B$3*Assumptions!$B$9)*NORMSDIST((((LN(Assumptions!$B$2/$B19)+(Assumptions!$B$3-Assumptions!$B$4+(Z$3/100)^2/2)*Assumptions!$B$9)/((Z$3/100)*Assumptions!$B$10))-(Z$3/100)*Assumptions!$B$10))))&lt;=0,"",(Assumptions!$B$2*EXP(-Assumptions!$B$4*Assumptions!$B$9)*NORMDIST(((LN(Assumptions!$B$2/$B19)+(Assumptions!$B$3-Assumptions!$B$4+(Z$3/100)^2/2)*Assumptions!$B$9)/((Z$3/100)*Assumptions!$B$10)),0,1,FALSE)*Assumptions!$B$10*0.01)*0.5/(MAX(0,Assumptions!$B$2*EXP(-Assumptions!$B$4*Assumptions!$B$9)*NORMSDIST(((LN(Assumptions!$B$2/$B19)+(Assumptions!$B$3-Assumptions!$B$4+(Z$3/100)^2/2)*Assumptions!$B$9)/((Z$3/100)*Assumptions!$B$10)))-$B19*EXP(-Assumptions!$B$3*Assumptions!$B$9)*NORMSDIST((((LN(Assumptions!$B$2/$B19)+(Assumptions!$B$3-Assumptions!$B$4+(Z$3/100)^2/2)*Assumptions!$B$9)/((Z$3/100)*Assumptions!$B$10))-(Z$3/100)*Assumptions!$B$10)))))</f>
        <v/>
      </c>
      <c r="AA40" s="56">
        <f>IF((MAX(0,Assumptions!$B$2*EXP(-Assumptions!$B$4*Assumptions!$B$9)*NORMSDIST(((LN(Assumptions!$B$2/$B19)+(Assumptions!$B$3-Assumptions!$B$4+(AA$3/100)^2/2)*Assumptions!$B$9)/((AA$3/100)*Assumptions!$B$10)))-$B19*EXP(-Assumptions!$B$3*Assumptions!$B$9)*NORMSDIST((((LN(Assumptions!$B$2/$B19)+(Assumptions!$B$3-Assumptions!$B$4+(AA$3/100)^2/2)*Assumptions!$B$9)/((AA$3/100)*Assumptions!$B$10))-(AA$3/100)*Assumptions!$B$10))))&lt;=0,"",(Assumptions!$B$2*EXP(-Assumptions!$B$4*Assumptions!$B$9)*NORMDIST(((LN(Assumptions!$B$2/$B19)+(Assumptions!$B$3-Assumptions!$B$4+(AA$3/100)^2/2)*Assumptions!$B$9)/((AA$3/100)*Assumptions!$B$10)),0,1,FALSE)*Assumptions!$B$10*0.01)*0.5/(MAX(0,Assumptions!$B$2*EXP(-Assumptions!$B$4*Assumptions!$B$9)*NORMSDIST(((LN(Assumptions!$B$2/$B19)+(Assumptions!$B$3-Assumptions!$B$4+(AA$3/100)^2/2)*Assumptions!$B$9)/((AA$3/100)*Assumptions!$B$10)))-$B19*EXP(-Assumptions!$B$3*Assumptions!$B$9)*NORMSDIST((((LN(Assumptions!$B$2/$B19)+(Assumptions!$B$3-Assumptions!$B$4+(AA$3/100)^2/2)*Assumptions!$B$9)/((AA$3/100)*Assumptions!$B$10))-(AA$3/100)*Assumptions!$B$10)))))</f>
        <v/>
      </c>
      <c r="AB40" s="56">
        <f>IF((MAX(0,Assumptions!$B$2*EXP(-Assumptions!$B$4*Assumptions!$B$9)*NORMSDIST(((LN(Assumptions!$B$2/$B19)+(Assumptions!$B$3-Assumptions!$B$4+(AB$3/100)^2/2)*Assumptions!$B$9)/((AB$3/100)*Assumptions!$B$10)))-$B19*EXP(-Assumptions!$B$3*Assumptions!$B$9)*NORMSDIST((((LN(Assumptions!$B$2/$B19)+(Assumptions!$B$3-Assumptions!$B$4+(AB$3/100)^2/2)*Assumptions!$B$9)/((AB$3/100)*Assumptions!$B$10))-(AB$3/100)*Assumptions!$B$10))))&lt;=0,"",(Assumptions!$B$2*EXP(-Assumptions!$B$4*Assumptions!$B$9)*NORMDIST(((LN(Assumptions!$B$2/$B19)+(Assumptions!$B$3-Assumptions!$B$4+(AB$3/100)^2/2)*Assumptions!$B$9)/((AB$3/100)*Assumptions!$B$10)),0,1,FALSE)*Assumptions!$B$10*0.01)*0.5/(MAX(0,Assumptions!$B$2*EXP(-Assumptions!$B$4*Assumptions!$B$9)*NORMSDIST(((LN(Assumptions!$B$2/$B19)+(Assumptions!$B$3-Assumptions!$B$4+(AB$3/100)^2/2)*Assumptions!$B$9)/((AB$3/100)*Assumptions!$B$10)))-$B19*EXP(-Assumptions!$B$3*Assumptions!$B$9)*NORMSDIST((((LN(Assumptions!$B$2/$B19)+(Assumptions!$B$3-Assumptions!$B$4+(AB$3/100)^2/2)*Assumptions!$B$9)/((AB$3/100)*Assumptions!$B$10))-(AB$3/100)*Assumptions!$B$10)))))</f>
        <v/>
      </c>
      <c r="AC40" s="56">
        <f>IF((MAX(0,Assumptions!$B$2*EXP(-Assumptions!$B$4*Assumptions!$B$9)*NORMSDIST(((LN(Assumptions!$B$2/$B19)+(Assumptions!$B$3-Assumptions!$B$4+(AC$3/100)^2/2)*Assumptions!$B$9)/((AC$3/100)*Assumptions!$B$10)))-$B19*EXP(-Assumptions!$B$3*Assumptions!$B$9)*NORMSDIST((((LN(Assumptions!$B$2/$B19)+(Assumptions!$B$3-Assumptions!$B$4+(AC$3/100)^2/2)*Assumptions!$B$9)/((AC$3/100)*Assumptions!$B$10))-(AC$3/100)*Assumptions!$B$10))))&lt;=0,"",(Assumptions!$B$2*EXP(-Assumptions!$B$4*Assumptions!$B$9)*NORMDIST(((LN(Assumptions!$B$2/$B19)+(Assumptions!$B$3-Assumptions!$B$4+(AC$3/100)^2/2)*Assumptions!$B$9)/((AC$3/100)*Assumptions!$B$10)),0,1,FALSE)*Assumptions!$B$10*0.01)*0.5/(MAX(0,Assumptions!$B$2*EXP(-Assumptions!$B$4*Assumptions!$B$9)*NORMSDIST(((LN(Assumptions!$B$2/$B19)+(Assumptions!$B$3-Assumptions!$B$4+(AC$3/100)^2/2)*Assumptions!$B$9)/((AC$3/100)*Assumptions!$B$10)))-$B19*EXP(-Assumptions!$B$3*Assumptions!$B$9)*NORMSDIST((((LN(Assumptions!$B$2/$B19)+(Assumptions!$B$3-Assumptions!$B$4+(AC$3/100)^2/2)*Assumptions!$B$9)/((AC$3/100)*Assumptions!$B$10))-(AC$3/100)*Assumptions!$B$10)))))</f>
        <v/>
      </c>
      <c r="AD40" s="56">
        <f>IF((MAX(0,Assumptions!$B$2*EXP(-Assumptions!$B$4*Assumptions!$B$9)*NORMSDIST(((LN(Assumptions!$B$2/$B19)+(Assumptions!$B$3-Assumptions!$B$4+(AD$3/100)^2/2)*Assumptions!$B$9)/((AD$3/100)*Assumptions!$B$10)))-$B19*EXP(-Assumptions!$B$3*Assumptions!$B$9)*NORMSDIST((((LN(Assumptions!$B$2/$B19)+(Assumptions!$B$3-Assumptions!$B$4+(AD$3/100)^2/2)*Assumptions!$B$9)/((AD$3/100)*Assumptions!$B$10))-(AD$3/100)*Assumptions!$B$10))))&lt;=0,"",(Assumptions!$B$2*EXP(-Assumptions!$B$4*Assumptions!$B$9)*NORMDIST(((LN(Assumptions!$B$2/$B19)+(Assumptions!$B$3-Assumptions!$B$4+(AD$3/100)^2/2)*Assumptions!$B$9)/((AD$3/100)*Assumptions!$B$10)),0,1,FALSE)*Assumptions!$B$10*0.01)*0.5/(MAX(0,Assumptions!$B$2*EXP(-Assumptions!$B$4*Assumptions!$B$9)*NORMSDIST(((LN(Assumptions!$B$2/$B19)+(Assumptions!$B$3-Assumptions!$B$4+(AD$3/100)^2/2)*Assumptions!$B$9)/((AD$3/100)*Assumptions!$B$10)))-$B19*EXP(-Assumptions!$B$3*Assumptions!$B$9)*NORMSDIST((((LN(Assumptions!$B$2/$B19)+(Assumptions!$B$3-Assumptions!$B$4+(AD$3/100)^2/2)*Assumptions!$B$9)/((AD$3/100)*Assumptions!$B$10))-(AD$3/100)*Assumptions!$B$10)))))</f>
        <v/>
      </c>
      <c r="AE40" s="56">
        <f>IF((MAX(0,Assumptions!$B$2*EXP(-Assumptions!$B$4*Assumptions!$B$9)*NORMSDIST(((LN(Assumptions!$B$2/$B19)+(Assumptions!$B$3-Assumptions!$B$4+(AE$3/100)^2/2)*Assumptions!$B$9)/((AE$3/100)*Assumptions!$B$10)))-$B19*EXP(-Assumptions!$B$3*Assumptions!$B$9)*NORMSDIST((((LN(Assumptions!$B$2/$B19)+(Assumptions!$B$3-Assumptions!$B$4+(AE$3/100)^2/2)*Assumptions!$B$9)/((AE$3/100)*Assumptions!$B$10))-(AE$3/100)*Assumptions!$B$10))))&lt;=0,"",(Assumptions!$B$2*EXP(-Assumptions!$B$4*Assumptions!$B$9)*NORMDIST(((LN(Assumptions!$B$2/$B19)+(Assumptions!$B$3-Assumptions!$B$4+(AE$3/100)^2/2)*Assumptions!$B$9)/((AE$3/100)*Assumptions!$B$10)),0,1,FALSE)*Assumptions!$B$10*0.01)*0.5/(MAX(0,Assumptions!$B$2*EXP(-Assumptions!$B$4*Assumptions!$B$9)*NORMSDIST(((LN(Assumptions!$B$2/$B19)+(Assumptions!$B$3-Assumptions!$B$4+(AE$3/100)^2/2)*Assumptions!$B$9)/((AE$3/100)*Assumptions!$B$10)))-$B19*EXP(-Assumptions!$B$3*Assumptions!$B$9)*NORMSDIST((((LN(Assumptions!$B$2/$B19)+(Assumptions!$B$3-Assumptions!$B$4+(AE$3/100)^2/2)*Assumptions!$B$9)/((AE$3/100)*Assumptions!$B$10))-(AE$3/100)*Assumptions!$B$10)))))</f>
        <v/>
      </c>
      <c r="AF40" s="56">
        <f>IF((MAX(0,Assumptions!$B$2*EXP(-Assumptions!$B$4*Assumptions!$B$9)*NORMSDIST(((LN(Assumptions!$B$2/$B19)+(Assumptions!$B$3-Assumptions!$B$4+(AF$3/100)^2/2)*Assumptions!$B$9)/((AF$3/100)*Assumptions!$B$10)))-$B19*EXP(-Assumptions!$B$3*Assumptions!$B$9)*NORMSDIST((((LN(Assumptions!$B$2/$B19)+(Assumptions!$B$3-Assumptions!$B$4+(AF$3/100)^2/2)*Assumptions!$B$9)/((AF$3/100)*Assumptions!$B$10))-(AF$3/100)*Assumptions!$B$10))))&lt;=0,"",(Assumptions!$B$2*EXP(-Assumptions!$B$4*Assumptions!$B$9)*NORMDIST(((LN(Assumptions!$B$2/$B19)+(Assumptions!$B$3-Assumptions!$B$4+(AF$3/100)^2/2)*Assumptions!$B$9)/((AF$3/100)*Assumptions!$B$10)),0,1,FALSE)*Assumptions!$B$10*0.01)*0.5/(MAX(0,Assumptions!$B$2*EXP(-Assumptions!$B$4*Assumptions!$B$9)*NORMSDIST(((LN(Assumptions!$B$2/$B19)+(Assumptions!$B$3-Assumptions!$B$4+(AF$3/100)^2/2)*Assumptions!$B$9)/((AF$3/100)*Assumptions!$B$10)))-$B19*EXP(-Assumptions!$B$3*Assumptions!$B$9)*NORMSDIST((((LN(Assumptions!$B$2/$B19)+(Assumptions!$B$3-Assumptions!$B$4+(AF$3/100)^2/2)*Assumptions!$B$9)/((AF$3/100)*Assumptions!$B$10))-(AF$3/100)*Assumptions!$B$10)))))</f>
        <v/>
      </c>
      <c r="AG40" s="56">
        <f>IF((MAX(0,Assumptions!$B$2*EXP(-Assumptions!$B$4*Assumptions!$B$9)*NORMSDIST(((LN(Assumptions!$B$2/$B19)+(Assumptions!$B$3-Assumptions!$B$4+(AG$3/100)^2/2)*Assumptions!$B$9)/((AG$3/100)*Assumptions!$B$10)))-$B19*EXP(-Assumptions!$B$3*Assumptions!$B$9)*NORMSDIST((((LN(Assumptions!$B$2/$B19)+(Assumptions!$B$3-Assumptions!$B$4+(AG$3/100)^2/2)*Assumptions!$B$9)/((AG$3/100)*Assumptions!$B$10))-(AG$3/100)*Assumptions!$B$10))))&lt;=0,"",(Assumptions!$B$2*EXP(-Assumptions!$B$4*Assumptions!$B$9)*NORMDIST(((LN(Assumptions!$B$2/$B19)+(Assumptions!$B$3-Assumptions!$B$4+(AG$3/100)^2/2)*Assumptions!$B$9)/((AG$3/100)*Assumptions!$B$10)),0,1,FALSE)*Assumptions!$B$10*0.01)*0.5/(MAX(0,Assumptions!$B$2*EXP(-Assumptions!$B$4*Assumptions!$B$9)*NORMSDIST(((LN(Assumptions!$B$2/$B19)+(Assumptions!$B$3-Assumptions!$B$4+(AG$3/100)^2/2)*Assumptions!$B$9)/((AG$3/100)*Assumptions!$B$10)))-$B19*EXP(-Assumptions!$B$3*Assumptions!$B$9)*NORMSDIST((((LN(Assumptions!$B$2/$B19)+(Assumptions!$B$3-Assumptions!$B$4+(AG$3/100)^2/2)*Assumptions!$B$9)/((AG$3/100)*Assumptions!$B$10))-(AG$3/100)*Assumptions!$B$10)))))</f>
        <v/>
      </c>
      <c r="AH40" s="56">
        <f>IF((MAX(0,Assumptions!$B$2*EXP(-Assumptions!$B$4*Assumptions!$B$9)*NORMSDIST(((LN(Assumptions!$B$2/$B19)+(Assumptions!$B$3-Assumptions!$B$4+(AH$3/100)^2/2)*Assumptions!$B$9)/((AH$3/100)*Assumptions!$B$10)))-$B19*EXP(-Assumptions!$B$3*Assumptions!$B$9)*NORMSDIST((((LN(Assumptions!$B$2/$B19)+(Assumptions!$B$3-Assumptions!$B$4+(AH$3/100)^2/2)*Assumptions!$B$9)/((AH$3/100)*Assumptions!$B$10))-(AH$3/100)*Assumptions!$B$10))))&lt;=0,"",(Assumptions!$B$2*EXP(-Assumptions!$B$4*Assumptions!$B$9)*NORMDIST(((LN(Assumptions!$B$2/$B19)+(Assumptions!$B$3-Assumptions!$B$4+(AH$3/100)^2/2)*Assumptions!$B$9)/((AH$3/100)*Assumptions!$B$10)),0,1,FALSE)*Assumptions!$B$10*0.01)*0.5/(MAX(0,Assumptions!$B$2*EXP(-Assumptions!$B$4*Assumptions!$B$9)*NORMSDIST(((LN(Assumptions!$B$2/$B19)+(Assumptions!$B$3-Assumptions!$B$4+(AH$3/100)^2/2)*Assumptions!$B$9)/((AH$3/100)*Assumptions!$B$10)))-$B19*EXP(-Assumptions!$B$3*Assumptions!$B$9)*NORMSDIST((((LN(Assumptions!$B$2/$B19)+(Assumptions!$B$3-Assumptions!$B$4+(AH$3/100)^2/2)*Assumptions!$B$9)/((AH$3/100)*Assumptions!$B$10))-(AH$3/100)*Assumptions!$B$10)))))</f>
        <v/>
      </c>
      <c r="AI40" s="56">
        <f>IF((MAX(0,Assumptions!$B$2*EXP(-Assumptions!$B$4*Assumptions!$B$9)*NORMSDIST(((LN(Assumptions!$B$2/$B19)+(Assumptions!$B$3-Assumptions!$B$4+(AI$3/100)^2/2)*Assumptions!$B$9)/((AI$3/100)*Assumptions!$B$10)))-$B19*EXP(-Assumptions!$B$3*Assumptions!$B$9)*NORMSDIST((((LN(Assumptions!$B$2/$B19)+(Assumptions!$B$3-Assumptions!$B$4+(AI$3/100)^2/2)*Assumptions!$B$9)/((AI$3/100)*Assumptions!$B$10))-(AI$3/100)*Assumptions!$B$10))))&lt;=0,"",(Assumptions!$B$2*EXP(-Assumptions!$B$4*Assumptions!$B$9)*NORMDIST(((LN(Assumptions!$B$2/$B19)+(Assumptions!$B$3-Assumptions!$B$4+(AI$3/100)^2/2)*Assumptions!$B$9)/((AI$3/100)*Assumptions!$B$10)),0,1,FALSE)*Assumptions!$B$10*0.01)*0.5/(MAX(0,Assumptions!$B$2*EXP(-Assumptions!$B$4*Assumptions!$B$9)*NORMSDIST(((LN(Assumptions!$B$2/$B19)+(Assumptions!$B$3-Assumptions!$B$4+(AI$3/100)^2/2)*Assumptions!$B$9)/((AI$3/100)*Assumptions!$B$10)))-$B19*EXP(-Assumptions!$B$3*Assumptions!$B$9)*NORMSDIST((((LN(Assumptions!$B$2/$B19)+(Assumptions!$B$3-Assumptions!$B$4+(AI$3/100)^2/2)*Assumptions!$B$9)/((AI$3/100)*Assumptions!$B$10))-(AI$3/100)*Assumptions!$B$10)))))</f>
        <v/>
      </c>
      <c r="AJ40" s="56">
        <f>IF((MAX(0,Assumptions!$B$2*EXP(-Assumptions!$B$4*Assumptions!$B$9)*NORMSDIST(((LN(Assumptions!$B$2/$B19)+(Assumptions!$B$3-Assumptions!$B$4+(AJ$3/100)^2/2)*Assumptions!$B$9)/((AJ$3/100)*Assumptions!$B$10)))-$B19*EXP(-Assumptions!$B$3*Assumptions!$B$9)*NORMSDIST((((LN(Assumptions!$B$2/$B19)+(Assumptions!$B$3-Assumptions!$B$4+(AJ$3/100)^2/2)*Assumptions!$B$9)/((AJ$3/100)*Assumptions!$B$10))-(AJ$3/100)*Assumptions!$B$10))))&lt;=0,"",(Assumptions!$B$2*EXP(-Assumptions!$B$4*Assumptions!$B$9)*NORMDIST(((LN(Assumptions!$B$2/$B19)+(Assumptions!$B$3-Assumptions!$B$4+(AJ$3/100)^2/2)*Assumptions!$B$9)/((AJ$3/100)*Assumptions!$B$10)),0,1,FALSE)*Assumptions!$B$10*0.01)*0.5/(MAX(0,Assumptions!$B$2*EXP(-Assumptions!$B$4*Assumptions!$B$9)*NORMSDIST(((LN(Assumptions!$B$2/$B19)+(Assumptions!$B$3-Assumptions!$B$4+(AJ$3/100)^2/2)*Assumptions!$B$9)/((AJ$3/100)*Assumptions!$B$10)))-$B19*EXP(-Assumptions!$B$3*Assumptions!$B$9)*NORMSDIST((((LN(Assumptions!$B$2/$B19)+(Assumptions!$B$3-Assumptions!$B$4+(AJ$3/100)^2/2)*Assumptions!$B$9)/((AJ$3/100)*Assumptions!$B$10))-(AJ$3/100)*Assumptions!$B$10)))))</f>
        <v/>
      </c>
      <c r="AK40" s="56">
        <f>IF((MAX(0,Assumptions!$B$2*EXP(-Assumptions!$B$4*Assumptions!$B$9)*NORMSDIST(((LN(Assumptions!$B$2/$B19)+(Assumptions!$B$3-Assumptions!$B$4+(AK$3/100)^2/2)*Assumptions!$B$9)/((AK$3/100)*Assumptions!$B$10)))-$B19*EXP(-Assumptions!$B$3*Assumptions!$B$9)*NORMSDIST((((LN(Assumptions!$B$2/$B19)+(Assumptions!$B$3-Assumptions!$B$4+(AK$3/100)^2/2)*Assumptions!$B$9)/((AK$3/100)*Assumptions!$B$10))-(AK$3/100)*Assumptions!$B$10))))&lt;=0,"",(Assumptions!$B$2*EXP(-Assumptions!$B$4*Assumptions!$B$9)*NORMDIST(((LN(Assumptions!$B$2/$B19)+(Assumptions!$B$3-Assumptions!$B$4+(AK$3/100)^2/2)*Assumptions!$B$9)/((AK$3/100)*Assumptions!$B$10)),0,1,FALSE)*Assumptions!$B$10*0.01)*0.5/(MAX(0,Assumptions!$B$2*EXP(-Assumptions!$B$4*Assumptions!$B$9)*NORMSDIST(((LN(Assumptions!$B$2/$B19)+(Assumptions!$B$3-Assumptions!$B$4+(AK$3/100)^2/2)*Assumptions!$B$9)/((AK$3/100)*Assumptions!$B$10)))-$B19*EXP(-Assumptions!$B$3*Assumptions!$B$9)*NORMSDIST((((LN(Assumptions!$B$2/$B19)+(Assumptions!$B$3-Assumptions!$B$4+(AK$3/100)^2/2)*Assumptions!$B$9)/((AK$3/100)*Assumptions!$B$10))-(AK$3/100)*Assumptions!$B$10)))))</f>
        <v/>
      </c>
      <c r="AL40" s="56">
        <f>IF((MAX(0,Assumptions!$B$2*EXP(-Assumptions!$B$4*Assumptions!$B$9)*NORMSDIST(((LN(Assumptions!$B$2/$B19)+(Assumptions!$B$3-Assumptions!$B$4+(AL$3/100)^2/2)*Assumptions!$B$9)/((AL$3/100)*Assumptions!$B$10)))-$B19*EXP(-Assumptions!$B$3*Assumptions!$B$9)*NORMSDIST((((LN(Assumptions!$B$2/$B19)+(Assumptions!$B$3-Assumptions!$B$4+(AL$3/100)^2/2)*Assumptions!$B$9)/((AL$3/100)*Assumptions!$B$10))-(AL$3/100)*Assumptions!$B$10))))&lt;=0,"",(Assumptions!$B$2*EXP(-Assumptions!$B$4*Assumptions!$B$9)*NORMDIST(((LN(Assumptions!$B$2/$B19)+(Assumptions!$B$3-Assumptions!$B$4+(AL$3/100)^2/2)*Assumptions!$B$9)/((AL$3/100)*Assumptions!$B$10)),0,1,FALSE)*Assumptions!$B$10*0.01)*0.5/(MAX(0,Assumptions!$B$2*EXP(-Assumptions!$B$4*Assumptions!$B$9)*NORMSDIST(((LN(Assumptions!$B$2/$B19)+(Assumptions!$B$3-Assumptions!$B$4+(AL$3/100)^2/2)*Assumptions!$B$9)/((AL$3/100)*Assumptions!$B$10)))-$B19*EXP(-Assumptions!$B$3*Assumptions!$B$9)*NORMSDIST((((LN(Assumptions!$B$2/$B19)+(Assumptions!$B$3-Assumptions!$B$4+(AL$3/100)^2/2)*Assumptions!$B$9)/((AL$3/100)*Assumptions!$B$10))-(AL$3/100)*Assumptions!$B$10)))))</f>
        <v/>
      </c>
      <c r="AM40" s="56">
        <f>IF((MAX(0,Assumptions!$B$2*EXP(-Assumptions!$B$4*Assumptions!$B$9)*NORMSDIST(((LN(Assumptions!$B$2/$B19)+(Assumptions!$B$3-Assumptions!$B$4+(AM$3/100)^2/2)*Assumptions!$B$9)/((AM$3/100)*Assumptions!$B$10)))-$B19*EXP(-Assumptions!$B$3*Assumptions!$B$9)*NORMSDIST((((LN(Assumptions!$B$2/$B19)+(Assumptions!$B$3-Assumptions!$B$4+(AM$3/100)^2/2)*Assumptions!$B$9)/((AM$3/100)*Assumptions!$B$10))-(AM$3/100)*Assumptions!$B$10))))&lt;=0,"",(Assumptions!$B$2*EXP(-Assumptions!$B$4*Assumptions!$B$9)*NORMDIST(((LN(Assumptions!$B$2/$B19)+(Assumptions!$B$3-Assumptions!$B$4+(AM$3/100)^2/2)*Assumptions!$B$9)/((AM$3/100)*Assumptions!$B$10)),0,1,FALSE)*Assumptions!$B$10*0.01)*0.5/(MAX(0,Assumptions!$B$2*EXP(-Assumptions!$B$4*Assumptions!$B$9)*NORMSDIST(((LN(Assumptions!$B$2/$B19)+(Assumptions!$B$3-Assumptions!$B$4+(AM$3/100)^2/2)*Assumptions!$B$9)/((AM$3/100)*Assumptions!$B$10)))-$B19*EXP(-Assumptions!$B$3*Assumptions!$B$9)*NORMSDIST((((LN(Assumptions!$B$2/$B19)+(Assumptions!$B$3-Assumptions!$B$4+(AM$3/100)^2/2)*Assumptions!$B$9)/((AM$3/100)*Assumptions!$B$10))-(AM$3/100)*Assumptions!$B$10)))))</f>
        <v/>
      </c>
      <c r="AN40" s="56">
        <f>IF((MAX(0,Assumptions!$B$2*EXP(-Assumptions!$B$4*Assumptions!$B$9)*NORMSDIST(((LN(Assumptions!$B$2/$B19)+(Assumptions!$B$3-Assumptions!$B$4+(AN$3/100)^2/2)*Assumptions!$B$9)/((AN$3/100)*Assumptions!$B$10)))-$B19*EXP(-Assumptions!$B$3*Assumptions!$B$9)*NORMSDIST((((LN(Assumptions!$B$2/$B19)+(Assumptions!$B$3-Assumptions!$B$4+(AN$3/100)^2/2)*Assumptions!$B$9)/((AN$3/100)*Assumptions!$B$10))-(AN$3/100)*Assumptions!$B$10))))&lt;=0,"",(Assumptions!$B$2*EXP(-Assumptions!$B$4*Assumptions!$B$9)*NORMDIST(((LN(Assumptions!$B$2/$B19)+(Assumptions!$B$3-Assumptions!$B$4+(AN$3/100)^2/2)*Assumptions!$B$9)/((AN$3/100)*Assumptions!$B$10)),0,1,FALSE)*Assumptions!$B$10*0.01)*0.5/(MAX(0,Assumptions!$B$2*EXP(-Assumptions!$B$4*Assumptions!$B$9)*NORMSDIST(((LN(Assumptions!$B$2/$B19)+(Assumptions!$B$3-Assumptions!$B$4+(AN$3/100)^2/2)*Assumptions!$B$9)/((AN$3/100)*Assumptions!$B$10)))-$B19*EXP(-Assumptions!$B$3*Assumptions!$B$9)*NORMSDIST((((LN(Assumptions!$B$2/$B19)+(Assumptions!$B$3-Assumptions!$B$4+(AN$3/100)^2/2)*Assumptions!$B$9)/((AN$3/100)*Assumptions!$B$10))-(AN$3/100)*Assumptions!$B$10)))))</f>
        <v/>
      </c>
      <c r="AO40" s="56">
        <f>IF((MAX(0,Assumptions!$B$2*EXP(-Assumptions!$B$4*Assumptions!$B$9)*NORMSDIST(((LN(Assumptions!$B$2/$B19)+(Assumptions!$B$3-Assumptions!$B$4+(AO$3/100)^2/2)*Assumptions!$B$9)/((AO$3/100)*Assumptions!$B$10)))-$B19*EXP(-Assumptions!$B$3*Assumptions!$B$9)*NORMSDIST((((LN(Assumptions!$B$2/$B19)+(Assumptions!$B$3-Assumptions!$B$4+(AO$3/100)^2/2)*Assumptions!$B$9)/((AO$3/100)*Assumptions!$B$10))-(AO$3/100)*Assumptions!$B$10))))&lt;=0,"",(Assumptions!$B$2*EXP(-Assumptions!$B$4*Assumptions!$B$9)*NORMDIST(((LN(Assumptions!$B$2/$B19)+(Assumptions!$B$3-Assumptions!$B$4+(AO$3/100)^2/2)*Assumptions!$B$9)/((AO$3/100)*Assumptions!$B$10)),0,1,FALSE)*Assumptions!$B$10*0.01)*0.5/(MAX(0,Assumptions!$B$2*EXP(-Assumptions!$B$4*Assumptions!$B$9)*NORMSDIST(((LN(Assumptions!$B$2/$B19)+(Assumptions!$B$3-Assumptions!$B$4+(AO$3/100)^2/2)*Assumptions!$B$9)/((AO$3/100)*Assumptions!$B$10)))-$B19*EXP(-Assumptions!$B$3*Assumptions!$B$9)*NORMSDIST((((LN(Assumptions!$B$2/$B19)+(Assumptions!$B$3-Assumptions!$B$4+(AO$3/100)^2/2)*Assumptions!$B$9)/((AO$3/100)*Assumptions!$B$10))-(AO$3/100)*Assumptions!$B$10)))))</f>
        <v/>
      </c>
      <c r="AP40" s="56">
        <f>IF((MAX(0,Assumptions!$B$2*EXP(-Assumptions!$B$4*Assumptions!$B$9)*NORMSDIST(((LN(Assumptions!$B$2/$B19)+(Assumptions!$B$3-Assumptions!$B$4+(AP$3/100)^2/2)*Assumptions!$B$9)/((AP$3/100)*Assumptions!$B$10)))-$B19*EXP(-Assumptions!$B$3*Assumptions!$B$9)*NORMSDIST((((LN(Assumptions!$B$2/$B19)+(Assumptions!$B$3-Assumptions!$B$4+(AP$3/100)^2/2)*Assumptions!$B$9)/((AP$3/100)*Assumptions!$B$10))-(AP$3/100)*Assumptions!$B$10))))&lt;=0,"",(Assumptions!$B$2*EXP(-Assumptions!$B$4*Assumptions!$B$9)*NORMDIST(((LN(Assumptions!$B$2/$B19)+(Assumptions!$B$3-Assumptions!$B$4+(AP$3/100)^2/2)*Assumptions!$B$9)/((AP$3/100)*Assumptions!$B$10)),0,1,FALSE)*Assumptions!$B$10*0.01)*0.5/(MAX(0,Assumptions!$B$2*EXP(-Assumptions!$B$4*Assumptions!$B$9)*NORMSDIST(((LN(Assumptions!$B$2/$B19)+(Assumptions!$B$3-Assumptions!$B$4+(AP$3/100)^2/2)*Assumptions!$B$9)/((AP$3/100)*Assumptions!$B$10)))-$B19*EXP(-Assumptions!$B$3*Assumptions!$B$9)*NORMSDIST((((LN(Assumptions!$B$2/$B19)+(Assumptions!$B$3-Assumptions!$B$4+(AP$3/100)^2/2)*Assumptions!$B$9)/((AP$3/100)*Assumptions!$B$10))-(AP$3/100)*Assumptions!$B$10)))))</f>
        <v/>
      </c>
      <c r="AQ40" s="56">
        <f>IF((MAX(0,Assumptions!$B$2*EXP(-Assumptions!$B$4*Assumptions!$B$9)*NORMSDIST(((LN(Assumptions!$B$2/$B19)+(Assumptions!$B$3-Assumptions!$B$4+(AQ$3/100)^2/2)*Assumptions!$B$9)/((AQ$3/100)*Assumptions!$B$10)))-$B19*EXP(-Assumptions!$B$3*Assumptions!$B$9)*NORMSDIST((((LN(Assumptions!$B$2/$B19)+(Assumptions!$B$3-Assumptions!$B$4+(AQ$3/100)^2/2)*Assumptions!$B$9)/((AQ$3/100)*Assumptions!$B$10))-(AQ$3/100)*Assumptions!$B$10))))&lt;=0,"",(Assumptions!$B$2*EXP(-Assumptions!$B$4*Assumptions!$B$9)*NORMDIST(((LN(Assumptions!$B$2/$B19)+(Assumptions!$B$3-Assumptions!$B$4+(AQ$3/100)^2/2)*Assumptions!$B$9)/((AQ$3/100)*Assumptions!$B$10)),0,1,FALSE)*Assumptions!$B$10*0.01)*0.5/(MAX(0,Assumptions!$B$2*EXP(-Assumptions!$B$4*Assumptions!$B$9)*NORMSDIST(((LN(Assumptions!$B$2/$B19)+(Assumptions!$B$3-Assumptions!$B$4+(AQ$3/100)^2/2)*Assumptions!$B$9)/((AQ$3/100)*Assumptions!$B$10)))-$B19*EXP(-Assumptions!$B$3*Assumptions!$B$9)*NORMSDIST((((LN(Assumptions!$B$2/$B19)+(Assumptions!$B$3-Assumptions!$B$4+(AQ$3/100)^2/2)*Assumptions!$B$9)/((AQ$3/100)*Assumptions!$B$10))-(AQ$3/100)*Assumptions!$B$10)))))</f>
        <v/>
      </c>
      <c r="AR40" s="56">
        <f>IF((MAX(0,Assumptions!$B$2*EXP(-Assumptions!$B$4*Assumptions!$B$9)*NORMSDIST(((LN(Assumptions!$B$2/$B19)+(Assumptions!$B$3-Assumptions!$B$4+(AR$3/100)^2/2)*Assumptions!$B$9)/((AR$3/100)*Assumptions!$B$10)))-$B19*EXP(-Assumptions!$B$3*Assumptions!$B$9)*NORMSDIST((((LN(Assumptions!$B$2/$B19)+(Assumptions!$B$3-Assumptions!$B$4+(AR$3/100)^2/2)*Assumptions!$B$9)/((AR$3/100)*Assumptions!$B$10))-(AR$3/100)*Assumptions!$B$10))))&lt;=0,"",(Assumptions!$B$2*EXP(-Assumptions!$B$4*Assumptions!$B$9)*NORMDIST(((LN(Assumptions!$B$2/$B19)+(Assumptions!$B$3-Assumptions!$B$4+(AR$3/100)^2/2)*Assumptions!$B$9)/((AR$3/100)*Assumptions!$B$10)),0,1,FALSE)*Assumptions!$B$10*0.01)*0.5/(MAX(0,Assumptions!$B$2*EXP(-Assumptions!$B$4*Assumptions!$B$9)*NORMSDIST(((LN(Assumptions!$B$2/$B19)+(Assumptions!$B$3-Assumptions!$B$4+(AR$3/100)^2/2)*Assumptions!$B$9)/((AR$3/100)*Assumptions!$B$10)))-$B19*EXP(-Assumptions!$B$3*Assumptions!$B$9)*NORMSDIST((((LN(Assumptions!$B$2/$B19)+(Assumptions!$B$3-Assumptions!$B$4+(AR$3/100)^2/2)*Assumptions!$B$9)/((AR$3/100)*Assumptions!$B$10))-(AR$3/100)*Assumptions!$B$10)))))</f>
        <v/>
      </c>
      <c r="AS40" s="56">
        <f>IF((MAX(0,Assumptions!$B$2*EXP(-Assumptions!$B$4*Assumptions!$B$9)*NORMSDIST(((LN(Assumptions!$B$2/$B19)+(Assumptions!$B$3-Assumptions!$B$4+(AS$3/100)^2/2)*Assumptions!$B$9)/((AS$3/100)*Assumptions!$B$10)))-$B19*EXP(-Assumptions!$B$3*Assumptions!$B$9)*NORMSDIST((((LN(Assumptions!$B$2/$B19)+(Assumptions!$B$3-Assumptions!$B$4+(AS$3/100)^2/2)*Assumptions!$B$9)/((AS$3/100)*Assumptions!$B$10))-(AS$3/100)*Assumptions!$B$10))))&lt;=0,"",(Assumptions!$B$2*EXP(-Assumptions!$B$4*Assumptions!$B$9)*NORMDIST(((LN(Assumptions!$B$2/$B19)+(Assumptions!$B$3-Assumptions!$B$4+(AS$3/100)^2/2)*Assumptions!$B$9)/((AS$3/100)*Assumptions!$B$10)),0,1,FALSE)*Assumptions!$B$10*0.01)*0.5/(MAX(0,Assumptions!$B$2*EXP(-Assumptions!$B$4*Assumptions!$B$9)*NORMSDIST(((LN(Assumptions!$B$2/$B19)+(Assumptions!$B$3-Assumptions!$B$4+(AS$3/100)^2/2)*Assumptions!$B$9)/((AS$3/100)*Assumptions!$B$10)))-$B19*EXP(-Assumptions!$B$3*Assumptions!$B$9)*NORMSDIST((((LN(Assumptions!$B$2/$B19)+(Assumptions!$B$3-Assumptions!$B$4+(AS$3/100)^2/2)*Assumptions!$B$9)/((AS$3/100)*Assumptions!$B$10))-(AS$3/100)*Assumptions!$B$10)))))</f>
        <v/>
      </c>
      <c r="AT40" s="56">
        <f>IF((MAX(0,Assumptions!$B$2*EXP(-Assumptions!$B$4*Assumptions!$B$9)*NORMSDIST(((LN(Assumptions!$B$2/$B19)+(Assumptions!$B$3-Assumptions!$B$4+(AT$3/100)^2/2)*Assumptions!$B$9)/((AT$3/100)*Assumptions!$B$10)))-$B19*EXP(-Assumptions!$B$3*Assumptions!$B$9)*NORMSDIST((((LN(Assumptions!$B$2/$B19)+(Assumptions!$B$3-Assumptions!$B$4+(AT$3/100)^2/2)*Assumptions!$B$9)/((AT$3/100)*Assumptions!$B$10))-(AT$3/100)*Assumptions!$B$10))))&lt;=0,"",(Assumptions!$B$2*EXP(-Assumptions!$B$4*Assumptions!$B$9)*NORMDIST(((LN(Assumptions!$B$2/$B19)+(Assumptions!$B$3-Assumptions!$B$4+(AT$3/100)^2/2)*Assumptions!$B$9)/((AT$3/100)*Assumptions!$B$10)),0,1,FALSE)*Assumptions!$B$10*0.01)*0.5/(MAX(0,Assumptions!$B$2*EXP(-Assumptions!$B$4*Assumptions!$B$9)*NORMSDIST(((LN(Assumptions!$B$2/$B19)+(Assumptions!$B$3-Assumptions!$B$4+(AT$3/100)^2/2)*Assumptions!$B$9)/((AT$3/100)*Assumptions!$B$10)))-$B19*EXP(-Assumptions!$B$3*Assumptions!$B$9)*NORMSDIST((((LN(Assumptions!$B$2/$B19)+(Assumptions!$B$3-Assumptions!$B$4+(AT$3/100)^2/2)*Assumptions!$B$9)/((AT$3/100)*Assumptions!$B$10))-(AT$3/100)*Assumptions!$B$10)))))</f>
        <v/>
      </c>
      <c r="AU40" s="56">
        <f>IF((MAX(0,Assumptions!$B$2*EXP(-Assumptions!$B$4*Assumptions!$B$9)*NORMSDIST(((LN(Assumptions!$B$2/$B19)+(Assumptions!$B$3-Assumptions!$B$4+(AU$3/100)^2/2)*Assumptions!$B$9)/((AU$3/100)*Assumptions!$B$10)))-$B19*EXP(-Assumptions!$B$3*Assumptions!$B$9)*NORMSDIST((((LN(Assumptions!$B$2/$B19)+(Assumptions!$B$3-Assumptions!$B$4+(AU$3/100)^2/2)*Assumptions!$B$9)/((AU$3/100)*Assumptions!$B$10))-(AU$3/100)*Assumptions!$B$10))))&lt;=0,"",(Assumptions!$B$2*EXP(-Assumptions!$B$4*Assumptions!$B$9)*NORMDIST(((LN(Assumptions!$B$2/$B19)+(Assumptions!$B$3-Assumptions!$B$4+(AU$3/100)^2/2)*Assumptions!$B$9)/((AU$3/100)*Assumptions!$B$10)),0,1,FALSE)*Assumptions!$B$10*0.01)*0.5/(MAX(0,Assumptions!$B$2*EXP(-Assumptions!$B$4*Assumptions!$B$9)*NORMSDIST(((LN(Assumptions!$B$2/$B19)+(Assumptions!$B$3-Assumptions!$B$4+(AU$3/100)^2/2)*Assumptions!$B$9)/((AU$3/100)*Assumptions!$B$10)))-$B19*EXP(-Assumptions!$B$3*Assumptions!$B$9)*NORMSDIST((((LN(Assumptions!$B$2/$B19)+(Assumptions!$B$3-Assumptions!$B$4+(AU$3/100)^2/2)*Assumptions!$B$9)/((AU$3/100)*Assumptions!$B$10))-(AU$3/100)*Assumptions!$B$10)))))</f>
        <v/>
      </c>
      <c r="AV40" s="56">
        <f>IF((MAX(0,Assumptions!$B$2*EXP(-Assumptions!$B$4*Assumptions!$B$9)*NORMSDIST(((LN(Assumptions!$B$2/$B19)+(Assumptions!$B$3-Assumptions!$B$4+(AV$3/100)^2/2)*Assumptions!$B$9)/((AV$3/100)*Assumptions!$B$10)))-$B19*EXP(-Assumptions!$B$3*Assumptions!$B$9)*NORMSDIST((((LN(Assumptions!$B$2/$B19)+(Assumptions!$B$3-Assumptions!$B$4+(AV$3/100)^2/2)*Assumptions!$B$9)/((AV$3/100)*Assumptions!$B$10))-(AV$3/100)*Assumptions!$B$10))))&lt;=0,"",(Assumptions!$B$2*EXP(-Assumptions!$B$4*Assumptions!$B$9)*NORMDIST(((LN(Assumptions!$B$2/$B19)+(Assumptions!$B$3-Assumptions!$B$4+(AV$3/100)^2/2)*Assumptions!$B$9)/((AV$3/100)*Assumptions!$B$10)),0,1,FALSE)*Assumptions!$B$10*0.01)*0.5/(MAX(0,Assumptions!$B$2*EXP(-Assumptions!$B$4*Assumptions!$B$9)*NORMSDIST(((LN(Assumptions!$B$2/$B19)+(Assumptions!$B$3-Assumptions!$B$4+(AV$3/100)^2/2)*Assumptions!$B$9)/((AV$3/100)*Assumptions!$B$10)))-$B19*EXP(-Assumptions!$B$3*Assumptions!$B$9)*NORMSDIST((((LN(Assumptions!$B$2/$B19)+(Assumptions!$B$3-Assumptions!$B$4+(AV$3/100)^2/2)*Assumptions!$B$9)/((AV$3/100)*Assumptions!$B$10))-(AV$3/100)*Assumptions!$B$10)))))</f>
        <v/>
      </c>
    </row>
    <row r="41">
      <c r="A41" s="27" t="inlineStr">
        <is>
          <t>+2.00%</t>
        </is>
      </c>
      <c r="B41" s="47">
        <f>'BS Engine'!$B$18</f>
        <v/>
      </c>
      <c r="C41" s="28">
        <f>'BS Engine'!$C$18</f>
        <v/>
      </c>
      <c r="D41" s="55">
        <f>IF((MAX(0,Assumptions!$B$2*EXP(-Assumptions!$B$4*Assumptions!$B$9)*NORMSDIST(((LN(Assumptions!$B$2/$B20)+(Assumptions!$B$3-Assumptions!$B$4+(D$3/100)^2/2)*Assumptions!$B$9)/((D$3/100)*Assumptions!$B$10)))-$B20*EXP(-Assumptions!$B$3*Assumptions!$B$9)*NORMSDIST((((LN(Assumptions!$B$2/$B20)+(Assumptions!$B$3-Assumptions!$B$4+(D$3/100)^2/2)*Assumptions!$B$9)/((D$3/100)*Assumptions!$B$10))-(D$3/100)*Assumptions!$B$10))))&lt;=0,"",(Assumptions!$B$2*EXP(-Assumptions!$B$4*Assumptions!$B$9)*NORMDIST(((LN(Assumptions!$B$2/$B20)+(Assumptions!$B$3-Assumptions!$B$4+(D$3/100)^2/2)*Assumptions!$B$9)/((D$3/100)*Assumptions!$B$10)),0,1,FALSE)*Assumptions!$B$10*0.01)*0.5/(MAX(0,Assumptions!$B$2*EXP(-Assumptions!$B$4*Assumptions!$B$9)*NORMSDIST(((LN(Assumptions!$B$2/$B20)+(Assumptions!$B$3-Assumptions!$B$4+(D$3/100)^2/2)*Assumptions!$B$9)/((D$3/100)*Assumptions!$B$10)))-$B20*EXP(-Assumptions!$B$3*Assumptions!$B$9)*NORMSDIST((((LN(Assumptions!$B$2/$B20)+(Assumptions!$B$3-Assumptions!$B$4+(D$3/100)^2/2)*Assumptions!$B$9)/((D$3/100)*Assumptions!$B$10))-(D$3/100)*Assumptions!$B$10)))))</f>
        <v/>
      </c>
      <c r="E41" s="56">
        <f>IF((MAX(0,Assumptions!$B$2*EXP(-Assumptions!$B$4*Assumptions!$B$9)*NORMSDIST(((LN(Assumptions!$B$2/$B20)+(Assumptions!$B$3-Assumptions!$B$4+(E$3/100)^2/2)*Assumptions!$B$9)/((E$3/100)*Assumptions!$B$10)))-$B20*EXP(-Assumptions!$B$3*Assumptions!$B$9)*NORMSDIST((((LN(Assumptions!$B$2/$B20)+(Assumptions!$B$3-Assumptions!$B$4+(E$3/100)^2/2)*Assumptions!$B$9)/((E$3/100)*Assumptions!$B$10))-(E$3/100)*Assumptions!$B$10))))&lt;=0,"",(Assumptions!$B$2*EXP(-Assumptions!$B$4*Assumptions!$B$9)*NORMDIST(((LN(Assumptions!$B$2/$B20)+(Assumptions!$B$3-Assumptions!$B$4+(E$3/100)^2/2)*Assumptions!$B$9)/((E$3/100)*Assumptions!$B$10)),0,1,FALSE)*Assumptions!$B$10*0.01)*0.5/(MAX(0,Assumptions!$B$2*EXP(-Assumptions!$B$4*Assumptions!$B$9)*NORMSDIST(((LN(Assumptions!$B$2/$B20)+(Assumptions!$B$3-Assumptions!$B$4+(E$3/100)^2/2)*Assumptions!$B$9)/((E$3/100)*Assumptions!$B$10)))-$B20*EXP(-Assumptions!$B$3*Assumptions!$B$9)*NORMSDIST((((LN(Assumptions!$B$2/$B20)+(Assumptions!$B$3-Assumptions!$B$4+(E$3/100)^2/2)*Assumptions!$B$9)/((E$3/100)*Assumptions!$B$10))-(E$3/100)*Assumptions!$B$10)))))</f>
        <v/>
      </c>
      <c r="F41" s="56">
        <f>IF((MAX(0,Assumptions!$B$2*EXP(-Assumptions!$B$4*Assumptions!$B$9)*NORMSDIST(((LN(Assumptions!$B$2/$B20)+(Assumptions!$B$3-Assumptions!$B$4+(F$3/100)^2/2)*Assumptions!$B$9)/((F$3/100)*Assumptions!$B$10)))-$B20*EXP(-Assumptions!$B$3*Assumptions!$B$9)*NORMSDIST((((LN(Assumptions!$B$2/$B20)+(Assumptions!$B$3-Assumptions!$B$4+(F$3/100)^2/2)*Assumptions!$B$9)/((F$3/100)*Assumptions!$B$10))-(F$3/100)*Assumptions!$B$10))))&lt;=0,"",(Assumptions!$B$2*EXP(-Assumptions!$B$4*Assumptions!$B$9)*NORMDIST(((LN(Assumptions!$B$2/$B20)+(Assumptions!$B$3-Assumptions!$B$4+(F$3/100)^2/2)*Assumptions!$B$9)/((F$3/100)*Assumptions!$B$10)),0,1,FALSE)*Assumptions!$B$10*0.01)*0.5/(MAX(0,Assumptions!$B$2*EXP(-Assumptions!$B$4*Assumptions!$B$9)*NORMSDIST(((LN(Assumptions!$B$2/$B20)+(Assumptions!$B$3-Assumptions!$B$4+(F$3/100)^2/2)*Assumptions!$B$9)/((F$3/100)*Assumptions!$B$10)))-$B20*EXP(-Assumptions!$B$3*Assumptions!$B$9)*NORMSDIST((((LN(Assumptions!$B$2/$B20)+(Assumptions!$B$3-Assumptions!$B$4+(F$3/100)^2/2)*Assumptions!$B$9)/((F$3/100)*Assumptions!$B$10))-(F$3/100)*Assumptions!$B$10)))))</f>
        <v/>
      </c>
      <c r="G41" s="56">
        <f>IF((MAX(0,Assumptions!$B$2*EXP(-Assumptions!$B$4*Assumptions!$B$9)*NORMSDIST(((LN(Assumptions!$B$2/$B20)+(Assumptions!$B$3-Assumptions!$B$4+(G$3/100)^2/2)*Assumptions!$B$9)/((G$3/100)*Assumptions!$B$10)))-$B20*EXP(-Assumptions!$B$3*Assumptions!$B$9)*NORMSDIST((((LN(Assumptions!$B$2/$B20)+(Assumptions!$B$3-Assumptions!$B$4+(G$3/100)^2/2)*Assumptions!$B$9)/((G$3/100)*Assumptions!$B$10))-(G$3/100)*Assumptions!$B$10))))&lt;=0,"",(Assumptions!$B$2*EXP(-Assumptions!$B$4*Assumptions!$B$9)*NORMDIST(((LN(Assumptions!$B$2/$B20)+(Assumptions!$B$3-Assumptions!$B$4+(G$3/100)^2/2)*Assumptions!$B$9)/((G$3/100)*Assumptions!$B$10)),0,1,FALSE)*Assumptions!$B$10*0.01)*0.5/(MAX(0,Assumptions!$B$2*EXP(-Assumptions!$B$4*Assumptions!$B$9)*NORMSDIST(((LN(Assumptions!$B$2/$B20)+(Assumptions!$B$3-Assumptions!$B$4+(G$3/100)^2/2)*Assumptions!$B$9)/((G$3/100)*Assumptions!$B$10)))-$B20*EXP(-Assumptions!$B$3*Assumptions!$B$9)*NORMSDIST((((LN(Assumptions!$B$2/$B20)+(Assumptions!$B$3-Assumptions!$B$4+(G$3/100)^2/2)*Assumptions!$B$9)/((G$3/100)*Assumptions!$B$10))-(G$3/100)*Assumptions!$B$10)))))</f>
        <v/>
      </c>
      <c r="H41" s="56">
        <f>IF((MAX(0,Assumptions!$B$2*EXP(-Assumptions!$B$4*Assumptions!$B$9)*NORMSDIST(((LN(Assumptions!$B$2/$B20)+(Assumptions!$B$3-Assumptions!$B$4+(H$3/100)^2/2)*Assumptions!$B$9)/((H$3/100)*Assumptions!$B$10)))-$B20*EXP(-Assumptions!$B$3*Assumptions!$B$9)*NORMSDIST((((LN(Assumptions!$B$2/$B20)+(Assumptions!$B$3-Assumptions!$B$4+(H$3/100)^2/2)*Assumptions!$B$9)/((H$3/100)*Assumptions!$B$10))-(H$3/100)*Assumptions!$B$10))))&lt;=0,"",(Assumptions!$B$2*EXP(-Assumptions!$B$4*Assumptions!$B$9)*NORMDIST(((LN(Assumptions!$B$2/$B20)+(Assumptions!$B$3-Assumptions!$B$4+(H$3/100)^2/2)*Assumptions!$B$9)/((H$3/100)*Assumptions!$B$10)),0,1,FALSE)*Assumptions!$B$10*0.01)*0.5/(MAX(0,Assumptions!$B$2*EXP(-Assumptions!$B$4*Assumptions!$B$9)*NORMSDIST(((LN(Assumptions!$B$2/$B20)+(Assumptions!$B$3-Assumptions!$B$4+(H$3/100)^2/2)*Assumptions!$B$9)/((H$3/100)*Assumptions!$B$10)))-$B20*EXP(-Assumptions!$B$3*Assumptions!$B$9)*NORMSDIST((((LN(Assumptions!$B$2/$B20)+(Assumptions!$B$3-Assumptions!$B$4+(H$3/100)^2/2)*Assumptions!$B$9)/((H$3/100)*Assumptions!$B$10))-(H$3/100)*Assumptions!$B$10)))))</f>
        <v/>
      </c>
      <c r="I41" s="56">
        <f>IF((MAX(0,Assumptions!$B$2*EXP(-Assumptions!$B$4*Assumptions!$B$9)*NORMSDIST(((LN(Assumptions!$B$2/$B20)+(Assumptions!$B$3-Assumptions!$B$4+(I$3/100)^2/2)*Assumptions!$B$9)/((I$3/100)*Assumptions!$B$10)))-$B20*EXP(-Assumptions!$B$3*Assumptions!$B$9)*NORMSDIST((((LN(Assumptions!$B$2/$B20)+(Assumptions!$B$3-Assumptions!$B$4+(I$3/100)^2/2)*Assumptions!$B$9)/((I$3/100)*Assumptions!$B$10))-(I$3/100)*Assumptions!$B$10))))&lt;=0,"",(Assumptions!$B$2*EXP(-Assumptions!$B$4*Assumptions!$B$9)*NORMDIST(((LN(Assumptions!$B$2/$B20)+(Assumptions!$B$3-Assumptions!$B$4+(I$3/100)^2/2)*Assumptions!$B$9)/((I$3/100)*Assumptions!$B$10)),0,1,FALSE)*Assumptions!$B$10*0.01)*0.5/(MAX(0,Assumptions!$B$2*EXP(-Assumptions!$B$4*Assumptions!$B$9)*NORMSDIST(((LN(Assumptions!$B$2/$B20)+(Assumptions!$B$3-Assumptions!$B$4+(I$3/100)^2/2)*Assumptions!$B$9)/((I$3/100)*Assumptions!$B$10)))-$B20*EXP(-Assumptions!$B$3*Assumptions!$B$9)*NORMSDIST((((LN(Assumptions!$B$2/$B20)+(Assumptions!$B$3-Assumptions!$B$4+(I$3/100)^2/2)*Assumptions!$B$9)/((I$3/100)*Assumptions!$B$10))-(I$3/100)*Assumptions!$B$10)))))</f>
        <v/>
      </c>
      <c r="J41" s="56">
        <f>IF((MAX(0,Assumptions!$B$2*EXP(-Assumptions!$B$4*Assumptions!$B$9)*NORMSDIST(((LN(Assumptions!$B$2/$B20)+(Assumptions!$B$3-Assumptions!$B$4+(J$3/100)^2/2)*Assumptions!$B$9)/((J$3/100)*Assumptions!$B$10)))-$B20*EXP(-Assumptions!$B$3*Assumptions!$B$9)*NORMSDIST((((LN(Assumptions!$B$2/$B20)+(Assumptions!$B$3-Assumptions!$B$4+(J$3/100)^2/2)*Assumptions!$B$9)/((J$3/100)*Assumptions!$B$10))-(J$3/100)*Assumptions!$B$10))))&lt;=0,"",(Assumptions!$B$2*EXP(-Assumptions!$B$4*Assumptions!$B$9)*NORMDIST(((LN(Assumptions!$B$2/$B20)+(Assumptions!$B$3-Assumptions!$B$4+(J$3/100)^2/2)*Assumptions!$B$9)/((J$3/100)*Assumptions!$B$10)),0,1,FALSE)*Assumptions!$B$10*0.01)*0.5/(MAX(0,Assumptions!$B$2*EXP(-Assumptions!$B$4*Assumptions!$B$9)*NORMSDIST(((LN(Assumptions!$B$2/$B20)+(Assumptions!$B$3-Assumptions!$B$4+(J$3/100)^2/2)*Assumptions!$B$9)/((J$3/100)*Assumptions!$B$10)))-$B20*EXP(-Assumptions!$B$3*Assumptions!$B$9)*NORMSDIST((((LN(Assumptions!$B$2/$B20)+(Assumptions!$B$3-Assumptions!$B$4+(J$3/100)^2/2)*Assumptions!$B$9)/((J$3/100)*Assumptions!$B$10))-(J$3/100)*Assumptions!$B$10)))))</f>
        <v/>
      </c>
      <c r="K41" s="56">
        <f>IF((MAX(0,Assumptions!$B$2*EXP(-Assumptions!$B$4*Assumptions!$B$9)*NORMSDIST(((LN(Assumptions!$B$2/$B20)+(Assumptions!$B$3-Assumptions!$B$4+(K$3/100)^2/2)*Assumptions!$B$9)/((K$3/100)*Assumptions!$B$10)))-$B20*EXP(-Assumptions!$B$3*Assumptions!$B$9)*NORMSDIST((((LN(Assumptions!$B$2/$B20)+(Assumptions!$B$3-Assumptions!$B$4+(K$3/100)^2/2)*Assumptions!$B$9)/((K$3/100)*Assumptions!$B$10))-(K$3/100)*Assumptions!$B$10))))&lt;=0,"",(Assumptions!$B$2*EXP(-Assumptions!$B$4*Assumptions!$B$9)*NORMDIST(((LN(Assumptions!$B$2/$B20)+(Assumptions!$B$3-Assumptions!$B$4+(K$3/100)^2/2)*Assumptions!$B$9)/((K$3/100)*Assumptions!$B$10)),0,1,FALSE)*Assumptions!$B$10*0.01)*0.5/(MAX(0,Assumptions!$B$2*EXP(-Assumptions!$B$4*Assumptions!$B$9)*NORMSDIST(((LN(Assumptions!$B$2/$B20)+(Assumptions!$B$3-Assumptions!$B$4+(K$3/100)^2/2)*Assumptions!$B$9)/((K$3/100)*Assumptions!$B$10)))-$B20*EXP(-Assumptions!$B$3*Assumptions!$B$9)*NORMSDIST((((LN(Assumptions!$B$2/$B20)+(Assumptions!$B$3-Assumptions!$B$4+(K$3/100)^2/2)*Assumptions!$B$9)/((K$3/100)*Assumptions!$B$10))-(K$3/100)*Assumptions!$B$10)))))</f>
        <v/>
      </c>
      <c r="L41" s="56">
        <f>IF((MAX(0,Assumptions!$B$2*EXP(-Assumptions!$B$4*Assumptions!$B$9)*NORMSDIST(((LN(Assumptions!$B$2/$B20)+(Assumptions!$B$3-Assumptions!$B$4+(L$3/100)^2/2)*Assumptions!$B$9)/((L$3/100)*Assumptions!$B$10)))-$B20*EXP(-Assumptions!$B$3*Assumptions!$B$9)*NORMSDIST((((LN(Assumptions!$B$2/$B20)+(Assumptions!$B$3-Assumptions!$B$4+(L$3/100)^2/2)*Assumptions!$B$9)/((L$3/100)*Assumptions!$B$10))-(L$3/100)*Assumptions!$B$10))))&lt;=0,"",(Assumptions!$B$2*EXP(-Assumptions!$B$4*Assumptions!$B$9)*NORMDIST(((LN(Assumptions!$B$2/$B20)+(Assumptions!$B$3-Assumptions!$B$4+(L$3/100)^2/2)*Assumptions!$B$9)/((L$3/100)*Assumptions!$B$10)),0,1,FALSE)*Assumptions!$B$10*0.01)*0.5/(MAX(0,Assumptions!$B$2*EXP(-Assumptions!$B$4*Assumptions!$B$9)*NORMSDIST(((LN(Assumptions!$B$2/$B20)+(Assumptions!$B$3-Assumptions!$B$4+(L$3/100)^2/2)*Assumptions!$B$9)/((L$3/100)*Assumptions!$B$10)))-$B20*EXP(-Assumptions!$B$3*Assumptions!$B$9)*NORMSDIST((((LN(Assumptions!$B$2/$B20)+(Assumptions!$B$3-Assumptions!$B$4+(L$3/100)^2/2)*Assumptions!$B$9)/((L$3/100)*Assumptions!$B$10))-(L$3/100)*Assumptions!$B$10)))))</f>
        <v/>
      </c>
      <c r="M41" s="56">
        <f>IF((MAX(0,Assumptions!$B$2*EXP(-Assumptions!$B$4*Assumptions!$B$9)*NORMSDIST(((LN(Assumptions!$B$2/$B20)+(Assumptions!$B$3-Assumptions!$B$4+(M$3/100)^2/2)*Assumptions!$B$9)/((M$3/100)*Assumptions!$B$10)))-$B20*EXP(-Assumptions!$B$3*Assumptions!$B$9)*NORMSDIST((((LN(Assumptions!$B$2/$B20)+(Assumptions!$B$3-Assumptions!$B$4+(M$3/100)^2/2)*Assumptions!$B$9)/((M$3/100)*Assumptions!$B$10))-(M$3/100)*Assumptions!$B$10))))&lt;=0,"",(Assumptions!$B$2*EXP(-Assumptions!$B$4*Assumptions!$B$9)*NORMDIST(((LN(Assumptions!$B$2/$B20)+(Assumptions!$B$3-Assumptions!$B$4+(M$3/100)^2/2)*Assumptions!$B$9)/((M$3/100)*Assumptions!$B$10)),0,1,FALSE)*Assumptions!$B$10*0.01)*0.5/(MAX(0,Assumptions!$B$2*EXP(-Assumptions!$B$4*Assumptions!$B$9)*NORMSDIST(((LN(Assumptions!$B$2/$B20)+(Assumptions!$B$3-Assumptions!$B$4+(M$3/100)^2/2)*Assumptions!$B$9)/((M$3/100)*Assumptions!$B$10)))-$B20*EXP(-Assumptions!$B$3*Assumptions!$B$9)*NORMSDIST((((LN(Assumptions!$B$2/$B20)+(Assumptions!$B$3-Assumptions!$B$4+(M$3/100)^2/2)*Assumptions!$B$9)/((M$3/100)*Assumptions!$B$10))-(M$3/100)*Assumptions!$B$10)))))</f>
        <v/>
      </c>
      <c r="N41" s="56">
        <f>IF((MAX(0,Assumptions!$B$2*EXP(-Assumptions!$B$4*Assumptions!$B$9)*NORMSDIST(((LN(Assumptions!$B$2/$B20)+(Assumptions!$B$3-Assumptions!$B$4+(N$3/100)^2/2)*Assumptions!$B$9)/((N$3/100)*Assumptions!$B$10)))-$B20*EXP(-Assumptions!$B$3*Assumptions!$B$9)*NORMSDIST((((LN(Assumptions!$B$2/$B20)+(Assumptions!$B$3-Assumptions!$B$4+(N$3/100)^2/2)*Assumptions!$B$9)/((N$3/100)*Assumptions!$B$10))-(N$3/100)*Assumptions!$B$10))))&lt;=0,"",(Assumptions!$B$2*EXP(-Assumptions!$B$4*Assumptions!$B$9)*NORMDIST(((LN(Assumptions!$B$2/$B20)+(Assumptions!$B$3-Assumptions!$B$4+(N$3/100)^2/2)*Assumptions!$B$9)/((N$3/100)*Assumptions!$B$10)),0,1,FALSE)*Assumptions!$B$10*0.01)*0.5/(MAX(0,Assumptions!$B$2*EXP(-Assumptions!$B$4*Assumptions!$B$9)*NORMSDIST(((LN(Assumptions!$B$2/$B20)+(Assumptions!$B$3-Assumptions!$B$4+(N$3/100)^2/2)*Assumptions!$B$9)/((N$3/100)*Assumptions!$B$10)))-$B20*EXP(-Assumptions!$B$3*Assumptions!$B$9)*NORMSDIST((((LN(Assumptions!$B$2/$B20)+(Assumptions!$B$3-Assumptions!$B$4+(N$3/100)^2/2)*Assumptions!$B$9)/((N$3/100)*Assumptions!$B$10))-(N$3/100)*Assumptions!$B$10)))))</f>
        <v/>
      </c>
      <c r="O41" s="56">
        <f>IF((MAX(0,Assumptions!$B$2*EXP(-Assumptions!$B$4*Assumptions!$B$9)*NORMSDIST(((LN(Assumptions!$B$2/$B20)+(Assumptions!$B$3-Assumptions!$B$4+(O$3/100)^2/2)*Assumptions!$B$9)/((O$3/100)*Assumptions!$B$10)))-$B20*EXP(-Assumptions!$B$3*Assumptions!$B$9)*NORMSDIST((((LN(Assumptions!$B$2/$B20)+(Assumptions!$B$3-Assumptions!$B$4+(O$3/100)^2/2)*Assumptions!$B$9)/((O$3/100)*Assumptions!$B$10))-(O$3/100)*Assumptions!$B$10))))&lt;=0,"",(Assumptions!$B$2*EXP(-Assumptions!$B$4*Assumptions!$B$9)*NORMDIST(((LN(Assumptions!$B$2/$B20)+(Assumptions!$B$3-Assumptions!$B$4+(O$3/100)^2/2)*Assumptions!$B$9)/((O$3/100)*Assumptions!$B$10)),0,1,FALSE)*Assumptions!$B$10*0.01)*0.5/(MAX(0,Assumptions!$B$2*EXP(-Assumptions!$B$4*Assumptions!$B$9)*NORMSDIST(((LN(Assumptions!$B$2/$B20)+(Assumptions!$B$3-Assumptions!$B$4+(O$3/100)^2/2)*Assumptions!$B$9)/((O$3/100)*Assumptions!$B$10)))-$B20*EXP(-Assumptions!$B$3*Assumptions!$B$9)*NORMSDIST((((LN(Assumptions!$B$2/$B20)+(Assumptions!$B$3-Assumptions!$B$4+(O$3/100)^2/2)*Assumptions!$B$9)/((O$3/100)*Assumptions!$B$10))-(O$3/100)*Assumptions!$B$10)))))</f>
        <v/>
      </c>
      <c r="P41" s="56">
        <f>IF((MAX(0,Assumptions!$B$2*EXP(-Assumptions!$B$4*Assumptions!$B$9)*NORMSDIST(((LN(Assumptions!$B$2/$B20)+(Assumptions!$B$3-Assumptions!$B$4+(P$3/100)^2/2)*Assumptions!$B$9)/((P$3/100)*Assumptions!$B$10)))-$B20*EXP(-Assumptions!$B$3*Assumptions!$B$9)*NORMSDIST((((LN(Assumptions!$B$2/$B20)+(Assumptions!$B$3-Assumptions!$B$4+(P$3/100)^2/2)*Assumptions!$B$9)/((P$3/100)*Assumptions!$B$10))-(P$3/100)*Assumptions!$B$10))))&lt;=0,"",(Assumptions!$B$2*EXP(-Assumptions!$B$4*Assumptions!$B$9)*NORMDIST(((LN(Assumptions!$B$2/$B20)+(Assumptions!$B$3-Assumptions!$B$4+(P$3/100)^2/2)*Assumptions!$B$9)/((P$3/100)*Assumptions!$B$10)),0,1,FALSE)*Assumptions!$B$10*0.01)*0.5/(MAX(0,Assumptions!$B$2*EXP(-Assumptions!$B$4*Assumptions!$B$9)*NORMSDIST(((LN(Assumptions!$B$2/$B20)+(Assumptions!$B$3-Assumptions!$B$4+(P$3/100)^2/2)*Assumptions!$B$9)/((P$3/100)*Assumptions!$B$10)))-$B20*EXP(-Assumptions!$B$3*Assumptions!$B$9)*NORMSDIST((((LN(Assumptions!$B$2/$B20)+(Assumptions!$B$3-Assumptions!$B$4+(P$3/100)^2/2)*Assumptions!$B$9)/((P$3/100)*Assumptions!$B$10))-(P$3/100)*Assumptions!$B$10)))))</f>
        <v/>
      </c>
      <c r="Q41" s="56">
        <f>IF((MAX(0,Assumptions!$B$2*EXP(-Assumptions!$B$4*Assumptions!$B$9)*NORMSDIST(((LN(Assumptions!$B$2/$B20)+(Assumptions!$B$3-Assumptions!$B$4+(Q$3/100)^2/2)*Assumptions!$B$9)/((Q$3/100)*Assumptions!$B$10)))-$B20*EXP(-Assumptions!$B$3*Assumptions!$B$9)*NORMSDIST((((LN(Assumptions!$B$2/$B20)+(Assumptions!$B$3-Assumptions!$B$4+(Q$3/100)^2/2)*Assumptions!$B$9)/((Q$3/100)*Assumptions!$B$10))-(Q$3/100)*Assumptions!$B$10))))&lt;=0,"",(Assumptions!$B$2*EXP(-Assumptions!$B$4*Assumptions!$B$9)*NORMDIST(((LN(Assumptions!$B$2/$B20)+(Assumptions!$B$3-Assumptions!$B$4+(Q$3/100)^2/2)*Assumptions!$B$9)/((Q$3/100)*Assumptions!$B$10)),0,1,FALSE)*Assumptions!$B$10*0.01)*0.5/(MAX(0,Assumptions!$B$2*EXP(-Assumptions!$B$4*Assumptions!$B$9)*NORMSDIST(((LN(Assumptions!$B$2/$B20)+(Assumptions!$B$3-Assumptions!$B$4+(Q$3/100)^2/2)*Assumptions!$B$9)/((Q$3/100)*Assumptions!$B$10)))-$B20*EXP(-Assumptions!$B$3*Assumptions!$B$9)*NORMSDIST((((LN(Assumptions!$B$2/$B20)+(Assumptions!$B$3-Assumptions!$B$4+(Q$3/100)^2/2)*Assumptions!$B$9)/((Q$3/100)*Assumptions!$B$10))-(Q$3/100)*Assumptions!$B$10)))))</f>
        <v/>
      </c>
      <c r="R41" s="56">
        <f>IF((MAX(0,Assumptions!$B$2*EXP(-Assumptions!$B$4*Assumptions!$B$9)*NORMSDIST(((LN(Assumptions!$B$2/$B20)+(Assumptions!$B$3-Assumptions!$B$4+(R$3/100)^2/2)*Assumptions!$B$9)/((R$3/100)*Assumptions!$B$10)))-$B20*EXP(-Assumptions!$B$3*Assumptions!$B$9)*NORMSDIST((((LN(Assumptions!$B$2/$B20)+(Assumptions!$B$3-Assumptions!$B$4+(R$3/100)^2/2)*Assumptions!$B$9)/((R$3/100)*Assumptions!$B$10))-(R$3/100)*Assumptions!$B$10))))&lt;=0,"",(Assumptions!$B$2*EXP(-Assumptions!$B$4*Assumptions!$B$9)*NORMDIST(((LN(Assumptions!$B$2/$B20)+(Assumptions!$B$3-Assumptions!$B$4+(R$3/100)^2/2)*Assumptions!$B$9)/((R$3/100)*Assumptions!$B$10)),0,1,FALSE)*Assumptions!$B$10*0.01)*0.5/(MAX(0,Assumptions!$B$2*EXP(-Assumptions!$B$4*Assumptions!$B$9)*NORMSDIST(((LN(Assumptions!$B$2/$B20)+(Assumptions!$B$3-Assumptions!$B$4+(R$3/100)^2/2)*Assumptions!$B$9)/((R$3/100)*Assumptions!$B$10)))-$B20*EXP(-Assumptions!$B$3*Assumptions!$B$9)*NORMSDIST((((LN(Assumptions!$B$2/$B20)+(Assumptions!$B$3-Assumptions!$B$4+(R$3/100)^2/2)*Assumptions!$B$9)/((R$3/100)*Assumptions!$B$10))-(R$3/100)*Assumptions!$B$10)))))</f>
        <v/>
      </c>
      <c r="S41" s="56">
        <f>IF((MAX(0,Assumptions!$B$2*EXP(-Assumptions!$B$4*Assumptions!$B$9)*NORMSDIST(((LN(Assumptions!$B$2/$B20)+(Assumptions!$B$3-Assumptions!$B$4+(S$3/100)^2/2)*Assumptions!$B$9)/((S$3/100)*Assumptions!$B$10)))-$B20*EXP(-Assumptions!$B$3*Assumptions!$B$9)*NORMSDIST((((LN(Assumptions!$B$2/$B20)+(Assumptions!$B$3-Assumptions!$B$4+(S$3/100)^2/2)*Assumptions!$B$9)/((S$3/100)*Assumptions!$B$10))-(S$3/100)*Assumptions!$B$10))))&lt;=0,"",(Assumptions!$B$2*EXP(-Assumptions!$B$4*Assumptions!$B$9)*NORMDIST(((LN(Assumptions!$B$2/$B20)+(Assumptions!$B$3-Assumptions!$B$4+(S$3/100)^2/2)*Assumptions!$B$9)/((S$3/100)*Assumptions!$B$10)),0,1,FALSE)*Assumptions!$B$10*0.01)*0.5/(MAX(0,Assumptions!$B$2*EXP(-Assumptions!$B$4*Assumptions!$B$9)*NORMSDIST(((LN(Assumptions!$B$2/$B20)+(Assumptions!$B$3-Assumptions!$B$4+(S$3/100)^2/2)*Assumptions!$B$9)/((S$3/100)*Assumptions!$B$10)))-$B20*EXP(-Assumptions!$B$3*Assumptions!$B$9)*NORMSDIST((((LN(Assumptions!$B$2/$B20)+(Assumptions!$B$3-Assumptions!$B$4+(S$3/100)^2/2)*Assumptions!$B$9)/((S$3/100)*Assumptions!$B$10))-(S$3/100)*Assumptions!$B$10)))))</f>
        <v/>
      </c>
      <c r="T41" s="56">
        <f>IF((MAX(0,Assumptions!$B$2*EXP(-Assumptions!$B$4*Assumptions!$B$9)*NORMSDIST(((LN(Assumptions!$B$2/$B20)+(Assumptions!$B$3-Assumptions!$B$4+(T$3/100)^2/2)*Assumptions!$B$9)/((T$3/100)*Assumptions!$B$10)))-$B20*EXP(-Assumptions!$B$3*Assumptions!$B$9)*NORMSDIST((((LN(Assumptions!$B$2/$B20)+(Assumptions!$B$3-Assumptions!$B$4+(T$3/100)^2/2)*Assumptions!$B$9)/((T$3/100)*Assumptions!$B$10))-(T$3/100)*Assumptions!$B$10))))&lt;=0,"",(Assumptions!$B$2*EXP(-Assumptions!$B$4*Assumptions!$B$9)*NORMDIST(((LN(Assumptions!$B$2/$B20)+(Assumptions!$B$3-Assumptions!$B$4+(T$3/100)^2/2)*Assumptions!$B$9)/((T$3/100)*Assumptions!$B$10)),0,1,FALSE)*Assumptions!$B$10*0.01)*0.5/(MAX(0,Assumptions!$B$2*EXP(-Assumptions!$B$4*Assumptions!$B$9)*NORMSDIST(((LN(Assumptions!$B$2/$B20)+(Assumptions!$B$3-Assumptions!$B$4+(T$3/100)^2/2)*Assumptions!$B$9)/((T$3/100)*Assumptions!$B$10)))-$B20*EXP(-Assumptions!$B$3*Assumptions!$B$9)*NORMSDIST((((LN(Assumptions!$B$2/$B20)+(Assumptions!$B$3-Assumptions!$B$4+(T$3/100)^2/2)*Assumptions!$B$9)/((T$3/100)*Assumptions!$B$10))-(T$3/100)*Assumptions!$B$10)))))</f>
        <v/>
      </c>
      <c r="U41" s="56">
        <f>IF((MAX(0,Assumptions!$B$2*EXP(-Assumptions!$B$4*Assumptions!$B$9)*NORMSDIST(((LN(Assumptions!$B$2/$B20)+(Assumptions!$B$3-Assumptions!$B$4+(U$3/100)^2/2)*Assumptions!$B$9)/((U$3/100)*Assumptions!$B$10)))-$B20*EXP(-Assumptions!$B$3*Assumptions!$B$9)*NORMSDIST((((LN(Assumptions!$B$2/$B20)+(Assumptions!$B$3-Assumptions!$B$4+(U$3/100)^2/2)*Assumptions!$B$9)/((U$3/100)*Assumptions!$B$10))-(U$3/100)*Assumptions!$B$10))))&lt;=0,"",(Assumptions!$B$2*EXP(-Assumptions!$B$4*Assumptions!$B$9)*NORMDIST(((LN(Assumptions!$B$2/$B20)+(Assumptions!$B$3-Assumptions!$B$4+(U$3/100)^2/2)*Assumptions!$B$9)/((U$3/100)*Assumptions!$B$10)),0,1,FALSE)*Assumptions!$B$10*0.01)*0.5/(MAX(0,Assumptions!$B$2*EXP(-Assumptions!$B$4*Assumptions!$B$9)*NORMSDIST(((LN(Assumptions!$B$2/$B20)+(Assumptions!$B$3-Assumptions!$B$4+(U$3/100)^2/2)*Assumptions!$B$9)/((U$3/100)*Assumptions!$B$10)))-$B20*EXP(-Assumptions!$B$3*Assumptions!$B$9)*NORMSDIST((((LN(Assumptions!$B$2/$B20)+(Assumptions!$B$3-Assumptions!$B$4+(U$3/100)^2/2)*Assumptions!$B$9)/((U$3/100)*Assumptions!$B$10))-(U$3/100)*Assumptions!$B$10)))))</f>
        <v/>
      </c>
      <c r="V41" s="56">
        <f>IF((MAX(0,Assumptions!$B$2*EXP(-Assumptions!$B$4*Assumptions!$B$9)*NORMSDIST(((LN(Assumptions!$B$2/$B20)+(Assumptions!$B$3-Assumptions!$B$4+(V$3/100)^2/2)*Assumptions!$B$9)/((V$3/100)*Assumptions!$B$10)))-$B20*EXP(-Assumptions!$B$3*Assumptions!$B$9)*NORMSDIST((((LN(Assumptions!$B$2/$B20)+(Assumptions!$B$3-Assumptions!$B$4+(V$3/100)^2/2)*Assumptions!$B$9)/((V$3/100)*Assumptions!$B$10))-(V$3/100)*Assumptions!$B$10))))&lt;=0,"",(Assumptions!$B$2*EXP(-Assumptions!$B$4*Assumptions!$B$9)*NORMDIST(((LN(Assumptions!$B$2/$B20)+(Assumptions!$B$3-Assumptions!$B$4+(V$3/100)^2/2)*Assumptions!$B$9)/((V$3/100)*Assumptions!$B$10)),0,1,FALSE)*Assumptions!$B$10*0.01)*0.5/(MAX(0,Assumptions!$B$2*EXP(-Assumptions!$B$4*Assumptions!$B$9)*NORMSDIST(((LN(Assumptions!$B$2/$B20)+(Assumptions!$B$3-Assumptions!$B$4+(V$3/100)^2/2)*Assumptions!$B$9)/((V$3/100)*Assumptions!$B$10)))-$B20*EXP(-Assumptions!$B$3*Assumptions!$B$9)*NORMSDIST((((LN(Assumptions!$B$2/$B20)+(Assumptions!$B$3-Assumptions!$B$4+(V$3/100)^2/2)*Assumptions!$B$9)/((V$3/100)*Assumptions!$B$10))-(V$3/100)*Assumptions!$B$10)))))</f>
        <v/>
      </c>
      <c r="W41" s="56">
        <f>IF((MAX(0,Assumptions!$B$2*EXP(-Assumptions!$B$4*Assumptions!$B$9)*NORMSDIST(((LN(Assumptions!$B$2/$B20)+(Assumptions!$B$3-Assumptions!$B$4+(W$3/100)^2/2)*Assumptions!$B$9)/((W$3/100)*Assumptions!$B$10)))-$B20*EXP(-Assumptions!$B$3*Assumptions!$B$9)*NORMSDIST((((LN(Assumptions!$B$2/$B20)+(Assumptions!$B$3-Assumptions!$B$4+(W$3/100)^2/2)*Assumptions!$B$9)/((W$3/100)*Assumptions!$B$10))-(W$3/100)*Assumptions!$B$10))))&lt;=0,"",(Assumptions!$B$2*EXP(-Assumptions!$B$4*Assumptions!$B$9)*NORMDIST(((LN(Assumptions!$B$2/$B20)+(Assumptions!$B$3-Assumptions!$B$4+(W$3/100)^2/2)*Assumptions!$B$9)/((W$3/100)*Assumptions!$B$10)),0,1,FALSE)*Assumptions!$B$10*0.01)*0.5/(MAX(0,Assumptions!$B$2*EXP(-Assumptions!$B$4*Assumptions!$B$9)*NORMSDIST(((LN(Assumptions!$B$2/$B20)+(Assumptions!$B$3-Assumptions!$B$4+(W$3/100)^2/2)*Assumptions!$B$9)/((W$3/100)*Assumptions!$B$10)))-$B20*EXP(-Assumptions!$B$3*Assumptions!$B$9)*NORMSDIST((((LN(Assumptions!$B$2/$B20)+(Assumptions!$B$3-Assumptions!$B$4+(W$3/100)^2/2)*Assumptions!$B$9)/((W$3/100)*Assumptions!$B$10))-(W$3/100)*Assumptions!$B$10)))))</f>
        <v/>
      </c>
      <c r="X41" s="56">
        <f>IF((MAX(0,Assumptions!$B$2*EXP(-Assumptions!$B$4*Assumptions!$B$9)*NORMSDIST(((LN(Assumptions!$B$2/$B20)+(Assumptions!$B$3-Assumptions!$B$4+(X$3/100)^2/2)*Assumptions!$B$9)/((X$3/100)*Assumptions!$B$10)))-$B20*EXP(-Assumptions!$B$3*Assumptions!$B$9)*NORMSDIST((((LN(Assumptions!$B$2/$B20)+(Assumptions!$B$3-Assumptions!$B$4+(X$3/100)^2/2)*Assumptions!$B$9)/((X$3/100)*Assumptions!$B$10))-(X$3/100)*Assumptions!$B$10))))&lt;=0,"",(Assumptions!$B$2*EXP(-Assumptions!$B$4*Assumptions!$B$9)*NORMDIST(((LN(Assumptions!$B$2/$B20)+(Assumptions!$B$3-Assumptions!$B$4+(X$3/100)^2/2)*Assumptions!$B$9)/((X$3/100)*Assumptions!$B$10)),0,1,FALSE)*Assumptions!$B$10*0.01)*0.5/(MAX(0,Assumptions!$B$2*EXP(-Assumptions!$B$4*Assumptions!$B$9)*NORMSDIST(((LN(Assumptions!$B$2/$B20)+(Assumptions!$B$3-Assumptions!$B$4+(X$3/100)^2/2)*Assumptions!$B$9)/((X$3/100)*Assumptions!$B$10)))-$B20*EXP(-Assumptions!$B$3*Assumptions!$B$9)*NORMSDIST((((LN(Assumptions!$B$2/$B20)+(Assumptions!$B$3-Assumptions!$B$4+(X$3/100)^2/2)*Assumptions!$B$9)/((X$3/100)*Assumptions!$B$10))-(X$3/100)*Assumptions!$B$10)))))</f>
        <v/>
      </c>
      <c r="Y41" s="56">
        <f>IF((MAX(0,Assumptions!$B$2*EXP(-Assumptions!$B$4*Assumptions!$B$9)*NORMSDIST(((LN(Assumptions!$B$2/$B20)+(Assumptions!$B$3-Assumptions!$B$4+(Y$3/100)^2/2)*Assumptions!$B$9)/((Y$3/100)*Assumptions!$B$10)))-$B20*EXP(-Assumptions!$B$3*Assumptions!$B$9)*NORMSDIST((((LN(Assumptions!$B$2/$B20)+(Assumptions!$B$3-Assumptions!$B$4+(Y$3/100)^2/2)*Assumptions!$B$9)/((Y$3/100)*Assumptions!$B$10))-(Y$3/100)*Assumptions!$B$10))))&lt;=0,"",(Assumptions!$B$2*EXP(-Assumptions!$B$4*Assumptions!$B$9)*NORMDIST(((LN(Assumptions!$B$2/$B20)+(Assumptions!$B$3-Assumptions!$B$4+(Y$3/100)^2/2)*Assumptions!$B$9)/((Y$3/100)*Assumptions!$B$10)),0,1,FALSE)*Assumptions!$B$10*0.01)*0.5/(MAX(0,Assumptions!$B$2*EXP(-Assumptions!$B$4*Assumptions!$B$9)*NORMSDIST(((LN(Assumptions!$B$2/$B20)+(Assumptions!$B$3-Assumptions!$B$4+(Y$3/100)^2/2)*Assumptions!$B$9)/((Y$3/100)*Assumptions!$B$10)))-$B20*EXP(-Assumptions!$B$3*Assumptions!$B$9)*NORMSDIST((((LN(Assumptions!$B$2/$B20)+(Assumptions!$B$3-Assumptions!$B$4+(Y$3/100)^2/2)*Assumptions!$B$9)/((Y$3/100)*Assumptions!$B$10))-(Y$3/100)*Assumptions!$B$10)))))</f>
        <v/>
      </c>
      <c r="Z41" s="56">
        <f>IF((MAX(0,Assumptions!$B$2*EXP(-Assumptions!$B$4*Assumptions!$B$9)*NORMSDIST(((LN(Assumptions!$B$2/$B20)+(Assumptions!$B$3-Assumptions!$B$4+(Z$3/100)^2/2)*Assumptions!$B$9)/((Z$3/100)*Assumptions!$B$10)))-$B20*EXP(-Assumptions!$B$3*Assumptions!$B$9)*NORMSDIST((((LN(Assumptions!$B$2/$B20)+(Assumptions!$B$3-Assumptions!$B$4+(Z$3/100)^2/2)*Assumptions!$B$9)/((Z$3/100)*Assumptions!$B$10))-(Z$3/100)*Assumptions!$B$10))))&lt;=0,"",(Assumptions!$B$2*EXP(-Assumptions!$B$4*Assumptions!$B$9)*NORMDIST(((LN(Assumptions!$B$2/$B20)+(Assumptions!$B$3-Assumptions!$B$4+(Z$3/100)^2/2)*Assumptions!$B$9)/((Z$3/100)*Assumptions!$B$10)),0,1,FALSE)*Assumptions!$B$10*0.01)*0.5/(MAX(0,Assumptions!$B$2*EXP(-Assumptions!$B$4*Assumptions!$B$9)*NORMSDIST(((LN(Assumptions!$B$2/$B20)+(Assumptions!$B$3-Assumptions!$B$4+(Z$3/100)^2/2)*Assumptions!$B$9)/((Z$3/100)*Assumptions!$B$10)))-$B20*EXP(-Assumptions!$B$3*Assumptions!$B$9)*NORMSDIST((((LN(Assumptions!$B$2/$B20)+(Assumptions!$B$3-Assumptions!$B$4+(Z$3/100)^2/2)*Assumptions!$B$9)/((Z$3/100)*Assumptions!$B$10))-(Z$3/100)*Assumptions!$B$10)))))</f>
        <v/>
      </c>
      <c r="AA41" s="56">
        <f>IF((MAX(0,Assumptions!$B$2*EXP(-Assumptions!$B$4*Assumptions!$B$9)*NORMSDIST(((LN(Assumptions!$B$2/$B20)+(Assumptions!$B$3-Assumptions!$B$4+(AA$3/100)^2/2)*Assumptions!$B$9)/((AA$3/100)*Assumptions!$B$10)))-$B20*EXP(-Assumptions!$B$3*Assumptions!$B$9)*NORMSDIST((((LN(Assumptions!$B$2/$B20)+(Assumptions!$B$3-Assumptions!$B$4+(AA$3/100)^2/2)*Assumptions!$B$9)/((AA$3/100)*Assumptions!$B$10))-(AA$3/100)*Assumptions!$B$10))))&lt;=0,"",(Assumptions!$B$2*EXP(-Assumptions!$B$4*Assumptions!$B$9)*NORMDIST(((LN(Assumptions!$B$2/$B20)+(Assumptions!$B$3-Assumptions!$B$4+(AA$3/100)^2/2)*Assumptions!$B$9)/((AA$3/100)*Assumptions!$B$10)),0,1,FALSE)*Assumptions!$B$10*0.01)*0.5/(MAX(0,Assumptions!$B$2*EXP(-Assumptions!$B$4*Assumptions!$B$9)*NORMSDIST(((LN(Assumptions!$B$2/$B20)+(Assumptions!$B$3-Assumptions!$B$4+(AA$3/100)^2/2)*Assumptions!$B$9)/((AA$3/100)*Assumptions!$B$10)))-$B20*EXP(-Assumptions!$B$3*Assumptions!$B$9)*NORMSDIST((((LN(Assumptions!$B$2/$B20)+(Assumptions!$B$3-Assumptions!$B$4+(AA$3/100)^2/2)*Assumptions!$B$9)/((AA$3/100)*Assumptions!$B$10))-(AA$3/100)*Assumptions!$B$10)))))</f>
        <v/>
      </c>
      <c r="AB41" s="56">
        <f>IF((MAX(0,Assumptions!$B$2*EXP(-Assumptions!$B$4*Assumptions!$B$9)*NORMSDIST(((LN(Assumptions!$B$2/$B20)+(Assumptions!$B$3-Assumptions!$B$4+(AB$3/100)^2/2)*Assumptions!$B$9)/((AB$3/100)*Assumptions!$B$10)))-$B20*EXP(-Assumptions!$B$3*Assumptions!$B$9)*NORMSDIST((((LN(Assumptions!$B$2/$B20)+(Assumptions!$B$3-Assumptions!$B$4+(AB$3/100)^2/2)*Assumptions!$B$9)/((AB$3/100)*Assumptions!$B$10))-(AB$3/100)*Assumptions!$B$10))))&lt;=0,"",(Assumptions!$B$2*EXP(-Assumptions!$B$4*Assumptions!$B$9)*NORMDIST(((LN(Assumptions!$B$2/$B20)+(Assumptions!$B$3-Assumptions!$B$4+(AB$3/100)^2/2)*Assumptions!$B$9)/((AB$3/100)*Assumptions!$B$10)),0,1,FALSE)*Assumptions!$B$10*0.01)*0.5/(MAX(0,Assumptions!$B$2*EXP(-Assumptions!$B$4*Assumptions!$B$9)*NORMSDIST(((LN(Assumptions!$B$2/$B20)+(Assumptions!$B$3-Assumptions!$B$4+(AB$3/100)^2/2)*Assumptions!$B$9)/((AB$3/100)*Assumptions!$B$10)))-$B20*EXP(-Assumptions!$B$3*Assumptions!$B$9)*NORMSDIST((((LN(Assumptions!$B$2/$B20)+(Assumptions!$B$3-Assumptions!$B$4+(AB$3/100)^2/2)*Assumptions!$B$9)/((AB$3/100)*Assumptions!$B$10))-(AB$3/100)*Assumptions!$B$10)))))</f>
        <v/>
      </c>
      <c r="AC41" s="56">
        <f>IF((MAX(0,Assumptions!$B$2*EXP(-Assumptions!$B$4*Assumptions!$B$9)*NORMSDIST(((LN(Assumptions!$B$2/$B20)+(Assumptions!$B$3-Assumptions!$B$4+(AC$3/100)^2/2)*Assumptions!$B$9)/((AC$3/100)*Assumptions!$B$10)))-$B20*EXP(-Assumptions!$B$3*Assumptions!$B$9)*NORMSDIST((((LN(Assumptions!$B$2/$B20)+(Assumptions!$B$3-Assumptions!$B$4+(AC$3/100)^2/2)*Assumptions!$B$9)/((AC$3/100)*Assumptions!$B$10))-(AC$3/100)*Assumptions!$B$10))))&lt;=0,"",(Assumptions!$B$2*EXP(-Assumptions!$B$4*Assumptions!$B$9)*NORMDIST(((LN(Assumptions!$B$2/$B20)+(Assumptions!$B$3-Assumptions!$B$4+(AC$3/100)^2/2)*Assumptions!$B$9)/((AC$3/100)*Assumptions!$B$10)),0,1,FALSE)*Assumptions!$B$10*0.01)*0.5/(MAX(0,Assumptions!$B$2*EXP(-Assumptions!$B$4*Assumptions!$B$9)*NORMSDIST(((LN(Assumptions!$B$2/$B20)+(Assumptions!$B$3-Assumptions!$B$4+(AC$3/100)^2/2)*Assumptions!$B$9)/((AC$3/100)*Assumptions!$B$10)))-$B20*EXP(-Assumptions!$B$3*Assumptions!$B$9)*NORMSDIST((((LN(Assumptions!$B$2/$B20)+(Assumptions!$B$3-Assumptions!$B$4+(AC$3/100)^2/2)*Assumptions!$B$9)/((AC$3/100)*Assumptions!$B$10))-(AC$3/100)*Assumptions!$B$10)))))</f>
        <v/>
      </c>
      <c r="AD41" s="56">
        <f>IF((MAX(0,Assumptions!$B$2*EXP(-Assumptions!$B$4*Assumptions!$B$9)*NORMSDIST(((LN(Assumptions!$B$2/$B20)+(Assumptions!$B$3-Assumptions!$B$4+(AD$3/100)^2/2)*Assumptions!$B$9)/((AD$3/100)*Assumptions!$B$10)))-$B20*EXP(-Assumptions!$B$3*Assumptions!$B$9)*NORMSDIST((((LN(Assumptions!$B$2/$B20)+(Assumptions!$B$3-Assumptions!$B$4+(AD$3/100)^2/2)*Assumptions!$B$9)/((AD$3/100)*Assumptions!$B$10))-(AD$3/100)*Assumptions!$B$10))))&lt;=0,"",(Assumptions!$B$2*EXP(-Assumptions!$B$4*Assumptions!$B$9)*NORMDIST(((LN(Assumptions!$B$2/$B20)+(Assumptions!$B$3-Assumptions!$B$4+(AD$3/100)^2/2)*Assumptions!$B$9)/((AD$3/100)*Assumptions!$B$10)),0,1,FALSE)*Assumptions!$B$10*0.01)*0.5/(MAX(0,Assumptions!$B$2*EXP(-Assumptions!$B$4*Assumptions!$B$9)*NORMSDIST(((LN(Assumptions!$B$2/$B20)+(Assumptions!$B$3-Assumptions!$B$4+(AD$3/100)^2/2)*Assumptions!$B$9)/((AD$3/100)*Assumptions!$B$10)))-$B20*EXP(-Assumptions!$B$3*Assumptions!$B$9)*NORMSDIST((((LN(Assumptions!$B$2/$B20)+(Assumptions!$B$3-Assumptions!$B$4+(AD$3/100)^2/2)*Assumptions!$B$9)/((AD$3/100)*Assumptions!$B$10))-(AD$3/100)*Assumptions!$B$10)))))</f>
        <v/>
      </c>
      <c r="AE41" s="56">
        <f>IF((MAX(0,Assumptions!$B$2*EXP(-Assumptions!$B$4*Assumptions!$B$9)*NORMSDIST(((LN(Assumptions!$B$2/$B20)+(Assumptions!$B$3-Assumptions!$B$4+(AE$3/100)^2/2)*Assumptions!$B$9)/((AE$3/100)*Assumptions!$B$10)))-$B20*EXP(-Assumptions!$B$3*Assumptions!$B$9)*NORMSDIST((((LN(Assumptions!$B$2/$B20)+(Assumptions!$B$3-Assumptions!$B$4+(AE$3/100)^2/2)*Assumptions!$B$9)/((AE$3/100)*Assumptions!$B$10))-(AE$3/100)*Assumptions!$B$10))))&lt;=0,"",(Assumptions!$B$2*EXP(-Assumptions!$B$4*Assumptions!$B$9)*NORMDIST(((LN(Assumptions!$B$2/$B20)+(Assumptions!$B$3-Assumptions!$B$4+(AE$3/100)^2/2)*Assumptions!$B$9)/((AE$3/100)*Assumptions!$B$10)),0,1,FALSE)*Assumptions!$B$10*0.01)*0.5/(MAX(0,Assumptions!$B$2*EXP(-Assumptions!$B$4*Assumptions!$B$9)*NORMSDIST(((LN(Assumptions!$B$2/$B20)+(Assumptions!$B$3-Assumptions!$B$4+(AE$3/100)^2/2)*Assumptions!$B$9)/((AE$3/100)*Assumptions!$B$10)))-$B20*EXP(-Assumptions!$B$3*Assumptions!$B$9)*NORMSDIST((((LN(Assumptions!$B$2/$B20)+(Assumptions!$B$3-Assumptions!$B$4+(AE$3/100)^2/2)*Assumptions!$B$9)/((AE$3/100)*Assumptions!$B$10))-(AE$3/100)*Assumptions!$B$10)))))</f>
        <v/>
      </c>
      <c r="AF41" s="56">
        <f>IF((MAX(0,Assumptions!$B$2*EXP(-Assumptions!$B$4*Assumptions!$B$9)*NORMSDIST(((LN(Assumptions!$B$2/$B20)+(Assumptions!$B$3-Assumptions!$B$4+(AF$3/100)^2/2)*Assumptions!$B$9)/((AF$3/100)*Assumptions!$B$10)))-$B20*EXP(-Assumptions!$B$3*Assumptions!$B$9)*NORMSDIST((((LN(Assumptions!$B$2/$B20)+(Assumptions!$B$3-Assumptions!$B$4+(AF$3/100)^2/2)*Assumptions!$B$9)/((AF$3/100)*Assumptions!$B$10))-(AF$3/100)*Assumptions!$B$10))))&lt;=0,"",(Assumptions!$B$2*EXP(-Assumptions!$B$4*Assumptions!$B$9)*NORMDIST(((LN(Assumptions!$B$2/$B20)+(Assumptions!$B$3-Assumptions!$B$4+(AF$3/100)^2/2)*Assumptions!$B$9)/((AF$3/100)*Assumptions!$B$10)),0,1,FALSE)*Assumptions!$B$10*0.01)*0.5/(MAX(0,Assumptions!$B$2*EXP(-Assumptions!$B$4*Assumptions!$B$9)*NORMSDIST(((LN(Assumptions!$B$2/$B20)+(Assumptions!$B$3-Assumptions!$B$4+(AF$3/100)^2/2)*Assumptions!$B$9)/((AF$3/100)*Assumptions!$B$10)))-$B20*EXP(-Assumptions!$B$3*Assumptions!$B$9)*NORMSDIST((((LN(Assumptions!$B$2/$B20)+(Assumptions!$B$3-Assumptions!$B$4+(AF$3/100)^2/2)*Assumptions!$B$9)/((AF$3/100)*Assumptions!$B$10))-(AF$3/100)*Assumptions!$B$10)))))</f>
        <v/>
      </c>
      <c r="AG41" s="56">
        <f>IF((MAX(0,Assumptions!$B$2*EXP(-Assumptions!$B$4*Assumptions!$B$9)*NORMSDIST(((LN(Assumptions!$B$2/$B20)+(Assumptions!$B$3-Assumptions!$B$4+(AG$3/100)^2/2)*Assumptions!$B$9)/((AG$3/100)*Assumptions!$B$10)))-$B20*EXP(-Assumptions!$B$3*Assumptions!$B$9)*NORMSDIST((((LN(Assumptions!$B$2/$B20)+(Assumptions!$B$3-Assumptions!$B$4+(AG$3/100)^2/2)*Assumptions!$B$9)/((AG$3/100)*Assumptions!$B$10))-(AG$3/100)*Assumptions!$B$10))))&lt;=0,"",(Assumptions!$B$2*EXP(-Assumptions!$B$4*Assumptions!$B$9)*NORMDIST(((LN(Assumptions!$B$2/$B20)+(Assumptions!$B$3-Assumptions!$B$4+(AG$3/100)^2/2)*Assumptions!$B$9)/((AG$3/100)*Assumptions!$B$10)),0,1,FALSE)*Assumptions!$B$10*0.01)*0.5/(MAX(0,Assumptions!$B$2*EXP(-Assumptions!$B$4*Assumptions!$B$9)*NORMSDIST(((LN(Assumptions!$B$2/$B20)+(Assumptions!$B$3-Assumptions!$B$4+(AG$3/100)^2/2)*Assumptions!$B$9)/((AG$3/100)*Assumptions!$B$10)))-$B20*EXP(-Assumptions!$B$3*Assumptions!$B$9)*NORMSDIST((((LN(Assumptions!$B$2/$B20)+(Assumptions!$B$3-Assumptions!$B$4+(AG$3/100)^2/2)*Assumptions!$B$9)/((AG$3/100)*Assumptions!$B$10))-(AG$3/100)*Assumptions!$B$10)))))</f>
        <v/>
      </c>
      <c r="AH41" s="56">
        <f>IF((MAX(0,Assumptions!$B$2*EXP(-Assumptions!$B$4*Assumptions!$B$9)*NORMSDIST(((LN(Assumptions!$B$2/$B20)+(Assumptions!$B$3-Assumptions!$B$4+(AH$3/100)^2/2)*Assumptions!$B$9)/((AH$3/100)*Assumptions!$B$10)))-$B20*EXP(-Assumptions!$B$3*Assumptions!$B$9)*NORMSDIST((((LN(Assumptions!$B$2/$B20)+(Assumptions!$B$3-Assumptions!$B$4+(AH$3/100)^2/2)*Assumptions!$B$9)/((AH$3/100)*Assumptions!$B$10))-(AH$3/100)*Assumptions!$B$10))))&lt;=0,"",(Assumptions!$B$2*EXP(-Assumptions!$B$4*Assumptions!$B$9)*NORMDIST(((LN(Assumptions!$B$2/$B20)+(Assumptions!$B$3-Assumptions!$B$4+(AH$3/100)^2/2)*Assumptions!$B$9)/((AH$3/100)*Assumptions!$B$10)),0,1,FALSE)*Assumptions!$B$10*0.01)*0.5/(MAX(0,Assumptions!$B$2*EXP(-Assumptions!$B$4*Assumptions!$B$9)*NORMSDIST(((LN(Assumptions!$B$2/$B20)+(Assumptions!$B$3-Assumptions!$B$4+(AH$3/100)^2/2)*Assumptions!$B$9)/((AH$3/100)*Assumptions!$B$10)))-$B20*EXP(-Assumptions!$B$3*Assumptions!$B$9)*NORMSDIST((((LN(Assumptions!$B$2/$B20)+(Assumptions!$B$3-Assumptions!$B$4+(AH$3/100)^2/2)*Assumptions!$B$9)/((AH$3/100)*Assumptions!$B$10))-(AH$3/100)*Assumptions!$B$10)))))</f>
        <v/>
      </c>
      <c r="AI41" s="56">
        <f>IF((MAX(0,Assumptions!$B$2*EXP(-Assumptions!$B$4*Assumptions!$B$9)*NORMSDIST(((LN(Assumptions!$B$2/$B20)+(Assumptions!$B$3-Assumptions!$B$4+(AI$3/100)^2/2)*Assumptions!$B$9)/((AI$3/100)*Assumptions!$B$10)))-$B20*EXP(-Assumptions!$B$3*Assumptions!$B$9)*NORMSDIST((((LN(Assumptions!$B$2/$B20)+(Assumptions!$B$3-Assumptions!$B$4+(AI$3/100)^2/2)*Assumptions!$B$9)/((AI$3/100)*Assumptions!$B$10))-(AI$3/100)*Assumptions!$B$10))))&lt;=0,"",(Assumptions!$B$2*EXP(-Assumptions!$B$4*Assumptions!$B$9)*NORMDIST(((LN(Assumptions!$B$2/$B20)+(Assumptions!$B$3-Assumptions!$B$4+(AI$3/100)^2/2)*Assumptions!$B$9)/((AI$3/100)*Assumptions!$B$10)),0,1,FALSE)*Assumptions!$B$10*0.01)*0.5/(MAX(0,Assumptions!$B$2*EXP(-Assumptions!$B$4*Assumptions!$B$9)*NORMSDIST(((LN(Assumptions!$B$2/$B20)+(Assumptions!$B$3-Assumptions!$B$4+(AI$3/100)^2/2)*Assumptions!$B$9)/((AI$3/100)*Assumptions!$B$10)))-$B20*EXP(-Assumptions!$B$3*Assumptions!$B$9)*NORMSDIST((((LN(Assumptions!$B$2/$B20)+(Assumptions!$B$3-Assumptions!$B$4+(AI$3/100)^2/2)*Assumptions!$B$9)/((AI$3/100)*Assumptions!$B$10))-(AI$3/100)*Assumptions!$B$10)))))</f>
        <v/>
      </c>
      <c r="AJ41" s="56">
        <f>IF((MAX(0,Assumptions!$B$2*EXP(-Assumptions!$B$4*Assumptions!$B$9)*NORMSDIST(((LN(Assumptions!$B$2/$B20)+(Assumptions!$B$3-Assumptions!$B$4+(AJ$3/100)^2/2)*Assumptions!$B$9)/((AJ$3/100)*Assumptions!$B$10)))-$B20*EXP(-Assumptions!$B$3*Assumptions!$B$9)*NORMSDIST((((LN(Assumptions!$B$2/$B20)+(Assumptions!$B$3-Assumptions!$B$4+(AJ$3/100)^2/2)*Assumptions!$B$9)/((AJ$3/100)*Assumptions!$B$10))-(AJ$3/100)*Assumptions!$B$10))))&lt;=0,"",(Assumptions!$B$2*EXP(-Assumptions!$B$4*Assumptions!$B$9)*NORMDIST(((LN(Assumptions!$B$2/$B20)+(Assumptions!$B$3-Assumptions!$B$4+(AJ$3/100)^2/2)*Assumptions!$B$9)/((AJ$3/100)*Assumptions!$B$10)),0,1,FALSE)*Assumptions!$B$10*0.01)*0.5/(MAX(0,Assumptions!$B$2*EXP(-Assumptions!$B$4*Assumptions!$B$9)*NORMSDIST(((LN(Assumptions!$B$2/$B20)+(Assumptions!$B$3-Assumptions!$B$4+(AJ$3/100)^2/2)*Assumptions!$B$9)/((AJ$3/100)*Assumptions!$B$10)))-$B20*EXP(-Assumptions!$B$3*Assumptions!$B$9)*NORMSDIST((((LN(Assumptions!$B$2/$B20)+(Assumptions!$B$3-Assumptions!$B$4+(AJ$3/100)^2/2)*Assumptions!$B$9)/((AJ$3/100)*Assumptions!$B$10))-(AJ$3/100)*Assumptions!$B$10)))))</f>
        <v/>
      </c>
      <c r="AK41" s="56">
        <f>IF((MAX(0,Assumptions!$B$2*EXP(-Assumptions!$B$4*Assumptions!$B$9)*NORMSDIST(((LN(Assumptions!$B$2/$B20)+(Assumptions!$B$3-Assumptions!$B$4+(AK$3/100)^2/2)*Assumptions!$B$9)/((AK$3/100)*Assumptions!$B$10)))-$B20*EXP(-Assumptions!$B$3*Assumptions!$B$9)*NORMSDIST((((LN(Assumptions!$B$2/$B20)+(Assumptions!$B$3-Assumptions!$B$4+(AK$3/100)^2/2)*Assumptions!$B$9)/((AK$3/100)*Assumptions!$B$10))-(AK$3/100)*Assumptions!$B$10))))&lt;=0,"",(Assumptions!$B$2*EXP(-Assumptions!$B$4*Assumptions!$B$9)*NORMDIST(((LN(Assumptions!$B$2/$B20)+(Assumptions!$B$3-Assumptions!$B$4+(AK$3/100)^2/2)*Assumptions!$B$9)/((AK$3/100)*Assumptions!$B$10)),0,1,FALSE)*Assumptions!$B$10*0.01)*0.5/(MAX(0,Assumptions!$B$2*EXP(-Assumptions!$B$4*Assumptions!$B$9)*NORMSDIST(((LN(Assumptions!$B$2/$B20)+(Assumptions!$B$3-Assumptions!$B$4+(AK$3/100)^2/2)*Assumptions!$B$9)/((AK$3/100)*Assumptions!$B$10)))-$B20*EXP(-Assumptions!$B$3*Assumptions!$B$9)*NORMSDIST((((LN(Assumptions!$B$2/$B20)+(Assumptions!$B$3-Assumptions!$B$4+(AK$3/100)^2/2)*Assumptions!$B$9)/((AK$3/100)*Assumptions!$B$10))-(AK$3/100)*Assumptions!$B$10)))))</f>
        <v/>
      </c>
      <c r="AL41" s="56">
        <f>IF((MAX(0,Assumptions!$B$2*EXP(-Assumptions!$B$4*Assumptions!$B$9)*NORMSDIST(((LN(Assumptions!$B$2/$B20)+(Assumptions!$B$3-Assumptions!$B$4+(AL$3/100)^2/2)*Assumptions!$B$9)/((AL$3/100)*Assumptions!$B$10)))-$B20*EXP(-Assumptions!$B$3*Assumptions!$B$9)*NORMSDIST((((LN(Assumptions!$B$2/$B20)+(Assumptions!$B$3-Assumptions!$B$4+(AL$3/100)^2/2)*Assumptions!$B$9)/((AL$3/100)*Assumptions!$B$10))-(AL$3/100)*Assumptions!$B$10))))&lt;=0,"",(Assumptions!$B$2*EXP(-Assumptions!$B$4*Assumptions!$B$9)*NORMDIST(((LN(Assumptions!$B$2/$B20)+(Assumptions!$B$3-Assumptions!$B$4+(AL$3/100)^2/2)*Assumptions!$B$9)/((AL$3/100)*Assumptions!$B$10)),0,1,FALSE)*Assumptions!$B$10*0.01)*0.5/(MAX(0,Assumptions!$B$2*EXP(-Assumptions!$B$4*Assumptions!$B$9)*NORMSDIST(((LN(Assumptions!$B$2/$B20)+(Assumptions!$B$3-Assumptions!$B$4+(AL$3/100)^2/2)*Assumptions!$B$9)/((AL$3/100)*Assumptions!$B$10)))-$B20*EXP(-Assumptions!$B$3*Assumptions!$B$9)*NORMSDIST((((LN(Assumptions!$B$2/$B20)+(Assumptions!$B$3-Assumptions!$B$4+(AL$3/100)^2/2)*Assumptions!$B$9)/((AL$3/100)*Assumptions!$B$10))-(AL$3/100)*Assumptions!$B$10)))))</f>
        <v/>
      </c>
      <c r="AM41" s="56">
        <f>IF((MAX(0,Assumptions!$B$2*EXP(-Assumptions!$B$4*Assumptions!$B$9)*NORMSDIST(((LN(Assumptions!$B$2/$B20)+(Assumptions!$B$3-Assumptions!$B$4+(AM$3/100)^2/2)*Assumptions!$B$9)/((AM$3/100)*Assumptions!$B$10)))-$B20*EXP(-Assumptions!$B$3*Assumptions!$B$9)*NORMSDIST((((LN(Assumptions!$B$2/$B20)+(Assumptions!$B$3-Assumptions!$B$4+(AM$3/100)^2/2)*Assumptions!$B$9)/((AM$3/100)*Assumptions!$B$10))-(AM$3/100)*Assumptions!$B$10))))&lt;=0,"",(Assumptions!$B$2*EXP(-Assumptions!$B$4*Assumptions!$B$9)*NORMDIST(((LN(Assumptions!$B$2/$B20)+(Assumptions!$B$3-Assumptions!$B$4+(AM$3/100)^2/2)*Assumptions!$B$9)/((AM$3/100)*Assumptions!$B$10)),0,1,FALSE)*Assumptions!$B$10*0.01)*0.5/(MAX(0,Assumptions!$B$2*EXP(-Assumptions!$B$4*Assumptions!$B$9)*NORMSDIST(((LN(Assumptions!$B$2/$B20)+(Assumptions!$B$3-Assumptions!$B$4+(AM$3/100)^2/2)*Assumptions!$B$9)/((AM$3/100)*Assumptions!$B$10)))-$B20*EXP(-Assumptions!$B$3*Assumptions!$B$9)*NORMSDIST((((LN(Assumptions!$B$2/$B20)+(Assumptions!$B$3-Assumptions!$B$4+(AM$3/100)^2/2)*Assumptions!$B$9)/((AM$3/100)*Assumptions!$B$10))-(AM$3/100)*Assumptions!$B$10)))))</f>
        <v/>
      </c>
      <c r="AN41" s="56">
        <f>IF((MAX(0,Assumptions!$B$2*EXP(-Assumptions!$B$4*Assumptions!$B$9)*NORMSDIST(((LN(Assumptions!$B$2/$B20)+(Assumptions!$B$3-Assumptions!$B$4+(AN$3/100)^2/2)*Assumptions!$B$9)/((AN$3/100)*Assumptions!$B$10)))-$B20*EXP(-Assumptions!$B$3*Assumptions!$B$9)*NORMSDIST((((LN(Assumptions!$B$2/$B20)+(Assumptions!$B$3-Assumptions!$B$4+(AN$3/100)^2/2)*Assumptions!$B$9)/((AN$3/100)*Assumptions!$B$10))-(AN$3/100)*Assumptions!$B$10))))&lt;=0,"",(Assumptions!$B$2*EXP(-Assumptions!$B$4*Assumptions!$B$9)*NORMDIST(((LN(Assumptions!$B$2/$B20)+(Assumptions!$B$3-Assumptions!$B$4+(AN$3/100)^2/2)*Assumptions!$B$9)/((AN$3/100)*Assumptions!$B$10)),0,1,FALSE)*Assumptions!$B$10*0.01)*0.5/(MAX(0,Assumptions!$B$2*EXP(-Assumptions!$B$4*Assumptions!$B$9)*NORMSDIST(((LN(Assumptions!$B$2/$B20)+(Assumptions!$B$3-Assumptions!$B$4+(AN$3/100)^2/2)*Assumptions!$B$9)/((AN$3/100)*Assumptions!$B$10)))-$B20*EXP(-Assumptions!$B$3*Assumptions!$B$9)*NORMSDIST((((LN(Assumptions!$B$2/$B20)+(Assumptions!$B$3-Assumptions!$B$4+(AN$3/100)^2/2)*Assumptions!$B$9)/((AN$3/100)*Assumptions!$B$10))-(AN$3/100)*Assumptions!$B$10)))))</f>
        <v/>
      </c>
      <c r="AO41" s="56">
        <f>IF((MAX(0,Assumptions!$B$2*EXP(-Assumptions!$B$4*Assumptions!$B$9)*NORMSDIST(((LN(Assumptions!$B$2/$B20)+(Assumptions!$B$3-Assumptions!$B$4+(AO$3/100)^2/2)*Assumptions!$B$9)/((AO$3/100)*Assumptions!$B$10)))-$B20*EXP(-Assumptions!$B$3*Assumptions!$B$9)*NORMSDIST((((LN(Assumptions!$B$2/$B20)+(Assumptions!$B$3-Assumptions!$B$4+(AO$3/100)^2/2)*Assumptions!$B$9)/((AO$3/100)*Assumptions!$B$10))-(AO$3/100)*Assumptions!$B$10))))&lt;=0,"",(Assumptions!$B$2*EXP(-Assumptions!$B$4*Assumptions!$B$9)*NORMDIST(((LN(Assumptions!$B$2/$B20)+(Assumptions!$B$3-Assumptions!$B$4+(AO$3/100)^2/2)*Assumptions!$B$9)/((AO$3/100)*Assumptions!$B$10)),0,1,FALSE)*Assumptions!$B$10*0.01)*0.5/(MAX(0,Assumptions!$B$2*EXP(-Assumptions!$B$4*Assumptions!$B$9)*NORMSDIST(((LN(Assumptions!$B$2/$B20)+(Assumptions!$B$3-Assumptions!$B$4+(AO$3/100)^2/2)*Assumptions!$B$9)/((AO$3/100)*Assumptions!$B$10)))-$B20*EXP(-Assumptions!$B$3*Assumptions!$B$9)*NORMSDIST((((LN(Assumptions!$B$2/$B20)+(Assumptions!$B$3-Assumptions!$B$4+(AO$3/100)^2/2)*Assumptions!$B$9)/((AO$3/100)*Assumptions!$B$10))-(AO$3/100)*Assumptions!$B$10)))))</f>
        <v/>
      </c>
      <c r="AP41" s="56">
        <f>IF((MAX(0,Assumptions!$B$2*EXP(-Assumptions!$B$4*Assumptions!$B$9)*NORMSDIST(((LN(Assumptions!$B$2/$B20)+(Assumptions!$B$3-Assumptions!$B$4+(AP$3/100)^2/2)*Assumptions!$B$9)/((AP$3/100)*Assumptions!$B$10)))-$B20*EXP(-Assumptions!$B$3*Assumptions!$B$9)*NORMSDIST((((LN(Assumptions!$B$2/$B20)+(Assumptions!$B$3-Assumptions!$B$4+(AP$3/100)^2/2)*Assumptions!$B$9)/((AP$3/100)*Assumptions!$B$10))-(AP$3/100)*Assumptions!$B$10))))&lt;=0,"",(Assumptions!$B$2*EXP(-Assumptions!$B$4*Assumptions!$B$9)*NORMDIST(((LN(Assumptions!$B$2/$B20)+(Assumptions!$B$3-Assumptions!$B$4+(AP$3/100)^2/2)*Assumptions!$B$9)/((AP$3/100)*Assumptions!$B$10)),0,1,FALSE)*Assumptions!$B$10*0.01)*0.5/(MAX(0,Assumptions!$B$2*EXP(-Assumptions!$B$4*Assumptions!$B$9)*NORMSDIST(((LN(Assumptions!$B$2/$B20)+(Assumptions!$B$3-Assumptions!$B$4+(AP$3/100)^2/2)*Assumptions!$B$9)/((AP$3/100)*Assumptions!$B$10)))-$B20*EXP(-Assumptions!$B$3*Assumptions!$B$9)*NORMSDIST((((LN(Assumptions!$B$2/$B20)+(Assumptions!$B$3-Assumptions!$B$4+(AP$3/100)^2/2)*Assumptions!$B$9)/((AP$3/100)*Assumptions!$B$10))-(AP$3/100)*Assumptions!$B$10)))))</f>
        <v/>
      </c>
      <c r="AQ41" s="56">
        <f>IF((MAX(0,Assumptions!$B$2*EXP(-Assumptions!$B$4*Assumptions!$B$9)*NORMSDIST(((LN(Assumptions!$B$2/$B20)+(Assumptions!$B$3-Assumptions!$B$4+(AQ$3/100)^2/2)*Assumptions!$B$9)/((AQ$3/100)*Assumptions!$B$10)))-$B20*EXP(-Assumptions!$B$3*Assumptions!$B$9)*NORMSDIST((((LN(Assumptions!$B$2/$B20)+(Assumptions!$B$3-Assumptions!$B$4+(AQ$3/100)^2/2)*Assumptions!$B$9)/((AQ$3/100)*Assumptions!$B$10))-(AQ$3/100)*Assumptions!$B$10))))&lt;=0,"",(Assumptions!$B$2*EXP(-Assumptions!$B$4*Assumptions!$B$9)*NORMDIST(((LN(Assumptions!$B$2/$B20)+(Assumptions!$B$3-Assumptions!$B$4+(AQ$3/100)^2/2)*Assumptions!$B$9)/((AQ$3/100)*Assumptions!$B$10)),0,1,FALSE)*Assumptions!$B$10*0.01)*0.5/(MAX(0,Assumptions!$B$2*EXP(-Assumptions!$B$4*Assumptions!$B$9)*NORMSDIST(((LN(Assumptions!$B$2/$B20)+(Assumptions!$B$3-Assumptions!$B$4+(AQ$3/100)^2/2)*Assumptions!$B$9)/((AQ$3/100)*Assumptions!$B$10)))-$B20*EXP(-Assumptions!$B$3*Assumptions!$B$9)*NORMSDIST((((LN(Assumptions!$B$2/$B20)+(Assumptions!$B$3-Assumptions!$B$4+(AQ$3/100)^2/2)*Assumptions!$B$9)/((AQ$3/100)*Assumptions!$B$10))-(AQ$3/100)*Assumptions!$B$10)))))</f>
        <v/>
      </c>
      <c r="AR41" s="56">
        <f>IF((MAX(0,Assumptions!$B$2*EXP(-Assumptions!$B$4*Assumptions!$B$9)*NORMSDIST(((LN(Assumptions!$B$2/$B20)+(Assumptions!$B$3-Assumptions!$B$4+(AR$3/100)^2/2)*Assumptions!$B$9)/((AR$3/100)*Assumptions!$B$10)))-$B20*EXP(-Assumptions!$B$3*Assumptions!$B$9)*NORMSDIST((((LN(Assumptions!$B$2/$B20)+(Assumptions!$B$3-Assumptions!$B$4+(AR$3/100)^2/2)*Assumptions!$B$9)/((AR$3/100)*Assumptions!$B$10))-(AR$3/100)*Assumptions!$B$10))))&lt;=0,"",(Assumptions!$B$2*EXP(-Assumptions!$B$4*Assumptions!$B$9)*NORMDIST(((LN(Assumptions!$B$2/$B20)+(Assumptions!$B$3-Assumptions!$B$4+(AR$3/100)^2/2)*Assumptions!$B$9)/((AR$3/100)*Assumptions!$B$10)),0,1,FALSE)*Assumptions!$B$10*0.01)*0.5/(MAX(0,Assumptions!$B$2*EXP(-Assumptions!$B$4*Assumptions!$B$9)*NORMSDIST(((LN(Assumptions!$B$2/$B20)+(Assumptions!$B$3-Assumptions!$B$4+(AR$3/100)^2/2)*Assumptions!$B$9)/((AR$3/100)*Assumptions!$B$10)))-$B20*EXP(-Assumptions!$B$3*Assumptions!$B$9)*NORMSDIST((((LN(Assumptions!$B$2/$B20)+(Assumptions!$B$3-Assumptions!$B$4+(AR$3/100)^2/2)*Assumptions!$B$9)/((AR$3/100)*Assumptions!$B$10))-(AR$3/100)*Assumptions!$B$10)))))</f>
        <v/>
      </c>
      <c r="AS41" s="56">
        <f>IF((MAX(0,Assumptions!$B$2*EXP(-Assumptions!$B$4*Assumptions!$B$9)*NORMSDIST(((LN(Assumptions!$B$2/$B20)+(Assumptions!$B$3-Assumptions!$B$4+(AS$3/100)^2/2)*Assumptions!$B$9)/((AS$3/100)*Assumptions!$B$10)))-$B20*EXP(-Assumptions!$B$3*Assumptions!$B$9)*NORMSDIST((((LN(Assumptions!$B$2/$B20)+(Assumptions!$B$3-Assumptions!$B$4+(AS$3/100)^2/2)*Assumptions!$B$9)/((AS$3/100)*Assumptions!$B$10))-(AS$3/100)*Assumptions!$B$10))))&lt;=0,"",(Assumptions!$B$2*EXP(-Assumptions!$B$4*Assumptions!$B$9)*NORMDIST(((LN(Assumptions!$B$2/$B20)+(Assumptions!$B$3-Assumptions!$B$4+(AS$3/100)^2/2)*Assumptions!$B$9)/((AS$3/100)*Assumptions!$B$10)),0,1,FALSE)*Assumptions!$B$10*0.01)*0.5/(MAX(0,Assumptions!$B$2*EXP(-Assumptions!$B$4*Assumptions!$B$9)*NORMSDIST(((LN(Assumptions!$B$2/$B20)+(Assumptions!$B$3-Assumptions!$B$4+(AS$3/100)^2/2)*Assumptions!$B$9)/((AS$3/100)*Assumptions!$B$10)))-$B20*EXP(-Assumptions!$B$3*Assumptions!$B$9)*NORMSDIST((((LN(Assumptions!$B$2/$B20)+(Assumptions!$B$3-Assumptions!$B$4+(AS$3/100)^2/2)*Assumptions!$B$9)/((AS$3/100)*Assumptions!$B$10))-(AS$3/100)*Assumptions!$B$10)))))</f>
        <v/>
      </c>
      <c r="AT41" s="56">
        <f>IF((MAX(0,Assumptions!$B$2*EXP(-Assumptions!$B$4*Assumptions!$B$9)*NORMSDIST(((LN(Assumptions!$B$2/$B20)+(Assumptions!$B$3-Assumptions!$B$4+(AT$3/100)^2/2)*Assumptions!$B$9)/((AT$3/100)*Assumptions!$B$10)))-$B20*EXP(-Assumptions!$B$3*Assumptions!$B$9)*NORMSDIST((((LN(Assumptions!$B$2/$B20)+(Assumptions!$B$3-Assumptions!$B$4+(AT$3/100)^2/2)*Assumptions!$B$9)/((AT$3/100)*Assumptions!$B$10))-(AT$3/100)*Assumptions!$B$10))))&lt;=0,"",(Assumptions!$B$2*EXP(-Assumptions!$B$4*Assumptions!$B$9)*NORMDIST(((LN(Assumptions!$B$2/$B20)+(Assumptions!$B$3-Assumptions!$B$4+(AT$3/100)^2/2)*Assumptions!$B$9)/((AT$3/100)*Assumptions!$B$10)),0,1,FALSE)*Assumptions!$B$10*0.01)*0.5/(MAX(0,Assumptions!$B$2*EXP(-Assumptions!$B$4*Assumptions!$B$9)*NORMSDIST(((LN(Assumptions!$B$2/$B20)+(Assumptions!$B$3-Assumptions!$B$4+(AT$3/100)^2/2)*Assumptions!$B$9)/((AT$3/100)*Assumptions!$B$10)))-$B20*EXP(-Assumptions!$B$3*Assumptions!$B$9)*NORMSDIST((((LN(Assumptions!$B$2/$B20)+(Assumptions!$B$3-Assumptions!$B$4+(AT$3/100)^2/2)*Assumptions!$B$9)/((AT$3/100)*Assumptions!$B$10))-(AT$3/100)*Assumptions!$B$10)))))</f>
        <v/>
      </c>
      <c r="AU41" s="56">
        <f>IF((MAX(0,Assumptions!$B$2*EXP(-Assumptions!$B$4*Assumptions!$B$9)*NORMSDIST(((LN(Assumptions!$B$2/$B20)+(Assumptions!$B$3-Assumptions!$B$4+(AU$3/100)^2/2)*Assumptions!$B$9)/((AU$3/100)*Assumptions!$B$10)))-$B20*EXP(-Assumptions!$B$3*Assumptions!$B$9)*NORMSDIST((((LN(Assumptions!$B$2/$B20)+(Assumptions!$B$3-Assumptions!$B$4+(AU$3/100)^2/2)*Assumptions!$B$9)/((AU$3/100)*Assumptions!$B$10))-(AU$3/100)*Assumptions!$B$10))))&lt;=0,"",(Assumptions!$B$2*EXP(-Assumptions!$B$4*Assumptions!$B$9)*NORMDIST(((LN(Assumptions!$B$2/$B20)+(Assumptions!$B$3-Assumptions!$B$4+(AU$3/100)^2/2)*Assumptions!$B$9)/((AU$3/100)*Assumptions!$B$10)),0,1,FALSE)*Assumptions!$B$10*0.01)*0.5/(MAX(0,Assumptions!$B$2*EXP(-Assumptions!$B$4*Assumptions!$B$9)*NORMSDIST(((LN(Assumptions!$B$2/$B20)+(Assumptions!$B$3-Assumptions!$B$4+(AU$3/100)^2/2)*Assumptions!$B$9)/((AU$3/100)*Assumptions!$B$10)))-$B20*EXP(-Assumptions!$B$3*Assumptions!$B$9)*NORMSDIST((((LN(Assumptions!$B$2/$B20)+(Assumptions!$B$3-Assumptions!$B$4+(AU$3/100)^2/2)*Assumptions!$B$9)/((AU$3/100)*Assumptions!$B$10))-(AU$3/100)*Assumptions!$B$10)))))</f>
        <v/>
      </c>
      <c r="AV41" s="56">
        <f>IF((MAX(0,Assumptions!$B$2*EXP(-Assumptions!$B$4*Assumptions!$B$9)*NORMSDIST(((LN(Assumptions!$B$2/$B20)+(Assumptions!$B$3-Assumptions!$B$4+(AV$3/100)^2/2)*Assumptions!$B$9)/((AV$3/100)*Assumptions!$B$10)))-$B20*EXP(-Assumptions!$B$3*Assumptions!$B$9)*NORMSDIST((((LN(Assumptions!$B$2/$B20)+(Assumptions!$B$3-Assumptions!$B$4+(AV$3/100)^2/2)*Assumptions!$B$9)/((AV$3/100)*Assumptions!$B$10))-(AV$3/100)*Assumptions!$B$10))))&lt;=0,"",(Assumptions!$B$2*EXP(-Assumptions!$B$4*Assumptions!$B$9)*NORMDIST(((LN(Assumptions!$B$2/$B20)+(Assumptions!$B$3-Assumptions!$B$4+(AV$3/100)^2/2)*Assumptions!$B$9)/((AV$3/100)*Assumptions!$B$10)),0,1,FALSE)*Assumptions!$B$10*0.01)*0.5/(MAX(0,Assumptions!$B$2*EXP(-Assumptions!$B$4*Assumptions!$B$9)*NORMSDIST(((LN(Assumptions!$B$2/$B20)+(Assumptions!$B$3-Assumptions!$B$4+(AV$3/100)^2/2)*Assumptions!$B$9)/((AV$3/100)*Assumptions!$B$10)))-$B20*EXP(-Assumptions!$B$3*Assumptions!$B$9)*NORMSDIST((((LN(Assumptions!$B$2/$B20)+(Assumptions!$B$3-Assumptions!$B$4+(AV$3/100)^2/2)*Assumptions!$B$9)/((AV$3/100)*Assumptions!$B$10))-(AV$3/100)*Assumptions!$B$10)))))</f>
        <v/>
      </c>
    </row>
    <row r="43">
      <c r="A43" s="22" t="inlineStr">
        <is>
          <t>Elasticity of 1.0 means premium moves one-for-one with volatility in percentage terms. ATM sits near 1.0, the ITM strikes far below it, the OTM wings far above.</t>
        </is>
      </c>
    </row>
    <row r="44">
      <c r="A44" s="22" t="inlineStr">
        <is>
          <t>This is the clearest answer to which factor weighs on premium: at 2 days to expiry MONEYNESS governs vol-sensitivity far more than the size of the vol move itself.</t>
        </is>
      </c>
    </row>
    <row r="45">
      <c r="A45" s="22" t="inlineStr">
        <is>
          <t>The bottom block is the practical version: how much a call gains, in percent, for each half-point of VIX - read straight off the step size of the grids.</t>
        </is>
      </c>
    </row>
    <row r="46">
      <c r="A46" s="22" t="inlineStr">
        <is>
          <t>Blank where the premium rounds to zero and a percentage is meaningless.</t>
        </is>
      </c>
    </row>
  </sheetData>
  <conditionalFormatting sqref="D4:AV20">
    <cfRule type="colorScale" priority="1">
      <colorScale>
        <cfvo type="min"/>
        <cfvo type="percentile" val="50"/>
        <cfvo type="max"/>
        <color rgb="00FFF2CC"/>
        <color rgb="00FFD966"/>
        <color rgb="00ED7D31"/>
      </colorScale>
    </cfRule>
  </conditionalFormatting>
  <conditionalFormatting sqref="D25:AV41">
    <cfRule type="colorScale" priority="2">
      <colorScale>
        <cfvo type="min"/>
        <cfvo type="percentile" val="50"/>
        <cfvo type="max"/>
        <color rgb="00FFF2CC"/>
        <color rgb="00FFD966"/>
        <color rgb="00ED7D31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10" max="10"/>
    <col width="13" customWidth="1" min="11" max="11"/>
  </cols>
  <sheetData>
    <row r="1">
      <c r="A1" s="20" t="inlineStr">
        <is>
          <t>Secondary context - CALL premium per contract (INR) versus VIX and days to expiry</t>
        </is>
      </c>
    </row>
    <row r="2">
      <c r="A2" s="22" t="inlineStr">
        <is>
          <t>Volatility is the input the brief flexes; this sheet is here only to size it against the other Black-Scholes driver.</t>
        </is>
      </c>
    </row>
    <row r="3">
      <c r="A3" s="20" t="inlineStr">
        <is>
          <t>ATM call</t>
        </is>
      </c>
    </row>
    <row r="4">
      <c r="A4" s="1" t="inlineStr">
        <is>
          <t>DTE (days)</t>
        </is>
      </c>
      <c r="B4" s="51" t="n">
        <v>8</v>
      </c>
      <c r="C4" s="51" t="n">
        <v>10</v>
      </c>
      <c r="D4" s="51" t="n">
        <v>12</v>
      </c>
      <c r="E4" s="51" t="n">
        <v>15</v>
      </c>
      <c r="F4" s="51" t="n">
        <v>18</v>
      </c>
      <c r="G4" s="51" t="n">
        <v>20</v>
      </c>
      <c r="H4" s="51" t="n">
        <v>25</v>
      </c>
      <c r="I4" s="51" t="n">
        <v>30</v>
      </c>
      <c r="J4" s="3" t="inlineStr">
        <is>
          <t>T (yrs)</t>
        </is>
      </c>
      <c r="K4" s="3" t="inlineStr">
        <is>
          <t>SQRT(T)</t>
        </is>
      </c>
    </row>
    <row r="5">
      <c r="A5" s="57" t="n">
        <v>0.5</v>
      </c>
      <c r="B5" s="49">
        <f>Assumptions!$B$5*(MAX(0,Assumptions!$B$2*EXP(-Assumptions!$B$4*$J5)*NORMSDIST(((LN(Assumptions!$B$2/'BS Engine'!$B$10)+(Assumptions!$B$3-Assumptions!$B$4+(B$4/100)^2/2)*$J5)/((B$4/100)*$K5)))-'BS Engine'!$B$10*EXP(-Assumptions!$B$3*$J5)*NORMSDIST((((LN(Assumptions!$B$2/'BS Engine'!$B$10)+(Assumptions!$B$3-Assumptions!$B$4+(B$4/100)^2/2)*$J5)/((B$4/100)*$K5))-(B$4/100)*$K5))))</f>
        <v/>
      </c>
      <c r="C5" s="29">
        <f>Assumptions!$B$5*(MAX(0,Assumptions!$B$2*EXP(-Assumptions!$B$4*$J5)*NORMSDIST(((LN(Assumptions!$B$2/'BS Engine'!$B$10)+(Assumptions!$B$3-Assumptions!$B$4+(C$4/100)^2/2)*$J5)/((C$4/100)*$K5)))-'BS Engine'!$B$10*EXP(-Assumptions!$B$3*$J5)*NORMSDIST((((LN(Assumptions!$B$2/'BS Engine'!$B$10)+(Assumptions!$B$3-Assumptions!$B$4+(C$4/100)^2/2)*$J5)/((C$4/100)*$K5))-(C$4/100)*$K5))))</f>
        <v/>
      </c>
      <c r="D5" s="29">
        <f>Assumptions!$B$5*(MAX(0,Assumptions!$B$2*EXP(-Assumptions!$B$4*$J5)*NORMSDIST(((LN(Assumptions!$B$2/'BS Engine'!$B$10)+(Assumptions!$B$3-Assumptions!$B$4+(D$4/100)^2/2)*$J5)/((D$4/100)*$K5)))-'BS Engine'!$B$10*EXP(-Assumptions!$B$3*$J5)*NORMSDIST((((LN(Assumptions!$B$2/'BS Engine'!$B$10)+(Assumptions!$B$3-Assumptions!$B$4+(D$4/100)^2/2)*$J5)/((D$4/100)*$K5))-(D$4/100)*$K5))))</f>
        <v/>
      </c>
      <c r="E5" s="29">
        <f>Assumptions!$B$5*(MAX(0,Assumptions!$B$2*EXP(-Assumptions!$B$4*$J5)*NORMSDIST(((LN(Assumptions!$B$2/'BS Engine'!$B$10)+(Assumptions!$B$3-Assumptions!$B$4+(E$4/100)^2/2)*$J5)/((E$4/100)*$K5)))-'BS Engine'!$B$10*EXP(-Assumptions!$B$3*$J5)*NORMSDIST((((LN(Assumptions!$B$2/'BS Engine'!$B$10)+(Assumptions!$B$3-Assumptions!$B$4+(E$4/100)^2/2)*$J5)/((E$4/100)*$K5))-(E$4/100)*$K5))))</f>
        <v/>
      </c>
      <c r="F5" s="29">
        <f>Assumptions!$B$5*(MAX(0,Assumptions!$B$2*EXP(-Assumptions!$B$4*$J5)*NORMSDIST(((LN(Assumptions!$B$2/'BS Engine'!$B$10)+(Assumptions!$B$3-Assumptions!$B$4+(F$4/100)^2/2)*$J5)/((F$4/100)*$K5)))-'BS Engine'!$B$10*EXP(-Assumptions!$B$3*$J5)*NORMSDIST((((LN(Assumptions!$B$2/'BS Engine'!$B$10)+(Assumptions!$B$3-Assumptions!$B$4+(F$4/100)^2/2)*$J5)/((F$4/100)*$K5))-(F$4/100)*$K5))))</f>
        <v/>
      </c>
      <c r="G5" s="29">
        <f>Assumptions!$B$5*(MAX(0,Assumptions!$B$2*EXP(-Assumptions!$B$4*$J5)*NORMSDIST(((LN(Assumptions!$B$2/'BS Engine'!$B$10)+(Assumptions!$B$3-Assumptions!$B$4+(G$4/100)^2/2)*$J5)/((G$4/100)*$K5)))-'BS Engine'!$B$10*EXP(-Assumptions!$B$3*$J5)*NORMSDIST((((LN(Assumptions!$B$2/'BS Engine'!$B$10)+(Assumptions!$B$3-Assumptions!$B$4+(G$4/100)^2/2)*$J5)/((G$4/100)*$K5))-(G$4/100)*$K5))))</f>
        <v/>
      </c>
      <c r="H5" s="29">
        <f>Assumptions!$B$5*(MAX(0,Assumptions!$B$2*EXP(-Assumptions!$B$4*$J5)*NORMSDIST(((LN(Assumptions!$B$2/'BS Engine'!$B$10)+(Assumptions!$B$3-Assumptions!$B$4+(H$4/100)^2/2)*$J5)/((H$4/100)*$K5)))-'BS Engine'!$B$10*EXP(-Assumptions!$B$3*$J5)*NORMSDIST((((LN(Assumptions!$B$2/'BS Engine'!$B$10)+(Assumptions!$B$3-Assumptions!$B$4+(H$4/100)^2/2)*$J5)/((H$4/100)*$K5))-(H$4/100)*$K5))))</f>
        <v/>
      </c>
      <c r="I5" s="29">
        <f>Assumptions!$B$5*(MAX(0,Assumptions!$B$2*EXP(-Assumptions!$B$4*$J5)*NORMSDIST(((LN(Assumptions!$B$2/'BS Engine'!$B$10)+(Assumptions!$B$3-Assumptions!$B$4+(I$4/100)^2/2)*$J5)/((I$4/100)*$K5)))-'BS Engine'!$B$10*EXP(-Assumptions!$B$3*$J5)*NORMSDIST((((LN(Assumptions!$B$2/'BS Engine'!$B$10)+(Assumptions!$B$3-Assumptions!$B$4+(I$4/100)^2/2)*$J5)/((I$4/100)*$K5))-(I$4/100)*$K5))))</f>
        <v/>
      </c>
      <c r="J5" s="44" t="n">
        <v>0.00136986301369863</v>
      </c>
      <c r="K5" s="44">
        <f>SQRT(J5)</f>
        <v/>
      </c>
    </row>
    <row r="6">
      <c r="A6" s="57" t="n">
        <v>1</v>
      </c>
      <c r="B6" s="49">
        <f>Assumptions!$B$5*(MAX(0,Assumptions!$B$2*EXP(-Assumptions!$B$4*$J6)*NORMSDIST(((LN(Assumptions!$B$2/'BS Engine'!$B$10)+(Assumptions!$B$3-Assumptions!$B$4+(B$4/100)^2/2)*$J6)/((B$4/100)*$K6)))-'BS Engine'!$B$10*EXP(-Assumptions!$B$3*$J6)*NORMSDIST((((LN(Assumptions!$B$2/'BS Engine'!$B$10)+(Assumptions!$B$3-Assumptions!$B$4+(B$4/100)^2/2)*$J6)/((B$4/100)*$K6))-(B$4/100)*$K6))))</f>
        <v/>
      </c>
      <c r="C6" s="29">
        <f>Assumptions!$B$5*(MAX(0,Assumptions!$B$2*EXP(-Assumptions!$B$4*$J6)*NORMSDIST(((LN(Assumptions!$B$2/'BS Engine'!$B$10)+(Assumptions!$B$3-Assumptions!$B$4+(C$4/100)^2/2)*$J6)/((C$4/100)*$K6)))-'BS Engine'!$B$10*EXP(-Assumptions!$B$3*$J6)*NORMSDIST((((LN(Assumptions!$B$2/'BS Engine'!$B$10)+(Assumptions!$B$3-Assumptions!$B$4+(C$4/100)^2/2)*$J6)/((C$4/100)*$K6))-(C$4/100)*$K6))))</f>
        <v/>
      </c>
      <c r="D6" s="29">
        <f>Assumptions!$B$5*(MAX(0,Assumptions!$B$2*EXP(-Assumptions!$B$4*$J6)*NORMSDIST(((LN(Assumptions!$B$2/'BS Engine'!$B$10)+(Assumptions!$B$3-Assumptions!$B$4+(D$4/100)^2/2)*$J6)/((D$4/100)*$K6)))-'BS Engine'!$B$10*EXP(-Assumptions!$B$3*$J6)*NORMSDIST((((LN(Assumptions!$B$2/'BS Engine'!$B$10)+(Assumptions!$B$3-Assumptions!$B$4+(D$4/100)^2/2)*$J6)/((D$4/100)*$K6))-(D$4/100)*$K6))))</f>
        <v/>
      </c>
      <c r="E6" s="29">
        <f>Assumptions!$B$5*(MAX(0,Assumptions!$B$2*EXP(-Assumptions!$B$4*$J6)*NORMSDIST(((LN(Assumptions!$B$2/'BS Engine'!$B$10)+(Assumptions!$B$3-Assumptions!$B$4+(E$4/100)^2/2)*$J6)/((E$4/100)*$K6)))-'BS Engine'!$B$10*EXP(-Assumptions!$B$3*$J6)*NORMSDIST((((LN(Assumptions!$B$2/'BS Engine'!$B$10)+(Assumptions!$B$3-Assumptions!$B$4+(E$4/100)^2/2)*$J6)/((E$4/100)*$K6))-(E$4/100)*$K6))))</f>
        <v/>
      </c>
      <c r="F6" s="29">
        <f>Assumptions!$B$5*(MAX(0,Assumptions!$B$2*EXP(-Assumptions!$B$4*$J6)*NORMSDIST(((LN(Assumptions!$B$2/'BS Engine'!$B$10)+(Assumptions!$B$3-Assumptions!$B$4+(F$4/100)^2/2)*$J6)/((F$4/100)*$K6)))-'BS Engine'!$B$10*EXP(-Assumptions!$B$3*$J6)*NORMSDIST((((LN(Assumptions!$B$2/'BS Engine'!$B$10)+(Assumptions!$B$3-Assumptions!$B$4+(F$4/100)^2/2)*$J6)/((F$4/100)*$K6))-(F$4/100)*$K6))))</f>
        <v/>
      </c>
      <c r="G6" s="29">
        <f>Assumptions!$B$5*(MAX(0,Assumptions!$B$2*EXP(-Assumptions!$B$4*$J6)*NORMSDIST(((LN(Assumptions!$B$2/'BS Engine'!$B$10)+(Assumptions!$B$3-Assumptions!$B$4+(G$4/100)^2/2)*$J6)/((G$4/100)*$K6)))-'BS Engine'!$B$10*EXP(-Assumptions!$B$3*$J6)*NORMSDIST((((LN(Assumptions!$B$2/'BS Engine'!$B$10)+(Assumptions!$B$3-Assumptions!$B$4+(G$4/100)^2/2)*$J6)/((G$4/100)*$K6))-(G$4/100)*$K6))))</f>
        <v/>
      </c>
      <c r="H6" s="29">
        <f>Assumptions!$B$5*(MAX(0,Assumptions!$B$2*EXP(-Assumptions!$B$4*$J6)*NORMSDIST(((LN(Assumptions!$B$2/'BS Engine'!$B$10)+(Assumptions!$B$3-Assumptions!$B$4+(H$4/100)^2/2)*$J6)/((H$4/100)*$K6)))-'BS Engine'!$B$10*EXP(-Assumptions!$B$3*$J6)*NORMSDIST((((LN(Assumptions!$B$2/'BS Engine'!$B$10)+(Assumptions!$B$3-Assumptions!$B$4+(H$4/100)^2/2)*$J6)/((H$4/100)*$K6))-(H$4/100)*$K6))))</f>
        <v/>
      </c>
      <c r="I6" s="29">
        <f>Assumptions!$B$5*(MAX(0,Assumptions!$B$2*EXP(-Assumptions!$B$4*$J6)*NORMSDIST(((LN(Assumptions!$B$2/'BS Engine'!$B$10)+(Assumptions!$B$3-Assumptions!$B$4+(I$4/100)^2/2)*$J6)/((I$4/100)*$K6)))-'BS Engine'!$B$10*EXP(-Assumptions!$B$3*$J6)*NORMSDIST((((LN(Assumptions!$B$2/'BS Engine'!$B$10)+(Assumptions!$B$3-Assumptions!$B$4+(I$4/100)^2/2)*$J6)/((I$4/100)*$K6))-(I$4/100)*$K6))))</f>
        <v/>
      </c>
      <c r="J6" s="44" t="n">
        <v>0.00273972602739726</v>
      </c>
      <c r="K6" s="44">
        <f>SQRT(J6)</f>
        <v/>
      </c>
    </row>
    <row r="7">
      <c r="A7" s="57" t="n">
        <v>2</v>
      </c>
      <c r="B7" s="49">
        <f>Assumptions!$B$5*(MAX(0,Assumptions!$B$2*EXP(-Assumptions!$B$4*$J7)*NORMSDIST(((LN(Assumptions!$B$2/'BS Engine'!$B$10)+(Assumptions!$B$3-Assumptions!$B$4+(B$4/100)^2/2)*$J7)/((B$4/100)*$K7)))-'BS Engine'!$B$10*EXP(-Assumptions!$B$3*$J7)*NORMSDIST((((LN(Assumptions!$B$2/'BS Engine'!$B$10)+(Assumptions!$B$3-Assumptions!$B$4+(B$4/100)^2/2)*$J7)/((B$4/100)*$K7))-(B$4/100)*$K7))))</f>
        <v/>
      </c>
      <c r="C7" s="29">
        <f>Assumptions!$B$5*(MAX(0,Assumptions!$B$2*EXP(-Assumptions!$B$4*$J7)*NORMSDIST(((LN(Assumptions!$B$2/'BS Engine'!$B$10)+(Assumptions!$B$3-Assumptions!$B$4+(C$4/100)^2/2)*$J7)/((C$4/100)*$K7)))-'BS Engine'!$B$10*EXP(-Assumptions!$B$3*$J7)*NORMSDIST((((LN(Assumptions!$B$2/'BS Engine'!$B$10)+(Assumptions!$B$3-Assumptions!$B$4+(C$4/100)^2/2)*$J7)/((C$4/100)*$K7))-(C$4/100)*$K7))))</f>
        <v/>
      </c>
      <c r="D7" s="29">
        <f>Assumptions!$B$5*(MAX(0,Assumptions!$B$2*EXP(-Assumptions!$B$4*$J7)*NORMSDIST(((LN(Assumptions!$B$2/'BS Engine'!$B$10)+(Assumptions!$B$3-Assumptions!$B$4+(D$4/100)^2/2)*$J7)/((D$4/100)*$K7)))-'BS Engine'!$B$10*EXP(-Assumptions!$B$3*$J7)*NORMSDIST((((LN(Assumptions!$B$2/'BS Engine'!$B$10)+(Assumptions!$B$3-Assumptions!$B$4+(D$4/100)^2/2)*$J7)/((D$4/100)*$K7))-(D$4/100)*$K7))))</f>
        <v/>
      </c>
      <c r="E7" s="29">
        <f>Assumptions!$B$5*(MAX(0,Assumptions!$B$2*EXP(-Assumptions!$B$4*$J7)*NORMSDIST(((LN(Assumptions!$B$2/'BS Engine'!$B$10)+(Assumptions!$B$3-Assumptions!$B$4+(E$4/100)^2/2)*$J7)/((E$4/100)*$K7)))-'BS Engine'!$B$10*EXP(-Assumptions!$B$3*$J7)*NORMSDIST((((LN(Assumptions!$B$2/'BS Engine'!$B$10)+(Assumptions!$B$3-Assumptions!$B$4+(E$4/100)^2/2)*$J7)/((E$4/100)*$K7))-(E$4/100)*$K7))))</f>
        <v/>
      </c>
      <c r="F7" s="29">
        <f>Assumptions!$B$5*(MAX(0,Assumptions!$B$2*EXP(-Assumptions!$B$4*$J7)*NORMSDIST(((LN(Assumptions!$B$2/'BS Engine'!$B$10)+(Assumptions!$B$3-Assumptions!$B$4+(F$4/100)^2/2)*$J7)/((F$4/100)*$K7)))-'BS Engine'!$B$10*EXP(-Assumptions!$B$3*$J7)*NORMSDIST((((LN(Assumptions!$B$2/'BS Engine'!$B$10)+(Assumptions!$B$3-Assumptions!$B$4+(F$4/100)^2/2)*$J7)/((F$4/100)*$K7))-(F$4/100)*$K7))))</f>
        <v/>
      </c>
      <c r="G7" s="29">
        <f>Assumptions!$B$5*(MAX(0,Assumptions!$B$2*EXP(-Assumptions!$B$4*$J7)*NORMSDIST(((LN(Assumptions!$B$2/'BS Engine'!$B$10)+(Assumptions!$B$3-Assumptions!$B$4+(G$4/100)^2/2)*$J7)/((G$4/100)*$K7)))-'BS Engine'!$B$10*EXP(-Assumptions!$B$3*$J7)*NORMSDIST((((LN(Assumptions!$B$2/'BS Engine'!$B$10)+(Assumptions!$B$3-Assumptions!$B$4+(G$4/100)^2/2)*$J7)/((G$4/100)*$K7))-(G$4/100)*$K7))))</f>
        <v/>
      </c>
      <c r="H7" s="29">
        <f>Assumptions!$B$5*(MAX(0,Assumptions!$B$2*EXP(-Assumptions!$B$4*$J7)*NORMSDIST(((LN(Assumptions!$B$2/'BS Engine'!$B$10)+(Assumptions!$B$3-Assumptions!$B$4+(H$4/100)^2/2)*$J7)/((H$4/100)*$K7)))-'BS Engine'!$B$10*EXP(-Assumptions!$B$3*$J7)*NORMSDIST((((LN(Assumptions!$B$2/'BS Engine'!$B$10)+(Assumptions!$B$3-Assumptions!$B$4+(H$4/100)^2/2)*$J7)/((H$4/100)*$K7))-(H$4/100)*$K7))))</f>
        <v/>
      </c>
      <c r="I7" s="29">
        <f>Assumptions!$B$5*(MAX(0,Assumptions!$B$2*EXP(-Assumptions!$B$4*$J7)*NORMSDIST(((LN(Assumptions!$B$2/'BS Engine'!$B$10)+(Assumptions!$B$3-Assumptions!$B$4+(I$4/100)^2/2)*$J7)/((I$4/100)*$K7)))-'BS Engine'!$B$10*EXP(-Assumptions!$B$3*$J7)*NORMSDIST((((LN(Assumptions!$B$2/'BS Engine'!$B$10)+(Assumptions!$B$3-Assumptions!$B$4+(I$4/100)^2/2)*$J7)/((I$4/100)*$K7))-(I$4/100)*$K7))))</f>
        <v/>
      </c>
      <c r="J7" s="44" t="n">
        <v>0.005479452054794521</v>
      </c>
      <c r="K7" s="44">
        <f>SQRT(J7)</f>
        <v/>
      </c>
    </row>
    <row r="8">
      <c r="A8" s="57" t="n">
        <v>3</v>
      </c>
      <c r="B8" s="49">
        <f>Assumptions!$B$5*(MAX(0,Assumptions!$B$2*EXP(-Assumptions!$B$4*$J8)*NORMSDIST(((LN(Assumptions!$B$2/'BS Engine'!$B$10)+(Assumptions!$B$3-Assumptions!$B$4+(B$4/100)^2/2)*$J8)/((B$4/100)*$K8)))-'BS Engine'!$B$10*EXP(-Assumptions!$B$3*$J8)*NORMSDIST((((LN(Assumptions!$B$2/'BS Engine'!$B$10)+(Assumptions!$B$3-Assumptions!$B$4+(B$4/100)^2/2)*$J8)/((B$4/100)*$K8))-(B$4/100)*$K8))))</f>
        <v/>
      </c>
      <c r="C8" s="29">
        <f>Assumptions!$B$5*(MAX(0,Assumptions!$B$2*EXP(-Assumptions!$B$4*$J8)*NORMSDIST(((LN(Assumptions!$B$2/'BS Engine'!$B$10)+(Assumptions!$B$3-Assumptions!$B$4+(C$4/100)^2/2)*$J8)/((C$4/100)*$K8)))-'BS Engine'!$B$10*EXP(-Assumptions!$B$3*$J8)*NORMSDIST((((LN(Assumptions!$B$2/'BS Engine'!$B$10)+(Assumptions!$B$3-Assumptions!$B$4+(C$4/100)^2/2)*$J8)/((C$4/100)*$K8))-(C$4/100)*$K8))))</f>
        <v/>
      </c>
      <c r="D8" s="29">
        <f>Assumptions!$B$5*(MAX(0,Assumptions!$B$2*EXP(-Assumptions!$B$4*$J8)*NORMSDIST(((LN(Assumptions!$B$2/'BS Engine'!$B$10)+(Assumptions!$B$3-Assumptions!$B$4+(D$4/100)^2/2)*$J8)/((D$4/100)*$K8)))-'BS Engine'!$B$10*EXP(-Assumptions!$B$3*$J8)*NORMSDIST((((LN(Assumptions!$B$2/'BS Engine'!$B$10)+(Assumptions!$B$3-Assumptions!$B$4+(D$4/100)^2/2)*$J8)/((D$4/100)*$K8))-(D$4/100)*$K8))))</f>
        <v/>
      </c>
      <c r="E8" s="29">
        <f>Assumptions!$B$5*(MAX(0,Assumptions!$B$2*EXP(-Assumptions!$B$4*$J8)*NORMSDIST(((LN(Assumptions!$B$2/'BS Engine'!$B$10)+(Assumptions!$B$3-Assumptions!$B$4+(E$4/100)^2/2)*$J8)/((E$4/100)*$K8)))-'BS Engine'!$B$10*EXP(-Assumptions!$B$3*$J8)*NORMSDIST((((LN(Assumptions!$B$2/'BS Engine'!$B$10)+(Assumptions!$B$3-Assumptions!$B$4+(E$4/100)^2/2)*$J8)/((E$4/100)*$K8))-(E$4/100)*$K8))))</f>
        <v/>
      </c>
      <c r="F8" s="29">
        <f>Assumptions!$B$5*(MAX(0,Assumptions!$B$2*EXP(-Assumptions!$B$4*$J8)*NORMSDIST(((LN(Assumptions!$B$2/'BS Engine'!$B$10)+(Assumptions!$B$3-Assumptions!$B$4+(F$4/100)^2/2)*$J8)/((F$4/100)*$K8)))-'BS Engine'!$B$10*EXP(-Assumptions!$B$3*$J8)*NORMSDIST((((LN(Assumptions!$B$2/'BS Engine'!$B$10)+(Assumptions!$B$3-Assumptions!$B$4+(F$4/100)^2/2)*$J8)/((F$4/100)*$K8))-(F$4/100)*$K8))))</f>
        <v/>
      </c>
      <c r="G8" s="29">
        <f>Assumptions!$B$5*(MAX(0,Assumptions!$B$2*EXP(-Assumptions!$B$4*$J8)*NORMSDIST(((LN(Assumptions!$B$2/'BS Engine'!$B$10)+(Assumptions!$B$3-Assumptions!$B$4+(G$4/100)^2/2)*$J8)/((G$4/100)*$K8)))-'BS Engine'!$B$10*EXP(-Assumptions!$B$3*$J8)*NORMSDIST((((LN(Assumptions!$B$2/'BS Engine'!$B$10)+(Assumptions!$B$3-Assumptions!$B$4+(G$4/100)^2/2)*$J8)/((G$4/100)*$K8))-(G$4/100)*$K8))))</f>
        <v/>
      </c>
      <c r="H8" s="29">
        <f>Assumptions!$B$5*(MAX(0,Assumptions!$B$2*EXP(-Assumptions!$B$4*$J8)*NORMSDIST(((LN(Assumptions!$B$2/'BS Engine'!$B$10)+(Assumptions!$B$3-Assumptions!$B$4+(H$4/100)^2/2)*$J8)/((H$4/100)*$K8)))-'BS Engine'!$B$10*EXP(-Assumptions!$B$3*$J8)*NORMSDIST((((LN(Assumptions!$B$2/'BS Engine'!$B$10)+(Assumptions!$B$3-Assumptions!$B$4+(H$4/100)^2/2)*$J8)/((H$4/100)*$K8))-(H$4/100)*$K8))))</f>
        <v/>
      </c>
      <c r="I8" s="29">
        <f>Assumptions!$B$5*(MAX(0,Assumptions!$B$2*EXP(-Assumptions!$B$4*$J8)*NORMSDIST(((LN(Assumptions!$B$2/'BS Engine'!$B$10)+(Assumptions!$B$3-Assumptions!$B$4+(I$4/100)^2/2)*$J8)/((I$4/100)*$K8)))-'BS Engine'!$B$10*EXP(-Assumptions!$B$3*$J8)*NORMSDIST((((LN(Assumptions!$B$2/'BS Engine'!$B$10)+(Assumptions!$B$3-Assumptions!$B$4+(I$4/100)^2/2)*$J8)/((I$4/100)*$K8))-(I$4/100)*$K8))))</f>
        <v/>
      </c>
      <c r="J8" s="44" t="n">
        <v>0.00821917808219178</v>
      </c>
      <c r="K8" s="44">
        <f>SQRT(J8)</f>
        <v/>
      </c>
    </row>
    <row r="9">
      <c r="A9" s="57" t="n">
        <v>5</v>
      </c>
      <c r="B9" s="49">
        <f>Assumptions!$B$5*(MAX(0,Assumptions!$B$2*EXP(-Assumptions!$B$4*$J9)*NORMSDIST(((LN(Assumptions!$B$2/'BS Engine'!$B$10)+(Assumptions!$B$3-Assumptions!$B$4+(B$4/100)^2/2)*$J9)/((B$4/100)*$K9)))-'BS Engine'!$B$10*EXP(-Assumptions!$B$3*$J9)*NORMSDIST((((LN(Assumptions!$B$2/'BS Engine'!$B$10)+(Assumptions!$B$3-Assumptions!$B$4+(B$4/100)^2/2)*$J9)/((B$4/100)*$K9))-(B$4/100)*$K9))))</f>
        <v/>
      </c>
      <c r="C9" s="29">
        <f>Assumptions!$B$5*(MAX(0,Assumptions!$B$2*EXP(-Assumptions!$B$4*$J9)*NORMSDIST(((LN(Assumptions!$B$2/'BS Engine'!$B$10)+(Assumptions!$B$3-Assumptions!$B$4+(C$4/100)^2/2)*$J9)/((C$4/100)*$K9)))-'BS Engine'!$B$10*EXP(-Assumptions!$B$3*$J9)*NORMSDIST((((LN(Assumptions!$B$2/'BS Engine'!$B$10)+(Assumptions!$B$3-Assumptions!$B$4+(C$4/100)^2/2)*$J9)/((C$4/100)*$K9))-(C$4/100)*$K9))))</f>
        <v/>
      </c>
      <c r="D9" s="29">
        <f>Assumptions!$B$5*(MAX(0,Assumptions!$B$2*EXP(-Assumptions!$B$4*$J9)*NORMSDIST(((LN(Assumptions!$B$2/'BS Engine'!$B$10)+(Assumptions!$B$3-Assumptions!$B$4+(D$4/100)^2/2)*$J9)/((D$4/100)*$K9)))-'BS Engine'!$B$10*EXP(-Assumptions!$B$3*$J9)*NORMSDIST((((LN(Assumptions!$B$2/'BS Engine'!$B$10)+(Assumptions!$B$3-Assumptions!$B$4+(D$4/100)^2/2)*$J9)/((D$4/100)*$K9))-(D$4/100)*$K9))))</f>
        <v/>
      </c>
      <c r="E9" s="29">
        <f>Assumptions!$B$5*(MAX(0,Assumptions!$B$2*EXP(-Assumptions!$B$4*$J9)*NORMSDIST(((LN(Assumptions!$B$2/'BS Engine'!$B$10)+(Assumptions!$B$3-Assumptions!$B$4+(E$4/100)^2/2)*$J9)/((E$4/100)*$K9)))-'BS Engine'!$B$10*EXP(-Assumptions!$B$3*$J9)*NORMSDIST((((LN(Assumptions!$B$2/'BS Engine'!$B$10)+(Assumptions!$B$3-Assumptions!$B$4+(E$4/100)^2/2)*$J9)/((E$4/100)*$K9))-(E$4/100)*$K9))))</f>
        <v/>
      </c>
      <c r="F9" s="29">
        <f>Assumptions!$B$5*(MAX(0,Assumptions!$B$2*EXP(-Assumptions!$B$4*$J9)*NORMSDIST(((LN(Assumptions!$B$2/'BS Engine'!$B$10)+(Assumptions!$B$3-Assumptions!$B$4+(F$4/100)^2/2)*$J9)/((F$4/100)*$K9)))-'BS Engine'!$B$10*EXP(-Assumptions!$B$3*$J9)*NORMSDIST((((LN(Assumptions!$B$2/'BS Engine'!$B$10)+(Assumptions!$B$3-Assumptions!$B$4+(F$4/100)^2/2)*$J9)/((F$4/100)*$K9))-(F$4/100)*$K9))))</f>
        <v/>
      </c>
      <c r="G9" s="29">
        <f>Assumptions!$B$5*(MAX(0,Assumptions!$B$2*EXP(-Assumptions!$B$4*$J9)*NORMSDIST(((LN(Assumptions!$B$2/'BS Engine'!$B$10)+(Assumptions!$B$3-Assumptions!$B$4+(G$4/100)^2/2)*$J9)/((G$4/100)*$K9)))-'BS Engine'!$B$10*EXP(-Assumptions!$B$3*$J9)*NORMSDIST((((LN(Assumptions!$B$2/'BS Engine'!$B$10)+(Assumptions!$B$3-Assumptions!$B$4+(G$4/100)^2/2)*$J9)/((G$4/100)*$K9))-(G$4/100)*$K9))))</f>
        <v/>
      </c>
      <c r="H9" s="29">
        <f>Assumptions!$B$5*(MAX(0,Assumptions!$B$2*EXP(-Assumptions!$B$4*$J9)*NORMSDIST(((LN(Assumptions!$B$2/'BS Engine'!$B$10)+(Assumptions!$B$3-Assumptions!$B$4+(H$4/100)^2/2)*$J9)/((H$4/100)*$K9)))-'BS Engine'!$B$10*EXP(-Assumptions!$B$3*$J9)*NORMSDIST((((LN(Assumptions!$B$2/'BS Engine'!$B$10)+(Assumptions!$B$3-Assumptions!$B$4+(H$4/100)^2/2)*$J9)/((H$4/100)*$K9))-(H$4/100)*$K9))))</f>
        <v/>
      </c>
      <c r="I9" s="29">
        <f>Assumptions!$B$5*(MAX(0,Assumptions!$B$2*EXP(-Assumptions!$B$4*$J9)*NORMSDIST(((LN(Assumptions!$B$2/'BS Engine'!$B$10)+(Assumptions!$B$3-Assumptions!$B$4+(I$4/100)^2/2)*$J9)/((I$4/100)*$K9)))-'BS Engine'!$B$10*EXP(-Assumptions!$B$3*$J9)*NORMSDIST((((LN(Assumptions!$B$2/'BS Engine'!$B$10)+(Assumptions!$B$3-Assumptions!$B$4+(I$4/100)^2/2)*$J9)/((I$4/100)*$K9))-(I$4/100)*$K9))))</f>
        <v/>
      </c>
      <c r="J9" s="44" t="n">
        <v>0.0136986301369863</v>
      </c>
      <c r="K9" s="44">
        <f>SQRT(J9)</f>
        <v/>
      </c>
    </row>
    <row r="10">
      <c r="A10" s="57" t="n">
        <v>7</v>
      </c>
      <c r="B10" s="49">
        <f>Assumptions!$B$5*(MAX(0,Assumptions!$B$2*EXP(-Assumptions!$B$4*$J10)*NORMSDIST(((LN(Assumptions!$B$2/'BS Engine'!$B$10)+(Assumptions!$B$3-Assumptions!$B$4+(B$4/100)^2/2)*$J10)/((B$4/100)*$K10)))-'BS Engine'!$B$10*EXP(-Assumptions!$B$3*$J10)*NORMSDIST((((LN(Assumptions!$B$2/'BS Engine'!$B$10)+(Assumptions!$B$3-Assumptions!$B$4+(B$4/100)^2/2)*$J10)/((B$4/100)*$K10))-(B$4/100)*$K10))))</f>
        <v/>
      </c>
      <c r="C10" s="29">
        <f>Assumptions!$B$5*(MAX(0,Assumptions!$B$2*EXP(-Assumptions!$B$4*$J10)*NORMSDIST(((LN(Assumptions!$B$2/'BS Engine'!$B$10)+(Assumptions!$B$3-Assumptions!$B$4+(C$4/100)^2/2)*$J10)/((C$4/100)*$K10)))-'BS Engine'!$B$10*EXP(-Assumptions!$B$3*$J10)*NORMSDIST((((LN(Assumptions!$B$2/'BS Engine'!$B$10)+(Assumptions!$B$3-Assumptions!$B$4+(C$4/100)^2/2)*$J10)/((C$4/100)*$K10))-(C$4/100)*$K10))))</f>
        <v/>
      </c>
      <c r="D10" s="29">
        <f>Assumptions!$B$5*(MAX(0,Assumptions!$B$2*EXP(-Assumptions!$B$4*$J10)*NORMSDIST(((LN(Assumptions!$B$2/'BS Engine'!$B$10)+(Assumptions!$B$3-Assumptions!$B$4+(D$4/100)^2/2)*$J10)/((D$4/100)*$K10)))-'BS Engine'!$B$10*EXP(-Assumptions!$B$3*$J10)*NORMSDIST((((LN(Assumptions!$B$2/'BS Engine'!$B$10)+(Assumptions!$B$3-Assumptions!$B$4+(D$4/100)^2/2)*$J10)/((D$4/100)*$K10))-(D$4/100)*$K10))))</f>
        <v/>
      </c>
      <c r="E10" s="29">
        <f>Assumptions!$B$5*(MAX(0,Assumptions!$B$2*EXP(-Assumptions!$B$4*$J10)*NORMSDIST(((LN(Assumptions!$B$2/'BS Engine'!$B$10)+(Assumptions!$B$3-Assumptions!$B$4+(E$4/100)^2/2)*$J10)/((E$4/100)*$K10)))-'BS Engine'!$B$10*EXP(-Assumptions!$B$3*$J10)*NORMSDIST((((LN(Assumptions!$B$2/'BS Engine'!$B$10)+(Assumptions!$B$3-Assumptions!$B$4+(E$4/100)^2/2)*$J10)/((E$4/100)*$K10))-(E$4/100)*$K10))))</f>
        <v/>
      </c>
      <c r="F10" s="29">
        <f>Assumptions!$B$5*(MAX(0,Assumptions!$B$2*EXP(-Assumptions!$B$4*$J10)*NORMSDIST(((LN(Assumptions!$B$2/'BS Engine'!$B$10)+(Assumptions!$B$3-Assumptions!$B$4+(F$4/100)^2/2)*$J10)/((F$4/100)*$K10)))-'BS Engine'!$B$10*EXP(-Assumptions!$B$3*$J10)*NORMSDIST((((LN(Assumptions!$B$2/'BS Engine'!$B$10)+(Assumptions!$B$3-Assumptions!$B$4+(F$4/100)^2/2)*$J10)/((F$4/100)*$K10))-(F$4/100)*$K10))))</f>
        <v/>
      </c>
      <c r="G10" s="29">
        <f>Assumptions!$B$5*(MAX(0,Assumptions!$B$2*EXP(-Assumptions!$B$4*$J10)*NORMSDIST(((LN(Assumptions!$B$2/'BS Engine'!$B$10)+(Assumptions!$B$3-Assumptions!$B$4+(G$4/100)^2/2)*$J10)/((G$4/100)*$K10)))-'BS Engine'!$B$10*EXP(-Assumptions!$B$3*$J10)*NORMSDIST((((LN(Assumptions!$B$2/'BS Engine'!$B$10)+(Assumptions!$B$3-Assumptions!$B$4+(G$4/100)^2/2)*$J10)/((G$4/100)*$K10))-(G$4/100)*$K10))))</f>
        <v/>
      </c>
      <c r="H10" s="29">
        <f>Assumptions!$B$5*(MAX(0,Assumptions!$B$2*EXP(-Assumptions!$B$4*$J10)*NORMSDIST(((LN(Assumptions!$B$2/'BS Engine'!$B$10)+(Assumptions!$B$3-Assumptions!$B$4+(H$4/100)^2/2)*$J10)/((H$4/100)*$K10)))-'BS Engine'!$B$10*EXP(-Assumptions!$B$3*$J10)*NORMSDIST((((LN(Assumptions!$B$2/'BS Engine'!$B$10)+(Assumptions!$B$3-Assumptions!$B$4+(H$4/100)^2/2)*$J10)/((H$4/100)*$K10))-(H$4/100)*$K10))))</f>
        <v/>
      </c>
      <c r="I10" s="29">
        <f>Assumptions!$B$5*(MAX(0,Assumptions!$B$2*EXP(-Assumptions!$B$4*$J10)*NORMSDIST(((LN(Assumptions!$B$2/'BS Engine'!$B$10)+(Assumptions!$B$3-Assumptions!$B$4+(I$4/100)^2/2)*$J10)/((I$4/100)*$K10)))-'BS Engine'!$B$10*EXP(-Assumptions!$B$3*$J10)*NORMSDIST((((LN(Assumptions!$B$2/'BS Engine'!$B$10)+(Assumptions!$B$3-Assumptions!$B$4+(I$4/100)^2/2)*$J10)/((I$4/100)*$K10))-(I$4/100)*$K10))))</f>
        <v/>
      </c>
      <c r="J10" s="44" t="n">
        <v>0.01917808219178082</v>
      </c>
      <c r="K10" s="44">
        <f>SQRT(J10)</f>
        <v/>
      </c>
    </row>
    <row r="11">
      <c r="A11" s="57" t="n">
        <v>10</v>
      </c>
      <c r="B11" s="49">
        <f>Assumptions!$B$5*(MAX(0,Assumptions!$B$2*EXP(-Assumptions!$B$4*$J11)*NORMSDIST(((LN(Assumptions!$B$2/'BS Engine'!$B$10)+(Assumptions!$B$3-Assumptions!$B$4+(B$4/100)^2/2)*$J11)/((B$4/100)*$K11)))-'BS Engine'!$B$10*EXP(-Assumptions!$B$3*$J11)*NORMSDIST((((LN(Assumptions!$B$2/'BS Engine'!$B$10)+(Assumptions!$B$3-Assumptions!$B$4+(B$4/100)^2/2)*$J11)/((B$4/100)*$K11))-(B$4/100)*$K11))))</f>
        <v/>
      </c>
      <c r="C11" s="29">
        <f>Assumptions!$B$5*(MAX(0,Assumptions!$B$2*EXP(-Assumptions!$B$4*$J11)*NORMSDIST(((LN(Assumptions!$B$2/'BS Engine'!$B$10)+(Assumptions!$B$3-Assumptions!$B$4+(C$4/100)^2/2)*$J11)/((C$4/100)*$K11)))-'BS Engine'!$B$10*EXP(-Assumptions!$B$3*$J11)*NORMSDIST((((LN(Assumptions!$B$2/'BS Engine'!$B$10)+(Assumptions!$B$3-Assumptions!$B$4+(C$4/100)^2/2)*$J11)/((C$4/100)*$K11))-(C$4/100)*$K11))))</f>
        <v/>
      </c>
      <c r="D11" s="29">
        <f>Assumptions!$B$5*(MAX(0,Assumptions!$B$2*EXP(-Assumptions!$B$4*$J11)*NORMSDIST(((LN(Assumptions!$B$2/'BS Engine'!$B$10)+(Assumptions!$B$3-Assumptions!$B$4+(D$4/100)^2/2)*$J11)/((D$4/100)*$K11)))-'BS Engine'!$B$10*EXP(-Assumptions!$B$3*$J11)*NORMSDIST((((LN(Assumptions!$B$2/'BS Engine'!$B$10)+(Assumptions!$B$3-Assumptions!$B$4+(D$4/100)^2/2)*$J11)/((D$4/100)*$K11))-(D$4/100)*$K11))))</f>
        <v/>
      </c>
      <c r="E11" s="29">
        <f>Assumptions!$B$5*(MAX(0,Assumptions!$B$2*EXP(-Assumptions!$B$4*$J11)*NORMSDIST(((LN(Assumptions!$B$2/'BS Engine'!$B$10)+(Assumptions!$B$3-Assumptions!$B$4+(E$4/100)^2/2)*$J11)/((E$4/100)*$K11)))-'BS Engine'!$B$10*EXP(-Assumptions!$B$3*$J11)*NORMSDIST((((LN(Assumptions!$B$2/'BS Engine'!$B$10)+(Assumptions!$B$3-Assumptions!$B$4+(E$4/100)^2/2)*$J11)/((E$4/100)*$K11))-(E$4/100)*$K11))))</f>
        <v/>
      </c>
      <c r="F11" s="29">
        <f>Assumptions!$B$5*(MAX(0,Assumptions!$B$2*EXP(-Assumptions!$B$4*$J11)*NORMSDIST(((LN(Assumptions!$B$2/'BS Engine'!$B$10)+(Assumptions!$B$3-Assumptions!$B$4+(F$4/100)^2/2)*$J11)/((F$4/100)*$K11)))-'BS Engine'!$B$10*EXP(-Assumptions!$B$3*$J11)*NORMSDIST((((LN(Assumptions!$B$2/'BS Engine'!$B$10)+(Assumptions!$B$3-Assumptions!$B$4+(F$4/100)^2/2)*$J11)/((F$4/100)*$K11))-(F$4/100)*$K11))))</f>
        <v/>
      </c>
      <c r="G11" s="29">
        <f>Assumptions!$B$5*(MAX(0,Assumptions!$B$2*EXP(-Assumptions!$B$4*$J11)*NORMSDIST(((LN(Assumptions!$B$2/'BS Engine'!$B$10)+(Assumptions!$B$3-Assumptions!$B$4+(G$4/100)^2/2)*$J11)/((G$4/100)*$K11)))-'BS Engine'!$B$10*EXP(-Assumptions!$B$3*$J11)*NORMSDIST((((LN(Assumptions!$B$2/'BS Engine'!$B$10)+(Assumptions!$B$3-Assumptions!$B$4+(G$4/100)^2/2)*$J11)/((G$4/100)*$K11))-(G$4/100)*$K11))))</f>
        <v/>
      </c>
      <c r="H11" s="29">
        <f>Assumptions!$B$5*(MAX(0,Assumptions!$B$2*EXP(-Assumptions!$B$4*$J11)*NORMSDIST(((LN(Assumptions!$B$2/'BS Engine'!$B$10)+(Assumptions!$B$3-Assumptions!$B$4+(H$4/100)^2/2)*$J11)/((H$4/100)*$K11)))-'BS Engine'!$B$10*EXP(-Assumptions!$B$3*$J11)*NORMSDIST((((LN(Assumptions!$B$2/'BS Engine'!$B$10)+(Assumptions!$B$3-Assumptions!$B$4+(H$4/100)^2/2)*$J11)/((H$4/100)*$K11))-(H$4/100)*$K11))))</f>
        <v/>
      </c>
      <c r="I11" s="29">
        <f>Assumptions!$B$5*(MAX(0,Assumptions!$B$2*EXP(-Assumptions!$B$4*$J11)*NORMSDIST(((LN(Assumptions!$B$2/'BS Engine'!$B$10)+(Assumptions!$B$3-Assumptions!$B$4+(I$4/100)^2/2)*$J11)/((I$4/100)*$K11)))-'BS Engine'!$B$10*EXP(-Assumptions!$B$3*$J11)*NORMSDIST((((LN(Assumptions!$B$2/'BS Engine'!$B$10)+(Assumptions!$B$3-Assumptions!$B$4+(I$4/100)^2/2)*$J11)/((I$4/100)*$K11))-(I$4/100)*$K11))))</f>
        <v/>
      </c>
      <c r="J11" s="44" t="n">
        <v>0.0273972602739726</v>
      </c>
      <c r="K11" s="44">
        <f>SQRT(J11)</f>
        <v/>
      </c>
    </row>
    <row r="12">
      <c r="A12" s="57" t="n">
        <v>15</v>
      </c>
      <c r="B12" s="49">
        <f>Assumptions!$B$5*(MAX(0,Assumptions!$B$2*EXP(-Assumptions!$B$4*$J12)*NORMSDIST(((LN(Assumptions!$B$2/'BS Engine'!$B$10)+(Assumptions!$B$3-Assumptions!$B$4+(B$4/100)^2/2)*$J12)/((B$4/100)*$K12)))-'BS Engine'!$B$10*EXP(-Assumptions!$B$3*$J12)*NORMSDIST((((LN(Assumptions!$B$2/'BS Engine'!$B$10)+(Assumptions!$B$3-Assumptions!$B$4+(B$4/100)^2/2)*$J12)/((B$4/100)*$K12))-(B$4/100)*$K12))))</f>
        <v/>
      </c>
      <c r="C12" s="29">
        <f>Assumptions!$B$5*(MAX(0,Assumptions!$B$2*EXP(-Assumptions!$B$4*$J12)*NORMSDIST(((LN(Assumptions!$B$2/'BS Engine'!$B$10)+(Assumptions!$B$3-Assumptions!$B$4+(C$4/100)^2/2)*$J12)/((C$4/100)*$K12)))-'BS Engine'!$B$10*EXP(-Assumptions!$B$3*$J12)*NORMSDIST((((LN(Assumptions!$B$2/'BS Engine'!$B$10)+(Assumptions!$B$3-Assumptions!$B$4+(C$4/100)^2/2)*$J12)/((C$4/100)*$K12))-(C$4/100)*$K12))))</f>
        <v/>
      </c>
      <c r="D12" s="29">
        <f>Assumptions!$B$5*(MAX(0,Assumptions!$B$2*EXP(-Assumptions!$B$4*$J12)*NORMSDIST(((LN(Assumptions!$B$2/'BS Engine'!$B$10)+(Assumptions!$B$3-Assumptions!$B$4+(D$4/100)^2/2)*$J12)/((D$4/100)*$K12)))-'BS Engine'!$B$10*EXP(-Assumptions!$B$3*$J12)*NORMSDIST((((LN(Assumptions!$B$2/'BS Engine'!$B$10)+(Assumptions!$B$3-Assumptions!$B$4+(D$4/100)^2/2)*$J12)/((D$4/100)*$K12))-(D$4/100)*$K12))))</f>
        <v/>
      </c>
      <c r="E12" s="29">
        <f>Assumptions!$B$5*(MAX(0,Assumptions!$B$2*EXP(-Assumptions!$B$4*$J12)*NORMSDIST(((LN(Assumptions!$B$2/'BS Engine'!$B$10)+(Assumptions!$B$3-Assumptions!$B$4+(E$4/100)^2/2)*$J12)/((E$4/100)*$K12)))-'BS Engine'!$B$10*EXP(-Assumptions!$B$3*$J12)*NORMSDIST((((LN(Assumptions!$B$2/'BS Engine'!$B$10)+(Assumptions!$B$3-Assumptions!$B$4+(E$4/100)^2/2)*$J12)/((E$4/100)*$K12))-(E$4/100)*$K12))))</f>
        <v/>
      </c>
      <c r="F12" s="29">
        <f>Assumptions!$B$5*(MAX(0,Assumptions!$B$2*EXP(-Assumptions!$B$4*$J12)*NORMSDIST(((LN(Assumptions!$B$2/'BS Engine'!$B$10)+(Assumptions!$B$3-Assumptions!$B$4+(F$4/100)^2/2)*$J12)/((F$4/100)*$K12)))-'BS Engine'!$B$10*EXP(-Assumptions!$B$3*$J12)*NORMSDIST((((LN(Assumptions!$B$2/'BS Engine'!$B$10)+(Assumptions!$B$3-Assumptions!$B$4+(F$4/100)^2/2)*$J12)/((F$4/100)*$K12))-(F$4/100)*$K12))))</f>
        <v/>
      </c>
      <c r="G12" s="29">
        <f>Assumptions!$B$5*(MAX(0,Assumptions!$B$2*EXP(-Assumptions!$B$4*$J12)*NORMSDIST(((LN(Assumptions!$B$2/'BS Engine'!$B$10)+(Assumptions!$B$3-Assumptions!$B$4+(G$4/100)^2/2)*$J12)/((G$4/100)*$K12)))-'BS Engine'!$B$10*EXP(-Assumptions!$B$3*$J12)*NORMSDIST((((LN(Assumptions!$B$2/'BS Engine'!$B$10)+(Assumptions!$B$3-Assumptions!$B$4+(G$4/100)^2/2)*$J12)/((G$4/100)*$K12))-(G$4/100)*$K12))))</f>
        <v/>
      </c>
      <c r="H12" s="29">
        <f>Assumptions!$B$5*(MAX(0,Assumptions!$B$2*EXP(-Assumptions!$B$4*$J12)*NORMSDIST(((LN(Assumptions!$B$2/'BS Engine'!$B$10)+(Assumptions!$B$3-Assumptions!$B$4+(H$4/100)^2/2)*$J12)/((H$4/100)*$K12)))-'BS Engine'!$B$10*EXP(-Assumptions!$B$3*$J12)*NORMSDIST((((LN(Assumptions!$B$2/'BS Engine'!$B$10)+(Assumptions!$B$3-Assumptions!$B$4+(H$4/100)^2/2)*$J12)/((H$4/100)*$K12))-(H$4/100)*$K12))))</f>
        <v/>
      </c>
      <c r="I12" s="29">
        <f>Assumptions!$B$5*(MAX(0,Assumptions!$B$2*EXP(-Assumptions!$B$4*$J12)*NORMSDIST(((LN(Assumptions!$B$2/'BS Engine'!$B$10)+(Assumptions!$B$3-Assumptions!$B$4+(I$4/100)^2/2)*$J12)/((I$4/100)*$K12)))-'BS Engine'!$B$10*EXP(-Assumptions!$B$3*$J12)*NORMSDIST((((LN(Assumptions!$B$2/'BS Engine'!$B$10)+(Assumptions!$B$3-Assumptions!$B$4+(I$4/100)^2/2)*$J12)/((I$4/100)*$K12))-(I$4/100)*$K12))))</f>
        <v/>
      </c>
      <c r="J12" s="44" t="n">
        <v>0.0410958904109589</v>
      </c>
      <c r="K12" s="44">
        <f>SQRT(J12)</f>
        <v/>
      </c>
    </row>
    <row r="13">
      <c r="A13" s="57" t="n">
        <v>21</v>
      </c>
      <c r="B13" s="49">
        <f>Assumptions!$B$5*(MAX(0,Assumptions!$B$2*EXP(-Assumptions!$B$4*$J13)*NORMSDIST(((LN(Assumptions!$B$2/'BS Engine'!$B$10)+(Assumptions!$B$3-Assumptions!$B$4+(B$4/100)^2/2)*$J13)/((B$4/100)*$K13)))-'BS Engine'!$B$10*EXP(-Assumptions!$B$3*$J13)*NORMSDIST((((LN(Assumptions!$B$2/'BS Engine'!$B$10)+(Assumptions!$B$3-Assumptions!$B$4+(B$4/100)^2/2)*$J13)/((B$4/100)*$K13))-(B$4/100)*$K13))))</f>
        <v/>
      </c>
      <c r="C13" s="29">
        <f>Assumptions!$B$5*(MAX(0,Assumptions!$B$2*EXP(-Assumptions!$B$4*$J13)*NORMSDIST(((LN(Assumptions!$B$2/'BS Engine'!$B$10)+(Assumptions!$B$3-Assumptions!$B$4+(C$4/100)^2/2)*$J13)/((C$4/100)*$K13)))-'BS Engine'!$B$10*EXP(-Assumptions!$B$3*$J13)*NORMSDIST((((LN(Assumptions!$B$2/'BS Engine'!$B$10)+(Assumptions!$B$3-Assumptions!$B$4+(C$4/100)^2/2)*$J13)/((C$4/100)*$K13))-(C$4/100)*$K13))))</f>
        <v/>
      </c>
      <c r="D13" s="29">
        <f>Assumptions!$B$5*(MAX(0,Assumptions!$B$2*EXP(-Assumptions!$B$4*$J13)*NORMSDIST(((LN(Assumptions!$B$2/'BS Engine'!$B$10)+(Assumptions!$B$3-Assumptions!$B$4+(D$4/100)^2/2)*$J13)/((D$4/100)*$K13)))-'BS Engine'!$B$10*EXP(-Assumptions!$B$3*$J13)*NORMSDIST((((LN(Assumptions!$B$2/'BS Engine'!$B$10)+(Assumptions!$B$3-Assumptions!$B$4+(D$4/100)^2/2)*$J13)/((D$4/100)*$K13))-(D$4/100)*$K13))))</f>
        <v/>
      </c>
      <c r="E13" s="29">
        <f>Assumptions!$B$5*(MAX(0,Assumptions!$B$2*EXP(-Assumptions!$B$4*$J13)*NORMSDIST(((LN(Assumptions!$B$2/'BS Engine'!$B$10)+(Assumptions!$B$3-Assumptions!$B$4+(E$4/100)^2/2)*$J13)/((E$4/100)*$K13)))-'BS Engine'!$B$10*EXP(-Assumptions!$B$3*$J13)*NORMSDIST((((LN(Assumptions!$B$2/'BS Engine'!$B$10)+(Assumptions!$B$3-Assumptions!$B$4+(E$4/100)^2/2)*$J13)/((E$4/100)*$K13))-(E$4/100)*$K13))))</f>
        <v/>
      </c>
      <c r="F13" s="29">
        <f>Assumptions!$B$5*(MAX(0,Assumptions!$B$2*EXP(-Assumptions!$B$4*$J13)*NORMSDIST(((LN(Assumptions!$B$2/'BS Engine'!$B$10)+(Assumptions!$B$3-Assumptions!$B$4+(F$4/100)^2/2)*$J13)/((F$4/100)*$K13)))-'BS Engine'!$B$10*EXP(-Assumptions!$B$3*$J13)*NORMSDIST((((LN(Assumptions!$B$2/'BS Engine'!$B$10)+(Assumptions!$B$3-Assumptions!$B$4+(F$4/100)^2/2)*$J13)/((F$4/100)*$K13))-(F$4/100)*$K13))))</f>
        <v/>
      </c>
      <c r="G13" s="29">
        <f>Assumptions!$B$5*(MAX(0,Assumptions!$B$2*EXP(-Assumptions!$B$4*$J13)*NORMSDIST(((LN(Assumptions!$B$2/'BS Engine'!$B$10)+(Assumptions!$B$3-Assumptions!$B$4+(G$4/100)^2/2)*$J13)/((G$4/100)*$K13)))-'BS Engine'!$B$10*EXP(-Assumptions!$B$3*$J13)*NORMSDIST((((LN(Assumptions!$B$2/'BS Engine'!$B$10)+(Assumptions!$B$3-Assumptions!$B$4+(G$4/100)^2/2)*$J13)/((G$4/100)*$K13))-(G$4/100)*$K13))))</f>
        <v/>
      </c>
      <c r="H13" s="29">
        <f>Assumptions!$B$5*(MAX(0,Assumptions!$B$2*EXP(-Assumptions!$B$4*$J13)*NORMSDIST(((LN(Assumptions!$B$2/'BS Engine'!$B$10)+(Assumptions!$B$3-Assumptions!$B$4+(H$4/100)^2/2)*$J13)/((H$4/100)*$K13)))-'BS Engine'!$B$10*EXP(-Assumptions!$B$3*$J13)*NORMSDIST((((LN(Assumptions!$B$2/'BS Engine'!$B$10)+(Assumptions!$B$3-Assumptions!$B$4+(H$4/100)^2/2)*$J13)/((H$4/100)*$K13))-(H$4/100)*$K13))))</f>
        <v/>
      </c>
      <c r="I13" s="29">
        <f>Assumptions!$B$5*(MAX(0,Assumptions!$B$2*EXP(-Assumptions!$B$4*$J13)*NORMSDIST(((LN(Assumptions!$B$2/'BS Engine'!$B$10)+(Assumptions!$B$3-Assumptions!$B$4+(I$4/100)^2/2)*$J13)/((I$4/100)*$K13)))-'BS Engine'!$B$10*EXP(-Assumptions!$B$3*$J13)*NORMSDIST((((LN(Assumptions!$B$2/'BS Engine'!$B$10)+(Assumptions!$B$3-Assumptions!$B$4+(I$4/100)^2/2)*$J13)/((I$4/100)*$K13))-(I$4/100)*$K13))))</f>
        <v/>
      </c>
      <c r="J13" s="44" t="n">
        <v>0.05753424657534247</v>
      </c>
      <c r="K13" s="44">
        <f>SQRT(J13)</f>
        <v/>
      </c>
    </row>
    <row r="14">
      <c r="A14" s="57" t="n">
        <v>30</v>
      </c>
      <c r="B14" s="49">
        <f>Assumptions!$B$5*(MAX(0,Assumptions!$B$2*EXP(-Assumptions!$B$4*$J14)*NORMSDIST(((LN(Assumptions!$B$2/'BS Engine'!$B$10)+(Assumptions!$B$3-Assumptions!$B$4+(B$4/100)^2/2)*$J14)/((B$4/100)*$K14)))-'BS Engine'!$B$10*EXP(-Assumptions!$B$3*$J14)*NORMSDIST((((LN(Assumptions!$B$2/'BS Engine'!$B$10)+(Assumptions!$B$3-Assumptions!$B$4+(B$4/100)^2/2)*$J14)/((B$4/100)*$K14))-(B$4/100)*$K14))))</f>
        <v/>
      </c>
      <c r="C14" s="29">
        <f>Assumptions!$B$5*(MAX(0,Assumptions!$B$2*EXP(-Assumptions!$B$4*$J14)*NORMSDIST(((LN(Assumptions!$B$2/'BS Engine'!$B$10)+(Assumptions!$B$3-Assumptions!$B$4+(C$4/100)^2/2)*$J14)/((C$4/100)*$K14)))-'BS Engine'!$B$10*EXP(-Assumptions!$B$3*$J14)*NORMSDIST((((LN(Assumptions!$B$2/'BS Engine'!$B$10)+(Assumptions!$B$3-Assumptions!$B$4+(C$4/100)^2/2)*$J14)/((C$4/100)*$K14))-(C$4/100)*$K14))))</f>
        <v/>
      </c>
      <c r="D14" s="29">
        <f>Assumptions!$B$5*(MAX(0,Assumptions!$B$2*EXP(-Assumptions!$B$4*$J14)*NORMSDIST(((LN(Assumptions!$B$2/'BS Engine'!$B$10)+(Assumptions!$B$3-Assumptions!$B$4+(D$4/100)^2/2)*$J14)/((D$4/100)*$K14)))-'BS Engine'!$B$10*EXP(-Assumptions!$B$3*$J14)*NORMSDIST((((LN(Assumptions!$B$2/'BS Engine'!$B$10)+(Assumptions!$B$3-Assumptions!$B$4+(D$4/100)^2/2)*$J14)/((D$4/100)*$K14))-(D$4/100)*$K14))))</f>
        <v/>
      </c>
      <c r="E14" s="29">
        <f>Assumptions!$B$5*(MAX(0,Assumptions!$B$2*EXP(-Assumptions!$B$4*$J14)*NORMSDIST(((LN(Assumptions!$B$2/'BS Engine'!$B$10)+(Assumptions!$B$3-Assumptions!$B$4+(E$4/100)^2/2)*$J14)/((E$4/100)*$K14)))-'BS Engine'!$B$10*EXP(-Assumptions!$B$3*$J14)*NORMSDIST((((LN(Assumptions!$B$2/'BS Engine'!$B$10)+(Assumptions!$B$3-Assumptions!$B$4+(E$4/100)^2/2)*$J14)/((E$4/100)*$K14))-(E$4/100)*$K14))))</f>
        <v/>
      </c>
      <c r="F14" s="29">
        <f>Assumptions!$B$5*(MAX(0,Assumptions!$B$2*EXP(-Assumptions!$B$4*$J14)*NORMSDIST(((LN(Assumptions!$B$2/'BS Engine'!$B$10)+(Assumptions!$B$3-Assumptions!$B$4+(F$4/100)^2/2)*$J14)/((F$4/100)*$K14)))-'BS Engine'!$B$10*EXP(-Assumptions!$B$3*$J14)*NORMSDIST((((LN(Assumptions!$B$2/'BS Engine'!$B$10)+(Assumptions!$B$3-Assumptions!$B$4+(F$4/100)^2/2)*$J14)/((F$4/100)*$K14))-(F$4/100)*$K14))))</f>
        <v/>
      </c>
      <c r="G14" s="29">
        <f>Assumptions!$B$5*(MAX(0,Assumptions!$B$2*EXP(-Assumptions!$B$4*$J14)*NORMSDIST(((LN(Assumptions!$B$2/'BS Engine'!$B$10)+(Assumptions!$B$3-Assumptions!$B$4+(G$4/100)^2/2)*$J14)/((G$4/100)*$K14)))-'BS Engine'!$B$10*EXP(-Assumptions!$B$3*$J14)*NORMSDIST((((LN(Assumptions!$B$2/'BS Engine'!$B$10)+(Assumptions!$B$3-Assumptions!$B$4+(G$4/100)^2/2)*$J14)/((G$4/100)*$K14))-(G$4/100)*$K14))))</f>
        <v/>
      </c>
      <c r="H14" s="29">
        <f>Assumptions!$B$5*(MAX(0,Assumptions!$B$2*EXP(-Assumptions!$B$4*$J14)*NORMSDIST(((LN(Assumptions!$B$2/'BS Engine'!$B$10)+(Assumptions!$B$3-Assumptions!$B$4+(H$4/100)^2/2)*$J14)/((H$4/100)*$K14)))-'BS Engine'!$B$10*EXP(-Assumptions!$B$3*$J14)*NORMSDIST((((LN(Assumptions!$B$2/'BS Engine'!$B$10)+(Assumptions!$B$3-Assumptions!$B$4+(H$4/100)^2/2)*$J14)/((H$4/100)*$K14))-(H$4/100)*$K14))))</f>
        <v/>
      </c>
      <c r="I14" s="29">
        <f>Assumptions!$B$5*(MAX(0,Assumptions!$B$2*EXP(-Assumptions!$B$4*$J14)*NORMSDIST(((LN(Assumptions!$B$2/'BS Engine'!$B$10)+(Assumptions!$B$3-Assumptions!$B$4+(I$4/100)^2/2)*$J14)/((I$4/100)*$K14)))-'BS Engine'!$B$10*EXP(-Assumptions!$B$3*$J14)*NORMSDIST((((LN(Assumptions!$B$2/'BS Engine'!$B$10)+(Assumptions!$B$3-Assumptions!$B$4+(I$4/100)^2/2)*$J14)/((I$4/100)*$K14))-(I$4/100)*$K14))))</f>
        <v/>
      </c>
      <c r="J14" s="44" t="n">
        <v>0.0821917808219178</v>
      </c>
      <c r="K14" s="44">
        <f>SQRT(J14)</f>
        <v/>
      </c>
    </row>
    <row r="17">
      <c r="A17" s="20" t="inlineStr">
        <is>
          <t>+2.0% call (OTM)</t>
        </is>
      </c>
    </row>
    <row r="18">
      <c r="A18" s="1" t="inlineStr">
        <is>
          <t>DTE (days)</t>
        </is>
      </c>
      <c r="B18" s="51" t="n">
        <v>8</v>
      </c>
      <c r="C18" s="51" t="n">
        <v>10</v>
      </c>
      <c r="D18" s="51" t="n">
        <v>12</v>
      </c>
      <c r="E18" s="51" t="n">
        <v>15</v>
      </c>
      <c r="F18" s="51" t="n">
        <v>18</v>
      </c>
      <c r="G18" s="51" t="n">
        <v>20</v>
      </c>
      <c r="H18" s="51" t="n">
        <v>25</v>
      </c>
      <c r="I18" s="51" t="n">
        <v>30</v>
      </c>
      <c r="J18" s="3" t="inlineStr">
        <is>
          <t>T (yrs)</t>
        </is>
      </c>
      <c r="K18" s="3" t="inlineStr">
        <is>
          <t>SQRT(T)</t>
        </is>
      </c>
    </row>
    <row r="19">
      <c r="A19" s="57" t="n">
        <v>0.5</v>
      </c>
      <c r="B19" s="49">
        <f>Assumptions!$B$5*(MAX(0,Assumptions!$B$2*EXP(-Assumptions!$B$4*$J19)*NORMSDIST(((LN(Assumptions!$B$2/'BS Engine'!$B$18)+(Assumptions!$B$3-Assumptions!$B$4+(B$18/100)^2/2)*$J19)/((B$18/100)*$K19)))-'BS Engine'!$B$18*EXP(-Assumptions!$B$3*$J19)*NORMSDIST((((LN(Assumptions!$B$2/'BS Engine'!$B$18)+(Assumptions!$B$3-Assumptions!$B$4+(B$18/100)^2/2)*$J19)/((B$18/100)*$K19))-(B$18/100)*$K19))))</f>
        <v/>
      </c>
      <c r="C19" s="29">
        <f>Assumptions!$B$5*(MAX(0,Assumptions!$B$2*EXP(-Assumptions!$B$4*$J19)*NORMSDIST(((LN(Assumptions!$B$2/'BS Engine'!$B$18)+(Assumptions!$B$3-Assumptions!$B$4+(C$18/100)^2/2)*$J19)/((C$18/100)*$K19)))-'BS Engine'!$B$18*EXP(-Assumptions!$B$3*$J19)*NORMSDIST((((LN(Assumptions!$B$2/'BS Engine'!$B$18)+(Assumptions!$B$3-Assumptions!$B$4+(C$18/100)^2/2)*$J19)/((C$18/100)*$K19))-(C$18/100)*$K19))))</f>
        <v/>
      </c>
      <c r="D19" s="29">
        <f>Assumptions!$B$5*(MAX(0,Assumptions!$B$2*EXP(-Assumptions!$B$4*$J19)*NORMSDIST(((LN(Assumptions!$B$2/'BS Engine'!$B$18)+(Assumptions!$B$3-Assumptions!$B$4+(D$18/100)^2/2)*$J19)/((D$18/100)*$K19)))-'BS Engine'!$B$18*EXP(-Assumptions!$B$3*$J19)*NORMSDIST((((LN(Assumptions!$B$2/'BS Engine'!$B$18)+(Assumptions!$B$3-Assumptions!$B$4+(D$18/100)^2/2)*$J19)/((D$18/100)*$K19))-(D$18/100)*$K19))))</f>
        <v/>
      </c>
      <c r="E19" s="29">
        <f>Assumptions!$B$5*(MAX(0,Assumptions!$B$2*EXP(-Assumptions!$B$4*$J19)*NORMSDIST(((LN(Assumptions!$B$2/'BS Engine'!$B$18)+(Assumptions!$B$3-Assumptions!$B$4+(E$18/100)^2/2)*$J19)/((E$18/100)*$K19)))-'BS Engine'!$B$18*EXP(-Assumptions!$B$3*$J19)*NORMSDIST((((LN(Assumptions!$B$2/'BS Engine'!$B$18)+(Assumptions!$B$3-Assumptions!$B$4+(E$18/100)^2/2)*$J19)/((E$18/100)*$K19))-(E$18/100)*$K19))))</f>
        <v/>
      </c>
      <c r="F19" s="29">
        <f>Assumptions!$B$5*(MAX(0,Assumptions!$B$2*EXP(-Assumptions!$B$4*$J19)*NORMSDIST(((LN(Assumptions!$B$2/'BS Engine'!$B$18)+(Assumptions!$B$3-Assumptions!$B$4+(F$18/100)^2/2)*$J19)/((F$18/100)*$K19)))-'BS Engine'!$B$18*EXP(-Assumptions!$B$3*$J19)*NORMSDIST((((LN(Assumptions!$B$2/'BS Engine'!$B$18)+(Assumptions!$B$3-Assumptions!$B$4+(F$18/100)^2/2)*$J19)/((F$18/100)*$K19))-(F$18/100)*$K19))))</f>
        <v/>
      </c>
      <c r="G19" s="29">
        <f>Assumptions!$B$5*(MAX(0,Assumptions!$B$2*EXP(-Assumptions!$B$4*$J19)*NORMSDIST(((LN(Assumptions!$B$2/'BS Engine'!$B$18)+(Assumptions!$B$3-Assumptions!$B$4+(G$18/100)^2/2)*$J19)/((G$18/100)*$K19)))-'BS Engine'!$B$18*EXP(-Assumptions!$B$3*$J19)*NORMSDIST((((LN(Assumptions!$B$2/'BS Engine'!$B$18)+(Assumptions!$B$3-Assumptions!$B$4+(G$18/100)^2/2)*$J19)/((G$18/100)*$K19))-(G$18/100)*$K19))))</f>
        <v/>
      </c>
      <c r="H19" s="29">
        <f>Assumptions!$B$5*(MAX(0,Assumptions!$B$2*EXP(-Assumptions!$B$4*$J19)*NORMSDIST(((LN(Assumptions!$B$2/'BS Engine'!$B$18)+(Assumptions!$B$3-Assumptions!$B$4+(H$18/100)^2/2)*$J19)/((H$18/100)*$K19)))-'BS Engine'!$B$18*EXP(-Assumptions!$B$3*$J19)*NORMSDIST((((LN(Assumptions!$B$2/'BS Engine'!$B$18)+(Assumptions!$B$3-Assumptions!$B$4+(H$18/100)^2/2)*$J19)/((H$18/100)*$K19))-(H$18/100)*$K19))))</f>
        <v/>
      </c>
      <c r="I19" s="29">
        <f>Assumptions!$B$5*(MAX(0,Assumptions!$B$2*EXP(-Assumptions!$B$4*$J19)*NORMSDIST(((LN(Assumptions!$B$2/'BS Engine'!$B$18)+(Assumptions!$B$3-Assumptions!$B$4+(I$18/100)^2/2)*$J19)/((I$18/100)*$K19)))-'BS Engine'!$B$18*EXP(-Assumptions!$B$3*$J19)*NORMSDIST((((LN(Assumptions!$B$2/'BS Engine'!$B$18)+(Assumptions!$B$3-Assumptions!$B$4+(I$18/100)^2/2)*$J19)/((I$18/100)*$K19))-(I$18/100)*$K19))))</f>
        <v/>
      </c>
      <c r="J19" s="44" t="n">
        <v>0.00136986301369863</v>
      </c>
      <c r="K19" s="44">
        <f>SQRT(J19)</f>
        <v/>
      </c>
    </row>
    <row r="20">
      <c r="A20" s="57" t="n">
        <v>1</v>
      </c>
      <c r="B20" s="49">
        <f>Assumptions!$B$5*(MAX(0,Assumptions!$B$2*EXP(-Assumptions!$B$4*$J20)*NORMSDIST(((LN(Assumptions!$B$2/'BS Engine'!$B$18)+(Assumptions!$B$3-Assumptions!$B$4+(B$18/100)^2/2)*$J20)/((B$18/100)*$K20)))-'BS Engine'!$B$18*EXP(-Assumptions!$B$3*$J20)*NORMSDIST((((LN(Assumptions!$B$2/'BS Engine'!$B$18)+(Assumptions!$B$3-Assumptions!$B$4+(B$18/100)^2/2)*$J20)/((B$18/100)*$K20))-(B$18/100)*$K20))))</f>
        <v/>
      </c>
      <c r="C20" s="29">
        <f>Assumptions!$B$5*(MAX(0,Assumptions!$B$2*EXP(-Assumptions!$B$4*$J20)*NORMSDIST(((LN(Assumptions!$B$2/'BS Engine'!$B$18)+(Assumptions!$B$3-Assumptions!$B$4+(C$18/100)^2/2)*$J20)/((C$18/100)*$K20)))-'BS Engine'!$B$18*EXP(-Assumptions!$B$3*$J20)*NORMSDIST((((LN(Assumptions!$B$2/'BS Engine'!$B$18)+(Assumptions!$B$3-Assumptions!$B$4+(C$18/100)^2/2)*$J20)/((C$18/100)*$K20))-(C$18/100)*$K20))))</f>
        <v/>
      </c>
      <c r="D20" s="29">
        <f>Assumptions!$B$5*(MAX(0,Assumptions!$B$2*EXP(-Assumptions!$B$4*$J20)*NORMSDIST(((LN(Assumptions!$B$2/'BS Engine'!$B$18)+(Assumptions!$B$3-Assumptions!$B$4+(D$18/100)^2/2)*$J20)/((D$18/100)*$K20)))-'BS Engine'!$B$18*EXP(-Assumptions!$B$3*$J20)*NORMSDIST((((LN(Assumptions!$B$2/'BS Engine'!$B$18)+(Assumptions!$B$3-Assumptions!$B$4+(D$18/100)^2/2)*$J20)/((D$18/100)*$K20))-(D$18/100)*$K20))))</f>
        <v/>
      </c>
      <c r="E20" s="29">
        <f>Assumptions!$B$5*(MAX(0,Assumptions!$B$2*EXP(-Assumptions!$B$4*$J20)*NORMSDIST(((LN(Assumptions!$B$2/'BS Engine'!$B$18)+(Assumptions!$B$3-Assumptions!$B$4+(E$18/100)^2/2)*$J20)/((E$18/100)*$K20)))-'BS Engine'!$B$18*EXP(-Assumptions!$B$3*$J20)*NORMSDIST((((LN(Assumptions!$B$2/'BS Engine'!$B$18)+(Assumptions!$B$3-Assumptions!$B$4+(E$18/100)^2/2)*$J20)/((E$18/100)*$K20))-(E$18/100)*$K20))))</f>
        <v/>
      </c>
      <c r="F20" s="29">
        <f>Assumptions!$B$5*(MAX(0,Assumptions!$B$2*EXP(-Assumptions!$B$4*$J20)*NORMSDIST(((LN(Assumptions!$B$2/'BS Engine'!$B$18)+(Assumptions!$B$3-Assumptions!$B$4+(F$18/100)^2/2)*$J20)/((F$18/100)*$K20)))-'BS Engine'!$B$18*EXP(-Assumptions!$B$3*$J20)*NORMSDIST((((LN(Assumptions!$B$2/'BS Engine'!$B$18)+(Assumptions!$B$3-Assumptions!$B$4+(F$18/100)^2/2)*$J20)/((F$18/100)*$K20))-(F$18/100)*$K20))))</f>
        <v/>
      </c>
      <c r="G20" s="29">
        <f>Assumptions!$B$5*(MAX(0,Assumptions!$B$2*EXP(-Assumptions!$B$4*$J20)*NORMSDIST(((LN(Assumptions!$B$2/'BS Engine'!$B$18)+(Assumptions!$B$3-Assumptions!$B$4+(G$18/100)^2/2)*$J20)/((G$18/100)*$K20)))-'BS Engine'!$B$18*EXP(-Assumptions!$B$3*$J20)*NORMSDIST((((LN(Assumptions!$B$2/'BS Engine'!$B$18)+(Assumptions!$B$3-Assumptions!$B$4+(G$18/100)^2/2)*$J20)/((G$18/100)*$K20))-(G$18/100)*$K20))))</f>
        <v/>
      </c>
      <c r="H20" s="29">
        <f>Assumptions!$B$5*(MAX(0,Assumptions!$B$2*EXP(-Assumptions!$B$4*$J20)*NORMSDIST(((LN(Assumptions!$B$2/'BS Engine'!$B$18)+(Assumptions!$B$3-Assumptions!$B$4+(H$18/100)^2/2)*$J20)/((H$18/100)*$K20)))-'BS Engine'!$B$18*EXP(-Assumptions!$B$3*$J20)*NORMSDIST((((LN(Assumptions!$B$2/'BS Engine'!$B$18)+(Assumptions!$B$3-Assumptions!$B$4+(H$18/100)^2/2)*$J20)/((H$18/100)*$K20))-(H$18/100)*$K20))))</f>
        <v/>
      </c>
      <c r="I20" s="29">
        <f>Assumptions!$B$5*(MAX(0,Assumptions!$B$2*EXP(-Assumptions!$B$4*$J20)*NORMSDIST(((LN(Assumptions!$B$2/'BS Engine'!$B$18)+(Assumptions!$B$3-Assumptions!$B$4+(I$18/100)^2/2)*$J20)/((I$18/100)*$K20)))-'BS Engine'!$B$18*EXP(-Assumptions!$B$3*$J20)*NORMSDIST((((LN(Assumptions!$B$2/'BS Engine'!$B$18)+(Assumptions!$B$3-Assumptions!$B$4+(I$18/100)^2/2)*$J20)/((I$18/100)*$K20))-(I$18/100)*$K20))))</f>
        <v/>
      </c>
      <c r="J20" s="44" t="n">
        <v>0.00273972602739726</v>
      </c>
      <c r="K20" s="44">
        <f>SQRT(J20)</f>
        <v/>
      </c>
    </row>
    <row r="21">
      <c r="A21" s="57" t="n">
        <v>2</v>
      </c>
      <c r="B21" s="49">
        <f>Assumptions!$B$5*(MAX(0,Assumptions!$B$2*EXP(-Assumptions!$B$4*$J21)*NORMSDIST(((LN(Assumptions!$B$2/'BS Engine'!$B$18)+(Assumptions!$B$3-Assumptions!$B$4+(B$18/100)^2/2)*$J21)/((B$18/100)*$K21)))-'BS Engine'!$B$18*EXP(-Assumptions!$B$3*$J21)*NORMSDIST((((LN(Assumptions!$B$2/'BS Engine'!$B$18)+(Assumptions!$B$3-Assumptions!$B$4+(B$18/100)^2/2)*$J21)/((B$18/100)*$K21))-(B$18/100)*$K21))))</f>
        <v/>
      </c>
      <c r="C21" s="29">
        <f>Assumptions!$B$5*(MAX(0,Assumptions!$B$2*EXP(-Assumptions!$B$4*$J21)*NORMSDIST(((LN(Assumptions!$B$2/'BS Engine'!$B$18)+(Assumptions!$B$3-Assumptions!$B$4+(C$18/100)^2/2)*$J21)/((C$18/100)*$K21)))-'BS Engine'!$B$18*EXP(-Assumptions!$B$3*$J21)*NORMSDIST((((LN(Assumptions!$B$2/'BS Engine'!$B$18)+(Assumptions!$B$3-Assumptions!$B$4+(C$18/100)^2/2)*$J21)/((C$18/100)*$K21))-(C$18/100)*$K21))))</f>
        <v/>
      </c>
      <c r="D21" s="29">
        <f>Assumptions!$B$5*(MAX(0,Assumptions!$B$2*EXP(-Assumptions!$B$4*$J21)*NORMSDIST(((LN(Assumptions!$B$2/'BS Engine'!$B$18)+(Assumptions!$B$3-Assumptions!$B$4+(D$18/100)^2/2)*$J21)/((D$18/100)*$K21)))-'BS Engine'!$B$18*EXP(-Assumptions!$B$3*$J21)*NORMSDIST((((LN(Assumptions!$B$2/'BS Engine'!$B$18)+(Assumptions!$B$3-Assumptions!$B$4+(D$18/100)^2/2)*$J21)/((D$18/100)*$K21))-(D$18/100)*$K21))))</f>
        <v/>
      </c>
      <c r="E21" s="29">
        <f>Assumptions!$B$5*(MAX(0,Assumptions!$B$2*EXP(-Assumptions!$B$4*$J21)*NORMSDIST(((LN(Assumptions!$B$2/'BS Engine'!$B$18)+(Assumptions!$B$3-Assumptions!$B$4+(E$18/100)^2/2)*$J21)/((E$18/100)*$K21)))-'BS Engine'!$B$18*EXP(-Assumptions!$B$3*$J21)*NORMSDIST((((LN(Assumptions!$B$2/'BS Engine'!$B$18)+(Assumptions!$B$3-Assumptions!$B$4+(E$18/100)^2/2)*$J21)/((E$18/100)*$K21))-(E$18/100)*$K21))))</f>
        <v/>
      </c>
      <c r="F21" s="29">
        <f>Assumptions!$B$5*(MAX(0,Assumptions!$B$2*EXP(-Assumptions!$B$4*$J21)*NORMSDIST(((LN(Assumptions!$B$2/'BS Engine'!$B$18)+(Assumptions!$B$3-Assumptions!$B$4+(F$18/100)^2/2)*$J21)/((F$18/100)*$K21)))-'BS Engine'!$B$18*EXP(-Assumptions!$B$3*$J21)*NORMSDIST((((LN(Assumptions!$B$2/'BS Engine'!$B$18)+(Assumptions!$B$3-Assumptions!$B$4+(F$18/100)^2/2)*$J21)/((F$18/100)*$K21))-(F$18/100)*$K21))))</f>
        <v/>
      </c>
      <c r="G21" s="29">
        <f>Assumptions!$B$5*(MAX(0,Assumptions!$B$2*EXP(-Assumptions!$B$4*$J21)*NORMSDIST(((LN(Assumptions!$B$2/'BS Engine'!$B$18)+(Assumptions!$B$3-Assumptions!$B$4+(G$18/100)^2/2)*$J21)/((G$18/100)*$K21)))-'BS Engine'!$B$18*EXP(-Assumptions!$B$3*$J21)*NORMSDIST((((LN(Assumptions!$B$2/'BS Engine'!$B$18)+(Assumptions!$B$3-Assumptions!$B$4+(G$18/100)^2/2)*$J21)/((G$18/100)*$K21))-(G$18/100)*$K21))))</f>
        <v/>
      </c>
      <c r="H21" s="29">
        <f>Assumptions!$B$5*(MAX(0,Assumptions!$B$2*EXP(-Assumptions!$B$4*$J21)*NORMSDIST(((LN(Assumptions!$B$2/'BS Engine'!$B$18)+(Assumptions!$B$3-Assumptions!$B$4+(H$18/100)^2/2)*$J21)/((H$18/100)*$K21)))-'BS Engine'!$B$18*EXP(-Assumptions!$B$3*$J21)*NORMSDIST((((LN(Assumptions!$B$2/'BS Engine'!$B$18)+(Assumptions!$B$3-Assumptions!$B$4+(H$18/100)^2/2)*$J21)/((H$18/100)*$K21))-(H$18/100)*$K21))))</f>
        <v/>
      </c>
      <c r="I21" s="29">
        <f>Assumptions!$B$5*(MAX(0,Assumptions!$B$2*EXP(-Assumptions!$B$4*$J21)*NORMSDIST(((LN(Assumptions!$B$2/'BS Engine'!$B$18)+(Assumptions!$B$3-Assumptions!$B$4+(I$18/100)^2/2)*$J21)/((I$18/100)*$K21)))-'BS Engine'!$B$18*EXP(-Assumptions!$B$3*$J21)*NORMSDIST((((LN(Assumptions!$B$2/'BS Engine'!$B$18)+(Assumptions!$B$3-Assumptions!$B$4+(I$18/100)^2/2)*$J21)/((I$18/100)*$K21))-(I$18/100)*$K21))))</f>
        <v/>
      </c>
      <c r="J21" s="44" t="n">
        <v>0.005479452054794521</v>
      </c>
      <c r="K21" s="44">
        <f>SQRT(J21)</f>
        <v/>
      </c>
    </row>
    <row r="22">
      <c r="A22" s="57" t="n">
        <v>3</v>
      </c>
      <c r="B22" s="49">
        <f>Assumptions!$B$5*(MAX(0,Assumptions!$B$2*EXP(-Assumptions!$B$4*$J22)*NORMSDIST(((LN(Assumptions!$B$2/'BS Engine'!$B$18)+(Assumptions!$B$3-Assumptions!$B$4+(B$18/100)^2/2)*$J22)/((B$18/100)*$K22)))-'BS Engine'!$B$18*EXP(-Assumptions!$B$3*$J22)*NORMSDIST((((LN(Assumptions!$B$2/'BS Engine'!$B$18)+(Assumptions!$B$3-Assumptions!$B$4+(B$18/100)^2/2)*$J22)/((B$18/100)*$K22))-(B$18/100)*$K22))))</f>
        <v/>
      </c>
      <c r="C22" s="29">
        <f>Assumptions!$B$5*(MAX(0,Assumptions!$B$2*EXP(-Assumptions!$B$4*$J22)*NORMSDIST(((LN(Assumptions!$B$2/'BS Engine'!$B$18)+(Assumptions!$B$3-Assumptions!$B$4+(C$18/100)^2/2)*$J22)/((C$18/100)*$K22)))-'BS Engine'!$B$18*EXP(-Assumptions!$B$3*$J22)*NORMSDIST((((LN(Assumptions!$B$2/'BS Engine'!$B$18)+(Assumptions!$B$3-Assumptions!$B$4+(C$18/100)^2/2)*$J22)/((C$18/100)*$K22))-(C$18/100)*$K22))))</f>
        <v/>
      </c>
      <c r="D22" s="29">
        <f>Assumptions!$B$5*(MAX(0,Assumptions!$B$2*EXP(-Assumptions!$B$4*$J22)*NORMSDIST(((LN(Assumptions!$B$2/'BS Engine'!$B$18)+(Assumptions!$B$3-Assumptions!$B$4+(D$18/100)^2/2)*$J22)/((D$18/100)*$K22)))-'BS Engine'!$B$18*EXP(-Assumptions!$B$3*$J22)*NORMSDIST((((LN(Assumptions!$B$2/'BS Engine'!$B$18)+(Assumptions!$B$3-Assumptions!$B$4+(D$18/100)^2/2)*$J22)/((D$18/100)*$K22))-(D$18/100)*$K22))))</f>
        <v/>
      </c>
      <c r="E22" s="29">
        <f>Assumptions!$B$5*(MAX(0,Assumptions!$B$2*EXP(-Assumptions!$B$4*$J22)*NORMSDIST(((LN(Assumptions!$B$2/'BS Engine'!$B$18)+(Assumptions!$B$3-Assumptions!$B$4+(E$18/100)^2/2)*$J22)/((E$18/100)*$K22)))-'BS Engine'!$B$18*EXP(-Assumptions!$B$3*$J22)*NORMSDIST((((LN(Assumptions!$B$2/'BS Engine'!$B$18)+(Assumptions!$B$3-Assumptions!$B$4+(E$18/100)^2/2)*$J22)/((E$18/100)*$K22))-(E$18/100)*$K22))))</f>
        <v/>
      </c>
      <c r="F22" s="29">
        <f>Assumptions!$B$5*(MAX(0,Assumptions!$B$2*EXP(-Assumptions!$B$4*$J22)*NORMSDIST(((LN(Assumptions!$B$2/'BS Engine'!$B$18)+(Assumptions!$B$3-Assumptions!$B$4+(F$18/100)^2/2)*$J22)/((F$18/100)*$K22)))-'BS Engine'!$B$18*EXP(-Assumptions!$B$3*$J22)*NORMSDIST((((LN(Assumptions!$B$2/'BS Engine'!$B$18)+(Assumptions!$B$3-Assumptions!$B$4+(F$18/100)^2/2)*$J22)/((F$18/100)*$K22))-(F$18/100)*$K22))))</f>
        <v/>
      </c>
      <c r="G22" s="29">
        <f>Assumptions!$B$5*(MAX(0,Assumptions!$B$2*EXP(-Assumptions!$B$4*$J22)*NORMSDIST(((LN(Assumptions!$B$2/'BS Engine'!$B$18)+(Assumptions!$B$3-Assumptions!$B$4+(G$18/100)^2/2)*$J22)/((G$18/100)*$K22)))-'BS Engine'!$B$18*EXP(-Assumptions!$B$3*$J22)*NORMSDIST((((LN(Assumptions!$B$2/'BS Engine'!$B$18)+(Assumptions!$B$3-Assumptions!$B$4+(G$18/100)^2/2)*$J22)/((G$18/100)*$K22))-(G$18/100)*$K22))))</f>
        <v/>
      </c>
      <c r="H22" s="29">
        <f>Assumptions!$B$5*(MAX(0,Assumptions!$B$2*EXP(-Assumptions!$B$4*$J22)*NORMSDIST(((LN(Assumptions!$B$2/'BS Engine'!$B$18)+(Assumptions!$B$3-Assumptions!$B$4+(H$18/100)^2/2)*$J22)/((H$18/100)*$K22)))-'BS Engine'!$B$18*EXP(-Assumptions!$B$3*$J22)*NORMSDIST((((LN(Assumptions!$B$2/'BS Engine'!$B$18)+(Assumptions!$B$3-Assumptions!$B$4+(H$18/100)^2/2)*$J22)/((H$18/100)*$K22))-(H$18/100)*$K22))))</f>
        <v/>
      </c>
      <c r="I22" s="29">
        <f>Assumptions!$B$5*(MAX(0,Assumptions!$B$2*EXP(-Assumptions!$B$4*$J22)*NORMSDIST(((LN(Assumptions!$B$2/'BS Engine'!$B$18)+(Assumptions!$B$3-Assumptions!$B$4+(I$18/100)^2/2)*$J22)/((I$18/100)*$K22)))-'BS Engine'!$B$18*EXP(-Assumptions!$B$3*$J22)*NORMSDIST((((LN(Assumptions!$B$2/'BS Engine'!$B$18)+(Assumptions!$B$3-Assumptions!$B$4+(I$18/100)^2/2)*$J22)/((I$18/100)*$K22))-(I$18/100)*$K22))))</f>
        <v/>
      </c>
      <c r="J22" s="44" t="n">
        <v>0.00821917808219178</v>
      </c>
      <c r="K22" s="44">
        <f>SQRT(J22)</f>
        <v/>
      </c>
    </row>
    <row r="23">
      <c r="A23" s="57" t="n">
        <v>5</v>
      </c>
      <c r="B23" s="49">
        <f>Assumptions!$B$5*(MAX(0,Assumptions!$B$2*EXP(-Assumptions!$B$4*$J23)*NORMSDIST(((LN(Assumptions!$B$2/'BS Engine'!$B$18)+(Assumptions!$B$3-Assumptions!$B$4+(B$18/100)^2/2)*$J23)/((B$18/100)*$K23)))-'BS Engine'!$B$18*EXP(-Assumptions!$B$3*$J23)*NORMSDIST((((LN(Assumptions!$B$2/'BS Engine'!$B$18)+(Assumptions!$B$3-Assumptions!$B$4+(B$18/100)^2/2)*$J23)/((B$18/100)*$K23))-(B$18/100)*$K23))))</f>
        <v/>
      </c>
      <c r="C23" s="29">
        <f>Assumptions!$B$5*(MAX(0,Assumptions!$B$2*EXP(-Assumptions!$B$4*$J23)*NORMSDIST(((LN(Assumptions!$B$2/'BS Engine'!$B$18)+(Assumptions!$B$3-Assumptions!$B$4+(C$18/100)^2/2)*$J23)/((C$18/100)*$K23)))-'BS Engine'!$B$18*EXP(-Assumptions!$B$3*$J23)*NORMSDIST((((LN(Assumptions!$B$2/'BS Engine'!$B$18)+(Assumptions!$B$3-Assumptions!$B$4+(C$18/100)^2/2)*$J23)/((C$18/100)*$K23))-(C$18/100)*$K23))))</f>
        <v/>
      </c>
      <c r="D23" s="29">
        <f>Assumptions!$B$5*(MAX(0,Assumptions!$B$2*EXP(-Assumptions!$B$4*$J23)*NORMSDIST(((LN(Assumptions!$B$2/'BS Engine'!$B$18)+(Assumptions!$B$3-Assumptions!$B$4+(D$18/100)^2/2)*$J23)/((D$18/100)*$K23)))-'BS Engine'!$B$18*EXP(-Assumptions!$B$3*$J23)*NORMSDIST((((LN(Assumptions!$B$2/'BS Engine'!$B$18)+(Assumptions!$B$3-Assumptions!$B$4+(D$18/100)^2/2)*$J23)/((D$18/100)*$K23))-(D$18/100)*$K23))))</f>
        <v/>
      </c>
      <c r="E23" s="29">
        <f>Assumptions!$B$5*(MAX(0,Assumptions!$B$2*EXP(-Assumptions!$B$4*$J23)*NORMSDIST(((LN(Assumptions!$B$2/'BS Engine'!$B$18)+(Assumptions!$B$3-Assumptions!$B$4+(E$18/100)^2/2)*$J23)/((E$18/100)*$K23)))-'BS Engine'!$B$18*EXP(-Assumptions!$B$3*$J23)*NORMSDIST((((LN(Assumptions!$B$2/'BS Engine'!$B$18)+(Assumptions!$B$3-Assumptions!$B$4+(E$18/100)^2/2)*$J23)/((E$18/100)*$K23))-(E$18/100)*$K23))))</f>
        <v/>
      </c>
      <c r="F23" s="29">
        <f>Assumptions!$B$5*(MAX(0,Assumptions!$B$2*EXP(-Assumptions!$B$4*$J23)*NORMSDIST(((LN(Assumptions!$B$2/'BS Engine'!$B$18)+(Assumptions!$B$3-Assumptions!$B$4+(F$18/100)^2/2)*$J23)/((F$18/100)*$K23)))-'BS Engine'!$B$18*EXP(-Assumptions!$B$3*$J23)*NORMSDIST((((LN(Assumptions!$B$2/'BS Engine'!$B$18)+(Assumptions!$B$3-Assumptions!$B$4+(F$18/100)^2/2)*$J23)/((F$18/100)*$K23))-(F$18/100)*$K23))))</f>
        <v/>
      </c>
      <c r="G23" s="29">
        <f>Assumptions!$B$5*(MAX(0,Assumptions!$B$2*EXP(-Assumptions!$B$4*$J23)*NORMSDIST(((LN(Assumptions!$B$2/'BS Engine'!$B$18)+(Assumptions!$B$3-Assumptions!$B$4+(G$18/100)^2/2)*$J23)/((G$18/100)*$K23)))-'BS Engine'!$B$18*EXP(-Assumptions!$B$3*$J23)*NORMSDIST((((LN(Assumptions!$B$2/'BS Engine'!$B$18)+(Assumptions!$B$3-Assumptions!$B$4+(G$18/100)^2/2)*$J23)/((G$18/100)*$K23))-(G$18/100)*$K23))))</f>
        <v/>
      </c>
      <c r="H23" s="29">
        <f>Assumptions!$B$5*(MAX(0,Assumptions!$B$2*EXP(-Assumptions!$B$4*$J23)*NORMSDIST(((LN(Assumptions!$B$2/'BS Engine'!$B$18)+(Assumptions!$B$3-Assumptions!$B$4+(H$18/100)^2/2)*$J23)/((H$18/100)*$K23)))-'BS Engine'!$B$18*EXP(-Assumptions!$B$3*$J23)*NORMSDIST((((LN(Assumptions!$B$2/'BS Engine'!$B$18)+(Assumptions!$B$3-Assumptions!$B$4+(H$18/100)^2/2)*$J23)/((H$18/100)*$K23))-(H$18/100)*$K23))))</f>
        <v/>
      </c>
      <c r="I23" s="29">
        <f>Assumptions!$B$5*(MAX(0,Assumptions!$B$2*EXP(-Assumptions!$B$4*$J23)*NORMSDIST(((LN(Assumptions!$B$2/'BS Engine'!$B$18)+(Assumptions!$B$3-Assumptions!$B$4+(I$18/100)^2/2)*$J23)/((I$18/100)*$K23)))-'BS Engine'!$B$18*EXP(-Assumptions!$B$3*$J23)*NORMSDIST((((LN(Assumptions!$B$2/'BS Engine'!$B$18)+(Assumptions!$B$3-Assumptions!$B$4+(I$18/100)^2/2)*$J23)/((I$18/100)*$K23))-(I$18/100)*$K23))))</f>
        <v/>
      </c>
      <c r="J23" s="44" t="n">
        <v>0.0136986301369863</v>
      </c>
      <c r="K23" s="44">
        <f>SQRT(J23)</f>
        <v/>
      </c>
    </row>
    <row r="24">
      <c r="A24" s="57" t="n">
        <v>7</v>
      </c>
      <c r="B24" s="49">
        <f>Assumptions!$B$5*(MAX(0,Assumptions!$B$2*EXP(-Assumptions!$B$4*$J24)*NORMSDIST(((LN(Assumptions!$B$2/'BS Engine'!$B$18)+(Assumptions!$B$3-Assumptions!$B$4+(B$18/100)^2/2)*$J24)/((B$18/100)*$K24)))-'BS Engine'!$B$18*EXP(-Assumptions!$B$3*$J24)*NORMSDIST((((LN(Assumptions!$B$2/'BS Engine'!$B$18)+(Assumptions!$B$3-Assumptions!$B$4+(B$18/100)^2/2)*$J24)/((B$18/100)*$K24))-(B$18/100)*$K24))))</f>
        <v/>
      </c>
      <c r="C24" s="29">
        <f>Assumptions!$B$5*(MAX(0,Assumptions!$B$2*EXP(-Assumptions!$B$4*$J24)*NORMSDIST(((LN(Assumptions!$B$2/'BS Engine'!$B$18)+(Assumptions!$B$3-Assumptions!$B$4+(C$18/100)^2/2)*$J24)/((C$18/100)*$K24)))-'BS Engine'!$B$18*EXP(-Assumptions!$B$3*$J24)*NORMSDIST((((LN(Assumptions!$B$2/'BS Engine'!$B$18)+(Assumptions!$B$3-Assumptions!$B$4+(C$18/100)^2/2)*$J24)/((C$18/100)*$K24))-(C$18/100)*$K24))))</f>
        <v/>
      </c>
      <c r="D24" s="29">
        <f>Assumptions!$B$5*(MAX(0,Assumptions!$B$2*EXP(-Assumptions!$B$4*$J24)*NORMSDIST(((LN(Assumptions!$B$2/'BS Engine'!$B$18)+(Assumptions!$B$3-Assumptions!$B$4+(D$18/100)^2/2)*$J24)/((D$18/100)*$K24)))-'BS Engine'!$B$18*EXP(-Assumptions!$B$3*$J24)*NORMSDIST((((LN(Assumptions!$B$2/'BS Engine'!$B$18)+(Assumptions!$B$3-Assumptions!$B$4+(D$18/100)^2/2)*$J24)/((D$18/100)*$K24))-(D$18/100)*$K24))))</f>
        <v/>
      </c>
      <c r="E24" s="29">
        <f>Assumptions!$B$5*(MAX(0,Assumptions!$B$2*EXP(-Assumptions!$B$4*$J24)*NORMSDIST(((LN(Assumptions!$B$2/'BS Engine'!$B$18)+(Assumptions!$B$3-Assumptions!$B$4+(E$18/100)^2/2)*$J24)/((E$18/100)*$K24)))-'BS Engine'!$B$18*EXP(-Assumptions!$B$3*$J24)*NORMSDIST((((LN(Assumptions!$B$2/'BS Engine'!$B$18)+(Assumptions!$B$3-Assumptions!$B$4+(E$18/100)^2/2)*$J24)/((E$18/100)*$K24))-(E$18/100)*$K24))))</f>
        <v/>
      </c>
      <c r="F24" s="29">
        <f>Assumptions!$B$5*(MAX(0,Assumptions!$B$2*EXP(-Assumptions!$B$4*$J24)*NORMSDIST(((LN(Assumptions!$B$2/'BS Engine'!$B$18)+(Assumptions!$B$3-Assumptions!$B$4+(F$18/100)^2/2)*$J24)/((F$18/100)*$K24)))-'BS Engine'!$B$18*EXP(-Assumptions!$B$3*$J24)*NORMSDIST((((LN(Assumptions!$B$2/'BS Engine'!$B$18)+(Assumptions!$B$3-Assumptions!$B$4+(F$18/100)^2/2)*$J24)/((F$18/100)*$K24))-(F$18/100)*$K24))))</f>
        <v/>
      </c>
      <c r="G24" s="29">
        <f>Assumptions!$B$5*(MAX(0,Assumptions!$B$2*EXP(-Assumptions!$B$4*$J24)*NORMSDIST(((LN(Assumptions!$B$2/'BS Engine'!$B$18)+(Assumptions!$B$3-Assumptions!$B$4+(G$18/100)^2/2)*$J24)/((G$18/100)*$K24)))-'BS Engine'!$B$18*EXP(-Assumptions!$B$3*$J24)*NORMSDIST((((LN(Assumptions!$B$2/'BS Engine'!$B$18)+(Assumptions!$B$3-Assumptions!$B$4+(G$18/100)^2/2)*$J24)/((G$18/100)*$K24))-(G$18/100)*$K24))))</f>
        <v/>
      </c>
      <c r="H24" s="29">
        <f>Assumptions!$B$5*(MAX(0,Assumptions!$B$2*EXP(-Assumptions!$B$4*$J24)*NORMSDIST(((LN(Assumptions!$B$2/'BS Engine'!$B$18)+(Assumptions!$B$3-Assumptions!$B$4+(H$18/100)^2/2)*$J24)/((H$18/100)*$K24)))-'BS Engine'!$B$18*EXP(-Assumptions!$B$3*$J24)*NORMSDIST((((LN(Assumptions!$B$2/'BS Engine'!$B$18)+(Assumptions!$B$3-Assumptions!$B$4+(H$18/100)^2/2)*$J24)/((H$18/100)*$K24))-(H$18/100)*$K24))))</f>
        <v/>
      </c>
      <c r="I24" s="29">
        <f>Assumptions!$B$5*(MAX(0,Assumptions!$B$2*EXP(-Assumptions!$B$4*$J24)*NORMSDIST(((LN(Assumptions!$B$2/'BS Engine'!$B$18)+(Assumptions!$B$3-Assumptions!$B$4+(I$18/100)^2/2)*$J24)/((I$18/100)*$K24)))-'BS Engine'!$B$18*EXP(-Assumptions!$B$3*$J24)*NORMSDIST((((LN(Assumptions!$B$2/'BS Engine'!$B$18)+(Assumptions!$B$3-Assumptions!$B$4+(I$18/100)^2/2)*$J24)/((I$18/100)*$K24))-(I$18/100)*$K24))))</f>
        <v/>
      </c>
      <c r="J24" s="44" t="n">
        <v>0.01917808219178082</v>
      </c>
      <c r="K24" s="44">
        <f>SQRT(J24)</f>
        <v/>
      </c>
    </row>
    <row r="25">
      <c r="A25" s="57" t="n">
        <v>10</v>
      </c>
      <c r="B25" s="49">
        <f>Assumptions!$B$5*(MAX(0,Assumptions!$B$2*EXP(-Assumptions!$B$4*$J25)*NORMSDIST(((LN(Assumptions!$B$2/'BS Engine'!$B$18)+(Assumptions!$B$3-Assumptions!$B$4+(B$18/100)^2/2)*$J25)/((B$18/100)*$K25)))-'BS Engine'!$B$18*EXP(-Assumptions!$B$3*$J25)*NORMSDIST((((LN(Assumptions!$B$2/'BS Engine'!$B$18)+(Assumptions!$B$3-Assumptions!$B$4+(B$18/100)^2/2)*$J25)/((B$18/100)*$K25))-(B$18/100)*$K25))))</f>
        <v/>
      </c>
      <c r="C25" s="29">
        <f>Assumptions!$B$5*(MAX(0,Assumptions!$B$2*EXP(-Assumptions!$B$4*$J25)*NORMSDIST(((LN(Assumptions!$B$2/'BS Engine'!$B$18)+(Assumptions!$B$3-Assumptions!$B$4+(C$18/100)^2/2)*$J25)/((C$18/100)*$K25)))-'BS Engine'!$B$18*EXP(-Assumptions!$B$3*$J25)*NORMSDIST((((LN(Assumptions!$B$2/'BS Engine'!$B$18)+(Assumptions!$B$3-Assumptions!$B$4+(C$18/100)^2/2)*$J25)/((C$18/100)*$K25))-(C$18/100)*$K25))))</f>
        <v/>
      </c>
      <c r="D25" s="29">
        <f>Assumptions!$B$5*(MAX(0,Assumptions!$B$2*EXP(-Assumptions!$B$4*$J25)*NORMSDIST(((LN(Assumptions!$B$2/'BS Engine'!$B$18)+(Assumptions!$B$3-Assumptions!$B$4+(D$18/100)^2/2)*$J25)/((D$18/100)*$K25)))-'BS Engine'!$B$18*EXP(-Assumptions!$B$3*$J25)*NORMSDIST((((LN(Assumptions!$B$2/'BS Engine'!$B$18)+(Assumptions!$B$3-Assumptions!$B$4+(D$18/100)^2/2)*$J25)/((D$18/100)*$K25))-(D$18/100)*$K25))))</f>
        <v/>
      </c>
      <c r="E25" s="29">
        <f>Assumptions!$B$5*(MAX(0,Assumptions!$B$2*EXP(-Assumptions!$B$4*$J25)*NORMSDIST(((LN(Assumptions!$B$2/'BS Engine'!$B$18)+(Assumptions!$B$3-Assumptions!$B$4+(E$18/100)^2/2)*$J25)/((E$18/100)*$K25)))-'BS Engine'!$B$18*EXP(-Assumptions!$B$3*$J25)*NORMSDIST((((LN(Assumptions!$B$2/'BS Engine'!$B$18)+(Assumptions!$B$3-Assumptions!$B$4+(E$18/100)^2/2)*$J25)/((E$18/100)*$K25))-(E$18/100)*$K25))))</f>
        <v/>
      </c>
      <c r="F25" s="29">
        <f>Assumptions!$B$5*(MAX(0,Assumptions!$B$2*EXP(-Assumptions!$B$4*$J25)*NORMSDIST(((LN(Assumptions!$B$2/'BS Engine'!$B$18)+(Assumptions!$B$3-Assumptions!$B$4+(F$18/100)^2/2)*$J25)/((F$18/100)*$K25)))-'BS Engine'!$B$18*EXP(-Assumptions!$B$3*$J25)*NORMSDIST((((LN(Assumptions!$B$2/'BS Engine'!$B$18)+(Assumptions!$B$3-Assumptions!$B$4+(F$18/100)^2/2)*$J25)/((F$18/100)*$K25))-(F$18/100)*$K25))))</f>
        <v/>
      </c>
      <c r="G25" s="29">
        <f>Assumptions!$B$5*(MAX(0,Assumptions!$B$2*EXP(-Assumptions!$B$4*$J25)*NORMSDIST(((LN(Assumptions!$B$2/'BS Engine'!$B$18)+(Assumptions!$B$3-Assumptions!$B$4+(G$18/100)^2/2)*$J25)/((G$18/100)*$K25)))-'BS Engine'!$B$18*EXP(-Assumptions!$B$3*$J25)*NORMSDIST((((LN(Assumptions!$B$2/'BS Engine'!$B$18)+(Assumptions!$B$3-Assumptions!$B$4+(G$18/100)^2/2)*$J25)/((G$18/100)*$K25))-(G$18/100)*$K25))))</f>
        <v/>
      </c>
      <c r="H25" s="29">
        <f>Assumptions!$B$5*(MAX(0,Assumptions!$B$2*EXP(-Assumptions!$B$4*$J25)*NORMSDIST(((LN(Assumptions!$B$2/'BS Engine'!$B$18)+(Assumptions!$B$3-Assumptions!$B$4+(H$18/100)^2/2)*$J25)/((H$18/100)*$K25)))-'BS Engine'!$B$18*EXP(-Assumptions!$B$3*$J25)*NORMSDIST((((LN(Assumptions!$B$2/'BS Engine'!$B$18)+(Assumptions!$B$3-Assumptions!$B$4+(H$18/100)^2/2)*$J25)/((H$18/100)*$K25))-(H$18/100)*$K25))))</f>
        <v/>
      </c>
      <c r="I25" s="29">
        <f>Assumptions!$B$5*(MAX(0,Assumptions!$B$2*EXP(-Assumptions!$B$4*$J25)*NORMSDIST(((LN(Assumptions!$B$2/'BS Engine'!$B$18)+(Assumptions!$B$3-Assumptions!$B$4+(I$18/100)^2/2)*$J25)/((I$18/100)*$K25)))-'BS Engine'!$B$18*EXP(-Assumptions!$B$3*$J25)*NORMSDIST((((LN(Assumptions!$B$2/'BS Engine'!$B$18)+(Assumptions!$B$3-Assumptions!$B$4+(I$18/100)^2/2)*$J25)/((I$18/100)*$K25))-(I$18/100)*$K25))))</f>
        <v/>
      </c>
      <c r="J25" s="44" t="n">
        <v>0.0273972602739726</v>
      </c>
      <c r="K25" s="44">
        <f>SQRT(J25)</f>
        <v/>
      </c>
    </row>
    <row r="26">
      <c r="A26" s="57" t="n">
        <v>15</v>
      </c>
      <c r="B26" s="49">
        <f>Assumptions!$B$5*(MAX(0,Assumptions!$B$2*EXP(-Assumptions!$B$4*$J26)*NORMSDIST(((LN(Assumptions!$B$2/'BS Engine'!$B$18)+(Assumptions!$B$3-Assumptions!$B$4+(B$18/100)^2/2)*$J26)/((B$18/100)*$K26)))-'BS Engine'!$B$18*EXP(-Assumptions!$B$3*$J26)*NORMSDIST((((LN(Assumptions!$B$2/'BS Engine'!$B$18)+(Assumptions!$B$3-Assumptions!$B$4+(B$18/100)^2/2)*$J26)/((B$18/100)*$K26))-(B$18/100)*$K26))))</f>
        <v/>
      </c>
      <c r="C26" s="29">
        <f>Assumptions!$B$5*(MAX(0,Assumptions!$B$2*EXP(-Assumptions!$B$4*$J26)*NORMSDIST(((LN(Assumptions!$B$2/'BS Engine'!$B$18)+(Assumptions!$B$3-Assumptions!$B$4+(C$18/100)^2/2)*$J26)/((C$18/100)*$K26)))-'BS Engine'!$B$18*EXP(-Assumptions!$B$3*$J26)*NORMSDIST((((LN(Assumptions!$B$2/'BS Engine'!$B$18)+(Assumptions!$B$3-Assumptions!$B$4+(C$18/100)^2/2)*$J26)/((C$18/100)*$K26))-(C$18/100)*$K26))))</f>
        <v/>
      </c>
      <c r="D26" s="29">
        <f>Assumptions!$B$5*(MAX(0,Assumptions!$B$2*EXP(-Assumptions!$B$4*$J26)*NORMSDIST(((LN(Assumptions!$B$2/'BS Engine'!$B$18)+(Assumptions!$B$3-Assumptions!$B$4+(D$18/100)^2/2)*$J26)/((D$18/100)*$K26)))-'BS Engine'!$B$18*EXP(-Assumptions!$B$3*$J26)*NORMSDIST((((LN(Assumptions!$B$2/'BS Engine'!$B$18)+(Assumptions!$B$3-Assumptions!$B$4+(D$18/100)^2/2)*$J26)/((D$18/100)*$K26))-(D$18/100)*$K26))))</f>
        <v/>
      </c>
      <c r="E26" s="29">
        <f>Assumptions!$B$5*(MAX(0,Assumptions!$B$2*EXP(-Assumptions!$B$4*$J26)*NORMSDIST(((LN(Assumptions!$B$2/'BS Engine'!$B$18)+(Assumptions!$B$3-Assumptions!$B$4+(E$18/100)^2/2)*$J26)/((E$18/100)*$K26)))-'BS Engine'!$B$18*EXP(-Assumptions!$B$3*$J26)*NORMSDIST((((LN(Assumptions!$B$2/'BS Engine'!$B$18)+(Assumptions!$B$3-Assumptions!$B$4+(E$18/100)^2/2)*$J26)/((E$18/100)*$K26))-(E$18/100)*$K26))))</f>
        <v/>
      </c>
      <c r="F26" s="29">
        <f>Assumptions!$B$5*(MAX(0,Assumptions!$B$2*EXP(-Assumptions!$B$4*$J26)*NORMSDIST(((LN(Assumptions!$B$2/'BS Engine'!$B$18)+(Assumptions!$B$3-Assumptions!$B$4+(F$18/100)^2/2)*$J26)/((F$18/100)*$K26)))-'BS Engine'!$B$18*EXP(-Assumptions!$B$3*$J26)*NORMSDIST((((LN(Assumptions!$B$2/'BS Engine'!$B$18)+(Assumptions!$B$3-Assumptions!$B$4+(F$18/100)^2/2)*$J26)/((F$18/100)*$K26))-(F$18/100)*$K26))))</f>
        <v/>
      </c>
      <c r="G26" s="29">
        <f>Assumptions!$B$5*(MAX(0,Assumptions!$B$2*EXP(-Assumptions!$B$4*$J26)*NORMSDIST(((LN(Assumptions!$B$2/'BS Engine'!$B$18)+(Assumptions!$B$3-Assumptions!$B$4+(G$18/100)^2/2)*$J26)/((G$18/100)*$K26)))-'BS Engine'!$B$18*EXP(-Assumptions!$B$3*$J26)*NORMSDIST((((LN(Assumptions!$B$2/'BS Engine'!$B$18)+(Assumptions!$B$3-Assumptions!$B$4+(G$18/100)^2/2)*$J26)/((G$18/100)*$K26))-(G$18/100)*$K26))))</f>
        <v/>
      </c>
      <c r="H26" s="29">
        <f>Assumptions!$B$5*(MAX(0,Assumptions!$B$2*EXP(-Assumptions!$B$4*$J26)*NORMSDIST(((LN(Assumptions!$B$2/'BS Engine'!$B$18)+(Assumptions!$B$3-Assumptions!$B$4+(H$18/100)^2/2)*$J26)/((H$18/100)*$K26)))-'BS Engine'!$B$18*EXP(-Assumptions!$B$3*$J26)*NORMSDIST((((LN(Assumptions!$B$2/'BS Engine'!$B$18)+(Assumptions!$B$3-Assumptions!$B$4+(H$18/100)^2/2)*$J26)/((H$18/100)*$K26))-(H$18/100)*$K26))))</f>
        <v/>
      </c>
      <c r="I26" s="29">
        <f>Assumptions!$B$5*(MAX(0,Assumptions!$B$2*EXP(-Assumptions!$B$4*$J26)*NORMSDIST(((LN(Assumptions!$B$2/'BS Engine'!$B$18)+(Assumptions!$B$3-Assumptions!$B$4+(I$18/100)^2/2)*$J26)/((I$18/100)*$K26)))-'BS Engine'!$B$18*EXP(-Assumptions!$B$3*$J26)*NORMSDIST((((LN(Assumptions!$B$2/'BS Engine'!$B$18)+(Assumptions!$B$3-Assumptions!$B$4+(I$18/100)^2/2)*$J26)/((I$18/100)*$K26))-(I$18/100)*$K26))))</f>
        <v/>
      </c>
      <c r="J26" s="44" t="n">
        <v>0.0410958904109589</v>
      </c>
      <c r="K26" s="44">
        <f>SQRT(J26)</f>
        <v/>
      </c>
    </row>
    <row r="27">
      <c r="A27" s="57" t="n">
        <v>21</v>
      </c>
      <c r="B27" s="49">
        <f>Assumptions!$B$5*(MAX(0,Assumptions!$B$2*EXP(-Assumptions!$B$4*$J27)*NORMSDIST(((LN(Assumptions!$B$2/'BS Engine'!$B$18)+(Assumptions!$B$3-Assumptions!$B$4+(B$18/100)^2/2)*$J27)/((B$18/100)*$K27)))-'BS Engine'!$B$18*EXP(-Assumptions!$B$3*$J27)*NORMSDIST((((LN(Assumptions!$B$2/'BS Engine'!$B$18)+(Assumptions!$B$3-Assumptions!$B$4+(B$18/100)^2/2)*$J27)/((B$18/100)*$K27))-(B$18/100)*$K27))))</f>
        <v/>
      </c>
      <c r="C27" s="29">
        <f>Assumptions!$B$5*(MAX(0,Assumptions!$B$2*EXP(-Assumptions!$B$4*$J27)*NORMSDIST(((LN(Assumptions!$B$2/'BS Engine'!$B$18)+(Assumptions!$B$3-Assumptions!$B$4+(C$18/100)^2/2)*$J27)/((C$18/100)*$K27)))-'BS Engine'!$B$18*EXP(-Assumptions!$B$3*$J27)*NORMSDIST((((LN(Assumptions!$B$2/'BS Engine'!$B$18)+(Assumptions!$B$3-Assumptions!$B$4+(C$18/100)^2/2)*$J27)/((C$18/100)*$K27))-(C$18/100)*$K27))))</f>
        <v/>
      </c>
      <c r="D27" s="29">
        <f>Assumptions!$B$5*(MAX(0,Assumptions!$B$2*EXP(-Assumptions!$B$4*$J27)*NORMSDIST(((LN(Assumptions!$B$2/'BS Engine'!$B$18)+(Assumptions!$B$3-Assumptions!$B$4+(D$18/100)^2/2)*$J27)/((D$18/100)*$K27)))-'BS Engine'!$B$18*EXP(-Assumptions!$B$3*$J27)*NORMSDIST((((LN(Assumptions!$B$2/'BS Engine'!$B$18)+(Assumptions!$B$3-Assumptions!$B$4+(D$18/100)^2/2)*$J27)/((D$18/100)*$K27))-(D$18/100)*$K27))))</f>
        <v/>
      </c>
      <c r="E27" s="29">
        <f>Assumptions!$B$5*(MAX(0,Assumptions!$B$2*EXP(-Assumptions!$B$4*$J27)*NORMSDIST(((LN(Assumptions!$B$2/'BS Engine'!$B$18)+(Assumptions!$B$3-Assumptions!$B$4+(E$18/100)^2/2)*$J27)/((E$18/100)*$K27)))-'BS Engine'!$B$18*EXP(-Assumptions!$B$3*$J27)*NORMSDIST((((LN(Assumptions!$B$2/'BS Engine'!$B$18)+(Assumptions!$B$3-Assumptions!$B$4+(E$18/100)^2/2)*$J27)/((E$18/100)*$K27))-(E$18/100)*$K27))))</f>
        <v/>
      </c>
      <c r="F27" s="29">
        <f>Assumptions!$B$5*(MAX(0,Assumptions!$B$2*EXP(-Assumptions!$B$4*$J27)*NORMSDIST(((LN(Assumptions!$B$2/'BS Engine'!$B$18)+(Assumptions!$B$3-Assumptions!$B$4+(F$18/100)^2/2)*$J27)/((F$18/100)*$K27)))-'BS Engine'!$B$18*EXP(-Assumptions!$B$3*$J27)*NORMSDIST((((LN(Assumptions!$B$2/'BS Engine'!$B$18)+(Assumptions!$B$3-Assumptions!$B$4+(F$18/100)^2/2)*$J27)/((F$18/100)*$K27))-(F$18/100)*$K27))))</f>
        <v/>
      </c>
      <c r="G27" s="29">
        <f>Assumptions!$B$5*(MAX(0,Assumptions!$B$2*EXP(-Assumptions!$B$4*$J27)*NORMSDIST(((LN(Assumptions!$B$2/'BS Engine'!$B$18)+(Assumptions!$B$3-Assumptions!$B$4+(G$18/100)^2/2)*$J27)/((G$18/100)*$K27)))-'BS Engine'!$B$18*EXP(-Assumptions!$B$3*$J27)*NORMSDIST((((LN(Assumptions!$B$2/'BS Engine'!$B$18)+(Assumptions!$B$3-Assumptions!$B$4+(G$18/100)^2/2)*$J27)/((G$18/100)*$K27))-(G$18/100)*$K27))))</f>
        <v/>
      </c>
      <c r="H27" s="29">
        <f>Assumptions!$B$5*(MAX(0,Assumptions!$B$2*EXP(-Assumptions!$B$4*$J27)*NORMSDIST(((LN(Assumptions!$B$2/'BS Engine'!$B$18)+(Assumptions!$B$3-Assumptions!$B$4+(H$18/100)^2/2)*$J27)/((H$18/100)*$K27)))-'BS Engine'!$B$18*EXP(-Assumptions!$B$3*$J27)*NORMSDIST((((LN(Assumptions!$B$2/'BS Engine'!$B$18)+(Assumptions!$B$3-Assumptions!$B$4+(H$18/100)^2/2)*$J27)/((H$18/100)*$K27))-(H$18/100)*$K27))))</f>
        <v/>
      </c>
      <c r="I27" s="29">
        <f>Assumptions!$B$5*(MAX(0,Assumptions!$B$2*EXP(-Assumptions!$B$4*$J27)*NORMSDIST(((LN(Assumptions!$B$2/'BS Engine'!$B$18)+(Assumptions!$B$3-Assumptions!$B$4+(I$18/100)^2/2)*$J27)/((I$18/100)*$K27)))-'BS Engine'!$B$18*EXP(-Assumptions!$B$3*$J27)*NORMSDIST((((LN(Assumptions!$B$2/'BS Engine'!$B$18)+(Assumptions!$B$3-Assumptions!$B$4+(I$18/100)^2/2)*$J27)/((I$18/100)*$K27))-(I$18/100)*$K27))))</f>
        <v/>
      </c>
      <c r="J27" s="44" t="n">
        <v>0.05753424657534247</v>
      </c>
      <c r="K27" s="44">
        <f>SQRT(J27)</f>
        <v/>
      </c>
    </row>
    <row r="28">
      <c r="A28" s="57" t="n">
        <v>30</v>
      </c>
      <c r="B28" s="49">
        <f>Assumptions!$B$5*(MAX(0,Assumptions!$B$2*EXP(-Assumptions!$B$4*$J28)*NORMSDIST(((LN(Assumptions!$B$2/'BS Engine'!$B$18)+(Assumptions!$B$3-Assumptions!$B$4+(B$18/100)^2/2)*$J28)/((B$18/100)*$K28)))-'BS Engine'!$B$18*EXP(-Assumptions!$B$3*$J28)*NORMSDIST((((LN(Assumptions!$B$2/'BS Engine'!$B$18)+(Assumptions!$B$3-Assumptions!$B$4+(B$18/100)^2/2)*$J28)/((B$18/100)*$K28))-(B$18/100)*$K28))))</f>
        <v/>
      </c>
      <c r="C28" s="29">
        <f>Assumptions!$B$5*(MAX(0,Assumptions!$B$2*EXP(-Assumptions!$B$4*$J28)*NORMSDIST(((LN(Assumptions!$B$2/'BS Engine'!$B$18)+(Assumptions!$B$3-Assumptions!$B$4+(C$18/100)^2/2)*$J28)/((C$18/100)*$K28)))-'BS Engine'!$B$18*EXP(-Assumptions!$B$3*$J28)*NORMSDIST((((LN(Assumptions!$B$2/'BS Engine'!$B$18)+(Assumptions!$B$3-Assumptions!$B$4+(C$18/100)^2/2)*$J28)/((C$18/100)*$K28))-(C$18/100)*$K28))))</f>
        <v/>
      </c>
      <c r="D28" s="29">
        <f>Assumptions!$B$5*(MAX(0,Assumptions!$B$2*EXP(-Assumptions!$B$4*$J28)*NORMSDIST(((LN(Assumptions!$B$2/'BS Engine'!$B$18)+(Assumptions!$B$3-Assumptions!$B$4+(D$18/100)^2/2)*$J28)/((D$18/100)*$K28)))-'BS Engine'!$B$18*EXP(-Assumptions!$B$3*$J28)*NORMSDIST((((LN(Assumptions!$B$2/'BS Engine'!$B$18)+(Assumptions!$B$3-Assumptions!$B$4+(D$18/100)^2/2)*$J28)/((D$18/100)*$K28))-(D$18/100)*$K28))))</f>
        <v/>
      </c>
      <c r="E28" s="29">
        <f>Assumptions!$B$5*(MAX(0,Assumptions!$B$2*EXP(-Assumptions!$B$4*$J28)*NORMSDIST(((LN(Assumptions!$B$2/'BS Engine'!$B$18)+(Assumptions!$B$3-Assumptions!$B$4+(E$18/100)^2/2)*$J28)/((E$18/100)*$K28)))-'BS Engine'!$B$18*EXP(-Assumptions!$B$3*$J28)*NORMSDIST((((LN(Assumptions!$B$2/'BS Engine'!$B$18)+(Assumptions!$B$3-Assumptions!$B$4+(E$18/100)^2/2)*$J28)/((E$18/100)*$K28))-(E$18/100)*$K28))))</f>
        <v/>
      </c>
      <c r="F28" s="29">
        <f>Assumptions!$B$5*(MAX(0,Assumptions!$B$2*EXP(-Assumptions!$B$4*$J28)*NORMSDIST(((LN(Assumptions!$B$2/'BS Engine'!$B$18)+(Assumptions!$B$3-Assumptions!$B$4+(F$18/100)^2/2)*$J28)/((F$18/100)*$K28)))-'BS Engine'!$B$18*EXP(-Assumptions!$B$3*$J28)*NORMSDIST((((LN(Assumptions!$B$2/'BS Engine'!$B$18)+(Assumptions!$B$3-Assumptions!$B$4+(F$18/100)^2/2)*$J28)/((F$18/100)*$K28))-(F$18/100)*$K28))))</f>
        <v/>
      </c>
      <c r="G28" s="29">
        <f>Assumptions!$B$5*(MAX(0,Assumptions!$B$2*EXP(-Assumptions!$B$4*$J28)*NORMSDIST(((LN(Assumptions!$B$2/'BS Engine'!$B$18)+(Assumptions!$B$3-Assumptions!$B$4+(G$18/100)^2/2)*$J28)/((G$18/100)*$K28)))-'BS Engine'!$B$18*EXP(-Assumptions!$B$3*$J28)*NORMSDIST((((LN(Assumptions!$B$2/'BS Engine'!$B$18)+(Assumptions!$B$3-Assumptions!$B$4+(G$18/100)^2/2)*$J28)/((G$18/100)*$K28))-(G$18/100)*$K28))))</f>
        <v/>
      </c>
      <c r="H28" s="29">
        <f>Assumptions!$B$5*(MAX(0,Assumptions!$B$2*EXP(-Assumptions!$B$4*$J28)*NORMSDIST(((LN(Assumptions!$B$2/'BS Engine'!$B$18)+(Assumptions!$B$3-Assumptions!$B$4+(H$18/100)^2/2)*$J28)/((H$18/100)*$K28)))-'BS Engine'!$B$18*EXP(-Assumptions!$B$3*$J28)*NORMSDIST((((LN(Assumptions!$B$2/'BS Engine'!$B$18)+(Assumptions!$B$3-Assumptions!$B$4+(H$18/100)^2/2)*$J28)/((H$18/100)*$K28))-(H$18/100)*$K28))))</f>
        <v/>
      </c>
      <c r="I28" s="29">
        <f>Assumptions!$B$5*(MAX(0,Assumptions!$B$2*EXP(-Assumptions!$B$4*$J28)*NORMSDIST(((LN(Assumptions!$B$2/'BS Engine'!$B$18)+(Assumptions!$B$3-Assumptions!$B$4+(I$18/100)^2/2)*$J28)/((I$18/100)*$K28)))-'BS Engine'!$B$18*EXP(-Assumptions!$B$3*$J28)*NORMSDIST((((LN(Assumptions!$B$2/'BS Engine'!$B$18)+(Assumptions!$B$3-Assumptions!$B$4+(I$18/100)^2/2)*$J28)/((I$18/100)*$K28))-(I$18/100)*$K28))))</f>
        <v/>
      </c>
      <c r="J28" s="44" t="n">
        <v>0.0821917808219178</v>
      </c>
      <c r="K28" s="44">
        <f>SQRT(J28)</f>
        <v/>
      </c>
    </row>
    <row r="31">
      <c r="A31" s="20" t="inlineStr">
        <is>
          <t>-2.0% call (ITM)</t>
        </is>
      </c>
    </row>
    <row r="32">
      <c r="A32" s="1" t="inlineStr">
        <is>
          <t>DTE (days)</t>
        </is>
      </c>
      <c r="B32" s="51" t="n">
        <v>8</v>
      </c>
      <c r="C32" s="51" t="n">
        <v>10</v>
      </c>
      <c r="D32" s="51" t="n">
        <v>12</v>
      </c>
      <c r="E32" s="51" t="n">
        <v>15</v>
      </c>
      <c r="F32" s="51" t="n">
        <v>18</v>
      </c>
      <c r="G32" s="51" t="n">
        <v>20</v>
      </c>
      <c r="H32" s="51" t="n">
        <v>25</v>
      </c>
      <c r="I32" s="51" t="n">
        <v>30</v>
      </c>
      <c r="J32" s="3" t="inlineStr">
        <is>
          <t>T (yrs)</t>
        </is>
      </c>
      <c r="K32" s="3" t="inlineStr">
        <is>
          <t>SQRT(T)</t>
        </is>
      </c>
    </row>
    <row r="33">
      <c r="A33" s="57" t="n">
        <v>0.5</v>
      </c>
      <c r="B33" s="49">
        <f>Assumptions!$B$5*(MAX(0,Assumptions!$B$2*EXP(-Assumptions!$B$4*$J33)*NORMSDIST(((LN(Assumptions!$B$2/'BS Engine'!$B$2)+(Assumptions!$B$3-Assumptions!$B$4+(B$32/100)^2/2)*$J33)/((B$32/100)*$K33)))-'BS Engine'!$B$2*EXP(-Assumptions!$B$3*$J33)*NORMSDIST((((LN(Assumptions!$B$2/'BS Engine'!$B$2)+(Assumptions!$B$3-Assumptions!$B$4+(B$32/100)^2/2)*$J33)/((B$32/100)*$K33))-(B$32/100)*$K33))))</f>
        <v/>
      </c>
      <c r="C33" s="29">
        <f>Assumptions!$B$5*(MAX(0,Assumptions!$B$2*EXP(-Assumptions!$B$4*$J33)*NORMSDIST(((LN(Assumptions!$B$2/'BS Engine'!$B$2)+(Assumptions!$B$3-Assumptions!$B$4+(C$32/100)^2/2)*$J33)/((C$32/100)*$K33)))-'BS Engine'!$B$2*EXP(-Assumptions!$B$3*$J33)*NORMSDIST((((LN(Assumptions!$B$2/'BS Engine'!$B$2)+(Assumptions!$B$3-Assumptions!$B$4+(C$32/100)^2/2)*$J33)/((C$32/100)*$K33))-(C$32/100)*$K33))))</f>
        <v/>
      </c>
      <c r="D33" s="29">
        <f>Assumptions!$B$5*(MAX(0,Assumptions!$B$2*EXP(-Assumptions!$B$4*$J33)*NORMSDIST(((LN(Assumptions!$B$2/'BS Engine'!$B$2)+(Assumptions!$B$3-Assumptions!$B$4+(D$32/100)^2/2)*$J33)/((D$32/100)*$K33)))-'BS Engine'!$B$2*EXP(-Assumptions!$B$3*$J33)*NORMSDIST((((LN(Assumptions!$B$2/'BS Engine'!$B$2)+(Assumptions!$B$3-Assumptions!$B$4+(D$32/100)^2/2)*$J33)/((D$32/100)*$K33))-(D$32/100)*$K33))))</f>
        <v/>
      </c>
      <c r="E33" s="29">
        <f>Assumptions!$B$5*(MAX(0,Assumptions!$B$2*EXP(-Assumptions!$B$4*$J33)*NORMSDIST(((LN(Assumptions!$B$2/'BS Engine'!$B$2)+(Assumptions!$B$3-Assumptions!$B$4+(E$32/100)^2/2)*$J33)/((E$32/100)*$K33)))-'BS Engine'!$B$2*EXP(-Assumptions!$B$3*$J33)*NORMSDIST((((LN(Assumptions!$B$2/'BS Engine'!$B$2)+(Assumptions!$B$3-Assumptions!$B$4+(E$32/100)^2/2)*$J33)/((E$32/100)*$K33))-(E$32/100)*$K33))))</f>
        <v/>
      </c>
      <c r="F33" s="29">
        <f>Assumptions!$B$5*(MAX(0,Assumptions!$B$2*EXP(-Assumptions!$B$4*$J33)*NORMSDIST(((LN(Assumptions!$B$2/'BS Engine'!$B$2)+(Assumptions!$B$3-Assumptions!$B$4+(F$32/100)^2/2)*$J33)/((F$32/100)*$K33)))-'BS Engine'!$B$2*EXP(-Assumptions!$B$3*$J33)*NORMSDIST((((LN(Assumptions!$B$2/'BS Engine'!$B$2)+(Assumptions!$B$3-Assumptions!$B$4+(F$32/100)^2/2)*$J33)/((F$32/100)*$K33))-(F$32/100)*$K33))))</f>
        <v/>
      </c>
      <c r="G33" s="29">
        <f>Assumptions!$B$5*(MAX(0,Assumptions!$B$2*EXP(-Assumptions!$B$4*$J33)*NORMSDIST(((LN(Assumptions!$B$2/'BS Engine'!$B$2)+(Assumptions!$B$3-Assumptions!$B$4+(G$32/100)^2/2)*$J33)/((G$32/100)*$K33)))-'BS Engine'!$B$2*EXP(-Assumptions!$B$3*$J33)*NORMSDIST((((LN(Assumptions!$B$2/'BS Engine'!$B$2)+(Assumptions!$B$3-Assumptions!$B$4+(G$32/100)^2/2)*$J33)/((G$32/100)*$K33))-(G$32/100)*$K33))))</f>
        <v/>
      </c>
      <c r="H33" s="29">
        <f>Assumptions!$B$5*(MAX(0,Assumptions!$B$2*EXP(-Assumptions!$B$4*$J33)*NORMSDIST(((LN(Assumptions!$B$2/'BS Engine'!$B$2)+(Assumptions!$B$3-Assumptions!$B$4+(H$32/100)^2/2)*$J33)/((H$32/100)*$K33)))-'BS Engine'!$B$2*EXP(-Assumptions!$B$3*$J33)*NORMSDIST((((LN(Assumptions!$B$2/'BS Engine'!$B$2)+(Assumptions!$B$3-Assumptions!$B$4+(H$32/100)^2/2)*$J33)/((H$32/100)*$K33))-(H$32/100)*$K33))))</f>
        <v/>
      </c>
      <c r="I33" s="29">
        <f>Assumptions!$B$5*(MAX(0,Assumptions!$B$2*EXP(-Assumptions!$B$4*$J33)*NORMSDIST(((LN(Assumptions!$B$2/'BS Engine'!$B$2)+(Assumptions!$B$3-Assumptions!$B$4+(I$32/100)^2/2)*$J33)/((I$32/100)*$K33)))-'BS Engine'!$B$2*EXP(-Assumptions!$B$3*$J33)*NORMSDIST((((LN(Assumptions!$B$2/'BS Engine'!$B$2)+(Assumptions!$B$3-Assumptions!$B$4+(I$32/100)^2/2)*$J33)/((I$32/100)*$K33))-(I$32/100)*$K33))))</f>
        <v/>
      </c>
      <c r="J33" s="44" t="n">
        <v>0.00136986301369863</v>
      </c>
      <c r="K33" s="44">
        <f>SQRT(J33)</f>
        <v/>
      </c>
    </row>
    <row r="34">
      <c r="A34" s="57" t="n">
        <v>1</v>
      </c>
      <c r="B34" s="49">
        <f>Assumptions!$B$5*(MAX(0,Assumptions!$B$2*EXP(-Assumptions!$B$4*$J34)*NORMSDIST(((LN(Assumptions!$B$2/'BS Engine'!$B$2)+(Assumptions!$B$3-Assumptions!$B$4+(B$32/100)^2/2)*$J34)/((B$32/100)*$K34)))-'BS Engine'!$B$2*EXP(-Assumptions!$B$3*$J34)*NORMSDIST((((LN(Assumptions!$B$2/'BS Engine'!$B$2)+(Assumptions!$B$3-Assumptions!$B$4+(B$32/100)^2/2)*$J34)/((B$32/100)*$K34))-(B$32/100)*$K34))))</f>
        <v/>
      </c>
      <c r="C34" s="29">
        <f>Assumptions!$B$5*(MAX(0,Assumptions!$B$2*EXP(-Assumptions!$B$4*$J34)*NORMSDIST(((LN(Assumptions!$B$2/'BS Engine'!$B$2)+(Assumptions!$B$3-Assumptions!$B$4+(C$32/100)^2/2)*$J34)/((C$32/100)*$K34)))-'BS Engine'!$B$2*EXP(-Assumptions!$B$3*$J34)*NORMSDIST((((LN(Assumptions!$B$2/'BS Engine'!$B$2)+(Assumptions!$B$3-Assumptions!$B$4+(C$32/100)^2/2)*$J34)/((C$32/100)*$K34))-(C$32/100)*$K34))))</f>
        <v/>
      </c>
      <c r="D34" s="29">
        <f>Assumptions!$B$5*(MAX(0,Assumptions!$B$2*EXP(-Assumptions!$B$4*$J34)*NORMSDIST(((LN(Assumptions!$B$2/'BS Engine'!$B$2)+(Assumptions!$B$3-Assumptions!$B$4+(D$32/100)^2/2)*$J34)/((D$32/100)*$K34)))-'BS Engine'!$B$2*EXP(-Assumptions!$B$3*$J34)*NORMSDIST((((LN(Assumptions!$B$2/'BS Engine'!$B$2)+(Assumptions!$B$3-Assumptions!$B$4+(D$32/100)^2/2)*$J34)/((D$32/100)*$K34))-(D$32/100)*$K34))))</f>
        <v/>
      </c>
      <c r="E34" s="29">
        <f>Assumptions!$B$5*(MAX(0,Assumptions!$B$2*EXP(-Assumptions!$B$4*$J34)*NORMSDIST(((LN(Assumptions!$B$2/'BS Engine'!$B$2)+(Assumptions!$B$3-Assumptions!$B$4+(E$32/100)^2/2)*$J34)/((E$32/100)*$K34)))-'BS Engine'!$B$2*EXP(-Assumptions!$B$3*$J34)*NORMSDIST((((LN(Assumptions!$B$2/'BS Engine'!$B$2)+(Assumptions!$B$3-Assumptions!$B$4+(E$32/100)^2/2)*$J34)/((E$32/100)*$K34))-(E$32/100)*$K34))))</f>
        <v/>
      </c>
      <c r="F34" s="29">
        <f>Assumptions!$B$5*(MAX(0,Assumptions!$B$2*EXP(-Assumptions!$B$4*$J34)*NORMSDIST(((LN(Assumptions!$B$2/'BS Engine'!$B$2)+(Assumptions!$B$3-Assumptions!$B$4+(F$32/100)^2/2)*$J34)/((F$32/100)*$K34)))-'BS Engine'!$B$2*EXP(-Assumptions!$B$3*$J34)*NORMSDIST((((LN(Assumptions!$B$2/'BS Engine'!$B$2)+(Assumptions!$B$3-Assumptions!$B$4+(F$32/100)^2/2)*$J34)/((F$32/100)*$K34))-(F$32/100)*$K34))))</f>
        <v/>
      </c>
      <c r="G34" s="29">
        <f>Assumptions!$B$5*(MAX(0,Assumptions!$B$2*EXP(-Assumptions!$B$4*$J34)*NORMSDIST(((LN(Assumptions!$B$2/'BS Engine'!$B$2)+(Assumptions!$B$3-Assumptions!$B$4+(G$32/100)^2/2)*$J34)/((G$32/100)*$K34)))-'BS Engine'!$B$2*EXP(-Assumptions!$B$3*$J34)*NORMSDIST((((LN(Assumptions!$B$2/'BS Engine'!$B$2)+(Assumptions!$B$3-Assumptions!$B$4+(G$32/100)^2/2)*$J34)/((G$32/100)*$K34))-(G$32/100)*$K34))))</f>
        <v/>
      </c>
      <c r="H34" s="29">
        <f>Assumptions!$B$5*(MAX(0,Assumptions!$B$2*EXP(-Assumptions!$B$4*$J34)*NORMSDIST(((LN(Assumptions!$B$2/'BS Engine'!$B$2)+(Assumptions!$B$3-Assumptions!$B$4+(H$32/100)^2/2)*$J34)/((H$32/100)*$K34)))-'BS Engine'!$B$2*EXP(-Assumptions!$B$3*$J34)*NORMSDIST((((LN(Assumptions!$B$2/'BS Engine'!$B$2)+(Assumptions!$B$3-Assumptions!$B$4+(H$32/100)^2/2)*$J34)/((H$32/100)*$K34))-(H$32/100)*$K34))))</f>
        <v/>
      </c>
      <c r="I34" s="29">
        <f>Assumptions!$B$5*(MAX(0,Assumptions!$B$2*EXP(-Assumptions!$B$4*$J34)*NORMSDIST(((LN(Assumptions!$B$2/'BS Engine'!$B$2)+(Assumptions!$B$3-Assumptions!$B$4+(I$32/100)^2/2)*$J34)/((I$32/100)*$K34)))-'BS Engine'!$B$2*EXP(-Assumptions!$B$3*$J34)*NORMSDIST((((LN(Assumptions!$B$2/'BS Engine'!$B$2)+(Assumptions!$B$3-Assumptions!$B$4+(I$32/100)^2/2)*$J34)/((I$32/100)*$K34))-(I$32/100)*$K34))))</f>
        <v/>
      </c>
      <c r="J34" s="44" t="n">
        <v>0.00273972602739726</v>
      </c>
      <c r="K34" s="44">
        <f>SQRT(J34)</f>
        <v/>
      </c>
    </row>
    <row r="35">
      <c r="A35" s="57" t="n">
        <v>2</v>
      </c>
      <c r="B35" s="49">
        <f>Assumptions!$B$5*(MAX(0,Assumptions!$B$2*EXP(-Assumptions!$B$4*$J35)*NORMSDIST(((LN(Assumptions!$B$2/'BS Engine'!$B$2)+(Assumptions!$B$3-Assumptions!$B$4+(B$32/100)^2/2)*$J35)/((B$32/100)*$K35)))-'BS Engine'!$B$2*EXP(-Assumptions!$B$3*$J35)*NORMSDIST((((LN(Assumptions!$B$2/'BS Engine'!$B$2)+(Assumptions!$B$3-Assumptions!$B$4+(B$32/100)^2/2)*$J35)/((B$32/100)*$K35))-(B$32/100)*$K35))))</f>
        <v/>
      </c>
      <c r="C35" s="29">
        <f>Assumptions!$B$5*(MAX(0,Assumptions!$B$2*EXP(-Assumptions!$B$4*$J35)*NORMSDIST(((LN(Assumptions!$B$2/'BS Engine'!$B$2)+(Assumptions!$B$3-Assumptions!$B$4+(C$32/100)^2/2)*$J35)/((C$32/100)*$K35)))-'BS Engine'!$B$2*EXP(-Assumptions!$B$3*$J35)*NORMSDIST((((LN(Assumptions!$B$2/'BS Engine'!$B$2)+(Assumptions!$B$3-Assumptions!$B$4+(C$32/100)^2/2)*$J35)/((C$32/100)*$K35))-(C$32/100)*$K35))))</f>
        <v/>
      </c>
      <c r="D35" s="29">
        <f>Assumptions!$B$5*(MAX(0,Assumptions!$B$2*EXP(-Assumptions!$B$4*$J35)*NORMSDIST(((LN(Assumptions!$B$2/'BS Engine'!$B$2)+(Assumptions!$B$3-Assumptions!$B$4+(D$32/100)^2/2)*$J35)/((D$32/100)*$K35)))-'BS Engine'!$B$2*EXP(-Assumptions!$B$3*$J35)*NORMSDIST((((LN(Assumptions!$B$2/'BS Engine'!$B$2)+(Assumptions!$B$3-Assumptions!$B$4+(D$32/100)^2/2)*$J35)/((D$32/100)*$K35))-(D$32/100)*$K35))))</f>
        <v/>
      </c>
      <c r="E35" s="29">
        <f>Assumptions!$B$5*(MAX(0,Assumptions!$B$2*EXP(-Assumptions!$B$4*$J35)*NORMSDIST(((LN(Assumptions!$B$2/'BS Engine'!$B$2)+(Assumptions!$B$3-Assumptions!$B$4+(E$32/100)^2/2)*$J35)/((E$32/100)*$K35)))-'BS Engine'!$B$2*EXP(-Assumptions!$B$3*$J35)*NORMSDIST((((LN(Assumptions!$B$2/'BS Engine'!$B$2)+(Assumptions!$B$3-Assumptions!$B$4+(E$32/100)^2/2)*$J35)/((E$32/100)*$K35))-(E$32/100)*$K35))))</f>
        <v/>
      </c>
      <c r="F35" s="29">
        <f>Assumptions!$B$5*(MAX(0,Assumptions!$B$2*EXP(-Assumptions!$B$4*$J35)*NORMSDIST(((LN(Assumptions!$B$2/'BS Engine'!$B$2)+(Assumptions!$B$3-Assumptions!$B$4+(F$32/100)^2/2)*$J35)/((F$32/100)*$K35)))-'BS Engine'!$B$2*EXP(-Assumptions!$B$3*$J35)*NORMSDIST((((LN(Assumptions!$B$2/'BS Engine'!$B$2)+(Assumptions!$B$3-Assumptions!$B$4+(F$32/100)^2/2)*$J35)/((F$32/100)*$K35))-(F$32/100)*$K35))))</f>
        <v/>
      </c>
      <c r="G35" s="29">
        <f>Assumptions!$B$5*(MAX(0,Assumptions!$B$2*EXP(-Assumptions!$B$4*$J35)*NORMSDIST(((LN(Assumptions!$B$2/'BS Engine'!$B$2)+(Assumptions!$B$3-Assumptions!$B$4+(G$32/100)^2/2)*$J35)/((G$32/100)*$K35)))-'BS Engine'!$B$2*EXP(-Assumptions!$B$3*$J35)*NORMSDIST((((LN(Assumptions!$B$2/'BS Engine'!$B$2)+(Assumptions!$B$3-Assumptions!$B$4+(G$32/100)^2/2)*$J35)/((G$32/100)*$K35))-(G$32/100)*$K35))))</f>
        <v/>
      </c>
      <c r="H35" s="29">
        <f>Assumptions!$B$5*(MAX(0,Assumptions!$B$2*EXP(-Assumptions!$B$4*$J35)*NORMSDIST(((LN(Assumptions!$B$2/'BS Engine'!$B$2)+(Assumptions!$B$3-Assumptions!$B$4+(H$32/100)^2/2)*$J35)/((H$32/100)*$K35)))-'BS Engine'!$B$2*EXP(-Assumptions!$B$3*$J35)*NORMSDIST((((LN(Assumptions!$B$2/'BS Engine'!$B$2)+(Assumptions!$B$3-Assumptions!$B$4+(H$32/100)^2/2)*$J35)/((H$32/100)*$K35))-(H$32/100)*$K35))))</f>
        <v/>
      </c>
      <c r="I35" s="29">
        <f>Assumptions!$B$5*(MAX(0,Assumptions!$B$2*EXP(-Assumptions!$B$4*$J35)*NORMSDIST(((LN(Assumptions!$B$2/'BS Engine'!$B$2)+(Assumptions!$B$3-Assumptions!$B$4+(I$32/100)^2/2)*$J35)/((I$32/100)*$K35)))-'BS Engine'!$B$2*EXP(-Assumptions!$B$3*$J35)*NORMSDIST((((LN(Assumptions!$B$2/'BS Engine'!$B$2)+(Assumptions!$B$3-Assumptions!$B$4+(I$32/100)^2/2)*$J35)/((I$32/100)*$K35))-(I$32/100)*$K35))))</f>
        <v/>
      </c>
      <c r="J35" s="44" t="n">
        <v>0.005479452054794521</v>
      </c>
      <c r="K35" s="44">
        <f>SQRT(J35)</f>
        <v/>
      </c>
    </row>
    <row r="36">
      <c r="A36" s="57" t="n">
        <v>3</v>
      </c>
      <c r="B36" s="49">
        <f>Assumptions!$B$5*(MAX(0,Assumptions!$B$2*EXP(-Assumptions!$B$4*$J36)*NORMSDIST(((LN(Assumptions!$B$2/'BS Engine'!$B$2)+(Assumptions!$B$3-Assumptions!$B$4+(B$32/100)^2/2)*$J36)/((B$32/100)*$K36)))-'BS Engine'!$B$2*EXP(-Assumptions!$B$3*$J36)*NORMSDIST((((LN(Assumptions!$B$2/'BS Engine'!$B$2)+(Assumptions!$B$3-Assumptions!$B$4+(B$32/100)^2/2)*$J36)/((B$32/100)*$K36))-(B$32/100)*$K36))))</f>
        <v/>
      </c>
      <c r="C36" s="29">
        <f>Assumptions!$B$5*(MAX(0,Assumptions!$B$2*EXP(-Assumptions!$B$4*$J36)*NORMSDIST(((LN(Assumptions!$B$2/'BS Engine'!$B$2)+(Assumptions!$B$3-Assumptions!$B$4+(C$32/100)^2/2)*$J36)/((C$32/100)*$K36)))-'BS Engine'!$B$2*EXP(-Assumptions!$B$3*$J36)*NORMSDIST((((LN(Assumptions!$B$2/'BS Engine'!$B$2)+(Assumptions!$B$3-Assumptions!$B$4+(C$32/100)^2/2)*$J36)/((C$32/100)*$K36))-(C$32/100)*$K36))))</f>
        <v/>
      </c>
      <c r="D36" s="29">
        <f>Assumptions!$B$5*(MAX(0,Assumptions!$B$2*EXP(-Assumptions!$B$4*$J36)*NORMSDIST(((LN(Assumptions!$B$2/'BS Engine'!$B$2)+(Assumptions!$B$3-Assumptions!$B$4+(D$32/100)^2/2)*$J36)/((D$32/100)*$K36)))-'BS Engine'!$B$2*EXP(-Assumptions!$B$3*$J36)*NORMSDIST((((LN(Assumptions!$B$2/'BS Engine'!$B$2)+(Assumptions!$B$3-Assumptions!$B$4+(D$32/100)^2/2)*$J36)/((D$32/100)*$K36))-(D$32/100)*$K36))))</f>
        <v/>
      </c>
      <c r="E36" s="29">
        <f>Assumptions!$B$5*(MAX(0,Assumptions!$B$2*EXP(-Assumptions!$B$4*$J36)*NORMSDIST(((LN(Assumptions!$B$2/'BS Engine'!$B$2)+(Assumptions!$B$3-Assumptions!$B$4+(E$32/100)^2/2)*$J36)/((E$32/100)*$K36)))-'BS Engine'!$B$2*EXP(-Assumptions!$B$3*$J36)*NORMSDIST((((LN(Assumptions!$B$2/'BS Engine'!$B$2)+(Assumptions!$B$3-Assumptions!$B$4+(E$32/100)^2/2)*$J36)/((E$32/100)*$K36))-(E$32/100)*$K36))))</f>
        <v/>
      </c>
      <c r="F36" s="29">
        <f>Assumptions!$B$5*(MAX(0,Assumptions!$B$2*EXP(-Assumptions!$B$4*$J36)*NORMSDIST(((LN(Assumptions!$B$2/'BS Engine'!$B$2)+(Assumptions!$B$3-Assumptions!$B$4+(F$32/100)^2/2)*$J36)/((F$32/100)*$K36)))-'BS Engine'!$B$2*EXP(-Assumptions!$B$3*$J36)*NORMSDIST((((LN(Assumptions!$B$2/'BS Engine'!$B$2)+(Assumptions!$B$3-Assumptions!$B$4+(F$32/100)^2/2)*$J36)/((F$32/100)*$K36))-(F$32/100)*$K36))))</f>
        <v/>
      </c>
      <c r="G36" s="29">
        <f>Assumptions!$B$5*(MAX(0,Assumptions!$B$2*EXP(-Assumptions!$B$4*$J36)*NORMSDIST(((LN(Assumptions!$B$2/'BS Engine'!$B$2)+(Assumptions!$B$3-Assumptions!$B$4+(G$32/100)^2/2)*$J36)/((G$32/100)*$K36)))-'BS Engine'!$B$2*EXP(-Assumptions!$B$3*$J36)*NORMSDIST((((LN(Assumptions!$B$2/'BS Engine'!$B$2)+(Assumptions!$B$3-Assumptions!$B$4+(G$32/100)^2/2)*$J36)/((G$32/100)*$K36))-(G$32/100)*$K36))))</f>
        <v/>
      </c>
      <c r="H36" s="29">
        <f>Assumptions!$B$5*(MAX(0,Assumptions!$B$2*EXP(-Assumptions!$B$4*$J36)*NORMSDIST(((LN(Assumptions!$B$2/'BS Engine'!$B$2)+(Assumptions!$B$3-Assumptions!$B$4+(H$32/100)^2/2)*$J36)/((H$32/100)*$K36)))-'BS Engine'!$B$2*EXP(-Assumptions!$B$3*$J36)*NORMSDIST((((LN(Assumptions!$B$2/'BS Engine'!$B$2)+(Assumptions!$B$3-Assumptions!$B$4+(H$32/100)^2/2)*$J36)/((H$32/100)*$K36))-(H$32/100)*$K36))))</f>
        <v/>
      </c>
      <c r="I36" s="29">
        <f>Assumptions!$B$5*(MAX(0,Assumptions!$B$2*EXP(-Assumptions!$B$4*$J36)*NORMSDIST(((LN(Assumptions!$B$2/'BS Engine'!$B$2)+(Assumptions!$B$3-Assumptions!$B$4+(I$32/100)^2/2)*$J36)/((I$32/100)*$K36)))-'BS Engine'!$B$2*EXP(-Assumptions!$B$3*$J36)*NORMSDIST((((LN(Assumptions!$B$2/'BS Engine'!$B$2)+(Assumptions!$B$3-Assumptions!$B$4+(I$32/100)^2/2)*$J36)/((I$32/100)*$K36))-(I$32/100)*$K36))))</f>
        <v/>
      </c>
      <c r="J36" s="44" t="n">
        <v>0.00821917808219178</v>
      </c>
      <c r="K36" s="44">
        <f>SQRT(J36)</f>
        <v/>
      </c>
    </row>
    <row r="37">
      <c r="A37" s="57" t="n">
        <v>5</v>
      </c>
      <c r="B37" s="49">
        <f>Assumptions!$B$5*(MAX(0,Assumptions!$B$2*EXP(-Assumptions!$B$4*$J37)*NORMSDIST(((LN(Assumptions!$B$2/'BS Engine'!$B$2)+(Assumptions!$B$3-Assumptions!$B$4+(B$32/100)^2/2)*$J37)/((B$32/100)*$K37)))-'BS Engine'!$B$2*EXP(-Assumptions!$B$3*$J37)*NORMSDIST((((LN(Assumptions!$B$2/'BS Engine'!$B$2)+(Assumptions!$B$3-Assumptions!$B$4+(B$32/100)^2/2)*$J37)/((B$32/100)*$K37))-(B$32/100)*$K37))))</f>
        <v/>
      </c>
      <c r="C37" s="29">
        <f>Assumptions!$B$5*(MAX(0,Assumptions!$B$2*EXP(-Assumptions!$B$4*$J37)*NORMSDIST(((LN(Assumptions!$B$2/'BS Engine'!$B$2)+(Assumptions!$B$3-Assumptions!$B$4+(C$32/100)^2/2)*$J37)/((C$32/100)*$K37)))-'BS Engine'!$B$2*EXP(-Assumptions!$B$3*$J37)*NORMSDIST((((LN(Assumptions!$B$2/'BS Engine'!$B$2)+(Assumptions!$B$3-Assumptions!$B$4+(C$32/100)^2/2)*$J37)/((C$32/100)*$K37))-(C$32/100)*$K37))))</f>
        <v/>
      </c>
      <c r="D37" s="29">
        <f>Assumptions!$B$5*(MAX(0,Assumptions!$B$2*EXP(-Assumptions!$B$4*$J37)*NORMSDIST(((LN(Assumptions!$B$2/'BS Engine'!$B$2)+(Assumptions!$B$3-Assumptions!$B$4+(D$32/100)^2/2)*$J37)/((D$32/100)*$K37)))-'BS Engine'!$B$2*EXP(-Assumptions!$B$3*$J37)*NORMSDIST((((LN(Assumptions!$B$2/'BS Engine'!$B$2)+(Assumptions!$B$3-Assumptions!$B$4+(D$32/100)^2/2)*$J37)/((D$32/100)*$K37))-(D$32/100)*$K37))))</f>
        <v/>
      </c>
      <c r="E37" s="29">
        <f>Assumptions!$B$5*(MAX(0,Assumptions!$B$2*EXP(-Assumptions!$B$4*$J37)*NORMSDIST(((LN(Assumptions!$B$2/'BS Engine'!$B$2)+(Assumptions!$B$3-Assumptions!$B$4+(E$32/100)^2/2)*$J37)/((E$32/100)*$K37)))-'BS Engine'!$B$2*EXP(-Assumptions!$B$3*$J37)*NORMSDIST((((LN(Assumptions!$B$2/'BS Engine'!$B$2)+(Assumptions!$B$3-Assumptions!$B$4+(E$32/100)^2/2)*$J37)/((E$32/100)*$K37))-(E$32/100)*$K37))))</f>
        <v/>
      </c>
      <c r="F37" s="29">
        <f>Assumptions!$B$5*(MAX(0,Assumptions!$B$2*EXP(-Assumptions!$B$4*$J37)*NORMSDIST(((LN(Assumptions!$B$2/'BS Engine'!$B$2)+(Assumptions!$B$3-Assumptions!$B$4+(F$32/100)^2/2)*$J37)/((F$32/100)*$K37)))-'BS Engine'!$B$2*EXP(-Assumptions!$B$3*$J37)*NORMSDIST((((LN(Assumptions!$B$2/'BS Engine'!$B$2)+(Assumptions!$B$3-Assumptions!$B$4+(F$32/100)^2/2)*$J37)/((F$32/100)*$K37))-(F$32/100)*$K37))))</f>
        <v/>
      </c>
      <c r="G37" s="29">
        <f>Assumptions!$B$5*(MAX(0,Assumptions!$B$2*EXP(-Assumptions!$B$4*$J37)*NORMSDIST(((LN(Assumptions!$B$2/'BS Engine'!$B$2)+(Assumptions!$B$3-Assumptions!$B$4+(G$32/100)^2/2)*$J37)/((G$32/100)*$K37)))-'BS Engine'!$B$2*EXP(-Assumptions!$B$3*$J37)*NORMSDIST((((LN(Assumptions!$B$2/'BS Engine'!$B$2)+(Assumptions!$B$3-Assumptions!$B$4+(G$32/100)^2/2)*$J37)/((G$32/100)*$K37))-(G$32/100)*$K37))))</f>
        <v/>
      </c>
      <c r="H37" s="29">
        <f>Assumptions!$B$5*(MAX(0,Assumptions!$B$2*EXP(-Assumptions!$B$4*$J37)*NORMSDIST(((LN(Assumptions!$B$2/'BS Engine'!$B$2)+(Assumptions!$B$3-Assumptions!$B$4+(H$32/100)^2/2)*$J37)/((H$32/100)*$K37)))-'BS Engine'!$B$2*EXP(-Assumptions!$B$3*$J37)*NORMSDIST((((LN(Assumptions!$B$2/'BS Engine'!$B$2)+(Assumptions!$B$3-Assumptions!$B$4+(H$32/100)^2/2)*$J37)/((H$32/100)*$K37))-(H$32/100)*$K37))))</f>
        <v/>
      </c>
      <c r="I37" s="29">
        <f>Assumptions!$B$5*(MAX(0,Assumptions!$B$2*EXP(-Assumptions!$B$4*$J37)*NORMSDIST(((LN(Assumptions!$B$2/'BS Engine'!$B$2)+(Assumptions!$B$3-Assumptions!$B$4+(I$32/100)^2/2)*$J37)/((I$32/100)*$K37)))-'BS Engine'!$B$2*EXP(-Assumptions!$B$3*$J37)*NORMSDIST((((LN(Assumptions!$B$2/'BS Engine'!$B$2)+(Assumptions!$B$3-Assumptions!$B$4+(I$32/100)^2/2)*$J37)/((I$32/100)*$K37))-(I$32/100)*$K37))))</f>
        <v/>
      </c>
      <c r="J37" s="44" t="n">
        <v>0.0136986301369863</v>
      </c>
      <c r="K37" s="44">
        <f>SQRT(J37)</f>
        <v/>
      </c>
    </row>
    <row r="38">
      <c r="A38" s="57" t="n">
        <v>7</v>
      </c>
      <c r="B38" s="49">
        <f>Assumptions!$B$5*(MAX(0,Assumptions!$B$2*EXP(-Assumptions!$B$4*$J38)*NORMSDIST(((LN(Assumptions!$B$2/'BS Engine'!$B$2)+(Assumptions!$B$3-Assumptions!$B$4+(B$32/100)^2/2)*$J38)/((B$32/100)*$K38)))-'BS Engine'!$B$2*EXP(-Assumptions!$B$3*$J38)*NORMSDIST((((LN(Assumptions!$B$2/'BS Engine'!$B$2)+(Assumptions!$B$3-Assumptions!$B$4+(B$32/100)^2/2)*$J38)/((B$32/100)*$K38))-(B$32/100)*$K38))))</f>
        <v/>
      </c>
      <c r="C38" s="29">
        <f>Assumptions!$B$5*(MAX(0,Assumptions!$B$2*EXP(-Assumptions!$B$4*$J38)*NORMSDIST(((LN(Assumptions!$B$2/'BS Engine'!$B$2)+(Assumptions!$B$3-Assumptions!$B$4+(C$32/100)^2/2)*$J38)/((C$32/100)*$K38)))-'BS Engine'!$B$2*EXP(-Assumptions!$B$3*$J38)*NORMSDIST((((LN(Assumptions!$B$2/'BS Engine'!$B$2)+(Assumptions!$B$3-Assumptions!$B$4+(C$32/100)^2/2)*$J38)/((C$32/100)*$K38))-(C$32/100)*$K38))))</f>
        <v/>
      </c>
      <c r="D38" s="29">
        <f>Assumptions!$B$5*(MAX(0,Assumptions!$B$2*EXP(-Assumptions!$B$4*$J38)*NORMSDIST(((LN(Assumptions!$B$2/'BS Engine'!$B$2)+(Assumptions!$B$3-Assumptions!$B$4+(D$32/100)^2/2)*$J38)/((D$32/100)*$K38)))-'BS Engine'!$B$2*EXP(-Assumptions!$B$3*$J38)*NORMSDIST((((LN(Assumptions!$B$2/'BS Engine'!$B$2)+(Assumptions!$B$3-Assumptions!$B$4+(D$32/100)^2/2)*$J38)/((D$32/100)*$K38))-(D$32/100)*$K38))))</f>
        <v/>
      </c>
      <c r="E38" s="29">
        <f>Assumptions!$B$5*(MAX(0,Assumptions!$B$2*EXP(-Assumptions!$B$4*$J38)*NORMSDIST(((LN(Assumptions!$B$2/'BS Engine'!$B$2)+(Assumptions!$B$3-Assumptions!$B$4+(E$32/100)^2/2)*$J38)/((E$32/100)*$K38)))-'BS Engine'!$B$2*EXP(-Assumptions!$B$3*$J38)*NORMSDIST((((LN(Assumptions!$B$2/'BS Engine'!$B$2)+(Assumptions!$B$3-Assumptions!$B$4+(E$32/100)^2/2)*$J38)/((E$32/100)*$K38))-(E$32/100)*$K38))))</f>
        <v/>
      </c>
      <c r="F38" s="29">
        <f>Assumptions!$B$5*(MAX(0,Assumptions!$B$2*EXP(-Assumptions!$B$4*$J38)*NORMSDIST(((LN(Assumptions!$B$2/'BS Engine'!$B$2)+(Assumptions!$B$3-Assumptions!$B$4+(F$32/100)^2/2)*$J38)/((F$32/100)*$K38)))-'BS Engine'!$B$2*EXP(-Assumptions!$B$3*$J38)*NORMSDIST((((LN(Assumptions!$B$2/'BS Engine'!$B$2)+(Assumptions!$B$3-Assumptions!$B$4+(F$32/100)^2/2)*$J38)/((F$32/100)*$K38))-(F$32/100)*$K38))))</f>
        <v/>
      </c>
      <c r="G38" s="29">
        <f>Assumptions!$B$5*(MAX(0,Assumptions!$B$2*EXP(-Assumptions!$B$4*$J38)*NORMSDIST(((LN(Assumptions!$B$2/'BS Engine'!$B$2)+(Assumptions!$B$3-Assumptions!$B$4+(G$32/100)^2/2)*$J38)/((G$32/100)*$K38)))-'BS Engine'!$B$2*EXP(-Assumptions!$B$3*$J38)*NORMSDIST((((LN(Assumptions!$B$2/'BS Engine'!$B$2)+(Assumptions!$B$3-Assumptions!$B$4+(G$32/100)^2/2)*$J38)/((G$32/100)*$K38))-(G$32/100)*$K38))))</f>
        <v/>
      </c>
      <c r="H38" s="29">
        <f>Assumptions!$B$5*(MAX(0,Assumptions!$B$2*EXP(-Assumptions!$B$4*$J38)*NORMSDIST(((LN(Assumptions!$B$2/'BS Engine'!$B$2)+(Assumptions!$B$3-Assumptions!$B$4+(H$32/100)^2/2)*$J38)/((H$32/100)*$K38)))-'BS Engine'!$B$2*EXP(-Assumptions!$B$3*$J38)*NORMSDIST((((LN(Assumptions!$B$2/'BS Engine'!$B$2)+(Assumptions!$B$3-Assumptions!$B$4+(H$32/100)^2/2)*$J38)/((H$32/100)*$K38))-(H$32/100)*$K38))))</f>
        <v/>
      </c>
      <c r="I38" s="29">
        <f>Assumptions!$B$5*(MAX(0,Assumptions!$B$2*EXP(-Assumptions!$B$4*$J38)*NORMSDIST(((LN(Assumptions!$B$2/'BS Engine'!$B$2)+(Assumptions!$B$3-Assumptions!$B$4+(I$32/100)^2/2)*$J38)/((I$32/100)*$K38)))-'BS Engine'!$B$2*EXP(-Assumptions!$B$3*$J38)*NORMSDIST((((LN(Assumptions!$B$2/'BS Engine'!$B$2)+(Assumptions!$B$3-Assumptions!$B$4+(I$32/100)^2/2)*$J38)/((I$32/100)*$K38))-(I$32/100)*$K38))))</f>
        <v/>
      </c>
      <c r="J38" s="44" t="n">
        <v>0.01917808219178082</v>
      </c>
      <c r="K38" s="44">
        <f>SQRT(J38)</f>
        <v/>
      </c>
    </row>
    <row r="39">
      <c r="A39" s="57" t="n">
        <v>10</v>
      </c>
      <c r="B39" s="49">
        <f>Assumptions!$B$5*(MAX(0,Assumptions!$B$2*EXP(-Assumptions!$B$4*$J39)*NORMSDIST(((LN(Assumptions!$B$2/'BS Engine'!$B$2)+(Assumptions!$B$3-Assumptions!$B$4+(B$32/100)^2/2)*$J39)/((B$32/100)*$K39)))-'BS Engine'!$B$2*EXP(-Assumptions!$B$3*$J39)*NORMSDIST((((LN(Assumptions!$B$2/'BS Engine'!$B$2)+(Assumptions!$B$3-Assumptions!$B$4+(B$32/100)^2/2)*$J39)/((B$32/100)*$K39))-(B$32/100)*$K39))))</f>
        <v/>
      </c>
      <c r="C39" s="29">
        <f>Assumptions!$B$5*(MAX(0,Assumptions!$B$2*EXP(-Assumptions!$B$4*$J39)*NORMSDIST(((LN(Assumptions!$B$2/'BS Engine'!$B$2)+(Assumptions!$B$3-Assumptions!$B$4+(C$32/100)^2/2)*$J39)/((C$32/100)*$K39)))-'BS Engine'!$B$2*EXP(-Assumptions!$B$3*$J39)*NORMSDIST((((LN(Assumptions!$B$2/'BS Engine'!$B$2)+(Assumptions!$B$3-Assumptions!$B$4+(C$32/100)^2/2)*$J39)/((C$32/100)*$K39))-(C$32/100)*$K39))))</f>
        <v/>
      </c>
      <c r="D39" s="29">
        <f>Assumptions!$B$5*(MAX(0,Assumptions!$B$2*EXP(-Assumptions!$B$4*$J39)*NORMSDIST(((LN(Assumptions!$B$2/'BS Engine'!$B$2)+(Assumptions!$B$3-Assumptions!$B$4+(D$32/100)^2/2)*$J39)/((D$32/100)*$K39)))-'BS Engine'!$B$2*EXP(-Assumptions!$B$3*$J39)*NORMSDIST((((LN(Assumptions!$B$2/'BS Engine'!$B$2)+(Assumptions!$B$3-Assumptions!$B$4+(D$32/100)^2/2)*$J39)/((D$32/100)*$K39))-(D$32/100)*$K39))))</f>
        <v/>
      </c>
      <c r="E39" s="29">
        <f>Assumptions!$B$5*(MAX(0,Assumptions!$B$2*EXP(-Assumptions!$B$4*$J39)*NORMSDIST(((LN(Assumptions!$B$2/'BS Engine'!$B$2)+(Assumptions!$B$3-Assumptions!$B$4+(E$32/100)^2/2)*$J39)/((E$32/100)*$K39)))-'BS Engine'!$B$2*EXP(-Assumptions!$B$3*$J39)*NORMSDIST((((LN(Assumptions!$B$2/'BS Engine'!$B$2)+(Assumptions!$B$3-Assumptions!$B$4+(E$32/100)^2/2)*$J39)/((E$32/100)*$K39))-(E$32/100)*$K39))))</f>
        <v/>
      </c>
      <c r="F39" s="29">
        <f>Assumptions!$B$5*(MAX(0,Assumptions!$B$2*EXP(-Assumptions!$B$4*$J39)*NORMSDIST(((LN(Assumptions!$B$2/'BS Engine'!$B$2)+(Assumptions!$B$3-Assumptions!$B$4+(F$32/100)^2/2)*$J39)/((F$32/100)*$K39)))-'BS Engine'!$B$2*EXP(-Assumptions!$B$3*$J39)*NORMSDIST((((LN(Assumptions!$B$2/'BS Engine'!$B$2)+(Assumptions!$B$3-Assumptions!$B$4+(F$32/100)^2/2)*$J39)/((F$32/100)*$K39))-(F$32/100)*$K39))))</f>
        <v/>
      </c>
      <c r="G39" s="29">
        <f>Assumptions!$B$5*(MAX(0,Assumptions!$B$2*EXP(-Assumptions!$B$4*$J39)*NORMSDIST(((LN(Assumptions!$B$2/'BS Engine'!$B$2)+(Assumptions!$B$3-Assumptions!$B$4+(G$32/100)^2/2)*$J39)/((G$32/100)*$K39)))-'BS Engine'!$B$2*EXP(-Assumptions!$B$3*$J39)*NORMSDIST((((LN(Assumptions!$B$2/'BS Engine'!$B$2)+(Assumptions!$B$3-Assumptions!$B$4+(G$32/100)^2/2)*$J39)/((G$32/100)*$K39))-(G$32/100)*$K39))))</f>
        <v/>
      </c>
      <c r="H39" s="29">
        <f>Assumptions!$B$5*(MAX(0,Assumptions!$B$2*EXP(-Assumptions!$B$4*$J39)*NORMSDIST(((LN(Assumptions!$B$2/'BS Engine'!$B$2)+(Assumptions!$B$3-Assumptions!$B$4+(H$32/100)^2/2)*$J39)/((H$32/100)*$K39)))-'BS Engine'!$B$2*EXP(-Assumptions!$B$3*$J39)*NORMSDIST((((LN(Assumptions!$B$2/'BS Engine'!$B$2)+(Assumptions!$B$3-Assumptions!$B$4+(H$32/100)^2/2)*$J39)/((H$32/100)*$K39))-(H$32/100)*$K39))))</f>
        <v/>
      </c>
      <c r="I39" s="29">
        <f>Assumptions!$B$5*(MAX(0,Assumptions!$B$2*EXP(-Assumptions!$B$4*$J39)*NORMSDIST(((LN(Assumptions!$B$2/'BS Engine'!$B$2)+(Assumptions!$B$3-Assumptions!$B$4+(I$32/100)^2/2)*$J39)/((I$32/100)*$K39)))-'BS Engine'!$B$2*EXP(-Assumptions!$B$3*$J39)*NORMSDIST((((LN(Assumptions!$B$2/'BS Engine'!$B$2)+(Assumptions!$B$3-Assumptions!$B$4+(I$32/100)^2/2)*$J39)/((I$32/100)*$K39))-(I$32/100)*$K39))))</f>
        <v/>
      </c>
      <c r="J39" s="44" t="n">
        <v>0.0273972602739726</v>
      </c>
      <c r="K39" s="44">
        <f>SQRT(J39)</f>
        <v/>
      </c>
    </row>
    <row r="40">
      <c r="A40" s="57" t="n">
        <v>15</v>
      </c>
      <c r="B40" s="49">
        <f>Assumptions!$B$5*(MAX(0,Assumptions!$B$2*EXP(-Assumptions!$B$4*$J40)*NORMSDIST(((LN(Assumptions!$B$2/'BS Engine'!$B$2)+(Assumptions!$B$3-Assumptions!$B$4+(B$32/100)^2/2)*$J40)/((B$32/100)*$K40)))-'BS Engine'!$B$2*EXP(-Assumptions!$B$3*$J40)*NORMSDIST((((LN(Assumptions!$B$2/'BS Engine'!$B$2)+(Assumptions!$B$3-Assumptions!$B$4+(B$32/100)^2/2)*$J40)/((B$32/100)*$K40))-(B$32/100)*$K40))))</f>
        <v/>
      </c>
      <c r="C40" s="29">
        <f>Assumptions!$B$5*(MAX(0,Assumptions!$B$2*EXP(-Assumptions!$B$4*$J40)*NORMSDIST(((LN(Assumptions!$B$2/'BS Engine'!$B$2)+(Assumptions!$B$3-Assumptions!$B$4+(C$32/100)^2/2)*$J40)/((C$32/100)*$K40)))-'BS Engine'!$B$2*EXP(-Assumptions!$B$3*$J40)*NORMSDIST((((LN(Assumptions!$B$2/'BS Engine'!$B$2)+(Assumptions!$B$3-Assumptions!$B$4+(C$32/100)^2/2)*$J40)/((C$32/100)*$K40))-(C$32/100)*$K40))))</f>
        <v/>
      </c>
      <c r="D40" s="29">
        <f>Assumptions!$B$5*(MAX(0,Assumptions!$B$2*EXP(-Assumptions!$B$4*$J40)*NORMSDIST(((LN(Assumptions!$B$2/'BS Engine'!$B$2)+(Assumptions!$B$3-Assumptions!$B$4+(D$32/100)^2/2)*$J40)/((D$32/100)*$K40)))-'BS Engine'!$B$2*EXP(-Assumptions!$B$3*$J40)*NORMSDIST((((LN(Assumptions!$B$2/'BS Engine'!$B$2)+(Assumptions!$B$3-Assumptions!$B$4+(D$32/100)^2/2)*$J40)/((D$32/100)*$K40))-(D$32/100)*$K40))))</f>
        <v/>
      </c>
      <c r="E40" s="29">
        <f>Assumptions!$B$5*(MAX(0,Assumptions!$B$2*EXP(-Assumptions!$B$4*$J40)*NORMSDIST(((LN(Assumptions!$B$2/'BS Engine'!$B$2)+(Assumptions!$B$3-Assumptions!$B$4+(E$32/100)^2/2)*$J40)/((E$32/100)*$K40)))-'BS Engine'!$B$2*EXP(-Assumptions!$B$3*$J40)*NORMSDIST((((LN(Assumptions!$B$2/'BS Engine'!$B$2)+(Assumptions!$B$3-Assumptions!$B$4+(E$32/100)^2/2)*$J40)/((E$32/100)*$K40))-(E$32/100)*$K40))))</f>
        <v/>
      </c>
      <c r="F40" s="29">
        <f>Assumptions!$B$5*(MAX(0,Assumptions!$B$2*EXP(-Assumptions!$B$4*$J40)*NORMSDIST(((LN(Assumptions!$B$2/'BS Engine'!$B$2)+(Assumptions!$B$3-Assumptions!$B$4+(F$32/100)^2/2)*$J40)/((F$32/100)*$K40)))-'BS Engine'!$B$2*EXP(-Assumptions!$B$3*$J40)*NORMSDIST((((LN(Assumptions!$B$2/'BS Engine'!$B$2)+(Assumptions!$B$3-Assumptions!$B$4+(F$32/100)^2/2)*$J40)/((F$32/100)*$K40))-(F$32/100)*$K40))))</f>
        <v/>
      </c>
      <c r="G40" s="29">
        <f>Assumptions!$B$5*(MAX(0,Assumptions!$B$2*EXP(-Assumptions!$B$4*$J40)*NORMSDIST(((LN(Assumptions!$B$2/'BS Engine'!$B$2)+(Assumptions!$B$3-Assumptions!$B$4+(G$32/100)^2/2)*$J40)/((G$32/100)*$K40)))-'BS Engine'!$B$2*EXP(-Assumptions!$B$3*$J40)*NORMSDIST((((LN(Assumptions!$B$2/'BS Engine'!$B$2)+(Assumptions!$B$3-Assumptions!$B$4+(G$32/100)^2/2)*$J40)/((G$32/100)*$K40))-(G$32/100)*$K40))))</f>
        <v/>
      </c>
      <c r="H40" s="29">
        <f>Assumptions!$B$5*(MAX(0,Assumptions!$B$2*EXP(-Assumptions!$B$4*$J40)*NORMSDIST(((LN(Assumptions!$B$2/'BS Engine'!$B$2)+(Assumptions!$B$3-Assumptions!$B$4+(H$32/100)^2/2)*$J40)/((H$32/100)*$K40)))-'BS Engine'!$B$2*EXP(-Assumptions!$B$3*$J40)*NORMSDIST((((LN(Assumptions!$B$2/'BS Engine'!$B$2)+(Assumptions!$B$3-Assumptions!$B$4+(H$32/100)^2/2)*$J40)/((H$32/100)*$K40))-(H$32/100)*$K40))))</f>
        <v/>
      </c>
      <c r="I40" s="29">
        <f>Assumptions!$B$5*(MAX(0,Assumptions!$B$2*EXP(-Assumptions!$B$4*$J40)*NORMSDIST(((LN(Assumptions!$B$2/'BS Engine'!$B$2)+(Assumptions!$B$3-Assumptions!$B$4+(I$32/100)^2/2)*$J40)/((I$32/100)*$K40)))-'BS Engine'!$B$2*EXP(-Assumptions!$B$3*$J40)*NORMSDIST((((LN(Assumptions!$B$2/'BS Engine'!$B$2)+(Assumptions!$B$3-Assumptions!$B$4+(I$32/100)^2/2)*$J40)/((I$32/100)*$K40))-(I$32/100)*$K40))))</f>
        <v/>
      </c>
      <c r="J40" s="44" t="n">
        <v>0.0410958904109589</v>
      </c>
      <c r="K40" s="44">
        <f>SQRT(J40)</f>
        <v/>
      </c>
    </row>
    <row r="41">
      <c r="A41" s="57" t="n">
        <v>21</v>
      </c>
      <c r="B41" s="49">
        <f>Assumptions!$B$5*(MAX(0,Assumptions!$B$2*EXP(-Assumptions!$B$4*$J41)*NORMSDIST(((LN(Assumptions!$B$2/'BS Engine'!$B$2)+(Assumptions!$B$3-Assumptions!$B$4+(B$32/100)^2/2)*$J41)/((B$32/100)*$K41)))-'BS Engine'!$B$2*EXP(-Assumptions!$B$3*$J41)*NORMSDIST((((LN(Assumptions!$B$2/'BS Engine'!$B$2)+(Assumptions!$B$3-Assumptions!$B$4+(B$32/100)^2/2)*$J41)/((B$32/100)*$K41))-(B$32/100)*$K41))))</f>
        <v/>
      </c>
      <c r="C41" s="29">
        <f>Assumptions!$B$5*(MAX(0,Assumptions!$B$2*EXP(-Assumptions!$B$4*$J41)*NORMSDIST(((LN(Assumptions!$B$2/'BS Engine'!$B$2)+(Assumptions!$B$3-Assumptions!$B$4+(C$32/100)^2/2)*$J41)/((C$32/100)*$K41)))-'BS Engine'!$B$2*EXP(-Assumptions!$B$3*$J41)*NORMSDIST((((LN(Assumptions!$B$2/'BS Engine'!$B$2)+(Assumptions!$B$3-Assumptions!$B$4+(C$32/100)^2/2)*$J41)/((C$32/100)*$K41))-(C$32/100)*$K41))))</f>
        <v/>
      </c>
      <c r="D41" s="29">
        <f>Assumptions!$B$5*(MAX(0,Assumptions!$B$2*EXP(-Assumptions!$B$4*$J41)*NORMSDIST(((LN(Assumptions!$B$2/'BS Engine'!$B$2)+(Assumptions!$B$3-Assumptions!$B$4+(D$32/100)^2/2)*$J41)/((D$32/100)*$K41)))-'BS Engine'!$B$2*EXP(-Assumptions!$B$3*$J41)*NORMSDIST((((LN(Assumptions!$B$2/'BS Engine'!$B$2)+(Assumptions!$B$3-Assumptions!$B$4+(D$32/100)^2/2)*$J41)/((D$32/100)*$K41))-(D$32/100)*$K41))))</f>
        <v/>
      </c>
      <c r="E41" s="29">
        <f>Assumptions!$B$5*(MAX(0,Assumptions!$B$2*EXP(-Assumptions!$B$4*$J41)*NORMSDIST(((LN(Assumptions!$B$2/'BS Engine'!$B$2)+(Assumptions!$B$3-Assumptions!$B$4+(E$32/100)^2/2)*$J41)/((E$32/100)*$K41)))-'BS Engine'!$B$2*EXP(-Assumptions!$B$3*$J41)*NORMSDIST((((LN(Assumptions!$B$2/'BS Engine'!$B$2)+(Assumptions!$B$3-Assumptions!$B$4+(E$32/100)^2/2)*$J41)/((E$32/100)*$K41))-(E$32/100)*$K41))))</f>
        <v/>
      </c>
      <c r="F41" s="29">
        <f>Assumptions!$B$5*(MAX(0,Assumptions!$B$2*EXP(-Assumptions!$B$4*$J41)*NORMSDIST(((LN(Assumptions!$B$2/'BS Engine'!$B$2)+(Assumptions!$B$3-Assumptions!$B$4+(F$32/100)^2/2)*$J41)/((F$32/100)*$K41)))-'BS Engine'!$B$2*EXP(-Assumptions!$B$3*$J41)*NORMSDIST((((LN(Assumptions!$B$2/'BS Engine'!$B$2)+(Assumptions!$B$3-Assumptions!$B$4+(F$32/100)^2/2)*$J41)/((F$32/100)*$K41))-(F$32/100)*$K41))))</f>
        <v/>
      </c>
      <c r="G41" s="29">
        <f>Assumptions!$B$5*(MAX(0,Assumptions!$B$2*EXP(-Assumptions!$B$4*$J41)*NORMSDIST(((LN(Assumptions!$B$2/'BS Engine'!$B$2)+(Assumptions!$B$3-Assumptions!$B$4+(G$32/100)^2/2)*$J41)/((G$32/100)*$K41)))-'BS Engine'!$B$2*EXP(-Assumptions!$B$3*$J41)*NORMSDIST((((LN(Assumptions!$B$2/'BS Engine'!$B$2)+(Assumptions!$B$3-Assumptions!$B$4+(G$32/100)^2/2)*$J41)/((G$32/100)*$K41))-(G$32/100)*$K41))))</f>
        <v/>
      </c>
      <c r="H41" s="29">
        <f>Assumptions!$B$5*(MAX(0,Assumptions!$B$2*EXP(-Assumptions!$B$4*$J41)*NORMSDIST(((LN(Assumptions!$B$2/'BS Engine'!$B$2)+(Assumptions!$B$3-Assumptions!$B$4+(H$32/100)^2/2)*$J41)/((H$32/100)*$K41)))-'BS Engine'!$B$2*EXP(-Assumptions!$B$3*$J41)*NORMSDIST((((LN(Assumptions!$B$2/'BS Engine'!$B$2)+(Assumptions!$B$3-Assumptions!$B$4+(H$32/100)^2/2)*$J41)/((H$32/100)*$K41))-(H$32/100)*$K41))))</f>
        <v/>
      </c>
      <c r="I41" s="29">
        <f>Assumptions!$B$5*(MAX(0,Assumptions!$B$2*EXP(-Assumptions!$B$4*$J41)*NORMSDIST(((LN(Assumptions!$B$2/'BS Engine'!$B$2)+(Assumptions!$B$3-Assumptions!$B$4+(I$32/100)^2/2)*$J41)/((I$32/100)*$K41)))-'BS Engine'!$B$2*EXP(-Assumptions!$B$3*$J41)*NORMSDIST((((LN(Assumptions!$B$2/'BS Engine'!$B$2)+(Assumptions!$B$3-Assumptions!$B$4+(I$32/100)^2/2)*$J41)/((I$32/100)*$K41))-(I$32/100)*$K41))))</f>
        <v/>
      </c>
      <c r="J41" s="44" t="n">
        <v>0.05753424657534247</v>
      </c>
      <c r="K41" s="44">
        <f>SQRT(J41)</f>
        <v/>
      </c>
    </row>
    <row r="42">
      <c r="A42" s="57" t="n">
        <v>30</v>
      </c>
      <c r="B42" s="49">
        <f>Assumptions!$B$5*(MAX(0,Assumptions!$B$2*EXP(-Assumptions!$B$4*$J42)*NORMSDIST(((LN(Assumptions!$B$2/'BS Engine'!$B$2)+(Assumptions!$B$3-Assumptions!$B$4+(B$32/100)^2/2)*$J42)/((B$32/100)*$K42)))-'BS Engine'!$B$2*EXP(-Assumptions!$B$3*$J42)*NORMSDIST((((LN(Assumptions!$B$2/'BS Engine'!$B$2)+(Assumptions!$B$3-Assumptions!$B$4+(B$32/100)^2/2)*$J42)/((B$32/100)*$K42))-(B$32/100)*$K42))))</f>
        <v/>
      </c>
      <c r="C42" s="29">
        <f>Assumptions!$B$5*(MAX(0,Assumptions!$B$2*EXP(-Assumptions!$B$4*$J42)*NORMSDIST(((LN(Assumptions!$B$2/'BS Engine'!$B$2)+(Assumptions!$B$3-Assumptions!$B$4+(C$32/100)^2/2)*$J42)/((C$32/100)*$K42)))-'BS Engine'!$B$2*EXP(-Assumptions!$B$3*$J42)*NORMSDIST((((LN(Assumptions!$B$2/'BS Engine'!$B$2)+(Assumptions!$B$3-Assumptions!$B$4+(C$32/100)^2/2)*$J42)/((C$32/100)*$K42))-(C$32/100)*$K42))))</f>
        <v/>
      </c>
      <c r="D42" s="29">
        <f>Assumptions!$B$5*(MAX(0,Assumptions!$B$2*EXP(-Assumptions!$B$4*$J42)*NORMSDIST(((LN(Assumptions!$B$2/'BS Engine'!$B$2)+(Assumptions!$B$3-Assumptions!$B$4+(D$32/100)^2/2)*$J42)/((D$32/100)*$K42)))-'BS Engine'!$B$2*EXP(-Assumptions!$B$3*$J42)*NORMSDIST((((LN(Assumptions!$B$2/'BS Engine'!$B$2)+(Assumptions!$B$3-Assumptions!$B$4+(D$32/100)^2/2)*$J42)/((D$32/100)*$K42))-(D$32/100)*$K42))))</f>
        <v/>
      </c>
      <c r="E42" s="29">
        <f>Assumptions!$B$5*(MAX(0,Assumptions!$B$2*EXP(-Assumptions!$B$4*$J42)*NORMSDIST(((LN(Assumptions!$B$2/'BS Engine'!$B$2)+(Assumptions!$B$3-Assumptions!$B$4+(E$32/100)^2/2)*$J42)/((E$32/100)*$K42)))-'BS Engine'!$B$2*EXP(-Assumptions!$B$3*$J42)*NORMSDIST((((LN(Assumptions!$B$2/'BS Engine'!$B$2)+(Assumptions!$B$3-Assumptions!$B$4+(E$32/100)^2/2)*$J42)/((E$32/100)*$K42))-(E$32/100)*$K42))))</f>
        <v/>
      </c>
      <c r="F42" s="29">
        <f>Assumptions!$B$5*(MAX(0,Assumptions!$B$2*EXP(-Assumptions!$B$4*$J42)*NORMSDIST(((LN(Assumptions!$B$2/'BS Engine'!$B$2)+(Assumptions!$B$3-Assumptions!$B$4+(F$32/100)^2/2)*$J42)/((F$32/100)*$K42)))-'BS Engine'!$B$2*EXP(-Assumptions!$B$3*$J42)*NORMSDIST((((LN(Assumptions!$B$2/'BS Engine'!$B$2)+(Assumptions!$B$3-Assumptions!$B$4+(F$32/100)^2/2)*$J42)/((F$32/100)*$K42))-(F$32/100)*$K42))))</f>
        <v/>
      </c>
      <c r="G42" s="29">
        <f>Assumptions!$B$5*(MAX(0,Assumptions!$B$2*EXP(-Assumptions!$B$4*$J42)*NORMSDIST(((LN(Assumptions!$B$2/'BS Engine'!$B$2)+(Assumptions!$B$3-Assumptions!$B$4+(G$32/100)^2/2)*$J42)/((G$32/100)*$K42)))-'BS Engine'!$B$2*EXP(-Assumptions!$B$3*$J42)*NORMSDIST((((LN(Assumptions!$B$2/'BS Engine'!$B$2)+(Assumptions!$B$3-Assumptions!$B$4+(G$32/100)^2/2)*$J42)/((G$32/100)*$K42))-(G$32/100)*$K42))))</f>
        <v/>
      </c>
      <c r="H42" s="29">
        <f>Assumptions!$B$5*(MAX(0,Assumptions!$B$2*EXP(-Assumptions!$B$4*$J42)*NORMSDIST(((LN(Assumptions!$B$2/'BS Engine'!$B$2)+(Assumptions!$B$3-Assumptions!$B$4+(H$32/100)^2/2)*$J42)/((H$32/100)*$K42)))-'BS Engine'!$B$2*EXP(-Assumptions!$B$3*$J42)*NORMSDIST((((LN(Assumptions!$B$2/'BS Engine'!$B$2)+(Assumptions!$B$3-Assumptions!$B$4+(H$32/100)^2/2)*$J42)/((H$32/100)*$K42))-(H$32/100)*$K42))))</f>
        <v/>
      </c>
      <c r="I42" s="29">
        <f>Assumptions!$B$5*(MAX(0,Assumptions!$B$2*EXP(-Assumptions!$B$4*$J42)*NORMSDIST(((LN(Assumptions!$B$2/'BS Engine'!$B$2)+(Assumptions!$B$3-Assumptions!$B$4+(I$32/100)^2/2)*$J42)/((I$32/100)*$K42)))-'BS Engine'!$B$2*EXP(-Assumptions!$B$3*$J42)*NORMSDIST((((LN(Assumptions!$B$2/'BS Engine'!$B$2)+(Assumptions!$B$3-Assumptions!$B$4+(I$32/100)^2/2)*$J42)/((I$32/100)*$K42))-(I$32/100)*$K42))))</f>
        <v/>
      </c>
      <c r="J42" s="44" t="n">
        <v>0.0821917808219178</v>
      </c>
      <c r="K42" s="44">
        <f>SQRT(J42)</f>
        <v/>
      </c>
    </row>
    <row r="47">
      <c r="A47" s="22" t="inlineStr">
        <is>
          <t>Premium scales with SQRT(time) but close to linearly with volatility at the money, and faster than linearly out of the money.</t>
        </is>
      </c>
    </row>
    <row r="48">
      <c r="A48" s="22" t="inlineStr">
        <is>
          <t>Going from 2 to 8 days multiplies ATM premium by about 2 (SQRT(4)); taking VIX from 12 to 20 does roughly the same thing without touching the calendar.</t>
        </is>
      </c>
    </row>
    <row r="49">
      <c r="A49" s="22" t="inlineStr">
        <is>
          <t>The ITM block barely moves in either direction - intrinsic value dominates it.</t>
        </is>
      </c>
    </row>
  </sheetData>
  <conditionalFormatting sqref="B5:I14">
    <cfRule type="colorScale" priority="1">
      <colorScale>
        <cfvo type="min"/>
        <cfvo type="percentile" val="50"/>
        <cfvo type="max"/>
        <color rgb="00FFF2CC"/>
        <color rgb="00FFD966"/>
        <color rgb="00ED7D31"/>
      </colorScale>
    </cfRule>
  </conditionalFormatting>
  <conditionalFormatting sqref="B19:I28">
    <cfRule type="colorScale" priority="2">
      <colorScale>
        <cfvo type="min"/>
        <cfvo type="percentile" val="50"/>
        <cfvo type="max"/>
        <color rgb="00FFF2CC"/>
        <color rgb="00FFD966"/>
        <color rgb="00ED7D31"/>
      </colorScale>
    </cfRule>
  </conditionalFormatting>
  <conditionalFormatting sqref="B33:I42">
    <cfRule type="colorScale" priority="3">
      <colorScale>
        <cfvo type="min"/>
        <cfvo type="percentile" val="50"/>
        <cfvo type="max"/>
        <color rgb="00FFF2CC"/>
        <color rgb="00FFD966"/>
        <color rgb="00ED7D3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2026-08-17T06:15:43Z</dcterms:created>
  <dcterms:modified xsi:type="dcterms:W3CDTF">2026-08-17T06:15:43Z</dcterms:modified>
</cp:coreProperties>
</file>